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_me" sheetId="1" state="visible" r:id="rId3"/>
    <sheet name="Base_Bruta" sheetId="2" state="visible" r:id="rId4"/>
    <sheet name="Tratamento" sheetId="3" state="visible" r:id="rId5"/>
    <sheet name="Auditoria" sheetId="4" state="visible" r:id="rId6"/>
    <sheet name="Resumo_KPIs" sheetId="5" state="visible" r:id="rId7"/>
    <sheet name="DePara_Categoria" sheetId="6" state="visible" r:id="rId8"/>
    <sheet name="DePara_Cidade" sheetId="7" state="visible" r:id="rId9"/>
    <sheet name="DePara_Pais" sheetId="8" state="visible" r:id="rId10"/>
    <sheet name="Cadastro_Eventos" sheetId="9" state="visible" r:id="rId11"/>
  </sheet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Dados SIMULADOS empilhados SEM tratamento (SP + RJ + MG). Não editar: o tratamento acontece na aba Tratamento.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" authorId="0">
      <text>
        <r>
          <rPr>
            <sz val="10"/>
            <rFont val="Arial"/>
            <family val="2"/>
          </rPr>
          <t xml:space="preserve">Local = cidade do comprador igual à cidade-sede do evento. Turista Nacional = outra cidade do Brasil. Turista Internacional = país diferente do Brasil.</t>
        </r>
      </text>
    </comment>
    <comment ref="S1" authorId="0">
      <text>
        <r>
          <rPr>
            <sz val="10"/>
            <rFont val="Arial"/>
            <family val="2"/>
          </rPr>
          <t xml:space="preserve">Só linhas com Status = OK entram nos indicadores.</t>
        </r>
      </text>
    </comment>
  </commentList>
</comments>
</file>

<file path=xl/sharedStrings.xml><?xml version="1.0" encoding="utf-8"?>
<sst xmlns="http://schemas.openxmlformats.org/spreadsheetml/2006/main" count="29735" uniqueCount="5290">
  <si>
    <t xml:space="preserve">IngressoData Brasil — Etapa 1: Excel Avançado</t>
  </si>
  <si>
    <t xml:space="preserve">Microinformática Aplicada (ILP590) — FATEC SP — Prof. Veríssimo — 2º/2026</t>
  </si>
  <si>
    <t xml:space="preserve">Fluxo da planilha</t>
  </si>
  <si>
    <t xml:space="preserve">1. Base_Bruta: as 3 planilhas de vendas (SP, RJ e MG) empilhadas sem nenhum tratamento.</t>
  </si>
  <si>
    <t xml:space="preserve">2. DePara_*: tabelas de padronização (células amarelas = entrada; podem ser editadas).</t>
  </si>
  <si>
    <t xml:space="preserve">3. Tratamento: cada coluna é uma fórmula que limpa a Base_Bruta (PROCX, ARRUMAR, VALORNUMERO, DATA).</t>
  </si>
  <si>
    <t xml:space="preserve">4. Auditoria: confere que nenhuma linha some e que não há erros de fórmula.</t>
  </si>
  <si>
    <t xml:space="preserve">5. Resumo_KPIs: faturamento, ticket médio e % de público turista (SOMASES).</t>
  </si>
  <si>
    <t xml:space="preserve">Problemas de qualidade tratados</t>
  </si>
  <si>
    <t xml:space="preserve">• Datas em 3 formatos: dd/mm/aaaa (texto, SP), data do Excel (RJ) e aaaa-mm-dd (texto, MG).</t>
  </si>
  <si>
    <t xml:space="preserve">• Valores como texto "R$ 1.250,00" (SP) e "450,00" (MG) convertidos com VALORNUMERO.</t>
  </si>
  <si>
    <t xml:space="preserve">• Categorias com grafias diferentes (SHOW, Shows, Fest., Cine...) padronizadas via PROCX no De-Para.</t>
  </si>
  <si>
    <t xml:space="preserve">• Cidades sem acento, em maiúsculas, siglas (BH, SP - São Paulo) e espaços sobrando.</t>
  </si>
  <si>
    <t xml:space="preserve">• Linhas duplicadas (mesmo ID_Venda), linhas vazias e quantidade/valor faltando.</t>
  </si>
  <si>
    <t xml:space="preserve">Regra de público turista</t>
  </si>
  <si>
    <t xml:space="preserve">Local = mora na cidade-sede do evento. Turista Nacional = outra cidade do Brasil. Turista Internacional = mora fora do Brasil.</t>
  </si>
  <si>
    <t xml:space="preserve">Dados 100% simulados (gerador com seed fixa em 04-documentacao/scripts). Eventos e nomes são fictícios.</t>
  </si>
  <si>
    <t xml:space="preserve">ID_Venda</t>
  </si>
  <si>
    <t xml:space="preserve">Data_Venda</t>
  </si>
  <si>
    <t xml:space="preserve">Data_Evento</t>
  </si>
  <si>
    <t xml:space="preserve">Evento</t>
  </si>
  <si>
    <t xml:space="preserve">Categoria</t>
  </si>
  <si>
    <t xml:space="preserve">Cidade_Evento</t>
  </si>
  <si>
    <t xml:space="preserve">Tipo_Ingresso</t>
  </si>
  <si>
    <t xml:space="preserve">Qtd</t>
  </si>
  <si>
    <t xml:space="preserve">Valor_Unitario</t>
  </si>
  <si>
    <t xml:space="preserve">Canal</t>
  </si>
  <si>
    <t xml:space="preserve">Comprador_ID</t>
  </si>
  <si>
    <t xml:space="preserve">Cidade_Comprador</t>
  </si>
  <si>
    <t xml:space="preserve">UF_Comprador</t>
  </si>
  <si>
    <t xml:space="preserve">Pais_Comprador</t>
  </si>
  <si>
    <t xml:space="preserve">CEP_Comprador</t>
  </si>
  <si>
    <t xml:space="preserve">Arquivo_Origem</t>
  </si>
  <si>
    <t xml:space="preserve">SP-000682</t>
  </si>
  <si>
    <t xml:space="preserve">05/01/2025</t>
  </si>
  <si>
    <t xml:space="preserve">Cinema Paulista - Sessões</t>
  </si>
  <si>
    <t xml:space="preserve">Cinema</t>
  </si>
  <si>
    <t xml:space="preserve">São Paulo </t>
  </si>
  <si>
    <t xml:space="preserve">Inteira</t>
  </si>
  <si>
    <t xml:space="preserve">R$ 45,00</t>
  </si>
  <si>
    <t xml:space="preserve">Site</t>
  </si>
  <si>
    <t xml:space="preserve">C00387</t>
  </si>
  <si>
    <t xml:space="preserve">São Paulo</t>
  </si>
  <si>
    <t xml:space="preserve">SP</t>
  </si>
  <si>
    <t xml:space="preserve">Brasil</t>
  </si>
  <si>
    <t xml:space="preserve">01336-567</t>
  </si>
  <si>
    <t xml:space="preserve">vendas_SP.xlsx</t>
  </si>
  <si>
    <t xml:space="preserve">SP-000661</t>
  </si>
  <si>
    <t xml:space="preserve">06/01/2025</t>
  </si>
  <si>
    <t xml:space="preserve">Cine</t>
  </si>
  <si>
    <t xml:space="preserve">R$ 35,00</t>
  </si>
  <si>
    <t xml:space="preserve">C01112</t>
  </si>
  <si>
    <t xml:space="preserve">brasil</t>
  </si>
  <si>
    <t xml:space="preserve">01867-320</t>
  </si>
  <si>
    <t xml:space="preserve">SP-000694</t>
  </si>
  <si>
    <t xml:space="preserve">07/01/2025</t>
  </si>
  <si>
    <t xml:space="preserve">10/01/2025</t>
  </si>
  <si>
    <t xml:space="preserve">Sessão Cinema</t>
  </si>
  <si>
    <t xml:space="preserve">Sao Paulo</t>
  </si>
  <si>
    <t xml:space="preserve">Meia</t>
  </si>
  <si>
    <t xml:space="preserve">R$ 22,50</t>
  </si>
  <si>
    <t xml:space="preserve">C02052</t>
  </si>
  <si>
    <t xml:space="preserve">01793-815</t>
  </si>
  <si>
    <t xml:space="preserve">SP-000695</t>
  </si>
  <si>
    <t xml:space="preserve">09/01/2025</t>
  </si>
  <si>
    <t xml:space="preserve">12/01/2025</t>
  </si>
  <si>
    <t xml:space="preserve">CINEMA</t>
  </si>
  <si>
    <t xml:space="preserve">R$ 40,00</t>
  </si>
  <si>
    <t xml:space="preserve">App</t>
  </si>
  <si>
    <t xml:space="preserve">C00952</t>
  </si>
  <si>
    <t xml:space="preserve">SÃO PAULO</t>
  </si>
  <si>
    <t xml:space="preserve">01008-886</t>
  </si>
  <si>
    <t xml:space="preserve">SP-000624</t>
  </si>
  <si>
    <t xml:space="preserve">11/01/2025</t>
  </si>
  <si>
    <t xml:space="preserve">14/01/2025</t>
  </si>
  <si>
    <t xml:space="preserve">R$ 15,00</t>
  </si>
  <si>
    <t xml:space="preserve">C02204</t>
  </si>
  <si>
    <t xml:space="preserve">01358-382</t>
  </si>
  <si>
    <t xml:space="preserve">SP-000641</t>
  </si>
  <si>
    <t xml:space="preserve">15/01/2025</t>
  </si>
  <si>
    <t xml:space="preserve">17/01/2025</t>
  </si>
  <si>
    <t xml:space="preserve">Bilheteria</t>
  </si>
  <si>
    <t xml:space="preserve">C00508</t>
  </si>
  <si>
    <t xml:space="preserve">01088-882</t>
  </si>
  <si>
    <t xml:space="preserve">SP-000653</t>
  </si>
  <si>
    <t xml:space="preserve">C02010</t>
  </si>
  <si>
    <t xml:space="preserve">01668-944</t>
  </si>
  <si>
    <t xml:space="preserve">SP-000632</t>
  </si>
  <si>
    <t xml:space="preserve">16/01/2025</t>
  </si>
  <si>
    <t xml:space="preserve">cinema</t>
  </si>
  <si>
    <t xml:space="preserve">C00115</t>
  </si>
  <si>
    <t xml:space="preserve">01106-857</t>
  </si>
  <si>
    <t xml:space="preserve">SP-000765</t>
  </si>
  <si>
    <t xml:space="preserve">C01088</t>
  </si>
  <si>
    <t xml:space="preserve">BR</t>
  </si>
  <si>
    <t xml:space="preserve">01316-427</t>
  </si>
  <si>
    <t xml:space="preserve">SP-000748</t>
  </si>
  <si>
    <t xml:space="preserve">20/01/2025</t>
  </si>
  <si>
    <t xml:space="preserve">C01797</t>
  </si>
  <si>
    <t xml:space="preserve">01538-731</t>
  </si>
  <si>
    <t xml:space="preserve">SP-000778</t>
  </si>
  <si>
    <t xml:space="preserve">18/01/2025</t>
  </si>
  <si>
    <t xml:space="preserve">21/01/2025</t>
  </si>
  <si>
    <t xml:space="preserve">C00890</t>
  </si>
  <si>
    <t xml:space="preserve">01092-912</t>
  </si>
  <si>
    <t xml:space="preserve">SP-000722</t>
  </si>
  <si>
    <t xml:space="preserve">23/01/2025</t>
  </si>
  <si>
    <t xml:space="preserve">C00083</t>
  </si>
  <si>
    <t xml:space="preserve">01733-879</t>
  </si>
  <si>
    <t xml:space="preserve">SP-000685</t>
  </si>
  <si>
    <t xml:space="preserve">26/01/2025</t>
  </si>
  <si>
    <t xml:space="preserve">27/01/2025</t>
  </si>
  <si>
    <t xml:space="preserve">C01529</t>
  </si>
  <si>
    <t xml:space="preserve">01033-442</t>
  </si>
  <si>
    <t xml:space="preserve">SP-000747</t>
  </si>
  <si>
    <t xml:space="preserve">C00552</t>
  </si>
  <si>
    <t xml:space="preserve">01717-674</t>
  </si>
  <si>
    <t xml:space="preserve">SP-000764</t>
  </si>
  <si>
    <t xml:space="preserve">29/01/2025</t>
  </si>
  <si>
    <t xml:space="preserve">C02111</t>
  </si>
  <si>
    <t xml:space="preserve">01114-631</t>
  </si>
  <si>
    <t xml:space="preserve">SP-000617</t>
  </si>
  <si>
    <t xml:space="preserve">30/01/2025</t>
  </si>
  <si>
    <t xml:space="preserve">02/02/2025</t>
  </si>
  <si>
    <t xml:space="preserve">R$ 17,50</t>
  </si>
  <si>
    <t xml:space="preserve">C01630</t>
  </si>
  <si>
    <t xml:space="preserve">01231-573</t>
  </si>
  <si>
    <t xml:space="preserve">SP-000713</t>
  </si>
  <si>
    <t xml:space="preserve">SP - São Paulo</t>
  </si>
  <si>
    <t xml:space="preserve">C00015</t>
  </si>
  <si>
    <t xml:space="preserve">01925-571</t>
  </si>
  <si>
    <t xml:space="preserve">SP-000734</t>
  </si>
  <si>
    <t xml:space="preserve">C01827</t>
  </si>
  <si>
    <t xml:space="preserve">sp</t>
  </si>
  <si>
    <t xml:space="preserve">01570-857</t>
  </si>
  <si>
    <t xml:space="preserve">SP-000619</t>
  </si>
  <si>
    <t xml:space="preserve">31/01/2025</t>
  </si>
  <si>
    <t xml:space="preserve">01/02/2025</t>
  </si>
  <si>
    <t xml:space="preserve">R$ 20,00</t>
  </si>
  <si>
    <t xml:space="preserve">C01278</t>
  </si>
  <si>
    <t xml:space="preserve">01784-708</t>
  </si>
  <si>
    <t xml:space="preserve">SP-000654</t>
  </si>
  <si>
    <t xml:space="preserve">04/02/2025</t>
  </si>
  <si>
    <t xml:space="preserve">07/02/2025</t>
  </si>
  <si>
    <t xml:space="preserve">C01401</t>
  </si>
  <si>
    <t xml:space="preserve">01495-343</t>
  </si>
  <si>
    <t xml:space="preserve">SP-000644</t>
  </si>
  <si>
    <t xml:space="preserve">05/02/2025</t>
  </si>
  <si>
    <t xml:space="preserve">06/02/2025</t>
  </si>
  <si>
    <t xml:space="preserve">Parceiro</t>
  </si>
  <si>
    <t xml:space="preserve">C00365</t>
  </si>
  <si>
    <t xml:space="preserve">01646-468</t>
  </si>
  <si>
    <t xml:space="preserve">SP-000707</t>
  </si>
  <si>
    <t xml:space="preserve">08/02/2025</t>
  </si>
  <si>
    <t xml:space="preserve">C00976</t>
  </si>
  <si>
    <t xml:space="preserve">01234-319</t>
  </si>
  <si>
    <t xml:space="preserve">SP-000656</t>
  </si>
  <si>
    <t xml:space="preserve">C01469</t>
  </si>
  <si>
    <t xml:space="preserve">01846-126</t>
  </si>
  <si>
    <t xml:space="preserve">SP-000640</t>
  </si>
  <si>
    <t xml:space="preserve">13/02/2025</t>
  </si>
  <si>
    <t xml:space="preserve">14/02/2025</t>
  </si>
  <si>
    <t xml:space="preserve">C01219</t>
  </si>
  <si>
    <t xml:space="preserve">01219-585</t>
  </si>
  <si>
    <t xml:space="preserve">SP-000767</t>
  </si>
  <si>
    <t xml:space="preserve">19/02/2025</t>
  </si>
  <si>
    <t xml:space="preserve">22/02/2025</t>
  </si>
  <si>
    <t xml:space="preserve">C02410</t>
  </si>
  <si>
    <t xml:space="preserve">são paulo</t>
  </si>
  <si>
    <t xml:space="preserve">01756-896</t>
  </si>
  <si>
    <t xml:space="preserve">SP-000743</t>
  </si>
  <si>
    <t xml:space="preserve">20/02/2025</t>
  </si>
  <si>
    <t xml:space="preserve">23/02/2025</t>
  </si>
  <si>
    <t xml:space="preserve">C01939</t>
  </si>
  <si>
    <t xml:space="preserve">01447-220</t>
  </si>
  <si>
    <t xml:space="preserve">SP-000615</t>
  </si>
  <si>
    <t xml:space="preserve">28/02/2025</t>
  </si>
  <si>
    <t xml:space="preserve">02/03/2025</t>
  </si>
  <si>
    <t xml:space="preserve">R$ 50,00</t>
  </si>
  <si>
    <t xml:space="preserve">C00719</t>
  </si>
  <si>
    <t xml:space="preserve">01078-128</t>
  </si>
  <si>
    <t xml:space="preserve">SP-000745</t>
  </si>
  <si>
    <t xml:space="preserve">04/03/2025</t>
  </si>
  <si>
    <t xml:space="preserve">07/03/2025</t>
  </si>
  <si>
    <t xml:space="preserve">C00800</t>
  </si>
  <si>
    <t xml:space="preserve">BRASIL</t>
  </si>
  <si>
    <t xml:space="preserve">01289-978</t>
  </si>
  <si>
    <t xml:space="preserve">SP-000668</t>
  </si>
  <si>
    <t xml:space="preserve">06/03/2025</t>
  </si>
  <si>
    <t xml:space="preserve">C02308</t>
  </si>
  <si>
    <t xml:space="preserve">01282-401</t>
  </si>
  <si>
    <t xml:space="preserve">SP-000705</t>
  </si>
  <si>
    <t xml:space="preserve">08/03/2025</t>
  </si>
  <si>
    <t xml:space="preserve">10/03/2025</t>
  </si>
  <si>
    <t xml:space="preserve">C02130</t>
  </si>
  <si>
    <t xml:space="preserve">01372-668</t>
  </si>
  <si>
    <t xml:space="preserve">SP-000759</t>
  </si>
  <si>
    <t xml:space="preserve">09/03/2025</t>
  </si>
  <si>
    <t xml:space="preserve">C01093</t>
  </si>
  <si>
    <t xml:space="preserve">01025-219</t>
  </si>
  <si>
    <t xml:space="preserve">SP-000696</t>
  </si>
  <si>
    <t xml:space="preserve">12/03/2025</t>
  </si>
  <si>
    <t xml:space="preserve">C01722</t>
  </si>
  <si>
    <t xml:space="preserve">01120-888</t>
  </si>
  <si>
    <t xml:space="preserve">SP-000761</t>
  </si>
  <si>
    <t xml:space="preserve">11/03/2025</t>
  </si>
  <si>
    <t xml:space="preserve">C00191</t>
  </si>
  <si>
    <t xml:space="preserve">01332-985</t>
  </si>
  <si>
    <t xml:space="preserve">SP-000657</t>
  </si>
  <si>
    <t xml:space="preserve">13/03/2025</t>
  </si>
  <si>
    <t xml:space="preserve">C02365</t>
  </si>
  <si>
    <t xml:space="preserve">01200-165</t>
  </si>
  <si>
    <t xml:space="preserve">SP-000777</t>
  </si>
  <si>
    <t xml:space="preserve">C01072</t>
  </si>
  <si>
    <t xml:space="preserve">01420-173</t>
  </si>
  <si>
    <t xml:space="preserve">SP-000757</t>
  </si>
  <si>
    <t xml:space="preserve">21/03/2025</t>
  </si>
  <si>
    <t xml:space="preserve">22/03/2025</t>
  </si>
  <si>
    <t xml:space="preserve">C02421</t>
  </si>
  <si>
    <t xml:space="preserve">Santiago</t>
  </si>
  <si>
    <t xml:space="preserve">ex</t>
  </si>
  <si>
    <t xml:space="preserve">Chile</t>
  </si>
  <si>
    <t xml:space="preserve">SP-000775</t>
  </si>
  <si>
    <t xml:space="preserve">23/03/2025</t>
  </si>
  <si>
    <t xml:space="preserve">C00427</t>
  </si>
  <si>
    <t xml:space="preserve">01470-966</t>
  </si>
  <si>
    <t xml:space="preserve">SP-000655</t>
  </si>
  <si>
    <t xml:space="preserve">29/03/2025</t>
  </si>
  <si>
    <t xml:space="preserve">31/03/2025</t>
  </si>
  <si>
    <t xml:space="preserve">C01408</t>
  </si>
  <si>
    <t xml:space="preserve">01280-060</t>
  </si>
  <si>
    <t xml:space="preserve">SP-000717</t>
  </si>
  <si>
    <t xml:space="preserve">C01473</t>
  </si>
  <si>
    <t xml:space="preserve">01202-141</t>
  </si>
  <si>
    <t xml:space="preserve">SP-000726</t>
  </si>
  <si>
    <t xml:space="preserve">C01935</t>
  </si>
  <si>
    <t xml:space="preserve">01981-964</t>
  </si>
  <si>
    <t xml:space="preserve">SP-000719</t>
  </si>
  <si>
    <t xml:space="preserve">10/04/2025</t>
  </si>
  <si>
    <t xml:space="preserve">13/04/2025</t>
  </si>
  <si>
    <t xml:space="preserve">R$ 30,00</t>
  </si>
  <si>
    <t xml:space="preserve">C00272</t>
  </si>
  <si>
    <t xml:space="preserve">01453-234</t>
  </si>
  <si>
    <t xml:space="preserve">SP-000740</t>
  </si>
  <si>
    <t xml:space="preserve">16/04/2025</t>
  </si>
  <si>
    <t xml:space="preserve">17/04/2025</t>
  </si>
  <si>
    <t xml:space="preserve">C01089</t>
  </si>
  <si>
    <t xml:space="preserve">01323-932</t>
  </si>
  <si>
    <t xml:space="preserve">SP-000679</t>
  </si>
  <si>
    <t xml:space="preserve">18/04/2025</t>
  </si>
  <si>
    <t xml:space="preserve">C01708</t>
  </si>
  <si>
    <t xml:space="preserve">01360-113</t>
  </si>
  <si>
    <t xml:space="preserve">SP-000638</t>
  </si>
  <si>
    <t xml:space="preserve">20/04/2025</t>
  </si>
  <si>
    <t xml:space="preserve">SP-000693</t>
  </si>
  <si>
    <t xml:space="preserve">21/04/2025</t>
  </si>
  <si>
    <t xml:space="preserve">23/04/2025</t>
  </si>
  <si>
    <t xml:space="preserve">C00738</t>
  </si>
  <si>
    <t xml:space="preserve">01792-806</t>
  </si>
  <si>
    <t xml:space="preserve">SP-000635</t>
  </si>
  <si>
    <t xml:space="preserve">25/04/2025</t>
  </si>
  <si>
    <t xml:space="preserve">C00334</t>
  </si>
  <si>
    <t xml:space="preserve">01454-266</t>
  </si>
  <si>
    <t xml:space="preserve">SP-000687</t>
  </si>
  <si>
    <t xml:space="preserve">24/04/2025</t>
  </si>
  <si>
    <t xml:space="preserve">C00794</t>
  </si>
  <si>
    <t xml:space="preserve">01678-861</t>
  </si>
  <si>
    <t xml:space="preserve">SP-000645</t>
  </si>
  <si>
    <t xml:space="preserve">26/04/2025</t>
  </si>
  <si>
    <t xml:space="preserve">27/04/2025</t>
  </si>
  <si>
    <t xml:space="preserve">C02369</t>
  </si>
  <si>
    <t xml:space="preserve">01964-754</t>
  </si>
  <si>
    <t xml:space="preserve">SP-000649</t>
  </si>
  <si>
    <t xml:space="preserve">03/05/2025</t>
  </si>
  <si>
    <t xml:space="preserve">05/05/2025</t>
  </si>
  <si>
    <t xml:space="preserve">C01659</t>
  </si>
  <si>
    <t xml:space="preserve">01986-667</t>
  </si>
  <si>
    <t xml:space="preserve">SP-000671</t>
  </si>
  <si>
    <t xml:space="preserve">07/05/2025</t>
  </si>
  <si>
    <t xml:space="preserve">08/05/2025</t>
  </si>
  <si>
    <t xml:space="preserve">C01186</t>
  </si>
  <si>
    <t xml:space="preserve">01795-139</t>
  </si>
  <si>
    <t xml:space="preserve">SP-000658</t>
  </si>
  <si>
    <t xml:space="preserve">09/05/2025</t>
  </si>
  <si>
    <t xml:space="preserve">C02058</t>
  </si>
  <si>
    <t xml:space="preserve">01689-577</t>
  </si>
  <si>
    <t xml:space="preserve">SP-000639</t>
  </si>
  <si>
    <t xml:space="preserve">11/05/2025</t>
  </si>
  <si>
    <t xml:space="preserve">14/05/2025</t>
  </si>
  <si>
    <t xml:space="preserve">C01640</t>
  </si>
  <si>
    <t xml:space="preserve">01056-959</t>
  </si>
  <si>
    <t xml:space="preserve">SP-000620</t>
  </si>
  <si>
    <t xml:space="preserve">12/05/2025</t>
  </si>
  <si>
    <t xml:space="preserve">15/05/2025</t>
  </si>
  <si>
    <t xml:space="preserve">SP-000708</t>
  </si>
  <si>
    <t xml:space="preserve">19/05/2025</t>
  </si>
  <si>
    <t xml:space="preserve">22/05/2025</t>
  </si>
  <si>
    <t xml:space="preserve">C02023</t>
  </si>
  <si>
    <t xml:space="preserve">01241-119</t>
  </si>
  <si>
    <t xml:space="preserve">SP-000769</t>
  </si>
  <si>
    <t xml:space="preserve">21/05/2025</t>
  </si>
  <si>
    <t xml:space="preserve">23/05/2025</t>
  </si>
  <si>
    <t xml:space="preserve">SP-000541</t>
  </si>
  <si>
    <t xml:space="preserve">06/06/2025</t>
  </si>
  <si>
    <t xml:space="preserve">04/10/2025</t>
  </si>
  <si>
    <t xml:space="preserve">Turnê Internacional Pop - SP</t>
  </si>
  <si>
    <t xml:space="preserve">Show</t>
  </si>
  <si>
    <t xml:space="preserve">R$ 770,00</t>
  </si>
  <si>
    <t xml:space="preserve">C01550</t>
  </si>
  <si>
    <t xml:space="preserve">01562-265</t>
  </si>
  <si>
    <t xml:space="preserve">SP-000545</t>
  </si>
  <si>
    <t xml:space="preserve">Shows</t>
  </si>
  <si>
    <t xml:space="preserve">R$ 220,00</t>
  </si>
  <si>
    <t xml:space="preserve">C00213</t>
  </si>
  <si>
    <t xml:space="preserve">01461-813</t>
  </si>
  <si>
    <t xml:space="preserve">SP-000672</t>
  </si>
  <si>
    <t xml:space="preserve">08/06/2025</t>
  </si>
  <si>
    <t xml:space="preserve">R$ 25,00</t>
  </si>
  <si>
    <t xml:space="preserve">SP-000462</t>
  </si>
  <si>
    <t xml:space="preserve">R$ 510,00</t>
  </si>
  <si>
    <t xml:space="preserve">C01205</t>
  </si>
  <si>
    <t xml:space="preserve">01043-089</t>
  </si>
  <si>
    <t xml:space="preserve">SP-000509</t>
  </si>
  <si>
    <t xml:space="preserve">Show </t>
  </si>
  <si>
    <t xml:space="preserve">SP-000581</t>
  </si>
  <si>
    <t xml:space="preserve">SHOW</t>
  </si>
  <si>
    <t xml:space="preserve">VIP</t>
  </si>
  <si>
    <t xml:space="preserve">R$ 1.070,00</t>
  </si>
  <si>
    <t xml:space="preserve">C00680</t>
  </si>
  <si>
    <t xml:space="preserve">01008-502</t>
  </si>
  <si>
    <t xml:space="preserve">SP-000609</t>
  </si>
  <si>
    <t xml:space="preserve">R$ 555,00</t>
  </si>
  <si>
    <t xml:space="preserve">C01321</t>
  </si>
  <si>
    <t xml:space="preserve">Goiania</t>
  </si>
  <si>
    <t xml:space="preserve">GO</t>
  </si>
  <si>
    <t xml:space="preserve">74176-427</t>
  </si>
  <si>
    <t xml:space="preserve">SP-000690</t>
  </si>
  <si>
    <t xml:space="preserve">09/06/2025</t>
  </si>
  <si>
    <t xml:space="preserve">C02096</t>
  </si>
  <si>
    <t xml:space="preserve">01079-436</t>
  </si>
  <si>
    <t xml:space="preserve">SP-000546</t>
  </si>
  <si>
    <t xml:space="preserve">R$ 625,00</t>
  </si>
  <si>
    <t xml:space="preserve">C01501</t>
  </si>
  <si>
    <t xml:space="preserve">01644-032</t>
  </si>
  <si>
    <t xml:space="preserve">SP-000580</t>
  </si>
  <si>
    <t xml:space="preserve">show</t>
  </si>
  <si>
    <t xml:space="preserve">R$ 615,00</t>
  </si>
  <si>
    <t xml:space="preserve">SP-000483</t>
  </si>
  <si>
    <t xml:space="preserve">10/06/2025</t>
  </si>
  <si>
    <t xml:space="preserve">R$ 545,00</t>
  </si>
  <si>
    <t xml:space="preserve">C01518</t>
  </si>
  <si>
    <t xml:space="preserve">01366-769</t>
  </si>
  <si>
    <t xml:space="preserve">SP-000499</t>
  </si>
  <si>
    <t xml:space="preserve">R$ 370,00</t>
  </si>
  <si>
    <t xml:space="preserve">C00783</t>
  </si>
  <si>
    <t xml:space="preserve">buenos aires</t>
  </si>
  <si>
    <t xml:space="preserve">EX</t>
  </si>
  <si>
    <t xml:space="preserve">Argentina</t>
  </si>
  <si>
    <t xml:space="preserve">SP-000605</t>
  </si>
  <si>
    <t xml:space="preserve">R$ 300,00</t>
  </si>
  <si>
    <t xml:space="preserve">SP-000562</t>
  </si>
  <si>
    <t xml:space="preserve">11/06/2025</t>
  </si>
  <si>
    <t xml:space="preserve">R$ 212,50</t>
  </si>
  <si>
    <t xml:space="preserve">C00966</t>
  </si>
  <si>
    <t xml:space="preserve">Recife</t>
  </si>
  <si>
    <t xml:space="preserve">PE</t>
  </si>
  <si>
    <t xml:space="preserve">50620-578</t>
  </si>
  <si>
    <t xml:space="preserve">SP-000592</t>
  </si>
  <si>
    <t xml:space="preserve">R$ 127,50</t>
  </si>
  <si>
    <t xml:space="preserve">C01246</t>
  </si>
  <si>
    <t xml:space="preserve">01485-158</t>
  </si>
  <si>
    <t xml:space="preserve">SP-000718</t>
  </si>
  <si>
    <t xml:space="preserve">14/06/2025</t>
  </si>
  <si>
    <t xml:space="preserve">SP-000477</t>
  </si>
  <si>
    <t xml:space="preserve">12/06/2025</t>
  </si>
  <si>
    <t xml:space="preserve">C01359</t>
  </si>
  <si>
    <t xml:space="preserve">Rio de Janeiro</t>
  </si>
  <si>
    <t xml:space="preserve">RJ</t>
  </si>
  <si>
    <t xml:space="preserve">20256-025</t>
  </si>
  <si>
    <t xml:space="preserve">SP-000530</t>
  </si>
  <si>
    <t xml:space="preserve">R$ 575,00</t>
  </si>
  <si>
    <t xml:space="preserve">C00752</t>
  </si>
  <si>
    <t xml:space="preserve">Campinas</t>
  </si>
  <si>
    <t xml:space="preserve">13176-056</t>
  </si>
  <si>
    <t xml:space="preserve">SP-000565</t>
  </si>
  <si>
    <t xml:space="preserve">R$ 285,00</t>
  </si>
  <si>
    <t xml:space="preserve">SP-000582</t>
  </si>
  <si>
    <t xml:space="preserve">C00148</t>
  </si>
  <si>
    <t xml:space="preserve">01432-779</t>
  </si>
  <si>
    <t xml:space="preserve">SP-000543</t>
  </si>
  <si>
    <t xml:space="preserve">13/06/2025</t>
  </si>
  <si>
    <t xml:space="preserve">R$ 600,00</t>
  </si>
  <si>
    <t xml:space="preserve">C02448</t>
  </si>
  <si>
    <t xml:space="preserve">01036-004</t>
  </si>
  <si>
    <t xml:space="preserve">SP-000574</t>
  </si>
  <si>
    <t xml:space="preserve">R$ 1.230,00</t>
  </si>
  <si>
    <t xml:space="preserve">C00325</t>
  </si>
  <si>
    <t xml:space="preserve">13947-560</t>
  </si>
  <si>
    <t xml:space="preserve">SP-000746</t>
  </si>
  <si>
    <t xml:space="preserve">SP-000484</t>
  </si>
  <si>
    <t xml:space="preserve">R$ 530,00</t>
  </si>
  <si>
    <t xml:space="preserve">SP-000497</t>
  </si>
  <si>
    <t xml:space="preserve">R$ 685,00</t>
  </si>
  <si>
    <t xml:space="preserve">SP-000542</t>
  </si>
  <si>
    <t xml:space="preserve">R$ 775,00</t>
  </si>
  <si>
    <t xml:space="preserve">C00301</t>
  </si>
  <si>
    <t xml:space="preserve">01351-825</t>
  </si>
  <si>
    <t xml:space="preserve">SP-000506</t>
  </si>
  <si>
    <t xml:space="preserve">15/06/2025</t>
  </si>
  <si>
    <t xml:space="preserve">R$ 192,50</t>
  </si>
  <si>
    <t xml:space="preserve">C01349</t>
  </si>
  <si>
    <t xml:space="preserve">brasília</t>
  </si>
  <si>
    <t xml:space="preserve">DF</t>
  </si>
  <si>
    <t xml:space="preserve">70099-002</t>
  </si>
  <si>
    <t xml:space="preserve">SP-000525</t>
  </si>
  <si>
    <t xml:space="preserve">R$ 290,00</t>
  </si>
  <si>
    <t xml:space="preserve">C00186</t>
  </si>
  <si>
    <t xml:space="preserve">01750-347</t>
  </si>
  <si>
    <t xml:space="preserve">SP-000505</t>
  </si>
  <si>
    <t xml:space="preserve">16/06/2025</t>
  </si>
  <si>
    <t xml:space="preserve">R$ 140,00</t>
  </si>
  <si>
    <t xml:space="preserve">SP-000515</t>
  </si>
  <si>
    <t xml:space="preserve">R$ 215,00</t>
  </si>
  <si>
    <t xml:space="preserve">C02383</t>
  </si>
  <si>
    <t xml:space="preserve">01375-800</t>
  </si>
  <si>
    <t xml:space="preserve">SP-000522</t>
  </si>
  <si>
    <t xml:space="preserve">R$ 200,00</t>
  </si>
  <si>
    <t xml:space="preserve">SP-000576</t>
  </si>
  <si>
    <t xml:space="preserve">R$ 1.020,00</t>
  </si>
  <si>
    <t xml:space="preserve">SP-000603</t>
  </si>
  <si>
    <t xml:space="preserve">R$ 235,00</t>
  </si>
  <si>
    <t xml:space="preserve">C01180</t>
  </si>
  <si>
    <t xml:space="preserve">Lisboa</t>
  </si>
  <si>
    <t xml:space="preserve">Portugal</t>
  </si>
  <si>
    <t xml:space="preserve">SP-000608</t>
  </si>
  <si>
    <t xml:space="preserve">SP-000469</t>
  </si>
  <si>
    <t xml:space="preserve">17/06/2025</t>
  </si>
  <si>
    <t xml:space="preserve">R$ 185,00</t>
  </si>
  <si>
    <t xml:space="preserve">C02286</t>
  </si>
  <si>
    <t xml:space="preserve">13177-735</t>
  </si>
  <si>
    <t xml:space="preserve">SP-000487</t>
  </si>
  <si>
    <t xml:space="preserve">R$ 410,00</t>
  </si>
  <si>
    <t xml:space="preserve">C01017</t>
  </si>
  <si>
    <t xml:space="preserve">01807-684</t>
  </si>
  <si>
    <t xml:space="preserve">SP-000500</t>
  </si>
  <si>
    <t xml:space="preserve">R$ 505,00</t>
  </si>
  <si>
    <t xml:space="preserve">C00733</t>
  </si>
  <si>
    <t xml:space="preserve">13093-295</t>
  </si>
  <si>
    <t xml:space="preserve">SP-000523</t>
  </si>
  <si>
    <t xml:space="preserve">R$ 755,00</t>
  </si>
  <si>
    <t xml:space="preserve">C00773</t>
  </si>
  <si>
    <t xml:space="preserve">01946-902</t>
  </si>
  <si>
    <t xml:space="preserve">SP-000540</t>
  </si>
  <si>
    <t xml:space="preserve">R$ 630,00</t>
  </si>
  <si>
    <t xml:space="preserve">C01076</t>
  </si>
  <si>
    <t xml:space="preserve">Florianópolis</t>
  </si>
  <si>
    <t xml:space="preserve">SC</t>
  </si>
  <si>
    <t xml:space="preserve">88425-903</t>
  </si>
  <si>
    <t xml:space="preserve">SP-000495</t>
  </si>
  <si>
    <t xml:space="preserve">18/06/2025</t>
  </si>
  <si>
    <t xml:space="preserve">SP-000534</t>
  </si>
  <si>
    <t xml:space="preserve">R$ 335,00</t>
  </si>
  <si>
    <t xml:space="preserve">C00056</t>
  </si>
  <si>
    <t xml:space="preserve">Vitória</t>
  </si>
  <si>
    <t xml:space="preserve">ES</t>
  </si>
  <si>
    <t xml:space="preserve">29796-431</t>
  </si>
  <si>
    <t xml:space="preserve">SP-000561</t>
  </si>
  <si>
    <t xml:space="preserve">SP-000584</t>
  </si>
  <si>
    <t xml:space="preserve">19/06/2025</t>
  </si>
  <si>
    <t xml:space="preserve">R$ 515,00</t>
  </si>
  <si>
    <t xml:space="preserve">C00534</t>
  </si>
  <si>
    <t xml:space="preserve">01046-364</t>
  </si>
  <si>
    <t xml:space="preserve">SP-000535</t>
  </si>
  <si>
    <t xml:space="preserve">20/06/2025</t>
  </si>
  <si>
    <t xml:space="preserve">R$ 445,00</t>
  </si>
  <si>
    <t xml:space="preserve">C02261</t>
  </si>
  <si>
    <t xml:space="preserve">01917-599</t>
  </si>
  <si>
    <t xml:space="preserve">SP-000692</t>
  </si>
  <si>
    <t xml:space="preserve">21/06/2025</t>
  </si>
  <si>
    <t xml:space="preserve">C01003</t>
  </si>
  <si>
    <t xml:space="preserve">Santos</t>
  </si>
  <si>
    <t xml:space="preserve">11605-401</t>
  </si>
  <si>
    <t xml:space="preserve">SP-000544</t>
  </si>
  <si>
    <t xml:space="preserve">R$ 550,00</t>
  </si>
  <si>
    <t xml:space="preserve">C00670</t>
  </si>
  <si>
    <t xml:space="preserve">01095-153</t>
  </si>
  <si>
    <t xml:space="preserve">SP-000553</t>
  </si>
  <si>
    <t xml:space="preserve">R$ 190,00</t>
  </si>
  <si>
    <t xml:space="preserve">C01237</t>
  </si>
  <si>
    <t xml:space="preserve">13203-650</t>
  </si>
  <si>
    <t xml:space="preserve">SP-000597</t>
  </si>
  <si>
    <t xml:space="preserve">C00609</t>
  </si>
  <si>
    <t xml:space="preserve">01879-837</t>
  </si>
  <si>
    <t xml:space="preserve">SP-000470</t>
  </si>
  <si>
    <t xml:space="preserve">22/06/2025</t>
  </si>
  <si>
    <t xml:space="preserve">R$ 205,00</t>
  </si>
  <si>
    <t xml:space="preserve">SP-000520</t>
  </si>
  <si>
    <t xml:space="preserve">R$ 900,00</t>
  </si>
  <si>
    <t xml:space="preserve">C01686</t>
  </si>
  <si>
    <t xml:space="preserve">01383-738</t>
  </si>
  <si>
    <t xml:space="preserve">SP-000558</t>
  </si>
  <si>
    <t xml:space="preserve">C02147</t>
  </si>
  <si>
    <t xml:space="preserve">01729-548</t>
  </si>
  <si>
    <t xml:space="preserve">SP-000563</t>
  </si>
  <si>
    <t xml:space="preserve">R$ 155,00</t>
  </si>
  <si>
    <t xml:space="preserve">C02239</t>
  </si>
  <si>
    <t xml:space="preserve">01342-253</t>
  </si>
  <si>
    <t xml:space="preserve">SP-000601</t>
  </si>
  <si>
    <t xml:space="preserve">R$ 350,00</t>
  </si>
  <si>
    <t xml:space="preserve">SP-000557</t>
  </si>
  <si>
    <t xml:space="preserve">23/06/2025</t>
  </si>
  <si>
    <t xml:space="preserve">R$ 1.060,00</t>
  </si>
  <si>
    <t xml:space="preserve">C01738</t>
  </si>
  <si>
    <t xml:space="preserve">11862-645</t>
  </si>
  <si>
    <t xml:space="preserve">SP-000529</t>
  </si>
  <si>
    <t xml:space="preserve">24/06/2025</t>
  </si>
  <si>
    <t xml:space="preserve">R$ 352,50</t>
  </si>
  <si>
    <t xml:space="preserve">C01422</t>
  </si>
  <si>
    <t xml:space="preserve">01173-973</t>
  </si>
  <si>
    <t xml:space="preserve">SP-000537</t>
  </si>
  <si>
    <t xml:space="preserve">R$ 240,00</t>
  </si>
  <si>
    <t xml:space="preserve">SP-000559</t>
  </si>
  <si>
    <t xml:space="preserve">R$ 195,00</t>
  </si>
  <si>
    <t xml:space="preserve">C00603</t>
  </si>
  <si>
    <t xml:space="preserve">Niterói</t>
  </si>
  <si>
    <t xml:space="preserve">24006-579</t>
  </si>
  <si>
    <t xml:space="preserve">SP-000564</t>
  </si>
  <si>
    <t xml:space="preserve">R$ 347,50</t>
  </si>
  <si>
    <t xml:space="preserve">C00664</t>
  </si>
  <si>
    <t xml:space="preserve">Brasília </t>
  </si>
  <si>
    <t xml:space="preserve">df</t>
  </si>
  <si>
    <t xml:space="preserve">70601-487</t>
  </si>
  <si>
    <t xml:space="preserve">SP-000729</t>
  </si>
  <si>
    <t xml:space="preserve">25/06/2025</t>
  </si>
  <si>
    <t xml:space="preserve">26/06/2025</t>
  </si>
  <si>
    <t xml:space="preserve">C00571</t>
  </si>
  <si>
    <t xml:space="preserve">01015-011</t>
  </si>
  <si>
    <t xml:space="preserve">SP-000480</t>
  </si>
  <si>
    <t xml:space="preserve">R$ 605,00</t>
  </si>
  <si>
    <t xml:space="preserve">SP-000503</t>
  </si>
  <si>
    <t xml:space="preserve">R$ 500,00</t>
  </si>
  <si>
    <t xml:space="preserve">SP-000519</t>
  </si>
  <si>
    <t xml:space="preserve">R$ 1.150,00</t>
  </si>
  <si>
    <t xml:space="preserve">C01712</t>
  </si>
  <si>
    <t xml:space="preserve">11975-718</t>
  </si>
  <si>
    <t xml:space="preserve">SP-000570</t>
  </si>
  <si>
    <t xml:space="preserve">C01548</t>
  </si>
  <si>
    <t xml:space="preserve">01025-364</t>
  </si>
  <si>
    <t xml:space="preserve">SP-000479</t>
  </si>
  <si>
    <t xml:space="preserve">27/06/2025</t>
  </si>
  <si>
    <t xml:space="preserve">R$ 715,00</t>
  </si>
  <si>
    <t xml:space="preserve">C01804</t>
  </si>
  <si>
    <t xml:space="preserve">FLORIANÓPOLIS</t>
  </si>
  <si>
    <t xml:space="preserve">88172-153</t>
  </si>
  <si>
    <t xml:space="preserve">SP-000770</t>
  </si>
  <si>
    <t xml:space="preserve">01/07/2025</t>
  </si>
  <si>
    <t xml:space="preserve">SP-000699</t>
  </si>
  <si>
    <t xml:space="preserve">02/07/2025</t>
  </si>
  <si>
    <t xml:space="preserve">C01748</t>
  </si>
  <si>
    <t xml:space="preserve">01017-291</t>
  </si>
  <si>
    <t xml:space="preserve">SP-000647</t>
  </si>
  <si>
    <t xml:space="preserve">03/07/2025</t>
  </si>
  <si>
    <t xml:space="preserve">05/07/2025</t>
  </si>
  <si>
    <t xml:space="preserve">C00279</t>
  </si>
  <si>
    <t xml:space="preserve">SP-000776</t>
  </si>
  <si>
    <t xml:space="preserve">C02264</t>
  </si>
  <si>
    <t xml:space="preserve">01612-155</t>
  </si>
  <si>
    <t xml:space="preserve">SP-000465</t>
  </si>
  <si>
    <t xml:space="preserve">04/07/2025</t>
  </si>
  <si>
    <t xml:space="preserve">R$ 1.040,00</t>
  </si>
  <si>
    <t xml:space="preserve">C00498</t>
  </si>
  <si>
    <t xml:space="preserve">Buenos Aires</t>
  </si>
  <si>
    <t xml:space="preserve">SP-000471</t>
  </si>
  <si>
    <t xml:space="preserve">R$ 540,00</t>
  </si>
  <si>
    <t xml:space="preserve">C00779</t>
  </si>
  <si>
    <t xml:space="preserve">01458-249</t>
  </si>
  <si>
    <t xml:space="preserve">SP-000466</t>
  </si>
  <si>
    <t xml:space="preserve">06/07/2025</t>
  </si>
  <si>
    <t xml:space="preserve">SP-000715</t>
  </si>
  <si>
    <t xml:space="preserve">09/07/2025</t>
  </si>
  <si>
    <t xml:space="preserve">C01197</t>
  </si>
  <si>
    <t xml:space="preserve">01066-971</t>
  </si>
  <si>
    <t xml:space="preserve">SP-000516</t>
  </si>
  <si>
    <t xml:space="preserve">07/07/2025</t>
  </si>
  <si>
    <t xml:space="preserve">R$ 595,00</t>
  </si>
  <si>
    <t xml:space="preserve">SP-000593</t>
  </si>
  <si>
    <t xml:space="preserve">R$ 250,00</t>
  </si>
  <si>
    <t xml:space="preserve">SP-000731</t>
  </si>
  <si>
    <t xml:space="preserve">08/07/2025</t>
  </si>
  <si>
    <t xml:space="preserve">10/07/2025</t>
  </si>
  <si>
    <t xml:space="preserve">C00856</t>
  </si>
  <si>
    <t xml:space="preserve">01342-785</t>
  </si>
  <si>
    <t xml:space="preserve">SP-000521</t>
  </si>
  <si>
    <t xml:space="preserve">12/07/2025</t>
  </si>
  <si>
    <t xml:space="preserve">R$ 690,00</t>
  </si>
  <si>
    <t xml:space="preserve">C01778</t>
  </si>
  <si>
    <t xml:space="preserve">Salvador</t>
  </si>
  <si>
    <t xml:space="preserve">ba</t>
  </si>
  <si>
    <t xml:space="preserve">40427-358</t>
  </si>
  <si>
    <t xml:space="preserve">SP-000573</t>
  </si>
  <si>
    <t xml:space="preserve">14/07/2025</t>
  </si>
  <si>
    <t xml:space="preserve">R$ 265,00</t>
  </si>
  <si>
    <t xml:space="preserve">C01992</t>
  </si>
  <si>
    <t xml:space="preserve">SP-000498</t>
  </si>
  <si>
    <t xml:space="preserve">15/07/2025</t>
  </si>
  <si>
    <t xml:space="preserve">C00840</t>
  </si>
  <si>
    <t xml:space="preserve">01516-422</t>
  </si>
  <si>
    <t xml:space="preserve">SP-000502</t>
  </si>
  <si>
    <t xml:space="preserve">17/07/2025</t>
  </si>
  <si>
    <t xml:space="preserve">SP-000058</t>
  </si>
  <si>
    <t xml:space="preserve">18/07/2025</t>
  </si>
  <si>
    <t xml:space="preserve">15/11/2025</t>
  </si>
  <si>
    <t xml:space="preserve">Festival Sonora SP 2025</t>
  </si>
  <si>
    <t xml:space="preserve">Fest.</t>
  </si>
  <si>
    <t xml:space="preserve">R$ 380,00</t>
  </si>
  <si>
    <t xml:space="preserve">C01153</t>
  </si>
  <si>
    <t xml:space="preserve">50024-126</t>
  </si>
  <si>
    <t xml:space="preserve">SP-000063</t>
  </si>
  <si>
    <t xml:space="preserve">Festivais</t>
  </si>
  <si>
    <t xml:space="preserve">R$ 885,00</t>
  </si>
  <si>
    <t xml:space="preserve">C00233</t>
  </si>
  <si>
    <t xml:space="preserve">01733-738</t>
  </si>
  <si>
    <t xml:space="preserve">SP-000130</t>
  </si>
  <si>
    <t xml:space="preserve">R$ 760,00</t>
  </si>
  <si>
    <t xml:space="preserve">C00331</t>
  </si>
  <si>
    <t xml:space="preserve">11747-152</t>
  </si>
  <si>
    <t xml:space="preserve">SP-000165</t>
  </si>
  <si>
    <t xml:space="preserve">Festival</t>
  </si>
  <si>
    <t xml:space="preserve">R$ 377,50</t>
  </si>
  <si>
    <t xml:space="preserve">SP-000205</t>
  </si>
  <si>
    <t xml:space="preserve">R$ 1.050,00</t>
  </si>
  <si>
    <t xml:space="preserve">SP-000217</t>
  </si>
  <si>
    <t xml:space="preserve">R$ 340,00</t>
  </si>
  <si>
    <t xml:space="preserve">C00579</t>
  </si>
  <si>
    <t xml:space="preserve">Porto Alegre</t>
  </si>
  <si>
    <t xml:space="preserve">RS</t>
  </si>
  <si>
    <t xml:space="preserve">90935-634</t>
  </si>
  <si>
    <t xml:space="preserve">SP-000476</t>
  </si>
  <si>
    <t xml:space="preserve">R$ 260,00</t>
  </si>
  <si>
    <t xml:space="preserve">C00709</t>
  </si>
  <si>
    <t xml:space="preserve">01873-618</t>
  </si>
  <si>
    <t xml:space="preserve">SP-000023</t>
  </si>
  <si>
    <t xml:space="preserve">19/07/2025</t>
  </si>
  <si>
    <t xml:space="preserve">R$ 417,50</t>
  </si>
  <si>
    <t xml:space="preserve">SP-000133</t>
  </si>
  <si>
    <t xml:space="preserve">R$ 855,00</t>
  </si>
  <si>
    <t xml:space="preserve">C02465</t>
  </si>
  <si>
    <t xml:space="preserve">01261-792</t>
  </si>
  <si>
    <t xml:space="preserve">SP-000146</t>
  </si>
  <si>
    <t xml:space="preserve">festival</t>
  </si>
  <si>
    <t xml:space="preserve">R$ 660,00</t>
  </si>
  <si>
    <t xml:space="preserve">C01163</t>
  </si>
  <si>
    <t xml:space="preserve">01089-020</t>
  </si>
  <si>
    <t xml:space="preserve">SP-000473</t>
  </si>
  <si>
    <t xml:space="preserve">R$ 337,50</t>
  </si>
  <si>
    <t xml:space="preserve">SP-000586</t>
  </si>
  <si>
    <t xml:space="preserve">SP-000691</t>
  </si>
  <si>
    <t xml:space="preserve">22/07/2025</t>
  </si>
  <si>
    <t xml:space="preserve">C02098</t>
  </si>
  <si>
    <t xml:space="preserve">01467-596</t>
  </si>
  <si>
    <t xml:space="preserve">SP-000002</t>
  </si>
  <si>
    <t xml:space="preserve">20/07/2025</t>
  </si>
  <si>
    <t xml:space="preserve">R$ 2.050,00</t>
  </si>
  <si>
    <t xml:space="preserve">C02079</t>
  </si>
  <si>
    <t xml:space="preserve">01817-395</t>
  </si>
  <si>
    <t xml:space="preserve">SP-000120</t>
  </si>
  <si>
    <t xml:space="preserve">C02104</t>
  </si>
  <si>
    <t xml:space="preserve">01190-220</t>
  </si>
  <si>
    <t xml:space="preserve">SP-000149</t>
  </si>
  <si>
    <t xml:space="preserve">R$ 1.115,00</t>
  </si>
  <si>
    <t xml:space="preserve">C00281</t>
  </si>
  <si>
    <t xml:space="preserve">11449-197</t>
  </si>
  <si>
    <t xml:space="preserve">SP-000207</t>
  </si>
  <si>
    <t xml:space="preserve">R$ 915,00</t>
  </si>
  <si>
    <t xml:space="preserve">SP-000526</t>
  </si>
  <si>
    <t xml:space="preserve">C00349</t>
  </si>
  <si>
    <t xml:space="preserve">ARGENTINA</t>
  </si>
  <si>
    <t xml:space="preserve">SP-000528</t>
  </si>
  <si>
    <t xml:space="preserve">C02209</t>
  </si>
  <si>
    <t xml:space="preserve">SP-000079</t>
  </si>
  <si>
    <t xml:space="preserve">21/07/2025</t>
  </si>
  <si>
    <t xml:space="preserve">R$ 2.220,00</t>
  </si>
  <si>
    <t xml:space="preserve">C00468</t>
  </si>
  <si>
    <t xml:space="preserve">01058-507</t>
  </si>
  <si>
    <t xml:space="preserve">SP-000108</t>
  </si>
  <si>
    <t xml:space="preserve">R$ 395,00</t>
  </si>
  <si>
    <t xml:space="preserve">C01646</t>
  </si>
  <si>
    <t xml:space="preserve">20141-943</t>
  </si>
  <si>
    <t xml:space="preserve">SP-000173</t>
  </si>
  <si>
    <t xml:space="preserve">R$ 895,00</t>
  </si>
  <si>
    <t xml:space="preserve">SP-000202</t>
  </si>
  <si>
    <t xml:space="preserve">SP-000513</t>
  </si>
  <si>
    <t xml:space="preserve">R$ 695,00</t>
  </si>
  <si>
    <t xml:space="preserve">C01236</t>
  </si>
  <si>
    <t xml:space="preserve">SALVADOR</t>
  </si>
  <si>
    <t xml:space="preserve">BA</t>
  </si>
  <si>
    <t xml:space="preserve">40067-327</t>
  </si>
  <si>
    <t xml:space="preserve">SP-000623</t>
  </si>
  <si>
    <t xml:space="preserve">C00147</t>
  </si>
  <si>
    <t xml:space="preserve">01998-599</t>
  </si>
  <si>
    <t xml:space="preserve">SP-000104</t>
  </si>
  <si>
    <t xml:space="preserve">R$ 860,00</t>
  </si>
  <si>
    <t xml:space="preserve">C00699</t>
  </si>
  <si>
    <t xml:space="preserve">01106-163</t>
  </si>
  <si>
    <t xml:space="preserve">SP-000524</t>
  </si>
  <si>
    <t xml:space="preserve">C01838</t>
  </si>
  <si>
    <t xml:space="preserve">Brasília</t>
  </si>
  <si>
    <t xml:space="preserve">70026-205</t>
  </si>
  <si>
    <t xml:space="preserve">SP-000538</t>
  </si>
  <si>
    <t xml:space="preserve">R$ 282,50</t>
  </si>
  <si>
    <t xml:space="preserve">C00296</t>
  </si>
  <si>
    <t xml:space="preserve">40235-843</t>
  </si>
  <si>
    <t xml:space="preserve">SP-000062</t>
  </si>
  <si>
    <t xml:space="preserve">23/07/2025</t>
  </si>
  <si>
    <t xml:space="preserve">R$ 387,50</t>
  </si>
  <si>
    <t xml:space="preserve">C00870</t>
  </si>
  <si>
    <t xml:space="preserve">01291-551</t>
  </si>
  <si>
    <t xml:space="preserve">SP-000074</t>
  </si>
  <si>
    <t xml:space="preserve">R$ 462,50</t>
  </si>
  <si>
    <t xml:space="preserve">C01756</t>
  </si>
  <si>
    <t xml:space="preserve">01720-823</t>
  </si>
  <si>
    <t xml:space="preserve">SP-000187</t>
  </si>
  <si>
    <t xml:space="preserve">C00434</t>
  </si>
  <si>
    <t xml:space="preserve">01637-423</t>
  </si>
  <si>
    <t xml:space="preserve">SP-000086</t>
  </si>
  <si>
    <t xml:space="preserve">24/07/2025</t>
  </si>
  <si>
    <t xml:space="preserve">SP-000088</t>
  </si>
  <si>
    <t xml:space="preserve">R$ 725,00</t>
  </si>
  <si>
    <t xml:space="preserve">SP-000112</t>
  </si>
  <si>
    <t xml:space="preserve">R$ 680,00</t>
  </si>
  <si>
    <t xml:space="preserve">SP-000166</t>
  </si>
  <si>
    <t xml:space="preserve">R$ 730,00</t>
  </si>
  <si>
    <t xml:space="preserve">SP-000111</t>
  </si>
  <si>
    <t xml:space="preserve">25/07/2025</t>
  </si>
  <si>
    <t xml:space="preserve">R$ 780,00</t>
  </si>
  <si>
    <t xml:space="preserve">C01316</t>
  </si>
  <si>
    <t xml:space="preserve">Belo Horizonte</t>
  </si>
  <si>
    <t xml:space="preserve">MG</t>
  </si>
  <si>
    <t xml:space="preserve">30143-744</t>
  </si>
  <si>
    <t xml:space="preserve">SP-000158</t>
  </si>
  <si>
    <t xml:space="preserve">R$ 745,00</t>
  </si>
  <si>
    <t xml:space="preserve">C00486</t>
  </si>
  <si>
    <t xml:space="preserve">01794-365</t>
  </si>
  <si>
    <t xml:space="preserve">SP-000193</t>
  </si>
  <si>
    <t xml:space="preserve">R$ 935,00</t>
  </si>
  <si>
    <t xml:space="preserve">C00809</t>
  </si>
  <si>
    <t xml:space="preserve">90188-224</t>
  </si>
  <si>
    <t xml:space="preserve">SP-000009</t>
  </si>
  <si>
    <t xml:space="preserve">26/07/2025</t>
  </si>
  <si>
    <t xml:space="preserve">R$ 1.860,00</t>
  </si>
  <si>
    <t xml:space="preserve">C00577</t>
  </si>
  <si>
    <t xml:space="preserve">11371-521</t>
  </si>
  <si>
    <t xml:space="preserve">SP-000024</t>
  </si>
  <si>
    <t xml:space="preserve">R$ 542,50</t>
  </si>
  <si>
    <t xml:space="preserve">SP-000118</t>
  </si>
  <si>
    <t xml:space="preserve">C02157</t>
  </si>
  <si>
    <t xml:space="preserve">SP-000137</t>
  </si>
  <si>
    <t xml:space="preserve">R$ 650,00</t>
  </si>
  <si>
    <t xml:space="preserve">C00790</t>
  </si>
  <si>
    <t xml:space="preserve">01192-185</t>
  </si>
  <si>
    <t xml:space="preserve">SP-000155</t>
  </si>
  <si>
    <t xml:space="preserve">FESTIVAL</t>
  </si>
  <si>
    <t xml:space="preserve">R$ 925,00</t>
  </si>
  <si>
    <t xml:space="preserve">C00837</t>
  </si>
  <si>
    <t xml:space="preserve">01473-154</t>
  </si>
  <si>
    <t xml:space="preserve">SP-000157</t>
  </si>
  <si>
    <t xml:space="preserve">R$ 415,00</t>
  </si>
  <si>
    <t xml:space="preserve">C02033</t>
  </si>
  <si>
    <t xml:space="preserve">chile</t>
  </si>
  <si>
    <t xml:space="preserve">SP-000164</t>
  </si>
  <si>
    <t xml:space="preserve">R$ 430,00</t>
  </si>
  <si>
    <t xml:space="preserve">SP-000210</t>
  </si>
  <si>
    <t xml:space="preserve">R$ 552,50</t>
  </si>
  <si>
    <t xml:space="preserve">C01596</t>
  </si>
  <si>
    <t xml:space="preserve">SP-000599</t>
  </si>
  <si>
    <t xml:space="preserve">C00883</t>
  </si>
  <si>
    <t xml:space="preserve">01941-863</t>
  </si>
  <si>
    <t xml:space="preserve">SP-000048</t>
  </si>
  <si>
    <t xml:space="preserve">27/07/2025</t>
  </si>
  <si>
    <t xml:space="preserve">SP-000060</t>
  </si>
  <si>
    <t xml:space="preserve">R$ 955,00</t>
  </si>
  <si>
    <t xml:space="preserve">C00256</t>
  </si>
  <si>
    <t xml:space="preserve">11726-693</t>
  </si>
  <si>
    <t xml:space="preserve">SP-000067</t>
  </si>
  <si>
    <t xml:space="preserve">R$ 385,00</t>
  </si>
  <si>
    <t xml:space="preserve">C02274</t>
  </si>
  <si>
    <t xml:space="preserve">Niteroi</t>
  </si>
  <si>
    <t xml:space="preserve">24652-651</t>
  </si>
  <si>
    <t xml:space="preserve">SP-000101</t>
  </si>
  <si>
    <t xml:space="preserve">R$ 740,00</t>
  </si>
  <si>
    <t xml:space="preserve">SP-000211</t>
  </si>
  <si>
    <t xml:space="preserve">R$ 452,50</t>
  </si>
  <si>
    <t xml:space="preserve">C00688</t>
  </si>
  <si>
    <t xml:space="preserve">11121-121</t>
  </si>
  <si>
    <t xml:space="preserve">SP-000227</t>
  </si>
  <si>
    <t xml:space="preserve">SP-000008</t>
  </si>
  <si>
    <t xml:space="preserve">28/07/2025</t>
  </si>
  <si>
    <t xml:space="preserve">C01049</t>
  </si>
  <si>
    <t xml:space="preserve">01125-271</t>
  </si>
  <si>
    <t xml:space="preserve">SP-000114</t>
  </si>
  <si>
    <t xml:space="preserve">SP-000161</t>
  </si>
  <si>
    <t xml:space="preserve">R$ 910,00</t>
  </si>
  <si>
    <t xml:space="preserve">C00236</t>
  </si>
  <si>
    <t xml:space="preserve">01184-210</t>
  </si>
  <si>
    <t xml:space="preserve">SP-000226</t>
  </si>
  <si>
    <t xml:space="preserve">R$ 460,00</t>
  </si>
  <si>
    <t xml:space="preserve">SP-000678</t>
  </si>
  <si>
    <t xml:space="preserve">SP-000010</t>
  </si>
  <si>
    <t xml:space="preserve">29/07/2025</t>
  </si>
  <si>
    <t xml:space="preserve">R$ 355,00</t>
  </si>
  <si>
    <t xml:space="preserve">C00717</t>
  </si>
  <si>
    <t xml:space="preserve">13811-527</t>
  </si>
  <si>
    <t xml:space="preserve">SP-000093</t>
  </si>
  <si>
    <t xml:space="preserve">R$ 1.000,00</t>
  </si>
  <si>
    <t xml:space="preserve">C01493</t>
  </si>
  <si>
    <t xml:space="preserve">01514-318</t>
  </si>
  <si>
    <t xml:space="preserve">SP-000134</t>
  </si>
  <si>
    <t xml:space="preserve">R$ 990,00</t>
  </si>
  <si>
    <t xml:space="preserve">C02061</t>
  </si>
  <si>
    <t xml:space="preserve">SANTOS</t>
  </si>
  <si>
    <t xml:space="preserve">11156-078</t>
  </si>
  <si>
    <t xml:space="preserve">SP-000171</t>
  </si>
  <si>
    <t xml:space="preserve">SP-000172</t>
  </si>
  <si>
    <t xml:space="preserve">R$ 1.340,00</t>
  </si>
  <si>
    <t xml:space="preserve">C00478</t>
  </si>
  <si>
    <t xml:space="preserve">CAMPINAS</t>
  </si>
  <si>
    <t xml:space="preserve">13948-308</t>
  </si>
  <si>
    <t xml:space="preserve">SP-000496</t>
  </si>
  <si>
    <t xml:space="preserve">R$ 1.290,00</t>
  </si>
  <si>
    <t xml:space="preserve">SP-000096</t>
  </si>
  <si>
    <t xml:space="preserve">30/07/2025</t>
  </si>
  <si>
    <t xml:space="preserve">R$ 1.095,00</t>
  </si>
  <si>
    <t xml:space="preserve">C01249</t>
  </si>
  <si>
    <t xml:space="preserve">90699-907</t>
  </si>
  <si>
    <t xml:space="preserve">SP-000128</t>
  </si>
  <si>
    <t xml:space="preserve">R$ 1.100,00</t>
  </si>
  <si>
    <t xml:space="preserve">C02284</t>
  </si>
  <si>
    <t xml:space="preserve">Curitiba</t>
  </si>
  <si>
    <t xml:space="preserve">PR</t>
  </si>
  <si>
    <t xml:space="preserve">80270-916</t>
  </si>
  <si>
    <t xml:space="preserve">SP-000194</t>
  </si>
  <si>
    <t xml:space="preserve">R$ 665,00</t>
  </si>
  <si>
    <t xml:space="preserve">C01505</t>
  </si>
  <si>
    <t xml:space="preserve">NITERÓI</t>
  </si>
  <si>
    <t xml:space="preserve">24577-264</t>
  </si>
  <si>
    <t xml:space="preserve">SP-000073</t>
  </si>
  <si>
    <t xml:space="preserve">31/07/2025</t>
  </si>
  <si>
    <t xml:space="preserve">C00875</t>
  </si>
  <si>
    <t xml:space="preserve">01795-267</t>
  </si>
  <si>
    <t xml:space="preserve">SP-000115</t>
  </si>
  <si>
    <t xml:space="preserve">R$ 455,00</t>
  </si>
  <si>
    <t xml:space="preserve">C00842</t>
  </si>
  <si>
    <t xml:space="preserve">24584-858</t>
  </si>
  <si>
    <t xml:space="preserve">SP-000142</t>
  </si>
  <si>
    <t xml:space="preserve">C02338</t>
  </si>
  <si>
    <t xml:space="preserve">01114-013</t>
  </si>
  <si>
    <t xml:space="preserve">SP-000481</t>
  </si>
  <si>
    <t xml:space="preserve">R$ 465,00</t>
  </si>
  <si>
    <t xml:space="preserve">SP-000131</t>
  </si>
  <si>
    <t xml:space="preserve">01/08/2025</t>
  </si>
  <si>
    <t xml:space="preserve">R$ 2.090,00</t>
  </si>
  <si>
    <t xml:space="preserve">C01934</t>
  </si>
  <si>
    <t xml:space="preserve">Miami</t>
  </si>
  <si>
    <t xml:space="preserve">EUA</t>
  </si>
  <si>
    <t xml:space="preserve">SP-000139</t>
  </si>
  <si>
    <t xml:space="preserve">R$ 565,00</t>
  </si>
  <si>
    <t xml:space="preserve">C02089</t>
  </si>
  <si>
    <t xml:space="preserve">Campinas </t>
  </si>
  <si>
    <t xml:space="preserve">13856-850</t>
  </si>
  <si>
    <t xml:space="preserve">SP-000204</t>
  </si>
  <si>
    <t xml:space="preserve">R$ 655,00</t>
  </si>
  <si>
    <t xml:space="preserve">C00214</t>
  </si>
  <si>
    <t xml:space="preserve">Goiânia </t>
  </si>
  <si>
    <t xml:space="preserve">go</t>
  </si>
  <si>
    <t xml:space="preserve">74102-309</t>
  </si>
  <si>
    <t xml:space="preserve">SP-000225</t>
  </si>
  <si>
    <t xml:space="preserve">R$ 1.105,00</t>
  </si>
  <si>
    <t xml:space="preserve">C02429</t>
  </si>
  <si>
    <t xml:space="preserve">13727-429</t>
  </si>
  <si>
    <t xml:space="preserve">SP-000461</t>
  </si>
  <si>
    <t xml:space="preserve">C00884</t>
  </si>
  <si>
    <t xml:space="preserve">Vitória </t>
  </si>
  <si>
    <t xml:space="preserve">29396-831</t>
  </si>
  <si>
    <t xml:space="preserve">SP-000021</t>
  </si>
  <si>
    <t xml:space="preserve">02/08/2025</t>
  </si>
  <si>
    <t xml:space="preserve">R$ 790,00</t>
  </si>
  <si>
    <t xml:space="preserve">SP-000046</t>
  </si>
  <si>
    <t xml:space="preserve">R$ 1.400,00</t>
  </si>
  <si>
    <t xml:space="preserve">C00150</t>
  </si>
  <si>
    <t xml:space="preserve">SP-000091</t>
  </si>
  <si>
    <t xml:space="preserve">R$ 1.350,00</t>
  </si>
  <si>
    <t xml:space="preserve">C00429</t>
  </si>
  <si>
    <t xml:space="preserve">01962-721</t>
  </si>
  <si>
    <t xml:space="preserve">SP-000178</t>
  </si>
  <si>
    <t xml:space="preserve">R$ 1.470,00</t>
  </si>
  <si>
    <t xml:space="preserve">C00834</t>
  </si>
  <si>
    <t xml:space="preserve">11992-454</t>
  </si>
  <si>
    <t xml:space="preserve">SP-000038</t>
  </si>
  <si>
    <t xml:space="preserve">04/08/2025</t>
  </si>
  <si>
    <t xml:space="preserve">C02028</t>
  </si>
  <si>
    <t xml:space="preserve">Lisboa </t>
  </si>
  <si>
    <t xml:space="preserve">PORTUGAL</t>
  </si>
  <si>
    <t xml:space="preserve">SP-000050</t>
  </si>
  <si>
    <t xml:space="preserve">R$ 420,00</t>
  </si>
  <si>
    <t xml:space="preserve">C00028</t>
  </si>
  <si>
    <t xml:space="preserve">13008-381</t>
  </si>
  <si>
    <t xml:space="preserve">SP-000219</t>
  </si>
  <si>
    <t xml:space="preserve">R$ 995,00</t>
  </si>
  <si>
    <t xml:space="preserve">C02137</t>
  </si>
  <si>
    <t xml:space="preserve">Buenos Aires </t>
  </si>
  <si>
    <t xml:space="preserve">SP-000018</t>
  </si>
  <si>
    <t xml:space="preserve">06/08/2025</t>
  </si>
  <si>
    <t xml:space="preserve">R$ 980,00</t>
  </si>
  <si>
    <t xml:space="preserve">SP-000022</t>
  </si>
  <si>
    <t xml:space="preserve">R$ 945,00</t>
  </si>
  <si>
    <t xml:space="preserve">C00982</t>
  </si>
  <si>
    <t xml:space="preserve">13855-740</t>
  </si>
  <si>
    <t xml:space="preserve">SP-000045</t>
  </si>
  <si>
    <t xml:space="preserve">C02316</t>
  </si>
  <si>
    <t xml:space="preserve">01984-077</t>
  </si>
  <si>
    <t xml:space="preserve">SP-000051</t>
  </si>
  <si>
    <t xml:space="preserve">R$ 407,50</t>
  </si>
  <si>
    <t xml:space="preserve">C01364</t>
  </si>
  <si>
    <t xml:space="preserve">13398-556</t>
  </si>
  <si>
    <t xml:space="preserve">SP-000059</t>
  </si>
  <si>
    <t xml:space="preserve">R$ 520,00</t>
  </si>
  <si>
    <t xml:space="preserve">SP-000068</t>
  </si>
  <si>
    <t xml:space="preserve">SP-000109</t>
  </si>
  <si>
    <t xml:space="preserve">R$ 2.040,00</t>
  </si>
  <si>
    <t xml:space="preserve">C00743</t>
  </si>
  <si>
    <t xml:space="preserve">01141-280</t>
  </si>
  <si>
    <t xml:space="preserve">SP-000141</t>
  </si>
  <si>
    <t xml:space="preserve">C00706</t>
  </si>
  <si>
    <t xml:space="preserve">80548-296</t>
  </si>
  <si>
    <t xml:space="preserve">SP-000575</t>
  </si>
  <si>
    <t xml:space="preserve">R$ 1.170,00</t>
  </si>
  <si>
    <t xml:space="preserve">C01519</t>
  </si>
  <si>
    <t xml:space="preserve">40220-931</t>
  </si>
  <si>
    <t xml:space="preserve">SP-000053</t>
  </si>
  <si>
    <t xml:space="preserve">07/08/2025</t>
  </si>
  <si>
    <t xml:space="preserve">R$ 412,50</t>
  </si>
  <si>
    <t xml:space="preserve">C00245</t>
  </si>
  <si>
    <t xml:space="preserve">13805-888</t>
  </si>
  <si>
    <t xml:space="preserve">SP-000116</t>
  </si>
  <si>
    <t xml:space="preserve">R$ 472,50</t>
  </si>
  <si>
    <t xml:space="preserve">SP-000121</t>
  </si>
  <si>
    <t xml:space="preserve">C00485</t>
  </si>
  <si>
    <t xml:space="preserve">01728-937</t>
  </si>
  <si>
    <t xml:space="preserve">SP-000129</t>
  </si>
  <si>
    <t xml:space="preserve">SP-000135</t>
  </si>
  <si>
    <t xml:space="preserve">R$ 435,00</t>
  </si>
  <si>
    <t xml:space="preserve">C01013</t>
  </si>
  <si>
    <t xml:space="preserve">01133-312</t>
  </si>
  <si>
    <t xml:space="preserve">SP-000220</t>
  </si>
  <si>
    <t xml:space="preserve">R$ 975,00</t>
  </si>
  <si>
    <t xml:space="preserve">SP-000229</t>
  </si>
  <si>
    <t xml:space="preserve">C02317</t>
  </si>
  <si>
    <t xml:space="preserve">11998-042</t>
  </si>
  <si>
    <t xml:space="preserve">SP-000201</t>
  </si>
  <si>
    <t xml:space="preserve">09/08/2025</t>
  </si>
  <si>
    <t xml:space="preserve">R$ 985,00</t>
  </si>
  <si>
    <t xml:space="preserve">C00450</t>
  </si>
  <si>
    <t xml:space="preserve">29361-920</t>
  </si>
  <si>
    <t xml:space="preserve">SP-000681</t>
  </si>
  <si>
    <t xml:space="preserve">12/08/2025</t>
  </si>
  <si>
    <t xml:space="preserve">SP-000475</t>
  </si>
  <si>
    <t xml:space="preserve">10/08/2025</t>
  </si>
  <si>
    <t xml:space="preserve">SP-000588</t>
  </si>
  <si>
    <t xml:space="preserve">R$ 305,00</t>
  </si>
  <si>
    <t xml:space="preserve">C01824</t>
  </si>
  <si>
    <t xml:space="preserve">11309-213</t>
  </si>
  <si>
    <t xml:space="preserve">SP-000143</t>
  </si>
  <si>
    <t xml:space="preserve">11/08/2025</t>
  </si>
  <si>
    <t xml:space="preserve">R$ 497,50</t>
  </si>
  <si>
    <t xml:space="preserve">C02302</t>
  </si>
  <si>
    <t xml:space="preserve">13135-332</t>
  </si>
  <si>
    <t xml:space="preserve">SP-000156</t>
  </si>
  <si>
    <t xml:space="preserve">R$ 547,50</t>
  </si>
  <si>
    <t xml:space="preserve">SP-000163</t>
  </si>
  <si>
    <t xml:space="preserve">C01849</t>
  </si>
  <si>
    <t xml:space="preserve">90664-566</t>
  </si>
  <si>
    <t xml:space="preserve">SP-000198</t>
  </si>
  <si>
    <t xml:space="preserve">R$ 970,00</t>
  </si>
  <si>
    <t xml:space="preserve">C00858</t>
  </si>
  <si>
    <t xml:space="preserve">01601-902</t>
  </si>
  <si>
    <t xml:space="preserve">SP-000567</t>
  </si>
  <si>
    <t xml:space="preserve">R$ 390,00</t>
  </si>
  <si>
    <t xml:space="preserve">C01035</t>
  </si>
  <si>
    <t xml:space="preserve">Contagem</t>
  </si>
  <si>
    <t xml:space="preserve">32732-376</t>
  </si>
  <si>
    <t xml:space="preserve">SP-000110</t>
  </si>
  <si>
    <t xml:space="preserve">13/08/2025</t>
  </si>
  <si>
    <t xml:space="preserve">R$ 570,00</t>
  </si>
  <si>
    <t xml:space="preserve">C02438</t>
  </si>
  <si>
    <t xml:space="preserve">Goiânia</t>
  </si>
  <si>
    <t xml:space="preserve">74528-941</t>
  </si>
  <si>
    <t xml:space="preserve">SP-000600</t>
  </si>
  <si>
    <t xml:space="preserve">C01988</t>
  </si>
  <si>
    <t xml:space="preserve">11942-109</t>
  </si>
  <si>
    <t xml:space="preserve">SP-000607</t>
  </si>
  <si>
    <t xml:space="preserve">R$ 475,00</t>
  </si>
  <si>
    <t xml:space="preserve">C00395</t>
  </si>
  <si>
    <t xml:space="preserve">Brasilia</t>
  </si>
  <si>
    <t xml:space="preserve">70150-421</t>
  </si>
  <si>
    <t xml:space="preserve">SP-000700</t>
  </si>
  <si>
    <t xml:space="preserve">16/08/2025</t>
  </si>
  <si>
    <t xml:space="preserve">SP-000126</t>
  </si>
  <si>
    <t xml:space="preserve">14/08/2025</t>
  </si>
  <si>
    <t xml:space="preserve">R$ 890,00</t>
  </si>
  <si>
    <t xml:space="preserve">SP-000147</t>
  </si>
  <si>
    <t xml:space="preserve">15/08/2025</t>
  </si>
  <si>
    <t xml:space="preserve">R$ 1.055,00</t>
  </si>
  <si>
    <t xml:space="preserve">C00169</t>
  </si>
  <si>
    <t xml:space="preserve">SP-000167</t>
  </si>
  <si>
    <t xml:space="preserve">R$ 365,00</t>
  </si>
  <si>
    <t xml:space="preserve">SP-000087</t>
  </si>
  <si>
    <t xml:space="preserve">C00873</t>
  </si>
  <si>
    <t xml:space="preserve">01366-698</t>
  </si>
  <si>
    <t xml:space="preserve">SP-000176</t>
  </si>
  <si>
    <t xml:space="preserve">R$ 2.160,00</t>
  </si>
  <si>
    <t xml:space="preserve">C00017</t>
  </si>
  <si>
    <t xml:space="preserve">01894-168</t>
  </si>
  <si>
    <t xml:space="preserve">SP-000151</t>
  </si>
  <si>
    <t xml:space="preserve">17/08/2025</t>
  </si>
  <si>
    <t xml:space="preserve">R$ 432,50</t>
  </si>
  <si>
    <t xml:space="preserve">C00829</t>
  </si>
  <si>
    <t xml:space="preserve">SP-000527</t>
  </si>
  <si>
    <t xml:space="preserve">R$ 425,00</t>
  </si>
  <si>
    <t xml:space="preserve">SP-000571</t>
  </si>
  <si>
    <t xml:space="preserve">C01916</t>
  </si>
  <si>
    <t xml:space="preserve">01686-029</t>
  </si>
  <si>
    <t xml:space="preserve">SP-000742</t>
  </si>
  <si>
    <t xml:space="preserve">SP-000037</t>
  </si>
  <si>
    <t xml:space="preserve">18/08/2025</t>
  </si>
  <si>
    <t xml:space="preserve">R$ 795,00</t>
  </si>
  <si>
    <t xml:space="preserve">C00419</t>
  </si>
  <si>
    <t xml:space="preserve">30733-682</t>
  </si>
  <si>
    <t xml:space="preserve">SP-000585</t>
  </si>
  <si>
    <t xml:space="preserve">R$ 245,00</t>
  </si>
  <si>
    <t xml:space="preserve">SP-000721</t>
  </si>
  <si>
    <t xml:space="preserve">19/08/2025</t>
  </si>
  <si>
    <t xml:space="preserve">SP-000075</t>
  </si>
  <si>
    <t xml:space="preserve">R$ 470,00</t>
  </si>
  <si>
    <t xml:space="preserve">C00553</t>
  </si>
  <si>
    <t xml:space="preserve">01272-153</t>
  </si>
  <si>
    <t xml:space="preserve">SP-000177</t>
  </si>
  <si>
    <t xml:space="preserve">C00356</t>
  </si>
  <si>
    <t xml:space="preserve">13874-008</t>
  </si>
  <si>
    <t xml:space="preserve">SP-000547</t>
  </si>
  <si>
    <t xml:space="preserve">20/08/2025</t>
  </si>
  <si>
    <t xml:space="preserve">R$ 1.320,00</t>
  </si>
  <si>
    <t xml:space="preserve">SP-000551</t>
  </si>
  <si>
    <t xml:space="preserve">R$ 1.440,00</t>
  </si>
  <si>
    <t xml:space="preserve">SP-000596</t>
  </si>
  <si>
    <t xml:space="preserve">C02347</t>
  </si>
  <si>
    <t xml:space="preserve">01582-757</t>
  </si>
  <si>
    <t xml:space="preserve">SP-000510</t>
  </si>
  <si>
    <t xml:space="preserve">21/08/2025</t>
  </si>
  <si>
    <t xml:space="preserve">C01418</t>
  </si>
  <si>
    <t xml:space="preserve">01298-683</t>
  </si>
  <si>
    <t xml:space="preserve">SP-000028</t>
  </si>
  <si>
    <t xml:space="preserve">22/08/2025</t>
  </si>
  <si>
    <t xml:space="preserve">SP-000039</t>
  </si>
  <si>
    <t xml:space="preserve">C01796</t>
  </si>
  <si>
    <t xml:space="preserve">pr</t>
  </si>
  <si>
    <t xml:space="preserve">80902-554</t>
  </si>
  <si>
    <t xml:space="preserve">SP-000755</t>
  </si>
  <si>
    <t xml:space="preserve">25/08/2025</t>
  </si>
  <si>
    <t xml:space="preserve">SP-000181</t>
  </si>
  <si>
    <t xml:space="preserve">24/08/2025</t>
  </si>
  <si>
    <t xml:space="preserve">R$ 800,00</t>
  </si>
  <si>
    <t xml:space="preserve">C02064</t>
  </si>
  <si>
    <t xml:space="preserve">11107-675</t>
  </si>
  <si>
    <t xml:space="preserve">SP-000492</t>
  </si>
  <si>
    <t xml:space="preserve">R$ 310,00</t>
  </si>
  <si>
    <t xml:space="preserve">SP-000208</t>
  </si>
  <si>
    <t xml:space="preserve">26/08/2025</t>
  </si>
  <si>
    <t xml:space="preserve">C02127</t>
  </si>
  <si>
    <t xml:space="preserve">01303-624</t>
  </si>
  <si>
    <t xml:space="preserve">SP-000556</t>
  </si>
  <si>
    <t xml:space="preserve">R$ 485,00</t>
  </si>
  <si>
    <t xml:space="preserve">SP-000041</t>
  </si>
  <si>
    <t xml:space="preserve">27/08/2025</t>
  </si>
  <si>
    <t xml:space="preserve">C00392</t>
  </si>
  <si>
    <t xml:space="preserve">50118-650</t>
  </si>
  <si>
    <t xml:space="preserve">SP-000689</t>
  </si>
  <si>
    <t xml:space="preserve">29/08/2025</t>
  </si>
  <si>
    <t xml:space="preserve">SP-000195</t>
  </si>
  <si>
    <t xml:space="preserve">28/08/2025</t>
  </si>
  <si>
    <t xml:space="preserve">R$ 362,50</t>
  </si>
  <si>
    <t xml:space="preserve">C01343</t>
  </si>
  <si>
    <t xml:space="preserve">13516-539</t>
  </si>
  <si>
    <t xml:space="preserve">SP-000203</t>
  </si>
  <si>
    <t xml:space="preserve">R$ 1.770,00</t>
  </si>
  <si>
    <t xml:space="preserve">SP-000213</t>
  </si>
  <si>
    <t xml:space="preserve">R$ 1.990,00</t>
  </si>
  <si>
    <t xml:space="preserve">C00647</t>
  </si>
  <si>
    <t xml:space="preserve">SP-000566</t>
  </si>
  <si>
    <t xml:space="preserve">R$ 320,00</t>
  </si>
  <si>
    <t xml:space="preserve">C01969</t>
  </si>
  <si>
    <t xml:space="preserve">LISBOA</t>
  </si>
  <si>
    <t xml:space="preserve">SP-000536</t>
  </si>
  <si>
    <t xml:space="preserve">30/08/2025</t>
  </si>
  <si>
    <t xml:space="preserve">C01523</t>
  </si>
  <si>
    <t xml:space="preserve">40295-960</t>
  </si>
  <si>
    <t xml:space="preserve">SP-000485</t>
  </si>
  <si>
    <t xml:space="preserve">31/08/2025</t>
  </si>
  <si>
    <t xml:space="preserve">R$ 705,00</t>
  </si>
  <si>
    <t xml:space="preserve">SP-000011</t>
  </si>
  <si>
    <t xml:space="preserve">01/09/2025</t>
  </si>
  <si>
    <t xml:space="preserve">SP-000019</t>
  </si>
  <si>
    <t xml:space="preserve">R$ 1.135,00</t>
  </si>
  <si>
    <t xml:space="preserve">C01580</t>
  </si>
  <si>
    <t xml:space="preserve">74026-503</t>
  </si>
  <si>
    <t xml:space="preserve">SP-000035</t>
  </si>
  <si>
    <t xml:space="preserve">SP-000199</t>
  </si>
  <si>
    <t xml:space="preserve">02/09/2025</t>
  </si>
  <si>
    <t xml:space="preserve">R$ 785,00</t>
  </si>
  <si>
    <t xml:space="preserve">C01869</t>
  </si>
  <si>
    <t xml:space="preserve">90800-774</t>
  </si>
  <si>
    <t xml:space="preserve">SP-000738</t>
  </si>
  <si>
    <t xml:space="preserve">04/09/2025</t>
  </si>
  <si>
    <t xml:space="preserve">SP-000604</t>
  </si>
  <si>
    <t xml:space="preserve">03/09/2025</t>
  </si>
  <si>
    <t xml:space="preserve">C00734</t>
  </si>
  <si>
    <t xml:space="preserve">01153-999</t>
  </si>
  <si>
    <t xml:space="preserve">SP-000618</t>
  </si>
  <si>
    <t xml:space="preserve">05/09/2025</t>
  </si>
  <si>
    <t xml:space="preserve">C00391</t>
  </si>
  <si>
    <t xml:space="preserve">01524-150</t>
  </si>
  <si>
    <t xml:space="preserve">SP-000072</t>
  </si>
  <si>
    <t xml:space="preserve">C00964</t>
  </si>
  <si>
    <t xml:space="preserve">01629-498</t>
  </si>
  <si>
    <t xml:space="preserve">SP-000703</t>
  </si>
  <si>
    <t xml:space="preserve">06/09/2025</t>
  </si>
  <si>
    <t xml:space="preserve">C00685</t>
  </si>
  <si>
    <t xml:space="preserve">01468-830</t>
  </si>
  <si>
    <t xml:space="preserve">SP-000190</t>
  </si>
  <si>
    <t xml:space="preserve">R$ 1.085,00</t>
  </si>
  <si>
    <t xml:space="preserve">SP-000218</t>
  </si>
  <si>
    <t xml:space="preserve">R$ 1.015,00</t>
  </si>
  <si>
    <t xml:space="preserve">C01764</t>
  </si>
  <si>
    <t xml:space="preserve">SP-000168</t>
  </si>
  <si>
    <t xml:space="preserve">07/09/2025</t>
  </si>
  <si>
    <t xml:space="preserve">C00927</t>
  </si>
  <si>
    <t xml:space="preserve">13134-059</t>
  </si>
  <si>
    <t xml:space="preserve">SP-000180</t>
  </si>
  <si>
    <t xml:space="preserve">09/09/2025</t>
  </si>
  <si>
    <t xml:space="preserve">SP-000191</t>
  </si>
  <si>
    <t xml:space="preserve">R$ 1.740,00</t>
  </si>
  <si>
    <t xml:space="preserve">C02088</t>
  </si>
  <si>
    <t xml:space="preserve">SP-000555</t>
  </si>
  <si>
    <t xml:space="preserve">C01985</t>
  </si>
  <si>
    <t xml:space="preserve">11486-638</t>
  </si>
  <si>
    <t xml:space="preserve">SP-000489</t>
  </si>
  <si>
    <t xml:space="preserve">10/09/2025</t>
  </si>
  <si>
    <t xml:space="preserve">SP-000463</t>
  </si>
  <si>
    <t xml:space="preserve">12/09/2025</t>
  </si>
  <si>
    <t xml:space="preserve">C01965</t>
  </si>
  <si>
    <t xml:space="preserve">01996-015</t>
  </si>
  <si>
    <t xml:space="preserve">SP-000736</t>
  </si>
  <si>
    <t xml:space="preserve">13/09/2025</t>
  </si>
  <si>
    <t xml:space="preserve">SP-000744</t>
  </si>
  <si>
    <t xml:space="preserve">16/09/2025</t>
  </si>
  <si>
    <t xml:space="preserve">SP-000025</t>
  </si>
  <si>
    <t xml:space="preserve">15/09/2025</t>
  </si>
  <si>
    <t xml:space="preserve">R$ 1.045,00</t>
  </si>
  <si>
    <t xml:space="preserve">C01879</t>
  </si>
  <si>
    <t xml:space="preserve">01042-121</t>
  </si>
  <si>
    <t xml:space="preserve">SP-000468</t>
  </si>
  <si>
    <t xml:space="preserve">R$ 255,00</t>
  </si>
  <si>
    <t xml:space="preserve">C00171</t>
  </si>
  <si>
    <t xml:space="preserve">rio de janeiro</t>
  </si>
  <si>
    <t xml:space="preserve">20245-940</t>
  </si>
  <si>
    <t xml:space="preserve">SP-000228</t>
  </si>
  <si>
    <t xml:space="preserve">C01039</t>
  </si>
  <si>
    <t xml:space="preserve">01235-885</t>
  </si>
  <si>
    <t xml:space="preserve">SP-000464</t>
  </si>
  <si>
    <t xml:space="preserve">C00586</t>
  </si>
  <si>
    <t xml:space="preserve">40664-171</t>
  </si>
  <si>
    <t xml:space="preserve">SP-000733</t>
  </si>
  <si>
    <t xml:space="preserve">17/09/2025</t>
  </si>
  <si>
    <t xml:space="preserve">SP-000098</t>
  </si>
  <si>
    <t xml:space="preserve">R$ 2.110,00</t>
  </si>
  <si>
    <t xml:space="preserve">C01759</t>
  </si>
  <si>
    <t xml:space="preserve">11133-952</t>
  </si>
  <si>
    <t xml:space="preserve">SP-000590</t>
  </si>
  <si>
    <t xml:space="preserve">R$ 232,50</t>
  </si>
  <si>
    <t xml:space="preserve">SP-000760</t>
  </si>
  <si>
    <t xml:space="preserve">SP-000150</t>
  </si>
  <si>
    <t xml:space="preserve">19/09/2025</t>
  </si>
  <si>
    <t xml:space="preserve">C02219</t>
  </si>
  <si>
    <t xml:space="preserve">13946-791</t>
  </si>
  <si>
    <t xml:space="preserve">SP-000578</t>
  </si>
  <si>
    <t xml:space="preserve">SP-000036</t>
  </si>
  <si>
    <t xml:space="preserve">20/09/2025</t>
  </si>
  <si>
    <t xml:space="preserve">R$ 820,00</t>
  </si>
  <si>
    <t xml:space="preserve">C01920</t>
  </si>
  <si>
    <t xml:space="preserve">13593-691</t>
  </si>
  <si>
    <t xml:space="preserve">SP-000145</t>
  </si>
  <si>
    <t xml:space="preserve">C01016</t>
  </si>
  <si>
    <t xml:space="preserve">SP-000751</t>
  </si>
  <si>
    <t xml:space="preserve">C00502</t>
  </si>
  <si>
    <t xml:space="preserve">01451-846</t>
  </si>
  <si>
    <t xml:space="preserve">SP-000055</t>
  </si>
  <si>
    <t xml:space="preserve">21/09/2025</t>
  </si>
  <si>
    <t xml:space="preserve">SP-000482</t>
  </si>
  <si>
    <t xml:space="preserve">22/09/2025</t>
  </si>
  <si>
    <t xml:space="preserve">SP-000230</t>
  </si>
  <si>
    <t xml:space="preserve">23/09/2025</t>
  </si>
  <si>
    <t xml:space="preserve">C01754</t>
  </si>
  <si>
    <t xml:space="preserve">Porto Alegre </t>
  </si>
  <si>
    <t xml:space="preserve">90416-507</t>
  </si>
  <si>
    <t xml:space="preserve">SP-000081</t>
  </si>
  <si>
    <t xml:space="preserve">24/09/2025</t>
  </si>
  <si>
    <t xml:space="preserve">C02218</t>
  </si>
  <si>
    <t xml:space="preserve">13818-581</t>
  </si>
  <si>
    <t xml:space="preserve">SP-000185</t>
  </si>
  <si>
    <t xml:space="preserve">C00721</t>
  </si>
  <si>
    <t xml:space="preserve">SP-000518</t>
  </si>
  <si>
    <t xml:space="preserve">R$ 117,50</t>
  </si>
  <si>
    <t xml:space="preserve">SP-000486</t>
  </si>
  <si>
    <t xml:space="preserve">25/09/2025</t>
  </si>
  <si>
    <t xml:space="preserve">SP-000020</t>
  </si>
  <si>
    <t xml:space="preserve">27/09/2025</t>
  </si>
  <si>
    <t xml:space="preserve">SP-000107</t>
  </si>
  <si>
    <t xml:space="preserve">SP-000491</t>
  </si>
  <si>
    <t xml:space="preserve">C01732</t>
  </si>
  <si>
    <t xml:space="preserve">40616-891</t>
  </si>
  <si>
    <t xml:space="preserve">SP-000501</t>
  </si>
  <si>
    <t xml:space="preserve">C01651</t>
  </si>
  <si>
    <t xml:space="preserve">01745-681</t>
  </si>
  <si>
    <t xml:space="preserve">SP-000602</t>
  </si>
  <si>
    <t xml:space="preserve">R$ 710,00</t>
  </si>
  <si>
    <t xml:space="preserve">SP-000613</t>
  </si>
  <si>
    <t xml:space="preserve">30/09/2025</t>
  </si>
  <si>
    <t xml:space="preserve">C00463</t>
  </si>
  <si>
    <t xml:space="preserve">01893-668</t>
  </si>
  <si>
    <t xml:space="preserve">SP-000680</t>
  </si>
  <si>
    <t xml:space="preserve">29/09/2025</t>
  </si>
  <si>
    <t xml:space="preserve">SP-000192</t>
  </si>
  <si>
    <t xml:space="preserve">28/09/2025</t>
  </si>
  <si>
    <t xml:space="preserve">R$ 1.590,00</t>
  </si>
  <si>
    <t xml:space="preserve">C01424</t>
  </si>
  <si>
    <t xml:space="preserve">13812-481</t>
  </si>
  <si>
    <t xml:space="preserve">SP-000472</t>
  </si>
  <si>
    <t xml:space="preserve">R$ 590,00</t>
  </si>
  <si>
    <t xml:space="preserve">C00460</t>
  </si>
  <si>
    <t xml:space="preserve">SP-000478</t>
  </si>
  <si>
    <t xml:space="preserve">R$ 375,00</t>
  </si>
  <si>
    <t xml:space="preserve">C01861</t>
  </si>
  <si>
    <t xml:space="preserve">01225-294</t>
  </si>
  <si>
    <t xml:space="preserve">SP-000508</t>
  </si>
  <si>
    <t xml:space="preserve">SP-000560</t>
  </si>
  <si>
    <t xml:space="preserve">SP-000577</t>
  </si>
  <si>
    <t xml:space="preserve">SP-000027</t>
  </si>
  <si>
    <t xml:space="preserve">C01077</t>
  </si>
  <si>
    <t xml:space="preserve">01368-082</t>
  </si>
  <si>
    <t xml:space="preserve">SP-000493</t>
  </si>
  <si>
    <t xml:space="preserve">SP-000533</t>
  </si>
  <si>
    <t xml:space="preserve">R$ 495,00</t>
  </si>
  <si>
    <t xml:space="preserve">C01761</t>
  </si>
  <si>
    <t xml:space="preserve">01131-085</t>
  </si>
  <si>
    <t xml:space="preserve">SP-000549</t>
  </si>
  <si>
    <t xml:space="preserve">SP-000583</t>
  </si>
  <si>
    <t xml:space="preserve">C00908</t>
  </si>
  <si>
    <t xml:space="preserve">90143-552</t>
  </si>
  <si>
    <t xml:space="preserve">SP-000587</t>
  </si>
  <si>
    <t xml:space="preserve">SP-000591</t>
  </si>
  <si>
    <t xml:space="preserve">R$ 242,50</t>
  </si>
  <si>
    <t xml:space="preserve">SP-000630</t>
  </si>
  <si>
    <t xml:space="preserve">01/10/2025</t>
  </si>
  <si>
    <t xml:space="preserve">C01207</t>
  </si>
  <si>
    <t xml:space="preserve">01588-700</t>
  </si>
  <si>
    <t xml:space="preserve">SP-000754</t>
  </si>
  <si>
    <t xml:space="preserve">02/10/2025</t>
  </si>
  <si>
    <t xml:space="preserve">SP-000490</t>
  </si>
  <si>
    <t xml:space="preserve">SP-000511</t>
  </si>
  <si>
    <t xml:space="preserve">R$ 765,00</t>
  </si>
  <si>
    <t xml:space="preserve">C01308</t>
  </si>
  <si>
    <t xml:space="preserve">13218-593</t>
  </si>
  <si>
    <t xml:space="preserve">SP-000532</t>
  </si>
  <si>
    <t xml:space="preserve">SP-000595</t>
  </si>
  <si>
    <t xml:space="preserve">C02399</t>
  </si>
  <si>
    <t xml:space="preserve">20717-209</t>
  </si>
  <si>
    <t xml:space="preserve">SP-000774</t>
  </si>
  <si>
    <t xml:space="preserve">SP-000138</t>
  </si>
  <si>
    <t xml:space="preserve">R$ 1.005,00</t>
  </si>
  <si>
    <t xml:space="preserve">C00351</t>
  </si>
  <si>
    <t xml:space="preserve">29036-013</t>
  </si>
  <si>
    <t xml:space="preserve">SP-000474</t>
  </si>
  <si>
    <t xml:space="preserve">C01394</t>
  </si>
  <si>
    <t xml:space="preserve">01791-160</t>
  </si>
  <si>
    <t xml:space="preserve">SP-000488</t>
  </si>
  <si>
    <t xml:space="preserve">R$ 405,00</t>
  </si>
  <si>
    <t xml:space="preserve">SP-000494</t>
  </si>
  <si>
    <t xml:space="preserve">SP-000507</t>
  </si>
  <si>
    <t xml:space="preserve">SP-000514</t>
  </si>
  <si>
    <t xml:space="preserve">R$ 125,00</t>
  </si>
  <si>
    <t xml:space="preserve">C00835</t>
  </si>
  <si>
    <t xml:space="preserve">13533-480</t>
  </si>
  <si>
    <t xml:space="preserve">SP-000517</t>
  </si>
  <si>
    <t xml:space="preserve">R$ 342,50</t>
  </si>
  <si>
    <t xml:space="preserve">C02171</t>
  </si>
  <si>
    <t xml:space="preserve">50559-532</t>
  </si>
  <si>
    <t xml:space="preserve">SP-000569</t>
  </si>
  <si>
    <t xml:space="preserve">R$ 620,00</t>
  </si>
  <si>
    <t xml:space="preserve">C00560</t>
  </si>
  <si>
    <t xml:space="preserve">01964-272</t>
  </si>
  <si>
    <t xml:space="preserve">SP-000606</t>
  </si>
  <si>
    <t xml:space="preserve">SP-000625</t>
  </si>
  <si>
    <t xml:space="preserve">03/10/2025</t>
  </si>
  <si>
    <t xml:space="preserve">C02434</t>
  </si>
  <si>
    <t xml:space="preserve">vitória</t>
  </si>
  <si>
    <t xml:space="preserve">29805-067</t>
  </si>
  <si>
    <t xml:space="preserve">SP-000095</t>
  </si>
  <si>
    <t xml:space="preserve">C01799</t>
  </si>
  <si>
    <t xml:space="preserve">01370-317</t>
  </si>
  <si>
    <t xml:space="preserve">SP-000504</t>
  </si>
  <si>
    <t xml:space="preserve">SP-000531</t>
  </si>
  <si>
    <t xml:space="preserve">R$ 810,00</t>
  </si>
  <si>
    <t xml:space="preserve">SP-000548</t>
  </si>
  <si>
    <t xml:space="preserve">C00375</t>
  </si>
  <si>
    <t xml:space="preserve">40023-183</t>
  </si>
  <si>
    <t xml:space="preserve">SP-000554</t>
  </si>
  <si>
    <t xml:space="preserve">SP-000579</t>
  </si>
  <si>
    <t xml:space="preserve">C02419</t>
  </si>
  <si>
    <t xml:space="preserve">01773-622</t>
  </si>
  <si>
    <t xml:space="preserve">SP-000589</t>
  </si>
  <si>
    <t xml:space="preserve">SP-000610</t>
  </si>
  <si>
    <t xml:space="preserve">SP-000049</t>
  </si>
  <si>
    <t xml:space="preserve">R$ 700,00</t>
  </si>
  <si>
    <t xml:space="preserve">C01923</t>
  </si>
  <si>
    <t xml:space="preserve">11569-940</t>
  </si>
  <si>
    <t xml:space="preserve">SP-000174</t>
  </si>
  <si>
    <t xml:space="preserve">SP-000467</t>
  </si>
  <si>
    <t xml:space="preserve">SP-000512</t>
  </si>
  <si>
    <t xml:space="preserve">SP-000539</t>
  </si>
  <si>
    <t xml:space="preserve">R$ 1.140,00</t>
  </si>
  <si>
    <t xml:space="preserve">C02063</t>
  </si>
  <si>
    <t xml:space="preserve">01592-899</t>
  </si>
  <si>
    <t xml:space="preserve">SP-000594</t>
  </si>
  <si>
    <t xml:space="preserve">R$ 180,00</t>
  </si>
  <si>
    <t xml:space="preserve">SP-000659</t>
  </si>
  <si>
    <t xml:space="preserve">SP-000698</t>
  </si>
  <si>
    <t xml:space="preserve">05/10/2025</t>
  </si>
  <si>
    <t xml:space="preserve">SP-000070</t>
  </si>
  <si>
    <t xml:space="preserve">R$ 517,50</t>
  </si>
  <si>
    <t xml:space="preserve">C00267</t>
  </si>
  <si>
    <t xml:space="preserve">70053-960</t>
  </si>
  <si>
    <t xml:space="preserve">SP-000076</t>
  </si>
  <si>
    <t xml:space="preserve">C02354</t>
  </si>
  <si>
    <t xml:space="preserve">curitiba</t>
  </si>
  <si>
    <t xml:space="preserve">80805-076</t>
  </si>
  <si>
    <t xml:space="preserve">SP-000183</t>
  </si>
  <si>
    <t xml:space="preserve">SP-000550</t>
  </si>
  <si>
    <t xml:space="preserve">R$ 295,00</t>
  </si>
  <si>
    <t xml:space="preserve">SP-000552</t>
  </si>
  <si>
    <t xml:space="preserve">C01238</t>
  </si>
  <si>
    <t xml:space="preserve">80754-290</t>
  </si>
  <si>
    <t xml:space="preserve">SP-000568</t>
  </si>
  <si>
    <t xml:space="preserve">R$ 280,00</t>
  </si>
  <si>
    <t xml:space="preserve">C01571</t>
  </si>
  <si>
    <t xml:space="preserve">13055-181</t>
  </si>
  <si>
    <t xml:space="preserve">SP-000572</t>
  </si>
  <si>
    <t xml:space="preserve">C02406</t>
  </si>
  <si>
    <t xml:space="preserve">32002-664</t>
  </si>
  <si>
    <t xml:space="preserve">SP-000598</t>
  </si>
  <si>
    <t xml:space="preserve">SP-000222</t>
  </si>
  <si>
    <t xml:space="preserve">SP-000215</t>
  </si>
  <si>
    <t xml:space="preserve">06/10/2025</t>
  </si>
  <si>
    <t xml:space="preserve">C00277</t>
  </si>
  <si>
    <t xml:space="preserve">Santiago </t>
  </si>
  <si>
    <t xml:space="preserve">SP-000184</t>
  </si>
  <si>
    <t xml:space="preserve">07/10/2025</t>
  </si>
  <si>
    <t xml:space="preserve">SP-000030</t>
  </si>
  <si>
    <t xml:space="preserve">08/10/2025</t>
  </si>
  <si>
    <t xml:space="preserve">C01644</t>
  </si>
  <si>
    <t xml:space="preserve">50239-892</t>
  </si>
  <si>
    <t xml:space="preserve">SP-000078</t>
  </si>
  <si>
    <t xml:space="preserve">10/10/2025</t>
  </si>
  <si>
    <t xml:space="preserve">R$ 880,00</t>
  </si>
  <si>
    <t xml:space="preserve">SP-000057</t>
  </si>
  <si>
    <t xml:space="preserve">11/10/2025</t>
  </si>
  <si>
    <t xml:space="preserve">R$ 1.760,00</t>
  </si>
  <si>
    <t xml:space="preserve">SP-000004</t>
  </si>
  <si>
    <t xml:space="preserve">12/10/2025</t>
  </si>
  <si>
    <t xml:space="preserve">R$ 1.560,00</t>
  </si>
  <si>
    <t xml:space="preserve">C00290</t>
  </si>
  <si>
    <t xml:space="preserve">11275-025</t>
  </si>
  <si>
    <t xml:space="preserve">SP-000007</t>
  </si>
  <si>
    <t xml:space="preserve">C01752</t>
  </si>
  <si>
    <t xml:space="preserve">SP-000714</t>
  </si>
  <si>
    <t xml:space="preserve">13/10/2025</t>
  </si>
  <si>
    <t xml:space="preserve">14/10/2025</t>
  </si>
  <si>
    <t xml:space="preserve">C01810</t>
  </si>
  <si>
    <t xml:space="preserve">01642-034</t>
  </si>
  <si>
    <t xml:space="preserve">SP-000006</t>
  </si>
  <si>
    <t xml:space="preserve">SP-000085</t>
  </si>
  <si>
    <t xml:space="preserve">SP-000160</t>
  </si>
  <si>
    <t xml:space="preserve">SP-000224</t>
  </si>
  <si>
    <t xml:space="preserve">15/10/2025</t>
  </si>
  <si>
    <t xml:space="preserve">SP-000221</t>
  </si>
  <si>
    <t xml:space="preserve">16/10/2025</t>
  </si>
  <si>
    <t xml:space="preserve">R$ 1.025,00</t>
  </si>
  <si>
    <t xml:space="preserve">C00735</t>
  </si>
  <si>
    <t xml:space="preserve">SP-000170</t>
  </si>
  <si>
    <t xml:space="preserve">17/10/2025</t>
  </si>
  <si>
    <t xml:space="preserve">SP-000670</t>
  </si>
  <si>
    <t xml:space="preserve">SP-000153</t>
  </si>
  <si>
    <t xml:space="preserve">22/10/2025</t>
  </si>
  <si>
    <t xml:space="preserve">C01337</t>
  </si>
  <si>
    <t xml:space="preserve">rj</t>
  </si>
  <si>
    <t xml:space="preserve">24338-431</t>
  </si>
  <si>
    <t xml:space="preserve">SP-000103</t>
  </si>
  <si>
    <t xml:space="preserve">24/10/2025</t>
  </si>
  <si>
    <t xml:space="preserve">C01259</t>
  </si>
  <si>
    <t xml:space="preserve">20349-287</t>
  </si>
  <si>
    <t xml:space="preserve">SP-000223</t>
  </si>
  <si>
    <t xml:space="preserve">R$ 1.075,00</t>
  </si>
  <si>
    <t xml:space="preserve">SP-000013</t>
  </si>
  <si>
    <t xml:space="preserve">25/10/2025</t>
  </si>
  <si>
    <t xml:space="preserve">R$ 1.035,00</t>
  </si>
  <si>
    <t xml:space="preserve">C00359</t>
  </si>
  <si>
    <t xml:space="preserve">11317-656</t>
  </si>
  <si>
    <t xml:space="preserve">SP-000673</t>
  </si>
  <si>
    <t xml:space="preserve">26/10/2025</t>
  </si>
  <si>
    <t xml:space="preserve">SP-000697</t>
  </si>
  <si>
    <t xml:space="preserve">27/10/2025</t>
  </si>
  <si>
    <t xml:space="preserve">SP-000124</t>
  </si>
  <si>
    <t xml:space="preserve">R$ 392,50</t>
  </si>
  <si>
    <t xml:space="preserve">C02102</t>
  </si>
  <si>
    <t xml:space="preserve">90456-172</t>
  </si>
  <si>
    <t xml:space="preserve">SP-000152</t>
  </si>
  <si>
    <t xml:space="preserve">SP-000179</t>
  </si>
  <si>
    <t xml:space="preserve">R$ 1.080,00</t>
  </si>
  <si>
    <t xml:space="preserve">C01300</t>
  </si>
  <si>
    <t xml:space="preserve">SP-000664</t>
  </si>
  <si>
    <t xml:space="preserve">29/10/2025</t>
  </si>
  <si>
    <t xml:space="preserve">SP-000043</t>
  </si>
  <si>
    <t xml:space="preserve">28/10/2025</t>
  </si>
  <si>
    <t xml:space="preserve">R$ 537,50</t>
  </si>
  <si>
    <t xml:space="preserve">C01675</t>
  </si>
  <si>
    <t xml:space="preserve">29984-053</t>
  </si>
  <si>
    <t xml:space="preserve">SP-000105</t>
  </si>
  <si>
    <t xml:space="preserve">SP-000212</t>
  </si>
  <si>
    <t xml:space="preserve">C01514</t>
  </si>
  <si>
    <t xml:space="preserve">32001-322</t>
  </si>
  <si>
    <t xml:space="preserve">SP-000026</t>
  </si>
  <si>
    <t xml:space="preserve">30/10/2025</t>
  </si>
  <si>
    <t xml:space="preserve">SP-000216</t>
  </si>
  <si>
    <t xml:space="preserve">C00430</t>
  </si>
  <si>
    <t xml:space="preserve">SP-000628</t>
  </si>
  <si>
    <t xml:space="preserve">SP-000034</t>
  </si>
  <si>
    <t xml:space="preserve">02/11/2025</t>
  </si>
  <si>
    <t xml:space="preserve">R$ 2.180,00</t>
  </si>
  <si>
    <t xml:space="preserve">C00648</t>
  </si>
  <si>
    <t xml:space="preserve">20355-441</t>
  </si>
  <si>
    <t xml:space="preserve">SP-000052</t>
  </si>
  <si>
    <t xml:space="preserve">03/11/2025</t>
  </si>
  <si>
    <t xml:space="preserve">C02248</t>
  </si>
  <si>
    <t xml:space="preserve">BRASÍLIA</t>
  </si>
  <si>
    <t xml:space="preserve">70959-231</t>
  </si>
  <si>
    <t xml:space="preserve">SP-000159</t>
  </si>
  <si>
    <t xml:space="preserve">R$ 960,00</t>
  </si>
  <si>
    <t xml:space="preserve">SP-000144</t>
  </si>
  <si>
    <t xml:space="preserve">05/11/2025</t>
  </si>
  <si>
    <t xml:space="preserve">R$ 1.600,00</t>
  </si>
  <si>
    <t xml:space="preserve">SP-000056</t>
  </si>
  <si>
    <t xml:space="preserve">08/11/2025</t>
  </si>
  <si>
    <t xml:space="preserve">SP-000175</t>
  </si>
  <si>
    <t xml:space="preserve">SP-000186</t>
  </si>
  <si>
    <t xml:space="preserve">R$ 527,50</t>
  </si>
  <si>
    <t xml:space="preserve">C00658</t>
  </si>
  <si>
    <t xml:space="preserve">13466-524</t>
  </si>
  <si>
    <t xml:space="preserve">SP-000197</t>
  </si>
  <si>
    <t xml:space="preserve">R$ 675,00</t>
  </si>
  <si>
    <t xml:space="preserve">SP-000711</t>
  </si>
  <si>
    <t xml:space="preserve">10/11/2025</t>
  </si>
  <si>
    <t xml:space="preserve">SP-000001</t>
  </si>
  <si>
    <t xml:space="preserve">09/11/2025</t>
  </si>
  <si>
    <t xml:space="preserve">C02413</t>
  </si>
  <si>
    <t xml:space="preserve">32468-422</t>
  </si>
  <si>
    <t xml:space="preserve">SP-000033</t>
  </si>
  <si>
    <t xml:space="preserve">C02496</t>
  </si>
  <si>
    <t xml:space="preserve">SP-000077</t>
  </si>
  <si>
    <t xml:space="preserve">C00393</t>
  </si>
  <si>
    <t xml:space="preserve">29447-280</t>
  </si>
  <si>
    <t xml:space="preserve">SP-000125</t>
  </si>
  <si>
    <t xml:space="preserve">C00736</t>
  </si>
  <si>
    <t xml:space="preserve">50014-171</t>
  </si>
  <si>
    <t xml:space="preserve">SP-000127</t>
  </si>
  <si>
    <t xml:space="preserve">SP-000182</t>
  </si>
  <si>
    <t xml:space="preserve">R$ 1.030,00</t>
  </si>
  <si>
    <t xml:space="preserve">SP-000206</t>
  </si>
  <si>
    <t xml:space="preserve">R$ 507,50</t>
  </si>
  <si>
    <t xml:space="preserve">SP-000015</t>
  </si>
  <si>
    <t xml:space="preserve">R$ 447,50</t>
  </si>
  <si>
    <t xml:space="preserve">C01642</t>
  </si>
  <si>
    <t xml:space="preserve">sc</t>
  </si>
  <si>
    <t xml:space="preserve">88592-976</t>
  </si>
  <si>
    <t xml:space="preserve">SP-000089</t>
  </si>
  <si>
    <t xml:space="preserve">C02185</t>
  </si>
  <si>
    <t xml:space="preserve">40909-285</t>
  </si>
  <si>
    <t xml:space="preserve">SP-000092</t>
  </si>
  <si>
    <t xml:space="preserve">C00895</t>
  </si>
  <si>
    <t xml:space="preserve">88895-967</t>
  </si>
  <si>
    <t xml:space="preserve">SP-000099</t>
  </si>
  <si>
    <t xml:space="preserve">R$ 1.520,00</t>
  </si>
  <si>
    <t xml:space="preserve">SP-000117</t>
  </si>
  <si>
    <t xml:space="preserve">C02416</t>
  </si>
  <si>
    <t xml:space="preserve">40402-294</t>
  </si>
  <si>
    <t xml:space="preserve">SP-000148</t>
  </si>
  <si>
    <t xml:space="preserve">C00146</t>
  </si>
  <si>
    <t xml:space="preserve">Santos </t>
  </si>
  <si>
    <t xml:space="preserve">11426-529</t>
  </si>
  <si>
    <t xml:space="preserve">SP-000209</t>
  </si>
  <si>
    <t xml:space="preserve">R$ 1.550,00</t>
  </si>
  <si>
    <t xml:space="preserve">C01034</t>
  </si>
  <si>
    <t xml:space="preserve">SP-000634</t>
  </si>
  <si>
    <t xml:space="preserve">12/11/2025</t>
  </si>
  <si>
    <t xml:space="preserve">SP-000016</t>
  </si>
  <si>
    <t xml:space="preserve">11/11/2025</t>
  </si>
  <si>
    <t xml:space="preserve">C01471</t>
  </si>
  <si>
    <t xml:space="preserve">11097-845</t>
  </si>
  <si>
    <t xml:space="preserve">SP-000017</t>
  </si>
  <si>
    <t xml:space="preserve">SP-000071</t>
  </si>
  <si>
    <t xml:space="preserve">SP-000097</t>
  </si>
  <si>
    <t xml:space="preserve">SP-000136</t>
  </si>
  <si>
    <t xml:space="preserve">C01031</t>
  </si>
  <si>
    <t xml:space="preserve">74420-807</t>
  </si>
  <si>
    <t xml:space="preserve">SP-000140</t>
  </si>
  <si>
    <t xml:space="preserve">SP-000169</t>
  </si>
  <si>
    <t xml:space="preserve">R$ 360,00</t>
  </si>
  <si>
    <t xml:space="preserve">C01290</t>
  </si>
  <si>
    <t xml:space="preserve">USA</t>
  </si>
  <si>
    <t xml:space="preserve">SP-000196</t>
  </si>
  <si>
    <t xml:space="preserve">SP-000665</t>
  </si>
  <si>
    <t xml:space="preserve">SP-000701</t>
  </si>
  <si>
    <t xml:space="preserve">14/11/2025</t>
  </si>
  <si>
    <t xml:space="preserve">SP-000040</t>
  </si>
  <si>
    <t xml:space="preserve">R$ 2.250,00</t>
  </si>
  <si>
    <t xml:space="preserve">SP-000044</t>
  </si>
  <si>
    <t xml:space="preserve">SP-000054</t>
  </si>
  <si>
    <t xml:space="preserve">SP-000082</t>
  </si>
  <si>
    <t xml:space="preserve">SP-000090</t>
  </si>
  <si>
    <t xml:space="preserve">SP-000100</t>
  </si>
  <si>
    <t xml:space="preserve">C00621</t>
  </si>
  <si>
    <t xml:space="preserve">40434-909</t>
  </si>
  <si>
    <t xml:space="preserve">SP-000154</t>
  </si>
  <si>
    <t xml:space="preserve">SP-000014</t>
  </si>
  <si>
    <t xml:space="preserve">13/11/2025</t>
  </si>
  <si>
    <t xml:space="preserve">SP-000032</t>
  </si>
  <si>
    <t xml:space="preserve">C01319</t>
  </si>
  <si>
    <t xml:space="preserve">01442-052</t>
  </si>
  <si>
    <t xml:space="preserve">SP-000083</t>
  </si>
  <si>
    <t xml:space="preserve">C01693</t>
  </si>
  <si>
    <t xml:space="preserve">SP-000094</t>
  </si>
  <si>
    <t xml:space="preserve">R$ 835,00</t>
  </si>
  <si>
    <t xml:space="preserve">C00185</t>
  </si>
  <si>
    <t xml:space="preserve">01090-773</t>
  </si>
  <si>
    <t xml:space="preserve">SP-000102</t>
  </si>
  <si>
    <t xml:space="preserve">SP-000122</t>
  </si>
  <si>
    <t xml:space="preserve">C01896</t>
  </si>
  <si>
    <t xml:space="preserve">40812-783</t>
  </si>
  <si>
    <t xml:space="preserve">SP-000132</t>
  </si>
  <si>
    <t xml:space="preserve">C02493</t>
  </si>
  <si>
    <t xml:space="preserve">01338-622</t>
  </si>
  <si>
    <t xml:space="preserve">SP-000214</t>
  </si>
  <si>
    <t xml:space="preserve">R$ 332,50</t>
  </si>
  <si>
    <t xml:space="preserve">SP-000003</t>
  </si>
  <si>
    <t xml:space="preserve">R$ 467,50</t>
  </si>
  <si>
    <t xml:space="preserve">SP-000029</t>
  </si>
  <si>
    <t xml:space="preserve">R$ 327,50</t>
  </si>
  <si>
    <t xml:space="preserve">C02336</t>
  </si>
  <si>
    <t xml:space="preserve">01132-216</t>
  </si>
  <si>
    <t xml:space="preserve">SP-000047</t>
  </si>
  <si>
    <t xml:space="preserve">R$ 2.130,00</t>
  </si>
  <si>
    <t xml:space="preserve">SP-000061</t>
  </si>
  <si>
    <t xml:space="preserve">SP-000069</t>
  </si>
  <si>
    <t xml:space="preserve">R$ 512,50</t>
  </si>
  <si>
    <t xml:space="preserve">C00416</t>
  </si>
  <si>
    <t xml:space="preserve">SP-000080</t>
  </si>
  <si>
    <t xml:space="preserve">C00575</t>
  </si>
  <si>
    <t xml:space="preserve">Belo Horizonte </t>
  </si>
  <si>
    <t xml:space="preserve">30473-547</t>
  </si>
  <si>
    <t xml:space="preserve">SP-000084</t>
  </si>
  <si>
    <t xml:space="preserve">C01152</t>
  </si>
  <si>
    <t xml:space="preserve">50377-006</t>
  </si>
  <si>
    <t xml:space="preserve">SP-000123</t>
  </si>
  <si>
    <t xml:space="preserve">SP-000188</t>
  </si>
  <si>
    <t xml:space="preserve">C01736</t>
  </si>
  <si>
    <t xml:space="preserve">Estados Unidos</t>
  </si>
  <si>
    <t xml:space="preserve">SP-000200</t>
  </si>
  <si>
    <t xml:space="preserve">R$ 397,50</t>
  </si>
  <si>
    <t xml:space="preserve">SP-000005</t>
  </si>
  <si>
    <t xml:space="preserve">SP-000012</t>
  </si>
  <si>
    <t xml:space="preserve">R$ 1.690,00</t>
  </si>
  <si>
    <t xml:space="preserve">C00175</t>
  </si>
  <si>
    <t xml:space="preserve">88649-614</t>
  </si>
  <si>
    <t xml:space="preserve">SP-000031</t>
  </si>
  <si>
    <t xml:space="preserve">SP-000042</t>
  </si>
  <si>
    <t xml:space="preserve">C01553</t>
  </si>
  <si>
    <t xml:space="preserve">rs</t>
  </si>
  <si>
    <t xml:space="preserve">90719-232</t>
  </si>
  <si>
    <t xml:space="preserve">SP-000064</t>
  </si>
  <si>
    <t xml:space="preserve">SP-000065</t>
  </si>
  <si>
    <t xml:space="preserve">R$ 367,50</t>
  </si>
  <si>
    <t xml:space="preserve">SP-000066</t>
  </si>
  <si>
    <t xml:space="preserve">SP-000106</t>
  </si>
  <si>
    <t xml:space="preserve">C01001</t>
  </si>
  <si>
    <t xml:space="preserve">01158-615</t>
  </si>
  <si>
    <t xml:space="preserve">SP-000113</t>
  </si>
  <si>
    <t xml:space="preserve">R$ 735,00</t>
  </si>
  <si>
    <t xml:space="preserve">C01918</t>
  </si>
  <si>
    <t xml:space="preserve">13582-824</t>
  </si>
  <si>
    <t xml:space="preserve">SP-000119</t>
  </si>
  <si>
    <t xml:space="preserve">R$ 560,00</t>
  </si>
  <si>
    <t xml:space="preserve">SP-000162</t>
  </si>
  <si>
    <t xml:space="preserve">SP-000189</t>
  </si>
  <si>
    <t xml:space="preserve">SP-000749</t>
  </si>
  <si>
    <t xml:space="preserve">16/11/2025</t>
  </si>
  <si>
    <t xml:space="preserve">19/11/2025</t>
  </si>
  <si>
    <t xml:space="preserve">SP-000636</t>
  </si>
  <si>
    <t xml:space="preserve">18/11/2025</t>
  </si>
  <si>
    <t xml:space="preserve">SP-000704</t>
  </si>
  <si>
    <t xml:space="preserve">SP-000662</t>
  </si>
  <si>
    <t xml:space="preserve">27/11/2025</t>
  </si>
  <si>
    <t xml:space="preserve">29/11/2025</t>
  </si>
  <si>
    <t xml:space="preserve">SP-000631</t>
  </si>
  <si>
    <t xml:space="preserve">04/12/2025</t>
  </si>
  <si>
    <t xml:space="preserve">07/12/2025</t>
  </si>
  <si>
    <t xml:space="preserve">SP-000763</t>
  </si>
  <si>
    <t xml:space="preserve">06/12/2025</t>
  </si>
  <si>
    <t xml:space="preserve">SP-000741</t>
  </si>
  <si>
    <t xml:space="preserve">05/12/2025</t>
  </si>
  <si>
    <t xml:space="preserve">SP-000709</t>
  </si>
  <si>
    <t xml:space="preserve">08/12/2025</t>
  </si>
  <si>
    <t xml:space="preserve">SP-000660</t>
  </si>
  <si>
    <t xml:space="preserve">13/12/2025</t>
  </si>
  <si>
    <t xml:space="preserve">16/12/2025</t>
  </si>
  <si>
    <t xml:space="preserve">SP-000758</t>
  </si>
  <si>
    <t xml:space="preserve">17/12/2025</t>
  </si>
  <si>
    <t xml:space="preserve">18/12/2025</t>
  </si>
  <si>
    <t xml:space="preserve">SP-000716</t>
  </si>
  <si>
    <t xml:space="preserve">21/12/2025</t>
  </si>
  <si>
    <t xml:space="preserve">SP-000279</t>
  </si>
  <si>
    <t xml:space="preserve">19/12/2025</t>
  </si>
  <si>
    <t xml:space="preserve">18/04/2026</t>
  </si>
  <si>
    <t xml:space="preserve">Festival Sonora SP 2026</t>
  </si>
  <si>
    <t xml:space="preserve">R$ 480,00</t>
  </si>
  <si>
    <t xml:space="preserve">SP-000343</t>
  </si>
  <si>
    <t xml:space="preserve">C00138</t>
  </si>
  <si>
    <t xml:space="preserve">80085-829</t>
  </si>
  <si>
    <t xml:space="preserve">SP-000727</t>
  </si>
  <si>
    <t xml:space="preserve">22/12/2025</t>
  </si>
  <si>
    <t xml:space="preserve">SP-000728</t>
  </si>
  <si>
    <t xml:space="preserve">SP-000234</t>
  </si>
  <si>
    <t xml:space="preserve">20/12/2025</t>
  </si>
  <si>
    <t xml:space="preserve">C00567</t>
  </si>
  <si>
    <t xml:space="preserve">88383-912</t>
  </si>
  <si>
    <t xml:space="preserve">SP-000288</t>
  </si>
  <si>
    <t xml:space="preserve">C01435</t>
  </si>
  <si>
    <t xml:space="preserve">SP-000341</t>
  </si>
  <si>
    <t xml:space="preserve">SP-000392</t>
  </si>
  <si>
    <t xml:space="preserve">SP-000405</t>
  </si>
  <si>
    <t xml:space="preserve">R$ 1.010,00</t>
  </si>
  <si>
    <t xml:space="preserve">C00822</t>
  </si>
  <si>
    <t xml:space="preserve">01106-111</t>
  </si>
  <si>
    <t xml:space="preserve">SP-000411</t>
  </si>
  <si>
    <t xml:space="preserve">R$ 1.850,00</t>
  </si>
  <si>
    <t xml:space="preserve">SP-000274</t>
  </si>
  <si>
    <t xml:space="preserve">SP-000290</t>
  </si>
  <si>
    <t xml:space="preserve">SP-000296</t>
  </si>
  <si>
    <t xml:space="preserve">C01815</t>
  </si>
  <si>
    <t xml:space="preserve">Salvador </t>
  </si>
  <si>
    <t xml:space="preserve">40634-901</t>
  </si>
  <si>
    <t xml:space="preserve">SP-000319</t>
  </si>
  <si>
    <t xml:space="preserve">SP-000406</t>
  </si>
  <si>
    <t xml:space="preserve">C00223</t>
  </si>
  <si>
    <t xml:space="preserve">SP-000434</t>
  </si>
  <si>
    <t xml:space="preserve">C01354</t>
  </si>
  <si>
    <t xml:space="preserve">contagem</t>
  </si>
  <si>
    <t xml:space="preserve">mg</t>
  </si>
  <si>
    <t xml:space="preserve">32399-140</t>
  </si>
  <si>
    <t xml:space="preserve">SP-000459</t>
  </si>
  <si>
    <t xml:space="preserve">C02030</t>
  </si>
  <si>
    <t xml:space="preserve">29530-839</t>
  </si>
  <si>
    <t xml:space="preserve">SP-000621</t>
  </si>
  <si>
    <t xml:space="preserve">SP-000346</t>
  </si>
  <si>
    <t xml:space="preserve">SP-000373</t>
  </si>
  <si>
    <t xml:space="preserve">R$ 750,00</t>
  </si>
  <si>
    <t xml:space="preserve">C02298</t>
  </si>
  <si>
    <t xml:space="preserve">88000-401</t>
  </si>
  <si>
    <t xml:space="preserve">SP-000442</t>
  </si>
  <si>
    <t xml:space="preserve">R$ 720,00</t>
  </si>
  <si>
    <t xml:space="preserve">C01611</t>
  </si>
  <si>
    <t xml:space="preserve">32122-887</t>
  </si>
  <si>
    <t xml:space="preserve">SP-000313</t>
  </si>
  <si>
    <t xml:space="preserve">23/12/2025</t>
  </si>
  <si>
    <t xml:space="preserve">SP-000237</t>
  </si>
  <si>
    <t xml:space="preserve">24/12/2025</t>
  </si>
  <si>
    <t xml:space="preserve">C01801</t>
  </si>
  <si>
    <t xml:space="preserve">29908-347</t>
  </si>
  <si>
    <t xml:space="preserve">SP-000252</t>
  </si>
  <si>
    <t xml:space="preserve">C01498</t>
  </si>
  <si>
    <t xml:space="preserve">01312-707</t>
  </si>
  <si>
    <t xml:space="preserve">SP-000336</t>
  </si>
  <si>
    <t xml:space="preserve">R$ 525,00</t>
  </si>
  <si>
    <t xml:space="preserve">C00748</t>
  </si>
  <si>
    <t xml:space="preserve">SP-000285</t>
  </si>
  <si>
    <t xml:space="preserve">25/12/2025</t>
  </si>
  <si>
    <t xml:space="preserve">SP-000361</t>
  </si>
  <si>
    <t xml:space="preserve">SP-000383</t>
  </si>
  <si>
    <t xml:space="preserve">SP-000272</t>
  </si>
  <si>
    <t xml:space="preserve">26/12/2025</t>
  </si>
  <si>
    <t xml:space="preserve">C00712</t>
  </si>
  <si>
    <t xml:space="preserve">32226-648</t>
  </si>
  <si>
    <t xml:space="preserve">SP-000389</t>
  </si>
  <si>
    <t xml:space="preserve">R$ 492,50</t>
  </si>
  <si>
    <t xml:space="preserve">C01791</t>
  </si>
  <si>
    <t xml:space="preserve">SP-000453</t>
  </si>
  <si>
    <t xml:space="preserve">SP-000457</t>
  </si>
  <si>
    <t xml:space="preserve">SP-000232</t>
  </si>
  <si>
    <t xml:space="preserve">27/12/2025</t>
  </si>
  <si>
    <t xml:space="preserve">C01577</t>
  </si>
  <si>
    <t xml:space="preserve">24471-701</t>
  </si>
  <si>
    <t xml:space="preserve">SP-000267</t>
  </si>
  <si>
    <t xml:space="preserve">C00094</t>
  </si>
  <si>
    <t xml:space="preserve">SP-000268</t>
  </si>
  <si>
    <t xml:space="preserve">R$ 965,00</t>
  </si>
  <si>
    <t xml:space="preserve">SP-000292</t>
  </si>
  <si>
    <t xml:space="preserve">C01706</t>
  </si>
  <si>
    <t xml:space="preserve">29302-603</t>
  </si>
  <si>
    <t xml:space="preserve">SP-000330</t>
  </si>
  <si>
    <t xml:space="preserve">SP-000351</t>
  </si>
  <si>
    <t xml:space="preserve">28/12/2025</t>
  </si>
  <si>
    <t xml:space="preserve">R$ 1.620,00</t>
  </si>
  <si>
    <t xml:space="preserve">SP-000398</t>
  </si>
  <si>
    <t xml:space="preserve">SP-000415</t>
  </si>
  <si>
    <t xml:space="preserve">SP-000420</t>
  </si>
  <si>
    <t xml:space="preserve">C01768</t>
  </si>
  <si>
    <t xml:space="preserve">11144-198</t>
  </si>
  <si>
    <t xml:space="preserve">SP-000702</t>
  </si>
  <si>
    <t xml:space="preserve">29/12/2025</t>
  </si>
  <si>
    <t xml:space="preserve">SP-000277</t>
  </si>
  <si>
    <t xml:space="preserve">C00218</t>
  </si>
  <si>
    <t xml:space="preserve">13142-901</t>
  </si>
  <si>
    <t xml:space="preserve">SP-000401</t>
  </si>
  <si>
    <t xml:space="preserve">SP-000732</t>
  </si>
  <si>
    <t xml:space="preserve">30/12/2025</t>
  </si>
  <si>
    <t xml:space="preserve">SP-000306</t>
  </si>
  <si>
    <t xml:space="preserve">SP-000333</t>
  </si>
  <si>
    <t xml:space="preserve">C02092</t>
  </si>
  <si>
    <t xml:space="preserve">80318-170</t>
  </si>
  <si>
    <t xml:space="preserve">SP-000456</t>
  </si>
  <si>
    <t xml:space="preserve">R$ 1.710,00</t>
  </si>
  <si>
    <t xml:space="preserve">SP-000241</t>
  </si>
  <si>
    <t xml:space="preserve">31/12/2025</t>
  </si>
  <si>
    <t xml:space="preserve">C01891</t>
  </si>
  <si>
    <t xml:space="preserve">90887-303</t>
  </si>
  <si>
    <t xml:space="preserve">SP-000247</t>
  </si>
  <si>
    <t xml:space="preserve">SP-000417</t>
  </si>
  <si>
    <t xml:space="preserve">SP-000447</t>
  </si>
  <si>
    <t xml:space="preserve">C01802</t>
  </si>
  <si>
    <t xml:space="preserve">11401-040</t>
  </si>
  <si>
    <t xml:space="preserve">SP-000235</t>
  </si>
  <si>
    <t xml:space="preserve">01/01/2026</t>
  </si>
  <si>
    <t xml:space="preserve">R$ 1.090,00</t>
  </si>
  <si>
    <t xml:space="preserve">C00324</t>
  </si>
  <si>
    <t xml:space="preserve">01368-143</t>
  </si>
  <si>
    <t xml:space="preserve">SP-000250</t>
  </si>
  <si>
    <t xml:space="preserve">C01240</t>
  </si>
  <si>
    <t xml:space="preserve">20857-044</t>
  </si>
  <si>
    <t xml:space="preserve">SP-000287</t>
  </si>
  <si>
    <t xml:space="preserve">SP-000339</t>
  </si>
  <si>
    <t xml:space="preserve">02/01/2026</t>
  </si>
  <si>
    <t xml:space="preserve">C00178</t>
  </si>
  <si>
    <t xml:space="preserve">13825-394</t>
  </si>
  <si>
    <t xml:space="preserve">SP-000369</t>
  </si>
  <si>
    <t xml:space="preserve">SP-000385</t>
  </si>
  <si>
    <t xml:space="preserve">R$ 950,00</t>
  </si>
  <si>
    <t xml:space="preserve">C01839</t>
  </si>
  <si>
    <t xml:space="preserve">porto alegre</t>
  </si>
  <si>
    <t xml:space="preserve">90615-680</t>
  </si>
  <si>
    <t xml:space="preserve">SP-000435</t>
  </si>
  <si>
    <t xml:space="preserve">C02361</t>
  </si>
  <si>
    <t xml:space="preserve">11921-517</t>
  </si>
  <si>
    <t xml:space="preserve">SP-000371</t>
  </si>
  <si>
    <t xml:space="preserve">03/01/2026</t>
  </si>
  <si>
    <t xml:space="preserve">SP-000451</t>
  </si>
  <si>
    <t xml:space="preserve">R$ 532,50</t>
  </si>
  <si>
    <t xml:space="preserve">C02151</t>
  </si>
  <si>
    <t xml:space="preserve">01254-238</t>
  </si>
  <si>
    <t xml:space="preserve">SP-000254</t>
  </si>
  <si>
    <t xml:space="preserve">04/01/2026</t>
  </si>
  <si>
    <t xml:space="preserve">R$ 2.170,00</t>
  </si>
  <si>
    <t xml:space="preserve">SP-000269</t>
  </si>
  <si>
    <t xml:space="preserve">SP-000338</t>
  </si>
  <si>
    <t xml:space="preserve">R$ 1.125,00</t>
  </si>
  <si>
    <t xml:space="preserve">SP-000348</t>
  </si>
  <si>
    <t xml:space="preserve">R$ 482,50</t>
  </si>
  <si>
    <t xml:space="preserve">SP-000366</t>
  </si>
  <si>
    <t xml:space="preserve">SP-000408</t>
  </si>
  <si>
    <t xml:space="preserve">C02321</t>
  </si>
  <si>
    <t xml:space="preserve">13183-785</t>
  </si>
  <si>
    <t xml:space="preserve">SP-000410</t>
  </si>
  <si>
    <t xml:space="preserve">R$ 840,00</t>
  </si>
  <si>
    <t xml:space="preserve">SP-000438</t>
  </si>
  <si>
    <t xml:space="preserve">C01790</t>
  </si>
  <si>
    <t xml:space="preserve">80466-152</t>
  </si>
  <si>
    <t xml:space="preserve">SP-000780</t>
  </si>
  <si>
    <t xml:space="preserve">C00116</t>
  </si>
  <si>
    <t xml:space="preserve">13284-116</t>
  </si>
  <si>
    <t xml:space="preserve">SP-000340</t>
  </si>
  <si>
    <t xml:space="preserve">05/01/2026</t>
  </si>
  <si>
    <t xml:space="preserve">SP-000359</t>
  </si>
  <si>
    <t xml:space="preserve">R$ 865,00</t>
  </si>
  <si>
    <t xml:space="preserve">SP-000248</t>
  </si>
  <si>
    <t xml:space="preserve">06/01/2026</t>
  </si>
  <si>
    <t xml:space="preserve">C01289</t>
  </si>
  <si>
    <t xml:space="preserve">11608-531</t>
  </si>
  <si>
    <t xml:space="preserve">SP-000304</t>
  </si>
  <si>
    <t xml:space="preserve">C00447</t>
  </si>
  <si>
    <t xml:space="preserve">11275-431</t>
  </si>
  <si>
    <t xml:space="preserve">SP-000315</t>
  </si>
  <si>
    <t xml:space="preserve">C00103</t>
  </si>
  <si>
    <t xml:space="preserve">11430-497</t>
  </si>
  <si>
    <t xml:space="preserve">SP-000344</t>
  </si>
  <si>
    <t xml:space="preserve">R$ 422,50</t>
  </si>
  <si>
    <t xml:space="preserve">C02244</t>
  </si>
  <si>
    <t xml:space="preserve">01312-543</t>
  </si>
  <si>
    <t xml:space="preserve">SP-000356</t>
  </si>
  <si>
    <t xml:space="preserve">SP-000403</t>
  </si>
  <si>
    <t xml:space="preserve">SP-000311</t>
  </si>
  <si>
    <t xml:space="preserve">07/01/2026</t>
  </si>
  <si>
    <t xml:space="preserve">SP-000324</t>
  </si>
  <si>
    <t xml:space="preserve">C00871</t>
  </si>
  <si>
    <t xml:space="preserve">40167-638</t>
  </si>
  <si>
    <t xml:space="preserve">SP-000395</t>
  </si>
  <si>
    <t xml:space="preserve">SP-000416</t>
  </si>
  <si>
    <t xml:space="preserve">SP-000291</t>
  </si>
  <si>
    <t xml:space="preserve">08/01/2026</t>
  </si>
  <si>
    <t xml:space="preserve">SP-000335</t>
  </si>
  <si>
    <t xml:space="preserve">SP-000337</t>
  </si>
  <si>
    <t xml:space="preserve">C01365</t>
  </si>
  <si>
    <t xml:space="preserve">24802-242</t>
  </si>
  <si>
    <t xml:space="preserve">SP-000364</t>
  </si>
  <si>
    <t xml:space="preserve">C00238</t>
  </si>
  <si>
    <t xml:space="preserve">MIAMI</t>
  </si>
  <si>
    <t xml:space="preserve">SP-000382</t>
  </si>
  <si>
    <t xml:space="preserve">R$ 670,00</t>
  </si>
  <si>
    <t xml:space="preserve">C01587</t>
  </si>
  <si>
    <t xml:space="preserve">40720-523</t>
  </si>
  <si>
    <t xml:space="preserve">SP-000429</t>
  </si>
  <si>
    <t xml:space="preserve">C01709</t>
  </si>
  <si>
    <t xml:space="preserve">90942-874</t>
  </si>
  <si>
    <t xml:space="preserve">SP-000449</t>
  </si>
  <si>
    <t xml:space="preserve">C02379</t>
  </si>
  <si>
    <t xml:space="preserve">01496-272</t>
  </si>
  <si>
    <t xml:space="preserve">SP-000334</t>
  </si>
  <si>
    <t xml:space="preserve">10/01/2026</t>
  </si>
  <si>
    <t xml:space="preserve">SP-000750</t>
  </si>
  <si>
    <t xml:space="preserve">13/01/2026</t>
  </si>
  <si>
    <t xml:space="preserve">14/01/2026</t>
  </si>
  <si>
    <t xml:space="preserve">SP-000253</t>
  </si>
  <si>
    <t xml:space="preserve">SP-000295</t>
  </si>
  <si>
    <t xml:space="preserve">C00720</t>
  </si>
  <si>
    <t xml:space="preserve">13115-392</t>
  </si>
  <si>
    <t xml:space="preserve">SP-000316</t>
  </si>
  <si>
    <t xml:space="preserve">SP-000376</t>
  </si>
  <si>
    <t xml:space="preserve">SP-000261</t>
  </si>
  <si>
    <t xml:space="preserve">15/01/2026</t>
  </si>
  <si>
    <t xml:space="preserve">SP-000391</t>
  </si>
  <si>
    <t xml:space="preserve">17/01/2026</t>
  </si>
  <si>
    <t xml:space="preserve">R$ 1.300,00</t>
  </si>
  <si>
    <t xml:space="preserve">SP-000436</t>
  </si>
  <si>
    <t xml:space="preserve">SP-000443</t>
  </si>
  <si>
    <t xml:space="preserve">19/01/2026</t>
  </si>
  <si>
    <t xml:space="preserve">C01084</t>
  </si>
  <si>
    <t xml:space="preserve">01679-702</t>
  </si>
  <si>
    <t xml:space="preserve">SP-000772</t>
  </si>
  <si>
    <t xml:space="preserve">22/01/2026</t>
  </si>
  <si>
    <t xml:space="preserve">SP-000390</t>
  </si>
  <si>
    <t xml:space="preserve">20/01/2026</t>
  </si>
  <si>
    <t xml:space="preserve">SP-000394</t>
  </si>
  <si>
    <t xml:space="preserve">R$ 2.020,00</t>
  </si>
  <si>
    <t xml:space="preserve">C01173</t>
  </si>
  <si>
    <t xml:space="preserve">SP-000407</t>
  </si>
  <si>
    <t xml:space="preserve">SP-000273</t>
  </si>
  <si>
    <t xml:space="preserve">21/01/2026</t>
  </si>
  <si>
    <t xml:space="preserve">C02487</t>
  </si>
  <si>
    <t xml:space="preserve">11639-554</t>
  </si>
  <si>
    <t xml:space="preserve">SP-000309</t>
  </si>
  <si>
    <t xml:space="preserve">R$ 382,50</t>
  </si>
  <si>
    <t xml:space="preserve">SP-000363</t>
  </si>
  <si>
    <t xml:space="preserve">C01576</t>
  </si>
  <si>
    <t xml:space="preserve">SP-000428</t>
  </si>
  <si>
    <t xml:space="preserve">SP-000265</t>
  </si>
  <si>
    <t xml:space="preserve">25/01/2026</t>
  </si>
  <si>
    <t xml:space="preserve">SP-000424</t>
  </si>
  <si>
    <t xml:space="preserve">R$ 490,00</t>
  </si>
  <si>
    <t xml:space="preserve">SP-000448</t>
  </si>
  <si>
    <t xml:space="preserve">26/01/2026</t>
  </si>
  <si>
    <t xml:space="preserve">C00219</t>
  </si>
  <si>
    <t xml:space="preserve">29011-932</t>
  </si>
  <si>
    <t xml:space="preserve">SP-000637</t>
  </si>
  <si>
    <t xml:space="preserve">28/01/2026</t>
  </si>
  <si>
    <t xml:space="preserve">30/01/2026</t>
  </si>
  <si>
    <t xml:space="preserve">SP-000676</t>
  </si>
  <si>
    <t xml:space="preserve">SP-000399</t>
  </si>
  <si>
    <t xml:space="preserve">29/01/2026</t>
  </si>
  <si>
    <t xml:space="preserve">C01626</t>
  </si>
  <si>
    <t xml:space="preserve">30080-802</t>
  </si>
  <si>
    <t xml:space="preserve">SP-000739</t>
  </si>
  <si>
    <t xml:space="preserve">31/01/2026</t>
  </si>
  <si>
    <t xml:space="preserve">01/02/2026</t>
  </si>
  <si>
    <t xml:space="preserve">SP-000260</t>
  </si>
  <si>
    <t xml:space="preserve">R$ 357,50</t>
  </si>
  <si>
    <t xml:space="preserve">SP-000686</t>
  </si>
  <si>
    <t xml:space="preserve">02/02/2026</t>
  </si>
  <si>
    <t xml:space="preserve">C02236</t>
  </si>
  <si>
    <t xml:space="preserve">24776-558</t>
  </si>
  <si>
    <t xml:space="preserve">SP-000404</t>
  </si>
  <si>
    <t xml:space="preserve">C01106</t>
  </si>
  <si>
    <t xml:space="preserve">01722-056</t>
  </si>
  <si>
    <t xml:space="preserve">SP-000270</t>
  </si>
  <si>
    <t xml:space="preserve">03/02/2026</t>
  </si>
  <si>
    <t xml:space="preserve">R$ 1.120,00</t>
  </si>
  <si>
    <t xml:space="preserve">C02082</t>
  </si>
  <si>
    <t xml:space="preserve">11118-455</t>
  </si>
  <si>
    <t xml:space="preserve">SP-000386</t>
  </si>
  <si>
    <t xml:space="preserve">05/02/2026</t>
  </si>
  <si>
    <t xml:space="preserve">SP-000454</t>
  </si>
  <si>
    <t xml:space="preserve">C00725</t>
  </si>
  <si>
    <t xml:space="preserve">70876-597</t>
  </si>
  <si>
    <t xml:space="preserve">SP-000355</t>
  </si>
  <si>
    <t xml:space="preserve">06/02/2026</t>
  </si>
  <si>
    <t xml:space="preserve">R$ 805,00</t>
  </si>
  <si>
    <t xml:space="preserve">C02116</t>
  </si>
  <si>
    <t xml:space="preserve">SP-000725</t>
  </si>
  <si>
    <t xml:space="preserve">07/02/2026</t>
  </si>
  <si>
    <t xml:space="preserve">C02353</t>
  </si>
  <si>
    <t xml:space="preserve">01106-350</t>
  </si>
  <si>
    <t xml:space="preserve">SP-000329</t>
  </si>
  <si>
    <t xml:space="preserve">08/02/2026</t>
  </si>
  <si>
    <t xml:space="preserve">C00495</t>
  </si>
  <si>
    <t xml:space="preserve">13020-936</t>
  </si>
  <si>
    <t xml:space="preserve">SP-000243</t>
  </si>
  <si>
    <t xml:space="preserve">11/02/2026</t>
  </si>
  <si>
    <t xml:space="preserve">C02234</t>
  </si>
  <si>
    <t xml:space="preserve">11540-705</t>
  </si>
  <si>
    <t xml:space="preserve">SP-000370</t>
  </si>
  <si>
    <t xml:space="preserve">SP-000301</t>
  </si>
  <si>
    <t xml:space="preserve">13/02/2026</t>
  </si>
  <si>
    <t xml:space="preserve">SP-000368</t>
  </si>
  <si>
    <t xml:space="preserve">15/02/2026</t>
  </si>
  <si>
    <t xml:space="preserve">C01551</t>
  </si>
  <si>
    <t xml:space="preserve">88516-628</t>
  </si>
  <si>
    <t xml:space="preserve">SP-000688</t>
  </si>
  <si>
    <t xml:space="preserve">SP-000293</t>
  </si>
  <si>
    <t xml:space="preserve">16/02/2026</t>
  </si>
  <si>
    <t xml:space="preserve">SP-000418</t>
  </si>
  <si>
    <t xml:space="preserve">SP-000323</t>
  </si>
  <si>
    <t xml:space="preserve">19/02/2026</t>
  </si>
  <si>
    <t xml:space="preserve">SP-000650</t>
  </si>
  <si>
    <t xml:space="preserve">20/02/2026</t>
  </si>
  <si>
    <t xml:space="preserve">SP-000460</t>
  </si>
  <si>
    <t xml:space="preserve">R$ 930,00</t>
  </si>
  <si>
    <t xml:space="preserve">SP-000642</t>
  </si>
  <si>
    <t xml:space="preserve">21/02/2026</t>
  </si>
  <si>
    <t xml:space="preserve">SP-000379</t>
  </si>
  <si>
    <t xml:space="preserve">R$ 905,00</t>
  </si>
  <si>
    <t xml:space="preserve">SP-000396</t>
  </si>
  <si>
    <t xml:space="preserve">C02460</t>
  </si>
  <si>
    <t xml:space="preserve">32412-165</t>
  </si>
  <si>
    <t xml:space="preserve">SP-000271</t>
  </si>
  <si>
    <t xml:space="preserve">22/02/2026</t>
  </si>
  <si>
    <t xml:space="preserve">R$ 2.080,00</t>
  </si>
  <si>
    <t xml:space="preserve">C00772</t>
  </si>
  <si>
    <t xml:space="preserve">01702-880</t>
  </si>
  <si>
    <t xml:space="preserve">SP-000298</t>
  </si>
  <si>
    <t xml:space="preserve">C02417</t>
  </si>
  <si>
    <t xml:space="preserve">50767-994</t>
  </si>
  <si>
    <t xml:space="preserve">SP-000768</t>
  </si>
  <si>
    <t xml:space="preserve">23/02/2026</t>
  </si>
  <si>
    <t xml:space="preserve">SP-000231</t>
  </si>
  <si>
    <t xml:space="preserve">24/02/2026</t>
  </si>
  <si>
    <t xml:space="preserve">SP-000233</t>
  </si>
  <si>
    <t xml:space="preserve">25/02/2026</t>
  </si>
  <si>
    <t xml:space="preserve">R$ 1.500,00</t>
  </si>
  <si>
    <t xml:space="preserve">C01410</t>
  </si>
  <si>
    <t xml:space="preserve">74360-360</t>
  </si>
  <si>
    <t xml:space="preserve">SP-000342</t>
  </si>
  <si>
    <t xml:space="preserve">27/02/2026</t>
  </si>
  <si>
    <t xml:space="preserve">SP-000360</t>
  </si>
  <si>
    <t xml:space="preserve">C02452</t>
  </si>
  <si>
    <t xml:space="preserve">13994-379</t>
  </si>
  <si>
    <t xml:space="preserve">SP-000236</t>
  </si>
  <si>
    <t xml:space="preserve">28/02/2026</t>
  </si>
  <si>
    <t xml:space="preserve">SP-000345</t>
  </si>
  <si>
    <t xml:space="preserve">03/03/2026</t>
  </si>
  <si>
    <t xml:space="preserve">SP-000375</t>
  </si>
  <si>
    <t xml:space="preserve">C01445</t>
  </si>
  <si>
    <t xml:space="preserve">SP-000380</t>
  </si>
  <si>
    <t xml:space="preserve">C02072</t>
  </si>
  <si>
    <t xml:space="preserve">11691-833</t>
  </si>
  <si>
    <t xml:space="preserve">SP-000439</t>
  </si>
  <si>
    <t xml:space="preserve">C01087</t>
  </si>
  <si>
    <t xml:space="preserve">50322-428</t>
  </si>
  <si>
    <t xml:space="preserve">SP-000318</t>
  </si>
  <si>
    <t xml:space="preserve">04/03/2026</t>
  </si>
  <si>
    <t xml:space="preserve">R$ 1.110,00</t>
  </si>
  <si>
    <t xml:space="preserve">SP-000450</t>
  </si>
  <si>
    <t xml:space="preserve">05/03/2026</t>
  </si>
  <si>
    <t xml:space="preserve">C01315</t>
  </si>
  <si>
    <t xml:space="preserve">SP-000377</t>
  </si>
  <si>
    <t xml:space="preserve">06/03/2026</t>
  </si>
  <si>
    <t xml:space="preserve">SP-000458</t>
  </si>
  <si>
    <t xml:space="preserve">C01602</t>
  </si>
  <si>
    <t xml:space="preserve">20912-892</t>
  </si>
  <si>
    <t xml:space="preserve">SP-000276</t>
  </si>
  <si>
    <t xml:space="preserve">07/03/2026</t>
  </si>
  <si>
    <t xml:space="preserve">C00311</t>
  </si>
  <si>
    <t xml:space="preserve">01249-972</t>
  </si>
  <si>
    <t xml:space="preserve">SP-000720</t>
  </si>
  <si>
    <t xml:space="preserve">10/03/2026</t>
  </si>
  <si>
    <t xml:space="preserve">SP-000752</t>
  </si>
  <si>
    <t xml:space="preserve">09/03/2026</t>
  </si>
  <si>
    <t xml:space="preserve">SP-000312</t>
  </si>
  <si>
    <t xml:space="preserve">SP-000325</t>
  </si>
  <si>
    <t xml:space="preserve">SP-000317</t>
  </si>
  <si>
    <t xml:space="preserve">SP-000245</t>
  </si>
  <si>
    <t xml:space="preserve">11/03/2026</t>
  </si>
  <si>
    <t xml:space="preserve">SP-000437</t>
  </si>
  <si>
    <t xml:space="preserve">R$ 1.065,00</t>
  </si>
  <si>
    <t xml:space="preserve">SP-000684</t>
  </si>
  <si>
    <t xml:space="preserve">SP-000362</t>
  </si>
  <si>
    <t xml:space="preserve">12/03/2026</t>
  </si>
  <si>
    <t xml:space="preserve">C01601</t>
  </si>
  <si>
    <t xml:space="preserve">SP-000367</t>
  </si>
  <si>
    <t xml:space="preserve">SP-000432</t>
  </si>
  <si>
    <t xml:space="preserve">C02457</t>
  </si>
  <si>
    <t xml:space="preserve">11790-499</t>
  </si>
  <si>
    <t xml:space="preserve">SP-000683</t>
  </si>
  <si>
    <t xml:space="preserve">14/03/2026</t>
  </si>
  <si>
    <t xml:space="preserve">SP-000239</t>
  </si>
  <si>
    <t xml:space="preserve">13/03/2026</t>
  </si>
  <si>
    <t xml:space="preserve">C01096</t>
  </si>
  <si>
    <t xml:space="preserve">13390-734</t>
  </si>
  <si>
    <t xml:space="preserve">SP-000302</t>
  </si>
  <si>
    <t xml:space="preserve">SP-000349</t>
  </si>
  <si>
    <t xml:space="preserve">C01883</t>
  </si>
  <si>
    <t xml:space="preserve">29659-236</t>
  </si>
  <si>
    <t xml:space="preserve">SP-000441</t>
  </si>
  <si>
    <t xml:space="preserve">C01954</t>
  </si>
  <si>
    <t xml:space="preserve">13300-412</t>
  </si>
  <si>
    <t xml:space="preserve">SP-000303</t>
  </si>
  <si>
    <t xml:space="preserve">15/03/2026</t>
  </si>
  <si>
    <t xml:space="preserve">SP-000663</t>
  </si>
  <si>
    <t xml:space="preserve">18/03/2026</t>
  </si>
  <si>
    <t xml:space="preserve">SP-000652</t>
  </si>
  <si>
    <t xml:space="preserve">19/03/2026</t>
  </si>
  <si>
    <t xml:space="preserve">22/03/2026</t>
  </si>
  <si>
    <t xml:space="preserve">SP-000307</t>
  </si>
  <si>
    <t xml:space="preserve">SP-000444</t>
  </si>
  <si>
    <t xml:space="preserve">24/03/2026</t>
  </si>
  <si>
    <t xml:space="preserve">R$ 875,00</t>
  </si>
  <si>
    <t xml:space="preserve">SP-000350</t>
  </si>
  <si>
    <t xml:space="preserve">25/03/2026</t>
  </si>
  <si>
    <t xml:space="preserve">C00891</t>
  </si>
  <si>
    <t xml:space="preserve">50007-782</t>
  </si>
  <si>
    <t xml:space="preserve">SP-000735</t>
  </si>
  <si>
    <t xml:space="preserve">26/03/2026</t>
  </si>
  <si>
    <t xml:space="preserve">C00661</t>
  </si>
  <si>
    <t xml:space="preserve">SP-000387</t>
  </si>
  <si>
    <t xml:space="preserve">SP-000412</t>
  </si>
  <si>
    <t xml:space="preserve">SP-000648</t>
  </si>
  <si>
    <t xml:space="preserve">27/03/2026</t>
  </si>
  <si>
    <t xml:space="preserve">28/03/2026</t>
  </si>
  <si>
    <t xml:space="preserve">SP-000266</t>
  </si>
  <si>
    <t xml:space="preserve">C01868</t>
  </si>
  <si>
    <t xml:space="preserve">80685-070</t>
  </si>
  <si>
    <t xml:space="preserve">SP-000666</t>
  </si>
  <si>
    <t xml:space="preserve">30/03/2026</t>
  </si>
  <si>
    <t xml:space="preserve">SP-000667</t>
  </si>
  <si>
    <t xml:space="preserve">01/04/2026</t>
  </si>
  <si>
    <t xml:space="preserve">02/04/2026</t>
  </si>
  <si>
    <t xml:space="preserve">SP-000255</t>
  </si>
  <si>
    <t xml:space="preserve">R$ 1.820,00</t>
  </si>
  <si>
    <t xml:space="preserve">SP-000381</t>
  </si>
  <si>
    <t xml:space="preserve">03/04/2026</t>
  </si>
  <si>
    <t xml:space="preserve">C02355</t>
  </si>
  <si>
    <t xml:space="preserve">SP-000246</t>
  </si>
  <si>
    <t xml:space="preserve">04/04/2026</t>
  </si>
  <si>
    <t xml:space="preserve">SP-000430</t>
  </si>
  <si>
    <t xml:space="preserve">SP-000400</t>
  </si>
  <si>
    <t xml:space="preserve">06/04/2026</t>
  </si>
  <si>
    <t xml:space="preserve">C01079</t>
  </si>
  <si>
    <t xml:space="preserve">santos</t>
  </si>
  <si>
    <t xml:space="preserve">11692-857</t>
  </si>
  <si>
    <t xml:space="preserve">SP-000299</t>
  </si>
  <si>
    <t xml:space="preserve">07/04/2026</t>
  </si>
  <si>
    <t xml:space="preserve">R$ 815,00</t>
  </si>
  <si>
    <t xml:space="preserve">SP-000352</t>
  </si>
  <si>
    <t xml:space="preserve">SP-000281</t>
  </si>
  <si>
    <t xml:space="preserve">08/04/2026</t>
  </si>
  <si>
    <t xml:space="preserve">C01008</t>
  </si>
  <si>
    <t xml:space="preserve">13114-662</t>
  </si>
  <si>
    <t xml:space="preserve">SP-000627</t>
  </si>
  <si>
    <t xml:space="preserve">10/04/2026</t>
  </si>
  <si>
    <t xml:space="preserve">SP-000427</t>
  </si>
  <si>
    <t xml:space="preserve">09/04/2026</t>
  </si>
  <si>
    <t xml:space="preserve">C01559</t>
  </si>
  <si>
    <t xml:space="preserve">90055-388</t>
  </si>
  <si>
    <t xml:space="preserve">SP-000712</t>
  </si>
  <si>
    <t xml:space="preserve">13/04/2026</t>
  </si>
  <si>
    <t xml:space="preserve">SP-000242</t>
  </si>
  <si>
    <t xml:space="preserve">11/04/2026</t>
  </si>
  <si>
    <t xml:space="preserve">R$ 2.240,00</t>
  </si>
  <si>
    <t xml:space="preserve">SP-000258</t>
  </si>
  <si>
    <t xml:space="preserve">C01233</t>
  </si>
  <si>
    <t xml:space="preserve">32516-279</t>
  </si>
  <si>
    <t xml:space="preserve">SP-000259</t>
  </si>
  <si>
    <t xml:space="preserve">C01264</t>
  </si>
  <si>
    <t xml:space="preserve">70248-614</t>
  </si>
  <si>
    <t xml:space="preserve">SP-000308</t>
  </si>
  <si>
    <t xml:space="preserve">SP-000353</t>
  </si>
  <si>
    <t xml:space="preserve">SP-000372</t>
  </si>
  <si>
    <t xml:space="preserve">C01183</t>
  </si>
  <si>
    <t xml:space="preserve">campinas</t>
  </si>
  <si>
    <t xml:space="preserve">13079-987</t>
  </si>
  <si>
    <t xml:space="preserve">SP-000374</t>
  </si>
  <si>
    <t xml:space="preserve">R$ 400,00</t>
  </si>
  <si>
    <t xml:space="preserve">SP-000423</t>
  </si>
  <si>
    <t xml:space="preserve">SP-000282</t>
  </si>
  <si>
    <t xml:space="preserve">12/04/2026</t>
  </si>
  <si>
    <t xml:space="preserve">SP-000284</t>
  </si>
  <si>
    <t xml:space="preserve">C01302</t>
  </si>
  <si>
    <t xml:space="preserve">90871-361</t>
  </si>
  <si>
    <t xml:space="preserve">SP-000294</t>
  </si>
  <si>
    <t xml:space="preserve">C00250</t>
  </si>
  <si>
    <t xml:space="preserve">11052-051</t>
  </si>
  <si>
    <t xml:space="preserve">SP-000297</t>
  </si>
  <si>
    <t xml:space="preserve">R$ 920,00</t>
  </si>
  <si>
    <t xml:space="preserve">C01459</t>
  </si>
  <si>
    <t xml:space="preserve">Contagem </t>
  </si>
  <si>
    <t xml:space="preserve">32689-640</t>
  </si>
  <si>
    <t xml:space="preserve">SP-000365</t>
  </si>
  <si>
    <t xml:space="preserve">R$ 2.060,00</t>
  </si>
  <si>
    <t xml:space="preserve">SP-000440</t>
  </si>
  <si>
    <t xml:space="preserve">SP-000612</t>
  </si>
  <si>
    <t xml:space="preserve">14/04/2026</t>
  </si>
  <si>
    <t xml:space="preserve">SP-000626</t>
  </si>
  <si>
    <t xml:space="preserve">15/04/2026</t>
  </si>
  <si>
    <t xml:space="preserve">SP-000753</t>
  </si>
  <si>
    <t xml:space="preserve">C02307</t>
  </si>
  <si>
    <t xml:space="preserve">SP-000238</t>
  </si>
  <si>
    <t xml:space="preserve">SP-000240</t>
  </si>
  <si>
    <t xml:space="preserve">SP-000283</t>
  </si>
  <si>
    <t xml:space="preserve">SP-000289</t>
  </si>
  <si>
    <t xml:space="preserve">C01541</t>
  </si>
  <si>
    <t xml:space="preserve">SP-000378</t>
  </si>
  <si>
    <t xml:space="preserve">R$ 850,00</t>
  </si>
  <si>
    <t xml:space="preserve">SP-000397</t>
  </si>
  <si>
    <t xml:space="preserve">R$ 502,50</t>
  </si>
  <si>
    <t xml:space="preserve">C01063</t>
  </si>
  <si>
    <t xml:space="preserve">74298-641</t>
  </si>
  <si>
    <t xml:space="preserve">SP-000413</t>
  </si>
  <si>
    <t xml:space="preserve">SP-000419</t>
  </si>
  <si>
    <t xml:space="preserve">C00997</t>
  </si>
  <si>
    <t xml:space="preserve">CURITIBA</t>
  </si>
  <si>
    <t xml:space="preserve">80899-252</t>
  </si>
  <si>
    <t xml:space="preserve">SP-000433</t>
  </si>
  <si>
    <t xml:space="preserve">SP-000446</t>
  </si>
  <si>
    <t xml:space="preserve">R$ 330,00</t>
  </si>
  <si>
    <t xml:space="preserve">SP-000249</t>
  </si>
  <si>
    <t xml:space="preserve">SP-000251</t>
  </si>
  <si>
    <t xml:space="preserve">C00686</t>
  </si>
  <si>
    <t xml:space="preserve">30791-648</t>
  </si>
  <si>
    <t xml:space="preserve">SP-000264</t>
  </si>
  <si>
    <t xml:space="preserve">SP-000314</t>
  </si>
  <si>
    <t xml:space="preserve">R$ 522,50</t>
  </si>
  <si>
    <t xml:space="preserve">C00016</t>
  </si>
  <si>
    <t xml:space="preserve">11773-016</t>
  </si>
  <si>
    <t xml:space="preserve">SP-000320</t>
  </si>
  <si>
    <t xml:space="preserve">SP-000321</t>
  </si>
  <si>
    <t xml:space="preserve">C02294</t>
  </si>
  <si>
    <t xml:space="preserve">01477-121</t>
  </si>
  <si>
    <t xml:space="preserve">SP-000326</t>
  </si>
  <si>
    <t xml:space="preserve">SP-000357</t>
  </si>
  <si>
    <t xml:space="preserve">C02313</t>
  </si>
  <si>
    <t xml:space="preserve">80938-005</t>
  </si>
  <si>
    <t xml:space="preserve">SP-000388</t>
  </si>
  <si>
    <t xml:space="preserve">SP-000455</t>
  </si>
  <si>
    <t xml:space="preserve">R$ 1.420,00</t>
  </si>
  <si>
    <t xml:space="preserve">C00797</t>
  </si>
  <si>
    <t xml:space="preserve">24702-988</t>
  </si>
  <si>
    <t xml:space="preserve">SP-000244</t>
  </si>
  <si>
    <t xml:space="preserve">C02360</t>
  </si>
  <si>
    <t xml:space="preserve">SP-000263</t>
  </si>
  <si>
    <t xml:space="preserve">C01660</t>
  </si>
  <si>
    <t xml:space="preserve">70707-572</t>
  </si>
  <si>
    <t xml:space="preserve">SP-000310</t>
  </si>
  <si>
    <t xml:space="preserve">C00590</t>
  </si>
  <si>
    <t xml:space="preserve">SP-000328</t>
  </si>
  <si>
    <t xml:space="preserve">SP-000331</t>
  </si>
  <si>
    <t xml:space="preserve">R$ 457,50</t>
  </si>
  <si>
    <t xml:space="preserve">C02038</t>
  </si>
  <si>
    <t xml:space="preserve">30733-205</t>
  </si>
  <si>
    <t xml:space="preserve">SP-000425</t>
  </si>
  <si>
    <t xml:space="preserve">SP-000622</t>
  </si>
  <si>
    <t xml:space="preserve">16/04/2026</t>
  </si>
  <si>
    <t xml:space="preserve">SP-000275</t>
  </si>
  <si>
    <t xml:space="preserve">SP-000305</t>
  </si>
  <si>
    <t xml:space="preserve">SP-000327</t>
  </si>
  <si>
    <t xml:space="preserve">R$ 1.360,00</t>
  </si>
  <si>
    <t xml:space="preserve">C01656</t>
  </si>
  <si>
    <t xml:space="preserve">RECIFE</t>
  </si>
  <si>
    <t xml:space="preserve">50221-947</t>
  </si>
  <si>
    <t xml:space="preserve">SP-000354</t>
  </si>
  <si>
    <t xml:space="preserve">C01624</t>
  </si>
  <si>
    <t xml:space="preserve">13908-777</t>
  </si>
  <si>
    <t xml:space="preserve">SP-000358</t>
  </si>
  <si>
    <t xml:space="preserve">C00909</t>
  </si>
  <si>
    <t xml:space="preserve">29704-239</t>
  </si>
  <si>
    <t xml:space="preserve">SP-000422</t>
  </si>
  <si>
    <t xml:space="preserve">C00663</t>
  </si>
  <si>
    <t xml:space="preserve">90023-700</t>
  </si>
  <si>
    <t xml:space="preserve">SP-000426</t>
  </si>
  <si>
    <t xml:space="preserve">SP-000445</t>
  </si>
  <si>
    <t xml:space="preserve">C01623</t>
  </si>
  <si>
    <t xml:space="preserve">88802-604</t>
  </si>
  <si>
    <t xml:space="preserve">SP-000452</t>
  </si>
  <si>
    <t xml:space="preserve">SP-000280</t>
  </si>
  <si>
    <t xml:space="preserve">17/04/2026</t>
  </si>
  <si>
    <t xml:space="preserve">SP-000286</t>
  </si>
  <si>
    <t xml:space="preserve">SP-000300</t>
  </si>
  <si>
    <t xml:space="preserve">C00853</t>
  </si>
  <si>
    <t xml:space="preserve">01867-207</t>
  </si>
  <si>
    <t xml:space="preserve">SP-000322</t>
  </si>
  <si>
    <t xml:space="preserve">C02018</t>
  </si>
  <si>
    <t xml:space="preserve">SP-000347</t>
  </si>
  <si>
    <t xml:space="preserve">SP-000384</t>
  </si>
  <si>
    <t xml:space="preserve">C00572</t>
  </si>
  <si>
    <t xml:space="preserve">40051-671</t>
  </si>
  <si>
    <t xml:space="preserve">SP-000402</t>
  </si>
  <si>
    <t xml:space="preserve">SP-000431</t>
  </si>
  <si>
    <t xml:space="preserve">SP-000674</t>
  </si>
  <si>
    <t xml:space="preserve">20/04/2026</t>
  </si>
  <si>
    <t xml:space="preserve">SP-000256</t>
  </si>
  <si>
    <t xml:space="preserve">SP-000257</t>
  </si>
  <si>
    <t xml:space="preserve">SP-000262</t>
  </si>
  <si>
    <t xml:space="preserve">SP-000278</t>
  </si>
  <si>
    <t xml:space="preserve">R$ 1.410,00</t>
  </si>
  <si>
    <t xml:space="preserve">SP-000332</t>
  </si>
  <si>
    <t xml:space="preserve">SP-000393</t>
  </si>
  <si>
    <t xml:space="preserve">SP-000409</t>
  </si>
  <si>
    <t xml:space="preserve">SP-000414</t>
  </si>
  <si>
    <t xml:space="preserve">C00480</t>
  </si>
  <si>
    <t xml:space="preserve">30443-713</t>
  </si>
  <si>
    <t xml:space="preserve">SP-000421</t>
  </si>
  <si>
    <t xml:space="preserve">Miami </t>
  </si>
  <si>
    <t xml:space="preserve">SP-000614</t>
  </si>
  <si>
    <t xml:space="preserve">SP-000771</t>
  </si>
  <si>
    <t xml:space="preserve">SP-000633</t>
  </si>
  <si>
    <t xml:space="preserve">24/04/2026</t>
  </si>
  <si>
    <t xml:space="preserve">SP-000677</t>
  </si>
  <si>
    <t xml:space="preserve">25/04/2026</t>
  </si>
  <si>
    <t xml:space="preserve">SP-000651</t>
  </si>
  <si>
    <t xml:space="preserve">26/04/2026</t>
  </si>
  <si>
    <t xml:space="preserve">29/04/2026</t>
  </si>
  <si>
    <t xml:space="preserve">SP-000629</t>
  </si>
  <si>
    <t xml:space="preserve">28/04/2026</t>
  </si>
  <si>
    <t xml:space="preserve">30/04/2026</t>
  </si>
  <si>
    <t xml:space="preserve">SP-000766</t>
  </si>
  <si>
    <t xml:space="preserve">SP-000616</t>
  </si>
  <si>
    <t xml:space="preserve">01/05/2026</t>
  </si>
  <si>
    <t xml:space="preserve">03/05/2026</t>
  </si>
  <si>
    <t xml:space="preserve">C00751</t>
  </si>
  <si>
    <t xml:space="preserve">01184-110</t>
  </si>
  <si>
    <t xml:space="preserve">SP-000710</t>
  </si>
  <si>
    <t xml:space="preserve">02/05/2026</t>
  </si>
  <si>
    <t xml:space="preserve">SP-000643</t>
  </si>
  <si>
    <t xml:space="preserve">05/05/2026</t>
  </si>
  <si>
    <t xml:space="preserve">SP-000611</t>
  </si>
  <si>
    <t xml:space="preserve">08/05/2026</t>
  </si>
  <si>
    <t xml:space="preserve">SP-000779</t>
  </si>
  <si>
    <t xml:space="preserve">10/05/2026</t>
  </si>
  <si>
    <t xml:space="preserve">SP-000730</t>
  </si>
  <si>
    <t xml:space="preserve">22/05/2026</t>
  </si>
  <si>
    <t xml:space="preserve">23/05/2026</t>
  </si>
  <si>
    <t xml:space="preserve">SP-000706</t>
  </si>
  <si>
    <t xml:space="preserve">28/05/2026</t>
  </si>
  <si>
    <t xml:space="preserve">29/05/2026</t>
  </si>
  <si>
    <t xml:space="preserve">SP-000669</t>
  </si>
  <si>
    <t xml:space="preserve">01/06/2026</t>
  </si>
  <si>
    <t xml:space="preserve">02/06/2026</t>
  </si>
  <si>
    <t xml:space="preserve">SP-000737</t>
  </si>
  <si>
    <t xml:space="preserve">03/06/2026</t>
  </si>
  <si>
    <t xml:space="preserve">05/06/2026</t>
  </si>
  <si>
    <t xml:space="preserve">SP-000646</t>
  </si>
  <si>
    <t xml:space="preserve">07/06/2026</t>
  </si>
  <si>
    <t xml:space="preserve">10/06/2026</t>
  </si>
  <si>
    <t xml:space="preserve">SP-000724</t>
  </si>
  <si>
    <t xml:space="preserve">08/06/2026</t>
  </si>
  <si>
    <t xml:space="preserve">09/06/2026</t>
  </si>
  <si>
    <t xml:space="preserve">SP-000773</t>
  </si>
  <si>
    <t xml:space="preserve">SP-000756</t>
  </si>
  <si>
    <t xml:space="preserve">18/06/2026</t>
  </si>
  <si>
    <t xml:space="preserve">20/06/2026</t>
  </si>
  <si>
    <t xml:space="preserve">SP-000675</t>
  </si>
  <si>
    <t xml:space="preserve">22/06/2026</t>
  </si>
  <si>
    <t xml:space="preserve">24/06/2026</t>
  </si>
  <si>
    <t xml:space="preserve">SP-000762</t>
  </si>
  <si>
    <t xml:space="preserve">23/06/2026</t>
  </si>
  <si>
    <t xml:space="preserve">SP-000723</t>
  </si>
  <si>
    <t xml:space="preserve">26/06/2026</t>
  </si>
  <si>
    <t xml:space="preserve">29/06/2026</t>
  </si>
  <si>
    <t xml:space="preserve">C02138</t>
  </si>
  <si>
    <t xml:space="preserve">01799-975</t>
  </si>
  <si>
    <t xml:space="preserve">RJ-000627</t>
  </si>
  <si>
    <t xml:space="preserve">Cinema Barra - Sessões</t>
  </si>
  <si>
    <t xml:space="preserve">Rio</t>
  </si>
  <si>
    <t xml:space="preserve">C02405</t>
  </si>
  <si>
    <t xml:space="preserve">Rio de Janeiro </t>
  </si>
  <si>
    <t xml:space="preserve">20141-894</t>
  </si>
  <si>
    <t xml:space="preserve">vendas_RJ.xlsx</t>
  </si>
  <si>
    <t xml:space="preserve">RJ-000654</t>
  </si>
  <si>
    <t xml:space="preserve">C00044</t>
  </si>
  <si>
    <t xml:space="preserve">20925-032</t>
  </si>
  <si>
    <t xml:space="preserve">RJ-000678</t>
  </si>
  <si>
    <t xml:space="preserve">rio de janeiro </t>
  </si>
  <si>
    <t xml:space="preserve">RJ-000579</t>
  </si>
  <si>
    <t xml:space="preserve">C02372</t>
  </si>
  <si>
    <t xml:space="preserve">20880-017</t>
  </si>
  <si>
    <t xml:space="preserve">RJ-000683</t>
  </si>
  <si>
    <t xml:space="preserve">C00312</t>
  </si>
  <si>
    <t xml:space="preserve">20197-779</t>
  </si>
  <si>
    <t xml:space="preserve">RJ-000652</t>
  </si>
  <si>
    <t xml:space="preserve">C00902</t>
  </si>
  <si>
    <t xml:space="preserve">20611-216</t>
  </si>
  <si>
    <t xml:space="preserve">RJ-000672</t>
  </si>
  <si>
    <t xml:space="preserve">C00006</t>
  </si>
  <si>
    <t xml:space="preserve">20881-047</t>
  </si>
  <si>
    <t xml:space="preserve">RJ-000557</t>
  </si>
  <si>
    <t xml:space="preserve">C01976</t>
  </si>
  <si>
    <t xml:space="preserve">20258-241</t>
  </si>
  <si>
    <t xml:space="preserve">RJ-000638</t>
  </si>
  <si>
    <t xml:space="preserve">C01689</t>
  </si>
  <si>
    <t xml:space="preserve">20709-325</t>
  </si>
  <si>
    <t xml:space="preserve">RJ-000552</t>
  </si>
  <si>
    <t xml:space="preserve">RJ-000609</t>
  </si>
  <si>
    <t xml:space="preserve">C01597</t>
  </si>
  <si>
    <t xml:space="preserve">20584-463</t>
  </si>
  <si>
    <t xml:space="preserve">RJ-000591</t>
  </si>
  <si>
    <t xml:space="preserve">C01635</t>
  </si>
  <si>
    <t xml:space="preserve">20078-058</t>
  </si>
  <si>
    <t xml:space="preserve">RJ-000622</t>
  </si>
  <si>
    <t xml:space="preserve">C01982</t>
  </si>
  <si>
    <t xml:space="preserve">20288-442</t>
  </si>
  <si>
    <t xml:space="preserve">RJ-000689</t>
  </si>
  <si>
    <t xml:space="preserve">Rio De Janeiro</t>
  </si>
  <si>
    <t xml:space="preserve">C02213</t>
  </si>
  <si>
    <t xml:space="preserve">20833-312</t>
  </si>
  <si>
    <t xml:space="preserve">RJ-000531</t>
  </si>
  <si>
    <t xml:space="preserve">C01038</t>
  </si>
  <si>
    <t xml:space="preserve">20055-503</t>
  </si>
  <si>
    <t xml:space="preserve">RJ-000560</t>
  </si>
  <si>
    <t xml:space="preserve">C02135</t>
  </si>
  <si>
    <t xml:space="preserve">20805-775</t>
  </si>
  <si>
    <t xml:space="preserve">RJ-000636</t>
  </si>
  <si>
    <t xml:space="preserve">C01735</t>
  </si>
  <si>
    <t xml:space="preserve">20877-829</t>
  </si>
  <si>
    <t xml:space="preserve">RJ-000280</t>
  </si>
  <si>
    <t xml:space="preserve">Show Nacional MPB - Rio</t>
  </si>
  <si>
    <t xml:space="preserve">C01931</t>
  </si>
  <si>
    <t xml:space="preserve">20219-954</t>
  </si>
  <si>
    <t xml:space="preserve">RJ-000243</t>
  </si>
  <si>
    <t xml:space="preserve">C01647</t>
  </si>
  <si>
    <t xml:space="preserve">20721-123</t>
  </si>
  <si>
    <t xml:space="preserve">RJ-000268</t>
  </si>
  <si>
    <t xml:space="preserve">C00093</t>
  </si>
  <si>
    <t xml:space="preserve">RJ-000363</t>
  </si>
  <si>
    <t xml:space="preserve">RIO DE JANEIRO</t>
  </si>
  <si>
    <t xml:space="preserve">C00071</t>
  </si>
  <si>
    <t xml:space="preserve">20796-521</t>
  </si>
  <si>
    <t xml:space="preserve">RJ-000279</t>
  </si>
  <si>
    <t xml:space="preserve">RJ-000332</t>
  </si>
  <si>
    <t xml:space="preserve">C02011</t>
  </si>
  <si>
    <t xml:space="preserve">20268-136</t>
  </si>
  <si>
    <t xml:space="preserve">RJ-000369</t>
  </si>
  <si>
    <t xml:space="preserve">C00681</t>
  </si>
  <si>
    <t xml:space="preserve">20654-488</t>
  </si>
  <si>
    <t xml:space="preserve">RJ-000233</t>
  </si>
  <si>
    <t xml:space="preserve">RJ-000254</t>
  </si>
  <si>
    <t xml:space="preserve">C01383</t>
  </si>
  <si>
    <t xml:space="preserve">50339-095</t>
  </si>
  <si>
    <t xml:space="preserve">RJ-000240</t>
  </si>
  <si>
    <t xml:space="preserve">RJ-000300</t>
  </si>
  <si>
    <t xml:space="preserve">C02161</t>
  </si>
  <si>
    <t xml:space="preserve">20758-257</t>
  </si>
  <si>
    <t xml:space="preserve">RJ-000583</t>
  </si>
  <si>
    <t xml:space="preserve">C01497</t>
  </si>
  <si>
    <t xml:space="preserve">20845-478</t>
  </si>
  <si>
    <t xml:space="preserve">RJ-000612</t>
  </si>
  <si>
    <t xml:space="preserve">C01872</t>
  </si>
  <si>
    <t xml:space="preserve">20633-428</t>
  </si>
  <si>
    <t xml:space="preserve">RJ-000619</t>
  </si>
  <si>
    <t xml:space="preserve">C00546</t>
  </si>
  <si>
    <t xml:space="preserve">20404-700</t>
  </si>
  <si>
    <t xml:space="preserve">RJ-000330</t>
  </si>
  <si>
    <t xml:space="preserve">RJ-000354</t>
  </si>
  <si>
    <t xml:space="preserve">C01621</t>
  </si>
  <si>
    <t xml:space="preserve">20162-949</t>
  </si>
  <si>
    <t xml:space="preserve">RJ-000373</t>
  </si>
  <si>
    <t xml:space="preserve">C00731</t>
  </si>
  <si>
    <t xml:space="preserve">24095-784</t>
  </si>
  <si>
    <t xml:space="preserve">RJ-000360</t>
  </si>
  <si>
    <t xml:space="preserve">C01437</t>
  </si>
  <si>
    <t xml:space="preserve">20441-424</t>
  </si>
  <si>
    <t xml:space="preserve">RJ-000247</t>
  </si>
  <si>
    <t xml:space="preserve">C01526</t>
  </si>
  <si>
    <t xml:space="preserve">20576-810</t>
  </si>
  <si>
    <t xml:space="preserve">RJ-000338</t>
  </si>
  <si>
    <t xml:space="preserve">C01260</t>
  </si>
  <si>
    <t xml:space="preserve">88083-509</t>
  </si>
  <si>
    <t xml:space="preserve">RJ-000357</t>
  </si>
  <si>
    <t xml:space="preserve">C01107</t>
  </si>
  <si>
    <t xml:space="preserve">11725-930</t>
  </si>
  <si>
    <t xml:space="preserve">RJ-000317</t>
  </si>
  <si>
    <t xml:space="preserve">C00291</t>
  </si>
  <si>
    <t xml:space="preserve">20904-777</t>
  </si>
  <si>
    <t xml:space="preserve">RJ-000642</t>
  </si>
  <si>
    <t xml:space="preserve">C02254</t>
  </si>
  <si>
    <t xml:space="preserve">20059-736</t>
  </si>
  <si>
    <t xml:space="preserve">RJ-000262</t>
  </si>
  <si>
    <t xml:space="preserve">RJ-000617</t>
  </si>
  <si>
    <t xml:space="preserve">C00347</t>
  </si>
  <si>
    <t xml:space="preserve">20496-596</t>
  </si>
  <si>
    <t xml:space="preserve">RJ-000292</t>
  </si>
  <si>
    <t xml:space="preserve">C01483</t>
  </si>
  <si>
    <t xml:space="preserve">20522-204</t>
  </si>
  <si>
    <t xml:space="preserve">RJ-000376</t>
  </si>
  <si>
    <t xml:space="preserve">C01940</t>
  </si>
  <si>
    <t xml:space="preserve">24686-148</t>
  </si>
  <si>
    <t xml:space="preserve">RJ-000629</t>
  </si>
  <si>
    <t xml:space="preserve">C01960</t>
  </si>
  <si>
    <t xml:space="preserve">20374-186</t>
  </si>
  <si>
    <t xml:space="preserve">RJ-000264</t>
  </si>
  <si>
    <t xml:space="preserve">C00948</t>
  </si>
  <si>
    <t xml:space="preserve">20040-379</t>
  </si>
  <si>
    <t xml:space="preserve">RJ-000270</t>
  </si>
  <si>
    <t xml:space="preserve">C00170</t>
  </si>
  <si>
    <t xml:space="preserve">80555-817</t>
  </si>
  <si>
    <t xml:space="preserve">RJ-000301</t>
  </si>
  <si>
    <t xml:space="preserve">C01460</t>
  </si>
  <si>
    <t xml:space="preserve">20494-726</t>
  </si>
  <si>
    <t xml:space="preserve">RJ-000250</t>
  </si>
  <si>
    <t xml:space="preserve">C02048</t>
  </si>
  <si>
    <t xml:space="preserve">30710-676</t>
  </si>
  <si>
    <t xml:space="preserve">RJ-000298</t>
  </si>
  <si>
    <t xml:space="preserve">RJ-000251</t>
  </si>
  <si>
    <t xml:space="preserve">C00443</t>
  </si>
  <si>
    <t xml:space="preserve">70418-805</t>
  </si>
  <si>
    <t xml:space="preserve">RJ-000285</t>
  </si>
  <si>
    <t xml:space="preserve">C00595</t>
  </si>
  <si>
    <t xml:space="preserve">PORTO ALEGRE</t>
  </si>
  <si>
    <t xml:space="preserve">90902-757</t>
  </si>
  <si>
    <t xml:space="preserve">RJ-000299</t>
  </si>
  <si>
    <t xml:space="preserve">RJ-000323</t>
  </si>
  <si>
    <t xml:space="preserve">C02314</t>
  </si>
  <si>
    <t xml:space="preserve">20140-990</t>
  </si>
  <si>
    <t xml:space="preserve">RJ-000308</t>
  </si>
  <si>
    <t xml:space="preserve">C00667</t>
  </si>
  <si>
    <t xml:space="preserve">70036-283</t>
  </si>
  <si>
    <t xml:space="preserve">RJ-000314</t>
  </si>
  <si>
    <t xml:space="preserve">RJ-000324</t>
  </si>
  <si>
    <t xml:space="preserve">RJ-000336</t>
  </si>
  <si>
    <t xml:space="preserve">C00697</t>
  </si>
  <si>
    <t xml:space="preserve">20489-451</t>
  </si>
  <si>
    <t xml:space="preserve">RJ-000259</t>
  </si>
  <si>
    <t xml:space="preserve">C01203</t>
  </si>
  <si>
    <t xml:space="preserve">32049-387</t>
  </si>
  <si>
    <t xml:space="preserve">RJ-000295</t>
  </si>
  <si>
    <t xml:space="preserve">C01179</t>
  </si>
  <si>
    <t xml:space="preserve">20230-012</t>
  </si>
  <si>
    <t xml:space="preserve">RJ-000316</t>
  </si>
  <si>
    <t xml:space="preserve">C00007</t>
  </si>
  <si>
    <t xml:space="preserve">11682-874</t>
  </si>
  <si>
    <t xml:space="preserve">RJ-000364</t>
  </si>
  <si>
    <t xml:space="preserve">C01525</t>
  </si>
  <si>
    <t xml:space="preserve">40035-067</t>
  </si>
  <si>
    <t xml:space="preserve">RJ-000375</t>
  </si>
  <si>
    <t xml:space="preserve">RJ-000342</t>
  </si>
  <si>
    <t xml:space="preserve">C00105</t>
  </si>
  <si>
    <t xml:space="preserve">20069-754</t>
  </si>
  <si>
    <t xml:space="preserve">RJ-000284</t>
  </si>
  <si>
    <t xml:space="preserve">RJ-000293</t>
  </si>
  <si>
    <t xml:space="preserve">C01099</t>
  </si>
  <si>
    <t xml:space="preserve">20360-212</t>
  </si>
  <si>
    <t xml:space="preserve">RJ-000260</t>
  </si>
  <si>
    <t xml:space="preserve">C00973</t>
  </si>
  <si>
    <t xml:space="preserve">24928-063</t>
  </si>
  <si>
    <t xml:space="preserve">RJ-000272</t>
  </si>
  <si>
    <t xml:space="preserve">C01765</t>
  </si>
  <si>
    <t xml:space="preserve">24328-528</t>
  </si>
  <si>
    <t xml:space="preserve">RJ-000236</t>
  </si>
  <si>
    <t xml:space="preserve">RJ-000282</t>
  </si>
  <si>
    <t xml:space="preserve">RJ-000309</t>
  </si>
  <si>
    <t xml:space="preserve">C00548</t>
  </si>
  <si>
    <t xml:space="preserve">90774-593</t>
  </si>
  <si>
    <t xml:space="preserve">RJ-000356</t>
  </si>
  <si>
    <t xml:space="preserve">C02167</t>
  </si>
  <si>
    <t xml:space="preserve">24328-887</t>
  </si>
  <si>
    <t xml:space="preserve">RJ-000349</t>
  </si>
  <si>
    <t xml:space="preserve">C00764</t>
  </si>
  <si>
    <t xml:space="preserve">Niterói </t>
  </si>
  <si>
    <t xml:space="preserve">24554-151</t>
  </si>
  <si>
    <t xml:space="preserve">RJ-000351</t>
  </si>
  <si>
    <t xml:space="preserve">C02401</t>
  </si>
  <si>
    <t xml:space="preserve">24772-065</t>
  </si>
  <si>
    <t xml:space="preserve">RJ-000668</t>
  </si>
  <si>
    <t xml:space="preserve">C02067</t>
  </si>
  <si>
    <t xml:space="preserve">20251-957</t>
  </si>
  <si>
    <t xml:space="preserve">RJ-000593</t>
  </si>
  <si>
    <t xml:space="preserve">RJ-000645</t>
  </si>
  <si>
    <t xml:space="preserve">RJ-000255</t>
  </si>
  <si>
    <t xml:space="preserve">C01834</t>
  </si>
  <si>
    <t xml:space="preserve">20868-715</t>
  </si>
  <si>
    <t xml:space="preserve">RJ-000614</t>
  </si>
  <si>
    <t xml:space="preserve">RJ-000320</t>
  </si>
  <si>
    <t xml:space="preserve">C00050</t>
  </si>
  <si>
    <t xml:space="preserve">24322-622</t>
  </si>
  <si>
    <t xml:space="preserve">RJ-000350</t>
  </si>
  <si>
    <t xml:space="preserve">C02090</t>
  </si>
  <si>
    <t xml:space="preserve">20606-235</t>
  </si>
  <si>
    <t xml:space="preserve">RJ-000341</t>
  </si>
  <si>
    <t xml:space="preserve">C00412</t>
  </si>
  <si>
    <t xml:space="preserve">20532-023</t>
  </si>
  <si>
    <t xml:space="preserve">RJ-000370</t>
  </si>
  <si>
    <t xml:space="preserve">C00788</t>
  </si>
  <si>
    <t xml:space="preserve">RJ-000628</t>
  </si>
  <si>
    <t xml:space="preserve">C01145</t>
  </si>
  <si>
    <t xml:space="preserve">20480-491</t>
  </si>
  <si>
    <t xml:space="preserve">RJ-000348</t>
  </si>
  <si>
    <t xml:space="preserve">RJ-000366</t>
  </si>
  <si>
    <t xml:space="preserve">C00782</t>
  </si>
  <si>
    <t xml:space="preserve">20733-778</t>
  </si>
  <si>
    <t xml:space="preserve">RJ-000367</t>
  </si>
  <si>
    <t xml:space="preserve">RJ-000245</t>
  </si>
  <si>
    <t xml:space="preserve">C02303</t>
  </si>
  <si>
    <t xml:space="preserve">30398-524</t>
  </si>
  <si>
    <t xml:space="preserve">RJ-000297</t>
  </si>
  <si>
    <t xml:space="preserve">RJ-000303</t>
  </si>
  <si>
    <t xml:space="preserve">C02241</t>
  </si>
  <si>
    <t xml:space="preserve">20739-453</t>
  </si>
  <si>
    <t xml:space="preserve">RJ-000329</t>
  </si>
  <si>
    <t xml:space="preserve">C01245</t>
  </si>
  <si>
    <t xml:space="preserve">20530-180</t>
  </si>
  <si>
    <t xml:space="preserve">RJ-000659</t>
  </si>
  <si>
    <t xml:space="preserve">RJ-000333</t>
  </si>
  <si>
    <t xml:space="preserve">C01243</t>
  </si>
  <si>
    <t xml:space="preserve">24241-668</t>
  </si>
  <si>
    <t xml:space="preserve">RJ-000669</t>
  </si>
  <si>
    <t xml:space="preserve">C00253</t>
  </si>
  <si>
    <t xml:space="preserve">20679-357</t>
  </si>
  <si>
    <t xml:space="preserve">RJ-000278</t>
  </si>
  <si>
    <t xml:space="preserve">C01579</t>
  </si>
  <si>
    <t xml:space="preserve">88128-368</t>
  </si>
  <si>
    <t xml:space="preserve">RJ-000572</t>
  </si>
  <si>
    <t xml:space="preserve">C01907</t>
  </si>
  <si>
    <t xml:space="preserve">20401-853</t>
  </si>
  <si>
    <t xml:space="preserve">RJ-000287</t>
  </si>
  <si>
    <t xml:space="preserve">C00816</t>
  </si>
  <si>
    <t xml:space="preserve">20092-509</t>
  </si>
  <si>
    <t xml:space="preserve">RJ-000675</t>
  </si>
  <si>
    <t xml:space="preserve">C00541</t>
  </si>
  <si>
    <t xml:space="preserve">20437-361</t>
  </si>
  <si>
    <t xml:space="preserve">RJ-000257</t>
  </si>
  <si>
    <t xml:space="preserve">C00008</t>
  </si>
  <si>
    <t xml:space="preserve">20620-643</t>
  </si>
  <si>
    <t xml:space="preserve">RJ-000283</t>
  </si>
  <si>
    <t xml:space="preserve">C00999</t>
  </si>
  <si>
    <t xml:space="preserve">20182-078</t>
  </si>
  <si>
    <t xml:space="preserve">RJ-000559</t>
  </si>
  <si>
    <t xml:space="preserve">RJ-000265</t>
  </si>
  <si>
    <t xml:space="preserve">C01143</t>
  </si>
  <si>
    <t xml:space="preserve">20770-001</t>
  </si>
  <si>
    <t xml:space="preserve">RJ-000248</t>
  </si>
  <si>
    <t xml:space="preserve">C01999</t>
  </si>
  <si>
    <t xml:space="preserve">20404-740</t>
  </si>
  <si>
    <t xml:space="preserve">RJ-000256</t>
  </si>
  <si>
    <t xml:space="preserve">C01994</t>
  </si>
  <si>
    <t xml:space="preserve">20963-341</t>
  </si>
  <si>
    <t xml:space="preserve">RJ-000289</t>
  </si>
  <si>
    <t xml:space="preserve">C02131</t>
  </si>
  <si>
    <t xml:space="preserve">70394-318</t>
  </si>
  <si>
    <t xml:space="preserve">RJ-000371</t>
  </si>
  <si>
    <t xml:space="preserve">RJ-000561</t>
  </si>
  <si>
    <t xml:space="preserve">RJ-000365</t>
  </si>
  <si>
    <t xml:space="preserve">C01161</t>
  </si>
  <si>
    <t xml:space="preserve">29322-686</t>
  </si>
  <si>
    <t xml:space="preserve">RJ-000555</t>
  </si>
  <si>
    <t xml:space="preserve">RJ-000302</t>
  </si>
  <si>
    <t xml:space="preserve">C01826</t>
  </si>
  <si>
    <t xml:space="preserve">20674-988</t>
  </si>
  <si>
    <t xml:space="preserve">RJ-000665</t>
  </si>
  <si>
    <t xml:space="preserve">RJ-000352</t>
  </si>
  <si>
    <t xml:space="preserve">C01404</t>
  </si>
  <si>
    <t xml:space="preserve">20668-470</t>
  </si>
  <si>
    <t xml:space="preserve">RJ-000693</t>
  </si>
  <si>
    <t xml:space="preserve">RJ-000635</t>
  </si>
  <si>
    <t xml:space="preserve">RJ-000655</t>
  </si>
  <si>
    <t xml:space="preserve">C01292</t>
  </si>
  <si>
    <t xml:space="preserve">20311-870</t>
  </si>
  <si>
    <t xml:space="preserve">RJ-000263</t>
  </si>
  <si>
    <t xml:space="preserve">RJ-000315</t>
  </si>
  <si>
    <t xml:space="preserve">C02497</t>
  </si>
  <si>
    <t xml:space="preserve">20634-114</t>
  </si>
  <si>
    <t xml:space="preserve">RJ-000312</t>
  </si>
  <si>
    <t xml:space="preserve">C02500</t>
  </si>
  <si>
    <t xml:space="preserve">90032-344</t>
  </si>
  <si>
    <t xml:space="preserve">RJ-000648</t>
  </si>
  <si>
    <t xml:space="preserve">C01370</t>
  </si>
  <si>
    <t xml:space="preserve">80905-612</t>
  </si>
  <si>
    <t xml:space="preserve">RJ-000610</t>
  </si>
  <si>
    <t xml:space="preserve">C00592</t>
  </si>
  <si>
    <t xml:space="preserve">20089-274</t>
  </si>
  <si>
    <t xml:space="preserve">RJ-000261</t>
  </si>
  <si>
    <t xml:space="preserve">RJ-000307</t>
  </si>
  <si>
    <t xml:space="preserve">C01444</t>
  </si>
  <si>
    <t xml:space="preserve">29034-240</t>
  </si>
  <si>
    <t xml:space="preserve">RJ-000368</t>
  </si>
  <si>
    <t xml:space="preserve">C02495</t>
  </si>
  <si>
    <t xml:space="preserve">01772-818</t>
  </si>
  <si>
    <t xml:space="preserve">RJ-000306</t>
  </si>
  <si>
    <t xml:space="preserve">C01231</t>
  </si>
  <si>
    <t xml:space="preserve">20383-293</t>
  </si>
  <si>
    <t xml:space="preserve">RJ-000258</t>
  </si>
  <si>
    <t xml:space="preserve">C02459</t>
  </si>
  <si>
    <t xml:space="preserve">20037-864</t>
  </si>
  <si>
    <t xml:space="preserve">RJ-000379</t>
  </si>
  <si>
    <t xml:space="preserve">RJ-000266</t>
  </si>
  <si>
    <t xml:space="preserve">RJ-000346</t>
  </si>
  <si>
    <t xml:space="preserve">C00955</t>
  </si>
  <si>
    <t xml:space="preserve">20982-924</t>
  </si>
  <si>
    <t xml:space="preserve">RJ-000249</t>
  </si>
  <si>
    <t xml:space="preserve">C02256</t>
  </si>
  <si>
    <t xml:space="preserve">20592-832</t>
  </si>
  <si>
    <t xml:space="preserve">RJ-000378</t>
  </si>
  <si>
    <t xml:space="preserve">RJ-000576</t>
  </si>
  <si>
    <t xml:space="preserve">RJ-000608</t>
  </si>
  <si>
    <t xml:space="preserve">C01588</t>
  </si>
  <si>
    <t xml:space="preserve">20398-966</t>
  </si>
  <si>
    <t xml:space="preserve">RJ-000695</t>
  </si>
  <si>
    <t xml:space="preserve">RJ-000273</t>
  </si>
  <si>
    <t xml:space="preserve">C01698</t>
  </si>
  <si>
    <t xml:space="preserve">20841-565</t>
  </si>
  <si>
    <t xml:space="preserve">RJ-000232</t>
  </si>
  <si>
    <t xml:space="preserve">RJ-000288</t>
  </si>
  <si>
    <t xml:space="preserve">C00040</t>
  </si>
  <si>
    <t xml:space="preserve">80072-957</t>
  </si>
  <si>
    <t xml:space="preserve">RJ-000325</t>
  </si>
  <si>
    <t xml:space="preserve">C01825</t>
  </si>
  <si>
    <t xml:space="preserve">RJ-000326</t>
  </si>
  <si>
    <t xml:space="preserve">C00975</t>
  </si>
  <si>
    <t xml:space="preserve">20692-013</t>
  </si>
  <si>
    <t xml:space="preserve">RJ-000604</t>
  </si>
  <si>
    <t xml:space="preserve">C00282</t>
  </si>
  <si>
    <t xml:space="preserve">20180-728</t>
  </si>
  <si>
    <t xml:space="preserve">RJ-000380</t>
  </si>
  <si>
    <t xml:space="preserve">C01915</t>
  </si>
  <si>
    <t xml:space="preserve">24260-131</t>
  </si>
  <si>
    <t xml:space="preserve">RJ-000275</t>
  </si>
  <si>
    <t xml:space="preserve">C01234</t>
  </si>
  <si>
    <t xml:space="preserve">24368-446</t>
  </si>
  <si>
    <t xml:space="preserve">RJ-000237</t>
  </si>
  <si>
    <t xml:space="preserve">RJ-000296</t>
  </si>
  <si>
    <t xml:space="preserve">RJ-000331</t>
  </si>
  <si>
    <t xml:space="preserve">C00904</t>
  </si>
  <si>
    <t xml:space="preserve">Curitiba </t>
  </si>
  <si>
    <t xml:space="preserve">80554-513</t>
  </si>
  <si>
    <t xml:space="preserve">RJ-000271</t>
  </si>
  <si>
    <t xml:space="preserve">C01101</t>
  </si>
  <si>
    <t xml:space="preserve">29603-115</t>
  </si>
  <si>
    <t xml:space="preserve">RJ-000551</t>
  </si>
  <si>
    <t xml:space="preserve">C00558</t>
  </si>
  <si>
    <t xml:space="preserve">20240-612</t>
  </si>
  <si>
    <t xml:space="preserve">RJ-000334</t>
  </si>
  <si>
    <t xml:space="preserve">C00737</t>
  </si>
  <si>
    <t xml:space="preserve">20242-710</t>
  </si>
  <si>
    <t xml:space="preserve">RJ-000355</t>
  </si>
  <si>
    <t xml:space="preserve">C02022</t>
  </si>
  <si>
    <t xml:space="preserve">20597-623</t>
  </si>
  <si>
    <t xml:space="preserve">RJ-000674</t>
  </si>
  <si>
    <t xml:space="preserve">RJ-000274</t>
  </si>
  <si>
    <t xml:space="preserve">C01909</t>
  </si>
  <si>
    <t xml:space="preserve">24766-314</t>
  </si>
  <si>
    <t xml:space="preserve">RJ-000533</t>
  </si>
  <si>
    <t xml:space="preserve">C00033</t>
  </si>
  <si>
    <t xml:space="preserve">20465-920</t>
  </si>
  <si>
    <t xml:space="preserve">RJ-000595</t>
  </si>
  <si>
    <t xml:space="preserve">RJ-000692</t>
  </si>
  <si>
    <t xml:space="preserve">RJ-000246</t>
  </si>
  <si>
    <t xml:space="preserve">RJ-000244</t>
  </si>
  <si>
    <t xml:space="preserve">C00911</t>
  </si>
  <si>
    <t xml:space="preserve">24695-073</t>
  </si>
  <si>
    <t xml:space="preserve">RJ-000286</t>
  </si>
  <si>
    <t xml:space="preserve">RJ-000344</t>
  </si>
  <si>
    <t xml:space="preserve">RJ-000361</t>
  </si>
  <si>
    <t xml:space="preserve">RJ-000276</t>
  </si>
  <si>
    <t xml:space="preserve">C01131</t>
  </si>
  <si>
    <t xml:space="preserve">20801-533</t>
  </si>
  <si>
    <t xml:space="preserve">RJ-000291</t>
  </si>
  <si>
    <t xml:space="preserve">RJ-000311</t>
  </si>
  <si>
    <t xml:space="preserve">RJ-000327</t>
  </si>
  <si>
    <t xml:space="preserve">RJ-000335</t>
  </si>
  <si>
    <t xml:space="preserve">RJ-000337</t>
  </si>
  <si>
    <t xml:space="preserve">C00353</t>
  </si>
  <si>
    <t xml:space="preserve">74975-301</t>
  </si>
  <si>
    <t xml:space="preserve">RJ-000358</t>
  </si>
  <si>
    <t xml:space="preserve">C01546</t>
  </si>
  <si>
    <t xml:space="preserve">20224-832</t>
  </si>
  <si>
    <t xml:space="preserve">RJ-000242</t>
  </si>
  <si>
    <t xml:space="preserve">C00386</t>
  </si>
  <si>
    <t xml:space="preserve">90563-166</t>
  </si>
  <si>
    <t xml:space="preserve">RJ-000340</t>
  </si>
  <si>
    <t xml:space="preserve">C01717</t>
  </si>
  <si>
    <t xml:space="preserve">20838-061</t>
  </si>
  <si>
    <t xml:space="preserve">RJ-000234</t>
  </si>
  <si>
    <t xml:space="preserve">RJ-000241</t>
  </si>
  <si>
    <t xml:space="preserve">RJ-000253</t>
  </si>
  <si>
    <t xml:space="preserve">C02268</t>
  </si>
  <si>
    <t xml:space="preserve">salvador</t>
  </si>
  <si>
    <t xml:space="preserve">40587-921</t>
  </si>
  <si>
    <t xml:space="preserve">RJ-000267</t>
  </si>
  <si>
    <t xml:space="preserve">C02291</t>
  </si>
  <si>
    <t xml:space="preserve">20733-960</t>
  </si>
  <si>
    <t xml:space="preserve">RJ-000277</t>
  </si>
  <si>
    <t xml:space="preserve">C01655</t>
  </si>
  <si>
    <t xml:space="preserve">RJ-000304</t>
  </si>
  <si>
    <t xml:space="preserve">C01946</t>
  </si>
  <si>
    <t xml:space="preserve">20945-722</t>
  </si>
  <si>
    <t xml:space="preserve">RJ-000322</t>
  </si>
  <si>
    <t xml:space="preserve">C02152</t>
  </si>
  <si>
    <t xml:space="preserve">20429-712</t>
  </si>
  <si>
    <t xml:space="preserve">RJ-000238</t>
  </si>
  <si>
    <t xml:space="preserve">RJ-000252</t>
  </si>
  <si>
    <t xml:space="preserve">C00163</t>
  </si>
  <si>
    <t xml:space="preserve">es</t>
  </si>
  <si>
    <t xml:space="preserve">29639-073</t>
  </si>
  <si>
    <t xml:space="preserve">RJ-000290</t>
  </si>
  <si>
    <t xml:space="preserve">RJ-000319</t>
  </si>
  <si>
    <t xml:space="preserve">C02371</t>
  </si>
  <si>
    <t xml:space="preserve">29503-997</t>
  </si>
  <si>
    <t xml:space="preserve">RJ-000347</t>
  </si>
  <si>
    <t xml:space="preserve">C01241</t>
  </si>
  <si>
    <t xml:space="preserve">50041-146</t>
  </si>
  <si>
    <t xml:space="preserve">RJ-000353</t>
  </si>
  <si>
    <t xml:space="preserve">C00916</t>
  </si>
  <si>
    <t xml:space="preserve">20344-610</t>
  </si>
  <si>
    <t xml:space="preserve">RJ-000362</t>
  </si>
  <si>
    <t xml:space="preserve">RJ-000269</t>
  </si>
  <si>
    <t xml:space="preserve">C00031</t>
  </si>
  <si>
    <t xml:space="preserve">32580-226</t>
  </si>
  <si>
    <t xml:space="preserve">RJ-000281</t>
  </si>
  <si>
    <t xml:space="preserve">RJ-000318</t>
  </si>
  <si>
    <t xml:space="preserve">RJ-000328</t>
  </si>
  <si>
    <t xml:space="preserve">RJ-000339</t>
  </si>
  <si>
    <t xml:space="preserve">RJ-000343</t>
  </si>
  <si>
    <t xml:space="preserve">C01372</t>
  </si>
  <si>
    <t xml:space="preserve">20456-731</t>
  </si>
  <si>
    <t xml:space="preserve">RJ-000377</t>
  </si>
  <si>
    <t xml:space="preserve">RJ-000231</t>
  </si>
  <si>
    <t xml:space="preserve">C00405</t>
  </si>
  <si>
    <t xml:space="preserve">20422-803</t>
  </si>
  <si>
    <t xml:space="preserve">RJ-000235</t>
  </si>
  <si>
    <t xml:space="preserve">RJ-000294</t>
  </si>
  <si>
    <t xml:space="preserve">RJ-000305</t>
  </si>
  <si>
    <t xml:space="preserve">RJ-000310</t>
  </si>
  <si>
    <t xml:space="preserve">C01930</t>
  </si>
  <si>
    <t xml:space="preserve">20734-687</t>
  </si>
  <si>
    <t xml:space="preserve">RJ-000321</t>
  </si>
  <si>
    <t xml:space="preserve">C01340</t>
  </si>
  <si>
    <t xml:space="preserve">RJ-000345</t>
  </si>
  <si>
    <t xml:space="preserve">RJ-000372</t>
  </si>
  <si>
    <t xml:space="preserve">C00745</t>
  </si>
  <si>
    <t xml:space="preserve">RJ-000239</t>
  </si>
  <si>
    <t xml:space="preserve">C00117</t>
  </si>
  <si>
    <t xml:space="preserve">70796-626</t>
  </si>
  <si>
    <t xml:space="preserve">RJ-000313</t>
  </si>
  <si>
    <t xml:space="preserve">C01572</t>
  </si>
  <si>
    <t xml:space="preserve">20639-660</t>
  </si>
  <si>
    <t xml:space="preserve">RJ-000359</t>
  </si>
  <si>
    <t xml:space="preserve">RJ-000374</t>
  </si>
  <si>
    <t xml:space="preserve">RJ-000602</t>
  </si>
  <si>
    <t xml:space="preserve">RJ-000538</t>
  </si>
  <si>
    <t xml:space="preserve">C00092</t>
  </si>
  <si>
    <t xml:space="preserve">20964-518</t>
  </si>
  <si>
    <t xml:space="preserve">RJ-000607</t>
  </si>
  <si>
    <t xml:space="preserve">RJ-000568</t>
  </si>
  <si>
    <t xml:space="preserve">C00388</t>
  </si>
  <si>
    <t xml:space="preserve">20965-186</t>
  </si>
  <si>
    <t xml:space="preserve">RJ-000658</t>
  </si>
  <si>
    <t xml:space="preserve">RJ-000691</t>
  </si>
  <si>
    <t xml:space="preserve">RJ-000670</t>
  </si>
  <si>
    <t xml:space="preserve">RJ-000563</t>
  </si>
  <si>
    <t xml:space="preserve">C00298</t>
  </si>
  <si>
    <t xml:space="preserve">20418-148</t>
  </si>
  <si>
    <t xml:space="preserve">RJ-000544</t>
  </si>
  <si>
    <t xml:space="preserve">C01897</t>
  </si>
  <si>
    <t xml:space="preserve">20828-026</t>
  </si>
  <si>
    <t xml:space="preserve">RJ-000588</t>
  </si>
  <si>
    <t xml:space="preserve">RJ-000685</t>
  </si>
  <si>
    <t xml:space="preserve">RJ-000650</t>
  </si>
  <si>
    <t xml:space="preserve">C00559</t>
  </si>
  <si>
    <t xml:space="preserve">20668-493</t>
  </si>
  <si>
    <t xml:space="preserve">RJ-000587</t>
  </si>
  <si>
    <t xml:space="preserve">C01767</t>
  </si>
  <si>
    <t xml:space="preserve">20067-610</t>
  </si>
  <si>
    <t xml:space="preserve">RJ-000694</t>
  </si>
  <si>
    <t xml:space="preserve">RJ-000620</t>
  </si>
  <si>
    <t xml:space="preserve">RJ-000643</t>
  </si>
  <si>
    <t xml:space="preserve">RJ-000631</t>
  </si>
  <si>
    <t xml:space="preserve">RJ-000682</t>
  </si>
  <si>
    <t xml:space="preserve">C00099</t>
  </si>
  <si>
    <t xml:space="preserve">20031-081</t>
  </si>
  <si>
    <t xml:space="preserve">RJ-000621</t>
  </si>
  <si>
    <t xml:space="preserve">RJ-000539</t>
  </si>
  <si>
    <t xml:space="preserve">RJ-000681</t>
  </si>
  <si>
    <t xml:space="preserve">RJ-000558</t>
  </si>
  <si>
    <t xml:space="preserve">RJ-000566</t>
  </si>
  <si>
    <t xml:space="preserve">RJ-000547</t>
  </si>
  <si>
    <t xml:space="preserve">RJ-000577</t>
  </si>
  <si>
    <t xml:space="preserve">RJ-000632</t>
  </si>
  <si>
    <t xml:space="preserve">C01323</t>
  </si>
  <si>
    <t xml:space="preserve">20792-620</t>
  </si>
  <si>
    <t xml:space="preserve">RJ-000549</t>
  </si>
  <si>
    <t xml:space="preserve">RJ-000541</t>
  </si>
  <si>
    <t xml:space="preserve">C01328</t>
  </si>
  <si>
    <t xml:space="preserve">20462-070</t>
  </si>
  <si>
    <t xml:space="preserve">RJ-000580</t>
  </si>
  <si>
    <t xml:space="preserve">RJ-000540</t>
  </si>
  <si>
    <t xml:space="preserve">RJ-000601</t>
  </si>
  <si>
    <t xml:space="preserve">RJ-000603</t>
  </si>
  <si>
    <t xml:space="preserve">RJ-000546</t>
  </si>
  <si>
    <t xml:space="preserve">RJ-000686</t>
  </si>
  <si>
    <t xml:space="preserve">RJ-000084</t>
  </si>
  <si>
    <t xml:space="preserve">Rio Beat Festival 2026</t>
  </si>
  <si>
    <t xml:space="preserve">C01429</t>
  </si>
  <si>
    <t xml:space="preserve">80957-933</t>
  </si>
  <si>
    <t xml:space="preserve">RJ-000188</t>
  </si>
  <si>
    <t xml:space="preserve">C01196</t>
  </si>
  <si>
    <t xml:space="preserve">20966-685</t>
  </si>
  <si>
    <t xml:space="preserve">RJ-000199</t>
  </si>
  <si>
    <t xml:space="preserve">RJ-000013</t>
  </si>
  <si>
    <t xml:space="preserve">RJ-000091</t>
  </si>
  <si>
    <t xml:space="preserve">C00963</t>
  </si>
  <si>
    <t xml:space="preserve">74196-315</t>
  </si>
  <si>
    <t xml:space="preserve">RJ-000105</t>
  </si>
  <si>
    <t xml:space="preserve">C00524</t>
  </si>
  <si>
    <t xml:space="preserve">SANTIAGO</t>
  </si>
  <si>
    <t xml:space="preserve">RJ-000162</t>
  </si>
  <si>
    <t xml:space="preserve">RJ-000184</t>
  </si>
  <si>
    <t xml:space="preserve">C00992</t>
  </si>
  <si>
    <t xml:space="preserve">20055-010</t>
  </si>
  <si>
    <t xml:space="preserve">RJ-000001</t>
  </si>
  <si>
    <t xml:space="preserve">C01438</t>
  </si>
  <si>
    <t xml:space="preserve">20401-783</t>
  </si>
  <si>
    <t xml:space="preserve">RJ-000049</t>
  </si>
  <si>
    <t xml:space="preserve">RJ-000109</t>
  </si>
  <si>
    <t xml:space="preserve">C00373</t>
  </si>
  <si>
    <t xml:space="preserve">11992-116</t>
  </si>
  <si>
    <t xml:space="preserve">RJ-000157</t>
  </si>
  <si>
    <t xml:space="preserve">RJ-000168</t>
  </si>
  <si>
    <t xml:space="preserve">RJ-000207</t>
  </si>
  <si>
    <t xml:space="preserve">C00100</t>
  </si>
  <si>
    <t xml:space="preserve">20764-445</t>
  </si>
  <si>
    <t xml:space="preserve">RJ-000008</t>
  </si>
  <si>
    <t xml:space="preserve">C02363</t>
  </si>
  <si>
    <t xml:space="preserve">24815-134</t>
  </si>
  <si>
    <t xml:space="preserve">RJ-000183</t>
  </si>
  <si>
    <t xml:space="preserve">RJ-000022</t>
  </si>
  <si>
    <t xml:space="preserve">C02458</t>
  </si>
  <si>
    <t xml:space="preserve">20893-764</t>
  </si>
  <si>
    <t xml:space="preserve">RJ-000189</t>
  </si>
  <si>
    <t xml:space="preserve">RJ-000676</t>
  </si>
  <si>
    <t xml:space="preserve">RJ-000027</t>
  </si>
  <si>
    <t xml:space="preserve">C00613</t>
  </si>
  <si>
    <t xml:space="preserve">lisboa</t>
  </si>
  <si>
    <t xml:space="preserve">RJ-000068</t>
  </si>
  <si>
    <t xml:space="preserve">RJ-000085</t>
  </si>
  <si>
    <t xml:space="preserve">RJ-000118</t>
  </si>
  <si>
    <t xml:space="preserve">C00422</t>
  </si>
  <si>
    <t xml:space="preserve">40837-689</t>
  </si>
  <si>
    <t xml:space="preserve">RJ-000127</t>
  </si>
  <si>
    <t xml:space="preserve">C01833</t>
  </si>
  <si>
    <t xml:space="preserve">40942-402</t>
  </si>
  <si>
    <t xml:space="preserve">RJ-000015</t>
  </si>
  <si>
    <t xml:space="preserve">RJ-000158</t>
  </si>
  <si>
    <t xml:space="preserve">RJ-000030</t>
  </si>
  <si>
    <t xml:space="preserve">C01304</t>
  </si>
  <si>
    <t xml:space="preserve">74723-985</t>
  </si>
  <si>
    <t xml:space="preserve">RJ-000035</t>
  </si>
  <si>
    <t xml:space="preserve">C02249</t>
  </si>
  <si>
    <t xml:space="preserve">24030-253</t>
  </si>
  <si>
    <t xml:space="preserve">RJ-000062</t>
  </si>
  <si>
    <t xml:space="preserve">RJ-000123</t>
  </si>
  <si>
    <t xml:space="preserve">C01779</t>
  </si>
  <si>
    <t xml:space="preserve">RJ-000203</t>
  </si>
  <si>
    <t xml:space="preserve">C01951</t>
  </si>
  <si>
    <t xml:space="preserve">40754-112</t>
  </si>
  <si>
    <t xml:space="preserve">RJ-000206</t>
  </si>
  <si>
    <t xml:space="preserve">RJ-000213</t>
  </si>
  <si>
    <t xml:space="preserve">C00990</t>
  </si>
  <si>
    <t xml:space="preserve">30963-792</t>
  </si>
  <si>
    <t xml:space="preserve">RJ-000034</t>
  </si>
  <si>
    <t xml:space="preserve">RJ-000166</t>
  </si>
  <si>
    <t xml:space="preserve">C00622</t>
  </si>
  <si>
    <t xml:space="preserve">RJ-000011</t>
  </si>
  <si>
    <t xml:space="preserve">C02095</t>
  </si>
  <si>
    <t xml:space="preserve">20603-837</t>
  </si>
  <si>
    <t xml:space="preserve">RJ-000100</t>
  </si>
  <si>
    <t xml:space="preserve">RJ-000146</t>
  </si>
  <si>
    <t xml:space="preserve">C01794</t>
  </si>
  <si>
    <t xml:space="preserve">RJ-000173</t>
  </si>
  <si>
    <t xml:space="preserve">C01108</t>
  </si>
  <si>
    <t xml:space="preserve">11526-982</t>
  </si>
  <si>
    <t xml:space="preserve">RJ-000010</t>
  </si>
  <si>
    <t xml:space="preserve">RJ-000017</t>
  </si>
  <si>
    <t xml:space="preserve">C01073</t>
  </si>
  <si>
    <t xml:space="preserve">40914-911</t>
  </si>
  <si>
    <t xml:space="preserve">RJ-000051</t>
  </si>
  <si>
    <t xml:space="preserve">RJ-000065</t>
  </si>
  <si>
    <t xml:space="preserve">C02001</t>
  </si>
  <si>
    <t xml:space="preserve">32693-372</t>
  </si>
  <si>
    <t xml:space="preserve">RJ-000099</t>
  </si>
  <si>
    <t xml:space="preserve">RJ-000114</t>
  </si>
  <si>
    <t xml:space="preserve">RJ-000119</t>
  </si>
  <si>
    <t xml:space="preserve">RJ-000142</t>
  </si>
  <si>
    <t xml:space="preserve">RJ-000156</t>
  </si>
  <si>
    <t xml:space="preserve">RJ-000171</t>
  </si>
  <si>
    <t xml:space="preserve">RJ-000172</t>
  </si>
  <si>
    <t xml:space="preserve">RJ-000198</t>
  </si>
  <si>
    <t xml:space="preserve">RJ-000045</t>
  </si>
  <si>
    <t xml:space="preserve">C01820</t>
  </si>
  <si>
    <t xml:space="preserve">pe</t>
  </si>
  <si>
    <t xml:space="preserve">50633-623</t>
  </si>
  <si>
    <t xml:space="preserve">RJ-000089</t>
  </si>
  <si>
    <t xml:space="preserve">C00759</t>
  </si>
  <si>
    <t xml:space="preserve">20616-519</t>
  </si>
  <si>
    <t xml:space="preserve">RJ-000216</t>
  </si>
  <si>
    <t xml:space="preserve">C01225</t>
  </si>
  <si>
    <t xml:space="preserve">RJ-000220</t>
  </si>
  <si>
    <t xml:space="preserve">RJ-000221</t>
  </si>
  <si>
    <t xml:space="preserve">RJ-000072</t>
  </si>
  <si>
    <t xml:space="preserve">RJ-000097</t>
  </si>
  <si>
    <t xml:space="preserve">RJ-000153</t>
  </si>
  <si>
    <t xml:space="preserve">C01201</t>
  </si>
  <si>
    <t xml:space="preserve">90623-994</t>
  </si>
  <si>
    <t xml:space="preserve">RJ-000077</t>
  </si>
  <si>
    <t xml:space="preserve">RJ-000096</t>
  </si>
  <si>
    <t xml:space="preserve">RJ-000006</t>
  </si>
  <si>
    <t xml:space="preserve">C01082</t>
  </si>
  <si>
    <t xml:space="preserve">20461-522</t>
  </si>
  <si>
    <t xml:space="preserve">RJ-000020</t>
  </si>
  <si>
    <t xml:space="preserve">C00144</t>
  </si>
  <si>
    <t xml:space="preserve">20005-200</t>
  </si>
  <si>
    <t xml:space="preserve">RJ-000025</t>
  </si>
  <si>
    <t xml:space="preserve">RJ-000036</t>
  </si>
  <si>
    <t xml:space="preserve">C01388</t>
  </si>
  <si>
    <t xml:space="preserve">90564-688</t>
  </si>
  <si>
    <t xml:space="preserve">RJ-000177</t>
  </si>
  <si>
    <t xml:space="preserve">C02216</t>
  </si>
  <si>
    <t xml:space="preserve">20376-507</t>
  </si>
  <si>
    <t xml:space="preserve">RJ-000179</t>
  </si>
  <si>
    <t xml:space="preserve">C01494</t>
  </si>
  <si>
    <t xml:space="preserve">88754-180</t>
  </si>
  <si>
    <t xml:space="preserve">RJ-000212</t>
  </si>
  <si>
    <t xml:space="preserve">RJ-000624</t>
  </si>
  <si>
    <t xml:space="preserve">RJ-000223</t>
  </si>
  <si>
    <t xml:space="preserve">RJ-000081</t>
  </si>
  <si>
    <t xml:space="preserve">RJ-000230</t>
  </si>
  <si>
    <t xml:space="preserve">RJ-000029</t>
  </si>
  <si>
    <t xml:space="preserve">C01265</t>
  </si>
  <si>
    <t xml:space="preserve">29919-747</t>
  </si>
  <si>
    <t xml:space="preserve">RJ-000071</t>
  </si>
  <si>
    <t xml:space="preserve">C01355</t>
  </si>
  <si>
    <t xml:space="preserve">32943-870</t>
  </si>
  <si>
    <t xml:space="preserve">RJ-000082</t>
  </si>
  <si>
    <t xml:space="preserve">C01356</t>
  </si>
  <si>
    <t xml:space="preserve">20002-680</t>
  </si>
  <si>
    <t xml:space="preserve">RJ-000111</t>
  </si>
  <si>
    <t xml:space="preserve">RJ-000128</t>
  </si>
  <si>
    <t xml:space="preserve">C01887</t>
  </si>
  <si>
    <t xml:space="preserve">11056-241</t>
  </si>
  <si>
    <t xml:space="preserve">RJ-000159</t>
  </si>
  <si>
    <t xml:space="preserve">RJ-000185</t>
  </si>
  <si>
    <t xml:space="preserve">RJ-000186</t>
  </si>
  <si>
    <t xml:space="preserve">RJ-000218</t>
  </si>
  <si>
    <t xml:space="preserve">C00418</t>
  </si>
  <si>
    <t xml:space="preserve">40725-111</t>
  </si>
  <si>
    <t xml:space="preserve">RJ-000229</t>
  </si>
  <si>
    <t xml:space="preserve">RJ-000076</t>
  </si>
  <si>
    <t xml:space="preserve">RJ-000088</t>
  </si>
  <si>
    <t xml:space="preserve">RJ-000103</t>
  </si>
  <si>
    <t xml:space="preserve">RJ-000056</t>
  </si>
  <si>
    <t xml:space="preserve">C02114</t>
  </si>
  <si>
    <t xml:space="preserve">RJ-000069</t>
  </si>
  <si>
    <t xml:space="preserve">RJ-000124</t>
  </si>
  <si>
    <t xml:space="preserve">C02183</t>
  </si>
  <si>
    <t xml:space="preserve">RJ-000155</t>
  </si>
  <si>
    <t xml:space="preserve">C01420</t>
  </si>
  <si>
    <t xml:space="preserve">29080-060</t>
  </si>
  <si>
    <t xml:space="preserve">RJ-000201</t>
  </si>
  <si>
    <t xml:space="preserve">C01284</t>
  </si>
  <si>
    <t xml:space="preserve">20188-470</t>
  </si>
  <si>
    <t xml:space="preserve">RJ-000542</t>
  </si>
  <si>
    <t xml:space="preserve">C01477</t>
  </si>
  <si>
    <t xml:space="preserve">20799-353</t>
  </si>
  <si>
    <t xml:space="preserve">RJ-000592</t>
  </si>
  <si>
    <t xml:space="preserve">RJ-000190</t>
  </si>
  <si>
    <t xml:space="preserve">RJ-000660</t>
  </si>
  <si>
    <t xml:space="preserve">C01977</t>
  </si>
  <si>
    <t xml:space="preserve">24111-429</t>
  </si>
  <si>
    <t xml:space="preserve">RJ-000042</t>
  </si>
  <si>
    <t xml:space="preserve">C01470</t>
  </si>
  <si>
    <t xml:space="preserve">Recife </t>
  </si>
  <si>
    <t xml:space="preserve">50932-541</t>
  </si>
  <si>
    <t xml:space="preserve">RJ-000600</t>
  </si>
  <si>
    <t xml:space="preserve">RJ-000178</t>
  </si>
  <si>
    <t xml:space="preserve">RJ-000210</t>
  </si>
  <si>
    <t xml:space="preserve">C00043</t>
  </si>
  <si>
    <t xml:space="preserve">50512-474</t>
  </si>
  <si>
    <t xml:space="preserve">RJ-000623</t>
  </si>
  <si>
    <t xml:space="preserve">RJ-000125</t>
  </si>
  <si>
    <t xml:space="preserve">C00726</t>
  </si>
  <si>
    <t xml:space="preserve">32001-430</t>
  </si>
  <si>
    <t xml:space="preserve">RJ-000149</t>
  </si>
  <si>
    <t xml:space="preserve">RJ-000673</t>
  </si>
  <si>
    <t xml:space="preserve">RJ-000565</t>
  </si>
  <si>
    <t xml:space="preserve">C00467</t>
  </si>
  <si>
    <t xml:space="preserve">20528-275</t>
  </si>
  <si>
    <t xml:space="preserve">RJ-000078</t>
  </si>
  <si>
    <t xml:space="preserve">RJ-000209</t>
  </si>
  <si>
    <t xml:space="preserve">C01723</t>
  </si>
  <si>
    <t xml:space="preserve">80551-185</t>
  </si>
  <si>
    <t xml:space="preserve">RJ-000016</t>
  </si>
  <si>
    <t xml:space="preserve">C01485</t>
  </si>
  <si>
    <t xml:space="preserve">90867-250</t>
  </si>
  <si>
    <t xml:space="preserve">RJ-000129</t>
  </si>
  <si>
    <t xml:space="preserve">C00758</t>
  </si>
  <si>
    <t xml:space="preserve">80114-595</t>
  </si>
  <si>
    <t xml:space="preserve">RJ-000130</t>
  </si>
  <si>
    <t xml:space="preserve">RJ-000574</t>
  </si>
  <si>
    <t xml:space="preserve">RJ-000615</t>
  </si>
  <si>
    <t xml:space="preserve">C01870</t>
  </si>
  <si>
    <t xml:space="preserve">20120-005</t>
  </si>
  <si>
    <t xml:space="preserve">RJ-000664</t>
  </si>
  <si>
    <t xml:space="preserve">RJ-000640</t>
  </si>
  <si>
    <t xml:space="preserve">RJ-000090</t>
  </si>
  <si>
    <t xml:space="preserve">C01921</t>
  </si>
  <si>
    <t xml:space="preserve">50496-402</t>
  </si>
  <si>
    <t xml:space="preserve">RJ-000110</t>
  </si>
  <si>
    <t xml:space="preserve">C01962</t>
  </si>
  <si>
    <t xml:space="preserve">30985-132</t>
  </si>
  <si>
    <t xml:space="preserve">RJ-000058</t>
  </si>
  <si>
    <t xml:space="preserve">RJ-000094</t>
  </si>
  <si>
    <t xml:space="preserve">RJ-000202</t>
  </si>
  <si>
    <t xml:space="preserve">RJ-000064</t>
  </si>
  <si>
    <t xml:space="preserve">RJ-000126</t>
  </si>
  <si>
    <t xml:space="preserve">RJ-000033</t>
  </si>
  <si>
    <t xml:space="preserve">RJ-000044</t>
  </si>
  <si>
    <t xml:space="preserve">C00098</t>
  </si>
  <si>
    <t xml:space="preserve">goiânia</t>
  </si>
  <si>
    <t xml:space="preserve">74609-568</t>
  </si>
  <si>
    <t xml:space="preserve">RJ-000688</t>
  </si>
  <si>
    <t xml:space="preserve">RJ-000021</t>
  </si>
  <si>
    <t xml:space="preserve">RJ-000215</t>
  </si>
  <si>
    <t xml:space="preserve">RJ-000024</t>
  </si>
  <si>
    <t xml:space="preserve">C00229</t>
  </si>
  <si>
    <t xml:space="preserve">24168-708</t>
  </si>
  <si>
    <t xml:space="preserve">RJ-000041</t>
  </si>
  <si>
    <t xml:space="preserve">RJ-000131</t>
  </si>
  <si>
    <t xml:space="preserve">C00490</t>
  </si>
  <si>
    <t xml:space="preserve">RJ-000169</t>
  </si>
  <si>
    <t xml:space="preserve">RJ-000567</t>
  </si>
  <si>
    <t xml:space="preserve">RJ-000047</t>
  </si>
  <si>
    <t xml:space="preserve">C01590</t>
  </si>
  <si>
    <t xml:space="preserve">30189-566</t>
  </si>
  <si>
    <t xml:space="preserve">RJ-000108</t>
  </si>
  <si>
    <t xml:space="preserve">C01223</t>
  </si>
  <si>
    <t xml:space="preserve">RJ-000134</t>
  </si>
  <si>
    <t xml:space="preserve">C01175</t>
  </si>
  <si>
    <t xml:space="preserve">24382-927</t>
  </si>
  <si>
    <t xml:space="preserve">RJ-000205</t>
  </si>
  <si>
    <t xml:space="preserve">RJ-000570</t>
  </si>
  <si>
    <t xml:space="preserve">RJ-000151</t>
  </si>
  <si>
    <t xml:space="preserve">RJ-000594</t>
  </si>
  <si>
    <t xml:space="preserve">C01944</t>
  </si>
  <si>
    <t xml:space="preserve">32808-491</t>
  </si>
  <si>
    <t xml:space="preserve">RJ-000136</t>
  </si>
  <si>
    <t xml:space="preserve">C00531</t>
  </si>
  <si>
    <t xml:space="preserve">24715-093</t>
  </si>
  <si>
    <t xml:space="preserve">RJ-000080</t>
  </si>
  <si>
    <t xml:space="preserve">RJ-000083</t>
  </si>
  <si>
    <t xml:space="preserve">RJ-000211</t>
  </si>
  <si>
    <t xml:space="preserve">RJ-000586</t>
  </si>
  <si>
    <t xml:space="preserve">RJ-000589</t>
  </si>
  <si>
    <t xml:space="preserve">RJ-000590</t>
  </si>
  <si>
    <t xml:space="preserve">C01056</t>
  </si>
  <si>
    <t xml:space="preserve">20319-428</t>
  </si>
  <si>
    <t xml:space="preserve">RJ-000144</t>
  </si>
  <si>
    <t xml:space="preserve">C00864</t>
  </si>
  <si>
    <t xml:space="preserve">20014-373</t>
  </si>
  <si>
    <t xml:space="preserve">RJ-000195</t>
  </si>
  <si>
    <t xml:space="preserve">RJ-000007</t>
  </si>
  <si>
    <t xml:space="preserve">RJ-000597</t>
  </si>
  <si>
    <t xml:space="preserve">C02013</t>
  </si>
  <si>
    <t xml:space="preserve">20269-810</t>
  </si>
  <si>
    <t xml:space="preserve">RJ-000055</t>
  </si>
  <si>
    <t xml:space="preserve">RJ-000061</t>
  </si>
  <si>
    <t xml:space="preserve">RJ-000140</t>
  </si>
  <si>
    <t xml:space="preserve">RJ-000164</t>
  </si>
  <si>
    <t xml:space="preserve">RJ-000192</t>
  </si>
  <si>
    <t xml:space="preserve">C00232</t>
  </si>
  <si>
    <t xml:space="preserve">20326-540</t>
  </si>
  <si>
    <t xml:space="preserve">RJ-000075</t>
  </si>
  <si>
    <t xml:space="preserve">C01363</t>
  </si>
  <si>
    <t xml:space="preserve">90399-575</t>
  </si>
  <si>
    <t xml:space="preserve">RJ-000165</t>
  </si>
  <si>
    <t xml:space="preserve">RJ-000616</t>
  </si>
  <si>
    <t xml:space="preserve">RJ-000032</t>
  </si>
  <si>
    <t xml:space="preserve">RJ-000063</t>
  </si>
  <si>
    <t xml:space="preserve">RJ-000139</t>
  </si>
  <si>
    <t xml:space="preserve">RJ-000176</t>
  </si>
  <si>
    <t xml:space="preserve">C00456</t>
  </si>
  <si>
    <t xml:space="preserve">80529-726</t>
  </si>
  <si>
    <t xml:space="preserve">RJ-000046</t>
  </si>
  <si>
    <t xml:space="preserve">C02100</t>
  </si>
  <si>
    <t xml:space="preserve">RJ-000625</t>
  </si>
  <si>
    <t xml:space="preserve">RJ-000204</t>
  </si>
  <si>
    <t xml:space="preserve">C01043</t>
  </si>
  <si>
    <t xml:space="preserve">24930-547</t>
  </si>
  <si>
    <t xml:space="preserve">RJ-000598</t>
  </si>
  <si>
    <t xml:space="preserve">RJ-000079</t>
  </si>
  <si>
    <t xml:space="preserve">C01457</t>
  </si>
  <si>
    <t xml:space="preserve">40892-013</t>
  </si>
  <si>
    <t xml:space="preserve">RJ-000038</t>
  </si>
  <si>
    <t xml:space="preserve">C00358</t>
  </si>
  <si>
    <t xml:space="preserve">32051-248</t>
  </si>
  <si>
    <t xml:space="preserve">RJ-000150</t>
  </si>
  <si>
    <t xml:space="preserve">C02408</t>
  </si>
  <si>
    <t xml:space="preserve">70037-678</t>
  </si>
  <si>
    <t xml:space="preserve">RJ-000618</t>
  </si>
  <si>
    <t xml:space="preserve">RJ-000039</t>
  </si>
  <si>
    <t xml:space="preserve">C02350</t>
  </si>
  <si>
    <t xml:space="preserve">32502-979</t>
  </si>
  <si>
    <t xml:space="preserve">RJ-000053</t>
  </si>
  <si>
    <t xml:space="preserve">C01113</t>
  </si>
  <si>
    <t xml:space="preserve">50656-463</t>
  </si>
  <si>
    <t xml:space="preserve">RJ-000054</t>
  </si>
  <si>
    <t xml:space="preserve">RJ-000584</t>
  </si>
  <si>
    <t xml:space="preserve">RJ-000200</t>
  </si>
  <si>
    <t xml:space="preserve">RJ-000657</t>
  </si>
  <si>
    <t xml:space="preserve">C00084</t>
  </si>
  <si>
    <t xml:space="preserve">20516-369</t>
  </si>
  <si>
    <t xml:space="preserve">RJ-000026</t>
  </si>
  <si>
    <t xml:space="preserve">C02044</t>
  </si>
  <si>
    <t xml:space="preserve">50440-642</t>
  </si>
  <si>
    <t xml:space="preserve">RJ-000040</t>
  </si>
  <si>
    <t xml:space="preserve">C00887</t>
  </si>
  <si>
    <t xml:space="preserve">74364-984</t>
  </si>
  <si>
    <t xml:space="preserve">RJ-000154</t>
  </si>
  <si>
    <t xml:space="preserve">RJ-000228</t>
  </si>
  <si>
    <t xml:space="preserve">RJ-000060</t>
  </si>
  <si>
    <t xml:space="preserve">C02301</t>
  </si>
  <si>
    <t xml:space="preserve">20182-419</t>
  </si>
  <si>
    <t xml:space="preserve">RJ-000102</t>
  </si>
  <si>
    <t xml:space="preserve">RJ-000002</t>
  </si>
  <si>
    <t xml:space="preserve">RJ-000121</t>
  </si>
  <si>
    <t xml:space="preserve">RJ-000225</t>
  </si>
  <si>
    <t xml:space="preserve">RJ-000106</t>
  </si>
  <si>
    <t xml:space="preserve">RJ-000122</t>
  </si>
  <si>
    <t xml:space="preserve">RJ-000145</t>
  </si>
  <si>
    <t xml:space="preserve">RJ-000107</t>
  </si>
  <si>
    <t xml:space="preserve">RJ-000104</t>
  </si>
  <si>
    <t xml:space="preserve">RJ-000389</t>
  </si>
  <si>
    <t xml:space="preserve">Turnê Internacional Rock - Rio</t>
  </si>
  <si>
    <t xml:space="preserve">RJ-000475</t>
  </si>
  <si>
    <t xml:space="preserve">RJ-000415</t>
  </si>
  <si>
    <t xml:space="preserve">RJ-000455</t>
  </si>
  <si>
    <t xml:space="preserve">RJ-000464</t>
  </si>
  <si>
    <t xml:space="preserve">C01006</t>
  </si>
  <si>
    <t xml:space="preserve">24516-280</t>
  </si>
  <si>
    <t xml:space="preserve">RJ-000522</t>
  </si>
  <si>
    <t xml:space="preserve">RJ-000384</t>
  </si>
  <si>
    <t xml:space="preserve">RJ-000454</t>
  </si>
  <si>
    <t xml:space="preserve">C01922</t>
  </si>
  <si>
    <t xml:space="preserve">32207-228</t>
  </si>
  <si>
    <t xml:space="preserve">RJ-000457</t>
  </si>
  <si>
    <t xml:space="preserve">RJ-000458</t>
  </si>
  <si>
    <t xml:space="preserve">C02190</t>
  </si>
  <si>
    <t xml:space="preserve">90362-513</t>
  </si>
  <si>
    <t xml:space="preserve">RJ-000460</t>
  </si>
  <si>
    <t xml:space="preserve">RJ-000502</t>
  </si>
  <si>
    <t xml:space="preserve">RJ-000530</t>
  </si>
  <si>
    <t xml:space="preserve">RJ-000226</t>
  </si>
  <si>
    <t xml:space="preserve">RJ-000421</t>
  </si>
  <si>
    <t xml:space="preserve">RJ-000433</t>
  </si>
  <si>
    <t xml:space="preserve">RJ-000398</t>
  </si>
  <si>
    <t xml:space="preserve">RJ-000404</t>
  </si>
  <si>
    <t xml:space="preserve">C00639</t>
  </si>
  <si>
    <t xml:space="preserve">88337-828</t>
  </si>
  <si>
    <t xml:space="preserve">RJ-000500</t>
  </si>
  <si>
    <t xml:space="preserve">C02153</t>
  </si>
  <si>
    <t xml:space="preserve">niterói</t>
  </si>
  <si>
    <t xml:space="preserve">24417-013</t>
  </si>
  <si>
    <t xml:space="preserve">RJ-000548</t>
  </si>
  <si>
    <t xml:space="preserve">RJ-000430</t>
  </si>
  <si>
    <t xml:space="preserve">RJ-000496</t>
  </si>
  <si>
    <t xml:space="preserve">C00517</t>
  </si>
  <si>
    <t xml:space="preserve">RJ-000696</t>
  </si>
  <si>
    <t xml:space="preserve">RJ-000175</t>
  </si>
  <si>
    <t xml:space="preserve">RJ-000420</t>
  </si>
  <si>
    <t xml:space="preserve">RJ-000514</t>
  </si>
  <si>
    <t xml:space="preserve">RJ-000390</t>
  </si>
  <si>
    <t xml:space="preserve">C01267</t>
  </si>
  <si>
    <t xml:space="preserve">29879-582</t>
  </si>
  <si>
    <t xml:space="preserve">RJ-000510</t>
  </si>
  <si>
    <t xml:space="preserve">C00813</t>
  </si>
  <si>
    <t xml:space="preserve">80804-369</t>
  </si>
  <si>
    <t xml:space="preserve">RJ-000028</t>
  </si>
  <si>
    <t xml:space="preserve">C00061</t>
  </si>
  <si>
    <t xml:space="preserve">88732-034</t>
  </si>
  <si>
    <t xml:space="preserve">RJ-000086</t>
  </si>
  <si>
    <t xml:space="preserve">RJ-000087</t>
  </si>
  <si>
    <t xml:space="preserve">C00224</t>
  </si>
  <si>
    <t xml:space="preserve">24387-058</t>
  </si>
  <si>
    <t xml:space="preserve">RJ-000098</t>
  </si>
  <si>
    <t xml:space="preserve">C02128</t>
  </si>
  <si>
    <t xml:space="preserve">RJ-000115</t>
  </si>
  <si>
    <t xml:space="preserve">RJ-000196</t>
  </si>
  <si>
    <t xml:space="preserve">RJ-000556</t>
  </si>
  <si>
    <t xml:space="preserve">RJ-000014</t>
  </si>
  <si>
    <t xml:space="preserve">RJ-000043</t>
  </si>
  <si>
    <t xml:space="preserve">RJ-000059</t>
  </si>
  <si>
    <t xml:space="preserve">RJ-000117</t>
  </si>
  <si>
    <t xml:space="preserve">RJ-000152</t>
  </si>
  <si>
    <t xml:space="preserve">RJ-000170</t>
  </si>
  <si>
    <t xml:space="preserve">C02269</t>
  </si>
  <si>
    <t xml:space="preserve">90226-470</t>
  </si>
  <si>
    <t xml:space="preserve">RJ-000181</t>
  </si>
  <si>
    <t xml:space="preserve">C01701</t>
  </si>
  <si>
    <t xml:space="preserve">29012-738</t>
  </si>
  <si>
    <t xml:space="preserve">RJ-000227</t>
  </si>
  <si>
    <t xml:space="preserve">RJ-000407</t>
  </si>
  <si>
    <t xml:space="preserve">C02237</t>
  </si>
  <si>
    <t xml:space="preserve">40069-968</t>
  </si>
  <si>
    <t xml:space="preserve">RJ-000488</t>
  </si>
  <si>
    <t xml:space="preserve">RJ-000529</t>
  </si>
  <si>
    <t xml:space="preserve">RJ-000003</t>
  </si>
  <si>
    <t xml:space="preserve">C00679</t>
  </si>
  <si>
    <t xml:space="preserve">01785-887</t>
  </si>
  <si>
    <t xml:space="preserve">RJ-000005</t>
  </si>
  <si>
    <t xml:space="preserve">C01199</t>
  </si>
  <si>
    <t xml:space="preserve">80507-337</t>
  </si>
  <si>
    <t xml:space="preserve">RJ-000018</t>
  </si>
  <si>
    <t xml:space="preserve">C02296</t>
  </si>
  <si>
    <t xml:space="preserve">24904-792</t>
  </si>
  <si>
    <t xml:space="preserve">RJ-000037</t>
  </si>
  <si>
    <t xml:space="preserve">C01228</t>
  </si>
  <si>
    <t xml:space="preserve">70953-002</t>
  </si>
  <si>
    <t xml:space="preserve">RJ-000066</t>
  </si>
  <si>
    <t xml:space="preserve">C01564</t>
  </si>
  <si>
    <t xml:space="preserve">88570-177</t>
  </si>
  <si>
    <t xml:space="preserve">RJ-000074</t>
  </si>
  <si>
    <t xml:space="preserve">RJ-000093</t>
  </si>
  <si>
    <t xml:space="preserve">Vitoria</t>
  </si>
  <si>
    <t xml:space="preserve">RJ-000141</t>
  </si>
  <si>
    <t xml:space="preserve">C00683</t>
  </si>
  <si>
    <t xml:space="preserve">90497-346</t>
  </si>
  <si>
    <t xml:space="preserve">RJ-000167</t>
  </si>
  <si>
    <t xml:space="preserve">RJ-000187</t>
  </si>
  <si>
    <t xml:space="preserve">RJ-000219</t>
  </si>
  <si>
    <t xml:space="preserve">RJ-000224</t>
  </si>
  <si>
    <t xml:space="preserve">RJ-000393</t>
  </si>
  <si>
    <t xml:space="preserve">RJ-000009</t>
  </si>
  <si>
    <t xml:space="preserve">RJ-000012</t>
  </si>
  <si>
    <t xml:space="preserve">C01208</t>
  </si>
  <si>
    <t xml:space="preserve">24231-454</t>
  </si>
  <si>
    <t xml:space="preserve">RJ-000019</t>
  </si>
  <si>
    <t xml:space="preserve">C00923</t>
  </si>
  <si>
    <t xml:space="preserve">11519-388</t>
  </si>
  <si>
    <t xml:space="preserve">RJ-000050</t>
  </si>
  <si>
    <t xml:space="preserve">RJ-000057</t>
  </si>
  <si>
    <t xml:space="preserve">RJ-000070</t>
  </si>
  <si>
    <t xml:space="preserve">C00494</t>
  </si>
  <si>
    <t xml:space="preserve">90691-721</t>
  </si>
  <si>
    <t xml:space="preserve">RJ-000073</t>
  </si>
  <si>
    <t xml:space="preserve">C02435</t>
  </si>
  <si>
    <t xml:space="preserve">24733-858</t>
  </si>
  <si>
    <t xml:space="preserve">RJ-000132</t>
  </si>
  <si>
    <t xml:space="preserve">C01628</t>
  </si>
  <si>
    <t xml:space="preserve">24896-912</t>
  </si>
  <si>
    <t xml:space="preserve">RJ-000137</t>
  </si>
  <si>
    <t xml:space="preserve">RJ-000194</t>
  </si>
  <si>
    <t xml:space="preserve">RJ-000391</t>
  </si>
  <si>
    <t xml:space="preserve">RJ-000403</t>
  </si>
  <si>
    <t xml:space="preserve">RJ-000417</t>
  </si>
  <si>
    <t xml:space="preserve">RJ-000456</t>
  </si>
  <si>
    <t xml:space="preserve">C02066</t>
  </si>
  <si>
    <t xml:space="preserve">20384-805</t>
  </si>
  <si>
    <t xml:space="preserve">RJ-000507</t>
  </si>
  <si>
    <t xml:space="preserve">RJ-000004</t>
  </si>
  <si>
    <t xml:space="preserve">RJ-000023</t>
  </si>
  <si>
    <t xml:space="preserve">RJ-000092</t>
  </si>
  <si>
    <t xml:space="preserve">RJ-000095</t>
  </si>
  <si>
    <t xml:space="preserve">RJ-000113</t>
  </si>
  <si>
    <t xml:space="preserve">RJ-000120</t>
  </si>
  <si>
    <t xml:space="preserve">RJ-000147</t>
  </si>
  <si>
    <t xml:space="preserve">RJ-000163</t>
  </si>
  <si>
    <t xml:space="preserve">C01563</t>
  </si>
  <si>
    <t xml:space="preserve">24371-947</t>
  </si>
  <si>
    <t xml:space="preserve">RJ-000394</t>
  </si>
  <si>
    <t xml:space="preserve">C01966</t>
  </si>
  <si>
    <t xml:space="preserve">30655-166</t>
  </si>
  <si>
    <t xml:space="preserve">RJ-000399</t>
  </si>
  <si>
    <t xml:space="preserve">RJ-000409</t>
  </si>
  <si>
    <t xml:space="preserve">C00660</t>
  </si>
  <si>
    <t xml:space="preserve">74397-048</t>
  </si>
  <si>
    <t xml:space="preserve">RJ-000506</t>
  </si>
  <si>
    <t xml:space="preserve">RJ-000519</t>
  </si>
  <si>
    <t xml:space="preserve">RJ-000031</t>
  </si>
  <si>
    <t xml:space="preserve">RJ-000048</t>
  </si>
  <si>
    <t xml:space="preserve">C01479</t>
  </si>
  <si>
    <t xml:space="preserve">24522-464</t>
  </si>
  <si>
    <t xml:space="preserve">RJ-000052</t>
  </si>
  <si>
    <t xml:space="preserve">C00127</t>
  </si>
  <si>
    <t xml:space="preserve">20423-620</t>
  </si>
  <si>
    <t xml:space="preserve">RJ-000112</t>
  </si>
  <si>
    <t xml:space="preserve">RJ-000116</t>
  </si>
  <si>
    <t xml:space="preserve">C00512</t>
  </si>
  <si>
    <t xml:space="preserve">24516-347</t>
  </si>
  <si>
    <t xml:space="preserve">RJ-000135</t>
  </si>
  <si>
    <t xml:space="preserve">RJ-000160</t>
  </si>
  <si>
    <t xml:space="preserve">C00126</t>
  </si>
  <si>
    <t xml:space="preserve">24979-452</t>
  </si>
  <si>
    <t xml:space="preserve">RJ-000180</t>
  </si>
  <si>
    <t xml:space="preserve">C02169</t>
  </si>
  <si>
    <t xml:space="preserve">40746-210</t>
  </si>
  <si>
    <t xml:space="preserve">RJ-000191</t>
  </si>
  <si>
    <t xml:space="preserve">RJ-000429</t>
  </si>
  <si>
    <t xml:space="preserve">RJ-000446</t>
  </si>
  <si>
    <t xml:space="preserve">RJ-000526</t>
  </si>
  <si>
    <t xml:space="preserve">RJ-000133</t>
  </si>
  <si>
    <t xml:space="preserve">RJ-000138</t>
  </si>
  <si>
    <t xml:space="preserve">RJ-000143</t>
  </si>
  <si>
    <t xml:space="preserve">C00139</t>
  </si>
  <si>
    <t xml:space="preserve">40012-452</t>
  </si>
  <si>
    <t xml:space="preserve">RJ-000174</t>
  </si>
  <si>
    <t xml:space="preserve">RJ-000197</t>
  </si>
  <si>
    <t xml:space="preserve">C00173</t>
  </si>
  <si>
    <t xml:space="preserve">13082-271</t>
  </si>
  <si>
    <t xml:space="preserve">RJ-000214</t>
  </si>
  <si>
    <t xml:space="preserve">RJ-000217</t>
  </si>
  <si>
    <t xml:space="preserve">RJ-000447</t>
  </si>
  <si>
    <t xml:space="preserve">RJ-000684</t>
  </si>
  <si>
    <t xml:space="preserve">RJ-000067</t>
  </si>
  <si>
    <t xml:space="preserve">RJ-000101</t>
  </si>
  <si>
    <t xml:space="preserve">RJ-000148</t>
  </si>
  <si>
    <t xml:space="preserve">RJ-000161</t>
  </si>
  <si>
    <t xml:space="preserve">C02141</t>
  </si>
  <si>
    <t xml:space="preserve">Florianopolis</t>
  </si>
  <si>
    <t xml:space="preserve">88063-971</t>
  </si>
  <si>
    <t xml:space="preserve">RJ-000182</t>
  </si>
  <si>
    <t xml:space="preserve">RJ-000193</t>
  </si>
  <si>
    <t xml:space="preserve">RJ-000208</t>
  </si>
  <si>
    <t xml:space="preserve">C00501</t>
  </si>
  <si>
    <t xml:space="preserve">32172-931</t>
  </si>
  <si>
    <t xml:space="preserve">RJ-000222</t>
  </si>
  <si>
    <t xml:space="preserve">C00666</t>
  </si>
  <si>
    <t xml:space="preserve">80121-051</t>
  </si>
  <si>
    <t xml:space="preserve">RJ-000381</t>
  </si>
  <si>
    <t xml:space="preserve">RJ-000582</t>
  </si>
  <si>
    <t xml:space="preserve">RJ-000626</t>
  </si>
  <si>
    <t xml:space="preserve">RJ-000397</t>
  </si>
  <si>
    <t xml:space="preserve">RJ-000461</t>
  </si>
  <si>
    <t xml:space="preserve">RJ-000483</t>
  </si>
  <si>
    <t xml:space="preserve">RJ-000402</t>
  </si>
  <si>
    <t xml:space="preserve">RJ-000434</t>
  </si>
  <si>
    <t xml:space="preserve">RJ-000438</t>
  </si>
  <si>
    <t xml:space="preserve">RJ-000459</t>
  </si>
  <si>
    <t xml:space="preserve">C00011</t>
  </si>
  <si>
    <t xml:space="preserve">11205-132</t>
  </si>
  <si>
    <t xml:space="preserve">RJ-000479</t>
  </si>
  <si>
    <t xml:space="preserve">RJ-000498</t>
  </si>
  <si>
    <t xml:space="preserve">recife</t>
  </si>
  <si>
    <t xml:space="preserve">RJ-000656</t>
  </si>
  <si>
    <t xml:space="preserve">RJ-000411</t>
  </si>
  <si>
    <t xml:space="preserve">RJ-000424</t>
  </si>
  <si>
    <t xml:space="preserve">C02165</t>
  </si>
  <si>
    <t xml:space="preserve">20254-699</t>
  </si>
  <si>
    <t xml:space="preserve">RJ-000440</t>
  </si>
  <si>
    <t xml:space="preserve">C01506</t>
  </si>
  <si>
    <t xml:space="preserve">BELO HORIZONTE</t>
  </si>
  <si>
    <t xml:space="preserve">30292-268</t>
  </si>
  <si>
    <t xml:space="preserve">RJ-000543</t>
  </si>
  <si>
    <t xml:space="preserve">RJ-000405</t>
  </si>
  <si>
    <t xml:space="preserve">C01528</t>
  </si>
  <si>
    <t xml:space="preserve">70371-740</t>
  </si>
  <si>
    <t xml:space="preserve">RJ-000406</t>
  </si>
  <si>
    <t xml:space="preserve">RJ-000468</t>
  </si>
  <si>
    <t xml:space="preserve">RJ-000501</t>
  </si>
  <si>
    <t xml:space="preserve">RJ-000653</t>
  </si>
  <si>
    <t xml:space="preserve">C01268</t>
  </si>
  <si>
    <t xml:space="preserve">20027-783</t>
  </si>
  <si>
    <t xml:space="preserve">RJ-000484</t>
  </si>
  <si>
    <t xml:space="preserve">RJ-000667</t>
  </si>
  <si>
    <t xml:space="preserve">C00987</t>
  </si>
  <si>
    <t xml:space="preserve">50842-423</t>
  </si>
  <si>
    <t xml:space="preserve">RJ-000437</t>
  </si>
  <si>
    <t xml:space="preserve">RJ-000504</t>
  </si>
  <si>
    <t xml:space="preserve">C01464</t>
  </si>
  <si>
    <t xml:space="preserve">40857-709</t>
  </si>
  <si>
    <t xml:space="preserve">RJ-000613</t>
  </si>
  <si>
    <t xml:space="preserve">RJ-000436</t>
  </si>
  <si>
    <t xml:space="preserve">C02320</t>
  </si>
  <si>
    <t xml:space="preserve">29021-888</t>
  </si>
  <si>
    <t xml:space="preserve">RJ-000485</t>
  </si>
  <si>
    <t xml:space="preserve">RJ-000637</t>
  </si>
  <si>
    <t xml:space="preserve">RJ-000671</t>
  </si>
  <si>
    <t xml:space="preserve">RJ-000427</t>
  </si>
  <si>
    <t xml:space="preserve">RJ-000439</t>
  </si>
  <si>
    <t xml:space="preserve">RJ-000451</t>
  </si>
  <si>
    <t xml:space="preserve">RJ-000511</t>
  </si>
  <si>
    <t xml:space="preserve">C01884</t>
  </si>
  <si>
    <t xml:space="preserve">40717-569</t>
  </si>
  <si>
    <t xml:space="preserve">RJ-000383</t>
  </si>
  <si>
    <t xml:space="preserve">RJ-000385</t>
  </si>
  <si>
    <t xml:space="preserve">RJ-000528</t>
  </si>
  <si>
    <t xml:space="preserve">RJ-000578</t>
  </si>
  <si>
    <t xml:space="preserve">RJ-000499</t>
  </si>
  <si>
    <t xml:space="preserve">C02300</t>
  </si>
  <si>
    <t xml:space="preserve">20886-364</t>
  </si>
  <si>
    <t xml:space="preserve">RJ-000413</t>
  </si>
  <si>
    <t xml:space="preserve">RJ-000490</t>
  </si>
  <si>
    <t xml:space="preserve">RJ-000679</t>
  </si>
  <si>
    <t xml:space="preserve">RJ-000545</t>
  </si>
  <si>
    <t xml:space="preserve">C00161</t>
  </si>
  <si>
    <t xml:space="preserve">20396-440</t>
  </si>
  <si>
    <t xml:space="preserve">RJ-000508</t>
  </si>
  <si>
    <t xml:space="preserve">RJ-000412</t>
  </si>
  <si>
    <t xml:space="preserve">RJ-000495</t>
  </si>
  <si>
    <t xml:space="preserve">RJ-000518</t>
  </si>
  <si>
    <t xml:space="preserve">RJ-000534</t>
  </si>
  <si>
    <t xml:space="preserve">RJ-000462</t>
  </si>
  <si>
    <t xml:space="preserve">C00407</t>
  </si>
  <si>
    <t xml:space="preserve">40604-362</t>
  </si>
  <si>
    <t xml:space="preserve">RJ-000535</t>
  </si>
  <si>
    <t xml:space="preserve">RJ-000408</t>
  </si>
  <si>
    <t xml:space="preserve">C01847</t>
  </si>
  <si>
    <t xml:space="preserve">RJ-000450</t>
  </si>
  <si>
    <t xml:space="preserve">RJ-000387</t>
  </si>
  <si>
    <t xml:space="preserve">RJ-000581</t>
  </si>
  <si>
    <t xml:space="preserve">RJ-000699</t>
  </si>
  <si>
    <t xml:space="preserve">RJ-000532</t>
  </si>
  <si>
    <t xml:space="preserve">RJ-000630</t>
  </si>
  <si>
    <t xml:space="preserve">RJ-000431</t>
  </si>
  <si>
    <t xml:space="preserve">RJ-000410</t>
  </si>
  <si>
    <t xml:space="preserve">RJ-000467</t>
  </si>
  <si>
    <t xml:space="preserve">RJ-000512</t>
  </si>
  <si>
    <t xml:space="preserve">RJ-000487</t>
  </si>
  <si>
    <t xml:space="preserve">C00239</t>
  </si>
  <si>
    <t xml:space="preserve">24968-670</t>
  </si>
  <si>
    <t xml:space="preserve">RJ-000553</t>
  </si>
  <si>
    <t xml:space="preserve">RJ-000575</t>
  </si>
  <si>
    <t xml:space="preserve">C00765</t>
  </si>
  <si>
    <t xml:space="preserve">20640-032</t>
  </si>
  <si>
    <t xml:space="preserve">RJ-000473</t>
  </si>
  <si>
    <t xml:space="preserve">RJ-000605</t>
  </si>
  <si>
    <t xml:space="preserve">RJ-000649</t>
  </si>
  <si>
    <t xml:space="preserve">RJ-000477</t>
  </si>
  <si>
    <t xml:space="preserve">C01436</t>
  </si>
  <si>
    <t xml:space="preserve">24115-594</t>
  </si>
  <si>
    <t xml:space="preserve">RJ-000489</t>
  </si>
  <si>
    <t xml:space="preserve">RJ-000596</t>
  </si>
  <si>
    <t xml:space="preserve">RJ-000677</t>
  </si>
  <si>
    <t xml:space="preserve">C02188</t>
  </si>
  <si>
    <t xml:space="preserve">20027-961</t>
  </si>
  <si>
    <t xml:space="preserve">RJ-000478</t>
  </si>
  <si>
    <t xml:space="preserve">RJ-000480</t>
  </si>
  <si>
    <t xml:space="preserve">RJ-000469</t>
  </si>
  <si>
    <t xml:space="preserve">RJ-000521</t>
  </si>
  <si>
    <t xml:space="preserve">C01046</t>
  </si>
  <si>
    <t xml:space="preserve">32642-802</t>
  </si>
  <si>
    <t xml:space="preserve">RJ-000644</t>
  </si>
  <si>
    <t xml:space="preserve">RJ-000666</t>
  </si>
  <si>
    <t xml:space="preserve">RJ-000585</t>
  </si>
  <si>
    <t xml:space="preserve">RJ-000395</t>
  </si>
  <si>
    <t xml:space="preserve">RJ-000463</t>
  </si>
  <si>
    <t xml:space="preserve">RJ-000700</t>
  </si>
  <si>
    <t xml:space="preserve">RJ-000425</t>
  </si>
  <si>
    <t xml:space="preserve">C01286</t>
  </si>
  <si>
    <t xml:space="preserve">88536-949</t>
  </si>
  <si>
    <t xml:space="preserve">RJ-000492</t>
  </si>
  <si>
    <t xml:space="preserve">RJ-000564</t>
  </si>
  <si>
    <t xml:space="preserve">RJ-000573</t>
  </si>
  <si>
    <t xml:space="preserve">C01248</t>
  </si>
  <si>
    <t xml:space="preserve">20107-739</t>
  </si>
  <si>
    <t xml:space="preserve">RJ-000472</t>
  </si>
  <si>
    <t xml:space="preserve">RJ-000698</t>
  </si>
  <si>
    <t xml:space="preserve">C01638</t>
  </si>
  <si>
    <t xml:space="preserve">20921-145</t>
  </si>
  <si>
    <t xml:space="preserve">RJ-000493</t>
  </si>
  <si>
    <t xml:space="preserve">C00820</t>
  </si>
  <si>
    <t xml:space="preserve">32700-265</t>
  </si>
  <si>
    <t xml:space="preserve">RJ-000641</t>
  </si>
  <si>
    <t xml:space="preserve">RJ-000505</t>
  </si>
  <si>
    <t xml:space="preserve">RJ-000516</t>
  </si>
  <si>
    <t xml:space="preserve">RJ-000520</t>
  </si>
  <si>
    <t xml:space="preserve">C00920</t>
  </si>
  <si>
    <t xml:space="preserve">80022-576</t>
  </si>
  <si>
    <t xml:space="preserve">RJ-000428</t>
  </si>
  <si>
    <t xml:space="preserve">RJ-000509</t>
  </si>
  <si>
    <t xml:space="preserve">RJ-000562</t>
  </si>
  <si>
    <t xml:space="preserve">RJ-000611</t>
  </si>
  <si>
    <t xml:space="preserve">RJ-000515</t>
  </si>
  <si>
    <t xml:space="preserve">RJ-000448</t>
  </si>
  <si>
    <t xml:space="preserve">RJ-000690</t>
  </si>
  <si>
    <t xml:space="preserve">RJ-000470</t>
  </si>
  <si>
    <t xml:space="preserve">RJ-000466</t>
  </si>
  <si>
    <t xml:space="preserve">C02469</t>
  </si>
  <si>
    <t xml:space="preserve">88400-677</t>
  </si>
  <si>
    <t xml:space="preserve">RJ-000524</t>
  </si>
  <si>
    <t xml:space="preserve">RJ-000396</t>
  </si>
  <si>
    <t xml:space="preserve">RJ-000416</t>
  </si>
  <si>
    <t xml:space="preserve">RJ-000452</t>
  </si>
  <si>
    <t xml:space="preserve">RJ-000471</t>
  </si>
  <si>
    <t xml:space="preserve">RJ-000517</t>
  </si>
  <si>
    <t xml:space="preserve">C01968</t>
  </si>
  <si>
    <t xml:space="preserve">20525-309</t>
  </si>
  <si>
    <t xml:space="preserve">RJ-000386</t>
  </si>
  <si>
    <t xml:space="preserve">RJ-000388</t>
  </si>
  <si>
    <t xml:space="preserve">RJ-000392</t>
  </si>
  <si>
    <t xml:space="preserve">RJ-000414</t>
  </si>
  <si>
    <t xml:space="preserve">RJ-000491</t>
  </si>
  <si>
    <t xml:space="preserve">C01750</t>
  </si>
  <si>
    <t xml:space="preserve">29888-284</t>
  </si>
  <si>
    <t xml:space="preserve">RJ-000494</t>
  </si>
  <si>
    <t xml:space="preserve">RJ-000523</t>
  </si>
  <si>
    <t xml:space="preserve">RJ-000432</t>
  </si>
  <si>
    <t xml:space="preserve">RJ-000453</t>
  </si>
  <si>
    <t xml:space="preserve">RJ-000474</t>
  </si>
  <si>
    <t xml:space="preserve">RJ-000481</t>
  </si>
  <si>
    <t xml:space="preserve">C00672</t>
  </si>
  <si>
    <t xml:space="preserve">24763-827</t>
  </si>
  <si>
    <t xml:space="preserve">RJ-000503</t>
  </si>
  <si>
    <t xml:space="preserve">RJ-000527</t>
  </si>
  <si>
    <t xml:space="preserve">RJ-000633</t>
  </si>
  <si>
    <t xml:space="preserve">RJ-000441</t>
  </si>
  <si>
    <t xml:space="preserve">C00811</t>
  </si>
  <si>
    <t xml:space="preserve">24600-285</t>
  </si>
  <si>
    <t xml:space="preserve">RJ-000476</t>
  </si>
  <si>
    <t xml:space="preserve">RJ-000486</t>
  </si>
  <si>
    <t xml:space="preserve">RJ-000513</t>
  </si>
  <si>
    <t xml:space="preserve">C02060</t>
  </si>
  <si>
    <t xml:space="preserve">74010-691</t>
  </si>
  <si>
    <t xml:space="preserve">RJ-000536</t>
  </si>
  <si>
    <t xml:space="preserve">RJ-000401</t>
  </si>
  <si>
    <t xml:space="preserve">RJ-000418</t>
  </si>
  <si>
    <t xml:space="preserve">RJ-000419</t>
  </si>
  <si>
    <t xml:space="preserve">RJ-000497</t>
  </si>
  <si>
    <t xml:space="preserve">RJ-000422</t>
  </si>
  <si>
    <t xml:space="preserve">C00268</t>
  </si>
  <si>
    <t xml:space="preserve">24928-505</t>
  </si>
  <si>
    <t xml:space="preserve">RJ-000426</t>
  </si>
  <si>
    <t xml:space="preserve">RJ-000435</t>
  </si>
  <si>
    <t xml:space="preserve">RJ-000443</t>
  </si>
  <si>
    <t xml:space="preserve">C01301</t>
  </si>
  <si>
    <t xml:space="preserve">50253-933</t>
  </si>
  <si>
    <t xml:space="preserve">RJ-000444</t>
  </si>
  <si>
    <t xml:space="preserve">C00746</t>
  </si>
  <si>
    <t xml:space="preserve">RJ-000449</t>
  </si>
  <si>
    <t xml:space="preserve">RJ-000482</t>
  </si>
  <si>
    <t xml:space="preserve">C02436</t>
  </si>
  <si>
    <t xml:space="preserve">88244-301</t>
  </si>
  <si>
    <t xml:space="preserve">RJ-000569</t>
  </si>
  <si>
    <t xml:space="preserve">RJ-000382</t>
  </si>
  <si>
    <t xml:space="preserve">C02482</t>
  </si>
  <si>
    <t xml:space="preserve">VITÓRIA</t>
  </si>
  <si>
    <t xml:space="preserve">29996-342</t>
  </si>
  <si>
    <t xml:space="preserve">RJ-000400</t>
  </si>
  <si>
    <t xml:space="preserve">C00234</t>
  </si>
  <si>
    <t xml:space="preserve">RJ-000423</t>
  </si>
  <si>
    <t xml:space="preserve">RJ-000442</t>
  </si>
  <si>
    <t xml:space="preserve">RJ-000445</t>
  </si>
  <si>
    <t xml:space="preserve">RJ-000465</t>
  </si>
  <si>
    <t xml:space="preserve">RJ-000525</t>
  </si>
  <si>
    <t xml:space="preserve">C00653</t>
  </si>
  <si>
    <t xml:space="preserve">30677-068</t>
  </si>
  <si>
    <t xml:space="preserve">RJ-000550</t>
  </si>
  <si>
    <t xml:space="preserve">RJ-000661</t>
  </si>
  <si>
    <t xml:space="preserve">C00477</t>
  </si>
  <si>
    <t xml:space="preserve">20269-685</t>
  </si>
  <si>
    <t xml:space="preserve">RJ-000663</t>
  </si>
  <si>
    <t xml:space="preserve">RJ-000606</t>
  </si>
  <si>
    <t xml:space="preserve">RJ-000537</t>
  </si>
  <si>
    <t xml:space="preserve">RJ-000662</t>
  </si>
  <si>
    <t xml:space="preserve">RJ-000571</t>
  </si>
  <si>
    <t xml:space="preserve">RJ-000554</t>
  </si>
  <si>
    <t xml:space="preserve">RJ-000680</t>
  </si>
  <si>
    <t xml:space="preserve">RJ-000687</t>
  </si>
  <si>
    <t xml:space="preserve">RJ-000697</t>
  </si>
  <si>
    <t xml:space="preserve">RJ-000646</t>
  </si>
  <si>
    <t xml:space="preserve">RJ-000634</t>
  </si>
  <si>
    <t xml:space="preserve">RJ-000651</t>
  </si>
  <si>
    <t xml:space="preserve">RJ-000599</t>
  </si>
  <si>
    <t xml:space="preserve">RJ-000639</t>
  </si>
  <si>
    <t xml:space="preserve">RJ-000647</t>
  </si>
  <si>
    <t xml:space="preserve">MG-000451</t>
  </si>
  <si>
    <t xml:space="preserve">2025-01-02</t>
  </si>
  <si>
    <t xml:space="preserve">2025-01-04</t>
  </si>
  <si>
    <t xml:space="preserve">Cinema Savassi - Sessões</t>
  </si>
  <si>
    <t xml:space="preserve">1</t>
  </si>
  <si>
    <t xml:space="preserve">17,50</t>
  </si>
  <si>
    <t xml:space="preserve">C00716</t>
  </si>
  <si>
    <t xml:space="preserve">30112-698</t>
  </si>
  <si>
    <t xml:space="preserve">vendas_MG.csv</t>
  </si>
  <si>
    <t xml:space="preserve">MG-000546</t>
  </si>
  <si>
    <t xml:space="preserve">2025-01-08</t>
  </si>
  <si>
    <t xml:space="preserve">3</t>
  </si>
  <si>
    <t xml:space="preserve">20,00</t>
  </si>
  <si>
    <t xml:space="preserve">C00479</t>
  </si>
  <si>
    <t xml:space="preserve">belo horizonte</t>
  </si>
  <si>
    <t xml:space="preserve">30067-076</t>
  </si>
  <si>
    <t xml:space="preserve">MG-000382</t>
  </si>
  <si>
    <t xml:space="preserve">2025-01-14</t>
  </si>
  <si>
    <t xml:space="preserve">2025-01-17</t>
  </si>
  <si>
    <t xml:space="preserve">C01021</t>
  </si>
  <si>
    <t xml:space="preserve">30782-862</t>
  </si>
  <si>
    <t xml:space="preserve">MG-000422</t>
  </si>
  <si>
    <t xml:space="preserve">2025-01-16</t>
  </si>
  <si>
    <t xml:space="preserve">2025-01-19</t>
  </si>
  <si>
    <t xml:space="preserve">30,00</t>
  </si>
  <si>
    <t xml:space="preserve">C01368</t>
  </si>
  <si>
    <t xml:space="preserve">30691-662</t>
  </si>
  <si>
    <t xml:space="preserve">MG-000479</t>
  </si>
  <si>
    <t xml:space="preserve">2025-01-22</t>
  </si>
  <si>
    <t xml:space="preserve">2025-01-24</t>
  </si>
  <si>
    <t xml:space="preserve">35,00</t>
  </si>
  <si>
    <t xml:space="preserve">MG-000476</t>
  </si>
  <si>
    <t xml:space="preserve">2025-01-25</t>
  </si>
  <si>
    <t xml:space="preserve">MG-000391</t>
  </si>
  <si>
    <t xml:space="preserve">2025-01-26</t>
  </si>
  <si>
    <t xml:space="preserve">2025-01-29</t>
  </si>
  <si>
    <t xml:space="preserve">22,50</t>
  </si>
  <si>
    <t xml:space="preserve">MG-000518</t>
  </si>
  <si>
    <t xml:space="preserve">2025-02-08</t>
  </si>
  <si>
    <t xml:space="preserve">2025-02-10</t>
  </si>
  <si>
    <t xml:space="preserve">MG-000547</t>
  </si>
  <si>
    <t xml:space="preserve">C01227</t>
  </si>
  <si>
    <t xml:space="preserve">30119-978</t>
  </si>
  <si>
    <t xml:space="preserve">MG-000540</t>
  </si>
  <si>
    <t xml:space="preserve">2025-02-15</t>
  </si>
  <si>
    <t xml:space="preserve">MG-000394</t>
  </si>
  <si>
    <t xml:space="preserve">2025-02-17</t>
  </si>
  <si>
    <t xml:space="preserve">2025-02-20</t>
  </si>
  <si>
    <t xml:space="preserve">40,00</t>
  </si>
  <si>
    <t xml:space="preserve">C00132</t>
  </si>
  <si>
    <t xml:space="preserve">30382-538</t>
  </si>
  <si>
    <t xml:space="preserve">MG-000424</t>
  </si>
  <si>
    <t xml:space="preserve">2025-02-18</t>
  </si>
  <si>
    <t xml:space="preserve">2025-02-21</t>
  </si>
  <si>
    <t xml:space="preserve">MG-000421</t>
  </si>
  <si>
    <t xml:space="preserve">2</t>
  </si>
  <si>
    <t xml:space="preserve">C02257</t>
  </si>
  <si>
    <t xml:space="preserve">30312-392</t>
  </si>
  <si>
    <t xml:space="preserve">MG-000488</t>
  </si>
  <si>
    <t xml:space="preserve">2025-02-22</t>
  </si>
  <si>
    <t xml:space="preserve">2025-02-24</t>
  </si>
  <si>
    <t xml:space="preserve">15,00</t>
  </si>
  <si>
    <t xml:space="preserve">C00718</t>
  </si>
  <si>
    <t xml:space="preserve">30735-758</t>
  </si>
  <si>
    <t xml:space="preserve">MG-000446</t>
  </si>
  <si>
    <t xml:space="preserve">2025-02-26</t>
  </si>
  <si>
    <t xml:space="preserve">2025-02-28</t>
  </si>
  <si>
    <t xml:space="preserve">C02290</t>
  </si>
  <si>
    <t xml:space="preserve">30415-768</t>
  </si>
  <si>
    <t xml:space="preserve">MG-000393</t>
  </si>
  <si>
    <t xml:space="preserve">2025-03-01</t>
  </si>
  <si>
    <t xml:space="preserve">2025-03-03</t>
  </si>
  <si>
    <t xml:space="preserve">C00937</t>
  </si>
  <si>
    <t xml:space="preserve">30016-356</t>
  </si>
  <si>
    <t xml:space="preserve">MG-000464</t>
  </si>
  <si>
    <t xml:space="preserve">2025-03-07</t>
  </si>
  <si>
    <t xml:space="preserve">2025-03-08</t>
  </si>
  <si>
    <t xml:space="preserve">C02362</t>
  </si>
  <si>
    <t xml:space="preserve">30737-414</t>
  </si>
  <si>
    <t xml:space="preserve">MG-000498</t>
  </si>
  <si>
    <t xml:space="preserve">2025-03-09</t>
  </si>
  <si>
    <t xml:space="preserve">C01616</t>
  </si>
  <si>
    <t xml:space="preserve">30471-790</t>
  </si>
  <si>
    <t xml:space="preserve">MG-000477</t>
  </si>
  <si>
    <t xml:space="preserve">2025-03-10</t>
  </si>
  <si>
    <t xml:space="preserve">4</t>
  </si>
  <si>
    <t xml:space="preserve">MG-000448</t>
  </si>
  <si>
    <t xml:space="preserve">2025-03-11</t>
  </si>
  <si>
    <t xml:space="preserve">2025-03-13</t>
  </si>
  <si>
    <t xml:space="preserve">BH</t>
  </si>
  <si>
    <t xml:space="preserve">C02253</t>
  </si>
  <si>
    <t xml:space="preserve">30112-809</t>
  </si>
  <si>
    <t xml:space="preserve">MG-000449</t>
  </si>
  <si>
    <t xml:space="preserve">MG-000532</t>
  </si>
  <si>
    <t xml:space="preserve">2025-03-12</t>
  </si>
  <si>
    <t xml:space="preserve">45,00</t>
  </si>
  <si>
    <t xml:space="preserve">C01809</t>
  </si>
  <si>
    <t xml:space="preserve">30720-667</t>
  </si>
  <si>
    <t xml:space="preserve">MG-000531</t>
  </si>
  <si>
    <t xml:space="preserve">2025-03-14</t>
  </si>
  <si>
    <t xml:space="preserve">C01631</t>
  </si>
  <si>
    <t xml:space="preserve">30016-005</t>
  </si>
  <si>
    <t xml:space="preserve">MG-000521</t>
  </si>
  <si>
    <t xml:space="preserve">2025-03-15</t>
  </si>
  <si>
    <t xml:space="preserve">2025-03-16</t>
  </si>
  <si>
    <t xml:space="preserve">C00627</t>
  </si>
  <si>
    <t xml:space="preserve">30020-613</t>
  </si>
  <si>
    <t xml:space="preserve">MG-000483</t>
  </si>
  <si>
    <t xml:space="preserve">2025-03-17</t>
  </si>
  <si>
    <t xml:space="preserve">2025-03-18</t>
  </si>
  <si>
    <t xml:space="preserve">C01242</t>
  </si>
  <si>
    <t xml:space="preserve">30347-652</t>
  </si>
  <si>
    <t xml:space="preserve">MG-000418</t>
  </si>
  <si>
    <t xml:space="preserve">2025-03-20</t>
  </si>
  <si>
    <t xml:space="preserve">2025-03-22</t>
  </si>
  <si>
    <t xml:space="preserve">C00623</t>
  </si>
  <si>
    <t xml:space="preserve">30204-633</t>
  </si>
  <si>
    <t xml:space="preserve">MG-000502</t>
  </si>
  <si>
    <t xml:space="preserve">2025-03-21</t>
  </si>
  <si>
    <t xml:space="preserve">2025-03-24</t>
  </si>
  <si>
    <t xml:space="preserve">MG-000549</t>
  </si>
  <si>
    <t xml:space="preserve">C02251</t>
  </si>
  <si>
    <t xml:space="preserve">30050-753</t>
  </si>
  <si>
    <t xml:space="preserve">MG-000537</t>
  </si>
  <si>
    <t xml:space="preserve">2025-03-26</t>
  </si>
  <si>
    <t xml:space="preserve">C00573</t>
  </si>
  <si>
    <t xml:space="preserve">13659-562</t>
  </si>
  <si>
    <t xml:space="preserve">MG-000452</t>
  </si>
  <si>
    <t xml:space="preserve">2025-03-29</t>
  </si>
  <si>
    <t xml:space="preserve">2025-03-30</t>
  </si>
  <si>
    <t xml:space="preserve">MG-000484</t>
  </si>
  <si>
    <t xml:space="preserve">2025-04-02</t>
  </si>
  <si>
    <t xml:space="preserve">C00004</t>
  </si>
  <si>
    <t xml:space="preserve">30847-756</t>
  </si>
  <si>
    <t xml:space="preserve">MG-000425</t>
  </si>
  <si>
    <t xml:space="preserve">2025-04-05</t>
  </si>
  <si>
    <t xml:space="preserve">2025-04-06</t>
  </si>
  <si>
    <t xml:space="preserve">C01320</t>
  </si>
  <si>
    <t xml:space="preserve">30621-386</t>
  </si>
  <si>
    <t xml:space="preserve">MG-000487</t>
  </si>
  <si>
    <t xml:space="preserve">MG-000395</t>
  </si>
  <si>
    <t xml:space="preserve">2025-04-07</t>
  </si>
  <si>
    <t xml:space="preserve">2025-04-10</t>
  </si>
  <si>
    <t xml:space="preserve">C01331</t>
  </si>
  <si>
    <t xml:space="preserve">30830-554</t>
  </si>
  <si>
    <t xml:space="preserve">MG-000457</t>
  </si>
  <si>
    <t xml:space="preserve">2025-04-15</t>
  </si>
  <si>
    <t xml:space="preserve">2025-04-18</t>
  </si>
  <si>
    <t xml:space="preserve">C00945</t>
  </si>
  <si>
    <t xml:space="preserve">30127-328</t>
  </si>
  <si>
    <t xml:space="preserve">MG-000432</t>
  </si>
  <si>
    <t xml:space="preserve">C01261</t>
  </si>
  <si>
    <t xml:space="preserve">30188-879</t>
  </si>
  <si>
    <t xml:space="preserve">MG-000470</t>
  </si>
  <si>
    <t xml:space="preserve">2025-04-20</t>
  </si>
  <si>
    <t xml:space="preserve">C01353</t>
  </si>
  <si>
    <t xml:space="preserve">30929-859</t>
  </si>
  <si>
    <t xml:space="preserve">MG-000548</t>
  </si>
  <si>
    <t xml:space="preserve">2025-04-24</t>
  </si>
  <si>
    <t xml:space="preserve">2025-04-26</t>
  </si>
  <si>
    <t xml:space="preserve">MG-000104</t>
  </si>
  <si>
    <t xml:space="preserve">2025-04-25</t>
  </si>
  <si>
    <t xml:space="preserve">2025-08-23</t>
  </si>
  <si>
    <t xml:space="preserve">Festival Montanhas BH 2025</t>
  </si>
  <si>
    <t xml:space="preserve">1035,00</t>
  </si>
  <si>
    <t xml:space="preserve">MG-000108</t>
  </si>
  <si>
    <t xml:space="preserve">1110,00</t>
  </si>
  <si>
    <t xml:space="preserve">C01928</t>
  </si>
  <si>
    <t xml:space="preserve">30127-972</t>
  </si>
  <si>
    <t xml:space="preserve">MG-000122</t>
  </si>
  <si>
    <t xml:space="preserve">880,00</t>
  </si>
  <si>
    <t xml:space="preserve">C01004</t>
  </si>
  <si>
    <t xml:space="preserve">70370-236</t>
  </si>
  <si>
    <t xml:space="preserve">MG-000135</t>
  </si>
  <si>
    <t xml:space="preserve">675,00</t>
  </si>
  <si>
    <t xml:space="preserve">MG-000136</t>
  </si>
  <si>
    <t xml:space="preserve">1125,00</t>
  </si>
  <si>
    <t xml:space="preserve">C01774</t>
  </si>
  <si>
    <t xml:space="preserve">30907-107</t>
  </si>
  <si>
    <t xml:space="preserve">MG-000211</t>
  </si>
  <si>
    <t xml:space="preserve">855,00</t>
  </si>
  <si>
    <t xml:space="preserve">C01612</t>
  </si>
  <si>
    <t xml:space="preserve">30782-226</t>
  </si>
  <si>
    <t xml:space="preserve">MG-000381</t>
  </si>
  <si>
    <t xml:space="preserve">2025-04-27</t>
  </si>
  <si>
    <t xml:space="preserve">MG-000413</t>
  </si>
  <si>
    <t xml:space="preserve">MG-000106</t>
  </si>
  <si>
    <t xml:space="preserve">505,00</t>
  </si>
  <si>
    <t xml:space="preserve">MG-000169</t>
  </si>
  <si>
    <t xml:space="preserve">820,00</t>
  </si>
  <si>
    <t xml:space="preserve">C00215</t>
  </si>
  <si>
    <t xml:space="preserve">30772-321</t>
  </si>
  <si>
    <t xml:space="preserve">MG-000025</t>
  </si>
  <si>
    <t xml:space="preserve">995,00</t>
  </si>
  <si>
    <t xml:space="preserve">C00124</t>
  </si>
  <si>
    <t xml:space="preserve">30042-673</t>
  </si>
  <si>
    <t xml:space="preserve">MG-000068</t>
  </si>
  <si>
    <t xml:space="preserve">795,00</t>
  </si>
  <si>
    <t xml:space="preserve">MG-000177</t>
  </si>
  <si>
    <t xml:space="preserve">1880,00</t>
  </si>
  <si>
    <t xml:space="preserve">C01713</t>
  </si>
  <si>
    <t xml:space="preserve">30760-140</t>
  </si>
  <si>
    <t xml:space="preserve">MG-000186</t>
  </si>
  <si>
    <t xml:space="preserve">442,50</t>
  </si>
  <si>
    <t xml:space="preserve">C01681</t>
  </si>
  <si>
    <t xml:space="preserve">11721-004</t>
  </si>
  <si>
    <t xml:space="preserve">MG-000209</t>
  </si>
  <si>
    <t xml:space="preserve">885,00</t>
  </si>
  <si>
    <t xml:space="preserve">C00464</t>
  </si>
  <si>
    <t xml:space="preserve">30685-935</t>
  </si>
  <si>
    <t xml:space="preserve">MG-000012</t>
  </si>
  <si>
    <t xml:space="preserve">2025-04-28</t>
  </si>
  <si>
    <t xml:space="preserve">522,50</t>
  </si>
  <si>
    <t xml:space="preserve">C01729</t>
  </si>
  <si>
    <t xml:space="preserve">30528-817</t>
  </si>
  <si>
    <t xml:space="preserve">MG-000139</t>
  </si>
  <si>
    <t xml:space="preserve">910,00</t>
  </si>
  <si>
    <t xml:space="preserve">C00930</t>
  </si>
  <si>
    <t xml:space="preserve">30539-512</t>
  </si>
  <si>
    <t xml:space="preserve">MG-000144</t>
  </si>
  <si>
    <t xml:space="preserve">C00832</t>
  </si>
  <si>
    <t xml:space="preserve">88412-320</t>
  </si>
  <si>
    <t xml:space="preserve">MG-000174</t>
  </si>
  <si>
    <t xml:space="preserve">335,00</t>
  </si>
  <si>
    <t xml:space="preserve">C00637</t>
  </si>
  <si>
    <t xml:space="preserve">30846-737</t>
  </si>
  <si>
    <t xml:space="preserve">MG-000070</t>
  </si>
  <si>
    <t xml:space="preserve">2025-04-30</t>
  </si>
  <si>
    <t xml:space="preserve">1120,00</t>
  </si>
  <si>
    <t xml:space="preserve">C01476</t>
  </si>
  <si>
    <t xml:space="preserve">30784-484</t>
  </si>
  <si>
    <t xml:space="preserve">MG-000205</t>
  </si>
  <si>
    <t xml:space="preserve">460,00</t>
  </si>
  <si>
    <t xml:space="preserve">C00876</t>
  </si>
  <si>
    <t xml:space="preserve">13329-631</t>
  </si>
  <si>
    <t xml:space="preserve">MG-000384</t>
  </si>
  <si>
    <t xml:space="preserve">2025-05-01</t>
  </si>
  <si>
    <t xml:space="preserve">MG-000217</t>
  </si>
  <si>
    <t xml:space="preserve">1145,00</t>
  </si>
  <si>
    <t xml:space="preserve">C01552</t>
  </si>
  <si>
    <t xml:space="preserve">30159-402</t>
  </si>
  <si>
    <t xml:space="preserve">MG-000142</t>
  </si>
  <si>
    <t xml:space="preserve">2025-05-02</t>
  </si>
  <si>
    <t xml:space="preserve">382,50</t>
  </si>
  <si>
    <t xml:space="preserve">MG-000148</t>
  </si>
  <si>
    <t xml:space="preserve">537,50</t>
  </si>
  <si>
    <t xml:space="preserve">MG-000212</t>
  </si>
  <si>
    <t xml:space="preserve">445,00</t>
  </si>
  <si>
    <t xml:space="preserve">C00695</t>
  </si>
  <si>
    <t xml:space="preserve">74180-712</t>
  </si>
  <si>
    <t xml:space="preserve">MG-000001</t>
  </si>
  <si>
    <t xml:space="preserve">2025-05-03</t>
  </si>
  <si>
    <t xml:space="preserve">542,50</t>
  </si>
  <si>
    <t xml:space="preserve">MG-000051</t>
  </si>
  <si>
    <t xml:space="preserve">555,00</t>
  </si>
  <si>
    <t xml:space="preserve">C01358</t>
  </si>
  <si>
    <t xml:space="preserve">30312-592</t>
  </si>
  <si>
    <t xml:space="preserve">MG-000055</t>
  </si>
  <si>
    <t xml:space="preserve">900,00</t>
  </si>
  <si>
    <t xml:space="preserve">MG-000118</t>
  </si>
  <si>
    <t xml:space="preserve">347,50</t>
  </si>
  <si>
    <t xml:space="preserve">C00989</t>
  </si>
  <si>
    <t xml:space="preserve">MG-000020</t>
  </si>
  <si>
    <t xml:space="preserve">2025-05-04</t>
  </si>
  <si>
    <t xml:space="preserve">527,50</t>
  </si>
  <si>
    <t xml:space="preserve">C00643</t>
  </si>
  <si>
    <t xml:space="preserve">74136-460</t>
  </si>
  <si>
    <t xml:space="preserve">MG-000170</t>
  </si>
  <si>
    <t xml:space="preserve">945,00</t>
  </si>
  <si>
    <t xml:space="preserve">C02110</t>
  </si>
  <si>
    <t xml:space="preserve">30215-021</t>
  </si>
  <si>
    <t xml:space="preserve">MG-000441</t>
  </si>
  <si>
    <t xml:space="preserve">2025-05-07</t>
  </si>
  <si>
    <t xml:space="preserve">C01615</t>
  </si>
  <si>
    <t xml:space="preserve">30522-509</t>
  </si>
  <si>
    <t xml:space="preserve">MG-000024</t>
  </si>
  <si>
    <t xml:space="preserve">2025-05-05</t>
  </si>
  <si>
    <t xml:space="preserve">755,00</t>
  </si>
  <si>
    <t xml:space="preserve">C02214</t>
  </si>
  <si>
    <t xml:space="preserve">32445-701</t>
  </si>
  <si>
    <t xml:space="preserve">MG-000033</t>
  </si>
  <si>
    <t xml:space="preserve">410,00</t>
  </si>
  <si>
    <t xml:space="preserve">C02139</t>
  </si>
  <si>
    <t xml:space="preserve">CONTAGEM</t>
  </si>
  <si>
    <t xml:space="preserve">32690-868</t>
  </si>
  <si>
    <t xml:space="preserve">MG-000181</t>
  </si>
  <si>
    <t xml:space="preserve">2170,00</t>
  </si>
  <si>
    <t xml:space="preserve">MG-000400</t>
  </si>
  <si>
    <t xml:space="preserve">2025-05-06</t>
  </si>
  <si>
    <t xml:space="preserve">MG-000026</t>
  </si>
  <si>
    <t xml:space="preserve">2140,00</t>
  </si>
  <si>
    <t xml:space="preserve">C02441</t>
  </si>
  <si>
    <t xml:space="preserve">30766-663</t>
  </si>
  <si>
    <t xml:space="preserve">MG-000069</t>
  </si>
  <si>
    <t xml:space="preserve">572,50</t>
  </si>
  <si>
    <t xml:space="preserve">C01374</t>
  </si>
  <si>
    <t xml:space="preserve">30737-335</t>
  </si>
  <si>
    <t xml:space="preserve">MG-000079</t>
  </si>
  <si>
    <t xml:space="preserve">535,00</t>
  </si>
  <si>
    <t xml:space="preserve">C01169</t>
  </si>
  <si>
    <t xml:space="preserve">29460-496</t>
  </si>
  <si>
    <t xml:space="preserve">MG-000143</t>
  </si>
  <si>
    <t xml:space="preserve">775,00</t>
  </si>
  <si>
    <t xml:space="preserve">C01908</t>
  </si>
  <si>
    <t xml:space="preserve">32175-907</t>
  </si>
  <si>
    <t xml:space="preserve">MG-000176</t>
  </si>
  <si>
    <t xml:space="preserve">C00850</t>
  </si>
  <si>
    <t xml:space="preserve">30444-727</t>
  </si>
  <si>
    <t xml:space="preserve">MG-000203</t>
  </si>
  <si>
    <t xml:space="preserve">567,50</t>
  </si>
  <si>
    <t xml:space="preserve">C00633</t>
  </si>
  <si>
    <t xml:space="preserve">30343-372</t>
  </si>
  <si>
    <t xml:space="preserve">MG-000047</t>
  </si>
  <si>
    <t xml:space="preserve">980,00</t>
  </si>
  <si>
    <t xml:space="preserve">C00597</t>
  </si>
  <si>
    <t xml:space="preserve">11436-921</t>
  </si>
  <si>
    <t xml:space="preserve">MG-000056</t>
  </si>
  <si>
    <t xml:space="preserve">C01679</t>
  </si>
  <si>
    <t xml:space="preserve">32136-039</t>
  </si>
  <si>
    <t xml:space="preserve">MG-000083</t>
  </si>
  <si>
    <t xml:space="preserve">805,00</t>
  </si>
  <si>
    <t xml:space="preserve">C02205</t>
  </si>
  <si>
    <t xml:space="preserve">32339-517</t>
  </si>
  <si>
    <t xml:space="preserve">MG-000094</t>
  </si>
  <si>
    <t xml:space="preserve">1065,00</t>
  </si>
  <si>
    <t xml:space="preserve">MG-000213</t>
  </si>
  <si>
    <t xml:space="preserve">1000,00</t>
  </si>
  <si>
    <t xml:space="preserve">MG-000127</t>
  </si>
  <si>
    <t xml:space="preserve">2025-05-08</t>
  </si>
  <si>
    <t xml:space="preserve">1045,00</t>
  </si>
  <si>
    <t xml:space="preserve">C01877</t>
  </si>
  <si>
    <t xml:space="preserve">30326-912</t>
  </si>
  <si>
    <t xml:space="preserve">MG-000134</t>
  </si>
  <si>
    <t xml:space="preserve">487,50</t>
  </si>
  <si>
    <t xml:space="preserve">MG-000173</t>
  </si>
  <si>
    <t xml:space="preserve">C00582</t>
  </si>
  <si>
    <t xml:space="preserve">30483-153</t>
  </si>
  <si>
    <t xml:space="preserve">MG-000207</t>
  </si>
  <si>
    <t xml:space="preserve">1020,00</t>
  </si>
  <si>
    <t xml:space="preserve">C02075</t>
  </si>
  <si>
    <t xml:space="preserve">30801-987</t>
  </si>
  <si>
    <t xml:space="preserve">MG-000222</t>
  </si>
  <si>
    <t xml:space="preserve">1055,00</t>
  </si>
  <si>
    <t xml:space="preserve">C02473</t>
  </si>
  <si>
    <t xml:space="preserve">90683-320</t>
  </si>
  <si>
    <t xml:space="preserve">MG-000475</t>
  </si>
  <si>
    <t xml:space="preserve">2025-05-11</t>
  </si>
  <si>
    <t xml:space="preserve">C00504</t>
  </si>
  <si>
    <t xml:space="preserve">30455-367</t>
  </si>
  <si>
    <t xml:space="preserve">MG-000080</t>
  </si>
  <si>
    <t xml:space="preserve">2025-05-09</t>
  </si>
  <si>
    <t xml:space="preserve">545,00</t>
  </si>
  <si>
    <t xml:space="preserve">C01873</t>
  </si>
  <si>
    <t xml:space="preserve">30563-380</t>
  </si>
  <si>
    <t xml:space="preserve">MG-000096</t>
  </si>
  <si>
    <t xml:space="preserve">685,00</t>
  </si>
  <si>
    <t xml:space="preserve">C00886</t>
  </si>
  <si>
    <t xml:space="preserve">01374-890</t>
  </si>
  <si>
    <t xml:space="preserve">MG-000125</t>
  </si>
  <si>
    <t xml:space="preserve">480,00</t>
  </si>
  <si>
    <t xml:space="preserve">C00449</t>
  </si>
  <si>
    <t xml:space="preserve">30291-390</t>
  </si>
  <si>
    <t xml:space="preserve">MG-000193</t>
  </si>
  <si>
    <t xml:space="preserve">1100,00</t>
  </si>
  <si>
    <t xml:space="preserve">C00936</t>
  </si>
  <si>
    <t xml:space="preserve">30833-492</t>
  </si>
  <si>
    <t xml:space="preserve">MG-000002</t>
  </si>
  <si>
    <t xml:space="preserve">2025-05-10</t>
  </si>
  <si>
    <t xml:space="preserve">740,00</t>
  </si>
  <si>
    <t xml:space="preserve">C01111</t>
  </si>
  <si>
    <t xml:space="preserve">miami</t>
  </si>
  <si>
    <t xml:space="preserve">MG-000138</t>
  </si>
  <si>
    <t xml:space="preserve">MG-000416</t>
  </si>
  <si>
    <t xml:space="preserve">2025-05-12</t>
  </si>
  <si>
    <t xml:space="preserve">MG-000062</t>
  </si>
  <si>
    <t xml:space="preserve">750,00</t>
  </si>
  <si>
    <t xml:space="preserve">MG-000198</t>
  </si>
  <si>
    <t xml:space="preserve">365,00</t>
  </si>
  <si>
    <t xml:space="preserve">C01168</t>
  </si>
  <si>
    <t xml:space="preserve">30300-682</t>
  </si>
  <si>
    <t xml:space="preserve">MG-000533</t>
  </si>
  <si>
    <t xml:space="preserve">2025-05-13</t>
  </si>
  <si>
    <t xml:space="preserve">MG-000191</t>
  </si>
  <si>
    <t xml:space="preserve">C00069</t>
  </si>
  <si>
    <t xml:space="preserve">88992-652</t>
  </si>
  <si>
    <t xml:space="preserve">MG-000196</t>
  </si>
  <si>
    <t xml:space="preserve">765,00</t>
  </si>
  <si>
    <t xml:space="preserve">MG-000208</t>
  </si>
  <si>
    <t xml:space="preserve">440,00</t>
  </si>
  <si>
    <t xml:space="preserve">C00257</t>
  </si>
  <si>
    <t xml:space="preserve">30843-463</t>
  </si>
  <si>
    <t xml:space="preserve">MG-000223</t>
  </si>
  <si>
    <t xml:space="preserve">520,00</t>
  </si>
  <si>
    <t xml:space="preserve">C01164</t>
  </si>
  <si>
    <t xml:space="preserve">30408-045</t>
  </si>
  <si>
    <t xml:space="preserve">MG-000230</t>
  </si>
  <si>
    <t xml:space="preserve">1030,00</t>
  </si>
  <si>
    <t xml:space="preserve">MG-000132</t>
  </si>
  <si>
    <t xml:space="preserve">C00123</t>
  </si>
  <si>
    <t xml:space="preserve">MG-000011</t>
  </si>
  <si>
    <t xml:space="preserve">2025-05-14</t>
  </si>
  <si>
    <t xml:space="preserve">940,00</t>
  </si>
  <si>
    <t xml:space="preserve">C00212</t>
  </si>
  <si>
    <t xml:space="preserve">30462-873</t>
  </si>
  <si>
    <t xml:space="preserve">MG-000067</t>
  </si>
  <si>
    <t xml:space="preserve">472,50</t>
  </si>
  <si>
    <t xml:space="preserve">C01441</t>
  </si>
  <si>
    <t xml:space="preserve">32051-413</t>
  </si>
  <si>
    <t xml:space="preserve">MG-000131</t>
  </si>
  <si>
    <t xml:space="preserve">447,50</t>
  </si>
  <si>
    <t xml:space="preserve">C00113</t>
  </si>
  <si>
    <t xml:space="preserve">30148-797</t>
  </si>
  <si>
    <t xml:space="preserve">MG-000225</t>
  </si>
  <si>
    <t xml:space="preserve">905,00</t>
  </si>
  <si>
    <t xml:space="preserve">C01443</t>
  </si>
  <si>
    <t xml:space="preserve">30816-618</t>
  </si>
  <si>
    <t xml:space="preserve">MG-000027</t>
  </si>
  <si>
    <t xml:space="preserve">2025-05-15</t>
  </si>
  <si>
    <t xml:space="preserve">0</t>
  </si>
  <si>
    <t xml:space="preserve">865,00</t>
  </si>
  <si>
    <t xml:space="preserve">C01888</t>
  </si>
  <si>
    <t xml:space="preserve">30184-017</t>
  </si>
  <si>
    <t xml:space="preserve">MG-000534</t>
  </si>
  <si>
    <t xml:space="preserve">MG-000194</t>
  </si>
  <si>
    <t xml:space="preserve">2025-05-16</t>
  </si>
  <si>
    <t xml:space="preserve">425,00</t>
  </si>
  <si>
    <t xml:space="preserve">MG-000514</t>
  </si>
  <si>
    <t xml:space="preserve">2025-05-17</t>
  </si>
  <si>
    <t xml:space="preserve">C00913</t>
  </si>
  <si>
    <t xml:space="preserve">90883-326</t>
  </si>
  <si>
    <t xml:space="preserve">MG-000152</t>
  </si>
  <si>
    <t xml:space="preserve">2025-05-18</t>
  </si>
  <si>
    <t xml:space="preserve">490,00</t>
  </si>
  <si>
    <t xml:space="preserve">C01329</t>
  </si>
  <si>
    <t xml:space="preserve">32563-980</t>
  </si>
  <si>
    <t xml:space="preserve">MG-000161</t>
  </si>
  <si>
    <t xml:space="preserve">710,00</t>
  </si>
  <si>
    <t xml:space="preserve">MG-000165</t>
  </si>
  <si>
    <t xml:space="preserve">MG-000228</t>
  </si>
  <si>
    <t xml:space="preserve">2025-05-19</t>
  </si>
  <si>
    <t xml:space="preserve">397,50</t>
  </si>
  <si>
    <t xml:space="preserve">MG-000093</t>
  </si>
  <si>
    <t xml:space="preserve">2025-05-20</t>
  </si>
  <si>
    <t xml:space="preserve">MG-000489</t>
  </si>
  <si>
    <t xml:space="preserve">2025-05-21</t>
  </si>
  <si>
    <t xml:space="preserve">2025-05-24</t>
  </si>
  <si>
    <t xml:space="preserve">MG-000550</t>
  </si>
  <si>
    <t xml:space="preserve">MG-000500</t>
  </si>
  <si>
    <t xml:space="preserve">2025-05-25</t>
  </si>
  <si>
    <t xml:space="preserve">2025-05-27</t>
  </si>
  <si>
    <t xml:space="preserve">C01132</t>
  </si>
  <si>
    <t xml:space="preserve">30023-324</t>
  </si>
  <si>
    <t xml:space="preserve">MG-000420</t>
  </si>
  <si>
    <t xml:space="preserve">2025-05-26</t>
  </si>
  <si>
    <t xml:space="preserve">C00338</t>
  </si>
  <si>
    <t xml:space="preserve">30544-957</t>
  </si>
  <si>
    <t xml:space="preserve">MG-000048</t>
  </si>
  <si>
    <t xml:space="preserve">400,00</t>
  </si>
  <si>
    <t xml:space="preserve">MG-000439</t>
  </si>
  <si>
    <t xml:space="preserve">2025-05-29</t>
  </si>
  <si>
    <t xml:space="preserve">C01151</t>
  </si>
  <si>
    <t xml:space="preserve">24470-500</t>
  </si>
  <si>
    <t xml:space="preserve">MG-000071</t>
  </si>
  <si>
    <t xml:space="preserve">2025-05-28</t>
  </si>
  <si>
    <t xml:space="preserve">915,00</t>
  </si>
  <si>
    <t xml:space="preserve">C01661</t>
  </si>
  <si>
    <t xml:space="preserve">80183-555</t>
  </si>
  <si>
    <t xml:space="preserve">MG-000157</t>
  </si>
  <si>
    <t xml:space="preserve">C01578</t>
  </si>
  <si>
    <t xml:space="preserve">50870-750</t>
  </si>
  <si>
    <t xml:space="preserve">MG-000188</t>
  </si>
  <si>
    <t xml:space="preserve">375,00</t>
  </si>
  <si>
    <t xml:space="preserve">MG-000082</t>
  </si>
  <si>
    <t xml:space="preserve">2025-06-01</t>
  </si>
  <si>
    <t xml:space="preserve">1550,00</t>
  </si>
  <si>
    <t xml:space="preserve">MG-000038</t>
  </si>
  <si>
    <t xml:space="preserve">2025-06-02</t>
  </si>
  <si>
    <t xml:space="preserve">467,50</t>
  </si>
  <si>
    <t xml:space="preserve">MG-000045</t>
  </si>
  <si>
    <t xml:space="preserve">MG-000146</t>
  </si>
  <si>
    <t xml:space="preserve">690,00</t>
  </si>
  <si>
    <t xml:space="preserve">C00166</t>
  </si>
  <si>
    <t xml:space="preserve">30864-826</t>
  </si>
  <si>
    <t xml:space="preserve">MG-000172</t>
  </si>
  <si>
    <t xml:space="preserve">2025-06-03</t>
  </si>
  <si>
    <t xml:space="preserve">C00778</t>
  </si>
  <si>
    <t xml:space="preserve">88579-279</t>
  </si>
  <si>
    <t xml:space="preserve">MG-000007</t>
  </si>
  <si>
    <t xml:space="preserve">2025-06-05</t>
  </si>
  <si>
    <t xml:space="preserve">507,50</t>
  </si>
  <si>
    <t xml:space="preserve">MG-000023</t>
  </si>
  <si>
    <t xml:space="preserve">342,50</t>
  </si>
  <si>
    <t xml:space="preserve">C02069</t>
  </si>
  <si>
    <t xml:space="preserve">32856-930</t>
  </si>
  <si>
    <t xml:space="preserve">MG-000105</t>
  </si>
  <si>
    <t xml:space="preserve">730,00</t>
  </si>
  <si>
    <t xml:space="preserve">C02454</t>
  </si>
  <si>
    <t xml:space="preserve">32518-089</t>
  </si>
  <si>
    <t xml:space="preserve">MG-000189</t>
  </si>
  <si>
    <t xml:space="preserve">1940,00</t>
  </si>
  <si>
    <t xml:space="preserve">C00796</t>
  </si>
  <si>
    <t xml:space="preserve">13023-866</t>
  </si>
  <si>
    <t xml:space="preserve">MG-000034</t>
  </si>
  <si>
    <t xml:space="preserve">2025-06-09</t>
  </si>
  <si>
    <t xml:space="preserve">MG-000229</t>
  </si>
  <si>
    <t xml:space="preserve">2025-06-10</t>
  </si>
  <si>
    <t xml:space="preserve">700,00</t>
  </si>
  <si>
    <t xml:space="preserve">MG-000160</t>
  </si>
  <si>
    <t xml:space="preserve">2025-06-11</t>
  </si>
  <si>
    <t xml:space="preserve">552,50</t>
  </si>
  <si>
    <t xml:space="preserve">C01539</t>
  </si>
  <si>
    <t xml:space="preserve">30683-539</t>
  </si>
  <si>
    <t xml:space="preserve">MG-000206</t>
  </si>
  <si>
    <t xml:space="preserve">547,50</t>
  </si>
  <si>
    <t xml:space="preserve">MG-000526</t>
  </si>
  <si>
    <t xml:space="preserve">2025-06-16</t>
  </si>
  <si>
    <t xml:space="preserve">2025-06-17</t>
  </si>
  <si>
    <t xml:space="preserve">C01773</t>
  </si>
  <si>
    <t xml:space="preserve">30780-872</t>
  </si>
  <si>
    <t xml:space="preserve">MG-000060</t>
  </si>
  <si>
    <t xml:space="preserve">825,00</t>
  </si>
  <si>
    <t xml:space="preserve">MG-000168</t>
  </si>
  <si>
    <t xml:space="preserve">2025-06-18</t>
  </si>
  <si>
    <t xml:space="preserve">1420,00</t>
  </si>
  <si>
    <t xml:space="preserve">MG-000095</t>
  </si>
  <si>
    <t xml:space="preserve">2025-06-19</t>
  </si>
  <si>
    <t xml:space="preserve">C02146</t>
  </si>
  <si>
    <t xml:space="preserve">30081-711</t>
  </si>
  <si>
    <t xml:space="preserve">MG-000044</t>
  </si>
  <si>
    <t xml:space="preserve">2025-06-20</t>
  </si>
  <si>
    <t xml:space="preserve">MG-000064</t>
  </si>
  <si>
    <t xml:space="preserve">2025-06-21</t>
  </si>
  <si>
    <t xml:space="preserve">C02368</t>
  </si>
  <si>
    <t xml:space="preserve">32236-100</t>
  </si>
  <si>
    <t xml:space="preserve">MG-000101</t>
  </si>
  <si>
    <t xml:space="preserve">540,00</t>
  </si>
  <si>
    <t xml:space="preserve">MG-000151</t>
  </si>
  <si>
    <t xml:space="preserve">340,00</t>
  </si>
  <si>
    <t xml:space="preserve">C01211</t>
  </si>
  <si>
    <t xml:space="preserve">30468-094</t>
  </si>
  <si>
    <t xml:space="preserve">MG-000214</t>
  </si>
  <si>
    <t xml:space="preserve">2025-06-23</t>
  </si>
  <si>
    <t xml:space="preserve">1060,00</t>
  </si>
  <si>
    <t xml:space="preserve">MG-000099</t>
  </si>
  <si>
    <t xml:space="preserve">2025-06-24</t>
  </si>
  <si>
    <t xml:space="preserve">C02271</t>
  </si>
  <si>
    <t xml:space="preserve">70015-481</t>
  </si>
  <si>
    <t xml:space="preserve">MG-000130</t>
  </si>
  <si>
    <t xml:space="preserve">MG-000075</t>
  </si>
  <si>
    <t xml:space="preserve">2025-06-27</t>
  </si>
  <si>
    <t xml:space="preserve">470,00</t>
  </si>
  <si>
    <t xml:space="preserve">MG-000061</t>
  </si>
  <si>
    <t xml:space="preserve">2025-06-28</t>
  </si>
  <si>
    <t xml:space="preserve">MG-000074</t>
  </si>
  <si>
    <t xml:space="preserve">800,00</t>
  </si>
  <si>
    <t xml:space="preserve">C00953</t>
  </si>
  <si>
    <t xml:space="preserve">80573-969</t>
  </si>
  <si>
    <t xml:space="preserve">MG-000434</t>
  </si>
  <si>
    <t xml:space="preserve">C01666</t>
  </si>
  <si>
    <t xml:space="preserve">30102-779</t>
  </si>
  <si>
    <t xml:space="preserve">MG-000520</t>
  </si>
  <si>
    <t xml:space="preserve">MG-000049</t>
  </si>
  <si>
    <t xml:space="preserve">2025-06-29</t>
  </si>
  <si>
    <t xml:space="preserve">330,00</t>
  </si>
  <si>
    <t xml:space="preserve">MG-000202</t>
  </si>
  <si>
    <t xml:space="preserve">C01584</t>
  </si>
  <si>
    <t xml:space="preserve">30638-156</t>
  </si>
  <si>
    <t xml:space="preserve">MG-000015</t>
  </si>
  <si>
    <t xml:space="preserve">2025-06-30</t>
  </si>
  <si>
    <t xml:space="preserve">MG-000073</t>
  </si>
  <si>
    <t xml:space="preserve">2025-07-01</t>
  </si>
  <si>
    <t xml:space="preserve">850,00</t>
  </si>
  <si>
    <t xml:space="preserve">C02070</t>
  </si>
  <si>
    <t xml:space="preserve">30509-531</t>
  </si>
  <si>
    <t xml:space="preserve">MG-000052</t>
  </si>
  <si>
    <t xml:space="preserve">2025-07-02</t>
  </si>
  <si>
    <t xml:space="preserve">377,50</t>
  </si>
  <si>
    <t xml:space="preserve">C02080</t>
  </si>
  <si>
    <t xml:space="preserve">30998-902</t>
  </si>
  <si>
    <t xml:space="preserve">MG-000199</t>
  </si>
  <si>
    <t xml:space="preserve">MG-000455</t>
  </si>
  <si>
    <t xml:space="preserve">C02378</t>
  </si>
  <si>
    <t xml:space="preserve">30518-706</t>
  </si>
  <si>
    <t xml:space="preserve">MG-000527</t>
  </si>
  <si>
    <t xml:space="preserve">2025-07-03</t>
  </si>
  <si>
    <t xml:space="preserve">C00570</t>
  </si>
  <si>
    <t xml:space="preserve">30271-152</t>
  </si>
  <si>
    <t xml:space="preserve">MG-000497</t>
  </si>
  <si>
    <t xml:space="preserve">2025-07-05</t>
  </si>
  <si>
    <t xml:space="preserve">MG-000021</t>
  </si>
  <si>
    <t xml:space="preserve">2025-07-04</t>
  </si>
  <si>
    <t xml:space="preserve">MG-000114</t>
  </si>
  <si>
    <t xml:space="preserve">MG-000117</t>
  </si>
  <si>
    <t xml:space="preserve">502,50</t>
  </si>
  <si>
    <t xml:space="preserve">C01346</t>
  </si>
  <si>
    <t xml:space="preserve">MG-000018</t>
  </si>
  <si>
    <t xml:space="preserve">MG-000201</t>
  </si>
  <si>
    <t xml:space="preserve">2025-07-06</t>
  </si>
  <si>
    <t xml:space="preserve">895,00</t>
  </si>
  <si>
    <t xml:space="preserve">MG-000166</t>
  </si>
  <si>
    <t xml:space="preserve">2025-07-07</t>
  </si>
  <si>
    <t xml:space="preserve">665,00</t>
  </si>
  <si>
    <t xml:space="preserve">C00798</t>
  </si>
  <si>
    <t xml:space="preserve">30714-030</t>
  </si>
  <si>
    <t xml:space="preserve">MG-000224</t>
  </si>
  <si>
    <t xml:space="preserve">870,00</t>
  </si>
  <si>
    <t xml:space="preserve">C00243</t>
  </si>
  <si>
    <t xml:space="preserve">30729-934</t>
  </si>
  <si>
    <t xml:space="preserve">MG-000410</t>
  </si>
  <si>
    <t xml:space="preserve">2025-07-10</t>
  </si>
  <si>
    <t xml:space="preserve">2025-07-13</t>
  </si>
  <si>
    <t xml:space="preserve">C01380</t>
  </si>
  <si>
    <t xml:space="preserve">30671-256</t>
  </si>
  <si>
    <t xml:space="preserve">MG-000086</t>
  </si>
  <si>
    <t xml:space="preserve">2025-07-11</t>
  </si>
  <si>
    <t xml:space="preserve">1150,00</t>
  </si>
  <si>
    <t xml:space="preserve">MG-000218</t>
  </si>
  <si>
    <t xml:space="preserve">C00104</t>
  </si>
  <si>
    <t xml:space="preserve">32785-826</t>
  </si>
  <si>
    <t xml:space="preserve">MG-000035</t>
  </si>
  <si>
    <t xml:space="preserve">2025-07-12</t>
  </si>
  <si>
    <t xml:space="preserve">495,00</t>
  </si>
  <si>
    <t xml:space="preserve">MG-000145</t>
  </si>
  <si>
    <t xml:space="preserve">2025-07-14</t>
  </si>
  <si>
    <t xml:space="preserve">C01462</t>
  </si>
  <si>
    <t xml:space="preserve">30133-721</t>
  </si>
  <si>
    <t xml:space="preserve">MG-000005</t>
  </si>
  <si>
    <t xml:space="preserve">2025-07-15</t>
  </si>
  <si>
    <t xml:space="preserve">655,00</t>
  </si>
  <si>
    <t xml:space="preserve">MG-000022</t>
  </si>
  <si>
    <t xml:space="preserve">1105,00</t>
  </si>
  <si>
    <t xml:space="preserve">MG-000150</t>
  </si>
  <si>
    <t xml:space="preserve">452,50</t>
  </si>
  <si>
    <t xml:space="preserve">C02186</t>
  </si>
  <si>
    <t xml:space="preserve">29998-867</t>
  </si>
  <si>
    <t xml:space="preserve">MG-000155</t>
  </si>
  <si>
    <t xml:space="preserve">2025-07-17</t>
  </si>
  <si>
    <t xml:space="preserve">MG-000010</t>
  </si>
  <si>
    <t xml:space="preserve">2025-07-18</t>
  </si>
  <si>
    <t xml:space="preserve">MG-000037</t>
  </si>
  <si>
    <t xml:space="preserve">695,00</t>
  </si>
  <si>
    <t xml:space="preserve">C01731</t>
  </si>
  <si>
    <t xml:space="preserve">30843-074</t>
  </si>
  <si>
    <t xml:space="preserve">MG-000054</t>
  </si>
  <si>
    <t xml:space="preserve">2025-07-19</t>
  </si>
  <si>
    <t xml:space="preserve">1095,00</t>
  </si>
  <si>
    <t xml:space="preserve">C02043</t>
  </si>
  <si>
    <t xml:space="preserve">30301-652</t>
  </si>
  <si>
    <t xml:space="preserve">MG-000388</t>
  </si>
  <si>
    <t xml:space="preserve">2025-07-20</t>
  </si>
  <si>
    <t xml:space="preserve">2025-07-21</t>
  </si>
  <si>
    <t xml:space="preserve">MG-000084</t>
  </si>
  <si>
    <t xml:space="preserve">MG-000088</t>
  </si>
  <si>
    <t xml:space="preserve">C00204</t>
  </si>
  <si>
    <t xml:space="preserve">40036-031</t>
  </si>
  <si>
    <t xml:space="preserve">MG-000116</t>
  </si>
  <si>
    <t xml:space="preserve">2025-07-22</t>
  </si>
  <si>
    <t xml:space="preserve">1085,00</t>
  </si>
  <si>
    <t xml:space="preserve">MG-000508</t>
  </si>
  <si>
    <t xml:space="preserve">2025-07-24</t>
  </si>
  <si>
    <t xml:space="preserve">MG-000058</t>
  </si>
  <si>
    <t xml:space="preserve">C01536</t>
  </si>
  <si>
    <t xml:space="preserve">90224-646</t>
  </si>
  <si>
    <t xml:space="preserve">MG-000066</t>
  </si>
  <si>
    <t xml:space="preserve">MG-000178</t>
  </si>
  <si>
    <t xml:space="preserve">MG-000059</t>
  </si>
  <si>
    <t xml:space="preserve">2025-07-25</t>
  </si>
  <si>
    <t xml:space="preserve">C00819</t>
  </si>
  <si>
    <t xml:space="preserve">30905-318</t>
  </si>
  <si>
    <t xml:space="preserve">MG-000046</t>
  </si>
  <si>
    <t xml:space="preserve">2025-07-26</t>
  </si>
  <si>
    <t xml:space="preserve">C02158</t>
  </si>
  <si>
    <t xml:space="preserve">MG-000057</t>
  </si>
  <si>
    <t xml:space="preserve">875,00</t>
  </si>
  <si>
    <t xml:space="preserve">C01830</t>
  </si>
  <si>
    <t xml:space="preserve">80937-664</t>
  </si>
  <si>
    <t xml:space="preserve">MG-000078</t>
  </si>
  <si>
    <t xml:space="preserve">2025-07-27</t>
  </si>
  <si>
    <t xml:space="preserve">1070,00</t>
  </si>
  <si>
    <t xml:space="preserve">MG-000408</t>
  </si>
  <si>
    <t xml:space="preserve">2025-07-30</t>
  </si>
  <si>
    <t xml:space="preserve">MG-000195</t>
  </si>
  <si>
    <t xml:space="preserve">2025-07-28</t>
  </si>
  <si>
    <t xml:space="preserve">C02242</t>
  </si>
  <si>
    <t xml:space="preserve">30195-805</t>
  </si>
  <si>
    <t xml:space="preserve">MG-000466</t>
  </si>
  <si>
    <t xml:space="preserve">2025-07-29</t>
  </si>
  <si>
    <t xml:space="preserve">MG-000115</t>
  </si>
  <si>
    <t xml:space="preserve">C01979</t>
  </si>
  <si>
    <t xml:space="preserve">30892-938</t>
  </si>
  <si>
    <t xml:space="preserve">MG-000461</t>
  </si>
  <si>
    <t xml:space="preserve">2025-07-31</t>
  </si>
  <si>
    <t xml:space="preserve">MG-000111</t>
  </si>
  <si>
    <t xml:space="preserve">2025-08-01</t>
  </si>
  <si>
    <t xml:space="preserve">455,00</t>
  </si>
  <si>
    <t xml:space="preserve">C02086</t>
  </si>
  <si>
    <t xml:space="preserve">13009-624</t>
  </si>
  <si>
    <t xml:space="preserve">MG-000496</t>
  </si>
  <si>
    <t xml:space="preserve">2025-08-02</t>
  </si>
  <si>
    <t xml:space="preserve">C00051</t>
  </si>
  <si>
    <t xml:space="preserve">30441-280</t>
  </si>
  <si>
    <t xml:space="preserve">MG-000442</t>
  </si>
  <si>
    <t xml:space="preserve">2025-08-03</t>
  </si>
  <si>
    <t xml:space="preserve">MG-000182</t>
  </si>
  <si>
    <t xml:space="preserve">780,00</t>
  </si>
  <si>
    <t xml:space="preserve">C01739</t>
  </si>
  <si>
    <t xml:space="preserve">Florianópolis </t>
  </si>
  <si>
    <t xml:space="preserve">88690-452</t>
  </si>
  <si>
    <t xml:space="preserve">MG-000227</t>
  </si>
  <si>
    <t xml:space="preserve">C01351</t>
  </si>
  <si>
    <t xml:space="preserve">30448-489</t>
  </si>
  <si>
    <t xml:space="preserve">MG-000121</t>
  </si>
  <si>
    <t xml:space="preserve">2025-08-04</t>
  </si>
  <si>
    <t xml:space="preserve">1340,00</t>
  </si>
  <si>
    <t xml:space="preserve">C01392</t>
  </si>
  <si>
    <t xml:space="preserve">30916-058</t>
  </si>
  <si>
    <t xml:space="preserve">MG-000481</t>
  </si>
  <si>
    <t xml:space="preserve">2025-08-05</t>
  </si>
  <si>
    <t xml:space="preserve">MG-000039</t>
  </si>
  <si>
    <t xml:space="preserve">2025-08-06</t>
  </si>
  <si>
    <t xml:space="preserve">955,00</t>
  </si>
  <si>
    <t xml:space="preserve">C00374</t>
  </si>
  <si>
    <t xml:space="preserve">30769-093</t>
  </si>
  <si>
    <t xml:space="preserve">MG-000197</t>
  </si>
  <si>
    <t xml:space="preserve">990,00</t>
  </si>
  <si>
    <t xml:space="preserve">C02279</t>
  </si>
  <si>
    <t xml:space="preserve">30653-210</t>
  </si>
  <si>
    <t xml:space="preserve">MG-000087</t>
  </si>
  <si>
    <t xml:space="preserve">2025-08-09</t>
  </si>
  <si>
    <t xml:space="preserve">C01333</t>
  </si>
  <si>
    <t xml:space="preserve">32828-683</t>
  </si>
  <si>
    <t xml:space="preserve">MG-000041</t>
  </si>
  <si>
    <t xml:space="preserve">2025-08-10</t>
  </si>
  <si>
    <t xml:space="preserve">MG-000149</t>
  </si>
  <si>
    <t xml:space="preserve">MG-000471</t>
  </si>
  <si>
    <t xml:space="preserve">2025-08-11</t>
  </si>
  <si>
    <t xml:space="preserve">C01932</t>
  </si>
  <si>
    <t xml:space="preserve">30651-892</t>
  </si>
  <si>
    <t xml:space="preserve">MG-000507</t>
  </si>
  <si>
    <t xml:space="preserve">MG-000030</t>
  </si>
  <si>
    <t xml:space="preserve">2025-08-13</t>
  </si>
  <si>
    <t xml:space="preserve">MG-000050</t>
  </si>
  <si>
    <t xml:space="preserve">1090,00</t>
  </si>
  <si>
    <t xml:space="preserve">MG-000003</t>
  </si>
  <si>
    <t xml:space="preserve">2025-08-14</t>
  </si>
  <si>
    <t xml:space="preserve">MG-000081</t>
  </si>
  <si>
    <t xml:space="preserve">1870,00</t>
  </si>
  <si>
    <t xml:space="preserve">C02017</t>
  </si>
  <si>
    <t xml:space="preserve">30270-906</t>
  </si>
  <si>
    <t xml:space="preserve">MG-000107</t>
  </si>
  <si>
    <t xml:space="preserve">975,00</t>
  </si>
  <si>
    <t xml:space="preserve">MG-000435</t>
  </si>
  <si>
    <t xml:space="preserve">2025-08-16</t>
  </si>
  <si>
    <t xml:space="preserve">MG-000543</t>
  </si>
  <si>
    <t xml:space="preserve">2025-08-17</t>
  </si>
  <si>
    <t xml:space="preserve">MG-000004</t>
  </si>
  <si>
    <t xml:space="preserve">C00596</t>
  </si>
  <si>
    <t xml:space="preserve">30972-781</t>
  </si>
  <si>
    <t xml:space="preserve">MG-000032</t>
  </si>
  <si>
    <t xml:space="preserve">C02176</t>
  </si>
  <si>
    <t xml:space="preserve">90980-849</t>
  </si>
  <si>
    <t xml:space="preserve">MG-000076</t>
  </si>
  <si>
    <t xml:space="preserve">1660,00</t>
  </si>
  <si>
    <t xml:space="preserve">MG-000085</t>
  </si>
  <si>
    <t xml:space="preserve">C02444</t>
  </si>
  <si>
    <t xml:space="preserve">11045-543</t>
  </si>
  <si>
    <t xml:space="preserve">MG-000103</t>
  </si>
  <si>
    <t xml:space="preserve">830,00</t>
  </si>
  <si>
    <t xml:space="preserve">C00729</t>
  </si>
  <si>
    <t xml:space="preserve">30115-725</t>
  </si>
  <si>
    <t xml:space="preserve">MG-000110</t>
  </si>
  <si>
    <t xml:space="preserve">MG-000120</t>
  </si>
  <si>
    <t xml:space="preserve">C01037</t>
  </si>
  <si>
    <t xml:space="preserve">88703-040</t>
  </si>
  <si>
    <t xml:space="preserve">MG-000036</t>
  </si>
  <si>
    <t xml:space="preserve">MG-000063</t>
  </si>
  <si>
    <t xml:space="preserve">C02032</t>
  </si>
  <si>
    <t xml:space="preserve">30635-231</t>
  </si>
  <si>
    <t xml:space="preserve">MG-000098</t>
  </si>
  <si>
    <t xml:space="preserve">512,50</t>
  </si>
  <si>
    <t xml:space="preserve">C00713</t>
  </si>
  <si>
    <t xml:space="preserve">MG-000102</t>
  </si>
  <si>
    <t xml:space="preserve">C01421</t>
  </si>
  <si>
    <t xml:space="preserve">MG-000112</t>
  </si>
  <si>
    <t xml:space="preserve">C01336</t>
  </si>
  <si>
    <t xml:space="preserve">MG-000124</t>
  </si>
  <si>
    <t xml:space="preserve">960,00</t>
  </si>
  <si>
    <t xml:space="preserve">MG-000133</t>
  </si>
  <si>
    <t xml:space="preserve">C01949</t>
  </si>
  <si>
    <t xml:space="preserve">30312-689</t>
  </si>
  <si>
    <t xml:space="preserve">MG-000158</t>
  </si>
  <si>
    <t xml:space="preserve">415,00</t>
  </si>
  <si>
    <t xml:space="preserve">MG-000162</t>
  </si>
  <si>
    <t xml:space="preserve">517,50</t>
  </si>
  <si>
    <t xml:space="preserve">MG-000184</t>
  </si>
  <si>
    <t xml:space="preserve">965,00</t>
  </si>
  <si>
    <t xml:space="preserve">MG-000187</t>
  </si>
  <si>
    <t xml:space="preserve">1005,00</t>
  </si>
  <si>
    <t xml:space="preserve">C02319</t>
  </si>
  <si>
    <t xml:space="preserve">40915-297</t>
  </si>
  <si>
    <t xml:space="preserve">MG-000190</t>
  </si>
  <si>
    <t xml:space="preserve">C01360</t>
  </si>
  <si>
    <t xml:space="preserve">40222-661</t>
  </si>
  <si>
    <t xml:space="preserve">MG-000210</t>
  </si>
  <si>
    <t xml:space="preserve">660,00</t>
  </si>
  <si>
    <t xml:space="preserve">MG-000216</t>
  </si>
  <si>
    <t xml:space="preserve">735,00</t>
  </si>
  <si>
    <t xml:space="preserve">C00181</t>
  </si>
  <si>
    <t xml:space="preserve">30238-231</t>
  </si>
  <si>
    <t xml:space="preserve">MG-000006</t>
  </si>
  <si>
    <t xml:space="preserve">2025-08-18</t>
  </si>
  <si>
    <t xml:space="preserve">MG-000014</t>
  </si>
  <si>
    <t xml:space="preserve">785,00</t>
  </si>
  <si>
    <t xml:space="preserve">MG-000042</t>
  </si>
  <si>
    <t xml:space="preserve">MG-000092</t>
  </si>
  <si>
    <t xml:space="preserve">457,50</t>
  </si>
  <si>
    <t xml:space="preserve">MG-000113</t>
  </si>
  <si>
    <t xml:space="preserve">MG-000163</t>
  </si>
  <si>
    <t xml:space="preserve">1920,00</t>
  </si>
  <si>
    <t xml:space="preserve">C00698</t>
  </si>
  <si>
    <t xml:space="preserve">29323-486</t>
  </si>
  <si>
    <t xml:space="preserve">MG-000200</t>
  </si>
  <si>
    <t xml:space="preserve">C00073</t>
  </si>
  <si>
    <t xml:space="preserve">32639-789</t>
  </si>
  <si>
    <t xml:space="preserve">MG-000221</t>
  </si>
  <si>
    <t xml:space="preserve">C01361</t>
  </si>
  <si>
    <t xml:space="preserve">50412-949</t>
  </si>
  <si>
    <t xml:space="preserve">MG-000008</t>
  </si>
  <si>
    <t xml:space="preserve">2025-08-19</t>
  </si>
  <si>
    <t xml:space="preserve">MG-000017</t>
  </si>
  <si>
    <t xml:space="preserve">MG-000019</t>
  </si>
  <si>
    <t xml:space="preserve">MG-000028</t>
  </si>
  <si>
    <t xml:space="preserve">357,50</t>
  </si>
  <si>
    <t xml:space="preserve">C01215</t>
  </si>
  <si>
    <t xml:space="preserve">30468-317</t>
  </si>
  <si>
    <t xml:space="preserve">MG-000040</t>
  </si>
  <si>
    <t xml:space="preserve">1015,00</t>
  </si>
  <si>
    <t xml:space="preserve">C01871</t>
  </si>
  <si>
    <t xml:space="preserve">MG-000097</t>
  </si>
  <si>
    <t xml:space="preserve">MG-000126</t>
  </si>
  <si>
    <t xml:space="preserve">1710,00</t>
  </si>
  <si>
    <t xml:space="preserve">C00445</t>
  </si>
  <si>
    <t xml:space="preserve">70011-332</t>
  </si>
  <si>
    <t xml:space="preserve">MG-000129</t>
  </si>
  <si>
    <t xml:space="preserve">860,00</t>
  </si>
  <si>
    <t xml:space="preserve">MG-000137</t>
  </si>
  <si>
    <t xml:space="preserve">C00817</t>
  </si>
  <si>
    <t xml:space="preserve">70291-434</t>
  </si>
  <si>
    <t xml:space="preserve">MG-000153</t>
  </si>
  <si>
    <t xml:space="preserve">MG-000159</t>
  </si>
  <si>
    <t xml:space="preserve">770,00</t>
  </si>
  <si>
    <t xml:space="preserve">MG-000185</t>
  </si>
  <si>
    <t xml:space="preserve">810,00</t>
  </si>
  <si>
    <t xml:space="preserve">MG-000204</t>
  </si>
  <si>
    <t xml:space="preserve">MG-000031</t>
  </si>
  <si>
    <t xml:space="preserve">2025-08-20</t>
  </si>
  <si>
    <t xml:space="preserve">1890,00</t>
  </si>
  <si>
    <t xml:space="preserve">MG-000043</t>
  </si>
  <si>
    <t xml:space="preserve">C00762</t>
  </si>
  <si>
    <t xml:space="preserve">30035-068</t>
  </si>
  <si>
    <t xml:space="preserve">MG-000090</t>
  </si>
  <si>
    <t xml:space="preserve">345,00</t>
  </si>
  <si>
    <t xml:space="preserve">C00791</t>
  </si>
  <si>
    <t xml:space="preserve">70991-295</t>
  </si>
  <si>
    <t xml:space="preserve">MG-000154</t>
  </si>
  <si>
    <t xml:space="preserve">1075,00</t>
  </si>
  <si>
    <t xml:space="preserve">MG-000156</t>
  </si>
  <si>
    <t xml:space="preserve">1050,00</t>
  </si>
  <si>
    <t xml:space="preserve">MG-000164</t>
  </si>
  <si>
    <t xml:space="preserve">MG-000183</t>
  </si>
  <si>
    <t xml:space="preserve">MG-000215</t>
  </si>
  <si>
    <t xml:space="preserve">1830,00</t>
  </si>
  <si>
    <t xml:space="preserve">C02101</t>
  </si>
  <si>
    <t xml:space="preserve">40535-356</t>
  </si>
  <si>
    <t xml:space="preserve">MG-000220</t>
  </si>
  <si>
    <t xml:space="preserve">C01432</t>
  </si>
  <si>
    <t xml:space="preserve">30159-625</t>
  </si>
  <si>
    <t xml:space="preserve">MG-000009</t>
  </si>
  <si>
    <t xml:space="preserve">2025-08-21</t>
  </si>
  <si>
    <t xml:space="preserve">MG-000016</t>
  </si>
  <si>
    <t xml:space="preserve">2090,00</t>
  </si>
  <si>
    <t xml:space="preserve">C01371</t>
  </si>
  <si>
    <t xml:space="preserve">32810-955</t>
  </si>
  <si>
    <t xml:space="preserve">MG-000089</t>
  </si>
  <si>
    <t xml:space="preserve">C00606</t>
  </si>
  <si>
    <t xml:space="preserve">80362-633</t>
  </si>
  <si>
    <t xml:space="preserve">MG-000119</t>
  </si>
  <si>
    <t xml:space="preserve">MG-000123</t>
  </si>
  <si>
    <t xml:space="preserve">680,00</t>
  </si>
  <si>
    <t xml:space="preserve">MG-000180</t>
  </si>
  <si>
    <t xml:space="preserve">760,00</t>
  </si>
  <si>
    <t xml:space="preserve">MG-000029</t>
  </si>
  <si>
    <t xml:space="preserve">2025-08-22</t>
  </si>
  <si>
    <t xml:space="preserve">C01533</t>
  </si>
  <si>
    <t xml:space="preserve">30205-811</t>
  </si>
  <si>
    <t xml:space="preserve">MG-000072</t>
  </si>
  <si>
    <t xml:space="preserve">C00914</t>
  </si>
  <si>
    <t xml:space="preserve">30925-478</t>
  </si>
  <si>
    <t xml:space="preserve">MG-000091</t>
  </si>
  <si>
    <t xml:space="preserve">1115,00</t>
  </si>
  <si>
    <t xml:space="preserve">MG-000109</t>
  </si>
  <si>
    <t xml:space="preserve">1140,00</t>
  </si>
  <si>
    <t xml:space="preserve">MG-000141</t>
  </si>
  <si>
    <t xml:space="preserve">725,00</t>
  </si>
  <si>
    <t xml:space="preserve">C01763</t>
  </si>
  <si>
    <t xml:space="preserve">70095-744</t>
  </si>
  <si>
    <t xml:space="preserve">MG-000171</t>
  </si>
  <si>
    <t xml:space="preserve">MG-000175</t>
  </si>
  <si>
    <t xml:space="preserve">1135,00</t>
  </si>
  <si>
    <t xml:space="preserve">C00026</t>
  </si>
  <si>
    <t xml:space="preserve">70714-378</t>
  </si>
  <si>
    <t xml:space="preserve">MG-000219</t>
  </si>
  <si>
    <t xml:space="preserve">MG-000226</t>
  </si>
  <si>
    <t xml:space="preserve">MG-000386</t>
  </si>
  <si>
    <t xml:space="preserve">C02168</t>
  </si>
  <si>
    <t xml:space="preserve">30850-105</t>
  </si>
  <si>
    <t xml:space="preserve">MG-000013</t>
  </si>
  <si>
    <t xml:space="preserve">815,00</t>
  </si>
  <si>
    <t xml:space="preserve">MG-000053</t>
  </si>
  <si>
    <t xml:space="preserve">935,00</t>
  </si>
  <si>
    <t xml:space="preserve">MG-000065</t>
  </si>
  <si>
    <t xml:space="preserve">MG-000077</t>
  </si>
  <si>
    <t xml:space="preserve">790,00</t>
  </si>
  <si>
    <t xml:space="preserve">C00410</t>
  </si>
  <si>
    <t xml:space="preserve">30388-182</t>
  </si>
  <si>
    <t xml:space="preserve">MG-000100</t>
  </si>
  <si>
    <t xml:space="preserve">C02159</t>
  </si>
  <si>
    <t xml:space="preserve">29476-620</t>
  </si>
  <si>
    <t xml:space="preserve">MG-000128</t>
  </si>
  <si>
    <t xml:space="preserve">435,00</t>
  </si>
  <si>
    <t xml:space="preserve">C00610</t>
  </si>
  <si>
    <t xml:space="preserve">88577-668</t>
  </si>
  <si>
    <t xml:space="preserve">MG-000140</t>
  </si>
  <si>
    <t xml:space="preserve">840,00</t>
  </si>
  <si>
    <t xml:space="preserve">C00018</t>
  </si>
  <si>
    <t xml:space="preserve">50059-031</t>
  </si>
  <si>
    <t xml:space="preserve">MG-000147</t>
  </si>
  <si>
    <t xml:space="preserve">C01648</t>
  </si>
  <si>
    <t xml:space="preserve">11684-365</t>
  </si>
  <si>
    <t xml:space="preserve">MG-000167</t>
  </si>
  <si>
    <t xml:space="preserve">C01468</t>
  </si>
  <si>
    <t xml:space="preserve">32005-221</t>
  </si>
  <si>
    <t xml:space="preserve">MG-000179</t>
  </si>
  <si>
    <t xml:space="preserve">407,50</t>
  </si>
  <si>
    <t xml:space="preserve">MG-000192</t>
  </si>
  <si>
    <t xml:space="preserve">C01749</t>
  </si>
  <si>
    <t xml:space="preserve">50609-891</t>
  </si>
  <si>
    <t xml:space="preserve">MG-000436</t>
  </si>
  <si>
    <t xml:space="preserve">2025-08-25</t>
  </si>
  <si>
    <t xml:space="preserve">2025-08-27</t>
  </si>
  <si>
    <t xml:space="preserve">C01532</t>
  </si>
  <si>
    <t xml:space="preserve">30917-411</t>
  </si>
  <si>
    <t xml:space="preserve">MG-000385</t>
  </si>
  <si>
    <t xml:space="preserve">2025-08-30</t>
  </si>
  <si>
    <t xml:space="preserve">2025-09-01</t>
  </si>
  <si>
    <t xml:space="preserve">MG-000456</t>
  </si>
  <si>
    <t xml:space="preserve">2025-08-31</t>
  </si>
  <si>
    <t xml:space="preserve">MG-000398</t>
  </si>
  <si>
    <t xml:space="preserve">2025-09-02</t>
  </si>
  <si>
    <t xml:space="preserve">2025-09-04</t>
  </si>
  <si>
    <t xml:space="preserve">C00843</t>
  </si>
  <si>
    <t xml:space="preserve">32737-913</t>
  </si>
  <si>
    <t xml:space="preserve">MG-000467</t>
  </si>
  <si>
    <t xml:space="preserve">2025-09-11</t>
  </si>
  <si>
    <t xml:space="preserve">2025-09-14</t>
  </si>
  <si>
    <t xml:space="preserve">MG-000504</t>
  </si>
  <si>
    <t xml:space="preserve">2025-09-13</t>
  </si>
  <si>
    <t xml:space="preserve">2025-09-16</t>
  </si>
  <si>
    <t xml:space="preserve">25,00</t>
  </si>
  <si>
    <t xml:space="preserve">C00823</t>
  </si>
  <si>
    <t xml:space="preserve">30470-145</t>
  </si>
  <si>
    <t xml:space="preserve">MG-000428</t>
  </si>
  <si>
    <t xml:space="preserve">2025-09-15</t>
  </si>
  <si>
    <t xml:space="preserve">2025-09-17</t>
  </si>
  <si>
    <t xml:space="preserve">C01609</t>
  </si>
  <si>
    <t xml:space="preserve">30796-367</t>
  </si>
  <si>
    <t xml:space="preserve">MG-000427</t>
  </si>
  <si>
    <t xml:space="preserve">MG-000429</t>
  </si>
  <si>
    <t xml:space="preserve">MG-000506</t>
  </si>
  <si>
    <t xml:space="preserve">2025-09-18</t>
  </si>
  <si>
    <t xml:space="preserve">MG-000482</t>
  </si>
  <si>
    <t xml:space="preserve">2025-09-20</t>
  </si>
  <si>
    <t xml:space="preserve">2025-09-21</t>
  </si>
  <si>
    <t xml:space="preserve">MG-000517</t>
  </si>
  <si>
    <t xml:space="preserve">2025-09-22</t>
  </si>
  <si>
    <t xml:space="preserve">2025-09-23</t>
  </si>
  <si>
    <t xml:space="preserve">MG-000536</t>
  </si>
  <si>
    <t xml:space="preserve">2025-09-24</t>
  </si>
  <si>
    <t xml:space="preserve">2025-09-26</t>
  </si>
  <si>
    <t xml:space="preserve">C01889</t>
  </si>
  <si>
    <t xml:space="preserve">30086-336</t>
  </si>
  <si>
    <t xml:space="preserve">MG-000404</t>
  </si>
  <si>
    <t xml:space="preserve">2025-09-25</t>
  </si>
  <si>
    <t xml:space="preserve">2025-09-28</t>
  </si>
  <si>
    <t xml:space="preserve">MG-000515</t>
  </si>
  <si>
    <t xml:space="preserve">2025-09-27</t>
  </si>
  <si>
    <t xml:space="preserve">MG-000541</t>
  </si>
  <si>
    <t xml:space="preserve">2025-09-29</t>
  </si>
  <si>
    <t xml:space="preserve">MG-000423</t>
  </si>
  <si>
    <t xml:space="preserve">2025-10-01</t>
  </si>
  <si>
    <t xml:space="preserve">2025-10-04</t>
  </si>
  <si>
    <t xml:space="preserve">C00638</t>
  </si>
  <si>
    <t xml:space="preserve">30637-038</t>
  </si>
  <si>
    <t xml:space="preserve">MG-000535</t>
  </si>
  <si>
    <t xml:space="preserve">2025-10-02</t>
  </si>
  <si>
    <t xml:space="preserve">2025-10-03</t>
  </si>
  <si>
    <t xml:space="preserve">MG-000545</t>
  </si>
  <si>
    <t xml:space="preserve">2025-10-09</t>
  </si>
  <si>
    <t xml:space="preserve">2025-10-11</t>
  </si>
  <si>
    <t xml:space="preserve">MG-000462</t>
  </si>
  <si>
    <t xml:space="preserve">2025-10-14</t>
  </si>
  <si>
    <t xml:space="preserve">MG-000450</t>
  </si>
  <si>
    <t xml:space="preserve">2025-10-17</t>
  </si>
  <si>
    <t xml:space="preserve">2025-10-18</t>
  </si>
  <si>
    <t xml:space="preserve">MG-000473</t>
  </si>
  <si>
    <t xml:space="preserve">2025-10-20</t>
  </si>
  <si>
    <t xml:space="preserve">C00108</t>
  </si>
  <si>
    <t xml:space="preserve">30765-166</t>
  </si>
  <si>
    <t xml:space="preserve">MG-000396</t>
  </si>
  <si>
    <t xml:space="preserve">2025-10-21</t>
  </si>
  <si>
    <t xml:space="preserve">50,00</t>
  </si>
  <si>
    <t xml:space="preserve">MG-000443</t>
  </si>
  <si>
    <t xml:space="preserve">2025-10-22</t>
  </si>
  <si>
    <t xml:space="preserve">2025-10-23</t>
  </si>
  <si>
    <t xml:space="preserve">MG-000529</t>
  </si>
  <si>
    <t xml:space="preserve">2025-10-30</t>
  </si>
  <si>
    <t xml:space="preserve">2025-11-02</t>
  </si>
  <si>
    <t xml:space="preserve">MG-000327</t>
  </si>
  <si>
    <t xml:space="preserve">2025-10-31</t>
  </si>
  <si>
    <t xml:space="preserve">2026-02-28</t>
  </si>
  <si>
    <t xml:space="preserve">Show Sertanejo - BH</t>
  </si>
  <si>
    <t xml:space="preserve">510,00</t>
  </si>
  <si>
    <t xml:space="preserve">C01971</t>
  </si>
  <si>
    <t xml:space="preserve">32771-987</t>
  </si>
  <si>
    <t xml:space="preserve">MG-000355</t>
  </si>
  <si>
    <t xml:space="preserve">317,50</t>
  </si>
  <si>
    <t xml:space="preserve">MG-000292</t>
  </si>
  <si>
    <t xml:space="preserve">2025-11-01</t>
  </si>
  <si>
    <t xml:space="preserve">MG-000342</t>
  </si>
  <si>
    <t xml:space="preserve">720,00</t>
  </si>
  <si>
    <t xml:space="preserve">MG-000284</t>
  </si>
  <si>
    <t xml:space="preserve">450,00</t>
  </si>
  <si>
    <t xml:space="preserve">C01262</t>
  </si>
  <si>
    <t xml:space="preserve">29594-562</t>
  </si>
  <si>
    <t xml:space="preserve">MG-000269</t>
  </si>
  <si>
    <t xml:space="preserve">2025-11-04</t>
  </si>
  <si>
    <t xml:space="preserve">315,00</t>
  </si>
  <si>
    <t xml:space="preserve">MG-000376</t>
  </si>
  <si>
    <t xml:space="preserve">MG-000325</t>
  </si>
  <si>
    <t xml:space="preserve">2025-11-05</t>
  </si>
  <si>
    <t xml:space="preserve">MG-000238</t>
  </si>
  <si>
    <t xml:space="preserve">2025-11-06</t>
  </si>
  <si>
    <t xml:space="preserve">285,00</t>
  </si>
  <si>
    <t xml:space="preserve">C02223</t>
  </si>
  <si>
    <t xml:space="preserve">30012-583</t>
  </si>
  <si>
    <t xml:space="preserve">MG-000294</t>
  </si>
  <si>
    <t xml:space="preserve">112,50</t>
  </si>
  <si>
    <t xml:space="preserve">C00500</t>
  </si>
  <si>
    <t xml:space="preserve">MG-000323</t>
  </si>
  <si>
    <t xml:space="preserve">635,00</t>
  </si>
  <si>
    <t xml:space="preserve">MG-000351</t>
  </si>
  <si>
    <t xml:space="preserve">240,00</t>
  </si>
  <si>
    <t xml:space="preserve">MG-000252</t>
  </si>
  <si>
    <t xml:space="preserve">2025-11-07</t>
  </si>
  <si>
    <t xml:space="preserve">142,50</t>
  </si>
  <si>
    <t xml:space="preserve">MG-000280</t>
  </si>
  <si>
    <t xml:space="preserve">352,50</t>
  </si>
  <si>
    <t xml:space="preserve">MG-000352</t>
  </si>
  <si>
    <t xml:space="preserve">160,00</t>
  </si>
  <si>
    <t xml:space="preserve">C00195</t>
  </si>
  <si>
    <t xml:space="preserve">30695-391</t>
  </si>
  <si>
    <t xml:space="preserve">MG-000233</t>
  </si>
  <si>
    <t xml:space="preserve">2025-11-08</t>
  </si>
  <si>
    <t xml:space="preserve">250,00</t>
  </si>
  <si>
    <t xml:space="preserve">MG-000245</t>
  </si>
  <si>
    <t xml:space="preserve">515,00</t>
  </si>
  <si>
    <t xml:space="preserve">C01348</t>
  </si>
  <si>
    <t xml:space="preserve">80224-371</t>
  </si>
  <si>
    <t xml:space="preserve">MG-000373</t>
  </si>
  <si>
    <t xml:space="preserve">230,00</t>
  </si>
  <si>
    <t xml:space="preserve">MG-000240</t>
  </si>
  <si>
    <t xml:space="preserve">2025-11-09</t>
  </si>
  <si>
    <t xml:space="preserve">560,00</t>
  </si>
  <si>
    <t xml:space="preserve">MG-000268</t>
  </si>
  <si>
    <t xml:space="preserve">180,00</t>
  </si>
  <si>
    <t xml:space="preserve">MG-000356</t>
  </si>
  <si>
    <t xml:space="preserve">2025-11-10</t>
  </si>
  <si>
    <t xml:space="preserve">280,00</t>
  </si>
  <si>
    <t xml:space="preserve">MG-000251</t>
  </si>
  <si>
    <t xml:space="preserve">2025-11-11</t>
  </si>
  <si>
    <t xml:space="preserve">530,00</t>
  </si>
  <si>
    <t xml:space="preserve">MG-000407</t>
  </si>
  <si>
    <t xml:space="preserve">2025-11-14</t>
  </si>
  <si>
    <t xml:space="preserve">MG-000301</t>
  </si>
  <si>
    <t xml:space="preserve">2025-11-12</t>
  </si>
  <si>
    <t xml:space="preserve">125,00</t>
  </si>
  <si>
    <t xml:space="preserve">C01195</t>
  </si>
  <si>
    <t xml:space="preserve">30896-280</t>
  </si>
  <si>
    <t xml:space="preserve">MG-000365</t>
  </si>
  <si>
    <t xml:space="preserve">420,00</t>
  </si>
  <si>
    <t xml:space="preserve">MG-000372</t>
  </si>
  <si>
    <t xml:space="preserve">295,00</t>
  </si>
  <si>
    <t xml:space="preserve">MG-000241</t>
  </si>
  <si>
    <t xml:space="preserve">2025-11-13</t>
  </si>
  <si>
    <t xml:space="preserve">575,00</t>
  </si>
  <si>
    <t xml:space="preserve">MG-000346</t>
  </si>
  <si>
    <t xml:space="preserve">MG-000350</t>
  </si>
  <si>
    <t xml:space="preserve">C00784</t>
  </si>
  <si>
    <t xml:space="preserve">88243-091</t>
  </si>
  <si>
    <t xml:space="preserve">MG-000246</t>
  </si>
  <si>
    <t xml:space="preserve">2025-11-15</t>
  </si>
  <si>
    <t xml:space="preserve">190,00</t>
  </si>
  <si>
    <t xml:space="preserve">MG-000316</t>
  </si>
  <si>
    <t xml:space="preserve">305,00</t>
  </si>
  <si>
    <t xml:space="preserve">C00605</t>
  </si>
  <si>
    <t xml:space="preserve">32611-091</t>
  </si>
  <si>
    <t xml:space="preserve">MG-000348</t>
  </si>
  <si>
    <t xml:space="preserve">1450,00</t>
  </si>
  <si>
    <t xml:space="preserve">C00542</t>
  </si>
  <si>
    <t xml:space="preserve">88396-980</t>
  </si>
  <si>
    <t xml:space="preserve">MG-000375</t>
  </si>
  <si>
    <t xml:space="preserve">390,00</t>
  </si>
  <si>
    <t xml:space="preserve">C00969</t>
  </si>
  <si>
    <t xml:space="preserve">30637-805</t>
  </si>
  <si>
    <t xml:space="preserve">MG-000324</t>
  </si>
  <si>
    <t xml:space="preserve">2025-11-16</t>
  </si>
  <si>
    <t xml:space="preserve">370,00</t>
  </si>
  <si>
    <t xml:space="preserve">MG-000282</t>
  </si>
  <si>
    <t xml:space="preserve">2025-11-17</t>
  </si>
  <si>
    <t xml:space="preserve">290,00</t>
  </si>
  <si>
    <t xml:space="preserve">C02281</t>
  </si>
  <si>
    <t xml:space="preserve">24979-091</t>
  </si>
  <si>
    <t xml:space="preserve">MG-000397</t>
  </si>
  <si>
    <t xml:space="preserve">MG-000353</t>
  </si>
  <si>
    <t xml:space="preserve">2025-11-18</t>
  </si>
  <si>
    <t xml:space="preserve">MG-000530</t>
  </si>
  <si>
    <t xml:space="preserve">2025-11-21</t>
  </si>
  <si>
    <t xml:space="preserve">MG-000232</t>
  </si>
  <si>
    <t xml:space="preserve">2025-11-19</t>
  </si>
  <si>
    <t xml:space="preserve">262,50</t>
  </si>
  <si>
    <t xml:space="preserve">MG-000312</t>
  </si>
  <si>
    <t xml:space="preserve">157,50</t>
  </si>
  <si>
    <t xml:space="preserve">MG-000319</t>
  </si>
  <si>
    <t xml:space="preserve">C01103</t>
  </si>
  <si>
    <t xml:space="preserve">70403-631</t>
  </si>
  <si>
    <t xml:space="preserve">MG-000360</t>
  </si>
  <si>
    <t xml:space="preserve">MG-000380</t>
  </si>
  <si>
    <t xml:space="preserve">115,00</t>
  </si>
  <si>
    <t xml:space="preserve">C02400</t>
  </si>
  <si>
    <t xml:space="preserve">32931-898</t>
  </si>
  <si>
    <t xml:space="preserve">MG-000244</t>
  </si>
  <si>
    <t xml:space="preserve">2025-11-20</t>
  </si>
  <si>
    <t xml:space="preserve">MG-000263</t>
  </si>
  <si>
    <t xml:space="preserve">147,50</t>
  </si>
  <si>
    <t xml:space="preserve">MG-000271</t>
  </si>
  <si>
    <t xml:space="preserve">360,00</t>
  </si>
  <si>
    <t xml:space="preserve">C00852</t>
  </si>
  <si>
    <t xml:space="preserve">13948-844</t>
  </si>
  <si>
    <t xml:space="preserve">MG-000359</t>
  </si>
  <si>
    <t xml:space="preserve">570,00</t>
  </si>
  <si>
    <t xml:space="preserve">C01911</t>
  </si>
  <si>
    <t xml:space="preserve">88783-384</t>
  </si>
  <si>
    <t xml:space="preserve">MG-000253</t>
  </si>
  <si>
    <t xml:space="preserve">MG-000332</t>
  </si>
  <si>
    <t xml:space="preserve">2025-11-23</t>
  </si>
  <si>
    <t xml:space="preserve">270,00</t>
  </si>
  <si>
    <t xml:space="preserve">MG-000378</t>
  </si>
  <si>
    <t xml:space="preserve">MG-000453</t>
  </si>
  <si>
    <t xml:space="preserve">2025-11-24</t>
  </si>
  <si>
    <t xml:space="preserve">MG-000303</t>
  </si>
  <si>
    <t xml:space="preserve">255,00</t>
  </si>
  <si>
    <t xml:space="preserve">MG-000298</t>
  </si>
  <si>
    <t xml:space="preserve">2025-11-25</t>
  </si>
  <si>
    <t xml:space="preserve">MG-000278</t>
  </si>
  <si>
    <t xml:space="preserve">2025-11-27</t>
  </si>
  <si>
    <t xml:space="preserve">605,00</t>
  </si>
  <si>
    <t xml:space="preserve">C02179</t>
  </si>
  <si>
    <t xml:space="preserve">30069-160</t>
  </si>
  <si>
    <t xml:space="preserve">MG-000480</t>
  </si>
  <si>
    <t xml:space="preserve">2025-11-30</t>
  </si>
  <si>
    <t xml:space="preserve">MG-000544</t>
  </si>
  <si>
    <t xml:space="preserve">2025-11-28</t>
  </si>
  <si>
    <t xml:space="preserve">C02115</t>
  </si>
  <si>
    <t xml:space="preserve">30831-226</t>
  </si>
  <si>
    <t xml:space="preserve">MG-000406</t>
  </si>
  <si>
    <t xml:space="preserve">2025-12-01</t>
  </si>
  <si>
    <t xml:space="preserve">MG-000295</t>
  </si>
  <si>
    <t xml:space="preserve">670,00</t>
  </si>
  <si>
    <t xml:space="preserve">MG-000445</t>
  </si>
  <si>
    <t xml:space="preserve">2025-12-04</t>
  </si>
  <si>
    <t xml:space="preserve">MG-000379</t>
  </si>
  <si>
    <t xml:space="preserve">2025-12-02</t>
  </si>
  <si>
    <t xml:space="preserve">MG-000276</t>
  </si>
  <si>
    <t xml:space="preserve">2025-12-07</t>
  </si>
  <si>
    <t xml:space="preserve">372,50</t>
  </si>
  <si>
    <t xml:space="preserve">C02117</t>
  </si>
  <si>
    <t xml:space="preserve">29522-035</t>
  </si>
  <si>
    <t xml:space="preserve">MG-000510</t>
  </si>
  <si>
    <t xml:space="preserve">2025-12-08</t>
  </si>
  <si>
    <t xml:space="preserve">2025-12-10</t>
  </si>
  <si>
    <t xml:space="preserve">MG-000304</t>
  </si>
  <si>
    <t xml:space="preserve">2025-12-09</t>
  </si>
  <si>
    <t xml:space="preserve">565,00</t>
  </si>
  <si>
    <t xml:space="preserve">MG-000310</t>
  </si>
  <si>
    <t xml:space="preserve">MG-000326</t>
  </si>
  <si>
    <t xml:space="preserve">1240,00</t>
  </si>
  <si>
    <t xml:space="preserve">C01711</t>
  </si>
  <si>
    <t xml:space="preserve">74205-590</t>
  </si>
  <si>
    <t xml:space="preserve">MG-000261</t>
  </si>
  <si>
    <t xml:space="preserve">2025-12-11</t>
  </si>
  <si>
    <t xml:space="preserve">1350,00</t>
  </si>
  <si>
    <t xml:space="preserve">MG-000307</t>
  </si>
  <si>
    <t xml:space="preserve">MG-000369</t>
  </si>
  <si>
    <t xml:space="preserve">600,00</t>
  </si>
  <si>
    <t xml:space="preserve">MG-000361</t>
  </si>
  <si>
    <t xml:space="preserve">2025-12-14</t>
  </si>
  <si>
    <t xml:space="preserve">C02299</t>
  </si>
  <si>
    <t xml:space="preserve">70228-308</t>
  </si>
  <si>
    <t xml:space="preserve">MG-000499</t>
  </si>
  <si>
    <t xml:space="preserve">MG-000405</t>
  </si>
  <si>
    <t xml:space="preserve">2025-12-15</t>
  </si>
  <si>
    <t xml:space="preserve">2025-12-16</t>
  </si>
  <si>
    <t xml:space="preserve">MG-000516</t>
  </si>
  <si>
    <t xml:space="preserve">C01114</t>
  </si>
  <si>
    <t xml:space="preserve">30027-856</t>
  </si>
  <si>
    <t xml:space="preserve">MG-000266</t>
  </si>
  <si>
    <t xml:space="preserve">2025-12-17</t>
  </si>
  <si>
    <t xml:space="preserve">MG-000239</t>
  </si>
  <si>
    <t xml:space="preserve">2025-12-18</t>
  </si>
  <si>
    <t xml:space="preserve">580,00</t>
  </si>
  <si>
    <t xml:space="preserve">MG-000505</t>
  </si>
  <si>
    <t xml:space="preserve">MG-000538</t>
  </si>
  <si>
    <t xml:space="preserve">2025-12-20</t>
  </si>
  <si>
    <t xml:space="preserve">MG-000231</t>
  </si>
  <si>
    <t xml:space="preserve">2025-12-21</t>
  </si>
  <si>
    <t xml:space="preserve">267,50</t>
  </si>
  <si>
    <t xml:space="preserve">C01058</t>
  </si>
  <si>
    <t xml:space="preserve">MG-000374</t>
  </si>
  <si>
    <t xml:space="preserve">2025-12-24</t>
  </si>
  <si>
    <t xml:space="preserve">485,00</t>
  </si>
  <si>
    <t xml:space="preserve">MG-000522</t>
  </si>
  <si>
    <t xml:space="preserve">2025-12-25</t>
  </si>
  <si>
    <t xml:space="preserve">MG-000308</t>
  </si>
  <si>
    <t xml:space="preserve">2025-12-26</t>
  </si>
  <si>
    <t xml:space="preserve">395,00</t>
  </si>
  <si>
    <t xml:space="preserve">C00951</t>
  </si>
  <si>
    <t xml:space="preserve">24503-275</t>
  </si>
  <si>
    <t xml:space="preserve">MG-000519</t>
  </si>
  <si>
    <t xml:space="preserve">2025-12-28</t>
  </si>
  <si>
    <t xml:space="preserve">MG-000339</t>
  </si>
  <si>
    <t xml:space="preserve">2025-12-27</t>
  </si>
  <si>
    <t xml:space="preserve">MG-000468</t>
  </si>
  <si>
    <t xml:space="preserve">MG-000249</t>
  </si>
  <si>
    <t xml:space="preserve">2025-12-29</t>
  </si>
  <si>
    <t xml:space="preserve">325,00</t>
  </si>
  <si>
    <t xml:space="preserve">MG-000290</t>
  </si>
  <si>
    <t xml:space="preserve">MG-000343</t>
  </si>
  <si>
    <t xml:space="preserve">2025-12-30</t>
  </si>
  <si>
    <t xml:space="preserve">127,50</t>
  </si>
  <si>
    <t xml:space="preserve">MG-000315</t>
  </si>
  <si>
    <t xml:space="preserve">2026-01-01</t>
  </si>
  <si>
    <t xml:space="preserve">MG-000337</t>
  </si>
  <si>
    <t xml:space="preserve">2026-01-04</t>
  </si>
  <si>
    <t xml:space="preserve">MG-000296</t>
  </si>
  <si>
    <t xml:space="preserve">2026-01-07</t>
  </si>
  <si>
    <t xml:space="preserve">C02247</t>
  </si>
  <si>
    <t xml:space="preserve">30118-130</t>
  </si>
  <si>
    <t xml:space="preserve">MG-000349</t>
  </si>
  <si>
    <t xml:space="preserve">2026-01-09</t>
  </si>
  <si>
    <t xml:space="preserve">C00053</t>
  </si>
  <si>
    <t xml:space="preserve">70263-101</t>
  </si>
  <si>
    <t xml:space="preserve">MG-000287</t>
  </si>
  <si>
    <t xml:space="preserve">2026-01-11</t>
  </si>
  <si>
    <t xml:space="preserve">1080,00</t>
  </si>
  <si>
    <t xml:space="preserve">MG-000272</t>
  </si>
  <si>
    <t xml:space="preserve">2026-01-12</t>
  </si>
  <si>
    <t xml:space="preserve">MG-000300</t>
  </si>
  <si>
    <t xml:space="preserve">MG-000256</t>
  </si>
  <si>
    <t xml:space="preserve">2026-01-13</t>
  </si>
  <si>
    <t xml:space="preserve">MG-000283</t>
  </si>
  <si>
    <t xml:space="preserve">1190,00</t>
  </si>
  <si>
    <t xml:space="preserve">C00110</t>
  </si>
  <si>
    <t xml:space="preserve">32073-872</t>
  </si>
  <si>
    <t xml:space="preserve">MG-000493</t>
  </si>
  <si>
    <t xml:space="preserve">MG-000262</t>
  </si>
  <si>
    <t xml:space="preserve">2026-01-15</t>
  </si>
  <si>
    <t xml:space="preserve">C01857</t>
  </si>
  <si>
    <t xml:space="preserve">80668-775</t>
  </si>
  <si>
    <t xml:space="preserve">MG-000279</t>
  </si>
  <si>
    <t xml:space="preserve">MG-000347</t>
  </si>
  <si>
    <t xml:space="preserve">MG-000501</t>
  </si>
  <si>
    <t xml:space="preserve">2026-01-16</t>
  </si>
  <si>
    <t xml:space="preserve">MG-000314</t>
  </si>
  <si>
    <t xml:space="preserve">300,00</t>
  </si>
  <si>
    <t xml:space="preserve">C02210</t>
  </si>
  <si>
    <t xml:space="preserve">70854-704</t>
  </si>
  <si>
    <t xml:space="preserve">MG-000503</t>
  </si>
  <si>
    <t xml:space="preserve">2026-01-19</t>
  </si>
  <si>
    <t xml:space="preserve">MG-000302</t>
  </si>
  <si>
    <t xml:space="preserve">2026-01-18</t>
  </si>
  <si>
    <t xml:space="preserve">C02212</t>
  </si>
  <si>
    <t xml:space="preserve">70715-038</t>
  </si>
  <si>
    <t xml:space="preserve">MG-000401</t>
  </si>
  <si>
    <t xml:space="preserve">2026-01-22</t>
  </si>
  <si>
    <t xml:space="preserve">MG-000486</t>
  </si>
  <si>
    <t xml:space="preserve">2026-01-21</t>
  </si>
  <si>
    <t xml:space="preserve">MG-000336</t>
  </si>
  <si>
    <t xml:space="preserve">MG-000259</t>
  </si>
  <si>
    <t xml:space="preserve">2026-01-23</t>
  </si>
  <si>
    <t xml:space="preserve">MG-000293</t>
  </si>
  <si>
    <t xml:space="preserve">C00363</t>
  </si>
  <si>
    <t xml:space="preserve">74745-344</t>
  </si>
  <si>
    <t xml:space="preserve">MG-000236</t>
  </si>
  <si>
    <t xml:space="preserve">2026-01-24</t>
  </si>
  <si>
    <t xml:space="preserve">MG-000305</t>
  </si>
  <si>
    <t xml:space="preserve">207,50</t>
  </si>
  <si>
    <t xml:space="preserve">C01665</t>
  </si>
  <si>
    <t xml:space="preserve">30108-801</t>
  </si>
  <si>
    <t xml:space="preserve">MG-000358</t>
  </si>
  <si>
    <t xml:space="preserve">2026-01-25</t>
  </si>
  <si>
    <t xml:space="preserve">585,00</t>
  </si>
  <si>
    <t xml:space="preserve">C01222</t>
  </si>
  <si>
    <t xml:space="preserve">MG-000311</t>
  </si>
  <si>
    <t xml:space="preserve">2026-01-26</t>
  </si>
  <si>
    <t xml:space="preserve">252,50</t>
  </si>
  <si>
    <t xml:space="preserve">MG-000320</t>
  </si>
  <si>
    <t xml:space="preserve">1260,00</t>
  </si>
  <si>
    <t xml:space="preserve">MG-000523</t>
  </si>
  <si>
    <t xml:space="preserve">MG-000399</t>
  </si>
  <si>
    <t xml:space="preserve">2026-01-27</t>
  </si>
  <si>
    <t xml:space="preserve">C00156</t>
  </si>
  <si>
    <t xml:space="preserve">30176-865</t>
  </si>
  <si>
    <t xml:space="preserve">MG-000288</t>
  </si>
  <si>
    <t xml:space="preserve">2026-01-28</t>
  </si>
  <si>
    <t xml:space="preserve">C00675</t>
  </si>
  <si>
    <t xml:space="preserve">30403-060</t>
  </si>
  <si>
    <t xml:space="preserve">MG-000309</t>
  </si>
  <si>
    <t xml:space="preserve">2026-01-30</t>
  </si>
  <si>
    <t xml:space="preserve">C00397</t>
  </si>
  <si>
    <t xml:space="preserve">30743-804</t>
  </si>
  <si>
    <t xml:space="preserve">MG-000234</t>
  </si>
  <si>
    <t xml:space="preserve">2026-01-31</t>
  </si>
  <si>
    <t xml:space="preserve">C00519</t>
  </si>
  <si>
    <t xml:space="preserve">MG-000414</t>
  </si>
  <si>
    <t xml:space="preserve">2026-02-02</t>
  </si>
  <si>
    <t xml:space="preserve">MG-000286</t>
  </si>
  <si>
    <t xml:space="preserve">2026-02-03</t>
  </si>
  <si>
    <t xml:space="preserve">265,00</t>
  </si>
  <si>
    <t xml:space="preserve">MG-000333</t>
  </si>
  <si>
    <t xml:space="preserve">MG-000277</t>
  </si>
  <si>
    <t xml:space="preserve">2026-02-04</t>
  </si>
  <si>
    <t xml:space="preserve">C02477</t>
  </si>
  <si>
    <t xml:space="preserve">80009-902</t>
  </si>
  <si>
    <t xml:space="preserve">MG-000281</t>
  </si>
  <si>
    <t xml:space="preserve">MG-000494</t>
  </si>
  <si>
    <t xml:space="preserve">2026-02-05</t>
  </si>
  <si>
    <t xml:space="preserve">MG-000330</t>
  </si>
  <si>
    <t xml:space="preserve">C00377</t>
  </si>
  <si>
    <t xml:space="preserve">30446-103</t>
  </si>
  <si>
    <t xml:space="preserve">MG-000438</t>
  </si>
  <si>
    <t xml:space="preserve">MG-000454</t>
  </si>
  <si>
    <t xml:space="preserve">2026-02-07</t>
  </si>
  <si>
    <t xml:space="preserve">MG-000509</t>
  </si>
  <si>
    <t xml:space="preserve">2026-02-06</t>
  </si>
  <si>
    <t xml:space="preserve">MG-000444</t>
  </si>
  <si>
    <t xml:space="preserve">2026-02-08</t>
  </si>
  <si>
    <t xml:space="preserve">MG-000366</t>
  </si>
  <si>
    <t xml:space="preserve">1380,00</t>
  </si>
  <si>
    <t xml:space="preserve">MG-000539</t>
  </si>
  <si>
    <t xml:space="preserve">2026-02-11</t>
  </si>
  <si>
    <t xml:space="preserve">MG-000318</t>
  </si>
  <si>
    <t xml:space="preserve">2026-02-10</t>
  </si>
  <si>
    <t xml:space="preserve">405,00</t>
  </si>
  <si>
    <t xml:space="preserve">C00431</t>
  </si>
  <si>
    <t xml:space="preserve">30485-225</t>
  </si>
  <si>
    <t xml:space="preserve">MG-000387</t>
  </si>
  <si>
    <t xml:space="preserve">2026-02-13</t>
  </si>
  <si>
    <t xml:space="preserve">C02484</t>
  </si>
  <si>
    <t xml:space="preserve">30429-913</t>
  </si>
  <si>
    <t xml:space="preserve">MG-000285</t>
  </si>
  <si>
    <t xml:space="preserve">MG-000257</t>
  </si>
  <si>
    <t xml:space="preserve">2026-02-12</t>
  </si>
  <si>
    <t xml:space="preserve">MG-000243</t>
  </si>
  <si>
    <t xml:space="preserve">475,00</t>
  </si>
  <si>
    <t xml:space="preserve">C00366</t>
  </si>
  <si>
    <t xml:space="preserve">80827-441</t>
  </si>
  <si>
    <t xml:space="preserve">MG-000274</t>
  </si>
  <si>
    <t xml:space="preserve">380,00</t>
  </si>
  <si>
    <t xml:space="preserve">C00674</t>
  </si>
  <si>
    <t xml:space="preserve">74543-313</t>
  </si>
  <si>
    <t xml:space="preserve">MG-000331</t>
  </si>
  <si>
    <t xml:space="preserve">2026-02-14</t>
  </si>
  <si>
    <t xml:space="preserve">C00732</t>
  </si>
  <si>
    <t xml:space="preserve">40637-978</t>
  </si>
  <si>
    <t xml:space="preserve">MG-000459</t>
  </si>
  <si>
    <t xml:space="preserve">2026-02-17</t>
  </si>
  <si>
    <t xml:space="preserve">2026-02-20</t>
  </si>
  <si>
    <t xml:space="preserve">MG-000463</t>
  </si>
  <si>
    <t xml:space="preserve">2026-02-18</t>
  </si>
  <si>
    <t xml:space="preserve">MG-000235</t>
  </si>
  <si>
    <t xml:space="preserve">2026-02-21</t>
  </si>
  <si>
    <t xml:space="preserve">MG-000255</t>
  </si>
  <si>
    <t xml:space="preserve">890,00</t>
  </si>
  <si>
    <t xml:space="preserve">MG-000265</t>
  </si>
  <si>
    <t xml:space="preserve">C02142</t>
  </si>
  <si>
    <t xml:space="preserve">32440-560</t>
  </si>
  <si>
    <t xml:space="preserve">MG-000270</t>
  </si>
  <si>
    <t xml:space="preserve">225,00</t>
  </si>
  <si>
    <t xml:space="preserve">MG-000275</t>
  </si>
  <si>
    <t xml:space="preserve">297,50</t>
  </si>
  <si>
    <t xml:space="preserve">MG-000291</t>
  </si>
  <si>
    <t xml:space="preserve">MG-000306</t>
  </si>
  <si>
    <t xml:space="preserve">MG-000313</t>
  </si>
  <si>
    <t xml:space="preserve">MG-000357</t>
  </si>
  <si>
    <t xml:space="preserve">150,00</t>
  </si>
  <si>
    <t xml:space="preserve">MG-000273</t>
  </si>
  <si>
    <t xml:space="preserve">2026-02-22</t>
  </si>
  <si>
    <t xml:space="preserve">162,50</t>
  </si>
  <si>
    <t xml:space="preserve">C00036</t>
  </si>
  <si>
    <t xml:space="preserve">30374-870</t>
  </si>
  <si>
    <t xml:space="preserve">MG-000299</t>
  </si>
  <si>
    <t xml:space="preserve">MG-000335</t>
  </si>
  <si>
    <t xml:space="preserve">645,00</t>
  </si>
  <si>
    <t xml:space="preserve">MG-000264</t>
  </si>
  <si>
    <t xml:space="preserve">2026-02-23</t>
  </si>
  <si>
    <t xml:space="preserve">320,00</t>
  </si>
  <si>
    <t xml:space="preserve">MG-000354</t>
  </si>
  <si>
    <t xml:space="preserve">210,00</t>
  </si>
  <si>
    <t xml:space="preserve">MG-000364</t>
  </si>
  <si>
    <t xml:space="preserve">235,00</t>
  </si>
  <si>
    <t xml:space="preserve">MG-000371</t>
  </si>
  <si>
    <t xml:space="preserve">595,00</t>
  </si>
  <si>
    <t xml:space="preserve">MG-000419</t>
  </si>
  <si>
    <t xml:space="preserve">2026-02-24</t>
  </si>
  <si>
    <t xml:space="preserve">C02481</t>
  </si>
  <si>
    <t xml:space="preserve">30157-153</t>
  </si>
  <si>
    <t xml:space="preserve">MG-000317</t>
  </si>
  <si>
    <t xml:space="preserve">MG-000368</t>
  </si>
  <si>
    <t xml:space="preserve">C00129</t>
  </si>
  <si>
    <t xml:space="preserve">74304-580</t>
  </si>
  <si>
    <t xml:space="preserve">MG-000242</t>
  </si>
  <si>
    <t xml:space="preserve">2026-02-25</t>
  </si>
  <si>
    <t xml:space="preserve">MG-000247</t>
  </si>
  <si>
    <t xml:space="preserve">310,00</t>
  </si>
  <si>
    <t xml:space="preserve">MG-000248</t>
  </si>
  <si>
    <t xml:space="preserve">MG-000267</t>
  </si>
  <si>
    <t xml:space="preserve">MG-000289</t>
  </si>
  <si>
    <t xml:space="preserve">MG-000321</t>
  </si>
  <si>
    <t xml:space="preserve">1130,00</t>
  </si>
  <si>
    <t xml:space="preserve">C00704</t>
  </si>
  <si>
    <t xml:space="preserve">24084-019</t>
  </si>
  <si>
    <t xml:space="preserve">MG-000328</t>
  </si>
  <si>
    <t xml:space="preserve">C01538</t>
  </si>
  <si>
    <t xml:space="preserve">30876-988</t>
  </si>
  <si>
    <t xml:space="preserve">MG-000334</t>
  </si>
  <si>
    <t xml:space="preserve">C00691</t>
  </si>
  <si>
    <t xml:space="preserve">32797-365</t>
  </si>
  <si>
    <t xml:space="preserve">MG-000341</t>
  </si>
  <si>
    <t xml:space="preserve">C01086</t>
  </si>
  <si>
    <t xml:space="preserve">88276-408</t>
  </si>
  <si>
    <t xml:space="preserve">MG-000344</t>
  </si>
  <si>
    <t xml:space="preserve">C01892</t>
  </si>
  <si>
    <t xml:space="preserve">32110-483</t>
  </si>
  <si>
    <t xml:space="preserve">MG-000237</t>
  </si>
  <si>
    <t xml:space="preserve">2026-02-26</t>
  </si>
  <si>
    <t xml:space="preserve">C00932</t>
  </si>
  <si>
    <t xml:space="preserve">90285-040</t>
  </si>
  <si>
    <t xml:space="preserve">MG-000250</t>
  </si>
  <si>
    <t xml:space="preserve">260,00</t>
  </si>
  <si>
    <t xml:space="preserve">MG-000260</t>
  </si>
  <si>
    <t xml:space="preserve">C02491</t>
  </si>
  <si>
    <t xml:space="preserve">MG-000329</t>
  </si>
  <si>
    <t xml:space="preserve">327,50</t>
  </si>
  <si>
    <t xml:space="preserve">MG-000345</t>
  </si>
  <si>
    <t xml:space="preserve">185,00</t>
  </si>
  <si>
    <t xml:space="preserve">MG-000362</t>
  </si>
  <si>
    <t xml:space="preserve">282,50</t>
  </si>
  <si>
    <t xml:space="preserve">MG-000258</t>
  </si>
  <si>
    <t xml:space="preserve">2026-02-27</t>
  </si>
  <si>
    <t xml:space="preserve">362,50</t>
  </si>
  <si>
    <t xml:space="preserve">MG-000322</t>
  </si>
  <si>
    <t xml:space="preserve">MG-000370</t>
  </si>
  <si>
    <t xml:space="preserve">C00130</t>
  </si>
  <si>
    <t xml:space="preserve">32464-658</t>
  </si>
  <si>
    <t xml:space="preserve">MG-000377</t>
  </si>
  <si>
    <t xml:space="preserve">MG-000254</t>
  </si>
  <si>
    <t xml:space="preserve">MG-000297</t>
  </si>
  <si>
    <t xml:space="preserve">170,00</t>
  </si>
  <si>
    <t xml:space="preserve">MG-000338</t>
  </si>
  <si>
    <t xml:space="preserve">MG-000340</t>
  </si>
  <si>
    <t xml:space="preserve">1300,00</t>
  </si>
  <si>
    <t xml:space="preserve">C02411</t>
  </si>
  <si>
    <t xml:space="preserve">32213-631</t>
  </si>
  <si>
    <t xml:space="preserve">MG-000363</t>
  </si>
  <si>
    <t xml:space="preserve">MG-000367</t>
  </si>
  <si>
    <t xml:space="preserve">MG-000415</t>
  </si>
  <si>
    <t xml:space="preserve">2026-03-02</t>
  </si>
  <si>
    <t xml:space="preserve">MG-000389</t>
  </si>
  <si>
    <t xml:space="preserve">2026-03-05</t>
  </si>
  <si>
    <t xml:space="preserve">MG-000474</t>
  </si>
  <si>
    <t xml:space="preserve">2026-03-07</t>
  </si>
  <si>
    <t xml:space="preserve">MG-000458</t>
  </si>
  <si>
    <t xml:space="preserve">2026-03-09</t>
  </si>
  <si>
    <t xml:space="preserve">MG-000485</t>
  </si>
  <si>
    <t xml:space="preserve">2026-03-17</t>
  </si>
  <si>
    <t xml:space="preserve">2026-03-20</t>
  </si>
  <si>
    <t xml:space="preserve">C01527</t>
  </si>
  <si>
    <t xml:space="preserve">30269-179</t>
  </si>
  <si>
    <t xml:space="preserve">MG-000440</t>
  </si>
  <si>
    <t xml:space="preserve">2026-03-23</t>
  </si>
  <si>
    <t xml:space="preserve">2026-03-26</t>
  </si>
  <si>
    <t xml:space="preserve">MG-000460</t>
  </si>
  <si>
    <t xml:space="preserve">2026-03-25</t>
  </si>
  <si>
    <t xml:space="preserve">MG-000402</t>
  </si>
  <si>
    <t xml:space="preserve">C01311</t>
  </si>
  <si>
    <t xml:space="preserve">30403-924</t>
  </si>
  <si>
    <t xml:space="preserve">MG-000542</t>
  </si>
  <si>
    <t xml:space="preserve">2026-03-27</t>
  </si>
  <si>
    <t xml:space="preserve">MG-000528</t>
  </si>
  <si>
    <t xml:space="preserve">2026-04-12</t>
  </si>
  <si>
    <t xml:space="preserve">MG-000511</t>
  </si>
  <si>
    <t xml:space="preserve">2026-04-16</t>
  </si>
  <si>
    <t xml:space="preserve">2026-04-19</t>
  </si>
  <si>
    <t xml:space="preserve">MG-000390</t>
  </si>
  <si>
    <t xml:space="preserve">2026-04-22</t>
  </si>
  <si>
    <t xml:space="preserve">MG-000403</t>
  </si>
  <si>
    <t xml:space="preserve">2026-04-21</t>
  </si>
  <si>
    <t xml:space="preserve">MG-000512</t>
  </si>
  <si>
    <t xml:space="preserve">2026-04-27</t>
  </si>
  <si>
    <t xml:space="preserve">2026-04-29</t>
  </si>
  <si>
    <t xml:space="preserve">MG-000392</t>
  </si>
  <si>
    <t xml:space="preserve">2026-05-03</t>
  </si>
  <si>
    <t xml:space="preserve">2026-05-06</t>
  </si>
  <si>
    <t xml:space="preserve">MG-000490</t>
  </si>
  <si>
    <t xml:space="preserve">MG-000437</t>
  </si>
  <si>
    <t xml:space="preserve">2026-05-07</t>
  </si>
  <si>
    <t xml:space="preserve">2026-05-08</t>
  </si>
  <si>
    <t xml:space="preserve">MG-000465</t>
  </si>
  <si>
    <t xml:space="preserve">2026-05-10</t>
  </si>
  <si>
    <t xml:space="preserve">2026-05-13</t>
  </si>
  <si>
    <t xml:space="preserve">MG-000472</t>
  </si>
  <si>
    <t xml:space="preserve">2026-05-11</t>
  </si>
  <si>
    <t xml:space="preserve">MG-000478</t>
  </si>
  <si>
    <t xml:space="preserve">2026-05-14</t>
  </si>
  <si>
    <t xml:space="preserve">2026-05-15</t>
  </si>
  <si>
    <t xml:space="preserve">MG-000525</t>
  </si>
  <si>
    <t xml:space="preserve">2026-05-17</t>
  </si>
  <si>
    <t xml:space="preserve">MG-000469</t>
  </si>
  <si>
    <t xml:space="preserve">2026-05-18</t>
  </si>
  <si>
    <t xml:space="preserve">2026-05-21</t>
  </si>
  <si>
    <t xml:space="preserve">MG-000447</t>
  </si>
  <si>
    <t xml:space="preserve">2026-05-19</t>
  </si>
  <si>
    <t xml:space="preserve">MG-000411</t>
  </si>
  <si>
    <t xml:space="preserve">2026-05-30</t>
  </si>
  <si>
    <t xml:space="preserve">2026-06-01</t>
  </si>
  <si>
    <t xml:space="preserve">MG-000431</t>
  </si>
  <si>
    <t xml:space="preserve">MG-000495</t>
  </si>
  <si>
    <t xml:space="preserve">MG-000524</t>
  </si>
  <si>
    <t xml:space="preserve">2026-06-07</t>
  </si>
  <si>
    <t xml:space="preserve">2026-06-08</t>
  </si>
  <si>
    <t xml:space="preserve">MG-000412</t>
  </si>
  <si>
    <t xml:space="preserve">2026-06-12</t>
  </si>
  <si>
    <t xml:space="preserve">2026-06-14</t>
  </si>
  <si>
    <t xml:space="preserve">C01942</t>
  </si>
  <si>
    <t xml:space="preserve">30733-101</t>
  </si>
  <si>
    <t xml:space="preserve">MG-000417</t>
  </si>
  <si>
    <t xml:space="preserve">2026-06-16</t>
  </si>
  <si>
    <t xml:space="preserve">2026-06-17</t>
  </si>
  <si>
    <t xml:space="preserve">MG-000430</t>
  </si>
  <si>
    <t xml:space="preserve">2026-06-19</t>
  </si>
  <si>
    <t xml:space="preserve">MG-000383</t>
  </si>
  <si>
    <t xml:space="preserve">2026-06-18</t>
  </si>
  <si>
    <t xml:space="preserve">MG-000409</t>
  </si>
  <si>
    <t xml:space="preserve">MG-000426</t>
  </si>
  <si>
    <t xml:space="preserve">2026-06-21</t>
  </si>
  <si>
    <t xml:space="preserve">MG-000513</t>
  </si>
  <si>
    <t xml:space="preserve">2026-06-23</t>
  </si>
  <si>
    <t xml:space="preserve">2026-06-26</t>
  </si>
  <si>
    <t xml:space="preserve">MG-000492</t>
  </si>
  <si>
    <t xml:space="preserve">2026-06-25</t>
  </si>
  <si>
    <t xml:space="preserve">2026-06-27</t>
  </si>
  <si>
    <t xml:space="preserve">MG-000433</t>
  </si>
  <si>
    <t xml:space="preserve">2026-06-28</t>
  </si>
  <si>
    <t xml:space="preserve">MG-000491</t>
  </si>
  <si>
    <t xml:space="preserve">2026-06-30</t>
  </si>
  <si>
    <t xml:space="preserve">Valor_Total</t>
  </si>
  <si>
    <t xml:space="preserve">Origem_Publico</t>
  </si>
  <si>
    <t xml:space="preserve">Mes_Venda</t>
  </si>
  <si>
    <t xml:space="preserve">Duplicado</t>
  </si>
  <si>
    <t xml:space="preserve">Status</t>
  </si>
  <si>
    <t xml:space="preserve">Indicador de qualidade</t>
  </si>
  <si>
    <t xml:space="preserve">Valor</t>
  </si>
  <si>
    <t xml:space="preserve">Como é calculado</t>
  </si>
  <si>
    <t xml:space="preserve">Linhas na base bruta</t>
  </si>
  <si>
    <t xml:space="preserve">Todas as linhas empilhadas (inclui vazias)</t>
  </si>
  <si>
    <t xml:space="preserve">Linhas vazias</t>
  </si>
  <si>
    <t xml:space="preserve">ID_Venda em branco</t>
  </si>
  <si>
    <t xml:space="preserve">Linhas duplicadas</t>
  </si>
  <si>
    <t xml:space="preserve">Mesmo ID_Venda já apareceu antes</t>
  </si>
  <si>
    <t xml:space="preserve">Qtd ou valor inválido</t>
  </si>
  <si>
    <t xml:space="preserve">Qtd ou valor vazio/zero</t>
  </si>
  <si>
    <t xml:space="preserve">Linhas válidas (OK)</t>
  </si>
  <si>
    <t xml:space="preserve">Entram nos indicadores</t>
  </si>
  <si>
    <t xml:space="preserve">Conferência (bruta = descartes + OK)</t>
  </si>
  <si>
    <t xml:space="preserve">Nenhuma linha some sem explicação</t>
  </si>
  <si>
    <t xml:space="preserve">Valores sem De-Para (REVISAR)</t>
  </si>
  <si>
    <t xml:space="preserve">Tem que ser 0</t>
  </si>
  <si>
    <t xml:space="preserve">Células com erro de fórmula</t>
  </si>
  <si>
    <t xml:space="preserve">Status geral</t>
  </si>
  <si>
    <t xml:space="preserve">Planilha sem erros e sem perdas</t>
  </si>
  <si>
    <t xml:space="preserve">IngressoData Brasil — Indicadores (somente linhas com Status OK)</t>
  </si>
  <si>
    <t xml:space="preserve">Faturamento</t>
  </si>
  <si>
    <t xml:space="preserve">Ingressos</t>
  </si>
  <si>
    <t xml:space="preserve">Ticket Médio</t>
  </si>
  <si>
    <t xml:space="preserve">Faturamento Turista</t>
  </si>
  <si>
    <t xml:space="preserve">% Faturamento Turista</t>
  </si>
  <si>
    <t xml:space="preserve">Participação no Faturamento</t>
  </si>
  <si>
    <t xml:space="preserve">Total</t>
  </si>
  <si>
    <t xml:space="preserve">Faturamento por praça e origem do público</t>
  </si>
  <si>
    <t xml:space="preserve">Praça</t>
  </si>
  <si>
    <t xml:space="preserve">Local</t>
  </si>
  <si>
    <t xml:space="preserve">Turista Nacional</t>
  </si>
  <si>
    <t xml:space="preserve">Turista Internacional</t>
  </si>
  <si>
    <t xml:space="preserve">% Turista</t>
  </si>
  <si>
    <t xml:space="preserve">Indicadores gerais</t>
  </si>
  <si>
    <t xml:space="preserve">Indicador</t>
  </si>
  <si>
    <t xml:space="preserve">Faturamento total</t>
  </si>
  <si>
    <t xml:space="preserve">Ingressos vendidos</t>
  </si>
  <si>
    <t xml:space="preserve">Pedidos válidos</t>
  </si>
  <si>
    <t xml:space="preserve">Ticket médio por ingresso</t>
  </si>
  <si>
    <t xml:space="preserve">Ticket médio por pedido</t>
  </si>
  <si>
    <t xml:space="preserve">% do faturamento vindo de turistas</t>
  </si>
  <si>
    <t xml:space="preserve">Original</t>
  </si>
  <si>
    <t xml:space="preserve">Padrao</t>
  </si>
  <si>
    <t xml:space="preserve">cine</t>
  </si>
  <si>
    <t xml:space="preserve">fest.</t>
  </si>
  <si>
    <t xml:space="preserve">festivais</t>
  </si>
  <si>
    <t xml:space="preserve">sessão cinema</t>
  </si>
  <si>
    <t xml:space="preserve">shows</t>
  </si>
  <si>
    <t xml:space="preserve">bh</t>
  </si>
  <si>
    <t xml:space="preserve">brasilia</t>
  </si>
  <si>
    <t xml:space="preserve">florianopolis</t>
  </si>
  <si>
    <t xml:space="preserve">florianópolis</t>
  </si>
  <si>
    <t xml:space="preserve">goiania</t>
  </si>
  <si>
    <t xml:space="preserve">niteroi</t>
  </si>
  <si>
    <t xml:space="preserve">rio</t>
  </si>
  <si>
    <t xml:space="preserve">santiago</t>
  </si>
  <si>
    <t xml:space="preserve">sao paulo</t>
  </si>
  <si>
    <t xml:space="preserve">sp - são paulo</t>
  </si>
  <si>
    <t xml:space="preserve">vitoria</t>
  </si>
  <si>
    <t xml:space="preserve">argentina</t>
  </si>
  <si>
    <t xml:space="preserve">br</t>
  </si>
  <si>
    <t xml:space="preserve">estados unidos</t>
  </si>
  <si>
    <t xml:space="preserve">eua</t>
  </si>
  <si>
    <t xml:space="preserve">portugal</t>
  </si>
  <si>
    <t xml:space="preserve">usa</t>
  </si>
  <si>
    <t xml:space="preserve">Ao_Ar_Livre</t>
  </si>
  <si>
    <t xml:space="preserve">Autódromo de Interlagos</t>
  </si>
  <si>
    <t xml:space="preserve">Sim</t>
  </si>
  <si>
    <t xml:space="preserve">Parque Olímpico</t>
  </si>
  <si>
    <t xml:space="preserve">Esplanada do Mineirão</t>
  </si>
  <si>
    <t xml:space="preserve">Estádio Allianz Parque</t>
  </si>
  <si>
    <t xml:space="preserve">Arena Jeunesse</t>
  </si>
  <si>
    <t xml:space="preserve">Não</t>
  </si>
  <si>
    <t xml:space="preserve">Estádio Nilton Santos</t>
  </si>
  <si>
    <t xml:space="preserve">Mineirão</t>
  </si>
  <si>
    <t xml:space="preserve">Cine Shopping Paulista</t>
  </si>
  <si>
    <t xml:space="preserve">Cine Barra Shopping</t>
  </si>
  <si>
    <t xml:space="preserve">Cine Savassi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</si>
</sst>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&quot;R$ &quot;#,##0.00"/>
    <numFmt numFmtId="167" formatCode="mmm/yyyy"/>
    <numFmt numFmtId="168" formatCode="#,##0"/>
    <numFmt numFmtId="169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A5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  <font>
      <b val="true"/>
      <sz val="11"/>
      <color rgb="FFA51C1C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1F3A5F"/>
      <rgbColor rgb="FF339966"/>
      <rgbColor rgb="FF003300"/>
      <rgbColor rgb="FF333300"/>
      <rgbColor rgb="FFA5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Faturamento por praça e origem do público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Resumo_KPIs!B11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Resumo_KPIs!$A$12:$A$14</c:f>
              <c:strCache>
                <c:ptCount val="3"/>
                <c:pt idx="0">
                  <c:v>São Paulo</c:v>
                </c:pt>
                <c:pt idx="1">
                  <c:v>Rio de Janeiro</c:v>
                </c:pt>
                <c:pt idx="2">
                  <c:v>Belo Horizonte</c:v>
                </c:pt>
              </c:strCache>
            </c:strRef>
          </c:cat>
          <c:val>
            <c:numRef>
              <c:f>Resumo_KPIs!$B$12:$B$14</c:f>
              <c:numCache>
                <c:formatCode>"R$ "#,##0.00</c:formatCode>
                <c:ptCount val="3"/>
                <c:pt idx="0">
                  <c:v>493375</c:v>
                </c:pt>
                <c:pt idx="1">
                  <c:v>374945</c:v>
                </c:pt>
                <c:pt idx="2">
                  <c:v>298422.5</c:v>
                </c:pt>
              </c:numCache>
            </c:numRef>
          </c:val>
        </c:ser>
        <c:ser>
          <c:idx val="1"/>
          <c:order val="1"/>
          <c:tx>
            <c:strRef>
              <c:f>Resumo_KPIs!C11</c:f>
              <c:strCache>
                <c:ptCount val="1"/>
                <c:pt idx="0">
                  <c:v>Turista Nacional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Resumo_KPIs!$A$12:$A$14</c:f>
              <c:strCache>
                <c:ptCount val="3"/>
                <c:pt idx="0">
                  <c:v>São Paulo</c:v>
                </c:pt>
                <c:pt idx="1">
                  <c:v>Rio de Janeiro</c:v>
                </c:pt>
                <c:pt idx="2">
                  <c:v>Belo Horizonte</c:v>
                </c:pt>
              </c:strCache>
            </c:strRef>
          </c:cat>
          <c:val>
            <c:numRef>
              <c:f>Resumo_KPIs!$C$12:$C$14</c:f>
              <c:numCache>
                <c:formatCode>"R$ "#,##0.00</c:formatCode>
                <c:ptCount val="3"/>
                <c:pt idx="0">
                  <c:v>290455</c:v>
                </c:pt>
                <c:pt idx="1">
                  <c:v>240265</c:v>
                </c:pt>
                <c:pt idx="2">
                  <c:v>185712.5</c:v>
                </c:pt>
              </c:numCache>
            </c:numRef>
          </c:val>
        </c:ser>
        <c:ser>
          <c:idx val="2"/>
          <c:order val="2"/>
          <c:tx>
            <c:strRef>
              <c:f>Resumo_KPIs!D11</c:f>
              <c:strCache>
                <c:ptCount val="1"/>
                <c:pt idx="0">
                  <c:v>Turista Internacional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Resumo_KPIs!$A$12:$A$14</c:f>
              <c:strCache>
                <c:ptCount val="3"/>
                <c:pt idx="0">
                  <c:v>São Paulo</c:v>
                </c:pt>
                <c:pt idx="1">
                  <c:v>Rio de Janeiro</c:v>
                </c:pt>
                <c:pt idx="2">
                  <c:v>Belo Horizonte</c:v>
                </c:pt>
              </c:strCache>
            </c:strRef>
          </c:cat>
          <c:val>
            <c:numRef>
              <c:f>Resumo_KPIs!$D$12:$D$14</c:f>
              <c:numCache>
                <c:formatCode>"R$ "#,##0.00</c:formatCode>
                <c:ptCount val="3"/>
                <c:pt idx="0">
                  <c:v>74825</c:v>
                </c:pt>
                <c:pt idx="1">
                  <c:v>48107.5</c:v>
                </c:pt>
                <c:pt idx="2">
                  <c:v>31505</c:v>
                </c:pt>
              </c:numCache>
            </c:numRef>
          </c:val>
        </c:ser>
        <c:gapWidth val="150"/>
        <c:overlap val="100"/>
        <c:axId val="97022108"/>
        <c:axId val="60379149"/>
      </c:barChart>
      <c:catAx>
        <c:axId val="970221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79149"/>
        <c:crosses val="autoZero"/>
        <c:auto val="1"/>
        <c:lblAlgn val="ctr"/>
        <c:lblOffset val="100"/>
        <c:noMultiLvlLbl val="0"/>
      </c:catAx>
      <c:valAx>
        <c:axId val="603791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221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Participação no faturamento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Resumo_KPIs!B3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Resumo_KPIs!$A$4:$A$6</c:f>
              <c:strCache>
                <c:ptCount val="3"/>
                <c:pt idx="0">
                  <c:v>Festival</c:v>
                </c:pt>
                <c:pt idx="1">
                  <c:v>Show</c:v>
                </c:pt>
                <c:pt idx="2">
                  <c:v>Cinema</c:v>
                </c:pt>
              </c:strCache>
            </c:strRef>
          </c:cat>
          <c:val>
            <c:numRef>
              <c:f>Resumo_KPIs!$B$4:$B$6</c:f>
              <c:numCache>
                <c:formatCode>"R$ "#,##0.00</c:formatCode>
                <c:ptCount val="3"/>
                <c:pt idx="0">
                  <c:v>1460022.5</c:v>
                </c:pt>
                <c:pt idx="1">
                  <c:v>548412.5</c:v>
                </c:pt>
                <c:pt idx="2">
                  <c:v>29177.5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160560</xdr:rowOff>
    </xdr:from>
    <xdr:to>
      <xdr:col>17</xdr:col>
      <xdr:colOff>256320</xdr:colOff>
      <xdr:row>16</xdr:row>
      <xdr:rowOff>32040</xdr:rowOff>
    </xdr:to>
    <xdr:graphicFrame>
      <xdr:nvGraphicFramePr>
        <xdr:cNvPr id="0" name="Chart 1"/>
        <xdr:cNvGraphicFramePr/>
      </xdr:nvGraphicFramePr>
      <xdr:xfrm>
        <a:off x="1174824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19</xdr:row>
      <xdr:rowOff>10080</xdr:rowOff>
    </xdr:from>
    <xdr:to>
      <xdr:col>15</xdr:col>
      <xdr:colOff>39240</xdr:colOff>
      <xdr:row>34</xdr:row>
      <xdr:rowOff>32040</xdr:rowOff>
    </xdr:to>
    <xdr:graphicFrame>
      <xdr:nvGraphicFramePr>
        <xdr:cNvPr id="1" name="Chart 2"/>
        <xdr:cNvGraphicFramePr/>
      </xdr:nvGraphicFramePr>
      <xdr:xfrm>
        <a:off x="11748240" y="3809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VendasTratadas" displayName="tbVendasTratadas" ref="A1:T2092" headerRowCount="1" totalsRowCount="0" totalsRowShown="0">
  <autoFilter ref="A1:T2092"/>
  <tableColumns count="20">
    <tableColumn id="1" name="ID_Venda"/>
    <tableColumn id="2" name="Data_Venda"/>
    <tableColumn id="3" name="Data_Evento"/>
    <tableColumn id="4" name="Evento"/>
    <tableColumn id="5" name="Categoria"/>
    <tableColumn id="6" name="Cidade_Evento"/>
    <tableColumn id="7" name="Tipo_Ingresso"/>
    <tableColumn id="8" name="Qtd"/>
    <tableColumn id="9" name="Valor_Unitario"/>
    <tableColumn id="10" name="Valor_Total"/>
    <tableColumn id="11" name="Canal"/>
    <tableColumn id="12" name="Comprador_ID"/>
    <tableColumn id="13" name="Cidade_Comprador"/>
    <tableColumn id="14" name="UF_Comprador"/>
    <tableColumn id="15" name="Pais_Comprador"/>
    <tableColumn id="16" name="Origem_Publico"/>
    <tableColumn id="17" name="Mes_Venda"/>
    <tableColumn id="18" name="Duplicado"/>
    <tableColumn id="19" name="Status"/>
    <tableColumn id="20" name="Arquivo_Orige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6.15" hidden="false" customHeight="false" outlineLevel="0" collapsed="false">
      <c r="A4" s="1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6.15" hidden="false" customHeight="false" outlineLevel="0" collapsed="false">
      <c r="A11" s="1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6.15" hidden="false" customHeight="false" outlineLevel="0" collapsed="false">
      <c r="A18" s="1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6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6"/>
  </cols>
  <sheetData>
    <row r="1" customFormat="false" ht="39.55" hidden="false" customHeight="false" outlineLevel="0" collapsed="false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</row>
    <row r="2" customFormat="false" ht="15" hidden="false" customHeight="false" outlineLevel="0" collapsed="false">
      <c r="A2" s="4" t="s">
        <v>33</v>
      </c>
      <c r="B2" s="4" t="s">
        <v>34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n">
        <v>2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 t="s">
        <v>44</v>
      </c>
      <c r="O2" s="4" t="s">
        <v>45</v>
      </c>
      <c r="P2" s="4" t="s">
        <v>46</v>
      </c>
    </row>
    <row r="3" customFormat="false" ht="15" hidden="false" customHeight="false" outlineLevel="0" collapsed="false">
      <c r="A3" s="4" t="s">
        <v>47</v>
      </c>
      <c r="B3" s="4" t="s">
        <v>48</v>
      </c>
      <c r="C3" s="4" t="s">
        <v>48</v>
      </c>
      <c r="D3" s="4" t="s">
        <v>35</v>
      </c>
      <c r="E3" s="4" t="s">
        <v>49</v>
      </c>
      <c r="F3" s="4" t="s">
        <v>42</v>
      </c>
      <c r="G3" s="4" t="s">
        <v>38</v>
      </c>
      <c r="H3" s="4" t="n">
        <v>1</v>
      </c>
      <c r="I3" s="4" t="s">
        <v>50</v>
      </c>
      <c r="J3" s="4" t="s">
        <v>40</v>
      </c>
      <c r="K3" s="4" t="s">
        <v>51</v>
      </c>
      <c r="L3" s="4" t="s">
        <v>37</v>
      </c>
      <c r="M3" s="4" t="s">
        <v>43</v>
      </c>
      <c r="N3" s="4" t="s">
        <v>52</v>
      </c>
      <c r="O3" s="4" t="s">
        <v>53</v>
      </c>
      <c r="P3" s="4" t="s">
        <v>46</v>
      </c>
    </row>
    <row r="4" customFormat="false" ht="15" hidden="false" customHeight="false" outlineLevel="0" collapsed="false">
      <c r="A4" s="4" t="s">
        <v>54</v>
      </c>
      <c r="B4" s="4" t="s">
        <v>55</v>
      </c>
      <c r="C4" s="4" t="s">
        <v>56</v>
      </c>
      <c r="D4" s="4" t="s">
        <v>35</v>
      </c>
      <c r="E4" s="4" t="s">
        <v>57</v>
      </c>
      <c r="F4" s="4" t="s">
        <v>58</v>
      </c>
      <c r="G4" s="4" t="s">
        <v>59</v>
      </c>
      <c r="H4" s="4" t="n">
        <v>2</v>
      </c>
      <c r="I4" s="4" t="s">
        <v>60</v>
      </c>
      <c r="J4" s="4" t="s">
        <v>40</v>
      </c>
      <c r="K4" s="4" t="s">
        <v>61</v>
      </c>
      <c r="L4" s="4" t="s">
        <v>42</v>
      </c>
      <c r="M4" s="4" t="s">
        <v>43</v>
      </c>
      <c r="N4" s="4" t="s">
        <v>44</v>
      </c>
      <c r="O4" s="4" t="s">
        <v>62</v>
      </c>
      <c r="P4" s="4" t="s">
        <v>46</v>
      </c>
    </row>
    <row r="5" customFormat="false" ht="15" hidden="false" customHeight="false" outlineLevel="0" collapsed="false">
      <c r="A5" s="4" t="s">
        <v>63</v>
      </c>
      <c r="B5" s="4" t="s">
        <v>64</v>
      </c>
      <c r="C5" s="4" t="s">
        <v>65</v>
      </c>
      <c r="D5" s="4" t="s">
        <v>35</v>
      </c>
      <c r="E5" s="4" t="s">
        <v>66</v>
      </c>
      <c r="F5" s="4" t="s">
        <v>42</v>
      </c>
      <c r="G5" s="4" t="s">
        <v>38</v>
      </c>
      <c r="H5" s="4" t="n">
        <v>2</v>
      </c>
      <c r="I5" s="4" t="s">
        <v>67</v>
      </c>
      <c r="J5" s="4" t="s">
        <v>68</v>
      </c>
      <c r="K5" s="4" t="s">
        <v>69</v>
      </c>
      <c r="L5" s="4" t="s">
        <v>70</v>
      </c>
      <c r="M5" s="4" t="s">
        <v>43</v>
      </c>
      <c r="N5" s="4" t="s">
        <v>44</v>
      </c>
      <c r="O5" s="4" t="s">
        <v>71</v>
      </c>
      <c r="P5" s="4" t="s">
        <v>46</v>
      </c>
    </row>
    <row r="6" customFormat="false" ht="15" hidden="false" customHeight="false" outlineLevel="0" collapsed="false">
      <c r="A6" s="4" t="s">
        <v>72</v>
      </c>
      <c r="B6" s="4" t="s">
        <v>73</v>
      </c>
      <c r="C6" s="4" t="s">
        <v>74</v>
      </c>
      <c r="D6" s="4" t="s">
        <v>35</v>
      </c>
      <c r="E6" s="4" t="s">
        <v>36</v>
      </c>
      <c r="F6" s="4" t="s">
        <v>42</v>
      </c>
      <c r="G6" s="4" t="s">
        <v>59</v>
      </c>
      <c r="H6" s="4" t="n">
        <v>1</v>
      </c>
      <c r="I6" s="4" t="s">
        <v>75</v>
      </c>
      <c r="J6" s="4" t="s">
        <v>40</v>
      </c>
      <c r="K6" s="4" t="s">
        <v>76</v>
      </c>
      <c r="L6" s="4" t="s">
        <v>42</v>
      </c>
      <c r="M6" s="4" t="s">
        <v>43</v>
      </c>
      <c r="N6" s="4" t="s">
        <v>44</v>
      </c>
      <c r="O6" s="4" t="s">
        <v>77</v>
      </c>
      <c r="P6" s="4" t="s">
        <v>46</v>
      </c>
    </row>
    <row r="7" customFormat="false" ht="15" hidden="false" customHeight="false" outlineLevel="0" collapsed="false">
      <c r="A7" s="4" t="s">
        <v>78</v>
      </c>
      <c r="B7" s="4" t="s">
        <v>79</v>
      </c>
      <c r="C7" s="4" t="s">
        <v>80</v>
      </c>
      <c r="D7" s="4" t="s">
        <v>35</v>
      </c>
      <c r="E7" s="4" t="s">
        <v>36</v>
      </c>
      <c r="F7" s="4" t="s">
        <v>42</v>
      </c>
      <c r="G7" s="4" t="s">
        <v>59</v>
      </c>
      <c r="H7" s="4" t="n">
        <v>1</v>
      </c>
      <c r="I7" s="4" t="s">
        <v>75</v>
      </c>
      <c r="J7" s="4" t="s">
        <v>81</v>
      </c>
      <c r="K7" s="4" t="s">
        <v>82</v>
      </c>
      <c r="L7" s="4" t="s">
        <v>42</v>
      </c>
      <c r="M7" s="4" t="s">
        <v>43</v>
      </c>
      <c r="N7" s="4" t="s">
        <v>44</v>
      </c>
      <c r="O7" s="4" t="s">
        <v>83</v>
      </c>
      <c r="P7" s="4" t="s">
        <v>46</v>
      </c>
    </row>
    <row r="8" customFormat="false" ht="15" hidden="false" customHeight="false" outlineLevel="0" collapsed="false">
      <c r="A8" s="4" t="s">
        <v>84</v>
      </c>
      <c r="B8" s="4" t="s">
        <v>79</v>
      </c>
      <c r="C8" s="4" t="s">
        <v>80</v>
      </c>
      <c r="D8" s="4" t="s">
        <v>35</v>
      </c>
      <c r="E8" s="4" t="s">
        <v>57</v>
      </c>
      <c r="F8" s="4" t="s">
        <v>42</v>
      </c>
      <c r="G8" s="4" t="s">
        <v>59</v>
      </c>
      <c r="H8" s="4" t="n">
        <v>4</v>
      </c>
      <c r="I8" s="4" t="s">
        <v>60</v>
      </c>
      <c r="J8" s="4" t="s">
        <v>40</v>
      </c>
      <c r="K8" s="4" t="s">
        <v>85</v>
      </c>
      <c r="L8" s="4" t="s">
        <v>37</v>
      </c>
      <c r="M8" s="4" t="s">
        <v>43</v>
      </c>
      <c r="N8" s="4" t="s">
        <v>44</v>
      </c>
      <c r="O8" s="4" t="s">
        <v>86</v>
      </c>
      <c r="P8" s="4" t="s">
        <v>46</v>
      </c>
    </row>
    <row r="9" customFormat="false" ht="15" hidden="false" customHeight="false" outlineLevel="0" collapsed="false">
      <c r="A9" s="4" t="s">
        <v>87</v>
      </c>
      <c r="B9" s="4" t="s">
        <v>88</v>
      </c>
      <c r="C9" s="4" t="s">
        <v>80</v>
      </c>
      <c r="D9" s="4" t="s">
        <v>35</v>
      </c>
      <c r="E9" s="4" t="s">
        <v>89</v>
      </c>
      <c r="F9" s="4" t="s">
        <v>42</v>
      </c>
      <c r="G9" s="4" t="s">
        <v>59</v>
      </c>
      <c r="H9" s="4" t="n">
        <v>2</v>
      </c>
      <c r="I9" s="4" t="s">
        <v>75</v>
      </c>
      <c r="J9" s="4" t="s">
        <v>68</v>
      </c>
      <c r="K9" s="4" t="s">
        <v>90</v>
      </c>
      <c r="L9" s="4" t="s">
        <v>42</v>
      </c>
      <c r="M9" s="4" t="s">
        <v>43</v>
      </c>
      <c r="N9" s="4" t="s">
        <v>44</v>
      </c>
      <c r="O9" s="4" t="s">
        <v>91</v>
      </c>
      <c r="P9" s="4" t="s">
        <v>46</v>
      </c>
    </row>
    <row r="10" customFormat="false" ht="15" hidden="false" customHeight="false" outlineLevel="0" collapsed="false">
      <c r="A10" s="4" t="s">
        <v>92</v>
      </c>
      <c r="B10" s="4" t="s">
        <v>88</v>
      </c>
      <c r="C10" s="4" t="s">
        <v>80</v>
      </c>
      <c r="D10" s="4" t="s">
        <v>35</v>
      </c>
      <c r="E10" s="4" t="s">
        <v>36</v>
      </c>
      <c r="F10" s="4" t="s">
        <v>70</v>
      </c>
      <c r="G10" s="4" t="s">
        <v>38</v>
      </c>
      <c r="H10" s="4" t="n">
        <v>1</v>
      </c>
      <c r="I10" s="4" t="s">
        <v>39</v>
      </c>
      <c r="J10" s="4" t="s">
        <v>68</v>
      </c>
      <c r="K10" s="4" t="s">
        <v>93</v>
      </c>
      <c r="L10" s="4" t="s">
        <v>42</v>
      </c>
      <c r="M10" s="4" t="s">
        <v>43</v>
      </c>
      <c r="N10" s="4" t="s">
        <v>94</v>
      </c>
      <c r="O10" s="4" t="s">
        <v>95</v>
      </c>
      <c r="P10" s="4" t="s">
        <v>46</v>
      </c>
    </row>
    <row r="11" customFormat="false" ht="15" hidden="false" customHeight="false" outlineLevel="0" collapsed="false">
      <c r="A11" s="4" t="s">
        <v>96</v>
      </c>
      <c r="B11" s="4" t="s">
        <v>80</v>
      </c>
      <c r="C11" s="4" t="s">
        <v>97</v>
      </c>
      <c r="D11" s="4" t="s">
        <v>35</v>
      </c>
      <c r="E11" s="4" t="s">
        <v>89</v>
      </c>
      <c r="F11" s="4" t="s">
        <v>37</v>
      </c>
      <c r="G11" s="4" t="s">
        <v>38</v>
      </c>
      <c r="H11" s="4" t="n">
        <v>1</v>
      </c>
      <c r="I11" s="4" t="s">
        <v>67</v>
      </c>
      <c r="J11" s="4" t="s">
        <v>40</v>
      </c>
      <c r="K11" s="4" t="s">
        <v>98</v>
      </c>
      <c r="L11" s="4" t="s">
        <v>42</v>
      </c>
      <c r="M11" s="4" t="s">
        <v>43</v>
      </c>
      <c r="N11" s="4" t="s">
        <v>44</v>
      </c>
      <c r="O11" s="4" t="s">
        <v>99</v>
      </c>
      <c r="P11" s="4" t="s">
        <v>46</v>
      </c>
    </row>
    <row r="12" customFormat="false" ht="15" hidden="false" customHeight="false" outlineLevel="0" collapsed="false">
      <c r="A12" s="4" t="s">
        <v>100</v>
      </c>
      <c r="B12" s="4" t="s">
        <v>101</v>
      </c>
      <c r="C12" s="4" t="s">
        <v>102</v>
      </c>
      <c r="D12" s="4" t="s">
        <v>35</v>
      </c>
      <c r="E12" s="4" t="s">
        <v>36</v>
      </c>
      <c r="F12" s="4" t="s">
        <v>37</v>
      </c>
      <c r="G12" s="4" t="s">
        <v>38</v>
      </c>
      <c r="H12" s="4" t="n">
        <v>1</v>
      </c>
      <c r="I12" s="4" t="s">
        <v>50</v>
      </c>
      <c r="J12" s="4" t="s">
        <v>40</v>
      </c>
      <c r="K12" s="4" t="s">
        <v>103</v>
      </c>
      <c r="L12" s="4" t="s">
        <v>70</v>
      </c>
      <c r="M12" s="4" t="s">
        <v>43</v>
      </c>
      <c r="N12" s="4" t="s">
        <v>44</v>
      </c>
      <c r="O12" s="4" t="s">
        <v>104</v>
      </c>
      <c r="P12" s="4" t="s">
        <v>46</v>
      </c>
    </row>
    <row r="13" customFormat="false" ht="15" hidden="false" customHeight="false" outlineLevel="0" collapsed="false">
      <c r="A13" s="4" t="s">
        <v>105</v>
      </c>
      <c r="B13" s="4" t="s">
        <v>97</v>
      </c>
      <c r="C13" s="4" t="s">
        <v>106</v>
      </c>
      <c r="D13" s="4" t="s">
        <v>35</v>
      </c>
      <c r="E13" s="4" t="s">
        <v>36</v>
      </c>
      <c r="F13" s="4" t="s">
        <v>58</v>
      </c>
      <c r="G13" s="4" t="s">
        <v>38</v>
      </c>
      <c r="H13" s="4" t="n">
        <v>1</v>
      </c>
      <c r="I13" s="4" t="s">
        <v>50</v>
      </c>
      <c r="J13" s="4" t="s">
        <v>40</v>
      </c>
      <c r="K13" s="4" t="s">
        <v>107</v>
      </c>
      <c r="L13" s="4" t="s">
        <v>42</v>
      </c>
      <c r="M13" s="4" t="s">
        <v>43</v>
      </c>
      <c r="N13" s="4" t="s">
        <v>44</v>
      </c>
      <c r="O13" s="4" t="s">
        <v>108</v>
      </c>
      <c r="P13" s="4" t="s">
        <v>46</v>
      </c>
    </row>
    <row r="14" customFormat="false" ht="15" hidden="false" customHeight="false" outlineLevel="0" collapsed="false">
      <c r="A14" s="4" t="s">
        <v>109</v>
      </c>
      <c r="B14" s="4" t="s">
        <v>110</v>
      </c>
      <c r="C14" s="4" t="s">
        <v>111</v>
      </c>
      <c r="D14" s="4" t="s">
        <v>35</v>
      </c>
      <c r="E14" s="4" t="s">
        <v>89</v>
      </c>
      <c r="F14" s="4" t="s">
        <v>42</v>
      </c>
      <c r="G14" s="4" t="s">
        <v>38</v>
      </c>
      <c r="H14" s="4" t="n">
        <v>2</v>
      </c>
      <c r="I14" s="4" t="s">
        <v>39</v>
      </c>
      <c r="J14" s="4" t="s">
        <v>68</v>
      </c>
      <c r="K14" s="4" t="s">
        <v>112</v>
      </c>
      <c r="L14" s="4" t="s">
        <v>42</v>
      </c>
      <c r="M14" s="4" t="s">
        <v>43</v>
      </c>
      <c r="N14" s="4" t="s">
        <v>44</v>
      </c>
      <c r="O14" s="4" t="s">
        <v>113</v>
      </c>
      <c r="P14" s="4" t="s">
        <v>46</v>
      </c>
    </row>
    <row r="15" customFormat="false" ht="15" hidden="false" customHeight="false" outlineLevel="0" collapsed="false">
      <c r="A15" s="4" t="s">
        <v>114</v>
      </c>
      <c r="B15" s="4" t="s">
        <v>110</v>
      </c>
      <c r="C15" s="4" t="s">
        <v>110</v>
      </c>
      <c r="D15" s="4" t="s">
        <v>35</v>
      </c>
      <c r="E15" s="4" t="s">
        <v>66</v>
      </c>
      <c r="F15" s="4" t="s">
        <v>58</v>
      </c>
      <c r="G15" s="4" t="s">
        <v>38</v>
      </c>
      <c r="H15" s="4" t="n">
        <v>1</v>
      </c>
      <c r="I15" s="4" t="s">
        <v>50</v>
      </c>
      <c r="J15" s="4" t="s">
        <v>40</v>
      </c>
      <c r="K15" s="4" t="s">
        <v>115</v>
      </c>
      <c r="L15" s="4" t="s">
        <v>42</v>
      </c>
      <c r="M15" s="4" t="s">
        <v>43</v>
      </c>
      <c r="N15" s="4" t="s">
        <v>44</v>
      </c>
      <c r="O15" s="4" t="s">
        <v>116</v>
      </c>
      <c r="P15" s="4" t="s">
        <v>46</v>
      </c>
    </row>
    <row r="16" customFormat="false" ht="15" hidden="false" customHeight="false" outlineLevel="0" collapsed="false">
      <c r="A16" s="4" t="s">
        <v>117</v>
      </c>
      <c r="B16" s="4" t="s">
        <v>118</v>
      </c>
      <c r="C16" s="4" t="s">
        <v>118</v>
      </c>
      <c r="D16" s="4" t="s">
        <v>35</v>
      </c>
      <c r="E16" s="4" t="s">
        <v>36</v>
      </c>
      <c r="F16" s="4" t="s">
        <v>70</v>
      </c>
      <c r="G16" s="4" t="s">
        <v>38</v>
      </c>
      <c r="H16" s="4" t="n">
        <v>2</v>
      </c>
      <c r="I16" s="4" t="s">
        <v>50</v>
      </c>
      <c r="J16" s="4" t="s">
        <v>40</v>
      </c>
      <c r="K16" s="4" t="s">
        <v>119</v>
      </c>
      <c r="L16" s="4" t="s">
        <v>42</v>
      </c>
      <c r="M16" s="4" t="s">
        <v>43</v>
      </c>
      <c r="N16" s="4" t="s">
        <v>44</v>
      </c>
      <c r="O16" s="4" t="s">
        <v>120</v>
      </c>
      <c r="P16" s="4" t="s">
        <v>46</v>
      </c>
    </row>
    <row r="17" customFormat="false" ht="15" hidden="false" customHeight="false" outlineLevel="0" collapsed="false">
      <c r="A17" s="4" t="s">
        <v>121</v>
      </c>
      <c r="B17" s="4" t="s">
        <v>122</v>
      </c>
      <c r="C17" s="4" t="s">
        <v>123</v>
      </c>
      <c r="D17" s="4" t="s">
        <v>35</v>
      </c>
      <c r="E17" s="4" t="s">
        <v>36</v>
      </c>
      <c r="F17" s="4" t="s">
        <v>42</v>
      </c>
      <c r="G17" s="4" t="s">
        <v>59</v>
      </c>
      <c r="H17" s="4" t="n">
        <v>2</v>
      </c>
      <c r="I17" s="4" t="s">
        <v>124</v>
      </c>
      <c r="J17" s="4" t="s">
        <v>40</v>
      </c>
      <c r="K17" s="4" t="s">
        <v>125</v>
      </c>
      <c r="L17" s="4" t="s">
        <v>42</v>
      </c>
      <c r="M17" s="4" t="s">
        <v>43</v>
      </c>
      <c r="N17" s="4" t="s">
        <v>44</v>
      </c>
      <c r="O17" s="4" t="s">
        <v>126</v>
      </c>
      <c r="P17" s="4" t="s">
        <v>46</v>
      </c>
    </row>
    <row r="18" customFormat="false" ht="15" hidden="false" customHeight="false" outlineLevel="0" collapsed="false">
      <c r="A18" s="4" t="s">
        <v>127</v>
      </c>
      <c r="B18" s="4" t="s">
        <v>122</v>
      </c>
      <c r="C18" s="4" t="s">
        <v>123</v>
      </c>
      <c r="D18" s="4" t="s">
        <v>35</v>
      </c>
      <c r="E18" s="4" t="s">
        <v>49</v>
      </c>
      <c r="F18" s="4" t="s">
        <v>128</v>
      </c>
      <c r="G18" s="4" t="s">
        <v>38</v>
      </c>
      <c r="H18" s="4" t="n">
        <v>2</v>
      </c>
      <c r="I18" s="4" t="s">
        <v>67</v>
      </c>
      <c r="J18" s="4" t="s">
        <v>81</v>
      </c>
      <c r="K18" s="4" t="s">
        <v>129</v>
      </c>
      <c r="L18" s="4" t="s">
        <v>42</v>
      </c>
      <c r="M18" s="4" t="s">
        <v>43</v>
      </c>
      <c r="N18" s="4" t="s">
        <v>52</v>
      </c>
      <c r="O18" s="4" t="s">
        <v>130</v>
      </c>
      <c r="P18" s="4" t="s">
        <v>46</v>
      </c>
    </row>
    <row r="19" customFormat="false" ht="15" hidden="false" customHeight="false" outlineLevel="0" collapsed="false">
      <c r="A19" s="4" t="s">
        <v>131</v>
      </c>
      <c r="B19" s="4" t="s">
        <v>122</v>
      </c>
      <c r="C19" s="4" t="s">
        <v>123</v>
      </c>
      <c r="D19" s="4" t="s">
        <v>35</v>
      </c>
      <c r="E19" s="4" t="s">
        <v>66</v>
      </c>
      <c r="F19" s="4" t="s">
        <v>42</v>
      </c>
      <c r="G19" s="4" t="s">
        <v>38</v>
      </c>
      <c r="H19" s="4" t="n">
        <v>3</v>
      </c>
      <c r="I19" s="4" t="s">
        <v>67</v>
      </c>
      <c r="J19" s="4" t="s">
        <v>40</v>
      </c>
      <c r="K19" s="4" t="s">
        <v>132</v>
      </c>
      <c r="L19" s="4" t="s">
        <v>70</v>
      </c>
      <c r="M19" s="4" t="s">
        <v>133</v>
      </c>
      <c r="N19" s="4" t="s">
        <v>44</v>
      </c>
      <c r="O19" s="4" t="s">
        <v>134</v>
      </c>
      <c r="P19" s="4" t="s">
        <v>46</v>
      </c>
    </row>
    <row r="20" customFormat="false" ht="15" hidden="false" customHeight="false" outlineLevel="0" collapsed="false">
      <c r="A20" s="4" t="s">
        <v>54</v>
      </c>
      <c r="B20" s="4" t="s">
        <v>55</v>
      </c>
      <c r="C20" s="4" t="s">
        <v>56</v>
      </c>
      <c r="D20" s="4" t="s">
        <v>35</v>
      </c>
      <c r="E20" s="4" t="s">
        <v>57</v>
      </c>
      <c r="F20" s="4" t="s">
        <v>58</v>
      </c>
      <c r="G20" s="4" t="s">
        <v>59</v>
      </c>
      <c r="H20" s="4" t="n">
        <v>2</v>
      </c>
      <c r="I20" s="4" t="s">
        <v>60</v>
      </c>
      <c r="J20" s="4" t="s">
        <v>40</v>
      </c>
      <c r="K20" s="4" t="s">
        <v>61</v>
      </c>
      <c r="L20" s="4" t="s">
        <v>42</v>
      </c>
      <c r="M20" s="4" t="s">
        <v>43</v>
      </c>
      <c r="N20" s="4" t="s">
        <v>44</v>
      </c>
      <c r="O20" s="4" t="s">
        <v>62</v>
      </c>
      <c r="P20" s="4" t="s">
        <v>46</v>
      </c>
    </row>
    <row r="21" customFormat="false" ht="15" hidden="false" customHeight="false" outlineLevel="0" collapsed="false">
      <c r="A21" s="4" t="s">
        <v>135</v>
      </c>
      <c r="B21" s="4" t="s">
        <v>136</v>
      </c>
      <c r="C21" s="4" t="s">
        <v>137</v>
      </c>
      <c r="D21" s="4" t="s">
        <v>35</v>
      </c>
      <c r="E21" s="4" t="s">
        <v>36</v>
      </c>
      <c r="F21" s="4" t="s">
        <v>42</v>
      </c>
      <c r="G21" s="4" t="s">
        <v>59</v>
      </c>
      <c r="H21" s="4" t="n">
        <v>1</v>
      </c>
      <c r="I21" s="4" t="s">
        <v>138</v>
      </c>
      <c r="J21" s="4" t="s">
        <v>68</v>
      </c>
      <c r="K21" s="4" t="s">
        <v>139</v>
      </c>
      <c r="L21" s="4" t="s">
        <v>42</v>
      </c>
      <c r="M21" s="4" t="s">
        <v>43</v>
      </c>
      <c r="N21" s="4" t="s">
        <v>94</v>
      </c>
      <c r="O21" s="4" t="s">
        <v>140</v>
      </c>
      <c r="P21" s="4" t="s">
        <v>46</v>
      </c>
    </row>
    <row r="22" customFormat="false" ht="15" hidden="false" customHeight="false" outlineLevel="0" collapsed="false">
      <c r="A22" s="4" t="s">
        <v>141</v>
      </c>
      <c r="B22" s="4" t="s">
        <v>142</v>
      </c>
      <c r="C22" s="4" t="s">
        <v>143</v>
      </c>
      <c r="D22" s="4" t="s">
        <v>35</v>
      </c>
      <c r="E22" s="4" t="s">
        <v>36</v>
      </c>
      <c r="F22" s="4" t="s">
        <v>70</v>
      </c>
      <c r="G22" s="4" t="s">
        <v>59</v>
      </c>
      <c r="H22" s="4" t="n">
        <v>4</v>
      </c>
      <c r="I22" s="4" t="s">
        <v>124</v>
      </c>
      <c r="J22" s="4" t="s">
        <v>68</v>
      </c>
      <c r="K22" s="4" t="s">
        <v>144</v>
      </c>
      <c r="L22" s="4" t="s">
        <v>58</v>
      </c>
      <c r="M22" s="4" t="s">
        <v>43</v>
      </c>
      <c r="N22" s="4" t="s">
        <v>94</v>
      </c>
      <c r="O22" s="4" t="s">
        <v>145</v>
      </c>
      <c r="P22" s="4" t="s">
        <v>46</v>
      </c>
    </row>
    <row r="23" customFormat="false" ht="15" hidden="false" customHeight="false" outlineLevel="0" collapsed="false">
      <c r="A23" s="4" t="s">
        <v>146</v>
      </c>
      <c r="B23" s="4" t="s">
        <v>147</v>
      </c>
      <c r="C23" s="4" t="s">
        <v>148</v>
      </c>
      <c r="D23" s="4" t="s">
        <v>35</v>
      </c>
      <c r="E23" s="4" t="s">
        <v>49</v>
      </c>
      <c r="F23" s="4" t="s">
        <v>37</v>
      </c>
      <c r="G23" s="4" t="s">
        <v>38</v>
      </c>
      <c r="H23" s="4" t="n">
        <v>1</v>
      </c>
      <c r="I23" s="4" t="s">
        <v>50</v>
      </c>
      <c r="J23" s="4" t="s">
        <v>149</v>
      </c>
      <c r="K23" s="4" t="s">
        <v>150</v>
      </c>
      <c r="L23" s="4" t="s">
        <v>42</v>
      </c>
      <c r="M23" s="4" t="s">
        <v>43</v>
      </c>
      <c r="N23" s="4" t="s">
        <v>44</v>
      </c>
      <c r="O23" s="4" t="s">
        <v>151</v>
      </c>
      <c r="P23" s="4" t="s">
        <v>46</v>
      </c>
    </row>
    <row r="24" customFormat="false" ht="15" hidden="false" customHeight="false" outlineLevel="0" collapsed="false">
      <c r="A24" s="4" t="s">
        <v>152</v>
      </c>
      <c r="B24" s="4" t="s">
        <v>147</v>
      </c>
      <c r="C24" s="4" t="s">
        <v>153</v>
      </c>
      <c r="D24" s="4" t="s">
        <v>35</v>
      </c>
      <c r="E24" s="4" t="s">
        <v>36</v>
      </c>
      <c r="F24" s="4" t="s">
        <v>42</v>
      </c>
      <c r="G24" s="4" t="s">
        <v>38</v>
      </c>
      <c r="H24" s="4" t="n">
        <v>1</v>
      </c>
      <c r="I24" s="4" t="s">
        <v>39</v>
      </c>
      <c r="J24" s="4" t="s">
        <v>40</v>
      </c>
      <c r="K24" s="4" t="s">
        <v>154</v>
      </c>
      <c r="L24" s="4" t="s">
        <v>42</v>
      </c>
      <c r="M24" s="4" t="s">
        <v>43</v>
      </c>
      <c r="N24" s="4" t="s">
        <v>44</v>
      </c>
      <c r="O24" s="4" t="s">
        <v>155</v>
      </c>
      <c r="P24" s="4" t="s">
        <v>46</v>
      </c>
    </row>
    <row r="25" customFormat="false" ht="15" hidden="false" customHeight="false" outlineLevel="0" collapsed="false">
      <c r="A25" s="4" t="s">
        <v>156</v>
      </c>
      <c r="B25" s="4" t="s">
        <v>153</v>
      </c>
      <c r="C25" s="4" t="s">
        <v>153</v>
      </c>
      <c r="D25" s="4" t="s">
        <v>35</v>
      </c>
      <c r="E25" s="4" t="s">
        <v>49</v>
      </c>
      <c r="F25" s="4" t="s">
        <v>42</v>
      </c>
      <c r="G25" s="4" t="s">
        <v>59</v>
      </c>
      <c r="H25" s="4" t="n">
        <v>2</v>
      </c>
      <c r="I25" s="4" t="s">
        <v>60</v>
      </c>
      <c r="J25" s="4" t="s">
        <v>40</v>
      </c>
      <c r="K25" s="4" t="s">
        <v>157</v>
      </c>
      <c r="L25" s="4" t="s">
        <v>42</v>
      </c>
      <c r="M25" s="4" t="s">
        <v>43</v>
      </c>
      <c r="N25" s="4" t="s">
        <v>44</v>
      </c>
      <c r="O25" s="4" t="s">
        <v>158</v>
      </c>
      <c r="P25" s="4" t="s">
        <v>46</v>
      </c>
    </row>
    <row r="26" customFormat="false" ht="15" hidden="false" customHeight="false" outlineLevel="0" collapsed="false">
      <c r="A26" s="4" t="s">
        <v>159</v>
      </c>
      <c r="B26" s="4" t="s">
        <v>160</v>
      </c>
      <c r="C26" s="4" t="s">
        <v>161</v>
      </c>
      <c r="D26" s="4" t="s">
        <v>35</v>
      </c>
      <c r="E26" s="4" t="s">
        <v>66</v>
      </c>
      <c r="F26" s="4" t="s">
        <v>42</v>
      </c>
      <c r="G26" s="4" t="s">
        <v>38</v>
      </c>
      <c r="H26" s="4" t="n">
        <v>1</v>
      </c>
      <c r="I26" s="4" t="s">
        <v>67</v>
      </c>
      <c r="J26" s="4" t="s">
        <v>40</v>
      </c>
      <c r="K26" s="4" t="s">
        <v>162</v>
      </c>
      <c r="L26" s="4" t="s">
        <v>42</v>
      </c>
      <c r="M26" s="4" t="s">
        <v>43</v>
      </c>
      <c r="N26" s="4" t="s">
        <v>44</v>
      </c>
      <c r="O26" s="4" t="s">
        <v>163</v>
      </c>
      <c r="P26" s="4" t="s">
        <v>46</v>
      </c>
    </row>
    <row r="27" customFormat="false" ht="15" hidden="false" customHeight="false" outlineLevel="0" collapsed="false">
      <c r="A27" s="4" t="s">
        <v>164</v>
      </c>
      <c r="B27" s="4" t="s">
        <v>165</v>
      </c>
      <c r="C27" s="4" t="s">
        <v>166</v>
      </c>
      <c r="D27" s="4" t="s">
        <v>35</v>
      </c>
      <c r="E27" s="4" t="s">
        <v>36</v>
      </c>
      <c r="F27" s="4" t="s">
        <v>128</v>
      </c>
      <c r="G27" s="4" t="s">
        <v>38</v>
      </c>
      <c r="H27" s="4" t="n">
        <v>2</v>
      </c>
      <c r="I27" s="4" t="s">
        <v>39</v>
      </c>
      <c r="J27" s="4" t="s">
        <v>40</v>
      </c>
      <c r="K27" s="4" t="s">
        <v>167</v>
      </c>
      <c r="L27" s="4" t="s">
        <v>168</v>
      </c>
      <c r="M27" s="4" t="s">
        <v>43</v>
      </c>
      <c r="N27" s="4" t="s">
        <v>94</v>
      </c>
      <c r="O27" s="4" t="s">
        <v>169</v>
      </c>
      <c r="P27" s="4" t="s">
        <v>46</v>
      </c>
    </row>
    <row r="28" customFormat="false" ht="15" hidden="false" customHeight="false" outlineLevel="0" collapsed="false">
      <c r="A28" s="4" t="s">
        <v>170</v>
      </c>
      <c r="B28" s="4" t="s">
        <v>171</v>
      </c>
      <c r="C28" s="4" t="s">
        <v>172</v>
      </c>
      <c r="D28" s="4" t="s">
        <v>35</v>
      </c>
      <c r="E28" s="4" t="s">
        <v>36</v>
      </c>
      <c r="F28" s="4" t="s">
        <v>42</v>
      </c>
      <c r="G28" s="4" t="s">
        <v>38</v>
      </c>
      <c r="H28" s="4" t="n">
        <v>1</v>
      </c>
      <c r="I28" s="4" t="s">
        <v>50</v>
      </c>
      <c r="J28" s="4" t="s">
        <v>40</v>
      </c>
      <c r="K28" s="4" t="s">
        <v>173</v>
      </c>
      <c r="L28" s="4" t="s">
        <v>42</v>
      </c>
      <c r="M28" s="4" t="s">
        <v>43</v>
      </c>
      <c r="N28" s="4" t="s">
        <v>94</v>
      </c>
      <c r="O28" s="4" t="s">
        <v>174</v>
      </c>
      <c r="P28" s="4" t="s">
        <v>46</v>
      </c>
    </row>
    <row r="29" customFormat="false" ht="15" hidden="false" customHeight="false" outlineLevel="0" collapsed="false">
      <c r="A29" s="4" t="s">
        <v>175</v>
      </c>
      <c r="B29" s="4" t="s">
        <v>176</v>
      </c>
      <c r="C29" s="4" t="s">
        <v>177</v>
      </c>
      <c r="D29" s="4" t="s">
        <v>35</v>
      </c>
      <c r="E29" s="4" t="s">
        <v>57</v>
      </c>
      <c r="F29" s="4" t="s">
        <v>42</v>
      </c>
      <c r="G29" s="4" t="s">
        <v>38</v>
      </c>
      <c r="H29" s="4" t="n">
        <v>2</v>
      </c>
      <c r="I29" s="4" t="s">
        <v>178</v>
      </c>
      <c r="J29" s="4" t="s">
        <v>40</v>
      </c>
      <c r="K29" s="4" t="s">
        <v>179</v>
      </c>
      <c r="L29" s="4" t="s">
        <v>168</v>
      </c>
      <c r="M29" s="4" t="s">
        <v>43</v>
      </c>
      <c r="N29" s="4" t="s">
        <v>44</v>
      </c>
      <c r="O29" s="4" t="s">
        <v>180</v>
      </c>
      <c r="P29" s="4" t="s">
        <v>46</v>
      </c>
    </row>
    <row r="30" customFormat="false" ht="15" hidden="false" customHeight="false" outlineLevel="0" collapsed="false">
      <c r="A30" s="4" t="s">
        <v>181</v>
      </c>
      <c r="B30" s="4" t="s">
        <v>182</v>
      </c>
      <c r="C30" s="4" t="s">
        <v>183</v>
      </c>
      <c r="D30" s="4" t="s">
        <v>35</v>
      </c>
      <c r="E30" s="4" t="s">
        <v>57</v>
      </c>
      <c r="F30" s="4" t="s">
        <v>42</v>
      </c>
      <c r="G30" s="4" t="s">
        <v>59</v>
      </c>
      <c r="H30" s="4" t="n">
        <v>1</v>
      </c>
      <c r="I30" s="4" t="s">
        <v>124</v>
      </c>
      <c r="J30" s="4" t="s">
        <v>40</v>
      </c>
      <c r="K30" s="4" t="s">
        <v>184</v>
      </c>
      <c r="L30" s="4" t="s">
        <v>37</v>
      </c>
      <c r="M30" s="4" t="s">
        <v>43</v>
      </c>
      <c r="N30" s="4" t="s">
        <v>185</v>
      </c>
      <c r="O30" s="4" t="s">
        <v>186</v>
      </c>
      <c r="P30" s="4" t="s">
        <v>46</v>
      </c>
    </row>
    <row r="31" customFormat="false" ht="15" hidden="false" customHeight="false" outlineLevel="0" collapsed="false">
      <c r="A31" s="4" t="s">
        <v>187</v>
      </c>
      <c r="B31" s="4" t="s">
        <v>188</v>
      </c>
      <c r="C31" s="4" t="s">
        <v>188</v>
      </c>
      <c r="D31" s="4" t="s">
        <v>35</v>
      </c>
      <c r="E31" s="4" t="s">
        <v>57</v>
      </c>
      <c r="F31" s="4" t="s">
        <v>42</v>
      </c>
      <c r="G31" s="4" t="s">
        <v>38</v>
      </c>
      <c r="H31" s="4" t="n">
        <v>2</v>
      </c>
      <c r="I31" s="4" t="s">
        <v>67</v>
      </c>
      <c r="J31" s="4" t="s">
        <v>40</v>
      </c>
      <c r="K31" s="4" t="s">
        <v>189</v>
      </c>
      <c r="L31" s="4" t="s">
        <v>42</v>
      </c>
      <c r="M31" s="4" t="s">
        <v>43</v>
      </c>
      <c r="N31" s="4" t="s">
        <v>44</v>
      </c>
      <c r="O31" s="4" t="s">
        <v>190</v>
      </c>
      <c r="P31" s="4" t="s">
        <v>46</v>
      </c>
    </row>
    <row r="32" customFormat="false" ht="15" hidden="false" customHeight="false" outlineLevel="0" collapsed="false">
      <c r="A32" s="4" t="s">
        <v>191</v>
      </c>
      <c r="B32" s="4" t="s">
        <v>192</v>
      </c>
      <c r="C32" s="4" t="s">
        <v>193</v>
      </c>
      <c r="D32" s="4" t="s">
        <v>35</v>
      </c>
      <c r="E32" s="4" t="s">
        <v>36</v>
      </c>
      <c r="F32" s="4" t="s">
        <v>37</v>
      </c>
      <c r="G32" s="4" t="s">
        <v>38</v>
      </c>
      <c r="H32" s="4" t="n">
        <v>1</v>
      </c>
      <c r="I32" s="4" t="s">
        <v>50</v>
      </c>
      <c r="J32" s="4" t="s">
        <v>68</v>
      </c>
      <c r="K32" s="4" t="s">
        <v>194</v>
      </c>
      <c r="L32" s="4" t="s">
        <v>168</v>
      </c>
      <c r="M32" s="4" t="s">
        <v>43</v>
      </c>
      <c r="N32" s="4" t="s">
        <v>44</v>
      </c>
      <c r="O32" s="4" t="s">
        <v>195</v>
      </c>
      <c r="P32" s="4" t="s">
        <v>46</v>
      </c>
    </row>
    <row r="33" customFormat="false" ht="15" hidden="false" customHeight="false" outlineLevel="0" collapsed="false">
      <c r="A33" s="4" t="s">
        <v>196</v>
      </c>
      <c r="B33" s="4" t="s">
        <v>197</v>
      </c>
      <c r="C33" s="4" t="s">
        <v>197</v>
      </c>
      <c r="D33" s="4" t="s">
        <v>35</v>
      </c>
      <c r="E33" s="4" t="s">
        <v>49</v>
      </c>
      <c r="F33" s="4" t="s">
        <v>58</v>
      </c>
      <c r="G33" s="4" t="s">
        <v>59</v>
      </c>
      <c r="H33" s="4" t="n">
        <v>1</v>
      </c>
      <c r="I33" s="4" t="s">
        <v>60</v>
      </c>
      <c r="J33" s="4" t="s">
        <v>149</v>
      </c>
      <c r="K33" s="4" t="s">
        <v>198</v>
      </c>
      <c r="L33" s="4" t="s">
        <v>42</v>
      </c>
      <c r="M33" s="4" t="s">
        <v>43</v>
      </c>
      <c r="N33" s="4" t="s">
        <v>44</v>
      </c>
      <c r="O33" s="4" t="s">
        <v>199</v>
      </c>
      <c r="P33" s="4" t="s">
        <v>46</v>
      </c>
    </row>
    <row r="34" customFormat="false" ht="15" hidden="false" customHeight="false" outlineLevel="0" collapsed="false">
      <c r="A34" s="4" t="s">
        <v>200</v>
      </c>
      <c r="B34" s="4" t="s">
        <v>193</v>
      </c>
      <c r="C34" s="4" t="s">
        <v>201</v>
      </c>
      <c r="D34" s="4" t="s">
        <v>35</v>
      </c>
      <c r="E34" s="4" t="s">
        <v>36</v>
      </c>
      <c r="F34" s="4" t="s">
        <v>37</v>
      </c>
      <c r="G34" s="4" t="s">
        <v>38</v>
      </c>
      <c r="H34" s="4" t="n">
        <v>4</v>
      </c>
      <c r="I34" s="4" t="s">
        <v>67</v>
      </c>
      <c r="J34" s="4" t="s">
        <v>40</v>
      </c>
      <c r="K34" s="4" t="s">
        <v>202</v>
      </c>
      <c r="L34" s="4" t="s">
        <v>70</v>
      </c>
      <c r="M34" s="4" t="s">
        <v>43</v>
      </c>
      <c r="N34" s="4" t="s">
        <v>44</v>
      </c>
      <c r="O34" s="4" t="s">
        <v>203</v>
      </c>
      <c r="P34" s="4" t="s">
        <v>46</v>
      </c>
    </row>
    <row r="35" customFormat="false" ht="15" hidden="false" customHeight="false" outlineLevel="0" collapsed="false">
      <c r="A35" s="4" t="s">
        <v>204</v>
      </c>
      <c r="B35" s="4" t="s">
        <v>193</v>
      </c>
      <c r="C35" s="4" t="s">
        <v>205</v>
      </c>
      <c r="D35" s="4" t="s">
        <v>35</v>
      </c>
      <c r="E35" s="4" t="s">
        <v>66</v>
      </c>
      <c r="F35" s="4" t="s">
        <v>42</v>
      </c>
      <c r="G35" s="4" t="s">
        <v>59</v>
      </c>
      <c r="H35" s="4" t="n">
        <v>1</v>
      </c>
      <c r="I35" s="4" t="s">
        <v>60</v>
      </c>
      <c r="J35" s="4" t="s">
        <v>68</v>
      </c>
      <c r="K35" s="4" t="s">
        <v>206</v>
      </c>
      <c r="L35" s="4" t="s">
        <v>42</v>
      </c>
      <c r="M35" s="4" t="s">
        <v>133</v>
      </c>
      <c r="N35" s="4" t="s">
        <v>94</v>
      </c>
      <c r="O35" s="4" t="s">
        <v>207</v>
      </c>
      <c r="P35" s="4" t="s">
        <v>46</v>
      </c>
    </row>
    <row r="36" customFormat="false" ht="15" hidden="false" customHeight="false" outlineLevel="0" collapsed="false">
      <c r="A36" s="4" t="s">
        <v>208</v>
      </c>
      <c r="B36" s="4" t="s">
        <v>209</v>
      </c>
      <c r="C36" s="4" t="s">
        <v>209</v>
      </c>
      <c r="D36" s="4" t="s">
        <v>35</v>
      </c>
      <c r="E36" s="4" t="s">
        <v>36</v>
      </c>
      <c r="F36" s="4" t="s">
        <v>70</v>
      </c>
      <c r="G36" s="4" t="s">
        <v>38</v>
      </c>
      <c r="H36" s="4" t="n">
        <v>2</v>
      </c>
      <c r="I36" s="4" t="s">
        <v>67</v>
      </c>
      <c r="J36" s="4" t="s">
        <v>40</v>
      </c>
      <c r="K36" s="4" t="s">
        <v>210</v>
      </c>
      <c r="L36" s="4" t="s">
        <v>42</v>
      </c>
      <c r="M36" s="4" t="s">
        <v>133</v>
      </c>
      <c r="N36" s="4" t="s">
        <v>44</v>
      </c>
      <c r="O36" s="4" t="s">
        <v>211</v>
      </c>
      <c r="P36" s="4" t="s">
        <v>46</v>
      </c>
    </row>
    <row r="37" customFormat="false" ht="15" hidden="false" customHeight="false" outlineLevel="0" collapsed="false">
      <c r="A37" s="4" t="s">
        <v>212</v>
      </c>
      <c r="B37" s="4" t="s">
        <v>209</v>
      </c>
      <c r="C37" s="4" t="s">
        <v>209</v>
      </c>
      <c r="D37" s="4" t="s">
        <v>35</v>
      </c>
      <c r="E37" s="4" t="s">
        <v>36</v>
      </c>
      <c r="F37" s="4" t="s">
        <v>42</v>
      </c>
      <c r="G37" s="4" t="s">
        <v>38</v>
      </c>
      <c r="H37" s="4" t="n">
        <v>1</v>
      </c>
      <c r="I37" s="4" t="s">
        <v>39</v>
      </c>
      <c r="J37" s="4" t="s">
        <v>81</v>
      </c>
      <c r="K37" s="4" t="s">
        <v>213</v>
      </c>
      <c r="L37" s="4" t="s">
        <v>42</v>
      </c>
      <c r="M37" s="4" t="s">
        <v>43</v>
      </c>
      <c r="N37" s="4" t="s">
        <v>94</v>
      </c>
      <c r="O37" s="4" t="s">
        <v>214</v>
      </c>
      <c r="P37" s="4" t="s">
        <v>46</v>
      </c>
    </row>
    <row r="38" customFormat="false" ht="15" hidden="false" customHeight="false" outlineLevel="0" collapsed="false">
      <c r="A38" s="4" t="s">
        <v>215</v>
      </c>
      <c r="B38" s="4" t="s">
        <v>216</v>
      </c>
      <c r="C38" s="4" t="s">
        <v>217</v>
      </c>
      <c r="D38" s="4" t="s">
        <v>35</v>
      </c>
      <c r="E38" s="4" t="s">
        <v>36</v>
      </c>
      <c r="F38" s="4" t="s">
        <v>42</v>
      </c>
      <c r="G38" s="4" t="s">
        <v>38</v>
      </c>
      <c r="H38" s="4" t="n">
        <v>2</v>
      </c>
      <c r="I38" s="4" t="s">
        <v>67</v>
      </c>
      <c r="J38" s="4" t="s">
        <v>68</v>
      </c>
      <c r="K38" s="4" t="s">
        <v>218</v>
      </c>
      <c r="L38" s="4" t="s">
        <v>219</v>
      </c>
      <c r="M38" s="4" t="s">
        <v>220</v>
      </c>
      <c r="N38" s="4" t="s">
        <v>221</v>
      </c>
      <c r="O38" s="4"/>
      <c r="P38" s="4" t="s">
        <v>46</v>
      </c>
    </row>
    <row r="39" customFormat="false" ht="15" hidden="false" customHeight="false" outlineLevel="0" collapsed="false">
      <c r="A39" s="4" t="s">
        <v>222</v>
      </c>
      <c r="B39" s="4" t="s">
        <v>216</v>
      </c>
      <c r="C39" s="4" t="s">
        <v>223</v>
      </c>
      <c r="D39" s="4" t="s">
        <v>35</v>
      </c>
      <c r="E39" s="4" t="s">
        <v>36</v>
      </c>
      <c r="F39" s="4" t="s">
        <v>37</v>
      </c>
      <c r="G39" s="4" t="s">
        <v>59</v>
      </c>
      <c r="H39" s="4" t="n">
        <v>1</v>
      </c>
      <c r="I39" s="4" t="s">
        <v>75</v>
      </c>
      <c r="J39" s="4" t="s">
        <v>68</v>
      </c>
      <c r="K39" s="4" t="s">
        <v>224</v>
      </c>
      <c r="L39" s="4" t="s">
        <v>42</v>
      </c>
      <c r="M39" s="4" t="s">
        <v>43</v>
      </c>
      <c r="N39" s="4" t="s">
        <v>44</v>
      </c>
      <c r="O39" s="4" t="s">
        <v>225</v>
      </c>
      <c r="P39" s="4" t="s">
        <v>46</v>
      </c>
    </row>
    <row r="40" customFormat="false" ht="15" hidden="false" customHeight="false" outlineLevel="0" collapsed="false">
      <c r="A40" s="4" t="s">
        <v>226</v>
      </c>
      <c r="B40" s="4" t="s">
        <v>227</v>
      </c>
      <c r="C40" s="4" t="s">
        <v>228</v>
      </c>
      <c r="D40" s="4" t="s">
        <v>35</v>
      </c>
      <c r="E40" s="4" t="s">
        <v>49</v>
      </c>
      <c r="F40" s="4" t="s">
        <v>42</v>
      </c>
      <c r="G40" s="4" t="s">
        <v>38</v>
      </c>
      <c r="H40" s="4" t="n">
        <v>1</v>
      </c>
      <c r="I40" s="4" t="s">
        <v>39</v>
      </c>
      <c r="J40" s="4" t="s">
        <v>40</v>
      </c>
      <c r="K40" s="4" t="s">
        <v>229</v>
      </c>
      <c r="L40" s="4" t="s">
        <v>42</v>
      </c>
      <c r="M40" s="4" t="s">
        <v>43</v>
      </c>
      <c r="N40" s="4" t="s">
        <v>44</v>
      </c>
      <c r="O40" s="4" t="s">
        <v>230</v>
      </c>
      <c r="P40" s="4" t="s">
        <v>46</v>
      </c>
    </row>
    <row r="41" customFormat="false" ht="15" hidden="false" customHeight="false" outlineLevel="0" collapsed="false">
      <c r="A41" s="4" t="s">
        <v>231</v>
      </c>
      <c r="B41" s="4" t="s">
        <v>227</v>
      </c>
      <c r="C41" s="4" t="s">
        <v>228</v>
      </c>
      <c r="D41" s="4" t="s">
        <v>35</v>
      </c>
      <c r="E41" s="4" t="s">
        <v>36</v>
      </c>
      <c r="F41" s="4" t="s">
        <v>42</v>
      </c>
      <c r="G41" s="4" t="s">
        <v>59</v>
      </c>
      <c r="H41" s="4" t="n">
        <v>1</v>
      </c>
      <c r="I41" s="4" t="s">
        <v>124</v>
      </c>
      <c r="J41" s="4" t="s">
        <v>68</v>
      </c>
      <c r="K41" s="4" t="s">
        <v>232</v>
      </c>
      <c r="L41" s="4" t="s">
        <v>70</v>
      </c>
      <c r="M41" s="4" t="s">
        <v>133</v>
      </c>
      <c r="N41" s="4" t="s">
        <v>44</v>
      </c>
      <c r="O41" s="4" t="s">
        <v>233</v>
      </c>
      <c r="P41" s="4" t="s">
        <v>46</v>
      </c>
    </row>
    <row r="42" customFormat="false" ht="15" hidden="false" customHeight="false" outlineLevel="0" collapsed="false">
      <c r="A42" s="4" t="s">
        <v>234</v>
      </c>
      <c r="B42" s="4" t="s">
        <v>227</v>
      </c>
      <c r="C42" s="4" t="s">
        <v>227</v>
      </c>
      <c r="D42" s="4" t="s">
        <v>35</v>
      </c>
      <c r="E42" s="4" t="s">
        <v>36</v>
      </c>
      <c r="F42" s="4" t="s">
        <v>42</v>
      </c>
      <c r="G42" s="4" t="s">
        <v>38</v>
      </c>
      <c r="H42" s="4" t="n">
        <v>3</v>
      </c>
      <c r="I42" s="4" t="s">
        <v>178</v>
      </c>
      <c r="J42" s="4" t="s">
        <v>68</v>
      </c>
      <c r="K42" s="4" t="s">
        <v>235</v>
      </c>
      <c r="L42" s="4" t="s">
        <v>42</v>
      </c>
      <c r="M42" s="4" t="s">
        <v>43</v>
      </c>
      <c r="N42" s="4" t="s">
        <v>44</v>
      </c>
      <c r="O42" s="4" t="s">
        <v>236</v>
      </c>
      <c r="P42" s="4" t="s">
        <v>46</v>
      </c>
    </row>
    <row r="43" customFormat="false" ht="15" hidden="false" customHeight="false" outlineLevel="0" collapsed="false">
      <c r="A43" s="4" t="s">
        <v>237</v>
      </c>
      <c r="B43" s="4" t="s">
        <v>238</v>
      </c>
      <c r="C43" s="4" t="s">
        <v>239</v>
      </c>
      <c r="D43" s="4" t="s">
        <v>35</v>
      </c>
      <c r="E43" s="4" t="s">
        <v>36</v>
      </c>
      <c r="F43" s="4" t="s">
        <v>42</v>
      </c>
      <c r="G43" s="4" t="s">
        <v>38</v>
      </c>
      <c r="H43" s="4" t="n">
        <v>1</v>
      </c>
      <c r="I43" s="4" t="s">
        <v>240</v>
      </c>
      <c r="J43" s="4" t="s">
        <v>40</v>
      </c>
      <c r="K43" s="4" t="s">
        <v>241</v>
      </c>
      <c r="L43" s="4" t="s">
        <v>42</v>
      </c>
      <c r="M43" s="4" t="s">
        <v>43</v>
      </c>
      <c r="N43" s="4" t="s">
        <v>44</v>
      </c>
      <c r="O43" s="4" t="s">
        <v>242</v>
      </c>
      <c r="P43" s="4" t="s">
        <v>46</v>
      </c>
    </row>
    <row r="44" customFormat="false" ht="15" hidden="false" customHeight="false" outlineLevel="0" collapsed="false">
      <c r="A44" s="4" t="s">
        <v>243</v>
      </c>
      <c r="B44" s="4" t="s">
        <v>244</v>
      </c>
      <c r="C44" s="4" t="s">
        <v>245</v>
      </c>
      <c r="D44" s="4" t="s">
        <v>35</v>
      </c>
      <c r="E44" s="4" t="s">
        <v>66</v>
      </c>
      <c r="F44" s="4" t="s">
        <v>42</v>
      </c>
      <c r="G44" s="4" t="s">
        <v>59</v>
      </c>
      <c r="H44" s="4" t="n">
        <v>3</v>
      </c>
      <c r="I44" s="4" t="s">
        <v>60</v>
      </c>
      <c r="J44" s="4" t="s">
        <v>40</v>
      </c>
      <c r="K44" s="4" t="s">
        <v>246</v>
      </c>
      <c r="L44" s="4" t="s">
        <v>42</v>
      </c>
      <c r="M44" s="4" t="s">
        <v>43</v>
      </c>
      <c r="N44" s="4" t="s">
        <v>94</v>
      </c>
      <c r="O44" s="4" t="s">
        <v>247</v>
      </c>
      <c r="P44" s="4" t="s">
        <v>46</v>
      </c>
    </row>
    <row r="45" customFormat="false" ht="15" hidden="false" customHeight="false" outlineLevel="0" collapsed="false">
      <c r="A45" s="4" t="s">
        <v>234</v>
      </c>
      <c r="B45" s="4" t="s">
        <v>227</v>
      </c>
      <c r="C45" s="4" t="s">
        <v>227</v>
      </c>
      <c r="D45" s="4" t="s">
        <v>35</v>
      </c>
      <c r="E45" s="4" t="s">
        <v>36</v>
      </c>
      <c r="F45" s="4" t="s">
        <v>42</v>
      </c>
      <c r="G45" s="4" t="s">
        <v>38</v>
      </c>
      <c r="H45" s="4" t="n">
        <v>3</v>
      </c>
      <c r="I45" s="4" t="s">
        <v>178</v>
      </c>
      <c r="J45" s="4" t="s">
        <v>68</v>
      </c>
      <c r="K45" s="4" t="s">
        <v>235</v>
      </c>
      <c r="L45" s="4" t="s">
        <v>42</v>
      </c>
      <c r="M45" s="4" t="s">
        <v>43</v>
      </c>
      <c r="N45" s="4" t="s">
        <v>44</v>
      </c>
      <c r="O45" s="4" t="s">
        <v>236</v>
      </c>
      <c r="P45" s="4" t="s">
        <v>46</v>
      </c>
    </row>
    <row r="46" customFormat="false" ht="15" hidden="false" customHeight="false" outlineLevel="0" collapsed="false">
      <c r="A46" s="4" t="s">
        <v>248</v>
      </c>
      <c r="B46" s="4" t="s">
        <v>249</v>
      </c>
      <c r="C46" s="4" t="s">
        <v>249</v>
      </c>
      <c r="D46" s="4" t="s">
        <v>35</v>
      </c>
      <c r="E46" s="4" t="s">
        <v>36</v>
      </c>
      <c r="F46" s="4" t="s">
        <v>37</v>
      </c>
      <c r="G46" s="4" t="s">
        <v>38</v>
      </c>
      <c r="H46" s="4" t="n">
        <v>1</v>
      </c>
      <c r="I46" s="4" t="s">
        <v>39</v>
      </c>
      <c r="J46" s="4" t="s">
        <v>40</v>
      </c>
      <c r="K46" s="4" t="s">
        <v>250</v>
      </c>
      <c r="L46" s="4" t="s">
        <v>168</v>
      </c>
      <c r="M46" s="4" t="s">
        <v>43</v>
      </c>
      <c r="N46" s="4" t="s">
        <v>52</v>
      </c>
      <c r="O46" s="4" t="s">
        <v>251</v>
      </c>
      <c r="P46" s="4" t="s">
        <v>46</v>
      </c>
    </row>
    <row r="47" customFormat="false" ht="15" hidden="false" customHeight="false" outlineLevel="0" collapsed="false">
      <c r="A47" s="4" t="s">
        <v>252</v>
      </c>
      <c r="B47" s="4" t="s">
        <v>253</v>
      </c>
      <c r="C47" s="4" t="s">
        <v>253</v>
      </c>
      <c r="D47" s="4" t="s">
        <v>35</v>
      </c>
      <c r="E47" s="4" t="s">
        <v>49</v>
      </c>
      <c r="F47" s="4" t="s">
        <v>42</v>
      </c>
      <c r="G47" s="4" t="s">
        <v>38</v>
      </c>
      <c r="H47" s="4" t="n">
        <v>2</v>
      </c>
      <c r="I47" s="4" t="s">
        <v>50</v>
      </c>
      <c r="J47" s="4" t="s">
        <v>40</v>
      </c>
      <c r="K47" s="4" t="s">
        <v>157</v>
      </c>
      <c r="L47" s="4" t="s">
        <v>70</v>
      </c>
      <c r="M47" s="4" t="s">
        <v>43</v>
      </c>
      <c r="N47" s="4" t="s">
        <v>44</v>
      </c>
      <c r="O47" s="4" t="s">
        <v>158</v>
      </c>
      <c r="P47" s="4" t="s">
        <v>46</v>
      </c>
    </row>
    <row r="48" customFormat="false" ht="15" hidden="false" customHeight="false" outlineLevel="0" collapsed="false">
      <c r="A48" s="4" t="s">
        <v>254</v>
      </c>
      <c r="B48" s="4" t="s">
        <v>255</v>
      </c>
      <c r="C48" s="4" t="s">
        <v>256</v>
      </c>
      <c r="D48" s="4" t="s">
        <v>35</v>
      </c>
      <c r="E48" s="4" t="s">
        <v>36</v>
      </c>
      <c r="F48" s="4" t="s">
        <v>42</v>
      </c>
      <c r="G48" s="4" t="s">
        <v>38</v>
      </c>
      <c r="H48" s="4" t="n">
        <v>1</v>
      </c>
      <c r="I48" s="4" t="s">
        <v>50</v>
      </c>
      <c r="J48" s="4" t="s">
        <v>68</v>
      </c>
      <c r="K48" s="4" t="s">
        <v>257</v>
      </c>
      <c r="L48" s="4" t="s">
        <v>58</v>
      </c>
      <c r="M48" s="4" t="s">
        <v>43</v>
      </c>
      <c r="N48" s="4" t="s">
        <v>44</v>
      </c>
      <c r="O48" s="4" t="s">
        <v>258</v>
      </c>
      <c r="P48" s="4" t="s">
        <v>46</v>
      </c>
    </row>
    <row r="49" customFormat="false" ht="15" hidden="false" customHeight="false" outlineLevel="0" collapsed="false">
      <c r="A49" s="4" t="s">
        <v>259</v>
      </c>
      <c r="B49" s="4" t="s">
        <v>256</v>
      </c>
      <c r="C49" s="4" t="s">
        <v>260</v>
      </c>
      <c r="D49" s="4" t="s">
        <v>35</v>
      </c>
      <c r="E49" s="4" t="s">
        <v>66</v>
      </c>
      <c r="F49" s="4" t="s">
        <v>42</v>
      </c>
      <c r="G49" s="4" t="s">
        <v>38</v>
      </c>
      <c r="H49" s="4" t="n">
        <v>2</v>
      </c>
      <c r="I49" s="4" t="s">
        <v>50</v>
      </c>
      <c r="J49" s="4" t="s">
        <v>68</v>
      </c>
      <c r="K49" s="4" t="s">
        <v>261</v>
      </c>
      <c r="L49" s="4" t="s">
        <v>42</v>
      </c>
      <c r="M49" s="4" t="s">
        <v>43</v>
      </c>
      <c r="N49" s="4" t="s">
        <v>44</v>
      </c>
      <c r="O49" s="4" t="s">
        <v>262</v>
      </c>
      <c r="P49" s="4" t="s">
        <v>46</v>
      </c>
    </row>
    <row r="50" customFormat="false" ht="15" hidden="false" customHeight="false" outlineLevel="0" collapsed="false">
      <c r="A50" s="4" t="s">
        <v>263</v>
      </c>
      <c r="B50" s="4" t="s">
        <v>264</v>
      </c>
      <c r="C50" s="4" t="s">
        <v>260</v>
      </c>
      <c r="D50" s="4" t="s">
        <v>35</v>
      </c>
      <c r="E50" s="4" t="s">
        <v>49</v>
      </c>
      <c r="F50" s="4" t="s">
        <v>70</v>
      </c>
      <c r="G50" s="4" t="s">
        <v>38</v>
      </c>
      <c r="H50" s="4" t="n">
        <v>1</v>
      </c>
      <c r="I50" s="4" t="s">
        <v>50</v>
      </c>
      <c r="J50" s="4" t="s">
        <v>68</v>
      </c>
      <c r="K50" s="4" t="s">
        <v>265</v>
      </c>
      <c r="L50" s="4" t="s">
        <v>37</v>
      </c>
      <c r="M50" s="4" t="s">
        <v>43</v>
      </c>
      <c r="N50" s="4" t="s">
        <v>44</v>
      </c>
      <c r="O50" s="4" t="s">
        <v>266</v>
      </c>
      <c r="P50" s="4" t="s">
        <v>46</v>
      </c>
    </row>
    <row r="51" customFormat="false" ht="15" hidden="false" customHeight="false" outlineLevel="0" collapsed="false">
      <c r="A51" s="4" t="s">
        <v>267</v>
      </c>
      <c r="B51" s="4" t="s">
        <v>268</v>
      </c>
      <c r="C51" s="4" t="s">
        <v>269</v>
      </c>
      <c r="D51" s="4" t="s">
        <v>35</v>
      </c>
      <c r="E51" s="4" t="s">
        <v>36</v>
      </c>
      <c r="F51" s="4" t="s">
        <v>42</v>
      </c>
      <c r="G51" s="4" t="s">
        <v>38</v>
      </c>
      <c r="H51" s="4" t="n">
        <v>2</v>
      </c>
      <c r="I51" s="4" t="s">
        <v>67</v>
      </c>
      <c r="J51" s="4" t="s">
        <v>40</v>
      </c>
      <c r="K51" s="4" t="s">
        <v>270</v>
      </c>
      <c r="L51" s="4" t="s">
        <v>37</v>
      </c>
      <c r="M51" s="4" t="s">
        <v>43</v>
      </c>
      <c r="N51" s="4" t="s">
        <v>44</v>
      </c>
      <c r="O51" s="4" t="s">
        <v>271</v>
      </c>
      <c r="P51" s="4" t="s">
        <v>46</v>
      </c>
    </row>
    <row r="52" customFormat="false" ht="15" hidden="false" customHeight="false" outlineLevel="0" collapsed="false">
      <c r="A52" s="4" t="s">
        <v>272</v>
      </c>
      <c r="B52" s="4" t="s">
        <v>273</v>
      </c>
      <c r="C52" s="4" t="s">
        <v>274</v>
      </c>
      <c r="D52" s="4" t="s">
        <v>35</v>
      </c>
      <c r="E52" s="4" t="s">
        <v>36</v>
      </c>
      <c r="F52" s="4" t="s">
        <v>128</v>
      </c>
      <c r="G52" s="4" t="s">
        <v>38</v>
      </c>
      <c r="H52" s="4" t="n">
        <v>1</v>
      </c>
      <c r="I52" s="4" t="s">
        <v>240</v>
      </c>
      <c r="J52" s="4" t="s">
        <v>68</v>
      </c>
      <c r="K52" s="4" t="s">
        <v>275</v>
      </c>
      <c r="L52" s="4" t="s">
        <v>37</v>
      </c>
      <c r="M52" s="4" t="s">
        <v>43</v>
      </c>
      <c r="N52" s="4" t="s">
        <v>185</v>
      </c>
      <c r="O52" s="4" t="s">
        <v>276</v>
      </c>
      <c r="P52" s="4" t="s">
        <v>46</v>
      </c>
    </row>
    <row r="53" customFormat="false" ht="15" hidden="false" customHeight="false" outlineLevel="0" collapsed="false">
      <c r="A53" s="4" t="s">
        <v>277</v>
      </c>
      <c r="B53" s="4" t="s">
        <v>278</v>
      </c>
      <c r="C53" s="4" t="s">
        <v>279</v>
      </c>
      <c r="D53" s="4" t="s">
        <v>35</v>
      </c>
      <c r="E53" s="4" t="s">
        <v>36</v>
      </c>
      <c r="F53" s="4" t="s">
        <v>70</v>
      </c>
      <c r="G53" s="4" t="s">
        <v>59</v>
      </c>
      <c r="H53" s="4" t="n">
        <v>3</v>
      </c>
      <c r="I53" s="4" t="s">
        <v>75</v>
      </c>
      <c r="J53" s="4" t="s">
        <v>68</v>
      </c>
      <c r="K53" s="4" t="s">
        <v>280</v>
      </c>
      <c r="L53" s="4" t="s">
        <v>37</v>
      </c>
      <c r="M53" s="4" t="s">
        <v>43</v>
      </c>
      <c r="N53" s="4" t="s">
        <v>44</v>
      </c>
      <c r="O53" s="4" t="s">
        <v>281</v>
      </c>
      <c r="P53" s="4" t="s">
        <v>46</v>
      </c>
    </row>
    <row r="54" customFormat="false" ht="15" hidden="false" customHeight="false" outlineLevel="0" collapsed="false">
      <c r="A54" s="4" t="s">
        <v>282</v>
      </c>
      <c r="B54" s="4" t="s">
        <v>283</v>
      </c>
      <c r="C54" s="4" t="s">
        <v>283</v>
      </c>
      <c r="D54" s="4" t="s">
        <v>35</v>
      </c>
      <c r="E54" s="4" t="s">
        <v>66</v>
      </c>
      <c r="F54" s="4" t="s">
        <v>58</v>
      </c>
      <c r="G54" s="4" t="s">
        <v>59</v>
      </c>
      <c r="H54" s="4" t="n">
        <v>1</v>
      </c>
      <c r="I54" s="4" t="s">
        <v>75</v>
      </c>
      <c r="J54" s="4" t="s">
        <v>68</v>
      </c>
      <c r="K54" s="4" t="s">
        <v>284</v>
      </c>
      <c r="L54" s="4" t="s">
        <v>42</v>
      </c>
      <c r="M54" s="4" t="s">
        <v>43</v>
      </c>
      <c r="N54" s="4" t="s">
        <v>44</v>
      </c>
      <c r="O54" s="4" t="s">
        <v>285</v>
      </c>
      <c r="P54" s="4" t="s">
        <v>46</v>
      </c>
    </row>
    <row r="55" customFormat="false" ht="15" hidden="false" customHeight="false" outlineLevel="0" collapsed="false">
      <c r="A55" s="4" t="s">
        <v>286</v>
      </c>
      <c r="B55" s="4" t="s">
        <v>287</v>
      </c>
      <c r="C55" s="4" t="s">
        <v>288</v>
      </c>
      <c r="D55" s="4" t="s">
        <v>35</v>
      </c>
      <c r="E55" s="4" t="s">
        <v>36</v>
      </c>
      <c r="F55" s="4" t="s">
        <v>42</v>
      </c>
      <c r="G55" s="4" t="s">
        <v>59</v>
      </c>
      <c r="H55" s="4" t="n">
        <v>2</v>
      </c>
      <c r="I55" s="4" t="s">
        <v>124</v>
      </c>
      <c r="J55" s="4" t="s">
        <v>68</v>
      </c>
      <c r="K55" s="4" t="s">
        <v>289</v>
      </c>
      <c r="L55" s="4" t="s">
        <v>42</v>
      </c>
      <c r="M55" s="4" t="s">
        <v>43</v>
      </c>
      <c r="N55" s="4" t="s">
        <v>44</v>
      </c>
      <c r="O55" s="4" t="s">
        <v>290</v>
      </c>
      <c r="P55" s="4" t="s">
        <v>46</v>
      </c>
    </row>
    <row r="56" customFormat="false" ht="15" hidden="false" customHeight="false" outlineLevel="0" collapsed="false">
      <c r="A56" s="4" t="s">
        <v>291</v>
      </c>
      <c r="B56" s="4" t="s">
        <v>292</v>
      </c>
      <c r="C56" s="4" t="s">
        <v>293</v>
      </c>
      <c r="D56" s="4" t="s">
        <v>35</v>
      </c>
      <c r="E56" s="4" t="s">
        <v>66</v>
      </c>
      <c r="F56" s="4" t="s">
        <v>42</v>
      </c>
      <c r="G56" s="4" t="s">
        <v>38</v>
      </c>
      <c r="H56" s="4" t="n">
        <v>1</v>
      </c>
      <c r="I56" s="4" t="s">
        <v>240</v>
      </c>
      <c r="J56" s="4" t="s">
        <v>68</v>
      </c>
      <c r="K56" s="4" t="s">
        <v>51</v>
      </c>
      <c r="L56" s="4" t="s">
        <v>42</v>
      </c>
      <c r="M56" s="4" t="s">
        <v>43</v>
      </c>
      <c r="N56" s="4" t="s">
        <v>44</v>
      </c>
      <c r="O56" s="4" t="s">
        <v>53</v>
      </c>
      <c r="P56" s="4" t="s">
        <v>46</v>
      </c>
    </row>
    <row r="57" customFormat="false" ht="15" hidden="false" customHeight="false" outlineLevel="0" collapsed="false">
      <c r="A57" s="4" t="s">
        <v>212</v>
      </c>
      <c r="B57" s="4" t="s">
        <v>209</v>
      </c>
      <c r="C57" s="4" t="s">
        <v>209</v>
      </c>
      <c r="D57" s="4" t="s">
        <v>35</v>
      </c>
      <c r="E57" s="4" t="s">
        <v>36</v>
      </c>
      <c r="F57" s="4" t="s">
        <v>42</v>
      </c>
      <c r="G57" s="4" t="s">
        <v>38</v>
      </c>
      <c r="H57" s="4" t="n">
        <v>1</v>
      </c>
      <c r="I57" s="4" t="s">
        <v>39</v>
      </c>
      <c r="J57" s="4" t="s">
        <v>81</v>
      </c>
      <c r="K57" s="4" t="s">
        <v>213</v>
      </c>
      <c r="L57" s="4" t="s">
        <v>42</v>
      </c>
      <c r="M57" s="4" t="s">
        <v>43</v>
      </c>
      <c r="N57" s="4" t="s">
        <v>94</v>
      </c>
      <c r="O57" s="4" t="s">
        <v>214</v>
      </c>
      <c r="P57" s="4" t="s">
        <v>46</v>
      </c>
    </row>
    <row r="58" customFormat="false" ht="15" hidden="false" customHeight="false" outlineLevel="0" collapsed="false">
      <c r="A58" s="4" t="s">
        <v>294</v>
      </c>
      <c r="B58" s="4" t="s">
        <v>295</v>
      </c>
      <c r="C58" s="4" t="s">
        <v>296</v>
      </c>
      <c r="D58" s="4" t="s">
        <v>35</v>
      </c>
      <c r="E58" s="4" t="s">
        <v>36</v>
      </c>
      <c r="F58" s="4" t="s">
        <v>58</v>
      </c>
      <c r="G58" s="4" t="s">
        <v>38</v>
      </c>
      <c r="H58" s="4" t="n">
        <v>2</v>
      </c>
      <c r="I58" s="4" t="s">
        <v>39</v>
      </c>
      <c r="J58" s="4" t="s">
        <v>40</v>
      </c>
      <c r="K58" s="4" t="s">
        <v>297</v>
      </c>
      <c r="L58" s="4" t="s">
        <v>70</v>
      </c>
      <c r="M58" s="4" t="s">
        <v>133</v>
      </c>
      <c r="N58" s="4" t="s">
        <v>44</v>
      </c>
      <c r="O58" s="4" t="s">
        <v>298</v>
      </c>
      <c r="P58" s="4" t="s">
        <v>46</v>
      </c>
    </row>
    <row r="59" customFormat="false" ht="15" hidden="false" customHeight="false" outlineLevel="0" collapsed="false">
      <c r="A59" s="4" t="s">
        <v>294</v>
      </c>
      <c r="B59" s="4" t="s">
        <v>295</v>
      </c>
      <c r="C59" s="4" t="s">
        <v>296</v>
      </c>
      <c r="D59" s="4" t="s">
        <v>35</v>
      </c>
      <c r="E59" s="4" t="s">
        <v>36</v>
      </c>
      <c r="F59" s="4" t="s">
        <v>58</v>
      </c>
      <c r="G59" s="4" t="s">
        <v>38</v>
      </c>
      <c r="H59" s="4" t="n">
        <v>2</v>
      </c>
      <c r="I59" s="4" t="s">
        <v>39</v>
      </c>
      <c r="J59" s="4" t="s">
        <v>40</v>
      </c>
      <c r="K59" s="4" t="s">
        <v>297</v>
      </c>
      <c r="L59" s="4" t="s">
        <v>70</v>
      </c>
      <c r="M59" s="4" t="s">
        <v>133</v>
      </c>
      <c r="N59" s="4" t="s">
        <v>44</v>
      </c>
      <c r="O59" s="4" t="s">
        <v>298</v>
      </c>
      <c r="P59" s="4" t="s">
        <v>46</v>
      </c>
    </row>
    <row r="60" customFormat="false" ht="15" hidden="false" customHeight="false" outlineLevel="0" collapsed="false">
      <c r="A60" s="4" t="s">
        <v>299</v>
      </c>
      <c r="B60" s="4" t="s">
        <v>300</v>
      </c>
      <c r="C60" s="4" t="s">
        <v>301</v>
      </c>
      <c r="D60" s="4" t="s">
        <v>35</v>
      </c>
      <c r="E60" s="4" t="s">
        <v>36</v>
      </c>
      <c r="F60" s="4" t="s">
        <v>42</v>
      </c>
      <c r="G60" s="4" t="s">
        <v>59</v>
      </c>
      <c r="H60" s="4" t="n">
        <v>1</v>
      </c>
      <c r="I60" s="4" t="s">
        <v>138</v>
      </c>
      <c r="J60" s="4" t="s">
        <v>40</v>
      </c>
      <c r="K60" s="4" t="s">
        <v>125</v>
      </c>
      <c r="L60" s="4" t="s">
        <v>168</v>
      </c>
      <c r="M60" s="4" t="s">
        <v>43</v>
      </c>
      <c r="N60" s="4" t="s">
        <v>44</v>
      </c>
      <c r="O60" s="4" t="s">
        <v>126</v>
      </c>
      <c r="P60" s="4" t="s">
        <v>46</v>
      </c>
    </row>
    <row r="61" customFormat="false" ht="15" hidden="false" customHeight="false" outlineLevel="0" collapsed="false">
      <c r="A61" s="4" t="s">
        <v>302</v>
      </c>
      <c r="B61" s="4" t="s">
        <v>303</v>
      </c>
      <c r="C61" s="4" t="s">
        <v>304</v>
      </c>
      <c r="D61" s="4" t="s">
        <v>305</v>
      </c>
      <c r="E61" s="4" t="s">
        <v>306</v>
      </c>
      <c r="F61" s="4" t="s">
        <v>58</v>
      </c>
      <c r="G61" s="4" t="s">
        <v>38</v>
      </c>
      <c r="H61" s="4" t="n">
        <v>1</v>
      </c>
      <c r="I61" s="4" t="s">
        <v>307</v>
      </c>
      <c r="J61" s="4" t="s">
        <v>40</v>
      </c>
      <c r="K61" s="4" t="s">
        <v>308</v>
      </c>
      <c r="L61" s="4" t="s">
        <v>37</v>
      </c>
      <c r="M61" s="4" t="s">
        <v>43</v>
      </c>
      <c r="N61" s="4" t="s">
        <v>44</v>
      </c>
      <c r="O61" s="4" t="s">
        <v>309</v>
      </c>
      <c r="P61" s="4" t="s">
        <v>46</v>
      </c>
    </row>
    <row r="62" customFormat="false" ht="15" hidden="false" customHeight="false" outlineLevel="0" collapsed="false">
      <c r="A62" s="4" t="s">
        <v>310</v>
      </c>
      <c r="B62" s="4" t="s">
        <v>303</v>
      </c>
      <c r="C62" s="4" t="s">
        <v>304</v>
      </c>
      <c r="D62" s="4" t="s">
        <v>305</v>
      </c>
      <c r="E62" s="4" t="s">
        <v>311</v>
      </c>
      <c r="F62" s="4" t="s">
        <v>70</v>
      </c>
      <c r="G62" s="4" t="s">
        <v>59</v>
      </c>
      <c r="H62" s="4" t="n">
        <v>1</v>
      </c>
      <c r="I62" s="4" t="s">
        <v>312</v>
      </c>
      <c r="J62" s="4" t="s">
        <v>68</v>
      </c>
      <c r="K62" s="4" t="s">
        <v>313</v>
      </c>
      <c r="L62" s="4" t="s">
        <v>42</v>
      </c>
      <c r="M62" s="4" t="s">
        <v>43</v>
      </c>
      <c r="N62" s="4" t="s">
        <v>94</v>
      </c>
      <c r="O62" s="4" t="s">
        <v>314</v>
      </c>
      <c r="P62" s="4" t="s">
        <v>46</v>
      </c>
    </row>
    <row r="63" customFormat="false" ht="15" hidden="false" customHeight="false" outlineLevel="0" collapsed="false">
      <c r="A63" s="4" t="s">
        <v>315</v>
      </c>
      <c r="B63" s="4" t="s">
        <v>303</v>
      </c>
      <c r="C63" s="4" t="s">
        <v>316</v>
      </c>
      <c r="D63" s="4" t="s">
        <v>35</v>
      </c>
      <c r="E63" s="4" t="s">
        <v>36</v>
      </c>
      <c r="F63" s="4" t="s">
        <v>37</v>
      </c>
      <c r="G63" s="4" t="s">
        <v>59</v>
      </c>
      <c r="H63" s="4" t="n">
        <v>1</v>
      </c>
      <c r="I63" s="4" t="s">
        <v>317</v>
      </c>
      <c r="J63" s="4" t="s">
        <v>68</v>
      </c>
      <c r="K63" s="4" t="s">
        <v>125</v>
      </c>
      <c r="L63" s="4" t="s">
        <v>42</v>
      </c>
      <c r="M63" s="4" t="s">
        <v>43</v>
      </c>
      <c r="N63" s="4" t="s">
        <v>44</v>
      </c>
      <c r="O63" s="4" t="s">
        <v>126</v>
      </c>
      <c r="P63" s="4" t="s">
        <v>46</v>
      </c>
    </row>
    <row r="64" customFormat="false" ht="15" hidden="false" customHeight="false" outlineLevel="0" collapsed="false">
      <c r="A64" s="4" t="s">
        <v>318</v>
      </c>
      <c r="B64" s="4" t="s">
        <v>316</v>
      </c>
      <c r="C64" s="4" t="s">
        <v>304</v>
      </c>
      <c r="D64" s="4" t="s">
        <v>305</v>
      </c>
      <c r="E64" s="4" t="s">
        <v>306</v>
      </c>
      <c r="F64" s="4" t="s">
        <v>42</v>
      </c>
      <c r="G64" s="4" t="s">
        <v>38</v>
      </c>
      <c r="H64" s="4" t="n">
        <v>1</v>
      </c>
      <c r="I64" s="4" t="s">
        <v>319</v>
      </c>
      <c r="J64" s="4" t="s">
        <v>68</v>
      </c>
      <c r="K64" s="4" t="s">
        <v>320</v>
      </c>
      <c r="L64" s="4" t="s">
        <v>42</v>
      </c>
      <c r="M64" s="4" t="s">
        <v>43</v>
      </c>
      <c r="N64" s="4" t="s">
        <v>52</v>
      </c>
      <c r="O64" s="4" t="s">
        <v>321</v>
      </c>
      <c r="P64" s="4" t="s">
        <v>46</v>
      </c>
    </row>
    <row r="65" customFormat="false" ht="15" hidden="false" customHeight="false" outlineLevel="0" collapsed="false">
      <c r="A65" s="4" t="s">
        <v>277</v>
      </c>
      <c r="B65" s="4" t="s">
        <v>278</v>
      </c>
      <c r="C65" s="4" t="s">
        <v>279</v>
      </c>
      <c r="D65" s="4" t="s">
        <v>35</v>
      </c>
      <c r="E65" s="4" t="s">
        <v>36</v>
      </c>
      <c r="F65" s="4" t="s">
        <v>70</v>
      </c>
      <c r="G65" s="4" t="s">
        <v>59</v>
      </c>
      <c r="H65" s="4" t="n">
        <v>3</v>
      </c>
      <c r="I65" s="4" t="s">
        <v>75</v>
      </c>
      <c r="J65" s="4" t="s">
        <v>68</v>
      </c>
      <c r="K65" s="4" t="s">
        <v>280</v>
      </c>
      <c r="L65" s="4" t="s">
        <v>37</v>
      </c>
      <c r="M65" s="4" t="s">
        <v>43</v>
      </c>
      <c r="N65" s="4" t="s">
        <v>44</v>
      </c>
      <c r="O65" s="4" t="s">
        <v>281</v>
      </c>
      <c r="P65" s="4" t="s">
        <v>46</v>
      </c>
    </row>
    <row r="66" customFormat="false" ht="15" hidden="false" customHeight="false" outlineLevel="0" collapsed="false">
      <c r="A66" s="4" t="s">
        <v>322</v>
      </c>
      <c r="B66" s="4" t="s">
        <v>316</v>
      </c>
      <c r="C66" s="4" t="s">
        <v>304</v>
      </c>
      <c r="D66" s="4" t="s">
        <v>305</v>
      </c>
      <c r="E66" s="4" t="s">
        <v>323</v>
      </c>
      <c r="F66" s="4" t="s">
        <v>42</v>
      </c>
      <c r="G66" s="4" t="s">
        <v>38</v>
      </c>
      <c r="H66" s="4" t="n">
        <v>3</v>
      </c>
      <c r="I66" s="4"/>
      <c r="J66" s="4" t="s">
        <v>40</v>
      </c>
      <c r="K66" s="4" t="s">
        <v>173</v>
      </c>
      <c r="L66" s="4" t="s">
        <v>42</v>
      </c>
      <c r="M66" s="4" t="s">
        <v>43</v>
      </c>
      <c r="N66" s="4" t="s">
        <v>52</v>
      </c>
      <c r="O66" s="4" t="s">
        <v>174</v>
      </c>
      <c r="P66" s="4" t="s">
        <v>46</v>
      </c>
    </row>
    <row r="67" customFormat="false" ht="15" hidden="false" customHeight="false" outlineLevel="0" collapsed="false">
      <c r="A67" s="4" t="s">
        <v>324</v>
      </c>
      <c r="B67" s="4" t="s">
        <v>316</v>
      </c>
      <c r="C67" s="4" t="s">
        <v>304</v>
      </c>
      <c r="D67" s="4" t="s">
        <v>305</v>
      </c>
      <c r="E67" s="4" t="s">
        <v>325</v>
      </c>
      <c r="F67" s="4" t="s">
        <v>42</v>
      </c>
      <c r="G67" s="4" t="s">
        <v>326</v>
      </c>
      <c r="H67" s="4" t="n">
        <v>2</v>
      </c>
      <c r="I67" s="4" t="s">
        <v>327</v>
      </c>
      <c r="J67" s="4" t="s">
        <v>81</v>
      </c>
      <c r="K67" s="4" t="s">
        <v>328</v>
      </c>
      <c r="L67" s="4" t="s">
        <v>42</v>
      </c>
      <c r="M67" s="4" t="s">
        <v>43</v>
      </c>
      <c r="N67" s="4" t="s">
        <v>44</v>
      </c>
      <c r="O67" s="4" t="s">
        <v>329</v>
      </c>
      <c r="P67" s="4" t="s">
        <v>46</v>
      </c>
    </row>
    <row r="68" customFormat="false" ht="15" hidden="false" customHeight="false" outlineLevel="0" collapsed="false">
      <c r="A68" s="4" t="s">
        <v>330</v>
      </c>
      <c r="B68" s="4" t="s">
        <v>316</v>
      </c>
      <c r="C68" s="4" t="s">
        <v>304</v>
      </c>
      <c r="D68" s="4" t="s">
        <v>305</v>
      </c>
      <c r="E68" s="4" t="s">
        <v>311</v>
      </c>
      <c r="F68" s="4" t="s">
        <v>42</v>
      </c>
      <c r="G68" s="4" t="s">
        <v>38</v>
      </c>
      <c r="H68" s="4" t="n">
        <v>2</v>
      </c>
      <c r="I68" s="4" t="s">
        <v>331</v>
      </c>
      <c r="J68" s="4" t="s">
        <v>149</v>
      </c>
      <c r="K68" s="4" t="s">
        <v>332</v>
      </c>
      <c r="L68" s="4" t="s">
        <v>333</v>
      </c>
      <c r="M68" s="4" t="s">
        <v>334</v>
      </c>
      <c r="N68" s="4" t="s">
        <v>52</v>
      </c>
      <c r="O68" s="4" t="s">
        <v>335</v>
      </c>
      <c r="P68" s="4" t="s">
        <v>46</v>
      </c>
    </row>
    <row r="69" customFormat="false" ht="15" hidden="false" customHeight="false" outlineLevel="0" collapsed="false">
      <c r="A69" s="4" t="s">
        <v>336</v>
      </c>
      <c r="B69" s="4" t="s">
        <v>316</v>
      </c>
      <c r="C69" s="4" t="s">
        <v>337</v>
      </c>
      <c r="D69" s="4" t="s">
        <v>35</v>
      </c>
      <c r="E69" s="4" t="s">
        <v>36</v>
      </c>
      <c r="F69" s="4" t="s">
        <v>58</v>
      </c>
      <c r="G69" s="4" t="s">
        <v>38</v>
      </c>
      <c r="H69" s="4" t="n">
        <v>1</v>
      </c>
      <c r="I69" s="4" t="s">
        <v>39</v>
      </c>
      <c r="J69" s="4" t="s">
        <v>68</v>
      </c>
      <c r="K69" s="4" t="s">
        <v>338</v>
      </c>
      <c r="L69" s="4" t="s">
        <v>42</v>
      </c>
      <c r="M69" s="4" t="s">
        <v>43</v>
      </c>
      <c r="N69" s="4" t="s">
        <v>44</v>
      </c>
      <c r="O69" s="4" t="s">
        <v>339</v>
      </c>
      <c r="P69" s="4" t="s">
        <v>46</v>
      </c>
    </row>
    <row r="70" customFormat="false" ht="15" hidden="false" customHeight="false" outlineLevel="0" collapsed="false">
      <c r="A70" s="4" t="s">
        <v>340</v>
      </c>
      <c r="B70" s="4" t="s">
        <v>337</v>
      </c>
      <c r="C70" s="4" t="s">
        <v>304</v>
      </c>
      <c r="D70" s="4" t="s">
        <v>305</v>
      </c>
      <c r="E70" s="4" t="s">
        <v>323</v>
      </c>
      <c r="F70" s="4" t="s">
        <v>42</v>
      </c>
      <c r="G70" s="4" t="s">
        <v>38</v>
      </c>
      <c r="H70" s="4" t="n">
        <v>4</v>
      </c>
      <c r="I70" s="4" t="s">
        <v>341</v>
      </c>
      <c r="J70" s="4" t="s">
        <v>68</v>
      </c>
      <c r="K70" s="4" t="s">
        <v>342</v>
      </c>
      <c r="L70" s="4" t="s">
        <v>58</v>
      </c>
      <c r="M70" s="4" t="s">
        <v>43</v>
      </c>
      <c r="N70" s="4" t="s">
        <v>44</v>
      </c>
      <c r="O70" s="4" t="s">
        <v>343</v>
      </c>
      <c r="P70" s="4" t="s">
        <v>46</v>
      </c>
    </row>
    <row r="71" customFormat="false" ht="15" hidden="false" customHeight="false" outlineLevel="0" collapsed="false">
      <c r="A71" s="4" t="s">
        <v>344</v>
      </c>
      <c r="B71" s="4" t="s">
        <v>337</v>
      </c>
      <c r="C71" s="4" t="s">
        <v>304</v>
      </c>
      <c r="D71" s="4" t="s">
        <v>305</v>
      </c>
      <c r="E71" s="4" t="s">
        <v>345</v>
      </c>
      <c r="F71" s="4" t="s">
        <v>42</v>
      </c>
      <c r="G71" s="4" t="s">
        <v>38</v>
      </c>
      <c r="H71" s="4" t="n">
        <v>4</v>
      </c>
      <c r="I71" s="4" t="s">
        <v>346</v>
      </c>
      <c r="J71" s="4" t="s">
        <v>68</v>
      </c>
      <c r="K71" s="4" t="s">
        <v>82</v>
      </c>
      <c r="L71" s="4" t="s">
        <v>168</v>
      </c>
      <c r="M71" s="4" t="s">
        <v>43</v>
      </c>
      <c r="N71" s="4" t="s">
        <v>44</v>
      </c>
      <c r="O71" s="4" t="s">
        <v>83</v>
      </c>
      <c r="P71" s="4" t="s">
        <v>46</v>
      </c>
    </row>
    <row r="72" customFormat="false" ht="15" hidden="false" customHeight="false" outlineLevel="0" collapsed="false">
      <c r="A72" s="4" t="s">
        <v>347</v>
      </c>
      <c r="B72" s="4" t="s">
        <v>348</v>
      </c>
      <c r="C72" s="4" t="s">
        <v>304</v>
      </c>
      <c r="D72" s="4" t="s">
        <v>305</v>
      </c>
      <c r="E72" s="4" t="s">
        <v>306</v>
      </c>
      <c r="F72" s="4" t="s">
        <v>70</v>
      </c>
      <c r="G72" s="4" t="s">
        <v>38</v>
      </c>
      <c r="H72" s="4" t="n">
        <v>2</v>
      </c>
      <c r="I72" s="4" t="s">
        <v>349</v>
      </c>
      <c r="J72" s="4" t="s">
        <v>81</v>
      </c>
      <c r="K72" s="4" t="s">
        <v>350</v>
      </c>
      <c r="L72" s="4" t="s">
        <v>42</v>
      </c>
      <c r="M72" s="4" t="s">
        <v>43</v>
      </c>
      <c r="N72" s="4" t="s">
        <v>94</v>
      </c>
      <c r="O72" s="4" t="s">
        <v>351</v>
      </c>
      <c r="P72" s="4" t="s">
        <v>46</v>
      </c>
    </row>
    <row r="73" customFormat="false" ht="15" hidden="false" customHeight="false" outlineLevel="0" collapsed="false">
      <c r="A73" s="4" t="s">
        <v>352</v>
      </c>
      <c r="B73" s="4" t="s">
        <v>348</v>
      </c>
      <c r="C73" s="4" t="s">
        <v>304</v>
      </c>
      <c r="D73" s="4" t="s">
        <v>305</v>
      </c>
      <c r="E73" s="4" t="s">
        <v>306</v>
      </c>
      <c r="F73" s="4" t="s">
        <v>42</v>
      </c>
      <c r="G73" s="4" t="s">
        <v>59</v>
      </c>
      <c r="H73" s="4" t="n">
        <v>2</v>
      </c>
      <c r="I73" s="4" t="s">
        <v>353</v>
      </c>
      <c r="J73" s="4" t="s">
        <v>68</v>
      </c>
      <c r="K73" s="4" t="s">
        <v>354</v>
      </c>
      <c r="L73" s="4" t="s">
        <v>355</v>
      </c>
      <c r="M73" s="4" t="s">
        <v>356</v>
      </c>
      <c r="N73" s="4" t="s">
        <v>357</v>
      </c>
      <c r="O73" s="4"/>
      <c r="P73" s="4" t="s">
        <v>46</v>
      </c>
    </row>
    <row r="74" customFormat="false" ht="15" hidden="false" customHeight="false" outlineLevel="0" collapsed="false">
      <c r="A74" s="4" t="s">
        <v>358</v>
      </c>
      <c r="B74" s="4" t="s">
        <v>348</v>
      </c>
      <c r="C74" s="4" t="s">
        <v>304</v>
      </c>
      <c r="D74" s="4" t="s">
        <v>305</v>
      </c>
      <c r="E74" s="4" t="s">
        <v>325</v>
      </c>
      <c r="F74" s="4" t="s">
        <v>128</v>
      </c>
      <c r="G74" s="4" t="s">
        <v>38</v>
      </c>
      <c r="H74" s="4" t="n">
        <v>2</v>
      </c>
      <c r="I74" s="4" t="s">
        <v>359</v>
      </c>
      <c r="J74" s="4" t="s">
        <v>40</v>
      </c>
      <c r="K74" s="4" t="s">
        <v>189</v>
      </c>
      <c r="L74" s="4" t="s">
        <v>42</v>
      </c>
      <c r="M74" s="4" t="s">
        <v>43</v>
      </c>
      <c r="N74" s="4" t="s">
        <v>44</v>
      </c>
      <c r="O74" s="4" t="s">
        <v>190</v>
      </c>
      <c r="P74" s="4" t="s">
        <v>46</v>
      </c>
    </row>
    <row r="75" customFormat="false" ht="15" hidden="false" customHeight="false" outlineLevel="0" collapsed="false">
      <c r="A75" s="4" t="s">
        <v>360</v>
      </c>
      <c r="B75" s="4" t="s">
        <v>361</v>
      </c>
      <c r="C75" s="4" t="s">
        <v>304</v>
      </c>
      <c r="D75" s="4" t="s">
        <v>305</v>
      </c>
      <c r="E75" s="4" t="s">
        <v>306</v>
      </c>
      <c r="F75" s="4" t="s">
        <v>58</v>
      </c>
      <c r="G75" s="4" t="s">
        <v>59</v>
      </c>
      <c r="H75" s="4" t="n">
        <v>2</v>
      </c>
      <c r="I75" s="4" t="s">
        <v>362</v>
      </c>
      <c r="J75" s="4" t="s">
        <v>81</v>
      </c>
      <c r="K75" s="4" t="s">
        <v>363</v>
      </c>
      <c r="L75" s="4" t="s">
        <v>364</v>
      </c>
      <c r="M75" s="4" t="s">
        <v>365</v>
      </c>
      <c r="N75" s="4" t="s">
        <v>44</v>
      </c>
      <c r="O75" s="4" t="s">
        <v>366</v>
      </c>
      <c r="P75" s="4" t="s">
        <v>46</v>
      </c>
    </row>
    <row r="76" customFormat="false" ht="15" hidden="false" customHeight="false" outlineLevel="0" collapsed="false">
      <c r="A76" s="4" t="s">
        <v>367</v>
      </c>
      <c r="B76" s="4" t="s">
        <v>361</v>
      </c>
      <c r="C76" s="4" t="s">
        <v>304</v>
      </c>
      <c r="D76" s="4" t="s">
        <v>305</v>
      </c>
      <c r="E76" s="4" t="s">
        <v>311</v>
      </c>
      <c r="F76" s="4" t="s">
        <v>58</v>
      </c>
      <c r="G76" s="4" t="s">
        <v>59</v>
      </c>
      <c r="H76" s="4" t="n">
        <v>1</v>
      </c>
      <c r="I76" s="4" t="s">
        <v>368</v>
      </c>
      <c r="J76" s="4" t="s">
        <v>40</v>
      </c>
      <c r="K76" s="4" t="s">
        <v>369</v>
      </c>
      <c r="L76" s="4" t="s">
        <v>42</v>
      </c>
      <c r="M76" s="4" t="s">
        <v>43</v>
      </c>
      <c r="N76" s="4" t="s">
        <v>44</v>
      </c>
      <c r="O76" s="4" t="s">
        <v>370</v>
      </c>
      <c r="P76" s="4" t="s">
        <v>46</v>
      </c>
    </row>
    <row r="77" customFormat="false" ht="15" hidden="false" customHeight="false" outlineLevel="0" collapsed="false">
      <c r="A77" s="4" t="s">
        <v>371</v>
      </c>
      <c r="B77" s="4" t="s">
        <v>361</v>
      </c>
      <c r="C77" s="4" t="s">
        <v>372</v>
      </c>
      <c r="D77" s="4" t="s">
        <v>35</v>
      </c>
      <c r="E77" s="4" t="s">
        <v>36</v>
      </c>
      <c r="F77" s="4" t="s">
        <v>42</v>
      </c>
      <c r="G77" s="4" t="s">
        <v>38</v>
      </c>
      <c r="H77" s="4" t="n">
        <v>2</v>
      </c>
      <c r="I77" s="4" t="s">
        <v>39</v>
      </c>
      <c r="J77" s="4" t="s">
        <v>40</v>
      </c>
      <c r="K77" s="4" t="s">
        <v>85</v>
      </c>
      <c r="L77" s="4" t="s">
        <v>42</v>
      </c>
      <c r="M77" s="4" t="s">
        <v>43</v>
      </c>
      <c r="N77" s="4" t="s">
        <v>44</v>
      </c>
      <c r="O77" s="4" t="s">
        <v>86</v>
      </c>
      <c r="P77" s="4" t="s">
        <v>46</v>
      </c>
    </row>
    <row r="78" customFormat="false" ht="15" hidden="false" customHeight="false" outlineLevel="0" collapsed="false">
      <c r="A78" s="4" t="s">
        <v>373</v>
      </c>
      <c r="B78" s="4" t="s">
        <v>374</v>
      </c>
      <c r="C78" s="4" t="s">
        <v>304</v>
      </c>
      <c r="D78" s="4" t="s">
        <v>305</v>
      </c>
      <c r="E78" s="4" t="s">
        <v>306</v>
      </c>
      <c r="F78" s="4" t="s">
        <v>42</v>
      </c>
      <c r="G78" s="4" t="s">
        <v>38</v>
      </c>
      <c r="H78" s="4" t="n">
        <v>1</v>
      </c>
      <c r="I78" s="4" t="s">
        <v>349</v>
      </c>
      <c r="J78" s="4" t="s">
        <v>40</v>
      </c>
      <c r="K78" s="4" t="s">
        <v>375</v>
      </c>
      <c r="L78" s="4" t="s">
        <v>376</v>
      </c>
      <c r="M78" s="4" t="s">
        <v>377</v>
      </c>
      <c r="N78" s="4" t="s">
        <v>44</v>
      </c>
      <c r="O78" s="4" t="s">
        <v>378</v>
      </c>
      <c r="P78" s="4" t="s">
        <v>46</v>
      </c>
    </row>
    <row r="79" customFormat="false" ht="15" hidden="false" customHeight="false" outlineLevel="0" collapsed="false">
      <c r="A79" s="4" t="s">
        <v>379</v>
      </c>
      <c r="B79" s="4" t="s">
        <v>374</v>
      </c>
      <c r="C79" s="4" t="s">
        <v>304</v>
      </c>
      <c r="D79" s="4" t="s">
        <v>305</v>
      </c>
      <c r="E79" s="4" t="s">
        <v>306</v>
      </c>
      <c r="F79" s="4" t="s">
        <v>42</v>
      </c>
      <c r="G79" s="4" t="s">
        <v>38</v>
      </c>
      <c r="H79" s="4" t="n">
        <v>1</v>
      </c>
      <c r="I79" s="4" t="s">
        <v>380</v>
      </c>
      <c r="J79" s="4" t="s">
        <v>68</v>
      </c>
      <c r="K79" s="4" t="s">
        <v>381</v>
      </c>
      <c r="L79" s="4" t="s">
        <v>382</v>
      </c>
      <c r="M79" s="4" t="s">
        <v>43</v>
      </c>
      <c r="N79" s="4" t="s">
        <v>44</v>
      </c>
      <c r="O79" s="4" t="s">
        <v>383</v>
      </c>
      <c r="P79" s="4" t="s">
        <v>46</v>
      </c>
    </row>
    <row r="80" customFormat="false" ht="15" hidden="false" customHeight="false" outlineLevel="0" collapsed="false">
      <c r="A80" s="4" t="s">
        <v>384</v>
      </c>
      <c r="B80" s="4" t="s">
        <v>374</v>
      </c>
      <c r="C80" s="4" t="s">
        <v>304</v>
      </c>
      <c r="D80" s="4" t="s">
        <v>305</v>
      </c>
      <c r="E80" s="4" t="s">
        <v>306</v>
      </c>
      <c r="F80" s="4" t="s">
        <v>42</v>
      </c>
      <c r="G80" s="4" t="s">
        <v>38</v>
      </c>
      <c r="H80" s="4" t="n">
        <v>1</v>
      </c>
      <c r="I80" s="4" t="s">
        <v>385</v>
      </c>
      <c r="J80" s="4" t="s">
        <v>68</v>
      </c>
      <c r="K80" s="4" t="s">
        <v>103</v>
      </c>
      <c r="L80" s="4" t="s">
        <v>70</v>
      </c>
      <c r="M80" s="4" t="s">
        <v>133</v>
      </c>
      <c r="N80" s="4" t="s">
        <v>44</v>
      </c>
      <c r="O80" s="4" t="s">
        <v>104</v>
      </c>
      <c r="P80" s="4" t="s">
        <v>46</v>
      </c>
    </row>
    <row r="81" customFormat="false" ht="15" hidden="false" customHeight="false" outlineLevel="0" collapsed="false">
      <c r="A81" s="4" t="s">
        <v>386</v>
      </c>
      <c r="B81" s="4" t="s">
        <v>374</v>
      </c>
      <c r="C81" s="4" t="s">
        <v>304</v>
      </c>
      <c r="D81" s="4" t="s">
        <v>305</v>
      </c>
      <c r="E81" s="4" t="s">
        <v>306</v>
      </c>
      <c r="F81" s="4" t="s">
        <v>42</v>
      </c>
      <c r="G81" s="4" t="s">
        <v>326</v>
      </c>
      <c r="H81" s="4" t="n">
        <v>1</v>
      </c>
      <c r="I81" s="4"/>
      <c r="J81" s="4" t="s">
        <v>68</v>
      </c>
      <c r="K81" s="4" t="s">
        <v>387</v>
      </c>
      <c r="L81" s="4" t="s">
        <v>37</v>
      </c>
      <c r="M81" s="4" t="s">
        <v>43</v>
      </c>
      <c r="N81" s="4" t="s">
        <v>44</v>
      </c>
      <c r="O81" s="4" t="s">
        <v>388</v>
      </c>
      <c r="P81" s="4" t="s">
        <v>46</v>
      </c>
    </row>
    <row r="82" customFormat="false" ht="15" hidden="false" customHeight="false" outlineLevel="0" collapsed="false">
      <c r="A82" s="4" t="s">
        <v>389</v>
      </c>
      <c r="B82" s="4" t="s">
        <v>390</v>
      </c>
      <c r="C82" s="4" t="s">
        <v>304</v>
      </c>
      <c r="D82" s="4" t="s">
        <v>305</v>
      </c>
      <c r="E82" s="4" t="s">
        <v>311</v>
      </c>
      <c r="F82" s="4" t="s">
        <v>128</v>
      </c>
      <c r="G82" s="4" t="s">
        <v>38</v>
      </c>
      <c r="H82" s="4" t="n">
        <v>2</v>
      </c>
      <c r="I82" s="4" t="s">
        <v>391</v>
      </c>
      <c r="J82" s="4" t="s">
        <v>68</v>
      </c>
      <c r="K82" s="4" t="s">
        <v>392</v>
      </c>
      <c r="L82" s="4" t="s">
        <v>42</v>
      </c>
      <c r="M82" s="4" t="s">
        <v>43</v>
      </c>
      <c r="N82" s="4" t="s">
        <v>44</v>
      </c>
      <c r="O82" s="4" t="s">
        <v>393</v>
      </c>
      <c r="P82" s="4" t="s">
        <v>46</v>
      </c>
    </row>
    <row r="83" customFormat="false" ht="15" hidden="false" customHeight="false" outlineLevel="0" collapsed="false">
      <c r="A83" s="4" t="s">
        <v>394</v>
      </c>
      <c r="B83" s="4" t="s">
        <v>390</v>
      </c>
      <c r="C83" s="4" t="s">
        <v>304</v>
      </c>
      <c r="D83" s="4" t="s">
        <v>305</v>
      </c>
      <c r="E83" s="4" t="s">
        <v>306</v>
      </c>
      <c r="F83" s="4" t="s">
        <v>58</v>
      </c>
      <c r="G83" s="4" t="s">
        <v>326</v>
      </c>
      <c r="H83" s="4" t="n">
        <v>4</v>
      </c>
      <c r="I83" s="4" t="s">
        <v>395</v>
      </c>
      <c r="J83" s="4" t="s">
        <v>149</v>
      </c>
      <c r="K83" s="4" t="s">
        <v>396</v>
      </c>
      <c r="L83" s="4" t="s">
        <v>382</v>
      </c>
      <c r="M83" s="4" t="s">
        <v>43</v>
      </c>
      <c r="N83" s="4" t="s">
        <v>44</v>
      </c>
      <c r="O83" s="4" t="s">
        <v>397</v>
      </c>
      <c r="P83" s="4" t="s">
        <v>46</v>
      </c>
    </row>
    <row r="84" customFormat="false" ht="15" hidden="false" customHeight="false" outlineLevel="0" collapsed="false">
      <c r="A84" s="4" t="s">
        <v>398</v>
      </c>
      <c r="B84" s="4" t="s">
        <v>390</v>
      </c>
      <c r="C84" s="4" t="s">
        <v>390</v>
      </c>
      <c r="D84" s="4" t="s">
        <v>35</v>
      </c>
      <c r="E84" s="4" t="s">
        <v>49</v>
      </c>
      <c r="F84" s="4" t="s">
        <v>42</v>
      </c>
      <c r="G84" s="4" t="s">
        <v>38</v>
      </c>
      <c r="H84" s="4" t="n">
        <v>2</v>
      </c>
      <c r="I84" s="4" t="s">
        <v>39</v>
      </c>
      <c r="J84" s="4" t="s">
        <v>40</v>
      </c>
      <c r="K84" s="4" t="s">
        <v>139</v>
      </c>
      <c r="L84" s="4" t="s">
        <v>42</v>
      </c>
      <c r="M84" s="4" t="s">
        <v>43</v>
      </c>
      <c r="N84" s="4" t="s">
        <v>44</v>
      </c>
      <c r="O84" s="4" t="s">
        <v>140</v>
      </c>
      <c r="P84" s="4" t="s">
        <v>46</v>
      </c>
    </row>
    <row r="85" customFormat="false" ht="15" hidden="false" customHeight="false" outlineLevel="0" collapsed="false">
      <c r="A85" s="4" t="s">
        <v>399</v>
      </c>
      <c r="B85" s="4" t="s">
        <v>372</v>
      </c>
      <c r="C85" s="4" t="s">
        <v>304</v>
      </c>
      <c r="D85" s="4" t="s">
        <v>305</v>
      </c>
      <c r="E85" s="4" t="s">
        <v>306</v>
      </c>
      <c r="F85" s="4" t="s">
        <v>42</v>
      </c>
      <c r="G85" s="4" t="s">
        <v>326</v>
      </c>
      <c r="H85" s="4" t="n">
        <v>1</v>
      </c>
      <c r="I85" s="4" t="s">
        <v>400</v>
      </c>
      <c r="J85" s="4" t="s">
        <v>40</v>
      </c>
      <c r="K85" s="4" t="s">
        <v>284</v>
      </c>
      <c r="L85" s="4" t="s">
        <v>42</v>
      </c>
      <c r="M85" s="4" t="s">
        <v>43</v>
      </c>
      <c r="N85" s="4" t="s">
        <v>44</v>
      </c>
      <c r="O85" s="4" t="s">
        <v>285</v>
      </c>
      <c r="P85" s="4" t="s">
        <v>46</v>
      </c>
    </row>
    <row r="86" customFormat="false" ht="15" hidden="false" customHeight="false" outlineLevel="0" collapsed="false">
      <c r="A86" s="4" t="s">
        <v>401</v>
      </c>
      <c r="B86" s="4" t="s">
        <v>372</v>
      </c>
      <c r="C86" s="4" t="s">
        <v>304</v>
      </c>
      <c r="D86" s="4" t="s">
        <v>305</v>
      </c>
      <c r="E86" s="4" t="s">
        <v>306</v>
      </c>
      <c r="F86" s="4" t="s">
        <v>42</v>
      </c>
      <c r="G86" s="4" t="s">
        <v>38</v>
      </c>
      <c r="H86" s="4" t="n">
        <v>2</v>
      </c>
      <c r="I86" s="4" t="s">
        <v>402</v>
      </c>
      <c r="J86" s="4" t="s">
        <v>81</v>
      </c>
      <c r="K86" s="4" t="s">
        <v>162</v>
      </c>
      <c r="L86" s="4" t="s">
        <v>70</v>
      </c>
      <c r="M86" s="4" t="s">
        <v>43</v>
      </c>
      <c r="N86" s="4" t="s">
        <v>44</v>
      </c>
      <c r="O86" s="4" t="s">
        <v>163</v>
      </c>
      <c r="P86" s="4" t="s">
        <v>46</v>
      </c>
    </row>
    <row r="87" customFormat="false" ht="15" hidden="false" customHeight="false" outlineLevel="0" collapsed="false">
      <c r="A87" s="4" t="s">
        <v>403</v>
      </c>
      <c r="B87" s="4" t="s">
        <v>372</v>
      </c>
      <c r="C87" s="4" t="s">
        <v>304</v>
      </c>
      <c r="D87" s="4" t="s">
        <v>305</v>
      </c>
      <c r="E87" s="4" t="s">
        <v>306</v>
      </c>
      <c r="F87" s="4" t="s">
        <v>42</v>
      </c>
      <c r="G87" s="4" t="s">
        <v>38</v>
      </c>
      <c r="H87" s="4" t="n">
        <v>1</v>
      </c>
      <c r="I87" s="4" t="s">
        <v>404</v>
      </c>
      <c r="J87" s="4" t="s">
        <v>40</v>
      </c>
      <c r="K87" s="4" t="s">
        <v>405</v>
      </c>
      <c r="L87" s="4" t="s">
        <v>42</v>
      </c>
      <c r="M87" s="4" t="s">
        <v>43</v>
      </c>
      <c r="N87" s="4" t="s">
        <v>185</v>
      </c>
      <c r="O87" s="4" t="s">
        <v>406</v>
      </c>
      <c r="P87" s="4" t="s">
        <v>46</v>
      </c>
    </row>
    <row r="88" customFormat="false" ht="15" hidden="false" customHeight="false" outlineLevel="0" collapsed="false">
      <c r="A88" s="4" t="s">
        <v>407</v>
      </c>
      <c r="B88" s="4" t="s">
        <v>408</v>
      </c>
      <c r="C88" s="4" t="s">
        <v>304</v>
      </c>
      <c r="D88" s="4" t="s">
        <v>305</v>
      </c>
      <c r="E88" s="4" t="s">
        <v>306</v>
      </c>
      <c r="F88" s="4" t="s">
        <v>42</v>
      </c>
      <c r="G88" s="4" t="s">
        <v>59</v>
      </c>
      <c r="H88" s="4" t="n">
        <v>3</v>
      </c>
      <c r="I88" s="4" t="s">
        <v>409</v>
      </c>
      <c r="J88" s="4" t="s">
        <v>40</v>
      </c>
      <c r="K88" s="4" t="s">
        <v>410</v>
      </c>
      <c r="L88" s="4" t="s">
        <v>411</v>
      </c>
      <c r="M88" s="4" t="s">
        <v>412</v>
      </c>
      <c r="N88" s="4" t="s">
        <v>44</v>
      </c>
      <c r="O88" s="4" t="s">
        <v>413</v>
      </c>
      <c r="P88" s="4" t="s">
        <v>46</v>
      </c>
    </row>
    <row r="89" customFormat="false" ht="15" hidden="false" customHeight="false" outlineLevel="0" collapsed="false">
      <c r="A89" s="4" t="s">
        <v>414</v>
      </c>
      <c r="B89" s="4" t="s">
        <v>408</v>
      </c>
      <c r="C89" s="4" t="s">
        <v>304</v>
      </c>
      <c r="D89" s="4" t="s">
        <v>305</v>
      </c>
      <c r="E89" s="4" t="s">
        <v>345</v>
      </c>
      <c r="F89" s="4" t="s">
        <v>42</v>
      </c>
      <c r="G89" s="4" t="s">
        <v>59</v>
      </c>
      <c r="H89" s="4" t="n">
        <v>3</v>
      </c>
      <c r="I89" s="4" t="s">
        <v>415</v>
      </c>
      <c r="J89" s="4" t="s">
        <v>68</v>
      </c>
      <c r="K89" s="4" t="s">
        <v>416</v>
      </c>
      <c r="L89" s="4" t="s">
        <v>42</v>
      </c>
      <c r="M89" s="4" t="s">
        <v>43</v>
      </c>
      <c r="N89" s="4" t="s">
        <v>44</v>
      </c>
      <c r="O89" s="4" t="s">
        <v>417</v>
      </c>
      <c r="P89" s="4" t="s">
        <v>46</v>
      </c>
    </row>
    <row r="90" customFormat="false" ht="15" hidden="false" customHeight="false" outlineLevel="0" collapsed="false">
      <c r="A90" s="4" t="s">
        <v>418</v>
      </c>
      <c r="B90" s="4" t="s">
        <v>419</v>
      </c>
      <c r="C90" s="4" t="s">
        <v>304</v>
      </c>
      <c r="D90" s="4" t="s">
        <v>305</v>
      </c>
      <c r="E90" s="4" t="s">
        <v>323</v>
      </c>
      <c r="F90" s="4" t="s">
        <v>58</v>
      </c>
      <c r="G90" s="4" t="s">
        <v>59</v>
      </c>
      <c r="H90" s="4" t="n">
        <v>1</v>
      </c>
      <c r="I90" s="4" t="s">
        <v>420</v>
      </c>
      <c r="J90" s="4" t="s">
        <v>149</v>
      </c>
      <c r="K90" s="4" t="s">
        <v>210</v>
      </c>
      <c r="L90" s="4" t="s">
        <v>42</v>
      </c>
      <c r="M90" s="4" t="s">
        <v>43</v>
      </c>
      <c r="N90" s="4" t="s">
        <v>94</v>
      </c>
      <c r="O90" s="4" t="s">
        <v>211</v>
      </c>
      <c r="P90" s="4" t="s">
        <v>46</v>
      </c>
    </row>
    <row r="91" customFormat="false" ht="15" hidden="false" customHeight="false" outlineLevel="0" collapsed="false">
      <c r="A91" s="4" t="s">
        <v>421</v>
      </c>
      <c r="B91" s="4" t="s">
        <v>419</v>
      </c>
      <c r="C91" s="4" t="s">
        <v>304</v>
      </c>
      <c r="D91" s="4" t="s">
        <v>305</v>
      </c>
      <c r="E91" s="4" t="s">
        <v>306</v>
      </c>
      <c r="F91" s="4" t="s">
        <v>58</v>
      </c>
      <c r="G91" s="4" t="s">
        <v>59</v>
      </c>
      <c r="H91" s="4" t="n">
        <v>2</v>
      </c>
      <c r="I91" s="4" t="s">
        <v>422</v>
      </c>
      <c r="J91" s="4" t="s">
        <v>40</v>
      </c>
      <c r="K91" s="4" t="s">
        <v>423</v>
      </c>
      <c r="L91" s="4" t="s">
        <v>70</v>
      </c>
      <c r="M91" s="4" t="s">
        <v>43</v>
      </c>
      <c r="N91" s="4" t="s">
        <v>44</v>
      </c>
      <c r="O91" s="4" t="s">
        <v>424</v>
      </c>
      <c r="P91" s="4" t="s">
        <v>46</v>
      </c>
    </row>
    <row r="92" customFormat="false" ht="15" hidden="false" customHeight="false" outlineLevel="0" collapsed="false">
      <c r="A92" s="4" t="s">
        <v>425</v>
      </c>
      <c r="B92" s="4" t="s">
        <v>419</v>
      </c>
      <c r="C92" s="4" t="s">
        <v>304</v>
      </c>
      <c r="D92" s="4" t="s">
        <v>305</v>
      </c>
      <c r="E92" s="4" t="s">
        <v>345</v>
      </c>
      <c r="F92" s="4" t="s">
        <v>42</v>
      </c>
      <c r="G92" s="4" t="s">
        <v>59</v>
      </c>
      <c r="H92" s="4" t="n">
        <v>4</v>
      </c>
      <c r="I92" s="4" t="s">
        <v>426</v>
      </c>
      <c r="J92" s="4" t="s">
        <v>149</v>
      </c>
      <c r="K92" s="4" t="s">
        <v>350</v>
      </c>
      <c r="L92" s="4" t="s">
        <v>37</v>
      </c>
      <c r="M92" s="4" t="s">
        <v>43</v>
      </c>
      <c r="N92" s="4" t="s">
        <v>44</v>
      </c>
      <c r="O92" s="4" t="s">
        <v>351</v>
      </c>
      <c r="P92" s="4" t="s">
        <v>46</v>
      </c>
    </row>
    <row r="93" customFormat="false" ht="15" hidden="false" customHeight="false" outlineLevel="0" collapsed="false">
      <c r="A93" s="4" t="s">
        <v>427</v>
      </c>
      <c r="B93" s="4" t="s">
        <v>419</v>
      </c>
      <c r="C93" s="4" t="s">
        <v>304</v>
      </c>
      <c r="D93" s="4" t="s">
        <v>305</v>
      </c>
      <c r="E93" s="4" t="s">
        <v>325</v>
      </c>
      <c r="F93" s="4" t="s">
        <v>42</v>
      </c>
      <c r="G93" s="4" t="s">
        <v>326</v>
      </c>
      <c r="H93" s="4" t="n">
        <v>1</v>
      </c>
      <c r="I93" s="4" t="s">
        <v>428</v>
      </c>
      <c r="J93" s="4" t="s">
        <v>149</v>
      </c>
      <c r="K93" s="4" t="s">
        <v>320</v>
      </c>
      <c r="L93" s="4" t="s">
        <v>42</v>
      </c>
      <c r="M93" s="4" t="s">
        <v>43</v>
      </c>
      <c r="N93" s="4" t="s">
        <v>185</v>
      </c>
      <c r="O93" s="4" t="s">
        <v>321</v>
      </c>
      <c r="P93" s="4" t="s">
        <v>46</v>
      </c>
    </row>
    <row r="94" customFormat="false" ht="15" hidden="false" customHeight="false" outlineLevel="0" collapsed="false">
      <c r="A94" s="4" t="s">
        <v>429</v>
      </c>
      <c r="B94" s="4" t="s">
        <v>419</v>
      </c>
      <c r="C94" s="4" t="s">
        <v>304</v>
      </c>
      <c r="D94" s="4" t="s">
        <v>305</v>
      </c>
      <c r="E94" s="4" t="s">
        <v>306</v>
      </c>
      <c r="F94" s="4" t="s">
        <v>128</v>
      </c>
      <c r="G94" s="4" t="s">
        <v>38</v>
      </c>
      <c r="H94" s="4" t="n">
        <v>2</v>
      </c>
      <c r="I94" s="4" t="s">
        <v>430</v>
      </c>
      <c r="J94" s="4" t="s">
        <v>40</v>
      </c>
      <c r="K94" s="4" t="s">
        <v>431</v>
      </c>
      <c r="L94" s="4" t="s">
        <v>432</v>
      </c>
      <c r="M94" s="4" t="s">
        <v>356</v>
      </c>
      <c r="N94" s="4" t="s">
        <v>433</v>
      </c>
      <c r="O94" s="4"/>
      <c r="P94" s="4" t="s">
        <v>46</v>
      </c>
    </row>
    <row r="95" customFormat="false" ht="15" hidden="false" customHeight="false" outlineLevel="0" collapsed="false">
      <c r="A95" s="4" t="s">
        <v>434</v>
      </c>
      <c r="B95" s="4" t="s">
        <v>419</v>
      </c>
      <c r="C95" s="4" t="s">
        <v>304</v>
      </c>
      <c r="D95" s="4" t="s">
        <v>305</v>
      </c>
      <c r="E95" s="4" t="s">
        <v>306</v>
      </c>
      <c r="F95" s="4" t="s">
        <v>42</v>
      </c>
      <c r="G95" s="4" t="s">
        <v>59</v>
      </c>
      <c r="H95" s="4" t="n">
        <v>2</v>
      </c>
      <c r="I95" s="4" t="s">
        <v>430</v>
      </c>
      <c r="J95" s="4" t="s">
        <v>40</v>
      </c>
      <c r="K95" s="4" t="s">
        <v>139</v>
      </c>
      <c r="L95" s="4" t="s">
        <v>70</v>
      </c>
      <c r="M95" s="4" t="s">
        <v>43</v>
      </c>
      <c r="N95" s="4" t="s">
        <v>185</v>
      </c>
      <c r="O95" s="4" t="s">
        <v>140</v>
      </c>
      <c r="P95" s="4" t="s">
        <v>46</v>
      </c>
    </row>
    <row r="96" customFormat="false" ht="15" hidden="false" customHeight="false" outlineLevel="0" collapsed="false">
      <c r="A96" s="4" t="s">
        <v>435</v>
      </c>
      <c r="B96" s="4" t="s">
        <v>436</v>
      </c>
      <c r="C96" s="4" t="s">
        <v>304</v>
      </c>
      <c r="D96" s="4" t="s">
        <v>305</v>
      </c>
      <c r="E96" s="4" t="s">
        <v>306</v>
      </c>
      <c r="F96" s="4" t="s">
        <v>42</v>
      </c>
      <c r="G96" s="4" t="s">
        <v>59</v>
      </c>
      <c r="H96" s="4" t="n">
        <v>2</v>
      </c>
      <c r="I96" s="4" t="s">
        <v>437</v>
      </c>
      <c r="J96" s="4" t="s">
        <v>149</v>
      </c>
      <c r="K96" s="4" t="s">
        <v>438</v>
      </c>
      <c r="L96" s="4" t="s">
        <v>382</v>
      </c>
      <c r="M96" s="4" t="s">
        <v>43</v>
      </c>
      <c r="N96" s="4" t="s">
        <v>44</v>
      </c>
      <c r="O96" s="4" t="s">
        <v>439</v>
      </c>
      <c r="P96" s="4" t="s">
        <v>46</v>
      </c>
    </row>
    <row r="97" customFormat="false" ht="15" hidden="false" customHeight="false" outlineLevel="0" collapsed="false">
      <c r="A97" s="4" t="s">
        <v>440</v>
      </c>
      <c r="B97" s="4" t="s">
        <v>436</v>
      </c>
      <c r="C97" s="4" t="s">
        <v>304</v>
      </c>
      <c r="D97" s="4" t="s">
        <v>305</v>
      </c>
      <c r="E97" s="4" t="s">
        <v>306</v>
      </c>
      <c r="F97" s="4" t="s">
        <v>70</v>
      </c>
      <c r="G97" s="4" t="s">
        <v>38</v>
      </c>
      <c r="H97" s="4" t="n">
        <v>1</v>
      </c>
      <c r="I97" s="4" t="s">
        <v>441</v>
      </c>
      <c r="J97" s="4" t="s">
        <v>68</v>
      </c>
      <c r="K97" s="4" t="s">
        <v>442</v>
      </c>
      <c r="L97" s="4" t="s">
        <v>42</v>
      </c>
      <c r="M97" s="4" t="s">
        <v>43</v>
      </c>
      <c r="N97" s="4" t="s">
        <v>44</v>
      </c>
      <c r="O97" s="4" t="s">
        <v>443</v>
      </c>
      <c r="P97" s="4" t="s">
        <v>46</v>
      </c>
    </row>
    <row r="98" customFormat="false" ht="15" hidden="false" customHeight="false" outlineLevel="0" collapsed="false">
      <c r="A98" s="4" t="s">
        <v>444</v>
      </c>
      <c r="B98" s="4" t="s">
        <v>436</v>
      </c>
      <c r="C98" s="4" t="s">
        <v>304</v>
      </c>
      <c r="D98" s="4" t="s">
        <v>305</v>
      </c>
      <c r="E98" s="4" t="s">
        <v>306</v>
      </c>
      <c r="F98" s="4" t="s">
        <v>42</v>
      </c>
      <c r="G98" s="4" t="s">
        <v>38</v>
      </c>
      <c r="H98" s="4" t="n">
        <v>1</v>
      </c>
      <c r="I98" s="4" t="s">
        <v>445</v>
      </c>
      <c r="J98" s="4" t="s">
        <v>81</v>
      </c>
      <c r="K98" s="4" t="s">
        <v>446</v>
      </c>
      <c r="L98" s="4" t="s">
        <v>382</v>
      </c>
      <c r="M98" s="4" t="s">
        <v>43</v>
      </c>
      <c r="N98" s="4" t="s">
        <v>44</v>
      </c>
      <c r="O98" s="4" t="s">
        <v>447</v>
      </c>
      <c r="P98" s="4" t="s">
        <v>46</v>
      </c>
    </row>
    <row r="99" customFormat="false" ht="15" hidden="false" customHeight="false" outlineLevel="0" collapsed="false">
      <c r="A99" s="4" t="s">
        <v>448</v>
      </c>
      <c r="B99" s="4" t="s">
        <v>436</v>
      </c>
      <c r="C99" s="4" t="s">
        <v>304</v>
      </c>
      <c r="D99" s="4" t="s">
        <v>305</v>
      </c>
      <c r="E99" s="4" t="s">
        <v>306</v>
      </c>
      <c r="F99" s="4" t="s">
        <v>42</v>
      </c>
      <c r="G99" s="4" t="s">
        <v>38</v>
      </c>
      <c r="H99" s="4" t="n">
        <v>3</v>
      </c>
      <c r="I99" s="4" t="s">
        <v>449</v>
      </c>
      <c r="J99" s="4" t="s">
        <v>40</v>
      </c>
      <c r="K99" s="4" t="s">
        <v>450</v>
      </c>
      <c r="L99" s="4" t="s">
        <v>42</v>
      </c>
      <c r="M99" s="4" t="s">
        <v>43</v>
      </c>
      <c r="N99" s="4" t="s">
        <v>44</v>
      </c>
      <c r="O99" s="4" t="s">
        <v>451</v>
      </c>
      <c r="P99" s="4" t="s">
        <v>46</v>
      </c>
    </row>
    <row r="100" customFormat="false" ht="15" hidden="false" customHeight="false" outlineLevel="0" collapsed="false">
      <c r="A100" s="4" t="s">
        <v>452</v>
      </c>
      <c r="B100" s="4" t="s">
        <v>436</v>
      </c>
      <c r="C100" s="4" t="s">
        <v>304</v>
      </c>
      <c r="D100" s="4" t="s">
        <v>305</v>
      </c>
      <c r="E100" s="4" t="s">
        <v>306</v>
      </c>
      <c r="F100" s="4" t="s">
        <v>42</v>
      </c>
      <c r="G100" s="4" t="s">
        <v>38</v>
      </c>
      <c r="H100" s="4" t="n">
        <v>1</v>
      </c>
      <c r="I100" s="4" t="s">
        <v>453</v>
      </c>
      <c r="J100" s="4" t="s">
        <v>149</v>
      </c>
      <c r="K100" s="4" t="s">
        <v>454</v>
      </c>
      <c r="L100" s="4" t="s">
        <v>455</v>
      </c>
      <c r="M100" s="4" t="s">
        <v>456</v>
      </c>
      <c r="N100" s="4" t="s">
        <v>185</v>
      </c>
      <c r="O100" s="4" t="s">
        <v>457</v>
      </c>
      <c r="P100" s="4" t="s">
        <v>46</v>
      </c>
    </row>
    <row r="101" customFormat="false" ht="15" hidden="false" customHeight="false" outlineLevel="0" collapsed="false">
      <c r="A101" s="4" t="s">
        <v>458</v>
      </c>
      <c r="B101" s="4" t="s">
        <v>459</v>
      </c>
      <c r="C101" s="4" t="s">
        <v>304</v>
      </c>
      <c r="D101" s="4" t="s">
        <v>305</v>
      </c>
      <c r="E101" s="4" t="s">
        <v>306</v>
      </c>
      <c r="F101" s="4" t="s">
        <v>42</v>
      </c>
      <c r="G101" s="4" t="s">
        <v>59</v>
      </c>
      <c r="H101" s="4" t="n">
        <v>1</v>
      </c>
      <c r="I101" s="4" t="s">
        <v>368</v>
      </c>
      <c r="J101" s="4" t="s">
        <v>68</v>
      </c>
      <c r="K101" s="4" t="s">
        <v>313</v>
      </c>
      <c r="L101" s="4" t="s">
        <v>42</v>
      </c>
      <c r="M101" s="4" t="s">
        <v>43</v>
      </c>
      <c r="N101" s="4" t="s">
        <v>44</v>
      </c>
      <c r="O101" s="4" t="s">
        <v>314</v>
      </c>
      <c r="P101" s="4" t="s">
        <v>46</v>
      </c>
    </row>
    <row r="102" customFormat="false" ht="15" hidden="false" customHeight="false" outlineLevel="0" collapsed="false">
      <c r="A102" s="4" t="s">
        <v>460</v>
      </c>
      <c r="B102" s="4" t="s">
        <v>459</v>
      </c>
      <c r="C102" s="4" t="s">
        <v>304</v>
      </c>
      <c r="D102" s="4" t="s">
        <v>305</v>
      </c>
      <c r="E102" s="4" t="s">
        <v>306</v>
      </c>
      <c r="F102" s="4" t="s">
        <v>42</v>
      </c>
      <c r="G102" s="4" t="s">
        <v>38</v>
      </c>
      <c r="H102" s="4" t="n">
        <v>1</v>
      </c>
      <c r="I102" s="4" t="s">
        <v>461</v>
      </c>
      <c r="J102" s="4" t="s">
        <v>68</v>
      </c>
      <c r="K102" s="4" t="s">
        <v>462</v>
      </c>
      <c r="L102" s="4" t="s">
        <v>463</v>
      </c>
      <c r="M102" s="4" t="s">
        <v>464</v>
      </c>
      <c r="N102" s="4" t="s">
        <v>44</v>
      </c>
      <c r="O102" s="4" t="s">
        <v>465</v>
      </c>
      <c r="P102" s="4" t="s">
        <v>46</v>
      </c>
    </row>
    <row r="103" customFormat="false" ht="15" hidden="false" customHeight="false" outlineLevel="0" collapsed="false">
      <c r="A103" s="4" t="s">
        <v>466</v>
      </c>
      <c r="B103" s="4" t="s">
        <v>459</v>
      </c>
      <c r="C103" s="4" t="s">
        <v>304</v>
      </c>
      <c r="D103" s="4" t="s">
        <v>305</v>
      </c>
      <c r="E103" s="4" t="s">
        <v>323</v>
      </c>
      <c r="F103" s="4" t="s">
        <v>70</v>
      </c>
      <c r="G103" s="4" t="s">
        <v>59</v>
      </c>
      <c r="H103" s="4" t="n">
        <v>2</v>
      </c>
      <c r="I103" s="4" t="s">
        <v>409</v>
      </c>
      <c r="J103" s="4" t="s">
        <v>68</v>
      </c>
      <c r="K103" s="4" t="s">
        <v>257</v>
      </c>
      <c r="L103" s="4" t="s">
        <v>58</v>
      </c>
      <c r="M103" s="4" t="s">
        <v>43</v>
      </c>
      <c r="N103" s="4" t="s">
        <v>44</v>
      </c>
      <c r="O103" s="4" t="s">
        <v>258</v>
      </c>
      <c r="P103" s="4" t="s">
        <v>46</v>
      </c>
    </row>
    <row r="104" customFormat="false" ht="15" hidden="false" customHeight="false" outlineLevel="0" collapsed="false">
      <c r="A104" s="4" t="s">
        <v>467</v>
      </c>
      <c r="B104" s="4" t="s">
        <v>468</v>
      </c>
      <c r="C104" s="4" t="s">
        <v>304</v>
      </c>
      <c r="D104" s="4" t="s">
        <v>305</v>
      </c>
      <c r="E104" s="4" t="s">
        <v>306</v>
      </c>
      <c r="F104" s="4" t="s">
        <v>58</v>
      </c>
      <c r="G104" s="4" t="s">
        <v>38</v>
      </c>
      <c r="H104" s="4" t="n">
        <v>3</v>
      </c>
      <c r="I104" s="4" t="s">
        <v>469</v>
      </c>
      <c r="J104" s="4" t="s">
        <v>81</v>
      </c>
      <c r="K104" s="4" t="s">
        <v>470</v>
      </c>
      <c r="L104" s="4" t="s">
        <v>42</v>
      </c>
      <c r="M104" s="4" t="s">
        <v>43</v>
      </c>
      <c r="N104" s="4" t="s">
        <v>44</v>
      </c>
      <c r="O104" s="4" t="s">
        <v>471</v>
      </c>
      <c r="P104" s="4" t="s">
        <v>46</v>
      </c>
    </row>
    <row r="105" customFormat="false" ht="15" hidden="false" customHeight="false" outlineLevel="0" collapsed="false">
      <c r="A105" s="4" t="s">
        <v>472</v>
      </c>
      <c r="B105" s="4" t="s">
        <v>473</v>
      </c>
      <c r="C105" s="4" t="s">
        <v>304</v>
      </c>
      <c r="D105" s="4" t="s">
        <v>305</v>
      </c>
      <c r="E105" s="4" t="s">
        <v>311</v>
      </c>
      <c r="F105" s="4" t="s">
        <v>42</v>
      </c>
      <c r="G105" s="4" t="s">
        <v>38</v>
      </c>
      <c r="H105" s="4" t="n">
        <v>1</v>
      </c>
      <c r="I105" s="4" t="s">
        <v>474</v>
      </c>
      <c r="J105" s="4" t="s">
        <v>68</v>
      </c>
      <c r="K105" s="4" t="s">
        <v>475</v>
      </c>
      <c r="L105" s="4" t="s">
        <v>58</v>
      </c>
      <c r="M105" s="4" t="s">
        <v>43</v>
      </c>
      <c r="N105" s="4" t="s">
        <v>52</v>
      </c>
      <c r="O105" s="4" t="s">
        <v>476</v>
      </c>
      <c r="P105" s="4" t="s">
        <v>46</v>
      </c>
    </row>
    <row r="106" customFormat="false" ht="15" hidden="false" customHeight="false" outlineLevel="0" collapsed="false">
      <c r="A106" s="4" t="s">
        <v>477</v>
      </c>
      <c r="B106" s="4" t="s">
        <v>473</v>
      </c>
      <c r="C106" s="4" t="s">
        <v>478</v>
      </c>
      <c r="D106" s="4" t="s">
        <v>35</v>
      </c>
      <c r="E106" s="4" t="s">
        <v>66</v>
      </c>
      <c r="F106" s="4" t="s">
        <v>58</v>
      </c>
      <c r="G106" s="4" t="s">
        <v>59</v>
      </c>
      <c r="H106" s="4" t="n">
        <v>1</v>
      </c>
      <c r="I106" s="4" t="s">
        <v>317</v>
      </c>
      <c r="J106" s="4" t="s">
        <v>40</v>
      </c>
      <c r="K106" s="4" t="s">
        <v>479</v>
      </c>
      <c r="L106" s="4" t="s">
        <v>480</v>
      </c>
      <c r="M106" s="4" t="s">
        <v>43</v>
      </c>
      <c r="N106" s="4" t="s">
        <v>44</v>
      </c>
      <c r="O106" s="4" t="s">
        <v>481</v>
      </c>
      <c r="P106" s="4" t="s">
        <v>46</v>
      </c>
    </row>
    <row r="107" customFormat="false" ht="15" hidden="false" customHeight="false" outlineLevel="0" collapsed="false">
      <c r="A107" s="4" t="s">
        <v>482</v>
      </c>
      <c r="B107" s="4" t="s">
        <v>478</v>
      </c>
      <c r="C107" s="4" t="s">
        <v>304</v>
      </c>
      <c r="D107" s="4" t="s">
        <v>305</v>
      </c>
      <c r="E107" s="4" t="s">
        <v>306</v>
      </c>
      <c r="F107" s="4" t="s">
        <v>42</v>
      </c>
      <c r="G107" s="4" t="s">
        <v>38</v>
      </c>
      <c r="H107" s="4" t="n">
        <v>1</v>
      </c>
      <c r="I107" s="4" t="s">
        <v>483</v>
      </c>
      <c r="J107" s="4" t="s">
        <v>68</v>
      </c>
      <c r="K107" s="4" t="s">
        <v>484</v>
      </c>
      <c r="L107" s="4" t="s">
        <v>58</v>
      </c>
      <c r="M107" s="4" t="s">
        <v>43</v>
      </c>
      <c r="N107" s="4" t="s">
        <v>185</v>
      </c>
      <c r="O107" s="4" t="s">
        <v>485</v>
      </c>
      <c r="P107" s="4" t="s">
        <v>46</v>
      </c>
    </row>
    <row r="108" customFormat="false" ht="15" hidden="false" customHeight="false" outlineLevel="0" collapsed="false">
      <c r="A108" s="4" t="s">
        <v>486</v>
      </c>
      <c r="B108" s="4" t="s">
        <v>478</v>
      </c>
      <c r="C108" s="4" t="s">
        <v>304</v>
      </c>
      <c r="D108" s="4" t="s">
        <v>305</v>
      </c>
      <c r="E108" s="4" t="s">
        <v>306</v>
      </c>
      <c r="F108" s="4" t="s">
        <v>42</v>
      </c>
      <c r="G108" s="4" t="s">
        <v>59</v>
      </c>
      <c r="H108" s="4" t="n">
        <v>2</v>
      </c>
      <c r="I108" s="4" t="s">
        <v>487</v>
      </c>
      <c r="J108" s="4" t="s">
        <v>68</v>
      </c>
      <c r="K108" s="4" t="s">
        <v>488</v>
      </c>
      <c r="L108" s="4" t="s">
        <v>382</v>
      </c>
      <c r="M108" s="4" t="s">
        <v>43</v>
      </c>
      <c r="N108" s="4" t="s">
        <v>44</v>
      </c>
      <c r="O108" s="4" t="s">
        <v>489</v>
      </c>
      <c r="P108" s="4" t="s">
        <v>46</v>
      </c>
    </row>
    <row r="109" customFormat="false" ht="15" hidden="false" customHeight="false" outlineLevel="0" collapsed="false">
      <c r="A109" s="4" t="s">
        <v>490</v>
      </c>
      <c r="B109" s="4" t="s">
        <v>478</v>
      </c>
      <c r="C109" s="4" t="s">
        <v>304</v>
      </c>
      <c r="D109" s="4" t="s">
        <v>305</v>
      </c>
      <c r="E109" s="4" t="s">
        <v>325</v>
      </c>
      <c r="F109" s="4" t="s">
        <v>42</v>
      </c>
      <c r="G109" s="4" t="s">
        <v>38</v>
      </c>
      <c r="H109" s="4" t="n">
        <v>3</v>
      </c>
      <c r="I109" s="4" t="s">
        <v>349</v>
      </c>
      <c r="J109" s="4" t="s">
        <v>81</v>
      </c>
      <c r="K109" s="4" t="s">
        <v>491</v>
      </c>
      <c r="L109" s="4" t="s">
        <v>58</v>
      </c>
      <c r="M109" s="4" t="s">
        <v>43</v>
      </c>
      <c r="N109" s="4" t="s">
        <v>185</v>
      </c>
      <c r="O109" s="4" t="s">
        <v>492</v>
      </c>
      <c r="P109" s="4" t="s">
        <v>46</v>
      </c>
    </row>
    <row r="110" customFormat="false" ht="15" hidden="false" customHeight="false" outlineLevel="0" collapsed="false">
      <c r="A110" s="4" t="s">
        <v>493</v>
      </c>
      <c r="B110" s="4" t="s">
        <v>494</v>
      </c>
      <c r="C110" s="4" t="s">
        <v>304</v>
      </c>
      <c r="D110" s="4" t="s">
        <v>305</v>
      </c>
      <c r="E110" s="4" t="s">
        <v>306</v>
      </c>
      <c r="F110" s="4" t="s">
        <v>42</v>
      </c>
      <c r="G110" s="4" t="s">
        <v>59</v>
      </c>
      <c r="H110" s="4" t="n">
        <v>2</v>
      </c>
      <c r="I110" s="4" t="s">
        <v>495</v>
      </c>
      <c r="J110" s="4" t="s">
        <v>81</v>
      </c>
      <c r="K110" s="4" t="s">
        <v>265</v>
      </c>
      <c r="L110" s="4" t="s">
        <v>70</v>
      </c>
      <c r="M110" s="4" t="s">
        <v>43</v>
      </c>
      <c r="N110" s="4" t="s">
        <v>44</v>
      </c>
      <c r="O110" s="4" t="s">
        <v>266</v>
      </c>
      <c r="P110" s="4" t="s">
        <v>46</v>
      </c>
    </row>
    <row r="111" customFormat="false" ht="15" hidden="false" customHeight="false" outlineLevel="0" collapsed="false">
      <c r="A111" s="4" t="s">
        <v>496</v>
      </c>
      <c r="B111" s="4" t="s">
        <v>494</v>
      </c>
      <c r="C111" s="4" t="s">
        <v>304</v>
      </c>
      <c r="D111" s="4" t="s">
        <v>305</v>
      </c>
      <c r="E111" s="4" t="s">
        <v>345</v>
      </c>
      <c r="F111" s="4" t="s">
        <v>58</v>
      </c>
      <c r="G111" s="4" t="s">
        <v>326</v>
      </c>
      <c r="H111" s="4" t="n">
        <v>2</v>
      </c>
      <c r="I111" s="4" t="s">
        <v>497</v>
      </c>
      <c r="J111" s="4" t="s">
        <v>40</v>
      </c>
      <c r="K111" s="4" t="s">
        <v>498</v>
      </c>
      <c r="L111" s="4" t="s">
        <v>42</v>
      </c>
      <c r="M111" s="4" t="s">
        <v>43</v>
      </c>
      <c r="N111" s="4" t="s">
        <v>44</v>
      </c>
      <c r="O111" s="4" t="s">
        <v>499</v>
      </c>
      <c r="P111" s="4" t="s">
        <v>46</v>
      </c>
    </row>
    <row r="112" customFormat="false" ht="15" hidden="false" customHeight="false" outlineLevel="0" collapsed="false">
      <c r="A112" s="4" t="s">
        <v>500</v>
      </c>
      <c r="B112" s="4" t="s">
        <v>494</v>
      </c>
      <c r="C112" s="4" t="s">
        <v>304</v>
      </c>
      <c r="D112" s="4" t="s">
        <v>305</v>
      </c>
      <c r="E112" s="4" t="s">
        <v>306</v>
      </c>
      <c r="F112" s="4" t="s">
        <v>42</v>
      </c>
      <c r="G112" s="4" t="s">
        <v>38</v>
      </c>
      <c r="H112" s="4" t="n">
        <v>2</v>
      </c>
      <c r="I112" s="4" t="s">
        <v>402</v>
      </c>
      <c r="J112" s="4" t="s">
        <v>81</v>
      </c>
      <c r="K112" s="4" t="s">
        <v>501</v>
      </c>
      <c r="L112" s="4" t="s">
        <v>42</v>
      </c>
      <c r="M112" s="4" t="s">
        <v>43</v>
      </c>
      <c r="N112" s="4" t="s">
        <v>44</v>
      </c>
      <c r="O112" s="4" t="s">
        <v>502</v>
      </c>
      <c r="P112" s="4" t="s">
        <v>46</v>
      </c>
    </row>
    <row r="113" customFormat="false" ht="15" hidden="false" customHeight="false" outlineLevel="0" collapsed="false">
      <c r="A113" s="4" t="s">
        <v>503</v>
      </c>
      <c r="B113" s="4" t="s">
        <v>494</v>
      </c>
      <c r="C113" s="4" t="s">
        <v>304</v>
      </c>
      <c r="D113" s="4" t="s">
        <v>305</v>
      </c>
      <c r="E113" s="4" t="s">
        <v>306</v>
      </c>
      <c r="F113" s="4" t="s">
        <v>128</v>
      </c>
      <c r="G113" s="4" t="s">
        <v>59</v>
      </c>
      <c r="H113" s="4" t="n">
        <v>1</v>
      </c>
      <c r="I113" s="4" t="s">
        <v>504</v>
      </c>
      <c r="J113" s="4" t="s">
        <v>149</v>
      </c>
      <c r="K113" s="4" t="s">
        <v>505</v>
      </c>
      <c r="L113" s="4" t="s">
        <v>42</v>
      </c>
      <c r="M113" s="4" t="s">
        <v>43</v>
      </c>
      <c r="N113" s="4" t="s">
        <v>52</v>
      </c>
      <c r="O113" s="4" t="s">
        <v>506</v>
      </c>
      <c r="P113" s="4" t="s">
        <v>46</v>
      </c>
    </row>
    <row r="114" customFormat="false" ht="15" hidden="false" customHeight="false" outlineLevel="0" collapsed="false">
      <c r="A114" s="4" t="s">
        <v>507</v>
      </c>
      <c r="B114" s="4" t="s">
        <v>494</v>
      </c>
      <c r="C114" s="4" t="s">
        <v>304</v>
      </c>
      <c r="D114" s="4" t="s">
        <v>305</v>
      </c>
      <c r="E114" s="4" t="s">
        <v>306</v>
      </c>
      <c r="F114" s="4" t="s">
        <v>42</v>
      </c>
      <c r="G114" s="4" t="s">
        <v>38</v>
      </c>
      <c r="H114" s="4" t="n">
        <v>1</v>
      </c>
      <c r="I114" s="4" t="s">
        <v>508</v>
      </c>
      <c r="J114" s="4" t="s">
        <v>68</v>
      </c>
      <c r="K114" s="4" t="s">
        <v>387</v>
      </c>
      <c r="L114" s="4" t="s">
        <v>37</v>
      </c>
      <c r="M114" s="4" t="s">
        <v>43</v>
      </c>
      <c r="N114" s="4" t="s">
        <v>44</v>
      </c>
      <c r="O114" s="4" t="s">
        <v>388</v>
      </c>
      <c r="P114" s="4" t="s">
        <v>46</v>
      </c>
    </row>
    <row r="115" customFormat="false" ht="15" hidden="false" customHeight="false" outlineLevel="0" collapsed="false">
      <c r="A115" s="4" t="s">
        <v>509</v>
      </c>
      <c r="B115" s="4" t="s">
        <v>510</v>
      </c>
      <c r="C115" s="4" t="s">
        <v>304</v>
      </c>
      <c r="D115" s="4" t="s">
        <v>305</v>
      </c>
      <c r="E115" s="4" t="s">
        <v>306</v>
      </c>
      <c r="F115" s="4" t="s">
        <v>70</v>
      </c>
      <c r="G115" s="4" t="s">
        <v>326</v>
      </c>
      <c r="H115" s="4" t="n">
        <v>3</v>
      </c>
      <c r="I115" s="4" t="s">
        <v>511</v>
      </c>
      <c r="J115" s="4" t="s">
        <v>68</v>
      </c>
      <c r="K115" s="4" t="s">
        <v>512</v>
      </c>
      <c r="L115" s="4" t="s">
        <v>480</v>
      </c>
      <c r="M115" s="4" t="s">
        <v>133</v>
      </c>
      <c r="N115" s="4" t="s">
        <v>52</v>
      </c>
      <c r="O115" s="4" t="s">
        <v>513</v>
      </c>
      <c r="P115" s="4" t="s">
        <v>46</v>
      </c>
    </row>
    <row r="116" customFormat="false" ht="15" hidden="false" customHeight="false" outlineLevel="0" collapsed="false">
      <c r="A116" s="4" t="s">
        <v>514</v>
      </c>
      <c r="B116" s="4" t="s">
        <v>515</v>
      </c>
      <c r="C116" s="4" t="s">
        <v>304</v>
      </c>
      <c r="D116" s="4" t="s">
        <v>305</v>
      </c>
      <c r="E116" s="4" t="s">
        <v>306</v>
      </c>
      <c r="F116" s="4" t="s">
        <v>42</v>
      </c>
      <c r="G116" s="4" t="s">
        <v>59</v>
      </c>
      <c r="H116" s="4" t="n">
        <v>1</v>
      </c>
      <c r="I116" s="4" t="s">
        <v>516</v>
      </c>
      <c r="J116" s="4" t="s">
        <v>40</v>
      </c>
      <c r="K116" s="4" t="s">
        <v>517</v>
      </c>
      <c r="L116" s="4" t="s">
        <v>42</v>
      </c>
      <c r="M116" s="4" t="s">
        <v>133</v>
      </c>
      <c r="N116" s="4" t="s">
        <v>94</v>
      </c>
      <c r="O116" s="4" t="s">
        <v>518</v>
      </c>
      <c r="P116" s="4" t="s">
        <v>46</v>
      </c>
    </row>
    <row r="117" customFormat="false" ht="15" hidden="false" customHeight="false" outlineLevel="0" collapsed="false">
      <c r="A117" s="4" t="s">
        <v>519</v>
      </c>
      <c r="B117" s="4" t="s">
        <v>515</v>
      </c>
      <c r="C117" s="4" t="s">
        <v>304</v>
      </c>
      <c r="D117" s="4" t="s">
        <v>305</v>
      </c>
      <c r="E117" s="4" t="s">
        <v>306</v>
      </c>
      <c r="F117" s="4" t="s">
        <v>42</v>
      </c>
      <c r="G117" s="4" t="s">
        <v>38</v>
      </c>
      <c r="H117" s="4" t="n">
        <v>1</v>
      </c>
      <c r="I117" s="4" t="s">
        <v>520</v>
      </c>
      <c r="J117" s="4" t="s">
        <v>40</v>
      </c>
      <c r="K117" s="4" t="s">
        <v>257</v>
      </c>
      <c r="L117" s="4" t="s">
        <v>168</v>
      </c>
      <c r="M117" s="4" t="s">
        <v>43</v>
      </c>
      <c r="N117" s="4" t="s">
        <v>44</v>
      </c>
      <c r="O117" s="4" t="s">
        <v>258</v>
      </c>
      <c r="P117" s="4" t="s">
        <v>46</v>
      </c>
    </row>
    <row r="118" customFormat="false" ht="15" hidden="false" customHeight="false" outlineLevel="0" collapsed="false">
      <c r="A118" s="4" t="s">
        <v>521</v>
      </c>
      <c r="B118" s="4" t="s">
        <v>515</v>
      </c>
      <c r="C118" s="4" t="s">
        <v>304</v>
      </c>
      <c r="D118" s="4" t="s">
        <v>305</v>
      </c>
      <c r="E118" s="4" t="s">
        <v>325</v>
      </c>
      <c r="F118" s="4" t="s">
        <v>37</v>
      </c>
      <c r="G118" s="4" t="s">
        <v>59</v>
      </c>
      <c r="H118" s="4" t="n">
        <v>2</v>
      </c>
      <c r="I118" s="4" t="s">
        <v>522</v>
      </c>
      <c r="J118" s="4" t="s">
        <v>149</v>
      </c>
      <c r="K118" s="4" t="s">
        <v>523</v>
      </c>
      <c r="L118" s="4" t="s">
        <v>524</v>
      </c>
      <c r="M118" s="4" t="s">
        <v>377</v>
      </c>
      <c r="N118" s="4" t="s">
        <v>44</v>
      </c>
      <c r="O118" s="4" t="s">
        <v>525</v>
      </c>
      <c r="P118" s="4" t="s">
        <v>46</v>
      </c>
    </row>
    <row r="119" customFormat="false" ht="15" hidden="false" customHeight="false" outlineLevel="0" collapsed="false">
      <c r="A119" s="4" t="s">
        <v>526</v>
      </c>
      <c r="B119" s="4" t="s">
        <v>515</v>
      </c>
      <c r="C119" s="4" t="s">
        <v>304</v>
      </c>
      <c r="D119" s="4" t="s">
        <v>305</v>
      </c>
      <c r="E119" s="4" t="s">
        <v>306</v>
      </c>
      <c r="F119" s="4" t="s">
        <v>42</v>
      </c>
      <c r="G119" s="4" t="s">
        <v>59</v>
      </c>
      <c r="H119" s="4" t="n">
        <v>2</v>
      </c>
      <c r="I119" s="4" t="s">
        <v>527</v>
      </c>
      <c r="J119" s="4" t="s">
        <v>40</v>
      </c>
      <c r="K119" s="4" t="s">
        <v>528</v>
      </c>
      <c r="L119" s="4" t="s">
        <v>529</v>
      </c>
      <c r="M119" s="4" t="s">
        <v>530</v>
      </c>
      <c r="N119" s="4" t="s">
        <v>44</v>
      </c>
      <c r="O119" s="4" t="s">
        <v>531</v>
      </c>
      <c r="P119" s="4" t="s">
        <v>46</v>
      </c>
    </row>
    <row r="120" customFormat="false" ht="15" hidden="false" customHeight="false" outlineLevel="0" collapsed="false">
      <c r="A120" s="4" t="s">
        <v>532</v>
      </c>
      <c r="B120" s="4" t="s">
        <v>533</v>
      </c>
      <c r="C120" s="4" t="s">
        <v>534</v>
      </c>
      <c r="D120" s="4" t="s">
        <v>35</v>
      </c>
      <c r="E120" s="4" t="s">
        <v>49</v>
      </c>
      <c r="F120" s="4" t="s">
        <v>42</v>
      </c>
      <c r="G120" s="4" t="s">
        <v>38</v>
      </c>
      <c r="H120" s="4" t="n">
        <v>4</v>
      </c>
      <c r="I120" s="4" t="s">
        <v>50</v>
      </c>
      <c r="J120" s="4" t="s">
        <v>81</v>
      </c>
      <c r="K120" s="4" t="s">
        <v>535</v>
      </c>
      <c r="L120" s="4" t="s">
        <v>42</v>
      </c>
      <c r="M120" s="4" t="s">
        <v>133</v>
      </c>
      <c r="N120" s="4" t="s">
        <v>44</v>
      </c>
      <c r="O120" s="4" t="s">
        <v>536</v>
      </c>
      <c r="P120" s="4" t="s">
        <v>46</v>
      </c>
    </row>
    <row r="121" customFormat="false" ht="15" hidden="false" customHeight="false" outlineLevel="0" collapsed="false">
      <c r="A121" s="4" t="s">
        <v>537</v>
      </c>
      <c r="B121" s="4" t="s">
        <v>534</v>
      </c>
      <c r="C121" s="4" t="s">
        <v>304</v>
      </c>
      <c r="D121" s="4" t="s">
        <v>305</v>
      </c>
      <c r="E121" s="4" t="s">
        <v>306</v>
      </c>
      <c r="F121" s="4" t="s">
        <v>42</v>
      </c>
      <c r="G121" s="4" t="s">
        <v>38</v>
      </c>
      <c r="H121" s="4" t="n">
        <v>1</v>
      </c>
      <c r="I121" s="4" t="s">
        <v>538</v>
      </c>
      <c r="J121" s="4" t="s">
        <v>40</v>
      </c>
      <c r="K121" s="4" t="s">
        <v>246</v>
      </c>
      <c r="L121" s="4" t="s">
        <v>168</v>
      </c>
      <c r="M121" s="4" t="s">
        <v>133</v>
      </c>
      <c r="N121" s="4" t="s">
        <v>44</v>
      </c>
      <c r="O121" s="4" t="s">
        <v>247</v>
      </c>
      <c r="P121" s="4" t="s">
        <v>46</v>
      </c>
    </row>
    <row r="122" customFormat="false" ht="15" hidden="false" customHeight="false" outlineLevel="0" collapsed="false">
      <c r="A122" s="4" t="s">
        <v>539</v>
      </c>
      <c r="B122" s="4" t="s">
        <v>534</v>
      </c>
      <c r="C122" s="4" t="s">
        <v>304</v>
      </c>
      <c r="D122" s="4" t="s">
        <v>305</v>
      </c>
      <c r="E122" s="4" t="s">
        <v>306</v>
      </c>
      <c r="F122" s="4" t="s">
        <v>42</v>
      </c>
      <c r="G122" s="4" t="s">
        <v>326</v>
      </c>
      <c r="H122" s="4" t="n">
        <v>1</v>
      </c>
      <c r="I122" s="4" t="s">
        <v>540</v>
      </c>
      <c r="J122" s="4" t="s">
        <v>40</v>
      </c>
      <c r="K122" s="4" t="s">
        <v>338</v>
      </c>
      <c r="L122" s="4" t="s">
        <v>42</v>
      </c>
      <c r="M122" s="4" t="s">
        <v>43</v>
      </c>
      <c r="N122" s="4" t="s">
        <v>44</v>
      </c>
      <c r="O122" s="4" t="s">
        <v>339</v>
      </c>
      <c r="P122" s="4" t="s">
        <v>46</v>
      </c>
    </row>
    <row r="123" customFormat="false" ht="15" hidden="false" customHeight="false" outlineLevel="0" collapsed="false">
      <c r="A123" s="4" t="s">
        <v>541</v>
      </c>
      <c r="B123" s="4" t="s">
        <v>534</v>
      </c>
      <c r="C123" s="4" t="s">
        <v>304</v>
      </c>
      <c r="D123" s="4" t="s">
        <v>305</v>
      </c>
      <c r="E123" s="4" t="s">
        <v>306</v>
      </c>
      <c r="F123" s="4" t="s">
        <v>58</v>
      </c>
      <c r="G123" s="4" t="s">
        <v>326</v>
      </c>
      <c r="H123" s="4" t="n">
        <v>4</v>
      </c>
      <c r="I123" s="4" t="s">
        <v>542</v>
      </c>
      <c r="J123" s="4" t="s">
        <v>40</v>
      </c>
      <c r="K123" s="4" t="s">
        <v>543</v>
      </c>
      <c r="L123" s="4" t="s">
        <v>480</v>
      </c>
      <c r="M123" s="4" t="s">
        <v>133</v>
      </c>
      <c r="N123" s="4" t="s">
        <v>94</v>
      </c>
      <c r="O123" s="4" t="s">
        <v>544</v>
      </c>
      <c r="P123" s="4" t="s">
        <v>46</v>
      </c>
    </row>
    <row r="124" customFormat="false" ht="15" hidden="false" customHeight="false" outlineLevel="0" collapsed="false">
      <c r="A124" s="4" t="s">
        <v>545</v>
      </c>
      <c r="B124" s="4" t="s">
        <v>534</v>
      </c>
      <c r="C124" s="4" t="s">
        <v>304</v>
      </c>
      <c r="D124" s="4" t="s">
        <v>305</v>
      </c>
      <c r="E124" s="4" t="s">
        <v>306</v>
      </c>
      <c r="F124" s="4" t="s">
        <v>42</v>
      </c>
      <c r="G124" s="4" t="s">
        <v>38</v>
      </c>
      <c r="H124" s="4" t="n">
        <v>2</v>
      </c>
      <c r="I124" s="4" t="s">
        <v>359</v>
      </c>
      <c r="J124" s="4" t="s">
        <v>68</v>
      </c>
      <c r="K124" s="4" t="s">
        <v>546</v>
      </c>
      <c r="L124" s="4" t="s">
        <v>42</v>
      </c>
      <c r="M124" s="4" t="s">
        <v>43</v>
      </c>
      <c r="N124" s="4" t="s">
        <v>44</v>
      </c>
      <c r="O124" s="4" t="s">
        <v>547</v>
      </c>
      <c r="P124" s="4" t="s">
        <v>46</v>
      </c>
    </row>
    <row r="125" customFormat="false" ht="15" hidden="false" customHeight="false" outlineLevel="0" collapsed="false">
      <c r="A125" s="4" t="s">
        <v>548</v>
      </c>
      <c r="B125" s="4" t="s">
        <v>549</v>
      </c>
      <c r="C125" s="4" t="s">
        <v>304</v>
      </c>
      <c r="D125" s="4" t="s">
        <v>305</v>
      </c>
      <c r="E125" s="4" t="s">
        <v>306</v>
      </c>
      <c r="F125" s="4" t="s">
        <v>37</v>
      </c>
      <c r="G125" s="4" t="s">
        <v>38</v>
      </c>
      <c r="H125" s="4" t="n">
        <v>2</v>
      </c>
      <c r="I125" s="4" t="s">
        <v>550</v>
      </c>
      <c r="J125" s="4" t="s">
        <v>40</v>
      </c>
      <c r="K125" s="4" t="s">
        <v>551</v>
      </c>
      <c r="L125" s="4" t="s">
        <v>552</v>
      </c>
      <c r="M125" s="4" t="s">
        <v>456</v>
      </c>
      <c r="N125" s="4" t="s">
        <v>44</v>
      </c>
      <c r="O125" s="4" t="s">
        <v>553</v>
      </c>
      <c r="P125" s="4" t="s">
        <v>46</v>
      </c>
    </row>
    <row r="126" customFormat="false" ht="15" hidden="false" customHeight="false" outlineLevel="0" collapsed="false">
      <c r="A126" s="4" t="s">
        <v>554</v>
      </c>
      <c r="B126" s="4" t="s">
        <v>555</v>
      </c>
      <c r="C126" s="4" t="s">
        <v>555</v>
      </c>
      <c r="D126" s="4" t="s">
        <v>35</v>
      </c>
      <c r="E126" s="4" t="s">
        <v>57</v>
      </c>
      <c r="F126" s="4" t="s">
        <v>70</v>
      </c>
      <c r="G126" s="4" t="s">
        <v>38</v>
      </c>
      <c r="H126" s="4" t="n">
        <v>2</v>
      </c>
      <c r="I126" s="4" t="s">
        <v>50</v>
      </c>
      <c r="J126" s="4" t="s">
        <v>40</v>
      </c>
      <c r="K126" s="4" t="s">
        <v>90</v>
      </c>
      <c r="L126" s="4" t="s">
        <v>42</v>
      </c>
      <c r="M126" s="4" t="s">
        <v>43</v>
      </c>
      <c r="N126" s="4" t="s">
        <v>52</v>
      </c>
      <c r="O126" s="4" t="s">
        <v>91</v>
      </c>
      <c r="P126" s="4" t="s">
        <v>46</v>
      </c>
    </row>
    <row r="127" customFormat="false" ht="15" hidden="false" customHeight="false" outlineLevel="0" collapsed="false">
      <c r="A127" s="4" t="s">
        <v>556</v>
      </c>
      <c r="B127" s="4" t="s">
        <v>557</v>
      </c>
      <c r="C127" s="4" t="s">
        <v>557</v>
      </c>
      <c r="D127" s="4" t="s">
        <v>35</v>
      </c>
      <c r="E127" s="4" t="s">
        <v>89</v>
      </c>
      <c r="F127" s="4" t="s">
        <v>42</v>
      </c>
      <c r="G127" s="4" t="s">
        <v>59</v>
      </c>
      <c r="H127" s="4" t="n">
        <v>1</v>
      </c>
      <c r="I127" s="4" t="s">
        <v>138</v>
      </c>
      <c r="J127" s="4" t="s">
        <v>68</v>
      </c>
      <c r="K127" s="4" t="s">
        <v>558</v>
      </c>
      <c r="L127" s="4" t="s">
        <v>58</v>
      </c>
      <c r="M127" s="4" t="s">
        <v>43</v>
      </c>
      <c r="N127" s="4" t="s">
        <v>44</v>
      </c>
      <c r="O127" s="4" t="s">
        <v>559</v>
      </c>
      <c r="P127" s="4" t="s">
        <v>46</v>
      </c>
    </row>
    <row r="128" customFormat="false" ht="15" hidden="false" customHeight="false" outlineLevel="0" collapsed="false">
      <c r="A128" s="4" t="s">
        <v>560</v>
      </c>
      <c r="B128" s="4" t="s">
        <v>561</v>
      </c>
      <c r="C128" s="4" t="s">
        <v>562</v>
      </c>
      <c r="D128" s="4" t="s">
        <v>35</v>
      </c>
      <c r="E128" s="4" t="s">
        <v>36</v>
      </c>
      <c r="F128" s="4" t="s">
        <v>128</v>
      </c>
      <c r="G128" s="4" t="s">
        <v>38</v>
      </c>
      <c r="H128" s="4" t="n">
        <v>1</v>
      </c>
      <c r="I128" s="4" t="s">
        <v>39</v>
      </c>
      <c r="J128" s="4" t="s">
        <v>40</v>
      </c>
      <c r="K128" s="4" t="s">
        <v>563</v>
      </c>
      <c r="L128" s="4" t="s">
        <v>432</v>
      </c>
      <c r="M128" s="4" t="s">
        <v>356</v>
      </c>
      <c r="N128" s="4" t="s">
        <v>433</v>
      </c>
      <c r="O128" s="4"/>
      <c r="P128" s="4" t="s">
        <v>46</v>
      </c>
    </row>
    <row r="129" customFormat="false" ht="15" hidden="false" customHeight="false" outlineLevel="0" collapsed="false">
      <c r="A129" s="4" t="s">
        <v>564</v>
      </c>
      <c r="B129" s="4" t="s">
        <v>561</v>
      </c>
      <c r="C129" s="4" t="s">
        <v>561</v>
      </c>
      <c r="D129" s="4" t="s">
        <v>35</v>
      </c>
      <c r="E129" s="4" t="s">
        <v>36</v>
      </c>
      <c r="F129" s="4" t="s">
        <v>42</v>
      </c>
      <c r="G129" s="4" t="s">
        <v>38</v>
      </c>
      <c r="H129" s="4" t="n">
        <v>1</v>
      </c>
      <c r="I129" s="4" t="s">
        <v>50</v>
      </c>
      <c r="J129" s="4" t="s">
        <v>40</v>
      </c>
      <c r="K129" s="4" t="s">
        <v>565</v>
      </c>
      <c r="L129" s="4" t="s">
        <v>168</v>
      </c>
      <c r="M129" s="4" t="s">
        <v>43</v>
      </c>
      <c r="N129" s="4" t="s">
        <v>185</v>
      </c>
      <c r="O129" s="4" t="s">
        <v>566</v>
      </c>
      <c r="P129" s="4" t="s">
        <v>46</v>
      </c>
    </row>
    <row r="130" customFormat="false" ht="15" hidden="false" customHeight="false" outlineLevel="0" collapsed="false">
      <c r="A130" s="4" t="s">
        <v>567</v>
      </c>
      <c r="B130" s="4" t="s">
        <v>568</v>
      </c>
      <c r="C130" s="4" t="s">
        <v>304</v>
      </c>
      <c r="D130" s="4" t="s">
        <v>305</v>
      </c>
      <c r="E130" s="4" t="s">
        <v>325</v>
      </c>
      <c r="F130" s="4" t="s">
        <v>42</v>
      </c>
      <c r="G130" s="4" t="s">
        <v>326</v>
      </c>
      <c r="H130" s="4" t="n">
        <v>1</v>
      </c>
      <c r="I130" s="4" t="s">
        <v>569</v>
      </c>
      <c r="J130" s="4" t="s">
        <v>40</v>
      </c>
      <c r="K130" s="4" t="s">
        <v>570</v>
      </c>
      <c r="L130" s="4" t="s">
        <v>571</v>
      </c>
      <c r="M130" s="4" t="s">
        <v>356</v>
      </c>
      <c r="N130" s="4" t="s">
        <v>357</v>
      </c>
      <c r="O130" s="4"/>
      <c r="P130" s="4" t="s">
        <v>46</v>
      </c>
    </row>
    <row r="131" customFormat="false" ht="15" hidden="false" customHeight="false" outlineLevel="0" collapsed="false">
      <c r="A131" s="4" t="s">
        <v>572</v>
      </c>
      <c r="B131" s="4" t="s">
        <v>562</v>
      </c>
      <c r="C131" s="4" t="s">
        <v>304</v>
      </c>
      <c r="D131" s="4" t="s">
        <v>305</v>
      </c>
      <c r="E131" s="4" t="s">
        <v>306</v>
      </c>
      <c r="F131" s="4" t="s">
        <v>37</v>
      </c>
      <c r="G131" s="4" t="s">
        <v>38</v>
      </c>
      <c r="H131" s="4" t="n">
        <v>2</v>
      </c>
      <c r="I131" s="4" t="s">
        <v>573</v>
      </c>
      <c r="J131" s="4" t="s">
        <v>81</v>
      </c>
      <c r="K131" s="4" t="s">
        <v>574</v>
      </c>
      <c r="L131" s="4" t="s">
        <v>58</v>
      </c>
      <c r="M131" s="4" t="s">
        <v>43</v>
      </c>
      <c r="N131" s="4" t="s">
        <v>44</v>
      </c>
      <c r="O131" s="4" t="s">
        <v>575</v>
      </c>
      <c r="P131" s="4" t="s">
        <v>46</v>
      </c>
    </row>
    <row r="132" customFormat="false" ht="15" hidden="false" customHeight="false" outlineLevel="0" collapsed="false">
      <c r="A132" s="4" t="s">
        <v>576</v>
      </c>
      <c r="B132" s="4" t="s">
        <v>577</v>
      </c>
      <c r="C132" s="4" t="s">
        <v>304</v>
      </c>
      <c r="D132" s="4" t="s">
        <v>305</v>
      </c>
      <c r="E132" s="4" t="s">
        <v>306</v>
      </c>
      <c r="F132" s="4" t="s">
        <v>70</v>
      </c>
      <c r="G132" s="4" t="s">
        <v>59</v>
      </c>
      <c r="H132" s="4" t="n">
        <v>2</v>
      </c>
      <c r="I132" s="4" t="s">
        <v>385</v>
      </c>
      <c r="J132" s="4" t="s">
        <v>40</v>
      </c>
      <c r="K132" s="4" t="s">
        <v>475</v>
      </c>
      <c r="L132" s="4" t="s">
        <v>42</v>
      </c>
      <c r="M132" s="4" t="s">
        <v>133</v>
      </c>
      <c r="N132" s="4" t="s">
        <v>44</v>
      </c>
      <c r="O132" s="4" t="s">
        <v>476</v>
      </c>
      <c r="P132" s="4" t="s">
        <v>46</v>
      </c>
    </row>
    <row r="133" customFormat="false" ht="15" hidden="false" customHeight="false" outlineLevel="0" collapsed="false">
      <c r="A133" s="4" t="s">
        <v>578</v>
      </c>
      <c r="B133" s="4" t="s">
        <v>577</v>
      </c>
      <c r="C133" s="4" t="s">
        <v>579</v>
      </c>
      <c r="D133" s="4" t="s">
        <v>35</v>
      </c>
      <c r="E133" s="4" t="s">
        <v>36</v>
      </c>
      <c r="F133" s="4" t="s">
        <v>42</v>
      </c>
      <c r="G133" s="4" t="s">
        <v>38</v>
      </c>
      <c r="H133" s="4" t="n">
        <v>2</v>
      </c>
      <c r="I133" s="4" t="s">
        <v>50</v>
      </c>
      <c r="J133" s="4" t="s">
        <v>68</v>
      </c>
      <c r="K133" s="4" t="s">
        <v>580</v>
      </c>
      <c r="L133" s="4" t="s">
        <v>42</v>
      </c>
      <c r="M133" s="4" t="s">
        <v>43</v>
      </c>
      <c r="N133" s="4" t="s">
        <v>44</v>
      </c>
      <c r="O133" s="4" t="s">
        <v>581</v>
      </c>
      <c r="P133" s="4" t="s">
        <v>46</v>
      </c>
    </row>
    <row r="134" customFormat="false" ht="15" hidden="false" customHeight="false" outlineLevel="0" collapsed="false">
      <c r="A134" s="4" t="s">
        <v>582</v>
      </c>
      <c r="B134" s="4" t="s">
        <v>583</v>
      </c>
      <c r="C134" s="4" t="s">
        <v>304</v>
      </c>
      <c r="D134" s="4" t="s">
        <v>305</v>
      </c>
      <c r="E134" s="4" t="s">
        <v>311</v>
      </c>
      <c r="F134" s="4" t="s">
        <v>42</v>
      </c>
      <c r="G134" s="4" t="s">
        <v>38</v>
      </c>
      <c r="H134" s="4" t="n">
        <v>2</v>
      </c>
      <c r="I134" s="4" t="s">
        <v>584</v>
      </c>
      <c r="J134" s="4" t="s">
        <v>68</v>
      </c>
      <c r="K134" s="4" t="s">
        <v>206</v>
      </c>
      <c r="L134" s="4" t="s">
        <v>70</v>
      </c>
      <c r="M134" s="4" t="s">
        <v>43</v>
      </c>
      <c r="N134" s="4" t="s">
        <v>44</v>
      </c>
      <c r="O134" s="4" t="s">
        <v>207</v>
      </c>
      <c r="P134" s="4" t="s">
        <v>46</v>
      </c>
    </row>
    <row r="135" customFormat="false" ht="15" hidden="false" customHeight="false" outlineLevel="0" collapsed="false">
      <c r="A135" s="4" t="s">
        <v>585</v>
      </c>
      <c r="B135" s="4" t="s">
        <v>583</v>
      </c>
      <c r="C135" s="4" t="s">
        <v>304</v>
      </c>
      <c r="D135" s="4" t="s">
        <v>305</v>
      </c>
      <c r="E135" s="4" t="s">
        <v>323</v>
      </c>
      <c r="F135" s="4" t="s">
        <v>70</v>
      </c>
      <c r="G135" s="4" t="s">
        <v>59</v>
      </c>
      <c r="H135" s="4" t="n">
        <v>2</v>
      </c>
      <c r="I135" s="4" t="s">
        <v>586</v>
      </c>
      <c r="J135" s="4" t="s">
        <v>68</v>
      </c>
      <c r="K135" s="4" t="s">
        <v>162</v>
      </c>
      <c r="L135" s="4" t="s">
        <v>58</v>
      </c>
      <c r="M135" s="4" t="s">
        <v>43</v>
      </c>
      <c r="N135" s="4" t="s">
        <v>44</v>
      </c>
      <c r="O135" s="4" t="s">
        <v>163</v>
      </c>
      <c r="P135" s="4" t="s">
        <v>46</v>
      </c>
    </row>
    <row r="136" customFormat="false" ht="15" hidden="false" customHeight="false" outlineLevel="0" collapsed="false">
      <c r="A136" s="4" t="s">
        <v>587</v>
      </c>
      <c r="B136" s="4" t="s">
        <v>588</v>
      </c>
      <c r="C136" s="4" t="s">
        <v>589</v>
      </c>
      <c r="D136" s="4" t="s">
        <v>35</v>
      </c>
      <c r="E136" s="4" t="s">
        <v>49</v>
      </c>
      <c r="F136" s="4" t="s">
        <v>37</v>
      </c>
      <c r="G136" s="4" t="s">
        <v>38</v>
      </c>
      <c r="H136" s="4" t="n">
        <v>3</v>
      </c>
      <c r="I136" s="4" t="s">
        <v>39</v>
      </c>
      <c r="J136" s="4" t="s">
        <v>68</v>
      </c>
      <c r="K136" s="4" t="s">
        <v>590</v>
      </c>
      <c r="L136" s="4" t="s">
        <v>42</v>
      </c>
      <c r="M136" s="4" t="s">
        <v>43</v>
      </c>
      <c r="N136" s="4" t="s">
        <v>44</v>
      </c>
      <c r="O136" s="4" t="s">
        <v>591</v>
      </c>
      <c r="P136" s="4" t="s">
        <v>46</v>
      </c>
    </row>
    <row r="137" customFormat="false" ht="15" hidden="false" customHeight="false" outlineLevel="0" collapsed="false">
      <c r="A137" s="4" t="s">
        <v>592</v>
      </c>
      <c r="B137" s="4" t="s">
        <v>593</v>
      </c>
      <c r="C137" s="4" t="s">
        <v>304</v>
      </c>
      <c r="D137" s="4" t="s">
        <v>305</v>
      </c>
      <c r="E137" s="4" t="s">
        <v>306</v>
      </c>
      <c r="F137" s="4" t="s">
        <v>42</v>
      </c>
      <c r="G137" s="4" t="s">
        <v>38</v>
      </c>
      <c r="H137" s="4" t="n">
        <v>2</v>
      </c>
      <c r="I137" s="4" t="s">
        <v>594</v>
      </c>
      <c r="J137" s="4" t="s">
        <v>68</v>
      </c>
      <c r="K137" s="4" t="s">
        <v>595</v>
      </c>
      <c r="L137" s="4" t="s">
        <v>596</v>
      </c>
      <c r="M137" s="4" t="s">
        <v>597</v>
      </c>
      <c r="N137" s="4" t="s">
        <v>94</v>
      </c>
      <c r="O137" s="4" t="s">
        <v>598</v>
      </c>
      <c r="P137" s="4" t="s">
        <v>46</v>
      </c>
    </row>
    <row r="138" customFormat="false" ht="15" hidden="false" customHeight="false" outlineLevel="0" collapsed="false">
      <c r="A138" s="4" t="s">
        <v>599</v>
      </c>
      <c r="B138" s="4" t="s">
        <v>600</v>
      </c>
      <c r="C138" s="4" t="s">
        <v>304</v>
      </c>
      <c r="D138" s="4" t="s">
        <v>305</v>
      </c>
      <c r="E138" s="4" t="s">
        <v>306</v>
      </c>
      <c r="F138" s="4" t="s">
        <v>42</v>
      </c>
      <c r="G138" s="4" t="s">
        <v>38</v>
      </c>
      <c r="H138" s="4" t="n">
        <v>1</v>
      </c>
      <c r="I138" s="4" t="s">
        <v>601</v>
      </c>
      <c r="J138" s="4" t="s">
        <v>68</v>
      </c>
      <c r="K138" s="4" t="s">
        <v>602</v>
      </c>
      <c r="L138" s="4" t="s">
        <v>571</v>
      </c>
      <c r="M138" s="4" t="s">
        <v>356</v>
      </c>
      <c r="N138" s="4" t="s">
        <v>357</v>
      </c>
      <c r="O138" s="4"/>
      <c r="P138" s="4" t="s">
        <v>46</v>
      </c>
    </row>
    <row r="139" customFormat="false" ht="15" hidden="false" customHeight="false" outlineLevel="0" collapsed="false">
      <c r="A139" s="4" t="s">
        <v>500</v>
      </c>
      <c r="B139" s="4" t="s">
        <v>494</v>
      </c>
      <c r="C139" s="4" t="s">
        <v>304</v>
      </c>
      <c r="D139" s="4" t="s">
        <v>305</v>
      </c>
      <c r="E139" s="4" t="s">
        <v>306</v>
      </c>
      <c r="F139" s="4" t="s">
        <v>42</v>
      </c>
      <c r="G139" s="4" t="s">
        <v>38</v>
      </c>
      <c r="H139" s="4" t="n">
        <v>2</v>
      </c>
      <c r="I139" s="4" t="s">
        <v>402</v>
      </c>
      <c r="J139" s="4" t="s">
        <v>81</v>
      </c>
      <c r="K139" s="4" t="s">
        <v>501</v>
      </c>
      <c r="L139" s="4" t="s">
        <v>42</v>
      </c>
      <c r="M139" s="4" t="s">
        <v>43</v>
      </c>
      <c r="N139" s="4" t="s">
        <v>44</v>
      </c>
      <c r="O139" s="4" t="s">
        <v>502</v>
      </c>
      <c r="P139" s="4" t="s">
        <v>46</v>
      </c>
    </row>
    <row r="140" customFormat="false" ht="15" hidden="false" customHeight="false" outlineLevel="0" collapsed="false">
      <c r="A140" s="4" t="s">
        <v>603</v>
      </c>
      <c r="B140" s="4" t="s">
        <v>604</v>
      </c>
      <c r="C140" s="4" t="s">
        <v>304</v>
      </c>
      <c r="D140" s="4" t="s">
        <v>305</v>
      </c>
      <c r="E140" s="4" t="s">
        <v>345</v>
      </c>
      <c r="F140" s="4" t="s">
        <v>42</v>
      </c>
      <c r="G140" s="4" t="s">
        <v>38</v>
      </c>
      <c r="H140" s="4" t="n">
        <v>1</v>
      </c>
      <c r="I140" s="4" t="s">
        <v>474</v>
      </c>
      <c r="J140" s="4" t="s">
        <v>81</v>
      </c>
      <c r="K140" s="4" t="s">
        <v>605</v>
      </c>
      <c r="L140" s="4" t="s">
        <v>42</v>
      </c>
      <c r="M140" s="4" t="s">
        <v>43</v>
      </c>
      <c r="N140" s="4" t="s">
        <v>44</v>
      </c>
      <c r="O140" s="4" t="s">
        <v>606</v>
      </c>
      <c r="P140" s="4" t="s">
        <v>46</v>
      </c>
    </row>
    <row r="141" customFormat="false" ht="15" hidden="false" customHeight="false" outlineLevel="0" collapsed="false">
      <c r="A141" s="4" t="s">
        <v>607</v>
      </c>
      <c r="B141" s="4" t="s">
        <v>608</v>
      </c>
      <c r="C141" s="4" t="s">
        <v>304</v>
      </c>
      <c r="D141" s="4" t="s">
        <v>305</v>
      </c>
      <c r="E141" s="4" t="s">
        <v>306</v>
      </c>
      <c r="F141" s="4" t="s">
        <v>42</v>
      </c>
      <c r="G141" s="4" t="s">
        <v>38</v>
      </c>
      <c r="H141" s="4" t="n">
        <v>1</v>
      </c>
      <c r="I141" s="4" t="s">
        <v>445</v>
      </c>
      <c r="J141" s="4" t="s">
        <v>68</v>
      </c>
      <c r="K141" s="4" t="s">
        <v>41</v>
      </c>
      <c r="L141" s="4" t="s">
        <v>42</v>
      </c>
      <c r="M141" s="4" t="s">
        <v>43</v>
      </c>
      <c r="N141" s="4" t="s">
        <v>44</v>
      </c>
      <c r="O141" s="4" t="s">
        <v>45</v>
      </c>
      <c r="P141" s="4" t="s">
        <v>46</v>
      </c>
    </row>
    <row r="142" customFormat="false" ht="15" hidden="false" customHeight="false" outlineLevel="0" collapsed="false">
      <c r="A142" s="4" t="s">
        <v>609</v>
      </c>
      <c r="B142" s="4" t="s">
        <v>610</v>
      </c>
      <c r="C142" s="4" t="s">
        <v>611</v>
      </c>
      <c r="D142" s="4" t="s">
        <v>612</v>
      </c>
      <c r="E142" s="4" t="s">
        <v>613</v>
      </c>
      <c r="F142" s="4" t="s">
        <v>42</v>
      </c>
      <c r="G142" s="4" t="s">
        <v>59</v>
      </c>
      <c r="H142" s="4" t="n">
        <v>4</v>
      </c>
      <c r="I142" s="4" t="s">
        <v>614</v>
      </c>
      <c r="J142" s="4" t="s">
        <v>68</v>
      </c>
      <c r="K142" s="4" t="s">
        <v>615</v>
      </c>
      <c r="L142" s="4" t="s">
        <v>364</v>
      </c>
      <c r="M142" s="4" t="s">
        <v>365</v>
      </c>
      <c r="N142" s="4" t="s">
        <v>44</v>
      </c>
      <c r="O142" s="4" t="s">
        <v>616</v>
      </c>
      <c r="P142" s="4" t="s">
        <v>46</v>
      </c>
    </row>
    <row r="143" customFormat="false" ht="15" hidden="false" customHeight="false" outlineLevel="0" collapsed="false">
      <c r="A143" s="4" t="s">
        <v>617</v>
      </c>
      <c r="B143" s="4" t="s">
        <v>610</v>
      </c>
      <c r="C143" s="4" t="s">
        <v>611</v>
      </c>
      <c r="D143" s="4" t="s">
        <v>612</v>
      </c>
      <c r="E143" s="4" t="s">
        <v>618</v>
      </c>
      <c r="F143" s="4" t="s">
        <v>42</v>
      </c>
      <c r="G143" s="4" t="s">
        <v>38</v>
      </c>
      <c r="H143" s="4" t="n">
        <v>4</v>
      </c>
      <c r="I143" s="4" t="s">
        <v>619</v>
      </c>
      <c r="J143" s="4" t="s">
        <v>40</v>
      </c>
      <c r="K143" s="4" t="s">
        <v>620</v>
      </c>
      <c r="L143" s="4" t="s">
        <v>42</v>
      </c>
      <c r="M143" s="4" t="s">
        <v>43</v>
      </c>
      <c r="N143" s="4" t="s">
        <v>44</v>
      </c>
      <c r="O143" s="4" t="s">
        <v>621</v>
      </c>
      <c r="P143" s="4" t="s">
        <v>46</v>
      </c>
    </row>
    <row r="144" customFormat="false" ht="15" hidden="false" customHeight="false" outlineLevel="0" collapsed="false">
      <c r="A144" s="4" t="s">
        <v>622</v>
      </c>
      <c r="B144" s="4" t="s">
        <v>610</v>
      </c>
      <c r="C144" s="4" t="s">
        <v>611</v>
      </c>
      <c r="D144" s="4" t="s">
        <v>612</v>
      </c>
      <c r="E144" s="4" t="s">
        <v>613</v>
      </c>
      <c r="F144" s="4" t="s">
        <v>42</v>
      </c>
      <c r="G144" s="4" t="s">
        <v>38</v>
      </c>
      <c r="H144" s="4" t="n">
        <v>2</v>
      </c>
      <c r="I144" s="4" t="s">
        <v>623</v>
      </c>
      <c r="J144" s="4" t="s">
        <v>40</v>
      </c>
      <c r="K144" s="4" t="s">
        <v>624</v>
      </c>
      <c r="L144" s="4" t="s">
        <v>480</v>
      </c>
      <c r="M144" s="4" t="s">
        <v>43</v>
      </c>
      <c r="N144" s="4" t="s">
        <v>44</v>
      </c>
      <c r="O144" s="4" t="s">
        <v>625</v>
      </c>
      <c r="P144" s="4" t="s">
        <v>46</v>
      </c>
    </row>
    <row r="145" customFormat="false" ht="15" hidden="false" customHeight="false" outlineLevel="0" collapsed="false">
      <c r="A145" s="4" t="s">
        <v>626</v>
      </c>
      <c r="B145" s="4" t="s">
        <v>610</v>
      </c>
      <c r="C145" s="4" t="s">
        <v>611</v>
      </c>
      <c r="D145" s="4" t="s">
        <v>612</v>
      </c>
      <c r="E145" s="4" t="s">
        <v>627</v>
      </c>
      <c r="F145" s="4" t="s">
        <v>42</v>
      </c>
      <c r="G145" s="4" t="s">
        <v>59</v>
      </c>
      <c r="H145" s="4" t="n">
        <v>4</v>
      </c>
      <c r="I145" s="4" t="s">
        <v>628</v>
      </c>
      <c r="J145" s="4" t="s">
        <v>40</v>
      </c>
      <c r="K145" s="4" t="s">
        <v>139</v>
      </c>
      <c r="L145" s="4" t="s">
        <v>37</v>
      </c>
      <c r="M145" s="4" t="s">
        <v>43</v>
      </c>
      <c r="N145" s="4" t="s">
        <v>44</v>
      </c>
      <c r="O145" s="4" t="s">
        <v>140</v>
      </c>
      <c r="P145" s="4" t="s">
        <v>46</v>
      </c>
    </row>
    <row r="146" customFormat="false" ht="15" hidden="false" customHeight="false" outlineLevel="0" collapsed="false">
      <c r="A146" s="4" t="s">
        <v>629</v>
      </c>
      <c r="B146" s="4" t="s">
        <v>610</v>
      </c>
      <c r="C146" s="4" t="s">
        <v>611</v>
      </c>
      <c r="D146" s="4" t="s">
        <v>612</v>
      </c>
      <c r="E146" s="4" t="s">
        <v>627</v>
      </c>
      <c r="F146" s="4" t="s">
        <v>42</v>
      </c>
      <c r="G146" s="4" t="s">
        <v>38</v>
      </c>
      <c r="H146" s="4" t="n">
        <v>1</v>
      </c>
      <c r="I146" s="4" t="s">
        <v>630</v>
      </c>
      <c r="J146" s="4" t="s">
        <v>40</v>
      </c>
      <c r="K146" s="4" t="s">
        <v>232</v>
      </c>
      <c r="L146" s="4" t="s">
        <v>42</v>
      </c>
      <c r="M146" s="4" t="s">
        <v>43</v>
      </c>
      <c r="N146" s="4" t="s">
        <v>44</v>
      </c>
      <c r="O146" s="4" t="s">
        <v>233</v>
      </c>
      <c r="P146" s="4" t="s">
        <v>46</v>
      </c>
    </row>
    <row r="147" customFormat="false" ht="15" hidden="false" customHeight="false" outlineLevel="0" collapsed="false">
      <c r="A147" s="4" t="s">
        <v>631</v>
      </c>
      <c r="B147" s="4" t="s">
        <v>610</v>
      </c>
      <c r="C147" s="4" t="s">
        <v>611</v>
      </c>
      <c r="D147" s="4" t="s">
        <v>612</v>
      </c>
      <c r="E147" s="4" t="s">
        <v>627</v>
      </c>
      <c r="F147" s="4" t="s">
        <v>42</v>
      </c>
      <c r="G147" s="4" t="s">
        <v>59</v>
      </c>
      <c r="H147" s="4" t="n">
        <v>2</v>
      </c>
      <c r="I147" s="4" t="s">
        <v>632</v>
      </c>
      <c r="J147" s="4" t="s">
        <v>40</v>
      </c>
      <c r="K147" s="4" t="s">
        <v>633</v>
      </c>
      <c r="L147" s="4" t="s">
        <v>634</v>
      </c>
      <c r="M147" s="4" t="s">
        <v>635</v>
      </c>
      <c r="N147" s="4" t="s">
        <v>94</v>
      </c>
      <c r="O147" s="4" t="s">
        <v>636</v>
      </c>
      <c r="P147" s="4" t="s">
        <v>46</v>
      </c>
    </row>
    <row r="148" customFormat="false" ht="15" hidden="false" customHeight="false" outlineLevel="0" collapsed="false">
      <c r="A148" s="4" t="s">
        <v>637</v>
      </c>
      <c r="B148" s="4" t="s">
        <v>610</v>
      </c>
      <c r="C148" s="4" t="s">
        <v>304</v>
      </c>
      <c r="D148" s="4" t="s">
        <v>305</v>
      </c>
      <c r="E148" s="4" t="s">
        <v>306</v>
      </c>
      <c r="F148" s="4" t="s">
        <v>42</v>
      </c>
      <c r="G148" s="4" t="s">
        <v>38</v>
      </c>
      <c r="H148" s="4" t="n">
        <v>1</v>
      </c>
      <c r="I148" s="4" t="s">
        <v>638</v>
      </c>
      <c r="J148" s="4" t="s">
        <v>40</v>
      </c>
      <c r="K148" s="4" t="s">
        <v>639</v>
      </c>
      <c r="L148" s="4" t="s">
        <v>37</v>
      </c>
      <c r="M148" s="4" t="s">
        <v>43</v>
      </c>
      <c r="N148" s="4" t="s">
        <v>44</v>
      </c>
      <c r="O148" s="4" t="s">
        <v>640</v>
      </c>
      <c r="P148" s="4" t="s">
        <v>46</v>
      </c>
    </row>
    <row r="149" customFormat="false" ht="15" hidden="false" customHeight="false" outlineLevel="0" collapsed="false">
      <c r="A149" s="4" t="s">
        <v>641</v>
      </c>
      <c r="B149" s="4" t="s">
        <v>642</v>
      </c>
      <c r="C149" s="4" t="s">
        <v>611</v>
      </c>
      <c r="D149" s="4" t="s">
        <v>612</v>
      </c>
      <c r="E149" s="4" t="s">
        <v>627</v>
      </c>
      <c r="F149" s="4" t="s">
        <v>128</v>
      </c>
      <c r="G149" s="4" t="s">
        <v>59</v>
      </c>
      <c r="H149" s="4" t="n">
        <v>1</v>
      </c>
      <c r="I149" s="4" t="s">
        <v>643</v>
      </c>
      <c r="J149" s="4" t="s">
        <v>40</v>
      </c>
      <c r="K149" s="4" t="s">
        <v>270</v>
      </c>
      <c r="L149" s="4" t="s">
        <v>42</v>
      </c>
      <c r="M149" s="4" t="s">
        <v>43</v>
      </c>
      <c r="N149" s="4" t="s">
        <v>52</v>
      </c>
      <c r="O149" s="4" t="s">
        <v>271</v>
      </c>
      <c r="P149" s="4" t="s">
        <v>46</v>
      </c>
    </row>
    <row r="150" customFormat="false" ht="15" hidden="false" customHeight="false" outlineLevel="0" collapsed="false">
      <c r="A150" s="4" t="s">
        <v>644</v>
      </c>
      <c r="B150" s="4" t="s">
        <v>642</v>
      </c>
      <c r="C150" s="4" t="s">
        <v>611</v>
      </c>
      <c r="D150" s="4" t="s">
        <v>612</v>
      </c>
      <c r="E150" s="4" t="s">
        <v>627</v>
      </c>
      <c r="F150" s="4" t="s">
        <v>42</v>
      </c>
      <c r="G150" s="4" t="s">
        <v>38</v>
      </c>
      <c r="H150" s="4" t="n">
        <v>1</v>
      </c>
      <c r="I150" s="4" t="s">
        <v>645</v>
      </c>
      <c r="J150" s="4" t="s">
        <v>40</v>
      </c>
      <c r="K150" s="4" t="s">
        <v>646</v>
      </c>
      <c r="L150" s="4" t="s">
        <v>168</v>
      </c>
      <c r="M150" s="4" t="s">
        <v>133</v>
      </c>
      <c r="N150" s="4" t="s">
        <v>94</v>
      </c>
      <c r="O150" s="4" t="s">
        <v>647</v>
      </c>
      <c r="P150" s="4" t="s">
        <v>46</v>
      </c>
    </row>
    <row r="151" customFormat="false" ht="15" hidden="false" customHeight="false" outlineLevel="0" collapsed="false">
      <c r="A151" s="4" t="s">
        <v>648</v>
      </c>
      <c r="B151" s="4" t="s">
        <v>642</v>
      </c>
      <c r="C151" s="4" t="s">
        <v>611</v>
      </c>
      <c r="D151" s="4" t="s">
        <v>612</v>
      </c>
      <c r="E151" s="4" t="s">
        <v>649</v>
      </c>
      <c r="F151" s="4" t="s">
        <v>70</v>
      </c>
      <c r="G151" s="4" t="s">
        <v>38</v>
      </c>
      <c r="H151" s="4" t="n">
        <v>1</v>
      </c>
      <c r="I151" s="4" t="s">
        <v>650</v>
      </c>
      <c r="J151" s="4" t="s">
        <v>68</v>
      </c>
      <c r="K151" s="4" t="s">
        <v>651</v>
      </c>
      <c r="L151" s="4" t="s">
        <v>42</v>
      </c>
      <c r="M151" s="4" t="s">
        <v>43</v>
      </c>
      <c r="N151" s="4" t="s">
        <v>52</v>
      </c>
      <c r="O151" s="4" t="s">
        <v>652</v>
      </c>
      <c r="P151" s="4" t="s">
        <v>46</v>
      </c>
    </row>
    <row r="152" customFormat="false" ht="15" hidden="false" customHeight="false" outlineLevel="0" collapsed="false">
      <c r="A152" s="4" t="s">
        <v>653</v>
      </c>
      <c r="B152" s="4" t="s">
        <v>642</v>
      </c>
      <c r="C152" s="4" t="s">
        <v>304</v>
      </c>
      <c r="D152" s="4" t="s">
        <v>305</v>
      </c>
      <c r="E152" s="4" t="s">
        <v>306</v>
      </c>
      <c r="F152" s="4" t="s">
        <v>42</v>
      </c>
      <c r="G152" s="4" t="s">
        <v>59</v>
      </c>
      <c r="H152" s="4" t="n">
        <v>2</v>
      </c>
      <c r="I152" s="4" t="s">
        <v>654</v>
      </c>
      <c r="J152" s="4" t="s">
        <v>40</v>
      </c>
      <c r="K152" s="4" t="s">
        <v>387</v>
      </c>
      <c r="L152" s="4" t="s">
        <v>42</v>
      </c>
      <c r="M152" s="4" t="s">
        <v>43</v>
      </c>
      <c r="N152" s="4" t="s">
        <v>44</v>
      </c>
      <c r="O152" s="4" t="s">
        <v>388</v>
      </c>
      <c r="P152" s="4" t="s">
        <v>46</v>
      </c>
    </row>
    <row r="153" customFormat="false" ht="15" hidden="false" customHeight="false" outlineLevel="0" collapsed="false">
      <c r="A153" s="4" t="s">
        <v>655</v>
      </c>
      <c r="B153" s="4" t="s">
        <v>642</v>
      </c>
      <c r="C153" s="4" t="s">
        <v>304</v>
      </c>
      <c r="D153" s="4" t="s">
        <v>305</v>
      </c>
      <c r="E153" s="4" t="s">
        <v>345</v>
      </c>
      <c r="F153" s="4" t="s">
        <v>42</v>
      </c>
      <c r="G153" s="4" t="s">
        <v>38</v>
      </c>
      <c r="H153" s="4" t="n">
        <v>4</v>
      </c>
      <c r="I153" s="4" t="s">
        <v>508</v>
      </c>
      <c r="J153" s="4" t="s">
        <v>40</v>
      </c>
      <c r="K153" s="4" t="s">
        <v>423</v>
      </c>
      <c r="L153" s="4" t="s">
        <v>70</v>
      </c>
      <c r="M153" s="4" t="s">
        <v>43</v>
      </c>
      <c r="N153" s="4" t="s">
        <v>44</v>
      </c>
      <c r="O153" s="4" t="s">
        <v>424</v>
      </c>
      <c r="P153" s="4" t="s">
        <v>46</v>
      </c>
    </row>
    <row r="154" customFormat="false" ht="15" hidden="false" customHeight="false" outlineLevel="0" collapsed="false">
      <c r="A154" s="4" t="s">
        <v>656</v>
      </c>
      <c r="B154" s="4" t="s">
        <v>642</v>
      </c>
      <c r="C154" s="4" t="s">
        <v>657</v>
      </c>
      <c r="D154" s="4" t="s">
        <v>35</v>
      </c>
      <c r="E154" s="4" t="s">
        <v>66</v>
      </c>
      <c r="F154" s="4" t="s">
        <v>128</v>
      </c>
      <c r="G154" s="4" t="s">
        <v>38</v>
      </c>
      <c r="H154" s="4" t="n">
        <v>1</v>
      </c>
      <c r="I154" s="4" t="s">
        <v>39</v>
      </c>
      <c r="J154" s="4" t="s">
        <v>149</v>
      </c>
      <c r="K154" s="4" t="s">
        <v>658</v>
      </c>
      <c r="L154" s="4" t="s">
        <v>42</v>
      </c>
      <c r="M154" s="4" t="s">
        <v>43</v>
      </c>
      <c r="N154" s="4" t="s">
        <v>44</v>
      </c>
      <c r="O154" s="4" t="s">
        <v>659</v>
      </c>
      <c r="P154" s="4" t="s">
        <v>46</v>
      </c>
    </row>
    <row r="155" customFormat="false" ht="15" hidden="false" customHeight="false" outlineLevel="0" collapsed="false">
      <c r="A155" s="4" t="s">
        <v>660</v>
      </c>
      <c r="B155" s="4" t="s">
        <v>661</v>
      </c>
      <c r="C155" s="4" t="s">
        <v>611</v>
      </c>
      <c r="D155" s="4" t="s">
        <v>612</v>
      </c>
      <c r="E155" s="4" t="s">
        <v>627</v>
      </c>
      <c r="F155" s="4" t="s">
        <v>37</v>
      </c>
      <c r="G155" s="4" t="s">
        <v>326</v>
      </c>
      <c r="H155" s="4" t="n">
        <v>1</v>
      </c>
      <c r="I155" s="4" t="s">
        <v>662</v>
      </c>
      <c r="J155" s="4" t="s">
        <v>40</v>
      </c>
      <c r="K155" s="4" t="s">
        <v>663</v>
      </c>
      <c r="L155" s="4" t="s">
        <v>70</v>
      </c>
      <c r="M155" s="4" t="s">
        <v>43</v>
      </c>
      <c r="N155" s="4" t="s">
        <v>44</v>
      </c>
      <c r="O155" s="4" t="s">
        <v>664</v>
      </c>
      <c r="P155" s="4" t="s">
        <v>46</v>
      </c>
    </row>
    <row r="156" customFormat="false" ht="15" hidden="false" customHeight="false" outlineLevel="0" collapsed="false">
      <c r="A156" s="4" t="s">
        <v>665</v>
      </c>
      <c r="B156" s="4" t="s">
        <v>661</v>
      </c>
      <c r="C156" s="4" t="s">
        <v>611</v>
      </c>
      <c r="D156" s="4" t="s">
        <v>612</v>
      </c>
      <c r="E156" s="4" t="s">
        <v>618</v>
      </c>
      <c r="F156" s="4" t="s">
        <v>42</v>
      </c>
      <c r="G156" s="4" t="s">
        <v>59</v>
      </c>
      <c r="H156" s="4" t="n">
        <v>2</v>
      </c>
      <c r="I156" s="4" t="s">
        <v>474</v>
      </c>
      <c r="J156" s="4" t="s">
        <v>40</v>
      </c>
      <c r="K156" s="4" t="s">
        <v>666</v>
      </c>
      <c r="L156" s="4" t="s">
        <v>42</v>
      </c>
      <c r="M156" s="4" t="s">
        <v>43</v>
      </c>
      <c r="N156" s="4" t="s">
        <v>52</v>
      </c>
      <c r="O156" s="4" t="s">
        <v>667</v>
      </c>
      <c r="P156" s="4" t="s">
        <v>46</v>
      </c>
    </row>
    <row r="157" customFormat="false" ht="15" hidden="false" customHeight="false" outlineLevel="0" collapsed="false">
      <c r="A157" s="4" t="s">
        <v>668</v>
      </c>
      <c r="B157" s="4" t="s">
        <v>661</v>
      </c>
      <c r="C157" s="4" t="s">
        <v>611</v>
      </c>
      <c r="D157" s="4" t="s">
        <v>612</v>
      </c>
      <c r="E157" s="4" t="s">
        <v>627</v>
      </c>
      <c r="F157" s="4" t="s">
        <v>42</v>
      </c>
      <c r="G157" s="4" t="s">
        <v>38</v>
      </c>
      <c r="H157" s="4" t="n">
        <v>2</v>
      </c>
      <c r="I157" s="4" t="s">
        <v>669</v>
      </c>
      <c r="J157" s="4" t="s">
        <v>149</v>
      </c>
      <c r="K157" s="4" t="s">
        <v>670</v>
      </c>
      <c r="L157" s="4" t="s">
        <v>480</v>
      </c>
      <c r="M157" s="4" t="s">
        <v>43</v>
      </c>
      <c r="N157" s="4" t="s">
        <v>44</v>
      </c>
      <c r="O157" s="4" t="s">
        <v>671</v>
      </c>
      <c r="P157" s="4" t="s">
        <v>46</v>
      </c>
    </row>
    <row r="158" customFormat="false" ht="15" hidden="false" customHeight="false" outlineLevel="0" collapsed="false">
      <c r="A158" s="4" t="s">
        <v>672</v>
      </c>
      <c r="B158" s="4" t="s">
        <v>661</v>
      </c>
      <c r="C158" s="4" t="s">
        <v>611</v>
      </c>
      <c r="D158" s="4" t="s">
        <v>612</v>
      </c>
      <c r="E158" s="4" t="s">
        <v>627</v>
      </c>
      <c r="F158" s="4" t="s">
        <v>70</v>
      </c>
      <c r="G158" s="4" t="s">
        <v>38</v>
      </c>
      <c r="H158" s="4" t="n">
        <v>1</v>
      </c>
      <c r="I158" s="4" t="s">
        <v>673</v>
      </c>
      <c r="J158" s="4" t="s">
        <v>40</v>
      </c>
      <c r="K158" s="4" t="s">
        <v>173</v>
      </c>
      <c r="L158" s="4" t="s">
        <v>42</v>
      </c>
      <c r="M158" s="4" t="s">
        <v>133</v>
      </c>
      <c r="N158" s="4" t="s">
        <v>44</v>
      </c>
      <c r="O158" s="4" t="s">
        <v>174</v>
      </c>
      <c r="P158" s="4" t="s">
        <v>46</v>
      </c>
    </row>
    <row r="159" customFormat="false" ht="15" hidden="false" customHeight="false" outlineLevel="0" collapsed="false">
      <c r="A159" s="4" t="s">
        <v>526</v>
      </c>
      <c r="B159" s="4" t="s">
        <v>515</v>
      </c>
      <c r="C159" s="4" t="s">
        <v>304</v>
      </c>
      <c r="D159" s="4" t="s">
        <v>305</v>
      </c>
      <c r="E159" s="4" t="s">
        <v>306</v>
      </c>
      <c r="F159" s="4" t="s">
        <v>42</v>
      </c>
      <c r="G159" s="4" t="s">
        <v>59</v>
      </c>
      <c r="H159" s="4" t="n">
        <v>2</v>
      </c>
      <c r="I159" s="4" t="s">
        <v>527</v>
      </c>
      <c r="J159" s="4" t="s">
        <v>40</v>
      </c>
      <c r="K159" s="4" t="s">
        <v>528</v>
      </c>
      <c r="L159" s="4" t="s">
        <v>529</v>
      </c>
      <c r="M159" s="4" t="s">
        <v>530</v>
      </c>
      <c r="N159" s="4" t="s">
        <v>44</v>
      </c>
      <c r="O159" s="4" t="s">
        <v>531</v>
      </c>
      <c r="P159" s="4" t="s">
        <v>46</v>
      </c>
    </row>
    <row r="160" customFormat="false" ht="15" hidden="false" customHeight="false" outlineLevel="0" collapsed="false">
      <c r="A160" s="4" t="s">
        <v>674</v>
      </c>
      <c r="B160" s="4" t="s">
        <v>661</v>
      </c>
      <c r="C160" s="4" t="s">
        <v>304</v>
      </c>
      <c r="D160" s="4" t="s">
        <v>305</v>
      </c>
      <c r="E160" s="4" t="s">
        <v>323</v>
      </c>
      <c r="F160" s="4" t="s">
        <v>42</v>
      </c>
      <c r="G160" s="4" t="s">
        <v>38</v>
      </c>
      <c r="H160" s="4" t="n">
        <v>1</v>
      </c>
      <c r="I160" s="4" t="s">
        <v>349</v>
      </c>
      <c r="J160" s="4" t="s">
        <v>149</v>
      </c>
      <c r="K160" s="4" t="s">
        <v>675</v>
      </c>
      <c r="L160" s="4" t="s">
        <v>571</v>
      </c>
      <c r="M160" s="4" t="s">
        <v>356</v>
      </c>
      <c r="N160" s="4" t="s">
        <v>676</v>
      </c>
      <c r="O160" s="4"/>
      <c r="P160" s="4" t="s">
        <v>46</v>
      </c>
    </row>
    <row r="161" customFormat="false" ht="15" hidden="false" customHeight="false" outlineLevel="0" collapsed="false">
      <c r="A161" s="4" t="s">
        <v>677</v>
      </c>
      <c r="B161" s="4" t="s">
        <v>661</v>
      </c>
      <c r="C161" s="4" t="s">
        <v>304</v>
      </c>
      <c r="D161" s="4" t="s">
        <v>305</v>
      </c>
      <c r="E161" s="4" t="s">
        <v>306</v>
      </c>
      <c r="F161" s="4" t="s">
        <v>42</v>
      </c>
      <c r="G161" s="4" t="s">
        <v>59</v>
      </c>
      <c r="H161" s="4" t="n">
        <v>3</v>
      </c>
      <c r="I161" s="4" t="s">
        <v>632</v>
      </c>
      <c r="J161" s="4" t="s">
        <v>68</v>
      </c>
      <c r="K161" s="4" t="s">
        <v>678</v>
      </c>
      <c r="L161" s="4" t="s">
        <v>571</v>
      </c>
      <c r="M161" s="4" t="s">
        <v>356</v>
      </c>
      <c r="N161" s="4" t="s">
        <v>357</v>
      </c>
      <c r="O161" s="4"/>
      <c r="P161" s="4" t="s">
        <v>46</v>
      </c>
    </row>
    <row r="162" customFormat="false" ht="15" hidden="false" customHeight="false" outlineLevel="0" collapsed="false">
      <c r="A162" s="4" t="s">
        <v>679</v>
      </c>
      <c r="B162" s="4" t="s">
        <v>680</v>
      </c>
      <c r="C162" s="4" t="s">
        <v>611</v>
      </c>
      <c r="D162" s="4" t="s">
        <v>612</v>
      </c>
      <c r="E162" s="4" t="s">
        <v>627</v>
      </c>
      <c r="F162" s="4" t="s">
        <v>70</v>
      </c>
      <c r="G162" s="4" t="s">
        <v>326</v>
      </c>
      <c r="H162" s="4" t="n">
        <v>2</v>
      </c>
      <c r="I162" s="4" t="s">
        <v>681</v>
      </c>
      <c r="J162" s="4" t="s">
        <v>68</v>
      </c>
      <c r="K162" s="4" t="s">
        <v>682</v>
      </c>
      <c r="L162" s="4" t="s">
        <v>42</v>
      </c>
      <c r="M162" s="4" t="s">
        <v>43</v>
      </c>
      <c r="N162" s="4" t="s">
        <v>44</v>
      </c>
      <c r="O162" s="4" t="s">
        <v>683</v>
      </c>
      <c r="P162" s="4" t="s">
        <v>46</v>
      </c>
    </row>
    <row r="163" customFormat="false" ht="15" hidden="false" customHeight="false" outlineLevel="0" collapsed="false">
      <c r="A163" s="4" t="s">
        <v>684</v>
      </c>
      <c r="B163" s="4" t="s">
        <v>680</v>
      </c>
      <c r="C163" s="4" t="s">
        <v>611</v>
      </c>
      <c r="D163" s="4" t="s">
        <v>612</v>
      </c>
      <c r="E163" s="4" t="s">
        <v>627</v>
      </c>
      <c r="F163" s="4" t="s">
        <v>42</v>
      </c>
      <c r="G163" s="4" t="s">
        <v>59</v>
      </c>
      <c r="H163" s="4" t="n">
        <v>2</v>
      </c>
      <c r="I163" s="4" t="s">
        <v>685</v>
      </c>
      <c r="J163" s="4" t="s">
        <v>68</v>
      </c>
      <c r="K163" s="4" t="s">
        <v>686</v>
      </c>
      <c r="L163" s="4" t="s">
        <v>376</v>
      </c>
      <c r="M163" s="4" t="s">
        <v>377</v>
      </c>
      <c r="N163" s="4" t="s">
        <v>44</v>
      </c>
      <c r="O163" s="4" t="s">
        <v>687</v>
      </c>
      <c r="P163" s="4" t="s">
        <v>46</v>
      </c>
    </row>
    <row r="164" customFormat="false" ht="15" hidden="false" customHeight="false" outlineLevel="0" collapsed="false">
      <c r="A164" s="4" t="s">
        <v>688</v>
      </c>
      <c r="B164" s="4" t="s">
        <v>680</v>
      </c>
      <c r="C164" s="4" t="s">
        <v>611</v>
      </c>
      <c r="D164" s="4" t="s">
        <v>612</v>
      </c>
      <c r="E164" s="4" t="s">
        <v>627</v>
      </c>
      <c r="F164" s="4" t="s">
        <v>42</v>
      </c>
      <c r="G164" s="4" t="s">
        <v>38</v>
      </c>
      <c r="H164" s="4" t="n">
        <v>1</v>
      </c>
      <c r="I164" s="4" t="s">
        <v>689</v>
      </c>
      <c r="J164" s="4" t="s">
        <v>68</v>
      </c>
      <c r="K164" s="4" t="s">
        <v>246</v>
      </c>
      <c r="L164" s="4" t="s">
        <v>42</v>
      </c>
      <c r="M164" s="4" t="s">
        <v>133</v>
      </c>
      <c r="N164" s="4" t="s">
        <v>185</v>
      </c>
      <c r="O164" s="4" t="s">
        <v>247</v>
      </c>
      <c r="P164" s="4" t="s">
        <v>46</v>
      </c>
    </row>
    <row r="165" customFormat="false" ht="15" hidden="false" customHeight="false" outlineLevel="0" collapsed="false">
      <c r="A165" s="4" t="s">
        <v>690</v>
      </c>
      <c r="B165" s="4" t="s">
        <v>680</v>
      </c>
      <c r="C165" s="4" t="s">
        <v>611</v>
      </c>
      <c r="D165" s="4" t="s">
        <v>612</v>
      </c>
      <c r="E165" s="4" t="s">
        <v>627</v>
      </c>
      <c r="F165" s="4" t="s">
        <v>42</v>
      </c>
      <c r="G165" s="4" t="s">
        <v>59</v>
      </c>
      <c r="H165" s="4" t="n">
        <v>2</v>
      </c>
      <c r="I165" s="4" t="s">
        <v>685</v>
      </c>
      <c r="J165" s="4" t="s">
        <v>40</v>
      </c>
      <c r="K165" s="4" t="s">
        <v>112</v>
      </c>
      <c r="L165" s="4" t="s">
        <v>42</v>
      </c>
      <c r="M165" s="4" t="s">
        <v>43</v>
      </c>
      <c r="N165" s="4" t="s">
        <v>52</v>
      </c>
      <c r="O165" s="4" t="s">
        <v>113</v>
      </c>
      <c r="P165" s="4" t="s">
        <v>46</v>
      </c>
    </row>
    <row r="166" customFormat="false" ht="15" hidden="false" customHeight="false" outlineLevel="0" collapsed="false">
      <c r="A166" s="4" t="s">
        <v>691</v>
      </c>
      <c r="B166" s="4" t="s">
        <v>680</v>
      </c>
      <c r="C166" s="4" t="s">
        <v>304</v>
      </c>
      <c r="D166" s="4" t="s">
        <v>305</v>
      </c>
      <c r="E166" s="4" t="s">
        <v>306</v>
      </c>
      <c r="F166" s="4" t="s">
        <v>42</v>
      </c>
      <c r="G166" s="4" t="s">
        <v>38</v>
      </c>
      <c r="H166" s="4" t="n">
        <v>2</v>
      </c>
      <c r="I166" s="4" t="s">
        <v>692</v>
      </c>
      <c r="J166" s="4" t="s">
        <v>68</v>
      </c>
      <c r="K166" s="4" t="s">
        <v>693</v>
      </c>
      <c r="L166" s="4" t="s">
        <v>694</v>
      </c>
      <c r="M166" s="4" t="s">
        <v>695</v>
      </c>
      <c r="N166" s="4" t="s">
        <v>44</v>
      </c>
      <c r="O166" s="4" t="s">
        <v>696</v>
      </c>
      <c r="P166" s="4" t="s">
        <v>46</v>
      </c>
    </row>
    <row r="167" customFormat="false" ht="15" hidden="false" customHeight="false" outlineLevel="0" collapsed="false">
      <c r="A167" s="4" t="s">
        <v>697</v>
      </c>
      <c r="B167" s="4" t="s">
        <v>680</v>
      </c>
      <c r="C167" s="4" t="s">
        <v>657</v>
      </c>
      <c r="D167" s="4" t="s">
        <v>35</v>
      </c>
      <c r="E167" s="4" t="s">
        <v>89</v>
      </c>
      <c r="F167" s="4" t="s">
        <v>70</v>
      </c>
      <c r="G167" s="4" t="s">
        <v>38</v>
      </c>
      <c r="H167" s="4" t="n">
        <v>1</v>
      </c>
      <c r="I167" s="4" t="s">
        <v>67</v>
      </c>
      <c r="J167" s="4" t="s">
        <v>68</v>
      </c>
      <c r="K167" s="4" t="s">
        <v>698</v>
      </c>
      <c r="L167" s="4" t="s">
        <v>168</v>
      </c>
      <c r="M167" s="4" t="s">
        <v>43</v>
      </c>
      <c r="N167" s="4" t="s">
        <v>52</v>
      </c>
      <c r="O167" s="4" t="s">
        <v>699</v>
      </c>
      <c r="P167" s="4" t="s">
        <v>46</v>
      </c>
    </row>
    <row r="168" customFormat="false" ht="15" hidden="false" customHeight="false" outlineLevel="0" collapsed="false">
      <c r="A168" s="4" t="s">
        <v>700</v>
      </c>
      <c r="B168" s="4" t="s">
        <v>657</v>
      </c>
      <c r="C168" s="4" t="s">
        <v>611</v>
      </c>
      <c r="D168" s="4" t="s">
        <v>612</v>
      </c>
      <c r="E168" s="4" t="s">
        <v>627</v>
      </c>
      <c r="F168" s="4" t="s">
        <v>42</v>
      </c>
      <c r="G168" s="4" t="s">
        <v>38</v>
      </c>
      <c r="H168" s="4" t="n">
        <v>2</v>
      </c>
      <c r="I168" s="4" t="s">
        <v>701</v>
      </c>
      <c r="J168" s="4" t="s">
        <v>40</v>
      </c>
      <c r="K168" s="4" t="s">
        <v>702</v>
      </c>
      <c r="L168" s="4" t="s">
        <v>42</v>
      </c>
      <c r="M168" s="4" t="s">
        <v>43</v>
      </c>
      <c r="N168" s="4" t="s">
        <v>44</v>
      </c>
      <c r="O168" s="4" t="s">
        <v>703</v>
      </c>
      <c r="P168" s="4" t="s">
        <v>46</v>
      </c>
    </row>
    <row r="169" customFormat="false" ht="15" hidden="false" customHeight="false" outlineLevel="0" collapsed="false">
      <c r="A169" s="4" t="s">
        <v>704</v>
      </c>
      <c r="B169" s="4" t="s">
        <v>657</v>
      </c>
      <c r="C169" s="4" t="s">
        <v>304</v>
      </c>
      <c r="D169" s="4" t="s">
        <v>305</v>
      </c>
      <c r="E169" s="4" t="s">
        <v>306</v>
      </c>
      <c r="F169" s="4" t="s">
        <v>42</v>
      </c>
      <c r="G169" s="4" t="s">
        <v>59</v>
      </c>
      <c r="H169" s="4" t="n">
        <v>1</v>
      </c>
      <c r="I169" s="4" t="s">
        <v>353</v>
      </c>
      <c r="J169" s="4" t="s">
        <v>81</v>
      </c>
      <c r="K169" s="4" t="s">
        <v>705</v>
      </c>
      <c r="L169" s="4" t="s">
        <v>706</v>
      </c>
      <c r="M169" s="4" t="s">
        <v>412</v>
      </c>
      <c r="N169" s="4" t="s">
        <v>44</v>
      </c>
      <c r="O169" s="4" t="s">
        <v>707</v>
      </c>
      <c r="P169" s="4" t="s">
        <v>46</v>
      </c>
    </row>
    <row r="170" customFormat="false" ht="15" hidden="false" customHeight="false" outlineLevel="0" collapsed="false">
      <c r="A170" s="4" t="s">
        <v>708</v>
      </c>
      <c r="B170" s="4" t="s">
        <v>657</v>
      </c>
      <c r="C170" s="4" t="s">
        <v>304</v>
      </c>
      <c r="D170" s="4" t="s">
        <v>305</v>
      </c>
      <c r="E170" s="4" t="s">
        <v>306</v>
      </c>
      <c r="F170" s="4" t="s">
        <v>128</v>
      </c>
      <c r="G170" s="4" t="s">
        <v>59</v>
      </c>
      <c r="H170" s="4" t="n">
        <v>2</v>
      </c>
      <c r="I170" s="4" t="s">
        <v>709</v>
      </c>
      <c r="J170" s="4" t="s">
        <v>149</v>
      </c>
      <c r="K170" s="4" t="s">
        <v>710</v>
      </c>
      <c r="L170" s="4" t="s">
        <v>596</v>
      </c>
      <c r="M170" s="4" t="s">
        <v>695</v>
      </c>
      <c r="N170" s="4" t="s">
        <v>44</v>
      </c>
      <c r="O170" s="4" t="s">
        <v>711</v>
      </c>
      <c r="P170" s="4" t="s">
        <v>46</v>
      </c>
    </row>
    <row r="171" customFormat="false" ht="15" hidden="false" customHeight="false" outlineLevel="0" collapsed="false">
      <c r="A171" s="4" t="s">
        <v>712</v>
      </c>
      <c r="B171" s="4" t="s">
        <v>713</v>
      </c>
      <c r="C171" s="4" t="s">
        <v>611</v>
      </c>
      <c r="D171" s="4" t="s">
        <v>612</v>
      </c>
      <c r="E171" s="4" t="s">
        <v>627</v>
      </c>
      <c r="F171" s="4" t="s">
        <v>42</v>
      </c>
      <c r="G171" s="4" t="s">
        <v>59</v>
      </c>
      <c r="H171" s="4" t="n">
        <v>2</v>
      </c>
      <c r="I171" s="4" t="s">
        <v>714</v>
      </c>
      <c r="J171" s="4" t="s">
        <v>68</v>
      </c>
      <c r="K171" s="4" t="s">
        <v>715</v>
      </c>
      <c r="L171" s="4" t="s">
        <v>58</v>
      </c>
      <c r="M171" s="4" t="s">
        <v>43</v>
      </c>
      <c r="N171" s="4" t="s">
        <v>44</v>
      </c>
      <c r="O171" s="4" t="s">
        <v>716</v>
      </c>
      <c r="P171" s="4" t="s">
        <v>46</v>
      </c>
    </row>
    <row r="172" customFormat="false" ht="15" hidden="false" customHeight="false" outlineLevel="0" collapsed="false">
      <c r="A172" s="4" t="s">
        <v>717</v>
      </c>
      <c r="B172" s="4" t="s">
        <v>713</v>
      </c>
      <c r="C172" s="4" t="s">
        <v>611</v>
      </c>
      <c r="D172" s="4" t="s">
        <v>612</v>
      </c>
      <c r="E172" s="4" t="s">
        <v>627</v>
      </c>
      <c r="F172" s="4" t="s">
        <v>42</v>
      </c>
      <c r="G172" s="4" t="s">
        <v>59</v>
      </c>
      <c r="H172" s="4" t="n">
        <v>4</v>
      </c>
      <c r="I172" s="4" t="s">
        <v>718</v>
      </c>
      <c r="J172" s="4" t="s">
        <v>68</v>
      </c>
      <c r="K172" s="4" t="s">
        <v>719</v>
      </c>
      <c r="L172" s="4" t="s">
        <v>42</v>
      </c>
      <c r="M172" s="4" t="s">
        <v>43</v>
      </c>
      <c r="N172" s="4" t="s">
        <v>44</v>
      </c>
      <c r="O172" s="4" t="s">
        <v>720</v>
      </c>
      <c r="P172" s="4" t="s">
        <v>46</v>
      </c>
    </row>
    <row r="173" customFormat="false" ht="15" hidden="false" customHeight="false" outlineLevel="0" collapsed="false">
      <c r="A173" s="4" t="s">
        <v>721</v>
      </c>
      <c r="B173" s="4" t="s">
        <v>713</v>
      </c>
      <c r="C173" s="4" t="s">
        <v>611</v>
      </c>
      <c r="D173" s="4" t="s">
        <v>612</v>
      </c>
      <c r="E173" s="4" t="s">
        <v>627</v>
      </c>
      <c r="F173" s="4" t="s">
        <v>42</v>
      </c>
      <c r="G173" s="4" t="s">
        <v>59</v>
      </c>
      <c r="H173" s="4" t="n">
        <v>1</v>
      </c>
      <c r="I173" s="4" t="s">
        <v>508</v>
      </c>
      <c r="J173" s="4" t="s">
        <v>81</v>
      </c>
      <c r="K173" s="4" t="s">
        <v>722</v>
      </c>
      <c r="L173" s="4" t="s">
        <v>168</v>
      </c>
      <c r="M173" s="4" t="s">
        <v>43</v>
      </c>
      <c r="N173" s="4" t="s">
        <v>185</v>
      </c>
      <c r="O173" s="4" t="s">
        <v>723</v>
      </c>
      <c r="P173" s="4" t="s">
        <v>46</v>
      </c>
    </row>
    <row r="174" customFormat="false" ht="15" hidden="false" customHeight="false" outlineLevel="0" collapsed="false">
      <c r="A174" s="4" t="s">
        <v>724</v>
      </c>
      <c r="B174" s="4" t="s">
        <v>725</v>
      </c>
      <c r="C174" s="4" t="s">
        <v>611</v>
      </c>
      <c r="D174" s="4" t="s">
        <v>612</v>
      </c>
      <c r="E174" s="4" t="s">
        <v>613</v>
      </c>
      <c r="F174" s="4" t="s">
        <v>42</v>
      </c>
      <c r="G174" s="4" t="s">
        <v>38</v>
      </c>
      <c r="H174" s="4" t="n">
        <v>3</v>
      </c>
      <c r="I174" s="4" t="s">
        <v>692</v>
      </c>
      <c r="J174" s="4" t="s">
        <v>68</v>
      </c>
      <c r="K174" s="4" t="s">
        <v>270</v>
      </c>
      <c r="L174" s="4" t="s">
        <v>42</v>
      </c>
      <c r="M174" s="4" t="s">
        <v>43</v>
      </c>
      <c r="N174" s="4" t="s">
        <v>94</v>
      </c>
      <c r="O174" s="4" t="s">
        <v>271</v>
      </c>
      <c r="P174" s="4" t="s">
        <v>46</v>
      </c>
    </row>
    <row r="175" customFormat="false" ht="15" hidden="false" customHeight="false" outlineLevel="0" collapsed="false">
      <c r="A175" s="4" t="s">
        <v>726</v>
      </c>
      <c r="B175" s="4" t="s">
        <v>725</v>
      </c>
      <c r="C175" s="4" t="s">
        <v>611</v>
      </c>
      <c r="D175" s="4" t="s">
        <v>612</v>
      </c>
      <c r="E175" s="4" t="s">
        <v>627</v>
      </c>
      <c r="F175" s="4" t="s">
        <v>37</v>
      </c>
      <c r="G175" s="4" t="s">
        <v>38</v>
      </c>
      <c r="H175" s="4" t="n">
        <v>3</v>
      </c>
      <c r="I175" s="4" t="s">
        <v>727</v>
      </c>
      <c r="J175" s="4" t="s">
        <v>68</v>
      </c>
      <c r="K175" s="4" t="s">
        <v>229</v>
      </c>
      <c r="L175" s="4" t="s">
        <v>42</v>
      </c>
      <c r="M175" s="4" t="s">
        <v>43</v>
      </c>
      <c r="N175" s="4" t="s">
        <v>44</v>
      </c>
      <c r="O175" s="4" t="s">
        <v>230</v>
      </c>
      <c r="P175" s="4" t="s">
        <v>46</v>
      </c>
    </row>
    <row r="176" customFormat="false" ht="15" hidden="false" customHeight="false" outlineLevel="0" collapsed="false">
      <c r="A176" s="4" t="s">
        <v>728</v>
      </c>
      <c r="B176" s="4" t="s">
        <v>725</v>
      </c>
      <c r="C176" s="4" t="s">
        <v>611</v>
      </c>
      <c r="D176" s="4" t="s">
        <v>612</v>
      </c>
      <c r="E176" s="4" t="s">
        <v>627</v>
      </c>
      <c r="F176" s="4" t="s">
        <v>58</v>
      </c>
      <c r="G176" s="4" t="s">
        <v>38</v>
      </c>
      <c r="H176" s="4" t="n">
        <v>1</v>
      </c>
      <c r="I176" s="4" t="s">
        <v>729</v>
      </c>
      <c r="J176" s="4" t="s">
        <v>81</v>
      </c>
      <c r="K176" s="4" t="s">
        <v>663</v>
      </c>
      <c r="L176" s="4" t="s">
        <v>42</v>
      </c>
      <c r="M176" s="4" t="s">
        <v>43</v>
      </c>
      <c r="N176" s="4" t="s">
        <v>44</v>
      </c>
      <c r="O176" s="4" t="s">
        <v>664</v>
      </c>
      <c r="P176" s="4" t="s">
        <v>46</v>
      </c>
    </row>
    <row r="177" customFormat="false" ht="15" hidden="false" customHeight="false" outlineLevel="0" collapsed="false">
      <c r="A177" s="4" t="s">
        <v>730</v>
      </c>
      <c r="B177" s="4" t="s">
        <v>725</v>
      </c>
      <c r="C177" s="4" t="s">
        <v>611</v>
      </c>
      <c r="D177" s="4" t="s">
        <v>612</v>
      </c>
      <c r="E177" s="4" t="s">
        <v>618</v>
      </c>
      <c r="F177" s="4" t="s">
        <v>42</v>
      </c>
      <c r="G177" s="4" t="s">
        <v>38</v>
      </c>
      <c r="H177" s="4" t="n">
        <v>2</v>
      </c>
      <c r="I177" s="4" t="s">
        <v>731</v>
      </c>
      <c r="J177" s="4" t="s">
        <v>40</v>
      </c>
      <c r="K177" s="4" t="s">
        <v>184</v>
      </c>
      <c r="L177" s="4" t="s">
        <v>70</v>
      </c>
      <c r="M177" s="4" t="s">
        <v>43</v>
      </c>
      <c r="N177" s="4" t="s">
        <v>44</v>
      </c>
      <c r="O177" s="4" t="s">
        <v>186</v>
      </c>
      <c r="P177" s="4" t="s">
        <v>46</v>
      </c>
    </row>
    <row r="178" customFormat="false" ht="15" hidden="false" customHeight="false" outlineLevel="0" collapsed="false">
      <c r="A178" s="4" t="s">
        <v>732</v>
      </c>
      <c r="B178" s="4" t="s">
        <v>733</v>
      </c>
      <c r="C178" s="4" t="s">
        <v>611</v>
      </c>
      <c r="D178" s="4" t="s">
        <v>612</v>
      </c>
      <c r="E178" s="4" t="s">
        <v>627</v>
      </c>
      <c r="F178" s="4" t="s">
        <v>42</v>
      </c>
      <c r="G178" s="4" t="s">
        <v>38</v>
      </c>
      <c r="H178" s="4" t="n">
        <v>1</v>
      </c>
      <c r="I178" s="4" t="s">
        <v>734</v>
      </c>
      <c r="J178" s="4" t="s">
        <v>68</v>
      </c>
      <c r="K178" s="4" t="s">
        <v>735</v>
      </c>
      <c r="L178" s="4" t="s">
        <v>736</v>
      </c>
      <c r="M178" s="4" t="s">
        <v>737</v>
      </c>
      <c r="N178" s="4" t="s">
        <v>44</v>
      </c>
      <c r="O178" s="4" t="s">
        <v>738</v>
      </c>
      <c r="P178" s="4" t="s">
        <v>46</v>
      </c>
    </row>
    <row r="179" customFormat="false" ht="15" hidden="false" customHeight="false" outlineLevel="0" collapsed="false">
      <c r="A179" s="4" t="s">
        <v>739</v>
      </c>
      <c r="B179" s="4" t="s">
        <v>733</v>
      </c>
      <c r="C179" s="4" t="s">
        <v>611</v>
      </c>
      <c r="D179" s="4" t="s">
        <v>612</v>
      </c>
      <c r="E179" s="4" t="s">
        <v>627</v>
      </c>
      <c r="F179" s="4" t="s">
        <v>42</v>
      </c>
      <c r="G179" s="4" t="s">
        <v>38</v>
      </c>
      <c r="H179" s="4" t="n">
        <v>3</v>
      </c>
      <c r="I179" s="4" t="s">
        <v>740</v>
      </c>
      <c r="J179" s="4" t="s">
        <v>81</v>
      </c>
      <c r="K179" s="4" t="s">
        <v>741</v>
      </c>
      <c r="L179" s="4" t="s">
        <v>42</v>
      </c>
      <c r="M179" s="4" t="s">
        <v>133</v>
      </c>
      <c r="N179" s="4" t="s">
        <v>94</v>
      </c>
      <c r="O179" s="4" t="s">
        <v>742</v>
      </c>
      <c r="P179" s="4" t="s">
        <v>46</v>
      </c>
    </row>
    <row r="180" customFormat="false" ht="15" hidden="false" customHeight="false" outlineLevel="0" collapsed="false">
      <c r="A180" s="4" t="s">
        <v>743</v>
      </c>
      <c r="B180" s="4" t="s">
        <v>733</v>
      </c>
      <c r="C180" s="4" t="s">
        <v>611</v>
      </c>
      <c r="D180" s="4" t="s">
        <v>612</v>
      </c>
      <c r="E180" s="4" t="s">
        <v>627</v>
      </c>
      <c r="F180" s="4" t="s">
        <v>42</v>
      </c>
      <c r="G180" s="4" t="s">
        <v>38</v>
      </c>
      <c r="H180" s="4" t="n">
        <v>2</v>
      </c>
      <c r="I180" s="4" t="s">
        <v>744</v>
      </c>
      <c r="J180" s="4" t="s">
        <v>81</v>
      </c>
      <c r="K180" s="4" t="s">
        <v>745</v>
      </c>
      <c r="L180" s="4" t="s">
        <v>634</v>
      </c>
      <c r="M180" s="4" t="s">
        <v>635</v>
      </c>
      <c r="N180" s="4" t="s">
        <v>44</v>
      </c>
      <c r="O180" s="4" t="s">
        <v>746</v>
      </c>
      <c r="P180" s="4" t="s">
        <v>46</v>
      </c>
    </row>
    <row r="181" customFormat="false" ht="15" hidden="false" customHeight="false" outlineLevel="0" collapsed="false">
      <c r="A181" s="4" t="s">
        <v>747</v>
      </c>
      <c r="B181" s="4" t="s">
        <v>748</v>
      </c>
      <c r="C181" s="4" t="s">
        <v>611</v>
      </c>
      <c r="D181" s="4" t="s">
        <v>612</v>
      </c>
      <c r="E181" s="4" t="s">
        <v>627</v>
      </c>
      <c r="F181" s="4" t="s">
        <v>42</v>
      </c>
      <c r="G181" s="4" t="s">
        <v>326</v>
      </c>
      <c r="H181" s="4" t="n">
        <v>2</v>
      </c>
      <c r="I181" s="4" t="s">
        <v>749</v>
      </c>
      <c r="J181" s="4" t="s">
        <v>40</v>
      </c>
      <c r="K181" s="4" t="s">
        <v>750</v>
      </c>
      <c r="L181" s="4" t="s">
        <v>480</v>
      </c>
      <c r="M181" s="4" t="s">
        <v>43</v>
      </c>
      <c r="N181" s="4" t="s">
        <v>44</v>
      </c>
      <c r="O181" s="4" t="s">
        <v>751</v>
      </c>
      <c r="P181" s="4" t="s">
        <v>46</v>
      </c>
    </row>
    <row r="182" customFormat="false" ht="15" hidden="false" customHeight="false" outlineLevel="0" collapsed="false">
      <c r="A182" s="4" t="s">
        <v>752</v>
      </c>
      <c r="B182" s="4" t="s">
        <v>748</v>
      </c>
      <c r="C182" s="4" t="s">
        <v>611</v>
      </c>
      <c r="D182" s="4" t="s">
        <v>612</v>
      </c>
      <c r="E182" s="4" t="s">
        <v>627</v>
      </c>
      <c r="F182" s="4" t="s">
        <v>42</v>
      </c>
      <c r="G182" s="4" t="s">
        <v>59</v>
      </c>
      <c r="H182" s="4" t="n">
        <v>4</v>
      </c>
      <c r="I182" s="4" t="s">
        <v>753</v>
      </c>
      <c r="J182" s="4" t="s">
        <v>40</v>
      </c>
      <c r="K182" s="4" t="s">
        <v>125</v>
      </c>
      <c r="L182" s="4" t="s">
        <v>37</v>
      </c>
      <c r="M182" s="4" t="s">
        <v>133</v>
      </c>
      <c r="N182" s="4" t="s">
        <v>44</v>
      </c>
      <c r="O182" s="4" t="s">
        <v>126</v>
      </c>
      <c r="P182" s="4" t="s">
        <v>46</v>
      </c>
    </row>
    <row r="183" customFormat="false" ht="15" hidden="false" customHeight="false" outlineLevel="0" collapsed="false">
      <c r="A183" s="4" t="s">
        <v>754</v>
      </c>
      <c r="B183" s="4" t="s">
        <v>748</v>
      </c>
      <c r="C183" s="4" t="s">
        <v>611</v>
      </c>
      <c r="D183" s="4" t="s">
        <v>612</v>
      </c>
      <c r="E183" s="4" t="s">
        <v>627</v>
      </c>
      <c r="F183" s="4" t="s">
        <v>42</v>
      </c>
      <c r="G183" s="4" t="s">
        <v>59</v>
      </c>
      <c r="H183" s="4" t="n">
        <v>3</v>
      </c>
      <c r="I183" s="4" t="s">
        <v>349</v>
      </c>
      <c r="J183" s="4" t="s">
        <v>68</v>
      </c>
      <c r="K183" s="4" t="s">
        <v>755</v>
      </c>
      <c r="L183" s="4" t="s">
        <v>571</v>
      </c>
      <c r="M183" s="4" t="s">
        <v>356</v>
      </c>
      <c r="N183" s="4" t="s">
        <v>357</v>
      </c>
      <c r="O183" s="4"/>
      <c r="P183" s="4" t="s">
        <v>46</v>
      </c>
    </row>
    <row r="184" customFormat="false" ht="15" hidden="false" customHeight="false" outlineLevel="0" collapsed="false">
      <c r="A184" s="4" t="s">
        <v>756</v>
      </c>
      <c r="B184" s="4" t="s">
        <v>748</v>
      </c>
      <c r="C184" s="4" t="s">
        <v>611</v>
      </c>
      <c r="D184" s="4" t="s">
        <v>612</v>
      </c>
      <c r="E184" s="4" t="s">
        <v>627</v>
      </c>
      <c r="F184" s="4" t="s">
        <v>42</v>
      </c>
      <c r="G184" s="4" t="s">
        <v>38</v>
      </c>
      <c r="H184" s="4" t="n">
        <v>2</v>
      </c>
      <c r="I184" s="4" t="s">
        <v>757</v>
      </c>
      <c r="J184" s="4" t="s">
        <v>149</v>
      </c>
      <c r="K184" s="4" t="s">
        <v>758</v>
      </c>
      <c r="L184" s="4" t="s">
        <v>42</v>
      </c>
      <c r="M184" s="4" t="s">
        <v>43</v>
      </c>
      <c r="N184" s="4" t="s">
        <v>44</v>
      </c>
      <c r="O184" s="4" t="s">
        <v>759</v>
      </c>
      <c r="P184" s="4" t="s">
        <v>46</v>
      </c>
    </row>
    <row r="185" customFormat="false" ht="15" hidden="false" customHeight="false" outlineLevel="0" collapsed="false">
      <c r="A185" s="4" t="s">
        <v>760</v>
      </c>
      <c r="B185" s="4" t="s">
        <v>748</v>
      </c>
      <c r="C185" s="4" t="s">
        <v>611</v>
      </c>
      <c r="D185" s="4" t="s">
        <v>612</v>
      </c>
      <c r="E185" s="4" t="s">
        <v>761</v>
      </c>
      <c r="F185" s="4" t="s">
        <v>42</v>
      </c>
      <c r="G185" s="4" t="s">
        <v>38</v>
      </c>
      <c r="H185" s="4" t="n">
        <v>1</v>
      </c>
      <c r="I185" s="4" t="s">
        <v>762</v>
      </c>
      <c r="J185" s="4" t="s">
        <v>40</v>
      </c>
      <c r="K185" s="4" t="s">
        <v>763</v>
      </c>
      <c r="L185" s="4" t="s">
        <v>42</v>
      </c>
      <c r="M185" s="4" t="s">
        <v>133</v>
      </c>
      <c r="N185" s="4" t="s">
        <v>44</v>
      </c>
      <c r="O185" s="4" t="s">
        <v>764</v>
      </c>
      <c r="P185" s="4" t="s">
        <v>46</v>
      </c>
    </row>
    <row r="186" customFormat="false" ht="15" hidden="false" customHeight="false" outlineLevel="0" collapsed="false">
      <c r="A186" s="4" t="s">
        <v>765</v>
      </c>
      <c r="B186" s="4" t="s">
        <v>748</v>
      </c>
      <c r="C186" s="4" t="s">
        <v>611</v>
      </c>
      <c r="D186" s="4" t="s">
        <v>612</v>
      </c>
      <c r="E186" s="4" t="s">
        <v>627</v>
      </c>
      <c r="F186" s="4" t="s">
        <v>42</v>
      </c>
      <c r="G186" s="4" t="s">
        <v>59</v>
      </c>
      <c r="H186" s="4" t="n">
        <v>1</v>
      </c>
      <c r="I186" s="4" t="s">
        <v>766</v>
      </c>
      <c r="J186" s="4" t="s">
        <v>68</v>
      </c>
      <c r="K186" s="4" t="s">
        <v>767</v>
      </c>
      <c r="L186" s="4" t="s">
        <v>219</v>
      </c>
      <c r="M186" s="4" t="s">
        <v>356</v>
      </c>
      <c r="N186" s="4" t="s">
        <v>768</v>
      </c>
      <c r="O186" s="4"/>
      <c r="P186" s="4" t="s">
        <v>46</v>
      </c>
    </row>
    <row r="187" customFormat="false" ht="15" hidden="false" customHeight="false" outlineLevel="0" collapsed="false">
      <c r="A187" s="4" t="s">
        <v>769</v>
      </c>
      <c r="B187" s="4" t="s">
        <v>748</v>
      </c>
      <c r="C187" s="4" t="s">
        <v>611</v>
      </c>
      <c r="D187" s="4" t="s">
        <v>612</v>
      </c>
      <c r="E187" s="4" t="s">
        <v>627</v>
      </c>
      <c r="F187" s="4" t="s">
        <v>37</v>
      </c>
      <c r="G187" s="4" t="s">
        <v>59</v>
      </c>
      <c r="H187" s="4" t="n">
        <v>2</v>
      </c>
      <c r="I187" s="4" t="s">
        <v>770</v>
      </c>
      <c r="J187" s="4" t="s">
        <v>81</v>
      </c>
      <c r="K187" s="4" t="s">
        <v>76</v>
      </c>
      <c r="L187" s="4" t="s">
        <v>42</v>
      </c>
      <c r="M187" s="4" t="s">
        <v>43</v>
      </c>
      <c r="N187" s="4" t="s">
        <v>44</v>
      </c>
      <c r="O187" s="4" t="s">
        <v>77</v>
      </c>
      <c r="P187" s="4" t="s">
        <v>46</v>
      </c>
    </row>
    <row r="188" customFormat="false" ht="15" hidden="false" customHeight="false" outlineLevel="0" collapsed="false">
      <c r="A188" s="4" t="s">
        <v>771</v>
      </c>
      <c r="B188" s="4" t="s">
        <v>748</v>
      </c>
      <c r="C188" s="4" t="s">
        <v>611</v>
      </c>
      <c r="D188" s="4" t="s">
        <v>612</v>
      </c>
      <c r="E188" s="4" t="s">
        <v>627</v>
      </c>
      <c r="F188" s="4" t="s">
        <v>58</v>
      </c>
      <c r="G188" s="4" t="s">
        <v>59</v>
      </c>
      <c r="H188" s="4" t="n">
        <v>3</v>
      </c>
      <c r="I188" s="4" t="s">
        <v>772</v>
      </c>
      <c r="J188" s="4" t="s">
        <v>68</v>
      </c>
      <c r="K188" s="4" t="s">
        <v>773</v>
      </c>
      <c r="L188" s="4" t="s">
        <v>571</v>
      </c>
      <c r="M188" s="4" t="s">
        <v>356</v>
      </c>
      <c r="N188" s="4" t="s">
        <v>357</v>
      </c>
      <c r="O188" s="4"/>
      <c r="P188" s="4" t="s">
        <v>46</v>
      </c>
    </row>
    <row r="189" customFormat="false" ht="15" hidden="false" customHeight="false" outlineLevel="0" collapsed="false">
      <c r="A189" s="4" t="s">
        <v>774</v>
      </c>
      <c r="B189" s="4" t="s">
        <v>748</v>
      </c>
      <c r="C189" s="4" t="s">
        <v>304</v>
      </c>
      <c r="D189" s="4" t="s">
        <v>305</v>
      </c>
      <c r="E189" s="4" t="s">
        <v>306</v>
      </c>
      <c r="F189" s="4" t="s">
        <v>42</v>
      </c>
      <c r="G189" s="4" t="s">
        <v>59</v>
      </c>
      <c r="H189" s="4" t="n">
        <v>4</v>
      </c>
      <c r="I189" s="4" t="s">
        <v>487</v>
      </c>
      <c r="J189" s="4" t="s">
        <v>68</v>
      </c>
      <c r="K189" s="4" t="s">
        <v>775</v>
      </c>
      <c r="L189" s="4" t="s">
        <v>42</v>
      </c>
      <c r="M189" s="4" t="s">
        <v>43</v>
      </c>
      <c r="N189" s="4" t="s">
        <v>44</v>
      </c>
      <c r="O189" s="4" t="s">
        <v>776</v>
      </c>
      <c r="P189" s="4" t="s">
        <v>46</v>
      </c>
    </row>
    <row r="190" customFormat="false" ht="15" hidden="false" customHeight="false" outlineLevel="0" collapsed="false">
      <c r="A190" s="4" t="s">
        <v>777</v>
      </c>
      <c r="B190" s="4" t="s">
        <v>778</v>
      </c>
      <c r="C190" s="4" t="s">
        <v>611</v>
      </c>
      <c r="D190" s="4" t="s">
        <v>612</v>
      </c>
      <c r="E190" s="4" t="s">
        <v>627</v>
      </c>
      <c r="F190" s="4" t="s">
        <v>42</v>
      </c>
      <c r="G190" s="4" t="s">
        <v>38</v>
      </c>
      <c r="H190" s="4" t="n">
        <v>3</v>
      </c>
      <c r="I190" s="4" t="s">
        <v>550</v>
      </c>
      <c r="J190" s="4" t="s">
        <v>68</v>
      </c>
      <c r="K190" s="4" t="s">
        <v>551</v>
      </c>
      <c r="L190" s="4" t="s">
        <v>455</v>
      </c>
      <c r="M190" s="4" t="s">
        <v>456</v>
      </c>
      <c r="N190" s="4" t="s">
        <v>44</v>
      </c>
      <c r="O190" s="4" t="s">
        <v>553</v>
      </c>
      <c r="P190" s="4" t="s">
        <v>46</v>
      </c>
    </row>
    <row r="191" customFormat="false" ht="15" hidden="false" customHeight="false" outlineLevel="0" collapsed="false">
      <c r="A191" s="4" t="s">
        <v>779</v>
      </c>
      <c r="B191" s="4" t="s">
        <v>778</v>
      </c>
      <c r="C191" s="4" t="s">
        <v>611</v>
      </c>
      <c r="D191" s="4" t="s">
        <v>612</v>
      </c>
      <c r="E191" s="4" t="s">
        <v>627</v>
      </c>
      <c r="F191" s="4" t="s">
        <v>128</v>
      </c>
      <c r="G191" s="4" t="s">
        <v>38</v>
      </c>
      <c r="H191" s="4"/>
      <c r="I191" s="4" t="s">
        <v>780</v>
      </c>
      <c r="J191" s="4" t="s">
        <v>68</v>
      </c>
      <c r="K191" s="4" t="s">
        <v>781</v>
      </c>
      <c r="L191" s="4" t="s">
        <v>480</v>
      </c>
      <c r="M191" s="4" t="s">
        <v>133</v>
      </c>
      <c r="N191" s="4" t="s">
        <v>44</v>
      </c>
      <c r="O191" s="4" t="s">
        <v>782</v>
      </c>
      <c r="P191" s="4" t="s">
        <v>46</v>
      </c>
    </row>
    <row r="192" customFormat="false" ht="15" hidden="false" customHeight="false" outlineLevel="0" collapsed="false">
      <c r="A192" s="4" t="s">
        <v>783</v>
      </c>
      <c r="B192" s="4" t="s">
        <v>778</v>
      </c>
      <c r="C192" s="4" t="s">
        <v>611</v>
      </c>
      <c r="D192" s="4" t="s">
        <v>612</v>
      </c>
      <c r="E192" s="4" t="s">
        <v>627</v>
      </c>
      <c r="F192" s="4" t="s">
        <v>42</v>
      </c>
      <c r="G192" s="4" t="s">
        <v>59</v>
      </c>
      <c r="H192" s="4" t="n">
        <v>2</v>
      </c>
      <c r="I192" s="4" t="s">
        <v>784</v>
      </c>
      <c r="J192" s="4" t="s">
        <v>68</v>
      </c>
      <c r="K192" s="4" t="s">
        <v>785</v>
      </c>
      <c r="L192" s="4" t="s">
        <v>786</v>
      </c>
      <c r="M192" s="4" t="s">
        <v>377</v>
      </c>
      <c r="N192" s="4" t="s">
        <v>44</v>
      </c>
      <c r="O192" s="4" t="s">
        <v>787</v>
      </c>
      <c r="P192" s="4" t="s">
        <v>46</v>
      </c>
    </row>
    <row r="193" customFormat="false" ht="15" hidden="false" customHeight="false" outlineLevel="0" collapsed="false">
      <c r="A193" s="4" t="s">
        <v>788</v>
      </c>
      <c r="B193" s="4" t="s">
        <v>778</v>
      </c>
      <c r="C193" s="4" t="s">
        <v>611</v>
      </c>
      <c r="D193" s="4" t="s">
        <v>612</v>
      </c>
      <c r="E193" s="4" t="s">
        <v>761</v>
      </c>
      <c r="F193" s="4" t="s">
        <v>42</v>
      </c>
      <c r="G193" s="4" t="s">
        <v>38</v>
      </c>
      <c r="H193" s="4" t="n">
        <v>2</v>
      </c>
      <c r="I193" s="4" t="s">
        <v>789</v>
      </c>
      <c r="J193" s="4" t="s">
        <v>40</v>
      </c>
      <c r="K193" s="4" t="s">
        <v>741</v>
      </c>
      <c r="L193" s="4" t="s">
        <v>42</v>
      </c>
      <c r="M193" s="4" t="s">
        <v>43</v>
      </c>
      <c r="N193" s="4" t="s">
        <v>44</v>
      </c>
      <c r="O193" s="4" t="s">
        <v>742</v>
      </c>
      <c r="P193" s="4" t="s">
        <v>46</v>
      </c>
    </row>
    <row r="194" customFormat="false" ht="15" hidden="false" customHeight="false" outlineLevel="0" collapsed="false">
      <c r="A194" s="4" t="s">
        <v>790</v>
      </c>
      <c r="B194" s="4" t="s">
        <v>778</v>
      </c>
      <c r="C194" s="4" t="s">
        <v>611</v>
      </c>
      <c r="D194" s="4" t="s">
        <v>612</v>
      </c>
      <c r="E194" s="4" t="s">
        <v>627</v>
      </c>
      <c r="F194" s="4" t="s">
        <v>58</v>
      </c>
      <c r="G194" s="4" t="s">
        <v>59</v>
      </c>
      <c r="H194" s="4" t="n">
        <v>1</v>
      </c>
      <c r="I194" s="4" t="s">
        <v>791</v>
      </c>
      <c r="J194" s="4" t="s">
        <v>40</v>
      </c>
      <c r="K194" s="4" t="s">
        <v>792</v>
      </c>
      <c r="L194" s="4" t="s">
        <v>480</v>
      </c>
      <c r="M194" s="4" t="s">
        <v>43</v>
      </c>
      <c r="N194" s="4" t="s">
        <v>44</v>
      </c>
      <c r="O194" s="4" t="s">
        <v>793</v>
      </c>
      <c r="P194" s="4" t="s">
        <v>46</v>
      </c>
    </row>
    <row r="195" customFormat="false" ht="15" hidden="false" customHeight="false" outlineLevel="0" collapsed="false">
      <c r="A195" s="4" t="s">
        <v>794</v>
      </c>
      <c r="B195" s="4" t="s">
        <v>778</v>
      </c>
      <c r="C195" s="4" t="s">
        <v>611</v>
      </c>
      <c r="D195" s="4" t="s">
        <v>612</v>
      </c>
      <c r="E195" s="4" t="s">
        <v>613</v>
      </c>
      <c r="F195" s="4" t="s">
        <v>42</v>
      </c>
      <c r="G195" s="4" t="s">
        <v>38</v>
      </c>
      <c r="H195" s="4" t="n">
        <v>2</v>
      </c>
      <c r="I195" s="4" t="s">
        <v>669</v>
      </c>
      <c r="J195" s="4" t="s">
        <v>68</v>
      </c>
      <c r="K195" s="4" t="s">
        <v>154</v>
      </c>
      <c r="L195" s="4" t="s">
        <v>42</v>
      </c>
      <c r="M195" s="4" t="s">
        <v>43</v>
      </c>
      <c r="N195" s="4" t="s">
        <v>44</v>
      </c>
      <c r="O195" s="4" t="s">
        <v>155</v>
      </c>
      <c r="P195" s="4" t="s">
        <v>46</v>
      </c>
    </row>
    <row r="196" customFormat="false" ht="15" hidden="false" customHeight="false" outlineLevel="0" collapsed="false">
      <c r="A196" s="4" t="s">
        <v>795</v>
      </c>
      <c r="B196" s="4" t="s">
        <v>796</v>
      </c>
      <c r="C196" s="4" t="s">
        <v>611</v>
      </c>
      <c r="D196" s="4" t="s">
        <v>612</v>
      </c>
      <c r="E196" s="4" t="s">
        <v>627</v>
      </c>
      <c r="F196" s="4" t="s">
        <v>42</v>
      </c>
      <c r="G196" s="4" t="s">
        <v>38</v>
      </c>
      <c r="H196" s="4" t="n">
        <v>1</v>
      </c>
      <c r="I196" s="4" t="s">
        <v>511</v>
      </c>
      <c r="J196" s="4" t="s">
        <v>40</v>
      </c>
      <c r="K196" s="4" t="s">
        <v>797</v>
      </c>
      <c r="L196" s="4" t="s">
        <v>70</v>
      </c>
      <c r="M196" s="4" t="s">
        <v>133</v>
      </c>
      <c r="N196" s="4" t="s">
        <v>44</v>
      </c>
      <c r="O196" s="4" t="s">
        <v>798</v>
      </c>
      <c r="P196" s="4" t="s">
        <v>46</v>
      </c>
    </row>
    <row r="197" customFormat="false" ht="15" hidden="false" customHeight="false" outlineLevel="0" collapsed="false">
      <c r="A197" s="4" t="s">
        <v>799</v>
      </c>
      <c r="B197" s="4" t="s">
        <v>796</v>
      </c>
      <c r="C197" s="4" t="s">
        <v>611</v>
      </c>
      <c r="D197" s="4" t="s">
        <v>612</v>
      </c>
      <c r="E197" s="4" t="s">
        <v>627</v>
      </c>
      <c r="F197" s="4" t="s">
        <v>70</v>
      </c>
      <c r="G197" s="4" t="s">
        <v>38</v>
      </c>
      <c r="H197" s="4" t="n">
        <v>2</v>
      </c>
      <c r="I197" s="4" t="s">
        <v>542</v>
      </c>
      <c r="J197" s="4" t="s">
        <v>68</v>
      </c>
      <c r="K197" s="4" t="s">
        <v>173</v>
      </c>
      <c r="L197" s="4" t="s">
        <v>42</v>
      </c>
      <c r="M197" s="4" t="s">
        <v>43</v>
      </c>
      <c r="N197" s="4" t="s">
        <v>44</v>
      </c>
      <c r="O197" s="4" t="s">
        <v>174</v>
      </c>
      <c r="P197" s="4" t="s">
        <v>46</v>
      </c>
    </row>
    <row r="198" customFormat="false" ht="15" hidden="false" customHeight="false" outlineLevel="0" collapsed="false">
      <c r="A198" s="4" t="s">
        <v>800</v>
      </c>
      <c r="B198" s="4" t="s">
        <v>796</v>
      </c>
      <c r="C198" s="4" t="s">
        <v>611</v>
      </c>
      <c r="D198" s="4" t="s">
        <v>612</v>
      </c>
      <c r="E198" s="4" t="s">
        <v>649</v>
      </c>
      <c r="F198" s="4" t="s">
        <v>70</v>
      </c>
      <c r="G198" s="4" t="s">
        <v>38</v>
      </c>
      <c r="H198" s="4" t="n">
        <v>1</v>
      </c>
      <c r="I198" s="4" t="s">
        <v>801</v>
      </c>
      <c r="J198" s="4" t="s">
        <v>40</v>
      </c>
      <c r="K198" s="4" t="s">
        <v>802</v>
      </c>
      <c r="L198" s="4" t="s">
        <v>58</v>
      </c>
      <c r="M198" s="4" t="s">
        <v>43</v>
      </c>
      <c r="N198" s="4" t="s">
        <v>44</v>
      </c>
      <c r="O198" s="4" t="s">
        <v>803</v>
      </c>
      <c r="P198" s="4" t="s">
        <v>46</v>
      </c>
    </row>
    <row r="199" customFormat="false" ht="15" hidden="false" customHeight="false" outlineLevel="0" collapsed="false">
      <c r="A199" s="4" t="s">
        <v>804</v>
      </c>
      <c r="B199" s="4" t="s">
        <v>796</v>
      </c>
      <c r="C199" s="4" t="s">
        <v>611</v>
      </c>
      <c r="D199" s="4" t="s">
        <v>612</v>
      </c>
      <c r="E199" s="4" t="s">
        <v>618</v>
      </c>
      <c r="F199" s="4" t="s">
        <v>42</v>
      </c>
      <c r="G199" s="4" t="s">
        <v>59</v>
      </c>
      <c r="H199" s="4" t="n">
        <v>1</v>
      </c>
      <c r="I199" s="4" t="s">
        <v>805</v>
      </c>
      <c r="J199" s="4" t="s">
        <v>68</v>
      </c>
      <c r="K199" s="4" t="s">
        <v>484</v>
      </c>
      <c r="L199" s="4" t="s">
        <v>42</v>
      </c>
      <c r="M199" s="4" t="s">
        <v>133</v>
      </c>
      <c r="N199" s="4" t="s">
        <v>44</v>
      </c>
      <c r="O199" s="4" t="s">
        <v>485</v>
      </c>
      <c r="P199" s="4" t="s">
        <v>46</v>
      </c>
    </row>
    <row r="200" customFormat="false" ht="15" hidden="false" customHeight="false" outlineLevel="0" collapsed="false">
      <c r="A200" s="4" t="s">
        <v>806</v>
      </c>
      <c r="B200" s="4" t="s">
        <v>796</v>
      </c>
      <c r="C200" s="4" t="s">
        <v>796</v>
      </c>
      <c r="D200" s="4" t="s">
        <v>35</v>
      </c>
      <c r="E200" s="4" t="s">
        <v>36</v>
      </c>
      <c r="F200" s="4" t="s">
        <v>37</v>
      </c>
      <c r="G200" s="4" t="s">
        <v>59</v>
      </c>
      <c r="H200" s="4" t="n">
        <v>2</v>
      </c>
      <c r="I200" s="4" t="s">
        <v>60</v>
      </c>
      <c r="J200" s="4" t="s">
        <v>68</v>
      </c>
      <c r="K200" s="4" t="s">
        <v>98</v>
      </c>
      <c r="L200" s="4" t="s">
        <v>42</v>
      </c>
      <c r="M200" s="4" t="s">
        <v>43</v>
      </c>
      <c r="N200" s="4" t="s">
        <v>44</v>
      </c>
      <c r="O200" s="4" t="s">
        <v>99</v>
      </c>
      <c r="P200" s="4" t="s">
        <v>46</v>
      </c>
    </row>
    <row r="201" customFormat="false" ht="15" hidden="false" customHeight="false" outlineLevel="0" collapsed="false">
      <c r="A201" s="4" t="s">
        <v>807</v>
      </c>
      <c r="B201" s="4" t="s">
        <v>808</v>
      </c>
      <c r="C201" s="4" t="s">
        <v>611</v>
      </c>
      <c r="D201" s="4" t="s">
        <v>612</v>
      </c>
      <c r="E201" s="4" t="s">
        <v>618</v>
      </c>
      <c r="F201" s="4" t="s">
        <v>42</v>
      </c>
      <c r="G201" s="4" t="s">
        <v>59</v>
      </c>
      <c r="H201" s="4" t="n">
        <v>1</v>
      </c>
      <c r="I201" s="4" t="s">
        <v>809</v>
      </c>
      <c r="J201" s="4" t="s">
        <v>40</v>
      </c>
      <c r="K201" s="4" t="s">
        <v>810</v>
      </c>
      <c r="L201" s="4" t="s">
        <v>382</v>
      </c>
      <c r="M201" s="4" t="s">
        <v>43</v>
      </c>
      <c r="N201" s="4" t="s">
        <v>44</v>
      </c>
      <c r="O201" s="4" t="s">
        <v>811</v>
      </c>
      <c r="P201" s="4" t="s">
        <v>46</v>
      </c>
    </row>
    <row r="202" customFormat="false" ht="15" hidden="false" customHeight="false" outlineLevel="0" collapsed="false">
      <c r="A202" s="4" t="s">
        <v>690</v>
      </c>
      <c r="B202" s="4" t="s">
        <v>680</v>
      </c>
      <c r="C202" s="4" t="s">
        <v>611</v>
      </c>
      <c r="D202" s="4" t="s">
        <v>612</v>
      </c>
      <c r="E202" s="4" t="s">
        <v>627</v>
      </c>
      <c r="F202" s="4" t="s">
        <v>42</v>
      </c>
      <c r="G202" s="4" t="s">
        <v>59</v>
      </c>
      <c r="H202" s="4" t="n">
        <v>2</v>
      </c>
      <c r="I202" s="4" t="s">
        <v>685</v>
      </c>
      <c r="J202" s="4" t="s">
        <v>40</v>
      </c>
      <c r="K202" s="4" t="s">
        <v>112</v>
      </c>
      <c r="L202" s="4" t="s">
        <v>42</v>
      </c>
      <c r="M202" s="4" t="s">
        <v>43</v>
      </c>
      <c r="N202" s="4" t="s">
        <v>52</v>
      </c>
      <c r="O202" s="4" t="s">
        <v>113</v>
      </c>
      <c r="P202" s="4" t="s">
        <v>46</v>
      </c>
    </row>
    <row r="203" customFormat="false" ht="15" hidden="false" customHeight="false" outlineLevel="0" collapsed="false">
      <c r="A203" s="4" t="s">
        <v>812</v>
      </c>
      <c r="B203" s="4" t="s">
        <v>808</v>
      </c>
      <c r="C203" s="4" t="s">
        <v>611</v>
      </c>
      <c r="D203" s="4" t="s">
        <v>612</v>
      </c>
      <c r="E203" s="4" t="s">
        <v>627</v>
      </c>
      <c r="F203" s="4" t="s">
        <v>42</v>
      </c>
      <c r="G203" s="4" t="s">
        <v>38</v>
      </c>
      <c r="H203" s="4" t="n">
        <v>2</v>
      </c>
      <c r="I203" s="4" t="s">
        <v>813</v>
      </c>
      <c r="J203" s="4" t="s">
        <v>40</v>
      </c>
      <c r="K203" s="4" t="s">
        <v>814</v>
      </c>
      <c r="L203" s="4" t="s">
        <v>42</v>
      </c>
      <c r="M203" s="4" t="s">
        <v>43</v>
      </c>
      <c r="N203" s="4" t="s">
        <v>52</v>
      </c>
      <c r="O203" s="4" t="s">
        <v>815</v>
      </c>
      <c r="P203" s="4" t="s">
        <v>46</v>
      </c>
    </row>
    <row r="204" customFormat="false" ht="15" hidden="false" customHeight="false" outlineLevel="0" collapsed="false">
      <c r="A204" s="4" t="s">
        <v>816</v>
      </c>
      <c r="B204" s="4" t="s">
        <v>808</v>
      </c>
      <c r="C204" s="4" t="s">
        <v>611</v>
      </c>
      <c r="D204" s="4" t="s">
        <v>612</v>
      </c>
      <c r="E204" s="4" t="s">
        <v>649</v>
      </c>
      <c r="F204" s="4" t="s">
        <v>37</v>
      </c>
      <c r="G204" s="4" t="s">
        <v>38</v>
      </c>
      <c r="H204" s="4" t="n">
        <v>2</v>
      </c>
      <c r="I204" s="4" t="s">
        <v>817</v>
      </c>
      <c r="J204" s="4" t="s">
        <v>68</v>
      </c>
      <c r="K204" s="4" t="s">
        <v>818</v>
      </c>
      <c r="L204" s="4" t="s">
        <v>819</v>
      </c>
      <c r="M204" s="4" t="s">
        <v>43</v>
      </c>
      <c r="N204" s="4" t="s">
        <v>44</v>
      </c>
      <c r="O204" s="4" t="s">
        <v>820</v>
      </c>
      <c r="P204" s="4" t="s">
        <v>46</v>
      </c>
    </row>
    <row r="205" customFormat="false" ht="15" hidden="false" customHeight="false" outlineLevel="0" collapsed="false">
      <c r="A205" s="4" t="s">
        <v>821</v>
      </c>
      <c r="B205" s="4" t="s">
        <v>808</v>
      </c>
      <c r="C205" s="4" t="s">
        <v>611</v>
      </c>
      <c r="D205" s="4" t="s">
        <v>612</v>
      </c>
      <c r="E205" s="4" t="s">
        <v>627</v>
      </c>
      <c r="F205" s="4" t="s">
        <v>42</v>
      </c>
      <c r="G205" s="4" t="s">
        <v>38</v>
      </c>
      <c r="H205" s="4" t="n">
        <v>1</v>
      </c>
      <c r="I205" s="4" t="s">
        <v>744</v>
      </c>
      <c r="J205" s="4" t="s">
        <v>40</v>
      </c>
      <c r="K205" s="4" t="s">
        <v>698</v>
      </c>
      <c r="L205" s="4" t="s">
        <v>70</v>
      </c>
      <c r="M205" s="4" t="s">
        <v>43</v>
      </c>
      <c r="N205" s="4" t="s">
        <v>44</v>
      </c>
      <c r="O205" s="4" t="s">
        <v>699</v>
      </c>
      <c r="P205" s="4" t="s">
        <v>46</v>
      </c>
    </row>
    <row r="206" customFormat="false" ht="15" hidden="false" customHeight="false" outlineLevel="0" collapsed="false">
      <c r="A206" s="4" t="s">
        <v>822</v>
      </c>
      <c r="B206" s="4" t="s">
        <v>808</v>
      </c>
      <c r="C206" s="4" t="s">
        <v>611</v>
      </c>
      <c r="D206" s="4" t="s">
        <v>612</v>
      </c>
      <c r="E206" s="4" t="s">
        <v>627</v>
      </c>
      <c r="F206" s="4" t="s">
        <v>128</v>
      </c>
      <c r="G206" s="4" t="s">
        <v>326</v>
      </c>
      <c r="H206" s="4" t="n">
        <v>1</v>
      </c>
      <c r="I206" s="4" t="s">
        <v>823</v>
      </c>
      <c r="J206" s="4" t="s">
        <v>40</v>
      </c>
      <c r="K206" s="4" t="s">
        <v>824</v>
      </c>
      <c r="L206" s="4" t="s">
        <v>825</v>
      </c>
      <c r="M206" s="4" t="s">
        <v>43</v>
      </c>
      <c r="N206" s="4" t="s">
        <v>44</v>
      </c>
      <c r="O206" s="4" t="s">
        <v>826</v>
      </c>
      <c r="P206" s="4" t="s">
        <v>46</v>
      </c>
    </row>
    <row r="207" customFormat="false" ht="15" hidden="false" customHeight="false" outlineLevel="0" collapsed="false">
      <c r="A207" s="4" t="s">
        <v>827</v>
      </c>
      <c r="B207" s="4" t="s">
        <v>808</v>
      </c>
      <c r="C207" s="4" t="s">
        <v>304</v>
      </c>
      <c r="D207" s="4" t="s">
        <v>305</v>
      </c>
      <c r="E207" s="4" t="s">
        <v>306</v>
      </c>
      <c r="F207" s="4" t="s">
        <v>42</v>
      </c>
      <c r="G207" s="4" t="s">
        <v>326</v>
      </c>
      <c r="H207" s="4" t="n">
        <v>1</v>
      </c>
      <c r="I207" s="4" t="s">
        <v>828</v>
      </c>
      <c r="J207" s="4" t="s">
        <v>68</v>
      </c>
      <c r="K207" s="4" t="s">
        <v>297</v>
      </c>
      <c r="L207" s="4" t="s">
        <v>42</v>
      </c>
      <c r="M207" s="4" t="s">
        <v>133</v>
      </c>
      <c r="N207" s="4" t="s">
        <v>185</v>
      </c>
      <c r="O207" s="4" t="s">
        <v>298</v>
      </c>
      <c r="P207" s="4" t="s">
        <v>46</v>
      </c>
    </row>
    <row r="208" customFormat="false" ht="15" hidden="false" customHeight="false" outlineLevel="0" collapsed="false">
      <c r="A208" s="4" t="s">
        <v>829</v>
      </c>
      <c r="B208" s="4" t="s">
        <v>830</v>
      </c>
      <c r="C208" s="4" t="s">
        <v>611</v>
      </c>
      <c r="D208" s="4" t="s">
        <v>612</v>
      </c>
      <c r="E208" s="4" t="s">
        <v>627</v>
      </c>
      <c r="F208" s="4" t="s">
        <v>70</v>
      </c>
      <c r="G208" s="4" t="s">
        <v>38</v>
      </c>
      <c r="H208" s="4" t="n">
        <v>1</v>
      </c>
      <c r="I208" s="4" t="s">
        <v>831</v>
      </c>
      <c r="J208" s="4" t="s">
        <v>40</v>
      </c>
      <c r="K208" s="4" t="s">
        <v>832</v>
      </c>
      <c r="L208" s="4" t="s">
        <v>634</v>
      </c>
      <c r="M208" s="4" t="s">
        <v>635</v>
      </c>
      <c r="N208" s="4" t="s">
        <v>44</v>
      </c>
      <c r="O208" s="4" t="s">
        <v>833</v>
      </c>
      <c r="P208" s="4" t="s">
        <v>46</v>
      </c>
    </row>
    <row r="209" customFormat="false" ht="15" hidden="false" customHeight="false" outlineLevel="0" collapsed="false">
      <c r="A209" s="4" t="s">
        <v>834</v>
      </c>
      <c r="B209" s="4" t="s">
        <v>830</v>
      </c>
      <c r="C209" s="4" t="s">
        <v>611</v>
      </c>
      <c r="D209" s="4" t="s">
        <v>612</v>
      </c>
      <c r="E209" s="4" t="s">
        <v>627</v>
      </c>
      <c r="F209" s="4" t="s">
        <v>128</v>
      </c>
      <c r="G209" s="4" t="s">
        <v>38</v>
      </c>
      <c r="H209" s="4" t="n">
        <v>2</v>
      </c>
      <c r="I209" s="4" t="s">
        <v>835</v>
      </c>
      <c r="J209" s="4" t="s">
        <v>40</v>
      </c>
      <c r="K209" s="4" t="s">
        <v>836</v>
      </c>
      <c r="L209" s="4" t="s">
        <v>837</v>
      </c>
      <c r="M209" s="4" t="s">
        <v>838</v>
      </c>
      <c r="N209" s="4" t="s">
        <v>44</v>
      </c>
      <c r="O209" s="4" t="s">
        <v>839</v>
      </c>
      <c r="P209" s="4" t="s">
        <v>46</v>
      </c>
    </row>
    <row r="210" customFormat="false" ht="15" hidden="false" customHeight="false" outlineLevel="0" collapsed="false">
      <c r="A210" s="4" t="s">
        <v>840</v>
      </c>
      <c r="B210" s="4" t="s">
        <v>830</v>
      </c>
      <c r="C210" s="4" t="s">
        <v>611</v>
      </c>
      <c r="D210" s="4" t="s">
        <v>612</v>
      </c>
      <c r="E210" s="4" t="s">
        <v>627</v>
      </c>
      <c r="F210" s="4" t="s">
        <v>70</v>
      </c>
      <c r="G210" s="4" t="s">
        <v>38</v>
      </c>
      <c r="H210" s="4" t="n">
        <v>1</v>
      </c>
      <c r="I210" s="4" t="s">
        <v>841</v>
      </c>
      <c r="J210" s="4" t="s">
        <v>40</v>
      </c>
      <c r="K210" s="4" t="s">
        <v>842</v>
      </c>
      <c r="L210" s="4" t="s">
        <v>843</v>
      </c>
      <c r="M210" s="4" t="s">
        <v>377</v>
      </c>
      <c r="N210" s="4" t="s">
        <v>44</v>
      </c>
      <c r="O210" s="4" t="s">
        <v>844</v>
      </c>
      <c r="P210" s="4" t="s">
        <v>46</v>
      </c>
    </row>
    <row r="211" customFormat="false" ht="15" hidden="false" customHeight="false" outlineLevel="0" collapsed="false">
      <c r="A211" s="4" t="s">
        <v>845</v>
      </c>
      <c r="B211" s="4" t="s">
        <v>846</v>
      </c>
      <c r="C211" s="4" t="s">
        <v>611</v>
      </c>
      <c r="D211" s="4" t="s">
        <v>612</v>
      </c>
      <c r="E211" s="4" t="s">
        <v>649</v>
      </c>
      <c r="F211" s="4" t="s">
        <v>42</v>
      </c>
      <c r="G211" s="4" t="s">
        <v>59</v>
      </c>
      <c r="H211" s="4" t="n">
        <v>2</v>
      </c>
      <c r="I211" s="4" t="s">
        <v>319</v>
      </c>
      <c r="J211" s="4" t="s">
        <v>68</v>
      </c>
      <c r="K211" s="4" t="s">
        <v>847</v>
      </c>
      <c r="L211" s="4" t="s">
        <v>42</v>
      </c>
      <c r="M211" s="4" t="s">
        <v>43</v>
      </c>
      <c r="N211" s="4" t="s">
        <v>44</v>
      </c>
      <c r="O211" s="4" t="s">
        <v>848</v>
      </c>
      <c r="P211" s="4" t="s">
        <v>46</v>
      </c>
    </row>
    <row r="212" customFormat="false" ht="15" hidden="false" customHeight="false" outlineLevel="0" collapsed="false">
      <c r="A212" s="4" t="s">
        <v>849</v>
      </c>
      <c r="B212" s="4" t="s">
        <v>846</v>
      </c>
      <c r="C212" s="4" t="s">
        <v>611</v>
      </c>
      <c r="D212" s="4" t="s">
        <v>612</v>
      </c>
      <c r="E212" s="4" t="s">
        <v>627</v>
      </c>
      <c r="F212" s="4" t="s">
        <v>42</v>
      </c>
      <c r="G212" s="4" t="s">
        <v>59</v>
      </c>
      <c r="H212" s="4" t="n">
        <v>1</v>
      </c>
      <c r="I212" s="4" t="s">
        <v>850</v>
      </c>
      <c r="J212" s="4" t="s">
        <v>68</v>
      </c>
      <c r="K212" s="4" t="s">
        <v>851</v>
      </c>
      <c r="L212" s="4" t="s">
        <v>524</v>
      </c>
      <c r="M212" s="4" t="s">
        <v>377</v>
      </c>
      <c r="N212" s="4" t="s">
        <v>44</v>
      </c>
      <c r="O212" s="4" t="s">
        <v>852</v>
      </c>
      <c r="P212" s="4" t="s">
        <v>46</v>
      </c>
    </row>
    <row r="213" customFormat="false" ht="15" hidden="false" customHeight="false" outlineLevel="0" collapsed="false">
      <c r="A213" s="4" t="s">
        <v>853</v>
      </c>
      <c r="B213" s="4" t="s">
        <v>846</v>
      </c>
      <c r="C213" s="4" t="s">
        <v>611</v>
      </c>
      <c r="D213" s="4" t="s">
        <v>612</v>
      </c>
      <c r="E213" s="4" t="s">
        <v>627</v>
      </c>
      <c r="F213" s="4" t="s">
        <v>42</v>
      </c>
      <c r="G213" s="4" t="s">
        <v>38</v>
      </c>
      <c r="H213" s="4" t="n">
        <v>3</v>
      </c>
      <c r="I213" s="4" t="s">
        <v>813</v>
      </c>
      <c r="J213" s="4" t="s">
        <v>149</v>
      </c>
      <c r="K213" s="4" t="s">
        <v>854</v>
      </c>
      <c r="L213" s="4" t="s">
        <v>37</v>
      </c>
      <c r="M213" s="4" t="s">
        <v>43</v>
      </c>
      <c r="N213" s="4" t="s">
        <v>44</v>
      </c>
      <c r="O213" s="4" t="s">
        <v>855</v>
      </c>
      <c r="P213" s="4" t="s">
        <v>46</v>
      </c>
    </row>
    <row r="214" customFormat="false" ht="15" hidden="false" customHeight="false" outlineLevel="0" collapsed="false">
      <c r="A214" s="4" t="s">
        <v>856</v>
      </c>
      <c r="B214" s="4" t="s">
        <v>846</v>
      </c>
      <c r="C214" s="4" t="s">
        <v>304</v>
      </c>
      <c r="D214" s="4" t="s">
        <v>305</v>
      </c>
      <c r="E214" s="4" t="s">
        <v>323</v>
      </c>
      <c r="F214" s="4" t="s">
        <v>42</v>
      </c>
      <c r="G214" s="4" t="s">
        <v>38</v>
      </c>
      <c r="H214" s="4" t="n">
        <v>1</v>
      </c>
      <c r="I214" s="4" t="s">
        <v>857</v>
      </c>
      <c r="J214" s="4" t="s">
        <v>81</v>
      </c>
      <c r="K214" s="4" t="s">
        <v>698</v>
      </c>
      <c r="L214" s="4" t="s">
        <v>70</v>
      </c>
      <c r="M214" s="4" t="s">
        <v>43</v>
      </c>
      <c r="N214" s="4" t="s">
        <v>44</v>
      </c>
      <c r="O214" s="4" t="s">
        <v>699</v>
      </c>
      <c r="P214" s="4" t="s">
        <v>46</v>
      </c>
    </row>
    <row r="215" customFormat="false" ht="15" hidden="false" customHeight="false" outlineLevel="0" collapsed="false">
      <c r="A215" s="4" t="s">
        <v>858</v>
      </c>
      <c r="B215" s="4" t="s">
        <v>859</v>
      </c>
      <c r="C215" s="4" t="s">
        <v>611</v>
      </c>
      <c r="D215" s="4" t="s">
        <v>612</v>
      </c>
      <c r="E215" s="4" t="s">
        <v>627</v>
      </c>
      <c r="F215" s="4" t="s">
        <v>37</v>
      </c>
      <c r="G215" s="4" t="s">
        <v>326</v>
      </c>
      <c r="H215" s="4" t="n">
        <v>2</v>
      </c>
      <c r="I215" s="4" t="s">
        <v>860</v>
      </c>
      <c r="J215" s="4" t="s">
        <v>40</v>
      </c>
      <c r="K215" s="4" t="s">
        <v>861</v>
      </c>
      <c r="L215" s="4" t="s">
        <v>862</v>
      </c>
      <c r="M215" s="4" t="s">
        <v>356</v>
      </c>
      <c r="N215" s="4" t="s">
        <v>863</v>
      </c>
      <c r="O215" s="4"/>
      <c r="P215" s="4" t="s">
        <v>46</v>
      </c>
    </row>
    <row r="216" customFormat="false" ht="15" hidden="false" customHeight="false" outlineLevel="0" collapsed="false">
      <c r="A216" s="4" t="s">
        <v>849</v>
      </c>
      <c r="B216" s="4" t="s">
        <v>846</v>
      </c>
      <c r="C216" s="4" t="s">
        <v>611</v>
      </c>
      <c r="D216" s="4" t="s">
        <v>612</v>
      </c>
      <c r="E216" s="4" t="s">
        <v>627</v>
      </c>
      <c r="F216" s="4" t="s">
        <v>42</v>
      </c>
      <c r="G216" s="4" t="s">
        <v>59</v>
      </c>
      <c r="H216" s="4" t="n">
        <v>1</v>
      </c>
      <c r="I216" s="4" t="s">
        <v>850</v>
      </c>
      <c r="J216" s="4" t="s">
        <v>68</v>
      </c>
      <c r="K216" s="4" t="s">
        <v>851</v>
      </c>
      <c r="L216" s="4" t="s">
        <v>524</v>
      </c>
      <c r="M216" s="4" t="s">
        <v>377</v>
      </c>
      <c r="N216" s="4" t="s">
        <v>44</v>
      </c>
      <c r="O216" s="4" t="s">
        <v>852</v>
      </c>
      <c r="P216" s="4" t="s">
        <v>46</v>
      </c>
    </row>
    <row r="217" customFormat="false" ht="15" hidden="false" customHeight="false" outlineLevel="0" collapsed="false">
      <c r="A217" s="4" t="s">
        <v>864</v>
      </c>
      <c r="B217" s="4" t="s">
        <v>859</v>
      </c>
      <c r="C217" s="4" t="s">
        <v>611</v>
      </c>
      <c r="D217" s="4" t="s">
        <v>612</v>
      </c>
      <c r="E217" s="4" t="s">
        <v>649</v>
      </c>
      <c r="F217" s="4" t="s">
        <v>70</v>
      </c>
      <c r="G217" s="4" t="s">
        <v>59</v>
      </c>
      <c r="H217" s="4" t="n">
        <v>1</v>
      </c>
      <c r="I217" s="4" t="s">
        <v>865</v>
      </c>
      <c r="J217" s="4" t="s">
        <v>40</v>
      </c>
      <c r="K217" s="4" t="s">
        <v>866</v>
      </c>
      <c r="L217" s="4" t="s">
        <v>867</v>
      </c>
      <c r="M217" s="4" t="s">
        <v>43</v>
      </c>
      <c r="N217" s="4" t="s">
        <v>44</v>
      </c>
      <c r="O217" s="4" t="s">
        <v>868</v>
      </c>
      <c r="P217" s="4" t="s">
        <v>46</v>
      </c>
    </row>
    <row r="218" customFormat="false" ht="15" hidden="false" customHeight="false" outlineLevel="0" collapsed="false">
      <c r="A218" s="4" t="s">
        <v>869</v>
      </c>
      <c r="B218" s="4" t="s">
        <v>859</v>
      </c>
      <c r="C218" s="4" t="s">
        <v>611</v>
      </c>
      <c r="D218" s="4" t="s">
        <v>612</v>
      </c>
      <c r="E218" s="4" t="s">
        <v>627</v>
      </c>
      <c r="F218" s="4" t="s">
        <v>42</v>
      </c>
      <c r="G218" s="4" t="s">
        <v>38</v>
      </c>
      <c r="H218" s="4" t="n">
        <v>1</v>
      </c>
      <c r="I218" s="4" t="s">
        <v>870</v>
      </c>
      <c r="J218" s="4" t="s">
        <v>68</v>
      </c>
      <c r="K218" s="4" t="s">
        <v>871</v>
      </c>
      <c r="L218" s="4" t="s">
        <v>872</v>
      </c>
      <c r="M218" s="4" t="s">
        <v>873</v>
      </c>
      <c r="N218" s="4" t="s">
        <v>44</v>
      </c>
      <c r="O218" s="4" t="s">
        <v>874</v>
      </c>
      <c r="P218" s="4" t="s">
        <v>46</v>
      </c>
    </row>
    <row r="219" customFormat="false" ht="15" hidden="false" customHeight="false" outlineLevel="0" collapsed="false">
      <c r="A219" s="4" t="s">
        <v>875</v>
      </c>
      <c r="B219" s="4" t="s">
        <v>859</v>
      </c>
      <c r="C219" s="4" t="s">
        <v>611</v>
      </c>
      <c r="D219" s="4" t="s">
        <v>612</v>
      </c>
      <c r="E219" s="4" t="s">
        <v>627</v>
      </c>
      <c r="F219" s="4" t="s">
        <v>37</v>
      </c>
      <c r="G219" s="4" t="s">
        <v>38</v>
      </c>
      <c r="H219" s="4" t="n">
        <v>4</v>
      </c>
      <c r="I219" s="4" t="s">
        <v>876</v>
      </c>
      <c r="J219" s="4" t="s">
        <v>68</v>
      </c>
      <c r="K219" s="4" t="s">
        <v>877</v>
      </c>
      <c r="L219" s="4" t="s">
        <v>382</v>
      </c>
      <c r="M219" s="4" t="s">
        <v>43</v>
      </c>
      <c r="N219" s="4" t="s">
        <v>44</v>
      </c>
      <c r="O219" s="4" t="s">
        <v>878</v>
      </c>
      <c r="P219" s="4" t="s">
        <v>46</v>
      </c>
    </row>
    <row r="220" customFormat="false" ht="15" hidden="false" customHeight="false" outlineLevel="0" collapsed="false">
      <c r="A220" s="4" t="s">
        <v>879</v>
      </c>
      <c r="B220" s="4" t="s">
        <v>859</v>
      </c>
      <c r="C220" s="4" t="s">
        <v>304</v>
      </c>
      <c r="D220" s="4" t="s">
        <v>305</v>
      </c>
      <c r="E220" s="4" t="s">
        <v>306</v>
      </c>
      <c r="F220" s="4" t="s">
        <v>42</v>
      </c>
      <c r="G220" s="4" t="s">
        <v>38</v>
      </c>
      <c r="H220" s="4" t="n">
        <v>1</v>
      </c>
      <c r="I220" s="4" t="s">
        <v>789</v>
      </c>
      <c r="J220" s="4" t="s">
        <v>68</v>
      </c>
      <c r="K220" s="4" t="s">
        <v>880</v>
      </c>
      <c r="L220" s="4" t="s">
        <v>881</v>
      </c>
      <c r="M220" s="4" t="s">
        <v>464</v>
      </c>
      <c r="N220" s="4" t="s">
        <v>44</v>
      </c>
      <c r="O220" s="4" t="s">
        <v>882</v>
      </c>
      <c r="P220" s="4" t="s">
        <v>46</v>
      </c>
    </row>
    <row r="221" customFormat="false" ht="15" hidden="false" customHeight="false" outlineLevel="0" collapsed="false">
      <c r="A221" s="4" t="s">
        <v>821</v>
      </c>
      <c r="B221" s="4" t="s">
        <v>808</v>
      </c>
      <c r="C221" s="4" t="s">
        <v>611</v>
      </c>
      <c r="D221" s="4" t="s">
        <v>612</v>
      </c>
      <c r="E221" s="4" t="s">
        <v>627</v>
      </c>
      <c r="F221" s="4" t="s">
        <v>42</v>
      </c>
      <c r="G221" s="4" t="s">
        <v>38</v>
      </c>
      <c r="H221" s="4" t="n">
        <v>1</v>
      </c>
      <c r="I221" s="4" t="s">
        <v>744</v>
      </c>
      <c r="J221" s="4" t="s">
        <v>40</v>
      </c>
      <c r="K221" s="4" t="s">
        <v>698</v>
      </c>
      <c r="L221" s="4" t="s">
        <v>70</v>
      </c>
      <c r="M221" s="4" t="s">
        <v>43</v>
      </c>
      <c r="N221" s="4" t="s">
        <v>44</v>
      </c>
      <c r="O221" s="4" t="s">
        <v>699</v>
      </c>
      <c r="P221" s="4" t="s">
        <v>46</v>
      </c>
    </row>
    <row r="222" customFormat="false" ht="15" hidden="false" customHeight="false" outlineLevel="0" collapsed="false">
      <c r="A222" s="4" t="s">
        <v>883</v>
      </c>
      <c r="B222" s="4" t="s">
        <v>884</v>
      </c>
      <c r="C222" s="4" t="s">
        <v>611</v>
      </c>
      <c r="D222" s="4" t="s">
        <v>612</v>
      </c>
      <c r="E222" s="4" t="s">
        <v>627</v>
      </c>
      <c r="F222" s="4" t="s">
        <v>42</v>
      </c>
      <c r="G222" s="4" t="s">
        <v>38</v>
      </c>
      <c r="H222" s="4" t="n">
        <v>1</v>
      </c>
      <c r="I222" s="4" t="s">
        <v>885</v>
      </c>
      <c r="J222" s="4" t="s">
        <v>40</v>
      </c>
      <c r="K222" s="4" t="s">
        <v>423</v>
      </c>
      <c r="L222" s="4" t="s">
        <v>37</v>
      </c>
      <c r="M222" s="4" t="s">
        <v>43</v>
      </c>
      <c r="N222" s="4" t="s">
        <v>185</v>
      </c>
      <c r="O222" s="4" t="s">
        <v>424</v>
      </c>
      <c r="P222" s="4" t="s">
        <v>46</v>
      </c>
    </row>
    <row r="223" customFormat="false" ht="15" hidden="false" customHeight="false" outlineLevel="0" collapsed="false">
      <c r="A223" s="4" t="s">
        <v>886</v>
      </c>
      <c r="B223" s="4" t="s">
        <v>884</v>
      </c>
      <c r="C223" s="4" t="s">
        <v>611</v>
      </c>
      <c r="D223" s="4" t="s">
        <v>612</v>
      </c>
      <c r="E223" s="4" t="s">
        <v>627</v>
      </c>
      <c r="F223" s="4" t="s">
        <v>42</v>
      </c>
      <c r="G223" s="4" t="s">
        <v>326</v>
      </c>
      <c r="H223" s="4" t="n">
        <v>1</v>
      </c>
      <c r="I223" s="4" t="s">
        <v>887</v>
      </c>
      <c r="J223" s="4" t="s">
        <v>40</v>
      </c>
      <c r="K223" s="4" t="s">
        <v>888</v>
      </c>
      <c r="L223" s="4" t="s">
        <v>219</v>
      </c>
      <c r="M223" s="4" t="s">
        <v>356</v>
      </c>
      <c r="N223" s="4" t="s">
        <v>221</v>
      </c>
      <c r="O223" s="4"/>
      <c r="P223" s="4" t="s">
        <v>46</v>
      </c>
    </row>
    <row r="224" customFormat="false" ht="15" hidden="false" customHeight="false" outlineLevel="0" collapsed="false">
      <c r="A224" s="4" t="s">
        <v>889</v>
      </c>
      <c r="B224" s="4" t="s">
        <v>884</v>
      </c>
      <c r="C224" s="4" t="s">
        <v>611</v>
      </c>
      <c r="D224" s="4" t="s">
        <v>612</v>
      </c>
      <c r="E224" s="4" t="s">
        <v>613</v>
      </c>
      <c r="F224" s="4" t="s">
        <v>58</v>
      </c>
      <c r="G224" s="4" t="s">
        <v>326</v>
      </c>
      <c r="H224" s="4" t="n">
        <v>2</v>
      </c>
      <c r="I224" s="4" t="s">
        <v>890</v>
      </c>
      <c r="J224" s="4" t="s">
        <v>68</v>
      </c>
      <c r="K224" s="4" t="s">
        <v>891</v>
      </c>
      <c r="L224" s="4" t="s">
        <v>42</v>
      </c>
      <c r="M224" s="4" t="s">
        <v>43</v>
      </c>
      <c r="N224" s="4" t="s">
        <v>44</v>
      </c>
      <c r="O224" s="4" t="s">
        <v>892</v>
      </c>
      <c r="P224" s="4" t="s">
        <v>46</v>
      </c>
    </row>
    <row r="225" customFormat="false" ht="15" hidden="false" customHeight="false" outlineLevel="0" collapsed="false">
      <c r="A225" s="4" t="s">
        <v>893</v>
      </c>
      <c r="B225" s="4" t="s">
        <v>884</v>
      </c>
      <c r="C225" s="4" t="s">
        <v>611</v>
      </c>
      <c r="D225" s="4" t="s">
        <v>612</v>
      </c>
      <c r="E225" s="4" t="s">
        <v>627</v>
      </c>
      <c r="F225" s="4" t="s">
        <v>128</v>
      </c>
      <c r="G225" s="4" t="s">
        <v>326</v>
      </c>
      <c r="H225" s="4" t="n">
        <v>2</v>
      </c>
      <c r="I225" s="4" t="s">
        <v>894</v>
      </c>
      <c r="J225" s="4" t="s">
        <v>40</v>
      </c>
      <c r="K225" s="4" t="s">
        <v>895</v>
      </c>
      <c r="L225" s="4" t="s">
        <v>480</v>
      </c>
      <c r="M225" s="4" t="s">
        <v>43</v>
      </c>
      <c r="N225" s="4" t="s">
        <v>44</v>
      </c>
      <c r="O225" s="4" t="s">
        <v>896</v>
      </c>
      <c r="P225" s="4" t="s">
        <v>46</v>
      </c>
    </row>
    <row r="226" customFormat="false" ht="15" hidden="false" customHeight="false" outlineLevel="0" collapsed="false">
      <c r="A226" s="4" t="s">
        <v>897</v>
      </c>
      <c r="B226" s="4" t="s">
        <v>898</v>
      </c>
      <c r="C226" s="4" t="s">
        <v>611</v>
      </c>
      <c r="D226" s="4" t="s">
        <v>612</v>
      </c>
      <c r="E226" s="4" t="s">
        <v>627</v>
      </c>
      <c r="F226" s="4" t="s">
        <v>42</v>
      </c>
      <c r="G226" s="4" t="s">
        <v>38</v>
      </c>
      <c r="H226" s="4" t="n">
        <v>1</v>
      </c>
      <c r="I226" s="4" t="s">
        <v>327</v>
      </c>
      <c r="J226" s="4" t="s">
        <v>81</v>
      </c>
      <c r="K226" s="4" t="s">
        <v>899</v>
      </c>
      <c r="L226" s="4" t="s">
        <v>900</v>
      </c>
      <c r="M226" s="4" t="s">
        <v>356</v>
      </c>
      <c r="N226" s="4" t="s">
        <v>901</v>
      </c>
      <c r="O226" s="4"/>
      <c r="P226" s="4" t="s">
        <v>46</v>
      </c>
    </row>
    <row r="227" customFormat="false" ht="15" hidden="false" customHeight="false" outlineLevel="0" collapsed="false">
      <c r="A227" s="4" t="s">
        <v>902</v>
      </c>
      <c r="B227" s="4" t="s">
        <v>898</v>
      </c>
      <c r="C227" s="4" t="s">
        <v>611</v>
      </c>
      <c r="D227" s="4" t="s">
        <v>612</v>
      </c>
      <c r="E227" s="4" t="s">
        <v>649</v>
      </c>
      <c r="F227" s="4" t="s">
        <v>42</v>
      </c>
      <c r="G227" s="4" t="s">
        <v>59</v>
      </c>
      <c r="H227" s="4" t="n">
        <v>1</v>
      </c>
      <c r="I227" s="4" t="s">
        <v>903</v>
      </c>
      <c r="J227" s="4" t="s">
        <v>40</v>
      </c>
      <c r="K227" s="4" t="s">
        <v>904</v>
      </c>
      <c r="L227" s="4" t="s">
        <v>867</v>
      </c>
      <c r="M227" s="4" t="s">
        <v>43</v>
      </c>
      <c r="N227" s="4" t="s">
        <v>94</v>
      </c>
      <c r="O227" s="4" t="s">
        <v>905</v>
      </c>
      <c r="P227" s="4" t="s">
        <v>46</v>
      </c>
    </row>
    <row r="228" customFormat="false" ht="15" hidden="false" customHeight="false" outlineLevel="0" collapsed="false">
      <c r="A228" s="4" t="s">
        <v>906</v>
      </c>
      <c r="B228" s="4" t="s">
        <v>898</v>
      </c>
      <c r="C228" s="4" t="s">
        <v>611</v>
      </c>
      <c r="D228" s="4" t="s">
        <v>612</v>
      </c>
      <c r="E228" s="4" t="s">
        <v>613</v>
      </c>
      <c r="F228" s="4" t="s">
        <v>58</v>
      </c>
      <c r="G228" s="4" t="s">
        <v>38</v>
      </c>
      <c r="H228" s="4" t="n">
        <v>1</v>
      </c>
      <c r="I228" s="4" t="s">
        <v>907</v>
      </c>
      <c r="J228" s="4" t="s">
        <v>40</v>
      </c>
      <c r="K228" s="4" t="s">
        <v>908</v>
      </c>
      <c r="L228" s="4" t="s">
        <v>909</v>
      </c>
      <c r="M228" s="4" t="s">
        <v>356</v>
      </c>
      <c r="N228" s="4" t="s">
        <v>357</v>
      </c>
      <c r="O228" s="4"/>
      <c r="P228" s="4" t="s">
        <v>46</v>
      </c>
    </row>
    <row r="229" customFormat="false" ht="15" hidden="false" customHeight="false" outlineLevel="0" collapsed="false">
      <c r="A229" s="4" t="s">
        <v>910</v>
      </c>
      <c r="B229" s="4" t="s">
        <v>911</v>
      </c>
      <c r="C229" s="4" t="s">
        <v>611</v>
      </c>
      <c r="D229" s="4" t="s">
        <v>612</v>
      </c>
      <c r="E229" s="4" t="s">
        <v>627</v>
      </c>
      <c r="F229" s="4" t="s">
        <v>42</v>
      </c>
      <c r="G229" s="4" t="s">
        <v>38</v>
      </c>
      <c r="H229" s="4" t="n">
        <v>1</v>
      </c>
      <c r="I229" s="4" t="s">
        <v>912</v>
      </c>
      <c r="J229" s="4" t="s">
        <v>40</v>
      </c>
      <c r="K229" s="4" t="s">
        <v>405</v>
      </c>
      <c r="L229" s="4" t="s">
        <v>58</v>
      </c>
      <c r="M229" s="4" t="s">
        <v>43</v>
      </c>
      <c r="N229" s="4" t="s">
        <v>44</v>
      </c>
      <c r="O229" s="4" t="s">
        <v>406</v>
      </c>
      <c r="P229" s="4" t="s">
        <v>46</v>
      </c>
    </row>
    <row r="230" customFormat="false" ht="15" hidden="false" customHeight="false" outlineLevel="0" collapsed="false">
      <c r="A230" s="4" t="s">
        <v>913</v>
      </c>
      <c r="B230" s="4" t="s">
        <v>911</v>
      </c>
      <c r="C230" s="4" t="s">
        <v>611</v>
      </c>
      <c r="D230" s="4" t="s">
        <v>612</v>
      </c>
      <c r="E230" s="4" t="s">
        <v>613</v>
      </c>
      <c r="F230" s="4" t="s">
        <v>42</v>
      </c>
      <c r="G230" s="4" t="s">
        <v>38</v>
      </c>
      <c r="H230" s="4" t="n">
        <v>1</v>
      </c>
      <c r="I230" s="4" t="s">
        <v>914</v>
      </c>
      <c r="J230" s="4" t="s">
        <v>40</v>
      </c>
      <c r="K230" s="4" t="s">
        <v>915</v>
      </c>
      <c r="L230" s="4" t="s">
        <v>825</v>
      </c>
      <c r="M230" s="4" t="s">
        <v>43</v>
      </c>
      <c r="N230" s="4" t="s">
        <v>44</v>
      </c>
      <c r="O230" s="4" t="s">
        <v>916</v>
      </c>
      <c r="P230" s="4" t="s">
        <v>46</v>
      </c>
    </row>
    <row r="231" customFormat="false" ht="15" hidden="false" customHeight="false" outlineLevel="0" collapsed="false">
      <c r="A231" s="4" t="s">
        <v>917</v>
      </c>
      <c r="B231" s="4" t="s">
        <v>911</v>
      </c>
      <c r="C231" s="4" t="s">
        <v>611</v>
      </c>
      <c r="D231" s="4" t="s">
        <v>612</v>
      </c>
      <c r="E231" s="4" t="s">
        <v>627</v>
      </c>
      <c r="F231" s="4" t="s">
        <v>42</v>
      </c>
      <c r="G231" s="4" t="s">
        <v>38</v>
      </c>
      <c r="H231" s="4" t="n">
        <v>3</v>
      </c>
      <c r="I231" s="4" t="s">
        <v>689</v>
      </c>
      <c r="J231" s="4" t="s">
        <v>68</v>
      </c>
      <c r="K231" s="4" t="s">
        <v>918</v>
      </c>
      <c r="L231" s="4" t="s">
        <v>58</v>
      </c>
      <c r="M231" s="4" t="s">
        <v>43</v>
      </c>
      <c r="N231" s="4" t="s">
        <v>52</v>
      </c>
      <c r="O231" s="4" t="s">
        <v>919</v>
      </c>
      <c r="P231" s="4" t="s">
        <v>46</v>
      </c>
    </row>
    <row r="232" customFormat="false" ht="15" hidden="false" customHeight="false" outlineLevel="0" collapsed="false">
      <c r="A232" s="4" t="s">
        <v>920</v>
      </c>
      <c r="B232" s="4" t="s">
        <v>911</v>
      </c>
      <c r="C232" s="4" t="s">
        <v>611</v>
      </c>
      <c r="D232" s="4" t="s">
        <v>612</v>
      </c>
      <c r="E232" s="4" t="s">
        <v>613</v>
      </c>
      <c r="F232" s="4" t="s">
        <v>42</v>
      </c>
      <c r="G232" s="4" t="s">
        <v>59</v>
      </c>
      <c r="H232" s="4" t="n">
        <v>3</v>
      </c>
      <c r="I232" s="4" t="s">
        <v>921</v>
      </c>
      <c r="J232" s="4" t="s">
        <v>68</v>
      </c>
      <c r="K232" s="4" t="s">
        <v>922</v>
      </c>
      <c r="L232" s="4" t="s">
        <v>382</v>
      </c>
      <c r="M232" s="4" t="s">
        <v>43</v>
      </c>
      <c r="N232" s="4" t="s">
        <v>52</v>
      </c>
      <c r="O232" s="4" t="s">
        <v>923</v>
      </c>
      <c r="P232" s="4" t="s">
        <v>46</v>
      </c>
    </row>
    <row r="233" customFormat="false" ht="15" hidden="false" customHeight="false" outlineLevel="0" collapsed="false">
      <c r="A233" s="4" t="s">
        <v>924</v>
      </c>
      <c r="B233" s="4" t="s">
        <v>911</v>
      </c>
      <c r="C233" s="4" t="s">
        <v>611</v>
      </c>
      <c r="D233" s="4" t="s">
        <v>612</v>
      </c>
      <c r="E233" s="4" t="s">
        <v>613</v>
      </c>
      <c r="F233" s="4" t="s">
        <v>37</v>
      </c>
      <c r="G233" s="4" t="s">
        <v>59</v>
      </c>
      <c r="H233" s="4" t="n">
        <v>1</v>
      </c>
      <c r="I233" s="4" t="s">
        <v>925</v>
      </c>
      <c r="J233" s="4" t="s">
        <v>40</v>
      </c>
      <c r="K233" s="4" t="s">
        <v>41</v>
      </c>
      <c r="L233" s="4" t="s">
        <v>37</v>
      </c>
      <c r="M233" s="4" t="s">
        <v>43</v>
      </c>
      <c r="N233" s="4" t="s">
        <v>94</v>
      </c>
      <c r="O233" s="4" t="s">
        <v>45</v>
      </c>
      <c r="P233" s="4" t="s">
        <v>46</v>
      </c>
    </row>
    <row r="234" customFormat="false" ht="15" hidden="false" customHeight="false" outlineLevel="0" collapsed="false">
      <c r="A234" s="4" t="s">
        <v>926</v>
      </c>
      <c r="B234" s="4" t="s">
        <v>911</v>
      </c>
      <c r="C234" s="4" t="s">
        <v>611</v>
      </c>
      <c r="D234" s="4" t="s">
        <v>612</v>
      </c>
      <c r="E234" s="4" t="s">
        <v>618</v>
      </c>
      <c r="F234" s="4" t="s">
        <v>42</v>
      </c>
      <c r="G234" s="4" t="s">
        <v>38</v>
      </c>
      <c r="H234" s="4" t="n">
        <v>2</v>
      </c>
      <c r="I234" s="4" t="s">
        <v>876</v>
      </c>
      <c r="J234" s="4" t="s">
        <v>40</v>
      </c>
      <c r="K234" s="4" t="s">
        <v>210</v>
      </c>
      <c r="L234" s="4" t="s">
        <v>58</v>
      </c>
      <c r="M234" s="4" t="s">
        <v>43</v>
      </c>
      <c r="N234" s="4" t="s">
        <v>44</v>
      </c>
      <c r="O234" s="4" t="s">
        <v>211</v>
      </c>
      <c r="P234" s="4" t="s">
        <v>46</v>
      </c>
    </row>
    <row r="235" customFormat="false" ht="15" hidden="false" customHeight="false" outlineLevel="0" collapsed="false">
      <c r="A235" s="4" t="s">
        <v>927</v>
      </c>
      <c r="B235" s="4" t="s">
        <v>911</v>
      </c>
      <c r="C235" s="4" t="s">
        <v>611</v>
      </c>
      <c r="D235" s="4" t="s">
        <v>612</v>
      </c>
      <c r="E235" s="4" t="s">
        <v>613</v>
      </c>
      <c r="F235" s="4" t="s">
        <v>128</v>
      </c>
      <c r="G235" s="4" t="s">
        <v>326</v>
      </c>
      <c r="H235" s="4" t="n">
        <v>1</v>
      </c>
      <c r="I235" s="4" t="s">
        <v>928</v>
      </c>
      <c r="J235" s="4" t="s">
        <v>68</v>
      </c>
      <c r="K235" s="4" t="s">
        <v>929</v>
      </c>
      <c r="L235" s="4" t="s">
        <v>42</v>
      </c>
      <c r="M235" s="4" t="s">
        <v>43</v>
      </c>
      <c r="N235" s="4" t="s">
        <v>44</v>
      </c>
      <c r="O235" s="4" t="s">
        <v>930</v>
      </c>
      <c r="P235" s="4" t="s">
        <v>46</v>
      </c>
    </row>
    <row r="236" customFormat="false" ht="15" hidden="false" customHeight="false" outlineLevel="0" collapsed="false">
      <c r="A236" s="4" t="s">
        <v>931</v>
      </c>
      <c r="B236" s="4" t="s">
        <v>911</v>
      </c>
      <c r="C236" s="4" t="s">
        <v>611</v>
      </c>
      <c r="D236" s="4" t="s">
        <v>612</v>
      </c>
      <c r="E236" s="4" t="s">
        <v>649</v>
      </c>
      <c r="F236" s="4" t="s">
        <v>58</v>
      </c>
      <c r="G236" s="4" t="s">
        <v>59</v>
      </c>
      <c r="H236" s="4" t="n">
        <v>1</v>
      </c>
      <c r="I236" s="4" t="s">
        <v>516</v>
      </c>
      <c r="J236" s="4" t="s">
        <v>149</v>
      </c>
      <c r="K236" s="4" t="s">
        <v>932</v>
      </c>
      <c r="L236" s="4" t="s">
        <v>837</v>
      </c>
      <c r="M236" s="4" t="s">
        <v>838</v>
      </c>
      <c r="N236" s="4" t="s">
        <v>44</v>
      </c>
      <c r="O236" s="4" t="s">
        <v>933</v>
      </c>
      <c r="P236" s="4" t="s">
        <v>46</v>
      </c>
    </row>
    <row r="237" customFormat="false" ht="15" hidden="false" customHeight="false" outlineLevel="0" collapsed="false">
      <c r="A237" s="4" t="s">
        <v>934</v>
      </c>
      <c r="B237" s="4" t="s">
        <v>911</v>
      </c>
      <c r="C237" s="4" t="s">
        <v>304</v>
      </c>
      <c r="D237" s="4" t="s">
        <v>305</v>
      </c>
      <c r="E237" s="4" t="s">
        <v>311</v>
      </c>
      <c r="F237" s="4" t="s">
        <v>42</v>
      </c>
      <c r="G237" s="4" t="s">
        <v>326</v>
      </c>
      <c r="H237" s="4" t="n">
        <v>4</v>
      </c>
      <c r="I237" s="4" t="s">
        <v>935</v>
      </c>
      <c r="J237" s="4" t="s">
        <v>81</v>
      </c>
      <c r="K237" s="4" t="s">
        <v>936</v>
      </c>
      <c r="L237" s="4" t="s">
        <v>596</v>
      </c>
      <c r="M237" s="4" t="s">
        <v>695</v>
      </c>
      <c r="N237" s="4" t="s">
        <v>44</v>
      </c>
      <c r="O237" s="4" t="s">
        <v>937</v>
      </c>
      <c r="P237" s="4" t="s">
        <v>46</v>
      </c>
    </row>
    <row r="238" customFormat="false" ht="15" hidden="false" customHeight="false" outlineLevel="0" collapsed="false">
      <c r="A238" s="4" t="s">
        <v>938</v>
      </c>
      <c r="B238" s="4" t="s">
        <v>939</v>
      </c>
      <c r="C238" s="4" t="s">
        <v>611</v>
      </c>
      <c r="D238" s="4" t="s">
        <v>612</v>
      </c>
      <c r="E238" s="4" t="s">
        <v>618</v>
      </c>
      <c r="F238" s="4" t="s">
        <v>37</v>
      </c>
      <c r="G238" s="4" t="s">
        <v>59</v>
      </c>
      <c r="H238" s="4" t="n">
        <v>1</v>
      </c>
      <c r="I238" s="4" t="s">
        <v>940</v>
      </c>
      <c r="J238" s="4" t="s">
        <v>68</v>
      </c>
      <c r="K238" s="4" t="s">
        <v>941</v>
      </c>
      <c r="L238" s="4" t="s">
        <v>382</v>
      </c>
      <c r="M238" s="4" t="s">
        <v>43</v>
      </c>
      <c r="N238" s="4" t="s">
        <v>44</v>
      </c>
      <c r="O238" s="4" t="s">
        <v>942</v>
      </c>
      <c r="P238" s="4" t="s">
        <v>46</v>
      </c>
    </row>
    <row r="239" customFormat="false" ht="15" hidden="false" customHeight="false" outlineLevel="0" collapsed="false">
      <c r="A239" s="4" t="s">
        <v>943</v>
      </c>
      <c r="B239" s="4" t="s">
        <v>939</v>
      </c>
      <c r="C239" s="4" t="s">
        <v>611</v>
      </c>
      <c r="D239" s="4" t="s">
        <v>612</v>
      </c>
      <c r="E239" s="4" t="s">
        <v>761</v>
      </c>
      <c r="F239" s="4" t="s">
        <v>58</v>
      </c>
      <c r="G239" s="4" t="s">
        <v>59</v>
      </c>
      <c r="H239" s="4" t="n">
        <v>2</v>
      </c>
      <c r="I239" s="4" t="s">
        <v>944</v>
      </c>
      <c r="J239" s="4" t="s">
        <v>68</v>
      </c>
      <c r="K239" s="4" t="s">
        <v>590</v>
      </c>
      <c r="L239" s="4" t="s">
        <v>42</v>
      </c>
      <c r="M239" s="4" t="s">
        <v>43</v>
      </c>
      <c r="N239" s="4" t="s">
        <v>44</v>
      </c>
      <c r="O239" s="4" t="s">
        <v>591</v>
      </c>
      <c r="P239" s="4" t="s">
        <v>46</v>
      </c>
    </row>
    <row r="240" customFormat="false" ht="15" hidden="false" customHeight="false" outlineLevel="0" collapsed="false">
      <c r="A240" s="4" t="s">
        <v>945</v>
      </c>
      <c r="B240" s="4" t="s">
        <v>939</v>
      </c>
      <c r="C240" s="4" t="s">
        <v>611</v>
      </c>
      <c r="D240" s="4" t="s">
        <v>612</v>
      </c>
      <c r="E240" s="4" t="s">
        <v>627</v>
      </c>
      <c r="F240" s="4" t="s">
        <v>42</v>
      </c>
      <c r="G240" s="4" t="s">
        <v>38</v>
      </c>
      <c r="H240" s="4" t="n">
        <v>2</v>
      </c>
      <c r="I240" s="4" t="s">
        <v>497</v>
      </c>
      <c r="J240" s="4" t="s">
        <v>40</v>
      </c>
      <c r="K240" s="4" t="s">
        <v>946</v>
      </c>
      <c r="L240" s="4" t="s">
        <v>42</v>
      </c>
      <c r="M240" s="4" t="s">
        <v>133</v>
      </c>
      <c r="N240" s="4" t="s">
        <v>44</v>
      </c>
      <c r="O240" s="4" t="s">
        <v>947</v>
      </c>
      <c r="P240" s="4" t="s">
        <v>46</v>
      </c>
    </row>
    <row r="241" customFormat="false" ht="15" hidden="false" customHeight="false" outlineLevel="0" collapsed="false">
      <c r="A241" s="4" t="s">
        <v>948</v>
      </c>
      <c r="B241" s="4" t="s">
        <v>939</v>
      </c>
      <c r="C241" s="4" t="s">
        <v>611</v>
      </c>
      <c r="D241" s="4" t="s">
        <v>612</v>
      </c>
      <c r="E241" s="4" t="s">
        <v>627</v>
      </c>
      <c r="F241" s="4" t="s">
        <v>42</v>
      </c>
      <c r="G241" s="4" t="s">
        <v>59</v>
      </c>
      <c r="H241" s="4" t="n">
        <v>1</v>
      </c>
      <c r="I241" s="4" t="s">
        <v>921</v>
      </c>
      <c r="J241" s="4" t="s">
        <v>40</v>
      </c>
      <c r="K241" s="4" t="s">
        <v>257</v>
      </c>
      <c r="L241" s="4" t="s">
        <v>42</v>
      </c>
      <c r="M241" s="4" t="s">
        <v>43</v>
      </c>
      <c r="N241" s="4" t="s">
        <v>44</v>
      </c>
      <c r="O241" s="4" t="s">
        <v>258</v>
      </c>
      <c r="P241" s="4" t="s">
        <v>46</v>
      </c>
    </row>
    <row r="242" customFormat="false" ht="15" hidden="false" customHeight="false" outlineLevel="0" collapsed="false">
      <c r="A242" s="4" t="s">
        <v>949</v>
      </c>
      <c r="B242" s="4" t="s">
        <v>939</v>
      </c>
      <c r="C242" s="4" t="s">
        <v>611</v>
      </c>
      <c r="D242" s="4" t="s">
        <v>612</v>
      </c>
      <c r="E242" s="4" t="s">
        <v>761</v>
      </c>
      <c r="F242" s="4" t="s">
        <v>42</v>
      </c>
      <c r="G242" s="4" t="s">
        <v>59</v>
      </c>
      <c r="H242" s="4" t="n">
        <v>1</v>
      </c>
      <c r="I242" s="4" t="s">
        <v>950</v>
      </c>
      <c r="J242" s="4" t="s">
        <v>40</v>
      </c>
      <c r="K242" s="4" t="s">
        <v>951</v>
      </c>
      <c r="L242" s="4" t="s">
        <v>42</v>
      </c>
      <c r="M242" s="4" t="s">
        <v>43</v>
      </c>
      <c r="N242" s="4" t="s">
        <v>44</v>
      </c>
      <c r="O242" s="4" t="s">
        <v>952</v>
      </c>
      <c r="P242" s="4" t="s">
        <v>46</v>
      </c>
    </row>
    <row r="243" customFormat="false" ht="15" hidden="false" customHeight="false" outlineLevel="0" collapsed="false">
      <c r="A243" s="4" t="s">
        <v>953</v>
      </c>
      <c r="B243" s="4" t="s">
        <v>939</v>
      </c>
      <c r="C243" s="4" t="s">
        <v>611</v>
      </c>
      <c r="D243" s="4" t="s">
        <v>612</v>
      </c>
      <c r="E243" s="4" t="s">
        <v>649</v>
      </c>
      <c r="F243" s="4" t="s">
        <v>128</v>
      </c>
      <c r="G243" s="4" t="s">
        <v>38</v>
      </c>
      <c r="H243" s="4" t="n">
        <v>1</v>
      </c>
      <c r="I243" s="4" t="s">
        <v>954</v>
      </c>
      <c r="J243" s="4" t="s">
        <v>68</v>
      </c>
      <c r="K243" s="4" t="s">
        <v>951</v>
      </c>
      <c r="L243" s="4" t="s">
        <v>42</v>
      </c>
      <c r="M243" s="4" t="s">
        <v>43</v>
      </c>
      <c r="N243" s="4" t="s">
        <v>44</v>
      </c>
      <c r="O243" s="4" t="s">
        <v>952</v>
      </c>
      <c r="P243" s="4" t="s">
        <v>46</v>
      </c>
    </row>
    <row r="244" customFormat="false" ht="15" hidden="false" customHeight="false" outlineLevel="0" collapsed="false">
      <c r="A244" s="4" t="s">
        <v>955</v>
      </c>
      <c r="B244" s="4" t="s">
        <v>939</v>
      </c>
      <c r="C244" s="4" t="s">
        <v>611</v>
      </c>
      <c r="D244" s="4" t="s">
        <v>612</v>
      </c>
      <c r="E244" s="4" t="s">
        <v>627</v>
      </c>
      <c r="F244" s="4" t="s">
        <v>42</v>
      </c>
      <c r="G244" s="4" t="s">
        <v>38</v>
      </c>
      <c r="H244" s="4" t="n">
        <v>1</v>
      </c>
      <c r="I244" s="4" t="s">
        <v>870</v>
      </c>
      <c r="J244" s="4" t="s">
        <v>40</v>
      </c>
      <c r="K244" s="4" t="s">
        <v>956</v>
      </c>
      <c r="L244" s="4" t="s">
        <v>480</v>
      </c>
      <c r="M244" s="4" t="s">
        <v>43</v>
      </c>
      <c r="N244" s="4" t="s">
        <v>44</v>
      </c>
      <c r="O244" s="4" t="s">
        <v>957</v>
      </c>
      <c r="P244" s="4" t="s">
        <v>46</v>
      </c>
    </row>
    <row r="245" customFormat="false" ht="15" hidden="false" customHeight="false" outlineLevel="0" collapsed="false">
      <c r="A245" s="4" t="s">
        <v>897</v>
      </c>
      <c r="B245" s="4" t="s">
        <v>898</v>
      </c>
      <c r="C245" s="4" t="s">
        <v>611</v>
      </c>
      <c r="D245" s="4" t="s">
        <v>612</v>
      </c>
      <c r="E245" s="4" t="s">
        <v>627</v>
      </c>
      <c r="F245" s="4" t="s">
        <v>42</v>
      </c>
      <c r="G245" s="4" t="s">
        <v>38</v>
      </c>
      <c r="H245" s="4" t="n">
        <v>1</v>
      </c>
      <c r="I245" s="4" t="s">
        <v>327</v>
      </c>
      <c r="J245" s="4" t="s">
        <v>81</v>
      </c>
      <c r="K245" s="4" t="s">
        <v>899</v>
      </c>
      <c r="L245" s="4" t="s">
        <v>900</v>
      </c>
      <c r="M245" s="4" t="s">
        <v>356</v>
      </c>
      <c r="N245" s="4" t="s">
        <v>901</v>
      </c>
      <c r="O245" s="4"/>
      <c r="P245" s="4" t="s">
        <v>46</v>
      </c>
    </row>
    <row r="246" customFormat="false" ht="15" hidden="false" customHeight="false" outlineLevel="0" collapsed="false">
      <c r="A246" s="4" t="s">
        <v>958</v>
      </c>
      <c r="B246" s="4" t="s">
        <v>959</v>
      </c>
      <c r="C246" s="4" t="s">
        <v>611</v>
      </c>
      <c r="D246" s="4" t="s">
        <v>612</v>
      </c>
      <c r="E246" s="4" t="s">
        <v>627</v>
      </c>
      <c r="F246" s="4" t="s">
        <v>42</v>
      </c>
      <c r="G246" s="4" t="s">
        <v>38</v>
      </c>
      <c r="H246" s="4" t="n">
        <v>4</v>
      </c>
      <c r="I246" s="4" t="s">
        <v>960</v>
      </c>
      <c r="J246" s="4" t="s">
        <v>149</v>
      </c>
      <c r="K246" s="4" t="s">
        <v>961</v>
      </c>
      <c r="L246" s="4" t="s">
        <v>881</v>
      </c>
      <c r="M246" s="4" t="s">
        <v>464</v>
      </c>
      <c r="N246" s="4" t="s">
        <v>185</v>
      </c>
      <c r="O246" s="4" t="s">
        <v>962</v>
      </c>
      <c r="P246" s="4" t="s">
        <v>46</v>
      </c>
    </row>
    <row r="247" customFormat="false" ht="15" hidden="false" customHeight="false" outlineLevel="0" collapsed="false">
      <c r="A247" s="4" t="s">
        <v>963</v>
      </c>
      <c r="B247" s="4" t="s">
        <v>959</v>
      </c>
      <c r="C247" s="4" t="s">
        <v>964</v>
      </c>
      <c r="D247" s="4" t="s">
        <v>35</v>
      </c>
      <c r="E247" s="4" t="s">
        <v>66</v>
      </c>
      <c r="F247" s="4" t="s">
        <v>42</v>
      </c>
      <c r="G247" s="4" t="s">
        <v>38</v>
      </c>
      <c r="H247" s="4" t="n">
        <v>2</v>
      </c>
      <c r="I247" s="4" t="s">
        <v>178</v>
      </c>
      <c r="J247" s="4" t="s">
        <v>40</v>
      </c>
      <c r="K247" s="4" t="s">
        <v>605</v>
      </c>
      <c r="L247" s="4" t="s">
        <v>42</v>
      </c>
      <c r="M247" s="4" t="s">
        <v>43</v>
      </c>
      <c r="N247" s="4" t="s">
        <v>44</v>
      </c>
      <c r="O247" s="4" t="s">
        <v>606</v>
      </c>
      <c r="P247" s="4" t="s">
        <v>46</v>
      </c>
    </row>
    <row r="248" customFormat="false" ht="15" hidden="false" customHeight="false" outlineLevel="0" collapsed="false">
      <c r="A248" s="4" t="s">
        <v>965</v>
      </c>
      <c r="B248" s="4" t="s">
        <v>966</v>
      </c>
      <c r="C248" s="4" t="s">
        <v>304</v>
      </c>
      <c r="D248" s="4" t="s">
        <v>305</v>
      </c>
      <c r="E248" s="4" t="s">
        <v>306</v>
      </c>
      <c r="F248" s="4" t="s">
        <v>42</v>
      </c>
      <c r="G248" s="4" t="s">
        <v>38</v>
      </c>
      <c r="H248" s="4" t="n">
        <v>1</v>
      </c>
      <c r="I248" s="4" t="s">
        <v>319</v>
      </c>
      <c r="J248" s="4" t="s">
        <v>68</v>
      </c>
      <c r="K248" s="4" t="s">
        <v>76</v>
      </c>
      <c r="L248" s="4" t="s">
        <v>58</v>
      </c>
      <c r="M248" s="4" t="s">
        <v>43</v>
      </c>
      <c r="N248" s="4" t="s">
        <v>52</v>
      </c>
      <c r="O248" s="4" t="s">
        <v>77</v>
      </c>
      <c r="P248" s="4" t="s">
        <v>46</v>
      </c>
    </row>
    <row r="249" customFormat="false" ht="15" hidden="false" customHeight="false" outlineLevel="0" collapsed="false">
      <c r="A249" s="4" t="s">
        <v>967</v>
      </c>
      <c r="B249" s="4" t="s">
        <v>966</v>
      </c>
      <c r="C249" s="4" t="s">
        <v>304</v>
      </c>
      <c r="D249" s="4" t="s">
        <v>305</v>
      </c>
      <c r="E249" s="4" t="s">
        <v>345</v>
      </c>
      <c r="F249" s="4" t="s">
        <v>42</v>
      </c>
      <c r="G249" s="4" t="s">
        <v>59</v>
      </c>
      <c r="H249" s="4" t="n">
        <v>1</v>
      </c>
      <c r="I249" s="4" t="s">
        <v>968</v>
      </c>
      <c r="J249" s="4" t="s">
        <v>149</v>
      </c>
      <c r="K249" s="4" t="s">
        <v>969</v>
      </c>
      <c r="L249" s="4" t="s">
        <v>480</v>
      </c>
      <c r="M249" s="4" t="s">
        <v>43</v>
      </c>
      <c r="N249" s="4" t="s">
        <v>44</v>
      </c>
      <c r="O249" s="4" t="s">
        <v>970</v>
      </c>
      <c r="P249" s="4" t="s">
        <v>46</v>
      </c>
    </row>
    <row r="250" customFormat="false" ht="15" hidden="false" customHeight="false" outlineLevel="0" collapsed="false">
      <c r="A250" s="4" t="s">
        <v>971</v>
      </c>
      <c r="B250" s="4" t="s">
        <v>972</v>
      </c>
      <c r="C250" s="4" t="s">
        <v>611</v>
      </c>
      <c r="D250" s="4" t="s">
        <v>612</v>
      </c>
      <c r="E250" s="4" t="s">
        <v>627</v>
      </c>
      <c r="F250" s="4" t="s">
        <v>70</v>
      </c>
      <c r="G250" s="4" t="s">
        <v>59</v>
      </c>
      <c r="H250" s="4" t="n">
        <v>3</v>
      </c>
      <c r="I250" s="4" t="s">
        <v>973</v>
      </c>
      <c r="J250" s="4" t="s">
        <v>40</v>
      </c>
      <c r="K250" s="4" t="s">
        <v>974</v>
      </c>
      <c r="L250" s="4" t="s">
        <v>382</v>
      </c>
      <c r="M250" s="4" t="s">
        <v>43</v>
      </c>
      <c r="N250" s="4" t="s">
        <v>44</v>
      </c>
      <c r="O250" s="4" t="s">
        <v>975</v>
      </c>
      <c r="P250" s="4" t="s">
        <v>46</v>
      </c>
    </row>
    <row r="251" customFormat="false" ht="15" hidden="false" customHeight="false" outlineLevel="0" collapsed="false">
      <c r="A251" s="4" t="s">
        <v>976</v>
      </c>
      <c r="B251" s="4" t="s">
        <v>964</v>
      </c>
      <c r="C251" s="4" t="s">
        <v>611</v>
      </c>
      <c r="D251" s="4" t="s">
        <v>612</v>
      </c>
      <c r="E251" s="4" t="s">
        <v>627</v>
      </c>
      <c r="F251" s="4" t="s">
        <v>37</v>
      </c>
      <c r="G251" s="4" t="s">
        <v>59</v>
      </c>
      <c r="H251" s="4" t="n">
        <v>2</v>
      </c>
      <c r="I251" s="4" t="s">
        <v>977</v>
      </c>
      <c r="J251" s="4" t="s">
        <v>40</v>
      </c>
      <c r="K251" s="4" t="s">
        <v>265</v>
      </c>
      <c r="L251" s="4" t="s">
        <v>58</v>
      </c>
      <c r="M251" s="4" t="s">
        <v>133</v>
      </c>
      <c r="N251" s="4" t="s">
        <v>44</v>
      </c>
      <c r="O251" s="4" t="s">
        <v>266</v>
      </c>
      <c r="P251" s="4" t="s">
        <v>46</v>
      </c>
    </row>
    <row r="252" customFormat="false" ht="15" hidden="false" customHeight="false" outlineLevel="0" collapsed="false">
      <c r="A252" s="4" t="s">
        <v>978</v>
      </c>
      <c r="B252" s="4" t="s">
        <v>964</v>
      </c>
      <c r="C252" s="4" t="s">
        <v>611</v>
      </c>
      <c r="D252" s="4" t="s">
        <v>612</v>
      </c>
      <c r="E252" s="4" t="s">
        <v>627</v>
      </c>
      <c r="F252" s="4" t="s">
        <v>128</v>
      </c>
      <c r="G252" s="4" t="s">
        <v>38</v>
      </c>
      <c r="H252" s="4" t="n">
        <v>3</v>
      </c>
      <c r="I252" s="4" t="s">
        <v>885</v>
      </c>
      <c r="J252" s="4" t="s">
        <v>40</v>
      </c>
      <c r="K252" s="4" t="s">
        <v>979</v>
      </c>
      <c r="L252" s="4" t="s">
        <v>634</v>
      </c>
      <c r="M252" s="4" t="s">
        <v>635</v>
      </c>
      <c r="N252" s="4" t="s">
        <v>44</v>
      </c>
      <c r="O252" s="4" t="s">
        <v>980</v>
      </c>
      <c r="P252" s="4" t="s">
        <v>46</v>
      </c>
    </row>
    <row r="253" customFormat="false" ht="15" hidden="false" customHeight="false" outlineLevel="0" collapsed="false">
      <c r="A253" s="4" t="s">
        <v>981</v>
      </c>
      <c r="B253" s="4" t="s">
        <v>964</v>
      </c>
      <c r="C253" s="4" t="s">
        <v>611</v>
      </c>
      <c r="D253" s="4" t="s">
        <v>612</v>
      </c>
      <c r="E253" s="4" t="s">
        <v>627</v>
      </c>
      <c r="F253" s="4" t="s">
        <v>42</v>
      </c>
      <c r="G253" s="4" t="s">
        <v>38</v>
      </c>
      <c r="H253" s="4" t="n">
        <v>3</v>
      </c>
      <c r="I253" s="4" t="s">
        <v>982</v>
      </c>
      <c r="J253" s="4" t="s">
        <v>68</v>
      </c>
      <c r="K253" s="4" t="s">
        <v>983</v>
      </c>
      <c r="L253" s="4" t="s">
        <v>42</v>
      </c>
      <c r="M253" s="4" t="s">
        <v>43</v>
      </c>
      <c r="N253" s="4" t="s">
        <v>44</v>
      </c>
      <c r="O253" s="4" t="s">
        <v>984</v>
      </c>
      <c r="P253" s="4" t="s">
        <v>46</v>
      </c>
    </row>
    <row r="254" customFormat="false" ht="15" hidden="false" customHeight="false" outlineLevel="0" collapsed="false">
      <c r="A254" s="4" t="s">
        <v>985</v>
      </c>
      <c r="B254" s="4" t="s">
        <v>964</v>
      </c>
      <c r="C254" s="4" t="s">
        <v>304</v>
      </c>
      <c r="D254" s="4" t="s">
        <v>305</v>
      </c>
      <c r="E254" s="4" t="s">
        <v>306</v>
      </c>
      <c r="F254" s="4" t="s">
        <v>42</v>
      </c>
      <c r="G254" s="4" t="s">
        <v>59</v>
      </c>
      <c r="H254" s="4" t="n">
        <v>1</v>
      </c>
      <c r="I254" s="4" t="s">
        <v>986</v>
      </c>
      <c r="J254" s="4" t="s">
        <v>40</v>
      </c>
      <c r="K254" s="4" t="s">
        <v>987</v>
      </c>
      <c r="L254" s="4" t="s">
        <v>988</v>
      </c>
      <c r="M254" s="4" t="s">
        <v>737</v>
      </c>
      <c r="N254" s="4" t="s">
        <v>44</v>
      </c>
      <c r="O254" s="4" t="s">
        <v>989</v>
      </c>
      <c r="P254" s="4" t="s">
        <v>46</v>
      </c>
    </row>
    <row r="255" customFormat="false" ht="15" hidden="false" customHeight="false" outlineLevel="0" collapsed="false">
      <c r="A255" s="4" t="s">
        <v>990</v>
      </c>
      <c r="B255" s="4" t="s">
        <v>991</v>
      </c>
      <c r="C255" s="4" t="s">
        <v>611</v>
      </c>
      <c r="D255" s="4" t="s">
        <v>612</v>
      </c>
      <c r="E255" s="4" t="s">
        <v>627</v>
      </c>
      <c r="F255" s="4" t="s">
        <v>42</v>
      </c>
      <c r="G255" s="4" t="s">
        <v>59</v>
      </c>
      <c r="H255" s="4" t="n">
        <v>1</v>
      </c>
      <c r="I255" s="4" t="s">
        <v>992</v>
      </c>
      <c r="J255" s="4" t="s">
        <v>40</v>
      </c>
      <c r="K255" s="4" t="s">
        <v>993</v>
      </c>
      <c r="L255" s="4" t="s">
        <v>994</v>
      </c>
      <c r="M255" s="4" t="s">
        <v>334</v>
      </c>
      <c r="N255" s="4" t="s">
        <v>44</v>
      </c>
      <c r="O255" s="4" t="s">
        <v>995</v>
      </c>
      <c r="P255" s="4" t="s">
        <v>46</v>
      </c>
    </row>
    <row r="256" customFormat="false" ht="15" hidden="false" customHeight="false" outlineLevel="0" collapsed="false">
      <c r="A256" s="4" t="s">
        <v>996</v>
      </c>
      <c r="B256" s="4" t="s">
        <v>991</v>
      </c>
      <c r="C256" s="4" t="s">
        <v>304</v>
      </c>
      <c r="D256" s="4" t="s">
        <v>305</v>
      </c>
      <c r="E256" s="4" t="s">
        <v>323</v>
      </c>
      <c r="F256" s="4" t="s">
        <v>37</v>
      </c>
      <c r="G256" s="4" t="s">
        <v>59</v>
      </c>
      <c r="H256" s="4" t="n">
        <v>1</v>
      </c>
      <c r="I256" s="4" t="s">
        <v>420</v>
      </c>
      <c r="J256" s="4" t="s">
        <v>68</v>
      </c>
      <c r="K256" s="4" t="s">
        <v>997</v>
      </c>
      <c r="L256" s="4" t="s">
        <v>480</v>
      </c>
      <c r="M256" s="4" t="s">
        <v>43</v>
      </c>
      <c r="N256" s="4" t="s">
        <v>44</v>
      </c>
      <c r="O256" s="4" t="s">
        <v>998</v>
      </c>
      <c r="P256" s="4" t="s">
        <v>46</v>
      </c>
    </row>
    <row r="257" customFormat="false" ht="15" hidden="false" customHeight="false" outlineLevel="0" collapsed="false">
      <c r="A257" s="4" t="s">
        <v>999</v>
      </c>
      <c r="B257" s="4" t="s">
        <v>991</v>
      </c>
      <c r="C257" s="4" t="s">
        <v>304</v>
      </c>
      <c r="D257" s="4" t="s">
        <v>305</v>
      </c>
      <c r="E257" s="4" t="s">
        <v>306</v>
      </c>
      <c r="F257" s="4" t="s">
        <v>128</v>
      </c>
      <c r="G257" s="4" t="s">
        <v>38</v>
      </c>
      <c r="H257" s="4" t="n">
        <v>1</v>
      </c>
      <c r="I257" s="4" t="s">
        <v>1000</v>
      </c>
      <c r="J257" s="4" t="s">
        <v>40</v>
      </c>
      <c r="K257" s="4" t="s">
        <v>1001</v>
      </c>
      <c r="L257" s="4" t="s">
        <v>1002</v>
      </c>
      <c r="M257" s="4" t="s">
        <v>412</v>
      </c>
      <c r="N257" s="4" t="s">
        <v>44</v>
      </c>
      <c r="O257" s="4" t="s">
        <v>1003</v>
      </c>
      <c r="P257" s="4" t="s">
        <v>46</v>
      </c>
    </row>
    <row r="258" customFormat="false" ht="15" hidden="false" customHeight="false" outlineLevel="0" collapsed="false">
      <c r="A258" s="4" t="s">
        <v>1004</v>
      </c>
      <c r="B258" s="4" t="s">
        <v>991</v>
      </c>
      <c r="C258" s="4" t="s">
        <v>1005</v>
      </c>
      <c r="D258" s="4" t="s">
        <v>35</v>
      </c>
      <c r="E258" s="4" t="s">
        <v>36</v>
      </c>
      <c r="F258" s="4" t="s">
        <v>37</v>
      </c>
      <c r="G258" s="4" t="s">
        <v>38</v>
      </c>
      <c r="H258" s="4" t="n">
        <v>1</v>
      </c>
      <c r="I258" s="4" t="s">
        <v>67</v>
      </c>
      <c r="J258" s="4" t="s">
        <v>40</v>
      </c>
      <c r="K258" s="4" t="s">
        <v>320</v>
      </c>
      <c r="L258" s="4" t="s">
        <v>42</v>
      </c>
      <c r="M258" s="4" t="s">
        <v>43</v>
      </c>
      <c r="N258" s="4" t="s">
        <v>44</v>
      </c>
      <c r="O258" s="4" t="s">
        <v>321</v>
      </c>
      <c r="P258" s="4" t="s">
        <v>46</v>
      </c>
    </row>
    <row r="259" customFormat="false" ht="15" hidden="false" customHeight="false" outlineLevel="0" collapsed="false">
      <c r="A259" s="4" t="s">
        <v>1006</v>
      </c>
      <c r="B259" s="4" t="s">
        <v>1007</v>
      </c>
      <c r="C259" s="4" t="s">
        <v>611</v>
      </c>
      <c r="D259" s="4" t="s">
        <v>612</v>
      </c>
      <c r="E259" s="4" t="s">
        <v>627</v>
      </c>
      <c r="F259" s="4" t="s">
        <v>42</v>
      </c>
      <c r="G259" s="4" t="s">
        <v>38</v>
      </c>
      <c r="H259" s="4" t="n">
        <v>4</v>
      </c>
      <c r="I259" s="4" t="s">
        <v>1008</v>
      </c>
      <c r="J259" s="4" t="s">
        <v>68</v>
      </c>
      <c r="K259" s="4" t="s">
        <v>498</v>
      </c>
      <c r="L259" s="4" t="s">
        <v>37</v>
      </c>
      <c r="M259" s="4" t="s">
        <v>43</v>
      </c>
      <c r="N259" s="4" t="s">
        <v>94</v>
      </c>
      <c r="O259" s="4" t="s">
        <v>499</v>
      </c>
      <c r="P259" s="4" t="s">
        <v>46</v>
      </c>
    </row>
    <row r="260" customFormat="false" ht="15" hidden="false" customHeight="false" outlineLevel="0" collapsed="false">
      <c r="A260" s="4" t="s">
        <v>1009</v>
      </c>
      <c r="B260" s="4" t="s">
        <v>1010</v>
      </c>
      <c r="C260" s="4" t="s">
        <v>611</v>
      </c>
      <c r="D260" s="4" t="s">
        <v>612</v>
      </c>
      <c r="E260" s="4" t="s">
        <v>627</v>
      </c>
      <c r="F260" s="4" t="s">
        <v>42</v>
      </c>
      <c r="G260" s="4" t="s">
        <v>38</v>
      </c>
      <c r="H260" s="4" t="n">
        <v>2</v>
      </c>
      <c r="I260" s="4" t="s">
        <v>1011</v>
      </c>
      <c r="J260" s="4" t="s">
        <v>81</v>
      </c>
      <c r="K260" s="4" t="s">
        <v>1012</v>
      </c>
      <c r="L260" s="4" t="s">
        <v>432</v>
      </c>
      <c r="M260" s="4" t="s">
        <v>356</v>
      </c>
      <c r="N260" s="4" t="s">
        <v>433</v>
      </c>
      <c r="O260" s="4"/>
      <c r="P260" s="4" t="s">
        <v>46</v>
      </c>
    </row>
    <row r="261" customFormat="false" ht="15" hidden="false" customHeight="false" outlineLevel="0" collapsed="false">
      <c r="A261" s="4" t="s">
        <v>1013</v>
      </c>
      <c r="B261" s="4" t="s">
        <v>1010</v>
      </c>
      <c r="C261" s="4" t="s">
        <v>611</v>
      </c>
      <c r="D261" s="4" t="s">
        <v>612</v>
      </c>
      <c r="E261" s="4" t="s">
        <v>627</v>
      </c>
      <c r="F261" s="4" t="s">
        <v>42</v>
      </c>
      <c r="G261" s="4" t="s">
        <v>59</v>
      </c>
      <c r="H261" s="4" t="n">
        <v>1</v>
      </c>
      <c r="I261" s="4" t="s">
        <v>1014</v>
      </c>
      <c r="J261" s="4" t="s">
        <v>40</v>
      </c>
      <c r="K261" s="4" t="s">
        <v>946</v>
      </c>
      <c r="L261" s="4" t="s">
        <v>58</v>
      </c>
      <c r="M261" s="4" t="s">
        <v>43</v>
      </c>
      <c r="N261" s="4" t="s">
        <v>185</v>
      </c>
      <c r="O261" s="4" t="s">
        <v>947</v>
      </c>
      <c r="P261" s="4" t="s">
        <v>46</v>
      </c>
    </row>
    <row r="262" customFormat="false" ht="15" hidden="false" customHeight="false" outlineLevel="0" collapsed="false">
      <c r="A262" s="4" t="s">
        <v>1015</v>
      </c>
      <c r="B262" s="4" t="s">
        <v>1005</v>
      </c>
      <c r="C262" s="4" t="s">
        <v>611</v>
      </c>
      <c r="D262" s="4" t="s">
        <v>612</v>
      </c>
      <c r="E262" s="4" t="s">
        <v>627</v>
      </c>
      <c r="F262" s="4" t="s">
        <v>37</v>
      </c>
      <c r="G262" s="4" t="s">
        <v>38</v>
      </c>
      <c r="H262" s="4" t="n">
        <v>1</v>
      </c>
      <c r="I262" s="4" t="s">
        <v>689</v>
      </c>
      <c r="J262" s="4" t="s">
        <v>149</v>
      </c>
      <c r="K262" s="4" t="s">
        <v>1016</v>
      </c>
      <c r="L262" s="4" t="s">
        <v>42</v>
      </c>
      <c r="M262" s="4" t="s">
        <v>43</v>
      </c>
      <c r="N262" s="4" t="s">
        <v>44</v>
      </c>
      <c r="O262" s="4" t="s">
        <v>1017</v>
      </c>
      <c r="P262" s="4" t="s">
        <v>46</v>
      </c>
    </row>
    <row r="263" customFormat="false" ht="15" hidden="false" customHeight="false" outlineLevel="0" collapsed="false">
      <c r="A263" s="4" t="s">
        <v>1018</v>
      </c>
      <c r="B263" s="4" t="s">
        <v>1005</v>
      </c>
      <c r="C263" s="4" t="s">
        <v>611</v>
      </c>
      <c r="D263" s="4" t="s">
        <v>612</v>
      </c>
      <c r="E263" s="4" t="s">
        <v>761</v>
      </c>
      <c r="F263" s="4" t="s">
        <v>42</v>
      </c>
      <c r="G263" s="4" t="s">
        <v>326</v>
      </c>
      <c r="H263" s="4" t="n">
        <v>1</v>
      </c>
      <c r="I263" s="4" t="s">
        <v>1019</v>
      </c>
      <c r="J263" s="4" t="s">
        <v>81</v>
      </c>
      <c r="K263" s="4" t="s">
        <v>1020</v>
      </c>
      <c r="L263" s="4" t="s">
        <v>70</v>
      </c>
      <c r="M263" s="4" t="s">
        <v>43</v>
      </c>
      <c r="N263" s="4" t="s">
        <v>44</v>
      </c>
      <c r="O263" s="4" t="s">
        <v>1021</v>
      </c>
      <c r="P263" s="4" t="s">
        <v>46</v>
      </c>
    </row>
    <row r="264" customFormat="false" ht="15" hidden="false" customHeight="false" outlineLevel="0" collapsed="false">
      <c r="A264" s="4" t="s">
        <v>1022</v>
      </c>
      <c r="B264" s="4" t="s">
        <v>1023</v>
      </c>
      <c r="C264" s="4" t="s">
        <v>611</v>
      </c>
      <c r="D264" s="4" t="s">
        <v>612</v>
      </c>
      <c r="E264" s="4" t="s">
        <v>618</v>
      </c>
      <c r="F264" s="4" t="s">
        <v>42</v>
      </c>
      <c r="G264" s="4" t="s">
        <v>59</v>
      </c>
      <c r="H264" s="4" t="n">
        <v>2</v>
      </c>
      <c r="I264" s="4" t="s">
        <v>1024</v>
      </c>
      <c r="J264" s="4" t="s">
        <v>68</v>
      </c>
      <c r="K264" s="4" t="s">
        <v>1025</v>
      </c>
      <c r="L264" s="4" t="s">
        <v>432</v>
      </c>
      <c r="M264" s="4" t="s">
        <v>356</v>
      </c>
      <c r="N264" s="4" t="s">
        <v>901</v>
      </c>
      <c r="O264" s="4"/>
      <c r="P264" s="4" t="s">
        <v>46</v>
      </c>
    </row>
    <row r="265" customFormat="false" ht="15" hidden="false" customHeight="false" outlineLevel="0" collapsed="false">
      <c r="A265" s="4" t="s">
        <v>1026</v>
      </c>
      <c r="B265" s="4" t="s">
        <v>1023</v>
      </c>
      <c r="C265" s="4" t="s">
        <v>304</v>
      </c>
      <c r="D265" s="4" t="s">
        <v>305</v>
      </c>
      <c r="E265" s="4" t="s">
        <v>345</v>
      </c>
      <c r="F265" s="4" t="s">
        <v>42</v>
      </c>
      <c r="G265" s="4" t="s">
        <v>38</v>
      </c>
      <c r="H265" s="4" t="n">
        <v>3</v>
      </c>
      <c r="I265" s="4" t="s">
        <v>1027</v>
      </c>
      <c r="J265" s="4" t="s">
        <v>68</v>
      </c>
      <c r="K265" s="4" t="s">
        <v>620</v>
      </c>
      <c r="L265" s="4" t="s">
        <v>168</v>
      </c>
      <c r="M265" s="4" t="s">
        <v>43</v>
      </c>
      <c r="N265" s="4" t="s">
        <v>44</v>
      </c>
      <c r="O265" s="4" t="s">
        <v>621</v>
      </c>
      <c r="P265" s="4" t="s">
        <v>46</v>
      </c>
    </row>
    <row r="266" customFormat="false" ht="15" hidden="false" customHeight="false" outlineLevel="0" collapsed="false">
      <c r="A266" s="4" t="s">
        <v>1028</v>
      </c>
      <c r="B266" s="4" t="s">
        <v>1023</v>
      </c>
      <c r="C266" s="4" t="s">
        <v>304</v>
      </c>
      <c r="D266" s="4" t="s">
        <v>305</v>
      </c>
      <c r="E266" s="4" t="s">
        <v>306</v>
      </c>
      <c r="F266" s="4" t="s">
        <v>128</v>
      </c>
      <c r="G266" s="4" t="s">
        <v>38</v>
      </c>
      <c r="H266" s="4" t="n">
        <v>1</v>
      </c>
      <c r="I266" s="4" t="s">
        <v>469</v>
      </c>
      <c r="J266" s="4" t="s">
        <v>40</v>
      </c>
      <c r="K266" s="4" t="s">
        <v>1029</v>
      </c>
      <c r="L266" s="4" t="s">
        <v>42</v>
      </c>
      <c r="M266" s="4" t="s">
        <v>43</v>
      </c>
      <c r="N266" s="4" t="s">
        <v>52</v>
      </c>
      <c r="O266" s="4" t="s">
        <v>1030</v>
      </c>
      <c r="P266" s="4" t="s">
        <v>46</v>
      </c>
    </row>
    <row r="267" customFormat="false" ht="15" hidden="false" customHeight="false" outlineLevel="0" collapsed="false">
      <c r="A267" s="4" t="s">
        <v>1031</v>
      </c>
      <c r="B267" s="4" t="s">
        <v>1023</v>
      </c>
      <c r="C267" s="4" t="s">
        <v>1023</v>
      </c>
      <c r="D267" s="4" t="s">
        <v>35</v>
      </c>
      <c r="E267" s="4" t="s">
        <v>89</v>
      </c>
      <c r="F267" s="4" t="s">
        <v>58</v>
      </c>
      <c r="G267" s="4" t="s">
        <v>38</v>
      </c>
      <c r="H267" s="4" t="n">
        <v>3</v>
      </c>
      <c r="I267" s="4" t="s">
        <v>50</v>
      </c>
      <c r="J267" s="4" t="s">
        <v>68</v>
      </c>
      <c r="K267" s="4" t="s">
        <v>1016</v>
      </c>
      <c r="L267" s="4" t="s">
        <v>42</v>
      </c>
      <c r="M267" s="4" t="s">
        <v>43</v>
      </c>
      <c r="N267" s="4" t="s">
        <v>44</v>
      </c>
      <c r="O267" s="4" t="s">
        <v>1017</v>
      </c>
      <c r="P267" s="4" t="s">
        <v>46</v>
      </c>
    </row>
    <row r="268" customFormat="false" ht="15" hidden="false" customHeight="false" outlineLevel="0" collapsed="false">
      <c r="A268" s="4" t="s">
        <v>1032</v>
      </c>
      <c r="B268" s="4" t="s">
        <v>1033</v>
      </c>
      <c r="C268" s="4" t="s">
        <v>611</v>
      </c>
      <c r="D268" s="4" t="s">
        <v>612</v>
      </c>
      <c r="E268" s="4" t="s">
        <v>627</v>
      </c>
      <c r="F268" s="4" t="s">
        <v>42</v>
      </c>
      <c r="G268" s="4" t="s">
        <v>38</v>
      </c>
      <c r="H268" s="4" t="n">
        <v>1</v>
      </c>
      <c r="I268" s="4" t="s">
        <v>1034</v>
      </c>
      <c r="J268" s="4" t="s">
        <v>40</v>
      </c>
      <c r="K268" s="4" t="s">
        <v>1035</v>
      </c>
      <c r="L268" s="4" t="s">
        <v>736</v>
      </c>
      <c r="M268" s="4" t="s">
        <v>737</v>
      </c>
      <c r="N268" s="4" t="s">
        <v>52</v>
      </c>
      <c r="O268" s="4" t="s">
        <v>1036</v>
      </c>
      <c r="P268" s="4" t="s">
        <v>46</v>
      </c>
    </row>
    <row r="269" customFormat="false" ht="15" hidden="false" customHeight="false" outlineLevel="0" collapsed="false">
      <c r="A269" s="4" t="s">
        <v>1037</v>
      </c>
      <c r="B269" s="4" t="s">
        <v>1033</v>
      </c>
      <c r="C269" s="4" t="s">
        <v>304</v>
      </c>
      <c r="D269" s="4" t="s">
        <v>305</v>
      </c>
      <c r="E269" s="4" t="s">
        <v>325</v>
      </c>
      <c r="F269" s="4" t="s">
        <v>42</v>
      </c>
      <c r="G269" s="4" t="s">
        <v>38</v>
      </c>
      <c r="H269" s="4" t="n">
        <v>2</v>
      </c>
      <c r="I269" s="4" t="s">
        <v>1038</v>
      </c>
      <c r="J269" s="4" t="s">
        <v>68</v>
      </c>
      <c r="K269" s="4" t="s">
        <v>651</v>
      </c>
      <c r="L269" s="4" t="s">
        <v>42</v>
      </c>
      <c r="M269" s="4" t="s">
        <v>43</v>
      </c>
      <c r="N269" s="4" t="s">
        <v>44</v>
      </c>
      <c r="O269" s="4" t="s">
        <v>652</v>
      </c>
      <c r="P269" s="4" t="s">
        <v>46</v>
      </c>
    </row>
    <row r="270" customFormat="false" ht="15" hidden="false" customHeight="false" outlineLevel="0" collapsed="false">
      <c r="A270" s="4" t="s">
        <v>1039</v>
      </c>
      <c r="B270" s="4" t="s">
        <v>1033</v>
      </c>
      <c r="C270" s="4" t="s">
        <v>1040</v>
      </c>
      <c r="D270" s="4" t="s">
        <v>35</v>
      </c>
      <c r="E270" s="4" t="s">
        <v>66</v>
      </c>
      <c r="F270" s="4" t="s">
        <v>42</v>
      </c>
      <c r="G270" s="4" t="s">
        <v>38</v>
      </c>
      <c r="H270" s="4" t="n">
        <v>3</v>
      </c>
      <c r="I270" s="4" t="s">
        <v>50</v>
      </c>
      <c r="J270" s="4" t="s">
        <v>81</v>
      </c>
      <c r="K270" s="4" t="s">
        <v>574</v>
      </c>
      <c r="L270" s="4" t="s">
        <v>42</v>
      </c>
      <c r="M270" s="4" t="s">
        <v>43</v>
      </c>
      <c r="N270" s="4" t="s">
        <v>185</v>
      </c>
      <c r="O270" s="4" t="s">
        <v>575</v>
      </c>
      <c r="P270" s="4" t="s">
        <v>46</v>
      </c>
    </row>
    <row r="271" customFormat="false" ht="15" hidden="false" customHeight="false" outlineLevel="0" collapsed="false">
      <c r="A271" s="4" t="s">
        <v>1041</v>
      </c>
      <c r="B271" s="4" t="s">
        <v>1040</v>
      </c>
      <c r="C271" s="4" t="s">
        <v>611</v>
      </c>
      <c r="D271" s="4" t="s">
        <v>612</v>
      </c>
      <c r="E271" s="4" t="s">
        <v>627</v>
      </c>
      <c r="F271" s="4" t="s">
        <v>70</v>
      </c>
      <c r="G271" s="4" t="s">
        <v>59</v>
      </c>
      <c r="H271" s="4" t="n">
        <v>3</v>
      </c>
      <c r="I271" s="4" t="s">
        <v>1042</v>
      </c>
      <c r="J271" s="4" t="s">
        <v>68</v>
      </c>
      <c r="K271" s="4" t="s">
        <v>1043</v>
      </c>
      <c r="L271" s="4" t="s">
        <v>42</v>
      </c>
      <c r="M271" s="4" t="s">
        <v>43</v>
      </c>
      <c r="N271" s="4" t="s">
        <v>52</v>
      </c>
      <c r="O271" s="4" t="s">
        <v>1044</v>
      </c>
      <c r="P271" s="4" t="s">
        <v>46</v>
      </c>
    </row>
    <row r="272" customFormat="false" ht="15" hidden="false" customHeight="false" outlineLevel="0" collapsed="false">
      <c r="A272" s="4" t="s">
        <v>1045</v>
      </c>
      <c r="B272" s="4" t="s">
        <v>1040</v>
      </c>
      <c r="C272" s="4" t="s">
        <v>611</v>
      </c>
      <c r="D272" s="4" t="s">
        <v>612</v>
      </c>
      <c r="E272" s="4" t="s">
        <v>627</v>
      </c>
      <c r="F272" s="4" t="s">
        <v>42</v>
      </c>
      <c r="G272" s="4" t="s">
        <v>38</v>
      </c>
      <c r="H272" s="4" t="n">
        <v>1</v>
      </c>
      <c r="I272" s="4" t="s">
        <v>907</v>
      </c>
      <c r="J272" s="4" t="s">
        <v>40</v>
      </c>
      <c r="K272" s="4" t="s">
        <v>1046</v>
      </c>
      <c r="L272" s="4" t="s">
        <v>382</v>
      </c>
      <c r="M272" s="4" t="s">
        <v>43</v>
      </c>
      <c r="N272" s="4" t="s">
        <v>44</v>
      </c>
      <c r="O272" s="4" t="s">
        <v>1047</v>
      </c>
      <c r="P272" s="4" t="s">
        <v>46</v>
      </c>
    </row>
    <row r="273" customFormat="false" ht="15" hidden="false" customHeight="false" outlineLevel="0" collapsed="false">
      <c r="A273" s="4" t="s">
        <v>1048</v>
      </c>
      <c r="B273" s="4" t="s">
        <v>1049</v>
      </c>
      <c r="C273" s="4" t="s">
        <v>304</v>
      </c>
      <c r="D273" s="4" t="s">
        <v>305</v>
      </c>
      <c r="E273" s="4" t="s">
        <v>306</v>
      </c>
      <c r="F273" s="4" t="s">
        <v>42</v>
      </c>
      <c r="G273" s="4" t="s">
        <v>326</v>
      </c>
      <c r="H273" s="4" t="n">
        <v>2</v>
      </c>
      <c r="I273" s="4" t="s">
        <v>1050</v>
      </c>
      <c r="J273" s="4" t="s">
        <v>68</v>
      </c>
      <c r="K273" s="4" t="s">
        <v>98</v>
      </c>
      <c r="L273" s="4" t="s">
        <v>42</v>
      </c>
      <c r="M273" s="4" t="s">
        <v>43</v>
      </c>
      <c r="N273" s="4" t="s">
        <v>44</v>
      </c>
      <c r="O273" s="4" t="s">
        <v>99</v>
      </c>
      <c r="P273" s="4" t="s">
        <v>46</v>
      </c>
    </row>
    <row r="274" customFormat="false" ht="15" hidden="false" customHeight="false" outlineLevel="0" collapsed="false">
      <c r="A274" s="4" t="s">
        <v>1051</v>
      </c>
      <c r="B274" s="4" t="s">
        <v>1049</v>
      </c>
      <c r="C274" s="4" t="s">
        <v>304</v>
      </c>
      <c r="D274" s="4" t="s">
        <v>305</v>
      </c>
      <c r="E274" s="4" t="s">
        <v>306</v>
      </c>
      <c r="F274" s="4" t="s">
        <v>42</v>
      </c>
      <c r="G274" s="4" t="s">
        <v>326</v>
      </c>
      <c r="H274" s="4" t="n">
        <v>2</v>
      </c>
      <c r="I274" s="4" t="s">
        <v>1052</v>
      </c>
      <c r="J274" s="4" t="s">
        <v>40</v>
      </c>
      <c r="K274" s="4" t="s">
        <v>741</v>
      </c>
      <c r="L274" s="4" t="s">
        <v>42</v>
      </c>
      <c r="M274" s="4" t="s">
        <v>43</v>
      </c>
      <c r="N274" s="4" t="s">
        <v>44</v>
      </c>
      <c r="O274" s="4" t="s">
        <v>742</v>
      </c>
      <c r="P274" s="4" t="s">
        <v>46</v>
      </c>
    </row>
    <row r="275" customFormat="false" ht="15" hidden="false" customHeight="false" outlineLevel="0" collapsed="false">
      <c r="A275" s="4" t="s">
        <v>1053</v>
      </c>
      <c r="B275" s="4" t="s">
        <v>1049</v>
      </c>
      <c r="C275" s="4" t="s">
        <v>304</v>
      </c>
      <c r="D275" s="4" t="s">
        <v>305</v>
      </c>
      <c r="E275" s="4" t="s">
        <v>306</v>
      </c>
      <c r="F275" s="4" t="s">
        <v>42</v>
      </c>
      <c r="G275" s="4" t="s">
        <v>38</v>
      </c>
      <c r="H275" s="4" t="n">
        <v>1</v>
      </c>
      <c r="I275" s="4" t="s">
        <v>319</v>
      </c>
      <c r="J275" s="4" t="s">
        <v>68</v>
      </c>
      <c r="K275" s="4" t="s">
        <v>1054</v>
      </c>
      <c r="L275" s="4" t="s">
        <v>42</v>
      </c>
      <c r="M275" s="4" t="s">
        <v>43</v>
      </c>
      <c r="N275" s="4" t="s">
        <v>44</v>
      </c>
      <c r="O275" s="4" t="s">
        <v>1055</v>
      </c>
      <c r="P275" s="4" t="s">
        <v>46</v>
      </c>
    </row>
    <row r="276" customFormat="false" ht="15" hidden="false" customHeight="false" outlineLevel="0" collapsed="false">
      <c r="A276" s="4" t="s">
        <v>1056</v>
      </c>
      <c r="B276" s="4" t="s">
        <v>1057</v>
      </c>
      <c r="C276" s="4" t="s">
        <v>304</v>
      </c>
      <c r="D276" s="4" t="s">
        <v>305</v>
      </c>
      <c r="E276" s="4" t="s">
        <v>306</v>
      </c>
      <c r="F276" s="4" t="s">
        <v>42</v>
      </c>
      <c r="G276" s="4" t="s">
        <v>38</v>
      </c>
      <c r="H276" s="4" t="n">
        <v>1</v>
      </c>
      <c r="I276" s="4" t="s">
        <v>925</v>
      </c>
      <c r="J276" s="4" t="s">
        <v>40</v>
      </c>
      <c r="K276" s="4" t="s">
        <v>1058</v>
      </c>
      <c r="L276" s="4" t="s">
        <v>42</v>
      </c>
      <c r="M276" s="4" t="s">
        <v>43</v>
      </c>
      <c r="N276" s="4" t="s">
        <v>44</v>
      </c>
      <c r="O276" s="4" t="s">
        <v>1059</v>
      </c>
      <c r="P276" s="4" t="s">
        <v>46</v>
      </c>
    </row>
    <row r="277" customFormat="false" ht="15" hidden="false" customHeight="false" outlineLevel="0" collapsed="false">
      <c r="A277" s="4" t="s">
        <v>1060</v>
      </c>
      <c r="B277" s="4" t="s">
        <v>1061</v>
      </c>
      <c r="C277" s="4" t="s">
        <v>611</v>
      </c>
      <c r="D277" s="4" t="s">
        <v>612</v>
      </c>
      <c r="E277" s="4" t="s">
        <v>627</v>
      </c>
      <c r="F277" s="4" t="s">
        <v>42</v>
      </c>
      <c r="G277" s="4" t="s">
        <v>59</v>
      </c>
      <c r="H277" s="4" t="n">
        <v>1</v>
      </c>
      <c r="I277" s="4" t="s">
        <v>331</v>
      </c>
      <c r="J277" s="4" t="s">
        <v>68</v>
      </c>
      <c r="K277" s="4" t="s">
        <v>658</v>
      </c>
      <c r="L277" s="4" t="s">
        <v>42</v>
      </c>
      <c r="M277" s="4" t="s">
        <v>43</v>
      </c>
      <c r="N277" s="4" t="s">
        <v>44</v>
      </c>
      <c r="O277" s="4" t="s">
        <v>659</v>
      </c>
      <c r="P277" s="4" t="s">
        <v>46</v>
      </c>
    </row>
    <row r="278" customFormat="false" ht="15" hidden="false" customHeight="false" outlineLevel="0" collapsed="false">
      <c r="A278" s="4" t="s">
        <v>1062</v>
      </c>
      <c r="B278" s="4" t="s">
        <v>1061</v>
      </c>
      <c r="C278" s="4" t="s">
        <v>611</v>
      </c>
      <c r="D278" s="4" t="s">
        <v>612</v>
      </c>
      <c r="E278" s="4" t="s">
        <v>627</v>
      </c>
      <c r="F278" s="4" t="s">
        <v>42</v>
      </c>
      <c r="G278" s="4" t="s">
        <v>38</v>
      </c>
      <c r="H278" s="4" t="n">
        <v>2</v>
      </c>
      <c r="I278" s="4" t="s">
        <v>960</v>
      </c>
      <c r="J278" s="4" t="s">
        <v>81</v>
      </c>
      <c r="K278" s="4" t="s">
        <v>1063</v>
      </c>
      <c r="L278" s="4" t="s">
        <v>837</v>
      </c>
      <c r="M278" s="4" t="s">
        <v>1064</v>
      </c>
      <c r="N278" s="4" t="s">
        <v>94</v>
      </c>
      <c r="O278" s="4" t="s">
        <v>1065</v>
      </c>
      <c r="P278" s="4" t="s">
        <v>46</v>
      </c>
    </row>
    <row r="279" customFormat="false" ht="15" hidden="false" customHeight="false" outlineLevel="0" collapsed="false">
      <c r="A279" s="4" t="s">
        <v>1066</v>
      </c>
      <c r="B279" s="4" t="s">
        <v>1061</v>
      </c>
      <c r="C279" s="4" t="s">
        <v>1067</v>
      </c>
      <c r="D279" s="4" t="s">
        <v>35</v>
      </c>
      <c r="E279" s="4" t="s">
        <v>36</v>
      </c>
      <c r="F279" s="4" t="s">
        <v>37</v>
      </c>
      <c r="G279" s="4" t="s">
        <v>38</v>
      </c>
      <c r="H279" s="4" t="n">
        <v>1</v>
      </c>
      <c r="I279" s="4" t="s">
        <v>67</v>
      </c>
      <c r="J279" s="4" t="s">
        <v>68</v>
      </c>
      <c r="K279" s="4" t="s">
        <v>646</v>
      </c>
      <c r="L279" s="4" t="s">
        <v>42</v>
      </c>
      <c r="M279" s="4" t="s">
        <v>43</v>
      </c>
      <c r="N279" s="4" t="s">
        <v>44</v>
      </c>
      <c r="O279" s="4" t="s">
        <v>647</v>
      </c>
      <c r="P279" s="4" t="s">
        <v>46</v>
      </c>
    </row>
    <row r="280" customFormat="false" ht="15" hidden="false" customHeight="false" outlineLevel="0" collapsed="false">
      <c r="A280" s="4" t="s">
        <v>1068</v>
      </c>
      <c r="B280" s="4" t="s">
        <v>1069</v>
      </c>
      <c r="C280" s="4" t="s">
        <v>611</v>
      </c>
      <c r="D280" s="4" t="s">
        <v>612</v>
      </c>
      <c r="E280" s="4" t="s">
        <v>613</v>
      </c>
      <c r="F280" s="4" t="s">
        <v>58</v>
      </c>
      <c r="G280" s="4" t="s">
        <v>38</v>
      </c>
      <c r="H280" s="4" t="n">
        <v>1</v>
      </c>
      <c r="I280" s="4" t="s">
        <v>1070</v>
      </c>
      <c r="J280" s="4" t="s">
        <v>68</v>
      </c>
      <c r="K280" s="4" t="s">
        <v>1071</v>
      </c>
      <c r="L280" s="4" t="s">
        <v>480</v>
      </c>
      <c r="M280" s="4" t="s">
        <v>43</v>
      </c>
      <c r="N280" s="4" t="s">
        <v>44</v>
      </c>
      <c r="O280" s="4" t="s">
        <v>1072</v>
      </c>
      <c r="P280" s="4" t="s">
        <v>46</v>
      </c>
    </row>
    <row r="281" customFormat="false" ht="15" hidden="false" customHeight="false" outlineLevel="0" collapsed="false">
      <c r="A281" s="4" t="s">
        <v>1073</v>
      </c>
      <c r="B281" s="4" t="s">
        <v>1069</v>
      </c>
      <c r="C281" s="4" t="s">
        <v>304</v>
      </c>
      <c r="D281" s="4" t="s">
        <v>305</v>
      </c>
      <c r="E281" s="4" t="s">
        <v>306</v>
      </c>
      <c r="F281" s="4" t="s">
        <v>42</v>
      </c>
      <c r="G281" s="4" t="s">
        <v>59</v>
      </c>
      <c r="H281" s="4" t="n">
        <v>2</v>
      </c>
      <c r="I281" s="4" t="s">
        <v>1074</v>
      </c>
      <c r="J281" s="4" t="s">
        <v>149</v>
      </c>
      <c r="K281" s="4" t="s">
        <v>206</v>
      </c>
      <c r="L281" s="4" t="s">
        <v>70</v>
      </c>
      <c r="M281" s="4" t="s">
        <v>133</v>
      </c>
      <c r="N281" s="4" t="s">
        <v>44</v>
      </c>
      <c r="O281" s="4" t="s">
        <v>207</v>
      </c>
      <c r="P281" s="4" t="s">
        <v>46</v>
      </c>
    </row>
    <row r="282" customFormat="false" ht="15" hidden="false" customHeight="false" outlineLevel="0" collapsed="false">
      <c r="A282" s="4" t="s">
        <v>1075</v>
      </c>
      <c r="B282" s="4" t="s">
        <v>1076</v>
      </c>
      <c r="C282" s="4" t="s">
        <v>611</v>
      </c>
      <c r="D282" s="4" t="s">
        <v>612</v>
      </c>
      <c r="E282" s="4" t="s">
        <v>761</v>
      </c>
      <c r="F282" s="4" t="s">
        <v>128</v>
      </c>
      <c r="G282" s="4" t="s">
        <v>38</v>
      </c>
      <c r="H282" s="4" t="n">
        <v>2</v>
      </c>
      <c r="I282" s="4" t="s">
        <v>835</v>
      </c>
      <c r="J282" s="4" t="s">
        <v>40</v>
      </c>
      <c r="K282" s="4" t="s">
        <v>1077</v>
      </c>
      <c r="L282" s="4" t="s">
        <v>42</v>
      </c>
      <c r="M282" s="4" t="s">
        <v>43</v>
      </c>
      <c r="N282" s="4" t="s">
        <v>94</v>
      </c>
      <c r="O282" s="4" t="s">
        <v>1078</v>
      </c>
      <c r="P282" s="4" t="s">
        <v>46</v>
      </c>
    </row>
    <row r="283" customFormat="false" ht="15" hidden="false" customHeight="false" outlineLevel="0" collapsed="false">
      <c r="A283" s="4" t="s">
        <v>1079</v>
      </c>
      <c r="B283" s="4" t="s">
        <v>1076</v>
      </c>
      <c r="C283" s="4" t="s">
        <v>304</v>
      </c>
      <c r="D283" s="4" t="s">
        <v>305</v>
      </c>
      <c r="E283" s="4" t="s">
        <v>306</v>
      </c>
      <c r="F283" s="4" t="s">
        <v>42</v>
      </c>
      <c r="G283" s="4" t="s">
        <v>38</v>
      </c>
      <c r="H283" s="4" t="n">
        <v>1</v>
      </c>
      <c r="I283" s="4" t="s">
        <v>1080</v>
      </c>
      <c r="J283" s="4" t="s">
        <v>40</v>
      </c>
      <c r="K283" s="4" t="s">
        <v>250</v>
      </c>
      <c r="L283" s="4" t="s">
        <v>70</v>
      </c>
      <c r="M283" s="4" t="s">
        <v>43</v>
      </c>
      <c r="N283" s="4" t="s">
        <v>44</v>
      </c>
      <c r="O283" s="4" t="s">
        <v>251</v>
      </c>
      <c r="P283" s="4" t="s">
        <v>46</v>
      </c>
    </row>
    <row r="284" customFormat="false" ht="15" hidden="false" customHeight="false" outlineLevel="0" collapsed="false">
      <c r="A284" s="4" t="s">
        <v>1081</v>
      </c>
      <c r="B284" s="4" t="s">
        <v>1082</v>
      </c>
      <c r="C284" s="4" t="s">
        <v>611</v>
      </c>
      <c r="D284" s="4" t="s">
        <v>612</v>
      </c>
      <c r="E284" s="4" t="s">
        <v>627</v>
      </c>
      <c r="F284" s="4" t="s">
        <v>42</v>
      </c>
      <c r="G284" s="4" t="s">
        <v>38</v>
      </c>
      <c r="H284" s="4" t="n">
        <v>2</v>
      </c>
      <c r="I284" s="4" t="s">
        <v>982</v>
      </c>
      <c r="J284" s="4" t="s">
        <v>68</v>
      </c>
      <c r="K284" s="4" t="s">
        <v>1083</v>
      </c>
      <c r="L284" s="4" t="s">
        <v>364</v>
      </c>
      <c r="M284" s="4" t="s">
        <v>365</v>
      </c>
      <c r="N284" s="4" t="s">
        <v>44</v>
      </c>
      <c r="O284" s="4" t="s">
        <v>1084</v>
      </c>
      <c r="P284" s="4" t="s">
        <v>46</v>
      </c>
    </row>
    <row r="285" customFormat="false" ht="15" hidden="false" customHeight="false" outlineLevel="0" collapsed="false">
      <c r="A285" s="4" t="s">
        <v>1085</v>
      </c>
      <c r="B285" s="4" t="s">
        <v>1082</v>
      </c>
      <c r="C285" s="4" t="s">
        <v>1086</v>
      </c>
      <c r="D285" s="4" t="s">
        <v>35</v>
      </c>
      <c r="E285" s="4" t="s">
        <v>57</v>
      </c>
      <c r="F285" s="4" t="s">
        <v>42</v>
      </c>
      <c r="G285" s="4" t="s">
        <v>38</v>
      </c>
      <c r="H285" s="4" t="n">
        <v>1</v>
      </c>
      <c r="I285" s="4" t="s">
        <v>39</v>
      </c>
      <c r="J285" s="4" t="s">
        <v>68</v>
      </c>
      <c r="K285" s="4" t="s">
        <v>139</v>
      </c>
      <c r="L285" s="4" t="s">
        <v>42</v>
      </c>
      <c r="M285" s="4" t="s">
        <v>43</v>
      </c>
      <c r="N285" s="4" t="s">
        <v>52</v>
      </c>
      <c r="O285" s="4" t="s">
        <v>140</v>
      </c>
      <c r="P285" s="4" t="s">
        <v>46</v>
      </c>
    </row>
    <row r="286" customFormat="false" ht="15" hidden="false" customHeight="false" outlineLevel="0" collapsed="false">
      <c r="A286" s="4" t="s">
        <v>1087</v>
      </c>
      <c r="B286" s="4" t="s">
        <v>1088</v>
      </c>
      <c r="C286" s="4" t="s">
        <v>611</v>
      </c>
      <c r="D286" s="4" t="s">
        <v>612</v>
      </c>
      <c r="E286" s="4" t="s">
        <v>627</v>
      </c>
      <c r="F286" s="4" t="s">
        <v>128</v>
      </c>
      <c r="G286" s="4" t="s">
        <v>59</v>
      </c>
      <c r="H286" s="4" t="n">
        <v>1</v>
      </c>
      <c r="I286" s="4" t="s">
        <v>1089</v>
      </c>
      <c r="J286" s="4" t="s">
        <v>68</v>
      </c>
      <c r="K286" s="4" t="s">
        <v>1090</v>
      </c>
      <c r="L286" s="4" t="s">
        <v>867</v>
      </c>
      <c r="M286" s="4" t="s">
        <v>43</v>
      </c>
      <c r="N286" s="4" t="s">
        <v>44</v>
      </c>
      <c r="O286" s="4" t="s">
        <v>1091</v>
      </c>
      <c r="P286" s="4" t="s">
        <v>46</v>
      </c>
    </row>
    <row r="287" customFormat="false" ht="15" hidden="false" customHeight="false" outlineLevel="0" collapsed="false">
      <c r="A287" s="4" t="s">
        <v>1092</v>
      </c>
      <c r="B287" s="4" t="s">
        <v>1088</v>
      </c>
      <c r="C287" s="4" t="s">
        <v>611</v>
      </c>
      <c r="D287" s="4" t="s">
        <v>612</v>
      </c>
      <c r="E287" s="4" t="s">
        <v>627</v>
      </c>
      <c r="F287" s="4" t="s">
        <v>42</v>
      </c>
      <c r="G287" s="4" t="s">
        <v>326</v>
      </c>
      <c r="H287" s="4" t="n">
        <v>2</v>
      </c>
      <c r="I287" s="4" t="s">
        <v>1093</v>
      </c>
      <c r="J287" s="4" t="s">
        <v>40</v>
      </c>
      <c r="K287" s="4" t="s">
        <v>775</v>
      </c>
      <c r="L287" s="4" t="s">
        <v>42</v>
      </c>
      <c r="M287" s="4" t="s">
        <v>43</v>
      </c>
      <c r="N287" s="4" t="s">
        <v>52</v>
      </c>
      <c r="O287" s="4" t="s">
        <v>776</v>
      </c>
      <c r="P287" s="4" t="s">
        <v>46</v>
      </c>
    </row>
    <row r="288" customFormat="false" ht="15" hidden="false" customHeight="false" outlineLevel="0" collapsed="false">
      <c r="A288" s="4" t="s">
        <v>1094</v>
      </c>
      <c r="B288" s="4" t="s">
        <v>1088</v>
      </c>
      <c r="C288" s="4" t="s">
        <v>611</v>
      </c>
      <c r="D288" s="4" t="s">
        <v>612</v>
      </c>
      <c r="E288" s="4" t="s">
        <v>627</v>
      </c>
      <c r="F288" s="4" t="s">
        <v>42</v>
      </c>
      <c r="G288" s="4" t="s">
        <v>326</v>
      </c>
      <c r="H288" s="4" t="n">
        <v>2</v>
      </c>
      <c r="I288" s="4" t="s">
        <v>1095</v>
      </c>
      <c r="J288" s="4" t="s">
        <v>40</v>
      </c>
      <c r="K288" s="4" t="s">
        <v>1096</v>
      </c>
      <c r="L288" s="4" t="s">
        <v>909</v>
      </c>
      <c r="M288" s="4" t="s">
        <v>356</v>
      </c>
      <c r="N288" s="4" t="s">
        <v>357</v>
      </c>
      <c r="O288" s="4"/>
      <c r="P288" s="4" t="s">
        <v>46</v>
      </c>
    </row>
    <row r="289" customFormat="false" ht="15" hidden="false" customHeight="false" outlineLevel="0" collapsed="false">
      <c r="A289" s="4" t="s">
        <v>1097</v>
      </c>
      <c r="B289" s="4" t="s">
        <v>1086</v>
      </c>
      <c r="C289" s="4" t="s">
        <v>304</v>
      </c>
      <c r="D289" s="4" t="s">
        <v>305</v>
      </c>
      <c r="E289" s="4" t="s">
        <v>306</v>
      </c>
      <c r="F289" s="4" t="s">
        <v>42</v>
      </c>
      <c r="G289" s="4" t="s">
        <v>38</v>
      </c>
      <c r="H289" s="4" t="n">
        <v>4</v>
      </c>
      <c r="I289" s="4" t="s">
        <v>1098</v>
      </c>
      <c r="J289" s="4" t="s">
        <v>40</v>
      </c>
      <c r="K289" s="4" t="s">
        <v>1099</v>
      </c>
      <c r="L289" s="4" t="s">
        <v>1100</v>
      </c>
      <c r="M289" s="4" t="s">
        <v>356</v>
      </c>
      <c r="N289" s="4" t="s">
        <v>433</v>
      </c>
      <c r="O289" s="4"/>
      <c r="P289" s="4" t="s">
        <v>46</v>
      </c>
    </row>
    <row r="290" customFormat="false" ht="15" hidden="false" customHeight="false" outlineLevel="0" collapsed="false">
      <c r="A290" s="4" t="s">
        <v>1101</v>
      </c>
      <c r="B290" s="4" t="s">
        <v>1102</v>
      </c>
      <c r="C290" s="4" t="s">
        <v>304</v>
      </c>
      <c r="D290" s="4" t="s">
        <v>305</v>
      </c>
      <c r="E290" s="4" t="s">
        <v>323</v>
      </c>
      <c r="F290" s="4" t="s">
        <v>58</v>
      </c>
      <c r="G290" s="4" t="s">
        <v>38</v>
      </c>
      <c r="H290" s="4" t="n">
        <v>2</v>
      </c>
      <c r="I290" s="4" t="s">
        <v>449</v>
      </c>
      <c r="J290" s="4" t="s">
        <v>40</v>
      </c>
      <c r="K290" s="4" t="s">
        <v>1103</v>
      </c>
      <c r="L290" s="4" t="s">
        <v>596</v>
      </c>
      <c r="M290" s="4" t="s">
        <v>695</v>
      </c>
      <c r="N290" s="4" t="s">
        <v>52</v>
      </c>
      <c r="O290" s="4" t="s">
        <v>1104</v>
      </c>
      <c r="P290" s="4" t="s">
        <v>46</v>
      </c>
    </row>
    <row r="291" customFormat="false" ht="15" hidden="false" customHeight="false" outlineLevel="0" collapsed="false">
      <c r="A291" s="4" t="s">
        <v>1105</v>
      </c>
      <c r="B291" s="4" t="s">
        <v>1106</v>
      </c>
      <c r="C291" s="4" t="s">
        <v>304</v>
      </c>
      <c r="D291" s="4" t="s">
        <v>305</v>
      </c>
      <c r="E291" s="4" t="s">
        <v>306</v>
      </c>
      <c r="F291" s="4" t="s">
        <v>42</v>
      </c>
      <c r="G291" s="4" t="s">
        <v>38</v>
      </c>
      <c r="H291" s="4" t="n">
        <v>1</v>
      </c>
      <c r="I291" s="4" t="s">
        <v>1107</v>
      </c>
      <c r="J291" s="4" t="s">
        <v>81</v>
      </c>
      <c r="K291" s="4" t="s">
        <v>289</v>
      </c>
      <c r="L291" s="4" t="s">
        <v>42</v>
      </c>
      <c r="M291" s="4" t="s">
        <v>43</v>
      </c>
      <c r="N291" s="4" t="s">
        <v>94</v>
      </c>
      <c r="O291" s="4" t="s">
        <v>290</v>
      </c>
      <c r="P291" s="4" t="s">
        <v>46</v>
      </c>
    </row>
    <row r="292" customFormat="false" ht="15" hidden="false" customHeight="false" outlineLevel="0" collapsed="false">
      <c r="A292" s="4" t="s">
        <v>1108</v>
      </c>
      <c r="B292" s="4" t="s">
        <v>1109</v>
      </c>
      <c r="C292" s="4" t="s">
        <v>611</v>
      </c>
      <c r="D292" s="4" t="s">
        <v>612</v>
      </c>
      <c r="E292" s="4" t="s">
        <v>627</v>
      </c>
      <c r="F292" s="4" t="s">
        <v>58</v>
      </c>
      <c r="G292" s="4" t="s">
        <v>38</v>
      </c>
      <c r="H292" s="4" t="n">
        <v>2</v>
      </c>
      <c r="I292" s="4" t="s">
        <v>762</v>
      </c>
      <c r="J292" s="4" t="s">
        <v>68</v>
      </c>
      <c r="K292" s="4" t="s">
        <v>150</v>
      </c>
      <c r="L292" s="4" t="s">
        <v>42</v>
      </c>
      <c r="M292" s="4" t="s">
        <v>43</v>
      </c>
      <c r="N292" s="4" t="s">
        <v>44</v>
      </c>
      <c r="O292" s="4" t="s">
        <v>151</v>
      </c>
      <c r="P292" s="4" t="s">
        <v>46</v>
      </c>
    </row>
    <row r="293" customFormat="false" ht="15" hidden="false" customHeight="false" outlineLevel="0" collapsed="false">
      <c r="A293" s="4" t="s">
        <v>1110</v>
      </c>
      <c r="B293" s="4" t="s">
        <v>1109</v>
      </c>
      <c r="C293" s="4" t="s">
        <v>611</v>
      </c>
      <c r="D293" s="4" t="s">
        <v>612</v>
      </c>
      <c r="E293" s="4" t="s">
        <v>627</v>
      </c>
      <c r="F293" s="4" t="s">
        <v>42</v>
      </c>
      <c r="G293" s="4" t="s">
        <v>38</v>
      </c>
      <c r="H293" s="4" t="n">
        <v>2</v>
      </c>
      <c r="I293" s="4" t="s">
        <v>1111</v>
      </c>
      <c r="J293" s="4" t="s">
        <v>40</v>
      </c>
      <c r="K293" s="4" t="s">
        <v>1112</v>
      </c>
      <c r="L293" s="4" t="s">
        <v>994</v>
      </c>
      <c r="M293" s="4" t="s">
        <v>334</v>
      </c>
      <c r="N293" s="4" t="s">
        <v>44</v>
      </c>
      <c r="O293" s="4" t="s">
        <v>1113</v>
      </c>
      <c r="P293" s="4" t="s">
        <v>46</v>
      </c>
    </row>
    <row r="294" customFormat="false" ht="15" hidden="false" customHeight="false" outlineLevel="0" collapsed="false">
      <c r="A294" s="4" t="s">
        <v>1114</v>
      </c>
      <c r="B294" s="4" t="s">
        <v>1109</v>
      </c>
      <c r="C294" s="4" t="s">
        <v>611</v>
      </c>
      <c r="D294" s="4" t="s">
        <v>612</v>
      </c>
      <c r="E294" s="4" t="s">
        <v>618</v>
      </c>
      <c r="F294" s="4" t="s">
        <v>70</v>
      </c>
      <c r="G294" s="4" t="s">
        <v>59</v>
      </c>
      <c r="H294" s="4" t="n">
        <v>2</v>
      </c>
      <c r="I294" s="4" t="s">
        <v>940</v>
      </c>
      <c r="J294" s="4" t="s">
        <v>68</v>
      </c>
      <c r="K294" s="4" t="s">
        <v>666</v>
      </c>
      <c r="L294" s="4" t="s">
        <v>70</v>
      </c>
      <c r="M294" s="4" t="s">
        <v>133</v>
      </c>
      <c r="N294" s="4" t="s">
        <v>52</v>
      </c>
      <c r="O294" s="4" t="s">
        <v>667</v>
      </c>
      <c r="P294" s="4" t="s">
        <v>46</v>
      </c>
    </row>
    <row r="295" customFormat="false" ht="15" hidden="false" customHeight="false" outlineLevel="0" collapsed="false">
      <c r="A295" s="4" t="s">
        <v>1115</v>
      </c>
      <c r="B295" s="4" t="s">
        <v>1116</v>
      </c>
      <c r="C295" s="4" t="s">
        <v>611</v>
      </c>
      <c r="D295" s="4" t="s">
        <v>612</v>
      </c>
      <c r="E295" s="4" t="s">
        <v>761</v>
      </c>
      <c r="F295" s="4" t="s">
        <v>42</v>
      </c>
      <c r="G295" s="4" t="s">
        <v>38</v>
      </c>
      <c r="H295" s="4" t="n">
        <v>4</v>
      </c>
      <c r="I295" s="4" t="s">
        <v>1117</v>
      </c>
      <c r="J295" s="4" t="s">
        <v>81</v>
      </c>
      <c r="K295" s="4" t="s">
        <v>1118</v>
      </c>
      <c r="L295" s="4" t="s">
        <v>634</v>
      </c>
      <c r="M295" s="4" t="s">
        <v>635</v>
      </c>
      <c r="N295" s="4" t="s">
        <v>44</v>
      </c>
      <c r="O295" s="4" t="s">
        <v>1119</v>
      </c>
      <c r="P295" s="4" t="s">
        <v>46</v>
      </c>
    </row>
    <row r="296" customFormat="false" ht="15" hidden="false" customHeight="false" outlineLevel="0" collapsed="false">
      <c r="A296" s="4" t="s">
        <v>1120</v>
      </c>
      <c r="B296" s="4" t="s">
        <v>1116</v>
      </c>
      <c r="C296" s="4" t="s">
        <v>1121</v>
      </c>
      <c r="D296" s="4" t="s">
        <v>35</v>
      </c>
      <c r="E296" s="4" t="s">
        <v>36</v>
      </c>
      <c r="F296" s="4" t="s">
        <v>42</v>
      </c>
      <c r="G296" s="4" t="s">
        <v>38</v>
      </c>
      <c r="H296" s="4" t="n">
        <v>2</v>
      </c>
      <c r="I296" s="4" t="s">
        <v>67</v>
      </c>
      <c r="J296" s="4" t="s">
        <v>68</v>
      </c>
      <c r="K296" s="4" t="s">
        <v>580</v>
      </c>
      <c r="L296" s="4" t="s">
        <v>42</v>
      </c>
      <c r="M296" s="4" t="s">
        <v>43</v>
      </c>
      <c r="N296" s="4" t="s">
        <v>44</v>
      </c>
      <c r="O296" s="4" t="s">
        <v>581</v>
      </c>
      <c r="P296" s="4" t="s">
        <v>46</v>
      </c>
    </row>
    <row r="297" customFormat="false" ht="15" hidden="false" customHeight="false" outlineLevel="0" collapsed="false">
      <c r="A297" s="4" t="s">
        <v>1122</v>
      </c>
      <c r="B297" s="4" t="s">
        <v>1123</v>
      </c>
      <c r="C297" s="4" t="s">
        <v>304</v>
      </c>
      <c r="D297" s="4" t="s">
        <v>305</v>
      </c>
      <c r="E297" s="4" t="s">
        <v>323</v>
      </c>
      <c r="F297" s="4" t="s">
        <v>42</v>
      </c>
      <c r="G297" s="4" t="s">
        <v>59</v>
      </c>
      <c r="H297" s="4" t="n">
        <v>1</v>
      </c>
      <c r="I297" s="4" t="s">
        <v>601</v>
      </c>
      <c r="J297" s="4" t="s">
        <v>40</v>
      </c>
      <c r="K297" s="4" t="s">
        <v>1124</v>
      </c>
      <c r="L297" s="4" t="s">
        <v>42</v>
      </c>
      <c r="M297" s="4" t="s">
        <v>43</v>
      </c>
      <c r="N297" s="4" t="s">
        <v>44</v>
      </c>
      <c r="O297" s="4" t="s">
        <v>1125</v>
      </c>
      <c r="P297" s="4" t="s">
        <v>46</v>
      </c>
    </row>
    <row r="298" customFormat="false" ht="15" hidden="false" customHeight="false" outlineLevel="0" collapsed="false">
      <c r="A298" s="4" t="s">
        <v>1126</v>
      </c>
      <c r="B298" s="4" t="s">
        <v>1123</v>
      </c>
      <c r="C298" s="4" t="s">
        <v>1127</v>
      </c>
      <c r="D298" s="4" t="s">
        <v>35</v>
      </c>
      <c r="E298" s="4" t="s">
        <v>49</v>
      </c>
      <c r="F298" s="4" t="s">
        <v>70</v>
      </c>
      <c r="G298" s="4" t="s">
        <v>38</v>
      </c>
      <c r="H298" s="4" t="n">
        <v>2</v>
      </c>
      <c r="I298" s="4" t="s">
        <v>240</v>
      </c>
      <c r="J298" s="4" t="s">
        <v>68</v>
      </c>
      <c r="K298" s="4" t="s">
        <v>1128</v>
      </c>
      <c r="L298" s="4" t="s">
        <v>42</v>
      </c>
      <c r="M298" s="4" t="s">
        <v>43</v>
      </c>
      <c r="N298" s="4" t="s">
        <v>44</v>
      </c>
      <c r="O298" s="4" t="s">
        <v>1129</v>
      </c>
      <c r="P298" s="4" t="s">
        <v>46</v>
      </c>
    </row>
    <row r="299" customFormat="false" ht="15" hidden="false" customHeight="false" outlineLevel="0" collapsed="false">
      <c r="A299" s="4" t="s">
        <v>1130</v>
      </c>
      <c r="B299" s="4" t="s">
        <v>1121</v>
      </c>
      <c r="C299" s="4" t="s">
        <v>611</v>
      </c>
      <c r="D299" s="4" t="s">
        <v>612</v>
      </c>
      <c r="E299" s="4" t="s">
        <v>627</v>
      </c>
      <c r="F299" s="4" t="s">
        <v>128</v>
      </c>
      <c r="G299" s="4" t="s">
        <v>326</v>
      </c>
      <c r="H299" s="4" t="n">
        <v>4</v>
      </c>
      <c r="I299" s="4" t="s">
        <v>681</v>
      </c>
      <c r="J299" s="4" t="s">
        <v>149</v>
      </c>
      <c r="K299" s="4" t="s">
        <v>1131</v>
      </c>
      <c r="L299" s="4" t="s">
        <v>42</v>
      </c>
      <c r="M299" s="4" t="s">
        <v>43</v>
      </c>
      <c r="N299" s="4" t="s">
        <v>44</v>
      </c>
      <c r="O299" s="4" t="s">
        <v>1132</v>
      </c>
      <c r="P299" s="4" t="s">
        <v>46</v>
      </c>
    </row>
    <row r="300" customFormat="false" ht="15" hidden="false" customHeight="false" outlineLevel="0" collapsed="false">
      <c r="A300" s="4" t="s">
        <v>1133</v>
      </c>
      <c r="B300" s="4" t="s">
        <v>1127</v>
      </c>
      <c r="C300" s="4" t="s">
        <v>1134</v>
      </c>
      <c r="D300" s="4" t="s">
        <v>35</v>
      </c>
      <c r="E300" s="4" t="s">
        <v>36</v>
      </c>
      <c r="F300" s="4" t="s">
        <v>42</v>
      </c>
      <c r="G300" s="4" t="s">
        <v>38</v>
      </c>
      <c r="H300" s="4" t="n">
        <v>3</v>
      </c>
      <c r="I300" s="4" t="s">
        <v>50</v>
      </c>
      <c r="J300" s="4" t="s">
        <v>68</v>
      </c>
      <c r="K300" s="4" t="s">
        <v>1135</v>
      </c>
      <c r="L300" s="4" t="s">
        <v>42</v>
      </c>
      <c r="M300" s="4" t="s">
        <v>43</v>
      </c>
      <c r="N300" s="4" t="s">
        <v>44</v>
      </c>
      <c r="O300" s="4" t="s">
        <v>1136</v>
      </c>
      <c r="P300" s="4" t="s">
        <v>46</v>
      </c>
    </row>
    <row r="301" customFormat="false" ht="15" hidden="false" customHeight="false" outlineLevel="0" collapsed="false">
      <c r="A301" s="4" t="s">
        <v>1137</v>
      </c>
      <c r="B301" s="4" t="s">
        <v>1134</v>
      </c>
      <c r="C301" s="4" t="s">
        <v>611</v>
      </c>
      <c r="D301" s="4" t="s">
        <v>612</v>
      </c>
      <c r="E301" s="4" t="s">
        <v>627</v>
      </c>
      <c r="F301" s="4" t="s">
        <v>42</v>
      </c>
      <c r="G301" s="4" t="s">
        <v>38</v>
      </c>
      <c r="H301" s="4" t="n">
        <v>1</v>
      </c>
      <c r="I301" s="4" t="s">
        <v>1138</v>
      </c>
      <c r="J301" s="4" t="s">
        <v>40</v>
      </c>
      <c r="K301" s="4" t="s">
        <v>797</v>
      </c>
      <c r="L301" s="4" t="s">
        <v>42</v>
      </c>
      <c r="M301" s="4" t="s">
        <v>43</v>
      </c>
      <c r="N301" s="4" t="s">
        <v>44</v>
      </c>
      <c r="O301" s="4" t="s">
        <v>798</v>
      </c>
      <c r="P301" s="4" t="s">
        <v>46</v>
      </c>
    </row>
    <row r="302" customFormat="false" ht="15" hidden="false" customHeight="false" outlineLevel="0" collapsed="false">
      <c r="A302" s="4" t="s">
        <v>1139</v>
      </c>
      <c r="B302" s="4" t="s">
        <v>1134</v>
      </c>
      <c r="C302" s="4" t="s">
        <v>611</v>
      </c>
      <c r="D302" s="4" t="s">
        <v>612</v>
      </c>
      <c r="E302" s="4" t="s">
        <v>613</v>
      </c>
      <c r="F302" s="4" t="s">
        <v>42</v>
      </c>
      <c r="G302" s="4" t="s">
        <v>38</v>
      </c>
      <c r="H302" s="4" t="n">
        <v>2</v>
      </c>
      <c r="I302" s="4" t="s">
        <v>1140</v>
      </c>
      <c r="J302" s="4" t="s">
        <v>68</v>
      </c>
      <c r="K302" s="4" t="s">
        <v>1141</v>
      </c>
      <c r="L302" s="4" t="s">
        <v>862</v>
      </c>
      <c r="M302" s="4" t="s">
        <v>356</v>
      </c>
      <c r="N302" s="4" t="s">
        <v>863</v>
      </c>
      <c r="O302" s="4"/>
      <c r="P302" s="4" t="s">
        <v>46</v>
      </c>
    </row>
    <row r="303" customFormat="false" ht="15" hidden="false" customHeight="false" outlineLevel="0" collapsed="false">
      <c r="A303" s="4" t="s">
        <v>1142</v>
      </c>
      <c r="B303" s="4" t="s">
        <v>1143</v>
      </c>
      <c r="C303" s="4" t="s">
        <v>611</v>
      </c>
      <c r="D303" s="4" t="s">
        <v>612</v>
      </c>
      <c r="E303" s="4" t="s">
        <v>627</v>
      </c>
      <c r="F303" s="4" t="s">
        <v>42</v>
      </c>
      <c r="G303" s="4" t="s">
        <v>59</v>
      </c>
      <c r="H303" s="4" t="n">
        <v>2</v>
      </c>
      <c r="I303" s="4" t="s">
        <v>573</v>
      </c>
      <c r="J303" s="4" t="s">
        <v>68</v>
      </c>
      <c r="K303" s="4" t="s">
        <v>1144</v>
      </c>
      <c r="L303" s="4" t="s">
        <v>382</v>
      </c>
      <c r="M303" s="4" t="s">
        <v>43</v>
      </c>
      <c r="N303" s="4" t="s">
        <v>44</v>
      </c>
      <c r="O303" s="4" t="s">
        <v>1145</v>
      </c>
      <c r="P303" s="4" t="s">
        <v>46</v>
      </c>
    </row>
    <row r="304" customFormat="false" ht="15" hidden="false" customHeight="false" outlineLevel="0" collapsed="false">
      <c r="A304" s="4" t="s">
        <v>1146</v>
      </c>
      <c r="B304" s="4" t="s">
        <v>1147</v>
      </c>
      <c r="C304" s="4" t="s">
        <v>611</v>
      </c>
      <c r="D304" s="4" t="s">
        <v>612</v>
      </c>
      <c r="E304" s="4" t="s">
        <v>627</v>
      </c>
      <c r="F304" s="4" t="s">
        <v>42</v>
      </c>
      <c r="G304" s="4" t="s">
        <v>38</v>
      </c>
      <c r="H304" s="4" t="n">
        <v>2</v>
      </c>
      <c r="I304" s="4" t="s">
        <v>914</v>
      </c>
      <c r="J304" s="4" t="s">
        <v>40</v>
      </c>
      <c r="K304" s="4" t="s">
        <v>1054</v>
      </c>
      <c r="L304" s="4" t="s">
        <v>42</v>
      </c>
      <c r="M304" s="4" t="s">
        <v>133</v>
      </c>
      <c r="N304" s="4" t="s">
        <v>44</v>
      </c>
      <c r="O304" s="4" t="s">
        <v>1055</v>
      </c>
      <c r="P304" s="4" t="s">
        <v>46</v>
      </c>
    </row>
    <row r="305" customFormat="false" ht="15" hidden="false" customHeight="false" outlineLevel="0" collapsed="false">
      <c r="A305" s="4" t="s">
        <v>1148</v>
      </c>
      <c r="B305" s="4" t="s">
        <v>1147</v>
      </c>
      <c r="C305" s="4" t="s">
        <v>611</v>
      </c>
      <c r="D305" s="4" t="s">
        <v>612</v>
      </c>
      <c r="E305" s="4" t="s">
        <v>627</v>
      </c>
      <c r="F305" s="4" t="s">
        <v>70</v>
      </c>
      <c r="G305" s="4" t="s">
        <v>326</v>
      </c>
      <c r="H305" s="4" t="n">
        <v>1</v>
      </c>
      <c r="I305" s="4" t="s">
        <v>1149</v>
      </c>
      <c r="J305" s="4" t="s">
        <v>40</v>
      </c>
      <c r="K305" s="4" t="s">
        <v>1150</v>
      </c>
      <c r="L305" s="4" t="s">
        <v>909</v>
      </c>
      <c r="M305" s="4" t="s">
        <v>356</v>
      </c>
      <c r="N305" s="4" t="s">
        <v>357</v>
      </c>
      <c r="O305" s="4"/>
      <c r="P305" s="4" t="s">
        <v>46</v>
      </c>
    </row>
    <row r="306" customFormat="false" ht="15" hidden="false" customHeight="false" outlineLevel="0" collapsed="false">
      <c r="A306" s="4" t="s">
        <v>1151</v>
      </c>
      <c r="B306" s="4" t="s">
        <v>1147</v>
      </c>
      <c r="C306" s="4" t="s">
        <v>304</v>
      </c>
      <c r="D306" s="4" t="s">
        <v>305</v>
      </c>
      <c r="E306" s="4" t="s">
        <v>323</v>
      </c>
      <c r="F306" s="4" t="s">
        <v>128</v>
      </c>
      <c r="G306" s="4" t="s">
        <v>326</v>
      </c>
      <c r="H306" s="4" t="n">
        <v>2</v>
      </c>
      <c r="I306" s="4" t="s">
        <v>453</v>
      </c>
      <c r="J306" s="4" t="s">
        <v>40</v>
      </c>
      <c r="K306" s="4" t="s">
        <v>1152</v>
      </c>
      <c r="L306" s="4" t="s">
        <v>480</v>
      </c>
      <c r="M306" s="4" t="s">
        <v>43</v>
      </c>
      <c r="N306" s="4" t="s">
        <v>44</v>
      </c>
      <c r="O306" s="4" t="s">
        <v>1153</v>
      </c>
      <c r="P306" s="4" t="s">
        <v>46</v>
      </c>
    </row>
    <row r="307" customFormat="false" ht="15" hidden="false" customHeight="false" outlineLevel="0" collapsed="false">
      <c r="A307" s="4" t="s">
        <v>1154</v>
      </c>
      <c r="B307" s="4" t="s">
        <v>1155</v>
      </c>
      <c r="C307" s="4" t="s">
        <v>304</v>
      </c>
      <c r="D307" s="4" t="s">
        <v>305</v>
      </c>
      <c r="E307" s="4" t="s">
        <v>306</v>
      </c>
      <c r="F307" s="4" t="s">
        <v>42</v>
      </c>
      <c r="G307" s="4" t="s">
        <v>59</v>
      </c>
      <c r="H307" s="4" t="n">
        <v>1</v>
      </c>
      <c r="I307" s="4" t="s">
        <v>362</v>
      </c>
      <c r="J307" s="4" t="s">
        <v>40</v>
      </c>
      <c r="K307" s="4" t="s">
        <v>1077</v>
      </c>
      <c r="L307" s="4" t="s">
        <v>42</v>
      </c>
      <c r="M307" s="4" t="s">
        <v>133</v>
      </c>
      <c r="N307" s="4" t="s">
        <v>44</v>
      </c>
      <c r="O307" s="4" t="s">
        <v>1078</v>
      </c>
      <c r="P307" s="4" t="s">
        <v>46</v>
      </c>
    </row>
    <row r="308" customFormat="false" ht="15" hidden="false" customHeight="false" outlineLevel="0" collapsed="false">
      <c r="A308" s="4" t="s">
        <v>1156</v>
      </c>
      <c r="B308" s="4" t="s">
        <v>1157</v>
      </c>
      <c r="C308" s="4" t="s">
        <v>304</v>
      </c>
      <c r="D308" s="4" t="s">
        <v>305</v>
      </c>
      <c r="E308" s="4" t="s">
        <v>306</v>
      </c>
      <c r="F308" s="4" t="s">
        <v>37</v>
      </c>
      <c r="G308" s="4" t="s">
        <v>38</v>
      </c>
      <c r="H308" s="4" t="n">
        <v>2</v>
      </c>
      <c r="I308" s="4" t="s">
        <v>1014</v>
      </c>
      <c r="J308" s="4" t="s">
        <v>68</v>
      </c>
      <c r="K308" s="4" t="s">
        <v>1158</v>
      </c>
      <c r="L308" s="4" t="s">
        <v>42</v>
      </c>
      <c r="M308" s="4" t="s">
        <v>43</v>
      </c>
      <c r="N308" s="4" t="s">
        <v>94</v>
      </c>
      <c r="O308" s="4" t="s">
        <v>1159</v>
      </c>
      <c r="P308" s="4" t="s">
        <v>46</v>
      </c>
    </row>
    <row r="309" customFormat="false" ht="15" hidden="false" customHeight="false" outlineLevel="0" collapsed="false">
      <c r="A309" s="4" t="s">
        <v>1160</v>
      </c>
      <c r="B309" s="4" t="s">
        <v>1157</v>
      </c>
      <c r="C309" s="4" t="s">
        <v>1161</v>
      </c>
      <c r="D309" s="4" t="s">
        <v>35</v>
      </c>
      <c r="E309" s="4" t="s">
        <v>36</v>
      </c>
      <c r="F309" s="4" t="s">
        <v>42</v>
      </c>
      <c r="G309" s="4" t="s">
        <v>38</v>
      </c>
      <c r="H309" s="4" t="n">
        <v>1</v>
      </c>
      <c r="I309" s="4" t="s">
        <v>50</v>
      </c>
      <c r="J309" s="4" t="s">
        <v>68</v>
      </c>
      <c r="K309" s="4" t="s">
        <v>702</v>
      </c>
      <c r="L309" s="4" t="s">
        <v>42</v>
      </c>
      <c r="M309" s="4" t="s">
        <v>43</v>
      </c>
      <c r="N309" s="4" t="s">
        <v>44</v>
      </c>
      <c r="O309" s="4" t="s">
        <v>703</v>
      </c>
      <c r="P309" s="4" t="s">
        <v>46</v>
      </c>
    </row>
    <row r="310" customFormat="false" ht="15" hidden="false" customHeight="false" outlineLevel="0" collapsed="false">
      <c r="A310" s="4" t="s">
        <v>1162</v>
      </c>
      <c r="B310" s="4" t="s">
        <v>1161</v>
      </c>
      <c r="C310" s="4" t="s">
        <v>1163</v>
      </c>
      <c r="D310" s="4" t="s">
        <v>35</v>
      </c>
      <c r="E310" s="4" t="s">
        <v>36</v>
      </c>
      <c r="F310" s="4" t="s">
        <v>42</v>
      </c>
      <c r="G310" s="4" t="s">
        <v>38</v>
      </c>
      <c r="H310" s="4" t="n">
        <v>2</v>
      </c>
      <c r="I310" s="4" t="s">
        <v>240</v>
      </c>
      <c r="J310" s="4" t="s">
        <v>81</v>
      </c>
      <c r="K310" s="4" t="s">
        <v>491</v>
      </c>
      <c r="L310" s="4" t="s">
        <v>42</v>
      </c>
      <c r="M310" s="4" t="s">
        <v>43</v>
      </c>
      <c r="N310" s="4" t="s">
        <v>185</v>
      </c>
      <c r="O310" s="4" t="s">
        <v>492</v>
      </c>
      <c r="P310" s="4" t="s">
        <v>46</v>
      </c>
    </row>
    <row r="311" customFormat="false" ht="15" hidden="false" customHeight="false" outlineLevel="0" collapsed="false">
      <c r="A311" s="4" t="s">
        <v>1164</v>
      </c>
      <c r="B311" s="4" t="s">
        <v>1165</v>
      </c>
      <c r="C311" s="4" t="s">
        <v>611</v>
      </c>
      <c r="D311" s="4" t="s">
        <v>612</v>
      </c>
      <c r="E311" s="4" t="s">
        <v>649</v>
      </c>
      <c r="F311" s="4" t="s">
        <v>42</v>
      </c>
      <c r="G311" s="4" t="s">
        <v>38</v>
      </c>
      <c r="H311" s="4" t="n">
        <v>2</v>
      </c>
      <c r="I311" s="4" t="s">
        <v>1166</v>
      </c>
      <c r="J311" s="4" t="s">
        <v>40</v>
      </c>
      <c r="K311" s="4" t="s">
        <v>1167</v>
      </c>
      <c r="L311" s="4" t="s">
        <v>42</v>
      </c>
      <c r="M311" s="4" t="s">
        <v>43</v>
      </c>
      <c r="N311" s="4" t="s">
        <v>94</v>
      </c>
      <c r="O311" s="4" t="s">
        <v>1168</v>
      </c>
      <c r="P311" s="4" t="s">
        <v>46</v>
      </c>
    </row>
    <row r="312" customFormat="false" ht="15" hidden="false" customHeight="false" outlineLevel="0" collapsed="false">
      <c r="A312" s="4" t="s">
        <v>1169</v>
      </c>
      <c r="B312" s="4" t="s">
        <v>1165</v>
      </c>
      <c r="C312" s="4" t="s">
        <v>304</v>
      </c>
      <c r="D312" s="4" t="s">
        <v>305</v>
      </c>
      <c r="E312" s="4" t="s">
        <v>306</v>
      </c>
      <c r="F312" s="4" t="s">
        <v>70</v>
      </c>
      <c r="G312" s="4" t="s">
        <v>59</v>
      </c>
      <c r="H312" s="4" t="n">
        <v>2</v>
      </c>
      <c r="I312" s="4" t="s">
        <v>1170</v>
      </c>
      <c r="J312" s="4" t="s">
        <v>149</v>
      </c>
      <c r="K312" s="4" t="s">
        <v>1171</v>
      </c>
      <c r="L312" s="4" t="s">
        <v>1172</v>
      </c>
      <c r="M312" s="4" t="s">
        <v>377</v>
      </c>
      <c r="N312" s="4" t="s">
        <v>44</v>
      </c>
      <c r="O312" s="4" t="s">
        <v>1173</v>
      </c>
      <c r="P312" s="4" t="s">
        <v>46</v>
      </c>
    </row>
    <row r="313" customFormat="false" ht="15" hidden="false" customHeight="false" outlineLevel="0" collapsed="false">
      <c r="A313" s="4" t="s">
        <v>1174</v>
      </c>
      <c r="B313" s="4" t="s">
        <v>1163</v>
      </c>
      <c r="C313" s="4" t="s">
        <v>611</v>
      </c>
      <c r="D313" s="4" t="s">
        <v>612</v>
      </c>
      <c r="E313" s="4" t="s">
        <v>618</v>
      </c>
      <c r="F313" s="4" t="s">
        <v>42</v>
      </c>
      <c r="G313" s="4" t="s">
        <v>38</v>
      </c>
      <c r="H313" s="4" t="n">
        <v>2</v>
      </c>
      <c r="I313" s="4" t="s">
        <v>982</v>
      </c>
      <c r="J313" s="4" t="s">
        <v>40</v>
      </c>
      <c r="K313" s="4" t="s">
        <v>1175</v>
      </c>
      <c r="L313" s="4" t="s">
        <v>42</v>
      </c>
      <c r="M313" s="4" t="s">
        <v>43</v>
      </c>
      <c r="N313" s="4" t="s">
        <v>44</v>
      </c>
      <c r="O313" s="4" t="s">
        <v>1176</v>
      </c>
      <c r="P313" s="4" t="s">
        <v>46</v>
      </c>
    </row>
    <row r="314" customFormat="false" ht="15" hidden="false" customHeight="false" outlineLevel="0" collapsed="false">
      <c r="A314" s="4" t="s">
        <v>1177</v>
      </c>
      <c r="B314" s="4" t="s">
        <v>1163</v>
      </c>
      <c r="C314" s="4" t="s">
        <v>304</v>
      </c>
      <c r="D314" s="4" t="s">
        <v>305</v>
      </c>
      <c r="E314" s="4" t="s">
        <v>311</v>
      </c>
      <c r="F314" s="4" t="s">
        <v>128</v>
      </c>
      <c r="G314" s="4" t="s">
        <v>59</v>
      </c>
      <c r="H314" s="4" t="n">
        <v>3</v>
      </c>
      <c r="I314" s="4" t="s">
        <v>415</v>
      </c>
      <c r="J314" s="4" t="s">
        <v>40</v>
      </c>
      <c r="K314" s="4" t="s">
        <v>1178</v>
      </c>
      <c r="L314" s="4" t="s">
        <v>596</v>
      </c>
      <c r="M314" s="4" t="s">
        <v>695</v>
      </c>
      <c r="N314" s="4" t="s">
        <v>44</v>
      </c>
      <c r="O314" s="4" t="s">
        <v>1179</v>
      </c>
      <c r="P314" s="4" t="s">
        <v>46</v>
      </c>
    </row>
    <row r="315" customFormat="false" ht="15" hidden="false" customHeight="false" outlineLevel="0" collapsed="false">
      <c r="A315" s="4" t="s">
        <v>1180</v>
      </c>
      <c r="B315" s="4" t="s">
        <v>1163</v>
      </c>
      <c r="C315" s="4" t="s">
        <v>1181</v>
      </c>
      <c r="D315" s="4" t="s">
        <v>35</v>
      </c>
      <c r="E315" s="4" t="s">
        <v>36</v>
      </c>
      <c r="F315" s="4" t="s">
        <v>42</v>
      </c>
      <c r="G315" s="4" t="s">
        <v>38</v>
      </c>
      <c r="H315" s="4" t="n">
        <v>3</v>
      </c>
      <c r="I315" s="4" t="s">
        <v>39</v>
      </c>
      <c r="J315" s="4" t="s">
        <v>40</v>
      </c>
      <c r="K315" s="4" t="s">
        <v>144</v>
      </c>
      <c r="L315" s="4" t="s">
        <v>42</v>
      </c>
      <c r="M315" s="4" t="s">
        <v>43</v>
      </c>
      <c r="N315" s="4" t="s">
        <v>44</v>
      </c>
      <c r="O315" s="4" t="s">
        <v>145</v>
      </c>
      <c r="P315" s="4" t="s">
        <v>46</v>
      </c>
    </row>
    <row r="316" customFormat="false" ht="15" hidden="false" customHeight="false" outlineLevel="0" collapsed="false">
      <c r="A316" s="4" t="s">
        <v>1182</v>
      </c>
      <c r="B316" s="4" t="s">
        <v>1181</v>
      </c>
      <c r="C316" s="4" t="s">
        <v>611</v>
      </c>
      <c r="D316" s="4" t="s">
        <v>612</v>
      </c>
      <c r="E316" s="4" t="s">
        <v>627</v>
      </c>
      <c r="F316" s="4" t="s">
        <v>70</v>
      </c>
      <c r="G316" s="4" t="s">
        <v>326</v>
      </c>
      <c r="H316" s="4" t="n">
        <v>2</v>
      </c>
      <c r="I316" s="4" t="s">
        <v>1183</v>
      </c>
      <c r="J316" s="4" t="s">
        <v>81</v>
      </c>
      <c r="K316" s="4" t="s">
        <v>1184</v>
      </c>
      <c r="L316" s="4" t="s">
        <v>480</v>
      </c>
      <c r="M316" s="4" t="s">
        <v>43</v>
      </c>
      <c r="N316" s="4" t="s">
        <v>94</v>
      </c>
      <c r="O316" s="4" t="s">
        <v>1185</v>
      </c>
      <c r="P316" s="4" t="s">
        <v>46</v>
      </c>
    </row>
    <row r="317" customFormat="false" ht="15" hidden="false" customHeight="false" outlineLevel="0" collapsed="false">
      <c r="A317" s="4" t="s">
        <v>1186</v>
      </c>
      <c r="B317" s="4" t="s">
        <v>1181</v>
      </c>
      <c r="C317" s="4" t="s">
        <v>304</v>
      </c>
      <c r="D317" s="4" t="s">
        <v>305</v>
      </c>
      <c r="E317" s="4" t="s">
        <v>311</v>
      </c>
      <c r="F317" s="4" t="s">
        <v>58</v>
      </c>
      <c r="G317" s="4" t="s">
        <v>59</v>
      </c>
      <c r="H317" s="4" t="n">
        <v>2</v>
      </c>
      <c r="I317" s="4" t="s">
        <v>1187</v>
      </c>
      <c r="J317" s="4" t="s">
        <v>40</v>
      </c>
      <c r="K317" s="4" t="s">
        <v>257</v>
      </c>
      <c r="L317" s="4" t="s">
        <v>58</v>
      </c>
      <c r="M317" s="4" t="s">
        <v>43</v>
      </c>
      <c r="N317" s="4" t="s">
        <v>44</v>
      </c>
      <c r="O317" s="4" t="s">
        <v>258</v>
      </c>
      <c r="P317" s="4" t="s">
        <v>46</v>
      </c>
    </row>
    <row r="318" customFormat="false" ht="15" hidden="false" customHeight="false" outlineLevel="0" collapsed="false">
      <c r="A318" s="4" t="s">
        <v>1188</v>
      </c>
      <c r="B318" s="4" t="s">
        <v>1181</v>
      </c>
      <c r="C318" s="4" t="s">
        <v>1181</v>
      </c>
      <c r="D318" s="4" t="s">
        <v>35</v>
      </c>
      <c r="E318" s="4" t="s">
        <v>36</v>
      </c>
      <c r="F318" s="4" t="s">
        <v>42</v>
      </c>
      <c r="G318" s="4" t="s">
        <v>38</v>
      </c>
      <c r="H318" s="4" t="n">
        <v>1</v>
      </c>
      <c r="I318" s="4" t="s">
        <v>50</v>
      </c>
      <c r="J318" s="4" t="s">
        <v>68</v>
      </c>
      <c r="K318" s="4" t="s">
        <v>261</v>
      </c>
      <c r="L318" s="4" t="s">
        <v>42</v>
      </c>
      <c r="M318" s="4" t="s">
        <v>43</v>
      </c>
      <c r="N318" s="4" t="s">
        <v>44</v>
      </c>
      <c r="O318" s="4" t="s">
        <v>262</v>
      </c>
      <c r="P318" s="4" t="s">
        <v>46</v>
      </c>
    </row>
    <row r="319" customFormat="false" ht="15" hidden="false" customHeight="false" outlineLevel="0" collapsed="false">
      <c r="A319" s="4" t="s">
        <v>1189</v>
      </c>
      <c r="B319" s="4" t="s">
        <v>1190</v>
      </c>
      <c r="C319" s="4" t="s">
        <v>611</v>
      </c>
      <c r="D319" s="4" t="s">
        <v>612</v>
      </c>
      <c r="E319" s="4" t="s">
        <v>618</v>
      </c>
      <c r="F319" s="4" t="s">
        <v>70</v>
      </c>
      <c r="G319" s="4" t="s">
        <v>38</v>
      </c>
      <c r="H319" s="4" t="n">
        <v>1</v>
      </c>
      <c r="I319" s="4" t="s">
        <v>623</v>
      </c>
      <c r="J319" s="4" t="s">
        <v>40</v>
      </c>
      <c r="K319" s="4" t="s">
        <v>1191</v>
      </c>
      <c r="L319" s="4" t="s">
        <v>382</v>
      </c>
      <c r="M319" s="4" t="s">
        <v>43</v>
      </c>
      <c r="N319" s="4" t="s">
        <v>94</v>
      </c>
      <c r="O319" s="4" t="s">
        <v>1192</v>
      </c>
      <c r="P319" s="4" t="s">
        <v>46</v>
      </c>
    </row>
    <row r="320" customFormat="false" ht="15" hidden="false" customHeight="false" outlineLevel="0" collapsed="false">
      <c r="A320" s="4" t="s">
        <v>1193</v>
      </c>
      <c r="B320" s="4" t="s">
        <v>1190</v>
      </c>
      <c r="C320" s="4" t="s">
        <v>304</v>
      </c>
      <c r="D320" s="4" t="s">
        <v>305</v>
      </c>
      <c r="E320" s="4" t="s">
        <v>311</v>
      </c>
      <c r="F320" s="4" t="s">
        <v>42</v>
      </c>
      <c r="G320" s="4" t="s">
        <v>38</v>
      </c>
      <c r="H320" s="4" t="n">
        <v>1</v>
      </c>
      <c r="I320" s="4" t="s">
        <v>1000</v>
      </c>
      <c r="J320" s="4" t="s">
        <v>68</v>
      </c>
      <c r="K320" s="4" t="s">
        <v>179</v>
      </c>
      <c r="L320" s="4" t="s">
        <v>42</v>
      </c>
      <c r="M320" s="4" t="s">
        <v>43</v>
      </c>
      <c r="N320" s="4" t="s">
        <v>44</v>
      </c>
      <c r="O320" s="4" t="s">
        <v>180</v>
      </c>
      <c r="P320" s="4" t="s">
        <v>46</v>
      </c>
    </row>
    <row r="321" customFormat="false" ht="15" hidden="false" customHeight="false" outlineLevel="0" collapsed="false">
      <c r="A321" s="4" t="s">
        <v>1194</v>
      </c>
      <c r="B321" s="4" t="s">
        <v>1195</v>
      </c>
      <c r="C321" s="4" t="s">
        <v>611</v>
      </c>
      <c r="D321" s="4" t="s">
        <v>612</v>
      </c>
      <c r="E321" s="4" t="s">
        <v>627</v>
      </c>
      <c r="F321" s="4" t="s">
        <v>70</v>
      </c>
      <c r="G321" s="4" t="s">
        <v>38</v>
      </c>
      <c r="H321" s="4" t="n">
        <v>2</v>
      </c>
      <c r="I321" s="4" t="s">
        <v>1196</v>
      </c>
      <c r="J321" s="4" t="s">
        <v>40</v>
      </c>
      <c r="K321" s="4" t="s">
        <v>1197</v>
      </c>
      <c r="L321" s="4" t="s">
        <v>382</v>
      </c>
      <c r="M321" s="4" t="s">
        <v>43</v>
      </c>
      <c r="N321" s="4" t="s">
        <v>44</v>
      </c>
      <c r="O321" s="4" t="s">
        <v>1198</v>
      </c>
      <c r="P321" s="4" t="s">
        <v>46</v>
      </c>
    </row>
    <row r="322" customFormat="false" ht="15" hidden="false" customHeight="false" outlineLevel="0" collapsed="false">
      <c r="A322" s="4" t="s">
        <v>1199</v>
      </c>
      <c r="B322" s="4" t="s">
        <v>1195</v>
      </c>
      <c r="C322" s="4" t="s">
        <v>611</v>
      </c>
      <c r="D322" s="4" t="s">
        <v>612</v>
      </c>
      <c r="E322" s="4" t="s">
        <v>627</v>
      </c>
      <c r="F322" s="4" t="s">
        <v>58</v>
      </c>
      <c r="G322" s="4" t="s">
        <v>38</v>
      </c>
      <c r="H322" s="4" t="n">
        <v>1</v>
      </c>
      <c r="I322" s="4" t="s">
        <v>731</v>
      </c>
      <c r="J322" s="4" t="s">
        <v>81</v>
      </c>
      <c r="K322" s="4" t="s">
        <v>1200</v>
      </c>
      <c r="L322" s="4" t="s">
        <v>219</v>
      </c>
      <c r="M322" s="4" t="s">
        <v>356</v>
      </c>
      <c r="N322" s="4" t="s">
        <v>221</v>
      </c>
      <c r="O322" s="4"/>
      <c r="P322" s="4" t="s">
        <v>46</v>
      </c>
    </row>
    <row r="323" customFormat="false" ht="15" hidden="false" customHeight="false" outlineLevel="0" collapsed="false">
      <c r="A323" s="4" t="s">
        <v>1201</v>
      </c>
      <c r="B323" s="4" t="s">
        <v>1195</v>
      </c>
      <c r="C323" s="4" t="s">
        <v>1195</v>
      </c>
      <c r="D323" s="4" t="s">
        <v>35</v>
      </c>
      <c r="E323" s="4" t="s">
        <v>66</v>
      </c>
      <c r="F323" s="4" t="s">
        <v>42</v>
      </c>
      <c r="G323" s="4" t="s">
        <v>59</v>
      </c>
      <c r="H323" s="4" t="n">
        <v>1</v>
      </c>
      <c r="I323" s="4" t="s">
        <v>75</v>
      </c>
      <c r="J323" s="4" t="s">
        <v>149</v>
      </c>
      <c r="K323" s="4" t="s">
        <v>1202</v>
      </c>
      <c r="L323" s="4" t="s">
        <v>42</v>
      </c>
      <c r="M323" s="4" t="s">
        <v>43</v>
      </c>
      <c r="N323" s="4" t="s">
        <v>44</v>
      </c>
      <c r="O323" s="4" t="s">
        <v>1203</v>
      </c>
      <c r="P323" s="4" t="s">
        <v>46</v>
      </c>
    </row>
    <row r="324" customFormat="false" ht="15" hidden="false" customHeight="false" outlineLevel="0" collapsed="false">
      <c r="A324" s="4" t="s">
        <v>1204</v>
      </c>
      <c r="B324" s="4" t="s">
        <v>1205</v>
      </c>
      <c r="C324" s="4" t="s">
        <v>611</v>
      </c>
      <c r="D324" s="4" t="s">
        <v>612</v>
      </c>
      <c r="E324" s="4" t="s">
        <v>627</v>
      </c>
      <c r="F324" s="4" t="s">
        <v>70</v>
      </c>
      <c r="G324" s="4" t="s">
        <v>59</v>
      </c>
      <c r="H324" s="4" t="n">
        <v>2</v>
      </c>
      <c r="I324" s="4" t="s">
        <v>1000</v>
      </c>
      <c r="J324" s="4" t="s">
        <v>40</v>
      </c>
      <c r="K324" s="4" t="s">
        <v>129</v>
      </c>
      <c r="L324" s="4" t="s">
        <v>42</v>
      </c>
      <c r="M324" s="4" t="s">
        <v>43</v>
      </c>
      <c r="N324" s="4" t="s">
        <v>44</v>
      </c>
      <c r="O324" s="4" t="s">
        <v>130</v>
      </c>
      <c r="P324" s="4" t="s">
        <v>46</v>
      </c>
    </row>
    <row r="325" customFormat="false" ht="15" hidden="false" customHeight="false" outlineLevel="0" collapsed="false">
      <c r="A325" s="4" t="s">
        <v>1206</v>
      </c>
      <c r="B325" s="4" t="s">
        <v>1207</v>
      </c>
      <c r="C325" s="4" t="s">
        <v>304</v>
      </c>
      <c r="D325" s="4" t="s">
        <v>305</v>
      </c>
      <c r="E325" s="4" t="s">
        <v>306</v>
      </c>
      <c r="F325" s="4" t="s">
        <v>42</v>
      </c>
      <c r="G325" s="4" t="s">
        <v>38</v>
      </c>
      <c r="H325" s="4" t="n">
        <v>2</v>
      </c>
      <c r="I325" s="4" t="s">
        <v>474</v>
      </c>
      <c r="J325" s="4" t="s">
        <v>68</v>
      </c>
      <c r="K325" s="4" t="s">
        <v>129</v>
      </c>
      <c r="L325" s="4" t="s">
        <v>42</v>
      </c>
      <c r="M325" s="4" t="s">
        <v>43</v>
      </c>
      <c r="N325" s="4" t="s">
        <v>44</v>
      </c>
      <c r="O325" s="4" t="s">
        <v>130</v>
      </c>
      <c r="P325" s="4" t="s">
        <v>46</v>
      </c>
    </row>
    <row r="326" customFormat="false" ht="15" hidden="false" customHeight="false" outlineLevel="0" collapsed="false">
      <c r="A326" s="4" t="s">
        <v>1208</v>
      </c>
      <c r="B326" s="4" t="s">
        <v>1209</v>
      </c>
      <c r="C326" s="4" t="s">
        <v>611</v>
      </c>
      <c r="D326" s="4" t="s">
        <v>612</v>
      </c>
      <c r="E326" s="4" t="s">
        <v>627</v>
      </c>
      <c r="F326" s="4" t="s">
        <v>42</v>
      </c>
      <c r="G326" s="4" t="s">
        <v>59</v>
      </c>
      <c r="H326" s="4" t="n">
        <v>1</v>
      </c>
      <c r="I326" s="4" t="s">
        <v>628</v>
      </c>
      <c r="J326" s="4" t="s">
        <v>40</v>
      </c>
      <c r="K326" s="4" t="s">
        <v>1210</v>
      </c>
      <c r="L326" s="4" t="s">
        <v>1211</v>
      </c>
      <c r="M326" s="4" t="s">
        <v>635</v>
      </c>
      <c r="N326" s="4" t="s">
        <v>44</v>
      </c>
      <c r="O326" s="4" t="s">
        <v>1212</v>
      </c>
      <c r="P326" s="4" t="s">
        <v>46</v>
      </c>
    </row>
    <row r="327" customFormat="false" ht="15" hidden="false" customHeight="false" outlineLevel="0" collapsed="false">
      <c r="A327" s="4" t="s">
        <v>1213</v>
      </c>
      <c r="B327" s="4" t="s">
        <v>1214</v>
      </c>
      <c r="C327" s="4" t="s">
        <v>611</v>
      </c>
      <c r="D327" s="4" t="s">
        <v>612</v>
      </c>
      <c r="E327" s="4" t="s">
        <v>627</v>
      </c>
      <c r="F327" s="4" t="s">
        <v>58</v>
      </c>
      <c r="G327" s="4" t="s">
        <v>38</v>
      </c>
      <c r="H327" s="4" t="n">
        <v>3</v>
      </c>
      <c r="I327" s="4" t="s">
        <v>1034</v>
      </c>
      <c r="J327" s="4" t="s">
        <v>40</v>
      </c>
      <c r="K327" s="4" t="s">
        <v>1215</v>
      </c>
      <c r="L327" s="4" t="s">
        <v>382</v>
      </c>
      <c r="M327" s="4" t="s">
        <v>43</v>
      </c>
      <c r="N327" s="4" t="s">
        <v>44</v>
      </c>
      <c r="O327" s="4" t="s">
        <v>1216</v>
      </c>
      <c r="P327" s="4" t="s">
        <v>46</v>
      </c>
    </row>
    <row r="328" customFormat="false" ht="15" hidden="false" customHeight="false" outlineLevel="0" collapsed="false">
      <c r="A328" s="4" t="s">
        <v>1217</v>
      </c>
      <c r="B328" s="4" t="s">
        <v>1214</v>
      </c>
      <c r="C328" s="4" t="s">
        <v>611</v>
      </c>
      <c r="D328" s="4" t="s">
        <v>612</v>
      </c>
      <c r="E328" s="4" t="s">
        <v>627</v>
      </c>
      <c r="F328" s="4" t="s">
        <v>128</v>
      </c>
      <c r="G328" s="4" t="s">
        <v>38</v>
      </c>
      <c r="H328" s="4" t="n">
        <v>3</v>
      </c>
      <c r="I328" s="4" t="s">
        <v>645</v>
      </c>
      <c r="J328" s="4" t="s">
        <v>40</v>
      </c>
      <c r="K328" s="4" t="s">
        <v>1218</v>
      </c>
      <c r="L328" s="4" t="s">
        <v>571</v>
      </c>
      <c r="M328" s="4" t="s">
        <v>356</v>
      </c>
      <c r="N328" s="4" t="s">
        <v>357</v>
      </c>
      <c r="O328" s="4"/>
      <c r="P328" s="4" t="s">
        <v>46</v>
      </c>
    </row>
    <row r="329" customFormat="false" ht="15" hidden="false" customHeight="false" outlineLevel="0" collapsed="false">
      <c r="A329" s="4" t="s">
        <v>1219</v>
      </c>
      <c r="B329" s="4" t="s">
        <v>1214</v>
      </c>
      <c r="C329" s="4" t="s">
        <v>304</v>
      </c>
      <c r="D329" s="4" t="s">
        <v>305</v>
      </c>
      <c r="E329" s="4" t="s">
        <v>311</v>
      </c>
      <c r="F329" s="4" t="s">
        <v>70</v>
      </c>
      <c r="G329" s="4" t="s">
        <v>59</v>
      </c>
      <c r="H329" s="4" t="n">
        <v>1</v>
      </c>
      <c r="I329" s="4" t="s">
        <v>1220</v>
      </c>
      <c r="J329" s="4" t="s">
        <v>68</v>
      </c>
      <c r="K329" s="4" t="s">
        <v>157</v>
      </c>
      <c r="L329" s="4" t="s">
        <v>42</v>
      </c>
      <c r="M329" s="4" t="s">
        <v>133</v>
      </c>
      <c r="N329" s="4" t="s">
        <v>44</v>
      </c>
      <c r="O329" s="4" t="s">
        <v>158</v>
      </c>
      <c r="P329" s="4" t="s">
        <v>46</v>
      </c>
    </row>
    <row r="330" customFormat="false" ht="15" hidden="false" customHeight="false" outlineLevel="0" collapsed="false">
      <c r="A330" s="4" t="s">
        <v>1221</v>
      </c>
      <c r="B330" s="4" t="s">
        <v>1222</v>
      </c>
      <c r="C330" s="4" t="s">
        <v>304</v>
      </c>
      <c r="D330" s="4" t="s">
        <v>305</v>
      </c>
      <c r="E330" s="4" t="s">
        <v>306</v>
      </c>
      <c r="F330" s="4" t="s">
        <v>128</v>
      </c>
      <c r="G330" s="4" t="s">
        <v>38</v>
      </c>
      <c r="H330" s="4" t="n">
        <v>3</v>
      </c>
      <c r="I330" s="4" t="s">
        <v>623</v>
      </c>
      <c r="J330" s="4" t="s">
        <v>40</v>
      </c>
      <c r="K330" s="4" t="s">
        <v>491</v>
      </c>
      <c r="L330" s="4" t="s">
        <v>42</v>
      </c>
      <c r="M330" s="4" t="s">
        <v>43</v>
      </c>
      <c r="N330" s="4" t="s">
        <v>185</v>
      </c>
      <c r="O330" s="4" t="s">
        <v>492</v>
      </c>
      <c r="P330" s="4" t="s">
        <v>46</v>
      </c>
    </row>
    <row r="331" customFormat="false" ht="15" hidden="false" customHeight="false" outlineLevel="0" collapsed="false">
      <c r="A331" s="4" t="s">
        <v>1223</v>
      </c>
      <c r="B331" s="4" t="s">
        <v>1224</v>
      </c>
      <c r="C331" s="4" t="s">
        <v>611</v>
      </c>
      <c r="D331" s="4" t="s">
        <v>612</v>
      </c>
      <c r="E331" s="4" t="s">
        <v>761</v>
      </c>
      <c r="F331" s="4" t="s">
        <v>128</v>
      </c>
      <c r="G331" s="4" t="s">
        <v>59</v>
      </c>
      <c r="H331" s="4" t="n">
        <v>2</v>
      </c>
      <c r="I331" s="4" t="s">
        <v>540</v>
      </c>
      <c r="J331" s="4" t="s">
        <v>40</v>
      </c>
      <c r="K331" s="4" t="s">
        <v>658</v>
      </c>
      <c r="L331" s="4" t="s">
        <v>168</v>
      </c>
      <c r="M331" s="4" t="s">
        <v>43</v>
      </c>
      <c r="N331" s="4" t="s">
        <v>94</v>
      </c>
      <c r="O331" s="4" t="s">
        <v>659</v>
      </c>
      <c r="P331" s="4" t="s">
        <v>46</v>
      </c>
    </row>
    <row r="332" customFormat="false" ht="15" hidden="false" customHeight="false" outlineLevel="0" collapsed="false">
      <c r="A332" s="4" t="s">
        <v>1225</v>
      </c>
      <c r="B332" s="4" t="s">
        <v>1224</v>
      </c>
      <c r="C332" s="4" t="s">
        <v>611</v>
      </c>
      <c r="D332" s="4" t="s">
        <v>612</v>
      </c>
      <c r="E332" s="4" t="s">
        <v>627</v>
      </c>
      <c r="F332" s="4" t="s">
        <v>70</v>
      </c>
      <c r="G332" s="4" t="s">
        <v>59</v>
      </c>
      <c r="H332" s="4" t="n">
        <v>2</v>
      </c>
      <c r="I332" s="4" t="s">
        <v>753</v>
      </c>
      <c r="J332" s="4" t="s">
        <v>81</v>
      </c>
      <c r="K332" s="4" t="s">
        <v>974</v>
      </c>
      <c r="L332" s="4" t="s">
        <v>382</v>
      </c>
      <c r="M332" s="4" t="s">
        <v>43</v>
      </c>
      <c r="N332" s="4" t="s">
        <v>44</v>
      </c>
      <c r="O332" s="4" t="s">
        <v>975</v>
      </c>
      <c r="P332" s="4" t="s">
        <v>46</v>
      </c>
    </row>
    <row r="333" customFormat="false" ht="15" hidden="false" customHeight="false" outlineLevel="0" collapsed="false">
      <c r="A333" s="4" t="s">
        <v>1226</v>
      </c>
      <c r="B333" s="4" t="s">
        <v>1224</v>
      </c>
      <c r="C333" s="4" t="s">
        <v>304</v>
      </c>
      <c r="D333" s="4" t="s">
        <v>305</v>
      </c>
      <c r="E333" s="4" t="s">
        <v>306</v>
      </c>
      <c r="F333" s="4" t="s">
        <v>128</v>
      </c>
      <c r="G333" s="4" t="s">
        <v>38</v>
      </c>
      <c r="H333" s="4" t="n">
        <v>3</v>
      </c>
      <c r="I333" s="4" t="s">
        <v>692</v>
      </c>
      <c r="J333" s="4" t="s">
        <v>68</v>
      </c>
      <c r="K333" s="4" t="s">
        <v>1227</v>
      </c>
      <c r="L333" s="4" t="s">
        <v>596</v>
      </c>
      <c r="M333" s="4" t="s">
        <v>695</v>
      </c>
      <c r="N333" s="4" t="s">
        <v>44</v>
      </c>
      <c r="O333" s="4" t="s">
        <v>1228</v>
      </c>
      <c r="P333" s="4" t="s">
        <v>46</v>
      </c>
    </row>
    <row r="334" customFormat="false" ht="15" hidden="false" customHeight="false" outlineLevel="0" collapsed="false">
      <c r="A334" s="4" t="s">
        <v>1229</v>
      </c>
      <c r="B334" s="4" t="s">
        <v>1224</v>
      </c>
      <c r="C334" s="4" t="s">
        <v>304</v>
      </c>
      <c r="D334" s="4" t="s">
        <v>305</v>
      </c>
      <c r="E334" s="4" t="s">
        <v>306</v>
      </c>
      <c r="F334" s="4" t="s">
        <v>42</v>
      </c>
      <c r="G334" s="4" t="s">
        <v>38</v>
      </c>
      <c r="H334" s="4" t="n">
        <v>3</v>
      </c>
      <c r="I334" s="4" t="s">
        <v>1027</v>
      </c>
      <c r="J334" s="4" t="s">
        <v>40</v>
      </c>
      <c r="K334" s="4" t="s">
        <v>1230</v>
      </c>
      <c r="L334" s="4" t="s">
        <v>42</v>
      </c>
      <c r="M334" s="4" t="s">
        <v>43</v>
      </c>
      <c r="N334" s="4" t="s">
        <v>185</v>
      </c>
      <c r="O334" s="4" t="s">
        <v>1231</v>
      </c>
      <c r="P334" s="4" t="s">
        <v>46</v>
      </c>
    </row>
    <row r="335" customFormat="false" ht="15" hidden="false" customHeight="false" outlineLevel="0" collapsed="false">
      <c r="A335" s="4" t="s">
        <v>1232</v>
      </c>
      <c r="B335" s="4" t="s">
        <v>1224</v>
      </c>
      <c r="C335" s="4" t="s">
        <v>304</v>
      </c>
      <c r="D335" s="4" t="s">
        <v>305</v>
      </c>
      <c r="E335" s="4" t="s">
        <v>306</v>
      </c>
      <c r="F335" s="4" t="s">
        <v>70</v>
      </c>
      <c r="G335" s="4" t="s">
        <v>38</v>
      </c>
      <c r="H335" s="4" t="n">
        <v>2</v>
      </c>
      <c r="I335" s="4" t="s">
        <v>1233</v>
      </c>
      <c r="J335" s="4" t="s">
        <v>40</v>
      </c>
      <c r="K335" s="4" t="s">
        <v>715</v>
      </c>
      <c r="L335" s="4" t="s">
        <v>42</v>
      </c>
      <c r="M335" s="4" t="s">
        <v>43</v>
      </c>
      <c r="N335" s="4" t="s">
        <v>44</v>
      </c>
      <c r="O335" s="4" t="s">
        <v>716</v>
      </c>
      <c r="P335" s="4" t="s">
        <v>46</v>
      </c>
    </row>
    <row r="336" customFormat="false" ht="15" hidden="false" customHeight="false" outlineLevel="0" collapsed="false">
      <c r="A336" s="4" t="s">
        <v>1234</v>
      </c>
      <c r="B336" s="4" t="s">
        <v>1224</v>
      </c>
      <c r="C336" s="4" t="s">
        <v>1235</v>
      </c>
      <c r="D336" s="4" t="s">
        <v>35</v>
      </c>
      <c r="E336" s="4" t="s">
        <v>36</v>
      </c>
      <c r="F336" s="4" t="s">
        <v>42</v>
      </c>
      <c r="G336" s="4" t="s">
        <v>38</v>
      </c>
      <c r="H336" s="4" t="n">
        <v>2</v>
      </c>
      <c r="I336" s="4" t="s">
        <v>67</v>
      </c>
      <c r="J336" s="4" t="s">
        <v>40</v>
      </c>
      <c r="K336" s="4" t="s">
        <v>1236</v>
      </c>
      <c r="L336" s="4" t="s">
        <v>42</v>
      </c>
      <c r="M336" s="4" t="s">
        <v>43</v>
      </c>
      <c r="N336" s="4" t="s">
        <v>44</v>
      </c>
      <c r="O336" s="4" t="s">
        <v>1237</v>
      </c>
      <c r="P336" s="4" t="s">
        <v>46</v>
      </c>
    </row>
    <row r="337" customFormat="false" ht="15" hidden="false" customHeight="false" outlineLevel="0" collapsed="false">
      <c r="A337" s="4" t="s">
        <v>1238</v>
      </c>
      <c r="B337" s="4" t="s">
        <v>1224</v>
      </c>
      <c r="C337" s="4" t="s">
        <v>1239</v>
      </c>
      <c r="D337" s="4" t="s">
        <v>35</v>
      </c>
      <c r="E337" s="4" t="s">
        <v>49</v>
      </c>
      <c r="F337" s="4" t="s">
        <v>42</v>
      </c>
      <c r="G337" s="4" t="s">
        <v>38</v>
      </c>
      <c r="H337" s="4" t="n">
        <v>4</v>
      </c>
      <c r="I337" s="4" t="s">
        <v>39</v>
      </c>
      <c r="J337" s="4" t="s">
        <v>68</v>
      </c>
      <c r="K337" s="4" t="s">
        <v>241</v>
      </c>
      <c r="L337" s="4" t="s">
        <v>168</v>
      </c>
      <c r="M337" s="4" t="s">
        <v>43</v>
      </c>
      <c r="N337" s="4" t="s">
        <v>185</v>
      </c>
      <c r="O337" s="4" t="s">
        <v>242</v>
      </c>
      <c r="P337" s="4" t="s">
        <v>46</v>
      </c>
    </row>
    <row r="338" customFormat="false" ht="15" hidden="false" customHeight="false" outlineLevel="0" collapsed="false">
      <c r="A338" s="4" t="s">
        <v>1240</v>
      </c>
      <c r="B338" s="4" t="s">
        <v>1241</v>
      </c>
      <c r="C338" s="4" t="s">
        <v>611</v>
      </c>
      <c r="D338" s="4" t="s">
        <v>612</v>
      </c>
      <c r="E338" s="4" t="s">
        <v>627</v>
      </c>
      <c r="F338" s="4" t="s">
        <v>42</v>
      </c>
      <c r="G338" s="4" t="s">
        <v>326</v>
      </c>
      <c r="H338" s="4"/>
      <c r="I338" s="4" t="s">
        <v>1242</v>
      </c>
      <c r="J338" s="4" t="s">
        <v>40</v>
      </c>
      <c r="K338" s="4" t="s">
        <v>1243</v>
      </c>
      <c r="L338" s="4" t="s">
        <v>867</v>
      </c>
      <c r="M338" s="4" t="s">
        <v>43</v>
      </c>
      <c r="N338" s="4" t="s">
        <v>185</v>
      </c>
      <c r="O338" s="4" t="s">
        <v>1244</v>
      </c>
      <c r="P338" s="4" t="s">
        <v>46</v>
      </c>
    </row>
    <row r="339" customFormat="false" ht="15" hidden="false" customHeight="false" outlineLevel="0" collapsed="false">
      <c r="A339" s="4" t="s">
        <v>1245</v>
      </c>
      <c r="B339" s="4" t="s">
        <v>1241</v>
      </c>
      <c r="C339" s="4" t="s">
        <v>304</v>
      </c>
      <c r="D339" s="4" t="s">
        <v>305</v>
      </c>
      <c r="E339" s="4" t="s">
        <v>306</v>
      </c>
      <c r="F339" s="4" t="s">
        <v>42</v>
      </c>
      <c r="G339" s="4" t="s">
        <v>326</v>
      </c>
      <c r="H339" s="4" t="n">
        <v>1</v>
      </c>
      <c r="I339" s="4" t="s">
        <v>1246</v>
      </c>
      <c r="J339" s="4" t="s">
        <v>40</v>
      </c>
      <c r="K339" s="4" t="s">
        <v>1247</v>
      </c>
      <c r="L339" s="4" t="s">
        <v>571</v>
      </c>
      <c r="M339" s="4" t="s">
        <v>356</v>
      </c>
      <c r="N339" s="4" t="s">
        <v>357</v>
      </c>
      <c r="O339" s="4"/>
      <c r="P339" s="4" t="s">
        <v>46</v>
      </c>
    </row>
    <row r="340" customFormat="false" ht="15" hidden="false" customHeight="false" outlineLevel="0" collapsed="false">
      <c r="A340" s="4" t="s">
        <v>1248</v>
      </c>
      <c r="B340" s="4" t="s">
        <v>1241</v>
      </c>
      <c r="C340" s="4" t="s">
        <v>304</v>
      </c>
      <c r="D340" s="4" t="s">
        <v>305</v>
      </c>
      <c r="E340" s="4" t="s">
        <v>311</v>
      </c>
      <c r="F340" s="4" t="s">
        <v>42</v>
      </c>
      <c r="G340" s="4" t="s">
        <v>38</v>
      </c>
      <c r="H340" s="4" t="n">
        <v>1</v>
      </c>
      <c r="I340" s="4" t="s">
        <v>1249</v>
      </c>
      <c r="J340" s="4" t="s">
        <v>40</v>
      </c>
      <c r="K340" s="4" t="s">
        <v>1250</v>
      </c>
      <c r="L340" s="4" t="s">
        <v>168</v>
      </c>
      <c r="M340" s="4" t="s">
        <v>43</v>
      </c>
      <c r="N340" s="4" t="s">
        <v>44</v>
      </c>
      <c r="O340" s="4" t="s">
        <v>1251</v>
      </c>
      <c r="P340" s="4" t="s">
        <v>46</v>
      </c>
    </row>
    <row r="341" customFormat="false" ht="15" hidden="false" customHeight="false" outlineLevel="0" collapsed="false">
      <c r="A341" s="4" t="s">
        <v>1252</v>
      </c>
      <c r="B341" s="4" t="s">
        <v>1241</v>
      </c>
      <c r="C341" s="4" t="s">
        <v>304</v>
      </c>
      <c r="D341" s="4" t="s">
        <v>305</v>
      </c>
      <c r="E341" s="4" t="s">
        <v>323</v>
      </c>
      <c r="F341" s="4" t="s">
        <v>42</v>
      </c>
      <c r="G341" s="4" t="s">
        <v>326</v>
      </c>
      <c r="H341" s="4" t="n">
        <v>1</v>
      </c>
      <c r="I341" s="4" t="s">
        <v>327</v>
      </c>
      <c r="J341" s="4" t="s">
        <v>40</v>
      </c>
      <c r="K341" s="4" t="s">
        <v>184</v>
      </c>
      <c r="L341" s="4" t="s">
        <v>42</v>
      </c>
      <c r="M341" s="4" t="s">
        <v>43</v>
      </c>
      <c r="N341" s="4" t="s">
        <v>44</v>
      </c>
      <c r="O341" s="4" t="s">
        <v>186</v>
      </c>
      <c r="P341" s="4" t="s">
        <v>46</v>
      </c>
    </row>
    <row r="342" customFormat="false" ht="15" hidden="false" customHeight="false" outlineLevel="0" collapsed="false">
      <c r="A342" s="4" t="s">
        <v>1253</v>
      </c>
      <c r="B342" s="4" t="s">
        <v>1241</v>
      </c>
      <c r="C342" s="4" t="s">
        <v>304</v>
      </c>
      <c r="D342" s="4" t="s">
        <v>305</v>
      </c>
      <c r="E342" s="4" t="s">
        <v>306</v>
      </c>
      <c r="F342" s="4" t="s">
        <v>42</v>
      </c>
      <c r="G342" s="4" t="s">
        <v>38</v>
      </c>
      <c r="H342" s="4" t="n">
        <v>2</v>
      </c>
      <c r="I342" s="4" t="s">
        <v>520</v>
      </c>
      <c r="J342" s="4" t="s">
        <v>40</v>
      </c>
      <c r="K342" s="4" t="s">
        <v>651</v>
      </c>
      <c r="L342" s="4" t="s">
        <v>42</v>
      </c>
      <c r="M342" s="4" t="s">
        <v>43</v>
      </c>
      <c r="N342" s="4" t="s">
        <v>44</v>
      </c>
      <c r="O342" s="4" t="s">
        <v>652</v>
      </c>
      <c r="P342" s="4" t="s">
        <v>46</v>
      </c>
    </row>
    <row r="343" customFormat="false" ht="15" hidden="false" customHeight="false" outlineLevel="0" collapsed="false">
      <c r="A343" s="4" t="s">
        <v>1254</v>
      </c>
      <c r="B343" s="4" t="s">
        <v>1241</v>
      </c>
      <c r="C343" s="4" t="s">
        <v>304</v>
      </c>
      <c r="D343" s="4" t="s">
        <v>305</v>
      </c>
      <c r="E343" s="4" t="s">
        <v>323</v>
      </c>
      <c r="F343" s="4" t="s">
        <v>42</v>
      </c>
      <c r="G343" s="4" t="s">
        <v>59</v>
      </c>
      <c r="H343" s="4" t="n">
        <v>4</v>
      </c>
      <c r="I343" s="4" t="s">
        <v>1038</v>
      </c>
      <c r="J343" s="4" t="s">
        <v>40</v>
      </c>
      <c r="K343" s="4" t="s">
        <v>235</v>
      </c>
      <c r="L343" s="4" t="s">
        <v>42</v>
      </c>
      <c r="M343" s="4" t="s">
        <v>43</v>
      </c>
      <c r="N343" s="4" t="s">
        <v>44</v>
      </c>
      <c r="O343" s="4" t="s">
        <v>236</v>
      </c>
      <c r="P343" s="4" t="s">
        <v>46</v>
      </c>
    </row>
    <row r="344" customFormat="false" ht="15" hidden="false" customHeight="false" outlineLevel="0" collapsed="false">
      <c r="A344" s="4" t="s">
        <v>1255</v>
      </c>
      <c r="B344" s="4" t="s">
        <v>1239</v>
      </c>
      <c r="C344" s="4" t="s">
        <v>611</v>
      </c>
      <c r="D344" s="4" t="s">
        <v>612</v>
      </c>
      <c r="E344" s="4" t="s">
        <v>649</v>
      </c>
      <c r="F344" s="4" t="s">
        <v>42</v>
      </c>
      <c r="G344" s="4" t="s">
        <v>326</v>
      </c>
      <c r="H344" s="4" t="n">
        <v>2</v>
      </c>
      <c r="I344" s="4" t="s">
        <v>823</v>
      </c>
      <c r="J344" s="4" t="s">
        <v>149</v>
      </c>
      <c r="K344" s="4" t="s">
        <v>1256</v>
      </c>
      <c r="L344" s="4" t="s">
        <v>58</v>
      </c>
      <c r="M344" s="4" t="s">
        <v>43</v>
      </c>
      <c r="N344" s="4" t="s">
        <v>44</v>
      </c>
      <c r="O344" s="4" t="s">
        <v>1257</v>
      </c>
      <c r="P344" s="4" t="s">
        <v>46</v>
      </c>
    </row>
    <row r="345" customFormat="false" ht="15" hidden="false" customHeight="false" outlineLevel="0" collapsed="false">
      <c r="A345" s="4" t="s">
        <v>1258</v>
      </c>
      <c r="B345" s="4" t="s">
        <v>1239</v>
      </c>
      <c r="C345" s="4" t="s">
        <v>304</v>
      </c>
      <c r="D345" s="4" t="s">
        <v>305</v>
      </c>
      <c r="E345" s="4" t="s">
        <v>306</v>
      </c>
      <c r="F345" s="4" t="s">
        <v>42</v>
      </c>
      <c r="G345" s="4" t="s">
        <v>326</v>
      </c>
      <c r="H345" s="4" t="n">
        <v>2</v>
      </c>
      <c r="I345" s="4" t="s">
        <v>623</v>
      </c>
      <c r="J345" s="4" t="s">
        <v>40</v>
      </c>
      <c r="K345" s="4" t="s">
        <v>1016</v>
      </c>
      <c r="L345" s="4" t="s">
        <v>42</v>
      </c>
      <c r="M345" s="4" t="s">
        <v>43</v>
      </c>
      <c r="N345" s="4" t="s">
        <v>44</v>
      </c>
      <c r="O345" s="4" t="s">
        <v>1017</v>
      </c>
      <c r="P345" s="4" t="s">
        <v>46</v>
      </c>
    </row>
    <row r="346" customFormat="false" ht="15" hidden="false" customHeight="false" outlineLevel="0" collapsed="false">
      <c r="A346" s="4" t="s">
        <v>1259</v>
      </c>
      <c r="B346" s="4" t="s">
        <v>1239</v>
      </c>
      <c r="C346" s="4" t="s">
        <v>304</v>
      </c>
      <c r="D346" s="4" t="s">
        <v>305</v>
      </c>
      <c r="E346" s="4" t="s">
        <v>306</v>
      </c>
      <c r="F346" s="4" t="s">
        <v>42</v>
      </c>
      <c r="G346" s="4" t="s">
        <v>38</v>
      </c>
      <c r="H346" s="4" t="n">
        <v>2</v>
      </c>
      <c r="I346" s="4" t="s">
        <v>1260</v>
      </c>
      <c r="J346" s="4" t="s">
        <v>81</v>
      </c>
      <c r="K346" s="4" t="s">
        <v>1261</v>
      </c>
      <c r="L346" s="4" t="s">
        <v>42</v>
      </c>
      <c r="M346" s="4" t="s">
        <v>133</v>
      </c>
      <c r="N346" s="4" t="s">
        <v>44</v>
      </c>
      <c r="O346" s="4" t="s">
        <v>1262</v>
      </c>
      <c r="P346" s="4" t="s">
        <v>46</v>
      </c>
    </row>
    <row r="347" customFormat="false" ht="15" hidden="false" customHeight="false" outlineLevel="0" collapsed="false">
      <c r="A347" s="4" t="s">
        <v>1263</v>
      </c>
      <c r="B347" s="4" t="s">
        <v>1239</v>
      </c>
      <c r="C347" s="4" t="s">
        <v>304</v>
      </c>
      <c r="D347" s="4" t="s">
        <v>305</v>
      </c>
      <c r="E347" s="4" t="s">
        <v>306</v>
      </c>
      <c r="F347" s="4" t="s">
        <v>70</v>
      </c>
      <c r="G347" s="4" t="s">
        <v>59</v>
      </c>
      <c r="H347" s="4" t="n">
        <v>1</v>
      </c>
      <c r="I347" s="4" t="s">
        <v>522</v>
      </c>
      <c r="J347" s="4" t="s">
        <v>40</v>
      </c>
      <c r="K347" s="4" t="s">
        <v>416</v>
      </c>
      <c r="L347" s="4" t="s">
        <v>42</v>
      </c>
      <c r="M347" s="4" t="s">
        <v>133</v>
      </c>
      <c r="N347" s="4" t="s">
        <v>185</v>
      </c>
      <c r="O347" s="4" t="s">
        <v>417</v>
      </c>
      <c r="P347" s="4" t="s">
        <v>46</v>
      </c>
    </row>
    <row r="348" customFormat="false" ht="15" hidden="false" customHeight="false" outlineLevel="0" collapsed="false">
      <c r="A348" s="4" t="s">
        <v>1264</v>
      </c>
      <c r="B348" s="4" t="s">
        <v>1239</v>
      </c>
      <c r="C348" s="4" t="s">
        <v>304</v>
      </c>
      <c r="D348" s="4" t="s">
        <v>305</v>
      </c>
      <c r="E348" s="4" t="s">
        <v>306</v>
      </c>
      <c r="F348" s="4" t="s">
        <v>58</v>
      </c>
      <c r="G348" s="4" t="s">
        <v>38</v>
      </c>
      <c r="H348" s="4" t="n">
        <v>1</v>
      </c>
      <c r="I348" s="4" t="s">
        <v>469</v>
      </c>
      <c r="J348" s="4" t="s">
        <v>40</v>
      </c>
      <c r="K348" s="4" t="s">
        <v>1265</v>
      </c>
      <c r="L348" s="4" t="s">
        <v>634</v>
      </c>
      <c r="M348" s="4" t="s">
        <v>635</v>
      </c>
      <c r="N348" s="4" t="s">
        <v>44</v>
      </c>
      <c r="O348" s="4" t="s">
        <v>1266</v>
      </c>
      <c r="P348" s="4" t="s">
        <v>46</v>
      </c>
    </row>
    <row r="349" customFormat="false" ht="15" hidden="false" customHeight="false" outlineLevel="0" collapsed="false">
      <c r="A349" s="4" t="s">
        <v>1267</v>
      </c>
      <c r="B349" s="4" t="s">
        <v>1239</v>
      </c>
      <c r="C349" s="4" t="s">
        <v>304</v>
      </c>
      <c r="D349" s="4" t="s">
        <v>305</v>
      </c>
      <c r="E349" s="4" t="s">
        <v>323</v>
      </c>
      <c r="F349" s="4" t="s">
        <v>128</v>
      </c>
      <c r="G349" s="4" t="s">
        <v>38</v>
      </c>
      <c r="H349" s="4" t="n">
        <v>1</v>
      </c>
      <c r="I349" s="4" t="s">
        <v>1042</v>
      </c>
      <c r="J349" s="4" t="s">
        <v>68</v>
      </c>
      <c r="K349" s="4" t="s">
        <v>416</v>
      </c>
      <c r="L349" s="4" t="s">
        <v>42</v>
      </c>
      <c r="M349" s="4" t="s">
        <v>43</v>
      </c>
      <c r="N349" s="4" t="s">
        <v>52</v>
      </c>
      <c r="O349" s="4" t="s">
        <v>417</v>
      </c>
      <c r="P349" s="4" t="s">
        <v>46</v>
      </c>
    </row>
    <row r="350" customFormat="false" ht="15" hidden="false" customHeight="false" outlineLevel="0" collapsed="false">
      <c r="A350" s="4" t="s">
        <v>1268</v>
      </c>
      <c r="B350" s="4" t="s">
        <v>1239</v>
      </c>
      <c r="C350" s="4" t="s">
        <v>304</v>
      </c>
      <c r="D350" s="4" t="s">
        <v>305</v>
      </c>
      <c r="E350" s="4" t="s">
        <v>325</v>
      </c>
      <c r="F350" s="4" t="s">
        <v>70</v>
      </c>
      <c r="G350" s="4" t="s">
        <v>59</v>
      </c>
      <c r="H350" s="4" t="n">
        <v>1</v>
      </c>
      <c r="I350" s="4" t="s">
        <v>1269</v>
      </c>
      <c r="J350" s="4" t="s">
        <v>68</v>
      </c>
      <c r="K350" s="4" t="s">
        <v>387</v>
      </c>
      <c r="L350" s="4" t="s">
        <v>42</v>
      </c>
      <c r="M350" s="4" t="s">
        <v>133</v>
      </c>
      <c r="N350" s="4" t="s">
        <v>52</v>
      </c>
      <c r="O350" s="4" t="s">
        <v>388</v>
      </c>
      <c r="P350" s="4" t="s">
        <v>46</v>
      </c>
    </row>
    <row r="351" customFormat="false" ht="15" hidden="false" customHeight="false" outlineLevel="0" collapsed="false">
      <c r="A351" s="4" t="s">
        <v>1270</v>
      </c>
      <c r="B351" s="4" t="s">
        <v>1239</v>
      </c>
      <c r="C351" s="4" t="s">
        <v>1271</v>
      </c>
      <c r="D351" s="4" t="s">
        <v>35</v>
      </c>
      <c r="E351" s="4" t="s">
        <v>49</v>
      </c>
      <c r="F351" s="4" t="s">
        <v>42</v>
      </c>
      <c r="G351" s="4" t="s">
        <v>38</v>
      </c>
      <c r="H351" s="4" t="n">
        <v>1</v>
      </c>
      <c r="I351" s="4" t="s">
        <v>67</v>
      </c>
      <c r="J351" s="4" t="s">
        <v>68</v>
      </c>
      <c r="K351" s="4" t="s">
        <v>1272</v>
      </c>
      <c r="L351" s="4" t="s">
        <v>42</v>
      </c>
      <c r="M351" s="4" t="s">
        <v>43</v>
      </c>
      <c r="N351" s="4" t="s">
        <v>44</v>
      </c>
      <c r="O351" s="4" t="s">
        <v>1273</v>
      </c>
      <c r="P351" s="4" t="s">
        <v>46</v>
      </c>
    </row>
    <row r="352" customFormat="false" ht="15" hidden="false" customHeight="false" outlineLevel="0" collapsed="false">
      <c r="A352" s="4" t="s">
        <v>1274</v>
      </c>
      <c r="B352" s="4" t="s">
        <v>1239</v>
      </c>
      <c r="C352" s="4" t="s">
        <v>1275</v>
      </c>
      <c r="D352" s="4" t="s">
        <v>35</v>
      </c>
      <c r="E352" s="4" t="s">
        <v>49</v>
      </c>
      <c r="F352" s="4" t="s">
        <v>42</v>
      </c>
      <c r="G352" s="4" t="s">
        <v>38</v>
      </c>
      <c r="H352" s="4" t="n">
        <v>1</v>
      </c>
      <c r="I352" s="4" t="s">
        <v>67</v>
      </c>
      <c r="J352" s="4" t="s">
        <v>40</v>
      </c>
      <c r="K352" s="4" t="s">
        <v>265</v>
      </c>
      <c r="L352" s="4" t="s">
        <v>42</v>
      </c>
      <c r="M352" s="4" t="s">
        <v>43</v>
      </c>
      <c r="N352" s="4" t="s">
        <v>44</v>
      </c>
      <c r="O352" s="4" t="s">
        <v>266</v>
      </c>
      <c r="P352" s="4" t="s">
        <v>46</v>
      </c>
    </row>
    <row r="353" customFormat="false" ht="15" hidden="false" customHeight="false" outlineLevel="0" collapsed="false">
      <c r="A353" s="4" t="s">
        <v>1276</v>
      </c>
      <c r="B353" s="4" t="s">
        <v>1235</v>
      </c>
      <c r="C353" s="4" t="s">
        <v>304</v>
      </c>
      <c r="D353" s="4" t="s">
        <v>305</v>
      </c>
      <c r="E353" s="4" t="s">
        <v>306</v>
      </c>
      <c r="F353" s="4" t="s">
        <v>42</v>
      </c>
      <c r="G353" s="4" t="s">
        <v>59</v>
      </c>
      <c r="H353" s="4" t="n">
        <v>2</v>
      </c>
      <c r="I353" s="4" t="s">
        <v>1220</v>
      </c>
      <c r="J353" s="4" t="s">
        <v>40</v>
      </c>
      <c r="K353" s="4" t="s">
        <v>342</v>
      </c>
      <c r="L353" s="4" t="s">
        <v>42</v>
      </c>
      <c r="M353" s="4" t="s">
        <v>43</v>
      </c>
      <c r="N353" s="4" t="s">
        <v>44</v>
      </c>
      <c r="O353" s="4" t="s">
        <v>343</v>
      </c>
      <c r="P353" s="4" t="s">
        <v>46</v>
      </c>
    </row>
    <row r="354" customFormat="false" ht="15" hidden="false" customHeight="false" outlineLevel="0" collapsed="false">
      <c r="A354" s="4" t="s">
        <v>1277</v>
      </c>
      <c r="B354" s="4" t="s">
        <v>1235</v>
      </c>
      <c r="C354" s="4" t="s">
        <v>304</v>
      </c>
      <c r="D354" s="4" t="s">
        <v>305</v>
      </c>
      <c r="E354" s="4" t="s">
        <v>325</v>
      </c>
      <c r="F354" s="4" t="s">
        <v>42</v>
      </c>
      <c r="G354" s="4" t="s">
        <v>38</v>
      </c>
      <c r="H354" s="4" t="n">
        <v>3</v>
      </c>
      <c r="I354" s="4" t="s">
        <v>1278</v>
      </c>
      <c r="J354" s="4" t="s">
        <v>68</v>
      </c>
      <c r="K354" s="4" t="s">
        <v>1279</v>
      </c>
      <c r="L354" s="4" t="s">
        <v>382</v>
      </c>
      <c r="M354" s="4" t="s">
        <v>43</v>
      </c>
      <c r="N354" s="4" t="s">
        <v>94</v>
      </c>
      <c r="O354" s="4" t="s">
        <v>1280</v>
      </c>
      <c r="P354" s="4" t="s">
        <v>46</v>
      </c>
    </row>
    <row r="355" customFormat="false" ht="15" hidden="false" customHeight="false" outlineLevel="0" collapsed="false">
      <c r="A355" s="4" t="s">
        <v>1281</v>
      </c>
      <c r="B355" s="4" t="s">
        <v>1235</v>
      </c>
      <c r="C355" s="4" t="s">
        <v>304</v>
      </c>
      <c r="D355" s="4" t="s">
        <v>305</v>
      </c>
      <c r="E355" s="4" t="s">
        <v>306</v>
      </c>
      <c r="F355" s="4" t="s">
        <v>42</v>
      </c>
      <c r="G355" s="4" t="s">
        <v>38</v>
      </c>
      <c r="H355" s="4" t="n">
        <v>1</v>
      </c>
      <c r="I355" s="4" t="s">
        <v>385</v>
      </c>
      <c r="J355" s="4" t="s">
        <v>68</v>
      </c>
      <c r="K355" s="4" t="s">
        <v>241</v>
      </c>
      <c r="L355" s="4" t="s">
        <v>168</v>
      </c>
      <c r="M355" s="4" t="s">
        <v>133</v>
      </c>
      <c r="N355" s="4" t="s">
        <v>44</v>
      </c>
      <c r="O355" s="4" t="s">
        <v>242</v>
      </c>
      <c r="P355" s="4" t="s">
        <v>46</v>
      </c>
    </row>
    <row r="356" customFormat="false" ht="15" hidden="false" customHeight="false" outlineLevel="0" collapsed="false">
      <c r="A356" s="4" t="s">
        <v>1282</v>
      </c>
      <c r="B356" s="4" t="s">
        <v>1235</v>
      </c>
      <c r="C356" s="4" t="s">
        <v>304</v>
      </c>
      <c r="D356" s="4" t="s">
        <v>305</v>
      </c>
      <c r="E356" s="4" t="s">
        <v>306</v>
      </c>
      <c r="F356" s="4" t="s">
        <v>42</v>
      </c>
      <c r="G356" s="4" t="s">
        <v>38</v>
      </c>
      <c r="H356" s="4" t="n">
        <v>2</v>
      </c>
      <c r="I356" s="4" t="s">
        <v>986</v>
      </c>
      <c r="J356" s="4" t="s">
        <v>68</v>
      </c>
      <c r="K356" s="4" t="s">
        <v>1283</v>
      </c>
      <c r="L356" s="4" t="s">
        <v>376</v>
      </c>
      <c r="M356" s="4" t="s">
        <v>377</v>
      </c>
      <c r="N356" s="4" t="s">
        <v>44</v>
      </c>
      <c r="O356" s="4" t="s">
        <v>1284</v>
      </c>
      <c r="P356" s="4" t="s">
        <v>46</v>
      </c>
    </row>
    <row r="357" customFormat="false" ht="15" hidden="false" customHeight="false" outlineLevel="0" collapsed="false">
      <c r="A357" s="4" t="s">
        <v>1285</v>
      </c>
      <c r="B357" s="4" t="s">
        <v>1235</v>
      </c>
      <c r="C357" s="4" t="s">
        <v>1235</v>
      </c>
      <c r="D357" s="4" t="s">
        <v>35</v>
      </c>
      <c r="E357" s="4" t="s">
        <v>89</v>
      </c>
      <c r="F357" s="4" t="s">
        <v>42</v>
      </c>
      <c r="G357" s="4" t="s">
        <v>59</v>
      </c>
      <c r="H357" s="4" t="n">
        <v>1</v>
      </c>
      <c r="I357" s="4" t="s">
        <v>75</v>
      </c>
      <c r="J357" s="4" t="s">
        <v>40</v>
      </c>
      <c r="K357" s="4" t="s">
        <v>682</v>
      </c>
      <c r="L357" s="4" t="s">
        <v>42</v>
      </c>
      <c r="M357" s="4" t="s">
        <v>43</v>
      </c>
      <c r="N357" s="4" t="s">
        <v>44</v>
      </c>
      <c r="O357" s="4" t="s">
        <v>683</v>
      </c>
      <c r="P357" s="4" t="s">
        <v>46</v>
      </c>
    </row>
    <row r="358" customFormat="false" ht="15" hidden="false" customHeight="false" outlineLevel="0" collapsed="false">
      <c r="A358" s="4" t="s">
        <v>1258</v>
      </c>
      <c r="B358" s="4" t="s">
        <v>1239</v>
      </c>
      <c r="C358" s="4" t="s">
        <v>304</v>
      </c>
      <c r="D358" s="4" t="s">
        <v>305</v>
      </c>
      <c r="E358" s="4" t="s">
        <v>306</v>
      </c>
      <c r="F358" s="4" t="s">
        <v>42</v>
      </c>
      <c r="G358" s="4" t="s">
        <v>326</v>
      </c>
      <c r="H358" s="4" t="n">
        <v>2</v>
      </c>
      <c r="I358" s="4" t="s">
        <v>623</v>
      </c>
      <c r="J358" s="4" t="s">
        <v>40</v>
      </c>
      <c r="K358" s="4" t="s">
        <v>1016</v>
      </c>
      <c r="L358" s="4" t="s">
        <v>42</v>
      </c>
      <c r="M358" s="4" t="s">
        <v>43</v>
      </c>
      <c r="N358" s="4" t="s">
        <v>44</v>
      </c>
      <c r="O358" s="4" t="s">
        <v>1017</v>
      </c>
      <c r="P358" s="4" t="s">
        <v>46</v>
      </c>
    </row>
    <row r="359" customFormat="false" ht="15" hidden="false" customHeight="false" outlineLevel="0" collapsed="false">
      <c r="A359" s="4" t="s">
        <v>1286</v>
      </c>
      <c r="B359" s="4" t="s">
        <v>1271</v>
      </c>
      <c r="C359" s="4" t="s">
        <v>611</v>
      </c>
      <c r="D359" s="4" t="s">
        <v>612</v>
      </c>
      <c r="E359" s="4" t="s">
        <v>627</v>
      </c>
      <c r="F359" s="4" t="s">
        <v>42</v>
      </c>
      <c r="G359" s="4" t="s">
        <v>38</v>
      </c>
      <c r="H359" s="4" t="n">
        <v>4</v>
      </c>
      <c r="I359" s="4" t="s">
        <v>1287</v>
      </c>
      <c r="J359" s="4" t="s">
        <v>40</v>
      </c>
      <c r="K359" s="4" t="s">
        <v>1288</v>
      </c>
      <c r="L359" s="4" t="s">
        <v>463</v>
      </c>
      <c r="M359" s="4" t="s">
        <v>464</v>
      </c>
      <c r="N359" s="4" t="s">
        <v>44</v>
      </c>
      <c r="O359" s="4" t="s">
        <v>1289</v>
      </c>
      <c r="P359" s="4" t="s">
        <v>46</v>
      </c>
    </row>
    <row r="360" customFormat="false" ht="15" hidden="false" customHeight="false" outlineLevel="0" collapsed="false">
      <c r="A360" s="4" t="s">
        <v>1290</v>
      </c>
      <c r="B360" s="4" t="s">
        <v>1271</v>
      </c>
      <c r="C360" s="4" t="s">
        <v>304</v>
      </c>
      <c r="D360" s="4" t="s">
        <v>305</v>
      </c>
      <c r="E360" s="4" t="s">
        <v>306</v>
      </c>
      <c r="F360" s="4" t="s">
        <v>42</v>
      </c>
      <c r="G360" s="4" t="s">
        <v>326</v>
      </c>
      <c r="H360" s="4" t="n">
        <v>1</v>
      </c>
      <c r="I360" s="4" t="s">
        <v>569</v>
      </c>
      <c r="J360" s="4" t="s">
        <v>40</v>
      </c>
      <c r="K360" s="4" t="s">
        <v>1291</v>
      </c>
      <c r="L360" s="4" t="s">
        <v>42</v>
      </c>
      <c r="M360" s="4" t="s">
        <v>43</v>
      </c>
      <c r="N360" s="4" t="s">
        <v>52</v>
      </c>
      <c r="O360" s="4" t="s">
        <v>1292</v>
      </c>
      <c r="P360" s="4" t="s">
        <v>46</v>
      </c>
    </row>
    <row r="361" customFormat="false" ht="15" hidden="false" customHeight="false" outlineLevel="0" collapsed="false">
      <c r="A361" s="4" t="s">
        <v>1293</v>
      </c>
      <c r="B361" s="4" t="s">
        <v>1271</v>
      </c>
      <c r="C361" s="4" t="s">
        <v>304</v>
      </c>
      <c r="D361" s="4" t="s">
        <v>305</v>
      </c>
      <c r="E361" s="4" t="s">
        <v>306</v>
      </c>
      <c r="F361" s="4" t="s">
        <v>42</v>
      </c>
      <c r="G361" s="4" t="s">
        <v>38</v>
      </c>
      <c r="H361" s="4" t="n">
        <v>1</v>
      </c>
      <c r="I361" s="4" t="s">
        <v>1294</v>
      </c>
      <c r="J361" s="4" t="s">
        <v>40</v>
      </c>
      <c r="K361" s="4" t="s">
        <v>144</v>
      </c>
      <c r="L361" s="4" t="s">
        <v>37</v>
      </c>
      <c r="M361" s="4" t="s">
        <v>43</v>
      </c>
      <c r="N361" s="4" t="s">
        <v>44</v>
      </c>
      <c r="O361" s="4" t="s">
        <v>145</v>
      </c>
      <c r="P361" s="4" t="s">
        <v>46</v>
      </c>
    </row>
    <row r="362" customFormat="false" ht="15" hidden="false" customHeight="false" outlineLevel="0" collapsed="false">
      <c r="A362" s="4" t="s">
        <v>1295</v>
      </c>
      <c r="B362" s="4" t="s">
        <v>1271</v>
      </c>
      <c r="C362" s="4" t="s">
        <v>304</v>
      </c>
      <c r="D362" s="4" t="s">
        <v>305</v>
      </c>
      <c r="E362" s="4" t="s">
        <v>325</v>
      </c>
      <c r="F362" s="4" t="s">
        <v>42</v>
      </c>
      <c r="G362" s="4" t="s">
        <v>59</v>
      </c>
      <c r="H362" s="4" t="n">
        <v>1</v>
      </c>
      <c r="I362" s="4" t="s">
        <v>312</v>
      </c>
      <c r="J362" s="4" t="s">
        <v>68</v>
      </c>
      <c r="K362" s="4" t="s">
        <v>416</v>
      </c>
      <c r="L362" s="4" t="s">
        <v>42</v>
      </c>
      <c r="M362" s="4" t="s">
        <v>43</v>
      </c>
      <c r="N362" s="4" t="s">
        <v>52</v>
      </c>
      <c r="O362" s="4" t="s">
        <v>417</v>
      </c>
      <c r="P362" s="4" t="s">
        <v>46</v>
      </c>
    </row>
    <row r="363" customFormat="false" ht="15" hidden="false" customHeight="false" outlineLevel="0" collapsed="false">
      <c r="A363" s="4" t="s">
        <v>1296</v>
      </c>
      <c r="B363" s="4" t="s">
        <v>1271</v>
      </c>
      <c r="C363" s="4" t="s">
        <v>304</v>
      </c>
      <c r="D363" s="4" t="s">
        <v>305</v>
      </c>
      <c r="E363" s="4" t="s">
        <v>311</v>
      </c>
      <c r="F363" s="4" t="s">
        <v>42</v>
      </c>
      <c r="G363" s="4" t="s">
        <v>326</v>
      </c>
      <c r="H363" s="4" t="n">
        <v>3</v>
      </c>
      <c r="I363" s="4" t="s">
        <v>912</v>
      </c>
      <c r="J363" s="4" t="s">
        <v>68</v>
      </c>
      <c r="K363" s="4" t="s">
        <v>125</v>
      </c>
      <c r="L363" s="4" t="s">
        <v>42</v>
      </c>
      <c r="M363" s="4" t="s">
        <v>43</v>
      </c>
      <c r="N363" s="4" t="s">
        <v>44</v>
      </c>
      <c r="O363" s="4" t="s">
        <v>126</v>
      </c>
      <c r="P363" s="4" t="s">
        <v>46</v>
      </c>
    </row>
    <row r="364" customFormat="false" ht="15" hidden="false" customHeight="false" outlineLevel="0" collapsed="false">
      <c r="A364" s="4" t="s">
        <v>1297</v>
      </c>
      <c r="B364" s="4" t="s">
        <v>1271</v>
      </c>
      <c r="C364" s="4" t="s">
        <v>304</v>
      </c>
      <c r="D364" s="4" t="s">
        <v>305</v>
      </c>
      <c r="E364" s="4" t="s">
        <v>306</v>
      </c>
      <c r="F364" s="4" t="s">
        <v>42</v>
      </c>
      <c r="G364" s="4" t="s">
        <v>59</v>
      </c>
      <c r="H364" s="4" t="n">
        <v>3</v>
      </c>
      <c r="I364" s="4" t="s">
        <v>1298</v>
      </c>
      <c r="J364" s="4" t="s">
        <v>40</v>
      </c>
      <c r="K364" s="4" t="s">
        <v>1299</v>
      </c>
      <c r="L364" s="4" t="s">
        <v>825</v>
      </c>
      <c r="M364" s="4" t="s">
        <v>43</v>
      </c>
      <c r="N364" s="4" t="s">
        <v>44</v>
      </c>
      <c r="O364" s="4" t="s">
        <v>1300</v>
      </c>
      <c r="P364" s="4" t="s">
        <v>46</v>
      </c>
    </row>
    <row r="365" customFormat="false" ht="15" hidden="false" customHeight="false" outlineLevel="0" collapsed="false">
      <c r="A365" s="4" t="s">
        <v>1301</v>
      </c>
      <c r="B365" s="4" t="s">
        <v>1271</v>
      </c>
      <c r="C365" s="4" t="s">
        <v>304</v>
      </c>
      <c r="D365" s="4" t="s">
        <v>305</v>
      </c>
      <c r="E365" s="4" t="s">
        <v>345</v>
      </c>
      <c r="F365" s="4" t="s">
        <v>37</v>
      </c>
      <c r="G365" s="4" t="s">
        <v>59</v>
      </c>
      <c r="H365" s="4" t="n">
        <v>4</v>
      </c>
      <c r="I365" s="4" t="s">
        <v>1302</v>
      </c>
      <c r="J365" s="4" t="s">
        <v>40</v>
      </c>
      <c r="K365" s="4" t="s">
        <v>1303</v>
      </c>
      <c r="L365" s="4" t="s">
        <v>364</v>
      </c>
      <c r="M365" s="4" t="s">
        <v>365</v>
      </c>
      <c r="N365" s="4" t="s">
        <v>44</v>
      </c>
      <c r="O365" s="4" t="s">
        <v>1304</v>
      </c>
      <c r="P365" s="4" t="s">
        <v>46</v>
      </c>
    </row>
    <row r="366" customFormat="false" ht="15" hidden="false" customHeight="false" outlineLevel="0" collapsed="false">
      <c r="A366" s="4" t="s">
        <v>1305</v>
      </c>
      <c r="B366" s="4" t="s">
        <v>1271</v>
      </c>
      <c r="C366" s="4" t="s">
        <v>304</v>
      </c>
      <c r="D366" s="4" t="s">
        <v>305</v>
      </c>
      <c r="E366" s="4" t="s">
        <v>306</v>
      </c>
      <c r="F366" s="4" t="s">
        <v>42</v>
      </c>
      <c r="G366" s="4" t="s">
        <v>38</v>
      </c>
      <c r="H366" s="4" t="n">
        <v>2</v>
      </c>
      <c r="I366" s="4" t="s">
        <v>1306</v>
      </c>
      <c r="J366" s="4" t="s">
        <v>68</v>
      </c>
      <c r="K366" s="4" t="s">
        <v>1307</v>
      </c>
      <c r="L366" s="4" t="s">
        <v>42</v>
      </c>
      <c r="M366" s="4" t="s">
        <v>43</v>
      </c>
      <c r="N366" s="4" t="s">
        <v>44</v>
      </c>
      <c r="O366" s="4" t="s">
        <v>1308</v>
      </c>
      <c r="P366" s="4" t="s">
        <v>46</v>
      </c>
    </row>
    <row r="367" customFormat="false" ht="15" hidden="false" customHeight="false" outlineLevel="0" collapsed="false">
      <c r="A367" s="4" t="s">
        <v>1309</v>
      </c>
      <c r="B367" s="4" t="s">
        <v>1271</v>
      </c>
      <c r="C367" s="4" t="s">
        <v>304</v>
      </c>
      <c r="D367" s="4" t="s">
        <v>305</v>
      </c>
      <c r="E367" s="4" t="s">
        <v>306</v>
      </c>
      <c r="F367" s="4" t="s">
        <v>58</v>
      </c>
      <c r="G367" s="4" t="s">
        <v>38</v>
      </c>
      <c r="H367" s="4" t="n">
        <v>2</v>
      </c>
      <c r="I367" s="4" t="s">
        <v>740</v>
      </c>
      <c r="J367" s="4" t="s">
        <v>81</v>
      </c>
      <c r="K367" s="4" t="s">
        <v>139</v>
      </c>
      <c r="L367" s="4" t="s">
        <v>42</v>
      </c>
      <c r="M367" s="4" t="s">
        <v>133</v>
      </c>
      <c r="N367" s="4" t="s">
        <v>44</v>
      </c>
      <c r="O367" s="4" t="s">
        <v>140</v>
      </c>
      <c r="P367" s="4" t="s">
        <v>46</v>
      </c>
    </row>
    <row r="368" customFormat="false" ht="15" hidden="false" customHeight="false" outlineLevel="0" collapsed="false">
      <c r="A368" s="4" t="s">
        <v>1310</v>
      </c>
      <c r="B368" s="4" t="s">
        <v>1271</v>
      </c>
      <c r="C368" s="4" t="s">
        <v>1311</v>
      </c>
      <c r="D368" s="4" t="s">
        <v>35</v>
      </c>
      <c r="E368" s="4" t="s">
        <v>36</v>
      </c>
      <c r="F368" s="4" t="s">
        <v>42</v>
      </c>
      <c r="G368" s="4" t="s">
        <v>38</v>
      </c>
      <c r="H368" s="4" t="n">
        <v>2</v>
      </c>
      <c r="I368" s="4" t="s">
        <v>50</v>
      </c>
      <c r="J368" s="4" t="s">
        <v>68</v>
      </c>
      <c r="K368" s="4" t="s">
        <v>1312</v>
      </c>
      <c r="L368" s="4" t="s">
        <v>1313</v>
      </c>
      <c r="M368" s="4" t="s">
        <v>464</v>
      </c>
      <c r="N368" s="4" t="s">
        <v>44</v>
      </c>
      <c r="O368" s="4" t="s">
        <v>1314</v>
      </c>
      <c r="P368" s="4" t="s">
        <v>46</v>
      </c>
    </row>
    <row r="369" customFormat="false" ht="15" hidden="false" customHeight="false" outlineLevel="0" collapsed="false">
      <c r="A369" s="4" t="s">
        <v>1315</v>
      </c>
      <c r="B369" s="4" t="s">
        <v>1275</v>
      </c>
      <c r="C369" s="4" t="s">
        <v>611</v>
      </c>
      <c r="D369" s="4" t="s">
        <v>612</v>
      </c>
      <c r="E369" s="4" t="s">
        <v>613</v>
      </c>
      <c r="F369" s="4" t="s">
        <v>37</v>
      </c>
      <c r="G369" s="4" t="s">
        <v>59</v>
      </c>
      <c r="H369" s="4" t="n">
        <v>2</v>
      </c>
      <c r="I369" s="4" t="s">
        <v>770</v>
      </c>
      <c r="J369" s="4" t="s">
        <v>40</v>
      </c>
      <c r="K369" s="4" t="s">
        <v>1316</v>
      </c>
      <c r="L369" s="4" t="s">
        <v>42</v>
      </c>
      <c r="M369" s="4" t="s">
        <v>43</v>
      </c>
      <c r="N369" s="4" t="s">
        <v>94</v>
      </c>
      <c r="O369" s="4" t="s">
        <v>1317</v>
      </c>
      <c r="P369" s="4" t="s">
        <v>46</v>
      </c>
    </row>
    <row r="370" customFormat="false" ht="15" hidden="false" customHeight="false" outlineLevel="0" collapsed="false">
      <c r="A370" s="4" t="s">
        <v>1318</v>
      </c>
      <c r="B370" s="4" t="s">
        <v>1275</v>
      </c>
      <c r="C370" s="4" t="s">
        <v>304</v>
      </c>
      <c r="D370" s="4" t="s">
        <v>305</v>
      </c>
      <c r="E370" s="4" t="s">
        <v>325</v>
      </c>
      <c r="F370" s="4" t="s">
        <v>42</v>
      </c>
      <c r="G370" s="4" t="s">
        <v>59</v>
      </c>
      <c r="H370" s="4" t="n">
        <v>2</v>
      </c>
      <c r="I370" s="4" t="s">
        <v>487</v>
      </c>
      <c r="J370" s="4" t="s">
        <v>68</v>
      </c>
      <c r="K370" s="4" t="s">
        <v>1020</v>
      </c>
      <c r="L370" s="4" t="s">
        <v>42</v>
      </c>
      <c r="M370" s="4" t="s">
        <v>43</v>
      </c>
      <c r="N370" s="4" t="s">
        <v>44</v>
      </c>
      <c r="O370" s="4" t="s">
        <v>1021</v>
      </c>
      <c r="P370" s="4" t="s">
        <v>46</v>
      </c>
    </row>
    <row r="371" customFormat="false" ht="15" hidden="false" customHeight="false" outlineLevel="0" collapsed="false">
      <c r="A371" s="4" t="s">
        <v>1319</v>
      </c>
      <c r="B371" s="4" t="s">
        <v>1275</v>
      </c>
      <c r="C371" s="4" t="s">
        <v>304</v>
      </c>
      <c r="D371" s="4" t="s">
        <v>305</v>
      </c>
      <c r="E371" s="4" t="s">
        <v>306</v>
      </c>
      <c r="F371" s="4" t="s">
        <v>42</v>
      </c>
      <c r="G371" s="4" t="s">
        <v>326</v>
      </c>
      <c r="H371" s="4" t="n">
        <v>4</v>
      </c>
      <c r="I371" s="4" t="s">
        <v>1320</v>
      </c>
      <c r="J371" s="4" t="s">
        <v>68</v>
      </c>
      <c r="K371" s="4" t="s">
        <v>342</v>
      </c>
      <c r="L371" s="4" t="s">
        <v>42</v>
      </c>
      <c r="M371" s="4" t="s">
        <v>133</v>
      </c>
      <c r="N371" s="4" t="s">
        <v>44</v>
      </c>
      <c r="O371" s="4" t="s">
        <v>343</v>
      </c>
      <c r="P371" s="4" t="s">
        <v>46</v>
      </c>
    </row>
    <row r="372" customFormat="false" ht="15" hidden="false" customHeight="false" outlineLevel="0" collapsed="false">
      <c r="A372" s="4" t="s">
        <v>1321</v>
      </c>
      <c r="B372" s="4" t="s">
        <v>1275</v>
      </c>
      <c r="C372" s="4" t="s">
        <v>304</v>
      </c>
      <c r="D372" s="4" t="s">
        <v>305</v>
      </c>
      <c r="E372" s="4" t="s">
        <v>306</v>
      </c>
      <c r="F372" s="4" t="s">
        <v>42</v>
      </c>
      <c r="G372" s="4" t="s">
        <v>38</v>
      </c>
      <c r="H372" s="4" t="n">
        <v>2</v>
      </c>
      <c r="I372" s="4" t="s">
        <v>784</v>
      </c>
      <c r="J372" s="4" t="s">
        <v>68</v>
      </c>
      <c r="K372" s="4" t="s">
        <v>1322</v>
      </c>
      <c r="L372" s="4" t="s">
        <v>596</v>
      </c>
      <c r="M372" s="4" t="s">
        <v>695</v>
      </c>
      <c r="N372" s="4" t="s">
        <v>44</v>
      </c>
      <c r="O372" s="4" t="s">
        <v>1323</v>
      </c>
      <c r="P372" s="4" t="s">
        <v>46</v>
      </c>
    </row>
    <row r="373" customFormat="false" ht="15" hidden="false" customHeight="false" outlineLevel="0" collapsed="false">
      <c r="A373" s="4" t="s">
        <v>1324</v>
      </c>
      <c r="B373" s="4" t="s">
        <v>1275</v>
      </c>
      <c r="C373" s="4" t="s">
        <v>304</v>
      </c>
      <c r="D373" s="4" t="s">
        <v>305</v>
      </c>
      <c r="E373" s="4" t="s">
        <v>306</v>
      </c>
      <c r="F373" s="4" t="s">
        <v>70</v>
      </c>
      <c r="G373" s="4" t="s">
        <v>38</v>
      </c>
      <c r="H373" s="4" t="n">
        <v>2</v>
      </c>
      <c r="I373" s="4" t="s">
        <v>1233</v>
      </c>
      <c r="J373" s="4" t="s">
        <v>81</v>
      </c>
      <c r="K373" s="4" t="s">
        <v>320</v>
      </c>
      <c r="L373" s="4" t="s">
        <v>42</v>
      </c>
      <c r="M373" s="4" t="s">
        <v>133</v>
      </c>
      <c r="N373" s="4" t="s">
        <v>52</v>
      </c>
      <c r="O373" s="4" t="s">
        <v>321</v>
      </c>
      <c r="P373" s="4" t="s">
        <v>46</v>
      </c>
    </row>
    <row r="374" customFormat="false" ht="15" hidden="false" customHeight="false" outlineLevel="0" collapsed="false">
      <c r="A374" s="4" t="s">
        <v>1325</v>
      </c>
      <c r="B374" s="4" t="s">
        <v>1275</v>
      </c>
      <c r="C374" s="4" t="s">
        <v>304</v>
      </c>
      <c r="D374" s="4" t="s">
        <v>305</v>
      </c>
      <c r="E374" s="4" t="s">
        <v>306</v>
      </c>
      <c r="F374" s="4" t="s">
        <v>42</v>
      </c>
      <c r="G374" s="4" t="s">
        <v>59</v>
      </c>
      <c r="H374" s="4" t="n">
        <v>1</v>
      </c>
      <c r="I374" s="4" t="s">
        <v>628</v>
      </c>
      <c r="J374" s="4" t="s">
        <v>68</v>
      </c>
      <c r="K374" s="4" t="s">
        <v>1326</v>
      </c>
      <c r="L374" s="4" t="s">
        <v>42</v>
      </c>
      <c r="M374" s="4" t="s">
        <v>133</v>
      </c>
      <c r="N374" s="4" t="s">
        <v>44</v>
      </c>
      <c r="O374" s="4" t="s">
        <v>1327</v>
      </c>
      <c r="P374" s="4" t="s">
        <v>46</v>
      </c>
    </row>
    <row r="375" customFormat="false" ht="15" hidden="false" customHeight="false" outlineLevel="0" collapsed="false">
      <c r="A375" s="4" t="s">
        <v>1328</v>
      </c>
      <c r="B375" s="4" t="s">
        <v>1275</v>
      </c>
      <c r="C375" s="4" t="s">
        <v>304</v>
      </c>
      <c r="D375" s="4" t="s">
        <v>305</v>
      </c>
      <c r="E375" s="4" t="s">
        <v>306</v>
      </c>
      <c r="F375" s="4" t="s">
        <v>42</v>
      </c>
      <c r="G375" s="4" t="s">
        <v>326</v>
      </c>
      <c r="H375" s="4" t="n">
        <v>4</v>
      </c>
      <c r="I375" s="4" t="s">
        <v>890</v>
      </c>
      <c r="J375" s="4" t="s">
        <v>40</v>
      </c>
      <c r="K375" s="4" t="s">
        <v>51</v>
      </c>
      <c r="L375" s="4" t="s">
        <v>42</v>
      </c>
      <c r="M375" s="4" t="s">
        <v>43</v>
      </c>
      <c r="N375" s="4" t="s">
        <v>44</v>
      </c>
      <c r="O375" s="4" t="s">
        <v>53</v>
      </c>
      <c r="P375" s="4" t="s">
        <v>46</v>
      </c>
    </row>
    <row r="376" customFormat="false" ht="15" hidden="false" customHeight="false" outlineLevel="0" collapsed="false">
      <c r="A376" s="4" t="s">
        <v>1329</v>
      </c>
      <c r="B376" s="4" t="s">
        <v>1275</v>
      </c>
      <c r="C376" s="4" t="s">
        <v>304</v>
      </c>
      <c r="D376" s="4" t="s">
        <v>305</v>
      </c>
      <c r="E376" s="4" t="s">
        <v>306</v>
      </c>
      <c r="F376" s="4" t="s">
        <v>42</v>
      </c>
      <c r="G376" s="4" t="s">
        <v>38</v>
      </c>
      <c r="H376" s="4" t="n">
        <v>2</v>
      </c>
      <c r="I376" s="4" t="s">
        <v>870</v>
      </c>
      <c r="J376" s="4" t="s">
        <v>40</v>
      </c>
      <c r="K376" s="4" t="s">
        <v>620</v>
      </c>
      <c r="L376" s="4" t="s">
        <v>70</v>
      </c>
      <c r="M376" s="4" t="s">
        <v>43</v>
      </c>
      <c r="N376" s="4" t="s">
        <v>44</v>
      </c>
      <c r="O376" s="4" t="s">
        <v>621</v>
      </c>
      <c r="P376" s="4" t="s">
        <v>46</v>
      </c>
    </row>
    <row r="377" customFormat="false" ht="15" hidden="false" customHeight="false" outlineLevel="0" collapsed="false">
      <c r="A377" s="4" t="s">
        <v>1330</v>
      </c>
      <c r="B377" s="4" t="s">
        <v>1311</v>
      </c>
      <c r="C377" s="4" t="s">
        <v>611</v>
      </c>
      <c r="D377" s="4" t="s">
        <v>612</v>
      </c>
      <c r="E377" s="4" t="s">
        <v>627</v>
      </c>
      <c r="F377" s="4" t="s">
        <v>128</v>
      </c>
      <c r="G377" s="4" t="s">
        <v>38</v>
      </c>
      <c r="H377" s="4" t="n">
        <v>1</v>
      </c>
      <c r="I377" s="4" t="s">
        <v>1331</v>
      </c>
      <c r="J377" s="4" t="s">
        <v>40</v>
      </c>
      <c r="K377" s="4" t="s">
        <v>1332</v>
      </c>
      <c r="L377" s="4" t="s">
        <v>480</v>
      </c>
      <c r="M377" s="4" t="s">
        <v>43</v>
      </c>
      <c r="N377" s="4" t="s">
        <v>44</v>
      </c>
      <c r="O377" s="4" t="s">
        <v>1333</v>
      </c>
      <c r="P377" s="4" t="s">
        <v>46</v>
      </c>
    </row>
    <row r="378" customFormat="false" ht="15" hidden="false" customHeight="false" outlineLevel="0" collapsed="false">
      <c r="A378" s="4" t="s">
        <v>1334</v>
      </c>
      <c r="B378" s="4" t="s">
        <v>1311</v>
      </c>
      <c r="C378" s="4" t="s">
        <v>611</v>
      </c>
      <c r="D378" s="4" t="s">
        <v>612</v>
      </c>
      <c r="E378" s="4" t="s">
        <v>618</v>
      </c>
      <c r="F378" s="4" t="s">
        <v>58</v>
      </c>
      <c r="G378" s="4" t="s">
        <v>38</v>
      </c>
      <c r="H378" s="4" t="n">
        <v>1</v>
      </c>
      <c r="I378" s="4" t="s">
        <v>960</v>
      </c>
      <c r="J378" s="4" t="s">
        <v>149</v>
      </c>
      <c r="K378" s="4" t="s">
        <v>1167</v>
      </c>
      <c r="L378" s="4" t="s">
        <v>42</v>
      </c>
      <c r="M378" s="4" t="s">
        <v>43</v>
      </c>
      <c r="N378" s="4" t="s">
        <v>185</v>
      </c>
      <c r="O378" s="4" t="s">
        <v>1168</v>
      </c>
      <c r="P378" s="4" t="s">
        <v>46</v>
      </c>
    </row>
    <row r="379" customFormat="false" ht="15" hidden="false" customHeight="false" outlineLevel="0" collapsed="false">
      <c r="A379" s="4" t="s">
        <v>1335</v>
      </c>
      <c r="B379" s="4" t="s">
        <v>1311</v>
      </c>
      <c r="C379" s="4" t="s">
        <v>304</v>
      </c>
      <c r="D379" s="4" t="s">
        <v>305</v>
      </c>
      <c r="E379" s="4" t="s">
        <v>311</v>
      </c>
      <c r="F379" s="4" t="s">
        <v>42</v>
      </c>
      <c r="G379" s="4" t="s">
        <v>38</v>
      </c>
      <c r="H379" s="4" t="n">
        <v>3</v>
      </c>
      <c r="I379" s="4" t="s">
        <v>986</v>
      </c>
      <c r="J379" s="4" t="s">
        <v>40</v>
      </c>
      <c r="K379" s="4" t="s">
        <v>246</v>
      </c>
      <c r="L379" s="4" t="s">
        <v>58</v>
      </c>
      <c r="M379" s="4" t="s">
        <v>43</v>
      </c>
      <c r="N379" s="4" t="s">
        <v>44</v>
      </c>
      <c r="O379" s="4" t="s">
        <v>247</v>
      </c>
      <c r="P379" s="4" t="s">
        <v>46</v>
      </c>
    </row>
    <row r="380" customFormat="false" ht="15" hidden="false" customHeight="false" outlineLevel="0" collapsed="false">
      <c r="A380" s="4" t="s">
        <v>1336</v>
      </c>
      <c r="B380" s="4" t="s">
        <v>1311</v>
      </c>
      <c r="C380" s="4" t="s">
        <v>304</v>
      </c>
      <c r="D380" s="4" t="s">
        <v>305</v>
      </c>
      <c r="E380" s="4" t="s">
        <v>306</v>
      </c>
      <c r="F380" s="4" t="s">
        <v>128</v>
      </c>
      <c r="G380" s="4" t="s">
        <v>59</v>
      </c>
      <c r="H380" s="4" t="n">
        <v>2</v>
      </c>
      <c r="I380" s="4" t="s">
        <v>520</v>
      </c>
      <c r="J380" s="4" t="s">
        <v>40</v>
      </c>
      <c r="K380" s="4" t="s">
        <v>484</v>
      </c>
      <c r="L380" s="4" t="s">
        <v>42</v>
      </c>
      <c r="M380" s="4" t="s">
        <v>43</v>
      </c>
      <c r="N380" s="4" t="s">
        <v>44</v>
      </c>
      <c r="O380" s="4" t="s">
        <v>485</v>
      </c>
      <c r="P380" s="4" t="s">
        <v>46</v>
      </c>
    </row>
    <row r="381" customFormat="false" ht="15" hidden="false" customHeight="false" outlineLevel="0" collapsed="false">
      <c r="A381" s="4" t="s">
        <v>1337</v>
      </c>
      <c r="B381" s="4" t="s">
        <v>1311</v>
      </c>
      <c r="C381" s="4" t="s">
        <v>304</v>
      </c>
      <c r="D381" s="4" t="s">
        <v>305</v>
      </c>
      <c r="E381" s="4" t="s">
        <v>306</v>
      </c>
      <c r="F381" s="4" t="s">
        <v>42</v>
      </c>
      <c r="G381" s="4" t="s">
        <v>326</v>
      </c>
      <c r="H381" s="4" t="n">
        <v>1</v>
      </c>
      <c r="I381" s="4" t="s">
        <v>1338</v>
      </c>
      <c r="J381" s="4" t="s">
        <v>40</v>
      </c>
      <c r="K381" s="4" t="s">
        <v>1339</v>
      </c>
      <c r="L381" s="4" t="s">
        <v>70</v>
      </c>
      <c r="M381" s="4" t="s">
        <v>43</v>
      </c>
      <c r="N381" s="4" t="s">
        <v>44</v>
      </c>
      <c r="O381" s="4" t="s">
        <v>1340</v>
      </c>
      <c r="P381" s="4" t="s">
        <v>46</v>
      </c>
    </row>
    <row r="382" customFormat="false" ht="15" hidden="false" customHeight="false" outlineLevel="0" collapsed="false">
      <c r="A382" s="4" t="s">
        <v>1341</v>
      </c>
      <c r="B382" s="4" t="s">
        <v>1311</v>
      </c>
      <c r="C382" s="4" t="s">
        <v>304</v>
      </c>
      <c r="D382" s="4" t="s">
        <v>305</v>
      </c>
      <c r="E382" s="4" t="s">
        <v>306</v>
      </c>
      <c r="F382" s="4" t="s">
        <v>37</v>
      </c>
      <c r="G382" s="4" t="s">
        <v>59</v>
      </c>
      <c r="H382" s="4" t="n">
        <v>3</v>
      </c>
      <c r="I382" s="4" t="s">
        <v>1342</v>
      </c>
      <c r="J382" s="4" t="s">
        <v>68</v>
      </c>
      <c r="K382" s="4" t="s">
        <v>546</v>
      </c>
      <c r="L382" s="4" t="s">
        <v>70</v>
      </c>
      <c r="M382" s="4" t="s">
        <v>43</v>
      </c>
      <c r="N382" s="4" t="s">
        <v>185</v>
      </c>
      <c r="O382" s="4" t="s">
        <v>547</v>
      </c>
      <c r="P382" s="4" t="s">
        <v>46</v>
      </c>
    </row>
    <row r="383" customFormat="false" ht="15" hidden="false" customHeight="false" outlineLevel="0" collapsed="false">
      <c r="A383" s="4" t="s">
        <v>1343</v>
      </c>
      <c r="B383" s="4" t="s">
        <v>1311</v>
      </c>
      <c r="C383" s="4" t="s">
        <v>1311</v>
      </c>
      <c r="D383" s="4" t="s">
        <v>35</v>
      </c>
      <c r="E383" s="4" t="s">
        <v>57</v>
      </c>
      <c r="F383" s="4" t="s">
        <v>42</v>
      </c>
      <c r="G383" s="4" t="s">
        <v>59</v>
      </c>
      <c r="H383" s="4" t="n">
        <v>1</v>
      </c>
      <c r="I383" s="4" t="s">
        <v>60</v>
      </c>
      <c r="J383" s="4" t="s">
        <v>68</v>
      </c>
      <c r="K383" s="4" t="s">
        <v>1202</v>
      </c>
      <c r="L383" s="4" t="s">
        <v>37</v>
      </c>
      <c r="M383" s="4" t="s">
        <v>43</v>
      </c>
      <c r="N383" s="4" t="s">
        <v>44</v>
      </c>
      <c r="O383" s="4" t="s">
        <v>1203</v>
      </c>
      <c r="P383" s="4" t="s">
        <v>46</v>
      </c>
    </row>
    <row r="384" customFormat="false" ht="15" hidden="false" customHeight="false" outlineLevel="0" collapsed="false">
      <c r="A384" s="4" t="s">
        <v>1344</v>
      </c>
      <c r="B384" s="4" t="s">
        <v>1311</v>
      </c>
      <c r="C384" s="4" t="s">
        <v>1345</v>
      </c>
      <c r="D384" s="4" t="s">
        <v>35</v>
      </c>
      <c r="E384" s="4" t="s">
        <v>36</v>
      </c>
      <c r="F384" s="4" t="s">
        <v>42</v>
      </c>
      <c r="G384" s="4" t="s">
        <v>38</v>
      </c>
      <c r="H384" s="4" t="n">
        <v>2</v>
      </c>
      <c r="I384" s="4" t="s">
        <v>67</v>
      </c>
      <c r="J384" s="4" t="s">
        <v>68</v>
      </c>
      <c r="K384" s="4" t="s">
        <v>232</v>
      </c>
      <c r="L384" s="4" t="s">
        <v>42</v>
      </c>
      <c r="M384" s="4" t="s">
        <v>43</v>
      </c>
      <c r="N384" s="4" t="s">
        <v>44</v>
      </c>
      <c r="O384" s="4" t="s">
        <v>233</v>
      </c>
      <c r="P384" s="4" t="s">
        <v>46</v>
      </c>
    </row>
    <row r="385" customFormat="false" ht="15" hidden="false" customHeight="false" outlineLevel="0" collapsed="false">
      <c r="A385" s="4" t="s">
        <v>1346</v>
      </c>
      <c r="B385" s="4" t="s">
        <v>304</v>
      </c>
      <c r="C385" s="4" t="s">
        <v>611</v>
      </c>
      <c r="D385" s="4" t="s">
        <v>612</v>
      </c>
      <c r="E385" s="4" t="s">
        <v>627</v>
      </c>
      <c r="F385" s="4" t="s">
        <v>58</v>
      </c>
      <c r="G385" s="4" t="s">
        <v>59</v>
      </c>
      <c r="H385" s="4" t="n">
        <v>2</v>
      </c>
      <c r="I385" s="4" t="s">
        <v>1347</v>
      </c>
      <c r="J385" s="4" t="s">
        <v>149</v>
      </c>
      <c r="K385" s="4" t="s">
        <v>1348</v>
      </c>
      <c r="L385" s="4" t="s">
        <v>706</v>
      </c>
      <c r="M385" s="4" t="s">
        <v>412</v>
      </c>
      <c r="N385" s="4" t="s">
        <v>44</v>
      </c>
      <c r="O385" s="4" t="s">
        <v>1349</v>
      </c>
      <c r="P385" s="4" t="s">
        <v>46</v>
      </c>
    </row>
    <row r="386" customFormat="false" ht="15" hidden="false" customHeight="false" outlineLevel="0" collapsed="false">
      <c r="A386" s="4" t="s">
        <v>1350</v>
      </c>
      <c r="B386" s="4" t="s">
        <v>304</v>
      </c>
      <c r="C386" s="4" t="s">
        <v>611</v>
      </c>
      <c r="D386" s="4" t="s">
        <v>612</v>
      </c>
      <c r="E386" s="4" t="s">
        <v>627</v>
      </c>
      <c r="F386" s="4" t="s">
        <v>42</v>
      </c>
      <c r="G386" s="4" t="s">
        <v>59</v>
      </c>
      <c r="H386" s="4" t="n">
        <v>1</v>
      </c>
      <c r="I386" s="4" t="s">
        <v>865</v>
      </c>
      <c r="J386" s="4" t="s">
        <v>68</v>
      </c>
      <c r="K386" s="4" t="s">
        <v>1351</v>
      </c>
      <c r="L386" s="4" t="s">
        <v>1352</v>
      </c>
      <c r="M386" s="4" t="s">
        <v>838</v>
      </c>
      <c r="N386" s="4" t="s">
        <v>44</v>
      </c>
      <c r="O386" s="4" t="s">
        <v>1353</v>
      </c>
      <c r="P386" s="4" t="s">
        <v>46</v>
      </c>
    </row>
    <row r="387" customFormat="false" ht="15" hidden="false" customHeight="false" outlineLevel="0" collapsed="false">
      <c r="A387" s="4" t="s">
        <v>1354</v>
      </c>
      <c r="B387" s="4" t="s">
        <v>304</v>
      </c>
      <c r="C387" s="4" t="s">
        <v>611</v>
      </c>
      <c r="D387" s="4" t="s">
        <v>612</v>
      </c>
      <c r="E387" s="4" t="s">
        <v>761</v>
      </c>
      <c r="F387" s="4" t="s">
        <v>128</v>
      </c>
      <c r="G387" s="4" t="s">
        <v>59</v>
      </c>
      <c r="H387" s="4" t="n">
        <v>1</v>
      </c>
      <c r="I387" s="4" t="s">
        <v>349</v>
      </c>
      <c r="J387" s="4" t="s">
        <v>40</v>
      </c>
      <c r="K387" s="4" t="s">
        <v>682</v>
      </c>
      <c r="L387" s="4" t="s">
        <v>42</v>
      </c>
      <c r="M387" s="4" t="s">
        <v>43</v>
      </c>
      <c r="N387" s="4" t="s">
        <v>185</v>
      </c>
      <c r="O387" s="4" t="s">
        <v>683</v>
      </c>
      <c r="P387" s="4" t="s">
        <v>46</v>
      </c>
    </row>
    <row r="388" customFormat="false" ht="15" hidden="false" customHeight="false" outlineLevel="0" collapsed="false">
      <c r="A388" s="4" t="s">
        <v>1355</v>
      </c>
      <c r="B388" s="4" t="s">
        <v>304</v>
      </c>
      <c r="C388" s="4" t="s">
        <v>304</v>
      </c>
      <c r="D388" s="4" t="s">
        <v>305</v>
      </c>
      <c r="E388" s="4" t="s">
        <v>311</v>
      </c>
      <c r="F388" s="4" t="s">
        <v>42</v>
      </c>
      <c r="G388" s="4" t="s">
        <v>38</v>
      </c>
      <c r="H388" s="4" t="n">
        <v>2</v>
      </c>
      <c r="I388" s="4" t="s">
        <v>1356</v>
      </c>
      <c r="J388" s="4" t="s">
        <v>40</v>
      </c>
      <c r="K388" s="4" t="s">
        <v>284</v>
      </c>
      <c r="L388" s="4" t="s">
        <v>37</v>
      </c>
      <c r="M388" s="4" t="s">
        <v>43</v>
      </c>
      <c r="N388" s="4" t="s">
        <v>52</v>
      </c>
      <c r="O388" s="4" t="s">
        <v>285</v>
      </c>
      <c r="P388" s="4" t="s">
        <v>46</v>
      </c>
    </row>
    <row r="389" customFormat="false" ht="15" hidden="false" customHeight="false" outlineLevel="0" collapsed="false">
      <c r="A389" s="4" t="s">
        <v>1357</v>
      </c>
      <c r="B389" s="4" t="s">
        <v>304</v>
      </c>
      <c r="C389" s="4" t="s">
        <v>304</v>
      </c>
      <c r="D389" s="4" t="s">
        <v>305</v>
      </c>
      <c r="E389" s="4" t="s">
        <v>306</v>
      </c>
      <c r="F389" s="4" t="s">
        <v>70</v>
      </c>
      <c r="G389" s="4" t="s">
        <v>38</v>
      </c>
      <c r="H389" s="4" t="n">
        <v>2</v>
      </c>
      <c r="I389" s="4" t="s">
        <v>727</v>
      </c>
      <c r="J389" s="4" t="s">
        <v>68</v>
      </c>
      <c r="K389" s="4" t="s">
        <v>1358</v>
      </c>
      <c r="L389" s="4" t="s">
        <v>837</v>
      </c>
      <c r="M389" s="4" t="s">
        <v>838</v>
      </c>
      <c r="N389" s="4" t="s">
        <v>52</v>
      </c>
      <c r="O389" s="4" t="s">
        <v>1359</v>
      </c>
      <c r="P389" s="4" t="s">
        <v>46</v>
      </c>
    </row>
    <row r="390" customFormat="false" ht="15" hidden="false" customHeight="false" outlineLevel="0" collapsed="false">
      <c r="A390" s="4" t="s">
        <v>1360</v>
      </c>
      <c r="B390" s="4" t="s">
        <v>304</v>
      </c>
      <c r="C390" s="4" t="s">
        <v>304</v>
      </c>
      <c r="D390" s="4" t="s">
        <v>305</v>
      </c>
      <c r="E390" s="4" t="s">
        <v>306</v>
      </c>
      <c r="F390" s="4" t="s">
        <v>37</v>
      </c>
      <c r="G390" s="4" t="s">
        <v>38</v>
      </c>
      <c r="H390" s="4" t="n">
        <v>1</v>
      </c>
      <c r="I390" s="4" t="s">
        <v>1361</v>
      </c>
      <c r="J390" s="4" t="s">
        <v>40</v>
      </c>
      <c r="K390" s="4" t="s">
        <v>1362</v>
      </c>
      <c r="L390" s="4" t="s">
        <v>825</v>
      </c>
      <c r="M390" s="4" t="s">
        <v>43</v>
      </c>
      <c r="N390" s="4" t="s">
        <v>44</v>
      </c>
      <c r="O390" s="4" t="s">
        <v>1363</v>
      </c>
      <c r="P390" s="4" t="s">
        <v>46</v>
      </c>
    </row>
    <row r="391" customFormat="false" ht="15" hidden="false" customHeight="false" outlineLevel="0" collapsed="false">
      <c r="A391" s="4" t="s">
        <v>1364</v>
      </c>
      <c r="B391" s="4" t="s">
        <v>304</v>
      </c>
      <c r="C391" s="4" t="s">
        <v>304</v>
      </c>
      <c r="D391" s="4" t="s">
        <v>305</v>
      </c>
      <c r="E391" s="4" t="s">
        <v>345</v>
      </c>
      <c r="F391" s="4" t="s">
        <v>42</v>
      </c>
      <c r="G391" s="4" t="s">
        <v>38</v>
      </c>
      <c r="H391" s="4" t="n">
        <v>1</v>
      </c>
      <c r="I391" s="4" t="s">
        <v>449</v>
      </c>
      <c r="J391" s="4" t="s">
        <v>149</v>
      </c>
      <c r="K391" s="4" t="s">
        <v>1365</v>
      </c>
      <c r="L391" s="4" t="s">
        <v>988</v>
      </c>
      <c r="M391" s="4" t="s">
        <v>737</v>
      </c>
      <c r="N391" s="4" t="s">
        <v>44</v>
      </c>
      <c r="O391" s="4" t="s">
        <v>1366</v>
      </c>
      <c r="P391" s="4" t="s">
        <v>46</v>
      </c>
    </row>
    <row r="392" customFormat="false" ht="15" hidden="false" customHeight="false" outlineLevel="0" collapsed="false">
      <c r="A392" s="4" t="s">
        <v>1367</v>
      </c>
      <c r="B392" s="4" t="s">
        <v>304</v>
      </c>
      <c r="C392" s="4" t="s">
        <v>304</v>
      </c>
      <c r="D392" s="4" t="s">
        <v>305</v>
      </c>
      <c r="E392" s="4" t="s">
        <v>345</v>
      </c>
      <c r="F392" s="4" t="s">
        <v>42</v>
      </c>
      <c r="G392" s="4" t="s">
        <v>38</v>
      </c>
      <c r="H392" s="4" t="n">
        <v>2</v>
      </c>
      <c r="I392" s="4" t="s">
        <v>1080</v>
      </c>
      <c r="J392" s="4" t="s">
        <v>68</v>
      </c>
      <c r="K392" s="4" t="s">
        <v>270</v>
      </c>
      <c r="L392" s="4" t="s">
        <v>42</v>
      </c>
      <c r="M392" s="4" t="s">
        <v>43</v>
      </c>
      <c r="N392" s="4" t="s">
        <v>44</v>
      </c>
      <c r="O392" s="4" t="s">
        <v>271</v>
      </c>
      <c r="P392" s="4" t="s">
        <v>46</v>
      </c>
    </row>
    <row r="393" customFormat="false" ht="15" hidden="false" customHeight="false" outlineLevel="0" collapsed="false">
      <c r="A393" s="4" t="s">
        <v>1368</v>
      </c>
      <c r="B393" s="4" t="s">
        <v>1345</v>
      </c>
      <c r="C393" s="4" t="s">
        <v>611</v>
      </c>
      <c r="D393" s="4" t="s">
        <v>612</v>
      </c>
      <c r="E393" s="4" t="s">
        <v>761</v>
      </c>
      <c r="F393" s="4" t="s">
        <v>42</v>
      </c>
      <c r="G393" s="4" t="s">
        <v>59</v>
      </c>
      <c r="H393" s="4" t="n">
        <v>1</v>
      </c>
      <c r="I393" s="4" t="s">
        <v>1014</v>
      </c>
      <c r="J393" s="4" t="s">
        <v>68</v>
      </c>
      <c r="K393" s="4" t="s">
        <v>265</v>
      </c>
      <c r="L393" s="4" t="s">
        <v>42</v>
      </c>
      <c r="M393" s="4" t="s">
        <v>43</v>
      </c>
      <c r="N393" s="4" t="s">
        <v>185</v>
      </c>
      <c r="O393" s="4" t="s">
        <v>266</v>
      </c>
      <c r="P393" s="4" t="s">
        <v>46</v>
      </c>
    </row>
    <row r="394" customFormat="false" ht="15" hidden="false" customHeight="false" outlineLevel="0" collapsed="false">
      <c r="A394" s="4" t="s">
        <v>1369</v>
      </c>
      <c r="B394" s="4" t="s">
        <v>1370</v>
      </c>
      <c r="C394" s="4" t="s">
        <v>611</v>
      </c>
      <c r="D394" s="4" t="s">
        <v>612</v>
      </c>
      <c r="E394" s="4" t="s">
        <v>627</v>
      </c>
      <c r="F394" s="4" t="s">
        <v>42</v>
      </c>
      <c r="G394" s="4" t="s">
        <v>59</v>
      </c>
      <c r="H394" s="4" t="n">
        <v>1</v>
      </c>
      <c r="I394" s="4" t="s">
        <v>992</v>
      </c>
      <c r="J394" s="4" t="s">
        <v>68</v>
      </c>
      <c r="K394" s="4" t="s">
        <v>1371</v>
      </c>
      <c r="L394" s="4" t="s">
        <v>1372</v>
      </c>
      <c r="M394" s="4" t="s">
        <v>356</v>
      </c>
      <c r="N394" s="4" t="s">
        <v>221</v>
      </c>
      <c r="O394" s="4"/>
      <c r="P394" s="4" t="s">
        <v>46</v>
      </c>
    </row>
    <row r="395" customFormat="false" ht="15" hidden="false" customHeight="false" outlineLevel="0" collapsed="false">
      <c r="A395" s="4" t="s">
        <v>1373</v>
      </c>
      <c r="B395" s="4" t="s">
        <v>1374</v>
      </c>
      <c r="C395" s="4" t="s">
        <v>611</v>
      </c>
      <c r="D395" s="4" t="s">
        <v>612</v>
      </c>
      <c r="E395" s="4" t="s">
        <v>649</v>
      </c>
      <c r="F395" s="4" t="s">
        <v>70</v>
      </c>
      <c r="G395" s="4" t="s">
        <v>38</v>
      </c>
      <c r="H395" s="4" t="n">
        <v>1</v>
      </c>
      <c r="I395" s="4" t="s">
        <v>817</v>
      </c>
      <c r="J395" s="4" t="s">
        <v>40</v>
      </c>
      <c r="K395" s="4" t="s">
        <v>157</v>
      </c>
      <c r="L395" s="4" t="s">
        <v>168</v>
      </c>
      <c r="M395" s="4" t="s">
        <v>43</v>
      </c>
      <c r="N395" s="4" t="s">
        <v>44</v>
      </c>
      <c r="O395" s="4" t="s">
        <v>158</v>
      </c>
      <c r="P395" s="4" t="s">
        <v>46</v>
      </c>
    </row>
    <row r="396" customFormat="false" ht="15" hidden="false" customHeight="false" outlineLevel="0" collapsed="false">
      <c r="A396" s="4" t="s">
        <v>1375</v>
      </c>
      <c r="B396" s="4" t="s">
        <v>1376</v>
      </c>
      <c r="C396" s="4" t="s">
        <v>611</v>
      </c>
      <c r="D396" s="4" t="s">
        <v>612</v>
      </c>
      <c r="E396" s="4" t="s">
        <v>649</v>
      </c>
      <c r="F396" s="4" t="s">
        <v>58</v>
      </c>
      <c r="G396" s="4" t="s">
        <v>59</v>
      </c>
      <c r="H396" s="4" t="n">
        <v>2</v>
      </c>
      <c r="I396" s="4" t="s">
        <v>925</v>
      </c>
      <c r="J396" s="4" t="s">
        <v>40</v>
      </c>
      <c r="K396" s="4" t="s">
        <v>1377</v>
      </c>
      <c r="L396" s="4" t="s">
        <v>364</v>
      </c>
      <c r="M396" s="4" t="s">
        <v>365</v>
      </c>
      <c r="N396" s="4" t="s">
        <v>44</v>
      </c>
      <c r="O396" s="4" t="s">
        <v>1378</v>
      </c>
      <c r="P396" s="4" t="s">
        <v>46</v>
      </c>
    </row>
    <row r="397" customFormat="false" ht="15" hidden="false" customHeight="false" outlineLevel="0" collapsed="false">
      <c r="A397" s="4" t="s">
        <v>1379</v>
      </c>
      <c r="B397" s="4" t="s">
        <v>1380</v>
      </c>
      <c r="C397" s="4" t="s">
        <v>611</v>
      </c>
      <c r="D397" s="4" t="s">
        <v>612</v>
      </c>
      <c r="E397" s="4" t="s">
        <v>627</v>
      </c>
      <c r="F397" s="4" t="s">
        <v>42</v>
      </c>
      <c r="G397" s="4" t="s">
        <v>38</v>
      </c>
      <c r="H397" s="4" t="n">
        <v>1</v>
      </c>
      <c r="I397" s="4" t="s">
        <v>1381</v>
      </c>
      <c r="J397" s="4" t="s">
        <v>68</v>
      </c>
      <c r="K397" s="4" t="s">
        <v>442</v>
      </c>
      <c r="L397" s="4" t="s">
        <v>42</v>
      </c>
      <c r="M397" s="4" t="s">
        <v>43</v>
      </c>
      <c r="N397" s="4" t="s">
        <v>44</v>
      </c>
      <c r="O397" s="4" t="s">
        <v>443</v>
      </c>
      <c r="P397" s="4" t="s">
        <v>46</v>
      </c>
    </row>
    <row r="398" customFormat="false" ht="15" hidden="false" customHeight="false" outlineLevel="0" collapsed="false">
      <c r="A398" s="4" t="s">
        <v>1382</v>
      </c>
      <c r="B398" s="4" t="s">
        <v>1383</v>
      </c>
      <c r="C398" s="4" t="s">
        <v>611</v>
      </c>
      <c r="D398" s="4" t="s">
        <v>612</v>
      </c>
      <c r="E398" s="4" t="s">
        <v>627</v>
      </c>
      <c r="F398" s="4" t="s">
        <v>42</v>
      </c>
      <c r="G398" s="4" t="s">
        <v>326</v>
      </c>
      <c r="H398" s="4" t="n">
        <v>2</v>
      </c>
      <c r="I398" s="4" t="s">
        <v>1384</v>
      </c>
      <c r="J398" s="4" t="s">
        <v>40</v>
      </c>
      <c r="K398" s="4" t="s">
        <v>1256</v>
      </c>
      <c r="L398" s="4" t="s">
        <v>42</v>
      </c>
      <c r="M398" s="4" t="s">
        <v>43</v>
      </c>
      <c r="N398" s="4" t="s">
        <v>44</v>
      </c>
      <c r="O398" s="4" t="s">
        <v>1257</v>
      </c>
      <c r="P398" s="4" t="s">
        <v>46</v>
      </c>
    </row>
    <row r="399" customFormat="false" ht="15" hidden="false" customHeight="false" outlineLevel="0" collapsed="false">
      <c r="A399" s="4" t="s">
        <v>1385</v>
      </c>
      <c r="B399" s="4" t="s">
        <v>1386</v>
      </c>
      <c r="C399" s="4" t="s">
        <v>611</v>
      </c>
      <c r="D399" s="4" t="s">
        <v>612</v>
      </c>
      <c r="E399" s="4" t="s">
        <v>618</v>
      </c>
      <c r="F399" s="4" t="s">
        <v>42</v>
      </c>
      <c r="G399" s="4" t="s">
        <v>326</v>
      </c>
      <c r="H399" s="4" t="n">
        <v>1</v>
      </c>
      <c r="I399" s="4" t="s">
        <v>1387</v>
      </c>
      <c r="J399" s="4" t="s">
        <v>68</v>
      </c>
      <c r="K399" s="4" t="s">
        <v>1388</v>
      </c>
      <c r="L399" s="4" t="s">
        <v>819</v>
      </c>
      <c r="M399" s="4" t="s">
        <v>43</v>
      </c>
      <c r="N399" s="4" t="s">
        <v>44</v>
      </c>
      <c r="O399" s="4" t="s">
        <v>1389</v>
      </c>
      <c r="P399" s="4" t="s">
        <v>46</v>
      </c>
    </row>
    <row r="400" customFormat="false" ht="15" hidden="false" customHeight="false" outlineLevel="0" collapsed="false">
      <c r="A400" s="4" t="s">
        <v>1390</v>
      </c>
      <c r="B400" s="4" t="s">
        <v>1386</v>
      </c>
      <c r="C400" s="4" t="s">
        <v>611</v>
      </c>
      <c r="D400" s="4" t="s">
        <v>612</v>
      </c>
      <c r="E400" s="4" t="s">
        <v>627</v>
      </c>
      <c r="F400" s="4" t="s">
        <v>42</v>
      </c>
      <c r="G400" s="4" t="s">
        <v>38</v>
      </c>
      <c r="H400" s="4" t="n">
        <v>2</v>
      </c>
      <c r="I400" s="4" t="s">
        <v>729</v>
      </c>
      <c r="J400" s="4" t="s">
        <v>149</v>
      </c>
      <c r="K400" s="4" t="s">
        <v>1391</v>
      </c>
      <c r="L400" s="4" t="s">
        <v>219</v>
      </c>
      <c r="M400" s="4" t="s">
        <v>356</v>
      </c>
      <c r="N400" s="4" t="s">
        <v>221</v>
      </c>
      <c r="O400" s="4"/>
      <c r="P400" s="4" t="s">
        <v>46</v>
      </c>
    </row>
    <row r="401" customFormat="false" ht="15" hidden="false" customHeight="false" outlineLevel="0" collapsed="false">
      <c r="A401" s="4" t="s">
        <v>1392</v>
      </c>
      <c r="B401" s="4" t="s">
        <v>1393</v>
      </c>
      <c r="C401" s="4" t="s">
        <v>1394</v>
      </c>
      <c r="D401" s="4" t="s">
        <v>35</v>
      </c>
      <c r="E401" s="4" t="s">
        <v>49</v>
      </c>
      <c r="F401" s="4" t="s">
        <v>42</v>
      </c>
      <c r="G401" s="4" t="s">
        <v>38</v>
      </c>
      <c r="H401" s="4" t="n">
        <v>1</v>
      </c>
      <c r="I401" s="4" t="s">
        <v>50</v>
      </c>
      <c r="J401" s="4" t="s">
        <v>40</v>
      </c>
      <c r="K401" s="4" t="s">
        <v>1395</v>
      </c>
      <c r="L401" s="4" t="s">
        <v>42</v>
      </c>
      <c r="M401" s="4" t="s">
        <v>43</v>
      </c>
      <c r="N401" s="4" t="s">
        <v>94</v>
      </c>
      <c r="O401" s="4" t="s">
        <v>1396</v>
      </c>
      <c r="P401" s="4" t="s">
        <v>46</v>
      </c>
    </row>
    <row r="402" customFormat="false" ht="15" hidden="false" customHeight="false" outlineLevel="0" collapsed="false">
      <c r="A402" s="4" t="s">
        <v>1397</v>
      </c>
      <c r="B402" s="4" t="s">
        <v>1394</v>
      </c>
      <c r="C402" s="4" t="s">
        <v>611</v>
      </c>
      <c r="D402" s="4" t="s">
        <v>612</v>
      </c>
      <c r="E402" s="4" t="s">
        <v>613</v>
      </c>
      <c r="F402" s="4" t="s">
        <v>42</v>
      </c>
      <c r="G402" s="4" t="s">
        <v>59</v>
      </c>
      <c r="H402" s="4" t="n">
        <v>2</v>
      </c>
      <c r="I402" s="4" t="s">
        <v>770</v>
      </c>
      <c r="J402" s="4" t="s">
        <v>68</v>
      </c>
      <c r="K402" s="4" t="s">
        <v>775</v>
      </c>
      <c r="L402" s="4" t="s">
        <v>37</v>
      </c>
      <c r="M402" s="4" t="s">
        <v>43</v>
      </c>
      <c r="N402" s="4" t="s">
        <v>44</v>
      </c>
      <c r="O402" s="4" t="s">
        <v>776</v>
      </c>
      <c r="P402" s="4" t="s">
        <v>46</v>
      </c>
    </row>
    <row r="403" customFormat="false" ht="15" hidden="false" customHeight="false" outlineLevel="0" collapsed="false">
      <c r="A403" s="4" t="s">
        <v>1398</v>
      </c>
      <c r="B403" s="4" t="s">
        <v>1394</v>
      </c>
      <c r="C403" s="4" t="s">
        <v>611</v>
      </c>
      <c r="D403" s="4" t="s">
        <v>612</v>
      </c>
      <c r="E403" s="4" t="s">
        <v>627</v>
      </c>
      <c r="F403" s="4" t="s">
        <v>42</v>
      </c>
      <c r="G403" s="4" t="s">
        <v>59</v>
      </c>
      <c r="H403" s="4" t="n">
        <v>1</v>
      </c>
      <c r="I403" s="4" t="s">
        <v>903</v>
      </c>
      <c r="J403" s="4" t="s">
        <v>68</v>
      </c>
      <c r="K403" s="4" t="s">
        <v>904</v>
      </c>
      <c r="L403" s="4" t="s">
        <v>382</v>
      </c>
      <c r="M403" s="4" t="s">
        <v>43</v>
      </c>
      <c r="N403" s="4" t="s">
        <v>44</v>
      </c>
      <c r="O403" s="4" t="s">
        <v>905</v>
      </c>
      <c r="P403" s="4" t="s">
        <v>46</v>
      </c>
    </row>
    <row r="404" customFormat="false" ht="15" hidden="false" customHeight="false" outlineLevel="0" collapsed="false">
      <c r="A404" s="4" t="s">
        <v>1399</v>
      </c>
      <c r="B404" s="4" t="s">
        <v>1394</v>
      </c>
      <c r="C404" s="4" t="s">
        <v>611</v>
      </c>
      <c r="D404" s="4" t="s">
        <v>612</v>
      </c>
      <c r="E404" s="4" t="s">
        <v>627</v>
      </c>
      <c r="F404" s="4" t="s">
        <v>128</v>
      </c>
      <c r="G404" s="4" t="s">
        <v>38</v>
      </c>
      <c r="H404" s="4" t="n">
        <v>1</v>
      </c>
      <c r="I404" s="4"/>
      <c r="J404" s="4" t="s">
        <v>68</v>
      </c>
      <c r="K404" s="4" t="s">
        <v>773</v>
      </c>
      <c r="L404" s="4" t="s">
        <v>571</v>
      </c>
      <c r="M404" s="4" t="s">
        <v>356</v>
      </c>
      <c r="N404" s="4" t="s">
        <v>676</v>
      </c>
      <c r="O404" s="4"/>
      <c r="P404" s="4" t="s">
        <v>46</v>
      </c>
    </row>
    <row r="405" customFormat="false" ht="15" hidden="false" customHeight="false" outlineLevel="0" collapsed="false">
      <c r="A405" s="4" t="s">
        <v>1400</v>
      </c>
      <c r="B405" s="4" t="s">
        <v>1401</v>
      </c>
      <c r="C405" s="4" t="s">
        <v>611</v>
      </c>
      <c r="D405" s="4" t="s">
        <v>612</v>
      </c>
      <c r="E405" s="4" t="s">
        <v>613</v>
      </c>
      <c r="F405" s="4" t="s">
        <v>42</v>
      </c>
      <c r="G405" s="4" t="s">
        <v>38</v>
      </c>
      <c r="H405" s="4" t="n">
        <v>1</v>
      </c>
      <c r="I405" s="4" t="s">
        <v>912</v>
      </c>
      <c r="J405" s="4" t="s">
        <v>40</v>
      </c>
      <c r="K405" s="4" t="s">
        <v>157</v>
      </c>
      <c r="L405" s="4" t="s">
        <v>42</v>
      </c>
      <c r="M405" s="4" t="s">
        <v>43</v>
      </c>
      <c r="N405" s="4" t="s">
        <v>44</v>
      </c>
      <c r="O405" s="4" t="s">
        <v>158</v>
      </c>
      <c r="P405" s="4" t="s">
        <v>46</v>
      </c>
    </row>
    <row r="406" customFormat="false" ht="15" hidden="false" customHeight="false" outlineLevel="0" collapsed="false">
      <c r="A406" s="4" t="s">
        <v>1402</v>
      </c>
      <c r="B406" s="4" t="s">
        <v>1403</v>
      </c>
      <c r="C406" s="4" t="s">
        <v>611</v>
      </c>
      <c r="D406" s="4" t="s">
        <v>612</v>
      </c>
      <c r="E406" s="4" t="s">
        <v>627</v>
      </c>
      <c r="F406" s="4" t="s">
        <v>42</v>
      </c>
      <c r="G406" s="4" t="s">
        <v>38</v>
      </c>
      <c r="H406" s="4" t="n">
        <v>2</v>
      </c>
      <c r="I406" s="4" t="s">
        <v>1404</v>
      </c>
      <c r="J406" s="4" t="s">
        <v>81</v>
      </c>
      <c r="K406" s="4" t="s">
        <v>1405</v>
      </c>
      <c r="L406" s="4" t="s">
        <v>432</v>
      </c>
      <c r="M406" s="4" t="s">
        <v>356</v>
      </c>
      <c r="N406" s="4" t="s">
        <v>433</v>
      </c>
      <c r="O406" s="4"/>
      <c r="P406" s="4" t="s">
        <v>46</v>
      </c>
    </row>
    <row r="407" customFormat="false" ht="15" hidden="false" customHeight="false" outlineLevel="0" collapsed="false">
      <c r="A407" s="4" t="s">
        <v>1406</v>
      </c>
      <c r="B407" s="4" t="s">
        <v>1407</v>
      </c>
      <c r="C407" s="4" t="s">
        <v>611</v>
      </c>
      <c r="D407" s="4" t="s">
        <v>612</v>
      </c>
      <c r="E407" s="4" t="s">
        <v>649</v>
      </c>
      <c r="F407" s="4" t="s">
        <v>42</v>
      </c>
      <c r="G407" s="4" t="s">
        <v>38</v>
      </c>
      <c r="H407" s="4" t="n">
        <v>1</v>
      </c>
      <c r="I407" s="4" t="s">
        <v>1008</v>
      </c>
      <c r="J407" s="4" t="s">
        <v>40</v>
      </c>
      <c r="K407" s="4" t="s">
        <v>1029</v>
      </c>
      <c r="L407" s="4" t="s">
        <v>42</v>
      </c>
      <c r="M407" s="4" t="s">
        <v>43</v>
      </c>
      <c r="N407" s="4" t="s">
        <v>44</v>
      </c>
      <c r="O407" s="4" t="s">
        <v>1030</v>
      </c>
      <c r="P407" s="4" t="s">
        <v>46</v>
      </c>
    </row>
    <row r="408" customFormat="false" ht="15" hidden="false" customHeight="false" outlineLevel="0" collapsed="false">
      <c r="A408" s="4" t="s">
        <v>1408</v>
      </c>
      <c r="B408" s="4" t="s">
        <v>1407</v>
      </c>
      <c r="C408" s="4" t="s">
        <v>1407</v>
      </c>
      <c r="D408" s="4" t="s">
        <v>35</v>
      </c>
      <c r="E408" s="4" t="s">
        <v>57</v>
      </c>
      <c r="F408" s="4" t="s">
        <v>128</v>
      </c>
      <c r="G408" s="4" t="s">
        <v>59</v>
      </c>
      <c r="H408" s="4" t="n">
        <v>3</v>
      </c>
      <c r="I408" s="4" t="s">
        <v>60</v>
      </c>
      <c r="J408" s="4" t="s">
        <v>40</v>
      </c>
      <c r="K408" s="4" t="s">
        <v>1135</v>
      </c>
      <c r="L408" s="4" t="s">
        <v>168</v>
      </c>
      <c r="M408" s="4" t="s">
        <v>43</v>
      </c>
      <c r="N408" s="4" t="s">
        <v>44</v>
      </c>
      <c r="O408" s="4" t="s">
        <v>1136</v>
      </c>
      <c r="P408" s="4" t="s">
        <v>46</v>
      </c>
    </row>
    <row r="409" customFormat="false" ht="15" hidden="false" customHeight="false" outlineLevel="0" collapsed="false">
      <c r="A409" s="4" t="s">
        <v>1409</v>
      </c>
      <c r="B409" s="4" t="s">
        <v>1410</v>
      </c>
      <c r="C409" s="4" t="s">
        <v>611</v>
      </c>
      <c r="D409" s="4" t="s">
        <v>612</v>
      </c>
      <c r="E409" s="4" t="s">
        <v>627</v>
      </c>
      <c r="F409" s="4" t="s">
        <v>58</v>
      </c>
      <c r="G409" s="4" t="s">
        <v>59</v>
      </c>
      <c r="H409" s="4" t="n">
        <v>1</v>
      </c>
      <c r="I409" s="4" t="s">
        <v>944</v>
      </c>
      <c r="J409" s="4" t="s">
        <v>68</v>
      </c>
      <c r="K409" s="4" t="s">
        <v>1411</v>
      </c>
      <c r="L409" s="4" t="s">
        <v>524</v>
      </c>
      <c r="M409" s="4" t="s">
        <v>1412</v>
      </c>
      <c r="N409" s="4" t="s">
        <v>94</v>
      </c>
      <c r="O409" s="4" t="s">
        <v>1413</v>
      </c>
      <c r="P409" s="4" t="s">
        <v>46</v>
      </c>
    </row>
    <row r="410" customFormat="false" ht="15" hidden="false" customHeight="false" outlineLevel="0" collapsed="false">
      <c r="A410" s="4" t="s">
        <v>1414</v>
      </c>
      <c r="B410" s="4" t="s">
        <v>1415</v>
      </c>
      <c r="C410" s="4" t="s">
        <v>611</v>
      </c>
      <c r="D410" s="4" t="s">
        <v>612</v>
      </c>
      <c r="E410" s="4" t="s">
        <v>627</v>
      </c>
      <c r="F410" s="4" t="s">
        <v>42</v>
      </c>
      <c r="G410" s="4" t="s">
        <v>38</v>
      </c>
      <c r="H410" s="4" t="n">
        <v>1</v>
      </c>
      <c r="I410" s="4" t="s">
        <v>831</v>
      </c>
      <c r="J410" s="4" t="s">
        <v>68</v>
      </c>
      <c r="K410" s="4" t="s">
        <v>1416</v>
      </c>
      <c r="L410" s="4" t="s">
        <v>376</v>
      </c>
      <c r="M410" s="4" t="s">
        <v>377</v>
      </c>
      <c r="N410" s="4" t="s">
        <v>44</v>
      </c>
      <c r="O410" s="4" t="s">
        <v>1417</v>
      </c>
      <c r="P410" s="4" t="s">
        <v>46</v>
      </c>
    </row>
    <row r="411" customFormat="false" ht="15" hidden="false" customHeight="false" outlineLevel="0" collapsed="false">
      <c r="A411" s="4" t="s">
        <v>1418</v>
      </c>
      <c r="B411" s="4" t="s">
        <v>1415</v>
      </c>
      <c r="C411" s="4" t="s">
        <v>611</v>
      </c>
      <c r="D411" s="4" t="s">
        <v>612</v>
      </c>
      <c r="E411" s="4" t="s">
        <v>649</v>
      </c>
      <c r="F411" s="4" t="s">
        <v>37</v>
      </c>
      <c r="G411" s="4" t="s">
        <v>38</v>
      </c>
      <c r="H411" s="4" t="n">
        <v>2</v>
      </c>
      <c r="I411" s="4" t="s">
        <v>1419</v>
      </c>
      <c r="J411" s="4" t="s">
        <v>40</v>
      </c>
      <c r="K411" s="4" t="s">
        <v>132</v>
      </c>
      <c r="L411" s="4" t="s">
        <v>42</v>
      </c>
      <c r="M411" s="4" t="s">
        <v>43</v>
      </c>
      <c r="N411" s="4" t="s">
        <v>44</v>
      </c>
      <c r="O411" s="4" t="s">
        <v>134</v>
      </c>
      <c r="P411" s="4" t="s">
        <v>46</v>
      </c>
    </row>
    <row r="412" customFormat="false" ht="15" hidden="false" customHeight="false" outlineLevel="0" collapsed="false">
      <c r="A412" s="4" t="s">
        <v>1420</v>
      </c>
      <c r="B412" s="4" t="s">
        <v>1421</v>
      </c>
      <c r="C412" s="4" t="s">
        <v>611</v>
      </c>
      <c r="D412" s="4" t="s">
        <v>612</v>
      </c>
      <c r="E412" s="4" t="s">
        <v>627</v>
      </c>
      <c r="F412" s="4" t="s">
        <v>128</v>
      </c>
      <c r="G412" s="4" t="s">
        <v>38</v>
      </c>
      <c r="H412" s="4" t="n">
        <v>4</v>
      </c>
      <c r="I412" s="4" t="s">
        <v>1422</v>
      </c>
      <c r="J412" s="4" t="s">
        <v>40</v>
      </c>
      <c r="K412" s="4" t="s">
        <v>1423</v>
      </c>
      <c r="L412" s="4" t="s">
        <v>480</v>
      </c>
      <c r="M412" s="4" t="s">
        <v>43</v>
      </c>
      <c r="N412" s="4" t="s">
        <v>185</v>
      </c>
      <c r="O412" s="4" t="s">
        <v>1424</v>
      </c>
      <c r="P412" s="4" t="s">
        <v>46</v>
      </c>
    </row>
    <row r="413" customFormat="false" ht="15" hidden="false" customHeight="false" outlineLevel="0" collapsed="false">
      <c r="A413" s="4" t="s">
        <v>1425</v>
      </c>
      <c r="B413" s="4" t="s">
        <v>1421</v>
      </c>
      <c r="C413" s="4" t="s">
        <v>1426</v>
      </c>
      <c r="D413" s="4" t="s">
        <v>35</v>
      </c>
      <c r="E413" s="4" t="s">
        <v>36</v>
      </c>
      <c r="F413" s="4" t="s">
        <v>42</v>
      </c>
      <c r="G413" s="4" t="s">
        <v>59</v>
      </c>
      <c r="H413" s="4" t="n">
        <v>4</v>
      </c>
      <c r="I413" s="4" t="s">
        <v>75</v>
      </c>
      <c r="J413" s="4" t="s">
        <v>81</v>
      </c>
      <c r="K413" s="4" t="s">
        <v>313</v>
      </c>
      <c r="L413" s="4" t="s">
        <v>168</v>
      </c>
      <c r="M413" s="4" t="s">
        <v>43</v>
      </c>
      <c r="N413" s="4" t="s">
        <v>94</v>
      </c>
      <c r="O413" s="4" t="s">
        <v>314</v>
      </c>
      <c r="P413" s="4" t="s">
        <v>46</v>
      </c>
    </row>
    <row r="414" customFormat="false" ht="15" hidden="false" customHeight="false" outlineLevel="0" collapsed="false">
      <c r="A414" s="4" t="s">
        <v>1427</v>
      </c>
      <c r="B414" s="4" t="s">
        <v>1421</v>
      </c>
      <c r="C414" s="4" t="s">
        <v>1428</v>
      </c>
      <c r="D414" s="4" t="s">
        <v>35</v>
      </c>
      <c r="E414" s="4" t="s">
        <v>66</v>
      </c>
      <c r="F414" s="4" t="s">
        <v>42</v>
      </c>
      <c r="G414" s="4" t="s">
        <v>38</v>
      </c>
      <c r="H414" s="4" t="n">
        <v>4</v>
      </c>
      <c r="I414" s="4" t="s">
        <v>39</v>
      </c>
      <c r="J414" s="4" t="s">
        <v>68</v>
      </c>
      <c r="K414" s="4" t="s">
        <v>107</v>
      </c>
      <c r="L414" s="4" t="s">
        <v>168</v>
      </c>
      <c r="M414" s="4" t="s">
        <v>43</v>
      </c>
      <c r="N414" s="4" t="s">
        <v>44</v>
      </c>
      <c r="O414" s="4" t="s">
        <v>108</v>
      </c>
      <c r="P414" s="4" t="s">
        <v>46</v>
      </c>
    </row>
    <row r="415" customFormat="false" ht="15" hidden="false" customHeight="false" outlineLevel="0" collapsed="false">
      <c r="A415" s="4" t="s">
        <v>1429</v>
      </c>
      <c r="B415" s="4" t="s">
        <v>1428</v>
      </c>
      <c r="C415" s="4" t="s">
        <v>611</v>
      </c>
      <c r="D415" s="4" t="s">
        <v>612</v>
      </c>
      <c r="E415" s="4" t="s">
        <v>627</v>
      </c>
      <c r="F415" s="4" t="s">
        <v>58</v>
      </c>
      <c r="G415" s="4" t="s">
        <v>59</v>
      </c>
      <c r="H415" s="4" t="n">
        <v>3</v>
      </c>
      <c r="I415" s="4" t="s">
        <v>1430</v>
      </c>
      <c r="J415" s="4" t="s">
        <v>40</v>
      </c>
      <c r="K415" s="4" t="s">
        <v>1431</v>
      </c>
      <c r="L415" s="4" t="s">
        <v>634</v>
      </c>
      <c r="M415" s="4" t="s">
        <v>635</v>
      </c>
      <c r="N415" s="4" t="s">
        <v>44</v>
      </c>
      <c r="O415" s="4" t="s">
        <v>1432</v>
      </c>
      <c r="P415" s="4" t="s">
        <v>46</v>
      </c>
    </row>
    <row r="416" customFormat="false" ht="15" hidden="false" customHeight="false" outlineLevel="0" collapsed="false">
      <c r="A416" s="4" t="s">
        <v>1433</v>
      </c>
      <c r="B416" s="4" t="s">
        <v>1428</v>
      </c>
      <c r="C416" s="4" t="s">
        <v>611</v>
      </c>
      <c r="D416" s="4" t="s">
        <v>612</v>
      </c>
      <c r="E416" s="4" t="s">
        <v>627</v>
      </c>
      <c r="F416" s="4" t="s">
        <v>70</v>
      </c>
      <c r="G416" s="4" t="s">
        <v>59</v>
      </c>
      <c r="H416" s="4" t="n">
        <v>3</v>
      </c>
      <c r="I416" s="4" t="s">
        <v>400</v>
      </c>
      <c r="J416" s="4" t="s">
        <v>68</v>
      </c>
      <c r="K416" s="4" t="s">
        <v>284</v>
      </c>
      <c r="L416" s="4" t="s">
        <v>42</v>
      </c>
      <c r="M416" s="4" t="s">
        <v>133</v>
      </c>
      <c r="N416" s="4" t="s">
        <v>52</v>
      </c>
      <c r="O416" s="4" t="s">
        <v>285</v>
      </c>
      <c r="P416" s="4" t="s">
        <v>46</v>
      </c>
    </row>
    <row r="417" customFormat="false" ht="15" hidden="false" customHeight="false" outlineLevel="0" collapsed="false">
      <c r="A417" s="4" t="s">
        <v>1434</v>
      </c>
      <c r="B417" s="4" t="s">
        <v>1428</v>
      </c>
      <c r="C417" s="4" t="s">
        <v>611</v>
      </c>
      <c r="D417" s="4" t="s">
        <v>612</v>
      </c>
      <c r="E417" s="4" t="s">
        <v>627</v>
      </c>
      <c r="F417" s="4" t="s">
        <v>42</v>
      </c>
      <c r="G417" s="4" t="s">
        <v>38</v>
      </c>
      <c r="H417" s="4" t="n">
        <v>4</v>
      </c>
      <c r="I417" s="4" t="s">
        <v>1435</v>
      </c>
      <c r="J417" s="4" t="s">
        <v>68</v>
      </c>
      <c r="K417" s="4" t="s">
        <v>1436</v>
      </c>
      <c r="L417" s="4" t="s">
        <v>571</v>
      </c>
      <c r="M417" s="4" t="s">
        <v>356</v>
      </c>
      <c r="N417" s="4" t="s">
        <v>357</v>
      </c>
      <c r="O417" s="4"/>
      <c r="P417" s="4" t="s">
        <v>46</v>
      </c>
    </row>
    <row r="418" customFormat="false" ht="15" hidden="false" customHeight="false" outlineLevel="0" collapsed="false">
      <c r="A418" s="4" t="s">
        <v>1437</v>
      </c>
      <c r="B418" s="4" t="s">
        <v>1428</v>
      </c>
      <c r="C418" s="4" t="s">
        <v>1438</v>
      </c>
      <c r="D418" s="4" t="s">
        <v>35</v>
      </c>
      <c r="E418" s="4" t="s">
        <v>36</v>
      </c>
      <c r="F418" s="4" t="s">
        <v>42</v>
      </c>
      <c r="G418" s="4" t="s">
        <v>59</v>
      </c>
      <c r="H418" s="4" t="n">
        <v>2</v>
      </c>
      <c r="I418" s="4" t="s">
        <v>60</v>
      </c>
      <c r="J418" s="4" t="s">
        <v>68</v>
      </c>
      <c r="K418" s="4" t="s">
        <v>1291</v>
      </c>
      <c r="L418" s="4" t="s">
        <v>37</v>
      </c>
      <c r="M418" s="4" t="s">
        <v>43</v>
      </c>
      <c r="N418" s="4" t="s">
        <v>44</v>
      </c>
      <c r="O418" s="4" t="s">
        <v>1292</v>
      </c>
      <c r="P418" s="4" t="s">
        <v>46</v>
      </c>
    </row>
    <row r="419" customFormat="false" ht="15" hidden="false" customHeight="false" outlineLevel="0" collapsed="false">
      <c r="A419" s="4" t="s">
        <v>1439</v>
      </c>
      <c r="B419" s="4" t="s">
        <v>1440</v>
      </c>
      <c r="C419" s="4" t="s">
        <v>611</v>
      </c>
      <c r="D419" s="4" t="s">
        <v>612</v>
      </c>
      <c r="E419" s="4" t="s">
        <v>627</v>
      </c>
      <c r="F419" s="4" t="s">
        <v>42</v>
      </c>
      <c r="G419" s="4" t="s">
        <v>59</v>
      </c>
      <c r="H419" s="4" t="n">
        <v>1</v>
      </c>
      <c r="I419" s="4" t="s">
        <v>1441</v>
      </c>
      <c r="J419" s="4" t="s">
        <v>81</v>
      </c>
      <c r="K419" s="4" t="s">
        <v>1442</v>
      </c>
      <c r="L419" s="4" t="s">
        <v>463</v>
      </c>
      <c r="M419" s="4" t="s">
        <v>464</v>
      </c>
      <c r="N419" s="4" t="s">
        <v>44</v>
      </c>
      <c r="O419" s="4" t="s">
        <v>1443</v>
      </c>
      <c r="P419" s="4" t="s">
        <v>46</v>
      </c>
    </row>
    <row r="420" customFormat="false" ht="15" hidden="false" customHeight="false" outlineLevel="0" collapsed="false">
      <c r="A420" s="4" t="s">
        <v>1444</v>
      </c>
      <c r="B420" s="4" t="s">
        <v>1440</v>
      </c>
      <c r="C420" s="4" t="s">
        <v>611</v>
      </c>
      <c r="D420" s="4" t="s">
        <v>612</v>
      </c>
      <c r="E420" s="4" t="s">
        <v>649</v>
      </c>
      <c r="F420" s="4" t="s">
        <v>42</v>
      </c>
      <c r="G420" s="4" t="s">
        <v>38</v>
      </c>
      <c r="H420" s="4" t="n">
        <v>2</v>
      </c>
      <c r="I420" s="4" t="s">
        <v>734</v>
      </c>
      <c r="J420" s="4" t="s">
        <v>81</v>
      </c>
      <c r="K420" s="4" t="s">
        <v>1291</v>
      </c>
      <c r="L420" s="4" t="s">
        <v>42</v>
      </c>
      <c r="M420" s="4" t="s">
        <v>43</v>
      </c>
      <c r="N420" s="4" t="s">
        <v>44</v>
      </c>
      <c r="O420" s="4" t="s">
        <v>1292</v>
      </c>
      <c r="P420" s="4" t="s">
        <v>46</v>
      </c>
    </row>
    <row r="421" customFormat="false" ht="15" hidden="false" customHeight="false" outlineLevel="0" collapsed="false">
      <c r="A421" s="4" t="s">
        <v>1445</v>
      </c>
      <c r="B421" s="4" t="s">
        <v>1440</v>
      </c>
      <c r="C421" s="4" t="s">
        <v>611</v>
      </c>
      <c r="D421" s="4" t="s">
        <v>612</v>
      </c>
      <c r="E421" s="4" t="s">
        <v>627</v>
      </c>
      <c r="F421" s="4" t="s">
        <v>37</v>
      </c>
      <c r="G421" s="4" t="s">
        <v>38</v>
      </c>
      <c r="H421" s="4" t="n">
        <v>1</v>
      </c>
      <c r="I421" s="4" t="s">
        <v>1404</v>
      </c>
      <c r="J421" s="4" t="s">
        <v>40</v>
      </c>
      <c r="K421" s="4" t="s">
        <v>1446</v>
      </c>
      <c r="L421" s="4" t="s">
        <v>988</v>
      </c>
      <c r="M421" s="4" t="s">
        <v>737</v>
      </c>
      <c r="N421" s="4" t="s">
        <v>44</v>
      </c>
      <c r="O421" s="4" t="s">
        <v>1447</v>
      </c>
      <c r="P421" s="4" t="s">
        <v>46</v>
      </c>
    </row>
    <row r="422" customFormat="false" ht="15" hidden="false" customHeight="false" outlineLevel="0" collapsed="false">
      <c r="A422" s="4" t="s">
        <v>1448</v>
      </c>
      <c r="B422" s="4" t="s">
        <v>1449</v>
      </c>
      <c r="C422" s="4" t="s">
        <v>611</v>
      </c>
      <c r="D422" s="4" t="s">
        <v>612</v>
      </c>
      <c r="E422" s="4" t="s">
        <v>627</v>
      </c>
      <c r="F422" s="4" t="s">
        <v>42</v>
      </c>
      <c r="G422" s="4" t="s">
        <v>38</v>
      </c>
      <c r="H422" s="4" t="n">
        <v>1</v>
      </c>
      <c r="I422" s="4" t="s">
        <v>701</v>
      </c>
      <c r="J422" s="4" t="s">
        <v>40</v>
      </c>
      <c r="K422" s="4" t="s">
        <v>235</v>
      </c>
      <c r="L422" s="4" t="s">
        <v>42</v>
      </c>
      <c r="M422" s="4" t="s">
        <v>43</v>
      </c>
      <c r="N422" s="4" t="s">
        <v>44</v>
      </c>
      <c r="O422" s="4" t="s">
        <v>236</v>
      </c>
      <c r="P422" s="4" t="s">
        <v>46</v>
      </c>
    </row>
    <row r="423" customFormat="false" ht="15" hidden="false" customHeight="false" outlineLevel="0" collapsed="false">
      <c r="A423" s="4" t="s">
        <v>1450</v>
      </c>
      <c r="B423" s="4" t="s">
        <v>1449</v>
      </c>
      <c r="C423" s="4" t="s">
        <v>611</v>
      </c>
      <c r="D423" s="4" t="s">
        <v>612</v>
      </c>
      <c r="E423" s="4" t="s">
        <v>627</v>
      </c>
      <c r="F423" s="4" t="s">
        <v>42</v>
      </c>
      <c r="G423" s="4" t="s">
        <v>38</v>
      </c>
      <c r="H423" s="4" t="n">
        <v>2</v>
      </c>
      <c r="I423" s="4" t="s">
        <v>497</v>
      </c>
      <c r="J423" s="4" t="s">
        <v>68</v>
      </c>
      <c r="K423" s="4" t="s">
        <v>1451</v>
      </c>
      <c r="L423" s="4" t="s">
        <v>862</v>
      </c>
      <c r="M423" s="4" t="s">
        <v>356</v>
      </c>
      <c r="N423" s="4" t="s">
        <v>863</v>
      </c>
      <c r="O423" s="4"/>
      <c r="P423" s="4" t="s">
        <v>46</v>
      </c>
    </row>
    <row r="424" customFormat="false" ht="15" hidden="false" customHeight="false" outlineLevel="0" collapsed="false">
      <c r="A424" s="4" t="s">
        <v>1452</v>
      </c>
      <c r="B424" s="4" t="s">
        <v>1449</v>
      </c>
      <c r="C424" s="4" t="s">
        <v>1449</v>
      </c>
      <c r="D424" s="4" t="s">
        <v>35</v>
      </c>
      <c r="E424" s="4" t="s">
        <v>36</v>
      </c>
      <c r="F424" s="4" t="s">
        <v>128</v>
      </c>
      <c r="G424" s="4" t="s">
        <v>59</v>
      </c>
      <c r="H424" s="4" t="n">
        <v>2</v>
      </c>
      <c r="I424" s="4" t="s">
        <v>138</v>
      </c>
      <c r="J424" s="4" t="s">
        <v>68</v>
      </c>
      <c r="K424" s="4" t="s">
        <v>658</v>
      </c>
      <c r="L424" s="4" t="s">
        <v>168</v>
      </c>
      <c r="M424" s="4" t="s">
        <v>43</v>
      </c>
      <c r="N424" s="4" t="s">
        <v>44</v>
      </c>
      <c r="O424" s="4" t="s">
        <v>659</v>
      </c>
      <c r="P424" s="4" t="s">
        <v>46</v>
      </c>
    </row>
    <row r="425" customFormat="false" ht="15" hidden="false" customHeight="false" outlineLevel="0" collapsed="false">
      <c r="A425" s="4" t="s">
        <v>1453</v>
      </c>
      <c r="B425" s="4" t="s">
        <v>1454</v>
      </c>
      <c r="C425" s="4" t="s">
        <v>611</v>
      </c>
      <c r="D425" s="4" t="s">
        <v>612</v>
      </c>
      <c r="E425" s="4" t="s">
        <v>761</v>
      </c>
      <c r="F425" s="4" t="s">
        <v>42</v>
      </c>
      <c r="G425" s="4" t="s">
        <v>326</v>
      </c>
      <c r="H425" s="4" t="n">
        <v>1</v>
      </c>
      <c r="I425" s="4" t="s">
        <v>1455</v>
      </c>
      <c r="J425" s="4" t="s">
        <v>40</v>
      </c>
      <c r="K425" s="4" t="s">
        <v>1456</v>
      </c>
      <c r="L425" s="4" t="s">
        <v>376</v>
      </c>
      <c r="M425" s="4" t="s">
        <v>377</v>
      </c>
      <c r="N425" s="4" t="s">
        <v>44</v>
      </c>
      <c r="O425" s="4" t="s">
        <v>1457</v>
      </c>
      <c r="P425" s="4" t="s">
        <v>46</v>
      </c>
    </row>
    <row r="426" customFormat="false" ht="15" hidden="false" customHeight="false" outlineLevel="0" collapsed="false">
      <c r="A426" s="4" t="s">
        <v>1458</v>
      </c>
      <c r="B426" s="4" t="s">
        <v>1459</v>
      </c>
      <c r="C426" s="4" t="s">
        <v>611</v>
      </c>
      <c r="D426" s="4" t="s">
        <v>612</v>
      </c>
      <c r="E426" s="4" t="s">
        <v>761</v>
      </c>
      <c r="F426" s="4" t="s">
        <v>42</v>
      </c>
      <c r="G426" s="4" t="s">
        <v>59</v>
      </c>
      <c r="H426" s="4" t="n">
        <v>1</v>
      </c>
      <c r="I426" s="4" t="s">
        <v>1080</v>
      </c>
      <c r="J426" s="4" t="s">
        <v>40</v>
      </c>
      <c r="K426" s="4" t="s">
        <v>1460</v>
      </c>
      <c r="L426" s="4" t="s">
        <v>1461</v>
      </c>
      <c r="M426" s="4" t="s">
        <v>412</v>
      </c>
      <c r="N426" s="4" t="s">
        <v>44</v>
      </c>
      <c r="O426" s="4" t="s">
        <v>1462</v>
      </c>
      <c r="P426" s="4" t="s">
        <v>46</v>
      </c>
    </row>
    <row r="427" customFormat="false" ht="15" hidden="false" customHeight="false" outlineLevel="0" collapsed="false">
      <c r="A427" s="4" t="s">
        <v>1463</v>
      </c>
      <c r="B427" s="4" t="s">
        <v>1459</v>
      </c>
      <c r="C427" s="4" t="s">
        <v>611</v>
      </c>
      <c r="D427" s="4" t="s">
        <v>612</v>
      </c>
      <c r="E427" s="4" t="s">
        <v>613</v>
      </c>
      <c r="F427" s="4" t="s">
        <v>42</v>
      </c>
      <c r="G427" s="4" t="s">
        <v>38</v>
      </c>
      <c r="H427" s="4" t="n">
        <v>2</v>
      </c>
      <c r="I427" s="4" t="s">
        <v>1464</v>
      </c>
      <c r="J427" s="4" t="s">
        <v>68</v>
      </c>
      <c r="K427" s="4" t="s">
        <v>646</v>
      </c>
      <c r="L427" s="4" t="s">
        <v>58</v>
      </c>
      <c r="M427" s="4" t="s">
        <v>43</v>
      </c>
      <c r="N427" s="4" t="s">
        <v>44</v>
      </c>
      <c r="O427" s="4" t="s">
        <v>647</v>
      </c>
      <c r="P427" s="4" t="s">
        <v>46</v>
      </c>
    </row>
    <row r="428" customFormat="false" ht="15" hidden="false" customHeight="false" outlineLevel="0" collapsed="false">
      <c r="A428" s="4" t="s">
        <v>1465</v>
      </c>
      <c r="B428" s="4" t="s">
        <v>1466</v>
      </c>
      <c r="C428" s="4" t="s">
        <v>611</v>
      </c>
      <c r="D428" s="4" t="s">
        <v>612</v>
      </c>
      <c r="E428" s="4" t="s">
        <v>649</v>
      </c>
      <c r="F428" s="4" t="s">
        <v>42</v>
      </c>
      <c r="G428" s="4" t="s">
        <v>326</v>
      </c>
      <c r="H428" s="4" t="n">
        <v>2</v>
      </c>
      <c r="I428" s="4" t="s">
        <v>1467</v>
      </c>
      <c r="J428" s="4" t="s">
        <v>81</v>
      </c>
      <c r="K428" s="4" t="s">
        <v>423</v>
      </c>
      <c r="L428" s="4" t="s">
        <v>42</v>
      </c>
      <c r="M428" s="4" t="s">
        <v>43</v>
      </c>
      <c r="N428" s="4" t="s">
        <v>44</v>
      </c>
      <c r="O428" s="4" t="s">
        <v>424</v>
      </c>
      <c r="P428" s="4" t="s">
        <v>46</v>
      </c>
    </row>
    <row r="429" customFormat="false" ht="15" hidden="false" customHeight="false" outlineLevel="0" collapsed="false">
      <c r="A429" s="4" t="s">
        <v>1468</v>
      </c>
      <c r="B429" s="4" t="s">
        <v>1469</v>
      </c>
      <c r="C429" s="4" t="s">
        <v>611</v>
      </c>
      <c r="D429" s="4" t="s">
        <v>612</v>
      </c>
      <c r="E429" s="4" t="s">
        <v>627</v>
      </c>
      <c r="F429" s="4" t="s">
        <v>42</v>
      </c>
      <c r="G429" s="4" t="s">
        <v>38</v>
      </c>
      <c r="H429" s="4" t="n">
        <v>2</v>
      </c>
      <c r="I429" s="4" t="s">
        <v>327</v>
      </c>
      <c r="J429" s="4" t="s">
        <v>40</v>
      </c>
      <c r="K429" s="4" t="s">
        <v>797</v>
      </c>
      <c r="L429" s="4" t="s">
        <v>42</v>
      </c>
      <c r="M429" s="4" t="s">
        <v>43</v>
      </c>
      <c r="N429" s="4" t="s">
        <v>44</v>
      </c>
      <c r="O429" s="4" t="s">
        <v>798</v>
      </c>
      <c r="P429" s="4" t="s">
        <v>46</v>
      </c>
    </row>
    <row r="430" customFormat="false" ht="15" hidden="false" customHeight="false" outlineLevel="0" collapsed="false">
      <c r="A430" s="4" t="s">
        <v>1470</v>
      </c>
      <c r="B430" s="4" t="s">
        <v>1469</v>
      </c>
      <c r="C430" s="4" t="s">
        <v>611</v>
      </c>
      <c r="D430" s="4" t="s">
        <v>612</v>
      </c>
      <c r="E430" s="4" t="s">
        <v>627</v>
      </c>
      <c r="F430" s="4" t="s">
        <v>42</v>
      </c>
      <c r="G430" s="4" t="s">
        <v>38</v>
      </c>
      <c r="H430" s="4" t="n">
        <v>2</v>
      </c>
      <c r="I430" s="4" t="s">
        <v>1381</v>
      </c>
      <c r="J430" s="4" t="s">
        <v>40</v>
      </c>
      <c r="K430" s="4" t="s">
        <v>1043</v>
      </c>
      <c r="L430" s="4" t="s">
        <v>42</v>
      </c>
      <c r="M430" s="4" t="s">
        <v>43</v>
      </c>
      <c r="N430" s="4" t="s">
        <v>94</v>
      </c>
      <c r="O430" s="4" t="s">
        <v>1044</v>
      </c>
      <c r="P430" s="4" t="s">
        <v>46</v>
      </c>
    </row>
    <row r="431" customFormat="false" ht="15" hidden="false" customHeight="false" outlineLevel="0" collapsed="false">
      <c r="A431" s="4" t="s">
        <v>1471</v>
      </c>
      <c r="B431" s="4" t="s">
        <v>1469</v>
      </c>
      <c r="C431" s="4" t="s">
        <v>611</v>
      </c>
      <c r="D431" s="4" t="s">
        <v>612</v>
      </c>
      <c r="E431" s="4" t="s">
        <v>618</v>
      </c>
      <c r="F431" s="4" t="s">
        <v>128</v>
      </c>
      <c r="G431" s="4" t="s">
        <v>59</v>
      </c>
      <c r="H431" s="4" t="n">
        <v>1</v>
      </c>
      <c r="I431" s="4" t="s">
        <v>1472</v>
      </c>
      <c r="J431" s="4" t="s">
        <v>68</v>
      </c>
      <c r="K431" s="4" t="s">
        <v>1473</v>
      </c>
      <c r="L431" s="4" t="s">
        <v>382</v>
      </c>
      <c r="M431" s="4" t="s">
        <v>43</v>
      </c>
      <c r="N431" s="4" t="s">
        <v>44</v>
      </c>
      <c r="O431" s="4" t="s">
        <v>1474</v>
      </c>
      <c r="P431" s="4" t="s">
        <v>46</v>
      </c>
    </row>
    <row r="432" customFormat="false" ht="15" hidden="false" customHeight="false" outlineLevel="0" collapsed="false">
      <c r="A432" s="4" t="s">
        <v>1475</v>
      </c>
      <c r="B432" s="4" t="s">
        <v>1469</v>
      </c>
      <c r="C432" s="4" t="s">
        <v>611</v>
      </c>
      <c r="D432" s="4" t="s">
        <v>612</v>
      </c>
      <c r="E432" s="4" t="s">
        <v>613</v>
      </c>
      <c r="F432" s="4" t="s">
        <v>42</v>
      </c>
      <c r="G432" s="4" t="s">
        <v>38</v>
      </c>
      <c r="H432" s="4" t="n">
        <v>2</v>
      </c>
      <c r="I432" s="4" t="s">
        <v>1476</v>
      </c>
      <c r="J432" s="4" t="s">
        <v>40</v>
      </c>
      <c r="K432" s="4" t="s">
        <v>651</v>
      </c>
      <c r="L432" s="4" t="s">
        <v>42</v>
      </c>
      <c r="M432" s="4" t="s">
        <v>43</v>
      </c>
      <c r="N432" s="4" t="s">
        <v>44</v>
      </c>
      <c r="O432" s="4" t="s">
        <v>652</v>
      </c>
      <c r="P432" s="4" t="s">
        <v>46</v>
      </c>
    </row>
    <row r="433" customFormat="false" ht="15" hidden="false" customHeight="false" outlineLevel="0" collapsed="false">
      <c r="A433" s="4" t="s">
        <v>1477</v>
      </c>
      <c r="B433" s="4" t="s">
        <v>1469</v>
      </c>
      <c r="C433" s="4" t="s">
        <v>1478</v>
      </c>
      <c r="D433" s="4" t="s">
        <v>35</v>
      </c>
      <c r="E433" s="4" t="s">
        <v>36</v>
      </c>
      <c r="F433" s="4" t="s">
        <v>70</v>
      </c>
      <c r="G433" s="4" t="s">
        <v>59</v>
      </c>
      <c r="H433" s="4" t="n">
        <v>1</v>
      </c>
      <c r="I433" s="4" t="s">
        <v>138</v>
      </c>
      <c r="J433" s="4" t="s">
        <v>40</v>
      </c>
      <c r="K433" s="4" t="s">
        <v>189</v>
      </c>
      <c r="L433" s="4" t="s">
        <v>42</v>
      </c>
      <c r="M433" s="4" t="s">
        <v>43</v>
      </c>
      <c r="N433" s="4" t="s">
        <v>44</v>
      </c>
      <c r="O433" s="4" t="s">
        <v>190</v>
      </c>
      <c r="P433" s="4" t="s">
        <v>46</v>
      </c>
    </row>
    <row r="434" customFormat="false" ht="15" hidden="false" customHeight="false" outlineLevel="0" collapsed="false">
      <c r="A434" s="4" t="s">
        <v>1479</v>
      </c>
      <c r="B434" s="4" t="s">
        <v>1480</v>
      </c>
      <c r="C434" s="4" t="s">
        <v>611</v>
      </c>
      <c r="D434" s="4" t="s">
        <v>612</v>
      </c>
      <c r="E434" s="4" t="s">
        <v>761</v>
      </c>
      <c r="F434" s="4" t="s">
        <v>42</v>
      </c>
      <c r="G434" s="4" t="s">
        <v>59</v>
      </c>
      <c r="H434" s="4" t="n">
        <v>3</v>
      </c>
      <c r="I434" s="4" t="s">
        <v>718</v>
      </c>
      <c r="J434" s="4" t="s">
        <v>68</v>
      </c>
      <c r="K434" s="4" t="s">
        <v>1481</v>
      </c>
      <c r="L434" s="4" t="s">
        <v>988</v>
      </c>
      <c r="M434" s="4" t="s">
        <v>737</v>
      </c>
      <c r="N434" s="4" t="s">
        <v>44</v>
      </c>
      <c r="O434" s="4" t="s">
        <v>1482</v>
      </c>
      <c r="P434" s="4" t="s">
        <v>46</v>
      </c>
    </row>
    <row r="435" customFormat="false" ht="15" hidden="false" customHeight="false" outlineLevel="0" collapsed="false">
      <c r="A435" s="4" t="s">
        <v>1483</v>
      </c>
      <c r="B435" s="4" t="s">
        <v>1480</v>
      </c>
      <c r="C435" s="4" t="s">
        <v>611</v>
      </c>
      <c r="D435" s="4" t="s">
        <v>612</v>
      </c>
      <c r="E435" s="4" t="s">
        <v>618</v>
      </c>
      <c r="F435" s="4" t="s">
        <v>58</v>
      </c>
      <c r="G435" s="4" t="s">
        <v>59</v>
      </c>
      <c r="H435" s="4" t="n">
        <v>1</v>
      </c>
      <c r="I435" s="4" t="s">
        <v>986</v>
      </c>
      <c r="J435" s="4" t="s">
        <v>68</v>
      </c>
      <c r="K435" s="4" t="s">
        <v>1484</v>
      </c>
      <c r="L435" s="4" t="s">
        <v>1100</v>
      </c>
      <c r="M435" s="4" t="s">
        <v>356</v>
      </c>
      <c r="N435" s="4" t="s">
        <v>433</v>
      </c>
      <c r="O435" s="4"/>
      <c r="P435" s="4" t="s">
        <v>46</v>
      </c>
    </row>
    <row r="436" customFormat="false" ht="15" hidden="false" customHeight="false" outlineLevel="0" collapsed="false">
      <c r="A436" s="4" t="s">
        <v>1485</v>
      </c>
      <c r="B436" s="4" t="s">
        <v>1480</v>
      </c>
      <c r="C436" s="4" t="s">
        <v>611</v>
      </c>
      <c r="D436" s="4" t="s">
        <v>612</v>
      </c>
      <c r="E436" s="4" t="s">
        <v>627</v>
      </c>
      <c r="F436" s="4" t="s">
        <v>58</v>
      </c>
      <c r="G436" s="4" t="s">
        <v>38</v>
      </c>
      <c r="H436" s="4" t="n">
        <v>3</v>
      </c>
      <c r="I436" s="4" t="s">
        <v>669</v>
      </c>
      <c r="J436" s="4" t="s">
        <v>68</v>
      </c>
      <c r="K436" s="4" t="s">
        <v>1486</v>
      </c>
      <c r="L436" s="4" t="s">
        <v>463</v>
      </c>
      <c r="M436" s="4" t="s">
        <v>464</v>
      </c>
      <c r="N436" s="4" t="s">
        <v>44</v>
      </c>
      <c r="O436" s="4" t="s">
        <v>1487</v>
      </c>
      <c r="P436" s="4" t="s">
        <v>46</v>
      </c>
    </row>
    <row r="437" customFormat="false" ht="15" hidden="false" customHeight="false" outlineLevel="0" collapsed="false">
      <c r="A437" s="4" t="s">
        <v>1488</v>
      </c>
      <c r="B437" s="4" t="s">
        <v>1480</v>
      </c>
      <c r="C437" s="4" t="s">
        <v>611</v>
      </c>
      <c r="D437" s="4" t="s">
        <v>612</v>
      </c>
      <c r="E437" s="4" t="s">
        <v>627</v>
      </c>
      <c r="F437" s="4" t="s">
        <v>42</v>
      </c>
      <c r="G437" s="4" t="s">
        <v>38</v>
      </c>
      <c r="H437" s="4" t="n">
        <v>1</v>
      </c>
      <c r="I437" s="4" t="s">
        <v>1011</v>
      </c>
      <c r="J437" s="4" t="s">
        <v>68</v>
      </c>
      <c r="K437" s="4" t="s">
        <v>1489</v>
      </c>
      <c r="L437" s="4" t="s">
        <v>364</v>
      </c>
      <c r="M437" s="4" t="s">
        <v>365</v>
      </c>
      <c r="N437" s="4" t="s">
        <v>44</v>
      </c>
      <c r="O437" s="4" t="s">
        <v>1490</v>
      </c>
      <c r="P437" s="4" t="s">
        <v>46</v>
      </c>
    </row>
    <row r="438" customFormat="false" ht="15" hidden="false" customHeight="false" outlineLevel="0" collapsed="false">
      <c r="A438" s="4" t="s">
        <v>1491</v>
      </c>
      <c r="B438" s="4" t="s">
        <v>1480</v>
      </c>
      <c r="C438" s="4" t="s">
        <v>611</v>
      </c>
      <c r="D438" s="4" t="s">
        <v>612</v>
      </c>
      <c r="E438" s="4" t="s">
        <v>618</v>
      </c>
      <c r="F438" s="4" t="s">
        <v>70</v>
      </c>
      <c r="G438" s="4" t="s">
        <v>38</v>
      </c>
      <c r="H438" s="4" t="n">
        <v>1</v>
      </c>
      <c r="I438" s="4" t="s">
        <v>780</v>
      </c>
      <c r="J438" s="4" t="s">
        <v>68</v>
      </c>
      <c r="K438" s="4" t="s">
        <v>498</v>
      </c>
      <c r="L438" s="4" t="s">
        <v>42</v>
      </c>
      <c r="M438" s="4" t="s">
        <v>43</v>
      </c>
      <c r="N438" s="4" t="s">
        <v>44</v>
      </c>
      <c r="O438" s="4" t="s">
        <v>499</v>
      </c>
      <c r="P438" s="4" t="s">
        <v>46</v>
      </c>
    </row>
    <row r="439" customFormat="false" ht="15" hidden="false" customHeight="false" outlineLevel="0" collapsed="false">
      <c r="A439" s="4" t="s">
        <v>1492</v>
      </c>
      <c r="B439" s="4" t="s">
        <v>1480</v>
      </c>
      <c r="C439" s="4" t="s">
        <v>611</v>
      </c>
      <c r="D439" s="4" t="s">
        <v>612</v>
      </c>
      <c r="E439" s="4" t="s">
        <v>618</v>
      </c>
      <c r="F439" s="4" t="s">
        <v>37</v>
      </c>
      <c r="G439" s="4" t="s">
        <v>38</v>
      </c>
      <c r="H439" s="4" t="n">
        <v>2</v>
      </c>
      <c r="I439" s="4" t="s">
        <v>1493</v>
      </c>
      <c r="J439" s="4" t="s">
        <v>81</v>
      </c>
      <c r="K439" s="4" t="s">
        <v>908</v>
      </c>
      <c r="L439" s="4" t="s">
        <v>571</v>
      </c>
      <c r="M439" s="4" t="s">
        <v>220</v>
      </c>
      <c r="N439" s="4" t="s">
        <v>357</v>
      </c>
      <c r="O439" s="4"/>
      <c r="P439" s="4" t="s">
        <v>46</v>
      </c>
    </row>
    <row r="440" customFormat="false" ht="15" hidden="false" customHeight="false" outlineLevel="0" collapsed="false">
      <c r="A440" s="4" t="s">
        <v>1494</v>
      </c>
      <c r="B440" s="4" t="s">
        <v>1480</v>
      </c>
      <c r="C440" s="4" t="s">
        <v>611</v>
      </c>
      <c r="D440" s="4" t="s">
        <v>612</v>
      </c>
      <c r="E440" s="4" t="s">
        <v>627</v>
      </c>
      <c r="F440" s="4" t="s">
        <v>42</v>
      </c>
      <c r="G440" s="4" t="s">
        <v>59</v>
      </c>
      <c r="H440" s="4" t="n">
        <v>4</v>
      </c>
      <c r="I440" s="4" t="s">
        <v>1495</v>
      </c>
      <c r="J440" s="4" t="s">
        <v>68</v>
      </c>
      <c r="K440" s="4" t="s">
        <v>620</v>
      </c>
      <c r="L440" s="4" t="s">
        <v>42</v>
      </c>
      <c r="M440" s="4" t="s">
        <v>43</v>
      </c>
      <c r="N440" s="4" t="s">
        <v>44</v>
      </c>
      <c r="O440" s="4" t="s">
        <v>621</v>
      </c>
      <c r="P440" s="4" t="s">
        <v>46</v>
      </c>
    </row>
    <row r="441" customFormat="false" ht="15" hidden="false" customHeight="false" outlineLevel="0" collapsed="false">
      <c r="A441" s="4" t="s">
        <v>1496</v>
      </c>
      <c r="B441" s="4" t="s">
        <v>1478</v>
      </c>
      <c r="C441" s="4" t="s">
        <v>611</v>
      </c>
      <c r="D441" s="4" t="s">
        <v>612</v>
      </c>
      <c r="E441" s="4" t="s">
        <v>613</v>
      </c>
      <c r="F441" s="4" t="s">
        <v>42</v>
      </c>
      <c r="G441" s="4" t="s">
        <v>59</v>
      </c>
      <c r="H441" s="4" t="n">
        <v>2</v>
      </c>
      <c r="I441" s="4" t="s">
        <v>1497</v>
      </c>
      <c r="J441" s="4" t="s">
        <v>81</v>
      </c>
      <c r="K441" s="4" t="s">
        <v>1498</v>
      </c>
      <c r="L441" s="4" t="s">
        <v>455</v>
      </c>
      <c r="M441" s="4" t="s">
        <v>1499</v>
      </c>
      <c r="N441" s="4" t="s">
        <v>52</v>
      </c>
      <c r="O441" s="4" t="s">
        <v>1500</v>
      </c>
      <c r="P441" s="4" t="s">
        <v>46</v>
      </c>
    </row>
    <row r="442" customFormat="false" ht="15" hidden="false" customHeight="false" outlineLevel="0" collapsed="false">
      <c r="A442" s="4" t="s">
        <v>1501</v>
      </c>
      <c r="B442" s="4" t="s">
        <v>1478</v>
      </c>
      <c r="C442" s="4" t="s">
        <v>611</v>
      </c>
      <c r="D442" s="4" t="s">
        <v>612</v>
      </c>
      <c r="E442" s="4" t="s">
        <v>627</v>
      </c>
      <c r="F442" s="4" t="s">
        <v>42</v>
      </c>
      <c r="G442" s="4" t="s">
        <v>59</v>
      </c>
      <c r="H442" s="4" t="n">
        <v>1</v>
      </c>
      <c r="I442" s="4" t="s">
        <v>950</v>
      </c>
      <c r="J442" s="4" t="s">
        <v>68</v>
      </c>
      <c r="K442" s="4" t="s">
        <v>1502</v>
      </c>
      <c r="L442" s="4" t="s">
        <v>596</v>
      </c>
      <c r="M442" s="4" t="s">
        <v>597</v>
      </c>
      <c r="N442" s="4" t="s">
        <v>185</v>
      </c>
      <c r="O442" s="4" t="s">
        <v>1503</v>
      </c>
      <c r="P442" s="4" t="s">
        <v>46</v>
      </c>
    </row>
    <row r="443" customFormat="false" ht="15" hidden="false" customHeight="false" outlineLevel="0" collapsed="false">
      <c r="A443" s="4" t="s">
        <v>1504</v>
      </c>
      <c r="B443" s="4" t="s">
        <v>1478</v>
      </c>
      <c r="C443" s="4" t="s">
        <v>611</v>
      </c>
      <c r="D443" s="4" t="s">
        <v>612</v>
      </c>
      <c r="E443" s="4" t="s">
        <v>761</v>
      </c>
      <c r="F443" s="4" t="s">
        <v>42</v>
      </c>
      <c r="G443" s="4" t="s">
        <v>38</v>
      </c>
      <c r="H443" s="4" t="n">
        <v>2</v>
      </c>
      <c r="I443" s="4" t="s">
        <v>1476</v>
      </c>
      <c r="J443" s="4" t="s">
        <v>40</v>
      </c>
      <c r="K443" s="4" t="s">
        <v>1505</v>
      </c>
      <c r="L443" s="4" t="s">
        <v>455</v>
      </c>
      <c r="M443" s="4" t="s">
        <v>456</v>
      </c>
      <c r="N443" s="4" t="s">
        <v>44</v>
      </c>
      <c r="O443" s="4" t="s">
        <v>1506</v>
      </c>
      <c r="P443" s="4" t="s">
        <v>46</v>
      </c>
    </row>
    <row r="444" customFormat="false" ht="15" hidden="false" customHeight="false" outlineLevel="0" collapsed="false">
      <c r="A444" s="4" t="s">
        <v>1507</v>
      </c>
      <c r="B444" s="4" t="s">
        <v>1478</v>
      </c>
      <c r="C444" s="4" t="s">
        <v>611</v>
      </c>
      <c r="D444" s="4" t="s">
        <v>612</v>
      </c>
      <c r="E444" s="4" t="s">
        <v>627</v>
      </c>
      <c r="F444" s="4" t="s">
        <v>37</v>
      </c>
      <c r="G444" s="4" t="s">
        <v>326</v>
      </c>
      <c r="H444" s="4" t="n">
        <v>1</v>
      </c>
      <c r="I444" s="4" t="s">
        <v>1508</v>
      </c>
      <c r="J444" s="4" t="s">
        <v>40</v>
      </c>
      <c r="K444" s="4" t="s">
        <v>154</v>
      </c>
      <c r="L444" s="4" t="s">
        <v>42</v>
      </c>
      <c r="M444" s="4" t="s">
        <v>43</v>
      </c>
      <c r="N444" s="4" t="s">
        <v>52</v>
      </c>
      <c r="O444" s="4" t="s">
        <v>155</v>
      </c>
      <c r="P444" s="4" t="s">
        <v>46</v>
      </c>
    </row>
    <row r="445" customFormat="false" ht="15" hidden="false" customHeight="false" outlineLevel="0" collapsed="false">
      <c r="A445" s="4" t="s">
        <v>1509</v>
      </c>
      <c r="B445" s="4" t="s">
        <v>1478</v>
      </c>
      <c r="C445" s="4" t="s">
        <v>611</v>
      </c>
      <c r="D445" s="4" t="s">
        <v>612</v>
      </c>
      <c r="E445" s="4" t="s">
        <v>627</v>
      </c>
      <c r="F445" s="4" t="s">
        <v>37</v>
      </c>
      <c r="G445" s="4" t="s">
        <v>326</v>
      </c>
      <c r="H445" s="4" t="n">
        <v>2</v>
      </c>
      <c r="I445" s="4" t="s">
        <v>1050</v>
      </c>
      <c r="J445" s="4" t="s">
        <v>40</v>
      </c>
      <c r="K445" s="4" t="s">
        <v>1510</v>
      </c>
      <c r="L445" s="4" t="s">
        <v>596</v>
      </c>
      <c r="M445" s="4" t="s">
        <v>597</v>
      </c>
      <c r="N445" s="4" t="s">
        <v>44</v>
      </c>
      <c r="O445" s="4" t="s">
        <v>1511</v>
      </c>
      <c r="P445" s="4" t="s">
        <v>46</v>
      </c>
    </row>
    <row r="446" customFormat="false" ht="15" hidden="false" customHeight="false" outlineLevel="0" collapsed="false">
      <c r="A446" s="4" t="s">
        <v>1512</v>
      </c>
      <c r="B446" s="4" t="s">
        <v>1478</v>
      </c>
      <c r="C446" s="4" t="s">
        <v>611</v>
      </c>
      <c r="D446" s="4" t="s">
        <v>612</v>
      </c>
      <c r="E446" s="4" t="s">
        <v>613</v>
      </c>
      <c r="F446" s="4" t="s">
        <v>37</v>
      </c>
      <c r="G446" s="4" t="s">
        <v>38</v>
      </c>
      <c r="H446" s="4" t="n">
        <v>2</v>
      </c>
      <c r="I446" s="4" t="s">
        <v>914</v>
      </c>
      <c r="J446" s="4" t="s">
        <v>40</v>
      </c>
      <c r="K446" s="4" t="s">
        <v>1513</v>
      </c>
      <c r="L446" s="4" t="s">
        <v>1514</v>
      </c>
      <c r="M446" s="4" t="s">
        <v>43</v>
      </c>
      <c r="N446" s="4" t="s">
        <v>44</v>
      </c>
      <c r="O446" s="4" t="s">
        <v>1515</v>
      </c>
      <c r="P446" s="4" t="s">
        <v>46</v>
      </c>
    </row>
    <row r="447" customFormat="false" ht="15" hidden="false" customHeight="false" outlineLevel="0" collapsed="false">
      <c r="A447" s="4" t="s">
        <v>1516</v>
      </c>
      <c r="B447" s="4" t="s">
        <v>1478</v>
      </c>
      <c r="C447" s="4" t="s">
        <v>611</v>
      </c>
      <c r="D447" s="4" t="s">
        <v>612</v>
      </c>
      <c r="E447" s="4" t="s">
        <v>627</v>
      </c>
      <c r="F447" s="4" t="s">
        <v>42</v>
      </c>
      <c r="G447" s="4" t="s">
        <v>326</v>
      </c>
      <c r="H447" s="4" t="n">
        <v>1</v>
      </c>
      <c r="I447" s="4" t="s">
        <v>1517</v>
      </c>
      <c r="J447" s="4" t="s">
        <v>40</v>
      </c>
      <c r="K447" s="4" t="s">
        <v>1518</v>
      </c>
      <c r="L447" s="4" t="s">
        <v>219</v>
      </c>
      <c r="M447" s="4" t="s">
        <v>356</v>
      </c>
      <c r="N447" s="4" t="s">
        <v>221</v>
      </c>
      <c r="O447" s="4"/>
      <c r="P447" s="4" t="s">
        <v>46</v>
      </c>
    </row>
    <row r="448" customFormat="false" ht="15" hidden="false" customHeight="false" outlineLevel="0" collapsed="false">
      <c r="A448" s="4" t="s">
        <v>1519</v>
      </c>
      <c r="B448" s="4" t="s">
        <v>1478</v>
      </c>
      <c r="C448" s="4" t="s">
        <v>1520</v>
      </c>
      <c r="D448" s="4" t="s">
        <v>35</v>
      </c>
      <c r="E448" s="4" t="s">
        <v>89</v>
      </c>
      <c r="F448" s="4" t="s">
        <v>42</v>
      </c>
      <c r="G448" s="4" t="s">
        <v>38</v>
      </c>
      <c r="H448" s="4" t="n">
        <v>2</v>
      </c>
      <c r="I448" s="4" t="s">
        <v>67</v>
      </c>
      <c r="J448" s="4" t="s">
        <v>149</v>
      </c>
      <c r="K448" s="4" t="s">
        <v>983</v>
      </c>
      <c r="L448" s="4" t="s">
        <v>37</v>
      </c>
      <c r="M448" s="4" t="s">
        <v>43</v>
      </c>
      <c r="N448" s="4" t="s">
        <v>44</v>
      </c>
      <c r="O448" s="4" t="s">
        <v>984</v>
      </c>
      <c r="P448" s="4" t="s">
        <v>46</v>
      </c>
    </row>
    <row r="449" customFormat="false" ht="15" hidden="false" customHeight="false" outlineLevel="0" collapsed="false">
      <c r="A449" s="4" t="s">
        <v>1521</v>
      </c>
      <c r="B449" s="4" t="s">
        <v>1522</v>
      </c>
      <c r="C449" s="4" t="s">
        <v>611</v>
      </c>
      <c r="D449" s="4" t="s">
        <v>612</v>
      </c>
      <c r="E449" s="4" t="s">
        <v>627</v>
      </c>
      <c r="F449" s="4" t="s">
        <v>42</v>
      </c>
      <c r="G449" s="4" t="s">
        <v>59</v>
      </c>
      <c r="H449" s="4" t="n">
        <v>2</v>
      </c>
      <c r="I449" s="4" t="s">
        <v>441</v>
      </c>
      <c r="J449" s="4" t="s">
        <v>68</v>
      </c>
      <c r="K449" s="4" t="s">
        <v>1523</v>
      </c>
      <c r="L449" s="4" t="s">
        <v>480</v>
      </c>
      <c r="M449" s="4" t="s">
        <v>43</v>
      </c>
      <c r="N449" s="4" t="s">
        <v>44</v>
      </c>
      <c r="O449" s="4" t="s">
        <v>1524</v>
      </c>
      <c r="P449" s="4" t="s">
        <v>46</v>
      </c>
    </row>
    <row r="450" customFormat="false" ht="15" hidden="false" customHeight="false" outlineLevel="0" collapsed="false">
      <c r="A450" s="4" t="s">
        <v>1525</v>
      </c>
      <c r="B450" s="4" t="s">
        <v>1522</v>
      </c>
      <c r="C450" s="4" t="s">
        <v>611</v>
      </c>
      <c r="D450" s="4" t="s">
        <v>612</v>
      </c>
      <c r="E450" s="4" t="s">
        <v>627</v>
      </c>
      <c r="F450" s="4" t="s">
        <v>42</v>
      </c>
      <c r="G450" s="4" t="s">
        <v>59</v>
      </c>
      <c r="H450" s="4" t="n">
        <v>1</v>
      </c>
      <c r="I450" s="4" t="s">
        <v>973</v>
      </c>
      <c r="J450" s="4" t="s">
        <v>68</v>
      </c>
      <c r="K450" s="4" t="s">
        <v>535</v>
      </c>
      <c r="L450" s="4" t="s">
        <v>42</v>
      </c>
      <c r="M450" s="4" t="s">
        <v>43</v>
      </c>
      <c r="N450" s="4" t="s">
        <v>44</v>
      </c>
      <c r="O450" s="4" t="s">
        <v>536</v>
      </c>
      <c r="P450" s="4" t="s">
        <v>46</v>
      </c>
    </row>
    <row r="451" customFormat="false" ht="15" hidden="false" customHeight="false" outlineLevel="0" collapsed="false">
      <c r="A451" s="4" t="s">
        <v>1526</v>
      </c>
      <c r="B451" s="4" t="s">
        <v>1522</v>
      </c>
      <c r="C451" s="4" t="s">
        <v>611</v>
      </c>
      <c r="D451" s="4" t="s">
        <v>612</v>
      </c>
      <c r="E451" s="4" t="s">
        <v>618</v>
      </c>
      <c r="F451" s="4" t="s">
        <v>42</v>
      </c>
      <c r="G451" s="4" t="s">
        <v>59</v>
      </c>
      <c r="H451" s="4" t="n">
        <v>2</v>
      </c>
      <c r="I451" s="4" t="s">
        <v>1497</v>
      </c>
      <c r="J451" s="4" t="s">
        <v>40</v>
      </c>
      <c r="K451" s="4" t="s">
        <v>275</v>
      </c>
      <c r="L451" s="4" t="s">
        <v>168</v>
      </c>
      <c r="M451" s="4" t="s">
        <v>133</v>
      </c>
      <c r="N451" s="4" t="s">
        <v>44</v>
      </c>
      <c r="O451" s="4" t="s">
        <v>276</v>
      </c>
      <c r="P451" s="4" t="s">
        <v>46</v>
      </c>
    </row>
    <row r="452" customFormat="false" ht="15" hidden="false" customHeight="false" outlineLevel="0" collapsed="false">
      <c r="A452" s="4" t="s">
        <v>1527</v>
      </c>
      <c r="B452" s="4" t="s">
        <v>1522</v>
      </c>
      <c r="C452" s="4" t="s">
        <v>611</v>
      </c>
      <c r="D452" s="4" t="s">
        <v>612</v>
      </c>
      <c r="E452" s="4" t="s">
        <v>627</v>
      </c>
      <c r="F452" s="4" t="s">
        <v>42</v>
      </c>
      <c r="G452" s="4" t="s">
        <v>326</v>
      </c>
      <c r="H452" s="4" t="n">
        <v>4</v>
      </c>
      <c r="I452" s="4" t="s">
        <v>1019</v>
      </c>
      <c r="J452" s="4" t="s">
        <v>68</v>
      </c>
      <c r="K452" s="4" t="s">
        <v>484</v>
      </c>
      <c r="L452" s="4" t="s">
        <v>42</v>
      </c>
      <c r="M452" s="4" t="s">
        <v>43</v>
      </c>
      <c r="N452" s="4" t="s">
        <v>44</v>
      </c>
      <c r="O452" s="4" t="s">
        <v>485</v>
      </c>
      <c r="P452" s="4" t="s">
        <v>46</v>
      </c>
    </row>
    <row r="453" customFormat="false" ht="15" hidden="false" customHeight="false" outlineLevel="0" collapsed="false">
      <c r="A453" s="4" t="s">
        <v>1528</v>
      </c>
      <c r="B453" s="4" t="s">
        <v>1522</v>
      </c>
      <c r="C453" s="4" t="s">
        <v>611</v>
      </c>
      <c r="D453" s="4" t="s">
        <v>612</v>
      </c>
      <c r="E453" s="4" t="s">
        <v>649</v>
      </c>
      <c r="F453" s="4" t="s">
        <v>42</v>
      </c>
      <c r="G453" s="4" t="s">
        <v>38</v>
      </c>
      <c r="H453" s="4" t="n">
        <v>2</v>
      </c>
      <c r="I453" s="4" t="s">
        <v>1138</v>
      </c>
      <c r="J453" s="4" t="s">
        <v>40</v>
      </c>
      <c r="K453" s="4" t="s">
        <v>1529</v>
      </c>
      <c r="L453" s="4" t="s">
        <v>994</v>
      </c>
      <c r="M453" s="4" t="s">
        <v>873</v>
      </c>
      <c r="N453" s="4" t="s">
        <v>44</v>
      </c>
      <c r="O453" s="4" t="s">
        <v>1530</v>
      </c>
      <c r="P453" s="4" t="s">
        <v>46</v>
      </c>
    </row>
    <row r="454" customFormat="false" ht="15" hidden="false" customHeight="false" outlineLevel="0" collapsed="false">
      <c r="A454" s="4" t="s">
        <v>1531</v>
      </c>
      <c r="B454" s="4" t="s">
        <v>1522</v>
      </c>
      <c r="C454" s="4" t="s">
        <v>611</v>
      </c>
      <c r="D454" s="4" t="s">
        <v>612</v>
      </c>
      <c r="E454" s="4" t="s">
        <v>627</v>
      </c>
      <c r="F454" s="4" t="s">
        <v>42</v>
      </c>
      <c r="G454" s="4" t="s">
        <v>38</v>
      </c>
      <c r="H454" s="4" t="n">
        <v>1</v>
      </c>
      <c r="I454" s="4" t="s">
        <v>428</v>
      </c>
      <c r="J454" s="4" t="s">
        <v>40</v>
      </c>
      <c r="K454" s="4" t="s">
        <v>369</v>
      </c>
      <c r="L454" s="4" t="s">
        <v>42</v>
      </c>
      <c r="M454" s="4" t="s">
        <v>43</v>
      </c>
      <c r="N454" s="4" t="s">
        <v>44</v>
      </c>
      <c r="O454" s="4" t="s">
        <v>370</v>
      </c>
      <c r="P454" s="4" t="s">
        <v>46</v>
      </c>
    </row>
    <row r="455" customFormat="false" ht="15" hidden="false" customHeight="false" outlineLevel="0" collapsed="false">
      <c r="A455" s="4" t="s">
        <v>1532</v>
      </c>
      <c r="B455" s="4" t="s">
        <v>1522</v>
      </c>
      <c r="C455" s="4" t="s">
        <v>611</v>
      </c>
      <c r="D455" s="4" t="s">
        <v>612</v>
      </c>
      <c r="E455" s="4" t="s">
        <v>627</v>
      </c>
      <c r="F455" s="4" t="s">
        <v>58</v>
      </c>
      <c r="G455" s="4" t="s">
        <v>59</v>
      </c>
      <c r="H455" s="4" t="n">
        <v>1</v>
      </c>
      <c r="I455" s="4" t="s">
        <v>1533</v>
      </c>
      <c r="J455" s="4" t="s">
        <v>40</v>
      </c>
      <c r="K455" s="4" t="s">
        <v>1534</v>
      </c>
      <c r="L455" s="4" t="s">
        <v>862</v>
      </c>
      <c r="M455" s="4" t="s">
        <v>356</v>
      </c>
      <c r="N455" s="4" t="s">
        <v>1535</v>
      </c>
      <c r="O455" s="4"/>
      <c r="P455" s="4" t="s">
        <v>46</v>
      </c>
    </row>
    <row r="456" customFormat="false" ht="15" hidden="false" customHeight="false" outlineLevel="0" collapsed="false">
      <c r="A456" s="4" t="s">
        <v>1536</v>
      </c>
      <c r="B456" s="4" t="s">
        <v>1522</v>
      </c>
      <c r="C456" s="4" t="s">
        <v>611</v>
      </c>
      <c r="D456" s="4" t="s">
        <v>612</v>
      </c>
      <c r="E456" s="4" t="s">
        <v>618</v>
      </c>
      <c r="F456" s="4" t="s">
        <v>42</v>
      </c>
      <c r="G456" s="4" t="s">
        <v>59</v>
      </c>
      <c r="H456" s="4" t="n">
        <v>3</v>
      </c>
      <c r="I456" s="4" t="s">
        <v>483</v>
      </c>
      <c r="J456" s="4" t="s">
        <v>68</v>
      </c>
      <c r="K456" s="4" t="s">
        <v>261</v>
      </c>
      <c r="L456" s="4" t="s">
        <v>168</v>
      </c>
      <c r="M456" s="4" t="s">
        <v>43</v>
      </c>
      <c r="N456" s="4" t="s">
        <v>44</v>
      </c>
      <c r="O456" s="4" t="s">
        <v>262</v>
      </c>
      <c r="P456" s="4" t="s">
        <v>46</v>
      </c>
    </row>
    <row r="457" customFormat="false" ht="15" hidden="false" customHeight="false" outlineLevel="0" collapsed="false">
      <c r="A457" s="4" t="s">
        <v>1537</v>
      </c>
      <c r="B457" s="4" t="s">
        <v>1522</v>
      </c>
      <c r="C457" s="4" t="s">
        <v>1520</v>
      </c>
      <c r="D457" s="4" t="s">
        <v>35</v>
      </c>
      <c r="E457" s="4" t="s">
        <v>36</v>
      </c>
      <c r="F457" s="4" t="s">
        <v>128</v>
      </c>
      <c r="G457" s="4" t="s">
        <v>38</v>
      </c>
      <c r="H457" s="4" t="n">
        <v>2</v>
      </c>
      <c r="I457" s="4" t="s">
        <v>67</v>
      </c>
      <c r="J457" s="4" t="s">
        <v>40</v>
      </c>
      <c r="K457" s="4" t="s">
        <v>639</v>
      </c>
      <c r="L457" s="4" t="s">
        <v>42</v>
      </c>
      <c r="M457" s="4" t="s">
        <v>43</v>
      </c>
      <c r="N457" s="4" t="s">
        <v>44</v>
      </c>
      <c r="O457" s="4" t="s">
        <v>640</v>
      </c>
      <c r="P457" s="4" t="s">
        <v>46</v>
      </c>
    </row>
    <row r="458" customFormat="false" ht="15" hidden="false" customHeight="false" outlineLevel="0" collapsed="false">
      <c r="A458" s="4" t="s">
        <v>1538</v>
      </c>
      <c r="B458" s="4" t="s">
        <v>1522</v>
      </c>
      <c r="C458" s="4" t="s">
        <v>1539</v>
      </c>
      <c r="D458" s="4" t="s">
        <v>35</v>
      </c>
      <c r="E458" s="4" t="s">
        <v>89</v>
      </c>
      <c r="F458" s="4" t="s">
        <v>42</v>
      </c>
      <c r="G458" s="4" t="s">
        <v>38</v>
      </c>
      <c r="H458" s="4" t="n">
        <v>2</v>
      </c>
      <c r="I458" s="4" t="s">
        <v>39</v>
      </c>
      <c r="J458" s="4" t="s">
        <v>40</v>
      </c>
      <c r="K458" s="4" t="s">
        <v>775</v>
      </c>
      <c r="L458" s="4" t="s">
        <v>42</v>
      </c>
      <c r="M458" s="4" t="s">
        <v>133</v>
      </c>
      <c r="N458" s="4" t="s">
        <v>44</v>
      </c>
      <c r="O458" s="4" t="s">
        <v>776</v>
      </c>
      <c r="P458" s="4" t="s">
        <v>46</v>
      </c>
    </row>
    <row r="459" customFormat="false" ht="15" hidden="false" customHeight="false" outlineLevel="0" collapsed="false">
      <c r="A459" s="4" t="s">
        <v>1540</v>
      </c>
      <c r="B459" s="4" t="s">
        <v>1520</v>
      </c>
      <c r="C459" s="4" t="s">
        <v>611</v>
      </c>
      <c r="D459" s="4" t="s">
        <v>612</v>
      </c>
      <c r="E459" s="4" t="s">
        <v>613</v>
      </c>
      <c r="F459" s="4" t="s">
        <v>42</v>
      </c>
      <c r="G459" s="4" t="s">
        <v>326</v>
      </c>
      <c r="H459" s="4" t="n">
        <v>2</v>
      </c>
      <c r="I459" s="4" t="s">
        <v>1541</v>
      </c>
      <c r="J459" s="4" t="s">
        <v>149</v>
      </c>
      <c r="K459" s="4" t="s">
        <v>605</v>
      </c>
      <c r="L459" s="4" t="s">
        <v>42</v>
      </c>
      <c r="M459" s="4" t="s">
        <v>43</v>
      </c>
      <c r="N459" s="4" t="s">
        <v>44</v>
      </c>
      <c r="O459" s="4" t="s">
        <v>606</v>
      </c>
      <c r="P459" s="4" t="s">
        <v>46</v>
      </c>
    </row>
    <row r="460" customFormat="false" ht="15" hidden="false" customHeight="false" outlineLevel="0" collapsed="false">
      <c r="A460" s="4" t="s">
        <v>1542</v>
      </c>
      <c r="B460" s="4" t="s">
        <v>1520</v>
      </c>
      <c r="C460" s="4" t="s">
        <v>611</v>
      </c>
      <c r="D460" s="4" t="s">
        <v>612</v>
      </c>
      <c r="E460" s="4" t="s">
        <v>618</v>
      </c>
      <c r="F460" s="4" t="s">
        <v>37</v>
      </c>
      <c r="G460" s="4" t="s">
        <v>38</v>
      </c>
      <c r="H460" s="4" t="n">
        <v>0</v>
      </c>
      <c r="I460" s="4" t="s">
        <v>831</v>
      </c>
      <c r="J460" s="4" t="s">
        <v>81</v>
      </c>
      <c r="K460" s="4" t="s">
        <v>1202</v>
      </c>
      <c r="L460" s="4" t="s">
        <v>42</v>
      </c>
      <c r="M460" s="4" t="s">
        <v>43</v>
      </c>
      <c r="N460" s="4" t="s">
        <v>52</v>
      </c>
      <c r="O460" s="4" t="s">
        <v>1203</v>
      </c>
      <c r="P460" s="4" t="s">
        <v>46</v>
      </c>
    </row>
    <row r="461" customFormat="false" ht="15" hidden="false" customHeight="false" outlineLevel="0" collapsed="false">
      <c r="A461" s="4" t="s">
        <v>1543</v>
      </c>
      <c r="B461" s="4" t="s">
        <v>1520</v>
      </c>
      <c r="C461" s="4" t="s">
        <v>611</v>
      </c>
      <c r="D461" s="4" t="s">
        <v>612</v>
      </c>
      <c r="E461" s="4" t="s">
        <v>627</v>
      </c>
      <c r="F461" s="4" t="s">
        <v>42</v>
      </c>
      <c r="G461" s="4" t="s">
        <v>38</v>
      </c>
      <c r="H461" s="4" t="n">
        <v>1</v>
      </c>
      <c r="I461" s="4" t="s">
        <v>428</v>
      </c>
      <c r="J461" s="4" t="s">
        <v>68</v>
      </c>
      <c r="K461" s="4" t="s">
        <v>232</v>
      </c>
      <c r="L461" s="4" t="s">
        <v>70</v>
      </c>
      <c r="M461" s="4" t="s">
        <v>43</v>
      </c>
      <c r="N461" s="4" t="s">
        <v>44</v>
      </c>
      <c r="O461" s="4" t="s">
        <v>233</v>
      </c>
      <c r="P461" s="4" t="s">
        <v>46</v>
      </c>
    </row>
    <row r="462" customFormat="false" ht="15" hidden="false" customHeight="false" outlineLevel="0" collapsed="false">
      <c r="A462" s="4" t="s">
        <v>1544</v>
      </c>
      <c r="B462" s="4" t="s">
        <v>1520</v>
      </c>
      <c r="C462" s="4" t="s">
        <v>611</v>
      </c>
      <c r="D462" s="4" t="s">
        <v>612</v>
      </c>
      <c r="E462" s="4" t="s">
        <v>627</v>
      </c>
      <c r="F462" s="4" t="s">
        <v>128</v>
      </c>
      <c r="G462" s="4" t="s">
        <v>38</v>
      </c>
      <c r="H462" s="4" t="n">
        <v>3</v>
      </c>
      <c r="I462" s="4" t="s">
        <v>689</v>
      </c>
      <c r="J462" s="4" t="s">
        <v>40</v>
      </c>
      <c r="K462" s="4" t="s">
        <v>517</v>
      </c>
      <c r="L462" s="4" t="s">
        <v>42</v>
      </c>
      <c r="M462" s="4" t="s">
        <v>43</v>
      </c>
      <c r="N462" s="4" t="s">
        <v>44</v>
      </c>
      <c r="O462" s="4" t="s">
        <v>518</v>
      </c>
      <c r="P462" s="4" t="s">
        <v>46</v>
      </c>
    </row>
    <row r="463" customFormat="false" ht="15" hidden="false" customHeight="false" outlineLevel="0" collapsed="false">
      <c r="A463" s="4" t="s">
        <v>1545</v>
      </c>
      <c r="B463" s="4" t="s">
        <v>1520</v>
      </c>
      <c r="C463" s="4" t="s">
        <v>611</v>
      </c>
      <c r="D463" s="4" t="s">
        <v>612</v>
      </c>
      <c r="E463" s="4" t="s">
        <v>618</v>
      </c>
      <c r="F463" s="4" t="s">
        <v>58</v>
      </c>
      <c r="G463" s="4" t="s">
        <v>38</v>
      </c>
      <c r="H463" s="4" t="n">
        <v>3</v>
      </c>
      <c r="I463" s="4" t="s">
        <v>1034</v>
      </c>
      <c r="J463" s="4" t="s">
        <v>149</v>
      </c>
      <c r="K463" s="4" t="s">
        <v>328</v>
      </c>
      <c r="L463" s="4" t="s">
        <v>168</v>
      </c>
      <c r="M463" s="4" t="s">
        <v>43</v>
      </c>
      <c r="N463" s="4" t="s">
        <v>44</v>
      </c>
      <c r="O463" s="4" t="s">
        <v>329</v>
      </c>
      <c r="P463" s="4" t="s">
        <v>46</v>
      </c>
    </row>
    <row r="464" customFormat="false" ht="15" hidden="false" customHeight="false" outlineLevel="0" collapsed="false">
      <c r="A464" s="4" t="s">
        <v>1546</v>
      </c>
      <c r="B464" s="4" t="s">
        <v>1520</v>
      </c>
      <c r="C464" s="4" t="s">
        <v>611</v>
      </c>
      <c r="D464" s="4" t="s">
        <v>612</v>
      </c>
      <c r="E464" s="4" t="s">
        <v>627</v>
      </c>
      <c r="F464" s="4" t="s">
        <v>42</v>
      </c>
      <c r="G464" s="4" t="s">
        <v>38</v>
      </c>
      <c r="H464" s="4" t="n">
        <v>2</v>
      </c>
      <c r="I464" s="4" t="s">
        <v>404</v>
      </c>
      <c r="J464" s="4" t="s">
        <v>81</v>
      </c>
      <c r="K464" s="4" t="s">
        <v>1547</v>
      </c>
      <c r="L464" s="4" t="s">
        <v>596</v>
      </c>
      <c r="M464" s="4" t="s">
        <v>695</v>
      </c>
      <c r="N464" s="4" t="s">
        <v>44</v>
      </c>
      <c r="O464" s="4" t="s">
        <v>1548</v>
      </c>
      <c r="P464" s="4" t="s">
        <v>46</v>
      </c>
    </row>
    <row r="465" customFormat="false" ht="15" hidden="false" customHeight="false" outlineLevel="0" collapsed="false">
      <c r="A465" s="4" t="s">
        <v>1549</v>
      </c>
      <c r="B465" s="4" t="s">
        <v>1520</v>
      </c>
      <c r="C465" s="4" t="s">
        <v>611</v>
      </c>
      <c r="D465" s="4" t="s">
        <v>612</v>
      </c>
      <c r="E465" s="4" t="s">
        <v>613</v>
      </c>
      <c r="F465" s="4" t="s">
        <v>42</v>
      </c>
      <c r="G465" s="4" t="s">
        <v>59</v>
      </c>
      <c r="H465" s="4" t="n">
        <v>2</v>
      </c>
      <c r="I465" s="4" t="s">
        <v>1014</v>
      </c>
      <c r="J465" s="4" t="s">
        <v>40</v>
      </c>
      <c r="K465" s="4" t="s">
        <v>741</v>
      </c>
      <c r="L465" s="4" t="s">
        <v>42</v>
      </c>
      <c r="M465" s="4" t="s">
        <v>43</v>
      </c>
      <c r="N465" s="4" t="s">
        <v>44</v>
      </c>
      <c r="O465" s="4" t="s">
        <v>742</v>
      </c>
      <c r="P465" s="4" t="s">
        <v>46</v>
      </c>
    </row>
    <row r="466" customFormat="false" ht="15" hidden="false" customHeight="false" outlineLevel="0" collapsed="false">
      <c r="A466" s="4" t="s">
        <v>1550</v>
      </c>
      <c r="B466" s="4" t="s">
        <v>1551</v>
      </c>
      <c r="C466" s="4" t="s">
        <v>611</v>
      </c>
      <c r="D466" s="4" t="s">
        <v>612</v>
      </c>
      <c r="E466" s="4" t="s">
        <v>627</v>
      </c>
      <c r="F466" s="4" t="s">
        <v>58</v>
      </c>
      <c r="G466" s="4" t="s">
        <v>38</v>
      </c>
      <c r="H466" s="4" t="n">
        <v>1</v>
      </c>
      <c r="I466" s="4" t="s">
        <v>1331</v>
      </c>
      <c r="J466" s="4" t="s">
        <v>68</v>
      </c>
      <c r="K466" s="4" t="s">
        <v>442</v>
      </c>
      <c r="L466" s="4" t="s">
        <v>70</v>
      </c>
      <c r="M466" s="4" t="s">
        <v>43</v>
      </c>
      <c r="N466" s="4" t="s">
        <v>94</v>
      </c>
      <c r="O466" s="4" t="s">
        <v>443</v>
      </c>
      <c r="P466" s="4" t="s">
        <v>46</v>
      </c>
    </row>
    <row r="467" customFormat="false" ht="15" hidden="false" customHeight="false" outlineLevel="0" collapsed="false">
      <c r="A467" s="4" t="s">
        <v>1552</v>
      </c>
      <c r="B467" s="4" t="s">
        <v>1551</v>
      </c>
      <c r="C467" s="4" t="s">
        <v>611</v>
      </c>
      <c r="D467" s="4" t="s">
        <v>612</v>
      </c>
      <c r="E467" s="4" t="s">
        <v>761</v>
      </c>
      <c r="F467" s="4" t="s">
        <v>37</v>
      </c>
      <c r="G467" s="4" t="s">
        <v>59</v>
      </c>
      <c r="H467" s="4" t="n">
        <v>1</v>
      </c>
      <c r="I467" s="4" t="s">
        <v>1472</v>
      </c>
      <c r="J467" s="4" t="s">
        <v>40</v>
      </c>
      <c r="K467" s="4" t="s">
        <v>1553</v>
      </c>
      <c r="L467" s="4" t="s">
        <v>168</v>
      </c>
      <c r="M467" s="4" t="s">
        <v>43</v>
      </c>
      <c r="N467" s="4" t="s">
        <v>44</v>
      </c>
      <c r="O467" s="4" t="s">
        <v>1554</v>
      </c>
      <c r="P467" s="4" t="s">
        <v>46</v>
      </c>
    </row>
    <row r="468" customFormat="false" ht="15" hidden="false" customHeight="false" outlineLevel="0" collapsed="false">
      <c r="A468" s="4" t="s">
        <v>1555</v>
      </c>
      <c r="B468" s="4" t="s">
        <v>1551</v>
      </c>
      <c r="C468" s="4" t="s">
        <v>611</v>
      </c>
      <c r="D468" s="4" t="s">
        <v>612</v>
      </c>
      <c r="E468" s="4" t="s">
        <v>613</v>
      </c>
      <c r="F468" s="4" t="s">
        <v>42</v>
      </c>
      <c r="G468" s="4" t="s">
        <v>38</v>
      </c>
      <c r="H468" s="4" t="n">
        <v>2</v>
      </c>
      <c r="I468" s="4" t="s">
        <v>731</v>
      </c>
      <c r="J468" s="4" t="s">
        <v>40</v>
      </c>
      <c r="K468" s="4" t="s">
        <v>1556</v>
      </c>
      <c r="L468" s="4" t="s">
        <v>219</v>
      </c>
      <c r="M468" s="4" t="s">
        <v>356</v>
      </c>
      <c r="N468" s="4" t="s">
        <v>221</v>
      </c>
      <c r="O468" s="4"/>
      <c r="P468" s="4" t="s">
        <v>46</v>
      </c>
    </row>
    <row r="469" customFormat="false" ht="15" hidden="false" customHeight="false" outlineLevel="0" collapsed="false">
      <c r="A469" s="4" t="s">
        <v>1557</v>
      </c>
      <c r="B469" s="4" t="s">
        <v>1551</v>
      </c>
      <c r="C469" s="4" t="s">
        <v>611</v>
      </c>
      <c r="D469" s="4" t="s">
        <v>612</v>
      </c>
      <c r="E469" s="4" t="s">
        <v>627</v>
      </c>
      <c r="F469" s="4" t="s">
        <v>128</v>
      </c>
      <c r="G469" s="4" t="s">
        <v>38</v>
      </c>
      <c r="H469" s="4" t="n">
        <v>2</v>
      </c>
      <c r="I469" s="4" t="s">
        <v>1558</v>
      </c>
      <c r="J469" s="4" t="s">
        <v>40</v>
      </c>
      <c r="K469" s="4" t="s">
        <v>1559</v>
      </c>
      <c r="L469" s="4" t="s">
        <v>58</v>
      </c>
      <c r="M469" s="4" t="s">
        <v>43</v>
      </c>
      <c r="N469" s="4" t="s">
        <v>94</v>
      </c>
      <c r="O469" s="4" t="s">
        <v>1560</v>
      </c>
      <c r="P469" s="4" t="s">
        <v>46</v>
      </c>
    </row>
    <row r="470" customFormat="false" ht="15" hidden="false" customHeight="false" outlineLevel="0" collapsed="false">
      <c r="A470" s="4" t="s">
        <v>1561</v>
      </c>
      <c r="B470" s="4" t="s">
        <v>1551</v>
      </c>
      <c r="C470" s="4" t="s">
        <v>611</v>
      </c>
      <c r="D470" s="4" t="s">
        <v>612</v>
      </c>
      <c r="E470" s="4" t="s">
        <v>627</v>
      </c>
      <c r="F470" s="4" t="s">
        <v>42</v>
      </c>
      <c r="G470" s="4" t="s">
        <v>326</v>
      </c>
      <c r="H470" s="4" t="n">
        <v>4</v>
      </c>
      <c r="I470" s="4" t="s">
        <v>1455</v>
      </c>
      <c r="J470" s="4" t="s">
        <v>81</v>
      </c>
      <c r="K470" s="4" t="s">
        <v>722</v>
      </c>
      <c r="L470" s="4" t="s">
        <v>42</v>
      </c>
      <c r="M470" s="4" t="s">
        <v>43</v>
      </c>
      <c r="N470" s="4" t="s">
        <v>44</v>
      </c>
      <c r="O470" s="4" t="s">
        <v>723</v>
      </c>
      <c r="P470" s="4" t="s">
        <v>46</v>
      </c>
    </row>
    <row r="471" customFormat="false" ht="15" hidden="false" customHeight="false" outlineLevel="0" collapsed="false">
      <c r="A471" s="4" t="s">
        <v>1562</v>
      </c>
      <c r="B471" s="4" t="s">
        <v>1551</v>
      </c>
      <c r="C471" s="4" t="s">
        <v>611</v>
      </c>
      <c r="D471" s="4" t="s">
        <v>612</v>
      </c>
      <c r="E471" s="4" t="s">
        <v>627</v>
      </c>
      <c r="F471" s="4" t="s">
        <v>42</v>
      </c>
      <c r="G471" s="4" t="s">
        <v>59</v>
      </c>
      <c r="H471" s="4" t="n">
        <v>1</v>
      </c>
      <c r="I471" s="4" t="s">
        <v>1302</v>
      </c>
      <c r="J471" s="4" t="s">
        <v>68</v>
      </c>
      <c r="K471" s="4" t="s">
        <v>1563</v>
      </c>
      <c r="L471" s="4" t="s">
        <v>596</v>
      </c>
      <c r="M471" s="4" t="s">
        <v>695</v>
      </c>
      <c r="N471" s="4" t="s">
        <v>44</v>
      </c>
      <c r="O471" s="4" t="s">
        <v>1564</v>
      </c>
      <c r="P471" s="4" t="s">
        <v>46</v>
      </c>
    </row>
    <row r="472" customFormat="false" ht="15" hidden="false" customHeight="false" outlineLevel="0" collapsed="false">
      <c r="A472" s="4" t="s">
        <v>1565</v>
      </c>
      <c r="B472" s="4" t="s">
        <v>1551</v>
      </c>
      <c r="C472" s="4" t="s">
        <v>611</v>
      </c>
      <c r="D472" s="4" t="s">
        <v>612</v>
      </c>
      <c r="E472" s="4" t="s">
        <v>627</v>
      </c>
      <c r="F472" s="4" t="s">
        <v>70</v>
      </c>
      <c r="G472" s="4" t="s">
        <v>59</v>
      </c>
      <c r="H472" s="4" t="n">
        <v>1</v>
      </c>
      <c r="I472" s="4" t="s">
        <v>614</v>
      </c>
      <c r="J472" s="4" t="s">
        <v>68</v>
      </c>
      <c r="K472" s="4" t="s">
        <v>1566</v>
      </c>
      <c r="L472" s="4" t="s">
        <v>42</v>
      </c>
      <c r="M472" s="4" t="s">
        <v>43</v>
      </c>
      <c r="N472" s="4" t="s">
        <v>44</v>
      </c>
      <c r="O472" s="4" t="s">
        <v>1567</v>
      </c>
      <c r="P472" s="4" t="s">
        <v>46</v>
      </c>
    </row>
    <row r="473" customFormat="false" ht="15" hidden="false" customHeight="false" outlineLevel="0" collapsed="false">
      <c r="A473" s="4" t="s">
        <v>1568</v>
      </c>
      <c r="B473" s="4" t="s">
        <v>1551</v>
      </c>
      <c r="C473" s="4" t="s">
        <v>611</v>
      </c>
      <c r="D473" s="4" t="s">
        <v>612</v>
      </c>
      <c r="E473" s="4" t="s">
        <v>649</v>
      </c>
      <c r="F473" s="4" t="s">
        <v>128</v>
      </c>
      <c r="G473" s="4" t="s">
        <v>59</v>
      </c>
      <c r="H473" s="4" t="n">
        <v>2</v>
      </c>
      <c r="I473" s="4" t="s">
        <v>1569</v>
      </c>
      <c r="J473" s="4" t="s">
        <v>68</v>
      </c>
      <c r="K473" s="4" t="s">
        <v>475</v>
      </c>
      <c r="L473" s="4" t="s">
        <v>42</v>
      </c>
      <c r="M473" s="4" t="s">
        <v>43</v>
      </c>
      <c r="N473" s="4" t="s">
        <v>44</v>
      </c>
      <c r="O473" s="4" t="s">
        <v>476</v>
      </c>
      <c r="P473" s="4" t="s">
        <v>46</v>
      </c>
    </row>
    <row r="474" customFormat="false" ht="15" hidden="false" customHeight="false" outlineLevel="0" collapsed="false">
      <c r="A474" s="4" t="s">
        <v>1570</v>
      </c>
      <c r="B474" s="4" t="s">
        <v>1539</v>
      </c>
      <c r="C474" s="4" t="s">
        <v>611</v>
      </c>
      <c r="D474" s="4" t="s">
        <v>612</v>
      </c>
      <c r="E474" s="4" t="s">
        <v>618</v>
      </c>
      <c r="F474" s="4" t="s">
        <v>42</v>
      </c>
      <c r="G474" s="4" t="s">
        <v>59</v>
      </c>
      <c r="H474" s="4" t="n">
        <v>1</v>
      </c>
      <c r="I474" s="4" t="s">
        <v>1571</v>
      </c>
      <c r="J474" s="4" t="s">
        <v>40</v>
      </c>
      <c r="K474" s="4" t="s">
        <v>328</v>
      </c>
      <c r="L474" s="4" t="s">
        <v>42</v>
      </c>
      <c r="M474" s="4" t="s">
        <v>43</v>
      </c>
      <c r="N474" s="4" t="s">
        <v>44</v>
      </c>
      <c r="O474" s="4" t="s">
        <v>329</v>
      </c>
      <c r="P474" s="4" t="s">
        <v>46</v>
      </c>
    </row>
    <row r="475" customFormat="false" ht="15" hidden="false" customHeight="false" outlineLevel="0" collapsed="false">
      <c r="A475" s="4" t="s">
        <v>1572</v>
      </c>
      <c r="B475" s="4" t="s">
        <v>1539</v>
      </c>
      <c r="C475" s="4" t="s">
        <v>611</v>
      </c>
      <c r="D475" s="4" t="s">
        <v>612</v>
      </c>
      <c r="E475" s="4" t="s">
        <v>627</v>
      </c>
      <c r="F475" s="4" t="s">
        <v>42</v>
      </c>
      <c r="G475" s="4" t="s">
        <v>59</v>
      </c>
      <c r="H475" s="4" t="n">
        <v>1</v>
      </c>
      <c r="I475" s="4" t="s">
        <v>1573</v>
      </c>
      <c r="J475" s="4" t="s">
        <v>68</v>
      </c>
      <c r="K475" s="4" t="s">
        <v>1574</v>
      </c>
      <c r="L475" s="4" t="s">
        <v>42</v>
      </c>
      <c r="M475" s="4" t="s">
        <v>43</v>
      </c>
      <c r="N475" s="4" t="s">
        <v>44</v>
      </c>
      <c r="O475" s="4" t="s">
        <v>1575</v>
      </c>
      <c r="P475" s="4" t="s">
        <v>46</v>
      </c>
    </row>
    <row r="476" customFormat="false" ht="15" hidden="false" customHeight="false" outlineLevel="0" collapsed="false">
      <c r="A476" s="4" t="s">
        <v>1576</v>
      </c>
      <c r="B476" s="4" t="s">
        <v>1539</v>
      </c>
      <c r="C476" s="4" t="s">
        <v>611</v>
      </c>
      <c r="D476" s="4" t="s">
        <v>612</v>
      </c>
      <c r="E476" s="4" t="s">
        <v>627</v>
      </c>
      <c r="F476" s="4" t="s">
        <v>42</v>
      </c>
      <c r="G476" s="4" t="s">
        <v>326</v>
      </c>
      <c r="H476" s="4" t="n">
        <v>2</v>
      </c>
      <c r="I476" s="4" t="s">
        <v>1577</v>
      </c>
      <c r="J476" s="4" t="s">
        <v>68</v>
      </c>
      <c r="K476" s="4" t="s">
        <v>1261</v>
      </c>
      <c r="L476" s="4" t="s">
        <v>168</v>
      </c>
      <c r="M476" s="4" t="s">
        <v>43</v>
      </c>
      <c r="N476" s="4" t="s">
        <v>52</v>
      </c>
      <c r="O476" s="4" t="s">
        <v>1262</v>
      </c>
      <c r="P476" s="4" t="s">
        <v>46</v>
      </c>
    </row>
    <row r="477" customFormat="false" ht="15" hidden="false" customHeight="false" outlineLevel="0" collapsed="false">
      <c r="A477" s="4" t="s">
        <v>1578</v>
      </c>
      <c r="B477" s="4" t="s">
        <v>1539</v>
      </c>
      <c r="C477" s="4" t="s">
        <v>611</v>
      </c>
      <c r="D477" s="4" t="s">
        <v>612</v>
      </c>
      <c r="E477" s="4" t="s">
        <v>761</v>
      </c>
      <c r="F477" s="4" t="s">
        <v>42</v>
      </c>
      <c r="G477" s="4" t="s">
        <v>38</v>
      </c>
      <c r="H477" s="4" t="n">
        <v>1</v>
      </c>
      <c r="I477" s="4" t="s">
        <v>1331</v>
      </c>
      <c r="J477" s="4" t="s">
        <v>40</v>
      </c>
      <c r="K477" s="4" t="s">
        <v>663</v>
      </c>
      <c r="L477" s="4" t="s">
        <v>42</v>
      </c>
      <c r="M477" s="4" t="s">
        <v>133</v>
      </c>
      <c r="N477" s="4" t="s">
        <v>44</v>
      </c>
      <c r="O477" s="4" t="s">
        <v>664</v>
      </c>
      <c r="P477" s="4" t="s">
        <v>46</v>
      </c>
    </row>
    <row r="478" customFormat="false" ht="15" hidden="false" customHeight="false" outlineLevel="0" collapsed="false">
      <c r="A478" s="4" t="s">
        <v>1579</v>
      </c>
      <c r="B478" s="4" t="s">
        <v>1539</v>
      </c>
      <c r="C478" s="4" t="s">
        <v>611</v>
      </c>
      <c r="D478" s="4" t="s">
        <v>612</v>
      </c>
      <c r="E478" s="4" t="s">
        <v>627</v>
      </c>
      <c r="F478" s="4" t="s">
        <v>42</v>
      </c>
      <c r="G478" s="4" t="s">
        <v>59</v>
      </c>
      <c r="H478" s="4" t="n">
        <v>2</v>
      </c>
      <c r="I478" s="4" t="s">
        <v>1580</v>
      </c>
      <c r="J478" s="4" t="s">
        <v>40</v>
      </c>
      <c r="K478" s="4" t="s">
        <v>1581</v>
      </c>
      <c r="L478" s="4" t="s">
        <v>862</v>
      </c>
      <c r="M478" s="4" t="s">
        <v>356</v>
      </c>
      <c r="N478" s="4" t="s">
        <v>863</v>
      </c>
      <c r="O478" s="4"/>
      <c r="P478" s="4" t="s">
        <v>46</v>
      </c>
    </row>
    <row r="479" customFormat="false" ht="15" hidden="false" customHeight="false" outlineLevel="0" collapsed="false">
      <c r="A479" s="4" t="s">
        <v>1582</v>
      </c>
      <c r="B479" s="4" t="s">
        <v>1539</v>
      </c>
      <c r="C479" s="4" t="s">
        <v>611</v>
      </c>
      <c r="D479" s="4" t="s">
        <v>612</v>
      </c>
      <c r="E479" s="4" t="s">
        <v>649</v>
      </c>
      <c r="F479" s="4" t="s">
        <v>128</v>
      </c>
      <c r="G479" s="4" t="s">
        <v>59</v>
      </c>
      <c r="H479" s="4" t="n">
        <v>2</v>
      </c>
      <c r="I479" s="4" t="s">
        <v>400</v>
      </c>
      <c r="J479" s="4" t="s">
        <v>40</v>
      </c>
      <c r="K479" s="4" t="s">
        <v>1583</v>
      </c>
      <c r="L479" s="4" t="s">
        <v>1584</v>
      </c>
      <c r="M479" s="4" t="s">
        <v>737</v>
      </c>
      <c r="N479" s="4" t="s">
        <v>44</v>
      </c>
      <c r="O479" s="4" t="s">
        <v>1585</v>
      </c>
      <c r="P479" s="4" t="s">
        <v>46</v>
      </c>
    </row>
    <row r="480" customFormat="false" ht="15" hidden="false" customHeight="false" outlineLevel="0" collapsed="false">
      <c r="A480" s="4" t="s">
        <v>1586</v>
      </c>
      <c r="B480" s="4" t="s">
        <v>1539</v>
      </c>
      <c r="C480" s="4" t="s">
        <v>611</v>
      </c>
      <c r="D480" s="4" t="s">
        <v>612</v>
      </c>
      <c r="E480" s="4" t="s">
        <v>627</v>
      </c>
      <c r="F480" s="4" t="s">
        <v>42</v>
      </c>
      <c r="G480" s="4" t="s">
        <v>38</v>
      </c>
      <c r="H480" s="4" t="n">
        <v>1</v>
      </c>
      <c r="I480" s="4" t="s">
        <v>630</v>
      </c>
      <c r="J480" s="4" t="s">
        <v>40</v>
      </c>
      <c r="K480" s="4" t="s">
        <v>1587</v>
      </c>
      <c r="L480" s="4" t="s">
        <v>364</v>
      </c>
      <c r="M480" s="4" t="s">
        <v>365</v>
      </c>
      <c r="N480" s="4" t="s">
        <v>44</v>
      </c>
      <c r="O480" s="4" t="s">
        <v>1588</v>
      </c>
      <c r="P480" s="4" t="s">
        <v>46</v>
      </c>
    </row>
    <row r="481" customFormat="false" ht="15" hidden="false" customHeight="false" outlineLevel="0" collapsed="false">
      <c r="A481" s="4" t="s">
        <v>1589</v>
      </c>
      <c r="B481" s="4" t="s">
        <v>1539</v>
      </c>
      <c r="C481" s="4" t="s">
        <v>611</v>
      </c>
      <c r="D481" s="4" t="s">
        <v>612</v>
      </c>
      <c r="E481" s="4" t="s">
        <v>627</v>
      </c>
      <c r="F481" s="4" t="s">
        <v>42</v>
      </c>
      <c r="G481" s="4" t="s">
        <v>59</v>
      </c>
      <c r="H481" s="4" t="n">
        <v>1</v>
      </c>
      <c r="I481" s="4" t="s">
        <v>857</v>
      </c>
      <c r="J481" s="4" t="s">
        <v>68</v>
      </c>
      <c r="K481" s="4" t="s">
        <v>369</v>
      </c>
      <c r="L481" s="4" t="s">
        <v>42</v>
      </c>
      <c r="M481" s="4" t="s">
        <v>133</v>
      </c>
      <c r="N481" s="4" t="s">
        <v>44</v>
      </c>
      <c r="O481" s="4" t="s">
        <v>370</v>
      </c>
      <c r="P481" s="4" t="s">
        <v>46</v>
      </c>
    </row>
    <row r="482" customFormat="false" ht="15" hidden="false" customHeight="false" outlineLevel="0" collapsed="false">
      <c r="A482" s="4" t="s">
        <v>1590</v>
      </c>
      <c r="B482" s="4" t="s">
        <v>1539</v>
      </c>
      <c r="C482" s="4" t="s">
        <v>611</v>
      </c>
      <c r="D482" s="4" t="s">
        <v>612</v>
      </c>
      <c r="E482" s="4" t="s">
        <v>627</v>
      </c>
      <c r="F482" s="4" t="s">
        <v>37</v>
      </c>
      <c r="G482" s="4" t="s">
        <v>38</v>
      </c>
      <c r="H482" s="4" t="n">
        <v>1</v>
      </c>
      <c r="I482" s="4" t="s">
        <v>428</v>
      </c>
      <c r="J482" s="4" t="s">
        <v>40</v>
      </c>
      <c r="K482" s="4" t="s">
        <v>1591</v>
      </c>
      <c r="L482" s="4" t="s">
        <v>862</v>
      </c>
      <c r="M482" s="4" t="s">
        <v>356</v>
      </c>
      <c r="N482" s="4" t="s">
        <v>1592</v>
      </c>
      <c r="O482" s="4"/>
      <c r="P482" s="4" t="s">
        <v>46</v>
      </c>
    </row>
    <row r="483" customFormat="false" ht="15" hidden="false" customHeight="false" outlineLevel="0" collapsed="false">
      <c r="A483" s="4" t="s">
        <v>1593</v>
      </c>
      <c r="B483" s="4" t="s">
        <v>1539</v>
      </c>
      <c r="C483" s="4" t="s">
        <v>611</v>
      </c>
      <c r="D483" s="4" t="s">
        <v>612</v>
      </c>
      <c r="E483" s="4" t="s">
        <v>627</v>
      </c>
      <c r="F483" s="4" t="s">
        <v>37</v>
      </c>
      <c r="G483" s="4" t="s">
        <v>59</v>
      </c>
      <c r="H483" s="4" t="n">
        <v>1</v>
      </c>
      <c r="I483" s="4" t="s">
        <v>1594</v>
      </c>
      <c r="J483" s="4" t="s">
        <v>40</v>
      </c>
      <c r="K483" s="4" t="s">
        <v>450</v>
      </c>
      <c r="L483" s="4" t="s">
        <v>37</v>
      </c>
      <c r="M483" s="4" t="s">
        <v>43</v>
      </c>
      <c r="N483" s="4" t="s">
        <v>94</v>
      </c>
      <c r="O483" s="4" t="s">
        <v>451</v>
      </c>
      <c r="P483" s="4" t="s">
        <v>46</v>
      </c>
    </row>
    <row r="484" customFormat="false" ht="15" hidden="false" customHeight="false" outlineLevel="0" collapsed="false">
      <c r="A484" s="4" t="s">
        <v>1595</v>
      </c>
      <c r="B484" s="4" t="s">
        <v>611</v>
      </c>
      <c r="C484" s="4" t="s">
        <v>611</v>
      </c>
      <c r="D484" s="4" t="s">
        <v>612</v>
      </c>
      <c r="E484" s="4" t="s">
        <v>649</v>
      </c>
      <c r="F484" s="4" t="s">
        <v>42</v>
      </c>
      <c r="G484" s="4" t="s">
        <v>38</v>
      </c>
      <c r="H484" s="4" t="n">
        <v>2</v>
      </c>
      <c r="I484" s="4" t="s">
        <v>550</v>
      </c>
      <c r="J484" s="4" t="s">
        <v>81</v>
      </c>
      <c r="K484" s="4" t="s">
        <v>442</v>
      </c>
      <c r="L484" s="4" t="s">
        <v>168</v>
      </c>
      <c r="M484" s="4" t="s">
        <v>43</v>
      </c>
      <c r="N484" s="4" t="s">
        <v>44</v>
      </c>
      <c r="O484" s="4" t="s">
        <v>443</v>
      </c>
      <c r="P484" s="4" t="s">
        <v>46</v>
      </c>
    </row>
    <row r="485" customFormat="false" ht="15" hidden="false" customHeight="false" outlineLevel="0" collapsed="false">
      <c r="A485" s="4" t="s">
        <v>1596</v>
      </c>
      <c r="B485" s="4" t="s">
        <v>611</v>
      </c>
      <c r="C485" s="4" t="s">
        <v>611</v>
      </c>
      <c r="D485" s="4" t="s">
        <v>612</v>
      </c>
      <c r="E485" s="4" t="s">
        <v>761</v>
      </c>
      <c r="F485" s="4" t="s">
        <v>128</v>
      </c>
      <c r="G485" s="4" t="s">
        <v>326</v>
      </c>
      <c r="H485" s="4" t="n">
        <v>2</v>
      </c>
      <c r="I485" s="4" t="s">
        <v>1597</v>
      </c>
      <c r="J485" s="4" t="s">
        <v>68</v>
      </c>
      <c r="K485" s="4" t="s">
        <v>1598</v>
      </c>
      <c r="L485" s="4" t="s">
        <v>455</v>
      </c>
      <c r="M485" s="4" t="s">
        <v>456</v>
      </c>
      <c r="N485" s="4" t="s">
        <v>94</v>
      </c>
      <c r="O485" s="4" t="s">
        <v>1599</v>
      </c>
      <c r="P485" s="4" t="s">
        <v>46</v>
      </c>
    </row>
    <row r="486" customFormat="false" ht="15" hidden="false" customHeight="false" outlineLevel="0" collapsed="false">
      <c r="A486" s="4" t="s">
        <v>1600</v>
      </c>
      <c r="B486" s="4" t="s">
        <v>611</v>
      </c>
      <c r="C486" s="4" t="s">
        <v>611</v>
      </c>
      <c r="D486" s="4" t="s">
        <v>612</v>
      </c>
      <c r="E486" s="4" t="s">
        <v>761</v>
      </c>
      <c r="F486" s="4" t="s">
        <v>42</v>
      </c>
      <c r="G486" s="4" t="s">
        <v>38</v>
      </c>
      <c r="H486" s="4" t="n">
        <v>2</v>
      </c>
      <c r="I486" s="4" t="s">
        <v>673</v>
      </c>
      <c r="J486" s="4" t="s">
        <v>68</v>
      </c>
      <c r="K486" s="4" t="s">
        <v>157</v>
      </c>
      <c r="L486" s="4" t="s">
        <v>42</v>
      </c>
      <c r="M486" s="4" t="s">
        <v>43</v>
      </c>
      <c r="N486" s="4" t="s">
        <v>52</v>
      </c>
      <c r="O486" s="4" t="s">
        <v>158</v>
      </c>
      <c r="P486" s="4" t="s">
        <v>46</v>
      </c>
    </row>
    <row r="487" customFormat="false" ht="15" hidden="false" customHeight="false" outlineLevel="0" collapsed="false">
      <c r="A487" s="4" t="s">
        <v>1601</v>
      </c>
      <c r="B487" s="4" t="s">
        <v>611</v>
      </c>
      <c r="C487" s="4" t="s">
        <v>611</v>
      </c>
      <c r="D487" s="4" t="s">
        <v>612</v>
      </c>
      <c r="E487" s="4" t="s">
        <v>761</v>
      </c>
      <c r="F487" s="4" t="s">
        <v>42</v>
      </c>
      <c r="G487" s="4" t="s">
        <v>38</v>
      </c>
      <c r="H487" s="4" t="n">
        <v>1</v>
      </c>
      <c r="I487" s="4" t="s">
        <v>1464</v>
      </c>
      <c r="J487" s="4" t="s">
        <v>68</v>
      </c>
      <c r="K487" s="4" t="s">
        <v>1602</v>
      </c>
      <c r="L487" s="4" t="s">
        <v>634</v>
      </c>
      <c r="M487" s="4" t="s">
        <v>1603</v>
      </c>
      <c r="N487" s="4" t="s">
        <v>44</v>
      </c>
      <c r="O487" s="4" t="s">
        <v>1604</v>
      </c>
      <c r="P487" s="4" t="s">
        <v>46</v>
      </c>
    </row>
    <row r="488" customFormat="false" ht="15" hidden="false" customHeight="false" outlineLevel="0" collapsed="false">
      <c r="A488" s="4" t="s">
        <v>1605</v>
      </c>
      <c r="B488" s="4" t="s">
        <v>611</v>
      </c>
      <c r="C488" s="4" t="s">
        <v>611</v>
      </c>
      <c r="D488" s="4" t="s">
        <v>612</v>
      </c>
      <c r="E488" s="4" t="s">
        <v>649</v>
      </c>
      <c r="F488" s="4" t="s">
        <v>42</v>
      </c>
      <c r="G488" s="4" t="s">
        <v>59</v>
      </c>
      <c r="H488" s="4" t="n">
        <v>1</v>
      </c>
      <c r="I488" s="4" t="s">
        <v>865</v>
      </c>
      <c r="J488" s="4" t="s">
        <v>68</v>
      </c>
      <c r="K488" s="4" t="s">
        <v>1135</v>
      </c>
      <c r="L488" s="4" t="s">
        <v>42</v>
      </c>
      <c r="M488" s="4" t="s">
        <v>43</v>
      </c>
      <c r="N488" s="4" t="s">
        <v>185</v>
      </c>
      <c r="O488" s="4" t="s">
        <v>1136</v>
      </c>
      <c r="P488" s="4" t="s">
        <v>46</v>
      </c>
    </row>
    <row r="489" customFormat="false" ht="15" hidden="false" customHeight="false" outlineLevel="0" collapsed="false">
      <c r="A489" s="4" t="s">
        <v>1606</v>
      </c>
      <c r="B489" s="4" t="s">
        <v>611</v>
      </c>
      <c r="C489" s="4" t="s">
        <v>611</v>
      </c>
      <c r="D489" s="4" t="s">
        <v>612</v>
      </c>
      <c r="E489" s="4" t="s">
        <v>627</v>
      </c>
      <c r="F489" s="4" t="s">
        <v>70</v>
      </c>
      <c r="G489" s="4" t="s">
        <v>59</v>
      </c>
      <c r="H489" s="4" t="n">
        <v>1</v>
      </c>
      <c r="I489" s="4" t="s">
        <v>1607</v>
      </c>
      <c r="J489" s="4" t="s">
        <v>40</v>
      </c>
      <c r="K489" s="4" t="s">
        <v>280</v>
      </c>
      <c r="L489" s="4" t="s">
        <v>42</v>
      </c>
      <c r="M489" s="4" t="s">
        <v>133</v>
      </c>
      <c r="N489" s="4" t="s">
        <v>44</v>
      </c>
      <c r="O489" s="4" t="s">
        <v>281</v>
      </c>
      <c r="P489" s="4" t="s">
        <v>46</v>
      </c>
    </row>
    <row r="490" customFormat="false" ht="15" hidden="false" customHeight="false" outlineLevel="0" collapsed="false">
      <c r="A490" s="4" t="s">
        <v>1608</v>
      </c>
      <c r="B490" s="4" t="s">
        <v>611</v>
      </c>
      <c r="C490" s="4" t="s">
        <v>611</v>
      </c>
      <c r="D490" s="4" t="s">
        <v>612</v>
      </c>
      <c r="E490" s="4" t="s">
        <v>761</v>
      </c>
      <c r="F490" s="4" t="s">
        <v>70</v>
      </c>
      <c r="G490" s="4" t="s">
        <v>59</v>
      </c>
      <c r="H490" s="4" t="n">
        <v>2</v>
      </c>
      <c r="I490" s="4" t="s">
        <v>483</v>
      </c>
      <c r="J490" s="4" t="s">
        <v>68</v>
      </c>
      <c r="K490" s="4" t="s">
        <v>150</v>
      </c>
      <c r="L490" s="4" t="s">
        <v>70</v>
      </c>
      <c r="M490" s="4" t="s">
        <v>133</v>
      </c>
      <c r="N490" s="4" t="s">
        <v>185</v>
      </c>
      <c r="O490" s="4" t="s">
        <v>151</v>
      </c>
      <c r="P490" s="4" t="s">
        <v>46</v>
      </c>
    </row>
    <row r="491" customFormat="false" ht="1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 t="s">
        <v>46</v>
      </c>
    </row>
    <row r="492" customFormat="false" ht="15" hidden="false" customHeight="false" outlineLevel="0" collapsed="false">
      <c r="A492" s="4" t="s">
        <v>1609</v>
      </c>
      <c r="B492" s="4" t="s">
        <v>611</v>
      </c>
      <c r="C492" s="4" t="s">
        <v>611</v>
      </c>
      <c r="D492" s="4" t="s">
        <v>612</v>
      </c>
      <c r="E492" s="4" t="s">
        <v>761</v>
      </c>
      <c r="F492" s="4" t="s">
        <v>42</v>
      </c>
      <c r="G492" s="4" t="s">
        <v>38</v>
      </c>
      <c r="H492" s="4" t="n">
        <v>2</v>
      </c>
      <c r="I492" s="4" t="s">
        <v>813</v>
      </c>
      <c r="J492" s="4" t="s">
        <v>149</v>
      </c>
      <c r="K492" s="4" t="s">
        <v>1610</v>
      </c>
      <c r="L492" s="4" t="s">
        <v>42</v>
      </c>
      <c r="M492" s="4" t="s">
        <v>133</v>
      </c>
      <c r="N492" s="4" t="s">
        <v>44</v>
      </c>
      <c r="O492" s="4" t="s">
        <v>1611</v>
      </c>
      <c r="P492" s="4" t="s">
        <v>46</v>
      </c>
    </row>
    <row r="493" customFormat="false" ht="15" hidden="false" customHeight="false" outlineLevel="0" collapsed="false">
      <c r="A493" s="4" t="s">
        <v>1612</v>
      </c>
      <c r="B493" s="4" t="s">
        <v>611</v>
      </c>
      <c r="C493" s="4" t="s">
        <v>611</v>
      </c>
      <c r="D493" s="4" t="s">
        <v>612</v>
      </c>
      <c r="E493" s="4" t="s">
        <v>627</v>
      </c>
      <c r="F493" s="4" t="s">
        <v>42</v>
      </c>
      <c r="G493" s="4" t="s">
        <v>38</v>
      </c>
      <c r="H493" s="4" t="n">
        <v>2</v>
      </c>
      <c r="I493" s="4" t="s">
        <v>1613</v>
      </c>
      <c r="J493" s="4" t="s">
        <v>81</v>
      </c>
      <c r="K493" s="4" t="s">
        <v>1614</v>
      </c>
      <c r="L493" s="4" t="s">
        <v>825</v>
      </c>
      <c r="M493" s="4" t="s">
        <v>43</v>
      </c>
      <c r="N493" s="4" t="s">
        <v>44</v>
      </c>
      <c r="O493" s="4" t="s">
        <v>1615</v>
      </c>
      <c r="P493" s="4" t="s">
        <v>46</v>
      </c>
    </row>
    <row r="494" customFormat="false" ht="15" hidden="false" customHeight="false" outlineLevel="0" collapsed="false">
      <c r="A494" s="4" t="s">
        <v>1542</v>
      </c>
      <c r="B494" s="4" t="s">
        <v>1520</v>
      </c>
      <c r="C494" s="4" t="s">
        <v>611</v>
      </c>
      <c r="D494" s="4" t="s">
        <v>612</v>
      </c>
      <c r="E494" s="4" t="s">
        <v>618</v>
      </c>
      <c r="F494" s="4" t="s">
        <v>37</v>
      </c>
      <c r="G494" s="4" t="s">
        <v>38</v>
      </c>
      <c r="H494" s="4" t="n">
        <v>0</v>
      </c>
      <c r="I494" s="4" t="s">
        <v>831</v>
      </c>
      <c r="J494" s="4" t="s">
        <v>81</v>
      </c>
      <c r="K494" s="4" t="s">
        <v>1202</v>
      </c>
      <c r="L494" s="4" t="s">
        <v>42</v>
      </c>
      <c r="M494" s="4" t="s">
        <v>43</v>
      </c>
      <c r="N494" s="4" t="s">
        <v>52</v>
      </c>
      <c r="O494" s="4" t="s">
        <v>1203</v>
      </c>
      <c r="P494" s="4" t="s">
        <v>46</v>
      </c>
    </row>
    <row r="495" customFormat="false" ht="15" hidden="false" customHeight="false" outlineLevel="0" collapsed="false">
      <c r="A495" s="4" t="s">
        <v>1616</v>
      </c>
      <c r="B495" s="4" t="s">
        <v>611</v>
      </c>
      <c r="C495" s="4" t="s">
        <v>611</v>
      </c>
      <c r="D495" s="4" t="s">
        <v>612</v>
      </c>
      <c r="E495" s="4" t="s">
        <v>761</v>
      </c>
      <c r="F495" s="4" t="s">
        <v>42</v>
      </c>
      <c r="G495" s="4" t="s">
        <v>59</v>
      </c>
      <c r="H495" s="4" t="n">
        <v>4</v>
      </c>
      <c r="I495" s="4" t="s">
        <v>1617</v>
      </c>
      <c r="J495" s="4" t="s">
        <v>40</v>
      </c>
      <c r="K495" s="4" t="s">
        <v>405</v>
      </c>
      <c r="L495" s="4" t="s">
        <v>168</v>
      </c>
      <c r="M495" s="4" t="s">
        <v>43</v>
      </c>
      <c r="N495" s="4" t="s">
        <v>44</v>
      </c>
      <c r="O495" s="4" t="s">
        <v>406</v>
      </c>
      <c r="P495" s="4" t="s">
        <v>46</v>
      </c>
    </row>
    <row r="496" customFormat="false" ht="15" hidden="false" customHeight="false" outlineLevel="0" collapsed="false">
      <c r="A496" s="4" t="s">
        <v>1618</v>
      </c>
      <c r="B496" s="4" t="s">
        <v>611</v>
      </c>
      <c r="C496" s="4" t="s">
        <v>611</v>
      </c>
      <c r="D496" s="4" t="s">
        <v>612</v>
      </c>
      <c r="E496" s="4" t="s">
        <v>618</v>
      </c>
      <c r="F496" s="4" t="s">
        <v>58</v>
      </c>
      <c r="G496" s="4" t="s">
        <v>59</v>
      </c>
      <c r="H496" s="4" t="n">
        <v>2</v>
      </c>
      <c r="I496" s="4" t="s">
        <v>1441</v>
      </c>
      <c r="J496" s="4" t="s">
        <v>68</v>
      </c>
      <c r="K496" s="4" t="s">
        <v>1566</v>
      </c>
      <c r="L496" s="4" t="s">
        <v>42</v>
      </c>
      <c r="M496" s="4" t="s">
        <v>43</v>
      </c>
      <c r="N496" s="4" t="s">
        <v>44</v>
      </c>
      <c r="O496" s="4" t="s">
        <v>1567</v>
      </c>
      <c r="P496" s="4" t="s">
        <v>46</v>
      </c>
    </row>
    <row r="497" customFormat="false" ht="15" hidden="false" customHeight="false" outlineLevel="0" collapsed="false">
      <c r="A497" s="4" t="s">
        <v>1619</v>
      </c>
      <c r="B497" s="4" t="s">
        <v>611</v>
      </c>
      <c r="C497" s="4" t="s">
        <v>611</v>
      </c>
      <c r="D497" s="4" t="s">
        <v>612</v>
      </c>
      <c r="E497" s="4" t="s">
        <v>618</v>
      </c>
      <c r="F497" s="4" t="s">
        <v>42</v>
      </c>
      <c r="G497" s="4" t="s">
        <v>38</v>
      </c>
      <c r="H497" s="4" t="n">
        <v>1</v>
      </c>
      <c r="I497" s="4" t="s">
        <v>1008</v>
      </c>
      <c r="J497" s="4" t="s">
        <v>149</v>
      </c>
      <c r="K497" s="4" t="s">
        <v>90</v>
      </c>
      <c r="L497" s="4" t="s">
        <v>42</v>
      </c>
      <c r="M497" s="4" t="s">
        <v>43</v>
      </c>
      <c r="N497" s="4" t="s">
        <v>44</v>
      </c>
      <c r="O497" s="4" t="s">
        <v>91</v>
      </c>
      <c r="P497" s="4" t="s">
        <v>46</v>
      </c>
    </row>
    <row r="498" customFormat="false" ht="15" hidden="false" customHeight="false" outlineLevel="0" collapsed="false">
      <c r="A498" s="4" t="s">
        <v>1620</v>
      </c>
      <c r="B498" s="4" t="s">
        <v>1621</v>
      </c>
      <c r="C498" s="4" t="s">
        <v>1622</v>
      </c>
      <c r="D498" s="4" t="s">
        <v>35</v>
      </c>
      <c r="E498" s="4" t="s">
        <v>36</v>
      </c>
      <c r="F498" s="4" t="s">
        <v>42</v>
      </c>
      <c r="G498" s="4" t="s">
        <v>38</v>
      </c>
      <c r="H498" s="4" t="n">
        <v>3</v>
      </c>
      <c r="I498" s="4" t="s">
        <v>39</v>
      </c>
      <c r="J498" s="4" t="s">
        <v>68</v>
      </c>
      <c r="K498" s="4" t="s">
        <v>1250</v>
      </c>
      <c r="L498" s="4" t="s">
        <v>168</v>
      </c>
      <c r="M498" s="4" t="s">
        <v>133</v>
      </c>
      <c r="N498" s="4" t="s">
        <v>44</v>
      </c>
      <c r="O498" s="4" t="s">
        <v>1251</v>
      </c>
      <c r="P498" s="4" t="s">
        <v>46</v>
      </c>
    </row>
    <row r="499" customFormat="false" ht="15" hidden="false" customHeight="false" outlineLevel="0" collapsed="false">
      <c r="A499" s="4" t="s">
        <v>1623</v>
      </c>
      <c r="B499" s="4" t="s">
        <v>1624</v>
      </c>
      <c r="C499" s="4" t="s">
        <v>1624</v>
      </c>
      <c r="D499" s="4" t="s">
        <v>35</v>
      </c>
      <c r="E499" s="4" t="s">
        <v>57</v>
      </c>
      <c r="F499" s="4" t="s">
        <v>58</v>
      </c>
      <c r="G499" s="4" t="s">
        <v>59</v>
      </c>
      <c r="H499" s="4" t="n">
        <v>2</v>
      </c>
      <c r="I499" s="4" t="s">
        <v>124</v>
      </c>
      <c r="J499" s="4" t="s">
        <v>149</v>
      </c>
      <c r="K499" s="4" t="s">
        <v>715</v>
      </c>
      <c r="L499" s="4" t="s">
        <v>42</v>
      </c>
      <c r="M499" s="4" t="s">
        <v>43</v>
      </c>
      <c r="N499" s="4" t="s">
        <v>44</v>
      </c>
      <c r="O499" s="4" t="s">
        <v>716</v>
      </c>
      <c r="P499" s="4" t="s">
        <v>46</v>
      </c>
    </row>
    <row r="500" customFormat="false" ht="15" hidden="false" customHeight="false" outlineLevel="0" collapsed="false">
      <c r="A500" s="4" t="s">
        <v>1625</v>
      </c>
      <c r="B500" s="4" t="s">
        <v>1622</v>
      </c>
      <c r="C500" s="4" t="s">
        <v>1622</v>
      </c>
      <c r="D500" s="4" t="s">
        <v>35</v>
      </c>
      <c r="E500" s="4" t="s">
        <v>49</v>
      </c>
      <c r="F500" s="4" t="s">
        <v>42</v>
      </c>
      <c r="G500" s="4" t="s">
        <v>59</v>
      </c>
      <c r="H500" s="4" t="n">
        <v>1</v>
      </c>
      <c r="I500" s="4" t="s">
        <v>124</v>
      </c>
      <c r="J500" s="4" t="s">
        <v>40</v>
      </c>
      <c r="K500" s="4" t="s">
        <v>350</v>
      </c>
      <c r="L500" s="4" t="s">
        <v>168</v>
      </c>
      <c r="M500" s="4" t="s">
        <v>43</v>
      </c>
      <c r="N500" s="4" t="s">
        <v>44</v>
      </c>
      <c r="O500" s="4" t="s">
        <v>351</v>
      </c>
      <c r="P500" s="4" t="s">
        <v>46</v>
      </c>
    </row>
    <row r="501" customFormat="false" ht="15" hidden="false" customHeight="false" outlineLevel="0" collapsed="false">
      <c r="A501" s="4" t="s">
        <v>1626</v>
      </c>
      <c r="B501" s="4" t="s">
        <v>1627</v>
      </c>
      <c r="C501" s="4" t="s">
        <v>1628</v>
      </c>
      <c r="D501" s="4" t="s">
        <v>35</v>
      </c>
      <c r="E501" s="4" t="s">
        <v>57</v>
      </c>
      <c r="F501" s="4" t="s">
        <v>42</v>
      </c>
      <c r="G501" s="4" t="s">
        <v>38</v>
      </c>
      <c r="H501" s="4" t="n">
        <v>2</v>
      </c>
      <c r="I501" s="4" t="s">
        <v>67</v>
      </c>
      <c r="J501" s="4" t="s">
        <v>81</v>
      </c>
      <c r="K501" s="4" t="s">
        <v>313</v>
      </c>
      <c r="L501" s="4" t="s">
        <v>42</v>
      </c>
      <c r="M501" s="4" t="s">
        <v>43</v>
      </c>
      <c r="N501" s="4" t="s">
        <v>44</v>
      </c>
      <c r="O501" s="4" t="s">
        <v>314</v>
      </c>
      <c r="P501" s="4" t="s">
        <v>46</v>
      </c>
    </row>
    <row r="502" customFormat="false" ht="15" hidden="false" customHeight="false" outlineLevel="0" collapsed="false">
      <c r="A502" s="4" t="s">
        <v>1629</v>
      </c>
      <c r="B502" s="4" t="s">
        <v>1630</v>
      </c>
      <c r="C502" s="4" t="s">
        <v>1631</v>
      </c>
      <c r="D502" s="4" t="s">
        <v>35</v>
      </c>
      <c r="E502" s="4" t="s">
        <v>36</v>
      </c>
      <c r="F502" s="4" t="s">
        <v>42</v>
      </c>
      <c r="G502" s="4" t="s">
        <v>59</v>
      </c>
      <c r="H502" s="4" t="n">
        <v>1</v>
      </c>
      <c r="I502" s="4" t="s">
        <v>75</v>
      </c>
      <c r="J502" s="4" t="s">
        <v>81</v>
      </c>
      <c r="K502" s="4" t="s">
        <v>257</v>
      </c>
      <c r="L502" s="4" t="s">
        <v>42</v>
      </c>
      <c r="M502" s="4" t="s">
        <v>133</v>
      </c>
      <c r="N502" s="4" t="s">
        <v>44</v>
      </c>
      <c r="O502" s="4" t="s">
        <v>258</v>
      </c>
      <c r="P502" s="4" t="s">
        <v>46</v>
      </c>
    </row>
    <row r="503" customFormat="false" ht="15" hidden="false" customHeight="false" outlineLevel="0" collapsed="false">
      <c r="A503" s="4" t="s">
        <v>1632</v>
      </c>
      <c r="B503" s="4" t="s">
        <v>1630</v>
      </c>
      <c r="C503" s="4" t="s">
        <v>1633</v>
      </c>
      <c r="D503" s="4" t="s">
        <v>35</v>
      </c>
      <c r="E503" s="4" t="s">
        <v>89</v>
      </c>
      <c r="F503" s="4" t="s">
        <v>42</v>
      </c>
      <c r="G503" s="4" t="s">
        <v>38</v>
      </c>
      <c r="H503" s="4" t="n">
        <v>1</v>
      </c>
      <c r="I503" s="4" t="s">
        <v>39</v>
      </c>
      <c r="J503" s="4" t="s">
        <v>40</v>
      </c>
      <c r="K503" s="4" t="s">
        <v>558</v>
      </c>
      <c r="L503" s="4" t="s">
        <v>168</v>
      </c>
      <c r="M503" s="4" t="s">
        <v>43</v>
      </c>
      <c r="N503" s="4" t="s">
        <v>44</v>
      </c>
      <c r="O503" s="4" t="s">
        <v>559</v>
      </c>
      <c r="P503" s="4" t="s">
        <v>46</v>
      </c>
    </row>
    <row r="504" customFormat="false" ht="15" hidden="false" customHeight="false" outlineLevel="0" collapsed="false">
      <c r="A504" s="4" t="s">
        <v>1634</v>
      </c>
      <c r="B504" s="4" t="s">
        <v>1635</v>
      </c>
      <c r="C504" s="4" t="s">
        <v>1631</v>
      </c>
      <c r="D504" s="4" t="s">
        <v>35</v>
      </c>
      <c r="E504" s="4" t="s">
        <v>36</v>
      </c>
      <c r="F504" s="4" t="s">
        <v>42</v>
      </c>
      <c r="G504" s="4" t="s">
        <v>59</v>
      </c>
      <c r="H504" s="4" t="n">
        <v>1</v>
      </c>
      <c r="I504" s="4" t="s">
        <v>138</v>
      </c>
      <c r="J504" s="4" t="s">
        <v>149</v>
      </c>
      <c r="K504" s="4" t="s">
        <v>250</v>
      </c>
      <c r="L504" s="4" t="s">
        <v>42</v>
      </c>
      <c r="M504" s="4" t="s">
        <v>43</v>
      </c>
      <c r="N504" s="4" t="s">
        <v>52</v>
      </c>
      <c r="O504" s="4" t="s">
        <v>251</v>
      </c>
      <c r="P504" s="4" t="s">
        <v>46</v>
      </c>
    </row>
    <row r="505" customFormat="false" ht="15" hidden="false" customHeight="false" outlineLevel="0" collapsed="false">
      <c r="A505" s="4" t="s">
        <v>1636</v>
      </c>
      <c r="B505" s="4" t="s">
        <v>1631</v>
      </c>
      <c r="C505" s="4" t="s">
        <v>1637</v>
      </c>
      <c r="D505" s="4" t="s">
        <v>35</v>
      </c>
      <c r="E505" s="4" t="s">
        <v>36</v>
      </c>
      <c r="F505" s="4" t="s">
        <v>58</v>
      </c>
      <c r="G505" s="4" t="s">
        <v>38</v>
      </c>
      <c r="H505" s="4" t="n">
        <v>2</v>
      </c>
      <c r="I505" s="4" t="s">
        <v>240</v>
      </c>
      <c r="J505" s="4" t="s">
        <v>40</v>
      </c>
      <c r="K505" s="4" t="s">
        <v>115</v>
      </c>
      <c r="L505" s="4" t="s">
        <v>168</v>
      </c>
      <c r="M505" s="4" t="s">
        <v>43</v>
      </c>
      <c r="N505" s="4" t="s">
        <v>52</v>
      </c>
      <c r="O505" s="4" t="s">
        <v>116</v>
      </c>
      <c r="P505" s="4" t="s">
        <v>46</v>
      </c>
    </row>
    <row r="506" customFormat="false" ht="15" hidden="false" customHeight="false" outlineLevel="0" collapsed="false">
      <c r="A506" s="4" t="s">
        <v>1638</v>
      </c>
      <c r="B506" s="4" t="s">
        <v>1639</v>
      </c>
      <c r="C506" s="4" t="s">
        <v>1640</v>
      </c>
      <c r="D506" s="4" t="s">
        <v>35</v>
      </c>
      <c r="E506" s="4" t="s">
        <v>36</v>
      </c>
      <c r="F506" s="4" t="s">
        <v>42</v>
      </c>
      <c r="G506" s="4" t="s">
        <v>38</v>
      </c>
      <c r="H506" s="4" t="n">
        <v>4</v>
      </c>
      <c r="I506" s="4" t="s">
        <v>50</v>
      </c>
      <c r="J506" s="4" t="s">
        <v>40</v>
      </c>
      <c r="K506" s="4" t="s">
        <v>1261</v>
      </c>
      <c r="L506" s="4" t="s">
        <v>42</v>
      </c>
      <c r="M506" s="4" t="s">
        <v>133</v>
      </c>
      <c r="N506" s="4" t="s">
        <v>44</v>
      </c>
      <c r="O506" s="4" t="s">
        <v>1262</v>
      </c>
      <c r="P506" s="4" t="s">
        <v>46</v>
      </c>
    </row>
    <row r="507" customFormat="false" ht="15" hidden="false" customHeight="false" outlineLevel="0" collapsed="false">
      <c r="A507" s="4" t="s">
        <v>1641</v>
      </c>
      <c r="B507" s="4" t="s">
        <v>1642</v>
      </c>
      <c r="C507" s="4" t="s">
        <v>1643</v>
      </c>
      <c r="D507" s="4" t="s">
        <v>35</v>
      </c>
      <c r="E507" s="4" t="s">
        <v>36</v>
      </c>
      <c r="F507" s="4" t="s">
        <v>42</v>
      </c>
      <c r="G507" s="4" t="s">
        <v>38</v>
      </c>
      <c r="H507" s="4" t="n">
        <v>4</v>
      </c>
      <c r="I507" s="4" t="s">
        <v>50</v>
      </c>
      <c r="J507" s="4" t="s">
        <v>68</v>
      </c>
      <c r="K507" s="4" t="s">
        <v>189</v>
      </c>
      <c r="L507" s="4" t="s">
        <v>42</v>
      </c>
      <c r="M507" s="4" t="s">
        <v>43</v>
      </c>
      <c r="N507" s="4" t="s">
        <v>185</v>
      </c>
      <c r="O507" s="4" t="s">
        <v>190</v>
      </c>
      <c r="P507" s="4" t="s">
        <v>46</v>
      </c>
    </row>
    <row r="508" customFormat="false" ht="15" hidden="false" customHeight="false" outlineLevel="0" collapsed="false">
      <c r="A508" s="4" t="s">
        <v>1644</v>
      </c>
      <c r="B508" s="4" t="s">
        <v>1643</v>
      </c>
      <c r="C508" s="4" t="s">
        <v>1645</v>
      </c>
      <c r="D508" s="4" t="s">
        <v>35</v>
      </c>
      <c r="E508" s="4" t="s">
        <v>36</v>
      </c>
      <c r="F508" s="4" t="s">
        <v>42</v>
      </c>
      <c r="G508" s="4" t="s">
        <v>38</v>
      </c>
      <c r="H508" s="4" t="n">
        <v>2</v>
      </c>
      <c r="I508" s="4" t="s">
        <v>240</v>
      </c>
      <c r="J508" s="4" t="s">
        <v>40</v>
      </c>
      <c r="K508" s="4" t="s">
        <v>1016</v>
      </c>
      <c r="L508" s="4" t="s">
        <v>37</v>
      </c>
      <c r="M508" s="4" t="s">
        <v>43</v>
      </c>
      <c r="N508" s="4" t="s">
        <v>52</v>
      </c>
      <c r="O508" s="4" t="s">
        <v>1017</v>
      </c>
      <c r="P508" s="4" t="s">
        <v>46</v>
      </c>
    </row>
    <row r="509" customFormat="false" ht="15" hidden="false" customHeight="false" outlineLevel="0" collapsed="false">
      <c r="A509" s="4" t="s">
        <v>1646</v>
      </c>
      <c r="B509" s="4" t="s">
        <v>1647</v>
      </c>
      <c r="C509" s="4" t="s">
        <v>1648</v>
      </c>
      <c r="D509" s="4" t="s">
        <v>1649</v>
      </c>
      <c r="E509" s="4" t="s">
        <v>627</v>
      </c>
      <c r="F509" s="4" t="s">
        <v>42</v>
      </c>
      <c r="G509" s="4" t="s">
        <v>59</v>
      </c>
      <c r="H509" s="4" t="n">
        <v>4</v>
      </c>
      <c r="I509" s="4" t="s">
        <v>1650</v>
      </c>
      <c r="J509" s="4" t="s">
        <v>68</v>
      </c>
      <c r="K509" s="4" t="s">
        <v>1339</v>
      </c>
      <c r="L509" s="4" t="s">
        <v>42</v>
      </c>
      <c r="M509" s="4" t="s">
        <v>43</v>
      </c>
      <c r="N509" s="4" t="s">
        <v>185</v>
      </c>
      <c r="O509" s="4" t="s">
        <v>1340</v>
      </c>
      <c r="P509" s="4" t="s">
        <v>46</v>
      </c>
    </row>
    <row r="510" customFormat="false" ht="15" hidden="false" customHeight="false" outlineLevel="0" collapsed="false">
      <c r="A510" s="4" t="s">
        <v>1651</v>
      </c>
      <c r="B510" s="4" t="s">
        <v>1647</v>
      </c>
      <c r="C510" s="4" t="s">
        <v>1648</v>
      </c>
      <c r="D510" s="4" t="s">
        <v>1649</v>
      </c>
      <c r="E510" s="4" t="s">
        <v>627</v>
      </c>
      <c r="F510" s="4" t="s">
        <v>42</v>
      </c>
      <c r="G510" s="4" t="s">
        <v>38</v>
      </c>
      <c r="H510" s="4" t="n">
        <v>1</v>
      </c>
      <c r="I510" s="4" t="s">
        <v>841</v>
      </c>
      <c r="J510" s="4" t="s">
        <v>68</v>
      </c>
      <c r="K510" s="4" t="s">
        <v>1652</v>
      </c>
      <c r="L510" s="4" t="s">
        <v>837</v>
      </c>
      <c r="M510" s="4" t="s">
        <v>1064</v>
      </c>
      <c r="N510" s="4" t="s">
        <v>44</v>
      </c>
      <c r="O510" s="4" t="s">
        <v>1653</v>
      </c>
      <c r="P510" s="4" t="s">
        <v>46</v>
      </c>
    </row>
    <row r="511" customFormat="false" ht="15" hidden="false" customHeight="false" outlineLevel="0" collapsed="false">
      <c r="A511" s="4" t="s">
        <v>1654</v>
      </c>
      <c r="B511" s="4" t="s">
        <v>1647</v>
      </c>
      <c r="C511" s="4" t="s">
        <v>1655</v>
      </c>
      <c r="D511" s="4" t="s">
        <v>35</v>
      </c>
      <c r="E511" s="4" t="s">
        <v>36</v>
      </c>
      <c r="F511" s="4" t="s">
        <v>42</v>
      </c>
      <c r="G511" s="4" t="s">
        <v>59</v>
      </c>
      <c r="H511" s="4" t="n">
        <v>1</v>
      </c>
      <c r="I511" s="4" t="s">
        <v>60</v>
      </c>
      <c r="J511" s="4" t="s">
        <v>40</v>
      </c>
      <c r="K511" s="4" t="s">
        <v>646</v>
      </c>
      <c r="L511" s="4" t="s">
        <v>42</v>
      </c>
      <c r="M511" s="4" t="s">
        <v>43</v>
      </c>
      <c r="N511" s="4" t="s">
        <v>44</v>
      </c>
      <c r="O511" s="4" t="s">
        <v>647</v>
      </c>
      <c r="P511" s="4" t="s">
        <v>46</v>
      </c>
    </row>
    <row r="512" customFormat="false" ht="15" hidden="false" customHeight="false" outlineLevel="0" collapsed="false">
      <c r="A512" s="4" t="s">
        <v>1656</v>
      </c>
      <c r="B512" s="4" t="s">
        <v>1647</v>
      </c>
      <c r="C512" s="4" t="s">
        <v>1645</v>
      </c>
      <c r="D512" s="4" t="s">
        <v>35</v>
      </c>
      <c r="E512" s="4" t="s">
        <v>49</v>
      </c>
      <c r="F512" s="4" t="s">
        <v>42</v>
      </c>
      <c r="G512" s="4" t="s">
        <v>38</v>
      </c>
      <c r="H512" s="4" t="n">
        <v>4</v>
      </c>
      <c r="I512" s="4" t="s">
        <v>67</v>
      </c>
      <c r="J512" s="4" t="s">
        <v>81</v>
      </c>
      <c r="K512" s="4" t="s">
        <v>375</v>
      </c>
      <c r="L512" s="4" t="s">
        <v>376</v>
      </c>
      <c r="M512" s="4" t="s">
        <v>377</v>
      </c>
      <c r="N512" s="4" t="s">
        <v>185</v>
      </c>
      <c r="O512" s="4" t="s">
        <v>378</v>
      </c>
      <c r="P512" s="4" t="s">
        <v>46</v>
      </c>
    </row>
    <row r="513" customFormat="false" ht="15" hidden="false" customHeight="false" outlineLevel="0" collapsed="false">
      <c r="A513" s="4" t="s">
        <v>1657</v>
      </c>
      <c r="B513" s="4" t="s">
        <v>1658</v>
      </c>
      <c r="C513" s="4" t="s">
        <v>1648</v>
      </c>
      <c r="D513" s="4" t="s">
        <v>1649</v>
      </c>
      <c r="E513" s="4" t="s">
        <v>627</v>
      </c>
      <c r="F513" s="4" t="s">
        <v>42</v>
      </c>
      <c r="G513" s="4" t="s">
        <v>38</v>
      </c>
      <c r="H513" s="4" t="n">
        <v>1</v>
      </c>
      <c r="I513" s="4" t="s">
        <v>740</v>
      </c>
      <c r="J513" s="4" t="s">
        <v>81</v>
      </c>
      <c r="K513" s="4" t="s">
        <v>1659</v>
      </c>
      <c r="L513" s="4" t="s">
        <v>455</v>
      </c>
      <c r="M513" s="4" t="s">
        <v>456</v>
      </c>
      <c r="N513" s="4" t="s">
        <v>44</v>
      </c>
      <c r="O513" s="4" t="s">
        <v>1660</v>
      </c>
      <c r="P513" s="4" t="s">
        <v>46</v>
      </c>
    </row>
    <row r="514" customFormat="false" ht="15" hidden="false" customHeight="false" outlineLevel="0" collapsed="false">
      <c r="A514" s="4" t="s">
        <v>1661</v>
      </c>
      <c r="B514" s="4" t="s">
        <v>1658</v>
      </c>
      <c r="C514" s="4" t="s">
        <v>1648</v>
      </c>
      <c r="D514" s="4" t="s">
        <v>1649</v>
      </c>
      <c r="E514" s="4" t="s">
        <v>627</v>
      </c>
      <c r="F514" s="4" t="s">
        <v>42</v>
      </c>
      <c r="G514" s="4" t="s">
        <v>59</v>
      </c>
      <c r="H514" s="4" t="n">
        <v>1</v>
      </c>
      <c r="I514" s="4" t="s">
        <v>400</v>
      </c>
      <c r="J514" s="4" t="s">
        <v>81</v>
      </c>
      <c r="K514" s="4" t="s">
        <v>1662</v>
      </c>
      <c r="L514" s="4" t="s">
        <v>219</v>
      </c>
      <c r="M514" s="4" t="s">
        <v>356</v>
      </c>
      <c r="N514" s="4" t="s">
        <v>221</v>
      </c>
      <c r="O514" s="4"/>
      <c r="P514" s="4" t="s">
        <v>46</v>
      </c>
    </row>
    <row r="515" customFormat="false" ht="15" hidden="false" customHeight="false" outlineLevel="0" collapsed="false">
      <c r="A515" s="4" t="s">
        <v>1663</v>
      </c>
      <c r="B515" s="4" t="s">
        <v>1658</v>
      </c>
      <c r="C515" s="4" t="s">
        <v>1648</v>
      </c>
      <c r="D515" s="4" t="s">
        <v>1649</v>
      </c>
      <c r="E515" s="4" t="s">
        <v>627</v>
      </c>
      <c r="F515" s="4" t="s">
        <v>42</v>
      </c>
      <c r="G515" s="4" t="s">
        <v>38</v>
      </c>
      <c r="H515" s="4" t="n">
        <v>1</v>
      </c>
      <c r="I515" s="4" t="s">
        <v>789</v>
      </c>
      <c r="J515" s="4" t="s">
        <v>40</v>
      </c>
      <c r="K515" s="4" t="s">
        <v>814</v>
      </c>
      <c r="L515" s="4" t="s">
        <v>168</v>
      </c>
      <c r="M515" s="4" t="s">
        <v>43</v>
      </c>
      <c r="N515" s="4" t="s">
        <v>185</v>
      </c>
      <c r="O515" s="4" t="s">
        <v>815</v>
      </c>
      <c r="P515" s="4" t="s">
        <v>46</v>
      </c>
    </row>
    <row r="516" customFormat="false" ht="15" hidden="false" customHeight="false" outlineLevel="0" collapsed="false">
      <c r="A516" s="4" t="s">
        <v>1664</v>
      </c>
      <c r="B516" s="4" t="s">
        <v>1658</v>
      </c>
      <c r="C516" s="4" t="s">
        <v>1648</v>
      </c>
      <c r="D516" s="4" t="s">
        <v>1649</v>
      </c>
      <c r="E516" s="4" t="s">
        <v>618</v>
      </c>
      <c r="F516" s="4" t="s">
        <v>37</v>
      </c>
      <c r="G516" s="4" t="s">
        <v>38</v>
      </c>
      <c r="H516" s="4" t="n">
        <v>2</v>
      </c>
      <c r="I516" s="4" t="s">
        <v>569</v>
      </c>
      <c r="J516" s="4" t="s">
        <v>40</v>
      </c>
      <c r="K516" s="4" t="s">
        <v>1610</v>
      </c>
      <c r="L516" s="4" t="s">
        <v>42</v>
      </c>
      <c r="M516" s="4" t="s">
        <v>133</v>
      </c>
      <c r="N516" s="4" t="s">
        <v>44</v>
      </c>
      <c r="O516" s="4" t="s">
        <v>1611</v>
      </c>
      <c r="P516" s="4" t="s">
        <v>46</v>
      </c>
    </row>
    <row r="517" customFormat="false" ht="15" hidden="false" customHeight="false" outlineLevel="0" collapsed="false">
      <c r="A517" s="4" t="s">
        <v>1665</v>
      </c>
      <c r="B517" s="4" t="s">
        <v>1658</v>
      </c>
      <c r="C517" s="4" t="s">
        <v>1648</v>
      </c>
      <c r="D517" s="4" t="s">
        <v>1649</v>
      </c>
      <c r="E517" s="4" t="s">
        <v>627</v>
      </c>
      <c r="F517" s="4" t="s">
        <v>58</v>
      </c>
      <c r="G517" s="4" t="s">
        <v>38</v>
      </c>
      <c r="H517" s="4" t="n">
        <v>1</v>
      </c>
      <c r="I517" s="4" t="s">
        <v>1666</v>
      </c>
      <c r="J517" s="4" t="s">
        <v>40</v>
      </c>
      <c r="K517" s="4" t="s">
        <v>1667</v>
      </c>
      <c r="L517" s="4" t="s">
        <v>42</v>
      </c>
      <c r="M517" s="4" t="s">
        <v>133</v>
      </c>
      <c r="N517" s="4" t="s">
        <v>185</v>
      </c>
      <c r="O517" s="4" t="s">
        <v>1668</v>
      </c>
      <c r="P517" s="4" t="s">
        <v>46</v>
      </c>
    </row>
    <row r="518" customFormat="false" ht="15" hidden="false" customHeight="false" outlineLevel="0" collapsed="false">
      <c r="A518" s="4" t="s">
        <v>1669</v>
      </c>
      <c r="B518" s="4" t="s">
        <v>1658</v>
      </c>
      <c r="C518" s="4" t="s">
        <v>1648</v>
      </c>
      <c r="D518" s="4" t="s">
        <v>1649</v>
      </c>
      <c r="E518" s="4" t="s">
        <v>627</v>
      </c>
      <c r="F518" s="4" t="s">
        <v>42</v>
      </c>
      <c r="G518" s="4" t="s">
        <v>326</v>
      </c>
      <c r="H518" s="4" t="n">
        <v>1</v>
      </c>
      <c r="I518" s="4" t="s">
        <v>1670</v>
      </c>
      <c r="J518" s="4" t="s">
        <v>68</v>
      </c>
      <c r="K518" s="4" t="s">
        <v>202</v>
      </c>
      <c r="L518" s="4" t="s">
        <v>42</v>
      </c>
      <c r="M518" s="4" t="s">
        <v>43</v>
      </c>
      <c r="N518" s="4" t="s">
        <v>185</v>
      </c>
      <c r="O518" s="4" t="s">
        <v>203</v>
      </c>
      <c r="P518" s="4" t="s">
        <v>46</v>
      </c>
    </row>
    <row r="519" customFormat="false" ht="15" hidden="false" customHeight="false" outlineLevel="0" collapsed="false">
      <c r="A519" s="4" t="s">
        <v>1671</v>
      </c>
      <c r="B519" s="4" t="s">
        <v>1645</v>
      </c>
      <c r="C519" s="4" t="s">
        <v>1648</v>
      </c>
      <c r="D519" s="4" t="s">
        <v>1649</v>
      </c>
      <c r="E519" s="4" t="s">
        <v>627</v>
      </c>
      <c r="F519" s="4" t="s">
        <v>128</v>
      </c>
      <c r="G519" s="4" t="s">
        <v>59</v>
      </c>
      <c r="H519" s="4" t="n">
        <v>2</v>
      </c>
      <c r="I519" s="4" t="s">
        <v>573</v>
      </c>
      <c r="J519" s="4" t="s">
        <v>40</v>
      </c>
      <c r="K519" s="4" t="s">
        <v>1128</v>
      </c>
      <c r="L519" s="4" t="s">
        <v>42</v>
      </c>
      <c r="M519" s="4" t="s">
        <v>43</v>
      </c>
      <c r="N519" s="4" t="s">
        <v>44</v>
      </c>
      <c r="O519" s="4" t="s">
        <v>1129</v>
      </c>
      <c r="P519" s="4" t="s">
        <v>46</v>
      </c>
    </row>
    <row r="520" customFormat="false" ht="15" hidden="false" customHeight="false" outlineLevel="0" collapsed="false">
      <c r="A520" s="4" t="s">
        <v>1672</v>
      </c>
      <c r="B520" s="4" t="s">
        <v>1645</v>
      </c>
      <c r="C520" s="4" t="s">
        <v>1648</v>
      </c>
      <c r="D520" s="4" t="s">
        <v>1649</v>
      </c>
      <c r="E520" s="4" t="s">
        <v>627</v>
      </c>
      <c r="F520" s="4" t="s">
        <v>42</v>
      </c>
      <c r="G520" s="4" t="s">
        <v>38</v>
      </c>
      <c r="H520" s="4" t="n">
        <v>2</v>
      </c>
      <c r="I520" s="4" t="s">
        <v>1138</v>
      </c>
      <c r="J520" s="4" t="s">
        <v>40</v>
      </c>
      <c r="K520" s="4" t="s">
        <v>719</v>
      </c>
      <c r="L520" s="4" t="s">
        <v>42</v>
      </c>
      <c r="M520" s="4" t="s">
        <v>43</v>
      </c>
      <c r="N520" s="4" t="s">
        <v>44</v>
      </c>
      <c r="O520" s="4" t="s">
        <v>720</v>
      </c>
      <c r="P520" s="4" t="s">
        <v>46</v>
      </c>
    </row>
    <row r="521" customFormat="false" ht="15" hidden="false" customHeight="false" outlineLevel="0" collapsed="false">
      <c r="A521" s="4" t="s">
        <v>1673</v>
      </c>
      <c r="B521" s="4" t="s">
        <v>1645</v>
      </c>
      <c r="C521" s="4" t="s">
        <v>1648</v>
      </c>
      <c r="D521" s="4" t="s">
        <v>1649</v>
      </c>
      <c r="E521" s="4" t="s">
        <v>627</v>
      </c>
      <c r="F521" s="4" t="s">
        <v>42</v>
      </c>
      <c r="G521" s="4" t="s">
        <v>59</v>
      </c>
      <c r="H521" s="4" t="n">
        <v>3</v>
      </c>
      <c r="I521" s="4" t="s">
        <v>1302</v>
      </c>
      <c r="J521" s="4" t="s">
        <v>68</v>
      </c>
      <c r="K521" s="4" t="s">
        <v>1674</v>
      </c>
      <c r="L521" s="4" t="s">
        <v>1675</v>
      </c>
      <c r="M521" s="4" t="s">
        <v>695</v>
      </c>
      <c r="N521" s="4" t="s">
        <v>44</v>
      </c>
      <c r="O521" s="4" t="s">
        <v>1676</v>
      </c>
      <c r="P521" s="4" t="s">
        <v>46</v>
      </c>
    </row>
    <row r="522" customFormat="false" ht="15" hidden="false" customHeight="false" outlineLevel="0" collapsed="false">
      <c r="A522" s="4" t="s">
        <v>1677</v>
      </c>
      <c r="B522" s="4" t="s">
        <v>1645</v>
      </c>
      <c r="C522" s="4" t="s">
        <v>1648</v>
      </c>
      <c r="D522" s="4" t="s">
        <v>1649</v>
      </c>
      <c r="E522" s="4" t="s">
        <v>627</v>
      </c>
      <c r="F522" s="4" t="s">
        <v>42</v>
      </c>
      <c r="G522" s="4" t="s">
        <v>38</v>
      </c>
      <c r="H522" s="4" t="n">
        <v>2</v>
      </c>
      <c r="I522" s="4" t="s">
        <v>801</v>
      </c>
      <c r="J522" s="4" t="s">
        <v>40</v>
      </c>
      <c r="K522" s="4" t="s">
        <v>167</v>
      </c>
      <c r="L522" s="4" t="s">
        <v>42</v>
      </c>
      <c r="M522" s="4" t="s">
        <v>43</v>
      </c>
      <c r="N522" s="4" t="s">
        <v>44</v>
      </c>
      <c r="O522" s="4" t="s">
        <v>169</v>
      </c>
      <c r="P522" s="4" t="s">
        <v>46</v>
      </c>
    </row>
    <row r="523" customFormat="false" ht="15" hidden="false" customHeight="false" outlineLevel="0" collapsed="false">
      <c r="A523" s="4" t="s">
        <v>1678</v>
      </c>
      <c r="B523" s="4" t="s">
        <v>1645</v>
      </c>
      <c r="C523" s="4" t="s">
        <v>1648</v>
      </c>
      <c r="D523" s="4" t="s">
        <v>1649</v>
      </c>
      <c r="E523" s="4" t="s">
        <v>627</v>
      </c>
      <c r="F523" s="4" t="s">
        <v>42</v>
      </c>
      <c r="G523" s="4" t="s">
        <v>59</v>
      </c>
      <c r="H523" s="4" t="n">
        <v>3</v>
      </c>
      <c r="I523" s="4" t="s">
        <v>714</v>
      </c>
      <c r="J523" s="4" t="s">
        <v>40</v>
      </c>
      <c r="K523" s="4" t="s">
        <v>1679</v>
      </c>
      <c r="L523" s="4" t="s">
        <v>219</v>
      </c>
      <c r="M523" s="4" t="s">
        <v>356</v>
      </c>
      <c r="N523" s="4" t="s">
        <v>221</v>
      </c>
      <c r="O523" s="4"/>
      <c r="P523" s="4" t="s">
        <v>46</v>
      </c>
    </row>
    <row r="524" customFormat="false" ht="15" hidden="false" customHeight="false" outlineLevel="0" collapsed="false">
      <c r="A524" s="4" t="s">
        <v>1680</v>
      </c>
      <c r="B524" s="4" t="s">
        <v>1645</v>
      </c>
      <c r="C524" s="4" t="s">
        <v>1648</v>
      </c>
      <c r="D524" s="4" t="s">
        <v>1649</v>
      </c>
      <c r="E524" s="4" t="s">
        <v>627</v>
      </c>
      <c r="F524" s="4" t="s">
        <v>128</v>
      </c>
      <c r="G524" s="4" t="s">
        <v>38</v>
      </c>
      <c r="H524" s="4" t="n">
        <v>1</v>
      </c>
      <c r="I524" s="4" t="s">
        <v>1117</v>
      </c>
      <c r="J524" s="4" t="s">
        <v>68</v>
      </c>
      <c r="K524" s="4" t="s">
        <v>1681</v>
      </c>
      <c r="L524" s="4" t="s">
        <v>1682</v>
      </c>
      <c r="M524" s="4" t="s">
        <v>1683</v>
      </c>
      <c r="N524" s="4" t="s">
        <v>44</v>
      </c>
      <c r="O524" s="4" t="s">
        <v>1684</v>
      </c>
      <c r="P524" s="4" t="s">
        <v>46</v>
      </c>
    </row>
    <row r="525" customFormat="false" ht="15" hidden="false" customHeight="false" outlineLevel="0" collapsed="false">
      <c r="A525" s="4" t="s">
        <v>1685</v>
      </c>
      <c r="B525" s="4" t="s">
        <v>1645</v>
      </c>
      <c r="C525" s="4" t="s">
        <v>1648</v>
      </c>
      <c r="D525" s="4" t="s">
        <v>1649</v>
      </c>
      <c r="E525" s="4" t="s">
        <v>613</v>
      </c>
      <c r="F525" s="4" t="s">
        <v>70</v>
      </c>
      <c r="G525" s="4" t="s">
        <v>59</v>
      </c>
      <c r="H525" s="4" t="n">
        <v>2</v>
      </c>
      <c r="I525" s="4" t="s">
        <v>1573</v>
      </c>
      <c r="J525" s="4" t="s">
        <v>68</v>
      </c>
      <c r="K525" s="4" t="s">
        <v>1686</v>
      </c>
      <c r="L525" s="4" t="s">
        <v>463</v>
      </c>
      <c r="M525" s="4" t="s">
        <v>464</v>
      </c>
      <c r="N525" s="4" t="s">
        <v>44</v>
      </c>
      <c r="O525" s="4" t="s">
        <v>1687</v>
      </c>
      <c r="P525" s="4" t="s">
        <v>46</v>
      </c>
    </row>
    <row r="526" customFormat="false" ht="15" hidden="false" customHeight="false" outlineLevel="0" collapsed="false">
      <c r="A526" s="4" t="s">
        <v>1688</v>
      </c>
      <c r="B526" s="4" t="s">
        <v>1645</v>
      </c>
      <c r="C526" s="4" t="s">
        <v>1645</v>
      </c>
      <c r="D526" s="4" t="s">
        <v>35</v>
      </c>
      <c r="E526" s="4" t="s">
        <v>36</v>
      </c>
      <c r="F526" s="4" t="s">
        <v>70</v>
      </c>
      <c r="G526" s="4" t="s">
        <v>38</v>
      </c>
      <c r="H526" s="4" t="n">
        <v>2</v>
      </c>
      <c r="I526" s="4" t="s">
        <v>50</v>
      </c>
      <c r="J526" s="4" t="s">
        <v>68</v>
      </c>
      <c r="K526" s="4" t="s">
        <v>132</v>
      </c>
      <c r="L526" s="4" t="s">
        <v>42</v>
      </c>
      <c r="M526" s="4" t="s">
        <v>43</v>
      </c>
      <c r="N526" s="4" t="s">
        <v>52</v>
      </c>
      <c r="O526" s="4" t="s">
        <v>134</v>
      </c>
      <c r="P526" s="4" t="s">
        <v>46</v>
      </c>
    </row>
    <row r="527" customFormat="false" ht="15" hidden="false" customHeight="false" outlineLevel="0" collapsed="false">
      <c r="A527" s="4" t="s">
        <v>1689</v>
      </c>
      <c r="B527" s="4" t="s">
        <v>1655</v>
      </c>
      <c r="C527" s="4" t="s">
        <v>1648</v>
      </c>
      <c r="D527" s="4" t="s">
        <v>1649</v>
      </c>
      <c r="E527" s="4" t="s">
        <v>627</v>
      </c>
      <c r="F527" s="4" t="s">
        <v>42</v>
      </c>
      <c r="G527" s="4" t="s">
        <v>59</v>
      </c>
      <c r="H527" s="4" t="n">
        <v>1</v>
      </c>
      <c r="I527" s="4" t="s">
        <v>1533</v>
      </c>
      <c r="J527" s="4" t="s">
        <v>81</v>
      </c>
      <c r="K527" s="4" t="s">
        <v>1167</v>
      </c>
      <c r="L527" s="4" t="s">
        <v>58</v>
      </c>
      <c r="M527" s="4" t="s">
        <v>43</v>
      </c>
      <c r="N527" s="4" t="s">
        <v>44</v>
      </c>
      <c r="O527" s="4" t="s">
        <v>1168</v>
      </c>
      <c r="P527" s="4" t="s">
        <v>46</v>
      </c>
    </row>
    <row r="528" customFormat="false" ht="15" hidden="false" customHeight="false" outlineLevel="0" collapsed="false">
      <c r="A528" s="4" t="s">
        <v>1690</v>
      </c>
      <c r="B528" s="4" t="s">
        <v>1655</v>
      </c>
      <c r="C528" s="4" t="s">
        <v>1648</v>
      </c>
      <c r="D528" s="4" t="s">
        <v>1649</v>
      </c>
      <c r="E528" s="4" t="s">
        <v>627</v>
      </c>
      <c r="F528" s="4" t="s">
        <v>128</v>
      </c>
      <c r="G528" s="4" t="s">
        <v>38</v>
      </c>
      <c r="H528" s="4" t="n">
        <v>2</v>
      </c>
      <c r="I528" s="4" t="s">
        <v>1691</v>
      </c>
      <c r="J528" s="4" t="s">
        <v>40</v>
      </c>
      <c r="K528" s="4" t="s">
        <v>1692</v>
      </c>
      <c r="L528" s="4" t="s">
        <v>455</v>
      </c>
      <c r="M528" s="4" t="s">
        <v>456</v>
      </c>
      <c r="N528" s="4" t="s">
        <v>52</v>
      </c>
      <c r="O528" s="4" t="s">
        <v>1693</v>
      </c>
      <c r="P528" s="4" t="s">
        <v>46</v>
      </c>
    </row>
    <row r="529" customFormat="false" ht="15" hidden="false" customHeight="false" outlineLevel="0" collapsed="false">
      <c r="A529" s="4" t="s">
        <v>1694</v>
      </c>
      <c r="B529" s="4" t="s">
        <v>1655</v>
      </c>
      <c r="C529" s="4" t="s">
        <v>1648</v>
      </c>
      <c r="D529" s="4" t="s">
        <v>1649</v>
      </c>
      <c r="E529" s="4" t="s">
        <v>627</v>
      </c>
      <c r="F529" s="4" t="s">
        <v>58</v>
      </c>
      <c r="G529" s="4" t="s">
        <v>38</v>
      </c>
      <c r="H529" s="4" t="n">
        <v>2</v>
      </c>
      <c r="I529" s="4" t="s">
        <v>1695</v>
      </c>
      <c r="J529" s="4" t="s">
        <v>40</v>
      </c>
      <c r="K529" s="4" t="s">
        <v>1696</v>
      </c>
      <c r="L529" s="4" t="s">
        <v>988</v>
      </c>
      <c r="M529" s="4" t="s">
        <v>737</v>
      </c>
      <c r="N529" s="4" t="s">
        <v>52</v>
      </c>
      <c r="O529" s="4" t="s">
        <v>1697</v>
      </c>
      <c r="P529" s="4" t="s">
        <v>46</v>
      </c>
    </row>
    <row r="530" customFormat="false" ht="15" hidden="false" customHeight="false" outlineLevel="0" collapsed="false">
      <c r="A530" s="4" t="s">
        <v>1698</v>
      </c>
      <c r="B530" s="4" t="s">
        <v>1699</v>
      </c>
      <c r="C530" s="4" t="s">
        <v>1648</v>
      </c>
      <c r="D530" s="4" t="s">
        <v>1649</v>
      </c>
      <c r="E530" s="4" t="s">
        <v>613</v>
      </c>
      <c r="F530" s="4" t="s">
        <v>42</v>
      </c>
      <c r="G530" s="4" t="s">
        <v>38</v>
      </c>
      <c r="H530" s="4" t="n">
        <v>1</v>
      </c>
      <c r="I530" s="4" t="s">
        <v>701</v>
      </c>
      <c r="J530" s="4" t="s">
        <v>40</v>
      </c>
      <c r="K530" s="4" t="s">
        <v>224</v>
      </c>
      <c r="L530" s="4" t="s">
        <v>42</v>
      </c>
      <c r="M530" s="4" t="s">
        <v>43</v>
      </c>
      <c r="N530" s="4" t="s">
        <v>44</v>
      </c>
      <c r="O530" s="4" t="s">
        <v>225</v>
      </c>
      <c r="P530" s="4" t="s">
        <v>46</v>
      </c>
    </row>
    <row r="531" customFormat="false" ht="15" hidden="false" customHeight="false" outlineLevel="0" collapsed="false">
      <c r="A531" s="4" t="s">
        <v>1700</v>
      </c>
      <c r="B531" s="4" t="s">
        <v>1701</v>
      </c>
      <c r="C531" s="4" t="s">
        <v>1648</v>
      </c>
      <c r="D531" s="4" t="s">
        <v>1649</v>
      </c>
      <c r="E531" s="4" t="s">
        <v>627</v>
      </c>
      <c r="F531" s="4" t="s">
        <v>42</v>
      </c>
      <c r="G531" s="4" t="s">
        <v>38</v>
      </c>
      <c r="H531" s="4" t="n">
        <v>3</v>
      </c>
      <c r="I531" s="4" t="s">
        <v>914</v>
      </c>
      <c r="J531" s="4" t="s">
        <v>81</v>
      </c>
      <c r="K531" s="4" t="s">
        <v>1702</v>
      </c>
      <c r="L531" s="4" t="s">
        <v>463</v>
      </c>
      <c r="M531" s="4" t="s">
        <v>464</v>
      </c>
      <c r="N531" s="4" t="s">
        <v>94</v>
      </c>
      <c r="O531" s="4" t="s">
        <v>1703</v>
      </c>
      <c r="P531" s="4" t="s">
        <v>46</v>
      </c>
    </row>
    <row r="532" customFormat="false" ht="15" hidden="false" customHeight="false" outlineLevel="0" collapsed="false">
      <c r="A532" s="4" t="s">
        <v>1704</v>
      </c>
      <c r="B532" s="4" t="s">
        <v>1701</v>
      </c>
      <c r="C532" s="4" t="s">
        <v>1648</v>
      </c>
      <c r="D532" s="4" t="s">
        <v>1649</v>
      </c>
      <c r="E532" s="4" t="s">
        <v>761</v>
      </c>
      <c r="F532" s="4" t="s">
        <v>128</v>
      </c>
      <c r="G532" s="4" t="s">
        <v>38</v>
      </c>
      <c r="H532" s="4" t="n">
        <v>1</v>
      </c>
      <c r="I532" s="4" t="s">
        <v>1111</v>
      </c>
      <c r="J532" s="4" t="s">
        <v>68</v>
      </c>
      <c r="K532" s="4" t="s">
        <v>1705</v>
      </c>
      <c r="L532" s="4" t="s">
        <v>42</v>
      </c>
      <c r="M532" s="4" t="s">
        <v>43</v>
      </c>
      <c r="N532" s="4" t="s">
        <v>44</v>
      </c>
      <c r="O532" s="4" t="s">
        <v>1706</v>
      </c>
      <c r="P532" s="4" t="s">
        <v>46</v>
      </c>
    </row>
    <row r="533" customFormat="false" ht="15" hidden="false" customHeight="false" outlineLevel="0" collapsed="false">
      <c r="A533" s="4" t="s">
        <v>1707</v>
      </c>
      <c r="B533" s="4" t="s">
        <v>1701</v>
      </c>
      <c r="C533" s="4" t="s">
        <v>1648</v>
      </c>
      <c r="D533" s="4" t="s">
        <v>1649</v>
      </c>
      <c r="E533" s="4" t="s">
        <v>627</v>
      </c>
      <c r="F533" s="4" t="s">
        <v>42</v>
      </c>
      <c r="G533" s="4" t="s">
        <v>59</v>
      </c>
      <c r="H533" s="4" t="n">
        <v>1</v>
      </c>
      <c r="I533" s="4" t="s">
        <v>1708</v>
      </c>
      <c r="J533" s="4" t="s">
        <v>68</v>
      </c>
      <c r="K533" s="4" t="s">
        <v>1709</v>
      </c>
      <c r="L533" s="4" t="s">
        <v>862</v>
      </c>
      <c r="M533" s="4" t="s">
        <v>356</v>
      </c>
      <c r="N533" s="4" t="s">
        <v>863</v>
      </c>
      <c r="O533" s="4"/>
      <c r="P533" s="4" t="s">
        <v>46</v>
      </c>
    </row>
    <row r="534" customFormat="false" ht="15" hidden="false" customHeight="false" outlineLevel="0" collapsed="false">
      <c r="A534" s="4" t="s">
        <v>1710</v>
      </c>
      <c r="B534" s="4" t="s">
        <v>1711</v>
      </c>
      <c r="C534" s="4" t="s">
        <v>1648</v>
      </c>
      <c r="D534" s="4" t="s">
        <v>1649</v>
      </c>
      <c r="E534" s="4" t="s">
        <v>627</v>
      </c>
      <c r="F534" s="4" t="s">
        <v>42</v>
      </c>
      <c r="G534" s="4" t="s">
        <v>59</v>
      </c>
      <c r="H534" s="4" t="n">
        <v>1</v>
      </c>
      <c r="I534" s="4" t="s">
        <v>925</v>
      </c>
      <c r="J534" s="4" t="s">
        <v>40</v>
      </c>
      <c r="K534" s="4" t="s">
        <v>1261</v>
      </c>
      <c r="L534" s="4" t="s">
        <v>168</v>
      </c>
      <c r="M534" s="4" t="s">
        <v>133</v>
      </c>
      <c r="N534" s="4" t="s">
        <v>52</v>
      </c>
      <c r="O534" s="4" t="s">
        <v>1262</v>
      </c>
      <c r="P534" s="4" t="s">
        <v>46</v>
      </c>
    </row>
    <row r="535" customFormat="false" ht="15" hidden="false" customHeight="false" outlineLevel="0" collapsed="false">
      <c r="A535" s="4" t="s">
        <v>1712</v>
      </c>
      <c r="B535" s="4" t="s">
        <v>1711</v>
      </c>
      <c r="C535" s="4" t="s">
        <v>1648</v>
      </c>
      <c r="D535" s="4" t="s">
        <v>1649</v>
      </c>
      <c r="E535" s="4" t="s">
        <v>618</v>
      </c>
      <c r="F535" s="4" t="s">
        <v>42</v>
      </c>
      <c r="G535" s="4" t="s">
        <v>38</v>
      </c>
      <c r="H535" s="4" t="n">
        <v>2</v>
      </c>
      <c r="I535" s="4" t="s">
        <v>497</v>
      </c>
      <c r="J535" s="4" t="s">
        <v>68</v>
      </c>
      <c r="K535" s="4" t="s">
        <v>157</v>
      </c>
      <c r="L535" s="4" t="s">
        <v>70</v>
      </c>
      <c r="M535" s="4" t="s">
        <v>43</v>
      </c>
      <c r="N535" s="4" t="s">
        <v>44</v>
      </c>
      <c r="O535" s="4" t="s">
        <v>158</v>
      </c>
      <c r="P535" s="4" t="s">
        <v>46</v>
      </c>
    </row>
    <row r="536" customFormat="false" ht="15" hidden="false" customHeight="false" outlineLevel="0" collapsed="false">
      <c r="A536" s="4" t="s">
        <v>1713</v>
      </c>
      <c r="B536" s="4" t="s">
        <v>1711</v>
      </c>
      <c r="C536" s="4" t="s">
        <v>1648</v>
      </c>
      <c r="D536" s="4" t="s">
        <v>1649</v>
      </c>
      <c r="E536" s="4" t="s">
        <v>649</v>
      </c>
      <c r="F536" s="4" t="s">
        <v>42</v>
      </c>
      <c r="G536" s="4" t="s">
        <v>38</v>
      </c>
      <c r="H536" s="4" t="n">
        <v>2</v>
      </c>
      <c r="I536" s="4" t="s">
        <v>1404</v>
      </c>
      <c r="J536" s="4" t="s">
        <v>81</v>
      </c>
      <c r="K536" s="4" t="s">
        <v>484</v>
      </c>
      <c r="L536" s="4" t="s">
        <v>37</v>
      </c>
      <c r="M536" s="4" t="s">
        <v>43</v>
      </c>
      <c r="N536" s="4" t="s">
        <v>44</v>
      </c>
      <c r="O536" s="4" t="s">
        <v>485</v>
      </c>
      <c r="P536" s="4" t="s">
        <v>46</v>
      </c>
    </row>
    <row r="537" customFormat="false" ht="15" hidden="false" customHeight="false" outlineLevel="0" collapsed="false">
      <c r="A537" s="4" t="s">
        <v>1714</v>
      </c>
      <c r="B537" s="4" t="s">
        <v>1715</v>
      </c>
      <c r="C537" s="4" t="s">
        <v>1648</v>
      </c>
      <c r="D537" s="4" t="s">
        <v>1649</v>
      </c>
      <c r="E537" s="4" t="s">
        <v>627</v>
      </c>
      <c r="F537" s="4" t="s">
        <v>42</v>
      </c>
      <c r="G537" s="4" t="s">
        <v>59</v>
      </c>
      <c r="H537" s="4" t="n">
        <v>1</v>
      </c>
      <c r="I537" s="4" t="s">
        <v>921</v>
      </c>
      <c r="J537" s="4" t="s">
        <v>68</v>
      </c>
      <c r="K537" s="4" t="s">
        <v>1716</v>
      </c>
      <c r="L537" s="4" t="s">
        <v>988</v>
      </c>
      <c r="M537" s="4" t="s">
        <v>737</v>
      </c>
      <c r="N537" s="4" t="s">
        <v>44</v>
      </c>
      <c r="O537" s="4" t="s">
        <v>1717</v>
      </c>
      <c r="P537" s="4" t="s">
        <v>46</v>
      </c>
    </row>
    <row r="538" customFormat="false" ht="15" hidden="false" customHeight="false" outlineLevel="0" collapsed="false">
      <c r="A538" s="4" t="s">
        <v>1718</v>
      </c>
      <c r="B538" s="4" t="s">
        <v>1715</v>
      </c>
      <c r="C538" s="4" t="s">
        <v>1648</v>
      </c>
      <c r="D538" s="4" t="s">
        <v>1649</v>
      </c>
      <c r="E538" s="4" t="s">
        <v>627</v>
      </c>
      <c r="F538" s="4" t="s">
        <v>42</v>
      </c>
      <c r="G538" s="4" t="s">
        <v>59</v>
      </c>
      <c r="H538" s="4" t="n">
        <v>2</v>
      </c>
      <c r="I538" s="4" t="s">
        <v>1719</v>
      </c>
      <c r="J538" s="4" t="s">
        <v>81</v>
      </c>
      <c r="K538" s="4" t="s">
        <v>1720</v>
      </c>
      <c r="L538" s="4" t="s">
        <v>219</v>
      </c>
      <c r="M538" s="4" t="s">
        <v>356</v>
      </c>
      <c r="N538" s="4" t="s">
        <v>221</v>
      </c>
      <c r="O538" s="4"/>
      <c r="P538" s="4" t="s">
        <v>46</v>
      </c>
    </row>
    <row r="539" customFormat="false" ht="15" hidden="false" customHeight="false" outlineLevel="0" collapsed="false">
      <c r="A539" s="4" t="s">
        <v>1721</v>
      </c>
      <c r="B539" s="4" t="s">
        <v>1715</v>
      </c>
      <c r="C539" s="4" t="s">
        <v>1648</v>
      </c>
      <c r="D539" s="4" t="s">
        <v>1649</v>
      </c>
      <c r="E539" s="4" t="s">
        <v>627</v>
      </c>
      <c r="F539" s="4" t="s">
        <v>58</v>
      </c>
      <c r="G539" s="4" t="s">
        <v>38</v>
      </c>
      <c r="H539" s="4" t="n">
        <v>2</v>
      </c>
      <c r="I539" s="4" t="s">
        <v>780</v>
      </c>
      <c r="J539" s="4" t="s">
        <v>81</v>
      </c>
      <c r="K539" s="4" t="s">
        <v>167</v>
      </c>
      <c r="L539" s="4" t="s">
        <v>42</v>
      </c>
      <c r="M539" s="4" t="s">
        <v>43</v>
      </c>
      <c r="N539" s="4" t="s">
        <v>44</v>
      </c>
      <c r="O539" s="4" t="s">
        <v>169</v>
      </c>
      <c r="P539" s="4" t="s">
        <v>46</v>
      </c>
    </row>
    <row r="540" customFormat="false" ht="15" hidden="false" customHeight="false" outlineLevel="0" collapsed="false">
      <c r="A540" s="4" t="s">
        <v>1722</v>
      </c>
      <c r="B540" s="4" t="s">
        <v>1715</v>
      </c>
      <c r="C540" s="4" t="s">
        <v>1648</v>
      </c>
      <c r="D540" s="4" t="s">
        <v>1649</v>
      </c>
      <c r="E540" s="4" t="s">
        <v>618</v>
      </c>
      <c r="F540" s="4" t="s">
        <v>42</v>
      </c>
      <c r="G540" s="4" t="s">
        <v>59</v>
      </c>
      <c r="H540" s="4" t="n">
        <v>1</v>
      </c>
      <c r="I540" s="4" t="s">
        <v>766</v>
      </c>
      <c r="J540" s="4" t="s">
        <v>40</v>
      </c>
      <c r="K540" s="4" t="s">
        <v>103</v>
      </c>
      <c r="L540" s="4" t="s">
        <v>42</v>
      </c>
      <c r="M540" s="4" t="s">
        <v>43</v>
      </c>
      <c r="N540" s="4" t="s">
        <v>44</v>
      </c>
      <c r="O540" s="4" t="s">
        <v>104</v>
      </c>
      <c r="P540" s="4" t="s">
        <v>46</v>
      </c>
    </row>
    <row r="541" customFormat="false" ht="15" hidden="false" customHeight="false" outlineLevel="0" collapsed="false">
      <c r="A541" s="4" t="s">
        <v>1723</v>
      </c>
      <c r="B541" s="4" t="s">
        <v>1724</v>
      </c>
      <c r="C541" s="4" t="s">
        <v>1648</v>
      </c>
      <c r="D541" s="4" t="s">
        <v>1649</v>
      </c>
      <c r="E541" s="4" t="s">
        <v>761</v>
      </c>
      <c r="F541" s="4" t="s">
        <v>128</v>
      </c>
      <c r="G541" s="4" t="s">
        <v>38</v>
      </c>
      <c r="H541" s="4" t="n">
        <v>2</v>
      </c>
      <c r="I541" s="4" t="s">
        <v>954</v>
      </c>
      <c r="J541" s="4" t="s">
        <v>68</v>
      </c>
      <c r="K541" s="4" t="s">
        <v>1725</v>
      </c>
      <c r="L541" s="4" t="s">
        <v>524</v>
      </c>
      <c r="M541" s="4" t="s">
        <v>377</v>
      </c>
      <c r="N541" s="4" t="s">
        <v>52</v>
      </c>
      <c r="O541" s="4" t="s">
        <v>1726</v>
      </c>
      <c r="P541" s="4" t="s">
        <v>46</v>
      </c>
    </row>
    <row r="542" customFormat="false" ht="15" hidden="false" customHeight="false" outlineLevel="0" collapsed="false">
      <c r="A542" s="4" t="s">
        <v>1727</v>
      </c>
      <c r="B542" s="4" t="s">
        <v>1724</v>
      </c>
      <c r="C542" s="4" t="s">
        <v>1648</v>
      </c>
      <c r="D542" s="4" t="s">
        <v>1649</v>
      </c>
      <c r="E542" s="4" t="s">
        <v>627</v>
      </c>
      <c r="F542" s="4" t="s">
        <v>58</v>
      </c>
      <c r="G542" s="4" t="s">
        <v>59</v>
      </c>
      <c r="H542" s="4" t="n">
        <v>1</v>
      </c>
      <c r="I542" s="4" t="s">
        <v>784</v>
      </c>
      <c r="J542" s="4" t="s">
        <v>149</v>
      </c>
      <c r="K542" s="4" t="s">
        <v>1728</v>
      </c>
      <c r="L542" s="4" t="s">
        <v>900</v>
      </c>
      <c r="M542" s="4" t="s">
        <v>356</v>
      </c>
      <c r="N542" s="4" t="s">
        <v>901</v>
      </c>
      <c r="O542" s="4"/>
      <c r="P542" s="4" t="s">
        <v>46</v>
      </c>
    </row>
    <row r="543" customFormat="false" ht="15" hidden="false" customHeight="false" outlineLevel="0" collapsed="false">
      <c r="A543" s="4" t="s">
        <v>1729</v>
      </c>
      <c r="B543" s="4" t="s">
        <v>1724</v>
      </c>
      <c r="C543" s="4" t="s">
        <v>1648</v>
      </c>
      <c r="D543" s="4" t="s">
        <v>1649</v>
      </c>
      <c r="E543" s="4" t="s">
        <v>627</v>
      </c>
      <c r="F543" s="4" t="s">
        <v>42</v>
      </c>
      <c r="G543" s="4" t="s">
        <v>38</v>
      </c>
      <c r="H543" s="4" t="n">
        <v>2</v>
      </c>
      <c r="I543" s="4" t="s">
        <v>1730</v>
      </c>
      <c r="J543" s="4" t="s">
        <v>40</v>
      </c>
      <c r="K543" s="4" t="s">
        <v>1250</v>
      </c>
      <c r="L543" s="4" t="s">
        <v>42</v>
      </c>
      <c r="M543" s="4" t="s">
        <v>43</v>
      </c>
      <c r="N543" s="4" t="s">
        <v>94</v>
      </c>
      <c r="O543" s="4" t="s">
        <v>1251</v>
      </c>
      <c r="P543" s="4" t="s">
        <v>46</v>
      </c>
    </row>
    <row r="544" customFormat="false" ht="15" hidden="false" customHeight="false" outlineLevel="0" collapsed="false">
      <c r="A544" s="4" t="s">
        <v>1731</v>
      </c>
      <c r="B544" s="4" t="s">
        <v>1724</v>
      </c>
      <c r="C544" s="4" t="s">
        <v>1648</v>
      </c>
      <c r="D544" s="4" t="s">
        <v>1649</v>
      </c>
      <c r="E544" s="4" t="s">
        <v>761</v>
      </c>
      <c r="F544" s="4" t="s">
        <v>42</v>
      </c>
      <c r="G544" s="4" t="s">
        <v>38</v>
      </c>
      <c r="H544" s="4" t="n">
        <v>2</v>
      </c>
      <c r="I544" s="4" t="s">
        <v>982</v>
      </c>
      <c r="J544" s="4" t="s">
        <v>68</v>
      </c>
      <c r="K544" s="4" t="s">
        <v>1732</v>
      </c>
      <c r="L544" s="4" t="s">
        <v>463</v>
      </c>
      <c r="M544" s="4" t="s">
        <v>464</v>
      </c>
      <c r="N544" s="4" t="s">
        <v>44</v>
      </c>
      <c r="O544" s="4" t="s">
        <v>1733</v>
      </c>
      <c r="P544" s="4" t="s">
        <v>46</v>
      </c>
    </row>
    <row r="545" customFormat="false" ht="15" hidden="false" customHeight="false" outlineLevel="0" collapsed="false">
      <c r="A545" s="4" t="s">
        <v>1734</v>
      </c>
      <c r="B545" s="4" t="s">
        <v>1724</v>
      </c>
      <c r="C545" s="4" t="s">
        <v>1648</v>
      </c>
      <c r="D545" s="4" t="s">
        <v>1649</v>
      </c>
      <c r="E545" s="4" t="s">
        <v>618</v>
      </c>
      <c r="F545" s="4" t="s">
        <v>37</v>
      </c>
      <c r="G545" s="4" t="s">
        <v>38</v>
      </c>
      <c r="H545" s="4" t="n">
        <v>1</v>
      </c>
      <c r="I545" s="4" t="s">
        <v>1338</v>
      </c>
      <c r="J545" s="4" t="s">
        <v>40</v>
      </c>
      <c r="K545" s="4" t="s">
        <v>824</v>
      </c>
      <c r="L545" s="4" t="s">
        <v>382</v>
      </c>
      <c r="M545" s="4" t="s">
        <v>43</v>
      </c>
      <c r="N545" s="4" t="s">
        <v>44</v>
      </c>
      <c r="O545" s="4" t="s">
        <v>826</v>
      </c>
      <c r="P545" s="4" t="s">
        <v>46</v>
      </c>
    </row>
    <row r="546" customFormat="false" ht="15" hidden="false" customHeight="false" outlineLevel="0" collapsed="false">
      <c r="A546" s="4" t="s">
        <v>1735</v>
      </c>
      <c r="B546" s="4" t="s">
        <v>1736</v>
      </c>
      <c r="C546" s="4" t="s">
        <v>1648</v>
      </c>
      <c r="D546" s="4" t="s">
        <v>1649</v>
      </c>
      <c r="E546" s="4" t="s">
        <v>627</v>
      </c>
      <c r="F546" s="4" t="s">
        <v>42</v>
      </c>
      <c r="G546" s="4" t="s">
        <v>326</v>
      </c>
      <c r="H546" s="4" t="n">
        <v>1</v>
      </c>
      <c r="I546" s="4" t="s">
        <v>1737</v>
      </c>
      <c r="J546" s="4" t="s">
        <v>68</v>
      </c>
      <c r="K546" s="4" t="s">
        <v>1250</v>
      </c>
      <c r="L546" s="4" t="s">
        <v>37</v>
      </c>
      <c r="M546" s="4" t="s">
        <v>43</v>
      </c>
      <c r="N546" s="4" t="s">
        <v>44</v>
      </c>
      <c r="O546" s="4" t="s">
        <v>1251</v>
      </c>
      <c r="P546" s="4" t="s">
        <v>46</v>
      </c>
    </row>
    <row r="547" customFormat="false" ht="15" hidden="false" customHeight="false" outlineLevel="0" collapsed="false">
      <c r="A547" s="4" t="s">
        <v>1738</v>
      </c>
      <c r="B547" s="4" t="s">
        <v>1736</v>
      </c>
      <c r="C547" s="4" t="s">
        <v>1648</v>
      </c>
      <c r="D547" s="4" t="s">
        <v>1649</v>
      </c>
      <c r="E547" s="4" t="s">
        <v>618</v>
      </c>
      <c r="F547" s="4" t="s">
        <v>42</v>
      </c>
      <c r="G547" s="4" t="s">
        <v>38</v>
      </c>
      <c r="H547" s="4" t="n">
        <v>1</v>
      </c>
      <c r="I547" s="4" t="s">
        <v>630</v>
      </c>
      <c r="J547" s="4" t="s">
        <v>81</v>
      </c>
      <c r="K547" s="4" t="s">
        <v>1316</v>
      </c>
      <c r="L547" s="4" t="s">
        <v>70</v>
      </c>
      <c r="M547" s="4" t="s">
        <v>43</v>
      </c>
      <c r="N547" s="4" t="s">
        <v>44</v>
      </c>
      <c r="O547" s="4" t="s">
        <v>1317</v>
      </c>
      <c r="P547" s="4" t="s">
        <v>46</v>
      </c>
    </row>
    <row r="548" customFormat="false" ht="15" hidden="false" customHeight="false" outlineLevel="0" collapsed="false">
      <c r="A548" s="4" t="s">
        <v>1739</v>
      </c>
      <c r="B548" s="4" t="s">
        <v>1736</v>
      </c>
      <c r="C548" s="4" t="s">
        <v>1648</v>
      </c>
      <c r="D548" s="4" t="s">
        <v>1649</v>
      </c>
      <c r="E548" s="4" t="s">
        <v>649</v>
      </c>
      <c r="F548" s="4" t="s">
        <v>42</v>
      </c>
      <c r="G548" s="4" t="s">
        <v>59</v>
      </c>
      <c r="H548" s="4" t="n">
        <v>0</v>
      </c>
      <c r="I548" s="4" t="s">
        <v>1650</v>
      </c>
      <c r="J548" s="4" t="s">
        <v>40</v>
      </c>
      <c r="K548" s="4" t="s">
        <v>1158</v>
      </c>
      <c r="L548" s="4" t="s">
        <v>42</v>
      </c>
      <c r="M548" s="4" t="s">
        <v>43</v>
      </c>
      <c r="N548" s="4" t="s">
        <v>44</v>
      </c>
      <c r="O548" s="4" t="s">
        <v>1159</v>
      </c>
      <c r="P548" s="4" t="s">
        <v>46</v>
      </c>
    </row>
    <row r="549" customFormat="false" ht="15" hidden="false" customHeight="false" outlineLevel="0" collapsed="false">
      <c r="A549" s="4" t="s">
        <v>1740</v>
      </c>
      <c r="B549" s="4" t="s">
        <v>1736</v>
      </c>
      <c r="C549" s="4" t="s">
        <v>1648</v>
      </c>
      <c r="D549" s="4" t="s">
        <v>1649</v>
      </c>
      <c r="E549" s="4" t="s">
        <v>627</v>
      </c>
      <c r="F549" s="4" t="s">
        <v>42</v>
      </c>
      <c r="G549" s="4" t="s">
        <v>38</v>
      </c>
      <c r="H549" s="4" t="n">
        <v>2</v>
      </c>
      <c r="I549" s="4" t="s">
        <v>1070</v>
      </c>
      <c r="J549" s="4" t="s">
        <v>40</v>
      </c>
      <c r="K549" s="4" t="s">
        <v>1741</v>
      </c>
      <c r="L549" s="4" t="s">
        <v>480</v>
      </c>
      <c r="M549" s="4" t="s">
        <v>43</v>
      </c>
      <c r="N549" s="4" t="s">
        <v>44</v>
      </c>
      <c r="O549" s="4" t="s">
        <v>1742</v>
      </c>
      <c r="P549" s="4" t="s">
        <v>46</v>
      </c>
    </row>
    <row r="550" customFormat="false" ht="15" hidden="false" customHeight="false" outlineLevel="0" collapsed="false">
      <c r="A550" s="4" t="s">
        <v>1743</v>
      </c>
      <c r="B550" s="4" t="s">
        <v>1736</v>
      </c>
      <c r="C550" s="4" t="s">
        <v>1744</v>
      </c>
      <c r="D550" s="4" t="s">
        <v>35</v>
      </c>
      <c r="E550" s="4" t="s">
        <v>89</v>
      </c>
      <c r="F550" s="4" t="s">
        <v>42</v>
      </c>
      <c r="G550" s="4" t="s">
        <v>38</v>
      </c>
      <c r="H550" s="4" t="n">
        <v>2</v>
      </c>
      <c r="I550" s="4" t="s">
        <v>50</v>
      </c>
      <c r="J550" s="4" t="s">
        <v>40</v>
      </c>
      <c r="K550" s="4" t="s">
        <v>261</v>
      </c>
      <c r="L550" s="4" t="s">
        <v>42</v>
      </c>
      <c r="M550" s="4" t="s">
        <v>43</v>
      </c>
      <c r="N550" s="4" t="s">
        <v>44</v>
      </c>
      <c r="O550" s="4" t="s">
        <v>262</v>
      </c>
      <c r="P550" s="4" t="s">
        <v>46</v>
      </c>
    </row>
    <row r="551" customFormat="false" ht="15" hidden="false" customHeight="false" outlineLevel="0" collapsed="false">
      <c r="A551" s="4" t="s">
        <v>1745</v>
      </c>
      <c r="B551" s="4" t="s">
        <v>1744</v>
      </c>
      <c r="C551" s="4" t="s">
        <v>1648</v>
      </c>
      <c r="D551" s="4" t="s">
        <v>1649</v>
      </c>
      <c r="E551" s="4" t="s">
        <v>613</v>
      </c>
      <c r="F551" s="4" t="s">
        <v>42</v>
      </c>
      <c r="G551" s="4" t="s">
        <v>38</v>
      </c>
      <c r="H551" s="4" t="n">
        <v>1</v>
      </c>
      <c r="I551" s="4" t="s">
        <v>960</v>
      </c>
      <c r="J551" s="4" t="s">
        <v>40</v>
      </c>
      <c r="K551" s="4" t="s">
        <v>1746</v>
      </c>
      <c r="L551" s="4" t="s">
        <v>382</v>
      </c>
      <c r="M551" s="4" t="s">
        <v>43</v>
      </c>
      <c r="N551" s="4" t="s">
        <v>52</v>
      </c>
      <c r="O551" s="4" t="s">
        <v>1747</v>
      </c>
      <c r="P551" s="4" t="s">
        <v>46</v>
      </c>
    </row>
    <row r="552" customFormat="false" ht="15" hidden="false" customHeight="false" outlineLevel="0" collapsed="false">
      <c r="A552" s="4" t="s">
        <v>1748</v>
      </c>
      <c r="B552" s="4" t="s">
        <v>1744</v>
      </c>
      <c r="C552" s="4" t="s">
        <v>1648</v>
      </c>
      <c r="D552" s="4" t="s">
        <v>1649</v>
      </c>
      <c r="E552" s="4" t="s">
        <v>627</v>
      </c>
      <c r="F552" s="4" t="s">
        <v>42</v>
      </c>
      <c r="G552" s="4" t="s">
        <v>38</v>
      </c>
      <c r="H552" s="4" t="n">
        <v>3</v>
      </c>
      <c r="I552" s="4" t="s">
        <v>402</v>
      </c>
      <c r="J552" s="4" t="s">
        <v>149</v>
      </c>
      <c r="K552" s="4" t="s">
        <v>484</v>
      </c>
      <c r="L552" s="4" t="s">
        <v>42</v>
      </c>
      <c r="M552" s="4" t="s">
        <v>43</v>
      </c>
      <c r="N552" s="4" t="s">
        <v>44</v>
      </c>
      <c r="O552" s="4" t="s">
        <v>485</v>
      </c>
      <c r="P552" s="4" t="s">
        <v>46</v>
      </c>
    </row>
    <row r="553" customFormat="false" ht="15" hidden="false" customHeight="false" outlineLevel="0" collapsed="false">
      <c r="A553" s="4" t="s">
        <v>1749</v>
      </c>
      <c r="B553" s="4" t="s">
        <v>1744</v>
      </c>
      <c r="C553" s="4" t="s">
        <v>1750</v>
      </c>
      <c r="D553" s="4" t="s">
        <v>35</v>
      </c>
      <c r="E553" s="4" t="s">
        <v>36</v>
      </c>
      <c r="F553" s="4" t="s">
        <v>42</v>
      </c>
      <c r="G553" s="4" t="s">
        <v>38</v>
      </c>
      <c r="H553" s="4" t="n">
        <v>2</v>
      </c>
      <c r="I553" s="4" t="s">
        <v>67</v>
      </c>
      <c r="J553" s="4" t="s">
        <v>40</v>
      </c>
      <c r="K553" s="4" t="s">
        <v>590</v>
      </c>
      <c r="L553" s="4" t="s">
        <v>42</v>
      </c>
      <c r="M553" s="4" t="s">
        <v>43</v>
      </c>
      <c r="N553" s="4" t="s">
        <v>44</v>
      </c>
      <c r="O553" s="4" t="s">
        <v>591</v>
      </c>
      <c r="P553" s="4" t="s">
        <v>46</v>
      </c>
    </row>
    <row r="554" customFormat="false" ht="15" hidden="false" customHeight="false" outlineLevel="0" collapsed="false">
      <c r="A554" s="4" t="s">
        <v>1751</v>
      </c>
      <c r="B554" s="4" t="s">
        <v>1750</v>
      </c>
      <c r="C554" s="4" t="s">
        <v>1648</v>
      </c>
      <c r="D554" s="4" t="s">
        <v>1649</v>
      </c>
      <c r="E554" s="4" t="s">
        <v>627</v>
      </c>
      <c r="F554" s="4" t="s">
        <v>42</v>
      </c>
      <c r="G554" s="4" t="s">
        <v>38</v>
      </c>
      <c r="H554" s="4" t="n">
        <v>1</v>
      </c>
      <c r="I554" s="4" t="s">
        <v>1111</v>
      </c>
      <c r="J554" s="4" t="s">
        <v>68</v>
      </c>
      <c r="K554" s="4" t="s">
        <v>107</v>
      </c>
      <c r="L554" s="4" t="s">
        <v>42</v>
      </c>
      <c r="M554" s="4" t="s">
        <v>43</v>
      </c>
      <c r="N554" s="4" t="s">
        <v>44</v>
      </c>
      <c r="O554" s="4" t="s">
        <v>108</v>
      </c>
      <c r="P554" s="4" t="s">
        <v>46</v>
      </c>
    </row>
    <row r="555" customFormat="false" ht="15" hidden="false" customHeight="false" outlineLevel="0" collapsed="false">
      <c r="A555" s="4" t="s">
        <v>1752</v>
      </c>
      <c r="B555" s="4" t="s">
        <v>1750</v>
      </c>
      <c r="C555" s="4" t="s">
        <v>1648</v>
      </c>
      <c r="D555" s="4" t="s">
        <v>1649</v>
      </c>
      <c r="E555" s="4" t="s">
        <v>761</v>
      </c>
      <c r="F555" s="4" t="s">
        <v>42</v>
      </c>
      <c r="G555" s="4" t="s">
        <v>38</v>
      </c>
      <c r="H555" s="4" t="n">
        <v>1</v>
      </c>
      <c r="I555" s="4" t="s">
        <v>1107</v>
      </c>
      <c r="J555" s="4" t="s">
        <v>68</v>
      </c>
      <c r="K555" s="4" t="s">
        <v>1753</v>
      </c>
      <c r="L555" s="4" t="s">
        <v>837</v>
      </c>
      <c r="M555" s="4" t="s">
        <v>838</v>
      </c>
      <c r="N555" s="4" t="s">
        <v>44</v>
      </c>
      <c r="O555" s="4" t="s">
        <v>1754</v>
      </c>
      <c r="P555" s="4" t="s">
        <v>46</v>
      </c>
    </row>
    <row r="556" customFormat="false" ht="15" hidden="false" customHeight="false" outlineLevel="0" collapsed="false">
      <c r="A556" s="4" t="s">
        <v>1755</v>
      </c>
      <c r="B556" s="4" t="s">
        <v>1750</v>
      </c>
      <c r="C556" s="4" t="s">
        <v>1648</v>
      </c>
      <c r="D556" s="4" t="s">
        <v>1649</v>
      </c>
      <c r="E556" s="4" t="s">
        <v>627</v>
      </c>
      <c r="F556" s="4" t="s">
        <v>42</v>
      </c>
      <c r="G556" s="4" t="s">
        <v>326</v>
      </c>
      <c r="H556" s="4" t="n">
        <v>2</v>
      </c>
      <c r="I556" s="4" t="s">
        <v>1756</v>
      </c>
      <c r="J556" s="4" t="s">
        <v>68</v>
      </c>
      <c r="K556" s="4" t="s">
        <v>308</v>
      </c>
      <c r="L556" s="4" t="s">
        <v>42</v>
      </c>
      <c r="M556" s="4" t="s">
        <v>43</v>
      </c>
      <c r="N556" s="4" t="s">
        <v>44</v>
      </c>
      <c r="O556" s="4" t="s">
        <v>309</v>
      </c>
      <c r="P556" s="4" t="s">
        <v>46</v>
      </c>
    </row>
    <row r="557" customFormat="false" ht="15" hidden="false" customHeight="false" outlineLevel="0" collapsed="false">
      <c r="A557" s="4" t="s">
        <v>1757</v>
      </c>
      <c r="B557" s="4" t="s">
        <v>1758</v>
      </c>
      <c r="C557" s="4" t="s">
        <v>1648</v>
      </c>
      <c r="D557" s="4" t="s">
        <v>1649</v>
      </c>
      <c r="E557" s="4" t="s">
        <v>627</v>
      </c>
      <c r="F557" s="4" t="s">
        <v>42</v>
      </c>
      <c r="G557" s="4" t="s">
        <v>59</v>
      </c>
      <c r="H557" s="4" t="n">
        <v>2</v>
      </c>
      <c r="I557" s="4" t="s">
        <v>784</v>
      </c>
      <c r="J557" s="4" t="s">
        <v>68</v>
      </c>
      <c r="K557" s="4" t="s">
        <v>1759</v>
      </c>
      <c r="L557" s="4" t="s">
        <v>634</v>
      </c>
      <c r="M557" s="4" t="s">
        <v>635</v>
      </c>
      <c r="N557" s="4" t="s">
        <v>44</v>
      </c>
      <c r="O557" s="4" t="s">
        <v>1760</v>
      </c>
      <c r="P557" s="4" t="s">
        <v>46</v>
      </c>
    </row>
    <row r="558" customFormat="false" ht="15" hidden="false" customHeight="false" outlineLevel="0" collapsed="false">
      <c r="A558" s="4" t="s">
        <v>1761</v>
      </c>
      <c r="B558" s="4" t="s">
        <v>1758</v>
      </c>
      <c r="C558" s="4" t="s">
        <v>1648</v>
      </c>
      <c r="D558" s="4" t="s">
        <v>1649</v>
      </c>
      <c r="E558" s="4" t="s">
        <v>627</v>
      </c>
      <c r="F558" s="4" t="s">
        <v>42</v>
      </c>
      <c r="G558" s="4" t="s">
        <v>38</v>
      </c>
      <c r="H558" s="4" t="n">
        <v>2</v>
      </c>
      <c r="I558" s="4" t="s">
        <v>734</v>
      </c>
      <c r="J558" s="4" t="s">
        <v>40</v>
      </c>
      <c r="K558" s="4" t="s">
        <v>763</v>
      </c>
      <c r="L558" s="4" t="s">
        <v>168</v>
      </c>
      <c r="M558" s="4" t="s">
        <v>43</v>
      </c>
      <c r="N558" s="4" t="s">
        <v>44</v>
      </c>
      <c r="O558" s="4" t="s">
        <v>764</v>
      </c>
      <c r="P558" s="4" t="s">
        <v>46</v>
      </c>
    </row>
    <row r="559" customFormat="false" ht="15" hidden="false" customHeight="false" outlineLevel="0" collapsed="false">
      <c r="A559" s="4" t="s">
        <v>1762</v>
      </c>
      <c r="B559" s="4" t="s">
        <v>1758</v>
      </c>
      <c r="C559" s="4" t="s">
        <v>1648</v>
      </c>
      <c r="D559" s="4" t="s">
        <v>1649</v>
      </c>
      <c r="E559" s="4" t="s">
        <v>627</v>
      </c>
      <c r="F559" s="4" t="s">
        <v>42</v>
      </c>
      <c r="G559" s="4" t="s">
        <v>59</v>
      </c>
      <c r="H559" s="4" t="n">
        <v>2</v>
      </c>
      <c r="I559" s="4" t="s">
        <v>1024</v>
      </c>
      <c r="J559" s="4" t="s">
        <v>81</v>
      </c>
      <c r="K559" s="4" t="s">
        <v>565</v>
      </c>
      <c r="L559" s="4" t="s">
        <v>37</v>
      </c>
      <c r="M559" s="4" t="s">
        <v>133</v>
      </c>
      <c r="N559" s="4" t="s">
        <v>44</v>
      </c>
      <c r="O559" s="4" t="s">
        <v>566</v>
      </c>
      <c r="P559" s="4" t="s">
        <v>46</v>
      </c>
    </row>
    <row r="560" customFormat="false" ht="15" hidden="false" customHeight="false" outlineLevel="0" collapsed="false">
      <c r="A560" s="4" t="s">
        <v>1763</v>
      </c>
      <c r="B560" s="4" t="s">
        <v>1758</v>
      </c>
      <c r="C560" s="4" t="s">
        <v>1648</v>
      </c>
      <c r="D560" s="4" t="s">
        <v>1649</v>
      </c>
      <c r="E560" s="4" t="s">
        <v>627</v>
      </c>
      <c r="F560" s="4" t="s">
        <v>42</v>
      </c>
      <c r="G560" s="4" t="s">
        <v>59</v>
      </c>
      <c r="H560" s="4" t="n">
        <v>2</v>
      </c>
      <c r="I560" s="4" t="s">
        <v>614</v>
      </c>
      <c r="J560" s="4" t="s">
        <v>68</v>
      </c>
      <c r="K560" s="4" t="s">
        <v>1764</v>
      </c>
      <c r="L560" s="4" t="s">
        <v>819</v>
      </c>
      <c r="M560" s="4" t="s">
        <v>43</v>
      </c>
      <c r="N560" s="4" t="s">
        <v>94</v>
      </c>
      <c r="O560" s="4" t="s">
        <v>1765</v>
      </c>
      <c r="P560" s="4" t="s">
        <v>46</v>
      </c>
    </row>
    <row r="561" customFormat="false" ht="15" hidden="false" customHeight="false" outlineLevel="0" collapsed="false">
      <c r="A561" s="4" t="s">
        <v>1766</v>
      </c>
      <c r="B561" s="4" t="s">
        <v>1767</v>
      </c>
      <c r="C561" s="4" t="s">
        <v>1648</v>
      </c>
      <c r="D561" s="4" t="s">
        <v>1649</v>
      </c>
      <c r="E561" s="4" t="s">
        <v>618</v>
      </c>
      <c r="F561" s="4" t="s">
        <v>42</v>
      </c>
      <c r="G561" s="4" t="s">
        <v>38</v>
      </c>
      <c r="H561" s="4" t="n">
        <v>4</v>
      </c>
      <c r="I561" s="4" t="s">
        <v>1768</v>
      </c>
      <c r="J561" s="4" t="s">
        <v>40</v>
      </c>
      <c r="K561" s="4" t="s">
        <v>1769</v>
      </c>
      <c r="L561" s="4" t="s">
        <v>42</v>
      </c>
      <c r="M561" s="4" t="s">
        <v>43</v>
      </c>
      <c r="N561" s="4" t="s">
        <v>185</v>
      </c>
      <c r="O561" s="4" t="s">
        <v>1770</v>
      </c>
      <c r="P561" s="4" t="s">
        <v>46</v>
      </c>
    </row>
    <row r="562" customFormat="false" ht="15" hidden="false" customHeight="false" outlineLevel="0" collapsed="false">
      <c r="A562" s="4" t="s">
        <v>1771</v>
      </c>
      <c r="B562" s="4" t="s">
        <v>1767</v>
      </c>
      <c r="C562" s="4" t="s">
        <v>1648</v>
      </c>
      <c r="D562" s="4" t="s">
        <v>1649</v>
      </c>
      <c r="E562" s="4" t="s">
        <v>618</v>
      </c>
      <c r="F562" s="4" t="s">
        <v>42</v>
      </c>
      <c r="G562" s="4" t="s">
        <v>38</v>
      </c>
      <c r="H562" s="4" t="n">
        <v>1</v>
      </c>
      <c r="I562" s="4" t="s">
        <v>1419</v>
      </c>
      <c r="J562" s="4" t="s">
        <v>40</v>
      </c>
      <c r="K562" s="4" t="s">
        <v>1772</v>
      </c>
      <c r="L562" s="4" t="s">
        <v>376</v>
      </c>
      <c r="M562" s="4" t="s">
        <v>377</v>
      </c>
      <c r="N562" s="4" t="s">
        <v>94</v>
      </c>
      <c r="O562" s="4" t="s">
        <v>1773</v>
      </c>
      <c r="P562" s="4" t="s">
        <v>46</v>
      </c>
    </row>
    <row r="563" customFormat="false" ht="15" hidden="false" customHeight="false" outlineLevel="0" collapsed="false">
      <c r="A563" s="4" t="s">
        <v>1774</v>
      </c>
      <c r="B563" s="4" t="s">
        <v>1767</v>
      </c>
      <c r="C563" s="4" t="s">
        <v>1648</v>
      </c>
      <c r="D563" s="4" t="s">
        <v>1649</v>
      </c>
      <c r="E563" s="4" t="s">
        <v>627</v>
      </c>
      <c r="F563" s="4" t="s">
        <v>42</v>
      </c>
      <c r="G563" s="4" t="s">
        <v>326</v>
      </c>
      <c r="H563" s="4" t="n">
        <v>2</v>
      </c>
      <c r="I563" s="4" t="s">
        <v>749</v>
      </c>
      <c r="J563" s="4" t="s">
        <v>68</v>
      </c>
      <c r="K563" s="4" t="s">
        <v>1230</v>
      </c>
      <c r="L563" s="4" t="s">
        <v>42</v>
      </c>
      <c r="M563" s="4" t="s">
        <v>43</v>
      </c>
      <c r="N563" s="4" t="s">
        <v>44</v>
      </c>
      <c r="O563" s="4" t="s">
        <v>1231</v>
      </c>
      <c r="P563" s="4" t="s">
        <v>46</v>
      </c>
    </row>
    <row r="564" customFormat="false" ht="15" hidden="false" customHeight="false" outlineLevel="0" collapsed="false">
      <c r="A564" s="4" t="s">
        <v>1775</v>
      </c>
      <c r="B564" s="4" t="s">
        <v>1776</v>
      </c>
      <c r="C564" s="4" t="s">
        <v>1648</v>
      </c>
      <c r="D564" s="4" t="s">
        <v>1649</v>
      </c>
      <c r="E564" s="4" t="s">
        <v>627</v>
      </c>
      <c r="F564" s="4" t="s">
        <v>42</v>
      </c>
      <c r="G564" s="4" t="s">
        <v>38</v>
      </c>
      <c r="H564" s="4" t="n">
        <v>2</v>
      </c>
      <c r="I564" s="4" t="s">
        <v>569</v>
      </c>
      <c r="J564" s="4" t="s">
        <v>81</v>
      </c>
      <c r="K564" s="4" t="s">
        <v>1777</v>
      </c>
      <c r="L564" s="4" t="s">
        <v>382</v>
      </c>
      <c r="M564" s="4" t="s">
        <v>43</v>
      </c>
      <c r="N564" s="4" t="s">
        <v>44</v>
      </c>
      <c r="O564" s="4" t="s">
        <v>1778</v>
      </c>
      <c r="P564" s="4" t="s">
        <v>46</v>
      </c>
    </row>
    <row r="565" customFormat="false" ht="15" hidden="false" customHeight="false" outlineLevel="0" collapsed="false">
      <c r="A565" s="4" t="s">
        <v>1779</v>
      </c>
      <c r="B565" s="4" t="s">
        <v>1776</v>
      </c>
      <c r="C565" s="4" t="s">
        <v>1648</v>
      </c>
      <c r="D565" s="4" t="s">
        <v>1649</v>
      </c>
      <c r="E565" s="4" t="s">
        <v>627</v>
      </c>
      <c r="F565" s="4" t="s">
        <v>70</v>
      </c>
      <c r="G565" s="4" t="s">
        <v>59</v>
      </c>
      <c r="H565" s="4" t="n">
        <v>2</v>
      </c>
      <c r="I565" s="4" t="s">
        <v>1294</v>
      </c>
      <c r="J565" s="4" t="s">
        <v>40</v>
      </c>
      <c r="K565" s="4" t="s">
        <v>1128</v>
      </c>
      <c r="L565" s="4" t="s">
        <v>42</v>
      </c>
      <c r="M565" s="4" t="s">
        <v>43</v>
      </c>
      <c r="N565" s="4" t="s">
        <v>52</v>
      </c>
      <c r="O565" s="4" t="s">
        <v>1129</v>
      </c>
      <c r="P565" s="4" t="s">
        <v>46</v>
      </c>
    </row>
    <row r="566" customFormat="false" ht="15" hidden="false" customHeight="false" outlineLevel="0" collapsed="false">
      <c r="A566" s="4" t="s">
        <v>1780</v>
      </c>
      <c r="B566" s="4" t="s">
        <v>1776</v>
      </c>
      <c r="C566" s="4" t="s">
        <v>1648</v>
      </c>
      <c r="D566" s="4" t="s">
        <v>1649</v>
      </c>
      <c r="E566" s="4" t="s">
        <v>627</v>
      </c>
      <c r="F566" s="4" t="s">
        <v>42</v>
      </c>
      <c r="G566" s="4" t="s">
        <v>38</v>
      </c>
      <c r="H566" s="4" t="n">
        <v>1</v>
      </c>
      <c r="I566" s="4" t="s">
        <v>1781</v>
      </c>
      <c r="J566" s="4" t="s">
        <v>68</v>
      </c>
      <c r="K566" s="4" t="s">
        <v>1782</v>
      </c>
      <c r="L566" s="4" t="s">
        <v>1783</v>
      </c>
      <c r="M566" s="4" t="s">
        <v>635</v>
      </c>
      <c r="N566" s="4" t="s">
        <v>44</v>
      </c>
      <c r="O566" s="4" t="s">
        <v>1784</v>
      </c>
      <c r="P566" s="4" t="s">
        <v>46</v>
      </c>
    </row>
    <row r="567" customFormat="false" ht="15" hidden="false" customHeight="false" outlineLevel="0" collapsed="false">
      <c r="A567" s="4" t="s">
        <v>1785</v>
      </c>
      <c r="B567" s="4" t="s">
        <v>1776</v>
      </c>
      <c r="C567" s="4" t="s">
        <v>1648</v>
      </c>
      <c r="D567" s="4" t="s">
        <v>1649</v>
      </c>
      <c r="E567" s="4" t="s">
        <v>627</v>
      </c>
      <c r="F567" s="4" t="s">
        <v>128</v>
      </c>
      <c r="G567" s="4" t="s">
        <v>38</v>
      </c>
      <c r="H567" s="4" t="n">
        <v>2</v>
      </c>
      <c r="I567" s="4" t="s">
        <v>1558</v>
      </c>
      <c r="J567" s="4" t="s">
        <v>40</v>
      </c>
      <c r="K567" s="4" t="s">
        <v>1786</v>
      </c>
      <c r="L567" s="4" t="s">
        <v>480</v>
      </c>
      <c r="M567" s="4" t="s">
        <v>133</v>
      </c>
      <c r="N567" s="4" t="s">
        <v>44</v>
      </c>
      <c r="O567" s="4" t="s">
        <v>1787</v>
      </c>
      <c r="P567" s="4" t="s">
        <v>46</v>
      </c>
    </row>
    <row r="568" customFormat="false" ht="15" hidden="false" customHeight="false" outlineLevel="0" collapsed="false">
      <c r="A568" s="4" t="s">
        <v>1788</v>
      </c>
      <c r="B568" s="4" t="s">
        <v>1789</v>
      </c>
      <c r="C568" s="4" t="s">
        <v>1648</v>
      </c>
      <c r="D568" s="4" t="s">
        <v>1649</v>
      </c>
      <c r="E568" s="4" t="s">
        <v>627</v>
      </c>
      <c r="F568" s="4" t="s">
        <v>42</v>
      </c>
      <c r="G568" s="4" t="s">
        <v>38</v>
      </c>
      <c r="H568" s="4" t="n">
        <v>1</v>
      </c>
      <c r="I568" s="4" t="s">
        <v>954</v>
      </c>
      <c r="J568" s="4" t="s">
        <v>68</v>
      </c>
      <c r="K568" s="4" t="s">
        <v>213</v>
      </c>
      <c r="L568" s="4" t="s">
        <v>42</v>
      </c>
      <c r="M568" s="4" t="s">
        <v>43</v>
      </c>
      <c r="N568" s="4" t="s">
        <v>185</v>
      </c>
      <c r="O568" s="4" t="s">
        <v>214</v>
      </c>
      <c r="P568" s="4" t="s">
        <v>46</v>
      </c>
    </row>
    <row r="569" customFormat="false" ht="15" hidden="false" customHeight="false" outlineLevel="0" collapsed="false">
      <c r="A569" s="4" t="s">
        <v>1790</v>
      </c>
      <c r="B569" s="4" t="s">
        <v>1789</v>
      </c>
      <c r="C569" s="4" t="s">
        <v>1648</v>
      </c>
      <c r="D569" s="4" t="s">
        <v>1649</v>
      </c>
      <c r="E569" s="4" t="s">
        <v>613</v>
      </c>
      <c r="F569" s="4" t="s">
        <v>42</v>
      </c>
      <c r="G569" s="4" t="s">
        <v>59</v>
      </c>
      <c r="H569" s="4" t="n">
        <v>3</v>
      </c>
      <c r="I569" s="4" t="s">
        <v>1791</v>
      </c>
      <c r="J569" s="4" t="s">
        <v>40</v>
      </c>
      <c r="K569" s="4" t="s">
        <v>1792</v>
      </c>
      <c r="L569" s="4" t="s">
        <v>42</v>
      </c>
      <c r="M569" s="4" t="s">
        <v>43</v>
      </c>
      <c r="N569" s="4" t="s">
        <v>44</v>
      </c>
      <c r="O569" s="4" t="s">
        <v>1793</v>
      </c>
      <c r="P569" s="4" t="s">
        <v>46</v>
      </c>
    </row>
    <row r="570" customFormat="false" ht="15" hidden="false" customHeight="false" outlineLevel="0" collapsed="false">
      <c r="A570" s="4" t="s">
        <v>1794</v>
      </c>
      <c r="B570" s="4" t="s">
        <v>1795</v>
      </c>
      <c r="C570" s="4" t="s">
        <v>1648</v>
      </c>
      <c r="D570" s="4" t="s">
        <v>1649</v>
      </c>
      <c r="E570" s="4" t="s">
        <v>618</v>
      </c>
      <c r="F570" s="4" t="s">
        <v>42</v>
      </c>
      <c r="G570" s="4" t="s">
        <v>326</v>
      </c>
      <c r="H570" s="4" t="n">
        <v>4</v>
      </c>
      <c r="I570" s="4" t="s">
        <v>1796</v>
      </c>
      <c r="J570" s="4" t="s">
        <v>40</v>
      </c>
      <c r="K570" s="4" t="s">
        <v>189</v>
      </c>
      <c r="L570" s="4" t="s">
        <v>42</v>
      </c>
      <c r="M570" s="4" t="s">
        <v>43</v>
      </c>
      <c r="N570" s="4" t="s">
        <v>185</v>
      </c>
      <c r="O570" s="4" t="s">
        <v>190</v>
      </c>
      <c r="P570" s="4" t="s">
        <v>46</v>
      </c>
    </row>
    <row r="571" customFormat="false" ht="15" hidden="false" customHeight="false" outlineLevel="0" collapsed="false">
      <c r="A571" s="4" t="s">
        <v>1797</v>
      </c>
      <c r="B571" s="4" t="s">
        <v>1795</v>
      </c>
      <c r="C571" s="4" t="s">
        <v>1648</v>
      </c>
      <c r="D571" s="4" t="s">
        <v>1649</v>
      </c>
      <c r="E571" s="4" t="s">
        <v>627</v>
      </c>
      <c r="F571" s="4" t="s">
        <v>128</v>
      </c>
      <c r="G571" s="4" t="s">
        <v>59</v>
      </c>
      <c r="H571" s="4" t="n">
        <v>2</v>
      </c>
      <c r="I571" s="4" t="s">
        <v>1571</v>
      </c>
      <c r="J571" s="4" t="s">
        <v>149</v>
      </c>
      <c r="K571" s="4" t="s">
        <v>405</v>
      </c>
      <c r="L571" s="4" t="s">
        <v>70</v>
      </c>
      <c r="M571" s="4" t="s">
        <v>43</v>
      </c>
      <c r="N571" s="4" t="s">
        <v>44</v>
      </c>
      <c r="O571" s="4" t="s">
        <v>406</v>
      </c>
      <c r="P571" s="4" t="s">
        <v>46</v>
      </c>
    </row>
    <row r="572" customFormat="false" ht="15" hidden="false" customHeight="false" outlineLevel="0" collapsed="false">
      <c r="A572" s="4" t="s">
        <v>1798</v>
      </c>
      <c r="B572" s="4" t="s">
        <v>1795</v>
      </c>
      <c r="C572" s="4" t="s">
        <v>1648</v>
      </c>
      <c r="D572" s="4" t="s">
        <v>1649</v>
      </c>
      <c r="E572" s="4" t="s">
        <v>627</v>
      </c>
      <c r="F572" s="4" t="s">
        <v>42</v>
      </c>
      <c r="G572" s="4" t="s">
        <v>38</v>
      </c>
      <c r="H572" s="4" t="n">
        <v>1</v>
      </c>
      <c r="I572" s="4" t="s">
        <v>1799</v>
      </c>
      <c r="J572" s="4" t="s">
        <v>81</v>
      </c>
      <c r="K572" s="4" t="s">
        <v>1741</v>
      </c>
      <c r="L572" s="4" t="s">
        <v>480</v>
      </c>
      <c r="M572" s="4" t="s">
        <v>43</v>
      </c>
      <c r="N572" s="4" t="s">
        <v>44</v>
      </c>
      <c r="O572" s="4" t="s">
        <v>1742</v>
      </c>
      <c r="P572" s="4" t="s">
        <v>46</v>
      </c>
    </row>
    <row r="573" customFormat="false" ht="15" hidden="false" customHeight="false" outlineLevel="0" collapsed="false">
      <c r="A573" s="4" t="s">
        <v>1800</v>
      </c>
      <c r="B573" s="4" t="s">
        <v>1795</v>
      </c>
      <c r="C573" s="4" t="s">
        <v>1648</v>
      </c>
      <c r="D573" s="4" t="s">
        <v>1649</v>
      </c>
      <c r="E573" s="4" t="s">
        <v>618</v>
      </c>
      <c r="F573" s="4" t="s">
        <v>42</v>
      </c>
      <c r="G573" s="4" t="s">
        <v>59</v>
      </c>
      <c r="H573" s="4" t="n">
        <v>3</v>
      </c>
      <c r="I573" s="4" t="s">
        <v>1801</v>
      </c>
      <c r="J573" s="4" t="s">
        <v>40</v>
      </c>
      <c r="K573" s="4" t="s">
        <v>103</v>
      </c>
      <c r="L573" s="4" t="s">
        <v>58</v>
      </c>
      <c r="M573" s="4" t="s">
        <v>133</v>
      </c>
      <c r="N573" s="4" t="s">
        <v>44</v>
      </c>
      <c r="O573" s="4" t="s">
        <v>104</v>
      </c>
      <c r="P573" s="4" t="s">
        <v>46</v>
      </c>
    </row>
    <row r="574" customFormat="false" ht="15" hidden="false" customHeight="false" outlineLevel="0" collapsed="false">
      <c r="A574" s="4" t="s">
        <v>1802</v>
      </c>
      <c r="B574" s="4" t="s">
        <v>1795</v>
      </c>
      <c r="C574" s="4" t="s">
        <v>1648</v>
      </c>
      <c r="D574" s="4" t="s">
        <v>1649</v>
      </c>
      <c r="E574" s="4" t="s">
        <v>627</v>
      </c>
      <c r="F574" s="4" t="s">
        <v>42</v>
      </c>
      <c r="G574" s="4" t="s">
        <v>59</v>
      </c>
      <c r="H574" s="4" t="n">
        <v>2</v>
      </c>
      <c r="I574" s="4" t="s">
        <v>628</v>
      </c>
      <c r="J574" s="4" t="s">
        <v>40</v>
      </c>
      <c r="K574" s="4" t="s">
        <v>129</v>
      </c>
      <c r="L574" s="4" t="s">
        <v>42</v>
      </c>
      <c r="M574" s="4" t="s">
        <v>43</v>
      </c>
      <c r="N574" s="4" t="s">
        <v>185</v>
      </c>
      <c r="O574" s="4" t="s">
        <v>130</v>
      </c>
      <c r="P574" s="4" t="s">
        <v>46</v>
      </c>
    </row>
    <row r="575" customFormat="false" ht="15" hidden="false" customHeight="false" outlineLevel="0" collapsed="false">
      <c r="A575" s="4" t="s">
        <v>1803</v>
      </c>
      <c r="B575" s="4" t="s">
        <v>1795</v>
      </c>
      <c r="C575" s="4" t="s">
        <v>1648</v>
      </c>
      <c r="D575" s="4" t="s">
        <v>1649</v>
      </c>
      <c r="E575" s="4" t="s">
        <v>613</v>
      </c>
      <c r="F575" s="4" t="s">
        <v>42</v>
      </c>
      <c r="G575" s="4" t="s">
        <v>326</v>
      </c>
      <c r="H575" s="4" t="n">
        <v>2</v>
      </c>
      <c r="I575" s="4" t="s">
        <v>1384</v>
      </c>
      <c r="J575" s="4" t="s">
        <v>68</v>
      </c>
      <c r="K575" s="4" t="s">
        <v>1804</v>
      </c>
      <c r="L575" s="4" t="s">
        <v>382</v>
      </c>
      <c r="M575" s="4" t="s">
        <v>43</v>
      </c>
      <c r="N575" s="4" t="s">
        <v>44</v>
      </c>
      <c r="O575" s="4" t="s">
        <v>1805</v>
      </c>
      <c r="P575" s="4" t="s">
        <v>46</v>
      </c>
    </row>
    <row r="576" customFormat="false" ht="15" hidden="false" customHeight="false" outlineLevel="0" collapsed="false">
      <c r="A576" s="4" t="s">
        <v>1806</v>
      </c>
      <c r="B576" s="4" t="s">
        <v>1795</v>
      </c>
      <c r="C576" s="4" t="s">
        <v>1648</v>
      </c>
      <c r="D576" s="4" t="s">
        <v>1649</v>
      </c>
      <c r="E576" s="4" t="s">
        <v>627</v>
      </c>
      <c r="F576" s="4" t="s">
        <v>42</v>
      </c>
      <c r="G576" s="4" t="s">
        <v>38</v>
      </c>
      <c r="H576" s="4" t="n">
        <v>2</v>
      </c>
      <c r="I576" s="4" t="s">
        <v>1807</v>
      </c>
      <c r="J576" s="4" t="s">
        <v>68</v>
      </c>
      <c r="K576" s="4" t="s">
        <v>565</v>
      </c>
      <c r="L576" s="4" t="s">
        <v>42</v>
      </c>
      <c r="M576" s="4" t="s">
        <v>43</v>
      </c>
      <c r="N576" s="4" t="s">
        <v>44</v>
      </c>
      <c r="O576" s="4" t="s">
        <v>566</v>
      </c>
      <c r="P576" s="4" t="s">
        <v>46</v>
      </c>
    </row>
    <row r="577" customFormat="false" ht="15" hidden="false" customHeight="false" outlineLevel="0" collapsed="false">
      <c r="A577" s="4" t="s">
        <v>1808</v>
      </c>
      <c r="B577" s="4" t="s">
        <v>1795</v>
      </c>
      <c r="C577" s="4" t="s">
        <v>1648</v>
      </c>
      <c r="D577" s="4" t="s">
        <v>1649</v>
      </c>
      <c r="E577" s="4" t="s">
        <v>627</v>
      </c>
      <c r="F577" s="4" t="s">
        <v>42</v>
      </c>
      <c r="G577" s="4" t="s">
        <v>38</v>
      </c>
      <c r="H577" s="4" t="n">
        <v>3</v>
      </c>
      <c r="I577" s="4" t="s">
        <v>402</v>
      </c>
      <c r="J577" s="4" t="s">
        <v>68</v>
      </c>
      <c r="K577" s="4" t="s">
        <v>1809</v>
      </c>
      <c r="L577" s="4" t="s">
        <v>837</v>
      </c>
      <c r="M577" s="4" t="s">
        <v>838</v>
      </c>
      <c r="N577" s="4" t="s">
        <v>94</v>
      </c>
      <c r="O577" s="4" t="s">
        <v>1810</v>
      </c>
      <c r="P577" s="4" t="s">
        <v>46</v>
      </c>
    </row>
    <row r="578" customFormat="false" ht="15" hidden="false" customHeight="false" outlineLevel="0" collapsed="false">
      <c r="A578" s="4" t="s">
        <v>1811</v>
      </c>
      <c r="B578" s="4" t="s">
        <v>1795</v>
      </c>
      <c r="C578" s="4" t="s">
        <v>1795</v>
      </c>
      <c r="D578" s="4" t="s">
        <v>35</v>
      </c>
      <c r="E578" s="4" t="s">
        <v>57</v>
      </c>
      <c r="F578" s="4" t="s">
        <v>42</v>
      </c>
      <c r="G578" s="4" t="s">
        <v>38</v>
      </c>
      <c r="H578" s="4" t="n">
        <v>3</v>
      </c>
      <c r="I578" s="4" t="s">
        <v>39</v>
      </c>
      <c r="J578" s="4" t="s">
        <v>149</v>
      </c>
      <c r="K578" s="4" t="s">
        <v>1812</v>
      </c>
      <c r="L578" s="4" t="s">
        <v>825</v>
      </c>
      <c r="M578" s="4" t="s">
        <v>43</v>
      </c>
      <c r="N578" s="4" t="s">
        <v>44</v>
      </c>
      <c r="O578" s="4" t="s">
        <v>1813</v>
      </c>
      <c r="P578" s="4" t="s">
        <v>46</v>
      </c>
    </row>
    <row r="579" customFormat="false" ht="15" hidden="false" customHeight="false" outlineLevel="0" collapsed="false">
      <c r="A579" s="4" t="s">
        <v>1814</v>
      </c>
      <c r="B579" s="4" t="s">
        <v>1815</v>
      </c>
      <c r="C579" s="4" t="s">
        <v>1648</v>
      </c>
      <c r="D579" s="4" t="s">
        <v>1649</v>
      </c>
      <c r="E579" s="4" t="s">
        <v>613</v>
      </c>
      <c r="F579" s="4" t="s">
        <v>70</v>
      </c>
      <c r="G579" s="4" t="s">
        <v>38</v>
      </c>
      <c r="H579" s="4" t="n">
        <v>1</v>
      </c>
      <c r="I579" s="4" t="s">
        <v>404</v>
      </c>
      <c r="J579" s="4" t="s">
        <v>149</v>
      </c>
      <c r="K579" s="4" t="s">
        <v>257</v>
      </c>
      <c r="L579" s="4" t="s">
        <v>42</v>
      </c>
      <c r="M579" s="4" t="s">
        <v>43</v>
      </c>
      <c r="N579" s="4" t="s">
        <v>44</v>
      </c>
      <c r="O579" s="4" t="s">
        <v>258</v>
      </c>
      <c r="P579" s="4" t="s">
        <v>46</v>
      </c>
    </row>
    <row r="580" customFormat="false" ht="15" hidden="false" customHeight="false" outlineLevel="0" collapsed="false">
      <c r="A580" s="4" t="s">
        <v>1816</v>
      </c>
      <c r="B580" s="4" t="s">
        <v>1815</v>
      </c>
      <c r="C580" s="4" t="s">
        <v>1648</v>
      </c>
      <c r="D580" s="4" t="s">
        <v>1649</v>
      </c>
      <c r="E580" s="4" t="s">
        <v>761</v>
      </c>
      <c r="F580" s="4" t="s">
        <v>128</v>
      </c>
      <c r="G580" s="4" t="s">
        <v>38</v>
      </c>
      <c r="H580" s="4" t="n">
        <v>1</v>
      </c>
      <c r="I580" s="4" t="s">
        <v>1817</v>
      </c>
      <c r="J580" s="4" t="s">
        <v>40</v>
      </c>
      <c r="K580" s="4" t="s">
        <v>1167</v>
      </c>
      <c r="L580" s="4" t="s">
        <v>58</v>
      </c>
      <c r="M580" s="4" t="s">
        <v>43</v>
      </c>
      <c r="N580" s="4" t="s">
        <v>44</v>
      </c>
      <c r="O580" s="4" t="s">
        <v>1168</v>
      </c>
      <c r="P580" s="4" t="s">
        <v>46</v>
      </c>
    </row>
    <row r="581" customFormat="false" ht="15" hidden="false" customHeight="false" outlineLevel="0" collapsed="false">
      <c r="A581" s="4" t="s">
        <v>1818</v>
      </c>
      <c r="B581" s="4" t="s">
        <v>1819</v>
      </c>
      <c r="C581" s="4" t="s">
        <v>1648</v>
      </c>
      <c r="D581" s="4" t="s">
        <v>1649</v>
      </c>
      <c r="E581" s="4" t="s">
        <v>627</v>
      </c>
      <c r="F581" s="4" t="s">
        <v>42</v>
      </c>
      <c r="G581" s="4" t="s">
        <v>59</v>
      </c>
      <c r="H581" s="4" t="n">
        <v>2</v>
      </c>
      <c r="I581" s="4" t="s">
        <v>865</v>
      </c>
      <c r="J581" s="4" t="s">
        <v>81</v>
      </c>
      <c r="K581" s="4" t="s">
        <v>1820</v>
      </c>
      <c r="L581" s="4" t="s">
        <v>819</v>
      </c>
      <c r="M581" s="4" t="s">
        <v>43</v>
      </c>
      <c r="N581" s="4" t="s">
        <v>185</v>
      </c>
      <c r="O581" s="4" t="s">
        <v>1821</v>
      </c>
      <c r="P581" s="4" t="s">
        <v>46</v>
      </c>
    </row>
    <row r="582" customFormat="false" ht="15" hidden="false" customHeight="false" outlineLevel="0" collapsed="false">
      <c r="A582" s="4" t="s">
        <v>1822</v>
      </c>
      <c r="B582" s="4" t="s">
        <v>1819</v>
      </c>
      <c r="C582" s="4" t="s">
        <v>1648</v>
      </c>
      <c r="D582" s="4" t="s">
        <v>1649</v>
      </c>
      <c r="E582" s="4" t="s">
        <v>618</v>
      </c>
      <c r="F582" s="4" t="s">
        <v>128</v>
      </c>
      <c r="G582" s="4" t="s">
        <v>38</v>
      </c>
      <c r="H582" s="4" t="n">
        <v>1</v>
      </c>
      <c r="I582" s="4" t="s">
        <v>1476</v>
      </c>
      <c r="J582" s="4" t="s">
        <v>40</v>
      </c>
      <c r="K582" s="4" t="s">
        <v>1823</v>
      </c>
      <c r="L582" s="4" t="s">
        <v>819</v>
      </c>
      <c r="M582" s="4" t="s">
        <v>43</v>
      </c>
      <c r="N582" s="4" t="s">
        <v>44</v>
      </c>
      <c r="O582" s="4" t="s">
        <v>1824</v>
      </c>
      <c r="P582" s="4" t="s">
        <v>46</v>
      </c>
    </row>
    <row r="583" customFormat="false" ht="15" hidden="false" customHeight="false" outlineLevel="0" collapsed="false">
      <c r="A583" s="4" t="s">
        <v>1825</v>
      </c>
      <c r="B583" s="4" t="s">
        <v>1819</v>
      </c>
      <c r="C583" s="4" t="s">
        <v>1648</v>
      </c>
      <c r="D583" s="4" t="s">
        <v>1649</v>
      </c>
      <c r="E583" s="4" t="s">
        <v>627</v>
      </c>
      <c r="F583" s="4" t="s">
        <v>70</v>
      </c>
      <c r="G583" s="4" t="s">
        <v>38</v>
      </c>
      <c r="H583" s="4" t="n">
        <v>3</v>
      </c>
      <c r="I583" s="4" t="s">
        <v>327</v>
      </c>
      <c r="J583" s="4" t="s">
        <v>68</v>
      </c>
      <c r="K583" s="4" t="s">
        <v>1826</v>
      </c>
      <c r="L583" s="4" t="s">
        <v>480</v>
      </c>
      <c r="M583" s="4" t="s">
        <v>43</v>
      </c>
      <c r="N583" s="4" t="s">
        <v>44</v>
      </c>
      <c r="O583" s="4" t="s">
        <v>1827</v>
      </c>
      <c r="P583" s="4" t="s">
        <v>46</v>
      </c>
    </row>
    <row r="584" customFormat="false" ht="15" hidden="false" customHeight="false" outlineLevel="0" collapsed="false">
      <c r="A584" s="4" t="s">
        <v>1828</v>
      </c>
      <c r="B584" s="4" t="s">
        <v>1819</v>
      </c>
      <c r="C584" s="4" t="s">
        <v>1648</v>
      </c>
      <c r="D584" s="4" t="s">
        <v>1649</v>
      </c>
      <c r="E584" s="4" t="s">
        <v>761</v>
      </c>
      <c r="F584" s="4" t="s">
        <v>42</v>
      </c>
      <c r="G584" s="4" t="s">
        <v>59</v>
      </c>
      <c r="H584" s="4" t="n">
        <v>1</v>
      </c>
      <c r="I584" s="4" t="s">
        <v>1829</v>
      </c>
      <c r="J584" s="4" t="s">
        <v>81</v>
      </c>
      <c r="K584" s="4" t="s">
        <v>1830</v>
      </c>
      <c r="L584" s="4" t="s">
        <v>42</v>
      </c>
      <c r="M584" s="4" t="s">
        <v>43</v>
      </c>
      <c r="N584" s="4" t="s">
        <v>185</v>
      </c>
      <c r="O584" s="4" t="s">
        <v>1831</v>
      </c>
      <c r="P584" s="4" t="s">
        <v>46</v>
      </c>
    </row>
    <row r="585" customFormat="false" ht="15" hidden="false" customHeight="false" outlineLevel="0" collapsed="false">
      <c r="A585" s="4" t="s">
        <v>1832</v>
      </c>
      <c r="B585" s="4" t="s">
        <v>1819</v>
      </c>
      <c r="C585" s="4" t="s">
        <v>1648</v>
      </c>
      <c r="D585" s="4" t="s">
        <v>1649</v>
      </c>
      <c r="E585" s="4" t="s">
        <v>618</v>
      </c>
      <c r="F585" s="4" t="s">
        <v>42</v>
      </c>
      <c r="G585" s="4" t="s">
        <v>38</v>
      </c>
      <c r="H585" s="4" t="n">
        <v>2</v>
      </c>
      <c r="I585" s="4" t="s">
        <v>831</v>
      </c>
      <c r="J585" s="4" t="s">
        <v>40</v>
      </c>
      <c r="K585" s="4" t="s">
        <v>698</v>
      </c>
      <c r="L585" s="4" t="s">
        <v>42</v>
      </c>
      <c r="M585" s="4" t="s">
        <v>133</v>
      </c>
      <c r="N585" s="4" t="s">
        <v>44</v>
      </c>
      <c r="O585" s="4" t="s">
        <v>699</v>
      </c>
      <c r="P585" s="4" t="s">
        <v>46</v>
      </c>
    </row>
    <row r="586" customFormat="false" ht="15" hidden="false" customHeight="false" outlineLevel="0" collapsed="false">
      <c r="A586" s="4" t="s">
        <v>1833</v>
      </c>
      <c r="B586" s="4" t="s">
        <v>1819</v>
      </c>
      <c r="C586" s="4" t="s">
        <v>1648</v>
      </c>
      <c r="D586" s="4" t="s">
        <v>1649</v>
      </c>
      <c r="E586" s="4" t="s">
        <v>761</v>
      </c>
      <c r="F586" s="4" t="s">
        <v>37</v>
      </c>
      <c r="G586" s="4" t="s">
        <v>38</v>
      </c>
      <c r="H586" s="4" t="n">
        <v>2</v>
      </c>
      <c r="I586" s="4" t="s">
        <v>1695</v>
      </c>
      <c r="J586" s="4" t="s">
        <v>40</v>
      </c>
      <c r="K586" s="4" t="s">
        <v>275</v>
      </c>
      <c r="L586" s="4" t="s">
        <v>42</v>
      </c>
      <c r="M586" s="4" t="s">
        <v>43</v>
      </c>
      <c r="N586" s="4" t="s">
        <v>44</v>
      </c>
      <c r="O586" s="4" t="s">
        <v>276</v>
      </c>
      <c r="P586" s="4" t="s">
        <v>46</v>
      </c>
    </row>
    <row r="587" customFormat="false" ht="15" hidden="false" customHeight="false" outlineLevel="0" collapsed="false">
      <c r="A587" s="4" t="s">
        <v>1834</v>
      </c>
      <c r="B587" s="4" t="s">
        <v>1835</v>
      </c>
      <c r="C587" s="4" t="s">
        <v>1648</v>
      </c>
      <c r="D587" s="4" t="s">
        <v>1649</v>
      </c>
      <c r="E587" s="4" t="s">
        <v>627</v>
      </c>
      <c r="F587" s="4" t="s">
        <v>37</v>
      </c>
      <c r="G587" s="4" t="s">
        <v>326</v>
      </c>
      <c r="H587" s="4" t="n">
        <v>1</v>
      </c>
      <c r="I587" s="4" t="s">
        <v>1050</v>
      </c>
      <c r="J587" s="4" t="s">
        <v>40</v>
      </c>
      <c r="K587" s="4" t="s">
        <v>129</v>
      </c>
      <c r="L587" s="4" t="s">
        <v>42</v>
      </c>
      <c r="M587" s="4" t="s">
        <v>43</v>
      </c>
      <c r="N587" s="4" t="s">
        <v>94</v>
      </c>
      <c r="O587" s="4" t="s">
        <v>130</v>
      </c>
      <c r="P587" s="4" t="s">
        <v>46</v>
      </c>
    </row>
    <row r="588" customFormat="false" ht="15" hidden="false" customHeight="false" outlineLevel="0" collapsed="false">
      <c r="A588" s="4" t="s">
        <v>1836</v>
      </c>
      <c r="B588" s="4" t="s">
        <v>1835</v>
      </c>
      <c r="C588" s="4" t="s">
        <v>1648</v>
      </c>
      <c r="D588" s="4" t="s">
        <v>1649</v>
      </c>
      <c r="E588" s="4" t="s">
        <v>627</v>
      </c>
      <c r="F588" s="4" t="s">
        <v>42</v>
      </c>
      <c r="G588" s="4" t="s">
        <v>38</v>
      </c>
      <c r="H588" s="4" t="n">
        <v>3</v>
      </c>
      <c r="I588" s="4" t="s">
        <v>497</v>
      </c>
      <c r="J588" s="4" t="s">
        <v>149</v>
      </c>
      <c r="K588" s="4" t="s">
        <v>1837</v>
      </c>
      <c r="L588" s="4" t="s">
        <v>596</v>
      </c>
      <c r="M588" s="4" t="s">
        <v>695</v>
      </c>
      <c r="N588" s="4" t="s">
        <v>44</v>
      </c>
      <c r="O588" s="4" t="s">
        <v>1838</v>
      </c>
      <c r="P588" s="4" t="s">
        <v>46</v>
      </c>
    </row>
    <row r="589" customFormat="false" ht="15" hidden="false" customHeight="false" outlineLevel="0" collapsed="false">
      <c r="A589" s="4" t="s">
        <v>1839</v>
      </c>
      <c r="B589" s="4" t="s">
        <v>1835</v>
      </c>
      <c r="C589" s="4" t="s">
        <v>1648</v>
      </c>
      <c r="D589" s="4" t="s">
        <v>1649</v>
      </c>
      <c r="E589" s="4" t="s">
        <v>627</v>
      </c>
      <c r="F589" s="4" t="s">
        <v>58</v>
      </c>
      <c r="G589" s="4" t="s">
        <v>38</v>
      </c>
      <c r="H589" s="4" t="n">
        <v>3</v>
      </c>
      <c r="I589" s="4" t="s">
        <v>1278</v>
      </c>
      <c r="J589" s="4" t="s">
        <v>81</v>
      </c>
      <c r="K589" s="4" t="s">
        <v>313</v>
      </c>
      <c r="L589" s="4" t="s">
        <v>37</v>
      </c>
      <c r="M589" s="4" t="s">
        <v>43</v>
      </c>
      <c r="N589" s="4" t="s">
        <v>185</v>
      </c>
      <c r="O589" s="4" t="s">
        <v>314</v>
      </c>
      <c r="P589" s="4" t="s">
        <v>46</v>
      </c>
    </row>
    <row r="590" customFormat="false" ht="15" hidden="false" customHeight="false" outlineLevel="0" collapsed="false">
      <c r="A590" s="4" t="s">
        <v>1840</v>
      </c>
      <c r="B590" s="4" t="s">
        <v>1835</v>
      </c>
      <c r="C590" s="4" t="s">
        <v>1648</v>
      </c>
      <c r="D590" s="4" t="s">
        <v>1649</v>
      </c>
      <c r="E590" s="4" t="s">
        <v>618</v>
      </c>
      <c r="F590" s="4" t="s">
        <v>42</v>
      </c>
      <c r="G590" s="4" t="s">
        <v>38</v>
      </c>
      <c r="H590" s="4" t="n">
        <v>1</v>
      </c>
      <c r="I590" s="4" t="s">
        <v>1011</v>
      </c>
      <c r="J590" s="4" t="s">
        <v>81</v>
      </c>
      <c r="K590" s="4" t="s">
        <v>983</v>
      </c>
      <c r="L590" s="4" t="s">
        <v>37</v>
      </c>
      <c r="M590" s="4" t="s">
        <v>43</v>
      </c>
      <c r="N590" s="4" t="s">
        <v>44</v>
      </c>
      <c r="O590" s="4" t="s">
        <v>984</v>
      </c>
      <c r="P590" s="4" t="s">
        <v>46</v>
      </c>
    </row>
    <row r="591" customFormat="false" ht="15" hidden="false" customHeight="false" outlineLevel="0" collapsed="false">
      <c r="A591" s="4" t="s">
        <v>1841</v>
      </c>
      <c r="B591" s="4" t="s">
        <v>1842</v>
      </c>
      <c r="C591" s="4" t="s">
        <v>1648</v>
      </c>
      <c r="D591" s="4" t="s">
        <v>1649</v>
      </c>
      <c r="E591" s="4" t="s">
        <v>627</v>
      </c>
      <c r="F591" s="4" t="s">
        <v>42</v>
      </c>
      <c r="G591" s="4" t="s">
        <v>38</v>
      </c>
      <c r="H591" s="4" t="n">
        <v>1</v>
      </c>
      <c r="I591" s="4" t="s">
        <v>1070</v>
      </c>
      <c r="J591" s="4" t="s">
        <v>40</v>
      </c>
      <c r="K591" s="4" t="s">
        <v>1667</v>
      </c>
      <c r="L591" s="4" t="s">
        <v>168</v>
      </c>
      <c r="M591" s="4" t="s">
        <v>43</v>
      </c>
      <c r="N591" s="4" t="s">
        <v>94</v>
      </c>
      <c r="O591" s="4" t="s">
        <v>1668</v>
      </c>
      <c r="P591" s="4" t="s">
        <v>46</v>
      </c>
    </row>
    <row r="592" customFormat="false" ht="15" hidden="false" customHeight="false" outlineLevel="0" collapsed="false">
      <c r="A592" s="4" t="s">
        <v>1843</v>
      </c>
      <c r="B592" s="4" t="s">
        <v>1842</v>
      </c>
      <c r="C592" s="4" t="s">
        <v>1648</v>
      </c>
      <c r="D592" s="4" t="s">
        <v>1649</v>
      </c>
      <c r="E592" s="4" t="s">
        <v>761</v>
      </c>
      <c r="F592" s="4" t="s">
        <v>42</v>
      </c>
      <c r="G592" s="4" t="s">
        <v>38</v>
      </c>
      <c r="H592" s="4" t="n">
        <v>1</v>
      </c>
      <c r="I592" s="4" t="s">
        <v>645</v>
      </c>
      <c r="J592" s="4" t="s">
        <v>81</v>
      </c>
      <c r="K592" s="4" t="s">
        <v>475</v>
      </c>
      <c r="L592" s="4" t="s">
        <v>70</v>
      </c>
      <c r="M592" s="4" t="s">
        <v>43</v>
      </c>
      <c r="N592" s="4" t="s">
        <v>185</v>
      </c>
      <c r="O592" s="4" t="s">
        <v>476</v>
      </c>
      <c r="P592" s="4" t="s">
        <v>46</v>
      </c>
    </row>
    <row r="593" customFormat="false" ht="15" hidden="false" customHeight="false" outlineLevel="0" collapsed="false">
      <c r="A593" s="4" t="s">
        <v>1844</v>
      </c>
      <c r="B593" s="4" t="s">
        <v>1842</v>
      </c>
      <c r="C593" s="4" t="s">
        <v>1648</v>
      </c>
      <c r="D593" s="4" t="s">
        <v>1649</v>
      </c>
      <c r="E593" s="4" t="s">
        <v>627</v>
      </c>
      <c r="F593" s="4" t="s">
        <v>42</v>
      </c>
      <c r="G593" s="4" t="s">
        <v>38</v>
      </c>
      <c r="H593" s="4" t="n">
        <v>2</v>
      </c>
      <c r="I593" s="4" t="s">
        <v>1138</v>
      </c>
      <c r="J593" s="4" t="s">
        <v>40</v>
      </c>
      <c r="K593" s="4" t="s">
        <v>1845</v>
      </c>
      <c r="L593" s="4" t="s">
        <v>786</v>
      </c>
      <c r="M593" s="4" t="s">
        <v>377</v>
      </c>
      <c r="N593" s="4" t="s">
        <v>44</v>
      </c>
      <c r="O593" s="4" t="s">
        <v>1846</v>
      </c>
      <c r="P593" s="4" t="s">
        <v>46</v>
      </c>
    </row>
    <row r="594" customFormat="false" ht="15" hidden="false" customHeight="false" outlineLevel="0" collapsed="false">
      <c r="A594" s="4" t="s">
        <v>1847</v>
      </c>
      <c r="B594" s="4" t="s">
        <v>1842</v>
      </c>
      <c r="C594" s="4" t="s">
        <v>1648</v>
      </c>
      <c r="D594" s="4" t="s">
        <v>1649</v>
      </c>
      <c r="E594" s="4" t="s">
        <v>613</v>
      </c>
      <c r="F594" s="4" t="s">
        <v>58</v>
      </c>
      <c r="G594" s="4" t="s">
        <v>59</v>
      </c>
      <c r="H594" s="4" t="n">
        <v>4</v>
      </c>
      <c r="I594" s="4" t="s">
        <v>772</v>
      </c>
      <c r="J594" s="4" t="s">
        <v>68</v>
      </c>
      <c r="K594" s="4" t="s">
        <v>1848</v>
      </c>
      <c r="L594" s="4" t="s">
        <v>1849</v>
      </c>
      <c r="M594" s="4" t="s">
        <v>356</v>
      </c>
      <c r="N594" s="4" t="s">
        <v>863</v>
      </c>
      <c r="O594" s="4"/>
      <c r="P594" s="4" t="s">
        <v>46</v>
      </c>
    </row>
    <row r="595" customFormat="false" ht="15" hidden="false" customHeight="false" outlineLevel="0" collapsed="false">
      <c r="A595" s="4" t="s">
        <v>1850</v>
      </c>
      <c r="B595" s="4" t="s">
        <v>1842</v>
      </c>
      <c r="C595" s="4" t="s">
        <v>1648</v>
      </c>
      <c r="D595" s="4" t="s">
        <v>1649</v>
      </c>
      <c r="E595" s="4" t="s">
        <v>627</v>
      </c>
      <c r="F595" s="4" t="s">
        <v>42</v>
      </c>
      <c r="G595" s="4" t="s">
        <v>38</v>
      </c>
      <c r="H595" s="4" t="n">
        <v>2</v>
      </c>
      <c r="I595" s="4" t="s">
        <v>1851</v>
      </c>
      <c r="J595" s="4" t="s">
        <v>81</v>
      </c>
      <c r="K595" s="4" t="s">
        <v>1852</v>
      </c>
      <c r="L595" s="4" t="s">
        <v>596</v>
      </c>
      <c r="M595" s="4" t="s">
        <v>695</v>
      </c>
      <c r="N595" s="4" t="s">
        <v>185</v>
      </c>
      <c r="O595" s="4" t="s">
        <v>1853</v>
      </c>
      <c r="P595" s="4" t="s">
        <v>46</v>
      </c>
    </row>
    <row r="596" customFormat="false" ht="15" hidden="false" customHeight="false" outlineLevel="0" collapsed="false">
      <c r="A596" s="4" t="s">
        <v>1854</v>
      </c>
      <c r="B596" s="4" t="s">
        <v>1842</v>
      </c>
      <c r="C596" s="4" t="s">
        <v>1648</v>
      </c>
      <c r="D596" s="4" t="s">
        <v>1649</v>
      </c>
      <c r="E596" s="4" t="s">
        <v>627</v>
      </c>
      <c r="F596" s="4" t="s">
        <v>70</v>
      </c>
      <c r="G596" s="4" t="s">
        <v>38</v>
      </c>
      <c r="H596" s="4" t="n">
        <v>1</v>
      </c>
      <c r="I596" s="4" t="s">
        <v>789</v>
      </c>
      <c r="J596" s="4" t="s">
        <v>68</v>
      </c>
      <c r="K596" s="4" t="s">
        <v>1855</v>
      </c>
      <c r="L596" s="4" t="s">
        <v>634</v>
      </c>
      <c r="M596" s="4" t="s">
        <v>635</v>
      </c>
      <c r="N596" s="4" t="s">
        <v>44</v>
      </c>
      <c r="O596" s="4" t="s">
        <v>1856</v>
      </c>
      <c r="P596" s="4" t="s">
        <v>46</v>
      </c>
    </row>
    <row r="597" customFormat="false" ht="15" hidden="false" customHeight="false" outlineLevel="0" collapsed="false">
      <c r="A597" s="4" t="s">
        <v>1857</v>
      </c>
      <c r="B597" s="4" t="s">
        <v>1842</v>
      </c>
      <c r="C597" s="4" t="s">
        <v>1648</v>
      </c>
      <c r="D597" s="4" t="s">
        <v>1649</v>
      </c>
      <c r="E597" s="4" t="s">
        <v>649</v>
      </c>
      <c r="F597" s="4" t="s">
        <v>128</v>
      </c>
      <c r="G597" s="4" t="s">
        <v>38</v>
      </c>
      <c r="H597" s="4" t="n">
        <v>2</v>
      </c>
      <c r="I597" s="4" t="s">
        <v>689</v>
      </c>
      <c r="J597" s="4" t="s">
        <v>40</v>
      </c>
      <c r="K597" s="4" t="s">
        <v>1858</v>
      </c>
      <c r="L597" s="4" t="s">
        <v>42</v>
      </c>
      <c r="M597" s="4" t="s">
        <v>43</v>
      </c>
      <c r="N597" s="4" t="s">
        <v>44</v>
      </c>
      <c r="O597" s="4" t="s">
        <v>1859</v>
      </c>
      <c r="P597" s="4" t="s">
        <v>46</v>
      </c>
    </row>
    <row r="598" customFormat="false" ht="15" hidden="false" customHeight="false" outlineLevel="0" collapsed="false">
      <c r="A598" s="4" t="s">
        <v>1860</v>
      </c>
      <c r="B598" s="4" t="s">
        <v>1861</v>
      </c>
      <c r="C598" s="4" t="s">
        <v>1648</v>
      </c>
      <c r="D598" s="4" t="s">
        <v>1649</v>
      </c>
      <c r="E598" s="4" t="s">
        <v>649</v>
      </c>
      <c r="F598" s="4" t="s">
        <v>58</v>
      </c>
      <c r="G598" s="4" t="s">
        <v>59</v>
      </c>
      <c r="H598" s="4" t="n">
        <v>2</v>
      </c>
      <c r="I598" s="4" t="s">
        <v>1594</v>
      </c>
      <c r="J598" s="4" t="s">
        <v>68</v>
      </c>
      <c r="K598" s="4" t="s">
        <v>891</v>
      </c>
      <c r="L598" s="4" t="s">
        <v>42</v>
      </c>
      <c r="M598" s="4" t="s">
        <v>43</v>
      </c>
      <c r="N598" s="4" t="s">
        <v>44</v>
      </c>
      <c r="O598" s="4" t="s">
        <v>892</v>
      </c>
      <c r="P598" s="4" t="s">
        <v>46</v>
      </c>
    </row>
    <row r="599" customFormat="false" ht="15" hidden="false" customHeight="false" outlineLevel="0" collapsed="false">
      <c r="A599" s="4" t="s">
        <v>1862</v>
      </c>
      <c r="B599" s="4" t="s">
        <v>1863</v>
      </c>
      <c r="C599" s="4" t="s">
        <v>1864</v>
      </c>
      <c r="D599" s="4" t="s">
        <v>35</v>
      </c>
      <c r="E599" s="4" t="s">
        <v>36</v>
      </c>
      <c r="F599" s="4" t="s">
        <v>42</v>
      </c>
      <c r="G599" s="4" t="s">
        <v>59</v>
      </c>
      <c r="H599" s="4" t="n">
        <v>2</v>
      </c>
      <c r="I599" s="4" t="s">
        <v>124</v>
      </c>
      <c r="J599" s="4" t="s">
        <v>68</v>
      </c>
      <c r="K599" s="4" t="s">
        <v>505</v>
      </c>
      <c r="L599" s="4" t="s">
        <v>70</v>
      </c>
      <c r="M599" s="4" t="s">
        <v>43</v>
      </c>
      <c r="N599" s="4" t="s">
        <v>44</v>
      </c>
      <c r="O599" s="4" t="s">
        <v>506</v>
      </c>
      <c r="P599" s="4" t="s">
        <v>46</v>
      </c>
    </row>
    <row r="600" customFormat="false" ht="15" hidden="false" customHeight="false" outlineLevel="0" collapsed="false">
      <c r="A600" s="4" t="s">
        <v>1865</v>
      </c>
      <c r="B600" s="4" t="s">
        <v>1864</v>
      </c>
      <c r="C600" s="4" t="s">
        <v>1648</v>
      </c>
      <c r="D600" s="4" t="s">
        <v>1649</v>
      </c>
      <c r="E600" s="4" t="s">
        <v>627</v>
      </c>
      <c r="F600" s="4" t="s">
        <v>128</v>
      </c>
      <c r="G600" s="4" t="s">
        <v>38</v>
      </c>
      <c r="H600" s="4" t="n">
        <v>2</v>
      </c>
      <c r="I600" s="4" t="s">
        <v>1851</v>
      </c>
      <c r="J600" s="4" t="s">
        <v>68</v>
      </c>
      <c r="K600" s="4" t="s">
        <v>198</v>
      </c>
      <c r="L600" s="4" t="s">
        <v>42</v>
      </c>
      <c r="M600" s="4" t="s">
        <v>43</v>
      </c>
      <c r="N600" s="4" t="s">
        <v>44</v>
      </c>
      <c r="O600" s="4" t="s">
        <v>199</v>
      </c>
      <c r="P600" s="4" t="s">
        <v>46</v>
      </c>
    </row>
    <row r="601" customFormat="false" ht="15" hidden="false" customHeight="false" outlineLevel="0" collapsed="false">
      <c r="A601" s="4" t="s">
        <v>1866</v>
      </c>
      <c r="B601" s="4" t="s">
        <v>1864</v>
      </c>
      <c r="C601" s="4" t="s">
        <v>1648</v>
      </c>
      <c r="D601" s="4" t="s">
        <v>1649</v>
      </c>
      <c r="E601" s="4" t="s">
        <v>761</v>
      </c>
      <c r="F601" s="4" t="s">
        <v>70</v>
      </c>
      <c r="G601" s="4" t="s">
        <v>59</v>
      </c>
      <c r="H601" s="4" t="n">
        <v>2</v>
      </c>
      <c r="I601" s="4" t="s">
        <v>1533</v>
      </c>
      <c r="J601" s="4" t="s">
        <v>68</v>
      </c>
      <c r="K601" s="4" t="s">
        <v>1867</v>
      </c>
      <c r="L601" s="4" t="s">
        <v>382</v>
      </c>
      <c r="M601" s="4" t="s">
        <v>43</v>
      </c>
      <c r="N601" s="4" t="s">
        <v>44</v>
      </c>
      <c r="O601" s="4" t="s">
        <v>1868</v>
      </c>
      <c r="P601" s="4" t="s">
        <v>46</v>
      </c>
    </row>
    <row r="602" customFormat="false" ht="15" hidden="false" customHeight="false" outlineLevel="0" collapsed="false">
      <c r="A602" s="4" t="s">
        <v>1869</v>
      </c>
      <c r="B602" s="4" t="s">
        <v>1864</v>
      </c>
      <c r="C602" s="4" t="s">
        <v>1648</v>
      </c>
      <c r="D602" s="4" t="s">
        <v>1649</v>
      </c>
      <c r="E602" s="4" t="s">
        <v>761</v>
      </c>
      <c r="F602" s="4" t="s">
        <v>42</v>
      </c>
      <c r="G602" s="4" t="s">
        <v>38</v>
      </c>
      <c r="H602" s="4" t="n">
        <v>1</v>
      </c>
      <c r="I602" s="4" t="s">
        <v>1799</v>
      </c>
      <c r="J602" s="4" t="s">
        <v>68</v>
      </c>
      <c r="K602" s="4" t="s">
        <v>891</v>
      </c>
      <c r="L602" s="4" t="s">
        <v>42</v>
      </c>
      <c r="M602" s="4" t="s">
        <v>43</v>
      </c>
      <c r="N602" s="4" t="s">
        <v>44</v>
      </c>
      <c r="O602" s="4" t="s">
        <v>892</v>
      </c>
      <c r="P602" s="4" t="s">
        <v>46</v>
      </c>
    </row>
    <row r="603" customFormat="false" ht="15" hidden="false" customHeight="false" outlineLevel="0" collapsed="false">
      <c r="A603" s="4" t="s">
        <v>1870</v>
      </c>
      <c r="B603" s="4" t="s">
        <v>1864</v>
      </c>
      <c r="C603" s="4" t="s">
        <v>1648</v>
      </c>
      <c r="D603" s="4" t="s">
        <v>1649</v>
      </c>
      <c r="E603" s="4" t="s">
        <v>618</v>
      </c>
      <c r="F603" s="4" t="s">
        <v>42</v>
      </c>
      <c r="G603" s="4" t="s">
        <v>38</v>
      </c>
      <c r="H603" s="4" t="n">
        <v>1</v>
      </c>
      <c r="I603" s="4" t="s">
        <v>1730</v>
      </c>
      <c r="J603" s="4" t="s">
        <v>149</v>
      </c>
      <c r="K603" s="4" t="s">
        <v>847</v>
      </c>
      <c r="L603" s="4" t="s">
        <v>42</v>
      </c>
      <c r="M603" s="4" t="s">
        <v>43</v>
      </c>
      <c r="N603" s="4" t="s">
        <v>44</v>
      </c>
      <c r="O603" s="4" t="s">
        <v>848</v>
      </c>
      <c r="P603" s="4" t="s">
        <v>46</v>
      </c>
    </row>
    <row r="604" customFormat="false" ht="15" hidden="false" customHeight="false" outlineLevel="0" collapsed="false">
      <c r="A604" s="4" t="s">
        <v>1871</v>
      </c>
      <c r="B604" s="4" t="s">
        <v>1872</v>
      </c>
      <c r="C604" s="4" t="s">
        <v>1648</v>
      </c>
      <c r="D604" s="4" t="s">
        <v>1649</v>
      </c>
      <c r="E604" s="4" t="s">
        <v>761</v>
      </c>
      <c r="F604" s="4" t="s">
        <v>42</v>
      </c>
      <c r="G604" s="4" t="s">
        <v>38</v>
      </c>
      <c r="H604" s="4" t="n">
        <v>3</v>
      </c>
      <c r="I604" s="4" t="s">
        <v>870</v>
      </c>
      <c r="J604" s="4" t="s">
        <v>40</v>
      </c>
      <c r="K604" s="4" t="s">
        <v>162</v>
      </c>
      <c r="L604" s="4" t="s">
        <v>42</v>
      </c>
      <c r="M604" s="4" t="s">
        <v>43</v>
      </c>
      <c r="N604" s="4" t="s">
        <v>44</v>
      </c>
      <c r="O604" s="4" t="s">
        <v>163</v>
      </c>
      <c r="P604" s="4" t="s">
        <v>46</v>
      </c>
    </row>
    <row r="605" customFormat="false" ht="15" hidden="false" customHeight="false" outlineLevel="0" collapsed="false">
      <c r="A605" s="4" t="s">
        <v>1873</v>
      </c>
      <c r="B605" s="4" t="s">
        <v>1874</v>
      </c>
      <c r="C605" s="4" t="s">
        <v>1648</v>
      </c>
      <c r="D605" s="4" t="s">
        <v>1649</v>
      </c>
      <c r="E605" s="4" t="s">
        <v>627</v>
      </c>
      <c r="F605" s="4" t="s">
        <v>42</v>
      </c>
      <c r="G605" s="4" t="s">
        <v>326</v>
      </c>
      <c r="H605" s="4" t="n">
        <v>1</v>
      </c>
      <c r="I605" s="4" t="s">
        <v>1875</v>
      </c>
      <c r="J605" s="4" t="s">
        <v>81</v>
      </c>
      <c r="K605" s="4" t="s">
        <v>235</v>
      </c>
      <c r="L605" s="4" t="s">
        <v>42</v>
      </c>
      <c r="M605" s="4" t="s">
        <v>43</v>
      </c>
      <c r="N605" s="4" t="s">
        <v>185</v>
      </c>
      <c r="O605" s="4" t="s">
        <v>236</v>
      </c>
      <c r="P605" s="4" t="s">
        <v>46</v>
      </c>
    </row>
    <row r="606" customFormat="false" ht="15" hidden="false" customHeight="false" outlineLevel="0" collapsed="false">
      <c r="A606" s="4" t="s">
        <v>1876</v>
      </c>
      <c r="B606" s="4" t="s">
        <v>1874</v>
      </c>
      <c r="C606" s="4" t="s">
        <v>1648</v>
      </c>
      <c r="D606" s="4" t="s">
        <v>1649</v>
      </c>
      <c r="E606" s="4" t="s">
        <v>627</v>
      </c>
      <c r="F606" s="4" t="s">
        <v>58</v>
      </c>
      <c r="G606" s="4" t="s">
        <v>38</v>
      </c>
      <c r="H606" s="4" t="n">
        <v>2</v>
      </c>
      <c r="I606" s="4" t="s">
        <v>870</v>
      </c>
      <c r="J606" s="4" t="s">
        <v>40</v>
      </c>
      <c r="K606" s="4" t="s">
        <v>442</v>
      </c>
      <c r="L606" s="4" t="s">
        <v>42</v>
      </c>
      <c r="M606" s="4" t="s">
        <v>43</v>
      </c>
      <c r="N606" s="4" t="s">
        <v>44</v>
      </c>
      <c r="O606" s="4" t="s">
        <v>443</v>
      </c>
      <c r="P606" s="4" t="s">
        <v>46</v>
      </c>
    </row>
    <row r="607" customFormat="false" ht="15" hidden="false" customHeight="false" outlineLevel="0" collapsed="false">
      <c r="A607" s="4" t="s">
        <v>1877</v>
      </c>
      <c r="B607" s="4" t="s">
        <v>1878</v>
      </c>
      <c r="C607" s="4" t="s">
        <v>1648</v>
      </c>
      <c r="D607" s="4" t="s">
        <v>1649</v>
      </c>
      <c r="E607" s="4" t="s">
        <v>627</v>
      </c>
      <c r="F607" s="4" t="s">
        <v>70</v>
      </c>
      <c r="G607" s="4" t="s">
        <v>38</v>
      </c>
      <c r="H607" s="4" t="n">
        <v>3</v>
      </c>
      <c r="I607" s="4" t="s">
        <v>645</v>
      </c>
      <c r="J607" s="4" t="s">
        <v>68</v>
      </c>
      <c r="K607" s="4" t="s">
        <v>1879</v>
      </c>
      <c r="L607" s="4" t="s">
        <v>42</v>
      </c>
      <c r="M607" s="4" t="s">
        <v>43</v>
      </c>
      <c r="N607" s="4" t="s">
        <v>94</v>
      </c>
      <c r="O607" s="4" t="s">
        <v>1880</v>
      </c>
      <c r="P607" s="4" t="s">
        <v>46</v>
      </c>
    </row>
    <row r="608" customFormat="false" ht="15" hidden="false" customHeight="false" outlineLevel="0" collapsed="false">
      <c r="A608" s="4" t="s">
        <v>1881</v>
      </c>
      <c r="B608" s="4" t="s">
        <v>1878</v>
      </c>
      <c r="C608" s="4" t="s">
        <v>1882</v>
      </c>
      <c r="D608" s="4" t="s">
        <v>35</v>
      </c>
      <c r="E608" s="4" t="s">
        <v>36</v>
      </c>
      <c r="F608" s="4" t="s">
        <v>42</v>
      </c>
      <c r="G608" s="4" t="s">
        <v>59</v>
      </c>
      <c r="H608" s="4" t="n">
        <v>1</v>
      </c>
      <c r="I608" s="4" t="s">
        <v>75</v>
      </c>
      <c r="J608" s="4" t="s">
        <v>81</v>
      </c>
      <c r="K608" s="4" t="s">
        <v>918</v>
      </c>
      <c r="L608" s="4" t="s">
        <v>42</v>
      </c>
      <c r="M608" s="4" t="s">
        <v>43</v>
      </c>
      <c r="N608" s="4" t="s">
        <v>44</v>
      </c>
      <c r="O608" s="4" t="s">
        <v>919</v>
      </c>
      <c r="P608" s="4" t="s">
        <v>46</v>
      </c>
    </row>
    <row r="609" customFormat="false" ht="15" hidden="false" customHeight="false" outlineLevel="0" collapsed="false">
      <c r="A609" s="4" t="s">
        <v>1883</v>
      </c>
      <c r="B609" s="4" t="s">
        <v>1884</v>
      </c>
      <c r="C609" s="4" t="s">
        <v>1648</v>
      </c>
      <c r="D609" s="4" t="s">
        <v>1649</v>
      </c>
      <c r="E609" s="4" t="s">
        <v>627</v>
      </c>
      <c r="F609" s="4" t="s">
        <v>42</v>
      </c>
      <c r="G609" s="4" t="s">
        <v>59</v>
      </c>
      <c r="H609" s="4" t="n">
        <v>1</v>
      </c>
      <c r="I609" s="4" t="s">
        <v>1708</v>
      </c>
      <c r="J609" s="4" t="s">
        <v>40</v>
      </c>
      <c r="K609" s="4" t="s">
        <v>663</v>
      </c>
      <c r="L609" s="4" t="s">
        <v>42</v>
      </c>
      <c r="M609" s="4" t="s">
        <v>43</v>
      </c>
      <c r="N609" s="4" t="s">
        <v>185</v>
      </c>
      <c r="O609" s="4" t="s">
        <v>664</v>
      </c>
      <c r="P609" s="4" t="s">
        <v>46</v>
      </c>
    </row>
    <row r="610" customFormat="false" ht="15" hidden="false" customHeight="false" outlineLevel="0" collapsed="false">
      <c r="A610" s="4" t="s">
        <v>1885</v>
      </c>
      <c r="B610" s="4" t="s">
        <v>1884</v>
      </c>
      <c r="C610" s="4" t="s">
        <v>1648</v>
      </c>
      <c r="D610" s="4" t="s">
        <v>1649</v>
      </c>
      <c r="E610" s="4" t="s">
        <v>627</v>
      </c>
      <c r="F610" s="4" t="s">
        <v>42</v>
      </c>
      <c r="G610" s="4" t="s">
        <v>326</v>
      </c>
      <c r="H610" s="4" t="n">
        <v>1</v>
      </c>
      <c r="I610" s="4" t="s">
        <v>1886</v>
      </c>
      <c r="J610" s="4" t="s">
        <v>40</v>
      </c>
      <c r="K610" s="4" t="s">
        <v>1887</v>
      </c>
      <c r="L610" s="4" t="s">
        <v>571</v>
      </c>
      <c r="M610" s="4" t="s">
        <v>356</v>
      </c>
      <c r="N610" s="4" t="s">
        <v>357</v>
      </c>
      <c r="O610" s="4"/>
      <c r="P610" s="4" t="s">
        <v>46</v>
      </c>
    </row>
    <row r="611" customFormat="false" ht="15" hidden="false" customHeight="false" outlineLevel="0" collapsed="false">
      <c r="A611" s="4" t="s">
        <v>1888</v>
      </c>
      <c r="B611" s="4" t="s">
        <v>1884</v>
      </c>
      <c r="C611" s="4" t="s">
        <v>1648</v>
      </c>
      <c r="D611" s="4" t="s">
        <v>1649</v>
      </c>
      <c r="E611" s="4" t="s">
        <v>627</v>
      </c>
      <c r="F611" s="4" t="s">
        <v>42</v>
      </c>
      <c r="G611" s="4" t="s">
        <v>38</v>
      </c>
      <c r="H611" s="4" t="n">
        <v>2</v>
      </c>
      <c r="I611" s="4" t="s">
        <v>497</v>
      </c>
      <c r="J611" s="4" t="s">
        <v>40</v>
      </c>
      <c r="K611" s="4" t="s">
        <v>891</v>
      </c>
      <c r="L611" s="4" t="s">
        <v>42</v>
      </c>
      <c r="M611" s="4" t="s">
        <v>43</v>
      </c>
      <c r="N611" s="4" t="s">
        <v>44</v>
      </c>
      <c r="O611" s="4" t="s">
        <v>892</v>
      </c>
      <c r="P611" s="4" t="s">
        <v>46</v>
      </c>
    </row>
    <row r="612" customFormat="false" ht="15" hidden="false" customHeight="false" outlineLevel="0" collapsed="false">
      <c r="A612" s="4" t="s">
        <v>1889</v>
      </c>
      <c r="B612" s="4" t="s">
        <v>1890</v>
      </c>
      <c r="C612" s="4" t="s">
        <v>1648</v>
      </c>
      <c r="D612" s="4" t="s">
        <v>1649</v>
      </c>
      <c r="E612" s="4" t="s">
        <v>613</v>
      </c>
      <c r="F612" s="4" t="s">
        <v>58</v>
      </c>
      <c r="G612" s="4" t="s">
        <v>59</v>
      </c>
      <c r="H612" s="4" t="n">
        <v>1</v>
      </c>
      <c r="I612" s="4" t="s">
        <v>1650</v>
      </c>
      <c r="J612" s="4" t="s">
        <v>40</v>
      </c>
      <c r="K612" s="4" t="s">
        <v>1891</v>
      </c>
      <c r="L612" s="4" t="s">
        <v>480</v>
      </c>
      <c r="M612" s="4" t="s">
        <v>43</v>
      </c>
      <c r="N612" s="4" t="s">
        <v>44</v>
      </c>
      <c r="O612" s="4" t="s">
        <v>1892</v>
      </c>
      <c r="P612" s="4" t="s">
        <v>46</v>
      </c>
    </row>
    <row r="613" customFormat="false" ht="15" hidden="false" customHeight="false" outlineLevel="0" collapsed="false">
      <c r="A613" s="4" t="s">
        <v>1873</v>
      </c>
      <c r="B613" s="4" t="s">
        <v>1874</v>
      </c>
      <c r="C613" s="4" t="s">
        <v>1648</v>
      </c>
      <c r="D613" s="4" t="s">
        <v>1649</v>
      </c>
      <c r="E613" s="4" t="s">
        <v>627</v>
      </c>
      <c r="F613" s="4" t="s">
        <v>42</v>
      </c>
      <c r="G613" s="4" t="s">
        <v>326</v>
      </c>
      <c r="H613" s="4" t="n">
        <v>1</v>
      </c>
      <c r="I613" s="4" t="s">
        <v>1875</v>
      </c>
      <c r="J613" s="4" t="s">
        <v>81</v>
      </c>
      <c r="K613" s="4" t="s">
        <v>235</v>
      </c>
      <c r="L613" s="4" t="s">
        <v>42</v>
      </c>
      <c r="M613" s="4" t="s">
        <v>43</v>
      </c>
      <c r="N613" s="4" t="s">
        <v>185</v>
      </c>
      <c r="O613" s="4" t="s">
        <v>236</v>
      </c>
      <c r="P613" s="4" t="s">
        <v>46</v>
      </c>
    </row>
    <row r="614" customFormat="false" ht="15" hidden="false" customHeight="false" outlineLevel="0" collapsed="false">
      <c r="A614" s="4" t="s">
        <v>1893</v>
      </c>
      <c r="B614" s="4" t="s">
        <v>1890</v>
      </c>
      <c r="C614" s="4" t="s">
        <v>1648</v>
      </c>
      <c r="D614" s="4" t="s">
        <v>1649</v>
      </c>
      <c r="E614" s="4" t="s">
        <v>627</v>
      </c>
      <c r="F614" s="4" t="s">
        <v>42</v>
      </c>
      <c r="G614" s="4" t="s">
        <v>59</v>
      </c>
      <c r="H614" s="4" t="n">
        <v>1</v>
      </c>
      <c r="I614" s="4" t="s">
        <v>1894</v>
      </c>
      <c r="J614" s="4" t="s">
        <v>68</v>
      </c>
      <c r="K614" s="4" t="s">
        <v>666</v>
      </c>
      <c r="L614" s="4" t="s">
        <v>42</v>
      </c>
      <c r="M614" s="4" t="s">
        <v>43</v>
      </c>
      <c r="N614" s="4" t="s">
        <v>44</v>
      </c>
      <c r="O614" s="4" t="s">
        <v>667</v>
      </c>
      <c r="P614" s="4" t="s">
        <v>46</v>
      </c>
    </row>
    <row r="615" customFormat="false" ht="15" hidden="false" customHeight="false" outlineLevel="0" collapsed="false">
      <c r="A615" s="4" t="s">
        <v>1895</v>
      </c>
      <c r="B615" s="4" t="s">
        <v>1890</v>
      </c>
      <c r="C615" s="4" t="s">
        <v>1648</v>
      </c>
      <c r="D615" s="4" t="s">
        <v>1649</v>
      </c>
      <c r="E615" s="4" t="s">
        <v>613</v>
      </c>
      <c r="F615" s="4" t="s">
        <v>42</v>
      </c>
      <c r="G615" s="4" t="s">
        <v>326</v>
      </c>
      <c r="H615" s="4" t="n">
        <v>1</v>
      </c>
      <c r="I615" s="4" t="s">
        <v>1149</v>
      </c>
      <c r="J615" s="4" t="s">
        <v>40</v>
      </c>
      <c r="K615" s="4" t="s">
        <v>1896</v>
      </c>
      <c r="L615" s="4" t="s">
        <v>862</v>
      </c>
      <c r="M615" s="4" t="s">
        <v>356</v>
      </c>
      <c r="N615" s="4" t="s">
        <v>863</v>
      </c>
      <c r="O615" s="4"/>
      <c r="P615" s="4" t="s">
        <v>46</v>
      </c>
    </row>
    <row r="616" customFormat="false" ht="15" hidden="false" customHeight="false" outlineLevel="0" collapsed="false">
      <c r="A616" s="4" t="s">
        <v>1897</v>
      </c>
      <c r="B616" s="4" t="s">
        <v>1890</v>
      </c>
      <c r="C616" s="4" t="s">
        <v>1648</v>
      </c>
      <c r="D616" s="4" t="s">
        <v>1649</v>
      </c>
      <c r="E616" s="4" t="s">
        <v>627</v>
      </c>
      <c r="F616" s="4" t="s">
        <v>42</v>
      </c>
      <c r="G616" s="4" t="s">
        <v>59</v>
      </c>
      <c r="H616" s="4" t="n">
        <v>1</v>
      </c>
      <c r="I616" s="4" t="s">
        <v>921</v>
      </c>
      <c r="J616" s="4" t="s">
        <v>68</v>
      </c>
      <c r="K616" s="4" t="s">
        <v>639</v>
      </c>
      <c r="L616" s="4" t="s">
        <v>42</v>
      </c>
      <c r="M616" s="4" t="s">
        <v>43</v>
      </c>
      <c r="N616" s="4" t="s">
        <v>94</v>
      </c>
      <c r="O616" s="4" t="s">
        <v>640</v>
      </c>
      <c r="P616" s="4" t="s">
        <v>46</v>
      </c>
    </row>
    <row r="617" customFormat="false" ht="15" hidden="false" customHeight="false" outlineLevel="0" collapsed="false">
      <c r="A617" s="4" t="s">
        <v>1898</v>
      </c>
      <c r="B617" s="4" t="s">
        <v>1899</v>
      </c>
      <c r="C617" s="4" t="s">
        <v>1648</v>
      </c>
      <c r="D617" s="4" t="s">
        <v>1649</v>
      </c>
      <c r="E617" s="4" t="s">
        <v>761</v>
      </c>
      <c r="F617" s="4" t="s">
        <v>42</v>
      </c>
      <c r="G617" s="4" t="s">
        <v>38</v>
      </c>
      <c r="H617" s="4" t="n">
        <v>1</v>
      </c>
      <c r="I617" s="4" t="s">
        <v>449</v>
      </c>
      <c r="J617" s="4" t="s">
        <v>68</v>
      </c>
      <c r="K617" s="4" t="s">
        <v>51</v>
      </c>
      <c r="L617" s="4" t="s">
        <v>168</v>
      </c>
      <c r="M617" s="4" t="s">
        <v>43</v>
      </c>
      <c r="N617" s="4" t="s">
        <v>44</v>
      </c>
      <c r="O617" s="4" t="s">
        <v>53</v>
      </c>
      <c r="P617" s="4" t="s">
        <v>46</v>
      </c>
    </row>
    <row r="618" customFormat="false" ht="15" hidden="false" customHeight="false" outlineLevel="0" collapsed="false">
      <c r="A618" s="4" t="s">
        <v>1900</v>
      </c>
      <c r="B618" s="4" t="s">
        <v>1899</v>
      </c>
      <c r="C618" s="4" t="s">
        <v>1648</v>
      </c>
      <c r="D618" s="4" t="s">
        <v>1649</v>
      </c>
      <c r="E618" s="4" t="s">
        <v>627</v>
      </c>
      <c r="F618" s="4" t="s">
        <v>42</v>
      </c>
      <c r="G618" s="4" t="s">
        <v>59</v>
      </c>
      <c r="H618" s="4" t="n">
        <v>1</v>
      </c>
      <c r="I618" s="4" t="s">
        <v>1901</v>
      </c>
      <c r="J618" s="4" t="s">
        <v>40</v>
      </c>
      <c r="K618" s="4" t="s">
        <v>847</v>
      </c>
      <c r="L618" s="4" t="s">
        <v>42</v>
      </c>
      <c r="M618" s="4" t="s">
        <v>43</v>
      </c>
      <c r="N618" s="4" t="s">
        <v>44</v>
      </c>
      <c r="O618" s="4" t="s">
        <v>848</v>
      </c>
      <c r="P618" s="4" t="s">
        <v>46</v>
      </c>
    </row>
    <row r="619" customFormat="false" ht="15" hidden="false" customHeight="false" outlineLevel="0" collapsed="false">
      <c r="A619" s="4" t="s">
        <v>1902</v>
      </c>
      <c r="B619" s="4" t="s">
        <v>1903</v>
      </c>
      <c r="C619" s="4" t="s">
        <v>1648</v>
      </c>
      <c r="D619" s="4" t="s">
        <v>1649</v>
      </c>
      <c r="E619" s="4" t="s">
        <v>627</v>
      </c>
      <c r="F619" s="4" t="s">
        <v>42</v>
      </c>
      <c r="G619" s="4" t="s">
        <v>38</v>
      </c>
      <c r="H619" s="4" t="n">
        <v>2</v>
      </c>
      <c r="I619" s="4" t="s">
        <v>1011</v>
      </c>
      <c r="J619" s="4" t="s">
        <v>149</v>
      </c>
      <c r="K619" s="4" t="s">
        <v>1904</v>
      </c>
      <c r="L619" s="4" t="s">
        <v>463</v>
      </c>
      <c r="M619" s="4" t="s">
        <v>464</v>
      </c>
      <c r="N619" s="4" t="s">
        <v>52</v>
      </c>
      <c r="O619" s="4" t="s">
        <v>1905</v>
      </c>
      <c r="P619" s="4" t="s">
        <v>46</v>
      </c>
    </row>
    <row r="620" customFormat="false" ht="15" hidden="false" customHeight="false" outlineLevel="0" collapsed="false">
      <c r="A620" s="4" t="s">
        <v>1906</v>
      </c>
      <c r="B620" s="4" t="s">
        <v>1907</v>
      </c>
      <c r="C620" s="4" t="s">
        <v>1908</v>
      </c>
      <c r="D620" s="4" t="s">
        <v>35</v>
      </c>
      <c r="E620" s="4" t="s">
        <v>36</v>
      </c>
      <c r="F620" s="4" t="s">
        <v>128</v>
      </c>
      <c r="G620" s="4" t="s">
        <v>38</v>
      </c>
      <c r="H620" s="4" t="n">
        <v>1</v>
      </c>
      <c r="I620" s="4" t="s">
        <v>50</v>
      </c>
      <c r="J620" s="4" t="s">
        <v>40</v>
      </c>
      <c r="K620" s="4" t="s">
        <v>1054</v>
      </c>
      <c r="L620" s="4" t="s">
        <v>42</v>
      </c>
      <c r="M620" s="4" t="s">
        <v>43</v>
      </c>
      <c r="N620" s="4" t="s">
        <v>44</v>
      </c>
      <c r="O620" s="4" t="s">
        <v>1055</v>
      </c>
      <c r="P620" s="4" t="s">
        <v>46</v>
      </c>
    </row>
    <row r="621" customFormat="false" ht="15" hidden="false" customHeight="false" outlineLevel="0" collapsed="false">
      <c r="A621" s="4" t="s">
        <v>1909</v>
      </c>
      <c r="B621" s="4" t="s">
        <v>1907</v>
      </c>
      <c r="C621" s="4" t="s">
        <v>1908</v>
      </c>
      <c r="D621" s="4" t="s">
        <v>35</v>
      </c>
      <c r="E621" s="4" t="s">
        <v>36</v>
      </c>
      <c r="F621" s="4" t="s">
        <v>42</v>
      </c>
      <c r="G621" s="4" t="s">
        <v>59</v>
      </c>
      <c r="H621" s="4" t="n">
        <v>1</v>
      </c>
      <c r="I621" s="4" t="s">
        <v>138</v>
      </c>
      <c r="J621" s="4" t="s">
        <v>68</v>
      </c>
      <c r="K621" s="4" t="s">
        <v>658</v>
      </c>
      <c r="L621" s="4" t="s">
        <v>58</v>
      </c>
      <c r="M621" s="4" t="s">
        <v>43</v>
      </c>
      <c r="N621" s="4" t="s">
        <v>44</v>
      </c>
      <c r="O621" s="4" t="s">
        <v>659</v>
      </c>
      <c r="P621" s="4" t="s">
        <v>46</v>
      </c>
    </row>
    <row r="622" customFormat="false" ht="15" hidden="false" customHeight="false" outlineLevel="0" collapsed="false">
      <c r="A622" s="4" t="s">
        <v>1910</v>
      </c>
      <c r="B622" s="4" t="s">
        <v>1911</v>
      </c>
      <c r="C622" s="4" t="s">
        <v>1648</v>
      </c>
      <c r="D622" s="4" t="s">
        <v>1649</v>
      </c>
      <c r="E622" s="4" t="s">
        <v>627</v>
      </c>
      <c r="F622" s="4" t="s">
        <v>42</v>
      </c>
      <c r="G622" s="4" t="s">
        <v>38</v>
      </c>
      <c r="H622" s="4" t="n">
        <v>2</v>
      </c>
      <c r="I622" s="4" t="s">
        <v>960</v>
      </c>
      <c r="J622" s="4" t="s">
        <v>40</v>
      </c>
      <c r="K622" s="4" t="s">
        <v>1912</v>
      </c>
      <c r="L622" s="4" t="s">
        <v>736</v>
      </c>
      <c r="M622" s="4" t="s">
        <v>1683</v>
      </c>
      <c r="N622" s="4" t="s">
        <v>44</v>
      </c>
      <c r="O622" s="4" t="s">
        <v>1913</v>
      </c>
      <c r="P622" s="4" t="s">
        <v>46</v>
      </c>
    </row>
    <row r="623" customFormat="false" ht="15" hidden="false" customHeight="false" outlineLevel="0" collapsed="false">
      <c r="A623" s="4" t="s">
        <v>1914</v>
      </c>
      <c r="B623" s="4" t="s">
        <v>1915</v>
      </c>
      <c r="C623" s="4" t="s">
        <v>1916</v>
      </c>
      <c r="D623" s="4" t="s">
        <v>35</v>
      </c>
      <c r="E623" s="4" t="s">
        <v>66</v>
      </c>
      <c r="F623" s="4" t="s">
        <v>58</v>
      </c>
      <c r="G623" s="4" t="s">
        <v>59</v>
      </c>
      <c r="H623" s="4" t="n">
        <v>2</v>
      </c>
      <c r="I623" s="4" t="s">
        <v>60</v>
      </c>
      <c r="J623" s="4" t="s">
        <v>40</v>
      </c>
      <c r="K623" s="4" t="s">
        <v>275</v>
      </c>
      <c r="L623" s="4" t="s">
        <v>42</v>
      </c>
      <c r="M623" s="4" t="s">
        <v>43</v>
      </c>
      <c r="N623" s="4" t="s">
        <v>94</v>
      </c>
      <c r="O623" s="4" t="s">
        <v>276</v>
      </c>
      <c r="P623" s="4" t="s">
        <v>46</v>
      </c>
    </row>
    <row r="624" customFormat="false" ht="15" hidden="false" customHeight="false" outlineLevel="0" collapsed="false">
      <c r="A624" s="4" t="s">
        <v>1917</v>
      </c>
      <c r="B624" s="4" t="s">
        <v>1916</v>
      </c>
      <c r="C624" s="4" t="s">
        <v>1648</v>
      </c>
      <c r="D624" s="4" t="s">
        <v>1649</v>
      </c>
      <c r="E624" s="4" t="s">
        <v>627</v>
      </c>
      <c r="F624" s="4" t="s">
        <v>42</v>
      </c>
      <c r="G624" s="4" t="s">
        <v>59</v>
      </c>
      <c r="H624" s="4" t="n">
        <v>2</v>
      </c>
      <c r="I624" s="4" t="s">
        <v>1918</v>
      </c>
      <c r="J624" s="4" t="s">
        <v>68</v>
      </c>
      <c r="K624" s="4" t="s">
        <v>1016</v>
      </c>
      <c r="L624" s="4" t="s">
        <v>42</v>
      </c>
      <c r="M624" s="4" t="s">
        <v>43</v>
      </c>
      <c r="N624" s="4" t="s">
        <v>44</v>
      </c>
      <c r="O624" s="4" t="s">
        <v>1017</v>
      </c>
      <c r="P624" s="4" t="s">
        <v>46</v>
      </c>
    </row>
    <row r="625" customFormat="false" ht="15" hidden="false" customHeight="false" outlineLevel="0" collapsed="false">
      <c r="A625" s="4" t="s">
        <v>1919</v>
      </c>
      <c r="B625" s="4" t="s">
        <v>1916</v>
      </c>
      <c r="C625" s="4" t="s">
        <v>1920</v>
      </c>
      <c r="D625" s="4" t="s">
        <v>35</v>
      </c>
      <c r="E625" s="4" t="s">
        <v>36</v>
      </c>
      <c r="F625" s="4" t="s">
        <v>42</v>
      </c>
      <c r="G625" s="4" t="s">
        <v>38</v>
      </c>
      <c r="H625" s="4" t="n">
        <v>4</v>
      </c>
      <c r="I625" s="4" t="s">
        <v>50</v>
      </c>
      <c r="J625" s="4" t="s">
        <v>40</v>
      </c>
      <c r="K625" s="4" t="s">
        <v>1921</v>
      </c>
      <c r="L625" s="4" t="s">
        <v>786</v>
      </c>
      <c r="M625" s="4" t="s">
        <v>377</v>
      </c>
      <c r="N625" s="4" t="s">
        <v>52</v>
      </c>
      <c r="O625" s="4" t="s">
        <v>1922</v>
      </c>
      <c r="P625" s="4" t="s">
        <v>46</v>
      </c>
    </row>
    <row r="626" customFormat="false" ht="15" hidden="false" customHeight="false" outlineLevel="0" collapsed="false">
      <c r="A626" s="4" t="s">
        <v>1923</v>
      </c>
      <c r="B626" s="4" t="s">
        <v>1920</v>
      </c>
      <c r="C626" s="4" t="s">
        <v>1648</v>
      </c>
      <c r="D626" s="4" t="s">
        <v>1649</v>
      </c>
      <c r="E626" s="4" t="s">
        <v>613</v>
      </c>
      <c r="F626" s="4" t="s">
        <v>42</v>
      </c>
      <c r="G626" s="4" t="s">
        <v>38</v>
      </c>
      <c r="H626" s="4" t="n">
        <v>1</v>
      </c>
      <c r="I626" s="4" t="s">
        <v>542</v>
      </c>
      <c r="J626" s="4" t="s">
        <v>68</v>
      </c>
      <c r="K626" s="4" t="s">
        <v>1924</v>
      </c>
      <c r="L626" s="4" t="s">
        <v>42</v>
      </c>
      <c r="M626" s="4" t="s">
        <v>43</v>
      </c>
      <c r="N626" s="4" t="s">
        <v>44</v>
      </c>
      <c r="O626" s="4" t="s">
        <v>1925</v>
      </c>
      <c r="P626" s="4" t="s">
        <v>46</v>
      </c>
    </row>
    <row r="627" customFormat="false" ht="15" hidden="false" customHeight="false" outlineLevel="0" collapsed="false">
      <c r="A627" s="4" t="s">
        <v>1926</v>
      </c>
      <c r="B627" s="4" t="s">
        <v>1927</v>
      </c>
      <c r="C627" s="4" t="s">
        <v>1648</v>
      </c>
      <c r="D627" s="4" t="s">
        <v>1649</v>
      </c>
      <c r="E627" s="4" t="s">
        <v>627</v>
      </c>
      <c r="F627" s="4" t="s">
        <v>42</v>
      </c>
      <c r="G627" s="4" t="s">
        <v>38</v>
      </c>
      <c r="H627" s="4" t="n">
        <v>1</v>
      </c>
      <c r="I627" s="4" t="s">
        <v>1928</v>
      </c>
      <c r="J627" s="4" t="s">
        <v>68</v>
      </c>
      <c r="K627" s="4" t="s">
        <v>1929</v>
      </c>
      <c r="L627" s="4" t="s">
        <v>480</v>
      </c>
      <c r="M627" s="4" t="s">
        <v>43</v>
      </c>
      <c r="N627" s="4" t="s">
        <v>94</v>
      </c>
      <c r="O627" s="4" t="s">
        <v>1930</v>
      </c>
      <c r="P627" s="4" t="s">
        <v>46</v>
      </c>
    </row>
    <row r="628" customFormat="false" ht="15" hidden="false" customHeight="false" outlineLevel="0" collapsed="false">
      <c r="A628" s="4" t="s">
        <v>1931</v>
      </c>
      <c r="B628" s="4" t="s">
        <v>1932</v>
      </c>
      <c r="C628" s="4" t="s">
        <v>1648</v>
      </c>
      <c r="D628" s="4" t="s">
        <v>1649</v>
      </c>
      <c r="E628" s="4" t="s">
        <v>627</v>
      </c>
      <c r="F628" s="4" t="s">
        <v>37</v>
      </c>
      <c r="G628" s="4" t="s">
        <v>38</v>
      </c>
      <c r="H628" s="4" t="n">
        <v>1</v>
      </c>
      <c r="I628" s="4" t="s">
        <v>1034</v>
      </c>
      <c r="J628" s="4" t="s">
        <v>40</v>
      </c>
      <c r="K628" s="4" t="s">
        <v>320</v>
      </c>
      <c r="L628" s="4" t="s">
        <v>42</v>
      </c>
      <c r="M628" s="4" t="s">
        <v>43</v>
      </c>
      <c r="N628" s="4" t="s">
        <v>44</v>
      </c>
      <c r="O628" s="4" t="s">
        <v>321</v>
      </c>
      <c r="P628" s="4" t="s">
        <v>46</v>
      </c>
    </row>
    <row r="629" customFormat="false" ht="15" hidden="false" customHeight="false" outlineLevel="0" collapsed="false">
      <c r="A629" s="4" t="s">
        <v>1933</v>
      </c>
      <c r="B629" s="4" t="s">
        <v>1932</v>
      </c>
      <c r="C629" s="4" t="s">
        <v>1648</v>
      </c>
      <c r="D629" s="4" t="s">
        <v>1649</v>
      </c>
      <c r="E629" s="4" t="s">
        <v>627</v>
      </c>
      <c r="F629" s="4" t="s">
        <v>37</v>
      </c>
      <c r="G629" s="4" t="s">
        <v>59</v>
      </c>
      <c r="H629" s="4" t="n">
        <v>1</v>
      </c>
      <c r="I629" s="4" t="s">
        <v>1617</v>
      </c>
      <c r="J629" s="4" t="s">
        <v>81</v>
      </c>
      <c r="K629" s="4" t="s">
        <v>1934</v>
      </c>
      <c r="L629" s="4" t="s">
        <v>706</v>
      </c>
      <c r="M629" s="4" t="s">
        <v>412</v>
      </c>
      <c r="N629" s="4" t="s">
        <v>44</v>
      </c>
      <c r="O629" s="4" t="s">
        <v>1935</v>
      </c>
      <c r="P629" s="4" t="s">
        <v>46</v>
      </c>
    </row>
    <row r="630" customFormat="false" ht="15" hidden="false" customHeight="false" outlineLevel="0" collapsed="false">
      <c r="A630" s="4" t="s">
        <v>1936</v>
      </c>
      <c r="B630" s="4" t="s">
        <v>1937</v>
      </c>
      <c r="C630" s="4" t="s">
        <v>1648</v>
      </c>
      <c r="D630" s="4" t="s">
        <v>1649</v>
      </c>
      <c r="E630" s="4" t="s">
        <v>627</v>
      </c>
      <c r="F630" s="4" t="s">
        <v>128</v>
      </c>
      <c r="G630" s="4" t="s">
        <v>38</v>
      </c>
      <c r="H630" s="4" t="n">
        <v>4</v>
      </c>
      <c r="I630" s="4" t="s">
        <v>1938</v>
      </c>
      <c r="J630" s="4" t="s">
        <v>40</v>
      </c>
      <c r="K630" s="4" t="s">
        <v>1939</v>
      </c>
      <c r="L630" s="4" t="s">
        <v>900</v>
      </c>
      <c r="M630" s="4" t="s">
        <v>356</v>
      </c>
      <c r="N630" s="4" t="s">
        <v>433</v>
      </c>
      <c r="O630" s="4"/>
      <c r="P630" s="4" t="s">
        <v>46</v>
      </c>
    </row>
    <row r="631" customFormat="false" ht="15" hidden="false" customHeight="false" outlineLevel="0" collapsed="false">
      <c r="A631" s="4" t="s">
        <v>1940</v>
      </c>
      <c r="B631" s="4" t="s">
        <v>1937</v>
      </c>
      <c r="C631" s="4" t="s">
        <v>1941</v>
      </c>
      <c r="D631" s="4" t="s">
        <v>35</v>
      </c>
      <c r="E631" s="4" t="s">
        <v>57</v>
      </c>
      <c r="F631" s="4" t="s">
        <v>37</v>
      </c>
      <c r="G631" s="4" t="s">
        <v>59</v>
      </c>
      <c r="H631" s="4" t="n">
        <v>2</v>
      </c>
      <c r="I631" s="4" t="s">
        <v>124</v>
      </c>
      <c r="J631" s="4" t="s">
        <v>68</v>
      </c>
      <c r="K631" s="4" t="s">
        <v>1942</v>
      </c>
      <c r="L631" s="4" t="s">
        <v>168</v>
      </c>
      <c r="M631" s="4" t="s">
        <v>43</v>
      </c>
      <c r="N631" s="4" t="s">
        <v>44</v>
      </c>
      <c r="O631" s="4" t="s">
        <v>1943</v>
      </c>
      <c r="P631" s="4" t="s">
        <v>46</v>
      </c>
    </row>
    <row r="632" customFormat="false" ht="15" hidden="false" customHeight="false" outlineLevel="0" collapsed="false">
      <c r="A632" s="4" t="s">
        <v>1944</v>
      </c>
      <c r="B632" s="4" t="s">
        <v>1945</v>
      </c>
      <c r="C632" s="4" t="s">
        <v>1648</v>
      </c>
      <c r="D632" s="4" t="s">
        <v>1649</v>
      </c>
      <c r="E632" s="4" t="s">
        <v>627</v>
      </c>
      <c r="F632" s="4" t="s">
        <v>42</v>
      </c>
      <c r="G632" s="4" t="s">
        <v>38</v>
      </c>
      <c r="H632" s="4" t="n">
        <v>4</v>
      </c>
      <c r="I632" s="4" t="s">
        <v>1435</v>
      </c>
      <c r="J632" s="4" t="s">
        <v>40</v>
      </c>
      <c r="K632" s="4" t="s">
        <v>1946</v>
      </c>
      <c r="L632" s="4" t="s">
        <v>382</v>
      </c>
      <c r="M632" s="4" t="s">
        <v>43</v>
      </c>
      <c r="N632" s="4" t="s">
        <v>185</v>
      </c>
      <c r="O632" s="4" t="s">
        <v>1947</v>
      </c>
      <c r="P632" s="4" t="s">
        <v>46</v>
      </c>
    </row>
    <row r="633" customFormat="false" ht="15" hidden="false" customHeight="false" outlineLevel="0" collapsed="false">
      <c r="A633" s="4" t="s">
        <v>1948</v>
      </c>
      <c r="B633" s="4" t="s">
        <v>1949</v>
      </c>
      <c r="C633" s="4" t="s">
        <v>1648</v>
      </c>
      <c r="D633" s="4" t="s">
        <v>1649</v>
      </c>
      <c r="E633" s="4" t="s">
        <v>627</v>
      </c>
      <c r="F633" s="4" t="s">
        <v>42</v>
      </c>
      <c r="G633" s="4" t="s">
        <v>38</v>
      </c>
      <c r="H633" s="4" t="n">
        <v>1</v>
      </c>
      <c r="I633" s="4" t="s">
        <v>912</v>
      </c>
      <c r="J633" s="4" t="s">
        <v>81</v>
      </c>
      <c r="K633" s="4" t="s">
        <v>1950</v>
      </c>
      <c r="L633" s="4" t="s">
        <v>480</v>
      </c>
      <c r="M633" s="4" t="s">
        <v>43</v>
      </c>
      <c r="N633" s="4" t="s">
        <v>44</v>
      </c>
      <c r="O633" s="4" t="s">
        <v>1951</v>
      </c>
      <c r="P633" s="4" t="s">
        <v>46</v>
      </c>
    </row>
    <row r="634" customFormat="false" ht="15" hidden="false" customHeight="false" outlineLevel="0" collapsed="false">
      <c r="A634" s="4" t="s">
        <v>1952</v>
      </c>
      <c r="B634" s="4" t="s">
        <v>1949</v>
      </c>
      <c r="C634" s="4" t="s">
        <v>1648</v>
      </c>
      <c r="D634" s="4" t="s">
        <v>1649</v>
      </c>
      <c r="E634" s="4" t="s">
        <v>627</v>
      </c>
      <c r="F634" s="4" t="s">
        <v>58</v>
      </c>
      <c r="G634" s="4" t="s">
        <v>59</v>
      </c>
      <c r="H634" s="4" t="n">
        <v>4</v>
      </c>
      <c r="I634" s="4" t="s">
        <v>1573</v>
      </c>
      <c r="J634" s="4" t="s">
        <v>81</v>
      </c>
      <c r="K634" s="4" t="s">
        <v>157</v>
      </c>
      <c r="L634" s="4" t="s">
        <v>42</v>
      </c>
      <c r="M634" s="4" t="s">
        <v>43</v>
      </c>
      <c r="N634" s="4" t="s">
        <v>44</v>
      </c>
      <c r="O634" s="4" t="s">
        <v>158</v>
      </c>
      <c r="P634" s="4" t="s">
        <v>46</v>
      </c>
    </row>
    <row r="635" customFormat="false" ht="15" hidden="false" customHeight="false" outlineLevel="0" collapsed="false">
      <c r="A635" s="4" t="s">
        <v>1953</v>
      </c>
      <c r="B635" s="4" t="s">
        <v>1954</v>
      </c>
      <c r="C635" s="4" t="s">
        <v>1648</v>
      </c>
      <c r="D635" s="4" t="s">
        <v>1649</v>
      </c>
      <c r="E635" s="4" t="s">
        <v>627</v>
      </c>
      <c r="F635" s="4" t="s">
        <v>42</v>
      </c>
      <c r="G635" s="4" t="s">
        <v>59</v>
      </c>
      <c r="H635" s="4" t="n">
        <v>3</v>
      </c>
      <c r="I635" s="4" t="s">
        <v>540</v>
      </c>
      <c r="J635" s="4" t="s">
        <v>149</v>
      </c>
      <c r="K635" s="4" t="s">
        <v>1272</v>
      </c>
      <c r="L635" s="4" t="s">
        <v>42</v>
      </c>
      <c r="M635" s="4" t="s">
        <v>43</v>
      </c>
      <c r="N635" s="4" t="s">
        <v>44</v>
      </c>
      <c r="O635" s="4" t="s">
        <v>1273</v>
      </c>
      <c r="P635" s="4" t="s">
        <v>46</v>
      </c>
    </row>
    <row r="636" customFormat="false" ht="15" hidden="false" customHeight="false" outlineLevel="0" collapsed="false">
      <c r="A636" s="4" t="s">
        <v>1955</v>
      </c>
      <c r="B636" s="4" t="s">
        <v>1956</v>
      </c>
      <c r="C636" s="4" t="s">
        <v>1648</v>
      </c>
      <c r="D636" s="4" t="s">
        <v>1649</v>
      </c>
      <c r="E636" s="4" t="s">
        <v>613</v>
      </c>
      <c r="F636" s="4" t="s">
        <v>42</v>
      </c>
      <c r="G636" s="4" t="s">
        <v>38</v>
      </c>
      <c r="H636" s="4" t="n">
        <v>1</v>
      </c>
      <c r="I636" s="4" t="s">
        <v>701</v>
      </c>
      <c r="J636" s="4" t="s">
        <v>81</v>
      </c>
      <c r="K636" s="4" t="s">
        <v>1957</v>
      </c>
      <c r="L636" s="4" t="s">
        <v>455</v>
      </c>
      <c r="M636" s="4" t="s">
        <v>456</v>
      </c>
      <c r="N636" s="4" t="s">
        <v>44</v>
      </c>
      <c r="O636" s="4" t="s">
        <v>1958</v>
      </c>
      <c r="P636" s="4" t="s">
        <v>46</v>
      </c>
    </row>
    <row r="637" customFormat="false" ht="15" hidden="false" customHeight="false" outlineLevel="0" collapsed="false">
      <c r="A637" s="4" t="s">
        <v>1959</v>
      </c>
      <c r="B637" s="4" t="s">
        <v>1956</v>
      </c>
      <c r="C637" s="4" t="s">
        <v>1956</v>
      </c>
      <c r="D637" s="4" t="s">
        <v>35</v>
      </c>
      <c r="E637" s="4" t="s">
        <v>49</v>
      </c>
      <c r="F637" s="4" t="s">
        <v>37</v>
      </c>
      <c r="G637" s="4" t="s">
        <v>38</v>
      </c>
      <c r="H637" s="4" t="n">
        <v>2</v>
      </c>
      <c r="I637" s="4" t="s">
        <v>50</v>
      </c>
      <c r="J637" s="4" t="s">
        <v>40</v>
      </c>
      <c r="K637" s="4" t="s">
        <v>1823</v>
      </c>
      <c r="L637" s="4" t="s">
        <v>480</v>
      </c>
      <c r="M637" s="4" t="s">
        <v>43</v>
      </c>
      <c r="N637" s="4" t="s">
        <v>44</v>
      </c>
      <c r="O637" s="4" t="s">
        <v>1824</v>
      </c>
      <c r="P637" s="4" t="s">
        <v>46</v>
      </c>
    </row>
    <row r="638" customFormat="false" ht="15" hidden="false" customHeight="false" outlineLevel="0" collapsed="false">
      <c r="A638" s="4" t="s">
        <v>1960</v>
      </c>
      <c r="B638" s="4" t="s">
        <v>1961</v>
      </c>
      <c r="C638" s="4" t="s">
        <v>1648</v>
      </c>
      <c r="D638" s="4" t="s">
        <v>1649</v>
      </c>
      <c r="E638" s="4" t="s">
        <v>627</v>
      </c>
      <c r="F638" s="4" t="s">
        <v>42</v>
      </c>
      <c r="G638" s="4" t="s">
        <v>59</v>
      </c>
      <c r="H638" s="4" t="n">
        <v>2</v>
      </c>
      <c r="I638" s="4" t="s">
        <v>1894</v>
      </c>
      <c r="J638" s="4" t="s">
        <v>149</v>
      </c>
      <c r="K638" s="4" t="s">
        <v>1167</v>
      </c>
      <c r="L638" s="4" t="s">
        <v>37</v>
      </c>
      <c r="M638" s="4" t="s">
        <v>133</v>
      </c>
      <c r="N638" s="4" t="s">
        <v>52</v>
      </c>
      <c r="O638" s="4" t="s">
        <v>1168</v>
      </c>
      <c r="P638" s="4" t="s">
        <v>46</v>
      </c>
    </row>
    <row r="639" customFormat="false" ht="15" hidden="false" customHeight="false" outlineLevel="0" collapsed="false">
      <c r="A639" s="4" t="s">
        <v>1962</v>
      </c>
      <c r="B639" s="4" t="s">
        <v>1961</v>
      </c>
      <c r="C639" s="4" t="s">
        <v>1648</v>
      </c>
      <c r="D639" s="4" t="s">
        <v>1649</v>
      </c>
      <c r="E639" s="4" t="s">
        <v>627</v>
      </c>
      <c r="F639" s="4" t="s">
        <v>128</v>
      </c>
      <c r="G639" s="4" t="s">
        <v>38</v>
      </c>
      <c r="H639" s="4" t="n">
        <v>4</v>
      </c>
      <c r="I639" s="4" t="s">
        <v>1730</v>
      </c>
      <c r="J639" s="4" t="s">
        <v>68</v>
      </c>
      <c r="K639" s="4" t="s">
        <v>501</v>
      </c>
      <c r="L639" s="4" t="s">
        <v>42</v>
      </c>
      <c r="M639" s="4" t="s">
        <v>43</v>
      </c>
      <c r="N639" s="4" t="s">
        <v>94</v>
      </c>
      <c r="O639" s="4" t="s">
        <v>502</v>
      </c>
      <c r="P639" s="4" t="s">
        <v>46</v>
      </c>
    </row>
    <row r="640" customFormat="false" ht="15" hidden="false" customHeight="false" outlineLevel="0" collapsed="false">
      <c r="A640" s="4" t="s">
        <v>1963</v>
      </c>
      <c r="B640" s="4" t="s">
        <v>1964</v>
      </c>
      <c r="C640" s="4" t="s">
        <v>1648</v>
      </c>
      <c r="D640" s="4" t="s">
        <v>1649</v>
      </c>
      <c r="E640" s="4" t="s">
        <v>761</v>
      </c>
      <c r="F640" s="4" t="s">
        <v>42</v>
      </c>
      <c r="G640" s="4" t="s">
        <v>38</v>
      </c>
      <c r="H640" s="4" t="n">
        <v>1</v>
      </c>
      <c r="I640" s="4" t="s">
        <v>1287</v>
      </c>
      <c r="J640" s="4" t="s">
        <v>68</v>
      </c>
      <c r="K640" s="4" t="s">
        <v>184</v>
      </c>
      <c r="L640" s="4" t="s">
        <v>42</v>
      </c>
      <c r="M640" s="4" t="s">
        <v>43</v>
      </c>
      <c r="N640" s="4" t="s">
        <v>52</v>
      </c>
      <c r="O640" s="4" t="s">
        <v>186</v>
      </c>
      <c r="P640" s="4" t="s">
        <v>46</v>
      </c>
    </row>
    <row r="641" customFormat="false" ht="15" hidden="false" customHeight="false" outlineLevel="0" collapsed="false">
      <c r="A641" s="4" t="s">
        <v>1965</v>
      </c>
      <c r="B641" s="4" t="s">
        <v>1964</v>
      </c>
      <c r="C641" s="4" t="s">
        <v>1966</v>
      </c>
      <c r="D641" s="4" t="s">
        <v>35</v>
      </c>
      <c r="E641" s="4" t="s">
        <v>36</v>
      </c>
      <c r="F641" s="4" t="s">
        <v>37</v>
      </c>
      <c r="G641" s="4" t="s">
        <v>59</v>
      </c>
      <c r="H641" s="4" t="n">
        <v>2</v>
      </c>
      <c r="I641" s="4" t="s">
        <v>124</v>
      </c>
      <c r="J641" s="4" t="s">
        <v>40</v>
      </c>
      <c r="K641" s="4" t="s">
        <v>115</v>
      </c>
      <c r="L641" s="4" t="s">
        <v>42</v>
      </c>
      <c r="M641" s="4" t="s">
        <v>43</v>
      </c>
      <c r="N641" s="4" t="s">
        <v>44</v>
      </c>
      <c r="O641" s="4" t="s">
        <v>116</v>
      </c>
      <c r="P641" s="4" t="s">
        <v>46</v>
      </c>
    </row>
    <row r="642" customFormat="false" ht="15" hidden="false" customHeight="false" outlineLevel="0" collapsed="false">
      <c r="A642" s="4" t="s">
        <v>1967</v>
      </c>
      <c r="B642" s="4" t="s">
        <v>1966</v>
      </c>
      <c r="C642" s="4" t="s">
        <v>1648</v>
      </c>
      <c r="D642" s="4" t="s">
        <v>1649</v>
      </c>
      <c r="E642" s="4" t="s">
        <v>627</v>
      </c>
      <c r="F642" s="4" t="s">
        <v>42</v>
      </c>
      <c r="G642" s="4" t="s">
        <v>38</v>
      </c>
      <c r="H642" s="4" t="n">
        <v>4</v>
      </c>
      <c r="I642" s="4" t="s">
        <v>1968</v>
      </c>
      <c r="J642" s="4" t="s">
        <v>40</v>
      </c>
      <c r="K642" s="4" t="s">
        <v>179</v>
      </c>
      <c r="L642" s="4" t="s">
        <v>42</v>
      </c>
      <c r="M642" s="4" t="s">
        <v>133</v>
      </c>
      <c r="N642" s="4" t="s">
        <v>94</v>
      </c>
      <c r="O642" s="4" t="s">
        <v>180</v>
      </c>
      <c r="P642" s="4" t="s">
        <v>46</v>
      </c>
    </row>
    <row r="643" customFormat="false" ht="15" hidden="false" customHeight="false" outlineLevel="0" collapsed="false">
      <c r="A643" s="4" t="s">
        <v>1969</v>
      </c>
      <c r="B643" s="4" t="s">
        <v>1966</v>
      </c>
      <c r="C643" s="4" t="s">
        <v>1970</v>
      </c>
      <c r="D643" s="4" t="s">
        <v>35</v>
      </c>
      <c r="E643" s="4" t="s">
        <v>57</v>
      </c>
      <c r="F643" s="4" t="s">
        <v>42</v>
      </c>
      <c r="G643" s="4" t="s">
        <v>59</v>
      </c>
      <c r="H643" s="4" t="n">
        <v>2</v>
      </c>
      <c r="I643" s="4" t="s">
        <v>138</v>
      </c>
      <c r="J643" s="4" t="s">
        <v>81</v>
      </c>
      <c r="K643" s="4" t="s">
        <v>501</v>
      </c>
      <c r="L643" s="4" t="s">
        <v>42</v>
      </c>
      <c r="M643" s="4" t="s">
        <v>43</v>
      </c>
      <c r="N643" s="4" t="s">
        <v>44</v>
      </c>
      <c r="O643" s="4" t="s">
        <v>502</v>
      </c>
      <c r="P643" s="4" t="s">
        <v>46</v>
      </c>
    </row>
    <row r="644" customFormat="false" ht="15" hidden="false" customHeight="false" outlineLevel="0" collapsed="false">
      <c r="A644" s="4" t="s">
        <v>1971</v>
      </c>
      <c r="B644" s="4" t="s">
        <v>1970</v>
      </c>
      <c r="C644" s="4" t="s">
        <v>1648</v>
      </c>
      <c r="D644" s="4" t="s">
        <v>1649</v>
      </c>
      <c r="E644" s="4" t="s">
        <v>761</v>
      </c>
      <c r="F644" s="4" t="s">
        <v>70</v>
      </c>
      <c r="G644" s="4" t="s">
        <v>38</v>
      </c>
      <c r="H644" s="4" t="n">
        <v>4</v>
      </c>
      <c r="I644" s="4" t="s">
        <v>1972</v>
      </c>
      <c r="J644" s="4" t="s">
        <v>40</v>
      </c>
      <c r="K644" s="4" t="s">
        <v>198</v>
      </c>
      <c r="L644" s="4" t="s">
        <v>42</v>
      </c>
      <c r="M644" s="4" t="s">
        <v>43</v>
      </c>
      <c r="N644" s="4" t="s">
        <v>44</v>
      </c>
      <c r="O644" s="4" t="s">
        <v>199</v>
      </c>
      <c r="P644" s="4" t="s">
        <v>46</v>
      </c>
    </row>
    <row r="645" customFormat="false" ht="15" hidden="false" customHeight="false" outlineLevel="0" collapsed="false">
      <c r="A645" s="4" t="s">
        <v>1973</v>
      </c>
      <c r="B645" s="4" t="s">
        <v>1970</v>
      </c>
      <c r="C645" s="4" t="s">
        <v>1648</v>
      </c>
      <c r="D645" s="4" t="s">
        <v>1649</v>
      </c>
      <c r="E645" s="4" t="s">
        <v>649</v>
      </c>
      <c r="F645" s="4" t="s">
        <v>42</v>
      </c>
      <c r="G645" s="4" t="s">
        <v>59</v>
      </c>
      <c r="H645" s="4" t="n">
        <v>3</v>
      </c>
      <c r="I645" s="4" t="s">
        <v>1571</v>
      </c>
      <c r="J645" s="4" t="s">
        <v>40</v>
      </c>
      <c r="K645" s="4" t="s">
        <v>1974</v>
      </c>
      <c r="L645" s="4" t="s">
        <v>988</v>
      </c>
      <c r="M645" s="4" t="s">
        <v>737</v>
      </c>
      <c r="N645" s="4" t="s">
        <v>52</v>
      </c>
      <c r="O645" s="4" t="s">
        <v>1975</v>
      </c>
      <c r="P645" s="4" t="s">
        <v>46</v>
      </c>
    </row>
    <row r="646" customFormat="false" ht="15" hidden="false" customHeight="false" outlineLevel="0" collapsed="false">
      <c r="A646" s="4" t="s">
        <v>1948</v>
      </c>
      <c r="B646" s="4" t="s">
        <v>1949</v>
      </c>
      <c r="C646" s="4" t="s">
        <v>1648</v>
      </c>
      <c r="D646" s="4" t="s">
        <v>1649</v>
      </c>
      <c r="E646" s="4" t="s">
        <v>627</v>
      </c>
      <c r="F646" s="4" t="s">
        <v>42</v>
      </c>
      <c r="G646" s="4" t="s">
        <v>38</v>
      </c>
      <c r="H646" s="4" t="n">
        <v>1</v>
      </c>
      <c r="I646" s="4" t="s">
        <v>912</v>
      </c>
      <c r="J646" s="4" t="s">
        <v>81</v>
      </c>
      <c r="K646" s="4" t="s">
        <v>1950</v>
      </c>
      <c r="L646" s="4" t="s">
        <v>480</v>
      </c>
      <c r="M646" s="4" t="s">
        <v>43</v>
      </c>
      <c r="N646" s="4" t="s">
        <v>44</v>
      </c>
      <c r="O646" s="4" t="s">
        <v>1951</v>
      </c>
      <c r="P646" s="4" t="s">
        <v>46</v>
      </c>
    </row>
    <row r="647" customFormat="false" ht="15" hidden="false" customHeight="false" outlineLevel="0" collapsed="false">
      <c r="A647" s="4" t="s">
        <v>1976</v>
      </c>
      <c r="B647" s="4" t="s">
        <v>1977</v>
      </c>
      <c r="C647" s="4" t="s">
        <v>1648</v>
      </c>
      <c r="D647" s="4" t="s">
        <v>1649</v>
      </c>
      <c r="E647" s="4" t="s">
        <v>627</v>
      </c>
      <c r="F647" s="4" t="s">
        <v>37</v>
      </c>
      <c r="G647" s="4" t="s">
        <v>326</v>
      </c>
      <c r="H647" s="4" t="n">
        <v>1</v>
      </c>
      <c r="I647" s="4" t="s">
        <v>1978</v>
      </c>
      <c r="J647" s="4" t="s">
        <v>40</v>
      </c>
      <c r="K647" s="4" t="s">
        <v>1979</v>
      </c>
      <c r="L647" s="4" t="s">
        <v>37</v>
      </c>
      <c r="M647" s="4" t="s">
        <v>43</v>
      </c>
      <c r="N647" s="4" t="s">
        <v>94</v>
      </c>
      <c r="O647" s="4" t="s">
        <v>1980</v>
      </c>
      <c r="P647" s="4" t="s">
        <v>46</v>
      </c>
    </row>
    <row r="648" customFormat="false" ht="15" hidden="false" customHeight="false" outlineLevel="0" collapsed="false">
      <c r="A648" s="4" t="s">
        <v>1981</v>
      </c>
      <c r="B648" s="4" t="s">
        <v>1977</v>
      </c>
      <c r="C648" s="4" t="s">
        <v>1648</v>
      </c>
      <c r="D648" s="4" t="s">
        <v>1649</v>
      </c>
      <c r="E648" s="4" t="s">
        <v>761</v>
      </c>
      <c r="F648" s="4" t="s">
        <v>128</v>
      </c>
      <c r="G648" s="4" t="s">
        <v>38</v>
      </c>
      <c r="H648" s="4" t="n">
        <v>3</v>
      </c>
      <c r="I648" s="4" t="s">
        <v>813</v>
      </c>
      <c r="J648" s="4" t="s">
        <v>40</v>
      </c>
      <c r="K648" s="4" t="s">
        <v>1982</v>
      </c>
      <c r="L648" s="4" t="s">
        <v>364</v>
      </c>
      <c r="M648" s="4" t="s">
        <v>365</v>
      </c>
      <c r="N648" s="4" t="s">
        <v>52</v>
      </c>
      <c r="O648" s="4" t="s">
        <v>1983</v>
      </c>
      <c r="P648" s="4" t="s">
        <v>46</v>
      </c>
    </row>
    <row r="649" customFormat="false" ht="15" hidden="false" customHeight="false" outlineLevel="0" collapsed="false">
      <c r="A649" s="4" t="s">
        <v>1984</v>
      </c>
      <c r="B649" s="4" t="s">
        <v>1985</v>
      </c>
      <c r="C649" s="4" t="s">
        <v>1985</v>
      </c>
      <c r="D649" s="4" t="s">
        <v>35</v>
      </c>
      <c r="E649" s="4" t="s">
        <v>66</v>
      </c>
      <c r="F649" s="4" t="s">
        <v>58</v>
      </c>
      <c r="G649" s="4" t="s">
        <v>38</v>
      </c>
      <c r="H649" s="4" t="n">
        <v>1</v>
      </c>
      <c r="I649" s="4" t="s">
        <v>50</v>
      </c>
      <c r="J649" s="4" t="s">
        <v>40</v>
      </c>
      <c r="K649" s="4" t="s">
        <v>132</v>
      </c>
      <c r="L649" s="4" t="s">
        <v>168</v>
      </c>
      <c r="M649" s="4" t="s">
        <v>43</v>
      </c>
      <c r="N649" s="4" t="s">
        <v>52</v>
      </c>
      <c r="O649" s="4" t="s">
        <v>134</v>
      </c>
      <c r="P649" s="4" t="s">
        <v>46</v>
      </c>
    </row>
    <row r="650" customFormat="false" ht="15" hidden="false" customHeight="false" outlineLevel="0" collapsed="false">
      <c r="A650" s="4" t="s">
        <v>1986</v>
      </c>
      <c r="B650" s="4" t="s">
        <v>1987</v>
      </c>
      <c r="C650" s="4" t="s">
        <v>1648</v>
      </c>
      <c r="D650" s="4" t="s">
        <v>1649</v>
      </c>
      <c r="E650" s="4" t="s">
        <v>627</v>
      </c>
      <c r="F650" s="4" t="s">
        <v>42</v>
      </c>
      <c r="G650" s="4" t="s">
        <v>38</v>
      </c>
      <c r="H650" s="4" t="n">
        <v>1</v>
      </c>
      <c r="I650" s="4" t="s">
        <v>1111</v>
      </c>
      <c r="J650" s="4" t="s">
        <v>40</v>
      </c>
      <c r="K650" s="4" t="s">
        <v>814</v>
      </c>
      <c r="L650" s="4" t="s">
        <v>42</v>
      </c>
      <c r="M650" s="4" t="s">
        <v>43</v>
      </c>
      <c r="N650" s="4" t="s">
        <v>44</v>
      </c>
      <c r="O650" s="4" t="s">
        <v>815</v>
      </c>
      <c r="P650" s="4" t="s">
        <v>46</v>
      </c>
    </row>
    <row r="651" customFormat="false" ht="15" hidden="false" customHeight="false" outlineLevel="0" collapsed="false">
      <c r="A651" s="4" t="s">
        <v>1988</v>
      </c>
      <c r="B651" s="4" t="s">
        <v>1989</v>
      </c>
      <c r="C651" s="4" t="s">
        <v>1648</v>
      </c>
      <c r="D651" s="4" t="s">
        <v>1649</v>
      </c>
      <c r="E651" s="4" t="s">
        <v>613</v>
      </c>
      <c r="F651" s="4" t="s">
        <v>128</v>
      </c>
      <c r="G651" s="4" t="s">
        <v>326</v>
      </c>
      <c r="H651" s="4" t="n">
        <v>3</v>
      </c>
      <c r="I651" s="4" t="s">
        <v>1990</v>
      </c>
      <c r="J651" s="4" t="s">
        <v>40</v>
      </c>
      <c r="K651" s="4" t="s">
        <v>1991</v>
      </c>
      <c r="L651" s="4" t="s">
        <v>994</v>
      </c>
      <c r="M651" s="4" t="s">
        <v>334</v>
      </c>
      <c r="N651" s="4" t="s">
        <v>44</v>
      </c>
      <c r="O651" s="4" t="s">
        <v>1992</v>
      </c>
      <c r="P651" s="4" t="s">
        <v>46</v>
      </c>
    </row>
    <row r="652" customFormat="false" ht="15" hidden="false" customHeight="false" outlineLevel="0" collapsed="false">
      <c r="A652" s="4" t="s">
        <v>1993</v>
      </c>
      <c r="B652" s="4" t="s">
        <v>1994</v>
      </c>
      <c r="C652" s="4" t="s">
        <v>1648</v>
      </c>
      <c r="D652" s="4" t="s">
        <v>1649</v>
      </c>
      <c r="E652" s="4" t="s">
        <v>627</v>
      </c>
      <c r="F652" s="4" t="s">
        <v>42</v>
      </c>
      <c r="G652" s="4" t="s">
        <v>59</v>
      </c>
      <c r="H652" s="4" t="n">
        <v>1</v>
      </c>
      <c r="I652" s="4" t="s">
        <v>349</v>
      </c>
      <c r="J652" s="4" t="s">
        <v>40</v>
      </c>
      <c r="K652" s="4" t="s">
        <v>1574</v>
      </c>
      <c r="L652" s="4" t="s">
        <v>42</v>
      </c>
      <c r="M652" s="4" t="s">
        <v>43</v>
      </c>
      <c r="N652" s="4" t="s">
        <v>52</v>
      </c>
      <c r="O652" s="4" t="s">
        <v>1575</v>
      </c>
      <c r="P652" s="4" t="s">
        <v>46</v>
      </c>
    </row>
    <row r="653" customFormat="false" ht="1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 t="s">
        <v>46</v>
      </c>
    </row>
    <row r="654" customFormat="false" ht="15" hidden="false" customHeight="false" outlineLevel="0" collapsed="false">
      <c r="A654" s="4" t="s">
        <v>1995</v>
      </c>
      <c r="B654" s="4" t="s">
        <v>1994</v>
      </c>
      <c r="C654" s="4" t="s">
        <v>1648</v>
      </c>
      <c r="D654" s="4" t="s">
        <v>1649</v>
      </c>
      <c r="E654" s="4" t="s">
        <v>627</v>
      </c>
      <c r="F654" s="4" t="s">
        <v>42</v>
      </c>
      <c r="G654" s="4" t="s">
        <v>38</v>
      </c>
      <c r="H654" s="4" t="n">
        <v>2</v>
      </c>
      <c r="I654" s="4" t="s">
        <v>689</v>
      </c>
      <c r="J654" s="4" t="s">
        <v>68</v>
      </c>
      <c r="K654" s="4" t="s">
        <v>1996</v>
      </c>
      <c r="L654" s="4" t="s">
        <v>382</v>
      </c>
      <c r="M654" s="4" t="s">
        <v>43</v>
      </c>
      <c r="N654" s="4" t="s">
        <v>44</v>
      </c>
      <c r="O654" s="4" t="s">
        <v>1997</v>
      </c>
      <c r="P654" s="4" t="s">
        <v>46</v>
      </c>
    </row>
    <row r="655" customFormat="false" ht="15" hidden="false" customHeight="false" outlineLevel="0" collapsed="false">
      <c r="A655" s="4" t="s">
        <v>1998</v>
      </c>
      <c r="B655" s="4" t="s">
        <v>1999</v>
      </c>
      <c r="C655" s="4" t="s">
        <v>1648</v>
      </c>
      <c r="D655" s="4" t="s">
        <v>1649</v>
      </c>
      <c r="E655" s="4" t="s">
        <v>613</v>
      </c>
      <c r="F655" s="4" t="s">
        <v>58</v>
      </c>
      <c r="G655" s="4" t="s">
        <v>38</v>
      </c>
      <c r="H655" s="4" t="n">
        <v>1</v>
      </c>
      <c r="I655" s="4" t="s">
        <v>497</v>
      </c>
      <c r="J655" s="4" t="s">
        <v>149</v>
      </c>
      <c r="K655" s="4" t="s">
        <v>620</v>
      </c>
      <c r="L655" s="4" t="s">
        <v>168</v>
      </c>
      <c r="M655" s="4" t="s">
        <v>43</v>
      </c>
      <c r="N655" s="4" t="s">
        <v>44</v>
      </c>
      <c r="O655" s="4" t="s">
        <v>621</v>
      </c>
      <c r="P655" s="4" t="s">
        <v>46</v>
      </c>
    </row>
    <row r="656" customFormat="false" ht="15" hidden="false" customHeight="false" outlineLevel="0" collapsed="false">
      <c r="A656" s="4" t="s">
        <v>2000</v>
      </c>
      <c r="B656" s="4" t="s">
        <v>2001</v>
      </c>
      <c r="C656" s="4" t="s">
        <v>1648</v>
      </c>
      <c r="D656" s="4" t="s">
        <v>1649</v>
      </c>
      <c r="E656" s="4" t="s">
        <v>627</v>
      </c>
      <c r="F656" s="4" t="s">
        <v>42</v>
      </c>
      <c r="G656" s="4" t="s">
        <v>38</v>
      </c>
      <c r="H656" s="4" t="n">
        <v>2</v>
      </c>
      <c r="I656" s="4" t="s">
        <v>1730</v>
      </c>
      <c r="J656" s="4" t="s">
        <v>40</v>
      </c>
      <c r="K656" s="4" t="s">
        <v>261</v>
      </c>
      <c r="L656" s="4" t="s">
        <v>42</v>
      </c>
      <c r="M656" s="4" t="s">
        <v>43</v>
      </c>
      <c r="N656" s="4" t="s">
        <v>44</v>
      </c>
      <c r="O656" s="4" t="s">
        <v>262</v>
      </c>
      <c r="P656" s="4" t="s">
        <v>46</v>
      </c>
    </row>
    <row r="657" customFormat="false" ht="15" hidden="false" customHeight="false" outlineLevel="0" collapsed="false">
      <c r="A657" s="4" t="s">
        <v>2002</v>
      </c>
      <c r="B657" s="4" t="s">
        <v>2001</v>
      </c>
      <c r="C657" s="4" t="s">
        <v>1648</v>
      </c>
      <c r="D657" s="4" t="s">
        <v>1649</v>
      </c>
      <c r="E657" s="4" t="s">
        <v>627</v>
      </c>
      <c r="F657" s="4" t="s">
        <v>42</v>
      </c>
      <c r="G657" s="4" t="s">
        <v>38</v>
      </c>
      <c r="H657" s="4" t="n">
        <v>2</v>
      </c>
      <c r="I657" s="4" t="s">
        <v>1196</v>
      </c>
      <c r="J657" s="4" t="s">
        <v>40</v>
      </c>
      <c r="K657" s="4" t="s">
        <v>2003</v>
      </c>
      <c r="L657" s="4" t="s">
        <v>219</v>
      </c>
      <c r="M657" s="4" t="s">
        <v>356</v>
      </c>
      <c r="N657" s="4" t="s">
        <v>768</v>
      </c>
      <c r="O657" s="4"/>
      <c r="P657" s="4" t="s">
        <v>46</v>
      </c>
    </row>
    <row r="658" customFormat="false" ht="15" hidden="false" customHeight="false" outlineLevel="0" collapsed="false">
      <c r="A658" s="4" t="s">
        <v>2004</v>
      </c>
      <c r="B658" s="4" t="s">
        <v>2001</v>
      </c>
      <c r="C658" s="4" t="s">
        <v>1648</v>
      </c>
      <c r="D658" s="4" t="s">
        <v>1649</v>
      </c>
      <c r="E658" s="4" t="s">
        <v>627</v>
      </c>
      <c r="F658" s="4" t="s">
        <v>42</v>
      </c>
      <c r="G658" s="4" t="s">
        <v>38</v>
      </c>
      <c r="H658" s="4" t="n">
        <v>1</v>
      </c>
      <c r="I658" s="4" t="s">
        <v>1666</v>
      </c>
      <c r="J658" s="4" t="s">
        <v>40</v>
      </c>
      <c r="K658" s="4" t="s">
        <v>2005</v>
      </c>
      <c r="L658" s="4" t="s">
        <v>480</v>
      </c>
      <c r="M658" s="4" t="s">
        <v>43</v>
      </c>
      <c r="N658" s="4" t="s">
        <v>44</v>
      </c>
      <c r="O658" s="4" t="s">
        <v>2006</v>
      </c>
      <c r="P658" s="4" t="s">
        <v>46</v>
      </c>
    </row>
    <row r="659" customFormat="false" ht="15" hidden="false" customHeight="false" outlineLevel="0" collapsed="false">
      <c r="A659" s="4" t="s">
        <v>2007</v>
      </c>
      <c r="B659" s="4" t="s">
        <v>2001</v>
      </c>
      <c r="C659" s="4" t="s">
        <v>1648</v>
      </c>
      <c r="D659" s="4" t="s">
        <v>1649</v>
      </c>
      <c r="E659" s="4" t="s">
        <v>649</v>
      </c>
      <c r="F659" s="4" t="s">
        <v>42</v>
      </c>
      <c r="G659" s="4" t="s">
        <v>326</v>
      </c>
      <c r="H659" s="4" t="n">
        <v>1</v>
      </c>
      <c r="I659" s="4" t="s">
        <v>1095</v>
      </c>
      <c r="J659" s="4" t="s">
        <v>68</v>
      </c>
      <c r="K659" s="4" t="s">
        <v>2008</v>
      </c>
      <c r="L659" s="4" t="s">
        <v>364</v>
      </c>
      <c r="M659" s="4" t="s">
        <v>365</v>
      </c>
      <c r="N659" s="4" t="s">
        <v>44</v>
      </c>
      <c r="O659" s="4" t="s">
        <v>2009</v>
      </c>
      <c r="P659" s="4" t="s">
        <v>46</v>
      </c>
    </row>
    <row r="660" customFormat="false" ht="15" hidden="false" customHeight="false" outlineLevel="0" collapsed="false">
      <c r="A660" s="4" t="s">
        <v>2010</v>
      </c>
      <c r="B660" s="4" t="s">
        <v>2011</v>
      </c>
      <c r="C660" s="4" t="s">
        <v>1648</v>
      </c>
      <c r="D660" s="4" t="s">
        <v>1649</v>
      </c>
      <c r="E660" s="4" t="s">
        <v>627</v>
      </c>
      <c r="F660" s="4" t="s">
        <v>42</v>
      </c>
      <c r="G660" s="4" t="s">
        <v>38</v>
      </c>
      <c r="H660" s="4" t="n">
        <v>4</v>
      </c>
      <c r="I660" s="4" t="s">
        <v>2012</v>
      </c>
      <c r="J660" s="4" t="s">
        <v>40</v>
      </c>
      <c r="K660" s="4" t="s">
        <v>173</v>
      </c>
      <c r="L660" s="4" t="s">
        <v>42</v>
      </c>
      <c r="M660" s="4" t="s">
        <v>43</v>
      </c>
      <c r="N660" s="4" t="s">
        <v>44</v>
      </c>
      <c r="O660" s="4" t="s">
        <v>174</v>
      </c>
      <c r="P660" s="4" t="s">
        <v>46</v>
      </c>
    </row>
    <row r="661" customFormat="false" ht="15" hidden="false" customHeight="false" outlineLevel="0" collapsed="false">
      <c r="A661" s="4" t="s">
        <v>2013</v>
      </c>
      <c r="B661" s="4" t="s">
        <v>2014</v>
      </c>
      <c r="C661" s="4" t="s">
        <v>1648</v>
      </c>
      <c r="D661" s="4" t="s">
        <v>1649</v>
      </c>
      <c r="E661" s="4" t="s">
        <v>627</v>
      </c>
      <c r="F661" s="4" t="s">
        <v>42</v>
      </c>
      <c r="G661" s="4" t="s">
        <v>59</v>
      </c>
      <c r="H661" s="4" t="n">
        <v>2</v>
      </c>
      <c r="I661" s="4" t="s">
        <v>353</v>
      </c>
      <c r="J661" s="4" t="s">
        <v>40</v>
      </c>
      <c r="K661" s="4" t="s">
        <v>2015</v>
      </c>
      <c r="L661" s="4" t="s">
        <v>432</v>
      </c>
      <c r="M661" s="4" t="s">
        <v>356</v>
      </c>
      <c r="N661" s="4" t="s">
        <v>433</v>
      </c>
      <c r="O661" s="4"/>
      <c r="P661" s="4" t="s">
        <v>46</v>
      </c>
    </row>
    <row r="662" customFormat="false" ht="15" hidden="false" customHeight="false" outlineLevel="0" collapsed="false">
      <c r="A662" s="4" t="s">
        <v>2016</v>
      </c>
      <c r="B662" s="4" t="s">
        <v>2017</v>
      </c>
      <c r="C662" s="4" t="s">
        <v>1648</v>
      </c>
      <c r="D662" s="4" t="s">
        <v>1649</v>
      </c>
      <c r="E662" s="4" t="s">
        <v>618</v>
      </c>
      <c r="F662" s="4" t="s">
        <v>42</v>
      </c>
      <c r="G662" s="4" t="s">
        <v>38</v>
      </c>
      <c r="H662" s="4" t="n">
        <v>2</v>
      </c>
      <c r="I662" s="4" t="s">
        <v>1422</v>
      </c>
      <c r="J662" s="4" t="s">
        <v>68</v>
      </c>
      <c r="K662" s="4" t="s">
        <v>1484</v>
      </c>
      <c r="L662" s="4" t="s">
        <v>432</v>
      </c>
      <c r="M662" s="4" t="s">
        <v>356</v>
      </c>
      <c r="N662" s="4" t="s">
        <v>433</v>
      </c>
      <c r="O662" s="4"/>
      <c r="P662" s="4" t="s">
        <v>46</v>
      </c>
    </row>
    <row r="663" customFormat="false" ht="15" hidden="false" customHeight="false" outlineLevel="0" collapsed="false">
      <c r="A663" s="4" t="s">
        <v>2018</v>
      </c>
      <c r="B663" s="4" t="s">
        <v>2017</v>
      </c>
      <c r="C663" s="4" t="s">
        <v>1648</v>
      </c>
      <c r="D663" s="4" t="s">
        <v>1649</v>
      </c>
      <c r="E663" s="4" t="s">
        <v>627</v>
      </c>
      <c r="F663" s="4" t="s">
        <v>42</v>
      </c>
      <c r="G663" s="4" t="s">
        <v>59</v>
      </c>
      <c r="H663" s="4" t="n">
        <v>1</v>
      </c>
      <c r="I663" s="4" t="s">
        <v>772</v>
      </c>
      <c r="J663" s="4" t="s">
        <v>40</v>
      </c>
      <c r="K663" s="4" t="s">
        <v>2019</v>
      </c>
      <c r="L663" s="4" t="s">
        <v>376</v>
      </c>
      <c r="M663" s="4" t="s">
        <v>1412</v>
      </c>
      <c r="N663" s="4" t="s">
        <v>44</v>
      </c>
      <c r="O663" s="4" t="s">
        <v>2020</v>
      </c>
      <c r="P663" s="4" t="s">
        <v>46</v>
      </c>
    </row>
    <row r="664" customFormat="false" ht="15" hidden="false" customHeight="false" outlineLevel="0" collapsed="false">
      <c r="A664" s="4" t="s">
        <v>2021</v>
      </c>
      <c r="B664" s="4" t="s">
        <v>2022</v>
      </c>
      <c r="C664" s="4" t="s">
        <v>1648</v>
      </c>
      <c r="D664" s="4" t="s">
        <v>1649</v>
      </c>
      <c r="E664" s="4" t="s">
        <v>627</v>
      </c>
      <c r="F664" s="4" t="s">
        <v>42</v>
      </c>
      <c r="G664" s="4" t="s">
        <v>38</v>
      </c>
      <c r="H664" s="4" t="n">
        <v>2</v>
      </c>
      <c r="I664" s="4" t="s">
        <v>912</v>
      </c>
      <c r="J664" s="4" t="s">
        <v>68</v>
      </c>
      <c r="K664" s="4" t="s">
        <v>2023</v>
      </c>
      <c r="L664" s="4" t="s">
        <v>42</v>
      </c>
      <c r="M664" s="4" t="s">
        <v>43</v>
      </c>
      <c r="N664" s="4" t="s">
        <v>44</v>
      </c>
      <c r="O664" s="4" t="s">
        <v>2024</v>
      </c>
      <c r="P664" s="4" t="s">
        <v>46</v>
      </c>
    </row>
    <row r="665" customFormat="false" ht="15" hidden="false" customHeight="false" outlineLevel="0" collapsed="false">
      <c r="A665" s="4" t="s">
        <v>2025</v>
      </c>
      <c r="B665" s="4" t="s">
        <v>2022</v>
      </c>
      <c r="C665" s="4" t="s">
        <v>2026</v>
      </c>
      <c r="D665" s="4" t="s">
        <v>35</v>
      </c>
      <c r="E665" s="4" t="s">
        <v>89</v>
      </c>
      <c r="F665" s="4" t="s">
        <v>42</v>
      </c>
      <c r="G665" s="4" t="s">
        <v>59</v>
      </c>
      <c r="H665" s="4" t="n">
        <v>2</v>
      </c>
      <c r="I665" s="4" t="s">
        <v>138</v>
      </c>
      <c r="J665" s="4" t="s">
        <v>68</v>
      </c>
      <c r="K665" s="4" t="s">
        <v>423</v>
      </c>
      <c r="L665" s="4" t="s">
        <v>168</v>
      </c>
      <c r="M665" s="4" t="s">
        <v>43</v>
      </c>
      <c r="N665" s="4" t="s">
        <v>44</v>
      </c>
      <c r="O665" s="4" t="s">
        <v>424</v>
      </c>
      <c r="P665" s="4" t="s">
        <v>46</v>
      </c>
    </row>
    <row r="666" customFormat="false" ht="15" hidden="false" customHeight="false" outlineLevel="0" collapsed="false">
      <c r="A666" s="4" t="s">
        <v>2027</v>
      </c>
      <c r="B666" s="4" t="s">
        <v>2022</v>
      </c>
      <c r="C666" s="4" t="s">
        <v>2028</v>
      </c>
      <c r="D666" s="4" t="s">
        <v>35</v>
      </c>
      <c r="E666" s="4" t="s">
        <v>36</v>
      </c>
      <c r="F666" s="4" t="s">
        <v>42</v>
      </c>
      <c r="G666" s="4" t="s">
        <v>38</v>
      </c>
      <c r="H666" s="4" t="n">
        <v>1</v>
      </c>
      <c r="I666" s="4" t="s">
        <v>67</v>
      </c>
      <c r="J666" s="4" t="s">
        <v>40</v>
      </c>
      <c r="K666" s="4" t="s">
        <v>1016</v>
      </c>
      <c r="L666" s="4" t="s">
        <v>42</v>
      </c>
      <c r="M666" s="4" t="s">
        <v>43</v>
      </c>
      <c r="N666" s="4" t="s">
        <v>44</v>
      </c>
      <c r="O666" s="4" t="s">
        <v>1017</v>
      </c>
      <c r="P666" s="4" t="s">
        <v>46</v>
      </c>
    </row>
    <row r="667" customFormat="false" ht="15" hidden="false" customHeight="false" outlineLevel="0" collapsed="false">
      <c r="A667" s="4" t="s">
        <v>2029</v>
      </c>
      <c r="B667" s="4" t="s">
        <v>2028</v>
      </c>
      <c r="C667" s="4" t="s">
        <v>1648</v>
      </c>
      <c r="D667" s="4" t="s">
        <v>1649</v>
      </c>
      <c r="E667" s="4" t="s">
        <v>627</v>
      </c>
      <c r="F667" s="4" t="s">
        <v>42</v>
      </c>
      <c r="G667" s="4" t="s">
        <v>59</v>
      </c>
      <c r="H667" s="4" t="n">
        <v>4</v>
      </c>
      <c r="I667" s="4" t="s">
        <v>772</v>
      </c>
      <c r="J667" s="4" t="s">
        <v>40</v>
      </c>
      <c r="K667" s="4" t="s">
        <v>1250</v>
      </c>
      <c r="L667" s="4" t="s">
        <v>42</v>
      </c>
      <c r="M667" s="4" t="s">
        <v>43</v>
      </c>
      <c r="N667" s="4" t="s">
        <v>52</v>
      </c>
      <c r="O667" s="4" t="s">
        <v>1251</v>
      </c>
      <c r="P667" s="4" t="s">
        <v>46</v>
      </c>
    </row>
    <row r="668" customFormat="false" ht="15" hidden="false" customHeight="false" outlineLevel="0" collapsed="false">
      <c r="A668" s="4" t="s">
        <v>2030</v>
      </c>
      <c r="B668" s="4" t="s">
        <v>2028</v>
      </c>
      <c r="C668" s="4" t="s">
        <v>1648</v>
      </c>
      <c r="D668" s="4" t="s">
        <v>1649</v>
      </c>
      <c r="E668" s="4" t="s">
        <v>627</v>
      </c>
      <c r="F668" s="4" t="s">
        <v>42</v>
      </c>
      <c r="G668" s="4" t="s">
        <v>38</v>
      </c>
      <c r="H668" s="4" t="n">
        <v>3</v>
      </c>
      <c r="I668" s="4" t="s">
        <v>744</v>
      </c>
      <c r="J668" s="4" t="s">
        <v>81</v>
      </c>
      <c r="K668" s="4" t="s">
        <v>229</v>
      </c>
      <c r="L668" s="4" t="s">
        <v>37</v>
      </c>
      <c r="M668" s="4" t="s">
        <v>43</v>
      </c>
      <c r="N668" s="4" t="s">
        <v>44</v>
      </c>
      <c r="O668" s="4" t="s">
        <v>230</v>
      </c>
      <c r="P668" s="4" t="s">
        <v>46</v>
      </c>
    </row>
    <row r="669" customFormat="false" ht="15" hidden="false" customHeight="false" outlineLevel="0" collapsed="false">
      <c r="A669" s="4" t="s">
        <v>2031</v>
      </c>
      <c r="B669" s="4" t="s">
        <v>2026</v>
      </c>
      <c r="C669" s="4" t="s">
        <v>1648</v>
      </c>
      <c r="D669" s="4" t="s">
        <v>1649</v>
      </c>
      <c r="E669" s="4" t="s">
        <v>627</v>
      </c>
      <c r="F669" s="4" t="s">
        <v>42</v>
      </c>
      <c r="G669" s="4" t="s">
        <v>38</v>
      </c>
      <c r="H669" s="4" t="n">
        <v>2</v>
      </c>
      <c r="I669" s="4" t="s">
        <v>885</v>
      </c>
      <c r="J669" s="4" t="s">
        <v>81</v>
      </c>
      <c r="K669" s="4" t="s">
        <v>1610</v>
      </c>
      <c r="L669" s="4" t="s">
        <v>42</v>
      </c>
      <c r="M669" s="4" t="s">
        <v>43</v>
      </c>
      <c r="N669" s="4" t="s">
        <v>44</v>
      </c>
      <c r="O669" s="4" t="s">
        <v>1611</v>
      </c>
      <c r="P669" s="4" t="s">
        <v>46</v>
      </c>
    </row>
    <row r="670" customFormat="false" ht="15" hidden="false" customHeight="false" outlineLevel="0" collapsed="false">
      <c r="A670" s="4" t="s">
        <v>2032</v>
      </c>
      <c r="B670" s="4" t="s">
        <v>2033</v>
      </c>
      <c r="C670" s="4" t="s">
        <v>1648</v>
      </c>
      <c r="D670" s="4" t="s">
        <v>1649</v>
      </c>
      <c r="E670" s="4" t="s">
        <v>649</v>
      </c>
      <c r="F670" s="4" t="s">
        <v>42</v>
      </c>
      <c r="G670" s="4" t="s">
        <v>38</v>
      </c>
      <c r="H670" s="4" t="n">
        <v>2</v>
      </c>
      <c r="I670" s="4" t="s">
        <v>1968</v>
      </c>
      <c r="J670" s="4" t="s">
        <v>40</v>
      </c>
      <c r="K670" s="4" t="s">
        <v>297</v>
      </c>
      <c r="L670" s="4" t="s">
        <v>42</v>
      </c>
      <c r="M670" s="4" t="s">
        <v>133</v>
      </c>
      <c r="N670" s="4" t="s">
        <v>94</v>
      </c>
      <c r="O670" s="4" t="s">
        <v>298</v>
      </c>
      <c r="P670" s="4" t="s">
        <v>46</v>
      </c>
    </row>
    <row r="671" customFormat="false" ht="15" hidden="false" customHeight="false" outlineLevel="0" collapsed="false">
      <c r="A671" s="4" t="s">
        <v>2034</v>
      </c>
      <c r="B671" s="4" t="s">
        <v>2033</v>
      </c>
      <c r="C671" s="4" t="s">
        <v>1648</v>
      </c>
      <c r="D671" s="4" t="s">
        <v>1649</v>
      </c>
      <c r="E671" s="4" t="s">
        <v>627</v>
      </c>
      <c r="F671" s="4" t="s">
        <v>42</v>
      </c>
      <c r="G671" s="4" t="s">
        <v>38</v>
      </c>
      <c r="H671" s="4" t="n">
        <v>4</v>
      </c>
      <c r="I671" s="4" t="s">
        <v>2035</v>
      </c>
      <c r="J671" s="4" t="s">
        <v>68</v>
      </c>
      <c r="K671" s="4" t="s">
        <v>722</v>
      </c>
      <c r="L671" s="4" t="s">
        <v>42</v>
      </c>
      <c r="M671" s="4" t="s">
        <v>43</v>
      </c>
      <c r="N671" s="4" t="s">
        <v>44</v>
      </c>
      <c r="O671" s="4" t="s">
        <v>723</v>
      </c>
      <c r="P671" s="4" t="s">
        <v>46</v>
      </c>
    </row>
    <row r="672" customFormat="false" ht="15" hidden="false" customHeight="false" outlineLevel="0" collapsed="false">
      <c r="A672" s="4" t="s">
        <v>2036</v>
      </c>
      <c r="B672" s="4" t="s">
        <v>2033</v>
      </c>
      <c r="C672" s="4" t="s">
        <v>2033</v>
      </c>
      <c r="D672" s="4" t="s">
        <v>35</v>
      </c>
      <c r="E672" s="4" t="s">
        <v>66</v>
      </c>
      <c r="F672" s="4" t="s">
        <v>42</v>
      </c>
      <c r="G672" s="4" t="s">
        <v>38</v>
      </c>
      <c r="H672" s="4" t="n">
        <v>2</v>
      </c>
      <c r="I672" s="4" t="s">
        <v>39</v>
      </c>
      <c r="J672" s="4" t="s">
        <v>68</v>
      </c>
      <c r="K672" s="4" t="s">
        <v>498</v>
      </c>
      <c r="L672" s="4" t="s">
        <v>42</v>
      </c>
      <c r="M672" s="4" t="s">
        <v>43</v>
      </c>
      <c r="N672" s="4" t="s">
        <v>44</v>
      </c>
      <c r="O672" s="4" t="s">
        <v>499</v>
      </c>
      <c r="P672" s="4" t="s">
        <v>46</v>
      </c>
    </row>
    <row r="673" customFormat="false" ht="15" hidden="false" customHeight="false" outlineLevel="0" collapsed="false">
      <c r="A673" s="4" t="s">
        <v>2037</v>
      </c>
      <c r="B673" s="4" t="s">
        <v>2038</v>
      </c>
      <c r="C673" s="4" t="s">
        <v>1648</v>
      </c>
      <c r="D673" s="4" t="s">
        <v>1649</v>
      </c>
      <c r="E673" s="4" t="s">
        <v>627</v>
      </c>
      <c r="F673" s="4" t="s">
        <v>58</v>
      </c>
      <c r="G673" s="4" t="s">
        <v>59</v>
      </c>
      <c r="H673" s="4" t="n">
        <v>2</v>
      </c>
      <c r="I673" s="4" t="s">
        <v>1294</v>
      </c>
      <c r="J673" s="4" t="s">
        <v>68</v>
      </c>
      <c r="K673" s="4" t="s">
        <v>2039</v>
      </c>
      <c r="L673" s="4" t="s">
        <v>571</v>
      </c>
      <c r="M673" s="4" t="s">
        <v>356</v>
      </c>
      <c r="N673" s="4" t="s">
        <v>357</v>
      </c>
      <c r="O673" s="4"/>
      <c r="P673" s="4" t="s">
        <v>46</v>
      </c>
    </row>
    <row r="674" customFormat="false" ht="15" hidden="false" customHeight="false" outlineLevel="0" collapsed="false">
      <c r="A674" s="4" t="s">
        <v>2040</v>
      </c>
      <c r="B674" s="4" t="s">
        <v>2038</v>
      </c>
      <c r="C674" s="4" t="s">
        <v>1648</v>
      </c>
      <c r="D674" s="4" t="s">
        <v>1649</v>
      </c>
      <c r="E674" s="4" t="s">
        <v>627</v>
      </c>
      <c r="F674" s="4" t="s">
        <v>42</v>
      </c>
      <c r="G674" s="4" t="s">
        <v>38</v>
      </c>
      <c r="H674" s="4" t="n">
        <v>2</v>
      </c>
      <c r="I674" s="4" t="s">
        <v>789</v>
      </c>
      <c r="J674" s="4" t="s">
        <v>68</v>
      </c>
      <c r="K674" s="4" t="s">
        <v>1610</v>
      </c>
      <c r="L674" s="4" t="s">
        <v>42</v>
      </c>
      <c r="M674" s="4" t="s">
        <v>43</v>
      </c>
      <c r="N674" s="4" t="s">
        <v>44</v>
      </c>
      <c r="O674" s="4" t="s">
        <v>1611</v>
      </c>
      <c r="P674" s="4" t="s">
        <v>46</v>
      </c>
    </row>
    <row r="675" customFormat="false" ht="15" hidden="false" customHeight="false" outlineLevel="0" collapsed="false">
      <c r="A675" s="4" t="s">
        <v>2041</v>
      </c>
      <c r="B675" s="4" t="s">
        <v>2038</v>
      </c>
      <c r="C675" s="4" t="s">
        <v>1648</v>
      </c>
      <c r="D675" s="4" t="s">
        <v>1649</v>
      </c>
      <c r="E675" s="4" t="s">
        <v>627</v>
      </c>
      <c r="F675" s="4" t="s">
        <v>37</v>
      </c>
      <c r="G675" s="4" t="s">
        <v>38</v>
      </c>
      <c r="H675" s="4" t="n">
        <v>2</v>
      </c>
      <c r="I675" s="4" t="s">
        <v>789</v>
      </c>
      <c r="J675" s="4" t="s">
        <v>40</v>
      </c>
      <c r="K675" s="4" t="s">
        <v>2042</v>
      </c>
      <c r="L675" s="4" t="s">
        <v>480</v>
      </c>
      <c r="M675" s="4" t="s">
        <v>43</v>
      </c>
      <c r="N675" s="4" t="s">
        <v>185</v>
      </c>
      <c r="O675" s="4" t="s">
        <v>2043</v>
      </c>
      <c r="P675" s="4" t="s">
        <v>46</v>
      </c>
    </row>
    <row r="676" customFormat="false" ht="15" hidden="false" customHeight="false" outlineLevel="0" collapsed="false">
      <c r="A676" s="4" t="s">
        <v>2044</v>
      </c>
      <c r="B676" s="4" t="s">
        <v>2038</v>
      </c>
      <c r="C676" s="4" t="s">
        <v>2045</v>
      </c>
      <c r="D676" s="4" t="s">
        <v>35</v>
      </c>
      <c r="E676" s="4" t="s">
        <v>36</v>
      </c>
      <c r="F676" s="4" t="s">
        <v>42</v>
      </c>
      <c r="G676" s="4" t="s">
        <v>38</v>
      </c>
      <c r="H676" s="4" t="n">
        <v>1</v>
      </c>
      <c r="I676" s="4" t="s">
        <v>240</v>
      </c>
      <c r="J676" s="4" t="s">
        <v>68</v>
      </c>
      <c r="K676" s="4" t="s">
        <v>280</v>
      </c>
      <c r="L676" s="4" t="s">
        <v>42</v>
      </c>
      <c r="M676" s="4" t="s">
        <v>43</v>
      </c>
      <c r="N676" s="4" t="s">
        <v>44</v>
      </c>
      <c r="O676" s="4" t="s">
        <v>281</v>
      </c>
      <c r="P676" s="4" t="s">
        <v>46</v>
      </c>
    </row>
    <row r="677" customFormat="false" ht="15" hidden="false" customHeight="false" outlineLevel="0" collapsed="false">
      <c r="A677" s="4" t="s">
        <v>2010</v>
      </c>
      <c r="B677" s="4" t="s">
        <v>2011</v>
      </c>
      <c r="C677" s="4" t="s">
        <v>1648</v>
      </c>
      <c r="D677" s="4" t="s">
        <v>1649</v>
      </c>
      <c r="E677" s="4" t="s">
        <v>627</v>
      </c>
      <c r="F677" s="4" t="s">
        <v>42</v>
      </c>
      <c r="G677" s="4" t="s">
        <v>38</v>
      </c>
      <c r="H677" s="4" t="n">
        <v>4</v>
      </c>
      <c r="I677" s="4" t="s">
        <v>2012</v>
      </c>
      <c r="J677" s="4" t="s">
        <v>40</v>
      </c>
      <c r="K677" s="4" t="s">
        <v>173</v>
      </c>
      <c r="L677" s="4" t="s">
        <v>42</v>
      </c>
      <c r="M677" s="4" t="s">
        <v>43</v>
      </c>
      <c r="N677" s="4" t="s">
        <v>44</v>
      </c>
      <c r="O677" s="4" t="s">
        <v>174</v>
      </c>
      <c r="P677" s="4" t="s">
        <v>46</v>
      </c>
    </row>
    <row r="678" customFormat="false" ht="15" hidden="false" customHeight="false" outlineLevel="0" collapsed="false">
      <c r="A678" s="4" t="s">
        <v>2046</v>
      </c>
      <c r="B678" s="4" t="s">
        <v>2047</v>
      </c>
      <c r="C678" s="4" t="s">
        <v>1648</v>
      </c>
      <c r="D678" s="4" t="s">
        <v>1649</v>
      </c>
      <c r="E678" s="4" t="s">
        <v>627</v>
      </c>
      <c r="F678" s="4" t="s">
        <v>42</v>
      </c>
      <c r="G678" s="4" t="s">
        <v>59</v>
      </c>
      <c r="H678" s="4" t="n">
        <v>2</v>
      </c>
      <c r="I678" s="4" t="s">
        <v>753</v>
      </c>
      <c r="J678" s="4" t="s">
        <v>68</v>
      </c>
      <c r="K678" s="4" t="s">
        <v>2048</v>
      </c>
      <c r="L678" s="4" t="s">
        <v>867</v>
      </c>
      <c r="M678" s="4" t="s">
        <v>43</v>
      </c>
      <c r="N678" s="4" t="s">
        <v>44</v>
      </c>
      <c r="O678" s="4" t="s">
        <v>2049</v>
      </c>
      <c r="P678" s="4" t="s">
        <v>46</v>
      </c>
    </row>
    <row r="679" customFormat="false" ht="15" hidden="false" customHeight="false" outlineLevel="0" collapsed="false">
      <c r="A679" s="4" t="s">
        <v>2050</v>
      </c>
      <c r="B679" s="4" t="s">
        <v>2047</v>
      </c>
      <c r="C679" s="4" t="s">
        <v>1648</v>
      </c>
      <c r="D679" s="4" t="s">
        <v>1649</v>
      </c>
      <c r="E679" s="4" t="s">
        <v>627</v>
      </c>
      <c r="F679" s="4" t="s">
        <v>42</v>
      </c>
      <c r="G679" s="4" t="s">
        <v>326</v>
      </c>
      <c r="H679" s="4" t="n">
        <v>2</v>
      </c>
      <c r="I679" s="4" t="s">
        <v>1050</v>
      </c>
      <c r="J679" s="4" t="s">
        <v>149</v>
      </c>
      <c r="K679" s="4" t="s">
        <v>69</v>
      </c>
      <c r="L679" s="4" t="s">
        <v>37</v>
      </c>
      <c r="M679" s="4" t="s">
        <v>43</v>
      </c>
      <c r="N679" s="4" t="s">
        <v>94</v>
      </c>
      <c r="O679" s="4" t="s">
        <v>71</v>
      </c>
      <c r="P679" s="4" t="s">
        <v>46</v>
      </c>
    </row>
    <row r="680" customFormat="false" ht="15" hidden="false" customHeight="false" outlineLevel="0" collapsed="false">
      <c r="A680" s="4" t="s">
        <v>2051</v>
      </c>
      <c r="B680" s="4" t="s">
        <v>2047</v>
      </c>
      <c r="C680" s="4" t="s">
        <v>1648</v>
      </c>
      <c r="D680" s="4" t="s">
        <v>1649</v>
      </c>
      <c r="E680" s="4" t="s">
        <v>627</v>
      </c>
      <c r="F680" s="4" t="s">
        <v>42</v>
      </c>
      <c r="G680" s="4" t="s">
        <v>38</v>
      </c>
      <c r="H680" s="4" t="n">
        <v>1</v>
      </c>
      <c r="I680" s="4" t="s">
        <v>780</v>
      </c>
      <c r="J680" s="4" t="s">
        <v>149</v>
      </c>
      <c r="K680" s="4" t="s">
        <v>2052</v>
      </c>
      <c r="L680" s="4" t="s">
        <v>463</v>
      </c>
      <c r="M680" s="4" t="s">
        <v>464</v>
      </c>
      <c r="N680" s="4" t="s">
        <v>44</v>
      </c>
      <c r="O680" s="4" t="s">
        <v>2053</v>
      </c>
      <c r="P680" s="4" t="s">
        <v>46</v>
      </c>
    </row>
    <row r="681" customFormat="false" ht="15" hidden="false" customHeight="false" outlineLevel="0" collapsed="false">
      <c r="A681" s="4" t="s">
        <v>2054</v>
      </c>
      <c r="B681" s="4" t="s">
        <v>2045</v>
      </c>
      <c r="C681" s="4" t="s">
        <v>1648</v>
      </c>
      <c r="D681" s="4" t="s">
        <v>1649</v>
      </c>
      <c r="E681" s="4" t="s">
        <v>627</v>
      </c>
      <c r="F681" s="4" t="s">
        <v>42</v>
      </c>
      <c r="G681" s="4" t="s">
        <v>38</v>
      </c>
      <c r="H681" s="4" t="n">
        <v>1</v>
      </c>
      <c r="I681" s="4" t="s">
        <v>402</v>
      </c>
      <c r="J681" s="4" t="s">
        <v>68</v>
      </c>
      <c r="K681" s="4" t="s">
        <v>2055</v>
      </c>
      <c r="L681" s="4" t="s">
        <v>382</v>
      </c>
      <c r="M681" s="4" t="s">
        <v>133</v>
      </c>
      <c r="N681" s="4" t="s">
        <v>44</v>
      </c>
      <c r="O681" s="4" t="s">
        <v>2056</v>
      </c>
      <c r="P681" s="4" t="s">
        <v>46</v>
      </c>
    </row>
    <row r="682" customFormat="false" ht="15" hidden="false" customHeight="false" outlineLevel="0" collapsed="false">
      <c r="A682" s="4" t="s">
        <v>2057</v>
      </c>
      <c r="B682" s="4" t="s">
        <v>2058</v>
      </c>
      <c r="C682" s="4" t="s">
        <v>1648</v>
      </c>
      <c r="D682" s="4" t="s">
        <v>1649</v>
      </c>
      <c r="E682" s="4" t="s">
        <v>627</v>
      </c>
      <c r="F682" s="4" t="s">
        <v>42</v>
      </c>
      <c r="G682" s="4" t="s">
        <v>59</v>
      </c>
      <c r="H682" s="4" t="n">
        <v>1</v>
      </c>
      <c r="I682" s="4" t="s">
        <v>903</v>
      </c>
      <c r="J682" s="4" t="s">
        <v>68</v>
      </c>
      <c r="K682" s="4" t="s">
        <v>605</v>
      </c>
      <c r="L682" s="4" t="s">
        <v>42</v>
      </c>
      <c r="M682" s="4" t="s">
        <v>43</v>
      </c>
      <c r="N682" s="4" t="s">
        <v>44</v>
      </c>
      <c r="O682" s="4" t="s">
        <v>606</v>
      </c>
      <c r="P682" s="4" t="s">
        <v>46</v>
      </c>
    </row>
    <row r="683" customFormat="false" ht="15" hidden="false" customHeight="false" outlineLevel="0" collapsed="false">
      <c r="A683" s="4" t="s">
        <v>2059</v>
      </c>
      <c r="B683" s="4" t="s">
        <v>2060</v>
      </c>
      <c r="C683" s="4" t="s">
        <v>2060</v>
      </c>
      <c r="D683" s="4" t="s">
        <v>35</v>
      </c>
      <c r="E683" s="4" t="s">
        <v>49</v>
      </c>
      <c r="F683" s="4" t="s">
        <v>128</v>
      </c>
      <c r="G683" s="4" t="s">
        <v>59</v>
      </c>
      <c r="H683" s="4" t="n">
        <v>1</v>
      </c>
      <c r="I683" s="4" t="s">
        <v>60</v>
      </c>
      <c r="J683" s="4" t="s">
        <v>68</v>
      </c>
      <c r="K683" s="4" t="s">
        <v>2023</v>
      </c>
      <c r="L683" s="4" t="s">
        <v>58</v>
      </c>
      <c r="M683" s="4" t="s">
        <v>133</v>
      </c>
      <c r="N683" s="4" t="s">
        <v>94</v>
      </c>
      <c r="O683" s="4" t="s">
        <v>2024</v>
      </c>
      <c r="P683" s="4" t="s">
        <v>46</v>
      </c>
    </row>
    <row r="684" customFormat="false" ht="15" hidden="false" customHeight="false" outlineLevel="0" collapsed="false">
      <c r="A684" s="4" t="s">
        <v>2061</v>
      </c>
      <c r="B684" s="4" t="s">
        <v>2062</v>
      </c>
      <c r="C684" s="4" t="s">
        <v>2063</v>
      </c>
      <c r="D684" s="4" t="s">
        <v>35</v>
      </c>
      <c r="E684" s="4" t="s">
        <v>49</v>
      </c>
      <c r="F684" s="4" t="s">
        <v>42</v>
      </c>
      <c r="G684" s="4" t="s">
        <v>38</v>
      </c>
      <c r="H684" s="4" t="n">
        <v>1</v>
      </c>
      <c r="I684" s="4" t="s">
        <v>240</v>
      </c>
      <c r="J684" s="4" t="s">
        <v>40</v>
      </c>
      <c r="K684" s="4" t="s">
        <v>1307</v>
      </c>
      <c r="L684" s="4" t="s">
        <v>58</v>
      </c>
      <c r="M684" s="4" t="s">
        <v>43</v>
      </c>
      <c r="N684" s="4" t="s">
        <v>44</v>
      </c>
      <c r="O684" s="4" t="s">
        <v>1308</v>
      </c>
      <c r="P684" s="4" t="s">
        <v>46</v>
      </c>
    </row>
    <row r="685" customFormat="false" ht="15" hidden="false" customHeight="false" outlineLevel="0" collapsed="false">
      <c r="A685" s="4" t="s">
        <v>2064</v>
      </c>
      <c r="B685" s="4" t="s">
        <v>2063</v>
      </c>
      <c r="C685" s="4" t="s">
        <v>1648</v>
      </c>
      <c r="D685" s="4" t="s">
        <v>1649</v>
      </c>
      <c r="E685" s="4" t="s">
        <v>627</v>
      </c>
      <c r="F685" s="4" t="s">
        <v>70</v>
      </c>
      <c r="G685" s="4" t="s">
        <v>59</v>
      </c>
      <c r="H685" s="4" t="n">
        <v>1</v>
      </c>
      <c r="I685" s="4" t="s">
        <v>1430</v>
      </c>
      <c r="J685" s="4" t="s">
        <v>40</v>
      </c>
      <c r="K685" s="4" t="s">
        <v>475</v>
      </c>
      <c r="L685" s="4" t="s">
        <v>42</v>
      </c>
      <c r="M685" s="4" t="s">
        <v>43</v>
      </c>
      <c r="N685" s="4" t="s">
        <v>52</v>
      </c>
      <c r="O685" s="4" t="s">
        <v>476</v>
      </c>
      <c r="P685" s="4" t="s">
        <v>46</v>
      </c>
    </row>
    <row r="686" customFormat="false" ht="15" hidden="false" customHeight="false" outlineLevel="0" collapsed="false">
      <c r="A686" s="4" t="s">
        <v>2065</v>
      </c>
      <c r="B686" s="4" t="s">
        <v>2066</v>
      </c>
      <c r="C686" s="4" t="s">
        <v>1648</v>
      </c>
      <c r="D686" s="4" t="s">
        <v>1649</v>
      </c>
      <c r="E686" s="4" t="s">
        <v>627</v>
      </c>
      <c r="F686" s="4" t="s">
        <v>37</v>
      </c>
      <c r="G686" s="4" t="s">
        <v>38</v>
      </c>
      <c r="H686" s="4" t="n">
        <v>4</v>
      </c>
      <c r="I686" s="4" t="s">
        <v>2067</v>
      </c>
      <c r="J686" s="4" t="s">
        <v>68</v>
      </c>
      <c r="K686" s="4" t="s">
        <v>1029</v>
      </c>
      <c r="L686" s="4" t="s">
        <v>42</v>
      </c>
      <c r="M686" s="4" t="s">
        <v>43</v>
      </c>
      <c r="N686" s="4" t="s">
        <v>44</v>
      </c>
      <c r="O686" s="4" t="s">
        <v>1030</v>
      </c>
      <c r="P686" s="4" t="s">
        <v>46</v>
      </c>
    </row>
    <row r="687" customFormat="false" ht="15" hidden="false" customHeight="false" outlineLevel="0" collapsed="false">
      <c r="A687" s="4" t="s">
        <v>2068</v>
      </c>
      <c r="B687" s="4" t="s">
        <v>2069</v>
      </c>
      <c r="C687" s="4" t="s">
        <v>1648</v>
      </c>
      <c r="D687" s="4" t="s">
        <v>1649</v>
      </c>
      <c r="E687" s="4" t="s">
        <v>649</v>
      </c>
      <c r="F687" s="4" t="s">
        <v>42</v>
      </c>
      <c r="G687" s="4" t="s">
        <v>38</v>
      </c>
      <c r="H687" s="4" t="n">
        <v>4</v>
      </c>
      <c r="I687" s="4" t="s">
        <v>689</v>
      </c>
      <c r="J687" s="4" t="s">
        <v>40</v>
      </c>
      <c r="K687" s="4" t="s">
        <v>2070</v>
      </c>
      <c r="L687" s="4" t="s">
        <v>364</v>
      </c>
      <c r="M687" s="4" t="s">
        <v>365</v>
      </c>
      <c r="N687" s="4" t="s">
        <v>52</v>
      </c>
      <c r="O687" s="4" t="s">
        <v>2071</v>
      </c>
      <c r="P687" s="4" t="s">
        <v>46</v>
      </c>
    </row>
    <row r="688" customFormat="false" ht="15" hidden="false" customHeight="false" outlineLevel="0" collapsed="false">
      <c r="A688" s="4" t="s">
        <v>2072</v>
      </c>
      <c r="B688" s="4" t="s">
        <v>2069</v>
      </c>
      <c r="C688" s="4" t="s">
        <v>2073</v>
      </c>
      <c r="D688" s="4" t="s">
        <v>35</v>
      </c>
      <c r="E688" s="4" t="s">
        <v>36</v>
      </c>
      <c r="F688" s="4" t="s">
        <v>42</v>
      </c>
      <c r="G688" s="4" t="s">
        <v>59</v>
      </c>
      <c r="H688" s="4" t="n">
        <v>3</v>
      </c>
      <c r="I688" s="4" t="s">
        <v>124</v>
      </c>
      <c r="J688" s="4" t="s">
        <v>40</v>
      </c>
      <c r="K688" s="4" t="s">
        <v>2074</v>
      </c>
      <c r="L688" s="4" t="s">
        <v>571</v>
      </c>
      <c r="M688" s="4" t="s">
        <v>356</v>
      </c>
      <c r="N688" s="4" t="s">
        <v>357</v>
      </c>
      <c r="O688" s="4"/>
      <c r="P688" s="4" t="s">
        <v>46</v>
      </c>
    </row>
    <row r="689" customFormat="false" ht="15" hidden="false" customHeight="false" outlineLevel="0" collapsed="false">
      <c r="A689" s="4" t="s">
        <v>2075</v>
      </c>
      <c r="B689" s="4" t="s">
        <v>2073</v>
      </c>
      <c r="C689" s="4" t="s">
        <v>1648</v>
      </c>
      <c r="D689" s="4" t="s">
        <v>1649</v>
      </c>
      <c r="E689" s="4" t="s">
        <v>627</v>
      </c>
      <c r="F689" s="4" t="s">
        <v>42</v>
      </c>
      <c r="G689" s="4" t="s">
        <v>38</v>
      </c>
      <c r="H689" s="4" t="n">
        <v>4</v>
      </c>
      <c r="I689" s="4" t="s">
        <v>1278</v>
      </c>
      <c r="J689" s="4" t="s">
        <v>68</v>
      </c>
      <c r="K689" s="4" t="s">
        <v>810</v>
      </c>
      <c r="L689" s="4" t="s">
        <v>825</v>
      </c>
      <c r="M689" s="4" t="s">
        <v>43</v>
      </c>
      <c r="N689" s="4" t="s">
        <v>44</v>
      </c>
      <c r="O689" s="4" t="s">
        <v>811</v>
      </c>
      <c r="P689" s="4" t="s">
        <v>46</v>
      </c>
    </row>
    <row r="690" customFormat="false" ht="15" hidden="false" customHeight="false" outlineLevel="0" collapsed="false">
      <c r="A690" s="4" t="s">
        <v>2076</v>
      </c>
      <c r="B690" s="4" t="s">
        <v>2073</v>
      </c>
      <c r="C690" s="4" t="s">
        <v>1648</v>
      </c>
      <c r="D690" s="4" t="s">
        <v>1649</v>
      </c>
      <c r="E690" s="4" t="s">
        <v>618</v>
      </c>
      <c r="F690" s="4" t="s">
        <v>37</v>
      </c>
      <c r="G690" s="4" t="s">
        <v>38</v>
      </c>
      <c r="H690" s="4" t="n">
        <v>2</v>
      </c>
      <c r="I690" s="4" t="s">
        <v>870</v>
      </c>
      <c r="J690" s="4" t="s">
        <v>68</v>
      </c>
      <c r="K690" s="4" t="s">
        <v>1158</v>
      </c>
      <c r="L690" s="4" t="s">
        <v>42</v>
      </c>
      <c r="M690" s="4" t="s">
        <v>43</v>
      </c>
      <c r="N690" s="4" t="s">
        <v>44</v>
      </c>
      <c r="O690" s="4" t="s">
        <v>1159</v>
      </c>
      <c r="P690" s="4" t="s">
        <v>46</v>
      </c>
    </row>
    <row r="691" customFormat="false" ht="15" hidden="false" customHeight="false" outlineLevel="0" collapsed="false">
      <c r="A691" s="4" t="s">
        <v>2077</v>
      </c>
      <c r="B691" s="4" t="s">
        <v>2078</v>
      </c>
      <c r="C691" s="4" t="s">
        <v>2079</v>
      </c>
      <c r="D691" s="4" t="s">
        <v>35</v>
      </c>
      <c r="E691" s="4" t="s">
        <v>36</v>
      </c>
      <c r="F691" s="4" t="s">
        <v>42</v>
      </c>
      <c r="G691" s="4" t="s">
        <v>38</v>
      </c>
      <c r="H691" s="4" t="n">
        <v>2</v>
      </c>
      <c r="I691" s="4" t="s">
        <v>50</v>
      </c>
      <c r="J691" s="4" t="s">
        <v>40</v>
      </c>
      <c r="K691" s="4" t="s">
        <v>1830</v>
      </c>
      <c r="L691" s="4" t="s">
        <v>168</v>
      </c>
      <c r="M691" s="4" t="s">
        <v>43</v>
      </c>
      <c r="N691" s="4" t="s">
        <v>44</v>
      </c>
      <c r="O691" s="4" t="s">
        <v>1831</v>
      </c>
      <c r="P691" s="4" t="s">
        <v>46</v>
      </c>
    </row>
    <row r="692" customFormat="false" ht="15" hidden="false" customHeight="false" outlineLevel="0" collapsed="false">
      <c r="A692" s="4" t="s">
        <v>2080</v>
      </c>
      <c r="B692" s="4" t="s">
        <v>2079</v>
      </c>
      <c r="C692" s="4" t="s">
        <v>1648</v>
      </c>
      <c r="D692" s="4" t="s">
        <v>1649</v>
      </c>
      <c r="E692" s="4" t="s">
        <v>627</v>
      </c>
      <c r="F692" s="4" t="s">
        <v>42</v>
      </c>
      <c r="G692" s="4" t="s">
        <v>38</v>
      </c>
      <c r="H692" s="4" t="n">
        <v>1</v>
      </c>
      <c r="I692" s="4" t="s">
        <v>740</v>
      </c>
      <c r="J692" s="4" t="s">
        <v>81</v>
      </c>
      <c r="K692" s="4" t="s">
        <v>2081</v>
      </c>
      <c r="L692" s="4" t="s">
        <v>837</v>
      </c>
      <c r="M692" s="4" t="s">
        <v>838</v>
      </c>
      <c r="N692" s="4" t="s">
        <v>44</v>
      </c>
      <c r="O692" s="4" t="s">
        <v>2082</v>
      </c>
      <c r="P692" s="4" t="s">
        <v>46</v>
      </c>
    </row>
    <row r="693" customFormat="false" ht="15" hidden="false" customHeight="false" outlineLevel="0" collapsed="false">
      <c r="A693" s="4" t="s">
        <v>2083</v>
      </c>
      <c r="B693" s="4" t="s">
        <v>2084</v>
      </c>
      <c r="C693" s="4" t="s">
        <v>2084</v>
      </c>
      <c r="D693" s="4" t="s">
        <v>35</v>
      </c>
      <c r="E693" s="4" t="s">
        <v>49</v>
      </c>
      <c r="F693" s="4" t="s">
        <v>42</v>
      </c>
      <c r="G693" s="4" t="s">
        <v>59</v>
      </c>
      <c r="H693" s="4" t="n">
        <v>1</v>
      </c>
      <c r="I693" s="4" t="s">
        <v>138</v>
      </c>
      <c r="J693" s="4" t="s">
        <v>40</v>
      </c>
      <c r="K693" s="4" t="s">
        <v>546</v>
      </c>
      <c r="L693" s="4" t="s">
        <v>42</v>
      </c>
      <c r="M693" s="4" t="s">
        <v>43</v>
      </c>
      <c r="N693" s="4" t="s">
        <v>44</v>
      </c>
      <c r="O693" s="4" t="s">
        <v>547</v>
      </c>
      <c r="P693" s="4" t="s">
        <v>46</v>
      </c>
    </row>
    <row r="694" customFormat="false" ht="15" hidden="false" customHeight="false" outlineLevel="0" collapsed="false">
      <c r="A694" s="4" t="s">
        <v>2085</v>
      </c>
      <c r="B694" s="4" t="s">
        <v>2086</v>
      </c>
      <c r="C694" s="4" t="s">
        <v>2087</v>
      </c>
      <c r="D694" s="4" t="s">
        <v>35</v>
      </c>
      <c r="E694" s="4" t="s">
        <v>66</v>
      </c>
      <c r="F694" s="4" t="s">
        <v>42</v>
      </c>
      <c r="G694" s="4" t="s">
        <v>38</v>
      </c>
      <c r="H694" s="4" t="n">
        <v>2</v>
      </c>
      <c r="I694" s="4"/>
      <c r="J694" s="4" t="s">
        <v>149</v>
      </c>
      <c r="K694" s="4" t="s">
        <v>119</v>
      </c>
      <c r="L694" s="4" t="s">
        <v>42</v>
      </c>
      <c r="M694" s="4" t="s">
        <v>43</v>
      </c>
      <c r="N694" s="4" t="s">
        <v>44</v>
      </c>
      <c r="O694" s="4" t="s">
        <v>120</v>
      </c>
      <c r="P694" s="4" t="s">
        <v>46</v>
      </c>
    </row>
    <row r="695" customFormat="false" ht="15" hidden="false" customHeight="false" outlineLevel="0" collapsed="false">
      <c r="A695" s="4" t="s">
        <v>2088</v>
      </c>
      <c r="B695" s="4" t="s">
        <v>2087</v>
      </c>
      <c r="C695" s="4" t="s">
        <v>1648</v>
      </c>
      <c r="D695" s="4" t="s">
        <v>1649</v>
      </c>
      <c r="E695" s="4" t="s">
        <v>627</v>
      </c>
      <c r="F695" s="4" t="s">
        <v>42</v>
      </c>
      <c r="G695" s="4" t="s">
        <v>326</v>
      </c>
      <c r="H695" s="4" t="n">
        <v>1</v>
      </c>
      <c r="I695" s="4" t="s">
        <v>2089</v>
      </c>
      <c r="J695" s="4" t="s">
        <v>40</v>
      </c>
      <c r="K695" s="4" t="s">
        <v>1924</v>
      </c>
      <c r="L695" s="4" t="s">
        <v>58</v>
      </c>
      <c r="M695" s="4" t="s">
        <v>43</v>
      </c>
      <c r="N695" s="4" t="s">
        <v>44</v>
      </c>
      <c r="O695" s="4" t="s">
        <v>1925</v>
      </c>
      <c r="P695" s="4" t="s">
        <v>46</v>
      </c>
    </row>
    <row r="696" customFormat="false" ht="15" hidden="false" customHeight="false" outlineLevel="0" collapsed="false">
      <c r="A696" s="4" t="s">
        <v>2090</v>
      </c>
      <c r="B696" s="4" t="s">
        <v>2091</v>
      </c>
      <c r="C696" s="4" t="s">
        <v>1648</v>
      </c>
      <c r="D696" s="4" t="s">
        <v>1649</v>
      </c>
      <c r="E696" s="4" t="s">
        <v>627</v>
      </c>
      <c r="F696" s="4" t="s">
        <v>42</v>
      </c>
      <c r="G696" s="4" t="s">
        <v>38</v>
      </c>
      <c r="H696" s="4" t="n">
        <v>2</v>
      </c>
      <c r="I696" s="4" t="s">
        <v>729</v>
      </c>
      <c r="J696" s="4" t="s">
        <v>40</v>
      </c>
      <c r="K696" s="4" t="s">
        <v>2092</v>
      </c>
      <c r="L696" s="4" t="s">
        <v>219</v>
      </c>
      <c r="M696" s="4" t="s">
        <v>356</v>
      </c>
      <c r="N696" s="4" t="s">
        <v>221</v>
      </c>
      <c r="O696" s="4"/>
      <c r="P696" s="4" t="s">
        <v>46</v>
      </c>
    </row>
    <row r="697" customFormat="false" ht="15" hidden="false" customHeight="false" outlineLevel="0" collapsed="false">
      <c r="A697" s="4" t="s">
        <v>2093</v>
      </c>
      <c r="B697" s="4" t="s">
        <v>2094</v>
      </c>
      <c r="C697" s="4" t="s">
        <v>1648</v>
      </c>
      <c r="D697" s="4" t="s">
        <v>1649</v>
      </c>
      <c r="E697" s="4" t="s">
        <v>627</v>
      </c>
      <c r="F697" s="4" t="s">
        <v>70</v>
      </c>
      <c r="G697" s="4" t="s">
        <v>38</v>
      </c>
      <c r="H697" s="4" t="n">
        <v>3</v>
      </c>
      <c r="I697" s="4" t="s">
        <v>907</v>
      </c>
      <c r="J697" s="4" t="s">
        <v>40</v>
      </c>
      <c r="K697" s="4" t="s">
        <v>41</v>
      </c>
      <c r="L697" s="4" t="s">
        <v>42</v>
      </c>
      <c r="M697" s="4" t="s">
        <v>133</v>
      </c>
      <c r="N697" s="4" t="s">
        <v>44</v>
      </c>
      <c r="O697" s="4" t="s">
        <v>45</v>
      </c>
      <c r="P697" s="4" t="s">
        <v>46</v>
      </c>
    </row>
    <row r="698" customFormat="false" ht="15" hidden="false" customHeight="false" outlineLevel="0" collapsed="false">
      <c r="A698" s="4" t="s">
        <v>2095</v>
      </c>
      <c r="B698" s="4" t="s">
        <v>2094</v>
      </c>
      <c r="C698" s="4" t="s">
        <v>1648</v>
      </c>
      <c r="D698" s="4" t="s">
        <v>1649</v>
      </c>
      <c r="E698" s="4" t="s">
        <v>627</v>
      </c>
      <c r="F698" s="4" t="s">
        <v>128</v>
      </c>
      <c r="G698" s="4" t="s">
        <v>59</v>
      </c>
      <c r="H698" s="4" t="n">
        <v>1</v>
      </c>
      <c r="I698" s="4" t="s">
        <v>865</v>
      </c>
      <c r="J698" s="4" t="s">
        <v>40</v>
      </c>
      <c r="K698" s="4" t="s">
        <v>1830</v>
      </c>
      <c r="L698" s="4" t="s">
        <v>42</v>
      </c>
      <c r="M698" s="4" t="s">
        <v>43</v>
      </c>
      <c r="N698" s="4" t="s">
        <v>44</v>
      </c>
      <c r="O698" s="4" t="s">
        <v>1831</v>
      </c>
      <c r="P698" s="4" t="s">
        <v>46</v>
      </c>
    </row>
    <row r="699" customFormat="false" ht="15" hidden="false" customHeight="false" outlineLevel="0" collapsed="false">
      <c r="A699" s="4" t="s">
        <v>2096</v>
      </c>
      <c r="B699" s="4" t="s">
        <v>2097</v>
      </c>
      <c r="C699" s="4" t="s">
        <v>1648</v>
      </c>
      <c r="D699" s="4" t="s">
        <v>1649</v>
      </c>
      <c r="E699" s="4" t="s">
        <v>627</v>
      </c>
      <c r="F699" s="4" t="s">
        <v>37</v>
      </c>
      <c r="G699" s="4" t="s">
        <v>38</v>
      </c>
      <c r="H699" s="4" t="n">
        <v>2</v>
      </c>
      <c r="I699" s="4" t="s">
        <v>954</v>
      </c>
      <c r="J699" s="4" t="s">
        <v>68</v>
      </c>
      <c r="K699" s="4" t="s">
        <v>2098</v>
      </c>
      <c r="L699" s="4" t="s">
        <v>2099</v>
      </c>
      <c r="M699" s="4" t="s">
        <v>43</v>
      </c>
      <c r="N699" s="4" t="s">
        <v>185</v>
      </c>
      <c r="O699" s="4" t="s">
        <v>2100</v>
      </c>
      <c r="P699" s="4" t="s">
        <v>46</v>
      </c>
    </row>
    <row r="700" customFormat="false" ht="15" hidden="false" customHeight="false" outlineLevel="0" collapsed="false">
      <c r="A700" s="4" t="s">
        <v>2101</v>
      </c>
      <c r="B700" s="4" t="s">
        <v>2102</v>
      </c>
      <c r="C700" s="4" t="s">
        <v>1648</v>
      </c>
      <c r="D700" s="4" t="s">
        <v>1649</v>
      </c>
      <c r="E700" s="4" t="s">
        <v>649</v>
      </c>
      <c r="F700" s="4" t="s">
        <v>42</v>
      </c>
      <c r="G700" s="4" t="s">
        <v>38</v>
      </c>
      <c r="H700" s="4" t="n">
        <v>2</v>
      </c>
      <c r="I700" s="4" t="s">
        <v>2103</v>
      </c>
      <c r="J700" s="4" t="s">
        <v>40</v>
      </c>
      <c r="K700" s="4" t="s">
        <v>470</v>
      </c>
      <c r="L700" s="4" t="s">
        <v>58</v>
      </c>
      <c r="M700" s="4" t="s">
        <v>43</v>
      </c>
      <c r="N700" s="4" t="s">
        <v>185</v>
      </c>
      <c r="O700" s="4" t="s">
        <v>471</v>
      </c>
      <c r="P700" s="4" t="s">
        <v>46</v>
      </c>
    </row>
    <row r="701" customFormat="false" ht="15" hidden="false" customHeight="false" outlineLevel="0" collapsed="false">
      <c r="A701" s="4" t="s">
        <v>2104</v>
      </c>
      <c r="B701" s="4" t="s">
        <v>2102</v>
      </c>
      <c r="C701" s="4" t="s">
        <v>1648</v>
      </c>
      <c r="D701" s="4" t="s">
        <v>1649</v>
      </c>
      <c r="E701" s="4" t="s">
        <v>627</v>
      </c>
      <c r="F701" s="4" t="s">
        <v>70</v>
      </c>
      <c r="G701" s="4" t="s">
        <v>38</v>
      </c>
      <c r="H701" s="4" t="n">
        <v>4</v>
      </c>
      <c r="I701" s="4" t="s">
        <v>960</v>
      </c>
      <c r="J701" s="4" t="s">
        <v>68</v>
      </c>
      <c r="K701" s="4" t="s">
        <v>1950</v>
      </c>
      <c r="L701" s="4" t="s">
        <v>480</v>
      </c>
      <c r="M701" s="4" t="s">
        <v>43</v>
      </c>
      <c r="N701" s="4" t="s">
        <v>44</v>
      </c>
      <c r="O701" s="4" t="s">
        <v>1951</v>
      </c>
      <c r="P701" s="4" t="s">
        <v>46</v>
      </c>
    </row>
    <row r="702" customFormat="false" ht="15" hidden="false" customHeight="false" outlineLevel="0" collapsed="false">
      <c r="A702" s="4" t="s">
        <v>2105</v>
      </c>
      <c r="B702" s="4" t="s">
        <v>2106</v>
      </c>
      <c r="C702" s="4" t="s">
        <v>1648</v>
      </c>
      <c r="D702" s="4" t="s">
        <v>1649</v>
      </c>
      <c r="E702" s="4" t="s">
        <v>627</v>
      </c>
      <c r="F702" s="4" t="s">
        <v>70</v>
      </c>
      <c r="G702" s="4" t="s">
        <v>38</v>
      </c>
      <c r="H702" s="4" t="n">
        <v>1</v>
      </c>
      <c r="I702" s="4" t="s">
        <v>623</v>
      </c>
      <c r="J702" s="4" t="s">
        <v>68</v>
      </c>
      <c r="K702" s="4" t="s">
        <v>2107</v>
      </c>
      <c r="L702" s="4" t="s">
        <v>382</v>
      </c>
      <c r="M702" s="4" t="s">
        <v>43</v>
      </c>
      <c r="N702" s="4" t="s">
        <v>52</v>
      </c>
      <c r="O702" s="4" t="s">
        <v>2108</v>
      </c>
      <c r="P702" s="4" t="s">
        <v>46</v>
      </c>
    </row>
    <row r="703" customFormat="false" ht="15" hidden="false" customHeight="false" outlineLevel="0" collapsed="false">
      <c r="A703" s="4" t="s">
        <v>2109</v>
      </c>
      <c r="B703" s="4" t="s">
        <v>2106</v>
      </c>
      <c r="C703" s="4" t="s">
        <v>2110</v>
      </c>
      <c r="D703" s="4" t="s">
        <v>35</v>
      </c>
      <c r="E703" s="4" t="s">
        <v>36</v>
      </c>
      <c r="F703" s="4" t="s">
        <v>42</v>
      </c>
      <c r="G703" s="4" t="s">
        <v>59</v>
      </c>
      <c r="H703" s="4" t="n">
        <v>1</v>
      </c>
      <c r="I703" s="4" t="s">
        <v>138</v>
      </c>
      <c r="J703" s="4" t="s">
        <v>40</v>
      </c>
      <c r="K703" s="4" t="s">
        <v>1395</v>
      </c>
      <c r="L703" s="4" t="s">
        <v>42</v>
      </c>
      <c r="M703" s="4" t="s">
        <v>133</v>
      </c>
      <c r="N703" s="4" t="s">
        <v>44</v>
      </c>
      <c r="O703" s="4" t="s">
        <v>1396</v>
      </c>
      <c r="P703" s="4" t="s">
        <v>46</v>
      </c>
    </row>
    <row r="704" customFormat="false" ht="15" hidden="false" customHeight="false" outlineLevel="0" collapsed="false">
      <c r="A704" s="4" t="s">
        <v>2111</v>
      </c>
      <c r="B704" s="4" t="s">
        <v>2112</v>
      </c>
      <c r="C704" s="4" t="s">
        <v>1648</v>
      </c>
      <c r="D704" s="4" t="s">
        <v>1649</v>
      </c>
      <c r="E704" s="4" t="s">
        <v>649</v>
      </c>
      <c r="F704" s="4" t="s">
        <v>42</v>
      </c>
      <c r="G704" s="4" t="s">
        <v>38</v>
      </c>
      <c r="H704" s="4"/>
      <c r="I704" s="4" t="s">
        <v>1435</v>
      </c>
      <c r="J704" s="4" t="s">
        <v>40</v>
      </c>
      <c r="K704" s="4" t="s">
        <v>2113</v>
      </c>
      <c r="L704" s="4" t="s">
        <v>1783</v>
      </c>
      <c r="M704" s="4" t="s">
        <v>635</v>
      </c>
      <c r="N704" s="4" t="s">
        <v>44</v>
      </c>
      <c r="O704" s="4" t="s">
        <v>2114</v>
      </c>
      <c r="P704" s="4" t="s">
        <v>46</v>
      </c>
    </row>
    <row r="705" customFormat="false" ht="15" hidden="false" customHeight="false" outlineLevel="0" collapsed="false">
      <c r="A705" s="4" t="s">
        <v>2115</v>
      </c>
      <c r="B705" s="4" t="s">
        <v>2110</v>
      </c>
      <c r="C705" s="4" t="s">
        <v>2116</v>
      </c>
      <c r="D705" s="4" t="s">
        <v>35</v>
      </c>
      <c r="E705" s="4" t="s">
        <v>36</v>
      </c>
      <c r="F705" s="4" t="s">
        <v>58</v>
      </c>
      <c r="G705" s="4" t="s">
        <v>38</v>
      </c>
      <c r="H705" s="4" t="n">
        <v>2</v>
      </c>
      <c r="I705" s="4" t="s">
        <v>240</v>
      </c>
      <c r="J705" s="4" t="s">
        <v>149</v>
      </c>
      <c r="K705" s="4" t="s">
        <v>405</v>
      </c>
      <c r="L705" s="4" t="s">
        <v>168</v>
      </c>
      <c r="M705" s="4" t="s">
        <v>133</v>
      </c>
      <c r="N705" s="4" t="s">
        <v>44</v>
      </c>
      <c r="O705" s="4" t="s">
        <v>406</v>
      </c>
      <c r="P705" s="4" t="s">
        <v>46</v>
      </c>
    </row>
    <row r="706" customFormat="false" ht="1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 t="s">
        <v>46</v>
      </c>
    </row>
    <row r="707" customFormat="false" ht="15" hidden="false" customHeight="false" outlineLevel="0" collapsed="false">
      <c r="A707" s="4" t="s">
        <v>2117</v>
      </c>
      <c r="B707" s="4" t="s">
        <v>2118</v>
      </c>
      <c r="C707" s="4" t="s">
        <v>1648</v>
      </c>
      <c r="D707" s="4" t="s">
        <v>1649</v>
      </c>
      <c r="E707" s="4" t="s">
        <v>627</v>
      </c>
      <c r="F707" s="4" t="s">
        <v>42</v>
      </c>
      <c r="G707" s="4" t="s">
        <v>326</v>
      </c>
      <c r="H707" s="4" t="n">
        <v>2</v>
      </c>
      <c r="I707" s="4" t="s">
        <v>2119</v>
      </c>
      <c r="J707" s="4" t="s">
        <v>68</v>
      </c>
      <c r="K707" s="4" t="s">
        <v>475</v>
      </c>
      <c r="L707" s="4" t="s">
        <v>42</v>
      </c>
      <c r="M707" s="4" t="s">
        <v>43</v>
      </c>
      <c r="N707" s="4" t="s">
        <v>185</v>
      </c>
      <c r="O707" s="4" t="s">
        <v>476</v>
      </c>
      <c r="P707" s="4" t="s">
        <v>46</v>
      </c>
    </row>
    <row r="708" customFormat="false" ht="15" hidden="false" customHeight="false" outlineLevel="0" collapsed="false">
      <c r="A708" s="4" t="s">
        <v>2120</v>
      </c>
      <c r="B708" s="4" t="s">
        <v>2118</v>
      </c>
      <c r="C708" s="4" t="s">
        <v>1648</v>
      </c>
      <c r="D708" s="4" t="s">
        <v>1649</v>
      </c>
      <c r="E708" s="4" t="s">
        <v>627</v>
      </c>
      <c r="F708" s="4" t="s">
        <v>70</v>
      </c>
      <c r="G708" s="4" t="s">
        <v>59</v>
      </c>
      <c r="H708" s="4" t="n">
        <v>1</v>
      </c>
      <c r="I708" s="4" t="s">
        <v>986</v>
      </c>
      <c r="J708" s="4" t="s">
        <v>68</v>
      </c>
      <c r="K708" s="4" t="s">
        <v>2121</v>
      </c>
      <c r="L708" s="4" t="s">
        <v>988</v>
      </c>
      <c r="M708" s="4" t="s">
        <v>737</v>
      </c>
      <c r="N708" s="4" t="s">
        <v>52</v>
      </c>
      <c r="O708" s="4" t="s">
        <v>2122</v>
      </c>
      <c r="P708" s="4" t="s">
        <v>46</v>
      </c>
    </row>
    <row r="709" customFormat="false" ht="15" hidden="false" customHeight="false" outlineLevel="0" collapsed="false">
      <c r="A709" s="4" t="s">
        <v>2123</v>
      </c>
      <c r="B709" s="4" t="s">
        <v>2118</v>
      </c>
      <c r="C709" s="4" t="s">
        <v>1648</v>
      </c>
      <c r="D709" s="4" t="s">
        <v>1649</v>
      </c>
      <c r="E709" s="4" t="s">
        <v>627</v>
      </c>
      <c r="F709" s="4" t="s">
        <v>128</v>
      </c>
      <c r="G709" s="4" t="s">
        <v>38</v>
      </c>
      <c r="H709" s="4" t="n">
        <v>2</v>
      </c>
      <c r="I709" s="4" t="s">
        <v>1138</v>
      </c>
      <c r="J709" s="4" t="s">
        <v>40</v>
      </c>
      <c r="K709" s="4" t="s">
        <v>2124</v>
      </c>
      <c r="L709" s="4" t="s">
        <v>706</v>
      </c>
      <c r="M709" s="4" t="s">
        <v>412</v>
      </c>
      <c r="N709" s="4" t="s">
        <v>185</v>
      </c>
      <c r="O709" s="4" t="s">
        <v>2125</v>
      </c>
      <c r="P709" s="4" t="s">
        <v>46</v>
      </c>
    </row>
    <row r="710" customFormat="false" ht="15" hidden="false" customHeight="false" outlineLevel="0" collapsed="false">
      <c r="A710" s="4" t="s">
        <v>2126</v>
      </c>
      <c r="B710" s="4" t="s">
        <v>2118</v>
      </c>
      <c r="C710" s="4" t="s">
        <v>1648</v>
      </c>
      <c r="D710" s="4" t="s">
        <v>1649</v>
      </c>
      <c r="E710" s="4" t="s">
        <v>627</v>
      </c>
      <c r="F710" s="4" t="s">
        <v>42</v>
      </c>
      <c r="G710" s="4" t="s">
        <v>59</v>
      </c>
      <c r="H710" s="4" t="n">
        <v>1</v>
      </c>
      <c r="I710" s="4" t="s">
        <v>353</v>
      </c>
      <c r="J710" s="4" t="s">
        <v>149</v>
      </c>
      <c r="K710" s="4" t="s">
        <v>232</v>
      </c>
      <c r="L710" s="4" t="s">
        <v>42</v>
      </c>
      <c r="M710" s="4" t="s">
        <v>43</v>
      </c>
      <c r="N710" s="4" t="s">
        <v>44</v>
      </c>
      <c r="O710" s="4" t="s">
        <v>233</v>
      </c>
      <c r="P710" s="4" t="s">
        <v>46</v>
      </c>
    </row>
    <row r="711" customFormat="false" ht="15" hidden="false" customHeight="false" outlineLevel="0" collapsed="false">
      <c r="A711" s="4" t="s">
        <v>2127</v>
      </c>
      <c r="B711" s="4" t="s">
        <v>2118</v>
      </c>
      <c r="C711" s="4" t="s">
        <v>1648</v>
      </c>
      <c r="D711" s="4" t="s">
        <v>1649</v>
      </c>
      <c r="E711" s="4" t="s">
        <v>627</v>
      </c>
      <c r="F711" s="4" t="s">
        <v>42</v>
      </c>
      <c r="G711" s="4" t="s">
        <v>59</v>
      </c>
      <c r="H711" s="4" t="n">
        <v>2</v>
      </c>
      <c r="I711" s="4" t="s">
        <v>1533</v>
      </c>
      <c r="J711" s="4" t="s">
        <v>40</v>
      </c>
      <c r="K711" s="4" t="s">
        <v>866</v>
      </c>
      <c r="L711" s="4" t="s">
        <v>382</v>
      </c>
      <c r="M711" s="4" t="s">
        <v>43</v>
      </c>
      <c r="N711" s="4" t="s">
        <v>44</v>
      </c>
      <c r="O711" s="4" t="s">
        <v>868</v>
      </c>
      <c r="P711" s="4" t="s">
        <v>46</v>
      </c>
    </row>
    <row r="712" customFormat="false" ht="15" hidden="false" customHeight="false" outlineLevel="0" collapsed="false">
      <c r="A712" s="4" t="s">
        <v>2128</v>
      </c>
      <c r="B712" s="4" t="s">
        <v>2118</v>
      </c>
      <c r="C712" s="4" t="s">
        <v>1648</v>
      </c>
      <c r="D712" s="4" t="s">
        <v>1649</v>
      </c>
      <c r="E712" s="4" t="s">
        <v>627</v>
      </c>
      <c r="F712" s="4" t="s">
        <v>42</v>
      </c>
      <c r="G712" s="4" t="s">
        <v>38</v>
      </c>
      <c r="H712" s="4" t="n">
        <v>2</v>
      </c>
      <c r="I712" s="4" t="s">
        <v>497</v>
      </c>
      <c r="J712" s="4" t="s">
        <v>68</v>
      </c>
      <c r="K712" s="4" t="s">
        <v>2129</v>
      </c>
      <c r="L712" s="4" t="s">
        <v>2130</v>
      </c>
      <c r="M712" s="4" t="s">
        <v>43</v>
      </c>
      <c r="N712" s="4" t="s">
        <v>44</v>
      </c>
      <c r="O712" s="4" t="s">
        <v>2131</v>
      </c>
      <c r="P712" s="4" t="s">
        <v>46</v>
      </c>
    </row>
    <row r="713" customFormat="false" ht="15" hidden="false" customHeight="false" outlineLevel="0" collapsed="false">
      <c r="A713" s="4" t="s">
        <v>2132</v>
      </c>
      <c r="B713" s="4" t="s">
        <v>2118</v>
      </c>
      <c r="C713" s="4" t="s">
        <v>1648</v>
      </c>
      <c r="D713" s="4" t="s">
        <v>1649</v>
      </c>
      <c r="E713" s="4" t="s">
        <v>649</v>
      </c>
      <c r="F713" s="4" t="s">
        <v>42</v>
      </c>
      <c r="G713" s="4" t="s">
        <v>59</v>
      </c>
      <c r="H713" s="4"/>
      <c r="I713" s="4" t="s">
        <v>2133</v>
      </c>
      <c r="J713" s="4" t="s">
        <v>68</v>
      </c>
      <c r="K713" s="4" t="s">
        <v>929</v>
      </c>
      <c r="L713" s="4" t="s">
        <v>42</v>
      </c>
      <c r="M713" s="4" t="s">
        <v>43</v>
      </c>
      <c r="N713" s="4" t="s">
        <v>44</v>
      </c>
      <c r="O713" s="4" t="s">
        <v>930</v>
      </c>
      <c r="P713" s="4" t="s">
        <v>46</v>
      </c>
    </row>
    <row r="714" customFormat="false" ht="15" hidden="false" customHeight="false" outlineLevel="0" collapsed="false">
      <c r="A714" s="4" t="s">
        <v>2134</v>
      </c>
      <c r="B714" s="4" t="s">
        <v>2118</v>
      </c>
      <c r="C714" s="4" t="s">
        <v>1648</v>
      </c>
      <c r="D714" s="4" t="s">
        <v>1649</v>
      </c>
      <c r="E714" s="4" t="s">
        <v>613</v>
      </c>
      <c r="F714" s="4" t="s">
        <v>128</v>
      </c>
      <c r="G714" s="4" t="s">
        <v>38</v>
      </c>
      <c r="H714" s="4" t="n">
        <v>1</v>
      </c>
      <c r="I714" s="4" t="s">
        <v>1404</v>
      </c>
      <c r="J714" s="4" t="s">
        <v>40</v>
      </c>
      <c r="K714" s="4" t="s">
        <v>580</v>
      </c>
      <c r="L714" s="4" t="s">
        <v>42</v>
      </c>
      <c r="M714" s="4" t="s">
        <v>43</v>
      </c>
      <c r="N714" s="4" t="s">
        <v>44</v>
      </c>
      <c r="O714" s="4" t="s">
        <v>581</v>
      </c>
      <c r="P714" s="4" t="s">
        <v>46</v>
      </c>
    </row>
    <row r="715" customFormat="false" ht="15" hidden="false" customHeight="false" outlineLevel="0" collapsed="false">
      <c r="A715" s="4" t="s">
        <v>2135</v>
      </c>
      <c r="B715" s="4" t="s">
        <v>2136</v>
      </c>
      <c r="C715" s="4" t="s">
        <v>1648</v>
      </c>
      <c r="D715" s="4" t="s">
        <v>1649</v>
      </c>
      <c r="E715" s="4" t="s">
        <v>761</v>
      </c>
      <c r="F715" s="4" t="s">
        <v>42</v>
      </c>
      <c r="G715" s="4" t="s">
        <v>59</v>
      </c>
      <c r="H715" s="4" t="n">
        <v>2</v>
      </c>
      <c r="I715" s="4" t="s">
        <v>483</v>
      </c>
      <c r="J715" s="4" t="s">
        <v>68</v>
      </c>
      <c r="K715" s="4" t="s">
        <v>543</v>
      </c>
      <c r="L715" s="4" t="s">
        <v>480</v>
      </c>
      <c r="M715" s="4" t="s">
        <v>43</v>
      </c>
      <c r="N715" s="4" t="s">
        <v>52</v>
      </c>
      <c r="O715" s="4" t="s">
        <v>544</v>
      </c>
      <c r="P715" s="4" t="s">
        <v>46</v>
      </c>
    </row>
    <row r="716" customFormat="false" ht="15" hidden="false" customHeight="false" outlineLevel="0" collapsed="false">
      <c r="A716" s="4" t="s">
        <v>2137</v>
      </c>
      <c r="B716" s="4" t="s">
        <v>2136</v>
      </c>
      <c r="C716" s="4" t="s">
        <v>1648</v>
      </c>
      <c r="D716" s="4" t="s">
        <v>1649</v>
      </c>
      <c r="E716" s="4" t="s">
        <v>618</v>
      </c>
      <c r="F716" s="4" t="s">
        <v>128</v>
      </c>
      <c r="G716" s="4" t="s">
        <v>59</v>
      </c>
      <c r="H716" s="4" t="n">
        <v>2</v>
      </c>
      <c r="I716" s="4" t="s">
        <v>903</v>
      </c>
      <c r="J716" s="4" t="s">
        <v>81</v>
      </c>
      <c r="K716" s="4" t="s">
        <v>2138</v>
      </c>
      <c r="L716" s="4" t="s">
        <v>1211</v>
      </c>
      <c r="M716" s="4" t="s">
        <v>635</v>
      </c>
      <c r="N716" s="4" t="s">
        <v>44</v>
      </c>
      <c r="O716" s="4" t="s">
        <v>2139</v>
      </c>
      <c r="P716" s="4" t="s">
        <v>46</v>
      </c>
    </row>
    <row r="717" customFormat="false" ht="15" hidden="false" customHeight="false" outlineLevel="0" collapsed="false">
      <c r="A717" s="4" t="s">
        <v>2140</v>
      </c>
      <c r="B717" s="4" t="s">
        <v>2136</v>
      </c>
      <c r="C717" s="4" t="s">
        <v>1648</v>
      </c>
      <c r="D717" s="4" t="s">
        <v>1649</v>
      </c>
      <c r="E717" s="4" t="s">
        <v>613</v>
      </c>
      <c r="F717" s="4" t="s">
        <v>42</v>
      </c>
      <c r="G717" s="4" t="s">
        <v>59</v>
      </c>
      <c r="H717" s="4" t="n">
        <v>2</v>
      </c>
      <c r="I717" s="4" t="s">
        <v>1918</v>
      </c>
      <c r="J717" s="4" t="s">
        <v>68</v>
      </c>
      <c r="K717" s="4" t="s">
        <v>2141</v>
      </c>
      <c r="L717" s="4" t="s">
        <v>480</v>
      </c>
      <c r="M717" s="4" t="s">
        <v>43</v>
      </c>
      <c r="N717" s="4" t="s">
        <v>44</v>
      </c>
      <c r="O717" s="4" t="s">
        <v>2142</v>
      </c>
      <c r="P717" s="4" t="s">
        <v>46</v>
      </c>
    </row>
    <row r="718" customFormat="false" ht="15" hidden="false" customHeight="false" outlineLevel="0" collapsed="false">
      <c r="A718" s="4" t="s">
        <v>2143</v>
      </c>
      <c r="B718" s="4" t="s">
        <v>2136</v>
      </c>
      <c r="C718" s="4" t="s">
        <v>1648</v>
      </c>
      <c r="D718" s="4" t="s">
        <v>1649</v>
      </c>
      <c r="E718" s="4" t="s">
        <v>627</v>
      </c>
      <c r="F718" s="4" t="s">
        <v>37</v>
      </c>
      <c r="G718" s="4" t="s">
        <v>38</v>
      </c>
      <c r="H718" s="4" t="n">
        <v>2</v>
      </c>
      <c r="I718" s="4" t="s">
        <v>2144</v>
      </c>
      <c r="J718" s="4" t="s">
        <v>68</v>
      </c>
      <c r="K718" s="4" t="s">
        <v>2145</v>
      </c>
      <c r="L718" s="4" t="s">
        <v>2146</v>
      </c>
      <c r="M718" s="4" t="s">
        <v>737</v>
      </c>
      <c r="N718" s="4" t="s">
        <v>44</v>
      </c>
      <c r="O718" s="4" t="s">
        <v>2147</v>
      </c>
      <c r="P718" s="4" t="s">
        <v>46</v>
      </c>
    </row>
    <row r="719" customFormat="false" ht="15" hidden="false" customHeight="false" outlineLevel="0" collapsed="false">
      <c r="A719" s="4" t="s">
        <v>2148</v>
      </c>
      <c r="B719" s="4" t="s">
        <v>2136</v>
      </c>
      <c r="C719" s="4" t="s">
        <v>1648</v>
      </c>
      <c r="D719" s="4" t="s">
        <v>1649</v>
      </c>
      <c r="E719" s="4" t="s">
        <v>627</v>
      </c>
      <c r="F719" s="4" t="s">
        <v>37</v>
      </c>
      <c r="G719" s="4" t="s">
        <v>326</v>
      </c>
      <c r="H719" s="4" t="n">
        <v>1</v>
      </c>
      <c r="I719" s="4" t="s">
        <v>2149</v>
      </c>
      <c r="J719" s="4" t="s">
        <v>81</v>
      </c>
      <c r="K719" s="4" t="s">
        <v>202</v>
      </c>
      <c r="L719" s="4" t="s">
        <v>42</v>
      </c>
      <c r="M719" s="4" t="s">
        <v>43</v>
      </c>
      <c r="N719" s="4" t="s">
        <v>44</v>
      </c>
      <c r="O719" s="4" t="s">
        <v>203</v>
      </c>
      <c r="P719" s="4" t="s">
        <v>46</v>
      </c>
    </row>
    <row r="720" customFormat="false" ht="15" hidden="false" customHeight="false" outlineLevel="0" collapsed="false">
      <c r="A720" s="4" t="s">
        <v>2150</v>
      </c>
      <c r="B720" s="4" t="s">
        <v>2136</v>
      </c>
      <c r="C720" s="4" t="s">
        <v>1648</v>
      </c>
      <c r="D720" s="4" t="s">
        <v>1649</v>
      </c>
      <c r="E720" s="4" t="s">
        <v>627</v>
      </c>
      <c r="F720" s="4" t="s">
        <v>37</v>
      </c>
      <c r="G720" s="4" t="s">
        <v>59</v>
      </c>
      <c r="H720" s="4" t="n">
        <v>2</v>
      </c>
      <c r="I720" s="4" t="s">
        <v>1441</v>
      </c>
      <c r="J720" s="4" t="s">
        <v>68</v>
      </c>
      <c r="K720" s="4" t="s">
        <v>41</v>
      </c>
      <c r="L720" s="4" t="s">
        <v>58</v>
      </c>
      <c r="M720" s="4" t="s">
        <v>43</v>
      </c>
      <c r="N720" s="4" t="s">
        <v>52</v>
      </c>
      <c r="O720" s="4" t="s">
        <v>45</v>
      </c>
      <c r="P720" s="4" t="s">
        <v>46</v>
      </c>
    </row>
    <row r="721" customFormat="false" ht="15" hidden="false" customHeight="false" outlineLevel="0" collapsed="false">
      <c r="A721" s="4" t="s">
        <v>2151</v>
      </c>
      <c r="B721" s="4" t="s">
        <v>2136</v>
      </c>
      <c r="C721" s="4" t="s">
        <v>2152</v>
      </c>
      <c r="D721" s="4" t="s">
        <v>35</v>
      </c>
      <c r="E721" s="4" t="s">
        <v>89</v>
      </c>
      <c r="F721" s="4" t="s">
        <v>128</v>
      </c>
      <c r="G721" s="4" t="s">
        <v>38</v>
      </c>
      <c r="H721" s="4" t="n">
        <v>1</v>
      </c>
      <c r="I721" s="4" t="s">
        <v>240</v>
      </c>
      <c r="J721" s="4" t="s">
        <v>81</v>
      </c>
      <c r="K721" s="4" t="s">
        <v>775</v>
      </c>
      <c r="L721" s="4" t="s">
        <v>42</v>
      </c>
      <c r="M721" s="4" t="s">
        <v>43</v>
      </c>
      <c r="N721" s="4" t="s">
        <v>44</v>
      </c>
      <c r="O721" s="4" t="s">
        <v>776</v>
      </c>
      <c r="P721" s="4" t="s">
        <v>46</v>
      </c>
    </row>
    <row r="722" customFormat="false" ht="15" hidden="false" customHeight="false" outlineLevel="0" collapsed="false">
      <c r="A722" s="4" t="s">
        <v>2153</v>
      </c>
      <c r="B722" s="4" t="s">
        <v>2136</v>
      </c>
      <c r="C722" s="4" t="s">
        <v>2154</v>
      </c>
      <c r="D722" s="4" t="s">
        <v>35</v>
      </c>
      <c r="E722" s="4" t="s">
        <v>36</v>
      </c>
      <c r="F722" s="4" t="s">
        <v>42</v>
      </c>
      <c r="G722" s="4" t="s">
        <v>38</v>
      </c>
      <c r="H722" s="4" t="n">
        <v>1</v>
      </c>
      <c r="I722" s="4" t="s">
        <v>240</v>
      </c>
      <c r="J722" s="4" t="s">
        <v>68</v>
      </c>
      <c r="K722" s="4" t="s">
        <v>1272</v>
      </c>
      <c r="L722" s="4" t="s">
        <v>42</v>
      </c>
      <c r="M722" s="4" t="s">
        <v>43</v>
      </c>
      <c r="N722" s="4" t="s">
        <v>52</v>
      </c>
      <c r="O722" s="4" t="s">
        <v>1273</v>
      </c>
      <c r="P722" s="4" t="s">
        <v>46</v>
      </c>
    </row>
    <row r="723" customFormat="false" ht="15" hidden="false" customHeight="false" outlineLevel="0" collapsed="false">
      <c r="A723" s="4" t="s">
        <v>2155</v>
      </c>
      <c r="B723" s="4" t="s">
        <v>2136</v>
      </c>
      <c r="C723" s="4" t="s">
        <v>2154</v>
      </c>
      <c r="D723" s="4" t="s">
        <v>35</v>
      </c>
      <c r="E723" s="4" t="s">
        <v>57</v>
      </c>
      <c r="F723" s="4" t="s">
        <v>42</v>
      </c>
      <c r="G723" s="4" t="s">
        <v>38</v>
      </c>
      <c r="H723" s="4" t="n">
        <v>2</v>
      </c>
      <c r="I723" s="4" t="s">
        <v>50</v>
      </c>
      <c r="J723" s="4" t="s">
        <v>40</v>
      </c>
      <c r="K723" s="4" t="s">
        <v>2156</v>
      </c>
      <c r="L723" s="4" t="s">
        <v>219</v>
      </c>
      <c r="M723" s="4" t="s">
        <v>356</v>
      </c>
      <c r="N723" s="4" t="s">
        <v>768</v>
      </c>
      <c r="O723" s="4"/>
      <c r="P723" s="4" t="s">
        <v>46</v>
      </c>
    </row>
    <row r="724" customFormat="false" ht="15" hidden="false" customHeight="false" outlineLevel="0" collapsed="false">
      <c r="A724" s="4" t="s">
        <v>2157</v>
      </c>
      <c r="B724" s="4" t="s">
        <v>2116</v>
      </c>
      <c r="C724" s="4" t="s">
        <v>1648</v>
      </c>
      <c r="D724" s="4" t="s">
        <v>1649</v>
      </c>
      <c r="E724" s="4" t="s">
        <v>627</v>
      </c>
      <c r="F724" s="4" t="s">
        <v>58</v>
      </c>
      <c r="G724" s="4" t="s">
        <v>38</v>
      </c>
      <c r="H724" s="4" t="n">
        <v>4</v>
      </c>
      <c r="I724" s="4" t="s">
        <v>1476</v>
      </c>
      <c r="J724" s="4" t="s">
        <v>68</v>
      </c>
      <c r="K724" s="4" t="s">
        <v>498</v>
      </c>
      <c r="L724" s="4" t="s">
        <v>42</v>
      </c>
      <c r="M724" s="4" t="s">
        <v>43</v>
      </c>
      <c r="N724" s="4" t="s">
        <v>94</v>
      </c>
      <c r="O724" s="4" t="s">
        <v>499</v>
      </c>
      <c r="P724" s="4" t="s">
        <v>46</v>
      </c>
    </row>
    <row r="725" customFormat="false" ht="15" hidden="false" customHeight="false" outlineLevel="0" collapsed="false">
      <c r="A725" s="4" t="s">
        <v>2158</v>
      </c>
      <c r="B725" s="4" t="s">
        <v>2116</v>
      </c>
      <c r="C725" s="4" t="s">
        <v>1648</v>
      </c>
      <c r="D725" s="4" t="s">
        <v>1649</v>
      </c>
      <c r="E725" s="4" t="s">
        <v>618</v>
      </c>
      <c r="F725" s="4" t="s">
        <v>42</v>
      </c>
      <c r="G725" s="4" t="s">
        <v>38</v>
      </c>
      <c r="H725" s="4" t="n">
        <v>2</v>
      </c>
      <c r="I725" s="4" t="s">
        <v>835</v>
      </c>
      <c r="J725" s="4" t="s">
        <v>68</v>
      </c>
      <c r="K725" s="4" t="s">
        <v>396</v>
      </c>
      <c r="L725" s="4" t="s">
        <v>382</v>
      </c>
      <c r="M725" s="4" t="s">
        <v>133</v>
      </c>
      <c r="N725" s="4" t="s">
        <v>44</v>
      </c>
      <c r="O725" s="4" t="s">
        <v>397</v>
      </c>
      <c r="P725" s="4" t="s">
        <v>46</v>
      </c>
    </row>
    <row r="726" customFormat="false" ht="15" hidden="false" customHeight="false" outlineLevel="0" collapsed="false">
      <c r="A726" s="4" t="s">
        <v>2159</v>
      </c>
      <c r="B726" s="4" t="s">
        <v>2116</v>
      </c>
      <c r="C726" s="4" t="s">
        <v>1648</v>
      </c>
      <c r="D726" s="4" t="s">
        <v>1649</v>
      </c>
      <c r="E726" s="4" t="s">
        <v>627</v>
      </c>
      <c r="F726" s="4" t="s">
        <v>58</v>
      </c>
      <c r="G726" s="4" t="s">
        <v>38</v>
      </c>
      <c r="H726" s="4" t="n">
        <v>3</v>
      </c>
      <c r="I726" s="4" t="s">
        <v>449</v>
      </c>
      <c r="J726" s="4" t="s">
        <v>40</v>
      </c>
      <c r="K726" s="4" t="s">
        <v>280</v>
      </c>
      <c r="L726" s="4" t="s">
        <v>70</v>
      </c>
      <c r="M726" s="4" t="s">
        <v>43</v>
      </c>
      <c r="N726" s="4" t="s">
        <v>44</v>
      </c>
      <c r="O726" s="4" t="s">
        <v>281</v>
      </c>
      <c r="P726" s="4" t="s">
        <v>46</v>
      </c>
    </row>
    <row r="727" customFormat="false" ht="15" hidden="false" customHeight="false" outlineLevel="0" collapsed="false">
      <c r="A727" s="4" t="s">
        <v>2160</v>
      </c>
      <c r="B727" s="4" t="s">
        <v>2116</v>
      </c>
      <c r="C727" s="4" t="s">
        <v>1648</v>
      </c>
      <c r="D727" s="4" t="s">
        <v>1649</v>
      </c>
      <c r="E727" s="4" t="s">
        <v>627</v>
      </c>
      <c r="F727" s="4" t="s">
        <v>42</v>
      </c>
      <c r="G727" s="4" t="s">
        <v>59</v>
      </c>
      <c r="H727" s="4" t="n">
        <v>1</v>
      </c>
      <c r="I727" s="4" t="s">
        <v>331</v>
      </c>
      <c r="J727" s="4" t="s">
        <v>40</v>
      </c>
      <c r="K727" s="4" t="s">
        <v>2161</v>
      </c>
      <c r="L727" s="4" t="s">
        <v>432</v>
      </c>
      <c r="M727" s="4" t="s">
        <v>356</v>
      </c>
      <c r="N727" s="4" t="s">
        <v>433</v>
      </c>
      <c r="O727" s="4"/>
      <c r="P727" s="4" t="s">
        <v>46</v>
      </c>
    </row>
    <row r="728" customFormat="false" ht="15" hidden="false" customHeight="false" outlineLevel="0" collapsed="false">
      <c r="A728" s="4" t="s">
        <v>2162</v>
      </c>
      <c r="B728" s="4" t="s">
        <v>2116</v>
      </c>
      <c r="C728" s="4" t="s">
        <v>1648</v>
      </c>
      <c r="D728" s="4" t="s">
        <v>1649</v>
      </c>
      <c r="E728" s="4" t="s">
        <v>627</v>
      </c>
      <c r="F728" s="4" t="s">
        <v>42</v>
      </c>
      <c r="G728" s="4" t="s">
        <v>38</v>
      </c>
      <c r="H728" s="4" t="n">
        <v>3</v>
      </c>
      <c r="I728" s="4" t="s">
        <v>2163</v>
      </c>
      <c r="J728" s="4" t="s">
        <v>68</v>
      </c>
      <c r="K728" s="4" t="s">
        <v>1131</v>
      </c>
      <c r="L728" s="4" t="s">
        <v>42</v>
      </c>
      <c r="M728" s="4" t="s">
        <v>43</v>
      </c>
      <c r="N728" s="4" t="s">
        <v>52</v>
      </c>
      <c r="O728" s="4" t="s">
        <v>1132</v>
      </c>
      <c r="P728" s="4" t="s">
        <v>46</v>
      </c>
    </row>
    <row r="729" customFormat="false" ht="15" hidden="false" customHeight="false" outlineLevel="0" collapsed="false">
      <c r="A729" s="4" t="s">
        <v>2164</v>
      </c>
      <c r="B729" s="4" t="s">
        <v>2116</v>
      </c>
      <c r="C729" s="4" t="s">
        <v>1648</v>
      </c>
      <c r="D729" s="4" t="s">
        <v>1649</v>
      </c>
      <c r="E729" s="4" t="s">
        <v>613</v>
      </c>
      <c r="F729" s="4" t="s">
        <v>128</v>
      </c>
      <c r="G729" s="4" t="s">
        <v>59</v>
      </c>
      <c r="H729" s="4" t="n">
        <v>4</v>
      </c>
      <c r="I729" s="4" t="s">
        <v>2165</v>
      </c>
      <c r="J729" s="4" t="s">
        <v>68</v>
      </c>
      <c r="K729" s="4" t="s">
        <v>2166</v>
      </c>
      <c r="L729" s="4" t="s">
        <v>994</v>
      </c>
      <c r="M729" s="4" t="s">
        <v>873</v>
      </c>
      <c r="N729" s="4" t="s">
        <v>44</v>
      </c>
      <c r="O729" s="4" t="s">
        <v>2167</v>
      </c>
      <c r="P729" s="4" t="s">
        <v>46</v>
      </c>
    </row>
    <row r="730" customFormat="false" ht="15" hidden="false" customHeight="false" outlineLevel="0" collapsed="false">
      <c r="A730" s="4" t="s">
        <v>2168</v>
      </c>
      <c r="B730" s="4" t="s">
        <v>2116</v>
      </c>
      <c r="C730" s="4" t="s">
        <v>1648</v>
      </c>
      <c r="D730" s="4" t="s">
        <v>1649</v>
      </c>
      <c r="E730" s="4" t="s">
        <v>627</v>
      </c>
      <c r="F730" s="4" t="s">
        <v>42</v>
      </c>
      <c r="G730" s="4" t="s">
        <v>59</v>
      </c>
      <c r="H730" s="4" t="n">
        <v>1</v>
      </c>
      <c r="I730" s="4" t="s">
        <v>1441</v>
      </c>
      <c r="J730" s="4" t="s">
        <v>40</v>
      </c>
      <c r="K730" s="4" t="s">
        <v>484</v>
      </c>
      <c r="L730" s="4" t="s">
        <v>42</v>
      </c>
      <c r="M730" s="4" t="s">
        <v>43</v>
      </c>
      <c r="N730" s="4" t="s">
        <v>44</v>
      </c>
      <c r="O730" s="4" t="s">
        <v>485</v>
      </c>
      <c r="P730" s="4" t="s">
        <v>46</v>
      </c>
    </row>
    <row r="731" customFormat="false" ht="1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 t="s">
        <v>46</v>
      </c>
    </row>
    <row r="732" customFormat="false" ht="15" hidden="false" customHeight="false" outlineLevel="0" collapsed="false">
      <c r="A732" s="4" t="s">
        <v>2169</v>
      </c>
      <c r="B732" s="4" t="s">
        <v>2116</v>
      </c>
      <c r="C732" s="4" t="s">
        <v>1648</v>
      </c>
      <c r="D732" s="4" t="s">
        <v>1649</v>
      </c>
      <c r="E732" s="4" t="s">
        <v>627</v>
      </c>
      <c r="F732" s="4" t="s">
        <v>42</v>
      </c>
      <c r="G732" s="4" t="s">
        <v>38</v>
      </c>
      <c r="H732" s="4" t="n">
        <v>2</v>
      </c>
      <c r="I732" s="4" t="s">
        <v>645</v>
      </c>
      <c r="J732" s="4" t="s">
        <v>68</v>
      </c>
      <c r="K732" s="4" t="s">
        <v>2170</v>
      </c>
      <c r="L732" s="4" t="s">
        <v>2171</v>
      </c>
      <c r="M732" s="4" t="s">
        <v>838</v>
      </c>
      <c r="N732" s="4" t="s">
        <v>44</v>
      </c>
      <c r="O732" s="4" t="s">
        <v>2172</v>
      </c>
      <c r="P732" s="4" t="s">
        <v>46</v>
      </c>
    </row>
    <row r="733" customFormat="false" ht="15" hidden="false" customHeight="false" outlineLevel="0" collapsed="false">
      <c r="A733" s="4" t="s">
        <v>2173</v>
      </c>
      <c r="B733" s="4" t="s">
        <v>2116</v>
      </c>
      <c r="C733" s="4" t="s">
        <v>1648</v>
      </c>
      <c r="D733" s="4" t="s">
        <v>1649</v>
      </c>
      <c r="E733" s="4" t="s">
        <v>627</v>
      </c>
      <c r="F733" s="4" t="s">
        <v>42</v>
      </c>
      <c r="G733" s="4" t="s">
        <v>38</v>
      </c>
      <c r="H733" s="4" t="n">
        <v>2</v>
      </c>
      <c r="I733" s="4" t="s">
        <v>497</v>
      </c>
      <c r="J733" s="4" t="s">
        <v>40</v>
      </c>
      <c r="K733" s="4" t="s">
        <v>763</v>
      </c>
      <c r="L733" s="4" t="s">
        <v>42</v>
      </c>
      <c r="M733" s="4" t="s">
        <v>43</v>
      </c>
      <c r="N733" s="4" t="s">
        <v>44</v>
      </c>
      <c r="O733" s="4" t="s">
        <v>764</v>
      </c>
      <c r="P733" s="4" t="s">
        <v>46</v>
      </c>
    </row>
    <row r="734" customFormat="false" ht="15" hidden="false" customHeight="false" outlineLevel="0" collapsed="false">
      <c r="A734" s="4" t="s">
        <v>2174</v>
      </c>
      <c r="B734" s="4" t="s">
        <v>2116</v>
      </c>
      <c r="C734" s="4" t="s">
        <v>1648</v>
      </c>
      <c r="D734" s="4" t="s">
        <v>1649</v>
      </c>
      <c r="E734" s="4" t="s">
        <v>613</v>
      </c>
      <c r="F734" s="4" t="s">
        <v>42</v>
      </c>
      <c r="G734" s="4" t="s">
        <v>59</v>
      </c>
      <c r="H734" s="4" t="n">
        <v>1</v>
      </c>
      <c r="I734" s="4" t="s">
        <v>2175</v>
      </c>
      <c r="J734" s="4" t="s">
        <v>81</v>
      </c>
      <c r="K734" s="4" t="s">
        <v>369</v>
      </c>
      <c r="L734" s="4" t="s">
        <v>42</v>
      </c>
      <c r="M734" s="4" t="s">
        <v>43</v>
      </c>
      <c r="N734" s="4" t="s">
        <v>44</v>
      </c>
      <c r="O734" s="4" t="s">
        <v>370</v>
      </c>
      <c r="P734" s="4" t="s">
        <v>46</v>
      </c>
    </row>
    <row r="735" customFormat="false" ht="15" hidden="false" customHeight="false" outlineLevel="0" collapsed="false">
      <c r="A735" s="4" t="s">
        <v>2176</v>
      </c>
      <c r="B735" s="4" t="s">
        <v>2152</v>
      </c>
      <c r="C735" s="4" t="s">
        <v>1648</v>
      </c>
      <c r="D735" s="4" t="s">
        <v>1649</v>
      </c>
      <c r="E735" s="4" t="s">
        <v>627</v>
      </c>
      <c r="F735" s="4" t="s">
        <v>58</v>
      </c>
      <c r="G735" s="4" t="s">
        <v>59</v>
      </c>
      <c r="H735" s="4" t="n">
        <v>2</v>
      </c>
      <c r="I735" s="4" t="s">
        <v>1594</v>
      </c>
      <c r="J735" s="4" t="s">
        <v>68</v>
      </c>
      <c r="K735" s="4" t="s">
        <v>969</v>
      </c>
      <c r="L735" s="4" t="s">
        <v>480</v>
      </c>
      <c r="M735" s="4" t="s">
        <v>133</v>
      </c>
      <c r="N735" s="4" t="s">
        <v>185</v>
      </c>
      <c r="O735" s="4" t="s">
        <v>970</v>
      </c>
      <c r="P735" s="4" t="s">
        <v>46</v>
      </c>
    </row>
    <row r="736" customFormat="false" ht="15" hidden="false" customHeight="false" outlineLevel="0" collapsed="false">
      <c r="A736" s="4" t="s">
        <v>2177</v>
      </c>
      <c r="B736" s="4" t="s">
        <v>2152</v>
      </c>
      <c r="C736" s="4" t="s">
        <v>1648</v>
      </c>
      <c r="D736" s="4" t="s">
        <v>1649</v>
      </c>
      <c r="E736" s="4" t="s">
        <v>627</v>
      </c>
      <c r="F736" s="4" t="s">
        <v>42</v>
      </c>
      <c r="G736" s="4" t="s">
        <v>38</v>
      </c>
      <c r="H736" s="4" t="n">
        <v>2</v>
      </c>
      <c r="I736" s="4" t="s">
        <v>2144</v>
      </c>
      <c r="J736" s="4" t="s">
        <v>81</v>
      </c>
      <c r="K736" s="4" t="s">
        <v>2178</v>
      </c>
      <c r="L736" s="4" t="s">
        <v>736</v>
      </c>
      <c r="M736" s="4" t="s">
        <v>737</v>
      </c>
      <c r="N736" s="4" t="s">
        <v>44</v>
      </c>
      <c r="O736" s="4" t="s">
        <v>2179</v>
      </c>
      <c r="P736" s="4" t="s">
        <v>46</v>
      </c>
    </row>
    <row r="737" customFormat="false" ht="15" hidden="false" customHeight="false" outlineLevel="0" collapsed="false">
      <c r="A737" s="4" t="s">
        <v>2180</v>
      </c>
      <c r="B737" s="4" t="s">
        <v>2152</v>
      </c>
      <c r="C737" s="4" t="s">
        <v>1648</v>
      </c>
      <c r="D737" s="4" t="s">
        <v>1649</v>
      </c>
      <c r="E737" s="4" t="s">
        <v>627</v>
      </c>
      <c r="F737" s="4" t="s">
        <v>58</v>
      </c>
      <c r="G737" s="4" t="s">
        <v>59</v>
      </c>
      <c r="H737" s="4" t="n">
        <v>1</v>
      </c>
      <c r="I737" s="4" t="s">
        <v>400</v>
      </c>
      <c r="J737" s="4" t="s">
        <v>40</v>
      </c>
      <c r="K737" s="4" t="s">
        <v>139</v>
      </c>
      <c r="L737" s="4" t="s">
        <v>58</v>
      </c>
      <c r="M737" s="4" t="s">
        <v>43</v>
      </c>
      <c r="N737" s="4" t="s">
        <v>94</v>
      </c>
      <c r="O737" s="4" t="s">
        <v>140</v>
      </c>
      <c r="P737" s="4" t="s">
        <v>46</v>
      </c>
    </row>
    <row r="738" customFormat="false" ht="15" hidden="false" customHeight="false" outlineLevel="0" collapsed="false">
      <c r="A738" s="4" t="s">
        <v>2181</v>
      </c>
      <c r="B738" s="4" t="s">
        <v>2152</v>
      </c>
      <c r="C738" s="4" t="s">
        <v>1648</v>
      </c>
      <c r="D738" s="4" t="s">
        <v>1649</v>
      </c>
      <c r="E738" s="4" t="s">
        <v>761</v>
      </c>
      <c r="F738" s="4" t="s">
        <v>42</v>
      </c>
      <c r="G738" s="4" t="s">
        <v>59</v>
      </c>
      <c r="H738" s="4" t="n">
        <v>1</v>
      </c>
      <c r="I738" s="4" t="s">
        <v>2182</v>
      </c>
      <c r="J738" s="4" t="s">
        <v>40</v>
      </c>
      <c r="K738" s="4" t="s">
        <v>2183</v>
      </c>
      <c r="L738" s="4" t="s">
        <v>2099</v>
      </c>
      <c r="M738" s="4" t="s">
        <v>133</v>
      </c>
      <c r="N738" s="4" t="s">
        <v>185</v>
      </c>
      <c r="O738" s="4" t="s">
        <v>2184</v>
      </c>
      <c r="P738" s="4" t="s">
        <v>46</v>
      </c>
    </row>
    <row r="739" customFormat="false" ht="15" hidden="false" customHeight="false" outlineLevel="0" collapsed="false">
      <c r="A739" s="4" t="s">
        <v>2185</v>
      </c>
      <c r="B739" s="4" t="s">
        <v>2152</v>
      </c>
      <c r="C739" s="4" t="s">
        <v>1648</v>
      </c>
      <c r="D739" s="4" t="s">
        <v>1649</v>
      </c>
      <c r="E739" s="4" t="s">
        <v>627</v>
      </c>
      <c r="F739" s="4" t="s">
        <v>42</v>
      </c>
      <c r="G739" s="4" t="s">
        <v>38</v>
      </c>
      <c r="H739" s="4" t="n">
        <v>1</v>
      </c>
      <c r="I739" s="4" t="s">
        <v>954</v>
      </c>
      <c r="J739" s="4" t="s">
        <v>40</v>
      </c>
      <c r="K739" s="4" t="s">
        <v>1016</v>
      </c>
      <c r="L739" s="4" t="s">
        <v>42</v>
      </c>
      <c r="M739" s="4" t="s">
        <v>43</v>
      </c>
      <c r="N739" s="4" t="s">
        <v>44</v>
      </c>
      <c r="O739" s="4" t="s">
        <v>1017</v>
      </c>
      <c r="P739" s="4" t="s">
        <v>46</v>
      </c>
    </row>
    <row r="740" customFormat="false" ht="15" hidden="false" customHeight="false" outlineLevel="0" collapsed="false">
      <c r="A740" s="4" t="s">
        <v>2186</v>
      </c>
      <c r="B740" s="4" t="s">
        <v>2152</v>
      </c>
      <c r="C740" s="4" t="s">
        <v>1648</v>
      </c>
      <c r="D740" s="4" t="s">
        <v>1649</v>
      </c>
      <c r="E740" s="4" t="s">
        <v>761</v>
      </c>
      <c r="F740" s="4" t="s">
        <v>42</v>
      </c>
      <c r="G740" s="4" t="s">
        <v>38</v>
      </c>
      <c r="H740" s="4" t="n">
        <v>1</v>
      </c>
      <c r="I740" s="4" t="s">
        <v>1196</v>
      </c>
      <c r="J740" s="4" t="s">
        <v>68</v>
      </c>
      <c r="K740" s="4" t="s">
        <v>2187</v>
      </c>
      <c r="L740" s="4" t="s">
        <v>42</v>
      </c>
      <c r="M740" s="4" t="s">
        <v>133</v>
      </c>
      <c r="N740" s="4" t="s">
        <v>44</v>
      </c>
      <c r="O740" s="4" t="s">
        <v>2188</v>
      </c>
      <c r="P740" s="4" t="s">
        <v>46</v>
      </c>
    </row>
    <row r="741" customFormat="false" ht="15" hidden="false" customHeight="false" outlineLevel="0" collapsed="false">
      <c r="A741" s="4" t="s">
        <v>2189</v>
      </c>
      <c r="B741" s="4" t="s">
        <v>2152</v>
      </c>
      <c r="C741" s="4" t="s">
        <v>1648</v>
      </c>
      <c r="D741" s="4" t="s">
        <v>1649</v>
      </c>
      <c r="E741" s="4" t="s">
        <v>627</v>
      </c>
      <c r="F741" s="4" t="s">
        <v>42</v>
      </c>
      <c r="G741" s="4" t="s">
        <v>59</v>
      </c>
      <c r="H741" s="4" t="n">
        <v>2</v>
      </c>
      <c r="I741" s="4" t="s">
        <v>441</v>
      </c>
      <c r="J741" s="4" t="s">
        <v>40</v>
      </c>
      <c r="K741" s="4" t="s">
        <v>1167</v>
      </c>
      <c r="L741" s="4" t="s">
        <v>70</v>
      </c>
      <c r="M741" s="4" t="s">
        <v>43</v>
      </c>
      <c r="N741" s="4" t="s">
        <v>185</v>
      </c>
      <c r="O741" s="4" t="s">
        <v>1168</v>
      </c>
      <c r="P741" s="4" t="s">
        <v>46</v>
      </c>
    </row>
    <row r="742" customFormat="false" ht="15" hidden="false" customHeight="false" outlineLevel="0" collapsed="false">
      <c r="A742" s="4" t="s">
        <v>2190</v>
      </c>
      <c r="B742" s="4" t="s">
        <v>2152</v>
      </c>
      <c r="C742" s="4" t="s">
        <v>1648</v>
      </c>
      <c r="D742" s="4" t="s">
        <v>1649</v>
      </c>
      <c r="E742" s="4" t="s">
        <v>627</v>
      </c>
      <c r="F742" s="4" t="s">
        <v>58</v>
      </c>
      <c r="G742" s="4" t="s">
        <v>59</v>
      </c>
      <c r="H742" s="4" t="n">
        <v>3</v>
      </c>
      <c r="I742" s="4" t="s">
        <v>573</v>
      </c>
      <c r="J742" s="4" t="s">
        <v>68</v>
      </c>
      <c r="K742" s="4" t="s">
        <v>2191</v>
      </c>
      <c r="L742" s="4" t="s">
        <v>837</v>
      </c>
      <c r="M742" s="4" t="s">
        <v>838</v>
      </c>
      <c r="N742" s="4" t="s">
        <v>44</v>
      </c>
      <c r="O742" s="4" t="s">
        <v>2192</v>
      </c>
      <c r="P742" s="4" t="s">
        <v>46</v>
      </c>
    </row>
    <row r="743" customFormat="false" ht="15" hidden="false" customHeight="false" outlineLevel="0" collapsed="false">
      <c r="A743" s="4" t="s">
        <v>2193</v>
      </c>
      <c r="B743" s="4" t="s">
        <v>2152</v>
      </c>
      <c r="C743" s="4" t="s">
        <v>1648</v>
      </c>
      <c r="D743" s="4" t="s">
        <v>1649</v>
      </c>
      <c r="E743" s="4" t="s">
        <v>627</v>
      </c>
      <c r="F743" s="4" t="s">
        <v>42</v>
      </c>
      <c r="G743" s="4" t="s">
        <v>38</v>
      </c>
      <c r="H743" s="4" t="n">
        <v>1</v>
      </c>
      <c r="I743" s="4" t="s">
        <v>870</v>
      </c>
      <c r="J743" s="4" t="s">
        <v>68</v>
      </c>
      <c r="K743" s="4" t="s">
        <v>93</v>
      </c>
      <c r="L743" s="4" t="s">
        <v>42</v>
      </c>
      <c r="M743" s="4" t="s">
        <v>43</v>
      </c>
      <c r="N743" s="4" t="s">
        <v>94</v>
      </c>
      <c r="O743" s="4" t="s">
        <v>95</v>
      </c>
      <c r="P743" s="4" t="s">
        <v>46</v>
      </c>
    </row>
    <row r="744" customFormat="false" ht="15" hidden="false" customHeight="false" outlineLevel="0" collapsed="false">
      <c r="A744" s="4" t="s">
        <v>2194</v>
      </c>
      <c r="B744" s="4" t="s">
        <v>2152</v>
      </c>
      <c r="C744" s="4" t="s">
        <v>1648</v>
      </c>
      <c r="D744" s="4" t="s">
        <v>1649</v>
      </c>
      <c r="E744" s="4" t="s">
        <v>627</v>
      </c>
      <c r="F744" s="4" t="s">
        <v>42</v>
      </c>
      <c r="G744" s="4" t="s">
        <v>326</v>
      </c>
      <c r="H744" s="4" t="n">
        <v>1</v>
      </c>
      <c r="I744" s="4" t="s">
        <v>2195</v>
      </c>
      <c r="J744" s="4" t="s">
        <v>149</v>
      </c>
      <c r="K744" s="4" t="s">
        <v>2196</v>
      </c>
      <c r="L744" s="4" t="s">
        <v>524</v>
      </c>
      <c r="M744" s="4" t="s">
        <v>377</v>
      </c>
      <c r="N744" s="4" t="s">
        <v>185</v>
      </c>
      <c r="O744" s="4" t="s">
        <v>2197</v>
      </c>
      <c r="P744" s="4" t="s">
        <v>46</v>
      </c>
    </row>
    <row r="745" customFormat="false" ht="15" hidden="false" customHeight="false" outlineLevel="0" collapsed="false">
      <c r="A745" s="4" t="s">
        <v>2198</v>
      </c>
      <c r="B745" s="4" t="s">
        <v>2154</v>
      </c>
      <c r="C745" s="4" t="s">
        <v>1648</v>
      </c>
      <c r="D745" s="4" t="s">
        <v>1649</v>
      </c>
      <c r="E745" s="4" t="s">
        <v>627</v>
      </c>
      <c r="F745" s="4" t="s">
        <v>42</v>
      </c>
      <c r="G745" s="4" t="s">
        <v>38</v>
      </c>
      <c r="H745" s="4" t="n">
        <v>1</v>
      </c>
      <c r="I745" s="4" t="s">
        <v>630</v>
      </c>
      <c r="J745" s="4" t="s">
        <v>40</v>
      </c>
      <c r="K745" s="4" t="s">
        <v>2199</v>
      </c>
      <c r="L745" s="4" t="s">
        <v>1849</v>
      </c>
      <c r="M745" s="4" t="s">
        <v>356</v>
      </c>
      <c r="N745" s="4" t="s">
        <v>1535</v>
      </c>
      <c r="O745" s="4"/>
      <c r="P745" s="4" t="s">
        <v>46</v>
      </c>
    </row>
    <row r="746" customFormat="false" ht="15" hidden="false" customHeight="false" outlineLevel="0" collapsed="false">
      <c r="A746" s="4" t="s">
        <v>2200</v>
      </c>
      <c r="B746" s="4" t="s">
        <v>2154</v>
      </c>
      <c r="C746" s="4" t="s">
        <v>1648</v>
      </c>
      <c r="D746" s="4" t="s">
        <v>1649</v>
      </c>
      <c r="E746" s="4" t="s">
        <v>627</v>
      </c>
      <c r="F746" s="4" t="s">
        <v>42</v>
      </c>
      <c r="G746" s="4" t="s">
        <v>38</v>
      </c>
      <c r="H746" s="4" t="n">
        <v>1</v>
      </c>
      <c r="I746" s="4" t="s">
        <v>1107</v>
      </c>
      <c r="J746" s="4" t="s">
        <v>40</v>
      </c>
      <c r="K746" s="4" t="s">
        <v>2201</v>
      </c>
      <c r="L746" s="4" t="s">
        <v>1002</v>
      </c>
      <c r="M746" s="4" t="s">
        <v>412</v>
      </c>
      <c r="N746" s="4" t="s">
        <v>44</v>
      </c>
      <c r="O746" s="4" t="s">
        <v>2202</v>
      </c>
      <c r="P746" s="4" t="s">
        <v>46</v>
      </c>
    </row>
    <row r="747" customFormat="false" ht="15" hidden="false" customHeight="false" outlineLevel="0" collapsed="false">
      <c r="A747" s="4" t="s">
        <v>2203</v>
      </c>
      <c r="B747" s="4" t="s">
        <v>2154</v>
      </c>
      <c r="C747" s="4" t="s">
        <v>1648</v>
      </c>
      <c r="D747" s="4" t="s">
        <v>1649</v>
      </c>
      <c r="E747" s="4" t="s">
        <v>618</v>
      </c>
      <c r="F747" s="4" t="s">
        <v>58</v>
      </c>
      <c r="G747" s="4" t="s">
        <v>38</v>
      </c>
      <c r="H747" s="4" t="n">
        <v>1</v>
      </c>
      <c r="I747" s="4" t="s">
        <v>876</v>
      </c>
      <c r="J747" s="4" t="s">
        <v>149</v>
      </c>
      <c r="K747" s="4" t="s">
        <v>2204</v>
      </c>
      <c r="L747" s="4" t="s">
        <v>571</v>
      </c>
      <c r="M747" s="4" t="s">
        <v>356</v>
      </c>
      <c r="N747" s="4" t="s">
        <v>357</v>
      </c>
      <c r="O747" s="4"/>
      <c r="P747" s="4" t="s">
        <v>46</v>
      </c>
    </row>
    <row r="748" customFormat="false" ht="15" hidden="false" customHeight="false" outlineLevel="0" collapsed="false">
      <c r="A748" s="4" t="s">
        <v>2205</v>
      </c>
      <c r="B748" s="4" t="s">
        <v>2154</v>
      </c>
      <c r="C748" s="4" t="s">
        <v>1648</v>
      </c>
      <c r="D748" s="4" t="s">
        <v>1649</v>
      </c>
      <c r="E748" s="4" t="s">
        <v>627</v>
      </c>
      <c r="F748" s="4" t="s">
        <v>70</v>
      </c>
      <c r="G748" s="4" t="s">
        <v>59</v>
      </c>
      <c r="H748" s="4" t="n">
        <v>2</v>
      </c>
      <c r="I748" s="4" t="s">
        <v>469</v>
      </c>
      <c r="J748" s="4" t="s">
        <v>68</v>
      </c>
      <c r="K748" s="4" t="s">
        <v>929</v>
      </c>
      <c r="L748" s="4" t="s">
        <v>42</v>
      </c>
      <c r="M748" s="4" t="s">
        <v>43</v>
      </c>
      <c r="N748" s="4" t="s">
        <v>44</v>
      </c>
      <c r="O748" s="4" t="s">
        <v>930</v>
      </c>
      <c r="P748" s="4" t="s">
        <v>46</v>
      </c>
    </row>
    <row r="749" customFormat="false" ht="15" hidden="false" customHeight="false" outlineLevel="0" collapsed="false">
      <c r="A749" s="4" t="s">
        <v>2206</v>
      </c>
      <c r="B749" s="4" t="s">
        <v>2154</v>
      </c>
      <c r="C749" s="4" t="s">
        <v>1648</v>
      </c>
      <c r="D749" s="4" t="s">
        <v>1649</v>
      </c>
      <c r="E749" s="4" t="s">
        <v>618</v>
      </c>
      <c r="F749" s="4" t="s">
        <v>42</v>
      </c>
      <c r="G749" s="4" t="s">
        <v>59</v>
      </c>
      <c r="H749" s="4" t="n">
        <v>2</v>
      </c>
      <c r="I749" s="4" t="s">
        <v>2207</v>
      </c>
      <c r="J749" s="4" t="s">
        <v>40</v>
      </c>
      <c r="K749" s="4" t="s">
        <v>2208</v>
      </c>
      <c r="L749" s="4" t="s">
        <v>736</v>
      </c>
      <c r="M749" s="4" t="s">
        <v>737</v>
      </c>
      <c r="N749" s="4" t="s">
        <v>44</v>
      </c>
      <c r="O749" s="4" t="s">
        <v>2209</v>
      </c>
      <c r="P749" s="4" t="s">
        <v>46</v>
      </c>
    </row>
    <row r="750" customFormat="false" ht="15" hidden="false" customHeight="false" outlineLevel="0" collapsed="false">
      <c r="A750" s="4" t="s">
        <v>2210</v>
      </c>
      <c r="B750" s="4" t="s">
        <v>2154</v>
      </c>
      <c r="C750" s="4" t="s">
        <v>1648</v>
      </c>
      <c r="D750" s="4" t="s">
        <v>1649</v>
      </c>
      <c r="E750" s="4" t="s">
        <v>627</v>
      </c>
      <c r="F750" s="4" t="s">
        <v>70</v>
      </c>
      <c r="G750" s="4" t="s">
        <v>59</v>
      </c>
      <c r="H750" s="4" t="n">
        <v>1</v>
      </c>
      <c r="I750" s="4" t="s">
        <v>516</v>
      </c>
      <c r="J750" s="4" t="s">
        <v>40</v>
      </c>
      <c r="K750" s="4" t="s">
        <v>1777</v>
      </c>
      <c r="L750" s="4" t="s">
        <v>2130</v>
      </c>
      <c r="M750" s="4" t="s">
        <v>43</v>
      </c>
      <c r="N750" s="4" t="s">
        <v>185</v>
      </c>
      <c r="O750" s="4" t="s">
        <v>1778</v>
      </c>
      <c r="P750" s="4" t="s">
        <v>46</v>
      </c>
    </row>
    <row r="751" customFormat="false" ht="15" hidden="false" customHeight="false" outlineLevel="0" collapsed="false">
      <c r="A751" s="4" t="s">
        <v>2211</v>
      </c>
      <c r="B751" s="4" t="s">
        <v>2154</v>
      </c>
      <c r="C751" s="4" t="s">
        <v>2212</v>
      </c>
      <c r="D751" s="4" t="s">
        <v>35</v>
      </c>
      <c r="E751" s="4" t="s">
        <v>66</v>
      </c>
      <c r="F751" s="4" t="s">
        <v>42</v>
      </c>
      <c r="G751" s="4" t="s">
        <v>38</v>
      </c>
      <c r="H751" s="4" t="n">
        <v>1</v>
      </c>
      <c r="I751" s="4" t="s">
        <v>50</v>
      </c>
      <c r="J751" s="4" t="s">
        <v>149</v>
      </c>
      <c r="K751" s="4" t="s">
        <v>983</v>
      </c>
      <c r="L751" s="4" t="s">
        <v>42</v>
      </c>
      <c r="M751" s="4" t="s">
        <v>43</v>
      </c>
      <c r="N751" s="4" t="s">
        <v>44</v>
      </c>
      <c r="O751" s="4" t="s">
        <v>984</v>
      </c>
      <c r="P751" s="4" t="s">
        <v>46</v>
      </c>
    </row>
    <row r="752" customFormat="false" ht="15" hidden="false" customHeight="false" outlineLevel="0" collapsed="false">
      <c r="A752" s="4" t="s">
        <v>2158</v>
      </c>
      <c r="B752" s="4" t="s">
        <v>2116</v>
      </c>
      <c r="C752" s="4" t="s">
        <v>1648</v>
      </c>
      <c r="D752" s="4" t="s">
        <v>1649</v>
      </c>
      <c r="E752" s="4" t="s">
        <v>618</v>
      </c>
      <c r="F752" s="4" t="s">
        <v>42</v>
      </c>
      <c r="G752" s="4" t="s">
        <v>38</v>
      </c>
      <c r="H752" s="4" t="n">
        <v>2</v>
      </c>
      <c r="I752" s="4" t="s">
        <v>835</v>
      </c>
      <c r="J752" s="4" t="s">
        <v>68</v>
      </c>
      <c r="K752" s="4" t="s">
        <v>396</v>
      </c>
      <c r="L752" s="4" t="s">
        <v>382</v>
      </c>
      <c r="M752" s="4" t="s">
        <v>133</v>
      </c>
      <c r="N752" s="4" t="s">
        <v>44</v>
      </c>
      <c r="O752" s="4" t="s">
        <v>397</v>
      </c>
      <c r="P752" s="4" t="s">
        <v>46</v>
      </c>
    </row>
    <row r="753" customFormat="false" ht="15" hidden="false" customHeight="false" outlineLevel="0" collapsed="false">
      <c r="A753" s="4" t="s">
        <v>2213</v>
      </c>
      <c r="B753" s="4" t="s">
        <v>2212</v>
      </c>
      <c r="C753" s="4" t="s">
        <v>1648</v>
      </c>
      <c r="D753" s="4" t="s">
        <v>1649</v>
      </c>
      <c r="E753" s="4" t="s">
        <v>627</v>
      </c>
      <c r="F753" s="4" t="s">
        <v>70</v>
      </c>
      <c r="G753" s="4" t="s">
        <v>38</v>
      </c>
      <c r="H753" s="4" t="n">
        <v>1</v>
      </c>
      <c r="I753" s="4" t="s">
        <v>645</v>
      </c>
      <c r="J753" s="4" t="s">
        <v>149</v>
      </c>
      <c r="K753" s="4" t="s">
        <v>1879</v>
      </c>
      <c r="L753" s="4" t="s">
        <v>42</v>
      </c>
      <c r="M753" s="4" t="s">
        <v>43</v>
      </c>
      <c r="N753" s="4" t="s">
        <v>44</v>
      </c>
      <c r="O753" s="4" t="s">
        <v>1880</v>
      </c>
      <c r="P753" s="4" t="s">
        <v>46</v>
      </c>
    </row>
    <row r="754" customFormat="false" ht="15" hidden="false" customHeight="false" outlineLevel="0" collapsed="false">
      <c r="A754" s="4" t="s">
        <v>2214</v>
      </c>
      <c r="B754" s="4" t="s">
        <v>2212</v>
      </c>
      <c r="C754" s="4" t="s">
        <v>1648</v>
      </c>
      <c r="D754" s="4" t="s">
        <v>1649</v>
      </c>
      <c r="E754" s="4" t="s">
        <v>613</v>
      </c>
      <c r="F754" s="4" t="s">
        <v>42</v>
      </c>
      <c r="G754" s="4" t="s">
        <v>38</v>
      </c>
      <c r="H754" s="4" t="n">
        <v>2</v>
      </c>
      <c r="I754" s="4" t="s">
        <v>1233</v>
      </c>
      <c r="J754" s="4" t="s">
        <v>40</v>
      </c>
      <c r="K754" s="4" t="s">
        <v>157</v>
      </c>
      <c r="L754" s="4" t="s">
        <v>42</v>
      </c>
      <c r="M754" s="4" t="s">
        <v>43</v>
      </c>
      <c r="N754" s="4" t="s">
        <v>52</v>
      </c>
      <c r="O754" s="4" t="s">
        <v>158</v>
      </c>
      <c r="P754" s="4" t="s">
        <v>46</v>
      </c>
    </row>
    <row r="755" customFormat="false" ht="15" hidden="false" customHeight="false" outlineLevel="0" collapsed="false">
      <c r="A755" s="4" t="s">
        <v>2215</v>
      </c>
      <c r="B755" s="4" t="s">
        <v>2212</v>
      </c>
      <c r="C755" s="4" t="s">
        <v>1648</v>
      </c>
      <c r="D755" s="4" t="s">
        <v>1649</v>
      </c>
      <c r="E755" s="4" t="s">
        <v>627</v>
      </c>
      <c r="F755" s="4" t="s">
        <v>42</v>
      </c>
      <c r="G755" s="4" t="s">
        <v>326</v>
      </c>
      <c r="H755" s="4" t="n">
        <v>4</v>
      </c>
      <c r="I755" s="4" t="s">
        <v>2216</v>
      </c>
      <c r="J755" s="4" t="s">
        <v>40</v>
      </c>
      <c r="K755" s="4" t="s">
        <v>2217</v>
      </c>
      <c r="L755" s="4" t="s">
        <v>2218</v>
      </c>
      <c r="M755" s="4" t="s">
        <v>365</v>
      </c>
      <c r="N755" s="4" t="s">
        <v>94</v>
      </c>
      <c r="O755" s="4" t="s">
        <v>2219</v>
      </c>
      <c r="P755" s="4" t="s">
        <v>46</v>
      </c>
    </row>
    <row r="756" customFormat="false" ht="15" hidden="false" customHeight="false" outlineLevel="0" collapsed="false">
      <c r="A756" s="4" t="s">
        <v>2220</v>
      </c>
      <c r="B756" s="4" t="s">
        <v>2212</v>
      </c>
      <c r="C756" s="4" t="s">
        <v>1648</v>
      </c>
      <c r="D756" s="4" t="s">
        <v>1649</v>
      </c>
      <c r="E756" s="4" t="s">
        <v>761</v>
      </c>
      <c r="F756" s="4" t="s">
        <v>42</v>
      </c>
      <c r="G756" s="4" t="s">
        <v>38</v>
      </c>
      <c r="H756" s="4" t="n">
        <v>2</v>
      </c>
      <c r="I756" s="4" t="s">
        <v>801</v>
      </c>
      <c r="J756" s="4" t="s">
        <v>40</v>
      </c>
      <c r="K756" s="4" t="s">
        <v>2221</v>
      </c>
      <c r="L756" s="4" t="s">
        <v>382</v>
      </c>
      <c r="M756" s="4" t="s">
        <v>43</v>
      </c>
      <c r="N756" s="4" t="s">
        <v>44</v>
      </c>
      <c r="O756" s="4" t="s">
        <v>2222</v>
      </c>
      <c r="P756" s="4" t="s">
        <v>46</v>
      </c>
    </row>
    <row r="757" customFormat="false" ht="15" hidden="false" customHeight="false" outlineLevel="0" collapsed="false">
      <c r="A757" s="4" t="s">
        <v>2223</v>
      </c>
      <c r="B757" s="4" t="s">
        <v>2212</v>
      </c>
      <c r="C757" s="4" t="s">
        <v>1648</v>
      </c>
      <c r="D757" s="4" t="s">
        <v>1649</v>
      </c>
      <c r="E757" s="4" t="s">
        <v>627</v>
      </c>
      <c r="F757" s="4" t="s">
        <v>58</v>
      </c>
      <c r="G757" s="4" t="s">
        <v>59</v>
      </c>
      <c r="H757" s="4" t="n">
        <v>2</v>
      </c>
      <c r="I757" s="4" t="s">
        <v>1580</v>
      </c>
      <c r="J757" s="4" t="s">
        <v>68</v>
      </c>
      <c r="K757" s="4" t="s">
        <v>2224</v>
      </c>
      <c r="L757" s="4" t="s">
        <v>1313</v>
      </c>
      <c r="M757" s="4" t="s">
        <v>464</v>
      </c>
      <c r="N757" s="4" t="s">
        <v>52</v>
      </c>
      <c r="O757" s="4" t="s">
        <v>2225</v>
      </c>
      <c r="P757" s="4" t="s">
        <v>46</v>
      </c>
    </row>
    <row r="758" customFormat="false" ht="15" hidden="false" customHeight="false" outlineLevel="0" collapsed="false">
      <c r="A758" s="4" t="s">
        <v>2214</v>
      </c>
      <c r="B758" s="4" t="s">
        <v>2212</v>
      </c>
      <c r="C758" s="4" t="s">
        <v>1648</v>
      </c>
      <c r="D758" s="4" t="s">
        <v>1649</v>
      </c>
      <c r="E758" s="4" t="s">
        <v>613</v>
      </c>
      <c r="F758" s="4" t="s">
        <v>42</v>
      </c>
      <c r="G758" s="4" t="s">
        <v>38</v>
      </c>
      <c r="H758" s="4" t="n">
        <v>2</v>
      </c>
      <c r="I758" s="4" t="s">
        <v>1233</v>
      </c>
      <c r="J758" s="4" t="s">
        <v>40</v>
      </c>
      <c r="K758" s="4" t="s">
        <v>157</v>
      </c>
      <c r="L758" s="4" t="s">
        <v>42</v>
      </c>
      <c r="M758" s="4" t="s">
        <v>43</v>
      </c>
      <c r="N758" s="4" t="s">
        <v>52</v>
      </c>
      <c r="O758" s="4" t="s">
        <v>158</v>
      </c>
      <c r="P758" s="4" t="s">
        <v>46</v>
      </c>
    </row>
    <row r="759" customFormat="false" ht="15" hidden="false" customHeight="false" outlineLevel="0" collapsed="false">
      <c r="A759" s="4" t="s">
        <v>2226</v>
      </c>
      <c r="B759" s="4" t="s">
        <v>2212</v>
      </c>
      <c r="C759" s="4" t="s">
        <v>1648</v>
      </c>
      <c r="D759" s="4" t="s">
        <v>1649</v>
      </c>
      <c r="E759" s="4" t="s">
        <v>627</v>
      </c>
      <c r="F759" s="4" t="s">
        <v>42</v>
      </c>
      <c r="G759" s="4" t="s">
        <v>38</v>
      </c>
      <c r="H759" s="4" t="n">
        <v>1</v>
      </c>
      <c r="I759" s="4" t="s">
        <v>1928</v>
      </c>
      <c r="J759" s="4" t="s">
        <v>81</v>
      </c>
      <c r="K759" s="4" t="s">
        <v>2227</v>
      </c>
      <c r="L759" s="4" t="s">
        <v>634</v>
      </c>
      <c r="M759" s="4" t="s">
        <v>635</v>
      </c>
      <c r="N759" s="4" t="s">
        <v>44</v>
      </c>
      <c r="O759" s="4" t="s">
        <v>2228</v>
      </c>
      <c r="P759" s="4" t="s">
        <v>46</v>
      </c>
    </row>
    <row r="760" customFormat="false" ht="15" hidden="false" customHeight="false" outlineLevel="0" collapsed="false">
      <c r="A760" s="4" t="s">
        <v>2229</v>
      </c>
      <c r="B760" s="4" t="s">
        <v>2212</v>
      </c>
      <c r="C760" s="4" t="s">
        <v>1648</v>
      </c>
      <c r="D760" s="4" t="s">
        <v>1649</v>
      </c>
      <c r="E760" s="4" t="s">
        <v>613</v>
      </c>
      <c r="F760" s="4" t="s">
        <v>42</v>
      </c>
      <c r="G760" s="4" t="s">
        <v>59</v>
      </c>
      <c r="H760" s="4" t="n">
        <v>1</v>
      </c>
      <c r="I760" s="4" t="s">
        <v>1089</v>
      </c>
      <c r="J760" s="4" t="s">
        <v>40</v>
      </c>
      <c r="K760" s="4" t="s">
        <v>1553</v>
      </c>
      <c r="L760" s="4" t="s">
        <v>42</v>
      </c>
      <c r="M760" s="4" t="s">
        <v>43</v>
      </c>
      <c r="N760" s="4" t="s">
        <v>44</v>
      </c>
      <c r="O760" s="4" t="s">
        <v>1554</v>
      </c>
      <c r="P760" s="4" t="s">
        <v>46</v>
      </c>
    </row>
    <row r="761" customFormat="false" ht="15" hidden="false" customHeight="false" outlineLevel="0" collapsed="false">
      <c r="A761" s="4" t="s">
        <v>2230</v>
      </c>
      <c r="B761" s="4" t="s">
        <v>2212</v>
      </c>
      <c r="C761" s="4" t="s">
        <v>1648</v>
      </c>
      <c r="D761" s="4" t="s">
        <v>1649</v>
      </c>
      <c r="E761" s="4" t="s">
        <v>649</v>
      </c>
      <c r="F761" s="4" t="s">
        <v>42</v>
      </c>
      <c r="G761" s="4" t="s">
        <v>38</v>
      </c>
      <c r="H761" s="4" t="n">
        <v>2</v>
      </c>
      <c r="I761" s="4" t="s">
        <v>1419</v>
      </c>
      <c r="J761" s="4" t="s">
        <v>68</v>
      </c>
      <c r="K761" s="4" t="s">
        <v>2231</v>
      </c>
      <c r="L761" s="4" t="s">
        <v>552</v>
      </c>
      <c r="M761" s="4" t="s">
        <v>456</v>
      </c>
      <c r="N761" s="4" t="s">
        <v>44</v>
      </c>
      <c r="O761" s="4" t="s">
        <v>2232</v>
      </c>
      <c r="P761" s="4" t="s">
        <v>46</v>
      </c>
    </row>
    <row r="762" customFormat="false" ht="15" hidden="false" customHeight="false" outlineLevel="0" collapsed="false">
      <c r="A762" s="4" t="s">
        <v>2233</v>
      </c>
      <c r="B762" s="4" t="s">
        <v>2212</v>
      </c>
      <c r="C762" s="4" t="s">
        <v>1648</v>
      </c>
      <c r="D762" s="4" t="s">
        <v>1649</v>
      </c>
      <c r="E762" s="4" t="s">
        <v>627</v>
      </c>
      <c r="F762" s="4" t="s">
        <v>70</v>
      </c>
      <c r="G762" s="4" t="s">
        <v>38</v>
      </c>
      <c r="H762" s="4" t="n">
        <v>1</v>
      </c>
      <c r="I762" s="4" t="s">
        <v>1140</v>
      </c>
      <c r="J762" s="4" t="s">
        <v>149</v>
      </c>
      <c r="K762" s="4" t="s">
        <v>983</v>
      </c>
      <c r="L762" s="4" t="s">
        <v>42</v>
      </c>
      <c r="M762" s="4" t="s">
        <v>43</v>
      </c>
      <c r="N762" s="4" t="s">
        <v>44</v>
      </c>
      <c r="O762" s="4" t="s">
        <v>984</v>
      </c>
      <c r="P762" s="4" t="s">
        <v>46</v>
      </c>
    </row>
    <row r="763" customFormat="false" ht="15" hidden="false" customHeight="false" outlineLevel="0" collapsed="false">
      <c r="A763" s="4" t="s">
        <v>2234</v>
      </c>
      <c r="B763" s="4" t="s">
        <v>2235</v>
      </c>
      <c r="C763" s="4" t="s">
        <v>1648</v>
      </c>
      <c r="D763" s="4" t="s">
        <v>1649</v>
      </c>
      <c r="E763" s="4" t="s">
        <v>649</v>
      </c>
      <c r="F763" s="4" t="s">
        <v>58</v>
      </c>
      <c r="G763" s="4" t="s">
        <v>59</v>
      </c>
      <c r="H763" s="4" t="n">
        <v>1</v>
      </c>
      <c r="I763" s="4" t="s">
        <v>1089</v>
      </c>
      <c r="J763" s="4" t="s">
        <v>68</v>
      </c>
      <c r="K763" s="4" t="s">
        <v>563</v>
      </c>
      <c r="L763" s="4" t="s">
        <v>432</v>
      </c>
      <c r="M763" s="4" t="s">
        <v>356</v>
      </c>
      <c r="N763" s="4" t="s">
        <v>433</v>
      </c>
      <c r="O763" s="4"/>
      <c r="P763" s="4" t="s">
        <v>46</v>
      </c>
    </row>
    <row r="764" customFormat="false" ht="15" hidden="false" customHeight="false" outlineLevel="0" collapsed="false">
      <c r="A764" s="4" t="s">
        <v>2236</v>
      </c>
      <c r="B764" s="4" t="s">
        <v>2235</v>
      </c>
      <c r="C764" s="4" t="s">
        <v>1648</v>
      </c>
      <c r="D764" s="4" t="s">
        <v>1649</v>
      </c>
      <c r="E764" s="4" t="s">
        <v>649</v>
      </c>
      <c r="F764" s="4" t="s">
        <v>42</v>
      </c>
      <c r="G764" s="4" t="s">
        <v>38</v>
      </c>
      <c r="H764" s="4" t="n">
        <v>2</v>
      </c>
      <c r="I764" s="4" t="s">
        <v>1691</v>
      </c>
      <c r="J764" s="4" t="s">
        <v>68</v>
      </c>
      <c r="K764" s="4" t="s">
        <v>313</v>
      </c>
      <c r="L764" s="4" t="s">
        <v>42</v>
      </c>
      <c r="M764" s="4" t="s">
        <v>43</v>
      </c>
      <c r="N764" s="4" t="s">
        <v>44</v>
      </c>
      <c r="O764" s="4" t="s">
        <v>314</v>
      </c>
      <c r="P764" s="4" t="s">
        <v>46</v>
      </c>
    </row>
    <row r="765" customFormat="false" ht="15" hidden="false" customHeight="false" outlineLevel="0" collapsed="false">
      <c r="A765" s="4" t="s">
        <v>2237</v>
      </c>
      <c r="B765" s="4" t="s">
        <v>2235</v>
      </c>
      <c r="C765" s="4" t="s">
        <v>1648</v>
      </c>
      <c r="D765" s="4" t="s">
        <v>1649</v>
      </c>
      <c r="E765" s="4" t="s">
        <v>613</v>
      </c>
      <c r="F765" s="4" t="s">
        <v>37</v>
      </c>
      <c r="G765" s="4" t="s">
        <v>38</v>
      </c>
      <c r="H765" s="4" t="n">
        <v>1</v>
      </c>
      <c r="I765" s="4" t="s">
        <v>1331</v>
      </c>
      <c r="J765" s="4" t="s">
        <v>68</v>
      </c>
      <c r="K765" s="4" t="s">
        <v>2238</v>
      </c>
      <c r="L765" s="4" t="s">
        <v>42</v>
      </c>
      <c r="M765" s="4" t="s">
        <v>43</v>
      </c>
      <c r="N765" s="4" t="s">
        <v>44</v>
      </c>
      <c r="O765" s="4" t="s">
        <v>2239</v>
      </c>
      <c r="P765" s="4" t="s">
        <v>46</v>
      </c>
    </row>
    <row r="766" customFormat="false" ht="15" hidden="false" customHeight="false" outlineLevel="0" collapsed="false">
      <c r="A766" s="4" t="s">
        <v>2240</v>
      </c>
      <c r="B766" s="4" t="s">
        <v>2235</v>
      </c>
      <c r="C766" s="4" t="s">
        <v>1648</v>
      </c>
      <c r="D766" s="4" t="s">
        <v>1649</v>
      </c>
      <c r="E766" s="4" t="s">
        <v>649</v>
      </c>
      <c r="F766" s="4" t="s">
        <v>42</v>
      </c>
      <c r="G766" s="4" t="s">
        <v>38</v>
      </c>
      <c r="H766" s="4" t="n">
        <v>1</v>
      </c>
      <c r="I766" s="4" t="s">
        <v>912</v>
      </c>
      <c r="J766" s="4" t="s">
        <v>68</v>
      </c>
      <c r="K766" s="4" t="s">
        <v>2241</v>
      </c>
      <c r="L766" s="4" t="s">
        <v>432</v>
      </c>
      <c r="M766" s="4" t="s">
        <v>356</v>
      </c>
      <c r="N766" s="4" t="s">
        <v>433</v>
      </c>
      <c r="O766" s="4"/>
      <c r="P766" s="4" t="s">
        <v>46</v>
      </c>
    </row>
    <row r="767" customFormat="false" ht="15" hidden="false" customHeight="false" outlineLevel="0" collapsed="false">
      <c r="A767" s="4" t="s">
        <v>2242</v>
      </c>
      <c r="B767" s="4" t="s">
        <v>2235</v>
      </c>
      <c r="C767" s="4" t="s">
        <v>1648</v>
      </c>
      <c r="D767" s="4" t="s">
        <v>1649</v>
      </c>
      <c r="E767" s="4" t="s">
        <v>761</v>
      </c>
      <c r="F767" s="4" t="s">
        <v>70</v>
      </c>
      <c r="G767" s="4" t="s">
        <v>38</v>
      </c>
      <c r="H767" s="4" t="n">
        <v>1</v>
      </c>
      <c r="I767" s="4" t="s">
        <v>692</v>
      </c>
      <c r="J767" s="4" t="s">
        <v>68</v>
      </c>
      <c r="K767" s="4" t="s">
        <v>1339</v>
      </c>
      <c r="L767" s="4" t="s">
        <v>42</v>
      </c>
      <c r="M767" s="4" t="s">
        <v>43</v>
      </c>
      <c r="N767" s="4" t="s">
        <v>44</v>
      </c>
      <c r="O767" s="4" t="s">
        <v>1340</v>
      </c>
      <c r="P767" s="4" t="s">
        <v>46</v>
      </c>
    </row>
    <row r="768" customFormat="false" ht="15" hidden="false" customHeight="false" outlineLevel="0" collapsed="false">
      <c r="A768" s="4" t="s">
        <v>2243</v>
      </c>
      <c r="B768" s="4" t="s">
        <v>2235</v>
      </c>
      <c r="C768" s="4" t="s">
        <v>1648</v>
      </c>
      <c r="D768" s="4" t="s">
        <v>1649</v>
      </c>
      <c r="E768" s="4" t="s">
        <v>627</v>
      </c>
      <c r="F768" s="4" t="s">
        <v>128</v>
      </c>
      <c r="G768" s="4" t="s">
        <v>59</v>
      </c>
      <c r="H768" s="4" t="n">
        <v>2</v>
      </c>
      <c r="I768" s="4" t="s">
        <v>1430</v>
      </c>
      <c r="J768" s="4" t="s">
        <v>40</v>
      </c>
      <c r="K768" s="4" t="s">
        <v>2244</v>
      </c>
      <c r="L768" s="4" t="s">
        <v>596</v>
      </c>
      <c r="M768" s="4" t="s">
        <v>597</v>
      </c>
      <c r="N768" s="4" t="s">
        <v>44</v>
      </c>
      <c r="O768" s="4" t="s">
        <v>2245</v>
      </c>
      <c r="P768" s="4" t="s">
        <v>46</v>
      </c>
    </row>
    <row r="769" customFormat="false" ht="15" hidden="false" customHeight="false" outlineLevel="0" collapsed="false">
      <c r="A769" s="4" t="s">
        <v>2246</v>
      </c>
      <c r="B769" s="4" t="s">
        <v>2235</v>
      </c>
      <c r="C769" s="4" t="s">
        <v>1648</v>
      </c>
      <c r="D769" s="4" t="s">
        <v>1649</v>
      </c>
      <c r="E769" s="4" t="s">
        <v>627</v>
      </c>
      <c r="F769" s="4" t="s">
        <v>42</v>
      </c>
      <c r="G769" s="4" t="s">
        <v>38</v>
      </c>
      <c r="H769" s="4" t="n">
        <v>4</v>
      </c>
      <c r="I769" s="4" t="s">
        <v>789</v>
      </c>
      <c r="J769" s="4" t="s">
        <v>81</v>
      </c>
      <c r="K769" s="4" t="s">
        <v>2187</v>
      </c>
      <c r="L769" s="4" t="s">
        <v>42</v>
      </c>
      <c r="M769" s="4" t="s">
        <v>43</v>
      </c>
      <c r="N769" s="4" t="s">
        <v>44</v>
      </c>
      <c r="O769" s="4" t="s">
        <v>2188</v>
      </c>
      <c r="P769" s="4" t="s">
        <v>46</v>
      </c>
    </row>
    <row r="770" customFormat="false" ht="15" hidden="false" customHeight="false" outlineLevel="0" collapsed="false">
      <c r="A770" s="4" t="s">
        <v>2247</v>
      </c>
      <c r="B770" s="4" t="s">
        <v>2235</v>
      </c>
      <c r="C770" s="4" t="s">
        <v>1648</v>
      </c>
      <c r="D770" s="4" t="s">
        <v>1649</v>
      </c>
      <c r="E770" s="4" t="s">
        <v>613</v>
      </c>
      <c r="F770" s="4" t="s">
        <v>58</v>
      </c>
      <c r="G770" s="4" t="s">
        <v>38</v>
      </c>
      <c r="H770" s="4" t="n">
        <v>1</v>
      </c>
      <c r="I770" s="4" t="s">
        <v>2163</v>
      </c>
      <c r="J770" s="4" t="s">
        <v>40</v>
      </c>
      <c r="K770" s="4" t="s">
        <v>1924</v>
      </c>
      <c r="L770" s="4" t="s">
        <v>42</v>
      </c>
      <c r="M770" s="4" t="s">
        <v>133</v>
      </c>
      <c r="N770" s="4" t="s">
        <v>44</v>
      </c>
      <c r="O770" s="4" t="s">
        <v>1925</v>
      </c>
      <c r="P770" s="4" t="s">
        <v>46</v>
      </c>
    </row>
    <row r="771" customFormat="false" ht="15" hidden="false" customHeight="false" outlineLevel="0" collapsed="false">
      <c r="A771" s="4" t="s">
        <v>2248</v>
      </c>
      <c r="B771" s="4" t="s">
        <v>2235</v>
      </c>
      <c r="C771" s="4" t="s">
        <v>2249</v>
      </c>
      <c r="D771" s="4" t="s">
        <v>35</v>
      </c>
      <c r="E771" s="4" t="s">
        <v>36</v>
      </c>
      <c r="F771" s="4" t="s">
        <v>42</v>
      </c>
      <c r="G771" s="4" t="s">
        <v>59</v>
      </c>
      <c r="H771" s="4" t="n">
        <v>1</v>
      </c>
      <c r="I771" s="4" t="s">
        <v>60</v>
      </c>
      <c r="J771" s="4" t="s">
        <v>68</v>
      </c>
      <c r="K771" s="4" t="s">
        <v>210</v>
      </c>
      <c r="L771" s="4" t="s">
        <v>70</v>
      </c>
      <c r="M771" s="4" t="s">
        <v>43</v>
      </c>
      <c r="N771" s="4" t="s">
        <v>44</v>
      </c>
      <c r="O771" s="4" t="s">
        <v>211</v>
      </c>
      <c r="P771" s="4" t="s">
        <v>46</v>
      </c>
    </row>
    <row r="772" customFormat="false" ht="15" hidden="false" customHeight="false" outlineLevel="0" collapsed="false">
      <c r="A772" s="4" t="s">
        <v>2250</v>
      </c>
      <c r="B772" s="4" t="s">
        <v>1648</v>
      </c>
      <c r="C772" s="4" t="s">
        <v>1648</v>
      </c>
      <c r="D772" s="4" t="s">
        <v>1649</v>
      </c>
      <c r="E772" s="4" t="s">
        <v>627</v>
      </c>
      <c r="F772" s="4" t="s">
        <v>42</v>
      </c>
      <c r="G772" s="4" t="s">
        <v>38</v>
      </c>
      <c r="H772" s="4" t="n">
        <v>2</v>
      </c>
      <c r="I772" s="4" t="s">
        <v>1558</v>
      </c>
      <c r="J772" s="4" t="s">
        <v>68</v>
      </c>
      <c r="K772" s="4" t="s">
        <v>342</v>
      </c>
      <c r="L772" s="4" t="s">
        <v>42</v>
      </c>
      <c r="M772" s="4" t="s">
        <v>43</v>
      </c>
      <c r="N772" s="4" t="s">
        <v>44</v>
      </c>
      <c r="O772" s="4" t="s">
        <v>343</v>
      </c>
      <c r="P772" s="4" t="s">
        <v>46</v>
      </c>
    </row>
    <row r="773" customFormat="false" ht="15" hidden="false" customHeight="false" outlineLevel="0" collapsed="false">
      <c r="A773" s="4" t="s">
        <v>2251</v>
      </c>
      <c r="B773" s="4" t="s">
        <v>1648</v>
      </c>
      <c r="C773" s="4" t="s">
        <v>1648</v>
      </c>
      <c r="D773" s="4" t="s">
        <v>1649</v>
      </c>
      <c r="E773" s="4" t="s">
        <v>627</v>
      </c>
      <c r="F773" s="4" t="s">
        <v>37</v>
      </c>
      <c r="G773" s="4" t="s">
        <v>59</v>
      </c>
      <c r="H773" s="4" t="n">
        <v>1</v>
      </c>
      <c r="I773" s="4" t="s">
        <v>1024</v>
      </c>
      <c r="J773" s="4" t="s">
        <v>68</v>
      </c>
      <c r="K773" s="4" t="s">
        <v>517</v>
      </c>
      <c r="L773" s="4" t="s">
        <v>42</v>
      </c>
      <c r="M773" s="4" t="s">
        <v>43</v>
      </c>
      <c r="N773" s="4" t="s">
        <v>44</v>
      </c>
      <c r="O773" s="4" t="s">
        <v>518</v>
      </c>
      <c r="P773" s="4" t="s">
        <v>46</v>
      </c>
    </row>
    <row r="774" customFormat="false" ht="15" hidden="false" customHeight="false" outlineLevel="0" collapsed="false">
      <c r="A774" s="4" t="s">
        <v>2252</v>
      </c>
      <c r="B774" s="4" t="s">
        <v>1648</v>
      </c>
      <c r="C774" s="4" t="s">
        <v>1648</v>
      </c>
      <c r="D774" s="4" t="s">
        <v>1649</v>
      </c>
      <c r="E774" s="4" t="s">
        <v>649</v>
      </c>
      <c r="F774" s="4" t="s">
        <v>42</v>
      </c>
      <c r="G774" s="4" t="s">
        <v>38</v>
      </c>
      <c r="H774" s="4" t="n">
        <v>1</v>
      </c>
      <c r="I774" s="4" t="s">
        <v>1107</v>
      </c>
      <c r="J774" s="4" t="s">
        <v>68</v>
      </c>
      <c r="K774" s="4" t="s">
        <v>558</v>
      </c>
      <c r="L774" s="4" t="s">
        <v>37</v>
      </c>
      <c r="M774" s="4" t="s">
        <v>133</v>
      </c>
      <c r="N774" s="4" t="s">
        <v>44</v>
      </c>
      <c r="O774" s="4" t="s">
        <v>559</v>
      </c>
      <c r="P774" s="4" t="s">
        <v>46</v>
      </c>
    </row>
    <row r="775" customFormat="false" ht="15" hidden="false" customHeight="false" outlineLevel="0" collapsed="false">
      <c r="A775" s="4" t="s">
        <v>2253</v>
      </c>
      <c r="B775" s="4" t="s">
        <v>1648</v>
      </c>
      <c r="C775" s="4" t="s">
        <v>1648</v>
      </c>
      <c r="D775" s="4" t="s">
        <v>1649</v>
      </c>
      <c r="E775" s="4" t="s">
        <v>627</v>
      </c>
      <c r="F775" s="4" t="s">
        <v>42</v>
      </c>
      <c r="G775" s="4" t="s">
        <v>326</v>
      </c>
      <c r="H775" s="4" t="n">
        <v>4</v>
      </c>
      <c r="I775" s="4" t="s">
        <v>2254</v>
      </c>
      <c r="J775" s="4" t="s">
        <v>68</v>
      </c>
      <c r="K775" s="4" t="s">
        <v>620</v>
      </c>
      <c r="L775" s="4" t="s">
        <v>42</v>
      </c>
      <c r="M775" s="4" t="s">
        <v>133</v>
      </c>
      <c r="N775" s="4" t="s">
        <v>44</v>
      </c>
      <c r="O775" s="4" t="s">
        <v>621</v>
      </c>
      <c r="P775" s="4" t="s">
        <v>46</v>
      </c>
    </row>
    <row r="776" customFormat="false" ht="15" hidden="false" customHeight="false" outlineLevel="0" collapsed="false">
      <c r="A776" s="4" t="s">
        <v>2255</v>
      </c>
      <c r="B776" s="4" t="s">
        <v>1648</v>
      </c>
      <c r="C776" s="4" t="s">
        <v>1648</v>
      </c>
      <c r="D776" s="4" t="s">
        <v>1649</v>
      </c>
      <c r="E776" s="4" t="s">
        <v>627</v>
      </c>
      <c r="F776" s="4" t="s">
        <v>42</v>
      </c>
      <c r="G776" s="4" t="s">
        <v>59</v>
      </c>
      <c r="H776" s="4" t="n">
        <v>2</v>
      </c>
      <c r="I776" s="4" t="s">
        <v>944</v>
      </c>
      <c r="J776" s="4" t="s">
        <v>68</v>
      </c>
      <c r="K776" s="4" t="s">
        <v>1769</v>
      </c>
      <c r="L776" s="4" t="s">
        <v>42</v>
      </c>
      <c r="M776" s="4" t="s">
        <v>133</v>
      </c>
      <c r="N776" s="4" t="s">
        <v>44</v>
      </c>
      <c r="O776" s="4" t="s">
        <v>1770</v>
      </c>
      <c r="P776" s="4" t="s">
        <v>46</v>
      </c>
    </row>
    <row r="777" customFormat="false" ht="15" hidden="false" customHeight="false" outlineLevel="0" collapsed="false">
      <c r="A777" s="4" t="s">
        <v>2256</v>
      </c>
      <c r="B777" s="4" t="s">
        <v>1648</v>
      </c>
      <c r="C777" s="4" t="s">
        <v>1648</v>
      </c>
      <c r="D777" s="4" t="s">
        <v>1649</v>
      </c>
      <c r="E777" s="4" t="s">
        <v>627</v>
      </c>
      <c r="F777" s="4" t="s">
        <v>42</v>
      </c>
      <c r="G777" s="4" t="s">
        <v>38</v>
      </c>
      <c r="H777" s="4"/>
      <c r="I777" s="4" t="s">
        <v>402</v>
      </c>
      <c r="J777" s="4" t="s">
        <v>149</v>
      </c>
      <c r="K777" s="4" t="s">
        <v>257</v>
      </c>
      <c r="L777" s="4" t="s">
        <v>42</v>
      </c>
      <c r="M777" s="4" t="s">
        <v>43</v>
      </c>
      <c r="N777" s="4" t="s">
        <v>44</v>
      </c>
      <c r="O777" s="4" t="s">
        <v>258</v>
      </c>
      <c r="P777" s="4" t="s">
        <v>46</v>
      </c>
    </row>
    <row r="778" customFormat="false" ht="15" hidden="false" customHeight="false" outlineLevel="0" collapsed="false">
      <c r="A778" s="4" t="s">
        <v>2257</v>
      </c>
      <c r="B778" s="4" t="s">
        <v>1648</v>
      </c>
      <c r="C778" s="4" t="s">
        <v>1648</v>
      </c>
      <c r="D778" s="4" t="s">
        <v>1649</v>
      </c>
      <c r="E778" s="4" t="s">
        <v>627</v>
      </c>
      <c r="F778" s="4" t="s">
        <v>42</v>
      </c>
      <c r="G778" s="4" t="s">
        <v>38</v>
      </c>
      <c r="H778" s="4" t="n">
        <v>1</v>
      </c>
      <c r="I778" s="4" t="s">
        <v>2035</v>
      </c>
      <c r="J778" s="4" t="s">
        <v>68</v>
      </c>
      <c r="K778" s="4" t="s">
        <v>280</v>
      </c>
      <c r="L778" s="4" t="s">
        <v>42</v>
      </c>
      <c r="M778" s="4" t="s">
        <v>43</v>
      </c>
      <c r="N778" s="4" t="s">
        <v>44</v>
      </c>
      <c r="O778" s="4" t="s">
        <v>281</v>
      </c>
      <c r="P778" s="4" t="s">
        <v>46</v>
      </c>
    </row>
    <row r="779" customFormat="false" ht="15" hidden="false" customHeight="false" outlineLevel="0" collapsed="false">
      <c r="A779" s="4" t="s">
        <v>2258</v>
      </c>
      <c r="B779" s="4" t="s">
        <v>1648</v>
      </c>
      <c r="C779" s="4" t="s">
        <v>1648</v>
      </c>
      <c r="D779" s="4" t="s">
        <v>1649</v>
      </c>
      <c r="E779" s="4" t="s">
        <v>618</v>
      </c>
      <c r="F779" s="4" t="s">
        <v>42</v>
      </c>
      <c r="G779" s="4" t="s">
        <v>38</v>
      </c>
      <c r="H779" s="4" t="n">
        <v>2</v>
      </c>
      <c r="I779" s="4" t="s">
        <v>2144</v>
      </c>
      <c r="J779" s="4" t="s">
        <v>68</v>
      </c>
      <c r="K779" s="4" t="s">
        <v>2259</v>
      </c>
      <c r="L779" s="4" t="s">
        <v>736</v>
      </c>
      <c r="M779" s="4" t="s">
        <v>737</v>
      </c>
      <c r="N779" s="4" t="s">
        <v>44</v>
      </c>
      <c r="O779" s="4" t="s">
        <v>2260</v>
      </c>
      <c r="P779" s="4" t="s">
        <v>46</v>
      </c>
    </row>
    <row r="780" customFormat="false" ht="15" hidden="false" customHeight="false" outlineLevel="0" collapsed="false">
      <c r="A780" s="4" t="s">
        <v>2261</v>
      </c>
      <c r="B780" s="4" t="s">
        <v>1648</v>
      </c>
      <c r="C780" s="4" t="s">
        <v>1648</v>
      </c>
      <c r="D780" s="4" t="s">
        <v>1649</v>
      </c>
      <c r="E780" s="4" t="s">
        <v>649</v>
      </c>
      <c r="F780" s="4" t="s">
        <v>128</v>
      </c>
      <c r="G780" s="4" t="s">
        <v>38</v>
      </c>
      <c r="H780" s="4" t="n">
        <v>2</v>
      </c>
      <c r="I780" s="4" t="s">
        <v>2144</v>
      </c>
      <c r="J780" s="4" t="s">
        <v>68</v>
      </c>
      <c r="K780" s="4" t="s">
        <v>1534</v>
      </c>
      <c r="L780" s="4" t="s">
        <v>2262</v>
      </c>
      <c r="M780" s="4" t="s">
        <v>356</v>
      </c>
      <c r="N780" s="4" t="s">
        <v>863</v>
      </c>
      <c r="O780" s="4"/>
      <c r="P780" s="4" t="s">
        <v>46</v>
      </c>
    </row>
    <row r="781" customFormat="false" ht="15" hidden="false" customHeight="false" outlineLevel="0" collapsed="false">
      <c r="A781" s="4" t="s">
        <v>2263</v>
      </c>
      <c r="B781" s="4" t="s">
        <v>1648</v>
      </c>
      <c r="C781" s="4" t="s">
        <v>1648</v>
      </c>
      <c r="D781" s="4" t="s">
        <v>35</v>
      </c>
      <c r="E781" s="4" t="s">
        <v>36</v>
      </c>
      <c r="F781" s="4" t="s">
        <v>42</v>
      </c>
      <c r="G781" s="4" t="s">
        <v>38</v>
      </c>
      <c r="H781" s="4" t="n">
        <v>1</v>
      </c>
      <c r="I781" s="4" t="s">
        <v>39</v>
      </c>
      <c r="J781" s="4" t="s">
        <v>68</v>
      </c>
      <c r="K781" s="4" t="s">
        <v>210</v>
      </c>
      <c r="L781" s="4" t="s">
        <v>42</v>
      </c>
      <c r="M781" s="4" t="s">
        <v>43</v>
      </c>
      <c r="N781" s="4" t="s">
        <v>94</v>
      </c>
      <c r="O781" s="4" t="s">
        <v>211</v>
      </c>
      <c r="P781" s="4" t="s">
        <v>46</v>
      </c>
    </row>
    <row r="782" customFormat="false" ht="15" hidden="false" customHeight="false" outlineLevel="0" collapsed="false">
      <c r="A782" s="4" t="s">
        <v>2264</v>
      </c>
      <c r="B782" s="4" t="s">
        <v>2249</v>
      </c>
      <c r="C782" s="4" t="s">
        <v>2249</v>
      </c>
      <c r="D782" s="4" t="s">
        <v>35</v>
      </c>
      <c r="E782" s="4" t="s">
        <v>36</v>
      </c>
      <c r="F782" s="4" t="s">
        <v>42</v>
      </c>
      <c r="G782" s="4" t="s">
        <v>59</v>
      </c>
      <c r="H782" s="4" t="n">
        <v>1</v>
      </c>
      <c r="I782" s="4" t="s">
        <v>124</v>
      </c>
      <c r="J782" s="4" t="s">
        <v>68</v>
      </c>
      <c r="K782" s="4" t="s">
        <v>758</v>
      </c>
      <c r="L782" s="4" t="s">
        <v>42</v>
      </c>
      <c r="M782" s="4" t="s">
        <v>43</v>
      </c>
      <c r="N782" s="4" t="s">
        <v>44</v>
      </c>
      <c r="O782" s="4" t="s">
        <v>759</v>
      </c>
      <c r="P782" s="4" t="s">
        <v>46</v>
      </c>
    </row>
    <row r="783" customFormat="false" ht="15" hidden="false" customHeight="false" outlineLevel="0" collapsed="false">
      <c r="A783" s="4" t="s">
        <v>2265</v>
      </c>
      <c r="B783" s="4" t="s">
        <v>2266</v>
      </c>
      <c r="C783" s="4" t="s">
        <v>2266</v>
      </c>
      <c r="D783" s="4" t="s">
        <v>35</v>
      </c>
      <c r="E783" s="4" t="s">
        <v>89</v>
      </c>
      <c r="F783" s="4" t="s">
        <v>70</v>
      </c>
      <c r="G783" s="4" t="s">
        <v>38</v>
      </c>
      <c r="H783" s="4" t="n">
        <v>1</v>
      </c>
      <c r="I783" s="4" t="s">
        <v>50</v>
      </c>
      <c r="J783" s="4" t="s">
        <v>68</v>
      </c>
      <c r="K783" s="4" t="s">
        <v>741</v>
      </c>
      <c r="L783" s="4" t="s">
        <v>168</v>
      </c>
      <c r="M783" s="4" t="s">
        <v>43</v>
      </c>
      <c r="N783" s="4" t="s">
        <v>44</v>
      </c>
      <c r="O783" s="4" t="s">
        <v>742</v>
      </c>
      <c r="P783" s="4" t="s">
        <v>46</v>
      </c>
    </row>
    <row r="784" customFormat="false" ht="15" hidden="false" customHeight="false" outlineLevel="0" collapsed="false">
      <c r="A784" s="4" t="s">
        <v>2267</v>
      </c>
      <c r="B784" s="4" t="s">
        <v>2266</v>
      </c>
      <c r="C784" s="4" t="s">
        <v>2268</v>
      </c>
      <c r="D784" s="4" t="s">
        <v>35</v>
      </c>
      <c r="E784" s="4" t="s">
        <v>36</v>
      </c>
      <c r="F784" s="4" t="s">
        <v>58</v>
      </c>
      <c r="G784" s="4" t="s">
        <v>38</v>
      </c>
      <c r="H784" s="4" t="n">
        <v>1</v>
      </c>
      <c r="I784" s="4" t="s">
        <v>50</v>
      </c>
      <c r="J784" s="4" t="s">
        <v>68</v>
      </c>
      <c r="K784" s="4" t="s">
        <v>1553</v>
      </c>
      <c r="L784" s="4" t="s">
        <v>42</v>
      </c>
      <c r="M784" s="4" t="s">
        <v>43</v>
      </c>
      <c r="N784" s="4" t="s">
        <v>44</v>
      </c>
      <c r="O784" s="4" t="s">
        <v>1554</v>
      </c>
      <c r="P784" s="4" t="s">
        <v>46</v>
      </c>
    </row>
    <row r="785" customFormat="false" ht="15" hidden="false" customHeight="false" outlineLevel="0" collapsed="false">
      <c r="A785" s="4" t="s">
        <v>2269</v>
      </c>
      <c r="B785" s="4" t="s">
        <v>2270</v>
      </c>
      <c r="C785" s="4" t="s">
        <v>2271</v>
      </c>
      <c r="D785" s="4" t="s">
        <v>35</v>
      </c>
      <c r="E785" s="4" t="s">
        <v>36</v>
      </c>
      <c r="F785" s="4" t="s">
        <v>42</v>
      </c>
      <c r="G785" s="4" t="s">
        <v>38</v>
      </c>
      <c r="H785" s="4" t="n">
        <v>2</v>
      </c>
      <c r="I785" s="4" t="s">
        <v>67</v>
      </c>
      <c r="J785" s="4" t="s">
        <v>68</v>
      </c>
      <c r="K785" s="4" t="s">
        <v>2187</v>
      </c>
      <c r="L785" s="4" t="s">
        <v>42</v>
      </c>
      <c r="M785" s="4" t="s">
        <v>43</v>
      </c>
      <c r="N785" s="4" t="s">
        <v>44</v>
      </c>
      <c r="O785" s="4" t="s">
        <v>2188</v>
      </c>
      <c r="P785" s="4" t="s">
        <v>46</v>
      </c>
    </row>
    <row r="786" customFormat="false" ht="15" hidden="false" customHeight="false" outlineLevel="0" collapsed="false">
      <c r="A786" s="4" t="s">
        <v>2272</v>
      </c>
      <c r="B786" s="4" t="s">
        <v>2273</v>
      </c>
      <c r="C786" s="4" t="s">
        <v>2274</v>
      </c>
      <c r="D786" s="4" t="s">
        <v>35</v>
      </c>
      <c r="E786" s="4" t="s">
        <v>89</v>
      </c>
      <c r="F786" s="4" t="s">
        <v>70</v>
      </c>
      <c r="G786" s="4" t="s">
        <v>38</v>
      </c>
      <c r="H786" s="4" t="n">
        <v>1</v>
      </c>
      <c r="I786" s="4" t="s">
        <v>67</v>
      </c>
      <c r="J786" s="4" t="s">
        <v>68</v>
      </c>
      <c r="K786" s="4" t="s">
        <v>103</v>
      </c>
      <c r="L786" s="4" t="s">
        <v>42</v>
      </c>
      <c r="M786" s="4" t="s">
        <v>43</v>
      </c>
      <c r="N786" s="4" t="s">
        <v>44</v>
      </c>
      <c r="O786" s="4" t="s">
        <v>104</v>
      </c>
      <c r="P786" s="4" t="s">
        <v>46</v>
      </c>
    </row>
    <row r="787" customFormat="false" ht="15" hidden="false" customHeight="false" outlineLevel="0" collapsed="false">
      <c r="A787" s="4" t="s">
        <v>2275</v>
      </c>
      <c r="B787" s="4" t="s">
        <v>2271</v>
      </c>
      <c r="C787" s="4" t="s">
        <v>2274</v>
      </c>
      <c r="D787" s="4" t="s">
        <v>35</v>
      </c>
      <c r="E787" s="4" t="s">
        <v>66</v>
      </c>
      <c r="F787" s="4" t="s">
        <v>42</v>
      </c>
      <c r="G787" s="4" t="s">
        <v>38</v>
      </c>
      <c r="H787" s="4" t="n">
        <v>4</v>
      </c>
      <c r="I787" s="4" t="s">
        <v>240</v>
      </c>
      <c r="J787" s="4" t="s">
        <v>68</v>
      </c>
      <c r="K787" s="4" t="s">
        <v>1942</v>
      </c>
      <c r="L787" s="4" t="s">
        <v>42</v>
      </c>
      <c r="M787" s="4" t="s">
        <v>43</v>
      </c>
      <c r="N787" s="4" t="s">
        <v>44</v>
      </c>
      <c r="O787" s="4" t="s">
        <v>1943</v>
      </c>
      <c r="P787" s="4" t="s">
        <v>46</v>
      </c>
    </row>
    <row r="788" customFormat="false" ht="15" hidden="false" customHeight="false" outlineLevel="0" collapsed="false">
      <c r="A788" s="4" t="s">
        <v>2276</v>
      </c>
      <c r="B788" s="4" t="s">
        <v>2277</v>
      </c>
      <c r="C788" s="4" t="s">
        <v>2278</v>
      </c>
      <c r="D788" s="4" t="s">
        <v>35</v>
      </c>
      <c r="E788" s="4" t="s">
        <v>89</v>
      </c>
      <c r="F788" s="4" t="s">
        <v>42</v>
      </c>
      <c r="G788" s="4" t="s">
        <v>38</v>
      </c>
      <c r="H788" s="4" t="n">
        <v>2</v>
      </c>
      <c r="I788" s="4" t="s">
        <v>39</v>
      </c>
      <c r="J788" s="4" t="s">
        <v>81</v>
      </c>
      <c r="K788" s="4" t="s">
        <v>2279</v>
      </c>
      <c r="L788" s="4" t="s">
        <v>42</v>
      </c>
      <c r="M788" s="4" t="s">
        <v>43</v>
      </c>
      <c r="N788" s="4" t="s">
        <v>44</v>
      </c>
      <c r="O788" s="4" t="s">
        <v>2280</v>
      </c>
      <c r="P788" s="4" t="s">
        <v>46</v>
      </c>
    </row>
    <row r="789" customFormat="false" ht="15" hidden="false" customHeight="false" outlineLevel="0" collapsed="false">
      <c r="A789" s="4" t="s">
        <v>2281</v>
      </c>
      <c r="B789" s="4" t="s">
        <v>2282</v>
      </c>
      <c r="C789" s="4" t="s">
        <v>2282</v>
      </c>
      <c r="D789" s="4" t="s">
        <v>35</v>
      </c>
      <c r="E789" s="4" t="s">
        <v>49</v>
      </c>
      <c r="F789" s="4" t="s">
        <v>70</v>
      </c>
      <c r="G789" s="4" t="s">
        <v>59</v>
      </c>
      <c r="H789" s="4" t="n">
        <v>3</v>
      </c>
      <c r="I789" s="4" t="s">
        <v>60</v>
      </c>
      <c r="J789" s="4" t="s">
        <v>40</v>
      </c>
      <c r="K789" s="4" t="s">
        <v>1135</v>
      </c>
      <c r="L789" s="4" t="s">
        <v>58</v>
      </c>
      <c r="M789" s="4" t="s">
        <v>133</v>
      </c>
      <c r="N789" s="4" t="s">
        <v>44</v>
      </c>
      <c r="O789" s="4" t="s">
        <v>1136</v>
      </c>
      <c r="P789" s="4" t="s">
        <v>46</v>
      </c>
    </row>
    <row r="790" customFormat="false" ht="15" hidden="false" customHeight="false" outlineLevel="0" collapsed="false">
      <c r="A790" s="4" t="s">
        <v>2283</v>
      </c>
      <c r="B790" s="4" t="s">
        <v>2278</v>
      </c>
      <c r="C790" s="4" t="s">
        <v>2284</v>
      </c>
      <c r="D790" s="4" t="s">
        <v>35</v>
      </c>
      <c r="E790" s="4" t="s">
        <v>36</v>
      </c>
      <c r="F790" s="4" t="s">
        <v>42</v>
      </c>
      <c r="G790" s="4" t="s">
        <v>59</v>
      </c>
      <c r="H790" s="4" t="n">
        <v>3</v>
      </c>
      <c r="I790" s="4" t="s">
        <v>124</v>
      </c>
      <c r="J790" s="4" t="s">
        <v>68</v>
      </c>
      <c r="K790" s="4" t="s">
        <v>854</v>
      </c>
      <c r="L790" s="4" t="s">
        <v>42</v>
      </c>
      <c r="M790" s="4" t="s">
        <v>43</v>
      </c>
      <c r="N790" s="4" t="s">
        <v>44</v>
      </c>
      <c r="O790" s="4" t="s">
        <v>855</v>
      </c>
      <c r="P790" s="4" t="s">
        <v>46</v>
      </c>
    </row>
    <row r="791" customFormat="false" ht="15" hidden="false" customHeight="false" outlineLevel="0" collapsed="false">
      <c r="A791" s="4" t="s">
        <v>2285</v>
      </c>
      <c r="B791" s="4" t="s">
        <v>2286</v>
      </c>
      <c r="C791" s="4" t="s">
        <v>2286</v>
      </c>
      <c r="D791" s="4" t="s">
        <v>35</v>
      </c>
      <c r="E791" s="4" t="s">
        <v>36</v>
      </c>
      <c r="F791" s="4" t="s">
        <v>37</v>
      </c>
      <c r="G791" s="4" t="s">
        <v>38</v>
      </c>
      <c r="H791" s="4" t="n">
        <v>4</v>
      </c>
      <c r="I791" s="4" t="s">
        <v>50</v>
      </c>
      <c r="J791" s="4" t="s">
        <v>40</v>
      </c>
      <c r="K791" s="4" t="s">
        <v>983</v>
      </c>
      <c r="L791" s="4" t="s">
        <v>70</v>
      </c>
      <c r="M791" s="4" t="s">
        <v>43</v>
      </c>
      <c r="N791" s="4" t="s">
        <v>94</v>
      </c>
      <c r="O791" s="4" t="s">
        <v>984</v>
      </c>
      <c r="P791" s="4" t="s">
        <v>46</v>
      </c>
    </row>
    <row r="792" customFormat="false" ht="15" hidden="false" customHeight="false" outlineLevel="0" collapsed="false">
      <c r="A792" s="4" t="s">
        <v>2287</v>
      </c>
      <c r="B792" s="4" t="s">
        <v>2288</v>
      </c>
      <c r="C792" s="4" t="s">
        <v>2288</v>
      </c>
      <c r="D792" s="4" t="s">
        <v>35</v>
      </c>
      <c r="E792" s="4" t="s">
        <v>36</v>
      </c>
      <c r="F792" s="4" t="s">
        <v>42</v>
      </c>
      <c r="G792" s="4" t="s">
        <v>59</v>
      </c>
      <c r="H792" s="4" t="n">
        <v>2</v>
      </c>
      <c r="I792" s="4" t="s">
        <v>317</v>
      </c>
      <c r="J792" s="4" t="s">
        <v>40</v>
      </c>
      <c r="K792" s="4" t="s">
        <v>698</v>
      </c>
      <c r="L792" s="4" t="s">
        <v>168</v>
      </c>
      <c r="M792" s="4" t="s">
        <v>43</v>
      </c>
      <c r="N792" s="4" t="s">
        <v>44</v>
      </c>
      <c r="O792" s="4" t="s">
        <v>699</v>
      </c>
      <c r="P792" s="4" t="s">
        <v>46</v>
      </c>
    </row>
    <row r="793" customFormat="false" ht="15" hidden="false" customHeight="false" outlineLevel="0" collapsed="false">
      <c r="A793" s="4" t="s">
        <v>2289</v>
      </c>
      <c r="B793" s="4" t="s">
        <v>2290</v>
      </c>
      <c r="C793" s="4" t="s">
        <v>2291</v>
      </c>
      <c r="D793" s="4" t="s">
        <v>35</v>
      </c>
      <c r="E793" s="4" t="s">
        <v>57</v>
      </c>
      <c r="F793" s="4" t="s">
        <v>70</v>
      </c>
      <c r="G793" s="4" t="s">
        <v>38</v>
      </c>
      <c r="H793" s="4" t="n">
        <v>1</v>
      </c>
      <c r="I793" s="4" t="s">
        <v>67</v>
      </c>
      <c r="J793" s="4" t="s">
        <v>68</v>
      </c>
      <c r="K793" s="4" t="s">
        <v>284</v>
      </c>
      <c r="L793" s="4" t="s">
        <v>42</v>
      </c>
      <c r="M793" s="4" t="s">
        <v>43</v>
      </c>
      <c r="N793" s="4" t="s">
        <v>44</v>
      </c>
      <c r="O793" s="4" t="s">
        <v>285</v>
      </c>
      <c r="P793" s="4" t="s">
        <v>46</v>
      </c>
    </row>
    <row r="794" customFormat="false" ht="15" hidden="false" customHeight="false" outlineLevel="0" collapsed="false">
      <c r="A794" s="4" t="s">
        <v>2292</v>
      </c>
      <c r="B794" s="4" t="s">
        <v>2293</v>
      </c>
      <c r="C794" s="4" t="s">
        <v>2294</v>
      </c>
      <c r="D794" s="4" t="s">
        <v>35</v>
      </c>
      <c r="E794" s="4" t="s">
        <v>36</v>
      </c>
      <c r="F794" s="4" t="s">
        <v>42</v>
      </c>
      <c r="G794" s="4" t="s">
        <v>59</v>
      </c>
      <c r="H794" s="4" t="n">
        <v>1</v>
      </c>
      <c r="I794" s="4" t="s">
        <v>124</v>
      </c>
      <c r="J794" s="4" t="s">
        <v>68</v>
      </c>
      <c r="K794" s="4" t="s">
        <v>76</v>
      </c>
      <c r="L794" s="4" t="s">
        <v>70</v>
      </c>
      <c r="M794" s="4" t="s">
        <v>43</v>
      </c>
      <c r="N794" s="4" t="s">
        <v>44</v>
      </c>
      <c r="O794" s="4" t="s">
        <v>77</v>
      </c>
      <c r="P794" s="4" t="s">
        <v>46</v>
      </c>
    </row>
    <row r="795" customFormat="false" ht="15" hidden="false" customHeight="false" outlineLevel="0" collapsed="false">
      <c r="A795" s="4" t="s">
        <v>2295</v>
      </c>
      <c r="B795" s="4" t="s">
        <v>2296</v>
      </c>
      <c r="C795" s="4" t="s">
        <v>2297</v>
      </c>
      <c r="D795" s="4" t="s">
        <v>35</v>
      </c>
      <c r="E795" s="4" t="s">
        <v>36</v>
      </c>
      <c r="F795" s="4" t="s">
        <v>42</v>
      </c>
      <c r="G795" s="4" t="s">
        <v>38</v>
      </c>
      <c r="H795" s="4" t="n">
        <v>2</v>
      </c>
      <c r="I795" s="4" t="s">
        <v>39</v>
      </c>
      <c r="J795" s="4" t="s">
        <v>40</v>
      </c>
      <c r="K795" s="4" t="s">
        <v>103</v>
      </c>
      <c r="L795" s="4" t="s">
        <v>42</v>
      </c>
      <c r="M795" s="4" t="s">
        <v>43</v>
      </c>
      <c r="N795" s="4" t="s">
        <v>44</v>
      </c>
      <c r="O795" s="4" t="s">
        <v>104</v>
      </c>
      <c r="P795" s="4" t="s">
        <v>46</v>
      </c>
    </row>
    <row r="796" customFormat="false" ht="15" hidden="false" customHeight="false" outlineLevel="0" collapsed="false">
      <c r="A796" s="4" t="s">
        <v>2298</v>
      </c>
      <c r="B796" s="4" t="s">
        <v>2299</v>
      </c>
      <c r="C796" s="4" t="s">
        <v>2300</v>
      </c>
      <c r="D796" s="4" t="s">
        <v>35</v>
      </c>
      <c r="E796" s="4" t="s">
        <v>66</v>
      </c>
      <c r="F796" s="4" t="s">
        <v>37</v>
      </c>
      <c r="G796" s="4" t="s">
        <v>38</v>
      </c>
      <c r="H796" s="4" t="n">
        <v>1</v>
      </c>
      <c r="I796" s="4" t="s">
        <v>39</v>
      </c>
      <c r="J796" s="4" t="s">
        <v>40</v>
      </c>
      <c r="K796" s="4" t="s">
        <v>107</v>
      </c>
      <c r="L796" s="4" t="s">
        <v>42</v>
      </c>
      <c r="M796" s="4" t="s">
        <v>43</v>
      </c>
      <c r="N796" s="4" t="s">
        <v>44</v>
      </c>
      <c r="O796" s="4" t="s">
        <v>108</v>
      </c>
      <c r="P796" s="4" t="s">
        <v>46</v>
      </c>
    </row>
    <row r="797" customFormat="false" ht="15" hidden="false" customHeight="false" outlineLevel="0" collapsed="false">
      <c r="A797" s="4" t="s">
        <v>2301</v>
      </c>
      <c r="B797" s="4" t="s">
        <v>2302</v>
      </c>
      <c r="C797" s="4" t="s">
        <v>2303</v>
      </c>
      <c r="D797" s="4" t="s">
        <v>35</v>
      </c>
      <c r="E797" s="4" t="s">
        <v>36</v>
      </c>
      <c r="F797" s="4" t="s">
        <v>42</v>
      </c>
      <c r="G797" s="4" t="s">
        <v>38</v>
      </c>
      <c r="H797" s="4" t="n">
        <v>3</v>
      </c>
      <c r="I797" s="4" t="s">
        <v>39</v>
      </c>
      <c r="J797" s="4" t="s">
        <v>40</v>
      </c>
      <c r="K797" s="4" t="s">
        <v>235</v>
      </c>
      <c r="L797" s="4" t="s">
        <v>42</v>
      </c>
      <c r="M797" s="4" t="s">
        <v>133</v>
      </c>
      <c r="N797" s="4" t="s">
        <v>44</v>
      </c>
      <c r="O797" s="4" t="s">
        <v>236</v>
      </c>
      <c r="P797" s="4" t="s">
        <v>46</v>
      </c>
    </row>
    <row r="798" customFormat="false" ht="15" hidden="false" customHeight="false" outlineLevel="0" collapsed="false">
      <c r="A798" s="4" t="s">
        <v>2304</v>
      </c>
      <c r="B798" s="4" t="s">
        <v>2305</v>
      </c>
      <c r="C798" s="4" t="s">
        <v>2306</v>
      </c>
      <c r="D798" s="4" t="s">
        <v>35</v>
      </c>
      <c r="E798" s="4" t="s">
        <v>36</v>
      </c>
      <c r="F798" s="4" t="s">
        <v>58</v>
      </c>
      <c r="G798" s="4" t="s">
        <v>38</v>
      </c>
      <c r="H798" s="4" t="n">
        <v>1</v>
      </c>
      <c r="I798" s="4" t="s">
        <v>240</v>
      </c>
      <c r="J798" s="4" t="s">
        <v>68</v>
      </c>
      <c r="K798" s="4" t="s">
        <v>1979</v>
      </c>
      <c r="L798" s="4" t="s">
        <v>42</v>
      </c>
      <c r="M798" s="4" t="s">
        <v>43</v>
      </c>
      <c r="N798" s="4" t="s">
        <v>44</v>
      </c>
      <c r="O798" s="4" t="s">
        <v>1980</v>
      </c>
      <c r="P798" s="4" t="s">
        <v>46</v>
      </c>
    </row>
    <row r="799" customFormat="false" ht="15" hidden="false" customHeight="false" outlineLevel="0" collapsed="false">
      <c r="A799" s="4" t="s">
        <v>2304</v>
      </c>
      <c r="B799" s="4" t="s">
        <v>2305</v>
      </c>
      <c r="C799" s="4" t="s">
        <v>2306</v>
      </c>
      <c r="D799" s="4" t="s">
        <v>35</v>
      </c>
      <c r="E799" s="4" t="s">
        <v>36</v>
      </c>
      <c r="F799" s="4" t="s">
        <v>58</v>
      </c>
      <c r="G799" s="4" t="s">
        <v>38</v>
      </c>
      <c r="H799" s="4" t="n">
        <v>1</v>
      </c>
      <c r="I799" s="4" t="s">
        <v>240</v>
      </c>
      <c r="J799" s="4" t="s">
        <v>68</v>
      </c>
      <c r="K799" s="4" t="s">
        <v>1979</v>
      </c>
      <c r="L799" s="4" t="s">
        <v>42</v>
      </c>
      <c r="M799" s="4" t="s">
        <v>43</v>
      </c>
      <c r="N799" s="4" t="s">
        <v>44</v>
      </c>
      <c r="O799" s="4" t="s">
        <v>1980</v>
      </c>
      <c r="P799" s="4" t="s">
        <v>46</v>
      </c>
    </row>
    <row r="800" customFormat="false" ht="15" hidden="false" customHeight="false" outlineLevel="0" collapsed="false">
      <c r="A800" s="4" t="s">
        <v>2307</v>
      </c>
      <c r="B800" s="4" t="s">
        <v>2305</v>
      </c>
      <c r="C800" s="4" t="s">
        <v>2306</v>
      </c>
      <c r="D800" s="4" t="s">
        <v>35</v>
      </c>
      <c r="E800" s="4" t="s">
        <v>36</v>
      </c>
      <c r="F800" s="4" t="s">
        <v>42</v>
      </c>
      <c r="G800" s="4" t="s">
        <v>38</v>
      </c>
      <c r="H800" s="4" t="n">
        <v>1</v>
      </c>
      <c r="I800" s="4" t="s">
        <v>67</v>
      </c>
      <c r="J800" s="4" t="s">
        <v>40</v>
      </c>
      <c r="K800" s="4" t="s">
        <v>722</v>
      </c>
      <c r="L800" s="4" t="s">
        <v>58</v>
      </c>
      <c r="M800" s="4" t="s">
        <v>43</v>
      </c>
      <c r="N800" s="4" t="s">
        <v>44</v>
      </c>
      <c r="O800" s="4" t="s">
        <v>723</v>
      </c>
      <c r="P800" s="4" t="s">
        <v>46</v>
      </c>
    </row>
    <row r="801" customFormat="false" ht="15" hidden="false" customHeight="false" outlineLevel="0" collapsed="false">
      <c r="A801" s="4" t="s">
        <v>2308</v>
      </c>
      <c r="B801" s="4" t="s">
        <v>2309</v>
      </c>
      <c r="C801" s="4" t="s">
        <v>2310</v>
      </c>
      <c r="D801" s="4" t="s">
        <v>35</v>
      </c>
      <c r="E801" s="4" t="s">
        <v>36</v>
      </c>
      <c r="F801" s="4" t="s">
        <v>37</v>
      </c>
      <c r="G801" s="4" t="s">
        <v>59</v>
      </c>
      <c r="H801" s="4" t="n">
        <v>1</v>
      </c>
      <c r="I801" s="4" t="s">
        <v>138</v>
      </c>
      <c r="J801" s="4" t="s">
        <v>81</v>
      </c>
      <c r="K801" s="4" t="s">
        <v>546</v>
      </c>
      <c r="L801" s="4" t="s">
        <v>70</v>
      </c>
      <c r="M801" s="4" t="s">
        <v>43</v>
      </c>
      <c r="N801" s="4" t="s">
        <v>44</v>
      </c>
      <c r="O801" s="4" t="s">
        <v>547</v>
      </c>
      <c r="P801" s="4" t="s">
        <v>46</v>
      </c>
    </row>
    <row r="802" customFormat="false" ht="15" hidden="false" customHeight="false" outlineLevel="0" collapsed="false">
      <c r="A802" s="4" t="s">
        <v>2311</v>
      </c>
      <c r="B802" s="4" t="s">
        <v>2312</v>
      </c>
      <c r="C802" s="4" t="s">
        <v>2313</v>
      </c>
      <c r="D802" s="4" t="s">
        <v>35</v>
      </c>
      <c r="E802" s="4" t="s">
        <v>36</v>
      </c>
      <c r="F802" s="4" t="s">
        <v>42</v>
      </c>
      <c r="G802" s="4" t="s">
        <v>59</v>
      </c>
      <c r="H802" s="4" t="n">
        <v>3</v>
      </c>
      <c r="I802" s="4" t="s">
        <v>60</v>
      </c>
      <c r="J802" s="4" t="s">
        <v>40</v>
      </c>
      <c r="K802" s="4" t="s">
        <v>85</v>
      </c>
      <c r="L802" s="4" t="s">
        <v>42</v>
      </c>
      <c r="M802" s="4" t="s">
        <v>133</v>
      </c>
      <c r="N802" s="4" t="s">
        <v>44</v>
      </c>
      <c r="O802" s="4" t="s">
        <v>86</v>
      </c>
      <c r="P802" s="4" t="s">
        <v>46</v>
      </c>
    </row>
    <row r="803" customFormat="false" ht="15" hidden="false" customHeight="false" outlineLevel="0" collapsed="false">
      <c r="A803" s="4" t="s">
        <v>2314</v>
      </c>
      <c r="B803" s="4" t="s">
        <v>2315</v>
      </c>
      <c r="C803" s="4" t="s">
        <v>2313</v>
      </c>
      <c r="D803" s="4" t="s">
        <v>35</v>
      </c>
      <c r="E803" s="4" t="s">
        <v>49</v>
      </c>
      <c r="F803" s="4" t="s">
        <v>42</v>
      </c>
      <c r="G803" s="4" t="s">
        <v>59</v>
      </c>
      <c r="H803" s="4" t="n">
        <v>2</v>
      </c>
      <c r="I803" s="4" t="s">
        <v>60</v>
      </c>
      <c r="J803" s="4" t="s">
        <v>40</v>
      </c>
      <c r="K803" s="4" t="s">
        <v>132</v>
      </c>
      <c r="L803" s="4" t="s">
        <v>42</v>
      </c>
      <c r="M803" s="4" t="s">
        <v>43</v>
      </c>
      <c r="N803" s="4" t="s">
        <v>185</v>
      </c>
      <c r="O803" s="4" t="s">
        <v>134</v>
      </c>
      <c r="P803" s="4" t="s">
        <v>46</v>
      </c>
    </row>
    <row r="804" customFormat="false" ht="15" hidden="false" customHeight="false" outlineLevel="0" collapsed="false">
      <c r="A804" s="4" t="s">
        <v>2316</v>
      </c>
      <c r="B804" s="4" t="s">
        <v>2317</v>
      </c>
      <c r="C804" s="4" t="s">
        <v>2318</v>
      </c>
      <c r="D804" s="4" t="s">
        <v>35</v>
      </c>
      <c r="E804" s="4" t="s">
        <v>36</v>
      </c>
      <c r="F804" s="4" t="s">
        <v>37</v>
      </c>
      <c r="G804" s="4" t="s">
        <v>38</v>
      </c>
      <c r="H804" s="4" t="n">
        <v>4</v>
      </c>
      <c r="I804" s="4" t="s">
        <v>240</v>
      </c>
      <c r="J804" s="4" t="s">
        <v>68</v>
      </c>
      <c r="K804" s="4" t="s">
        <v>2319</v>
      </c>
      <c r="L804" s="4" t="s">
        <v>42</v>
      </c>
      <c r="M804" s="4" t="s">
        <v>43</v>
      </c>
      <c r="N804" s="4" t="s">
        <v>44</v>
      </c>
      <c r="O804" s="4" t="s">
        <v>2320</v>
      </c>
      <c r="P804" s="4" t="s">
        <v>46</v>
      </c>
    </row>
    <row r="805" customFormat="false" ht="15" hidden="false" customHeight="false" outlineLevel="0" collapsed="false">
      <c r="A805" s="4" t="s">
        <v>2321</v>
      </c>
      <c r="B805" s="5" t="n">
        <v>45659</v>
      </c>
      <c r="C805" s="5" t="n">
        <v>45662</v>
      </c>
      <c r="D805" s="4" t="s">
        <v>2322</v>
      </c>
      <c r="E805" s="4" t="s">
        <v>66</v>
      </c>
      <c r="F805" s="4" t="s">
        <v>2323</v>
      </c>
      <c r="G805" s="4" t="s">
        <v>59</v>
      </c>
      <c r="H805" s="4" t="n">
        <v>1</v>
      </c>
      <c r="I805" s="4" t="n">
        <v>22.5</v>
      </c>
      <c r="J805" s="4" t="s">
        <v>40</v>
      </c>
      <c r="K805" s="4" t="s">
        <v>2324</v>
      </c>
      <c r="L805" s="4" t="s">
        <v>2325</v>
      </c>
      <c r="M805" s="4" t="s">
        <v>377</v>
      </c>
      <c r="N805" s="4" t="s">
        <v>185</v>
      </c>
      <c r="O805" s="4" t="s">
        <v>2326</v>
      </c>
      <c r="P805" s="4" t="s">
        <v>2327</v>
      </c>
    </row>
    <row r="806" customFormat="false" ht="15" hidden="false" customHeight="false" outlineLevel="0" collapsed="false">
      <c r="A806" s="4" t="s">
        <v>2328</v>
      </c>
      <c r="B806" s="5" t="n">
        <v>45663</v>
      </c>
      <c r="C806" s="5" t="n">
        <v>45665</v>
      </c>
      <c r="D806" s="4" t="s">
        <v>2322</v>
      </c>
      <c r="E806" s="4" t="s">
        <v>49</v>
      </c>
      <c r="F806" s="4" t="s">
        <v>376</v>
      </c>
      <c r="G806" s="4" t="s">
        <v>38</v>
      </c>
      <c r="H806" s="4" t="n">
        <v>4</v>
      </c>
      <c r="I806" s="4" t="n">
        <v>30</v>
      </c>
      <c r="J806" s="4" t="s">
        <v>40</v>
      </c>
      <c r="K806" s="4" t="s">
        <v>2329</v>
      </c>
      <c r="L806" s="4" t="s">
        <v>376</v>
      </c>
      <c r="M806" s="4" t="s">
        <v>377</v>
      </c>
      <c r="N806" s="4" t="s">
        <v>44</v>
      </c>
      <c r="O806" s="4" t="s">
        <v>2330</v>
      </c>
      <c r="P806" s="4" t="s">
        <v>2327</v>
      </c>
    </row>
    <row r="807" customFormat="false" ht="15" hidden="false" customHeight="false" outlineLevel="0" collapsed="false">
      <c r="A807" s="4" t="s">
        <v>2331</v>
      </c>
      <c r="B807" s="5" t="n">
        <v>45664</v>
      </c>
      <c r="C807" s="5" t="n">
        <v>45665</v>
      </c>
      <c r="D807" s="4" t="s">
        <v>2322</v>
      </c>
      <c r="E807" s="4" t="s">
        <v>66</v>
      </c>
      <c r="F807" s="4" t="s">
        <v>2332</v>
      </c>
      <c r="G807" s="4" t="s">
        <v>38</v>
      </c>
      <c r="H807" s="4" t="n">
        <v>2</v>
      </c>
      <c r="I807" s="4" t="n">
        <v>45</v>
      </c>
      <c r="J807" s="4" t="s">
        <v>40</v>
      </c>
      <c r="K807" s="4" t="s">
        <v>375</v>
      </c>
      <c r="L807" s="4" t="s">
        <v>1172</v>
      </c>
      <c r="M807" s="4" t="s">
        <v>377</v>
      </c>
      <c r="N807" s="4" t="s">
        <v>44</v>
      </c>
      <c r="O807" s="4" t="s">
        <v>378</v>
      </c>
      <c r="P807" s="4" t="s">
        <v>2327</v>
      </c>
    </row>
    <row r="808" customFormat="false" ht="15" hidden="false" customHeight="false" outlineLevel="0" collapsed="false">
      <c r="A808" s="4" t="s">
        <v>2333</v>
      </c>
      <c r="B808" s="5" t="n">
        <v>45665</v>
      </c>
      <c r="C808" s="5" t="n">
        <v>45666</v>
      </c>
      <c r="D808" s="4" t="s">
        <v>2322</v>
      </c>
      <c r="E808" s="4" t="s">
        <v>66</v>
      </c>
      <c r="F808" s="4" t="s">
        <v>376</v>
      </c>
      <c r="G808" s="4" t="s">
        <v>38</v>
      </c>
      <c r="H808" s="4" t="n">
        <v>1</v>
      </c>
      <c r="I808" s="4" t="n">
        <v>45</v>
      </c>
      <c r="J808" s="4" t="s">
        <v>40</v>
      </c>
      <c r="K808" s="4" t="s">
        <v>2334</v>
      </c>
      <c r="L808" s="4" t="s">
        <v>376</v>
      </c>
      <c r="M808" s="4" t="s">
        <v>377</v>
      </c>
      <c r="N808" s="4" t="s">
        <v>44</v>
      </c>
      <c r="O808" s="4" t="s">
        <v>2335</v>
      </c>
      <c r="P808" s="4" t="s">
        <v>2327</v>
      </c>
    </row>
    <row r="809" customFormat="false" ht="15" hidden="false" customHeight="false" outlineLevel="0" collapsed="false">
      <c r="A809" s="4" t="s">
        <v>2336</v>
      </c>
      <c r="B809" s="5" t="n">
        <v>45668</v>
      </c>
      <c r="C809" s="5" t="n">
        <v>45669</v>
      </c>
      <c r="D809" s="4" t="s">
        <v>2322</v>
      </c>
      <c r="E809" s="4" t="s">
        <v>66</v>
      </c>
      <c r="F809" s="4" t="s">
        <v>376</v>
      </c>
      <c r="G809" s="4" t="s">
        <v>38</v>
      </c>
      <c r="H809" s="4" t="n">
        <v>1</v>
      </c>
      <c r="I809" s="4" t="n">
        <v>30</v>
      </c>
      <c r="J809" s="4" t="s">
        <v>40</v>
      </c>
      <c r="K809" s="4" t="s">
        <v>2337</v>
      </c>
      <c r="L809" s="4" t="s">
        <v>376</v>
      </c>
      <c r="M809" s="4" t="s">
        <v>377</v>
      </c>
      <c r="N809" s="4" t="s">
        <v>44</v>
      </c>
      <c r="O809" s="4" t="s">
        <v>2338</v>
      </c>
      <c r="P809" s="4" t="s">
        <v>2327</v>
      </c>
    </row>
    <row r="810" customFormat="false" ht="15" hidden="false" customHeight="false" outlineLevel="0" collapsed="false">
      <c r="A810" s="4" t="s">
        <v>2339</v>
      </c>
      <c r="B810" s="5" t="n">
        <v>45670</v>
      </c>
      <c r="C810" s="5" t="n">
        <v>45670</v>
      </c>
      <c r="D810" s="4" t="s">
        <v>2322</v>
      </c>
      <c r="E810" s="4" t="s">
        <v>36</v>
      </c>
      <c r="F810" s="4" t="s">
        <v>376</v>
      </c>
      <c r="G810" s="4" t="s">
        <v>38</v>
      </c>
      <c r="H810" s="4" t="n">
        <v>2</v>
      </c>
      <c r="I810" s="4" t="n">
        <v>35</v>
      </c>
      <c r="J810" s="4" t="s">
        <v>40</v>
      </c>
      <c r="K810" s="4" t="s">
        <v>2340</v>
      </c>
      <c r="L810" s="4" t="s">
        <v>376</v>
      </c>
      <c r="M810" s="4" t="s">
        <v>377</v>
      </c>
      <c r="N810" s="4" t="s">
        <v>44</v>
      </c>
      <c r="O810" s="4" t="s">
        <v>2341</v>
      </c>
      <c r="P810" s="4" t="s">
        <v>2327</v>
      </c>
    </row>
    <row r="811" customFormat="false" ht="15" hidden="false" customHeight="false" outlineLevel="0" collapsed="false">
      <c r="A811" s="4" t="s">
        <v>2342</v>
      </c>
      <c r="B811" s="5" t="n">
        <v>45670</v>
      </c>
      <c r="C811" s="5" t="n">
        <v>45673</v>
      </c>
      <c r="D811" s="4" t="s">
        <v>2322</v>
      </c>
      <c r="E811" s="4" t="s">
        <v>36</v>
      </c>
      <c r="F811" s="4" t="s">
        <v>376</v>
      </c>
      <c r="G811" s="4" t="s">
        <v>38</v>
      </c>
      <c r="H811" s="4" t="n">
        <v>1</v>
      </c>
      <c r="I811" s="4" t="n">
        <v>40</v>
      </c>
      <c r="J811" s="4" t="s">
        <v>40</v>
      </c>
      <c r="K811" s="4" t="s">
        <v>2343</v>
      </c>
      <c r="L811" s="4" t="s">
        <v>1172</v>
      </c>
      <c r="M811" s="4" t="s">
        <v>377</v>
      </c>
      <c r="N811" s="4" t="s">
        <v>44</v>
      </c>
      <c r="O811" s="4" t="s">
        <v>2344</v>
      </c>
      <c r="P811" s="4" t="s">
        <v>2327</v>
      </c>
    </row>
    <row r="812" customFormat="false" ht="15" hidden="false" customHeight="false" outlineLevel="0" collapsed="false">
      <c r="A812" s="4" t="s">
        <v>2345</v>
      </c>
      <c r="B812" s="5" t="n">
        <v>45673</v>
      </c>
      <c r="C812" s="5" t="n">
        <v>45675</v>
      </c>
      <c r="D812" s="4" t="s">
        <v>2322</v>
      </c>
      <c r="E812" s="4" t="s">
        <v>36</v>
      </c>
      <c r="F812" s="4" t="s">
        <v>376</v>
      </c>
      <c r="G812" s="4" t="s">
        <v>59</v>
      </c>
      <c r="H812" s="4" t="n">
        <v>3</v>
      </c>
      <c r="I812" s="4" t="n">
        <v>17.5</v>
      </c>
      <c r="J812" s="4" t="s">
        <v>68</v>
      </c>
      <c r="K812" s="4" t="s">
        <v>2346</v>
      </c>
      <c r="L812" s="4" t="s">
        <v>376</v>
      </c>
      <c r="M812" s="4" t="s">
        <v>377</v>
      </c>
      <c r="N812" s="4" t="s">
        <v>44</v>
      </c>
      <c r="O812" s="4" t="s">
        <v>2347</v>
      </c>
      <c r="P812" s="4" t="s">
        <v>2327</v>
      </c>
    </row>
    <row r="813" customFormat="false" ht="15" hidden="false" customHeight="false" outlineLevel="0" collapsed="false">
      <c r="A813" s="4" t="s">
        <v>2348</v>
      </c>
      <c r="B813" s="5" t="n">
        <v>45676</v>
      </c>
      <c r="C813" s="5" t="n">
        <v>45678</v>
      </c>
      <c r="D813" s="4" t="s">
        <v>2322</v>
      </c>
      <c r="E813" s="4" t="s">
        <v>57</v>
      </c>
      <c r="F813" s="4" t="s">
        <v>376</v>
      </c>
      <c r="G813" s="4" t="s">
        <v>38</v>
      </c>
      <c r="H813" s="4" t="n">
        <v>2</v>
      </c>
      <c r="I813" s="4" t="n">
        <v>30</v>
      </c>
      <c r="J813" s="4" t="s">
        <v>40</v>
      </c>
      <c r="K813" s="4" t="s">
        <v>2349</v>
      </c>
      <c r="L813" s="4" t="s">
        <v>376</v>
      </c>
      <c r="M813" s="4" t="s">
        <v>377</v>
      </c>
      <c r="N813" s="4" t="s">
        <v>44</v>
      </c>
      <c r="O813" s="4" t="s">
        <v>2350</v>
      </c>
      <c r="P813" s="4" t="s">
        <v>2327</v>
      </c>
    </row>
    <row r="814" customFormat="false" ht="15" hidden="false" customHeight="false" outlineLevel="0" collapsed="false">
      <c r="A814" s="4" t="s">
        <v>2351</v>
      </c>
      <c r="B814" s="5" t="n">
        <v>45680</v>
      </c>
      <c r="C814" s="5" t="n">
        <v>45682</v>
      </c>
      <c r="D814" s="4" t="s">
        <v>2322</v>
      </c>
      <c r="E814" s="4" t="s">
        <v>36</v>
      </c>
      <c r="F814" s="4" t="s">
        <v>376</v>
      </c>
      <c r="G814" s="4" t="s">
        <v>38</v>
      </c>
      <c r="H814" s="4" t="n">
        <v>1</v>
      </c>
      <c r="I814" s="4" t="n">
        <v>35</v>
      </c>
      <c r="J814" s="4" t="s">
        <v>68</v>
      </c>
      <c r="K814" s="4" t="s">
        <v>686</v>
      </c>
      <c r="L814" s="4" t="s">
        <v>376</v>
      </c>
      <c r="M814" s="4" t="s">
        <v>377</v>
      </c>
      <c r="N814" s="4" t="s">
        <v>44</v>
      </c>
      <c r="O814" s="4" t="s">
        <v>687</v>
      </c>
      <c r="P814" s="4" t="s">
        <v>2327</v>
      </c>
    </row>
    <row r="815" customFormat="false" ht="15" hidden="false" customHeight="false" outlineLevel="0" collapsed="false">
      <c r="A815" s="4" t="s">
        <v>2352</v>
      </c>
      <c r="B815" s="5" t="n">
        <v>45686</v>
      </c>
      <c r="C815" s="5" t="n">
        <v>45686</v>
      </c>
      <c r="D815" s="4" t="s">
        <v>2322</v>
      </c>
      <c r="E815" s="4" t="s">
        <v>36</v>
      </c>
      <c r="F815" s="4" t="s">
        <v>376</v>
      </c>
      <c r="G815" s="4" t="s">
        <v>59</v>
      </c>
      <c r="H815" s="4" t="n">
        <v>1</v>
      </c>
      <c r="I815" s="4" t="n">
        <v>20</v>
      </c>
      <c r="J815" s="4" t="s">
        <v>40</v>
      </c>
      <c r="K815" s="4" t="s">
        <v>2353</v>
      </c>
      <c r="L815" s="4" t="s">
        <v>1172</v>
      </c>
      <c r="M815" s="4" t="s">
        <v>377</v>
      </c>
      <c r="N815" s="4" t="s">
        <v>44</v>
      </c>
      <c r="O815" s="4" t="s">
        <v>2354</v>
      </c>
      <c r="P815" s="4" t="s">
        <v>2327</v>
      </c>
    </row>
    <row r="816" customFormat="false" ht="15" hidden="false" customHeight="false" outlineLevel="0" collapsed="false">
      <c r="A816" s="4" t="s">
        <v>2355</v>
      </c>
      <c r="B816" s="5" t="n">
        <v>45690</v>
      </c>
      <c r="C816" s="5" t="n">
        <v>45693</v>
      </c>
      <c r="D816" s="4" t="s">
        <v>2322</v>
      </c>
      <c r="E816" s="4" t="s">
        <v>57</v>
      </c>
      <c r="F816" s="4" t="s">
        <v>376</v>
      </c>
      <c r="G816" s="4" t="s">
        <v>59</v>
      </c>
      <c r="H816" s="4" t="n">
        <v>1</v>
      </c>
      <c r="I816" s="4" t="n">
        <v>20</v>
      </c>
      <c r="J816" s="4" t="s">
        <v>40</v>
      </c>
      <c r="K816" s="4" t="s">
        <v>2356</v>
      </c>
      <c r="L816" s="4" t="s">
        <v>376</v>
      </c>
      <c r="M816" s="4" t="s">
        <v>377</v>
      </c>
      <c r="N816" s="4" t="s">
        <v>44</v>
      </c>
      <c r="O816" s="4" t="s">
        <v>2357</v>
      </c>
      <c r="P816" s="4" t="s">
        <v>2327</v>
      </c>
    </row>
    <row r="817" customFormat="false" ht="15" hidden="false" customHeight="false" outlineLevel="0" collapsed="false">
      <c r="A817" s="4" t="s">
        <v>2358</v>
      </c>
      <c r="B817" s="5" t="n">
        <v>45690</v>
      </c>
      <c r="C817" s="5" t="n">
        <v>45691</v>
      </c>
      <c r="D817" s="4" t="s">
        <v>2322</v>
      </c>
      <c r="E817" s="4" t="s">
        <v>36</v>
      </c>
      <c r="F817" s="4" t="s">
        <v>2332</v>
      </c>
      <c r="G817" s="4" t="s">
        <v>38</v>
      </c>
      <c r="H817" s="4" t="n">
        <v>2</v>
      </c>
      <c r="I817" s="4" t="n">
        <v>40</v>
      </c>
      <c r="J817" s="4" t="s">
        <v>68</v>
      </c>
      <c r="K817" s="4" t="s">
        <v>2359</v>
      </c>
      <c r="L817" s="4" t="s">
        <v>2325</v>
      </c>
      <c r="M817" s="4" t="s">
        <v>377</v>
      </c>
      <c r="N817" s="4" t="s">
        <v>185</v>
      </c>
      <c r="O817" s="4" t="s">
        <v>2360</v>
      </c>
      <c r="P817" s="4" t="s">
        <v>2327</v>
      </c>
    </row>
    <row r="818" customFormat="false" ht="15" hidden="false" customHeight="false" outlineLevel="0" collapsed="false">
      <c r="A818" s="4" t="s">
        <v>2361</v>
      </c>
      <c r="B818" s="5" t="n">
        <v>45690</v>
      </c>
      <c r="C818" s="5" t="n">
        <v>45691</v>
      </c>
      <c r="D818" s="4" t="s">
        <v>2322</v>
      </c>
      <c r="E818" s="4" t="s">
        <v>57</v>
      </c>
      <c r="F818" s="4" t="s">
        <v>2362</v>
      </c>
      <c r="G818" s="4" t="s">
        <v>59</v>
      </c>
      <c r="H818" s="4" t="n">
        <v>3</v>
      </c>
      <c r="I818" s="4" t="n">
        <v>20</v>
      </c>
      <c r="J818" s="4" t="s">
        <v>40</v>
      </c>
      <c r="K818" s="4" t="s">
        <v>2363</v>
      </c>
      <c r="L818" s="4" t="s">
        <v>2325</v>
      </c>
      <c r="M818" s="4" t="s">
        <v>377</v>
      </c>
      <c r="N818" s="4" t="s">
        <v>185</v>
      </c>
      <c r="O818" s="4" t="s">
        <v>2364</v>
      </c>
      <c r="P818" s="4" t="s">
        <v>2327</v>
      </c>
    </row>
    <row r="819" customFormat="false" ht="15" hidden="false" customHeight="false" outlineLevel="0" collapsed="false">
      <c r="A819" s="4" t="s">
        <v>2365</v>
      </c>
      <c r="B819" s="5" t="n">
        <v>45695</v>
      </c>
      <c r="C819" s="5" t="n">
        <v>45698</v>
      </c>
      <c r="D819" s="4" t="s">
        <v>2322</v>
      </c>
      <c r="E819" s="4" t="s">
        <v>36</v>
      </c>
      <c r="F819" s="4" t="s">
        <v>376</v>
      </c>
      <c r="G819" s="4" t="s">
        <v>59</v>
      </c>
      <c r="H819" s="4" t="n">
        <v>3</v>
      </c>
      <c r="I819" s="4" t="n">
        <v>22.5</v>
      </c>
      <c r="J819" s="4" t="s">
        <v>68</v>
      </c>
      <c r="K819" s="4" t="s">
        <v>2366</v>
      </c>
      <c r="L819" s="4" t="s">
        <v>376</v>
      </c>
      <c r="M819" s="4" t="s">
        <v>377</v>
      </c>
      <c r="N819" s="4" t="s">
        <v>52</v>
      </c>
      <c r="O819" s="4" t="s">
        <v>2367</v>
      </c>
      <c r="P819" s="4" t="s">
        <v>2327</v>
      </c>
    </row>
    <row r="820" customFormat="false" ht="15" hidden="false" customHeight="false" outlineLevel="0" collapsed="false">
      <c r="A820" s="4" t="s">
        <v>2368</v>
      </c>
      <c r="B820" s="5" t="n">
        <v>45698</v>
      </c>
      <c r="C820" s="5" t="n">
        <v>45700</v>
      </c>
      <c r="D820" s="4" t="s">
        <v>2322</v>
      </c>
      <c r="E820" s="4" t="s">
        <v>36</v>
      </c>
      <c r="F820" s="4" t="s">
        <v>376</v>
      </c>
      <c r="G820" s="4" t="s">
        <v>59</v>
      </c>
      <c r="H820" s="4" t="n">
        <v>1</v>
      </c>
      <c r="I820" s="4" t="n">
        <v>20</v>
      </c>
      <c r="J820" s="4" t="s">
        <v>68</v>
      </c>
      <c r="K820" s="4" t="s">
        <v>2369</v>
      </c>
      <c r="L820" s="4" t="s">
        <v>376</v>
      </c>
      <c r="M820" s="4" t="s">
        <v>377</v>
      </c>
      <c r="N820" s="4" t="s">
        <v>94</v>
      </c>
      <c r="O820" s="4" t="s">
        <v>2370</v>
      </c>
      <c r="P820" s="4" t="s">
        <v>2327</v>
      </c>
    </row>
    <row r="821" customFormat="false" ht="15" hidden="false" customHeight="false" outlineLevel="0" collapsed="false">
      <c r="A821" s="4" t="s">
        <v>2371</v>
      </c>
      <c r="B821" s="5" t="n">
        <v>45701</v>
      </c>
      <c r="C821" s="5" t="n">
        <v>45703</v>
      </c>
      <c r="D821" s="4" t="s">
        <v>2322</v>
      </c>
      <c r="E821" s="4" t="s">
        <v>36</v>
      </c>
      <c r="F821" s="4" t="s">
        <v>376</v>
      </c>
      <c r="G821" s="4" t="s">
        <v>59</v>
      </c>
      <c r="H821" s="4" t="n">
        <v>4</v>
      </c>
      <c r="I821" s="4" t="n">
        <v>20</v>
      </c>
      <c r="J821" s="4" t="s">
        <v>81</v>
      </c>
      <c r="K821" s="4" t="s">
        <v>2372</v>
      </c>
      <c r="L821" s="4" t="s">
        <v>376</v>
      </c>
      <c r="M821" s="4" t="s">
        <v>377</v>
      </c>
      <c r="N821" s="4" t="s">
        <v>44</v>
      </c>
      <c r="O821" s="4" t="s">
        <v>2373</v>
      </c>
      <c r="P821" s="4" t="s">
        <v>2327</v>
      </c>
    </row>
    <row r="822" customFormat="false" ht="15" hidden="false" customHeight="false" outlineLevel="0" collapsed="false">
      <c r="A822" s="4" t="s">
        <v>2374</v>
      </c>
      <c r="B822" s="5" t="n">
        <v>45702</v>
      </c>
      <c r="C822" s="5" t="n">
        <v>45822</v>
      </c>
      <c r="D822" s="4" t="s">
        <v>2375</v>
      </c>
      <c r="E822" s="4" t="s">
        <v>345</v>
      </c>
      <c r="F822" s="4" t="s">
        <v>376</v>
      </c>
      <c r="G822" s="4" t="s">
        <v>59</v>
      </c>
      <c r="H822" s="4" t="n">
        <v>2</v>
      </c>
      <c r="I822" s="4" t="n">
        <v>215</v>
      </c>
      <c r="J822" s="4" t="s">
        <v>40</v>
      </c>
      <c r="K822" s="4" t="s">
        <v>2376</v>
      </c>
      <c r="L822" s="4" t="s">
        <v>2325</v>
      </c>
      <c r="M822" s="4" t="s">
        <v>377</v>
      </c>
      <c r="N822" s="4" t="s">
        <v>44</v>
      </c>
      <c r="O822" s="4" t="s">
        <v>2377</v>
      </c>
      <c r="P822" s="4" t="s">
        <v>2327</v>
      </c>
    </row>
    <row r="823" customFormat="false" ht="15" hidden="false" customHeight="false" outlineLevel="0" collapsed="false">
      <c r="A823" s="4" t="s">
        <v>2378</v>
      </c>
      <c r="B823" s="5" t="n">
        <v>45703</v>
      </c>
      <c r="C823" s="5" t="n">
        <v>45822</v>
      </c>
      <c r="D823" s="4" t="s">
        <v>2375</v>
      </c>
      <c r="E823" s="4" t="s">
        <v>325</v>
      </c>
      <c r="F823" s="4" t="s">
        <v>376</v>
      </c>
      <c r="G823" s="4" t="s">
        <v>38</v>
      </c>
      <c r="H823" s="4" t="n">
        <v>1</v>
      </c>
      <c r="I823" s="4" t="n">
        <v>265</v>
      </c>
      <c r="J823" s="4" t="s">
        <v>81</v>
      </c>
      <c r="K823" s="4" t="s">
        <v>2379</v>
      </c>
      <c r="L823" s="4" t="s">
        <v>376</v>
      </c>
      <c r="M823" s="4" t="s">
        <v>377</v>
      </c>
      <c r="N823" s="4" t="s">
        <v>44</v>
      </c>
      <c r="O823" s="4" t="s">
        <v>2380</v>
      </c>
      <c r="P823" s="4" t="s">
        <v>2327</v>
      </c>
    </row>
    <row r="824" customFormat="false" ht="15" hidden="false" customHeight="false" outlineLevel="0" collapsed="false">
      <c r="A824" s="4" t="s">
        <v>2381</v>
      </c>
      <c r="B824" s="5" t="n">
        <v>45703</v>
      </c>
      <c r="C824" s="5" t="n">
        <v>45822</v>
      </c>
      <c r="D824" s="4" t="s">
        <v>2375</v>
      </c>
      <c r="E824" s="4" t="s">
        <v>311</v>
      </c>
      <c r="F824" s="4" t="s">
        <v>376</v>
      </c>
      <c r="G824" s="4" t="s">
        <v>59</v>
      </c>
      <c r="H824" s="4" t="n">
        <v>2</v>
      </c>
      <c r="I824" s="4" t="n">
        <v>290</v>
      </c>
      <c r="J824" s="4" t="s">
        <v>68</v>
      </c>
      <c r="K824" s="4" t="s">
        <v>2382</v>
      </c>
      <c r="L824" s="4" t="s">
        <v>1100</v>
      </c>
      <c r="M824" s="4" t="s">
        <v>356</v>
      </c>
      <c r="N824" s="4" t="s">
        <v>433</v>
      </c>
      <c r="O824" s="4"/>
      <c r="P824" s="4" t="s">
        <v>2327</v>
      </c>
    </row>
    <row r="825" customFormat="false" ht="15" hidden="false" customHeight="false" outlineLevel="0" collapsed="false">
      <c r="A825" s="4" t="s">
        <v>2383</v>
      </c>
      <c r="B825" s="5" t="n">
        <v>45703</v>
      </c>
      <c r="C825" s="5" t="n">
        <v>45822</v>
      </c>
      <c r="D825" s="4" t="s">
        <v>2375</v>
      </c>
      <c r="E825" s="4" t="s">
        <v>306</v>
      </c>
      <c r="F825" s="4" t="s">
        <v>2384</v>
      </c>
      <c r="G825" s="4" t="s">
        <v>38</v>
      </c>
      <c r="H825" s="4" t="n">
        <v>2</v>
      </c>
      <c r="I825" s="4" t="n">
        <v>380</v>
      </c>
      <c r="J825" s="4" t="s">
        <v>40</v>
      </c>
      <c r="K825" s="4" t="s">
        <v>2385</v>
      </c>
      <c r="L825" s="4" t="s">
        <v>376</v>
      </c>
      <c r="M825" s="4" t="s">
        <v>377</v>
      </c>
      <c r="N825" s="4" t="s">
        <v>44</v>
      </c>
      <c r="O825" s="4" t="s">
        <v>2386</v>
      </c>
      <c r="P825" s="4" t="s">
        <v>2327</v>
      </c>
    </row>
    <row r="826" customFormat="false" ht="15" hidden="false" customHeight="false" outlineLevel="0" collapsed="false">
      <c r="A826" s="4" t="s">
        <v>2387</v>
      </c>
      <c r="B826" s="5" t="n">
        <v>45704</v>
      </c>
      <c r="C826" s="5" t="n">
        <v>45822</v>
      </c>
      <c r="D826" s="4" t="s">
        <v>2375</v>
      </c>
      <c r="E826" s="4" t="s">
        <v>325</v>
      </c>
      <c r="F826" s="4" t="s">
        <v>376</v>
      </c>
      <c r="G826" s="4" t="s">
        <v>38</v>
      </c>
      <c r="H826" s="4" t="n">
        <v>0</v>
      </c>
      <c r="I826" s="4" t="n">
        <v>360</v>
      </c>
      <c r="J826" s="4" t="s">
        <v>40</v>
      </c>
      <c r="K826" s="4" t="s">
        <v>2356</v>
      </c>
      <c r="L826" s="4" t="s">
        <v>376</v>
      </c>
      <c r="M826" s="4" t="s">
        <v>1412</v>
      </c>
      <c r="N826" s="4" t="s">
        <v>44</v>
      </c>
      <c r="O826" s="4" t="s">
        <v>2357</v>
      </c>
      <c r="P826" s="4" t="s">
        <v>2327</v>
      </c>
    </row>
    <row r="827" customFormat="false" ht="15" hidden="false" customHeight="false" outlineLevel="0" collapsed="false">
      <c r="A827" s="4" t="s">
        <v>2388</v>
      </c>
      <c r="B827" s="5" t="n">
        <v>45704</v>
      </c>
      <c r="C827" s="5" t="n">
        <v>45822</v>
      </c>
      <c r="D827" s="4" t="s">
        <v>2375</v>
      </c>
      <c r="E827" s="4" t="s">
        <v>306</v>
      </c>
      <c r="F827" s="4" t="s">
        <v>2362</v>
      </c>
      <c r="G827" s="4" t="s">
        <v>326</v>
      </c>
      <c r="H827" s="4" t="n">
        <v>1</v>
      </c>
      <c r="I827" s="4" t="n">
        <v>1450</v>
      </c>
      <c r="J827" s="4" t="s">
        <v>40</v>
      </c>
      <c r="K827" s="4" t="s">
        <v>2389</v>
      </c>
      <c r="L827" s="4" t="s">
        <v>376</v>
      </c>
      <c r="M827" s="4" t="s">
        <v>377</v>
      </c>
      <c r="N827" s="4" t="s">
        <v>52</v>
      </c>
      <c r="O827" s="4" t="s">
        <v>2390</v>
      </c>
      <c r="P827" s="4" t="s">
        <v>2327</v>
      </c>
    </row>
    <row r="828" customFormat="false" ht="15" hidden="false" customHeight="false" outlineLevel="0" collapsed="false">
      <c r="A828" s="4" t="s">
        <v>2391</v>
      </c>
      <c r="B828" s="5" t="n">
        <v>45704</v>
      </c>
      <c r="C828" s="5" t="n">
        <v>45822</v>
      </c>
      <c r="D828" s="4" t="s">
        <v>2375</v>
      </c>
      <c r="E828" s="4" t="s">
        <v>306</v>
      </c>
      <c r="F828" s="4" t="s">
        <v>376</v>
      </c>
      <c r="G828" s="4" t="s">
        <v>59</v>
      </c>
      <c r="H828" s="4" t="n">
        <v>2</v>
      </c>
      <c r="I828" s="4" t="n">
        <v>322.5</v>
      </c>
      <c r="J828" s="4" t="s">
        <v>68</v>
      </c>
      <c r="K828" s="4" t="s">
        <v>2392</v>
      </c>
      <c r="L828" s="4" t="s">
        <v>376</v>
      </c>
      <c r="M828" s="4" t="s">
        <v>377</v>
      </c>
      <c r="N828" s="4" t="s">
        <v>44</v>
      </c>
      <c r="O828" s="4" t="s">
        <v>2393</v>
      </c>
      <c r="P828" s="4" t="s">
        <v>2327</v>
      </c>
    </row>
    <row r="829" customFormat="false" ht="15" hidden="false" customHeight="false" outlineLevel="0" collapsed="false">
      <c r="A829" s="4" t="s">
        <v>2394</v>
      </c>
      <c r="B829" s="5" t="n">
        <v>45705</v>
      </c>
      <c r="C829" s="5" t="n">
        <v>45822</v>
      </c>
      <c r="D829" s="4" t="s">
        <v>2375</v>
      </c>
      <c r="E829" s="4" t="s">
        <v>306</v>
      </c>
      <c r="F829" s="4" t="s">
        <v>376</v>
      </c>
      <c r="G829" s="4" t="s">
        <v>38</v>
      </c>
      <c r="H829" s="4" t="n">
        <v>4</v>
      </c>
      <c r="I829" s="4" t="n">
        <v>470</v>
      </c>
      <c r="J829" s="4" t="s">
        <v>40</v>
      </c>
      <c r="K829" s="4" t="s">
        <v>198</v>
      </c>
      <c r="L829" s="4" t="s">
        <v>42</v>
      </c>
      <c r="M829" s="4" t="s">
        <v>43</v>
      </c>
      <c r="N829" s="4" t="s">
        <v>94</v>
      </c>
      <c r="O829" s="4" t="s">
        <v>199</v>
      </c>
      <c r="P829" s="4" t="s">
        <v>2327</v>
      </c>
    </row>
    <row r="830" customFormat="false" ht="15" hidden="false" customHeight="false" outlineLevel="0" collapsed="false">
      <c r="A830" s="4" t="s">
        <v>2395</v>
      </c>
      <c r="B830" s="5" t="n">
        <v>45705</v>
      </c>
      <c r="C830" s="5" t="n">
        <v>45822</v>
      </c>
      <c r="D830" s="4" t="s">
        <v>2375</v>
      </c>
      <c r="E830" s="4" t="s">
        <v>306</v>
      </c>
      <c r="F830" s="4" t="s">
        <v>376</v>
      </c>
      <c r="G830" s="4" t="s">
        <v>59</v>
      </c>
      <c r="H830" s="4" t="n">
        <v>2</v>
      </c>
      <c r="I830" s="4" t="n">
        <v>232.5</v>
      </c>
      <c r="J830" s="4" t="s">
        <v>40</v>
      </c>
      <c r="K830" s="4" t="s">
        <v>2396</v>
      </c>
      <c r="L830" s="4" t="s">
        <v>364</v>
      </c>
      <c r="M830" s="4" t="s">
        <v>365</v>
      </c>
      <c r="N830" s="4" t="s">
        <v>44</v>
      </c>
      <c r="O830" s="4" t="s">
        <v>2397</v>
      </c>
      <c r="P830" s="4" t="s">
        <v>2327</v>
      </c>
    </row>
    <row r="831" customFormat="false" ht="15" hidden="false" customHeight="false" outlineLevel="0" collapsed="false">
      <c r="A831" s="4" t="s">
        <v>2398</v>
      </c>
      <c r="B831" s="5" t="n">
        <v>45706</v>
      </c>
      <c r="C831" s="5" t="n">
        <v>45822</v>
      </c>
      <c r="D831" s="4" t="s">
        <v>2375</v>
      </c>
      <c r="E831" s="4" t="s">
        <v>306</v>
      </c>
      <c r="F831" s="4" t="s">
        <v>2323</v>
      </c>
      <c r="G831" s="4" t="s">
        <v>59</v>
      </c>
      <c r="H831" s="4" t="n">
        <v>2</v>
      </c>
      <c r="I831" s="4" t="n">
        <v>185</v>
      </c>
      <c r="J831" s="4" t="s">
        <v>68</v>
      </c>
      <c r="K831" s="4" t="s">
        <v>2356</v>
      </c>
      <c r="L831" s="4" t="s">
        <v>376</v>
      </c>
      <c r="M831" s="4" t="s">
        <v>377</v>
      </c>
      <c r="N831" s="4" t="s">
        <v>44</v>
      </c>
      <c r="O831" s="4" t="s">
        <v>2357</v>
      </c>
      <c r="P831" s="4" t="s">
        <v>2327</v>
      </c>
    </row>
    <row r="832" customFormat="false" ht="15" hidden="false" customHeight="false" outlineLevel="0" collapsed="false">
      <c r="A832" s="4" t="s">
        <v>2399</v>
      </c>
      <c r="B832" s="5" t="n">
        <v>45706</v>
      </c>
      <c r="C832" s="5" t="n">
        <v>45822</v>
      </c>
      <c r="D832" s="4" t="s">
        <v>2375</v>
      </c>
      <c r="E832" s="4" t="s">
        <v>306</v>
      </c>
      <c r="F832" s="4" t="s">
        <v>2323</v>
      </c>
      <c r="G832" s="4" t="s">
        <v>326</v>
      </c>
      <c r="H832" s="4" t="n">
        <v>2</v>
      </c>
      <c r="I832" s="4" t="n">
        <v>490</v>
      </c>
      <c r="J832" s="4" t="s">
        <v>40</v>
      </c>
      <c r="K832" s="4" t="s">
        <v>2400</v>
      </c>
      <c r="L832" s="4" t="s">
        <v>376</v>
      </c>
      <c r="M832" s="4" t="s">
        <v>377</v>
      </c>
      <c r="N832" s="4" t="s">
        <v>94</v>
      </c>
      <c r="O832" s="4" t="s">
        <v>2401</v>
      </c>
      <c r="P832" s="4" t="s">
        <v>2327</v>
      </c>
    </row>
    <row r="833" customFormat="false" ht="15" hidden="false" customHeight="false" outlineLevel="0" collapsed="false">
      <c r="A833" s="4" t="s">
        <v>2402</v>
      </c>
      <c r="B833" s="5" t="n">
        <v>45706</v>
      </c>
      <c r="C833" s="5" t="n">
        <v>45706</v>
      </c>
      <c r="D833" s="4" t="s">
        <v>2322</v>
      </c>
      <c r="E833" s="4" t="s">
        <v>49</v>
      </c>
      <c r="F833" s="4" t="s">
        <v>2362</v>
      </c>
      <c r="G833" s="4" t="s">
        <v>59</v>
      </c>
      <c r="H833" s="4" t="n">
        <v>3</v>
      </c>
      <c r="I833" s="4" t="n">
        <v>15</v>
      </c>
      <c r="J833" s="4" t="s">
        <v>68</v>
      </c>
      <c r="K833" s="4" t="s">
        <v>2403</v>
      </c>
      <c r="L833" s="4" t="s">
        <v>376</v>
      </c>
      <c r="M833" s="4" t="s">
        <v>377</v>
      </c>
      <c r="N833" s="4" t="s">
        <v>44</v>
      </c>
      <c r="O833" s="4" t="s">
        <v>2404</v>
      </c>
      <c r="P833" s="4" t="s">
        <v>2327</v>
      </c>
    </row>
    <row r="834" customFormat="false" ht="15" hidden="false" customHeight="false" outlineLevel="0" collapsed="false">
      <c r="A834" s="4" t="s">
        <v>2405</v>
      </c>
      <c r="B834" s="5" t="n">
        <v>45706</v>
      </c>
      <c r="C834" s="5" t="n">
        <v>45709</v>
      </c>
      <c r="D834" s="4" t="s">
        <v>2322</v>
      </c>
      <c r="E834" s="4" t="s">
        <v>36</v>
      </c>
      <c r="F834" s="4" t="s">
        <v>2332</v>
      </c>
      <c r="G834" s="4" t="s">
        <v>38</v>
      </c>
      <c r="H834" s="4" t="n">
        <v>1</v>
      </c>
      <c r="I834" s="4" t="n">
        <v>35</v>
      </c>
      <c r="J834" s="4" t="s">
        <v>40</v>
      </c>
      <c r="K834" s="4" t="s">
        <v>2406</v>
      </c>
      <c r="L834" s="4" t="s">
        <v>376</v>
      </c>
      <c r="M834" s="4" t="s">
        <v>377</v>
      </c>
      <c r="N834" s="4" t="s">
        <v>44</v>
      </c>
      <c r="O834" s="4" t="s">
        <v>2407</v>
      </c>
      <c r="P834" s="4" t="s">
        <v>2327</v>
      </c>
    </row>
    <row r="835" customFormat="false" ht="15" hidden="false" customHeight="false" outlineLevel="0" collapsed="false">
      <c r="A835" s="4" t="s">
        <v>2408</v>
      </c>
      <c r="B835" s="5" t="n">
        <v>45706</v>
      </c>
      <c r="C835" s="5" t="n">
        <v>45708</v>
      </c>
      <c r="D835" s="4" t="s">
        <v>2322</v>
      </c>
      <c r="E835" s="4" t="s">
        <v>36</v>
      </c>
      <c r="F835" s="4" t="s">
        <v>2384</v>
      </c>
      <c r="G835" s="4" t="s">
        <v>59</v>
      </c>
      <c r="H835" s="4" t="n">
        <v>1</v>
      </c>
      <c r="I835" s="4" t="n">
        <v>15</v>
      </c>
      <c r="J835" s="4" t="s">
        <v>68</v>
      </c>
      <c r="K835" s="4" t="s">
        <v>2409</v>
      </c>
      <c r="L835" s="4" t="s">
        <v>376</v>
      </c>
      <c r="M835" s="4" t="s">
        <v>377</v>
      </c>
      <c r="N835" s="4" t="s">
        <v>44</v>
      </c>
      <c r="O835" s="4" t="s">
        <v>2410</v>
      </c>
      <c r="P835" s="4" t="s">
        <v>2327</v>
      </c>
    </row>
    <row r="836" customFormat="false" ht="15" hidden="false" customHeight="false" outlineLevel="0" collapsed="false">
      <c r="A836" s="4" t="s">
        <v>2411</v>
      </c>
      <c r="B836" s="5" t="n">
        <v>45708</v>
      </c>
      <c r="C836" s="5" t="n">
        <v>45822</v>
      </c>
      <c r="D836" s="4" t="s">
        <v>2375</v>
      </c>
      <c r="E836" s="4" t="s">
        <v>306</v>
      </c>
      <c r="F836" s="4" t="s">
        <v>376</v>
      </c>
      <c r="G836" s="4" t="s">
        <v>38</v>
      </c>
      <c r="H836" s="4" t="n">
        <v>1</v>
      </c>
      <c r="I836" s="4" t="n">
        <v>475</v>
      </c>
      <c r="J836" s="4" t="s">
        <v>68</v>
      </c>
      <c r="K836" s="4" t="s">
        <v>235</v>
      </c>
      <c r="L836" s="4" t="s">
        <v>37</v>
      </c>
      <c r="M836" s="4" t="s">
        <v>43</v>
      </c>
      <c r="N836" s="4" t="s">
        <v>185</v>
      </c>
      <c r="O836" s="4" t="s">
        <v>236</v>
      </c>
      <c r="P836" s="4" t="s">
        <v>2327</v>
      </c>
    </row>
    <row r="837" customFormat="false" ht="15" hidden="false" customHeight="false" outlineLevel="0" collapsed="false">
      <c r="A837" s="4" t="s">
        <v>2412</v>
      </c>
      <c r="B837" s="5" t="n">
        <v>45708</v>
      </c>
      <c r="C837" s="5" t="n">
        <v>45822</v>
      </c>
      <c r="D837" s="4" t="s">
        <v>2375</v>
      </c>
      <c r="E837" s="4" t="s">
        <v>311</v>
      </c>
      <c r="F837" s="4" t="s">
        <v>376</v>
      </c>
      <c r="G837" s="4" t="s">
        <v>38</v>
      </c>
      <c r="H837" s="4" t="n">
        <v>4</v>
      </c>
      <c r="I837" s="4" t="n">
        <v>300</v>
      </c>
      <c r="J837" s="4" t="s">
        <v>81</v>
      </c>
      <c r="K837" s="4" t="s">
        <v>2413</v>
      </c>
      <c r="L837" s="4" t="s">
        <v>376</v>
      </c>
      <c r="M837" s="4" t="s">
        <v>377</v>
      </c>
      <c r="N837" s="4" t="s">
        <v>44</v>
      </c>
      <c r="O837" s="4" t="s">
        <v>2414</v>
      </c>
      <c r="P837" s="4" t="s">
        <v>2327</v>
      </c>
    </row>
    <row r="838" customFormat="false" ht="15" hidden="false" customHeight="false" outlineLevel="0" collapsed="false">
      <c r="A838" s="4" t="s">
        <v>2415</v>
      </c>
      <c r="B838" s="5" t="n">
        <v>45708</v>
      </c>
      <c r="C838" s="5" t="n">
        <v>45822</v>
      </c>
      <c r="D838" s="4" t="s">
        <v>2375</v>
      </c>
      <c r="E838" s="4" t="s">
        <v>323</v>
      </c>
      <c r="F838" s="4" t="s">
        <v>376</v>
      </c>
      <c r="G838" s="4" t="s">
        <v>59</v>
      </c>
      <c r="H838" s="4" t="n">
        <v>2</v>
      </c>
      <c r="I838" s="4" t="n">
        <v>185</v>
      </c>
      <c r="J838" s="4" t="s">
        <v>81</v>
      </c>
      <c r="K838" s="4" t="s">
        <v>2416</v>
      </c>
      <c r="L838" s="4" t="s">
        <v>843</v>
      </c>
      <c r="M838" s="4" t="s">
        <v>377</v>
      </c>
      <c r="N838" s="4" t="s">
        <v>44</v>
      </c>
      <c r="O838" s="4" t="s">
        <v>2417</v>
      </c>
      <c r="P838" s="4" t="s">
        <v>2327</v>
      </c>
    </row>
    <row r="839" customFormat="false" ht="15" hidden="false" customHeight="false" outlineLevel="0" collapsed="false">
      <c r="A839" s="4" t="s">
        <v>2418</v>
      </c>
      <c r="B839" s="5" t="n">
        <v>45709</v>
      </c>
      <c r="C839" s="5" t="n">
        <v>45822</v>
      </c>
      <c r="D839" s="4" t="s">
        <v>2375</v>
      </c>
      <c r="E839" s="4" t="s">
        <v>306</v>
      </c>
      <c r="F839" s="4" t="s">
        <v>376</v>
      </c>
      <c r="G839" s="4" t="s">
        <v>38</v>
      </c>
      <c r="H839" s="4" t="n">
        <v>1</v>
      </c>
      <c r="I839" s="4" t="n">
        <v>600</v>
      </c>
      <c r="J839" s="4" t="s">
        <v>40</v>
      </c>
      <c r="K839" s="4" t="s">
        <v>2419</v>
      </c>
      <c r="L839" s="4" t="s">
        <v>376</v>
      </c>
      <c r="M839" s="4" t="s">
        <v>377</v>
      </c>
      <c r="N839" s="4" t="s">
        <v>44</v>
      </c>
      <c r="O839" s="4" t="s">
        <v>2420</v>
      </c>
      <c r="P839" s="4" t="s">
        <v>2327</v>
      </c>
    </row>
    <row r="840" customFormat="false" ht="15" hidden="false" customHeight="false" outlineLevel="0" collapsed="false">
      <c r="A840" s="4" t="s">
        <v>2421</v>
      </c>
      <c r="B840" s="5" t="n">
        <v>45710</v>
      </c>
      <c r="C840" s="5" t="n">
        <v>45822</v>
      </c>
      <c r="D840" s="4" t="s">
        <v>2375</v>
      </c>
      <c r="E840" s="4" t="s">
        <v>306</v>
      </c>
      <c r="F840" s="4" t="s">
        <v>2332</v>
      </c>
      <c r="G840" s="4" t="s">
        <v>38</v>
      </c>
      <c r="H840" s="4" t="n">
        <v>1</v>
      </c>
      <c r="I840" s="4" t="n">
        <v>240</v>
      </c>
      <c r="J840" s="4" t="s">
        <v>68</v>
      </c>
      <c r="K840" s="4" t="s">
        <v>2422</v>
      </c>
      <c r="L840" s="4" t="s">
        <v>1172</v>
      </c>
      <c r="M840" s="4" t="s">
        <v>377</v>
      </c>
      <c r="N840" s="4" t="s">
        <v>44</v>
      </c>
      <c r="O840" s="4" t="s">
        <v>2423</v>
      </c>
      <c r="P840" s="4" t="s">
        <v>2327</v>
      </c>
    </row>
    <row r="841" customFormat="false" ht="15" hidden="false" customHeight="false" outlineLevel="0" collapsed="false">
      <c r="A841" s="4" t="s">
        <v>2424</v>
      </c>
      <c r="B841" s="5" t="n">
        <v>45710</v>
      </c>
      <c r="C841" s="5" t="n">
        <v>45822</v>
      </c>
      <c r="D841" s="4" t="s">
        <v>2375</v>
      </c>
      <c r="E841" s="4" t="s">
        <v>311</v>
      </c>
      <c r="F841" s="4" t="s">
        <v>2362</v>
      </c>
      <c r="G841" s="4" t="s">
        <v>38</v>
      </c>
      <c r="H841" s="4" t="n">
        <v>0</v>
      </c>
      <c r="I841" s="4" t="n">
        <v>675</v>
      </c>
      <c r="J841" s="4" t="s">
        <v>40</v>
      </c>
      <c r="K841" s="4" t="s">
        <v>2425</v>
      </c>
      <c r="L841" s="4" t="s">
        <v>455</v>
      </c>
      <c r="M841" s="4" t="s">
        <v>456</v>
      </c>
      <c r="N841" s="4" t="s">
        <v>44</v>
      </c>
      <c r="O841" s="4" t="s">
        <v>2426</v>
      </c>
      <c r="P841" s="4" t="s">
        <v>2327</v>
      </c>
    </row>
    <row r="842" customFormat="false" ht="15" hidden="false" customHeight="false" outlineLevel="0" collapsed="false">
      <c r="A842" s="4" t="s">
        <v>2427</v>
      </c>
      <c r="B842" s="5" t="n">
        <v>45710</v>
      </c>
      <c r="C842" s="5" t="n">
        <v>45822</v>
      </c>
      <c r="D842" s="4" t="s">
        <v>2375</v>
      </c>
      <c r="E842" s="4" t="s">
        <v>306</v>
      </c>
      <c r="F842" s="4" t="s">
        <v>2362</v>
      </c>
      <c r="G842" s="4" t="s">
        <v>38</v>
      </c>
      <c r="H842" s="4" t="n">
        <v>3</v>
      </c>
      <c r="I842" s="4" t="n">
        <v>305</v>
      </c>
      <c r="J842" s="4" t="s">
        <v>40</v>
      </c>
      <c r="K842" s="4" t="s">
        <v>2428</v>
      </c>
      <c r="L842" s="4" t="s">
        <v>480</v>
      </c>
      <c r="M842" s="4" t="s">
        <v>43</v>
      </c>
      <c r="N842" s="4" t="s">
        <v>44</v>
      </c>
      <c r="O842" s="4" t="s">
        <v>2429</v>
      </c>
      <c r="P842" s="4" t="s">
        <v>2327</v>
      </c>
    </row>
    <row r="843" customFormat="false" ht="15" hidden="false" customHeight="false" outlineLevel="0" collapsed="false">
      <c r="A843" s="4" t="s">
        <v>2430</v>
      </c>
      <c r="B843" s="5" t="n">
        <v>45711</v>
      </c>
      <c r="C843" s="5" t="n">
        <v>45822</v>
      </c>
      <c r="D843" s="4" t="s">
        <v>2375</v>
      </c>
      <c r="E843" s="4" t="s">
        <v>325</v>
      </c>
      <c r="F843" s="4" t="s">
        <v>376</v>
      </c>
      <c r="G843" s="4" t="s">
        <v>38</v>
      </c>
      <c r="H843" s="4" t="n">
        <v>2</v>
      </c>
      <c r="I843" s="4" t="n">
        <v>455</v>
      </c>
      <c r="J843" s="4" t="s">
        <v>68</v>
      </c>
      <c r="K843" s="4" t="s">
        <v>2431</v>
      </c>
      <c r="L843" s="4" t="s">
        <v>376</v>
      </c>
      <c r="M843" s="4" t="s">
        <v>377</v>
      </c>
      <c r="N843" s="4" t="s">
        <v>94</v>
      </c>
      <c r="O843" s="4" t="s">
        <v>2432</v>
      </c>
      <c r="P843" s="4" t="s">
        <v>2327</v>
      </c>
    </row>
    <row r="844" customFormat="false" ht="15" hidden="false" customHeight="false" outlineLevel="0" collapsed="false">
      <c r="A844" s="4" t="s">
        <v>2433</v>
      </c>
      <c r="B844" s="5" t="n">
        <v>45711</v>
      </c>
      <c r="C844" s="5" t="n">
        <v>45714</v>
      </c>
      <c r="D844" s="4" t="s">
        <v>2322</v>
      </c>
      <c r="E844" s="4" t="s">
        <v>66</v>
      </c>
      <c r="F844" s="4" t="s">
        <v>376</v>
      </c>
      <c r="G844" s="4" t="s">
        <v>38</v>
      </c>
      <c r="H844" s="4" t="n">
        <v>1</v>
      </c>
      <c r="I844" s="4" t="n">
        <v>40</v>
      </c>
      <c r="J844" s="4" t="s">
        <v>68</v>
      </c>
      <c r="K844" s="4" t="s">
        <v>2434</v>
      </c>
      <c r="L844" s="4" t="s">
        <v>1172</v>
      </c>
      <c r="M844" s="4" t="s">
        <v>377</v>
      </c>
      <c r="N844" s="4" t="s">
        <v>44</v>
      </c>
      <c r="O844" s="4" t="s">
        <v>2435</v>
      </c>
      <c r="P844" s="4" t="s">
        <v>2327</v>
      </c>
    </row>
    <row r="845" customFormat="false" ht="15" hidden="false" customHeight="false" outlineLevel="0" collapsed="false">
      <c r="A845" s="4" t="s">
        <v>2436</v>
      </c>
      <c r="B845" s="5" t="n">
        <v>45712</v>
      </c>
      <c r="C845" s="5" t="n">
        <v>45822</v>
      </c>
      <c r="D845" s="4" t="s">
        <v>2375</v>
      </c>
      <c r="E845" s="4" t="s">
        <v>306</v>
      </c>
      <c r="F845" s="4" t="s">
        <v>376</v>
      </c>
      <c r="G845" s="4" t="s">
        <v>326</v>
      </c>
      <c r="H845" s="4" t="n">
        <v>2</v>
      </c>
      <c r="I845" s="4" t="n">
        <v>950</v>
      </c>
      <c r="J845" s="4" t="s">
        <v>149</v>
      </c>
      <c r="K845" s="4" t="s">
        <v>2379</v>
      </c>
      <c r="L845" s="4" t="s">
        <v>2325</v>
      </c>
      <c r="M845" s="4" t="s">
        <v>377</v>
      </c>
      <c r="N845" s="4" t="s">
        <v>44</v>
      </c>
      <c r="O845" s="4" t="s">
        <v>2380</v>
      </c>
      <c r="P845" s="4" t="s">
        <v>2327</v>
      </c>
    </row>
    <row r="846" customFormat="false" ht="15" hidden="false" customHeight="false" outlineLevel="0" collapsed="false">
      <c r="A846" s="4" t="s">
        <v>2437</v>
      </c>
      <c r="B846" s="5" t="n">
        <v>45712</v>
      </c>
      <c r="C846" s="5" t="n">
        <v>45712</v>
      </c>
      <c r="D846" s="4" t="s">
        <v>2322</v>
      </c>
      <c r="E846" s="4" t="s">
        <v>66</v>
      </c>
      <c r="F846" s="4" t="s">
        <v>376</v>
      </c>
      <c r="G846" s="4" t="s">
        <v>59</v>
      </c>
      <c r="H846" s="4" t="n">
        <v>1</v>
      </c>
      <c r="I846" s="4" t="n">
        <v>17.5</v>
      </c>
      <c r="J846" s="4" t="s">
        <v>68</v>
      </c>
      <c r="K846" s="4" t="s">
        <v>2438</v>
      </c>
      <c r="L846" s="4" t="s">
        <v>376</v>
      </c>
      <c r="M846" s="4" t="s">
        <v>377</v>
      </c>
      <c r="N846" s="4" t="s">
        <v>44</v>
      </c>
      <c r="O846" s="4" t="s">
        <v>2439</v>
      </c>
      <c r="P846" s="4" t="s">
        <v>2327</v>
      </c>
    </row>
    <row r="847" customFormat="false" ht="15" hidden="false" customHeight="false" outlineLevel="0" collapsed="false">
      <c r="A847" s="4" t="s">
        <v>2440</v>
      </c>
      <c r="B847" s="5" t="n">
        <v>45713</v>
      </c>
      <c r="C847" s="5" t="n">
        <v>45822</v>
      </c>
      <c r="D847" s="4" t="s">
        <v>2375</v>
      </c>
      <c r="E847" s="4" t="s">
        <v>345</v>
      </c>
      <c r="F847" s="4" t="s">
        <v>376</v>
      </c>
      <c r="G847" s="4" t="s">
        <v>38</v>
      </c>
      <c r="H847" s="4" t="n">
        <v>1</v>
      </c>
      <c r="I847" s="4" t="n">
        <v>760</v>
      </c>
      <c r="J847" s="4" t="s">
        <v>40</v>
      </c>
      <c r="K847" s="4" t="s">
        <v>2441</v>
      </c>
      <c r="L847" s="4" t="s">
        <v>376</v>
      </c>
      <c r="M847" s="4" t="s">
        <v>377</v>
      </c>
      <c r="N847" s="4" t="s">
        <v>44</v>
      </c>
      <c r="O847" s="4" t="s">
        <v>2442</v>
      </c>
      <c r="P847" s="4" t="s">
        <v>2327</v>
      </c>
    </row>
    <row r="848" customFormat="false" ht="15" hidden="false" customHeight="false" outlineLevel="0" collapsed="false">
      <c r="A848" s="4" t="s">
        <v>2443</v>
      </c>
      <c r="B848" s="5" t="n">
        <v>45713</v>
      </c>
      <c r="C848" s="5" t="n">
        <v>45822</v>
      </c>
      <c r="D848" s="4" t="s">
        <v>2375</v>
      </c>
      <c r="E848" s="4" t="s">
        <v>323</v>
      </c>
      <c r="F848" s="4" t="s">
        <v>2323</v>
      </c>
      <c r="G848" s="4" t="s">
        <v>38</v>
      </c>
      <c r="H848" s="4" t="n">
        <v>3</v>
      </c>
      <c r="I848" s="4" t="n">
        <v>275</v>
      </c>
      <c r="J848" s="4" t="s">
        <v>81</v>
      </c>
      <c r="K848" s="4" t="s">
        <v>2444</v>
      </c>
      <c r="L848" s="4" t="s">
        <v>786</v>
      </c>
      <c r="M848" s="4" t="s">
        <v>1412</v>
      </c>
      <c r="N848" s="4" t="s">
        <v>94</v>
      </c>
      <c r="O848" s="4" t="s">
        <v>2445</v>
      </c>
      <c r="P848" s="4" t="s">
        <v>2327</v>
      </c>
    </row>
    <row r="849" customFormat="false" ht="15" hidden="false" customHeight="false" outlineLevel="0" collapsed="false">
      <c r="A849" s="4" t="s">
        <v>2446</v>
      </c>
      <c r="B849" s="5" t="n">
        <v>45713</v>
      </c>
      <c r="C849" s="5" t="n">
        <v>45715</v>
      </c>
      <c r="D849" s="4" t="s">
        <v>2322</v>
      </c>
      <c r="E849" s="4" t="s">
        <v>36</v>
      </c>
      <c r="F849" s="4" t="s">
        <v>376</v>
      </c>
      <c r="G849" s="4" t="s">
        <v>59</v>
      </c>
      <c r="H849" s="4" t="n">
        <v>2</v>
      </c>
      <c r="I849" s="4" t="n">
        <v>22.5</v>
      </c>
      <c r="J849" s="4" t="s">
        <v>40</v>
      </c>
      <c r="K849" s="4" t="s">
        <v>2447</v>
      </c>
      <c r="L849" s="4" t="s">
        <v>376</v>
      </c>
      <c r="M849" s="4" t="s">
        <v>377</v>
      </c>
      <c r="N849" s="4" t="s">
        <v>44</v>
      </c>
      <c r="O849" s="4" t="s">
        <v>2448</v>
      </c>
      <c r="P849" s="4" t="s">
        <v>2327</v>
      </c>
    </row>
    <row r="850" customFormat="false" ht="15" hidden="false" customHeight="false" outlineLevel="0" collapsed="false">
      <c r="A850" s="4" t="s">
        <v>2449</v>
      </c>
      <c r="B850" s="5" t="n">
        <v>45714</v>
      </c>
      <c r="C850" s="5" t="n">
        <v>45822</v>
      </c>
      <c r="D850" s="4" t="s">
        <v>2375</v>
      </c>
      <c r="E850" s="4" t="s">
        <v>306</v>
      </c>
      <c r="F850" s="4" t="s">
        <v>376</v>
      </c>
      <c r="G850" s="4" t="s">
        <v>326</v>
      </c>
      <c r="H850" s="4" t="n">
        <v>1</v>
      </c>
      <c r="I850" s="4" t="n">
        <v>1170</v>
      </c>
      <c r="J850" s="4" t="s">
        <v>40</v>
      </c>
      <c r="K850" s="4" t="s">
        <v>2450</v>
      </c>
      <c r="L850" s="4" t="s">
        <v>376</v>
      </c>
      <c r="M850" s="4" t="s">
        <v>377</v>
      </c>
      <c r="N850" s="4" t="s">
        <v>52</v>
      </c>
      <c r="O850" s="4" t="s">
        <v>2451</v>
      </c>
      <c r="P850" s="4" t="s">
        <v>2327</v>
      </c>
    </row>
    <row r="851" customFormat="false" ht="15" hidden="false" customHeight="false" outlineLevel="0" collapsed="false">
      <c r="A851" s="4" t="s">
        <v>2452</v>
      </c>
      <c r="B851" s="5" t="n">
        <v>45714</v>
      </c>
      <c r="C851" s="5" t="n">
        <v>45822</v>
      </c>
      <c r="D851" s="4" t="s">
        <v>2375</v>
      </c>
      <c r="E851" s="4" t="s">
        <v>323</v>
      </c>
      <c r="F851" s="4" t="s">
        <v>376</v>
      </c>
      <c r="G851" s="4" t="s">
        <v>38</v>
      </c>
      <c r="H851" s="4" t="n">
        <v>1</v>
      </c>
      <c r="I851" s="4" t="n">
        <v>670</v>
      </c>
      <c r="J851" s="4" t="s">
        <v>81</v>
      </c>
      <c r="K851" s="4" t="s">
        <v>2453</v>
      </c>
      <c r="L851" s="4" t="s">
        <v>837</v>
      </c>
      <c r="M851" s="4" t="s">
        <v>838</v>
      </c>
      <c r="N851" s="4" t="s">
        <v>44</v>
      </c>
      <c r="O851" s="4" t="s">
        <v>2454</v>
      </c>
      <c r="P851" s="4" t="s">
        <v>2327</v>
      </c>
    </row>
    <row r="852" customFormat="false" ht="15" hidden="false" customHeight="false" outlineLevel="0" collapsed="false">
      <c r="A852" s="4" t="s">
        <v>2455</v>
      </c>
      <c r="B852" s="5" t="n">
        <v>45714</v>
      </c>
      <c r="C852" s="5" t="n">
        <v>45822</v>
      </c>
      <c r="D852" s="4" t="s">
        <v>2375</v>
      </c>
      <c r="E852" s="4" t="s">
        <v>306</v>
      </c>
      <c r="F852" s="4" t="s">
        <v>376</v>
      </c>
      <c r="G852" s="4" t="s">
        <v>38</v>
      </c>
      <c r="H852" s="4" t="n">
        <v>1</v>
      </c>
      <c r="I852" s="4" t="n">
        <v>260</v>
      </c>
      <c r="J852" s="4" t="s">
        <v>68</v>
      </c>
      <c r="K852" s="4" t="s">
        <v>2456</v>
      </c>
      <c r="L852" s="4" t="s">
        <v>376</v>
      </c>
      <c r="M852" s="4" t="s">
        <v>377</v>
      </c>
      <c r="N852" s="4" t="s">
        <v>44</v>
      </c>
      <c r="O852" s="4" t="s">
        <v>2457</v>
      </c>
      <c r="P852" s="4" t="s">
        <v>2327</v>
      </c>
    </row>
    <row r="853" customFormat="false" ht="15" hidden="false" customHeight="false" outlineLevel="0" collapsed="false">
      <c r="A853" s="4" t="s">
        <v>2458</v>
      </c>
      <c r="B853" s="5" t="n">
        <v>45715</v>
      </c>
      <c r="C853" s="5" t="n">
        <v>45822</v>
      </c>
      <c r="D853" s="4" t="s">
        <v>2375</v>
      </c>
      <c r="E853" s="4" t="s">
        <v>323</v>
      </c>
      <c r="F853" s="4" t="s">
        <v>376</v>
      </c>
      <c r="G853" s="4" t="s">
        <v>59</v>
      </c>
      <c r="H853" s="4" t="n">
        <v>2</v>
      </c>
      <c r="I853" s="4" t="n">
        <v>335</v>
      </c>
      <c r="J853" s="4" t="s">
        <v>68</v>
      </c>
      <c r="K853" s="4" t="s">
        <v>2459</v>
      </c>
      <c r="L853" s="4" t="s">
        <v>736</v>
      </c>
      <c r="M853" s="4" t="s">
        <v>737</v>
      </c>
      <c r="N853" s="4" t="s">
        <v>44</v>
      </c>
      <c r="O853" s="4" t="s">
        <v>2460</v>
      </c>
      <c r="P853" s="4" t="s">
        <v>2327</v>
      </c>
    </row>
    <row r="854" customFormat="false" ht="15" hidden="false" customHeight="false" outlineLevel="0" collapsed="false">
      <c r="A854" s="4" t="s">
        <v>2461</v>
      </c>
      <c r="B854" s="5" t="n">
        <v>45715</v>
      </c>
      <c r="C854" s="5" t="n">
        <v>45822</v>
      </c>
      <c r="D854" s="4" t="s">
        <v>2375</v>
      </c>
      <c r="E854" s="4" t="s">
        <v>306</v>
      </c>
      <c r="F854" s="4" t="s">
        <v>2332</v>
      </c>
      <c r="G854" s="4" t="s">
        <v>59</v>
      </c>
      <c r="H854" s="4" t="n">
        <v>1</v>
      </c>
      <c r="I854" s="4" t="n">
        <v>370</v>
      </c>
      <c r="J854" s="4" t="s">
        <v>68</v>
      </c>
      <c r="K854" s="4" t="s">
        <v>1171</v>
      </c>
      <c r="L854" s="4" t="s">
        <v>1172</v>
      </c>
      <c r="M854" s="4" t="s">
        <v>1412</v>
      </c>
      <c r="N854" s="4" t="s">
        <v>185</v>
      </c>
      <c r="O854" s="4" t="s">
        <v>1173</v>
      </c>
      <c r="P854" s="4" t="s">
        <v>2327</v>
      </c>
    </row>
    <row r="855" customFormat="false" ht="15" hidden="false" customHeight="false" outlineLevel="0" collapsed="false">
      <c r="A855" s="4" t="s">
        <v>2462</v>
      </c>
      <c r="B855" s="5" t="n">
        <v>45716</v>
      </c>
      <c r="C855" s="5" t="n">
        <v>45822</v>
      </c>
      <c r="D855" s="4" t="s">
        <v>2375</v>
      </c>
      <c r="E855" s="4" t="s">
        <v>345</v>
      </c>
      <c r="F855" s="4" t="s">
        <v>2332</v>
      </c>
      <c r="G855" s="4" t="s">
        <v>38</v>
      </c>
      <c r="H855" s="4" t="n">
        <v>2</v>
      </c>
      <c r="I855" s="4" t="n">
        <v>690</v>
      </c>
      <c r="J855" s="4" t="s">
        <v>40</v>
      </c>
      <c r="K855" s="4" t="s">
        <v>2463</v>
      </c>
      <c r="L855" s="4" t="s">
        <v>706</v>
      </c>
      <c r="M855" s="4" t="s">
        <v>412</v>
      </c>
      <c r="N855" s="4" t="s">
        <v>44</v>
      </c>
      <c r="O855" s="4" t="s">
        <v>2464</v>
      </c>
      <c r="P855" s="4" t="s">
        <v>2327</v>
      </c>
    </row>
    <row r="856" customFormat="false" ht="15" hidden="false" customHeight="false" outlineLevel="0" collapsed="false">
      <c r="A856" s="4" t="s">
        <v>2465</v>
      </c>
      <c r="B856" s="5" t="n">
        <v>45716</v>
      </c>
      <c r="C856" s="5" t="n">
        <v>45822</v>
      </c>
      <c r="D856" s="4" t="s">
        <v>2375</v>
      </c>
      <c r="E856" s="4" t="s">
        <v>306</v>
      </c>
      <c r="F856" s="4" t="s">
        <v>376</v>
      </c>
      <c r="G856" s="4" t="s">
        <v>38</v>
      </c>
      <c r="H856" s="4" t="n">
        <v>1</v>
      </c>
      <c r="I856" s="4" t="n">
        <v>370</v>
      </c>
      <c r="J856" s="4" t="s">
        <v>149</v>
      </c>
      <c r="K856" s="4" t="s">
        <v>2466</v>
      </c>
      <c r="L856" s="4" t="s">
        <v>2467</v>
      </c>
      <c r="M856" s="4" t="s">
        <v>635</v>
      </c>
      <c r="N856" s="4" t="s">
        <v>94</v>
      </c>
      <c r="O856" s="4" t="s">
        <v>2468</v>
      </c>
      <c r="P856" s="4" t="s">
        <v>2327</v>
      </c>
    </row>
    <row r="857" customFormat="false" ht="15" hidden="false" customHeight="false" outlineLevel="0" collapsed="false">
      <c r="A857" s="4" t="s">
        <v>2469</v>
      </c>
      <c r="B857" s="5" t="n">
        <v>45716</v>
      </c>
      <c r="C857" s="5" t="n">
        <v>45822</v>
      </c>
      <c r="D857" s="4" t="s">
        <v>2375</v>
      </c>
      <c r="E857" s="4" t="s">
        <v>325</v>
      </c>
      <c r="F857" s="4" t="s">
        <v>376</v>
      </c>
      <c r="G857" s="4" t="s">
        <v>59</v>
      </c>
      <c r="H857" s="4" t="n">
        <v>1</v>
      </c>
      <c r="I857" s="4" t="n">
        <v>140</v>
      </c>
      <c r="J857" s="4" t="s">
        <v>40</v>
      </c>
      <c r="K857" s="4" t="s">
        <v>2406</v>
      </c>
      <c r="L857" s="4" t="s">
        <v>376</v>
      </c>
      <c r="M857" s="4" t="s">
        <v>377</v>
      </c>
      <c r="N857" s="4" t="s">
        <v>44</v>
      </c>
      <c r="O857" s="4" t="s">
        <v>2407</v>
      </c>
      <c r="P857" s="4" t="s">
        <v>2327</v>
      </c>
    </row>
    <row r="858" customFormat="false" ht="15" hidden="false" customHeight="false" outlineLevel="0" collapsed="false">
      <c r="A858" s="4" t="s">
        <v>2405</v>
      </c>
      <c r="B858" s="5" t="n">
        <v>45706</v>
      </c>
      <c r="C858" s="5" t="n">
        <v>45709</v>
      </c>
      <c r="D858" s="4" t="s">
        <v>2322</v>
      </c>
      <c r="E858" s="4" t="s">
        <v>36</v>
      </c>
      <c r="F858" s="4" t="s">
        <v>2332</v>
      </c>
      <c r="G858" s="4" t="s">
        <v>38</v>
      </c>
      <c r="H858" s="4" t="n">
        <v>1</v>
      </c>
      <c r="I858" s="4" t="n">
        <v>35</v>
      </c>
      <c r="J858" s="4" t="s">
        <v>40</v>
      </c>
      <c r="K858" s="4" t="s">
        <v>2406</v>
      </c>
      <c r="L858" s="4" t="s">
        <v>376</v>
      </c>
      <c r="M858" s="4" t="s">
        <v>377</v>
      </c>
      <c r="N858" s="4" t="s">
        <v>44</v>
      </c>
      <c r="O858" s="4" t="s">
        <v>2407</v>
      </c>
      <c r="P858" s="4" t="s">
        <v>2327</v>
      </c>
    </row>
    <row r="859" customFormat="false" ht="15" hidden="false" customHeight="false" outlineLevel="0" collapsed="false">
      <c r="A859" s="4" t="s">
        <v>2470</v>
      </c>
      <c r="B859" s="5" t="n">
        <v>45716</v>
      </c>
      <c r="C859" s="5" t="n">
        <v>45822</v>
      </c>
      <c r="D859" s="4" t="s">
        <v>2375</v>
      </c>
      <c r="E859" s="4" t="s">
        <v>306</v>
      </c>
      <c r="F859" s="4" t="s">
        <v>2362</v>
      </c>
      <c r="G859" s="4" t="s">
        <v>59</v>
      </c>
      <c r="H859" s="4" t="n">
        <v>2</v>
      </c>
      <c r="I859" s="4" t="n">
        <v>312.5</v>
      </c>
      <c r="J859" s="4" t="s">
        <v>40</v>
      </c>
      <c r="K859" s="4" t="s">
        <v>2471</v>
      </c>
      <c r="L859" s="4" t="s">
        <v>376</v>
      </c>
      <c r="M859" s="4" t="s">
        <v>377</v>
      </c>
      <c r="N859" s="4" t="s">
        <v>44</v>
      </c>
      <c r="O859" s="4" t="s">
        <v>2472</v>
      </c>
      <c r="P859" s="4" t="s">
        <v>2327</v>
      </c>
    </row>
    <row r="860" customFormat="false" ht="15" hidden="false" customHeight="false" outlineLevel="0" collapsed="false">
      <c r="A860" s="4" t="s">
        <v>2473</v>
      </c>
      <c r="B860" s="5" t="n">
        <v>45717</v>
      </c>
      <c r="C860" s="5" t="n">
        <v>45822</v>
      </c>
      <c r="D860" s="4" t="s">
        <v>2375</v>
      </c>
      <c r="E860" s="4" t="s">
        <v>311</v>
      </c>
      <c r="F860" s="4" t="s">
        <v>376</v>
      </c>
      <c r="G860" s="4" t="s">
        <v>38</v>
      </c>
      <c r="H860" s="4" t="n">
        <v>2</v>
      </c>
      <c r="I860" s="4" t="n">
        <v>255</v>
      </c>
      <c r="J860" s="4" t="s">
        <v>149</v>
      </c>
      <c r="K860" s="4" t="s">
        <v>2474</v>
      </c>
      <c r="L860" s="4" t="s">
        <v>1002</v>
      </c>
      <c r="M860" s="4" t="s">
        <v>412</v>
      </c>
      <c r="N860" s="4" t="s">
        <v>44</v>
      </c>
      <c r="O860" s="4" t="s">
        <v>2475</v>
      </c>
      <c r="P860" s="4" t="s">
        <v>2327</v>
      </c>
    </row>
    <row r="861" customFormat="false" ht="15" hidden="false" customHeight="false" outlineLevel="0" collapsed="false">
      <c r="A861" s="4" t="s">
        <v>2476</v>
      </c>
      <c r="B861" s="5" t="n">
        <v>45717</v>
      </c>
      <c r="C861" s="5" t="n">
        <v>45822</v>
      </c>
      <c r="D861" s="4" t="s">
        <v>2375</v>
      </c>
      <c r="E861" s="4" t="s">
        <v>345</v>
      </c>
      <c r="F861" s="4" t="s">
        <v>2323</v>
      </c>
      <c r="G861" s="4" t="s">
        <v>38</v>
      </c>
      <c r="H861" s="4" t="n">
        <v>1</v>
      </c>
      <c r="I861" s="4" t="n">
        <v>275</v>
      </c>
      <c r="J861" s="4" t="s">
        <v>40</v>
      </c>
      <c r="K861" s="4" t="s">
        <v>2406</v>
      </c>
      <c r="L861" s="4" t="s">
        <v>1172</v>
      </c>
      <c r="M861" s="4" t="s">
        <v>377</v>
      </c>
      <c r="N861" s="4" t="s">
        <v>44</v>
      </c>
      <c r="O861" s="4" t="s">
        <v>2407</v>
      </c>
      <c r="P861" s="4" t="s">
        <v>2327</v>
      </c>
    </row>
    <row r="862" customFormat="false" ht="15" hidden="false" customHeight="false" outlineLevel="0" collapsed="false">
      <c r="A862" s="4" t="s">
        <v>2477</v>
      </c>
      <c r="B862" s="5" t="n">
        <v>45717</v>
      </c>
      <c r="C862" s="5" t="n">
        <v>45822</v>
      </c>
      <c r="D862" s="4" t="s">
        <v>2375</v>
      </c>
      <c r="E862" s="4" t="s">
        <v>323</v>
      </c>
      <c r="F862" s="4" t="s">
        <v>376</v>
      </c>
      <c r="G862" s="4" t="s">
        <v>38</v>
      </c>
      <c r="H862" s="4" t="n">
        <v>4</v>
      </c>
      <c r="I862" s="4" t="n">
        <v>400</v>
      </c>
      <c r="J862" s="4" t="s">
        <v>68</v>
      </c>
      <c r="K862" s="4" t="s">
        <v>2471</v>
      </c>
      <c r="L862" s="4" t="s">
        <v>376</v>
      </c>
      <c r="M862" s="4" t="s">
        <v>377</v>
      </c>
      <c r="N862" s="4" t="s">
        <v>52</v>
      </c>
      <c r="O862" s="4" t="s">
        <v>2472</v>
      </c>
      <c r="P862" s="4" t="s">
        <v>2327</v>
      </c>
    </row>
    <row r="863" customFormat="false" ht="15" hidden="false" customHeight="false" outlineLevel="0" collapsed="false">
      <c r="A863" s="4" t="s">
        <v>2478</v>
      </c>
      <c r="B863" s="5" t="n">
        <v>45717</v>
      </c>
      <c r="C863" s="5" t="n">
        <v>45822</v>
      </c>
      <c r="D863" s="4" t="s">
        <v>2375</v>
      </c>
      <c r="E863" s="4" t="s">
        <v>306</v>
      </c>
      <c r="F863" s="4" t="s">
        <v>376</v>
      </c>
      <c r="G863" s="4" t="s">
        <v>38</v>
      </c>
      <c r="H863" s="4" t="n">
        <v>1</v>
      </c>
      <c r="I863" s="4" t="n">
        <v>365</v>
      </c>
      <c r="J863" s="4" t="s">
        <v>40</v>
      </c>
      <c r="K863" s="4" t="s">
        <v>2479</v>
      </c>
      <c r="L863" s="4" t="s">
        <v>1172</v>
      </c>
      <c r="M863" s="4" t="s">
        <v>377</v>
      </c>
      <c r="N863" s="4" t="s">
        <v>94</v>
      </c>
      <c r="O863" s="4" t="s">
        <v>2480</v>
      </c>
      <c r="P863" s="4" t="s">
        <v>2327</v>
      </c>
    </row>
    <row r="864" customFormat="false" ht="15" hidden="false" customHeight="false" outlineLevel="0" collapsed="false">
      <c r="A864" s="4" t="s">
        <v>2481</v>
      </c>
      <c r="B864" s="5" t="n">
        <v>45718</v>
      </c>
      <c r="C864" s="5" t="n">
        <v>45822</v>
      </c>
      <c r="D864" s="4" t="s">
        <v>2375</v>
      </c>
      <c r="E864" s="4" t="s">
        <v>306</v>
      </c>
      <c r="F864" s="4" t="s">
        <v>2323</v>
      </c>
      <c r="G864" s="4" t="s">
        <v>38</v>
      </c>
      <c r="H864" s="4" t="n">
        <v>1</v>
      </c>
      <c r="I864" s="4" t="n">
        <v>360</v>
      </c>
      <c r="J864" s="4" t="s">
        <v>40</v>
      </c>
      <c r="K864" s="4" t="s">
        <v>2482</v>
      </c>
      <c r="L864" s="4" t="s">
        <v>988</v>
      </c>
      <c r="M864" s="4" t="s">
        <v>737</v>
      </c>
      <c r="N864" s="4" t="s">
        <v>44</v>
      </c>
      <c r="O864" s="4" t="s">
        <v>2483</v>
      </c>
      <c r="P864" s="4" t="s">
        <v>2327</v>
      </c>
    </row>
    <row r="865" customFormat="false" ht="15" hidden="false" customHeight="false" outlineLevel="0" collapsed="false">
      <c r="A865" s="4" t="s">
        <v>2484</v>
      </c>
      <c r="B865" s="5" t="n">
        <v>45718</v>
      </c>
      <c r="C865" s="5" t="n">
        <v>45822</v>
      </c>
      <c r="D865" s="4" t="s">
        <v>2375</v>
      </c>
      <c r="E865" s="4" t="s">
        <v>345</v>
      </c>
      <c r="F865" s="4" t="s">
        <v>376</v>
      </c>
      <c r="G865" s="4" t="s">
        <v>38</v>
      </c>
      <c r="H865" s="4" t="n">
        <v>2</v>
      </c>
      <c r="I865" s="4" t="n">
        <v>495</v>
      </c>
      <c r="J865" s="4" t="s">
        <v>40</v>
      </c>
      <c r="K865" s="4" t="s">
        <v>2485</v>
      </c>
      <c r="L865" s="4" t="s">
        <v>2384</v>
      </c>
      <c r="M865" s="4" t="s">
        <v>377</v>
      </c>
      <c r="N865" s="4" t="s">
        <v>44</v>
      </c>
      <c r="O865" s="4" t="s">
        <v>2486</v>
      </c>
      <c r="P865" s="4" t="s">
        <v>2327</v>
      </c>
    </row>
    <row r="866" customFormat="false" ht="1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 t="s">
        <v>2327</v>
      </c>
    </row>
    <row r="867" customFormat="false" ht="15" hidden="false" customHeight="false" outlineLevel="0" collapsed="false">
      <c r="A867" s="4" t="s">
        <v>2487</v>
      </c>
      <c r="B867" s="5" t="n">
        <v>45718</v>
      </c>
      <c r="C867" s="5" t="n">
        <v>45822</v>
      </c>
      <c r="D867" s="4" t="s">
        <v>2375</v>
      </c>
      <c r="E867" s="4" t="s">
        <v>311</v>
      </c>
      <c r="F867" s="4" t="s">
        <v>376</v>
      </c>
      <c r="G867" s="4" t="s">
        <v>59</v>
      </c>
      <c r="H867" s="4" t="n">
        <v>2</v>
      </c>
      <c r="I867" s="4" t="n">
        <v>382.5</v>
      </c>
      <c r="J867" s="4" t="s">
        <v>40</v>
      </c>
      <c r="K867" s="4" t="s">
        <v>2488</v>
      </c>
      <c r="L867" s="4" t="s">
        <v>480</v>
      </c>
      <c r="M867" s="4" t="s">
        <v>133</v>
      </c>
      <c r="N867" s="4" t="s">
        <v>44</v>
      </c>
      <c r="O867" s="4" t="s">
        <v>2489</v>
      </c>
      <c r="P867" s="4" t="s">
        <v>2327</v>
      </c>
    </row>
    <row r="868" customFormat="false" ht="15" hidden="false" customHeight="false" outlineLevel="0" collapsed="false">
      <c r="A868" s="4" t="s">
        <v>2490</v>
      </c>
      <c r="B868" s="5" t="n">
        <v>45718</v>
      </c>
      <c r="C868" s="5" t="n">
        <v>45822</v>
      </c>
      <c r="D868" s="4" t="s">
        <v>2375</v>
      </c>
      <c r="E868" s="4" t="s">
        <v>323</v>
      </c>
      <c r="F868" s="4" t="s">
        <v>376</v>
      </c>
      <c r="G868" s="4" t="s">
        <v>38</v>
      </c>
      <c r="H868" s="4" t="n">
        <v>2</v>
      </c>
      <c r="I868" s="4" t="n">
        <v>620</v>
      </c>
      <c r="J868" s="4" t="s">
        <v>81</v>
      </c>
      <c r="K868" s="4" t="s">
        <v>2491</v>
      </c>
      <c r="L868" s="4" t="s">
        <v>596</v>
      </c>
      <c r="M868" s="4" t="s">
        <v>597</v>
      </c>
      <c r="N868" s="4" t="s">
        <v>52</v>
      </c>
      <c r="O868" s="4" t="s">
        <v>2492</v>
      </c>
      <c r="P868" s="4" t="s">
        <v>2327</v>
      </c>
    </row>
    <row r="869" customFormat="false" ht="15" hidden="false" customHeight="false" outlineLevel="0" collapsed="false">
      <c r="A869" s="4" t="s">
        <v>2493</v>
      </c>
      <c r="B869" s="5" t="n">
        <v>45718</v>
      </c>
      <c r="C869" s="5" t="n">
        <v>45822</v>
      </c>
      <c r="D869" s="4" t="s">
        <v>2375</v>
      </c>
      <c r="E869" s="4" t="s">
        <v>345</v>
      </c>
      <c r="F869" s="4" t="s">
        <v>376</v>
      </c>
      <c r="G869" s="4" t="s">
        <v>59</v>
      </c>
      <c r="H869" s="4" t="n">
        <v>2</v>
      </c>
      <c r="I869" s="4" t="n">
        <v>252.5</v>
      </c>
      <c r="J869" s="4" t="s">
        <v>68</v>
      </c>
      <c r="K869" s="4" t="s">
        <v>2450</v>
      </c>
      <c r="L869" s="4" t="s">
        <v>376</v>
      </c>
      <c r="M869" s="4" t="s">
        <v>377</v>
      </c>
      <c r="N869" s="4" t="s">
        <v>44</v>
      </c>
      <c r="O869" s="4" t="s">
        <v>2451</v>
      </c>
      <c r="P869" s="4" t="s">
        <v>2327</v>
      </c>
    </row>
    <row r="870" customFormat="false" ht="15" hidden="false" customHeight="false" outlineLevel="0" collapsed="false">
      <c r="A870" s="4" t="s">
        <v>2494</v>
      </c>
      <c r="B870" s="5" t="n">
        <v>45719</v>
      </c>
      <c r="C870" s="5" t="n">
        <v>45822</v>
      </c>
      <c r="D870" s="4" t="s">
        <v>2375</v>
      </c>
      <c r="E870" s="4" t="s">
        <v>323</v>
      </c>
      <c r="F870" s="4" t="s">
        <v>2332</v>
      </c>
      <c r="G870" s="4" t="s">
        <v>59</v>
      </c>
      <c r="H870" s="4" t="n">
        <v>2</v>
      </c>
      <c r="I870" s="4" t="n">
        <v>220</v>
      </c>
      <c r="J870" s="4" t="s">
        <v>81</v>
      </c>
      <c r="K870" s="4" t="s">
        <v>2495</v>
      </c>
      <c r="L870" s="4" t="s">
        <v>376</v>
      </c>
      <c r="M870" s="4" t="s">
        <v>377</v>
      </c>
      <c r="N870" s="4" t="s">
        <v>44</v>
      </c>
      <c r="O870" s="4" t="s">
        <v>2496</v>
      </c>
      <c r="P870" s="4" t="s">
        <v>2327</v>
      </c>
    </row>
    <row r="871" customFormat="false" ht="15" hidden="false" customHeight="false" outlineLevel="0" collapsed="false">
      <c r="A871" s="4" t="s">
        <v>2497</v>
      </c>
      <c r="B871" s="5" t="n">
        <v>45720</v>
      </c>
      <c r="C871" s="5" t="n">
        <v>45822</v>
      </c>
      <c r="D871" s="4" t="s">
        <v>2375</v>
      </c>
      <c r="E871" s="4" t="s">
        <v>306</v>
      </c>
      <c r="F871" s="4" t="s">
        <v>376</v>
      </c>
      <c r="G871" s="4" t="s">
        <v>59</v>
      </c>
      <c r="H871" s="4" t="n">
        <v>2</v>
      </c>
      <c r="I871" s="4" t="n">
        <v>252.5</v>
      </c>
      <c r="J871" s="4" t="s">
        <v>40</v>
      </c>
      <c r="K871" s="4" t="s">
        <v>320</v>
      </c>
      <c r="L871" s="4" t="s">
        <v>42</v>
      </c>
      <c r="M871" s="4" t="s">
        <v>43</v>
      </c>
      <c r="N871" s="4" t="s">
        <v>44</v>
      </c>
      <c r="O871" s="4" t="s">
        <v>321</v>
      </c>
      <c r="P871" s="4" t="s">
        <v>2327</v>
      </c>
    </row>
    <row r="872" customFormat="false" ht="15" hidden="false" customHeight="false" outlineLevel="0" collapsed="false">
      <c r="A872" s="4" t="s">
        <v>2498</v>
      </c>
      <c r="B872" s="5" t="n">
        <v>45720</v>
      </c>
      <c r="C872" s="5" t="n">
        <v>45822</v>
      </c>
      <c r="D872" s="4" t="s">
        <v>2375</v>
      </c>
      <c r="E872" s="4" t="s">
        <v>306</v>
      </c>
      <c r="F872" s="4" t="s">
        <v>376</v>
      </c>
      <c r="G872" s="4" t="s">
        <v>59</v>
      </c>
      <c r="H872" s="4" t="n">
        <v>4</v>
      </c>
      <c r="I872" s="4" t="n">
        <v>335</v>
      </c>
      <c r="J872" s="4" t="s">
        <v>68</v>
      </c>
      <c r="K872" s="4" t="s">
        <v>2499</v>
      </c>
      <c r="L872" s="4" t="s">
        <v>376</v>
      </c>
      <c r="M872" s="4" t="s">
        <v>377</v>
      </c>
      <c r="N872" s="4" t="s">
        <v>44</v>
      </c>
      <c r="O872" s="4" t="s">
        <v>2500</v>
      </c>
      <c r="P872" s="4" t="s">
        <v>2327</v>
      </c>
    </row>
    <row r="873" customFormat="false" ht="15" hidden="false" customHeight="false" outlineLevel="0" collapsed="false">
      <c r="A873" s="4" t="s">
        <v>2501</v>
      </c>
      <c r="B873" s="5" t="n">
        <v>45721</v>
      </c>
      <c r="C873" s="5" t="n">
        <v>45822</v>
      </c>
      <c r="D873" s="4" t="s">
        <v>2375</v>
      </c>
      <c r="E873" s="4" t="s">
        <v>306</v>
      </c>
      <c r="F873" s="4" t="s">
        <v>2362</v>
      </c>
      <c r="G873" s="4" t="s">
        <v>326</v>
      </c>
      <c r="H873" s="4" t="n">
        <v>2</v>
      </c>
      <c r="I873" s="4" t="n">
        <v>1450</v>
      </c>
      <c r="J873" s="4" t="s">
        <v>40</v>
      </c>
      <c r="K873" s="4" t="s">
        <v>2502</v>
      </c>
      <c r="L873" s="4" t="s">
        <v>786</v>
      </c>
      <c r="M873" s="4" t="s">
        <v>377</v>
      </c>
      <c r="N873" s="4" t="s">
        <v>44</v>
      </c>
      <c r="O873" s="4" t="s">
        <v>2503</v>
      </c>
      <c r="P873" s="4" t="s">
        <v>2327</v>
      </c>
    </row>
    <row r="874" customFormat="false" ht="15" hidden="false" customHeight="false" outlineLevel="0" collapsed="false">
      <c r="A874" s="4" t="s">
        <v>2504</v>
      </c>
      <c r="B874" s="5" t="n">
        <v>45721</v>
      </c>
      <c r="C874" s="5" t="n">
        <v>45822</v>
      </c>
      <c r="D874" s="4" t="s">
        <v>2375</v>
      </c>
      <c r="E874" s="4" t="s">
        <v>311</v>
      </c>
      <c r="F874" s="4" t="s">
        <v>376</v>
      </c>
      <c r="G874" s="4" t="s">
        <v>38</v>
      </c>
      <c r="H874" s="4" t="n">
        <v>1</v>
      </c>
      <c r="I874" s="4" t="n">
        <v>710</v>
      </c>
      <c r="J874" s="4" t="s">
        <v>68</v>
      </c>
      <c r="K874" s="4" t="s">
        <v>2505</v>
      </c>
      <c r="L874" s="4" t="s">
        <v>524</v>
      </c>
      <c r="M874" s="4" t="s">
        <v>377</v>
      </c>
      <c r="N874" s="4" t="s">
        <v>44</v>
      </c>
      <c r="O874" s="4" t="s">
        <v>2506</v>
      </c>
      <c r="P874" s="4" t="s">
        <v>2327</v>
      </c>
    </row>
    <row r="875" customFormat="false" ht="15" hidden="false" customHeight="false" outlineLevel="0" collapsed="false">
      <c r="A875" s="4" t="s">
        <v>2507</v>
      </c>
      <c r="B875" s="5" t="n">
        <v>45722</v>
      </c>
      <c r="C875" s="5" t="n">
        <v>45822</v>
      </c>
      <c r="D875" s="4" t="s">
        <v>2375</v>
      </c>
      <c r="E875" s="4" t="s">
        <v>345</v>
      </c>
      <c r="F875" s="4" t="s">
        <v>376</v>
      </c>
      <c r="G875" s="4" t="s">
        <v>38</v>
      </c>
      <c r="H875" s="4" t="n">
        <v>4</v>
      </c>
      <c r="I875" s="4" t="n">
        <v>665</v>
      </c>
      <c r="J875" s="4" t="s">
        <v>68</v>
      </c>
      <c r="K875" s="4" t="s">
        <v>2447</v>
      </c>
      <c r="L875" s="4" t="s">
        <v>376</v>
      </c>
      <c r="M875" s="4" t="s">
        <v>377</v>
      </c>
      <c r="N875" s="4" t="s">
        <v>185</v>
      </c>
      <c r="O875" s="4" t="s">
        <v>2448</v>
      </c>
      <c r="P875" s="4" t="s">
        <v>2327</v>
      </c>
    </row>
    <row r="876" customFormat="false" ht="15" hidden="false" customHeight="false" outlineLevel="0" collapsed="false">
      <c r="A876" s="4" t="s">
        <v>2508</v>
      </c>
      <c r="B876" s="5" t="n">
        <v>45722</v>
      </c>
      <c r="C876" s="5" t="n">
        <v>45822</v>
      </c>
      <c r="D876" s="4" t="s">
        <v>2375</v>
      </c>
      <c r="E876" s="4" t="s">
        <v>306</v>
      </c>
      <c r="F876" s="4" t="s">
        <v>376</v>
      </c>
      <c r="G876" s="4" t="s">
        <v>38</v>
      </c>
      <c r="H876" s="4" t="n">
        <v>2</v>
      </c>
      <c r="I876" s="4" t="n">
        <v>745</v>
      </c>
      <c r="J876" s="4" t="s">
        <v>40</v>
      </c>
      <c r="K876" s="4" t="s">
        <v>2385</v>
      </c>
      <c r="L876" s="4" t="s">
        <v>376</v>
      </c>
      <c r="M876" s="4" t="s">
        <v>377</v>
      </c>
      <c r="N876" s="4" t="s">
        <v>44</v>
      </c>
      <c r="O876" s="4" t="s">
        <v>2386</v>
      </c>
      <c r="P876" s="4" t="s">
        <v>2327</v>
      </c>
    </row>
    <row r="877" customFormat="false" ht="15" hidden="false" customHeight="false" outlineLevel="0" collapsed="false">
      <c r="A877" s="4" t="s">
        <v>2509</v>
      </c>
      <c r="B877" s="5" t="n">
        <v>45722</v>
      </c>
      <c r="C877" s="5" t="n">
        <v>45822</v>
      </c>
      <c r="D877" s="4" t="s">
        <v>2375</v>
      </c>
      <c r="E877" s="4" t="s">
        <v>306</v>
      </c>
      <c r="F877" s="4" t="s">
        <v>2332</v>
      </c>
      <c r="G877" s="4" t="s">
        <v>59</v>
      </c>
      <c r="H877" s="4" t="n">
        <v>2</v>
      </c>
      <c r="I877" s="4" t="n">
        <v>137.5</v>
      </c>
      <c r="J877" s="4" t="s">
        <v>40</v>
      </c>
      <c r="K877" s="4" t="s">
        <v>2510</v>
      </c>
      <c r="L877" s="4" t="s">
        <v>634</v>
      </c>
      <c r="M877" s="4" t="s">
        <v>635</v>
      </c>
      <c r="N877" s="4" t="s">
        <v>44</v>
      </c>
      <c r="O877" s="4" t="s">
        <v>2511</v>
      </c>
      <c r="P877" s="4" t="s">
        <v>2327</v>
      </c>
    </row>
    <row r="878" customFormat="false" ht="15" hidden="false" customHeight="false" outlineLevel="0" collapsed="false">
      <c r="A878" s="4" t="s">
        <v>2512</v>
      </c>
      <c r="B878" s="5" t="n">
        <v>45722</v>
      </c>
      <c r="C878" s="5" t="n">
        <v>45822</v>
      </c>
      <c r="D878" s="4" t="s">
        <v>2375</v>
      </c>
      <c r="E878" s="4" t="s">
        <v>306</v>
      </c>
      <c r="F878" s="4" t="s">
        <v>2332</v>
      </c>
      <c r="G878" s="4" t="s">
        <v>59</v>
      </c>
      <c r="H878" s="4" t="n">
        <v>1</v>
      </c>
      <c r="I878" s="4" t="n">
        <v>292.5</v>
      </c>
      <c r="J878" s="4" t="s">
        <v>81</v>
      </c>
      <c r="K878" s="4" t="s">
        <v>2513</v>
      </c>
      <c r="L878" s="4" t="s">
        <v>524</v>
      </c>
      <c r="M878" s="4" t="s">
        <v>1412</v>
      </c>
      <c r="N878" s="4" t="s">
        <v>44</v>
      </c>
      <c r="O878" s="4" t="s">
        <v>2514</v>
      </c>
      <c r="P878" s="4" t="s">
        <v>2327</v>
      </c>
    </row>
    <row r="879" customFormat="false" ht="15" hidden="false" customHeight="false" outlineLevel="0" collapsed="false">
      <c r="A879" s="4" t="s">
        <v>2515</v>
      </c>
      <c r="B879" s="5" t="n">
        <v>45728</v>
      </c>
      <c r="C879" s="5" t="n">
        <v>45822</v>
      </c>
      <c r="D879" s="4" t="s">
        <v>2375</v>
      </c>
      <c r="E879" s="4" t="s">
        <v>306</v>
      </c>
      <c r="F879" s="4" t="s">
        <v>376</v>
      </c>
      <c r="G879" s="4" t="s">
        <v>38</v>
      </c>
      <c r="H879" s="4" t="n">
        <v>3</v>
      </c>
      <c r="I879" s="4" t="n">
        <v>365</v>
      </c>
      <c r="J879" s="4" t="s">
        <v>40</v>
      </c>
      <c r="K879" s="4" t="s">
        <v>2516</v>
      </c>
      <c r="L879" s="4" t="s">
        <v>2517</v>
      </c>
      <c r="M879" s="4" t="s">
        <v>377</v>
      </c>
      <c r="N879" s="4" t="s">
        <v>44</v>
      </c>
      <c r="O879" s="4" t="s">
        <v>2518</v>
      </c>
      <c r="P879" s="4" t="s">
        <v>2327</v>
      </c>
    </row>
    <row r="880" customFormat="false" ht="15" hidden="false" customHeight="false" outlineLevel="0" collapsed="false">
      <c r="A880" s="4" t="s">
        <v>2519</v>
      </c>
      <c r="B880" s="5" t="n">
        <v>45728</v>
      </c>
      <c r="C880" s="5" t="n">
        <v>45822</v>
      </c>
      <c r="D880" s="4" t="s">
        <v>2375</v>
      </c>
      <c r="E880" s="4" t="s">
        <v>306</v>
      </c>
      <c r="F880" s="4" t="s">
        <v>2384</v>
      </c>
      <c r="G880" s="4" t="s">
        <v>326</v>
      </c>
      <c r="H880" s="4" t="n">
        <v>2</v>
      </c>
      <c r="I880" s="4" t="n">
        <v>810</v>
      </c>
      <c r="J880" s="4" t="s">
        <v>40</v>
      </c>
      <c r="K880" s="4" t="s">
        <v>2520</v>
      </c>
      <c r="L880" s="4" t="s">
        <v>524</v>
      </c>
      <c r="M880" s="4" t="s">
        <v>377</v>
      </c>
      <c r="N880" s="4" t="s">
        <v>44</v>
      </c>
      <c r="O880" s="4" t="s">
        <v>2521</v>
      </c>
      <c r="P880" s="4" t="s">
        <v>2327</v>
      </c>
    </row>
    <row r="881" customFormat="false" ht="15" hidden="false" customHeight="false" outlineLevel="0" collapsed="false">
      <c r="A881" s="4" t="s">
        <v>2522</v>
      </c>
      <c r="B881" s="5" t="n">
        <v>45728</v>
      </c>
      <c r="C881" s="5" t="n">
        <v>45728</v>
      </c>
      <c r="D881" s="4" t="s">
        <v>2322</v>
      </c>
      <c r="E881" s="4" t="s">
        <v>36</v>
      </c>
      <c r="F881" s="4" t="s">
        <v>2332</v>
      </c>
      <c r="G881" s="4" t="s">
        <v>38</v>
      </c>
      <c r="H881" s="4" t="n">
        <v>1</v>
      </c>
      <c r="I881" s="4" t="n">
        <v>40</v>
      </c>
      <c r="J881" s="4" t="s">
        <v>40</v>
      </c>
      <c r="K881" s="4" t="s">
        <v>2523</v>
      </c>
      <c r="L881" s="4" t="s">
        <v>376</v>
      </c>
      <c r="M881" s="4" t="s">
        <v>1412</v>
      </c>
      <c r="N881" s="4" t="s">
        <v>44</v>
      </c>
      <c r="O881" s="4" t="s">
        <v>2524</v>
      </c>
      <c r="P881" s="4" t="s">
        <v>2327</v>
      </c>
    </row>
    <row r="882" customFormat="false" ht="15" hidden="false" customHeight="false" outlineLevel="0" collapsed="false">
      <c r="A882" s="4" t="s">
        <v>2525</v>
      </c>
      <c r="B882" s="5" t="n">
        <v>45730</v>
      </c>
      <c r="C882" s="5" t="n">
        <v>45730</v>
      </c>
      <c r="D882" s="4" t="s">
        <v>2322</v>
      </c>
      <c r="E882" s="4" t="s">
        <v>36</v>
      </c>
      <c r="F882" s="4" t="s">
        <v>376</v>
      </c>
      <c r="G882" s="4" t="s">
        <v>38</v>
      </c>
      <c r="H882" s="4" t="n">
        <v>2</v>
      </c>
      <c r="I882" s="4" t="n">
        <v>45</v>
      </c>
      <c r="J882" s="4" t="s">
        <v>149</v>
      </c>
      <c r="K882" s="4" t="s">
        <v>2340</v>
      </c>
      <c r="L882" s="4" t="s">
        <v>376</v>
      </c>
      <c r="M882" s="4" t="s">
        <v>1412</v>
      </c>
      <c r="N882" s="4" t="s">
        <v>44</v>
      </c>
      <c r="O882" s="4" t="s">
        <v>2341</v>
      </c>
      <c r="P882" s="4" t="s">
        <v>2327</v>
      </c>
    </row>
    <row r="883" customFormat="false" ht="15" hidden="false" customHeight="false" outlineLevel="0" collapsed="false">
      <c r="A883" s="4" t="s">
        <v>2526</v>
      </c>
      <c r="B883" s="5" t="n">
        <v>45732</v>
      </c>
      <c r="C883" s="5" t="n">
        <v>45734</v>
      </c>
      <c r="D883" s="4" t="s">
        <v>2322</v>
      </c>
      <c r="E883" s="4" t="s">
        <v>36</v>
      </c>
      <c r="F883" s="4" t="s">
        <v>2323</v>
      </c>
      <c r="G883" s="4" t="s">
        <v>38</v>
      </c>
      <c r="H883" s="4" t="n">
        <v>3</v>
      </c>
      <c r="I883" s="4" t="n">
        <v>30</v>
      </c>
      <c r="J883" s="4" t="s">
        <v>68</v>
      </c>
      <c r="K883" s="4" t="s">
        <v>2324</v>
      </c>
      <c r="L883" s="4" t="s">
        <v>376</v>
      </c>
      <c r="M883" s="4" t="s">
        <v>377</v>
      </c>
      <c r="N883" s="4" t="s">
        <v>44</v>
      </c>
      <c r="O883" s="4" t="s">
        <v>2326</v>
      </c>
      <c r="P883" s="4" t="s">
        <v>2327</v>
      </c>
    </row>
    <row r="884" customFormat="false" ht="15" hidden="false" customHeight="false" outlineLevel="0" collapsed="false">
      <c r="A884" s="4" t="s">
        <v>2527</v>
      </c>
      <c r="B884" s="5" t="n">
        <v>45736</v>
      </c>
      <c r="C884" s="5" t="n">
        <v>45822</v>
      </c>
      <c r="D884" s="4" t="s">
        <v>2375</v>
      </c>
      <c r="E884" s="4" t="s">
        <v>306</v>
      </c>
      <c r="F884" s="4" t="s">
        <v>376</v>
      </c>
      <c r="G884" s="4" t="s">
        <v>38</v>
      </c>
      <c r="H884" s="4" t="n">
        <v>1</v>
      </c>
      <c r="I884" s="4" t="n">
        <v>420</v>
      </c>
      <c r="J884" s="4" t="s">
        <v>40</v>
      </c>
      <c r="K884" s="4" t="s">
        <v>2528</v>
      </c>
      <c r="L884" s="4" t="s">
        <v>376</v>
      </c>
      <c r="M884" s="4" t="s">
        <v>377</v>
      </c>
      <c r="N884" s="4" t="s">
        <v>44</v>
      </c>
      <c r="O884" s="4" t="s">
        <v>2529</v>
      </c>
      <c r="P884" s="4" t="s">
        <v>2327</v>
      </c>
    </row>
    <row r="885" customFormat="false" ht="15" hidden="false" customHeight="false" outlineLevel="0" collapsed="false">
      <c r="A885" s="4" t="s">
        <v>2530</v>
      </c>
      <c r="B885" s="5" t="n">
        <v>45737</v>
      </c>
      <c r="C885" s="5" t="n">
        <v>45737</v>
      </c>
      <c r="D885" s="4" t="s">
        <v>2322</v>
      </c>
      <c r="E885" s="4" t="s">
        <v>36</v>
      </c>
      <c r="F885" s="4" t="s">
        <v>376</v>
      </c>
      <c r="G885" s="4" t="s">
        <v>59</v>
      </c>
      <c r="H885" s="4" t="n">
        <v>1</v>
      </c>
      <c r="I885" s="4" t="n">
        <v>15</v>
      </c>
      <c r="J885" s="4" t="s">
        <v>40</v>
      </c>
      <c r="K885" s="4" t="s">
        <v>2334</v>
      </c>
      <c r="L885" s="4" t="s">
        <v>376</v>
      </c>
      <c r="M885" s="4" t="s">
        <v>377</v>
      </c>
      <c r="N885" s="4" t="s">
        <v>44</v>
      </c>
      <c r="O885" s="4" t="s">
        <v>2335</v>
      </c>
      <c r="P885" s="4" t="s">
        <v>2327</v>
      </c>
    </row>
    <row r="886" customFormat="false" ht="15" hidden="false" customHeight="false" outlineLevel="0" collapsed="false">
      <c r="A886" s="4" t="s">
        <v>2531</v>
      </c>
      <c r="B886" s="5" t="n">
        <v>45738</v>
      </c>
      <c r="C886" s="5" t="n">
        <v>45822</v>
      </c>
      <c r="D886" s="4" t="s">
        <v>2375</v>
      </c>
      <c r="E886" s="4" t="s">
        <v>306</v>
      </c>
      <c r="F886" s="4" t="s">
        <v>2362</v>
      </c>
      <c r="G886" s="4" t="s">
        <v>38</v>
      </c>
      <c r="H886" s="4" t="n">
        <v>1</v>
      </c>
      <c r="I886" s="4" t="n">
        <v>630</v>
      </c>
      <c r="J886" s="4" t="s">
        <v>40</v>
      </c>
      <c r="K886" s="4" t="s">
        <v>2532</v>
      </c>
      <c r="L886" s="4" t="s">
        <v>524</v>
      </c>
      <c r="M886" s="4" t="s">
        <v>377</v>
      </c>
      <c r="N886" s="4" t="s">
        <v>44</v>
      </c>
      <c r="O886" s="4" t="s">
        <v>2533</v>
      </c>
      <c r="P886" s="4" t="s">
        <v>2327</v>
      </c>
    </row>
    <row r="887" customFormat="false" ht="15" hidden="false" customHeight="false" outlineLevel="0" collapsed="false">
      <c r="A887" s="4" t="s">
        <v>2534</v>
      </c>
      <c r="B887" s="5" t="n">
        <v>45738</v>
      </c>
      <c r="C887" s="5" t="n">
        <v>45822</v>
      </c>
      <c r="D887" s="4" t="s">
        <v>2375</v>
      </c>
      <c r="E887" s="4" t="s">
        <v>306</v>
      </c>
      <c r="F887" s="4" t="s">
        <v>2332</v>
      </c>
      <c r="G887" s="4" t="s">
        <v>38</v>
      </c>
      <c r="H887" s="4" t="n">
        <v>1</v>
      </c>
      <c r="I887" s="4" t="n">
        <v>680</v>
      </c>
      <c r="J887" s="4" t="s">
        <v>149</v>
      </c>
      <c r="K887" s="4" t="s">
        <v>2535</v>
      </c>
      <c r="L887" s="4" t="s">
        <v>376</v>
      </c>
      <c r="M887" s="4" t="s">
        <v>377</v>
      </c>
      <c r="N887" s="4" t="s">
        <v>44</v>
      </c>
      <c r="O887" s="4" t="s">
        <v>2536</v>
      </c>
      <c r="P887" s="4" t="s">
        <v>2327</v>
      </c>
    </row>
    <row r="888" customFormat="false" ht="15" hidden="false" customHeight="false" outlineLevel="0" collapsed="false">
      <c r="A888" s="4" t="s">
        <v>2537</v>
      </c>
      <c r="B888" s="5" t="n">
        <v>45739</v>
      </c>
      <c r="C888" s="5" t="n">
        <v>45822</v>
      </c>
      <c r="D888" s="4" t="s">
        <v>2375</v>
      </c>
      <c r="E888" s="4" t="s">
        <v>306</v>
      </c>
      <c r="F888" s="4" t="s">
        <v>376</v>
      </c>
      <c r="G888" s="4" t="s">
        <v>38</v>
      </c>
      <c r="H888" s="4" t="n">
        <v>4</v>
      </c>
      <c r="I888" s="4" t="n">
        <v>720</v>
      </c>
      <c r="J888" s="4" t="s">
        <v>68</v>
      </c>
      <c r="K888" s="4" t="s">
        <v>2538</v>
      </c>
      <c r="L888" s="4" t="s">
        <v>376</v>
      </c>
      <c r="M888" s="4" t="s">
        <v>377</v>
      </c>
      <c r="N888" s="4" t="s">
        <v>44</v>
      </c>
      <c r="O888" s="4" t="s">
        <v>2539</v>
      </c>
      <c r="P888" s="4" t="s">
        <v>2327</v>
      </c>
    </row>
    <row r="889" customFormat="false" ht="15" hidden="false" customHeight="false" outlineLevel="0" collapsed="false">
      <c r="A889" s="4" t="s">
        <v>2540</v>
      </c>
      <c r="B889" s="5" t="n">
        <v>45740</v>
      </c>
      <c r="C889" s="5" t="n">
        <v>45822</v>
      </c>
      <c r="D889" s="4" t="s">
        <v>2375</v>
      </c>
      <c r="E889" s="4" t="s">
        <v>306</v>
      </c>
      <c r="F889" s="4" t="s">
        <v>376</v>
      </c>
      <c r="G889" s="4" t="s">
        <v>38</v>
      </c>
      <c r="H889" s="4" t="n">
        <v>1</v>
      </c>
      <c r="I889" s="4" t="n">
        <v>715</v>
      </c>
      <c r="J889" s="4" t="s">
        <v>81</v>
      </c>
      <c r="K889" s="4" t="s">
        <v>2541</v>
      </c>
      <c r="L889" s="4" t="s">
        <v>219</v>
      </c>
      <c r="M889" s="4" t="s">
        <v>356</v>
      </c>
      <c r="N889" s="4" t="s">
        <v>221</v>
      </c>
      <c r="O889" s="4"/>
      <c r="P889" s="4" t="s">
        <v>2327</v>
      </c>
    </row>
    <row r="890" customFormat="false" ht="15" hidden="false" customHeight="false" outlineLevel="0" collapsed="false">
      <c r="A890" s="4" t="s">
        <v>2542</v>
      </c>
      <c r="B890" s="5" t="n">
        <v>45740</v>
      </c>
      <c r="C890" s="5" t="n">
        <v>45740</v>
      </c>
      <c r="D890" s="4" t="s">
        <v>2322</v>
      </c>
      <c r="E890" s="4" t="s">
        <v>36</v>
      </c>
      <c r="F890" s="4" t="s">
        <v>2332</v>
      </c>
      <c r="G890" s="4" t="s">
        <v>38</v>
      </c>
      <c r="H890" s="4" t="n">
        <v>1</v>
      </c>
      <c r="I890" s="4" t="n">
        <v>40</v>
      </c>
      <c r="J890" s="4" t="s">
        <v>40</v>
      </c>
      <c r="K890" s="4" t="s">
        <v>2543</v>
      </c>
      <c r="L890" s="4" t="s">
        <v>376</v>
      </c>
      <c r="M890" s="4" t="s">
        <v>377</v>
      </c>
      <c r="N890" s="4" t="s">
        <v>44</v>
      </c>
      <c r="O890" s="4" t="s">
        <v>2544</v>
      </c>
      <c r="P890" s="4" t="s">
        <v>2327</v>
      </c>
    </row>
    <row r="891" customFormat="false" ht="15" hidden="false" customHeight="false" outlineLevel="0" collapsed="false">
      <c r="A891" s="4" t="s">
        <v>2545</v>
      </c>
      <c r="B891" s="5" t="n">
        <v>45741</v>
      </c>
      <c r="C891" s="5" t="n">
        <v>45822</v>
      </c>
      <c r="D891" s="4" t="s">
        <v>2375</v>
      </c>
      <c r="E891" s="4" t="s">
        <v>311</v>
      </c>
      <c r="F891" s="4" t="s">
        <v>2323</v>
      </c>
      <c r="G891" s="4" t="s">
        <v>59</v>
      </c>
      <c r="H891" s="4" t="n">
        <v>3</v>
      </c>
      <c r="I891" s="4" t="n">
        <v>205</v>
      </c>
      <c r="J891" s="4" t="s">
        <v>68</v>
      </c>
      <c r="K891" s="4" t="s">
        <v>2471</v>
      </c>
      <c r="L891" s="4" t="s">
        <v>376</v>
      </c>
      <c r="M891" s="4" t="s">
        <v>377</v>
      </c>
      <c r="N891" s="4" t="s">
        <v>44</v>
      </c>
      <c r="O891" s="4" t="s">
        <v>2472</v>
      </c>
      <c r="P891" s="4" t="s">
        <v>2327</v>
      </c>
    </row>
    <row r="892" customFormat="false" ht="15" hidden="false" customHeight="false" outlineLevel="0" collapsed="false">
      <c r="A892" s="4" t="s">
        <v>2546</v>
      </c>
      <c r="B892" s="5" t="n">
        <v>45743</v>
      </c>
      <c r="C892" s="5" t="n">
        <v>45822</v>
      </c>
      <c r="D892" s="4" t="s">
        <v>2375</v>
      </c>
      <c r="E892" s="4" t="s">
        <v>323</v>
      </c>
      <c r="F892" s="4" t="s">
        <v>376</v>
      </c>
      <c r="G892" s="4" t="s">
        <v>326</v>
      </c>
      <c r="H892" s="4" t="n">
        <v>1</v>
      </c>
      <c r="I892" s="4" t="n">
        <v>1080</v>
      </c>
      <c r="J892" s="4" t="s">
        <v>81</v>
      </c>
      <c r="K892" s="4" t="s">
        <v>2547</v>
      </c>
      <c r="L892" s="4" t="s">
        <v>2325</v>
      </c>
      <c r="M892" s="4" t="s">
        <v>377</v>
      </c>
      <c r="N892" s="4" t="s">
        <v>44</v>
      </c>
      <c r="O892" s="4" t="s">
        <v>2548</v>
      </c>
      <c r="P892" s="4" t="s">
        <v>2327</v>
      </c>
    </row>
    <row r="893" customFormat="false" ht="15" hidden="false" customHeight="false" outlineLevel="0" collapsed="false">
      <c r="A893" s="4" t="s">
        <v>2549</v>
      </c>
      <c r="B893" s="5" t="n">
        <v>45743</v>
      </c>
      <c r="C893" s="5" t="n">
        <v>45822</v>
      </c>
      <c r="D893" s="4" t="s">
        <v>2375</v>
      </c>
      <c r="E893" s="4" t="s">
        <v>306</v>
      </c>
      <c r="F893" s="4" t="s">
        <v>376</v>
      </c>
      <c r="G893" s="4" t="s">
        <v>38</v>
      </c>
      <c r="H893" s="4" t="n">
        <v>2</v>
      </c>
      <c r="I893" s="4" t="n">
        <v>485</v>
      </c>
      <c r="J893" s="4" t="s">
        <v>81</v>
      </c>
      <c r="K893" s="4" t="s">
        <v>686</v>
      </c>
      <c r="L893" s="4" t="s">
        <v>376</v>
      </c>
      <c r="M893" s="4" t="s">
        <v>377</v>
      </c>
      <c r="N893" s="4" t="s">
        <v>44</v>
      </c>
      <c r="O893" s="4" t="s">
        <v>687</v>
      </c>
      <c r="P893" s="4" t="s">
        <v>2327</v>
      </c>
    </row>
    <row r="894" customFormat="false" ht="15" hidden="false" customHeight="false" outlineLevel="0" collapsed="false">
      <c r="A894" s="4" t="s">
        <v>2550</v>
      </c>
      <c r="B894" s="5" t="n">
        <v>45744</v>
      </c>
      <c r="C894" s="5" t="n">
        <v>45822</v>
      </c>
      <c r="D894" s="4" t="s">
        <v>2375</v>
      </c>
      <c r="E894" s="4" t="s">
        <v>323</v>
      </c>
      <c r="F894" s="4" t="s">
        <v>376</v>
      </c>
      <c r="G894" s="4" t="s">
        <v>59</v>
      </c>
      <c r="H894" s="4" t="n">
        <v>2</v>
      </c>
      <c r="I894" s="4" t="n">
        <v>370</v>
      </c>
      <c r="J894" s="4" t="s">
        <v>40</v>
      </c>
      <c r="K894" s="4" t="s">
        <v>2551</v>
      </c>
      <c r="L894" s="4" t="s">
        <v>736</v>
      </c>
      <c r="M894" s="4" t="s">
        <v>737</v>
      </c>
      <c r="N894" s="4" t="s">
        <v>94</v>
      </c>
      <c r="O894" s="4" t="s">
        <v>2552</v>
      </c>
      <c r="P894" s="4" t="s">
        <v>2327</v>
      </c>
    </row>
    <row r="895" customFormat="false" ht="15" hidden="false" customHeight="false" outlineLevel="0" collapsed="false">
      <c r="A895" s="4" t="s">
        <v>2553</v>
      </c>
      <c r="B895" s="5" t="n">
        <v>45747</v>
      </c>
      <c r="C895" s="5" t="n">
        <v>45822</v>
      </c>
      <c r="D895" s="4" t="s">
        <v>2375</v>
      </c>
      <c r="E895" s="4" t="s">
        <v>306</v>
      </c>
      <c r="F895" s="4" t="s">
        <v>376</v>
      </c>
      <c r="G895" s="4" t="s">
        <v>59</v>
      </c>
      <c r="H895" s="4" t="n">
        <v>1</v>
      </c>
      <c r="I895" s="4" t="n">
        <v>235</v>
      </c>
      <c r="J895" s="4" t="s">
        <v>40</v>
      </c>
      <c r="K895" s="4" t="s">
        <v>2535</v>
      </c>
      <c r="L895" s="4" t="s">
        <v>376</v>
      </c>
      <c r="M895" s="4" t="s">
        <v>377</v>
      </c>
      <c r="N895" s="4" t="s">
        <v>44</v>
      </c>
      <c r="O895" s="4" t="s">
        <v>2536</v>
      </c>
      <c r="P895" s="4" t="s">
        <v>2327</v>
      </c>
    </row>
    <row r="896" customFormat="false" ht="15" hidden="false" customHeight="false" outlineLevel="0" collapsed="false">
      <c r="A896" s="4" t="s">
        <v>2554</v>
      </c>
      <c r="B896" s="5" t="n">
        <v>45747</v>
      </c>
      <c r="C896" s="5" t="n">
        <v>45822</v>
      </c>
      <c r="D896" s="4" t="s">
        <v>2375</v>
      </c>
      <c r="E896" s="4" t="s">
        <v>306</v>
      </c>
      <c r="F896" s="4" t="s">
        <v>2332</v>
      </c>
      <c r="G896" s="4" t="s">
        <v>38</v>
      </c>
      <c r="H896" s="4" t="n">
        <v>1</v>
      </c>
      <c r="I896" s="4" t="n">
        <v>765</v>
      </c>
      <c r="J896" s="4" t="s">
        <v>68</v>
      </c>
      <c r="K896" s="4" t="s">
        <v>2555</v>
      </c>
      <c r="L896" s="4" t="s">
        <v>376</v>
      </c>
      <c r="M896" s="4" t="s">
        <v>377</v>
      </c>
      <c r="N896" s="4" t="s">
        <v>44</v>
      </c>
      <c r="O896" s="4" t="s">
        <v>2556</v>
      </c>
      <c r="P896" s="4" t="s">
        <v>2327</v>
      </c>
    </row>
    <row r="897" customFormat="false" ht="15" hidden="false" customHeight="false" outlineLevel="0" collapsed="false">
      <c r="A897" s="4" t="s">
        <v>2557</v>
      </c>
      <c r="B897" s="5" t="n">
        <v>45749</v>
      </c>
      <c r="C897" s="5" t="n">
        <v>45822</v>
      </c>
      <c r="D897" s="4" t="s">
        <v>2375</v>
      </c>
      <c r="E897" s="4" t="s">
        <v>323</v>
      </c>
      <c r="F897" s="4" t="s">
        <v>376</v>
      </c>
      <c r="G897" s="4" t="s">
        <v>38</v>
      </c>
      <c r="H897" s="4" t="n">
        <v>1</v>
      </c>
      <c r="I897" s="4" t="n">
        <v>490</v>
      </c>
      <c r="J897" s="4" t="s">
        <v>40</v>
      </c>
      <c r="K897" s="4" t="s">
        <v>2558</v>
      </c>
      <c r="L897" s="4" t="s">
        <v>376</v>
      </c>
      <c r="M897" s="4" t="s">
        <v>377</v>
      </c>
      <c r="N897" s="4" t="s">
        <v>94</v>
      </c>
      <c r="O897" s="4" t="s">
        <v>2559</v>
      </c>
      <c r="P897" s="4" t="s">
        <v>2327</v>
      </c>
    </row>
    <row r="898" customFormat="false" ht="15" hidden="false" customHeight="false" outlineLevel="0" collapsed="false">
      <c r="A898" s="4" t="s">
        <v>2560</v>
      </c>
      <c r="B898" s="5" t="n">
        <v>45750</v>
      </c>
      <c r="C898" s="5" t="n">
        <v>45751</v>
      </c>
      <c r="D898" s="4" t="s">
        <v>2322</v>
      </c>
      <c r="E898" s="4" t="s">
        <v>36</v>
      </c>
      <c r="F898" s="4" t="s">
        <v>2384</v>
      </c>
      <c r="G898" s="4" t="s">
        <v>59</v>
      </c>
      <c r="H898" s="4" t="n">
        <v>4</v>
      </c>
      <c r="I898" s="4" t="n">
        <v>22.5</v>
      </c>
      <c r="J898" s="4" t="s">
        <v>149</v>
      </c>
      <c r="K898" s="4" t="s">
        <v>2379</v>
      </c>
      <c r="L898" s="4" t="s">
        <v>376</v>
      </c>
      <c r="M898" s="4" t="s">
        <v>377</v>
      </c>
      <c r="N898" s="4" t="s">
        <v>52</v>
      </c>
      <c r="O898" s="4" t="s">
        <v>2380</v>
      </c>
      <c r="P898" s="4" t="s">
        <v>2327</v>
      </c>
    </row>
    <row r="899" customFormat="false" ht="15" hidden="false" customHeight="false" outlineLevel="0" collapsed="false">
      <c r="A899" s="4" t="s">
        <v>2537</v>
      </c>
      <c r="B899" s="5" t="n">
        <v>45739</v>
      </c>
      <c r="C899" s="5" t="n">
        <v>45822</v>
      </c>
      <c r="D899" s="4" t="s">
        <v>2375</v>
      </c>
      <c r="E899" s="4" t="s">
        <v>306</v>
      </c>
      <c r="F899" s="4" t="s">
        <v>376</v>
      </c>
      <c r="G899" s="4" t="s">
        <v>38</v>
      </c>
      <c r="H899" s="4" t="n">
        <v>4</v>
      </c>
      <c r="I899" s="4" t="n">
        <v>720</v>
      </c>
      <c r="J899" s="4" t="s">
        <v>68</v>
      </c>
      <c r="K899" s="4" t="s">
        <v>2538</v>
      </c>
      <c r="L899" s="4" t="s">
        <v>376</v>
      </c>
      <c r="M899" s="4" t="s">
        <v>377</v>
      </c>
      <c r="N899" s="4" t="s">
        <v>44</v>
      </c>
      <c r="O899" s="4" t="s">
        <v>2539</v>
      </c>
      <c r="P899" s="4" t="s">
        <v>2327</v>
      </c>
    </row>
    <row r="900" customFormat="false" ht="15" hidden="false" customHeight="false" outlineLevel="0" collapsed="false">
      <c r="A900" s="4" t="s">
        <v>2561</v>
      </c>
      <c r="B900" s="5" t="n">
        <v>45751</v>
      </c>
      <c r="C900" s="5" t="n">
        <v>45822</v>
      </c>
      <c r="D900" s="4" t="s">
        <v>2375</v>
      </c>
      <c r="E900" s="4" t="s">
        <v>306</v>
      </c>
      <c r="F900" s="4" t="s">
        <v>2362</v>
      </c>
      <c r="G900" s="4" t="s">
        <v>326</v>
      </c>
      <c r="H900" s="4" t="n">
        <v>2</v>
      </c>
      <c r="I900" s="4" t="n">
        <v>1340</v>
      </c>
      <c r="J900" s="4" t="s">
        <v>40</v>
      </c>
      <c r="K900" s="4" t="s">
        <v>2562</v>
      </c>
      <c r="L900" s="4" t="s">
        <v>2517</v>
      </c>
      <c r="M900" s="4" t="s">
        <v>377</v>
      </c>
      <c r="N900" s="4" t="s">
        <v>44</v>
      </c>
      <c r="O900" s="4" t="s">
        <v>2563</v>
      </c>
      <c r="P900" s="4" t="s">
        <v>2327</v>
      </c>
    </row>
    <row r="901" customFormat="false" ht="15" hidden="false" customHeight="false" outlineLevel="0" collapsed="false">
      <c r="A901" s="4" t="s">
        <v>2564</v>
      </c>
      <c r="B901" s="5" t="n">
        <v>45751</v>
      </c>
      <c r="C901" s="5" t="n">
        <v>45752</v>
      </c>
      <c r="D901" s="4" t="s">
        <v>2322</v>
      </c>
      <c r="E901" s="4" t="s">
        <v>36</v>
      </c>
      <c r="F901" s="4" t="s">
        <v>376</v>
      </c>
      <c r="G901" s="4" t="s">
        <v>59</v>
      </c>
      <c r="H901" s="4" t="n">
        <v>2</v>
      </c>
      <c r="I901" s="4" t="n">
        <v>22.5</v>
      </c>
      <c r="J901" s="4" t="s">
        <v>68</v>
      </c>
      <c r="K901" s="4" t="s">
        <v>2565</v>
      </c>
      <c r="L901" s="4" t="s">
        <v>376</v>
      </c>
      <c r="M901" s="4" t="s">
        <v>377</v>
      </c>
      <c r="N901" s="4" t="s">
        <v>44</v>
      </c>
      <c r="O901" s="4" t="s">
        <v>2566</v>
      </c>
      <c r="P901" s="4" t="s">
        <v>2327</v>
      </c>
    </row>
    <row r="902" customFormat="false" ht="15" hidden="false" customHeight="false" outlineLevel="0" collapsed="false">
      <c r="A902" s="4" t="s">
        <v>2567</v>
      </c>
      <c r="B902" s="5" t="n">
        <v>45752</v>
      </c>
      <c r="C902" s="5" t="n">
        <v>45822</v>
      </c>
      <c r="D902" s="4" t="s">
        <v>2375</v>
      </c>
      <c r="E902" s="4" t="s">
        <v>325</v>
      </c>
      <c r="F902" s="4" t="s">
        <v>376</v>
      </c>
      <c r="G902" s="4" t="s">
        <v>38</v>
      </c>
      <c r="H902" s="4" t="n">
        <v>2</v>
      </c>
      <c r="I902" s="4" t="n">
        <v>420</v>
      </c>
      <c r="J902" s="4" t="s">
        <v>40</v>
      </c>
      <c r="K902" s="4" t="s">
        <v>2568</v>
      </c>
      <c r="L902" s="4" t="s">
        <v>455</v>
      </c>
      <c r="M902" s="4" t="s">
        <v>456</v>
      </c>
      <c r="N902" s="4" t="s">
        <v>44</v>
      </c>
      <c r="O902" s="4" t="s">
        <v>2569</v>
      </c>
      <c r="P902" s="4" t="s">
        <v>2327</v>
      </c>
    </row>
    <row r="903" customFormat="false" ht="15" hidden="false" customHeight="false" outlineLevel="0" collapsed="false">
      <c r="A903" s="4" t="s">
        <v>2570</v>
      </c>
      <c r="B903" s="5" t="n">
        <v>45753</v>
      </c>
      <c r="C903" s="5" t="n">
        <v>45755</v>
      </c>
      <c r="D903" s="4" t="s">
        <v>2322</v>
      </c>
      <c r="E903" s="4" t="s">
        <v>49</v>
      </c>
      <c r="F903" s="4" t="s">
        <v>2323</v>
      </c>
      <c r="G903" s="4" t="s">
        <v>38</v>
      </c>
      <c r="H903" s="4" t="n">
        <v>2</v>
      </c>
      <c r="I903" s="4" t="n">
        <v>40</v>
      </c>
      <c r="J903" s="4" t="s">
        <v>40</v>
      </c>
      <c r="K903" s="4" t="s">
        <v>2571</v>
      </c>
      <c r="L903" s="4" t="s">
        <v>376</v>
      </c>
      <c r="M903" s="4" t="s">
        <v>377</v>
      </c>
      <c r="N903" s="4" t="s">
        <v>44</v>
      </c>
      <c r="O903" s="4" t="s">
        <v>2572</v>
      </c>
      <c r="P903" s="4" t="s">
        <v>2327</v>
      </c>
    </row>
    <row r="904" customFormat="false" ht="15" hidden="false" customHeight="false" outlineLevel="0" collapsed="false">
      <c r="A904" s="4" t="s">
        <v>2573</v>
      </c>
      <c r="B904" s="5" t="n">
        <v>45754</v>
      </c>
      <c r="C904" s="5" t="n">
        <v>45822</v>
      </c>
      <c r="D904" s="4" t="s">
        <v>2375</v>
      </c>
      <c r="E904" s="4" t="s">
        <v>306</v>
      </c>
      <c r="F904" s="4" t="s">
        <v>376</v>
      </c>
      <c r="G904" s="4" t="s">
        <v>38</v>
      </c>
      <c r="H904" s="4" t="n">
        <v>2</v>
      </c>
      <c r="I904" s="4" t="n">
        <v>655</v>
      </c>
      <c r="J904" s="4" t="s">
        <v>68</v>
      </c>
      <c r="K904" s="4" t="s">
        <v>2574</v>
      </c>
      <c r="L904" s="4" t="s">
        <v>376</v>
      </c>
      <c r="M904" s="4" t="s">
        <v>377</v>
      </c>
      <c r="N904" s="4" t="s">
        <v>44</v>
      </c>
      <c r="O904" s="4" t="s">
        <v>2575</v>
      </c>
      <c r="P904" s="4" t="s">
        <v>2327</v>
      </c>
    </row>
    <row r="905" customFormat="false" ht="15" hidden="false" customHeight="false" outlineLevel="0" collapsed="false">
      <c r="A905" s="4" t="s">
        <v>2576</v>
      </c>
      <c r="B905" s="5" t="n">
        <v>45756</v>
      </c>
      <c r="C905" s="5" t="n">
        <v>45758</v>
      </c>
      <c r="D905" s="4" t="s">
        <v>2322</v>
      </c>
      <c r="E905" s="4" t="s">
        <v>36</v>
      </c>
      <c r="F905" s="4" t="s">
        <v>376</v>
      </c>
      <c r="G905" s="4" t="s">
        <v>38</v>
      </c>
      <c r="H905" s="4" t="n">
        <v>3</v>
      </c>
      <c r="I905" s="4" t="n">
        <v>40</v>
      </c>
      <c r="J905" s="4" t="s">
        <v>40</v>
      </c>
      <c r="K905" s="4" t="s">
        <v>2577</v>
      </c>
      <c r="L905" s="4" t="s">
        <v>2325</v>
      </c>
      <c r="M905" s="4" t="s">
        <v>377</v>
      </c>
      <c r="N905" s="4" t="s">
        <v>44</v>
      </c>
      <c r="O905" s="4" t="s">
        <v>2578</v>
      </c>
      <c r="P905" s="4" t="s">
        <v>2327</v>
      </c>
    </row>
    <row r="906" customFormat="false" ht="15" hidden="false" customHeight="false" outlineLevel="0" collapsed="false">
      <c r="A906" s="4" t="s">
        <v>2579</v>
      </c>
      <c r="B906" s="5" t="n">
        <v>45758</v>
      </c>
      <c r="C906" s="5" t="n">
        <v>45822</v>
      </c>
      <c r="D906" s="4" t="s">
        <v>2375</v>
      </c>
      <c r="E906" s="4" t="s">
        <v>306</v>
      </c>
      <c r="F906" s="4" t="s">
        <v>376</v>
      </c>
      <c r="G906" s="4" t="s">
        <v>38</v>
      </c>
      <c r="H906" s="4" t="n">
        <v>4</v>
      </c>
      <c r="I906" s="4" t="n">
        <v>240</v>
      </c>
      <c r="J906" s="4" t="s">
        <v>68</v>
      </c>
      <c r="K906" s="4" t="s">
        <v>2580</v>
      </c>
      <c r="L906" s="4" t="s">
        <v>1172</v>
      </c>
      <c r="M906" s="4" t="s">
        <v>377</v>
      </c>
      <c r="N906" s="4" t="s">
        <v>44</v>
      </c>
      <c r="O906" s="4" t="s">
        <v>2581</v>
      </c>
      <c r="P906" s="4" t="s">
        <v>2327</v>
      </c>
    </row>
    <row r="907" customFormat="false" ht="15" hidden="false" customHeight="false" outlineLevel="0" collapsed="false">
      <c r="A907" s="4" t="s">
        <v>2582</v>
      </c>
      <c r="B907" s="5" t="n">
        <v>45759</v>
      </c>
      <c r="C907" s="5" t="n">
        <v>45822</v>
      </c>
      <c r="D907" s="4" t="s">
        <v>2375</v>
      </c>
      <c r="E907" s="4" t="s">
        <v>306</v>
      </c>
      <c r="F907" s="4" t="s">
        <v>376</v>
      </c>
      <c r="G907" s="4" t="s">
        <v>59</v>
      </c>
      <c r="H907" s="4" t="n">
        <v>2</v>
      </c>
      <c r="I907" s="4" t="n">
        <v>232.5</v>
      </c>
      <c r="J907" s="4" t="s">
        <v>40</v>
      </c>
      <c r="K907" s="4" t="s">
        <v>2583</v>
      </c>
      <c r="L907" s="4" t="s">
        <v>376</v>
      </c>
      <c r="M907" s="4" t="s">
        <v>377</v>
      </c>
      <c r="N907" s="4" t="s">
        <v>44</v>
      </c>
      <c r="O907" s="4" t="s">
        <v>2584</v>
      </c>
      <c r="P907" s="4" t="s">
        <v>2327</v>
      </c>
    </row>
    <row r="908" customFormat="false" ht="15" hidden="false" customHeight="false" outlineLevel="0" collapsed="false">
      <c r="A908" s="4" t="s">
        <v>2585</v>
      </c>
      <c r="B908" s="5" t="n">
        <v>45760</v>
      </c>
      <c r="C908" s="5" t="n">
        <v>45760</v>
      </c>
      <c r="D908" s="4" t="s">
        <v>2322</v>
      </c>
      <c r="E908" s="4" t="s">
        <v>36</v>
      </c>
      <c r="F908" s="4" t="s">
        <v>2323</v>
      </c>
      <c r="G908" s="4" t="s">
        <v>38</v>
      </c>
      <c r="H908" s="4" t="n">
        <v>2</v>
      </c>
      <c r="I908" s="4" t="n">
        <v>35</v>
      </c>
      <c r="J908" s="4" t="s">
        <v>68</v>
      </c>
      <c r="K908" s="4" t="s">
        <v>2353</v>
      </c>
      <c r="L908" s="4" t="s">
        <v>376</v>
      </c>
      <c r="M908" s="4" t="s">
        <v>377</v>
      </c>
      <c r="N908" s="4" t="s">
        <v>44</v>
      </c>
      <c r="O908" s="4" t="s">
        <v>2354</v>
      </c>
      <c r="P908" s="4" t="s">
        <v>2327</v>
      </c>
    </row>
    <row r="909" customFormat="false" ht="15" hidden="false" customHeight="false" outlineLevel="0" collapsed="false">
      <c r="A909" s="4" t="s">
        <v>2586</v>
      </c>
      <c r="B909" s="5" t="n">
        <v>45761</v>
      </c>
      <c r="C909" s="5" t="n">
        <v>45822</v>
      </c>
      <c r="D909" s="4" t="s">
        <v>2375</v>
      </c>
      <c r="E909" s="4" t="s">
        <v>325</v>
      </c>
      <c r="F909" s="4" t="s">
        <v>2362</v>
      </c>
      <c r="G909" s="4" t="s">
        <v>59</v>
      </c>
      <c r="H909" s="4" t="n">
        <v>2</v>
      </c>
      <c r="I909" s="4" t="n">
        <v>350</v>
      </c>
      <c r="J909" s="4" t="s">
        <v>68</v>
      </c>
      <c r="K909" s="4" t="s">
        <v>2587</v>
      </c>
      <c r="L909" s="4" t="s">
        <v>376</v>
      </c>
      <c r="M909" s="4" t="s">
        <v>377</v>
      </c>
      <c r="N909" s="4" t="s">
        <v>44</v>
      </c>
      <c r="O909" s="4" t="s">
        <v>2588</v>
      </c>
      <c r="P909" s="4" t="s">
        <v>2327</v>
      </c>
    </row>
    <row r="910" customFormat="false" ht="15" hidden="false" customHeight="false" outlineLevel="0" collapsed="false">
      <c r="A910" s="4" t="s">
        <v>2589</v>
      </c>
      <c r="B910" s="5" t="n">
        <v>45763</v>
      </c>
      <c r="C910" s="5" t="n">
        <v>45822</v>
      </c>
      <c r="D910" s="4" t="s">
        <v>2375</v>
      </c>
      <c r="E910" s="4" t="s">
        <v>306</v>
      </c>
      <c r="F910" s="4" t="s">
        <v>2323</v>
      </c>
      <c r="G910" s="4" t="s">
        <v>59</v>
      </c>
      <c r="H910" s="4" t="n">
        <v>1</v>
      </c>
      <c r="I910" s="4" t="n">
        <v>270</v>
      </c>
      <c r="J910" s="4" t="s">
        <v>40</v>
      </c>
      <c r="K910" s="4" t="s">
        <v>2590</v>
      </c>
      <c r="L910" s="4" t="s">
        <v>376</v>
      </c>
      <c r="M910" s="4" t="s">
        <v>377</v>
      </c>
      <c r="N910" s="4" t="s">
        <v>44</v>
      </c>
      <c r="O910" s="4" t="s">
        <v>2591</v>
      </c>
      <c r="P910" s="4" t="s">
        <v>2327</v>
      </c>
    </row>
    <row r="911" customFormat="false" ht="15" hidden="false" customHeight="false" outlineLevel="0" collapsed="false">
      <c r="A911" s="4" t="s">
        <v>2592</v>
      </c>
      <c r="B911" s="5" t="n">
        <v>45763</v>
      </c>
      <c r="C911" s="5" t="n">
        <v>45822</v>
      </c>
      <c r="D911" s="4" t="s">
        <v>2375</v>
      </c>
      <c r="E911" s="4" t="s">
        <v>306</v>
      </c>
      <c r="F911" s="4" t="s">
        <v>2362</v>
      </c>
      <c r="G911" s="4" t="s">
        <v>59</v>
      </c>
      <c r="H911" s="4" t="n">
        <v>1</v>
      </c>
      <c r="I911" s="4" t="n">
        <v>330</v>
      </c>
      <c r="J911" s="4" t="s">
        <v>149</v>
      </c>
      <c r="K911" s="4" t="s">
        <v>2593</v>
      </c>
      <c r="L911" s="4" t="s">
        <v>2325</v>
      </c>
      <c r="M911" s="4" t="s">
        <v>1412</v>
      </c>
      <c r="N911" s="4" t="s">
        <v>44</v>
      </c>
      <c r="O911" s="4" t="s">
        <v>2594</v>
      </c>
      <c r="P911" s="4" t="s">
        <v>2327</v>
      </c>
    </row>
    <row r="912" customFormat="false" ht="15" hidden="false" customHeight="false" outlineLevel="0" collapsed="false">
      <c r="A912" s="4" t="s">
        <v>2595</v>
      </c>
      <c r="B912" s="5" t="n">
        <v>45764</v>
      </c>
      <c r="C912" s="5" t="n">
        <v>45822</v>
      </c>
      <c r="D912" s="4" t="s">
        <v>2375</v>
      </c>
      <c r="E912" s="4" t="s">
        <v>306</v>
      </c>
      <c r="F912" s="4" t="s">
        <v>376</v>
      </c>
      <c r="G912" s="4" t="s">
        <v>38</v>
      </c>
      <c r="H912" s="4" t="n">
        <v>3</v>
      </c>
      <c r="I912" s="4" t="n">
        <v>310</v>
      </c>
      <c r="J912" s="4" t="s">
        <v>40</v>
      </c>
      <c r="K912" s="4" t="s">
        <v>2596</v>
      </c>
      <c r="L912" s="4" t="s">
        <v>706</v>
      </c>
      <c r="M912" s="4" t="s">
        <v>412</v>
      </c>
      <c r="N912" s="4" t="s">
        <v>94</v>
      </c>
      <c r="O912" s="4" t="s">
        <v>2597</v>
      </c>
      <c r="P912" s="4" t="s">
        <v>2327</v>
      </c>
    </row>
    <row r="913" customFormat="false" ht="15" hidden="false" customHeight="false" outlineLevel="0" collapsed="false">
      <c r="A913" s="4" t="s">
        <v>2598</v>
      </c>
      <c r="B913" s="5" t="n">
        <v>45764</v>
      </c>
      <c r="C913" s="5" t="n">
        <v>45822</v>
      </c>
      <c r="D913" s="4" t="s">
        <v>2375</v>
      </c>
      <c r="E913" s="4" t="s">
        <v>306</v>
      </c>
      <c r="F913" s="4" t="s">
        <v>2384</v>
      </c>
      <c r="G913" s="4" t="s">
        <v>38</v>
      </c>
      <c r="H913" s="4" t="n">
        <v>2</v>
      </c>
      <c r="I913" s="4" t="n">
        <v>600</v>
      </c>
      <c r="J913" s="4" t="s">
        <v>40</v>
      </c>
      <c r="K913" s="4" t="s">
        <v>2543</v>
      </c>
      <c r="L913" s="4" t="s">
        <v>1172</v>
      </c>
      <c r="M913" s="4" t="s">
        <v>377</v>
      </c>
      <c r="N913" s="4" t="s">
        <v>44</v>
      </c>
      <c r="O913" s="4" t="s">
        <v>2544</v>
      </c>
      <c r="P913" s="4" t="s">
        <v>2327</v>
      </c>
    </row>
    <row r="914" customFormat="false" ht="15" hidden="false" customHeight="false" outlineLevel="0" collapsed="false">
      <c r="A914" s="4" t="s">
        <v>2599</v>
      </c>
      <c r="B914" s="5" t="n">
        <v>45764</v>
      </c>
      <c r="C914" s="5" t="n">
        <v>45767</v>
      </c>
      <c r="D914" s="4" t="s">
        <v>2322</v>
      </c>
      <c r="E914" s="4" t="s">
        <v>66</v>
      </c>
      <c r="F914" s="4" t="s">
        <v>2323</v>
      </c>
      <c r="G914" s="4" t="s">
        <v>59</v>
      </c>
      <c r="H914" s="4" t="n">
        <v>2</v>
      </c>
      <c r="I914" s="4" t="n">
        <v>15</v>
      </c>
      <c r="J914" s="4" t="s">
        <v>68</v>
      </c>
      <c r="K914" s="4" t="s">
        <v>2583</v>
      </c>
      <c r="L914" s="4" t="s">
        <v>376</v>
      </c>
      <c r="M914" s="4" t="s">
        <v>377</v>
      </c>
      <c r="N914" s="4" t="s">
        <v>44</v>
      </c>
      <c r="O914" s="4" t="s">
        <v>2584</v>
      </c>
      <c r="P914" s="4" t="s">
        <v>2327</v>
      </c>
    </row>
    <row r="915" customFormat="false" ht="15" hidden="false" customHeight="false" outlineLevel="0" collapsed="false">
      <c r="A915" s="4" t="s">
        <v>2600</v>
      </c>
      <c r="B915" s="5" t="n">
        <v>45765</v>
      </c>
      <c r="C915" s="5" t="n">
        <v>45822</v>
      </c>
      <c r="D915" s="4" t="s">
        <v>2375</v>
      </c>
      <c r="E915" s="4" t="s">
        <v>306</v>
      </c>
      <c r="F915" s="4" t="s">
        <v>376</v>
      </c>
      <c r="G915" s="4" t="s">
        <v>38</v>
      </c>
      <c r="H915" s="4" t="n">
        <v>1</v>
      </c>
      <c r="I915" s="4" t="n">
        <v>300</v>
      </c>
      <c r="J915" s="4" t="s">
        <v>81</v>
      </c>
      <c r="K915" s="4" t="s">
        <v>2601</v>
      </c>
      <c r="L915" s="4" t="s">
        <v>1313</v>
      </c>
      <c r="M915" s="4" t="s">
        <v>464</v>
      </c>
      <c r="N915" s="4" t="s">
        <v>44</v>
      </c>
      <c r="O915" s="4" t="s">
        <v>2602</v>
      </c>
      <c r="P915" s="4" t="s">
        <v>2327</v>
      </c>
    </row>
    <row r="916" customFormat="false" ht="15" hidden="false" customHeight="false" outlineLevel="0" collapsed="false">
      <c r="A916" s="4" t="s">
        <v>2603</v>
      </c>
      <c r="B916" s="5" t="n">
        <v>45765</v>
      </c>
      <c r="C916" s="5" t="n">
        <v>45768</v>
      </c>
      <c r="D916" s="4" t="s">
        <v>2322</v>
      </c>
      <c r="E916" s="4" t="s">
        <v>36</v>
      </c>
      <c r="F916" s="4" t="s">
        <v>376</v>
      </c>
      <c r="G916" s="4" t="s">
        <v>59</v>
      </c>
      <c r="H916" s="4" t="n">
        <v>4</v>
      </c>
      <c r="I916" s="4" t="n">
        <v>15</v>
      </c>
      <c r="J916" s="4" t="s">
        <v>68</v>
      </c>
      <c r="K916" s="4" t="s">
        <v>1171</v>
      </c>
      <c r="L916" s="4" t="s">
        <v>376</v>
      </c>
      <c r="M916" s="4" t="s">
        <v>377</v>
      </c>
      <c r="N916" s="4" t="s">
        <v>94</v>
      </c>
      <c r="O916" s="4" t="s">
        <v>1173</v>
      </c>
      <c r="P916" s="4" t="s">
        <v>2327</v>
      </c>
    </row>
    <row r="917" customFormat="false" ht="15" hidden="false" customHeight="false" outlineLevel="0" collapsed="false">
      <c r="A917" s="4" t="s">
        <v>2604</v>
      </c>
      <c r="B917" s="5" t="n">
        <v>45766</v>
      </c>
      <c r="C917" s="5" t="n">
        <v>45822</v>
      </c>
      <c r="D917" s="4" t="s">
        <v>2375</v>
      </c>
      <c r="E917" s="4" t="s">
        <v>345</v>
      </c>
      <c r="F917" s="4" t="s">
        <v>376</v>
      </c>
      <c r="G917" s="4" t="s">
        <v>38</v>
      </c>
      <c r="H917" s="4" t="n">
        <v>1</v>
      </c>
      <c r="I917" s="4" t="n">
        <v>465</v>
      </c>
      <c r="J917" s="4" t="s">
        <v>68</v>
      </c>
      <c r="K917" s="4" t="s">
        <v>2605</v>
      </c>
      <c r="L917" s="4" t="s">
        <v>1172</v>
      </c>
      <c r="M917" s="4" t="s">
        <v>1412</v>
      </c>
      <c r="N917" s="4" t="s">
        <v>52</v>
      </c>
      <c r="O917" s="4" t="s">
        <v>2606</v>
      </c>
      <c r="P917" s="4" t="s">
        <v>2327</v>
      </c>
    </row>
    <row r="918" customFormat="false" ht="15" hidden="false" customHeight="false" outlineLevel="0" collapsed="false">
      <c r="A918" s="4" t="s">
        <v>2607</v>
      </c>
      <c r="B918" s="5" t="n">
        <v>45766</v>
      </c>
      <c r="C918" s="5" t="n">
        <v>45766</v>
      </c>
      <c r="D918" s="4" t="s">
        <v>2322</v>
      </c>
      <c r="E918" s="4" t="s">
        <v>36</v>
      </c>
      <c r="F918" s="4" t="s">
        <v>376</v>
      </c>
      <c r="G918" s="4" t="s">
        <v>38</v>
      </c>
      <c r="H918" s="4" t="n">
        <v>1</v>
      </c>
      <c r="I918" s="4" t="n">
        <v>45</v>
      </c>
      <c r="J918" s="4" t="s">
        <v>81</v>
      </c>
      <c r="K918" s="4" t="s">
        <v>2577</v>
      </c>
      <c r="L918" s="4" t="s">
        <v>1172</v>
      </c>
      <c r="M918" s="4" t="s">
        <v>1412</v>
      </c>
      <c r="N918" s="4" t="s">
        <v>44</v>
      </c>
      <c r="O918" s="4" t="s">
        <v>2578</v>
      </c>
      <c r="P918" s="4" t="s">
        <v>2327</v>
      </c>
    </row>
    <row r="919" customFormat="false" ht="15" hidden="false" customHeight="false" outlineLevel="0" collapsed="false">
      <c r="A919" s="4" t="s">
        <v>2608</v>
      </c>
      <c r="B919" s="5" t="n">
        <v>45767</v>
      </c>
      <c r="C919" s="5" t="n">
        <v>45822</v>
      </c>
      <c r="D919" s="4" t="s">
        <v>2375</v>
      </c>
      <c r="E919" s="4" t="s">
        <v>325</v>
      </c>
      <c r="F919" s="4" t="s">
        <v>2384</v>
      </c>
      <c r="G919" s="4" t="s">
        <v>59</v>
      </c>
      <c r="H919" s="4" t="n">
        <v>4</v>
      </c>
      <c r="I919" s="4" t="n">
        <v>175</v>
      </c>
      <c r="J919" s="4" t="s">
        <v>40</v>
      </c>
      <c r="K919" s="4" t="s">
        <v>2609</v>
      </c>
      <c r="L919" s="4" t="s">
        <v>376</v>
      </c>
      <c r="M919" s="4" t="s">
        <v>377</v>
      </c>
      <c r="N919" s="4" t="s">
        <v>44</v>
      </c>
      <c r="O919" s="4" t="s">
        <v>2610</v>
      </c>
      <c r="P919" s="4" t="s">
        <v>2327</v>
      </c>
    </row>
    <row r="920" customFormat="false" ht="15" hidden="false" customHeight="false" outlineLevel="0" collapsed="false">
      <c r="A920" s="4" t="s">
        <v>2611</v>
      </c>
      <c r="B920" s="5" t="n">
        <v>45770</v>
      </c>
      <c r="C920" s="5" t="n">
        <v>45772</v>
      </c>
      <c r="D920" s="4" t="s">
        <v>2322</v>
      </c>
      <c r="E920" s="4" t="s">
        <v>57</v>
      </c>
      <c r="F920" s="4" t="s">
        <v>376</v>
      </c>
      <c r="G920" s="4" t="s">
        <v>38</v>
      </c>
      <c r="H920" s="4" t="n">
        <v>2</v>
      </c>
      <c r="I920" s="4" t="n">
        <v>40</v>
      </c>
      <c r="J920" s="4" t="s">
        <v>68</v>
      </c>
      <c r="K920" s="4" t="s">
        <v>2389</v>
      </c>
      <c r="L920" s="4" t="s">
        <v>1172</v>
      </c>
      <c r="M920" s="4" t="s">
        <v>377</v>
      </c>
      <c r="N920" s="4" t="s">
        <v>44</v>
      </c>
      <c r="O920" s="4" t="s">
        <v>2390</v>
      </c>
      <c r="P920" s="4" t="s">
        <v>2327</v>
      </c>
    </row>
    <row r="921" customFormat="false" ht="15" hidden="false" customHeight="false" outlineLevel="0" collapsed="false">
      <c r="A921" s="4" t="s">
        <v>2612</v>
      </c>
      <c r="B921" s="5" t="n">
        <v>45772</v>
      </c>
      <c r="C921" s="5" t="n">
        <v>45773</v>
      </c>
      <c r="D921" s="4" t="s">
        <v>2322</v>
      </c>
      <c r="E921" s="4" t="s">
        <v>36</v>
      </c>
      <c r="F921" s="4" t="s">
        <v>2384</v>
      </c>
      <c r="G921" s="4" t="s">
        <v>38</v>
      </c>
      <c r="H921" s="4" t="n">
        <v>2</v>
      </c>
      <c r="I921" s="4" t="n">
        <v>30</v>
      </c>
      <c r="J921" s="4" t="s">
        <v>40</v>
      </c>
      <c r="K921" s="4" t="s">
        <v>2580</v>
      </c>
      <c r="L921" s="4" t="s">
        <v>376</v>
      </c>
      <c r="M921" s="4" t="s">
        <v>377</v>
      </c>
      <c r="N921" s="4" t="s">
        <v>44</v>
      </c>
      <c r="O921" s="4" t="s">
        <v>2581</v>
      </c>
      <c r="P921" s="4" t="s">
        <v>2327</v>
      </c>
    </row>
    <row r="922" customFormat="false" ht="15" hidden="false" customHeight="false" outlineLevel="0" collapsed="false">
      <c r="A922" s="4" t="s">
        <v>2613</v>
      </c>
      <c r="B922" s="5" t="n">
        <v>45772</v>
      </c>
      <c r="C922" s="5" t="n">
        <v>45775</v>
      </c>
      <c r="D922" s="4" t="s">
        <v>2322</v>
      </c>
      <c r="E922" s="4" t="s">
        <v>36</v>
      </c>
      <c r="F922" s="4" t="s">
        <v>2362</v>
      </c>
      <c r="G922" s="4" t="s">
        <v>59</v>
      </c>
      <c r="H922" s="4" t="n">
        <v>1</v>
      </c>
      <c r="I922" s="4" t="n">
        <v>15</v>
      </c>
      <c r="J922" s="4" t="s">
        <v>40</v>
      </c>
      <c r="K922" s="4" t="s">
        <v>2614</v>
      </c>
      <c r="L922" s="4" t="s">
        <v>1172</v>
      </c>
      <c r="M922" s="4" t="s">
        <v>377</v>
      </c>
      <c r="N922" s="4" t="s">
        <v>44</v>
      </c>
      <c r="O922" s="4" t="s">
        <v>2615</v>
      </c>
      <c r="P922" s="4" t="s">
        <v>2327</v>
      </c>
    </row>
    <row r="923" customFormat="false" ht="15" hidden="false" customHeight="false" outlineLevel="0" collapsed="false">
      <c r="A923" s="4" t="s">
        <v>2616</v>
      </c>
      <c r="B923" s="5" t="n">
        <v>45774</v>
      </c>
      <c r="C923" s="5" t="n">
        <v>45822</v>
      </c>
      <c r="D923" s="4" t="s">
        <v>2375</v>
      </c>
      <c r="E923" s="4" t="s">
        <v>323</v>
      </c>
      <c r="F923" s="4" t="s">
        <v>2332</v>
      </c>
      <c r="G923" s="4" t="s">
        <v>38</v>
      </c>
      <c r="H923" s="4" t="n">
        <v>2</v>
      </c>
      <c r="I923" s="4" t="n">
        <v>575</v>
      </c>
      <c r="J923" s="4" t="s">
        <v>149</v>
      </c>
      <c r="K923" s="4" t="s">
        <v>2389</v>
      </c>
      <c r="L923" s="4" t="s">
        <v>376</v>
      </c>
      <c r="M923" s="4" t="s">
        <v>377</v>
      </c>
      <c r="N923" s="4" t="s">
        <v>185</v>
      </c>
      <c r="O923" s="4" t="s">
        <v>2390</v>
      </c>
      <c r="P923" s="4" t="s">
        <v>2327</v>
      </c>
    </row>
    <row r="924" customFormat="false" ht="15" hidden="false" customHeight="false" outlineLevel="0" collapsed="false">
      <c r="A924" s="4" t="s">
        <v>2617</v>
      </c>
      <c r="B924" s="5" t="n">
        <v>45778</v>
      </c>
      <c r="C924" s="5" t="n">
        <v>45822</v>
      </c>
      <c r="D924" s="4" t="s">
        <v>2375</v>
      </c>
      <c r="E924" s="4" t="s">
        <v>306</v>
      </c>
      <c r="F924" s="4" t="s">
        <v>376</v>
      </c>
      <c r="G924" s="4" t="s">
        <v>38</v>
      </c>
      <c r="H924" s="4" t="n">
        <v>4</v>
      </c>
      <c r="I924" s="4" t="n">
        <v>610</v>
      </c>
      <c r="J924" s="4" t="s">
        <v>40</v>
      </c>
      <c r="K924" s="4" t="s">
        <v>2618</v>
      </c>
      <c r="L924" s="4" t="s">
        <v>376</v>
      </c>
      <c r="M924" s="4" t="s">
        <v>377</v>
      </c>
      <c r="N924" s="4" t="s">
        <v>44</v>
      </c>
      <c r="O924" s="4" t="s">
        <v>2619</v>
      </c>
      <c r="P924" s="4" t="s">
        <v>2327</v>
      </c>
    </row>
    <row r="925" customFormat="false" ht="15" hidden="false" customHeight="false" outlineLevel="0" collapsed="false">
      <c r="A925" s="4" t="s">
        <v>2620</v>
      </c>
      <c r="B925" s="5" t="n">
        <v>45780</v>
      </c>
      <c r="C925" s="5" t="n">
        <v>45822</v>
      </c>
      <c r="D925" s="4" t="s">
        <v>2375</v>
      </c>
      <c r="E925" s="4" t="s">
        <v>311</v>
      </c>
      <c r="F925" s="4" t="s">
        <v>376</v>
      </c>
      <c r="G925" s="4" t="s">
        <v>38</v>
      </c>
      <c r="H925" s="4" t="n">
        <v>2</v>
      </c>
      <c r="I925" s="4" t="n">
        <v>565</v>
      </c>
      <c r="J925" s="4" t="s">
        <v>40</v>
      </c>
      <c r="K925" s="4" t="s">
        <v>2621</v>
      </c>
      <c r="L925" s="4" t="s">
        <v>634</v>
      </c>
      <c r="M925" s="4" t="s">
        <v>635</v>
      </c>
      <c r="N925" s="4" t="s">
        <v>44</v>
      </c>
      <c r="O925" s="4" t="s">
        <v>2622</v>
      </c>
      <c r="P925" s="4" t="s">
        <v>2327</v>
      </c>
    </row>
    <row r="926" customFormat="false" ht="15" hidden="false" customHeight="false" outlineLevel="0" collapsed="false">
      <c r="A926" s="4" t="s">
        <v>2623</v>
      </c>
      <c r="B926" s="5" t="n">
        <v>45780</v>
      </c>
      <c r="C926" s="5" t="n">
        <v>45781</v>
      </c>
      <c r="D926" s="4" t="s">
        <v>2322</v>
      </c>
      <c r="E926" s="4" t="s">
        <v>36</v>
      </c>
      <c r="F926" s="4" t="s">
        <v>376</v>
      </c>
      <c r="G926" s="4" t="s">
        <v>59</v>
      </c>
      <c r="H926" s="4" t="n">
        <v>1</v>
      </c>
      <c r="I926" s="4" t="n">
        <v>17.5</v>
      </c>
      <c r="J926" s="4" t="s">
        <v>40</v>
      </c>
      <c r="K926" s="4" t="s">
        <v>2624</v>
      </c>
      <c r="L926" s="4" t="s">
        <v>837</v>
      </c>
      <c r="M926" s="4" t="s">
        <v>838</v>
      </c>
      <c r="N926" s="4" t="s">
        <v>44</v>
      </c>
      <c r="O926" s="4" t="s">
        <v>2625</v>
      </c>
      <c r="P926" s="4" t="s">
        <v>2327</v>
      </c>
    </row>
    <row r="927" customFormat="false" ht="15" hidden="false" customHeight="false" outlineLevel="0" collapsed="false">
      <c r="A927" s="4" t="s">
        <v>2626</v>
      </c>
      <c r="B927" s="5" t="n">
        <v>45781</v>
      </c>
      <c r="C927" s="5" t="n">
        <v>45781</v>
      </c>
      <c r="D927" s="4" t="s">
        <v>2322</v>
      </c>
      <c r="E927" s="4" t="s">
        <v>36</v>
      </c>
      <c r="F927" s="4" t="s">
        <v>376</v>
      </c>
      <c r="G927" s="4" t="s">
        <v>59</v>
      </c>
      <c r="H927" s="4" t="n">
        <v>2</v>
      </c>
      <c r="I927" s="4" t="n">
        <v>15</v>
      </c>
      <c r="J927" s="4" t="s">
        <v>40</v>
      </c>
      <c r="K927" s="4" t="s">
        <v>2627</v>
      </c>
      <c r="L927" s="4" t="s">
        <v>376</v>
      </c>
      <c r="M927" s="4" t="s">
        <v>1412</v>
      </c>
      <c r="N927" s="4" t="s">
        <v>44</v>
      </c>
      <c r="O927" s="4" t="s">
        <v>2628</v>
      </c>
      <c r="P927" s="4" t="s">
        <v>2327</v>
      </c>
    </row>
    <row r="928" customFormat="false" ht="15" hidden="false" customHeight="false" outlineLevel="0" collapsed="false">
      <c r="A928" s="4" t="s">
        <v>2629</v>
      </c>
      <c r="B928" s="5" t="n">
        <v>45784</v>
      </c>
      <c r="C928" s="5" t="n">
        <v>45822</v>
      </c>
      <c r="D928" s="4" t="s">
        <v>2375</v>
      </c>
      <c r="E928" s="4" t="s">
        <v>306</v>
      </c>
      <c r="F928" s="4" t="s">
        <v>2362</v>
      </c>
      <c r="G928" s="4" t="s">
        <v>59</v>
      </c>
      <c r="H928" s="4" t="n">
        <v>2</v>
      </c>
      <c r="I928" s="4" t="n">
        <v>162.5</v>
      </c>
      <c r="J928" s="4" t="s">
        <v>40</v>
      </c>
      <c r="K928" s="4" t="s">
        <v>2565</v>
      </c>
      <c r="L928" s="4" t="s">
        <v>376</v>
      </c>
      <c r="M928" s="4" t="s">
        <v>377</v>
      </c>
      <c r="N928" s="4" t="s">
        <v>44</v>
      </c>
      <c r="O928" s="4" t="s">
        <v>2566</v>
      </c>
      <c r="P928" s="4" t="s">
        <v>2327</v>
      </c>
    </row>
    <row r="929" customFormat="false" ht="15" hidden="false" customHeight="false" outlineLevel="0" collapsed="false">
      <c r="A929" s="4" t="s">
        <v>2630</v>
      </c>
      <c r="B929" s="5" t="n">
        <v>45784</v>
      </c>
      <c r="C929" s="5" t="n">
        <v>45822</v>
      </c>
      <c r="D929" s="4" t="s">
        <v>2375</v>
      </c>
      <c r="E929" s="4" t="s">
        <v>306</v>
      </c>
      <c r="F929" s="4" t="s">
        <v>376</v>
      </c>
      <c r="G929" s="4" t="s">
        <v>59</v>
      </c>
      <c r="H929" s="4" t="n">
        <v>2</v>
      </c>
      <c r="I929" s="4" t="n">
        <v>182.5</v>
      </c>
      <c r="J929" s="4" t="s">
        <v>40</v>
      </c>
      <c r="K929" s="4" t="s">
        <v>2631</v>
      </c>
      <c r="L929" s="4" t="s">
        <v>463</v>
      </c>
      <c r="M929" s="4" t="s">
        <v>464</v>
      </c>
      <c r="N929" s="4" t="s">
        <v>44</v>
      </c>
      <c r="O929" s="4" t="s">
        <v>2632</v>
      </c>
      <c r="P929" s="4" t="s">
        <v>2327</v>
      </c>
    </row>
    <row r="930" customFormat="false" ht="15" hidden="false" customHeight="false" outlineLevel="0" collapsed="false">
      <c r="A930" s="4" t="s">
        <v>2633</v>
      </c>
      <c r="B930" s="5" t="n">
        <v>45784</v>
      </c>
      <c r="C930" s="5" t="n">
        <v>45822</v>
      </c>
      <c r="D930" s="4" t="s">
        <v>2375</v>
      </c>
      <c r="E930" s="4" t="s">
        <v>345</v>
      </c>
      <c r="F930" s="4" t="s">
        <v>376</v>
      </c>
      <c r="G930" s="4" t="s">
        <v>38</v>
      </c>
      <c r="H930" s="4" t="n">
        <v>3</v>
      </c>
      <c r="I930" s="4" t="n">
        <v>650</v>
      </c>
      <c r="J930" s="4" t="s">
        <v>68</v>
      </c>
      <c r="K930" s="4" t="s">
        <v>2634</v>
      </c>
      <c r="L930" s="4" t="s">
        <v>42</v>
      </c>
      <c r="M930" s="4" t="s">
        <v>133</v>
      </c>
      <c r="N930" s="4" t="s">
        <v>44</v>
      </c>
      <c r="O930" s="4" t="s">
        <v>2635</v>
      </c>
      <c r="P930" s="4" t="s">
        <v>2327</v>
      </c>
    </row>
    <row r="931" customFormat="false" ht="15" hidden="false" customHeight="false" outlineLevel="0" collapsed="false">
      <c r="A931" s="4" t="s">
        <v>2636</v>
      </c>
      <c r="B931" s="5" t="n">
        <v>45785</v>
      </c>
      <c r="C931" s="5" t="n">
        <v>45822</v>
      </c>
      <c r="D931" s="4" t="s">
        <v>2375</v>
      </c>
      <c r="E931" s="4" t="s">
        <v>306</v>
      </c>
      <c r="F931" s="4" t="s">
        <v>2384</v>
      </c>
      <c r="G931" s="4" t="s">
        <v>59</v>
      </c>
      <c r="H931" s="4" t="n">
        <v>2</v>
      </c>
      <c r="I931" s="4" t="n">
        <v>320</v>
      </c>
      <c r="J931" s="4" t="s">
        <v>81</v>
      </c>
      <c r="K931" s="4" t="s">
        <v>2637</v>
      </c>
      <c r="L931" s="4" t="s">
        <v>376</v>
      </c>
      <c r="M931" s="4" t="s">
        <v>377</v>
      </c>
      <c r="N931" s="4" t="s">
        <v>44</v>
      </c>
      <c r="O931" s="4" t="s">
        <v>2638</v>
      </c>
      <c r="P931" s="4" t="s">
        <v>2327</v>
      </c>
    </row>
    <row r="932" customFormat="false" ht="15" hidden="false" customHeight="false" outlineLevel="0" collapsed="false">
      <c r="A932" s="4" t="s">
        <v>2639</v>
      </c>
      <c r="B932" s="5" t="n">
        <v>45786</v>
      </c>
      <c r="C932" s="5" t="n">
        <v>45822</v>
      </c>
      <c r="D932" s="4" t="s">
        <v>2375</v>
      </c>
      <c r="E932" s="4" t="s">
        <v>345</v>
      </c>
      <c r="F932" s="4" t="s">
        <v>2332</v>
      </c>
      <c r="G932" s="4" t="s">
        <v>38</v>
      </c>
      <c r="H932" s="4" t="n">
        <v>2</v>
      </c>
      <c r="I932" s="4" t="n">
        <v>275</v>
      </c>
      <c r="J932" s="4" t="s">
        <v>40</v>
      </c>
      <c r="K932" s="4" t="s">
        <v>2640</v>
      </c>
      <c r="L932" s="4" t="s">
        <v>376</v>
      </c>
      <c r="M932" s="4" t="s">
        <v>377</v>
      </c>
      <c r="N932" s="4" t="s">
        <v>44</v>
      </c>
      <c r="O932" s="4" t="s">
        <v>2641</v>
      </c>
      <c r="P932" s="4" t="s">
        <v>2327</v>
      </c>
    </row>
    <row r="933" customFormat="false" ht="15" hidden="false" customHeight="false" outlineLevel="0" collapsed="false">
      <c r="A933" s="4" t="s">
        <v>2642</v>
      </c>
      <c r="B933" s="5" t="n">
        <v>45787</v>
      </c>
      <c r="C933" s="5" t="n">
        <v>45822</v>
      </c>
      <c r="D933" s="4" t="s">
        <v>2375</v>
      </c>
      <c r="E933" s="4" t="s">
        <v>311</v>
      </c>
      <c r="F933" s="4" t="s">
        <v>376</v>
      </c>
      <c r="G933" s="4" t="s">
        <v>38</v>
      </c>
      <c r="H933" s="4" t="n">
        <v>2</v>
      </c>
      <c r="I933" s="4" t="n">
        <v>505</v>
      </c>
      <c r="J933" s="4" t="s">
        <v>40</v>
      </c>
      <c r="K933" s="4" t="s">
        <v>1283</v>
      </c>
      <c r="L933" s="4" t="s">
        <v>376</v>
      </c>
      <c r="M933" s="4" t="s">
        <v>377</v>
      </c>
      <c r="N933" s="4" t="s">
        <v>44</v>
      </c>
      <c r="O933" s="4" t="s">
        <v>1284</v>
      </c>
      <c r="P933" s="4" t="s">
        <v>2327</v>
      </c>
    </row>
    <row r="934" customFormat="false" ht="15" hidden="false" customHeight="false" outlineLevel="0" collapsed="false">
      <c r="A934" s="4" t="s">
        <v>2643</v>
      </c>
      <c r="B934" s="5" t="n">
        <v>45789</v>
      </c>
      <c r="C934" s="5" t="n">
        <v>45822</v>
      </c>
      <c r="D934" s="4" t="s">
        <v>2375</v>
      </c>
      <c r="E934" s="4" t="s">
        <v>306</v>
      </c>
      <c r="F934" s="4" t="s">
        <v>376</v>
      </c>
      <c r="G934" s="4" t="s">
        <v>326</v>
      </c>
      <c r="H934" s="4" t="n">
        <v>3</v>
      </c>
      <c r="I934" s="4" t="n">
        <v>600</v>
      </c>
      <c r="J934" s="4" t="s">
        <v>40</v>
      </c>
      <c r="K934" s="4" t="s">
        <v>2555</v>
      </c>
      <c r="L934" s="4" t="s">
        <v>1172</v>
      </c>
      <c r="M934" s="4" t="s">
        <v>377</v>
      </c>
      <c r="N934" s="4" t="s">
        <v>44</v>
      </c>
      <c r="O934" s="4" t="s">
        <v>2556</v>
      </c>
      <c r="P934" s="4" t="s">
        <v>2327</v>
      </c>
    </row>
    <row r="935" customFormat="false" ht="15" hidden="false" customHeight="false" outlineLevel="0" collapsed="false">
      <c r="A935" s="4" t="s">
        <v>2644</v>
      </c>
      <c r="B935" s="5" t="n">
        <v>45789</v>
      </c>
      <c r="C935" s="5" t="n">
        <v>45822</v>
      </c>
      <c r="D935" s="4" t="s">
        <v>2375</v>
      </c>
      <c r="E935" s="4" t="s">
        <v>325</v>
      </c>
      <c r="F935" s="4" t="s">
        <v>376</v>
      </c>
      <c r="G935" s="4" t="s">
        <v>326</v>
      </c>
      <c r="H935" s="4" t="n">
        <v>1</v>
      </c>
      <c r="I935" s="4" t="n">
        <v>910</v>
      </c>
      <c r="J935" s="4" t="s">
        <v>40</v>
      </c>
      <c r="K935" s="4" t="s">
        <v>2645</v>
      </c>
      <c r="L935" s="4" t="s">
        <v>2325</v>
      </c>
      <c r="M935" s="4" t="s">
        <v>377</v>
      </c>
      <c r="N935" s="4" t="s">
        <v>185</v>
      </c>
      <c r="O935" s="4" t="s">
        <v>2646</v>
      </c>
      <c r="P935" s="4" t="s">
        <v>2327</v>
      </c>
    </row>
    <row r="936" customFormat="false" ht="15" hidden="false" customHeight="false" outlineLevel="0" collapsed="false">
      <c r="A936" s="4" t="s">
        <v>2647</v>
      </c>
      <c r="B936" s="5" t="n">
        <v>45790</v>
      </c>
      <c r="C936" s="5" t="n">
        <v>45822</v>
      </c>
      <c r="D936" s="4" t="s">
        <v>2375</v>
      </c>
      <c r="E936" s="4" t="s">
        <v>306</v>
      </c>
      <c r="F936" s="4" t="s">
        <v>2384</v>
      </c>
      <c r="G936" s="4" t="s">
        <v>59</v>
      </c>
      <c r="H936" s="4" t="n">
        <v>2</v>
      </c>
      <c r="I936" s="4" t="n">
        <v>305</v>
      </c>
      <c r="J936" s="4" t="s">
        <v>40</v>
      </c>
      <c r="K936" s="4" t="s">
        <v>2648</v>
      </c>
      <c r="L936" s="4" t="s">
        <v>376</v>
      </c>
      <c r="M936" s="4" t="s">
        <v>377</v>
      </c>
      <c r="N936" s="4" t="s">
        <v>44</v>
      </c>
      <c r="O936" s="4" t="s">
        <v>2649</v>
      </c>
      <c r="P936" s="4" t="s">
        <v>2327</v>
      </c>
    </row>
    <row r="937" customFormat="false" ht="15" hidden="false" customHeight="false" outlineLevel="0" collapsed="false">
      <c r="A937" s="4" t="s">
        <v>2650</v>
      </c>
      <c r="B937" s="5" t="n">
        <v>45791</v>
      </c>
      <c r="C937" s="5" t="n">
        <v>45822</v>
      </c>
      <c r="D937" s="4" t="s">
        <v>2375</v>
      </c>
      <c r="E937" s="4" t="s">
        <v>306</v>
      </c>
      <c r="F937" s="4" t="s">
        <v>376</v>
      </c>
      <c r="G937" s="4" t="s">
        <v>38</v>
      </c>
      <c r="H937" s="4" t="n">
        <v>3</v>
      </c>
      <c r="I937" s="4" t="n">
        <v>325</v>
      </c>
      <c r="J937" s="4" t="s">
        <v>40</v>
      </c>
      <c r="K937" s="4" t="s">
        <v>2637</v>
      </c>
      <c r="L937" s="4" t="s">
        <v>376</v>
      </c>
      <c r="M937" s="4" t="s">
        <v>377</v>
      </c>
      <c r="N937" s="4" t="s">
        <v>44</v>
      </c>
      <c r="O937" s="4" t="s">
        <v>2638</v>
      </c>
      <c r="P937" s="4" t="s">
        <v>2327</v>
      </c>
    </row>
    <row r="938" customFormat="false" ht="15" hidden="false" customHeight="false" outlineLevel="0" collapsed="false">
      <c r="A938" s="4" t="s">
        <v>2651</v>
      </c>
      <c r="B938" s="5" t="n">
        <v>45793</v>
      </c>
      <c r="C938" s="5" t="n">
        <v>45794</v>
      </c>
      <c r="D938" s="4" t="s">
        <v>2322</v>
      </c>
      <c r="E938" s="4" t="s">
        <v>49</v>
      </c>
      <c r="F938" s="4" t="s">
        <v>2332</v>
      </c>
      <c r="G938" s="4" t="s">
        <v>59</v>
      </c>
      <c r="H938" s="4" t="n">
        <v>1</v>
      </c>
      <c r="I938" s="4" t="n">
        <v>20</v>
      </c>
      <c r="J938" s="4" t="s">
        <v>149</v>
      </c>
      <c r="K938" s="4" t="s">
        <v>2577</v>
      </c>
      <c r="L938" s="4" t="s">
        <v>2325</v>
      </c>
      <c r="M938" s="4" t="s">
        <v>377</v>
      </c>
      <c r="N938" s="4" t="s">
        <v>44</v>
      </c>
      <c r="O938" s="4" t="s">
        <v>2578</v>
      </c>
      <c r="P938" s="4" t="s">
        <v>2327</v>
      </c>
    </row>
    <row r="939" customFormat="false" ht="15" hidden="false" customHeight="false" outlineLevel="0" collapsed="false">
      <c r="A939" s="4" t="s">
        <v>2652</v>
      </c>
      <c r="B939" s="5" t="n">
        <v>45793</v>
      </c>
      <c r="C939" s="5" t="n">
        <v>45795</v>
      </c>
      <c r="D939" s="4" t="s">
        <v>2322</v>
      </c>
      <c r="E939" s="4" t="s">
        <v>49</v>
      </c>
      <c r="F939" s="4" t="s">
        <v>376</v>
      </c>
      <c r="G939" s="4" t="s">
        <v>38</v>
      </c>
      <c r="H939" s="4" t="n">
        <v>3</v>
      </c>
      <c r="I939" s="4" t="n">
        <v>30</v>
      </c>
      <c r="J939" s="4" t="s">
        <v>68</v>
      </c>
      <c r="K939" s="4" t="s">
        <v>2653</v>
      </c>
      <c r="L939" s="4" t="s">
        <v>376</v>
      </c>
      <c r="M939" s="4" t="s">
        <v>377</v>
      </c>
      <c r="N939" s="4" t="s">
        <v>44</v>
      </c>
      <c r="O939" s="4" t="s">
        <v>2654</v>
      </c>
      <c r="P939" s="4" t="s">
        <v>2327</v>
      </c>
    </row>
    <row r="940" customFormat="false" ht="15" hidden="false" customHeight="false" outlineLevel="0" collapsed="false">
      <c r="A940" s="4" t="s">
        <v>2655</v>
      </c>
      <c r="B940" s="5" t="n">
        <v>45795</v>
      </c>
      <c r="C940" s="5" t="n">
        <v>45796</v>
      </c>
      <c r="D940" s="4" t="s">
        <v>2322</v>
      </c>
      <c r="E940" s="4" t="s">
        <v>36</v>
      </c>
      <c r="F940" s="4" t="s">
        <v>376</v>
      </c>
      <c r="G940" s="4" t="s">
        <v>59</v>
      </c>
      <c r="H940" s="4" t="n">
        <v>2</v>
      </c>
      <c r="I940" s="4" t="n">
        <v>17.5</v>
      </c>
      <c r="J940" s="4" t="s">
        <v>149</v>
      </c>
      <c r="K940" s="4" t="s">
        <v>1547</v>
      </c>
      <c r="L940" s="4" t="s">
        <v>596</v>
      </c>
      <c r="M940" s="4" t="s">
        <v>597</v>
      </c>
      <c r="N940" s="4" t="s">
        <v>44</v>
      </c>
      <c r="O940" s="4" t="s">
        <v>1548</v>
      </c>
      <c r="P940" s="4" t="s">
        <v>2327</v>
      </c>
    </row>
    <row r="941" customFormat="false" ht="15" hidden="false" customHeight="false" outlineLevel="0" collapsed="false">
      <c r="A941" s="4" t="s">
        <v>2656</v>
      </c>
      <c r="B941" s="5" t="n">
        <v>45796</v>
      </c>
      <c r="C941" s="5" t="n">
        <v>45822</v>
      </c>
      <c r="D941" s="4" t="s">
        <v>2375</v>
      </c>
      <c r="E941" s="4" t="s">
        <v>306</v>
      </c>
      <c r="F941" s="4" t="s">
        <v>376</v>
      </c>
      <c r="G941" s="4" t="s">
        <v>59</v>
      </c>
      <c r="H941" s="4" t="n">
        <v>2</v>
      </c>
      <c r="I941" s="4" t="n">
        <v>152.5</v>
      </c>
      <c r="J941" s="4" t="s">
        <v>40</v>
      </c>
      <c r="K941" s="4" t="s">
        <v>2657</v>
      </c>
      <c r="L941" s="4" t="s">
        <v>376</v>
      </c>
      <c r="M941" s="4" t="s">
        <v>1412</v>
      </c>
      <c r="N941" s="4" t="s">
        <v>94</v>
      </c>
      <c r="O941" s="4" t="s">
        <v>2658</v>
      </c>
      <c r="P941" s="4" t="s">
        <v>2327</v>
      </c>
    </row>
    <row r="942" customFormat="false" ht="15" hidden="false" customHeight="false" outlineLevel="0" collapsed="false">
      <c r="A942" s="4" t="s">
        <v>2659</v>
      </c>
      <c r="B942" s="5" t="n">
        <v>45797</v>
      </c>
      <c r="C942" s="5" t="n">
        <v>45822</v>
      </c>
      <c r="D942" s="4" t="s">
        <v>2375</v>
      </c>
      <c r="E942" s="4" t="s">
        <v>306</v>
      </c>
      <c r="F942" s="4" t="s">
        <v>2323</v>
      </c>
      <c r="G942" s="4" t="s">
        <v>59</v>
      </c>
      <c r="H942" s="4" t="n">
        <v>4</v>
      </c>
      <c r="I942" s="4" t="n">
        <v>337.5</v>
      </c>
      <c r="J942" s="4" t="s">
        <v>68</v>
      </c>
      <c r="K942" s="4" t="s">
        <v>2363</v>
      </c>
      <c r="L942" s="4" t="s">
        <v>376</v>
      </c>
      <c r="M942" s="4" t="s">
        <v>377</v>
      </c>
      <c r="N942" s="4" t="s">
        <v>44</v>
      </c>
      <c r="O942" s="4" t="s">
        <v>2364</v>
      </c>
      <c r="P942" s="4" t="s">
        <v>2327</v>
      </c>
    </row>
    <row r="943" customFormat="false" ht="15" hidden="false" customHeight="false" outlineLevel="0" collapsed="false">
      <c r="A943" s="4" t="s">
        <v>2660</v>
      </c>
      <c r="B943" s="5" t="n">
        <v>45798</v>
      </c>
      <c r="C943" s="5" t="n">
        <v>45822</v>
      </c>
      <c r="D943" s="4" t="s">
        <v>2375</v>
      </c>
      <c r="E943" s="4" t="s">
        <v>325</v>
      </c>
      <c r="F943" s="4" t="s">
        <v>376</v>
      </c>
      <c r="G943" s="4" t="s">
        <v>59</v>
      </c>
      <c r="H943" s="4" t="n">
        <v>1</v>
      </c>
      <c r="I943" s="4" t="n">
        <v>257.5</v>
      </c>
      <c r="J943" s="4" t="s">
        <v>149</v>
      </c>
      <c r="K943" s="4" t="s">
        <v>2661</v>
      </c>
      <c r="L943" s="4" t="s">
        <v>837</v>
      </c>
      <c r="M943" s="4" t="s">
        <v>838</v>
      </c>
      <c r="N943" s="4" t="s">
        <v>94</v>
      </c>
      <c r="O943" s="4" t="s">
        <v>2662</v>
      </c>
      <c r="P943" s="4" t="s">
        <v>2327</v>
      </c>
    </row>
    <row r="944" customFormat="false" ht="15" hidden="false" customHeight="false" outlineLevel="0" collapsed="false">
      <c r="A944" s="4" t="s">
        <v>2663</v>
      </c>
      <c r="B944" s="5" t="n">
        <v>45798</v>
      </c>
      <c r="C944" s="5" t="n">
        <v>45822</v>
      </c>
      <c r="D944" s="4" t="s">
        <v>2375</v>
      </c>
      <c r="E944" s="4" t="s">
        <v>306</v>
      </c>
      <c r="F944" s="4" t="s">
        <v>376</v>
      </c>
      <c r="G944" s="4" t="s">
        <v>59</v>
      </c>
      <c r="H944" s="4" t="n">
        <v>2</v>
      </c>
      <c r="I944" s="4" t="n">
        <v>315</v>
      </c>
      <c r="J944" s="4" t="s">
        <v>40</v>
      </c>
      <c r="K944" s="4" t="s">
        <v>2664</v>
      </c>
      <c r="L944" s="4" t="s">
        <v>1372</v>
      </c>
      <c r="M944" s="4" t="s">
        <v>356</v>
      </c>
      <c r="N944" s="4" t="s">
        <v>221</v>
      </c>
      <c r="O944" s="4"/>
      <c r="P944" s="4" t="s">
        <v>2327</v>
      </c>
    </row>
    <row r="945" customFormat="false" ht="15" hidden="false" customHeight="false" outlineLevel="0" collapsed="false">
      <c r="A945" s="4" t="s">
        <v>2665</v>
      </c>
      <c r="B945" s="5" t="n">
        <v>45798</v>
      </c>
      <c r="C945" s="5" t="n">
        <v>45822</v>
      </c>
      <c r="D945" s="4" t="s">
        <v>2375</v>
      </c>
      <c r="E945" s="4" t="s">
        <v>306</v>
      </c>
      <c r="F945" s="4" t="s">
        <v>2332</v>
      </c>
      <c r="G945" s="4" t="s">
        <v>59</v>
      </c>
      <c r="H945" s="4" t="n">
        <v>2</v>
      </c>
      <c r="I945" s="4" t="n">
        <v>235</v>
      </c>
      <c r="J945" s="4" t="s">
        <v>40</v>
      </c>
      <c r="K945" s="4" t="s">
        <v>2666</v>
      </c>
      <c r="L945" s="4" t="s">
        <v>376</v>
      </c>
      <c r="M945" s="4" t="s">
        <v>377</v>
      </c>
      <c r="N945" s="4" t="s">
        <v>44</v>
      </c>
      <c r="O945" s="4" t="s">
        <v>2667</v>
      </c>
      <c r="P945" s="4" t="s">
        <v>2327</v>
      </c>
    </row>
    <row r="946" customFormat="false" ht="15" hidden="false" customHeight="false" outlineLevel="0" collapsed="false">
      <c r="A946" s="4" t="s">
        <v>2668</v>
      </c>
      <c r="B946" s="5" t="n">
        <v>45799</v>
      </c>
      <c r="C946" s="5" t="n">
        <v>45800</v>
      </c>
      <c r="D946" s="4" t="s">
        <v>2322</v>
      </c>
      <c r="E946" s="4" t="s">
        <v>89</v>
      </c>
      <c r="F946" s="4" t="s">
        <v>2323</v>
      </c>
      <c r="G946" s="4" t="s">
        <v>38</v>
      </c>
      <c r="H946" s="4" t="n">
        <v>1</v>
      </c>
      <c r="I946" s="4" t="n">
        <v>35</v>
      </c>
      <c r="J946" s="4" t="s">
        <v>68</v>
      </c>
      <c r="K946" s="4" t="s">
        <v>2669</v>
      </c>
      <c r="L946" s="4" t="s">
        <v>376</v>
      </c>
      <c r="M946" s="4" t="s">
        <v>377</v>
      </c>
      <c r="N946" s="4" t="s">
        <v>44</v>
      </c>
      <c r="O946" s="4" t="s">
        <v>2670</v>
      </c>
      <c r="P946" s="4" t="s">
        <v>2327</v>
      </c>
    </row>
    <row r="947" customFormat="false" ht="15" hidden="false" customHeight="false" outlineLevel="0" collapsed="false">
      <c r="A947" s="4" t="s">
        <v>2671</v>
      </c>
      <c r="B947" s="5" t="n">
        <v>45801</v>
      </c>
      <c r="C947" s="5" t="n">
        <v>45822</v>
      </c>
      <c r="D947" s="4" t="s">
        <v>2375</v>
      </c>
      <c r="E947" s="4" t="s">
        <v>306</v>
      </c>
      <c r="F947" s="4" t="s">
        <v>376</v>
      </c>
      <c r="G947" s="4" t="s">
        <v>38</v>
      </c>
      <c r="H947" s="4" t="n">
        <v>1</v>
      </c>
      <c r="I947" s="4" t="n">
        <v>245</v>
      </c>
      <c r="J947" s="4" t="s">
        <v>68</v>
      </c>
      <c r="K947" s="4" t="s">
        <v>2672</v>
      </c>
      <c r="L947" s="4" t="s">
        <v>786</v>
      </c>
      <c r="M947" s="4" t="s">
        <v>377</v>
      </c>
      <c r="N947" s="4" t="s">
        <v>185</v>
      </c>
      <c r="O947" s="4" t="s">
        <v>2673</v>
      </c>
      <c r="P947" s="4" t="s">
        <v>2327</v>
      </c>
    </row>
    <row r="948" customFormat="false" ht="15" hidden="false" customHeight="false" outlineLevel="0" collapsed="false">
      <c r="A948" s="4" t="s">
        <v>2674</v>
      </c>
      <c r="B948" s="5" t="n">
        <v>45803</v>
      </c>
      <c r="C948" s="5" t="n">
        <v>45822</v>
      </c>
      <c r="D948" s="4" t="s">
        <v>2375</v>
      </c>
      <c r="E948" s="4" t="s">
        <v>306</v>
      </c>
      <c r="F948" s="4" t="s">
        <v>2323</v>
      </c>
      <c r="G948" s="4" t="s">
        <v>38</v>
      </c>
      <c r="H948" s="4" t="n">
        <v>2</v>
      </c>
      <c r="I948" s="4" t="n">
        <v>605</v>
      </c>
      <c r="J948" s="4" t="s">
        <v>40</v>
      </c>
      <c r="K948" s="4" t="s">
        <v>2675</v>
      </c>
      <c r="L948" s="4" t="s">
        <v>524</v>
      </c>
      <c r="M948" s="4" t="s">
        <v>377</v>
      </c>
      <c r="N948" s="4" t="s">
        <v>44</v>
      </c>
      <c r="O948" s="4" t="s">
        <v>2676</v>
      </c>
      <c r="P948" s="4" t="s">
        <v>2327</v>
      </c>
    </row>
    <row r="949" customFormat="false" ht="15" hidden="false" customHeight="false" outlineLevel="0" collapsed="false">
      <c r="A949" s="4" t="s">
        <v>2677</v>
      </c>
      <c r="B949" s="5" t="n">
        <v>45804</v>
      </c>
      <c r="C949" s="5" t="n">
        <v>45822</v>
      </c>
      <c r="D949" s="4" t="s">
        <v>2375</v>
      </c>
      <c r="E949" s="4" t="s">
        <v>345</v>
      </c>
      <c r="F949" s="4" t="s">
        <v>376</v>
      </c>
      <c r="G949" s="4" t="s">
        <v>38</v>
      </c>
      <c r="H949" s="4" t="n">
        <v>4</v>
      </c>
      <c r="I949" s="4" t="n">
        <v>700</v>
      </c>
      <c r="J949" s="4" t="s">
        <v>68</v>
      </c>
      <c r="K949" s="4" t="s">
        <v>179</v>
      </c>
      <c r="L949" s="4" t="s">
        <v>42</v>
      </c>
      <c r="M949" s="4" t="s">
        <v>43</v>
      </c>
      <c r="N949" s="4" t="s">
        <v>185</v>
      </c>
      <c r="O949" s="4" t="s">
        <v>180</v>
      </c>
      <c r="P949" s="4" t="s">
        <v>2327</v>
      </c>
    </row>
    <row r="950" customFormat="false" ht="15" hidden="false" customHeight="false" outlineLevel="0" collapsed="false">
      <c r="A950" s="4" t="s">
        <v>2678</v>
      </c>
      <c r="B950" s="5" t="n">
        <v>45804</v>
      </c>
      <c r="C950" s="5" t="n">
        <v>45822</v>
      </c>
      <c r="D950" s="4" t="s">
        <v>2375</v>
      </c>
      <c r="E950" s="4" t="s">
        <v>306</v>
      </c>
      <c r="F950" s="4" t="s">
        <v>2384</v>
      </c>
      <c r="G950" s="4" t="s">
        <v>38</v>
      </c>
      <c r="H950" s="4" t="n">
        <v>3</v>
      </c>
      <c r="I950" s="4" t="n">
        <v>230</v>
      </c>
      <c r="J950" s="4" t="s">
        <v>68</v>
      </c>
      <c r="K950" s="4" t="s">
        <v>2479</v>
      </c>
      <c r="L950" s="4" t="s">
        <v>2325</v>
      </c>
      <c r="M950" s="4" t="s">
        <v>377</v>
      </c>
      <c r="N950" s="4" t="s">
        <v>94</v>
      </c>
      <c r="O950" s="4" t="s">
        <v>2480</v>
      </c>
      <c r="P950" s="4" t="s">
        <v>2327</v>
      </c>
    </row>
    <row r="951" customFormat="false" ht="15" hidden="false" customHeight="false" outlineLevel="0" collapsed="false">
      <c r="A951" s="4" t="s">
        <v>2679</v>
      </c>
      <c r="B951" s="5" t="n">
        <v>45805</v>
      </c>
      <c r="C951" s="5" t="n">
        <v>45822</v>
      </c>
      <c r="D951" s="4" t="s">
        <v>2375</v>
      </c>
      <c r="E951" s="4" t="s">
        <v>345</v>
      </c>
      <c r="F951" s="4" t="s">
        <v>2323</v>
      </c>
      <c r="G951" s="4" t="s">
        <v>38</v>
      </c>
      <c r="H951" s="4" t="n">
        <v>1</v>
      </c>
      <c r="I951" s="4" t="n">
        <v>600</v>
      </c>
      <c r="J951" s="4" t="s">
        <v>81</v>
      </c>
      <c r="K951" s="4" t="s">
        <v>2680</v>
      </c>
      <c r="L951" s="4" t="s">
        <v>2681</v>
      </c>
      <c r="M951" s="4" t="s">
        <v>838</v>
      </c>
      <c r="N951" s="4" t="s">
        <v>44</v>
      </c>
      <c r="O951" s="4" t="s">
        <v>2682</v>
      </c>
      <c r="P951" s="4" t="s">
        <v>2327</v>
      </c>
    </row>
    <row r="952" customFormat="false" ht="15" hidden="false" customHeight="false" outlineLevel="0" collapsed="false">
      <c r="A952" s="4" t="s">
        <v>2683</v>
      </c>
      <c r="B952" s="5" t="n">
        <v>45806</v>
      </c>
      <c r="C952" s="5" t="n">
        <v>45822</v>
      </c>
      <c r="D952" s="4" t="s">
        <v>2375</v>
      </c>
      <c r="E952" s="4" t="s">
        <v>345</v>
      </c>
      <c r="F952" s="4" t="s">
        <v>376</v>
      </c>
      <c r="G952" s="4" t="s">
        <v>38</v>
      </c>
      <c r="H952" s="4" t="n">
        <v>3</v>
      </c>
      <c r="I952" s="4" t="n">
        <v>560</v>
      </c>
      <c r="J952" s="4" t="s">
        <v>81</v>
      </c>
      <c r="K952" s="4" t="s">
        <v>2684</v>
      </c>
      <c r="L952" s="4" t="s">
        <v>463</v>
      </c>
      <c r="M952" s="4" t="s">
        <v>464</v>
      </c>
      <c r="N952" s="4" t="s">
        <v>44</v>
      </c>
      <c r="O952" s="4" t="s">
        <v>2685</v>
      </c>
      <c r="P952" s="4" t="s">
        <v>2327</v>
      </c>
    </row>
    <row r="953" customFormat="false" ht="15" hidden="false" customHeight="false" outlineLevel="0" collapsed="false">
      <c r="A953" s="4" t="s">
        <v>2686</v>
      </c>
      <c r="B953" s="5" t="n">
        <v>45806</v>
      </c>
      <c r="C953" s="5" t="n">
        <v>45809</v>
      </c>
      <c r="D953" s="4" t="s">
        <v>2322</v>
      </c>
      <c r="E953" s="4" t="s">
        <v>49</v>
      </c>
      <c r="F953" s="4" t="s">
        <v>376</v>
      </c>
      <c r="G953" s="4" t="s">
        <v>38</v>
      </c>
      <c r="H953" s="4" t="n">
        <v>2</v>
      </c>
      <c r="I953" s="4" t="n">
        <v>40</v>
      </c>
      <c r="J953" s="4" t="s">
        <v>40</v>
      </c>
      <c r="K953" s="4" t="s">
        <v>2687</v>
      </c>
      <c r="L953" s="4" t="s">
        <v>376</v>
      </c>
      <c r="M953" s="4" t="s">
        <v>377</v>
      </c>
      <c r="N953" s="4" t="s">
        <v>44</v>
      </c>
      <c r="O953" s="4" t="s">
        <v>2688</v>
      </c>
      <c r="P953" s="4" t="s">
        <v>2327</v>
      </c>
    </row>
    <row r="954" customFormat="false" ht="15" hidden="false" customHeight="false" outlineLevel="0" collapsed="false">
      <c r="A954" s="4" t="s">
        <v>2689</v>
      </c>
      <c r="B954" s="5" t="n">
        <v>45807</v>
      </c>
      <c r="C954" s="5" t="n">
        <v>45822</v>
      </c>
      <c r="D954" s="4" t="s">
        <v>2375</v>
      </c>
      <c r="E954" s="4" t="s">
        <v>306</v>
      </c>
      <c r="F954" s="4" t="s">
        <v>2362</v>
      </c>
      <c r="G954" s="4" t="s">
        <v>38</v>
      </c>
      <c r="H954" s="4" t="n">
        <v>1</v>
      </c>
      <c r="I954" s="4" t="n">
        <v>630</v>
      </c>
      <c r="J954" s="4" t="s">
        <v>68</v>
      </c>
      <c r="K954" s="4" t="s">
        <v>2690</v>
      </c>
      <c r="L954" s="4" t="s">
        <v>1172</v>
      </c>
      <c r="M954" s="4" t="s">
        <v>377</v>
      </c>
      <c r="N954" s="4" t="s">
        <v>44</v>
      </c>
      <c r="O954" s="4" t="s">
        <v>2691</v>
      </c>
      <c r="P954" s="4" t="s">
        <v>2327</v>
      </c>
    </row>
    <row r="955" customFormat="false" ht="15" hidden="false" customHeight="false" outlineLevel="0" collapsed="false">
      <c r="A955" s="4" t="s">
        <v>2692</v>
      </c>
      <c r="B955" s="5" t="n">
        <v>45807</v>
      </c>
      <c r="C955" s="5" t="n">
        <v>45822</v>
      </c>
      <c r="D955" s="4" t="s">
        <v>2375</v>
      </c>
      <c r="E955" s="4" t="s">
        <v>306</v>
      </c>
      <c r="F955" s="4" t="s">
        <v>2323</v>
      </c>
      <c r="G955" s="4" t="s">
        <v>38</v>
      </c>
      <c r="H955" s="4" t="n">
        <v>1</v>
      </c>
      <c r="I955" s="4" t="n">
        <v>270</v>
      </c>
      <c r="J955" s="4" t="s">
        <v>68</v>
      </c>
      <c r="K955" s="4" t="s">
        <v>2693</v>
      </c>
      <c r="L955" s="4" t="s">
        <v>376</v>
      </c>
      <c r="M955" s="4" t="s">
        <v>377</v>
      </c>
      <c r="N955" s="4" t="s">
        <v>44</v>
      </c>
      <c r="O955" s="4" t="s">
        <v>2694</v>
      </c>
      <c r="P955" s="4" t="s">
        <v>2327</v>
      </c>
    </row>
    <row r="956" customFormat="false" ht="15" hidden="false" customHeight="false" outlineLevel="0" collapsed="false">
      <c r="A956" s="4" t="s">
        <v>2695</v>
      </c>
      <c r="B956" s="5" t="n">
        <v>45809</v>
      </c>
      <c r="C956" s="5" t="n">
        <v>45811</v>
      </c>
      <c r="D956" s="4" t="s">
        <v>2322</v>
      </c>
      <c r="E956" s="4" t="s">
        <v>36</v>
      </c>
      <c r="F956" s="4" t="s">
        <v>376</v>
      </c>
      <c r="G956" s="4" t="s">
        <v>38</v>
      </c>
      <c r="H956" s="4" t="n">
        <v>1</v>
      </c>
      <c r="I956" s="4" t="n">
        <v>40</v>
      </c>
      <c r="J956" s="4" t="s">
        <v>68</v>
      </c>
      <c r="K956" s="4" t="s">
        <v>2485</v>
      </c>
      <c r="L956" s="4" t="s">
        <v>2325</v>
      </c>
      <c r="M956" s="4" t="s">
        <v>377</v>
      </c>
      <c r="N956" s="4" t="s">
        <v>185</v>
      </c>
      <c r="O956" s="4" t="s">
        <v>2486</v>
      </c>
      <c r="P956" s="4" t="s">
        <v>2327</v>
      </c>
    </row>
    <row r="957" customFormat="false" ht="15" hidden="false" customHeight="false" outlineLevel="0" collapsed="false">
      <c r="A957" s="4" t="s">
        <v>2696</v>
      </c>
      <c r="B957" s="5" t="n">
        <v>45811</v>
      </c>
      <c r="C957" s="5" t="n">
        <v>45822</v>
      </c>
      <c r="D957" s="4" t="s">
        <v>2375</v>
      </c>
      <c r="E957" s="4" t="s">
        <v>311</v>
      </c>
      <c r="F957" s="4" t="s">
        <v>376</v>
      </c>
      <c r="G957" s="4" t="s">
        <v>38</v>
      </c>
      <c r="H957" s="4" t="n">
        <v>2</v>
      </c>
      <c r="I957" s="4" t="n">
        <v>350</v>
      </c>
      <c r="J957" s="4" t="s">
        <v>40</v>
      </c>
      <c r="K957" s="4" t="s">
        <v>2697</v>
      </c>
      <c r="L957" s="4" t="s">
        <v>2517</v>
      </c>
      <c r="M957" s="4" t="s">
        <v>377</v>
      </c>
      <c r="N957" s="4" t="s">
        <v>44</v>
      </c>
      <c r="O957" s="4" t="s">
        <v>2698</v>
      </c>
      <c r="P957" s="4" t="s">
        <v>2327</v>
      </c>
    </row>
    <row r="958" customFormat="false" ht="15" hidden="false" customHeight="false" outlineLevel="0" collapsed="false">
      <c r="A958" s="4" t="s">
        <v>2699</v>
      </c>
      <c r="B958" s="5" t="n">
        <v>45813</v>
      </c>
      <c r="C958" s="5" t="n">
        <v>45814</v>
      </c>
      <c r="D958" s="4" t="s">
        <v>2322</v>
      </c>
      <c r="E958" s="4" t="s">
        <v>66</v>
      </c>
      <c r="F958" s="4" t="s">
        <v>376</v>
      </c>
      <c r="G958" s="4" t="s">
        <v>38</v>
      </c>
      <c r="H958" s="4" t="n">
        <v>1</v>
      </c>
      <c r="I958" s="4" t="n">
        <v>45</v>
      </c>
      <c r="J958" s="4" t="s">
        <v>81</v>
      </c>
      <c r="K958" s="4" t="s">
        <v>2700</v>
      </c>
      <c r="L958" s="4" t="s">
        <v>1172</v>
      </c>
      <c r="M958" s="4" t="s">
        <v>377</v>
      </c>
      <c r="N958" s="4" t="s">
        <v>44</v>
      </c>
      <c r="O958" s="4" t="s">
        <v>2701</v>
      </c>
      <c r="P958" s="4" t="s">
        <v>2327</v>
      </c>
    </row>
    <row r="959" customFormat="false" ht="15" hidden="false" customHeight="false" outlineLevel="0" collapsed="false">
      <c r="A959" s="4" t="s">
        <v>2702</v>
      </c>
      <c r="B959" s="5" t="n">
        <v>45813</v>
      </c>
      <c r="C959" s="5" t="n">
        <v>45815</v>
      </c>
      <c r="D959" s="4" t="s">
        <v>2322</v>
      </c>
      <c r="E959" s="4" t="s">
        <v>66</v>
      </c>
      <c r="F959" s="4" t="s">
        <v>376</v>
      </c>
      <c r="G959" s="4" t="s">
        <v>59</v>
      </c>
      <c r="H959" s="4" t="n">
        <v>2</v>
      </c>
      <c r="I959" s="4" t="n">
        <v>22.5</v>
      </c>
      <c r="J959" s="4" t="s">
        <v>68</v>
      </c>
      <c r="K959" s="4" t="s">
        <v>2441</v>
      </c>
      <c r="L959" s="4" t="s">
        <v>376</v>
      </c>
      <c r="M959" s="4" t="s">
        <v>377</v>
      </c>
      <c r="N959" s="4" t="s">
        <v>44</v>
      </c>
      <c r="O959" s="4" t="s">
        <v>2442</v>
      </c>
      <c r="P959" s="4" t="s">
        <v>2327</v>
      </c>
    </row>
    <row r="960" customFormat="false" ht="15" hidden="false" customHeight="false" outlineLevel="0" collapsed="false">
      <c r="A960" s="4" t="s">
        <v>2703</v>
      </c>
      <c r="B960" s="5" t="n">
        <v>45813</v>
      </c>
      <c r="C960" s="5" t="n">
        <v>45813</v>
      </c>
      <c r="D960" s="4" t="s">
        <v>2322</v>
      </c>
      <c r="E960" s="4" t="s">
        <v>36</v>
      </c>
      <c r="F960" s="4" t="s">
        <v>2362</v>
      </c>
      <c r="G960" s="4" t="s">
        <v>59</v>
      </c>
      <c r="H960" s="4" t="n">
        <v>2</v>
      </c>
      <c r="I960" s="4" t="n">
        <v>17.5</v>
      </c>
      <c r="J960" s="4" t="s">
        <v>68</v>
      </c>
      <c r="K960" s="4" t="s">
        <v>2687</v>
      </c>
      <c r="L960" s="4" t="s">
        <v>376</v>
      </c>
      <c r="M960" s="4" t="s">
        <v>377</v>
      </c>
      <c r="N960" s="4" t="s">
        <v>44</v>
      </c>
      <c r="O960" s="4" t="s">
        <v>2688</v>
      </c>
      <c r="P960" s="4" t="s">
        <v>2327</v>
      </c>
    </row>
    <row r="961" customFormat="false" ht="15" hidden="false" customHeight="false" outlineLevel="0" collapsed="false">
      <c r="A961" s="4" t="s">
        <v>2704</v>
      </c>
      <c r="B961" s="5" t="n">
        <v>45814</v>
      </c>
      <c r="C961" s="5" t="n">
        <v>45822</v>
      </c>
      <c r="D961" s="4" t="s">
        <v>2375</v>
      </c>
      <c r="E961" s="4" t="s">
        <v>306</v>
      </c>
      <c r="F961" s="4" t="s">
        <v>2323</v>
      </c>
      <c r="G961" s="4" t="s">
        <v>38</v>
      </c>
      <c r="H961" s="4" t="n">
        <v>1</v>
      </c>
      <c r="I961" s="4" t="n">
        <v>315</v>
      </c>
      <c r="J961" s="4" t="s">
        <v>40</v>
      </c>
      <c r="K961" s="4" t="s">
        <v>2593</v>
      </c>
      <c r="L961" s="4" t="s">
        <v>2384</v>
      </c>
      <c r="M961" s="4" t="s">
        <v>377</v>
      </c>
      <c r="N961" s="4" t="s">
        <v>44</v>
      </c>
      <c r="O961" s="4" t="s">
        <v>2594</v>
      </c>
      <c r="P961" s="4" t="s">
        <v>2327</v>
      </c>
    </row>
    <row r="962" customFormat="false" ht="15" hidden="false" customHeight="false" outlineLevel="0" collapsed="false">
      <c r="A962" s="4" t="s">
        <v>2705</v>
      </c>
      <c r="B962" s="5" t="n">
        <v>45815</v>
      </c>
      <c r="C962" s="5" t="n">
        <v>45822</v>
      </c>
      <c r="D962" s="4" t="s">
        <v>2375</v>
      </c>
      <c r="E962" s="4" t="s">
        <v>306</v>
      </c>
      <c r="F962" s="4" t="s">
        <v>2362</v>
      </c>
      <c r="G962" s="4" t="s">
        <v>38</v>
      </c>
      <c r="H962" s="4" t="n">
        <v>1</v>
      </c>
      <c r="I962" s="4" t="n">
        <v>405</v>
      </c>
      <c r="J962" s="4" t="s">
        <v>68</v>
      </c>
      <c r="K962" s="4" t="s">
        <v>2706</v>
      </c>
      <c r="L962" s="4" t="s">
        <v>524</v>
      </c>
      <c r="M962" s="4" t="s">
        <v>377</v>
      </c>
      <c r="N962" s="4" t="s">
        <v>44</v>
      </c>
      <c r="O962" s="4" t="s">
        <v>2707</v>
      </c>
      <c r="P962" s="4" t="s">
        <v>2327</v>
      </c>
    </row>
    <row r="963" customFormat="false" ht="15" hidden="false" customHeight="false" outlineLevel="0" collapsed="false">
      <c r="A963" s="4" t="s">
        <v>2708</v>
      </c>
      <c r="B963" s="5" t="n">
        <v>45815</v>
      </c>
      <c r="C963" s="5" t="n">
        <v>45822</v>
      </c>
      <c r="D963" s="4" t="s">
        <v>2375</v>
      </c>
      <c r="E963" s="4" t="s">
        <v>306</v>
      </c>
      <c r="F963" s="4" t="s">
        <v>2323</v>
      </c>
      <c r="G963" s="4" t="s">
        <v>38</v>
      </c>
      <c r="H963" s="4" t="n">
        <v>1</v>
      </c>
      <c r="I963" s="4" t="n">
        <v>625</v>
      </c>
      <c r="J963" s="4" t="s">
        <v>40</v>
      </c>
      <c r="K963" s="4" t="s">
        <v>2669</v>
      </c>
      <c r="L963" s="4" t="s">
        <v>376</v>
      </c>
      <c r="M963" s="4" t="s">
        <v>377</v>
      </c>
      <c r="N963" s="4" t="s">
        <v>44</v>
      </c>
      <c r="O963" s="4" t="s">
        <v>2670</v>
      </c>
      <c r="P963" s="4" t="s">
        <v>2327</v>
      </c>
    </row>
    <row r="964" customFormat="false" ht="15" hidden="false" customHeight="false" outlineLevel="0" collapsed="false">
      <c r="A964" s="4" t="s">
        <v>2709</v>
      </c>
      <c r="B964" s="5" t="n">
        <v>45815</v>
      </c>
      <c r="C964" s="5" t="n">
        <v>45822</v>
      </c>
      <c r="D964" s="4" t="s">
        <v>2375</v>
      </c>
      <c r="E964" s="4" t="s">
        <v>306</v>
      </c>
      <c r="F964" s="4" t="s">
        <v>2362</v>
      </c>
      <c r="G964" s="4" t="s">
        <v>59</v>
      </c>
      <c r="H964" s="4" t="n">
        <v>2</v>
      </c>
      <c r="I964" s="4" t="n">
        <v>272.5</v>
      </c>
      <c r="J964" s="4" t="s">
        <v>40</v>
      </c>
      <c r="K964" s="4" t="s">
        <v>1534</v>
      </c>
      <c r="L964" s="4" t="s">
        <v>862</v>
      </c>
      <c r="M964" s="4" t="s">
        <v>356</v>
      </c>
      <c r="N964" s="4" t="s">
        <v>863</v>
      </c>
      <c r="O964" s="4"/>
      <c r="P964" s="4" t="s">
        <v>2327</v>
      </c>
    </row>
    <row r="965" customFormat="false" ht="15" hidden="false" customHeight="false" outlineLevel="0" collapsed="false">
      <c r="A965" s="4" t="s">
        <v>2710</v>
      </c>
      <c r="B965" s="5" t="n">
        <v>45815</v>
      </c>
      <c r="C965" s="5" t="n">
        <v>45822</v>
      </c>
      <c r="D965" s="4" t="s">
        <v>2375</v>
      </c>
      <c r="E965" s="4" t="s">
        <v>306</v>
      </c>
      <c r="F965" s="4" t="s">
        <v>376</v>
      </c>
      <c r="G965" s="4" t="s">
        <v>59</v>
      </c>
      <c r="H965" s="4" t="n">
        <v>2</v>
      </c>
      <c r="I965" s="4" t="n">
        <v>157.5</v>
      </c>
      <c r="J965" s="4" t="s">
        <v>40</v>
      </c>
      <c r="K965" s="4" t="s">
        <v>2400</v>
      </c>
      <c r="L965" s="4" t="s">
        <v>2325</v>
      </c>
      <c r="M965" s="4" t="s">
        <v>377</v>
      </c>
      <c r="N965" s="4" t="s">
        <v>44</v>
      </c>
      <c r="O965" s="4" t="s">
        <v>2401</v>
      </c>
      <c r="P965" s="4" t="s">
        <v>2327</v>
      </c>
    </row>
    <row r="966" customFormat="false" ht="15" hidden="false" customHeight="false" outlineLevel="0" collapsed="false">
      <c r="A966" s="4" t="s">
        <v>2711</v>
      </c>
      <c r="B966" s="5" t="n">
        <v>45816</v>
      </c>
      <c r="C966" s="5" t="n">
        <v>45822</v>
      </c>
      <c r="D966" s="4" t="s">
        <v>2375</v>
      </c>
      <c r="E966" s="4" t="s">
        <v>306</v>
      </c>
      <c r="F966" s="4" t="s">
        <v>376</v>
      </c>
      <c r="G966" s="4" t="s">
        <v>38</v>
      </c>
      <c r="H966" s="4" t="n">
        <v>1</v>
      </c>
      <c r="I966" s="4" t="n">
        <v>700</v>
      </c>
      <c r="J966" s="4" t="s">
        <v>68</v>
      </c>
      <c r="K966" s="4" t="s">
        <v>2712</v>
      </c>
      <c r="L966" s="4" t="s">
        <v>2325</v>
      </c>
      <c r="M966" s="4" t="s">
        <v>377</v>
      </c>
      <c r="N966" s="4" t="s">
        <v>44</v>
      </c>
      <c r="O966" s="4" t="s">
        <v>2713</v>
      </c>
      <c r="P966" s="4" t="s">
        <v>2327</v>
      </c>
    </row>
    <row r="967" customFormat="false" ht="15" hidden="false" customHeight="false" outlineLevel="0" collapsed="false">
      <c r="A967" s="4" t="s">
        <v>2714</v>
      </c>
      <c r="B967" s="5" t="n">
        <v>45816</v>
      </c>
      <c r="C967" s="5" t="n">
        <v>45822</v>
      </c>
      <c r="D967" s="4" t="s">
        <v>2375</v>
      </c>
      <c r="E967" s="4" t="s">
        <v>311</v>
      </c>
      <c r="F967" s="4" t="s">
        <v>376</v>
      </c>
      <c r="G967" s="4" t="s">
        <v>38</v>
      </c>
      <c r="H967" s="4" t="n">
        <v>2</v>
      </c>
      <c r="I967" s="4" t="n">
        <v>575</v>
      </c>
      <c r="J967" s="4" t="s">
        <v>40</v>
      </c>
      <c r="K967" s="4" t="s">
        <v>2571</v>
      </c>
      <c r="L967" s="4" t="s">
        <v>2325</v>
      </c>
      <c r="M967" s="4" t="s">
        <v>377</v>
      </c>
      <c r="N967" s="4" t="s">
        <v>185</v>
      </c>
      <c r="O967" s="4" t="s">
        <v>2572</v>
      </c>
      <c r="P967" s="4" t="s">
        <v>2327</v>
      </c>
    </row>
    <row r="968" customFormat="false" ht="15" hidden="false" customHeight="false" outlineLevel="0" collapsed="false">
      <c r="A968" s="4" t="s">
        <v>2715</v>
      </c>
      <c r="B968" s="5" t="n">
        <v>45816</v>
      </c>
      <c r="C968" s="5" t="n">
        <v>45822</v>
      </c>
      <c r="D968" s="4" t="s">
        <v>2375</v>
      </c>
      <c r="E968" s="4" t="s">
        <v>306</v>
      </c>
      <c r="F968" s="4" t="s">
        <v>376</v>
      </c>
      <c r="G968" s="4" t="s">
        <v>59</v>
      </c>
      <c r="H968" s="4" t="n">
        <v>2</v>
      </c>
      <c r="I968" s="4" t="n">
        <v>227.5</v>
      </c>
      <c r="J968" s="4" t="s">
        <v>68</v>
      </c>
      <c r="K968" s="4" t="s">
        <v>2422</v>
      </c>
      <c r="L968" s="4" t="s">
        <v>376</v>
      </c>
      <c r="M968" s="4" t="s">
        <v>377</v>
      </c>
      <c r="N968" s="4" t="s">
        <v>44</v>
      </c>
      <c r="O968" s="4" t="s">
        <v>2423</v>
      </c>
      <c r="P968" s="4" t="s">
        <v>2327</v>
      </c>
    </row>
    <row r="969" customFormat="false" ht="15" hidden="false" customHeight="false" outlineLevel="0" collapsed="false">
      <c r="A969" s="4" t="s">
        <v>2716</v>
      </c>
      <c r="B969" s="5" t="n">
        <v>45816</v>
      </c>
      <c r="C969" s="5" t="n">
        <v>45822</v>
      </c>
      <c r="D969" s="4" t="s">
        <v>2375</v>
      </c>
      <c r="E969" s="4" t="s">
        <v>311</v>
      </c>
      <c r="F969" s="4" t="s">
        <v>2323</v>
      </c>
      <c r="G969" s="4" t="s">
        <v>59</v>
      </c>
      <c r="H969" s="4" t="n">
        <v>4</v>
      </c>
      <c r="I969" s="4" t="n">
        <v>375</v>
      </c>
      <c r="J969" s="4" t="s">
        <v>81</v>
      </c>
      <c r="K969" s="4" t="s">
        <v>2618</v>
      </c>
      <c r="L969" s="4" t="s">
        <v>376</v>
      </c>
      <c r="M969" s="4" t="s">
        <v>377</v>
      </c>
      <c r="N969" s="4" t="s">
        <v>94</v>
      </c>
      <c r="O969" s="4" t="s">
        <v>2619</v>
      </c>
      <c r="P969" s="4" t="s">
        <v>2327</v>
      </c>
    </row>
    <row r="970" customFormat="false" ht="15" hidden="false" customHeight="false" outlineLevel="0" collapsed="false">
      <c r="A970" s="4" t="s">
        <v>2717</v>
      </c>
      <c r="B970" s="5" t="n">
        <v>45816</v>
      </c>
      <c r="C970" s="5" t="n">
        <v>45822</v>
      </c>
      <c r="D970" s="4" t="s">
        <v>2375</v>
      </c>
      <c r="E970" s="4" t="s">
        <v>306</v>
      </c>
      <c r="F970" s="4" t="s">
        <v>2332</v>
      </c>
      <c r="G970" s="4" t="s">
        <v>59</v>
      </c>
      <c r="H970" s="4" t="n">
        <v>1</v>
      </c>
      <c r="I970" s="4" t="n">
        <v>240</v>
      </c>
      <c r="J970" s="4" t="s">
        <v>40</v>
      </c>
      <c r="K970" s="4" t="s">
        <v>2372</v>
      </c>
      <c r="L970" s="4" t="s">
        <v>376</v>
      </c>
      <c r="M970" s="4" t="s">
        <v>377</v>
      </c>
      <c r="N970" s="4" t="s">
        <v>44</v>
      </c>
      <c r="O970" s="4" t="s">
        <v>2373</v>
      </c>
      <c r="P970" s="4" t="s">
        <v>2327</v>
      </c>
    </row>
    <row r="971" customFormat="false" ht="15" hidden="false" customHeight="false" outlineLevel="0" collapsed="false">
      <c r="A971" s="4" t="s">
        <v>2718</v>
      </c>
      <c r="B971" s="5" t="n">
        <v>45816</v>
      </c>
      <c r="C971" s="5" t="n">
        <v>45822</v>
      </c>
      <c r="D971" s="4" t="s">
        <v>2375</v>
      </c>
      <c r="E971" s="4" t="s">
        <v>306</v>
      </c>
      <c r="F971" s="4" t="s">
        <v>376</v>
      </c>
      <c r="G971" s="4" t="s">
        <v>59</v>
      </c>
      <c r="H971" s="4" t="n">
        <v>3</v>
      </c>
      <c r="I971" s="4" t="n">
        <v>245</v>
      </c>
      <c r="J971" s="4" t="s">
        <v>68</v>
      </c>
      <c r="K971" s="4" t="s">
        <v>2719</v>
      </c>
      <c r="L971" s="4" t="s">
        <v>994</v>
      </c>
      <c r="M971" s="4" t="s">
        <v>334</v>
      </c>
      <c r="N971" s="4" t="s">
        <v>44</v>
      </c>
      <c r="O971" s="4" t="s">
        <v>2720</v>
      </c>
      <c r="P971" s="4" t="s">
        <v>2327</v>
      </c>
    </row>
    <row r="972" customFormat="false" ht="15" hidden="false" customHeight="false" outlineLevel="0" collapsed="false">
      <c r="A972" s="4" t="s">
        <v>2710</v>
      </c>
      <c r="B972" s="5" t="n">
        <v>45815</v>
      </c>
      <c r="C972" s="5" t="n">
        <v>45822</v>
      </c>
      <c r="D972" s="4" t="s">
        <v>2375</v>
      </c>
      <c r="E972" s="4" t="s">
        <v>306</v>
      </c>
      <c r="F972" s="4" t="s">
        <v>376</v>
      </c>
      <c r="G972" s="4" t="s">
        <v>59</v>
      </c>
      <c r="H972" s="4" t="n">
        <v>2</v>
      </c>
      <c r="I972" s="4" t="n">
        <v>157.5</v>
      </c>
      <c r="J972" s="4" t="s">
        <v>40</v>
      </c>
      <c r="K972" s="4" t="s">
        <v>2400</v>
      </c>
      <c r="L972" s="4" t="s">
        <v>2325</v>
      </c>
      <c r="M972" s="4" t="s">
        <v>377</v>
      </c>
      <c r="N972" s="4" t="s">
        <v>44</v>
      </c>
      <c r="O972" s="4" t="s">
        <v>2401</v>
      </c>
      <c r="P972" s="4" t="s">
        <v>2327</v>
      </c>
    </row>
    <row r="973" customFormat="false" ht="15" hidden="false" customHeight="false" outlineLevel="0" collapsed="false">
      <c r="A973" s="4" t="s">
        <v>2721</v>
      </c>
      <c r="B973" s="5" t="n">
        <v>45816</v>
      </c>
      <c r="C973" s="5" t="n">
        <v>45822</v>
      </c>
      <c r="D973" s="4" t="s">
        <v>2375</v>
      </c>
      <c r="E973" s="4" t="s">
        <v>325</v>
      </c>
      <c r="F973" s="4" t="s">
        <v>376</v>
      </c>
      <c r="G973" s="4" t="s">
        <v>326</v>
      </c>
      <c r="H973" s="4" t="n">
        <v>3</v>
      </c>
      <c r="I973" s="4" t="n">
        <v>660</v>
      </c>
      <c r="J973" s="4" t="s">
        <v>40</v>
      </c>
      <c r="K973" s="4" t="s">
        <v>2722</v>
      </c>
      <c r="L973" s="4" t="s">
        <v>376</v>
      </c>
      <c r="M973" s="4" t="s">
        <v>1412</v>
      </c>
      <c r="N973" s="4" t="s">
        <v>44</v>
      </c>
      <c r="O973" s="4" t="s">
        <v>2723</v>
      </c>
      <c r="P973" s="4" t="s">
        <v>2327</v>
      </c>
    </row>
    <row r="974" customFormat="false" ht="15" hidden="false" customHeight="false" outlineLevel="0" collapsed="false">
      <c r="A974" s="4" t="s">
        <v>2724</v>
      </c>
      <c r="B974" s="5" t="n">
        <v>45817</v>
      </c>
      <c r="C974" s="5" t="n">
        <v>45822</v>
      </c>
      <c r="D974" s="4" t="s">
        <v>2375</v>
      </c>
      <c r="E974" s="4" t="s">
        <v>323</v>
      </c>
      <c r="F974" s="4" t="s">
        <v>2362</v>
      </c>
      <c r="G974" s="4" t="s">
        <v>38</v>
      </c>
      <c r="H974" s="4" t="n">
        <v>2</v>
      </c>
      <c r="I974" s="4" t="n">
        <v>675</v>
      </c>
      <c r="J974" s="4" t="s">
        <v>81</v>
      </c>
      <c r="K974" s="4" t="s">
        <v>2725</v>
      </c>
      <c r="L974" s="4" t="s">
        <v>634</v>
      </c>
      <c r="M974" s="4" t="s">
        <v>635</v>
      </c>
      <c r="N974" s="4" t="s">
        <v>44</v>
      </c>
      <c r="O974" s="4" t="s">
        <v>2726</v>
      </c>
      <c r="P974" s="4" t="s">
        <v>2327</v>
      </c>
    </row>
    <row r="975" customFormat="false" ht="15" hidden="false" customHeight="false" outlineLevel="0" collapsed="false">
      <c r="A975" s="4" t="s">
        <v>2727</v>
      </c>
      <c r="B975" s="5" t="n">
        <v>45817</v>
      </c>
      <c r="C975" s="5" t="n">
        <v>45822</v>
      </c>
      <c r="D975" s="4" t="s">
        <v>2375</v>
      </c>
      <c r="E975" s="4" t="s">
        <v>345</v>
      </c>
      <c r="F975" s="4" t="s">
        <v>376</v>
      </c>
      <c r="G975" s="4" t="s">
        <v>38</v>
      </c>
      <c r="H975" s="4" t="n">
        <v>2</v>
      </c>
      <c r="I975" s="4" t="n">
        <v>705</v>
      </c>
      <c r="J975" s="4" t="s">
        <v>68</v>
      </c>
      <c r="K975" s="4" t="s">
        <v>2728</v>
      </c>
      <c r="L975" s="4" t="s">
        <v>376</v>
      </c>
      <c r="M975" s="4" t="s">
        <v>1412</v>
      </c>
      <c r="N975" s="4" t="s">
        <v>44</v>
      </c>
      <c r="O975" s="4" t="s">
        <v>2729</v>
      </c>
      <c r="P975" s="4" t="s">
        <v>2327</v>
      </c>
    </row>
    <row r="976" customFormat="false" ht="15" hidden="false" customHeight="false" outlineLevel="0" collapsed="false">
      <c r="A976" s="4" t="s">
        <v>2659</v>
      </c>
      <c r="B976" s="5" t="n">
        <v>45797</v>
      </c>
      <c r="C976" s="5" t="n">
        <v>45822</v>
      </c>
      <c r="D976" s="4" t="s">
        <v>2375</v>
      </c>
      <c r="E976" s="4" t="s">
        <v>306</v>
      </c>
      <c r="F976" s="4" t="s">
        <v>2323</v>
      </c>
      <c r="G976" s="4" t="s">
        <v>59</v>
      </c>
      <c r="H976" s="4" t="n">
        <v>4</v>
      </c>
      <c r="I976" s="4" t="n">
        <v>337.5</v>
      </c>
      <c r="J976" s="4" t="s">
        <v>68</v>
      </c>
      <c r="K976" s="4" t="s">
        <v>2363</v>
      </c>
      <c r="L976" s="4" t="s">
        <v>376</v>
      </c>
      <c r="M976" s="4" t="s">
        <v>377</v>
      </c>
      <c r="N976" s="4" t="s">
        <v>44</v>
      </c>
      <c r="O976" s="4" t="s">
        <v>2364</v>
      </c>
      <c r="P976" s="4" t="s">
        <v>2327</v>
      </c>
    </row>
    <row r="977" customFormat="false" ht="15" hidden="false" customHeight="false" outlineLevel="0" collapsed="false">
      <c r="A977" s="4" t="s">
        <v>2730</v>
      </c>
      <c r="B977" s="5" t="n">
        <v>45818</v>
      </c>
      <c r="C977" s="5" t="n">
        <v>45822</v>
      </c>
      <c r="D977" s="4" t="s">
        <v>2375</v>
      </c>
      <c r="E977" s="4" t="s">
        <v>325</v>
      </c>
      <c r="F977" s="4" t="s">
        <v>2332</v>
      </c>
      <c r="G977" s="4" t="s">
        <v>38</v>
      </c>
      <c r="H977" s="4" t="n">
        <v>2</v>
      </c>
      <c r="I977" s="4" t="n">
        <v>605</v>
      </c>
      <c r="J977" s="4" t="s">
        <v>81</v>
      </c>
      <c r="K977" s="4" t="s">
        <v>1025</v>
      </c>
      <c r="L977" s="4" t="s">
        <v>432</v>
      </c>
      <c r="M977" s="4" t="s">
        <v>356</v>
      </c>
      <c r="N977" s="4" t="s">
        <v>901</v>
      </c>
      <c r="O977" s="4"/>
      <c r="P977" s="4" t="s">
        <v>2327</v>
      </c>
    </row>
    <row r="978" customFormat="false" ht="15" hidden="false" customHeight="false" outlineLevel="0" collapsed="false">
      <c r="A978" s="4" t="s">
        <v>2731</v>
      </c>
      <c r="B978" s="5" t="n">
        <v>45818</v>
      </c>
      <c r="C978" s="5" t="n">
        <v>45822</v>
      </c>
      <c r="D978" s="4" t="s">
        <v>2375</v>
      </c>
      <c r="E978" s="4" t="s">
        <v>306</v>
      </c>
      <c r="F978" s="4" t="s">
        <v>376</v>
      </c>
      <c r="G978" s="4" t="s">
        <v>38</v>
      </c>
      <c r="H978" s="4" t="n">
        <v>3</v>
      </c>
      <c r="I978" s="4" t="n">
        <v>580</v>
      </c>
      <c r="J978" s="4" t="s">
        <v>40</v>
      </c>
      <c r="K978" s="4" t="s">
        <v>1764</v>
      </c>
      <c r="L978" s="4" t="s">
        <v>480</v>
      </c>
      <c r="M978" s="4" t="s">
        <v>43</v>
      </c>
      <c r="N978" s="4" t="s">
        <v>44</v>
      </c>
      <c r="O978" s="4" t="s">
        <v>1765</v>
      </c>
      <c r="P978" s="4" t="s">
        <v>2327</v>
      </c>
    </row>
    <row r="979" customFormat="false" ht="15" hidden="false" customHeight="false" outlineLevel="0" collapsed="false">
      <c r="A979" s="4" t="s">
        <v>2732</v>
      </c>
      <c r="B979" s="5" t="n">
        <v>45818</v>
      </c>
      <c r="C979" s="5" t="n">
        <v>45822</v>
      </c>
      <c r="D979" s="4" t="s">
        <v>2375</v>
      </c>
      <c r="E979" s="4" t="s">
        <v>306</v>
      </c>
      <c r="F979" s="4" t="s">
        <v>376</v>
      </c>
      <c r="G979" s="4" t="s">
        <v>38</v>
      </c>
      <c r="H979" s="4" t="n">
        <v>3</v>
      </c>
      <c r="I979" s="4" t="n">
        <v>575</v>
      </c>
      <c r="J979" s="4" t="s">
        <v>40</v>
      </c>
      <c r="K979" s="4" t="s">
        <v>2733</v>
      </c>
      <c r="L979" s="4" t="s">
        <v>2734</v>
      </c>
      <c r="M979" s="4" t="s">
        <v>695</v>
      </c>
      <c r="N979" s="4" t="s">
        <v>185</v>
      </c>
      <c r="O979" s="4" t="s">
        <v>2735</v>
      </c>
      <c r="P979" s="4" t="s">
        <v>2327</v>
      </c>
    </row>
    <row r="980" customFormat="false" ht="15" hidden="false" customHeight="false" outlineLevel="0" collapsed="false">
      <c r="A980" s="4" t="s">
        <v>2736</v>
      </c>
      <c r="B980" s="5" t="n">
        <v>45818</v>
      </c>
      <c r="C980" s="5" t="n">
        <v>45822</v>
      </c>
      <c r="D980" s="4" t="s">
        <v>2375</v>
      </c>
      <c r="E980" s="4" t="s">
        <v>306</v>
      </c>
      <c r="F980" s="4" t="s">
        <v>376</v>
      </c>
      <c r="G980" s="4" t="s">
        <v>59</v>
      </c>
      <c r="H980" s="4" t="n">
        <v>2</v>
      </c>
      <c r="I980" s="4" t="n">
        <v>120</v>
      </c>
      <c r="J980" s="4" t="s">
        <v>40</v>
      </c>
      <c r="K980" s="4" t="s">
        <v>2737</v>
      </c>
      <c r="L980" s="4" t="s">
        <v>376</v>
      </c>
      <c r="M980" s="4" t="s">
        <v>377</v>
      </c>
      <c r="N980" s="4" t="s">
        <v>44</v>
      </c>
      <c r="O980" s="4" t="s">
        <v>2738</v>
      </c>
      <c r="P980" s="4" t="s">
        <v>2327</v>
      </c>
    </row>
    <row r="981" customFormat="false" ht="15" hidden="false" customHeight="false" outlineLevel="0" collapsed="false">
      <c r="A981" s="4" t="s">
        <v>2739</v>
      </c>
      <c r="B981" s="5" t="n">
        <v>45818</v>
      </c>
      <c r="C981" s="5" t="n">
        <v>45822</v>
      </c>
      <c r="D981" s="4" t="s">
        <v>2375</v>
      </c>
      <c r="E981" s="4" t="s">
        <v>306</v>
      </c>
      <c r="F981" s="4" t="s">
        <v>376</v>
      </c>
      <c r="G981" s="4" t="s">
        <v>59</v>
      </c>
      <c r="H981" s="4" t="n">
        <v>1</v>
      </c>
      <c r="I981" s="4" t="n">
        <v>207.5</v>
      </c>
      <c r="J981" s="4" t="s">
        <v>81</v>
      </c>
      <c r="K981" s="4" t="s">
        <v>2740</v>
      </c>
      <c r="L981" s="4" t="s">
        <v>355</v>
      </c>
      <c r="M981" s="4" t="s">
        <v>356</v>
      </c>
      <c r="N981" s="4" t="s">
        <v>357</v>
      </c>
      <c r="O981" s="4"/>
      <c r="P981" s="4" t="s">
        <v>2327</v>
      </c>
    </row>
    <row r="982" customFormat="false" ht="15" hidden="false" customHeight="false" outlineLevel="0" collapsed="false">
      <c r="A982" s="4" t="s">
        <v>2741</v>
      </c>
      <c r="B982" s="5" t="n">
        <v>45818</v>
      </c>
      <c r="C982" s="5" t="n">
        <v>45822</v>
      </c>
      <c r="D982" s="4" t="s">
        <v>2375</v>
      </c>
      <c r="E982" s="4" t="s">
        <v>306</v>
      </c>
      <c r="F982" s="4" t="s">
        <v>376</v>
      </c>
      <c r="G982" s="4" t="s">
        <v>38</v>
      </c>
      <c r="H982" s="4" t="n">
        <v>2</v>
      </c>
      <c r="I982" s="4" t="n">
        <v>640</v>
      </c>
      <c r="J982" s="4" t="s">
        <v>68</v>
      </c>
      <c r="K982" s="4" t="s">
        <v>2742</v>
      </c>
      <c r="L982" s="4" t="s">
        <v>376</v>
      </c>
      <c r="M982" s="4" t="s">
        <v>377</v>
      </c>
      <c r="N982" s="4" t="s">
        <v>44</v>
      </c>
      <c r="O982" s="4" t="s">
        <v>2743</v>
      </c>
      <c r="P982" s="4" t="s">
        <v>2327</v>
      </c>
    </row>
    <row r="983" customFormat="false" ht="15" hidden="false" customHeight="false" outlineLevel="0" collapsed="false">
      <c r="A983" s="4" t="s">
        <v>2744</v>
      </c>
      <c r="B983" s="5" t="n">
        <v>45818</v>
      </c>
      <c r="C983" s="5" t="n">
        <v>45822</v>
      </c>
      <c r="D983" s="4" t="s">
        <v>2375</v>
      </c>
      <c r="E983" s="4" t="s">
        <v>325</v>
      </c>
      <c r="F983" s="4" t="s">
        <v>2332</v>
      </c>
      <c r="G983" s="4" t="s">
        <v>38</v>
      </c>
      <c r="H983" s="4" t="n">
        <v>2</v>
      </c>
      <c r="I983" s="4" t="n">
        <v>620</v>
      </c>
      <c r="J983" s="4" t="s">
        <v>68</v>
      </c>
      <c r="K983" s="4" t="s">
        <v>2745</v>
      </c>
      <c r="L983" s="4" t="s">
        <v>376</v>
      </c>
      <c r="M983" s="4" t="s">
        <v>377</v>
      </c>
      <c r="N983" s="4" t="s">
        <v>44</v>
      </c>
      <c r="O983" s="4" t="s">
        <v>2746</v>
      </c>
      <c r="P983" s="4" t="s">
        <v>2327</v>
      </c>
    </row>
    <row r="984" customFormat="false" ht="15" hidden="false" customHeight="false" outlineLevel="0" collapsed="false">
      <c r="A984" s="4" t="s">
        <v>2747</v>
      </c>
      <c r="B984" s="5" t="n">
        <v>45819</v>
      </c>
      <c r="C984" s="5" t="n">
        <v>45822</v>
      </c>
      <c r="D984" s="4" t="s">
        <v>2375</v>
      </c>
      <c r="E984" s="4" t="s">
        <v>306</v>
      </c>
      <c r="F984" s="4" t="s">
        <v>376</v>
      </c>
      <c r="G984" s="4" t="s">
        <v>59</v>
      </c>
      <c r="H984" s="4" t="n">
        <v>2</v>
      </c>
      <c r="I984" s="4" t="n">
        <v>247.5</v>
      </c>
      <c r="J984" s="4" t="s">
        <v>40</v>
      </c>
      <c r="K984" s="4" t="s">
        <v>2538</v>
      </c>
      <c r="L984" s="4" t="s">
        <v>376</v>
      </c>
      <c r="M984" s="4" t="s">
        <v>377</v>
      </c>
      <c r="N984" s="4" t="s">
        <v>44</v>
      </c>
      <c r="O984" s="4" t="s">
        <v>2539</v>
      </c>
      <c r="P984" s="4" t="s">
        <v>2327</v>
      </c>
    </row>
    <row r="985" customFormat="false" ht="15" hidden="false" customHeight="false" outlineLevel="0" collapsed="false">
      <c r="A985" s="4" t="s">
        <v>2748</v>
      </c>
      <c r="B985" s="5" t="n">
        <v>45819</v>
      </c>
      <c r="C985" s="5" t="n">
        <v>45822</v>
      </c>
      <c r="D985" s="4" t="s">
        <v>2375</v>
      </c>
      <c r="E985" s="4" t="s">
        <v>306</v>
      </c>
      <c r="F985" s="4" t="s">
        <v>376</v>
      </c>
      <c r="G985" s="4" t="s">
        <v>38</v>
      </c>
      <c r="H985" s="4" t="n">
        <v>3</v>
      </c>
      <c r="I985" s="4" t="n">
        <v>450</v>
      </c>
      <c r="J985" s="4" t="s">
        <v>81</v>
      </c>
      <c r="K985" s="4" t="s">
        <v>2749</v>
      </c>
      <c r="L985" s="4" t="s">
        <v>463</v>
      </c>
      <c r="M985" s="4" t="s">
        <v>2750</v>
      </c>
      <c r="N985" s="4" t="s">
        <v>44</v>
      </c>
      <c r="O985" s="4" t="s">
        <v>2751</v>
      </c>
      <c r="P985" s="4" t="s">
        <v>2327</v>
      </c>
    </row>
    <row r="986" customFormat="false" ht="15" hidden="false" customHeight="false" outlineLevel="0" collapsed="false">
      <c r="A986" s="4" t="s">
        <v>2752</v>
      </c>
      <c r="B986" s="5" t="n">
        <v>45819</v>
      </c>
      <c r="C986" s="5" t="n">
        <v>45822</v>
      </c>
      <c r="D986" s="4" t="s">
        <v>2375</v>
      </c>
      <c r="E986" s="4" t="s">
        <v>306</v>
      </c>
      <c r="F986" s="4" t="s">
        <v>2362</v>
      </c>
      <c r="G986" s="4" t="s">
        <v>59</v>
      </c>
      <c r="H986" s="4" t="n">
        <v>4</v>
      </c>
      <c r="I986" s="4" t="n">
        <v>282.5</v>
      </c>
      <c r="J986" s="4" t="s">
        <v>68</v>
      </c>
      <c r="K986" s="4" t="s">
        <v>1339</v>
      </c>
      <c r="L986" s="4" t="s">
        <v>42</v>
      </c>
      <c r="M986" s="4" t="s">
        <v>133</v>
      </c>
      <c r="N986" s="4" t="s">
        <v>44</v>
      </c>
      <c r="O986" s="4" t="s">
        <v>1340</v>
      </c>
      <c r="P986" s="4" t="s">
        <v>2327</v>
      </c>
    </row>
    <row r="987" customFormat="false" ht="15" hidden="false" customHeight="false" outlineLevel="0" collapsed="false">
      <c r="A987" s="4" t="s">
        <v>2753</v>
      </c>
      <c r="B987" s="5" t="n">
        <v>45819</v>
      </c>
      <c r="C987" s="5" t="n">
        <v>45822</v>
      </c>
      <c r="D987" s="4" t="s">
        <v>2375</v>
      </c>
      <c r="E987" s="4" t="s">
        <v>306</v>
      </c>
      <c r="F987" s="4" t="s">
        <v>376</v>
      </c>
      <c r="G987" s="4" t="s">
        <v>38</v>
      </c>
      <c r="H987" s="4" t="n">
        <v>2</v>
      </c>
      <c r="I987" s="4" t="n">
        <v>605</v>
      </c>
      <c r="J987" s="4" t="s">
        <v>81</v>
      </c>
      <c r="K987" s="4" t="s">
        <v>2754</v>
      </c>
      <c r="L987" s="4" t="s">
        <v>1313</v>
      </c>
      <c r="M987" s="4" t="s">
        <v>464</v>
      </c>
      <c r="N987" s="4" t="s">
        <v>52</v>
      </c>
      <c r="O987" s="4" t="s">
        <v>2755</v>
      </c>
      <c r="P987" s="4" t="s">
        <v>2327</v>
      </c>
    </row>
    <row r="988" customFormat="false" ht="15" hidden="false" customHeight="false" outlineLevel="0" collapsed="false">
      <c r="A988" s="4" t="s">
        <v>2756</v>
      </c>
      <c r="B988" s="5" t="n">
        <v>45819</v>
      </c>
      <c r="C988" s="5" t="n">
        <v>45822</v>
      </c>
      <c r="D988" s="4" t="s">
        <v>2375</v>
      </c>
      <c r="E988" s="4" t="s">
        <v>325</v>
      </c>
      <c r="F988" s="4" t="s">
        <v>2362</v>
      </c>
      <c r="G988" s="4" t="s">
        <v>38</v>
      </c>
      <c r="H988" s="4" t="n">
        <v>2</v>
      </c>
      <c r="I988" s="4" t="n">
        <v>275</v>
      </c>
      <c r="J988" s="4" t="s">
        <v>40</v>
      </c>
      <c r="K988" s="4" t="s">
        <v>2757</v>
      </c>
      <c r="L988" s="4" t="s">
        <v>364</v>
      </c>
      <c r="M988" s="4" t="s">
        <v>365</v>
      </c>
      <c r="N988" s="4" t="s">
        <v>94</v>
      </c>
      <c r="O988" s="4" t="s">
        <v>2758</v>
      </c>
      <c r="P988" s="4" t="s">
        <v>2327</v>
      </c>
    </row>
    <row r="989" customFormat="false" ht="15" hidden="false" customHeight="false" outlineLevel="0" collapsed="false">
      <c r="A989" s="4" t="s">
        <v>2759</v>
      </c>
      <c r="B989" s="5" t="n">
        <v>45819</v>
      </c>
      <c r="C989" s="5" t="n">
        <v>45822</v>
      </c>
      <c r="D989" s="4" t="s">
        <v>2375</v>
      </c>
      <c r="E989" s="4" t="s">
        <v>306</v>
      </c>
      <c r="F989" s="4" t="s">
        <v>2332</v>
      </c>
      <c r="G989" s="4" t="s">
        <v>59</v>
      </c>
      <c r="H989" s="4" t="n">
        <v>2</v>
      </c>
      <c r="I989" s="4" t="n">
        <v>335</v>
      </c>
      <c r="J989" s="4" t="s">
        <v>68</v>
      </c>
      <c r="K989" s="4" t="s">
        <v>2760</v>
      </c>
      <c r="L989" s="4" t="s">
        <v>376</v>
      </c>
      <c r="M989" s="4" t="s">
        <v>377</v>
      </c>
      <c r="N989" s="4" t="s">
        <v>94</v>
      </c>
      <c r="O989" s="4" t="s">
        <v>2761</v>
      </c>
      <c r="P989" s="4" t="s">
        <v>2327</v>
      </c>
    </row>
    <row r="990" customFormat="false" ht="15" hidden="false" customHeight="false" outlineLevel="0" collapsed="false">
      <c r="A990" s="4" t="s">
        <v>2714</v>
      </c>
      <c r="B990" s="5" t="n">
        <v>45816</v>
      </c>
      <c r="C990" s="5" t="n">
        <v>45822</v>
      </c>
      <c r="D990" s="4" t="s">
        <v>2375</v>
      </c>
      <c r="E990" s="4" t="s">
        <v>311</v>
      </c>
      <c r="F990" s="4" t="s">
        <v>376</v>
      </c>
      <c r="G990" s="4" t="s">
        <v>38</v>
      </c>
      <c r="H990" s="4" t="n">
        <v>2</v>
      </c>
      <c r="I990" s="4" t="n">
        <v>575</v>
      </c>
      <c r="J990" s="4" t="s">
        <v>40</v>
      </c>
      <c r="K990" s="4" t="s">
        <v>2571</v>
      </c>
      <c r="L990" s="4" t="s">
        <v>2325</v>
      </c>
      <c r="M990" s="4" t="s">
        <v>377</v>
      </c>
      <c r="N990" s="4" t="s">
        <v>185</v>
      </c>
      <c r="O990" s="4" t="s">
        <v>2572</v>
      </c>
      <c r="P990" s="4" t="s">
        <v>2327</v>
      </c>
    </row>
    <row r="991" customFormat="false" ht="15" hidden="false" customHeight="false" outlineLevel="0" collapsed="false">
      <c r="A991" s="4" t="s">
        <v>2762</v>
      </c>
      <c r="B991" s="5" t="n">
        <v>45819</v>
      </c>
      <c r="C991" s="5" t="n">
        <v>45822</v>
      </c>
      <c r="D991" s="4" t="s">
        <v>2375</v>
      </c>
      <c r="E991" s="4" t="s">
        <v>306</v>
      </c>
      <c r="F991" s="4" t="s">
        <v>376</v>
      </c>
      <c r="G991" s="4" t="s">
        <v>38</v>
      </c>
      <c r="H991" s="4" t="n">
        <v>1</v>
      </c>
      <c r="I991" s="4" t="n">
        <v>750</v>
      </c>
      <c r="J991" s="4" t="s">
        <v>40</v>
      </c>
      <c r="K991" s="4" t="s">
        <v>1484</v>
      </c>
      <c r="L991" s="4" t="s">
        <v>432</v>
      </c>
      <c r="M991" s="4" t="s">
        <v>356</v>
      </c>
      <c r="N991" s="4" t="s">
        <v>433</v>
      </c>
      <c r="O991" s="4"/>
      <c r="P991" s="4" t="s">
        <v>2327</v>
      </c>
    </row>
    <row r="992" customFormat="false" ht="15" hidden="false" customHeight="false" outlineLevel="0" collapsed="false">
      <c r="A992" s="4" t="s">
        <v>2763</v>
      </c>
      <c r="B992" s="5" t="n">
        <v>45820</v>
      </c>
      <c r="C992" s="5" t="n">
        <v>45822</v>
      </c>
      <c r="D992" s="4" t="s">
        <v>2375</v>
      </c>
      <c r="E992" s="4" t="s">
        <v>306</v>
      </c>
      <c r="F992" s="4" t="s">
        <v>2384</v>
      </c>
      <c r="G992" s="4" t="s">
        <v>38</v>
      </c>
      <c r="H992" s="4" t="n">
        <v>2</v>
      </c>
      <c r="I992" s="4" t="n">
        <v>510</v>
      </c>
      <c r="J992" s="4" t="s">
        <v>40</v>
      </c>
      <c r="K992" s="4" t="s">
        <v>2764</v>
      </c>
      <c r="L992" s="4" t="s">
        <v>988</v>
      </c>
      <c r="M992" s="4" t="s">
        <v>737</v>
      </c>
      <c r="N992" s="4" t="s">
        <v>44</v>
      </c>
      <c r="O992" s="4" t="s">
        <v>2765</v>
      </c>
      <c r="P992" s="4" t="s">
        <v>2327</v>
      </c>
    </row>
    <row r="993" customFormat="false" ht="15" hidden="false" customHeight="false" outlineLevel="0" collapsed="false">
      <c r="A993" s="4" t="s">
        <v>2766</v>
      </c>
      <c r="B993" s="5" t="n">
        <v>45820</v>
      </c>
      <c r="C993" s="5" t="n">
        <v>45822</v>
      </c>
      <c r="D993" s="4" t="s">
        <v>2375</v>
      </c>
      <c r="E993" s="4" t="s">
        <v>306</v>
      </c>
      <c r="F993" s="4" t="s">
        <v>376</v>
      </c>
      <c r="G993" s="4" t="s">
        <v>38</v>
      </c>
      <c r="H993" s="4" t="n">
        <v>1</v>
      </c>
      <c r="I993" s="4" t="n">
        <v>600</v>
      </c>
      <c r="J993" s="4" t="s">
        <v>40</v>
      </c>
      <c r="K993" s="4" t="s">
        <v>2538</v>
      </c>
      <c r="L993" s="4" t="s">
        <v>376</v>
      </c>
      <c r="M993" s="4" t="s">
        <v>377</v>
      </c>
      <c r="N993" s="4" t="s">
        <v>44</v>
      </c>
      <c r="O993" s="4" t="s">
        <v>2539</v>
      </c>
      <c r="P993" s="4" t="s">
        <v>2327</v>
      </c>
    </row>
    <row r="994" customFormat="false" ht="15" hidden="false" customHeight="false" outlineLevel="0" collapsed="false">
      <c r="A994" s="4" t="s">
        <v>2767</v>
      </c>
      <c r="B994" s="5" t="n">
        <v>45820</v>
      </c>
      <c r="C994" s="5" t="n">
        <v>45822</v>
      </c>
      <c r="D994" s="4" t="s">
        <v>2375</v>
      </c>
      <c r="E994" s="4" t="s">
        <v>306</v>
      </c>
      <c r="F994" s="4" t="s">
        <v>376</v>
      </c>
      <c r="G994" s="4" t="s">
        <v>59</v>
      </c>
      <c r="H994" s="4" t="n">
        <v>1</v>
      </c>
      <c r="I994" s="4" t="n">
        <v>187.5</v>
      </c>
      <c r="J994" s="4" t="s">
        <v>40</v>
      </c>
      <c r="K994" s="4" t="s">
        <v>1456</v>
      </c>
      <c r="L994" s="4" t="s">
        <v>376</v>
      </c>
      <c r="M994" s="4" t="s">
        <v>377</v>
      </c>
      <c r="N994" s="4" t="s">
        <v>44</v>
      </c>
      <c r="O994" s="4" t="s">
        <v>1457</v>
      </c>
      <c r="P994" s="4" t="s">
        <v>2327</v>
      </c>
    </row>
    <row r="995" customFormat="false" ht="15" hidden="false" customHeight="false" outlineLevel="0" collapsed="false">
      <c r="A995" s="4" t="s">
        <v>2768</v>
      </c>
      <c r="B995" s="5" t="n">
        <v>45820</v>
      </c>
      <c r="C995" s="5" t="n">
        <v>45822</v>
      </c>
      <c r="D995" s="4" t="s">
        <v>2375</v>
      </c>
      <c r="E995" s="4" t="s">
        <v>325</v>
      </c>
      <c r="F995" s="4" t="s">
        <v>376</v>
      </c>
      <c r="G995" s="4" t="s">
        <v>59</v>
      </c>
      <c r="H995" s="4" t="n">
        <v>2</v>
      </c>
      <c r="I995" s="4" t="n">
        <v>387.5</v>
      </c>
      <c r="J995" s="4" t="s">
        <v>81</v>
      </c>
      <c r="K995" s="4" t="s">
        <v>2605</v>
      </c>
      <c r="L995" s="4" t="s">
        <v>376</v>
      </c>
      <c r="M995" s="4" t="s">
        <v>377</v>
      </c>
      <c r="N995" s="4" t="s">
        <v>44</v>
      </c>
      <c r="O995" s="4" t="s">
        <v>2606</v>
      </c>
      <c r="P995" s="4" t="s">
        <v>2327</v>
      </c>
    </row>
    <row r="996" customFormat="false" ht="15" hidden="false" customHeight="false" outlineLevel="0" collapsed="false">
      <c r="A996" s="4" t="s">
        <v>2769</v>
      </c>
      <c r="B996" s="5" t="n">
        <v>45820</v>
      </c>
      <c r="C996" s="5" t="n">
        <v>45822</v>
      </c>
      <c r="D996" s="4" t="s">
        <v>2375</v>
      </c>
      <c r="E996" s="4" t="s">
        <v>306</v>
      </c>
      <c r="F996" s="4" t="s">
        <v>2332</v>
      </c>
      <c r="G996" s="4" t="s">
        <v>326</v>
      </c>
      <c r="H996" s="4" t="n">
        <v>4</v>
      </c>
      <c r="I996" s="4" t="n">
        <v>1390</v>
      </c>
      <c r="J996" s="4" t="s">
        <v>68</v>
      </c>
      <c r="K996" s="4" t="s">
        <v>2618</v>
      </c>
      <c r="L996" s="4" t="s">
        <v>376</v>
      </c>
      <c r="M996" s="4" t="s">
        <v>377</v>
      </c>
      <c r="N996" s="4" t="s">
        <v>44</v>
      </c>
      <c r="O996" s="4" t="s">
        <v>2619</v>
      </c>
      <c r="P996" s="4" t="s">
        <v>2327</v>
      </c>
    </row>
    <row r="997" customFormat="false" ht="15" hidden="false" customHeight="false" outlineLevel="0" collapsed="false">
      <c r="A997" s="4" t="s">
        <v>2770</v>
      </c>
      <c r="B997" s="5" t="n">
        <v>45820</v>
      </c>
      <c r="C997" s="5" t="n">
        <v>45822</v>
      </c>
      <c r="D997" s="4" t="s">
        <v>2375</v>
      </c>
      <c r="E997" s="4" t="s">
        <v>306</v>
      </c>
      <c r="F997" s="4" t="s">
        <v>2362</v>
      </c>
      <c r="G997" s="4" t="s">
        <v>59</v>
      </c>
      <c r="H997" s="4" t="n">
        <v>4</v>
      </c>
      <c r="I997" s="4" t="n">
        <v>187.5</v>
      </c>
      <c r="J997" s="4" t="s">
        <v>40</v>
      </c>
      <c r="K997" s="4" t="s">
        <v>2771</v>
      </c>
      <c r="L997" s="4" t="s">
        <v>1172</v>
      </c>
      <c r="M997" s="4" t="s">
        <v>377</v>
      </c>
      <c r="N997" s="4" t="s">
        <v>44</v>
      </c>
      <c r="O997" s="4" t="s">
        <v>2772</v>
      </c>
      <c r="P997" s="4" t="s">
        <v>2327</v>
      </c>
    </row>
    <row r="998" customFormat="false" ht="15" hidden="false" customHeight="false" outlineLevel="0" collapsed="false">
      <c r="A998" s="4" t="s">
        <v>2773</v>
      </c>
      <c r="B998" s="5" t="n">
        <v>45820</v>
      </c>
      <c r="C998" s="5" t="n">
        <v>45822</v>
      </c>
      <c r="D998" s="4" t="s">
        <v>2375</v>
      </c>
      <c r="E998" s="4" t="s">
        <v>306</v>
      </c>
      <c r="F998" s="4" t="s">
        <v>376</v>
      </c>
      <c r="G998" s="4" t="s">
        <v>59</v>
      </c>
      <c r="H998" s="4" t="n">
        <v>1</v>
      </c>
      <c r="I998" s="4" t="n">
        <v>122.5</v>
      </c>
      <c r="J998" s="4" t="s">
        <v>68</v>
      </c>
      <c r="K998" s="4" t="s">
        <v>2356</v>
      </c>
      <c r="L998" s="4" t="s">
        <v>376</v>
      </c>
      <c r="M998" s="4" t="s">
        <v>377</v>
      </c>
      <c r="N998" s="4" t="s">
        <v>44</v>
      </c>
      <c r="O998" s="4" t="s">
        <v>2357</v>
      </c>
      <c r="P998" s="4" t="s">
        <v>2327</v>
      </c>
    </row>
    <row r="999" customFormat="false" ht="15" hidden="false" customHeight="false" outlineLevel="0" collapsed="false">
      <c r="A999" s="4" t="s">
        <v>2774</v>
      </c>
      <c r="B999" s="5" t="n">
        <v>45821</v>
      </c>
      <c r="C999" s="5" t="n">
        <v>45822</v>
      </c>
      <c r="D999" s="4" t="s">
        <v>2375</v>
      </c>
      <c r="E999" s="4" t="s">
        <v>306</v>
      </c>
      <c r="F999" s="4" t="s">
        <v>376</v>
      </c>
      <c r="G999" s="4" t="s">
        <v>38</v>
      </c>
      <c r="H999" s="4" t="n">
        <v>3</v>
      </c>
      <c r="I999" s="4" t="n">
        <v>540</v>
      </c>
      <c r="J999" s="4" t="s">
        <v>40</v>
      </c>
      <c r="K999" s="4" t="s">
        <v>2775</v>
      </c>
      <c r="L999" s="4" t="s">
        <v>376</v>
      </c>
      <c r="M999" s="4" t="s">
        <v>377</v>
      </c>
      <c r="N999" s="4" t="s">
        <v>44</v>
      </c>
      <c r="O999" s="4" t="s">
        <v>2776</v>
      </c>
      <c r="P999" s="4" t="s">
        <v>2327</v>
      </c>
    </row>
    <row r="1000" customFormat="false" ht="15" hidden="false" customHeight="false" outlineLevel="0" collapsed="false">
      <c r="A1000" s="4" t="s">
        <v>2777</v>
      </c>
      <c r="B1000" s="5" t="n">
        <v>45821</v>
      </c>
      <c r="C1000" s="5" t="n">
        <v>45822</v>
      </c>
      <c r="D1000" s="4" t="s">
        <v>2375</v>
      </c>
      <c r="E1000" s="4" t="s">
        <v>306</v>
      </c>
      <c r="F1000" s="4" t="s">
        <v>376</v>
      </c>
      <c r="G1000" s="4" t="s">
        <v>38</v>
      </c>
      <c r="H1000" s="4" t="n">
        <v>2</v>
      </c>
      <c r="I1000" s="4" t="n">
        <v>630</v>
      </c>
      <c r="J1000" s="4" t="s">
        <v>149</v>
      </c>
      <c r="K1000" s="4" t="s">
        <v>2669</v>
      </c>
      <c r="L1000" s="4" t="s">
        <v>2384</v>
      </c>
      <c r="M1000" s="4" t="s">
        <v>377</v>
      </c>
      <c r="N1000" s="4" t="s">
        <v>185</v>
      </c>
      <c r="O1000" s="4" t="s">
        <v>2670</v>
      </c>
      <c r="P1000" s="4" t="s">
        <v>2327</v>
      </c>
    </row>
    <row r="1001" customFormat="false" ht="15" hidden="false" customHeight="false" outlineLevel="0" collapsed="false">
      <c r="A1001" s="4" t="s">
        <v>2778</v>
      </c>
      <c r="B1001" s="5" t="n">
        <v>45821</v>
      </c>
      <c r="C1001" s="5" t="n">
        <v>45822</v>
      </c>
      <c r="D1001" s="4" t="s">
        <v>2375</v>
      </c>
      <c r="E1001" s="4" t="s">
        <v>306</v>
      </c>
      <c r="F1001" s="4" t="s">
        <v>2323</v>
      </c>
      <c r="G1001" s="4" t="s">
        <v>59</v>
      </c>
      <c r="H1001" s="4" t="n">
        <v>1</v>
      </c>
      <c r="I1001" s="4" t="n">
        <v>380</v>
      </c>
      <c r="J1001" s="4" t="s">
        <v>81</v>
      </c>
      <c r="K1001" s="4" t="s">
        <v>2353</v>
      </c>
      <c r="L1001" s="4" t="s">
        <v>376</v>
      </c>
      <c r="M1001" s="4" t="s">
        <v>377</v>
      </c>
      <c r="N1001" s="4" t="s">
        <v>44</v>
      </c>
      <c r="O1001" s="4" t="s">
        <v>2354</v>
      </c>
      <c r="P1001" s="4" t="s">
        <v>2327</v>
      </c>
    </row>
    <row r="1002" customFormat="false" ht="15" hidden="false" customHeight="false" outlineLevel="0" collapsed="false">
      <c r="A1002" s="4" t="s">
        <v>2779</v>
      </c>
      <c r="B1002" s="5" t="n">
        <v>45821</v>
      </c>
      <c r="C1002" s="5" t="n">
        <v>45822</v>
      </c>
      <c r="D1002" s="4" t="s">
        <v>2375</v>
      </c>
      <c r="E1002" s="4" t="s">
        <v>325</v>
      </c>
      <c r="F1002" s="4" t="s">
        <v>376</v>
      </c>
      <c r="G1002" s="4" t="s">
        <v>59</v>
      </c>
      <c r="H1002" s="4" t="n">
        <v>2</v>
      </c>
      <c r="I1002" s="4" t="n">
        <v>287.5</v>
      </c>
      <c r="J1002" s="4" t="s">
        <v>149</v>
      </c>
      <c r="K1002" s="4" t="s">
        <v>2538</v>
      </c>
      <c r="L1002" s="4" t="s">
        <v>376</v>
      </c>
      <c r="M1002" s="4" t="s">
        <v>377</v>
      </c>
      <c r="N1002" s="4" t="s">
        <v>44</v>
      </c>
      <c r="O1002" s="4" t="s">
        <v>2539</v>
      </c>
      <c r="P1002" s="4" t="s">
        <v>2327</v>
      </c>
    </row>
    <row r="1003" customFormat="false" ht="15" hidden="false" customHeight="false" outlineLevel="0" collapsed="false">
      <c r="A1003" s="4" t="s">
        <v>2780</v>
      </c>
      <c r="B1003" s="5" t="n">
        <v>45821</v>
      </c>
      <c r="C1003" s="5" t="n">
        <v>45822</v>
      </c>
      <c r="D1003" s="4" t="s">
        <v>2375</v>
      </c>
      <c r="E1003" s="4" t="s">
        <v>306</v>
      </c>
      <c r="F1003" s="4" t="s">
        <v>376</v>
      </c>
      <c r="G1003" s="4" t="s">
        <v>59</v>
      </c>
      <c r="H1003" s="4" t="n">
        <v>2</v>
      </c>
      <c r="I1003" s="4" t="n">
        <v>357.5</v>
      </c>
      <c r="J1003" s="4" t="s">
        <v>40</v>
      </c>
      <c r="K1003" s="4" t="s">
        <v>2781</v>
      </c>
      <c r="L1003" s="4" t="s">
        <v>376</v>
      </c>
      <c r="M1003" s="4" t="s">
        <v>377</v>
      </c>
      <c r="N1003" s="4" t="s">
        <v>94</v>
      </c>
      <c r="O1003" s="4" t="s">
        <v>2782</v>
      </c>
      <c r="P1003" s="4" t="s">
        <v>2327</v>
      </c>
    </row>
    <row r="1004" customFormat="false" ht="15" hidden="false" customHeight="false" outlineLevel="0" collapsed="false">
      <c r="A1004" s="4" t="s">
        <v>2783</v>
      </c>
      <c r="B1004" s="5" t="n">
        <v>45821</v>
      </c>
      <c r="C1004" s="5" t="n">
        <v>45822</v>
      </c>
      <c r="D1004" s="4" t="s">
        <v>2375</v>
      </c>
      <c r="E1004" s="4" t="s">
        <v>306</v>
      </c>
      <c r="F1004" s="4" t="s">
        <v>376</v>
      </c>
      <c r="G1004" s="4" t="s">
        <v>38</v>
      </c>
      <c r="H1004" s="4" t="n">
        <v>1</v>
      </c>
      <c r="I1004" s="4" t="n">
        <v>670</v>
      </c>
      <c r="J1004" s="4" t="s">
        <v>68</v>
      </c>
      <c r="K1004" s="4" t="s">
        <v>2784</v>
      </c>
      <c r="L1004" s="4" t="s">
        <v>571</v>
      </c>
      <c r="M1004" s="4" t="s">
        <v>356</v>
      </c>
      <c r="N1004" s="4" t="s">
        <v>357</v>
      </c>
      <c r="O1004" s="4"/>
      <c r="P1004" s="4" t="s">
        <v>2327</v>
      </c>
    </row>
    <row r="1005" customFormat="false" ht="15" hidden="false" customHeight="false" outlineLevel="0" collapsed="false">
      <c r="A1005" s="4" t="s">
        <v>2785</v>
      </c>
      <c r="B1005" s="5" t="n">
        <v>45821</v>
      </c>
      <c r="C1005" s="5" t="n">
        <v>45822</v>
      </c>
      <c r="D1005" s="4" t="s">
        <v>2375</v>
      </c>
      <c r="E1005" s="4" t="s">
        <v>306</v>
      </c>
      <c r="F1005" s="4" t="s">
        <v>2362</v>
      </c>
      <c r="G1005" s="4" t="s">
        <v>59</v>
      </c>
      <c r="H1005" s="4" t="n">
        <v>1</v>
      </c>
      <c r="I1005" s="4" t="n">
        <v>212.5</v>
      </c>
      <c r="J1005" s="4" t="s">
        <v>68</v>
      </c>
      <c r="K1005" s="4" t="s">
        <v>2645</v>
      </c>
      <c r="L1005" s="4" t="s">
        <v>376</v>
      </c>
      <c r="M1005" s="4" t="s">
        <v>377</v>
      </c>
      <c r="N1005" s="4" t="s">
        <v>44</v>
      </c>
      <c r="O1005" s="4" t="s">
        <v>2646</v>
      </c>
      <c r="P1005" s="4" t="s">
        <v>2327</v>
      </c>
    </row>
    <row r="1006" customFormat="false" ht="15" hidden="false" customHeight="false" outlineLevel="0" collapsed="false">
      <c r="A1006" s="4" t="s">
        <v>2786</v>
      </c>
      <c r="B1006" s="5" t="n">
        <v>45821</v>
      </c>
      <c r="C1006" s="5" t="n">
        <v>45822</v>
      </c>
      <c r="D1006" s="4" t="s">
        <v>2375</v>
      </c>
      <c r="E1006" s="4" t="s">
        <v>306</v>
      </c>
      <c r="F1006" s="4" t="s">
        <v>376</v>
      </c>
      <c r="G1006" s="4" t="s">
        <v>59</v>
      </c>
      <c r="H1006" s="4" t="n">
        <v>2</v>
      </c>
      <c r="I1006" s="4" t="n">
        <v>205</v>
      </c>
      <c r="J1006" s="4" t="s">
        <v>149</v>
      </c>
      <c r="K1006" s="4" t="s">
        <v>2787</v>
      </c>
      <c r="L1006" s="4" t="s">
        <v>862</v>
      </c>
      <c r="M1006" s="4" t="s">
        <v>356</v>
      </c>
      <c r="N1006" s="4" t="s">
        <v>863</v>
      </c>
      <c r="O1006" s="4"/>
      <c r="P1006" s="4" t="s">
        <v>2327</v>
      </c>
    </row>
    <row r="1007" customFormat="false" ht="15" hidden="false" customHeight="false" outlineLevel="0" collapsed="false">
      <c r="A1007" s="4" t="s">
        <v>2788</v>
      </c>
      <c r="B1007" s="5" t="n">
        <v>45822</v>
      </c>
      <c r="C1007" s="5" t="n">
        <v>45822</v>
      </c>
      <c r="D1007" s="4" t="s">
        <v>2375</v>
      </c>
      <c r="E1007" s="4" t="s">
        <v>306</v>
      </c>
      <c r="F1007" s="4" t="s">
        <v>376</v>
      </c>
      <c r="G1007" s="4" t="s">
        <v>59</v>
      </c>
      <c r="H1007" s="4" t="n">
        <v>1</v>
      </c>
      <c r="I1007" s="4" t="n">
        <v>207.5</v>
      </c>
      <c r="J1007" s="4" t="s">
        <v>40</v>
      </c>
      <c r="K1007" s="4" t="s">
        <v>2789</v>
      </c>
      <c r="L1007" s="4" t="s">
        <v>529</v>
      </c>
      <c r="M1007" s="4" t="s">
        <v>530</v>
      </c>
      <c r="N1007" s="4" t="s">
        <v>44</v>
      </c>
      <c r="O1007" s="4" t="s">
        <v>2790</v>
      </c>
      <c r="P1007" s="4" t="s">
        <v>2327</v>
      </c>
    </row>
    <row r="1008" customFormat="false" ht="15" hidden="false" customHeight="false" outlineLevel="0" collapsed="false">
      <c r="A1008" s="4" t="s">
        <v>2791</v>
      </c>
      <c r="B1008" s="5" t="n">
        <v>45822</v>
      </c>
      <c r="C1008" s="5" t="n">
        <v>45822</v>
      </c>
      <c r="D1008" s="4" t="s">
        <v>2375</v>
      </c>
      <c r="E1008" s="4" t="s">
        <v>325</v>
      </c>
      <c r="F1008" s="4" t="s">
        <v>376</v>
      </c>
      <c r="G1008" s="4" t="s">
        <v>38</v>
      </c>
      <c r="H1008" s="4" t="n">
        <v>2</v>
      </c>
      <c r="I1008" s="4" t="n">
        <v>240</v>
      </c>
      <c r="J1008" s="4" t="s">
        <v>40</v>
      </c>
      <c r="K1008" s="4" t="s">
        <v>2792</v>
      </c>
      <c r="L1008" s="4" t="s">
        <v>2384</v>
      </c>
      <c r="M1008" s="4" t="s">
        <v>377</v>
      </c>
      <c r="N1008" s="4" t="s">
        <v>44</v>
      </c>
      <c r="O1008" s="4" t="s">
        <v>2793</v>
      </c>
      <c r="P1008" s="4" t="s">
        <v>2327</v>
      </c>
    </row>
    <row r="1009" customFormat="false" ht="15" hidden="false" customHeight="false" outlineLevel="0" collapsed="false">
      <c r="A1009" s="4" t="s">
        <v>2794</v>
      </c>
      <c r="B1009" s="5" t="n">
        <v>45822</v>
      </c>
      <c r="C1009" s="5" t="n">
        <v>45822</v>
      </c>
      <c r="D1009" s="4" t="s">
        <v>2375</v>
      </c>
      <c r="E1009" s="4" t="s">
        <v>325</v>
      </c>
      <c r="F1009" s="4" t="s">
        <v>376</v>
      </c>
      <c r="G1009" s="4" t="s">
        <v>59</v>
      </c>
      <c r="H1009" s="4" t="n">
        <v>3</v>
      </c>
      <c r="I1009" s="4" t="n">
        <v>205</v>
      </c>
      <c r="J1009" s="4" t="s">
        <v>81</v>
      </c>
      <c r="K1009" s="4" t="s">
        <v>2324</v>
      </c>
      <c r="L1009" s="4" t="s">
        <v>376</v>
      </c>
      <c r="M1009" s="4" t="s">
        <v>377</v>
      </c>
      <c r="N1009" s="4" t="s">
        <v>44</v>
      </c>
      <c r="O1009" s="4" t="s">
        <v>2326</v>
      </c>
      <c r="P1009" s="4" t="s">
        <v>2327</v>
      </c>
    </row>
    <row r="1010" customFormat="false" ht="15" hidden="false" customHeight="false" outlineLevel="0" collapsed="false">
      <c r="A1010" s="4" t="s">
        <v>2795</v>
      </c>
      <c r="B1010" s="5" t="n">
        <v>45822</v>
      </c>
      <c r="C1010" s="5" t="n">
        <v>45822</v>
      </c>
      <c r="D1010" s="4" t="s">
        <v>2375</v>
      </c>
      <c r="E1010" s="4" t="s">
        <v>306</v>
      </c>
      <c r="F1010" s="4" t="s">
        <v>376</v>
      </c>
      <c r="G1010" s="4" t="s">
        <v>38</v>
      </c>
      <c r="H1010" s="4" t="n">
        <v>2</v>
      </c>
      <c r="I1010" s="4" t="n">
        <v>645</v>
      </c>
      <c r="J1010" s="4" t="s">
        <v>149</v>
      </c>
      <c r="K1010" s="4" t="s">
        <v>2590</v>
      </c>
      <c r="L1010" s="4" t="s">
        <v>376</v>
      </c>
      <c r="M1010" s="4" t="s">
        <v>377</v>
      </c>
      <c r="N1010" s="4" t="s">
        <v>44</v>
      </c>
      <c r="O1010" s="4" t="s">
        <v>2591</v>
      </c>
      <c r="P1010" s="4" t="s">
        <v>2327</v>
      </c>
    </row>
    <row r="1011" customFormat="false" ht="15" hidden="false" customHeight="false" outlineLevel="0" collapsed="false">
      <c r="A1011" s="4" t="s">
        <v>2796</v>
      </c>
      <c r="B1011" s="5" t="n">
        <v>45824</v>
      </c>
      <c r="C1011" s="5" t="n">
        <v>45827</v>
      </c>
      <c r="D1011" s="4" t="s">
        <v>2322</v>
      </c>
      <c r="E1011" s="4" t="s">
        <v>36</v>
      </c>
      <c r="F1011" s="4" t="s">
        <v>376</v>
      </c>
      <c r="G1011" s="4" t="s">
        <v>38</v>
      </c>
      <c r="H1011" s="4" t="n">
        <v>1</v>
      </c>
      <c r="I1011" s="4" t="n">
        <v>40</v>
      </c>
      <c r="J1011" s="4" t="s">
        <v>40</v>
      </c>
      <c r="K1011" s="4" t="s">
        <v>2392</v>
      </c>
      <c r="L1011" s="4" t="s">
        <v>376</v>
      </c>
      <c r="M1011" s="4" t="s">
        <v>377</v>
      </c>
      <c r="N1011" s="4" t="s">
        <v>44</v>
      </c>
      <c r="O1011" s="4" t="s">
        <v>2393</v>
      </c>
      <c r="P1011" s="4" t="s">
        <v>2327</v>
      </c>
    </row>
    <row r="1012" customFormat="false" ht="15" hidden="false" customHeight="false" outlineLevel="0" collapsed="false">
      <c r="A1012" s="4" t="s">
        <v>2797</v>
      </c>
      <c r="B1012" s="5" t="n">
        <v>45826</v>
      </c>
      <c r="C1012" s="5" t="n">
        <v>45828</v>
      </c>
      <c r="D1012" s="4" t="s">
        <v>2322</v>
      </c>
      <c r="E1012" s="4" t="s">
        <v>36</v>
      </c>
      <c r="F1012" s="4" t="s">
        <v>376</v>
      </c>
      <c r="G1012" s="4" t="s">
        <v>38</v>
      </c>
      <c r="H1012" s="4" t="n">
        <v>3</v>
      </c>
      <c r="I1012" s="4" t="n">
        <v>45</v>
      </c>
      <c r="J1012" s="4" t="s">
        <v>149</v>
      </c>
      <c r="K1012" s="4" t="s">
        <v>2798</v>
      </c>
      <c r="L1012" s="4" t="s">
        <v>376</v>
      </c>
      <c r="M1012" s="4" t="s">
        <v>1412</v>
      </c>
      <c r="N1012" s="4" t="s">
        <v>44</v>
      </c>
      <c r="O1012" s="4" t="s">
        <v>2799</v>
      </c>
      <c r="P1012" s="4" t="s">
        <v>2327</v>
      </c>
    </row>
    <row r="1013" customFormat="false" ht="15" hidden="false" customHeight="false" outlineLevel="0" collapsed="false">
      <c r="A1013" s="4" t="s">
        <v>2800</v>
      </c>
      <c r="B1013" s="5" t="n">
        <v>45828</v>
      </c>
      <c r="C1013" s="5" t="n">
        <v>45831</v>
      </c>
      <c r="D1013" s="4" t="s">
        <v>2322</v>
      </c>
      <c r="E1013" s="4" t="s">
        <v>57</v>
      </c>
      <c r="F1013" s="4" t="s">
        <v>2362</v>
      </c>
      <c r="G1013" s="4" t="s">
        <v>38</v>
      </c>
      <c r="H1013" s="4" t="n">
        <v>1</v>
      </c>
      <c r="I1013" s="4" t="n">
        <v>35</v>
      </c>
      <c r="J1013" s="4" t="s">
        <v>40</v>
      </c>
      <c r="K1013" s="4" t="s">
        <v>2577</v>
      </c>
      <c r="L1013" s="4" t="s">
        <v>376</v>
      </c>
      <c r="M1013" s="4" t="s">
        <v>377</v>
      </c>
      <c r="N1013" s="4" t="s">
        <v>185</v>
      </c>
      <c r="O1013" s="4" t="s">
        <v>2578</v>
      </c>
      <c r="P1013" s="4" t="s">
        <v>2327</v>
      </c>
    </row>
    <row r="1014" customFormat="false" ht="15" hidden="false" customHeight="false" outlineLevel="0" collapsed="false">
      <c r="A1014" s="4" t="s">
        <v>2801</v>
      </c>
      <c r="B1014" s="5" t="n">
        <v>45831</v>
      </c>
      <c r="C1014" s="5" t="n">
        <v>45832</v>
      </c>
      <c r="D1014" s="4" t="s">
        <v>2322</v>
      </c>
      <c r="E1014" s="4" t="s">
        <v>36</v>
      </c>
      <c r="F1014" s="4" t="s">
        <v>2323</v>
      </c>
      <c r="G1014" s="4" t="s">
        <v>59</v>
      </c>
      <c r="H1014" s="4" t="n">
        <v>1</v>
      </c>
      <c r="I1014" s="4" t="n">
        <v>17.5</v>
      </c>
      <c r="J1014" s="4" t="s">
        <v>81</v>
      </c>
      <c r="K1014" s="4" t="s">
        <v>2802</v>
      </c>
      <c r="L1014" s="4" t="s">
        <v>376</v>
      </c>
      <c r="M1014" s="4" t="s">
        <v>377</v>
      </c>
      <c r="N1014" s="4" t="s">
        <v>44</v>
      </c>
      <c r="O1014" s="4" t="s">
        <v>2803</v>
      </c>
      <c r="P1014" s="4" t="s">
        <v>2327</v>
      </c>
    </row>
    <row r="1015" customFormat="false" ht="15" hidden="false" customHeight="false" outlineLevel="0" collapsed="false">
      <c r="A1015" s="4" t="s">
        <v>2804</v>
      </c>
      <c r="B1015" s="5" t="n">
        <v>45834</v>
      </c>
      <c r="C1015" s="5" t="n">
        <v>45835</v>
      </c>
      <c r="D1015" s="4" t="s">
        <v>2322</v>
      </c>
      <c r="E1015" s="4" t="s">
        <v>36</v>
      </c>
      <c r="F1015" s="4" t="s">
        <v>2332</v>
      </c>
      <c r="G1015" s="4" t="s">
        <v>38</v>
      </c>
      <c r="H1015" s="4" t="n">
        <v>2</v>
      </c>
      <c r="I1015" s="4" t="n">
        <v>35</v>
      </c>
      <c r="J1015" s="4" t="s">
        <v>40</v>
      </c>
      <c r="K1015" s="4" t="s">
        <v>2574</v>
      </c>
      <c r="L1015" s="4" t="s">
        <v>376</v>
      </c>
      <c r="M1015" s="4" t="s">
        <v>1412</v>
      </c>
      <c r="N1015" s="4" t="s">
        <v>44</v>
      </c>
      <c r="O1015" s="4" t="s">
        <v>2575</v>
      </c>
      <c r="P1015" s="4" t="s">
        <v>2327</v>
      </c>
    </row>
    <row r="1016" customFormat="false" ht="15" hidden="false" customHeight="false" outlineLevel="0" collapsed="false">
      <c r="A1016" s="4" t="s">
        <v>2805</v>
      </c>
      <c r="B1016" s="5" t="n">
        <v>45835</v>
      </c>
      <c r="C1016" s="5" t="n">
        <v>45837</v>
      </c>
      <c r="D1016" s="4" t="s">
        <v>2322</v>
      </c>
      <c r="E1016" s="4" t="s">
        <v>49</v>
      </c>
      <c r="F1016" s="4" t="s">
        <v>376</v>
      </c>
      <c r="G1016" s="4" t="s">
        <v>38</v>
      </c>
      <c r="H1016" s="4" t="n">
        <v>1</v>
      </c>
      <c r="I1016" s="4" t="n">
        <v>30</v>
      </c>
      <c r="J1016" s="4" t="s">
        <v>68</v>
      </c>
      <c r="K1016" s="4" t="s">
        <v>2409</v>
      </c>
      <c r="L1016" s="4" t="s">
        <v>376</v>
      </c>
      <c r="M1016" s="4" t="s">
        <v>377</v>
      </c>
      <c r="N1016" s="4" t="s">
        <v>52</v>
      </c>
      <c r="O1016" s="4" t="s">
        <v>2410</v>
      </c>
      <c r="P1016" s="4" t="s">
        <v>2327</v>
      </c>
    </row>
    <row r="1017" customFormat="false" ht="15" hidden="false" customHeight="false" outlineLevel="0" collapsed="false">
      <c r="A1017" s="4" t="s">
        <v>2806</v>
      </c>
      <c r="B1017" s="5" t="n">
        <v>45837</v>
      </c>
      <c r="C1017" s="5" t="n">
        <v>45839</v>
      </c>
      <c r="D1017" s="4" t="s">
        <v>2322</v>
      </c>
      <c r="E1017" s="4" t="s">
        <v>57</v>
      </c>
      <c r="F1017" s="4" t="s">
        <v>376</v>
      </c>
      <c r="G1017" s="4" t="s">
        <v>38</v>
      </c>
      <c r="H1017" s="4" t="n">
        <v>0</v>
      </c>
      <c r="I1017" s="4" t="n">
        <v>35</v>
      </c>
      <c r="J1017" s="4" t="s">
        <v>40</v>
      </c>
      <c r="K1017" s="4" t="s">
        <v>2583</v>
      </c>
      <c r="L1017" s="4" t="s">
        <v>376</v>
      </c>
      <c r="M1017" s="4" t="s">
        <v>377</v>
      </c>
      <c r="N1017" s="4" t="s">
        <v>94</v>
      </c>
      <c r="O1017" s="4" t="s">
        <v>2584</v>
      </c>
      <c r="P1017" s="4" t="s">
        <v>2327</v>
      </c>
    </row>
    <row r="1018" customFormat="false" ht="15" hidden="false" customHeight="false" outlineLevel="0" collapsed="false">
      <c r="A1018" s="4" t="s">
        <v>2807</v>
      </c>
      <c r="B1018" s="5" t="n">
        <v>45839</v>
      </c>
      <c r="C1018" s="5" t="n">
        <v>45840</v>
      </c>
      <c r="D1018" s="4" t="s">
        <v>2322</v>
      </c>
      <c r="E1018" s="4" t="s">
        <v>36</v>
      </c>
      <c r="F1018" s="4" t="s">
        <v>376</v>
      </c>
      <c r="G1018" s="4" t="s">
        <v>38</v>
      </c>
      <c r="H1018" s="4" t="n">
        <v>4</v>
      </c>
      <c r="I1018" s="4" t="n">
        <v>35</v>
      </c>
      <c r="J1018" s="4" t="s">
        <v>68</v>
      </c>
      <c r="K1018" s="4" t="s">
        <v>2808</v>
      </c>
      <c r="L1018" s="4" t="s">
        <v>1172</v>
      </c>
      <c r="M1018" s="4" t="s">
        <v>377</v>
      </c>
      <c r="N1018" s="4" t="s">
        <v>44</v>
      </c>
      <c r="O1018" s="4" t="s">
        <v>2809</v>
      </c>
      <c r="P1018" s="4" t="s">
        <v>2327</v>
      </c>
    </row>
    <row r="1019" customFormat="false" ht="15" hidden="false" customHeight="false" outlineLevel="0" collapsed="false">
      <c r="A1019" s="4" t="s">
        <v>2810</v>
      </c>
      <c r="B1019" s="5" t="n">
        <v>45841</v>
      </c>
      <c r="C1019" s="5" t="n">
        <v>45841</v>
      </c>
      <c r="D1019" s="4" t="s">
        <v>2322</v>
      </c>
      <c r="E1019" s="4" t="s">
        <v>36</v>
      </c>
      <c r="F1019" s="4" t="s">
        <v>376</v>
      </c>
      <c r="G1019" s="4" t="s">
        <v>59</v>
      </c>
      <c r="H1019" s="4" t="n">
        <v>2</v>
      </c>
      <c r="I1019" s="4" t="n">
        <v>22.5</v>
      </c>
      <c r="J1019" s="4" t="s">
        <v>68</v>
      </c>
      <c r="K1019" s="4" t="s">
        <v>2811</v>
      </c>
      <c r="L1019" s="4" t="s">
        <v>376</v>
      </c>
      <c r="M1019" s="4" t="s">
        <v>377</v>
      </c>
      <c r="N1019" s="4" t="s">
        <v>44</v>
      </c>
      <c r="O1019" s="4" t="s">
        <v>2812</v>
      </c>
      <c r="P1019" s="4" t="s">
        <v>2327</v>
      </c>
    </row>
    <row r="1020" customFormat="false" ht="15" hidden="false" customHeight="false" outlineLevel="0" collapsed="false">
      <c r="A1020" s="4" t="s">
        <v>2813</v>
      </c>
      <c r="B1020" s="5" t="n">
        <v>45843</v>
      </c>
      <c r="C1020" s="5" t="n">
        <v>45843</v>
      </c>
      <c r="D1020" s="4" t="s">
        <v>2322</v>
      </c>
      <c r="E1020" s="4" t="s">
        <v>89</v>
      </c>
      <c r="F1020" s="4" t="s">
        <v>2362</v>
      </c>
      <c r="G1020" s="4" t="s">
        <v>38</v>
      </c>
      <c r="H1020" s="4" t="n">
        <v>2</v>
      </c>
      <c r="I1020" s="4" t="n">
        <v>50</v>
      </c>
      <c r="J1020" s="4" t="s">
        <v>68</v>
      </c>
      <c r="K1020" s="4" t="s">
        <v>2614</v>
      </c>
      <c r="L1020" s="4" t="s">
        <v>376</v>
      </c>
      <c r="M1020" s="4" t="s">
        <v>377</v>
      </c>
      <c r="N1020" s="4" t="s">
        <v>52</v>
      </c>
      <c r="O1020" s="4" t="s">
        <v>2615</v>
      </c>
      <c r="P1020" s="4" t="s">
        <v>2327</v>
      </c>
    </row>
    <row r="1021" customFormat="false" ht="15" hidden="false" customHeight="false" outlineLevel="0" collapsed="false">
      <c r="A1021" s="4" t="s">
        <v>2814</v>
      </c>
      <c r="B1021" s="5" t="n">
        <v>45844</v>
      </c>
      <c r="C1021" s="5" t="n">
        <v>45845</v>
      </c>
      <c r="D1021" s="4" t="s">
        <v>2322</v>
      </c>
      <c r="E1021" s="4" t="s">
        <v>36</v>
      </c>
      <c r="F1021" s="4" t="s">
        <v>376</v>
      </c>
      <c r="G1021" s="4" t="s">
        <v>59</v>
      </c>
      <c r="H1021" s="4" t="n">
        <v>4</v>
      </c>
      <c r="I1021" s="4" t="n">
        <v>17.5</v>
      </c>
      <c r="J1021" s="4" t="s">
        <v>81</v>
      </c>
      <c r="K1021" s="4" t="s">
        <v>2712</v>
      </c>
      <c r="L1021" s="4" t="s">
        <v>376</v>
      </c>
      <c r="M1021" s="4" t="s">
        <v>377</v>
      </c>
      <c r="N1021" s="4" t="s">
        <v>44</v>
      </c>
      <c r="O1021" s="4" t="s">
        <v>2713</v>
      </c>
      <c r="P1021" s="4" t="s">
        <v>2327</v>
      </c>
    </row>
    <row r="1022" customFormat="false" ht="15" hidden="false" customHeight="false" outlineLevel="0" collapsed="false">
      <c r="A1022" s="4" t="s">
        <v>2815</v>
      </c>
      <c r="B1022" s="5" t="n">
        <v>45848</v>
      </c>
      <c r="C1022" s="5" t="n">
        <v>45848</v>
      </c>
      <c r="D1022" s="4" t="s">
        <v>2322</v>
      </c>
      <c r="E1022" s="4" t="s">
        <v>36</v>
      </c>
      <c r="F1022" s="4" t="s">
        <v>376</v>
      </c>
      <c r="G1022" s="4" t="s">
        <v>38</v>
      </c>
      <c r="H1022" s="4" t="n">
        <v>2</v>
      </c>
      <c r="I1022" s="4" t="n">
        <v>35</v>
      </c>
      <c r="J1022" s="4" t="s">
        <v>81</v>
      </c>
      <c r="K1022" s="4" t="s">
        <v>2816</v>
      </c>
      <c r="L1022" s="4" t="s">
        <v>376</v>
      </c>
      <c r="M1022" s="4" t="s">
        <v>377</v>
      </c>
      <c r="N1022" s="4" t="s">
        <v>44</v>
      </c>
      <c r="O1022" s="4" t="s">
        <v>2817</v>
      </c>
      <c r="P1022" s="4" t="s">
        <v>2327</v>
      </c>
    </row>
    <row r="1023" customFormat="false" ht="15" hidden="false" customHeight="false" outlineLevel="0" collapsed="false">
      <c r="A1023" s="4" t="s">
        <v>2818</v>
      </c>
      <c r="B1023" s="5" t="n">
        <v>45850</v>
      </c>
      <c r="C1023" s="5" t="n">
        <v>45850</v>
      </c>
      <c r="D1023" s="4" t="s">
        <v>2322</v>
      </c>
      <c r="E1023" s="4" t="s">
        <v>36</v>
      </c>
      <c r="F1023" s="4" t="s">
        <v>376</v>
      </c>
      <c r="G1023" s="4" t="s">
        <v>38</v>
      </c>
      <c r="H1023" s="4" t="n">
        <v>1</v>
      </c>
      <c r="I1023" s="4" t="n">
        <v>40</v>
      </c>
      <c r="J1023" s="4" t="s">
        <v>68</v>
      </c>
      <c r="K1023" s="4" t="s">
        <v>2819</v>
      </c>
      <c r="L1023" s="4" t="s">
        <v>376</v>
      </c>
      <c r="M1023" s="4" t="s">
        <v>1412</v>
      </c>
      <c r="N1023" s="4" t="s">
        <v>44</v>
      </c>
      <c r="O1023" s="4" t="s">
        <v>2820</v>
      </c>
      <c r="P1023" s="4" t="s">
        <v>2327</v>
      </c>
    </row>
    <row r="1024" customFormat="false" ht="15" hidden="false" customHeight="false" outlineLevel="0" collapsed="false">
      <c r="A1024" s="4" t="s">
        <v>2821</v>
      </c>
      <c r="B1024" s="5" t="n">
        <v>45851</v>
      </c>
      <c r="C1024" s="5" t="n">
        <v>45853</v>
      </c>
      <c r="D1024" s="4" t="s">
        <v>2322</v>
      </c>
      <c r="E1024" s="4" t="s">
        <v>49</v>
      </c>
      <c r="F1024" s="4" t="s">
        <v>2332</v>
      </c>
      <c r="G1024" s="4" t="s">
        <v>38</v>
      </c>
      <c r="H1024" s="4" t="n">
        <v>4</v>
      </c>
      <c r="I1024" s="4" t="n">
        <v>30</v>
      </c>
      <c r="J1024" s="4" t="s">
        <v>68</v>
      </c>
      <c r="K1024" s="4" t="s">
        <v>1283</v>
      </c>
      <c r="L1024" s="4" t="s">
        <v>376</v>
      </c>
      <c r="M1024" s="4" t="s">
        <v>377</v>
      </c>
      <c r="N1024" s="4" t="s">
        <v>44</v>
      </c>
      <c r="O1024" s="4" t="s">
        <v>1284</v>
      </c>
      <c r="P1024" s="4" t="s">
        <v>2327</v>
      </c>
    </row>
    <row r="1025" customFormat="false" ht="15" hidden="false" customHeight="false" outlineLevel="0" collapsed="false">
      <c r="A1025" s="4" t="s">
        <v>2822</v>
      </c>
      <c r="B1025" s="5" t="n">
        <v>45852</v>
      </c>
      <c r="C1025" s="5" t="n">
        <v>45855</v>
      </c>
      <c r="D1025" s="4" t="s">
        <v>2322</v>
      </c>
      <c r="E1025" s="4" t="s">
        <v>36</v>
      </c>
      <c r="F1025" s="4" t="s">
        <v>2332</v>
      </c>
      <c r="G1025" s="4" t="s">
        <v>59</v>
      </c>
      <c r="H1025" s="4" t="n">
        <v>2</v>
      </c>
      <c r="I1025" s="4" t="n">
        <v>17.5</v>
      </c>
      <c r="J1025" s="4" t="s">
        <v>40</v>
      </c>
      <c r="K1025" s="4" t="s">
        <v>2334</v>
      </c>
      <c r="L1025" s="4" t="s">
        <v>376</v>
      </c>
      <c r="M1025" s="4" t="s">
        <v>377</v>
      </c>
      <c r="N1025" s="4" t="s">
        <v>185</v>
      </c>
      <c r="O1025" s="4" t="s">
        <v>2335</v>
      </c>
      <c r="P1025" s="4" t="s">
        <v>2327</v>
      </c>
    </row>
    <row r="1026" customFormat="false" ht="15" hidden="false" customHeight="false" outlineLevel="0" collapsed="false">
      <c r="A1026" s="4" t="s">
        <v>2823</v>
      </c>
      <c r="B1026" s="5" t="n">
        <v>45852</v>
      </c>
      <c r="C1026" s="5" t="n">
        <v>45852</v>
      </c>
      <c r="D1026" s="4" t="s">
        <v>2322</v>
      </c>
      <c r="E1026" s="4" t="s">
        <v>57</v>
      </c>
      <c r="F1026" s="4" t="s">
        <v>376</v>
      </c>
      <c r="G1026" s="4" t="s">
        <v>38</v>
      </c>
      <c r="H1026" s="4" t="n">
        <v>1</v>
      </c>
      <c r="I1026" s="4" t="n">
        <v>40</v>
      </c>
      <c r="J1026" s="4" t="s">
        <v>149</v>
      </c>
      <c r="K1026" s="4" t="s">
        <v>2669</v>
      </c>
      <c r="L1026" s="4" t="s">
        <v>376</v>
      </c>
      <c r="M1026" s="4" t="s">
        <v>377</v>
      </c>
      <c r="N1026" s="4" t="s">
        <v>94</v>
      </c>
      <c r="O1026" s="4" t="s">
        <v>2670</v>
      </c>
      <c r="P1026" s="4" t="s">
        <v>2327</v>
      </c>
    </row>
    <row r="1027" customFormat="false" ht="15" hidden="false" customHeight="false" outlineLevel="0" collapsed="false">
      <c r="A1027" s="4" t="s">
        <v>2824</v>
      </c>
      <c r="B1027" s="5" t="n">
        <v>45853</v>
      </c>
      <c r="C1027" s="5" t="n">
        <v>45853</v>
      </c>
      <c r="D1027" s="4" t="s">
        <v>2322</v>
      </c>
      <c r="E1027" s="4" t="s">
        <v>36</v>
      </c>
      <c r="F1027" s="4" t="s">
        <v>376</v>
      </c>
      <c r="G1027" s="4" t="s">
        <v>59</v>
      </c>
      <c r="H1027" s="4" t="n">
        <v>2</v>
      </c>
      <c r="I1027" s="4" t="n">
        <v>15</v>
      </c>
      <c r="J1027" s="4" t="s">
        <v>68</v>
      </c>
      <c r="K1027" s="4" t="s">
        <v>2543</v>
      </c>
      <c r="L1027" s="4" t="s">
        <v>376</v>
      </c>
      <c r="M1027" s="4" t="s">
        <v>377</v>
      </c>
      <c r="N1027" s="4" t="s">
        <v>44</v>
      </c>
      <c r="O1027" s="4" t="s">
        <v>2544</v>
      </c>
      <c r="P1027" s="4" t="s">
        <v>2327</v>
      </c>
    </row>
    <row r="1028" customFormat="false" ht="15" hidden="false" customHeight="false" outlineLevel="0" collapsed="false">
      <c r="A1028" s="4" t="s">
        <v>2825</v>
      </c>
      <c r="B1028" s="5" t="n">
        <v>45853</v>
      </c>
      <c r="C1028" s="5" t="n">
        <v>45855</v>
      </c>
      <c r="D1028" s="4" t="s">
        <v>2322</v>
      </c>
      <c r="E1028" s="4" t="s">
        <v>89</v>
      </c>
      <c r="F1028" s="4" t="s">
        <v>376</v>
      </c>
      <c r="G1028" s="4" t="s">
        <v>59</v>
      </c>
      <c r="H1028" s="4" t="n">
        <v>2</v>
      </c>
      <c r="I1028" s="4" t="n">
        <v>22.5</v>
      </c>
      <c r="J1028" s="4" t="s">
        <v>68</v>
      </c>
      <c r="K1028" s="4" t="s">
        <v>2826</v>
      </c>
      <c r="L1028" s="4" t="s">
        <v>376</v>
      </c>
      <c r="M1028" s="4" t="s">
        <v>377</v>
      </c>
      <c r="N1028" s="4" t="s">
        <v>44</v>
      </c>
      <c r="O1028" s="4" t="s">
        <v>2827</v>
      </c>
      <c r="P1028" s="4" t="s">
        <v>2327</v>
      </c>
    </row>
    <row r="1029" customFormat="false" ht="15" hidden="false" customHeight="false" outlineLevel="0" collapsed="false">
      <c r="A1029" s="4" t="s">
        <v>2828</v>
      </c>
      <c r="B1029" s="5" t="n">
        <v>45858</v>
      </c>
      <c r="C1029" s="5" t="n">
        <v>45860</v>
      </c>
      <c r="D1029" s="4" t="s">
        <v>2322</v>
      </c>
      <c r="E1029" s="4" t="s">
        <v>49</v>
      </c>
      <c r="F1029" s="4" t="s">
        <v>2323</v>
      </c>
      <c r="G1029" s="4" t="s">
        <v>59</v>
      </c>
      <c r="H1029" s="4" t="n">
        <v>3</v>
      </c>
      <c r="I1029" s="4" t="n">
        <v>20</v>
      </c>
      <c r="J1029" s="4" t="s">
        <v>40</v>
      </c>
      <c r="K1029" s="4" t="s">
        <v>2693</v>
      </c>
      <c r="L1029" s="4" t="s">
        <v>2325</v>
      </c>
      <c r="M1029" s="4" t="s">
        <v>377</v>
      </c>
      <c r="N1029" s="4" t="s">
        <v>44</v>
      </c>
      <c r="O1029" s="4" t="s">
        <v>2694</v>
      </c>
      <c r="P1029" s="4" t="s">
        <v>2327</v>
      </c>
    </row>
    <row r="1030" customFormat="false" ht="15" hidden="false" customHeight="false" outlineLevel="0" collapsed="false">
      <c r="A1030" s="4" t="s">
        <v>2829</v>
      </c>
      <c r="B1030" s="5" t="n">
        <v>45870</v>
      </c>
      <c r="C1030" s="5" t="n">
        <v>45872</v>
      </c>
      <c r="D1030" s="4" t="s">
        <v>2322</v>
      </c>
      <c r="E1030" s="4" t="s">
        <v>36</v>
      </c>
      <c r="F1030" s="4" t="s">
        <v>376</v>
      </c>
      <c r="G1030" s="4" t="s">
        <v>59</v>
      </c>
      <c r="H1030" s="4" t="n">
        <v>1</v>
      </c>
      <c r="I1030" s="4" t="n">
        <v>17.5</v>
      </c>
      <c r="J1030" s="4" t="s">
        <v>68</v>
      </c>
      <c r="K1030" s="4" t="s">
        <v>2555</v>
      </c>
      <c r="L1030" s="4" t="s">
        <v>376</v>
      </c>
      <c r="M1030" s="4" t="s">
        <v>1412</v>
      </c>
      <c r="N1030" s="4" t="s">
        <v>44</v>
      </c>
      <c r="O1030" s="4" t="s">
        <v>2556</v>
      </c>
      <c r="P1030" s="4" t="s">
        <v>2327</v>
      </c>
    </row>
    <row r="1031" customFormat="false" ht="15" hidden="false" customHeight="false" outlineLevel="0" collapsed="false">
      <c r="A1031" s="4" t="s">
        <v>2830</v>
      </c>
      <c r="B1031" s="5" t="n">
        <v>45871</v>
      </c>
      <c r="C1031" s="5" t="n">
        <v>45871</v>
      </c>
      <c r="D1031" s="4" t="s">
        <v>2322</v>
      </c>
      <c r="E1031" s="4" t="s">
        <v>36</v>
      </c>
      <c r="F1031" s="4" t="s">
        <v>2323</v>
      </c>
      <c r="G1031" s="4" t="s">
        <v>38</v>
      </c>
      <c r="H1031" s="4" t="n">
        <v>2</v>
      </c>
      <c r="I1031" s="4" t="n">
        <v>30</v>
      </c>
      <c r="J1031" s="4" t="s">
        <v>40</v>
      </c>
      <c r="K1031" s="4" t="s">
        <v>2406</v>
      </c>
      <c r="L1031" s="4" t="s">
        <v>376</v>
      </c>
      <c r="M1031" s="4" t="s">
        <v>377</v>
      </c>
      <c r="N1031" s="4" t="s">
        <v>185</v>
      </c>
      <c r="O1031" s="4" t="s">
        <v>2407</v>
      </c>
      <c r="P1031" s="4" t="s">
        <v>2327</v>
      </c>
    </row>
    <row r="1032" customFormat="false" ht="15" hidden="false" customHeight="false" outlineLevel="0" collapsed="false">
      <c r="A1032" s="4" t="s">
        <v>2831</v>
      </c>
      <c r="B1032" s="5" t="n">
        <v>45872</v>
      </c>
      <c r="C1032" s="5" t="n">
        <v>45872</v>
      </c>
      <c r="D1032" s="4" t="s">
        <v>2322</v>
      </c>
      <c r="E1032" s="4" t="s">
        <v>89</v>
      </c>
      <c r="F1032" s="4" t="s">
        <v>2362</v>
      </c>
      <c r="G1032" s="4" t="s">
        <v>38</v>
      </c>
      <c r="H1032" s="4" t="n">
        <v>1</v>
      </c>
      <c r="I1032" s="4" t="n">
        <v>40</v>
      </c>
      <c r="J1032" s="4" t="s">
        <v>68</v>
      </c>
      <c r="K1032" s="4" t="s">
        <v>2485</v>
      </c>
      <c r="L1032" s="4" t="s">
        <v>1172</v>
      </c>
      <c r="M1032" s="4" t="s">
        <v>1412</v>
      </c>
      <c r="N1032" s="4" t="s">
        <v>44</v>
      </c>
      <c r="O1032" s="4" t="s">
        <v>2486</v>
      </c>
      <c r="P1032" s="4" t="s">
        <v>2327</v>
      </c>
    </row>
    <row r="1033" customFormat="false" ht="15" hidden="false" customHeight="false" outlineLevel="0" collapsed="false">
      <c r="A1033" s="4" t="s">
        <v>2832</v>
      </c>
      <c r="B1033" s="5" t="n">
        <v>45876</v>
      </c>
      <c r="C1033" s="5" t="n">
        <v>45877</v>
      </c>
      <c r="D1033" s="4" t="s">
        <v>2322</v>
      </c>
      <c r="E1033" s="4" t="s">
        <v>36</v>
      </c>
      <c r="F1033" s="4" t="s">
        <v>376</v>
      </c>
      <c r="G1033" s="4" t="s">
        <v>59</v>
      </c>
      <c r="H1033" s="4" t="n">
        <v>1</v>
      </c>
      <c r="I1033" s="4" t="n">
        <v>22.5</v>
      </c>
      <c r="J1033" s="4" t="s">
        <v>68</v>
      </c>
      <c r="K1033" s="4" t="s">
        <v>2406</v>
      </c>
      <c r="L1033" s="4" t="s">
        <v>376</v>
      </c>
      <c r="M1033" s="4" t="s">
        <v>377</v>
      </c>
      <c r="N1033" s="4" t="s">
        <v>44</v>
      </c>
      <c r="O1033" s="4" t="s">
        <v>2407</v>
      </c>
      <c r="P1033" s="4" t="s">
        <v>2327</v>
      </c>
    </row>
    <row r="1034" customFormat="false" ht="15" hidden="false" customHeight="false" outlineLevel="0" collapsed="false">
      <c r="A1034" s="4" t="s">
        <v>2833</v>
      </c>
      <c r="B1034" s="5" t="n">
        <v>45883</v>
      </c>
      <c r="C1034" s="5" t="n">
        <v>45886</v>
      </c>
      <c r="D1034" s="4" t="s">
        <v>2322</v>
      </c>
      <c r="E1034" s="4" t="s">
        <v>89</v>
      </c>
      <c r="F1034" s="4" t="s">
        <v>376</v>
      </c>
      <c r="G1034" s="4" t="s">
        <v>38</v>
      </c>
      <c r="H1034" s="4" t="n">
        <v>2</v>
      </c>
      <c r="I1034" s="4" t="n">
        <v>35</v>
      </c>
      <c r="J1034" s="4" t="s">
        <v>40</v>
      </c>
      <c r="K1034" s="4" t="s">
        <v>2555</v>
      </c>
      <c r="L1034" s="4" t="s">
        <v>376</v>
      </c>
      <c r="M1034" s="4" t="s">
        <v>377</v>
      </c>
      <c r="N1034" s="4" t="s">
        <v>94</v>
      </c>
      <c r="O1034" s="4" t="s">
        <v>2556</v>
      </c>
      <c r="P1034" s="4" t="s">
        <v>2327</v>
      </c>
    </row>
    <row r="1035" customFormat="false" ht="15" hidden="false" customHeight="false" outlineLevel="0" collapsed="false">
      <c r="A1035" s="4" t="s">
        <v>2834</v>
      </c>
      <c r="B1035" s="5" t="n">
        <v>45886</v>
      </c>
      <c r="C1035" s="5" t="n">
        <v>45887</v>
      </c>
      <c r="D1035" s="4" t="s">
        <v>2322</v>
      </c>
      <c r="E1035" s="4" t="s">
        <v>49</v>
      </c>
      <c r="F1035" s="4" t="s">
        <v>376</v>
      </c>
      <c r="G1035" s="4" t="s">
        <v>38</v>
      </c>
      <c r="H1035" s="4" t="n">
        <v>2</v>
      </c>
      <c r="I1035" s="4" t="n">
        <v>50</v>
      </c>
      <c r="J1035" s="4" t="s">
        <v>40</v>
      </c>
      <c r="K1035" s="4" t="s">
        <v>2434</v>
      </c>
      <c r="L1035" s="4" t="s">
        <v>376</v>
      </c>
      <c r="M1035" s="4" t="s">
        <v>377</v>
      </c>
      <c r="N1035" s="4" t="s">
        <v>44</v>
      </c>
      <c r="O1035" s="4" t="s">
        <v>2435</v>
      </c>
      <c r="P1035" s="4" t="s">
        <v>2327</v>
      </c>
    </row>
    <row r="1036" customFormat="false" ht="15" hidden="false" customHeight="false" outlineLevel="0" collapsed="false">
      <c r="A1036" s="4" t="s">
        <v>2835</v>
      </c>
      <c r="B1036" s="5" t="n">
        <v>45886</v>
      </c>
      <c r="C1036" s="5" t="n">
        <v>45886</v>
      </c>
      <c r="D1036" s="4" t="s">
        <v>2322</v>
      </c>
      <c r="E1036" s="4" t="s">
        <v>66</v>
      </c>
      <c r="F1036" s="4" t="s">
        <v>2332</v>
      </c>
      <c r="G1036" s="4" t="s">
        <v>59</v>
      </c>
      <c r="H1036" s="4" t="n">
        <v>3</v>
      </c>
      <c r="I1036" s="4" t="n">
        <v>20</v>
      </c>
      <c r="J1036" s="4" t="s">
        <v>40</v>
      </c>
      <c r="K1036" s="4" t="s">
        <v>2836</v>
      </c>
      <c r="L1036" s="4" t="s">
        <v>376</v>
      </c>
      <c r="M1036" s="4" t="s">
        <v>377</v>
      </c>
      <c r="N1036" s="4" t="s">
        <v>44</v>
      </c>
      <c r="O1036" s="4" t="s">
        <v>2837</v>
      </c>
      <c r="P1036" s="4" t="s">
        <v>2327</v>
      </c>
    </row>
    <row r="1037" customFormat="false" ht="15" hidden="false" customHeight="false" outlineLevel="0" collapsed="false">
      <c r="A1037" s="4" t="s">
        <v>2838</v>
      </c>
      <c r="B1037" s="5" t="n">
        <v>45891</v>
      </c>
      <c r="C1037" s="5" t="n">
        <v>45894</v>
      </c>
      <c r="D1037" s="4" t="s">
        <v>2322</v>
      </c>
      <c r="E1037" s="4" t="s">
        <v>36</v>
      </c>
      <c r="F1037" s="4" t="s">
        <v>376</v>
      </c>
      <c r="G1037" s="4" t="s">
        <v>59</v>
      </c>
      <c r="H1037" s="4" t="n">
        <v>2</v>
      </c>
      <c r="I1037" s="4" t="n">
        <v>20</v>
      </c>
      <c r="J1037" s="4" t="s">
        <v>81</v>
      </c>
      <c r="K1037" s="4" t="s">
        <v>2798</v>
      </c>
      <c r="L1037" s="4" t="s">
        <v>376</v>
      </c>
      <c r="M1037" s="4" t="s">
        <v>377</v>
      </c>
      <c r="N1037" s="4" t="s">
        <v>44</v>
      </c>
      <c r="O1037" s="4" t="s">
        <v>2799</v>
      </c>
      <c r="P1037" s="4" t="s">
        <v>2327</v>
      </c>
    </row>
    <row r="1038" customFormat="false" ht="15" hidden="false" customHeight="false" outlineLevel="0" collapsed="false">
      <c r="A1038" s="4" t="s">
        <v>2839</v>
      </c>
      <c r="B1038" s="5" t="n">
        <v>45902</v>
      </c>
      <c r="C1038" s="5" t="n">
        <v>45905</v>
      </c>
      <c r="D1038" s="4" t="s">
        <v>2322</v>
      </c>
      <c r="E1038" s="4" t="s">
        <v>36</v>
      </c>
      <c r="F1038" s="4" t="s">
        <v>2332</v>
      </c>
      <c r="G1038" s="4" t="s">
        <v>59</v>
      </c>
      <c r="H1038" s="4" t="n">
        <v>3</v>
      </c>
      <c r="I1038" s="4" t="n">
        <v>25</v>
      </c>
      <c r="J1038" s="4" t="s">
        <v>68</v>
      </c>
      <c r="K1038" s="4" t="s">
        <v>2840</v>
      </c>
      <c r="L1038" s="4" t="s">
        <v>376</v>
      </c>
      <c r="M1038" s="4" t="s">
        <v>377</v>
      </c>
      <c r="N1038" s="4" t="s">
        <v>44</v>
      </c>
      <c r="O1038" s="4" t="s">
        <v>2841</v>
      </c>
      <c r="P1038" s="4" t="s">
        <v>2327</v>
      </c>
    </row>
    <row r="1039" customFormat="false" ht="15" hidden="false" customHeight="false" outlineLevel="0" collapsed="false">
      <c r="A1039" s="4" t="s">
        <v>2842</v>
      </c>
      <c r="B1039" s="5" t="n">
        <v>45903</v>
      </c>
      <c r="C1039" s="5" t="n">
        <v>45903</v>
      </c>
      <c r="D1039" s="4" t="s">
        <v>2322</v>
      </c>
      <c r="E1039" s="4" t="s">
        <v>49</v>
      </c>
      <c r="F1039" s="4" t="s">
        <v>376</v>
      </c>
      <c r="G1039" s="4" t="s">
        <v>59</v>
      </c>
      <c r="H1039" s="4" t="n">
        <v>4</v>
      </c>
      <c r="I1039" s="4" t="n">
        <v>22.5</v>
      </c>
      <c r="J1039" s="4" t="s">
        <v>68</v>
      </c>
      <c r="K1039" s="4" t="s">
        <v>2771</v>
      </c>
      <c r="L1039" s="4" t="s">
        <v>376</v>
      </c>
      <c r="M1039" s="4" t="s">
        <v>377</v>
      </c>
      <c r="N1039" s="4" t="s">
        <v>44</v>
      </c>
      <c r="O1039" s="4" t="s">
        <v>2772</v>
      </c>
      <c r="P1039" s="4" t="s">
        <v>2327</v>
      </c>
    </row>
    <row r="1040" customFormat="false" ht="15" hidden="false" customHeight="false" outlineLevel="0" collapsed="false">
      <c r="A1040" s="4" t="s">
        <v>2843</v>
      </c>
      <c r="B1040" s="5" t="n">
        <v>45905</v>
      </c>
      <c r="C1040" s="5" t="n">
        <v>45905</v>
      </c>
      <c r="D1040" s="4" t="s">
        <v>2322</v>
      </c>
      <c r="E1040" s="4" t="s">
        <v>36</v>
      </c>
      <c r="F1040" s="4" t="s">
        <v>376</v>
      </c>
      <c r="G1040" s="4" t="s">
        <v>38</v>
      </c>
      <c r="H1040" s="4" t="n">
        <v>1</v>
      </c>
      <c r="I1040" s="4" t="n">
        <v>50</v>
      </c>
      <c r="J1040" s="4" t="s">
        <v>68</v>
      </c>
      <c r="K1040" s="4" t="s">
        <v>2593</v>
      </c>
      <c r="L1040" s="4" t="s">
        <v>376</v>
      </c>
      <c r="M1040" s="4" t="s">
        <v>377</v>
      </c>
      <c r="N1040" s="4" t="s">
        <v>44</v>
      </c>
      <c r="O1040" s="4" t="s">
        <v>2594</v>
      </c>
      <c r="P1040" s="4" t="s">
        <v>2327</v>
      </c>
    </row>
    <row r="1041" customFormat="false" ht="15" hidden="false" customHeight="false" outlineLevel="0" collapsed="false">
      <c r="A1041" s="4" t="s">
        <v>2806</v>
      </c>
      <c r="B1041" s="5" t="n">
        <v>45837</v>
      </c>
      <c r="C1041" s="5" t="n">
        <v>45839</v>
      </c>
      <c r="D1041" s="4" t="s">
        <v>2322</v>
      </c>
      <c r="E1041" s="4" t="s">
        <v>57</v>
      </c>
      <c r="F1041" s="4" t="s">
        <v>376</v>
      </c>
      <c r="G1041" s="4" t="s">
        <v>38</v>
      </c>
      <c r="H1041" s="4" t="n">
        <v>0</v>
      </c>
      <c r="I1041" s="4" t="n">
        <v>35</v>
      </c>
      <c r="J1041" s="4" t="s">
        <v>40</v>
      </c>
      <c r="K1041" s="4" t="s">
        <v>2583</v>
      </c>
      <c r="L1041" s="4" t="s">
        <v>376</v>
      </c>
      <c r="M1041" s="4" t="s">
        <v>377</v>
      </c>
      <c r="N1041" s="4" t="s">
        <v>94</v>
      </c>
      <c r="O1041" s="4" t="s">
        <v>2584</v>
      </c>
      <c r="P1041" s="4" t="s">
        <v>2327</v>
      </c>
    </row>
    <row r="1042" customFormat="false" ht="15" hidden="false" customHeight="false" outlineLevel="0" collapsed="false">
      <c r="A1042" s="4" t="s">
        <v>2844</v>
      </c>
      <c r="B1042" s="5" t="n">
        <v>45908</v>
      </c>
      <c r="C1042" s="5" t="n">
        <v>45908</v>
      </c>
      <c r="D1042" s="4" t="s">
        <v>2322</v>
      </c>
      <c r="E1042" s="4" t="s">
        <v>36</v>
      </c>
      <c r="F1042" s="4" t="s">
        <v>2323</v>
      </c>
      <c r="G1042" s="4" t="s">
        <v>59</v>
      </c>
      <c r="H1042" s="4" t="n">
        <v>2</v>
      </c>
      <c r="I1042" s="4" t="n">
        <v>22.5</v>
      </c>
      <c r="J1042" s="4" t="s">
        <v>68</v>
      </c>
      <c r="K1042" s="4" t="s">
        <v>2406</v>
      </c>
      <c r="L1042" s="4" t="s">
        <v>1172</v>
      </c>
      <c r="M1042" s="4" t="s">
        <v>377</v>
      </c>
      <c r="N1042" s="4" t="s">
        <v>44</v>
      </c>
      <c r="O1042" s="4" t="s">
        <v>2407</v>
      </c>
      <c r="P1042" s="4" t="s">
        <v>2327</v>
      </c>
    </row>
    <row r="1043" customFormat="false" ht="15" hidden="false" customHeight="false" outlineLevel="0" collapsed="false">
      <c r="A1043" s="4" t="s">
        <v>2845</v>
      </c>
      <c r="B1043" s="5" t="n">
        <v>45910</v>
      </c>
      <c r="C1043" s="5" t="n">
        <v>45913</v>
      </c>
      <c r="D1043" s="4" t="s">
        <v>2322</v>
      </c>
      <c r="E1043" s="4" t="s">
        <v>36</v>
      </c>
      <c r="F1043" s="4" t="s">
        <v>376</v>
      </c>
      <c r="G1043" s="4" t="s">
        <v>38</v>
      </c>
      <c r="H1043" s="4" t="n">
        <v>1</v>
      </c>
      <c r="I1043" s="4" t="n">
        <v>50</v>
      </c>
      <c r="J1043" s="4" t="s">
        <v>68</v>
      </c>
      <c r="K1043" s="4" t="s">
        <v>2538</v>
      </c>
      <c r="L1043" s="4" t="s">
        <v>376</v>
      </c>
      <c r="M1043" s="4" t="s">
        <v>377</v>
      </c>
      <c r="N1043" s="4" t="s">
        <v>185</v>
      </c>
      <c r="O1043" s="4" t="s">
        <v>2539</v>
      </c>
      <c r="P1043" s="4" t="s">
        <v>2327</v>
      </c>
    </row>
    <row r="1044" customFormat="false" ht="15" hidden="false" customHeight="false" outlineLevel="0" collapsed="false">
      <c r="A1044" s="4" t="s">
        <v>2846</v>
      </c>
      <c r="B1044" s="5" t="n">
        <v>45911</v>
      </c>
      <c r="C1044" s="5" t="n">
        <v>45913</v>
      </c>
      <c r="D1044" s="4" t="s">
        <v>2322</v>
      </c>
      <c r="E1044" s="4" t="s">
        <v>57</v>
      </c>
      <c r="F1044" s="4" t="s">
        <v>2362</v>
      </c>
      <c r="G1044" s="4" t="s">
        <v>38</v>
      </c>
      <c r="H1044" s="4" t="n">
        <v>2</v>
      </c>
      <c r="I1044" s="4" t="n">
        <v>40</v>
      </c>
      <c r="J1044" s="4" t="s">
        <v>68</v>
      </c>
      <c r="K1044" s="4" t="s">
        <v>2353</v>
      </c>
      <c r="L1044" s="4" t="s">
        <v>1172</v>
      </c>
      <c r="M1044" s="4" t="s">
        <v>377</v>
      </c>
      <c r="N1044" s="4" t="s">
        <v>44</v>
      </c>
      <c r="O1044" s="4" t="s">
        <v>2354</v>
      </c>
      <c r="P1044" s="4" t="s">
        <v>2327</v>
      </c>
    </row>
    <row r="1045" customFormat="false" ht="15" hidden="false" customHeight="false" outlineLevel="0" collapsed="false">
      <c r="A1045" s="4" t="s">
        <v>2847</v>
      </c>
      <c r="B1045" s="5" t="n">
        <v>45920</v>
      </c>
      <c r="C1045" s="5" t="n">
        <v>45922</v>
      </c>
      <c r="D1045" s="4" t="s">
        <v>2322</v>
      </c>
      <c r="E1045" s="4" t="s">
        <v>36</v>
      </c>
      <c r="F1045" s="4" t="s">
        <v>2362</v>
      </c>
      <c r="G1045" s="4" t="s">
        <v>38</v>
      </c>
      <c r="H1045" s="4" t="n">
        <v>3</v>
      </c>
      <c r="I1045" s="4" t="n">
        <v>35</v>
      </c>
      <c r="J1045" s="4" t="s">
        <v>40</v>
      </c>
      <c r="K1045" s="4" t="s">
        <v>2577</v>
      </c>
      <c r="L1045" s="4" t="s">
        <v>376</v>
      </c>
      <c r="M1045" s="4" t="s">
        <v>377</v>
      </c>
      <c r="N1045" s="4" t="s">
        <v>44</v>
      </c>
      <c r="O1045" s="4" t="s">
        <v>2578</v>
      </c>
      <c r="P1045" s="4" t="s">
        <v>2327</v>
      </c>
    </row>
    <row r="1046" customFormat="false" ht="15" hidden="false" customHeight="false" outlineLevel="0" collapsed="false">
      <c r="A1046" s="4" t="s">
        <v>2848</v>
      </c>
      <c r="B1046" s="5" t="n">
        <v>45926</v>
      </c>
      <c r="C1046" s="5" t="n">
        <v>46046</v>
      </c>
      <c r="D1046" s="4" t="s">
        <v>2849</v>
      </c>
      <c r="E1046" s="4" t="s">
        <v>618</v>
      </c>
      <c r="F1046" s="4" t="s">
        <v>376</v>
      </c>
      <c r="G1046" s="4" t="s">
        <v>38</v>
      </c>
      <c r="H1046" s="4" t="n">
        <v>1</v>
      </c>
      <c r="I1046" s="4" t="n">
        <v>670</v>
      </c>
      <c r="J1046" s="4" t="s">
        <v>149</v>
      </c>
      <c r="K1046" s="4" t="s">
        <v>2850</v>
      </c>
      <c r="L1046" s="4" t="s">
        <v>837</v>
      </c>
      <c r="M1046" s="4" t="s">
        <v>838</v>
      </c>
      <c r="N1046" s="4" t="s">
        <v>185</v>
      </c>
      <c r="O1046" s="4" t="s">
        <v>2851</v>
      </c>
      <c r="P1046" s="4" t="s">
        <v>2327</v>
      </c>
    </row>
    <row r="1047" customFormat="false" ht="15" hidden="false" customHeight="false" outlineLevel="0" collapsed="false">
      <c r="A1047" s="4" t="s">
        <v>2852</v>
      </c>
      <c r="B1047" s="5" t="n">
        <v>45926</v>
      </c>
      <c r="C1047" s="5" t="n">
        <v>46046</v>
      </c>
      <c r="D1047" s="4" t="s">
        <v>2849</v>
      </c>
      <c r="E1047" s="4" t="s">
        <v>613</v>
      </c>
      <c r="F1047" s="4" t="s">
        <v>376</v>
      </c>
      <c r="G1047" s="4" t="s">
        <v>38</v>
      </c>
      <c r="H1047" s="4" t="n">
        <v>2</v>
      </c>
      <c r="I1047" s="4" t="n">
        <v>865</v>
      </c>
      <c r="J1047" s="4" t="s">
        <v>40</v>
      </c>
      <c r="K1047" s="4" t="s">
        <v>2853</v>
      </c>
      <c r="L1047" s="4" t="s">
        <v>1172</v>
      </c>
      <c r="M1047" s="4" t="s">
        <v>377</v>
      </c>
      <c r="N1047" s="4" t="s">
        <v>94</v>
      </c>
      <c r="O1047" s="4" t="s">
        <v>2854</v>
      </c>
      <c r="P1047" s="4" t="s">
        <v>2327</v>
      </c>
    </row>
    <row r="1048" customFormat="false" ht="15" hidden="false" customHeight="false" outlineLevel="0" collapsed="false">
      <c r="A1048" s="4" t="s">
        <v>2855</v>
      </c>
      <c r="B1048" s="5" t="n">
        <v>45926</v>
      </c>
      <c r="C1048" s="5" t="n">
        <v>46046</v>
      </c>
      <c r="D1048" s="4" t="s">
        <v>2849</v>
      </c>
      <c r="E1048" s="4" t="s">
        <v>761</v>
      </c>
      <c r="F1048" s="4" t="s">
        <v>2384</v>
      </c>
      <c r="G1048" s="4" t="s">
        <v>38</v>
      </c>
      <c r="H1048" s="4" t="n">
        <v>1</v>
      </c>
      <c r="I1048" s="4" t="n">
        <v>810</v>
      </c>
      <c r="J1048" s="4" t="s">
        <v>40</v>
      </c>
      <c r="K1048" s="4" t="s">
        <v>2728</v>
      </c>
      <c r="L1048" s="4" t="s">
        <v>376</v>
      </c>
      <c r="M1048" s="4" t="s">
        <v>377</v>
      </c>
      <c r="N1048" s="4" t="s">
        <v>44</v>
      </c>
      <c r="O1048" s="4" t="s">
        <v>2729</v>
      </c>
      <c r="P1048" s="4" t="s">
        <v>2327</v>
      </c>
    </row>
    <row r="1049" customFormat="false" ht="15" hidden="false" customHeight="false" outlineLevel="0" collapsed="false">
      <c r="A1049" s="4" t="s">
        <v>2852</v>
      </c>
      <c r="B1049" s="5" t="n">
        <v>45926</v>
      </c>
      <c r="C1049" s="5" t="n">
        <v>46046</v>
      </c>
      <c r="D1049" s="4" t="s">
        <v>2849</v>
      </c>
      <c r="E1049" s="4" t="s">
        <v>613</v>
      </c>
      <c r="F1049" s="4" t="s">
        <v>376</v>
      </c>
      <c r="G1049" s="4" t="s">
        <v>38</v>
      </c>
      <c r="H1049" s="4" t="n">
        <v>2</v>
      </c>
      <c r="I1049" s="4" t="n">
        <v>865</v>
      </c>
      <c r="J1049" s="4" t="s">
        <v>40</v>
      </c>
      <c r="K1049" s="4" t="s">
        <v>2853</v>
      </c>
      <c r="L1049" s="4" t="s">
        <v>1172</v>
      </c>
      <c r="M1049" s="4" t="s">
        <v>377</v>
      </c>
      <c r="N1049" s="4" t="s">
        <v>94</v>
      </c>
      <c r="O1049" s="4" t="s">
        <v>2854</v>
      </c>
      <c r="P1049" s="4" t="s">
        <v>2327</v>
      </c>
    </row>
    <row r="1050" customFormat="false" ht="15" hidden="false" customHeight="false" outlineLevel="0" collapsed="false">
      <c r="A1050" s="4" t="s">
        <v>2856</v>
      </c>
      <c r="B1050" s="5" t="n">
        <v>45927</v>
      </c>
      <c r="C1050" s="5" t="n">
        <v>46046</v>
      </c>
      <c r="D1050" s="4" t="s">
        <v>2849</v>
      </c>
      <c r="E1050" s="4" t="s">
        <v>627</v>
      </c>
      <c r="F1050" s="4" t="s">
        <v>376</v>
      </c>
      <c r="G1050" s="4" t="s">
        <v>38</v>
      </c>
      <c r="H1050" s="4" t="n">
        <v>2</v>
      </c>
      <c r="I1050" s="4" t="n">
        <v>980</v>
      </c>
      <c r="J1050" s="4" t="s">
        <v>149</v>
      </c>
      <c r="K1050" s="4" t="s">
        <v>2479</v>
      </c>
      <c r="L1050" s="4" t="s">
        <v>2325</v>
      </c>
      <c r="M1050" s="4" t="s">
        <v>377</v>
      </c>
      <c r="N1050" s="4" t="s">
        <v>44</v>
      </c>
      <c r="O1050" s="4" t="s">
        <v>2480</v>
      </c>
      <c r="P1050" s="4" t="s">
        <v>2327</v>
      </c>
    </row>
    <row r="1051" customFormat="false" ht="15" hidden="false" customHeight="false" outlineLevel="0" collapsed="false">
      <c r="A1051" s="4" t="s">
        <v>2857</v>
      </c>
      <c r="B1051" s="5" t="n">
        <v>45927</v>
      </c>
      <c r="C1051" s="5" t="n">
        <v>46046</v>
      </c>
      <c r="D1051" s="4" t="s">
        <v>2849</v>
      </c>
      <c r="E1051" s="4" t="s">
        <v>613</v>
      </c>
      <c r="F1051" s="4" t="s">
        <v>376</v>
      </c>
      <c r="G1051" s="4" t="s">
        <v>59</v>
      </c>
      <c r="H1051" s="4" t="n">
        <v>1</v>
      </c>
      <c r="I1051" s="4" t="n">
        <v>415</v>
      </c>
      <c r="J1051" s="4" t="s">
        <v>81</v>
      </c>
      <c r="K1051" s="4" t="s">
        <v>2858</v>
      </c>
      <c r="L1051" s="4" t="s">
        <v>994</v>
      </c>
      <c r="M1051" s="4" t="s">
        <v>334</v>
      </c>
      <c r="N1051" s="4" t="s">
        <v>44</v>
      </c>
      <c r="O1051" s="4" t="s">
        <v>2859</v>
      </c>
      <c r="P1051" s="4" t="s">
        <v>2327</v>
      </c>
    </row>
    <row r="1052" customFormat="false" ht="15" hidden="false" customHeight="false" outlineLevel="0" collapsed="false">
      <c r="A1052" s="4" t="s">
        <v>2860</v>
      </c>
      <c r="B1052" s="5" t="n">
        <v>45927</v>
      </c>
      <c r="C1052" s="5" t="n">
        <v>46046</v>
      </c>
      <c r="D1052" s="4" t="s">
        <v>2849</v>
      </c>
      <c r="E1052" s="4" t="s">
        <v>627</v>
      </c>
      <c r="F1052" s="4" t="s">
        <v>376</v>
      </c>
      <c r="G1052" s="4" t="s">
        <v>59</v>
      </c>
      <c r="H1052" s="4" t="n">
        <v>4</v>
      </c>
      <c r="I1052" s="4" t="n">
        <v>500</v>
      </c>
      <c r="J1052" s="4" t="s">
        <v>40</v>
      </c>
      <c r="K1052" s="4" t="s">
        <v>2861</v>
      </c>
      <c r="L1052" s="4" t="s">
        <v>2862</v>
      </c>
      <c r="M1052" s="4" t="s">
        <v>356</v>
      </c>
      <c r="N1052" s="4" t="s">
        <v>221</v>
      </c>
      <c r="O1052" s="4"/>
      <c r="P1052" s="4" t="s">
        <v>2327</v>
      </c>
    </row>
    <row r="1053" customFormat="false" ht="15" hidden="false" customHeight="false" outlineLevel="0" collapsed="false">
      <c r="A1053" s="4" t="s">
        <v>2863</v>
      </c>
      <c r="B1053" s="5" t="n">
        <v>45927</v>
      </c>
      <c r="C1053" s="5" t="n">
        <v>46046</v>
      </c>
      <c r="D1053" s="4" t="s">
        <v>2849</v>
      </c>
      <c r="E1053" s="4" t="s">
        <v>627</v>
      </c>
      <c r="F1053" s="4" t="s">
        <v>376</v>
      </c>
      <c r="G1053" s="4" t="s">
        <v>59</v>
      </c>
      <c r="H1053" s="4" t="n">
        <v>2</v>
      </c>
      <c r="I1053" s="4" t="n">
        <v>465</v>
      </c>
      <c r="J1053" s="4" t="s">
        <v>68</v>
      </c>
      <c r="K1053" s="4" t="s">
        <v>2565</v>
      </c>
      <c r="L1053" s="4" t="s">
        <v>376</v>
      </c>
      <c r="M1053" s="4" t="s">
        <v>377</v>
      </c>
      <c r="N1053" s="4" t="s">
        <v>44</v>
      </c>
      <c r="O1053" s="4" t="s">
        <v>2566</v>
      </c>
      <c r="P1053" s="4" t="s">
        <v>2327</v>
      </c>
    </row>
    <row r="1054" customFormat="false" ht="15" hidden="false" customHeight="false" outlineLevel="0" collapsed="false">
      <c r="A1054" s="4" t="s">
        <v>2864</v>
      </c>
      <c r="B1054" s="5" t="n">
        <v>45927</v>
      </c>
      <c r="C1054" s="5" t="n">
        <v>46046</v>
      </c>
      <c r="D1054" s="4" t="s">
        <v>2849</v>
      </c>
      <c r="E1054" s="4" t="s">
        <v>649</v>
      </c>
      <c r="F1054" s="4" t="s">
        <v>376</v>
      </c>
      <c r="G1054" s="4" t="s">
        <v>59</v>
      </c>
      <c r="H1054" s="4" t="n">
        <v>1</v>
      </c>
      <c r="I1054" s="4" t="n">
        <v>427.5</v>
      </c>
      <c r="J1054" s="4" t="s">
        <v>40</v>
      </c>
      <c r="K1054" s="4" t="s">
        <v>2865</v>
      </c>
      <c r="L1054" s="4" t="s">
        <v>376</v>
      </c>
      <c r="M1054" s="4" t="s">
        <v>1412</v>
      </c>
      <c r="N1054" s="4" t="s">
        <v>44</v>
      </c>
      <c r="O1054" s="4" t="s">
        <v>2866</v>
      </c>
      <c r="P1054" s="4" t="s">
        <v>2327</v>
      </c>
    </row>
    <row r="1055" customFormat="false" ht="15" hidden="false" customHeight="false" outlineLevel="0" collapsed="false">
      <c r="A1055" s="4" t="s">
        <v>2867</v>
      </c>
      <c r="B1055" s="5" t="n">
        <v>45928</v>
      </c>
      <c r="C1055" s="5" t="n">
        <v>46046</v>
      </c>
      <c r="D1055" s="4" t="s">
        <v>2849</v>
      </c>
      <c r="E1055" s="4" t="s">
        <v>627</v>
      </c>
      <c r="F1055" s="4" t="s">
        <v>376</v>
      </c>
      <c r="G1055" s="4" t="s">
        <v>38</v>
      </c>
      <c r="H1055" s="4" t="n">
        <v>2</v>
      </c>
      <c r="I1055" s="4" t="n">
        <v>1150</v>
      </c>
      <c r="J1055" s="4" t="s">
        <v>81</v>
      </c>
      <c r="K1055" s="4" t="s">
        <v>2868</v>
      </c>
      <c r="L1055" s="4" t="s">
        <v>2384</v>
      </c>
      <c r="M1055" s="4" t="s">
        <v>377</v>
      </c>
      <c r="N1055" s="4" t="s">
        <v>44</v>
      </c>
      <c r="O1055" s="4" t="s">
        <v>2869</v>
      </c>
      <c r="P1055" s="4" t="s">
        <v>2327</v>
      </c>
    </row>
    <row r="1056" customFormat="false" ht="15" hidden="false" customHeight="false" outlineLevel="0" collapsed="false">
      <c r="A1056" s="4" t="s">
        <v>2870</v>
      </c>
      <c r="B1056" s="5" t="n">
        <v>45928</v>
      </c>
      <c r="C1056" s="5" t="n">
        <v>46046</v>
      </c>
      <c r="D1056" s="4" t="s">
        <v>2849</v>
      </c>
      <c r="E1056" s="4" t="s">
        <v>618</v>
      </c>
      <c r="F1056" s="4" t="s">
        <v>376</v>
      </c>
      <c r="G1056" s="4" t="s">
        <v>59</v>
      </c>
      <c r="H1056" s="4" t="n">
        <v>1</v>
      </c>
      <c r="I1056" s="4" t="n">
        <v>522.5</v>
      </c>
      <c r="J1056" s="4" t="s">
        <v>68</v>
      </c>
      <c r="K1056" s="4" t="s">
        <v>2697</v>
      </c>
      <c r="L1056" s="4" t="s">
        <v>524</v>
      </c>
      <c r="M1056" s="4" t="s">
        <v>377</v>
      </c>
      <c r="N1056" s="4" t="s">
        <v>44</v>
      </c>
      <c r="O1056" s="4" t="s">
        <v>2698</v>
      </c>
      <c r="P1056" s="4" t="s">
        <v>2327</v>
      </c>
    </row>
    <row r="1057" customFormat="false" ht="15" hidden="false" customHeight="false" outlineLevel="0" collapsed="false">
      <c r="A1057" s="4" t="s">
        <v>2871</v>
      </c>
      <c r="B1057" s="5" t="n">
        <v>45928</v>
      </c>
      <c r="C1057" s="5" t="n">
        <v>46046</v>
      </c>
      <c r="D1057" s="4" t="s">
        <v>2849</v>
      </c>
      <c r="E1057" s="4" t="s">
        <v>627</v>
      </c>
      <c r="F1057" s="4" t="s">
        <v>376</v>
      </c>
      <c r="G1057" s="4" t="s">
        <v>38</v>
      </c>
      <c r="H1057" s="4" t="n">
        <v>1</v>
      </c>
      <c r="I1057" s="4" t="n">
        <v>765</v>
      </c>
      <c r="J1057" s="4" t="s">
        <v>40</v>
      </c>
      <c r="K1057" s="4" t="s">
        <v>2872</v>
      </c>
      <c r="L1057" s="4" t="s">
        <v>819</v>
      </c>
      <c r="M1057" s="4" t="s">
        <v>43</v>
      </c>
      <c r="N1057" s="4" t="s">
        <v>44</v>
      </c>
      <c r="O1057" s="4" t="s">
        <v>2873</v>
      </c>
      <c r="P1057" s="4" t="s">
        <v>2327</v>
      </c>
    </row>
    <row r="1058" customFormat="false" ht="15" hidden="false" customHeight="false" outlineLevel="0" collapsed="false">
      <c r="A1058" s="4" t="s">
        <v>2874</v>
      </c>
      <c r="B1058" s="5" t="n">
        <v>45928</v>
      </c>
      <c r="C1058" s="5" t="n">
        <v>46046</v>
      </c>
      <c r="D1058" s="4" t="s">
        <v>2849</v>
      </c>
      <c r="E1058" s="4" t="s">
        <v>627</v>
      </c>
      <c r="F1058" s="4" t="s">
        <v>376</v>
      </c>
      <c r="G1058" s="4" t="s">
        <v>59</v>
      </c>
      <c r="H1058" s="4" t="n">
        <v>1</v>
      </c>
      <c r="I1058" s="4" t="n">
        <v>362.5</v>
      </c>
      <c r="J1058" s="4" t="s">
        <v>40</v>
      </c>
      <c r="K1058" s="4" t="s">
        <v>2792</v>
      </c>
      <c r="L1058" s="4" t="s">
        <v>376</v>
      </c>
      <c r="M1058" s="4" t="s">
        <v>377</v>
      </c>
      <c r="N1058" s="4" t="s">
        <v>44</v>
      </c>
      <c r="O1058" s="4" t="s">
        <v>2793</v>
      </c>
      <c r="P1058" s="4" t="s">
        <v>2327</v>
      </c>
    </row>
    <row r="1059" customFormat="false" ht="15" hidden="false" customHeight="false" outlineLevel="0" collapsed="false">
      <c r="A1059" s="4" t="s">
        <v>2875</v>
      </c>
      <c r="B1059" s="5" t="n">
        <v>45928</v>
      </c>
      <c r="C1059" s="5" t="n">
        <v>46046</v>
      </c>
      <c r="D1059" s="4" t="s">
        <v>2849</v>
      </c>
      <c r="E1059" s="4" t="s">
        <v>627</v>
      </c>
      <c r="F1059" s="4" t="s">
        <v>376</v>
      </c>
      <c r="G1059" s="4" t="s">
        <v>38</v>
      </c>
      <c r="H1059" s="4" t="n">
        <v>4</v>
      </c>
      <c r="I1059" s="4" t="n">
        <v>670</v>
      </c>
      <c r="J1059" s="4" t="s">
        <v>149</v>
      </c>
      <c r="K1059" s="4" t="s">
        <v>442</v>
      </c>
      <c r="L1059" s="4" t="s">
        <v>168</v>
      </c>
      <c r="M1059" s="4" t="s">
        <v>43</v>
      </c>
      <c r="N1059" s="4" t="s">
        <v>44</v>
      </c>
      <c r="O1059" s="4" t="s">
        <v>443</v>
      </c>
      <c r="P1059" s="4" t="s">
        <v>2327</v>
      </c>
    </row>
    <row r="1060" customFormat="false" ht="15" hidden="false" customHeight="false" outlineLevel="0" collapsed="false">
      <c r="A1060" s="4" t="s">
        <v>2876</v>
      </c>
      <c r="B1060" s="5" t="n">
        <v>45928</v>
      </c>
      <c r="C1060" s="5" t="n">
        <v>46046</v>
      </c>
      <c r="D1060" s="4" t="s">
        <v>2849</v>
      </c>
      <c r="E1060" s="4" t="s">
        <v>627</v>
      </c>
      <c r="F1060" s="4" t="s">
        <v>376</v>
      </c>
      <c r="G1060" s="4" t="s">
        <v>326</v>
      </c>
      <c r="H1060" s="4" t="n">
        <v>1</v>
      </c>
      <c r="I1060" s="4" t="n">
        <v>1920</v>
      </c>
      <c r="J1060" s="4" t="s">
        <v>68</v>
      </c>
      <c r="K1060" s="4" t="s">
        <v>2877</v>
      </c>
      <c r="L1060" s="4" t="s">
        <v>376</v>
      </c>
      <c r="M1060" s="4" t="s">
        <v>377</v>
      </c>
      <c r="N1060" s="4" t="s">
        <v>44</v>
      </c>
      <c r="O1060" s="4" t="s">
        <v>2878</v>
      </c>
      <c r="P1060" s="4" t="s">
        <v>2327</v>
      </c>
    </row>
    <row r="1061" customFormat="false" ht="15" hidden="false" customHeight="false" outlineLevel="0" collapsed="false">
      <c r="A1061" s="4" t="s">
        <v>2831</v>
      </c>
      <c r="B1061" s="5" t="n">
        <v>45872</v>
      </c>
      <c r="C1061" s="5" t="n">
        <v>45872</v>
      </c>
      <c r="D1061" s="4" t="s">
        <v>2322</v>
      </c>
      <c r="E1061" s="4" t="s">
        <v>89</v>
      </c>
      <c r="F1061" s="4" t="s">
        <v>2362</v>
      </c>
      <c r="G1061" s="4" t="s">
        <v>38</v>
      </c>
      <c r="H1061" s="4" t="n">
        <v>1</v>
      </c>
      <c r="I1061" s="4" t="n">
        <v>40</v>
      </c>
      <c r="J1061" s="4" t="s">
        <v>68</v>
      </c>
      <c r="K1061" s="4" t="s">
        <v>2485</v>
      </c>
      <c r="L1061" s="4" t="s">
        <v>1172</v>
      </c>
      <c r="M1061" s="4" t="s">
        <v>1412</v>
      </c>
      <c r="N1061" s="4" t="s">
        <v>44</v>
      </c>
      <c r="O1061" s="4" t="s">
        <v>2486</v>
      </c>
      <c r="P1061" s="4" t="s">
        <v>2327</v>
      </c>
    </row>
    <row r="1062" customFormat="false" ht="15" hidden="false" customHeight="false" outlineLevel="0" collapsed="false">
      <c r="A1062" s="4" t="s">
        <v>2879</v>
      </c>
      <c r="B1062" s="5" t="n">
        <v>45929</v>
      </c>
      <c r="C1062" s="5" t="n">
        <v>46046</v>
      </c>
      <c r="D1062" s="4" t="s">
        <v>2849</v>
      </c>
      <c r="E1062" s="4" t="s">
        <v>649</v>
      </c>
      <c r="F1062" s="4" t="s">
        <v>376</v>
      </c>
      <c r="G1062" s="4" t="s">
        <v>38</v>
      </c>
      <c r="H1062" s="4" t="n">
        <v>1</v>
      </c>
      <c r="I1062" s="4" t="n">
        <v>685</v>
      </c>
      <c r="J1062" s="4" t="s">
        <v>68</v>
      </c>
      <c r="K1062" s="4" t="s">
        <v>2880</v>
      </c>
      <c r="L1062" s="4" t="s">
        <v>524</v>
      </c>
      <c r="M1062" s="4" t="s">
        <v>377</v>
      </c>
      <c r="N1062" s="4" t="s">
        <v>44</v>
      </c>
      <c r="O1062" s="4" t="s">
        <v>2881</v>
      </c>
      <c r="P1062" s="4" t="s">
        <v>2327</v>
      </c>
    </row>
    <row r="1063" customFormat="false" ht="15" hidden="false" customHeight="false" outlineLevel="0" collapsed="false">
      <c r="A1063" s="4" t="s">
        <v>2882</v>
      </c>
      <c r="B1063" s="5" t="n">
        <v>45929</v>
      </c>
      <c r="C1063" s="5" t="n">
        <v>46046</v>
      </c>
      <c r="D1063" s="4" t="s">
        <v>2849</v>
      </c>
      <c r="E1063" s="4" t="s">
        <v>618</v>
      </c>
      <c r="F1063" s="4" t="s">
        <v>376</v>
      </c>
      <c r="G1063" s="4" t="s">
        <v>38</v>
      </c>
      <c r="H1063" s="4" t="n">
        <v>1</v>
      </c>
      <c r="I1063" s="4" t="n">
        <v>935</v>
      </c>
      <c r="J1063" s="4" t="s">
        <v>40</v>
      </c>
      <c r="K1063" s="4" t="s">
        <v>2693</v>
      </c>
      <c r="L1063" s="4" t="s">
        <v>376</v>
      </c>
      <c r="M1063" s="4" t="s">
        <v>1412</v>
      </c>
      <c r="N1063" s="4" t="s">
        <v>44</v>
      </c>
      <c r="O1063" s="4" t="s">
        <v>2694</v>
      </c>
      <c r="P1063" s="4" t="s">
        <v>2327</v>
      </c>
    </row>
    <row r="1064" customFormat="false" ht="15" hidden="false" customHeight="false" outlineLevel="0" collapsed="false">
      <c r="A1064" s="4" t="s">
        <v>2883</v>
      </c>
      <c r="B1064" s="5" t="n">
        <v>45930</v>
      </c>
      <c r="C1064" s="5" t="n">
        <v>46046</v>
      </c>
      <c r="D1064" s="4" t="s">
        <v>2849</v>
      </c>
      <c r="E1064" s="4" t="s">
        <v>627</v>
      </c>
      <c r="F1064" s="4" t="s">
        <v>2384</v>
      </c>
      <c r="G1064" s="4" t="s">
        <v>59</v>
      </c>
      <c r="H1064" s="4" t="n">
        <v>2</v>
      </c>
      <c r="I1064" s="4" t="n">
        <v>370</v>
      </c>
      <c r="J1064" s="4" t="s">
        <v>68</v>
      </c>
      <c r="K1064" s="4" t="s">
        <v>2884</v>
      </c>
      <c r="L1064" s="4" t="s">
        <v>376</v>
      </c>
      <c r="M1064" s="4" t="s">
        <v>377</v>
      </c>
      <c r="N1064" s="4" t="s">
        <v>52</v>
      </c>
      <c r="O1064" s="4" t="s">
        <v>2885</v>
      </c>
      <c r="P1064" s="4" t="s">
        <v>2327</v>
      </c>
    </row>
    <row r="1065" customFormat="false" ht="15" hidden="false" customHeight="false" outlineLevel="0" collapsed="false">
      <c r="A1065" s="4" t="s">
        <v>2886</v>
      </c>
      <c r="B1065" s="5" t="n">
        <v>45930</v>
      </c>
      <c r="C1065" s="5" t="n">
        <v>46046</v>
      </c>
      <c r="D1065" s="4" t="s">
        <v>2849</v>
      </c>
      <c r="E1065" s="4" t="s">
        <v>627</v>
      </c>
      <c r="F1065" s="4" t="s">
        <v>2362</v>
      </c>
      <c r="G1065" s="4" t="s">
        <v>38</v>
      </c>
      <c r="H1065" s="4" t="n">
        <v>3</v>
      </c>
      <c r="I1065" s="4" t="n">
        <v>760</v>
      </c>
      <c r="J1065" s="4" t="s">
        <v>40</v>
      </c>
      <c r="K1065" s="4" t="s">
        <v>2819</v>
      </c>
      <c r="L1065" s="4" t="s">
        <v>376</v>
      </c>
      <c r="M1065" s="4" t="s">
        <v>377</v>
      </c>
      <c r="N1065" s="4" t="s">
        <v>44</v>
      </c>
      <c r="O1065" s="4" t="s">
        <v>2820</v>
      </c>
      <c r="P1065" s="4" t="s">
        <v>2327</v>
      </c>
    </row>
    <row r="1066" customFormat="false" ht="15" hidden="false" customHeight="false" outlineLevel="0" collapsed="false">
      <c r="A1066" s="4" t="s">
        <v>2887</v>
      </c>
      <c r="B1066" s="5" t="n">
        <v>45930</v>
      </c>
      <c r="C1066" s="5" t="n">
        <v>45932</v>
      </c>
      <c r="D1066" s="4" t="s">
        <v>2322</v>
      </c>
      <c r="E1066" s="4" t="s">
        <v>36</v>
      </c>
      <c r="F1066" s="4" t="s">
        <v>2362</v>
      </c>
      <c r="G1066" s="4" t="s">
        <v>59</v>
      </c>
      <c r="H1066" s="4" t="n">
        <v>2</v>
      </c>
      <c r="I1066" s="4" t="n">
        <v>15</v>
      </c>
      <c r="J1066" s="4" t="s">
        <v>40</v>
      </c>
      <c r="K1066" s="4" t="s">
        <v>2577</v>
      </c>
      <c r="L1066" s="4" t="s">
        <v>376</v>
      </c>
      <c r="M1066" s="4" t="s">
        <v>377</v>
      </c>
      <c r="N1066" s="4" t="s">
        <v>44</v>
      </c>
      <c r="O1066" s="4" t="s">
        <v>2578</v>
      </c>
      <c r="P1066" s="4" t="s">
        <v>2327</v>
      </c>
    </row>
    <row r="1067" customFormat="false" ht="15" hidden="false" customHeight="false" outlineLevel="0" collapsed="false">
      <c r="A1067" s="4" t="s">
        <v>2888</v>
      </c>
      <c r="B1067" s="5" t="n">
        <v>45931</v>
      </c>
      <c r="C1067" s="5" t="n">
        <v>46046</v>
      </c>
      <c r="D1067" s="4" t="s">
        <v>2849</v>
      </c>
      <c r="E1067" s="4" t="s">
        <v>627</v>
      </c>
      <c r="F1067" s="4" t="s">
        <v>376</v>
      </c>
      <c r="G1067" s="4" t="s">
        <v>38</v>
      </c>
      <c r="H1067" s="4" t="n">
        <v>3</v>
      </c>
      <c r="I1067" s="4" t="n">
        <v>660</v>
      </c>
      <c r="J1067" s="4" t="s">
        <v>40</v>
      </c>
      <c r="K1067" s="4" t="s">
        <v>2889</v>
      </c>
      <c r="L1067" s="4" t="s">
        <v>2890</v>
      </c>
      <c r="M1067" s="4" t="s">
        <v>356</v>
      </c>
      <c r="N1067" s="4" t="s">
        <v>433</v>
      </c>
      <c r="O1067" s="4"/>
      <c r="P1067" s="4" t="s">
        <v>2327</v>
      </c>
    </row>
    <row r="1068" customFormat="false" ht="15" hidden="false" customHeight="false" outlineLevel="0" collapsed="false">
      <c r="A1068" s="4" t="s">
        <v>2891</v>
      </c>
      <c r="B1068" s="5" t="n">
        <v>45931</v>
      </c>
      <c r="C1068" s="5" t="n">
        <v>46046</v>
      </c>
      <c r="D1068" s="4" t="s">
        <v>2849</v>
      </c>
      <c r="E1068" s="4" t="s">
        <v>627</v>
      </c>
      <c r="F1068" s="4" t="s">
        <v>2362</v>
      </c>
      <c r="G1068" s="4" t="s">
        <v>38</v>
      </c>
      <c r="H1068" s="4" t="n">
        <v>3</v>
      </c>
      <c r="I1068" s="4" t="n">
        <v>690</v>
      </c>
      <c r="J1068" s="4" t="s">
        <v>40</v>
      </c>
      <c r="K1068" s="4" t="s">
        <v>2775</v>
      </c>
      <c r="L1068" s="4" t="s">
        <v>376</v>
      </c>
      <c r="M1068" s="4" t="s">
        <v>377</v>
      </c>
      <c r="N1068" s="4" t="s">
        <v>44</v>
      </c>
      <c r="O1068" s="4" t="s">
        <v>2776</v>
      </c>
      <c r="P1068" s="4" t="s">
        <v>2327</v>
      </c>
    </row>
    <row r="1069" customFormat="false" ht="15" hidden="false" customHeight="false" outlineLevel="0" collapsed="false">
      <c r="A1069" s="4" t="s">
        <v>2892</v>
      </c>
      <c r="B1069" s="5" t="n">
        <v>45931</v>
      </c>
      <c r="C1069" s="5" t="n">
        <v>46046</v>
      </c>
      <c r="D1069" s="4" t="s">
        <v>2849</v>
      </c>
      <c r="E1069" s="4" t="s">
        <v>618</v>
      </c>
      <c r="F1069" s="4" t="s">
        <v>376</v>
      </c>
      <c r="G1069" s="4" t="s">
        <v>59</v>
      </c>
      <c r="H1069" s="4" t="n">
        <v>2</v>
      </c>
      <c r="I1069" s="4" t="n">
        <v>490</v>
      </c>
      <c r="J1069" s="4" t="s">
        <v>149</v>
      </c>
      <c r="K1069" s="4" t="s">
        <v>686</v>
      </c>
      <c r="L1069" s="4" t="s">
        <v>376</v>
      </c>
      <c r="M1069" s="4" t="s">
        <v>377</v>
      </c>
      <c r="N1069" s="4" t="s">
        <v>44</v>
      </c>
      <c r="O1069" s="4" t="s">
        <v>687</v>
      </c>
      <c r="P1069" s="4" t="s">
        <v>2327</v>
      </c>
    </row>
    <row r="1070" customFormat="false" ht="15" hidden="false" customHeight="false" outlineLevel="0" collapsed="false">
      <c r="A1070" s="4" t="s">
        <v>2893</v>
      </c>
      <c r="B1070" s="5" t="n">
        <v>45931</v>
      </c>
      <c r="C1070" s="5" t="n">
        <v>46046</v>
      </c>
      <c r="D1070" s="4" t="s">
        <v>2849</v>
      </c>
      <c r="E1070" s="4" t="s">
        <v>613</v>
      </c>
      <c r="F1070" s="4" t="s">
        <v>376</v>
      </c>
      <c r="G1070" s="4" t="s">
        <v>38</v>
      </c>
      <c r="H1070" s="4" t="n">
        <v>2</v>
      </c>
      <c r="I1070" s="4" t="n">
        <v>900</v>
      </c>
      <c r="J1070" s="4" t="s">
        <v>40</v>
      </c>
      <c r="K1070" s="4" t="s">
        <v>2894</v>
      </c>
      <c r="L1070" s="4" t="s">
        <v>596</v>
      </c>
      <c r="M1070" s="4" t="s">
        <v>695</v>
      </c>
      <c r="N1070" s="4" t="s">
        <v>44</v>
      </c>
      <c r="O1070" s="4" t="s">
        <v>2895</v>
      </c>
      <c r="P1070" s="4" t="s">
        <v>2327</v>
      </c>
    </row>
    <row r="1071" customFormat="false" ht="15" hidden="false" customHeight="false" outlineLevel="0" collapsed="false">
      <c r="A1071" s="4" t="s">
        <v>2896</v>
      </c>
      <c r="B1071" s="5" t="n">
        <v>45931</v>
      </c>
      <c r="C1071" s="5" t="n">
        <v>46046</v>
      </c>
      <c r="D1071" s="4" t="s">
        <v>2849</v>
      </c>
      <c r="E1071" s="4" t="s">
        <v>613</v>
      </c>
      <c r="F1071" s="4" t="s">
        <v>2323</v>
      </c>
      <c r="G1071" s="4" t="s">
        <v>59</v>
      </c>
      <c r="H1071" s="4" t="n">
        <v>2</v>
      </c>
      <c r="I1071" s="4" t="n">
        <v>382.5</v>
      </c>
      <c r="J1071" s="4" t="s">
        <v>40</v>
      </c>
      <c r="K1071" s="4" t="s">
        <v>2897</v>
      </c>
      <c r="L1071" s="4" t="s">
        <v>2734</v>
      </c>
      <c r="M1071" s="4" t="s">
        <v>695</v>
      </c>
      <c r="N1071" s="4" t="s">
        <v>44</v>
      </c>
      <c r="O1071" s="4" t="s">
        <v>2898</v>
      </c>
      <c r="P1071" s="4" t="s">
        <v>2327</v>
      </c>
    </row>
    <row r="1072" customFormat="false" ht="15" hidden="false" customHeight="false" outlineLevel="0" collapsed="false">
      <c r="A1072" s="4" t="s">
        <v>2899</v>
      </c>
      <c r="B1072" s="5" t="n">
        <v>45932</v>
      </c>
      <c r="C1072" s="5" t="n">
        <v>46046</v>
      </c>
      <c r="D1072" s="4" t="s">
        <v>2849</v>
      </c>
      <c r="E1072" s="4" t="s">
        <v>627</v>
      </c>
      <c r="F1072" s="4" t="s">
        <v>376</v>
      </c>
      <c r="G1072" s="4" t="s">
        <v>326</v>
      </c>
      <c r="H1072" s="4" t="n">
        <v>1</v>
      </c>
      <c r="I1072" s="4" t="n">
        <v>2220</v>
      </c>
      <c r="J1072" s="4" t="s">
        <v>40</v>
      </c>
      <c r="K1072" s="4" t="s">
        <v>2737</v>
      </c>
      <c r="L1072" s="4" t="s">
        <v>2325</v>
      </c>
      <c r="M1072" s="4" t="s">
        <v>377</v>
      </c>
      <c r="N1072" s="4" t="s">
        <v>44</v>
      </c>
      <c r="O1072" s="4" t="s">
        <v>2738</v>
      </c>
      <c r="P1072" s="4" t="s">
        <v>2327</v>
      </c>
    </row>
    <row r="1073" customFormat="false" ht="15" hidden="false" customHeight="false" outlineLevel="0" collapsed="false">
      <c r="A1073" s="4" t="s">
        <v>2900</v>
      </c>
      <c r="B1073" s="5" t="n">
        <v>45932</v>
      </c>
      <c r="C1073" s="5" t="n">
        <v>46046</v>
      </c>
      <c r="D1073" s="4" t="s">
        <v>2849</v>
      </c>
      <c r="E1073" s="4" t="s">
        <v>761</v>
      </c>
      <c r="F1073" s="4" t="s">
        <v>2384</v>
      </c>
      <c r="G1073" s="4" t="s">
        <v>38</v>
      </c>
      <c r="H1073" s="4" t="n">
        <v>1</v>
      </c>
      <c r="I1073" s="4" t="n">
        <v>715</v>
      </c>
      <c r="J1073" s="4" t="s">
        <v>40</v>
      </c>
      <c r="K1073" s="4" t="s">
        <v>2728</v>
      </c>
      <c r="L1073" s="4" t="s">
        <v>376</v>
      </c>
      <c r="M1073" s="4" t="s">
        <v>377</v>
      </c>
      <c r="N1073" s="4" t="s">
        <v>44</v>
      </c>
      <c r="O1073" s="4" t="s">
        <v>2729</v>
      </c>
      <c r="P1073" s="4" t="s">
        <v>2327</v>
      </c>
    </row>
    <row r="1074" customFormat="false" ht="15" hidden="false" customHeight="false" outlineLevel="0" collapsed="false">
      <c r="A1074" s="4" t="s">
        <v>2901</v>
      </c>
      <c r="B1074" s="5" t="n">
        <v>45933</v>
      </c>
      <c r="C1074" s="5" t="n">
        <v>46046</v>
      </c>
      <c r="D1074" s="4" t="s">
        <v>2849</v>
      </c>
      <c r="E1074" s="4" t="s">
        <v>627</v>
      </c>
      <c r="F1074" s="4" t="s">
        <v>2332</v>
      </c>
      <c r="G1074" s="4" t="s">
        <v>59</v>
      </c>
      <c r="H1074" s="4" t="n">
        <v>2</v>
      </c>
      <c r="I1074" s="4" t="n">
        <v>385</v>
      </c>
      <c r="J1074" s="4" t="s">
        <v>40</v>
      </c>
      <c r="K1074" s="4" t="s">
        <v>2902</v>
      </c>
      <c r="L1074" s="4" t="s">
        <v>994</v>
      </c>
      <c r="M1074" s="4" t="s">
        <v>334</v>
      </c>
      <c r="N1074" s="4" t="s">
        <v>44</v>
      </c>
      <c r="O1074" s="4" t="s">
        <v>2903</v>
      </c>
      <c r="P1074" s="4" t="s">
        <v>2327</v>
      </c>
    </row>
    <row r="1075" customFormat="false" ht="15" hidden="false" customHeight="false" outlineLevel="0" collapsed="false">
      <c r="A1075" s="4" t="s">
        <v>2904</v>
      </c>
      <c r="B1075" s="5" t="n">
        <v>45933</v>
      </c>
      <c r="C1075" s="5" t="n">
        <v>46046</v>
      </c>
      <c r="D1075" s="4" t="s">
        <v>2849</v>
      </c>
      <c r="E1075" s="4" t="s">
        <v>627</v>
      </c>
      <c r="F1075" s="4" t="s">
        <v>2332</v>
      </c>
      <c r="G1075" s="4" t="s">
        <v>59</v>
      </c>
      <c r="H1075" s="4" t="n">
        <v>1</v>
      </c>
      <c r="I1075" s="4" t="n">
        <v>327.5</v>
      </c>
      <c r="J1075" s="4" t="s">
        <v>40</v>
      </c>
      <c r="K1075" s="4" t="s">
        <v>2905</v>
      </c>
      <c r="L1075" s="4" t="s">
        <v>2517</v>
      </c>
      <c r="M1075" s="4" t="s">
        <v>377</v>
      </c>
      <c r="N1075" s="4" t="s">
        <v>44</v>
      </c>
      <c r="O1075" s="4" t="s">
        <v>2906</v>
      </c>
      <c r="P1075" s="4" t="s">
        <v>2327</v>
      </c>
    </row>
    <row r="1076" customFormat="false" ht="15" hidden="false" customHeight="false" outlineLevel="0" collapsed="false">
      <c r="A1076" s="4" t="s">
        <v>2907</v>
      </c>
      <c r="B1076" s="5" t="n">
        <v>45933</v>
      </c>
      <c r="C1076" s="5" t="n">
        <v>46046</v>
      </c>
      <c r="D1076" s="4" t="s">
        <v>2849</v>
      </c>
      <c r="E1076" s="4" t="s">
        <v>627</v>
      </c>
      <c r="F1076" s="4" t="s">
        <v>2384</v>
      </c>
      <c r="G1076" s="4" t="s">
        <v>38</v>
      </c>
      <c r="H1076" s="4" t="n">
        <v>2</v>
      </c>
      <c r="I1076" s="4" t="n">
        <v>1095</v>
      </c>
      <c r="J1076" s="4" t="s">
        <v>40</v>
      </c>
      <c r="K1076" s="4" t="s">
        <v>2403</v>
      </c>
      <c r="L1076" s="4" t="s">
        <v>2384</v>
      </c>
      <c r="M1076" s="4" t="s">
        <v>377</v>
      </c>
      <c r="N1076" s="4" t="s">
        <v>44</v>
      </c>
      <c r="O1076" s="4" t="s">
        <v>2404</v>
      </c>
      <c r="P1076" s="4" t="s">
        <v>2327</v>
      </c>
    </row>
    <row r="1077" customFormat="false" ht="15" hidden="false" customHeight="false" outlineLevel="0" collapsed="false">
      <c r="A1077" s="4" t="s">
        <v>2908</v>
      </c>
      <c r="B1077" s="5" t="n">
        <v>45933</v>
      </c>
      <c r="C1077" s="5" t="n">
        <v>46046</v>
      </c>
      <c r="D1077" s="4" t="s">
        <v>2849</v>
      </c>
      <c r="E1077" s="4" t="s">
        <v>627</v>
      </c>
      <c r="F1077" s="4" t="s">
        <v>376</v>
      </c>
      <c r="G1077" s="4" t="s">
        <v>38</v>
      </c>
      <c r="H1077" s="4" t="n">
        <v>2</v>
      </c>
      <c r="I1077" s="4" t="n">
        <v>860</v>
      </c>
      <c r="J1077" s="4" t="s">
        <v>40</v>
      </c>
      <c r="K1077" s="4" t="s">
        <v>2909</v>
      </c>
      <c r="L1077" s="4" t="s">
        <v>862</v>
      </c>
      <c r="M1077" s="4" t="s">
        <v>356</v>
      </c>
      <c r="N1077" s="4" t="s">
        <v>863</v>
      </c>
      <c r="O1077" s="4"/>
      <c r="P1077" s="4" t="s">
        <v>2327</v>
      </c>
    </row>
    <row r="1078" customFormat="false" ht="15" hidden="false" customHeight="false" outlineLevel="0" collapsed="false">
      <c r="A1078" s="4" t="s">
        <v>2910</v>
      </c>
      <c r="B1078" s="5" t="n">
        <v>45933</v>
      </c>
      <c r="C1078" s="5" t="n">
        <v>46046</v>
      </c>
      <c r="D1078" s="4" t="s">
        <v>2849</v>
      </c>
      <c r="E1078" s="4" t="s">
        <v>761</v>
      </c>
      <c r="F1078" s="4" t="s">
        <v>376</v>
      </c>
      <c r="G1078" s="4" t="s">
        <v>38</v>
      </c>
      <c r="H1078" s="4" t="n">
        <v>2</v>
      </c>
      <c r="I1078" s="4" t="n">
        <v>750</v>
      </c>
      <c r="J1078" s="4" t="s">
        <v>149</v>
      </c>
      <c r="K1078" s="4" t="s">
        <v>2911</v>
      </c>
      <c r="L1078" s="4" t="s">
        <v>596</v>
      </c>
      <c r="M1078" s="4" t="s">
        <v>695</v>
      </c>
      <c r="N1078" s="4" t="s">
        <v>44</v>
      </c>
      <c r="O1078" s="4" t="s">
        <v>2912</v>
      </c>
      <c r="P1078" s="4" t="s">
        <v>2327</v>
      </c>
    </row>
    <row r="1079" customFormat="false" ht="15" hidden="false" customHeight="false" outlineLevel="0" collapsed="false">
      <c r="A1079" s="4" t="s">
        <v>2913</v>
      </c>
      <c r="B1079" s="5" t="n">
        <v>45933</v>
      </c>
      <c r="C1079" s="5" t="n">
        <v>46046</v>
      </c>
      <c r="D1079" s="4" t="s">
        <v>2849</v>
      </c>
      <c r="E1079" s="4" t="s">
        <v>627</v>
      </c>
      <c r="F1079" s="4" t="s">
        <v>2332</v>
      </c>
      <c r="G1079" s="4" t="s">
        <v>38</v>
      </c>
      <c r="H1079" s="4" t="n">
        <v>2</v>
      </c>
      <c r="I1079" s="4" t="n">
        <v>795</v>
      </c>
      <c r="J1079" s="4" t="s">
        <v>68</v>
      </c>
      <c r="K1079" s="4" t="s">
        <v>2693</v>
      </c>
      <c r="L1079" s="4" t="s">
        <v>376</v>
      </c>
      <c r="M1079" s="4" t="s">
        <v>377</v>
      </c>
      <c r="N1079" s="4" t="s">
        <v>52</v>
      </c>
      <c r="O1079" s="4" t="s">
        <v>2694</v>
      </c>
      <c r="P1079" s="4" t="s">
        <v>2327</v>
      </c>
    </row>
    <row r="1080" customFormat="false" ht="15" hidden="false" customHeight="false" outlineLevel="0" collapsed="false">
      <c r="A1080" s="4" t="s">
        <v>2914</v>
      </c>
      <c r="B1080" s="5" t="n">
        <v>45933</v>
      </c>
      <c r="C1080" s="5" t="n">
        <v>46046</v>
      </c>
      <c r="D1080" s="4" t="s">
        <v>2849</v>
      </c>
      <c r="E1080" s="4" t="s">
        <v>627</v>
      </c>
      <c r="F1080" s="4" t="s">
        <v>2332</v>
      </c>
      <c r="G1080" s="4" t="s">
        <v>38</v>
      </c>
      <c r="H1080" s="4" t="n">
        <v>1</v>
      </c>
      <c r="I1080" s="4" t="n">
        <v>1145</v>
      </c>
      <c r="J1080" s="4" t="s">
        <v>40</v>
      </c>
      <c r="K1080" s="4" t="s">
        <v>2915</v>
      </c>
      <c r="L1080" s="4" t="s">
        <v>736</v>
      </c>
      <c r="M1080" s="4" t="s">
        <v>737</v>
      </c>
      <c r="N1080" s="4" t="s">
        <v>44</v>
      </c>
      <c r="O1080" s="4" t="s">
        <v>2916</v>
      </c>
      <c r="P1080" s="4" t="s">
        <v>2327</v>
      </c>
    </row>
    <row r="1081" customFormat="false" ht="15" hidden="false" customHeight="false" outlineLevel="0" collapsed="false">
      <c r="A1081" s="4" t="s">
        <v>2917</v>
      </c>
      <c r="B1081" s="5" t="n">
        <v>45934</v>
      </c>
      <c r="C1081" s="5" t="n">
        <v>46046</v>
      </c>
      <c r="D1081" s="4" t="s">
        <v>2849</v>
      </c>
      <c r="E1081" s="4" t="s">
        <v>613</v>
      </c>
      <c r="F1081" s="4" t="s">
        <v>376</v>
      </c>
      <c r="G1081" s="4" t="s">
        <v>59</v>
      </c>
      <c r="H1081" s="4" t="n">
        <v>3</v>
      </c>
      <c r="I1081" s="4" t="n">
        <v>452.5</v>
      </c>
      <c r="J1081" s="4" t="s">
        <v>40</v>
      </c>
      <c r="K1081" s="4" t="s">
        <v>2798</v>
      </c>
      <c r="L1081" s="4" t="s">
        <v>376</v>
      </c>
      <c r="M1081" s="4" t="s">
        <v>377</v>
      </c>
      <c r="N1081" s="4" t="s">
        <v>44</v>
      </c>
      <c r="O1081" s="4" t="s">
        <v>2799</v>
      </c>
      <c r="P1081" s="4" t="s">
        <v>2327</v>
      </c>
    </row>
    <row r="1082" customFormat="false" ht="15" hidden="false" customHeight="false" outlineLevel="0" collapsed="false">
      <c r="A1082" s="4" t="s">
        <v>2918</v>
      </c>
      <c r="B1082" s="5" t="n">
        <v>45934</v>
      </c>
      <c r="C1082" s="5" t="n">
        <v>46046</v>
      </c>
      <c r="D1082" s="4" t="s">
        <v>2849</v>
      </c>
      <c r="E1082" s="4" t="s">
        <v>627</v>
      </c>
      <c r="F1082" s="4" t="s">
        <v>2384</v>
      </c>
      <c r="G1082" s="4" t="s">
        <v>326</v>
      </c>
      <c r="H1082" s="4" t="n">
        <v>2</v>
      </c>
      <c r="I1082" s="4" t="n">
        <v>1920</v>
      </c>
      <c r="J1082" s="4" t="s">
        <v>40</v>
      </c>
      <c r="K1082" s="4" t="s">
        <v>2919</v>
      </c>
      <c r="L1082" s="4" t="s">
        <v>862</v>
      </c>
      <c r="M1082" s="4" t="s">
        <v>356</v>
      </c>
      <c r="N1082" s="4" t="s">
        <v>863</v>
      </c>
      <c r="O1082" s="4"/>
      <c r="P1082" s="4" t="s">
        <v>2327</v>
      </c>
    </row>
    <row r="1083" customFormat="false" ht="15" hidden="false" customHeight="false" outlineLevel="0" collapsed="false">
      <c r="A1083" s="4" t="s">
        <v>2920</v>
      </c>
      <c r="B1083" s="5" t="n">
        <v>45935</v>
      </c>
      <c r="C1083" s="5" t="n">
        <v>46046</v>
      </c>
      <c r="D1083" s="4" t="s">
        <v>2849</v>
      </c>
      <c r="E1083" s="4" t="s">
        <v>627</v>
      </c>
      <c r="F1083" s="4" t="s">
        <v>376</v>
      </c>
      <c r="G1083" s="4" t="s">
        <v>326</v>
      </c>
      <c r="H1083" s="4" t="n">
        <v>1</v>
      </c>
      <c r="I1083" s="4" t="n">
        <v>1790</v>
      </c>
      <c r="J1083" s="4" t="s">
        <v>81</v>
      </c>
      <c r="K1083" s="4" t="s">
        <v>2921</v>
      </c>
      <c r="L1083" s="4" t="s">
        <v>376</v>
      </c>
      <c r="M1083" s="4" t="s">
        <v>1412</v>
      </c>
      <c r="N1083" s="4" t="s">
        <v>44</v>
      </c>
      <c r="O1083" s="4" t="s">
        <v>2922</v>
      </c>
      <c r="P1083" s="4" t="s">
        <v>2327</v>
      </c>
    </row>
    <row r="1084" customFormat="false" ht="15" hidden="false" customHeight="false" outlineLevel="0" collapsed="false">
      <c r="A1084" s="4" t="s">
        <v>2923</v>
      </c>
      <c r="B1084" s="5" t="n">
        <v>45935</v>
      </c>
      <c r="C1084" s="5" t="n">
        <v>46046</v>
      </c>
      <c r="D1084" s="4" t="s">
        <v>2849</v>
      </c>
      <c r="E1084" s="4" t="s">
        <v>627</v>
      </c>
      <c r="F1084" s="4" t="s">
        <v>376</v>
      </c>
      <c r="G1084" s="4" t="s">
        <v>59</v>
      </c>
      <c r="H1084" s="4" t="n">
        <v>3</v>
      </c>
      <c r="I1084" s="4" t="n">
        <v>400</v>
      </c>
      <c r="J1084" s="4" t="s">
        <v>68</v>
      </c>
      <c r="K1084" s="4" t="s">
        <v>2816</v>
      </c>
      <c r="L1084" s="4" t="s">
        <v>376</v>
      </c>
      <c r="M1084" s="4" t="s">
        <v>1412</v>
      </c>
      <c r="N1084" s="4" t="s">
        <v>185</v>
      </c>
      <c r="O1084" s="4" t="s">
        <v>2817</v>
      </c>
      <c r="P1084" s="4" t="s">
        <v>2327</v>
      </c>
    </row>
    <row r="1085" customFormat="false" ht="15" hidden="false" customHeight="false" outlineLevel="0" collapsed="false">
      <c r="A1085" s="4" t="s">
        <v>2924</v>
      </c>
      <c r="B1085" s="5" t="n">
        <v>45935</v>
      </c>
      <c r="C1085" s="5" t="n">
        <v>46046</v>
      </c>
      <c r="D1085" s="4" t="s">
        <v>2849</v>
      </c>
      <c r="E1085" s="4" t="s">
        <v>627</v>
      </c>
      <c r="F1085" s="4" t="s">
        <v>376</v>
      </c>
      <c r="G1085" s="4" t="s">
        <v>38</v>
      </c>
      <c r="H1085" s="4" t="n">
        <v>1</v>
      </c>
      <c r="I1085" s="4" t="n">
        <v>890</v>
      </c>
      <c r="J1085" s="4" t="s">
        <v>40</v>
      </c>
      <c r="K1085" s="4" t="s">
        <v>2925</v>
      </c>
      <c r="L1085" s="4" t="s">
        <v>571</v>
      </c>
      <c r="M1085" s="4" t="s">
        <v>356</v>
      </c>
      <c r="N1085" s="4" t="s">
        <v>357</v>
      </c>
      <c r="O1085" s="4"/>
      <c r="P1085" s="4" t="s">
        <v>2327</v>
      </c>
    </row>
    <row r="1086" customFormat="false" ht="15" hidden="false" customHeight="false" outlineLevel="0" collapsed="false">
      <c r="A1086" s="4" t="s">
        <v>2926</v>
      </c>
      <c r="B1086" s="5" t="n">
        <v>45935</v>
      </c>
      <c r="C1086" s="5" t="n">
        <v>46046</v>
      </c>
      <c r="D1086" s="4" t="s">
        <v>2849</v>
      </c>
      <c r="E1086" s="4" t="s">
        <v>618</v>
      </c>
      <c r="F1086" s="4" t="s">
        <v>376</v>
      </c>
      <c r="G1086" s="4" t="s">
        <v>59</v>
      </c>
      <c r="H1086" s="4" t="n">
        <v>2</v>
      </c>
      <c r="I1086" s="4" t="n">
        <v>515</v>
      </c>
      <c r="J1086" s="4" t="s">
        <v>40</v>
      </c>
      <c r="K1086" s="4" t="s">
        <v>2927</v>
      </c>
      <c r="L1086" s="4" t="s">
        <v>819</v>
      </c>
      <c r="M1086" s="4" t="s">
        <v>43</v>
      </c>
      <c r="N1086" s="4" t="s">
        <v>44</v>
      </c>
      <c r="O1086" s="4" t="s">
        <v>2928</v>
      </c>
      <c r="P1086" s="4" t="s">
        <v>2327</v>
      </c>
    </row>
    <row r="1087" customFormat="false" ht="15" hidden="false" customHeight="false" outlineLevel="0" collapsed="false">
      <c r="A1087" s="4" t="s">
        <v>2929</v>
      </c>
      <c r="B1087" s="5" t="n">
        <v>45936</v>
      </c>
      <c r="C1087" s="5" t="n">
        <v>46046</v>
      </c>
      <c r="D1087" s="4" t="s">
        <v>2849</v>
      </c>
      <c r="E1087" s="4" t="s">
        <v>627</v>
      </c>
      <c r="F1087" s="4" t="s">
        <v>376</v>
      </c>
      <c r="G1087" s="4" t="s">
        <v>59</v>
      </c>
      <c r="H1087" s="4" t="n">
        <v>2</v>
      </c>
      <c r="I1087" s="4" t="n">
        <v>395</v>
      </c>
      <c r="J1087" s="4" t="s">
        <v>68</v>
      </c>
      <c r="K1087" s="4" t="s">
        <v>602</v>
      </c>
      <c r="L1087" s="4" t="s">
        <v>909</v>
      </c>
      <c r="M1087" s="4" t="s">
        <v>356</v>
      </c>
      <c r="N1087" s="4" t="s">
        <v>357</v>
      </c>
      <c r="O1087" s="4"/>
      <c r="P1087" s="4" t="s">
        <v>2327</v>
      </c>
    </row>
    <row r="1088" customFormat="false" ht="15" hidden="false" customHeight="false" outlineLevel="0" collapsed="false">
      <c r="A1088" s="4" t="s">
        <v>2930</v>
      </c>
      <c r="B1088" s="5" t="n">
        <v>45936</v>
      </c>
      <c r="C1088" s="5" t="n">
        <v>46046</v>
      </c>
      <c r="D1088" s="4" t="s">
        <v>2849</v>
      </c>
      <c r="E1088" s="4" t="s">
        <v>627</v>
      </c>
      <c r="F1088" s="4" t="s">
        <v>376</v>
      </c>
      <c r="G1088" s="4" t="s">
        <v>59</v>
      </c>
      <c r="H1088" s="4" t="n">
        <v>2</v>
      </c>
      <c r="I1088" s="4" t="n">
        <v>390</v>
      </c>
      <c r="J1088" s="4" t="s">
        <v>40</v>
      </c>
      <c r="K1088" s="4" t="s">
        <v>2931</v>
      </c>
      <c r="L1088" s="4" t="s">
        <v>596</v>
      </c>
      <c r="M1088" s="4" t="s">
        <v>695</v>
      </c>
      <c r="N1088" s="4" t="s">
        <v>44</v>
      </c>
      <c r="O1088" s="4" t="s">
        <v>2932</v>
      </c>
      <c r="P1088" s="4" t="s">
        <v>2327</v>
      </c>
    </row>
    <row r="1089" customFormat="false" ht="15" hidden="false" customHeight="false" outlineLevel="0" collapsed="false">
      <c r="A1089" s="4" t="s">
        <v>2933</v>
      </c>
      <c r="B1089" s="5" t="n">
        <v>45936</v>
      </c>
      <c r="C1089" s="5" t="n">
        <v>46046</v>
      </c>
      <c r="D1089" s="4" t="s">
        <v>2849</v>
      </c>
      <c r="E1089" s="4" t="s">
        <v>627</v>
      </c>
      <c r="F1089" s="4" t="s">
        <v>376</v>
      </c>
      <c r="G1089" s="4" t="s">
        <v>59</v>
      </c>
      <c r="H1089" s="4" t="n">
        <v>2</v>
      </c>
      <c r="I1089" s="4" t="n">
        <v>397.5</v>
      </c>
      <c r="J1089" s="4" t="s">
        <v>68</v>
      </c>
      <c r="K1089" s="4" t="s">
        <v>2379</v>
      </c>
      <c r="L1089" s="4" t="s">
        <v>2384</v>
      </c>
      <c r="M1089" s="4" t="s">
        <v>377</v>
      </c>
      <c r="N1089" s="4" t="s">
        <v>44</v>
      </c>
      <c r="O1089" s="4" t="s">
        <v>2380</v>
      </c>
      <c r="P1089" s="4" t="s">
        <v>2327</v>
      </c>
    </row>
    <row r="1090" customFormat="false" ht="15" hidden="false" customHeight="false" outlineLevel="0" collapsed="false">
      <c r="A1090" s="4" t="s">
        <v>2934</v>
      </c>
      <c r="B1090" s="5" t="n">
        <v>45936</v>
      </c>
      <c r="C1090" s="5" t="n">
        <v>46046</v>
      </c>
      <c r="D1090" s="4" t="s">
        <v>2849</v>
      </c>
      <c r="E1090" s="4" t="s">
        <v>627</v>
      </c>
      <c r="F1090" s="4" t="s">
        <v>376</v>
      </c>
      <c r="G1090" s="4" t="s">
        <v>38</v>
      </c>
      <c r="H1090" s="4" t="n">
        <v>3</v>
      </c>
      <c r="I1090" s="4" t="n">
        <v>1100</v>
      </c>
      <c r="J1090" s="4" t="s">
        <v>68</v>
      </c>
      <c r="K1090" s="4" t="s">
        <v>2935</v>
      </c>
      <c r="L1090" s="4" t="s">
        <v>988</v>
      </c>
      <c r="M1090" s="4" t="s">
        <v>1683</v>
      </c>
      <c r="N1090" s="4" t="s">
        <v>44</v>
      </c>
      <c r="O1090" s="4" t="s">
        <v>2936</v>
      </c>
      <c r="P1090" s="4" t="s">
        <v>2327</v>
      </c>
    </row>
    <row r="1091" customFormat="false" ht="15" hidden="false" customHeight="false" outlineLevel="0" collapsed="false">
      <c r="A1091" s="4" t="s">
        <v>2937</v>
      </c>
      <c r="B1091" s="5" t="n">
        <v>45936</v>
      </c>
      <c r="C1091" s="5" t="n">
        <v>46046</v>
      </c>
      <c r="D1091" s="4" t="s">
        <v>2849</v>
      </c>
      <c r="E1091" s="4" t="s">
        <v>761</v>
      </c>
      <c r="F1091" s="4" t="s">
        <v>2384</v>
      </c>
      <c r="G1091" s="4" t="s">
        <v>38</v>
      </c>
      <c r="H1091" s="4" t="n">
        <v>2</v>
      </c>
      <c r="I1091" s="4" t="n">
        <v>995</v>
      </c>
      <c r="J1091" s="4" t="s">
        <v>40</v>
      </c>
      <c r="K1091" s="4" t="s">
        <v>2372</v>
      </c>
      <c r="L1091" s="4" t="s">
        <v>376</v>
      </c>
      <c r="M1091" s="4" t="s">
        <v>377</v>
      </c>
      <c r="N1091" s="4" t="s">
        <v>185</v>
      </c>
      <c r="O1091" s="4" t="s">
        <v>2373</v>
      </c>
      <c r="P1091" s="4" t="s">
        <v>2327</v>
      </c>
    </row>
    <row r="1092" customFormat="false" ht="15" hidden="false" customHeight="false" outlineLevel="0" collapsed="false">
      <c r="A1092" s="4" t="s">
        <v>2938</v>
      </c>
      <c r="B1092" s="5" t="n">
        <v>45936</v>
      </c>
      <c r="C1092" s="5" t="n">
        <v>46046</v>
      </c>
      <c r="D1092" s="4" t="s">
        <v>2849</v>
      </c>
      <c r="E1092" s="4" t="s">
        <v>627</v>
      </c>
      <c r="F1092" s="4" t="s">
        <v>2384</v>
      </c>
      <c r="G1092" s="4" t="s">
        <v>38</v>
      </c>
      <c r="H1092" s="4" t="n">
        <v>1</v>
      </c>
      <c r="I1092" s="4" t="n">
        <v>1050</v>
      </c>
      <c r="J1092" s="4" t="s">
        <v>68</v>
      </c>
      <c r="K1092" s="4" t="s">
        <v>2499</v>
      </c>
      <c r="L1092" s="4" t="s">
        <v>376</v>
      </c>
      <c r="M1092" s="4" t="s">
        <v>377</v>
      </c>
      <c r="N1092" s="4" t="s">
        <v>44</v>
      </c>
      <c r="O1092" s="4" t="s">
        <v>2500</v>
      </c>
      <c r="P1092" s="4" t="s">
        <v>2327</v>
      </c>
    </row>
    <row r="1093" customFormat="false" ht="15" hidden="false" customHeight="false" outlineLevel="0" collapsed="false">
      <c r="A1093" s="4" t="s">
        <v>2939</v>
      </c>
      <c r="B1093" s="5" t="n">
        <v>45936</v>
      </c>
      <c r="C1093" s="5" t="n">
        <v>46046</v>
      </c>
      <c r="D1093" s="4" t="s">
        <v>2849</v>
      </c>
      <c r="E1093" s="4" t="s">
        <v>761</v>
      </c>
      <c r="F1093" s="4" t="s">
        <v>376</v>
      </c>
      <c r="G1093" s="4" t="s">
        <v>38</v>
      </c>
      <c r="H1093" s="4" t="n">
        <v>2</v>
      </c>
      <c r="I1093" s="4" t="n">
        <v>745</v>
      </c>
      <c r="J1093" s="4" t="s">
        <v>40</v>
      </c>
      <c r="K1093" s="4" t="s">
        <v>2700</v>
      </c>
      <c r="L1093" s="4" t="s">
        <v>376</v>
      </c>
      <c r="M1093" s="4" t="s">
        <v>377</v>
      </c>
      <c r="N1093" s="4" t="s">
        <v>52</v>
      </c>
      <c r="O1093" s="4" t="s">
        <v>2701</v>
      </c>
      <c r="P1093" s="4" t="s">
        <v>2327</v>
      </c>
    </row>
    <row r="1094" customFormat="false" ht="15" hidden="false" customHeight="false" outlineLevel="0" collapsed="false">
      <c r="A1094" s="4" t="s">
        <v>2940</v>
      </c>
      <c r="B1094" s="5" t="n">
        <v>45936</v>
      </c>
      <c r="C1094" s="5" t="n">
        <v>46046</v>
      </c>
      <c r="D1094" s="4" t="s">
        <v>2849</v>
      </c>
      <c r="E1094" s="4" t="s">
        <v>627</v>
      </c>
      <c r="F1094" s="4" t="s">
        <v>2323</v>
      </c>
      <c r="G1094" s="4" t="s">
        <v>38</v>
      </c>
      <c r="H1094" s="4" t="n">
        <v>2</v>
      </c>
      <c r="I1094" s="4" t="n">
        <v>795</v>
      </c>
      <c r="J1094" s="4" t="s">
        <v>68</v>
      </c>
      <c r="K1094" s="4" t="s">
        <v>2523</v>
      </c>
      <c r="L1094" s="4" t="s">
        <v>376</v>
      </c>
      <c r="M1094" s="4" t="s">
        <v>377</v>
      </c>
      <c r="N1094" s="4" t="s">
        <v>185</v>
      </c>
      <c r="O1094" s="4" t="s">
        <v>2524</v>
      </c>
      <c r="P1094" s="4" t="s">
        <v>2327</v>
      </c>
    </row>
    <row r="1095" customFormat="false" ht="15" hidden="false" customHeight="false" outlineLevel="0" collapsed="false">
      <c r="A1095" s="4" t="s">
        <v>2941</v>
      </c>
      <c r="B1095" s="5" t="n">
        <v>45936</v>
      </c>
      <c r="C1095" s="5" t="n">
        <v>46046</v>
      </c>
      <c r="D1095" s="4" t="s">
        <v>2849</v>
      </c>
      <c r="E1095" s="4" t="s">
        <v>649</v>
      </c>
      <c r="F1095" s="4" t="s">
        <v>376</v>
      </c>
      <c r="G1095" s="4" t="s">
        <v>38</v>
      </c>
      <c r="H1095" s="4" t="n">
        <v>1</v>
      </c>
      <c r="I1095" s="4" t="n">
        <v>785</v>
      </c>
      <c r="J1095" s="4" t="s">
        <v>40</v>
      </c>
      <c r="K1095" s="4" t="s">
        <v>2865</v>
      </c>
      <c r="L1095" s="4" t="s">
        <v>1172</v>
      </c>
      <c r="M1095" s="4" t="s">
        <v>377</v>
      </c>
      <c r="N1095" s="4" t="s">
        <v>44</v>
      </c>
      <c r="O1095" s="4" t="s">
        <v>2866</v>
      </c>
      <c r="P1095" s="4" t="s">
        <v>2327</v>
      </c>
    </row>
    <row r="1096" customFormat="false" ht="15" hidden="false" customHeight="false" outlineLevel="0" collapsed="false">
      <c r="A1096" s="4" t="s">
        <v>2942</v>
      </c>
      <c r="B1096" s="5" t="n">
        <v>45936</v>
      </c>
      <c r="C1096" s="5" t="n">
        <v>46046</v>
      </c>
      <c r="D1096" s="4" t="s">
        <v>2849</v>
      </c>
      <c r="E1096" s="4" t="s">
        <v>613</v>
      </c>
      <c r="F1096" s="4" t="s">
        <v>376</v>
      </c>
      <c r="G1096" s="4" t="s">
        <v>38</v>
      </c>
      <c r="H1096" s="4" t="n">
        <v>1</v>
      </c>
      <c r="I1096" s="4" t="n">
        <v>745</v>
      </c>
      <c r="J1096" s="4" t="s">
        <v>68</v>
      </c>
      <c r="K1096" s="4" t="s">
        <v>41</v>
      </c>
      <c r="L1096" s="4" t="s">
        <v>37</v>
      </c>
      <c r="M1096" s="4" t="s">
        <v>43</v>
      </c>
      <c r="N1096" s="4" t="s">
        <v>44</v>
      </c>
      <c r="O1096" s="4" t="s">
        <v>45</v>
      </c>
      <c r="P1096" s="4" t="s">
        <v>2327</v>
      </c>
    </row>
    <row r="1097" customFormat="false" ht="15" hidden="false" customHeight="false" outlineLevel="0" collapsed="false">
      <c r="A1097" s="4" t="s">
        <v>2943</v>
      </c>
      <c r="B1097" s="5" t="n">
        <v>45936</v>
      </c>
      <c r="C1097" s="5" t="n">
        <v>46046</v>
      </c>
      <c r="D1097" s="4" t="s">
        <v>2849</v>
      </c>
      <c r="E1097" s="4" t="s">
        <v>649</v>
      </c>
      <c r="F1097" s="4" t="s">
        <v>376</v>
      </c>
      <c r="G1097" s="4" t="s">
        <v>326</v>
      </c>
      <c r="H1097" s="4" t="n">
        <v>3</v>
      </c>
      <c r="I1097" s="4" t="n">
        <v>1580</v>
      </c>
      <c r="J1097" s="4" t="s">
        <v>40</v>
      </c>
      <c r="K1097" s="4" t="s">
        <v>2868</v>
      </c>
      <c r="L1097" s="4" t="s">
        <v>376</v>
      </c>
      <c r="M1097" s="4" t="s">
        <v>377</v>
      </c>
      <c r="N1097" s="4" t="s">
        <v>44</v>
      </c>
      <c r="O1097" s="4" t="s">
        <v>2869</v>
      </c>
      <c r="P1097" s="4" t="s">
        <v>2327</v>
      </c>
    </row>
    <row r="1098" customFormat="false" ht="15" hidden="false" customHeight="false" outlineLevel="0" collapsed="false">
      <c r="A1098" s="4" t="s">
        <v>2944</v>
      </c>
      <c r="B1098" s="5" t="n">
        <v>45936</v>
      </c>
      <c r="C1098" s="5" t="n">
        <v>46046</v>
      </c>
      <c r="D1098" s="4" t="s">
        <v>2849</v>
      </c>
      <c r="E1098" s="4" t="s">
        <v>649</v>
      </c>
      <c r="F1098" s="4" t="s">
        <v>2332</v>
      </c>
      <c r="G1098" s="4" t="s">
        <v>326</v>
      </c>
      <c r="H1098" s="4" t="n">
        <v>3</v>
      </c>
      <c r="I1098" s="4" t="n">
        <v>2250</v>
      </c>
      <c r="J1098" s="4" t="s">
        <v>68</v>
      </c>
      <c r="K1098" s="4" t="s">
        <v>2648</v>
      </c>
      <c r="L1098" s="4" t="s">
        <v>376</v>
      </c>
      <c r="M1098" s="4" t="s">
        <v>377</v>
      </c>
      <c r="N1098" s="4" t="s">
        <v>44</v>
      </c>
      <c r="O1098" s="4" t="s">
        <v>2649</v>
      </c>
      <c r="P1098" s="4" t="s">
        <v>2327</v>
      </c>
    </row>
    <row r="1099" customFormat="false" ht="15" hidden="false" customHeight="false" outlineLevel="0" collapsed="false">
      <c r="A1099" s="4" t="s">
        <v>2945</v>
      </c>
      <c r="B1099" s="5" t="n">
        <v>45937</v>
      </c>
      <c r="C1099" s="5" t="n">
        <v>46046</v>
      </c>
      <c r="D1099" s="4" t="s">
        <v>2849</v>
      </c>
      <c r="E1099" s="4" t="s">
        <v>627</v>
      </c>
      <c r="F1099" s="4" t="s">
        <v>376</v>
      </c>
      <c r="G1099" s="4" t="s">
        <v>38</v>
      </c>
      <c r="H1099" s="4" t="n">
        <v>2</v>
      </c>
      <c r="I1099" s="4" t="n">
        <v>1150</v>
      </c>
      <c r="J1099" s="4" t="s">
        <v>68</v>
      </c>
      <c r="K1099" s="4" t="s">
        <v>2946</v>
      </c>
      <c r="L1099" s="4" t="s">
        <v>364</v>
      </c>
      <c r="M1099" s="4" t="s">
        <v>2947</v>
      </c>
      <c r="N1099" s="4" t="s">
        <v>185</v>
      </c>
      <c r="O1099" s="4" t="s">
        <v>2948</v>
      </c>
      <c r="P1099" s="4" t="s">
        <v>2327</v>
      </c>
    </row>
    <row r="1100" customFormat="false" ht="15" hidden="false" customHeight="false" outlineLevel="0" collapsed="false">
      <c r="A1100" s="4" t="s">
        <v>2949</v>
      </c>
      <c r="B1100" s="5" t="n">
        <v>45937</v>
      </c>
      <c r="C1100" s="5" t="n">
        <v>46046</v>
      </c>
      <c r="D1100" s="4" t="s">
        <v>2849</v>
      </c>
      <c r="E1100" s="4" t="s">
        <v>627</v>
      </c>
      <c r="F1100" s="4" t="s">
        <v>2384</v>
      </c>
      <c r="G1100" s="4" t="s">
        <v>38</v>
      </c>
      <c r="H1100" s="4" t="n">
        <v>1</v>
      </c>
      <c r="I1100" s="4" t="n">
        <v>1100</v>
      </c>
      <c r="J1100" s="4" t="s">
        <v>68</v>
      </c>
      <c r="K1100" s="4" t="s">
        <v>2950</v>
      </c>
      <c r="L1100" s="4" t="s">
        <v>376</v>
      </c>
      <c r="M1100" s="4" t="s">
        <v>377</v>
      </c>
      <c r="N1100" s="4" t="s">
        <v>44</v>
      </c>
      <c r="O1100" s="4" t="s">
        <v>2951</v>
      </c>
      <c r="P1100" s="4" t="s">
        <v>2327</v>
      </c>
    </row>
    <row r="1101" customFormat="false" ht="15" hidden="false" customHeight="false" outlineLevel="0" collapsed="false">
      <c r="A1101" s="4" t="s">
        <v>2952</v>
      </c>
      <c r="B1101" s="5" t="n">
        <v>45937</v>
      </c>
      <c r="C1101" s="5" t="n">
        <v>46046</v>
      </c>
      <c r="D1101" s="4" t="s">
        <v>2849</v>
      </c>
      <c r="E1101" s="4" t="s">
        <v>627</v>
      </c>
      <c r="F1101" s="4" t="s">
        <v>376</v>
      </c>
      <c r="G1101" s="4" t="s">
        <v>38</v>
      </c>
      <c r="H1101" s="4" t="n">
        <v>2</v>
      </c>
      <c r="I1101" s="4" t="n">
        <v>755</v>
      </c>
      <c r="J1101" s="4" t="s">
        <v>40</v>
      </c>
      <c r="K1101" s="4" t="s">
        <v>2953</v>
      </c>
      <c r="L1101" s="4" t="s">
        <v>900</v>
      </c>
      <c r="M1101" s="4" t="s">
        <v>356</v>
      </c>
      <c r="N1101" s="4" t="s">
        <v>901</v>
      </c>
      <c r="O1101" s="4"/>
      <c r="P1101" s="4" t="s">
        <v>2327</v>
      </c>
    </row>
    <row r="1102" customFormat="false" ht="15" hidden="false" customHeight="false" outlineLevel="0" collapsed="false">
      <c r="A1102" s="4" t="s">
        <v>2954</v>
      </c>
      <c r="B1102" s="5" t="n">
        <v>45937</v>
      </c>
      <c r="C1102" s="5" t="n">
        <v>46046</v>
      </c>
      <c r="D1102" s="4" t="s">
        <v>2849</v>
      </c>
      <c r="E1102" s="4" t="s">
        <v>761</v>
      </c>
      <c r="F1102" s="4" t="s">
        <v>376</v>
      </c>
      <c r="G1102" s="4" t="s">
        <v>38</v>
      </c>
      <c r="H1102" s="4" t="n">
        <v>3</v>
      </c>
      <c r="I1102" s="4" t="n">
        <v>760</v>
      </c>
      <c r="J1102" s="4" t="s">
        <v>40</v>
      </c>
      <c r="K1102" s="4" t="s">
        <v>2434</v>
      </c>
      <c r="L1102" s="4" t="s">
        <v>2325</v>
      </c>
      <c r="M1102" s="4" t="s">
        <v>377</v>
      </c>
      <c r="N1102" s="4" t="s">
        <v>44</v>
      </c>
      <c r="O1102" s="4" t="s">
        <v>2435</v>
      </c>
      <c r="P1102" s="4" t="s">
        <v>2327</v>
      </c>
    </row>
    <row r="1103" customFormat="false" ht="15" hidden="false" customHeight="false" outlineLevel="0" collapsed="false">
      <c r="A1103" s="4" t="s">
        <v>2955</v>
      </c>
      <c r="B1103" s="5" t="n">
        <v>45937</v>
      </c>
      <c r="C1103" s="5" t="n">
        <v>46046</v>
      </c>
      <c r="D1103" s="4" t="s">
        <v>2849</v>
      </c>
      <c r="E1103" s="4" t="s">
        <v>761</v>
      </c>
      <c r="F1103" s="4" t="s">
        <v>2323</v>
      </c>
      <c r="G1103" s="4" t="s">
        <v>59</v>
      </c>
      <c r="H1103" s="4" t="n">
        <v>1</v>
      </c>
      <c r="I1103" s="4" t="n">
        <v>387.5</v>
      </c>
      <c r="J1103" s="4" t="s">
        <v>68</v>
      </c>
      <c r="K1103" s="4" t="s">
        <v>2329</v>
      </c>
      <c r="L1103" s="4" t="s">
        <v>376</v>
      </c>
      <c r="M1103" s="4" t="s">
        <v>377</v>
      </c>
      <c r="N1103" s="4" t="s">
        <v>44</v>
      </c>
      <c r="O1103" s="4" t="s">
        <v>2330</v>
      </c>
      <c r="P1103" s="4" t="s">
        <v>2327</v>
      </c>
    </row>
    <row r="1104" customFormat="false" ht="15" hidden="false" customHeight="false" outlineLevel="0" collapsed="false">
      <c r="A1104" s="4" t="s">
        <v>2956</v>
      </c>
      <c r="B1104" s="5" t="n">
        <v>45938</v>
      </c>
      <c r="C1104" s="5" t="n">
        <v>46046</v>
      </c>
      <c r="D1104" s="4" t="s">
        <v>2849</v>
      </c>
      <c r="E1104" s="4" t="s">
        <v>618</v>
      </c>
      <c r="F1104" s="4" t="s">
        <v>376</v>
      </c>
      <c r="G1104" s="4" t="s">
        <v>326</v>
      </c>
      <c r="H1104" s="4" t="n">
        <v>2</v>
      </c>
      <c r="I1104" s="4" t="n">
        <v>1300</v>
      </c>
      <c r="J1104" s="4" t="s">
        <v>40</v>
      </c>
      <c r="K1104" s="4" t="s">
        <v>2760</v>
      </c>
      <c r="L1104" s="4" t="s">
        <v>376</v>
      </c>
      <c r="M1104" s="4" t="s">
        <v>377</v>
      </c>
      <c r="N1104" s="4" t="s">
        <v>44</v>
      </c>
      <c r="O1104" s="4" t="s">
        <v>2761</v>
      </c>
      <c r="P1104" s="4" t="s">
        <v>2327</v>
      </c>
    </row>
    <row r="1105" customFormat="false" ht="15" hidden="false" customHeight="false" outlineLevel="0" collapsed="false">
      <c r="A1105" s="4" t="s">
        <v>2957</v>
      </c>
      <c r="B1105" s="5" t="n">
        <v>45938</v>
      </c>
      <c r="C1105" s="5" t="n">
        <v>46046</v>
      </c>
      <c r="D1105" s="4" t="s">
        <v>2849</v>
      </c>
      <c r="E1105" s="4" t="s">
        <v>627</v>
      </c>
      <c r="F1105" s="4" t="s">
        <v>376</v>
      </c>
      <c r="G1105" s="4" t="s">
        <v>38</v>
      </c>
      <c r="H1105" s="4" t="n">
        <v>1</v>
      </c>
      <c r="I1105" s="4" t="n">
        <v>675</v>
      </c>
      <c r="J1105" s="4" t="s">
        <v>149</v>
      </c>
      <c r="K1105" s="4" t="s">
        <v>2742</v>
      </c>
      <c r="L1105" s="4" t="s">
        <v>376</v>
      </c>
      <c r="M1105" s="4" t="s">
        <v>377</v>
      </c>
      <c r="N1105" s="4" t="s">
        <v>44</v>
      </c>
      <c r="O1105" s="4" t="s">
        <v>2743</v>
      </c>
      <c r="P1105" s="4" t="s">
        <v>2327</v>
      </c>
    </row>
    <row r="1106" customFormat="false" ht="15" hidden="false" customHeight="false" outlineLevel="0" collapsed="false">
      <c r="A1106" s="4" t="s">
        <v>2958</v>
      </c>
      <c r="B1106" s="5" t="n">
        <v>45938</v>
      </c>
      <c r="C1106" s="5" t="n">
        <v>46046</v>
      </c>
      <c r="D1106" s="4" t="s">
        <v>2849</v>
      </c>
      <c r="E1106" s="4" t="s">
        <v>649</v>
      </c>
      <c r="F1106" s="4" t="s">
        <v>376</v>
      </c>
      <c r="G1106" s="4" t="s">
        <v>38</v>
      </c>
      <c r="H1106" s="4" t="n">
        <v>2</v>
      </c>
      <c r="I1106" s="4" t="n">
        <v>915</v>
      </c>
      <c r="J1106" s="4" t="s">
        <v>68</v>
      </c>
      <c r="K1106" s="4" t="s">
        <v>2959</v>
      </c>
      <c r="L1106" s="4" t="s">
        <v>634</v>
      </c>
      <c r="M1106" s="4" t="s">
        <v>635</v>
      </c>
      <c r="N1106" s="4" t="s">
        <v>44</v>
      </c>
      <c r="O1106" s="4" t="s">
        <v>2960</v>
      </c>
      <c r="P1106" s="4" t="s">
        <v>2327</v>
      </c>
    </row>
    <row r="1107" customFormat="false" ht="15" hidden="false" customHeight="false" outlineLevel="0" collapsed="false">
      <c r="A1107" s="4" t="s">
        <v>2961</v>
      </c>
      <c r="B1107" s="5" t="n">
        <v>45939</v>
      </c>
      <c r="C1107" s="5" t="n">
        <v>46046</v>
      </c>
      <c r="D1107" s="4" t="s">
        <v>2849</v>
      </c>
      <c r="E1107" s="4" t="s">
        <v>649</v>
      </c>
      <c r="F1107" s="4" t="s">
        <v>376</v>
      </c>
      <c r="G1107" s="4" t="s">
        <v>38</v>
      </c>
      <c r="H1107" s="4" t="n">
        <v>3</v>
      </c>
      <c r="I1107" s="4" t="n">
        <v>1055</v>
      </c>
      <c r="J1107" s="4" t="s">
        <v>40</v>
      </c>
      <c r="K1107" s="4" t="s">
        <v>2499</v>
      </c>
      <c r="L1107" s="4" t="s">
        <v>1172</v>
      </c>
      <c r="M1107" s="4" t="s">
        <v>377</v>
      </c>
      <c r="N1107" s="4" t="s">
        <v>44</v>
      </c>
      <c r="O1107" s="4" t="s">
        <v>2500</v>
      </c>
      <c r="P1107" s="4" t="s">
        <v>2327</v>
      </c>
    </row>
    <row r="1108" customFormat="false" ht="15" hidden="false" customHeight="false" outlineLevel="0" collapsed="false">
      <c r="A1108" s="4" t="s">
        <v>2962</v>
      </c>
      <c r="B1108" s="5" t="n">
        <v>45939</v>
      </c>
      <c r="C1108" s="5" t="n">
        <v>46046</v>
      </c>
      <c r="D1108" s="4" t="s">
        <v>2849</v>
      </c>
      <c r="E1108" s="4" t="s">
        <v>649</v>
      </c>
      <c r="F1108" s="4" t="s">
        <v>2362</v>
      </c>
      <c r="G1108" s="4" t="s">
        <v>326</v>
      </c>
      <c r="H1108" s="4" t="n">
        <v>4</v>
      </c>
      <c r="I1108" s="4" t="n">
        <v>1520</v>
      </c>
      <c r="J1108" s="4" t="s">
        <v>68</v>
      </c>
      <c r="K1108" s="4" t="s">
        <v>2456</v>
      </c>
      <c r="L1108" s="4" t="s">
        <v>376</v>
      </c>
      <c r="M1108" s="4" t="s">
        <v>377</v>
      </c>
      <c r="N1108" s="4" t="s">
        <v>94</v>
      </c>
      <c r="O1108" s="4" t="s">
        <v>2457</v>
      </c>
      <c r="P1108" s="4" t="s">
        <v>2327</v>
      </c>
    </row>
    <row r="1109" customFormat="false" ht="15" hidden="false" customHeight="false" outlineLevel="0" collapsed="false">
      <c r="A1109" s="4" t="s">
        <v>2963</v>
      </c>
      <c r="B1109" s="5" t="n">
        <v>45940</v>
      </c>
      <c r="C1109" s="5" t="n">
        <v>46046</v>
      </c>
      <c r="D1109" s="4" t="s">
        <v>2849</v>
      </c>
      <c r="E1109" s="4" t="s">
        <v>649</v>
      </c>
      <c r="F1109" s="4" t="s">
        <v>2323</v>
      </c>
      <c r="G1109" s="4" t="s">
        <v>38</v>
      </c>
      <c r="H1109" s="4" t="n">
        <v>1</v>
      </c>
      <c r="I1109" s="4" t="n">
        <v>790</v>
      </c>
      <c r="J1109" s="4" t="s">
        <v>149</v>
      </c>
      <c r="K1109" s="4" t="s">
        <v>2964</v>
      </c>
      <c r="L1109" s="4" t="s">
        <v>376</v>
      </c>
      <c r="M1109" s="4" t="s">
        <v>377</v>
      </c>
      <c r="N1109" s="4" t="s">
        <v>44</v>
      </c>
      <c r="O1109" s="4" t="s">
        <v>2965</v>
      </c>
      <c r="P1109" s="4" t="s">
        <v>2327</v>
      </c>
    </row>
    <row r="1110" customFormat="false" ht="15" hidden="false" customHeight="false" outlineLevel="0" collapsed="false">
      <c r="A1110" s="4" t="s">
        <v>2966</v>
      </c>
      <c r="B1110" s="5" t="n">
        <v>45940</v>
      </c>
      <c r="C1110" s="5" t="n">
        <v>46046</v>
      </c>
      <c r="D1110" s="4" t="s">
        <v>2849</v>
      </c>
      <c r="E1110" s="4" t="s">
        <v>649</v>
      </c>
      <c r="F1110" s="4" t="s">
        <v>2323</v>
      </c>
      <c r="G1110" s="4" t="s">
        <v>38</v>
      </c>
      <c r="H1110" s="4" t="n">
        <v>1</v>
      </c>
      <c r="I1110" s="4" t="n">
        <v>990</v>
      </c>
      <c r="J1110" s="4" t="s">
        <v>68</v>
      </c>
      <c r="K1110" s="4" t="s">
        <v>2967</v>
      </c>
      <c r="L1110" s="4" t="s">
        <v>2384</v>
      </c>
      <c r="M1110" s="4" t="s">
        <v>377</v>
      </c>
      <c r="N1110" s="4" t="s">
        <v>44</v>
      </c>
      <c r="O1110" s="4" t="s">
        <v>2968</v>
      </c>
      <c r="P1110" s="4" t="s">
        <v>2327</v>
      </c>
    </row>
    <row r="1111" customFormat="false" ht="15" hidden="false" customHeight="false" outlineLevel="0" collapsed="false">
      <c r="A1111" s="4" t="s">
        <v>2969</v>
      </c>
      <c r="B1111" s="5" t="n">
        <v>45940</v>
      </c>
      <c r="C1111" s="5" t="n">
        <v>46046</v>
      </c>
      <c r="D1111" s="4" t="s">
        <v>2849</v>
      </c>
      <c r="E1111" s="4" t="s">
        <v>627</v>
      </c>
      <c r="F1111" s="4" t="s">
        <v>376</v>
      </c>
      <c r="G1111" s="4" t="s">
        <v>59</v>
      </c>
      <c r="H1111" s="4" t="n">
        <v>2</v>
      </c>
      <c r="I1111" s="4" t="n">
        <v>337.5</v>
      </c>
      <c r="J1111" s="4" t="s">
        <v>68</v>
      </c>
      <c r="K1111" s="4" t="s">
        <v>2808</v>
      </c>
      <c r="L1111" s="4" t="s">
        <v>376</v>
      </c>
      <c r="M1111" s="4" t="s">
        <v>377</v>
      </c>
      <c r="N1111" s="4" t="s">
        <v>44</v>
      </c>
      <c r="O1111" s="4" t="s">
        <v>2809</v>
      </c>
      <c r="P1111" s="4" t="s">
        <v>2327</v>
      </c>
    </row>
    <row r="1112" customFormat="false" ht="15" hidden="false" customHeight="false" outlineLevel="0" collapsed="false">
      <c r="A1112" s="4" t="s">
        <v>2970</v>
      </c>
      <c r="B1112" s="5" t="n">
        <v>45940</v>
      </c>
      <c r="C1112" s="5" t="n">
        <v>46046</v>
      </c>
      <c r="D1112" s="4" t="s">
        <v>2849</v>
      </c>
      <c r="E1112" s="4" t="s">
        <v>627</v>
      </c>
      <c r="F1112" s="4" t="s">
        <v>2384</v>
      </c>
      <c r="G1112" s="4" t="s">
        <v>38</v>
      </c>
      <c r="H1112" s="4" t="n">
        <v>0</v>
      </c>
      <c r="I1112" s="4" t="n">
        <v>715</v>
      </c>
      <c r="J1112" s="4" t="s">
        <v>40</v>
      </c>
      <c r="K1112" s="4" t="s">
        <v>2971</v>
      </c>
      <c r="L1112" s="4" t="s">
        <v>634</v>
      </c>
      <c r="M1112" s="4" t="s">
        <v>635</v>
      </c>
      <c r="N1112" s="4" t="s">
        <v>44</v>
      </c>
      <c r="O1112" s="4" t="s">
        <v>2972</v>
      </c>
      <c r="P1112" s="4" t="s">
        <v>2327</v>
      </c>
    </row>
    <row r="1113" customFormat="false" ht="15" hidden="false" customHeight="false" outlineLevel="0" collapsed="false">
      <c r="A1113" s="4" t="s">
        <v>2973</v>
      </c>
      <c r="B1113" s="5" t="n">
        <v>45940</v>
      </c>
      <c r="C1113" s="5" t="n">
        <v>46046</v>
      </c>
      <c r="D1113" s="4" t="s">
        <v>2849</v>
      </c>
      <c r="E1113" s="4" t="s">
        <v>613</v>
      </c>
      <c r="F1113" s="4" t="s">
        <v>376</v>
      </c>
      <c r="G1113" s="4" t="s">
        <v>38</v>
      </c>
      <c r="H1113" s="4" t="n">
        <v>1</v>
      </c>
      <c r="I1113" s="4" t="n">
        <v>935</v>
      </c>
      <c r="J1113" s="4" t="s">
        <v>81</v>
      </c>
      <c r="K1113" s="4" t="s">
        <v>2974</v>
      </c>
      <c r="L1113" s="4" t="s">
        <v>2384</v>
      </c>
      <c r="M1113" s="4" t="s">
        <v>1412</v>
      </c>
      <c r="N1113" s="4" t="s">
        <v>44</v>
      </c>
      <c r="O1113" s="4" t="s">
        <v>2975</v>
      </c>
      <c r="P1113" s="4" t="s">
        <v>2327</v>
      </c>
    </row>
    <row r="1114" customFormat="false" ht="15" hidden="false" customHeight="false" outlineLevel="0" collapsed="false">
      <c r="A1114" s="4" t="s">
        <v>2976</v>
      </c>
      <c r="B1114" s="5" t="n">
        <v>45940</v>
      </c>
      <c r="C1114" s="5" t="n">
        <v>46046</v>
      </c>
      <c r="D1114" s="4" t="s">
        <v>2849</v>
      </c>
      <c r="E1114" s="4" t="s">
        <v>627</v>
      </c>
      <c r="F1114" s="4" t="s">
        <v>2362</v>
      </c>
      <c r="G1114" s="4" t="s">
        <v>38</v>
      </c>
      <c r="H1114" s="4" t="n">
        <v>1</v>
      </c>
      <c r="I1114" s="4" t="n">
        <v>1105</v>
      </c>
      <c r="J1114" s="4" t="s">
        <v>68</v>
      </c>
      <c r="K1114" s="4" t="s">
        <v>2977</v>
      </c>
      <c r="L1114" s="4" t="s">
        <v>455</v>
      </c>
      <c r="M1114" s="4" t="s">
        <v>1499</v>
      </c>
      <c r="N1114" s="4" t="s">
        <v>44</v>
      </c>
      <c r="O1114" s="4" t="s">
        <v>2978</v>
      </c>
      <c r="P1114" s="4" t="s">
        <v>2327</v>
      </c>
    </row>
    <row r="1115" customFormat="false" ht="15" hidden="false" customHeight="false" outlineLevel="0" collapsed="false">
      <c r="A1115" s="4" t="s">
        <v>2979</v>
      </c>
      <c r="B1115" s="5" t="n">
        <v>45940</v>
      </c>
      <c r="C1115" s="5" t="n">
        <v>46046</v>
      </c>
      <c r="D1115" s="4" t="s">
        <v>2849</v>
      </c>
      <c r="E1115" s="4" t="s">
        <v>627</v>
      </c>
      <c r="F1115" s="4" t="s">
        <v>376</v>
      </c>
      <c r="G1115" s="4" t="s">
        <v>59</v>
      </c>
      <c r="H1115" s="4" t="n">
        <v>4</v>
      </c>
      <c r="I1115" s="4"/>
      <c r="J1115" s="4" t="s">
        <v>68</v>
      </c>
      <c r="K1115" s="4" t="s">
        <v>2409</v>
      </c>
      <c r="L1115" s="4" t="s">
        <v>2325</v>
      </c>
      <c r="M1115" s="4" t="s">
        <v>377</v>
      </c>
      <c r="N1115" s="4" t="s">
        <v>44</v>
      </c>
      <c r="O1115" s="4" t="s">
        <v>2410</v>
      </c>
      <c r="P1115" s="4" t="s">
        <v>2327</v>
      </c>
    </row>
    <row r="1116" customFormat="false" ht="15" hidden="false" customHeight="false" outlineLevel="0" collapsed="false">
      <c r="A1116" s="4" t="s">
        <v>2980</v>
      </c>
      <c r="B1116" s="5" t="n">
        <v>45940</v>
      </c>
      <c r="C1116" s="5" t="n">
        <v>45942</v>
      </c>
      <c r="D1116" s="4" t="s">
        <v>2322</v>
      </c>
      <c r="E1116" s="4" t="s">
        <v>89</v>
      </c>
      <c r="F1116" s="4" t="s">
        <v>2362</v>
      </c>
      <c r="G1116" s="4" t="s">
        <v>59</v>
      </c>
      <c r="H1116" s="4" t="n">
        <v>2</v>
      </c>
      <c r="I1116" s="4" t="n">
        <v>15</v>
      </c>
      <c r="J1116" s="4" t="s">
        <v>68</v>
      </c>
      <c r="K1116" s="4" t="s">
        <v>2648</v>
      </c>
      <c r="L1116" s="4" t="s">
        <v>2325</v>
      </c>
      <c r="M1116" s="4" t="s">
        <v>377</v>
      </c>
      <c r="N1116" s="4" t="s">
        <v>44</v>
      </c>
      <c r="O1116" s="4" t="s">
        <v>2649</v>
      </c>
      <c r="P1116" s="4" t="s">
        <v>2327</v>
      </c>
    </row>
    <row r="1117" customFormat="false" ht="15" hidden="false" customHeight="false" outlineLevel="0" collapsed="false">
      <c r="A1117" s="4" t="s">
        <v>2981</v>
      </c>
      <c r="B1117" s="5" t="n">
        <v>45941</v>
      </c>
      <c r="C1117" s="5" t="n">
        <v>46046</v>
      </c>
      <c r="D1117" s="4" t="s">
        <v>2849</v>
      </c>
      <c r="E1117" s="4" t="s">
        <v>627</v>
      </c>
      <c r="F1117" s="4" t="s">
        <v>376</v>
      </c>
      <c r="G1117" s="4" t="s">
        <v>59</v>
      </c>
      <c r="H1117" s="4" t="n">
        <v>1</v>
      </c>
      <c r="I1117" s="4" t="n">
        <v>557.5</v>
      </c>
      <c r="J1117" s="4" t="s">
        <v>68</v>
      </c>
      <c r="K1117" s="4" t="s">
        <v>2771</v>
      </c>
      <c r="L1117" s="4" t="s">
        <v>376</v>
      </c>
      <c r="M1117" s="4" t="s">
        <v>377</v>
      </c>
      <c r="N1117" s="4" t="s">
        <v>44</v>
      </c>
      <c r="O1117" s="4" t="s">
        <v>2772</v>
      </c>
      <c r="P1117" s="4" t="s">
        <v>2327</v>
      </c>
    </row>
    <row r="1118" customFormat="false" ht="15" hidden="false" customHeight="false" outlineLevel="0" collapsed="false">
      <c r="A1118" s="4" t="s">
        <v>2982</v>
      </c>
      <c r="B1118" s="5" t="n">
        <v>45942</v>
      </c>
      <c r="C1118" s="5" t="n">
        <v>46046</v>
      </c>
      <c r="D1118" s="4" t="s">
        <v>2849</v>
      </c>
      <c r="E1118" s="4" t="s">
        <v>613</v>
      </c>
      <c r="F1118" s="4" t="s">
        <v>376</v>
      </c>
      <c r="G1118" s="4" t="s">
        <v>326</v>
      </c>
      <c r="H1118" s="4" t="n">
        <v>2</v>
      </c>
      <c r="I1118" s="4" t="n">
        <v>1840</v>
      </c>
      <c r="J1118" s="4" t="s">
        <v>68</v>
      </c>
      <c r="K1118" s="4" t="s">
        <v>284</v>
      </c>
      <c r="L1118" s="4" t="s">
        <v>42</v>
      </c>
      <c r="M1118" s="4" t="s">
        <v>43</v>
      </c>
      <c r="N1118" s="4" t="s">
        <v>94</v>
      </c>
      <c r="O1118" s="4" t="s">
        <v>285</v>
      </c>
      <c r="P1118" s="4" t="s">
        <v>2327</v>
      </c>
    </row>
    <row r="1119" customFormat="false" ht="15" hidden="false" customHeight="false" outlineLevel="0" collapsed="false">
      <c r="A1119" s="4" t="s">
        <v>2983</v>
      </c>
      <c r="B1119" s="5" t="n">
        <v>45942</v>
      </c>
      <c r="C1119" s="5" t="n">
        <v>46046</v>
      </c>
      <c r="D1119" s="4" t="s">
        <v>2849</v>
      </c>
      <c r="E1119" s="4" t="s">
        <v>627</v>
      </c>
      <c r="F1119" s="4" t="s">
        <v>376</v>
      </c>
      <c r="G1119" s="4" t="s">
        <v>38</v>
      </c>
      <c r="H1119" s="4" t="n">
        <v>3</v>
      </c>
      <c r="I1119" s="4" t="n">
        <v>710</v>
      </c>
      <c r="J1119" s="4" t="s">
        <v>40</v>
      </c>
      <c r="K1119" s="4" t="s">
        <v>2571</v>
      </c>
      <c r="L1119" s="4" t="s">
        <v>376</v>
      </c>
      <c r="M1119" s="4" t="s">
        <v>377</v>
      </c>
      <c r="N1119" s="4" t="s">
        <v>44</v>
      </c>
      <c r="O1119" s="4" t="s">
        <v>2572</v>
      </c>
      <c r="P1119" s="4" t="s">
        <v>2327</v>
      </c>
    </row>
    <row r="1120" customFormat="false" ht="15" hidden="false" customHeight="false" outlineLevel="0" collapsed="false">
      <c r="A1120" s="4" t="s">
        <v>2984</v>
      </c>
      <c r="B1120" s="5" t="n">
        <v>45943</v>
      </c>
      <c r="C1120" s="5" t="n">
        <v>46046</v>
      </c>
      <c r="D1120" s="4" t="s">
        <v>2849</v>
      </c>
      <c r="E1120" s="4" t="s">
        <v>761</v>
      </c>
      <c r="F1120" s="4" t="s">
        <v>2323</v>
      </c>
      <c r="G1120" s="4" t="s">
        <v>38</v>
      </c>
      <c r="H1120" s="4" t="n">
        <v>2</v>
      </c>
      <c r="I1120" s="4" t="n">
        <v>765</v>
      </c>
      <c r="J1120" s="4" t="s">
        <v>40</v>
      </c>
      <c r="K1120" s="4" t="s">
        <v>2985</v>
      </c>
      <c r="L1120" s="4" t="s">
        <v>463</v>
      </c>
      <c r="M1120" s="4" t="s">
        <v>464</v>
      </c>
      <c r="N1120" s="4" t="s">
        <v>44</v>
      </c>
      <c r="O1120" s="4" t="s">
        <v>2986</v>
      </c>
      <c r="P1120" s="4" t="s">
        <v>2327</v>
      </c>
    </row>
    <row r="1121" customFormat="false" ht="15" hidden="false" customHeight="false" outlineLevel="0" collapsed="false">
      <c r="A1121" s="4" t="s">
        <v>2987</v>
      </c>
      <c r="B1121" s="5" t="n">
        <v>45944</v>
      </c>
      <c r="C1121" s="5" t="n">
        <v>46046</v>
      </c>
      <c r="D1121" s="4" t="s">
        <v>2849</v>
      </c>
      <c r="E1121" s="4" t="s">
        <v>627</v>
      </c>
      <c r="F1121" s="4" t="s">
        <v>2332</v>
      </c>
      <c r="G1121" s="4" t="s">
        <v>59</v>
      </c>
      <c r="H1121" s="4" t="n">
        <v>2</v>
      </c>
      <c r="I1121" s="4" t="n">
        <v>542.5</v>
      </c>
      <c r="J1121" s="4" t="s">
        <v>68</v>
      </c>
      <c r="K1121" s="4" t="s">
        <v>2988</v>
      </c>
      <c r="L1121" s="4" t="s">
        <v>988</v>
      </c>
      <c r="M1121" s="4" t="s">
        <v>737</v>
      </c>
      <c r="N1121" s="4" t="s">
        <v>44</v>
      </c>
      <c r="O1121" s="4" t="s">
        <v>2989</v>
      </c>
      <c r="P1121" s="4" t="s">
        <v>2327</v>
      </c>
    </row>
    <row r="1122" customFormat="false" ht="15" hidden="false" customHeight="false" outlineLevel="0" collapsed="false">
      <c r="A1122" s="4" t="s">
        <v>2990</v>
      </c>
      <c r="B1122" s="5" t="n">
        <v>45944</v>
      </c>
      <c r="C1122" s="5" t="n">
        <v>46046</v>
      </c>
      <c r="D1122" s="4" t="s">
        <v>2849</v>
      </c>
      <c r="E1122" s="4" t="s">
        <v>627</v>
      </c>
      <c r="F1122" s="4" t="s">
        <v>2384</v>
      </c>
      <c r="G1122" s="4" t="s">
        <v>38</v>
      </c>
      <c r="H1122" s="4" t="n">
        <v>1</v>
      </c>
      <c r="I1122" s="4" t="n">
        <v>1130</v>
      </c>
      <c r="J1122" s="4" t="s">
        <v>149</v>
      </c>
      <c r="K1122" s="4" t="s">
        <v>2991</v>
      </c>
      <c r="L1122" s="4" t="s">
        <v>376</v>
      </c>
      <c r="M1122" s="4" t="s">
        <v>377</v>
      </c>
      <c r="N1122" s="4" t="s">
        <v>44</v>
      </c>
      <c r="O1122" s="4" t="s">
        <v>2992</v>
      </c>
      <c r="P1122" s="4" t="s">
        <v>2327</v>
      </c>
    </row>
    <row r="1123" customFormat="false" ht="15" hidden="false" customHeight="false" outlineLevel="0" collapsed="false">
      <c r="A1123" s="4" t="s">
        <v>2993</v>
      </c>
      <c r="B1123" s="5" t="n">
        <v>45944</v>
      </c>
      <c r="C1123" s="5" t="n">
        <v>46046</v>
      </c>
      <c r="D1123" s="4" t="s">
        <v>2849</v>
      </c>
      <c r="E1123" s="4" t="s">
        <v>627</v>
      </c>
      <c r="F1123" s="4" t="s">
        <v>376</v>
      </c>
      <c r="G1123" s="4" t="s">
        <v>59</v>
      </c>
      <c r="H1123" s="4" t="n">
        <v>4</v>
      </c>
      <c r="I1123" s="4" t="n">
        <v>370</v>
      </c>
      <c r="J1123" s="4" t="s">
        <v>81</v>
      </c>
      <c r="K1123" s="4" t="s">
        <v>2693</v>
      </c>
      <c r="L1123" s="4" t="s">
        <v>376</v>
      </c>
      <c r="M1123" s="4" t="s">
        <v>377</v>
      </c>
      <c r="N1123" s="4" t="s">
        <v>44</v>
      </c>
      <c r="O1123" s="4" t="s">
        <v>2694</v>
      </c>
      <c r="P1123" s="4" t="s">
        <v>2327</v>
      </c>
    </row>
    <row r="1124" customFormat="false" ht="15" hidden="false" customHeight="false" outlineLevel="0" collapsed="false">
      <c r="A1124" s="4" t="s">
        <v>2994</v>
      </c>
      <c r="B1124" s="5" t="n">
        <v>45944</v>
      </c>
      <c r="C1124" s="5" t="n">
        <v>46046</v>
      </c>
      <c r="D1124" s="4" t="s">
        <v>2849</v>
      </c>
      <c r="E1124" s="4" t="s">
        <v>627</v>
      </c>
      <c r="F1124" s="4" t="s">
        <v>376</v>
      </c>
      <c r="G1124" s="4" t="s">
        <v>59</v>
      </c>
      <c r="H1124" s="4" t="n">
        <v>2</v>
      </c>
      <c r="I1124" s="4" t="n">
        <v>400</v>
      </c>
      <c r="J1124" s="4" t="s">
        <v>149</v>
      </c>
      <c r="K1124" s="4" t="s">
        <v>2995</v>
      </c>
      <c r="L1124" s="4" t="s">
        <v>1514</v>
      </c>
      <c r="M1124" s="4" t="s">
        <v>43</v>
      </c>
      <c r="N1124" s="4" t="s">
        <v>44</v>
      </c>
      <c r="O1124" s="4" t="s">
        <v>2996</v>
      </c>
      <c r="P1124" s="4" t="s">
        <v>2327</v>
      </c>
    </row>
    <row r="1125" customFormat="false" ht="15" hidden="false" customHeight="false" outlineLevel="0" collapsed="false">
      <c r="A1125" s="4" t="s">
        <v>2997</v>
      </c>
      <c r="B1125" s="5" t="n">
        <v>45944</v>
      </c>
      <c r="C1125" s="5" t="n">
        <v>46046</v>
      </c>
      <c r="D1125" s="4" t="s">
        <v>2849</v>
      </c>
      <c r="E1125" s="4" t="s">
        <v>627</v>
      </c>
      <c r="F1125" s="4" t="s">
        <v>376</v>
      </c>
      <c r="G1125" s="4" t="s">
        <v>38</v>
      </c>
      <c r="H1125" s="4" t="n">
        <v>1</v>
      </c>
      <c r="I1125" s="4" t="n">
        <v>840</v>
      </c>
      <c r="J1125" s="4" t="s">
        <v>81</v>
      </c>
      <c r="K1125" s="4" t="s">
        <v>2816</v>
      </c>
      <c r="L1125" s="4" t="s">
        <v>2384</v>
      </c>
      <c r="M1125" s="4" t="s">
        <v>377</v>
      </c>
      <c r="N1125" s="4" t="s">
        <v>44</v>
      </c>
      <c r="O1125" s="4" t="s">
        <v>2817</v>
      </c>
      <c r="P1125" s="4" t="s">
        <v>2327</v>
      </c>
    </row>
    <row r="1126" customFormat="false" ht="15" hidden="false" customHeight="false" outlineLevel="0" collapsed="false">
      <c r="A1126" s="4" t="s">
        <v>2998</v>
      </c>
      <c r="B1126" s="5" t="n">
        <v>45944</v>
      </c>
      <c r="C1126" s="5" t="n">
        <v>46046</v>
      </c>
      <c r="D1126" s="4" t="s">
        <v>2849</v>
      </c>
      <c r="E1126" s="4" t="s">
        <v>649</v>
      </c>
      <c r="F1126" s="4" t="s">
        <v>376</v>
      </c>
      <c r="G1126" s="4" t="s">
        <v>59</v>
      </c>
      <c r="H1126" s="4" t="n">
        <v>2</v>
      </c>
      <c r="I1126" s="4" t="n">
        <v>435</v>
      </c>
      <c r="J1126" s="4" t="s">
        <v>68</v>
      </c>
      <c r="K1126" s="4" t="s">
        <v>2499</v>
      </c>
      <c r="L1126" s="4" t="s">
        <v>2384</v>
      </c>
      <c r="M1126" s="4" t="s">
        <v>377</v>
      </c>
      <c r="N1126" s="4" t="s">
        <v>44</v>
      </c>
      <c r="O1126" s="4" t="s">
        <v>2500</v>
      </c>
      <c r="P1126" s="4" t="s">
        <v>2327</v>
      </c>
    </row>
    <row r="1127" customFormat="false" ht="15" hidden="false" customHeight="false" outlineLevel="0" collapsed="false">
      <c r="A1127" s="4" t="s">
        <v>2999</v>
      </c>
      <c r="B1127" s="5" t="n">
        <v>45944</v>
      </c>
      <c r="C1127" s="5" t="n">
        <v>46046</v>
      </c>
      <c r="D1127" s="4" t="s">
        <v>2849</v>
      </c>
      <c r="E1127" s="4" t="s">
        <v>627</v>
      </c>
      <c r="F1127" s="4" t="s">
        <v>2362</v>
      </c>
      <c r="G1127" s="4" t="s">
        <v>38</v>
      </c>
      <c r="H1127" s="4" t="n">
        <v>4</v>
      </c>
      <c r="I1127" s="4" t="n">
        <v>740</v>
      </c>
      <c r="J1127" s="4" t="s">
        <v>40</v>
      </c>
      <c r="K1127" s="4" t="s">
        <v>1411</v>
      </c>
      <c r="L1127" s="4" t="s">
        <v>2517</v>
      </c>
      <c r="M1127" s="4" t="s">
        <v>377</v>
      </c>
      <c r="N1127" s="4" t="s">
        <v>94</v>
      </c>
      <c r="O1127" s="4" t="s">
        <v>1413</v>
      </c>
      <c r="P1127" s="4" t="s">
        <v>2327</v>
      </c>
    </row>
    <row r="1128" customFormat="false" ht="15" hidden="false" customHeight="false" outlineLevel="0" collapsed="false">
      <c r="A1128" s="4" t="s">
        <v>3000</v>
      </c>
      <c r="B1128" s="5" t="n">
        <v>45944</v>
      </c>
      <c r="C1128" s="5" t="n">
        <v>46046</v>
      </c>
      <c r="D1128" s="4" t="s">
        <v>2849</v>
      </c>
      <c r="E1128" s="4" t="s">
        <v>627</v>
      </c>
      <c r="F1128" s="4" t="s">
        <v>376</v>
      </c>
      <c r="G1128" s="4" t="s">
        <v>38</v>
      </c>
      <c r="H1128" s="4" t="n">
        <v>3</v>
      </c>
      <c r="I1128" s="4" t="n">
        <v>830</v>
      </c>
      <c r="J1128" s="4" t="s">
        <v>149</v>
      </c>
      <c r="K1128" s="4" t="s">
        <v>3001</v>
      </c>
      <c r="L1128" s="4" t="s">
        <v>596</v>
      </c>
      <c r="M1128" s="4" t="s">
        <v>695</v>
      </c>
      <c r="N1128" s="4" t="s">
        <v>44</v>
      </c>
      <c r="O1128" s="4" t="s">
        <v>3002</v>
      </c>
      <c r="P1128" s="4" t="s">
        <v>2327</v>
      </c>
    </row>
    <row r="1129" customFormat="false" ht="15" hidden="false" customHeight="false" outlineLevel="0" collapsed="false">
      <c r="A1129" s="4" t="s">
        <v>3003</v>
      </c>
      <c r="B1129" s="5" t="n">
        <v>45944</v>
      </c>
      <c r="C1129" s="5" t="n">
        <v>46046</v>
      </c>
      <c r="D1129" s="4" t="s">
        <v>2849</v>
      </c>
      <c r="E1129" s="4" t="s">
        <v>618</v>
      </c>
      <c r="F1129" s="4" t="s">
        <v>376</v>
      </c>
      <c r="G1129" s="4" t="s">
        <v>59</v>
      </c>
      <c r="H1129" s="4" t="n">
        <v>1</v>
      </c>
      <c r="I1129" s="4" t="n">
        <v>565</v>
      </c>
      <c r="J1129" s="4" t="s">
        <v>40</v>
      </c>
      <c r="K1129" s="4" t="s">
        <v>1200</v>
      </c>
      <c r="L1129" s="4" t="s">
        <v>219</v>
      </c>
      <c r="M1129" s="4" t="s">
        <v>356</v>
      </c>
      <c r="N1129" s="4" t="s">
        <v>768</v>
      </c>
      <c r="O1129" s="4"/>
      <c r="P1129" s="4" t="s">
        <v>2327</v>
      </c>
    </row>
    <row r="1130" customFormat="false" ht="15" hidden="false" customHeight="false" outlineLevel="0" collapsed="false">
      <c r="A1130" s="4" t="s">
        <v>3004</v>
      </c>
      <c r="B1130" s="5" t="n">
        <v>45945</v>
      </c>
      <c r="C1130" s="5" t="n">
        <v>46046</v>
      </c>
      <c r="D1130" s="4" t="s">
        <v>2849</v>
      </c>
      <c r="E1130" s="4" t="s">
        <v>627</v>
      </c>
      <c r="F1130" s="4" t="s">
        <v>376</v>
      </c>
      <c r="G1130" s="4" t="s">
        <v>38</v>
      </c>
      <c r="H1130" s="4" t="n">
        <v>1</v>
      </c>
      <c r="I1130" s="4" t="n">
        <v>1070</v>
      </c>
      <c r="J1130" s="4" t="s">
        <v>40</v>
      </c>
      <c r="K1130" s="4" t="s">
        <v>1456</v>
      </c>
      <c r="L1130" s="4" t="s">
        <v>2325</v>
      </c>
      <c r="M1130" s="4" t="s">
        <v>377</v>
      </c>
      <c r="N1130" s="4" t="s">
        <v>44</v>
      </c>
      <c r="O1130" s="4" t="s">
        <v>1457</v>
      </c>
      <c r="P1130" s="4" t="s">
        <v>2327</v>
      </c>
    </row>
    <row r="1131" customFormat="false" ht="15" hidden="false" customHeight="false" outlineLevel="0" collapsed="false">
      <c r="A1131" s="4" t="s">
        <v>3005</v>
      </c>
      <c r="B1131" s="5" t="n">
        <v>45945</v>
      </c>
      <c r="C1131" s="5" t="n">
        <v>46046</v>
      </c>
      <c r="D1131" s="4" t="s">
        <v>2849</v>
      </c>
      <c r="E1131" s="4" t="s">
        <v>627</v>
      </c>
      <c r="F1131" s="4" t="s">
        <v>2384</v>
      </c>
      <c r="G1131" s="4" t="s">
        <v>59</v>
      </c>
      <c r="H1131" s="4" t="n">
        <v>1</v>
      </c>
      <c r="I1131" s="4" t="n">
        <v>325</v>
      </c>
      <c r="J1131" s="4" t="s">
        <v>40</v>
      </c>
      <c r="K1131" s="4" t="s">
        <v>2798</v>
      </c>
      <c r="L1131" s="4" t="s">
        <v>2325</v>
      </c>
      <c r="M1131" s="4" t="s">
        <v>377</v>
      </c>
      <c r="N1131" s="4" t="s">
        <v>52</v>
      </c>
      <c r="O1131" s="4" t="s">
        <v>2799</v>
      </c>
      <c r="P1131" s="4" t="s">
        <v>2327</v>
      </c>
    </row>
    <row r="1132" customFormat="false" ht="15" hidden="false" customHeight="false" outlineLevel="0" collapsed="false">
      <c r="A1132" s="4" t="s">
        <v>3006</v>
      </c>
      <c r="B1132" s="5" t="n">
        <v>45945</v>
      </c>
      <c r="C1132" s="5" t="n">
        <v>46046</v>
      </c>
      <c r="D1132" s="4" t="s">
        <v>2849</v>
      </c>
      <c r="E1132" s="4" t="s">
        <v>627</v>
      </c>
      <c r="F1132" s="4" t="s">
        <v>376</v>
      </c>
      <c r="G1132" s="4" t="s">
        <v>59</v>
      </c>
      <c r="H1132" s="4" t="n">
        <v>1</v>
      </c>
      <c r="I1132" s="4" t="n">
        <v>450</v>
      </c>
      <c r="J1132" s="4" t="s">
        <v>68</v>
      </c>
      <c r="K1132" s="4" t="s">
        <v>2884</v>
      </c>
      <c r="L1132" s="4" t="s">
        <v>376</v>
      </c>
      <c r="M1132" s="4" t="s">
        <v>377</v>
      </c>
      <c r="N1132" s="4" t="s">
        <v>44</v>
      </c>
      <c r="O1132" s="4" t="s">
        <v>2885</v>
      </c>
      <c r="P1132" s="4" t="s">
        <v>2327</v>
      </c>
    </row>
    <row r="1133" customFormat="false" ht="15" hidden="false" customHeight="false" outlineLevel="0" collapsed="false">
      <c r="A1133" s="4" t="s">
        <v>3007</v>
      </c>
      <c r="B1133" s="5" t="n">
        <v>45946</v>
      </c>
      <c r="C1133" s="5" t="n">
        <v>46046</v>
      </c>
      <c r="D1133" s="4" t="s">
        <v>2849</v>
      </c>
      <c r="E1133" s="4" t="s">
        <v>649</v>
      </c>
      <c r="F1133" s="4" t="s">
        <v>376</v>
      </c>
      <c r="G1133" s="4" t="s">
        <v>59</v>
      </c>
      <c r="H1133" s="4" t="n">
        <v>3</v>
      </c>
      <c r="I1133" s="4" t="n">
        <v>337.5</v>
      </c>
      <c r="J1133" s="4" t="s">
        <v>81</v>
      </c>
      <c r="K1133" s="4" t="s">
        <v>3008</v>
      </c>
      <c r="L1133" s="4" t="s">
        <v>571</v>
      </c>
      <c r="M1133" s="4" t="s">
        <v>356</v>
      </c>
      <c r="N1133" s="4" t="s">
        <v>357</v>
      </c>
      <c r="O1133" s="4"/>
      <c r="P1133" s="4" t="s">
        <v>2327</v>
      </c>
    </row>
    <row r="1134" customFormat="false" ht="15" hidden="false" customHeight="false" outlineLevel="0" collapsed="false">
      <c r="A1134" s="4" t="s">
        <v>3009</v>
      </c>
      <c r="B1134" s="5" t="n">
        <v>45946</v>
      </c>
      <c r="C1134" s="5" t="n">
        <v>46046</v>
      </c>
      <c r="D1134" s="4" t="s">
        <v>2849</v>
      </c>
      <c r="E1134" s="4" t="s">
        <v>649</v>
      </c>
      <c r="F1134" s="4" t="s">
        <v>376</v>
      </c>
      <c r="G1134" s="4" t="s">
        <v>59</v>
      </c>
      <c r="H1134" s="4" t="n">
        <v>2</v>
      </c>
      <c r="I1134" s="4" t="n">
        <v>340</v>
      </c>
      <c r="J1134" s="4" t="s">
        <v>68</v>
      </c>
      <c r="K1134" s="4" t="s">
        <v>2666</v>
      </c>
      <c r="L1134" s="4" t="s">
        <v>376</v>
      </c>
      <c r="M1134" s="4" t="s">
        <v>377</v>
      </c>
      <c r="N1134" s="4" t="s">
        <v>44</v>
      </c>
      <c r="O1134" s="4" t="s">
        <v>2667</v>
      </c>
      <c r="P1134" s="4" t="s">
        <v>2327</v>
      </c>
    </row>
    <row r="1135" customFormat="false" ht="15" hidden="false" customHeight="false" outlineLevel="0" collapsed="false">
      <c r="A1135" s="4" t="s">
        <v>3010</v>
      </c>
      <c r="B1135" s="5" t="n">
        <v>45946</v>
      </c>
      <c r="C1135" s="5" t="n">
        <v>46046</v>
      </c>
      <c r="D1135" s="4" t="s">
        <v>2849</v>
      </c>
      <c r="E1135" s="4" t="s">
        <v>627</v>
      </c>
      <c r="F1135" s="4" t="s">
        <v>2384</v>
      </c>
      <c r="G1135" s="4" t="s">
        <v>38</v>
      </c>
      <c r="H1135" s="4" t="n">
        <v>1</v>
      </c>
      <c r="I1135" s="4" t="n">
        <v>705</v>
      </c>
      <c r="J1135" s="4" t="s">
        <v>68</v>
      </c>
      <c r="K1135" s="4" t="s">
        <v>3011</v>
      </c>
      <c r="L1135" s="4" t="s">
        <v>571</v>
      </c>
      <c r="M1135" s="4" t="s">
        <v>356</v>
      </c>
      <c r="N1135" s="4" t="s">
        <v>357</v>
      </c>
      <c r="O1135" s="4"/>
      <c r="P1135" s="4" t="s">
        <v>2327</v>
      </c>
    </row>
    <row r="1136" customFormat="false" ht="15" hidden="false" customHeight="false" outlineLevel="0" collapsed="false">
      <c r="A1136" s="4" t="s">
        <v>3012</v>
      </c>
      <c r="B1136" s="5" t="n">
        <v>45946</v>
      </c>
      <c r="C1136" s="5" t="n">
        <v>46046</v>
      </c>
      <c r="D1136" s="4" t="s">
        <v>2849</v>
      </c>
      <c r="E1136" s="4" t="s">
        <v>649</v>
      </c>
      <c r="F1136" s="4" t="s">
        <v>2332</v>
      </c>
      <c r="G1136" s="4" t="s">
        <v>59</v>
      </c>
      <c r="H1136" s="4" t="n">
        <v>1</v>
      </c>
      <c r="I1136" s="4" t="n">
        <v>535</v>
      </c>
      <c r="J1136" s="4" t="s">
        <v>149</v>
      </c>
      <c r="K1136" s="4" t="s">
        <v>3013</v>
      </c>
      <c r="L1136" s="4" t="s">
        <v>463</v>
      </c>
      <c r="M1136" s="4" t="s">
        <v>464</v>
      </c>
      <c r="N1136" s="4" t="s">
        <v>44</v>
      </c>
      <c r="O1136" s="4" t="s">
        <v>3014</v>
      </c>
      <c r="P1136" s="4" t="s">
        <v>2327</v>
      </c>
    </row>
    <row r="1137" customFormat="false" ht="15" hidden="false" customHeight="false" outlineLevel="0" collapsed="false">
      <c r="A1137" s="4" t="s">
        <v>3015</v>
      </c>
      <c r="B1137" s="5" t="n">
        <v>45948</v>
      </c>
      <c r="C1137" s="5" t="n">
        <v>46046</v>
      </c>
      <c r="D1137" s="4" t="s">
        <v>2849</v>
      </c>
      <c r="E1137" s="4" t="s">
        <v>627</v>
      </c>
      <c r="F1137" s="4" t="s">
        <v>376</v>
      </c>
      <c r="G1137" s="4" t="s">
        <v>59</v>
      </c>
      <c r="H1137" s="4" t="n">
        <v>2</v>
      </c>
      <c r="I1137" s="4" t="n">
        <v>402.5</v>
      </c>
      <c r="J1137" s="4" t="s">
        <v>40</v>
      </c>
      <c r="K1137" s="4" t="s">
        <v>3016</v>
      </c>
      <c r="L1137" s="4" t="s">
        <v>1172</v>
      </c>
      <c r="M1137" s="4" t="s">
        <v>377</v>
      </c>
      <c r="N1137" s="4" t="s">
        <v>185</v>
      </c>
      <c r="O1137" s="4" t="s">
        <v>3017</v>
      </c>
      <c r="P1137" s="4" t="s">
        <v>2327</v>
      </c>
    </row>
    <row r="1138" customFormat="false" ht="15" hidden="false" customHeight="false" outlineLevel="0" collapsed="false">
      <c r="A1138" s="4" t="s">
        <v>3018</v>
      </c>
      <c r="B1138" s="5" t="n">
        <v>45949</v>
      </c>
      <c r="C1138" s="5" t="n">
        <v>45951</v>
      </c>
      <c r="D1138" s="4" t="s">
        <v>2322</v>
      </c>
      <c r="E1138" s="4" t="s">
        <v>36</v>
      </c>
      <c r="F1138" s="4" t="s">
        <v>376</v>
      </c>
      <c r="G1138" s="4" t="s">
        <v>59</v>
      </c>
      <c r="H1138" s="4" t="n">
        <v>0</v>
      </c>
      <c r="I1138" s="4" t="n">
        <v>15</v>
      </c>
      <c r="J1138" s="4" t="s">
        <v>68</v>
      </c>
      <c r="K1138" s="4" t="s">
        <v>3019</v>
      </c>
      <c r="L1138" s="4" t="s">
        <v>1172</v>
      </c>
      <c r="M1138" s="4" t="s">
        <v>377</v>
      </c>
      <c r="N1138" s="4" t="s">
        <v>44</v>
      </c>
      <c r="O1138" s="4" t="s">
        <v>3020</v>
      </c>
      <c r="P1138" s="4" t="s">
        <v>2327</v>
      </c>
    </row>
    <row r="1139" customFormat="false" ht="15" hidden="false" customHeight="false" outlineLevel="0" collapsed="false">
      <c r="A1139" s="4" t="s">
        <v>3021</v>
      </c>
      <c r="B1139" s="5" t="n">
        <v>45949</v>
      </c>
      <c r="C1139" s="5" t="n">
        <v>45951</v>
      </c>
      <c r="D1139" s="4" t="s">
        <v>2322</v>
      </c>
      <c r="E1139" s="4" t="s">
        <v>57</v>
      </c>
      <c r="F1139" s="4" t="s">
        <v>376</v>
      </c>
      <c r="G1139" s="4" t="s">
        <v>59</v>
      </c>
      <c r="H1139" s="4" t="n">
        <v>2</v>
      </c>
      <c r="I1139" s="4" t="n">
        <v>22.5</v>
      </c>
      <c r="J1139" s="4" t="s">
        <v>40</v>
      </c>
      <c r="K1139" s="4" t="s">
        <v>2653</v>
      </c>
      <c r="L1139" s="4" t="s">
        <v>376</v>
      </c>
      <c r="M1139" s="4" t="s">
        <v>377</v>
      </c>
      <c r="N1139" s="4" t="s">
        <v>44</v>
      </c>
      <c r="O1139" s="4" t="s">
        <v>2654</v>
      </c>
      <c r="P1139" s="4" t="s">
        <v>2327</v>
      </c>
    </row>
    <row r="1140" customFormat="false" ht="15" hidden="false" customHeight="false" outlineLevel="0" collapsed="false">
      <c r="A1140" s="4" t="s">
        <v>3022</v>
      </c>
      <c r="B1140" s="5" t="n">
        <v>45950</v>
      </c>
      <c r="C1140" s="5" t="n">
        <v>46046</v>
      </c>
      <c r="D1140" s="4" t="s">
        <v>2849</v>
      </c>
      <c r="E1140" s="4" t="s">
        <v>649</v>
      </c>
      <c r="F1140" s="4" t="s">
        <v>376</v>
      </c>
      <c r="G1140" s="4" t="s">
        <v>38</v>
      </c>
      <c r="H1140" s="4" t="n">
        <v>2</v>
      </c>
      <c r="I1140" s="4" t="n">
        <v>1135</v>
      </c>
      <c r="J1140" s="4" t="s">
        <v>40</v>
      </c>
      <c r="K1140" s="4" t="s">
        <v>2826</v>
      </c>
      <c r="L1140" s="4" t="s">
        <v>2325</v>
      </c>
      <c r="M1140" s="4" t="s">
        <v>377</v>
      </c>
      <c r="N1140" s="4" t="s">
        <v>44</v>
      </c>
      <c r="O1140" s="4" t="s">
        <v>2827</v>
      </c>
      <c r="P1140" s="4" t="s">
        <v>2327</v>
      </c>
    </row>
    <row r="1141" customFormat="false" ht="15" hidden="false" customHeight="false" outlineLevel="0" collapsed="false">
      <c r="A1141" s="4" t="s">
        <v>3023</v>
      </c>
      <c r="B1141" s="5" t="n">
        <v>45950</v>
      </c>
      <c r="C1141" s="5" t="n">
        <v>45950</v>
      </c>
      <c r="D1141" s="4" t="s">
        <v>2322</v>
      </c>
      <c r="E1141" s="4" t="s">
        <v>36</v>
      </c>
      <c r="F1141" s="4" t="s">
        <v>376</v>
      </c>
      <c r="G1141" s="4" t="s">
        <v>59</v>
      </c>
      <c r="H1141" s="4" t="n">
        <v>2</v>
      </c>
      <c r="I1141" s="4" t="n">
        <v>15</v>
      </c>
      <c r="J1141" s="4" t="s">
        <v>68</v>
      </c>
      <c r="K1141" s="4" t="s">
        <v>3024</v>
      </c>
      <c r="L1141" s="4" t="s">
        <v>524</v>
      </c>
      <c r="M1141" s="4" t="s">
        <v>377</v>
      </c>
      <c r="N1141" s="4" t="s">
        <v>44</v>
      </c>
      <c r="O1141" s="4" t="s">
        <v>3025</v>
      </c>
      <c r="P1141" s="4" t="s">
        <v>2327</v>
      </c>
    </row>
    <row r="1142" customFormat="false" ht="15" hidden="false" customHeight="false" outlineLevel="0" collapsed="false">
      <c r="A1142" s="4" t="s">
        <v>3026</v>
      </c>
      <c r="B1142" s="5" t="n">
        <v>45953</v>
      </c>
      <c r="C1142" s="5" t="n">
        <v>46046</v>
      </c>
      <c r="D1142" s="4" t="s">
        <v>2849</v>
      </c>
      <c r="E1142" s="4" t="s">
        <v>627</v>
      </c>
      <c r="F1142" s="4" t="s">
        <v>376</v>
      </c>
      <c r="G1142" s="4" t="s">
        <v>38</v>
      </c>
      <c r="H1142" s="4" t="n">
        <v>1</v>
      </c>
      <c r="I1142" s="4" t="n">
        <v>975</v>
      </c>
      <c r="J1142" s="4" t="s">
        <v>68</v>
      </c>
      <c r="K1142" s="4" t="s">
        <v>3027</v>
      </c>
      <c r="L1142" s="4" t="s">
        <v>3028</v>
      </c>
      <c r="M1142" s="4" t="s">
        <v>365</v>
      </c>
      <c r="N1142" s="4" t="s">
        <v>44</v>
      </c>
      <c r="O1142" s="4" t="s">
        <v>3029</v>
      </c>
      <c r="P1142" s="4" t="s">
        <v>2327</v>
      </c>
    </row>
    <row r="1143" customFormat="false" ht="15" hidden="false" customHeight="false" outlineLevel="0" collapsed="false">
      <c r="A1143" s="4" t="s">
        <v>3030</v>
      </c>
      <c r="B1143" s="5" t="n">
        <v>45953</v>
      </c>
      <c r="C1143" s="5" t="n">
        <v>45956</v>
      </c>
      <c r="D1143" s="4" t="s">
        <v>2322</v>
      </c>
      <c r="E1143" s="4" t="s">
        <v>89</v>
      </c>
      <c r="F1143" s="4" t="s">
        <v>2323</v>
      </c>
      <c r="G1143" s="4" t="s">
        <v>38</v>
      </c>
      <c r="H1143" s="4" t="n">
        <v>1</v>
      </c>
      <c r="I1143" s="4" t="n">
        <v>45</v>
      </c>
      <c r="J1143" s="4" t="s">
        <v>40</v>
      </c>
      <c r="K1143" s="4" t="s">
        <v>2580</v>
      </c>
      <c r="L1143" s="4" t="s">
        <v>1172</v>
      </c>
      <c r="M1143" s="4" t="s">
        <v>377</v>
      </c>
      <c r="N1143" s="4" t="s">
        <v>185</v>
      </c>
      <c r="O1143" s="4" t="s">
        <v>2581</v>
      </c>
      <c r="P1143" s="4" t="s">
        <v>2327</v>
      </c>
    </row>
    <row r="1144" customFormat="false" ht="15" hidden="false" customHeight="false" outlineLevel="0" collapsed="false">
      <c r="A1144" s="4" t="s">
        <v>3031</v>
      </c>
      <c r="B1144" s="5" t="n">
        <v>45956</v>
      </c>
      <c r="C1144" s="5" t="n">
        <v>46046</v>
      </c>
      <c r="D1144" s="4" t="s">
        <v>2849</v>
      </c>
      <c r="E1144" s="4" t="s">
        <v>627</v>
      </c>
      <c r="F1144" s="4" t="s">
        <v>376</v>
      </c>
      <c r="G1144" s="4" t="s">
        <v>38</v>
      </c>
      <c r="H1144" s="4" t="n">
        <v>2</v>
      </c>
      <c r="I1144" s="4" t="n">
        <v>860</v>
      </c>
      <c r="J1144" s="4" t="s">
        <v>81</v>
      </c>
      <c r="K1144" s="4" t="s">
        <v>2324</v>
      </c>
      <c r="L1144" s="4" t="s">
        <v>376</v>
      </c>
      <c r="M1144" s="4" t="s">
        <v>377</v>
      </c>
      <c r="N1144" s="4" t="s">
        <v>44</v>
      </c>
      <c r="O1144" s="4" t="s">
        <v>2326</v>
      </c>
      <c r="P1144" s="4" t="s">
        <v>2327</v>
      </c>
    </row>
    <row r="1145" customFormat="false" ht="15" hidden="false" customHeight="false" outlineLevel="0" collapsed="false">
      <c r="A1145" s="4" t="s">
        <v>3032</v>
      </c>
      <c r="B1145" s="5" t="n">
        <v>45957</v>
      </c>
      <c r="C1145" s="5" t="n">
        <v>46046</v>
      </c>
      <c r="D1145" s="4" t="s">
        <v>2849</v>
      </c>
      <c r="E1145" s="4" t="s">
        <v>627</v>
      </c>
      <c r="F1145" s="4" t="s">
        <v>376</v>
      </c>
      <c r="G1145" s="4" t="s">
        <v>38</v>
      </c>
      <c r="H1145" s="4" t="n">
        <v>2</v>
      </c>
      <c r="I1145" s="4" t="n">
        <v>875</v>
      </c>
      <c r="J1145" s="4" t="s">
        <v>68</v>
      </c>
      <c r="K1145" s="4" t="s">
        <v>3033</v>
      </c>
      <c r="L1145" s="4" t="s">
        <v>364</v>
      </c>
      <c r="M1145" s="4" t="s">
        <v>365</v>
      </c>
      <c r="N1145" s="4" t="s">
        <v>44</v>
      </c>
      <c r="O1145" s="4" t="s">
        <v>3034</v>
      </c>
      <c r="P1145" s="4" t="s">
        <v>2327</v>
      </c>
    </row>
    <row r="1146" customFormat="false" ht="15" hidden="false" customHeight="false" outlineLevel="0" collapsed="false">
      <c r="A1146" s="4" t="s">
        <v>2981</v>
      </c>
      <c r="B1146" s="5" t="n">
        <v>45941</v>
      </c>
      <c r="C1146" s="5" t="n">
        <v>46046</v>
      </c>
      <c r="D1146" s="4" t="s">
        <v>2849</v>
      </c>
      <c r="E1146" s="4" t="s">
        <v>627</v>
      </c>
      <c r="F1146" s="4" t="s">
        <v>376</v>
      </c>
      <c r="G1146" s="4" t="s">
        <v>59</v>
      </c>
      <c r="H1146" s="4" t="n">
        <v>1</v>
      </c>
      <c r="I1146" s="4" t="n">
        <v>557.5</v>
      </c>
      <c r="J1146" s="4" t="s">
        <v>68</v>
      </c>
      <c r="K1146" s="4" t="s">
        <v>2771</v>
      </c>
      <c r="L1146" s="4" t="s">
        <v>376</v>
      </c>
      <c r="M1146" s="4" t="s">
        <v>377</v>
      </c>
      <c r="N1146" s="4" t="s">
        <v>44</v>
      </c>
      <c r="O1146" s="4" t="s">
        <v>2772</v>
      </c>
      <c r="P1146" s="4" t="s">
        <v>2327</v>
      </c>
    </row>
    <row r="1147" customFormat="false" ht="15" hidden="false" customHeight="false" outlineLevel="0" collapsed="false">
      <c r="A1147" s="4" t="s">
        <v>3035</v>
      </c>
      <c r="B1147" s="5" t="n">
        <v>45957</v>
      </c>
      <c r="C1147" s="5" t="n">
        <v>45960</v>
      </c>
      <c r="D1147" s="4" t="s">
        <v>2322</v>
      </c>
      <c r="E1147" s="4" t="s">
        <v>36</v>
      </c>
      <c r="F1147" s="4" t="s">
        <v>376</v>
      </c>
      <c r="G1147" s="4" t="s">
        <v>59</v>
      </c>
      <c r="H1147" s="4" t="n">
        <v>1</v>
      </c>
      <c r="I1147" s="4" t="n">
        <v>20</v>
      </c>
      <c r="J1147" s="4" t="s">
        <v>40</v>
      </c>
      <c r="K1147" s="4" t="s">
        <v>2349</v>
      </c>
      <c r="L1147" s="4" t="s">
        <v>376</v>
      </c>
      <c r="M1147" s="4" t="s">
        <v>377</v>
      </c>
      <c r="N1147" s="4" t="s">
        <v>185</v>
      </c>
      <c r="O1147" s="4" t="s">
        <v>2350</v>
      </c>
      <c r="P1147" s="4" t="s">
        <v>2327</v>
      </c>
    </row>
    <row r="1148" customFormat="false" ht="15" hidden="false" customHeight="false" outlineLevel="0" collapsed="false">
      <c r="A1148" s="4" t="s">
        <v>3036</v>
      </c>
      <c r="B1148" s="5" t="n">
        <v>45958</v>
      </c>
      <c r="C1148" s="5" t="n">
        <v>46046</v>
      </c>
      <c r="D1148" s="4" t="s">
        <v>2849</v>
      </c>
      <c r="E1148" s="4" t="s">
        <v>613</v>
      </c>
      <c r="F1148" s="4" t="s">
        <v>2384</v>
      </c>
      <c r="G1148" s="4" t="s">
        <v>38</v>
      </c>
      <c r="H1148" s="4" t="n">
        <v>1</v>
      </c>
      <c r="I1148" s="4" t="n">
        <v>1140</v>
      </c>
      <c r="J1148" s="4" t="s">
        <v>40</v>
      </c>
      <c r="K1148" s="4" t="s">
        <v>3037</v>
      </c>
      <c r="L1148" s="4" t="s">
        <v>1682</v>
      </c>
      <c r="M1148" s="4" t="s">
        <v>737</v>
      </c>
      <c r="N1148" s="4" t="s">
        <v>44</v>
      </c>
      <c r="O1148" s="4" t="s">
        <v>3038</v>
      </c>
      <c r="P1148" s="4" t="s">
        <v>2327</v>
      </c>
    </row>
    <row r="1149" customFormat="false" ht="15" hidden="false" customHeight="false" outlineLevel="0" collapsed="false">
      <c r="A1149" s="4" t="s">
        <v>3039</v>
      </c>
      <c r="B1149" s="5" t="n">
        <v>45958</v>
      </c>
      <c r="C1149" s="5" t="n">
        <v>46046</v>
      </c>
      <c r="D1149" s="4" t="s">
        <v>2849</v>
      </c>
      <c r="E1149" s="4" t="s">
        <v>627</v>
      </c>
      <c r="F1149" s="4" t="s">
        <v>2362</v>
      </c>
      <c r="G1149" s="4" t="s">
        <v>38</v>
      </c>
      <c r="H1149" s="4" t="n">
        <v>3</v>
      </c>
      <c r="I1149" s="4" t="n">
        <v>710</v>
      </c>
      <c r="J1149" s="4" t="s">
        <v>40</v>
      </c>
      <c r="K1149" s="4" t="s">
        <v>2808</v>
      </c>
      <c r="L1149" s="4" t="s">
        <v>376</v>
      </c>
      <c r="M1149" s="4" t="s">
        <v>377</v>
      </c>
      <c r="N1149" s="4" t="s">
        <v>44</v>
      </c>
      <c r="O1149" s="4" t="s">
        <v>2809</v>
      </c>
      <c r="P1149" s="4" t="s">
        <v>2327</v>
      </c>
    </row>
    <row r="1150" customFormat="false" ht="15" hidden="false" customHeight="false" outlineLevel="0" collapsed="false">
      <c r="A1150" s="4" t="s">
        <v>3040</v>
      </c>
      <c r="B1150" s="5" t="n">
        <v>45959</v>
      </c>
      <c r="C1150" s="5" t="n">
        <v>45959</v>
      </c>
      <c r="D1150" s="4" t="s">
        <v>2322</v>
      </c>
      <c r="E1150" s="4" t="s">
        <v>49</v>
      </c>
      <c r="F1150" s="4" t="s">
        <v>376</v>
      </c>
      <c r="G1150" s="4" t="s">
        <v>38</v>
      </c>
      <c r="H1150" s="4" t="n">
        <v>2</v>
      </c>
      <c r="I1150" s="4" t="n">
        <v>45</v>
      </c>
      <c r="J1150" s="4" t="s">
        <v>68</v>
      </c>
      <c r="K1150" s="4" t="s">
        <v>2479</v>
      </c>
      <c r="L1150" s="4" t="s">
        <v>376</v>
      </c>
      <c r="M1150" s="4" t="s">
        <v>377</v>
      </c>
      <c r="N1150" s="4" t="s">
        <v>44</v>
      </c>
      <c r="O1150" s="4" t="s">
        <v>2480</v>
      </c>
      <c r="P1150" s="4" t="s">
        <v>2327</v>
      </c>
    </row>
    <row r="1151" customFormat="false" ht="15" hidden="false" customHeight="false" outlineLevel="0" collapsed="false">
      <c r="A1151" s="4" t="s">
        <v>3041</v>
      </c>
      <c r="B1151" s="5" t="n">
        <v>45960</v>
      </c>
      <c r="C1151" s="5" t="n">
        <v>45961</v>
      </c>
      <c r="D1151" s="4" t="s">
        <v>2322</v>
      </c>
      <c r="E1151" s="4" t="s">
        <v>36</v>
      </c>
      <c r="F1151" s="4" t="s">
        <v>376</v>
      </c>
      <c r="G1151" s="4" t="s">
        <v>38</v>
      </c>
      <c r="H1151" s="4" t="n">
        <v>3</v>
      </c>
      <c r="I1151" s="4" t="n">
        <v>45</v>
      </c>
      <c r="J1151" s="4" t="s">
        <v>40</v>
      </c>
      <c r="K1151" s="4" t="s">
        <v>3042</v>
      </c>
      <c r="L1151" s="4" t="s">
        <v>2325</v>
      </c>
      <c r="M1151" s="4" t="s">
        <v>1412</v>
      </c>
      <c r="N1151" s="4" t="s">
        <v>44</v>
      </c>
      <c r="O1151" s="4" t="s">
        <v>3043</v>
      </c>
      <c r="P1151" s="4" t="s">
        <v>2327</v>
      </c>
    </row>
    <row r="1152" customFormat="false" ht="15" hidden="false" customHeight="false" outlineLevel="0" collapsed="false">
      <c r="A1152" s="4" t="s">
        <v>3044</v>
      </c>
      <c r="B1152" s="5" t="n">
        <v>45963</v>
      </c>
      <c r="C1152" s="5" t="n">
        <v>46046</v>
      </c>
      <c r="D1152" s="4" t="s">
        <v>2849</v>
      </c>
      <c r="E1152" s="4" t="s">
        <v>761</v>
      </c>
      <c r="F1152" s="4" t="s">
        <v>376</v>
      </c>
      <c r="G1152" s="4" t="s">
        <v>38</v>
      </c>
      <c r="H1152" s="4" t="n">
        <v>4</v>
      </c>
      <c r="I1152" s="4" t="n">
        <v>895</v>
      </c>
      <c r="J1152" s="4" t="s">
        <v>149</v>
      </c>
      <c r="K1152" s="4" t="s">
        <v>2868</v>
      </c>
      <c r="L1152" s="4" t="s">
        <v>376</v>
      </c>
      <c r="M1152" s="4" t="s">
        <v>377</v>
      </c>
      <c r="N1152" s="4" t="s">
        <v>44</v>
      </c>
      <c r="O1152" s="4" t="s">
        <v>2869</v>
      </c>
      <c r="P1152" s="4" t="s">
        <v>2327</v>
      </c>
    </row>
    <row r="1153" customFormat="false" ht="15" hidden="false" customHeight="false" outlineLevel="0" collapsed="false">
      <c r="A1153" s="4" t="s">
        <v>3045</v>
      </c>
      <c r="B1153" s="5" t="n">
        <v>45964</v>
      </c>
      <c r="C1153" s="5" t="n">
        <v>46046</v>
      </c>
      <c r="D1153" s="4" t="s">
        <v>2849</v>
      </c>
      <c r="E1153" s="4" t="s">
        <v>627</v>
      </c>
      <c r="F1153" s="4" t="s">
        <v>376</v>
      </c>
      <c r="G1153" s="4" t="s">
        <v>38</v>
      </c>
      <c r="H1153" s="4" t="n">
        <v>2</v>
      </c>
      <c r="I1153" s="4" t="n">
        <v>820</v>
      </c>
      <c r="J1153" s="4" t="s">
        <v>68</v>
      </c>
      <c r="K1153" s="4" t="s">
        <v>3046</v>
      </c>
      <c r="L1153" s="4" t="s">
        <v>837</v>
      </c>
      <c r="M1153" s="4" t="s">
        <v>838</v>
      </c>
      <c r="N1153" s="4" t="s">
        <v>44</v>
      </c>
      <c r="O1153" s="4" t="s">
        <v>3047</v>
      </c>
      <c r="P1153" s="4" t="s">
        <v>2327</v>
      </c>
    </row>
    <row r="1154" customFormat="false" ht="15" hidden="false" customHeight="false" outlineLevel="0" collapsed="false">
      <c r="A1154" s="4" t="s">
        <v>3048</v>
      </c>
      <c r="B1154" s="5" t="n">
        <v>45965</v>
      </c>
      <c r="C1154" s="5" t="n">
        <v>46046</v>
      </c>
      <c r="D1154" s="4" t="s">
        <v>2849</v>
      </c>
      <c r="E1154" s="4" t="s">
        <v>649</v>
      </c>
      <c r="F1154" s="4" t="s">
        <v>2384</v>
      </c>
      <c r="G1154" s="4" t="s">
        <v>326</v>
      </c>
      <c r="H1154" s="4" t="n">
        <v>4</v>
      </c>
      <c r="I1154" s="4" t="n">
        <v>1750</v>
      </c>
      <c r="J1154" s="4" t="s">
        <v>40</v>
      </c>
      <c r="K1154" s="4" t="s">
        <v>3049</v>
      </c>
      <c r="L1154" s="4" t="s">
        <v>634</v>
      </c>
      <c r="M1154" s="4" t="s">
        <v>635</v>
      </c>
      <c r="N1154" s="4" t="s">
        <v>44</v>
      </c>
      <c r="O1154" s="4" t="s">
        <v>3050</v>
      </c>
      <c r="P1154" s="4" t="s">
        <v>2327</v>
      </c>
    </row>
    <row r="1155" customFormat="false" ht="15" hidden="false" customHeight="false" outlineLevel="0" collapsed="false">
      <c r="A1155" s="4" t="s">
        <v>3051</v>
      </c>
      <c r="B1155" s="5" t="n">
        <v>45965</v>
      </c>
      <c r="C1155" s="5" t="n">
        <v>46046</v>
      </c>
      <c r="D1155" s="4" t="s">
        <v>2849</v>
      </c>
      <c r="E1155" s="4" t="s">
        <v>613</v>
      </c>
      <c r="F1155" s="4" t="s">
        <v>2323</v>
      </c>
      <c r="G1155" s="4" t="s">
        <v>38</v>
      </c>
      <c r="H1155" s="4" t="n">
        <v>2</v>
      </c>
      <c r="I1155" s="4" t="n">
        <v>1130</v>
      </c>
      <c r="J1155" s="4" t="s">
        <v>68</v>
      </c>
      <c r="K1155" s="4" t="s">
        <v>3052</v>
      </c>
      <c r="L1155" s="4" t="s">
        <v>837</v>
      </c>
      <c r="M1155" s="4" t="s">
        <v>838</v>
      </c>
      <c r="N1155" s="4" t="s">
        <v>44</v>
      </c>
      <c r="O1155" s="4" t="s">
        <v>3053</v>
      </c>
      <c r="P1155" s="4" t="s">
        <v>2327</v>
      </c>
    </row>
    <row r="1156" customFormat="false" ht="15" hidden="false" customHeight="false" outlineLevel="0" collapsed="false">
      <c r="A1156" s="4" t="s">
        <v>3054</v>
      </c>
      <c r="B1156" s="5" t="n">
        <v>45966</v>
      </c>
      <c r="C1156" s="5" t="n">
        <v>46046</v>
      </c>
      <c r="D1156" s="4" t="s">
        <v>2849</v>
      </c>
      <c r="E1156" s="4" t="s">
        <v>627</v>
      </c>
      <c r="F1156" s="4" t="s">
        <v>2332</v>
      </c>
      <c r="G1156" s="4" t="s">
        <v>59</v>
      </c>
      <c r="H1156" s="4" t="n">
        <v>2</v>
      </c>
      <c r="I1156" s="4" t="n">
        <v>567.5</v>
      </c>
      <c r="J1156" s="4" t="s">
        <v>40</v>
      </c>
      <c r="K1156" s="4" t="s">
        <v>2495</v>
      </c>
      <c r="L1156" s="4" t="s">
        <v>376</v>
      </c>
      <c r="M1156" s="4" t="s">
        <v>377</v>
      </c>
      <c r="N1156" s="4" t="s">
        <v>44</v>
      </c>
      <c r="O1156" s="4" t="s">
        <v>2496</v>
      </c>
      <c r="P1156" s="4" t="s">
        <v>2327</v>
      </c>
    </row>
    <row r="1157" customFormat="false" ht="15" hidden="false" customHeight="false" outlineLevel="0" collapsed="false">
      <c r="A1157" s="4" t="s">
        <v>3055</v>
      </c>
      <c r="B1157" s="5" t="n">
        <v>45966</v>
      </c>
      <c r="C1157" s="5" t="n">
        <v>45969</v>
      </c>
      <c r="D1157" s="4" t="s">
        <v>2322</v>
      </c>
      <c r="E1157" s="4" t="s">
        <v>36</v>
      </c>
      <c r="F1157" s="4" t="s">
        <v>376</v>
      </c>
      <c r="G1157" s="4" t="s">
        <v>59</v>
      </c>
      <c r="H1157" s="4" t="n">
        <v>2</v>
      </c>
      <c r="I1157" s="4" t="n">
        <v>22.5</v>
      </c>
      <c r="J1157" s="4" t="s">
        <v>68</v>
      </c>
      <c r="K1157" s="4" t="s">
        <v>2340</v>
      </c>
      <c r="L1157" s="4" t="s">
        <v>376</v>
      </c>
      <c r="M1157" s="4" t="s">
        <v>377</v>
      </c>
      <c r="N1157" s="4" t="s">
        <v>44</v>
      </c>
      <c r="O1157" s="4" t="s">
        <v>2341</v>
      </c>
      <c r="P1157" s="4" t="s">
        <v>2327</v>
      </c>
    </row>
    <row r="1158" customFormat="false" ht="15" hidden="false" customHeight="false" outlineLevel="0" collapsed="false">
      <c r="A1158" s="4" t="s">
        <v>3056</v>
      </c>
      <c r="B1158" s="5" t="n">
        <v>45968</v>
      </c>
      <c r="C1158" s="5" t="n">
        <v>45968</v>
      </c>
      <c r="D1158" s="4" t="s">
        <v>2322</v>
      </c>
      <c r="E1158" s="4" t="s">
        <v>49</v>
      </c>
      <c r="F1158" s="4" t="s">
        <v>376</v>
      </c>
      <c r="G1158" s="4" t="s">
        <v>38</v>
      </c>
      <c r="H1158" s="4" t="n">
        <v>3</v>
      </c>
      <c r="I1158" s="4" t="n">
        <v>35</v>
      </c>
      <c r="J1158" s="4" t="s">
        <v>68</v>
      </c>
      <c r="K1158" s="4" t="s">
        <v>3057</v>
      </c>
      <c r="L1158" s="4" t="s">
        <v>376</v>
      </c>
      <c r="M1158" s="4" t="s">
        <v>1412</v>
      </c>
      <c r="N1158" s="4" t="s">
        <v>44</v>
      </c>
      <c r="O1158" s="4" t="s">
        <v>3058</v>
      </c>
      <c r="P1158" s="4" t="s">
        <v>2327</v>
      </c>
    </row>
    <row r="1159" customFormat="false" ht="15" hidden="false" customHeight="false" outlineLevel="0" collapsed="false">
      <c r="A1159" s="4" t="s">
        <v>3059</v>
      </c>
      <c r="B1159" s="5" t="n">
        <v>45968</v>
      </c>
      <c r="C1159" s="5" t="n">
        <v>45969</v>
      </c>
      <c r="D1159" s="4" t="s">
        <v>2322</v>
      </c>
      <c r="E1159" s="4" t="s">
        <v>36</v>
      </c>
      <c r="F1159" s="4" t="s">
        <v>376</v>
      </c>
      <c r="G1159" s="4" t="s">
        <v>59</v>
      </c>
      <c r="H1159" s="4" t="n">
        <v>2</v>
      </c>
      <c r="I1159" s="4" t="n">
        <v>25</v>
      </c>
      <c r="J1159" s="4" t="s">
        <v>149</v>
      </c>
      <c r="K1159" s="4" t="s">
        <v>2346</v>
      </c>
      <c r="L1159" s="4" t="s">
        <v>376</v>
      </c>
      <c r="M1159" s="4" t="s">
        <v>377</v>
      </c>
      <c r="N1159" s="4" t="s">
        <v>52</v>
      </c>
      <c r="O1159" s="4" t="s">
        <v>2347</v>
      </c>
      <c r="P1159" s="4" t="s">
        <v>2327</v>
      </c>
    </row>
    <row r="1160" customFormat="false" ht="15" hidden="false" customHeight="false" outlineLevel="0" collapsed="false">
      <c r="A1160" s="4" t="s">
        <v>3060</v>
      </c>
      <c r="B1160" s="5" t="n">
        <v>45969</v>
      </c>
      <c r="C1160" s="5" t="n">
        <v>45969</v>
      </c>
      <c r="D1160" s="4" t="s">
        <v>2322</v>
      </c>
      <c r="E1160" s="4" t="s">
        <v>36</v>
      </c>
      <c r="F1160" s="4" t="s">
        <v>376</v>
      </c>
      <c r="G1160" s="4" t="s">
        <v>38</v>
      </c>
      <c r="H1160" s="4" t="n">
        <v>1</v>
      </c>
      <c r="I1160" s="4" t="n">
        <v>35</v>
      </c>
      <c r="J1160" s="4" t="s">
        <v>81</v>
      </c>
      <c r="K1160" s="4" t="s">
        <v>2019</v>
      </c>
      <c r="L1160" s="4" t="s">
        <v>376</v>
      </c>
      <c r="M1160" s="4" t="s">
        <v>377</v>
      </c>
      <c r="N1160" s="4" t="s">
        <v>185</v>
      </c>
      <c r="O1160" s="4" t="s">
        <v>2020</v>
      </c>
      <c r="P1160" s="4" t="s">
        <v>2327</v>
      </c>
    </row>
    <row r="1161" customFormat="false" ht="15" hidden="false" customHeight="false" outlineLevel="0" collapsed="false">
      <c r="A1161" s="4" t="s">
        <v>3061</v>
      </c>
      <c r="B1161" s="5" t="n">
        <v>45971</v>
      </c>
      <c r="C1161" s="5" t="n">
        <v>46046</v>
      </c>
      <c r="D1161" s="4" t="s">
        <v>2849</v>
      </c>
      <c r="E1161" s="4" t="s">
        <v>627</v>
      </c>
      <c r="F1161" s="4" t="s">
        <v>2384</v>
      </c>
      <c r="G1161" s="4" t="s">
        <v>38</v>
      </c>
      <c r="H1161" s="4" t="n">
        <v>4</v>
      </c>
      <c r="I1161" s="4" t="n">
        <v>875</v>
      </c>
      <c r="J1161" s="4" t="s">
        <v>68</v>
      </c>
      <c r="K1161" s="4" t="s">
        <v>3062</v>
      </c>
      <c r="L1161" s="4" t="s">
        <v>2218</v>
      </c>
      <c r="M1161" s="4" t="s">
        <v>365</v>
      </c>
      <c r="N1161" s="4" t="s">
        <v>44</v>
      </c>
      <c r="O1161" s="4" t="s">
        <v>3063</v>
      </c>
      <c r="P1161" s="4" t="s">
        <v>2327</v>
      </c>
    </row>
    <row r="1162" customFormat="false" ht="15" hidden="false" customHeight="false" outlineLevel="0" collapsed="false">
      <c r="A1162" s="4" t="s">
        <v>3064</v>
      </c>
      <c r="B1162" s="5" t="n">
        <v>45972</v>
      </c>
      <c r="C1162" s="5" t="n">
        <v>46046</v>
      </c>
      <c r="D1162" s="4" t="s">
        <v>2849</v>
      </c>
      <c r="E1162" s="4" t="s">
        <v>618</v>
      </c>
      <c r="F1162" s="4" t="s">
        <v>2384</v>
      </c>
      <c r="G1162" s="4" t="s">
        <v>38</v>
      </c>
      <c r="H1162" s="4" t="n">
        <v>2</v>
      </c>
      <c r="I1162" s="4" t="n">
        <v>845</v>
      </c>
      <c r="J1162" s="4" t="s">
        <v>40</v>
      </c>
      <c r="K1162" s="4" t="s">
        <v>3065</v>
      </c>
      <c r="L1162" s="4" t="s">
        <v>736</v>
      </c>
      <c r="M1162" s="4" t="s">
        <v>737</v>
      </c>
      <c r="N1162" s="4" t="s">
        <v>185</v>
      </c>
      <c r="O1162" s="4" t="s">
        <v>3066</v>
      </c>
      <c r="P1162" s="4" t="s">
        <v>2327</v>
      </c>
    </row>
    <row r="1163" customFormat="false" ht="15" hidden="false" customHeight="false" outlineLevel="0" collapsed="false">
      <c r="A1163" s="4" t="s">
        <v>3067</v>
      </c>
      <c r="B1163" s="5" t="n">
        <v>45973</v>
      </c>
      <c r="C1163" s="5" t="n">
        <v>46046</v>
      </c>
      <c r="D1163" s="4" t="s">
        <v>2849</v>
      </c>
      <c r="E1163" s="4" t="s">
        <v>627</v>
      </c>
      <c r="F1163" s="4" t="s">
        <v>2323</v>
      </c>
      <c r="G1163" s="4" t="s">
        <v>59</v>
      </c>
      <c r="H1163" s="4" t="n">
        <v>1</v>
      </c>
      <c r="I1163" s="4" t="n">
        <v>410</v>
      </c>
      <c r="J1163" s="4" t="s">
        <v>68</v>
      </c>
      <c r="K1163" s="4" t="s">
        <v>2409</v>
      </c>
      <c r="L1163" s="4" t="s">
        <v>376</v>
      </c>
      <c r="M1163" s="4" t="s">
        <v>377</v>
      </c>
      <c r="N1163" s="4" t="s">
        <v>94</v>
      </c>
      <c r="O1163" s="4" t="s">
        <v>2410</v>
      </c>
      <c r="P1163" s="4" t="s">
        <v>2327</v>
      </c>
    </row>
    <row r="1164" customFormat="false" ht="15" hidden="false" customHeight="false" outlineLevel="0" collapsed="false">
      <c r="A1164" s="4" t="s">
        <v>3068</v>
      </c>
      <c r="B1164" s="5" t="n">
        <v>45973</v>
      </c>
      <c r="C1164" s="5" t="n">
        <v>46046</v>
      </c>
      <c r="D1164" s="4" t="s">
        <v>2849</v>
      </c>
      <c r="E1164" s="4" t="s">
        <v>627</v>
      </c>
      <c r="F1164" s="4" t="s">
        <v>2323</v>
      </c>
      <c r="G1164" s="4" t="s">
        <v>38</v>
      </c>
      <c r="H1164" s="4" t="n">
        <v>2</v>
      </c>
      <c r="I1164" s="4" t="n">
        <v>880</v>
      </c>
      <c r="J1164" s="4" t="s">
        <v>68</v>
      </c>
      <c r="K1164" s="4" t="s">
        <v>2431</v>
      </c>
      <c r="L1164" s="4" t="s">
        <v>376</v>
      </c>
      <c r="M1164" s="4" t="s">
        <v>377</v>
      </c>
      <c r="N1164" s="4" t="s">
        <v>44</v>
      </c>
      <c r="O1164" s="4" t="s">
        <v>2432</v>
      </c>
      <c r="P1164" s="4" t="s">
        <v>2327</v>
      </c>
    </row>
    <row r="1165" customFormat="false" ht="15" hidden="false" customHeight="false" outlineLevel="0" collapsed="false">
      <c r="A1165" s="4" t="s">
        <v>3069</v>
      </c>
      <c r="B1165" s="5" t="n">
        <v>45973</v>
      </c>
      <c r="C1165" s="5" t="n">
        <v>46046</v>
      </c>
      <c r="D1165" s="4" t="s">
        <v>2849</v>
      </c>
      <c r="E1165" s="4" t="s">
        <v>649</v>
      </c>
      <c r="F1165" s="4" t="s">
        <v>376</v>
      </c>
      <c r="G1165" s="4" t="s">
        <v>59</v>
      </c>
      <c r="H1165" s="4" t="n">
        <v>3</v>
      </c>
      <c r="I1165" s="4" t="n">
        <v>435</v>
      </c>
      <c r="J1165" s="4" t="s">
        <v>149</v>
      </c>
      <c r="K1165" s="4" t="s">
        <v>2456</v>
      </c>
      <c r="L1165" s="4" t="s">
        <v>376</v>
      </c>
      <c r="M1165" s="4" t="s">
        <v>377</v>
      </c>
      <c r="N1165" s="4" t="s">
        <v>44</v>
      </c>
      <c r="O1165" s="4" t="s">
        <v>2457</v>
      </c>
      <c r="P1165" s="4" t="s">
        <v>2327</v>
      </c>
    </row>
    <row r="1166" customFormat="false" ht="15" hidden="false" customHeight="false" outlineLevel="0" collapsed="false">
      <c r="A1166" s="4" t="s">
        <v>3070</v>
      </c>
      <c r="B1166" s="5" t="n">
        <v>45974</v>
      </c>
      <c r="C1166" s="5" t="n">
        <v>46046</v>
      </c>
      <c r="D1166" s="4" t="s">
        <v>2849</v>
      </c>
      <c r="E1166" s="4" t="s">
        <v>613</v>
      </c>
      <c r="F1166" s="4" t="s">
        <v>376</v>
      </c>
      <c r="G1166" s="4" t="s">
        <v>59</v>
      </c>
      <c r="H1166" s="4" t="n">
        <v>4</v>
      </c>
      <c r="I1166" s="4" t="n">
        <v>392.5</v>
      </c>
      <c r="J1166" s="4" t="s">
        <v>68</v>
      </c>
      <c r="K1166" s="4" t="s">
        <v>2693</v>
      </c>
      <c r="L1166" s="4" t="s">
        <v>376</v>
      </c>
      <c r="M1166" s="4" t="s">
        <v>377</v>
      </c>
      <c r="N1166" s="4" t="s">
        <v>44</v>
      </c>
      <c r="O1166" s="4" t="s">
        <v>2694</v>
      </c>
      <c r="P1166" s="4" t="s">
        <v>2327</v>
      </c>
    </row>
    <row r="1167" customFormat="false" ht="15" hidden="false" customHeight="false" outlineLevel="0" collapsed="false">
      <c r="A1167" s="4" t="s">
        <v>3071</v>
      </c>
      <c r="B1167" s="5" t="n">
        <v>45974</v>
      </c>
      <c r="C1167" s="5" t="n">
        <v>46046</v>
      </c>
      <c r="D1167" s="4" t="s">
        <v>2849</v>
      </c>
      <c r="E1167" s="4" t="s">
        <v>761</v>
      </c>
      <c r="F1167" s="4" t="s">
        <v>2332</v>
      </c>
      <c r="G1167" s="4" t="s">
        <v>326</v>
      </c>
      <c r="H1167" s="4" t="n">
        <v>4</v>
      </c>
      <c r="I1167" s="4" t="n">
        <v>1600</v>
      </c>
      <c r="J1167" s="4" t="s">
        <v>40</v>
      </c>
      <c r="K1167" s="4" t="s">
        <v>2687</v>
      </c>
      <c r="L1167" s="4" t="s">
        <v>2384</v>
      </c>
      <c r="M1167" s="4" t="s">
        <v>377</v>
      </c>
      <c r="N1167" s="4" t="s">
        <v>44</v>
      </c>
      <c r="O1167" s="4" t="s">
        <v>2688</v>
      </c>
      <c r="P1167" s="4" t="s">
        <v>2327</v>
      </c>
    </row>
    <row r="1168" customFormat="false" ht="15" hidden="false" customHeight="false" outlineLevel="0" collapsed="false">
      <c r="A1168" s="4" t="s">
        <v>3072</v>
      </c>
      <c r="B1168" s="5" t="n">
        <v>45975</v>
      </c>
      <c r="C1168" s="5" t="n">
        <v>46046</v>
      </c>
      <c r="D1168" s="4" t="s">
        <v>2849</v>
      </c>
      <c r="E1168" s="4" t="s">
        <v>627</v>
      </c>
      <c r="F1168" s="4" t="s">
        <v>376</v>
      </c>
      <c r="G1168" s="4" t="s">
        <v>38</v>
      </c>
      <c r="H1168" s="4" t="n">
        <v>1</v>
      </c>
      <c r="I1168" s="4" t="n">
        <v>1090</v>
      </c>
      <c r="J1168" s="4" t="s">
        <v>68</v>
      </c>
      <c r="K1168" s="4" t="s">
        <v>2324</v>
      </c>
      <c r="L1168" s="4" t="s">
        <v>376</v>
      </c>
      <c r="M1168" s="4" t="s">
        <v>377</v>
      </c>
      <c r="N1168" s="4" t="s">
        <v>52</v>
      </c>
      <c r="O1168" s="4" t="s">
        <v>2326</v>
      </c>
      <c r="P1168" s="4" t="s">
        <v>2327</v>
      </c>
    </row>
    <row r="1169" customFormat="false" ht="15" hidden="false" customHeight="false" outlineLevel="0" collapsed="false">
      <c r="A1169" s="4" t="s">
        <v>3073</v>
      </c>
      <c r="B1169" s="5" t="n">
        <v>45975</v>
      </c>
      <c r="C1169" s="5" t="n">
        <v>46046</v>
      </c>
      <c r="D1169" s="4" t="s">
        <v>2849</v>
      </c>
      <c r="E1169" s="4" t="s">
        <v>627</v>
      </c>
      <c r="F1169" s="4" t="s">
        <v>376</v>
      </c>
      <c r="G1169" s="4" t="s">
        <v>38</v>
      </c>
      <c r="H1169" s="4" t="n">
        <v>4</v>
      </c>
      <c r="I1169" s="4" t="n">
        <v>835</v>
      </c>
      <c r="J1169" s="4" t="s">
        <v>40</v>
      </c>
      <c r="K1169" s="4" t="s">
        <v>3074</v>
      </c>
      <c r="L1169" s="4" t="s">
        <v>3075</v>
      </c>
      <c r="M1169" s="4" t="s">
        <v>334</v>
      </c>
      <c r="N1169" s="4" t="s">
        <v>44</v>
      </c>
      <c r="O1169" s="4" t="s">
        <v>3076</v>
      </c>
      <c r="P1169" s="4" t="s">
        <v>2327</v>
      </c>
    </row>
    <row r="1170" customFormat="false" ht="15" hidden="false" customHeight="false" outlineLevel="0" collapsed="false">
      <c r="A1170" s="4" t="s">
        <v>3077</v>
      </c>
      <c r="B1170" s="5" t="n">
        <v>45975</v>
      </c>
      <c r="C1170" s="5" t="n">
        <v>45978</v>
      </c>
      <c r="D1170" s="4" t="s">
        <v>2322</v>
      </c>
      <c r="E1170" s="4" t="s">
        <v>36</v>
      </c>
      <c r="F1170" s="4" t="s">
        <v>376</v>
      </c>
      <c r="G1170" s="4" t="s">
        <v>59</v>
      </c>
      <c r="H1170" s="4" t="n">
        <v>2</v>
      </c>
      <c r="I1170" s="4" t="n">
        <v>20</v>
      </c>
      <c r="J1170" s="4" t="s">
        <v>81</v>
      </c>
      <c r="K1170" s="4" t="s">
        <v>2687</v>
      </c>
      <c r="L1170" s="4" t="s">
        <v>376</v>
      </c>
      <c r="M1170" s="4" t="s">
        <v>377</v>
      </c>
      <c r="N1170" s="4" t="s">
        <v>44</v>
      </c>
      <c r="O1170" s="4" t="s">
        <v>2688</v>
      </c>
      <c r="P1170" s="4" t="s">
        <v>2327</v>
      </c>
    </row>
    <row r="1171" customFormat="false" ht="15" hidden="false" customHeight="false" outlineLevel="0" collapsed="false">
      <c r="A1171" s="4" t="s">
        <v>3078</v>
      </c>
      <c r="B1171" s="5" t="n">
        <v>45977</v>
      </c>
      <c r="C1171" s="5" t="n">
        <v>46046</v>
      </c>
      <c r="D1171" s="4" t="s">
        <v>2849</v>
      </c>
      <c r="E1171" s="4" t="s">
        <v>627</v>
      </c>
      <c r="F1171" s="4" t="s">
        <v>376</v>
      </c>
      <c r="G1171" s="4" t="s">
        <v>38</v>
      </c>
      <c r="H1171" s="4" t="n">
        <v>4</v>
      </c>
      <c r="I1171" s="4" t="n">
        <v>1070</v>
      </c>
      <c r="J1171" s="4" t="s">
        <v>81</v>
      </c>
      <c r="K1171" s="4" t="s">
        <v>2648</v>
      </c>
      <c r="L1171" s="4" t="s">
        <v>376</v>
      </c>
      <c r="M1171" s="4" t="s">
        <v>377</v>
      </c>
      <c r="N1171" s="4" t="s">
        <v>52</v>
      </c>
      <c r="O1171" s="4" t="s">
        <v>2649</v>
      </c>
      <c r="P1171" s="4" t="s">
        <v>2327</v>
      </c>
    </row>
    <row r="1172" customFormat="false" ht="15" hidden="false" customHeight="false" outlineLevel="0" collapsed="false">
      <c r="A1172" s="4" t="s">
        <v>3079</v>
      </c>
      <c r="B1172" s="5" t="n">
        <v>45977</v>
      </c>
      <c r="C1172" s="5" t="n">
        <v>46046</v>
      </c>
      <c r="D1172" s="4" t="s">
        <v>2849</v>
      </c>
      <c r="E1172" s="4" t="s">
        <v>618</v>
      </c>
      <c r="F1172" s="4" t="s">
        <v>2332</v>
      </c>
      <c r="G1172" s="4" t="s">
        <v>38</v>
      </c>
      <c r="H1172" s="4" t="n">
        <v>2</v>
      </c>
      <c r="I1172" s="4" t="n">
        <v>960</v>
      </c>
      <c r="J1172" s="4" t="s">
        <v>149</v>
      </c>
      <c r="K1172" s="4" t="s">
        <v>1247</v>
      </c>
      <c r="L1172" s="4" t="s">
        <v>571</v>
      </c>
      <c r="M1172" s="4" t="s">
        <v>356</v>
      </c>
      <c r="N1172" s="4" t="s">
        <v>357</v>
      </c>
      <c r="O1172" s="4"/>
      <c r="P1172" s="4" t="s">
        <v>2327</v>
      </c>
    </row>
    <row r="1173" customFormat="false" ht="15" hidden="false" customHeight="false" outlineLevel="0" collapsed="false">
      <c r="A1173" s="4" t="s">
        <v>3080</v>
      </c>
      <c r="B1173" s="5" t="n">
        <v>45981</v>
      </c>
      <c r="C1173" s="5" t="n">
        <v>46046</v>
      </c>
      <c r="D1173" s="4" t="s">
        <v>2849</v>
      </c>
      <c r="E1173" s="4" t="s">
        <v>761</v>
      </c>
      <c r="F1173" s="4" t="s">
        <v>376</v>
      </c>
      <c r="G1173" s="4" t="s">
        <v>326</v>
      </c>
      <c r="H1173" s="4" t="n">
        <v>1</v>
      </c>
      <c r="I1173" s="4" t="n">
        <v>1890</v>
      </c>
      <c r="J1173" s="4" t="s">
        <v>40</v>
      </c>
      <c r="K1173" s="4" t="s">
        <v>3081</v>
      </c>
      <c r="L1173" s="4" t="s">
        <v>786</v>
      </c>
      <c r="M1173" s="4" t="s">
        <v>377</v>
      </c>
      <c r="N1173" s="4" t="s">
        <v>44</v>
      </c>
      <c r="O1173" s="4" t="s">
        <v>3082</v>
      </c>
      <c r="P1173" s="4" t="s">
        <v>2327</v>
      </c>
    </row>
    <row r="1174" customFormat="false" ht="15" hidden="false" customHeight="false" outlineLevel="0" collapsed="false">
      <c r="A1174" s="4" t="s">
        <v>3083</v>
      </c>
      <c r="B1174" s="5" t="n">
        <v>45981</v>
      </c>
      <c r="C1174" s="5" t="n">
        <v>46046</v>
      </c>
      <c r="D1174" s="4" t="s">
        <v>2849</v>
      </c>
      <c r="E1174" s="4" t="s">
        <v>627</v>
      </c>
      <c r="F1174" s="4" t="s">
        <v>2323</v>
      </c>
      <c r="G1174" s="4" t="s">
        <v>38</v>
      </c>
      <c r="H1174" s="4" t="n">
        <v>1</v>
      </c>
      <c r="I1174" s="4" t="n">
        <v>765</v>
      </c>
      <c r="J1174" s="4" t="s">
        <v>68</v>
      </c>
      <c r="K1174" s="4" t="s">
        <v>2359</v>
      </c>
      <c r="L1174" s="4" t="s">
        <v>376</v>
      </c>
      <c r="M1174" s="4" t="s">
        <v>377</v>
      </c>
      <c r="N1174" s="4" t="s">
        <v>44</v>
      </c>
      <c r="O1174" s="4" t="s">
        <v>2360</v>
      </c>
      <c r="P1174" s="4" t="s">
        <v>2327</v>
      </c>
    </row>
    <row r="1175" customFormat="false" ht="15" hidden="false" customHeight="false" outlineLevel="0" collapsed="false">
      <c r="A1175" s="4" t="s">
        <v>3084</v>
      </c>
      <c r="B1175" s="5" t="n">
        <v>45982</v>
      </c>
      <c r="C1175" s="5" t="n">
        <v>46046</v>
      </c>
      <c r="D1175" s="4" t="s">
        <v>2849</v>
      </c>
      <c r="E1175" s="4" t="s">
        <v>627</v>
      </c>
      <c r="F1175" s="4" t="s">
        <v>2362</v>
      </c>
      <c r="G1175" s="4" t="s">
        <v>59</v>
      </c>
      <c r="H1175" s="4" t="n">
        <v>1</v>
      </c>
      <c r="I1175" s="4" t="n">
        <v>430</v>
      </c>
      <c r="J1175" s="4" t="s">
        <v>40</v>
      </c>
      <c r="K1175" s="4" t="s">
        <v>3085</v>
      </c>
      <c r="L1175" s="4" t="s">
        <v>571</v>
      </c>
      <c r="M1175" s="4" t="s">
        <v>356</v>
      </c>
      <c r="N1175" s="4" t="s">
        <v>357</v>
      </c>
      <c r="O1175" s="4"/>
      <c r="P1175" s="4" t="s">
        <v>2327</v>
      </c>
    </row>
    <row r="1176" customFormat="false" ht="15" hidden="false" customHeight="false" outlineLevel="0" collapsed="false">
      <c r="A1176" s="4" t="s">
        <v>3086</v>
      </c>
      <c r="B1176" s="5" t="n">
        <v>45982</v>
      </c>
      <c r="C1176" s="5" t="n">
        <v>46046</v>
      </c>
      <c r="D1176" s="4" t="s">
        <v>2849</v>
      </c>
      <c r="E1176" s="4" t="s">
        <v>627</v>
      </c>
      <c r="F1176" s="4" t="s">
        <v>376</v>
      </c>
      <c r="G1176" s="4" t="s">
        <v>38</v>
      </c>
      <c r="H1176" s="4" t="n">
        <v>2</v>
      </c>
      <c r="I1176" s="4" t="n">
        <v>720</v>
      </c>
      <c r="J1176" s="4" t="s">
        <v>40</v>
      </c>
      <c r="K1176" s="4" t="s">
        <v>2742</v>
      </c>
      <c r="L1176" s="4" t="s">
        <v>376</v>
      </c>
      <c r="M1176" s="4" t="s">
        <v>377</v>
      </c>
      <c r="N1176" s="4" t="s">
        <v>44</v>
      </c>
      <c r="O1176" s="4" t="s">
        <v>2743</v>
      </c>
      <c r="P1176" s="4" t="s">
        <v>2327</v>
      </c>
    </row>
    <row r="1177" customFormat="false" ht="15" hidden="false" customHeight="false" outlineLevel="0" collapsed="false">
      <c r="A1177" s="4" t="s">
        <v>3087</v>
      </c>
      <c r="B1177" s="5" t="n">
        <v>45982</v>
      </c>
      <c r="C1177" s="5" t="n">
        <v>45984</v>
      </c>
      <c r="D1177" s="4" t="s">
        <v>2322</v>
      </c>
      <c r="E1177" s="4" t="s">
        <v>36</v>
      </c>
      <c r="F1177" s="4" t="s">
        <v>376</v>
      </c>
      <c r="G1177" s="4" t="s">
        <v>38</v>
      </c>
      <c r="H1177" s="4" t="n">
        <v>2</v>
      </c>
      <c r="I1177" s="4" t="n">
        <v>40</v>
      </c>
      <c r="J1177" s="4" t="s">
        <v>40</v>
      </c>
      <c r="K1177" s="4" t="s">
        <v>2690</v>
      </c>
      <c r="L1177" s="4" t="s">
        <v>376</v>
      </c>
      <c r="M1177" s="4" t="s">
        <v>377</v>
      </c>
      <c r="N1177" s="4" t="s">
        <v>185</v>
      </c>
      <c r="O1177" s="4" t="s">
        <v>2691</v>
      </c>
      <c r="P1177" s="4" t="s">
        <v>2327</v>
      </c>
    </row>
    <row r="1178" customFormat="false" ht="15" hidden="false" customHeight="false" outlineLevel="0" collapsed="false">
      <c r="A1178" s="4" t="s">
        <v>3088</v>
      </c>
      <c r="B1178" s="5" t="n">
        <v>45983</v>
      </c>
      <c r="C1178" s="5" t="n">
        <v>46046</v>
      </c>
      <c r="D1178" s="4" t="s">
        <v>2849</v>
      </c>
      <c r="E1178" s="4" t="s">
        <v>649</v>
      </c>
      <c r="F1178" s="4" t="s">
        <v>376</v>
      </c>
      <c r="G1178" s="4" t="s">
        <v>59</v>
      </c>
      <c r="H1178" s="4" t="n">
        <v>3</v>
      </c>
      <c r="I1178" s="4" t="n">
        <v>380</v>
      </c>
      <c r="J1178" s="4" t="s">
        <v>40</v>
      </c>
      <c r="K1178" s="4" t="s">
        <v>3089</v>
      </c>
      <c r="L1178" s="4" t="s">
        <v>736</v>
      </c>
      <c r="M1178" s="4" t="s">
        <v>1683</v>
      </c>
      <c r="N1178" s="4" t="s">
        <v>44</v>
      </c>
      <c r="O1178" s="4" t="s">
        <v>3090</v>
      </c>
      <c r="P1178" s="4" t="s">
        <v>2327</v>
      </c>
    </row>
    <row r="1179" customFormat="false" ht="15" hidden="false" customHeight="false" outlineLevel="0" collapsed="false">
      <c r="A1179" s="4" t="s">
        <v>3091</v>
      </c>
      <c r="B1179" s="5" t="n">
        <v>45983</v>
      </c>
      <c r="C1179" s="5" t="n">
        <v>46046</v>
      </c>
      <c r="D1179" s="4" t="s">
        <v>2849</v>
      </c>
      <c r="E1179" s="4" t="s">
        <v>627</v>
      </c>
      <c r="F1179" s="4" t="s">
        <v>376</v>
      </c>
      <c r="G1179" s="4" t="s">
        <v>38</v>
      </c>
      <c r="H1179" s="4" t="n">
        <v>1</v>
      </c>
      <c r="I1179" s="4" t="n">
        <v>680</v>
      </c>
      <c r="J1179" s="4" t="s">
        <v>40</v>
      </c>
      <c r="K1179" s="4" t="s">
        <v>3092</v>
      </c>
      <c r="L1179" s="4" t="s">
        <v>862</v>
      </c>
      <c r="M1179" s="4" t="s">
        <v>356</v>
      </c>
      <c r="N1179" s="4" t="s">
        <v>863</v>
      </c>
      <c r="O1179" s="4"/>
      <c r="P1179" s="4" t="s">
        <v>2327</v>
      </c>
    </row>
    <row r="1180" customFormat="false" ht="15" hidden="false" customHeight="false" outlineLevel="0" collapsed="false">
      <c r="A1180" s="4" t="s">
        <v>3093</v>
      </c>
      <c r="B1180" s="5" t="n">
        <v>45983</v>
      </c>
      <c r="C1180" s="5" t="n">
        <v>46046</v>
      </c>
      <c r="D1180" s="4" t="s">
        <v>2849</v>
      </c>
      <c r="E1180" s="4" t="s">
        <v>627</v>
      </c>
      <c r="F1180" s="4" t="s">
        <v>2332</v>
      </c>
      <c r="G1180" s="4" t="s">
        <v>38</v>
      </c>
      <c r="H1180" s="4" t="n">
        <v>2</v>
      </c>
      <c r="I1180" s="4" t="n">
        <v>1105</v>
      </c>
      <c r="J1180" s="4" t="s">
        <v>40</v>
      </c>
      <c r="K1180" s="4" t="s">
        <v>3094</v>
      </c>
      <c r="L1180" s="4" t="s">
        <v>524</v>
      </c>
      <c r="M1180" s="4" t="s">
        <v>377</v>
      </c>
      <c r="N1180" s="4" t="s">
        <v>94</v>
      </c>
      <c r="O1180" s="4" t="s">
        <v>3095</v>
      </c>
      <c r="P1180" s="4" t="s">
        <v>2327</v>
      </c>
    </row>
    <row r="1181" customFormat="false" ht="15" hidden="false" customHeight="false" outlineLevel="0" collapsed="false">
      <c r="A1181" s="4" t="s">
        <v>3096</v>
      </c>
      <c r="B1181" s="5" t="n">
        <v>45983</v>
      </c>
      <c r="C1181" s="5" t="n">
        <v>46046</v>
      </c>
      <c r="D1181" s="4" t="s">
        <v>2849</v>
      </c>
      <c r="E1181" s="4" t="s">
        <v>627</v>
      </c>
      <c r="F1181" s="4" t="s">
        <v>376</v>
      </c>
      <c r="G1181" s="4" t="s">
        <v>38</v>
      </c>
      <c r="H1181" s="4" t="n">
        <v>2</v>
      </c>
      <c r="I1181" s="4" t="n">
        <v>1095</v>
      </c>
      <c r="J1181" s="4" t="s">
        <v>68</v>
      </c>
      <c r="K1181" s="4" t="s">
        <v>2672</v>
      </c>
      <c r="L1181" s="4" t="s">
        <v>524</v>
      </c>
      <c r="M1181" s="4" t="s">
        <v>377</v>
      </c>
      <c r="N1181" s="4" t="s">
        <v>44</v>
      </c>
      <c r="O1181" s="4" t="s">
        <v>2673</v>
      </c>
      <c r="P1181" s="4" t="s">
        <v>2327</v>
      </c>
    </row>
    <row r="1182" customFormat="false" ht="15" hidden="false" customHeight="false" outlineLevel="0" collapsed="false">
      <c r="A1182" s="4" t="s">
        <v>3097</v>
      </c>
      <c r="B1182" s="5" t="n">
        <v>45985</v>
      </c>
      <c r="C1182" s="5" t="n">
        <v>45988</v>
      </c>
      <c r="D1182" s="4" t="s">
        <v>2322</v>
      </c>
      <c r="E1182" s="4" t="s">
        <v>66</v>
      </c>
      <c r="F1182" s="4" t="s">
        <v>376</v>
      </c>
      <c r="G1182" s="4" t="s">
        <v>38</v>
      </c>
      <c r="H1182" s="4" t="n">
        <v>4</v>
      </c>
      <c r="I1182" s="4" t="n">
        <v>40</v>
      </c>
      <c r="J1182" s="4" t="s">
        <v>40</v>
      </c>
      <c r="K1182" s="4" t="s">
        <v>2363</v>
      </c>
      <c r="L1182" s="4" t="s">
        <v>376</v>
      </c>
      <c r="M1182" s="4" t="s">
        <v>377</v>
      </c>
      <c r="N1182" s="4" t="s">
        <v>44</v>
      </c>
      <c r="O1182" s="4" t="s">
        <v>2364</v>
      </c>
      <c r="P1182" s="4" t="s">
        <v>2327</v>
      </c>
    </row>
    <row r="1183" customFormat="false" ht="15" hidden="false" customHeight="false" outlineLevel="0" collapsed="false">
      <c r="A1183" s="4" t="s">
        <v>3098</v>
      </c>
      <c r="B1183" s="5" t="n">
        <v>45988</v>
      </c>
      <c r="C1183" s="5" t="n">
        <v>46046</v>
      </c>
      <c r="D1183" s="4" t="s">
        <v>2849</v>
      </c>
      <c r="E1183" s="4" t="s">
        <v>613</v>
      </c>
      <c r="F1183" s="4" t="s">
        <v>2332</v>
      </c>
      <c r="G1183" s="4" t="s">
        <v>38</v>
      </c>
      <c r="H1183" s="4" t="n">
        <v>1</v>
      </c>
      <c r="I1183" s="4" t="n">
        <v>665</v>
      </c>
      <c r="J1183" s="4" t="s">
        <v>81</v>
      </c>
      <c r="K1183" s="4" t="s">
        <v>2558</v>
      </c>
      <c r="L1183" s="4" t="s">
        <v>376</v>
      </c>
      <c r="M1183" s="4" t="s">
        <v>377</v>
      </c>
      <c r="N1183" s="4" t="s">
        <v>52</v>
      </c>
      <c r="O1183" s="4" t="s">
        <v>2559</v>
      </c>
      <c r="P1183" s="4" t="s">
        <v>2327</v>
      </c>
    </row>
    <row r="1184" customFormat="false" ht="15" hidden="false" customHeight="false" outlineLevel="0" collapsed="false">
      <c r="A1184" s="4" t="s">
        <v>3099</v>
      </c>
      <c r="B1184" s="5" t="n">
        <v>45988</v>
      </c>
      <c r="C1184" s="5" t="n">
        <v>45988</v>
      </c>
      <c r="D1184" s="4" t="s">
        <v>2322</v>
      </c>
      <c r="E1184" s="4" t="s">
        <v>36</v>
      </c>
      <c r="F1184" s="4" t="s">
        <v>2323</v>
      </c>
      <c r="G1184" s="4" t="s">
        <v>38</v>
      </c>
      <c r="H1184" s="4" t="n">
        <v>3</v>
      </c>
      <c r="I1184" s="4" t="n">
        <v>45</v>
      </c>
      <c r="J1184" s="4" t="s">
        <v>68</v>
      </c>
      <c r="K1184" s="4" t="s">
        <v>3100</v>
      </c>
      <c r="L1184" s="4" t="s">
        <v>2146</v>
      </c>
      <c r="M1184" s="4" t="s">
        <v>737</v>
      </c>
      <c r="N1184" s="4" t="s">
        <v>44</v>
      </c>
      <c r="O1184" s="4" t="s">
        <v>3101</v>
      </c>
      <c r="P1184" s="4" t="s">
        <v>2327</v>
      </c>
    </row>
    <row r="1185" customFormat="false" ht="15" hidden="false" customHeight="false" outlineLevel="0" collapsed="false">
      <c r="A1185" s="4" t="s">
        <v>3102</v>
      </c>
      <c r="B1185" s="5" t="n">
        <v>45989</v>
      </c>
      <c r="C1185" s="5" t="n">
        <v>46046</v>
      </c>
      <c r="D1185" s="4" t="s">
        <v>2849</v>
      </c>
      <c r="E1185" s="4" t="s">
        <v>627</v>
      </c>
      <c r="F1185" s="4" t="s">
        <v>2384</v>
      </c>
      <c r="G1185" s="4" t="s">
        <v>38</v>
      </c>
      <c r="H1185" s="4" t="n">
        <v>1</v>
      </c>
      <c r="I1185" s="4" t="n">
        <v>1100</v>
      </c>
      <c r="J1185" s="4" t="s">
        <v>68</v>
      </c>
      <c r="K1185" s="4" t="s">
        <v>3103</v>
      </c>
      <c r="L1185" s="4" t="s">
        <v>524</v>
      </c>
      <c r="M1185" s="4" t="s">
        <v>377</v>
      </c>
      <c r="N1185" s="4" t="s">
        <v>185</v>
      </c>
      <c r="O1185" s="4" t="s">
        <v>3104</v>
      </c>
      <c r="P1185" s="4" t="s">
        <v>2327</v>
      </c>
    </row>
    <row r="1186" customFormat="false" ht="15" hidden="false" customHeight="false" outlineLevel="0" collapsed="false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 t="s">
        <v>2327</v>
      </c>
    </row>
    <row r="1187" customFormat="false" ht="15" hidden="false" customHeight="false" outlineLevel="0" collapsed="false">
      <c r="A1187" s="4" t="s">
        <v>3105</v>
      </c>
      <c r="B1187" s="5" t="n">
        <v>45991</v>
      </c>
      <c r="C1187" s="5" t="n">
        <v>46046</v>
      </c>
      <c r="D1187" s="4" t="s">
        <v>2849</v>
      </c>
      <c r="E1187" s="4" t="s">
        <v>627</v>
      </c>
      <c r="F1187" s="4" t="s">
        <v>376</v>
      </c>
      <c r="G1187" s="4" t="s">
        <v>38</v>
      </c>
      <c r="H1187" s="4" t="n">
        <v>1</v>
      </c>
      <c r="I1187" s="4" t="n">
        <v>1090</v>
      </c>
      <c r="J1187" s="4" t="s">
        <v>68</v>
      </c>
      <c r="K1187" s="4" t="s">
        <v>2964</v>
      </c>
      <c r="L1187" s="4" t="s">
        <v>2384</v>
      </c>
      <c r="M1187" s="4" t="s">
        <v>1412</v>
      </c>
      <c r="N1187" s="4" t="s">
        <v>44</v>
      </c>
      <c r="O1187" s="4" t="s">
        <v>2965</v>
      </c>
      <c r="P1187" s="4" t="s">
        <v>2327</v>
      </c>
    </row>
    <row r="1188" customFormat="false" ht="15" hidden="false" customHeight="false" outlineLevel="0" collapsed="false">
      <c r="A1188" s="4" t="s">
        <v>3106</v>
      </c>
      <c r="B1188" s="5" t="n">
        <v>45993</v>
      </c>
      <c r="C1188" s="5" t="n">
        <v>46046</v>
      </c>
      <c r="D1188" s="4" t="s">
        <v>2849</v>
      </c>
      <c r="E1188" s="4" t="s">
        <v>627</v>
      </c>
      <c r="F1188" s="4" t="s">
        <v>376</v>
      </c>
      <c r="G1188" s="4" t="s">
        <v>38</v>
      </c>
      <c r="H1188" s="4" t="n">
        <v>2</v>
      </c>
      <c r="I1188" s="4" t="n">
        <v>1075</v>
      </c>
      <c r="J1188" s="4" t="s">
        <v>40</v>
      </c>
      <c r="K1188" s="4" t="s">
        <v>773</v>
      </c>
      <c r="L1188" s="4" t="s">
        <v>571</v>
      </c>
      <c r="M1188" s="4" t="s">
        <v>356</v>
      </c>
      <c r="N1188" s="4" t="s">
        <v>357</v>
      </c>
      <c r="O1188" s="4"/>
      <c r="P1188" s="4" t="s">
        <v>2327</v>
      </c>
    </row>
    <row r="1189" customFormat="false" ht="15" hidden="false" customHeight="false" outlineLevel="0" collapsed="false">
      <c r="A1189" s="4" t="s">
        <v>3107</v>
      </c>
      <c r="B1189" s="5" t="n">
        <v>45994</v>
      </c>
      <c r="C1189" s="5" t="n">
        <v>46046</v>
      </c>
      <c r="D1189" s="4" t="s">
        <v>2849</v>
      </c>
      <c r="E1189" s="4" t="s">
        <v>618</v>
      </c>
      <c r="F1189" s="4" t="s">
        <v>2323</v>
      </c>
      <c r="G1189" s="4" t="s">
        <v>38</v>
      </c>
      <c r="H1189" s="4" t="n">
        <v>2</v>
      </c>
      <c r="I1189" s="4" t="n">
        <v>865</v>
      </c>
      <c r="J1189" s="4" t="s">
        <v>68</v>
      </c>
      <c r="K1189" s="4" t="s">
        <v>2728</v>
      </c>
      <c r="L1189" s="4" t="s">
        <v>376</v>
      </c>
      <c r="M1189" s="4" t="s">
        <v>377</v>
      </c>
      <c r="N1189" s="4" t="s">
        <v>44</v>
      </c>
      <c r="O1189" s="4" t="s">
        <v>2729</v>
      </c>
      <c r="P1189" s="4" t="s">
        <v>2327</v>
      </c>
    </row>
    <row r="1190" customFormat="false" ht="15" hidden="false" customHeight="false" outlineLevel="0" collapsed="false">
      <c r="A1190" s="4" t="s">
        <v>3108</v>
      </c>
      <c r="B1190" s="5" t="n">
        <v>45996</v>
      </c>
      <c r="C1190" s="5" t="n">
        <v>45996</v>
      </c>
      <c r="D1190" s="4" t="s">
        <v>2322</v>
      </c>
      <c r="E1190" s="4" t="s">
        <v>36</v>
      </c>
      <c r="F1190" s="4" t="s">
        <v>376</v>
      </c>
      <c r="G1190" s="4" t="s">
        <v>59</v>
      </c>
      <c r="H1190" s="4" t="n">
        <v>1</v>
      </c>
      <c r="I1190" s="4" t="n">
        <v>17.5</v>
      </c>
      <c r="J1190" s="4" t="s">
        <v>68</v>
      </c>
      <c r="K1190" s="4" t="s">
        <v>2826</v>
      </c>
      <c r="L1190" s="4" t="s">
        <v>376</v>
      </c>
      <c r="M1190" s="4" t="s">
        <v>377</v>
      </c>
      <c r="N1190" s="4" t="s">
        <v>44</v>
      </c>
      <c r="O1190" s="4" t="s">
        <v>2827</v>
      </c>
      <c r="P1190" s="4" t="s">
        <v>2327</v>
      </c>
    </row>
    <row r="1191" customFormat="false" ht="15" hidden="false" customHeight="false" outlineLevel="0" collapsed="false">
      <c r="A1191" s="4" t="s">
        <v>3109</v>
      </c>
      <c r="B1191" s="5" t="n">
        <v>45996</v>
      </c>
      <c r="C1191" s="5" t="n">
        <v>45999</v>
      </c>
      <c r="D1191" s="4" t="s">
        <v>2322</v>
      </c>
      <c r="E1191" s="4" t="s">
        <v>89</v>
      </c>
      <c r="F1191" s="4" t="s">
        <v>2362</v>
      </c>
      <c r="G1191" s="4" t="s">
        <v>59</v>
      </c>
      <c r="H1191" s="4" t="n">
        <v>1</v>
      </c>
      <c r="I1191" s="4" t="n">
        <v>22.5</v>
      </c>
      <c r="J1191" s="4" t="s">
        <v>81</v>
      </c>
      <c r="K1191" s="4" t="s">
        <v>1391</v>
      </c>
      <c r="L1191" s="4" t="s">
        <v>219</v>
      </c>
      <c r="M1191" s="4" t="s">
        <v>220</v>
      </c>
      <c r="N1191" s="4" t="s">
        <v>221</v>
      </c>
      <c r="O1191" s="4"/>
      <c r="P1191" s="4" t="s">
        <v>2327</v>
      </c>
    </row>
    <row r="1192" customFormat="false" ht="15" hidden="false" customHeight="false" outlineLevel="0" collapsed="false">
      <c r="A1192" s="4" t="s">
        <v>3110</v>
      </c>
      <c r="B1192" s="5" t="n">
        <v>45996</v>
      </c>
      <c r="C1192" s="5" t="n">
        <v>45999</v>
      </c>
      <c r="D1192" s="4" t="s">
        <v>2322</v>
      </c>
      <c r="E1192" s="4" t="s">
        <v>36</v>
      </c>
      <c r="F1192" s="4" t="s">
        <v>2362</v>
      </c>
      <c r="G1192" s="4" t="s">
        <v>38</v>
      </c>
      <c r="H1192" s="4" t="n">
        <v>3</v>
      </c>
      <c r="I1192" s="4" t="n">
        <v>40</v>
      </c>
      <c r="J1192" s="4" t="s">
        <v>40</v>
      </c>
      <c r="K1192" s="4" t="s">
        <v>3111</v>
      </c>
      <c r="L1192" s="4" t="s">
        <v>376</v>
      </c>
      <c r="M1192" s="4" t="s">
        <v>377</v>
      </c>
      <c r="N1192" s="4" t="s">
        <v>94</v>
      </c>
      <c r="O1192" s="4" t="s">
        <v>3112</v>
      </c>
      <c r="P1192" s="4" t="s">
        <v>2327</v>
      </c>
    </row>
    <row r="1193" customFormat="false" ht="15" hidden="false" customHeight="false" outlineLevel="0" collapsed="false">
      <c r="A1193" s="4" t="s">
        <v>3113</v>
      </c>
      <c r="B1193" s="5" t="n">
        <v>45998</v>
      </c>
      <c r="C1193" s="5" t="n">
        <v>46046</v>
      </c>
      <c r="D1193" s="4" t="s">
        <v>2849</v>
      </c>
      <c r="E1193" s="4" t="s">
        <v>618</v>
      </c>
      <c r="F1193" s="4" t="s">
        <v>376</v>
      </c>
      <c r="G1193" s="4" t="s">
        <v>38</v>
      </c>
      <c r="H1193" s="4" t="n">
        <v>2</v>
      </c>
      <c r="I1193" s="4" t="n">
        <v>650</v>
      </c>
      <c r="J1193" s="4" t="s">
        <v>68</v>
      </c>
      <c r="K1193" s="4" t="s">
        <v>3114</v>
      </c>
      <c r="L1193" s="4" t="s">
        <v>376</v>
      </c>
      <c r="M1193" s="4" t="s">
        <v>1412</v>
      </c>
      <c r="N1193" s="4" t="s">
        <v>44</v>
      </c>
      <c r="O1193" s="4" t="s">
        <v>3115</v>
      </c>
      <c r="P1193" s="4" t="s">
        <v>2327</v>
      </c>
    </row>
    <row r="1194" customFormat="false" ht="15" hidden="false" customHeight="false" outlineLevel="0" collapsed="false">
      <c r="A1194" s="4" t="s">
        <v>3116</v>
      </c>
      <c r="B1194" s="5" t="n">
        <v>46000</v>
      </c>
      <c r="C1194" s="5" t="n">
        <v>46046</v>
      </c>
      <c r="D1194" s="4" t="s">
        <v>2849</v>
      </c>
      <c r="E1194" s="4" t="s">
        <v>618</v>
      </c>
      <c r="F1194" s="4" t="s">
        <v>376</v>
      </c>
      <c r="G1194" s="4" t="s">
        <v>59</v>
      </c>
      <c r="H1194" s="4" t="n">
        <v>1</v>
      </c>
      <c r="I1194" s="4" t="n">
        <v>557.5</v>
      </c>
      <c r="J1194" s="4" t="s">
        <v>40</v>
      </c>
      <c r="K1194" s="4" t="s">
        <v>2340</v>
      </c>
      <c r="L1194" s="4" t="s">
        <v>376</v>
      </c>
      <c r="M1194" s="4" t="s">
        <v>377</v>
      </c>
      <c r="N1194" s="4" t="s">
        <v>44</v>
      </c>
      <c r="O1194" s="4" t="s">
        <v>2341</v>
      </c>
      <c r="P1194" s="4" t="s">
        <v>2327</v>
      </c>
    </row>
    <row r="1195" customFormat="false" ht="15" hidden="false" customHeight="false" outlineLevel="0" collapsed="false">
      <c r="A1195" s="4" t="s">
        <v>3117</v>
      </c>
      <c r="B1195" s="5" t="n">
        <v>46001</v>
      </c>
      <c r="C1195" s="5" t="n">
        <v>46046</v>
      </c>
      <c r="D1195" s="4" t="s">
        <v>2849</v>
      </c>
      <c r="E1195" s="4" t="s">
        <v>761</v>
      </c>
      <c r="F1195" s="4" t="s">
        <v>376</v>
      </c>
      <c r="G1195" s="4" t="s">
        <v>59</v>
      </c>
      <c r="H1195" s="4" t="n">
        <v>1</v>
      </c>
      <c r="I1195" s="4" t="n">
        <v>382.5</v>
      </c>
      <c r="J1195" s="4" t="s">
        <v>149</v>
      </c>
      <c r="K1195" s="4" t="s">
        <v>633</v>
      </c>
      <c r="L1195" s="4" t="s">
        <v>634</v>
      </c>
      <c r="M1195" s="4" t="s">
        <v>635</v>
      </c>
      <c r="N1195" s="4" t="s">
        <v>44</v>
      </c>
      <c r="O1195" s="4" t="s">
        <v>636</v>
      </c>
      <c r="P1195" s="4" t="s">
        <v>2327</v>
      </c>
    </row>
    <row r="1196" customFormat="false" ht="15" hidden="false" customHeight="false" outlineLevel="0" collapsed="false">
      <c r="A1196" s="4" t="s">
        <v>3118</v>
      </c>
      <c r="B1196" s="5" t="n">
        <v>46001</v>
      </c>
      <c r="C1196" s="5" t="n">
        <v>46003</v>
      </c>
      <c r="D1196" s="4" t="s">
        <v>2322</v>
      </c>
      <c r="E1196" s="4" t="s">
        <v>36</v>
      </c>
      <c r="F1196" s="4" t="s">
        <v>376</v>
      </c>
      <c r="G1196" s="4" t="s">
        <v>59</v>
      </c>
      <c r="H1196" s="4" t="n">
        <v>3</v>
      </c>
      <c r="I1196" s="4" t="n">
        <v>20</v>
      </c>
      <c r="J1196" s="4" t="s">
        <v>40</v>
      </c>
      <c r="K1196" s="4" t="s">
        <v>3119</v>
      </c>
      <c r="L1196" s="4" t="s">
        <v>2384</v>
      </c>
      <c r="M1196" s="4" t="s">
        <v>377</v>
      </c>
      <c r="N1196" s="4" t="s">
        <v>44</v>
      </c>
      <c r="O1196" s="4" t="s">
        <v>3120</v>
      </c>
      <c r="P1196" s="4" t="s">
        <v>2327</v>
      </c>
    </row>
    <row r="1197" customFormat="false" ht="15" hidden="false" customHeight="false" outlineLevel="0" collapsed="false">
      <c r="A1197" s="4" t="s">
        <v>3121</v>
      </c>
      <c r="B1197" s="5" t="n">
        <v>46002</v>
      </c>
      <c r="C1197" s="5" t="n">
        <v>46046</v>
      </c>
      <c r="D1197" s="4" t="s">
        <v>2849</v>
      </c>
      <c r="E1197" s="4" t="s">
        <v>618</v>
      </c>
      <c r="F1197" s="4" t="s">
        <v>2332</v>
      </c>
      <c r="G1197" s="4" t="s">
        <v>59</v>
      </c>
      <c r="H1197" s="4" t="n">
        <v>2</v>
      </c>
      <c r="I1197" s="4" t="n">
        <v>497.5</v>
      </c>
      <c r="J1197" s="4" t="s">
        <v>68</v>
      </c>
      <c r="K1197" s="4" t="s">
        <v>2499</v>
      </c>
      <c r="L1197" s="4" t="s">
        <v>376</v>
      </c>
      <c r="M1197" s="4" t="s">
        <v>1412</v>
      </c>
      <c r="N1197" s="4" t="s">
        <v>94</v>
      </c>
      <c r="O1197" s="4" t="s">
        <v>2500</v>
      </c>
      <c r="P1197" s="4" t="s">
        <v>2327</v>
      </c>
    </row>
    <row r="1198" customFormat="false" ht="15" hidden="false" customHeight="false" outlineLevel="0" collapsed="false">
      <c r="A1198" s="4" t="s">
        <v>3122</v>
      </c>
      <c r="B1198" s="5" t="n">
        <v>46002</v>
      </c>
      <c r="C1198" s="5" t="n">
        <v>46046</v>
      </c>
      <c r="D1198" s="4" t="s">
        <v>2849</v>
      </c>
      <c r="E1198" s="4" t="s">
        <v>627</v>
      </c>
      <c r="F1198" s="4" t="s">
        <v>2323</v>
      </c>
      <c r="G1198" s="4" t="s">
        <v>38</v>
      </c>
      <c r="H1198" s="4" t="n">
        <v>3</v>
      </c>
      <c r="I1198" s="4" t="n">
        <v>865</v>
      </c>
      <c r="J1198" s="4" t="s">
        <v>68</v>
      </c>
      <c r="K1198" s="4" t="s">
        <v>2547</v>
      </c>
      <c r="L1198" s="4" t="s">
        <v>376</v>
      </c>
      <c r="M1198" s="4" t="s">
        <v>377</v>
      </c>
      <c r="N1198" s="4" t="s">
        <v>44</v>
      </c>
      <c r="O1198" s="4" t="s">
        <v>2548</v>
      </c>
      <c r="P1198" s="4" t="s">
        <v>2327</v>
      </c>
    </row>
    <row r="1199" customFormat="false" ht="15" hidden="false" customHeight="false" outlineLevel="0" collapsed="false">
      <c r="A1199" s="4" t="s">
        <v>3123</v>
      </c>
      <c r="B1199" s="5" t="n">
        <v>46003</v>
      </c>
      <c r="C1199" s="5" t="n">
        <v>46046</v>
      </c>
      <c r="D1199" s="4" t="s">
        <v>2849</v>
      </c>
      <c r="E1199" s="4" t="s">
        <v>627</v>
      </c>
      <c r="F1199" s="4" t="s">
        <v>376</v>
      </c>
      <c r="G1199" s="4" t="s">
        <v>59</v>
      </c>
      <c r="H1199" s="4" t="n">
        <v>1</v>
      </c>
      <c r="I1199" s="4" t="n">
        <v>412.5</v>
      </c>
      <c r="J1199" s="4" t="s">
        <v>40</v>
      </c>
      <c r="K1199" s="4" t="s">
        <v>2884</v>
      </c>
      <c r="L1199" s="4" t="s">
        <v>1172</v>
      </c>
      <c r="M1199" s="4" t="s">
        <v>377</v>
      </c>
      <c r="N1199" s="4" t="s">
        <v>44</v>
      </c>
      <c r="O1199" s="4" t="s">
        <v>2885</v>
      </c>
      <c r="P1199" s="4" t="s">
        <v>2327</v>
      </c>
    </row>
    <row r="1200" customFormat="false" ht="15" hidden="false" customHeight="false" outlineLevel="0" collapsed="false">
      <c r="A1200" s="4" t="s">
        <v>3124</v>
      </c>
      <c r="B1200" s="5" t="n">
        <v>46003</v>
      </c>
      <c r="C1200" s="5" t="n">
        <v>46046</v>
      </c>
      <c r="D1200" s="4" t="s">
        <v>2849</v>
      </c>
      <c r="E1200" s="4" t="s">
        <v>627</v>
      </c>
      <c r="F1200" s="4" t="s">
        <v>376</v>
      </c>
      <c r="G1200" s="4" t="s">
        <v>38</v>
      </c>
      <c r="H1200" s="4" t="n">
        <v>1</v>
      </c>
      <c r="I1200" s="4" t="n">
        <v>765</v>
      </c>
      <c r="J1200" s="4" t="s">
        <v>68</v>
      </c>
      <c r="K1200" s="4" t="s">
        <v>2580</v>
      </c>
      <c r="L1200" s="4" t="s">
        <v>376</v>
      </c>
      <c r="M1200" s="4" t="s">
        <v>377</v>
      </c>
      <c r="N1200" s="4" t="s">
        <v>44</v>
      </c>
      <c r="O1200" s="4" t="s">
        <v>2581</v>
      </c>
      <c r="P1200" s="4" t="s">
        <v>2327</v>
      </c>
    </row>
    <row r="1201" customFormat="false" ht="15" hidden="false" customHeight="false" outlineLevel="0" collapsed="false">
      <c r="A1201" s="4" t="s">
        <v>3125</v>
      </c>
      <c r="B1201" s="5" t="n">
        <v>46004</v>
      </c>
      <c r="C1201" s="5" t="n">
        <v>46046</v>
      </c>
      <c r="D1201" s="4" t="s">
        <v>2849</v>
      </c>
      <c r="E1201" s="4" t="s">
        <v>627</v>
      </c>
      <c r="F1201" s="4" t="s">
        <v>376</v>
      </c>
      <c r="G1201" s="4" t="s">
        <v>326</v>
      </c>
      <c r="H1201" s="4" t="n">
        <v>2</v>
      </c>
      <c r="I1201" s="4" t="n">
        <v>1410</v>
      </c>
      <c r="J1201" s="4" t="s">
        <v>40</v>
      </c>
      <c r="K1201" s="4" t="s">
        <v>3126</v>
      </c>
      <c r="L1201" s="4" t="s">
        <v>376</v>
      </c>
      <c r="M1201" s="4" t="s">
        <v>377</v>
      </c>
      <c r="N1201" s="4" t="s">
        <v>185</v>
      </c>
      <c r="O1201" s="4" t="s">
        <v>3127</v>
      </c>
      <c r="P1201" s="4" t="s">
        <v>2327</v>
      </c>
    </row>
    <row r="1202" customFormat="false" ht="15" hidden="false" customHeight="false" outlineLevel="0" collapsed="false">
      <c r="A1202" s="4" t="s">
        <v>3128</v>
      </c>
      <c r="B1202" s="5" t="n">
        <v>46005</v>
      </c>
      <c r="C1202" s="5" t="n">
        <v>46046</v>
      </c>
      <c r="D1202" s="4" t="s">
        <v>2849</v>
      </c>
      <c r="E1202" s="4" t="s">
        <v>613</v>
      </c>
      <c r="F1202" s="4" t="s">
        <v>376</v>
      </c>
      <c r="G1202" s="4" t="s">
        <v>59</v>
      </c>
      <c r="H1202" s="4" t="n">
        <v>3</v>
      </c>
      <c r="I1202" s="4" t="n">
        <v>497.5</v>
      </c>
      <c r="J1202" s="4" t="s">
        <v>81</v>
      </c>
      <c r="K1202" s="4" t="s">
        <v>3129</v>
      </c>
      <c r="L1202" s="4" t="s">
        <v>1783</v>
      </c>
      <c r="M1202" s="4" t="s">
        <v>635</v>
      </c>
      <c r="N1202" s="4" t="s">
        <v>44</v>
      </c>
      <c r="O1202" s="4" t="s">
        <v>3130</v>
      </c>
      <c r="P1202" s="4" t="s">
        <v>2327</v>
      </c>
    </row>
    <row r="1203" customFormat="false" ht="15" hidden="false" customHeight="false" outlineLevel="0" collapsed="false">
      <c r="A1203" s="4" t="s">
        <v>3131</v>
      </c>
      <c r="B1203" s="5" t="n">
        <v>46007</v>
      </c>
      <c r="C1203" s="5" t="n">
        <v>46046</v>
      </c>
      <c r="D1203" s="4" t="s">
        <v>2849</v>
      </c>
      <c r="E1203" s="4" t="s">
        <v>627</v>
      </c>
      <c r="F1203" s="4" t="s">
        <v>2332</v>
      </c>
      <c r="G1203" s="4" t="s">
        <v>38</v>
      </c>
      <c r="H1203" s="4" t="n">
        <v>1</v>
      </c>
      <c r="I1203" s="4" t="n">
        <v>780</v>
      </c>
      <c r="J1203" s="4" t="s">
        <v>40</v>
      </c>
      <c r="K1203" s="4" t="s">
        <v>2406</v>
      </c>
      <c r="L1203" s="4" t="s">
        <v>376</v>
      </c>
      <c r="M1203" s="4" t="s">
        <v>377</v>
      </c>
      <c r="N1203" s="4" t="s">
        <v>44</v>
      </c>
      <c r="O1203" s="4" t="s">
        <v>2407</v>
      </c>
      <c r="P1203" s="4" t="s">
        <v>2327</v>
      </c>
    </row>
    <row r="1204" customFormat="false" ht="15" hidden="false" customHeight="false" outlineLevel="0" collapsed="false">
      <c r="A1204" s="4" t="s">
        <v>3132</v>
      </c>
      <c r="B1204" s="5" t="n">
        <v>46007</v>
      </c>
      <c r="C1204" s="5" t="n">
        <v>46008</v>
      </c>
      <c r="D1204" s="4" t="s">
        <v>2322</v>
      </c>
      <c r="E1204" s="4" t="s">
        <v>89</v>
      </c>
      <c r="F1204" s="4" t="s">
        <v>376</v>
      </c>
      <c r="G1204" s="4" t="s">
        <v>38</v>
      </c>
      <c r="H1204" s="4" t="n">
        <v>3</v>
      </c>
      <c r="I1204" s="4" t="n">
        <v>45</v>
      </c>
      <c r="J1204" s="4" t="s">
        <v>40</v>
      </c>
      <c r="K1204" s="4" t="s">
        <v>2543</v>
      </c>
      <c r="L1204" s="4" t="s">
        <v>2325</v>
      </c>
      <c r="M1204" s="4" t="s">
        <v>377</v>
      </c>
      <c r="N1204" s="4" t="s">
        <v>44</v>
      </c>
      <c r="O1204" s="4" t="s">
        <v>2544</v>
      </c>
      <c r="P1204" s="4" t="s">
        <v>2327</v>
      </c>
    </row>
    <row r="1205" customFormat="false" ht="15" hidden="false" customHeight="false" outlineLevel="0" collapsed="false">
      <c r="A1205" s="4" t="s">
        <v>3133</v>
      </c>
      <c r="B1205" s="5" t="n">
        <v>46008</v>
      </c>
      <c r="C1205" s="5" t="n">
        <v>46046</v>
      </c>
      <c r="D1205" s="4" t="s">
        <v>2849</v>
      </c>
      <c r="E1205" s="4" t="s">
        <v>613</v>
      </c>
      <c r="F1205" s="4" t="s">
        <v>2332</v>
      </c>
      <c r="G1205" s="4" t="s">
        <v>326</v>
      </c>
      <c r="H1205" s="4" t="n">
        <v>4</v>
      </c>
      <c r="I1205" s="4" t="n">
        <v>1390</v>
      </c>
      <c r="J1205" s="4" t="s">
        <v>40</v>
      </c>
      <c r="K1205" s="4" t="s">
        <v>69</v>
      </c>
      <c r="L1205" s="4" t="s">
        <v>42</v>
      </c>
      <c r="M1205" s="4" t="s">
        <v>43</v>
      </c>
      <c r="N1205" s="4" t="s">
        <v>185</v>
      </c>
      <c r="O1205" s="4" t="s">
        <v>71</v>
      </c>
      <c r="P1205" s="4" t="s">
        <v>2327</v>
      </c>
    </row>
    <row r="1206" customFormat="false" ht="15" hidden="false" customHeight="false" outlineLevel="0" collapsed="false">
      <c r="A1206" s="4" t="s">
        <v>3134</v>
      </c>
      <c r="B1206" s="5" t="n">
        <v>46008</v>
      </c>
      <c r="C1206" s="5" t="n">
        <v>46046</v>
      </c>
      <c r="D1206" s="4" t="s">
        <v>2849</v>
      </c>
      <c r="E1206" s="4" t="s">
        <v>627</v>
      </c>
      <c r="F1206" s="4" t="s">
        <v>376</v>
      </c>
      <c r="G1206" s="4" t="s">
        <v>326</v>
      </c>
      <c r="H1206" s="4" t="n">
        <v>4</v>
      </c>
      <c r="I1206" s="4" t="n">
        <v>1570</v>
      </c>
      <c r="J1206" s="4" t="s">
        <v>68</v>
      </c>
      <c r="K1206" s="4" t="s">
        <v>375</v>
      </c>
      <c r="L1206" s="4" t="s">
        <v>376</v>
      </c>
      <c r="M1206" s="4" t="s">
        <v>377</v>
      </c>
      <c r="N1206" s="4" t="s">
        <v>44</v>
      </c>
      <c r="O1206" s="4" t="s">
        <v>378</v>
      </c>
      <c r="P1206" s="4" t="s">
        <v>2327</v>
      </c>
    </row>
    <row r="1207" customFormat="false" ht="15" hidden="false" customHeight="false" outlineLevel="0" collapsed="false">
      <c r="A1207" s="4" t="s">
        <v>3135</v>
      </c>
      <c r="B1207" s="5" t="n">
        <v>46010</v>
      </c>
      <c r="C1207" s="5" t="n">
        <v>46046</v>
      </c>
      <c r="D1207" s="4" t="s">
        <v>2849</v>
      </c>
      <c r="E1207" s="4" t="s">
        <v>761</v>
      </c>
      <c r="F1207" s="4" t="s">
        <v>376</v>
      </c>
      <c r="G1207" s="4" t="s">
        <v>38</v>
      </c>
      <c r="H1207" s="4" t="n">
        <v>1</v>
      </c>
      <c r="I1207" s="4" t="n">
        <v>765</v>
      </c>
      <c r="J1207" s="4" t="s">
        <v>81</v>
      </c>
      <c r="K1207" s="4" t="s">
        <v>3019</v>
      </c>
      <c r="L1207" s="4" t="s">
        <v>1172</v>
      </c>
      <c r="M1207" s="4" t="s">
        <v>377</v>
      </c>
      <c r="N1207" s="4" t="s">
        <v>44</v>
      </c>
      <c r="O1207" s="4" t="s">
        <v>3020</v>
      </c>
      <c r="P1207" s="4" t="s">
        <v>2327</v>
      </c>
    </row>
    <row r="1208" customFormat="false" ht="15" hidden="false" customHeight="false" outlineLevel="0" collapsed="false">
      <c r="A1208" s="4" t="s">
        <v>3136</v>
      </c>
      <c r="B1208" s="5" t="n">
        <v>46010</v>
      </c>
      <c r="C1208" s="5" t="n">
        <v>46046</v>
      </c>
      <c r="D1208" s="4" t="s">
        <v>2849</v>
      </c>
      <c r="E1208" s="4" t="s">
        <v>627</v>
      </c>
      <c r="F1208" s="4" t="s">
        <v>376</v>
      </c>
      <c r="G1208" s="4" t="s">
        <v>38</v>
      </c>
      <c r="H1208" s="4" t="n">
        <v>1</v>
      </c>
      <c r="I1208" s="4" t="n">
        <v>1070</v>
      </c>
      <c r="J1208" s="4" t="s">
        <v>68</v>
      </c>
      <c r="K1208" s="4" t="s">
        <v>3137</v>
      </c>
      <c r="L1208" s="4" t="s">
        <v>837</v>
      </c>
      <c r="M1208" s="4" t="s">
        <v>838</v>
      </c>
      <c r="N1208" s="4" t="s">
        <v>94</v>
      </c>
      <c r="O1208" s="4" t="s">
        <v>3138</v>
      </c>
      <c r="P1208" s="4" t="s">
        <v>2327</v>
      </c>
    </row>
    <row r="1209" customFormat="false" ht="15" hidden="false" customHeight="false" outlineLevel="0" collapsed="false">
      <c r="A1209" s="4" t="s">
        <v>3139</v>
      </c>
      <c r="B1209" s="5" t="n">
        <v>46011</v>
      </c>
      <c r="C1209" s="5" t="n">
        <v>46046</v>
      </c>
      <c r="D1209" s="4" t="s">
        <v>2849</v>
      </c>
      <c r="E1209" s="4" t="s">
        <v>627</v>
      </c>
      <c r="F1209" s="4" t="s">
        <v>376</v>
      </c>
      <c r="G1209" s="4" t="s">
        <v>38</v>
      </c>
      <c r="H1209" s="4" t="n">
        <v>3</v>
      </c>
      <c r="I1209" s="4" t="n">
        <v>980</v>
      </c>
      <c r="J1209" s="4" t="s">
        <v>68</v>
      </c>
      <c r="K1209" s="4" t="s">
        <v>3140</v>
      </c>
      <c r="L1209" s="4" t="s">
        <v>219</v>
      </c>
      <c r="M1209" s="4" t="s">
        <v>356</v>
      </c>
      <c r="N1209" s="4" t="s">
        <v>221</v>
      </c>
      <c r="O1209" s="4"/>
      <c r="P1209" s="4" t="s">
        <v>2327</v>
      </c>
    </row>
    <row r="1210" customFormat="false" ht="15" hidden="false" customHeight="false" outlineLevel="0" collapsed="false">
      <c r="A1210" s="4" t="s">
        <v>3141</v>
      </c>
      <c r="B1210" s="5" t="n">
        <v>46011</v>
      </c>
      <c r="C1210" s="5" t="n">
        <v>46012</v>
      </c>
      <c r="D1210" s="4" t="s">
        <v>2322</v>
      </c>
      <c r="E1210" s="4" t="s">
        <v>57</v>
      </c>
      <c r="F1210" s="4" t="s">
        <v>376</v>
      </c>
      <c r="G1210" s="4" t="s">
        <v>59</v>
      </c>
      <c r="H1210" s="4" t="n">
        <v>1</v>
      </c>
      <c r="I1210" s="4" t="n">
        <v>15</v>
      </c>
      <c r="J1210" s="4" t="s">
        <v>40</v>
      </c>
      <c r="K1210" s="4" t="s">
        <v>1171</v>
      </c>
      <c r="L1210" s="4" t="s">
        <v>376</v>
      </c>
      <c r="M1210" s="4" t="s">
        <v>377</v>
      </c>
      <c r="N1210" s="4" t="s">
        <v>44</v>
      </c>
      <c r="O1210" s="4" t="s">
        <v>1173</v>
      </c>
      <c r="P1210" s="4" t="s">
        <v>2327</v>
      </c>
    </row>
    <row r="1211" customFormat="false" ht="15" hidden="false" customHeight="false" outlineLevel="0" collapsed="false">
      <c r="A1211" s="4" t="s">
        <v>3142</v>
      </c>
      <c r="B1211" s="5" t="n">
        <v>46012</v>
      </c>
      <c r="C1211" s="5" t="n">
        <v>46046</v>
      </c>
      <c r="D1211" s="4" t="s">
        <v>2849</v>
      </c>
      <c r="E1211" s="4" t="s">
        <v>618</v>
      </c>
      <c r="F1211" s="4" t="s">
        <v>376</v>
      </c>
      <c r="G1211" s="4" t="s">
        <v>59</v>
      </c>
      <c r="H1211" s="4" t="n">
        <v>1</v>
      </c>
      <c r="I1211" s="4" t="n">
        <v>547.5</v>
      </c>
      <c r="J1211" s="4" t="s">
        <v>149</v>
      </c>
      <c r="K1211" s="4" t="s">
        <v>3143</v>
      </c>
      <c r="L1211" s="4" t="s">
        <v>524</v>
      </c>
      <c r="M1211" s="4" t="s">
        <v>377</v>
      </c>
      <c r="N1211" s="4" t="s">
        <v>185</v>
      </c>
      <c r="O1211" s="4" t="s">
        <v>3144</v>
      </c>
      <c r="P1211" s="4" t="s">
        <v>2327</v>
      </c>
    </row>
    <row r="1212" customFormat="false" ht="15" hidden="false" customHeight="false" outlineLevel="0" collapsed="false">
      <c r="A1212" s="4" t="s">
        <v>3145</v>
      </c>
      <c r="B1212" s="5" t="n">
        <v>46012</v>
      </c>
      <c r="C1212" s="5" t="n">
        <v>46012</v>
      </c>
      <c r="D1212" s="4" t="s">
        <v>2322</v>
      </c>
      <c r="E1212" s="4" t="s">
        <v>66</v>
      </c>
      <c r="F1212" s="4" t="s">
        <v>2332</v>
      </c>
      <c r="G1212" s="4" t="s">
        <v>38</v>
      </c>
      <c r="H1212" s="4" t="n">
        <v>3</v>
      </c>
      <c r="I1212" s="4" t="n">
        <v>30</v>
      </c>
      <c r="J1212" s="4" t="s">
        <v>40</v>
      </c>
      <c r="K1212" s="4" t="s">
        <v>3019</v>
      </c>
      <c r="L1212" s="4" t="s">
        <v>1172</v>
      </c>
      <c r="M1212" s="4" t="s">
        <v>1412</v>
      </c>
      <c r="N1212" s="4" t="s">
        <v>52</v>
      </c>
      <c r="O1212" s="4" t="s">
        <v>3020</v>
      </c>
      <c r="P1212" s="4" t="s">
        <v>2327</v>
      </c>
    </row>
    <row r="1213" customFormat="false" ht="15" hidden="false" customHeight="false" outlineLevel="0" collapsed="false">
      <c r="A1213" s="4" t="s">
        <v>3146</v>
      </c>
      <c r="B1213" s="5" t="n">
        <v>46014</v>
      </c>
      <c r="C1213" s="5" t="n">
        <v>46046</v>
      </c>
      <c r="D1213" s="4" t="s">
        <v>2849</v>
      </c>
      <c r="E1213" s="4" t="s">
        <v>613</v>
      </c>
      <c r="F1213" s="4" t="s">
        <v>2384</v>
      </c>
      <c r="G1213" s="4" t="s">
        <v>38</v>
      </c>
      <c r="H1213" s="4" t="n">
        <v>3</v>
      </c>
      <c r="I1213" s="4" t="n">
        <v>1065</v>
      </c>
      <c r="J1213" s="4" t="s">
        <v>40</v>
      </c>
      <c r="K1213" s="4" t="s">
        <v>3147</v>
      </c>
      <c r="L1213" s="4" t="s">
        <v>596</v>
      </c>
      <c r="M1213" s="4" t="s">
        <v>695</v>
      </c>
      <c r="N1213" s="4" t="s">
        <v>44</v>
      </c>
      <c r="O1213" s="4" t="s">
        <v>3148</v>
      </c>
      <c r="P1213" s="4" t="s">
        <v>2327</v>
      </c>
    </row>
    <row r="1214" customFormat="false" ht="15" hidden="false" customHeight="false" outlineLevel="0" collapsed="false">
      <c r="A1214" s="4" t="s">
        <v>3149</v>
      </c>
      <c r="B1214" s="5" t="n">
        <v>46015</v>
      </c>
      <c r="C1214" s="5" t="n">
        <v>46046</v>
      </c>
      <c r="D1214" s="4" t="s">
        <v>2849</v>
      </c>
      <c r="E1214" s="4" t="s">
        <v>627</v>
      </c>
      <c r="F1214" s="4" t="s">
        <v>376</v>
      </c>
      <c r="G1214" s="4" t="s">
        <v>38</v>
      </c>
      <c r="H1214" s="4" t="n">
        <v>1</v>
      </c>
      <c r="I1214" s="4" t="n">
        <v>765</v>
      </c>
      <c r="J1214" s="4" t="s">
        <v>68</v>
      </c>
      <c r="K1214" s="4" t="s">
        <v>3150</v>
      </c>
      <c r="L1214" s="4" t="s">
        <v>988</v>
      </c>
      <c r="M1214" s="4" t="s">
        <v>737</v>
      </c>
      <c r="N1214" s="4" t="s">
        <v>44</v>
      </c>
      <c r="O1214" s="4" t="s">
        <v>3151</v>
      </c>
      <c r="P1214" s="4" t="s">
        <v>2327</v>
      </c>
    </row>
    <row r="1215" customFormat="false" ht="15" hidden="false" customHeight="false" outlineLevel="0" collapsed="false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 t="s">
        <v>2327</v>
      </c>
    </row>
    <row r="1216" customFormat="false" ht="15" hidden="false" customHeight="false" outlineLevel="0" collapsed="false">
      <c r="A1216" s="4" t="s">
        <v>3152</v>
      </c>
      <c r="B1216" s="5" t="n">
        <v>46015</v>
      </c>
      <c r="C1216" s="5" t="n">
        <v>46046</v>
      </c>
      <c r="D1216" s="4" t="s">
        <v>2849</v>
      </c>
      <c r="E1216" s="4" t="s">
        <v>627</v>
      </c>
      <c r="F1216" s="4" t="s">
        <v>376</v>
      </c>
      <c r="G1216" s="4" t="s">
        <v>38</v>
      </c>
      <c r="H1216" s="4" t="n">
        <v>2</v>
      </c>
      <c r="I1216" s="4" t="n">
        <v>655</v>
      </c>
      <c r="J1216" s="4" t="s">
        <v>40</v>
      </c>
      <c r="K1216" s="4" t="s">
        <v>3153</v>
      </c>
      <c r="L1216" s="4" t="s">
        <v>706</v>
      </c>
      <c r="M1216" s="4" t="s">
        <v>412</v>
      </c>
      <c r="N1216" s="4" t="s">
        <v>44</v>
      </c>
      <c r="O1216" s="4" t="s">
        <v>3154</v>
      </c>
      <c r="P1216" s="4" t="s">
        <v>2327</v>
      </c>
    </row>
    <row r="1217" customFormat="false" ht="15" hidden="false" customHeight="false" outlineLevel="0" collapsed="false">
      <c r="A1217" s="4" t="s">
        <v>3155</v>
      </c>
      <c r="B1217" s="5" t="n">
        <v>46015</v>
      </c>
      <c r="C1217" s="5" t="n">
        <v>46018</v>
      </c>
      <c r="D1217" s="4" t="s">
        <v>2322</v>
      </c>
      <c r="E1217" s="4" t="s">
        <v>57</v>
      </c>
      <c r="F1217" s="4" t="s">
        <v>376</v>
      </c>
      <c r="G1217" s="4" t="s">
        <v>59</v>
      </c>
      <c r="H1217" s="4" t="n">
        <v>2</v>
      </c>
      <c r="I1217" s="4" t="n">
        <v>22.5</v>
      </c>
      <c r="J1217" s="4" t="s">
        <v>40</v>
      </c>
      <c r="K1217" s="4" t="s">
        <v>2712</v>
      </c>
      <c r="L1217" s="4" t="s">
        <v>376</v>
      </c>
      <c r="M1217" s="4" t="s">
        <v>377</v>
      </c>
      <c r="N1217" s="4" t="s">
        <v>44</v>
      </c>
      <c r="O1217" s="4" t="s">
        <v>2713</v>
      </c>
      <c r="P1217" s="4" t="s">
        <v>2327</v>
      </c>
    </row>
    <row r="1218" customFormat="false" ht="15" hidden="false" customHeight="false" outlineLevel="0" collapsed="false">
      <c r="A1218" s="4" t="s">
        <v>3156</v>
      </c>
      <c r="B1218" s="5" t="n">
        <v>46016</v>
      </c>
      <c r="C1218" s="5" t="n">
        <v>46046</v>
      </c>
      <c r="D1218" s="4" t="s">
        <v>2849</v>
      </c>
      <c r="E1218" s="4" t="s">
        <v>627</v>
      </c>
      <c r="F1218" s="4" t="s">
        <v>2323</v>
      </c>
      <c r="G1218" s="4" t="s">
        <v>59</v>
      </c>
      <c r="H1218" s="4" t="n">
        <v>3</v>
      </c>
      <c r="I1218" s="4" t="n">
        <v>337.5</v>
      </c>
      <c r="J1218" s="4" t="s">
        <v>40</v>
      </c>
      <c r="K1218" s="4" t="s">
        <v>3157</v>
      </c>
      <c r="L1218" s="4" t="s">
        <v>988</v>
      </c>
      <c r="M1218" s="4" t="s">
        <v>737</v>
      </c>
      <c r="N1218" s="4" t="s">
        <v>44</v>
      </c>
      <c r="O1218" s="4" t="s">
        <v>3158</v>
      </c>
      <c r="P1218" s="4" t="s">
        <v>2327</v>
      </c>
    </row>
    <row r="1219" customFormat="false" ht="15" hidden="false" customHeight="false" outlineLevel="0" collapsed="false">
      <c r="A1219" s="4" t="s">
        <v>3159</v>
      </c>
      <c r="B1219" s="5" t="n">
        <v>46018</v>
      </c>
      <c r="C1219" s="5" t="n">
        <v>46046</v>
      </c>
      <c r="D1219" s="4" t="s">
        <v>2849</v>
      </c>
      <c r="E1219" s="4" t="s">
        <v>649</v>
      </c>
      <c r="F1219" s="4" t="s">
        <v>2384</v>
      </c>
      <c r="G1219" s="4" t="s">
        <v>38</v>
      </c>
      <c r="H1219" s="4" t="n">
        <v>2</v>
      </c>
      <c r="I1219" s="4" t="n">
        <v>845</v>
      </c>
      <c r="J1219" s="4" t="s">
        <v>40</v>
      </c>
      <c r="K1219" s="4" t="s">
        <v>3160</v>
      </c>
      <c r="L1219" s="4" t="s">
        <v>364</v>
      </c>
      <c r="M1219" s="4" t="s">
        <v>365</v>
      </c>
      <c r="N1219" s="4" t="s">
        <v>44</v>
      </c>
      <c r="O1219" s="4" t="s">
        <v>3161</v>
      </c>
      <c r="P1219" s="4" t="s">
        <v>2327</v>
      </c>
    </row>
    <row r="1220" customFormat="false" ht="15" hidden="false" customHeight="false" outlineLevel="0" collapsed="false">
      <c r="A1220" s="4" t="s">
        <v>3162</v>
      </c>
      <c r="B1220" s="5" t="n">
        <v>46019</v>
      </c>
      <c r="C1220" s="5" t="n">
        <v>46046</v>
      </c>
      <c r="D1220" s="4" t="s">
        <v>2849</v>
      </c>
      <c r="E1220" s="4" t="s">
        <v>613</v>
      </c>
      <c r="F1220" s="4" t="s">
        <v>376</v>
      </c>
      <c r="G1220" s="4" t="s">
        <v>38</v>
      </c>
      <c r="H1220" s="4" t="n">
        <v>2</v>
      </c>
      <c r="I1220" s="4" t="n">
        <v>700</v>
      </c>
      <c r="J1220" s="4" t="s">
        <v>40</v>
      </c>
      <c r="K1220" s="4" t="s">
        <v>2666</v>
      </c>
      <c r="L1220" s="4" t="s">
        <v>1172</v>
      </c>
      <c r="M1220" s="4" t="s">
        <v>377</v>
      </c>
      <c r="N1220" s="4" t="s">
        <v>44</v>
      </c>
      <c r="O1220" s="4" t="s">
        <v>2667</v>
      </c>
      <c r="P1220" s="4" t="s">
        <v>2327</v>
      </c>
    </row>
    <row r="1221" customFormat="false" ht="15" hidden="false" customHeight="false" outlineLevel="0" collapsed="false">
      <c r="A1221" s="4" t="s">
        <v>3163</v>
      </c>
      <c r="B1221" s="5" t="n">
        <v>46019</v>
      </c>
      <c r="C1221" s="5" t="n">
        <v>46020</v>
      </c>
      <c r="D1221" s="4" t="s">
        <v>2322</v>
      </c>
      <c r="E1221" s="4" t="s">
        <v>36</v>
      </c>
      <c r="F1221" s="4" t="s">
        <v>376</v>
      </c>
      <c r="G1221" s="4" t="s">
        <v>38</v>
      </c>
      <c r="H1221" s="4" t="n">
        <v>1</v>
      </c>
      <c r="I1221" s="4" t="n">
        <v>35</v>
      </c>
      <c r="J1221" s="4" t="s">
        <v>149</v>
      </c>
      <c r="K1221" s="4" t="s">
        <v>2687</v>
      </c>
      <c r="L1221" s="4" t="s">
        <v>376</v>
      </c>
      <c r="M1221" s="4" t="s">
        <v>377</v>
      </c>
      <c r="N1221" s="4" t="s">
        <v>94</v>
      </c>
      <c r="O1221" s="4" t="s">
        <v>2688</v>
      </c>
      <c r="P1221" s="4" t="s">
        <v>2327</v>
      </c>
    </row>
    <row r="1222" customFormat="false" ht="15" hidden="false" customHeight="false" outlineLevel="0" collapsed="false">
      <c r="A1222" s="4" t="s">
        <v>3164</v>
      </c>
      <c r="B1222" s="5" t="n">
        <v>46020</v>
      </c>
      <c r="C1222" s="5" t="n">
        <v>46046</v>
      </c>
      <c r="D1222" s="4" t="s">
        <v>2849</v>
      </c>
      <c r="E1222" s="4" t="s">
        <v>627</v>
      </c>
      <c r="F1222" s="4" t="s">
        <v>376</v>
      </c>
      <c r="G1222" s="4" t="s">
        <v>38</v>
      </c>
      <c r="H1222" s="4" t="n">
        <v>1</v>
      </c>
      <c r="I1222" s="4" t="n">
        <v>1145</v>
      </c>
      <c r="J1222" s="4" t="s">
        <v>40</v>
      </c>
      <c r="K1222" s="4" t="s">
        <v>2609</v>
      </c>
      <c r="L1222" s="4" t="s">
        <v>376</v>
      </c>
      <c r="M1222" s="4" t="s">
        <v>377</v>
      </c>
      <c r="N1222" s="4" t="s">
        <v>44</v>
      </c>
      <c r="O1222" s="4" t="s">
        <v>2610</v>
      </c>
      <c r="P1222" s="4" t="s">
        <v>2327</v>
      </c>
    </row>
    <row r="1223" customFormat="false" ht="15" hidden="false" customHeight="false" outlineLevel="0" collapsed="false">
      <c r="A1223" s="4" t="s">
        <v>3165</v>
      </c>
      <c r="B1223" s="5" t="n">
        <v>46021</v>
      </c>
      <c r="C1223" s="5" t="n">
        <v>46022</v>
      </c>
      <c r="D1223" s="4" t="s">
        <v>2322</v>
      </c>
      <c r="E1223" s="4" t="s">
        <v>36</v>
      </c>
      <c r="F1223" s="4" t="s">
        <v>376</v>
      </c>
      <c r="G1223" s="4" t="s">
        <v>38</v>
      </c>
      <c r="H1223" s="4" t="n">
        <v>2</v>
      </c>
      <c r="I1223" s="4" t="n">
        <v>35</v>
      </c>
      <c r="J1223" s="4" t="s">
        <v>68</v>
      </c>
      <c r="K1223" s="4" t="s">
        <v>3166</v>
      </c>
      <c r="L1223" s="4" t="s">
        <v>376</v>
      </c>
      <c r="M1223" s="4" t="s">
        <v>377</v>
      </c>
      <c r="N1223" s="4" t="s">
        <v>44</v>
      </c>
      <c r="O1223" s="4" t="s">
        <v>3167</v>
      </c>
      <c r="P1223" s="4" t="s">
        <v>2327</v>
      </c>
    </row>
    <row r="1224" customFormat="false" ht="15" hidden="false" customHeight="false" outlineLevel="0" collapsed="false">
      <c r="A1224" s="4" t="s">
        <v>3168</v>
      </c>
      <c r="B1224" s="5" t="n">
        <v>46023</v>
      </c>
      <c r="C1224" s="5" t="n">
        <v>46046</v>
      </c>
      <c r="D1224" s="4" t="s">
        <v>2849</v>
      </c>
      <c r="E1224" s="4" t="s">
        <v>618</v>
      </c>
      <c r="F1224" s="4" t="s">
        <v>376</v>
      </c>
      <c r="G1224" s="4" t="s">
        <v>59</v>
      </c>
      <c r="H1224" s="4" t="n">
        <v>3</v>
      </c>
      <c r="I1224" s="4" t="n">
        <v>537.5</v>
      </c>
      <c r="J1224" s="4" t="s">
        <v>68</v>
      </c>
      <c r="K1224" s="4" t="s">
        <v>3169</v>
      </c>
      <c r="L1224" s="4" t="s">
        <v>3028</v>
      </c>
      <c r="M1224" s="4" t="s">
        <v>365</v>
      </c>
      <c r="N1224" s="4" t="s">
        <v>44</v>
      </c>
      <c r="O1224" s="4" t="s">
        <v>3170</v>
      </c>
      <c r="P1224" s="4" t="s">
        <v>2327</v>
      </c>
    </row>
    <row r="1225" customFormat="false" ht="15" hidden="false" customHeight="false" outlineLevel="0" collapsed="false">
      <c r="A1225" s="4" t="s">
        <v>3171</v>
      </c>
      <c r="B1225" s="5" t="n">
        <v>46024</v>
      </c>
      <c r="C1225" s="5" t="n">
        <v>46046</v>
      </c>
      <c r="D1225" s="4" t="s">
        <v>2849</v>
      </c>
      <c r="E1225" s="4" t="s">
        <v>627</v>
      </c>
      <c r="F1225" s="4" t="s">
        <v>376</v>
      </c>
      <c r="G1225" s="4" t="s">
        <v>38</v>
      </c>
      <c r="H1225" s="4" t="n">
        <v>3</v>
      </c>
      <c r="I1225" s="4" t="n">
        <v>1110</v>
      </c>
      <c r="J1225" s="4" t="s">
        <v>40</v>
      </c>
      <c r="K1225" s="4" t="s">
        <v>3172</v>
      </c>
      <c r="L1225" s="4" t="s">
        <v>872</v>
      </c>
      <c r="M1225" s="4" t="s">
        <v>334</v>
      </c>
      <c r="N1225" s="4" t="s">
        <v>52</v>
      </c>
      <c r="O1225" s="4" t="s">
        <v>3173</v>
      </c>
      <c r="P1225" s="4" t="s">
        <v>2327</v>
      </c>
    </row>
    <row r="1226" customFormat="false" ht="15" hidden="false" customHeight="false" outlineLevel="0" collapsed="false">
      <c r="A1226" s="4" t="s">
        <v>3174</v>
      </c>
      <c r="B1226" s="5" t="n">
        <v>46024</v>
      </c>
      <c r="C1226" s="5" t="n">
        <v>46046</v>
      </c>
      <c r="D1226" s="4" t="s">
        <v>2849</v>
      </c>
      <c r="E1226" s="4" t="s">
        <v>618</v>
      </c>
      <c r="F1226" s="4" t="s">
        <v>376</v>
      </c>
      <c r="G1226" s="4" t="s">
        <v>38</v>
      </c>
      <c r="H1226" s="4" t="n">
        <v>4</v>
      </c>
      <c r="I1226" s="4" t="n">
        <v>815</v>
      </c>
      <c r="J1226" s="4" t="s">
        <v>68</v>
      </c>
      <c r="K1226" s="4" t="s">
        <v>1772</v>
      </c>
      <c r="L1226" s="4" t="s">
        <v>376</v>
      </c>
      <c r="M1226" s="4" t="s">
        <v>377</v>
      </c>
      <c r="N1226" s="4" t="s">
        <v>44</v>
      </c>
      <c r="O1226" s="4" t="s">
        <v>1773</v>
      </c>
      <c r="P1226" s="4" t="s">
        <v>2327</v>
      </c>
    </row>
    <row r="1227" customFormat="false" ht="15" hidden="false" customHeight="false" outlineLevel="0" collapsed="false">
      <c r="A1227" s="4" t="s">
        <v>3175</v>
      </c>
      <c r="B1227" s="5" t="n">
        <v>46024</v>
      </c>
      <c r="C1227" s="5" t="n">
        <v>46046</v>
      </c>
      <c r="D1227" s="4" t="s">
        <v>2849</v>
      </c>
      <c r="E1227" s="4" t="s">
        <v>649</v>
      </c>
      <c r="F1227" s="4" t="s">
        <v>376</v>
      </c>
      <c r="G1227" s="4" t="s">
        <v>59</v>
      </c>
      <c r="H1227" s="4" t="n">
        <v>3</v>
      </c>
      <c r="I1227" s="4" t="n">
        <v>550</v>
      </c>
      <c r="J1227" s="4" t="s">
        <v>40</v>
      </c>
      <c r="K1227" s="4" t="s">
        <v>3042</v>
      </c>
      <c r="L1227" s="4" t="s">
        <v>1172</v>
      </c>
      <c r="M1227" s="4" t="s">
        <v>377</v>
      </c>
      <c r="N1227" s="4" t="s">
        <v>185</v>
      </c>
      <c r="O1227" s="4" t="s">
        <v>3043</v>
      </c>
      <c r="P1227" s="4" t="s">
        <v>2327</v>
      </c>
    </row>
    <row r="1228" customFormat="false" ht="15" hidden="false" customHeight="false" outlineLevel="0" collapsed="false">
      <c r="A1228" s="4" t="s">
        <v>3176</v>
      </c>
      <c r="B1228" s="5" t="n">
        <v>46025</v>
      </c>
      <c r="C1228" s="5" t="n">
        <v>46046</v>
      </c>
      <c r="D1228" s="4" t="s">
        <v>2849</v>
      </c>
      <c r="E1228" s="4" t="s">
        <v>618</v>
      </c>
      <c r="F1228" s="4" t="s">
        <v>376</v>
      </c>
      <c r="G1228" s="4" t="s">
        <v>59</v>
      </c>
      <c r="H1228" s="4" t="n">
        <v>3</v>
      </c>
      <c r="I1228" s="4" t="n">
        <v>552.5</v>
      </c>
      <c r="J1228" s="4" t="s">
        <v>40</v>
      </c>
      <c r="K1228" s="4" t="s">
        <v>3177</v>
      </c>
      <c r="L1228" s="4" t="s">
        <v>376</v>
      </c>
      <c r="M1228" s="4" t="s">
        <v>377</v>
      </c>
      <c r="N1228" s="4" t="s">
        <v>44</v>
      </c>
      <c r="O1228" s="4" t="s">
        <v>3178</v>
      </c>
      <c r="P1228" s="4" t="s">
        <v>2327</v>
      </c>
    </row>
    <row r="1229" customFormat="false" ht="15" hidden="false" customHeight="false" outlineLevel="0" collapsed="false">
      <c r="A1229" s="4" t="s">
        <v>3179</v>
      </c>
      <c r="B1229" s="5" t="n">
        <v>46025</v>
      </c>
      <c r="C1229" s="5" t="n">
        <v>46046</v>
      </c>
      <c r="D1229" s="4" t="s">
        <v>2849</v>
      </c>
      <c r="E1229" s="4" t="s">
        <v>618</v>
      </c>
      <c r="F1229" s="4" t="s">
        <v>376</v>
      </c>
      <c r="G1229" s="4" t="s">
        <v>38</v>
      </c>
      <c r="H1229" s="4" t="n">
        <v>2</v>
      </c>
      <c r="I1229" s="4" t="n">
        <v>755</v>
      </c>
      <c r="J1229" s="4" t="s">
        <v>40</v>
      </c>
      <c r="K1229" s="4" t="s">
        <v>2565</v>
      </c>
      <c r="L1229" s="4" t="s">
        <v>1172</v>
      </c>
      <c r="M1229" s="4" t="s">
        <v>377</v>
      </c>
      <c r="N1229" s="4" t="s">
        <v>44</v>
      </c>
      <c r="O1229" s="4" t="s">
        <v>2566</v>
      </c>
      <c r="P1229" s="4" t="s">
        <v>2327</v>
      </c>
    </row>
    <row r="1230" customFormat="false" ht="15" hidden="false" customHeight="false" outlineLevel="0" collapsed="false">
      <c r="A1230" s="4" t="s">
        <v>3180</v>
      </c>
      <c r="B1230" s="5" t="n">
        <v>46026</v>
      </c>
      <c r="C1230" s="5" t="n">
        <v>46046</v>
      </c>
      <c r="D1230" s="4" t="s">
        <v>2849</v>
      </c>
      <c r="E1230" s="4" t="s">
        <v>627</v>
      </c>
      <c r="F1230" s="4" t="s">
        <v>376</v>
      </c>
      <c r="G1230" s="4" t="s">
        <v>59</v>
      </c>
      <c r="H1230" s="4" t="n">
        <v>2</v>
      </c>
      <c r="I1230" s="4" t="n">
        <v>365</v>
      </c>
      <c r="J1230" s="4" t="s">
        <v>40</v>
      </c>
      <c r="K1230" s="4" t="s">
        <v>1351</v>
      </c>
      <c r="L1230" s="4" t="s">
        <v>837</v>
      </c>
      <c r="M1230" s="4" t="s">
        <v>838</v>
      </c>
      <c r="N1230" s="4" t="s">
        <v>44</v>
      </c>
      <c r="O1230" s="4" t="s">
        <v>1353</v>
      </c>
      <c r="P1230" s="4" t="s">
        <v>2327</v>
      </c>
    </row>
    <row r="1231" customFormat="false" ht="15" hidden="false" customHeight="false" outlineLevel="0" collapsed="false">
      <c r="A1231" s="4" t="s">
        <v>3181</v>
      </c>
      <c r="B1231" s="5" t="n">
        <v>46026</v>
      </c>
      <c r="C1231" s="5" t="n">
        <v>46046</v>
      </c>
      <c r="D1231" s="4" t="s">
        <v>2849</v>
      </c>
      <c r="E1231" s="4" t="s">
        <v>613</v>
      </c>
      <c r="F1231" s="4" t="s">
        <v>2384</v>
      </c>
      <c r="G1231" s="4" t="s">
        <v>326</v>
      </c>
      <c r="H1231" s="4" t="n">
        <v>2</v>
      </c>
      <c r="I1231" s="4" t="n">
        <v>1800</v>
      </c>
      <c r="J1231" s="4" t="s">
        <v>68</v>
      </c>
      <c r="K1231" s="4" t="s">
        <v>1912</v>
      </c>
      <c r="L1231" s="4" t="s">
        <v>736</v>
      </c>
      <c r="M1231" s="4" t="s">
        <v>1683</v>
      </c>
      <c r="N1231" s="4" t="s">
        <v>44</v>
      </c>
      <c r="O1231" s="4" t="s">
        <v>1913</v>
      </c>
      <c r="P1231" s="4" t="s">
        <v>2327</v>
      </c>
    </row>
    <row r="1232" customFormat="false" ht="15" hidden="false" customHeight="false" outlineLevel="0" collapsed="false">
      <c r="A1232" s="4" t="s">
        <v>3182</v>
      </c>
      <c r="B1232" s="5" t="n">
        <v>46026</v>
      </c>
      <c r="C1232" s="5" t="n">
        <v>46046</v>
      </c>
      <c r="D1232" s="4" t="s">
        <v>2849</v>
      </c>
      <c r="E1232" s="4" t="s">
        <v>761</v>
      </c>
      <c r="F1232" s="4" t="s">
        <v>376</v>
      </c>
      <c r="G1232" s="4" t="s">
        <v>38</v>
      </c>
      <c r="H1232" s="4" t="n">
        <v>4</v>
      </c>
      <c r="I1232" s="4" t="n">
        <v>1075</v>
      </c>
      <c r="J1232" s="4" t="s">
        <v>81</v>
      </c>
      <c r="K1232" s="4" t="s">
        <v>1416</v>
      </c>
      <c r="L1232" s="4" t="s">
        <v>2325</v>
      </c>
      <c r="M1232" s="4" t="s">
        <v>377</v>
      </c>
      <c r="N1232" s="4" t="s">
        <v>44</v>
      </c>
      <c r="O1232" s="4" t="s">
        <v>1417</v>
      </c>
      <c r="P1232" s="4" t="s">
        <v>2327</v>
      </c>
    </row>
    <row r="1233" customFormat="false" ht="15" hidden="false" customHeight="false" outlineLevel="0" collapsed="false">
      <c r="A1233" s="4" t="s">
        <v>3183</v>
      </c>
      <c r="B1233" s="5" t="n">
        <v>46027</v>
      </c>
      <c r="C1233" s="5" t="n">
        <v>46046</v>
      </c>
      <c r="D1233" s="4" t="s">
        <v>2849</v>
      </c>
      <c r="E1233" s="4" t="s">
        <v>618</v>
      </c>
      <c r="F1233" s="4" t="s">
        <v>376</v>
      </c>
      <c r="G1233" s="4" t="s">
        <v>38</v>
      </c>
      <c r="H1233" s="4" t="n">
        <v>2</v>
      </c>
      <c r="I1233" s="4" t="n">
        <v>945</v>
      </c>
      <c r="J1233" s="4" t="s">
        <v>40</v>
      </c>
      <c r="K1233" s="4" t="s">
        <v>2816</v>
      </c>
      <c r="L1233" s="4" t="s">
        <v>376</v>
      </c>
      <c r="M1233" s="4" t="s">
        <v>377</v>
      </c>
      <c r="N1233" s="4" t="s">
        <v>44</v>
      </c>
      <c r="O1233" s="4" t="s">
        <v>2817</v>
      </c>
      <c r="P1233" s="4" t="s">
        <v>2327</v>
      </c>
    </row>
    <row r="1234" customFormat="false" ht="15" hidden="false" customHeight="false" outlineLevel="0" collapsed="false">
      <c r="A1234" s="4" t="s">
        <v>3184</v>
      </c>
      <c r="B1234" s="5" t="n">
        <v>46027</v>
      </c>
      <c r="C1234" s="5" t="n">
        <v>46046</v>
      </c>
      <c r="D1234" s="4" t="s">
        <v>2849</v>
      </c>
      <c r="E1234" s="4" t="s">
        <v>627</v>
      </c>
      <c r="F1234" s="4" t="s">
        <v>376</v>
      </c>
      <c r="G1234" s="4" t="s">
        <v>38</v>
      </c>
      <c r="H1234" s="4" t="n">
        <v>2</v>
      </c>
      <c r="I1234" s="4" t="n">
        <v>770</v>
      </c>
      <c r="J1234" s="4" t="s">
        <v>40</v>
      </c>
      <c r="K1234" s="4" t="s">
        <v>2609</v>
      </c>
      <c r="L1234" s="4" t="s">
        <v>376</v>
      </c>
      <c r="M1234" s="4" t="s">
        <v>377</v>
      </c>
      <c r="N1234" s="4" t="s">
        <v>44</v>
      </c>
      <c r="O1234" s="4" t="s">
        <v>2610</v>
      </c>
      <c r="P1234" s="4" t="s">
        <v>2327</v>
      </c>
    </row>
    <row r="1235" customFormat="false" ht="15" hidden="false" customHeight="false" outlineLevel="0" collapsed="false">
      <c r="A1235" s="4" t="s">
        <v>3185</v>
      </c>
      <c r="B1235" s="5" t="n">
        <v>46028</v>
      </c>
      <c r="C1235" s="5" t="n">
        <v>46046</v>
      </c>
      <c r="D1235" s="4" t="s">
        <v>2849</v>
      </c>
      <c r="E1235" s="4" t="s">
        <v>613</v>
      </c>
      <c r="F1235" s="4" t="s">
        <v>376</v>
      </c>
      <c r="G1235" s="4" t="s">
        <v>38</v>
      </c>
      <c r="H1235" s="4" t="n">
        <v>1</v>
      </c>
      <c r="I1235" s="4" t="n">
        <v>780</v>
      </c>
      <c r="J1235" s="4" t="s">
        <v>40</v>
      </c>
      <c r="K1235" s="4" t="s">
        <v>3119</v>
      </c>
      <c r="L1235" s="4" t="s">
        <v>376</v>
      </c>
      <c r="M1235" s="4" t="s">
        <v>377</v>
      </c>
      <c r="N1235" s="4" t="s">
        <v>185</v>
      </c>
      <c r="O1235" s="4" t="s">
        <v>3120</v>
      </c>
      <c r="P1235" s="4" t="s">
        <v>2327</v>
      </c>
    </row>
    <row r="1236" customFormat="false" ht="15" hidden="false" customHeight="false" outlineLevel="0" collapsed="false">
      <c r="A1236" s="4" t="s">
        <v>3186</v>
      </c>
      <c r="B1236" s="5" t="n">
        <v>46029</v>
      </c>
      <c r="C1236" s="5" t="n">
        <v>46046</v>
      </c>
      <c r="D1236" s="4" t="s">
        <v>2849</v>
      </c>
      <c r="E1236" s="4" t="s">
        <v>618</v>
      </c>
      <c r="F1236" s="4" t="s">
        <v>2323</v>
      </c>
      <c r="G1236" s="4" t="s">
        <v>38</v>
      </c>
      <c r="H1236" s="4" t="n">
        <v>3</v>
      </c>
      <c r="I1236" s="4" t="n">
        <v>685</v>
      </c>
      <c r="J1236" s="4" t="s">
        <v>68</v>
      </c>
      <c r="K1236" s="4" t="s">
        <v>2547</v>
      </c>
      <c r="L1236" s="4" t="s">
        <v>376</v>
      </c>
      <c r="M1236" s="4" t="s">
        <v>377</v>
      </c>
      <c r="N1236" s="4" t="s">
        <v>44</v>
      </c>
      <c r="O1236" s="4" t="s">
        <v>2548</v>
      </c>
      <c r="P1236" s="4" t="s">
        <v>2327</v>
      </c>
    </row>
    <row r="1237" customFormat="false" ht="15" hidden="false" customHeight="false" outlineLevel="0" collapsed="false">
      <c r="A1237" s="4" t="s">
        <v>3187</v>
      </c>
      <c r="B1237" s="5" t="n">
        <v>46030</v>
      </c>
      <c r="C1237" s="5" t="n">
        <v>46046</v>
      </c>
      <c r="D1237" s="4" t="s">
        <v>2849</v>
      </c>
      <c r="E1237" s="4" t="s">
        <v>627</v>
      </c>
      <c r="F1237" s="4" t="s">
        <v>376</v>
      </c>
      <c r="G1237" s="4" t="s">
        <v>38</v>
      </c>
      <c r="H1237" s="4" t="n">
        <v>4</v>
      </c>
      <c r="I1237" s="4" t="n">
        <v>865</v>
      </c>
      <c r="J1237" s="4" t="s">
        <v>40</v>
      </c>
      <c r="K1237" s="4" t="s">
        <v>2775</v>
      </c>
      <c r="L1237" s="4" t="s">
        <v>376</v>
      </c>
      <c r="M1237" s="4" t="s">
        <v>1412</v>
      </c>
      <c r="N1237" s="4" t="s">
        <v>44</v>
      </c>
      <c r="O1237" s="4" t="s">
        <v>2776</v>
      </c>
      <c r="P1237" s="4" t="s">
        <v>2327</v>
      </c>
    </row>
    <row r="1238" customFormat="false" ht="15" hidden="false" customHeight="false" outlineLevel="0" collapsed="false">
      <c r="A1238" s="4" t="s">
        <v>3188</v>
      </c>
      <c r="B1238" s="5" t="n">
        <v>46031</v>
      </c>
      <c r="C1238" s="5" t="n">
        <v>46151</v>
      </c>
      <c r="D1238" s="4" t="s">
        <v>3189</v>
      </c>
      <c r="E1238" s="4" t="s">
        <v>325</v>
      </c>
      <c r="F1238" s="4" t="s">
        <v>2362</v>
      </c>
      <c r="G1238" s="4" t="s">
        <v>59</v>
      </c>
      <c r="H1238" s="4" t="n">
        <v>2</v>
      </c>
      <c r="I1238" s="4" t="n">
        <v>137.5</v>
      </c>
      <c r="J1238" s="4" t="s">
        <v>40</v>
      </c>
      <c r="K1238" s="4" t="s">
        <v>2565</v>
      </c>
      <c r="L1238" s="4" t="s">
        <v>376</v>
      </c>
      <c r="M1238" s="4" t="s">
        <v>377</v>
      </c>
      <c r="N1238" s="4" t="s">
        <v>44</v>
      </c>
      <c r="O1238" s="4" t="s">
        <v>2566</v>
      </c>
      <c r="P1238" s="4" t="s">
        <v>2327</v>
      </c>
    </row>
    <row r="1239" customFormat="false" ht="15" hidden="false" customHeight="false" outlineLevel="0" collapsed="false">
      <c r="A1239" s="4" t="s">
        <v>3190</v>
      </c>
      <c r="B1239" s="5" t="n">
        <v>46031</v>
      </c>
      <c r="C1239" s="5" t="n">
        <v>46151</v>
      </c>
      <c r="D1239" s="4" t="s">
        <v>3189</v>
      </c>
      <c r="E1239" s="4" t="s">
        <v>306</v>
      </c>
      <c r="F1239" s="4" t="s">
        <v>376</v>
      </c>
      <c r="G1239" s="4" t="s">
        <v>38</v>
      </c>
      <c r="H1239" s="4" t="n">
        <v>2</v>
      </c>
      <c r="I1239" s="4" t="n">
        <v>340</v>
      </c>
      <c r="J1239" s="4" t="s">
        <v>149</v>
      </c>
      <c r="K1239" s="4" t="s">
        <v>861</v>
      </c>
      <c r="L1239" s="4" t="s">
        <v>2262</v>
      </c>
      <c r="M1239" s="4" t="s">
        <v>356</v>
      </c>
      <c r="N1239" s="4" t="s">
        <v>863</v>
      </c>
      <c r="O1239" s="4"/>
      <c r="P1239" s="4" t="s">
        <v>2327</v>
      </c>
    </row>
    <row r="1240" customFormat="false" ht="15" hidden="false" customHeight="false" outlineLevel="0" collapsed="false">
      <c r="A1240" s="4" t="s">
        <v>3191</v>
      </c>
      <c r="B1240" s="5" t="n">
        <v>46032</v>
      </c>
      <c r="C1240" s="5" t="n">
        <v>46151</v>
      </c>
      <c r="D1240" s="4" t="s">
        <v>3189</v>
      </c>
      <c r="E1240" s="4" t="s">
        <v>306</v>
      </c>
      <c r="F1240" s="4" t="s">
        <v>376</v>
      </c>
      <c r="G1240" s="4" t="s">
        <v>38</v>
      </c>
      <c r="H1240" s="4" t="n">
        <v>2</v>
      </c>
      <c r="I1240" s="4" t="n">
        <v>740</v>
      </c>
      <c r="J1240" s="4" t="s">
        <v>40</v>
      </c>
      <c r="K1240" s="4" t="s">
        <v>2389</v>
      </c>
      <c r="L1240" s="4" t="s">
        <v>2325</v>
      </c>
      <c r="M1240" s="4" t="s">
        <v>377</v>
      </c>
      <c r="N1240" s="4" t="s">
        <v>44</v>
      </c>
      <c r="O1240" s="4" t="s">
        <v>2390</v>
      </c>
      <c r="P1240" s="4" t="s">
        <v>2327</v>
      </c>
    </row>
    <row r="1241" customFormat="false" ht="15" hidden="false" customHeight="false" outlineLevel="0" collapsed="false">
      <c r="A1241" s="4" t="s">
        <v>3192</v>
      </c>
      <c r="B1241" s="5" t="n">
        <v>46032</v>
      </c>
      <c r="C1241" s="5" t="n">
        <v>46151</v>
      </c>
      <c r="D1241" s="4" t="s">
        <v>3189</v>
      </c>
      <c r="E1241" s="4" t="s">
        <v>306</v>
      </c>
      <c r="F1241" s="4" t="s">
        <v>376</v>
      </c>
      <c r="G1241" s="4" t="s">
        <v>38</v>
      </c>
      <c r="H1241" s="4" t="n">
        <v>4</v>
      </c>
      <c r="I1241" s="4" t="n">
        <v>605</v>
      </c>
      <c r="J1241" s="4" t="s">
        <v>40</v>
      </c>
      <c r="K1241" s="4" t="s">
        <v>2379</v>
      </c>
      <c r="L1241" s="4" t="s">
        <v>376</v>
      </c>
      <c r="M1241" s="4" t="s">
        <v>377</v>
      </c>
      <c r="N1241" s="4" t="s">
        <v>44</v>
      </c>
      <c r="O1241" s="4" t="s">
        <v>2380</v>
      </c>
      <c r="P1241" s="4" t="s">
        <v>2327</v>
      </c>
    </row>
    <row r="1242" customFormat="false" ht="15" hidden="false" customHeight="false" outlineLevel="0" collapsed="false">
      <c r="A1242" s="4" t="s">
        <v>3193</v>
      </c>
      <c r="B1242" s="5" t="n">
        <v>46032</v>
      </c>
      <c r="C1242" s="5" t="n">
        <v>46151</v>
      </c>
      <c r="D1242" s="4" t="s">
        <v>3189</v>
      </c>
      <c r="E1242" s="4" t="s">
        <v>306</v>
      </c>
      <c r="F1242" s="4" t="s">
        <v>376</v>
      </c>
      <c r="G1242" s="4" t="s">
        <v>38</v>
      </c>
      <c r="H1242" s="4" t="n">
        <v>2</v>
      </c>
      <c r="I1242" s="4" t="n">
        <v>325</v>
      </c>
      <c r="J1242" s="4" t="s">
        <v>81</v>
      </c>
      <c r="K1242" s="4" t="s">
        <v>3194</v>
      </c>
      <c r="L1242" s="4" t="s">
        <v>524</v>
      </c>
      <c r="M1242" s="4" t="s">
        <v>377</v>
      </c>
      <c r="N1242" s="4" t="s">
        <v>44</v>
      </c>
      <c r="O1242" s="4" t="s">
        <v>3195</v>
      </c>
      <c r="P1242" s="4" t="s">
        <v>2327</v>
      </c>
    </row>
    <row r="1243" customFormat="false" ht="15" hidden="false" customHeight="false" outlineLevel="0" collapsed="false">
      <c r="A1243" s="4" t="s">
        <v>3196</v>
      </c>
      <c r="B1243" s="5" t="n">
        <v>46032</v>
      </c>
      <c r="C1243" s="5" t="n">
        <v>46151</v>
      </c>
      <c r="D1243" s="4" t="s">
        <v>3189</v>
      </c>
      <c r="E1243" s="4" t="s">
        <v>323</v>
      </c>
      <c r="F1243" s="4" t="s">
        <v>376</v>
      </c>
      <c r="G1243" s="4" t="s">
        <v>326</v>
      </c>
      <c r="H1243" s="4" t="n">
        <v>2</v>
      </c>
      <c r="I1243" s="4" t="n">
        <v>500</v>
      </c>
      <c r="J1243" s="4" t="s">
        <v>40</v>
      </c>
      <c r="K1243" s="4" t="s">
        <v>2340</v>
      </c>
      <c r="L1243" s="4" t="s">
        <v>376</v>
      </c>
      <c r="M1243" s="4" t="s">
        <v>377</v>
      </c>
      <c r="N1243" s="4" t="s">
        <v>44</v>
      </c>
      <c r="O1243" s="4" t="s">
        <v>2341</v>
      </c>
      <c r="P1243" s="4" t="s">
        <v>2327</v>
      </c>
    </row>
    <row r="1244" customFormat="false" ht="15" hidden="false" customHeight="false" outlineLevel="0" collapsed="false">
      <c r="A1244" s="4" t="s">
        <v>3197</v>
      </c>
      <c r="B1244" s="5" t="n">
        <v>46033</v>
      </c>
      <c r="C1244" s="5" t="n">
        <v>46151</v>
      </c>
      <c r="D1244" s="4" t="s">
        <v>3189</v>
      </c>
      <c r="E1244" s="4" t="s">
        <v>311</v>
      </c>
      <c r="F1244" s="4" t="s">
        <v>2384</v>
      </c>
      <c r="G1244" s="4" t="s">
        <v>59</v>
      </c>
      <c r="H1244" s="4" t="n">
        <v>1</v>
      </c>
      <c r="I1244" s="4" t="n">
        <v>322.5</v>
      </c>
      <c r="J1244" s="4" t="s">
        <v>81</v>
      </c>
      <c r="K1244" s="4" t="s">
        <v>1772</v>
      </c>
      <c r="L1244" s="4" t="s">
        <v>376</v>
      </c>
      <c r="M1244" s="4" t="s">
        <v>377</v>
      </c>
      <c r="N1244" s="4" t="s">
        <v>52</v>
      </c>
      <c r="O1244" s="4" t="s">
        <v>1773</v>
      </c>
      <c r="P1244" s="4" t="s">
        <v>2327</v>
      </c>
    </row>
    <row r="1245" customFormat="false" ht="15" hidden="false" customHeight="false" outlineLevel="0" collapsed="false">
      <c r="A1245" s="4" t="s">
        <v>3198</v>
      </c>
      <c r="B1245" s="5" t="n">
        <v>46033</v>
      </c>
      <c r="C1245" s="5" t="n">
        <v>46151</v>
      </c>
      <c r="D1245" s="4" t="s">
        <v>3189</v>
      </c>
      <c r="E1245" s="4" t="s">
        <v>323</v>
      </c>
      <c r="F1245" s="4" t="s">
        <v>376</v>
      </c>
      <c r="G1245" s="4" t="s">
        <v>38</v>
      </c>
      <c r="H1245" s="4" t="n">
        <v>2</v>
      </c>
      <c r="I1245" s="4" t="n">
        <v>390</v>
      </c>
      <c r="J1245" s="4" t="s">
        <v>40</v>
      </c>
      <c r="K1245" s="4" t="s">
        <v>3199</v>
      </c>
      <c r="L1245" s="4" t="s">
        <v>988</v>
      </c>
      <c r="M1245" s="4" t="s">
        <v>1683</v>
      </c>
      <c r="N1245" s="4" t="s">
        <v>44</v>
      </c>
      <c r="O1245" s="4" t="s">
        <v>3200</v>
      </c>
      <c r="P1245" s="4" t="s">
        <v>2327</v>
      </c>
    </row>
    <row r="1246" customFormat="false" ht="15" hidden="false" customHeight="false" outlineLevel="0" collapsed="false">
      <c r="A1246" s="4" t="s">
        <v>3201</v>
      </c>
      <c r="B1246" s="5" t="n">
        <v>46033</v>
      </c>
      <c r="C1246" s="5" t="n">
        <v>46151</v>
      </c>
      <c r="D1246" s="4" t="s">
        <v>3189</v>
      </c>
      <c r="E1246" s="4" t="s">
        <v>323</v>
      </c>
      <c r="F1246" s="4" t="s">
        <v>376</v>
      </c>
      <c r="G1246" s="4" t="s">
        <v>326</v>
      </c>
      <c r="H1246" s="4" t="n">
        <v>4</v>
      </c>
      <c r="I1246" s="4" t="n">
        <v>1410</v>
      </c>
      <c r="J1246" s="4" t="s">
        <v>40</v>
      </c>
      <c r="K1246" s="4" t="s">
        <v>3092</v>
      </c>
      <c r="L1246" s="4" t="s">
        <v>862</v>
      </c>
      <c r="M1246" s="4" t="s">
        <v>356</v>
      </c>
      <c r="N1246" s="4" t="s">
        <v>1592</v>
      </c>
      <c r="O1246" s="4"/>
      <c r="P1246" s="4" t="s">
        <v>2327</v>
      </c>
    </row>
    <row r="1247" customFormat="false" ht="15" hidden="false" customHeight="false" outlineLevel="0" collapsed="false">
      <c r="A1247" s="4" t="s">
        <v>3202</v>
      </c>
      <c r="B1247" s="5" t="n">
        <v>46033</v>
      </c>
      <c r="C1247" s="5" t="n">
        <v>46151</v>
      </c>
      <c r="D1247" s="4" t="s">
        <v>3189</v>
      </c>
      <c r="E1247" s="4" t="s">
        <v>306</v>
      </c>
      <c r="F1247" s="4" t="s">
        <v>2332</v>
      </c>
      <c r="G1247" s="4" t="s">
        <v>59</v>
      </c>
      <c r="H1247" s="4" t="n">
        <v>2</v>
      </c>
      <c r="I1247" s="4" t="n">
        <v>285</v>
      </c>
      <c r="J1247" s="4" t="s">
        <v>81</v>
      </c>
      <c r="K1247" s="4" t="s">
        <v>3203</v>
      </c>
      <c r="L1247" s="4" t="s">
        <v>634</v>
      </c>
      <c r="M1247" s="4" t="s">
        <v>635</v>
      </c>
      <c r="N1247" s="4" t="s">
        <v>44</v>
      </c>
      <c r="O1247" s="4" t="s">
        <v>3204</v>
      </c>
      <c r="P1247" s="4" t="s">
        <v>2327</v>
      </c>
    </row>
    <row r="1248" customFormat="false" ht="15" hidden="false" customHeight="false" outlineLevel="0" collapsed="false">
      <c r="A1248" s="4" t="s">
        <v>3205</v>
      </c>
      <c r="B1248" s="5" t="n">
        <v>46033</v>
      </c>
      <c r="C1248" s="5" t="n">
        <v>46151</v>
      </c>
      <c r="D1248" s="4" t="s">
        <v>3189</v>
      </c>
      <c r="E1248" s="4" t="s">
        <v>311</v>
      </c>
      <c r="F1248" s="4" t="s">
        <v>2323</v>
      </c>
      <c r="G1248" s="4" t="s">
        <v>38</v>
      </c>
      <c r="H1248" s="4" t="n">
        <v>2</v>
      </c>
      <c r="I1248" s="4" t="n">
        <v>770</v>
      </c>
      <c r="J1248" s="4" t="s">
        <v>40</v>
      </c>
      <c r="K1248" s="4" t="s">
        <v>2385</v>
      </c>
      <c r="L1248" s="4" t="s">
        <v>376</v>
      </c>
      <c r="M1248" s="4" t="s">
        <v>377</v>
      </c>
      <c r="N1248" s="4" t="s">
        <v>52</v>
      </c>
      <c r="O1248" s="4" t="s">
        <v>2386</v>
      </c>
      <c r="P1248" s="4" t="s">
        <v>2327</v>
      </c>
    </row>
    <row r="1249" customFormat="false" ht="15" hidden="false" customHeight="false" outlineLevel="0" collapsed="false">
      <c r="A1249" s="4" t="s">
        <v>3206</v>
      </c>
      <c r="B1249" s="5" t="n">
        <v>46033</v>
      </c>
      <c r="C1249" s="5" t="n">
        <v>46151</v>
      </c>
      <c r="D1249" s="4" t="s">
        <v>3189</v>
      </c>
      <c r="E1249" s="4" t="s">
        <v>306</v>
      </c>
      <c r="F1249" s="4" t="s">
        <v>2384</v>
      </c>
      <c r="G1249" s="4" t="s">
        <v>38</v>
      </c>
      <c r="H1249" s="4" t="n">
        <v>2</v>
      </c>
      <c r="I1249" s="4" t="n">
        <v>515</v>
      </c>
      <c r="J1249" s="4" t="s">
        <v>81</v>
      </c>
      <c r="K1249" s="4" t="s">
        <v>2593</v>
      </c>
      <c r="L1249" s="4" t="s">
        <v>376</v>
      </c>
      <c r="M1249" s="4" t="s">
        <v>377</v>
      </c>
      <c r="N1249" s="4" t="s">
        <v>44</v>
      </c>
      <c r="O1249" s="4" t="s">
        <v>2594</v>
      </c>
      <c r="P1249" s="4" t="s">
        <v>2327</v>
      </c>
    </row>
    <row r="1250" customFormat="false" ht="15" hidden="false" customHeight="false" outlineLevel="0" collapsed="false">
      <c r="A1250" s="4" t="s">
        <v>3207</v>
      </c>
      <c r="B1250" s="5" t="n">
        <v>46033</v>
      </c>
      <c r="C1250" s="5" t="n">
        <v>46151</v>
      </c>
      <c r="D1250" s="4" t="s">
        <v>3189</v>
      </c>
      <c r="E1250" s="4" t="s">
        <v>345</v>
      </c>
      <c r="F1250" s="4" t="s">
        <v>2323</v>
      </c>
      <c r="G1250" s="4" t="s">
        <v>38</v>
      </c>
      <c r="H1250" s="4" t="n">
        <v>1</v>
      </c>
      <c r="I1250" s="4" t="n">
        <v>285</v>
      </c>
      <c r="J1250" s="4" t="s">
        <v>40</v>
      </c>
      <c r="K1250" s="4" t="s">
        <v>2434</v>
      </c>
      <c r="L1250" s="4" t="s">
        <v>376</v>
      </c>
      <c r="M1250" s="4" t="s">
        <v>377</v>
      </c>
      <c r="N1250" s="4" t="s">
        <v>44</v>
      </c>
      <c r="O1250" s="4" t="s">
        <v>2435</v>
      </c>
      <c r="P1250" s="4" t="s">
        <v>2327</v>
      </c>
    </row>
    <row r="1251" customFormat="false" ht="15" hidden="false" customHeight="false" outlineLevel="0" collapsed="false">
      <c r="A1251" s="4" t="s">
        <v>3208</v>
      </c>
      <c r="B1251" s="5" t="n">
        <v>46034</v>
      </c>
      <c r="C1251" s="5" t="n">
        <v>46046</v>
      </c>
      <c r="D1251" s="4" t="s">
        <v>2849</v>
      </c>
      <c r="E1251" s="4" t="s">
        <v>627</v>
      </c>
      <c r="F1251" s="4" t="s">
        <v>2384</v>
      </c>
      <c r="G1251" s="4" t="s">
        <v>326</v>
      </c>
      <c r="H1251" s="4" t="n">
        <v>2</v>
      </c>
      <c r="I1251" s="4" t="n">
        <v>2020</v>
      </c>
      <c r="J1251" s="4" t="s">
        <v>68</v>
      </c>
      <c r="K1251" s="4" t="s">
        <v>2840</v>
      </c>
      <c r="L1251" s="4" t="s">
        <v>376</v>
      </c>
      <c r="M1251" s="4" t="s">
        <v>377</v>
      </c>
      <c r="N1251" s="4" t="s">
        <v>44</v>
      </c>
      <c r="O1251" s="4" t="s">
        <v>2841</v>
      </c>
      <c r="P1251" s="4" t="s">
        <v>2327</v>
      </c>
    </row>
    <row r="1252" customFormat="false" ht="15" hidden="false" customHeight="false" outlineLevel="0" collapsed="false">
      <c r="A1252" s="4" t="s">
        <v>3209</v>
      </c>
      <c r="B1252" s="5" t="n">
        <v>46034</v>
      </c>
      <c r="C1252" s="5" t="n">
        <v>46151</v>
      </c>
      <c r="D1252" s="4" t="s">
        <v>3189</v>
      </c>
      <c r="E1252" s="4" t="s">
        <v>306</v>
      </c>
      <c r="F1252" s="4" t="s">
        <v>376</v>
      </c>
      <c r="G1252" s="4" t="s">
        <v>59</v>
      </c>
      <c r="H1252" s="4" t="n">
        <v>2</v>
      </c>
      <c r="I1252" s="4" t="n">
        <v>312.5</v>
      </c>
      <c r="J1252" s="4" t="s">
        <v>40</v>
      </c>
      <c r="K1252" s="4" t="s">
        <v>2241</v>
      </c>
      <c r="L1252" s="4" t="s">
        <v>432</v>
      </c>
      <c r="M1252" s="4" t="s">
        <v>356</v>
      </c>
      <c r="N1252" s="4" t="s">
        <v>433</v>
      </c>
      <c r="O1252" s="4"/>
      <c r="P1252" s="4" t="s">
        <v>2327</v>
      </c>
    </row>
    <row r="1253" customFormat="false" ht="15" hidden="false" customHeight="false" outlineLevel="0" collapsed="false">
      <c r="A1253" s="4" t="s">
        <v>3210</v>
      </c>
      <c r="B1253" s="5" t="n">
        <v>46034</v>
      </c>
      <c r="C1253" s="5" t="n">
        <v>46151</v>
      </c>
      <c r="D1253" s="4" t="s">
        <v>3189</v>
      </c>
      <c r="E1253" s="4" t="s">
        <v>311</v>
      </c>
      <c r="F1253" s="4" t="s">
        <v>2384</v>
      </c>
      <c r="G1253" s="4" t="s">
        <v>38</v>
      </c>
      <c r="H1253" s="4" t="n">
        <v>1</v>
      </c>
      <c r="I1253" s="4" t="n">
        <v>715</v>
      </c>
      <c r="J1253" s="4" t="s">
        <v>40</v>
      </c>
      <c r="K1253" s="4" t="s">
        <v>2356</v>
      </c>
      <c r="L1253" s="4" t="s">
        <v>376</v>
      </c>
      <c r="M1253" s="4" t="s">
        <v>1412</v>
      </c>
      <c r="N1253" s="4" t="s">
        <v>44</v>
      </c>
      <c r="O1253" s="4" t="s">
        <v>2357</v>
      </c>
      <c r="P1253" s="4" t="s">
        <v>2327</v>
      </c>
    </row>
    <row r="1254" customFormat="false" ht="15" hidden="false" customHeight="false" outlineLevel="0" collapsed="false">
      <c r="A1254" s="4" t="s">
        <v>3211</v>
      </c>
      <c r="B1254" s="5" t="n">
        <v>46035</v>
      </c>
      <c r="C1254" s="5" t="n">
        <v>46151</v>
      </c>
      <c r="D1254" s="4" t="s">
        <v>3189</v>
      </c>
      <c r="E1254" s="4" t="s">
        <v>306</v>
      </c>
      <c r="F1254" s="4" t="s">
        <v>2332</v>
      </c>
      <c r="G1254" s="4" t="s">
        <v>38</v>
      </c>
      <c r="H1254" s="4" t="n">
        <v>1</v>
      </c>
      <c r="I1254" s="4" t="n">
        <v>305</v>
      </c>
      <c r="J1254" s="4" t="s">
        <v>149</v>
      </c>
      <c r="K1254" s="4" t="s">
        <v>2409</v>
      </c>
      <c r="L1254" s="4" t="s">
        <v>376</v>
      </c>
      <c r="M1254" s="4" t="s">
        <v>377</v>
      </c>
      <c r="N1254" s="4" t="s">
        <v>44</v>
      </c>
      <c r="O1254" s="4" t="s">
        <v>2410</v>
      </c>
      <c r="P1254" s="4" t="s">
        <v>2327</v>
      </c>
    </row>
    <row r="1255" customFormat="false" ht="15" hidden="false" customHeight="false" outlineLevel="0" collapsed="false">
      <c r="A1255" s="4" t="s">
        <v>3212</v>
      </c>
      <c r="B1255" s="5" t="n">
        <v>46035</v>
      </c>
      <c r="C1255" s="5" t="n">
        <v>46151</v>
      </c>
      <c r="D1255" s="4" t="s">
        <v>3189</v>
      </c>
      <c r="E1255" s="4" t="s">
        <v>323</v>
      </c>
      <c r="F1255" s="4" t="s">
        <v>2362</v>
      </c>
      <c r="G1255" s="4" t="s">
        <v>326</v>
      </c>
      <c r="H1255" s="4" t="n">
        <v>4</v>
      </c>
      <c r="I1255" s="4" t="n">
        <v>690</v>
      </c>
      <c r="J1255" s="4" t="s">
        <v>40</v>
      </c>
      <c r="K1255" s="4" t="s">
        <v>3213</v>
      </c>
      <c r="L1255" s="4" t="s">
        <v>455</v>
      </c>
      <c r="M1255" s="4" t="s">
        <v>456</v>
      </c>
      <c r="N1255" s="4" t="s">
        <v>94</v>
      </c>
      <c r="O1255" s="4" t="s">
        <v>3214</v>
      </c>
      <c r="P1255" s="4" t="s">
        <v>2327</v>
      </c>
    </row>
    <row r="1256" customFormat="false" ht="15" hidden="false" customHeight="false" outlineLevel="0" collapsed="false">
      <c r="A1256" s="4" t="s">
        <v>3215</v>
      </c>
      <c r="B1256" s="5" t="n">
        <v>46035</v>
      </c>
      <c r="C1256" s="5" t="n">
        <v>46151</v>
      </c>
      <c r="D1256" s="4" t="s">
        <v>3189</v>
      </c>
      <c r="E1256" s="4" t="s">
        <v>325</v>
      </c>
      <c r="F1256" s="4" t="s">
        <v>376</v>
      </c>
      <c r="G1256" s="4" t="s">
        <v>38</v>
      </c>
      <c r="H1256" s="4" t="n">
        <v>4</v>
      </c>
      <c r="I1256" s="4" t="n">
        <v>515</v>
      </c>
      <c r="J1256" s="4" t="s">
        <v>149</v>
      </c>
      <c r="K1256" s="4" t="s">
        <v>3216</v>
      </c>
      <c r="L1256" s="4" t="s">
        <v>3217</v>
      </c>
      <c r="M1256" s="4" t="s">
        <v>377</v>
      </c>
      <c r="N1256" s="4" t="s">
        <v>52</v>
      </c>
      <c r="O1256" s="4" t="s">
        <v>3218</v>
      </c>
      <c r="P1256" s="4" t="s">
        <v>2327</v>
      </c>
    </row>
    <row r="1257" customFormat="false" ht="15" hidden="false" customHeight="false" outlineLevel="0" collapsed="false">
      <c r="A1257" s="4" t="s">
        <v>3219</v>
      </c>
      <c r="B1257" s="5" t="n">
        <v>46035</v>
      </c>
      <c r="C1257" s="5" t="n">
        <v>46038</v>
      </c>
      <c r="D1257" s="4" t="s">
        <v>2322</v>
      </c>
      <c r="E1257" s="4" t="s">
        <v>49</v>
      </c>
      <c r="F1257" s="4" t="s">
        <v>2384</v>
      </c>
      <c r="G1257" s="4" t="s">
        <v>38</v>
      </c>
      <c r="H1257" s="4" t="n">
        <v>2</v>
      </c>
      <c r="I1257" s="4" t="n">
        <v>30</v>
      </c>
      <c r="J1257" s="4" t="s">
        <v>81</v>
      </c>
      <c r="K1257" s="4" t="s">
        <v>2640</v>
      </c>
      <c r="L1257" s="4" t="s">
        <v>376</v>
      </c>
      <c r="M1257" s="4" t="s">
        <v>1412</v>
      </c>
      <c r="N1257" s="4" t="s">
        <v>44</v>
      </c>
      <c r="O1257" s="4" t="s">
        <v>2641</v>
      </c>
      <c r="P1257" s="4" t="s">
        <v>2327</v>
      </c>
    </row>
    <row r="1258" customFormat="false" ht="15" hidden="false" customHeight="false" outlineLevel="0" collapsed="false">
      <c r="A1258" s="4" t="s">
        <v>3220</v>
      </c>
      <c r="B1258" s="5" t="n">
        <v>46036</v>
      </c>
      <c r="C1258" s="5" t="n">
        <v>46151</v>
      </c>
      <c r="D1258" s="4" t="s">
        <v>3189</v>
      </c>
      <c r="E1258" s="4" t="s">
        <v>306</v>
      </c>
      <c r="F1258" s="4" t="s">
        <v>2332</v>
      </c>
      <c r="G1258" s="4" t="s">
        <v>59</v>
      </c>
      <c r="H1258" s="4" t="n">
        <v>2</v>
      </c>
      <c r="I1258" s="4" t="n">
        <v>117.5</v>
      </c>
      <c r="J1258" s="4" t="s">
        <v>81</v>
      </c>
      <c r="K1258" s="4" t="s">
        <v>2379</v>
      </c>
      <c r="L1258" s="4" t="s">
        <v>2325</v>
      </c>
      <c r="M1258" s="4" t="s">
        <v>377</v>
      </c>
      <c r="N1258" s="4" t="s">
        <v>44</v>
      </c>
      <c r="O1258" s="4" t="s">
        <v>2380</v>
      </c>
      <c r="P1258" s="4" t="s">
        <v>2327</v>
      </c>
    </row>
    <row r="1259" customFormat="false" ht="15" hidden="false" customHeight="false" outlineLevel="0" collapsed="false">
      <c r="A1259" s="4" t="s">
        <v>3221</v>
      </c>
      <c r="B1259" s="5" t="n">
        <v>46036</v>
      </c>
      <c r="C1259" s="5" t="n">
        <v>46151</v>
      </c>
      <c r="D1259" s="4" t="s">
        <v>3189</v>
      </c>
      <c r="E1259" s="4" t="s">
        <v>306</v>
      </c>
      <c r="F1259" s="4" t="s">
        <v>2384</v>
      </c>
      <c r="G1259" s="4" t="s">
        <v>59</v>
      </c>
      <c r="H1259" s="4" t="n">
        <v>0</v>
      </c>
      <c r="I1259" s="4" t="n">
        <v>345</v>
      </c>
      <c r="J1259" s="4" t="s">
        <v>40</v>
      </c>
      <c r="K1259" s="4" t="s">
        <v>3222</v>
      </c>
      <c r="L1259" s="4" t="s">
        <v>862</v>
      </c>
      <c r="M1259" s="4" t="s">
        <v>356</v>
      </c>
      <c r="N1259" s="4" t="s">
        <v>863</v>
      </c>
      <c r="O1259" s="4"/>
      <c r="P1259" s="4" t="s">
        <v>2327</v>
      </c>
    </row>
    <row r="1260" customFormat="false" ht="15" hidden="false" customHeight="false" outlineLevel="0" collapsed="false">
      <c r="A1260" s="4" t="s">
        <v>3223</v>
      </c>
      <c r="B1260" s="5" t="n">
        <v>46036</v>
      </c>
      <c r="C1260" s="5" t="n">
        <v>46036</v>
      </c>
      <c r="D1260" s="4" t="s">
        <v>2322</v>
      </c>
      <c r="E1260" s="4" t="s">
        <v>66</v>
      </c>
      <c r="F1260" s="4" t="s">
        <v>376</v>
      </c>
      <c r="G1260" s="4" t="s">
        <v>59</v>
      </c>
      <c r="H1260" s="4" t="n">
        <v>2</v>
      </c>
      <c r="I1260" s="4" t="n">
        <v>17.5</v>
      </c>
      <c r="J1260" s="4" t="s">
        <v>40</v>
      </c>
      <c r="K1260" s="4" t="s">
        <v>2571</v>
      </c>
      <c r="L1260" s="4" t="s">
        <v>376</v>
      </c>
      <c r="M1260" s="4" t="s">
        <v>377</v>
      </c>
      <c r="N1260" s="4" t="s">
        <v>44</v>
      </c>
      <c r="O1260" s="4" t="s">
        <v>2572</v>
      </c>
      <c r="P1260" s="4" t="s">
        <v>2327</v>
      </c>
    </row>
    <row r="1261" customFormat="false" ht="15" hidden="false" customHeight="false" outlineLevel="0" collapsed="false">
      <c r="A1261" s="4" t="s">
        <v>3224</v>
      </c>
      <c r="B1261" s="5" t="n">
        <v>46037</v>
      </c>
      <c r="C1261" s="5" t="n">
        <v>46046</v>
      </c>
      <c r="D1261" s="4" t="s">
        <v>2849</v>
      </c>
      <c r="E1261" s="4" t="s">
        <v>761</v>
      </c>
      <c r="F1261" s="4" t="s">
        <v>2384</v>
      </c>
      <c r="G1261" s="4" t="s">
        <v>38</v>
      </c>
      <c r="H1261" s="4" t="n">
        <v>2</v>
      </c>
      <c r="I1261" s="4" t="n">
        <v>1020</v>
      </c>
      <c r="J1261" s="4" t="s">
        <v>68</v>
      </c>
      <c r="K1261" s="4" t="s">
        <v>2991</v>
      </c>
      <c r="L1261" s="4" t="s">
        <v>376</v>
      </c>
      <c r="M1261" s="4" t="s">
        <v>377</v>
      </c>
      <c r="N1261" s="4" t="s">
        <v>44</v>
      </c>
      <c r="O1261" s="4" t="s">
        <v>2992</v>
      </c>
      <c r="P1261" s="4" t="s">
        <v>2327</v>
      </c>
    </row>
    <row r="1262" customFormat="false" ht="15" hidden="false" customHeight="false" outlineLevel="0" collapsed="false">
      <c r="A1262" s="4" t="s">
        <v>3225</v>
      </c>
      <c r="B1262" s="5" t="n">
        <v>46037</v>
      </c>
      <c r="C1262" s="5" t="n">
        <v>46151</v>
      </c>
      <c r="D1262" s="4" t="s">
        <v>3189</v>
      </c>
      <c r="E1262" s="4" t="s">
        <v>306</v>
      </c>
      <c r="F1262" s="4" t="s">
        <v>376</v>
      </c>
      <c r="G1262" s="4" t="s">
        <v>59</v>
      </c>
      <c r="H1262" s="4" t="n">
        <v>3</v>
      </c>
      <c r="I1262" s="4" t="n">
        <v>285</v>
      </c>
      <c r="J1262" s="4" t="s">
        <v>40</v>
      </c>
      <c r="K1262" s="4" t="s">
        <v>2840</v>
      </c>
      <c r="L1262" s="4" t="s">
        <v>376</v>
      </c>
      <c r="M1262" s="4" t="s">
        <v>377</v>
      </c>
      <c r="N1262" s="4" t="s">
        <v>94</v>
      </c>
      <c r="O1262" s="4" t="s">
        <v>2841</v>
      </c>
      <c r="P1262" s="4" t="s">
        <v>2327</v>
      </c>
    </row>
    <row r="1263" customFormat="false" ht="15" hidden="false" customHeight="false" outlineLevel="0" collapsed="false">
      <c r="A1263" s="4" t="s">
        <v>3226</v>
      </c>
      <c r="B1263" s="5" t="n">
        <v>46037</v>
      </c>
      <c r="C1263" s="5" t="n">
        <v>46151</v>
      </c>
      <c r="D1263" s="4" t="s">
        <v>3189</v>
      </c>
      <c r="E1263" s="4" t="s">
        <v>306</v>
      </c>
      <c r="F1263" s="4" t="s">
        <v>376</v>
      </c>
      <c r="G1263" s="4" t="s">
        <v>38</v>
      </c>
      <c r="H1263" s="4" t="n">
        <v>1</v>
      </c>
      <c r="I1263" s="4" t="n">
        <v>525</v>
      </c>
      <c r="J1263" s="4" t="s">
        <v>68</v>
      </c>
      <c r="K1263" s="4" t="s">
        <v>2853</v>
      </c>
      <c r="L1263" s="4" t="s">
        <v>376</v>
      </c>
      <c r="M1263" s="4" t="s">
        <v>377</v>
      </c>
      <c r="N1263" s="4" t="s">
        <v>44</v>
      </c>
      <c r="O1263" s="4" t="s">
        <v>2854</v>
      </c>
      <c r="P1263" s="4" t="s">
        <v>2327</v>
      </c>
    </row>
    <row r="1264" customFormat="false" ht="15" hidden="false" customHeight="false" outlineLevel="0" collapsed="false">
      <c r="A1264" s="4" t="s">
        <v>3227</v>
      </c>
      <c r="B1264" s="5" t="n">
        <v>46038</v>
      </c>
      <c r="C1264" s="5" t="n">
        <v>46151</v>
      </c>
      <c r="D1264" s="4" t="s">
        <v>3189</v>
      </c>
      <c r="E1264" s="4" t="s">
        <v>311</v>
      </c>
      <c r="F1264" s="4" t="s">
        <v>376</v>
      </c>
      <c r="G1264" s="4" t="s">
        <v>38</v>
      </c>
      <c r="H1264" s="4" t="n">
        <v>1</v>
      </c>
      <c r="I1264" s="4" t="n">
        <v>315</v>
      </c>
      <c r="J1264" s="4" t="s">
        <v>68</v>
      </c>
      <c r="K1264" s="4" t="s">
        <v>3228</v>
      </c>
      <c r="L1264" s="4" t="s">
        <v>463</v>
      </c>
      <c r="M1264" s="4" t="s">
        <v>464</v>
      </c>
      <c r="N1264" s="4" t="s">
        <v>44</v>
      </c>
      <c r="O1264" s="4" t="s">
        <v>3229</v>
      </c>
      <c r="P1264" s="4" t="s">
        <v>2327</v>
      </c>
    </row>
    <row r="1265" customFormat="false" ht="15" hidden="false" customHeight="false" outlineLevel="0" collapsed="false">
      <c r="A1265" s="4" t="s">
        <v>3230</v>
      </c>
      <c r="B1265" s="5" t="n">
        <v>46038</v>
      </c>
      <c r="C1265" s="5" t="n">
        <v>46151</v>
      </c>
      <c r="D1265" s="4" t="s">
        <v>3189</v>
      </c>
      <c r="E1265" s="4" t="s">
        <v>325</v>
      </c>
      <c r="F1265" s="4" t="s">
        <v>2323</v>
      </c>
      <c r="G1265" s="4" t="s">
        <v>38</v>
      </c>
      <c r="H1265" s="4" t="n">
        <v>2</v>
      </c>
      <c r="I1265" s="4" t="n">
        <v>315</v>
      </c>
      <c r="J1265" s="4" t="s">
        <v>68</v>
      </c>
      <c r="K1265" s="4" t="s">
        <v>3231</v>
      </c>
      <c r="L1265" s="4" t="s">
        <v>837</v>
      </c>
      <c r="M1265" s="4" t="s">
        <v>838</v>
      </c>
      <c r="N1265" s="4" t="s">
        <v>44</v>
      </c>
      <c r="O1265" s="4" t="s">
        <v>3232</v>
      </c>
      <c r="P1265" s="4" t="s">
        <v>2327</v>
      </c>
    </row>
    <row r="1266" customFormat="false" ht="15" hidden="false" customHeight="false" outlineLevel="0" collapsed="false">
      <c r="A1266" s="4" t="s">
        <v>3233</v>
      </c>
      <c r="B1266" s="5" t="n">
        <v>46039</v>
      </c>
      <c r="C1266" s="5" t="n">
        <v>46046</v>
      </c>
      <c r="D1266" s="4" t="s">
        <v>2849</v>
      </c>
      <c r="E1266" s="4" t="s">
        <v>627</v>
      </c>
      <c r="F1266" s="4" t="s">
        <v>2384</v>
      </c>
      <c r="G1266" s="4" t="s">
        <v>38</v>
      </c>
      <c r="H1266" s="4" t="n">
        <v>4</v>
      </c>
      <c r="I1266" s="4" t="n">
        <v>820</v>
      </c>
      <c r="J1266" s="4" t="s">
        <v>81</v>
      </c>
      <c r="K1266" s="4" t="s">
        <v>3234</v>
      </c>
      <c r="L1266" s="4" t="s">
        <v>455</v>
      </c>
      <c r="M1266" s="4" t="s">
        <v>456</v>
      </c>
      <c r="N1266" s="4" t="s">
        <v>44</v>
      </c>
      <c r="O1266" s="4" t="s">
        <v>3235</v>
      </c>
      <c r="P1266" s="4" t="s">
        <v>2327</v>
      </c>
    </row>
    <row r="1267" customFormat="false" ht="15" hidden="false" customHeight="false" outlineLevel="0" collapsed="false">
      <c r="A1267" s="4" t="s">
        <v>3236</v>
      </c>
      <c r="B1267" s="5" t="n">
        <v>46039</v>
      </c>
      <c r="C1267" s="5" t="n">
        <v>46046</v>
      </c>
      <c r="D1267" s="4" t="s">
        <v>2849</v>
      </c>
      <c r="E1267" s="4" t="s">
        <v>649</v>
      </c>
      <c r="F1267" s="4" t="s">
        <v>376</v>
      </c>
      <c r="G1267" s="4" t="s">
        <v>59</v>
      </c>
      <c r="H1267" s="4" t="n">
        <v>1</v>
      </c>
      <c r="I1267" s="4" t="n">
        <v>497.5</v>
      </c>
      <c r="J1267" s="4" t="s">
        <v>40</v>
      </c>
      <c r="K1267" s="4" t="s">
        <v>2450</v>
      </c>
      <c r="L1267" s="4" t="s">
        <v>376</v>
      </c>
      <c r="M1267" s="4" t="s">
        <v>377</v>
      </c>
      <c r="N1267" s="4" t="s">
        <v>185</v>
      </c>
      <c r="O1267" s="4" t="s">
        <v>2451</v>
      </c>
      <c r="P1267" s="4" t="s">
        <v>2327</v>
      </c>
    </row>
    <row r="1268" customFormat="false" ht="15" hidden="false" customHeight="false" outlineLevel="0" collapsed="false">
      <c r="A1268" s="4" t="s">
        <v>3237</v>
      </c>
      <c r="B1268" s="5" t="n">
        <v>46039</v>
      </c>
      <c r="C1268" s="5" t="n">
        <v>46046</v>
      </c>
      <c r="D1268" s="4" t="s">
        <v>2849</v>
      </c>
      <c r="E1268" s="4" t="s">
        <v>613</v>
      </c>
      <c r="F1268" s="4" t="s">
        <v>376</v>
      </c>
      <c r="G1268" s="4" t="s">
        <v>38</v>
      </c>
      <c r="H1268" s="4" t="n">
        <v>1</v>
      </c>
      <c r="I1268" s="4" t="n">
        <v>940</v>
      </c>
      <c r="J1268" s="4" t="s">
        <v>40</v>
      </c>
      <c r="K1268" s="4" t="s">
        <v>3238</v>
      </c>
      <c r="L1268" s="4" t="s">
        <v>524</v>
      </c>
      <c r="M1268" s="4" t="s">
        <v>377</v>
      </c>
      <c r="N1268" s="4" t="s">
        <v>44</v>
      </c>
      <c r="O1268" s="4" t="s">
        <v>3239</v>
      </c>
      <c r="P1268" s="4" t="s">
        <v>2327</v>
      </c>
    </row>
    <row r="1269" customFormat="false" ht="15" hidden="false" customHeight="false" outlineLevel="0" collapsed="false">
      <c r="A1269" s="4" t="s">
        <v>3240</v>
      </c>
      <c r="B1269" s="5" t="n">
        <v>46039</v>
      </c>
      <c r="C1269" s="5" t="n">
        <v>46046</v>
      </c>
      <c r="D1269" s="4" t="s">
        <v>2849</v>
      </c>
      <c r="E1269" s="4" t="s">
        <v>627</v>
      </c>
      <c r="F1269" s="4" t="s">
        <v>2323</v>
      </c>
      <c r="G1269" s="4" t="s">
        <v>59</v>
      </c>
      <c r="H1269" s="4" t="n">
        <v>2</v>
      </c>
      <c r="I1269" s="4" t="n">
        <v>347.5</v>
      </c>
      <c r="J1269" s="4" t="s">
        <v>68</v>
      </c>
      <c r="K1269" s="4" t="s">
        <v>3241</v>
      </c>
      <c r="L1269" s="4" t="s">
        <v>219</v>
      </c>
      <c r="M1269" s="4" t="s">
        <v>356</v>
      </c>
      <c r="N1269" s="4" t="s">
        <v>221</v>
      </c>
      <c r="O1269" s="4"/>
      <c r="P1269" s="4" t="s">
        <v>2327</v>
      </c>
    </row>
    <row r="1270" customFormat="false" ht="15" hidden="false" customHeight="false" outlineLevel="0" collapsed="false">
      <c r="A1270" s="4" t="s">
        <v>3242</v>
      </c>
      <c r="B1270" s="5" t="n">
        <v>46039</v>
      </c>
      <c r="C1270" s="5" t="n">
        <v>46046</v>
      </c>
      <c r="D1270" s="4" t="s">
        <v>2849</v>
      </c>
      <c r="E1270" s="4" t="s">
        <v>618</v>
      </c>
      <c r="F1270" s="4" t="s">
        <v>376</v>
      </c>
      <c r="G1270" s="4" t="s">
        <v>38</v>
      </c>
      <c r="H1270" s="4" t="n">
        <v>1</v>
      </c>
      <c r="I1270" s="4" t="n">
        <v>835</v>
      </c>
      <c r="J1270" s="4" t="s">
        <v>68</v>
      </c>
      <c r="K1270" s="4" t="s">
        <v>2535</v>
      </c>
      <c r="L1270" s="4" t="s">
        <v>376</v>
      </c>
      <c r="M1270" s="4" t="s">
        <v>1412</v>
      </c>
      <c r="N1270" s="4" t="s">
        <v>44</v>
      </c>
      <c r="O1270" s="4" t="s">
        <v>2536</v>
      </c>
      <c r="P1270" s="4" t="s">
        <v>2327</v>
      </c>
    </row>
    <row r="1271" customFormat="false" ht="15" hidden="false" customHeight="false" outlineLevel="0" collapsed="false">
      <c r="A1271" s="4" t="s">
        <v>3243</v>
      </c>
      <c r="B1271" s="5" t="n">
        <v>46039</v>
      </c>
      <c r="C1271" s="5" t="n">
        <v>46046</v>
      </c>
      <c r="D1271" s="4" t="s">
        <v>2849</v>
      </c>
      <c r="E1271" s="4" t="s">
        <v>627</v>
      </c>
      <c r="F1271" s="4" t="s">
        <v>2384</v>
      </c>
      <c r="G1271" s="4" t="s">
        <v>59</v>
      </c>
      <c r="H1271" s="4" t="n">
        <v>1</v>
      </c>
      <c r="I1271" s="4" t="n">
        <v>355</v>
      </c>
      <c r="J1271" s="4" t="s">
        <v>149</v>
      </c>
      <c r="K1271" s="4" t="s">
        <v>2637</v>
      </c>
      <c r="L1271" s="4" t="s">
        <v>376</v>
      </c>
      <c r="M1271" s="4" t="s">
        <v>377</v>
      </c>
      <c r="N1271" s="4" t="s">
        <v>185</v>
      </c>
      <c r="O1271" s="4" t="s">
        <v>2638</v>
      </c>
      <c r="P1271" s="4" t="s">
        <v>2327</v>
      </c>
    </row>
    <row r="1272" customFormat="false" ht="15" hidden="false" customHeight="false" outlineLevel="0" collapsed="false">
      <c r="A1272" s="4" t="s">
        <v>3244</v>
      </c>
      <c r="B1272" s="5" t="n">
        <v>46039</v>
      </c>
      <c r="C1272" s="5" t="n">
        <v>46041</v>
      </c>
      <c r="D1272" s="4" t="s">
        <v>2322</v>
      </c>
      <c r="E1272" s="4" t="s">
        <v>36</v>
      </c>
      <c r="F1272" s="4" t="s">
        <v>376</v>
      </c>
      <c r="G1272" s="4" t="s">
        <v>59</v>
      </c>
      <c r="H1272" s="4" t="n">
        <v>2</v>
      </c>
      <c r="I1272" s="4" t="n">
        <v>17.5</v>
      </c>
      <c r="J1272" s="4" t="s">
        <v>81</v>
      </c>
      <c r="K1272" s="4" t="s">
        <v>2363</v>
      </c>
      <c r="L1272" s="4" t="s">
        <v>376</v>
      </c>
      <c r="M1272" s="4" t="s">
        <v>377</v>
      </c>
      <c r="N1272" s="4" t="s">
        <v>94</v>
      </c>
      <c r="O1272" s="4" t="s">
        <v>2364</v>
      </c>
      <c r="P1272" s="4" t="s">
        <v>2327</v>
      </c>
    </row>
    <row r="1273" customFormat="false" ht="15" hidden="false" customHeight="false" outlineLevel="0" collapsed="false">
      <c r="A1273" s="4" t="s">
        <v>3245</v>
      </c>
      <c r="B1273" s="5" t="n">
        <v>46040</v>
      </c>
      <c r="C1273" s="5" t="n">
        <v>46046</v>
      </c>
      <c r="D1273" s="4" t="s">
        <v>2849</v>
      </c>
      <c r="E1273" s="4" t="s">
        <v>627</v>
      </c>
      <c r="F1273" s="4" t="s">
        <v>2362</v>
      </c>
      <c r="G1273" s="4" t="s">
        <v>38</v>
      </c>
      <c r="H1273" s="4" t="n">
        <v>1</v>
      </c>
      <c r="I1273" s="4" t="n">
        <v>1055</v>
      </c>
      <c r="J1273" s="4" t="s">
        <v>68</v>
      </c>
      <c r="K1273" s="4" t="s">
        <v>2967</v>
      </c>
      <c r="L1273" s="4" t="s">
        <v>376</v>
      </c>
      <c r="M1273" s="4" t="s">
        <v>377</v>
      </c>
      <c r="N1273" s="4" t="s">
        <v>44</v>
      </c>
      <c r="O1273" s="4" t="s">
        <v>2968</v>
      </c>
      <c r="P1273" s="4" t="s">
        <v>2327</v>
      </c>
    </row>
    <row r="1274" customFormat="false" ht="15" hidden="false" customHeight="false" outlineLevel="0" collapsed="false">
      <c r="A1274" s="4" t="s">
        <v>3246</v>
      </c>
      <c r="B1274" s="5" t="n">
        <v>46040</v>
      </c>
      <c r="C1274" s="5" t="n">
        <v>46046</v>
      </c>
      <c r="D1274" s="4" t="s">
        <v>2849</v>
      </c>
      <c r="E1274" s="4" t="s">
        <v>627</v>
      </c>
      <c r="F1274" s="4" t="s">
        <v>376</v>
      </c>
      <c r="G1274" s="4" t="s">
        <v>38</v>
      </c>
      <c r="H1274" s="4" t="n">
        <v>4</v>
      </c>
      <c r="I1274" s="4" t="n">
        <v>1140</v>
      </c>
      <c r="J1274" s="4" t="s">
        <v>68</v>
      </c>
      <c r="K1274" s="4" t="s">
        <v>2648</v>
      </c>
      <c r="L1274" s="4" t="s">
        <v>1172</v>
      </c>
      <c r="M1274" s="4" t="s">
        <v>377</v>
      </c>
      <c r="N1274" s="4" t="s">
        <v>44</v>
      </c>
      <c r="O1274" s="4" t="s">
        <v>2649</v>
      </c>
      <c r="P1274" s="4" t="s">
        <v>2327</v>
      </c>
    </row>
    <row r="1275" customFormat="false" ht="15" hidden="false" customHeight="false" outlineLevel="0" collapsed="false">
      <c r="A1275" s="4" t="s">
        <v>3247</v>
      </c>
      <c r="B1275" s="5" t="n">
        <v>46040</v>
      </c>
      <c r="C1275" s="5" t="n">
        <v>46046</v>
      </c>
      <c r="D1275" s="4" t="s">
        <v>2849</v>
      </c>
      <c r="E1275" s="4" t="s">
        <v>627</v>
      </c>
      <c r="F1275" s="4" t="s">
        <v>2384</v>
      </c>
      <c r="G1275" s="4" t="s">
        <v>38</v>
      </c>
      <c r="H1275" s="4" t="n">
        <v>2</v>
      </c>
      <c r="I1275" s="4" t="n">
        <v>800</v>
      </c>
      <c r="J1275" s="4" t="s">
        <v>68</v>
      </c>
      <c r="K1275" s="4" t="s">
        <v>2657</v>
      </c>
      <c r="L1275" s="4" t="s">
        <v>376</v>
      </c>
      <c r="M1275" s="4" t="s">
        <v>377</v>
      </c>
      <c r="N1275" s="4" t="s">
        <v>44</v>
      </c>
      <c r="O1275" s="4" t="s">
        <v>2658</v>
      </c>
      <c r="P1275" s="4" t="s">
        <v>2327</v>
      </c>
    </row>
    <row r="1276" customFormat="false" ht="15" hidden="false" customHeight="false" outlineLevel="0" collapsed="false">
      <c r="A1276" s="4" t="s">
        <v>3248</v>
      </c>
      <c r="B1276" s="5" t="n">
        <v>46040</v>
      </c>
      <c r="C1276" s="5" t="n">
        <v>46046</v>
      </c>
      <c r="D1276" s="4" t="s">
        <v>2849</v>
      </c>
      <c r="E1276" s="4" t="s">
        <v>627</v>
      </c>
      <c r="F1276" s="4" t="s">
        <v>376</v>
      </c>
      <c r="G1276" s="4" t="s">
        <v>38</v>
      </c>
      <c r="H1276" s="4" t="n">
        <v>1</v>
      </c>
      <c r="I1276" s="4" t="n">
        <v>1090</v>
      </c>
      <c r="J1276" s="4" t="s">
        <v>68</v>
      </c>
      <c r="K1276" s="4" t="s">
        <v>3126</v>
      </c>
      <c r="L1276" s="4" t="s">
        <v>376</v>
      </c>
      <c r="M1276" s="4" t="s">
        <v>377</v>
      </c>
      <c r="N1276" s="4" t="s">
        <v>44</v>
      </c>
      <c r="O1276" s="4" t="s">
        <v>3127</v>
      </c>
      <c r="P1276" s="4" t="s">
        <v>2327</v>
      </c>
    </row>
    <row r="1277" customFormat="false" ht="15" hidden="false" customHeight="false" outlineLevel="0" collapsed="false">
      <c r="A1277" s="4" t="s">
        <v>3249</v>
      </c>
      <c r="B1277" s="5" t="n">
        <v>46040</v>
      </c>
      <c r="C1277" s="5" t="n">
        <v>46046</v>
      </c>
      <c r="D1277" s="4" t="s">
        <v>2849</v>
      </c>
      <c r="E1277" s="4" t="s">
        <v>627</v>
      </c>
      <c r="F1277" s="4" t="s">
        <v>2362</v>
      </c>
      <c r="G1277" s="4" t="s">
        <v>38</v>
      </c>
      <c r="H1277" s="4" t="n">
        <v>2</v>
      </c>
      <c r="I1277" s="4" t="n">
        <v>985</v>
      </c>
      <c r="J1277" s="4" t="s">
        <v>40</v>
      </c>
      <c r="K1277" s="4" t="s">
        <v>1456</v>
      </c>
      <c r="L1277" s="4" t="s">
        <v>376</v>
      </c>
      <c r="M1277" s="4" t="s">
        <v>377</v>
      </c>
      <c r="N1277" s="4" t="s">
        <v>44</v>
      </c>
      <c r="O1277" s="4" t="s">
        <v>1457</v>
      </c>
      <c r="P1277" s="4" t="s">
        <v>2327</v>
      </c>
    </row>
    <row r="1278" customFormat="false" ht="15" hidden="false" customHeight="false" outlineLevel="0" collapsed="false">
      <c r="A1278" s="4" t="s">
        <v>3250</v>
      </c>
      <c r="B1278" s="5" t="n">
        <v>46040</v>
      </c>
      <c r="C1278" s="5" t="n">
        <v>46046</v>
      </c>
      <c r="D1278" s="4" t="s">
        <v>2849</v>
      </c>
      <c r="E1278" s="4" t="s">
        <v>649</v>
      </c>
      <c r="F1278" s="4" t="s">
        <v>376</v>
      </c>
      <c r="G1278" s="4" t="s">
        <v>38</v>
      </c>
      <c r="H1278" s="4" t="n">
        <v>1</v>
      </c>
      <c r="I1278" s="4" t="n">
        <v>735</v>
      </c>
      <c r="J1278" s="4" t="s">
        <v>149</v>
      </c>
      <c r="K1278" s="4" t="s">
        <v>3251</v>
      </c>
      <c r="L1278" s="4" t="s">
        <v>634</v>
      </c>
      <c r="M1278" s="4" t="s">
        <v>1603</v>
      </c>
      <c r="N1278" s="4" t="s">
        <v>44</v>
      </c>
      <c r="O1278" s="4" t="s">
        <v>3252</v>
      </c>
      <c r="P1278" s="4" t="s">
        <v>2327</v>
      </c>
    </row>
    <row r="1279" customFormat="false" ht="15" hidden="false" customHeight="false" outlineLevel="0" collapsed="false">
      <c r="A1279" s="4" t="s">
        <v>3253</v>
      </c>
      <c r="B1279" s="5" t="n">
        <v>46040</v>
      </c>
      <c r="C1279" s="5" t="n">
        <v>46046</v>
      </c>
      <c r="D1279" s="4" t="s">
        <v>2849</v>
      </c>
      <c r="E1279" s="4" t="s">
        <v>618</v>
      </c>
      <c r="F1279" s="4" t="s">
        <v>376</v>
      </c>
      <c r="G1279" s="4" t="s">
        <v>59</v>
      </c>
      <c r="H1279" s="4" t="n">
        <v>2</v>
      </c>
      <c r="I1279" s="4" t="n">
        <v>460</v>
      </c>
      <c r="J1279" s="4" t="s">
        <v>40</v>
      </c>
      <c r="K1279" s="4" t="s">
        <v>3254</v>
      </c>
      <c r="L1279" s="4" t="s">
        <v>463</v>
      </c>
      <c r="M1279" s="4" t="s">
        <v>2750</v>
      </c>
      <c r="N1279" s="4" t="s">
        <v>52</v>
      </c>
      <c r="O1279" s="4" t="s">
        <v>3255</v>
      </c>
      <c r="P1279" s="4" t="s">
        <v>2327</v>
      </c>
    </row>
    <row r="1280" customFormat="false" ht="15" hidden="false" customHeight="false" outlineLevel="0" collapsed="false">
      <c r="A1280" s="4" t="s">
        <v>3256</v>
      </c>
      <c r="B1280" s="5" t="n">
        <v>46040</v>
      </c>
      <c r="C1280" s="5" t="n">
        <v>46046</v>
      </c>
      <c r="D1280" s="4" t="s">
        <v>2849</v>
      </c>
      <c r="E1280" s="4" t="s">
        <v>613</v>
      </c>
      <c r="F1280" s="4" t="s">
        <v>376</v>
      </c>
      <c r="G1280" s="4" t="s">
        <v>326</v>
      </c>
      <c r="H1280" s="4" t="n">
        <v>2</v>
      </c>
      <c r="I1280" s="4" t="n">
        <v>2000</v>
      </c>
      <c r="J1280" s="4" t="s">
        <v>68</v>
      </c>
      <c r="K1280" s="4" t="s">
        <v>2884</v>
      </c>
      <c r="L1280" s="4" t="s">
        <v>376</v>
      </c>
      <c r="M1280" s="4" t="s">
        <v>377</v>
      </c>
      <c r="N1280" s="4" t="s">
        <v>44</v>
      </c>
      <c r="O1280" s="4" t="s">
        <v>2885</v>
      </c>
      <c r="P1280" s="4" t="s">
        <v>2327</v>
      </c>
    </row>
    <row r="1281" customFormat="false" ht="15" hidden="false" customHeight="false" outlineLevel="0" collapsed="false">
      <c r="A1281" s="4" t="s">
        <v>3257</v>
      </c>
      <c r="B1281" s="5" t="n">
        <v>46040</v>
      </c>
      <c r="C1281" s="5" t="n">
        <v>46151</v>
      </c>
      <c r="D1281" s="4" t="s">
        <v>3189</v>
      </c>
      <c r="E1281" s="4" t="s">
        <v>306</v>
      </c>
      <c r="F1281" s="4" t="s">
        <v>376</v>
      </c>
      <c r="G1281" s="4" t="s">
        <v>38</v>
      </c>
      <c r="H1281" s="4" t="n">
        <v>2</v>
      </c>
      <c r="I1281" s="4" t="n">
        <v>440</v>
      </c>
      <c r="J1281" s="4" t="s">
        <v>68</v>
      </c>
      <c r="K1281" s="4" t="s">
        <v>3258</v>
      </c>
      <c r="L1281" s="4" t="s">
        <v>2734</v>
      </c>
      <c r="M1281" s="4" t="s">
        <v>695</v>
      </c>
      <c r="N1281" s="4" t="s">
        <v>52</v>
      </c>
      <c r="O1281" s="4" t="s">
        <v>3259</v>
      </c>
      <c r="P1281" s="4" t="s">
        <v>2327</v>
      </c>
    </row>
    <row r="1282" customFormat="false" ht="15" hidden="false" customHeight="false" outlineLevel="0" collapsed="false">
      <c r="A1282" s="4" t="s">
        <v>3260</v>
      </c>
      <c r="B1282" s="5" t="n">
        <v>46040</v>
      </c>
      <c r="C1282" s="5" t="n">
        <v>46151</v>
      </c>
      <c r="D1282" s="4" t="s">
        <v>3189</v>
      </c>
      <c r="E1282" s="4" t="s">
        <v>345</v>
      </c>
      <c r="F1282" s="4" t="s">
        <v>376</v>
      </c>
      <c r="G1282" s="4" t="s">
        <v>59</v>
      </c>
      <c r="H1282" s="4" t="n">
        <v>1</v>
      </c>
      <c r="I1282" s="4" t="n">
        <v>255</v>
      </c>
      <c r="J1282" s="4" t="s">
        <v>68</v>
      </c>
      <c r="K1282" s="4" t="s">
        <v>2577</v>
      </c>
      <c r="L1282" s="4" t="s">
        <v>2325</v>
      </c>
      <c r="M1282" s="4" t="s">
        <v>1412</v>
      </c>
      <c r="N1282" s="4" t="s">
        <v>94</v>
      </c>
      <c r="O1282" s="4" t="s">
        <v>2578</v>
      </c>
      <c r="P1282" s="4" t="s">
        <v>2327</v>
      </c>
    </row>
    <row r="1283" customFormat="false" ht="15" hidden="false" customHeight="false" outlineLevel="0" collapsed="false">
      <c r="A1283" s="4" t="s">
        <v>3261</v>
      </c>
      <c r="B1283" s="5" t="n">
        <v>46040</v>
      </c>
      <c r="C1283" s="5" t="n">
        <v>46151</v>
      </c>
      <c r="D1283" s="4" t="s">
        <v>3189</v>
      </c>
      <c r="E1283" s="4" t="s">
        <v>306</v>
      </c>
      <c r="F1283" s="4" t="s">
        <v>376</v>
      </c>
      <c r="G1283" s="4" t="s">
        <v>38</v>
      </c>
      <c r="H1283" s="4" t="n">
        <v>1</v>
      </c>
      <c r="I1283" s="4" t="n">
        <v>590</v>
      </c>
      <c r="J1283" s="4" t="s">
        <v>149</v>
      </c>
      <c r="K1283" s="4" t="s">
        <v>2811</v>
      </c>
      <c r="L1283" s="4" t="s">
        <v>2384</v>
      </c>
      <c r="M1283" s="4" t="s">
        <v>377</v>
      </c>
      <c r="N1283" s="4" t="s">
        <v>44</v>
      </c>
      <c r="O1283" s="4" t="s">
        <v>2812</v>
      </c>
      <c r="P1283" s="4" t="s">
        <v>2327</v>
      </c>
    </row>
    <row r="1284" customFormat="false" ht="15" hidden="false" customHeight="false" outlineLevel="0" collapsed="false">
      <c r="A1284" s="4" t="s">
        <v>3262</v>
      </c>
      <c r="B1284" s="5" t="n">
        <v>46041</v>
      </c>
      <c r="C1284" s="5" t="n">
        <v>46046</v>
      </c>
      <c r="D1284" s="4" t="s">
        <v>2849</v>
      </c>
      <c r="E1284" s="4" t="s">
        <v>649</v>
      </c>
      <c r="F1284" s="4" t="s">
        <v>376</v>
      </c>
      <c r="G1284" s="4" t="s">
        <v>38</v>
      </c>
      <c r="H1284" s="4" t="n">
        <v>3</v>
      </c>
      <c r="I1284" s="4" t="n">
        <v>1035</v>
      </c>
      <c r="J1284" s="4" t="s">
        <v>149</v>
      </c>
      <c r="K1284" s="4" t="s">
        <v>3263</v>
      </c>
      <c r="L1284" s="4" t="s">
        <v>37</v>
      </c>
      <c r="M1284" s="4" t="s">
        <v>43</v>
      </c>
      <c r="N1284" s="4" t="s">
        <v>44</v>
      </c>
      <c r="O1284" s="4" t="s">
        <v>3264</v>
      </c>
      <c r="P1284" s="4" t="s">
        <v>2327</v>
      </c>
    </row>
    <row r="1285" customFormat="false" ht="15" hidden="false" customHeight="false" outlineLevel="0" collapsed="false">
      <c r="A1285" s="4" t="s">
        <v>3265</v>
      </c>
      <c r="B1285" s="5" t="n">
        <v>46041</v>
      </c>
      <c r="C1285" s="5" t="n">
        <v>46046</v>
      </c>
      <c r="D1285" s="4" t="s">
        <v>2849</v>
      </c>
      <c r="E1285" s="4" t="s">
        <v>627</v>
      </c>
      <c r="F1285" s="4" t="s">
        <v>376</v>
      </c>
      <c r="G1285" s="4" t="s">
        <v>38</v>
      </c>
      <c r="H1285" s="4" t="n">
        <v>4</v>
      </c>
      <c r="I1285" s="4" t="n">
        <v>1095</v>
      </c>
      <c r="J1285" s="4" t="s">
        <v>149</v>
      </c>
      <c r="K1285" s="4" t="s">
        <v>3266</v>
      </c>
      <c r="L1285" s="4" t="s">
        <v>837</v>
      </c>
      <c r="M1285" s="4" t="s">
        <v>838</v>
      </c>
      <c r="N1285" s="4" t="s">
        <v>44</v>
      </c>
      <c r="O1285" s="4" t="s">
        <v>3267</v>
      </c>
      <c r="P1285" s="4" t="s">
        <v>2327</v>
      </c>
    </row>
    <row r="1286" customFormat="false" ht="15" hidden="false" customHeight="false" outlineLevel="0" collapsed="false">
      <c r="A1286" s="4" t="s">
        <v>3268</v>
      </c>
      <c r="B1286" s="5" t="n">
        <v>46041</v>
      </c>
      <c r="C1286" s="5" t="n">
        <v>46046</v>
      </c>
      <c r="D1286" s="4" t="s">
        <v>2849</v>
      </c>
      <c r="E1286" s="4" t="s">
        <v>627</v>
      </c>
      <c r="F1286" s="4" t="s">
        <v>2362</v>
      </c>
      <c r="G1286" s="4" t="s">
        <v>38</v>
      </c>
      <c r="H1286" s="4" t="n">
        <v>1</v>
      </c>
      <c r="I1286" s="4" t="n">
        <v>775</v>
      </c>
      <c r="J1286" s="4" t="s">
        <v>81</v>
      </c>
      <c r="K1286" s="4" t="s">
        <v>3269</v>
      </c>
      <c r="L1286" s="4" t="s">
        <v>524</v>
      </c>
      <c r="M1286" s="4" t="s">
        <v>377</v>
      </c>
      <c r="N1286" s="4" t="s">
        <v>94</v>
      </c>
      <c r="O1286" s="4" t="s">
        <v>3270</v>
      </c>
      <c r="P1286" s="4" t="s">
        <v>2327</v>
      </c>
    </row>
    <row r="1287" customFormat="false" ht="15" hidden="false" customHeight="false" outlineLevel="0" collapsed="false">
      <c r="A1287" s="4" t="s">
        <v>3271</v>
      </c>
      <c r="B1287" s="5" t="n">
        <v>46041</v>
      </c>
      <c r="C1287" s="5" t="n">
        <v>46046</v>
      </c>
      <c r="D1287" s="4" t="s">
        <v>2849</v>
      </c>
      <c r="E1287" s="4" t="s">
        <v>627</v>
      </c>
      <c r="F1287" s="4" t="s">
        <v>2384</v>
      </c>
      <c r="G1287" s="4" t="s">
        <v>38</v>
      </c>
      <c r="H1287" s="4" t="n">
        <v>2</v>
      </c>
      <c r="I1287" s="4" t="n">
        <v>1145</v>
      </c>
      <c r="J1287" s="4" t="s">
        <v>81</v>
      </c>
      <c r="K1287" s="4" t="s">
        <v>3272</v>
      </c>
      <c r="L1287" s="4" t="s">
        <v>706</v>
      </c>
      <c r="M1287" s="4" t="s">
        <v>412</v>
      </c>
      <c r="N1287" s="4" t="s">
        <v>44</v>
      </c>
      <c r="O1287" s="4" t="s">
        <v>3273</v>
      </c>
      <c r="P1287" s="4" t="s">
        <v>2327</v>
      </c>
    </row>
    <row r="1288" customFormat="false" ht="15" hidden="false" customHeight="false" outlineLevel="0" collapsed="false">
      <c r="A1288" s="4" t="s">
        <v>3240</v>
      </c>
      <c r="B1288" s="5" t="n">
        <v>46039</v>
      </c>
      <c r="C1288" s="5" t="n">
        <v>46046</v>
      </c>
      <c r="D1288" s="4" t="s">
        <v>2849</v>
      </c>
      <c r="E1288" s="4" t="s">
        <v>627</v>
      </c>
      <c r="F1288" s="4" t="s">
        <v>2323</v>
      </c>
      <c r="G1288" s="4" t="s">
        <v>59</v>
      </c>
      <c r="H1288" s="4" t="n">
        <v>2</v>
      </c>
      <c r="I1288" s="4" t="n">
        <v>347.5</v>
      </c>
      <c r="J1288" s="4" t="s">
        <v>68</v>
      </c>
      <c r="K1288" s="4" t="s">
        <v>3241</v>
      </c>
      <c r="L1288" s="4" t="s">
        <v>219</v>
      </c>
      <c r="M1288" s="4" t="s">
        <v>356</v>
      </c>
      <c r="N1288" s="4" t="s">
        <v>221</v>
      </c>
      <c r="O1288" s="4"/>
      <c r="P1288" s="4" t="s">
        <v>2327</v>
      </c>
    </row>
    <row r="1289" customFormat="false" ht="15" hidden="false" customHeight="false" outlineLevel="0" collapsed="false">
      <c r="A1289" s="4" t="s">
        <v>3274</v>
      </c>
      <c r="B1289" s="5" t="n">
        <v>46041</v>
      </c>
      <c r="C1289" s="5" t="n">
        <v>46046</v>
      </c>
      <c r="D1289" s="4" t="s">
        <v>2849</v>
      </c>
      <c r="E1289" s="4" t="s">
        <v>627</v>
      </c>
      <c r="F1289" s="4" t="s">
        <v>376</v>
      </c>
      <c r="G1289" s="4" t="s">
        <v>38</v>
      </c>
      <c r="H1289" s="4" t="n">
        <v>3</v>
      </c>
      <c r="I1289" s="4" t="n">
        <v>725</v>
      </c>
      <c r="J1289" s="4" t="s">
        <v>40</v>
      </c>
      <c r="K1289" s="4" t="s">
        <v>3275</v>
      </c>
      <c r="L1289" s="4" t="s">
        <v>455</v>
      </c>
      <c r="M1289" s="4" t="s">
        <v>456</v>
      </c>
      <c r="N1289" s="4" t="s">
        <v>44</v>
      </c>
      <c r="O1289" s="4" t="s">
        <v>3276</v>
      </c>
      <c r="P1289" s="4" t="s">
        <v>2327</v>
      </c>
    </row>
    <row r="1290" customFormat="false" ht="15" hidden="false" customHeight="false" outlineLevel="0" collapsed="false">
      <c r="A1290" s="4" t="s">
        <v>3277</v>
      </c>
      <c r="B1290" s="5" t="n">
        <v>46041</v>
      </c>
      <c r="C1290" s="5" t="n">
        <v>46046</v>
      </c>
      <c r="D1290" s="4" t="s">
        <v>2849</v>
      </c>
      <c r="E1290" s="4" t="s">
        <v>627</v>
      </c>
      <c r="F1290" s="4" t="s">
        <v>376</v>
      </c>
      <c r="G1290" s="4" t="s">
        <v>38</v>
      </c>
      <c r="H1290" s="4" t="n">
        <v>1</v>
      </c>
      <c r="I1290" s="4" t="n">
        <v>935</v>
      </c>
      <c r="J1290" s="4" t="s">
        <v>40</v>
      </c>
      <c r="K1290" s="4" t="s">
        <v>1171</v>
      </c>
      <c r="L1290" s="4" t="s">
        <v>376</v>
      </c>
      <c r="M1290" s="4" t="s">
        <v>377</v>
      </c>
      <c r="N1290" s="4" t="s">
        <v>44</v>
      </c>
      <c r="O1290" s="4" t="s">
        <v>1173</v>
      </c>
      <c r="P1290" s="4" t="s">
        <v>2327</v>
      </c>
    </row>
    <row r="1291" customFormat="false" ht="15" hidden="false" customHeight="false" outlineLevel="0" collapsed="false">
      <c r="A1291" s="4" t="s">
        <v>3278</v>
      </c>
      <c r="B1291" s="5" t="n">
        <v>46041</v>
      </c>
      <c r="C1291" s="5" t="n">
        <v>46046</v>
      </c>
      <c r="D1291" s="4" t="s">
        <v>2849</v>
      </c>
      <c r="E1291" s="4" t="s">
        <v>649</v>
      </c>
      <c r="F1291" s="4" t="s">
        <v>2332</v>
      </c>
      <c r="G1291" s="4" t="s">
        <v>59</v>
      </c>
      <c r="H1291" s="4" t="n">
        <v>3</v>
      </c>
      <c r="I1291" s="4" t="n">
        <v>462.5</v>
      </c>
      <c r="J1291" s="4" t="s">
        <v>68</v>
      </c>
      <c r="K1291" s="4" t="s">
        <v>3228</v>
      </c>
      <c r="L1291" s="4" t="s">
        <v>3279</v>
      </c>
      <c r="M1291" s="4" t="s">
        <v>464</v>
      </c>
      <c r="N1291" s="4" t="s">
        <v>185</v>
      </c>
      <c r="O1291" s="4" t="s">
        <v>3229</v>
      </c>
      <c r="P1291" s="4" t="s">
        <v>2327</v>
      </c>
    </row>
    <row r="1292" customFormat="false" ht="15" hidden="false" customHeight="false" outlineLevel="0" collapsed="false">
      <c r="A1292" s="4" t="s">
        <v>3280</v>
      </c>
      <c r="B1292" s="5" t="n">
        <v>46041</v>
      </c>
      <c r="C1292" s="5" t="n">
        <v>46046</v>
      </c>
      <c r="D1292" s="4" t="s">
        <v>2849</v>
      </c>
      <c r="E1292" s="4" t="s">
        <v>613</v>
      </c>
      <c r="F1292" s="4" t="s">
        <v>376</v>
      </c>
      <c r="G1292" s="4" t="s">
        <v>59</v>
      </c>
      <c r="H1292" s="4" t="n">
        <v>1</v>
      </c>
      <c r="I1292" s="4" t="n">
        <v>560</v>
      </c>
      <c r="J1292" s="4" t="s">
        <v>40</v>
      </c>
      <c r="K1292" s="4" t="s">
        <v>3281</v>
      </c>
      <c r="L1292" s="4" t="s">
        <v>2467</v>
      </c>
      <c r="M1292" s="4" t="s">
        <v>635</v>
      </c>
      <c r="N1292" s="4" t="s">
        <v>44</v>
      </c>
      <c r="O1292" s="4" t="s">
        <v>3282</v>
      </c>
      <c r="P1292" s="4" t="s">
        <v>2327</v>
      </c>
    </row>
    <row r="1293" customFormat="false" ht="15" hidden="false" customHeight="false" outlineLevel="0" collapsed="false">
      <c r="A1293" s="4" t="s">
        <v>3283</v>
      </c>
      <c r="B1293" s="5" t="n">
        <v>46041</v>
      </c>
      <c r="C1293" s="5" t="n">
        <v>46046</v>
      </c>
      <c r="D1293" s="4" t="s">
        <v>2849</v>
      </c>
      <c r="E1293" s="4" t="s">
        <v>761</v>
      </c>
      <c r="F1293" s="4" t="s">
        <v>2384</v>
      </c>
      <c r="G1293" s="4" t="s">
        <v>38</v>
      </c>
      <c r="H1293" s="4" t="n">
        <v>1</v>
      </c>
      <c r="I1293" s="4" t="n">
        <v>750</v>
      </c>
      <c r="J1293" s="4" t="s">
        <v>40</v>
      </c>
      <c r="K1293" s="4" t="s">
        <v>2166</v>
      </c>
      <c r="L1293" s="4" t="s">
        <v>994</v>
      </c>
      <c r="M1293" s="4" t="s">
        <v>334</v>
      </c>
      <c r="N1293" s="4" t="s">
        <v>44</v>
      </c>
      <c r="O1293" s="4" t="s">
        <v>2167</v>
      </c>
      <c r="P1293" s="4" t="s">
        <v>2327</v>
      </c>
    </row>
    <row r="1294" customFormat="false" ht="15" hidden="false" customHeight="false" outlineLevel="0" collapsed="false">
      <c r="A1294" s="4" t="s">
        <v>3284</v>
      </c>
      <c r="B1294" s="5" t="n">
        <v>46041</v>
      </c>
      <c r="C1294" s="5" t="n">
        <v>46046</v>
      </c>
      <c r="D1294" s="4" t="s">
        <v>2849</v>
      </c>
      <c r="E1294" s="4" t="s">
        <v>649</v>
      </c>
      <c r="F1294" s="4" t="s">
        <v>376</v>
      </c>
      <c r="G1294" s="4" t="s">
        <v>38</v>
      </c>
      <c r="H1294" s="4" t="n">
        <v>1</v>
      </c>
      <c r="I1294" s="4" t="n">
        <v>915</v>
      </c>
      <c r="J1294" s="4" t="s">
        <v>68</v>
      </c>
      <c r="K1294" s="4" t="s">
        <v>2543</v>
      </c>
      <c r="L1294" s="4" t="s">
        <v>376</v>
      </c>
      <c r="M1294" s="4" t="s">
        <v>377</v>
      </c>
      <c r="N1294" s="4" t="s">
        <v>44</v>
      </c>
      <c r="O1294" s="4" t="s">
        <v>2544</v>
      </c>
      <c r="P1294" s="4" t="s">
        <v>2327</v>
      </c>
    </row>
    <row r="1295" customFormat="false" ht="15" hidden="false" customHeight="false" outlineLevel="0" collapsed="false">
      <c r="A1295" s="4" t="s">
        <v>3285</v>
      </c>
      <c r="B1295" s="5" t="n">
        <v>46041</v>
      </c>
      <c r="C1295" s="5" t="n">
        <v>46046</v>
      </c>
      <c r="D1295" s="4" t="s">
        <v>2849</v>
      </c>
      <c r="E1295" s="4" t="s">
        <v>627</v>
      </c>
      <c r="F1295" s="4" t="s">
        <v>2384</v>
      </c>
      <c r="G1295" s="4" t="s">
        <v>59</v>
      </c>
      <c r="H1295" s="4" t="n">
        <v>3</v>
      </c>
      <c r="I1295" s="4" t="n">
        <v>412.5</v>
      </c>
      <c r="J1295" s="4" t="s">
        <v>40</v>
      </c>
      <c r="K1295" s="4" t="s">
        <v>2775</v>
      </c>
      <c r="L1295" s="4" t="s">
        <v>376</v>
      </c>
      <c r="M1295" s="4" t="s">
        <v>1412</v>
      </c>
      <c r="N1295" s="4" t="s">
        <v>44</v>
      </c>
      <c r="O1295" s="4" t="s">
        <v>2776</v>
      </c>
      <c r="P1295" s="4" t="s">
        <v>2327</v>
      </c>
    </row>
    <row r="1296" customFormat="false" ht="15" hidden="false" customHeight="false" outlineLevel="0" collapsed="false">
      <c r="A1296" s="4" t="s">
        <v>3286</v>
      </c>
      <c r="B1296" s="5" t="n">
        <v>46041</v>
      </c>
      <c r="C1296" s="5" t="n">
        <v>46046</v>
      </c>
      <c r="D1296" s="4" t="s">
        <v>2849</v>
      </c>
      <c r="E1296" s="4" t="s">
        <v>613</v>
      </c>
      <c r="F1296" s="4" t="s">
        <v>376</v>
      </c>
      <c r="G1296" s="4" t="s">
        <v>59</v>
      </c>
      <c r="H1296" s="4" t="n">
        <v>1</v>
      </c>
      <c r="I1296" s="4" t="n">
        <v>487.5</v>
      </c>
      <c r="J1296" s="4" t="s">
        <v>81</v>
      </c>
      <c r="K1296" s="4" t="s">
        <v>2792</v>
      </c>
      <c r="L1296" s="4" t="s">
        <v>376</v>
      </c>
      <c r="M1296" s="4" t="s">
        <v>377</v>
      </c>
      <c r="N1296" s="4" t="s">
        <v>94</v>
      </c>
      <c r="O1296" s="4" t="s">
        <v>2793</v>
      </c>
      <c r="P1296" s="4" t="s">
        <v>2327</v>
      </c>
    </row>
    <row r="1297" customFormat="false" ht="15" hidden="false" customHeight="false" outlineLevel="0" collapsed="false">
      <c r="A1297" s="4" t="s">
        <v>3287</v>
      </c>
      <c r="B1297" s="5" t="n">
        <v>46041</v>
      </c>
      <c r="C1297" s="5" t="n">
        <v>46151</v>
      </c>
      <c r="D1297" s="4" t="s">
        <v>3189</v>
      </c>
      <c r="E1297" s="4" t="s">
        <v>323</v>
      </c>
      <c r="F1297" s="4" t="s">
        <v>376</v>
      </c>
      <c r="G1297" s="4" t="s">
        <v>38</v>
      </c>
      <c r="H1297" s="4" t="n">
        <v>1</v>
      </c>
      <c r="I1297" s="4" t="n">
        <v>330</v>
      </c>
      <c r="J1297" s="4" t="s">
        <v>149</v>
      </c>
      <c r="K1297" s="4" t="s">
        <v>375</v>
      </c>
      <c r="L1297" s="4" t="s">
        <v>376</v>
      </c>
      <c r="M1297" s="4" t="s">
        <v>377</v>
      </c>
      <c r="N1297" s="4" t="s">
        <v>44</v>
      </c>
      <c r="O1297" s="4" t="s">
        <v>378</v>
      </c>
      <c r="P1297" s="4" t="s">
        <v>2327</v>
      </c>
    </row>
    <row r="1298" customFormat="false" ht="15" hidden="false" customHeight="false" outlineLevel="0" collapsed="false">
      <c r="A1298" s="4" t="s">
        <v>3288</v>
      </c>
      <c r="B1298" s="5" t="n">
        <v>46042</v>
      </c>
      <c r="C1298" s="5" t="n">
        <v>46046</v>
      </c>
      <c r="D1298" s="4" t="s">
        <v>2849</v>
      </c>
      <c r="E1298" s="4" t="s">
        <v>627</v>
      </c>
      <c r="F1298" s="4" t="s">
        <v>2323</v>
      </c>
      <c r="G1298" s="4" t="s">
        <v>38</v>
      </c>
      <c r="H1298" s="4" t="n">
        <v>1</v>
      </c>
      <c r="I1298" s="4" t="n">
        <v>1080</v>
      </c>
      <c r="J1298" s="4" t="s">
        <v>40</v>
      </c>
      <c r="K1298" s="4" t="s">
        <v>2547</v>
      </c>
      <c r="L1298" s="4" t="s">
        <v>376</v>
      </c>
      <c r="M1298" s="4" t="s">
        <v>377</v>
      </c>
      <c r="N1298" s="4" t="s">
        <v>44</v>
      </c>
      <c r="O1298" s="4" t="s">
        <v>2548</v>
      </c>
      <c r="P1298" s="4" t="s">
        <v>2327</v>
      </c>
    </row>
    <row r="1299" customFormat="false" ht="15" hidden="false" customHeight="false" outlineLevel="0" collapsed="false">
      <c r="A1299" s="4" t="s">
        <v>3289</v>
      </c>
      <c r="B1299" s="5" t="n">
        <v>46042</v>
      </c>
      <c r="C1299" s="5" t="n">
        <v>46046</v>
      </c>
      <c r="D1299" s="4" t="s">
        <v>2849</v>
      </c>
      <c r="E1299" s="4" t="s">
        <v>618</v>
      </c>
      <c r="F1299" s="4" t="s">
        <v>2384</v>
      </c>
      <c r="G1299" s="4" t="s">
        <v>38</v>
      </c>
      <c r="H1299" s="4" t="n">
        <v>2</v>
      </c>
      <c r="I1299" s="4" t="n">
        <v>880</v>
      </c>
      <c r="J1299" s="4" t="s">
        <v>68</v>
      </c>
      <c r="K1299" s="4" t="s">
        <v>3290</v>
      </c>
      <c r="L1299" s="4" t="s">
        <v>843</v>
      </c>
      <c r="M1299" s="4" t="s">
        <v>377</v>
      </c>
      <c r="N1299" s="4" t="s">
        <v>44</v>
      </c>
      <c r="O1299" s="4" t="s">
        <v>3291</v>
      </c>
      <c r="P1299" s="4" t="s">
        <v>2327</v>
      </c>
    </row>
    <row r="1300" customFormat="false" ht="15" hidden="false" customHeight="false" outlineLevel="0" collapsed="false">
      <c r="A1300" s="4" t="s">
        <v>3292</v>
      </c>
      <c r="B1300" s="5" t="n">
        <v>46042</v>
      </c>
      <c r="C1300" s="5" t="n">
        <v>46046</v>
      </c>
      <c r="D1300" s="4" t="s">
        <v>2849</v>
      </c>
      <c r="E1300" s="4" t="s">
        <v>649</v>
      </c>
      <c r="F1300" s="4" t="s">
        <v>376</v>
      </c>
      <c r="G1300" s="4" t="s">
        <v>59</v>
      </c>
      <c r="H1300" s="4" t="n">
        <v>1</v>
      </c>
      <c r="I1300" s="4" t="n">
        <v>547.5</v>
      </c>
      <c r="J1300" s="4" t="s">
        <v>68</v>
      </c>
      <c r="K1300" s="4" t="s">
        <v>3293</v>
      </c>
      <c r="L1300" s="4" t="s">
        <v>480</v>
      </c>
      <c r="M1300" s="4" t="s">
        <v>43</v>
      </c>
      <c r="N1300" s="4" t="s">
        <v>44</v>
      </c>
      <c r="O1300" s="4" t="s">
        <v>3294</v>
      </c>
      <c r="P1300" s="4" t="s">
        <v>2327</v>
      </c>
    </row>
    <row r="1301" customFormat="false" ht="15" hidden="false" customHeight="false" outlineLevel="0" collapsed="false">
      <c r="A1301" s="4" t="s">
        <v>3295</v>
      </c>
      <c r="B1301" s="5" t="n">
        <v>46042</v>
      </c>
      <c r="C1301" s="5" t="n">
        <v>46046</v>
      </c>
      <c r="D1301" s="4" t="s">
        <v>2849</v>
      </c>
      <c r="E1301" s="4" t="s">
        <v>627</v>
      </c>
      <c r="F1301" s="4" t="s">
        <v>376</v>
      </c>
      <c r="G1301" s="4" t="s">
        <v>326</v>
      </c>
      <c r="H1301" s="4" t="n">
        <v>3</v>
      </c>
      <c r="I1301" s="4" t="n">
        <v>1670</v>
      </c>
      <c r="J1301" s="4" t="s">
        <v>68</v>
      </c>
      <c r="K1301" s="4" t="s">
        <v>3081</v>
      </c>
      <c r="L1301" s="4" t="s">
        <v>524</v>
      </c>
      <c r="M1301" s="4" t="s">
        <v>377</v>
      </c>
      <c r="N1301" s="4" t="s">
        <v>94</v>
      </c>
      <c r="O1301" s="4" t="s">
        <v>3082</v>
      </c>
      <c r="P1301" s="4" t="s">
        <v>2327</v>
      </c>
    </row>
    <row r="1302" customFormat="false" ht="15" hidden="false" customHeight="false" outlineLevel="0" collapsed="false">
      <c r="A1302" s="4" t="s">
        <v>3296</v>
      </c>
      <c r="B1302" s="5" t="n">
        <v>46042</v>
      </c>
      <c r="C1302" s="5" t="n">
        <v>46046</v>
      </c>
      <c r="D1302" s="4" t="s">
        <v>2849</v>
      </c>
      <c r="E1302" s="4" t="s">
        <v>613</v>
      </c>
      <c r="F1302" s="4" t="s">
        <v>2332</v>
      </c>
      <c r="G1302" s="4" t="s">
        <v>38</v>
      </c>
      <c r="H1302" s="4" t="n">
        <v>2</v>
      </c>
      <c r="I1302" s="4" t="n">
        <v>805</v>
      </c>
      <c r="J1302" s="4" t="s">
        <v>68</v>
      </c>
      <c r="K1302" s="4" t="s">
        <v>1896</v>
      </c>
      <c r="L1302" s="4" t="s">
        <v>862</v>
      </c>
      <c r="M1302" s="4" t="s">
        <v>356</v>
      </c>
      <c r="N1302" s="4" t="s">
        <v>1535</v>
      </c>
      <c r="O1302" s="4"/>
      <c r="P1302" s="4" t="s">
        <v>2327</v>
      </c>
    </row>
    <row r="1303" customFormat="false" ht="15" hidden="false" customHeight="false" outlineLevel="0" collapsed="false">
      <c r="A1303" s="4" t="s">
        <v>3297</v>
      </c>
      <c r="B1303" s="5" t="n">
        <v>46042</v>
      </c>
      <c r="C1303" s="5" t="n">
        <v>46046</v>
      </c>
      <c r="D1303" s="4" t="s">
        <v>2849</v>
      </c>
      <c r="E1303" s="4" t="s">
        <v>613</v>
      </c>
      <c r="F1303" s="4" t="s">
        <v>376</v>
      </c>
      <c r="G1303" s="4" t="s">
        <v>38</v>
      </c>
      <c r="H1303" s="4" t="n">
        <v>1</v>
      </c>
      <c r="I1303" s="4" t="n">
        <v>820</v>
      </c>
      <c r="J1303" s="4" t="s">
        <v>40</v>
      </c>
      <c r="K1303" s="4" t="s">
        <v>3298</v>
      </c>
      <c r="L1303" s="4" t="s">
        <v>1211</v>
      </c>
      <c r="M1303" s="4" t="s">
        <v>635</v>
      </c>
      <c r="N1303" s="4" t="s">
        <v>44</v>
      </c>
      <c r="O1303" s="4" t="s">
        <v>3299</v>
      </c>
      <c r="P1303" s="4" t="s">
        <v>2327</v>
      </c>
    </row>
    <row r="1304" customFormat="false" ht="15" hidden="false" customHeight="false" outlineLevel="0" collapsed="false">
      <c r="A1304" s="4" t="s">
        <v>3300</v>
      </c>
      <c r="B1304" s="5" t="n">
        <v>46042</v>
      </c>
      <c r="C1304" s="5" t="n">
        <v>46046</v>
      </c>
      <c r="D1304" s="4" t="s">
        <v>2849</v>
      </c>
      <c r="E1304" s="4" t="s">
        <v>613</v>
      </c>
      <c r="F1304" s="4" t="s">
        <v>2384</v>
      </c>
      <c r="G1304" s="4" t="s">
        <v>38</v>
      </c>
      <c r="H1304" s="4" t="n">
        <v>3</v>
      </c>
      <c r="I1304" s="4" t="n">
        <v>910</v>
      </c>
      <c r="J1304" s="4" t="s">
        <v>40</v>
      </c>
      <c r="K1304" s="4" t="s">
        <v>3301</v>
      </c>
      <c r="L1304" s="4" t="s">
        <v>524</v>
      </c>
      <c r="M1304" s="4" t="s">
        <v>1412</v>
      </c>
      <c r="N1304" s="4" t="s">
        <v>44</v>
      </c>
      <c r="O1304" s="4" t="s">
        <v>3302</v>
      </c>
      <c r="P1304" s="4" t="s">
        <v>2327</v>
      </c>
    </row>
    <row r="1305" customFormat="false" ht="15" hidden="false" customHeight="false" outlineLevel="0" collapsed="false">
      <c r="A1305" s="4" t="s">
        <v>3303</v>
      </c>
      <c r="B1305" s="5" t="n">
        <v>46042</v>
      </c>
      <c r="C1305" s="5" t="n">
        <v>46046</v>
      </c>
      <c r="D1305" s="4" t="s">
        <v>2849</v>
      </c>
      <c r="E1305" s="4" t="s">
        <v>627</v>
      </c>
      <c r="F1305" s="4" t="s">
        <v>376</v>
      </c>
      <c r="G1305" s="4" t="s">
        <v>38</v>
      </c>
      <c r="H1305" s="4" t="n">
        <v>3</v>
      </c>
      <c r="I1305" s="4" t="n">
        <v>935</v>
      </c>
      <c r="J1305" s="4" t="s">
        <v>40</v>
      </c>
      <c r="K1305" s="4" t="s">
        <v>3304</v>
      </c>
      <c r="L1305" s="4" t="s">
        <v>524</v>
      </c>
      <c r="M1305" s="4" t="s">
        <v>377</v>
      </c>
      <c r="N1305" s="4" t="s">
        <v>94</v>
      </c>
      <c r="O1305" s="4" t="s">
        <v>3305</v>
      </c>
      <c r="P1305" s="4" t="s">
        <v>2327</v>
      </c>
    </row>
    <row r="1306" customFormat="false" ht="15" hidden="false" customHeight="false" outlineLevel="0" collapsed="false">
      <c r="A1306" s="4" t="s">
        <v>3306</v>
      </c>
      <c r="B1306" s="5" t="n">
        <v>46042</v>
      </c>
      <c r="C1306" s="5" t="n">
        <v>46046</v>
      </c>
      <c r="D1306" s="4" t="s">
        <v>2849</v>
      </c>
      <c r="E1306" s="4" t="s">
        <v>613</v>
      </c>
      <c r="F1306" s="4" t="s">
        <v>2332</v>
      </c>
      <c r="G1306" s="4" t="s">
        <v>59</v>
      </c>
      <c r="H1306" s="4" t="n">
        <v>1</v>
      </c>
      <c r="I1306" s="4" t="n">
        <v>555</v>
      </c>
      <c r="J1306" s="4" t="s">
        <v>68</v>
      </c>
      <c r="K1306" s="4" t="s">
        <v>2919</v>
      </c>
      <c r="L1306" s="4" t="s">
        <v>2262</v>
      </c>
      <c r="M1306" s="4" t="s">
        <v>356</v>
      </c>
      <c r="N1306" s="4" t="s">
        <v>863</v>
      </c>
      <c r="O1306" s="4"/>
      <c r="P1306" s="4" t="s">
        <v>2327</v>
      </c>
    </row>
    <row r="1307" customFormat="false" ht="15" hidden="false" customHeight="false" outlineLevel="0" collapsed="false">
      <c r="A1307" s="4" t="s">
        <v>3307</v>
      </c>
      <c r="B1307" s="5" t="n">
        <v>46042</v>
      </c>
      <c r="C1307" s="5" t="n">
        <v>46046</v>
      </c>
      <c r="D1307" s="4" t="s">
        <v>2849</v>
      </c>
      <c r="E1307" s="4" t="s">
        <v>618</v>
      </c>
      <c r="F1307" s="4" t="s">
        <v>376</v>
      </c>
      <c r="G1307" s="4" t="s">
        <v>38</v>
      </c>
      <c r="H1307" s="4" t="n">
        <v>1</v>
      </c>
      <c r="I1307" s="4" t="n">
        <v>985</v>
      </c>
      <c r="J1307" s="4" t="s">
        <v>68</v>
      </c>
      <c r="K1307" s="4" t="s">
        <v>2346</v>
      </c>
      <c r="L1307" s="4" t="s">
        <v>376</v>
      </c>
      <c r="M1307" s="4" t="s">
        <v>377</v>
      </c>
      <c r="N1307" s="4" t="s">
        <v>94</v>
      </c>
      <c r="O1307" s="4" t="s">
        <v>2347</v>
      </c>
      <c r="P1307" s="4" t="s">
        <v>2327</v>
      </c>
    </row>
    <row r="1308" customFormat="false" ht="15" hidden="false" customHeight="false" outlineLevel="0" collapsed="false">
      <c r="A1308" s="4" t="s">
        <v>3308</v>
      </c>
      <c r="B1308" s="5" t="n">
        <v>46042</v>
      </c>
      <c r="C1308" s="5" t="n">
        <v>46151</v>
      </c>
      <c r="D1308" s="4" t="s">
        <v>3189</v>
      </c>
      <c r="E1308" s="4" t="s">
        <v>306</v>
      </c>
      <c r="F1308" s="4" t="s">
        <v>376</v>
      </c>
      <c r="G1308" s="4" t="s">
        <v>38</v>
      </c>
      <c r="H1308" s="4" t="n">
        <v>1</v>
      </c>
      <c r="I1308" s="4" t="n">
        <v>305</v>
      </c>
      <c r="J1308" s="4" t="s">
        <v>40</v>
      </c>
      <c r="K1308" s="4" t="s">
        <v>2826</v>
      </c>
      <c r="L1308" s="4" t="s">
        <v>1172</v>
      </c>
      <c r="M1308" s="4" t="s">
        <v>377</v>
      </c>
      <c r="N1308" s="4" t="s">
        <v>44</v>
      </c>
      <c r="O1308" s="4" t="s">
        <v>2827</v>
      </c>
      <c r="P1308" s="4" t="s">
        <v>2327</v>
      </c>
    </row>
    <row r="1309" customFormat="false" ht="15" hidden="false" customHeight="false" outlineLevel="0" collapsed="false">
      <c r="A1309" s="4" t="s">
        <v>3309</v>
      </c>
      <c r="B1309" s="5" t="n">
        <v>46042</v>
      </c>
      <c r="C1309" s="5" t="n">
        <v>46151</v>
      </c>
      <c r="D1309" s="4" t="s">
        <v>3189</v>
      </c>
      <c r="E1309" s="4" t="s">
        <v>311</v>
      </c>
      <c r="F1309" s="4" t="s">
        <v>376</v>
      </c>
      <c r="G1309" s="4" t="s">
        <v>38</v>
      </c>
      <c r="H1309" s="4" t="n">
        <v>1</v>
      </c>
      <c r="I1309" s="4" t="n">
        <v>555</v>
      </c>
      <c r="J1309" s="4" t="s">
        <v>68</v>
      </c>
      <c r="K1309" s="4" t="s">
        <v>2471</v>
      </c>
      <c r="L1309" s="4" t="s">
        <v>376</v>
      </c>
      <c r="M1309" s="4" t="s">
        <v>1412</v>
      </c>
      <c r="N1309" s="4" t="s">
        <v>44</v>
      </c>
      <c r="O1309" s="4" t="s">
        <v>2472</v>
      </c>
      <c r="P1309" s="4" t="s">
        <v>2327</v>
      </c>
    </row>
    <row r="1310" customFormat="false" ht="15" hidden="false" customHeight="false" outlineLevel="0" collapsed="false">
      <c r="A1310" s="4" t="s">
        <v>3310</v>
      </c>
      <c r="B1310" s="5" t="n">
        <v>46042</v>
      </c>
      <c r="C1310" s="5" t="n">
        <v>46151</v>
      </c>
      <c r="D1310" s="4" t="s">
        <v>3189</v>
      </c>
      <c r="E1310" s="4" t="s">
        <v>306</v>
      </c>
      <c r="F1310" s="4" t="s">
        <v>376</v>
      </c>
      <c r="G1310" s="4" t="s">
        <v>38</v>
      </c>
      <c r="H1310" s="4" t="n">
        <v>3</v>
      </c>
      <c r="I1310" s="4"/>
      <c r="J1310" s="4" t="s">
        <v>81</v>
      </c>
      <c r="K1310" s="4" t="s">
        <v>574</v>
      </c>
      <c r="L1310" s="4" t="s">
        <v>168</v>
      </c>
      <c r="M1310" s="4" t="s">
        <v>43</v>
      </c>
      <c r="N1310" s="4" t="s">
        <v>185</v>
      </c>
      <c r="O1310" s="4" t="s">
        <v>575</v>
      </c>
      <c r="P1310" s="4" t="s">
        <v>2327</v>
      </c>
    </row>
    <row r="1311" customFormat="false" ht="15" hidden="false" customHeight="false" outlineLevel="0" collapsed="false">
      <c r="A1311" s="4" t="s">
        <v>3311</v>
      </c>
      <c r="B1311" s="5" t="n">
        <v>46042</v>
      </c>
      <c r="C1311" s="5" t="n">
        <v>46151</v>
      </c>
      <c r="D1311" s="4" t="s">
        <v>3189</v>
      </c>
      <c r="E1311" s="4" t="s">
        <v>323</v>
      </c>
      <c r="F1311" s="4" t="s">
        <v>2323</v>
      </c>
      <c r="G1311" s="4" t="s">
        <v>59</v>
      </c>
      <c r="H1311" s="4" t="n">
        <v>4</v>
      </c>
      <c r="I1311" s="4" t="n">
        <v>182.5</v>
      </c>
      <c r="J1311" s="4" t="s">
        <v>68</v>
      </c>
      <c r="K1311" s="4" t="s">
        <v>3312</v>
      </c>
      <c r="L1311" s="4" t="s">
        <v>2384</v>
      </c>
      <c r="M1311" s="4" t="s">
        <v>377</v>
      </c>
      <c r="N1311" s="4" t="s">
        <v>44</v>
      </c>
      <c r="O1311" s="4" t="s">
        <v>3313</v>
      </c>
      <c r="P1311" s="4" t="s">
        <v>2327</v>
      </c>
    </row>
    <row r="1312" customFormat="false" ht="15" hidden="false" customHeight="false" outlineLevel="0" collapsed="false">
      <c r="A1312" s="4" t="s">
        <v>3314</v>
      </c>
      <c r="B1312" s="5" t="n">
        <v>46042</v>
      </c>
      <c r="C1312" s="5" t="n">
        <v>46151</v>
      </c>
      <c r="D1312" s="4" t="s">
        <v>3189</v>
      </c>
      <c r="E1312" s="4" t="s">
        <v>306</v>
      </c>
      <c r="F1312" s="4" t="s">
        <v>376</v>
      </c>
      <c r="G1312" s="4" t="s">
        <v>38</v>
      </c>
      <c r="H1312" s="4" t="n">
        <v>4</v>
      </c>
      <c r="I1312" s="4" t="n">
        <v>635</v>
      </c>
      <c r="J1312" s="4" t="s">
        <v>40</v>
      </c>
      <c r="K1312" s="4" t="s">
        <v>332</v>
      </c>
      <c r="L1312" s="4" t="s">
        <v>994</v>
      </c>
      <c r="M1312" s="4" t="s">
        <v>334</v>
      </c>
      <c r="N1312" s="4" t="s">
        <v>44</v>
      </c>
      <c r="O1312" s="4" t="s">
        <v>335</v>
      </c>
      <c r="P1312" s="4" t="s">
        <v>2327</v>
      </c>
    </row>
    <row r="1313" customFormat="false" ht="15" hidden="false" customHeight="false" outlineLevel="0" collapsed="false">
      <c r="A1313" s="4" t="s">
        <v>3315</v>
      </c>
      <c r="B1313" s="5" t="n">
        <v>46043</v>
      </c>
      <c r="C1313" s="5" t="n">
        <v>46046</v>
      </c>
      <c r="D1313" s="4" t="s">
        <v>2849</v>
      </c>
      <c r="E1313" s="4" t="s">
        <v>627</v>
      </c>
      <c r="F1313" s="4" t="s">
        <v>376</v>
      </c>
      <c r="G1313" s="4" t="s">
        <v>59</v>
      </c>
      <c r="H1313" s="4" t="n">
        <v>1</v>
      </c>
      <c r="I1313" s="4" t="n">
        <v>537.5</v>
      </c>
      <c r="J1313" s="4" t="s">
        <v>40</v>
      </c>
      <c r="K1313" s="4" t="s">
        <v>2798</v>
      </c>
      <c r="L1313" s="4" t="s">
        <v>376</v>
      </c>
      <c r="M1313" s="4" t="s">
        <v>377</v>
      </c>
      <c r="N1313" s="4" t="s">
        <v>52</v>
      </c>
      <c r="O1313" s="4" t="s">
        <v>2799</v>
      </c>
      <c r="P1313" s="4" t="s">
        <v>2327</v>
      </c>
    </row>
    <row r="1314" customFormat="false" ht="15" hidden="false" customHeight="false" outlineLevel="0" collapsed="false">
      <c r="A1314" s="4" t="s">
        <v>3316</v>
      </c>
      <c r="B1314" s="5" t="n">
        <v>46043</v>
      </c>
      <c r="C1314" s="5" t="n">
        <v>46046</v>
      </c>
      <c r="D1314" s="4" t="s">
        <v>2849</v>
      </c>
      <c r="E1314" s="4" t="s">
        <v>627</v>
      </c>
      <c r="F1314" s="4" t="s">
        <v>376</v>
      </c>
      <c r="G1314" s="4" t="s">
        <v>38</v>
      </c>
      <c r="H1314" s="4" t="n">
        <v>3</v>
      </c>
      <c r="I1314" s="4" t="n">
        <v>650</v>
      </c>
      <c r="J1314" s="4" t="s">
        <v>40</v>
      </c>
      <c r="K1314" s="4" t="s">
        <v>1887</v>
      </c>
      <c r="L1314" s="4" t="s">
        <v>355</v>
      </c>
      <c r="M1314" s="4" t="s">
        <v>356</v>
      </c>
      <c r="N1314" s="4" t="s">
        <v>357</v>
      </c>
      <c r="O1314" s="4"/>
      <c r="P1314" s="4" t="s">
        <v>2327</v>
      </c>
    </row>
    <row r="1315" customFormat="false" ht="15" hidden="false" customHeight="false" outlineLevel="0" collapsed="false">
      <c r="A1315" s="4" t="s">
        <v>3317</v>
      </c>
      <c r="B1315" s="5" t="n">
        <v>46043</v>
      </c>
      <c r="C1315" s="5" t="n">
        <v>46046</v>
      </c>
      <c r="D1315" s="4" t="s">
        <v>2849</v>
      </c>
      <c r="E1315" s="4" t="s">
        <v>627</v>
      </c>
      <c r="F1315" s="4" t="s">
        <v>2384</v>
      </c>
      <c r="G1315" s="4" t="s">
        <v>59</v>
      </c>
      <c r="H1315" s="4" t="n">
        <v>2</v>
      </c>
      <c r="I1315" s="4" t="n">
        <v>550</v>
      </c>
      <c r="J1315" s="4" t="s">
        <v>81</v>
      </c>
      <c r="K1315" s="4" t="s">
        <v>2781</v>
      </c>
      <c r="L1315" s="4" t="s">
        <v>376</v>
      </c>
      <c r="M1315" s="4" t="s">
        <v>377</v>
      </c>
      <c r="N1315" s="4" t="s">
        <v>44</v>
      </c>
      <c r="O1315" s="4" t="s">
        <v>2782</v>
      </c>
      <c r="P1315" s="4" t="s">
        <v>2327</v>
      </c>
    </row>
    <row r="1316" customFormat="false" ht="15" hidden="false" customHeight="false" outlineLevel="0" collapsed="false">
      <c r="A1316" s="4" t="s">
        <v>3318</v>
      </c>
      <c r="B1316" s="5" t="n">
        <v>46043</v>
      </c>
      <c r="C1316" s="5" t="n">
        <v>46046</v>
      </c>
      <c r="D1316" s="4" t="s">
        <v>2849</v>
      </c>
      <c r="E1316" s="4" t="s">
        <v>613</v>
      </c>
      <c r="F1316" s="4" t="s">
        <v>376</v>
      </c>
      <c r="G1316" s="4" t="s">
        <v>59</v>
      </c>
      <c r="H1316" s="4" t="n">
        <v>2</v>
      </c>
      <c r="I1316" s="4" t="n">
        <v>470</v>
      </c>
      <c r="J1316" s="4" t="s">
        <v>40</v>
      </c>
      <c r="K1316" s="4" t="s">
        <v>2587</v>
      </c>
      <c r="L1316" s="4" t="s">
        <v>376</v>
      </c>
      <c r="M1316" s="4" t="s">
        <v>377</v>
      </c>
      <c r="N1316" s="4" t="s">
        <v>44</v>
      </c>
      <c r="O1316" s="4" t="s">
        <v>2588</v>
      </c>
      <c r="P1316" s="4" t="s">
        <v>2327</v>
      </c>
    </row>
    <row r="1317" customFormat="false" ht="15" hidden="false" customHeight="false" outlineLevel="0" collapsed="false">
      <c r="A1317" s="4" t="s">
        <v>3319</v>
      </c>
      <c r="B1317" s="5" t="n">
        <v>46043</v>
      </c>
      <c r="C1317" s="5" t="n">
        <v>46046</v>
      </c>
      <c r="D1317" s="4" t="s">
        <v>2849</v>
      </c>
      <c r="E1317" s="4" t="s">
        <v>627</v>
      </c>
      <c r="F1317" s="4" t="s">
        <v>2332</v>
      </c>
      <c r="G1317" s="4" t="s">
        <v>38</v>
      </c>
      <c r="H1317" s="4" t="n">
        <v>1</v>
      </c>
      <c r="I1317" s="4" t="n">
        <v>990</v>
      </c>
      <c r="J1317" s="4" t="s">
        <v>68</v>
      </c>
      <c r="K1317" s="4" t="s">
        <v>3119</v>
      </c>
      <c r="L1317" s="4" t="s">
        <v>376</v>
      </c>
      <c r="M1317" s="4" t="s">
        <v>377</v>
      </c>
      <c r="N1317" s="4" t="s">
        <v>44</v>
      </c>
      <c r="O1317" s="4" t="s">
        <v>3120</v>
      </c>
      <c r="P1317" s="4" t="s">
        <v>2327</v>
      </c>
    </row>
    <row r="1318" customFormat="false" ht="15" hidden="false" customHeight="false" outlineLevel="0" collapsed="false">
      <c r="A1318" s="4" t="s">
        <v>3320</v>
      </c>
      <c r="B1318" s="5" t="n">
        <v>46043</v>
      </c>
      <c r="C1318" s="5" t="n">
        <v>46046</v>
      </c>
      <c r="D1318" s="4" t="s">
        <v>2849</v>
      </c>
      <c r="E1318" s="4" t="s">
        <v>627</v>
      </c>
      <c r="F1318" s="4" t="s">
        <v>376</v>
      </c>
      <c r="G1318" s="4" t="s">
        <v>59</v>
      </c>
      <c r="H1318" s="4" t="n">
        <v>1</v>
      </c>
      <c r="I1318" s="4" t="n">
        <v>407.5</v>
      </c>
      <c r="J1318" s="4" t="s">
        <v>68</v>
      </c>
      <c r="K1318" s="4" t="s">
        <v>3114</v>
      </c>
      <c r="L1318" s="4" t="s">
        <v>376</v>
      </c>
      <c r="M1318" s="4" t="s">
        <v>377</v>
      </c>
      <c r="N1318" s="4" t="s">
        <v>44</v>
      </c>
      <c r="O1318" s="4" t="s">
        <v>3115</v>
      </c>
      <c r="P1318" s="4" t="s">
        <v>2327</v>
      </c>
    </row>
    <row r="1319" customFormat="false" ht="15" hidden="false" customHeight="false" outlineLevel="0" collapsed="false">
      <c r="A1319" s="4" t="s">
        <v>3321</v>
      </c>
      <c r="B1319" s="5" t="n">
        <v>46043</v>
      </c>
      <c r="C1319" s="5" t="n">
        <v>46046</v>
      </c>
      <c r="D1319" s="4" t="s">
        <v>2849</v>
      </c>
      <c r="E1319" s="4" t="s">
        <v>627</v>
      </c>
      <c r="F1319" s="4" t="s">
        <v>2332</v>
      </c>
      <c r="G1319" s="4" t="s">
        <v>38</v>
      </c>
      <c r="H1319" s="4" t="n">
        <v>1</v>
      </c>
      <c r="I1319" s="4" t="n">
        <v>1015</v>
      </c>
      <c r="J1319" s="4" t="s">
        <v>68</v>
      </c>
      <c r="K1319" s="4" t="s">
        <v>2366</v>
      </c>
      <c r="L1319" s="4" t="s">
        <v>1172</v>
      </c>
      <c r="M1319" s="4" t="s">
        <v>377</v>
      </c>
      <c r="N1319" s="4" t="s">
        <v>44</v>
      </c>
      <c r="O1319" s="4" t="s">
        <v>2367</v>
      </c>
      <c r="P1319" s="4" t="s">
        <v>2327</v>
      </c>
    </row>
    <row r="1320" customFormat="false" ht="15" hidden="false" customHeight="false" outlineLevel="0" collapsed="false">
      <c r="A1320" s="4" t="s">
        <v>3322</v>
      </c>
      <c r="B1320" s="5" t="n">
        <v>46043</v>
      </c>
      <c r="C1320" s="5" t="n">
        <v>46046</v>
      </c>
      <c r="D1320" s="4" t="s">
        <v>2849</v>
      </c>
      <c r="E1320" s="4" t="s">
        <v>627</v>
      </c>
      <c r="F1320" s="4" t="s">
        <v>376</v>
      </c>
      <c r="G1320" s="4" t="s">
        <v>38</v>
      </c>
      <c r="H1320" s="4" t="n">
        <v>1</v>
      </c>
      <c r="I1320" s="4" t="n">
        <v>1110</v>
      </c>
      <c r="J1320" s="4" t="s">
        <v>68</v>
      </c>
      <c r="K1320" s="4" t="s">
        <v>3323</v>
      </c>
      <c r="L1320" s="4" t="s">
        <v>3217</v>
      </c>
      <c r="M1320" s="4" t="s">
        <v>377</v>
      </c>
      <c r="N1320" s="4" t="s">
        <v>44</v>
      </c>
      <c r="O1320" s="4" t="s">
        <v>3324</v>
      </c>
      <c r="P1320" s="4" t="s">
        <v>2327</v>
      </c>
    </row>
    <row r="1321" customFormat="false" ht="15" hidden="false" customHeight="false" outlineLevel="0" collapsed="false">
      <c r="A1321" s="4" t="s">
        <v>3325</v>
      </c>
      <c r="B1321" s="5" t="n">
        <v>46043</v>
      </c>
      <c r="C1321" s="5" t="n">
        <v>46151</v>
      </c>
      <c r="D1321" s="4" t="s">
        <v>3189</v>
      </c>
      <c r="E1321" s="4" t="s">
        <v>306</v>
      </c>
      <c r="F1321" s="4" t="s">
        <v>376</v>
      </c>
      <c r="G1321" s="4" t="s">
        <v>38</v>
      </c>
      <c r="H1321" s="4" t="n">
        <v>2</v>
      </c>
      <c r="I1321" s="4" t="n">
        <v>460</v>
      </c>
      <c r="J1321" s="4" t="s">
        <v>40</v>
      </c>
      <c r="K1321" s="4" t="s">
        <v>3326</v>
      </c>
      <c r="L1321" s="4" t="s">
        <v>736</v>
      </c>
      <c r="M1321" s="4" t="s">
        <v>737</v>
      </c>
      <c r="N1321" s="4" t="s">
        <v>44</v>
      </c>
      <c r="O1321" s="4" t="s">
        <v>3327</v>
      </c>
      <c r="P1321" s="4" t="s">
        <v>2327</v>
      </c>
    </row>
    <row r="1322" customFormat="false" ht="15" hidden="false" customHeight="false" outlineLevel="0" collapsed="false">
      <c r="A1322" s="4" t="s">
        <v>3328</v>
      </c>
      <c r="B1322" s="5" t="n">
        <v>46043</v>
      </c>
      <c r="C1322" s="5" t="n">
        <v>46151</v>
      </c>
      <c r="D1322" s="4" t="s">
        <v>3189</v>
      </c>
      <c r="E1322" s="4" t="s">
        <v>306</v>
      </c>
      <c r="F1322" s="4" t="s">
        <v>376</v>
      </c>
      <c r="G1322" s="4" t="s">
        <v>59</v>
      </c>
      <c r="H1322" s="4" t="n">
        <v>2</v>
      </c>
      <c r="I1322" s="4" t="n">
        <v>180</v>
      </c>
      <c r="J1322" s="4" t="s">
        <v>68</v>
      </c>
      <c r="K1322" s="4" t="s">
        <v>2379</v>
      </c>
      <c r="L1322" s="4" t="s">
        <v>376</v>
      </c>
      <c r="M1322" s="4" t="s">
        <v>377</v>
      </c>
      <c r="N1322" s="4" t="s">
        <v>44</v>
      </c>
      <c r="O1322" s="4" t="s">
        <v>2380</v>
      </c>
      <c r="P1322" s="4" t="s">
        <v>2327</v>
      </c>
    </row>
    <row r="1323" customFormat="false" ht="15" hidden="false" customHeight="false" outlineLevel="0" collapsed="false">
      <c r="A1323" s="4" t="s">
        <v>3329</v>
      </c>
      <c r="B1323" s="5" t="n">
        <v>46043</v>
      </c>
      <c r="C1323" s="5" t="n">
        <v>46151</v>
      </c>
      <c r="D1323" s="4" t="s">
        <v>3189</v>
      </c>
      <c r="E1323" s="4" t="s">
        <v>345</v>
      </c>
      <c r="F1323" s="4" t="s">
        <v>376</v>
      </c>
      <c r="G1323" s="4" t="s">
        <v>59</v>
      </c>
      <c r="H1323" s="4" t="n">
        <v>2</v>
      </c>
      <c r="I1323" s="4" t="n">
        <v>282.5</v>
      </c>
      <c r="J1323" s="4" t="s">
        <v>68</v>
      </c>
      <c r="K1323" s="4" t="s">
        <v>3330</v>
      </c>
      <c r="L1323" s="4" t="s">
        <v>994</v>
      </c>
      <c r="M1323" s="4" t="s">
        <v>334</v>
      </c>
      <c r="N1323" s="4" t="s">
        <v>44</v>
      </c>
      <c r="O1323" s="4" t="s">
        <v>3331</v>
      </c>
      <c r="P1323" s="4" t="s">
        <v>2327</v>
      </c>
    </row>
    <row r="1324" customFormat="false" ht="15" hidden="false" customHeight="false" outlineLevel="0" collapsed="false">
      <c r="A1324" s="4" t="s">
        <v>3332</v>
      </c>
      <c r="B1324" s="5" t="n">
        <v>46043</v>
      </c>
      <c r="C1324" s="5" t="n">
        <v>46151</v>
      </c>
      <c r="D1324" s="4" t="s">
        <v>3189</v>
      </c>
      <c r="E1324" s="4" t="s">
        <v>345</v>
      </c>
      <c r="F1324" s="4" t="s">
        <v>376</v>
      </c>
      <c r="G1324" s="4" t="s">
        <v>38</v>
      </c>
      <c r="H1324" s="4" t="n">
        <v>1</v>
      </c>
      <c r="I1324" s="4" t="n">
        <v>535</v>
      </c>
      <c r="J1324" s="4" t="s">
        <v>40</v>
      </c>
      <c r="K1324" s="4" t="s">
        <v>2372</v>
      </c>
      <c r="L1324" s="4" t="s">
        <v>376</v>
      </c>
      <c r="M1324" s="4" t="s">
        <v>377</v>
      </c>
      <c r="N1324" s="4" t="s">
        <v>44</v>
      </c>
      <c r="O1324" s="4" t="s">
        <v>2373</v>
      </c>
      <c r="P1324" s="4" t="s">
        <v>2327</v>
      </c>
    </row>
    <row r="1325" customFormat="false" ht="15" hidden="false" customHeight="false" outlineLevel="0" collapsed="false">
      <c r="A1325" s="4" t="s">
        <v>3333</v>
      </c>
      <c r="B1325" s="5" t="n">
        <v>46043</v>
      </c>
      <c r="C1325" s="5" t="n">
        <v>46151</v>
      </c>
      <c r="D1325" s="4" t="s">
        <v>3189</v>
      </c>
      <c r="E1325" s="4" t="s">
        <v>311</v>
      </c>
      <c r="F1325" s="4" t="s">
        <v>376</v>
      </c>
      <c r="G1325" s="4" t="s">
        <v>59</v>
      </c>
      <c r="H1325" s="4" t="n">
        <v>1</v>
      </c>
      <c r="I1325" s="4" t="n">
        <v>335</v>
      </c>
      <c r="J1325" s="4" t="s">
        <v>68</v>
      </c>
      <c r="K1325" s="4" t="s">
        <v>2543</v>
      </c>
      <c r="L1325" s="4" t="s">
        <v>376</v>
      </c>
      <c r="M1325" s="4" t="s">
        <v>377</v>
      </c>
      <c r="N1325" s="4" t="s">
        <v>44</v>
      </c>
      <c r="O1325" s="4" t="s">
        <v>2544</v>
      </c>
      <c r="P1325" s="4" t="s">
        <v>2327</v>
      </c>
    </row>
    <row r="1326" customFormat="false" ht="15" hidden="false" customHeight="false" outlineLevel="0" collapsed="false">
      <c r="A1326" s="4" t="s">
        <v>3334</v>
      </c>
      <c r="B1326" s="5" t="n">
        <v>46044</v>
      </c>
      <c r="C1326" s="5" t="n">
        <v>46046</v>
      </c>
      <c r="D1326" s="4" t="s">
        <v>2849</v>
      </c>
      <c r="E1326" s="4" t="s">
        <v>627</v>
      </c>
      <c r="F1326" s="4" t="s">
        <v>376</v>
      </c>
      <c r="G1326" s="4" t="s">
        <v>38</v>
      </c>
      <c r="H1326" s="4" t="n">
        <v>4</v>
      </c>
      <c r="I1326" s="4" t="n">
        <v>1090</v>
      </c>
      <c r="J1326" s="4" t="s">
        <v>40</v>
      </c>
      <c r="K1326" s="4" t="s">
        <v>3241</v>
      </c>
      <c r="L1326" s="4" t="s">
        <v>219</v>
      </c>
      <c r="M1326" s="4" t="s">
        <v>356</v>
      </c>
      <c r="N1326" s="4" t="s">
        <v>768</v>
      </c>
      <c r="O1326" s="4"/>
      <c r="P1326" s="4" t="s">
        <v>2327</v>
      </c>
    </row>
    <row r="1327" customFormat="false" ht="15" hidden="false" customHeight="false" outlineLevel="0" collapsed="false">
      <c r="A1327" s="4" t="s">
        <v>3335</v>
      </c>
      <c r="B1327" s="5" t="n">
        <v>46044</v>
      </c>
      <c r="C1327" s="5" t="n">
        <v>46046</v>
      </c>
      <c r="D1327" s="4" t="s">
        <v>2849</v>
      </c>
      <c r="E1327" s="4" t="s">
        <v>613</v>
      </c>
      <c r="F1327" s="4" t="s">
        <v>376</v>
      </c>
      <c r="G1327" s="4" t="s">
        <v>38</v>
      </c>
      <c r="H1327" s="4" t="n">
        <v>1</v>
      </c>
      <c r="I1327" s="4" t="n">
        <v>790</v>
      </c>
      <c r="J1327" s="4" t="s">
        <v>40</v>
      </c>
      <c r="K1327" s="4" t="s">
        <v>3336</v>
      </c>
      <c r="L1327" s="4" t="s">
        <v>3217</v>
      </c>
      <c r="M1327" s="4" t="s">
        <v>377</v>
      </c>
      <c r="N1327" s="4" t="s">
        <v>44</v>
      </c>
      <c r="O1327" s="4" t="s">
        <v>3337</v>
      </c>
      <c r="P1327" s="4" t="s">
        <v>2327</v>
      </c>
    </row>
    <row r="1328" customFormat="false" ht="15" hidden="false" customHeight="false" outlineLevel="0" collapsed="false">
      <c r="A1328" s="4" t="s">
        <v>3338</v>
      </c>
      <c r="B1328" s="5" t="n">
        <v>46044</v>
      </c>
      <c r="C1328" s="5" t="n">
        <v>46046</v>
      </c>
      <c r="D1328" s="4" t="s">
        <v>2849</v>
      </c>
      <c r="E1328" s="4" t="s">
        <v>761</v>
      </c>
      <c r="F1328" s="4" t="s">
        <v>2323</v>
      </c>
      <c r="G1328" s="4" t="s">
        <v>59</v>
      </c>
      <c r="H1328" s="4" t="n">
        <v>2</v>
      </c>
      <c r="I1328" s="4" t="n">
        <v>472.5</v>
      </c>
      <c r="J1328" s="4" t="s">
        <v>68</v>
      </c>
      <c r="K1328" s="4" t="s">
        <v>3339</v>
      </c>
      <c r="L1328" s="4" t="s">
        <v>376</v>
      </c>
      <c r="M1328" s="4" t="s">
        <v>377</v>
      </c>
      <c r="N1328" s="4" t="s">
        <v>44</v>
      </c>
      <c r="O1328" s="4" t="s">
        <v>3340</v>
      </c>
      <c r="P1328" s="4" t="s">
        <v>2327</v>
      </c>
    </row>
    <row r="1329" customFormat="false" ht="15" hidden="false" customHeight="false" outlineLevel="0" collapsed="false">
      <c r="A1329" s="4" t="s">
        <v>3341</v>
      </c>
      <c r="B1329" s="5" t="n">
        <v>46044</v>
      </c>
      <c r="C1329" s="5" t="n">
        <v>46046</v>
      </c>
      <c r="D1329" s="4" t="s">
        <v>2849</v>
      </c>
      <c r="E1329" s="4" t="s">
        <v>627</v>
      </c>
      <c r="F1329" s="4" t="s">
        <v>2384</v>
      </c>
      <c r="G1329" s="4" t="s">
        <v>38</v>
      </c>
      <c r="H1329" s="4" t="n">
        <v>0</v>
      </c>
      <c r="I1329" s="4" t="n">
        <v>705</v>
      </c>
      <c r="J1329" s="4" t="s">
        <v>40</v>
      </c>
      <c r="K1329" s="4" t="s">
        <v>2693</v>
      </c>
      <c r="L1329" s="4" t="s">
        <v>376</v>
      </c>
      <c r="M1329" s="4" t="s">
        <v>377</v>
      </c>
      <c r="N1329" s="4" t="s">
        <v>44</v>
      </c>
      <c r="O1329" s="4" t="s">
        <v>2694</v>
      </c>
      <c r="P1329" s="4" t="s">
        <v>2327</v>
      </c>
    </row>
    <row r="1330" customFormat="false" ht="15" hidden="false" customHeight="false" outlineLevel="0" collapsed="false">
      <c r="A1330" s="4" t="s">
        <v>3342</v>
      </c>
      <c r="B1330" s="5" t="n">
        <v>46044</v>
      </c>
      <c r="C1330" s="5" t="n">
        <v>46046</v>
      </c>
      <c r="D1330" s="4" t="s">
        <v>2849</v>
      </c>
      <c r="E1330" s="4" t="s">
        <v>627</v>
      </c>
      <c r="F1330" s="4" t="s">
        <v>376</v>
      </c>
      <c r="G1330" s="4" t="s">
        <v>59</v>
      </c>
      <c r="H1330" s="4" t="n">
        <v>2</v>
      </c>
      <c r="I1330" s="4" t="n">
        <v>337.5</v>
      </c>
      <c r="J1330" s="4" t="s">
        <v>40</v>
      </c>
      <c r="K1330" s="4" t="s">
        <v>3343</v>
      </c>
      <c r="L1330" s="4" t="s">
        <v>524</v>
      </c>
      <c r="M1330" s="4" t="s">
        <v>377</v>
      </c>
      <c r="N1330" s="4" t="s">
        <v>44</v>
      </c>
      <c r="O1330" s="4" t="s">
        <v>3344</v>
      </c>
      <c r="P1330" s="4" t="s">
        <v>2327</v>
      </c>
    </row>
    <row r="1331" customFormat="false" ht="15" hidden="false" customHeight="false" outlineLevel="0" collapsed="false">
      <c r="A1331" s="4" t="s">
        <v>3345</v>
      </c>
      <c r="B1331" s="5" t="n">
        <v>46044</v>
      </c>
      <c r="C1331" s="5" t="n">
        <v>46046</v>
      </c>
      <c r="D1331" s="4" t="s">
        <v>2849</v>
      </c>
      <c r="E1331" s="4" t="s">
        <v>627</v>
      </c>
      <c r="F1331" s="4" t="s">
        <v>376</v>
      </c>
      <c r="G1331" s="4" t="s">
        <v>59</v>
      </c>
      <c r="H1331" s="4" t="n">
        <v>1</v>
      </c>
      <c r="I1331" s="4" t="n">
        <v>415</v>
      </c>
      <c r="J1331" s="4" t="s">
        <v>40</v>
      </c>
      <c r="K1331" s="4" t="s">
        <v>2419</v>
      </c>
      <c r="L1331" s="4" t="s">
        <v>376</v>
      </c>
      <c r="M1331" s="4" t="s">
        <v>377</v>
      </c>
      <c r="N1331" s="4" t="s">
        <v>44</v>
      </c>
      <c r="O1331" s="4" t="s">
        <v>2420</v>
      </c>
      <c r="P1331" s="4" t="s">
        <v>2327</v>
      </c>
    </row>
    <row r="1332" customFormat="false" ht="15" hidden="false" customHeight="false" outlineLevel="0" collapsed="false">
      <c r="A1332" s="4" t="s">
        <v>3346</v>
      </c>
      <c r="B1332" s="5" t="n">
        <v>46044</v>
      </c>
      <c r="C1332" s="5" t="n">
        <v>46046</v>
      </c>
      <c r="D1332" s="4" t="s">
        <v>2849</v>
      </c>
      <c r="E1332" s="4" t="s">
        <v>649</v>
      </c>
      <c r="F1332" s="4" t="s">
        <v>2362</v>
      </c>
      <c r="G1332" s="4" t="s">
        <v>59</v>
      </c>
      <c r="H1332" s="4" t="n">
        <v>1</v>
      </c>
      <c r="I1332" s="4" t="n">
        <v>422.5</v>
      </c>
      <c r="J1332" s="4" t="s">
        <v>40</v>
      </c>
      <c r="K1332" s="4" t="s">
        <v>3347</v>
      </c>
      <c r="L1332" s="4" t="s">
        <v>524</v>
      </c>
      <c r="M1332" s="4" t="s">
        <v>377</v>
      </c>
      <c r="N1332" s="4" t="s">
        <v>44</v>
      </c>
      <c r="O1332" s="4" t="s">
        <v>3348</v>
      </c>
      <c r="P1332" s="4" t="s">
        <v>2327</v>
      </c>
    </row>
    <row r="1333" customFormat="false" ht="15" hidden="false" customHeight="false" outlineLevel="0" collapsed="false">
      <c r="A1333" s="4" t="s">
        <v>3349</v>
      </c>
      <c r="B1333" s="5" t="n">
        <v>46044</v>
      </c>
      <c r="C1333" s="5" t="n">
        <v>46046</v>
      </c>
      <c r="D1333" s="4" t="s">
        <v>2849</v>
      </c>
      <c r="E1333" s="4" t="s">
        <v>618</v>
      </c>
      <c r="F1333" s="4" t="s">
        <v>2384</v>
      </c>
      <c r="G1333" s="4" t="s">
        <v>38</v>
      </c>
      <c r="H1333" s="4" t="n">
        <v>1</v>
      </c>
      <c r="I1333" s="4" t="n">
        <v>975</v>
      </c>
      <c r="J1333" s="4" t="s">
        <v>40</v>
      </c>
      <c r="K1333" s="4" t="s">
        <v>3350</v>
      </c>
      <c r="L1333" s="4" t="s">
        <v>596</v>
      </c>
      <c r="M1333" s="4" t="s">
        <v>695</v>
      </c>
      <c r="N1333" s="4" t="s">
        <v>44</v>
      </c>
      <c r="O1333" s="4" t="s">
        <v>3351</v>
      </c>
      <c r="P1333" s="4" t="s">
        <v>2327</v>
      </c>
    </row>
    <row r="1334" customFormat="false" ht="15" hidden="false" customHeight="false" outlineLevel="0" collapsed="false">
      <c r="A1334" s="4" t="s">
        <v>3352</v>
      </c>
      <c r="B1334" s="5" t="n">
        <v>46044</v>
      </c>
      <c r="C1334" s="5" t="n">
        <v>46046</v>
      </c>
      <c r="D1334" s="4" t="s">
        <v>2849</v>
      </c>
      <c r="E1334" s="4" t="s">
        <v>613</v>
      </c>
      <c r="F1334" s="4" t="s">
        <v>376</v>
      </c>
      <c r="G1334" s="4" t="s">
        <v>326</v>
      </c>
      <c r="H1334" s="4" t="n">
        <v>3</v>
      </c>
      <c r="I1334" s="4" t="n">
        <v>1720</v>
      </c>
      <c r="J1334" s="4" t="s">
        <v>40</v>
      </c>
      <c r="K1334" s="4" t="s">
        <v>2590</v>
      </c>
      <c r="L1334" s="4" t="s">
        <v>2325</v>
      </c>
      <c r="M1334" s="4" t="s">
        <v>377</v>
      </c>
      <c r="N1334" s="4" t="s">
        <v>44</v>
      </c>
      <c r="O1334" s="4" t="s">
        <v>2591</v>
      </c>
      <c r="P1334" s="4" t="s">
        <v>2327</v>
      </c>
    </row>
    <row r="1335" customFormat="false" ht="15" hidden="false" customHeight="false" outlineLevel="0" collapsed="false">
      <c r="A1335" s="4" t="s">
        <v>3353</v>
      </c>
      <c r="B1335" s="5" t="n">
        <v>46044</v>
      </c>
      <c r="C1335" s="5" t="n">
        <v>46151</v>
      </c>
      <c r="D1335" s="4" t="s">
        <v>3189</v>
      </c>
      <c r="E1335" s="4" t="s">
        <v>306</v>
      </c>
      <c r="F1335" s="4" t="s">
        <v>376</v>
      </c>
      <c r="G1335" s="4" t="s">
        <v>38</v>
      </c>
      <c r="H1335" s="4" t="n">
        <v>4</v>
      </c>
      <c r="I1335" s="4" t="n">
        <v>520</v>
      </c>
      <c r="J1335" s="4" t="s">
        <v>40</v>
      </c>
      <c r="K1335" s="4" t="s">
        <v>2868</v>
      </c>
      <c r="L1335" s="4" t="s">
        <v>1172</v>
      </c>
      <c r="M1335" s="4" t="s">
        <v>377</v>
      </c>
      <c r="N1335" s="4" t="s">
        <v>44</v>
      </c>
      <c r="O1335" s="4" t="s">
        <v>2869</v>
      </c>
      <c r="P1335" s="4" t="s">
        <v>2327</v>
      </c>
    </row>
    <row r="1336" customFormat="false" ht="15" hidden="false" customHeight="false" outlineLevel="0" collapsed="false">
      <c r="A1336" s="4" t="s">
        <v>3354</v>
      </c>
      <c r="B1336" s="5" t="n">
        <v>46044</v>
      </c>
      <c r="C1336" s="5" t="n">
        <v>46151</v>
      </c>
      <c r="D1336" s="4" t="s">
        <v>3189</v>
      </c>
      <c r="E1336" s="4" t="s">
        <v>306</v>
      </c>
      <c r="F1336" s="4" t="s">
        <v>376</v>
      </c>
      <c r="G1336" s="4" t="s">
        <v>38</v>
      </c>
      <c r="H1336" s="4" t="n">
        <v>2</v>
      </c>
      <c r="I1336" s="4" t="n">
        <v>495</v>
      </c>
      <c r="J1336" s="4" t="s">
        <v>149</v>
      </c>
      <c r="K1336" s="4" t="s">
        <v>2627</v>
      </c>
      <c r="L1336" s="4" t="s">
        <v>1172</v>
      </c>
      <c r="M1336" s="4" t="s">
        <v>377</v>
      </c>
      <c r="N1336" s="4" t="s">
        <v>44</v>
      </c>
      <c r="O1336" s="4" t="s">
        <v>2628</v>
      </c>
      <c r="P1336" s="4" t="s">
        <v>2327</v>
      </c>
    </row>
    <row r="1337" customFormat="false" ht="15" hidden="false" customHeight="false" outlineLevel="0" collapsed="false">
      <c r="A1337" s="4" t="s">
        <v>3355</v>
      </c>
      <c r="B1337" s="5" t="n">
        <v>46044</v>
      </c>
      <c r="C1337" s="5" t="n">
        <v>46151</v>
      </c>
      <c r="D1337" s="4" t="s">
        <v>3189</v>
      </c>
      <c r="E1337" s="4" t="s">
        <v>345</v>
      </c>
      <c r="F1337" s="4" t="s">
        <v>376</v>
      </c>
      <c r="G1337" s="4" t="s">
        <v>38</v>
      </c>
      <c r="H1337" s="4" t="n">
        <v>2</v>
      </c>
      <c r="I1337" s="4" t="n">
        <v>485</v>
      </c>
      <c r="J1337" s="4" t="s">
        <v>68</v>
      </c>
      <c r="K1337" s="4" t="s">
        <v>2742</v>
      </c>
      <c r="L1337" s="4" t="s">
        <v>376</v>
      </c>
      <c r="M1337" s="4" t="s">
        <v>377</v>
      </c>
      <c r="N1337" s="4" t="s">
        <v>44</v>
      </c>
      <c r="O1337" s="4" t="s">
        <v>2743</v>
      </c>
      <c r="P1337" s="4" t="s">
        <v>2327</v>
      </c>
    </row>
    <row r="1338" customFormat="false" ht="15" hidden="false" customHeight="false" outlineLevel="0" collapsed="false">
      <c r="A1338" s="4" t="s">
        <v>3356</v>
      </c>
      <c r="B1338" s="5" t="n">
        <v>46045</v>
      </c>
      <c r="C1338" s="5" t="n">
        <v>46046</v>
      </c>
      <c r="D1338" s="4" t="s">
        <v>2849</v>
      </c>
      <c r="E1338" s="4" t="s">
        <v>761</v>
      </c>
      <c r="F1338" s="4" t="s">
        <v>376</v>
      </c>
      <c r="G1338" s="4" t="s">
        <v>59</v>
      </c>
      <c r="H1338" s="4" t="n">
        <v>2</v>
      </c>
      <c r="I1338" s="4" t="n">
        <v>490</v>
      </c>
      <c r="J1338" s="4" t="s">
        <v>40</v>
      </c>
      <c r="K1338" s="4" t="s">
        <v>3008</v>
      </c>
      <c r="L1338" s="4" t="s">
        <v>571</v>
      </c>
      <c r="M1338" s="4" t="s">
        <v>356</v>
      </c>
      <c r="N1338" s="4" t="s">
        <v>357</v>
      </c>
      <c r="O1338" s="4"/>
      <c r="P1338" s="4" t="s">
        <v>2327</v>
      </c>
    </row>
    <row r="1339" customFormat="false" ht="15" hidden="false" customHeight="false" outlineLevel="0" collapsed="false">
      <c r="A1339" s="4" t="s">
        <v>3357</v>
      </c>
      <c r="B1339" s="5" t="n">
        <v>46045</v>
      </c>
      <c r="C1339" s="5" t="n">
        <v>46046</v>
      </c>
      <c r="D1339" s="4" t="s">
        <v>2849</v>
      </c>
      <c r="E1339" s="4" t="s">
        <v>627</v>
      </c>
      <c r="F1339" s="4" t="s">
        <v>2384</v>
      </c>
      <c r="G1339" s="4" t="s">
        <v>326</v>
      </c>
      <c r="H1339" s="4" t="n">
        <v>3</v>
      </c>
      <c r="I1339" s="4" t="n">
        <v>1710</v>
      </c>
      <c r="J1339" s="4" t="s">
        <v>149</v>
      </c>
      <c r="K1339" s="4" t="s">
        <v>3114</v>
      </c>
      <c r="L1339" s="4" t="s">
        <v>376</v>
      </c>
      <c r="M1339" s="4" t="s">
        <v>377</v>
      </c>
      <c r="N1339" s="4" t="s">
        <v>52</v>
      </c>
      <c r="O1339" s="4" t="s">
        <v>3115</v>
      </c>
      <c r="P1339" s="4" t="s">
        <v>2327</v>
      </c>
    </row>
    <row r="1340" customFormat="false" ht="15" hidden="false" customHeight="false" outlineLevel="0" collapsed="false">
      <c r="A1340" s="4" t="s">
        <v>3358</v>
      </c>
      <c r="B1340" s="5" t="n">
        <v>46045</v>
      </c>
      <c r="C1340" s="5" t="n">
        <v>46046</v>
      </c>
      <c r="D1340" s="4" t="s">
        <v>2849</v>
      </c>
      <c r="E1340" s="4" t="s">
        <v>627</v>
      </c>
      <c r="F1340" s="4" t="s">
        <v>376</v>
      </c>
      <c r="G1340" s="4" t="s">
        <v>38</v>
      </c>
      <c r="H1340" s="4" t="n">
        <v>2</v>
      </c>
      <c r="I1340" s="4" t="n">
        <v>790</v>
      </c>
      <c r="J1340" s="4" t="s">
        <v>40</v>
      </c>
      <c r="K1340" s="4" t="s">
        <v>3359</v>
      </c>
      <c r="L1340" s="4" t="s">
        <v>596</v>
      </c>
      <c r="M1340" s="4" t="s">
        <v>695</v>
      </c>
      <c r="N1340" s="4" t="s">
        <v>44</v>
      </c>
      <c r="O1340" s="4" t="s">
        <v>3360</v>
      </c>
      <c r="P1340" s="4" t="s">
        <v>2327</v>
      </c>
    </row>
    <row r="1341" customFormat="false" ht="15" hidden="false" customHeight="false" outlineLevel="0" collapsed="false">
      <c r="A1341" s="4" t="s">
        <v>3361</v>
      </c>
      <c r="B1341" s="5" t="n">
        <v>46045</v>
      </c>
      <c r="C1341" s="5" t="n">
        <v>46046</v>
      </c>
      <c r="D1341" s="4" t="s">
        <v>2849</v>
      </c>
      <c r="E1341" s="4" t="s">
        <v>627</v>
      </c>
      <c r="F1341" s="4" t="s">
        <v>2362</v>
      </c>
      <c r="G1341" s="4" t="s">
        <v>38</v>
      </c>
      <c r="H1341" s="4" t="n">
        <v>3</v>
      </c>
      <c r="I1341" s="4" t="n">
        <v>695</v>
      </c>
      <c r="J1341" s="4" t="s">
        <v>40</v>
      </c>
      <c r="K1341" s="4" t="s">
        <v>946</v>
      </c>
      <c r="L1341" s="4" t="s">
        <v>42</v>
      </c>
      <c r="M1341" s="4" t="s">
        <v>43</v>
      </c>
      <c r="N1341" s="4" t="s">
        <v>44</v>
      </c>
      <c r="O1341" s="4" t="s">
        <v>947</v>
      </c>
      <c r="P1341" s="4" t="s">
        <v>2327</v>
      </c>
    </row>
    <row r="1342" customFormat="false" ht="15" hidden="false" customHeight="false" outlineLevel="0" collapsed="false">
      <c r="A1342" s="4" t="s">
        <v>3362</v>
      </c>
      <c r="B1342" s="5" t="n">
        <v>46045</v>
      </c>
      <c r="C1342" s="5" t="n">
        <v>46046</v>
      </c>
      <c r="D1342" s="4" t="s">
        <v>2849</v>
      </c>
      <c r="E1342" s="4" t="s">
        <v>618</v>
      </c>
      <c r="F1342" s="4" t="s">
        <v>2362</v>
      </c>
      <c r="G1342" s="4" t="s">
        <v>38</v>
      </c>
      <c r="H1342" s="4" t="n">
        <v>2</v>
      </c>
      <c r="I1342" s="4" t="n">
        <v>990</v>
      </c>
      <c r="J1342" s="4" t="s">
        <v>40</v>
      </c>
      <c r="K1342" s="4" t="s">
        <v>3363</v>
      </c>
      <c r="L1342" s="4" t="s">
        <v>382</v>
      </c>
      <c r="M1342" s="4" t="s">
        <v>43</v>
      </c>
      <c r="N1342" s="4" t="s">
        <v>44</v>
      </c>
      <c r="O1342" s="4" t="s">
        <v>3364</v>
      </c>
      <c r="P1342" s="4" t="s">
        <v>2327</v>
      </c>
    </row>
    <row r="1343" customFormat="false" ht="15" hidden="false" customHeight="false" outlineLevel="0" collapsed="false">
      <c r="A1343" s="4" t="s">
        <v>3365</v>
      </c>
      <c r="B1343" s="5" t="n">
        <v>46045</v>
      </c>
      <c r="C1343" s="5" t="n">
        <v>46046</v>
      </c>
      <c r="D1343" s="4" t="s">
        <v>2849</v>
      </c>
      <c r="E1343" s="4" t="s">
        <v>627</v>
      </c>
      <c r="F1343" s="4" t="s">
        <v>2332</v>
      </c>
      <c r="G1343" s="4" t="s">
        <v>59</v>
      </c>
      <c r="H1343" s="4" t="n">
        <v>1</v>
      </c>
      <c r="I1343" s="4" t="n">
        <v>382.5</v>
      </c>
      <c r="J1343" s="4" t="s">
        <v>68</v>
      </c>
      <c r="K1343" s="4" t="s">
        <v>1456</v>
      </c>
      <c r="L1343" s="4" t="s">
        <v>2325</v>
      </c>
      <c r="M1343" s="4" t="s">
        <v>377</v>
      </c>
      <c r="N1343" s="4" t="s">
        <v>52</v>
      </c>
      <c r="O1343" s="4" t="s">
        <v>1457</v>
      </c>
      <c r="P1343" s="4" t="s">
        <v>2327</v>
      </c>
    </row>
    <row r="1344" customFormat="false" ht="15" hidden="false" customHeight="false" outlineLevel="0" collapsed="false">
      <c r="A1344" s="4" t="s">
        <v>3366</v>
      </c>
      <c r="B1344" s="5" t="n">
        <v>46045</v>
      </c>
      <c r="C1344" s="5" t="n">
        <v>46046</v>
      </c>
      <c r="D1344" s="4" t="s">
        <v>2849</v>
      </c>
      <c r="E1344" s="4" t="s">
        <v>627</v>
      </c>
      <c r="F1344" s="4" t="s">
        <v>376</v>
      </c>
      <c r="G1344" s="4" t="s">
        <v>59</v>
      </c>
      <c r="H1344" s="4" t="n">
        <v>1</v>
      </c>
      <c r="I1344" s="4" t="n">
        <v>537.5</v>
      </c>
      <c r="J1344" s="4" t="s">
        <v>40</v>
      </c>
      <c r="K1344" s="4" t="s">
        <v>2811</v>
      </c>
      <c r="L1344" s="4" t="s">
        <v>376</v>
      </c>
      <c r="M1344" s="4" t="s">
        <v>377</v>
      </c>
      <c r="N1344" s="4" t="s">
        <v>44</v>
      </c>
      <c r="O1344" s="4" t="s">
        <v>2812</v>
      </c>
      <c r="P1344" s="4" t="s">
        <v>2327</v>
      </c>
    </row>
    <row r="1345" customFormat="false" ht="15" hidden="false" customHeight="false" outlineLevel="0" collapsed="false">
      <c r="A1345" s="4" t="s">
        <v>3367</v>
      </c>
      <c r="B1345" s="5" t="n">
        <v>46045</v>
      </c>
      <c r="C1345" s="5" t="n">
        <v>46151</v>
      </c>
      <c r="D1345" s="4" t="s">
        <v>3189</v>
      </c>
      <c r="E1345" s="4" t="s">
        <v>306</v>
      </c>
      <c r="F1345" s="4" t="s">
        <v>376</v>
      </c>
      <c r="G1345" s="4" t="s">
        <v>38</v>
      </c>
      <c r="H1345" s="4" t="n">
        <v>2</v>
      </c>
      <c r="I1345" s="4" t="n">
        <v>470</v>
      </c>
      <c r="J1345" s="4" t="s">
        <v>68</v>
      </c>
      <c r="K1345" s="4" t="s">
        <v>2742</v>
      </c>
      <c r="L1345" s="4" t="s">
        <v>376</v>
      </c>
      <c r="M1345" s="4" t="s">
        <v>377</v>
      </c>
      <c r="N1345" s="4" t="s">
        <v>44</v>
      </c>
      <c r="O1345" s="4" t="s">
        <v>2743</v>
      </c>
      <c r="P1345" s="4" t="s">
        <v>2327</v>
      </c>
    </row>
    <row r="1346" customFormat="false" ht="15" hidden="false" customHeight="false" outlineLevel="0" collapsed="false">
      <c r="A1346" s="4" t="s">
        <v>3368</v>
      </c>
      <c r="B1346" s="5" t="n">
        <v>46045</v>
      </c>
      <c r="C1346" s="5" t="n">
        <v>46047</v>
      </c>
      <c r="D1346" s="4" t="s">
        <v>2322</v>
      </c>
      <c r="E1346" s="4" t="s">
        <v>49</v>
      </c>
      <c r="F1346" s="4" t="s">
        <v>2362</v>
      </c>
      <c r="G1346" s="4" t="s">
        <v>59</v>
      </c>
      <c r="H1346" s="4" t="n">
        <v>2</v>
      </c>
      <c r="I1346" s="4" t="n">
        <v>20</v>
      </c>
      <c r="J1346" s="4" t="s">
        <v>68</v>
      </c>
      <c r="K1346" s="4" t="s">
        <v>2792</v>
      </c>
      <c r="L1346" s="4" t="s">
        <v>376</v>
      </c>
      <c r="M1346" s="4" t="s">
        <v>377</v>
      </c>
      <c r="N1346" s="4" t="s">
        <v>44</v>
      </c>
      <c r="O1346" s="4" t="s">
        <v>2793</v>
      </c>
      <c r="P1346" s="4" t="s">
        <v>2327</v>
      </c>
    </row>
    <row r="1347" customFormat="false" ht="15" hidden="false" customHeight="false" outlineLevel="0" collapsed="false">
      <c r="A1347" s="4" t="s">
        <v>3369</v>
      </c>
      <c r="B1347" s="5" t="n">
        <v>46046</v>
      </c>
      <c r="C1347" s="5" t="n">
        <v>46046</v>
      </c>
      <c r="D1347" s="4" t="s">
        <v>2849</v>
      </c>
      <c r="E1347" s="4" t="s">
        <v>627</v>
      </c>
      <c r="F1347" s="4" t="s">
        <v>376</v>
      </c>
      <c r="G1347" s="4" t="s">
        <v>59</v>
      </c>
      <c r="H1347" s="4" t="n">
        <v>2</v>
      </c>
      <c r="I1347" s="4" t="n">
        <v>350</v>
      </c>
      <c r="J1347" s="4" t="s">
        <v>40</v>
      </c>
      <c r="K1347" s="4" t="s">
        <v>2811</v>
      </c>
      <c r="L1347" s="4" t="s">
        <v>2325</v>
      </c>
      <c r="M1347" s="4" t="s">
        <v>377</v>
      </c>
      <c r="N1347" s="4" t="s">
        <v>44</v>
      </c>
      <c r="O1347" s="4" t="s">
        <v>2812</v>
      </c>
      <c r="P1347" s="4" t="s">
        <v>2327</v>
      </c>
    </row>
    <row r="1348" customFormat="false" ht="15" hidden="false" customHeight="false" outlineLevel="0" collapsed="false">
      <c r="A1348" s="4" t="s">
        <v>3370</v>
      </c>
      <c r="B1348" s="5" t="n">
        <v>46046</v>
      </c>
      <c r="C1348" s="5" t="n">
        <v>46046</v>
      </c>
      <c r="D1348" s="4" t="s">
        <v>2849</v>
      </c>
      <c r="E1348" s="4" t="s">
        <v>627</v>
      </c>
      <c r="F1348" s="4" t="s">
        <v>2323</v>
      </c>
      <c r="G1348" s="4" t="s">
        <v>38</v>
      </c>
      <c r="H1348" s="4" t="n">
        <v>2</v>
      </c>
      <c r="I1348" s="4" t="n">
        <v>695</v>
      </c>
      <c r="J1348" s="4" t="s">
        <v>40</v>
      </c>
      <c r="K1348" s="4" t="s">
        <v>2653</v>
      </c>
      <c r="L1348" s="4" t="s">
        <v>376</v>
      </c>
      <c r="M1348" s="4" t="s">
        <v>377</v>
      </c>
      <c r="N1348" s="4" t="s">
        <v>185</v>
      </c>
      <c r="O1348" s="4" t="s">
        <v>2654</v>
      </c>
      <c r="P1348" s="4" t="s">
        <v>2327</v>
      </c>
    </row>
    <row r="1349" customFormat="false" ht="15" hidden="false" customHeight="false" outlineLevel="0" collapsed="false">
      <c r="A1349" s="4" t="s">
        <v>3371</v>
      </c>
      <c r="B1349" s="5" t="n">
        <v>46046</v>
      </c>
      <c r="C1349" s="5" t="n">
        <v>46046</v>
      </c>
      <c r="D1349" s="4" t="s">
        <v>2849</v>
      </c>
      <c r="E1349" s="4" t="s">
        <v>761</v>
      </c>
      <c r="F1349" s="4" t="s">
        <v>376</v>
      </c>
      <c r="G1349" s="4" t="s">
        <v>38</v>
      </c>
      <c r="H1349" s="4" t="n">
        <v>3</v>
      </c>
      <c r="I1349" s="4" t="n">
        <v>720</v>
      </c>
      <c r="J1349" s="4" t="s">
        <v>40</v>
      </c>
      <c r="K1349" s="4" t="s">
        <v>2964</v>
      </c>
      <c r="L1349" s="4" t="s">
        <v>376</v>
      </c>
      <c r="M1349" s="4" t="s">
        <v>377</v>
      </c>
      <c r="N1349" s="4" t="s">
        <v>94</v>
      </c>
      <c r="O1349" s="4" t="s">
        <v>2965</v>
      </c>
      <c r="P1349" s="4" t="s">
        <v>2327</v>
      </c>
    </row>
    <row r="1350" customFormat="false" ht="15" hidden="false" customHeight="false" outlineLevel="0" collapsed="false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 t="s">
        <v>2327</v>
      </c>
    </row>
    <row r="1351" customFormat="false" ht="15" hidden="false" customHeight="false" outlineLevel="0" collapsed="false">
      <c r="A1351" s="4" t="s">
        <v>3372</v>
      </c>
      <c r="B1351" s="5" t="n">
        <v>46046</v>
      </c>
      <c r="C1351" s="5" t="n">
        <v>46046</v>
      </c>
      <c r="D1351" s="4" t="s">
        <v>2849</v>
      </c>
      <c r="E1351" s="4" t="s">
        <v>618</v>
      </c>
      <c r="F1351" s="4" t="s">
        <v>376</v>
      </c>
      <c r="G1351" s="4" t="s">
        <v>326</v>
      </c>
      <c r="H1351" s="4" t="n">
        <v>4</v>
      </c>
      <c r="I1351" s="4" t="n">
        <v>2160</v>
      </c>
      <c r="J1351" s="4" t="s">
        <v>40</v>
      </c>
      <c r="K1351" s="4" t="s">
        <v>3373</v>
      </c>
      <c r="L1351" s="4" t="s">
        <v>3374</v>
      </c>
      <c r="M1351" s="4" t="s">
        <v>1499</v>
      </c>
      <c r="N1351" s="4" t="s">
        <v>44</v>
      </c>
      <c r="O1351" s="4" t="s">
        <v>3375</v>
      </c>
      <c r="P1351" s="4" t="s">
        <v>2327</v>
      </c>
    </row>
    <row r="1352" customFormat="false" ht="15" hidden="false" customHeight="false" outlineLevel="0" collapsed="false">
      <c r="A1352" s="4" t="s">
        <v>3376</v>
      </c>
      <c r="B1352" s="5" t="n">
        <v>46046</v>
      </c>
      <c r="C1352" s="5" t="n">
        <v>46046</v>
      </c>
      <c r="D1352" s="4" t="s">
        <v>2849</v>
      </c>
      <c r="E1352" s="4" t="s">
        <v>627</v>
      </c>
      <c r="F1352" s="4" t="s">
        <v>376</v>
      </c>
      <c r="G1352" s="4" t="s">
        <v>326</v>
      </c>
      <c r="H1352" s="4" t="n">
        <v>2</v>
      </c>
      <c r="I1352" s="4" t="n">
        <v>1780</v>
      </c>
      <c r="J1352" s="4" t="s">
        <v>68</v>
      </c>
      <c r="K1352" s="4" t="s">
        <v>2802</v>
      </c>
      <c r="L1352" s="4" t="s">
        <v>376</v>
      </c>
      <c r="M1352" s="4" t="s">
        <v>377</v>
      </c>
      <c r="N1352" s="4" t="s">
        <v>52</v>
      </c>
      <c r="O1352" s="4" t="s">
        <v>2803</v>
      </c>
      <c r="P1352" s="4" t="s">
        <v>2327</v>
      </c>
    </row>
    <row r="1353" customFormat="false" ht="15" hidden="false" customHeight="false" outlineLevel="0" collapsed="false">
      <c r="A1353" s="4" t="s">
        <v>3377</v>
      </c>
      <c r="B1353" s="5" t="n">
        <v>46046</v>
      </c>
      <c r="C1353" s="5" t="n">
        <v>46046</v>
      </c>
      <c r="D1353" s="4" t="s">
        <v>2849</v>
      </c>
      <c r="E1353" s="4" t="s">
        <v>627</v>
      </c>
      <c r="F1353" s="4" t="s">
        <v>2323</v>
      </c>
      <c r="G1353" s="4" t="s">
        <v>38</v>
      </c>
      <c r="H1353" s="4" t="n">
        <v>1</v>
      </c>
      <c r="I1353" s="4" t="n">
        <v>1070</v>
      </c>
      <c r="J1353" s="4" t="s">
        <v>40</v>
      </c>
      <c r="K1353" s="4" t="s">
        <v>2523</v>
      </c>
      <c r="L1353" s="4" t="s">
        <v>376</v>
      </c>
      <c r="M1353" s="4" t="s">
        <v>377</v>
      </c>
      <c r="N1353" s="4" t="s">
        <v>44</v>
      </c>
      <c r="O1353" s="4" t="s">
        <v>2524</v>
      </c>
      <c r="P1353" s="4" t="s">
        <v>2327</v>
      </c>
    </row>
    <row r="1354" customFormat="false" ht="15" hidden="false" customHeight="false" outlineLevel="0" collapsed="false">
      <c r="A1354" s="4" t="s">
        <v>3378</v>
      </c>
      <c r="B1354" s="5" t="n">
        <v>46046</v>
      </c>
      <c r="C1354" s="5" t="n">
        <v>46046</v>
      </c>
      <c r="D1354" s="4" t="s">
        <v>2849</v>
      </c>
      <c r="E1354" s="4" t="s">
        <v>627</v>
      </c>
      <c r="F1354" s="4" t="s">
        <v>376</v>
      </c>
      <c r="G1354" s="4" t="s">
        <v>38</v>
      </c>
      <c r="H1354" s="4" t="n">
        <v>2</v>
      </c>
      <c r="I1354" s="4" t="n">
        <v>1130</v>
      </c>
      <c r="J1354" s="4" t="s">
        <v>68</v>
      </c>
      <c r="K1354" s="4" t="s">
        <v>3379</v>
      </c>
      <c r="L1354" s="4" t="s">
        <v>988</v>
      </c>
      <c r="M1354" s="4" t="s">
        <v>737</v>
      </c>
      <c r="N1354" s="4" t="s">
        <v>44</v>
      </c>
      <c r="O1354" s="4" t="s">
        <v>3380</v>
      </c>
      <c r="P1354" s="4" t="s">
        <v>2327</v>
      </c>
    </row>
    <row r="1355" customFormat="false" ht="15" hidden="false" customHeight="false" outlineLevel="0" collapsed="false">
      <c r="A1355" s="4" t="s">
        <v>3381</v>
      </c>
      <c r="B1355" s="5" t="n">
        <v>46046</v>
      </c>
      <c r="C1355" s="5" t="n">
        <v>46046</v>
      </c>
      <c r="D1355" s="4" t="s">
        <v>2849</v>
      </c>
      <c r="E1355" s="4" t="s">
        <v>627</v>
      </c>
      <c r="F1355" s="4" t="s">
        <v>376</v>
      </c>
      <c r="G1355" s="4" t="s">
        <v>59</v>
      </c>
      <c r="H1355" s="4" t="n">
        <v>2</v>
      </c>
      <c r="I1355" s="4" t="n">
        <v>522.5</v>
      </c>
      <c r="J1355" s="4" t="s">
        <v>68</v>
      </c>
      <c r="K1355" s="4" t="s">
        <v>3382</v>
      </c>
      <c r="L1355" s="4" t="s">
        <v>837</v>
      </c>
      <c r="M1355" s="4" t="s">
        <v>838</v>
      </c>
      <c r="N1355" s="4" t="s">
        <v>44</v>
      </c>
      <c r="O1355" s="4" t="s">
        <v>3383</v>
      </c>
      <c r="P1355" s="4" t="s">
        <v>2327</v>
      </c>
    </row>
    <row r="1356" customFormat="false" ht="15" hidden="false" customHeight="false" outlineLevel="0" collapsed="false">
      <c r="A1356" s="4" t="s">
        <v>3384</v>
      </c>
      <c r="B1356" s="5" t="n">
        <v>46046</v>
      </c>
      <c r="C1356" s="5" t="n">
        <v>46151</v>
      </c>
      <c r="D1356" s="4" t="s">
        <v>3189</v>
      </c>
      <c r="E1356" s="4" t="s">
        <v>306</v>
      </c>
      <c r="F1356" s="4" t="s">
        <v>376</v>
      </c>
      <c r="G1356" s="4" t="s">
        <v>38</v>
      </c>
      <c r="H1356" s="4" t="n">
        <v>1</v>
      </c>
      <c r="I1356" s="4" t="n">
        <v>600</v>
      </c>
      <c r="J1356" s="4" t="s">
        <v>40</v>
      </c>
      <c r="K1356" s="4" t="s">
        <v>758</v>
      </c>
      <c r="L1356" s="4" t="s">
        <v>42</v>
      </c>
      <c r="M1356" s="4" t="s">
        <v>43</v>
      </c>
      <c r="N1356" s="4" t="s">
        <v>185</v>
      </c>
      <c r="O1356" s="4" t="s">
        <v>759</v>
      </c>
      <c r="P1356" s="4" t="s">
        <v>2327</v>
      </c>
    </row>
    <row r="1357" customFormat="false" ht="15" hidden="false" customHeight="false" outlineLevel="0" collapsed="false">
      <c r="A1357" s="4" t="s">
        <v>3385</v>
      </c>
      <c r="B1357" s="5" t="n">
        <v>46046</v>
      </c>
      <c r="C1357" s="5" t="n">
        <v>46046</v>
      </c>
      <c r="D1357" s="4" t="s">
        <v>2322</v>
      </c>
      <c r="E1357" s="4" t="s">
        <v>36</v>
      </c>
      <c r="F1357" s="4" t="s">
        <v>376</v>
      </c>
      <c r="G1357" s="4" t="s">
        <v>38</v>
      </c>
      <c r="H1357" s="4" t="n">
        <v>1</v>
      </c>
      <c r="I1357" s="4" t="n">
        <v>40</v>
      </c>
      <c r="J1357" s="4" t="s">
        <v>149</v>
      </c>
      <c r="K1357" s="4" t="s">
        <v>2359</v>
      </c>
      <c r="L1357" s="4" t="s">
        <v>376</v>
      </c>
      <c r="M1357" s="4" t="s">
        <v>377</v>
      </c>
      <c r="N1357" s="4" t="s">
        <v>44</v>
      </c>
      <c r="O1357" s="4" t="s">
        <v>2360</v>
      </c>
      <c r="P1357" s="4" t="s">
        <v>2327</v>
      </c>
    </row>
    <row r="1358" customFormat="false" ht="15" hidden="false" customHeight="false" outlineLevel="0" collapsed="false">
      <c r="A1358" s="4" t="s">
        <v>3386</v>
      </c>
      <c r="B1358" s="5" t="n">
        <v>46046</v>
      </c>
      <c r="C1358" s="5" t="n">
        <v>46049</v>
      </c>
      <c r="D1358" s="4" t="s">
        <v>2322</v>
      </c>
      <c r="E1358" s="4" t="s">
        <v>36</v>
      </c>
      <c r="F1358" s="4" t="s">
        <v>2332</v>
      </c>
      <c r="G1358" s="4" t="s">
        <v>59</v>
      </c>
      <c r="H1358" s="4" t="n">
        <v>2</v>
      </c>
      <c r="I1358" s="4" t="n">
        <v>22.5</v>
      </c>
      <c r="J1358" s="4" t="s">
        <v>68</v>
      </c>
      <c r="K1358" s="4" t="s">
        <v>3057</v>
      </c>
      <c r="L1358" s="4" t="s">
        <v>2325</v>
      </c>
      <c r="M1358" s="4" t="s">
        <v>377</v>
      </c>
      <c r="N1358" s="4" t="s">
        <v>44</v>
      </c>
      <c r="O1358" s="4" t="s">
        <v>3058</v>
      </c>
      <c r="P1358" s="4" t="s">
        <v>2327</v>
      </c>
    </row>
    <row r="1359" customFormat="false" ht="15" hidden="false" customHeight="false" outlineLevel="0" collapsed="false">
      <c r="A1359" s="4" t="s">
        <v>3387</v>
      </c>
      <c r="B1359" s="5" t="n">
        <v>46047</v>
      </c>
      <c r="C1359" s="5" t="n">
        <v>46151</v>
      </c>
      <c r="D1359" s="4" t="s">
        <v>3189</v>
      </c>
      <c r="E1359" s="4" t="s">
        <v>306</v>
      </c>
      <c r="F1359" s="4" t="s">
        <v>2332</v>
      </c>
      <c r="G1359" s="4" t="s">
        <v>38</v>
      </c>
      <c r="H1359" s="4" t="n">
        <v>2</v>
      </c>
      <c r="I1359" s="4" t="n">
        <v>780</v>
      </c>
      <c r="J1359" s="4" t="s">
        <v>40</v>
      </c>
      <c r="K1359" s="4" t="s">
        <v>2422</v>
      </c>
      <c r="L1359" s="4" t="s">
        <v>376</v>
      </c>
      <c r="M1359" s="4" t="s">
        <v>377</v>
      </c>
      <c r="N1359" s="4" t="s">
        <v>44</v>
      </c>
      <c r="O1359" s="4" t="s">
        <v>2423</v>
      </c>
      <c r="P1359" s="4" t="s">
        <v>2327</v>
      </c>
    </row>
    <row r="1360" customFormat="false" ht="15" hidden="false" customHeight="false" outlineLevel="0" collapsed="false">
      <c r="A1360" s="4" t="s">
        <v>3388</v>
      </c>
      <c r="B1360" s="5" t="n">
        <v>46047</v>
      </c>
      <c r="C1360" s="5" t="n">
        <v>46151</v>
      </c>
      <c r="D1360" s="4" t="s">
        <v>3189</v>
      </c>
      <c r="E1360" s="4" t="s">
        <v>306</v>
      </c>
      <c r="F1360" s="4" t="s">
        <v>376</v>
      </c>
      <c r="G1360" s="4" t="s">
        <v>38</v>
      </c>
      <c r="H1360" s="4" t="n">
        <v>1</v>
      </c>
      <c r="I1360" s="4" t="n">
        <v>260</v>
      </c>
      <c r="J1360" s="4" t="s">
        <v>68</v>
      </c>
      <c r="K1360" s="4" t="s">
        <v>2369</v>
      </c>
      <c r="L1360" s="4" t="s">
        <v>376</v>
      </c>
      <c r="M1360" s="4" t="s">
        <v>377</v>
      </c>
      <c r="N1360" s="4" t="s">
        <v>44</v>
      </c>
      <c r="O1360" s="4" t="s">
        <v>2370</v>
      </c>
      <c r="P1360" s="4" t="s">
        <v>2327</v>
      </c>
    </row>
    <row r="1361" customFormat="false" ht="15" hidden="false" customHeight="false" outlineLevel="0" collapsed="false">
      <c r="A1361" s="4" t="s">
        <v>3389</v>
      </c>
      <c r="B1361" s="5" t="n">
        <v>46047</v>
      </c>
      <c r="C1361" s="5" t="n">
        <v>46151</v>
      </c>
      <c r="D1361" s="4" t="s">
        <v>3189</v>
      </c>
      <c r="E1361" s="4" t="s">
        <v>325</v>
      </c>
      <c r="F1361" s="4" t="s">
        <v>2332</v>
      </c>
      <c r="G1361" s="4" t="s">
        <v>326</v>
      </c>
      <c r="H1361" s="4" t="n">
        <v>2</v>
      </c>
      <c r="I1361" s="4" t="n">
        <v>1030</v>
      </c>
      <c r="J1361" s="4" t="s">
        <v>68</v>
      </c>
      <c r="K1361" s="4" t="s">
        <v>2690</v>
      </c>
      <c r="L1361" s="4" t="s">
        <v>376</v>
      </c>
      <c r="M1361" s="4" t="s">
        <v>377</v>
      </c>
      <c r="N1361" s="4" t="s">
        <v>44</v>
      </c>
      <c r="O1361" s="4" t="s">
        <v>2691</v>
      </c>
      <c r="P1361" s="4" t="s">
        <v>2327</v>
      </c>
    </row>
    <row r="1362" customFormat="false" ht="15" hidden="false" customHeight="false" outlineLevel="0" collapsed="false">
      <c r="A1362" s="4" t="s">
        <v>3332</v>
      </c>
      <c r="B1362" s="5" t="n">
        <v>46043</v>
      </c>
      <c r="C1362" s="5" t="n">
        <v>46151</v>
      </c>
      <c r="D1362" s="4" t="s">
        <v>3189</v>
      </c>
      <c r="E1362" s="4" t="s">
        <v>345</v>
      </c>
      <c r="F1362" s="4" t="s">
        <v>376</v>
      </c>
      <c r="G1362" s="4" t="s">
        <v>38</v>
      </c>
      <c r="H1362" s="4" t="n">
        <v>1</v>
      </c>
      <c r="I1362" s="4" t="n">
        <v>535</v>
      </c>
      <c r="J1362" s="4" t="s">
        <v>40</v>
      </c>
      <c r="K1362" s="4" t="s">
        <v>2372</v>
      </c>
      <c r="L1362" s="4" t="s">
        <v>376</v>
      </c>
      <c r="M1362" s="4" t="s">
        <v>377</v>
      </c>
      <c r="N1362" s="4" t="s">
        <v>44</v>
      </c>
      <c r="O1362" s="4" t="s">
        <v>2373</v>
      </c>
      <c r="P1362" s="4" t="s">
        <v>2327</v>
      </c>
    </row>
    <row r="1363" customFormat="false" ht="15" hidden="false" customHeight="false" outlineLevel="0" collapsed="false">
      <c r="A1363" s="4" t="s">
        <v>3390</v>
      </c>
      <c r="B1363" s="5" t="n">
        <v>46048</v>
      </c>
      <c r="C1363" s="5" t="n">
        <v>46151</v>
      </c>
      <c r="D1363" s="4" t="s">
        <v>3189</v>
      </c>
      <c r="E1363" s="4" t="s">
        <v>311</v>
      </c>
      <c r="F1363" s="4" t="s">
        <v>376</v>
      </c>
      <c r="G1363" s="4" t="s">
        <v>38</v>
      </c>
      <c r="H1363" s="4" t="n">
        <v>2</v>
      </c>
      <c r="I1363" s="4" t="n">
        <v>460</v>
      </c>
      <c r="J1363" s="4" t="s">
        <v>68</v>
      </c>
      <c r="K1363" s="4" t="s">
        <v>2555</v>
      </c>
      <c r="L1363" s="4" t="s">
        <v>2325</v>
      </c>
      <c r="M1363" s="4" t="s">
        <v>1412</v>
      </c>
      <c r="N1363" s="4" t="s">
        <v>185</v>
      </c>
      <c r="O1363" s="4" t="s">
        <v>2556</v>
      </c>
      <c r="P1363" s="4" t="s">
        <v>2327</v>
      </c>
    </row>
    <row r="1364" customFormat="false" ht="15" hidden="false" customHeight="false" outlineLevel="0" collapsed="false">
      <c r="A1364" s="4" t="s">
        <v>3391</v>
      </c>
      <c r="B1364" s="5" t="n">
        <v>46048</v>
      </c>
      <c r="C1364" s="5" t="n">
        <v>46151</v>
      </c>
      <c r="D1364" s="4" t="s">
        <v>3189</v>
      </c>
      <c r="E1364" s="4" t="s">
        <v>325</v>
      </c>
      <c r="F1364" s="4" t="s">
        <v>2332</v>
      </c>
      <c r="G1364" s="4" t="s">
        <v>38</v>
      </c>
      <c r="H1364" s="4" t="n">
        <v>3</v>
      </c>
      <c r="I1364" s="4" t="n">
        <v>240</v>
      </c>
      <c r="J1364" s="4" t="s">
        <v>40</v>
      </c>
      <c r="K1364" s="4" t="s">
        <v>2808</v>
      </c>
      <c r="L1364" s="4" t="s">
        <v>376</v>
      </c>
      <c r="M1364" s="4" t="s">
        <v>377</v>
      </c>
      <c r="N1364" s="4" t="s">
        <v>44</v>
      </c>
      <c r="O1364" s="4" t="s">
        <v>2809</v>
      </c>
      <c r="P1364" s="4" t="s">
        <v>2327</v>
      </c>
    </row>
    <row r="1365" customFormat="false" ht="15" hidden="false" customHeight="false" outlineLevel="0" collapsed="false">
      <c r="A1365" s="4" t="s">
        <v>3392</v>
      </c>
      <c r="B1365" s="5" t="n">
        <v>46048</v>
      </c>
      <c r="C1365" s="5" t="n">
        <v>46151</v>
      </c>
      <c r="D1365" s="4" t="s">
        <v>3189</v>
      </c>
      <c r="E1365" s="4" t="s">
        <v>306</v>
      </c>
      <c r="F1365" s="4" t="s">
        <v>376</v>
      </c>
      <c r="G1365" s="4" t="s">
        <v>38</v>
      </c>
      <c r="H1365" s="4" t="n">
        <v>2</v>
      </c>
      <c r="I1365" s="4" t="n">
        <v>310</v>
      </c>
      <c r="J1365" s="4" t="s">
        <v>68</v>
      </c>
      <c r="K1365" s="4" t="s">
        <v>2722</v>
      </c>
      <c r="L1365" s="4" t="s">
        <v>1172</v>
      </c>
      <c r="M1365" s="4" t="s">
        <v>377</v>
      </c>
      <c r="N1365" s="4" t="s">
        <v>44</v>
      </c>
      <c r="O1365" s="4" t="s">
        <v>2723</v>
      </c>
      <c r="P1365" s="4" t="s">
        <v>2327</v>
      </c>
    </row>
    <row r="1366" customFormat="false" ht="15" hidden="false" customHeight="false" outlineLevel="0" collapsed="false">
      <c r="A1366" s="4" t="s">
        <v>3393</v>
      </c>
      <c r="B1366" s="5" t="n">
        <v>46048</v>
      </c>
      <c r="C1366" s="5" t="n">
        <v>46151</v>
      </c>
      <c r="D1366" s="4" t="s">
        <v>3189</v>
      </c>
      <c r="E1366" s="4" t="s">
        <v>306</v>
      </c>
      <c r="F1366" s="4" t="s">
        <v>2332</v>
      </c>
      <c r="G1366" s="4" t="s">
        <v>59</v>
      </c>
      <c r="H1366" s="4" t="n">
        <v>4</v>
      </c>
      <c r="I1366" s="4" t="n">
        <v>157.5</v>
      </c>
      <c r="J1366" s="4" t="s">
        <v>40</v>
      </c>
      <c r="K1366" s="4" t="s">
        <v>3394</v>
      </c>
      <c r="L1366" s="4" t="s">
        <v>1514</v>
      </c>
      <c r="M1366" s="4" t="s">
        <v>133</v>
      </c>
      <c r="N1366" s="4" t="s">
        <v>44</v>
      </c>
      <c r="O1366" s="4" t="s">
        <v>3395</v>
      </c>
      <c r="P1366" s="4" t="s">
        <v>2327</v>
      </c>
    </row>
    <row r="1367" customFormat="false" ht="15" hidden="false" customHeight="false" outlineLevel="0" collapsed="false">
      <c r="A1367" s="4" t="s">
        <v>3396</v>
      </c>
      <c r="B1367" s="5" t="n">
        <v>46048</v>
      </c>
      <c r="C1367" s="5" t="n">
        <v>46151</v>
      </c>
      <c r="D1367" s="4" t="s">
        <v>3189</v>
      </c>
      <c r="E1367" s="4" t="s">
        <v>306</v>
      </c>
      <c r="F1367" s="4" t="s">
        <v>376</v>
      </c>
      <c r="G1367" s="4" t="s">
        <v>38</v>
      </c>
      <c r="H1367" s="4" t="n">
        <v>1</v>
      </c>
      <c r="I1367" s="4" t="n">
        <v>545</v>
      </c>
      <c r="J1367" s="4" t="s">
        <v>40</v>
      </c>
      <c r="K1367" s="4" t="s">
        <v>2409</v>
      </c>
      <c r="L1367" s="4" t="s">
        <v>376</v>
      </c>
      <c r="M1367" s="4" t="s">
        <v>377</v>
      </c>
      <c r="N1367" s="4" t="s">
        <v>52</v>
      </c>
      <c r="O1367" s="4" t="s">
        <v>2410</v>
      </c>
      <c r="P1367" s="4" t="s">
        <v>2327</v>
      </c>
    </row>
    <row r="1368" customFormat="false" ht="15" hidden="false" customHeight="false" outlineLevel="0" collapsed="false">
      <c r="A1368" s="4" t="s">
        <v>3397</v>
      </c>
      <c r="B1368" s="5" t="n">
        <v>46048</v>
      </c>
      <c r="C1368" s="5" t="n">
        <v>46151</v>
      </c>
      <c r="D1368" s="4" t="s">
        <v>3189</v>
      </c>
      <c r="E1368" s="4" t="s">
        <v>306</v>
      </c>
      <c r="F1368" s="4" t="s">
        <v>2362</v>
      </c>
      <c r="G1368" s="4" t="s">
        <v>38</v>
      </c>
      <c r="H1368" s="4" t="n">
        <v>1</v>
      </c>
      <c r="I1368" s="4" t="n">
        <v>545</v>
      </c>
      <c r="J1368" s="4" t="s">
        <v>40</v>
      </c>
      <c r="K1368" s="4" t="s">
        <v>3169</v>
      </c>
      <c r="L1368" s="4" t="s">
        <v>3398</v>
      </c>
      <c r="M1368" s="4" t="s">
        <v>365</v>
      </c>
      <c r="N1368" s="4" t="s">
        <v>44</v>
      </c>
      <c r="O1368" s="4" t="s">
        <v>3170</v>
      </c>
      <c r="P1368" s="4" t="s">
        <v>2327</v>
      </c>
    </row>
    <row r="1369" customFormat="false" ht="15" hidden="false" customHeight="false" outlineLevel="0" collapsed="false">
      <c r="A1369" s="4" t="s">
        <v>3399</v>
      </c>
      <c r="B1369" s="5" t="n">
        <v>46048</v>
      </c>
      <c r="C1369" s="5" t="n">
        <v>46051</v>
      </c>
      <c r="D1369" s="4" t="s">
        <v>2322</v>
      </c>
      <c r="E1369" s="4" t="s">
        <v>36</v>
      </c>
      <c r="F1369" s="4" t="s">
        <v>376</v>
      </c>
      <c r="G1369" s="4" t="s">
        <v>59</v>
      </c>
      <c r="H1369" s="4" t="n">
        <v>1</v>
      </c>
      <c r="I1369" s="4" t="n">
        <v>20</v>
      </c>
      <c r="J1369" s="4" t="s">
        <v>40</v>
      </c>
      <c r="K1369" s="4" t="s">
        <v>2687</v>
      </c>
      <c r="L1369" s="4" t="s">
        <v>376</v>
      </c>
      <c r="M1369" s="4" t="s">
        <v>377</v>
      </c>
      <c r="N1369" s="4" t="s">
        <v>44</v>
      </c>
      <c r="O1369" s="4" t="s">
        <v>2688</v>
      </c>
      <c r="P1369" s="4" t="s">
        <v>2327</v>
      </c>
    </row>
    <row r="1370" customFormat="false" ht="15" hidden="false" customHeight="false" outlineLevel="0" collapsed="false">
      <c r="A1370" s="4" t="s">
        <v>3400</v>
      </c>
      <c r="B1370" s="5" t="n">
        <v>46049</v>
      </c>
      <c r="C1370" s="5" t="n">
        <v>46151</v>
      </c>
      <c r="D1370" s="4" t="s">
        <v>3189</v>
      </c>
      <c r="E1370" s="4" t="s">
        <v>306</v>
      </c>
      <c r="F1370" s="4" t="s">
        <v>2362</v>
      </c>
      <c r="G1370" s="4" t="s">
        <v>59</v>
      </c>
      <c r="H1370" s="4" t="n">
        <v>3</v>
      </c>
      <c r="I1370" s="4" t="n">
        <v>177.5</v>
      </c>
      <c r="J1370" s="4" t="s">
        <v>40</v>
      </c>
      <c r="K1370" s="4" t="s">
        <v>2819</v>
      </c>
      <c r="L1370" s="4" t="s">
        <v>376</v>
      </c>
      <c r="M1370" s="4" t="s">
        <v>377</v>
      </c>
      <c r="N1370" s="4" t="s">
        <v>44</v>
      </c>
      <c r="O1370" s="4" t="s">
        <v>2820</v>
      </c>
      <c r="P1370" s="4" t="s">
        <v>2327</v>
      </c>
    </row>
    <row r="1371" customFormat="false" ht="15" hidden="false" customHeight="false" outlineLevel="0" collapsed="false">
      <c r="A1371" s="4" t="s">
        <v>3401</v>
      </c>
      <c r="B1371" s="5" t="n">
        <v>46049</v>
      </c>
      <c r="C1371" s="5" t="n">
        <v>46151</v>
      </c>
      <c r="D1371" s="4" t="s">
        <v>3189</v>
      </c>
      <c r="E1371" s="4" t="s">
        <v>306</v>
      </c>
      <c r="F1371" s="4" t="s">
        <v>2332</v>
      </c>
      <c r="G1371" s="4" t="s">
        <v>38</v>
      </c>
      <c r="H1371" s="4" t="n">
        <v>4</v>
      </c>
      <c r="I1371" s="4" t="n">
        <v>530</v>
      </c>
      <c r="J1371" s="4" t="s">
        <v>68</v>
      </c>
      <c r="K1371" s="4" t="s">
        <v>3402</v>
      </c>
      <c r="L1371" s="4" t="s">
        <v>1172</v>
      </c>
      <c r="M1371" s="4" t="s">
        <v>377</v>
      </c>
      <c r="N1371" s="4" t="s">
        <v>44</v>
      </c>
      <c r="O1371" s="4" t="s">
        <v>3403</v>
      </c>
      <c r="P1371" s="4" t="s">
        <v>2327</v>
      </c>
    </row>
    <row r="1372" customFormat="false" ht="15" hidden="false" customHeight="false" outlineLevel="0" collapsed="false">
      <c r="A1372" s="4" t="s">
        <v>3404</v>
      </c>
      <c r="B1372" s="5" t="n">
        <v>46049</v>
      </c>
      <c r="C1372" s="5" t="n">
        <v>46151</v>
      </c>
      <c r="D1372" s="4" t="s">
        <v>3189</v>
      </c>
      <c r="E1372" s="4" t="s">
        <v>306</v>
      </c>
      <c r="F1372" s="4" t="s">
        <v>2384</v>
      </c>
      <c r="G1372" s="4" t="s">
        <v>59</v>
      </c>
      <c r="H1372" s="4" t="n">
        <v>2</v>
      </c>
      <c r="I1372" s="4" t="n">
        <v>220</v>
      </c>
      <c r="J1372" s="4" t="s">
        <v>81</v>
      </c>
      <c r="K1372" s="4" t="s">
        <v>3405</v>
      </c>
      <c r="L1372" s="4" t="s">
        <v>3406</v>
      </c>
      <c r="M1372" s="4" t="s">
        <v>1683</v>
      </c>
      <c r="N1372" s="4" t="s">
        <v>44</v>
      </c>
      <c r="O1372" s="4" t="s">
        <v>3407</v>
      </c>
      <c r="P1372" s="4" t="s">
        <v>2327</v>
      </c>
    </row>
    <row r="1373" customFormat="false" ht="15" hidden="false" customHeight="false" outlineLevel="0" collapsed="false">
      <c r="A1373" s="4" t="s">
        <v>3408</v>
      </c>
      <c r="B1373" s="5" t="n">
        <v>46049</v>
      </c>
      <c r="C1373" s="5" t="n">
        <v>46051</v>
      </c>
      <c r="D1373" s="4" t="s">
        <v>2322</v>
      </c>
      <c r="E1373" s="4" t="s">
        <v>36</v>
      </c>
      <c r="F1373" s="4" t="s">
        <v>376</v>
      </c>
      <c r="G1373" s="4" t="s">
        <v>59</v>
      </c>
      <c r="H1373" s="4" t="n">
        <v>2</v>
      </c>
      <c r="I1373" s="4" t="n">
        <v>25</v>
      </c>
      <c r="J1373" s="4" t="s">
        <v>68</v>
      </c>
      <c r="K1373" s="4" t="s">
        <v>2479</v>
      </c>
      <c r="L1373" s="4" t="s">
        <v>2325</v>
      </c>
      <c r="M1373" s="4" t="s">
        <v>377</v>
      </c>
      <c r="N1373" s="4" t="s">
        <v>44</v>
      </c>
      <c r="O1373" s="4" t="s">
        <v>2480</v>
      </c>
      <c r="P1373" s="4" t="s">
        <v>2327</v>
      </c>
    </row>
    <row r="1374" customFormat="false" ht="15" hidden="false" customHeight="false" outlineLevel="0" collapsed="false">
      <c r="A1374" s="4" t="s">
        <v>3409</v>
      </c>
      <c r="B1374" s="5" t="n">
        <v>46050</v>
      </c>
      <c r="C1374" s="5" t="n">
        <v>46151</v>
      </c>
      <c r="D1374" s="4" t="s">
        <v>3189</v>
      </c>
      <c r="E1374" s="4" t="s">
        <v>306</v>
      </c>
      <c r="F1374" s="4" t="s">
        <v>376</v>
      </c>
      <c r="G1374" s="4" t="s">
        <v>38</v>
      </c>
      <c r="H1374" s="4" t="n">
        <v>2</v>
      </c>
      <c r="I1374" s="4" t="n">
        <v>585</v>
      </c>
      <c r="J1374" s="4" t="s">
        <v>68</v>
      </c>
      <c r="K1374" s="4" t="s">
        <v>3410</v>
      </c>
      <c r="L1374" s="4" t="s">
        <v>706</v>
      </c>
      <c r="M1374" s="4" t="s">
        <v>412</v>
      </c>
      <c r="N1374" s="4" t="s">
        <v>44</v>
      </c>
      <c r="O1374" s="4" t="s">
        <v>3411</v>
      </c>
      <c r="P1374" s="4" t="s">
        <v>2327</v>
      </c>
    </row>
    <row r="1375" customFormat="false" ht="15" hidden="false" customHeight="false" outlineLevel="0" collapsed="false">
      <c r="A1375" s="4" t="s">
        <v>3412</v>
      </c>
      <c r="B1375" s="5" t="n">
        <v>46050</v>
      </c>
      <c r="C1375" s="5" t="n">
        <v>46151</v>
      </c>
      <c r="D1375" s="4" t="s">
        <v>3189</v>
      </c>
      <c r="E1375" s="4" t="s">
        <v>306</v>
      </c>
      <c r="F1375" s="4" t="s">
        <v>376</v>
      </c>
      <c r="G1375" s="4" t="s">
        <v>38</v>
      </c>
      <c r="H1375" s="4" t="n">
        <v>3</v>
      </c>
      <c r="I1375" s="4" t="n">
        <v>250</v>
      </c>
      <c r="J1375" s="4" t="s">
        <v>40</v>
      </c>
      <c r="K1375" s="4" t="s">
        <v>2441</v>
      </c>
      <c r="L1375" s="4" t="s">
        <v>2325</v>
      </c>
      <c r="M1375" s="4" t="s">
        <v>377</v>
      </c>
      <c r="N1375" s="4" t="s">
        <v>44</v>
      </c>
      <c r="O1375" s="4" t="s">
        <v>2442</v>
      </c>
      <c r="P1375" s="4" t="s">
        <v>2327</v>
      </c>
    </row>
    <row r="1376" customFormat="false" ht="15" hidden="false" customHeight="false" outlineLevel="0" collapsed="false">
      <c r="A1376" s="4" t="s">
        <v>3413</v>
      </c>
      <c r="B1376" s="5" t="n">
        <v>46050</v>
      </c>
      <c r="C1376" s="5" t="n">
        <v>46151</v>
      </c>
      <c r="D1376" s="4" t="s">
        <v>3189</v>
      </c>
      <c r="E1376" s="4" t="s">
        <v>345</v>
      </c>
      <c r="F1376" s="4" t="s">
        <v>376</v>
      </c>
      <c r="G1376" s="4" t="s">
        <v>59</v>
      </c>
      <c r="H1376" s="4" t="n">
        <v>2</v>
      </c>
      <c r="I1376" s="4" t="n">
        <v>280</v>
      </c>
      <c r="J1376" s="4" t="s">
        <v>40</v>
      </c>
      <c r="K1376" s="4" t="s">
        <v>2366</v>
      </c>
      <c r="L1376" s="4" t="s">
        <v>376</v>
      </c>
      <c r="M1376" s="4" t="s">
        <v>377</v>
      </c>
      <c r="N1376" s="4" t="s">
        <v>94</v>
      </c>
      <c r="O1376" s="4" t="s">
        <v>2367</v>
      </c>
      <c r="P1376" s="4" t="s">
        <v>2327</v>
      </c>
    </row>
    <row r="1377" customFormat="false" ht="15" hidden="false" customHeight="false" outlineLevel="0" collapsed="false">
      <c r="A1377" s="4" t="s">
        <v>3414</v>
      </c>
      <c r="B1377" s="5" t="n">
        <v>46051</v>
      </c>
      <c r="C1377" s="5" t="n">
        <v>46151</v>
      </c>
      <c r="D1377" s="4" t="s">
        <v>3189</v>
      </c>
      <c r="E1377" s="4" t="s">
        <v>311</v>
      </c>
      <c r="F1377" s="4" t="s">
        <v>2332</v>
      </c>
      <c r="G1377" s="4" t="s">
        <v>38</v>
      </c>
      <c r="H1377" s="4" t="n">
        <v>2</v>
      </c>
      <c r="I1377" s="4" t="n">
        <v>585</v>
      </c>
      <c r="J1377" s="4" t="s">
        <v>40</v>
      </c>
      <c r="K1377" s="4" t="s">
        <v>2792</v>
      </c>
      <c r="L1377" s="4" t="s">
        <v>376</v>
      </c>
      <c r="M1377" s="4" t="s">
        <v>377</v>
      </c>
      <c r="N1377" s="4" t="s">
        <v>44</v>
      </c>
      <c r="O1377" s="4" t="s">
        <v>2793</v>
      </c>
      <c r="P1377" s="4" t="s">
        <v>2327</v>
      </c>
    </row>
    <row r="1378" customFormat="false" ht="15" hidden="false" customHeight="false" outlineLevel="0" collapsed="false">
      <c r="A1378" s="4" t="s">
        <v>3415</v>
      </c>
      <c r="B1378" s="5" t="n">
        <v>46051</v>
      </c>
      <c r="C1378" s="5" t="n">
        <v>46052</v>
      </c>
      <c r="D1378" s="4" t="s">
        <v>2322</v>
      </c>
      <c r="E1378" s="4" t="s">
        <v>36</v>
      </c>
      <c r="F1378" s="4" t="s">
        <v>376</v>
      </c>
      <c r="G1378" s="4" t="s">
        <v>38</v>
      </c>
      <c r="H1378" s="4" t="n">
        <v>2</v>
      </c>
      <c r="I1378" s="4" t="n">
        <v>40</v>
      </c>
      <c r="J1378" s="4" t="s">
        <v>68</v>
      </c>
      <c r="K1378" s="4" t="s">
        <v>3416</v>
      </c>
      <c r="L1378" s="4" t="s">
        <v>2384</v>
      </c>
      <c r="M1378" s="4" t="s">
        <v>377</v>
      </c>
      <c r="N1378" s="4" t="s">
        <v>52</v>
      </c>
      <c r="O1378" s="4" t="s">
        <v>3417</v>
      </c>
      <c r="P1378" s="4" t="s">
        <v>2327</v>
      </c>
    </row>
    <row r="1379" customFormat="false" ht="15" hidden="false" customHeight="false" outlineLevel="0" collapsed="false">
      <c r="A1379" s="4" t="s">
        <v>3418</v>
      </c>
      <c r="B1379" s="5" t="n">
        <v>46054</v>
      </c>
      <c r="C1379" s="5" t="n">
        <v>46151</v>
      </c>
      <c r="D1379" s="4" t="s">
        <v>3189</v>
      </c>
      <c r="E1379" s="4" t="s">
        <v>306</v>
      </c>
      <c r="F1379" s="4" t="s">
        <v>376</v>
      </c>
      <c r="G1379" s="4" t="s">
        <v>59</v>
      </c>
      <c r="H1379" s="4" t="n">
        <v>2</v>
      </c>
      <c r="I1379" s="4" t="n">
        <v>370</v>
      </c>
      <c r="J1379" s="4" t="s">
        <v>68</v>
      </c>
      <c r="K1379" s="4" t="s">
        <v>3042</v>
      </c>
      <c r="L1379" s="4" t="s">
        <v>2384</v>
      </c>
      <c r="M1379" s="4" t="s">
        <v>377</v>
      </c>
      <c r="N1379" s="4" t="s">
        <v>44</v>
      </c>
      <c r="O1379" s="4" t="s">
        <v>3043</v>
      </c>
      <c r="P1379" s="4" t="s">
        <v>2327</v>
      </c>
    </row>
    <row r="1380" customFormat="false" ht="15" hidden="false" customHeight="false" outlineLevel="0" collapsed="false">
      <c r="A1380" s="4" t="s">
        <v>3419</v>
      </c>
      <c r="B1380" s="5" t="n">
        <v>46054</v>
      </c>
      <c r="C1380" s="5" t="n">
        <v>46055</v>
      </c>
      <c r="D1380" s="4" t="s">
        <v>2322</v>
      </c>
      <c r="E1380" s="4" t="s">
        <v>36</v>
      </c>
      <c r="F1380" s="4" t="s">
        <v>376</v>
      </c>
      <c r="G1380" s="4" t="s">
        <v>38</v>
      </c>
      <c r="H1380" s="4" t="n">
        <v>2</v>
      </c>
      <c r="I1380" s="4" t="n">
        <v>40</v>
      </c>
      <c r="J1380" s="4" t="s">
        <v>40</v>
      </c>
      <c r="K1380" s="4" t="s">
        <v>3420</v>
      </c>
      <c r="L1380" s="4" t="s">
        <v>364</v>
      </c>
      <c r="M1380" s="4" t="s">
        <v>365</v>
      </c>
      <c r="N1380" s="4" t="s">
        <v>44</v>
      </c>
      <c r="O1380" s="4" t="s">
        <v>3421</v>
      </c>
      <c r="P1380" s="4" t="s">
        <v>2327</v>
      </c>
    </row>
    <row r="1381" customFormat="false" ht="15" hidden="false" customHeight="false" outlineLevel="0" collapsed="false">
      <c r="A1381" s="4" t="s">
        <v>3422</v>
      </c>
      <c r="B1381" s="5" t="n">
        <v>46055</v>
      </c>
      <c r="C1381" s="5" t="n">
        <v>46151</v>
      </c>
      <c r="D1381" s="4" t="s">
        <v>3189</v>
      </c>
      <c r="E1381" s="4" t="s">
        <v>306</v>
      </c>
      <c r="F1381" s="4" t="s">
        <v>2384</v>
      </c>
      <c r="G1381" s="4" t="s">
        <v>38</v>
      </c>
      <c r="H1381" s="4" t="n">
        <v>2</v>
      </c>
      <c r="I1381" s="4" t="n">
        <v>600</v>
      </c>
      <c r="J1381" s="4" t="s">
        <v>68</v>
      </c>
      <c r="K1381" s="4" t="s">
        <v>2605</v>
      </c>
      <c r="L1381" s="4" t="s">
        <v>376</v>
      </c>
      <c r="M1381" s="4" t="s">
        <v>377</v>
      </c>
      <c r="N1381" s="4" t="s">
        <v>44</v>
      </c>
      <c r="O1381" s="4" t="s">
        <v>2606</v>
      </c>
      <c r="P1381" s="4" t="s">
        <v>2327</v>
      </c>
    </row>
    <row r="1382" customFormat="false" ht="15" hidden="false" customHeight="false" outlineLevel="0" collapsed="false">
      <c r="A1382" s="4" t="s">
        <v>3423</v>
      </c>
      <c r="B1382" s="5" t="n">
        <v>46055</v>
      </c>
      <c r="C1382" s="5" t="n">
        <v>46151</v>
      </c>
      <c r="D1382" s="4" t="s">
        <v>3189</v>
      </c>
      <c r="E1382" s="4" t="s">
        <v>306</v>
      </c>
      <c r="F1382" s="4" t="s">
        <v>376</v>
      </c>
      <c r="G1382" s="4" t="s">
        <v>38</v>
      </c>
      <c r="H1382" s="4" t="n">
        <v>4</v>
      </c>
      <c r="I1382" s="4" t="n">
        <v>480</v>
      </c>
      <c r="J1382" s="4" t="s">
        <v>68</v>
      </c>
      <c r="K1382" s="4" t="s">
        <v>3424</v>
      </c>
      <c r="L1382" s="4" t="s">
        <v>596</v>
      </c>
      <c r="M1382" s="4" t="s">
        <v>695</v>
      </c>
      <c r="N1382" s="4" t="s">
        <v>52</v>
      </c>
      <c r="O1382" s="4" t="s">
        <v>3425</v>
      </c>
      <c r="P1382" s="4" t="s">
        <v>2327</v>
      </c>
    </row>
    <row r="1383" customFormat="false" ht="15" hidden="false" customHeight="false" outlineLevel="0" collapsed="false">
      <c r="A1383" s="4" t="s">
        <v>3426</v>
      </c>
      <c r="B1383" s="5" t="n">
        <v>46056</v>
      </c>
      <c r="C1383" s="5" t="n">
        <v>46059</v>
      </c>
      <c r="D1383" s="4" t="s">
        <v>2322</v>
      </c>
      <c r="E1383" s="4" t="s">
        <v>36</v>
      </c>
      <c r="F1383" s="4" t="s">
        <v>376</v>
      </c>
      <c r="G1383" s="4" t="s">
        <v>38</v>
      </c>
      <c r="H1383" s="4" t="n">
        <v>3</v>
      </c>
      <c r="I1383" s="4" t="n">
        <v>35</v>
      </c>
      <c r="J1383" s="4" t="s">
        <v>40</v>
      </c>
      <c r="K1383" s="4" t="s">
        <v>2605</v>
      </c>
      <c r="L1383" s="4" t="s">
        <v>376</v>
      </c>
      <c r="M1383" s="4" t="s">
        <v>377</v>
      </c>
      <c r="N1383" s="4" t="s">
        <v>52</v>
      </c>
      <c r="O1383" s="4" t="s">
        <v>2606</v>
      </c>
      <c r="P1383" s="4" t="s">
        <v>2327</v>
      </c>
    </row>
    <row r="1384" customFormat="false" ht="15" hidden="false" customHeight="false" outlineLevel="0" collapsed="false">
      <c r="A1384" s="4" t="s">
        <v>3427</v>
      </c>
      <c r="B1384" s="5" t="n">
        <v>46057</v>
      </c>
      <c r="C1384" s="5" t="n">
        <v>46151</v>
      </c>
      <c r="D1384" s="4" t="s">
        <v>3189</v>
      </c>
      <c r="E1384" s="4" t="s">
        <v>306</v>
      </c>
      <c r="F1384" s="4" t="s">
        <v>376</v>
      </c>
      <c r="G1384" s="4" t="s">
        <v>38</v>
      </c>
      <c r="H1384" s="4" t="n">
        <v>4</v>
      </c>
      <c r="I1384" s="4" t="n">
        <v>335</v>
      </c>
      <c r="J1384" s="4" t="s">
        <v>68</v>
      </c>
      <c r="K1384" s="4" t="s">
        <v>3428</v>
      </c>
      <c r="L1384" s="4" t="s">
        <v>463</v>
      </c>
      <c r="M1384" s="4" t="s">
        <v>464</v>
      </c>
      <c r="N1384" s="4" t="s">
        <v>44</v>
      </c>
      <c r="O1384" s="4" t="s">
        <v>3429</v>
      </c>
      <c r="P1384" s="4" t="s">
        <v>2327</v>
      </c>
    </row>
    <row r="1385" customFormat="false" ht="15" hidden="false" customHeight="false" outlineLevel="0" collapsed="false">
      <c r="A1385" s="4" t="s">
        <v>3430</v>
      </c>
      <c r="B1385" s="5" t="n">
        <v>46058</v>
      </c>
      <c r="C1385" s="5" t="n">
        <v>46151</v>
      </c>
      <c r="D1385" s="4" t="s">
        <v>3189</v>
      </c>
      <c r="E1385" s="4" t="s">
        <v>306</v>
      </c>
      <c r="F1385" s="4" t="s">
        <v>376</v>
      </c>
      <c r="G1385" s="4" t="s">
        <v>38</v>
      </c>
      <c r="H1385" s="4" t="n">
        <v>2</v>
      </c>
      <c r="I1385" s="4" t="n">
        <v>555</v>
      </c>
      <c r="J1385" s="4" t="s">
        <v>40</v>
      </c>
      <c r="K1385" s="4" t="s">
        <v>3339</v>
      </c>
      <c r="L1385" s="4" t="s">
        <v>376</v>
      </c>
      <c r="M1385" s="4" t="s">
        <v>377</v>
      </c>
      <c r="N1385" s="4" t="s">
        <v>52</v>
      </c>
      <c r="O1385" s="4" t="s">
        <v>3340</v>
      </c>
      <c r="P1385" s="4" t="s">
        <v>2327</v>
      </c>
    </row>
    <row r="1386" customFormat="false" ht="15" hidden="false" customHeight="false" outlineLevel="0" collapsed="false">
      <c r="A1386" s="4" t="s">
        <v>3431</v>
      </c>
      <c r="B1386" s="5" t="n">
        <v>46060</v>
      </c>
      <c r="C1386" s="5" t="n">
        <v>46061</v>
      </c>
      <c r="D1386" s="4" t="s">
        <v>2322</v>
      </c>
      <c r="E1386" s="4" t="s">
        <v>36</v>
      </c>
      <c r="F1386" s="4" t="s">
        <v>376</v>
      </c>
      <c r="G1386" s="4" t="s">
        <v>38</v>
      </c>
      <c r="H1386" s="4" t="n">
        <v>1</v>
      </c>
      <c r="I1386" s="4" t="n">
        <v>35</v>
      </c>
      <c r="J1386" s="4" t="s">
        <v>149</v>
      </c>
      <c r="K1386" s="4" t="s">
        <v>2798</v>
      </c>
      <c r="L1386" s="4" t="s">
        <v>376</v>
      </c>
      <c r="M1386" s="4" t="s">
        <v>377</v>
      </c>
      <c r="N1386" s="4" t="s">
        <v>44</v>
      </c>
      <c r="O1386" s="4" t="s">
        <v>2799</v>
      </c>
      <c r="P1386" s="4" t="s">
        <v>2327</v>
      </c>
    </row>
    <row r="1387" customFormat="false" ht="15" hidden="false" customHeight="false" outlineLevel="0" collapsed="false">
      <c r="A1387" s="4" t="s">
        <v>3432</v>
      </c>
      <c r="B1387" s="5" t="n">
        <v>46062</v>
      </c>
      <c r="C1387" s="5" t="n">
        <v>46062</v>
      </c>
      <c r="D1387" s="4" t="s">
        <v>2322</v>
      </c>
      <c r="E1387" s="4" t="s">
        <v>36</v>
      </c>
      <c r="F1387" s="4" t="s">
        <v>376</v>
      </c>
      <c r="G1387" s="4" t="s">
        <v>38</v>
      </c>
      <c r="H1387" s="4" t="n">
        <v>2</v>
      </c>
      <c r="I1387" s="4" t="n">
        <v>45</v>
      </c>
      <c r="J1387" s="4" t="s">
        <v>68</v>
      </c>
      <c r="K1387" s="4" t="s">
        <v>2690</v>
      </c>
      <c r="L1387" s="4" t="s">
        <v>376</v>
      </c>
      <c r="M1387" s="4" t="s">
        <v>377</v>
      </c>
      <c r="N1387" s="4" t="s">
        <v>44</v>
      </c>
      <c r="O1387" s="4" t="s">
        <v>2691</v>
      </c>
      <c r="P1387" s="4" t="s">
        <v>2327</v>
      </c>
    </row>
    <row r="1388" customFormat="false" ht="15" hidden="false" customHeight="false" outlineLevel="0" collapsed="false">
      <c r="A1388" s="4" t="s">
        <v>3433</v>
      </c>
      <c r="B1388" s="5" t="n">
        <v>46063</v>
      </c>
      <c r="C1388" s="5" t="n">
        <v>46151</v>
      </c>
      <c r="D1388" s="4" t="s">
        <v>3189</v>
      </c>
      <c r="E1388" s="4" t="s">
        <v>306</v>
      </c>
      <c r="F1388" s="4" t="s">
        <v>2323</v>
      </c>
      <c r="G1388" s="4" t="s">
        <v>326</v>
      </c>
      <c r="H1388" s="4" t="n">
        <v>1</v>
      </c>
      <c r="I1388" s="4" t="n">
        <v>830</v>
      </c>
      <c r="J1388" s="4" t="s">
        <v>81</v>
      </c>
      <c r="K1388" s="4" t="s">
        <v>2558</v>
      </c>
      <c r="L1388" s="4" t="s">
        <v>376</v>
      </c>
      <c r="M1388" s="4" t="s">
        <v>377</v>
      </c>
      <c r="N1388" s="4" t="s">
        <v>44</v>
      </c>
      <c r="O1388" s="4" t="s">
        <v>2559</v>
      </c>
      <c r="P1388" s="4" t="s">
        <v>2327</v>
      </c>
    </row>
    <row r="1389" customFormat="false" ht="15" hidden="false" customHeight="false" outlineLevel="0" collapsed="false">
      <c r="A1389" s="4" t="s">
        <v>3434</v>
      </c>
      <c r="B1389" s="5" t="n">
        <v>46065</v>
      </c>
      <c r="C1389" s="5" t="n">
        <v>46151</v>
      </c>
      <c r="D1389" s="4" t="s">
        <v>3189</v>
      </c>
      <c r="E1389" s="4" t="s">
        <v>311</v>
      </c>
      <c r="F1389" s="4" t="s">
        <v>376</v>
      </c>
      <c r="G1389" s="4" t="s">
        <v>38</v>
      </c>
      <c r="H1389" s="4" t="n">
        <v>3</v>
      </c>
      <c r="I1389" s="4" t="n">
        <v>740</v>
      </c>
      <c r="J1389" s="4" t="s">
        <v>68</v>
      </c>
      <c r="K1389" s="4" t="s">
        <v>2450</v>
      </c>
      <c r="L1389" s="4" t="s">
        <v>376</v>
      </c>
      <c r="M1389" s="4" t="s">
        <v>377</v>
      </c>
      <c r="N1389" s="4" t="s">
        <v>44</v>
      </c>
      <c r="O1389" s="4" t="s">
        <v>2451</v>
      </c>
      <c r="P1389" s="4" t="s">
        <v>2327</v>
      </c>
    </row>
    <row r="1390" customFormat="false" ht="15" hidden="false" customHeight="false" outlineLevel="0" collapsed="false">
      <c r="A1390" s="4" t="s">
        <v>3435</v>
      </c>
      <c r="B1390" s="5" t="n">
        <v>46065</v>
      </c>
      <c r="C1390" s="5" t="n">
        <v>46151</v>
      </c>
      <c r="D1390" s="4" t="s">
        <v>3189</v>
      </c>
      <c r="E1390" s="4" t="s">
        <v>306</v>
      </c>
      <c r="F1390" s="4" t="s">
        <v>376</v>
      </c>
      <c r="G1390" s="4" t="s">
        <v>59</v>
      </c>
      <c r="H1390" s="4" t="n">
        <v>3</v>
      </c>
      <c r="I1390" s="4" t="n">
        <v>180</v>
      </c>
      <c r="J1390" s="4" t="s">
        <v>68</v>
      </c>
      <c r="K1390" s="4" t="s">
        <v>2413</v>
      </c>
      <c r="L1390" s="4" t="s">
        <v>376</v>
      </c>
      <c r="M1390" s="4" t="s">
        <v>377</v>
      </c>
      <c r="N1390" s="4" t="s">
        <v>44</v>
      </c>
      <c r="O1390" s="4" t="s">
        <v>2414</v>
      </c>
      <c r="P1390" s="4" t="s">
        <v>2327</v>
      </c>
    </row>
    <row r="1391" customFormat="false" ht="15" hidden="false" customHeight="false" outlineLevel="0" collapsed="false">
      <c r="A1391" s="4" t="s">
        <v>3436</v>
      </c>
      <c r="B1391" s="5" t="n">
        <v>46065</v>
      </c>
      <c r="C1391" s="5" t="n">
        <v>46151</v>
      </c>
      <c r="D1391" s="4" t="s">
        <v>3189</v>
      </c>
      <c r="E1391" s="4" t="s">
        <v>323</v>
      </c>
      <c r="F1391" s="4" t="s">
        <v>2332</v>
      </c>
      <c r="G1391" s="4" t="s">
        <v>59</v>
      </c>
      <c r="H1391" s="4" t="n">
        <v>2</v>
      </c>
      <c r="I1391" s="4" t="n">
        <v>230</v>
      </c>
      <c r="J1391" s="4" t="s">
        <v>40</v>
      </c>
      <c r="K1391" s="4" t="s">
        <v>3437</v>
      </c>
      <c r="L1391" s="4" t="s">
        <v>596</v>
      </c>
      <c r="M1391" s="4" t="s">
        <v>695</v>
      </c>
      <c r="N1391" s="4" t="s">
        <v>44</v>
      </c>
      <c r="O1391" s="4" t="s">
        <v>3438</v>
      </c>
      <c r="P1391" s="4" t="s">
        <v>2327</v>
      </c>
    </row>
    <row r="1392" customFormat="false" ht="15" hidden="false" customHeight="false" outlineLevel="0" collapsed="false">
      <c r="A1392" s="4" t="s">
        <v>3439</v>
      </c>
      <c r="B1392" s="5" t="n">
        <v>46067</v>
      </c>
      <c r="C1392" s="5" t="n">
        <v>46151</v>
      </c>
      <c r="D1392" s="4" t="s">
        <v>3189</v>
      </c>
      <c r="E1392" s="4" t="s">
        <v>345</v>
      </c>
      <c r="F1392" s="4" t="s">
        <v>376</v>
      </c>
      <c r="G1392" s="4" t="s">
        <v>38</v>
      </c>
      <c r="H1392" s="4" t="n">
        <v>1</v>
      </c>
      <c r="I1392" s="4" t="n">
        <v>235</v>
      </c>
      <c r="J1392" s="4" t="s">
        <v>40</v>
      </c>
      <c r="K1392" s="4" t="s">
        <v>3143</v>
      </c>
      <c r="L1392" s="4" t="s">
        <v>524</v>
      </c>
      <c r="M1392" s="4" t="s">
        <v>377</v>
      </c>
      <c r="N1392" s="4" t="s">
        <v>44</v>
      </c>
      <c r="O1392" s="4" t="s">
        <v>3144</v>
      </c>
      <c r="P1392" s="4" t="s">
        <v>2327</v>
      </c>
    </row>
    <row r="1393" customFormat="false" ht="15" hidden="false" customHeight="false" outlineLevel="0" collapsed="false">
      <c r="A1393" s="4" t="s">
        <v>3440</v>
      </c>
      <c r="B1393" s="5" t="n">
        <v>46067</v>
      </c>
      <c r="C1393" s="5" t="n">
        <v>46151</v>
      </c>
      <c r="D1393" s="4" t="s">
        <v>3189</v>
      </c>
      <c r="E1393" s="4" t="s">
        <v>311</v>
      </c>
      <c r="F1393" s="4" t="s">
        <v>2323</v>
      </c>
      <c r="G1393" s="4" t="s">
        <v>59</v>
      </c>
      <c r="H1393" s="4" t="n">
        <v>1</v>
      </c>
      <c r="I1393" s="4" t="n">
        <v>142.5</v>
      </c>
      <c r="J1393" s="4" t="s">
        <v>68</v>
      </c>
      <c r="K1393" s="4" t="s">
        <v>2485</v>
      </c>
      <c r="L1393" s="4" t="s">
        <v>376</v>
      </c>
      <c r="M1393" s="4" t="s">
        <v>377</v>
      </c>
      <c r="N1393" s="4" t="s">
        <v>44</v>
      </c>
      <c r="O1393" s="4" t="s">
        <v>2486</v>
      </c>
      <c r="P1393" s="4" t="s">
        <v>2327</v>
      </c>
    </row>
    <row r="1394" customFormat="false" ht="15" hidden="false" customHeight="false" outlineLevel="0" collapsed="false">
      <c r="A1394" s="4" t="s">
        <v>3441</v>
      </c>
      <c r="B1394" s="5" t="n">
        <v>46069</v>
      </c>
      <c r="C1394" s="5" t="n">
        <v>46151</v>
      </c>
      <c r="D1394" s="4" t="s">
        <v>3189</v>
      </c>
      <c r="E1394" s="4" t="s">
        <v>306</v>
      </c>
      <c r="F1394" s="4" t="s">
        <v>2362</v>
      </c>
      <c r="G1394" s="4" t="s">
        <v>38</v>
      </c>
      <c r="H1394" s="4" t="n">
        <v>1</v>
      </c>
      <c r="I1394" s="4" t="n">
        <v>280</v>
      </c>
      <c r="J1394" s="4" t="s">
        <v>68</v>
      </c>
      <c r="K1394" s="4" t="s">
        <v>2648</v>
      </c>
      <c r="L1394" s="4" t="s">
        <v>1172</v>
      </c>
      <c r="M1394" s="4" t="s">
        <v>377</v>
      </c>
      <c r="N1394" s="4" t="s">
        <v>44</v>
      </c>
      <c r="O1394" s="4" t="s">
        <v>2649</v>
      </c>
      <c r="P1394" s="4" t="s">
        <v>2327</v>
      </c>
    </row>
    <row r="1395" customFormat="false" ht="15" hidden="false" customHeight="false" outlineLevel="0" collapsed="false">
      <c r="A1395" s="4" t="s">
        <v>3442</v>
      </c>
      <c r="B1395" s="5" t="n">
        <v>46069</v>
      </c>
      <c r="C1395" s="5" t="n">
        <v>46069</v>
      </c>
      <c r="D1395" s="4" t="s">
        <v>2322</v>
      </c>
      <c r="E1395" s="4" t="s">
        <v>36</v>
      </c>
      <c r="F1395" s="4" t="s">
        <v>376</v>
      </c>
      <c r="G1395" s="4" t="s">
        <v>59</v>
      </c>
      <c r="H1395" s="4" t="n">
        <v>1</v>
      </c>
      <c r="I1395" s="4" t="n">
        <v>20</v>
      </c>
      <c r="J1395" s="4" t="s">
        <v>68</v>
      </c>
      <c r="K1395" s="4" t="s">
        <v>2392</v>
      </c>
      <c r="L1395" s="4" t="s">
        <v>376</v>
      </c>
      <c r="M1395" s="4" t="s">
        <v>377</v>
      </c>
      <c r="N1395" s="4" t="s">
        <v>185</v>
      </c>
      <c r="O1395" s="4" t="s">
        <v>2393</v>
      </c>
      <c r="P1395" s="4" t="s">
        <v>2327</v>
      </c>
    </row>
    <row r="1396" customFormat="false" ht="15" hidden="false" customHeight="false" outlineLevel="0" collapsed="false">
      <c r="A1396" s="4" t="s">
        <v>3443</v>
      </c>
      <c r="B1396" s="5" t="n">
        <v>46070</v>
      </c>
      <c r="C1396" s="5" t="n">
        <v>46151</v>
      </c>
      <c r="D1396" s="4" t="s">
        <v>3189</v>
      </c>
      <c r="E1396" s="4" t="s">
        <v>306</v>
      </c>
      <c r="F1396" s="4" t="s">
        <v>2332</v>
      </c>
      <c r="G1396" s="4" t="s">
        <v>38</v>
      </c>
      <c r="H1396" s="4" t="n">
        <v>3</v>
      </c>
      <c r="I1396" s="4" t="n">
        <v>525</v>
      </c>
      <c r="J1396" s="4" t="s">
        <v>68</v>
      </c>
      <c r="K1396" s="4" t="s">
        <v>3444</v>
      </c>
      <c r="L1396" s="4" t="s">
        <v>376</v>
      </c>
      <c r="M1396" s="4" t="s">
        <v>377</v>
      </c>
      <c r="N1396" s="4" t="s">
        <v>185</v>
      </c>
      <c r="O1396" s="4" t="s">
        <v>3445</v>
      </c>
      <c r="P1396" s="4" t="s">
        <v>2327</v>
      </c>
    </row>
    <row r="1397" customFormat="false" ht="15" hidden="false" customHeight="false" outlineLevel="0" collapsed="false">
      <c r="A1397" s="4" t="s">
        <v>3446</v>
      </c>
      <c r="B1397" s="5" t="n">
        <v>46072</v>
      </c>
      <c r="C1397" s="5" t="n">
        <v>46151</v>
      </c>
      <c r="D1397" s="4" t="s">
        <v>3189</v>
      </c>
      <c r="E1397" s="4" t="s">
        <v>306</v>
      </c>
      <c r="F1397" s="4" t="s">
        <v>2323</v>
      </c>
      <c r="G1397" s="4" t="s">
        <v>59</v>
      </c>
      <c r="H1397" s="4" t="n">
        <v>2</v>
      </c>
      <c r="I1397" s="4" t="n">
        <v>175</v>
      </c>
      <c r="J1397" s="4" t="s">
        <v>149</v>
      </c>
      <c r="K1397" s="4" t="s">
        <v>2808</v>
      </c>
      <c r="L1397" s="4" t="s">
        <v>2325</v>
      </c>
      <c r="M1397" s="4" t="s">
        <v>377</v>
      </c>
      <c r="N1397" s="4" t="s">
        <v>44</v>
      </c>
      <c r="O1397" s="4" t="s">
        <v>2809</v>
      </c>
      <c r="P1397" s="4" t="s">
        <v>2327</v>
      </c>
    </row>
    <row r="1398" customFormat="false" ht="15" hidden="false" customHeight="false" outlineLevel="0" collapsed="false">
      <c r="A1398" s="4" t="s">
        <v>3447</v>
      </c>
      <c r="B1398" s="5" t="n">
        <v>46072</v>
      </c>
      <c r="C1398" s="5" t="n">
        <v>46151</v>
      </c>
      <c r="D1398" s="4" t="s">
        <v>3189</v>
      </c>
      <c r="E1398" s="4" t="s">
        <v>323</v>
      </c>
      <c r="F1398" s="4" t="s">
        <v>376</v>
      </c>
      <c r="G1398" s="4" t="s">
        <v>59</v>
      </c>
      <c r="H1398" s="4" t="n">
        <v>2</v>
      </c>
      <c r="I1398" s="4" t="n">
        <v>142.5</v>
      </c>
      <c r="J1398" s="4" t="s">
        <v>149</v>
      </c>
      <c r="K1398" s="4" t="s">
        <v>1614</v>
      </c>
      <c r="L1398" s="4" t="s">
        <v>382</v>
      </c>
      <c r="M1398" s="4" t="s">
        <v>43</v>
      </c>
      <c r="N1398" s="4" t="s">
        <v>44</v>
      </c>
      <c r="O1398" s="4" t="s">
        <v>1615</v>
      </c>
      <c r="P1398" s="4" t="s">
        <v>2327</v>
      </c>
    </row>
    <row r="1399" customFormat="false" ht="15" hidden="false" customHeight="false" outlineLevel="0" collapsed="false">
      <c r="A1399" s="4" t="s">
        <v>3439</v>
      </c>
      <c r="B1399" s="5" t="n">
        <v>46067</v>
      </c>
      <c r="C1399" s="5" t="n">
        <v>46151</v>
      </c>
      <c r="D1399" s="4" t="s">
        <v>3189</v>
      </c>
      <c r="E1399" s="4" t="s">
        <v>345</v>
      </c>
      <c r="F1399" s="4" t="s">
        <v>376</v>
      </c>
      <c r="G1399" s="4" t="s">
        <v>38</v>
      </c>
      <c r="H1399" s="4" t="n">
        <v>1</v>
      </c>
      <c r="I1399" s="4" t="n">
        <v>235</v>
      </c>
      <c r="J1399" s="4" t="s">
        <v>40</v>
      </c>
      <c r="K1399" s="4" t="s">
        <v>3143</v>
      </c>
      <c r="L1399" s="4" t="s">
        <v>524</v>
      </c>
      <c r="M1399" s="4" t="s">
        <v>377</v>
      </c>
      <c r="N1399" s="4" t="s">
        <v>44</v>
      </c>
      <c r="O1399" s="4" t="s">
        <v>3144</v>
      </c>
      <c r="P1399" s="4" t="s">
        <v>2327</v>
      </c>
    </row>
    <row r="1400" customFormat="false" ht="15" hidden="false" customHeight="false" outlineLevel="0" collapsed="false">
      <c r="A1400" s="4" t="s">
        <v>3448</v>
      </c>
      <c r="B1400" s="5" t="n">
        <v>46072</v>
      </c>
      <c r="C1400" s="5" t="n">
        <v>46074</v>
      </c>
      <c r="D1400" s="4" t="s">
        <v>2322</v>
      </c>
      <c r="E1400" s="4" t="s">
        <v>36</v>
      </c>
      <c r="F1400" s="4" t="s">
        <v>376</v>
      </c>
      <c r="G1400" s="4" t="s">
        <v>59</v>
      </c>
      <c r="H1400" s="4" t="n">
        <v>1</v>
      </c>
      <c r="I1400" s="4" t="n">
        <v>15</v>
      </c>
      <c r="J1400" s="4" t="s">
        <v>149</v>
      </c>
      <c r="K1400" s="4" t="s">
        <v>2369</v>
      </c>
      <c r="L1400" s="4" t="s">
        <v>1172</v>
      </c>
      <c r="M1400" s="4" t="s">
        <v>377</v>
      </c>
      <c r="N1400" s="4" t="s">
        <v>44</v>
      </c>
      <c r="O1400" s="4" t="s">
        <v>2370</v>
      </c>
      <c r="P1400" s="4" t="s">
        <v>2327</v>
      </c>
    </row>
    <row r="1401" customFormat="false" ht="15" hidden="false" customHeight="false" outlineLevel="0" collapsed="false">
      <c r="A1401" s="4" t="s">
        <v>3449</v>
      </c>
      <c r="B1401" s="5" t="n">
        <v>46073</v>
      </c>
      <c r="C1401" s="5" t="n">
        <v>46073</v>
      </c>
      <c r="D1401" s="4" t="s">
        <v>2322</v>
      </c>
      <c r="E1401" s="4" t="s">
        <v>66</v>
      </c>
      <c r="F1401" s="4" t="s">
        <v>376</v>
      </c>
      <c r="G1401" s="4" t="s">
        <v>59</v>
      </c>
      <c r="H1401" s="4" t="n">
        <v>3</v>
      </c>
      <c r="I1401" s="4" t="n">
        <v>22.5</v>
      </c>
      <c r="J1401" s="4" t="s">
        <v>68</v>
      </c>
      <c r="K1401" s="4" t="s">
        <v>3450</v>
      </c>
      <c r="L1401" s="4" t="s">
        <v>376</v>
      </c>
      <c r="M1401" s="4" t="s">
        <v>377</v>
      </c>
      <c r="N1401" s="4" t="s">
        <v>44</v>
      </c>
      <c r="O1401" s="4" t="s">
        <v>3451</v>
      </c>
      <c r="P1401" s="4" t="s">
        <v>2327</v>
      </c>
    </row>
    <row r="1402" customFormat="false" ht="15" hidden="false" customHeight="false" outlineLevel="0" collapsed="false">
      <c r="A1402" s="4" t="s">
        <v>3452</v>
      </c>
      <c r="B1402" s="5" t="n">
        <v>46074</v>
      </c>
      <c r="C1402" s="5" t="n">
        <v>46151</v>
      </c>
      <c r="D1402" s="4" t="s">
        <v>3189</v>
      </c>
      <c r="E1402" s="4" t="s">
        <v>306</v>
      </c>
      <c r="F1402" s="4" t="s">
        <v>376</v>
      </c>
      <c r="G1402" s="4" t="s">
        <v>59</v>
      </c>
      <c r="H1402" s="4" t="n">
        <v>1</v>
      </c>
      <c r="I1402" s="4" t="n">
        <v>185</v>
      </c>
      <c r="J1402" s="4" t="s">
        <v>68</v>
      </c>
      <c r="K1402" s="4" t="s">
        <v>3019</v>
      </c>
      <c r="L1402" s="4" t="s">
        <v>376</v>
      </c>
      <c r="M1402" s="4" t="s">
        <v>377</v>
      </c>
      <c r="N1402" s="4" t="s">
        <v>44</v>
      </c>
      <c r="O1402" s="4" t="s">
        <v>3020</v>
      </c>
      <c r="P1402" s="4" t="s">
        <v>2327</v>
      </c>
    </row>
    <row r="1403" customFormat="false" ht="15" hidden="false" customHeight="false" outlineLevel="0" collapsed="false">
      <c r="A1403" s="4" t="s">
        <v>3453</v>
      </c>
      <c r="B1403" s="5" t="n">
        <v>46077</v>
      </c>
      <c r="C1403" s="5" t="n">
        <v>46151</v>
      </c>
      <c r="D1403" s="4" t="s">
        <v>3189</v>
      </c>
      <c r="E1403" s="4" t="s">
        <v>306</v>
      </c>
      <c r="F1403" s="4" t="s">
        <v>376</v>
      </c>
      <c r="G1403" s="4" t="s">
        <v>59</v>
      </c>
      <c r="H1403" s="4" t="n">
        <v>1</v>
      </c>
      <c r="I1403" s="4" t="n">
        <v>340</v>
      </c>
      <c r="J1403" s="4" t="s">
        <v>68</v>
      </c>
      <c r="K1403" s="4" t="s">
        <v>3339</v>
      </c>
      <c r="L1403" s="4" t="s">
        <v>2325</v>
      </c>
      <c r="M1403" s="4" t="s">
        <v>1412</v>
      </c>
      <c r="N1403" s="4" t="s">
        <v>44</v>
      </c>
      <c r="O1403" s="4" t="s">
        <v>3340</v>
      </c>
      <c r="P1403" s="4" t="s">
        <v>2327</v>
      </c>
    </row>
    <row r="1404" customFormat="false" ht="15" hidden="false" customHeight="false" outlineLevel="0" collapsed="false">
      <c r="A1404" s="4" t="s">
        <v>3454</v>
      </c>
      <c r="B1404" s="5" t="n">
        <v>46077</v>
      </c>
      <c r="C1404" s="5" t="n">
        <v>46151</v>
      </c>
      <c r="D1404" s="4" t="s">
        <v>3189</v>
      </c>
      <c r="E1404" s="4" t="s">
        <v>306</v>
      </c>
      <c r="F1404" s="4" t="s">
        <v>2384</v>
      </c>
      <c r="G1404" s="4" t="s">
        <v>38</v>
      </c>
      <c r="H1404" s="4" t="n">
        <v>2</v>
      </c>
      <c r="I1404" s="4" t="n">
        <v>410</v>
      </c>
      <c r="J1404" s="4" t="s">
        <v>40</v>
      </c>
      <c r="K1404" s="4" t="s">
        <v>3359</v>
      </c>
      <c r="L1404" s="4" t="s">
        <v>596</v>
      </c>
      <c r="M1404" s="4" t="s">
        <v>695</v>
      </c>
      <c r="N1404" s="4" t="s">
        <v>44</v>
      </c>
      <c r="O1404" s="4" t="s">
        <v>3360</v>
      </c>
      <c r="P1404" s="4" t="s">
        <v>2327</v>
      </c>
    </row>
    <row r="1405" customFormat="false" ht="15" hidden="false" customHeight="false" outlineLevel="0" collapsed="false">
      <c r="A1405" s="4" t="s">
        <v>3455</v>
      </c>
      <c r="B1405" s="5" t="n">
        <v>46081</v>
      </c>
      <c r="C1405" s="5" t="n">
        <v>46151</v>
      </c>
      <c r="D1405" s="4" t="s">
        <v>3189</v>
      </c>
      <c r="E1405" s="4" t="s">
        <v>306</v>
      </c>
      <c r="F1405" s="4" t="s">
        <v>2362</v>
      </c>
      <c r="G1405" s="4" t="s">
        <v>38</v>
      </c>
      <c r="H1405" s="4" t="n">
        <v>2</v>
      </c>
      <c r="I1405" s="4" t="n">
        <v>575</v>
      </c>
      <c r="J1405" s="4" t="s">
        <v>40</v>
      </c>
      <c r="K1405" s="4" t="s">
        <v>2742</v>
      </c>
      <c r="L1405" s="4" t="s">
        <v>376</v>
      </c>
      <c r="M1405" s="4" t="s">
        <v>377</v>
      </c>
      <c r="N1405" s="4" t="s">
        <v>44</v>
      </c>
      <c r="O1405" s="4" t="s">
        <v>2743</v>
      </c>
      <c r="P1405" s="4" t="s">
        <v>2327</v>
      </c>
    </row>
    <row r="1406" customFormat="false" ht="15" hidden="false" customHeight="false" outlineLevel="0" collapsed="false">
      <c r="A1406" s="4" t="s">
        <v>3456</v>
      </c>
      <c r="B1406" s="5" t="n">
        <v>46081</v>
      </c>
      <c r="C1406" s="5" t="n">
        <v>46082</v>
      </c>
      <c r="D1406" s="4" t="s">
        <v>2322</v>
      </c>
      <c r="E1406" s="4" t="s">
        <v>36</v>
      </c>
      <c r="F1406" s="4" t="s">
        <v>376</v>
      </c>
      <c r="G1406" s="4" t="s">
        <v>38</v>
      </c>
      <c r="H1406" s="4" t="n">
        <v>1</v>
      </c>
      <c r="I1406" s="4" t="n">
        <v>35</v>
      </c>
      <c r="J1406" s="4" t="s">
        <v>40</v>
      </c>
      <c r="K1406" s="4" t="s">
        <v>2742</v>
      </c>
      <c r="L1406" s="4" t="s">
        <v>2384</v>
      </c>
      <c r="M1406" s="4" t="s">
        <v>377</v>
      </c>
      <c r="N1406" s="4" t="s">
        <v>94</v>
      </c>
      <c r="O1406" s="4" t="s">
        <v>2743</v>
      </c>
      <c r="P1406" s="4" t="s">
        <v>2327</v>
      </c>
    </row>
    <row r="1407" customFormat="false" ht="15" hidden="false" customHeight="false" outlineLevel="0" collapsed="false">
      <c r="A1407" s="4" t="s">
        <v>3457</v>
      </c>
      <c r="B1407" s="5" t="n">
        <v>46084</v>
      </c>
      <c r="C1407" s="5" t="n">
        <v>46151</v>
      </c>
      <c r="D1407" s="4" t="s">
        <v>3189</v>
      </c>
      <c r="E1407" s="4" t="s">
        <v>311</v>
      </c>
      <c r="F1407" s="4" t="s">
        <v>376</v>
      </c>
      <c r="G1407" s="4" t="s">
        <v>38</v>
      </c>
      <c r="H1407" s="4" t="n">
        <v>2</v>
      </c>
      <c r="I1407" s="4"/>
      <c r="J1407" s="4" t="s">
        <v>68</v>
      </c>
      <c r="K1407" s="4" t="s">
        <v>3458</v>
      </c>
      <c r="L1407" s="4" t="s">
        <v>596</v>
      </c>
      <c r="M1407" s="4" t="s">
        <v>695</v>
      </c>
      <c r="N1407" s="4" t="s">
        <v>44</v>
      </c>
      <c r="O1407" s="4" t="s">
        <v>3459</v>
      </c>
      <c r="P1407" s="4" t="s">
        <v>2327</v>
      </c>
    </row>
    <row r="1408" customFormat="false" ht="15" hidden="false" customHeight="false" outlineLevel="0" collapsed="false">
      <c r="A1408" s="4" t="s">
        <v>3460</v>
      </c>
      <c r="B1408" s="5" t="n">
        <v>46084</v>
      </c>
      <c r="C1408" s="5" t="n">
        <v>46085</v>
      </c>
      <c r="D1408" s="4" t="s">
        <v>2322</v>
      </c>
      <c r="E1408" s="4" t="s">
        <v>89</v>
      </c>
      <c r="F1408" s="4" t="s">
        <v>2332</v>
      </c>
      <c r="G1408" s="4" t="s">
        <v>38</v>
      </c>
      <c r="H1408" s="4" t="n">
        <v>4</v>
      </c>
      <c r="I1408" s="4" t="n">
        <v>35</v>
      </c>
      <c r="J1408" s="4" t="s">
        <v>68</v>
      </c>
      <c r="K1408" s="4" t="s">
        <v>2547</v>
      </c>
      <c r="L1408" s="4" t="s">
        <v>1172</v>
      </c>
      <c r="M1408" s="4" t="s">
        <v>1412</v>
      </c>
      <c r="N1408" s="4" t="s">
        <v>44</v>
      </c>
      <c r="O1408" s="4" t="s">
        <v>2548</v>
      </c>
      <c r="P1408" s="4" t="s">
        <v>2327</v>
      </c>
    </row>
    <row r="1409" customFormat="false" ht="15" hidden="false" customHeight="false" outlineLevel="0" collapsed="false">
      <c r="A1409" s="4" t="s">
        <v>3461</v>
      </c>
      <c r="B1409" s="5" t="n">
        <v>46086</v>
      </c>
      <c r="C1409" s="5" t="n">
        <v>46151</v>
      </c>
      <c r="D1409" s="4" t="s">
        <v>3189</v>
      </c>
      <c r="E1409" s="4" t="s">
        <v>306</v>
      </c>
      <c r="F1409" s="4" t="s">
        <v>2362</v>
      </c>
      <c r="G1409" s="4" t="s">
        <v>38</v>
      </c>
      <c r="H1409" s="4" t="n">
        <v>3</v>
      </c>
      <c r="I1409" s="4" t="n">
        <v>460</v>
      </c>
      <c r="J1409" s="4" t="s">
        <v>40</v>
      </c>
      <c r="K1409" s="4" t="s">
        <v>3462</v>
      </c>
      <c r="L1409" s="4" t="s">
        <v>432</v>
      </c>
      <c r="M1409" s="4" t="s">
        <v>356</v>
      </c>
      <c r="N1409" s="4" t="s">
        <v>433</v>
      </c>
      <c r="O1409" s="4"/>
      <c r="P1409" s="4" t="s">
        <v>2327</v>
      </c>
    </row>
    <row r="1410" customFormat="false" ht="15" hidden="false" customHeight="false" outlineLevel="0" collapsed="false">
      <c r="A1410" s="4" t="s">
        <v>3463</v>
      </c>
      <c r="B1410" s="5" t="n">
        <v>46086</v>
      </c>
      <c r="C1410" s="5" t="n">
        <v>46151</v>
      </c>
      <c r="D1410" s="4" t="s">
        <v>3189</v>
      </c>
      <c r="E1410" s="4" t="s">
        <v>306</v>
      </c>
      <c r="F1410" s="4" t="s">
        <v>2384</v>
      </c>
      <c r="G1410" s="4" t="s">
        <v>59</v>
      </c>
      <c r="H1410" s="4" t="n">
        <v>2</v>
      </c>
      <c r="I1410" s="4" t="n">
        <v>372.5</v>
      </c>
      <c r="J1410" s="4" t="s">
        <v>68</v>
      </c>
      <c r="K1410" s="4" t="s">
        <v>2819</v>
      </c>
      <c r="L1410" s="4" t="s">
        <v>2384</v>
      </c>
      <c r="M1410" s="4" t="s">
        <v>377</v>
      </c>
      <c r="N1410" s="4" t="s">
        <v>44</v>
      </c>
      <c r="O1410" s="4" t="s">
        <v>2820</v>
      </c>
      <c r="P1410" s="4" t="s">
        <v>2327</v>
      </c>
    </row>
    <row r="1411" customFormat="false" ht="15" hidden="false" customHeight="false" outlineLevel="0" collapsed="false">
      <c r="A1411" s="4" t="s">
        <v>3464</v>
      </c>
      <c r="B1411" s="5" t="n">
        <v>46088</v>
      </c>
      <c r="C1411" s="5" t="n">
        <v>46151</v>
      </c>
      <c r="D1411" s="4" t="s">
        <v>3189</v>
      </c>
      <c r="E1411" s="4" t="s">
        <v>306</v>
      </c>
      <c r="F1411" s="4" t="s">
        <v>376</v>
      </c>
      <c r="G1411" s="4" t="s">
        <v>38</v>
      </c>
      <c r="H1411" s="4" t="n">
        <v>2</v>
      </c>
      <c r="I1411" s="4" t="n">
        <v>535</v>
      </c>
      <c r="J1411" s="4" t="s">
        <v>68</v>
      </c>
      <c r="K1411" s="4" t="s">
        <v>2637</v>
      </c>
      <c r="L1411" s="4" t="s">
        <v>376</v>
      </c>
      <c r="M1411" s="4" t="s">
        <v>377</v>
      </c>
      <c r="N1411" s="4" t="s">
        <v>44</v>
      </c>
      <c r="O1411" s="4" t="s">
        <v>2638</v>
      </c>
      <c r="P1411" s="4" t="s">
        <v>2327</v>
      </c>
    </row>
    <row r="1412" customFormat="false" ht="15" hidden="false" customHeight="false" outlineLevel="0" collapsed="false">
      <c r="A1412" s="4" t="s">
        <v>3465</v>
      </c>
      <c r="B1412" s="5" t="n">
        <v>46089</v>
      </c>
      <c r="C1412" s="5" t="n">
        <v>46092</v>
      </c>
      <c r="D1412" s="4" t="s">
        <v>2322</v>
      </c>
      <c r="E1412" s="4" t="s">
        <v>36</v>
      </c>
      <c r="F1412" s="4" t="s">
        <v>376</v>
      </c>
      <c r="G1412" s="4" t="s">
        <v>38</v>
      </c>
      <c r="H1412" s="4" t="n">
        <v>3</v>
      </c>
      <c r="I1412" s="4" t="n">
        <v>45</v>
      </c>
      <c r="J1412" s="4" t="s">
        <v>81</v>
      </c>
      <c r="K1412" s="4" t="s">
        <v>2653</v>
      </c>
      <c r="L1412" s="4" t="s">
        <v>376</v>
      </c>
      <c r="M1412" s="4" t="s">
        <v>377</v>
      </c>
      <c r="N1412" s="4" t="s">
        <v>44</v>
      </c>
      <c r="O1412" s="4" t="s">
        <v>2654</v>
      </c>
      <c r="P1412" s="4" t="s">
        <v>2327</v>
      </c>
    </row>
    <row r="1413" customFormat="false" ht="15" hidden="false" customHeight="false" outlineLevel="0" collapsed="false">
      <c r="A1413" s="4" t="s">
        <v>3466</v>
      </c>
      <c r="B1413" s="5" t="n">
        <v>46089</v>
      </c>
      <c r="C1413" s="5" t="n">
        <v>46090</v>
      </c>
      <c r="D1413" s="4" t="s">
        <v>2322</v>
      </c>
      <c r="E1413" s="4" t="s">
        <v>57</v>
      </c>
      <c r="F1413" s="4" t="s">
        <v>2384</v>
      </c>
      <c r="G1413" s="4" t="s">
        <v>38</v>
      </c>
      <c r="H1413" s="4" t="n">
        <v>4</v>
      </c>
      <c r="I1413" s="4" t="n">
        <v>40</v>
      </c>
      <c r="J1413" s="4" t="s">
        <v>68</v>
      </c>
      <c r="K1413" s="4" t="s">
        <v>2722</v>
      </c>
      <c r="L1413" s="4" t="s">
        <v>2325</v>
      </c>
      <c r="M1413" s="4" t="s">
        <v>377</v>
      </c>
      <c r="N1413" s="4" t="s">
        <v>52</v>
      </c>
      <c r="O1413" s="4" t="s">
        <v>2723</v>
      </c>
      <c r="P1413" s="4" t="s">
        <v>2327</v>
      </c>
    </row>
    <row r="1414" customFormat="false" ht="15" hidden="false" customHeight="false" outlineLevel="0" collapsed="false">
      <c r="A1414" s="4" t="s">
        <v>3467</v>
      </c>
      <c r="B1414" s="5" t="n">
        <v>46093</v>
      </c>
      <c r="C1414" s="5" t="n">
        <v>46093</v>
      </c>
      <c r="D1414" s="4" t="s">
        <v>2322</v>
      </c>
      <c r="E1414" s="4" t="s">
        <v>66</v>
      </c>
      <c r="F1414" s="4" t="s">
        <v>376</v>
      </c>
      <c r="G1414" s="4" t="s">
        <v>59</v>
      </c>
      <c r="H1414" s="4" t="n">
        <v>1</v>
      </c>
      <c r="I1414" s="4" t="n">
        <v>22.5</v>
      </c>
      <c r="J1414" s="4" t="s">
        <v>68</v>
      </c>
      <c r="K1414" s="4" t="s">
        <v>3114</v>
      </c>
      <c r="L1414" s="4" t="s">
        <v>2384</v>
      </c>
      <c r="M1414" s="4" t="s">
        <v>377</v>
      </c>
      <c r="N1414" s="4" t="s">
        <v>185</v>
      </c>
      <c r="O1414" s="4" t="s">
        <v>3115</v>
      </c>
      <c r="P1414" s="4" t="s">
        <v>2327</v>
      </c>
    </row>
    <row r="1415" customFormat="false" ht="15" hidden="false" customHeight="false" outlineLevel="0" collapsed="false">
      <c r="A1415" s="4" t="s">
        <v>3468</v>
      </c>
      <c r="B1415" s="5" t="n">
        <v>46093</v>
      </c>
      <c r="C1415" s="5" t="n">
        <v>46093</v>
      </c>
      <c r="D1415" s="4" t="s">
        <v>2322</v>
      </c>
      <c r="E1415" s="4" t="s">
        <v>89</v>
      </c>
      <c r="F1415" s="4" t="s">
        <v>376</v>
      </c>
      <c r="G1415" s="4" t="s">
        <v>38</v>
      </c>
      <c r="H1415" s="4" t="n">
        <v>1</v>
      </c>
      <c r="I1415" s="4" t="n">
        <v>40</v>
      </c>
      <c r="J1415" s="4" t="s">
        <v>40</v>
      </c>
      <c r="K1415" s="4" t="s">
        <v>2337</v>
      </c>
      <c r="L1415" s="4" t="s">
        <v>2384</v>
      </c>
      <c r="M1415" s="4" t="s">
        <v>377</v>
      </c>
      <c r="N1415" s="4" t="s">
        <v>94</v>
      </c>
      <c r="O1415" s="4" t="s">
        <v>2338</v>
      </c>
      <c r="P1415" s="4" t="s">
        <v>2327</v>
      </c>
    </row>
    <row r="1416" customFormat="false" ht="15" hidden="false" customHeight="false" outlineLevel="0" collapsed="false">
      <c r="A1416" s="4" t="s">
        <v>3469</v>
      </c>
      <c r="B1416" s="5" t="n">
        <v>46094</v>
      </c>
      <c r="C1416" s="5" t="n">
        <v>46151</v>
      </c>
      <c r="D1416" s="4" t="s">
        <v>3189</v>
      </c>
      <c r="E1416" s="4" t="s">
        <v>306</v>
      </c>
      <c r="F1416" s="4" t="s">
        <v>376</v>
      </c>
      <c r="G1416" s="4" t="s">
        <v>38</v>
      </c>
      <c r="H1416" s="4" t="n">
        <v>2</v>
      </c>
      <c r="I1416" s="4" t="n">
        <v>655</v>
      </c>
      <c r="J1416" s="4" t="s">
        <v>40</v>
      </c>
      <c r="K1416" s="4" t="s">
        <v>2722</v>
      </c>
      <c r="L1416" s="4" t="s">
        <v>2384</v>
      </c>
      <c r="M1416" s="4" t="s">
        <v>1412</v>
      </c>
      <c r="N1416" s="4" t="s">
        <v>94</v>
      </c>
      <c r="O1416" s="4" t="s">
        <v>2723</v>
      </c>
      <c r="P1416" s="4" t="s">
        <v>2327</v>
      </c>
    </row>
    <row r="1417" customFormat="false" ht="15" hidden="false" customHeight="false" outlineLevel="0" collapsed="false">
      <c r="A1417" s="4" t="s">
        <v>3470</v>
      </c>
      <c r="B1417" s="5" t="n">
        <v>46096</v>
      </c>
      <c r="C1417" s="5" t="n">
        <v>46151</v>
      </c>
      <c r="D1417" s="4" t="s">
        <v>3189</v>
      </c>
      <c r="E1417" s="4" t="s">
        <v>306</v>
      </c>
      <c r="F1417" s="4" t="s">
        <v>2332</v>
      </c>
      <c r="G1417" s="4" t="s">
        <v>38</v>
      </c>
      <c r="H1417" s="4" t="n">
        <v>1</v>
      </c>
      <c r="I1417" s="4" t="n">
        <v>665</v>
      </c>
      <c r="J1417" s="4" t="s">
        <v>40</v>
      </c>
      <c r="K1417" s="4" t="s">
        <v>2614</v>
      </c>
      <c r="L1417" s="4" t="s">
        <v>376</v>
      </c>
      <c r="M1417" s="4" t="s">
        <v>377</v>
      </c>
      <c r="N1417" s="4" t="s">
        <v>44</v>
      </c>
      <c r="O1417" s="4" t="s">
        <v>2615</v>
      </c>
      <c r="P1417" s="4" t="s">
        <v>2327</v>
      </c>
    </row>
    <row r="1418" customFormat="false" ht="15" hidden="false" customHeight="false" outlineLevel="0" collapsed="false">
      <c r="A1418" s="4" t="s">
        <v>3466</v>
      </c>
      <c r="B1418" s="5" t="n">
        <v>46089</v>
      </c>
      <c r="C1418" s="5" t="n">
        <v>46090</v>
      </c>
      <c r="D1418" s="4" t="s">
        <v>2322</v>
      </c>
      <c r="E1418" s="4" t="s">
        <v>57</v>
      </c>
      <c r="F1418" s="4" t="s">
        <v>2384</v>
      </c>
      <c r="G1418" s="4" t="s">
        <v>38</v>
      </c>
      <c r="H1418" s="4" t="n">
        <v>4</v>
      </c>
      <c r="I1418" s="4" t="n">
        <v>40</v>
      </c>
      <c r="J1418" s="4" t="s">
        <v>68</v>
      </c>
      <c r="K1418" s="4" t="s">
        <v>2722</v>
      </c>
      <c r="L1418" s="4" t="s">
        <v>2325</v>
      </c>
      <c r="M1418" s="4" t="s">
        <v>377</v>
      </c>
      <c r="N1418" s="4" t="s">
        <v>52</v>
      </c>
      <c r="O1418" s="4" t="s">
        <v>2723</v>
      </c>
      <c r="P1418" s="4" t="s">
        <v>2327</v>
      </c>
    </row>
    <row r="1419" customFormat="false" ht="15" hidden="false" customHeight="false" outlineLevel="0" collapsed="false">
      <c r="A1419" s="4" t="s">
        <v>3471</v>
      </c>
      <c r="B1419" s="5" t="n">
        <v>46097</v>
      </c>
      <c r="C1419" s="5" t="n">
        <v>46151</v>
      </c>
      <c r="D1419" s="4" t="s">
        <v>3189</v>
      </c>
      <c r="E1419" s="4" t="s">
        <v>311</v>
      </c>
      <c r="F1419" s="4" t="s">
        <v>376</v>
      </c>
      <c r="G1419" s="4" t="s">
        <v>38</v>
      </c>
      <c r="H1419" s="4" t="n">
        <v>4</v>
      </c>
      <c r="I1419" s="4" t="n">
        <v>725</v>
      </c>
      <c r="J1419" s="4" t="s">
        <v>40</v>
      </c>
      <c r="K1419" s="4" t="s">
        <v>2329</v>
      </c>
      <c r="L1419" s="4" t="s">
        <v>2325</v>
      </c>
      <c r="M1419" s="4" t="s">
        <v>377</v>
      </c>
      <c r="N1419" s="4" t="s">
        <v>44</v>
      </c>
      <c r="O1419" s="4" t="s">
        <v>2330</v>
      </c>
      <c r="P1419" s="4" t="s">
        <v>2327</v>
      </c>
    </row>
    <row r="1420" customFormat="false" ht="15" hidden="false" customHeight="false" outlineLevel="0" collapsed="false">
      <c r="A1420" s="4" t="s">
        <v>3472</v>
      </c>
      <c r="B1420" s="5" t="n">
        <v>46098</v>
      </c>
      <c r="C1420" s="5" t="n">
        <v>46151</v>
      </c>
      <c r="D1420" s="4" t="s">
        <v>3189</v>
      </c>
      <c r="E1420" s="4" t="s">
        <v>306</v>
      </c>
      <c r="F1420" s="4" t="s">
        <v>376</v>
      </c>
      <c r="G1420" s="4" t="s">
        <v>38</v>
      </c>
      <c r="H1420" s="4" t="n">
        <v>4</v>
      </c>
      <c r="I1420" s="4" t="n">
        <v>360</v>
      </c>
      <c r="J1420" s="4" t="s">
        <v>68</v>
      </c>
      <c r="K1420" s="4" t="s">
        <v>2392</v>
      </c>
      <c r="L1420" s="4" t="s">
        <v>376</v>
      </c>
      <c r="M1420" s="4" t="s">
        <v>377</v>
      </c>
      <c r="N1420" s="4" t="s">
        <v>44</v>
      </c>
      <c r="O1420" s="4" t="s">
        <v>2393</v>
      </c>
      <c r="P1420" s="4" t="s">
        <v>2327</v>
      </c>
    </row>
    <row r="1421" customFormat="false" ht="15" hidden="false" customHeight="false" outlineLevel="0" collapsed="false">
      <c r="A1421" s="4" t="s">
        <v>3473</v>
      </c>
      <c r="B1421" s="5" t="n">
        <v>46104</v>
      </c>
      <c r="C1421" s="5" t="n">
        <v>46151</v>
      </c>
      <c r="D1421" s="4" t="s">
        <v>3189</v>
      </c>
      <c r="E1421" s="4" t="s">
        <v>306</v>
      </c>
      <c r="F1421" s="4" t="s">
        <v>376</v>
      </c>
      <c r="G1421" s="4" t="s">
        <v>38</v>
      </c>
      <c r="H1421" s="4" t="n">
        <v>2</v>
      </c>
      <c r="I1421" s="4" t="n">
        <v>550</v>
      </c>
      <c r="J1421" s="4" t="s">
        <v>68</v>
      </c>
      <c r="K1421" s="4" t="s">
        <v>3474</v>
      </c>
      <c r="L1421" s="4" t="s">
        <v>524</v>
      </c>
      <c r="M1421" s="4" t="s">
        <v>377</v>
      </c>
      <c r="N1421" s="4" t="s">
        <v>44</v>
      </c>
      <c r="O1421" s="4" t="s">
        <v>3475</v>
      </c>
      <c r="P1421" s="4" t="s">
        <v>2327</v>
      </c>
    </row>
    <row r="1422" customFormat="false" ht="15" hidden="false" customHeight="false" outlineLevel="0" collapsed="false">
      <c r="A1422" s="4" t="s">
        <v>3476</v>
      </c>
      <c r="B1422" s="5" t="n">
        <v>46105</v>
      </c>
      <c r="C1422" s="5" t="n">
        <v>46108</v>
      </c>
      <c r="D1422" s="4" t="s">
        <v>2322</v>
      </c>
      <c r="E1422" s="4" t="s">
        <v>36</v>
      </c>
      <c r="F1422" s="4" t="s">
        <v>376</v>
      </c>
      <c r="G1422" s="4" t="s">
        <v>38</v>
      </c>
      <c r="H1422" s="4" t="n">
        <v>1</v>
      </c>
      <c r="I1422" s="4" t="n">
        <v>30</v>
      </c>
      <c r="J1422" s="4" t="s">
        <v>149</v>
      </c>
      <c r="K1422" s="4" t="s">
        <v>1456</v>
      </c>
      <c r="L1422" s="4" t="s">
        <v>376</v>
      </c>
      <c r="M1422" s="4" t="s">
        <v>377</v>
      </c>
      <c r="N1422" s="4" t="s">
        <v>52</v>
      </c>
      <c r="O1422" s="4" t="s">
        <v>1457</v>
      </c>
      <c r="P1422" s="4" t="s">
        <v>2327</v>
      </c>
    </row>
    <row r="1423" customFormat="false" ht="15" hidden="false" customHeight="false" outlineLevel="0" collapsed="false">
      <c r="A1423" s="4" t="s">
        <v>3477</v>
      </c>
      <c r="B1423" s="5" t="n">
        <v>46107</v>
      </c>
      <c r="C1423" s="5" t="n">
        <v>46109</v>
      </c>
      <c r="D1423" s="4" t="s">
        <v>2322</v>
      </c>
      <c r="E1423" s="4" t="s">
        <v>36</v>
      </c>
      <c r="F1423" s="4" t="s">
        <v>376</v>
      </c>
      <c r="G1423" s="4" t="s">
        <v>38</v>
      </c>
      <c r="H1423" s="4" t="n">
        <v>1</v>
      </c>
      <c r="I1423" s="4" t="n">
        <v>30</v>
      </c>
      <c r="J1423" s="4" t="s">
        <v>40</v>
      </c>
      <c r="K1423" s="4" t="s">
        <v>3478</v>
      </c>
      <c r="L1423" s="4" t="s">
        <v>2325</v>
      </c>
      <c r="M1423" s="4" t="s">
        <v>377</v>
      </c>
      <c r="N1423" s="4" t="s">
        <v>44</v>
      </c>
      <c r="O1423" s="4" t="s">
        <v>3479</v>
      </c>
      <c r="P1423" s="4" t="s">
        <v>2327</v>
      </c>
    </row>
    <row r="1424" customFormat="false" ht="15" hidden="false" customHeight="false" outlineLevel="0" collapsed="false">
      <c r="A1424" s="4" t="s">
        <v>3480</v>
      </c>
      <c r="B1424" s="5" t="n">
        <v>46109</v>
      </c>
      <c r="C1424" s="5" t="n">
        <v>46151</v>
      </c>
      <c r="D1424" s="4" t="s">
        <v>3189</v>
      </c>
      <c r="E1424" s="4" t="s">
        <v>311</v>
      </c>
      <c r="F1424" s="4" t="s">
        <v>376</v>
      </c>
      <c r="G1424" s="4" t="s">
        <v>38</v>
      </c>
      <c r="H1424" s="4" t="n">
        <v>1</v>
      </c>
      <c r="I1424" s="4" t="n">
        <v>760</v>
      </c>
      <c r="J1424" s="4" t="s">
        <v>68</v>
      </c>
      <c r="K1424" s="4" t="s">
        <v>2392</v>
      </c>
      <c r="L1424" s="4" t="s">
        <v>376</v>
      </c>
      <c r="M1424" s="4" t="s">
        <v>377</v>
      </c>
      <c r="N1424" s="4" t="s">
        <v>44</v>
      </c>
      <c r="O1424" s="4" t="s">
        <v>2393</v>
      </c>
      <c r="P1424" s="4" t="s">
        <v>2327</v>
      </c>
    </row>
    <row r="1425" customFormat="false" ht="15" hidden="false" customHeight="false" outlineLevel="0" collapsed="false">
      <c r="A1425" s="4" t="s">
        <v>3481</v>
      </c>
      <c r="B1425" s="5" t="n">
        <v>46110</v>
      </c>
      <c r="C1425" s="5" t="n">
        <v>46111</v>
      </c>
      <c r="D1425" s="4" t="s">
        <v>2322</v>
      </c>
      <c r="E1425" s="4" t="s">
        <v>36</v>
      </c>
      <c r="F1425" s="4" t="s">
        <v>376</v>
      </c>
      <c r="G1425" s="4" t="s">
        <v>59</v>
      </c>
      <c r="H1425" s="4" t="n">
        <v>1</v>
      </c>
      <c r="I1425" s="4" t="n">
        <v>20</v>
      </c>
      <c r="J1425" s="4" t="s">
        <v>68</v>
      </c>
      <c r="K1425" s="4" t="s">
        <v>2471</v>
      </c>
      <c r="L1425" s="4" t="s">
        <v>2384</v>
      </c>
      <c r="M1425" s="4" t="s">
        <v>377</v>
      </c>
      <c r="N1425" s="4" t="s">
        <v>52</v>
      </c>
      <c r="O1425" s="4" t="s">
        <v>2472</v>
      </c>
      <c r="P1425" s="4" t="s">
        <v>2327</v>
      </c>
    </row>
    <row r="1426" customFormat="false" ht="15" hidden="false" customHeight="false" outlineLevel="0" collapsed="false">
      <c r="A1426" s="4" t="s">
        <v>3482</v>
      </c>
      <c r="B1426" s="5" t="n">
        <v>46111</v>
      </c>
      <c r="C1426" s="5" t="n">
        <v>46112</v>
      </c>
      <c r="D1426" s="4" t="s">
        <v>2322</v>
      </c>
      <c r="E1426" s="4" t="s">
        <v>36</v>
      </c>
      <c r="F1426" s="4" t="s">
        <v>2323</v>
      </c>
      <c r="G1426" s="4" t="s">
        <v>38</v>
      </c>
      <c r="H1426" s="4" t="n">
        <v>1</v>
      </c>
      <c r="I1426" s="4" t="n">
        <v>35</v>
      </c>
      <c r="J1426" s="4" t="s">
        <v>68</v>
      </c>
      <c r="K1426" s="4" t="s">
        <v>2836</v>
      </c>
      <c r="L1426" s="4" t="s">
        <v>376</v>
      </c>
      <c r="M1426" s="4" t="s">
        <v>377</v>
      </c>
      <c r="N1426" s="4" t="s">
        <v>94</v>
      </c>
      <c r="O1426" s="4" t="s">
        <v>2837</v>
      </c>
      <c r="P1426" s="4" t="s">
        <v>2327</v>
      </c>
    </row>
    <row r="1427" customFormat="false" ht="15" hidden="false" customHeight="false" outlineLevel="0" collapsed="false">
      <c r="A1427" s="4" t="s">
        <v>3483</v>
      </c>
      <c r="B1427" s="5" t="n">
        <v>46112</v>
      </c>
      <c r="C1427" s="5" t="n">
        <v>46151</v>
      </c>
      <c r="D1427" s="4" t="s">
        <v>3189</v>
      </c>
      <c r="E1427" s="4" t="s">
        <v>345</v>
      </c>
      <c r="F1427" s="4" t="s">
        <v>376</v>
      </c>
      <c r="G1427" s="4" t="s">
        <v>59</v>
      </c>
      <c r="H1427" s="4" t="n">
        <v>1</v>
      </c>
      <c r="I1427" s="4" t="n">
        <v>350</v>
      </c>
      <c r="J1427" s="4" t="s">
        <v>40</v>
      </c>
      <c r="K1427" s="4" t="s">
        <v>3484</v>
      </c>
      <c r="L1427" s="4" t="s">
        <v>524</v>
      </c>
      <c r="M1427" s="4" t="s">
        <v>1412</v>
      </c>
      <c r="N1427" s="4" t="s">
        <v>52</v>
      </c>
      <c r="O1427" s="4" t="s">
        <v>3485</v>
      </c>
      <c r="P1427" s="4" t="s">
        <v>2327</v>
      </c>
    </row>
    <row r="1428" customFormat="false" ht="15" hidden="false" customHeight="false" outlineLevel="0" collapsed="false">
      <c r="A1428" s="4" t="s">
        <v>3486</v>
      </c>
      <c r="B1428" s="5" t="n">
        <v>46112</v>
      </c>
      <c r="C1428" s="5" t="n">
        <v>46151</v>
      </c>
      <c r="D1428" s="4" t="s">
        <v>3189</v>
      </c>
      <c r="E1428" s="4" t="s">
        <v>345</v>
      </c>
      <c r="F1428" s="4" t="s">
        <v>376</v>
      </c>
      <c r="G1428" s="4" t="s">
        <v>38</v>
      </c>
      <c r="H1428" s="4" t="n">
        <v>4</v>
      </c>
      <c r="I1428" s="4" t="n">
        <v>550</v>
      </c>
      <c r="J1428" s="4" t="s">
        <v>40</v>
      </c>
      <c r="K1428" s="4" t="s">
        <v>2353</v>
      </c>
      <c r="L1428" s="4" t="s">
        <v>2325</v>
      </c>
      <c r="M1428" s="4" t="s">
        <v>377</v>
      </c>
      <c r="N1428" s="4" t="s">
        <v>44</v>
      </c>
      <c r="O1428" s="4" t="s">
        <v>2354</v>
      </c>
      <c r="P1428" s="4" t="s">
        <v>2327</v>
      </c>
    </row>
    <row r="1429" customFormat="false" ht="15" hidden="false" customHeight="false" outlineLevel="0" collapsed="false">
      <c r="A1429" s="4" t="s">
        <v>3487</v>
      </c>
      <c r="B1429" s="5" t="n">
        <v>46112</v>
      </c>
      <c r="C1429" s="5" t="n">
        <v>46112</v>
      </c>
      <c r="D1429" s="4" t="s">
        <v>2322</v>
      </c>
      <c r="E1429" s="4" t="s">
        <v>89</v>
      </c>
      <c r="F1429" s="4" t="s">
        <v>376</v>
      </c>
      <c r="G1429" s="4" t="s">
        <v>38</v>
      </c>
      <c r="H1429" s="4" t="n">
        <v>1</v>
      </c>
      <c r="I1429" s="4" t="n">
        <v>30</v>
      </c>
      <c r="J1429" s="4" t="s">
        <v>40</v>
      </c>
      <c r="K1429" s="4" t="s">
        <v>3057</v>
      </c>
      <c r="L1429" s="4" t="s">
        <v>376</v>
      </c>
      <c r="M1429" s="4" t="s">
        <v>377</v>
      </c>
      <c r="N1429" s="4" t="s">
        <v>94</v>
      </c>
      <c r="O1429" s="4" t="s">
        <v>3058</v>
      </c>
      <c r="P1429" s="4" t="s">
        <v>2327</v>
      </c>
    </row>
    <row r="1430" customFormat="false" ht="15" hidden="false" customHeight="false" outlineLevel="0" collapsed="false">
      <c r="A1430" s="4" t="s">
        <v>3488</v>
      </c>
      <c r="B1430" s="5" t="n">
        <v>46112</v>
      </c>
      <c r="C1430" s="5" t="n">
        <v>46115</v>
      </c>
      <c r="D1430" s="4" t="s">
        <v>2322</v>
      </c>
      <c r="E1430" s="4" t="s">
        <v>36</v>
      </c>
      <c r="F1430" s="4" t="s">
        <v>376</v>
      </c>
      <c r="G1430" s="4" t="s">
        <v>59</v>
      </c>
      <c r="H1430" s="4" t="n">
        <v>2</v>
      </c>
      <c r="I1430" s="4" t="n">
        <v>17.5</v>
      </c>
      <c r="J1430" s="4" t="s">
        <v>40</v>
      </c>
      <c r="K1430" s="4" t="s">
        <v>3489</v>
      </c>
      <c r="L1430" s="4" t="s">
        <v>376</v>
      </c>
      <c r="M1430" s="4" t="s">
        <v>377</v>
      </c>
      <c r="N1430" s="4" t="s">
        <v>44</v>
      </c>
      <c r="O1430" s="4" t="s">
        <v>3490</v>
      </c>
      <c r="P1430" s="4" t="s">
        <v>2327</v>
      </c>
    </row>
    <row r="1431" customFormat="false" ht="15" hidden="false" customHeight="false" outlineLevel="0" collapsed="false">
      <c r="A1431" s="4" t="s">
        <v>3491</v>
      </c>
      <c r="B1431" s="5" t="n">
        <v>46113</v>
      </c>
      <c r="C1431" s="5" t="n">
        <v>46151</v>
      </c>
      <c r="D1431" s="4" t="s">
        <v>3189</v>
      </c>
      <c r="E1431" s="4" t="s">
        <v>306</v>
      </c>
      <c r="F1431" s="4" t="s">
        <v>2362</v>
      </c>
      <c r="G1431" s="4" t="s">
        <v>38</v>
      </c>
      <c r="H1431" s="4" t="n">
        <v>3</v>
      </c>
      <c r="I1431" s="4" t="n">
        <v>700</v>
      </c>
      <c r="J1431" s="4" t="s">
        <v>40</v>
      </c>
      <c r="K1431" s="4" t="s">
        <v>2580</v>
      </c>
      <c r="L1431" s="4" t="s">
        <v>376</v>
      </c>
      <c r="M1431" s="4" t="s">
        <v>377</v>
      </c>
      <c r="N1431" s="4" t="s">
        <v>44</v>
      </c>
      <c r="O1431" s="4" t="s">
        <v>2581</v>
      </c>
      <c r="P1431" s="4" t="s">
        <v>2327</v>
      </c>
    </row>
    <row r="1432" customFormat="false" ht="15" hidden="false" customHeight="false" outlineLevel="0" collapsed="false">
      <c r="A1432" s="4" t="s">
        <v>3492</v>
      </c>
      <c r="B1432" s="5" t="n">
        <v>46114</v>
      </c>
      <c r="C1432" s="5" t="n">
        <v>46151</v>
      </c>
      <c r="D1432" s="4" t="s">
        <v>3189</v>
      </c>
      <c r="E1432" s="4" t="s">
        <v>306</v>
      </c>
      <c r="F1432" s="4" t="s">
        <v>2384</v>
      </c>
      <c r="G1432" s="4" t="s">
        <v>59</v>
      </c>
      <c r="H1432" s="4" t="n">
        <v>2</v>
      </c>
      <c r="I1432" s="4" t="n">
        <v>315</v>
      </c>
      <c r="J1432" s="4" t="s">
        <v>68</v>
      </c>
      <c r="K1432" s="4" t="s">
        <v>3166</v>
      </c>
      <c r="L1432" s="4" t="s">
        <v>376</v>
      </c>
      <c r="M1432" s="4" t="s">
        <v>377</v>
      </c>
      <c r="N1432" s="4" t="s">
        <v>44</v>
      </c>
      <c r="O1432" s="4" t="s">
        <v>3167</v>
      </c>
      <c r="P1432" s="4" t="s">
        <v>2327</v>
      </c>
    </row>
    <row r="1433" customFormat="false" ht="15" hidden="false" customHeight="false" outlineLevel="0" collapsed="false">
      <c r="A1433" s="4" t="s">
        <v>3492</v>
      </c>
      <c r="B1433" s="5" t="n">
        <v>46114</v>
      </c>
      <c r="C1433" s="5" t="n">
        <v>46151</v>
      </c>
      <c r="D1433" s="4" t="s">
        <v>3189</v>
      </c>
      <c r="E1433" s="4" t="s">
        <v>306</v>
      </c>
      <c r="F1433" s="4" t="s">
        <v>2384</v>
      </c>
      <c r="G1433" s="4" t="s">
        <v>59</v>
      </c>
      <c r="H1433" s="4" t="n">
        <v>2</v>
      </c>
      <c r="I1433" s="4" t="n">
        <v>315</v>
      </c>
      <c r="J1433" s="4" t="s">
        <v>68</v>
      </c>
      <c r="K1433" s="4" t="s">
        <v>3166</v>
      </c>
      <c r="L1433" s="4" t="s">
        <v>376</v>
      </c>
      <c r="M1433" s="4" t="s">
        <v>377</v>
      </c>
      <c r="N1433" s="4" t="s">
        <v>44</v>
      </c>
      <c r="O1433" s="4" t="s">
        <v>3167</v>
      </c>
      <c r="P1433" s="4" t="s">
        <v>2327</v>
      </c>
    </row>
    <row r="1434" customFormat="false" ht="15" hidden="false" customHeight="false" outlineLevel="0" collapsed="false">
      <c r="A1434" s="4" t="s">
        <v>3493</v>
      </c>
      <c r="B1434" s="5" t="n">
        <v>46115</v>
      </c>
      <c r="C1434" s="5" t="n">
        <v>46151</v>
      </c>
      <c r="D1434" s="4" t="s">
        <v>3189</v>
      </c>
      <c r="E1434" s="4" t="s">
        <v>323</v>
      </c>
      <c r="F1434" s="4" t="s">
        <v>376</v>
      </c>
      <c r="G1434" s="4" t="s">
        <v>59</v>
      </c>
      <c r="H1434" s="4" t="n">
        <v>1</v>
      </c>
      <c r="I1434" s="4" t="n">
        <v>327.5</v>
      </c>
      <c r="J1434" s="4" t="s">
        <v>81</v>
      </c>
      <c r="K1434" s="4" t="s">
        <v>2438</v>
      </c>
      <c r="L1434" s="4" t="s">
        <v>376</v>
      </c>
      <c r="M1434" s="4" t="s">
        <v>377</v>
      </c>
      <c r="N1434" s="4" t="s">
        <v>94</v>
      </c>
      <c r="O1434" s="4" t="s">
        <v>2439</v>
      </c>
      <c r="P1434" s="4" t="s">
        <v>2327</v>
      </c>
    </row>
    <row r="1435" customFormat="false" ht="15" hidden="false" customHeight="false" outlineLevel="0" collapsed="false">
      <c r="A1435" s="4" t="s">
        <v>3494</v>
      </c>
      <c r="B1435" s="5" t="n">
        <v>46116</v>
      </c>
      <c r="C1435" s="5" t="n">
        <v>46151</v>
      </c>
      <c r="D1435" s="4" t="s">
        <v>3189</v>
      </c>
      <c r="E1435" s="4" t="s">
        <v>306</v>
      </c>
      <c r="F1435" s="4" t="s">
        <v>376</v>
      </c>
      <c r="G1435" s="4" t="s">
        <v>38</v>
      </c>
      <c r="H1435" s="4" t="n">
        <v>3</v>
      </c>
      <c r="I1435" s="4" t="n">
        <v>720</v>
      </c>
      <c r="J1435" s="4" t="s">
        <v>149</v>
      </c>
      <c r="K1435" s="4" t="s">
        <v>3495</v>
      </c>
      <c r="L1435" s="4" t="s">
        <v>988</v>
      </c>
      <c r="M1435" s="4" t="s">
        <v>737</v>
      </c>
      <c r="N1435" s="4" t="s">
        <v>44</v>
      </c>
      <c r="O1435" s="4" t="s">
        <v>3496</v>
      </c>
      <c r="P1435" s="4" t="s">
        <v>2327</v>
      </c>
    </row>
    <row r="1436" customFormat="false" ht="15" hidden="false" customHeight="false" outlineLevel="0" collapsed="false">
      <c r="A1436" s="4" t="s">
        <v>3497</v>
      </c>
      <c r="B1436" s="5" t="n">
        <v>46117</v>
      </c>
      <c r="C1436" s="5" t="n">
        <v>46117</v>
      </c>
      <c r="D1436" s="4" t="s">
        <v>2322</v>
      </c>
      <c r="E1436" s="4" t="s">
        <v>36</v>
      </c>
      <c r="F1436" s="4" t="s">
        <v>376</v>
      </c>
      <c r="G1436" s="4" t="s">
        <v>38</v>
      </c>
      <c r="H1436" s="4" t="n">
        <v>2</v>
      </c>
      <c r="I1436" s="4" t="n">
        <v>35</v>
      </c>
      <c r="J1436" s="4" t="s">
        <v>40</v>
      </c>
      <c r="K1436" s="4" t="s">
        <v>2627</v>
      </c>
      <c r="L1436" s="4" t="s">
        <v>376</v>
      </c>
      <c r="M1436" s="4" t="s">
        <v>377</v>
      </c>
      <c r="N1436" s="4" t="s">
        <v>44</v>
      </c>
      <c r="O1436" s="4" t="s">
        <v>2628</v>
      </c>
      <c r="P1436" s="4" t="s">
        <v>2327</v>
      </c>
    </row>
    <row r="1437" customFormat="false" ht="15" hidden="false" customHeight="false" outlineLevel="0" collapsed="false">
      <c r="A1437" s="4" t="s">
        <v>3498</v>
      </c>
      <c r="B1437" s="5" t="n">
        <v>46122</v>
      </c>
      <c r="C1437" s="5" t="n">
        <v>46124</v>
      </c>
      <c r="D1437" s="4" t="s">
        <v>2322</v>
      </c>
      <c r="E1437" s="4" t="s">
        <v>49</v>
      </c>
      <c r="F1437" s="4" t="s">
        <v>2384</v>
      </c>
      <c r="G1437" s="4" t="s">
        <v>38</v>
      </c>
      <c r="H1437" s="4" t="n">
        <v>2</v>
      </c>
      <c r="I1437" s="4"/>
      <c r="J1437" s="4" t="s">
        <v>68</v>
      </c>
      <c r="K1437" s="4" t="s">
        <v>3402</v>
      </c>
      <c r="L1437" s="4" t="s">
        <v>376</v>
      </c>
      <c r="M1437" s="4" t="s">
        <v>377</v>
      </c>
      <c r="N1437" s="4" t="s">
        <v>44</v>
      </c>
      <c r="O1437" s="4" t="s">
        <v>3403</v>
      </c>
      <c r="P1437" s="4" t="s">
        <v>2327</v>
      </c>
    </row>
    <row r="1438" customFormat="false" ht="15" hidden="false" customHeight="false" outlineLevel="0" collapsed="false">
      <c r="A1438" s="4" t="s">
        <v>3473</v>
      </c>
      <c r="B1438" s="5" t="n">
        <v>46104</v>
      </c>
      <c r="C1438" s="5" t="n">
        <v>46151</v>
      </c>
      <c r="D1438" s="4" t="s">
        <v>3189</v>
      </c>
      <c r="E1438" s="4" t="s">
        <v>306</v>
      </c>
      <c r="F1438" s="4" t="s">
        <v>376</v>
      </c>
      <c r="G1438" s="4" t="s">
        <v>38</v>
      </c>
      <c r="H1438" s="4" t="n">
        <v>2</v>
      </c>
      <c r="I1438" s="4" t="n">
        <v>550</v>
      </c>
      <c r="J1438" s="4" t="s">
        <v>68</v>
      </c>
      <c r="K1438" s="4" t="s">
        <v>3474</v>
      </c>
      <c r="L1438" s="4" t="s">
        <v>524</v>
      </c>
      <c r="M1438" s="4" t="s">
        <v>377</v>
      </c>
      <c r="N1438" s="4" t="s">
        <v>44</v>
      </c>
      <c r="O1438" s="4" t="s">
        <v>3475</v>
      </c>
      <c r="P1438" s="4" t="s">
        <v>2327</v>
      </c>
    </row>
    <row r="1439" customFormat="false" ht="15" hidden="false" customHeight="false" outlineLevel="0" collapsed="false">
      <c r="A1439" s="4" t="s">
        <v>3467</v>
      </c>
      <c r="B1439" s="5" t="n">
        <v>46093</v>
      </c>
      <c r="C1439" s="5" t="n">
        <v>46093</v>
      </c>
      <c r="D1439" s="4" t="s">
        <v>2322</v>
      </c>
      <c r="E1439" s="4" t="s">
        <v>66</v>
      </c>
      <c r="F1439" s="4" t="s">
        <v>376</v>
      </c>
      <c r="G1439" s="4" t="s">
        <v>59</v>
      </c>
      <c r="H1439" s="4" t="n">
        <v>1</v>
      </c>
      <c r="I1439" s="4" t="n">
        <v>22.5</v>
      </c>
      <c r="J1439" s="4" t="s">
        <v>68</v>
      </c>
      <c r="K1439" s="4" t="s">
        <v>3114</v>
      </c>
      <c r="L1439" s="4" t="s">
        <v>2384</v>
      </c>
      <c r="M1439" s="4" t="s">
        <v>377</v>
      </c>
      <c r="N1439" s="4" t="s">
        <v>185</v>
      </c>
      <c r="O1439" s="4" t="s">
        <v>3115</v>
      </c>
      <c r="P1439" s="4" t="s">
        <v>2327</v>
      </c>
    </row>
    <row r="1440" customFormat="false" ht="15" hidden="false" customHeight="false" outlineLevel="0" collapsed="false">
      <c r="A1440" s="4" t="s">
        <v>3499</v>
      </c>
      <c r="B1440" s="5" t="n">
        <v>46123</v>
      </c>
      <c r="C1440" s="5" t="n">
        <v>46125</v>
      </c>
      <c r="D1440" s="4" t="s">
        <v>2322</v>
      </c>
      <c r="E1440" s="4" t="s">
        <v>66</v>
      </c>
      <c r="F1440" s="4" t="s">
        <v>2384</v>
      </c>
      <c r="G1440" s="4" t="s">
        <v>38</v>
      </c>
      <c r="H1440" s="4" t="n">
        <v>1</v>
      </c>
      <c r="I1440" s="4" t="n">
        <v>45</v>
      </c>
      <c r="J1440" s="4" t="s">
        <v>68</v>
      </c>
      <c r="K1440" s="4" t="s">
        <v>2340</v>
      </c>
      <c r="L1440" s="4" t="s">
        <v>1172</v>
      </c>
      <c r="M1440" s="4" t="s">
        <v>377</v>
      </c>
      <c r="N1440" s="4" t="s">
        <v>44</v>
      </c>
      <c r="O1440" s="4" t="s">
        <v>2341</v>
      </c>
      <c r="P1440" s="4" t="s">
        <v>2327</v>
      </c>
    </row>
    <row r="1441" customFormat="false" ht="15" hidden="false" customHeight="false" outlineLevel="0" collapsed="false">
      <c r="A1441" s="4" t="s">
        <v>3500</v>
      </c>
      <c r="B1441" s="5" t="n">
        <v>46124</v>
      </c>
      <c r="C1441" s="5" t="n">
        <v>46151</v>
      </c>
      <c r="D1441" s="4" t="s">
        <v>3189</v>
      </c>
      <c r="E1441" s="4" t="s">
        <v>306</v>
      </c>
      <c r="F1441" s="4" t="s">
        <v>376</v>
      </c>
      <c r="G1441" s="4" t="s">
        <v>38</v>
      </c>
      <c r="H1441" s="4" t="n">
        <v>1</v>
      </c>
      <c r="I1441" s="4" t="n">
        <v>515</v>
      </c>
      <c r="J1441" s="4" t="s">
        <v>40</v>
      </c>
      <c r="K1441" s="4" t="s">
        <v>2742</v>
      </c>
      <c r="L1441" s="4" t="s">
        <v>376</v>
      </c>
      <c r="M1441" s="4" t="s">
        <v>1412</v>
      </c>
      <c r="N1441" s="4" t="s">
        <v>44</v>
      </c>
      <c r="O1441" s="4" t="s">
        <v>2743</v>
      </c>
      <c r="P1441" s="4" t="s">
        <v>2327</v>
      </c>
    </row>
    <row r="1442" customFormat="false" ht="15" hidden="false" customHeight="false" outlineLevel="0" collapsed="false">
      <c r="A1442" s="4" t="s">
        <v>3501</v>
      </c>
      <c r="B1442" s="5" t="n">
        <v>46126</v>
      </c>
      <c r="C1442" s="5" t="n">
        <v>46151</v>
      </c>
      <c r="D1442" s="4" t="s">
        <v>3189</v>
      </c>
      <c r="E1442" s="4" t="s">
        <v>325</v>
      </c>
      <c r="F1442" s="4" t="s">
        <v>376</v>
      </c>
      <c r="G1442" s="4" t="s">
        <v>38</v>
      </c>
      <c r="H1442" s="4" t="n">
        <v>1</v>
      </c>
      <c r="I1442" s="4" t="n">
        <v>695</v>
      </c>
      <c r="J1442" s="4" t="s">
        <v>40</v>
      </c>
      <c r="K1442" s="4" t="s">
        <v>3489</v>
      </c>
      <c r="L1442" s="4" t="s">
        <v>376</v>
      </c>
      <c r="M1442" s="4" t="s">
        <v>377</v>
      </c>
      <c r="N1442" s="4" t="s">
        <v>94</v>
      </c>
      <c r="O1442" s="4" t="s">
        <v>3490</v>
      </c>
      <c r="P1442" s="4" t="s">
        <v>2327</v>
      </c>
    </row>
    <row r="1443" customFormat="false" ht="15" hidden="false" customHeight="false" outlineLevel="0" collapsed="false">
      <c r="A1443" s="4" t="s">
        <v>3502</v>
      </c>
      <c r="B1443" s="5" t="n">
        <v>46128</v>
      </c>
      <c r="C1443" s="5" t="n">
        <v>46129</v>
      </c>
      <c r="D1443" s="4" t="s">
        <v>2322</v>
      </c>
      <c r="E1443" s="4" t="s">
        <v>57</v>
      </c>
      <c r="F1443" s="4" t="s">
        <v>2384</v>
      </c>
      <c r="G1443" s="4" t="s">
        <v>38</v>
      </c>
      <c r="H1443" s="4" t="n">
        <v>1</v>
      </c>
      <c r="I1443" s="4" t="n">
        <v>40</v>
      </c>
      <c r="J1443" s="4" t="s">
        <v>40</v>
      </c>
      <c r="K1443" s="4" t="s">
        <v>2690</v>
      </c>
      <c r="L1443" s="4" t="s">
        <v>376</v>
      </c>
      <c r="M1443" s="4" t="s">
        <v>377</v>
      </c>
      <c r="N1443" s="4" t="s">
        <v>44</v>
      </c>
      <c r="O1443" s="4" t="s">
        <v>2691</v>
      </c>
      <c r="P1443" s="4" t="s">
        <v>2327</v>
      </c>
    </row>
    <row r="1444" customFormat="false" ht="15" hidden="false" customHeight="false" outlineLevel="0" collapsed="false">
      <c r="A1444" s="4" t="s">
        <v>3503</v>
      </c>
      <c r="B1444" s="5" t="n">
        <v>46129</v>
      </c>
      <c r="C1444" s="5" t="n">
        <v>46151</v>
      </c>
      <c r="D1444" s="4" t="s">
        <v>3189</v>
      </c>
      <c r="E1444" s="4" t="s">
        <v>306</v>
      </c>
      <c r="F1444" s="4" t="s">
        <v>376</v>
      </c>
      <c r="G1444" s="4" t="s">
        <v>59</v>
      </c>
      <c r="H1444" s="4" t="n">
        <v>2</v>
      </c>
      <c r="I1444" s="4" t="n">
        <v>385</v>
      </c>
      <c r="J1444" s="4" t="s">
        <v>40</v>
      </c>
      <c r="K1444" s="4" t="s">
        <v>3504</v>
      </c>
      <c r="L1444" s="4" t="s">
        <v>455</v>
      </c>
      <c r="M1444" s="4" t="s">
        <v>456</v>
      </c>
      <c r="N1444" s="4" t="s">
        <v>44</v>
      </c>
      <c r="O1444" s="4" t="s">
        <v>3505</v>
      </c>
      <c r="P1444" s="4" t="s">
        <v>2327</v>
      </c>
    </row>
    <row r="1445" customFormat="false" ht="15" hidden="false" customHeight="false" outlineLevel="0" collapsed="false">
      <c r="A1445" s="4" t="s">
        <v>3506</v>
      </c>
      <c r="B1445" s="5" t="n">
        <v>46131</v>
      </c>
      <c r="C1445" s="5" t="n">
        <v>46151</v>
      </c>
      <c r="D1445" s="4" t="s">
        <v>3189</v>
      </c>
      <c r="E1445" s="4" t="s">
        <v>306</v>
      </c>
      <c r="F1445" s="4" t="s">
        <v>376</v>
      </c>
      <c r="G1445" s="4" t="s">
        <v>59</v>
      </c>
      <c r="H1445" s="4" t="n">
        <v>1</v>
      </c>
      <c r="I1445" s="4" t="n">
        <v>247.5</v>
      </c>
      <c r="J1445" s="4" t="s">
        <v>40</v>
      </c>
      <c r="K1445" s="4" t="s">
        <v>2627</v>
      </c>
      <c r="L1445" s="4" t="s">
        <v>376</v>
      </c>
      <c r="M1445" s="4" t="s">
        <v>377</v>
      </c>
      <c r="N1445" s="4" t="s">
        <v>185</v>
      </c>
      <c r="O1445" s="4" t="s">
        <v>2628</v>
      </c>
      <c r="P1445" s="4" t="s">
        <v>2327</v>
      </c>
    </row>
    <row r="1446" customFormat="false" ht="15" hidden="false" customHeight="false" outlineLevel="0" collapsed="false">
      <c r="A1446" s="4" t="s">
        <v>3507</v>
      </c>
      <c r="B1446" s="5" t="n">
        <v>46131</v>
      </c>
      <c r="C1446" s="5" t="n">
        <v>46131</v>
      </c>
      <c r="D1446" s="4" t="s">
        <v>2322</v>
      </c>
      <c r="E1446" s="4" t="s">
        <v>36</v>
      </c>
      <c r="F1446" s="4" t="s">
        <v>2323</v>
      </c>
      <c r="G1446" s="4" t="s">
        <v>59</v>
      </c>
      <c r="H1446" s="4" t="n">
        <v>1</v>
      </c>
      <c r="I1446" s="4" t="n">
        <v>20</v>
      </c>
      <c r="J1446" s="4" t="s">
        <v>81</v>
      </c>
      <c r="K1446" s="4" t="s">
        <v>2792</v>
      </c>
      <c r="L1446" s="4" t="s">
        <v>376</v>
      </c>
      <c r="M1446" s="4" t="s">
        <v>377</v>
      </c>
      <c r="N1446" s="4" t="s">
        <v>44</v>
      </c>
      <c r="O1446" s="4" t="s">
        <v>2793</v>
      </c>
      <c r="P1446" s="4" t="s">
        <v>2327</v>
      </c>
    </row>
    <row r="1447" customFormat="false" ht="15" hidden="false" customHeight="false" outlineLevel="0" collapsed="false">
      <c r="A1447" s="4" t="s">
        <v>3508</v>
      </c>
      <c r="B1447" s="5" t="n">
        <v>46131</v>
      </c>
      <c r="C1447" s="5" t="n">
        <v>46134</v>
      </c>
      <c r="D1447" s="4" t="s">
        <v>2322</v>
      </c>
      <c r="E1447" s="4" t="s">
        <v>36</v>
      </c>
      <c r="F1447" s="4" t="s">
        <v>376</v>
      </c>
      <c r="G1447" s="4" t="s">
        <v>38</v>
      </c>
      <c r="H1447" s="4" t="n">
        <v>1</v>
      </c>
      <c r="I1447" s="4" t="n">
        <v>45</v>
      </c>
      <c r="J1447" s="4" t="s">
        <v>40</v>
      </c>
      <c r="K1447" s="4" t="s">
        <v>3509</v>
      </c>
      <c r="L1447" s="4" t="s">
        <v>376</v>
      </c>
      <c r="M1447" s="4" t="s">
        <v>377</v>
      </c>
      <c r="N1447" s="4" t="s">
        <v>185</v>
      </c>
      <c r="O1447" s="4" t="s">
        <v>3510</v>
      </c>
      <c r="P1447" s="4" t="s">
        <v>2327</v>
      </c>
    </row>
    <row r="1448" customFormat="false" ht="15" hidden="false" customHeight="false" outlineLevel="0" collapsed="false">
      <c r="A1448" s="4" t="s">
        <v>3511</v>
      </c>
      <c r="B1448" s="5" t="n">
        <v>46132</v>
      </c>
      <c r="C1448" s="5" t="n">
        <v>46151</v>
      </c>
      <c r="D1448" s="4" t="s">
        <v>3189</v>
      </c>
      <c r="E1448" s="4" t="s">
        <v>306</v>
      </c>
      <c r="F1448" s="4" t="s">
        <v>376</v>
      </c>
      <c r="G1448" s="4" t="s">
        <v>38</v>
      </c>
      <c r="H1448" s="4" t="n">
        <v>1</v>
      </c>
      <c r="I1448" s="4" t="n">
        <v>740</v>
      </c>
      <c r="J1448" s="4" t="s">
        <v>40</v>
      </c>
      <c r="K1448" s="4" t="s">
        <v>3119</v>
      </c>
      <c r="L1448" s="4" t="s">
        <v>376</v>
      </c>
      <c r="M1448" s="4" t="s">
        <v>377</v>
      </c>
      <c r="N1448" s="4" t="s">
        <v>44</v>
      </c>
      <c r="O1448" s="4" t="s">
        <v>3120</v>
      </c>
      <c r="P1448" s="4" t="s">
        <v>2327</v>
      </c>
    </row>
    <row r="1449" customFormat="false" ht="15" hidden="false" customHeight="false" outlineLevel="0" collapsed="false">
      <c r="A1449" s="4" t="s">
        <v>3512</v>
      </c>
      <c r="B1449" s="5" t="n">
        <v>46133</v>
      </c>
      <c r="C1449" s="5" t="n">
        <v>46133</v>
      </c>
      <c r="D1449" s="4" t="s">
        <v>2322</v>
      </c>
      <c r="E1449" s="4" t="s">
        <v>36</v>
      </c>
      <c r="F1449" s="4" t="s">
        <v>376</v>
      </c>
      <c r="G1449" s="4" t="s">
        <v>38</v>
      </c>
      <c r="H1449" s="4" t="n">
        <v>1</v>
      </c>
      <c r="I1449" s="4" t="n">
        <v>40</v>
      </c>
      <c r="J1449" s="4" t="s">
        <v>68</v>
      </c>
      <c r="K1449" s="4" t="s">
        <v>3513</v>
      </c>
      <c r="L1449" s="4" t="s">
        <v>376</v>
      </c>
      <c r="M1449" s="4" t="s">
        <v>377</v>
      </c>
      <c r="N1449" s="4" t="s">
        <v>44</v>
      </c>
      <c r="O1449" s="4" t="s">
        <v>3514</v>
      </c>
      <c r="P1449" s="4" t="s">
        <v>2327</v>
      </c>
    </row>
    <row r="1450" customFormat="false" ht="15" hidden="false" customHeight="false" outlineLevel="0" collapsed="false">
      <c r="A1450" s="4" t="s">
        <v>3515</v>
      </c>
      <c r="B1450" s="5" t="n">
        <v>46136</v>
      </c>
      <c r="C1450" s="5" t="n">
        <v>46151</v>
      </c>
      <c r="D1450" s="4" t="s">
        <v>3189</v>
      </c>
      <c r="E1450" s="4" t="s">
        <v>306</v>
      </c>
      <c r="F1450" s="4" t="s">
        <v>376</v>
      </c>
      <c r="G1450" s="4" t="s">
        <v>59</v>
      </c>
      <c r="H1450" s="4" t="n">
        <v>3</v>
      </c>
      <c r="I1450" s="4" t="n">
        <v>110</v>
      </c>
      <c r="J1450" s="4" t="s">
        <v>40</v>
      </c>
      <c r="K1450" s="4" t="s">
        <v>3516</v>
      </c>
      <c r="L1450" s="4" t="s">
        <v>1682</v>
      </c>
      <c r="M1450" s="4" t="s">
        <v>737</v>
      </c>
      <c r="N1450" s="4" t="s">
        <v>44</v>
      </c>
      <c r="O1450" s="4" t="s">
        <v>3517</v>
      </c>
      <c r="P1450" s="4" t="s">
        <v>2327</v>
      </c>
    </row>
    <row r="1451" customFormat="false" ht="15" hidden="false" customHeight="false" outlineLevel="0" collapsed="false">
      <c r="A1451" s="4" t="s">
        <v>3518</v>
      </c>
      <c r="B1451" s="5" t="n">
        <v>46136</v>
      </c>
      <c r="C1451" s="5" t="n">
        <v>46137</v>
      </c>
      <c r="D1451" s="4" t="s">
        <v>2322</v>
      </c>
      <c r="E1451" s="4" t="s">
        <v>36</v>
      </c>
      <c r="F1451" s="4" t="s">
        <v>376</v>
      </c>
      <c r="G1451" s="4" t="s">
        <v>38</v>
      </c>
      <c r="H1451" s="4" t="n">
        <v>2</v>
      </c>
      <c r="I1451" s="4" t="n">
        <v>45</v>
      </c>
      <c r="J1451" s="4" t="s">
        <v>68</v>
      </c>
      <c r="K1451" s="4" t="s">
        <v>3119</v>
      </c>
      <c r="L1451" s="4" t="s">
        <v>376</v>
      </c>
      <c r="M1451" s="4" t="s">
        <v>377</v>
      </c>
      <c r="N1451" s="4" t="s">
        <v>44</v>
      </c>
      <c r="O1451" s="4" t="s">
        <v>3120</v>
      </c>
      <c r="P1451" s="4" t="s">
        <v>2327</v>
      </c>
    </row>
    <row r="1452" customFormat="false" ht="15" hidden="false" customHeight="false" outlineLevel="0" collapsed="false">
      <c r="A1452" s="4" t="s">
        <v>3519</v>
      </c>
      <c r="B1452" s="5" t="n">
        <v>46138</v>
      </c>
      <c r="C1452" s="5" t="n">
        <v>46151</v>
      </c>
      <c r="D1452" s="4" t="s">
        <v>3189</v>
      </c>
      <c r="E1452" s="4" t="s">
        <v>306</v>
      </c>
      <c r="F1452" s="4" t="s">
        <v>376</v>
      </c>
      <c r="G1452" s="4" t="s">
        <v>38</v>
      </c>
      <c r="H1452" s="4" t="n">
        <v>2</v>
      </c>
      <c r="I1452" s="4" t="n">
        <v>475</v>
      </c>
      <c r="J1452" s="4" t="s">
        <v>40</v>
      </c>
      <c r="K1452" s="4" t="s">
        <v>3111</v>
      </c>
      <c r="L1452" s="4" t="s">
        <v>1172</v>
      </c>
      <c r="M1452" s="4" t="s">
        <v>377</v>
      </c>
      <c r="N1452" s="4" t="s">
        <v>44</v>
      </c>
      <c r="O1452" s="4" t="s">
        <v>3112</v>
      </c>
      <c r="P1452" s="4" t="s">
        <v>2327</v>
      </c>
    </row>
    <row r="1453" customFormat="false" ht="15" hidden="false" customHeight="false" outlineLevel="0" collapsed="false">
      <c r="A1453" s="4" t="s">
        <v>3520</v>
      </c>
      <c r="B1453" s="5" t="n">
        <v>46138</v>
      </c>
      <c r="C1453" s="5" t="n">
        <v>46151</v>
      </c>
      <c r="D1453" s="4" t="s">
        <v>3189</v>
      </c>
      <c r="E1453" s="4" t="s">
        <v>311</v>
      </c>
      <c r="F1453" s="4" t="s">
        <v>376</v>
      </c>
      <c r="G1453" s="4" t="s">
        <v>59</v>
      </c>
      <c r="H1453" s="4" t="n">
        <v>3</v>
      </c>
      <c r="I1453" s="4" t="n">
        <v>147.5</v>
      </c>
      <c r="J1453" s="4" t="s">
        <v>40</v>
      </c>
      <c r="K1453" s="4" t="s">
        <v>2538</v>
      </c>
      <c r="L1453" s="4" t="s">
        <v>376</v>
      </c>
      <c r="M1453" s="4" t="s">
        <v>377</v>
      </c>
      <c r="N1453" s="4" t="s">
        <v>44</v>
      </c>
      <c r="O1453" s="4" t="s">
        <v>2539</v>
      </c>
      <c r="P1453" s="4" t="s">
        <v>2327</v>
      </c>
    </row>
    <row r="1454" customFormat="false" ht="15" hidden="false" customHeight="false" outlineLevel="0" collapsed="false">
      <c r="A1454" s="4" t="s">
        <v>3521</v>
      </c>
      <c r="B1454" s="5" t="n">
        <v>46138</v>
      </c>
      <c r="C1454" s="5" t="n">
        <v>46151</v>
      </c>
      <c r="D1454" s="4" t="s">
        <v>3189</v>
      </c>
      <c r="E1454" s="4" t="s">
        <v>306</v>
      </c>
      <c r="F1454" s="4" t="s">
        <v>376</v>
      </c>
      <c r="G1454" s="4" t="s">
        <v>38</v>
      </c>
      <c r="H1454" s="4" t="n">
        <v>1</v>
      </c>
      <c r="I1454" s="4" t="n">
        <v>565</v>
      </c>
      <c r="J1454" s="4" t="s">
        <v>40</v>
      </c>
      <c r="K1454" s="4" t="s">
        <v>3522</v>
      </c>
      <c r="L1454" s="4" t="s">
        <v>2171</v>
      </c>
      <c r="M1454" s="4" t="s">
        <v>838</v>
      </c>
      <c r="N1454" s="4" t="s">
        <v>185</v>
      </c>
      <c r="O1454" s="4" t="s">
        <v>3523</v>
      </c>
      <c r="P1454" s="4" t="s">
        <v>2327</v>
      </c>
    </row>
    <row r="1455" customFormat="false" ht="15" hidden="false" customHeight="false" outlineLevel="0" collapsed="false">
      <c r="A1455" s="4" t="s">
        <v>3524</v>
      </c>
      <c r="B1455" s="5" t="n">
        <v>46139</v>
      </c>
      <c r="C1455" s="5" t="n">
        <v>46151</v>
      </c>
      <c r="D1455" s="4" t="s">
        <v>3189</v>
      </c>
      <c r="E1455" s="4" t="s">
        <v>323</v>
      </c>
      <c r="F1455" s="4" t="s">
        <v>376</v>
      </c>
      <c r="G1455" s="4" t="s">
        <v>59</v>
      </c>
      <c r="H1455" s="4" t="n">
        <v>2</v>
      </c>
      <c r="I1455" s="4" t="n">
        <v>117.5</v>
      </c>
      <c r="J1455" s="4" t="s">
        <v>149</v>
      </c>
      <c r="K1455" s="4" t="s">
        <v>2349</v>
      </c>
      <c r="L1455" s="4" t="s">
        <v>376</v>
      </c>
      <c r="M1455" s="4" t="s">
        <v>377</v>
      </c>
      <c r="N1455" s="4" t="s">
        <v>44</v>
      </c>
      <c r="O1455" s="4" t="s">
        <v>2350</v>
      </c>
      <c r="P1455" s="4" t="s">
        <v>2327</v>
      </c>
    </row>
    <row r="1456" customFormat="false" ht="15" hidden="false" customHeight="false" outlineLevel="0" collapsed="false">
      <c r="A1456" s="4" t="s">
        <v>3525</v>
      </c>
      <c r="B1456" s="5" t="n">
        <v>46139</v>
      </c>
      <c r="C1456" s="5" t="n">
        <v>46151</v>
      </c>
      <c r="D1456" s="4" t="s">
        <v>3189</v>
      </c>
      <c r="E1456" s="4" t="s">
        <v>306</v>
      </c>
      <c r="F1456" s="4" t="s">
        <v>376</v>
      </c>
      <c r="G1456" s="4" t="s">
        <v>38</v>
      </c>
      <c r="H1456" s="4" t="n">
        <v>1</v>
      </c>
      <c r="I1456" s="4" t="n">
        <v>500</v>
      </c>
      <c r="J1456" s="4" t="s">
        <v>40</v>
      </c>
      <c r="K1456" s="4" t="s">
        <v>3513</v>
      </c>
      <c r="L1456" s="4" t="s">
        <v>376</v>
      </c>
      <c r="M1456" s="4" t="s">
        <v>377</v>
      </c>
      <c r="N1456" s="4" t="s">
        <v>185</v>
      </c>
      <c r="O1456" s="4" t="s">
        <v>3514</v>
      </c>
      <c r="P1456" s="4" t="s">
        <v>2327</v>
      </c>
    </row>
    <row r="1457" customFormat="false" ht="15" hidden="false" customHeight="false" outlineLevel="0" collapsed="false">
      <c r="A1457" s="4" t="s">
        <v>3526</v>
      </c>
      <c r="B1457" s="5" t="n">
        <v>46140</v>
      </c>
      <c r="C1457" s="5" t="n">
        <v>46142</v>
      </c>
      <c r="D1457" s="4" t="s">
        <v>2322</v>
      </c>
      <c r="E1457" s="4" t="s">
        <v>66</v>
      </c>
      <c r="F1457" s="4" t="s">
        <v>2384</v>
      </c>
      <c r="G1457" s="4" t="s">
        <v>38</v>
      </c>
      <c r="H1457" s="4" t="n">
        <v>2</v>
      </c>
      <c r="I1457" s="4" t="n">
        <v>35</v>
      </c>
      <c r="J1457" s="4" t="s">
        <v>68</v>
      </c>
      <c r="K1457" s="4" t="s">
        <v>3019</v>
      </c>
      <c r="L1457" s="4" t="s">
        <v>376</v>
      </c>
      <c r="M1457" s="4" t="s">
        <v>377</v>
      </c>
      <c r="N1457" s="4" t="s">
        <v>44</v>
      </c>
      <c r="O1457" s="4" t="s">
        <v>3020</v>
      </c>
      <c r="P1457" s="4" t="s">
        <v>2327</v>
      </c>
    </row>
    <row r="1458" customFormat="false" ht="15" hidden="false" customHeight="false" outlineLevel="0" collapsed="false">
      <c r="A1458" s="4" t="s">
        <v>3527</v>
      </c>
      <c r="B1458" s="5" t="n">
        <v>46140</v>
      </c>
      <c r="C1458" s="5" t="n">
        <v>46140</v>
      </c>
      <c r="D1458" s="4" t="s">
        <v>2322</v>
      </c>
      <c r="E1458" s="4" t="s">
        <v>36</v>
      </c>
      <c r="F1458" s="4" t="s">
        <v>376</v>
      </c>
      <c r="G1458" s="4" t="s">
        <v>38</v>
      </c>
      <c r="H1458" s="4" t="n">
        <v>4</v>
      </c>
      <c r="I1458" s="4" t="n">
        <v>40</v>
      </c>
      <c r="J1458" s="4" t="s">
        <v>40</v>
      </c>
      <c r="K1458" s="4" t="s">
        <v>2366</v>
      </c>
      <c r="L1458" s="4" t="s">
        <v>376</v>
      </c>
      <c r="M1458" s="4" t="s">
        <v>377</v>
      </c>
      <c r="N1458" s="4" t="s">
        <v>44</v>
      </c>
      <c r="O1458" s="4" t="s">
        <v>2367</v>
      </c>
      <c r="P1458" s="4" t="s">
        <v>2327</v>
      </c>
    </row>
    <row r="1459" customFormat="false" ht="15" hidden="false" customHeight="false" outlineLevel="0" collapsed="false">
      <c r="A1459" s="4" t="s">
        <v>3528</v>
      </c>
      <c r="B1459" s="5" t="n">
        <v>46141</v>
      </c>
      <c r="C1459" s="5" t="n">
        <v>46151</v>
      </c>
      <c r="D1459" s="4" t="s">
        <v>3189</v>
      </c>
      <c r="E1459" s="4" t="s">
        <v>325</v>
      </c>
      <c r="F1459" s="4" t="s">
        <v>376</v>
      </c>
      <c r="G1459" s="4" t="s">
        <v>38</v>
      </c>
      <c r="H1459" s="4" t="n">
        <v>1</v>
      </c>
      <c r="I1459" s="4" t="n">
        <v>330</v>
      </c>
      <c r="J1459" s="4" t="s">
        <v>68</v>
      </c>
      <c r="K1459" s="4" t="s">
        <v>3203</v>
      </c>
      <c r="L1459" s="4" t="s">
        <v>634</v>
      </c>
      <c r="M1459" s="4" t="s">
        <v>635</v>
      </c>
      <c r="N1459" s="4" t="s">
        <v>44</v>
      </c>
      <c r="O1459" s="4" t="s">
        <v>3204</v>
      </c>
      <c r="P1459" s="4" t="s">
        <v>2327</v>
      </c>
    </row>
    <row r="1460" customFormat="false" ht="15" hidden="false" customHeight="false" outlineLevel="0" collapsed="false">
      <c r="A1460" s="4" t="s">
        <v>3529</v>
      </c>
      <c r="B1460" s="5" t="n">
        <v>46142</v>
      </c>
      <c r="C1460" s="5" t="n">
        <v>46151</v>
      </c>
      <c r="D1460" s="4" t="s">
        <v>3189</v>
      </c>
      <c r="E1460" s="4" t="s">
        <v>306</v>
      </c>
      <c r="F1460" s="4" t="s">
        <v>376</v>
      </c>
      <c r="G1460" s="4" t="s">
        <v>59</v>
      </c>
      <c r="H1460" s="4" t="n">
        <v>1</v>
      </c>
      <c r="I1460" s="4" t="n">
        <v>275</v>
      </c>
      <c r="J1460" s="4" t="s">
        <v>40</v>
      </c>
      <c r="K1460" s="4" t="s">
        <v>2535</v>
      </c>
      <c r="L1460" s="4" t="s">
        <v>376</v>
      </c>
      <c r="M1460" s="4" t="s">
        <v>377</v>
      </c>
      <c r="N1460" s="4" t="s">
        <v>44</v>
      </c>
      <c r="O1460" s="4" t="s">
        <v>2536</v>
      </c>
      <c r="P1460" s="4" t="s">
        <v>2327</v>
      </c>
    </row>
    <row r="1461" customFormat="false" ht="15" hidden="false" customHeight="false" outlineLevel="0" collapsed="false">
      <c r="A1461" s="4" t="s">
        <v>3530</v>
      </c>
      <c r="B1461" s="5" t="n">
        <v>46142</v>
      </c>
      <c r="C1461" s="5" t="n">
        <v>46145</v>
      </c>
      <c r="D1461" s="4" t="s">
        <v>2322</v>
      </c>
      <c r="E1461" s="4" t="s">
        <v>49</v>
      </c>
      <c r="F1461" s="4" t="s">
        <v>2332</v>
      </c>
      <c r="G1461" s="4" t="s">
        <v>38</v>
      </c>
      <c r="H1461" s="4" t="n">
        <v>1</v>
      </c>
      <c r="I1461" s="4" t="n">
        <v>40</v>
      </c>
      <c r="J1461" s="4" t="s">
        <v>81</v>
      </c>
      <c r="K1461" s="4" t="s">
        <v>2666</v>
      </c>
      <c r="L1461" s="4" t="s">
        <v>2325</v>
      </c>
      <c r="M1461" s="4" t="s">
        <v>377</v>
      </c>
      <c r="N1461" s="4" t="s">
        <v>52</v>
      </c>
      <c r="O1461" s="4" t="s">
        <v>2667</v>
      </c>
      <c r="P1461" s="4" t="s">
        <v>2327</v>
      </c>
    </row>
    <row r="1462" customFormat="false" ht="15" hidden="false" customHeight="false" outlineLevel="0" collapsed="false">
      <c r="A1462" s="4" t="s">
        <v>3531</v>
      </c>
      <c r="B1462" s="5" t="n">
        <v>46143</v>
      </c>
      <c r="C1462" s="5" t="n">
        <v>46151</v>
      </c>
      <c r="D1462" s="4" t="s">
        <v>3189</v>
      </c>
      <c r="E1462" s="4" t="s">
        <v>306</v>
      </c>
      <c r="F1462" s="4" t="s">
        <v>376</v>
      </c>
      <c r="G1462" s="4" t="s">
        <v>326</v>
      </c>
      <c r="H1462" s="4" t="n">
        <v>2</v>
      </c>
      <c r="I1462" s="4" t="n">
        <v>570</v>
      </c>
      <c r="J1462" s="4" t="s">
        <v>81</v>
      </c>
      <c r="K1462" s="4" t="s">
        <v>3478</v>
      </c>
      <c r="L1462" s="4" t="s">
        <v>376</v>
      </c>
      <c r="M1462" s="4" t="s">
        <v>377</v>
      </c>
      <c r="N1462" s="4" t="s">
        <v>44</v>
      </c>
      <c r="O1462" s="4" t="s">
        <v>3479</v>
      </c>
      <c r="P1462" s="4" t="s">
        <v>2327</v>
      </c>
    </row>
    <row r="1463" customFormat="false" ht="15" hidden="false" customHeight="false" outlineLevel="0" collapsed="false">
      <c r="A1463" s="4" t="s">
        <v>3532</v>
      </c>
      <c r="B1463" s="5" t="n">
        <v>46144</v>
      </c>
      <c r="C1463" s="5" t="n">
        <v>46151</v>
      </c>
      <c r="D1463" s="4" t="s">
        <v>3189</v>
      </c>
      <c r="E1463" s="4" t="s">
        <v>306</v>
      </c>
      <c r="F1463" s="4" t="s">
        <v>376</v>
      </c>
      <c r="G1463" s="4" t="s">
        <v>38</v>
      </c>
      <c r="H1463" s="4" t="n">
        <v>1</v>
      </c>
      <c r="I1463" s="4" t="n">
        <v>775</v>
      </c>
      <c r="J1463" s="4" t="s">
        <v>68</v>
      </c>
      <c r="K1463" s="4" t="s">
        <v>3533</v>
      </c>
      <c r="L1463" s="4" t="s">
        <v>455</v>
      </c>
      <c r="M1463" s="4" t="s">
        <v>456</v>
      </c>
      <c r="N1463" s="4" t="s">
        <v>52</v>
      </c>
      <c r="O1463" s="4" t="s">
        <v>3534</v>
      </c>
      <c r="P1463" s="4" t="s">
        <v>2327</v>
      </c>
    </row>
    <row r="1464" customFormat="false" ht="15" hidden="false" customHeight="false" outlineLevel="0" collapsed="false">
      <c r="A1464" s="4" t="s">
        <v>3535</v>
      </c>
      <c r="B1464" s="5" t="n">
        <v>46144</v>
      </c>
      <c r="C1464" s="5" t="n">
        <v>46151</v>
      </c>
      <c r="D1464" s="4" t="s">
        <v>3189</v>
      </c>
      <c r="E1464" s="4" t="s">
        <v>306</v>
      </c>
      <c r="F1464" s="4" t="s">
        <v>376</v>
      </c>
      <c r="G1464" s="4" t="s">
        <v>38</v>
      </c>
      <c r="H1464" s="4" t="n">
        <v>2</v>
      </c>
      <c r="I1464" s="4" t="n">
        <v>240</v>
      </c>
      <c r="J1464" s="4" t="s">
        <v>68</v>
      </c>
      <c r="K1464" s="4" t="s">
        <v>2877</v>
      </c>
      <c r="L1464" s="4" t="s">
        <v>376</v>
      </c>
      <c r="M1464" s="4" t="s">
        <v>377</v>
      </c>
      <c r="N1464" s="4" t="s">
        <v>44</v>
      </c>
      <c r="O1464" s="4" t="s">
        <v>2878</v>
      </c>
      <c r="P1464" s="4" t="s">
        <v>2327</v>
      </c>
    </row>
    <row r="1465" customFormat="false" ht="15" hidden="false" customHeight="false" outlineLevel="0" collapsed="false">
      <c r="A1465" s="4" t="s">
        <v>3536</v>
      </c>
      <c r="B1465" s="5" t="n">
        <v>46145</v>
      </c>
      <c r="C1465" s="5" t="n">
        <v>46151</v>
      </c>
      <c r="D1465" s="4" t="s">
        <v>3189</v>
      </c>
      <c r="E1465" s="4" t="s">
        <v>306</v>
      </c>
      <c r="F1465" s="4" t="s">
        <v>2362</v>
      </c>
      <c r="G1465" s="4" t="s">
        <v>38</v>
      </c>
      <c r="H1465" s="4" t="n">
        <v>1</v>
      </c>
      <c r="I1465" s="4" t="n">
        <v>320</v>
      </c>
      <c r="J1465" s="4" t="s">
        <v>68</v>
      </c>
      <c r="K1465" s="4" t="s">
        <v>2217</v>
      </c>
      <c r="L1465" s="4" t="s">
        <v>364</v>
      </c>
      <c r="M1465" s="4" t="s">
        <v>365</v>
      </c>
      <c r="N1465" s="4" t="s">
        <v>44</v>
      </c>
      <c r="O1465" s="4" t="s">
        <v>2219</v>
      </c>
      <c r="P1465" s="4" t="s">
        <v>2327</v>
      </c>
    </row>
    <row r="1466" customFormat="false" ht="15" hidden="false" customHeight="false" outlineLevel="0" collapsed="false">
      <c r="A1466" s="4" t="s">
        <v>3537</v>
      </c>
      <c r="B1466" s="5" t="n">
        <v>46145</v>
      </c>
      <c r="C1466" s="5" t="n">
        <v>46151</v>
      </c>
      <c r="D1466" s="4" t="s">
        <v>3189</v>
      </c>
      <c r="E1466" s="4" t="s">
        <v>306</v>
      </c>
      <c r="F1466" s="4" t="s">
        <v>2323</v>
      </c>
      <c r="G1466" s="4" t="s">
        <v>38</v>
      </c>
      <c r="H1466" s="4" t="n">
        <v>3</v>
      </c>
      <c r="I1466" s="4" t="n">
        <v>775</v>
      </c>
      <c r="J1466" s="4" t="s">
        <v>40</v>
      </c>
      <c r="K1466" s="4" t="s">
        <v>2019</v>
      </c>
      <c r="L1466" s="4" t="s">
        <v>376</v>
      </c>
      <c r="M1466" s="4" t="s">
        <v>377</v>
      </c>
      <c r="N1466" s="4" t="s">
        <v>44</v>
      </c>
      <c r="O1466" s="4" t="s">
        <v>2020</v>
      </c>
      <c r="P1466" s="4" t="s">
        <v>2327</v>
      </c>
    </row>
    <row r="1467" customFormat="false" ht="15" hidden="false" customHeight="false" outlineLevel="0" collapsed="false">
      <c r="A1467" s="4" t="s">
        <v>3538</v>
      </c>
      <c r="B1467" s="5" t="n">
        <v>46145</v>
      </c>
      <c r="C1467" s="5" t="n">
        <v>46151</v>
      </c>
      <c r="D1467" s="4" t="s">
        <v>3189</v>
      </c>
      <c r="E1467" s="4" t="s">
        <v>311</v>
      </c>
      <c r="F1467" s="4" t="s">
        <v>2362</v>
      </c>
      <c r="G1467" s="4" t="s">
        <v>38</v>
      </c>
      <c r="H1467" s="4" t="n">
        <v>1</v>
      </c>
      <c r="I1467" s="4" t="n">
        <v>705</v>
      </c>
      <c r="J1467" s="4" t="s">
        <v>149</v>
      </c>
      <c r="K1467" s="4" t="s">
        <v>3489</v>
      </c>
      <c r="L1467" s="4" t="s">
        <v>1172</v>
      </c>
      <c r="M1467" s="4" t="s">
        <v>1412</v>
      </c>
      <c r="N1467" s="4" t="s">
        <v>44</v>
      </c>
      <c r="O1467" s="4" t="s">
        <v>3490</v>
      </c>
      <c r="P1467" s="4" t="s">
        <v>2327</v>
      </c>
    </row>
    <row r="1468" customFormat="false" ht="15" hidden="false" customHeight="false" outlineLevel="0" collapsed="false">
      <c r="A1468" s="4" t="s">
        <v>3539</v>
      </c>
      <c r="B1468" s="5" t="n">
        <v>46145</v>
      </c>
      <c r="C1468" s="5" t="n">
        <v>46151</v>
      </c>
      <c r="D1468" s="4" t="s">
        <v>3189</v>
      </c>
      <c r="E1468" s="4" t="s">
        <v>325</v>
      </c>
      <c r="F1468" s="4" t="s">
        <v>376</v>
      </c>
      <c r="G1468" s="4" t="s">
        <v>38</v>
      </c>
      <c r="H1468" s="4" t="n">
        <v>1</v>
      </c>
      <c r="I1468" s="4" t="n">
        <v>620</v>
      </c>
      <c r="J1468" s="4" t="s">
        <v>40</v>
      </c>
      <c r="K1468" s="4" t="s">
        <v>2712</v>
      </c>
      <c r="L1468" s="4" t="s">
        <v>1172</v>
      </c>
      <c r="M1468" s="4" t="s">
        <v>377</v>
      </c>
      <c r="N1468" s="4" t="s">
        <v>94</v>
      </c>
      <c r="O1468" s="4" t="s">
        <v>2713</v>
      </c>
      <c r="P1468" s="4" t="s">
        <v>2327</v>
      </c>
    </row>
    <row r="1469" customFormat="false" ht="15" hidden="false" customHeight="false" outlineLevel="0" collapsed="false">
      <c r="A1469" s="4" t="s">
        <v>3540</v>
      </c>
      <c r="B1469" s="5" t="n">
        <v>46145</v>
      </c>
      <c r="C1469" s="5" t="n">
        <v>46151</v>
      </c>
      <c r="D1469" s="4" t="s">
        <v>3189</v>
      </c>
      <c r="E1469" s="4" t="s">
        <v>306</v>
      </c>
      <c r="F1469" s="4" t="s">
        <v>376</v>
      </c>
      <c r="G1469" s="4" t="s">
        <v>38</v>
      </c>
      <c r="H1469" s="4" t="n">
        <v>1</v>
      </c>
      <c r="I1469" s="4" t="n">
        <v>625</v>
      </c>
      <c r="J1469" s="4" t="s">
        <v>68</v>
      </c>
      <c r="K1469" s="4" t="s">
        <v>3541</v>
      </c>
      <c r="L1469" s="4" t="s">
        <v>2384</v>
      </c>
      <c r="M1469" s="4" t="s">
        <v>377</v>
      </c>
      <c r="N1469" s="4" t="s">
        <v>44</v>
      </c>
      <c r="O1469" s="4" t="s">
        <v>3542</v>
      </c>
      <c r="P1469" s="4" t="s">
        <v>2327</v>
      </c>
    </row>
    <row r="1470" customFormat="false" ht="15" hidden="false" customHeight="false" outlineLevel="0" collapsed="false">
      <c r="A1470" s="4" t="s">
        <v>3543</v>
      </c>
      <c r="B1470" s="5" t="n">
        <v>46146</v>
      </c>
      <c r="C1470" s="5" t="n">
        <v>46151</v>
      </c>
      <c r="D1470" s="4" t="s">
        <v>3189</v>
      </c>
      <c r="E1470" s="4" t="s">
        <v>345</v>
      </c>
      <c r="F1470" s="4" t="s">
        <v>376</v>
      </c>
      <c r="G1470" s="4" t="s">
        <v>59</v>
      </c>
      <c r="H1470" s="4" t="n">
        <v>1</v>
      </c>
      <c r="I1470" s="4" t="n">
        <v>125</v>
      </c>
      <c r="J1470" s="4" t="s">
        <v>40</v>
      </c>
      <c r="K1470" s="4" t="s">
        <v>2669</v>
      </c>
      <c r="L1470" s="4" t="s">
        <v>376</v>
      </c>
      <c r="M1470" s="4" t="s">
        <v>377</v>
      </c>
      <c r="N1470" s="4" t="s">
        <v>44</v>
      </c>
      <c r="O1470" s="4" t="s">
        <v>2670</v>
      </c>
      <c r="P1470" s="4" t="s">
        <v>2327</v>
      </c>
    </row>
    <row r="1471" customFormat="false" ht="15" hidden="false" customHeight="false" outlineLevel="0" collapsed="false">
      <c r="A1471" s="4" t="s">
        <v>3544</v>
      </c>
      <c r="B1471" s="5" t="n">
        <v>46146</v>
      </c>
      <c r="C1471" s="5" t="n">
        <v>46151</v>
      </c>
      <c r="D1471" s="4" t="s">
        <v>3189</v>
      </c>
      <c r="E1471" s="4" t="s">
        <v>345</v>
      </c>
      <c r="F1471" s="4" t="s">
        <v>376</v>
      </c>
      <c r="G1471" s="4" t="s">
        <v>59</v>
      </c>
      <c r="H1471" s="4" t="n">
        <v>1</v>
      </c>
      <c r="I1471" s="4" t="n">
        <v>137.5</v>
      </c>
      <c r="J1471" s="4" t="s">
        <v>149</v>
      </c>
      <c r="K1471" s="4" t="s">
        <v>1786</v>
      </c>
      <c r="L1471" s="4" t="s">
        <v>480</v>
      </c>
      <c r="M1471" s="4" t="s">
        <v>43</v>
      </c>
      <c r="N1471" s="4" t="s">
        <v>44</v>
      </c>
      <c r="O1471" s="4" t="s">
        <v>1787</v>
      </c>
      <c r="P1471" s="4" t="s">
        <v>2327</v>
      </c>
    </row>
    <row r="1472" customFormat="false" ht="15" hidden="false" customHeight="false" outlineLevel="0" collapsed="false">
      <c r="A1472" s="4" t="s">
        <v>3545</v>
      </c>
      <c r="B1472" s="5" t="n">
        <v>46146</v>
      </c>
      <c r="C1472" s="5" t="n">
        <v>46151</v>
      </c>
      <c r="D1472" s="4" t="s">
        <v>3189</v>
      </c>
      <c r="E1472" s="4" t="s">
        <v>306</v>
      </c>
      <c r="F1472" s="4" t="s">
        <v>2323</v>
      </c>
      <c r="G1472" s="4" t="s">
        <v>38</v>
      </c>
      <c r="H1472" s="4" t="n">
        <v>3</v>
      </c>
      <c r="I1472" s="4" t="n">
        <v>540</v>
      </c>
      <c r="J1472" s="4" t="s">
        <v>40</v>
      </c>
      <c r="K1472" s="4" t="s">
        <v>2640</v>
      </c>
      <c r="L1472" s="4" t="s">
        <v>376</v>
      </c>
      <c r="M1472" s="4" t="s">
        <v>377</v>
      </c>
      <c r="N1472" s="4" t="s">
        <v>44</v>
      </c>
      <c r="O1472" s="4" t="s">
        <v>2641</v>
      </c>
      <c r="P1472" s="4" t="s">
        <v>2327</v>
      </c>
    </row>
    <row r="1473" customFormat="false" ht="15" hidden="false" customHeight="false" outlineLevel="0" collapsed="false">
      <c r="A1473" s="4" t="s">
        <v>3546</v>
      </c>
      <c r="B1473" s="5" t="n">
        <v>46146</v>
      </c>
      <c r="C1473" s="5" t="n">
        <v>46151</v>
      </c>
      <c r="D1473" s="4" t="s">
        <v>3189</v>
      </c>
      <c r="E1473" s="4" t="s">
        <v>345</v>
      </c>
      <c r="F1473" s="4" t="s">
        <v>376</v>
      </c>
      <c r="G1473" s="4" t="s">
        <v>38</v>
      </c>
      <c r="H1473" s="4" t="n">
        <v>4</v>
      </c>
      <c r="I1473" s="4" t="n">
        <v>405</v>
      </c>
      <c r="J1473" s="4" t="s">
        <v>40</v>
      </c>
      <c r="K1473" s="4" t="s">
        <v>2728</v>
      </c>
      <c r="L1473" s="4" t="s">
        <v>2384</v>
      </c>
      <c r="M1473" s="4" t="s">
        <v>1412</v>
      </c>
      <c r="N1473" s="4" t="s">
        <v>52</v>
      </c>
      <c r="O1473" s="4" t="s">
        <v>2729</v>
      </c>
      <c r="P1473" s="4" t="s">
        <v>2327</v>
      </c>
    </row>
    <row r="1474" customFormat="false" ht="15" hidden="false" customHeight="false" outlineLevel="0" collapsed="false">
      <c r="A1474" s="4" t="s">
        <v>3547</v>
      </c>
      <c r="B1474" s="5" t="n">
        <v>46146</v>
      </c>
      <c r="C1474" s="5" t="n">
        <v>46151</v>
      </c>
      <c r="D1474" s="4" t="s">
        <v>3189</v>
      </c>
      <c r="E1474" s="4" t="s">
        <v>323</v>
      </c>
      <c r="F1474" s="4" t="s">
        <v>376</v>
      </c>
      <c r="G1474" s="4" t="s">
        <v>326</v>
      </c>
      <c r="H1474" s="4" t="n">
        <v>1</v>
      </c>
      <c r="I1474" s="4" t="n">
        <v>450</v>
      </c>
      <c r="J1474" s="4" t="s">
        <v>40</v>
      </c>
      <c r="K1474" s="4" t="s">
        <v>3548</v>
      </c>
      <c r="L1474" s="4" t="s">
        <v>1313</v>
      </c>
      <c r="M1474" s="4" t="s">
        <v>464</v>
      </c>
      <c r="N1474" s="4" t="s">
        <v>44</v>
      </c>
      <c r="O1474" s="4" t="s">
        <v>3549</v>
      </c>
      <c r="P1474" s="4" t="s">
        <v>2327</v>
      </c>
    </row>
    <row r="1475" customFormat="false" ht="15" hidden="false" customHeight="false" outlineLevel="0" collapsed="false">
      <c r="A1475" s="4" t="s">
        <v>3550</v>
      </c>
      <c r="B1475" s="5" t="n">
        <v>46146</v>
      </c>
      <c r="C1475" s="5" t="n">
        <v>46151</v>
      </c>
      <c r="D1475" s="4" t="s">
        <v>3189</v>
      </c>
      <c r="E1475" s="4" t="s">
        <v>345</v>
      </c>
      <c r="F1475" s="4" t="s">
        <v>2332</v>
      </c>
      <c r="G1475" s="4" t="s">
        <v>38</v>
      </c>
      <c r="H1475" s="4" t="n">
        <v>1</v>
      </c>
      <c r="I1475" s="4" t="n">
        <v>470</v>
      </c>
      <c r="J1475" s="4" t="s">
        <v>40</v>
      </c>
      <c r="K1475" s="4" t="s">
        <v>2499</v>
      </c>
      <c r="L1475" s="4" t="s">
        <v>376</v>
      </c>
      <c r="M1475" s="4" t="s">
        <v>1412</v>
      </c>
      <c r="N1475" s="4" t="s">
        <v>44</v>
      </c>
      <c r="O1475" s="4" t="s">
        <v>2500</v>
      </c>
      <c r="P1475" s="4" t="s">
        <v>2327</v>
      </c>
    </row>
    <row r="1476" customFormat="false" ht="15" hidden="false" customHeight="false" outlineLevel="0" collapsed="false">
      <c r="A1476" s="4" t="s">
        <v>3551</v>
      </c>
      <c r="B1476" s="5" t="n">
        <v>46146</v>
      </c>
      <c r="C1476" s="5" t="n">
        <v>46151</v>
      </c>
      <c r="D1476" s="4" t="s">
        <v>3189</v>
      </c>
      <c r="E1476" s="4" t="s">
        <v>306</v>
      </c>
      <c r="F1476" s="4" t="s">
        <v>376</v>
      </c>
      <c r="G1476" s="4" t="s">
        <v>38</v>
      </c>
      <c r="H1476" s="4" t="n">
        <v>3</v>
      </c>
      <c r="I1476" s="4" t="n">
        <v>275</v>
      </c>
      <c r="J1476" s="4" t="s">
        <v>149</v>
      </c>
      <c r="K1476" s="4" t="s">
        <v>2745</v>
      </c>
      <c r="L1476" s="4" t="s">
        <v>376</v>
      </c>
      <c r="M1476" s="4" t="s">
        <v>377</v>
      </c>
      <c r="N1476" s="4" t="s">
        <v>44</v>
      </c>
      <c r="O1476" s="4" t="s">
        <v>2746</v>
      </c>
      <c r="P1476" s="4" t="s">
        <v>2327</v>
      </c>
    </row>
    <row r="1477" customFormat="false" ht="15" hidden="false" customHeight="false" outlineLevel="0" collapsed="false">
      <c r="A1477" s="4" t="s">
        <v>3552</v>
      </c>
      <c r="B1477" s="5" t="n">
        <v>46147</v>
      </c>
      <c r="C1477" s="5" t="n">
        <v>46151</v>
      </c>
      <c r="D1477" s="4" t="s">
        <v>3189</v>
      </c>
      <c r="E1477" s="4" t="s">
        <v>306</v>
      </c>
      <c r="F1477" s="4" t="s">
        <v>376</v>
      </c>
      <c r="G1477" s="4" t="s">
        <v>38</v>
      </c>
      <c r="H1477" s="4" t="n">
        <v>1</v>
      </c>
      <c r="I1477" s="4" t="n">
        <v>405</v>
      </c>
      <c r="J1477" s="4" t="s">
        <v>40</v>
      </c>
      <c r="K1477" s="4" t="s">
        <v>2403</v>
      </c>
      <c r="L1477" s="4" t="s">
        <v>1172</v>
      </c>
      <c r="M1477" s="4" t="s">
        <v>377</v>
      </c>
      <c r="N1477" s="4" t="s">
        <v>185</v>
      </c>
      <c r="O1477" s="4" t="s">
        <v>2404</v>
      </c>
      <c r="P1477" s="4" t="s">
        <v>2327</v>
      </c>
    </row>
    <row r="1478" customFormat="false" ht="15" hidden="false" customHeight="false" outlineLevel="0" collapsed="false">
      <c r="A1478" s="4" t="s">
        <v>3553</v>
      </c>
      <c r="B1478" s="5" t="n">
        <v>46147</v>
      </c>
      <c r="C1478" s="5" t="n">
        <v>46151</v>
      </c>
      <c r="D1478" s="4" t="s">
        <v>3189</v>
      </c>
      <c r="E1478" s="4" t="s">
        <v>306</v>
      </c>
      <c r="F1478" s="4" t="s">
        <v>2323</v>
      </c>
      <c r="G1478" s="4" t="s">
        <v>59</v>
      </c>
      <c r="H1478" s="4" t="n">
        <v>1</v>
      </c>
      <c r="I1478" s="4" t="n">
        <v>365</v>
      </c>
      <c r="J1478" s="4" t="s">
        <v>40</v>
      </c>
      <c r="K1478" s="4" t="s">
        <v>3166</v>
      </c>
      <c r="L1478" s="4" t="s">
        <v>376</v>
      </c>
      <c r="M1478" s="4" t="s">
        <v>377</v>
      </c>
      <c r="N1478" s="4" t="s">
        <v>185</v>
      </c>
      <c r="O1478" s="4" t="s">
        <v>3167</v>
      </c>
      <c r="P1478" s="4" t="s">
        <v>2327</v>
      </c>
    </row>
    <row r="1479" customFormat="false" ht="15" hidden="false" customHeight="false" outlineLevel="0" collapsed="false">
      <c r="A1479" s="4" t="s">
        <v>3554</v>
      </c>
      <c r="B1479" s="5" t="n">
        <v>46147</v>
      </c>
      <c r="C1479" s="5" t="n">
        <v>46151</v>
      </c>
      <c r="D1479" s="4" t="s">
        <v>3189</v>
      </c>
      <c r="E1479" s="4" t="s">
        <v>325</v>
      </c>
      <c r="F1479" s="4" t="s">
        <v>376</v>
      </c>
      <c r="G1479" s="4" t="s">
        <v>59</v>
      </c>
      <c r="H1479" s="4" t="n">
        <v>1</v>
      </c>
      <c r="I1479" s="4" t="n">
        <v>340</v>
      </c>
      <c r="J1479" s="4" t="s">
        <v>81</v>
      </c>
      <c r="K1479" s="4" t="s">
        <v>2431</v>
      </c>
      <c r="L1479" s="4" t="s">
        <v>2384</v>
      </c>
      <c r="M1479" s="4" t="s">
        <v>1412</v>
      </c>
      <c r="N1479" s="4" t="s">
        <v>44</v>
      </c>
      <c r="O1479" s="4" t="s">
        <v>2432</v>
      </c>
      <c r="P1479" s="4" t="s">
        <v>2327</v>
      </c>
    </row>
    <row r="1480" customFormat="false" ht="15" hidden="false" customHeight="false" outlineLevel="0" collapsed="false">
      <c r="A1480" s="4" t="s">
        <v>3555</v>
      </c>
      <c r="B1480" s="5" t="n">
        <v>46147</v>
      </c>
      <c r="C1480" s="5" t="n">
        <v>46151</v>
      </c>
      <c r="D1480" s="4" t="s">
        <v>3189</v>
      </c>
      <c r="E1480" s="4" t="s">
        <v>306</v>
      </c>
      <c r="F1480" s="4" t="s">
        <v>2323</v>
      </c>
      <c r="G1480" s="4" t="s">
        <v>38</v>
      </c>
      <c r="H1480" s="4" t="n">
        <v>4</v>
      </c>
      <c r="I1480" s="4" t="n">
        <v>520</v>
      </c>
      <c r="J1480" s="4" t="s">
        <v>40</v>
      </c>
      <c r="K1480" s="4" t="s">
        <v>3556</v>
      </c>
      <c r="L1480" s="4" t="s">
        <v>2517</v>
      </c>
      <c r="M1480" s="4" t="s">
        <v>377</v>
      </c>
      <c r="N1480" s="4" t="s">
        <v>44</v>
      </c>
      <c r="O1480" s="4" t="s">
        <v>3557</v>
      </c>
      <c r="P1480" s="4" t="s">
        <v>2327</v>
      </c>
    </row>
    <row r="1481" customFormat="false" ht="15" hidden="false" customHeight="false" outlineLevel="0" collapsed="false">
      <c r="A1481" s="4" t="s">
        <v>3558</v>
      </c>
      <c r="B1481" s="5" t="n">
        <v>46147</v>
      </c>
      <c r="C1481" s="5" t="n">
        <v>46151</v>
      </c>
      <c r="D1481" s="4" t="s">
        <v>3189</v>
      </c>
      <c r="E1481" s="4" t="s">
        <v>345</v>
      </c>
      <c r="F1481" s="4" t="s">
        <v>376</v>
      </c>
      <c r="G1481" s="4" t="s">
        <v>38</v>
      </c>
      <c r="H1481" s="4" t="n">
        <v>1</v>
      </c>
      <c r="I1481" s="4" t="n">
        <v>680</v>
      </c>
      <c r="J1481" s="4" t="s">
        <v>81</v>
      </c>
      <c r="K1481" s="4" t="s">
        <v>2409</v>
      </c>
      <c r="L1481" s="4" t="s">
        <v>376</v>
      </c>
      <c r="M1481" s="4" t="s">
        <v>377</v>
      </c>
      <c r="N1481" s="4" t="s">
        <v>44</v>
      </c>
      <c r="O1481" s="4" t="s">
        <v>2410</v>
      </c>
      <c r="P1481" s="4" t="s">
        <v>2327</v>
      </c>
    </row>
    <row r="1482" customFormat="false" ht="15" hidden="false" customHeight="false" outlineLevel="0" collapsed="false">
      <c r="A1482" s="4" t="s">
        <v>3559</v>
      </c>
      <c r="B1482" s="5" t="n">
        <v>46147</v>
      </c>
      <c r="C1482" s="5" t="n">
        <v>46151</v>
      </c>
      <c r="D1482" s="4" t="s">
        <v>3189</v>
      </c>
      <c r="E1482" s="4" t="s">
        <v>306</v>
      </c>
      <c r="F1482" s="4" t="s">
        <v>376</v>
      </c>
      <c r="G1482" s="4" t="s">
        <v>59</v>
      </c>
      <c r="H1482" s="4" t="n">
        <v>1</v>
      </c>
      <c r="I1482" s="4" t="n">
        <v>367.5</v>
      </c>
      <c r="J1482" s="4" t="s">
        <v>81</v>
      </c>
      <c r="K1482" s="4" t="s">
        <v>3042</v>
      </c>
      <c r="L1482" s="4" t="s">
        <v>376</v>
      </c>
      <c r="M1482" s="4" t="s">
        <v>377</v>
      </c>
      <c r="N1482" s="4" t="s">
        <v>185</v>
      </c>
      <c r="O1482" s="4" t="s">
        <v>3043</v>
      </c>
      <c r="P1482" s="4" t="s">
        <v>2327</v>
      </c>
    </row>
    <row r="1483" customFormat="false" ht="15" hidden="false" customHeight="false" outlineLevel="0" collapsed="false">
      <c r="A1483" s="4" t="s">
        <v>3560</v>
      </c>
      <c r="B1483" s="5" t="n">
        <v>46147</v>
      </c>
      <c r="C1483" s="5" t="n">
        <v>46147</v>
      </c>
      <c r="D1483" s="4" t="s">
        <v>2322</v>
      </c>
      <c r="E1483" s="4" t="s">
        <v>66</v>
      </c>
      <c r="F1483" s="4" t="s">
        <v>2323</v>
      </c>
      <c r="G1483" s="4" t="s">
        <v>38</v>
      </c>
      <c r="H1483" s="4" t="n">
        <v>4</v>
      </c>
      <c r="I1483" s="4" t="n">
        <v>30</v>
      </c>
      <c r="J1483" s="4" t="s">
        <v>68</v>
      </c>
      <c r="K1483" s="4" t="s">
        <v>1171</v>
      </c>
      <c r="L1483" s="4" t="s">
        <v>376</v>
      </c>
      <c r="M1483" s="4" t="s">
        <v>377</v>
      </c>
      <c r="N1483" s="4" t="s">
        <v>44</v>
      </c>
      <c r="O1483" s="4" t="s">
        <v>1173</v>
      </c>
      <c r="P1483" s="4" t="s">
        <v>2327</v>
      </c>
    </row>
    <row r="1484" customFormat="false" ht="15" hidden="false" customHeight="false" outlineLevel="0" collapsed="false">
      <c r="A1484" s="4" t="s">
        <v>3561</v>
      </c>
      <c r="B1484" s="5" t="n">
        <v>46148</v>
      </c>
      <c r="C1484" s="5" t="n">
        <v>46151</v>
      </c>
      <c r="D1484" s="4" t="s">
        <v>3189</v>
      </c>
      <c r="E1484" s="4" t="s">
        <v>323</v>
      </c>
      <c r="F1484" s="4" t="s">
        <v>376</v>
      </c>
      <c r="G1484" s="4" t="s">
        <v>59</v>
      </c>
      <c r="H1484" s="4" t="n">
        <v>1</v>
      </c>
      <c r="I1484" s="4" t="n">
        <v>285</v>
      </c>
      <c r="J1484" s="4" t="s">
        <v>68</v>
      </c>
      <c r="K1484" s="4" t="s">
        <v>3562</v>
      </c>
      <c r="L1484" s="4" t="s">
        <v>524</v>
      </c>
      <c r="M1484" s="4" t="s">
        <v>377</v>
      </c>
      <c r="N1484" s="4" t="s">
        <v>44</v>
      </c>
      <c r="O1484" s="4" t="s">
        <v>3563</v>
      </c>
      <c r="P1484" s="4" t="s">
        <v>2327</v>
      </c>
    </row>
    <row r="1485" customFormat="false" ht="15" hidden="false" customHeight="false" outlineLevel="0" collapsed="false">
      <c r="A1485" s="4" t="s">
        <v>3564</v>
      </c>
      <c r="B1485" s="5" t="n">
        <v>46148</v>
      </c>
      <c r="C1485" s="5" t="n">
        <v>46151</v>
      </c>
      <c r="D1485" s="4" t="s">
        <v>3189</v>
      </c>
      <c r="E1485" s="4" t="s">
        <v>306</v>
      </c>
      <c r="F1485" s="4" t="s">
        <v>2384</v>
      </c>
      <c r="G1485" s="4" t="s">
        <v>59</v>
      </c>
      <c r="H1485" s="4" t="n">
        <v>1</v>
      </c>
      <c r="I1485" s="4" t="n">
        <v>147.5</v>
      </c>
      <c r="J1485" s="4" t="s">
        <v>40</v>
      </c>
      <c r="K1485" s="4" t="s">
        <v>2991</v>
      </c>
      <c r="L1485" s="4" t="s">
        <v>376</v>
      </c>
      <c r="M1485" s="4" t="s">
        <v>377</v>
      </c>
      <c r="N1485" s="4" t="s">
        <v>94</v>
      </c>
      <c r="O1485" s="4" t="s">
        <v>2992</v>
      </c>
      <c r="P1485" s="4" t="s">
        <v>2327</v>
      </c>
    </row>
    <row r="1486" customFormat="false" ht="15" hidden="false" customHeight="false" outlineLevel="0" collapsed="false">
      <c r="A1486" s="4" t="s">
        <v>3565</v>
      </c>
      <c r="B1486" s="5" t="n">
        <v>46148</v>
      </c>
      <c r="C1486" s="5" t="n">
        <v>46151</v>
      </c>
      <c r="D1486" s="4" t="s">
        <v>3189</v>
      </c>
      <c r="E1486" s="4" t="s">
        <v>306</v>
      </c>
      <c r="F1486" s="4" t="s">
        <v>376</v>
      </c>
      <c r="G1486" s="4" t="s">
        <v>38</v>
      </c>
      <c r="H1486" s="4" t="n">
        <v>1</v>
      </c>
      <c r="I1486" s="4" t="n">
        <v>630</v>
      </c>
      <c r="J1486" s="4" t="s">
        <v>68</v>
      </c>
      <c r="K1486" s="4" t="s">
        <v>2543</v>
      </c>
      <c r="L1486" s="4" t="s">
        <v>376</v>
      </c>
      <c r="M1486" s="4" t="s">
        <v>377</v>
      </c>
      <c r="N1486" s="4" t="s">
        <v>52</v>
      </c>
      <c r="O1486" s="4" t="s">
        <v>2544</v>
      </c>
      <c r="P1486" s="4" t="s">
        <v>2327</v>
      </c>
    </row>
    <row r="1487" customFormat="false" ht="15" hidden="false" customHeight="false" outlineLevel="0" collapsed="false">
      <c r="A1487" s="4" t="s">
        <v>3566</v>
      </c>
      <c r="B1487" s="5" t="n">
        <v>46148</v>
      </c>
      <c r="C1487" s="5" t="n">
        <v>46151</v>
      </c>
      <c r="D1487" s="4" t="s">
        <v>3189</v>
      </c>
      <c r="E1487" s="4" t="s">
        <v>306</v>
      </c>
      <c r="F1487" s="4" t="s">
        <v>376</v>
      </c>
      <c r="G1487" s="4" t="s">
        <v>326</v>
      </c>
      <c r="H1487" s="4" t="n">
        <v>2</v>
      </c>
      <c r="I1487" s="4" t="n">
        <v>1060</v>
      </c>
      <c r="J1487" s="4" t="s">
        <v>68</v>
      </c>
      <c r="K1487" s="4" t="s">
        <v>3567</v>
      </c>
      <c r="L1487" s="4" t="s">
        <v>994</v>
      </c>
      <c r="M1487" s="4" t="s">
        <v>334</v>
      </c>
      <c r="N1487" s="4" t="s">
        <v>44</v>
      </c>
      <c r="O1487" s="4" t="s">
        <v>3568</v>
      </c>
      <c r="P1487" s="4" t="s">
        <v>2327</v>
      </c>
    </row>
    <row r="1488" customFormat="false" ht="15" hidden="false" customHeight="false" outlineLevel="0" collapsed="false">
      <c r="A1488" s="4" t="s">
        <v>3569</v>
      </c>
      <c r="B1488" s="5" t="n">
        <v>46148</v>
      </c>
      <c r="C1488" s="5" t="n">
        <v>46150</v>
      </c>
      <c r="D1488" s="4" t="s">
        <v>2322</v>
      </c>
      <c r="E1488" s="4" t="s">
        <v>89</v>
      </c>
      <c r="F1488" s="4" t="s">
        <v>376</v>
      </c>
      <c r="G1488" s="4" t="s">
        <v>38</v>
      </c>
      <c r="H1488" s="4" t="n">
        <v>2</v>
      </c>
      <c r="I1488" s="4" t="n">
        <v>45</v>
      </c>
      <c r="J1488" s="4" t="s">
        <v>81</v>
      </c>
      <c r="K1488" s="4" t="s">
        <v>3126</v>
      </c>
      <c r="L1488" s="4" t="s">
        <v>376</v>
      </c>
      <c r="M1488" s="4" t="s">
        <v>377</v>
      </c>
      <c r="N1488" s="4" t="s">
        <v>44</v>
      </c>
      <c r="O1488" s="4" t="s">
        <v>3127</v>
      </c>
      <c r="P1488" s="4" t="s">
        <v>2327</v>
      </c>
    </row>
    <row r="1489" customFormat="false" ht="15" hidden="false" customHeight="false" outlineLevel="0" collapsed="false">
      <c r="A1489" s="4" t="s">
        <v>3570</v>
      </c>
      <c r="B1489" s="5" t="n">
        <v>46149</v>
      </c>
      <c r="C1489" s="5" t="n">
        <v>46151</v>
      </c>
      <c r="D1489" s="4" t="s">
        <v>3189</v>
      </c>
      <c r="E1489" s="4" t="s">
        <v>323</v>
      </c>
      <c r="F1489" s="4" t="s">
        <v>376</v>
      </c>
      <c r="G1489" s="4" t="s">
        <v>326</v>
      </c>
      <c r="H1489" s="4" t="n">
        <v>2</v>
      </c>
      <c r="I1489" s="4" t="n">
        <v>540</v>
      </c>
      <c r="J1489" s="4" t="s">
        <v>40</v>
      </c>
      <c r="K1489" s="4" t="s">
        <v>2385</v>
      </c>
      <c r="L1489" s="4" t="s">
        <v>376</v>
      </c>
      <c r="M1489" s="4" t="s">
        <v>377</v>
      </c>
      <c r="N1489" s="4" t="s">
        <v>44</v>
      </c>
      <c r="O1489" s="4" t="s">
        <v>2386</v>
      </c>
      <c r="P1489" s="4" t="s">
        <v>2327</v>
      </c>
    </row>
    <row r="1490" customFormat="false" ht="15" hidden="false" customHeight="false" outlineLevel="0" collapsed="false">
      <c r="A1490" s="4" t="s">
        <v>3571</v>
      </c>
      <c r="B1490" s="5" t="n">
        <v>46149</v>
      </c>
      <c r="C1490" s="5" t="n">
        <v>46151</v>
      </c>
      <c r="D1490" s="4" t="s">
        <v>3189</v>
      </c>
      <c r="E1490" s="4" t="s">
        <v>325</v>
      </c>
      <c r="F1490" s="4" t="s">
        <v>2362</v>
      </c>
      <c r="G1490" s="4" t="s">
        <v>59</v>
      </c>
      <c r="H1490" s="4" t="n">
        <v>1</v>
      </c>
      <c r="I1490" s="4" t="n">
        <v>150</v>
      </c>
      <c r="J1490" s="4" t="s">
        <v>40</v>
      </c>
      <c r="K1490" s="4" t="s">
        <v>2400</v>
      </c>
      <c r="L1490" s="4" t="s">
        <v>376</v>
      </c>
      <c r="M1490" s="4" t="s">
        <v>377</v>
      </c>
      <c r="N1490" s="4" t="s">
        <v>44</v>
      </c>
      <c r="O1490" s="4" t="s">
        <v>2401</v>
      </c>
      <c r="P1490" s="4" t="s">
        <v>2327</v>
      </c>
    </row>
    <row r="1491" customFormat="false" ht="15" hidden="false" customHeight="false" outlineLevel="0" collapsed="false">
      <c r="A1491" s="4" t="s">
        <v>3572</v>
      </c>
      <c r="B1491" s="5" t="n">
        <v>46149</v>
      </c>
      <c r="C1491" s="5" t="n">
        <v>46151</v>
      </c>
      <c r="D1491" s="4" t="s">
        <v>3189</v>
      </c>
      <c r="E1491" s="4" t="s">
        <v>306</v>
      </c>
      <c r="F1491" s="4" t="s">
        <v>376</v>
      </c>
      <c r="G1491" s="4" t="s">
        <v>59</v>
      </c>
      <c r="H1491" s="4" t="n">
        <v>1</v>
      </c>
      <c r="I1491" s="4" t="n">
        <v>382.5</v>
      </c>
      <c r="J1491" s="4" t="s">
        <v>40</v>
      </c>
      <c r="K1491" s="4" t="s">
        <v>2657</v>
      </c>
      <c r="L1491" s="4" t="s">
        <v>376</v>
      </c>
      <c r="M1491" s="4" t="s">
        <v>377</v>
      </c>
      <c r="N1491" s="4" t="s">
        <v>44</v>
      </c>
      <c r="O1491" s="4" t="s">
        <v>2658</v>
      </c>
      <c r="P1491" s="4" t="s">
        <v>2327</v>
      </c>
    </row>
    <row r="1492" customFormat="false" ht="15" hidden="false" customHeight="false" outlineLevel="0" collapsed="false">
      <c r="A1492" s="4" t="s">
        <v>3573</v>
      </c>
      <c r="B1492" s="5" t="n">
        <v>46149</v>
      </c>
      <c r="C1492" s="5" t="n">
        <v>46151</v>
      </c>
      <c r="D1492" s="4" t="s">
        <v>3189</v>
      </c>
      <c r="E1492" s="4" t="s">
        <v>311</v>
      </c>
      <c r="F1492" s="4" t="s">
        <v>2362</v>
      </c>
      <c r="G1492" s="4" t="s">
        <v>38</v>
      </c>
      <c r="H1492" s="4" t="n">
        <v>4</v>
      </c>
      <c r="I1492" s="4" t="n">
        <v>765</v>
      </c>
      <c r="J1492" s="4" t="s">
        <v>68</v>
      </c>
      <c r="K1492" s="4" t="s">
        <v>2905</v>
      </c>
      <c r="L1492" s="4" t="s">
        <v>524</v>
      </c>
      <c r="M1492" s="4" t="s">
        <v>1412</v>
      </c>
      <c r="N1492" s="4" t="s">
        <v>44</v>
      </c>
      <c r="O1492" s="4" t="s">
        <v>2906</v>
      </c>
      <c r="P1492" s="4" t="s">
        <v>2327</v>
      </c>
    </row>
    <row r="1493" customFormat="false" ht="15" hidden="false" customHeight="false" outlineLevel="0" collapsed="false">
      <c r="A1493" s="4" t="s">
        <v>3574</v>
      </c>
      <c r="B1493" s="5" t="n">
        <v>46150</v>
      </c>
      <c r="C1493" s="5" t="n">
        <v>46151</v>
      </c>
      <c r="D1493" s="4" t="s">
        <v>3189</v>
      </c>
      <c r="E1493" s="4" t="s">
        <v>306</v>
      </c>
      <c r="F1493" s="4" t="s">
        <v>376</v>
      </c>
      <c r="G1493" s="4" t="s">
        <v>326</v>
      </c>
      <c r="H1493" s="4" t="n">
        <v>2</v>
      </c>
      <c r="I1493" s="4" t="n">
        <v>990</v>
      </c>
      <c r="J1493" s="4" t="s">
        <v>68</v>
      </c>
      <c r="K1493" s="4" t="s">
        <v>3575</v>
      </c>
      <c r="L1493" s="4" t="s">
        <v>524</v>
      </c>
      <c r="M1493" s="4" t="s">
        <v>377</v>
      </c>
      <c r="N1493" s="4" t="s">
        <v>44</v>
      </c>
      <c r="O1493" s="4" t="s">
        <v>3576</v>
      </c>
      <c r="P1493" s="4" t="s">
        <v>2327</v>
      </c>
    </row>
    <row r="1494" customFormat="false" ht="15" hidden="false" customHeight="false" outlineLevel="0" collapsed="false">
      <c r="A1494" s="4" t="s">
        <v>3577</v>
      </c>
      <c r="B1494" s="5" t="n">
        <v>46150</v>
      </c>
      <c r="C1494" s="5" t="n">
        <v>46151</v>
      </c>
      <c r="D1494" s="4" t="s">
        <v>3189</v>
      </c>
      <c r="E1494" s="4" t="s">
        <v>306</v>
      </c>
      <c r="F1494" s="4" t="s">
        <v>376</v>
      </c>
      <c r="G1494" s="4" t="s">
        <v>38</v>
      </c>
      <c r="H1494" s="4" t="n">
        <v>2</v>
      </c>
      <c r="I1494" s="4" t="n">
        <v>335</v>
      </c>
      <c r="J1494" s="4" t="s">
        <v>81</v>
      </c>
      <c r="K1494" s="4" t="s">
        <v>2329</v>
      </c>
      <c r="L1494" s="4" t="s">
        <v>376</v>
      </c>
      <c r="M1494" s="4" t="s">
        <v>377</v>
      </c>
      <c r="N1494" s="4" t="s">
        <v>44</v>
      </c>
      <c r="O1494" s="4" t="s">
        <v>2330</v>
      </c>
      <c r="P1494" s="4" t="s">
        <v>2327</v>
      </c>
    </row>
    <row r="1495" customFormat="false" ht="15" hidden="false" customHeight="false" outlineLevel="0" collapsed="false">
      <c r="A1495" s="4" t="s">
        <v>3578</v>
      </c>
      <c r="B1495" s="5" t="n">
        <v>46150</v>
      </c>
      <c r="C1495" s="5" t="n">
        <v>46151</v>
      </c>
      <c r="D1495" s="4" t="s">
        <v>3189</v>
      </c>
      <c r="E1495" s="4" t="s">
        <v>323</v>
      </c>
      <c r="F1495" s="4" t="s">
        <v>2362</v>
      </c>
      <c r="G1495" s="4" t="s">
        <v>38</v>
      </c>
      <c r="H1495" s="4" t="n">
        <v>1</v>
      </c>
      <c r="I1495" s="4" t="n">
        <v>260</v>
      </c>
      <c r="J1495" s="4" t="s">
        <v>40</v>
      </c>
      <c r="K1495" s="4" t="s">
        <v>2369</v>
      </c>
      <c r="L1495" s="4" t="s">
        <v>376</v>
      </c>
      <c r="M1495" s="4" t="s">
        <v>377</v>
      </c>
      <c r="N1495" s="4" t="s">
        <v>185</v>
      </c>
      <c r="O1495" s="4" t="s">
        <v>2370</v>
      </c>
      <c r="P1495" s="4" t="s">
        <v>2327</v>
      </c>
    </row>
    <row r="1496" customFormat="false" ht="15" hidden="false" customHeight="false" outlineLevel="0" collapsed="false">
      <c r="A1496" s="4" t="s">
        <v>3579</v>
      </c>
      <c r="B1496" s="5" t="n">
        <v>46150</v>
      </c>
      <c r="C1496" s="5" t="n">
        <v>46151</v>
      </c>
      <c r="D1496" s="4" t="s">
        <v>3189</v>
      </c>
      <c r="E1496" s="4" t="s">
        <v>325</v>
      </c>
      <c r="F1496" s="4" t="s">
        <v>376</v>
      </c>
      <c r="G1496" s="4" t="s">
        <v>59</v>
      </c>
      <c r="H1496" s="4" t="n">
        <v>3</v>
      </c>
      <c r="I1496" s="4" t="n">
        <v>355</v>
      </c>
      <c r="J1496" s="4" t="s">
        <v>40</v>
      </c>
      <c r="K1496" s="4" t="s">
        <v>3580</v>
      </c>
      <c r="L1496" s="4" t="s">
        <v>3028</v>
      </c>
      <c r="M1496" s="4" t="s">
        <v>365</v>
      </c>
      <c r="N1496" s="4" t="s">
        <v>44</v>
      </c>
      <c r="O1496" s="4" t="s">
        <v>3581</v>
      </c>
      <c r="P1496" s="4" t="s">
        <v>2327</v>
      </c>
    </row>
    <row r="1497" customFormat="false" ht="15" hidden="false" customHeight="false" outlineLevel="0" collapsed="false">
      <c r="A1497" s="4" t="s">
        <v>3582</v>
      </c>
      <c r="B1497" s="5" t="n">
        <v>46150</v>
      </c>
      <c r="C1497" s="5" t="n">
        <v>46151</v>
      </c>
      <c r="D1497" s="4" t="s">
        <v>3189</v>
      </c>
      <c r="E1497" s="4" t="s">
        <v>306</v>
      </c>
      <c r="F1497" s="4" t="s">
        <v>376</v>
      </c>
      <c r="G1497" s="4" t="s">
        <v>59</v>
      </c>
      <c r="H1497" s="4" t="n">
        <v>2</v>
      </c>
      <c r="I1497" s="4" t="n">
        <v>167.5</v>
      </c>
      <c r="J1497" s="4" t="s">
        <v>81</v>
      </c>
      <c r="K1497" s="4" t="s">
        <v>3583</v>
      </c>
      <c r="L1497" s="4" t="s">
        <v>219</v>
      </c>
      <c r="M1497" s="4" t="s">
        <v>356</v>
      </c>
      <c r="N1497" s="4" t="s">
        <v>221</v>
      </c>
      <c r="O1497" s="4"/>
      <c r="P1497" s="4" t="s">
        <v>2327</v>
      </c>
    </row>
    <row r="1498" customFormat="false" ht="15" hidden="false" customHeight="false" outlineLevel="0" collapsed="false">
      <c r="A1498" s="4" t="s">
        <v>3584</v>
      </c>
      <c r="B1498" s="5" t="n">
        <v>46150</v>
      </c>
      <c r="C1498" s="5" t="n">
        <v>46151</v>
      </c>
      <c r="D1498" s="4" t="s">
        <v>3189</v>
      </c>
      <c r="E1498" s="4" t="s">
        <v>311</v>
      </c>
      <c r="F1498" s="4" t="s">
        <v>376</v>
      </c>
      <c r="G1498" s="4" t="s">
        <v>38</v>
      </c>
      <c r="H1498" s="4" t="n">
        <v>2</v>
      </c>
      <c r="I1498" s="4" t="n">
        <v>640</v>
      </c>
      <c r="J1498" s="4" t="s">
        <v>40</v>
      </c>
      <c r="K1498" s="4" t="s">
        <v>3100</v>
      </c>
      <c r="L1498" s="4" t="s">
        <v>2146</v>
      </c>
      <c r="M1498" s="4" t="s">
        <v>737</v>
      </c>
      <c r="N1498" s="4" t="s">
        <v>44</v>
      </c>
      <c r="O1498" s="4" t="s">
        <v>3101</v>
      </c>
      <c r="P1498" s="4" t="s">
        <v>2327</v>
      </c>
    </row>
    <row r="1499" customFormat="false" ht="15" hidden="false" customHeight="false" outlineLevel="0" collapsed="false">
      <c r="A1499" s="4" t="s">
        <v>3585</v>
      </c>
      <c r="B1499" s="5" t="n">
        <v>46150</v>
      </c>
      <c r="C1499" s="5" t="n">
        <v>46151</v>
      </c>
      <c r="D1499" s="4" t="s">
        <v>3189</v>
      </c>
      <c r="E1499" s="4" t="s">
        <v>345</v>
      </c>
      <c r="F1499" s="4" t="s">
        <v>376</v>
      </c>
      <c r="G1499" s="4" t="s">
        <v>59</v>
      </c>
      <c r="H1499" s="4" t="n">
        <v>1</v>
      </c>
      <c r="I1499" s="4" t="n">
        <v>222.5</v>
      </c>
      <c r="J1499" s="4" t="s">
        <v>40</v>
      </c>
      <c r="K1499" s="4" t="s">
        <v>3586</v>
      </c>
      <c r="L1499" s="4" t="s">
        <v>3374</v>
      </c>
      <c r="M1499" s="4" t="s">
        <v>456</v>
      </c>
      <c r="N1499" s="4" t="s">
        <v>52</v>
      </c>
      <c r="O1499" s="4" t="s">
        <v>3587</v>
      </c>
      <c r="P1499" s="4" t="s">
        <v>2327</v>
      </c>
    </row>
    <row r="1500" customFormat="false" ht="15" hidden="false" customHeight="false" outlineLevel="0" collapsed="false">
      <c r="A1500" s="4" t="s">
        <v>3588</v>
      </c>
      <c r="B1500" s="5" t="n">
        <v>46150</v>
      </c>
      <c r="C1500" s="5" t="n">
        <v>46150</v>
      </c>
      <c r="D1500" s="4" t="s">
        <v>2322</v>
      </c>
      <c r="E1500" s="4" t="s">
        <v>49</v>
      </c>
      <c r="F1500" s="4" t="s">
        <v>2362</v>
      </c>
      <c r="G1500" s="4" t="s">
        <v>59</v>
      </c>
      <c r="H1500" s="4" t="n">
        <v>1</v>
      </c>
      <c r="I1500" s="4" t="n">
        <v>22.5</v>
      </c>
      <c r="J1500" s="4" t="s">
        <v>81</v>
      </c>
      <c r="K1500" s="4" t="s">
        <v>2535</v>
      </c>
      <c r="L1500" s="4" t="s">
        <v>1172</v>
      </c>
      <c r="M1500" s="4" t="s">
        <v>1412</v>
      </c>
      <c r="N1500" s="4" t="s">
        <v>52</v>
      </c>
      <c r="O1500" s="4" t="s">
        <v>2536</v>
      </c>
      <c r="P1500" s="4" t="s">
        <v>2327</v>
      </c>
    </row>
    <row r="1501" customFormat="false" ht="15" hidden="false" customHeight="false" outlineLevel="0" collapsed="false">
      <c r="A1501" s="4" t="s">
        <v>3589</v>
      </c>
      <c r="B1501" s="5" t="n">
        <v>46151</v>
      </c>
      <c r="C1501" s="5" t="n">
        <v>46151</v>
      </c>
      <c r="D1501" s="4" t="s">
        <v>3189</v>
      </c>
      <c r="E1501" s="4" t="s">
        <v>306</v>
      </c>
      <c r="F1501" s="4" t="s">
        <v>376</v>
      </c>
      <c r="G1501" s="4" t="s">
        <v>38</v>
      </c>
      <c r="H1501" s="4" t="n">
        <v>2</v>
      </c>
      <c r="I1501" s="4" t="n">
        <v>775</v>
      </c>
      <c r="J1501" s="4" t="s">
        <v>40</v>
      </c>
      <c r="K1501" s="4" t="s">
        <v>3590</v>
      </c>
      <c r="L1501" s="4" t="s">
        <v>3591</v>
      </c>
      <c r="M1501" s="4" t="s">
        <v>464</v>
      </c>
      <c r="N1501" s="4" t="s">
        <v>44</v>
      </c>
      <c r="O1501" s="4" t="s">
        <v>3592</v>
      </c>
      <c r="P1501" s="4" t="s">
        <v>2327</v>
      </c>
    </row>
    <row r="1502" customFormat="false" ht="15" hidden="false" customHeight="false" outlineLevel="0" collapsed="false">
      <c r="A1502" s="4" t="s">
        <v>3593</v>
      </c>
      <c r="B1502" s="5" t="n">
        <v>46151</v>
      </c>
      <c r="C1502" s="5" t="n">
        <v>46151</v>
      </c>
      <c r="D1502" s="4" t="s">
        <v>3189</v>
      </c>
      <c r="E1502" s="4" t="s">
        <v>306</v>
      </c>
      <c r="F1502" s="4" t="s">
        <v>376</v>
      </c>
      <c r="G1502" s="4" t="s">
        <v>59</v>
      </c>
      <c r="H1502" s="4" t="n">
        <v>1</v>
      </c>
      <c r="I1502" s="4" t="n">
        <v>345</v>
      </c>
      <c r="J1502" s="4" t="s">
        <v>81</v>
      </c>
      <c r="K1502" s="4" t="s">
        <v>3594</v>
      </c>
      <c r="L1502" s="4" t="s">
        <v>219</v>
      </c>
      <c r="M1502" s="4" t="s">
        <v>356</v>
      </c>
      <c r="N1502" s="4" t="s">
        <v>221</v>
      </c>
      <c r="O1502" s="4"/>
      <c r="P1502" s="4" t="s">
        <v>2327</v>
      </c>
    </row>
    <row r="1503" customFormat="false" ht="15" hidden="false" customHeight="false" outlineLevel="0" collapsed="false">
      <c r="A1503" s="4" t="s">
        <v>3595</v>
      </c>
      <c r="B1503" s="5" t="n">
        <v>46151</v>
      </c>
      <c r="C1503" s="5" t="n">
        <v>46151</v>
      </c>
      <c r="D1503" s="4" t="s">
        <v>3189</v>
      </c>
      <c r="E1503" s="4" t="s">
        <v>306</v>
      </c>
      <c r="F1503" s="4" t="s">
        <v>376</v>
      </c>
      <c r="G1503" s="4" t="s">
        <v>38</v>
      </c>
      <c r="H1503" s="4" t="n">
        <v>2</v>
      </c>
      <c r="I1503" s="4" t="n">
        <v>695</v>
      </c>
      <c r="J1503" s="4" t="s">
        <v>40</v>
      </c>
      <c r="K1503" s="4" t="s">
        <v>2349</v>
      </c>
      <c r="L1503" s="4" t="s">
        <v>1172</v>
      </c>
      <c r="M1503" s="4" t="s">
        <v>377</v>
      </c>
      <c r="N1503" s="4" t="s">
        <v>44</v>
      </c>
      <c r="O1503" s="4" t="s">
        <v>2350</v>
      </c>
      <c r="P1503" s="4" t="s">
        <v>2327</v>
      </c>
    </row>
    <row r="1504" customFormat="false" ht="15" hidden="false" customHeight="false" outlineLevel="0" collapsed="false">
      <c r="A1504" s="4" t="s">
        <v>3596</v>
      </c>
      <c r="B1504" s="5" t="n">
        <v>46151</v>
      </c>
      <c r="C1504" s="5" t="n">
        <v>46151</v>
      </c>
      <c r="D1504" s="4" t="s">
        <v>3189</v>
      </c>
      <c r="E1504" s="4" t="s">
        <v>306</v>
      </c>
      <c r="F1504" s="4" t="s">
        <v>376</v>
      </c>
      <c r="G1504" s="4" t="s">
        <v>59</v>
      </c>
      <c r="H1504" s="4" t="n">
        <v>1</v>
      </c>
      <c r="I1504" s="4" t="n">
        <v>337.5</v>
      </c>
      <c r="J1504" s="4" t="s">
        <v>68</v>
      </c>
      <c r="K1504" s="4" t="s">
        <v>2593</v>
      </c>
      <c r="L1504" s="4" t="s">
        <v>2384</v>
      </c>
      <c r="M1504" s="4" t="s">
        <v>377</v>
      </c>
      <c r="N1504" s="4" t="s">
        <v>44</v>
      </c>
      <c r="O1504" s="4" t="s">
        <v>2594</v>
      </c>
      <c r="P1504" s="4" t="s">
        <v>2327</v>
      </c>
    </row>
    <row r="1505" customFormat="false" ht="15" hidden="false" customHeight="false" outlineLevel="0" collapsed="false">
      <c r="A1505" s="4" t="s">
        <v>3597</v>
      </c>
      <c r="B1505" s="5" t="n">
        <v>46151</v>
      </c>
      <c r="C1505" s="5" t="n">
        <v>46151</v>
      </c>
      <c r="D1505" s="4" t="s">
        <v>3189</v>
      </c>
      <c r="E1505" s="4" t="s">
        <v>306</v>
      </c>
      <c r="F1505" s="4" t="s">
        <v>376</v>
      </c>
      <c r="G1505" s="4" t="s">
        <v>59</v>
      </c>
      <c r="H1505" s="4" t="n">
        <v>2</v>
      </c>
      <c r="I1505" s="4" t="n">
        <v>165</v>
      </c>
      <c r="J1505" s="4" t="s">
        <v>40</v>
      </c>
      <c r="K1505" s="4" t="s">
        <v>2627</v>
      </c>
      <c r="L1505" s="4" t="s">
        <v>2384</v>
      </c>
      <c r="M1505" s="4" t="s">
        <v>377</v>
      </c>
      <c r="N1505" s="4" t="s">
        <v>52</v>
      </c>
      <c r="O1505" s="4" t="s">
        <v>2628</v>
      </c>
      <c r="P1505" s="4" t="s">
        <v>2327</v>
      </c>
    </row>
    <row r="1506" customFormat="false" ht="15" hidden="false" customHeight="false" outlineLevel="0" collapsed="false">
      <c r="A1506" s="4" t="s">
        <v>3598</v>
      </c>
      <c r="B1506" s="5" t="n">
        <v>46151</v>
      </c>
      <c r="C1506" s="5" t="n">
        <v>46151</v>
      </c>
      <c r="D1506" s="4" t="s">
        <v>3189</v>
      </c>
      <c r="E1506" s="4" t="s">
        <v>306</v>
      </c>
      <c r="F1506" s="4" t="s">
        <v>376</v>
      </c>
      <c r="G1506" s="4" t="s">
        <v>38</v>
      </c>
      <c r="H1506" s="4" t="n">
        <v>1</v>
      </c>
      <c r="I1506" s="4" t="n">
        <v>225</v>
      </c>
      <c r="J1506" s="4" t="s">
        <v>68</v>
      </c>
      <c r="K1506" s="4" t="s">
        <v>2627</v>
      </c>
      <c r="L1506" s="4" t="s">
        <v>376</v>
      </c>
      <c r="M1506" s="4" t="s">
        <v>377</v>
      </c>
      <c r="N1506" s="4" t="s">
        <v>44</v>
      </c>
      <c r="O1506" s="4" t="s">
        <v>2628</v>
      </c>
      <c r="P1506" s="4" t="s">
        <v>2327</v>
      </c>
    </row>
    <row r="1507" customFormat="false" ht="15" hidden="false" customHeight="false" outlineLevel="0" collapsed="false">
      <c r="A1507" s="4" t="s">
        <v>3599</v>
      </c>
      <c r="B1507" s="5" t="n">
        <v>46151</v>
      </c>
      <c r="C1507" s="5" t="n">
        <v>46151</v>
      </c>
      <c r="D1507" s="4" t="s">
        <v>3189</v>
      </c>
      <c r="E1507" s="4" t="s">
        <v>345</v>
      </c>
      <c r="F1507" s="4" t="s">
        <v>376</v>
      </c>
      <c r="G1507" s="4" t="s">
        <v>59</v>
      </c>
      <c r="H1507" s="4" t="n">
        <v>2</v>
      </c>
      <c r="I1507" s="4" t="n">
        <v>140</v>
      </c>
      <c r="J1507" s="4" t="s">
        <v>40</v>
      </c>
      <c r="K1507" s="4" t="s">
        <v>3600</v>
      </c>
      <c r="L1507" s="4" t="s">
        <v>736</v>
      </c>
      <c r="M1507" s="4" t="s">
        <v>737</v>
      </c>
      <c r="N1507" s="4" t="s">
        <v>44</v>
      </c>
      <c r="O1507" s="4" t="s">
        <v>3601</v>
      </c>
      <c r="P1507" s="4" t="s">
        <v>2327</v>
      </c>
    </row>
    <row r="1508" customFormat="false" ht="15" hidden="false" customHeight="false" outlineLevel="0" collapsed="false">
      <c r="A1508" s="4" t="s">
        <v>3602</v>
      </c>
      <c r="B1508" s="5" t="n">
        <v>46157</v>
      </c>
      <c r="C1508" s="5" t="n">
        <v>46158</v>
      </c>
      <c r="D1508" s="4" t="s">
        <v>2322</v>
      </c>
      <c r="E1508" s="4" t="s">
        <v>36</v>
      </c>
      <c r="F1508" s="4" t="s">
        <v>2384</v>
      </c>
      <c r="G1508" s="4" t="s">
        <v>38</v>
      </c>
      <c r="H1508" s="4" t="n">
        <v>1</v>
      </c>
      <c r="I1508" s="4" t="n">
        <v>30</v>
      </c>
      <c r="J1508" s="4" t="s">
        <v>68</v>
      </c>
      <c r="K1508" s="4" t="s">
        <v>2346</v>
      </c>
      <c r="L1508" s="4" t="s">
        <v>2384</v>
      </c>
      <c r="M1508" s="4" t="s">
        <v>377</v>
      </c>
      <c r="N1508" s="4" t="s">
        <v>44</v>
      </c>
      <c r="O1508" s="4" t="s">
        <v>2347</v>
      </c>
      <c r="P1508" s="4" t="s">
        <v>2327</v>
      </c>
    </row>
    <row r="1509" customFormat="false" ht="15" hidden="false" customHeight="false" outlineLevel="0" collapsed="false">
      <c r="A1509" s="4" t="s">
        <v>3603</v>
      </c>
      <c r="B1509" s="5" t="n">
        <v>46160</v>
      </c>
      <c r="C1509" s="5" t="n">
        <v>46163</v>
      </c>
      <c r="D1509" s="4" t="s">
        <v>2322</v>
      </c>
      <c r="E1509" s="4" t="s">
        <v>36</v>
      </c>
      <c r="F1509" s="4" t="s">
        <v>376</v>
      </c>
      <c r="G1509" s="4" t="s">
        <v>59</v>
      </c>
      <c r="H1509" s="4" t="n">
        <v>1</v>
      </c>
      <c r="I1509" s="4" t="n">
        <v>15</v>
      </c>
      <c r="J1509" s="4" t="s">
        <v>40</v>
      </c>
      <c r="K1509" s="4" t="s">
        <v>3604</v>
      </c>
      <c r="L1509" s="4" t="s">
        <v>376</v>
      </c>
      <c r="M1509" s="4" t="s">
        <v>377</v>
      </c>
      <c r="N1509" s="4" t="s">
        <v>44</v>
      </c>
      <c r="O1509" s="4" t="s">
        <v>3605</v>
      </c>
      <c r="P1509" s="4" t="s">
        <v>2327</v>
      </c>
    </row>
    <row r="1510" customFormat="false" ht="15" hidden="false" customHeight="false" outlineLevel="0" collapsed="false">
      <c r="A1510" s="4" t="s">
        <v>3606</v>
      </c>
      <c r="B1510" s="5" t="n">
        <v>46160</v>
      </c>
      <c r="C1510" s="5" t="n">
        <v>46161</v>
      </c>
      <c r="D1510" s="4" t="s">
        <v>2322</v>
      </c>
      <c r="E1510" s="4" t="s">
        <v>36</v>
      </c>
      <c r="F1510" s="4" t="s">
        <v>376</v>
      </c>
      <c r="G1510" s="4" t="s">
        <v>38</v>
      </c>
      <c r="H1510" s="4" t="n">
        <v>2</v>
      </c>
      <c r="I1510" s="4" t="n">
        <v>45</v>
      </c>
      <c r="J1510" s="4" t="s">
        <v>40</v>
      </c>
      <c r="K1510" s="4" t="s">
        <v>2666</v>
      </c>
      <c r="L1510" s="4" t="s">
        <v>2384</v>
      </c>
      <c r="M1510" s="4" t="s">
        <v>377</v>
      </c>
      <c r="N1510" s="4" t="s">
        <v>44</v>
      </c>
      <c r="O1510" s="4" t="s">
        <v>2667</v>
      </c>
      <c r="P1510" s="4" t="s">
        <v>2327</v>
      </c>
    </row>
    <row r="1511" customFormat="false" ht="15" hidden="false" customHeight="false" outlineLevel="0" collapsed="false">
      <c r="A1511" s="4" t="s">
        <v>3607</v>
      </c>
      <c r="B1511" s="5" t="n">
        <v>46170</v>
      </c>
      <c r="C1511" s="5" t="n">
        <v>46173</v>
      </c>
      <c r="D1511" s="4" t="s">
        <v>2322</v>
      </c>
      <c r="E1511" s="4" t="s">
        <v>89</v>
      </c>
      <c r="F1511" s="4" t="s">
        <v>376</v>
      </c>
      <c r="G1511" s="4" t="s">
        <v>38</v>
      </c>
      <c r="H1511" s="4" t="n">
        <v>2</v>
      </c>
      <c r="I1511" s="4" t="n">
        <v>35</v>
      </c>
      <c r="J1511" s="4" t="s">
        <v>68</v>
      </c>
      <c r="K1511" s="4" t="s">
        <v>2413</v>
      </c>
      <c r="L1511" s="4" t="s">
        <v>376</v>
      </c>
      <c r="M1511" s="4" t="s">
        <v>377</v>
      </c>
      <c r="N1511" s="4" t="s">
        <v>185</v>
      </c>
      <c r="O1511" s="4" t="s">
        <v>2414</v>
      </c>
      <c r="P1511" s="4" t="s">
        <v>2327</v>
      </c>
    </row>
    <row r="1512" customFormat="false" ht="15" hidden="false" customHeight="false" outlineLevel="0" collapsed="false">
      <c r="A1512" s="4" t="s">
        <v>3608</v>
      </c>
      <c r="B1512" s="5" t="n">
        <v>46173</v>
      </c>
      <c r="C1512" s="5" t="n">
        <v>46175</v>
      </c>
      <c r="D1512" s="4" t="s">
        <v>2322</v>
      </c>
      <c r="E1512" s="4" t="s">
        <v>36</v>
      </c>
      <c r="F1512" s="4" t="s">
        <v>2362</v>
      </c>
      <c r="G1512" s="4" t="s">
        <v>38</v>
      </c>
      <c r="H1512" s="4" t="n">
        <v>2</v>
      </c>
      <c r="I1512" s="4" t="n">
        <v>35</v>
      </c>
      <c r="J1512" s="4" t="s">
        <v>40</v>
      </c>
      <c r="K1512" s="4" t="s">
        <v>3478</v>
      </c>
      <c r="L1512" s="4" t="s">
        <v>376</v>
      </c>
      <c r="M1512" s="4" t="s">
        <v>377</v>
      </c>
      <c r="N1512" s="4" t="s">
        <v>44</v>
      </c>
      <c r="O1512" s="4" t="s">
        <v>3479</v>
      </c>
      <c r="P1512" s="4" t="s">
        <v>2327</v>
      </c>
    </row>
    <row r="1513" customFormat="false" ht="15" hidden="false" customHeight="false" outlineLevel="0" collapsed="false">
      <c r="A1513" s="4" t="s">
        <v>3609</v>
      </c>
      <c r="B1513" s="5" t="n">
        <v>46173</v>
      </c>
      <c r="C1513" s="5" t="n">
        <v>46174</v>
      </c>
      <c r="D1513" s="4" t="s">
        <v>2322</v>
      </c>
      <c r="E1513" s="4" t="s">
        <v>57</v>
      </c>
      <c r="F1513" s="4" t="s">
        <v>376</v>
      </c>
      <c r="G1513" s="4" t="s">
        <v>59</v>
      </c>
      <c r="H1513" s="4" t="n">
        <v>4</v>
      </c>
      <c r="I1513" s="4" t="n">
        <v>20</v>
      </c>
      <c r="J1513" s="4" t="s">
        <v>40</v>
      </c>
      <c r="K1513" s="4" t="s">
        <v>2382</v>
      </c>
      <c r="L1513" s="4" t="s">
        <v>2890</v>
      </c>
      <c r="M1513" s="4" t="s">
        <v>356</v>
      </c>
      <c r="N1513" s="4" t="s">
        <v>433</v>
      </c>
      <c r="O1513" s="4"/>
      <c r="P1513" s="4" t="s">
        <v>2327</v>
      </c>
    </row>
    <row r="1514" customFormat="false" ht="15" hidden="false" customHeight="false" outlineLevel="0" collapsed="false">
      <c r="A1514" s="4" t="s">
        <v>3610</v>
      </c>
      <c r="B1514" s="5" t="n">
        <v>46175</v>
      </c>
      <c r="C1514" s="5" t="n">
        <v>46177</v>
      </c>
      <c r="D1514" s="4" t="s">
        <v>2322</v>
      </c>
      <c r="E1514" s="4" t="s">
        <v>89</v>
      </c>
      <c r="F1514" s="4" t="s">
        <v>2384</v>
      </c>
      <c r="G1514" s="4" t="s">
        <v>38</v>
      </c>
      <c r="H1514" s="4" t="n">
        <v>2</v>
      </c>
      <c r="I1514" s="4" t="n">
        <v>45</v>
      </c>
      <c r="J1514" s="4" t="s">
        <v>149</v>
      </c>
      <c r="K1514" s="4" t="s">
        <v>2974</v>
      </c>
      <c r="L1514" s="4" t="s">
        <v>376</v>
      </c>
      <c r="M1514" s="4" t="s">
        <v>377</v>
      </c>
      <c r="N1514" s="4" t="s">
        <v>44</v>
      </c>
      <c r="O1514" s="4" t="s">
        <v>2975</v>
      </c>
      <c r="P1514" s="4" t="s">
        <v>2327</v>
      </c>
    </row>
    <row r="1515" customFormat="false" ht="15" hidden="false" customHeight="false" outlineLevel="0" collapsed="false">
      <c r="A1515" s="4" t="s">
        <v>3611</v>
      </c>
      <c r="B1515" s="5" t="n">
        <v>46177</v>
      </c>
      <c r="C1515" s="5" t="n">
        <v>46180</v>
      </c>
      <c r="D1515" s="4" t="s">
        <v>2322</v>
      </c>
      <c r="E1515" s="4" t="s">
        <v>66</v>
      </c>
      <c r="F1515" s="4" t="s">
        <v>2323</v>
      </c>
      <c r="G1515" s="4" t="s">
        <v>38</v>
      </c>
      <c r="H1515" s="4" t="n">
        <v>1</v>
      </c>
      <c r="I1515" s="4" t="n">
        <v>40</v>
      </c>
      <c r="J1515" s="4" t="s">
        <v>40</v>
      </c>
      <c r="K1515" s="4" t="s">
        <v>2349</v>
      </c>
      <c r="L1515" s="4" t="s">
        <v>376</v>
      </c>
      <c r="M1515" s="4" t="s">
        <v>377</v>
      </c>
      <c r="N1515" s="4" t="s">
        <v>44</v>
      </c>
      <c r="O1515" s="4" t="s">
        <v>2350</v>
      </c>
      <c r="P1515" s="4" t="s">
        <v>2327</v>
      </c>
    </row>
    <row r="1516" customFormat="false" ht="15" hidden="false" customHeight="false" outlineLevel="0" collapsed="false">
      <c r="A1516" s="4" t="s">
        <v>3612</v>
      </c>
      <c r="B1516" s="5" t="n">
        <v>46185</v>
      </c>
      <c r="C1516" s="5" t="n">
        <v>46188</v>
      </c>
      <c r="D1516" s="4" t="s">
        <v>2322</v>
      </c>
      <c r="E1516" s="4" t="s">
        <v>36</v>
      </c>
      <c r="F1516" s="4" t="s">
        <v>376</v>
      </c>
      <c r="G1516" s="4" t="s">
        <v>38</v>
      </c>
      <c r="H1516" s="4" t="n">
        <v>3</v>
      </c>
      <c r="I1516" s="4" t="n">
        <v>45</v>
      </c>
      <c r="J1516" s="4" t="s">
        <v>40</v>
      </c>
      <c r="K1516" s="4" t="s">
        <v>3402</v>
      </c>
      <c r="L1516" s="4" t="s">
        <v>376</v>
      </c>
      <c r="M1516" s="4" t="s">
        <v>377</v>
      </c>
      <c r="N1516" s="4" t="s">
        <v>44</v>
      </c>
      <c r="O1516" s="4" t="s">
        <v>3403</v>
      </c>
      <c r="P1516" s="4" t="s">
        <v>2327</v>
      </c>
    </row>
    <row r="1517" customFormat="false" ht="15" hidden="false" customHeight="false" outlineLevel="0" collapsed="false">
      <c r="A1517" s="4" t="s">
        <v>3613</v>
      </c>
      <c r="B1517" s="5" t="n">
        <v>46188</v>
      </c>
      <c r="C1517" s="5" t="n">
        <v>46190</v>
      </c>
      <c r="D1517" s="4" t="s">
        <v>2322</v>
      </c>
      <c r="E1517" s="4" t="s">
        <v>57</v>
      </c>
      <c r="F1517" s="4" t="s">
        <v>2362</v>
      </c>
      <c r="G1517" s="4" t="s">
        <v>38</v>
      </c>
      <c r="H1517" s="4" t="n">
        <v>1</v>
      </c>
      <c r="I1517" s="4" t="n">
        <v>35</v>
      </c>
      <c r="J1517" s="4" t="s">
        <v>68</v>
      </c>
      <c r="K1517" s="4" t="s">
        <v>2577</v>
      </c>
      <c r="L1517" s="4" t="s">
        <v>376</v>
      </c>
      <c r="M1517" s="4" t="s">
        <v>377</v>
      </c>
      <c r="N1517" s="4" t="s">
        <v>185</v>
      </c>
      <c r="O1517" s="4" t="s">
        <v>2578</v>
      </c>
      <c r="P1517" s="4" t="s">
        <v>2327</v>
      </c>
    </row>
    <row r="1518" customFormat="false" ht="15" hidden="false" customHeight="false" outlineLevel="0" collapsed="false">
      <c r="A1518" s="4" t="s">
        <v>3614</v>
      </c>
      <c r="B1518" s="5" t="n">
        <v>46189</v>
      </c>
      <c r="C1518" s="5" t="n">
        <v>46192</v>
      </c>
      <c r="D1518" s="4" t="s">
        <v>2322</v>
      </c>
      <c r="E1518" s="4" t="s">
        <v>66</v>
      </c>
      <c r="F1518" s="4" t="s">
        <v>376</v>
      </c>
      <c r="G1518" s="4" t="s">
        <v>38</v>
      </c>
      <c r="H1518" s="4" t="n">
        <v>1</v>
      </c>
      <c r="I1518" s="4" t="n">
        <v>30</v>
      </c>
      <c r="J1518" s="4" t="s">
        <v>81</v>
      </c>
      <c r="K1518" s="4" t="s">
        <v>3042</v>
      </c>
      <c r="L1518" s="4" t="s">
        <v>376</v>
      </c>
      <c r="M1518" s="4" t="s">
        <v>377</v>
      </c>
      <c r="N1518" s="4" t="s">
        <v>44</v>
      </c>
      <c r="O1518" s="4" t="s">
        <v>3043</v>
      </c>
      <c r="P1518" s="4" t="s">
        <v>2327</v>
      </c>
    </row>
    <row r="1519" customFormat="false" ht="15" hidden="false" customHeight="false" outlineLevel="0" collapsed="false">
      <c r="A1519" s="4" t="s">
        <v>3615</v>
      </c>
      <c r="B1519" s="5" t="n">
        <v>46190</v>
      </c>
      <c r="C1519" s="5" t="n">
        <v>46191</v>
      </c>
      <c r="D1519" s="4" t="s">
        <v>2322</v>
      </c>
      <c r="E1519" s="4" t="s">
        <v>49</v>
      </c>
      <c r="F1519" s="4" t="s">
        <v>376</v>
      </c>
      <c r="G1519" s="4" t="s">
        <v>38</v>
      </c>
      <c r="H1519" s="4" t="n">
        <v>2</v>
      </c>
      <c r="I1519" s="4" t="n">
        <v>40</v>
      </c>
      <c r="J1519" s="4" t="s">
        <v>40</v>
      </c>
      <c r="K1519" s="4" t="s">
        <v>2577</v>
      </c>
      <c r="L1519" s="4" t="s">
        <v>376</v>
      </c>
      <c r="M1519" s="4" t="s">
        <v>377</v>
      </c>
      <c r="N1519" s="4" t="s">
        <v>44</v>
      </c>
      <c r="O1519" s="4" t="s">
        <v>2578</v>
      </c>
      <c r="P1519" s="4" t="s">
        <v>2327</v>
      </c>
    </row>
    <row r="1520" customFormat="false" ht="15" hidden="false" customHeight="false" outlineLevel="0" collapsed="false">
      <c r="A1520" s="4" t="s">
        <v>3614</v>
      </c>
      <c r="B1520" s="5" t="n">
        <v>46189</v>
      </c>
      <c r="C1520" s="5" t="n">
        <v>46192</v>
      </c>
      <c r="D1520" s="4" t="s">
        <v>2322</v>
      </c>
      <c r="E1520" s="4" t="s">
        <v>66</v>
      </c>
      <c r="F1520" s="4" t="s">
        <v>376</v>
      </c>
      <c r="G1520" s="4" t="s">
        <v>38</v>
      </c>
      <c r="H1520" s="4" t="n">
        <v>1</v>
      </c>
      <c r="I1520" s="4" t="n">
        <v>30</v>
      </c>
      <c r="J1520" s="4" t="s">
        <v>81</v>
      </c>
      <c r="K1520" s="4" t="s">
        <v>3042</v>
      </c>
      <c r="L1520" s="4" t="s">
        <v>376</v>
      </c>
      <c r="M1520" s="4" t="s">
        <v>377</v>
      </c>
      <c r="N1520" s="4" t="s">
        <v>44</v>
      </c>
      <c r="O1520" s="4" t="s">
        <v>3043</v>
      </c>
      <c r="P1520" s="4" t="s">
        <v>2327</v>
      </c>
    </row>
    <row r="1521" customFormat="false" ht="15" hidden="false" customHeight="false" outlineLevel="0" collapsed="false">
      <c r="A1521" s="4" t="s">
        <v>3616</v>
      </c>
      <c r="B1521" s="5" t="n">
        <v>46192</v>
      </c>
      <c r="C1521" s="5" t="n">
        <v>46193</v>
      </c>
      <c r="D1521" s="4" t="s">
        <v>2322</v>
      </c>
      <c r="E1521" s="4" t="s">
        <v>36</v>
      </c>
      <c r="F1521" s="4" t="s">
        <v>376</v>
      </c>
      <c r="G1521" s="4" t="s">
        <v>38</v>
      </c>
      <c r="H1521" s="4" t="n">
        <v>1</v>
      </c>
      <c r="I1521" s="4" t="n">
        <v>40</v>
      </c>
      <c r="J1521" s="4" t="s">
        <v>68</v>
      </c>
      <c r="K1521" s="4" t="s">
        <v>3019</v>
      </c>
      <c r="L1521" s="4" t="s">
        <v>376</v>
      </c>
      <c r="M1521" s="4" t="s">
        <v>377</v>
      </c>
      <c r="N1521" s="4" t="s">
        <v>52</v>
      </c>
      <c r="O1521" s="4" t="s">
        <v>3020</v>
      </c>
      <c r="P1521" s="4" t="s">
        <v>2327</v>
      </c>
    </row>
    <row r="1522" customFormat="false" ht="15" hidden="false" customHeight="false" outlineLevel="0" collapsed="false">
      <c r="A1522" s="4" t="s">
        <v>3617</v>
      </c>
      <c r="B1522" s="5" t="n">
        <v>46194</v>
      </c>
      <c r="C1522" s="5" t="n">
        <v>46195</v>
      </c>
      <c r="D1522" s="4" t="s">
        <v>2322</v>
      </c>
      <c r="E1522" s="4" t="s">
        <v>36</v>
      </c>
      <c r="F1522" s="4" t="s">
        <v>376</v>
      </c>
      <c r="G1522" s="4" t="s">
        <v>59</v>
      </c>
      <c r="H1522" s="4" t="n">
        <v>1</v>
      </c>
      <c r="I1522" s="4" t="n">
        <v>15</v>
      </c>
      <c r="J1522" s="4" t="s">
        <v>149</v>
      </c>
      <c r="K1522" s="4" t="s">
        <v>1456</v>
      </c>
      <c r="L1522" s="4" t="s">
        <v>1172</v>
      </c>
      <c r="M1522" s="4" t="s">
        <v>377</v>
      </c>
      <c r="N1522" s="4" t="s">
        <v>185</v>
      </c>
      <c r="O1522" s="4" t="s">
        <v>1457</v>
      </c>
      <c r="P1522" s="4" t="s">
        <v>2327</v>
      </c>
    </row>
    <row r="1523" customFormat="false" ht="15" hidden="false" customHeight="false" outlineLevel="0" collapsed="false">
      <c r="A1523" s="4" t="s">
        <v>3618</v>
      </c>
      <c r="B1523" s="5" t="n">
        <v>46195</v>
      </c>
      <c r="C1523" s="5" t="n">
        <v>46197</v>
      </c>
      <c r="D1523" s="4" t="s">
        <v>2322</v>
      </c>
      <c r="E1523" s="4" t="s">
        <v>36</v>
      </c>
      <c r="F1523" s="4" t="s">
        <v>376</v>
      </c>
      <c r="G1523" s="4" t="s">
        <v>59</v>
      </c>
      <c r="H1523" s="4" t="n">
        <v>1</v>
      </c>
      <c r="I1523" s="4" t="n">
        <v>17.5</v>
      </c>
      <c r="J1523" s="4" t="s">
        <v>40</v>
      </c>
      <c r="K1523" s="4" t="s">
        <v>3016</v>
      </c>
      <c r="L1523" s="4" t="s">
        <v>2325</v>
      </c>
      <c r="M1523" s="4" t="s">
        <v>377</v>
      </c>
      <c r="N1523" s="4" t="s">
        <v>44</v>
      </c>
      <c r="O1523" s="4" t="s">
        <v>3017</v>
      </c>
      <c r="P1523" s="4" t="s">
        <v>2327</v>
      </c>
    </row>
    <row r="1524" customFormat="false" ht="15" hidden="false" customHeight="false" outlineLevel="0" collapsed="false">
      <c r="A1524" s="4" t="s">
        <v>3619</v>
      </c>
      <c r="B1524" s="5" t="n">
        <v>46196</v>
      </c>
      <c r="C1524" s="5" t="n">
        <v>46198</v>
      </c>
      <c r="D1524" s="4" t="s">
        <v>2322</v>
      </c>
      <c r="E1524" s="4" t="s">
        <v>36</v>
      </c>
      <c r="F1524" s="4" t="s">
        <v>376</v>
      </c>
      <c r="G1524" s="4" t="s">
        <v>38</v>
      </c>
      <c r="H1524" s="4" t="n">
        <v>2</v>
      </c>
      <c r="I1524" s="4" t="n">
        <v>35</v>
      </c>
      <c r="J1524" s="4" t="s">
        <v>149</v>
      </c>
      <c r="K1524" s="4" t="s">
        <v>2431</v>
      </c>
      <c r="L1524" s="4" t="s">
        <v>376</v>
      </c>
      <c r="M1524" s="4" t="s">
        <v>377</v>
      </c>
      <c r="N1524" s="4" t="s">
        <v>94</v>
      </c>
      <c r="O1524" s="4" t="s">
        <v>2432</v>
      </c>
      <c r="P1524" s="4" t="s">
        <v>2327</v>
      </c>
    </row>
    <row r="1525" customFormat="false" ht="15" hidden="false" customHeight="false" outlineLevel="0" collapsed="false">
      <c r="A1525" s="4" t="s">
        <v>3620</v>
      </c>
      <c r="B1525" s="5" t="n">
        <v>46196</v>
      </c>
      <c r="C1525" s="5" t="n">
        <v>46196</v>
      </c>
      <c r="D1525" s="4" t="s">
        <v>2322</v>
      </c>
      <c r="E1525" s="4" t="s">
        <v>36</v>
      </c>
      <c r="F1525" s="4" t="s">
        <v>376</v>
      </c>
      <c r="G1525" s="4" t="s">
        <v>59</v>
      </c>
      <c r="H1525" s="4" t="n">
        <v>2</v>
      </c>
      <c r="I1525" s="4" t="n">
        <v>17.5</v>
      </c>
      <c r="J1525" s="4" t="s">
        <v>68</v>
      </c>
      <c r="K1525" s="4" t="s">
        <v>2471</v>
      </c>
      <c r="L1525" s="4" t="s">
        <v>2384</v>
      </c>
      <c r="M1525" s="4" t="s">
        <v>377</v>
      </c>
      <c r="N1525" s="4" t="s">
        <v>185</v>
      </c>
      <c r="O1525" s="4" t="s">
        <v>2472</v>
      </c>
      <c r="P1525" s="4" t="s">
        <v>2327</v>
      </c>
    </row>
    <row r="1526" customFormat="false" ht="15" hidden="false" customHeight="false" outlineLevel="0" collapsed="false">
      <c r="A1526" s="4" t="s">
        <v>3621</v>
      </c>
      <c r="B1526" s="4" t="s">
        <v>3622</v>
      </c>
      <c r="C1526" s="4" t="s">
        <v>3623</v>
      </c>
      <c r="D1526" s="4" t="s">
        <v>3624</v>
      </c>
      <c r="E1526" s="4" t="s">
        <v>36</v>
      </c>
      <c r="F1526" s="4" t="s">
        <v>736</v>
      </c>
      <c r="G1526" s="4" t="s">
        <v>59</v>
      </c>
      <c r="H1526" s="4" t="s">
        <v>3625</v>
      </c>
      <c r="I1526" s="4" t="s">
        <v>3626</v>
      </c>
      <c r="J1526" s="4" t="s">
        <v>40</v>
      </c>
      <c r="K1526" s="4" t="s">
        <v>3627</v>
      </c>
      <c r="L1526" s="4" t="s">
        <v>736</v>
      </c>
      <c r="M1526" s="4" t="s">
        <v>737</v>
      </c>
      <c r="N1526" s="4" t="s">
        <v>44</v>
      </c>
      <c r="O1526" s="4" t="s">
        <v>3628</v>
      </c>
      <c r="P1526" s="4" t="s">
        <v>3629</v>
      </c>
    </row>
    <row r="1527" customFormat="false" ht="15" hidden="false" customHeight="false" outlineLevel="0" collapsed="false">
      <c r="A1527" s="4" t="s">
        <v>3630</v>
      </c>
      <c r="B1527" s="4" t="s">
        <v>3631</v>
      </c>
      <c r="C1527" s="4" t="s">
        <v>3631</v>
      </c>
      <c r="D1527" s="4" t="s">
        <v>3624</v>
      </c>
      <c r="E1527" s="4" t="s">
        <v>36</v>
      </c>
      <c r="F1527" s="4" t="s">
        <v>736</v>
      </c>
      <c r="G1527" s="4" t="s">
        <v>59</v>
      </c>
      <c r="H1527" s="4" t="s">
        <v>3632</v>
      </c>
      <c r="I1527" s="4" t="s">
        <v>3633</v>
      </c>
      <c r="J1527" s="4" t="s">
        <v>149</v>
      </c>
      <c r="K1527" s="4" t="s">
        <v>3634</v>
      </c>
      <c r="L1527" s="4" t="s">
        <v>3635</v>
      </c>
      <c r="M1527" s="4" t="s">
        <v>737</v>
      </c>
      <c r="N1527" s="4" t="s">
        <v>44</v>
      </c>
      <c r="O1527" s="4" t="s">
        <v>3636</v>
      </c>
      <c r="P1527" s="4" t="s">
        <v>3629</v>
      </c>
    </row>
    <row r="1528" customFormat="false" ht="15" hidden="false" customHeight="false" outlineLevel="0" collapsed="false">
      <c r="A1528" s="4" t="s">
        <v>3637</v>
      </c>
      <c r="B1528" s="4" t="s">
        <v>3638</v>
      </c>
      <c r="C1528" s="4" t="s">
        <v>3639</v>
      </c>
      <c r="D1528" s="4" t="s">
        <v>3624</v>
      </c>
      <c r="E1528" s="4" t="s">
        <v>36</v>
      </c>
      <c r="F1528" s="4" t="s">
        <v>736</v>
      </c>
      <c r="G1528" s="4" t="s">
        <v>59</v>
      </c>
      <c r="H1528" s="4" t="s">
        <v>3625</v>
      </c>
      <c r="I1528" s="4" t="s">
        <v>3626</v>
      </c>
      <c r="J1528" s="4" t="s">
        <v>40</v>
      </c>
      <c r="K1528" s="4" t="s">
        <v>3640</v>
      </c>
      <c r="L1528" s="4" t="s">
        <v>736</v>
      </c>
      <c r="M1528" s="4" t="s">
        <v>737</v>
      </c>
      <c r="N1528" s="4" t="s">
        <v>185</v>
      </c>
      <c r="O1528" s="4" t="s">
        <v>3641</v>
      </c>
      <c r="P1528" s="4" t="s">
        <v>3629</v>
      </c>
    </row>
    <row r="1529" customFormat="false" ht="15" hidden="false" customHeight="false" outlineLevel="0" collapsed="false">
      <c r="A1529" s="4" t="s">
        <v>3642</v>
      </c>
      <c r="B1529" s="4" t="s">
        <v>3643</v>
      </c>
      <c r="C1529" s="4" t="s">
        <v>3644</v>
      </c>
      <c r="D1529" s="4" t="s">
        <v>3624</v>
      </c>
      <c r="E1529" s="4" t="s">
        <v>36</v>
      </c>
      <c r="F1529" s="4" t="s">
        <v>1584</v>
      </c>
      <c r="G1529" s="4" t="s">
        <v>38</v>
      </c>
      <c r="H1529" s="4" t="s">
        <v>3625</v>
      </c>
      <c r="I1529" s="4" t="s">
        <v>3645</v>
      </c>
      <c r="J1529" s="4" t="s">
        <v>40</v>
      </c>
      <c r="K1529" s="4" t="s">
        <v>3646</v>
      </c>
      <c r="L1529" s="4" t="s">
        <v>3635</v>
      </c>
      <c r="M1529" s="4" t="s">
        <v>1683</v>
      </c>
      <c r="N1529" s="4" t="s">
        <v>44</v>
      </c>
      <c r="O1529" s="4" t="s">
        <v>3647</v>
      </c>
      <c r="P1529" s="4" t="s">
        <v>3629</v>
      </c>
    </row>
    <row r="1530" customFormat="false" ht="15" hidden="false" customHeight="false" outlineLevel="0" collapsed="false">
      <c r="A1530" s="4" t="s">
        <v>3648</v>
      </c>
      <c r="B1530" s="4" t="s">
        <v>3649</v>
      </c>
      <c r="C1530" s="4" t="s">
        <v>3650</v>
      </c>
      <c r="D1530" s="4" t="s">
        <v>3624</v>
      </c>
      <c r="E1530" s="4" t="s">
        <v>66</v>
      </c>
      <c r="F1530" s="4" t="s">
        <v>736</v>
      </c>
      <c r="G1530" s="4" t="s">
        <v>38</v>
      </c>
      <c r="H1530" s="4" t="s">
        <v>3625</v>
      </c>
      <c r="I1530" s="4" t="s">
        <v>3651</v>
      </c>
      <c r="J1530" s="4" t="s">
        <v>68</v>
      </c>
      <c r="K1530" s="4" t="s">
        <v>3627</v>
      </c>
      <c r="L1530" s="4" t="s">
        <v>736</v>
      </c>
      <c r="M1530" s="4" t="s">
        <v>737</v>
      </c>
      <c r="N1530" s="4" t="s">
        <v>44</v>
      </c>
      <c r="O1530" s="4" t="s">
        <v>3628</v>
      </c>
      <c r="P1530" s="4" t="s">
        <v>3629</v>
      </c>
    </row>
    <row r="1531" customFormat="false" ht="15" hidden="false" customHeight="false" outlineLevel="0" collapsed="false">
      <c r="A1531" s="4" t="s">
        <v>3652</v>
      </c>
      <c r="B1531" s="4" t="s">
        <v>3650</v>
      </c>
      <c r="C1531" s="4" t="s">
        <v>3653</v>
      </c>
      <c r="D1531" s="4" t="s">
        <v>3624</v>
      </c>
      <c r="E1531" s="4" t="s">
        <v>36</v>
      </c>
      <c r="F1531" s="4" t="s">
        <v>3406</v>
      </c>
      <c r="G1531" s="4" t="s">
        <v>38</v>
      </c>
      <c r="H1531" s="4" t="s">
        <v>3632</v>
      </c>
      <c r="I1531" s="4" t="s">
        <v>3651</v>
      </c>
      <c r="J1531" s="4" t="s">
        <v>149</v>
      </c>
      <c r="K1531" s="4" t="s">
        <v>1035</v>
      </c>
      <c r="L1531" s="4" t="s">
        <v>736</v>
      </c>
      <c r="M1531" s="4" t="s">
        <v>737</v>
      </c>
      <c r="N1531" s="4" t="s">
        <v>44</v>
      </c>
      <c r="O1531" s="4" t="s">
        <v>1036</v>
      </c>
      <c r="P1531" s="4" t="s">
        <v>3629</v>
      </c>
    </row>
    <row r="1532" customFormat="false" ht="15" hidden="false" customHeight="false" outlineLevel="0" collapsed="false">
      <c r="A1532" s="4" t="s">
        <v>3654</v>
      </c>
      <c r="B1532" s="4" t="s">
        <v>3655</v>
      </c>
      <c r="C1532" s="4" t="s">
        <v>3656</v>
      </c>
      <c r="D1532" s="4" t="s">
        <v>3624</v>
      </c>
      <c r="E1532" s="4" t="s">
        <v>36</v>
      </c>
      <c r="F1532" s="4" t="s">
        <v>736</v>
      </c>
      <c r="G1532" s="4" t="s">
        <v>59</v>
      </c>
      <c r="H1532" s="4" t="s">
        <v>3632</v>
      </c>
      <c r="I1532" s="4" t="s">
        <v>3657</v>
      </c>
      <c r="J1532" s="4" t="s">
        <v>81</v>
      </c>
      <c r="K1532" s="4" t="s">
        <v>1583</v>
      </c>
      <c r="L1532" s="4" t="s">
        <v>736</v>
      </c>
      <c r="M1532" s="4" t="s">
        <v>737</v>
      </c>
      <c r="N1532" s="4" t="s">
        <v>44</v>
      </c>
      <c r="O1532" s="4" t="s">
        <v>1585</v>
      </c>
      <c r="P1532" s="4" t="s">
        <v>3629</v>
      </c>
    </row>
    <row r="1533" customFormat="false" ht="15" hidden="false" customHeight="false" outlineLevel="0" collapsed="false">
      <c r="A1533" s="4" t="s">
        <v>3658</v>
      </c>
      <c r="B1533" s="4" t="s">
        <v>3659</v>
      </c>
      <c r="C1533" s="4" t="s">
        <v>3660</v>
      </c>
      <c r="D1533" s="4" t="s">
        <v>3624</v>
      </c>
      <c r="E1533" s="4" t="s">
        <v>36</v>
      </c>
      <c r="F1533" s="4" t="s">
        <v>736</v>
      </c>
      <c r="G1533" s="4" t="s">
        <v>38</v>
      </c>
      <c r="H1533" s="4" t="s">
        <v>3625</v>
      </c>
      <c r="I1533" s="4" t="s">
        <v>3645</v>
      </c>
      <c r="J1533" s="4" t="s">
        <v>68</v>
      </c>
      <c r="K1533" s="4" t="s">
        <v>2459</v>
      </c>
      <c r="L1533" s="4" t="s">
        <v>736</v>
      </c>
      <c r="M1533" s="4" t="s">
        <v>737</v>
      </c>
      <c r="N1533" s="4" t="s">
        <v>44</v>
      </c>
      <c r="O1533" s="4" t="s">
        <v>2460</v>
      </c>
      <c r="P1533" s="4" t="s">
        <v>3629</v>
      </c>
    </row>
    <row r="1534" customFormat="false" ht="15" hidden="false" customHeight="false" outlineLevel="0" collapsed="false">
      <c r="A1534" s="4" t="s">
        <v>3661</v>
      </c>
      <c r="B1534" s="4" t="s">
        <v>3659</v>
      </c>
      <c r="C1534" s="4" t="s">
        <v>3659</v>
      </c>
      <c r="D1534" s="4" t="s">
        <v>3624</v>
      </c>
      <c r="E1534" s="4" t="s">
        <v>66</v>
      </c>
      <c r="F1534" s="4" t="s">
        <v>3406</v>
      </c>
      <c r="G1534" s="4" t="s">
        <v>38</v>
      </c>
      <c r="H1534" s="4" t="s">
        <v>3625</v>
      </c>
      <c r="I1534" s="4" t="s">
        <v>3651</v>
      </c>
      <c r="J1534" s="4" t="s">
        <v>68</v>
      </c>
      <c r="K1534" s="4" t="s">
        <v>3662</v>
      </c>
      <c r="L1534" s="4" t="s">
        <v>3635</v>
      </c>
      <c r="M1534" s="4" t="s">
        <v>737</v>
      </c>
      <c r="N1534" s="4" t="s">
        <v>44</v>
      </c>
      <c r="O1534" s="4" t="s">
        <v>3663</v>
      </c>
      <c r="P1534" s="4" t="s">
        <v>3629</v>
      </c>
    </row>
    <row r="1535" customFormat="false" ht="15" hidden="false" customHeight="false" outlineLevel="0" collapsed="false">
      <c r="A1535" s="4" t="s">
        <v>3664</v>
      </c>
      <c r="B1535" s="4" t="s">
        <v>3665</v>
      </c>
      <c r="C1535" s="4" t="s">
        <v>3665</v>
      </c>
      <c r="D1535" s="4" t="s">
        <v>3624</v>
      </c>
      <c r="E1535" s="4" t="s">
        <v>49</v>
      </c>
      <c r="F1535" s="4" t="s">
        <v>3406</v>
      </c>
      <c r="G1535" s="4" t="s">
        <v>59</v>
      </c>
      <c r="H1535" s="4" t="s">
        <v>3632</v>
      </c>
      <c r="I1535" s="4" t="s">
        <v>3657</v>
      </c>
      <c r="J1535" s="4" t="s">
        <v>68</v>
      </c>
      <c r="K1535" s="4" t="s">
        <v>1035</v>
      </c>
      <c r="L1535" s="4" t="s">
        <v>736</v>
      </c>
      <c r="M1535" s="4" t="s">
        <v>737</v>
      </c>
      <c r="N1535" s="4" t="s">
        <v>44</v>
      </c>
      <c r="O1535" s="4" t="s">
        <v>1036</v>
      </c>
      <c r="P1535" s="4" t="s">
        <v>3629</v>
      </c>
    </row>
    <row r="1536" customFormat="false" ht="15" hidden="false" customHeight="false" outlineLevel="0" collapsed="false">
      <c r="A1536" s="4" t="s">
        <v>3666</v>
      </c>
      <c r="B1536" s="4" t="s">
        <v>3667</v>
      </c>
      <c r="C1536" s="4" t="s">
        <v>3668</v>
      </c>
      <c r="D1536" s="4" t="s">
        <v>3624</v>
      </c>
      <c r="E1536" s="4" t="s">
        <v>36</v>
      </c>
      <c r="F1536" s="4" t="s">
        <v>736</v>
      </c>
      <c r="G1536" s="4" t="s">
        <v>38</v>
      </c>
      <c r="H1536" s="4" t="s">
        <v>3625</v>
      </c>
      <c r="I1536" s="4" t="s">
        <v>3669</v>
      </c>
      <c r="J1536" s="4" t="s">
        <v>81</v>
      </c>
      <c r="K1536" s="4" t="s">
        <v>3670</v>
      </c>
      <c r="L1536" s="4" t="s">
        <v>736</v>
      </c>
      <c r="M1536" s="4" t="s">
        <v>1683</v>
      </c>
      <c r="N1536" s="4" t="s">
        <v>94</v>
      </c>
      <c r="O1536" s="4" t="s">
        <v>3671</v>
      </c>
      <c r="P1536" s="4" t="s">
        <v>3629</v>
      </c>
    </row>
    <row r="1537" customFormat="false" ht="15" hidden="false" customHeight="false" outlineLevel="0" collapsed="false">
      <c r="A1537" s="4" t="s">
        <v>3672</v>
      </c>
      <c r="B1537" s="4" t="s">
        <v>3673</v>
      </c>
      <c r="C1537" s="4" t="s">
        <v>3674</v>
      </c>
      <c r="D1537" s="4" t="s">
        <v>3624</v>
      </c>
      <c r="E1537" s="4" t="s">
        <v>89</v>
      </c>
      <c r="F1537" s="4" t="s">
        <v>3406</v>
      </c>
      <c r="G1537" s="4" t="s">
        <v>38</v>
      </c>
      <c r="H1537" s="4" t="s">
        <v>3625</v>
      </c>
      <c r="I1537" s="4" t="s">
        <v>3669</v>
      </c>
      <c r="J1537" s="4" t="s">
        <v>40</v>
      </c>
      <c r="K1537" s="4" t="s">
        <v>3634</v>
      </c>
      <c r="L1537" s="4" t="s">
        <v>3635</v>
      </c>
      <c r="M1537" s="4" t="s">
        <v>737</v>
      </c>
      <c r="N1537" s="4" t="s">
        <v>44</v>
      </c>
      <c r="O1537" s="4" t="s">
        <v>3636</v>
      </c>
      <c r="P1537" s="4" t="s">
        <v>3629</v>
      </c>
    </row>
    <row r="1538" customFormat="false" ht="15" hidden="false" customHeight="false" outlineLevel="0" collapsed="false">
      <c r="A1538" s="4" t="s">
        <v>3675</v>
      </c>
      <c r="B1538" s="4" t="s">
        <v>3668</v>
      </c>
      <c r="C1538" s="4" t="s">
        <v>3674</v>
      </c>
      <c r="D1538" s="4" t="s">
        <v>3624</v>
      </c>
      <c r="E1538" s="4" t="s">
        <v>89</v>
      </c>
      <c r="F1538" s="4" t="s">
        <v>736</v>
      </c>
      <c r="G1538" s="4" t="s">
        <v>59</v>
      </c>
      <c r="H1538" s="4" t="s">
        <v>3676</v>
      </c>
      <c r="I1538" s="4" t="s">
        <v>3657</v>
      </c>
      <c r="J1538" s="4" t="s">
        <v>81</v>
      </c>
      <c r="K1538" s="4" t="s">
        <v>3677</v>
      </c>
      <c r="L1538" s="4" t="s">
        <v>736</v>
      </c>
      <c r="M1538" s="4" t="s">
        <v>737</v>
      </c>
      <c r="N1538" s="4" t="s">
        <v>94</v>
      </c>
      <c r="O1538" s="4" t="s">
        <v>3678</v>
      </c>
      <c r="P1538" s="4" t="s">
        <v>3629</v>
      </c>
    </row>
    <row r="1539" customFormat="false" ht="15" hidden="false" customHeight="false" outlineLevel="0" collapsed="false">
      <c r="A1539" s="4" t="s">
        <v>3679</v>
      </c>
      <c r="B1539" s="4" t="s">
        <v>3680</v>
      </c>
      <c r="C1539" s="4" t="s">
        <v>3681</v>
      </c>
      <c r="D1539" s="4" t="s">
        <v>3624</v>
      </c>
      <c r="E1539" s="4" t="s">
        <v>36</v>
      </c>
      <c r="F1539" s="4" t="s">
        <v>736</v>
      </c>
      <c r="G1539" s="4" t="s">
        <v>59</v>
      </c>
      <c r="H1539" s="4" t="s">
        <v>3625</v>
      </c>
      <c r="I1539" s="4" t="s">
        <v>3682</v>
      </c>
      <c r="J1539" s="4" t="s">
        <v>68</v>
      </c>
      <c r="K1539" s="4" t="s">
        <v>3683</v>
      </c>
      <c r="L1539" s="4" t="s">
        <v>736</v>
      </c>
      <c r="M1539" s="4" t="s">
        <v>737</v>
      </c>
      <c r="N1539" s="4" t="s">
        <v>44</v>
      </c>
      <c r="O1539" s="4" t="s">
        <v>3684</v>
      </c>
      <c r="P1539" s="4" t="s">
        <v>3629</v>
      </c>
    </row>
    <row r="1540" customFormat="false" ht="15" hidden="false" customHeight="false" outlineLevel="0" collapsed="false">
      <c r="A1540" s="4" t="s">
        <v>3685</v>
      </c>
      <c r="B1540" s="4" t="s">
        <v>3686</v>
      </c>
      <c r="C1540" s="4" t="s">
        <v>3687</v>
      </c>
      <c r="D1540" s="4" t="s">
        <v>3624</v>
      </c>
      <c r="E1540" s="4" t="s">
        <v>36</v>
      </c>
      <c r="F1540" s="4" t="s">
        <v>3406</v>
      </c>
      <c r="G1540" s="4" t="s">
        <v>38</v>
      </c>
      <c r="H1540" s="4" t="s">
        <v>3625</v>
      </c>
      <c r="I1540" s="4"/>
      <c r="J1540" s="4" t="s">
        <v>68</v>
      </c>
      <c r="K1540" s="4" t="s">
        <v>3688</v>
      </c>
      <c r="L1540" s="4" t="s">
        <v>736</v>
      </c>
      <c r="M1540" s="4" t="s">
        <v>737</v>
      </c>
      <c r="N1540" s="4" t="s">
        <v>44</v>
      </c>
      <c r="O1540" s="4" t="s">
        <v>3689</v>
      </c>
      <c r="P1540" s="4" t="s">
        <v>3629</v>
      </c>
    </row>
    <row r="1541" customFormat="false" ht="15" hidden="false" customHeight="false" outlineLevel="0" collapsed="false">
      <c r="A1541" s="4" t="s">
        <v>3690</v>
      </c>
      <c r="B1541" s="4" t="s">
        <v>3691</v>
      </c>
      <c r="C1541" s="4" t="s">
        <v>3692</v>
      </c>
      <c r="D1541" s="4" t="s">
        <v>3624</v>
      </c>
      <c r="E1541" s="4" t="s">
        <v>36</v>
      </c>
      <c r="F1541" s="4" t="s">
        <v>736</v>
      </c>
      <c r="G1541" s="4" t="s">
        <v>59</v>
      </c>
      <c r="H1541" s="4" t="s">
        <v>3676</v>
      </c>
      <c r="I1541" s="4" t="s">
        <v>3657</v>
      </c>
      <c r="J1541" s="4" t="s">
        <v>40</v>
      </c>
      <c r="K1541" s="4" t="s">
        <v>3693</v>
      </c>
      <c r="L1541" s="4" t="s">
        <v>736</v>
      </c>
      <c r="M1541" s="4" t="s">
        <v>737</v>
      </c>
      <c r="N1541" s="4" t="s">
        <v>44</v>
      </c>
      <c r="O1541" s="4" t="s">
        <v>3694</v>
      </c>
      <c r="P1541" s="4" t="s">
        <v>3629</v>
      </c>
    </row>
    <row r="1542" customFormat="false" ht="15" hidden="false" customHeight="false" outlineLevel="0" collapsed="false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 t="s">
        <v>3629</v>
      </c>
    </row>
    <row r="1543" customFormat="false" ht="15" hidden="false" customHeight="false" outlineLevel="0" collapsed="false">
      <c r="A1543" s="4" t="s">
        <v>3695</v>
      </c>
      <c r="B1543" s="4" t="s">
        <v>3696</v>
      </c>
      <c r="C1543" s="4" t="s">
        <v>3697</v>
      </c>
      <c r="D1543" s="4" t="s">
        <v>3624</v>
      </c>
      <c r="E1543" s="4" t="s">
        <v>89</v>
      </c>
      <c r="F1543" s="4" t="s">
        <v>1584</v>
      </c>
      <c r="G1543" s="4" t="s">
        <v>38</v>
      </c>
      <c r="H1543" s="4" t="s">
        <v>3625</v>
      </c>
      <c r="I1543" s="4" t="s">
        <v>3651</v>
      </c>
      <c r="J1543" s="4" t="s">
        <v>40</v>
      </c>
      <c r="K1543" s="4" t="s">
        <v>3698</v>
      </c>
      <c r="L1543" s="4" t="s">
        <v>736</v>
      </c>
      <c r="M1543" s="4" t="s">
        <v>737</v>
      </c>
      <c r="N1543" s="4" t="s">
        <v>44</v>
      </c>
      <c r="O1543" s="4" t="s">
        <v>3699</v>
      </c>
      <c r="P1543" s="4" t="s">
        <v>3629</v>
      </c>
    </row>
    <row r="1544" customFormat="false" ht="15" hidden="false" customHeight="false" outlineLevel="0" collapsed="false">
      <c r="A1544" s="4" t="s">
        <v>3700</v>
      </c>
      <c r="B1544" s="4" t="s">
        <v>3696</v>
      </c>
      <c r="C1544" s="4" t="s">
        <v>3701</v>
      </c>
      <c r="D1544" s="4" t="s">
        <v>3624</v>
      </c>
      <c r="E1544" s="4" t="s">
        <v>57</v>
      </c>
      <c r="F1544" s="4" t="s">
        <v>1584</v>
      </c>
      <c r="G1544" s="4" t="s">
        <v>59</v>
      </c>
      <c r="H1544" s="4" t="s">
        <v>3676</v>
      </c>
      <c r="I1544" s="4" t="s">
        <v>3682</v>
      </c>
      <c r="J1544" s="4" t="s">
        <v>149</v>
      </c>
      <c r="K1544" s="4" t="s">
        <v>3702</v>
      </c>
      <c r="L1544" s="4" t="s">
        <v>736</v>
      </c>
      <c r="M1544" s="4" t="s">
        <v>737</v>
      </c>
      <c r="N1544" s="4" t="s">
        <v>44</v>
      </c>
      <c r="O1544" s="4" t="s">
        <v>3703</v>
      </c>
      <c r="P1544" s="4" t="s">
        <v>3629</v>
      </c>
    </row>
    <row r="1545" customFormat="false" ht="15" hidden="false" customHeight="false" outlineLevel="0" collapsed="false">
      <c r="A1545" s="4" t="s">
        <v>3704</v>
      </c>
      <c r="B1545" s="4" t="s">
        <v>3697</v>
      </c>
      <c r="C1545" s="4" t="s">
        <v>3705</v>
      </c>
      <c r="D1545" s="4" t="s">
        <v>3624</v>
      </c>
      <c r="E1545" s="4" t="s">
        <v>36</v>
      </c>
      <c r="F1545" s="4" t="s">
        <v>736</v>
      </c>
      <c r="G1545" s="4" t="s">
        <v>59</v>
      </c>
      <c r="H1545" s="4" t="s">
        <v>3706</v>
      </c>
      <c r="I1545" s="4" t="s">
        <v>3633</v>
      </c>
      <c r="J1545" s="4" t="s">
        <v>68</v>
      </c>
      <c r="K1545" s="4" t="s">
        <v>3693</v>
      </c>
      <c r="L1545" s="4" t="s">
        <v>3406</v>
      </c>
      <c r="M1545" s="4" t="s">
        <v>737</v>
      </c>
      <c r="N1545" s="4" t="s">
        <v>44</v>
      </c>
      <c r="O1545" s="4" t="s">
        <v>3694</v>
      </c>
      <c r="P1545" s="4" t="s">
        <v>3629</v>
      </c>
    </row>
    <row r="1546" customFormat="false" ht="15" hidden="false" customHeight="false" outlineLevel="0" collapsed="false">
      <c r="A1546" s="4" t="s">
        <v>3707</v>
      </c>
      <c r="B1546" s="4" t="s">
        <v>3708</v>
      </c>
      <c r="C1546" s="4" t="s">
        <v>3709</v>
      </c>
      <c r="D1546" s="4" t="s">
        <v>3624</v>
      </c>
      <c r="E1546" s="4" t="s">
        <v>36</v>
      </c>
      <c r="F1546" s="4" t="s">
        <v>3710</v>
      </c>
      <c r="G1546" s="4" t="s">
        <v>38</v>
      </c>
      <c r="H1546" s="4" t="s">
        <v>3625</v>
      </c>
      <c r="I1546" s="4" t="s">
        <v>3645</v>
      </c>
      <c r="J1546" s="4" t="s">
        <v>40</v>
      </c>
      <c r="K1546" s="4" t="s">
        <v>3711</v>
      </c>
      <c r="L1546" s="4" t="s">
        <v>736</v>
      </c>
      <c r="M1546" s="4" t="s">
        <v>737</v>
      </c>
      <c r="N1546" s="4" t="s">
        <v>44</v>
      </c>
      <c r="O1546" s="4" t="s">
        <v>3712</v>
      </c>
      <c r="P1546" s="4" t="s">
        <v>3629</v>
      </c>
    </row>
    <row r="1547" customFormat="false" ht="15" hidden="false" customHeight="false" outlineLevel="0" collapsed="false">
      <c r="A1547" s="4" t="s">
        <v>3713</v>
      </c>
      <c r="B1547" s="4" t="s">
        <v>3708</v>
      </c>
      <c r="C1547" s="4" t="s">
        <v>3709</v>
      </c>
      <c r="D1547" s="4" t="s">
        <v>3624</v>
      </c>
      <c r="E1547" s="4" t="s">
        <v>36</v>
      </c>
      <c r="F1547" s="4" t="s">
        <v>736</v>
      </c>
      <c r="G1547" s="4" t="s">
        <v>38</v>
      </c>
      <c r="H1547" s="4" t="s">
        <v>3632</v>
      </c>
      <c r="I1547" s="4" t="s">
        <v>3645</v>
      </c>
      <c r="J1547" s="4" t="s">
        <v>40</v>
      </c>
      <c r="K1547" s="4" t="s">
        <v>2259</v>
      </c>
      <c r="L1547" s="4" t="s">
        <v>736</v>
      </c>
      <c r="M1547" s="4" t="s">
        <v>737</v>
      </c>
      <c r="N1547" s="4" t="s">
        <v>44</v>
      </c>
      <c r="O1547" s="4" t="s">
        <v>2260</v>
      </c>
      <c r="P1547" s="4" t="s">
        <v>3629</v>
      </c>
    </row>
    <row r="1548" customFormat="false" ht="15" hidden="false" customHeight="false" outlineLevel="0" collapsed="false">
      <c r="A1548" s="4" t="s">
        <v>3714</v>
      </c>
      <c r="B1548" s="4" t="s">
        <v>3715</v>
      </c>
      <c r="C1548" s="4" t="s">
        <v>3715</v>
      </c>
      <c r="D1548" s="4" t="s">
        <v>3624</v>
      </c>
      <c r="E1548" s="4" t="s">
        <v>36</v>
      </c>
      <c r="F1548" s="4" t="s">
        <v>736</v>
      </c>
      <c r="G1548" s="4" t="s">
        <v>38</v>
      </c>
      <c r="H1548" s="4" t="s">
        <v>3676</v>
      </c>
      <c r="I1548" s="4" t="s">
        <v>3716</v>
      </c>
      <c r="J1548" s="4" t="s">
        <v>40</v>
      </c>
      <c r="K1548" s="4" t="s">
        <v>3717</v>
      </c>
      <c r="L1548" s="4" t="s">
        <v>736</v>
      </c>
      <c r="M1548" s="4" t="s">
        <v>1683</v>
      </c>
      <c r="N1548" s="4" t="s">
        <v>44</v>
      </c>
      <c r="O1548" s="4" t="s">
        <v>3718</v>
      </c>
      <c r="P1548" s="4" t="s">
        <v>3629</v>
      </c>
    </row>
    <row r="1549" customFormat="false" ht="15" hidden="false" customHeight="false" outlineLevel="0" collapsed="false">
      <c r="A1549" s="4" t="s">
        <v>3719</v>
      </c>
      <c r="B1549" s="4" t="s">
        <v>3720</v>
      </c>
      <c r="C1549" s="4" t="s">
        <v>3720</v>
      </c>
      <c r="D1549" s="4" t="s">
        <v>3624</v>
      </c>
      <c r="E1549" s="4" t="s">
        <v>89</v>
      </c>
      <c r="F1549" s="4" t="s">
        <v>736</v>
      </c>
      <c r="G1549" s="4" t="s">
        <v>38</v>
      </c>
      <c r="H1549" s="4" t="s">
        <v>3625</v>
      </c>
      <c r="I1549" s="4" t="s">
        <v>3669</v>
      </c>
      <c r="J1549" s="4" t="s">
        <v>149</v>
      </c>
      <c r="K1549" s="4" t="s">
        <v>3721</v>
      </c>
      <c r="L1549" s="4" t="s">
        <v>3635</v>
      </c>
      <c r="M1549" s="4" t="s">
        <v>737</v>
      </c>
      <c r="N1549" s="4" t="s">
        <v>44</v>
      </c>
      <c r="O1549" s="4" t="s">
        <v>3722</v>
      </c>
      <c r="P1549" s="4" t="s">
        <v>3629</v>
      </c>
    </row>
    <row r="1550" customFormat="false" ht="15" hidden="false" customHeight="false" outlineLevel="0" collapsed="false">
      <c r="A1550" s="4" t="s">
        <v>3723</v>
      </c>
      <c r="B1550" s="4" t="s">
        <v>3724</v>
      </c>
      <c r="C1550" s="4" t="s">
        <v>3725</v>
      </c>
      <c r="D1550" s="4" t="s">
        <v>3624</v>
      </c>
      <c r="E1550" s="4" t="s">
        <v>66</v>
      </c>
      <c r="F1550" s="4" t="s">
        <v>736</v>
      </c>
      <c r="G1550" s="4" t="s">
        <v>38</v>
      </c>
      <c r="H1550" s="4" t="s">
        <v>3676</v>
      </c>
      <c r="I1550" s="4" t="s">
        <v>3669</v>
      </c>
      <c r="J1550" s="4" t="s">
        <v>40</v>
      </c>
      <c r="K1550" s="4" t="s">
        <v>3726</v>
      </c>
      <c r="L1550" s="4" t="s">
        <v>3635</v>
      </c>
      <c r="M1550" s="4" t="s">
        <v>1683</v>
      </c>
      <c r="N1550" s="4" t="s">
        <v>44</v>
      </c>
      <c r="O1550" s="4" t="s">
        <v>3727</v>
      </c>
      <c r="P1550" s="4" t="s">
        <v>3629</v>
      </c>
    </row>
    <row r="1551" customFormat="false" ht="15" hidden="false" customHeight="false" outlineLevel="0" collapsed="false">
      <c r="A1551" s="4" t="s">
        <v>3728</v>
      </c>
      <c r="B1551" s="4" t="s">
        <v>3729</v>
      </c>
      <c r="C1551" s="4" t="s">
        <v>3730</v>
      </c>
      <c r="D1551" s="4" t="s">
        <v>3624</v>
      </c>
      <c r="E1551" s="4" t="s">
        <v>66</v>
      </c>
      <c r="F1551" s="4" t="s">
        <v>736</v>
      </c>
      <c r="G1551" s="4" t="s">
        <v>38</v>
      </c>
      <c r="H1551" s="4" t="s">
        <v>3632</v>
      </c>
      <c r="I1551" s="4" t="s">
        <v>3669</v>
      </c>
      <c r="J1551" s="4" t="s">
        <v>81</v>
      </c>
      <c r="K1551" s="4" t="s">
        <v>3731</v>
      </c>
      <c r="L1551" s="4" t="s">
        <v>736</v>
      </c>
      <c r="M1551" s="4" t="s">
        <v>737</v>
      </c>
      <c r="N1551" s="4" t="s">
        <v>44</v>
      </c>
      <c r="O1551" s="4" t="s">
        <v>3732</v>
      </c>
      <c r="P1551" s="4" t="s">
        <v>3629</v>
      </c>
    </row>
    <row r="1552" customFormat="false" ht="15" hidden="false" customHeight="false" outlineLevel="0" collapsed="false">
      <c r="A1552" s="4" t="s">
        <v>3733</v>
      </c>
      <c r="B1552" s="4" t="s">
        <v>3734</v>
      </c>
      <c r="C1552" s="4" t="s">
        <v>3735</v>
      </c>
      <c r="D1552" s="4" t="s">
        <v>3624</v>
      </c>
      <c r="E1552" s="4" t="s">
        <v>36</v>
      </c>
      <c r="F1552" s="4" t="s">
        <v>736</v>
      </c>
      <c r="G1552" s="4" t="s">
        <v>59</v>
      </c>
      <c r="H1552" s="4" t="s">
        <v>3625</v>
      </c>
      <c r="I1552" s="4" t="s">
        <v>3626</v>
      </c>
      <c r="J1552" s="4" t="s">
        <v>68</v>
      </c>
      <c r="K1552" s="4" t="s">
        <v>3736</v>
      </c>
      <c r="L1552" s="4" t="s">
        <v>736</v>
      </c>
      <c r="M1552" s="4" t="s">
        <v>737</v>
      </c>
      <c r="N1552" s="4" t="s">
        <v>44</v>
      </c>
      <c r="O1552" s="4" t="s">
        <v>3737</v>
      </c>
      <c r="P1552" s="4" t="s">
        <v>3629</v>
      </c>
    </row>
    <row r="1553" customFormat="false" ht="15" hidden="false" customHeight="false" outlineLevel="0" collapsed="false">
      <c r="A1553" s="4" t="s">
        <v>3738</v>
      </c>
      <c r="B1553" s="4" t="s">
        <v>3739</v>
      </c>
      <c r="C1553" s="4" t="s">
        <v>3740</v>
      </c>
      <c r="D1553" s="4" t="s">
        <v>3624</v>
      </c>
      <c r="E1553" s="4" t="s">
        <v>57</v>
      </c>
      <c r="F1553" s="4" t="s">
        <v>736</v>
      </c>
      <c r="G1553" s="4" t="s">
        <v>38</v>
      </c>
      <c r="H1553" s="4" t="s">
        <v>3625</v>
      </c>
      <c r="I1553" s="4" t="s">
        <v>3651</v>
      </c>
      <c r="J1553" s="4" t="s">
        <v>68</v>
      </c>
      <c r="K1553" s="4" t="s">
        <v>3711</v>
      </c>
      <c r="L1553" s="4" t="s">
        <v>736</v>
      </c>
      <c r="M1553" s="4" t="s">
        <v>737</v>
      </c>
      <c r="N1553" s="4" t="s">
        <v>44</v>
      </c>
      <c r="O1553" s="4" t="s">
        <v>3712</v>
      </c>
      <c r="P1553" s="4" t="s">
        <v>3629</v>
      </c>
    </row>
    <row r="1554" customFormat="false" ht="15" hidden="false" customHeight="false" outlineLevel="0" collapsed="false">
      <c r="A1554" s="4" t="s">
        <v>3741</v>
      </c>
      <c r="B1554" s="4" t="s">
        <v>3735</v>
      </c>
      <c r="C1554" s="4" t="s">
        <v>3735</v>
      </c>
      <c r="D1554" s="4" t="s">
        <v>3624</v>
      </c>
      <c r="E1554" s="4" t="s">
        <v>49</v>
      </c>
      <c r="F1554" s="4" t="s">
        <v>736</v>
      </c>
      <c r="G1554" s="4" t="s">
        <v>38</v>
      </c>
      <c r="H1554" s="4" t="s">
        <v>3676</v>
      </c>
      <c r="I1554" s="4" t="s">
        <v>3716</v>
      </c>
      <c r="J1554" s="4" t="s">
        <v>40</v>
      </c>
      <c r="K1554" s="4" t="s">
        <v>3742</v>
      </c>
      <c r="L1554" s="4" t="s">
        <v>736</v>
      </c>
      <c r="M1554" s="4" t="s">
        <v>1683</v>
      </c>
      <c r="N1554" s="4" t="s">
        <v>44</v>
      </c>
      <c r="O1554" s="4" t="s">
        <v>3743</v>
      </c>
      <c r="P1554" s="4" t="s">
        <v>3629</v>
      </c>
    </row>
    <row r="1555" customFormat="false" ht="15" hidden="false" customHeight="false" outlineLevel="0" collapsed="false">
      <c r="A1555" s="4" t="s">
        <v>3744</v>
      </c>
      <c r="B1555" s="4" t="s">
        <v>3740</v>
      </c>
      <c r="C1555" s="4" t="s">
        <v>3745</v>
      </c>
      <c r="D1555" s="4" t="s">
        <v>3624</v>
      </c>
      <c r="E1555" s="4" t="s">
        <v>36</v>
      </c>
      <c r="F1555" s="4" t="s">
        <v>3710</v>
      </c>
      <c r="G1555" s="4" t="s">
        <v>38</v>
      </c>
      <c r="H1555" s="4" t="s">
        <v>3676</v>
      </c>
      <c r="I1555" s="4" t="s">
        <v>3716</v>
      </c>
      <c r="J1555" s="4" t="s">
        <v>40</v>
      </c>
      <c r="K1555" s="4" t="s">
        <v>3746</v>
      </c>
      <c r="L1555" s="4" t="s">
        <v>382</v>
      </c>
      <c r="M1555" s="4" t="s">
        <v>43</v>
      </c>
      <c r="N1555" s="4" t="s">
        <v>44</v>
      </c>
      <c r="O1555" s="4" t="s">
        <v>3747</v>
      </c>
      <c r="P1555" s="4" t="s">
        <v>3629</v>
      </c>
    </row>
    <row r="1556" customFormat="false" ht="15" hidden="false" customHeight="false" outlineLevel="0" collapsed="false">
      <c r="A1556" s="4" t="s">
        <v>3748</v>
      </c>
      <c r="B1556" s="4" t="s">
        <v>3749</v>
      </c>
      <c r="C1556" s="4" t="s">
        <v>3750</v>
      </c>
      <c r="D1556" s="4" t="s">
        <v>3624</v>
      </c>
      <c r="E1556" s="4" t="s">
        <v>89</v>
      </c>
      <c r="F1556" s="4" t="s">
        <v>736</v>
      </c>
      <c r="G1556" s="4" t="s">
        <v>59</v>
      </c>
      <c r="H1556" s="4" t="s">
        <v>3676</v>
      </c>
      <c r="I1556" s="4" t="s">
        <v>3657</v>
      </c>
      <c r="J1556" s="4" t="s">
        <v>81</v>
      </c>
      <c r="K1556" s="4" t="s">
        <v>3677</v>
      </c>
      <c r="L1556" s="4" t="s">
        <v>3635</v>
      </c>
      <c r="M1556" s="4" t="s">
        <v>737</v>
      </c>
      <c r="N1556" s="4" t="s">
        <v>52</v>
      </c>
      <c r="O1556" s="4" t="s">
        <v>3678</v>
      </c>
      <c r="P1556" s="4" t="s">
        <v>3629</v>
      </c>
    </row>
    <row r="1557" customFormat="false" ht="15" hidden="false" customHeight="false" outlineLevel="0" collapsed="false">
      <c r="A1557" s="4" t="s">
        <v>3751</v>
      </c>
      <c r="B1557" s="4" t="s">
        <v>3750</v>
      </c>
      <c r="C1557" s="4" t="s">
        <v>3752</v>
      </c>
      <c r="D1557" s="4" t="s">
        <v>3624</v>
      </c>
      <c r="E1557" s="4" t="s">
        <v>36</v>
      </c>
      <c r="F1557" s="4" t="s">
        <v>736</v>
      </c>
      <c r="G1557" s="4" t="s">
        <v>59</v>
      </c>
      <c r="H1557" s="4" t="s">
        <v>3676</v>
      </c>
      <c r="I1557" s="4" t="s">
        <v>3633</v>
      </c>
      <c r="J1557" s="4" t="s">
        <v>68</v>
      </c>
      <c r="K1557" s="4" t="s">
        <v>3753</v>
      </c>
      <c r="L1557" s="4" t="s">
        <v>736</v>
      </c>
      <c r="M1557" s="4" t="s">
        <v>737</v>
      </c>
      <c r="N1557" s="4" t="s">
        <v>44</v>
      </c>
      <c r="O1557" s="4" t="s">
        <v>3754</v>
      </c>
      <c r="P1557" s="4" t="s">
        <v>3629</v>
      </c>
    </row>
    <row r="1558" customFormat="false" ht="15" hidden="false" customHeight="false" outlineLevel="0" collapsed="false">
      <c r="A1558" s="4" t="s">
        <v>3755</v>
      </c>
      <c r="B1558" s="4" t="s">
        <v>3756</v>
      </c>
      <c r="C1558" s="4" t="s">
        <v>3757</v>
      </c>
      <c r="D1558" s="4" t="s">
        <v>3624</v>
      </c>
      <c r="E1558" s="4" t="s">
        <v>36</v>
      </c>
      <c r="F1558" s="4" t="s">
        <v>3406</v>
      </c>
      <c r="G1558" s="4" t="s">
        <v>38</v>
      </c>
      <c r="H1558" s="4" t="s">
        <v>3625</v>
      </c>
      <c r="I1558" s="4" t="s">
        <v>3716</v>
      </c>
      <c r="J1558" s="4" t="s">
        <v>68</v>
      </c>
      <c r="K1558" s="4" t="s">
        <v>3758</v>
      </c>
      <c r="L1558" s="4" t="s">
        <v>736</v>
      </c>
      <c r="M1558" s="4" t="s">
        <v>737</v>
      </c>
      <c r="N1558" s="4" t="s">
        <v>44</v>
      </c>
      <c r="O1558" s="4" t="s">
        <v>3759</v>
      </c>
      <c r="P1558" s="4" t="s">
        <v>3629</v>
      </c>
    </row>
    <row r="1559" customFormat="false" ht="15" hidden="false" customHeight="false" outlineLevel="0" collapsed="false">
      <c r="A1559" s="4" t="s">
        <v>3760</v>
      </c>
      <c r="B1559" s="4" t="s">
        <v>3756</v>
      </c>
      <c r="C1559" s="4" t="s">
        <v>3756</v>
      </c>
      <c r="D1559" s="4" t="s">
        <v>3624</v>
      </c>
      <c r="E1559" s="4" t="s">
        <v>66</v>
      </c>
      <c r="F1559" s="4" t="s">
        <v>736</v>
      </c>
      <c r="G1559" s="4" t="s">
        <v>38</v>
      </c>
      <c r="H1559" s="4" t="s">
        <v>3625</v>
      </c>
      <c r="I1559" s="4" t="s">
        <v>3716</v>
      </c>
      <c r="J1559" s="4" t="s">
        <v>68</v>
      </c>
      <c r="K1559" s="4" t="s">
        <v>3634</v>
      </c>
      <c r="L1559" s="4" t="s">
        <v>736</v>
      </c>
      <c r="M1559" s="4" t="s">
        <v>737</v>
      </c>
      <c r="N1559" s="4" t="s">
        <v>44</v>
      </c>
      <c r="O1559" s="4" t="s">
        <v>3636</v>
      </c>
      <c r="P1559" s="4" t="s">
        <v>3629</v>
      </c>
    </row>
    <row r="1560" customFormat="false" ht="15" hidden="false" customHeight="false" outlineLevel="0" collapsed="false">
      <c r="A1560" s="4" t="s">
        <v>3761</v>
      </c>
      <c r="B1560" s="4" t="s">
        <v>3762</v>
      </c>
      <c r="C1560" s="4" t="s">
        <v>3763</v>
      </c>
      <c r="D1560" s="4" t="s">
        <v>3624</v>
      </c>
      <c r="E1560" s="4" t="s">
        <v>36</v>
      </c>
      <c r="F1560" s="4" t="s">
        <v>736</v>
      </c>
      <c r="G1560" s="4" t="s">
        <v>59</v>
      </c>
      <c r="H1560" s="4" t="s">
        <v>3625</v>
      </c>
      <c r="I1560" s="4" t="s">
        <v>3682</v>
      </c>
      <c r="J1560" s="4" t="s">
        <v>149</v>
      </c>
      <c r="K1560" s="4" t="s">
        <v>3764</v>
      </c>
      <c r="L1560" s="4" t="s">
        <v>736</v>
      </c>
      <c r="M1560" s="4" t="s">
        <v>737</v>
      </c>
      <c r="N1560" s="4" t="s">
        <v>44</v>
      </c>
      <c r="O1560" s="4" t="s">
        <v>3765</v>
      </c>
      <c r="P1560" s="4" t="s">
        <v>3629</v>
      </c>
    </row>
    <row r="1561" customFormat="false" ht="15" hidden="false" customHeight="false" outlineLevel="0" collapsed="false">
      <c r="A1561" s="4" t="s">
        <v>3766</v>
      </c>
      <c r="B1561" s="4" t="s">
        <v>3767</v>
      </c>
      <c r="C1561" s="4" t="s">
        <v>3768</v>
      </c>
      <c r="D1561" s="4" t="s">
        <v>3624</v>
      </c>
      <c r="E1561" s="4" t="s">
        <v>36</v>
      </c>
      <c r="F1561" s="4" t="s">
        <v>736</v>
      </c>
      <c r="G1561" s="4" t="s">
        <v>38</v>
      </c>
      <c r="H1561" s="4" t="s">
        <v>3676</v>
      </c>
      <c r="I1561" s="4" t="s">
        <v>3645</v>
      </c>
      <c r="J1561" s="4" t="s">
        <v>40</v>
      </c>
      <c r="K1561" s="4" t="s">
        <v>3769</v>
      </c>
      <c r="L1561" s="4" t="s">
        <v>1584</v>
      </c>
      <c r="M1561" s="4" t="s">
        <v>737</v>
      </c>
      <c r="N1561" s="4" t="s">
        <v>44</v>
      </c>
      <c r="O1561" s="4" t="s">
        <v>3770</v>
      </c>
      <c r="P1561" s="4" t="s">
        <v>3629</v>
      </c>
    </row>
    <row r="1562" customFormat="false" ht="15" hidden="false" customHeight="false" outlineLevel="0" collapsed="false">
      <c r="A1562" s="4" t="s">
        <v>3771</v>
      </c>
      <c r="B1562" s="4" t="s">
        <v>3768</v>
      </c>
      <c r="C1562" s="4" t="s">
        <v>3768</v>
      </c>
      <c r="D1562" s="4" t="s">
        <v>3624</v>
      </c>
      <c r="E1562" s="4" t="s">
        <v>49</v>
      </c>
      <c r="F1562" s="4" t="s">
        <v>3710</v>
      </c>
      <c r="G1562" s="4" t="s">
        <v>38</v>
      </c>
      <c r="H1562" s="4" t="s">
        <v>3632</v>
      </c>
      <c r="I1562" s="4" t="s">
        <v>3669</v>
      </c>
      <c r="J1562" s="4" t="s">
        <v>149</v>
      </c>
      <c r="K1562" s="4" t="s">
        <v>3772</v>
      </c>
      <c r="L1562" s="4" t="s">
        <v>1584</v>
      </c>
      <c r="M1562" s="4" t="s">
        <v>737</v>
      </c>
      <c r="N1562" s="4" t="s">
        <v>94</v>
      </c>
      <c r="O1562" s="4" t="s">
        <v>3773</v>
      </c>
      <c r="P1562" s="4" t="s">
        <v>3629</v>
      </c>
    </row>
    <row r="1563" customFormat="false" ht="15" hidden="false" customHeight="false" outlineLevel="0" collapsed="false">
      <c r="A1563" s="4" t="s">
        <v>3766</v>
      </c>
      <c r="B1563" s="4" t="s">
        <v>3767</v>
      </c>
      <c r="C1563" s="4" t="s">
        <v>3768</v>
      </c>
      <c r="D1563" s="4" t="s">
        <v>3624</v>
      </c>
      <c r="E1563" s="4" t="s">
        <v>36</v>
      </c>
      <c r="F1563" s="4" t="s">
        <v>736</v>
      </c>
      <c r="G1563" s="4" t="s">
        <v>38</v>
      </c>
      <c r="H1563" s="4" t="s">
        <v>3676</v>
      </c>
      <c r="I1563" s="4" t="s">
        <v>3645</v>
      </c>
      <c r="J1563" s="4" t="s">
        <v>40</v>
      </c>
      <c r="K1563" s="4" t="s">
        <v>3769</v>
      </c>
      <c r="L1563" s="4" t="s">
        <v>1584</v>
      </c>
      <c r="M1563" s="4" t="s">
        <v>737</v>
      </c>
      <c r="N1563" s="4" t="s">
        <v>44</v>
      </c>
      <c r="O1563" s="4" t="s">
        <v>3770</v>
      </c>
      <c r="P1563" s="4" t="s">
        <v>3629</v>
      </c>
    </row>
    <row r="1564" customFormat="false" ht="15" hidden="false" customHeight="false" outlineLevel="0" collapsed="false">
      <c r="A1564" s="4" t="s">
        <v>3774</v>
      </c>
      <c r="B1564" s="4" t="s">
        <v>3768</v>
      </c>
      <c r="C1564" s="4" t="s">
        <v>3775</v>
      </c>
      <c r="D1564" s="4" t="s">
        <v>3624</v>
      </c>
      <c r="E1564" s="4" t="s">
        <v>36</v>
      </c>
      <c r="F1564" s="4" t="s">
        <v>736</v>
      </c>
      <c r="G1564" s="4" t="s">
        <v>38</v>
      </c>
      <c r="H1564" s="4" t="s">
        <v>3676</v>
      </c>
      <c r="I1564" s="4" t="s">
        <v>3669</v>
      </c>
      <c r="J1564" s="4" t="s">
        <v>40</v>
      </c>
      <c r="K1564" s="4" t="s">
        <v>3776</v>
      </c>
      <c r="L1564" s="4" t="s">
        <v>736</v>
      </c>
      <c r="M1564" s="4" t="s">
        <v>737</v>
      </c>
      <c r="N1564" s="4" t="s">
        <v>44</v>
      </c>
      <c r="O1564" s="4" t="s">
        <v>3777</v>
      </c>
      <c r="P1564" s="4" t="s">
        <v>3629</v>
      </c>
    </row>
    <row r="1565" customFormat="false" ht="15" hidden="false" customHeight="false" outlineLevel="0" collapsed="false">
      <c r="A1565" s="4" t="s">
        <v>3778</v>
      </c>
      <c r="B1565" s="4" t="s">
        <v>3779</v>
      </c>
      <c r="C1565" s="4" t="s">
        <v>3780</v>
      </c>
      <c r="D1565" s="4" t="s">
        <v>3624</v>
      </c>
      <c r="E1565" s="4" t="s">
        <v>49</v>
      </c>
      <c r="F1565" s="4" t="s">
        <v>736</v>
      </c>
      <c r="G1565" s="4" t="s">
        <v>38</v>
      </c>
      <c r="H1565" s="4" t="s">
        <v>3706</v>
      </c>
      <c r="I1565" s="4" t="s">
        <v>3669</v>
      </c>
      <c r="J1565" s="4" t="s">
        <v>40</v>
      </c>
      <c r="K1565" s="4" t="s">
        <v>3089</v>
      </c>
      <c r="L1565" s="4" t="s">
        <v>736</v>
      </c>
      <c r="M1565" s="4" t="s">
        <v>737</v>
      </c>
      <c r="N1565" s="4" t="s">
        <v>44</v>
      </c>
      <c r="O1565" s="4" t="s">
        <v>3090</v>
      </c>
      <c r="P1565" s="4" t="s">
        <v>3629</v>
      </c>
    </row>
    <row r="1566" customFormat="false" ht="15" hidden="false" customHeight="false" outlineLevel="0" collapsed="false">
      <c r="A1566" s="4" t="s">
        <v>3781</v>
      </c>
      <c r="B1566" s="4" t="s">
        <v>3782</v>
      </c>
      <c r="C1566" s="4" t="s">
        <v>3783</v>
      </c>
      <c r="D1566" s="4" t="s">
        <v>3784</v>
      </c>
      <c r="E1566" s="4" t="s">
        <v>761</v>
      </c>
      <c r="F1566" s="4" t="s">
        <v>736</v>
      </c>
      <c r="G1566" s="4" t="s">
        <v>38</v>
      </c>
      <c r="H1566" s="4" t="s">
        <v>3706</v>
      </c>
      <c r="I1566" s="4" t="s">
        <v>3785</v>
      </c>
      <c r="J1566" s="4" t="s">
        <v>68</v>
      </c>
      <c r="K1566" s="4" t="s">
        <v>3677</v>
      </c>
      <c r="L1566" s="4" t="s">
        <v>3406</v>
      </c>
      <c r="M1566" s="4" t="s">
        <v>737</v>
      </c>
      <c r="N1566" s="4" t="s">
        <v>44</v>
      </c>
      <c r="O1566" s="4" t="s">
        <v>3678</v>
      </c>
      <c r="P1566" s="4" t="s">
        <v>3629</v>
      </c>
    </row>
    <row r="1567" customFormat="false" ht="15" hidden="false" customHeight="false" outlineLevel="0" collapsed="false">
      <c r="A1567" s="4" t="s">
        <v>3786</v>
      </c>
      <c r="B1567" s="4" t="s">
        <v>3782</v>
      </c>
      <c r="C1567" s="4" t="s">
        <v>3783</v>
      </c>
      <c r="D1567" s="4" t="s">
        <v>3784</v>
      </c>
      <c r="E1567" s="4" t="s">
        <v>627</v>
      </c>
      <c r="F1567" s="4" t="s">
        <v>736</v>
      </c>
      <c r="G1567" s="4" t="s">
        <v>38</v>
      </c>
      <c r="H1567" s="4" t="s">
        <v>3625</v>
      </c>
      <c r="I1567" s="4" t="s">
        <v>3787</v>
      </c>
      <c r="J1567" s="4" t="s">
        <v>40</v>
      </c>
      <c r="K1567" s="4" t="s">
        <v>3788</v>
      </c>
      <c r="L1567" s="4" t="s">
        <v>736</v>
      </c>
      <c r="M1567" s="4" t="s">
        <v>737</v>
      </c>
      <c r="N1567" s="4" t="s">
        <v>44</v>
      </c>
      <c r="O1567" s="4" t="s">
        <v>3789</v>
      </c>
      <c r="P1567" s="4" t="s">
        <v>3629</v>
      </c>
    </row>
    <row r="1568" customFormat="false" ht="15" hidden="false" customHeight="false" outlineLevel="0" collapsed="false">
      <c r="A1568" s="4" t="s">
        <v>3790</v>
      </c>
      <c r="B1568" s="4" t="s">
        <v>3782</v>
      </c>
      <c r="C1568" s="4" t="s">
        <v>3783</v>
      </c>
      <c r="D1568" s="4" t="s">
        <v>3784</v>
      </c>
      <c r="E1568" s="4" t="s">
        <v>618</v>
      </c>
      <c r="F1568" s="4" t="s">
        <v>736</v>
      </c>
      <c r="G1568" s="4" t="s">
        <v>38</v>
      </c>
      <c r="H1568" s="4" t="s">
        <v>3676</v>
      </c>
      <c r="I1568" s="4" t="s">
        <v>3791</v>
      </c>
      <c r="J1568" s="4" t="s">
        <v>149</v>
      </c>
      <c r="K1568" s="4" t="s">
        <v>3792</v>
      </c>
      <c r="L1568" s="4" t="s">
        <v>706</v>
      </c>
      <c r="M1568" s="4" t="s">
        <v>412</v>
      </c>
      <c r="N1568" s="4" t="s">
        <v>52</v>
      </c>
      <c r="O1568" s="4" t="s">
        <v>3793</v>
      </c>
      <c r="P1568" s="4" t="s">
        <v>3629</v>
      </c>
    </row>
    <row r="1569" customFormat="false" ht="15" hidden="false" customHeight="false" outlineLevel="0" collapsed="false">
      <c r="A1569" s="4" t="s">
        <v>3794</v>
      </c>
      <c r="B1569" s="4" t="s">
        <v>3782</v>
      </c>
      <c r="C1569" s="4" t="s">
        <v>3783</v>
      </c>
      <c r="D1569" s="4" t="s">
        <v>3784</v>
      </c>
      <c r="E1569" s="4" t="s">
        <v>613</v>
      </c>
      <c r="F1569" s="4" t="s">
        <v>736</v>
      </c>
      <c r="G1569" s="4" t="s">
        <v>38</v>
      </c>
      <c r="H1569" s="4" t="s">
        <v>3676</v>
      </c>
      <c r="I1569" s="4" t="s">
        <v>3795</v>
      </c>
      <c r="J1569" s="4" t="s">
        <v>81</v>
      </c>
      <c r="K1569" s="4" t="s">
        <v>3717</v>
      </c>
      <c r="L1569" s="4" t="s">
        <v>736</v>
      </c>
      <c r="M1569" s="4" t="s">
        <v>1683</v>
      </c>
      <c r="N1569" s="4" t="s">
        <v>52</v>
      </c>
      <c r="O1569" s="4" t="s">
        <v>3718</v>
      </c>
      <c r="P1569" s="4" t="s">
        <v>3629</v>
      </c>
    </row>
    <row r="1570" customFormat="false" ht="15" hidden="false" customHeight="false" outlineLevel="0" collapsed="false">
      <c r="A1570" s="4" t="s">
        <v>3796</v>
      </c>
      <c r="B1570" s="4" t="s">
        <v>3782</v>
      </c>
      <c r="C1570" s="4" t="s">
        <v>3783</v>
      </c>
      <c r="D1570" s="4" t="s">
        <v>3784</v>
      </c>
      <c r="E1570" s="4" t="s">
        <v>627</v>
      </c>
      <c r="F1570" s="4" t="s">
        <v>736</v>
      </c>
      <c r="G1570" s="4" t="s">
        <v>38</v>
      </c>
      <c r="H1570" s="4" t="s">
        <v>3625</v>
      </c>
      <c r="I1570" s="4" t="s">
        <v>3797</v>
      </c>
      <c r="J1570" s="4" t="s">
        <v>81</v>
      </c>
      <c r="K1570" s="4" t="s">
        <v>3798</v>
      </c>
      <c r="L1570" s="4" t="s">
        <v>736</v>
      </c>
      <c r="M1570" s="4" t="s">
        <v>737</v>
      </c>
      <c r="N1570" s="4" t="s">
        <v>185</v>
      </c>
      <c r="O1570" s="4" t="s">
        <v>3799</v>
      </c>
      <c r="P1570" s="4" t="s">
        <v>3629</v>
      </c>
    </row>
    <row r="1571" customFormat="false" ht="15" hidden="false" customHeight="false" outlineLevel="0" collapsed="false">
      <c r="A1571" s="4" t="s">
        <v>3800</v>
      </c>
      <c r="B1571" s="4" t="s">
        <v>3782</v>
      </c>
      <c r="C1571" s="4" t="s">
        <v>3783</v>
      </c>
      <c r="D1571" s="4" t="s">
        <v>3784</v>
      </c>
      <c r="E1571" s="4" t="s">
        <v>613</v>
      </c>
      <c r="F1571" s="4" t="s">
        <v>3635</v>
      </c>
      <c r="G1571" s="4" t="s">
        <v>38</v>
      </c>
      <c r="H1571" s="4" t="s">
        <v>3706</v>
      </c>
      <c r="I1571" s="4" t="s">
        <v>3801</v>
      </c>
      <c r="J1571" s="4" t="s">
        <v>68</v>
      </c>
      <c r="K1571" s="4" t="s">
        <v>3802</v>
      </c>
      <c r="L1571" s="4" t="s">
        <v>736</v>
      </c>
      <c r="M1571" s="4" t="s">
        <v>737</v>
      </c>
      <c r="N1571" s="4" t="s">
        <v>44</v>
      </c>
      <c r="O1571" s="4" t="s">
        <v>3803</v>
      </c>
      <c r="P1571" s="4" t="s">
        <v>3629</v>
      </c>
    </row>
    <row r="1572" customFormat="false" ht="15" hidden="false" customHeight="false" outlineLevel="0" collapsed="false">
      <c r="A1572" s="4" t="s">
        <v>3804</v>
      </c>
      <c r="B1572" s="4" t="s">
        <v>3782</v>
      </c>
      <c r="C1572" s="4" t="s">
        <v>3805</v>
      </c>
      <c r="D1572" s="4" t="s">
        <v>3624</v>
      </c>
      <c r="E1572" s="4" t="s">
        <v>49</v>
      </c>
      <c r="F1572" s="4" t="s">
        <v>736</v>
      </c>
      <c r="G1572" s="4" t="s">
        <v>38</v>
      </c>
      <c r="H1572" s="4" t="s">
        <v>3625</v>
      </c>
      <c r="I1572" s="4" t="s">
        <v>3716</v>
      </c>
      <c r="J1572" s="4" t="s">
        <v>40</v>
      </c>
      <c r="K1572" s="4" t="s">
        <v>2178</v>
      </c>
      <c r="L1572" s="4" t="s">
        <v>3635</v>
      </c>
      <c r="M1572" s="4" t="s">
        <v>737</v>
      </c>
      <c r="N1572" s="4" t="s">
        <v>44</v>
      </c>
      <c r="O1572" s="4" t="s">
        <v>2179</v>
      </c>
      <c r="P1572" s="4" t="s">
        <v>3629</v>
      </c>
    </row>
    <row r="1573" customFormat="false" ht="15" hidden="false" customHeight="false" outlineLevel="0" collapsed="false">
      <c r="A1573" s="4" t="s">
        <v>3806</v>
      </c>
      <c r="B1573" s="4" t="s">
        <v>3782</v>
      </c>
      <c r="C1573" s="4" t="s">
        <v>3782</v>
      </c>
      <c r="D1573" s="4" t="s">
        <v>3624</v>
      </c>
      <c r="E1573" s="4" t="s">
        <v>36</v>
      </c>
      <c r="F1573" s="4" t="s">
        <v>736</v>
      </c>
      <c r="G1573" s="4" t="s">
        <v>38</v>
      </c>
      <c r="H1573" s="4" t="s">
        <v>3625</v>
      </c>
      <c r="I1573" s="4" t="s">
        <v>3669</v>
      </c>
      <c r="J1573" s="4" t="s">
        <v>81</v>
      </c>
      <c r="K1573" s="4" t="s">
        <v>3089</v>
      </c>
      <c r="L1573" s="4" t="s">
        <v>736</v>
      </c>
      <c r="M1573" s="4" t="s">
        <v>737</v>
      </c>
      <c r="N1573" s="4" t="s">
        <v>185</v>
      </c>
      <c r="O1573" s="4" t="s">
        <v>3090</v>
      </c>
      <c r="P1573" s="4" t="s">
        <v>3629</v>
      </c>
    </row>
    <row r="1574" customFormat="false" ht="15" hidden="false" customHeight="false" outlineLevel="0" collapsed="false">
      <c r="A1574" s="4" t="s">
        <v>3738</v>
      </c>
      <c r="B1574" s="4" t="s">
        <v>3739</v>
      </c>
      <c r="C1574" s="4" t="s">
        <v>3740</v>
      </c>
      <c r="D1574" s="4" t="s">
        <v>3624</v>
      </c>
      <c r="E1574" s="4" t="s">
        <v>57</v>
      </c>
      <c r="F1574" s="4" t="s">
        <v>736</v>
      </c>
      <c r="G1574" s="4" t="s">
        <v>38</v>
      </c>
      <c r="H1574" s="4" t="s">
        <v>3625</v>
      </c>
      <c r="I1574" s="4" t="s">
        <v>3651</v>
      </c>
      <c r="J1574" s="4" t="s">
        <v>68</v>
      </c>
      <c r="K1574" s="4" t="s">
        <v>3711</v>
      </c>
      <c r="L1574" s="4" t="s">
        <v>736</v>
      </c>
      <c r="M1574" s="4" t="s">
        <v>737</v>
      </c>
      <c r="N1574" s="4" t="s">
        <v>44</v>
      </c>
      <c r="O1574" s="4" t="s">
        <v>3712</v>
      </c>
      <c r="P1574" s="4" t="s">
        <v>3629</v>
      </c>
    </row>
    <row r="1575" customFormat="false" ht="15" hidden="false" customHeight="false" outlineLevel="0" collapsed="false">
      <c r="A1575" s="4" t="s">
        <v>3807</v>
      </c>
      <c r="B1575" s="4" t="s">
        <v>3780</v>
      </c>
      <c r="C1575" s="4" t="s">
        <v>3783</v>
      </c>
      <c r="D1575" s="4" t="s">
        <v>3784</v>
      </c>
      <c r="E1575" s="4" t="s">
        <v>627</v>
      </c>
      <c r="F1575" s="4" t="s">
        <v>736</v>
      </c>
      <c r="G1575" s="4" t="s">
        <v>59</v>
      </c>
      <c r="H1575" s="4" t="s">
        <v>3676</v>
      </c>
      <c r="I1575" s="4" t="s">
        <v>3808</v>
      </c>
      <c r="J1575" s="4" t="s">
        <v>68</v>
      </c>
      <c r="K1575" s="4" t="s">
        <v>3640</v>
      </c>
      <c r="L1575" s="4" t="s">
        <v>736</v>
      </c>
      <c r="M1575" s="4" t="s">
        <v>737</v>
      </c>
      <c r="N1575" s="4" t="s">
        <v>44</v>
      </c>
      <c r="O1575" s="4" t="s">
        <v>3641</v>
      </c>
      <c r="P1575" s="4" t="s">
        <v>3629</v>
      </c>
    </row>
    <row r="1576" customFormat="false" ht="15" hidden="false" customHeight="false" outlineLevel="0" collapsed="false">
      <c r="A1576" s="4" t="s">
        <v>3809</v>
      </c>
      <c r="B1576" s="4" t="s">
        <v>3780</v>
      </c>
      <c r="C1576" s="4" t="s">
        <v>3783</v>
      </c>
      <c r="D1576" s="4" t="s">
        <v>3784</v>
      </c>
      <c r="E1576" s="4" t="s">
        <v>649</v>
      </c>
      <c r="F1576" s="4" t="s">
        <v>736</v>
      </c>
      <c r="G1576" s="4" t="s">
        <v>38</v>
      </c>
      <c r="H1576" s="4" t="s">
        <v>3632</v>
      </c>
      <c r="I1576" s="4" t="s">
        <v>3810</v>
      </c>
      <c r="J1576" s="4" t="s">
        <v>68</v>
      </c>
      <c r="K1576" s="4" t="s">
        <v>3811</v>
      </c>
      <c r="L1576" s="4" t="s">
        <v>736</v>
      </c>
      <c r="M1576" s="4" t="s">
        <v>737</v>
      </c>
      <c r="N1576" s="4" t="s">
        <v>44</v>
      </c>
      <c r="O1576" s="4" t="s">
        <v>3812</v>
      </c>
      <c r="P1576" s="4" t="s">
        <v>3629</v>
      </c>
    </row>
    <row r="1577" customFormat="false" ht="15" hidden="false" customHeight="false" outlineLevel="0" collapsed="false">
      <c r="A1577" s="4" t="s">
        <v>3813</v>
      </c>
      <c r="B1577" s="4" t="s">
        <v>3805</v>
      </c>
      <c r="C1577" s="4" t="s">
        <v>3783</v>
      </c>
      <c r="D1577" s="4" t="s">
        <v>3784</v>
      </c>
      <c r="E1577" s="4" t="s">
        <v>761</v>
      </c>
      <c r="F1577" s="4" t="s">
        <v>736</v>
      </c>
      <c r="G1577" s="4" t="s">
        <v>38</v>
      </c>
      <c r="H1577" s="4" t="s">
        <v>3632</v>
      </c>
      <c r="I1577" s="4" t="s">
        <v>3814</v>
      </c>
      <c r="J1577" s="4" t="s">
        <v>40</v>
      </c>
      <c r="K1577" s="4" t="s">
        <v>3815</v>
      </c>
      <c r="L1577" s="4" t="s">
        <v>736</v>
      </c>
      <c r="M1577" s="4" t="s">
        <v>737</v>
      </c>
      <c r="N1577" s="4" t="s">
        <v>44</v>
      </c>
      <c r="O1577" s="4" t="s">
        <v>3816</v>
      </c>
      <c r="P1577" s="4" t="s">
        <v>3629</v>
      </c>
    </row>
    <row r="1578" customFormat="false" ht="15" hidden="false" customHeight="false" outlineLevel="0" collapsed="false">
      <c r="A1578" s="4" t="s">
        <v>3817</v>
      </c>
      <c r="B1578" s="4" t="s">
        <v>3805</v>
      </c>
      <c r="C1578" s="4" t="s">
        <v>3783</v>
      </c>
      <c r="D1578" s="4" t="s">
        <v>3784</v>
      </c>
      <c r="E1578" s="4" t="s">
        <v>627</v>
      </c>
      <c r="F1578" s="4" t="s">
        <v>736</v>
      </c>
      <c r="G1578" s="4" t="s">
        <v>38</v>
      </c>
      <c r="H1578" s="4" t="s">
        <v>3625</v>
      </c>
      <c r="I1578" s="4" t="s">
        <v>3818</v>
      </c>
      <c r="J1578" s="4" t="s">
        <v>40</v>
      </c>
      <c r="K1578" s="4" t="s">
        <v>2459</v>
      </c>
      <c r="L1578" s="4" t="s">
        <v>1584</v>
      </c>
      <c r="M1578" s="4" t="s">
        <v>737</v>
      </c>
      <c r="N1578" s="4" t="s">
        <v>44</v>
      </c>
      <c r="O1578" s="4" t="s">
        <v>2460</v>
      </c>
      <c r="P1578" s="4" t="s">
        <v>3629</v>
      </c>
    </row>
    <row r="1579" customFormat="false" ht="15" hidden="false" customHeight="false" outlineLevel="0" collapsed="false">
      <c r="A1579" s="4" t="s">
        <v>3819</v>
      </c>
      <c r="B1579" s="4" t="s">
        <v>3805</v>
      </c>
      <c r="C1579" s="4" t="s">
        <v>3783</v>
      </c>
      <c r="D1579" s="4" t="s">
        <v>3784</v>
      </c>
      <c r="E1579" s="4" t="s">
        <v>618</v>
      </c>
      <c r="F1579" s="4" t="s">
        <v>736</v>
      </c>
      <c r="G1579" s="4" t="s">
        <v>326</v>
      </c>
      <c r="H1579" s="4" t="s">
        <v>3632</v>
      </c>
      <c r="I1579" s="4" t="s">
        <v>3820</v>
      </c>
      <c r="J1579" s="4" t="s">
        <v>40</v>
      </c>
      <c r="K1579" s="4" t="s">
        <v>3821</v>
      </c>
      <c r="L1579" s="4" t="s">
        <v>736</v>
      </c>
      <c r="M1579" s="4" t="s">
        <v>737</v>
      </c>
      <c r="N1579" s="4" t="s">
        <v>44</v>
      </c>
      <c r="O1579" s="4" t="s">
        <v>3822</v>
      </c>
      <c r="P1579" s="4" t="s">
        <v>3629</v>
      </c>
    </row>
    <row r="1580" customFormat="false" ht="15" hidden="false" customHeight="false" outlineLevel="0" collapsed="false">
      <c r="A1580" s="4" t="s">
        <v>3823</v>
      </c>
      <c r="B1580" s="4" t="s">
        <v>3805</v>
      </c>
      <c r="C1580" s="4" t="s">
        <v>3783</v>
      </c>
      <c r="D1580" s="4" t="s">
        <v>3784</v>
      </c>
      <c r="E1580" s="4" t="s">
        <v>649</v>
      </c>
      <c r="F1580" s="4" t="s">
        <v>736</v>
      </c>
      <c r="G1580" s="4" t="s">
        <v>59</v>
      </c>
      <c r="H1580" s="4" t="s">
        <v>3706</v>
      </c>
      <c r="I1580" s="4" t="s">
        <v>3824</v>
      </c>
      <c r="J1580" s="4" t="s">
        <v>40</v>
      </c>
      <c r="K1580" s="4" t="s">
        <v>3825</v>
      </c>
      <c r="L1580" s="4" t="s">
        <v>819</v>
      </c>
      <c r="M1580" s="4" t="s">
        <v>43</v>
      </c>
      <c r="N1580" s="4" t="s">
        <v>44</v>
      </c>
      <c r="O1580" s="4" t="s">
        <v>3826</v>
      </c>
      <c r="P1580" s="4" t="s">
        <v>3629</v>
      </c>
    </row>
    <row r="1581" customFormat="false" ht="15" hidden="false" customHeight="false" outlineLevel="0" collapsed="false">
      <c r="A1581" s="4" t="s">
        <v>3827</v>
      </c>
      <c r="B1581" s="4" t="s">
        <v>3805</v>
      </c>
      <c r="C1581" s="4" t="s">
        <v>3783</v>
      </c>
      <c r="D1581" s="4" t="s">
        <v>3784</v>
      </c>
      <c r="E1581" s="4" t="s">
        <v>627</v>
      </c>
      <c r="F1581" s="4" t="s">
        <v>736</v>
      </c>
      <c r="G1581" s="4" t="s">
        <v>38</v>
      </c>
      <c r="H1581" s="4" t="s">
        <v>3676</v>
      </c>
      <c r="I1581" s="4" t="s">
        <v>3828</v>
      </c>
      <c r="J1581" s="4" t="s">
        <v>68</v>
      </c>
      <c r="K1581" s="4" t="s">
        <v>3829</v>
      </c>
      <c r="L1581" s="4" t="s">
        <v>1584</v>
      </c>
      <c r="M1581" s="4" t="s">
        <v>737</v>
      </c>
      <c r="N1581" s="4" t="s">
        <v>44</v>
      </c>
      <c r="O1581" s="4" t="s">
        <v>3830</v>
      </c>
      <c r="P1581" s="4" t="s">
        <v>3629</v>
      </c>
    </row>
    <row r="1582" customFormat="false" ht="15" hidden="false" customHeight="false" outlineLevel="0" collapsed="false">
      <c r="A1582" s="4" t="s">
        <v>3831</v>
      </c>
      <c r="B1582" s="4" t="s">
        <v>3832</v>
      </c>
      <c r="C1582" s="4" t="s">
        <v>3783</v>
      </c>
      <c r="D1582" s="4" t="s">
        <v>3784</v>
      </c>
      <c r="E1582" s="4" t="s">
        <v>761</v>
      </c>
      <c r="F1582" s="4" t="s">
        <v>3406</v>
      </c>
      <c r="G1582" s="4" t="s">
        <v>59</v>
      </c>
      <c r="H1582" s="4" t="s">
        <v>3676</v>
      </c>
      <c r="I1582" s="4" t="s">
        <v>3833</v>
      </c>
      <c r="J1582" s="4" t="s">
        <v>68</v>
      </c>
      <c r="K1582" s="4" t="s">
        <v>3834</v>
      </c>
      <c r="L1582" s="4" t="s">
        <v>1584</v>
      </c>
      <c r="M1582" s="4" t="s">
        <v>737</v>
      </c>
      <c r="N1582" s="4" t="s">
        <v>44</v>
      </c>
      <c r="O1582" s="4" t="s">
        <v>3835</v>
      </c>
      <c r="P1582" s="4" t="s">
        <v>3629</v>
      </c>
    </row>
    <row r="1583" customFormat="false" ht="15" hidden="false" customHeight="false" outlineLevel="0" collapsed="false">
      <c r="A1583" s="4" t="s">
        <v>3836</v>
      </c>
      <c r="B1583" s="4" t="s">
        <v>3832</v>
      </c>
      <c r="C1583" s="4" t="s">
        <v>3783</v>
      </c>
      <c r="D1583" s="4" t="s">
        <v>3784</v>
      </c>
      <c r="E1583" s="4" t="s">
        <v>627</v>
      </c>
      <c r="F1583" s="4" t="s">
        <v>736</v>
      </c>
      <c r="G1583" s="4" t="s">
        <v>38</v>
      </c>
      <c r="H1583" s="4" t="s">
        <v>3676</v>
      </c>
      <c r="I1583" s="4" t="s">
        <v>3837</v>
      </c>
      <c r="J1583" s="4" t="s">
        <v>40</v>
      </c>
      <c r="K1583" s="4" t="s">
        <v>3838</v>
      </c>
      <c r="L1583" s="4" t="s">
        <v>736</v>
      </c>
      <c r="M1583" s="4" t="s">
        <v>737</v>
      </c>
      <c r="N1583" s="4" t="s">
        <v>44</v>
      </c>
      <c r="O1583" s="4" t="s">
        <v>3839</v>
      </c>
      <c r="P1583" s="4" t="s">
        <v>3629</v>
      </c>
    </row>
    <row r="1584" customFormat="false" ht="15" hidden="false" customHeight="false" outlineLevel="0" collapsed="false">
      <c r="A1584" s="4" t="s">
        <v>3840</v>
      </c>
      <c r="B1584" s="4" t="s">
        <v>3832</v>
      </c>
      <c r="C1584" s="4" t="s">
        <v>3783</v>
      </c>
      <c r="D1584" s="4" t="s">
        <v>3784</v>
      </c>
      <c r="E1584" s="4" t="s">
        <v>627</v>
      </c>
      <c r="F1584" s="4" t="s">
        <v>1584</v>
      </c>
      <c r="G1584" s="4" t="s">
        <v>38</v>
      </c>
      <c r="H1584" s="4" t="s">
        <v>3632</v>
      </c>
      <c r="I1584" s="4" t="s">
        <v>3801</v>
      </c>
      <c r="J1584" s="4" t="s">
        <v>68</v>
      </c>
      <c r="K1584" s="4" t="s">
        <v>3841</v>
      </c>
      <c r="L1584" s="4" t="s">
        <v>455</v>
      </c>
      <c r="M1584" s="4" t="s">
        <v>456</v>
      </c>
      <c r="N1584" s="4" t="s">
        <v>44</v>
      </c>
      <c r="O1584" s="4" t="s">
        <v>3842</v>
      </c>
      <c r="P1584" s="4" t="s">
        <v>3629</v>
      </c>
    </row>
    <row r="1585" customFormat="false" ht="15" hidden="false" customHeight="false" outlineLevel="0" collapsed="false">
      <c r="A1585" s="4" t="s">
        <v>3843</v>
      </c>
      <c r="B1585" s="4" t="s">
        <v>3832</v>
      </c>
      <c r="C1585" s="4" t="s">
        <v>3783</v>
      </c>
      <c r="D1585" s="4" t="s">
        <v>3784</v>
      </c>
      <c r="E1585" s="4" t="s">
        <v>627</v>
      </c>
      <c r="F1585" s="4" t="s">
        <v>736</v>
      </c>
      <c r="G1585" s="4" t="s">
        <v>59</v>
      </c>
      <c r="H1585" s="4" t="s">
        <v>3676</v>
      </c>
      <c r="I1585" s="4" t="s">
        <v>3844</v>
      </c>
      <c r="J1585" s="4" t="s">
        <v>68</v>
      </c>
      <c r="K1585" s="4" t="s">
        <v>3845</v>
      </c>
      <c r="L1585" s="4" t="s">
        <v>736</v>
      </c>
      <c r="M1585" s="4" t="s">
        <v>737</v>
      </c>
      <c r="N1585" s="4" t="s">
        <v>44</v>
      </c>
      <c r="O1585" s="4" t="s">
        <v>3846</v>
      </c>
      <c r="P1585" s="4" t="s">
        <v>3629</v>
      </c>
    </row>
    <row r="1586" customFormat="false" ht="15" hidden="false" customHeight="false" outlineLevel="0" collapsed="false">
      <c r="A1586" s="4" t="s">
        <v>3847</v>
      </c>
      <c r="B1586" s="4" t="s">
        <v>3848</v>
      </c>
      <c r="C1586" s="4" t="s">
        <v>3783</v>
      </c>
      <c r="D1586" s="4" t="s">
        <v>3784</v>
      </c>
      <c r="E1586" s="4" t="s">
        <v>649</v>
      </c>
      <c r="F1586" s="4" t="s">
        <v>736</v>
      </c>
      <c r="G1586" s="4" t="s">
        <v>38</v>
      </c>
      <c r="H1586" s="4" t="s">
        <v>3632</v>
      </c>
      <c r="I1586" s="4" t="s">
        <v>3849</v>
      </c>
      <c r="J1586" s="4" t="s">
        <v>40</v>
      </c>
      <c r="K1586" s="4" t="s">
        <v>3850</v>
      </c>
      <c r="L1586" s="4" t="s">
        <v>736</v>
      </c>
      <c r="M1586" s="4" t="s">
        <v>1683</v>
      </c>
      <c r="N1586" s="4" t="s">
        <v>94</v>
      </c>
      <c r="O1586" s="4" t="s">
        <v>3851</v>
      </c>
      <c r="P1586" s="4" t="s">
        <v>3629</v>
      </c>
    </row>
    <row r="1587" customFormat="false" ht="15" hidden="false" customHeight="false" outlineLevel="0" collapsed="false">
      <c r="A1587" s="4" t="s">
        <v>3852</v>
      </c>
      <c r="B1587" s="4" t="s">
        <v>3848</v>
      </c>
      <c r="C1587" s="4" t="s">
        <v>3783</v>
      </c>
      <c r="D1587" s="4" t="s">
        <v>3784</v>
      </c>
      <c r="E1587" s="4" t="s">
        <v>627</v>
      </c>
      <c r="F1587" s="4" t="s">
        <v>736</v>
      </c>
      <c r="G1587" s="4" t="s">
        <v>59</v>
      </c>
      <c r="H1587" s="4" t="s">
        <v>3706</v>
      </c>
      <c r="I1587" s="4" t="s">
        <v>3853</v>
      </c>
      <c r="J1587" s="4" t="s">
        <v>40</v>
      </c>
      <c r="K1587" s="4" t="s">
        <v>3854</v>
      </c>
      <c r="L1587" s="4" t="s">
        <v>382</v>
      </c>
      <c r="M1587" s="4" t="s">
        <v>43</v>
      </c>
      <c r="N1587" s="4" t="s">
        <v>52</v>
      </c>
      <c r="O1587" s="4" t="s">
        <v>3855</v>
      </c>
      <c r="P1587" s="4" t="s">
        <v>3629</v>
      </c>
    </row>
    <row r="1588" customFormat="false" ht="15" hidden="false" customHeight="false" outlineLevel="0" collapsed="false">
      <c r="A1588" s="4" t="s">
        <v>3856</v>
      </c>
      <c r="B1588" s="4" t="s">
        <v>3848</v>
      </c>
      <c r="C1588" s="4" t="s">
        <v>3857</v>
      </c>
      <c r="D1588" s="4" t="s">
        <v>3624</v>
      </c>
      <c r="E1588" s="4" t="s">
        <v>57</v>
      </c>
      <c r="F1588" s="4" t="s">
        <v>736</v>
      </c>
      <c r="G1588" s="4" t="s">
        <v>59</v>
      </c>
      <c r="H1588" s="4" t="s">
        <v>3706</v>
      </c>
      <c r="I1588" s="4" t="s">
        <v>3633</v>
      </c>
      <c r="J1588" s="4" t="s">
        <v>40</v>
      </c>
      <c r="K1588" s="4" t="s">
        <v>2459</v>
      </c>
      <c r="L1588" s="4" t="s">
        <v>3635</v>
      </c>
      <c r="M1588" s="4" t="s">
        <v>737</v>
      </c>
      <c r="N1588" s="4" t="s">
        <v>52</v>
      </c>
      <c r="O1588" s="4" t="s">
        <v>2460</v>
      </c>
      <c r="P1588" s="4" t="s">
        <v>3629</v>
      </c>
    </row>
    <row r="1589" customFormat="false" ht="15" hidden="false" customHeight="false" outlineLevel="0" collapsed="false">
      <c r="A1589" s="4" t="s">
        <v>3858</v>
      </c>
      <c r="B1589" s="4" t="s">
        <v>3857</v>
      </c>
      <c r="C1589" s="4" t="s">
        <v>3783</v>
      </c>
      <c r="D1589" s="4" t="s">
        <v>3784</v>
      </c>
      <c r="E1589" s="4" t="s">
        <v>627</v>
      </c>
      <c r="F1589" s="4" t="s">
        <v>736</v>
      </c>
      <c r="G1589" s="4" t="s">
        <v>38</v>
      </c>
      <c r="H1589" s="4" t="s">
        <v>3625</v>
      </c>
      <c r="I1589" s="4" t="s">
        <v>3859</v>
      </c>
      <c r="J1589" s="4" t="s">
        <v>68</v>
      </c>
      <c r="K1589" s="4" t="s">
        <v>3860</v>
      </c>
      <c r="L1589" s="4" t="s">
        <v>736</v>
      </c>
      <c r="M1589" s="4" t="s">
        <v>737</v>
      </c>
      <c r="N1589" s="4" t="s">
        <v>44</v>
      </c>
      <c r="O1589" s="4" t="s">
        <v>3861</v>
      </c>
      <c r="P1589" s="4" t="s">
        <v>3629</v>
      </c>
    </row>
    <row r="1590" customFormat="false" ht="15" hidden="false" customHeight="false" outlineLevel="0" collapsed="false">
      <c r="A1590" s="4" t="s">
        <v>3862</v>
      </c>
      <c r="B1590" s="4" t="s">
        <v>3863</v>
      </c>
      <c r="C1590" s="4" t="s">
        <v>3783</v>
      </c>
      <c r="D1590" s="4" t="s">
        <v>3784</v>
      </c>
      <c r="E1590" s="4" t="s">
        <v>627</v>
      </c>
      <c r="F1590" s="4" t="s">
        <v>3406</v>
      </c>
      <c r="G1590" s="4" t="s">
        <v>59</v>
      </c>
      <c r="H1590" s="4" t="s">
        <v>3676</v>
      </c>
      <c r="I1590" s="4" t="s">
        <v>3864</v>
      </c>
      <c r="J1590" s="4" t="s">
        <v>68</v>
      </c>
      <c r="K1590" s="4" t="s">
        <v>3634</v>
      </c>
      <c r="L1590" s="4" t="s">
        <v>736</v>
      </c>
      <c r="M1590" s="4" t="s">
        <v>737</v>
      </c>
      <c r="N1590" s="4" t="s">
        <v>44</v>
      </c>
      <c r="O1590" s="4" t="s">
        <v>3636</v>
      </c>
      <c r="P1590" s="4" t="s">
        <v>3629</v>
      </c>
    </row>
    <row r="1591" customFormat="false" ht="15" hidden="false" customHeight="false" outlineLevel="0" collapsed="false">
      <c r="A1591" s="4" t="s">
        <v>3865</v>
      </c>
      <c r="B1591" s="4" t="s">
        <v>3863</v>
      </c>
      <c r="C1591" s="4" t="s">
        <v>3783</v>
      </c>
      <c r="D1591" s="4" t="s">
        <v>3784</v>
      </c>
      <c r="E1591" s="4" t="s">
        <v>613</v>
      </c>
      <c r="F1591" s="4" t="s">
        <v>736</v>
      </c>
      <c r="G1591" s="4" t="s">
        <v>59</v>
      </c>
      <c r="H1591" s="4" t="s">
        <v>3676</v>
      </c>
      <c r="I1591" s="4" t="s">
        <v>3866</v>
      </c>
      <c r="J1591" s="4" t="s">
        <v>40</v>
      </c>
      <c r="K1591" s="4" t="s">
        <v>3721</v>
      </c>
      <c r="L1591" s="4" t="s">
        <v>3635</v>
      </c>
      <c r="M1591" s="4" t="s">
        <v>737</v>
      </c>
      <c r="N1591" s="4" t="s">
        <v>44</v>
      </c>
      <c r="O1591" s="4" t="s">
        <v>3722</v>
      </c>
      <c r="P1591" s="4" t="s">
        <v>3629</v>
      </c>
    </row>
    <row r="1592" customFormat="false" ht="15" hidden="false" customHeight="false" outlineLevel="0" collapsed="false">
      <c r="A1592" s="4" t="s">
        <v>3794</v>
      </c>
      <c r="B1592" s="4" t="s">
        <v>3782</v>
      </c>
      <c r="C1592" s="4" t="s">
        <v>3783</v>
      </c>
      <c r="D1592" s="4" t="s">
        <v>3784</v>
      </c>
      <c r="E1592" s="4" t="s">
        <v>613</v>
      </c>
      <c r="F1592" s="4" t="s">
        <v>736</v>
      </c>
      <c r="G1592" s="4" t="s">
        <v>38</v>
      </c>
      <c r="H1592" s="4" t="s">
        <v>3676</v>
      </c>
      <c r="I1592" s="4" t="s">
        <v>3795</v>
      </c>
      <c r="J1592" s="4" t="s">
        <v>81</v>
      </c>
      <c r="K1592" s="4" t="s">
        <v>3717</v>
      </c>
      <c r="L1592" s="4" t="s">
        <v>736</v>
      </c>
      <c r="M1592" s="4" t="s">
        <v>1683</v>
      </c>
      <c r="N1592" s="4" t="s">
        <v>52</v>
      </c>
      <c r="O1592" s="4" t="s">
        <v>3718</v>
      </c>
      <c r="P1592" s="4" t="s">
        <v>3629</v>
      </c>
    </row>
    <row r="1593" customFormat="false" ht="15" hidden="false" customHeight="false" outlineLevel="0" collapsed="false">
      <c r="A1593" s="4" t="s">
        <v>3817</v>
      </c>
      <c r="B1593" s="4" t="s">
        <v>3805</v>
      </c>
      <c r="C1593" s="4" t="s">
        <v>3783</v>
      </c>
      <c r="D1593" s="4" t="s">
        <v>3784</v>
      </c>
      <c r="E1593" s="4" t="s">
        <v>627</v>
      </c>
      <c r="F1593" s="4" t="s">
        <v>736</v>
      </c>
      <c r="G1593" s="4" t="s">
        <v>38</v>
      </c>
      <c r="H1593" s="4" t="s">
        <v>3625</v>
      </c>
      <c r="I1593" s="4" t="s">
        <v>3818</v>
      </c>
      <c r="J1593" s="4" t="s">
        <v>40</v>
      </c>
      <c r="K1593" s="4" t="s">
        <v>2459</v>
      </c>
      <c r="L1593" s="4" t="s">
        <v>1584</v>
      </c>
      <c r="M1593" s="4" t="s">
        <v>737</v>
      </c>
      <c r="N1593" s="4" t="s">
        <v>44</v>
      </c>
      <c r="O1593" s="4" t="s">
        <v>2460</v>
      </c>
      <c r="P1593" s="4" t="s">
        <v>3629</v>
      </c>
    </row>
    <row r="1594" customFormat="false" ht="15" hidden="false" customHeight="false" outlineLevel="0" collapsed="false">
      <c r="A1594" s="4" t="s">
        <v>3867</v>
      </c>
      <c r="B1594" s="4" t="s">
        <v>3863</v>
      </c>
      <c r="C1594" s="4" t="s">
        <v>3783</v>
      </c>
      <c r="D1594" s="4" t="s">
        <v>3784</v>
      </c>
      <c r="E1594" s="4" t="s">
        <v>627</v>
      </c>
      <c r="F1594" s="4" t="s">
        <v>736</v>
      </c>
      <c r="G1594" s="4" t="s">
        <v>59</v>
      </c>
      <c r="H1594" s="4" t="s">
        <v>3676</v>
      </c>
      <c r="I1594" s="4" t="s">
        <v>3868</v>
      </c>
      <c r="J1594" s="4" t="s">
        <v>81</v>
      </c>
      <c r="K1594" s="4" t="s">
        <v>3869</v>
      </c>
      <c r="L1594" s="4" t="s">
        <v>994</v>
      </c>
      <c r="M1594" s="4" t="s">
        <v>873</v>
      </c>
      <c r="N1594" s="4" t="s">
        <v>44</v>
      </c>
      <c r="O1594" s="4" t="s">
        <v>3870</v>
      </c>
      <c r="P1594" s="4" t="s">
        <v>3629</v>
      </c>
    </row>
    <row r="1595" customFormat="false" ht="15" hidden="false" customHeight="false" outlineLevel="0" collapsed="false">
      <c r="A1595" s="4" t="s">
        <v>3871</v>
      </c>
      <c r="B1595" s="4" t="s">
        <v>3872</v>
      </c>
      <c r="C1595" s="4" t="s">
        <v>3783</v>
      </c>
      <c r="D1595" s="4" t="s">
        <v>3784</v>
      </c>
      <c r="E1595" s="4" t="s">
        <v>627</v>
      </c>
      <c r="F1595" s="4" t="s">
        <v>736</v>
      </c>
      <c r="G1595" s="4" t="s">
        <v>59</v>
      </c>
      <c r="H1595" s="4" t="s">
        <v>3706</v>
      </c>
      <c r="I1595" s="4" t="s">
        <v>3873</v>
      </c>
      <c r="J1595" s="4" t="s">
        <v>81</v>
      </c>
      <c r="K1595" s="4" t="s">
        <v>2156</v>
      </c>
      <c r="L1595" s="4" t="s">
        <v>219</v>
      </c>
      <c r="M1595" s="4" t="s">
        <v>356</v>
      </c>
      <c r="N1595" s="4" t="s">
        <v>768</v>
      </c>
      <c r="O1595" s="4"/>
      <c r="P1595" s="4" t="s">
        <v>3629</v>
      </c>
    </row>
    <row r="1596" customFormat="false" ht="15" hidden="false" customHeight="false" outlineLevel="0" collapsed="false">
      <c r="A1596" s="4" t="s">
        <v>3852</v>
      </c>
      <c r="B1596" s="4" t="s">
        <v>3848</v>
      </c>
      <c r="C1596" s="4" t="s">
        <v>3783</v>
      </c>
      <c r="D1596" s="4" t="s">
        <v>3784</v>
      </c>
      <c r="E1596" s="4" t="s">
        <v>627</v>
      </c>
      <c r="F1596" s="4" t="s">
        <v>736</v>
      </c>
      <c r="G1596" s="4" t="s">
        <v>59</v>
      </c>
      <c r="H1596" s="4" t="s">
        <v>3706</v>
      </c>
      <c r="I1596" s="4" t="s">
        <v>3853</v>
      </c>
      <c r="J1596" s="4" t="s">
        <v>40</v>
      </c>
      <c r="K1596" s="4" t="s">
        <v>3854</v>
      </c>
      <c r="L1596" s="4" t="s">
        <v>382</v>
      </c>
      <c r="M1596" s="4" t="s">
        <v>43</v>
      </c>
      <c r="N1596" s="4" t="s">
        <v>52</v>
      </c>
      <c r="O1596" s="4" t="s">
        <v>3855</v>
      </c>
      <c r="P1596" s="4" t="s">
        <v>3629</v>
      </c>
    </row>
    <row r="1597" customFormat="false" ht="15" hidden="false" customHeight="false" outlineLevel="0" collapsed="false">
      <c r="A1597" s="4" t="s">
        <v>3874</v>
      </c>
      <c r="B1597" s="4" t="s">
        <v>3872</v>
      </c>
      <c r="C1597" s="4" t="s">
        <v>3783</v>
      </c>
      <c r="D1597" s="4" t="s">
        <v>3784</v>
      </c>
      <c r="E1597" s="4" t="s">
        <v>627</v>
      </c>
      <c r="F1597" s="4" t="s">
        <v>736</v>
      </c>
      <c r="G1597" s="4" t="s">
        <v>59</v>
      </c>
      <c r="H1597" s="4" t="s">
        <v>3625</v>
      </c>
      <c r="I1597" s="4" t="s">
        <v>3875</v>
      </c>
      <c r="J1597" s="4" t="s">
        <v>40</v>
      </c>
      <c r="K1597" s="4" t="s">
        <v>3876</v>
      </c>
      <c r="L1597" s="4" t="s">
        <v>736</v>
      </c>
      <c r="M1597" s="4" t="s">
        <v>737</v>
      </c>
      <c r="N1597" s="4" t="s">
        <v>44</v>
      </c>
      <c r="O1597" s="4" t="s">
        <v>3877</v>
      </c>
      <c r="P1597" s="4" t="s">
        <v>3629</v>
      </c>
    </row>
    <row r="1598" customFormat="false" ht="15" hidden="false" customHeight="false" outlineLevel="0" collapsed="false">
      <c r="A1598" s="4" t="s">
        <v>3878</v>
      </c>
      <c r="B1598" s="4" t="s">
        <v>3872</v>
      </c>
      <c r="C1598" s="4" t="s">
        <v>3783</v>
      </c>
      <c r="D1598" s="4" t="s">
        <v>3784</v>
      </c>
      <c r="E1598" s="4" t="s">
        <v>627</v>
      </c>
      <c r="F1598" s="4" t="s">
        <v>3635</v>
      </c>
      <c r="G1598" s="4" t="s">
        <v>38</v>
      </c>
      <c r="H1598" s="4" t="s">
        <v>3625</v>
      </c>
      <c r="I1598" s="4" t="s">
        <v>3879</v>
      </c>
      <c r="J1598" s="4" t="s">
        <v>40</v>
      </c>
      <c r="K1598" s="4" t="s">
        <v>1782</v>
      </c>
      <c r="L1598" s="4" t="s">
        <v>634</v>
      </c>
      <c r="M1598" s="4" t="s">
        <v>635</v>
      </c>
      <c r="N1598" s="4" t="s">
        <v>44</v>
      </c>
      <c r="O1598" s="4" t="s">
        <v>1784</v>
      </c>
      <c r="P1598" s="4" t="s">
        <v>3629</v>
      </c>
    </row>
    <row r="1599" customFormat="false" ht="15" hidden="false" customHeight="false" outlineLevel="0" collapsed="false">
      <c r="A1599" s="4" t="s">
        <v>3880</v>
      </c>
      <c r="B1599" s="4" t="s">
        <v>3872</v>
      </c>
      <c r="C1599" s="4" t="s">
        <v>3783</v>
      </c>
      <c r="D1599" s="4" t="s">
        <v>3784</v>
      </c>
      <c r="E1599" s="4" t="s">
        <v>627</v>
      </c>
      <c r="F1599" s="4" t="s">
        <v>3406</v>
      </c>
      <c r="G1599" s="4" t="s">
        <v>59</v>
      </c>
      <c r="H1599" s="4" t="s">
        <v>3676</v>
      </c>
      <c r="I1599" s="4" t="s">
        <v>3881</v>
      </c>
      <c r="J1599" s="4" t="s">
        <v>40</v>
      </c>
      <c r="K1599" s="4" t="s">
        <v>3882</v>
      </c>
      <c r="L1599" s="4" t="s">
        <v>900</v>
      </c>
      <c r="M1599" s="4" t="s">
        <v>356</v>
      </c>
      <c r="N1599" s="4" t="s">
        <v>901</v>
      </c>
      <c r="O1599" s="4"/>
      <c r="P1599" s="4" t="s">
        <v>3629</v>
      </c>
    </row>
    <row r="1600" customFormat="false" ht="15" hidden="false" customHeight="false" outlineLevel="0" collapsed="false">
      <c r="A1600" s="4" t="s">
        <v>3883</v>
      </c>
      <c r="B1600" s="4" t="s">
        <v>3884</v>
      </c>
      <c r="C1600" s="4" t="s">
        <v>3783</v>
      </c>
      <c r="D1600" s="4" t="s">
        <v>3784</v>
      </c>
      <c r="E1600" s="4" t="s">
        <v>627</v>
      </c>
      <c r="F1600" s="4" t="s">
        <v>1584</v>
      </c>
      <c r="G1600" s="4" t="s">
        <v>59</v>
      </c>
      <c r="H1600" s="4" t="s">
        <v>3706</v>
      </c>
      <c r="I1600" s="4" t="s">
        <v>3885</v>
      </c>
      <c r="J1600" s="4" t="s">
        <v>68</v>
      </c>
      <c r="K1600" s="4" t="s">
        <v>3886</v>
      </c>
      <c r="L1600" s="4" t="s">
        <v>994</v>
      </c>
      <c r="M1600" s="4" t="s">
        <v>334</v>
      </c>
      <c r="N1600" s="4" t="s">
        <v>44</v>
      </c>
      <c r="O1600" s="4" t="s">
        <v>3887</v>
      </c>
      <c r="P1600" s="4" t="s">
        <v>3629</v>
      </c>
    </row>
    <row r="1601" customFormat="false" ht="15" hidden="false" customHeight="false" outlineLevel="0" collapsed="false">
      <c r="A1601" s="4" t="s">
        <v>3888</v>
      </c>
      <c r="B1601" s="4" t="s">
        <v>3884</v>
      </c>
      <c r="C1601" s="4" t="s">
        <v>3783</v>
      </c>
      <c r="D1601" s="4" t="s">
        <v>3784</v>
      </c>
      <c r="E1601" s="4" t="s">
        <v>761</v>
      </c>
      <c r="F1601" s="4" t="s">
        <v>736</v>
      </c>
      <c r="G1601" s="4" t="s">
        <v>38</v>
      </c>
      <c r="H1601" s="4" t="s">
        <v>3676</v>
      </c>
      <c r="I1601" s="4" t="s">
        <v>3889</v>
      </c>
      <c r="J1601" s="4" t="s">
        <v>81</v>
      </c>
      <c r="K1601" s="4" t="s">
        <v>3890</v>
      </c>
      <c r="L1601" s="4" t="s">
        <v>736</v>
      </c>
      <c r="M1601" s="4" t="s">
        <v>737</v>
      </c>
      <c r="N1601" s="4" t="s">
        <v>44</v>
      </c>
      <c r="O1601" s="4" t="s">
        <v>3891</v>
      </c>
      <c r="P1601" s="4" t="s">
        <v>3629</v>
      </c>
    </row>
    <row r="1602" customFormat="false" ht="15" hidden="false" customHeight="false" outlineLevel="0" collapsed="false">
      <c r="A1602" s="4" t="s">
        <v>3892</v>
      </c>
      <c r="B1602" s="4" t="s">
        <v>3884</v>
      </c>
      <c r="C1602" s="4" t="s">
        <v>3893</v>
      </c>
      <c r="D1602" s="4" t="s">
        <v>3624</v>
      </c>
      <c r="E1602" s="4" t="s">
        <v>36</v>
      </c>
      <c r="F1602" s="4" t="s">
        <v>736</v>
      </c>
      <c r="G1602" s="4" t="s">
        <v>59</v>
      </c>
      <c r="H1602" s="4" t="s">
        <v>3625</v>
      </c>
      <c r="I1602" s="4" t="s">
        <v>3657</v>
      </c>
      <c r="J1602" s="4" t="s">
        <v>68</v>
      </c>
      <c r="K1602" s="4" t="s">
        <v>3894</v>
      </c>
      <c r="L1602" s="4" t="s">
        <v>736</v>
      </c>
      <c r="M1602" s="4" t="s">
        <v>737</v>
      </c>
      <c r="N1602" s="4" t="s">
        <v>44</v>
      </c>
      <c r="O1602" s="4" t="s">
        <v>3895</v>
      </c>
      <c r="P1602" s="4" t="s">
        <v>3629</v>
      </c>
    </row>
    <row r="1603" customFormat="false" ht="15" hidden="false" customHeight="false" outlineLevel="0" collapsed="false">
      <c r="A1603" s="4" t="s">
        <v>3896</v>
      </c>
      <c r="B1603" s="4" t="s">
        <v>3897</v>
      </c>
      <c r="C1603" s="4" t="s">
        <v>3783</v>
      </c>
      <c r="D1603" s="4" t="s">
        <v>3784</v>
      </c>
      <c r="E1603" s="4" t="s">
        <v>627</v>
      </c>
      <c r="F1603" s="4" t="s">
        <v>736</v>
      </c>
      <c r="G1603" s="4" t="s">
        <v>38</v>
      </c>
      <c r="H1603" s="4" t="s">
        <v>3676</v>
      </c>
      <c r="I1603" s="4" t="s">
        <v>3898</v>
      </c>
      <c r="J1603" s="4" t="s">
        <v>149</v>
      </c>
      <c r="K1603" s="4" t="s">
        <v>3899</v>
      </c>
      <c r="L1603" s="4" t="s">
        <v>988</v>
      </c>
      <c r="M1603" s="4" t="s">
        <v>737</v>
      </c>
      <c r="N1603" s="4" t="s">
        <v>94</v>
      </c>
      <c r="O1603" s="4" t="s">
        <v>3900</v>
      </c>
      <c r="P1603" s="4" t="s">
        <v>3629</v>
      </c>
    </row>
    <row r="1604" customFormat="false" ht="15" hidden="false" customHeight="false" outlineLevel="0" collapsed="false">
      <c r="A1604" s="4" t="s">
        <v>3901</v>
      </c>
      <c r="B1604" s="4" t="s">
        <v>3897</v>
      </c>
      <c r="C1604" s="4" t="s">
        <v>3783</v>
      </c>
      <c r="D1604" s="4" t="s">
        <v>3784</v>
      </c>
      <c r="E1604" s="4" t="s">
        <v>613</v>
      </c>
      <c r="F1604" s="4" t="s">
        <v>3635</v>
      </c>
      <c r="G1604" s="4" t="s">
        <v>59</v>
      </c>
      <c r="H1604" s="4" t="s">
        <v>3632</v>
      </c>
      <c r="I1604" s="4" t="s">
        <v>3902</v>
      </c>
      <c r="J1604" s="4" t="s">
        <v>40</v>
      </c>
      <c r="K1604" s="4" t="s">
        <v>3903</v>
      </c>
      <c r="L1604" s="4" t="s">
        <v>3904</v>
      </c>
      <c r="M1604" s="4" t="s">
        <v>737</v>
      </c>
      <c r="N1604" s="4" t="s">
        <v>52</v>
      </c>
      <c r="O1604" s="4" t="s">
        <v>3905</v>
      </c>
      <c r="P1604" s="4" t="s">
        <v>3629</v>
      </c>
    </row>
    <row r="1605" customFormat="false" ht="15" hidden="false" customHeight="false" outlineLevel="0" collapsed="false">
      <c r="A1605" s="4" t="s">
        <v>3906</v>
      </c>
      <c r="B1605" s="4" t="s">
        <v>3897</v>
      </c>
      <c r="C1605" s="4" t="s">
        <v>3783</v>
      </c>
      <c r="D1605" s="4" t="s">
        <v>3784</v>
      </c>
      <c r="E1605" s="4" t="s">
        <v>627</v>
      </c>
      <c r="F1605" s="4" t="s">
        <v>736</v>
      </c>
      <c r="G1605" s="4" t="s">
        <v>326</v>
      </c>
      <c r="H1605" s="4" t="s">
        <v>3706</v>
      </c>
      <c r="I1605" s="4" t="s">
        <v>3907</v>
      </c>
      <c r="J1605" s="4" t="s">
        <v>68</v>
      </c>
      <c r="K1605" s="4" t="s">
        <v>3802</v>
      </c>
      <c r="L1605" s="4" t="s">
        <v>3635</v>
      </c>
      <c r="M1605" s="4" t="s">
        <v>737</v>
      </c>
      <c r="N1605" s="4" t="s">
        <v>52</v>
      </c>
      <c r="O1605" s="4" t="s">
        <v>3803</v>
      </c>
      <c r="P1605" s="4" t="s">
        <v>3629</v>
      </c>
    </row>
    <row r="1606" customFormat="false" ht="15" hidden="false" customHeight="false" outlineLevel="0" collapsed="false">
      <c r="A1606" s="4" t="s">
        <v>3908</v>
      </c>
      <c r="B1606" s="4" t="s">
        <v>3897</v>
      </c>
      <c r="C1606" s="4" t="s">
        <v>3909</v>
      </c>
      <c r="D1606" s="4" t="s">
        <v>3624</v>
      </c>
      <c r="E1606" s="4" t="s">
        <v>36</v>
      </c>
      <c r="F1606" s="4" t="s">
        <v>736</v>
      </c>
      <c r="G1606" s="4" t="s">
        <v>38</v>
      </c>
      <c r="H1606" s="4" t="s">
        <v>3676</v>
      </c>
      <c r="I1606" s="4" t="s">
        <v>3716</v>
      </c>
      <c r="J1606" s="4" t="s">
        <v>40</v>
      </c>
      <c r="K1606" s="4" t="s">
        <v>3640</v>
      </c>
      <c r="L1606" s="4" t="s">
        <v>736</v>
      </c>
      <c r="M1606" s="4" t="s">
        <v>737</v>
      </c>
      <c r="N1606" s="4" t="s">
        <v>44</v>
      </c>
      <c r="O1606" s="4" t="s">
        <v>3641</v>
      </c>
      <c r="P1606" s="4" t="s">
        <v>3629</v>
      </c>
    </row>
    <row r="1607" customFormat="false" ht="15" hidden="false" customHeight="false" outlineLevel="0" collapsed="false">
      <c r="A1607" s="4" t="s">
        <v>3910</v>
      </c>
      <c r="B1607" s="4" t="s">
        <v>3909</v>
      </c>
      <c r="C1607" s="4" t="s">
        <v>3783</v>
      </c>
      <c r="D1607" s="4" t="s">
        <v>3784</v>
      </c>
      <c r="E1607" s="4" t="s">
        <v>627</v>
      </c>
      <c r="F1607" s="4" t="s">
        <v>3406</v>
      </c>
      <c r="G1607" s="4" t="s">
        <v>326</v>
      </c>
      <c r="H1607" s="4" t="s">
        <v>3676</v>
      </c>
      <c r="I1607" s="4" t="s">
        <v>3911</v>
      </c>
      <c r="J1607" s="4" t="s">
        <v>40</v>
      </c>
      <c r="K1607" s="4" t="s">
        <v>3912</v>
      </c>
      <c r="L1607" s="4" t="s">
        <v>736</v>
      </c>
      <c r="M1607" s="4" t="s">
        <v>737</v>
      </c>
      <c r="N1607" s="4" t="s">
        <v>44</v>
      </c>
      <c r="O1607" s="4" t="s">
        <v>3913</v>
      </c>
      <c r="P1607" s="4" t="s">
        <v>3629</v>
      </c>
    </row>
    <row r="1608" customFormat="false" ht="15" hidden="false" customHeight="false" outlineLevel="0" collapsed="false">
      <c r="A1608" s="4" t="s">
        <v>3914</v>
      </c>
      <c r="B1608" s="4" t="s">
        <v>3909</v>
      </c>
      <c r="C1608" s="4" t="s">
        <v>3783</v>
      </c>
      <c r="D1608" s="4" t="s">
        <v>3784</v>
      </c>
      <c r="E1608" s="4" t="s">
        <v>627</v>
      </c>
      <c r="F1608" s="4" t="s">
        <v>3635</v>
      </c>
      <c r="G1608" s="4" t="s">
        <v>59</v>
      </c>
      <c r="H1608" s="4" t="s">
        <v>3625</v>
      </c>
      <c r="I1608" s="4" t="s">
        <v>3915</v>
      </c>
      <c r="J1608" s="4" t="s">
        <v>149</v>
      </c>
      <c r="K1608" s="4" t="s">
        <v>3916</v>
      </c>
      <c r="L1608" s="4" t="s">
        <v>736</v>
      </c>
      <c r="M1608" s="4" t="s">
        <v>737</v>
      </c>
      <c r="N1608" s="4" t="s">
        <v>44</v>
      </c>
      <c r="O1608" s="4" t="s">
        <v>3917</v>
      </c>
      <c r="P1608" s="4" t="s">
        <v>3629</v>
      </c>
    </row>
    <row r="1609" customFormat="false" ht="15" hidden="false" customHeight="false" outlineLevel="0" collapsed="false">
      <c r="A1609" s="4" t="s">
        <v>3918</v>
      </c>
      <c r="B1609" s="4" t="s">
        <v>3909</v>
      </c>
      <c r="C1609" s="4" t="s">
        <v>3783</v>
      </c>
      <c r="D1609" s="4" t="s">
        <v>3784</v>
      </c>
      <c r="E1609" s="4" t="s">
        <v>627</v>
      </c>
      <c r="F1609" s="4" t="s">
        <v>3406</v>
      </c>
      <c r="G1609" s="4" t="s">
        <v>59</v>
      </c>
      <c r="H1609" s="4" t="s">
        <v>3625</v>
      </c>
      <c r="I1609" s="4" t="s">
        <v>3919</v>
      </c>
      <c r="J1609" s="4" t="s">
        <v>149</v>
      </c>
      <c r="K1609" s="4" t="s">
        <v>3920</v>
      </c>
      <c r="L1609" s="4" t="s">
        <v>463</v>
      </c>
      <c r="M1609" s="4" t="s">
        <v>464</v>
      </c>
      <c r="N1609" s="4" t="s">
        <v>94</v>
      </c>
      <c r="O1609" s="4" t="s">
        <v>3921</v>
      </c>
      <c r="P1609" s="4" t="s">
        <v>3629</v>
      </c>
    </row>
    <row r="1610" customFormat="false" ht="15" hidden="false" customHeight="false" outlineLevel="0" collapsed="false">
      <c r="A1610" s="4" t="s">
        <v>3922</v>
      </c>
      <c r="B1610" s="4" t="s">
        <v>3909</v>
      </c>
      <c r="C1610" s="4" t="s">
        <v>3783</v>
      </c>
      <c r="D1610" s="4" t="s">
        <v>3784</v>
      </c>
      <c r="E1610" s="4" t="s">
        <v>627</v>
      </c>
      <c r="F1610" s="4" t="s">
        <v>1584</v>
      </c>
      <c r="G1610" s="4" t="s">
        <v>38</v>
      </c>
      <c r="H1610" s="4" t="s">
        <v>3676</v>
      </c>
      <c r="I1610" s="4" t="s">
        <v>3923</v>
      </c>
      <c r="J1610" s="4" t="s">
        <v>40</v>
      </c>
      <c r="K1610" s="4" t="s">
        <v>3924</v>
      </c>
      <c r="L1610" s="4" t="s">
        <v>988</v>
      </c>
      <c r="M1610" s="4" t="s">
        <v>737</v>
      </c>
      <c r="N1610" s="4" t="s">
        <v>94</v>
      </c>
      <c r="O1610" s="4" t="s">
        <v>3925</v>
      </c>
      <c r="P1610" s="4" t="s">
        <v>3629</v>
      </c>
    </row>
    <row r="1611" customFormat="false" ht="15" hidden="false" customHeight="false" outlineLevel="0" collapsed="false">
      <c r="A1611" s="4" t="s">
        <v>3926</v>
      </c>
      <c r="B1611" s="4" t="s">
        <v>3909</v>
      </c>
      <c r="C1611" s="4" t="s">
        <v>3783</v>
      </c>
      <c r="D1611" s="4" t="s">
        <v>3784</v>
      </c>
      <c r="E1611" s="4" t="s">
        <v>613</v>
      </c>
      <c r="F1611" s="4" t="s">
        <v>3710</v>
      </c>
      <c r="G1611" s="4" t="s">
        <v>59</v>
      </c>
      <c r="H1611" s="4" t="s">
        <v>3676</v>
      </c>
      <c r="I1611" s="4" t="s">
        <v>3833</v>
      </c>
      <c r="J1611" s="4" t="s">
        <v>68</v>
      </c>
      <c r="K1611" s="4" t="s">
        <v>3927</v>
      </c>
      <c r="L1611" s="4" t="s">
        <v>3406</v>
      </c>
      <c r="M1611" s="4" t="s">
        <v>737</v>
      </c>
      <c r="N1611" s="4" t="s">
        <v>44</v>
      </c>
      <c r="O1611" s="4" t="s">
        <v>3928</v>
      </c>
      <c r="P1611" s="4" t="s">
        <v>3629</v>
      </c>
    </row>
    <row r="1612" customFormat="false" ht="15" hidden="false" customHeight="false" outlineLevel="0" collapsed="false">
      <c r="A1612" s="4" t="s">
        <v>3929</v>
      </c>
      <c r="B1612" s="4" t="s">
        <v>3909</v>
      </c>
      <c r="C1612" s="4" t="s">
        <v>3783</v>
      </c>
      <c r="D1612" s="4" t="s">
        <v>3784</v>
      </c>
      <c r="E1612" s="4" t="s">
        <v>627</v>
      </c>
      <c r="F1612" s="4" t="s">
        <v>736</v>
      </c>
      <c r="G1612" s="4" t="s">
        <v>59</v>
      </c>
      <c r="H1612" s="4" t="s">
        <v>3676</v>
      </c>
      <c r="I1612" s="4" t="s">
        <v>3930</v>
      </c>
      <c r="J1612" s="4" t="s">
        <v>68</v>
      </c>
      <c r="K1612" s="4" t="s">
        <v>3931</v>
      </c>
      <c r="L1612" s="4" t="s">
        <v>736</v>
      </c>
      <c r="M1612" s="4" t="s">
        <v>737</v>
      </c>
      <c r="N1612" s="4" t="s">
        <v>44</v>
      </c>
      <c r="O1612" s="4" t="s">
        <v>3932</v>
      </c>
      <c r="P1612" s="4" t="s">
        <v>3629</v>
      </c>
    </row>
    <row r="1613" customFormat="false" ht="15" hidden="false" customHeight="false" outlineLevel="0" collapsed="false">
      <c r="A1613" s="4" t="s">
        <v>3933</v>
      </c>
      <c r="B1613" s="4" t="s">
        <v>3893</v>
      </c>
      <c r="C1613" s="4" t="s">
        <v>3783</v>
      </c>
      <c r="D1613" s="4" t="s">
        <v>3784</v>
      </c>
      <c r="E1613" s="4" t="s">
        <v>761</v>
      </c>
      <c r="F1613" s="4" t="s">
        <v>3406</v>
      </c>
      <c r="G1613" s="4" t="s">
        <v>38</v>
      </c>
      <c r="H1613" s="4" t="s">
        <v>3632</v>
      </c>
      <c r="I1613" s="4" t="s">
        <v>3934</v>
      </c>
      <c r="J1613" s="4" t="s">
        <v>149</v>
      </c>
      <c r="K1613" s="4" t="s">
        <v>3935</v>
      </c>
      <c r="L1613" s="4" t="s">
        <v>480</v>
      </c>
      <c r="M1613" s="4" t="s">
        <v>133</v>
      </c>
      <c r="N1613" s="4" t="s">
        <v>44</v>
      </c>
      <c r="O1613" s="4" t="s">
        <v>3936</v>
      </c>
      <c r="P1613" s="4" t="s">
        <v>3629</v>
      </c>
    </row>
    <row r="1614" customFormat="false" ht="15" hidden="false" customHeight="false" outlineLevel="0" collapsed="false">
      <c r="A1614" s="4" t="s">
        <v>3937</v>
      </c>
      <c r="B1614" s="4" t="s">
        <v>3893</v>
      </c>
      <c r="C1614" s="4" t="s">
        <v>3783</v>
      </c>
      <c r="D1614" s="4" t="s">
        <v>3784</v>
      </c>
      <c r="E1614" s="4" t="s">
        <v>627</v>
      </c>
      <c r="F1614" s="4" t="s">
        <v>3406</v>
      </c>
      <c r="G1614" s="4" t="s">
        <v>59</v>
      </c>
      <c r="H1614" s="4" t="s">
        <v>3625</v>
      </c>
      <c r="I1614" s="4" t="s">
        <v>3881</v>
      </c>
      <c r="J1614" s="4" t="s">
        <v>40</v>
      </c>
      <c r="K1614" s="4" t="s">
        <v>3938</v>
      </c>
      <c r="L1614" s="4" t="s">
        <v>988</v>
      </c>
      <c r="M1614" s="4" t="s">
        <v>737</v>
      </c>
      <c r="N1614" s="4" t="s">
        <v>44</v>
      </c>
      <c r="O1614" s="4" t="s">
        <v>3939</v>
      </c>
      <c r="P1614" s="4" t="s">
        <v>3629</v>
      </c>
    </row>
    <row r="1615" customFormat="false" ht="15" hidden="false" customHeight="false" outlineLevel="0" collapsed="false">
      <c r="A1615" s="4" t="s">
        <v>3940</v>
      </c>
      <c r="B1615" s="4" t="s">
        <v>3893</v>
      </c>
      <c r="C1615" s="4" t="s">
        <v>3783</v>
      </c>
      <c r="D1615" s="4" t="s">
        <v>3784</v>
      </c>
      <c r="E1615" s="4" t="s">
        <v>649</v>
      </c>
      <c r="F1615" s="4" t="s">
        <v>736</v>
      </c>
      <c r="G1615" s="4" t="s">
        <v>38</v>
      </c>
      <c r="H1615" s="4" t="s">
        <v>3676</v>
      </c>
      <c r="I1615" s="4" t="s">
        <v>3941</v>
      </c>
      <c r="J1615" s="4" t="s">
        <v>40</v>
      </c>
      <c r="K1615" s="4" t="s">
        <v>3942</v>
      </c>
      <c r="L1615" s="4" t="s">
        <v>988</v>
      </c>
      <c r="M1615" s="4" t="s">
        <v>737</v>
      </c>
      <c r="N1615" s="4" t="s">
        <v>44</v>
      </c>
      <c r="O1615" s="4" t="s">
        <v>3943</v>
      </c>
      <c r="P1615" s="4" t="s">
        <v>3629</v>
      </c>
    </row>
    <row r="1616" customFormat="false" ht="15" hidden="false" customHeight="false" outlineLevel="0" collapsed="false">
      <c r="A1616" s="4" t="s">
        <v>3944</v>
      </c>
      <c r="B1616" s="4" t="s">
        <v>3893</v>
      </c>
      <c r="C1616" s="4" t="s">
        <v>3783</v>
      </c>
      <c r="D1616" s="4" t="s">
        <v>3784</v>
      </c>
      <c r="E1616" s="4" t="s">
        <v>613</v>
      </c>
      <c r="F1616" s="4" t="s">
        <v>736</v>
      </c>
      <c r="G1616" s="4" t="s">
        <v>38</v>
      </c>
      <c r="H1616" s="4" t="s">
        <v>3625</v>
      </c>
      <c r="I1616" s="4" t="s">
        <v>3945</v>
      </c>
      <c r="J1616" s="4" t="s">
        <v>40</v>
      </c>
      <c r="K1616" s="4" t="s">
        <v>1725</v>
      </c>
      <c r="L1616" s="4" t="s">
        <v>843</v>
      </c>
      <c r="M1616" s="4" t="s">
        <v>1412</v>
      </c>
      <c r="N1616" s="4" t="s">
        <v>44</v>
      </c>
      <c r="O1616" s="4" t="s">
        <v>1726</v>
      </c>
      <c r="P1616" s="4" t="s">
        <v>3629</v>
      </c>
    </row>
    <row r="1617" customFormat="false" ht="15" hidden="false" customHeight="false" outlineLevel="0" collapsed="false">
      <c r="A1617" s="4" t="s">
        <v>3946</v>
      </c>
      <c r="B1617" s="4" t="s">
        <v>3893</v>
      </c>
      <c r="C1617" s="4" t="s">
        <v>3783</v>
      </c>
      <c r="D1617" s="4" t="s">
        <v>3784</v>
      </c>
      <c r="E1617" s="4" t="s">
        <v>627</v>
      </c>
      <c r="F1617" s="4" t="s">
        <v>736</v>
      </c>
      <c r="G1617" s="4" t="s">
        <v>38</v>
      </c>
      <c r="H1617" s="4" t="s">
        <v>3625</v>
      </c>
      <c r="I1617" s="4" t="s">
        <v>3947</v>
      </c>
      <c r="J1617" s="4" t="s">
        <v>81</v>
      </c>
      <c r="K1617" s="4" t="s">
        <v>2259</v>
      </c>
      <c r="L1617" s="4" t="s">
        <v>736</v>
      </c>
      <c r="M1617" s="4" t="s">
        <v>737</v>
      </c>
      <c r="N1617" s="4" t="s">
        <v>44</v>
      </c>
      <c r="O1617" s="4" t="s">
        <v>2260</v>
      </c>
      <c r="P1617" s="4" t="s">
        <v>3629</v>
      </c>
    </row>
    <row r="1618" customFormat="false" ht="15" hidden="false" customHeight="false" outlineLevel="0" collapsed="false">
      <c r="A1618" s="4" t="s">
        <v>3948</v>
      </c>
      <c r="B1618" s="4" t="s">
        <v>3949</v>
      </c>
      <c r="C1618" s="4" t="s">
        <v>3783</v>
      </c>
      <c r="D1618" s="4" t="s">
        <v>3784</v>
      </c>
      <c r="E1618" s="4" t="s">
        <v>627</v>
      </c>
      <c r="F1618" s="4" t="s">
        <v>3406</v>
      </c>
      <c r="G1618" s="4" t="s">
        <v>38</v>
      </c>
      <c r="H1618" s="4" t="s">
        <v>3676</v>
      </c>
      <c r="I1618" s="4" t="s">
        <v>3950</v>
      </c>
      <c r="J1618" s="4" t="s">
        <v>68</v>
      </c>
      <c r="K1618" s="4" t="s">
        <v>3951</v>
      </c>
      <c r="L1618" s="4" t="s">
        <v>736</v>
      </c>
      <c r="M1618" s="4" t="s">
        <v>737</v>
      </c>
      <c r="N1618" s="4" t="s">
        <v>44</v>
      </c>
      <c r="O1618" s="4" t="s">
        <v>3952</v>
      </c>
      <c r="P1618" s="4" t="s">
        <v>3629</v>
      </c>
    </row>
    <row r="1619" customFormat="false" ht="15" hidden="false" customHeight="false" outlineLevel="0" collapsed="false">
      <c r="A1619" s="4" t="s">
        <v>3953</v>
      </c>
      <c r="B1619" s="4" t="s">
        <v>3949</v>
      </c>
      <c r="C1619" s="4" t="s">
        <v>3783</v>
      </c>
      <c r="D1619" s="4" t="s">
        <v>3784</v>
      </c>
      <c r="E1619" s="4" t="s">
        <v>649</v>
      </c>
      <c r="F1619" s="4" t="s">
        <v>1584</v>
      </c>
      <c r="G1619" s="4" t="s">
        <v>59</v>
      </c>
      <c r="H1619" s="4" t="s">
        <v>3706</v>
      </c>
      <c r="I1619" s="4" t="s">
        <v>3954</v>
      </c>
      <c r="J1619" s="4" t="s">
        <v>40</v>
      </c>
      <c r="K1619" s="4" t="s">
        <v>602</v>
      </c>
      <c r="L1619" s="4" t="s">
        <v>571</v>
      </c>
      <c r="M1619" s="4" t="s">
        <v>356</v>
      </c>
      <c r="N1619" s="4" t="s">
        <v>357</v>
      </c>
      <c r="O1619" s="4"/>
      <c r="P1619" s="4" t="s">
        <v>3629</v>
      </c>
    </row>
    <row r="1620" customFormat="false" ht="15" hidden="false" customHeight="false" outlineLevel="0" collapsed="false">
      <c r="A1620" s="4" t="s">
        <v>3955</v>
      </c>
      <c r="B1620" s="4" t="s">
        <v>3949</v>
      </c>
      <c r="C1620" s="4" t="s">
        <v>3783</v>
      </c>
      <c r="D1620" s="4" t="s">
        <v>3784</v>
      </c>
      <c r="E1620" s="4" t="s">
        <v>627</v>
      </c>
      <c r="F1620" s="4" t="s">
        <v>736</v>
      </c>
      <c r="G1620" s="4" t="s">
        <v>59</v>
      </c>
      <c r="H1620" s="4" t="s">
        <v>3706</v>
      </c>
      <c r="I1620" s="4" t="s">
        <v>3875</v>
      </c>
      <c r="J1620" s="4" t="s">
        <v>40</v>
      </c>
      <c r="K1620" s="4" t="s">
        <v>3956</v>
      </c>
      <c r="L1620" s="4" t="s">
        <v>736</v>
      </c>
      <c r="M1620" s="4" t="s">
        <v>737</v>
      </c>
      <c r="N1620" s="4" t="s">
        <v>44</v>
      </c>
      <c r="O1620" s="4" t="s">
        <v>3957</v>
      </c>
      <c r="P1620" s="4" t="s">
        <v>3629</v>
      </c>
    </row>
    <row r="1621" customFormat="false" ht="15" hidden="false" customHeight="false" outlineLevel="0" collapsed="false">
      <c r="A1621" s="4" t="s">
        <v>3958</v>
      </c>
      <c r="B1621" s="4" t="s">
        <v>3949</v>
      </c>
      <c r="C1621" s="4" t="s">
        <v>3783</v>
      </c>
      <c r="D1621" s="4" t="s">
        <v>3784</v>
      </c>
      <c r="E1621" s="4" t="s">
        <v>649</v>
      </c>
      <c r="F1621" s="4" t="s">
        <v>736</v>
      </c>
      <c r="G1621" s="4" t="s">
        <v>38</v>
      </c>
      <c r="H1621" s="4" t="s">
        <v>3676</v>
      </c>
      <c r="I1621" s="4" t="s">
        <v>3959</v>
      </c>
      <c r="J1621" s="4" t="s">
        <v>68</v>
      </c>
      <c r="K1621" s="4" t="s">
        <v>3960</v>
      </c>
      <c r="L1621" s="4" t="s">
        <v>736</v>
      </c>
      <c r="M1621" s="4" t="s">
        <v>737</v>
      </c>
      <c r="N1621" s="4" t="s">
        <v>44</v>
      </c>
      <c r="O1621" s="4" t="s">
        <v>3961</v>
      </c>
      <c r="P1621" s="4" t="s">
        <v>3629</v>
      </c>
    </row>
    <row r="1622" customFormat="false" ht="15" hidden="false" customHeight="false" outlineLevel="0" collapsed="false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 t="s">
        <v>3629</v>
      </c>
    </row>
    <row r="1623" customFormat="false" ht="15" hidden="false" customHeight="false" outlineLevel="0" collapsed="false">
      <c r="A1623" s="4" t="s">
        <v>3962</v>
      </c>
      <c r="B1623" s="4" t="s">
        <v>3949</v>
      </c>
      <c r="C1623" s="4" t="s">
        <v>3783</v>
      </c>
      <c r="D1623" s="4" t="s">
        <v>3784</v>
      </c>
      <c r="E1623" s="4" t="s">
        <v>649</v>
      </c>
      <c r="F1623" s="4" t="s">
        <v>736</v>
      </c>
      <c r="G1623" s="4" t="s">
        <v>38</v>
      </c>
      <c r="H1623" s="4" t="s">
        <v>3706</v>
      </c>
      <c r="I1623" s="4" t="s">
        <v>3963</v>
      </c>
      <c r="J1623" s="4" t="s">
        <v>40</v>
      </c>
      <c r="K1623" s="4" t="s">
        <v>3964</v>
      </c>
      <c r="L1623" s="4" t="s">
        <v>1783</v>
      </c>
      <c r="M1623" s="4" t="s">
        <v>1603</v>
      </c>
      <c r="N1623" s="4" t="s">
        <v>44</v>
      </c>
      <c r="O1623" s="4" t="s">
        <v>3965</v>
      </c>
      <c r="P1623" s="4" t="s">
        <v>3629</v>
      </c>
    </row>
    <row r="1624" customFormat="false" ht="15" hidden="false" customHeight="false" outlineLevel="0" collapsed="false">
      <c r="A1624" s="4" t="s">
        <v>3966</v>
      </c>
      <c r="B1624" s="4" t="s">
        <v>3949</v>
      </c>
      <c r="C1624" s="4" t="s">
        <v>3967</v>
      </c>
      <c r="D1624" s="4" t="s">
        <v>3624</v>
      </c>
      <c r="E1624" s="4" t="s">
        <v>66</v>
      </c>
      <c r="F1624" s="4" t="s">
        <v>1584</v>
      </c>
      <c r="G1624" s="4" t="s">
        <v>38</v>
      </c>
      <c r="H1624" s="4" t="s">
        <v>3706</v>
      </c>
      <c r="I1624" s="4" t="s">
        <v>3651</v>
      </c>
      <c r="J1624" s="4" t="s">
        <v>40</v>
      </c>
      <c r="K1624" s="4" t="s">
        <v>3968</v>
      </c>
      <c r="L1624" s="4" t="s">
        <v>736</v>
      </c>
      <c r="M1624" s="4" t="s">
        <v>737</v>
      </c>
      <c r="N1624" s="4" t="s">
        <v>44</v>
      </c>
      <c r="O1624" s="4" t="s">
        <v>3969</v>
      </c>
      <c r="P1624" s="4" t="s">
        <v>3629</v>
      </c>
    </row>
    <row r="1625" customFormat="false" ht="15" hidden="false" customHeight="false" outlineLevel="0" collapsed="false">
      <c r="A1625" s="4" t="s">
        <v>3970</v>
      </c>
      <c r="B1625" s="4" t="s">
        <v>3971</v>
      </c>
      <c r="C1625" s="4" t="s">
        <v>3783</v>
      </c>
      <c r="D1625" s="4" t="s">
        <v>3784</v>
      </c>
      <c r="E1625" s="4" t="s">
        <v>627</v>
      </c>
      <c r="F1625" s="4" t="s">
        <v>736</v>
      </c>
      <c r="G1625" s="4" t="s">
        <v>59</v>
      </c>
      <c r="H1625" s="4" t="s">
        <v>3632</v>
      </c>
      <c r="I1625" s="4" t="s">
        <v>3972</v>
      </c>
      <c r="J1625" s="4" t="s">
        <v>68</v>
      </c>
      <c r="K1625" s="4" t="s">
        <v>3973</v>
      </c>
      <c r="L1625" s="4" t="s">
        <v>736</v>
      </c>
      <c r="M1625" s="4" t="s">
        <v>737</v>
      </c>
      <c r="N1625" s="4" t="s">
        <v>185</v>
      </c>
      <c r="O1625" s="4" t="s">
        <v>3974</v>
      </c>
      <c r="P1625" s="4" t="s">
        <v>3629</v>
      </c>
    </row>
    <row r="1626" customFormat="false" ht="15" hidden="false" customHeight="false" outlineLevel="0" collapsed="false">
      <c r="A1626" s="4" t="s">
        <v>3975</v>
      </c>
      <c r="B1626" s="4" t="s">
        <v>3971</v>
      </c>
      <c r="C1626" s="4" t="s">
        <v>3783</v>
      </c>
      <c r="D1626" s="4" t="s">
        <v>3784</v>
      </c>
      <c r="E1626" s="4" t="s">
        <v>627</v>
      </c>
      <c r="F1626" s="4" t="s">
        <v>736</v>
      </c>
      <c r="G1626" s="4" t="s">
        <v>38</v>
      </c>
      <c r="H1626" s="4" t="s">
        <v>3632</v>
      </c>
      <c r="I1626" s="4" t="s">
        <v>3976</v>
      </c>
      <c r="J1626" s="4" t="s">
        <v>149</v>
      </c>
      <c r="K1626" s="4" t="s">
        <v>3977</v>
      </c>
      <c r="L1626" s="4" t="s">
        <v>42</v>
      </c>
      <c r="M1626" s="4" t="s">
        <v>43</v>
      </c>
      <c r="N1626" s="4" t="s">
        <v>44</v>
      </c>
      <c r="O1626" s="4" t="s">
        <v>3978</v>
      </c>
      <c r="P1626" s="4" t="s">
        <v>3629</v>
      </c>
    </row>
    <row r="1627" customFormat="false" ht="15" hidden="false" customHeight="false" outlineLevel="0" collapsed="false">
      <c r="A1627" s="4" t="s">
        <v>3979</v>
      </c>
      <c r="B1627" s="4" t="s">
        <v>3971</v>
      </c>
      <c r="C1627" s="4" t="s">
        <v>3783</v>
      </c>
      <c r="D1627" s="4" t="s">
        <v>3784</v>
      </c>
      <c r="E1627" s="4" t="s">
        <v>627</v>
      </c>
      <c r="F1627" s="4" t="s">
        <v>736</v>
      </c>
      <c r="G1627" s="4" t="s">
        <v>59</v>
      </c>
      <c r="H1627" s="4" t="s">
        <v>3632</v>
      </c>
      <c r="I1627" s="4" t="s">
        <v>3980</v>
      </c>
      <c r="J1627" s="4" t="s">
        <v>149</v>
      </c>
      <c r="K1627" s="4" t="s">
        <v>3981</v>
      </c>
      <c r="L1627" s="4" t="s">
        <v>736</v>
      </c>
      <c r="M1627" s="4" t="s">
        <v>737</v>
      </c>
      <c r="N1627" s="4" t="s">
        <v>44</v>
      </c>
      <c r="O1627" s="4" t="s">
        <v>3982</v>
      </c>
      <c r="P1627" s="4" t="s">
        <v>3629</v>
      </c>
    </row>
    <row r="1628" customFormat="false" ht="15" hidden="false" customHeight="false" outlineLevel="0" collapsed="false">
      <c r="A1628" s="4" t="s">
        <v>3983</v>
      </c>
      <c r="B1628" s="4" t="s">
        <v>3971</v>
      </c>
      <c r="C1628" s="4" t="s">
        <v>3783</v>
      </c>
      <c r="D1628" s="4" t="s">
        <v>3784</v>
      </c>
      <c r="E1628" s="4" t="s">
        <v>627</v>
      </c>
      <c r="F1628" s="4" t="s">
        <v>736</v>
      </c>
      <c r="G1628" s="4" t="s">
        <v>38</v>
      </c>
      <c r="H1628" s="4" t="s">
        <v>3676</v>
      </c>
      <c r="I1628" s="4" t="s">
        <v>3984</v>
      </c>
      <c r="J1628" s="4" t="s">
        <v>68</v>
      </c>
      <c r="K1628" s="4" t="s">
        <v>3985</v>
      </c>
      <c r="L1628" s="4" t="s">
        <v>736</v>
      </c>
      <c r="M1628" s="4" t="s">
        <v>737</v>
      </c>
      <c r="N1628" s="4" t="s">
        <v>44</v>
      </c>
      <c r="O1628" s="4" t="s">
        <v>3986</v>
      </c>
      <c r="P1628" s="4" t="s">
        <v>3629</v>
      </c>
    </row>
    <row r="1629" customFormat="false" ht="15" hidden="false" customHeight="false" outlineLevel="0" collapsed="false">
      <c r="A1629" s="4" t="s">
        <v>3987</v>
      </c>
      <c r="B1629" s="4" t="s">
        <v>3988</v>
      </c>
      <c r="C1629" s="4" t="s">
        <v>3783</v>
      </c>
      <c r="D1629" s="4" t="s">
        <v>3784</v>
      </c>
      <c r="E1629" s="4" t="s">
        <v>761</v>
      </c>
      <c r="F1629" s="4" t="s">
        <v>3710</v>
      </c>
      <c r="G1629" s="4" t="s">
        <v>38</v>
      </c>
      <c r="H1629" s="4" t="s">
        <v>3625</v>
      </c>
      <c r="I1629" s="4" t="s">
        <v>3989</v>
      </c>
      <c r="J1629" s="4" t="s">
        <v>68</v>
      </c>
      <c r="K1629" s="4" t="s">
        <v>3990</v>
      </c>
      <c r="L1629" s="4" t="s">
        <v>3991</v>
      </c>
      <c r="M1629" s="4" t="s">
        <v>356</v>
      </c>
      <c r="N1629" s="4" t="s">
        <v>1592</v>
      </c>
      <c r="O1629" s="4"/>
      <c r="P1629" s="4" t="s">
        <v>3629</v>
      </c>
    </row>
    <row r="1630" customFormat="false" ht="15" hidden="false" customHeight="false" outlineLevel="0" collapsed="false">
      <c r="A1630" s="4" t="s">
        <v>3992</v>
      </c>
      <c r="B1630" s="4" t="s">
        <v>3988</v>
      </c>
      <c r="C1630" s="4" t="s">
        <v>3783</v>
      </c>
      <c r="D1630" s="4" t="s">
        <v>3784</v>
      </c>
      <c r="E1630" s="4" t="s">
        <v>649</v>
      </c>
      <c r="F1630" s="4" t="s">
        <v>736</v>
      </c>
      <c r="G1630" s="4" t="s">
        <v>38</v>
      </c>
      <c r="H1630" s="4" t="s">
        <v>3676</v>
      </c>
      <c r="I1630" s="4" t="s">
        <v>3801</v>
      </c>
      <c r="J1630" s="4" t="s">
        <v>40</v>
      </c>
      <c r="K1630" s="4" t="s">
        <v>3693</v>
      </c>
      <c r="L1630" s="4" t="s">
        <v>3406</v>
      </c>
      <c r="M1630" s="4" t="s">
        <v>737</v>
      </c>
      <c r="N1630" s="4" t="s">
        <v>44</v>
      </c>
      <c r="O1630" s="4" t="s">
        <v>3694</v>
      </c>
      <c r="P1630" s="4" t="s">
        <v>3629</v>
      </c>
    </row>
    <row r="1631" customFormat="false" ht="15" hidden="false" customHeight="false" outlineLevel="0" collapsed="false">
      <c r="A1631" s="4" t="s">
        <v>3993</v>
      </c>
      <c r="B1631" s="4" t="s">
        <v>3988</v>
      </c>
      <c r="C1631" s="4" t="s">
        <v>3994</v>
      </c>
      <c r="D1631" s="4" t="s">
        <v>3624</v>
      </c>
      <c r="E1631" s="4" t="s">
        <v>49</v>
      </c>
      <c r="F1631" s="4" t="s">
        <v>736</v>
      </c>
      <c r="G1631" s="4" t="s">
        <v>38</v>
      </c>
      <c r="H1631" s="4" t="s">
        <v>3676</v>
      </c>
      <c r="I1631" s="4" t="s">
        <v>3669</v>
      </c>
      <c r="J1631" s="4" t="s">
        <v>40</v>
      </c>
      <c r="K1631" s="4" t="s">
        <v>3876</v>
      </c>
      <c r="L1631" s="4" t="s">
        <v>3406</v>
      </c>
      <c r="M1631" s="4" t="s">
        <v>737</v>
      </c>
      <c r="N1631" s="4" t="s">
        <v>44</v>
      </c>
      <c r="O1631" s="4" t="s">
        <v>3877</v>
      </c>
      <c r="P1631" s="4" t="s">
        <v>3629</v>
      </c>
    </row>
    <row r="1632" customFormat="false" ht="15" hidden="false" customHeight="false" outlineLevel="0" collapsed="false">
      <c r="A1632" s="4" t="s">
        <v>3995</v>
      </c>
      <c r="B1632" s="4" t="s">
        <v>3967</v>
      </c>
      <c r="C1632" s="4" t="s">
        <v>3783</v>
      </c>
      <c r="D1632" s="4" t="s">
        <v>3784</v>
      </c>
      <c r="E1632" s="4" t="s">
        <v>761</v>
      </c>
      <c r="F1632" s="4" t="s">
        <v>3635</v>
      </c>
      <c r="G1632" s="4" t="s">
        <v>38</v>
      </c>
      <c r="H1632" s="4" t="s">
        <v>3625</v>
      </c>
      <c r="I1632" s="4" t="s">
        <v>3996</v>
      </c>
      <c r="J1632" s="4" t="s">
        <v>40</v>
      </c>
      <c r="K1632" s="4" t="s">
        <v>3964</v>
      </c>
      <c r="L1632" s="4" t="s">
        <v>1211</v>
      </c>
      <c r="M1632" s="4" t="s">
        <v>635</v>
      </c>
      <c r="N1632" s="4" t="s">
        <v>44</v>
      </c>
      <c r="O1632" s="4" t="s">
        <v>3965</v>
      </c>
      <c r="P1632" s="4" t="s">
        <v>3629</v>
      </c>
    </row>
    <row r="1633" customFormat="false" ht="15" hidden="false" customHeight="false" outlineLevel="0" collapsed="false">
      <c r="A1633" s="4" t="s">
        <v>3997</v>
      </c>
      <c r="B1633" s="4" t="s">
        <v>3967</v>
      </c>
      <c r="C1633" s="4" t="s">
        <v>3783</v>
      </c>
      <c r="D1633" s="4" t="s">
        <v>3784</v>
      </c>
      <c r="E1633" s="4" t="s">
        <v>627</v>
      </c>
      <c r="F1633" s="4" t="s">
        <v>736</v>
      </c>
      <c r="G1633" s="4" t="s">
        <v>59</v>
      </c>
      <c r="H1633" s="4" t="s">
        <v>3676</v>
      </c>
      <c r="I1633" s="4" t="s">
        <v>3998</v>
      </c>
      <c r="J1633" s="4" t="s">
        <v>149</v>
      </c>
      <c r="K1633" s="4" t="s">
        <v>3999</v>
      </c>
      <c r="L1633" s="4" t="s">
        <v>736</v>
      </c>
      <c r="M1633" s="4" t="s">
        <v>1683</v>
      </c>
      <c r="N1633" s="4" t="s">
        <v>94</v>
      </c>
      <c r="O1633" s="4" t="s">
        <v>4000</v>
      </c>
      <c r="P1633" s="4" t="s">
        <v>3629</v>
      </c>
    </row>
    <row r="1634" customFormat="false" ht="15" hidden="false" customHeight="false" outlineLevel="0" collapsed="false">
      <c r="A1634" s="4" t="s">
        <v>4001</v>
      </c>
      <c r="B1634" s="4" t="s">
        <v>3967</v>
      </c>
      <c r="C1634" s="4" t="s">
        <v>4002</v>
      </c>
      <c r="D1634" s="4" t="s">
        <v>3624</v>
      </c>
      <c r="E1634" s="4" t="s">
        <v>36</v>
      </c>
      <c r="F1634" s="4" t="s">
        <v>736</v>
      </c>
      <c r="G1634" s="4" t="s">
        <v>38</v>
      </c>
      <c r="H1634" s="4" t="s">
        <v>3625</v>
      </c>
      <c r="I1634" s="4" t="s">
        <v>3669</v>
      </c>
      <c r="J1634" s="4" t="s">
        <v>40</v>
      </c>
      <c r="K1634" s="4" t="s">
        <v>3662</v>
      </c>
      <c r="L1634" s="4" t="s">
        <v>736</v>
      </c>
      <c r="M1634" s="4" t="s">
        <v>737</v>
      </c>
      <c r="N1634" s="4" t="s">
        <v>44</v>
      </c>
      <c r="O1634" s="4" t="s">
        <v>3663</v>
      </c>
      <c r="P1634" s="4" t="s">
        <v>3629</v>
      </c>
    </row>
    <row r="1635" customFormat="false" ht="15" hidden="false" customHeight="false" outlineLevel="0" collapsed="false">
      <c r="A1635" s="4" t="s">
        <v>4003</v>
      </c>
      <c r="B1635" s="4" t="s">
        <v>3994</v>
      </c>
      <c r="C1635" s="4" t="s">
        <v>3783</v>
      </c>
      <c r="D1635" s="4" t="s">
        <v>3784</v>
      </c>
      <c r="E1635" s="4" t="s">
        <v>627</v>
      </c>
      <c r="F1635" s="4" t="s">
        <v>736</v>
      </c>
      <c r="G1635" s="4" t="s">
        <v>59</v>
      </c>
      <c r="H1635" s="4" t="s">
        <v>3676</v>
      </c>
      <c r="I1635" s="4" t="s">
        <v>3844</v>
      </c>
      <c r="J1635" s="4" t="s">
        <v>81</v>
      </c>
      <c r="K1635" s="4" t="s">
        <v>4004</v>
      </c>
      <c r="L1635" s="4" t="s">
        <v>455</v>
      </c>
      <c r="M1635" s="4" t="s">
        <v>456</v>
      </c>
      <c r="N1635" s="4" t="s">
        <v>44</v>
      </c>
      <c r="O1635" s="4" t="s">
        <v>4005</v>
      </c>
      <c r="P1635" s="4" t="s">
        <v>3629</v>
      </c>
    </row>
    <row r="1636" customFormat="false" ht="15" hidden="false" customHeight="false" outlineLevel="0" collapsed="false">
      <c r="A1636" s="4" t="s">
        <v>4006</v>
      </c>
      <c r="B1636" s="4" t="s">
        <v>3994</v>
      </c>
      <c r="C1636" s="4" t="s">
        <v>3783</v>
      </c>
      <c r="D1636" s="4" t="s">
        <v>3784</v>
      </c>
      <c r="E1636" s="4" t="s">
        <v>627</v>
      </c>
      <c r="F1636" s="4" t="s">
        <v>736</v>
      </c>
      <c r="G1636" s="4" t="s">
        <v>38</v>
      </c>
      <c r="H1636" s="4" t="s">
        <v>3676</v>
      </c>
      <c r="I1636" s="4" t="s">
        <v>4007</v>
      </c>
      <c r="J1636" s="4" t="s">
        <v>81</v>
      </c>
      <c r="K1636" s="4" t="s">
        <v>3829</v>
      </c>
      <c r="L1636" s="4" t="s">
        <v>736</v>
      </c>
      <c r="M1636" s="4" t="s">
        <v>737</v>
      </c>
      <c r="N1636" s="4" t="s">
        <v>94</v>
      </c>
      <c r="O1636" s="4" t="s">
        <v>3830</v>
      </c>
      <c r="P1636" s="4" t="s">
        <v>3629</v>
      </c>
    </row>
    <row r="1637" customFormat="false" ht="15" hidden="false" customHeight="false" outlineLevel="0" collapsed="false">
      <c r="A1637" s="4" t="s">
        <v>4008</v>
      </c>
      <c r="B1637" s="4" t="s">
        <v>3994</v>
      </c>
      <c r="C1637" s="4" t="s">
        <v>3783</v>
      </c>
      <c r="D1637" s="4" t="s">
        <v>3784</v>
      </c>
      <c r="E1637" s="4" t="s">
        <v>613</v>
      </c>
      <c r="F1637" s="4" t="s">
        <v>736</v>
      </c>
      <c r="G1637" s="4" t="s">
        <v>59</v>
      </c>
      <c r="H1637" s="4" t="s">
        <v>3625</v>
      </c>
      <c r="I1637" s="4" t="s">
        <v>4009</v>
      </c>
      <c r="J1637" s="4" t="s">
        <v>68</v>
      </c>
      <c r="K1637" s="4" t="s">
        <v>4010</v>
      </c>
      <c r="L1637" s="4" t="s">
        <v>736</v>
      </c>
      <c r="M1637" s="4" t="s">
        <v>737</v>
      </c>
      <c r="N1637" s="4" t="s">
        <v>44</v>
      </c>
      <c r="O1637" s="4" t="s">
        <v>4011</v>
      </c>
      <c r="P1637" s="4" t="s">
        <v>3629</v>
      </c>
    </row>
    <row r="1638" customFormat="false" ht="15" hidden="false" customHeight="false" outlineLevel="0" collapsed="false">
      <c r="A1638" s="4" t="s">
        <v>4012</v>
      </c>
      <c r="B1638" s="4" t="s">
        <v>3994</v>
      </c>
      <c r="C1638" s="4" t="s">
        <v>3783</v>
      </c>
      <c r="D1638" s="4" t="s">
        <v>3784</v>
      </c>
      <c r="E1638" s="4" t="s">
        <v>627</v>
      </c>
      <c r="F1638" s="4" t="s">
        <v>3710</v>
      </c>
      <c r="G1638" s="4" t="s">
        <v>59</v>
      </c>
      <c r="H1638" s="4" t="s">
        <v>3706</v>
      </c>
      <c r="I1638" s="4" t="s">
        <v>4013</v>
      </c>
      <c r="J1638" s="4" t="s">
        <v>40</v>
      </c>
      <c r="K1638" s="4" t="s">
        <v>4014</v>
      </c>
      <c r="L1638" s="4" t="s">
        <v>3406</v>
      </c>
      <c r="M1638" s="4" t="s">
        <v>737</v>
      </c>
      <c r="N1638" s="4" t="s">
        <v>44</v>
      </c>
      <c r="O1638" s="4" t="s">
        <v>4015</v>
      </c>
      <c r="P1638" s="4" t="s">
        <v>3629</v>
      </c>
    </row>
    <row r="1639" customFormat="false" ht="15" hidden="false" customHeight="false" outlineLevel="0" collapsed="false">
      <c r="A1639" s="4" t="s">
        <v>4016</v>
      </c>
      <c r="B1639" s="4" t="s">
        <v>3994</v>
      </c>
      <c r="C1639" s="4" t="s">
        <v>3783</v>
      </c>
      <c r="D1639" s="4" t="s">
        <v>3784</v>
      </c>
      <c r="E1639" s="4" t="s">
        <v>627</v>
      </c>
      <c r="F1639" s="4" t="s">
        <v>1584</v>
      </c>
      <c r="G1639" s="4" t="s">
        <v>38</v>
      </c>
      <c r="H1639" s="4" t="s">
        <v>3676</v>
      </c>
      <c r="I1639" s="4" t="s">
        <v>4017</v>
      </c>
      <c r="J1639" s="4" t="s">
        <v>81</v>
      </c>
      <c r="K1639" s="4" t="s">
        <v>2946</v>
      </c>
      <c r="L1639" s="4" t="s">
        <v>364</v>
      </c>
      <c r="M1639" s="4" t="s">
        <v>2947</v>
      </c>
      <c r="N1639" s="4" t="s">
        <v>44</v>
      </c>
      <c r="O1639" s="4" t="s">
        <v>2948</v>
      </c>
      <c r="P1639" s="4" t="s">
        <v>3629</v>
      </c>
    </row>
    <row r="1640" customFormat="false" ht="15" hidden="false" customHeight="false" outlineLevel="0" collapsed="false">
      <c r="A1640" s="4" t="s">
        <v>4018</v>
      </c>
      <c r="B1640" s="4" t="s">
        <v>4002</v>
      </c>
      <c r="C1640" s="4" t="s">
        <v>3783</v>
      </c>
      <c r="D1640" s="4" t="s">
        <v>3784</v>
      </c>
      <c r="E1640" s="4" t="s">
        <v>627</v>
      </c>
      <c r="F1640" s="4" t="s">
        <v>736</v>
      </c>
      <c r="G1640" s="4" t="s">
        <v>38</v>
      </c>
      <c r="H1640" s="4" t="s">
        <v>3706</v>
      </c>
      <c r="I1640" s="4" t="s">
        <v>3984</v>
      </c>
      <c r="J1640" s="4" t="s">
        <v>40</v>
      </c>
      <c r="K1640" s="4" t="s">
        <v>4019</v>
      </c>
      <c r="L1640" s="4" t="s">
        <v>432</v>
      </c>
      <c r="M1640" s="4" t="s">
        <v>356</v>
      </c>
      <c r="N1640" s="4" t="s">
        <v>433</v>
      </c>
      <c r="O1640" s="4"/>
      <c r="P1640" s="4" t="s">
        <v>3629</v>
      </c>
    </row>
    <row r="1641" customFormat="false" ht="15" hidden="false" customHeight="false" outlineLevel="0" collapsed="false">
      <c r="A1641" s="4" t="s">
        <v>4020</v>
      </c>
      <c r="B1641" s="4" t="s">
        <v>4021</v>
      </c>
      <c r="C1641" s="4" t="s">
        <v>3783</v>
      </c>
      <c r="D1641" s="4" t="s">
        <v>3784</v>
      </c>
      <c r="E1641" s="4" t="s">
        <v>627</v>
      </c>
      <c r="F1641" s="4" t="s">
        <v>736</v>
      </c>
      <c r="G1641" s="4" t="s">
        <v>38</v>
      </c>
      <c r="H1641" s="4" t="s">
        <v>3625</v>
      </c>
      <c r="I1641" s="4" t="s">
        <v>4022</v>
      </c>
      <c r="J1641" s="4" t="s">
        <v>68</v>
      </c>
      <c r="K1641" s="4" t="s">
        <v>4023</v>
      </c>
      <c r="L1641" s="4" t="s">
        <v>736</v>
      </c>
      <c r="M1641" s="4" t="s">
        <v>737</v>
      </c>
      <c r="N1641" s="4" t="s">
        <v>44</v>
      </c>
      <c r="O1641" s="4" t="s">
        <v>4024</v>
      </c>
      <c r="P1641" s="4" t="s">
        <v>3629</v>
      </c>
    </row>
    <row r="1642" customFormat="false" ht="15" hidden="false" customHeight="false" outlineLevel="0" collapsed="false">
      <c r="A1642" s="4" t="s">
        <v>4025</v>
      </c>
      <c r="B1642" s="4" t="s">
        <v>4021</v>
      </c>
      <c r="C1642" s="4" t="s">
        <v>3783</v>
      </c>
      <c r="D1642" s="4" t="s">
        <v>3784</v>
      </c>
      <c r="E1642" s="4" t="s">
        <v>618</v>
      </c>
      <c r="F1642" s="4" t="s">
        <v>3710</v>
      </c>
      <c r="G1642" s="4" t="s">
        <v>59</v>
      </c>
      <c r="H1642" s="4" t="s">
        <v>3676</v>
      </c>
      <c r="I1642" s="4" t="s">
        <v>4026</v>
      </c>
      <c r="J1642" s="4" t="s">
        <v>40</v>
      </c>
      <c r="K1642" s="4" t="s">
        <v>4027</v>
      </c>
      <c r="L1642" s="4" t="s">
        <v>988</v>
      </c>
      <c r="M1642" s="4" t="s">
        <v>737</v>
      </c>
      <c r="N1642" s="4" t="s">
        <v>94</v>
      </c>
      <c r="O1642" s="4" t="s">
        <v>4028</v>
      </c>
      <c r="P1642" s="4" t="s">
        <v>3629</v>
      </c>
    </row>
    <row r="1643" customFormat="false" ht="15" hidden="false" customHeight="false" outlineLevel="0" collapsed="false">
      <c r="A1643" s="4" t="s">
        <v>4029</v>
      </c>
      <c r="B1643" s="4" t="s">
        <v>4021</v>
      </c>
      <c r="C1643" s="4" t="s">
        <v>3783</v>
      </c>
      <c r="D1643" s="4" t="s">
        <v>3784</v>
      </c>
      <c r="E1643" s="4" t="s">
        <v>649</v>
      </c>
      <c r="F1643" s="4" t="s">
        <v>736</v>
      </c>
      <c r="G1643" s="4" t="s">
        <v>59</v>
      </c>
      <c r="H1643" s="4" t="s">
        <v>3676</v>
      </c>
      <c r="I1643" s="4" t="s">
        <v>4030</v>
      </c>
      <c r="J1643" s="4" t="s">
        <v>149</v>
      </c>
      <c r="K1643" s="4" t="s">
        <v>4031</v>
      </c>
      <c r="L1643" s="4" t="s">
        <v>736</v>
      </c>
      <c r="M1643" s="4" t="s">
        <v>737</v>
      </c>
      <c r="N1643" s="4" t="s">
        <v>44</v>
      </c>
      <c r="O1643" s="4" t="s">
        <v>4032</v>
      </c>
      <c r="P1643" s="4" t="s">
        <v>3629</v>
      </c>
    </row>
    <row r="1644" customFormat="false" ht="15" hidden="false" customHeight="false" outlineLevel="0" collapsed="false">
      <c r="A1644" s="4" t="s">
        <v>4033</v>
      </c>
      <c r="B1644" s="4" t="s">
        <v>4021</v>
      </c>
      <c r="C1644" s="4" t="s">
        <v>3783</v>
      </c>
      <c r="D1644" s="4" t="s">
        <v>3784</v>
      </c>
      <c r="E1644" s="4" t="s">
        <v>627</v>
      </c>
      <c r="F1644" s="4" t="s">
        <v>3635</v>
      </c>
      <c r="G1644" s="4" t="s">
        <v>38</v>
      </c>
      <c r="H1644" s="4" t="s">
        <v>3625</v>
      </c>
      <c r="I1644" s="4" t="s">
        <v>4034</v>
      </c>
      <c r="J1644" s="4" t="s">
        <v>68</v>
      </c>
      <c r="K1644" s="4" t="s">
        <v>4035</v>
      </c>
      <c r="L1644" s="4" t="s">
        <v>3406</v>
      </c>
      <c r="M1644" s="4" t="s">
        <v>737</v>
      </c>
      <c r="N1644" s="4" t="s">
        <v>44</v>
      </c>
      <c r="O1644" s="4" t="s">
        <v>4036</v>
      </c>
      <c r="P1644" s="4" t="s">
        <v>3629</v>
      </c>
    </row>
    <row r="1645" customFormat="false" ht="15" hidden="false" customHeight="false" outlineLevel="0" collapsed="false">
      <c r="A1645" s="4" t="s">
        <v>4037</v>
      </c>
      <c r="B1645" s="4" t="s">
        <v>4038</v>
      </c>
      <c r="C1645" s="4" t="s">
        <v>3783</v>
      </c>
      <c r="D1645" s="4" t="s">
        <v>3784</v>
      </c>
      <c r="E1645" s="4" t="s">
        <v>627</v>
      </c>
      <c r="F1645" s="4" t="s">
        <v>736</v>
      </c>
      <c r="G1645" s="4" t="s">
        <v>38</v>
      </c>
      <c r="H1645" s="4" t="s">
        <v>4039</v>
      </c>
      <c r="I1645" s="4" t="s">
        <v>4040</v>
      </c>
      <c r="J1645" s="4" t="s">
        <v>40</v>
      </c>
      <c r="K1645" s="4" t="s">
        <v>4041</v>
      </c>
      <c r="L1645" s="4" t="s">
        <v>736</v>
      </c>
      <c r="M1645" s="4" t="s">
        <v>1683</v>
      </c>
      <c r="N1645" s="4" t="s">
        <v>44</v>
      </c>
      <c r="O1645" s="4" t="s">
        <v>4042</v>
      </c>
      <c r="P1645" s="4" t="s">
        <v>3629</v>
      </c>
    </row>
    <row r="1646" customFormat="false" ht="15" hidden="false" customHeight="false" outlineLevel="0" collapsed="false">
      <c r="A1646" s="4" t="s">
        <v>4043</v>
      </c>
      <c r="B1646" s="4" t="s">
        <v>4038</v>
      </c>
      <c r="C1646" s="4" t="s">
        <v>4038</v>
      </c>
      <c r="D1646" s="4" t="s">
        <v>3624</v>
      </c>
      <c r="E1646" s="4" t="s">
        <v>36</v>
      </c>
      <c r="F1646" s="4" t="s">
        <v>736</v>
      </c>
      <c r="G1646" s="4" t="s">
        <v>38</v>
      </c>
      <c r="H1646" s="4" t="s">
        <v>3676</v>
      </c>
      <c r="I1646" s="4" t="s">
        <v>3716</v>
      </c>
      <c r="J1646" s="4" t="s">
        <v>149</v>
      </c>
      <c r="K1646" s="4" t="s">
        <v>4035</v>
      </c>
      <c r="L1646" s="4" t="s">
        <v>736</v>
      </c>
      <c r="M1646" s="4" t="s">
        <v>737</v>
      </c>
      <c r="N1646" s="4" t="s">
        <v>94</v>
      </c>
      <c r="O1646" s="4" t="s">
        <v>4036</v>
      </c>
      <c r="P1646" s="4" t="s">
        <v>3629</v>
      </c>
    </row>
    <row r="1647" customFormat="false" ht="15" hidden="false" customHeight="false" outlineLevel="0" collapsed="false">
      <c r="A1647" s="4" t="s">
        <v>4044</v>
      </c>
      <c r="B1647" s="4" t="s">
        <v>4045</v>
      </c>
      <c r="C1647" s="4" t="s">
        <v>3783</v>
      </c>
      <c r="D1647" s="4" t="s">
        <v>3784</v>
      </c>
      <c r="E1647" s="4" t="s">
        <v>613</v>
      </c>
      <c r="F1647" s="4" t="s">
        <v>736</v>
      </c>
      <c r="G1647" s="4" t="s">
        <v>59</v>
      </c>
      <c r="H1647" s="4" t="s">
        <v>3625</v>
      </c>
      <c r="I1647" s="4" t="s">
        <v>4046</v>
      </c>
      <c r="J1647" s="4" t="s">
        <v>40</v>
      </c>
      <c r="K1647" s="4" t="s">
        <v>3838</v>
      </c>
      <c r="L1647" s="4" t="s">
        <v>1584</v>
      </c>
      <c r="M1647" s="4" t="s">
        <v>737</v>
      </c>
      <c r="N1647" s="4" t="s">
        <v>44</v>
      </c>
      <c r="O1647" s="4" t="s">
        <v>3839</v>
      </c>
      <c r="P1647" s="4" t="s">
        <v>3629</v>
      </c>
    </row>
    <row r="1648" customFormat="false" ht="15" hidden="false" customHeight="false" outlineLevel="0" collapsed="false">
      <c r="A1648" s="4" t="s">
        <v>4047</v>
      </c>
      <c r="B1648" s="4" t="s">
        <v>4045</v>
      </c>
      <c r="C1648" s="4" t="s">
        <v>4048</v>
      </c>
      <c r="D1648" s="4" t="s">
        <v>3624</v>
      </c>
      <c r="E1648" s="4" t="s">
        <v>36</v>
      </c>
      <c r="F1648" s="4" t="s">
        <v>736</v>
      </c>
      <c r="G1648" s="4" t="s">
        <v>59</v>
      </c>
      <c r="H1648" s="4" t="s">
        <v>3706</v>
      </c>
      <c r="I1648" s="4" t="s">
        <v>3657</v>
      </c>
      <c r="J1648" s="4" t="s">
        <v>81</v>
      </c>
      <c r="K1648" s="4" t="s">
        <v>4049</v>
      </c>
      <c r="L1648" s="4" t="s">
        <v>634</v>
      </c>
      <c r="M1648" s="4" t="s">
        <v>635</v>
      </c>
      <c r="N1648" s="4" t="s">
        <v>44</v>
      </c>
      <c r="O1648" s="4" t="s">
        <v>4050</v>
      </c>
      <c r="P1648" s="4" t="s">
        <v>3629</v>
      </c>
    </row>
    <row r="1649" customFormat="false" ht="15" hidden="false" customHeight="false" outlineLevel="0" collapsed="false">
      <c r="A1649" s="4" t="s">
        <v>4051</v>
      </c>
      <c r="B1649" s="4" t="s">
        <v>4052</v>
      </c>
      <c r="C1649" s="4" t="s">
        <v>3783</v>
      </c>
      <c r="D1649" s="4" t="s">
        <v>3784</v>
      </c>
      <c r="E1649" s="4" t="s">
        <v>618</v>
      </c>
      <c r="F1649" s="4" t="s">
        <v>736</v>
      </c>
      <c r="G1649" s="4" t="s">
        <v>59</v>
      </c>
      <c r="H1649" s="4" t="s">
        <v>3706</v>
      </c>
      <c r="I1649" s="4" t="s">
        <v>4053</v>
      </c>
      <c r="J1649" s="4" t="s">
        <v>68</v>
      </c>
      <c r="K1649" s="4" t="s">
        <v>4054</v>
      </c>
      <c r="L1649" s="4" t="s">
        <v>988</v>
      </c>
      <c r="M1649" s="4" t="s">
        <v>737</v>
      </c>
      <c r="N1649" s="4" t="s">
        <v>44</v>
      </c>
      <c r="O1649" s="4" t="s">
        <v>4055</v>
      </c>
      <c r="P1649" s="4" t="s">
        <v>3629</v>
      </c>
    </row>
    <row r="1650" customFormat="false" ht="15" hidden="false" customHeight="false" outlineLevel="0" collapsed="false">
      <c r="A1650" s="4" t="s">
        <v>4056</v>
      </c>
      <c r="B1650" s="4" t="s">
        <v>4052</v>
      </c>
      <c r="C1650" s="4" t="s">
        <v>3783</v>
      </c>
      <c r="D1650" s="4" t="s">
        <v>3784</v>
      </c>
      <c r="E1650" s="4" t="s">
        <v>618</v>
      </c>
      <c r="F1650" s="4" t="s">
        <v>736</v>
      </c>
      <c r="G1650" s="4" t="s">
        <v>38</v>
      </c>
      <c r="H1650" s="4" t="s">
        <v>3625</v>
      </c>
      <c r="I1650" s="4" t="s">
        <v>4057</v>
      </c>
      <c r="J1650" s="4" t="s">
        <v>149</v>
      </c>
      <c r="K1650" s="4" t="s">
        <v>1191</v>
      </c>
      <c r="L1650" s="4" t="s">
        <v>382</v>
      </c>
      <c r="M1650" s="4" t="s">
        <v>43</v>
      </c>
      <c r="N1650" s="4" t="s">
        <v>44</v>
      </c>
      <c r="O1650" s="4" t="s">
        <v>1192</v>
      </c>
      <c r="P1650" s="4" t="s">
        <v>3629</v>
      </c>
    </row>
    <row r="1651" customFormat="false" ht="15" hidden="false" customHeight="false" outlineLevel="0" collapsed="false">
      <c r="A1651" s="4" t="s">
        <v>4058</v>
      </c>
      <c r="B1651" s="4" t="s">
        <v>4052</v>
      </c>
      <c r="C1651" s="4" t="s">
        <v>3783</v>
      </c>
      <c r="D1651" s="4" t="s">
        <v>3784</v>
      </c>
      <c r="E1651" s="4" t="s">
        <v>649</v>
      </c>
      <c r="F1651" s="4" t="s">
        <v>736</v>
      </c>
      <c r="G1651" s="4" t="s">
        <v>38</v>
      </c>
      <c r="H1651" s="4" t="s">
        <v>3625</v>
      </c>
      <c r="I1651" s="4" t="s">
        <v>3859</v>
      </c>
      <c r="J1651" s="4" t="s">
        <v>81</v>
      </c>
      <c r="K1651" s="4" t="s">
        <v>735</v>
      </c>
      <c r="L1651" s="4" t="s">
        <v>736</v>
      </c>
      <c r="M1651" s="4" t="s">
        <v>737</v>
      </c>
      <c r="N1651" s="4" t="s">
        <v>44</v>
      </c>
      <c r="O1651" s="4" t="s">
        <v>738</v>
      </c>
      <c r="P1651" s="4" t="s">
        <v>3629</v>
      </c>
    </row>
    <row r="1652" customFormat="false" ht="15" hidden="false" customHeight="false" outlineLevel="0" collapsed="false">
      <c r="A1652" s="4" t="s">
        <v>4059</v>
      </c>
      <c r="B1652" s="4" t="s">
        <v>4060</v>
      </c>
      <c r="C1652" s="4" t="s">
        <v>3783</v>
      </c>
      <c r="D1652" s="4" t="s">
        <v>3784</v>
      </c>
      <c r="E1652" s="4" t="s">
        <v>627</v>
      </c>
      <c r="F1652" s="4" t="s">
        <v>736</v>
      </c>
      <c r="G1652" s="4" t="s">
        <v>59</v>
      </c>
      <c r="H1652" s="4" t="s">
        <v>3676</v>
      </c>
      <c r="I1652" s="4" t="s">
        <v>4061</v>
      </c>
      <c r="J1652" s="4" t="s">
        <v>68</v>
      </c>
      <c r="K1652" s="4" t="s">
        <v>3788</v>
      </c>
      <c r="L1652" s="4" t="s">
        <v>736</v>
      </c>
      <c r="M1652" s="4" t="s">
        <v>1683</v>
      </c>
      <c r="N1652" s="4" t="s">
        <v>44</v>
      </c>
      <c r="O1652" s="4" t="s">
        <v>3789</v>
      </c>
      <c r="P1652" s="4" t="s">
        <v>3629</v>
      </c>
    </row>
    <row r="1653" customFormat="false" ht="15" hidden="false" customHeight="false" outlineLevel="0" collapsed="false">
      <c r="A1653" s="4" t="s">
        <v>4062</v>
      </c>
      <c r="B1653" s="4" t="s">
        <v>4063</v>
      </c>
      <c r="C1653" s="4" t="s">
        <v>3783</v>
      </c>
      <c r="D1653" s="4" t="s">
        <v>3784</v>
      </c>
      <c r="E1653" s="4" t="s">
        <v>627</v>
      </c>
      <c r="F1653" s="4" t="s">
        <v>736</v>
      </c>
      <c r="G1653" s="4" t="s">
        <v>38</v>
      </c>
      <c r="H1653" s="4" t="s">
        <v>3625</v>
      </c>
      <c r="I1653" s="4" t="s">
        <v>3797</v>
      </c>
      <c r="J1653" s="4" t="s">
        <v>68</v>
      </c>
      <c r="K1653" s="4" t="s">
        <v>4031</v>
      </c>
      <c r="L1653" s="4" t="s">
        <v>736</v>
      </c>
      <c r="M1653" s="4" t="s">
        <v>737</v>
      </c>
      <c r="N1653" s="4" t="s">
        <v>44</v>
      </c>
      <c r="O1653" s="4" t="s">
        <v>4032</v>
      </c>
      <c r="P1653" s="4" t="s">
        <v>3629</v>
      </c>
    </row>
    <row r="1654" customFormat="false" ht="15" hidden="false" customHeight="false" outlineLevel="0" collapsed="false">
      <c r="A1654" s="4" t="s">
        <v>4064</v>
      </c>
      <c r="B1654" s="4" t="s">
        <v>4065</v>
      </c>
      <c r="C1654" s="4" t="s">
        <v>4066</v>
      </c>
      <c r="D1654" s="4" t="s">
        <v>3624</v>
      </c>
      <c r="E1654" s="4" t="s">
        <v>66</v>
      </c>
      <c r="F1654" s="4" t="s">
        <v>736</v>
      </c>
      <c r="G1654" s="4" t="s">
        <v>38</v>
      </c>
      <c r="H1654" s="4" t="s">
        <v>3676</v>
      </c>
      <c r="I1654" s="4" t="s">
        <v>3669</v>
      </c>
      <c r="J1654" s="4" t="s">
        <v>68</v>
      </c>
      <c r="K1654" s="4" t="s">
        <v>3736</v>
      </c>
      <c r="L1654" s="4" t="s">
        <v>736</v>
      </c>
      <c r="M1654" s="4" t="s">
        <v>737</v>
      </c>
      <c r="N1654" s="4" t="s">
        <v>44</v>
      </c>
      <c r="O1654" s="4" t="s">
        <v>3737</v>
      </c>
      <c r="P1654" s="4" t="s">
        <v>3629</v>
      </c>
    </row>
    <row r="1655" customFormat="false" ht="15" hidden="false" customHeight="false" outlineLevel="0" collapsed="false">
      <c r="A1655" s="4" t="s">
        <v>4067</v>
      </c>
      <c r="B1655" s="4" t="s">
        <v>4065</v>
      </c>
      <c r="C1655" s="4" t="s">
        <v>4066</v>
      </c>
      <c r="D1655" s="4" t="s">
        <v>3624</v>
      </c>
      <c r="E1655" s="4" t="s">
        <v>66</v>
      </c>
      <c r="F1655" s="4" t="s">
        <v>736</v>
      </c>
      <c r="G1655" s="4" t="s">
        <v>38</v>
      </c>
      <c r="H1655" s="4" t="s">
        <v>3625</v>
      </c>
      <c r="I1655" s="4" t="s">
        <v>3669</v>
      </c>
      <c r="J1655" s="4" t="s">
        <v>149</v>
      </c>
      <c r="K1655" s="4" t="s">
        <v>2121</v>
      </c>
      <c r="L1655" s="4" t="s">
        <v>988</v>
      </c>
      <c r="M1655" s="4" t="s">
        <v>737</v>
      </c>
      <c r="N1655" s="4" t="s">
        <v>44</v>
      </c>
      <c r="O1655" s="4" t="s">
        <v>2122</v>
      </c>
      <c r="P1655" s="4" t="s">
        <v>3629</v>
      </c>
    </row>
    <row r="1656" customFormat="false" ht="15" hidden="false" customHeight="false" outlineLevel="0" collapsed="false">
      <c r="A1656" s="4" t="s">
        <v>4068</v>
      </c>
      <c r="B1656" s="4" t="s">
        <v>4069</v>
      </c>
      <c r="C1656" s="4" t="s">
        <v>4070</v>
      </c>
      <c r="D1656" s="4" t="s">
        <v>3624</v>
      </c>
      <c r="E1656" s="4" t="s">
        <v>57</v>
      </c>
      <c r="F1656" s="4" t="s">
        <v>736</v>
      </c>
      <c r="G1656" s="4" t="s">
        <v>38</v>
      </c>
      <c r="H1656" s="4" t="s">
        <v>3632</v>
      </c>
      <c r="I1656" s="4" t="s">
        <v>3651</v>
      </c>
      <c r="J1656" s="4" t="s">
        <v>68</v>
      </c>
      <c r="K1656" s="4" t="s">
        <v>4071</v>
      </c>
      <c r="L1656" s="4" t="s">
        <v>736</v>
      </c>
      <c r="M1656" s="4" t="s">
        <v>1683</v>
      </c>
      <c r="N1656" s="4" t="s">
        <v>185</v>
      </c>
      <c r="O1656" s="4" t="s">
        <v>4072</v>
      </c>
      <c r="P1656" s="4" t="s">
        <v>3629</v>
      </c>
    </row>
    <row r="1657" customFormat="false" ht="15" hidden="false" customHeight="false" outlineLevel="0" collapsed="false">
      <c r="A1657" s="4" t="s">
        <v>4073</v>
      </c>
      <c r="B1657" s="4" t="s">
        <v>4074</v>
      </c>
      <c r="C1657" s="4" t="s">
        <v>4070</v>
      </c>
      <c r="D1657" s="4" t="s">
        <v>3624</v>
      </c>
      <c r="E1657" s="4" t="s">
        <v>36</v>
      </c>
      <c r="F1657" s="4" t="s">
        <v>736</v>
      </c>
      <c r="G1657" s="4" t="s">
        <v>59</v>
      </c>
      <c r="H1657" s="4" t="s">
        <v>3625</v>
      </c>
      <c r="I1657" s="4" t="s">
        <v>3657</v>
      </c>
      <c r="J1657" s="4" t="s">
        <v>40</v>
      </c>
      <c r="K1657" s="4" t="s">
        <v>4075</v>
      </c>
      <c r="L1657" s="4" t="s">
        <v>736</v>
      </c>
      <c r="M1657" s="4" t="s">
        <v>737</v>
      </c>
      <c r="N1657" s="4" t="s">
        <v>44</v>
      </c>
      <c r="O1657" s="4" t="s">
        <v>4076</v>
      </c>
      <c r="P1657" s="4" t="s">
        <v>3629</v>
      </c>
    </row>
    <row r="1658" customFormat="false" ht="15" hidden="false" customHeight="false" outlineLevel="0" collapsed="false">
      <c r="A1658" s="4" t="s">
        <v>4077</v>
      </c>
      <c r="B1658" s="4" t="s">
        <v>4070</v>
      </c>
      <c r="C1658" s="4" t="s">
        <v>3783</v>
      </c>
      <c r="D1658" s="4" t="s">
        <v>3784</v>
      </c>
      <c r="E1658" s="4" t="s">
        <v>618</v>
      </c>
      <c r="F1658" s="4" t="s">
        <v>3635</v>
      </c>
      <c r="G1658" s="4" t="s">
        <v>59</v>
      </c>
      <c r="H1658" s="4" t="s">
        <v>3625</v>
      </c>
      <c r="I1658" s="4" t="s">
        <v>4078</v>
      </c>
      <c r="J1658" s="4" t="s">
        <v>68</v>
      </c>
      <c r="K1658" s="4" t="s">
        <v>3890</v>
      </c>
      <c r="L1658" s="4" t="s">
        <v>736</v>
      </c>
      <c r="M1658" s="4" t="s">
        <v>737</v>
      </c>
      <c r="N1658" s="4" t="s">
        <v>44</v>
      </c>
      <c r="O1658" s="4" t="s">
        <v>3891</v>
      </c>
      <c r="P1658" s="4" t="s">
        <v>3629</v>
      </c>
    </row>
    <row r="1659" customFormat="false" ht="15" hidden="false" customHeight="false" outlineLevel="0" collapsed="false">
      <c r="A1659" s="4" t="s">
        <v>4079</v>
      </c>
      <c r="B1659" s="4" t="s">
        <v>4070</v>
      </c>
      <c r="C1659" s="4" t="s">
        <v>4080</v>
      </c>
      <c r="D1659" s="4" t="s">
        <v>3624</v>
      </c>
      <c r="E1659" s="4" t="s">
        <v>36</v>
      </c>
      <c r="F1659" s="4" t="s">
        <v>736</v>
      </c>
      <c r="G1659" s="4" t="s">
        <v>38</v>
      </c>
      <c r="H1659" s="4" t="s">
        <v>3632</v>
      </c>
      <c r="I1659" s="4" t="s">
        <v>3645</v>
      </c>
      <c r="J1659" s="4" t="s">
        <v>68</v>
      </c>
      <c r="K1659" s="4" t="s">
        <v>4081</v>
      </c>
      <c r="L1659" s="4" t="s">
        <v>524</v>
      </c>
      <c r="M1659" s="4" t="s">
        <v>377</v>
      </c>
      <c r="N1659" s="4" t="s">
        <v>44</v>
      </c>
      <c r="O1659" s="4" t="s">
        <v>4082</v>
      </c>
      <c r="P1659" s="4" t="s">
        <v>3629</v>
      </c>
    </row>
    <row r="1660" customFormat="false" ht="15" hidden="false" customHeight="false" outlineLevel="0" collapsed="false">
      <c r="A1660" s="4" t="s">
        <v>4083</v>
      </c>
      <c r="B1660" s="4" t="s">
        <v>4084</v>
      </c>
      <c r="C1660" s="4" t="s">
        <v>3783</v>
      </c>
      <c r="D1660" s="4" t="s">
        <v>3784</v>
      </c>
      <c r="E1660" s="4" t="s">
        <v>618</v>
      </c>
      <c r="F1660" s="4" t="s">
        <v>736</v>
      </c>
      <c r="G1660" s="4" t="s">
        <v>38</v>
      </c>
      <c r="H1660" s="4" t="s">
        <v>3625</v>
      </c>
      <c r="I1660" s="4" t="s">
        <v>4085</v>
      </c>
      <c r="J1660" s="4" t="s">
        <v>68</v>
      </c>
      <c r="K1660" s="4" t="s">
        <v>4086</v>
      </c>
      <c r="L1660" s="4" t="s">
        <v>837</v>
      </c>
      <c r="M1660" s="4" t="s">
        <v>838</v>
      </c>
      <c r="N1660" s="4" t="s">
        <v>44</v>
      </c>
      <c r="O1660" s="4" t="s">
        <v>4087</v>
      </c>
      <c r="P1660" s="4" t="s">
        <v>3629</v>
      </c>
    </row>
    <row r="1661" customFormat="false" ht="15" hidden="false" customHeight="false" outlineLevel="0" collapsed="false">
      <c r="A1661" s="4" t="s">
        <v>4088</v>
      </c>
      <c r="B1661" s="4" t="s">
        <v>4084</v>
      </c>
      <c r="C1661" s="4" t="s">
        <v>3783</v>
      </c>
      <c r="D1661" s="4" t="s">
        <v>3784</v>
      </c>
      <c r="E1661" s="4" t="s">
        <v>627</v>
      </c>
      <c r="F1661" s="4" t="s">
        <v>736</v>
      </c>
      <c r="G1661" s="4" t="s">
        <v>38</v>
      </c>
      <c r="H1661" s="4" t="s">
        <v>3625</v>
      </c>
      <c r="I1661" s="4" t="s">
        <v>3923</v>
      </c>
      <c r="J1661" s="4" t="s">
        <v>68</v>
      </c>
      <c r="K1661" s="4" t="s">
        <v>4089</v>
      </c>
      <c r="L1661" s="4" t="s">
        <v>3398</v>
      </c>
      <c r="M1661" s="4" t="s">
        <v>365</v>
      </c>
      <c r="N1661" s="4" t="s">
        <v>44</v>
      </c>
      <c r="O1661" s="4" t="s">
        <v>4090</v>
      </c>
      <c r="P1661" s="4" t="s">
        <v>3629</v>
      </c>
    </row>
    <row r="1662" customFormat="false" ht="15" hidden="false" customHeight="false" outlineLevel="0" collapsed="false">
      <c r="A1662" s="4" t="s">
        <v>4091</v>
      </c>
      <c r="B1662" s="4" t="s">
        <v>4084</v>
      </c>
      <c r="C1662" s="4" t="s">
        <v>3783</v>
      </c>
      <c r="D1662" s="4" t="s">
        <v>3784</v>
      </c>
      <c r="E1662" s="4" t="s">
        <v>649</v>
      </c>
      <c r="F1662" s="4" t="s">
        <v>736</v>
      </c>
      <c r="G1662" s="4" t="s">
        <v>59</v>
      </c>
      <c r="H1662" s="4" t="s">
        <v>3625</v>
      </c>
      <c r="I1662" s="4" t="s">
        <v>4092</v>
      </c>
      <c r="J1662" s="4" t="s">
        <v>40</v>
      </c>
      <c r="K1662" s="4" t="s">
        <v>3693</v>
      </c>
      <c r="L1662" s="4" t="s">
        <v>736</v>
      </c>
      <c r="M1662" s="4" t="s">
        <v>737</v>
      </c>
      <c r="N1662" s="4" t="s">
        <v>94</v>
      </c>
      <c r="O1662" s="4" t="s">
        <v>3694</v>
      </c>
      <c r="P1662" s="4" t="s">
        <v>3629</v>
      </c>
    </row>
    <row r="1663" customFormat="false" ht="15" hidden="false" customHeight="false" outlineLevel="0" collapsed="false">
      <c r="A1663" s="4" t="s">
        <v>4093</v>
      </c>
      <c r="B1663" s="4" t="s">
        <v>4094</v>
      </c>
      <c r="C1663" s="4" t="s">
        <v>3783</v>
      </c>
      <c r="D1663" s="4" t="s">
        <v>3784</v>
      </c>
      <c r="E1663" s="4" t="s">
        <v>613</v>
      </c>
      <c r="F1663" s="4" t="s">
        <v>3710</v>
      </c>
      <c r="G1663" s="4" t="s">
        <v>326</v>
      </c>
      <c r="H1663" s="4" t="s">
        <v>3625</v>
      </c>
      <c r="I1663" s="4" t="s">
        <v>4095</v>
      </c>
      <c r="J1663" s="4" t="s">
        <v>81</v>
      </c>
      <c r="K1663" s="4" t="s">
        <v>3662</v>
      </c>
      <c r="L1663" s="4" t="s">
        <v>736</v>
      </c>
      <c r="M1663" s="4" t="s">
        <v>737</v>
      </c>
      <c r="N1663" s="4" t="s">
        <v>94</v>
      </c>
      <c r="O1663" s="4" t="s">
        <v>3663</v>
      </c>
      <c r="P1663" s="4" t="s">
        <v>3629</v>
      </c>
    </row>
    <row r="1664" customFormat="false" ht="15" hidden="false" customHeight="false" outlineLevel="0" collapsed="false">
      <c r="A1664" s="4" t="s">
        <v>4096</v>
      </c>
      <c r="B1664" s="4" t="s">
        <v>4097</v>
      </c>
      <c r="C1664" s="4" t="s">
        <v>3783</v>
      </c>
      <c r="D1664" s="4" t="s">
        <v>3784</v>
      </c>
      <c r="E1664" s="4" t="s">
        <v>649</v>
      </c>
      <c r="F1664" s="4" t="s">
        <v>736</v>
      </c>
      <c r="G1664" s="4" t="s">
        <v>59</v>
      </c>
      <c r="H1664" s="4" t="s">
        <v>3676</v>
      </c>
      <c r="I1664" s="4" t="s">
        <v>4098</v>
      </c>
      <c r="J1664" s="4" t="s">
        <v>68</v>
      </c>
      <c r="K1664" s="4" t="s">
        <v>250</v>
      </c>
      <c r="L1664" s="4" t="s">
        <v>37</v>
      </c>
      <c r="M1664" s="4" t="s">
        <v>43</v>
      </c>
      <c r="N1664" s="4" t="s">
        <v>44</v>
      </c>
      <c r="O1664" s="4" t="s">
        <v>251</v>
      </c>
      <c r="P1664" s="4" t="s">
        <v>3629</v>
      </c>
    </row>
    <row r="1665" customFormat="false" ht="15" hidden="false" customHeight="false" outlineLevel="0" collapsed="false">
      <c r="A1665" s="4" t="s">
        <v>4099</v>
      </c>
      <c r="B1665" s="4" t="s">
        <v>4097</v>
      </c>
      <c r="C1665" s="4" t="s">
        <v>3783</v>
      </c>
      <c r="D1665" s="4" t="s">
        <v>3784</v>
      </c>
      <c r="E1665" s="4" t="s">
        <v>627</v>
      </c>
      <c r="F1665" s="4" t="s">
        <v>736</v>
      </c>
      <c r="G1665" s="4" t="s">
        <v>59</v>
      </c>
      <c r="H1665" s="4" t="s">
        <v>3676</v>
      </c>
      <c r="I1665" s="4" t="s">
        <v>4078</v>
      </c>
      <c r="J1665" s="4" t="s">
        <v>81</v>
      </c>
      <c r="K1665" s="4" t="s">
        <v>3711</v>
      </c>
      <c r="L1665" s="4" t="s">
        <v>3635</v>
      </c>
      <c r="M1665" s="4" t="s">
        <v>737</v>
      </c>
      <c r="N1665" s="4" t="s">
        <v>44</v>
      </c>
      <c r="O1665" s="4" t="s">
        <v>3712</v>
      </c>
      <c r="P1665" s="4" t="s">
        <v>3629</v>
      </c>
    </row>
    <row r="1666" customFormat="false" ht="15" hidden="false" customHeight="false" outlineLevel="0" collapsed="false">
      <c r="A1666" s="4" t="s">
        <v>4100</v>
      </c>
      <c r="B1666" s="4" t="s">
        <v>4097</v>
      </c>
      <c r="C1666" s="4" t="s">
        <v>3783</v>
      </c>
      <c r="D1666" s="4" t="s">
        <v>3784</v>
      </c>
      <c r="E1666" s="4" t="s">
        <v>627</v>
      </c>
      <c r="F1666" s="4" t="s">
        <v>736</v>
      </c>
      <c r="G1666" s="4" t="s">
        <v>38</v>
      </c>
      <c r="H1666" s="4" t="s">
        <v>3706</v>
      </c>
      <c r="I1666" s="4" t="s">
        <v>4101</v>
      </c>
      <c r="J1666" s="4" t="s">
        <v>68</v>
      </c>
      <c r="K1666" s="4" t="s">
        <v>4102</v>
      </c>
      <c r="L1666" s="4" t="s">
        <v>3635</v>
      </c>
      <c r="M1666" s="4" t="s">
        <v>737</v>
      </c>
      <c r="N1666" s="4" t="s">
        <v>44</v>
      </c>
      <c r="O1666" s="4" t="s">
        <v>4103</v>
      </c>
      <c r="P1666" s="4" t="s">
        <v>3629</v>
      </c>
    </row>
    <row r="1667" customFormat="false" ht="15" hidden="false" customHeight="false" outlineLevel="0" collapsed="false">
      <c r="A1667" s="4" t="s">
        <v>4104</v>
      </c>
      <c r="B1667" s="4" t="s">
        <v>4105</v>
      </c>
      <c r="C1667" s="4" t="s">
        <v>3783</v>
      </c>
      <c r="D1667" s="4" t="s">
        <v>3784</v>
      </c>
      <c r="E1667" s="4" t="s">
        <v>649</v>
      </c>
      <c r="F1667" s="4" t="s">
        <v>736</v>
      </c>
      <c r="G1667" s="4" t="s">
        <v>59</v>
      </c>
      <c r="H1667" s="4" t="s">
        <v>3706</v>
      </c>
      <c r="I1667" s="4" t="s">
        <v>4026</v>
      </c>
      <c r="J1667" s="4" t="s">
        <v>68</v>
      </c>
      <c r="K1667" s="4" t="s">
        <v>4106</v>
      </c>
      <c r="L1667" s="4" t="s">
        <v>455</v>
      </c>
      <c r="M1667" s="4" t="s">
        <v>456</v>
      </c>
      <c r="N1667" s="4" t="s">
        <v>44</v>
      </c>
      <c r="O1667" s="4" t="s">
        <v>4107</v>
      </c>
      <c r="P1667" s="4" t="s">
        <v>3629</v>
      </c>
    </row>
    <row r="1668" customFormat="false" ht="15" hidden="false" customHeight="false" outlineLevel="0" collapsed="false">
      <c r="A1668" s="4" t="s">
        <v>4108</v>
      </c>
      <c r="B1668" s="4" t="s">
        <v>4109</v>
      </c>
      <c r="C1668" s="4" t="s">
        <v>3783</v>
      </c>
      <c r="D1668" s="4" t="s">
        <v>3784</v>
      </c>
      <c r="E1668" s="4" t="s">
        <v>618</v>
      </c>
      <c r="F1668" s="4" t="s">
        <v>736</v>
      </c>
      <c r="G1668" s="4" t="s">
        <v>59</v>
      </c>
      <c r="H1668" s="4" t="s">
        <v>3676</v>
      </c>
      <c r="I1668" s="4" t="s">
        <v>4110</v>
      </c>
      <c r="J1668" s="4" t="s">
        <v>40</v>
      </c>
      <c r="K1668" s="4" t="s">
        <v>232</v>
      </c>
      <c r="L1668" s="4" t="s">
        <v>42</v>
      </c>
      <c r="M1668" s="4" t="s">
        <v>43</v>
      </c>
      <c r="N1668" s="4" t="s">
        <v>185</v>
      </c>
      <c r="O1668" s="4" t="s">
        <v>233</v>
      </c>
      <c r="P1668" s="4" t="s">
        <v>3629</v>
      </c>
    </row>
    <row r="1669" customFormat="false" ht="15" hidden="false" customHeight="false" outlineLevel="0" collapsed="false">
      <c r="A1669" s="4" t="s">
        <v>4111</v>
      </c>
      <c r="B1669" s="4" t="s">
        <v>4109</v>
      </c>
      <c r="C1669" s="4" t="s">
        <v>3783</v>
      </c>
      <c r="D1669" s="4" t="s">
        <v>3784</v>
      </c>
      <c r="E1669" s="4" t="s">
        <v>627</v>
      </c>
      <c r="F1669" s="4" t="s">
        <v>736</v>
      </c>
      <c r="G1669" s="4" t="s">
        <v>59</v>
      </c>
      <c r="H1669" s="4" t="s">
        <v>3676</v>
      </c>
      <c r="I1669" s="4" t="s">
        <v>4112</v>
      </c>
      <c r="J1669" s="4" t="s">
        <v>81</v>
      </c>
      <c r="K1669" s="4" t="s">
        <v>4113</v>
      </c>
      <c r="L1669" s="4" t="s">
        <v>3904</v>
      </c>
      <c r="M1669" s="4" t="s">
        <v>737</v>
      </c>
      <c r="N1669" s="4" t="s">
        <v>44</v>
      </c>
      <c r="O1669" s="4" t="s">
        <v>4114</v>
      </c>
      <c r="P1669" s="4" t="s">
        <v>3629</v>
      </c>
    </row>
    <row r="1670" customFormat="false" ht="15" hidden="false" customHeight="false" outlineLevel="0" collapsed="false">
      <c r="A1670" s="4" t="s">
        <v>4115</v>
      </c>
      <c r="B1670" s="4" t="s">
        <v>4109</v>
      </c>
      <c r="C1670" s="4" t="s">
        <v>3783</v>
      </c>
      <c r="D1670" s="4" t="s">
        <v>3784</v>
      </c>
      <c r="E1670" s="4" t="s">
        <v>613</v>
      </c>
      <c r="F1670" s="4" t="s">
        <v>736</v>
      </c>
      <c r="G1670" s="4" t="s">
        <v>38</v>
      </c>
      <c r="H1670" s="4" t="s">
        <v>3625</v>
      </c>
      <c r="I1670" s="4" t="s">
        <v>4116</v>
      </c>
      <c r="J1670" s="4" t="s">
        <v>68</v>
      </c>
      <c r="K1670" s="4" t="s">
        <v>4117</v>
      </c>
      <c r="L1670" s="4" t="s">
        <v>2146</v>
      </c>
      <c r="M1670" s="4" t="s">
        <v>737</v>
      </c>
      <c r="N1670" s="4" t="s">
        <v>44</v>
      </c>
      <c r="O1670" s="4" t="s">
        <v>4118</v>
      </c>
      <c r="P1670" s="4" t="s">
        <v>3629</v>
      </c>
    </row>
    <row r="1671" customFormat="false" ht="15" hidden="false" customHeight="false" outlineLevel="0" collapsed="false">
      <c r="A1671" s="4" t="s">
        <v>4119</v>
      </c>
      <c r="B1671" s="4" t="s">
        <v>4109</v>
      </c>
      <c r="C1671" s="4" t="s">
        <v>3783</v>
      </c>
      <c r="D1671" s="4" t="s">
        <v>3784</v>
      </c>
      <c r="E1671" s="4" t="s">
        <v>649</v>
      </c>
      <c r="F1671" s="4" t="s">
        <v>736</v>
      </c>
      <c r="G1671" s="4" t="s">
        <v>326</v>
      </c>
      <c r="H1671" s="4" t="s">
        <v>3632</v>
      </c>
      <c r="I1671" s="4" t="s">
        <v>4120</v>
      </c>
      <c r="J1671" s="4" t="s">
        <v>68</v>
      </c>
      <c r="K1671" s="4" t="s">
        <v>4121</v>
      </c>
      <c r="L1671" s="4" t="s">
        <v>382</v>
      </c>
      <c r="M1671" s="4" t="s">
        <v>43</v>
      </c>
      <c r="N1671" s="4" t="s">
        <v>44</v>
      </c>
      <c r="O1671" s="4" t="s">
        <v>4122</v>
      </c>
      <c r="P1671" s="4" t="s">
        <v>3629</v>
      </c>
    </row>
    <row r="1672" customFormat="false" ht="15" hidden="false" customHeight="false" outlineLevel="0" collapsed="false">
      <c r="A1672" s="4" t="s">
        <v>4123</v>
      </c>
      <c r="B1672" s="4" t="s">
        <v>4124</v>
      </c>
      <c r="C1672" s="4" t="s">
        <v>3783</v>
      </c>
      <c r="D1672" s="4" t="s">
        <v>3784</v>
      </c>
      <c r="E1672" s="4" t="s">
        <v>627</v>
      </c>
      <c r="F1672" s="4" t="s">
        <v>736</v>
      </c>
      <c r="G1672" s="4" t="s">
        <v>59</v>
      </c>
      <c r="H1672" s="4" t="s">
        <v>3676</v>
      </c>
      <c r="I1672" s="4" t="s">
        <v>3930</v>
      </c>
      <c r="J1672" s="4" t="s">
        <v>40</v>
      </c>
      <c r="K1672" s="4" t="s">
        <v>3717</v>
      </c>
      <c r="L1672" s="4" t="s">
        <v>736</v>
      </c>
      <c r="M1672" s="4" t="s">
        <v>737</v>
      </c>
      <c r="N1672" s="4" t="s">
        <v>44</v>
      </c>
      <c r="O1672" s="4" t="s">
        <v>3718</v>
      </c>
      <c r="P1672" s="4" t="s">
        <v>3629</v>
      </c>
    </row>
    <row r="1673" customFormat="false" ht="15" hidden="false" customHeight="false" outlineLevel="0" collapsed="false">
      <c r="A1673" s="4" t="s">
        <v>4125</v>
      </c>
      <c r="B1673" s="4" t="s">
        <v>4126</v>
      </c>
      <c r="C1673" s="4" t="s">
        <v>3783</v>
      </c>
      <c r="D1673" s="4" t="s">
        <v>3784</v>
      </c>
      <c r="E1673" s="4" t="s">
        <v>627</v>
      </c>
      <c r="F1673" s="4" t="s">
        <v>736</v>
      </c>
      <c r="G1673" s="4" t="s">
        <v>38</v>
      </c>
      <c r="H1673" s="4" t="s">
        <v>3625</v>
      </c>
      <c r="I1673" s="4" t="s">
        <v>4127</v>
      </c>
      <c r="J1673" s="4" t="s">
        <v>40</v>
      </c>
      <c r="K1673" s="4" t="s">
        <v>3802</v>
      </c>
      <c r="L1673" s="4" t="s">
        <v>736</v>
      </c>
      <c r="M1673" s="4" t="s">
        <v>737</v>
      </c>
      <c r="N1673" s="4" t="s">
        <v>52</v>
      </c>
      <c r="O1673" s="4" t="s">
        <v>3803</v>
      </c>
      <c r="P1673" s="4" t="s">
        <v>3629</v>
      </c>
    </row>
    <row r="1674" customFormat="false" ht="15" hidden="false" customHeight="false" outlineLevel="0" collapsed="false">
      <c r="A1674" s="4" t="s">
        <v>4128</v>
      </c>
      <c r="B1674" s="4" t="s">
        <v>4129</v>
      </c>
      <c r="C1674" s="4" t="s">
        <v>3783</v>
      </c>
      <c r="D1674" s="4" t="s">
        <v>3784</v>
      </c>
      <c r="E1674" s="4" t="s">
        <v>627</v>
      </c>
      <c r="F1674" s="4" t="s">
        <v>736</v>
      </c>
      <c r="G1674" s="4" t="s">
        <v>59</v>
      </c>
      <c r="H1674" s="4" t="s">
        <v>3676</v>
      </c>
      <c r="I1674" s="4" t="s">
        <v>4130</v>
      </c>
      <c r="J1674" s="4" t="s">
        <v>40</v>
      </c>
      <c r="K1674" s="4" t="s">
        <v>4131</v>
      </c>
      <c r="L1674" s="4" t="s">
        <v>736</v>
      </c>
      <c r="M1674" s="4" t="s">
        <v>737</v>
      </c>
      <c r="N1674" s="4" t="s">
        <v>44</v>
      </c>
      <c r="O1674" s="4" t="s">
        <v>4132</v>
      </c>
      <c r="P1674" s="4" t="s">
        <v>3629</v>
      </c>
    </row>
    <row r="1675" customFormat="false" ht="15" hidden="false" customHeight="false" outlineLevel="0" collapsed="false">
      <c r="A1675" s="4" t="s">
        <v>4133</v>
      </c>
      <c r="B1675" s="4" t="s">
        <v>4129</v>
      </c>
      <c r="C1675" s="4" t="s">
        <v>3783</v>
      </c>
      <c r="D1675" s="4" t="s">
        <v>3784</v>
      </c>
      <c r="E1675" s="4" t="s">
        <v>613</v>
      </c>
      <c r="F1675" s="4" t="s">
        <v>736</v>
      </c>
      <c r="G1675" s="4" t="s">
        <v>59</v>
      </c>
      <c r="H1675" s="4" t="s">
        <v>3676</v>
      </c>
      <c r="I1675" s="4" t="s">
        <v>4134</v>
      </c>
      <c r="J1675" s="4" t="s">
        <v>149</v>
      </c>
      <c r="K1675" s="4" t="s">
        <v>3845</v>
      </c>
      <c r="L1675" s="4" t="s">
        <v>736</v>
      </c>
      <c r="M1675" s="4" t="s">
        <v>737</v>
      </c>
      <c r="N1675" s="4" t="s">
        <v>44</v>
      </c>
      <c r="O1675" s="4" t="s">
        <v>3846</v>
      </c>
      <c r="P1675" s="4" t="s">
        <v>3629</v>
      </c>
    </row>
    <row r="1676" customFormat="false" ht="15" hidden="false" customHeight="false" outlineLevel="0" collapsed="false">
      <c r="A1676" s="4" t="s">
        <v>4135</v>
      </c>
      <c r="B1676" s="4" t="s">
        <v>4136</v>
      </c>
      <c r="C1676" s="4" t="s">
        <v>4137</v>
      </c>
      <c r="D1676" s="4" t="s">
        <v>3624</v>
      </c>
      <c r="E1676" s="4" t="s">
        <v>36</v>
      </c>
      <c r="F1676" s="4" t="s">
        <v>736</v>
      </c>
      <c r="G1676" s="4" t="s">
        <v>38</v>
      </c>
      <c r="H1676" s="4" t="s">
        <v>3625</v>
      </c>
      <c r="I1676" s="4" t="s">
        <v>3669</v>
      </c>
      <c r="J1676" s="4" t="s">
        <v>68</v>
      </c>
      <c r="K1676" s="4" t="s">
        <v>4138</v>
      </c>
      <c r="L1676" s="4" t="s">
        <v>736</v>
      </c>
      <c r="M1676" s="4" t="s">
        <v>737</v>
      </c>
      <c r="N1676" s="4" t="s">
        <v>44</v>
      </c>
      <c r="O1676" s="4" t="s">
        <v>4139</v>
      </c>
      <c r="P1676" s="4" t="s">
        <v>3629</v>
      </c>
    </row>
    <row r="1677" customFormat="false" ht="15" hidden="false" customHeight="false" outlineLevel="0" collapsed="false">
      <c r="A1677" s="4" t="s">
        <v>4140</v>
      </c>
      <c r="B1677" s="4" t="s">
        <v>4137</v>
      </c>
      <c r="C1677" s="4" t="s">
        <v>3783</v>
      </c>
      <c r="D1677" s="4" t="s">
        <v>3784</v>
      </c>
      <c r="E1677" s="4" t="s">
        <v>627</v>
      </c>
      <c r="F1677" s="4" t="s">
        <v>736</v>
      </c>
      <c r="G1677" s="4" t="s">
        <v>38</v>
      </c>
      <c r="H1677" s="4" t="s">
        <v>3625</v>
      </c>
      <c r="I1677" s="4" t="s">
        <v>4141</v>
      </c>
      <c r="J1677" s="4" t="s">
        <v>40</v>
      </c>
      <c r="K1677" s="4" t="s">
        <v>3815</v>
      </c>
      <c r="L1677" s="4" t="s">
        <v>736</v>
      </c>
      <c r="M1677" s="4" t="s">
        <v>737</v>
      </c>
      <c r="N1677" s="4" t="s">
        <v>44</v>
      </c>
      <c r="O1677" s="4" t="s">
        <v>3816</v>
      </c>
      <c r="P1677" s="4" t="s">
        <v>3629</v>
      </c>
    </row>
    <row r="1678" customFormat="false" ht="15" hidden="false" customHeight="false" outlineLevel="0" collapsed="false">
      <c r="A1678" s="4" t="s">
        <v>4142</v>
      </c>
      <c r="B1678" s="4" t="s">
        <v>4143</v>
      </c>
      <c r="C1678" s="4" t="s">
        <v>3783</v>
      </c>
      <c r="D1678" s="4" t="s">
        <v>3784</v>
      </c>
      <c r="E1678" s="4" t="s">
        <v>627</v>
      </c>
      <c r="F1678" s="4" t="s">
        <v>3635</v>
      </c>
      <c r="G1678" s="4" t="s">
        <v>326</v>
      </c>
      <c r="H1678" s="4" t="s">
        <v>3706</v>
      </c>
      <c r="I1678" s="4" t="s">
        <v>4144</v>
      </c>
      <c r="J1678" s="4" t="s">
        <v>40</v>
      </c>
      <c r="K1678" s="4" t="s">
        <v>3931</v>
      </c>
      <c r="L1678" s="4" t="s">
        <v>736</v>
      </c>
      <c r="M1678" s="4" t="s">
        <v>737</v>
      </c>
      <c r="N1678" s="4" t="s">
        <v>44</v>
      </c>
      <c r="O1678" s="4" t="s">
        <v>3932</v>
      </c>
      <c r="P1678" s="4" t="s">
        <v>3629</v>
      </c>
    </row>
    <row r="1679" customFormat="false" ht="15" hidden="false" customHeight="false" outlineLevel="0" collapsed="false">
      <c r="A1679" s="4" t="s">
        <v>4145</v>
      </c>
      <c r="B1679" s="4" t="s">
        <v>4146</v>
      </c>
      <c r="C1679" s="4" t="s">
        <v>3783</v>
      </c>
      <c r="D1679" s="4" t="s">
        <v>3784</v>
      </c>
      <c r="E1679" s="4" t="s">
        <v>627</v>
      </c>
      <c r="F1679" s="4" t="s">
        <v>736</v>
      </c>
      <c r="G1679" s="4" t="s">
        <v>59</v>
      </c>
      <c r="H1679" s="4" t="s">
        <v>3625</v>
      </c>
      <c r="I1679" s="4" t="s">
        <v>3833</v>
      </c>
      <c r="J1679" s="4" t="s">
        <v>68</v>
      </c>
      <c r="K1679" s="4" t="s">
        <v>4147</v>
      </c>
      <c r="L1679" s="4" t="s">
        <v>1584</v>
      </c>
      <c r="M1679" s="4" t="s">
        <v>737</v>
      </c>
      <c r="N1679" s="4" t="s">
        <v>44</v>
      </c>
      <c r="O1679" s="4" t="s">
        <v>4148</v>
      </c>
      <c r="P1679" s="4" t="s">
        <v>3629</v>
      </c>
    </row>
    <row r="1680" customFormat="false" ht="15" hidden="false" customHeight="false" outlineLevel="0" collapsed="false">
      <c r="A1680" s="4" t="s">
        <v>4149</v>
      </c>
      <c r="B1680" s="4" t="s">
        <v>4150</v>
      </c>
      <c r="C1680" s="4" t="s">
        <v>3783</v>
      </c>
      <c r="D1680" s="4" t="s">
        <v>3784</v>
      </c>
      <c r="E1680" s="4" t="s">
        <v>627</v>
      </c>
      <c r="F1680" s="4" t="s">
        <v>1584</v>
      </c>
      <c r="G1680" s="4" t="s">
        <v>59</v>
      </c>
      <c r="H1680" s="4" t="s">
        <v>3625</v>
      </c>
      <c r="I1680" s="4" t="s">
        <v>4030</v>
      </c>
      <c r="J1680" s="4" t="s">
        <v>40</v>
      </c>
      <c r="K1680" s="4" t="s">
        <v>3326</v>
      </c>
      <c r="L1680" s="4" t="s">
        <v>736</v>
      </c>
      <c r="M1680" s="4" t="s">
        <v>737</v>
      </c>
      <c r="N1680" s="4" t="s">
        <v>44</v>
      </c>
      <c r="O1680" s="4" t="s">
        <v>3327</v>
      </c>
      <c r="P1680" s="4" t="s">
        <v>3629</v>
      </c>
    </row>
    <row r="1681" customFormat="false" ht="15" hidden="false" customHeight="false" outlineLevel="0" collapsed="false">
      <c r="A1681" s="4" t="s">
        <v>4151</v>
      </c>
      <c r="B1681" s="4" t="s">
        <v>4152</v>
      </c>
      <c r="C1681" s="4" t="s">
        <v>3783</v>
      </c>
      <c r="D1681" s="4" t="s">
        <v>3784</v>
      </c>
      <c r="E1681" s="4" t="s">
        <v>649</v>
      </c>
      <c r="F1681" s="4" t="s">
        <v>736</v>
      </c>
      <c r="G1681" s="4" t="s">
        <v>38</v>
      </c>
      <c r="H1681" s="4" t="s">
        <v>3625</v>
      </c>
      <c r="I1681" s="4" t="s">
        <v>4040</v>
      </c>
      <c r="J1681" s="4" t="s">
        <v>40</v>
      </c>
      <c r="K1681" s="4" t="s">
        <v>4153</v>
      </c>
      <c r="L1681" s="4" t="s">
        <v>1682</v>
      </c>
      <c r="M1681" s="4" t="s">
        <v>1683</v>
      </c>
      <c r="N1681" s="4" t="s">
        <v>44</v>
      </c>
      <c r="O1681" s="4" t="s">
        <v>4154</v>
      </c>
      <c r="P1681" s="4" t="s">
        <v>3629</v>
      </c>
    </row>
    <row r="1682" customFormat="false" ht="15" hidden="false" customHeight="false" outlineLevel="0" collapsed="false">
      <c r="A1682" s="4" t="s">
        <v>4155</v>
      </c>
      <c r="B1682" s="4" t="s">
        <v>4152</v>
      </c>
      <c r="C1682" s="4" t="s">
        <v>3783</v>
      </c>
      <c r="D1682" s="4" t="s">
        <v>3784</v>
      </c>
      <c r="E1682" s="4" t="s">
        <v>627</v>
      </c>
      <c r="F1682" s="4" t="s">
        <v>3406</v>
      </c>
      <c r="G1682" s="4" t="s">
        <v>59</v>
      </c>
      <c r="H1682" s="4" t="s">
        <v>3706</v>
      </c>
      <c r="I1682" s="4" t="s">
        <v>4156</v>
      </c>
      <c r="J1682" s="4" t="s">
        <v>68</v>
      </c>
      <c r="K1682" s="4" t="s">
        <v>3731</v>
      </c>
      <c r="L1682" s="4" t="s">
        <v>736</v>
      </c>
      <c r="M1682" s="4" t="s">
        <v>737</v>
      </c>
      <c r="N1682" s="4" t="s">
        <v>44</v>
      </c>
      <c r="O1682" s="4" t="s">
        <v>3732</v>
      </c>
      <c r="P1682" s="4" t="s">
        <v>3629</v>
      </c>
    </row>
    <row r="1683" customFormat="false" ht="15" hidden="false" customHeight="false" outlineLevel="0" collapsed="false">
      <c r="A1683" s="4" t="s">
        <v>4157</v>
      </c>
      <c r="B1683" s="4" t="s">
        <v>4152</v>
      </c>
      <c r="C1683" s="4" t="s">
        <v>3783</v>
      </c>
      <c r="D1683" s="4" t="s">
        <v>3784</v>
      </c>
      <c r="E1683" s="4" t="s">
        <v>627</v>
      </c>
      <c r="F1683" s="4" t="s">
        <v>3710</v>
      </c>
      <c r="G1683" s="4" t="s">
        <v>59</v>
      </c>
      <c r="H1683" s="4" t="s">
        <v>3632</v>
      </c>
      <c r="I1683" s="4" t="s">
        <v>4158</v>
      </c>
      <c r="J1683" s="4" t="s">
        <v>68</v>
      </c>
      <c r="K1683" s="4" t="s">
        <v>4159</v>
      </c>
      <c r="L1683" s="4" t="s">
        <v>736</v>
      </c>
      <c r="M1683" s="4" t="s">
        <v>737</v>
      </c>
      <c r="N1683" s="4" t="s">
        <v>44</v>
      </c>
      <c r="O1683" s="4" t="s">
        <v>4160</v>
      </c>
      <c r="P1683" s="4" t="s">
        <v>3629</v>
      </c>
    </row>
    <row r="1684" customFormat="false" ht="15" hidden="false" customHeight="false" outlineLevel="0" collapsed="false">
      <c r="A1684" s="4" t="s">
        <v>4161</v>
      </c>
      <c r="B1684" s="4" t="s">
        <v>4162</v>
      </c>
      <c r="C1684" s="4" t="s">
        <v>3783</v>
      </c>
      <c r="D1684" s="4" t="s">
        <v>3784</v>
      </c>
      <c r="E1684" s="4" t="s">
        <v>627</v>
      </c>
      <c r="F1684" s="4" t="s">
        <v>736</v>
      </c>
      <c r="G1684" s="4" t="s">
        <v>38</v>
      </c>
      <c r="H1684" s="4" t="s">
        <v>3625</v>
      </c>
      <c r="I1684" s="4" t="s">
        <v>4163</v>
      </c>
      <c r="J1684" s="4" t="s">
        <v>40</v>
      </c>
      <c r="K1684" s="4" t="s">
        <v>861</v>
      </c>
      <c r="L1684" s="4" t="s">
        <v>3991</v>
      </c>
      <c r="M1684" s="4" t="s">
        <v>356</v>
      </c>
      <c r="N1684" s="4" t="s">
        <v>863</v>
      </c>
      <c r="O1684" s="4"/>
      <c r="P1684" s="4" t="s">
        <v>3629</v>
      </c>
    </row>
    <row r="1685" customFormat="false" ht="15" hidden="false" customHeight="false" outlineLevel="0" collapsed="false">
      <c r="A1685" s="4" t="s">
        <v>4164</v>
      </c>
      <c r="B1685" s="4" t="s">
        <v>4165</v>
      </c>
      <c r="C1685" s="4" t="s">
        <v>3783</v>
      </c>
      <c r="D1685" s="4" t="s">
        <v>3784</v>
      </c>
      <c r="E1685" s="4" t="s">
        <v>761</v>
      </c>
      <c r="F1685" s="4" t="s">
        <v>736</v>
      </c>
      <c r="G1685" s="4" t="s">
        <v>38</v>
      </c>
      <c r="H1685" s="4" t="s">
        <v>3676</v>
      </c>
      <c r="I1685" s="4" t="s">
        <v>3837</v>
      </c>
      <c r="J1685" s="4" t="s">
        <v>40</v>
      </c>
      <c r="K1685" s="4" t="s">
        <v>4166</v>
      </c>
      <c r="L1685" s="4" t="s">
        <v>706</v>
      </c>
      <c r="M1685" s="4" t="s">
        <v>412</v>
      </c>
      <c r="N1685" s="4" t="s">
        <v>44</v>
      </c>
      <c r="O1685" s="4" t="s">
        <v>4167</v>
      </c>
      <c r="P1685" s="4" t="s">
        <v>3629</v>
      </c>
    </row>
    <row r="1686" customFormat="false" ht="15" hidden="false" customHeight="false" outlineLevel="0" collapsed="false">
      <c r="A1686" s="4" t="s">
        <v>4168</v>
      </c>
      <c r="B1686" s="4" t="s">
        <v>4165</v>
      </c>
      <c r="C1686" s="4" t="s">
        <v>3783</v>
      </c>
      <c r="D1686" s="4" t="s">
        <v>3784</v>
      </c>
      <c r="E1686" s="4" t="s">
        <v>627</v>
      </c>
      <c r="F1686" s="4" t="s">
        <v>3710</v>
      </c>
      <c r="G1686" s="4" t="s">
        <v>38</v>
      </c>
      <c r="H1686" s="4" t="s">
        <v>3632</v>
      </c>
      <c r="I1686" s="4" t="s">
        <v>4163</v>
      </c>
      <c r="J1686" s="4" t="s">
        <v>81</v>
      </c>
      <c r="K1686" s="4" t="s">
        <v>4138</v>
      </c>
      <c r="L1686" s="4" t="s">
        <v>736</v>
      </c>
      <c r="M1686" s="4" t="s">
        <v>737</v>
      </c>
      <c r="N1686" s="4" t="s">
        <v>185</v>
      </c>
      <c r="O1686" s="4" t="s">
        <v>4139</v>
      </c>
      <c r="P1686" s="4" t="s">
        <v>3629</v>
      </c>
    </row>
    <row r="1687" customFormat="false" ht="15" hidden="false" customHeight="false" outlineLevel="0" collapsed="false">
      <c r="A1687" s="4" t="s">
        <v>4169</v>
      </c>
      <c r="B1687" s="4" t="s">
        <v>4170</v>
      </c>
      <c r="C1687" s="4" t="s">
        <v>3783</v>
      </c>
      <c r="D1687" s="4" t="s">
        <v>3784</v>
      </c>
      <c r="E1687" s="4" t="s">
        <v>627</v>
      </c>
      <c r="F1687" s="4" t="s">
        <v>736</v>
      </c>
      <c r="G1687" s="4" t="s">
        <v>59</v>
      </c>
      <c r="H1687" s="4" t="s">
        <v>3676</v>
      </c>
      <c r="I1687" s="4" t="s">
        <v>4171</v>
      </c>
      <c r="J1687" s="4" t="s">
        <v>68</v>
      </c>
      <c r="K1687" s="4" t="s">
        <v>675</v>
      </c>
      <c r="L1687" s="4" t="s">
        <v>571</v>
      </c>
      <c r="M1687" s="4" t="s">
        <v>356</v>
      </c>
      <c r="N1687" s="4" t="s">
        <v>357</v>
      </c>
      <c r="O1687" s="4"/>
      <c r="P1687" s="4" t="s">
        <v>3629</v>
      </c>
    </row>
    <row r="1688" customFormat="false" ht="15" hidden="false" customHeight="false" outlineLevel="0" collapsed="false">
      <c r="A1688" s="4" t="s">
        <v>4172</v>
      </c>
      <c r="B1688" s="4" t="s">
        <v>4173</v>
      </c>
      <c r="C1688" s="4" t="s">
        <v>3783</v>
      </c>
      <c r="D1688" s="4" t="s">
        <v>3784</v>
      </c>
      <c r="E1688" s="4" t="s">
        <v>618</v>
      </c>
      <c r="F1688" s="4" t="s">
        <v>736</v>
      </c>
      <c r="G1688" s="4" t="s">
        <v>38</v>
      </c>
      <c r="H1688" s="4" t="s">
        <v>3625</v>
      </c>
      <c r="I1688" s="4" t="s">
        <v>3984</v>
      </c>
      <c r="J1688" s="4" t="s">
        <v>40</v>
      </c>
      <c r="K1688" s="4" t="s">
        <v>1912</v>
      </c>
      <c r="L1688" s="4" t="s">
        <v>736</v>
      </c>
      <c r="M1688" s="4" t="s">
        <v>1683</v>
      </c>
      <c r="N1688" s="4" t="s">
        <v>44</v>
      </c>
      <c r="O1688" s="4" t="s">
        <v>1913</v>
      </c>
      <c r="P1688" s="4" t="s">
        <v>3629</v>
      </c>
    </row>
    <row r="1689" customFormat="false" ht="15" hidden="false" customHeight="false" outlineLevel="0" collapsed="false">
      <c r="A1689" s="4" t="s">
        <v>4174</v>
      </c>
      <c r="B1689" s="4" t="s">
        <v>4173</v>
      </c>
      <c r="C1689" s="4" t="s">
        <v>3783</v>
      </c>
      <c r="D1689" s="4" t="s">
        <v>3784</v>
      </c>
      <c r="E1689" s="4" t="s">
        <v>627</v>
      </c>
      <c r="F1689" s="4" t="s">
        <v>736</v>
      </c>
      <c r="G1689" s="4" t="s">
        <v>38</v>
      </c>
      <c r="H1689" s="4" t="s">
        <v>3625</v>
      </c>
      <c r="I1689" s="4" t="s">
        <v>4175</v>
      </c>
      <c r="J1689" s="4" t="s">
        <v>149</v>
      </c>
      <c r="K1689" s="4" t="s">
        <v>4176</v>
      </c>
      <c r="L1689" s="4" t="s">
        <v>837</v>
      </c>
      <c r="M1689" s="4" t="s">
        <v>838</v>
      </c>
      <c r="N1689" s="4" t="s">
        <v>44</v>
      </c>
      <c r="O1689" s="4" t="s">
        <v>4177</v>
      </c>
      <c r="P1689" s="4" t="s">
        <v>3629</v>
      </c>
    </row>
    <row r="1690" customFormat="false" ht="15" hidden="false" customHeight="false" outlineLevel="0" collapsed="false">
      <c r="A1690" s="4" t="s">
        <v>4178</v>
      </c>
      <c r="B1690" s="4" t="s">
        <v>4173</v>
      </c>
      <c r="C1690" s="4" t="s">
        <v>4173</v>
      </c>
      <c r="D1690" s="4" t="s">
        <v>3624</v>
      </c>
      <c r="E1690" s="4" t="s">
        <v>36</v>
      </c>
      <c r="F1690" s="4" t="s">
        <v>3406</v>
      </c>
      <c r="G1690" s="4" t="s">
        <v>38</v>
      </c>
      <c r="H1690" s="4" t="s">
        <v>3625</v>
      </c>
      <c r="I1690" s="4" t="s">
        <v>3651</v>
      </c>
      <c r="J1690" s="4" t="s">
        <v>40</v>
      </c>
      <c r="K1690" s="4" t="s">
        <v>4179</v>
      </c>
      <c r="L1690" s="4" t="s">
        <v>736</v>
      </c>
      <c r="M1690" s="4" t="s">
        <v>737</v>
      </c>
      <c r="N1690" s="4" t="s">
        <v>44</v>
      </c>
      <c r="O1690" s="4" t="s">
        <v>4180</v>
      </c>
      <c r="P1690" s="4" t="s">
        <v>3629</v>
      </c>
    </row>
    <row r="1691" customFormat="false" ht="15" hidden="false" customHeight="false" outlineLevel="0" collapsed="false">
      <c r="A1691" s="4" t="s">
        <v>4181</v>
      </c>
      <c r="B1691" s="4" t="s">
        <v>4173</v>
      </c>
      <c r="C1691" s="4" t="s">
        <v>4173</v>
      </c>
      <c r="D1691" s="4" t="s">
        <v>3624</v>
      </c>
      <c r="E1691" s="4" t="s">
        <v>36</v>
      </c>
      <c r="F1691" s="4" t="s">
        <v>736</v>
      </c>
      <c r="G1691" s="4" t="s">
        <v>38</v>
      </c>
      <c r="H1691" s="4" t="s">
        <v>3676</v>
      </c>
      <c r="I1691" s="4" t="s">
        <v>3645</v>
      </c>
      <c r="J1691" s="4" t="s">
        <v>40</v>
      </c>
      <c r="K1691" s="4" t="s">
        <v>4035</v>
      </c>
      <c r="L1691" s="4" t="s">
        <v>3635</v>
      </c>
      <c r="M1691" s="4" t="s">
        <v>737</v>
      </c>
      <c r="N1691" s="4" t="s">
        <v>185</v>
      </c>
      <c r="O1691" s="4" t="s">
        <v>4036</v>
      </c>
      <c r="P1691" s="4" t="s">
        <v>3629</v>
      </c>
    </row>
    <row r="1692" customFormat="false" ht="15" hidden="false" customHeight="false" outlineLevel="0" collapsed="false">
      <c r="A1692" s="4" t="s">
        <v>4182</v>
      </c>
      <c r="B1692" s="4" t="s">
        <v>4183</v>
      </c>
      <c r="C1692" s="4" t="s">
        <v>3783</v>
      </c>
      <c r="D1692" s="4" t="s">
        <v>3784</v>
      </c>
      <c r="E1692" s="4" t="s">
        <v>613</v>
      </c>
      <c r="F1692" s="4" t="s">
        <v>736</v>
      </c>
      <c r="G1692" s="4" t="s">
        <v>59</v>
      </c>
      <c r="H1692" s="4" t="s">
        <v>3676</v>
      </c>
      <c r="I1692" s="4" t="s">
        <v>4184</v>
      </c>
      <c r="J1692" s="4" t="s">
        <v>40</v>
      </c>
      <c r="K1692" s="4" t="s">
        <v>2015</v>
      </c>
      <c r="L1692" s="4" t="s">
        <v>900</v>
      </c>
      <c r="M1692" s="4" t="s">
        <v>356</v>
      </c>
      <c r="N1692" s="4" t="s">
        <v>433</v>
      </c>
      <c r="O1692" s="4"/>
      <c r="P1692" s="4" t="s">
        <v>3629</v>
      </c>
    </row>
    <row r="1693" customFormat="false" ht="15" hidden="false" customHeight="false" outlineLevel="0" collapsed="false">
      <c r="A1693" s="4" t="s">
        <v>4185</v>
      </c>
      <c r="B1693" s="4" t="s">
        <v>4183</v>
      </c>
      <c r="C1693" s="4" t="s">
        <v>3783</v>
      </c>
      <c r="D1693" s="4" t="s">
        <v>3784</v>
      </c>
      <c r="E1693" s="4" t="s">
        <v>627</v>
      </c>
      <c r="F1693" s="4" t="s">
        <v>736</v>
      </c>
      <c r="G1693" s="4" t="s">
        <v>38</v>
      </c>
      <c r="H1693" s="4" t="s">
        <v>3625</v>
      </c>
      <c r="I1693" s="4" t="s">
        <v>3945</v>
      </c>
      <c r="J1693" s="4" t="s">
        <v>68</v>
      </c>
      <c r="K1693" s="4" t="s">
        <v>4186</v>
      </c>
      <c r="L1693" s="4" t="s">
        <v>3635</v>
      </c>
      <c r="M1693" s="4" t="s">
        <v>737</v>
      </c>
      <c r="N1693" s="4" t="s">
        <v>94</v>
      </c>
      <c r="O1693" s="4" t="s">
        <v>4187</v>
      </c>
      <c r="P1693" s="4" t="s">
        <v>3629</v>
      </c>
    </row>
    <row r="1694" customFormat="false" ht="15" hidden="false" customHeight="false" outlineLevel="0" collapsed="false">
      <c r="A1694" s="4" t="s">
        <v>4188</v>
      </c>
      <c r="B1694" s="4" t="s">
        <v>4189</v>
      </c>
      <c r="C1694" s="4" t="s">
        <v>3783</v>
      </c>
      <c r="D1694" s="4" t="s">
        <v>3784</v>
      </c>
      <c r="E1694" s="4" t="s">
        <v>627</v>
      </c>
      <c r="F1694" s="4" t="s">
        <v>3710</v>
      </c>
      <c r="G1694" s="4" t="s">
        <v>59</v>
      </c>
      <c r="H1694" s="4" t="s">
        <v>3625</v>
      </c>
      <c r="I1694" s="4" t="s">
        <v>4046</v>
      </c>
      <c r="J1694" s="4" t="s">
        <v>40</v>
      </c>
      <c r="K1694" s="4" t="s">
        <v>620</v>
      </c>
      <c r="L1694" s="4" t="s">
        <v>42</v>
      </c>
      <c r="M1694" s="4" t="s">
        <v>43</v>
      </c>
      <c r="N1694" s="4" t="s">
        <v>44</v>
      </c>
      <c r="O1694" s="4" t="s">
        <v>621</v>
      </c>
      <c r="P1694" s="4" t="s">
        <v>3629</v>
      </c>
    </row>
    <row r="1695" customFormat="false" ht="15" hidden="false" customHeight="false" outlineLevel="0" collapsed="false">
      <c r="A1695" s="4" t="s">
        <v>4190</v>
      </c>
      <c r="B1695" s="4" t="s">
        <v>4191</v>
      </c>
      <c r="C1695" s="4" t="s">
        <v>3783</v>
      </c>
      <c r="D1695" s="4" t="s">
        <v>3784</v>
      </c>
      <c r="E1695" s="4" t="s">
        <v>627</v>
      </c>
      <c r="F1695" s="4" t="s">
        <v>736</v>
      </c>
      <c r="G1695" s="4" t="s">
        <v>38</v>
      </c>
      <c r="H1695" s="4" t="s">
        <v>3625</v>
      </c>
      <c r="I1695" s="4" t="s">
        <v>4192</v>
      </c>
      <c r="J1695" s="4" t="s">
        <v>81</v>
      </c>
      <c r="K1695" s="4" t="s">
        <v>4193</v>
      </c>
      <c r="L1695" s="4" t="s">
        <v>3406</v>
      </c>
      <c r="M1695" s="4" t="s">
        <v>737</v>
      </c>
      <c r="N1695" s="4" t="s">
        <v>44</v>
      </c>
      <c r="O1695" s="4" t="s">
        <v>4194</v>
      </c>
      <c r="P1695" s="4" t="s">
        <v>3629</v>
      </c>
    </row>
    <row r="1696" customFormat="false" ht="15" hidden="false" customHeight="false" outlineLevel="0" collapsed="false">
      <c r="A1696" s="4" t="s">
        <v>4195</v>
      </c>
      <c r="B1696" s="4" t="s">
        <v>4196</v>
      </c>
      <c r="C1696" s="4" t="s">
        <v>3783</v>
      </c>
      <c r="D1696" s="4" t="s">
        <v>3784</v>
      </c>
      <c r="E1696" s="4" t="s">
        <v>761</v>
      </c>
      <c r="F1696" s="4" t="s">
        <v>736</v>
      </c>
      <c r="G1696" s="4" t="s">
        <v>59</v>
      </c>
      <c r="H1696" s="4" t="s">
        <v>3632</v>
      </c>
      <c r="I1696" s="4" t="s">
        <v>4197</v>
      </c>
      <c r="J1696" s="4" t="s">
        <v>68</v>
      </c>
      <c r="K1696" s="4" t="s">
        <v>4198</v>
      </c>
      <c r="L1696" s="4" t="s">
        <v>736</v>
      </c>
      <c r="M1696" s="4" t="s">
        <v>1683</v>
      </c>
      <c r="N1696" s="4" t="s">
        <v>44</v>
      </c>
      <c r="O1696" s="4" t="s">
        <v>4199</v>
      </c>
      <c r="P1696" s="4" t="s">
        <v>3629</v>
      </c>
    </row>
    <row r="1697" customFormat="false" ht="15" hidden="false" customHeight="false" outlineLevel="0" collapsed="false">
      <c r="A1697" s="4" t="s">
        <v>4200</v>
      </c>
      <c r="B1697" s="4" t="s">
        <v>4196</v>
      </c>
      <c r="C1697" s="4" t="s">
        <v>3783</v>
      </c>
      <c r="D1697" s="4" t="s">
        <v>3784</v>
      </c>
      <c r="E1697" s="4" t="s">
        <v>613</v>
      </c>
      <c r="F1697" s="4" t="s">
        <v>736</v>
      </c>
      <c r="G1697" s="4" t="s">
        <v>59</v>
      </c>
      <c r="H1697" s="4" t="s">
        <v>3676</v>
      </c>
      <c r="I1697" s="4" t="s">
        <v>3864</v>
      </c>
      <c r="J1697" s="4" t="s">
        <v>40</v>
      </c>
      <c r="K1697" s="4" t="s">
        <v>3838</v>
      </c>
      <c r="L1697" s="4" t="s">
        <v>736</v>
      </c>
      <c r="M1697" s="4" t="s">
        <v>737</v>
      </c>
      <c r="N1697" s="4" t="s">
        <v>44</v>
      </c>
      <c r="O1697" s="4" t="s">
        <v>3839</v>
      </c>
      <c r="P1697" s="4" t="s">
        <v>3629</v>
      </c>
    </row>
    <row r="1698" customFormat="false" ht="15" hidden="false" customHeight="false" outlineLevel="0" collapsed="false">
      <c r="A1698" s="4" t="s">
        <v>4201</v>
      </c>
      <c r="B1698" s="4" t="s">
        <v>4196</v>
      </c>
      <c r="C1698" s="4" t="s">
        <v>4196</v>
      </c>
      <c r="D1698" s="4" t="s">
        <v>3624</v>
      </c>
      <c r="E1698" s="4" t="s">
        <v>89</v>
      </c>
      <c r="F1698" s="4" t="s">
        <v>1584</v>
      </c>
      <c r="G1698" s="4" t="s">
        <v>38</v>
      </c>
      <c r="H1698" s="4" t="s">
        <v>3632</v>
      </c>
      <c r="I1698" s="4" t="s">
        <v>3645</v>
      </c>
      <c r="J1698" s="4" t="s">
        <v>149</v>
      </c>
      <c r="K1698" s="4" t="s">
        <v>4202</v>
      </c>
      <c r="L1698" s="4" t="s">
        <v>736</v>
      </c>
      <c r="M1698" s="4" t="s">
        <v>737</v>
      </c>
      <c r="N1698" s="4" t="s">
        <v>44</v>
      </c>
      <c r="O1698" s="4" t="s">
        <v>4203</v>
      </c>
      <c r="P1698" s="4" t="s">
        <v>3629</v>
      </c>
    </row>
    <row r="1699" customFormat="false" ht="15" hidden="false" customHeight="false" outlineLevel="0" collapsed="false">
      <c r="A1699" s="4" t="s">
        <v>4204</v>
      </c>
      <c r="B1699" s="4" t="s">
        <v>4196</v>
      </c>
      <c r="C1699" s="4" t="s">
        <v>4205</v>
      </c>
      <c r="D1699" s="4" t="s">
        <v>3624</v>
      </c>
      <c r="E1699" s="4" t="s">
        <v>36</v>
      </c>
      <c r="F1699" s="4" t="s">
        <v>736</v>
      </c>
      <c r="G1699" s="4" t="s">
        <v>38</v>
      </c>
      <c r="H1699" s="4" t="s">
        <v>3676</v>
      </c>
      <c r="I1699" s="4" t="s">
        <v>3645</v>
      </c>
      <c r="J1699" s="4" t="s">
        <v>40</v>
      </c>
      <c r="K1699" s="4" t="s">
        <v>4206</v>
      </c>
      <c r="L1699" s="4" t="s">
        <v>736</v>
      </c>
      <c r="M1699" s="4" t="s">
        <v>737</v>
      </c>
      <c r="N1699" s="4" t="s">
        <v>44</v>
      </c>
      <c r="O1699" s="4" t="s">
        <v>4207</v>
      </c>
      <c r="P1699" s="4" t="s">
        <v>3629</v>
      </c>
    </row>
    <row r="1700" customFormat="false" ht="15" hidden="false" customHeight="false" outlineLevel="0" collapsed="false">
      <c r="A1700" s="4" t="s">
        <v>4208</v>
      </c>
      <c r="B1700" s="4" t="s">
        <v>4205</v>
      </c>
      <c r="C1700" s="4" t="s">
        <v>4209</v>
      </c>
      <c r="D1700" s="4" t="s">
        <v>3624</v>
      </c>
      <c r="E1700" s="4" t="s">
        <v>57</v>
      </c>
      <c r="F1700" s="4" t="s">
        <v>736</v>
      </c>
      <c r="G1700" s="4" t="s">
        <v>38</v>
      </c>
      <c r="H1700" s="4" t="s">
        <v>3676</v>
      </c>
      <c r="I1700" s="4" t="s">
        <v>3669</v>
      </c>
      <c r="J1700" s="4" t="s">
        <v>68</v>
      </c>
      <c r="K1700" s="4" t="s">
        <v>4147</v>
      </c>
      <c r="L1700" s="4" t="s">
        <v>736</v>
      </c>
      <c r="M1700" s="4" t="s">
        <v>737</v>
      </c>
      <c r="N1700" s="4" t="s">
        <v>52</v>
      </c>
      <c r="O1700" s="4" t="s">
        <v>4148</v>
      </c>
      <c r="P1700" s="4" t="s">
        <v>3629</v>
      </c>
    </row>
    <row r="1701" customFormat="false" ht="15" hidden="false" customHeight="false" outlineLevel="0" collapsed="false">
      <c r="A1701" s="4" t="s">
        <v>4210</v>
      </c>
      <c r="B1701" s="4" t="s">
        <v>4211</v>
      </c>
      <c r="C1701" s="4" t="s">
        <v>3783</v>
      </c>
      <c r="D1701" s="4" t="s">
        <v>3784</v>
      </c>
      <c r="E1701" s="4" t="s">
        <v>649</v>
      </c>
      <c r="F1701" s="4" t="s">
        <v>736</v>
      </c>
      <c r="G1701" s="4" t="s">
        <v>38</v>
      </c>
      <c r="H1701" s="4" t="s">
        <v>3625</v>
      </c>
      <c r="I1701" s="4" t="s">
        <v>3828</v>
      </c>
      <c r="J1701" s="4" t="s">
        <v>40</v>
      </c>
      <c r="K1701" s="4" t="s">
        <v>4206</v>
      </c>
      <c r="L1701" s="4" t="s">
        <v>736</v>
      </c>
      <c r="M1701" s="4" t="s">
        <v>737</v>
      </c>
      <c r="N1701" s="4" t="s">
        <v>44</v>
      </c>
      <c r="O1701" s="4" t="s">
        <v>4207</v>
      </c>
      <c r="P1701" s="4" t="s">
        <v>3629</v>
      </c>
    </row>
    <row r="1702" customFormat="false" ht="15" hidden="false" customHeight="false" outlineLevel="0" collapsed="false">
      <c r="A1702" s="4" t="s">
        <v>4212</v>
      </c>
      <c r="B1702" s="4" t="s">
        <v>4211</v>
      </c>
      <c r="C1702" s="4" t="s">
        <v>3783</v>
      </c>
      <c r="D1702" s="4" t="s">
        <v>3784</v>
      </c>
      <c r="E1702" s="4" t="s">
        <v>761</v>
      </c>
      <c r="F1702" s="4" t="s">
        <v>736</v>
      </c>
      <c r="G1702" s="4" t="s">
        <v>38</v>
      </c>
      <c r="H1702" s="4" t="s">
        <v>3676</v>
      </c>
      <c r="I1702" s="4" t="s">
        <v>3791</v>
      </c>
      <c r="J1702" s="4" t="s">
        <v>81</v>
      </c>
      <c r="K1702" s="4" t="s">
        <v>3769</v>
      </c>
      <c r="L1702" s="4" t="s">
        <v>736</v>
      </c>
      <c r="M1702" s="4" t="s">
        <v>737</v>
      </c>
      <c r="N1702" s="4" t="s">
        <v>44</v>
      </c>
      <c r="O1702" s="4" t="s">
        <v>3770</v>
      </c>
      <c r="P1702" s="4" t="s">
        <v>3629</v>
      </c>
    </row>
    <row r="1703" customFormat="false" ht="15" hidden="false" customHeight="false" outlineLevel="0" collapsed="false">
      <c r="A1703" s="4" t="s">
        <v>4213</v>
      </c>
      <c r="B1703" s="4" t="s">
        <v>4211</v>
      </c>
      <c r="C1703" s="4" t="s">
        <v>3783</v>
      </c>
      <c r="D1703" s="4" t="s">
        <v>3784</v>
      </c>
      <c r="E1703" s="4" t="s">
        <v>627</v>
      </c>
      <c r="F1703" s="4" t="s">
        <v>736</v>
      </c>
      <c r="G1703" s="4" t="s">
        <v>59</v>
      </c>
      <c r="H1703" s="4" t="s">
        <v>3625</v>
      </c>
      <c r="I1703" s="4" t="s">
        <v>4214</v>
      </c>
      <c r="J1703" s="4" t="s">
        <v>149</v>
      </c>
      <c r="K1703" s="4" t="s">
        <v>4215</v>
      </c>
      <c r="L1703" s="4" t="s">
        <v>571</v>
      </c>
      <c r="M1703" s="4" t="s">
        <v>356</v>
      </c>
      <c r="N1703" s="4" t="s">
        <v>357</v>
      </c>
      <c r="O1703" s="4"/>
      <c r="P1703" s="4" t="s">
        <v>3629</v>
      </c>
    </row>
    <row r="1704" customFormat="false" ht="15" hidden="false" customHeight="false" outlineLevel="0" collapsed="false">
      <c r="A1704" s="4" t="s">
        <v>4216</v>
      </c>
      <c r="B1704" s="4" t="s">
        <v>4209</v>
      </c>
      <c r="C1704" s="4" t="s">
        <v>3783</v>
      </c>
      <c r="D1704" s="4" t="s">
        <v>3784</v>
      </c>
      <c r="E1704" s="4" t="s">
        <v>761</v>
      </c>
      <c r="F1704" s="4" t="s">
        <v>736</v>
      </c>
      <c r="G1704" s="4" t="s">
        <v>38</v>
      </c>
      <c r="H1704" s="4" t="s">
        <v>3706</v>
      </c>
      <c r="I1704" s="4" t="s">
        <v>3947</v>
      </c>
      <c r="J1704" s="4" t="s">
        <v>149</v>
      </c>
      <c r="K1704" s="4" t="s">
        <v>3013</v>
      </c>
      <c r="L1704" s="4" t="s">
        <v>463</v>
      </c>
      <c r="M1704" s="4" t="s">
        <v>464</v>
      </c>
      <c r="N1704" s="4" t="s">
        <v>44</v>
      </c>
      <c r="O1704" s="4" t="s">
        <v>3014</v>
      </c>
      <c r="P1704" s="4" t="s">
        <v>3629</v>
      </c>
    </row>
    <row r="1705" customFormat="false" ht="15" hidden="false" customHeight="false" outlineLevel="0" collapsed="false">
      <c r="A1705" s="4" t="s">
        <v>4217</v>
      </c>
      <c r="B1705" s="4" t="s">
        <v>4218</v>
      </c>
      <c r="C1705" s="4" t="s">
        <v>3783</v>
      </c>
      <c r="D1705" s="4" t="s">
        <v>3784</v>
      </c>
      <c r="E1705" s="4" t="s">
        <v>761</v>
      </c>
      <c r="F1705" s="4" t="s">
        <v>1584</v>
      </c>
      <c r="G1705" s="4" t="s">
        <v>38</v>
      </c>
      <c r="H1705" s="4" t="s">
        <v>3625</v>
      </c>
      <c r="I1705" s="4" t="s">
        <v>4219</v>
      </c>
      <c r="J1705" s="4" t="s">
        <v>40</v>
      </c>
      <c r="K1705" s="4" t="s">
        <v>4075</v>
      </c>
      <c r="L1705" s="4" t="s">
        <v>736</v>
      </c>
      <c r="M1705" s="4" t="s">
        <v>737</v>
      </c>
      <c r="N1705" s="4" t="s">
        <v>44</v>
      </c>
      <c r="O1705" s="4" t="s">
        <v>4076</v>
      </c>
      <c r="P1705" s="4" t="s">
        <v>3629</v>
      </c>
    </row>
    <row r="1706" customFormat="false" ht="15" hidden="false" customHeight="false" outlineLevel="0" collapsed="false">
      <c r="A1706" s="4" t="s">
        <v>4220</v>
      </c>
      <c r="B1706" s="4" t="s">
        <v>4221</v>
      </c>
      <c r="C1706" s="4" t="s">
        <v>3783</v>
      </c>
      <c r="D1706" s="4" t="s">
        <v>3784</v>
      </c>
      <c r="E1706" s="4" t="s">
        <v>649</v>
      </c>
      <c r="F1706" s="4" t="s">
        <v>736</v>
      </c>
      <c r="G1706" s="4" t="s">
        <v>38</v>
      </c>
      <c r="H1706" s="4" t="s">
        <v>3632</v>
      </c>
      <c r="I1706" s="4" t="s">
        <v>4222</v>
      </c>
      <c r="J1706" s="4" t="s">
        <v>40</v>
      </c>
      <c r="K1706" s="4" t="s">
        <v>4223</v>
      </c>
      <c r="L1706" s="4" t="s">
        <v>736</v>
      </c>
      <c r="M1706" s="4" t="s">
        <v>737</v>
      </c>
      <c r="N1706" s="4" t="s">
        <v>44</v>
      </c>
      <c r="O1706" s="4" t="s">
        <v>4224</v>
      </c>
      <c r="P1706" s="4" t="s">
        <v>3629</v>
      </c>
    </row>
    <row r="1707" customFormat="false" ht="15" hidden="false" customHeight="false" outlineLevel="0" collapsed="false">
      <c r="A1707" s="4" t="s">
        <v>4225</v>
      </c>
      <c r="B1707" s="4" t="s">
        <v>4221</v>
      </c>
      <c r="C1707" s="4" t="s">
        <v>3783</v>
      </c>
      <c r="D1707" s="4" t="s">
        <v>3784</v>
      </c>
      <c r="E1707" s="4" t="s">
        <v>627</v>
      </c>
      <c r="F1707" s="4" t="s">
        <v>3710</v>
      </c>
      <c r="G1707" s="4" t="s">
        <v>38</v>
      </c>
      <c r="H1707" s="4" t="s">
        <v>3625</v>
      </c>
      <c r="I1707" s="4" t="s">
        <v>4226</v>
      </c>
      <c r="J1707" s="4" t="s">
        <v>40</v>
      </c>
      <c r="K1707" s="4" t="s">
        <v>4227</v>
      </c>
      <c r="L1707" s="4" t="s">
        <v>736</v>
      </c>
      <c r="M1707" s="4" t="s">
        <v>737</v>
      </c>
      <c r="N1707" s="4" t="s">
        <v>44</v>
      </c>
      <c r="O1707" s="4" t="s">
        <v>4228</v>
      </c>
      <c r="P1707" s="4" t="s">
        <v>3629</v>
      </c>
    </row>
    <row r="1708" customFormat="false" ht="15" hidden="false" customHeight="false" outlineLevel="0" collapsed="false">
      <c r="A1708" s="4" t="s">
        <v>4229</v>
      </c>
      <c r="B1708" s="4" t="s">
        <v>4230</v>
      </c>
      <c r="C1708" s="4" t="s">
        <v>4231</v>
      </c>
      <c r="D1708" s="4" t="s">
        <v>3624</v>
      </c>
      <c r="E1708" s="4" t="s">
        <v>57</v>
      </c>
      <c r="F1708" s="4" t="s">
        <v>3635</v>
      </c>
      <c r="G1708" s="4" t="s">
        <v>38</v>
      </c>
      <c r="H1708" s="4" t="s">
        <v>3625</v>
      </c>
      <c r="I1708" s="4" t="s">
        <v>3716</v>
      </c>
      <c r="J1708" s="4" t="s">
        <v>68</v>
      </c>
      <c r="K1708" s="4" t="s">
        <v>4232</v>
      </c>
      <c r="L1708" s="4" t="s">
        <v>3406</v>
      </c>
      <c r="M1708" s="4" t="s">
        <v>737</v>
      </c>
      <c r="N1708" s="4" t="s">
        <v>44</v>
      </c>
      <c r="O1708" s="4" t="s">
        <v>4233</v>
      </c>
      <c r="P1708" s="4" t="s">
        <v>3629</v>
      </c>
    </row>
    <row r="1709" customFormat="false" ht="15" hidden="false" customHeight="false" outlineLevel="0" collapsed="false">
      <c r="A1709" s="4" t="s">
        <v>4234</v>
      </c>
      <c r="B1709" s="4" t="s">
        <v>4235</v>
      </c>
      <c r="C1709" s="4" t="s">
        <v>3783</v>
      </c>
      <c r="D1709" s="4" t="s">
        <v>3784</v>
      </c>
      <c r="E1709" s="4" t="s">
        <v>627</v>
      </c>
      <c r="F1709" s="4" t="s">
        <v>1584</v>
      </c>
      <c r="G1709" s="4" t="s">
        <v>38</v>
      </c>
      <c r="H1709" s="4" t="s">
        <v>3676</v>
      </c>
      <c r="I1709" s="4" t="s">
        <v>4236</v>
      </c>
      <c r="J1709" s="4" t="s">
        <v>149</v>
      </c>
      <c r="K1709" s="4" t="s">
        <v>3495</v>
      </c>
      <c r="L1709" s="4" t="s">
        <v>988</v>
      </c>
      <c r="M1709" s="4" t="s">
        <v>737</v>
      </c>
      <c r="N1709" s="4" t="s">
        <v>44</v>
      </c>
      <c r="O1709" s="4" t="s">
        <v>3496</v>
      </c>
      <c r="P1709" s="4" t="s">
        <v>3629</v>
      </c>
    </row>
    <row r="1710" customFormat="false" ht="15" hidden="false" customHeight="false" outlineLevel="0" collapsed="false">
      <c r="A1710" s="4" t="s">
        <v>4237</v>
      </c>
      <c r="B1710" s="4" t="s">
        <v>4235</v>
      </c>
      <c r="C1710" s="4" t="s">
        <v>3783</v>
      </c>
      <c r="D1710" s="4" t="s">
        <v>3784</v>
      </c>
      <c r="E1710" s="4" t="s">
        <v>627</v>
      </c>
      <c r="F1710" s="4" t="s">
        <v>1584</v>
      </c>
      <c r="G1710" s="4" t="s">
        <v>59</v>
      </c>
      <c r="H1710" s="4" t="s">
        <v>3706</v>
      </c>
      <c r="I1710" s="4" t="s">
        <v>3844</v>
      </c>
      <c r="J1710" s="4" t="s">
        <v>40</v>
      </c>
      <c r="K1710" s="4" t="s">
        <v>4238</v>
      </c>
      <c r="L1710" s="4" t="s">
        <v>2146</v>
      </c>
      <c r="M1710" s="4" t="s">
        <v>737</v>
      </c>
      <c r="N1710" s="4" t="s">
        <v>44</v>
      </c>
      <c r="O1710" s="4" t="s">
        <v>4239</v>
      </c>
      <c r="P1710" s="4" t="s">
        <v>3629</v>
      </c>
    </row>
    <row r="1711" customFormat="false" ht="15" hidden="false" customHeight="false" outlineLevel="0" collapsed="false">
      <c r="A1711" s="4" t="s">
        <v>4240</v>
      </c>
      <c r="B1711" s="4" t="s">
        <v>4241</v>
      </c>
      <c r="C1711" s="4" t="s">
        <v>3783</v>
      </c>
      <c r="D1711" s="4" t="s">
        <v>3784</v>
      </c>
      <c r="E1711" s="4" t="s">
        <v>627</v>
      </c>
      <c r="F1711" s="4" t="s">
        <v>736</v>
      </c>
      <c r="G1711" s="4" t="s">
        <v>59</v>
      </c>
      <c r="H1711" s="4" t="s">
        <v>3625</v>
      </c>
      <c r="I1711" s="4" t="s">
        <v>4242</v>
      </c>
      <c r="J1711" s="4" t="s">
        <v>40</v>
      </c>
      <c r="K1711" s="4" t="s">
        <v>3683</v>
      </c>
      <c r="L1711" s="4" t="s">
        <v>736</v>
      </c>
      <c r="M1711" s="4" t="s">
        <v>1683</v>
      </c>
      <c r="N1711" s="4" t="s">
        <v>44</v>
      </c>
      <c r="O1711" s="4" t="s">
        <v>3684</v>
      </c>
      <c r="P1711" s="4" t="s">
        <v>3629</v>
      </c>
    </row>
    <row r="1712" customFormat="false" ht="15" hidden="false" customHeight="false" outlineLevel="0" collapsed="false">
      <c r="A1712" s="4" t="s">
        <v>4243</v>
      </c>
      <c r="B1712" s="4" t="s">
        <v>4244</v>
      </c>
      <c r="C1712" s="4" t="s">
        <v>3783</v>
      </c>
      <c r="D1712" s="4" t="s">
        <v>3784</v>
      </c>
      <c r="E1712" s="4" t="s">
        <v>627</v>
      </c>
      <c r="F1712" s="4" t="s">
        <v>736</v>
      </c>
      <c r="G1712" s="4" t="s">
        <v>38</v>
      </c>
      <c r="H1712" s="4" t="s">
        <v>3625</v>
      </c>
      <c r="I1712" s="4" t="s">
        <v>3984</v>
      </c>
      <c r="J1712" s="4" t="s">
        <v>68</v>
      </c>
      <c r="K1712" s="4" t="s">
        <v>4245</v>
      </c>
      <c r="L1712" s="4" t="s">
        <v>736</v>
      </c>
      <c r="M1712" s="4" t="s">
        <v>737</v>
      </c>
      <c r="N1712" s="4" t="s">
        <v>44</v>
      </c>
      <c r="O1712" s="4" t="s">
        <v>4246</v>
      </c>
      <c r="P1712" s="4" t="s">
        <v>3629</v>
      </c>
    </row>
    <row r="1713" customFormat="false" ht="15" hidden="false" customHeight="false" outlineLevel="0" collapsed="false">
      <c r="A1713" s="4" t="s">
        <v>4247</v>
      </c>
      <c r="B1713" s="4" t="s">
        <v>4248</v>
      </c>
      <c r="C1713" s="4" t="s">
        <v>3783</v>
      </c>
      <c r="D1713" s="4" t="s">
        <v>3784</v>
      </c>
      <c r="E1713" s="4" t="s">
        <v>627</v>
      </c>
      <c r="F1713" s="4" t="s">
        <v>1584</v>
      </c>
      <c r="G1713" s="4" t="s">
        <v>38</v>
      </c>
      <c r="H1713" s="4" t="s">
        <v>3625</v>
      </c>
      <c r="I1713" s="4" t="s">
        <v>4249</v>
      </c>
      <c r="J1713" s="4" t="s">
        <v>81</v>
      </c>
      <c r="K1713" s="4" t="s">
        <v>3254</v>
      </c>
      <c r="L1713" s="4" t="s">
        <v>463</v>
      </c>
      <c r="M1713" s="4" t="s">
        <v>464</v>
      </c>
      <c r="N1713" s="4" t="s">
        <v>44</v>
      </c>
      <c r="O1713" s="4" t="s">
        <v>3255</v>
      </c>
      <c r="P1713" s="4" t="s">
        <v>3629</v>
      </c>
    </row>
    <row r="1714" customFormat="false" ht="15" hidden="false" customHeight="false" outlineLevel="0" collapsed="false">
      <c r="A1714" s="4" t="s">
        <v>4250</v>
      </c>
      <c r="B1714" s="4" t="s">
        <v>4248</v>
      </c>
      <c r="C1714" s="4" t="s">
        <v>3783</v>
      </c>
      <c r="D1714" s="4" t="s">
        <v>3784</v>
      </c>
      <c r="E1714" s="4" t="s">
        <v>618</v>
      </c>
      <c r="F1714" s="4" t="s">
        <v>3406</v>
      </c>
      <c r="G1714" s="4" t="s">
        <v>38</v>
      </c>
      <c r="H1714" s="4" t="s">
        <v>3625</v>
      </c>
      <c r="I1714" s="4" t="s">
        <v>4251</v>
      </c>
      <c r="J1714" s="4" t="s">
        <v>40</v>
      </c>
      <c r="K1714" s="4" t="s">
        <v>3924</v>
      </c>
      <c r="L1714" s="4" t="s">
        <v>988</v>
      </c>
      <c r="M1714" s="4" t="s">
        <v>737</v>
      </c>
      <c r="N1714" s="4" t="s">
        <v>44</v>
      </c>
      <c r="O1714" s="4" t="s">
        <v>3925</v>
      </c>
      <c r="P1714" s="4" t="s">
        <v>3629</v>
      </c>
    </row>
    <row r="1715" customFormat="false" ht="15" hidden="false" customHeight="false" outlineLevel="0" collapsed="false">
      <c r="A1715" s="4" t="s">
        <v>4252</v>
      </c>
      <c r="B1715" s="4" t="s">
        <v>4248</v>
      </c>
      <c r="C1715" s="4" t="s">
        <v>3783</v>
      </c>
      <c r="D1715" s="4" t="s">
        <v>3784</v>
      </c>
      <c r="E1715" s="4" t="s">
        <v>627</v>
      </c>
      <c r="F1715" s="4" t="s">
        <v>736</v>
      </c>
      <c r="G1715" s="4" t="s">
        <v>59</v>
      </c>
      <c r="H1715" s="4" t="s">
        <v>3676</v>
      </c>
      <c r="I1715" s="4" t="s">
        <v>4253</v>
      </c>
      <c r="J1715" s="4" t="s">
        <v>68</v>
      </c>
      <c r="K1715" s="4" t="s">
        <v>4254</v>
      </c>
      <c r="L1715" s="4" t="s">
        <v>463</v>
      </c>
      <c r="M1715" s="4" t="s">
        <v>464</v>
      </c>
      <c r="N1715" s="4" t="s">
        <v>185</v>
      </c>
      <c r="O1715" s="4" t="s">
        <v>4255</v>
      </c>
      <c r="P1715" s="4" t="s">
        <v>3629</v>
      </c>
    </row>
    <row r="1716" customFormat="false" ht="15" hidden="false" customHeight="false" outlineLevel="0" collapsed="false">
      <c r="A1716" s="4" t="s">
        <v>4256</v>
      </c>
      <c r="B1716" s="4" t="s">
        <v>4257</v>
      </c>
      <c r="C1716" s="4" t="s">
        <v>3783</v>
      </c>
      <c r="D1716" s="4" t="s">
        <v>3784</v>
      </c>
      <c r="E1716" s="4" t="s">
        <v>627</v>
      </c>
      <c r="F1716" s="4" t="s">
        <v>1584</v>
      </c>
      <c r="G1716" s="4" t="s">
        <v>59</v>
      </c>
      <c r="H1716" s="4" t="s">
        <v>3625</v>
      </c>
      <c r="I1716" s="4" t="s">
        <v>4046</v>
      </c>
      <c r="J1716" s="4" t="s">
        <v>40</v>
      </c>
      <c r="K1716" s="4" t="s">
        <v>4147</v>
      </c>
      <c r="L1716" s="4" t="s">
        <v>1584</v>
      </c>
      <c r="M1716" s="4" t="s">
        <v>737</v>
      </c>
      <c r="N1716" s="4" t="s">
        <v>44</v>
      </c>
      <c r="O1716" s="4" t="s">
        <v>4148</v>
      </c>
      <c r="P1716" s="4" t="s">
        <v>3629</v>
      </c>
    </row>
    <row r="1717" customFormat="false" ht="15" hidden="false" customHeight="false" outlineLevel="0" collapsed="false">
      <c r="A1717" s="4" t="s">
        <v>4258</v>
      </c>
      <c r="B1717" s="4" t="s">
        <v>4259</v>
      </c>
      <c r="C1717" s="4" t="s">
        <v>3783</v>
      </c>
      <c r="D1717" s="4" t="s">
        <v>3784</v>
      </c>
      <c r="E1717" s="4" t="s">
        <v>613</v>
      </c>
      <c r="F1717" s="4" t="s">
        <v>736</v>
      </c>
      <c r="G1717" s="4" t="s">
        <v>38</v>
      </c>
      <c r="H1717" s="4" t="s">
        <v>3676</v>
      </c>
      <c r="I1717" s="4" t="s">
        <v>4057</v>
      </c>
      <c r="J1717" s="4" t="s">
        <v>40</v>
      </c>
      <c r="K1717" s="4" t="s">
        <v>3065</v>
      </c>
      <c r="L1717" s="4" t="s">
        <v>736</v>
      </c>
      <c r="M1717" s="4" t="s">
        <v>737</v>
      </c>
      <c r="N1717" s="4" t="s">
        <v>44</v>
      </c>
      <c r="O1717" s="4" t="s">
        <v>3066</v>
      </c>
      <c r="P1717" s="4" t="s">
        <v>3629</v>
      </c>
    </row>
    <row r="1718" customFormat="false" ht="15" hidden="false" customHeight="false" outlineLevel="0" collapsed="false">
      <c r="A1718" s="4" t="s">
        <v>4260</v>
      </c>
      <c r="B1718" s="4" t="s">
        <v>4259</v>
      </c>
      <c r="C1718" s="4" t="s">
        <v>3783</v>
      </c>
      <c r="D1718" s="4" t="s">
        <v>3784</v>
      </c>
      <c r="E1718" s="4" t="s">
        <v>613</v>
      </c>
      <c r="F1718" s="4" t="s">
        <v>736</v>
      </c>
      <c r="G1718" s="4" t="s">
        <v>38</v>
      </c>
      <c r="H1718" s="4" t="s">
        <v>3632</v>
      </c>
      <c r="I1718" s="4" t="s">
        <v>4261</v>
      </c>
      <c r="J1718" s="4" t="s">
        <v>40</v>
      </c>
      <c r="K1718" s="4" t="s">
        <v>4262</v>
      </c>
      <c r="L1718" s="4" t="s">
        <v>736</v>
      </c>
      <c r="M1718" s="4" t="s">
        <v>737</v>
      </c>
      <c r="N1718" s="4" t="s">
        <v>44</v>
      </c>
      <c r="O1718" s="4" t="s">
        <v>4263</v>
      </c>
      <c r="P1718" s="4" t="s">
        <v>3629</v>
      </c>
    </row>
    <row r="1719" customFormat="false" ht="15" hidden="false" customHeight="false" outlineLevel="0" collapsed="false">
      <c r="A1719" s="4" t="s">
        <v>4213</v>
      </c>
      <c r="B1719" s="4" t="s">
        <v>4211</v>
      </c>
      <c r="C1719" s="4" t="s">
        <v>3783</v>
      </c>
      <c r="D1719" s="4" t="s">
        <v>3784</v>
      </c>
      <c r="E1719" s="4" t="s">
        <v>627</v>
      </c>
      <c r="F1719" s="4" t="s">
        <v>736</v>
      </c>
      <c r="G1719" s="4" t="s">
        <v>59</v>
      </c>
      <c r="H1719" s="4" t="s">
        <v>3625</v>
      </c>
      <c r="I1719" s="4" t="s">
        <v>4214</v>
      </c>
      <c r="J1719" s="4" t="s">
        <v>149</v>
      </c>
      <c r="K1719" s="4" t="s">
        <v>4215</v>
      </c>
      <c r="L1719" s="4" t="s">
        <v>571</v>
      </c>
      <c r="M1719" s="4" t="s">
        <v>356</v>
      </c>
      <c r="N1719" s="4" t="s">
        <v>357</v>
      </c>
      <c r="O1719" s="4"/>
      <c r="P1719" s="4" t="s">
        <v>3629</v>
      </c>
    </row>
    <row r="1720" customFormat="false" ht="15" hidden="false" customHeight="false" outlineLevel="0" collapsed="false">
      <c r="A1720" s="4" t="s">
        <v>4264</v>
      </c>
      <c r="B1720" s="4" t="s">
        <v>4265</v>
      </c>
      <c r="C1720" s="4" t="s">
        <v>3783</v>
      </c>
      <c r="D1720" s="4" t="s">
        <v>3784</v>
      </c>
      <c r="E1720" s="4" t="s">
        <v>627</v>
      </c>
      <c r="F1720" s="4" t="s">
        <v>736</v>
      </c>
      <c r="G1720" s="4" t="s">
        <v>38</v>
      </c>
      <c r="H1720" s="4" t="s">
        <v>3625</v>
      </c>
      <c r="I1720" s="4" t="s">
        <v>4266</v>
      </c>
      <c r="J1720" s="4" t="s">
        <v>149</v>
      </c>
      <c r="K1720" s="4" t="s">
        <v>4267</v>
      </c>
      <c r="L1720" s="4" t="s">
        <v>736</v>
      </c>
      <c r="M1720" s="4" t="s">
        <v>737</v>
      </c>
      <c r="N1720" s="4" t="s">
        <v>44</v>
      </c>
      <c r="O1720" s="4" t="s">
        <v>4268</v>
      </c>
      <c r="P1720" s="4" t="s">
        <v>3629</v>
      </c>
    </row>
    <row r="1721" customFormat="false" ht="15" hidden="false" customHeight="false" outlineLevel="0" collapsed="false">
      <c r="A1721" s="4" t="s">
        <v>4269</v>
      </c>
      <c r="B1721" s="4" t="s">
        <v>4270</v>
      </c>
      <c r="C1721" s="4" t="s">
        <v>4271</v>
      </c>
      <c r="D1721" s="4" t="s">
        <v>3624</v>
      </c>
      <c r="E1721" s="4" t="s">
        <v>36</v>
      </c>
      <c r="F1721" s="4" t="s">
        <v>736</v>
      </c>
      <c r="G1721" s="4" t="s">
        <v>59</v>
      </c>
      <c r="H1721" s="4" t="s">
        <v>3625</v>
      </c>
      <c r="I1721" s="4" t="s">
        <v>3633</v>
      </c>
      <c r="J1721" s="4" t="s">
        <v>68</v>
      </c>
      <c r="K1721" s="4" t="s">
        <v>2459</v>
      </c>
      <c r="L1721" s="4" t="s">
        <v>736</v>
      </c>
      <c r="M1721" s="4" t="s">
        <v>1683</v>
      </c>
      <c r="N1721" s="4" t="s">
        <v>185</v>
      </c>
      <c r="O1721" s="4" t="s">
        <v>2460</v>
      </c>
      <c r="P1721" s="4" t="s">
        <v>3629</v>
      </c>
    </row>
    <row r="1722" customFormat="false" ht="15" hidden="false" customHeight="false" outlineLevel="0" collapsed="false">
      <c r="A1722" s="4" t="s">
        <v>4272</v>
      </c>
      <c r="B1722" s="4" t="s">
        <v>4271</v>
      </c>
      <c r="C1722" s="4" t="s">
        <v>3783</v>
      </c>
      <c r="D1722" s="4" t="s">
        <v>3784</v>
      </c>
      <c r="E1722" s="4" t="s">
        <v>627</v>
      </c>
      <c r="F1722" s="4" t="s">
        <v>3406</v>
      </c>
      <c r="G1722" s="4" t="s">
        <v>59</v>
      </c>
      <c r="H1722" s="4" t="s">
        <v>3676</v>
      </c>
      <c r="I1722" s="4" t="s">
        <v>4013</v>
      </c>
      <c r="J1722" s="4" t="s">
        <v>40</v>
      </c>
      <c r="K1722" s="4" t="s">
        <v>4071</v>
      </c>
      <c r="L1722" s="4" t="s">
        <v>3406</v>
      </c>
      <c r="M1722" s="4" t="s">
        <v>737</v>
      </c>
      <c r="N1722" s="4" t="s">
        <v>44</v>
      </c>
      <c r="O1722" s="4" t="s">
        <v>4072</v>
      </c>
      <c r="P1722" s="4" t="s">
        <v>3629</v>
      </c>
    </row>
    <row r="1723" customFormat="false" ht="15" hidden="false" customHeight="false" outlineLevel="0" collapsed="false">
      <c r="A1723" s="4" t="s">
        <v>4273</v>
      </c>
      <c r="B1723" s="4" t="s">
        <v>4271</v>
      </c>
      <c r="C1723" s="4" t="s">
        <v>3783</v>
      </c>
      <c r="D1723" s="4" t="s">
        <v>3784</v>
      </c>
      <c r="E1723" s="4" t="s">
        <v>627</v>
      </c>
      <c r="F1723" s="4" t="s">
        <v>736</v>
      </c>
      <c r="G1723" s="4" t="s">
        <v>59</v>
      </c>
      <c r="H1723" s="4" t="s">
        <v>3676</v>
      </c>
      <c r="I1723" s="4" t="s">
        <v>4112</v>
      </c>
      <c r="J1723" s="4" t="s">
        <v>40</v>
      </c>
      <c r="K1723" s="4" t="s">
        <v>4274</v>
      </c>
      <c r="L1723" s="4" t="s">
        <v>1675</v>
      </c>
      <c r="M1723" s="4" t="s">
        <v>695</v>
      </c>
      <c r="N1723" s="4" t="s">
        <v>44</v>
      </c>
      <c r="O1723" s="4" t="s">
        <v>4275</v>
      </c>
      <c r="P1723" s="4" t="s">
        <v>3629</v>
      </c>
    </row>
    <row r="1724" customFormat="false" ht="15" hidden="false" customHeight="false" outlineLevel="0" collapsed="false">
      <c r="A1724" s="4" t="s">
        <v>4276</v>
      </c>
      <c r="B1724" s="4" t="s">
        <v>4277</v>
      </c>
      <c r="C1724" s="4" t="s">
        <v>3783</v>
      </c>
      <c r="D1724" s="4" t="s">
        <v>3784</v>
      </c>
      <c r="E1724" s="4" t="s">
        <v>761</v>
      </c>
      <c r="F1724" s="4" t="s">
        <v>736</v>
      </c>
      <c r="G1724" s="4" t="s">
        <v>38</v>
      </c>
      <c r="H1724" s="4" t="s">
        <v>3676</v>
      </c>
      <c r="I1724" s="4" t="s">
        <v>4278</v>
      </c>
      <c r="J1724" s="4" t="s">
        <v>40</v>
      </c>
      <c r="K1724" s="4" t="s">
        <v>1513</v>
      </c>
      <c r="L1724" s="4" t="s">
        <v>480</v>
      </c>
      <c r="M1724" s="4" t="s">
        <v>43</v>
      </c>
      <c r="N1724" s="4" t="s">
        <v>44</v>
      </c>
      <c r="O1724" s="4" t="s">
        <v>1515</v>
      </c>
      <c r="P1724" s="4" t="s">
        <v>3629</v>
      </c>
    </row>
    <row r="1725" customFormat="false" ht="15" hidden="false" customHeight="false" outlineLevel="0" collapsed="false">
      <c r="A1725" s="4" t="s">
        <v>4279</v>
      </c>
      <c r="B1725" s="4" t="s">
        <v>4277</v>
      </c>
      <c r="C1725" s="4" t="s">
        <v>4280</v>
      </c>
      <c r="D1725" s="4" t="s">
        <v>3624</v>
      </c>
      <c r="E1725" s="4" t="s">
        <v>57</v>
      </c>
      <c r="F1725" s="4" t="s">
        <v>736</v>
      </c>
      <c r="G1725" s="4" t="s">
        <v>38</v>
      </c>
      <c r="H1725" s="4" t="s">
        <v>3676</v>
      </c>
      <c r="I1725" s="4" t="s">
        <v>3669</v>
      </c>
      <c r="J1725" s="4" t="s">
        <v>40</v>
      </c>
      <c r="K1725" s="4" t="s">
        <v>3769</v>
      </c>
      <c r="L1725" s="4" t="s">
        <v>736</v>
      </c>
      <c r="M1725" s="4" t="s">
        <v>737</v>
      </c>
      <c r="N1725" s="4" t="s">
        <v>44</v>
      </c>
      <c r="O1725" s="4" t="s">
        <v>3770</v>
      </c>
      <c r="P1725" s="4" t="s">
        <v>3629</v>
      </c>
    </row>
    <row r="1726" customFormat="false" ht="15" hidden="false" customHeight="false" outlineLevel="0" collapsed="false">
      <c r="A1726" s="4" t="s">
        <v>4281</v>
      </c>
      <c r="B1726" s="4" t="s">
        <v>4280</v>
      </c>
      <c r="C1726" s="4" t="s">
        <v>3783</v>
      </c>
      <c r="D1726" s="4" t="s">
        <v>3784</v>
      </c>
      <c r="E1726" s="4" t="s">
        <v>618</v>
      </c>
      <c r="F1726" s="4" t="s">
        <v>3635</v>
      </c>
      <c r="G1726" s="4" t="s">
        <v>38</v>
      </c>
      <c r="H1726" s="4" t="s">
        <v>3676</v>
      </c>
      <c r="I1726" s="4" t="s">
        <v>3889</v>
      </c>
      <c r="J1726" s="4" t="s">
        <v>40</v>
      </c>
      <c r="K1726" s="4" t="s">
        <v>4282</v>
      </c>
      <c r="L1726" s="4" t="s">
        <v>1783</v>
      </c>
      <c r="M1726" s="4" t="s">
        <v>635</v>
      </c>
      <c r="N1726" s="4" t="s">
        <v>44</v>
      </c>
      <c r="O1726" s="4" t="s">
        <v>4283</v>
      </c>
      <c r="P1726" s="4" t="s">
        <v>3629</v>
      </c>
    </row>
    <row r="1727" customFormat="false" ht="15" hidden="false" customHeight="false" outlineLevel="0" collapsed="false">
      <c r="A1727" s="4" t="s">
        <v>4284</v>
      </c>
      <c r="B1727" s="4" t="s">
        <v>4280</v>
      </c>
      <c r="C1727" s="4" t="s">
        <v>3783</v>
      </c>
      <c r="D1727" s="4" t="s">
        <v>3784</v>
      </c>
      <c r="E1727" s="4" t="s">
        <v>613</v>
      </c>
      <c r="F1727" s="4" t="s">
        <v>736</v>
      </c>
      <c r="G1727" s="4" t="s">
        <v>38</v>
      </c>
      <c r="H1727" s="4" t="s">
        <v>3625</v>
      </c>
      <c r="I1727" s="4" t="s">
        <v>3791</v>
      </c>
      <c r="J1727" s="4" t="s">
        <v>68</v>
      </c>
      <c r="K1727" s="4" t="s">
        <v>167</v>
      </c>
      <c r="L1727" s="4" t="s">
        <v>37</v>
      </c>
      <c r="M1727" s="4" t="s">
        <v>43</v>
      </c>
      <c r="N1727" s="4" t="s">
        <v>52</v>
      </c>
      <c r="O1727" s="4" t="s">
        <v>169</v>
      </c>
      <c r="P1727" s="4" t="s">
        <v>3629</v>
      </c>
    </row>
    <row r="1728" customFormat="false" ht="15" hidden="false" customHeight="false" outlineLevel="0" collapsed="false">
      <c r="A1728" s="4" t="s">
        <v>4285</v>
      </c>
      <c r="B1728" s="4" t="s">
        <v>4280</v>
      </c>
      <c r="C1728" s="4" t="s">
        <v>3783</v>
      </c>
      <c r="D1728" s="4" t="s">
        <v>3784</v>
      </c>
      <c r="E1728" s="4" t="s">
        <v>618</v>
      </c>
      <c r="F1728" s="4" t="s">
        <v>736</v>
      </c>
      <c r="G1728" s="4" t="s">
        <v>38</v>
      </c>
      <c r="H1728" s="4" t="s">
        <v>3625</v>
      </c>
      <c r="I1728" s="4" t="s">
        <v>3828</v>
      </c>
      <c r="J1728" s="4" t="s">
        <v>68</v>
      </c>
      <c r="K1728" s="4" t="s">
        <v>3711</v>
      </c>
      <c r="L1728" s="4" t="s">
        <v>736</v>
      </c>
      <c r="M1728" s="4" t="s">
        <v>737</v>
      </c>
      <c r="N1728" s="4" t="s">
        <v>44</v>
      </c>
      <c r="O1728" s="4" t="s">
        <v>3712</v>
      </c>
      <c r="P1728" s="4" t="s">
        <v>3629</v>
      </c>
    </row>
    <row r="1729" customFormat="false" ht="15" hidden="false" customHeight="false" outlineLevel="0" collapsed="false">
      <c r="A1729" s="4" t="s">
        <v>4286</v>
      </c>
      <c r="B1729" s="4" t="s">
        <v>4287</v>
      </c>
      <c r="C1729" s="4" t="s">
        <v>3783</v>
      </c>
      <c r="D1729" s="4" t="s">
        <v>3784</v>
      </c>
      <c r="E1729" s="4" t="s">
        <v>627</v>
      </c>
      <c r="F1729" s="4" t="s">
        <v>736</v>
      </c>
      <c r="G1729" s="4" t="s">
        <v>38</v>
      </c>
      <c r="H1729" s="4" t="s">
        <v>3625</v>
      </c>
      <c r="I1729" s="4" t="s">
        <v>3837</v>
      </c>
      <c r="J1729" s="4" t="s">
        <v>40</v>
      </c>
      <c r="K1729" s="4" t="s">
        <v>4288</v>
      </c>
      <c r="L1729" s="4" t="s">
        <v>736</v>
      </c>
      <c r="M1729" s="4" t="s">
        <v>1683</v>
      </c>
      <c r="N1729" s="4" t="s">
        <v>185</v>
      </c>
      <c r="O1729" s="4" t="s">
        <v>4289</v>
      </c>
      <c r="P1729" s="4" t="s">
        <v>3629</v>
      </c>
    </row>
    <row r="1730" customFormat="false" ht="15" hidden="false" customHeight="false" outlineLevel="0" collapsed="false">
      <c r="A1730" s="4" t="s">
        <v>4290</v>
      </c>
      <c r="B1730" s="4" t="s">
        <v>4291</v>
      </c>
      <c r="C1730" s="4" t="s">
        <v>3783</v>
      </c>
      <c r="D1730" s="4" t="s">
        <v>3784</v>
      </c>
      <c r="E1730" s="4" t="s">
        <v>627</v>
      </c>
      <c r="F1730" s="4" t="s">
        <v>736</v>
      </c>
      <c r="G1730" s="4" t="s">
        <v>38</v>
      </c>
      <c r="H1730" s="4" t="s">
        <v>3632</v>
      </c>
      <c r="I1730" s="4" t="s">
        <v>4085</v>
      </c>
      <c r="J1730" s="4" t="s">
        <v>81</v>
      </c>
      <c r="K1730" s="4" t="s">
        <v>4292</v>
      </c>
      <c r="L1730" s="4" t="s">
        <v>432</v>
      </c>
      <c r="M1730" s="4" t="s">
        <v>356</v>
      </c>
      <c r="N1730" s="4" t="s">
        <v>433</v>
      </c>
      <c r="O1730" s="4"/>
      <c r="P1730" s="4" t="s">
        <v>3629</v>
      </c>
    </row>
    <row r="1731" customFormat="false" ht="15" hidden="false" customHeight="false" outlineLevel="0" collapsed="false">
      <c r="A1731" s="4" t="s">
        <v>4293</v>
      </c>
      <c r="B1731" s="4" t="s">
        <v>4291</v>
      </c>
      <c r="C1731" s="4" t="s">
        <v>3783</v>
      </c>
      <c r="D1731" s="4" t="s">
        <v>3784</v>
      </c>
      <c r="E1731" s="4" t="s">
        <v>627</v>
      </c>
      <c r="F1731" s="4" t="s">
        <v>736</v>
      </c>
      <c r="G1731" s="4" t="s">
        <v>38</v>
      </c>
      <c r="H1731" s="4" t="s">
        <v>3676</v>
      </c>
      <c r="I1731" s="4" t="s">
        <v>4294</v>
      </c>
      <c r="J1731" s="4" t="s">
        <v>68</v>
      </c>
      <c r="K1731" s="4" t="s">
        <v>4295</v>
      </c>
      <c r="L1731" s="4" t="s">
        <v>837</v>
      </c>
      <c r="M1731" s="4" t="s">
        <v>838</v>
      </c>
      <c r="N1731" s="4" t="s">
        <v>44</v>
      </c>
      <c r="O1731" s="4" t="s">
        <v>4296</v>
      </c>
      <c r="P1731" s="4" t="s">
        <v>3629</v>
      </c>
    </row>
    <row r="1732" customFormat="false" ht="15" hidden="false" customHeight="false" outlineLevel="0" collapsed="false">
      <c r="A1732" s="4" t="s">
        <v>4297</v>
      </c>
      <c r="B1732" s="4" t="s">
        <v>4298</v>
      </c>
      <c r="C1732" s="4" t="s">
        <v>3783</v>
      </c>
      <c r="D1732" s="4" t="s">
        <v>3784</v>
      </c>
      <c r="E1732" s="4" t="s">
        <v>761</v>
      </c>
      <c r="F1732" s="4" t="s">
        <v>736</v>
      </c>
      <c r="G1732" s="4" t="s">
        <v>38</v>
      </c>
      <c r="H1732" s="4" t="s">
        <v>3625</v>
      </c>
      <c r="I1732" s="4" t="s">
        <v>4299</v>
      </c>
      <c r="J1732" s="4" t="s">
        <v>40</v>
      </c>
      <c r="K1732" s="4" t="s">
        <v>570</v>
      </c>
      <c r="L1732" s="4" t="s">
        <v>571</v>
      </c>
      <c r="M1732" s="4" t="s">
        <v>356</v>
      </c>
      <c r="N1732" s="4" t="s">
        <v>357</v>
      </c>
      <c r="O1732" s="4"/>
      <c r="P1732" s="4" t="s">
        <v>3629</v>
      </c>
    </row>
    <row r="1733" customFormat="false" ht="15" hidden="false" customHeight="false" outlineLevel="0" collapsed="false">
      <c r="A1733" s="4" t="s">
        <v>4201</v>
      </c>
      <c r="B1733" s="4" t="s">
        <v>4196</v>
      </c>
      <c r="C1733" s="4" t="s">
        <v>4196</v>
      </c>
      <c r="D1733" s="4" t="s">
        <v>3624</v>
      </c>
      <c r="E1733" s="4" t="s">
        <v>89</v>
      </c>
      <c r="F1733" s="4" t="s">
        <v>1584</v>
      </c>
      <c r="G1733" s="4" t="s">
        <v>38</v>
      </c>
      <c r="H1733" s="4" t="s">
        <v>3632</v>
      </c>
      <c r="I1733" s="4" t="s">
        <v>3645</v>
      </c>
      <c r="J1733" s="4" t="s">
        <v>149</v>
      </c>
      <c r="K1733" s="4" t="s">
        <v>4202</v>
      </c>
      <c r="L1733" s="4" t="s">
        <v>736</v>
      </c>
      <c r="M1733" s="4" t="s">
        <v>737</v>
      </c>
      <c r="N1733" s="4" t="s">
        <v>44</v>
      </c>
      <c r="O1733" s="4" t="s">
        <v>4203</v>
      </c>
      <c r="P1733" s="4" t="s">
        <v>3629</v>
      </c>
    </row>
    <row r="1734" customFormat="false" ht="15" hidden="false" customHeight="false" outlineLevel="0" collapsed="false">
      <c r="A1734" s="4" t="s">
        <v>4300</v>
      </c>
      <c r="B1734" s="4" t="s">
        <v>4298</v>
      </c>
      <c r="C1734" s="4" t="s">
        <v>4301</v>
      </c>
      <c r="D1734" s="4" t="s">
        <v>3624</v>
      </c>
      <c r="E1734" s="4" t="s">
        <v>57</v>
      </c>
      <c r="F1734" s="4" t="s">
        <v>736</v>
      </c>
      <c r="G1734" s="4" t="s">
        <v>59</v>
      </c>
      <c r="H1734" s="4" t="s">
        <v>3625</v>
      </c>
      <c r="I1734" s="4" t="s">
        <v>3682</v>
      </c>
      <c r="J1734" s="4" t="s">
        <v>40</v>
      </c>
      <c r="K1734" s="4" t="s">
        <v>3764</v>
      </c>
      <c r="L1734" s="4" t="s">
        <v>3406</v>
      </c>
      <c r="M1734" s="4" t="s">
        <v>1683</v>
      </c>
      <c r="N1734" s="4" t="s">
        <v>44</v>
      </c>
      <c r="O1734" s="4" t="s">
        <v>3765</v>
      </c>
      <c r="P1734" s="4" t="s">
        <v>3629</v>
      </c>
    </row>
    <row r="1735" customFormat="false" ht="15" hidden="false" customHeight="false" outlineLevel="0" collapsed="false">
      <c r="A1735" s="4" t="s">
        <v>4302</v>
      </c>
      <c r="B1735" s="4" t="s">
        <v>4303</v>
      </c>
      <c r="C1735" s="4" t="s">
        <v>3783</v>
      </c>
      <c r="D1735" s="4" t="s">
        <v>3784</v>
      </c>
      <c r="E1735" s="4" t="s">
        <v>627</v>
      </c>
      <c r="F1735" s="4" t="s">
        <v>736</v>
      </c>
      <c r="G1735" s="4" t="s">
        <v>59</v>
      </c>
      <c r="H1735" s="4" t="s">
        <v>3632</v>
      </c>
      <c r="I1735" s="4" t="s">
        <v>4184</v>
      </c>
      <c r="J1735" s="4" t="s">
        <v>81</v>
      </c>
      <c r="K1735" s="4" t="s">
        <v>4304</v>
      </c>
      <c r="L1735" s="4" t="s">
        <v>3406</v>
      </c>
      <c r="M1735" s="4" t="s">
        <v>737</v>
      </c>
      <c r="N1735" s="4" t="s">
        <v>44</v>
      </c>
      <c r="O1735" s="4" t="s">
        <v>4305</v>
      </c>
      <c r="P1735" s="4" t="s">
        <v>3629</v>
      </c>
    </row>
    <row r="1736" customFormat="false" ht="15" hidden="false" customHeight="false" outlineLevel="0" collapsed="false">
      <c r="A1736" s="4" t="s">
        <v>4306</v>
      </c>
      <c r="B1736" s="4" t="s">
        <v>4303</v>
      </c>
      <c r="C1736" s="4" t="s">
        <v>4307</v>
      </c>
      <c r="D1736" s="4" t="s">
        <v>3624</v>
      </c>
      <c r="E1736" s="4" t="s">
        <v>49</v>
      </c>
      <c r="F1736" s="4" t="s">
        <v>736</v>
      </c>
      <c r="G1736" s="4" t="s">
        <v>38</v>
      </c>
      <c r="H1736" s="4" t="s">
        <v>3676</v>
      </c>
      <c r="I1736" s="4" t="s">
        <v>3645</v>
      </c>
      <c r="J1736" s="4" t="s">
        <v>68</v>
      </c>
      <c r="K1736" s="4" t="s">
        <v>4131</v>
      </c>
      <c r="L1736" s="4" t="s">
        <v>3406</v>
      </c>
      <c r="M1736" s="4" t="s">
        <v>737</v>
      </c>
      <c r="N1736" s="4" t="s">
        <v>44</v>
      </c>
      <c r="O1736" s="4" t="s">
        <v>4132</v>
      </c>
      <c r="P1736" s="4" t="s">
        <v>3629</v>
      </c>
    </row>
    <row r="1737" customFormat="false" ht="15" hidden="false" customHeight="false" outlineLevel="0" collapsed="false">
      <c r="A1737" s="4" t="s">
        <v>4308</v>
      </c>
      <c r="B1737" s="4" t="s">
        <v>4307</v>
      </c>
      <c r="C1737" s="4" t="s">
        <v>3783</v>
      </c>
      <c r="D1737" s="4" t="s">
        <v>3784</v>
      </c>
      <c r="E1737" s="4" t="s">
        <v>613</v>
      </c>
      <c r="F1737" s="4" t="s">
        <v>736</v>
      </c>
      <c r="G1737" s="4" t="s">
        <v>38</v>
      </c>
      <c r="H1737" s="4" t="s">
        <v>3676</v>
      </c>
      <c r="I1737" s="4" t="s">
        <v>3950</v>
      </c>
      <c r="J1737" s="4" t="s">
        <v>40</v>
      </c>
      <c r="K1737" s="4" t="s">
        <v>4309</v>
      </c>
      <c r="L1737" s="4" t="s">
        <v>736</v>
      </c>
      <c r="M1737" s="4" t="s">
        <v>737</v>
      </c>
      <c r="N1737" s="4" t="s">
        <v>44</v>
      </c>
      <c r="O1737" s="4" t="s">
        <v>4310</v>
      </c>
      <c r="P1737" s="4" t="s">
        <v>3629</v>
      </c>
    </row>
    <row r="1738" customFormat="false" ht="15" hidden="false" customHeight="false" outlineLevel="0" collapsed="false">
      <c r="A1738" s="4" t="s">
        <v>4311</v>
      </c>
      <c r="B1738" s="4" t="s">
        <v>4301</v>
      </c>
      <c r="C1738" s="4" t="s">
        <v>4312</v>
      </c>
      <c r="D1738" s="4" t="s">
        <v>3624</v>
      </c>
      <c r="E1738" s="4" t="s">
        <v>36</v>
      </c>
      <c r="F1738" s="4" t="s">
        <v>736</v>
      </c>
      <c r="G1738" s="4" t="s">
        <v>38</v>
      </c>
      <c r="H1738" s="4" t="s">
        <v>3632</v>
      </c>
      <c r="I1738" s="4" t="s">
        <v>3716</v>
      </c>
      <c r="J1738" s="4" t="s">
        <v>81</v>
      </c>
      <c r="K1738" s="4" t="s">
        <v>3662</v>
      </c>
      <c r="L1738" s="4" t="s">
        <v>736</v>
      </c>
      <c r="M1738" s="4" t="s">
        <v>737</v>
      </c>
      <c r="N1738" s="4" t="s">
        <v>44</v>
      </c>
      <c r="O1738" s="4" t="s">
        <v>3663</v>
      </c>
      <c r="P1738" s="4" t="s">
        <v>3629</v>
      </c>
    </row>
    <row r="1739" customFormat="false" ht="15" hidden="false" customHeight="false" outlineLevel="0" collapsed="false">
      <c r="A1739" s="4" t="s">
        <v>4313</v>
      </c>
      <c r="B1739" s="4" t="s">
        <v>4314</v>
      </c>
      <c r="C1739" s="4" t="s">
        <v>3783</v>
      </c>
      <c r="D1739" s="4" t="s">
        <v>3784</v>
      </c>
      <c r="E1739" s="4" t="s">
        <v>618</v>
      </c>
      <c r="F1739" s="4" t="s">
        <v>3710</v>
      </c>
      <c r="G1739" s="4" t="s">
        <v>59</v>
      </c>
      <c r="H1739" s="4" t="s">
        <v>3632</v>
      </c>
      <c r="I1739" s="4" t="s">
        <v>4315</v>
      </c>
      <c r="J1739" s="4" t="s">
        <v>40</v>
      </c>
      <c r="K1739" s="4" t="s">
        <v>4316</v>
      </c>
      <c r="L1739" s="4" t="s">
        <v>2130</v>
      </c>
      <c r="M1739" s="4" t="s">
        <v>43</v>
      </c>
      <c r="N1739" s="4" t="s">
        <v>44</v>
      </c>
      <c r="O1739" s="4" t="s">
        <v>4317</v>
      </c>
      <c r="P1739" s="4" t="s">
        <v>3629</v>
      </c>
    </row>
    <row r="1740" customFormat="false" ht="15" hidden="false" customHeight="false" outlineLevel="0" collapsed="false">
      <c r="A1740" s="4" t="s">
        <v>4318</v>
      </c>
      <c r="B1740" s="4" t="s">
        <v>4314</v>
      </c>
      <c r="C1740" s="4" t="s">
        <v>4319</v>
      </c>
      <c r="D1740" s="4" t="s">
        <v>3624</v>
      </c>
      <c r="E1740" s="4" t="s">
        <v>66</v>
      </c>
      <c r="F1740" s="4" t="s">
        <v>736</v>
      </c>
      <c r="G1740" s="4" t="s">
        <v>38</v>
      </c>
      <c r="H1740" s="4" t="s">
        <v>3706</v>
      </c>
      <c r="I1740" s="4" t="s">
        <v>3651</v>
      </c>
      <c r="J1740" s="4" t="s">
        <v>81</v>
      </c>
      <c r="K1740" s="4" t="s">
        <v>4320</v>
      </c>
      <c r="L1740" s="4" t="s">
        <v>736</v>
      </c>
      <c r="M1740" s="4" t="s">
        <v>737</v>
      </c>
      <c r="N1740" s="4" t="s">
        <v>185</v>
      </c>
      <c r="O1740" s="4" t="s">
        <v>4321</v>
      </c>
      <c r="P1740" s="4" t="s">
        <v>3629</v>
      </c>
    </row>
    <row r="1741" customFormat="false" ht="15" hidden="false" customHeight="false" outlineLevel="0" collapsed="false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 t="s">
        <v>3629</v>
      </c>
    </row>
    <row r="1742" customFormat="false" ht="15" hidden="false" customHeight="false" outlineLevel="0" collapsed="false">
      <c r="A1742" s="4" t="s">
        <v>4322</v>
      </c>
      <c r="B1742" s="4" t="s">
        <v>4319</v>
      </c>
      <c r="C1742" s="4" t="s">
        <v>4323</v>
      </c>
      <c r="D1742" s="4" t="s">
        <v>3624</v>
      </c>
      <c r="E1742" s="4" t="s">
        <v>36</v>
      </c>
      <c r="F1742" s="4" t="s">
        <v>736</v>
      </c>
      <c r="G1742" s="4" t="s">
        <v>38</v>
      </c>
      <c r="H1742" s="4" t="s">
        <v>3625</v>
      </c>
      <c r="I1742" s="4" t="s">
        <v>3645</v>
      </c>
      <c r="J1742" s="4" t="s">
        <v>40</v>
      </c>
      <c r="K1742" s="4" t="s">
        <v>3065</v>
      </c>
      <c r="L1742" s="4" t="s">
        <v>3635</v>
      </c>
      <c r="M1742" s="4" t="s">
        <v>737</v>
      </c>
      <c r="N1742" s="4" t="s">
        <v>44</v>
      </c>
      <c r="O1742" s="4" t="s">
        <v>3066</v>
      </c>
      <c r="P1742" s="4" t="s">
        <v>3629</v>
      </c>
    </row>
    <row r="1743" customFormat="false" ht="15" hidden="false" customHeight="false" outlineLevel="0" collapsed="false">
      <c r="A1743" s="4" t="s">
        <v>4324</v>
      </c>
      <c r="B1743" s="4" t="s">
        <v>4323</v>
      </c>
      <c r="C1743" s="4" t="s">
        <v>3783</v>
      </c>
      <c r="D1743" s="4" t="s">
        <v>3784</v>
      </c>
      <c r="E1743" s="4" t="s">
        <v>627</v>
      </c>
      <c r="F1743" s="4" t="s">
        <v>736</v>
      </c>
      <c r="G1743" s="4" t="s">
        <v>38</v>
      </c>
      <c r="H1743" s="4" t="s">
        <v>3676</v>
      </c>
      <c r="I1743" s="4" t="s">
        <v>4325</v>
      </c>
      <c r="J1743" s="4" t="s">
        <v>149</v>
      </c>
      <c r="K1743" s="4" t="s">
        <v>4326</v>
      </c>
      <c r="L1743" s="4" t="s">
        <v>4327</v>
      </c>
      <c r="M1743" s="4" t="s">
        <v>456</v>
      </c>
      <c r="N1743" s="4" t="s">
        <v>44</v>
      </c>
      <c r="O1743" s="4" t="s">
        <v>4328</v>
      </c>
      <c r="P1743" s="4" t="s">
        <v>3629</v>
      </c>
    </row>
    <row r="1744" customFormat="false" ht="15" hidden="false" customHeight="false" outlineLevel="0" collapsed="false">
      <c r="A1744" s="4" t="s">
        <v>4329</v>
      </c>
      <c r="B1744" s="4" t="s">
        <v>4323</v>
      </c>
      <c r="C1744" s="4" t="s">
        <v>3783</v>
      </c>
      <c r="D1744" s="4" t="s">
        <v>3784</v>
      </c>
      <c r="E1744" s="4" t="s">
        <v>649</v>
      </c>
      <c r="F1744" s="4" t="s">
        <v>3406</v>
      </c>
      <c r="G1744" s="4" t="s">
        <v>38</v>
      </c>
      <c r="H1744" s="4" t="s">
        <v>3625</v>
      </c>
      <c r="I1744" s="4" t="s">
        <v>4175</v>
      </c>
      <c r="J1744" s="4" t="s">
        <v>68</v>
      </c>
      <c r="K1744" s="4" t="s">
        <v>4330</v>
      </c>
      <c r="L1744" s="4" t="s">
        <v>736</v>
      </c>
      <c r="M1744" s="4" t="s">
        <v>737</v>
      </c>
      <c r="N1744" s="4" t="s">
        <v>44</v>
      </c>
      <c r="O1744" s="4" t="s">
        <v>4331</v>
      </c>
      <c r="P1744" s="4" t="s">
        <v>3629</v>
      </c>
    </row>
    <row r="1745" customFormat="false" ht="15" hidden="false" customHeight="false" outlineLevel="0" collapsed="false">
      <c r="A1745" s="4" t="s">
        <v>4332</v>
      </c>
      <c r="B1745" s="4" t="s">
        <v>4333</v>
      </c>
      <c r="C1745" s="4" t="s">
        <v>3783</v>
      </c>
      <c r="D1745" s="4" t="s">
        <v>3784</v>
      </c>
      <c r="E1745" s="4" t="s">
        <v>649</v>
      </c>
      <c r="F1745" s="4" t="s">
        <v>736</v>
      </c>
      <c r="G1745" s="4" t="s">
        <v>326</v>
      </c>
      <c r="H1745" s="4" t="s">
        <v>3676</v>
      </c>
      <c r="I1745" s="4" t="s">
        <v>4334</v>
      </c>
      <c r="J1745" s="4" t="s">
        <v>68</v>
      </c>
      <c r="K1745" s="4" t="s">
        <v>4335</v>
      </c>
      <c r="L1745" s="4" t="s">
        <v>736</v>
      </c>
      <c r="M1745" s="4" t="s">
        <v>737</v>
      </c>
      <c r="N1745" s="4" t="s">
        <v>44</v>
      </c>
      <c r="O1745" s="4" t="s">
        <v>4336</v>
      </c>
      <c r="P1745" s="4" t="s">
        <v>3629</v>
      </c>
    </row>
    <row r="1746" customFormat="false" ht="15" hidden="false" customHeight="false" outlineLevel="0" collapsed="false">
      <c r="A1746" s="4" t="s">
        <v>4337</v>
      </c>
      <c r="B1746" s="4" t="s">
        <v>4338</v>
      </c>
      <c r="C1746" s="4" t="s">
        <v>4338</v>
      </c>
      <c r="D1746" s="4" t="s">
        <v>3624</v>
      </c>
      <c r="E1746" s="4" t="s">
        <v>36</v>
      </c>
      <c r="F1746" s="4" t="s">
        <v>3635</v>
      </c>
      <c r="G1746" s="4" t="s">
        <v>38</v>
      </c>
      <c r="H1746" s="4" t="s">
        <v>3676</v>
      </c>
      <c r="I1746" s="4" t="s">
        <v>3669</v>
      </c>
      <c r="J1746" s="4" t="s">
        <v>40</v>
      </c>
      <c r="K1746" s="4" t="s">
        <v>3821</v>
      </c>
      <c r="L1746" s="4" t="s">
        <v>736</v>
      </c>
      <c r="M1746" s="4" t="s">
        <v>737</v>
      </c>
      <c r="N1746" s="4" t="s">
        <v>44</v>
      </c>
      <c r="O1746" s="4" t="s">
        <v>3822</v>
      </c>
      <c r="P1746" s="4" t="s">
        <v>3629</v>
      </c>
    </row>
    <row r="1747" customFormat="false" ht="15" hidden="false" customHeight="false" outlineLevel="0" collapsed="false">
      <c r="A1747" s="4" t="s">
        <v>4339</v>
      </c>
      <c r="B1747" s="4" t="s">
        <v>4340</v>
      </c>
      <c r="C1747" s="4" t="s">
        <v>3783</v>
      </c>
      <c r="D1747" s="4" t="s">
        <v>3784</v>
      </c>
      <c r="E1747" s="4" t="s">
        <v>613</v>
      </c>
      <c r="F1747" s="4" t="s">
        <v>736</v>
      </c>
      <c r="G1747" s="4" t="s">
        <v>38</v>
      </c>
      <c r="H1747" s="4" t="s">
        <v>3676</v>
      </c>
      <c r="I1747" s="4" t="s">
        <v>4341</v>
      </c>
      <c r="J1747" s="4" t="s">
        <v>40</v>
      </c>
      <c r="K1747" s="4" t="s">
        <v>4342</v>
      </c>
      <c r="L1747" s="4" t="s">
        <v>736</v>
      </c>
      <c r="M1747" s="4" t="s">
        <v>737</v>
      </c>
      <c r="N1747" s="4" t="s">
        <v>44</v>
      </c>
      <c r="O1747" s="4" t="s">
        <v>4343</v>
      </c>
      <c r="P1747" s="4" t="s">
        <v>3629</v>
      </c>
    </row>
    <row r="1748" customFormat="false" ht="15" hidden="false" customHeight="false" outlineLevel="0" collapsed="false">
      <c r="A1748" s="4" t="s">
        <v>4344</v>
      </c>
      <c r="B1748" s="4" t="s">
        <v>4340</v>
      </c>
      <c r="C1748" s="4" t="s">
        <v>3783</v>
      </c>
      <c r="D1748" s="4" t="s">
        <v>3784</v>
      </c>
      <c r="E1748" s="4" t="s">
        <v>627</v>
      </c>
      <c r="F1748" s="4" t="s">
        <v>3635</v>
      </c>
      <c r="G1748" s="4" t="s">
        <v>38</v>
      </c>
      <c r="H1748" s="4" t="s">
        <v>3625</v>
      </c>
      <c r="I1748" s="4" t="s">
        <v>4345</v>
      </c>
      <c r="J1748" s="4" t="s">
        <v>68</v>
      </c>
      <c r="K1748" s="4" t="s">
        <v>4346</v>
      </c>
      <c r="L1748" s="4" t="s">
        <v>736</v>
      </c>
      <c r="M1748" s="4" t="s">
        <v>737</v>
      </c>
      <c r="N1748" s="4" t="s">
        <v>44</v>
      </c>
      <c r="O1748" s="4" t="s">
        <v>4347</v>
      </c>
      <c r="P1748" s="4" t="s">
        <v>3629</v>
      </c>
    </row>
    <row r="1749" customFormat="false" ht="15" hidden="false" customHeight="false" outlineLevel="0" collapsed="false">
      <c r="A1749" s="4" t="s">
        <v>4348</v>
      </c>
      <c r="B1749" s="4" t="s">
        <v>4349</v>
      </c>
      <c r="C1749" s="4" t="s">
        <v>3783</v>
      </c>
      <c r="D1749" s="4" t="s">
        <v>3784</v>
      </c>
      <c r="E1749" s="4" t="s">
        <v>613</v>
      </c>
      <c r="F1749" s="4" t="s">
        <v>736</v>
      </c>
      <c r="G1749" s="4" t="s">
        <v>38</v>
      </c>
      <c r="H1749" s="4" t="s">
        <v>3676</v>
      </c>
      <c r="I1749" s="4" t="s">
        <v>3923</v>
      </c>
      <c r="J1749" s="4" t="s">
        <v>68</v>
      </c>
      <c r="K1749" s="4" t="s">
        <v>4350</v>
      </c>
      <c r="L1749" s="4" t="s">
        <v>988</v>
      </c>
      <c r="M1749" s="4" t="s">
        <v>737</v>
      </c>
      <c r="N1749" s="4" t="s">
        <v>44</v>
      </c>
      <c r="O1749" s="4" t="s">
        <v>4351</v>
      </c>
      <c r="P1749" s="4" t="s">
        <v>3629</v>
      </c>
    </row>
    <row r="1750" customFormat="false" ht="15" hidden="false" customHeight="false" outlineLevel="0" collapsed="false">
      <c r="A1750" s="4" t="s">
        <v>4352</v>
      </c>
      <c r="B1750" s="4" t="s">
        <v>4353</v>
      </c>
      <c r="C1750" s="4" t="s">
        <v>3783</v>
      </c>
      <c r="D1750" s="4" t="s">
        <v>3784</v>
      </c>
      <c r="E1750" s="4" t="s">
        <v>627</v>
      </c>
      <c r="F1750" s="4" t="s">
        <v>736</v>
      </c>
      <c r="G1750" s="4" t="s">
        <v>38</v>
      </c>
      <c r="H1750" s="4" t="s">
        <v>3625</v>
      </c>
      <c r="I1750" s="4" t="s">
        <v>4192</v>
      </c>
      <c r="J1750" s="4" t="s">
        <v>40</v>
      </c>
      <c r="K1750" s="4" t="s">
        <v>4147</v>
      </c>
      <c r="L1750" s="4" t="s">
        <v>736</v>
      </c>
      <c r="M1750" s="4" t="s">
        <v>1683</v>
      </c>
      <c r="N1750" s="4" t="s">
        <v>44</v>
      </c>
      <c r="O1750" s="4" t="s">
        <v>4148</v>
      </c>
      <c r="P1750" s="4" t="s">
        <v>3629</v>
      </c>
    </row>
    <row r="1751" customFormat="false" ht="15" hidden="false" customHeight="false" outlineLevel="0" collapsed="false">
      <c r="A1751" s="4" t="s">
        <v>4354</v>
      </c>
      <c r="B1751" s="4" t="s">
        <v>4353</v>
      </c>
      <c r="C1751" s="4" t="s">
        <v>3783</v>
      </c>
      <c r="D1751" s="4" t="s">
        <v>3784</v>
      </c>
      <c r="E1751" s="4" t="s">
        <v>627</v>
      </c>
      <c r="F1751" s="4" t="s">
        <v>736</v>
      </c>
      <c r="G1751" s="4" t="s">
        <v>38</v>
      </c>
      <c r="H1751" s="4" t="s">
        <v>3676</v>
      </c>
      <c r="I1751" s="4" t="s">
        <v>4236</v>
      </c>
      <c r="J1751" s="4" t="s">
        <v>40</v>
      </c>
      <c r="K1751" s="4" t="s">
        <v>1583</v>
      </c>
      <c r="L1751" s="4" t="s">
        <v>736</v>
      </c>
      <c r="M1751" s="4" t="s">
        <v>737</v>
      </c>
      <c r="N1751" s="4" t="s">
        <v>52</v>
      </c>
      <c r="O1751" s="4" t="s">
        <v>1585</v>
      </c>
      <c r="P1751" s="4" t="s">
        <v>3629</v>
      </c>
    </row>
    <row r="1752" customFormat="false" ht="15" hidden="false" customHeight="false" outlineLevel="0" collapsed="false">
      <c r="A1752" s="4" t="s">
        <v>4355</v>
      </c>
      <c r="B1752" s="4" t="s">
        <v>4353</v>
      </c>
      <c r="C1752" s="4" t="s">
        <v>4356</v>
      </c>
      <c r="D1752" s="4" t="s">
        <v>3624</v>
      </c>
      <c r="E1752" s="4" t="s">
        <v>36</v>
      </c>
      <c r="F1752" s="4" t="s">
        <v>3635</v>
      </c>
      <c r="G1752" s="4" t="s">
        <v>38</v>
      </c>
      <c r="H1752" s="4" t="s">
        <v>3676</v>
      </c>
      <c r="I1752" s="4" t="s">
        <v>3645</v>
      </c>
      <c r="J1752" s="4" t="s">
        <v>81</v>
      </c>
      <c r="K1752" s="4" t="s">
        <v>4357</v>
      </c>
      <c r="L1752" s="4" t="s">
        <v>3406</v>
      </c>
      <c r="M1752" s="4" t="s">
        <v>737</v>
      </c>
      <c r="N1752" s="4" t="s">
        <v>44</v>
      </c>
      <c r="O1752" s="4" t="s">
        <v>4358</v>
      </c>
      <c r="P1752" s="4" t="s">
        <v>3629</v>
      </c>
    </row>
    <row r="1753" customFormat="false" ht="15" hidden="false" customHeight="false" outlineLevel="0" collapsed="false">
      <c r="A1753" s="4" t="s">
        <v>4359</v>
      </c>
      <c r="B1753" s="4" t="s">
        <v>4353</v>
      </c>
      <c r="C1753" s="4" t="s">
        <v>4353</v>
      </c>
      <c r="D1753" s="4" t="s">
        <v>3624</v>
      </c>
      <c r="E1753" s="4" t="s">
        <v>66</v>
      </c>
      <c r="F1753" s="4" t="s">
        <v>736</v>
      </c>
      <c r="G1753" s="4" t="s">
        <v>59</v>
      </c>
      <c r="H1753" s="4" t="s">
        <v>3625</v>
      </c>
      <c r="I1753" s="4" t="s">
        <v>3657</v>
      </c>
      <c r="J1753" s="4" t="s">
        <v>40</v>
      </c>
      <c r="K1753" s="4" t="s">
        <v>2208</v>
      </c>
      <c r="L1753" s="4" t="s">
        <v>736</v>
      </c>
      <c r="M1753" s="4" t="s">
        <v>737</v>
      </c>
      <c r="N1753" s="4" t="s">
        <v>44</v>
      </c>
      <c r="O1753" s="4" t="s">
        <v>2209</v>
      </c>
      <c r="P1753" s="4" t="s">
        <v>3629</v>
      </c>
    </row>
    <row r="1754" customFormat="false" ht="15" hidden="false" customHeight="false" outlineLevel="0" collapsed="false">
      <c r="A1754" s="4" t="s">
        <v>4360</v>
      </c>
      <c r="B1754" s="4" t="s">
        <v>4361</v>
      </c>
      <c r="C1754" s="4" t="s">
        <v>3783</v>
      </c>
      <c r="D1754" s="4" t="s">
        <v>3784</v>
      </c>
      <c r="E1754" s="4" t="s">
        <v>627</v>
      </c>
      <c r="F1754" s="4" t="s">
        <v>3710</v>
      </c>
      <c r="G1754" s="4" t="s">
        <v>59</v>
      </c>
      <c r="H1754" s="4" t="s">
        <v>3625</v>
      </c>
      <c r="I1754" s="4" t="s">
        <v>3875</v>
      </c>
      <c r="J1754" s="4" t="s">
        <v>149</v>
      </c>
      <c r="K1754" s="4" t="s">
        <v>773</v>
      </c>
      <c r="L1754" s="4" t="s">
        <v>571</v>
      </c>
      <c r="M1754" s="4" t="s">
        <v>356</v>
      </c>
      <c r="N1754" s="4" t="s">
        <v>676</v>
      </c>
      <c r="O1754" s="4"/>
      <c r="P1754" s="4" t="s">
        <v>3629</v>
      </c>
    </row>
    <row r="1755" customFormat="false" ht="15" hidden="false" customHeight="false" outlineLevel="0" collapsed="false">
      <c r="A1755" s="4" t="s">
        <v>4362</v>
      </c>
      <c r="B1755" s="4" t="s">
        <v>4361</v>
      </c>
      <c r="C1755" s="4" t="s">
        <v>3783</v>
      </c>
      <c r="D1755" s="4" t="s">
        <v>3784</v>
      </c>
      <c r="E1755" s="4" t="s">
        <v>649</v>
      </c>
      <c r="F1755" s="4" t="s">
        <v>736</v>
      </c>
      <c r="G1755" s="4" t="s">
        <v>38</v>
      </c>
      <c r="H1755" s="4" t="s">
        <v>3632</v>
      </c>
      <c r="I1755" s="4" t="s">
        <v>4363</v>
      </c>
      <c r="J1755" s="4" t="s">
        <v>40</v>
      </c>
      <c r="K1755" s="4" t="s">
        <v>4010</v>
      </c>
      <c r="L1755" s="4" t="s">
        <v>736</v>
      </c>
      <c r="M1755" s="4" t="s">
        <v>737</v>
      </c>
      <c r="N1755" s="4" t="s">
        <v>44</v>
      </c>
      <c r="O1755" s="4" t="s">
        <v>4011</v>
      </c>
      <c r="P1755" s="4" t="s">
        <v>3629</v>
      </c>
    </row>
    <row r="1756" customFormat="false" ht="15" hidden="false" customHeight="false" outlineLevel="0" collapsed="false">
      <c r="A1756" s="4" t="s">
        <v>4364</v>
      </c>
      <c r="B1756" s="4" t="s">
        <v>4365</v>
      </c>
      <c r="C1756" s="4" t="s">
        <v>3783</v>
      </c>
      <c r="D1756" s="4" t="s">
        <v>3784</v>
      </c>
      <c r="E1756" s="4" t="s">
        <v>627</v>
      </c>
      <c r="F1756" s="4" t="s">
        <v>736</v>
      </c>
      <c r="G1756" s="4" t="s">
        <v>38</v>
      </c>
      <c r="H1756" s="4" t="s">
        <v>3625</v>
      </c>
      <c r="I1756" s="4" t="s">
        <v>4192</v>
      </c>
      <c r="J1756" s="4" t="s">
        <v>40</v>
      </c>
      <c r="K1756" s="4" t="s">
        <v>4138</v>
      </c>
      <c r="L1756" s="4" t="s">
        <v>736</v>
      </c>
      <c r="M1756" s="4" t="s">
        <v>737</v>
      </c>
      <c r="N1756" s="4" t="s">
        <v>44</v>
      </c>
      <c r="O1756" s="4" t="s">
        <v>4139</v>
      </c>
      <c r="P1756" s="4" t="s">
        <v>3629</v>
      </c>
    </row>
    <row r="1757" customFormat="false" ht="15" hidden="false" customHeight="false" outlineLevel="0" collapsed="false">
      <c r="A1757" s="4" t="s">
        <v>4366</v>
      </c>
      <c r="B1757" s="4" t="s">
        <v>4365</v>
      </c>
      <c r="C1757" s="4" t="s">
        <v>3783</v>
      </c>
      <c r="D1757" s="4" t="s">
        <v>3784</v>
      </c>
      <c r="E1757" s="4" t="s">
        <v>627</v>
      </c>
      <c r="F1757" s="4" t="s">
        <v>736</v>
      </c>
      <c r="G1757" s="4" t="s">
        <v>326</v>
      </c>
      <c r="H1757" s="4" t="s">
        <v>3676</v>
      </c>
      <c r="I1757" s="4" t="s">
        <v>4367</v>
      </c>
      <c r="J1757" s="4" t="s">
        <v>81</v>
      </c>
      <c r="K1757" s="4" t="s">
        <v>4368</v>
      </c>
      <c r="L1757" s="4" t="s">
        <v>736</v>
      </c>
      <c r="M1757" s="4" t="s">
        <v>737</v>
      </c>
      <c r="N1757" s="4" t="s">
        <v>44</v>
      </c>
      <c r="O1757" s="4" t="s">
        <v>4369</v>
      </c>
      <c r="P1757" s="4" t="s">
        <v>3629</v>
      </c>
    </row>
    <row r="1758" customFormat="false" ht="15" hidden="false" customHeight="false" outlineLevel="0" collapsed="false">
      <c r="A1758" s="4" t="s">
        <v>4370</v>
      </c>
      <c r="B1758" s="4" t="s">
        <v>4365</v>
      </c>
      <c r="C1758" s="4" t="s">
        <v>3783</v>
      </c>
      <c r="D1758" s="4" t="s">
        <v>3784</v>
      </c>
      <c r="E1758" s="4" t="s">
        <v>627</v>
      </c>
      <c r="F1758" s="4" t="s">
        <v>736</v>
      </c>
      <c r="G1758" s="4" t="s">
        <v>38</v>
      </c>
      <c r="H1758" s="4" t="s">
        <v>3706</v>
      </c>
      <c r="I1758" s="4" t="s">
        <v>4371</v>
      </c>
      <c r="J1758" s="4" t="s">
        <v>81</v>
      </c>
      <c r="K1758" s="4" t="s">
        <v>3924</v>
      </c>
      <c r="L1758" s="4" t="s">
        <v>988</v>
      </c>
      <c r="M1758" s="4" t="s">
        <v>737</v>
      </c>
      <c r="N1758" s="4" t="s">
        <v>94</v>
      </c>
      <c r="O1758" s="4" t="s">
        <v>3925</v>
      </c>
      <c r="P1758" s="4" t="s">
        <v>3629</v>
      </c>
    </row>
    <row r="1759" customFormat="false" ht="15" hidden="false" customHeight="false" outlineLevel="0" collapsed="false">
      <c r="A1759" s="4" t="s">
        <v>4372</v>
      </c>
      <c r="B1759" s="4" t="s">
        <v>4365</v>
      </c>
      <c r="C1759" s="4" t="s">
        <v>4373</v>
      </c>
      <c r="D1759" s="4" t="s">
        <v>3624</v>
      </c>
      <c r="E1759" s="4" t="s">
        <v>49</v>
      </c>
      <c r="F1759" s="4" t="s">
        <v>736</v>
      </c>
      <c r="G1759" s="4" t="s">
        <v>38</v>
      </c>
      <c r="H1759" s="4" t="s">
        <v>3676</v>
      </c>
      <c r="I1759" s="4" t="s">
        <v>3645</v>
      </c>
      <c r="J1759" s="4" t="s">
        <v>40</v>
      </c>
      <c r="K1759" s="4" t="s">
        <v>824</v>
      </c>
      <c r="L1759" s="4" t="s">
        <v>382</v>
      </c>
      <c r="M1759" s="4" t="s">
        <v>43</v>
      </c>
      <c r="N1759" s="4" t="s">
        <v>44</v>
      </c>
      <c r="O1759" s="4" t="s">
        <v>826</v>
      </c>
      <c r="P1759" s="4" t="s">
        <v>3629</v>
      </c>
    </row>
    <row r="1760" customFormat="false" ht="15" hidden="false" customHeight="false" outlineLevel="0" collapsed="false">
      <c r="A1760" s="4" t="s">
        <v>4374</v>
      </c>
      <c r="B1760" s="4" t="s">
        <v>4365</v>
      </c>
      <c r="C1760" s="4" t="s">
        <v>4375</v>
      </c>
      <c r="D1760" s="4" t="s">
        <v>3624</v>
      </c>
      <c r="E1760" s="4" t="s">
        <v>36</v>
      </c>
      <c r="F1760" s="4" t="s">
        <v>736</v>
      </c>
      <c r="G1760" s="4" t="s">
        <v>59</v>
      </c>
      <c r="H1760" s="4" t="s">
        <v>3625</v>
      </c>
      <c r="I1760" s="4" t="s">
        <v>3657</v>
      </c>
      <c r="J1760" s="4" t="s">
        <v>68</v>
      </c>
      <c r="K1760" s="4" t="s">
        <v>3065</v>
      </c>
      <c r="L1760" s="4" t="s">
        <v>3635</v>
      </c>
      <c r="M1760" s="4" t="s">
        <v>737</v>
      </c>
      <c r="N1760" s="4" t="s">
        <v>44</v>
      </c>
      <c r="O1760" s="4" t="s">
        <v>3066</v>
      </c>
      <c r="P1760" s="4" t="s">
        <v>3629</v>
      </c>
    </row>
    <row r="1761" customFormat="false" ht="15" hidden="false" customHeight="false" outlineLevel="0" collapsed="false">
      <c r="A1761" s="4" t="s">
        <v>4376</v>
      </c>
      <c r="B1761" s="4" t="s">
        <v>4373</v>
      </c>
      <c r="C1761" s="4" t="s">
        <v>3783</v>
      </c>
      <c r="D1761" s="4" t="s">
        <v>3784</v>
      </c>
      <c r="E1761" s="4" t="s">
        <v>627</v>
      </c>
      <c r="F1761" s="4" t="s">
        <v>736</v>
      </c>
      <c r="G1761" s="4" t="s">
        <v>59</v>
      </c>
      <c r="H1761" s="4" t="s">
        <v>3625</v>
      </c>
      <c r="I1761" s="4" t="s">
        <v>4078</v>
      </c>
      <c r="J1761" s="4" t="s">
        <v>40</v>
      </c>
      <c r="K1761" s="4" t="s">
        <v>4377</v>
      </c>
      <c r="L1761" s="4" t="s">
        <v>3406</v>
      </c>
      <c r="M1761" s="4" t="s">
        <v>737</v>
      </c>
      <c r="N1761" s="4" t="s">
        <v>94</v>
      </c>
      <c r="O1761" s="4" t="s">
        <v>4378</v>
      </c>
      <c r="P1761" s="4" t="s">
        <v>3629</v>
      </c>
    </row>
    <row r="1762" customFormat="false" ht="15" hidden="false" customHeight="false" outlineLevel="0" collapsed="false">
      <c r="A1762" s="4" t="s">
        <v>4379</v>
      </c>
      <c r="B1762" s="4" t="s">
        <v>4373</v>
      </c>
      <c r="C1762" s="4" t="s">
        <v>3783</v>
      </c>
      <c r="D1762" s="4" t="s">
        <v>3784</v>
      </c>
      <c r="E1762" s="4" t="s">
        <v>627</v>
      </c>
      <c r="F1762" s="4" t="s">
        <v>736</v>
      </c>
      <c r="G1762" s="4" t="s">
        <v>59</v>
      </c>
      <c r="H1762" s="4" t="s">
        <v>3632</v>
      </c>
      <c r="I1762" s="4" t="s">
        <v>4046</v>
      </c>
      <c r="J1762" s="4" t="s">
        <v>40</v>
      </c>
      <c r="K1762" s="4" t="s">
        <v>4380</v>
      </c>
      <c r="L1762" s="4" t="s">
        <v>634</v>
      </c>
      <c r="M1762" s="4" t="s">
        <v>635</v>
      </c>
      <c r="N1762" s="4" t="s">
        <v>44</v>
      </c>
      <c r="O1762" s="4" t="s">
        <v>4381</v>
      </c>
      <c r="P1762" s="4" t="s">
        <v>3629</v>
      </c>
    </row>
    <row r="1763" customFormat="false" ht="15" hidden="false" customHeight="false" outlineLevel="0" collapsed="false">
      <c r="A1763" s="4" t="s">
        <v>4382</v>
      </c>
      <c r="B1763" s="4" t="s">
        <v>4373</v>
      </c>
      <c r="C1763" s="4" t="s">
        <v>3783</v>
      </c>
      <c r="D1763" s="4" t="s">
        <v>3784</v>
      </c>
      <c r="E1763" s="4" t="s">
        <v>761</v>
      </c>
      <c r="F1763" s="4" t="s">
        <v>736</v>
      </c>
      <c r="G1763" s="4" t="s">
        <v>326</v>
      </c>
      <c r="H1763" s="4" t="s">
        <v>3625</v>
      </c>
      <c r="I1763" s="4" t="s">
        <v>4383</v>
      </c>
      <c r="J1763" s="4" t="s">
        <v>40</v>
      </c>
      <c r="K1763" s="4" t="s">
        <v>3931</v>
      </c>
      <c r="L1763" s="4" t="s">
        <v>736</v>
      </c>
      <c r="M1763" s="4" t="s">
        <v>737</v>
      </c>
      <c r="N1763" s="4" t="s">
        <v>44</v>
      </c>
      <c r="O1763" s="4" t="s">
        <v>3932</v>
      </c>
      <c r="P1763" s="4" t="s">
        <v>3629</v>
      </c>
    </row>
    <row r="1764" customFormat="false" ht="15" hidden="false" customHeight="false" outlineLevel="0" collapsed="false">
      <c r="A1764" s="4" t="s">
        <v>4384</v>
      </c>
      <c r="B1764" s="4" t="s">
        <v>4373</v>
      </c>
      <c r="C1764" s="4" t="s">
        <v>3783</v>
      </c>
      <c r="D1764" s="4" t="s">
        <v>3784</v>
      </c>
      <c r="E1764" s="4" t="s">
        <v>627</v>
      </c>
      <c r="F1764" s="4" t="s">
        <v>3406</v>
      </c>
      <c r="G1764" s="4" t="s">
        <v>59</v>
      </c>
      <c r="H1764" s="4" t="s">
        <v>3676</v>
      </c>
      <c r="I1764" s="4" t="s">
        <v>3853</v>
      </c>
      <c r="J1764" s="4" t="s">
        <v>68</v>
      </c>
      <c r="K1764" s="4" t="s">
        <v>4385</v>
      </c>
      <c r="L1764" s="4" t="s">
        <v>480</v>
      </c>
      <c r="M1764" s="4" t="s">
        <v>43</v>
      </c>
      <c r="N1764" s="4" t="s">
        <v>44</v>
      </c>
      <c r="O1764" s="4" t="s">
        <v>4386</v>
      </c>
      <c r="P1764" s="4" t="s">
        <v>3629</v>
      </c>
    </row>
    <row r="1765" customFormat="false" ht="15" hidden="false" customHeight="false" outlineLevel="0" collapsed="false">
      <c r="A1765" s="4" t="s">
        <v>4387</v>
      </c>
      <c r="B1765" s="4" t="s">
        <v>4373</v>
      </c>
      <c r="C1765" s="4" t="s">
        <v>3783</v>
      </c>
      <c r="D1765" s="4" t="s">
        <v>3784</v>
      </c>
      <c r="E1765" s="4" t="s">
        <v>627</v>
      </c>
      <c r="F1765" s="4" t="s">
        <v>736</v>
      </c>
      <c r="G1765" s="4" t="s">
        <v>38</v>
      </c>
      <c r="H1765" s="4" t="s">
        <v>3676</v>
      </c>
      <c r="I1765" s="4" t="s">
        <v>4388</v>
      </c>
      <c r="J1765" s="4" t="s">
        <v>40</v>
      </c>
      <c r="K1765" s="4" t="s">
        <v>4389</v>
      </c>
      <c r="L1765" s="4" t="s">
        <v>736</v>
      </c>
      <c r="M1765" s="4" t="s">
        <v>1683</v>
      </c>
      <c r="N1765" s="4" t="s">
        <v>44</v>
      </c>
      <c r="O1765" s="4" t="s">
        <v>4390</v>
      </c>
      <c r="P1765" s="4" t="s">
        <v>3629</v>
      </c>
    </row>
    <row r="1766" customFormat="false" ht="15" hidden="false" customHeight="false" outlineLevel="0" collapsed="false">
      <c r="A1766" s="4" t="s">
        <v>4391</v>
      </c>
      <c r="B1766" s="4" t="s">
        <v>4373</v>
      </c>
      <c r="C1766" s="4" t="s">
        <v>3783</v>
      </c>
      <c r="D1766" s="4" t="s">
        <v>3784</v>
      </c>
      <c r="E1766" s="4" t="s">
        <v>761</v>
      </c>
      <c r="F1766" s="4" t="s">
        <v>736</v>
      </c>
      <c r="G1766" s="4" t="s">
        <v>59</v>
      </c>
      <c r="H1766" s="4" t="s">
        <v>3676</v>
      </c>
      <c r="I1766" s="4" t="s">
        <v>4030</v>
      </c>
      <c r="J1766" s="4" t="s">
        <v>68</v>
      </c>
      <c r="K1766" s="4" t="s">
        <v>3821</v>
      </c>
      <c r="L1766" s="4" t="s">
        <v>736</v>
      </c>
      <c r="M1766" s="4" t="s">
        <v>737</v>
      </c>
      <c r="N1766" s="4" t="s">
        <v>44</v>
      </c>
      <c r="O1766" s="4" t="s">
        <v>3822</v>
      </c>
      <c r="P1766" s="4" t="s">
        <v>3629</v>
      </c>
    </row>
    <row r="1767" customFormat="false" ht="15" hidden="false" customHeight="false" outlineLevel="0" collapsed="false">
      <c r="A1767" s="4" t="s">
        <v>4392</v>
      </c>
      <c r="B1767" s="4" t="s">
        <v>4373</v>
      </c>
      <c r="C1767" s="4" t="s">
        <v>3783</v>
      </c>
      <c r="D1767" s="4" t="s">
        <v>3784</v>
      </c>
      <c r="E1767" s="4" t="s">
        <v>627</v>
      </c>
      <c r="F1767" s="4" t="s">
        <v>736</v>
      </c>
      <c r="G1767" s="4" t="s">
        <v>38</v>
      </c>
      <c r="H1767" s="4" t="s">
        <v>3632</v>
      </c>
      <c r="I1767" s="4" t="s">
        <v>4007</v>
      </c>
      <c r="J1767" s="4" t="s">
        <v>40</v>
      </c>
      <c r="K1767" s="4" t="s">
        <v>4393</v>
      </c>
      <c r="L1767" s="4" t="s">
        <v>455</v>
      </c>
      <c r="M1767" s="4" t="s">
        <v>456</v>
      </c>
      <c r="N1767" s="4" t="s">
        <v>44</v>
      </c>
      <c r="O1767" s="4" t="s">
        <v>4394</v>
      </c>
      <c r="P1767" s="4" t="s">
        <v>3629</v>
      </c>
    </row>
    <row r="1768" customFormat="false" ht="15" hidden="false" customHeight="false" outlineLevel="0" collapsed="false">
      <c r="A1768" s="4" t="s">
        <v>4395</v>
      </c>
      <c r="B1768" s="4" t="s">
        <v>4375</v>
      </c>
      <c r="C1768" s="4" t="s">
        <v>3783</v>
      </c>
      <c r="D1768" s="4" t="s">
        <v>3784</v>
      </c>
      <c r="E1768" s="4" t="s">
        <v>627</v>
      </c>
      <c r="F1768" s="4" t="s">
        <v>736</v>
      </c>
      <c r="G1768" s="4" t="s">
        <v>38</v>
      </c>
      <c r="H1768" s="4" t="s">
        <v>3625</v>
      </c>
      <c r="I1768" s="4" t="s">
        <v>3859</v>
      </c>
      <c r="J1768" s="4" t="s">
        <v>40</v>
      </c>
      <c r="K1768" s="4" t="s">
        <v>3769</v>
      </c>
      <c r="L1768" s="4" t="s">
        <v>736</v>
      </c>
      <c r="M1768" s="4" t="s">
        <v>737</v>
      </c>
      <c r="N1768" s="4" t="s">
        <v>44</v>
      </c>
      <c r="O1768" s="4" t="s">
        <v>3770</v>
      </c>
      <c r="P1768" s="4" t="s">
        <v>3629</v>
      </c>
    </row>
    <row r="1769" customFormat="false" ht="15" hidden="false" customHeight="false" outlineLevel="0" collapsed="false">
      <c r="A1769" s="4" t="s">
        <v>4332</v>
      </c>
      <c r="B1769" s="4" t="s">
        <v>4333</v>
      </c>
      <c r="C1769" s="4" t="s">
        <v>3783</v>
      </c>
      <c r="D1769" s="4" t="s">
        <v>3784</v>
      </c>
      <c r="E1769" s="4" t="s">
        <v>649</v>
      </c>
      <c r="F1769" s="4" t="s">
        <v>736</v>
      </c>
      <c r="G1769" s="4" t="s">
        <v>326</v>
      </c>
      <c r="H1769" s="4" t="s">
        <v>3676</v>
      </c>
      <c r="I1769" s="4" t="s">
        <v>4334</v>
      </c>
      <c r="J1769" s="4" t="s">
        <v>68</v>
      </c>
      <c r="K1769" s="4" t="s">
        <v>4335</v>
      </c>
      <c r="L1769" s="4" t="s">
        <v>736</v>
      </c>
      <c r="M1769" s="4" t="s">
        <v>737</v>
      </c>
      <c r="N1769" s="4" t="s">
        <v>44</v>
      </c>
      <c r="O1769" s="4" t="s">
        <v>4336</v>
      </c>
      <c r="P1769" s="4" t="s">
        <v>3629</v>
      </c>
    </row>
    <row r="1770" customFormat="false" ht="15" hidden="false" customHeight="false" outlineLevel="0" collapsed="false">
      <c r="A1770" s="4" t="s">
        <v>4396</v>
      </c>
      <c r="B1770" s="4" t="s">
        <v>4375</v>
      </c>
      <c r="C1770" s="4" t="s">
        <v>3783</v>
      </c>
      <c r="D1770" s="4" t="s">
        <v>3784</v>
      </c>
      <c r="E1770" s="4" t="s">
        <v>627</v>
      </c>
      <c r="F1770" s="4" t="s">
        <v>736</v>
      </c>
      <c r="G1770" s="4" t="s">
        <v>38</v>
      </c>
      <c r="H1770" s="4" t="s">
        <v>3676</v>
      </c>
      <c r="I1770" s="4" t="s">
        <v>3849</v>
      </c>
      <c r="J1770" s="4" t="s">
        <v>40</v>
      </c>
      <c r="K1770" s="4" t="s">
        <v>4397</v>
      </c>
      <c r="L1770" s="4" t="s">
        <v>736</v>
      </c>
      <c r="M1770" s="4" t="s">
        <v>737</v>
      </c>
      <c r="N1770" s="4" t="s">
        <v>52</v>
      </c>
      <c r="O1770" s="4" t="s">
        <v>4398</v>
      </c>
      <c r="P1770" s="4" t="s">
        <v>3629</v>
      </c>
    </row>
    <row r="1771" customFormat="false" ht="15" hidden="false" customHeight="false" outlineLevel="0" collapsed="false">
      <c r="A1771" s="4" t="s">
        <v>4399</v>
      </c>
      <c r="B1771" s="4" t="s">
        <v>4375</v>
      </c>
      <c r="C1771" s="4" t="s">
        <v>3783</v>
      </c>
      <c r="D1771" s="4" t="s">
        <v>3784</v>
      </c>
      <c r="E1771" s="4" t="s">
        <v>618</v>
      </c>
      <c r="F1771" s="4" t="s">
        <v>736</v>
      </c>
      <c r="G1771" s="4" t="s">
        <v>59</v>
      </c>
      <c r="H1771" s="4" t="s">
        <v>3625</v>
      </c>
      <c r="I1771" s="4" t="s">
        <v>4400</v>
      </c>
      <c r="J1771" s="4" t="s">
        <v>68</v>
      </c>
      <c r="K1771" s="4" t="s">
        <v>4401</v>
      </c>
      <c r="L1771" s="4" t="s">
        <v>219</v>
      </c>
      <c r="M1771" s="4" t="s">
        <v>356</v>
      </c>
      <c r="N1771" s="4" t="s">
        <v>221</v>
      </c>
      <c r="O1771" s="4"/>
      <c r="P1771" s="4" t="s">
        <v>3629</v>
      </c>
    </row>
    <row r="1772" customFormat="false" ht="15" hidden="false" customHeight="false" outlineLevel="0" collapsed="false">
      <c r="A1772" s="4" t="s">
        <v>4402</v>
      </c>
      <c r="B1772" s="4" t="s">
        <v>4375</v>
      </c>
      <c r="C1772" s="4" t="s">
        <v>3783</v>
      </c>
      <c r="D1772" s="4" t="s">
        <v>3784</v>
      </c>
      <c r="E1772" s="4" t="s">
        <v>627</v>
      </c>
      <c r="F1772" s="4" t="s">
        <v>736</v>
      </c>
      <c r="G1772" s="4" t="s">
        <v>38</v>
      </c>
      <c r="H1772" s="4" t="s">
        <v>3632</v>
      </c>
      <c r="I1772" s="4" t="s">
        <v>4101</v>
      </c>
      <c r="J1772" s="4" t="s">
        <v>68</v>
      </c>
      <c r="K1772" s="4" t="s">
        <v>4403</v>
      </c>
      <c r="L1772" s="4" t="s">
        <v>219</v>
      </c>
      <c r="M1772" s="4" t="s">
        <v>356</v>
      </c>
      <c r="N1772" s="4" t="s">
        <v>768</v>
      </c>
      <c r="O1772" s="4"/>
      <c r="P1772" s="4" t="s">
        <v>3629</v>
      </c>
    </row>
    <row r="1773" customFormat="false" ht="15" hidden="false" customHeight="false" outlineLevel="0" collapsed="false">
      <c r="A1773" s="4" t="s">
        <v>4404</v>
      </c>
      <c r="B1773" s="4" t="s">
        <v>4375</v>
      </c>
      <c r="C1773" s="4" t="s">
        <v>3783</v>
      </c>
      <c r="D1773" s="4" t="s">
        <v>3784</v>
      </c>
      <c r="E1773" s="4" t="s">
        <v>613</v>
      </c>
      <c r="F1773" s="4" t="s">
        <v>736</v>
      </c>
      <c r="G1773" s="4" t="s">
        <v>38</v>
      </c>
      <c r="H1773" s="4" t="s">
        <v>3625</v>
      </c>
      <c r="I1773" s="4" t="s">
        <v>3879</v>
      </c>
      <c r="J1773" s="4" t="s">
        <v>40</v>
      </c>
      <c r="K1773" s="4" t="s">
        <v>4405</v>
      </c>
      <c r="L1773" s="4" t="s">
        <v>219</v>
      </c>
      <c r="M1773" s="4" t="s">
        <v>356</v>
      </c>
      <c r="N1773" s="4" t="s">
        <v>221</v>
      </c>
      <c r="O1773" s="4"/>
      <c r="P1773" s="4" t="s">
        <v>3629</v>
      </c>
    </row>
    <row r="1774" customFormat="false" ht="15" hidden="false" customHeight="false" outlineLevel="0" collapsed="false">
      <c r="A1774" s="4" t="s">
        <v>4406</v>
      </c>
      <c r="B1774" s="4" t="s">
        <v>4375</v>
      </c>
      <c r="C1774" s="4" t="s">
        <v>3783</v>
      </c>
      <c r="D1774" s="4" t="s">
        <v>3784</v>
      </c>
      <c r="E1774" s="4" t="s">
        <v>613</v>
      </c>
      <c r="F1774" s="4" t="s">
        <v>736</v>
      </c>
      <c r="G1774" s="4" t="s">
        <v>38</v>
      </c>
      <c r="H1774" s="4" t="s">
        <v>3625</v>
      </c>
      <c r="I1774" s="4" t="s">
        <v>4407</v>
      </c>
      <c r="J1774" s="4" t="s">
        <v>40</v>
      </c>
      <c r="K1774" s="4" t="s">
        <v>3821</v>
      </c>
      <c r="L1774" s="4" t="s">
        <v>736</v>
      </c>
      <c r="M1774" s="4" t="s">
        <v>737</v>
      </c>
      <c r="N1774" s="4" t="s">
        <v>185</v>
      </c>
      <c r="O1774" s="4" t="s">
        <v>3822</v>
      </c>
      <c r="P1774" s="4" t="s">
        <v>3629</v>
      </c>
    </row>
    <row r="1775" customFormat="false" ht="15" hidden="false" customHeight="false" outlineLevel="0" collapsed="false">
      <c r="A1775" s="4" t="s">
        <v>4408</v>
      </c>
      <c r="B1775" s="4" t="s">
        <v>4375</v>
      </c>
      <c r="C1775" s="4" t="s">
        <v>3783</v>
      </c>
      <c r="D1775" s="4" t="s">
        <v>3784</v>
      </c>
      <c r="E1775" s="4" t="s">
        <v>627</v>
      </c>
      <c r="F1775" s="4" t="s">
        <v>3710</v>
      </c>
      <c r="G1775" s="4" t="s">
        <v>59</v>
      </c>
      <c r="H1775" s="4" t="s">
        <v>3676</v>
      </c>
      <c r="I1775" s="4" t="s">
        <v>3930</v>
      </c>
      <c r="J1775" s="4" t="s">
        <v>68</v>
      </c>
      <c r="K1775" s="4" t="s">
        <v>4409</v>
      </c>
      <c r="L1775" s="4" t="s">
        <v>736</v>
      </c>
      <c r="M1775" s="4" t="s">
        <v>737</v>
      </c>
      <c r="N1775" s="4" t="s">
        <v>44</v>
      </c>
      <c r="O1775" s="4" t="s">
        <v>4410</v>
      </c>
      <c r="P1775" s="4" t="s">
        <v>3629</v>
      </c>
    </row>
    <row r="1776" customFormat="false" ht="15" hidden="false" customHeight="false" outlineLevel="0" collapsed="false">
      <c r="A1776" s="4" t="s">
        <v>4411</v>
      </c>
      <c r="B1776" s="4" t="s">
        <v>4375</v>
      </c>
      <c r="C1776" s="4" t="s">
        <v>3783</v>
      </c>
      <c r="D1776" s="4" t="s">
        <v>3784</v>
      </c>
      <c r="E1776" s="4" t="s">
        <v>627</v>
      </c>
      <c r="F1776" s="4" t="s">
        <v>736</v>
      </c>
      <c r="G1776" s="4" t="s">
        <v>59</v>
      </c>
      <c r="H1776" s="4" t="s">
        <v>3625</v>
      </c>
      <c r="I1776" s="4" t="s">
        <v>4412</v>
      </c>
      <c r="J1776" s="4" t="s">
        <v>40</v>
      </c>
      <c r="K1776" s="4" t="s">
        <v>4023</v>
      </c>
      <c r="L1776" s="4" t="s">
        <v>736</v>
      </c>
      <c r="M1776" s="4" t="s">
        <v>737</v>
      </c>
      <c r="N1776" s="4" t="s">
        <v>185</v>
      </c>
      <c r="O1776" s="4" t="s">
        <v>4024</v>
      </c>
      <c r="P1776" s="4" t="s">
        <v>3629</v>
      </c>
    </row>
    <row r="1777" customFormat="false" ht="15" hidden="false" customHeight="false" outlineLevel="0" collapsed="false">
      <c r="A1777" s="4" t="s">
        <v>4413</v>
      </c>
      <c r="B1777" s="4" t="s">
        <v>4375</v>
      </c>
      <c r="C1777" s="4" t="s">
        <v>3783</v>
      </c>
      <c r="D1777" s="4" t="s">
        <v>3784</v>
      </c>
      <c r="E1777" s="4" t="s">
        <v>761</v>
      </c>
      <c r="F1777" s="4" t="s">
        <v>736</v>
      </c>
      <c r="G1777" s="4" t="s">
        <v>59</v>
      </c>
      <c r="H1777" s="4" t="s">
        <v>3706</v>
      </c>
      <c r="I1777" s="4" t="s">
        <v>4414</v>
      </c>
      <c r="J1777" s="4" t="s">
        <v>149</v>
      </c>
      <c r="K1777" s="4" t="s">
        <v>4131</v>
      </c>
      <c r="L1777" s="4" t="s">
        <v>3406</v>
      </c>
      <c r="M1777" s="4" t="s">
        <v>737</v>
      </c>
      <c r="N1777" s="4" t="s">
        <v>44</v>
      </c>
      <c r="O1777" s="4" t="s">
        <v>4132</v>
      </c>
      <c r="P1777" s="4" t="s">
        <v>3629</v>
      </c>
    </row>
    <row r="1778" customFormat="false" ht="15" hidden="false" customHeight="false" outlineLevel="0" collapsed="false">
      <c r="A1778" s="4" t="s">
        <v>4415</v>
      </c>
      <c r="B1778" s="4" t="s">
        <v>4375</v>
      </c>
      <c r="C1778" s="4" t="s">
        <v>3783</v>
      </c>
      <c r="D1778" s="4" t="s">
        <v>3784</v>
      </c>
      <c r="E1778" s="4" t="s">
        <v>627</v>
      </c>
      <c r="F1778" s="4" t="s">
        <v>1584</v>
      </c>
      <c r="G1778" s="4" t="s">
        <v>38</v>
      </c>
      <c r="H1778" s="4" t="s">
        <v>3632</v>
      </c>
      <c r="I1778" s="4" t="s">
        <v>4416</v>
      </c>
      <c r="J1778" s="4" t="s">
        <v>149</v>
      </c>
      <c r="K1778" s="4" t="s">
        <v>3731</v>
      </c>
      <c r="L1778" s="4" t="s">
        <v>736</v>
      </c>
      <c r="M1778" s="4" t="s">
        <v>737</v>
      </c>
      <c r="N1778" s="4" t="s">
        <v>44</v>
      </c>
      <c r="O1778" s="4" t="s">
        <v>3732</v>
      </c>
      <c r="P1778" s="4" t="s">
        <v>3629</v>
      </c>
    </row>
    <row r="1779" customFormat="false" ht="15" hidden="false" customHeight="false" outlineLevel="0" collapsed="false">
      <c r="A1779" s="4" t="s">
        <v>4417</v>
      </c>
      <c r="B1779" s="4" t="s">
        <v>4375</v>
      </c>
      <c r="C1779" s="4" t="s">
        <v>3783</v>
      </c>
      <c r="D1779" s="4" t="s">
        <v>3784</v>
      </c>
      <c r="E1779" s="4" t="s">
        <v>627</v>
      </c>
      <c r="F1779" s="4" t="s">
        <v>3406</v>
      </c>
      <c r="G1779" s="4" t="s">
        <v>38</v>
      </c>
      <c r="H1779" s="4" t="s">
        <v>3676</v>
      </c>
      <c r="I1779" s="4" t="s">
        <v>4418</v>
      </c>
      <c r="J1779" s="4" t="s">
        <v>81</v>
      </c>
      <c r="K1779" s="4" t="s">
        <v>4419</v>
      </c>
      <c r="L1779" s="4" t="s">
        <v>596</v>
      </c>
      <c r="M1779" s="4" t="s">
        <v>695</v>
      </c>
      <c r="N1779" s="4" t="s">
        <v>44</v>
      </c>
      <c r="O1779" s="4" t="s">
        <v>4420</v>
      </c>
      <c r="P1779" s="4" t="s">
        <v>3629</v>
      </c>
    </row>
    <row r="1780" customFormat="false" ht="15" hidden="false" customHeight="false" outlineLevel="0" collapsed="false">
      <c r="A1780" s="4" t="s">
        <v>4421</v>
      </c>
      <c r="B1780" s="4" t="s">
        <v>4375</v>
      </c>
      <c r="C1780" s="4" t="s">
        <v>3783</v>
      </c>
      <c r="D1780" s="4" t="s">
        <v>3784</v>
      </c>
      <c r="E1780" s="4" t="s">
        <v>613</v>
      </c>
      <c r="F1780" s="4" t="s">
        <v>3406</v>
      </c>
      <c r="G1780" s="4" t="s">
        <v>38</v>
      </c>
      <c r="H1780" s="4" t="s">
        <v>3625</v>
      </c>
      <c r="I1780" s="4" t="s">
        <v>4418</v>
      </c>
      <c r="J1780" s="4" t="s">
        <v>40</v>
      </c>
      <c r="K1780" s="4" t="s">
        <v>4422</v>
      </c>
      <c r="L1780" s="4" t="s">
        <v>596</v>
      </c>
      <c r="M1780" s="4" t="s">
        <v>597</v>
      </c>
      <c r="N1780" s="4" t="s">
        <v>44</v>
      </c>
      <c r="O1780" s="4" t="s">
        <v>4423</v>
      </c>
      <c r="P1780" s="4" t="s">
        <v>3629</v>
      </c>
    </row>
    <row r="1781" customFormat="false" ht="15" hidden="false" customHeight="false" outlineLevel="0" collapsed="false">
      <c r="A1781" s="4" t="s">
        <v>4424</v>
      </c>
      <c r="B1781" s="4" t="s">
        <v>4375</v>
      </c>
      <c r="C1781" s="4" t="s">
        <v>3783</v>
      </c>
      <c r="D1781" s="4" t="s">
        <v>3784</v>
      </c>
      <c r="E1781" s="4" t="s">
        <v>618</v>
      </c>
      <c r="F1781" s="4" t="s">
        <v>736</v>
      </c>
      <c r="G1781" s="4" t="s">
        <v>38</v>
      </c>
      <c r="H1781" s="4" t="s">
        <v>3625</v>
      </c>
      <c r="I1781" s="4" t="s">
        <v>4425</v>
      </c>
      <c r="J1781" s="4" t="s">
        <v>40</v>
      </c>
      <c r="K1781" s="4" t="s">
        <v>4342</v>
      </c>
      <c r="L1781" s="4" t="s">
        <v>736</v>
      </c>
      <c r="M1781" s="4" t="s">
        <v>737</v>
      </c>
      <c r="N1781" s="4" t="s">
        <v>44</v>
      </c>
      <c r="O1781" s="4" t="s">
        <v>4343</v>
      </c>
      <c r="P1781" s="4" t="s">
        <v>3629</v>
      </c>
    </row>
    <row r="1782" customFormat="false" ht="15" hidden="false" customHeight="false" outlineLevel="0" collapsed="false">
      <c r="A1782" s="4" t="s">
        <v>4426</v>
      </c>
      <c r="B1782" s="4" t="s">
        <v>4375</v>
      </c>
      <c r="C1782" s="4" t="s">
        <v>3783</v>
      </c>
      <c r="D1782" s="4" t="s">
        <v>3784</v>
      </c>
      <c r="E1782" s="4" t="s">
        <v>627</v>
      </c>
      <c r="F1782" s="4" t="s">
        <v>736</v>
      </c>
      <c r="G1782" s="4" t="s">
        <v>38</v>
      </c>
      <c r="H1782" s="4" t="s">
        <v>3706</v>
      </c>
      <c r="I1782" s="4" t="s">
        <v>4427</v>
      </c>
      <c r="J1782" s="4" t="s">
        <v>68</v>
      </c>
      <c r="K1782" s="4" t="s">
        <v>4428</v>
      </c>
      <c r="L1782" s="4" t="s">
        <v>736</v>
      </c>
      <c r="M1782" s="4" t="s">
        <v>737</v>
      </c>
      <c r="N1782" s="4" t="s">
        <v>44</v>
      </c>
      <c r="O1782" s="4" t="s">
        <v>4429</v>
      </c>
      <c r="P1782" s="4" t="s">
        <v>3629</v>
      </c>
    </row>
    <row r="1783" customFormat="false" ht="15" hidden="false" customHeight="false" outlineLevel="0" collapsed="false">
      <c r="A1783" s="4" t="s">
        <v>4430</v>
      </c>
      <c r="B1783" s="4" t="s">
        <v>4431</v>
      </c>
      <c r="C1783" s="4" t="s">
        <v>3783</v>
      </c>
      <c r="D1783" s="4" t="s">
        <v>3784</v>
      </c>
      <c r="E1783" s="4" t="s">
        <v>627</v>
      </c>
      <c r="F1783" s="4" t="s">
        <v>3710</v>
      </c>
      <c r="G1783" s="4" t="s">
        <v>38</v>
      </c>
      <c r="H1783" s="4" t="s">
        <v>3676</v>
      </c>
      <c r="I1783" s="4" t="s">
        <v>4261</v>
      </c>
      <c r="J1783" s="4" t="s">
        <v>40</v>
      </c>
      <c r="K1783" s="4" t="s">
        <v>4262</v>
      </c>
      <c r="L1783" s="4" t="s">
        <v>736</v>
      </c>
      <c r="M1783" s="4" t="s">
        <v>737</v>
      </c>
      <c r="N1783" s="4" t="s">
        <v>52</v>
      </c>
      <c r="O1783" s="4" t="s">
        <v>4263</v>
      </c>
      <c r="P1783" s="4" t="s">
        <v>3629</v>
      </c>
    </row>
    <row r="1784" customFormat="false" ht="15" hidden="false" customHeight="false" outlineLevel="0" collapsed="false">
      <c r="A1784" s="4" t="s">
        <v>4432</v>
      </c>
      <c r="B1784" s="4" t="s">
        <v>4431</v>
      </c>
      <c r="C1784" s="4" t="s">
        <v>3783</v>
      </c>
      <c r="D1784" s="4" t="s">
        <v>3784</v>
      </c>
      <c r="E1784" s="4" t="s">
        <v>627</v>
      </c>
      <c r="F1784" s="4" t="s">
        <v>736</v>
      </c>
      <c r="G1784" s="4" t="s">
        <v>38</v>
      </c>
      <c r="H1784" s="4" t="s">
        <v>3676</v>
      </c>
      <c r="I1784" s="4" t="s">
        <v>4433</v>
      </c>
      <c r="J1784" s="4" t="s">
        <v>40</v>
      </c>
      <c r="K1784" s="4" t="s">
        <v>4010</v>
      </c>
      <c r="L1784" s="4" t="s">
        <v>1584</v>
      </c>
      <c r="M1784" s="4" t="s">
        <v>737</v>
      </c>
      <c r="N1784" s="4" t="s">
        <v>44</v>
      </c>
      <c r="O1784" s="4" t="s">
        <v>4011</v>
      </c>
      <c r="P1784" s="4" t="s">
        <v>3629</v>
      </c>
    </row>
    <row r="1785" customFormat="false" ht="15" hidden="false" customHeight="false" outlineLevel="0" collapsed="false">
      <c r="A1785" s="4" t="s">
        <v>4434</v>
      </c>
      <c r="B1785" s="4" t="s">
        <v>4431</v>
      </c>
      <c r="C1785" s="4" t="s">
        <v>3783</v>
      </c>
      <c r="D1785" s="4" t="s">
        <v>3784</v>
      </c>
      <c r="E1785" s="4" t="s">
        <v>761</v>
      </c>
      <c r="F1785" s="4" t="s">
        <v>736</v>
      </c>
      <c r="G1785" s="4" t="s">
        <v>59</v>
      </c>
      <c r="H1785" s="4" t="s">
        <v>3625</v>
      </c>
      <c r="I1785" s="4" t="s">
        <v>4242</v>
      </c>
      <c r="J1785" s="4" t="s">
        <v>68</v>
      </c>
      <c r="K1785" s="4" t="s">
        <v>4397</v>
      </c>
      <c r="L1785" s="4" t="s">
        <v>736</v>
      </c>
      <c r="M1785" s="4" t="s">
        <v>1683</v>
      </c>
      <c r="N1785" s="4" t="s">
        <v>52</v>
      </c>
      <c r="O1785" s="4" t="s">
        <v>4398</v>
      </c>
      <c r="P1785" s="4" t="s">
        <v>3629</v>
      </c>
    </row>
    <row r="1786" customFormat="false" ht="15" hidden="false" customHeight="false" outlineLevel="0" collapsed="false">
      <c r="A1786" s="4" t="s">
        <v>4435</v>
      </c>
      <c r="B1786" s="4" t="s">
        <v>4431</v>
      </c>
      <c r="C1786" s="4" t="s">
        <v>3783</v>
      </c>
      <c r="D1786" s="4" t="s">
        <v>3784</v>
      </c>
      <c r="E1786" s="4" t="s">
        <v>627</v>
      </c>
      <c r="F1786" s="4" t="s">
        <v>736</v>
      </c>
      <c r="G1786" s="4" t="s">
        <v>59</v>
      </c>
      <c r="H1786" s="4" t="s">
        <v>3676</v>
      </c>
      <c r="I1786" s="4" t="s">
        <v>4436</v>
      </c>
      <c r="J1786" s="4" t="s">
        <v>40</v>
      </c>
      <c r="K1786" s="4" t="s">
        <v>3912</v>
      </c>
      <c r="L1786" s="4" t="s">
        <v>736</v>
      </c>
      <c r="M1786" s="4" t="s">
        <v>737</v>
      </c>
      <c r="N1786" s="4" t="s">
        <v>44</v>
      </c>
      <c r="O1786" s="4" t="s">
        <v>3913</v>
      </c>
      <c r="P1786" s="4" t="s">
        <v>3629</v>
      </c>
    </row>
    <row r="1787" customFormat="false" ht="15" hidden="false" customHeight="false" outlineLevel="0" collapsed="false">
      <c r="A1787" s="4" t="s">
        <v>4437</v>
      </c>
      <c r="B1787" s="4" t="s">
        <v>4431</v>
      </c>
      <c r="C1787" s="4" t="s">
        <v>3783</v>
      </c>
      <c r="D1787" s="4" t="s">
        <v>3784</v>
      </c>
      <c r="E1787" s="4" t="s">
        <v>627</v>
      </c>
      <c r="F1787" s="4" t="s">
        <v>736</v>
      </c>
      <c r="G1787" s="4" t="s">
        <v>38</v>
      </c>
      <c r="H1787" s="4" t="s">
        <v>3625</v>
      </c>
      <c r="I1787" s="4" t="s">
        <v>3963</v>
      </c>
      <c r="J1787" s="4" t="s">
        <v>40</v>
      </c>
      <c r="K1787" s="4" t="s">
        <v>4010</v>
      </c>
      <c r="L1787" s="4" t="s">
        <v>736</v>
      </c>
      <c r="M1787" s="4" t="s">
        <v>737</v>
      </c>
      <c r="N1787" s="4" t="s">
        <v>185</v>
      </c>
      <c r="O1787" s="4" t="s">
        <v>4011</v>
      </c>
      <c r="P1787" s="4" t="s">
        <v>3629</v>
      </c>
    </row>
    <row r="1788" customFormat="false" ht="15" hidden="false" customHeight="false" outlineLevel="0" collapsed="false">
      <c r="A1788" s="4" t="s">
        <v>4438</v>
      </c>
      <c r="B1788" s="4" t="s">
        <v>4431</v>
      </c>
      <c r="C1788" s="4" t="s">
        <v>3783</v>
      </c>
      <c r="D1788" s="4" t="s">
        <v>3784</v>
      </c>
      <c r="E1788" s="4" t="s">
        <v>761</v>
      </c>
      <c r="F1788" s="4" t="s">
        <v>736</v>
      </c>
      <c r="G1788" s="4" t="s">
        <v>326</v>
      </c>
      <c r="H1788" s="4" t="s">
        <v>3676</v>
      </c>
      <c r="I1788" s="4" t="s">
        <v>4439</v>
      </c>
      <c r="J1788" s="4" t="s">
        <v>68</v>
      </c>
      <c r="K1788" s="4" t="s">
        <v>4440</v>
      </c>
      <c r="L1788" s="4" t="s">
        <v>463</v>
      </c>
      <c r="M1788" s="4" t="s">
        <v>464</v>
      </c>
      <c r="N1788" s="4" t="s">
        <v>44</v>
      </c>
      <c r="O1788" s="4" t="s">
        <v>4441</v>
      </c>
      <c r="P1788" s="4" t="s">
        <v>3629</v>
      </c>
    </row>
    <row r="1789" customFormat="false" ht="15" hidden="false" customHeight="false" outlineLevel="0" collapsed="false">
      <c r="A1789" s="4" t="s">
        <v>4442</v>
      </c>
      <c r="B1789" s="4" t="s">
        <v>4431</v>
      </c>
      <c r="C1789" s="4" t="s">
        <v>3783</v>
      </c>
      <c r="D1789" s="4" t="s">
        <v>3784</v>
      </c>
      <c r="E1789" s="4" t="s">
        <v>618</v>
      </c>
      <c r="F1789" s="4" t="s">
        <v>736</v>
      </c>
      <c r="G1789" s="4" t="s">
        <v>326</v>
      </c>
      <c r="H1789" s="4" t="s">
        <v>3625</v>
      </c>
      <c r="I1789" s="4" t="s">
        <v>4439</v>
      </c>
      <c r="J1789" s="4" t="s">
        <v>40</v>
      </c>
      <c r="K1789" s="4" t="s">
        <v>4443</v>
      </c>
      <c r="L1789" s="4" t="s">
        <v>988</v>
      </c>
      <c r="M1789" s="4" t="s">
        <v>1683</v>
      </c>
      <c r="N1789" s="4" t="s">
        <v>44</v>
      </c>
      <c r="O1789" s="4" t="s">
        <v>4444</v>
      </c>
      <c r="P1789" s="4" t="s">
        <v>3629</v>
      </c>
    </row>
    <row r="1790" customFormat="false" ht="15" hidden="false" customHeight="false" outlineLevel="0" collapsed="false">
      <c r="A1790" s="4" t="s">
        <v>4445</v>
      </c>
      <c r="B1790" s="4" t="s">
        <v>4431</v>
      </c>
      <c r="C1790" s="4" t="s">
        <v>3783</v>
      </c>
      <c r="D1790" s="4" t="s">
        <v>3784</v>
      </c>
      <c r="E1790" s="4" t="s">
        <v>627</v>
      </c>
      <c r="F1790" s="4" t="s">
        <v>736</v>
      </c>
      <c r="G1790" s="4" t="s">
        <v>38</v>
      </c>
      <c r="H1790" s="4" t="s">
        <v>3625</v>
      </c>
      <c r="I1790" s="4" t="s">
        <v>3859</v>
      </c>
      <c r="J1790" s="4" t="s">
        <v>40</v>
      </c>
      <c r="K1790" s="4" t="s">
        <v>4446</v>
      </c>
      <c r="L1790" s="4" t="s">
        <v>364</v>
      </c>
      <c r="M1790" s="4" t="s">
        <v>365</v>
      </c>
      <c r="N1790" s="4" t="s">
        <v>44</v>
      </c>
      <c r="O1790" s="4" t="s">
        <v>4447</v>
      </c>
      <c r="P1790" s="4" t="s">
        <v>3629</v>
      </c>
    </row>
    <row r="1791" customFormat="false" ht="15" hidden="false" customHeight="false" outlineLevel="0" collapsed="false">
      <c r="A1791" s="4" t="s">
        <v>4448</v>
      </c>
      <c r="B1791" s="4" t="s">
        <v>4449</v>
      </c>
      <c r="C1791" s="4" t="s">
        <v>3783</v>
      </c>
      <c r="D1791" s="4" t="s">
        <v>3784</v>
      </c>
      <c r="E1791" s="4" t="s">
        <v>627</v>
      </c>
      <c r="F1791" s="4" t="s">
        <v>736</v>
      </c>
      <c r="G1791" s="4" t="s">
        <v>59</v>
      </c>
      <c r="H1791" s="4" t="s">
        <v>3676</v>
      </c>
      <c r="I1791" s="4" t="s">
        <v>3864</v>
      </c>
      <c r="J1791" s="4" t="s">
        <v>149</v>
      </c>
      <c r="K1791" s="4" t="s">
        <v>2666</v>
      </c>
      <c r="L1791" s="4" t="s">
        <v>376</v>
      </c>
      <c r="M1791" s="4" t="s">
        <v>377</v>
      </c>
      <c r="N1791" s="4" t="s">
        <v>185</v>
      </c>
      <c r="O1791" s="4" t="s">
        <v>2667</v>
      </c>
      <c r="P1791" s="4" t="s">
        <v>3629</v>
      </c>
    </row>
    <row r="1792" customFormat="false" ht="15" hidden="false" customHeight="false" outlineLevel="0" collapsed="false">
      <c r="A1792" s="4" t="s">
        <v>4450</v>
      </c>
      <c r="B1792" s="4" t="s">
        <v>4449</v>
      </c>
      <c r="C1792" s="4" t="s">
        <v>3783</v>
      </c>
      <c r="D1792" s="4" t="s">
        <v>3784</v>
      </c>
      <c r="E1792" s="4" t="s">
        <v>618</v>
      </c>
      <c r="F1792" s="4" t="s">
        <v>1584</v>
      </c>
      <c r="G1792" s="4" t="s">
        <v>326</v>
      </c>
      <c r="H1792" s="4" t="s">
        <v>3625</v>
      </c>
      <c r="I1792" s="4" t="s">
        <v>4095</v>
      </c>
      <c r="J1792" s="4" t="s">
        <v>68</v>
      </c>
      <c r="K1792" s="4" t="s">
        <v>4428</v>
      </c>
      <c r="L1792" s="4" t="s">
        <v>736</v>
      </c>
      <c r="M1792" s="4" t="s">
        <v>737</v>
      </c>
      <c r="N1792" s="4" t="s">
        <v>44</v>
      </c>
      <c r="O1792" s="4" t="s">
        <v>4429</v>
      </c>
      <c r="P1792" s="4" t="s">
        <v>3629</v>
      </c>
    </row>
    <row r="1793" customFormat="false" ht="15" hidden="false" customHeight="false" outlineLevel="0" collapsed="false">
      <c r="A1793" s="4" t="s">
        <v>4451</v>
      </c>
      <c r="B1793" s="4" t="s">
        <v>4449</v>
      </c>
      <c r="C1793" s="4" t="s">
        <v>3783</v>
      </c>
      <c r="D1793" s="4" t="s">
        <v>3784</v>
      </c>
      <c r="E1793" s="4" t="s">
        <v>627</v>
      </c>
      <c r="F1793" s="4" t="s">
        <v>736</v>
      </c>
      <c r="G1793" s="4" t="s">
        <v>38</v>
      </c>
      <c r="H1793" s="4" t="s">
        <v>3625</v>
      </c>
      <c r="I1793" s="4" t="s">
        <v>4388</v>
      </c>
      <c r="J1793" s="4" t="s">
        <v>81</v>
      </c>
      <c r="K1793" s="4" t="s">
        <v>3405</v>
      </c>
      <c r="L1793" s="4" t="s">
        <v>736</v>
      </c>
      <c r="M1793" s="4" t="s">
        <v>737</v>
      </c>
      <c r="N1793" s="4" t="s">
        <v>44</v>
      </c>
      <c r="O1793" s="4" t="s">
        <v>3407</v>
      </c>
      <c r="P1793" s="4" t="s">
        <v>3629</v>
      </c>
    </row>
    <row r="1794" customFormat="false" ht="15" hidden="false" customHeight="false" outlineLevel="0" collapsed="false">
      <c r="A1794" s="4" t="s">
        <v>4452</v>
      </c>
      <c r="B1794" s="4" t="s">
        <v>4449</v>
      </c>
      <c r="C1794" s="4" t="s">
        <v>3783</v>
      </c>
      <c r="D1794" s="4" t="s">
        <v>3784</v>
      </c>
      <c r="E1794" s="4" t="s">
        <v>627</v>
      </c>
      <c r="F1794" s="4" t="s">
        <v>736</v>
      </c>
      <c r="G1794" s="4" t="s">
        <v>59</v>
      </c>
      <c r="H1794" s="4" t="s">
        <v>3625</v>
      </c>
      <c r="I1794" s="4" t="s">
        <v>4453</v>
      </c>
      <c r="J1794" s="4" t="s">
        <v>40</v>
      </c>
      <c r="K1794" s="4" t="s">
        <v>4454</v>
      </c>
      <c r="L1794" s="4" t="s">
        <v>1584</v>
      </c>
      <c r="M1794" s="4" t="s">
        <v>737</v>
      </c>
      <c r="N1794" s="4" t="s">
        <v>44</v>
      </c>
      <c r="O1794" s="4" t="s">
        <v>4455</v>
      </c>
      <c r="P1794" s="4" t="s">
        <v>3629</v>
      </c>
    </row>
    <row r="1795" customFormat="false" ht="15" hidden="false" customHeight="false" outlineLevel="0" collapsed="false">
      <c r="A1795" s="4" t="s">
        <v>4456</v>
      </c>
      <c r="B1795" s="4" t="s">
        <v>4449</v>
      </c>
      <c r="C1795" s="4" t="s">
        <v>3783</v>
      </c>
      <c r="D1795" s="4" t="s">
        <v>3784</v>
      </c>
      <c r="E1795" s="4" t="s">
        <v>627</v>
      </c>
      <c r="F1795" s="4" t="s">
        <v>736</v>
      </c>
      <c r="G1795" s="4" t="s">
        <v>38</v>
      </c>
      <c r="H1795" s="4" t="s">
        <v>3625</v>
      </c>
      <c r="I1795" s="4" t="s">
        <v>4457</v>
      </c>
      <c r="J1795" s="4" t="s">
        <v>40</v>
      </c>
      <c r="K1795" s="4" t="s">
        <v>4458</v>
      </c>
      <c r="L1795" s="4" t="s">
        <v>219</v>
      </c>
      <c r="M1795" s="4" t="s">
        <v>356</v>
      </c>
      <c r="N1795" s="4" t="s">
        <v>221</v>
      </c>
      <c r="O1795" s="4"/>
      <c r="P1795" s="4" t="s">
        <v>3629</v>
      </c>
    </row>
    <row r="1796" customFormat="false" ht="15" hidden="false" customHeight="false" outlineLevel="0" collapsed="false">
      <c r="A1796" s="4" t="s">
        <v>4459</v>
      </c>
      <c r="B1796" s="4" t="s">
        <v>4449</v>
      </c>
      <c r="C1796" s="4" t="s">
        <v>3783</v>
      </c>
      <c r="D1796" s="4" t="s">
        <v>3784</v>
      </c>
      <c r="E1796" s="4" t="s">
        <v>649</v>
      </c>
      <c r="F1796" s="4" t="s">
        <v>3710</v>
      </c>
      <c r="G1796" s="4" t="s">
        <v>38</v>
      </c>
      <c r="H1796" s="4" t="s">
        <v>3676</v>
      </c>
      <c r="I1796" s="4" t="s">
        <v>4388</v>
      </c>
      <c r="J1796" s="4" t="s">
        <v>68</v>
      </c>
      <c r="K1796" s="4" t="s">
        <v>4368</v>
      </c>
      <c r="L1796" s="4" t="s">
        <v>3635</v>
      </c>
      <c r="M1796" s="4" t="s">
        <v>737</v>
      </c>
      <c r="N1796" s="4" t="s">
        <v>44</v>
      </c>
      <c r="O1796" s="4" t="s">
        <v>4369</v>
      </c>
      <c r="P1796" s="4" t="s">
        <v>3629</v>
      </c>
    </row>
    <row r="1797" customFormat="false" ht="15" hidden="false" customHeight="false" outlineLevel="0" collapsed="false">
      <c r="A1797" s="4" t="s">
        <v>4460</v>
      </c>
      <c r="B1797" s="4" t="s">
        <v>4449</v>
      </c>
      <c r="C1797" s="4" t="s">
        <v>3783</v>
      </c>
      <c r="D1797" s="4" t="s">
        <v>3784</v>
      </c>
      <c r="E1797" s="4" t="s">
        <v>627</v>
      </c>
      <c r="F1797" s="4" t="s">
        <v>736</v>
      </c>
      <c r="G1797" s="4" t="s">
        <v>326</v>
      </c>
      <c r="H1797" s="4" t="s">
        <v>3676</v>
      </c>
      <c r="I1797" s="4" t="s">
        <v>4461</v>
      </c>
      <c r="J1797" s="4" t="s">
        <v>81</v>
      </c>
      <c r="K1797" s="4" t="s">
        <v>4462</v>
      </c>
      <c r="L1797" s="4" t="s">
        <v>706</v>
      </c>
      <c r="M1797" s="4" t="s">
        <v>412</v>
      </c>
      <c r="N1797" s="4" t="s">
        <v>44</v>
      </c>
      <c r="O1797" s="4" t="s">
        <v>4463</v>
      </c>
      <c r="P1797" s="4" t="s">
        <v>3629</v>
      </c>
    </row>
    <row r="1798" customFormat="false" ht="15" hidden="false" customHeight="false" outlineLevel="0" collapsed="false">
      <c r="A1798" s="4" t="s">
        <v>4464</v>
      </c>
      <c r="B1798" s="4" t="s">
        <v>4449</v>
      </c>
      <c r="C1798" s="4" t="s">
        <v>3783</v>
      </c>
      <c r="D1798" s="4" t="s">
        <v>3784</v>
      </c>
      <c r="E1798" s="4" t="s">
        <v>627</v>
      </c>
      <c r="F1798" s="4" t="s">
        <v>1584</v>
      </c>
      <c r="G1798" s="4" t="s">
        <v>38</v>
      </c>
      <c r="H1798" s="4" t="s">
        <v>3632</v>
      </c>
      <c r="I1798" s="4" t="s">
        <v>4465</v>
      </c>
      <c r="J1798" s="4" t="s">
        <v>68</v>
      </c>
      <c r="K1798" s="4" t="s">
        <v>3742</v>
      </c>
      <c r="L1798" s="4" t="s">
        <v>736</v>
      </c>
      <c r="M1798" s="4" t="s">
        <v>737</v>
      </c>
      <c r="N1798" s="4" t="s">
        <v>44</v>
      </c>
      <c r="O1798" s="4" t="s">
        <v>3743</v>
      </c>
      <c r="P1798" s="4" t="s">
        <v>3629</v>
      </c>
    </row>
    <row r="1799" customFormat="false" ht="15" hidden="false" customHeight="false" outlineLevel="0" collapsed="false">
      <c r="A1799" s="4" t="s">
        <v>4466</v>
      </c>
      <c r="B1799" s="4" t="s">
        <v>4449</v>
      </c>
      <c r="C1799" s="4" t="s">
        <v>3783</v>
      </c>
      <c r="D1799" s="4" t="s">
        <v>3784</v>
      </c>
      <c r="E1799" s="4" t="s">
        <v>649</v>
      </c>
      <c r="F1799" s="4" t="s">
        <v>3710</v>
      </c>
      <c r="G1799" s="4" t="s">
        <v>38</v>
      </c>
      <c r="H1799" s="4" t="s">
        <v>3632</v>
      </c>
      <c r="I1799" s="4" t="s">
        <v>4388</v>
      </c>
      <c r="J1799" s="4" t="s">
        <v>40</v>
      </c>
      <c r="K1799" s="4" t="s">
        <v>4467</v>
      </c>
      <c r="L1799" s="4" t="s">
        <v>1002</v>
      </c>
      <c r="M1799" s="4" t="s">
        <v>412</v>
      </c>
      <c r="N1799" s="4" t="s">
        <v>44</v>
      </c>
      <c r="O1799" s="4" t="s">
        <v>4468</v>
      </c>
      <c r="P1799" s="4" t="s">
        <v>3629</v>
      </c>
    </row>
    <row r="1800" customFormat="false" ht="15" hidden="false" customHeight="false" outlineLevel="0" collapsed="false">
      <c r="A1800" s="4" t="s">
        <v>4469</v>
      </c>
      <c r="B1800" s="4" t="s">
        <v>4449</v>
      </c>
      <c r="C1800" s="4" t="s">
        <v>3783</v>
      </c>
      <c r="D1800" s="4" t="s">
        <v>3784</v>
      </c>
      <c r="E1800" s="4" t="s">
        <v>649</v>
      </c>
      <c r="F1800" s="4" t="s">
        <v>736</v>
      </c>
      <c r="G1800" s="4" t="s">
        <v>38</v>
      </c>
      <c r="H1800" s="4" t="s">
        <v>3676</v>
      </c>
      <c r="I1800" s="4" t="s">
        <v>4465</v>
      </c>
      <c r="J1800" s="4" t="s">
        <v>68</v>
      </c>
      <c r="K1800" s="4" t="s">
        <v>3876</v>
      </c>
      <c r="L1800" s="4" t="s">
        <v>736</v>
      </c>
      <c r="M1800" s="4" t="s">
        <v>737</v>
      </c>
      <c r="N1800" s="4" t="s">
        <v>52</v>
      </c>
      <c r="O1800" s="4" t="s">
        <v>3877</v>
      </c>
      <c r="P1800" s="4" t="s">
        <v>3629</v>
      </c>
    </row>
    <row r="1801" customFormat="false" ht="15" hidden="false" customHeight="false" outlineLevel="0" collapsed="false">
      <c r="A1801" s="4" t="s">
        <v>4470</v>
      </c>
      <c r="B1801" s="4" t="s">
        <v>4449</v>
      </c>
      <c r="C1801" s="4" t="s">
        <v>3783</v>
      </c>
      <c r="D1801" s="4" t="s">
        <v>3784</v>
      </c>
      <c r="E1801" s="4" t="s">
        <v>627</v>
      </c>
      <c r="F1801" s="4" t="s">
        <v>736</v>
      </c>
      <c r="G1801" s="4" t="s">
        <v>38</v>
      </c>
      <c r="H1801" s="4" t="s">
        <v>3625</v>
      </c>
      <c r="I1801" s="4" t="s">
        <v>4471</v>
      </c>
      <c r="J1801" s="4" t="s">
        <v>68</v>
      </c>
      <c r="K1801" s="4" t="s">
        <v>563</v>
      </c>
      <c r="L1801" s="4" t="s">
        <v>432</v>
      </c>
      <c r="M1801" s="4" t="s">
        <v>356</v>
      </c>
      <c r="N1801" s="4" t="s">
        <v>433</v>
      </c>
      <c r="O1801" s="4"/>
      <c r="P1801" s="4" t="s">
        <v>3629</v>
      </c>
    </row>
    <row r="1802" customFormat="false" ht="15" hidden="false" customHeight="false" outlineLevel="0" collapsed="false">
      <c r="A1802" s="4" t="s">
        <v>4472</v>
      </c>
      <c r="B1802" s="4" t="s">
        <v>4449</v>
      </c>
      <c r="C1802" s="4" t="s">
        <v>3783</v>
      </c>
      <c r="D1802" s="4" t="s">
        <v>3784</v>
      </c>
      <c r="E1802" s="4" t="s">
        <v>761</v>
      </c>
      <c r="F1802" s="4" t="s">
        <v>3635</v>
      </c>
      <c r="G1802" s="4" t="s">
        <v>38</v>
      </c>
      <c r="H1802" s="4" t="s">
        <v>3632</v>
      </c>
      <c r="I1802" s="4" t="s">
        <v>4473</v>
      </c>
      <c r="J1802" s="4" t="s">
        <v>40</v>
      </c>
      <c r="K1802" s="4" t="s">
        <v>861</v>
      </c>
      <c r="L1802" s="4" t="s">
        <v>862</v>
      </c>
      <c r="M1802" s="4" t="s">
        <v>356</v>
      </c>
      <c r="N1802" s="4" t="s">
        <v>1535</v>
      </c>
      <c r="O1802" s="4"/>
      <c r="P1802" s="4" t="s">
        <v>3629</v>
      </c>
    </row>
    <row r="1803" customFormat="false" ht="15" hidden="false" customHeight="false" outlineLevel="0" collapsed="false">
      <c r="A1803" s="4" t="s">
        <v>4474</v>
      </c>
      <c r="B1803" s="4" t="s">
        <v>4449</v>
      </c>
      <c r="C1803" s="4" t="s">
        <v>3783</v>
      </c>
      <c r="D1803" s="4" t="s">
        <v>3784</v>
      </c>
      <c r="E1803" s="4" t="s">
        <v>649</v>
      </c>
      <c r="F1803" s="4" t="s">
        <v>736</v>
      </c>
      <c r="G1803" s="4" t="s">
        <v>38</v>
      </c>
      <c r="H1803" s="4" t="s">
        <v>3625</v>
      </c>
      <c r="I1803" s="4" t="s">
        <v>3837</v>
      </c>
      <c r="J1803" s="4" t="s">
        <v>40</v>
      </c>
      <c r="K1803" s="4" t="s">
        <v>3736</v>
      </c>
      <c r="L1803" s="4" t="s">
        <v>736</v>
      </c>
      <c r="M1803" s="4" t="s">
        <v>737</v>
      </c>
      <c r="N1803" s="4" t="s">
        <v>52</v>
      </c>
      <c r="O1803" s="4" t="s">
        <v>3737</v>
      </c>
      <c r="P1803" s="4" t="s">
        <v>3629</v>
      </c>
    </row>
    <row r="1804" customFormat="false" ht="15" hidden="false" customHeight="false" outlineLevel="0" collapsed="false">
      <c r="A1804" s="4" t="s">
        <v>4475</v>
      </c>
      <c r="B1804" s="4" t="s">
        <v>4476</v>
      </c>
      <c r="C1804" s="4" t="s">
        <v>3783</v>
      </c>
      <c r="D1804" s="4" t="s">
        <v>3784</v>
      </c>
      <c r="E1804" s="4" t="s">
        <v>627</v>
      </c>
      <c r="F1804" s="4" t="s">
        <v>1584</v>
      </c>
      <c r="G1804" s="4" t="s">
        <v>326</v>
      </c>
      <c r="H1804" s="4" t="s">
        <v>3676</v>
      </c>
      <c r="I1804" s="4" t="s">
        <v>4477</v>
      </c>
      <c r="J1804" s="4" t="s">
        <v>68</v>
      </c>
      <c r="K1804" s="4" t="s">
        <v>3646</v>
      </c>
      <c r="L1804" s="4" t="s">
        <v>3406</v>
      </c>
      <c r="M1804" s="4" t="s">
        <v>737</v>
      </c>
      <c r="N1804" s="4" t="s">
        <v>52</v>
      </c>
      <c r="O1804" s="4" t="s">
        <v>3647</v>
      </c>
      <c r="P1804" s="4" t="s">
        <v>3629</v>
      </c>
    </row>
    <row r="1805" customFormat="false" ht="15" hidden="false" customHeight="false" outlineLevel="0" collapsed="false">
      <c r="A1805" s="4" t="s">
        <v>4478</v>
      </c>
      <c r="B1805" s="4" t="s">
        <v>4476</v>
      </c>
      <c r="C1805" s="4" t="s">
        <v>3783</v>
      </c>
      <c r="D1805" s="4" t="s">
        <v>3784</v>
      </c>
      <c r="E1805" s="4" t="s">
        <v>649</v>
      </c>
      <c r="F1805" s="4" t="s">
        <v>736</v>
      </c>
      <c r="G1805" s="4" t="s">
        <v>38</v>
      </c>
      <c r="H1805" s="4" t="s">
        <v>3625</v>
      </c>
      <c r="I1805" s="4" t="s">
        <v>3941</v>
      </c>
      <c r="J1805" s="4" t="s">
        <v>40</v>
      </c>
      <c r="K1805" s="4" t="s">
        <v>4479</v>
      </c>
      <c r="L1805" s="4" t="s">
        <v>3406</v>
      </c>
      <c r="M1805" s="4" t="s">
        <v>737</v>
      </c>
      <c r="N1805" s="4" t="s">
        <v>44</v>
      </c>
      <c r="O1805" s="4" t="s">
        <v>4480</v>
      </c>
      <c r="P1805" s="4" t="s">
        <v>3629</v>
      </c>
    </row>
    <row r="1806" customFormat="false" ht="15" hidden="false" customHeight="false" outlineLevel="0" collapsed="false">
      <c r="A1806" s="4" t="s">
        <v>4481</v>
      </c>
      <c r="B1806" s="4" t="s">
        <v>4476</v>
      </c>
      <c r="C1806" s="4" t="s">
        <v>3783</v>
      </c>
      <c r="D1806" s="4" t="s">
        <v>3784</v>
      </c>
      <c r="E1806" s="4" t="s">
        <v>613</v>
      </c>
      <c r="F1806" s="4" t="s">
        <v>3710</v>
      </c>
      <c r="G1806" s="4" t="s">
        <v>59</v>
      </c>
      <c r="H1806" s="4" t="s">
        <v>3676</v>
      </c>
      <c r="I1806" s="4" t="s">
        <v>4482</v>
      </c>
      <c r="J1806" s="4" t="s">
        <v>68</v>
      </c>
      <c r="K1806" s="4" t="s">
        <v>4483</v>
      </c>
      <c r="L1806" s="4" t="s">
        <v>411</v>
      </c>
      <c r="M1806" s="4" t="s">
        <v>412</v>
      </c>
      <c r="N1806" s="4" t="s">
        <v>44</v>
      </c>
      <c r="O1806" s="4" t="s">
        <v>4484</v>
      </c>
      <c r="P1806" s="4" t="s">
        <v>3629</v>
      </c>
    </row>
    <row r="1807" customFormat="false" ht="15" hidden="false" customHeight="false" outlineLevel="0" collapsed="false">
      <c r="A1807" s="4" t="s">
        <v>4485</v>
      </c>
      <c r="B1807" s="4" t="s">
        <v>4476</v>
      </c>
      <c r="C1807" s="4" t="s">
        <v>3783</v>
      </c>
      <c r="D1807" s="4" t="s">
        <v>3784</v>
      </c>
      <c r="E1807" s="4" t="s">
        <v>627</v>
      </c>
      <c r="F1807" s="4" t="s">
        <v>3635</v>
      </c>
      <c r="G1807" s="4" t="s">
        <v>38</v>
      </c>
      <c r="H1807" s="4" t="s">
        <v>3676</v>
      </c>
      <c r="I1807" s="4" t="s">
        <v>4486</v>
      </c>
      <c r="J1807" s="4" t="s">
        <v>40</v>
      </c>
      <c r="K1807" s="4" t="s">
        <v>4346</v>
      </c>
      <c r="L1807" s="4" t="s">
        <v>736</v>
      </c>
      <c r="M1807" s="4" t="s">
        <v>737</v>
      </c>
      <c r="N1807" s="4" t="s">
        <v>44</v>
      </c>
      <c r="O1807" s="4" t="s">
        <v>4347</v>
      </c>
      <c r="P1807" s="4" t="s">
        <v>3629</v>
      </c>
    </row>
    <row r="1808" customFormat="false" ht="15" hidden="false" customHeight="false" outlineLevel="0" collapsed="false">
      <c r="A1808" s="4" t="s">
        <v>4487</v>
      </c>
      <c r="B1808" s="4" t="s">
        <v>4476</v>
      </c>
      <c r="C1808" s="4" t="s">
        <v>3783</v>
      </c>
      <c r="D1808" s="4" t="s">
        <v>3784</v>
      </c>
      <c r="E1808" s="4" t="s">
        <v>627</v>
      </c>
      <c r="F1808" s="4" t="s">
        <v>736</v>
      </c>
      <c r="G1808" s="4" t="s">
        <v>38</v>
      </c>
      <c r="H1808" s="4" t="s">
        <v>3625</v>
      </c>
      <c r="I1808" s="4" t="s">
        <v>4488</v>
      </c>
      <c r="J1808" s="4" t="s">
        <v>40</v>
      </c>
      <c r="K1808" s="4" t="s">
        <v>3876</v>
      </c>
      <c r="L1808" s="4" t="s">
        <v>736</v>
      </c>
      <c r="M1808" s="4" t="s">
        <v>737</v>
      </c>
      <c r="N1808" s="4" t="s">
        <v>44</v>
      </c>
      <c r="O1808" s="4" t="s">
        <v>3877</v>
      </c>
      <c r="P1808" s="4" t="s">
        <v>3629</v>
      </c>
    </row>
    <row r="1809" customFormat="false" ht="15" hidden="false" customHeight="false" outlineLevel="0" collapsed="false">
      <c r="A1809" s="4" t="s">
        <v>4489</v>
      </c>
      <c r="B1809" s="4" t="s">
        <v>4476</v>
      </c>
      <c r="C1809" s="4" t="s">
        <v>3783</v>
      </c>
      <c r="D1809" s="4" t="s">
        <v>3784</v>
      </c>
      <c r="E1809" s="4" t="s">
        <v>627</v>
      </c>
      <c r="F1809" s="4" t="s">
        <v>736</v>
      </c>
      <c r="G1809" s="4" t="s">
        <v>38</v>
      </c>
      <c r="H1809" s="4" t="s">
        <v>4039</v>
      </c>
      <c r="I1809" s="4" t="s">
        <v>4085</v>
      </c>
      <c r="J1809" s="4" t="s">
        <v>40</v>
      </c>
      <c r="K1809" s="4" t="s">
        <v>2385</v>
      </c>
      <c r="L1809" s="4" t="s">
        <v>376</v>
      </c>
      <c r="M1809" s="4" t="s">
        <v>377</v>
      </c>
      <c r="N1809" s="4" t="s">
        <v>52</v>
      </c>
      <c r="O1809" s="4" t="s">
        <v>2386</v>
      </c>
      <c r="P1809" s="4" t="s">
        <v>3629</v>
      </c>
    </row>
    <row r="1810" customFormat="false" ht="15" hidden="false" customHeight="false" outlineLevel="0" collapsed="false">
      <c r="A1810" s="4" t="s">
        <v>4490</v>
      </c>
      <c r="B1810" s="4" t="s">
        <v>4476</v>
      </c>
      <c r="C1810" s="4" t="s">
        <v>3783</v>
      </c>
      <c r="D1810" s="4" t="s">
        <v>3784</v>
      </c>
      <c r="E1810" s="4" t="s">
        <v>627</v>
      </c>
      <c r="F1810" s="4" t="s">
        <v>736</v>
      </c>
      <c r="G1810" s="4" t="s">
        <v>59</v>
      </c>
      <c r="H1810" s="4" t="s">
        <v>3625</v>
      </c>
      <c r="I1810" s="4" t="s">
        <v>3998</v>
      </c>
      <c r="J1810" s="4" t="s">
        <v>40</v>
      </c>
      <c r="K1810" s="4" t="s">
        <v>3758</v>
      </c>
      <c r="L1810" s="4" t="s">
        <v>736</v>
      </c>
      <c r="M1810" s="4" t="s">
        <v>737</v>
      </c>
      <c r="N1810" s="4" t="s">
        <v>44</v>
      </c>
      <c r="O1810" s="4" t="s">
        <v>3759</v>
      </c>
      <c r="P1810" s="4" t="s">
        <v>3629</v>
      </c>
    </row>
    <row r="1811" customFormat="false" ht="15" hidden="false" customHeight="false" outlineLevel="0" collapsed="false">
      <c r="A1811" s="4" t="s">
        <v>4491</v>
      </c>
      <c r="B1811" s="4" t="s">
        <v>4476</v>
      </c>
      <c r="C1811" s="4" t="s">
        <v>3783</v>
      </c>
      <c r="D1811" s="4" t="s">
        <v>3784</v>
      </c>
      <c r="E1811" s="4" t="s">
        <v>627</v>
      </c>
      <c r="F1811" s="4" t="s">
        <v>736</v>
      </c>
      <c r="G1811" s="4" t="s">
        <v>326</v>
      </c>
      <c r="H1811" s="4" t="s">
        <v>3632</v>
      </c>
      <c r="I1811" s="4" t="s">
        <v>4492</v>
      </c>
      <c r="J1811" s="4" t="s">
        <v>81</v>
      </c>
      <c r="K1811" s="4" t="s">
        <v>4493</v>
      </c>
      <c r="L1811" s="4" t="s">
        <v>596</v>
      </c>
      <c r="M1811" s="4" t="s">
        <v>695</v>
      </c>
      <c r="N1811" s="4" t="s">
        <v>44</v>
      </c>
      <c r="O1811" s="4" t="s">
        <v>4494</v>
      </c>
      <c r="P1811" s="4" t="s">
        <v>3629</v>
      </c>
    </row>
    <row r="1812" customFormat="false" ht="15" hidden="false" customHeight="false" outlineLevel="0" collapsed="false">
      <c r="A1812" s="4" t="s">
        <v>4495</v>
      </c>
      <c r="B1812" s="4" t="s">
        <v>4476</v>
      </c>
      <c r="C1812" s="4" t="s">
        <v>3783</v>
      </c>
      <c r="D1812" s="4" t="s">
        <v>3784</v>
      </c>
      <c r="E1812" s="4" t="s">
        <v>613</v>
      </c>
      <c r="F1812" s="4" t="s">
        <v>736</v>
      </c>
      <c r="G1812" s="4" t="s">
        <v>38</v>
      </c>
      <c r="H1812" s="4" t="s">
        <v>3676</v>
      </c>
      <c r="I1812" s="4" t="s">
        <v>3923</v>
      </c>
      <c r="J1812" s="4" t="s">
        <v>81</v>
      </c>
      <c r="K1812" s="4" t="s">
        <v>4496</v>
      </c>
      <c r="L1812" s="4" t="s">
        <v>736</v>
      </c>
      <c r="M1812" s="4" t="s">
        <v>737</v>
      </c>
      <c r="N1812" s="4" t="s">
        <v>44</v>
      </c>
      <c r="O1812" s="4" t="s">
        <v>4497</v>
      </c>
      <c r="P1812" s="4" t="s">
        <v>3629</v>
      </c>
    </row>
    <row r="1813" customFormat="false" ht="15" hidden="false" customHeight="false" outlineLevel="0" collapsed="false">
      <c r="A1813" s="4" t="s">
        <v>4498</v>
      </c>
      <c r="B1813" s="4" t="s">
        <v>4499</v>
      </c>
      <c r="C1813" s="4" t="s">
        <v>3783</v>
      </c>
      <c r="D1813" s="4" t="s">
        <v>3784</v>
      </c>
      <c r="E1813" s="4" t="s">
        <v>627</v>
      </c>
      <c r="F1813" s="4" t="s">
        <v>736</v>
      </c>
      <c r="G1813" s="4" t="s">
        <v>38</v>
      </c>
      <c r="H1813" s="4" t="s">
        <v>3676</v>
      </c>
      <c r="I1813" s="4" t="s">
        <v>4163</v>
      </c>
      <c r="J1813" s="4" t="s">
        <v>81</v>
      </c>
      <c r="K1813" s="4" t="s">
        <v>3437</v>
      </c>
      <c r="L1813" s="4" t="s">
        <v>596</v>
      </c>
      <c r="M1813" s="4" t="s">
        <v>695</v>
      </c>
      <c r="N1813" s="4" t="s">
        <v>44</v>
      </c>
      <c r="O1813" s="4" t="s">
        <v>3438</v>
      </c>
      <c r="P1813" s="4" t="s">
        <v>3629</v>
      </c>
    </row>
    <row r="1814" customFormat="false" ht="15" hidden="false" customHeight="false" outlineLevel="0" collapsed="false">
      <c r="A1814" s="4" t="s">
        <v>4500</v>
      </c>
      <c r="B1814" s="4" t="s">
        <v>4499</v>
      </c>
      <c r="C1814" s="4" t="s">
        <v>3783</v>
      </c>
      <c r="D1814" s="4" t="s">
        <v>3784</v>
      </c>
      <c r="E1814" s="4" t="s">
        <v>761</v>
      </c>
      <c r="F1814" s="4" t="s">
        <v>736</v>
      </c>
      <c r="G1814" s="4" t="s">
        <v>326</v>
      </c>
      <c r="H1814" s="4" t="s">
        <v>3676</v>
      </c>
      <c r="I1814" s="4" t="s">
        <v>4501</v>
      </c>
      <c r="J1814" s="4" t="s">
        <v>40</v>
      </c>
      <c r="K1814" s="4" t="s">
        <v>4502</v>
      </c>
      <c r="L1814" s="4" t="s">
        <v>988</v>
      </c>
      <c r="M1814" s="4" t="s">
        <v>737</v>
      </c>
      <c r="N1814" s="4" t="s">
        <v>44</v>
      </c>
      <c r="O1814" s="4" t="s">
        <v>4503</v>
      </c>
      <c r="P1814" s="4" t="s">
        <v>3629</v>
      </c>
    </row>
    <row r="1815" customFormat="false" ht="15" hidden="false" customHeight="false" outlineLevel="0" collapsed="false">
      <c r="A1815" s="4" t="s">
        <v>4504</v>
      </c>
      <c r="B1815" s="4" t="s">
        <v>4499</v>
      </c>
      <c r="C1815" s="4" t="s">
        <v>3783</v>
      </c>
      <c r="D1815" s="4" t="s">
        <v>3784</v>
      </c>
      <c r="E1815" s="4" t="s">
        <v>627</v>
      </c>
      <c r="F1815" s="4" t="s">
        <v>3635</v>
      </c>
      <c r="G1815" s="4" t="s">
        <v>38</v>
      </c>
      <c r="H1815" s="4" t="s">
        <v>3676</v>
      </c>
      <c r="I1815" s="4" t="s">
        <v>4418</v>
      </c>
      <c r="J1815" s="4" t="s">
        <v>149</v>
      </c>
      <c r="K1815" s="4" t="s">
        <v>4505</v>
      </c>
      <c r="L1815" s="4" t="s">
        <v>837</v>
      </c>
      <c r="M1815" s="4" t="s">
        <v>838</v>
      </c>
      <c r="N1815" s="4" t="s">
        <v>52</v>
      </c>
      <c r="O1815" s="4" t="s">
        <v>4506</v>
      </c>
      <c r="P1815" s="4" t="s">
        <v>3629</v>
      </c>
    </row>
    <row r="1816" customFormat="false" ht="15" hidden="false" customHeight="false" outlineLevel="0" collapsed="false">
      <c r="A1816" s="4" t="s">
        <v>4507</v>
      </c>
      <c r="B1816" s="4" t="s">
        <v>4499</v>
      </c>
      <c r="C1816" s="4" t="s">
        <v>3783</v>
      </c>
      <c r="D1816" s="4" t="s">
        <v>3784</v>
      </c>
      <c r="E1816" s="4" t="s">
        <v>627</v>
      </c>
      <c r="F1816" s="4" t="s">
        <v>1584</v>
      </c>
      <c r="G1816" s="4" t="s">
        <v>38</v>
      </c>
      <c r="H1816" s="4" t="s">
        <v>3625</v>
      </c>
      <c r="I1816" s="4" t="s">
        <v>3797</v>
      </c>
      <c r="J1816" s="4" t="s">
        <v>40</v>
      </c>
      <c r="K1816" s="4" t="s">
        <v>1583</v>
      </c>
      <c r="L1816" s="4" t="s">
        <v>736</v>
      </c>
      <c r="M1816" s="4" t="s">
        <v>1683</v>
      </c>
      <c r="N1816" s="4" t="s">
        <v>44</v>
      </c>
      <c r="O1816" s="4" t="s">
        <v>1585</v>
      </c>
      <c r="P1816" s="4" t="s">
        <v>3629</v>
      </c>
    </row>
    <row r="1817" customFormat="false" ht="15" hidden="false" customHeight="false" outlineLevel="0" collapsed="false">
      <c r="A1817" s="4" t="s">
        <v>4508</v>
      </c>
      <c r="B1817" s="4" t="s">
        <v>4499</v>
      </c>
      <c r="C1817" s="4" t="s">
        <v>3783</v>
      </c>
      <c r="D1817" s="4" t="s">
        <v>3784</v>
      </c>
      <c r="E1817" s="4" t="s">
        <v>627</v>
      </c>
      <c r="F1817" s="4" t="s">
        <v>736</v>
      </c>
      <c r="G1817" s="4" t="s">
        <v>38</v>
      </c>
      <c r="H1817" s="4" t="s">
        <v>3625</v>
      </c>
      <c r="I1817" s="4" t="s">
        <v>4509</v>
      </c>
      <c r="J1817" s="4" t="s">
        <v>68</v>
      </c>
      <c r="K1817" s="4" t="s">
        <v>3640</v>
      </c>
      <c r="L1817" s="4" t="s">
        <v>736</v>
      </c>
      <c r="M1817" s="4" t="s">
        <v>737</v>
      </c>
      <c r="N1817" s="4" t="s">
        <v>44</v>
      </c>
      <c r="O1817" s="4" t="s">
        <v>3641</v>
      </c>
      <c r="P1817" s="4" t="s">
        <v>3629</v>
      </c>
    </row>
    <row r="1818" customFormat="false" ht="15" hidden="false" customHeight="false" outlineLevel="0" collapsed="false">
      <c r="A1818" s="4" t="s">
        <v>4510</v>
      </c>
      <c r="B1818" s="4" t="s">
        <v>4499</v>
      </c>
      <c r="C1818" s="4" t="s">
        <v>3783</v>
      </c>
      <c r="D1818" s="4" t="s">
        <v>3784</v>
      </c>
      <c r="E1818" s="4" t="s">
        <v>627</v>
      </c>
      <c r="F1818" s="4" t="s">
        <v>736</v>
      </c>
      <c r="G1818" s="4" t="s">
        <v>38</v>
      </c>
      <c r="H1818" s="4" t="s">
        <v>3625</v>
      </c>
      <c r="I1818" s="4" t="s">
        <v>4511</v>
      </c>
      <c r="J1818" s="4" t="s">
        <v>40</v>
      </c>
      <c r="K1818" s="4" t="s">
        <v>4010</v>
      </c>
      <c r="L1818" s="4" t="s">
        <v>736</v>
      </c>
      <c r="M1818" s="4" t="s">
        <v>737</v>
      </c>
      <c r="N1818" s="4" t="s">
        <v>44</v>
      </c>
      <c r="O1818" s="4" t="s">
        <v>4011</v>
      </c>
      <c r="P1818" s="4" t="s">
        <v>3629</v>
      </c>
    </row>
    <row r="1819" customFormat="false" ht="15" hidden="false" customHeight="false" outlineLevel="0" collapsed="false">
      <c r="A1819" s="4" t="s">
        <v>4512</v>
      </c>
      <c r="B1819" s="4" t="s">
        <v>4513</v>
      </c>
      <c r="C1819" s="4" t="s">
        <v>3783</v>
      </c>
      <c r="D1819" s="4" t="s">
        <v>3784</v>
      </c>
      <c r="E1819" s="4" t="s">
        <v>627</v>
      </c>
      <c r="F1819" s="4" t="s">
        <v>736</v>
      </c>
      <c r="G1819" s="4" t="s">
        <v>38</v>
      </c>
      <c r="H1819" s="4" t="s">
        <v>3676</v>
      </c>
      <c r="I1819" s="4" t="s">
        <v>3934</v>
      </c>
      <c r="J1819" s="4" t="s">
        <v>40</v>
      </c>
      <c r="K1819" s="4" t="s">
        <v>4514</v>
      </c>
      <c r="L1819" s="4" t="s">
        <v>1584</v>
      </c>
      <c r="M1819" s="4" t="s">
        <v>737</v>
      </c>
      <c r="N1819" s="4" t="s">
        <v>94</v>
      </c>
      <c r="O1819" s="4" t="s">
        <v>4515</v>
      </c>
      <c r="P1819" s="4" t="s">
        <v>3629</v>
      </c>
    </row>
    <row r="1820" customFormat="false" ht="15" hidden="false" customHeight="false" outlineLevel="0" collapsed="false">
      <c r="A1820" s="4" t="s">
        <v>4516</v>
      </c>
      <c r="B1820" s="4" t="s">
        <v>4513</v>
      </c>
      <c r="C1820" s="4" t="s">
        <v>3783</v>
      </c>
      <c r="D1820" s="4" t="s">
        <v>3784</v>
      </c>
      <c r="E1820" s="4" t="s">
        <v>627</v>
      </c>
      <c r="F1820" s="4" t="s">
        <v>3406</v>
      </c>
      <c r="G1820" s="4" t="s">
        <v>38</v>
      </c>
      <c r="H1820" s="4" t="s">
        <v>3676</v>
      </c>
      <c r="I1820" s="4" t="s">
        <v>4416</v>
      </c>
      <c r="J1820" s="4" t="s">
        <v>40</v>
      </c>
      <c r="K1820" s="4" t="s">
        <v>4517</v>
      </c>
      <c r="L1820" s="4" t="s">
        <v>3406</v>
      </c>
      <c r="M1820" s="4" t="s">
        <v>737</v>
      </c>
      <c r="N1820" s="4" t="s">
        <v>44</v>
      </c>
      <c r="O1820" s="4" t="s">
        <v>4518</v>
      </c>
      <c r="P1820" s="4" t="s">
        <v>3629</v>
      </c>
    </row>
    <row r="1821" customFormat="false" ht="15" hidden="false" customHeight="false" outlineLevel="0" collapsed="false">
      <c r="A1821" s="4" t="s">
        <v>4519</v>
      </c>
      <c r="B1821" s="4" t="s">
        <v>4513</v>
      </c>
      <c r="C1821" s="4" t="s">
        <v>3783</v>
      </c>
      <c r="D1821" s="4" t="s">
        <v>3784</v>
      </c>
      <c r="E1821" s="4" t="s">
        <v>627</v>
      </c>
      <c r="F1821" s="4" t="s">
        <v>736</v>
      </c>
      <c r="G1821" s="4" t="s">
        <v>38</v>
      </c>
      <c r="H1821" s="4" t="s">
        <v>3625</v>
      </c>
      <c r="I1821" s="4" t="s">
        <v>4520</v>
      </c>
      <c r="J1821" s="4" t="s">
        <v>81</v>
      </c>
      <c r="K1821" s="4" t="s">
        <v>3845</v>
      </c>
      <c r="L1821" s="4" t="s">
        <v>736</v>
      </c>
      <c r="M1821" s="4" t="s">
        <v>1683</v>
      </c>
      <c r="N1821" s="4" t="s">
        <v>44</v>
      </c>
      <c r="O1821" s="4" t="s">
        <v>3846</v>
      </c>
      <c r="P1821" s="4" t="s">
        <v>3629</v>
      </c>
    </row>
    <row r="1822" customFormat="false" ht="15" hidden="false" customHeight="false" outlineLevel="0" collapsed="false">
      <c r="A1822" s="4" t="s">
        <v>4521</v>
      </c>
      <c r="B1822" s="4" t="s">
        <v>4513</v>
      </c>
      <c r="C1822" s="4" t="s">
        <v>3783</v>
      </c>
      <c r="D1822" s="4" t="s">
        <v>3784</v>
      </c>
      <c r="E1822" s="4" t="s">
        <v>627</v>
      </c>
      <c r="F1822" s="4" t="s">
        <v>736</v>
      </c>
      <c r="G1822" s="4" t="s">
        <v>38</v>
      </c>
      <c r="H1822" s="4" t="s">
        <v>3676</v>
      </c>
      <c r="I1822" s="4" t="s">
        <v>4522</v>
      </c>
      <c r="J1822" s="4" t="s">
        <v>40</v>
      </c>
      <c r="K1822" s="4" t="s">
        <v>4176</v>
      </c>
      <c r="L1822" s="4" t="s">
        <v>2681</v>
      </c>
      <c r="M1822" s="4" t="s">
        <v>1064</v>
      </c>
      <c r="N1822" s="4" t="s">
        <v>44</v>
      </c>
      <c r="O1822" s="4" t="s">
        <v>4177</v>
      </c>
      <c r="P1822" s="4" t="s">
        <v>3629</v>
      </c>
    </row>
    <row r="1823" customFormat="false" ht="15" hidden="false" customHeight="false" outlineLevel="0" collapsed="false">
      <c r="A1823" s="4" t="s">
        <v>4523</v>
      </c>
      <c r="B1823" s="4" t="s">
        <v>4513</v>
      </c>
      <c r="C1823" s="4" t="s">
        <v>3783</v>
      </c>
      <c r="D1823" s="4" t="s">
        <v>3784</v>
      </c>
      <c r="E1823" s="4" t="s">
        <v>627</v>
      </c>
      <c r="F1823" s="4" t="s">
        <v>736</v>
      </c>
      <c r="G1823" s="4" t="s">
        <v>38</v>
      </c>
      <c r="H1823" s="4" t="s">
        <v>3706</v>
      </c>
      <c r="I1823" s="4" t="s">
        <v>4524</v>
      </c>
      <c r="J1823" s="4" t="s">
        <v>40</v>
      </c>
      <c r="K1823" s="4" t="s">
        <v>4525</v>
      </c>
      <c r="L1823" s="4" t="s">
        <v>706</v>
      </c>
      <c r="M1823" s="4" t="s">
        <v>412</v>
      </c>
      <c r="N1823" s="4" t="s">
        <v>94</v>
      </c>
      <c r="O1823" s="4" t="s">
        <v>4526</v>
      </c>
      <c r="P1823" s="4" t="s">
        <v>3629</v>
      </c>
    </row>
    <row r="1824" customFormat="false" ht="15" hidden="false" customHeight="false" outlineLevel="0" collapsed="false">
      <c r="A1824" s="4" t="s">
        <v>4527</v>
      </c>
      <c r="B1824" s="4" t="s">
        <v>4513</v>
      </c>
      <c r="C1824" s="4" t="s">
        <v>3783</v>
      </c>
      <c r="D1824" s="4" t="s">
        <v>3784</v>
      </c>
      <c r="E1824" s="4" t="s">
        <v>627</v>
      </c>
      <c r="F1824" s="4" t="s">
        <v>3406</v>
      </c>
      <c r="G1824" s="4" t="s">
        <v>59</v>
      </c>
      <c r="H1824" s="4" t="s">
        <v>3676</v>
      </c>
      <c r="I1824" s="4" t="s">
        <v>4134</v>
      </c>
      <c r="J1824" s="4" t="s">
        <v>68</v>
      </c>
      <c r="K1824" s="4" t="s">
        <v>4041</v>
      </c>
      <c r="L1824" s="4" t="s">
        <v>736</v>
      </c>
      <c r="M1824" s="4" t="s">
        <v>737</v>
      </c>
      <c r="N1824" s="4" t="s">
        <v>52</v>
      </c>
      <c r="O1824" s="4" t="s">
        <v>4042</v>
      </c>
      <c r="P1824" s="4" t="s">
        <v>3629</v>
      </c>
    </row>
    <row r="1825" customFormat="false" ht="15" hidden="false" customHeight="false" outlineLevel="0" collapsed="false">
      <c r="A1825" s="4" t="s">
        <v>4528</v>
      </c>
      <c r="B1825" s="4" t="s">
        <v>4513</v>
      </c>
      <c r="C1825" s="4" t="s">
        <v>3783</v>
      </c>
      <c r="D1825" s="4" t="s">
        <v>3784</v>
      </c>
      <c r="E1825" s="4" t="s">
        <v>627</v>
      </c>
      <c r="F1825" s="4" t="s">
        <v>1584</v>
      </c>
      <c r="G1825" s="4" t="s">
        <v>38</v>
      </c>
      <c r="H1825" s="4" t="s">
        <v>3632</v>
      </c>
      <c r="I1825" s="4" t="s">
        <v>4529</v>
      </c>
      <c r="J1825" s="4" t="s">
        <v>68</v>
      </c>
      <c r="K1825" s="4" t="s">
        <v>4530</v>
      </c>
      <c r="L1825" s="4" t="s">
        <v>706</v>
      </c>
      <c r="M1825" s="4" t="s">
        <v>412</v>
      </c>
      <c r="N1825" s="4" t="s">
        <v>94</v>
      </c>
      <c r="O1825" s="4" t="s">
        <v>4531</v>
      </c>
      <c r="P1825" s="4" t="s">
        <v>3629</v>
      </c>
    </row>
    <row r="1826" customFormat="false" ht="15" hidden="false" customHeight="false" outlineLevel="0" collapsed="false">
      <c r="A1826" s="4" t="s">
        <v>4532</v>
      </c>
      <c r="B1826" s="4" t="s">
        <v>4513</v>
      </c>
      <c r="C1826" s="4" t="s">
        <v>3783</v>
      </c>
      <c r="D1826" s="4" t="s">
        <v>3784</v>
      </c>
      <c r="E1826" s="4" t="s">
        <v>627</v>
      </c>
      <c r="F1826" s="4" t="s">
        <v>736</v>
      </c>
      <c r="G1826" s="4" t="s">
        <v>38</v>
      </c>
      <c r="H1826" s="4" t="s">
        <v>3625</v>
      </c>
      <c r="I1826" s="4" t="s">
        <v>3849</v>
      </c>
      <c r="J1826" s="4" t="s">
        <v>68</v>
      </c>
      <c r="K1826" s="4" t="s">
        <v>3721</v>
      </c>
      <c r="L1826" s="4" t="s">
        <v>736</v>
      </c>
      <c r="M1826" s="4" t="s">
        <v>737</v>
      </c>
      <c r="N1826" s="4" t="s">
        <v>44</v>
      </c>
      <c r="O1826" s="4" t="s">
        <v>3722</v>
      </c>
      <c r="P1826" s="4" t="s">
        <v>3629</v>
      </c>
    </row>
    <row r="1827" customFormat="false" ht="15" hidden="false" customHeight="false" outlineLevel="0" collapsed="false">
      <c r="A1827" s="4" t="s">
        <v>4533</v>
      </c>
      <c r="B1827" s="4" t="s">
        <v>4513</v>
      </c>
      <c r="C1827" s="4" t="s">
        <v>3783</v>
      </c>
      <c r="D1827" s="4" t="s">
        <v>3784</v>
      </c>
      <c r="E1827" s="4" t="s">
        <v>627</v>
      </c>
      <c r="F1827" s="4" t="s">
        <v>736</v>
      </c>
      <c r="G1827" s="4" t="s">
        <v>38</v>
      </c>
      <c r="H1827" s="4" t="s">
        <v>3676</v>
      </c>
      <c r="I1827" s="4" t="s">
        <v>4175</v>
      </c>
      <c r="J1827" s="4" t="s">
        <v>68</v>
      </c>
      <c r="K1827" s="4" t="s">
        <v>3627</v>
      </c>
      <c r="L1827" s="4" t="s">
        <v>736</v>
      </c>
      <c r="M1827" s="4" t="s">
        <v>1683</v>
      </c>
      <c r="N1827" s="4" t="s">
        <v>44</v>
      </c>
      <c r="O1827" s="4" t="s">
        <v>3628</v>
      </c>
      <c r="P1827" s="4" t="s">
        <v>3629</v>
      </c>
    </row>
    <row r="1828" customFormat="false" ht="15" hidden="false" customHeight="false" outlineLevel="0" collapsed="false">
      <c r="A1828" s="4" t="s">
        <v>4534</v>
      </c>
      <c r="B1828" s="4" t="s">
        <v>4513</v>
      </c>
      <c r="C1828" s="4" t="s">
        <v>3783</v>
      </c>
      <c r="D1828" s="4" t="s">
        <v>3624</v>
      </c>
      <c r="E1828" s="4" t="s">
        <v>49</v>
      </c>
      <c r="F1828" s="4" t="s">
        <v>3406</v>
      </c>
      <c r="G1828" s="4" t="s">
        <v>38</v>
      </c>
      <c r="H1828" s="4" t="s">
        <v>3632</v>
      </c>
      <c r="I1828" s="4" t="s">
        <v>3651</v>
      </c>
      <c r="J1828" s="4" t="s">
        <v>40</v>
      </c>
      <c r="K1828" s="4" t="s">
        <v>4535</v>
      </c>
      <c r="L1828" s="4" t="s">
        <v>736</v>
      </c>
      <c r="M1828" s="4" t="s">
        <v>1683</v>
      </c>
      <c r="N1828" s="4" t="s">
        <v>44</v>
      </c>
      <c r="O1828" s="4" t="s">
        <v>4536</v>
      </c>
      <c r="P1828" s="4" t="s">
        <v>3629</v>
      </c>
    </row>
    <row r="1829" customFormat="false" ht="15" hidden="false" customHeight="false" outlineLevel="0" collapsed="false">
      <c r="A1829" s="4" t="s">
        <v>4537</v>
      </c>
      <c r="B1829" s="4" t="s">
        <v>3783</v>
      </c>
      <c r="C1829" s="4" t="s">
        <v>3783</v>
      </c>
      <c r="D1829" s="4" t="s">
        <v>3784</v>
      </c>
      <c r="E1829" s="4" t="s">
        <v>761</v>
      </c>
      <c r="F1829" s="4" t="s">
        <v>3635</v>
      </c>
      <c r="G1829" s="4" t="s">
        <v>38</v>
      </c>
      <c r="H1829" s="4" t="s">
        <v>3676</v>
      </c>
      <c r="I1829" s="4" t="s">
        <v>4538</v>
      </c>
      <c r="J1829" s="4" t="s">
        <v>40</v>
      </c>
      <c r="K1829" s="4" t="s">
        <v>3693</v>
      </c>
      <c r="L1829" s="4" t="s">
        <v>736</v>
      </c>
      <c r="M1829" s="4" t="s">
        <v>737</v>
      </c>
      <c r="N1829" s="4" t="s">
        <v>44</v>
      </c>
      <c r="O1829" s="4" t="s">
        <v>3694</v>
      </c>
      <c r="P1829" s="4" t="s">
        <v>3629</v>
      </c>
    </row>
    <row r="1830" customFormat="false" ht="15" hidden="false" customHeight="false" outlineLevel="0" collapsed="false">
      <c r="A1830" s="4" t="s">
        <v>4539</v>
      </c>
      <c r="B1830" s="4" t="s">
        <v>3783</v>
      </c>
      <c r="C1830" s="4" t="s">
        <v>3783</v>
      </c>
      <c r="D1830" s="4" t="s">
        <v>3784</v>
      </c>
      <c r="E1830" s="4" t="s">
        <v>627</v>
      </c>
      <c r="F1830" s="4" t="s">
        <v>736</v>
      </c>
      <c r="G1830" s="4" t="s">
        <v>38</v>
      </c>
      <c r="H1830" s="4" t="s">
        <v>3625</v>
      </c>
      <c r="I1830" s="4" t="s">
        <v>4540</v>
      </c>
      <c r="J1830" s="4" t="s">
        <v>40</v>
      </c>
      <c r="K1830" s="4" t="s">
        <v>3089</v>
      </c>
      <c r="L1830" s="4" t="s">
        <v>736</v>
      </c>
      <c r="M1830" s="4" t="s">
        <v>737</v>
      </c>
      <c r="N1830" s="4" t="s">
        <v>44</v>
      </c>
      <c r="O1830" s="4" t="s">
        <v>3090</v>
      </c>
      <c r="P1830" s="4" t="s">
        <v>3629</v>
      </c>
    </row>
    <row r="1831" customFormat="false" ht="15" hidden="false" customHeight="false" outlineLevel="0" collapsed="false">
      <c r="A1831" s="4" t="s">
        <v>4541</v>
      </c>
      <c r="B1831" s="4" t="s">
        <v>3783</v>
      </c>
      <c r="C1831" s="4" t="s">
        <v>3783</v>
      </c>
      <c r="D1831" s="4" t="s">
        <v>3784</v>
      </c>
      <c r="E1831" s="4" t="s">
        <v>627</v>
      </c>
      <c r="F1831" s="4" t="s">
        <v>736</v>
      </c>
      <c r="G1831" s="4" t="s">
        <v>59</v>
      </c>
      <c r="H1831" s="4" t="s">
        <v>3625</v>
      </c>
      <c r="I1831" s="4" t="s">
        <v>3853</v>
      </c>
      <c r="J1831" s="4" t="s">
        <v>40</v>
      </c>
      <c r="K1831" s="4" t="s">
        <v>3927</v>
      </c>
      <c r="L1831" s="4" t="s">
        <v>736</v>
      </c>
      <c r="M1831" s="4" t="s">
        <v>737</v>
      </c>
      <c r="N1831" s="4" t="s">
        <v>44</v>
      </c>
      <c r="O1831" s="4" t="s">
        <v>3928</v>
      </c>
      <c r="P1831" s="4" t="s">
        <v>3629</v>
      </c>
    </row>
    <row r="1832" customFormat="false" ht="15" hidden="false" customHeight="false" outlineLevel="0" collapsed="false">
      <c r="A1832" s="4" t="s">
        <v>4542</v>
      </c>
      <c r="B1832" s="4" t="s">
        <v>3783</v>
      </c>
      <c r="C1832" s="4" t="s">
        <v>3783</v>
      </c>
      <c r="D1832" s="4" t="s">
        <v>3784</v>
      </c>
      <c r="E1832" s="4" t="s">
        <v>613</v>
      </c>
      <c r="F1832" s="4" t="s">
        <v>736</v>
      </c>
      <c r="G1832" s="4" t="s">
        <v>38</v>
      </c>
      <c r="H1832" s="4" t="s">
        <v>3676</v>
      </c>
      <c r="I1832" s="4" t="s">
        <v>4543</v>
      </c>
      <c r="J1832" s="4" t="s">
        <v>40</v>
      </c>
      <c r="K1832" s="4" t="s">
        <v>4544</v>
      </c>
      <c r="L1832" s="4" t="s">
        <v>736</v>
      </c>
      <c r="M1832" s="4" t="s">
        <v>737</v>
      </c>
      <c r="N1832" s="4" t="s">
        <v>44</v>
      </c>
      <c r="O1832" s="4" t="s">
        <v>4545</v>
      </c>
      <c r="P1832" s="4" t="s">
        <v>3629</v>
      </c>
    </row>
    <row r="1833" customFormat="false" ht="15" hidden="false" customHeight="false" outlineLevel="0" collapsed="false">
      <c r="A1833" s="4" t="s">
        <v>4546</v>
      </c>
      <c r="B1833" s="4" t="s">
        <v>3783</v>
      </c>
      <c r="C1833" s="4" t="s">
        <v>3783</v>
      </c>
      <c r="D1833" s="4" t="s">
        <v>3784</v>
      </c>
      <c r="E1833" s="4" t="s">
        <v>627</v>
      </c>
      <c r="F1833" s="4" t="s">
        <v>736</v>
      </c>
      <c r="G1833" s="4" t="s">
        <v>59</v>
      </c>
      <c r="H1833" s="4" t="s">
        <v>3676</v>
      </c>
      <c r="I1833" s="4" t="s">
        <v>4053</v>
      </c>
      <c r="J1833" s="4" t="s">
        <v>149</v>
      </c>
      <c r="K1833" s="4" t="s">
        <v>4547</v>
      </c>
      <c r="L1833" s="4" t="s">
        <v>463</v>
      </c>
      <c r="M1833" s="4" t="s">
        <v>464</v>
      </c>
      <c r="N1833" s="4" t="s">
        <v>44</v>
      </c>
      <c r="O1833" s="4" t="s">
        <v>4548</v>
      </c>
      <c r="P1833" s="4" t="s">
        <v>3629</v>
      </c>
    </row>
    <row r="1834" customFormat="false" ht="15" hidden="false" customHeight="false" outlineLevel="0" collapsed="false">
      <c r="A1834" s="4" t="s">
        <v>4549</v>
      </c>
      <c r="B1834" s="4" t="s">
        <v>3783</v>
      </c>
      <c r="C1834" s="4" t="s">
        <v>3783</v>
      </c>
      <c r="D1834" s="4" t="s">
        <v>3784</v>
      </c>
      <c r="E1834" s="4" t="s">
        <v>627</v>
      </c>
      <c r="F1834" s="4" t="s">
        <v>3710</v>
      </c>
      <c r="G1834" s="4" t="s">
        <v>59</v>
      </c>
      <c r="H1834" s="4" t="s">
        <v>3625</v>
      </c>
      <c r="I1834" s="4" t="s">
        <v>4550</v>
      </c>
      <c r="J1834" s="4" t="s">
        <v>81</v>
      </c>
      <c r="K1834" s="4" t="s">
        <v>4551</v>
      </c>
      <c r="L1834" s="4" t="s">
        <v>455</v>
      </c>
      <c r="M1834" s="4" t="s">
        <v>456</v>
      </c>
      <c r="N1834" s="4" t="s">
        <v>52</v>
      </c>
      <c r="O1834" s="4" t="s">
        <v>4552</v>
      </c>
      <c r="P1834" s="4" t="s">
        <v>3629</v>
      </c>
    </row>
    <row r="1835" customFormat="false" ht="15" hidden="false" customHeight="false" outlineLevel="0" collapsed="false">
      <c r="A1835" s="4" t="s">
        <v>4553</v>
      </c>
      <c r="B1835" s="4" t="s">
        <v>3783</v>
      </c>
      <c r="C1835" s="4" t="s">
        <v>3783</v>
      </c>
      <c r="D1835" s="4" t="s">
        <v>3784</v>
      </c>
      <c r="E1835" s="4" t="s">
        <v>627</v>
      </c>
      <c r="F1835" s="4" t="s">
        <v>1584</v>
      </c>
      <c r="G1835" s="4" t="s">
        <v>38</v>
      </c>
      <c r="H1835" s="4" t="s">
        <v>3676</v>
      </c>
      <c r="I1835" s="4" t="s">
        <v>4554</v>
      </c>
      <c r="J1835" s="4" t="s">
        <v>149</v>
      </c>
      <c r="K1835" s="4" t="s">
        <v>4555</v>
      </c>
      <c r="L1835" s="4" t="s">
        <v>364</v>
      </c>
      <c r="M1835" s="4" t="s">
        <v>365</v>
      </c>
      <c r="N1835" s="4" t="s">
        <v>44</v>
      </c>
      <c r="O1835" s="4" t="s">
        <v>4556</v>
      </c>
      <c r="P1835" s="4" t="s">
        <v>3629</v>
      </c>
    </row>
    <row r="1836" customFormat="false" ht="15" hidden="false" customHeight="false" outlineLevel="0" collapsed="false">
      <c r="A1836" s="4" t="s">
        <v>4557</v>
      </c>
      <c r="B1836" s="4" t="s">
        <v>3783</v>
      </c>
      <c r="C1836" s="4" t="s">
        <v>3783</v>
      </c>
      <c r="D1836" s="4" t="s">
        <v>3784</v>
      </c>
      <c r="E1836" s="4" t="s">
        <v>627</v>
      </c>
      <c r="F1836" s="4" t="s">
        <v>3710</v>
      </c>
      <c r="G1836" s="4" t="s">
        <v>38</v>
      </c>
      <c r="H1836" s="4" t="s">
        <v>3676</v>
      </c>
      <c r="I1836" s="4" t="s">
        <v>3923</v>
      </c>
      <c r="J1836" s="4" t="s">
        <v>40</v>
      </c>
      <c r="K1836" s="4" t="s">
        <v>4558</v>
      </c>
      <c r="L1836" s="4" t="s">
        <v>480</v>
      </c>
      <c r="M1836" s="4" t="s">
        <v>43</v>
      </c>
      <c r="N1836" s="4" t="s">
        <v>94</v>
      </c>
      <c r="O1836" s="4" t="s">
        <v>4559</v>
      </c>
      <c r="P1836" s="4" t="s">
        <v>3629</v>
      </c>
    </row>
    <row r="1837" customFormat="false" ht="15" hidden="false" customHeight="false" outlineLevel="0" collapsed="false">
      <c r="A1837" s="4" t="s">
        <v>4560</v>
      </c>
      <c r="B1837" s="4" t="s">
        <v>3783</v>
      </c>
      <c r="C1837" s="4" t="s">
        <v>3783</v>
      </c>
      <c r="D1837" s="4" t="s">
        <v>3784</v>
      </c>
      <c r="E1837" s="4" t="s">
        <v>627</v>
      </c>
      <c r="F1837" s="4" t="s">
        <v>736</v>
      </c>
      <c r="G1837" s="4" t="s">
        <v>326</v>
      </c>
      <c r="H1837" s="4" t="s">
        <v>3676</v>
      </c>
      <c r="I1837" s="4" t="s">
        <v>4120</v>
      </c>
      <c r="J1837" s="4" t="s">
        <v>40</v>
      </c>
      <c r="K1837" s="4" t="s">
        <v>4561</v>
      </c>
      <c r="L1837" s="4" t="s">
        <v>2146</v>
      </c>
      <c r="M1837" s="4" t="s">
        <v>737</v>
      </c>
      <c r="N1837" s="4" t="s">
        <v>44</v>
      </c>
      <c r="O1837" s="4" t="s">
        <v>4562</v>
      </c>
      <c r="P1837" s="4" t="s">
        <v>3629</v>
      </c>
    </row>
    <row r="1838" customFormat="false" ht="15" hidden="false" customHeight="false" outlineLevel="0" collapsed="false">
      <c r="A1838" s="4" t="s">
        <v>4563</v>
      </c>
      <c r="B1838" s="4" t="s">
        <v>3783</v>
      </c>
      <c r="C1838" s="4" t="s">
        <v>3783</v>
      </c>
      <c r="D1838" s="4" t="s">
        <v>3784</v>
      </c>
      <c r="E1838" s="4" t="s">
        <v>627</v>
      </c>
      <c r="F1838" s="4" t="s">
        <v>3406</v>
      </c>
      <c r="G1838" s="4" t="s">
        <v>59</v>
      </c>
      <c r="H1838" s="4" t="s">
        <v>3676</v>
      </c>
      <c r="I1838" s="4" t="s">
        <v>4564</v>
      </c>
      <c r="J1838" s="4" t="s">
        <v>40</v>
      </c>
      <c r="K1838" s="4" t="s">
        <v>450</v>
      </c>
      <c r="L1838" s="4" t="s">
        <v>58</v>
      </c>
      <c r="M1838" s="4" t="s">
        <v>43</v>
      </c>
      <c r="N1838" s="4" t="s">
        <v>44</v>
      </c>
      <c r="O1838" s="4" t="s">
        <v>451</v>
      </c>
      <c r="P1838" s="4" t="s">
        <v>3629</v>
      </c>
    </row>
    <row r="1839" customFormat="false" ht="15" hidden="false" customHeight="false" outlineLevel="0" collapsed="false">
      <c r="A1839" s="4" t="s">
        <v>4565</v>
      </c>
      <c r="B1839" s="4" t="s">
        <v>3783</v>
      </c>
      <c r="C1839" s="4" t="s">
        <v>3783</v>
      </c>
      <c r="D1839" s="4" t="s">
        <v>3784</v>
      </c>
      <c r="E1839" s="4" t="s">
        <v>618</v>
      </c>
      <c r="F1839" s="4" t="s">
        <v>1584</v>
      </c>
      <c r="G1839" s="4" t="s">
        <v>38</v>
      </c>
      <c r="H1839" s="4" t="s">
        <v>3676</v>
      </c>
      <c r="I1839" s="4" t="s">
        <v>4266</v>
      </c>
      <c r="J1839" s="4" t="s">
        <v>68</v>
      </c>
      <c r="K1839" s="4" t="s">
        <v>4566</v>
      </c>
      <c r="L1839" s="4" t="s">
        <v>364</v>
      </c>
      <c r="M1839" s="4" t="s">
        <v>365</v>
      </c>
      <c r="N1839" s="4" t="s">
        <v>185</v>
      </c>
      <c r="O1839" s="4" t="s">
        <v>4567</v>
      </c>
      <c r="P1839" s="4" t="s">
        <v>3629</v>
      </c>
    </row>
    <row r="1840" customFormat="false" ht="15" hidden="false" customHeight="false" outlineLevel="0" collapsed="false">
      <c r="A1840" s="4" t="s">
        <v>4568</v>
      </c>
      <c r="B1840" s="4" t="s">
        <v>4569</v>
      </c>
      <c r="C1840" s="4" t="s">
        <v>4570</v>
      </c>
      <c r="D1840" s="4" t="s">
        <v>3624</v>
      </c>
      <c r="E1840" s="4" t="s">
        <v>66</v>
      </c>
      <c r="F1840" s="4" t="s">
        <v>3406</v>
      </c>
      <c r="G1840" s="4" t="s">
        <v>38</v>
      </c>
      <c r="H1840" s="4" t="s">
        <v>3676</v>
      </c>
      <c r="I1840" s="4" t="s">
        <v>3645</v>
      </c>
      <c r="J1840" s="4" t="s">
        <v>40</v>
      </c>
      <c r="K1840" s="4" t="s">
        <v>4571</v>
      </c>
      <c r="L1840" s="4" t="s">
        <v>736</v>
      </c>
      <c r="M1840" s="4" t="s">
        <v>737</v>
      </c>
      <c r="N1840" s="4" t="s">
        <v>44</v>
      </c>
      <c r="O1840" s="4" t="s">
        <v>4572</v>
      </c>
      <c r="P1840" s="4" t="s">
        <v>3629</v>
      </c>
    </row>
    <row r="1841" customFormat="false" ht="15" hidden="false" customHeight="false" outlineLevel="0" collapsed="false">
      <c r="A1841" s="4" t="s">
        <v>4573</v>
      </c>
      <c r="B1841" s="4" t="s">
        <v>4574</v>
      </c>
      <c r="C1841" s="4" t="s">
        <v>4575</v>
      </c>
      <c r="D1841" s="4" t="s">
        <v>3624</v>
      </c>
      <c r="E1841" s="4" t="s">
        <v>36</v>
      </c>
      <c r="F1841" s="4" t="s">
        <v>736</v>
      </c>
      <c r="G1841" s="4" t="s">
        <v>38</v>
      </c>
      <c r="H1841" s="4" t="s">
        <v>3676</v>
      </c>
      <c r="I1841" s="4" t="s">
        <v>3716</v>
      </c>
      <c r="J1841" s="4" t="s">
        <v>68</v>
      </c>
      <c r="K1841" s="4" t="s">
        <v>3405</v>
      </c>
      <c r="L1841" s="4" t="s">
        <v>736</v>
      </c>
      <c r="M1841" s="4" t="s">
        <v>737</v>
      </c>
      <c r="N1841" s="4" t="s">
        <v>44</v>
      </c>
      <c r="O1841" s="4" t="s">
        <v>3407</v>
      </c>
      <c r="P1841" s="4" t="s">
        <v>3629</v>
      </c>
    </row>
    <row r="1842" customFormat="false" ht="15" hidden="false" customHeight="false" outlineLevel="0" collapsed="false">
      <c r="A1842" s="4" t="s">
        <v>4576</v>
      </c>
      <c r="B1842" s="4" t="s">
        <v>4574</v>
      </c>
      <c r="C1842" s="4" t="s">
        <v>4577</v>
      </c>
      <c r="D1842" s="4" t="s">
        <v>3624</v>
      </c>
      <c r="E1842" s="4" t="s">
        <v>36</v>
      </c>
      <c r="F1842" s="4" t="s">
        <v>3635</v>
      </c>
      <c r="G1842" s="4" t="s">
        <v>59</v>
      </c>
      <c r="H1842" s="4" t="s">
        <v>3625</v>
      </c>
      <c r="I1842" s="4" t="s">
        <v>3633</v>
      </c>
      <c r="J1842" s="4" t="s">
        <v>68</v>
      </c>
      <c r="K1842" s="4" t="s">
        <v>3405</v>
      </c>
      <c r="L1842" s="4" t="s">
        <v>3635</v>
      </c>
      <c r="M1842" s="4" t="s">
        <v>1683</v>
      </c>
      <c r="N1842" s="4" t="s">
        <v>44</v>
      </c>
      <c r="O1842" s="4" t="s">
        <v>3407</v>
      </c>
      <c r="P1842" s="4" t="s">
        <v>3629</v>
      </c>
    </row>
    <row r="1843" customFormat="false" ht="15" hidden="false" customHeight="false" outlineLevel="0" collapsed="false">
      <c r="A1843" s="4" t="s">
        <v>4578</v>
      </c>
      <c r="B1843" s="4" t="s">
        <v>4579</v>
      </c>
      <c r="C1843" s="4" t="s">
        <v>4580</v>
      </c>
      <c r="D1843" s="4" t="s">
        <v>3624</v>
      </c>
      <c r="E1843" s="4" t="s">
        <v>36</v>
      </c>
      <c r="F1843" s="4" t="s">
        <v>1584</v>
      </c>
      <c r="G1843" s="4" t="s">
        <v>38</v>
      </c>
      <c r="H1843" s="4" t="s">
        <v>3676</v>
      </c>
      <c r="I1843" s="4" t="s">
        <v>3669</v>
      </c>
      <c r="J1843" s="4" t="s">
        <v>149</v>
      </c>
      <c r="K1843" s="4" t="s">
        <v>4581</v>
      </c>
      <c r="L1843" s="4" t="s">
        <v>988</v>
      </c>
      <c r="M1843" s="4" t="s">
        <v>737</v>
      </c>
      <c r="N1843" s="4" t="s">
        <v>44</v>
      </c>
      <c r="O1843" s="4" t="s">
        <v>4582</v>
      </c>
      <c r="P1843" s="4" t="s">
        <v>3629</v>
      </c>
    </row>
    <row r="1844" customFormat="false" ht="15" hidden="false" customHeight="false" outlineLevel="0" collapsed="false">
      <c r="A1844" s="4" t="s">
        <v>4583</v>
      </c>
      <c r="B1844" s="4" t="s">
        <v>4584</v>
      </c>
      <c r="C1844" s="4" t="s">
        <v>4585</v>
      </c>
      <c r="D1844" s="4" t="s">
        <v>3624</v>
      </c>
      <c r="E1844" s="4" t="s">
        <v>36</v>
      </c>
      <c r="F1844" s="4" t="s">
        <v>736</v>
      </c>
      <c r="G1844" s="4" t="s">
        <v>38</v>
      </c>
      <c r="H1844" s="4" t="s">
        <v>3625</v>
      </c>
      <c r="I1844" s="4" t="s">
        <v>3645</v>
      </c>
      <c r="J1844" s="4" t="s">
        <v>40</v>
      </c>
      <c r="K1844" s="4" t="s">
        <v>4023</v>
      </c>
      <c r="L1844" s="4" t="s">
        <v>736</v>
      </c>
      <c r="M1844" s="4" t="s">
        <v>737</v>
      </c>
      <c r="N1844" s="4" t="s">
        <v>44</v>
      </c>
      <c r="O1844" s="4" t="s">
        <v>4024</v>
      </c>
      <c r="P1844" s="4" t="s">
        <v>3629</v>
      </c>
    </row>
    <row r="1845" customFormat="false" ht="15" hidden="false" customHeight="false" outlineLevel="0" collapsed="false">
      <c r="A1845" s="4" t="s">
        <v>4586</v>
      </c>
      <c r="B1845" s="4" t="s">
        <v>4587</v>
      </c>
      <c r="C1845" s="4" t="s">
        <v>4588</v>
      </c>
      <c r="D1845" s="4" t="s">
        <v>3624</v>
      </c>
      <c r="E1845" s="4" t="s">
        <v>36</v>
      </c>
      <c r="F1845" s="4" t="s">
        <v>736</v>
      </c>
      <c r="G1845" s="4" t="s">
        <v>59</v>
      </c>
      <c r="H1845" s="4" t="s">
        <v>3625</v>
      </c>
      <c r="I1845" s="4" t="s">
        <v>4589</v>
      </c>
      <c r="J1845" s="4" t="s">
        <v>40</v>
      </c>
      <c r="K1845" s="4" t="s">
        <v>4590</v>
      </c>
      <c r="L1845" s="4" t="s">
        <v>736</v>
      </c>
      <c r="M1845" s="4" t="s">
        <v>737</v>
      </c>
      <c r="N1845" s="4" t="s">
        <v>44</v>
      </c>
      <c r="O1845" s="4" t="s">
        <v>4591</v>
      </c>
      <c r="P1845" s="4" t="s">
        <v>3629</v>
      </c>
    </row>
    <row r="1846" customFormat="false" ht="15" hidden="false" customHeight="false" outlineLevel="0" collapsed="false">
      <c r="A1846" s="4" t="s">
        <v>4592</v>
      </c>
      <c r="B1846" s="4" t="s">
        <v>4593</v>
      </c>
      <c r="C1846" s="4" t="s">
        <v>4594</v>
      </c>
      <c r="D1846" s="4" t="s">
        <v>3624</v>
      </c>
      <c r="E1846" s="4" t="s">
        <v>36</v>
      </c>
      <c r="F1846" s="4" t="s">
        <v>736</v>
      </c>
      <c r="G1846" s="4" t="s">
        <v>38</v>
      </c>
      <c r="H1846" s="4" t="s">
        <v>3676</v>
      </c>
      <c r="I1846" s="4" t="s">
        <v>3651</v>
      </c>
      <c r="J1846" s="4" t="s">
        <v>68</v>
      </c>
      <c r="K1846" s="4" t="s">
        <v>4595</v>
      </c>
      <c r="L1846" s="4" t="s">
        <v>736</v>
      </c>
      <c r="M1846" s="4" t="s">
        <v>737</v>
      </c>
      <c r="N1846" s="4" t="s">
        <v>44</v>
      </c>
      <c r="O1846" s="4" t="s">
        <v>4596</v>
      </c>
      <c r="P1846" s="4" t="s">
        <v>3629</v>
      </c>
    </row>
    <row r="1847" customFormat="false" ht="15" hidden="false" customHeight="false" outlineLevel="0" collapsed="false">
      <c r="A1847" s="4" t="s">
        <v>4597</v>
      </c>
      <c r="B1847" s="4" t="s">
        <v>4588</v>
      </c>
      <c r="C1847" s="4" t="s">
        <v>4588</v>
      </c>
      <c r="D1847" s="4" t="s">
        <v>3624</v>
      </c>
      <c r="E1847" s="4" t="s">
        <v>57</v>
      </c>
      <c r="F1847" s="4" t="s">
        <v>3710</v>
      </c>
      <c r="G1847" s="4" t="s">
        <v>59</v>
      </c>
      <c r="H1847" s="4" t="s">
        <v>3706</v>
      </c>
      <c r="I1847" s="4" t="s">
        <v>3657</v>
      </c>
      <c r="J1847" s="4" t="s">
        <v>40</v>
      </c>
      <c r="K1847" s="4" t="s">
        <v>3769</v>
      </c>
      <c r="L1847" s="4" t="s">
        <v>736</v>
      </c>
      <c r="M1847" s="4" t="s">
        <v>737</v>
      </c>
      <c r="N1847" s="4" t="s">
        <v>44</v>
      </c>
      <c r="O1847" s="4" t="s">
        <v>3770</v>
      </c>
      <c r="P1847" s="4" t="s">
        <v>3629</v>
      </c>
    </row>
    <row r="1848" customFormat="false" ht="15" hidden="false" customHeight="false" outlineLevel="0" collapsed="false">
      <c r="A1848" s="4" t="s">
        <v>4598</v>
      </c>
      <c r="B1848" s="4" t="s">
        <v>4588</v>
      </c>
      <c r="C1848" s="4" t="s">
        <v>4588</v>
      </c>
      <c r="D1848" s="4" t="s">
        <v>3624</v>
      </c>
      <c r="E1848" s="4" t="s">
        <v>36</v>
      </c>
      <c r="F1848" s="4" t="s">
        <v>736</v>
      </c>
      <c r="G1848" s="4" t="s">
        <v>38</v>
      </c>
      <c r="H1848" s="4" t="s">
        <v>3625</v>
      </c>
      <c r="I1848" s="4" t="s">
        <v>3645</v>
      </c>
      <c r="J1848" s="4" t="s">
        <v>81</v>
      </c>
      <c r="K1848" s="4" t="s">
        <v>3960</v>
      </c>
      <c r="L1848" s="4" t="s">
        <v>3406</v>
      </c>
      <c r="M1848" s="4" t="s">
        <v>737</v>
      </c>
      <c r="N1848" s="4" t="s">
        <v>44</v>
      </c>
      <c r="O1848" s="4" t="s">
        <v>3961</v>
      </c>
      <c r="P1848" s="4" t="s">
        <v>3629</v>
      </c>
    </row>
    <row r="1849" customFormat="false" ht="15" hidden="false" customHeight="false" outlineLevel="0" collapsed="false">
      <c r="A1849" s="4" t="s">
        <v>4599</v>
      </c>
      <c r="B1849" s="4" t="s">
        <v>4588</v>
      </c>
      <c r="C1849" s="4" t="s">
        <v>4600</v>
      </c>
      <c r="D1849" s="4" t="s">
        <v>3624</v>
      </c>
      <c r="E1849" s="4" t="s">
        <v>66</v>
      </c>
      <c r="F1849" s="4" t="s">
        <v>3635</v>
      </c>
      <c r="G1849" s="4" t="s">
        <v>38</v>
      </c>
      <c r="H1849" s="4" t="s">
        <v>3676</v>
      </c>
      <c r="I1849" s="4" t="s">
        <v>3669</v>
      </c>
      <c r="J1849" s="4" t="s">
        <v>40</v>
      </c>
      <c r="K1849" s="4" t="s">
        <v>4346</v>
      </c>
      <c r="L1849" s="4" t="s">
        <v>736</v>
      </c>
      <c r="M1849" s="4" t="s">
        <v>737</v>
      </c>
      <c r="N1849" s="4" t="s">
        <v>185</v>
      </c>
      <c r="O1849" s="4" t="s">
        <v>4347</v>
      </c>
      <c r="P1849" s="4" t="s">
        <v>3629</v>
      </c>
    </row>
    <row r="1850" customFormat="false" ht="15" hidden="false" customHeight="false" outlineLevel="0" collapsed="false">
      <c r="A1850" s="4" t="s">
        <v>4601</v>
      </c>
      <c r="B1850" s="4" t="s">
        <v>4602</v>
      </c>
      <c r="C1850" s="4" t="s">
        <v>4603</v>
      </c>
      <c r="D1850" s="4" t="s">
        <v>3624</v>
      </c>
      <c r="E1850" s="4" t="s">
        <v>36</v>
      </c>
      <c r="F1850" s="4" t="s">
        <v>736</v>
      </c>
      <c r="G1850" s="4" t="s">
        <v>38</v>
      </c>
      <c r="H1850" s="4" t="s">
        <v>3625</v>
      </c>
      <c r="I1850" s="4" t="s">
        <v>3716</v>
      </c>
      <c r="J1850" s="4" t="s">
        <v>68</v>
      </c>
      <c r="K1850" s="4" t="s">
        <v>3702</v>
      </c>
      <c r="L1850" s="4" t="s">
        <v>736</v>
      </c>
      <c r="M1850" s="4" t="s">
        <v>737</v>
      </c>
      <c r="N1850" s="4" t="s">
        <v>44</v>
      </c>
      <c r="O1850" s="4" t="s">
        <v>3703</v>
      </c>
      <c r="P1850" s="4" t="s">
        <v>3629</v>
      </c>
    </row>
    <row r="1851" customFormat="false" ht="15" hidden="false" customHeight="false" outlineLevel="0" collapsed="false">
      <c r="A1851" s="4" t="s">
        <v>4604</v>
      </c>
      <c r="B1851" s="4" t="s">
        <v>4605</v>
      </c>
      <c r="C1851" s="4" t="s">
        <v>4606</v>
      </c>
      <c r="D1851" s="4" t="s">
        <v>3624</v>
      </c>
      <c r="E1851" s="4" t="s">
        <v>36</v>
      </c>
      <c r="F1851" s="4" t="s">
        <v>736</v>
      </c>
      <c r="G1851" s="4" t="s">
        <v>59</v>
      </c>
      <c r="H1851" s="4" t="s">
        <v>3676</v>
      </c>
      <c r="I1851" s="4" t="s">
        <v>3626</v>
      </c>
      <c r="J1851" s="4" t="s">
        <v>40</v>
      </c>
      <c r="K1851" s="4" t="s">
        <v>2208</v>
      </c>
      <c r="L1851" s="4" t="s">
        <v>736</v>
      </c>
      <c r="M1851" s="4" t="s">
        <v>737</v>
      </c>
      <c r="N1851" s="4" t="s">
        <v>44</v>
      </c>
      <c r="O1851" s="4" t="s">
        <v>2209</v>
      </c>
      <c r="P1851" s="4" t="s">
        <v>3629</v>
      </c>
    </row>
    <row r="1852" customFormat="false" ht="15" hidden="false" customHeight="false" outlineLevel="0" collapsed="false">
      <c r="A1852" s="4" t="s">
        <v>4607</v>
      </c>
      <c r="B1852" s="4" t="s">
        <v>4608</v>
      </c>
      <c r="C1852" s="4" t="s">
        <v>4609</v>
      </c>
      <c r="D1852" s="4" t="s">
        <v>3624</v>
      </c>
      <c r="E1852" s="4" t="s">
        <v>36</v>
      </c>
      <c r="F1852" s="4" t="s">
        <v>3710</v>
      </c>
      <c r="G1852" s="4" t="s">
        <v>38</v>
      </c>
      <c r="H1852" s="4" t="s">
        <v>3676</v>
      </c>
      <c r="I1852" s="4" t="s">
        <v>3716</v>
      </c>
      <c r="J1852" s="4" t="s">
        <v>40</v>
      </c>
      <c r="K1852" s="4" t="s">
        <v>4610</v>
      </c>
      <c r="L1852" s="4" t="s">
        <v>1584</v>
      </c>
      <c r="M1852" s="4" t="s">
        <v>737</v>
      </c>
      <c r="N1852" s="4" t="s">
        <v>44</v>
      </c>
      <c r="O1852" s="4" t="s">
        <v>4611</v>
      </c>
      <c r="P1852" s="4" t="s">
        <v>3629</v>
      </c>
    </row>
    <row r="1853" customFormat="false" ht="15" hidden="false" customHeight="false" outlineLevel="0" collapsed="false">
      <c r="A1853" s="4" t="s">
        <v>4612</v>
      </c>
      <c r="B1853" s="4" t="s">
        <v>4613</v>
      </c>
      <c r="C1853" s="4" t="s">
        <v>4614</v>
      </c>
      <c r="D1853" s="4" t="s">
        <v>3624</v>
      </c>
      <c r="E1853" s="4" t="s">
        <v>57</v>
      </c>
      <c r="F1853" s="4" t="s">
        <v>736</v>
      </c>
      <c r="G1853" s="4" t="s">
        <v>38</v>
      </c>
      <c r="H1853" s="4" t="s">
        <v>3676</v>
      </c>
      <c r="I1853" s="4" t="s">
        <v>3651</v>
      </c>
      <c r="J1853" s="4" t="s">
        <v>68</v>
      </c>
      <c r="K1853" s="4" t="s">
        <v>3758</v>
      </c>
      <c r="L1853" s="4" t="s">
        <v>736</v>
      </c>
      <c r="M1853" s="4" t="s">
        <v>737</v>
      </c>
      <c r="N1853" s="4" t="s">
        <v>44</v>
      </c>
      <c r="O1853" s="4" t="s">
        <v>3759</v>
      </c>
      <c r="P1853" s="4" t="s">
        <v>3629</v>
      </c>
    </row>
    <row r="1854" customFormat="false" ht="15" hidden="false" customHeight="false" outlineLevel="0" collapsed="false">
      <c r="A1854" s="4" t="s">
        <v>4615</v>
      </c>
      <c r="B1854" s="4" t="s">
        <v>4616</v>
      </c>
      <c r="C1854" s="4" t="s">
        <v>4614</v>
      </c>
      <c r="D1854" s="4" t="s">
        <v>3624</v>
      </c>
      <c r="E1854" s="4" t="s">
        <v>57</v>
      </c>
      <c r="F1854" s="4" t="s">
        <v>1584</v>
      </c>
      <c r="G1854" s="4" t="s">
        <v>59</v>
      </c>
      <c r="H1854" s="4" t="s">
        <v>3625</v>
      </c>
      <c r="I1854" s="4" t="s">
        <v>3657</v>
      </c>
      <c r="J1854" s="4" t="s">
        <v>68</v>
      </c>
      <c r="K1854" s="4" t="s">
        <v>3634</v>
      </c>
      <c r="L1854" s="4" t="s">
        <v>1584</v>
      </c>
      <c r="M1854" s="4" t="s">
        <v>737</v>
      </c>
      <c r="N1854" s="4" t="s">
        <v>185</v>
      </c>
      <c r="O1854" s="4" t="s">
        <v>3636</v>
      </c>
      <c r="P1854" s="4" t="s">
        <v>3629</v>
      </c>
    </row>
    <row r="1855" customFormat="false" ht="15" hidden="false" customHeight="false" outlineLevel="0" collapsed="false">
      <c r="A1855" s="4" t="s">
        <v>4617</v>
      </c>
      <c r="B1855" s="4" t="s">
        <v>4618</v>
      </c>
      <c r="C1855" s="4" t="s">
        <v>4618</v>
      </c>
      <c r="D1855" s="4" t="s">
        <v>3624</v>
      </c>
      <c r="E1855" s="4" t="s">
        <v>36</v>
      </c>
      <c r="F1855" s="4" t="s">
        <v>3406</v>
      </c>
      <c r="G1855" s="4" t="s">
        <v>38</v>
      </c>
      <c r="H1855" s="4" t="s">
        <v>3625</v>
      </c>
      <c r="I1855" s="4" t="s">
        <v>3645</v>
      </c>
      <c r="J1855" s="4" t="s">
        <v>68</v>
      </c>
      <c r="K1855" s="4" t="s">
        <v>4595</v>
      </c>
      <c r="L1855" s="4" t="s">
        <v>736</v>
      </c>
      <c r="M1855" s="4" t="s">
        <v>1683</v>
      </c>
      <c r="N1855" s="4" t="s">
        <v>44</v>
      </c>
      <c r="O1855" s="4" t="s">
        <v>4596</v>
      </c>
      <c r="P1855" s="4" t="s">
        <v>3629</v>
      </c>
    </row>
    <row r="1856" customFormat="false" ht="15" hidden="false" customHeight="false" outlineLevel="0" collapsed="false">
      <c r="A1856" s="4" t="s">
        <v>4619</v>
      </c>
      <c r="B1856" s="4" t="s">
        <v>4620</v>
      </c>
      <c r="C1856" s="4" t="s">
        <v>4621</v>
      </c>
      <c r="D1856" s="4" t="s">
        <v>3624</v>
      </c>
      <c r="E1856" s="4" t="s">
        <v>49</v>
      </c>
      <c r="F1856" s="4" t="s">
        <v>736</v>
      </c>
      <c r="G1856" s="4" t="s">
        <v>59</v>
      </c>
      <c r="H1856" s="4" t="s">
        <v>3676</v>
      </c>
      <c r="I1856" s="4"/>
      <c r="J1856" s="4" t="s">
        <v>40</v>
      </c>
      <c r="K1856" s="4" t="s">
        <v>4622</v>
      </c>
      <c r="L1856" s="4" t="s">
        <v>736</v>
      </c>
      <c r="M1856" s="4" t="s">
        <v>737</v>
      </c>
      <c r="N1856" s="4" t="s">
        <v>44</v>
      </c>
      <c r="O1856" s="4" t="s">
        <v>4623</v>
      </c>
      <c r="P1856" s="4" t="s">
        <v>3629</v>
      </c>
    </row>
    <row r="1857" customFormat="false" ht="15" hidden="false" customHeight="false" outlineLevel="0" collapsed="false">
      <c r="A1857" s="4" t="s">
        <v>4624</v>
      </c>
      <c r="B1857" s="4" t="s">
        <v>4625</v>
      </c>
      <c r="C1857" s="4" t="s">
        <v>4626</v>
      </c>
      <c r="D1857" s="4" t="s">
        <v>3624</v>
      </c>
      <c r="E1857" s="4" t="s">
        <v>66</v>
      </c>
      <c r="F1857" s="4" t="s">
        <v>736</v>
      </c>
      <c r="G1857" s="4" t="s">
        <v>38</v>
      </c>
      <c r="H1857" s="4" t="s">
        <v>3632</v>
      </c>
      <c r="I1857" s="4" t="s">
        <v>3651</v>
      </c>
      <c r="J1857" s="4" t="s">
        <v>81</v>
      </c>
      <c r="K1857" s="4" t="s">
        <v>4202</v>
      </c>
      <c r="L1857" s="4" t="s">
        <v>736</v>
      </c>
      <c r="M1857" s="4" t="s">
        <v>737</v>
      </c>
      <c r="N1857" s="4" t="s">
        <v>44</v>
      </c>
      <c r="O1857" s="4" t="s">
        <v>4203</v>
      </c>
      <c r="P1857" s="4" t="s">
        <v>3629</v>
      </c>
    </row>
    <row r="1858" customFormat="false" ht="15" hidden="false" customHeight="false" outlineLevel="0" collapsed="false">
      <c r="A1858" s="4" t="s">
        <v>4627</v>
      </c>
      <c r="B1858" s="4" t="s">
        <v>4628</v>
      </c>
      <c r="C1858" s="4" t="s">
        <v>4629</v>
      </c>
      <c r="D1858" s="4" t="s">
        <v>3624</v>
      </c>
      <c r="E1858" s="4" t="s">
        <v>36</v>
      </c>
      <c r="F1858" s="4" t="s">
        <v>736</v>
      </c>
      <c r="G1858" s="4" t="s">
        <v>59</v>
      </c>
      <c r="H1858" s="4" t="s">
        <v>3625</v>
      </c>
      <c r="I1858" s="4" t="s">
        <v>3657</v>
      </c>
      <c r="J1858" s="4" t="s">
        <v>40</v>
      </c>
      <c r="K1858" s="4" t="s">
        <v>3769</v>
      </c>
      <c r="L1858" s="4" t="s">
        <v>736</v>
      </c>
      <c r="M1858" s="4" t="s">
        <v>737</v>
      </c>
      <c r="N1858" s="4" t="s">
        <v>185</v>
      </c>
      <c r="O1858" s="4" t="s">
        <v>3770</v>
      </c>
      <c r="P1858" s="4" t="s">
        <v>3629</v>
      </c>
    </row>
    <row r="1859" customFormat="false" ht="15" hidden="false" customHeight="false" outlineLevel="0" collapsed="false">
      <c r="A1859" s="4" t="s">
        <v>4630</v>
      </c>
      <c r="B1859" s="4" t="s">
        <v>4631</v>
      </c>
      <c r="C1859" s="4" t="s">
        <v>4631</v>
      </c>
      <c r="D1859" s="4" t="s">
        <v>3624</v>
      </c>
      <c r="E1859" s="4" t="s">
        <v>49</v>
      </c>
      <c r="F1859" s="4" t="s">
        <v>736</v>
      </c>
      <c r="G1859" s="4" t="s">
        <v>38</v>
      </c>
      <c r="H1859" s="4" t="s">
        <v>3676</v>
      </c>
      <c r="I1859" s="4" t="s">
        <v>3716</v>
      </c>
      <c r="J1859" s="4" t="s">
        <v>81</v>
      </c>
      <c r="K1859" s="4" t="s">
        <v>3894</v>
      </c>
      <c r="L1859" s="4" t="s">
        <v>736</v>
      </c>
      <c r="M1859" s="4" t="s">
        <v>737</v>
      </c>
      <c r="N1859" s="4" t="s">
        <v>44</v>
      </c>
      <c r="O1859" s="4" t="s">
        <v>3895</v>
      </c>
      <c r="P1859" s="4" t="s">
        <v>3629</v>
      </c>
    </row>
    <row r="1860" customFormat="false" ht="15" hidden="false" customHeight="false" outlineLevel="0" collapsed="false">
      <c r="A1860" s="4" t="s">
        <v>4632</v>
      </c>
      <c r="B1860" s="4" t="s">
        <v>4633</v>
      </c>
      <c r="C1860" s="4" t="s">
        <v>4634</v>
      </c>
      <c r="D1860" s="4" t="s">
        <v>3624</v>
      </c>
      <c r="E1860" s="4" t="s">
        <v>36</v>
      </c>
      <c r="F1860" s="4" t="s">
        <v>736</v>
      </c>
      <c r="G1860" s="4" t="s">
        <v>38</v>
      </c>
      <c r="H1860" s="4" t="s">
        <v>3625</v>
      </c>
      <c r="I1860" s="4" t="s">
        <v>3716</v>
      </c>
      <c r="J1860" s="4" t="s">
        <v>149</v>
      </c>
      <c r="K1860" s="4" t="s">
        <v>3776</v>
      </c>
      <c r="L1860" s="4" t="s">
        <v>736</v>
      </c>
      <c r="M1860" s="4" t="s">
        <v>1683</v>
      </c>
      <c r="N1860" s="4" t="s">
        <v>44</v>
      </c>
      <c r="O1860" s="4" t="s">
        <v>3777</v>
      </c>
      <c r="P1860" s="4" t="s">
        <v>3629</v>
      </c>
    </row>
    <row r="1861" customFormat="false" ht="15" hidden="false" customHeight="false" outlineLevel="0" collapsed="false">
      <c r="A1861" s="4" t="s">
        <v>4635</v>
      </c>
      <c r="B1861" s="4" t="s">
        <v>4634</v>
      </c>
      <c r="C1861" s="4" t="s">
        <v>4636</v>
      </c>
      <c r="D1861" s="4" t="s">
        <v>3624</v>
      </c>
      <c r="E1861" s="4" t="s">
        <v>49</v>
      </c>
      <c r="F1861" s="4" t="s">
        <v>736</v>
      </c>
      <c r="G1861" s="4" t="s">
        <v>59</v>
      </c>
      <c r="H1861" s="4"/>
      <c r="I1861" s="4" t="s">
        <v>3657</v>
      </c>
      <c r="J1861" s="4" t="s">
        <v>81</v>
      </c>
      <c r="K1861" s="4" t="s">
        <v>4637</v>
      </c>
      <c r="L1861" s="4" t="s">
        <v>3635</v>
      </c>
      <c r="M1861" s="4" t="s">
        <v>1683</v>
      </c>
      <c r="N1861" s="4" t="s">
        <v>44</v>
      </c>
      <c r="O1861" s="4" t="s">
        <v>4638</v>
      </c>
      <c r="P1861" s="4" t="s">
        <v>3629</v>
      </c>
    </row>
    <row r="1862" customFormat="false" ht="15" hidden="false" customHeight="false" outlineLevel="0" collapsed="false">
      <c r="A1862" s="4" t="s">
        <v>4639</v>
      </c>
      <c r="B1862" s="4" t="s">
        <v>4640</v>
      </c>
      <c r="C1862" s="4" t="s">
        <v>4640</v>
      </c>
      <c r="D1862" s="4" t="s">
        <v>3624</v>
      </c>
      <c r="E1862" s="4" t="s">
        <v>36</v>
      </c>
      <c r="F1862" s="4" t="s">
        <v>3635</v>
      </c>
      <c r="G1862" s="4" t="s">
        <v>38</v>
      </c>
      <c r="H1862" s="4" t="s">
        <v>3625</v>
      </c>
      <c r="I1862" s="4" t="s">
        <v>4641</v>
      </c>
      <c r="J1862" s="4" t="s">
        <v>40</v>
      </c>
      <c r="K1862" s="4" t="s">
        <v>4346</v>
      </c>
      <c r="L1862" s="4" t="s">
        <v>736</v>
      </c>
      <c r="M1862" s="4" t="s">
        <v>1683</v>
      </c>
      <c r="N1862" s="4" t="s">
        <v>44</v>
      </c>
      <c r="O1862" s="4" t="s">
        <v>4347</v>
      </c>
      <c r="P1862" s="4" t="s">
        <v>3629</v>
      </c>
    </row>
    <row r="1863" customFormat="false" ht="15" hidden="false" customHeight="false" outlineLevel="0" collapsed="false">
      <c r="A1863" s="4" t="s">
        <v>4642</v>
      </c>
      <c r="B1863" s="4" t="s">
        <v>4643</v>
      </c>
      <c r="C1863" s="4" t="s">
        <v>4644</v>
      </c>
      <c r="D1863" s="4" t="s">
        <v>3624</v>
      </c>
      <c r="E1863" s="4" t="s">
        <v>36</v>
      </c>
      <c r="F1863" s="4" t="s">
        <v>3406</v>
      </c>
      <c r="G1863" s="4" t="s">
        <v>38</v>
      </c>
      <c r="H1863" s="4" t="s">
        <v>3706</v>
      </c>
      <c r="I1863" s="4" t="s">
        <v>3716</v>
      </c>
      <c r="J1863" s="4" t="s">
        <v>68</v>
      </c>
      <c r="K1863" s="4" t="s">
        <v>4131</v>
      </c>
      <c r="L1863" s="4" t="s">
        <v>736</v>
      </c>
      <c r="M1863" s="4" t="s">
        <v>737</v>
      </c>
      <c r="N1863" s="4" t="s">
        <v>44</v>
      </c>
      <c r="O1863" s="4" t="s">
        <v>4132</v>
      </c>
      <c r="P1863" s="4" t="s">
        <v>3629</v>
      </c>
    </row>
    <row r="1864" customFormat="false" ht="15" hidden="false" customHeight="false" outlineLevel="0" collapsed="false">
      <c r="A1864" s="4" t="s">
        <v>4645</v>
      </c>
      <c r="B1864" s="4" t="s">
        <v>4646</v>
      </c>
      <c r="C1864" s="4" t="s">
        <v>4647</v>
      </c>
      <c r="D1864" s="4" t="s">
        <v>3624</v>
      </c>
      <c r="E1864" s="4" t="s">
        <v>36</v>
      </c>
      <c r="F1864" s="4" t="s">
        <v>3406</v>
      </c>
      <c r="G1864" s="4" t="s">
        <v>59</v>
      </c>
      <c r="H1864" s="4" t="s">
        <v>3625</v>
      </c>
      <c r="I1864" s="4" t="s">
        <v>3657</v>
      </c>
      <c r="J1864" s="4" t="s">
        <v>68</v>
      </c>
      <c r="K1864" s="4" t="s">
        <v>4186</v>
      </c>
      <c r="L1864" s="4" t="s">
        <v>736</v>
      </c>
      <c r="M1864" s="4" t="s">
        <v>737</v>
      </c>
      <c r="N1864" s="4" t="s">
        <v>44</v>
      </c>
      <c r="O1864" s="4" t="s">
        <v>4187</v>
      </c>
      <c r="P1864" s="4" t="s">
        <v>3629</v>
      </c>
    </row>
    <row r="1865" customFormat="false" ht="15" hidden="false" customHeight="false" outlineLevel="0" collapsed="false">
      <c r="A1865" s="4" t="s">
        <v>4648</v>
      </c>
      <c r="B1865" s="4" t="s">
        <v>4649</v>
      </c>
      <c r="C1865" s="4" t="s">
        <v>4650</v>
      </c>
      <c r="D1865" s="4" t="s">
        <v>4651</v>
      </c>
      <c r="E1865" s="4" t="s">
        <v>306</v>
      </c>
      <c r="F1865" s="4" t="s">
        <v>3635</v>
      </c>
      <c r="G1865" s="4" t="s">
        <v>38</v>
      </c>
      <c r="H1865" s="4" t="s">
        <v>3676</v>
      </c>
      <c r="I1865" s="4" t="s">
        <v>4652</v>
      </c>
      <c r="J1865" s="4" t="s">
        <v>40</v>
      </c>
      <c r="K1865" s="4" t="s">
        <v>4653</v>
      </c>
      <c r="L1865" s="4" t="s">
        <v>988</v>
      </c>
      <c r="M1865" s="4" t="s">
        <v>737</v>
      </c>
      <c r="N1865" s="4" t="s">
        <v>44</v>
      </c>
      <c r="O1865" s="4" t="s">
        <v>4654</v>
      </c>
      <c r="P1865" s="4" t="s">
        <v>3629</v>
      </c>
    </row>
    <row r="1866" customFormat="false" ht="15" hidden="false" customHeight="false" outlineLevel="0" collapsed="false">
      <c r="A1866" s="4" t="s">
        <v>4655</v>
      </c>
      <c r="B1866" s="4" t="s">
        <v>4649</v>
      </c>
      <c r="C1866" s="4" t="s">
        <v>4650</v>
      </c>
      <c r="D1866" s="4" t="s">
        <v>4651</v>
      </c>
      <c r="E1866" s="4" t="s">
        <v>325</v>
      </c>
      <c r="F1866" s="4" t="s">
        <v>736</v>
      </c>
      <c r="G1866" s="4" t="s">
        <v>59</v>
      </c>
      <c r="H1866" s="4" t="s">
        <v>3625</v>
      </c>
      <c r="I1866" s="4" t="s">
        <v>4656</v>
      </c>
      <c r="J1866" s="4" t="s">
        <v>68</v>
      </c>
      <c r="K1866" s="4" t="s">
        <v>4288</v>
      </c>
      <c r="L1866" s="4" t="s">
        <v>736</v>
      </c>
      <c r="M1866" s="4" t="s">
        <v>737</v>
      </c>
      <c r="N1866" s="4" t="s">
        <v>44</v>
      </c>
      <c r="O1866" s="4" t="s">
        <v>4289</v>
      </c>
      <c r="P1866" s="4" t="s">
        <v>3629</v>
      </c>
    </row>
    <row r="1867" customFormat="false" ht="15" hidden="false" customHeight="false" outlineLevel="0" collapsed="false">
      <c r="A1867" s="4" t="s">
        <v>4657</v>
      </c>
      <c r="B1867" s="4" t="s">
        <v>4658</v>
      </c>
      <c r="C1867" s="4" t="s">
        <v>4650</v>
      </c>
      <c r="D1867" s="4" t="s">
        <v>4651</v>
      </c>
      <c r="E1867" s="4" t="s">
        <v>306</v>
      </c>
      <c r="F1867" s="4" t="s">
        <v>736</v>
      </c>
      <c r="G1867" s="4" t="s">
        <v>38</v>
      </c>
      <c r="H1867" s="4" t="s">
        <v>3625</v>
      </c>
      <c r="I1867" s="4" t="s">
        <v>3808</v>
      </c>
      <c r="J1867" s="4" t="s">
        <v>68</v>
      </c>
      <c r="K1867" s="4" t="s">
        <v>3753</v>
      </c>
      <c r="L1867" s="4" t="s">
        <v>736</v>
      </c>
      <c r="M1867" s="4" t="s">
        <v>737</v>
      </c>
      <c r="N1867" s="4" t="s">
        <v>44</v>
      </c>
      <c r="O1867" s="4" t="s">
        <v>3754</v>
      </c>
      <c r="P1867" s="4" t="s">
        <v>3629</v>
      </c>
    </row>
    <row r="1868" customFormat="false" ht="15" hidden="false" customHeight="false" outlineLevel="0" collapsed="false">
      <c r="A1868" s="4" t="s">
        <v>4659</v>
      </c>
      <c r="B1868" s="4" t="s">
        <v>4658</v>
      </c>
      <c r="C1868" s="4" t="s">
        <v>4650</v>
      </c>
      <c r="D1868" s="4" t="s">
        <v>4651</v>
      </c>
      <c r="E1868" s="4" t="s">
        <v>306</v>
      </c>
      <c r="F1868" s="4" t="s">
        <v>736</v>
      </c>
      <c r="G1868" s="4" t="s">
        <v>38</v>
      </c>
      <c r="H1868" s="4" t="s">
        <v>3632</v>
      </c>
      <c r="I1868" s="4" t="s">
        <v>4660</v>
      </c>
      <c r="J1868" s="4" t="s">
        <v>40</v>
      </c>
      <c r="K1868" s="4" t="s">
        <v>4206</v>
      </c>
      <c r="L1868" s="4" t="s">
        <v>736</v>
      </c>
      <c r="M1868" s="4" t="s">
        <v>737</v>
      </c>
      <c r="N1868" s="4" t="s">
        <v>44</v>
      </c>
      <c r="O1868" s="4" t="s">
        <v>4207</v>
      </c>
      <c r="P1868" s="4" t="s">
        <v>3629</v>
      </c>
    </row>
    <row r="1869" customFormat="false" ht="15" hidden="false" customHeight="false" outlineLevel="0" collapsed="false">
      <c r="A1869" s="4" t="s">
        <v>4661</v>
      </c>
      <c r="B1869" s="4" t="s">
        <v>4647</v>
      </c>
      <c r="C1869" s="4" t="s">
        <v>4650</v>
      </c>
      <c r="D1869" s="4" t="s">
        <v>4651</v>
      </c>
      <c r="E1869" s="4" t="s">
        <v>306</v>
      </c>
      <c r="F1869" s="4" t="s">
        <v>736</v>
      </c>
      <c r="G1869" s="4" t="s">
        <v>38</v>
      </c>
      <c r="H1869" s="4" t="s">
        <v>3632</v>
      </c>
      <c r="I1869" s="4" t="s">
        <v>4662</v>
      </c>
      <c r="J1869" s="4" t="s">
        <v>68</v>
      </c>
      <c r="K1869" s="4" t="s">
        <v>4663</v>
      </c>
      <c r="L1869" s="4" t="s">
        <v>463</v>
      </c>
      <c r="M1869" s="4" t="s">
        <v>464</v>
      </c>
      <c r="N1869" s="4" t="s">
        <v>44</v>
      </c>
      <c r="O1869" s="4" t="s">
        <v>4664</v>
      </c>
      <c r="P1869" s="4" t="s">
        <v>3629</v>
      </c>
    </row>
    <row r="1870" customFormat="false" ht="15" hidden="false" customHeight="false" outlineLevel="0" collapsed="false">
      <c r="A1870" s="4" t="s">
        <v>4665</v>
      </c>
      <c r="B1870" s="4" t="s">
        <v>4666</v>
      </c>
      <c r="C1870" s="4" t="s">
        <v>4650</v>
      </c>
      <c r="D1870" s="4" t="s">
        <v>4651</v>
      </c>
      <c r="E1870" s="4" t="s">
        <v>306</v>
      </c>
      <c r="F1870" s="4" t="s">
        <v>3635</v>
      </c>
      <c r="G1870" s="4" t="s">
        <v>38</v>
      </c>
      <c r="H1870" s="4" t="s">
        <v>3625</v>
      </c>
      <c r="I1870" s="4" t="s">
        <v>4667</v>
      </c>
      <c r="J1870" s="4" t="s">
        <v>40</v>
      </c>
      <c r="K1870" s="4" t="s">
        <v>51</v>
      </c>
      <c r="L1870" s="4" t="s">
        <v>58</v>
      </c>
      <c r="M1870" s="4" t="s">
        <v>43</v>
      </c>
      <c r="N1870" s="4" t="s">
        <v>52</v>
      </c>
      <c r="O1870" s="4" t="s">
        <v>53</v>
      </c>
      <c r="P1870" s="4" t="s">
        <v>3629</v>
      </c>
    </row>
    <row r="1871" customFormat="false" ht="15" hidden="false" customHeight="false" outlineLevel="0" collapsed="false">
      <c r="A1871" s="4" t="s">
        <v>4668</v>
      </c>
      <c r="B1871" s="4" t="s">
        <v>4666</v>
      </c>
      <c r="C1871" s="4" t="s">
        <v>4650</v>
      </c>
      <c r="D1871" s="4" t="s">
        <v>4651</v>
      </c>
      <c r="E1871" s="4" t="s">
        <v>306</v>
      </c>
      <c r="F1871" s="4" t="s">
        <v>736</v>
      </c>
      <c r="G1871" s="4" t="s">
        <v>326</v>
      </c>
      <c r="H1871" s="4" t="s">
        <v>3676</v>
      </c>
      <c r="I1871" s="4" t="s">
        <v>4156</v>
      </c>
      <c r="J1871" s="4" t="s">
        <v>40</v>
      </c>
      <c r="K1871" s="4" t="s">
        <v>4320</v>
      </c>
      <c r="L1871" s="4" t="s">
        <v>736</v>
      </c>
      <c r="M1871" s="4" t="s">
        <v>737</v>
      </c>
      <c r="N1871" s="4" t="s">
        <v>44</v>
      </c>
      <c r="O1871" s="4" t="s">
        <v>4321</v>
      </c>
      <c r="P1871" s="4" t="s">
        <v>3629</v>
      </c>
    </row>
    <row r="1872" customFormat="false" ht="15" hidden="false" customHeight="false" outlineLevel="0" collapsed="false">
      <c r="A1872" s="4" t="s">
        <v>4669</v>
      </c>
      <c r="B1872" s="4" t="s">
        <v>4670</v>
      </c>
      <c r="C1872" s="4" t="s">
        <v>4650</v>
      </c>
      <c r="D1872" s="4" t="s">
        <v>4651</v>
      </c>
      <c r="E1872" s="4" t="s">
        <v>306</v>
      </c>
      <c r="F1872" s="4" t="s">
        <v>736</v>
      </c>
      <c r="G1872" s="4" t="s">
        <v>38</v>
      </c>
      <c r="H1872" s="4" t="s">
        <v>3676</v>
      </c>
      <c r="I1872" s="4" t="s">
        <v>4652</v>
      </c>
      <c r="J1872" s="4" t="s">
        <v>68</v>
      </c>
      <c r="K1872" s="4" t="s">
        <v>4357</v>
      </c>
      <c r="L1872" s="4" t="s">
        <v>736</v>
      </c>
      <c r="M1872" s="4" t="s">
        <v>737</v>
      </c>
      <c r="N1872" s="4" t="s">
        <v>94</v>
      </c>
      <c r="O1872" s="4" t="s">
        <v>4358</v>
      </c>
      <c r="P1872" s="4" t="s">
        <v>3629</v>
      </c>
    </row>
    <row r="1873" customFormat="false" ht="15" hidden="false" customHeight="false" outlineLevel="0" collapsed="false">
      <c r="A1873" s="4" t="s">
        <v>4671</v>
      </c>
      <c r="B1873" s="4" t="s">
        <v>4672</v>
      </c>
      <c r="C1873" s="4" t="s">
        <v>4650</v>
      </c>
      <c r="D1873" s="4" t="s">
        <v>4651</v>
      </c>
      <c r="E1873" s="4" t="s">
        <v>345</v>
      </c>
      <c r="F1873" s="4" t="s">
        <v>736</v>
      </c>
      <c r="G1873" s="4" t="s">
        <v>38</v>
      </c>
      <c r="H1873" s="4" t="s">
        <v>3676</v>
      </c>
      <c r="I1873" s="4" t="s">
        <v>4673</v>
      </c>
      <c r="J1873" s="4" t="s">
        <v>40</v>
      </c>
      <c r="K1873" s="4" t="s">
        <v>4674</v>
      </c>
      <c r="L1873" s="4" t="s">
        <v>736</v>
      </c>
      <c r="M1873" s="4" t="s">
        <v>737</v>
      </c>
      <c r="N1873" s="4" t="s">
        <v>44</v>
      </c>
      <c r="O1873" s="4" t="s">
        <v>4675</v>
      </c>
      <c r="P1873" s="4" t="s">
        <v>3629</v>
      </c>
    </row>
    <row r="1874" customFormat="false" ht="15" hidden="false" customHeight="false" outlineLevel="0" collapsed="false">
      <c r="A1874" s="4" t="s">
        <v>4676</v>
      </c>
      <c r="B1874" s="4" t="s">
        <v>4672</v>
      </c>
      <c r="C1874" s="4" t="s">
        <v>4650</v>
      </c>
      <c r="D1874" s="4" t="s">
        <v>4651</v>
      </c>
      <c r="E1874" s="4" t="s">
        <v>323</v>
      </c>
      <c r="F1874" s="4" t="s">
        <v>1584</v>
      </c>
      <c r="G1874" s="4" t="s">
        <v>59</v>
      </c>
      <c r="H1874" s="4" t="s">
        <v>3625</v>
      </c>
      <c r="I1874" s="4" t="s">
        <v>4677</v>
      </c>
      <c r="J1874" s="4" t="s">
        <v>68</v>
      </c>
      <c r="K1874" s="4" t="s">
        <v>4678</v>
      </c>
      <c r="L1874" s="4" t="s">
        <v>2262</v>
      </c>
      <c r="M1874" s="4" t="s">
        <v>356</v>
      </c>
      <c r="N1874" s="4" t="s">
        <v>863</v>
      </c>
      <c r="O1874" s="4"/>
      <c r="P1874" s="4" t="s">
        <v>3629</v>
      </c>
    </row>
    <row r="1875" customFormat="false" ht="15" hidden="false" customHeight="false" outlineLevel="0" collapsed="false">
      <c r="A1875" s="4" t="s">
        <v>4679</v>
      </c>
      <c r="B1875" s="4" t="s">
        <v>4672</v>
      </c>
      <c r="C1875" s="4" t="s">
        <v>4650</v>
      </c>
      <c r="D1875" s="4" t="s">
        <v>4651</v>
      </c>
      <c r="E1875" s="4" t="s">
        <v>325</v>
      </c>
      <c r="F1875" s="4" t="s">
        <v>736</v>
      </c>
      <c r="G1875" s="4" t="s">
        <v>38</v>
      </c>
      <c r="H1875" s="4" t="s">
        <v>3625</v>
      </c>
      <c r="I1875" s="4" t="s">
        <v>4680</v>
      </c>
      <c r="J1875" s="4" t="s">
        <v>40</v>
      </c>
      <c r="K1875" s="4" t="s">
        <v>4346</v>
      </c>
      <c r="L1875" s="4" t="s">
        <v>736</v>
      </c>
      <c r="M1875" s="4" t="s">
        <v>737</v>
      </c>
      <c r="N1875" s="4" t="s">
        <v>44</v>
      </c>
      <c r="O1875" s="4" t="s">
        <v>4347</v>
      </c>
      <c r="P1875" s="4" t="s">
        <v>3629</v>
      </c>
    </row>
    <row r="1876" customFormat="false" ht="15" hidden="false" customHeight="false" outlineLevel="0" collapsed="false">
      <c r="A1876" s="4" t="s">
        <v>4681</v>
      </c>
      <c r="B1876" s="4" t="s">
        <v>4672</v>
      </c>
      <c r="C1876" s="4" t="s">
        <v>4650</v>
      </c>
      <c r="D1876" s="4" t="s">
        <v>4651</v>
      </c>
      <c r="E1876" s="4" t="s">
        <v>306</v>
      </c>
      <c r="F1876" s="4" t="s">
        <v>736</v>
      </c>
      <c r="G1876" s="4" t="s">
        <v>38</v>
      </c>
      <c r="H1876" s="4" t="s">
        <v>3625</v>
      </c>
      <c r="I1876" s="4" t="s">
        <v>4682</v>
      </c>
      <c r="J1876" s="4" t="s">
        <v>40</v>
      </c>
      <c r="K1876" s="4" t="s">
        <v>3640</v>
      </c>
      <c r="L1876" s="4" t="s">
        <v>736</v>
      </c>
      <c r="M1876" s="4" t="s">
        <v>737</v>
      </c>
      <c r="N1876" s="4" t="s">
        <v>44</v>
      </c>
      <c r="O1876" s="4" t="s">
        <v>3641</v>
      </c>
      <c r="P1876" s="4" t="s">
        <v>3629</v>
      </c>
    </row>
    <row r="1877" customFormat="false" ht="15" hidden="false" customHeight="false" outlineLevel="0" collapsed="false">
      <c r="A1877" s="4" t="s">
        <v>4683</v>
      </c>
      <c r="B1877" s="4" t="s">
        <v>4684</v>
      </c>
      <c r="C1877" s="4" t="s">
        <v>4650</v>
      </c>
      <c r="D1877" s="4" t="s">
        <v>4651</v>
      </c>
      <c r="E1877" s="4" t="s">
        <v>306</v>
      </c>
      <c r="F1877" s="4" t="s">
        <v>736</v>
      </c>
      <c r="G1877" s="4" t="s">
        <v>59</v>
      </c>
      <c r="H1877" s="4" t="s">
        <v>3625</v>
      </c>
      <c r="I1877" s="4" t="s">
        <v>4685</v>
      </c>
      <c r="J1877" s="4" t="s">
        <v>68</v>
      </c>
      <c r="K1877" s="4" t="s">
        <v>1912</v>
      </c>
      <c r="L1877" s="4" t="s">
        <v>736</v>
      </c>
      <c r="M1877" s="4" t="s">
        <v>737</v>
      </c>
      <c r="N1877" s="4" t="s">
        <v>94</v>
      </c>
      <c r="O1877" s="4" t="s">
        <v>1913</v>
      </c>
      <c r="P1877" s="4" t="s">
        <v>3629</v>
      </c>
    </row>
    <row r="1878" customFormat="false" ht="15" hidden="false" customHeight="false" outlineLevel="0" collapsed="false">
      <c r="A1878" s="4" t="s">
        <v>4686</v>
      </c>
      <c r="B1878" s="4" t="s">
        <v>4684</v>
      </c>
      <c r="C1878" s="4" t="s">
        <v>4650</v>
      </c>
      <c r="D1878" s="4" t="s">
        <v>4651</v>
      </c>
      <c r="E1878" s="4" t="s">
        <v>345</v>
      </c>
      <c r="F1878" s="4" t="s">
        <v>736</v>
      </c>
      <c r="G1878" s="4" t="s">
        <v>59</v>
      </c>
      <c r="H1878" s="4" t="s">
        <v>3676</v>
      </c>
      <c r="I1878" s="4" t="s">
        <v>4687</v>
      </c>
      <c r="J1878" s="4" t="s">
        <v>40</v>
      </c>
      <c r="K1878" s="4" t="s">
        <v>3956</v>
      </c>
      <c r="L1878" s="4" t="s">
        <v>736</v>
      </c>
      <c r="M1878" s="4" t="s">
        <v>737</v>
      </c>
      <c r="N1878" s="4" t="s">
        <v>94</v>
      </c>
      <c r="O1878" s="4" t="s">
        <v>3957</v>
      </c>
      <c r="P1878" s="4" t="s">
        <v>3629</v>
      </c>
    </row>
    <row r="1879" customFormat="false" ht="15" hidden="false" customHeight="false" outlineLevel="0" collapsed="false">
      <c r="A1879" s="4" t="s">
        <v>4688</v>
      </c>
      <c r="B1879" s="4" t="s">
        <v>4684</v>
      </c>
      <c r="C1879" s="4" t="s">
        <v>4650</v>
      </c>
      <c r="D1879" s="4" t="s">
        <v>4651</v>
      </c>
      <c r="E1879" s="4" t="s">
        <v>306</v>
      </c>
      <c r="F1879" s="4" t="s">
        <v>736</v>
      </c>
      <c r="G1879" s="4" t="s">
        <v>59</v>
      </c>
      <c r="H1879" s="4" t="s">
        <v>3625</v>
      </c>
      <c r="I1879" s="4" t="s">
        <v>4689</v>
      </c>
      <c r="J1879" s="4" t="s">
        <v>149</v>
      </c>
      <c r="K1879" s="4" t="s">
        <v>4690</v>
      </c>
      <c r="L1879" s="4" t="s">
        <v>736</v>
      </c>
      <c r="M1879" s="4" t="s">
        <v>737</v>
      </c>
      <c r="N1879" s="4" t="s">
        <v>44</v>
      </c>
      <c r="O1879" s="4" t="s">
        <v>4691</v>
      </c>
      <c r="P1879" s="4" t="s">
        <v>3629</v>
      </c>
    </row>
    <row r="1880" customFormat="false" ht="15" hidden="false" customHeight="false" outlineLevel="0" collapsed="false">
      <c r="A1880" s="4" t="s">
        <v>4692</v>
      </c>
      <c r="B1880" s="4" t="s">
        <v>4693</v>
      </c>
      <c r="C1880" s="4" t="s">
        <v>4650</v>
      </c>
      <c r="D1880" s="4" t="s">
        <v>4651</v>
      </c>
      <c r="E1880" s="4" t="s">
        <v>306</v>
      </c>
      <c r="F1880" s="4" t="s">
        <v>3710</v>
      </c>
      <c r="G1880" s="4" t="s">
        <v>38</v>
      </c>
      <c r="H1880" s="4" t="s">
        <v>3706</v>
      </c>
      <c r="I1880" s="4" t="s">
        <v>4694</v>
      </c>
      <c r="J1880" s="4" t="s">
        <v>40</v>
      </c>
      <c r="K1880" s="4" t="s">
        <v>4409</v>
      </c>
      <c r="L1880" s="4" t="s">
        <v>736</v>
      </c>
      <c r="M1880" s="4" t="s">
        <v>737</v>
      </c>
      <c r="N1880" s="4" t="s">
        <v>185</v>
      </c>
      <c r="O1880" s="4" t="s">
        <v>4410</v>
      </c>
      <c r="P1880" s="4" t="s">
        <v>3629</v>
      </c>
    </row>
    <row r="1881" customFormat="false" ht="15" hidden="false" customHeight="false" outlineLevel="0" collapsed="false">
      <c r="A1881" s="4" t="s">
        <v>4695</v>
      </c>
      <c r="B1881" s="4" t="s">
        <v>4693</v>
      </c>
      <c r="C1881" s="4" t="s">
        <v>4650</v>
      </c>
      <c r="D1881" s="4" t="s">
        <v>4651</v>
      </c>
      <c r="E1881" s="4" t="s">
        <v>306</v>
      </c>
      <c r="F1881" s="4" t="s">
        <v>736</v>
      </c>
      <c r="G1881" s="4" t="s">
        <v>38</v>
      </c>
      <c r="H1881" s="4" t="s">
        <v>3706</v>
      </c>
      <c r="I1881" s="4" t="s">
        <v>4696</v>
      </c>
      <c r="J1881" s="4" t="s">
        <v>40</v>
      </c>
      <c r="K1881" s="4" t="s">
        <v>4697</v>
      </c>
      <c r="L1881" s="4" t="s">
        <v>837</v>
      </c>
      <c r="M1881" s="4" t="s">
        <v>838</v>
      </c>
      <c r="N1881" s="4" t="s">
        <v>44</v>
      </c>
      <c r="O1881" s="4" t="s">
        <v>4698</v>
      </c>
      <c r="P1881" s="4" t="s">
        <v>3629</v>
      </c>
    </row>
    <row r="1882" customFormat="false" ht="15" hidden="false" customHeight="false" outlineLevel="0" collapsed="false">
      <c r="A1882" s="4" t="s">
        <v>4699</v>
      </c>
      <c r="B1882" s="4" t="s">
        <v>4693</v>
      </c>
      <c r="C1882" s="4" t="s">
        <v>4650</v>
      </c>
      <c r="D1882" s="4" t="s">
        <v>4651</v>
      </c>
      <c r="E1882" s="4" t="s">
        <v>306</v>
      </c>
      <c r="F1882" s="4" t="s">
        <v>736</v>
      </c>
      <c r="G1882" s="4" t="s">
        <v>38</v>
      </c>
      <c r="H1882" s="4" t="s">
        <v>3625</v>
      </c>
      <c r="I1882" s="4" t="s">
        <v>4700</v>
      </c>
      <c r="J1882" s="4" t="s">
        <v>68</v>
      </c>
      <c r="K1882" s="4" t="s">
        <v>4368</v>
      </c>
      <c r="L1882" s="4" t="s">
        <v>736</v>
      </c>
      <c r="M1882" s="4" t="s">
        <v>737</v>
      </c>
      <c r="N1882" s="4" t="s">
        <v>44</v>
      </c>
      <c r="O1882" s="4" t="s">
        <v>4369</v>
      </c>
      <c r="P1882" s="4" t="s">
        <v>3629</v>
      </c>
    </row>
    <row r="1883" customFormat="false" ht="15" hidden="false" customHeight="false" outlineLevel="0" collapsed="false">
      <c r="A1883" s="4" t="s">
        <v>4701</v>
      </c>
      <c r="B1883" s="4" t="s">
        <v>4702</v>
      </c>
      <c r="C1883" s="4" t="s">
        <v>4650</v>
      </c>
      <c r="D1883" s="4" t="s">
        <v>4651</v>
      </c>
      <c r="E1883" s="4" t="s">
        <v>306</v>
      </c>
      <c r="F1883" s="4" t="s">
        <v>736</v>
      </c>
      <c r="G1883" s="4" t="s">
        <v>38</v>
      </c>
      <c r="H1883" s="4" t="s">
        <v>3632</v>
      </c>
      <c r="I1883" s="4" t="s">
        <v>4703</v>
      </c>
      <c r="J1883" s="4" t="s">
        <v>68</v>
      </c>
      <c r="K1883" s="4" t="s">
        <v>3702</v>
      </c>
      <c r="L1883" s="4" t="s">
        <v>736</v>
      </c>
      <c r="M1883" s="4" t="s">
        <v>737</v>
      </c>
      <c r="N1883" s="4" t="s">
        <v>185</v>
      </c>
      <c r="O1883" s="4" t="s">
        <v>3703</v>
      </c>
      <c r="P1883" s="4" t="s">
        <v>3629</v>
      </c>
    </row>
    <row r="1884" customFormat="false" ht="15" hidden="false" customHeight="false" outlineLevel="0" collapsed="false">
      <c r="A1884" s="4" t="s">
        <v>4704</v>
      </c>
      <c r="B1884" s="4" t="s">
        <v>4702</v>
      </c>
      <c r="C1884" s="4" t="s">
        <v>4650</v>
      </c>
      <c r="D1884" s="4" t="s">
        <v>4651</v>
      </c>
      <c r="E1884" s="4" t="s">
        <v>306</v>
      </c>
      <c r="F1884" s="4" t="s">
        <v>736</v>
      </c>
      <c r="G1884" s="4" t="s">
        <v>59</v>
      </c>
      <c r="H1884" s="4" t="s">
        <v>3676</v>
      </c>
      <c r="I1884" s="4" t="s">
        <v>4705</v>
      </c>
      <c r="J1884" s="4" t="s">
        <v>68</v>
      </c>
      <c r="K1884" s="4" t="s">
        <v>2178</v>
      </c>
      <c r="L1884" s="4" t="s">
        <v>736</v>
      </c>
      <c r="M1884" s="4" t="s">
        <v>737</v>
      </c>
      <c r="N1884" s="4" t="s">
        <v>44</v>
      </c>
      <c r="O1884" s="4" t="s">
        <v>2179</v>
      </c>
      <c r="P1884" s="4" t="s">
        <v>3629</v>
      </c>
    </row>
    <row r="1885" customFormat="false" ht="15" hidden="false" customHeight="false" outlineLevel="0" collapsed="false">
      <c r="A1885" s="4" t="s">
        <v>4706</v>
      </c>
      <c r="B1885" s="4" t="s">
        <v>4707</v>
      </c>
      <c r="C1885" s="4" t="s">
        <v>4650</v>
      </c>
      <c r="D1885" s="4" t="s">
        <v>4651</v>
      </c>
      <c r="E1885" s="4" t="s">
        <v>306</v>
      </c>
      <c r="F1885" s="4" t="s">
        <v>736</v>
      </c>
      <c r="G1885" s="4" t="s">
        <v>59</v>
      </c>
      <c r="H1885" s="4" t="s">
        <v>3676</v>
      </c>
      <c r="I1885" s="4" t="s">
        <v>4708</v>
      </c>
      <c r="J1885" s="4" t="s">
        <v>68</v>
      </c>
      <c r="K1885" s="4" t="s">
        <v>4232</v>
      </c>
      <c r="L1885" s="4" t="s">
        <v>736</v>
      </c>
      <c r="M1885" s="4" t="s">
        <v>1683</v>
      </c>
      <c r="N1885" s="4" t="s">
        <v>44</v>
      </c>
      <c r="O1885" s="4" t="s">
        <v>4233</v>
      </c>
      <c r="P1885" s="4" t="s">
        <v>3629</v>
      </c>
    </row>
    <row r="1886" customFormat="false" ht="15" hidden="false" customHeight="false" outlineLevel="0" collapsed="false">
      <c r="A1886" s="4" t="s">
        <v>4709</v>
      </c>
      <c r="B1886" s="4" t="s">
        <v>4710</v>
      </c>
      <c r="C1886" s="4" t="s">
        <v>4650</v>
      </c>
      <c r="D1886" s="4" t="s">
        <v>4651</v>
      </c>
      <c r="E1886" s="4" t="s">
        <v>306</v>
      </c>
      <c r="F1886" s="4" t="s">
        <v>736</v>
      </c>
      <c r="G1886" s="4" t="s">
        <v>326</v>
      </c>
      <c r="H1886" s="4" t="s">
        <v>3625</v>
      </c>
      <c r="I1886" s="4" t="s">
        <v>4711</v>
      </c>
      <c r="J1886" s="4" t="s">
        <v>68</v>
      </c>
      <c r="K1886" s="4" t="s">
        <v>3802</v>
      </c>
      <c r="L1886" s="4" t="s">
        <v>1584</v>
      </c>
      <c r="M1886" s="4" t="s">
        <v>737</v>
      </c>
      <c r="N1886" s="4" t="s">
        <v>44</v>
      </c>
      <c r="O1886" s="4" t="s">
        <v>3803</v>
      </c>
      <c r="P1886" s="4" t="s">
        <v>3629</v>
      </c>
    </row>
    <row r="1887" customFormat="false" ht="15" hidden="false" customHeight="false" outlineLevel="0" collapsed="false">
      <c r="A1887" s="4" t="s">
        <v>4712</v>
      </c>
      <c r="B1887" s="4" t="s">
        <v>4710</v>
      </c>
      <c r="C1887" s="4" t="s">
        <v>4713</v>
      </c>
      <c r="D1887" s="4" t="s">
        <v>3624</v>
      </c>
      <c r="E1887" s="4" t="s">
        <v>36</v>
      </c>
      <c r="F1887" s="4" t="s">
        <v>1584</v>
      </c>
      <c r="G1887" s="4" t="s">
        <v>38</v>
      </c>
      <c r="H1887" s="4" t="s">
        <v>3706</v>
      </c>
      <c r="I1887" s="4" t="s">
        <v>3669</v>
      </c>
      <c r="J1887" s="4" t="s">
        <v>40</v>
      </c>
      <c r="K1887" s="4" t="s">
        <v>3834</v>
      </c>
      <c r="L1887" s="4" t="s">
        <v>736</v>
      </c>
      <c r="M1887" s="4" t="s">
        <v>737</v>
      </c>
      <c r="N1887" s="4" t="s">
        <v>44</v>
      </c>
      <c r="O1887" s="4" t="s">
        <v>3835</v>
      </c>
      <c r="P1887" s="4" t="s">
        <v>3629</v>
      </c>
    </row>
    <row r="1888" customFormat="false" ht="15" hidden="false" customHeight="false" outlineLevel="0" collapsed="false">
      <c r="A1888" s="4" t="s">
        <v>4714</v>
      </c>
      <c r="B1888" s="4" t="s">
        <v>4715</v>
      </c>
      <c r="C1888" s="4" t="s">
        <v>4650</v>
      </c>
      <c r="D1888" s="4" t="s">
        <v>4651</v>
      </c>
      <c r="E1888" s="4" t="s">
        <v>345</v>
      </c>
      <c r="F1888" s="4" t="s">
        <v>736</v>
      </c>
      <c r="G1888" s="4" t="s">
        <v>59</v>
      </c>
      <c r="H1888" s="4" t="s">
        <v>3625</v>
      </c>
      <c r="I1888" s="4" t="s">
        <v>4716</v>
      </c>
      <c r="J1888" s="4" t="s">
        <v>68</v>
      </c>
      <c r="K1888" s="4" t="s">
        <v>4717</v>
      </c>
      <c r="L1888" s="4" t="s">
        <v>736</v>
      </c>
      <c r="M1888" s="4" t="s">
        <v>737</v>
      </c>
      <c r="N1888" s="4" t="s">
        <v>44</v>
      </c>
      <c r="O1888" s="4" t="s">
        <v>4718</v>
      </c>
      <c r="P1888" s="4" t="s">
        <v>3629</v>
      </c>
    </row>
    <row r="1889" customFormat="false" ht="15" hidden="false" customHeight="false" outlineLevel="0" collapsed="false">
      <c r="A1889" s="4" t="s">
        <v>4719</v>
      </c>
      <c r="B1889" s="4" t="s">
        <v>4715</v>
      </c>
      <c r="C1889" s="4" t="s">
        <v>4650</v>
      </c>
      <c r="D1889" s="4" t="s">
        <v>4651</v>
      </c>
      <c r="E1889" s="4" t="s">
        <v>306</v>
      </c>
      <c r="F1889" s="4" t="s">
        <v>736</v>
      </c>
      <c r="G1889" s="4" t="s">
        <v>38</v>
      </c>
      <c r="H1889" s="4" t="s">
        <v>3625</v>
      </c>
      <c r="I1889" s="4" t="s">
        <v>4720</v>
      </c>
      <c r="J1889" s="4" t="s">
        <v>68</v>
      </c>
      <c r="K1889" s="4" t="s">
        <v>2911</v>
      </c>
      <c r="L1889" s="4" t="s">
        <v>596</v>
      </c>
      <c r="M1889" s="4" t="s">
        <v>695</v>
      </c>
      <c r="N1889" s="4" t="s">
        <v>52</v>
      </c>
      <c r="O1889" s="4" t="s">
        <v>2912</v>
      </c>
      <c r="P1889" s="4" t="s">
        <v>3629</v>
      </c>
    </row>
    <row r="1890" customFormat="false" ht="15" hidden="false" customHeight="false" outlineLevel="0" collapsed="false">
      <c r="A1890" s="4" t="s">
        <v>4721</v>
      </c>
      <c r="B1890" s="4" t="s">
        <v>4715</v>
      </c>
      <c r="C1890" s="4" t="s">
        <v>4650</v>
      </c>
      <c r="D1890" s="4" t="s">
        <v>4651</v>
      </c>
      <c r="E1890" s="4" t="s">
        <v>306</v>
      </c>
      <c r="F1890" s="4" t="s">
        <v>736</v>
      </c>
      <c r="G1890" s="4" t="s">
        <v>38</v>
      </c>
      <c r="H1890" s="4" t="s">
        <v>3676</v>
      </c>
      <c r="I1890" s="4" t="s">
        <v>4722</v>
      </c>
      <c r="J1890" s="4" t="s">
        <v>68</v>
      </c>
      <c r="K1890" s="4" t="s">
        <v>4223</v>
      </c>
      <c r="L1890" s="4" t="s">
        <v>736</v>
      </c>
      <c r="M1890" s="4" t="s">
        <v>737</v>
      </c>
      <c r="N1890" s="4" t="s">
        <v>44</v>
      </c>
      <c r="O1890" s="4" t="s">
        <v>4224</v>
      </c>
      <c r="P1890" s="4" t="s">
        <v>3629</v>
      </c>
    </row>
    <row r="1891" customFormat="false" ht="15" hidden="false" customHeight="false" outlineLevel="0" collapsed="false">
      <c r="A1891" s="4" t="s">
        <v>4723</v>
      </c>
      <c r="B1891" s="4" t="s">
        <v>4724</v>
      </c>
      <c r="C1891" s="4" t="s">
        <v>4650</v>
      </c>
      <c r="D1891" s="4" t="s">
        <v>4651</v>
      </c>
      <c r="E1891" s="4" t="s">
        <v>306</v>
      </c>
      <c r="F1891" s="4" t="s">
        <v>736</v>
      </c>
      <c r="G1891" s="4" t="s">
        <v>38</v>
      </c>
      <c r="H1891" s="4" t="s">
        <v>3625</v>
      </c>
      <c r="I1891" s="4" t="s">
        <v>4725</v>
      </c>
      <c r="J1891" s="4" t="s">
        <v>149</v>
      </c>
      <c r="K1891" s="4" t="s">
        <v>3788</v>
      </c>
      <c r="L1891" s="4" t="s">
        <v>1584</v>
      </c>
      <c r="M1891" s="4" t="s">
        <v>737</v>
      </c>
      <c r="N1891" s="4" t="s">
        <v>52</v>
      </c>
      <c r="O1891" s="4" t="s">
        <v>3789</v>
      </c>
      <c r="P1891" s="4" t="s">
        <v>3629</v>
      </c>
    </row>
    <row r="1892" customFormat="false" ht="15" hidden="false" customHeight="false" outlineLevel="0" collapsed="false">
      <c r="A1892" s="4" t="s">
        <v>4726</v>
      </c>
      <c r="B1892" s="4" t="s">
        <v>4724</v>
      </c>
      <c r="C1892" s="4" t="s">
        <v>4650</v>
      </c>
      <c r="D1892" s="4" t="s">
        <v>4651</v>
      </c>
      <c r="E1892" s="4" t="s">
        <v>306</v>
      </c>
      <c r="F1892" s="4" t="s">
        <v>736</v>
      </c>
      <c r="G1892" s="4" t="s">
        <v>38</v>
      </c>
      <c r="H1892" s="4" t="s">
        <v>3676</v>
      </c>
      <c r="I1892" s="4" t="s">
        <v>4673</v>
      </c>
      <c r="J1892" s="4" t="s">
        <v>40</v>
      </c>
      <c r="K1892" s="4" t="s">
        <v>3764</v>
      </c>
      <c r="L1892" s="4" t="s">
        <v>736</v>
      </c>
      <c r="M1892" s="4" t="s">
        <v>737</v>
      </c>
      <c r="N1892" s="4" t="s">
        <v>185</v>
      </c>
      <c r="O1892" s="4" t="s">
        <v>3765</v>
      </c>
      <c r="P1892" s="4" t="s">
        <v>3629</v>
      </c>
    </row>
    <row r="1893" customFormat="false" ht="15" hidden="false" customHeight="false" outlineLevel="0" collapsed="false">
      <c r="A1893" s="4" t="s">
        <v>4727</v>
      </c>
      <c r="B1893" s="4" t="s">
        <v>4713</v>
      </c>
      <c r="C1893" s="4" t="s">
        <v>4650</v>
      </c>
      <c r="D1893" s="4" t="s">
        <v>4651</v>
      </c>
      <c r="E1893" s="4" t="s">
        <v>311</v>
      </c>
      <c r="F1893" s="4" t="s">
        <v>736</v>
      </c>
      <c r="G1893" s="4" t="s">
        <v>59</v>
      </c>
      <c r="H1893" s="4" t="s">
        <v>3625</v>
      </c>
      <c r="I1893" s="4" t="s">
        <v>4694</v>
      </c>
      <c r="J1893" s="4" t="s">
        <v>68</v>
      </c>
      <c r="K1893" s="4" t="s">
        <v>4728</v>
      </c>
      <c r="L1893" s="4" t="s">
        <v>455</v>
      </c>
      <c r="M1893" s="4" t="s">
        <v>456</v>
      </c>
      <c r="N1893" s="4" t="s">
        <v>44</v>
      </c>
      <c r="O1893" s="4" t="s">
        <v>4729</v>
      </c>
      <c r="P1893" s="4" t="s">
        <v>3629</v>
      </c>
    </row>
    <row r="1894" customFormat="false" ht="15" hidden="false" customHeight="false" outlineLevel="0" collapsed="false">
      <c r="A1894" s="4" t="s">
        <v>4730</v>
      </c>
      <c r="B1894" s="4" t="s">
        <v>4731</v>
      </c>
      <c r="C1894" s="4" t="s">
        <v>4650</v>
      </c>
      <c r="D1894" s="4" t="s">
        <v>4651</v>
      </c>
      <c r="E1894" s="4" t="s">
        <v>306</v>
      </c>
      <c r="F1894" s="4" t="s">
        <v>1584</v>
      </c>
      <c r="G1894" s="4" t="s">
        <v>59</v>
      </c>
      <c r="H1894" s="4" t="s">
        <v>3706</v>
      </c>
      <c r="I1894" s="4" t="s">
        <v>4732</v>
      </c>
      <c r="J1894" s="4" t="s">
        <v>40</v>
      </c>
      <c r="K1894" s="4" t="s">
        <v>4186</v>
      </c>
      <c r="L1894" s="4" t="s">
        <v>736</v>
      </c>
      <c r="M1894" s="4" t="s">
        <v>737</v>
      </c>
      <c r="N1894" s="4" t="s">
        <v>44</v>
      </c>
      <c r="O1894" s="4" t="s">
        <v>4187</v>
      </c>
      <c r="P1894" s="4" t="s">
        <v>3629</v>
      </c>
    </row>
    <row r="1895" customFormat="false" ht="15" hidden="false" customHeight="false" outlineLevel="0" collapsed="false">
      <c r="A1895" s="4" t="s">
        <v>4733</v>
      </c>
      <c r="B1895" s="4" t="s">
        <v>4731</v>
      </c>
      <c r="C1895" s="4" t="s">
        <v>4650</v>
      </c>
      <c r="D1895" s="4" t="s">
        <v>4651</v>
      </c>
      <c r="E1895" s="4" t="s">
        <v>306</v>
      </c>
      <c r="F1895" s="4" t="s">
        <v>736</v>
      </c>
      <c r="G1895" s="4" t="s">
        <v>38</v>
      </c>
      <c r="H1895" s="4" t="s">
        <v>3676</v>
      </c>
      <c r="I1895" s="4" t="s">
        <v>4734</v>
      </c>
      <c r="J1895" s="4" t="s">
        <v>40</v>
      </c>
      <c r="K1895" s="4" t="s">
        <v>4735</v>
      </c>
      <c r="L1895" s="4" t="s">
        <v>988</v>
      </c>
      <c r="M1895" s="4" t="s">
        <v>737</v>
      </c>
      <c r="N1895" s="4" t="s">
        <v>44</v>
      </c>
      <c r="O1895" s="4" t="s">
        <v>4736</v>
      </c>
      <c r="P1895" s="4" t="s">
        <v>3629</v>
      </c>
    </row>
    <row r="1896" customFormat="false" ht="15" hidden="false" customHeight="false" outlineLevel="0" collapsed="false">
      <c r="A1896" s="4" t="s">
        <v>4737</v>
      </c>
      <c r="B1896" s="4" t="s">
        <v>4731</v>
      </c>
      <c r="C1896" s="4" t="s">
        <v>4650</v>
      </c>
      <c r="D1896" s="4" t="s">
        <v>4651</v>
      </c>
      <c r="E1896" s="4" t="s">
        <v>323</v>
      </c>
      <c r="F1896" s="4" t="s">
        <v>736</v>
      </c>
      <c r="G1896" s="4" t="s">
        <v>326</v>
      </c>
      <c r="H1896" s="4" t="s">
        <v>3676</v>
      </c>
      <c r="I1896" s="4" t="s">
        <v>4738</v>
      </c>
      <c r="J1896" s="4" t="s">
        <v>40</v>
      </c>
      <c r="K1896" s="4" t="s">
        <v>4739</v>
      </c>
      <c r="L1896" s="4" t="s">
        <v>4327</v>
      </c>
      <c r="M1896" s="4" t="s">
        <v>1499</v>
      </c>
      <c r="N1896" s="4" t="s">
        <v>44</v>
      </c>
      <c r="O1896" s="4" t="s">
        <v>4740</v>
      </c>
      <c r="P1896" s="4" t="s">
        <v>3629</v>
      </c>
    </row>
    <row r="1897" customFormat="false" ht="15" hidden="false" customHeight="false" outlineLevel="0" collapsed="false">
      <c r="A1897" s="4" t="s">
        <v>4741</v>
      </c>
      <c r="B1897" s="4" t="s">
        <v>4731</v>
      </c>
      <c r="C1897" s="4" t="s">
        <v>4650</v>
      </c>
      <c r="D1897" s="4" t="s">
        <v>4651</v>
      </c>
      <c r="E1897" s="4" t="s">
        <v>306</v>
      </c>
      <c r="F1897" s="4" t="s">
        <v>3406</v>
      </c>
      <c r="G1897" s="4" t="s">
        <v>38</v>
      </c>
      <c r="H1897" s="4" t="s">
        <v>3676</v>
      </c>
      <c r="I1897" s="4" t="s">
        <v>4742</v>
      </c>
      <c r="J1897" s="4" t="s">
        <v>68</v>
      </c>
      <c r="K1897" s="4" t="s">
        <v>4743</v>
      </c>
      <c r="L1897" s="4" t="s">
        <v>736</v>
      </c>
      <c r="M1897" s="4" t="s">
        <v>737</v>
      </c>
      <c r="N1897" s="4" t="s">
        <v>44</v>
      </c>
      <c r="O1897" s="4" t="s">
        <v>4744</v>
      </c>
      <c r="P1897" s="4" t="s">
        <v>3629</v>
      </c>
    </row>
    <row r="1898" customFormat="false" ht="15" hidden="false" customHeight="false" outlineLevel="0" collapsed="false">
      <c r="A1898" s="4" t="s">
        <v>4745</v>
      </c>
      <c r="B1898" s="4" t="s">
        <v>4746</v>
      </c>
      <c r="C1898" s="4" t="s">
        <v>4650</v>
      </c>
      <c r="D1898" s="4" t="s">
        <v>4651</v>
      </c>
      <c r="E1898" s="4" t="s">
        <v>306</v>
      </c>
      <c r="F1898" s="4" t="s">
        <v>736</v>
      </c>
      <c r="G1898" s="4" t="s">
        <v>38</v>
      </c>
      <c r="H1898" s="4" t="s">
        <v>3625</v>
      </c>
      <c r="I1898" s="4" t="s">
        <v>4747</v>
      </c>
      <c r="J1898" s="4" t="s">
        <v>81</v>
      </c>
      <c r="K1898" s="4" t="s">
        <v>3769</v>
      </c>
      <c r="L1898" s="4" t="s">
        <v>736</v>
      </c>
      <c r="M1898" s="4" t="s">
        <v>737</v>
      </c>
      <c r="N1898" s="4" t="s">
        <v>52</v>
      </c>
      <c r="O1898" s="4" t="s">
        <v>3770</v>
      </c>
      <c r="P1898" s="4" t="s">
        <v>3629</v>
      </c>
    </row>
    <row r="1899" customFormat="false" ht="15" hidden="false" customHeight="false" outlineLevel="0" collapsed="false">
      <c r="A1899" s="4" t="s">
        <v>4748</v>
      </c>
      <c r="B1899" s="4" t="s">
        <v>4749</v>
      </c>
      <c r="C1899" s="4" t="s">
        <v>4650</v>
      </c>
      <c r="D1899" s="4" t="s">
        <v>4651</v>
      </c>
      <c r="E1899" s="4" t="s">
        <v>306</v>
      </c>
      <c r="F1899" s="4" t="s">
        <v>736</v>
      </c>
      <c r="G1899" s="4" t="s">
        <v>38</v>
      </c>
      <c r="H1899" s="4" t="s">
        <v>3676</v>
      </c>
      <c r="I1899" s="4" t="s">
        <v>4750</v>
      </c>
      <c r="J1899" s="4" t="s">
        <v>68</v>
      </c>
      <c r="K1899" s="4" t="s">
        <v>4751</v>
      </c>
      <c r="L1899" s="4" t="s">
        <v>524</v>
      </c>
      <c r="M1899" s="4" t="s">
        <v>1412</v>
      </c>
      <c r="N1899" s="4" t="s">
        <v>44</v>
      </c>
      <c r="O1899" s="4" t="s">
        <v>4752</v>
      </c>
      <c r="P1899" s="4" t="s">
        <v>3629</v>
      </c>
    </row>
    <row r="1900" customFormat="false" ht="15" hidden="false" customHeight="false" outlineLevel="0" collapsed="false">
      <c r="A1900" s="4" t="s">
        <v>4753</v>
      </c>
      <c r="B1900" s="4" t="s">
        <v>4749</v>
      </c>
      <c r="C1900" s="4" t="s">
        <v>4749</v>
      </c>
      <c r="D1900" s="4" t="s">
        <v>3624</v>
      </c>
      <c r="E1900" s="4" t="s">
        <v>89</v>
      </c>
      <c r="F1900" s="4" t="s">
        <v>736</v>
      </c>
      <c r="G1900" s="4" t="s">
        <v>38</v>
      </c>
      <c r="H1900" s="4" t="s">
        <v>3676</v>
      </c>
      <c r="I1900" s="4" t="s">
        <v>4641</v>
      </c>
      <c r="J1900" s="4" t="s">
        <v>68</v>
      </c>
      <c r="K1900" s="4" t="s">
        <v>4571</v>
      </c>
      <c r="L1900" s="4" t="s">
        <v>3406</v>
      </c>
      <c r="M1900" s="4" t="s">
        <v>1683</v>
      </c>
      <c r="N1900" s="4" t="s">
        <v>44</v>
      </c>
      <c r="O1900" s="4" t="s">
        <v>4572</v>
      </c>
      <c r="P1900" s="4" t="s">
        <v>3629</v>
      </c>
    </row>
    <row r="1901" customFormat="false" ht="15" hidden="false" customHeight="false" outlineLevel="0" collapsed="false">
      <c r="A1901" s="4" t="s">
        <v>4754</v>
      </c>
      <c r="B1901" s="4" t="s">
        <v>4755</v>
      </c>
      <c r="C1901" s="4" t="s">
        <v>4650</v>
      </c>
      <c r="D1901" s="4" t="s">
        <v>4651</v>
      </c>
      <c r="E1901" s="4" t="s">
        <v>323</v>
      </c>
      <c r="F1901" s="4" t="s">
        <v>3406</v>
      </c>
      <c r="G1901" s="4" t="s">
        <v>38</v>
      </c>
      <c r="H1901" s="4" t="s">
        <v>3676</v>
      </c>
      <c r="I1901" s="4" t="s">
        <v>4471</v>
      </c>
      <c r="J1901" s="4" t="s">
        <v>68</v>
      </c>
      <c r="K1901" s="4" t="s">
        <v>3981</v>
      </c>
      <c r="L1901" s="4" t="s">
        <v>3635</v>
      </c>
      <c r="M1901" s="4" t="s">
        <v>737</v>
      </c>
      <c r="N1901" s="4" t="s">
        <v>44</v>
      </c>
      <c r="O1901" s="4" t="s">
        <v>3982</v>
      </c>
      <c r="P1901" s="4" t="s">
        <v>3629</v>
      </c>
    </row>
    <row r="1902" customFormat="false" ht="15" hidden="false" customHeight="false" outlineLevel="0" collapsed="false">
      <c r="A1902" s="4" t="s">
        <v>4756</v>
      </c>
      <c r="B1902" s="4" t="s">
        <v>4755</v>
      </c>
      <c r="C1902" s="4" t="s">
        <v>4757</v>
      </c>
      <c r="D1902" s="4" t="s">
        <v>3624</v>
      </c>
      <c r="E1902" s="4" t="s">
        <v>66</v>
      </c>
      <c r="F1902" s="4" t="s">
        <v>736</v>
      </c>
      <c r="G1902" s="4" t="s">
        <v>59</v>
      </c>
      <c r="H1902" s="4" t="s">
        <v>3625</v>
      </c>
      <c r="I1902" s="4" t="s">
        <v>3633</v>
      </c>
      <c r="J1902" s="4" t="s">
        <v>81</v>
      </c>
      <c r="K1902" s="4" t="s">
        <v>2915</v>
      </c>
      <c r="L1902" s="4" t="s">
        <v>736</v>
      </c>
      <c r="M1902" s="4" t="s">
        <v>737</v>
      </c>
      <c r="N1902" s="4" t="s">
        <v>44</v>
      </c>
      <c r="O1902" s="4" t="s">
        <v>2916</v>
      </c>
      <c r="P1902" s="4" t="s">
        <v>3629</v>
      </c>
    </row>
    <row r="1903" customFormat="false" ht="15" hidden="false" customHeight="false" outlineLevel="0" collapsed="false">
      <c r="A1903" s="4" t="s">
        <v>4758</v>
      </c>
      <c r="B1903" s="4" t="s">
        <v>4759</v>
      </c>
      <c r="C1903" s="4" t="s">
        <v>4650</v>
      </c>
      <c r="D1903" s="4" t="s">
        <v>4651</v>
      </c>
      <c r="E1903" s="4" t="s">
        <v>306</v>
      </c>
      <c r="F1903" s="4" t="s">
        <v>736</v>
      </c>
      <c r="G1903" s="4" t="s">
        <v>59</v>
      </c>
      <c r="H1903" s="4" t="s">
        <v>3632</v>
      </c>
      <c r="I1903" s="4" t="s">
        <v>4760</v>
      </c>
      <c r="J1903" s="4" t="s">
        <v>68</v>
      </c>
      <c r="K1903" s="4" t="s">
        <v>2208</v>
      </c>
      <c r="L1903" s="4" t="s">
        <v>736</v>
      </c>
      <c r="M1903" s="4" t="s">
        <v>737</v>
      </c>
      <c r="N1903" s="4" t="s">
        <v>52</v>
      </c>
      <c r="O1903" s="4" t="s">
        <v>2209</v>
      </c>
      <c r="P1903" s="4" t="s">
        <v>3629</v>
      </c>
    </row>
    <row r="1904" customFormat="false" ht="15" hidden="false" customHeight="false" outlineLevel="0" collapsed="false">
      <c r="A1904" s="4" t="s">
        <v>4761</v>
      </c>
      <c r="B1904" s="4" t="s">
        <v>4759</v>
      </c>
      <c r="C1904" s="4" t="s">
        <v>4650</v>
      </c>
      <c r="D1904" s="4" t="s">
        <v>4651</v>
      </c>
      <c r="E1904" s="4" t="s">
        <v>306</v>
      </c>
      <c r="F1904" s="4" t="s">
        <v>736</v>
      </c>
      <c r="G1904" s="4" t="s">
        <v>59</v>
      </c>
      <c r="H1904" s="4" t="s">
        <v>3706</v>
      </c>
      <c r="I1904" s="4" t="s">
        <v>4762</v>
      </c>
      <c r="J1904" s="4" t="s">
        <v>81</v>
      </c>
      <c r="K1904" s="4" t="s">
        <v>3811</v>
      </c>
      <c r="L1904" s="4" t="s">
        <v>736</v>
      </c>
      <c r="M1904" s="4" t="s">
        <v>737</v>
      </c>
      <c r="N1904" s="4" t="s">
        <v>44</v>
      </c>
      <c r="O1904" s="4" t="s">
        <v>3812</v>
      </c>
      <c r="P1904" s="4" t="s">
        <v>3629</v>
      </c>
    </row>
    <row r="1905" customFormat="false" ht="15" hidden="false" customHeight="false" outlineLevel="0" collapsed="false">
      <c r="A1905" s="4" t="s">
        <v>4763</v>
      </c>
      <c r="B1905" s="4" t="s">
        <v>4759</v>
      </c>
      <c r="C1905" s="4" t="s">
        <v>4650</v>
      </c>
      <c r="D1905" s="4" t="s">
        <v>4651</v>
      </c>
      <c r="E1905" s="4" t="s">
        <v>306</v>
      </c>
      <c r="F1905" s="4" t="s">
        <v>3710</v>
      </c>
      <c r="G1905" s="4" t="s">
        <v>59</v>
      </c>
      <c r="H1905" s="4" t="s">
        <v>3625</v>
      </c>
      <c r="I1905" s="4" t="s">
        <v>4667</v>
      </c>
      <c r="J1905" s="4" t="s">
        <v>68</v>
      </c>
      <c r="K1905" s="4" t="s">
        <v>4764</v>
      </c>
      <c r="L1905" s="4" t="s">
        <v>411</v>
      </c>
      <c r="M1905" s="4" t="s">
        <v>412</v>
      </c>
      <c r="N1905" s="4" t="s">
        <v>94</v>
      </c>
      <c r="O1905" s="4" t="s">
        <v>4765</v>
      </c>
      <c r="P1905" s="4" t="s">
        <v>3629</v>
      </c>
    </row>
    <row r="1906" customFormat="false" ht="15" hidden="false" customHeight="false" outlineLevel="0" collapsed="false">
      <c r="A1906" s="4" t="s">
        <v>4766</v>
      </c>
      <c r="B1906" s="4" t="s">
        <v>4759</v>
      </c>
      <c r="C1906" s="4" t="s">
        <v>4650</v>
      </c>
      <c r="D1906" s="4" t="s">
        <v>4651</v>
      </c>
      <c r="E1906" s="4" t="s">
        <v>345</v>
      </c>
      <c r="F1906" s="4" t="s">
        <v>3635</v>
      </c>
      <c r="G1906" s="4" t="s">
        <v>38</v>
      </c>
      <c r="H1906" s="4" t="s">
        <v>3625</v>
      </c>
      <c r="I1906" s="4" t="s">
        <v>4184</v>
      </c>
      <c r="J1906" s="4" t="s">
        <v>40</v>
      </c>
      <c r="K1906" s="4" t="s">
        <v>861</v>
      </c>
      <c r="L1906" s="4" t="s">
        <v>862</v>
      </c>
      <c r="M1906" s="4" t="s">
        <v>356</v>
      </c>
      <c r="N1906" s="4" t="s">
        <v>863</v>
      </c>
      <c r="O1906" s="4"/>
      <c r="P1906" s="4" t="s">
        <v>3629</v>
      </c>
    </row>
    <row r="1907" customFormat="false" ht="15" hidden="false" customHeight="false" outlineLevel="0" collapsed="false">
      <c r="A1907" s="4" t="s">
        <v>4767</v>
      </c>
      <c r="B1907" s="4" t="s">
        <v>4759</v>
      </c>
      <c r="C1907" s="4" t="s">
        <v>4650</v>
      </c>
      <c r="D1907" s="4" t="s">
        <v>4651</v>
      </c>
      <c r="E1907" s="4" t="s">
        <v>325</v>
      </c>
      <c r="F1907" s="4" t="s">
        <v>3710</v>
      </c>
      <c r="G1907" s="4" t="s">
        <v>59</v>
      </c>
      <c r="H1907" s="4" t="s">
        <v>3625</v>
      </c>
      <c r="I1907" s="4" t="s">
        <v>4768</v>
      </c>
      <c r="J1907" s="4" t="s">
        <v>68</v>
      </c>
      <c r="K1907" s="4" t="s">
        <v>4769</v>
      </c>
      <c r="L1907" s="4" t="s">
        <v>988</v>
      </c>
      <c r="M1907" s="4" t="s">
        <v>737</v>
      </c>
      <c r="N1907" s="4" t="s">
        <v>44</v>
      </c>
      <c r="O1907" s="4" t="s">
        <v>4770</v>
      </c>
      <c r="P1907" s="4" t="s">
        <v>3629</v>
      </c>
    </row>
    <row r="1908" customFormat="false" ht="15" hidden="false" customHeight="false" outlineLevel="0" collapsed="false">
      <c r="A1908" s="4" t="s">
        <v>4771</v>
      </c>
      <c r="B1908" s="4" t="s">
        <v>4772</v>
      </c>
      <c r="C1908" s="4" t="s">
        <v>4650</v>
      </c>
      <c r="D1908" s="4" t="s">
        <v>4651</v>
      </c>
      <c r="E1908" s="4" t="s">
        <v>306</v>
      </c>
      <c r="F1908" s="4" t="s">
        <v>736</v>
      </c>
      <c r="G1908" s="4" t="s">
        <v>38</v>
      </c>
      <c r="H1908" s="4" t="s">
        <v>3676</v>
      </c>
      <c r="I1908" s="4" t="s">
        <v>4261</v>
      </c>
      <c r="J1908" s="4" t="s">
        <v>40</v>
      </c>
      <c r="K1908" s="4" t="s">
        <v>3153</v>
      </c>
      <c r="L1908" s="4" t="s">
        <v>706</v>
      </c>
      <c r="M1908" s="4" t="s">
        <v>412</v>
      </c>
      <c r="N1908" s="4" t="s">
        <v>44</v>
      </c>
      <c r="O1908" s="4" t="s">
        <v>3154</v>
      </c>
      <c r="P1908" s="4" t="s">
        <v>3629</v>
      </c>
    </row>
    <row r="1909" customFormat="false" ht="15" hidden="false" customHeight="false" outlineLevel="0" collapsed="false">
      <c r="A1909" s="4" t="s">
        <v>4773</v>
      </c>
      <c r="B1909" s="4" t="s">
        <v>4772</v>
      </c>
      <c r="C1909" s="4" t="s">
        <v>4650</v>
      </c>
      <c r="D1909" s="4" t="s">
        <v>4651</v>
      </c>
      <c r="E1909" s="4" t="s">
        <v>306</v>
      </c>
      <c r="F1909" s="4" t="s">
        <v>3635</v>
      </c>
      <c r="G1909" s="4" t="s">
        <v>59</v>
      </c>
      <c r="H1909" s="4" t="s">
        <v>3625</v>
      </c>
      <c r="I1909" s="4" t="s">
        <v>4774</v>
      </c>
      <c r="J1909" s="4" t="s">
        <v>68</v>
      </c>
      <c r="K1909" s="4" t="s">
        <v>3850</v>
      </c>
      <c r="L1909" s="4" t="s">
        <v>736</v>
      </c>
      <c r="M1909" s="4" t="s">
        <v>737</v>
      </c>
      <c r="N1909" s="4" t="s">
        <v>44</v>
      </c>
      <c r="O1909" s="4" t="s">
        <v>3851</v>
      </c>
      <c r="P1909" s="4" t="s">
        <v>3629</v>
      </c>
    </row>
    <row r="1910" customFormat="false" ht="15" hidden="false" customHeight="false" outlineLevel="0" collapsed="false">
      <c r="A1910" s="4" t="s">
        <v>4775</v>
      </c>
      <c r="B1910" s="4" t="s">
        <v>4772</v>
      </c>
      <c r="C1910" s="4" t="s">
        <v>4650</v>
      </c>
      <c r="D1910" s="4" t="s">
        <v>4651</v>
      </c>
      <c r="E1910" s="4" t="s">
        <v>345</v>
      </c>
      <c r="F1910" s="4" t="s">
        <v>736</v>
      </c>
      <c r="G1910" s="4" t="s">
        <v>38</v>
      </c>
      <c r="H1910" s="4" t="s">
        <v>3676</v>
      </c>
      <c r="I1910" s="4" t="s">
        <v>4776</v>
      </c>
      <c r="J1910" s="4" t="s">
        <v>68</v>
      </c>
      <c r="K1910" s="4" t="s">
        <v>4777</v>
      </c>
      <c r="L1910" s="4" t="s">
        <v>382</v>
      </c>
      <c r="M1910" s="4" t="s">
        <v>43</v>
      </c>
      <c r="N1910" s="4" t="s">
        <v>94</v>
      </c>
      <c r="O1910" s="4" t="s">
        <v>4778</v>
      </c>
      <c r="P1910" s="4" t="s">
        <v>3629</v>
      </c>
    </row>
    <row r="1911" customFormat="false" ht="15" hidden="false" customHeight="false" outlineLevel="0" collapsed="false">
      <c r="A1911" s="4" t="s">
        <v>4779</v>
      </c>
      <c r="B1911" s="4" t="s">
        <v>4772</v>
      </c>
      <c r="C1911" s="4" t="s">
        <v>4650</v>
      </c>
      <c r="D1911" s="4" t="s">
        <v>4651</v>
      </c>
      <c r="E1911" s="4" t="s">
        <v>306</v>
      </c>
      <c r="F1911" s="4" t="s">
        <v>736</v>
      </c>
      <c r="G1911" s="4" t="s">
        <v>326</v>
      </c>
      <c r="H1911" s="4" t="s">
        <v>3625</v>
      </c>
      <c r="I1911" s="4" t="s">
        <v>4780</v>
      </c>
      <c r="J1911" s="4" t="s">
        <v>40</v>
      </c>
      <c r="K1911" s="4" t="s">
        <v>4781</v>
      </c>
      <c r="L1911" s="4" t="s">
        <v>455</v>
      </c>
      <c r="M1911" s="4" t="s">
        <v>456</v>
      </c>
      <c r="N1911" s="4" t="s">
        <v>94</v>
      </c>
      <c r="O1911" s="4" t="s">
        <v>4782</v>
      </c>
      <c r="P1911" s="4" t="s">
        <v>3629</v>
      </c>
    </row>
    <row r="1912" customFormat="false" ht="15" hidden="false" customHeight="false" outlineLevel="0" collapsed="false">
      <c r="A1912" s="4" t="s">
        <v>4783</v>
      </c>
      <c r="B1912" s="4" t="s">
        <v>4757</v>
      </c>
      <c r="C1912" s="4" t="s">
        <v>4650</v>
      </c>
      <c r="D1912" s="4" t="s">
        <v>4651</v>
      </c>
      <c r="E1912" s="4" t="s">
        <v>306</v>
      </c>
      <c r="F1912" s="4" t="s">
        <v>1584</v>
      </c>
      <c r="G1912" s="4" t="s">
        <v>38</v>
      </c>
      <c r="H1912" s="4" t="s">
        <v>3676</v>
      </c>
      <c r="I1912" s="4" t="s">
        <v>4742</v>
      </c>
      <c r="J1912" s="4" t="s">
        <v>40</v>
      </c>
      <c r="K1912" s="4" t="s">
        <v>4428</v>
      </c>
      <c r="L1912" s="4" t="s">
        <v>3406</v>
      </c>
      <c r="M1912" s="4" t="s">
        <v>1683</v>
      </c>
      <c r="N1912" s="4" t="s">
        <v>44</v>
      </c>
      <c r="O1912" s="4" t="s">
        <v>4429</v>
      </c>
      <c r="P1912" s="4" t="s">
        <v>3629</v>
      </c>
    </row>
    <row r="1913" customFormat="false" ht="15" hidden="false" customHeight="false" outlineLevel="0" collapsed="false">
      <c r="A1913" s="4" t="s">
        <v>4784</v>
      </c>
      <c r="B1913" s="4" t="s">
        <v>4785</v>
      </c>
      <c r="C1913" s="4" t="s">
        <v>4650</v>
      </c>
      <c r="D1913" s="4" t="s">
        <v>4651</v>
      </c>
      <c r="E1913" s="4" t="s">
        <v>306</v>
      </c>
      <c r="F1913" s="4" t="s">
        <v>736</v>
      </c>
      <c r="G1913" s="4" t="s">
        <v>59</v>
      </c>
      <c r="H1913" s="4" t="s">
        <v>3625</v>
      </c>
      <c r="I1913" s="4" t="s">
        <v>4786</v>
      </c>
      <c r="J1913" s="4" t="s">
        <v>81</v>
      </c>
      <c r="K1913" s="4" t="s">
        <v>3742</v>
      </c>
      <c r="L1913" s="4" t="s">
        <v>736</v>
      </c>
      <c r="M1913" s="4" t="s">
        <v>737</v>
      </c>
      <c r="N1913" s="4" t="s">
        <v>44</v>
      </c>
      <c r="O1913" s="4" t="s">
        <v>3743</v>
      </c>
      <c r="P1913" s="4" t="s">
        <v>3629</v>
      </c>
    </row>
    <row r="1914" customFormat="false" ht="15" hidden="false" customHeight="false" outlineLevel="0" collapsed="false">
      <c r="A1914" s="4" t="s">
        <v>4787</v>
      </c>
      <c r="B1914" s="4" t="s">
        <v>4785</v>
      </c>
      <c r="C1914" s="4" t="s">
        <v>4650</v>
      </c>
      <c r="D1914" s="4" t="s">
        <v>4651</v>
      </c>
      <c r="E1914" s="4" t="s">
        <v>306</v>
      </c>
      <c r="F1914" s="4" t="s">
        <v>3406</v>
      </c>
      <c r="G1914" s="4" t="s">
        <v>38</v>
      </c>
      <c r="H1914" s="4" t="s">
        <v>3676</v>
      </c>
      <c r="I1914" s="4" t="s">
        <v>4662</v>
      </c>
      <c r="J1914" s="4" t="s">
        <v>40</v>
      </c>
      <c r="K1914" s="4" t="s">
        <v>4380</v>
      </c>
      <c r="L1914" s="4" t="s">
        <v>1211</v>
      </c>
      <c r="M1914" s="4" t="s">
        <v>635</v>
      </c>
      <c r="N1914" s="4" t="s">
        <v>44</v>
      </c>
      <c r="O1914" s="4" t="s">
        <v>4381</v>
      </c>
      <c r="P1914" s="4" t="s">
        <v>3629</v>
      </c>
    </row>
    <row r="1915" customFormat="false" ht="15" hidden="false" customHeight="false" outlineLevel="0" collapsed="false">
      <c r="A1915" s="4" t="s">
        <v>4788</v>
      </c>
      <c r="B1915" s="4" t="s">
        <v>4785</v>
      </c>
      <c r="C1915" s="4" t="s">
        <v>4789</v>
      </c>
      <c r="D1915" s="4" t="s">
        <v>3624</v>
      </c>
      <c r="E1915" s="4" t="s">
        <v>36</v>
      </c>
      <c r="F1915" s="4" t="s">
        <v>3406</v>
      </c>
      <c r="G1915" s="4" t="s">
        <v>38</v>
      </c>
      <c r="H1915" s="4" t="s">
        <v>3632</v>
      </c>
      <c r="I1915" s="4" t="s">
        <v>3651</v>
      </c>
      <c r="J1915" s="4" t="s">
        <v>40</v>
      </c>
      <c r="K1915" s="4" t="s">
        <v>4674</v>
      </c>
      <c r="L1915" s="4" t="s">
        <v>736</v>
      </c>
      <c r="M1915" s="4" t="s">
        <v>737</v>
      </c>
      <c r="N1915" s="4" t="s">
        <v>44</v>
      </c>
      <c r="O1915" s="4" t="s">
        <v>4675</v>
      </c>
      <c r="P1915" s="4" t="s">
        <v>3629</v>
      </c>
    </row>
    <row r="1916" customFormat="false" ht="15" hidden="false" customHeight="false" outlineLevel="0" collapsed="false">
      <c r="A1916" s="4" t="s">
        <v>4790</v>
      </c>
      <c r="B1916" s="4" t="s">
        <v>4789</v>
      </c>
      <c r="C1916" s="4" t="s">
        <v>4650</v>
      </c>
      <c r="D1916" s="4" t="s">
        <v>4651</v>
      </c>
      <c r="E1916" s="4" t="s">
        <v>306</v>
      </c>
      <c r="F1916" s="4" t="s">
        <v>736</v>
      </c>
      <c r="G1916" s="4" t="s">
        <v>38</v>
      </c>
      <c r="H1916" s="4" t="s">
        <v>3625</v>
      </c>
      <c r="I1916" s="4" t="s">
        <v>4791</v>
      </c>
      <c r="J1916" s="4" t="s">
        <v>40</v>
      </c>
      <c r="K1916" s="4" t="s">
        <v>4071</v>
      </c>
      <c r="L1916" s="4" t="s">
        <v>3635</v>
      </c>
      <c r="M1916" s="4" t="s">
        <v>737</v>
      </c>
      <c r="N1916" s="4" t="s">
        <v>44</v>
      </c>
      <c r="O1916" s="4" t="s">
        <v>4072</v>
      </c>
      <c r="P1916" s="4" t="s">
        <v>3629</v>
      </c>
    </row>
    <row r="1917" customFormat="false" ht="15" hidden="false" customHeight="false" outlineLevel="0" collapsed="false">
      <c r="A1917" s="4" t="s">
        <v>4792</v>
      </c>
      <c r="B1917" s="4" t="s">
        <v>4793</v>
      </c>
      <c r="C1917" s="4" t="s">
        <v>4650</v>
      </c>
      <c r="D1917" s="4" t="s">
        <v>4651</v>
      </c>
      <c r="E1917" s="4" t="s">
        <v>306</v>
      </c>
      <c r="F1917" s="4" t="s">
        <v>3406</v>
      </c>
      <c r="G1917" s="4" t="s">
        <v>59</v>
      </c>
      <c r="H1917" s="4" t="s">
        <v>3676</v>
      </c>
      <c r="I1917" s="4" t="s">
        <v>4682</v>
      </c>
      <c r="J1917" s="4" t="s">
        <v>68</v>
      </c>
      <c r="K1917" s="4" t="s">
        <v>735</v>
      </c>
      <c r="L1917" s="4" t="s">
        <v>736</v>
      </c>
      <c r="M1917" s="4" t="s">
        <v>737</v>
      </c>
      <c r="N1917" s="4" t="s">
        <v>94</v>
      </c>
      <c r="O1917" s="4" t="s">
        <v>738</v>
      </c>
      <c r="P1917" s="4" t="s">
        <v>3629</v>
      </c>
    </row>
    <row r="1918" customFormat="false" ht="15" hidden="false" customHeight="false" outlineLevel="0" collapsed="false">
      <c r="A1918" s="4" t="s">
        <v>4794</v>
      </c>
      <c r="B1918" s="4" t="s">
        <v>4795</v>
      </c>
      <c r="C1918" s="4" t="s">
        <v>4650</v>
      </c>
      <c r="D1918" s="4" t="s">
        <v>4651</v>
      </c>
      <c r="E1918" s="4" t="s">
        <v>323</v>
      </c>
      <c r="F1918" s="4" t="s">
        <v>736</v>
      </c>
      <c r="G1918" s="4" t="s">
        <v>38</v>
      </c>
      <c r="H1918" s="4" t="s">
        <v>3625</v>
      </c>
      <c r="I1918" s="4" t="s">
        <v>4796</v>
      </c>
      <c r="J1918" s="4" t="s">
        <v>68</v>
      </c>
      <c r="K1918" s="4" t="s">
        <v>4797</v>
      </c>
      <c r="L1918" s="4" t="s">
        <v>736</v>
      </c>
      <c r="M1918" s="4" t="s">
        <v>737</v>
      </c>
      <c r="N1918" s="4" t="s">
        <v>185</v>
      </c>
      <c r="O1918" s="4" t="s">
        <v>4798</v>
      </c>
      <c r="P1918" s="4" t="s">
        <v>3629</v>
      </c>
    </row>
    <row r="1919" customFormat="false" ht="15" hidden="false" customHeight="false" outlineLevel="0" collapsed="false">
      <c r="A1919" s="4" t="s">
        <v>4799</v>
      </c>
      <c r="B1919" s="4" t="s">
        <v>4795</v>
      </c>
      <c r="C1919" s="4" t="s">
        <v>4800</v>
      </c>
      <c r="D1919" s="4" t="s">
        <v>3624</v>
      </c>
      <c r="E1919" s="4" t="s">
        <v>36</v>
      </c>
      <c r="F1919" s="4" t="s">
        <v>736</v>
      </c>
      <c r="G1919" s="4" t="s">
        <v>38</v>
      </c>
      <c r="H1919" s="4" t="s">
        <v>3625</v>
      </c>
      <c r="I1919" s="4" t="s">
        <v>3669</v>
      </c>
      <c r="J1919" s="4" t="s">
        <v>40</v>
      </c>
      <c r="K1919" s="4" t="s">
        <v>3627</v>
      </c>
      <c r="L1919" s="4" t="s">
        <v>736</v>
      </c>
      <c r="M1919" s="4" t="s">
        <v>737</v>
      </c>
      <c r="N1919" s="4" t="s">
        <v>94</v>
      </c>
      <c r="O1919" s="4" t="s">
        <v>3628</v>
      </c>
      <c r="P1919" s="4" t="s">
        <v>3629</v>
      </c>
    </row>
    <row r="1920" customFormat="false" ht="15" hidden="false" customHeight="false" outlineLevel="0" collapsed="false">
      <c r="A1920" s="4" t="s">
        <v>4801</v>
      </c>
      <c r="B1920" s="4" t="s">
        <v>4795</v>
      </c>
      <c r="C1920" s="4" t="s">
        <v>4802</v>
      </c>
      <c r="D1920" s="4" t="s">
        <v>3624</v>
      </c>
      <c r="E1920" s="4" t="s">
        <v>36</v>
      </c>
      <c r="F1920" s="4" t="s">
        <v>736</v>
      </c>
      <c r="G1920" s="4" t="s">
        <v>38</v>
      </c>
      <c r="H1920" s="4" t="s">
        <v>3625</v>
      </c>
      <c r="I1920" s="4" t="s">
        <v>3651</v>
      </c>
      <c r="J1920" s="4" t="s">
        <v>81</v>
      </c>
      <c r="K1920" s="4" t="s">
        <v>4803</v>
      </c>
      <c r="L1920" s="4" t="s">
        <v>736</v>
      </c>
      <c r="M1920" s="4" t="s">
        <v>737</v>
      </c>
      <c r="N1920" s="4" t="s">
        <v>44</v>
      </c>
      <c r="O1920" s="4" t="s">
        <v>4804</v>
      </c>
      <c r="P1920" s="4" t="s">
        <v>3629</v>
      </c>
    </row>
    <row r="1921" customFormat="false" ht="15" hidden="false" customHeight="false" outlineLevel="0" collapsed="false">
      <c r="A1921" s="4" t="s">
        <v>4805</v>
      </c>
      <c r="B1921" s="4" t="s">
        <v>4802</v>
      </c>
      <c r="C1921" s="4" t="s">
        <v>4806</v>
      </c>
      <c r="D1921" s="4" t="s">
        <v>3624</v>
      </c>
      <c r="E1921" s="4" t="s">
        <v>36</v>
      </c>
      <c r="F1921" s="4" t="s">
        <v>3710</v>
      </c>
      <c r="G1921" s="4" t="s">
        <v>38</v>
      </c>
      <c r="H1921" s="4" t="s">
        <v>3625</v>
      </c>
      <c r="I1921" s="4" t="s">
        <v>3716</v>
      </c>
      <c r="J1921" s="4" t="s">
        <v>40</v>
      </c>
      <c r="K1921" s="4" t="s">
        <v>4232</v>
      </c>
      <c r="L1921" s="4" t="s">
        <v>736</v>
      </c>
      <c r="M1921" s="4" t="s">
        <v>737</v>
      </c>
      <c r="N1921" s="4" t="s">
        <v>185</v>
      </c>
      <c r="O1921" s="4" t="s">
        <v>4233</v>
      </c>
      <c r="P1921" s="4" t="s">
        <v>3629</v>
      </c>
    </row>
    <row r="1922" customFormat="false" ht="15" hidden="false" customHeight="false" outlineLevel="0" collapsed="false">
      <c r="A1922" s="4" t="s">
        <v>4807</v>
      </c>
      <c r="B1922" s="4" t="s">
        <v>4800</v>
      </c>
      <c r="C1922" s="4" t="s">
        <v>4650</v>
      </c>
      <c r="D1922" s="4" t="s">
        <v>4651</v>
      </c>
      <c r="E1922" s="4" t="s">
        <v>306</v>
      </c>
      <c r="F1922" s="4" t="s">
        <v>736</v>
      </c>
      <c r="G1922" s="4" t="s">
        <v>38</v>
      </c>
      <c r="H1922" s="4" t="s">
        <v>3676</v>
      </c>
      <c r="I1922" s="4" t="s">
        <v>4808</v>
      </c>
      <c r="J1922" s="4" t="s">
        <v>40</v>
      </c>
      <c r="K1922" s="4" t="s">
        <v>4342</v>
      </c>
      <c r="L1922" s="4" t="s">
        <v>736</v>
      </c>
      <c r="M1922" s="4" t="s">
        <v>737</v>
      </c>
      <c r="N1922" s="4" t="s">
        <v>44</v>
      </c>
      <c r="O1922" s="4" t="s">
        <v>4343</v>
      </c>
      <c r="P1922" s="4" t="s">
        <v>3629</v>
      </c>
    </row>
    <row r="1923" customFormat="false" ht="15" hidden="false" customHeight="false" outlineLevel="0" collapsed="false">
      <c r="A1923" s="4" t="s">
        <v>4809</v>
      </c>
      <c r="B1923" s="4" t="s">
        <v>4806</v>
      </c>
      <c r="C1923" s="4" t="s">
        <v>4810</v>
      </c>
      <c r="D1923" s="4" t="s">
        <v>3624</v>
      </c>
      <c r="E1923" s="4" t="s">
        <v>36</v>
      </c>
      <c r="F1923" s="4" t="s">
        <v>736</v>
      </c>
      <c r="G1923" s="4" t="s">
        <v>59</v>
      </c>
      <c r="H1923" s="4" t="s">
        <v>3625</v>
      </c>
      <c r="I1923" s="4" t="s">
        <v>3633</v>
      </c>
      <c r="J1923" s="4" t="s">
        <v>81</v>
      </c>
      <c r="K1923" s="4" t="s">
        <v>3662</v>
      </c>
      <c r="L1923" s="4" t="s">
        <v>736</v>
      </c>
      <c r="M1923" s="4" t="s">
        <v>737</v>
      </c>
      <c r="N1923" s="4" t="s">
        <v>44</v>
      </c>
      <c r="O1923" s="4" t="s">
        <v>3663</v>
      </c>
      <c r="P1923" s="4" t="s">
        <v>3629</v>
      </c>
    </row>
    <row r="1924" customFormat="false" ht="15" hidden="false" customHeight="false" outlineLevel="0" collapsed="false">
      <c r="A1924" s="4" t="s">
        <v>4811</v>
      </c>
      <c r="B1924" s="4" t="s">
        <v>4812</v>
      </c>
      <c r="C1924" s="4" t="s">
        <v>4650</v>
      </c>
      <c r="D1924" s="4" t="s">
        <v>4651</v>
      </c>
      <c r="E1924" s="4" t="s">
        <v>306</v>
      </c>
      <c r="F1924" s="4" t="s">
        <v>736</v>
      </c>
      <c r="G1924" s="4" t="s">
        <v>38</v>
      </c>
      <c r="H1924" s="4" t="s">
        <v>3676</v>
      </c>
      <c r="I1924" s="4" t="s">
        <v>4412</v>
      </c>
      <c r="J1924" s="4" t="s">
        <v>81</v>
      </c>
      <c r="K1924" s="4" t="s">
        <v>3811</v>
      </c>
      <c r="L1924" s="4" t="s">
        <v>736</v>
      </c>
      <c r="M1924" s="4" t="s">
        <v>737</v>
      </c>
      <c r="N1924" s="4" t="s">
        <v>44</v>
      </c>
      <c r="O1924" s="4" t="s">
        <v>3812</v>
      </c>
      <c r="P1924" s="4" t="s">
        <v>3629</v>
      </c>
    </row>
    <row r="1925" customFormat="false" ht="15" hidden="false" customHeight="false" outlineLevel="0" collapsed="false">
      <c r="A1925" s="4" t="s">
        <v>4813</v>
      </c>
      <c r="B1925" s="4" t="s">
        <v>4814</v>
      </c>
      <c r="C1925" s="4" t="s">
        <v>4650</v>
      </c>
      <c r="D1925" s="4" t="s">
        <v>4651</v>
      </c>
      <c r="E1925" s="4" t="s">
        <v>345</v>
      </c>
      <c r="F1925" s="4" t="s">
        <v>736</v>
      </c>
      <c r="G1925" s="4" t="s">
        <v>59</v>
      </c>
      <c r="H1925" s="4" t="s">
        <v>3632</v>
      </c>
      <c r="I1925" s="4" t="s">
        <v>4815</v>
      </c>
      <c r="J1925" s="4" t="s">
        <v>40</v>
      </c>
      <c r="K1925" s="4" t="s">
        <v>4816</v>
      </c>
      <c r="L1925" s="4" t="s">
        <v>463</v>
      </c>
      <c r="M1925" s="4" t="s">
        <v>464</v>
      </c>
      <c r="N1925" s="4" t="s">
        <v>44</v>
      </c>
      <c r="O1925" s="4" t="s">
        <v>4817</v>
      </c>
      <c r="P1925" s="4" t="s">
        <v>3629</v>
      </c>
    </row>
    <row r="1926" customFormat="false" ht="15" hidden="false" customHeight="false" outlineLevel="0" collapsed="false">
      <c r="A1926" s="4" t="s">
        <v>4818</v>
      </c>
      <c r="B1926" s="4" t="s">
        <v>4819</v>
      </c>
      <c r="C1926" s="4" t="s">
        <v>4820</v>
      </c>
      <c r="D1926" s="4" t="s">
        <v>3624</v>
      </c>
      <c r="E1926" s="4" t="s">
        <v>66</v>
      </c>
      <c r="F1926" s="4" t="s">
        <v>736</v>
      </c>
      <c r="G1926" s="4" t="s">
        <v>59</v>
      </c>
      <c r="H1926" s="4" t="s">
        <v>3676</v>
      </c>
      <c r="I1926" s="4" t="s">
        <v>3633</v>
      </c>
      <c r="J1926" s="4" t="s">
        <v>68</v>
      </c>
      <c r="K1926" s="4" t="s">
        <v>735</v>
      </c>
      <c r="L1926" s="4" t="s">
        <v>736</v>
      </c>
      <c r="M1926" s="4" t="s">
        <v>737</v>
      </c>
      <c r="N1926" s="4" t="s">
        <v>44</v>
      </c>
      <c r="O1926" s="4" t="s">
        <v>738</v>
      </c>
      <c r="P1926" s="4" t="s">
        <v>3629</v>
      </c>
    </row>
    <row r="1927" customFormat="false" ht="15" hidden="false" customHeight="false" outlineLevel="0" collapsed="false">
      <c r="A1927" s="4" t="s">
        <v>4821</v>
      </c>
      <c r="B1927" s="4" t="s">
        <v>4822</v>
      </c>
      <c r="C1927" s="4" t="s">
        <v>4650</v>
      </c>
      <c r="D1927" s="4" t="s">
        <v>4651</v>
      </c>
      <c r="E1927" s="4" t="s">
        <v>306</v>
      </c>
      <c r="F1927" s="4" t="s">
        <v>736</v>
      </c>
      <c r="G1927" s="4" t="s">
        <v>38</v>
      </c>
      <c r="H1927" s="4" t="s">
        <v>3706</v>
      </c>
      <c r="I1927" s="4" t="s">
        <v>4823</v>
      </c>
      <c r="J1927" s="4" t="s">
        <v>40</v>
      </c>
      <c r="K1927" s="4" t="s">
        <v>154</v>
      </c>
      <c r="L1927" s="4" t="s">
        <v>42</v>
      </c>
      <c r="M1927" s="4" t="s">
        <v>43</v>
      </c>
      <c r="N1927" s="4" t="s">
        <v>52</v>
      </c>
      <c r="O1927" s="4" t="s">
        <v>155</v>
      </c>
      <c r="P1927" s="4" t="s">
        <v>3629</v>
      </c>
    </row>
    <row r="1928" customFormat="false" ht="15" hidden="false" customHeight="false" outlineLevel="0" collapsed="false">
      <c r="A1928" s="4" t="s">
        <v>4824</v>
      </c>
      <c r="B1928" s="4" t="s">
        <v>4822</v>
      </c>
      <c r="C1928" s="4" t="s">
        <v>4650</v>
      </c>
      <c r="D1928" s="4" t="s">
        <v>4651</v>
      </c>
      <c r="E1928" s="4" t="s">
        <v>306</v>
      </c>
      <c r="F1928" s="4" t="s">
        <v>3710</v>
      </c>
      <c r="G1928" s="4" t="s">
        <v>38</v>
      </c>
      <c r="H1928" s="4" t="s">
        <v>3625</v>
      </c>
      <c r="I1928" s="4" t="s">
        <v>4823</v>
      </c>
      <c r="J1928" s="4" t="s">
        <v>81</v>
      </c>
      <c r="K1928" s="4" t="s">
        <v>3931</v>
      </c>
      <c r="L1928" s="4" t="s">
        <v>736</v>
      </c>
      <c r="M1928" s="4" t="s">
        <v>737</v>
      </c>
      <c r="N1928" s="4" t="s">
        <v>52</v>
      </c>
      <c r="O1928" s="4" t="s">
        <v>3932</v>
      </c>
      <c r="P1928" s="4" t="s">
        <v>3629</v>
      </c>
    </row>
    <row r="1929" customFormat="false" ht="15" hidden="false" customHeight="false" outlineLevel="0" collapsed="false">
      <c r="A1929" s="4" t="s">
        <v>4825</v>
      </c>
      <c r="B1929" s="4" t="s">
        <v>4820</v>
      </c>
      <c r="C1929" s="4" t="s">
        <v>4650</v>
      </c>
      <c r="D1929" s="4" t="s">
        <v>4651</v>
      </c>
      <c r="E1929" s="4" t="s">
        <v>306</v>
      </c>
      <c r="F1929" s="4" t="s">
        <v>736</v>
      </c>
      <c r="G1929" s="4" t="s">
        <v>326</v>
      </c>
      <c r="H1929" s="4" t="s">
        <v>3625</v>
      </c>
      <c r="I1929" s="4" t="s">
        <v>4826</v>
      </c>
      <c r="J1929" s="4" t="s">
        <v>68</v>
      </c>
      <c r="K1929" s="4" t="s">
        <v>4827</v>
      </c>
      <c r="L1929" s="4" t="s">
        <v>872</v>
      </c>
      <c r="M1929" s="4" t="s">
        <v>334</v>
      </c>
      <c r="N1929" s="4" t="s">
        <v>44</v>
      </c>
      <c r="O1929" s="4" t="s">
        <v>4828</v>
      </c>
      <c r="P1929" s="4" t="s">
        <v>3629</v>
      </c>
    </row>
    <row r="1930" customFormat="false" ht="15" hidden="false" customHeight="false" outlineLevel="0" collapsed="false">
      <c r="A1930" s="4" t="s">
        <v>4829</v>
      </c>
      <c r="B1930" s="4" t="s">
        <v>4830</v>
      </c>
      <c r="C1930" s="4" t="s">
        <v>4650</v>
      </c>
      <c r="D1930" s="4" t="s">
        <v>4651</v>
      </c>
      <c r="E1930" s="4" t="s">
        <v>306</v>
      </c>
      <c r="F1930" s="4" t="s">
        <v>736</v>
      </c>
      <c r="G1930" s="4" t="s">
        <v>326</v>
      </c>
      <c r="H1930" s="4" t="s">
        <v>3625</v>
      </c>
      <c r="I1930" s="4" t="s">
        <v>4831</v>
      </c>
      <c r="J1930" s="4" t="s">
        <v>40</v>
      </c>
      <c r="K1930" s="4" t="s">
        <v>4075</v>
      </c>
      <c r="L1930" s="4" t="s">
        <v>736</v>
      </c>
      <c r="M1930" s="4" t="s">
        <v>737</v>
      </c>
      <c r="N1930" s="4" t="s">
        <v>44</v>
      </c>
      <c r="O1930" s="4" t="s">
        <v>4076</v>
      </c>
      <c r="P1930" s="4" t="s">
        <v>3629</v>
      </c>
    </row>
    <row r="1931" customFormat="false" ht="15" hidden="false" customHeight="false" outlineLevel="0" collapsed="false">
      <c r="A1931" s="4" t="s">
        <v>4832</v>
      </c>
      <c r="B1931" s="4" t="s">
        <v>4830</v>
      </c>
      <c r="C1931" s="4" t="s">
        <v>4650</v>
      </c>
      <c r="D1931" s="4" t="s">
        <v>4651</v>
      </c>
      <c r="E1931" s="4" t="s">
        <v>306</v>
      </c>
      <c r="F1931" s="4" t="s">
        <v>3710</v>
      </c>
      <c r="G1931" s="4" t="s">
        <v>59</v>
      </c>
      <c r="H1931" s="4" t="s">
        <v>3625</v>
      </c>
      <c r="I1931" s="4" t="s">
        <v>3998</v>
      </c>
      <c r="J1931" s="4" t="s">
        <v>68</v>
      </c>
      <c r="K1931" s="4" t="s">
        <v>4186</v>
      </c>
      <c r="L1931" s="4" t="s">
        <v>736</v>
      </c>
      <c r="M1931" s="4" t="s">
        <v>737</v>
      </c>
      <c r="N1931" s="4" t="s">
        <v>94</v>
      </c>
      <c r="O1931" s="4" t="s">
        <v>4187</v>
      </c>
      <c r="P1931" s="4" t="s">
        <v>3629</v>
      </c>
    </row>
    <row r="1932" customFormat="false" ht="15" hidden="false" customHeight="false" outlineLevel="0" collapsed="false">
      <c r="A1932" s="4" t="s">
        <v>4833</v>
      </c>
      <c r="B1932" s="4" t="s">
        <v>4830</v>
      </c>
      <c r="C1932" s="4" t="s">
        <v>4650</v>
      </c>
      <c r="D1932" s="4" t="s">
        <v>4651</v>
      </c>
      <c r="E1932" s="4" t="s">
        <v>306</v>
      </c>
      <c r="F1932" s="4" t="s">
        <v>736</v>
      </c>
      <c r="G1932" s="4" t="s">
        <v>38</v>
      </c>
      <c r="H1932" s="4" t="s">
        <v>3625</v>
      </c>
      <c r="I1932" s="4" t="s">
        <v>4834</v>
      </c>
      <c r="J1932" s="4" t="s">
        <v>149</v>
      </c>
      <c r="K1932" s="4" t="s">
        <v>4147</v>
      </c>
      <c r="L1932" s="4" t="s">
        <v>3635</v>
      </c>
      <c r="M1932" s="4" t="s">
        <v>737</v>
      </c>
      <c r="N1932" s="4" t="s">
        <v>44</v>
      </c>
      <c r="O1932" s="4" t="s">
        <v>4148</v>
      </c>
      <c r="P1932" s="4" t="s">
        <v>3629</v>
      </c>
    </row>
    <row r="1933" customFormat="false" ht="15" hidden="false" customHeight="false" outlineLevel="0" collapsed="false">
      <c r="A1933" s="4" t="s">
        <v>4835</v>
      </c>
      <c r="B1933" s="4" t="s">
        <v>4836</v>
      </c>
      <c r="C1933" s="4" t="s">
        <v>4650</v>
      </c>
      <c r="D1933" s="4" t="s">
        <v>4651</v>
      </c>
      <c r="E1933" s="4" t="s">
        <v>306</v>
      </c>
      <c r="F1933" s="4" t="s">
        <v>3406</v>
      </c>
      <c r="G1933" s="4" t="s">
        <v>38</v>
      </c>
      <c r="H1933" s="4" t="s">
        <v>3676</v>
      </c>
      <c r="I1933" s="4" t="s">
        <v>3868</v>
      </c>
      <c r="J1933" s="4" t="s">
        <v>40</v>
      </c>
      <c r="K1933" s="4" t="s">
        <v>4837</v>
      </c>
      <c r="L1933" s="4" t="s">
        <v>706</v>
      </c>
      <c r="M1933" s="4" t="s">
        <v>412</v>
      </c>
      <c r="N1933" s="4" t="s">
        <v>185</v>
      </c>
      <c r="O1933" s="4" t="s">
        <v>4838</v>
      </c>
      <c r="P1933" s="4" t="s">
        <v>3629</v>
      </c>
    </row>
    <row r="1934" customFormat="false" ht="15" hidden="false" customHeight="false" outlineLevel="0" collapsed="false">
      <c r="A1934" s="4" t="s">
        <v>4839</v>
      </c>
      <c r="B1934" s="4" t="s">
        <v>4836</v>
      </c>
      <c r="C1934" s="4" t="s">
        <v>4836</v>
      </c>
      <c r="D1934" s="4" t="s">
        <v>3624</v>
      </c>
      <c r="E1934" s="4" t="s">
        <v>57</v>
      </c>
      <c r="F1934" s="4" t="s">
        <v>1584</v>
      </c>
      <c r="G1934" s="4" t="s">
        <v>38</v>
      </c>
      <c r="H1934" s="4" t="s">
        <v>3625</v>
      </c>
      <c r="I1934" s="4" t="s">
        <v>3651</v>
      </c>
      <c r="J1934" s="4" t="s">
        <v>68</v>
      </c>
      <c r="K1934" s="4" t="s">
        <v>4428</v>
      </c>
      <c r="L1934" s="4" t="s">
        <v>736</v>
      </c>
      <c r="M1934" s="4" t="s">
        <v>737</v>
      </c>
      <c r="N1934" s="4" t="s">
        <v>94</v>
      </c>
      <c r="O1934" s="4" t="s">
        <v>4429</v>
      </c>
      <c r="P1934" s="4" t="s">
        <v>3629</v>
      </c>
    </row>
    <row r="1935" customFormat="false" ht="15" hidden="false" customHeight="false" outlineLevel="0" collapsed="false">
      <c r="A1935" s="4" t="s">
        <v>4840</v>
      </c>
      <c r="B1935" s="4" t="s">
        <v>4841</v>
      </c>
      <c r="C1935" s="4" t="s">
        <v>4842</v>
      </c>
      <c r="D1935" s="4" t="s">
        <v>3624</v>
      </c>
      <c r="E1935" s="4" t="s">
        <v>36</v>
      </c>
      <c r="F1935" s="4" t="s">
        <v>736</v>
      </c>
      <c r="G1935" s="4" t="s">
        <v>38</v>
      </c>
      <c r="H1935" s="4" t="s">
        <v>3676</v>
      </c>
      <c r="I1935" s="4" t="s">
        <v>3669</v>
      </c>
      <c r="J1935" s="4" t="s">
        <v>81</v>
      </c>
      <c r="K1935" s="4" t="s">
        <v>3702</v>
      </c>
      <c r="L1935" s="4" t="s">
        <v>736</v>
      </c>
      <c r="M1935" s="4" t="s">
        <v>737</v>
      </c>
      <c r="N1935" s="4" t="s">
        <v>44</v>
      </c>
      <c r="O1935" s="4" t="s">
        <v>3703</v>
      </c>
      <c r="P1935" s="4" t="s">
        <v>3629</v>
      </c>
    </row>
    <row r="1936" customFormat="false" ht="15" hidden="false" customHeight="false" outlineLevel="0" collapsed="false">
      <c r="A1936" s="4" t="s">
        <v>4843</v>
      </c>
      <c r="B1936" s="4" t="s">
        <v>4842</v>
      </c>
      <c r="C1936" s="4" t="s">
        <v>4842</v>
      </c>
      <c r="D1936" s="4" t="s">
        <v>3624</v>
      </c>
      <c r="E1936" s="4" t="s">
        <v>36</v>
      </c>
      <c r="F1936" s="4" t="s">
        <v>3710</v>
      </c>
      <c r="G1936" s="4" t="s">
        <v>38</v>
      </c>
      <c r="H1936" s="4" t="s">
        <v>3625</v>
      </c>
      <c r="I1936" s="4" t="s">
        <v>3716</v>
      </c>
      <c r="J1936" s="4" t="s">
        <v>40</v>
      </c>
      <c r="K1936" s="4" t="s">
        <v>4844</v>
      </c>
      <c r="L1936" s="4" t="s">
        <v>3406</v>
      </c>
      <c r="M1936" s="4" t="s">
        <v>737</v>
      </c>
      <c r="N1936" s="4" t="s">
        <v>44</v>
      </c>
      <c r="O1936" s="4" t="s">
        <v>4845</v>
      </c>
      <c r="P1936" s="4" t="s">
        <v>3629</v>
      </c>
    </row>
    <row r="1937" customFormat="false" ht="15" hidden="false" customHeight="false" outlineLevel="0" collapsed="false">
      <c r="A1937" s="4" t="s">
        <v>4846</v>
      </c>
      <c r="B1937" s="4" t="s">
        <v>4847</v>
      </c>
      <c r="C1937" s="4" t="s">
        <v>4650</v>
      </c>
      <c r="D1937" s="4" t="s">
        <v>4651</v>
      </c>
      <c r="E1937" s="4" t="s">
        <v>345</v>
      </c>
      <c r="F1937" s="4" t="s">
        <v>736</v>
      </c>
      <c r="G1937" s="4" t="s">
        <v>59</v>
      </c>
      <c r="H1937" s="4" t="s">
        <v>3676</v>
      </c>
      <c r="I1937" s="4" t="s">
        <v>4722</v>
      </c>
      <c r="J1937" s="4" t="s">
        <v>68</v>
      </c>
      <c r="K1937" s="4" t="s">
        <v>4690</v>
      </c>
      <c r="L1937" s="4" t="s">
        <v>736</v>
      </c>
      <c r="M1937" s="4" t="s">
        <v>737</v>
      </c>
      <c r="N1937" s="4" t="s">
        <v>44</v>
      </c>
      <c r="O1937" s="4" t="s">
        <v>4691</v>
      </c>
      <c r="P1937" s="4" t="s">
        <v>3629</v>
      </c>
    </row>
    <row r="1938" customFormat="false" ht="15" hidden="false" customHeight="false" outlineLevel="0" collapsed="false">
      <c r="A1938" s="4" t="s">
        <v>4848</v>
      </c>
      <c r="B1938" s="4" t="s">
        <v>4849</v>
      </c>
      <c r="C1938" s="4" t="s">
        <v>4650</v>
      </c>
      <c r="D1938" s="4" t="s">
        <v>4651</v>
      </c>
      <c r="E1938" s="4" t="s">
        <v>306</v>
      </c>
      <c r="F1938" s="4" t="s">
        <v>1584</v>
      </c>
      <c r="G1938" s="4" t="s">
        <v>38</v>
      </c>
      <c r="H1938" s="4" t="s">
        <v>3632</v>
      </c>
      <c r="I1938" s="4" t="s">
        <v>4850</v>
      </c>
      <c r="J1938" s="4" t="s">
        <v>40</v>
      </c>
      <c r="K1938" s="4" t="s">
        <v>4138</v>
      </c>
      <c r="L1938" s="4" t="s">
        <v>736</v>
      </c>
      <c r="M1938" s="4" t="s">
        <v>737</v>
      </c>
      <c r="N1938" s="4" t="s">
        <v>44</v>
      </c>
      <c r="O1938" s="4" t="s">
        <v>4139</v>
      </c>
      <c r="P1938" s="4" t="s">
        <v>3629</v>
      </c>
    </row>
    <row r="1939" customFormat="false" ht="15" hidden="false" customHeight="false" outlineLevel="0" collapsed="false">
      <c r="A1939" s="4" t="s">
        <v>4851</v>
      </c>
      <c r="B1939" s="4" t="s">
        <v>4849</v>
      </c>
      <c r="C1939" s="4" t="s">
        <v>4849</v>
      </c>
      <c r="D1939" s="4" t="s">
        <v>3624</v>
      </c>
      <c r="E1939" s="4" t="s">
        <v>36</v>
      </c>
      <c r="F1939" s="4" t="s">
        <v>736</v>
      </c>
      <c r="G1939" s="4" t="s">
        <v>59</v>
      </c>
      <c r="H1939" s="4" t="s">
        <v>3706</v>
      </c>
      <c r="I1939" s="4" t="s">
        <v>3657</v>
      </c>
      <c r="J1939" s="4" t="s">
        <v>149</v>
      </c>
      <c r="K1939" s="4" t="s">
        <v>3829</v>
      </c>
      <c r="L1939" s="4" t="s">
        <v>736</v>
      </c>
      <c r="M1939" s="4" t="s">
        <v>737</v>
      </c>
      <c r="N1939" s="4" t="s">
        <v>44</v>
      </c>
      <c r="O1939" s="4" t="s">
        <v>3830</v>
      </c>
      <c r="P1939" s="4" t="s">
        <v>3629</v>
      </c>
    </row>
    <row r="1940" customFormat="false" ht="15" hidden="false" customHeight="false" outlineLevel="0" collapsed="false">
      <c r="A1940" s="4" t="s">
        <v>4852</v>
      </c>
      <c r="B1940" s="4" t="s">
        <v>4853</v>
      </c>
      <c r="C1940" s="4" t="s">
        <v>4853</v>
      </c>
      <c r="D1940" s="4" t="s">
        <v>3624</v>
      </c>
      <c r="E1940" s="4" t="s">
        <v>36</v>
      </c>
      <c r="F1940" s="4" t="s">
        <v>3406</v>
      </c>
      <c r="G1940" s="4" t="s">
        <v>38</v>
      </c>
      <c r="H1940" s="4" t="s">
        <v>3625</v>
      </c>
      <c r="I1940" s="4" t="s">
        <v>3716</v>
      </c>
      <c r="J1940" s="4" t="s">
        <v>149</v>
      </c>
      <c r="K1940" s="4" t="s">
        <v>3772</v>
      </c>
      <c r="L1940" s="4" t="s">
        <v>736</v>
      </c>
      <c r="M1940" s="4" t="s">
        <v>737</v>
      </c>
      <c r="N1940" s="4" t="s">
        <v>44</v>
      </c>
      <c r="O1940" s="4" t="s">
        <v>3773</v>
      </c>
      <c r="P1940" s="4" t="s">
        <v>3629</v>
      </c>
    </row>
    <row r="1941" customFormat="false" ht="15" hidden="false" customHeight="false" outlineLevel="0" collapsed="false">
      <c r="A1941" s="4" t="s">
        <v>4854</v>
      </c>
      <c r="B1941" s="4" t="s">
        <v>4855</v>
      </c>
      <c r="C1941" s="4" t="s">
        <v>4650</v>
      </c>
      <c r="D1941" s="4" t="s">
        <v>4651</v>
      </c>
      <c r="E1941" s="4" t="s">
        <v>306</v>
      </c>
      <c r="F1941" s="4" t="s">
        <v>3406</v>
      </c>
      <c r="G1941" s="4" t="s">
        <v>59</v>
      </c>
      <c r="H1941" s="4" t="s">
        <v>3625</v>
      </c>
      <c r="I1941" s="4" t="s">
        <v>4856</v>
      </c>
      <c r="J1941" s="4" t="s">
        <v>40</v>
      </c>
      <c r="K1941" s="4" t="s">
        <v>4857</v>
      </c>
      <c r="L1941" s="4" t="s">
        <v>862</v>
      </c>
      <c r="M1941" s="4" t="s">
        <v>356</v>
      </c>
      <c r="N1941" s="4" t="s">
        <v>863</v>
      </c>
      <c r="O1941" s="4"/>
      <c r="P1941" s="4" t="s">
        <v>3629</v>
      </c>
    </row>
    <row r="1942" customFormat="false" ht="15" hidden="false" customHeight="false" outlineLevel="0" collapsed="false">
      <c r="A1942" s="4" t="s">
        <v>4825</v>
      </c>
      <c r="B1942" s="4" t="s">
        <v>4820</v>
      </c>
      <c r="C1942" s="4" t="s">
        <v>4650</v>
      </c>
      <c r="D1942" s="4" t="s">
        <v>4651</v>
      </c>
      <c r="E1942" s="4" t="s">
        <v>306</v>
      </c>
      <c r="F1942" s="4" t="s">
        <v>736</v>
      </c>
      <c r="G1942" s="4" t="s">
        <v>326</v>
      </c>
      <c r="H1942" s="4" t="s">
        <v>3625</v>
      </c>
      <c r="I1942" s="4" t="s">
        <v>4826</v>
      </c>
      <c r="J1942" s="4" t="s">
        <v>68</v>
      </c>
      <c r="K1942" s="4" t="s">
        <v>4827</v>
      </c>
      <c r="L1942" s="4" t="s">
        <v>872</v>
      </c>
      <c r="M1942" s="4" t="s">
        <v>334</v>
      </c>
      <c r="N1942" s="4" t="s">
        <v>44</v>
      </c>
      <c r="O1942" s="4" t="s">
        <v>4828</v>
      </c>
      <c r="P1942" s="4" t="s">
        <v>3629</v>
      </c>
    </row>
    <row r="1943" customFormat="false" ht="15" hidden="false" customHeight="false" outlineLevel="0" collapsed="false">
      <c r="A1943" s="4" t="s">
        <v>4858</v>
      </c>
      <c r="B1943" s="4" t="s">
        <v>4859</v>
      </c>
      <c r="C1943" s="4" t="s">
        <v>4650</v>
      </c>
      <c r="D1943" s="4" t="s">
        <v>4651</v>
      </c>
      <c r="E1943" s="4" t="s">
        <v>306</v>
      </c>
      <c r="F1943" s="4" t="s">
        <v>3635</v>
      </c>
      <c r="G1943" s="4" t="s">
        <v>38</v>
      </c>
      <c r="H1943" s="4" t="s">
        <v>3625</v>
      </c>
      <c r="I1943" s="4" t="s">
        <v>4860</v>
      </c>
      <c r="J1943" s="4" t="s">
        <v>68</v>
      </c>
      <c r="K1943" s="4" t="s">
        <v>3769</v>
      </c>
      <c r="L1943" s="4" t="s">
        <v>736</v>
      </c>
      <c r="M1943" s="4" t="s">
        <v>737</v>
      </c>
      <c r="N1943" s="4" t="s">
        <v>185</v>
      </c>
      <c r="O1943" s="4" t="s">
        <v>3770</v>
      </c>
      <c r="P1943" s="4" t="s">
        <v>3629</v>
      </c>
    </row>
    <row r="1944" customFormat="false" ht="15" hidden="false" customHeight="false" outlineLevel="0" collapsed="false">
      <c r="A1944" s="4" t="s">
        <v>4861</v>
      </c>
      <c r="B1944" s="4" t="s">
        <v>4862</v>
      </c>
      <c r="C1944" s="4" t="s">
        <v>4862</v>
      </c>
      <c r="D1944" s="4" t="s">
        <v>3624</v>
      </c>
      <c r="E1944" s="4" t="s">
        <v>36</v>
      </c>
      <c r="F1944" s="4" t="s">
        <v>736</v>
      </c>
      <c r="G1944" s="4" t="s">
        <v>38</v>
      </c>
      <c r="H1944" s="4" t="s">
        <v>3676</v>
      </c>
      <c r="I1944" s="4" t="s">
        <v>3716</v>
      </c>
      <c r="J1944" s="4" t="s">
        <v>68</v>
      </c>
      <c r="K1944" s="4" t="s">
        <v>4288</v>
      </c>
      <c r="L1944" s="4" t="s">
        <v>736</v>
      </c>
      <c r="M1944" s="4" t="s">
        <v>737</v>
      </c>
      <c r="N1944" s="4" t="s">
        <v>52</v>
      </c>
      <c r="O1944" s="4" t="s">
        <v>4289</v>
      </c>
      <c r="P1944" s="4" t="s">
        <v>3629</v>
      </c>
    </row>
    <row r="1945" customFormat="false" ht="15" hidden="false" customHeight="false" outlineLevel="0" collapsed="false">
      <c r="A1945" s="4" t="s">
        <v>4863</v>
      </c>
      <c r="B1945" s="4" t="s">
        <v>4864</v>
      </c>
      <c r="C1945" s="4" t="s">
        <v>4650</v>
      </c>
      <c r="D1945" s="4" t="s">
        <v>4651</v>
      </c>
      <c r="E1945" s="4" t="s">
        <v>306</v>
      </c>
      <c r="F1945" s="4" t="s">
        <v>736</v>
      </c>
      <c r="G1945" s="4" t="s">
        <v>38</v>
      </c>
      <c r="H1945" s="4" t="s">
        <v>3625</v>
      </c>
      <c r="I1945" s="4" t="s">
        <v>4865</v>
      </c>
      <c r="J1945" s="4" t="s">
        <v>68</v>
      </c>
      <c r="K1945" s="4" t="s">
        <v>4866</v>
      </c>
      <c r="L1945" s="4" t="s">
        <v>524</v>
      </c>
      <c r="M1945" s="4" t="s">
        <v>377</v>
      </c>
      <c r="N1945" s="4" t="s">
        <v>44</v>
      </c>
      <c r="O1945" s="4" t="s">
        <v>4867</v>
      </c>
      <c r="P1945" s="4" t="s">
        <v>3629</v>
      </c>
    </row>
    <row r="1946" customFormat="false" ht="15" hidden="false" customHeight="false" outlineLevel="0" collapsed="false">
      <c r="A1946" s="4" t="s">
        <v>4868</v>
      </c>
      <c r="B1946" s="4" t="s">
        <v>4864</v>
      </c>
      <c r="C1946" s="4" t="s">
        <v>4869</v>
      </c>
      <c r="D1946" s="4" t="s">
        <v>3624</v>
      </c>
      <c r="E1946" s="4" t="s">
        <v>57</v>
      </c>
      <c r="F1946" s="4" t="s">
        <v>3635</v>
      </c>
      <c r="G1946" s="4" t="s">
        <v>38</v>
      </c>
      <c r="H1946" s="4" t="s">
        <v>3625</v>
      </c>
      <c r="I1946" s="4" t="s">
        <v>3651</v>
      </c>
      <c r="J1946" s="4" t="s">
        <v>40</v>
      </c>
      <c r="K1946" s="4" t="s">
        <v>3683</v>
      </c>
      <c r="L1946" s="4" t="s">
        <v>736</v>
      </c>
      <c r="M1946" s="4" t="s">
        <v>1683</v>
      </c>
      <c r="N1946" s="4" t="s">
        <v>44</v>
      </c>
      <c r="O1946" s="4" t="s">
        <v>3684</v>
      </c>
      <c r="P1946" s="4" t="s">
        <v>3629</v>
      </c>
    </row>
    <row r="1947" customFormat="false" ht="15" hidden="false" customHeight="false" outlineLevel="0" collapsed="false">
      <c r="A1947" s="4" t="s">
        <v>4870</v>
      </c>
      <c r="B1947" s="4" t="s">
        <v>4871</v>
      </c>
      <c r="C1947" s="4" t="s">
        <v>4650</v>
      </c>
      <c r="D1947" s="4" t="s">
        <v>4651</v>
      </c>
      <c r="E1947" s="4" t="s">
        <v>311</v>
      </c>
      <c r="F1947" s="4" t="s">
        <v>736</v>
      </c>
      <c r="G1947" s="4" t="s">
        <v>38</v>
      </c>
      <c r="H1947" s="4" t="s">
        <v>3676</v>
      </c>
      <c r="I1947" s="4" t="s">
        <v>4261</v>
      </c>
      <c r="J1947" s="4" t="s">
        <v>68</v>
      </c>
      <c r="K1947" s="4" t="s">
        <v>3677</v>
      </c>
      <c r="L1947" s="4" t="s">
        <v>736</v>
      </c>
      <c r="M1947" s="4" t="s">
        <v>737</v>
      </c>
      <c r="N1947" s="4" t="s">
        <v>185</v>
      </c>
      <c r="O1947" s="4" t="s">
        <v>3678</v>
      </c>
      <c r="P1947" s="4" t="s">
        <v>3629</v>
      </c>
    </row>
    <row r="1948" customFormat="false" ht="15" hidden="false" customHeight="false" outlineLevel="0" collapsed="false">
      <c r="A1948" s="4" t="s">
        <v>4872</v>
      </c>
      <c r="B1948" s="4" t="s">
        <v>4871</v>
      </c>
      <c r="C1948" s="4" t="s">
        <v>4871</v>
      </c>
      <c r="D1948" s="4" t="s">
        <v>3624</v>
      </c>
      <c r="E1948" s="4" t="s">
        <v>57</v>
      </c>
      <c r="F1948" s="4" t="s">
        <v>1584</v>
      </c>
      <c r="G1948" s="4" t="s">
        <v>38</v>
      </c>
      <c r="H1948" s="4" t="s">
        <v>3676</v>
      </c>
      <c r="I1948" s="4" t="s">
        <v>3645</v>
      </c>
      <c r="J1948" s="4" t="s">
        <v>40</v>
      </c>
      <c r="K1948" s="4" t="s">
        <v>3838</v>
      </c>
      <c r="L1948" s="4" t="s">
        <v>1584</v>
      </c>
      <c r="M1948" s="4" t="s">
        <v>737</v>
      </c>
      <c r="N1948" s="4" t="s">
        <v>185</v>
      </c>
      <c r="O1948" s="4" t="s">
        <v>3839</v>
      </c>
      <c r="P1948" s="4" t="s">
        <v>3629</v>
      </c>
    </row>
    <row r="1949" customFormat="false" ht="15" hidden="false" customHeight="false" outlineLevel="0" collapsed="false">
      <c r="A1949" s="4" t="s">
        <v>4873</v>
      </c>
      <c r="B1949" s="4" t="s">
        <v>4874</v>
      </c>
      <c r="C1949" s="4" t="s">
        <v>4650</v>
      </c>
      <c r="D1949" s="4" t="s">
        <v>4651</v>
      </c>
      <c r="E1949" s="4" t="s">
        <v>306</v>
      </c>
      <c r="F1949" s="4" t="s">
        <v>736</v>
      </c>
      <c r="G1949" s="4" t="s">
        <v>38</v>
      </c>
      <c r="H1949" s="4" t="s">
        <v>3632</v>
      </c>
      <c r="I1949" s="4" t="s">
        <v>4875</v>
      </c>
      <c r="J1949" s="4" t="s">
        <v>40</v>
      </c>
      <c r="K1949" s="4" t="s">
        <v>1764</v>
      </c>
      <c r="L1949" s="4" t="s">
        <v>480</v>
      </c>
      <c r="M1949" s="4" t="s">
        <v>43</v>
      </c>
      <c r="N1949" s="4" t="s">
        <v>44</v>
      </c>
      <c r="O1949" s="4" t="s">
        <v>1765</v>
      </c>
      <c r="P1949" s="4" t="s">
        <v>3629</v>
      </c>
    </row>
    <row r="1950" customFormat="false" ht="15" hidden="false" customHeight="false" outlineLevel="0" collapsed="false">
      <c r="A1950" s="4" t="s">
        <v>4876</v>
      </c>
      <c r="B1950" s="4" t="s">
        <v>4874</v>
      </c>
      <c r="C1950" s="4" t="s">
        <v>4650</v>
      </c>
      <c r="D1950" s="4" t="s">
        <v>4651</v>
      </c>
      <c r="E1950" s="4" t="s">
        <v>311</v>
      </c>
      <c r="F1950" s="4" t="s">
        <v>736</v>
      </c>
      <c r="G1950" s="4" t="s">
        <v>326</v>
      </c>
      <c r="H1950" s="4" t="s">
        <v>3632</v>
      </c>
      <c r="I1950" s="4" t="s">
        <v>4850</v>
      </c>
      <c r="J1950" s="4" t="s">
        <v>68</v>
      </c>
      <c r="K1950" s="4" t="s">
        <v>4571</v>
      </c>
      <c r="L1950" s="4" t="s">
        <v>736</v>
      </c>
      <c r="M1950" s="4" t="s">
        <v>737</v>
      </c>
      <c r="N1950" s="4" t="s">
        <v>44</v>
      </c>
      <c r="O1950" s="4" t="s">
        <v>4572</v>
      </c>
      <c r="P1950" s="4" t="s">
        <v>3629</v>
      </c>
    </row>
    <row r="1951" customFormat="false" ht="15" hidden="false" customHeight="false" outlineLevel="0" collapsed="false">
      <c r="A1951" s="4" t="s">
        <v>4877</v>
      </c>
      <c r="B1951" s="4" t="s">
        <v>4878</v>
      </c>
      <c r="C1951" s="4" t="s">
        <v>4650</v>
      </c>
      <c r="D1951" s="4" t="s">
        <v>4651</v>
      </c>
      <c r="E1951" s="4" t="s">
        <v>306</v>
      </c>
      <c r="F1951" s="4" t="s">
        <v>3406</v>
      </c>
      <c r="G1951" s="4" t="s">
        <v>59</v>
      </c>
      <c r="H1951" s="4" t="s">
        <v>3676</v>
      </c>
      <c r="I1951" s="4" t="s">
        <v>4879</v>
      </c>
      <c r="J1951" s="4" t="s">
        <v>68</v>
      </c>
      <c r="K1951" s="4" t="s">
        <v>4717</v>
      </c>
      <c r="L1951" s="4" t="s">
        <v>736</v>
      </c>
      <c r="M1951" s="4" t="s">
        <v>737</v>
      </c>
      <c r="N1951" s="4" t="s">
        <v>44</v>
      </c>
      <c r="O1951" s="4" t="s">
        <v>4718</v>
      </c>
      <c r="P1951" s="4" t="s">
        <v>3629</v>
      </c>
    </row>
    <row r="1952" customFormat="false" ht="15" hidden="false" customHeight="false" outlineLevel="0" collapsed="false">
      <c r="A1952" s="4" t="s">
        <v>4880</v>
      </c>
      <c r="B1952" s="4" t="s">
        <v>4881</v>
      </c>
      <c r="C1952" s="4" t="s">
        <v>4650</v>
      </c>
      <c r="D1952" s="4" t="s">
        <v>4651</v>
      </c>
      <c r="E1952" s="4" t="s">
        <v>323</v>
      </c>
      <c r="F1952" s="4" t="s">
        <v>3710</v>
      </c>
      <c r="G1952" s="4" t="s">
        <v>326</v>
      </c>
      <c r="H1952" s="4" t="s">
        <v>3676</v>
      </c>
      <c r="I1952" s="4" t="s">
        <v>4388</v>
      </c>
      <c r="J1952" s="4" t="s">
        <v>81</v>
      </c>
      <c r="K1952" s="4" t="s">
        <v>4690</v>
      </c>
      <c r="L1952" s="4" t="s">
        <v>736</v>
      </c>
      <c r="M1952" s="4" t="s">
        <v>737</v>
      </c>
      <c r="N1952" s="4" t="s">
        <v>44</v>
      </c>
      <c r="O1952" s="4" t="s">
        <v>4691</v>
      </c>
      <c r="P1952" s="4" t="s">
        <v>3629</v>
      </c>
    </row>
    <row r="1953" customFormat="false" ht="15" hidden="false" customHeight="false" outlineLevel="0" collapsed="false">
      <c r="A1953" s="4" t="s">
        <v>4882</v>
      </c>
      <c r="B1953" s="4" t="s">
        <v>4883</v>
      </c>
      <c r="C1953" s="4" t="s">
        <v>4650</v>
      </c>
      <c r="D1953" s="4" t="s">
        <v>4651</v>
      </c>
      <c r="E1953" s="4" t="s">
        <v>306</v>
      </c>
      <c r="F1953" s="4" t="s">
        <v>3635</v>
      </c>
      <c r="G1953" s="4" t="s">
        <v>38</v>
      </c>
      <c r="H1953" s="4" t="s">
        <v>3625</v>
      </c>
      <c r="I1953" s="4" t="s">
        <v>3996</v>
      </c>
      <c r="J1953" s="4" t="s">
        <v>40</v>
      </c>
      <c r="K1953" s="4" t="s">
        <v>1852</v>
      </c>
      <c r="L1953" s="4" t="s">
        <v>596</v>
      </c>
      <c r="M1953" s="4" t="s">
        <v>695</v>
      </c>
      <c r="N1953" s="4" t="s">
        <v>44</v>
      </c>
      <c r="O1953" s="4" t="s">
        <v>1853</v>
      </c>
      <c r="P1953" s="4" t="s">
        <v>3629</v>
      </c>
    </row>
    <row r="1954" customFormat="false" ht="15" hidden="false" customHeight="false" outlineLevel="0" collapsed="false">
      <c r="A1954" s="4" t="s">
        <v>4884</v>
      </c>
      <c r="B1954" s="4" t="s">
        <v>4885</v>
      </c>
      <c r="C1954" s="4" t="s">
        <v>4650</v>
      </c>
      <c r="D1954" s="4" t="s">
        <v>4651</v>
      </c>
      <c r="E1954" s="4" t="s">
        <v>306</v>
      </c>
      <c r="F1954" s="4" t="s">
        <v>3635</v>
      </c>
      <c r="G1954" s="4" t="s">
        <v>38</v>
      </c>
      <c r="H1954" s="4" t="s">
        <v>3706</v>
      </c>
      <c r="I1954" s="4" t="s">
        <v>3898</v>
      </c>
      <c r="J1954" s="4" t="s">
        <v>40</v>
      </c>
      <c r="K1954" s="4" t="s">
        <v>4886</v>
      </c>
      <c r="L1954" s="4" t="s">
        <v>736</v>
      </c>
      <c r="M1954" s="4" t="s">
        <v>1683</v>
      </c>
      <c r="N1954" s="4" t="s">
        <v>44</v>
      </c>
      <c r="O1954" s="4" t="s">
        <v>4887</v>
      </c>
      <c r="P1954" s="4" t="s">
        <v>3629</v>
      </c>
    </row>
    <row r="1955" customFormat="false" ht="15" hidden="false" customHeight="false" outlineLevel="0" collapsed="false">
      <c r="A1955" s="4" t="s">
        <v>4851</v>
      </c>
      <c r="B1955" s="4" t="s">
        <v>4849</v>
      </c>
      <c r="C1955" s="4" t="s">
        <v>4849</v>
      </c>
      <c r="D1955" s="4" t="s">
        <v>3624</v>
      </c>
      <c r="E1955" s="4" t="s">
        <v>36</v>
      </c>
      <c r="F1955" s="4" t="s">
        <v>736</v>
      </c>
      <c r="G1955" s="4" t="s">
        <v>59</v>
      </c>
      <c r="H1955" s="4" t="s">
        <v>3706</v>
      </c>
      <c r="I1955" s="4" t="s">
        <v>3657</v>
      </c>
      <c r="J1955" s="4" t="s">
        <v>149</v>
      </c>
      <c r="K1955" s="4" t="s">
        <v>3829</v>
      </c>
      <c r="L1955" s="4" t="s">
        <v>736</v>
      </c>
      <c r="M1955" s="4" t="s">
        <v>737</v>
      </c>
      <c r="N1955" s="4" t="s">
        <v>44</v>
      </c>
      <c r="O1955" s="4" t="s">
        <v>3830</v>
      </c>
      <c r="P1955" s="4" t="s">
        <v>3629</v>
      </c>
    </row>
    <row r="1956" customFormat="false" ht="15" hidden="false" customHeight="false" outlineLevel="0" collapsed="false">
      <c r="A1956" s="4" t="s">
        <v>4888</v>
      </c>
      <c r="B1956" s="4" t="s">
        <v>4889</v>
      </c>
      <c r="C1956" s="4" t="s">
        <v>4650</v>
      </c>
      <c r="D1956" s="4" t="s">
        <v>4651</v>
      </c>
      <c r="E1956" s="4" t="s">
        <v>306</v>
      </c>
      <c r="F1956" s="4" t="s">
        <v>3406</v>
      </c>
      <c r="G1956" s="4" t="s">
        <v>38</v>
      </c>
      <c r="H1956" s="4" t="s">
        <v>3625</v>
      </c>
      <c r="I1956" s="4" t="s">
        <v>4711</v>
      </c>
      <c r="J1956" s="4" t="s">
        <v>40</v>
      </c>
      <c r="K1956" s="4" t="s">
        <v>4890</v>
      </c>
      <c r="L1956" s="4" t="s">
        <v>1002</v>
      </c>
      <c r="M1956" s="4" t="s">
        <v>412</v>
      </c>
      <c r="N1956" s="4" t="s">
        <v>185</v>
      </c>
      <c r="O1956" s="4" t="s">
        <v>4891</v>
      </c>
      <c r="P1956" s="4" t="s">
        <v>3629</v>
      </c>
    </row>
    <row r="1957" customFormat="false" ht="15" hidden="false" customHeight="false" outlineLevel="0" collapsed="false">
      <c r="A1957" s="4" t="s">
        <v>4892</v>
      </c>
      <c r="B1957" s="4" t="s">
        <v>4893</v>
      </c>
      <c r="C1957" s="4" t="s">
        <v>4650</v>
      </c>
      <c r="D1957" s="4" t="s">
        <v>4651</v>
      </c>
      <c r="E1957" s="4" t="s">
        <v>306</v>
      </c>
      <c r="F1957" s="4" t="s">
        <v>736</v>
      </c>
      <c r="G1957" s="4" t="s">
        <v>326</v>
      </c>
      <c r="H1957" s="4" t="s">
        <v>3676</v>
      </c>
      <c r="I1957" s="4" t="s">
        <v>4894</v>
      </c>
      <c r="J1957" s="4" t="s">
        <v>40</v>
      </c>
      <c r="K1957" s="4" t="s">
        <v>4186</v>
      </c>
      <c r="L1957" s="4" t="s">
        <v>3635</v>
      </c>
      <c r="M1957" s="4" t="s">
        <v>737</v>
      </c>
      <c r="N1957" s="4" t="s">
        <v>94</v>
      </c>
      <c r="O1957" s="4" t="s">
        <v>4187</v>
      </c>
      <c r="P1957" s="4" t="s">
        <v>3629</v>
      </c>
    </row>
    <row r="1958" customFormat="false" ht="15" hidden="false" customHeight="false" outlineLevel="0" collapsed="false">
      <c r="A1958" s="4" t="s">
        <v>4895</v>
      </c>
      <c r="B1958" s="4" t="s">
        <v>4896</v>
      </c>
      <c r="C1958" s="4" t="s">
        <v>4650</v>
      </c>
      <c r="D1958" s="4" t="s">
        <v>4651</v>
      </c>
      <c r="E1958" s="4" t="s">
        <v>306</v>
      </c>
      <c r="F1958" s="4" t="s">
        <v>3710</v>
      </c>
      <c r="G1958" s="4" t="s">
        <v>38</v>
      </c>
      <c r="H1958" s="4" t="s">
        <v>3676</v>
      </c>
      <c r="I1958" s="4" t="s">
        <v>4865</v>
      </c>
      <c r="J1958" s="4" t="s">
        <v>68</v>
      </c>
      <c r="K1958" s="4" t="s">
        <v>1912</v>
      </c>
      <c r="L1958" s="4" t="s">
        <v>736</v>
      </c>
      <c r="M1958" s="4" t="s">
        <v>737</v>
      </c>
      <c r="N1958" s="4" t="s">
        <v>94</v>
      </c>
      <c r="O1958" s="4" t="s">
        <v>1913</v>
      </c>
      <c r="P1958" s="4" t="s">
        <v>3629</v>
      </c>
    </row>
    <row r="1959" customFormat="false" ht="15" hidden="false" customHeight="false" outlineLevel="0" collapsed="false">
      <c r="A1959" s="4" t="s">
        <v>4897</v>
      </c>
      <c r="B1959" s="4" t="s">
        <v>4896</v>
      </c>
      <c r="C1959" s="4" t="s">
        <v>4650</v>
      </c>
      <c r="D1959" s="4" t="s">
        <v>4651</v>
      </c>
      <c r="E1959" s="4" t="s">
        <v>325</v>
      </c>
      <c r="F1959" s="4" t="s">
        <v>736</v>
      </c>
      <c r="G1959" s="4" t="s">
        <v>38</v>
      </c>
      <c r="H1959" s="4" t="s">
        <v>3676</v>
      </c>
      <c r="I1959" s="4" t="s">
        <v>4734</v>
      </c>
      <c r="J1959" s="4" t="s">
        <v>40</v>
      </c>
      <c r="K1959" s="4" t="s">
        <v>3688</v>
      </c>
      <c r="L1959" s="4" t="s">
        <v>736</v>
      </c>
      <c r="M1959" s="4" t="s">
        <v>737</v>
      </c>
      <c r="N1959" s="4" t="s">
        <v>44</v>
      </c>
      <c r="O1959" s="4" t="s">
        <v>3689</v>
      </c>
      <c r="P1959" s="4" t="s">
        <v>3629</v>
      </c>
    </row>
    <row r="1960" customFormat="false" ht="15" hidden="false" customHeight="false" outlineLevel="0" collapsed="false">
      <c r="A1960" s="4" t="s">
        <v>4898</v>
      </c>
      <c r="B1960" s="4" t="s">
        <v>4899</v>
      </c>
      <c r="C1960" s="4" t="s">
        <v>4650</v>
      </c>
      <c r="D1960" s="4" t="s">
        <v>4651</v>
      </c>
      <c r="E1960" s="4" t="s">
        <v>325</v>
      </c>
      <c r="F1960" s="4" t="s">
        <v>736</v>
      </c>
      <c r="G1960" s="4" t="s">
        <v>38</v>
      </c>
      <c r="H1960" s="4" t="s">
        <v>3706</v>
      </c>
      <c r="I1960" s="4" t="s">
        <v>4652</v>
      </c>
      <c r="J1960" s="4" t="s">
        <v>40</v>
      </c>
      <c r="K1960" s="4" t="s">
        <v>3769</v>
      </c>
      <c r="L1960" s="4" t="s">
        <v>3635</v>
      </c>
      <c r="M1960" s="4" t="s">
        <v>737</v>
      </c>
      <c r="N1960" s="4" t="s">
        <v>94</v>
      </c>
      <c r="O1960" s="4" t="s">
        <v>3770</v>
      </c>
      <c r="P1960" s="4" t="s">
        <v>3629</v>
      </c>
    </row>
    <row r="1961" customFormat="false" ht="15" hidden="false" customHeight="false" outlineLevel="0" collapsed="false">
      <c r="A1961" s="4" t="s">
        <v>4900</v>
      </c>
      <c r="B1961" s="4" t="s">
        <v>4899</v>
      </c>
      <c r="C1961" s="4" t="s">
        <v>4650</v>
      </c>
      <c r="D1961" s="4" t="s">
        <v>4651</v>
      </c>
      <c r="E1961" s="4" t="s">
        <v>306</v>
      </c>
      <c r="F1961" s="4" t="s">
        <v>736</v>
      </c>
      <c r="G1961" s="4" t="s">
        <v>326</v>
      </c>
      <c r="H1961" s="4" t="s">
        <v>3632</v>
      </c>
      <c r="I1961" s="4" t="s">
        <v>4901</v>
      </c>
      <c r="J1961" s="4" t="s">
        <v>68</v>
      </c>
      <c r="K1961" s="4" t="s">
        <v>4902</v>
      </c>
      <c r="L1961" s="4" t="s">
        <v>988</v>
      </c>
      <c r="M1961" s="4" t="s">
        <v>737</v>
      </c>
      <c r="N1961" s="4" t="s">
        <v>44</v>
      </c>
      <c r="O1961" s="4" t="s">
        <v>4903</v>
      </c>
      <c r="P1961" s="4" t="s">
        <v>3629</v>
      </c>
    </row>
    <row r="1962" customFormat="false" ht="15" hidden="false" customHeight="false" outlineLevel="0" collapsed="false">
      <c r="A1962" s="4" t="s">
        <v>4904</v>
      </c>
      <c r="B1962" s="4" t="s">
        <v>4899</v>
      </c>
      <c r="C1962" s="4" t="s">
        <v>4899</v>
      </c>
      <c r="D1962" s="4" t="s">
        <v>3624</v>
      </c>
      <c r="E1962" s="4" t="s">
        <v>89</v>
      </c>
      <c r="F1962" s="4" t="s">
        <v>736</v>
      </c>
      <c r="G1962" s="4" t="s">
        <v>59</v>
      </c>
      <c r="H1962" s="4" t="s">
        <v>3625</v>
      </c>
      <c r="I1962" s="4" t="s">
        <v>3633</v>
      </c>
      <c r="J1962" s="4" t="s">
        <v>40</v>
      </c>
      <c r="K1962" s="4" t="s">
        <v>1035</v>
      </c>
      <c r="L1962" s="4" t="s">
        <v>736</v>
      </c>
      <c r="M1962" s="4" t="s">
        <v>737</v>
      </c>
      <c r="N1962" s="4" t="s">
        <v>44</v>
      </c>
      <c r="O1962" s="4" t="s">
        <v>1036</v>
      </c>
      <c r="P1962" s="4" t="s">
        <v>3629</v>
      </c>
    </row>
    <row r="1963" customFormat="false" ht="15" hidden="false" customHeight="false" outlineLevel="0" collapsed="false">
      <c r="A1963" s="4" t="s">
        <v>4905</v>
      </c>
      <c r="B1963" s="4" t="s">
        <v>4906</v>
      </c>
      <c r="C1963" s="4" t="s">
        <v>4650</v>
      </c>
      <c r="D1963" s="4" t="s">
        <v>4651</v>
      </c>
      <c r="E1963" s="4" t="s">
        <v>306</v>
      </c>
      <c r="F1963" s="4" t="s">
        <v>736</v>
      </c>
      <c r="G1963" s="4" t="s">
        <v>38</v>
      </c>
      <c r="H1963" s="4" t="s">
        <v>3632</v>
      </c>
      <c r="I1963" s="4" t="s">
        <v>4652</v>
      </c>
      <c r="J1963" s="4" t="s">
        <v>68</v>
      </c>
      <c r="K1963" s="4" t="s">
        <v>4907</v>
      </c>
      <c r="L1963" s="4" t="s">
        <v>837</v>
      </c>
      <c r="M1963" s="4" t="s">
        <v>838</v>
      </c>
      <c r="N1963" s="4" t="s">
        <v>44</v>
      </c>
      <c r="O1963" s="4" t="s">
        <v>4908</v>
      </c>
      <c r="P1963" s="4" t="s">
        <v>3629</v>
      </c>
    </row>
    <row r="1964" customFormat="false" ht="15" hidden="false" customHeight="false" outlineLevel="0" collapsed="false">
      <c r="A1964" s="4" t="s">
        <v>4909</v>
      </c>
      <c r="B1964" s="4" t="s">
        <v>4906</v>
      </c>
      <c r="C1964" s="4" t="s">
        <v>4650</v>
      </c>
      <c r="D1964" s="4" t="s">
        <v>4651</v>
      </c>
      <c r="E1964" s="4" t="s">
        <v>306</v>
      </c>
      <c r="F1964" s="4" t="s">
        <v>736</v>
      </c>
      <c r="G1964" s="4" t="s">
        <v>59</v>
      </c>
      <c r="H1964" s="4" t="s">
        <v>3625</v>
      </c>
      <c r="I1964" s="4" t="s">
        <v>4667</v>
      </c>
      <c r="J1964" s="4" t="s">
        <v>149</v>
      </c>
      <c r="K1964" s="4" t="s">
        <v>3683</v>
      </c>
      <c r="L1964" s="4" t="s">
        <v>3406</v>
      </c>
      <c r="M1964" s="4" t="s">
        <v>737</v>
      </c>
      <c r="N1964" s="4" t="s">
        <v>44</v>
      </c>
      <c r="O1964" s="4" t="s">
        <v>3684</v>
      </c>
      <c r="P1964" s="4" t="s">
        <v>3629</v>
      </c>
    </row>
    <row r="1965" customFormat="false" ht="15" hidden="false" customHeight="false" outlineLevel="0" collapsed="false">
      <c r="A1965" s="4" t="s">
        <v>4910</v>
      </c>
      <c r="B1965" s="4" t="s">
        <v>4906</v>
      </c>
      <c r="C1965" s="4" t="s">
        <v>4650</v>
      </c>
      <c r="D1965" s="4" t="s">
        <v>4651</v>
      </c>
      <c r="E1965" s="4" t="s">
        <v>306</v>
      </c>
      <c r="F1965" s="4" t="s">
        <v>736</v>
      </c>
      <c r="G1965" s="4" t="s">
        <v>38</v>
      </c>
      <c r="H1965" s="4" t="s">
        <v>3625</v>
      </c>
      <c r="I1965" s="4" t="s">
        <v>4834</v>
      </c>
      <c r="J1965" s="4" t="s">
        <v>149</v>
      </c>
      <c r="K1965" s="4" t="s">
        <v>4330</v>
      </c>
      <c r="L1965" s="4" t="s">
        <v>3406</v>
      </c>
      <c r="M1965" s="4" t="s">
        <v>737</v>
      </c>
      <c r="N1965" s="4" t="s">
        <v>44</v>
      </c>
      <c r="O1965" s="4" t="s">
        <v>4331</v>
      </c>
      <c r="P1965" s="4" t="s">
        <v>3629</v>
      </c>
    </row>
    <row r="1966" customFormat="false" ht="15" hidden="false" customHeight="false" outlineLevel="0" collapsed="false">
      <c r="A1966" s="4" t="s">
        <v>4911</v>
      </c>
      <c r="B1966" s="4" t="s">
        <v>4906</v>
      </c>
      <c r="C1966" s="4" t="s">
        <v>4912</v>
      </c>
      <c r="D1966" s="4" t="s">
        <v>3624</v>
      </c>
      <c r="E1966" s="4" t="s">
        <v>66</v>
      </c>
      <c r="F1966" s="4" t="s">
        <v>3635</v>
      </c>
      <c r="G1966" s="4" t="s">
        <v>38</v>
      </c>
      <c r="H1966" s="4" t="s">
        <v>3625</v>
      </c>
      <c r="I1966" s="4" t="s">
        <v>3651</v>
      </c>
      <c r="J1966" s="4" t="s">
        <v>68</v>
      </c>
      <c r="K1966" s="4" t="s">
        <v>4517</v>
      </c>
      <c r="L1966" s="4" t="s">
        <v>736</v>
      </c>
      <c r="M1966" s="4" t="s">
        <v>737</v>
      </c>
      <c r="N1966" s="4" t="s">
        <v>44</v>
      </c>
      <c r="O1966" s="4" t="s">
        <v>4518</v>
      </c>
      <c r="P1966" s="4" t="s">
        <v>3629</v>
      </c>
    </row>
    <row r="1967" customFormat="false" ht="15" hidden="false" customHeight="false" outlineLevel="0" collapsed="false">
      <c r="A1967" s="4" t="s">
        <v>4913</v>
      </c>
      <c r="B1967" s="4" t="s">
        <v>4912</v>
      </c>
      <c r="C1967" s="4" t="s">
        <v>4650</v>
      </c>
      <c r="D1967" s="4" t="s">
        <v>4651</v>
      </c>
      <c r="E1967" s="4" t="s">
        <v>325</v>
      </c>
      <c r="F1967" s="4" t="s">
        <v>736</v>
      </c>
      <c r="G1967" s="4" t="s">
        <v>38</v>
      </c>
      <c r="H1967" s="4" t="s">
        <v>3632</v>
      </c>
      <c r="I1967" s="4" t="s">
        <v>4914</v>
      </c>
      <c r="J1967" s="4" t="s">
        <v>81</v>
      </c>
      <c r="K1967" s="4" t="s">
        <v>4915</v>
      </c>
      <c r="L1967" s="4" t="s">
        <v>411</v>
      </c>
      <c r="M1967" s="4" t="s">
        <v>412</v>
      </c>
      <c r="N1967" s="4" t="s">
        <v>44</v>
      </c>
      <c r="O1967" s="4" t="s">
        <v>4916</v>
      </c>
      <c r="P1967" s="4" t="s">
        <v>3629</v>
      </c>
    </row>
    <row r="1968" customFormat="false" ht="15" hidden="false" customHeight="false" outlineLevel="0" collapsed="false">
      <c r="A1968" s="4" t="s">
        <v>4917</v>
      </c>
      <c r="B1968" s="4" t="s">
        <v>4912</v>
      </c>
      <c r="C1968" s="4" t="s">
        <v>4918</v>
      </c>
      <c r="D1968" s="4" t="s">
        <v>3624</v>
      </c>
      <c r="E1968" s="4" t="s">
        <v>36</v>
      </c>
      <c r="F1968" s="4" t="s">
        <v>736</v>
      </c>
      <c r="G1968" s="4" t="s">
        <v>38</v>
      </c>
      <c r="H1968" s="4" t="s">
        <v>3676</v>
      </c>
      <c r="I1968" s="4" t="s">
        <v>3716</v>
      </c>
      <c r="J1968" s="4" t="s">
        <v>68</v>
      </c>
      <c r="K1968" s="4" t="s">
        <v>4309</v>
      </c>
      <c r="L1968" s="4" t="s">
        <v>1584</v>
      </c>
      <c r="M1968" s="4" t="s">
        <v>737</v>
      </c>
      <c r="N1968" s="4" t="s">
        <v>44</v>
      </c>
      <c r="O1968" s="4" t="s">
        <v>4310</v>
      </c>
      <c r="P1968" s="4" t="s">
        <v>3629</v>
      </c>
    </row>
    <row r="1969" customFormat="false" ht="15" hidden="false" customHeight="false" outlineLevel="0" collapsed="false">
      <c r="A1969" s="4" t="s">
        <v>4919</v>
      </c>
      <c r="B1969" s="4" t="s">
        <v>4920</v>
      </c>
      <c r="C1969" s="4" t="s">
        <v>4650</v>
      </c>
      <c r="D1969" s="4" t="s">
        <v>4651</v>
      </c>
      <c r="E1969" s="4" t="s">
        <v>306</v>
      </c>
      <c r="F1969" s="4" t="s">
        <v>3710</v>
      </c>
      <c r="G1969" s="4" t="s">
        <v>38</v>
      </c>
      <c r="H1969" s="4" t="s">
        <v>3632</v>
      </c>
      <c r="I1969" s="4" t="s">
        <v>4315</v>
      </c>
      <c r="J1969" s="4" t="s">
        <v>40</v>
      </c>
      <c r="K1969" s="4" t="s">
        <v>4921</v>
      </c>
      <c r="L1969" s="4" t="s">
        <v>706</v>
      </c>
      <c r="M1969" s="4" t="s">
        <v>412</v>
      </c>
      <c r="N1969" s="4" t="s">
        <v>44</v>
      </c>
      <c r="O1969" s="4" t="s">
        <v>4922</v>
      </c>
      <c r="P1969" s="4" t="s">
        <v>3629</v>
      </c>
    </row>
    <row r="1970" customFormat="false" ht="15" hidden="false" customHeight="false" outlineLevel="0" collapsed="false">
      <c r="A1970" s="4" t="s">
        <v>4923</v>
      </c>
      <c r="B1970" s="4" t="s">
        <v>4918</v>
      </c>
      <c r="C1970" s="4" t="s">
        <v>4924</v>
      </c>
      <c r="D1970" s="4" t="s">
        <v>3624</v>
      </c>
      <c r="E1970" s="4" t="s">
        <v>36</v>
      </c>
      <c r="F1970" s="4" t="s">
        <v>736</v>
      </c>
      <c r="G1970" s="4" t="s">
        <v>38</v>
      </c>
      <c r="H1970" s="4" t="s">
        <v>3706</v>
      </c>
      <c r="I1970" s="4" t="s">
        <v>3716</v>
      </c>
      <c r="J1970" s="4" t="s">
        <v>68</v>
      </c>
      <c r="K1970" s="4" t="s">
        <v>4330</v>
      </c>
      <c r="L1970" s="4" t="s">
        <v>736</v>
      </c>
      <c r="M1970" s="4" t="s">
        <v>737</v>
      </c>
      <c r="N1970" s="4" t="s">
        <v>44</v>
      </c>
      <c r="O1970" s="4" t="s">
        <v>4331</v>
      </c>
      <c r="P1970" s="4" t="s">
        <v>3629</v>
      </c>
    </row>
    <row r="1971" customFormat="false" ht="15" hidden="false" customHeight="false" outlineLevel="0" collapsed="false">
      <c r="A1971" s="4" t="s">
        <v>4925</v>
      </c>
      <c r="B1971" s="4" t="s">
        <v>4926</v>
      </c>
      <c r="C1971" s="4" t="s">
        <v>4926</v>
      </c>
      <c r="D1971" s="4" t="s">
        <v>3624</v>
      </c>
      <c r="E1971" s="4" t="s">
        <v>36</v>
      </c>
      <c r="F1971" s="4" t="s">
        <v>3710</v>
      </c>
      <c r="G1971" s="4" t="s">
        <v>59</v>
      </c>
      <c r="H1971" s="4" t="s">
        <v>3625</v>
      </c>
      <c r="I1971" s="4" t="s">
        <v>3657</v>
      </c>
      <c r="J1971" s="4" t="s">
        <v>40</v>
      </c>
      <c r="K1971" s="4" t="s">
        <v>3829</v>
      </c>
      <c r="L1971" s="4" t="s">
        <v>736</v>
      </c>
      <c r="M1971" s="4" t="s">
        <v>737</v>
      </c>
      <c r="N1971" s="4" t="s">
        <v>44</v>
      </c>
      <c r="O1971" s="4" t="s">
        <v>3830</v>
      </c>
      <c r="P1971" s="4" t="s">
        <v>3629</v>
      </c>
    </row>
    <row r="1972" customFormat="false" ht="15" hidden="false" customHeight="false" outlineLevel="0" collapsed="false">
      <c r="A1972" s="4" t="s">
        <v>4927</v>
      </c>
      <c r="B1972" s="4" t="s">
        <v>4924</v>
      </c>
      <c r="C1972" s="4" t="s">
        <v>4650</v>
      </c>
      <c r="D1972" s="4" t="s">
        <v>4651</v>
      </c>
      <c r="E1972" s="4" t="s">
        <v>345</v>
      </c>
      <c r="F1972" s="4" t="s">
        <v>736</v>
      </c>
      <c r="G1972" s="4" t="s">
        <v>38</v>
      </c>
      <c r="H1972" s="4" t="s">
        <v>3676</v>
      </c>
      <c r="I1972" s="4" t="s">
        <v>4053</v>
      </c>
      <c r="J1972" s="4" t="s">
        <v>68</v>
      </c>
      <c r="K1972" s="4" t="s">
        <v>4031</v>
      </c>
      <c r="L1972" s="4" t="s">
        <v>736</v>
      </c>
      <c r="M1972" s="4" t="s">
        <v>737</v>
      </c>
      <c r="N1972" s="4" t="s">
        <v>185</v>
      </c>
      <c r="O1972" s="4" t="s">
        <v>4032</v>
      </c>
      <c r="P1972" s="4" t="s">
        <v>3629</v>
      </c>
    </row>
    <row r="1973" customFormat="false" ht="15" hidden="false" customHeight="false" outlineLevel="0" collapsed="false">
      <c r="A1973" s="4" t="s">
        <v>4928</v>
      </c>
      <c r="B1973" s="4" t="s">
        <v>4929</v>
      </c>
      <c r="C1973" s="4" t="s">
        <v>4650</v>
      </c>
      <c r="D1973" s="4" t="s">
        <v>4651</v>
      </c>
      <c r="E1973" s="4" t="s">
        <v>345</v>
      </c>
      <c r="F1973" s="4" t="s">
        <v>3406</v>
      </c>
      <c r="G1973" s="4" t="s">
        <v>59</v>
      </c>
      <c r="H1973" s="4" t="s">
        <v>3632</v>
      </c>
      <c r="I1973" s="4" t="s">
        <v>4092</v>
      </c>
      <c r="J1973" s="4" t="s">
        <v>40</v>
      </c>
      <c r="K1973" s="4" t="s">
        <v>4389</v>
      </c>
      <c r="L1973" s="4" t="s">
        <v>736</v>
      </c>
      <c r="M1973" s="4" t="s">
        <v>737</v>
      </c>
      <c r="N1973" s="4" t="s">
        <v>44</v>
      </c>
      <c r="O1973" s="4" t="s">
        <v>4390</v>
      </c>
      <c r="P1973" s="4" t="s">
        <v>3629</v>
      </c>
    </row>
    <row r="1974" customFormat="false" ht="15" hidden="false" customHeight="false" outlineLevel="0" collapsed="false">
      <c r="A1974" s="4" t="s">
        <v>4930</v>
      </c>
      <c r="B1974" s="4" t="s">
        <v>4929</v>
      </c>
      <c r="C1974" s="4" t="s">
        <v>4650</v>
      </c>
      <c r="D1974" s="4" t="s">
        <v>4651</v>
      </c>
      <c r="E1974" s="4" t="s">
        <v>306</v>
      </c>
      <c r="F1974" s="4" t="s">
        <v>736</v>
      </c>
      <c r="G1974" s="4" t="s">
        <v>326</v>
      </c>
      <c r="H1974" s="4" t="s">
        <v>3632</v>
      </c>
      <c r="I1974" s="4" t="s">
        <v>3996</v>
      </c>
      <c r="J1974" s="4" t="s">
        <v>68</v>
      </c>
      <c r="K1974" s="4" t="s">
        <v>4931</v>
      </c>
      <c r="L1974" s="4" t="s">
        <v>994</v>
      </c>
      <c r="M1974" s="4" t="s">
        <v>334</v>
      </c>
      <c r="N1974" s="4" t="s">
        <v>44</v>
      </c>
      <c r="O1974" s="4" t="s">
        <v>4932</v>
      </c>
      <c r="P1974" s="4" t="s">
        <v>3629</v>
      </c>
    </row>
    <row r="1975" customFormat="false" ht="15" hidden="false" customHeight="false" outlineLevel="0" collapsed="false">
      <c r="A1975" s="4" t="s">
        <v>4933</v>
      </c>
      <c r="B1975" s="4" t="s">
        <v>4934</v>
      </c>
      <c r="C1975" s="4" t="s">
        <v>4650</v>
      </c>
      <c r="D1975" s="4" t="s">
        <v>4651</v>
      </c>
      <c r="E1975" s="4" t="s">
        <v>306</v>
      </c>
      <c r="F1975" s="4" t="s">
        <v>3710</v>
      </c>
      <c r="G1975" s="4" t="s">
        <v>38</v>
      </c>
      <c r="H1975" s="4" t="s">
        <v>3632</v>
      </c>
      <c r="I1975" s="4" t="s">
        <v>4053</v>
      </c>
      <c r="J1975" s="4" t="s">
        <v>40</v>
      </c>
      <c r="K1975" s="4" t="s">
        <v>4198</v>
      </c>
      <c r="L1975" s="4" t="s">
        <v>3635</v>
      </c>
      <c r="M1975" s="4" t="s">
        <v>737</v>
      </c>
      <c r="N1975" s="4" t="s">
        <v>52</v>
      </c>
      <c r="O1975" s="4" t="s">
        <v>4199</v>
      </c>
      <c r="P1975" s="4" t="s">
        <v>3629</v>
      </c>
    </row>
    <row r="1976" customFormat="false" ht="15" hidden="false" customHeight="false" outlineLevel="0" collapsed="false">
      <c r="A1976" s="4" t="s">
        <v>4935</v>
      </c>
      <c r="B1976" s="4" t="s">
        <v>4934</v>
      </c>
      <c r="C1976" s="4" t="s">
        <v>4650</v>
      </c>
      <c r="D1976" s="4" t="s">
        <v>4651</v>
      </c>
      <c r="E1976" s="4" t="s">
        <v>345</v>
      </c>
      <c r="F1976" s="4" t="s">
        <v>736</v>
      </c>
      <c r="G1976" s="4" t="s">
        <v>59</v>
      </c>
      <c r="H1976" s="4" t="s">
        <v>3706</v>
      </c>
      <c r="I1976" s="4" t="s">
        <v>4936</v>
      </c>
      <c r="J1976" s="4" t="s">
        <v>68</v>
      </c>
      <c r="K1976" s="4" t="s">
        <v>4937</v>
      </c>
      <c r="L1976" s="4" t="s">
        <v>736</v>
      </c>
      <c r="M1976" s="4" t="s">
        <v>737</v>
      </c>
      <c r="N1976" s="4" t="s">
        <v>185</v>
      </c>
      <c r="O1976" s="4" t="s">
        <v>4938</v>
      </c>
      <c r="P1976" s="4" t="s">
        <v>3629</v>
      </c>
    </row>
    <row r="1977" customFormat="false" ht="15" hidden="false" customHeight="false" outlineLevel="0" collapsed="false">
      <c r="A1977" s="4" t="s">
        <v>4939</v>
      </c>
      <c r="B1977" s="4" t="s">
        <v>4940</v>
      </c>
      <c r="C1977" s="4" t="s">
        <v>4650</v>
      </c>
      <c r="D1977" s="4" t="s">
        <v>4651</v>
      </c>
      <c r="E1977" s="4" t="s">
        <v>306</v>
      </c>
      <c r="F1977" s="4" t="s">
        <v>736</v>
      </c>
      <c r="G1977" s="4" t="s">
        <v>38</v>
      </c>
      <c r="H1977" s="4" t="s">
        <v>3676</v>
      </c>
      <c r="I1977" s="4" t="s">
        <v>4941</v>
      </c>
      <c r="J1977" s="4" t="s">
        <v>68</v>
      </c>
      <c r="K1977" s="4" t="s">
        <v>4942</v>
      </c>
      <c r="L1977" s="4" t="s">
        <v>432</v>
      </c>
      <c r="M1977" s="4" t="s">
        <v>356</v>
      </c>
      <c r="N1977" s="4" t="s">
        <v>433</v>
      </c>
      <c r="O1977" s="4"/>
      <c r="P1977" s="4" t="s">
        <v>3629</v>
      </c>
    </row>
    <row r="1978" customFormat="false" ht="15" hidden="false" customHeight="false" outlineLevel="0" collapsed="false">
      <c r="A1978" s="4" t="s">
        <v>4943</v>
      </c>
      <c r="B1978" s="4" t="s">
        <v>4944</v>
      </c>
      <c r="C1978" s="4" t="s">
        <v>4650</v>
      </c>
      <c r="D1978" s="4" t="s">
        <v>4651</v>
      </c>
      <c r="E1978" s="4" t="s">
        <v>306</v>
      </c>
      <c r="F1978" s="4" t="s">
        <v>3406</v>
      </c>
      <c r="G1978" s="4" t="s">
        <v>59</v>
      </c>
      <c r="H1978" s="4" t="s">
        <v>3706</v>
      </c>
      <c r="I1978" s="4" t="s">
        <v>4945</v>
      </c>
      <c r="J1978" s="4" t="s">
        <v>81</v>
      </c>
      <c r="K1978" s="4" t="s">
        <v>3894</v>
      </c>
      <c r="L1978" s="4" t="s">
        <v>736</v>
      </c>
      <c r="M1978" s="4" t="s">
        <v>737</v>
      </c>
      <c r="N1978" s="4" t="s">
        <v>44</v>
      </c>
      <c r="O1978" s="4" t="s">
        <v>3895</v>
      </c>
      <c r="P1978" s="4" t="s">
        <v>3629</v>
      </c>
    </row>
    <row r="1979" customFormat="false" ht="15" hidden="false" customHeight="false" outlineLevel="0" collapsed="false">
      <c r="A1979" s="4" t="s">
        <v>4946</v>
      </c>
      <c r="B1979" s="4" t="s">
        <v>4944</v>
      </c>
      <c r="C1979" s="4" t="s">
        <v>4650</v>
      </c>
      <c r="D1979" s="4" t="s">
        <v>4651</v>
      </c>
      <c r="E1979" s="4" t="s">
        <v>306</v>
      </c>
      <c r="F1979" s="4" t="s">
        <v>736</v>
      </c>
      <c r="G1979" s="4" t="s">
        <v>326</v>
      </c>
      <c r="H1979" s="4" t="s">
        <v>3676</v>
      </c>
      <c r="I1979" s="4" t="s">
        <v>4947</v>
      </c>
      <c r="J1979" s="4" t="s">
        <v>40</v>
      </c>
      <c r="K1979" s="4" t="s">
        <v>3798</v>
      </c>
      <c r="L1979" s="4" t="s">
        <v>1584</v>
      </c>
      <c r="M1979" s="4" t="s">
        <v>737</v>
      </c>
      <c r="N1979" s="4" t="s">
        <v>52</v>
      </c>
      <c r="O1979" s="4" t="s">
        <v>3799</v>
      </c>
      <c r="P1979" s="4" t="s">
        <v>3629</v>
      </c>
    </row>
    <row r="1980" customFormat="false" ht="15" hidden="false" customHeight="false" outlineLevel="0" collapsed="false">
      <c r="A1980" s="4" t="s">
        <v>4948</v>
      </c>
      <c r="B1980" s="4" t="s">
        <v>4944</v>
      </c>
      <c r="C1980" s="4" t="s">
        <v>4944</v>
      </c>
      <c r="D1980" s="4" t="s">
        <v>3624</v>
      </c>
      <c r="E1980" s="4" t="s">
        <v>36</v>
      </c>
      <c r="F1980" s="4" t="s">
        <v>3635</v>
      </c>
      <c r="G1980" s="4" t="s">
        <v>59</v>
      </c>
      <c r="H1980" s="4" t="s">
        <v>3625</v>
      </c>
      <c r="I1980" s="4" t="s">
        <v>3633</v>
      </c>
      <c r="J1980" s="4" t="s">
        <v>68</v>
      </c>
      <c r="K1980" s="4" t="s">
        <v>4610</v>
      </c>
      <c r="L1980" s="4" t="s">
        <v>3406</v>
      </c>
      <c r="M1980" s="4" t="s">
        <v>1683</v>
      </c>
      <c r="N1980" s="4" t="s">
        <v>44</v>
      </c>
      <c r="O1980" s="4" t="s">
        <v>4611</v>
      </c>
      <c r="P1980" s="4" t="s">
        <v>3629</v>
      </c>
    </row>
    <row r="1981" customFormat="false" ht="15" hidden="false" customHeight="false" outlineLevel="0" collapsed="false">
      <c r="A1981" s="4" t="s">
        <v>4949</v>
      </c>
      <c r="B1981" s="4" t="s">
        <v>4950</v>
      </c>
      <c r="C1981" s="4" t="s">
        <v>4950</v>
      </c>
      <c r="D1981" s="4" t="s">
        <v>3624</v>
      </c>
      <c r="E1981" s="4" t="s">
        <v>36</v>
      </c>
      <c r="F1981" s="4" t="s">
        <v>1584</v>
      </c>
      <c r="G1981" s="4" t="s">
        <v>38</v>
      </c>
      <c r="H1981" s="4" t="s">
        <v>3625</v>
      </c>
      <c r="I1981" s="4" t="s">
        <v>3716</v>
      </c>
      <c r="J1981" s="4" t="s">
        <v>81</v>
      </c>
      <c r="K1981" s="4" t="s">
        <v>4951</v>
      </c>
      <c r="L1981" s="4" t="s">
        <v>736</v>
      </c>
      <c r="M1981" s="4" t="s">
        <v>737</v>
      </c>
      <c r="N1981" s="4" t="s">
        <v>185</v>
      </c>
      <c r="O1981" s="4" t="s">
        <v>4952</v>
      </c>
      <c r="P1981" s="4" t="s">
        <v>3629</v>
      </c>
    </row>
    <row r="1982" customFormat="false" ht="15" hidden="false" customHeight="false" outlineLevel="0" collapsed="false">
      <c r="A1982" s="4" t="s">
        <v>4953</v>
      </c>
      <c r="B1982" s="4" t="s">
        <v>4954</v>
      </c>
      <c r="C1982" s="4" t="s">
        <v>4650</v>
      </c>
      <c r="D1982" s="4" t="s">
        <v>4651</v>
      </c>
      <c r="E1982" s="4" t="s">
        <v>311</v>
      </c>
      <c r="F1982" s="4" t="s">
        <v>3635</v>
      </c>
      <c r="G1982" s="4" t="s">
        <v>59</v>
      </c>
      <c r="H1982" s="4" t="s">
        <v>3676</v>
      </c>
      <c r="I1982" s="4" t="s">
        <v>4184</v>
      </c>
      <c r="J1982" s="4" t="s">
        <v>68</v>
      </c>
      <c r="K1982" s="4" t="s">
        <v>4955</v>
      </c>
      <c r="L1982" s="4" t="s">
        <v>3406</v>
      </c>
      <c r="M1982" s="4" t="s">
        <v>1683</v>
      </c>
      <c r="N1982" s="4" t="s">
        <v>44</v>
      </c>
      <c r="O1982" s="4" t="s">
        <v>4956</v>
      </c>
      <c r="P1982" s="4" t="s">
        <v>3629</v>
      </c>
    </row>
    <row r="1983" customFormat="false" ht="15" hidden="false" customHeight="false" outlineLevel="0" collapsed="false">
      <c r="A1983" s="4" t="s">
        <v>4957</v>
      </c>
      <c r="B1983" s="4" t="s">
        <v>4958</v>
      </c>
      <c r="C1983" s="4" t="s">
        <v>4650</v>
      </c>
      <c r="D1983" s="4" t="s">
        <v>4651</v>
      </c>
      <c r="E1983" s="4" t="s">
        <v>345</v>
      </c>
      <c r="F1983" s="4" t="s">
        <v>1584</v>
      </c>
      <c r="G1983" s="4" t="s">
        <v>59</v>
      </c>
      <c r="H1983" s="4" t="s">
        <v>3625</v>
      </c>
      <c r="I1983" s="4" t="s">
        <v>3844</v>
      </c>
      <c r="J1983" s="4" t="s">
        <v>149</v>
      </c>
      <c r="K1983" s="4" t="s">
        <v>4959</v>
      </c>
      <c r="L1983" s="4" t="s">
        <v>736</v>
      </c>
      <c r="M1983" s="4" t="s">
        <v>1683</v>
      </c>
      <c r="N1983" s="4" t="s">
        <v>44</v>
      </c>
      <c r="O1983" s="4" t="s">
        <v>4960</v>
      </c>
      <c r="P1983" s="4" t="s">
        <v>3629</v>
      </c>
    </row>
    <row r="1984" customFormat="false" ht="15" hidden="false" customHeight="false" outlineLevel="0" collapsed="false">
      <c r="A1984" s="4" t="s">
        <v>4961</v>
      </c>
      <c r="B1984" s="4" t="s">
        <v>4962</v>
      </c>
      <c r="C1984" s="4" t="s">
        <v>4650</v>
      </c>
      <c r="D1984" s="4" t="s">
        <v>4651</v>
      </c>
      <c r="E1984" s="4" t="s">
        <v>306</v>
      </c>
      <c r="F1984" s="4" t="s">
        <v>736</v>
      </c>
      <c r="G1984" s="4" t="s">
        <v>38</v>
      </c>
      <c r="H1984" s="4" t="s">
        <v>3706</v>
      </c>
      <c r="I1984" s="4" t="s">
        <v>4742</v>
      </c>
      <c r="J1984" s="4" t="s">
        <v>40</v>
      </c>
      <c r="K1984" s="4" t="s">
        <v>4963</v>
      </c>
      <c r="L1984" s="4" t="s">
        <v>432</v>
      </c>
      <c r="M1984" s="4" t="s">
        <v>356</v>
      </c>
      <c r="N1984" s="4" t="s">
        <v>433</v>
      </c>
      <c r="O1984" s="4"/>
      <c r="P1984" s="4" t="s">
        <v>3629</v>
      </c>
    </row>
    <row r="1985" customFormat="false" ht="15" hidden="false" customHeight="false" outlineLevel="0" collapsed="false">
      <c r="A1985" s="4" t="s">
        <v>4964</v>
      </c>
      <c r="B1985" s="4" t="s">
        <v>4962</v>
      </c>
      <c r="C1985" s="4" t="s">
        <v>4965</v>
      </c>
      <c r="D1985" s="4" t="s">
        <v>3624</v>
      </c>
      <c r="E1985" s="4" t="s">
        <v>36</v>
      </c>
      <c r="F1985" s="4" t="s">
        <v>736</v>
      </c>
      <c r="G1985" s="4" t="s">
        <v>38</v>
      </c>
      <c r="H1985" s="4" t="s">
        <v>3676</v>
      </c>
      <c r="I1985" s="4" t="s">
        <v>3669</v>
      </c>
      <c r="J1985" s="4" t="s">
        <v>68</v>
      </c>
      <c r="K1985" s="4" t="s">
        <v>3065</v>
      </c>
      <c r="L1985" s="4" t="s">
        <v>736</v>
      </c>
      <c r="M1985" s="4" t="s">
        <v>737</v>
      </c>
      <c r="N1985" s="4" t="s">
        <v>44</v>
      </c>
      <c r="O1985" s="4" t="s">
        <v>3066</v>
      </c>
      <c r="P1985" s="4" t="s">
        <v>3629</v>
      </c>
    </row>
    <row r="1986" customFormat="false" ht="15" hidden="false" customHeight="false" outlineLevel="0" collapsed="false">
      <c r="A1986" s="4" t="s">
        <v>4925</v>
      </c>
      <c r="B1986" s="4" t="s">
        <v>4926</v>
      </c>
      <c r="C1986" s="4" t="s">
        <v>4926</v>
      </c>
      <c r="D1986" s="4" t="s">
        <v>3624</v>
      </c>
      <c r="E1986" s="4" t="s">
        <v>36</v>
      </c>
      <c r="F1986" s="4" t="s">
        <v>3710</v>
      </c>
      <c r="G1986" s="4" t="s">
        <v>59</v>
      </c>
      <c r="H1986" s="4" t="s">
        <v>3625</v>
      </c>
      <c r="I1986" s="4" t="s">
        <v>3657</v>
      </c>
      <c r="J1986" s="4" t="s">
        <v>40</v>
      </c>
      <c r="K1986" s="4" t="s">
        <v>3829</v>
      </c>
      <c r="L1986" s="4" t="s">
        <v>736</v>
      </c>
      <c r="M1986" s="4" t="s">
        <v>737</v>
      </c>
      <c r="N1986" s="4" t="s">
        <v>44</v>
      </c>
      <c r="O1986" s="4" t="s">
        <v>3830</v>
      </c>
      <c r="P1986" s="4" t="s">
        <v>3629</v>
      </c>
    </row>
    <row r="1987" customFormat="false" ht="15" hidden="false" customHeight="false" outlineLevel="0" collapsed="false">
      <c r="A1987" s="4" t="s">
        <v>4966</v>
      </c>
      <c r="B1987" s="4" t="s">
        <v>4967</v>
      </c>
      <c r="C1987" s="4" t="s">
        <v>4650</v>
      </c>
      <c r="D1987" s="4" t="s">
        <v>4651</v>
      </c>
      <c r="E1987" s="4" t="s">
        <v>306</v>
      </c>
      <c r="F1987" s="4" t="s">
        <v>3406</v>
      </c>
      <c r="G1987" s="4" t="s">
        <v>38</v>
      </c>
      <c r="H1987" s="4" t="s">
        <v>3625</v>
      </c>
      <c r="I1987" s="4" t="s">
        <v>4968</v>
      </c>
      <c r="J1987" s="4" t="s">
        <v>40</v>
      </c>
      <c r="K1987" s="4" t="s">
        <v>4428</v>
      </c>
      <c r="L1987" s="4" t="s">
        <v>1584</v>
      </c>
      <c r="M1987" s="4" t="s">
        <v>737</v>
      </c>
      <c r="N1987" s="4" t="s">
        <v>185</v>
      </c>
      <c r="O1987" s="4" t="s">
        <v>4429</v>
      </c>
      <c r="P1987" s="4" t="s">
        <v>3629</v>
      </c>
    </row>
    <row r="1988" customFormat="false" ht="15" hidden="false" customHeight="false" outlineLevel="0" collapsed="false">
      <c r="A1988" s="4" t="s">
        <v>4969</v>
      </c>
      <c r="B1988" s="4" t="s">
        <v>4967</v>
      </c>
      <c r="C1988" s="4" t="s">
        <v>4650</v>
      </c>
      <c r="D1988" s="4" t="s">
        <v>4651</v>
      </c>
      <c r="E1988" s="4" t="s">
        <v>306</v>
      </c>
      <c r="F1988" s="4" t="s">
        <v>736</v>
      </c>
      <c r="G1988" s="4" t="s">
        <v>59</v>
      </c>
      <c r="H1988" s="4" t="s">
        <v>3676</v>
      </c>
      <c r="I1988" s="4" t="s">
        <v>4786</v>
      </c>
      <c r="J1988" s="4" t="s">
        <v>81</v>
      </c>
      <c r="K1988" s="4" t="s">
        <v>4479</v>
      </c>
      <c r="L1988" s="4" t="s">
        <v>1584</v>
      </c>
      <c r="M1988" s="4" t="s">
        <v>737</v>
      </c>
      <c r="N1988" s="4" t="s">
        <v>44</v>
      </c>
      <c r="O1988" s="4" t="s">
        <v>4480</v>
      </c>
      <c r="P1988" s="4" t="s">
        <v>3629</v>
      </c>
    </row>
    <row r="1989" customFormat="false" ht="15" hidden="false" customHeight="false" outlineLevel="0" collapsed="false">
      <c r="A1989" s="4" t="s">
        <v>4970</v>
      </c>
      <c r="B1989" s="4" t="s">
        <v>4971</v>
      </c>
      <c r="C1989" s="4" t="s">
        <v>4650</v>
      </c>
      <c r="D1989" s="4" t="s">
        <v>4651</v>
      </c>
      <c r="E1989" s="4" t="s">
        <v>345</v>
      </c>
      <c r="F1989" s="4" t="s">
        <v>736</v>
      </c>
      <c r="G1989" s="4" t="s">
        <v>38</v>
      </c>
      <c r="H1989" s="4" t="s">
        <v>3676</v>
      </c>
      <c r="I1989" s="4" t="s">
        <v>3998</v>
      </c>
      <c r="J1989" s="4" t="s">
        <v>81</v>
      </c>
      <c r="K1989" s="4" t="s">
        <v>4972</v>
      </c>
      <c r="L1989" s="4" t="s">
        <v>837</v>
      </c>
      <c r="M1989" s="4" t="s">
        <v>838</v>
      </c>
      <c r="N1989" s="4" t="s">
        <v>44</v>
      </c>
      <c r="O1989" s="4" t="s">
        <v>4973</v>
      </c>
      <c r="P1989" s="4" t="s">
        <v>3629</v>
      </c>
    </row>
    <row r="1990" customFormat="false" ht="15" hidden="false" customHeight="false" outlineLevel="0" collapsed="false">
      <c r="A1990" s="4" t="s">
        <v>4974</v>
      </c>
      <c r="B1990" s="4" t="s">
        <v>4971</v>
      </c>
      <c r="C1990" s="4" t="s">
        <v>4650</v>
      </c>
      <c r="D1990" s="4" t="s">
        <v>4651</v>
      </c>
      <c r="E1990" s="4" t="s">
        <v>325</v>
      </c>
      <c r="F1990" s="4" t="s">
        <v>736</v>
      </c>
      <c r="G1990" s="4" t="s">
        <v>59</v>
      </c>
      <c r="H1990" s="4" t="s">
        <v>3625</v>
      </c>
      <c r="I1990" s="4" t="s">
        <v>4750</v>
      </c>
      <c r="J1990" s="4" t="s">
        <v>40</v>
      </c>
      <c r="K1990" s="4" t="s">
        <v>2459</v>
      </c>
      <c r="L1990" s="4" t="s">
        <v>736</v>
      </c>
      <c r="M1990" s="4" t="s">
        <v>737</v>
      </c>
      <c r="N1990" s="4" t="s">
        <v>44</v>
      </c>
      <c r="O1990" s="4" t="s">
        <v>2460</v>
      </c>
      <c r="P1990" s="4" t="s">
        <v>3629</v>
      </c>
    </row>
    <row r="1991" customFormat="false" ht="15" hidden="false" customHeight="false" outlineLevel="0" collapsed="false">
      <c r="A1991" s="4" t="s">
        <v>4975</v>
      </c>
      <c r="B1991" s="4" t="s">
        <v>4971</v>
      </c>
      <c r="C1991" s="4" t="s">
        <v>4976</v>
      </c>
      <c r="D1991" s="4" t="s">
        <v>3624</v>
      </c>
      <c r="E1991" s="4" t="s">
        <v>36</v>
      </c>
      <c r="F1991" s="4" t="s">
        <v>3710</v>
      </c>
      <c r="G1991" s="4" t="s">
        <v>59</v>
      </c>
      <c r="H1991" s="4" t="s">
        <v>3625</v>
      </c>
      <c r="I1991" s="4" t="s">
        <v>3633</v>
      </c>
      <c r="J1991" s="4" t="s">
        <v>68</v>
      </c>
      <c r="K1991" s="4" t="s">
        <v>4245</v>
      </c>
      <c r="L1991" s="4" t="s">
        <v>736</v>
      </c>
      <c r="M1991" s="4" t="s">
        <v>737</v>
      </c>
      <c r="N1991" s="4" t="s">
        <v>44</v>
      </c>
      <c r="O1991" s="4" t="s">
        <v>4246</v>
      </c>
      <c r="P1991" s="4" t="s">
        <v>3629</v>
      </c>
    </row>
    <row r="1992" customFormat="false" ht="15" hidden="false" customHeight="false" outlineLevel="0" collapsed="false">
      <c r="A1992" s="4" t="s">
        <v>4977</v>
      </c>
      <c r="B1992" s="4" t="s">
        <v>4976</v>
      </c>
      <c r="C1992" s="4" t="s">
        <v>4650</v>
      </c>
      <c r="D1992" s="4" t="s">
        <v>4651</v>
      </c>
      <c r="E1992" s="4" t="s">
        <v>311</v>
      </c>
      <c r="F1992" s="4" t="s">
        <v>736</v>
      </c>
      <c r="G1992" s="4" t="s">
        <v>38</v>
      </c>
      <c r="H1992" s="4" t="s">
        <v>3625</v>
      </c>
      <c r="I1992" s="4" t="s">
        <v>4652</v>
      </c>
      <c r="J1992" s="4" t="s">
        <v>68</v>
      </c>
      <c r="K1992" s="4" t="s">
        <v>4978</v>
      </c>
      <c r="L1992" s="4" t="s">
        <v>736</v>
      </c>
      <c r="M1992" s="4" t="s">
        <v>737</v>
      </c>
      <c r="N1992" s="4" t="s">
        <v>44</v>
      </c>
      <c r="O1992" s="4" t="s">
        <v>4979</v>
      </c>
      <c r="P1992" s="4" t="s">
        <v>3629</v>
      </c>
    </row>
    <row r="1993" customFormat="false" ht="15" hidden="false" customHeight="false" outlineLevel="0" collapsed="false">
      <c r="A1993" s="4" t="s">
        <v>4980</v>
      </c>
      <c r="B1993" s="4" t="s">
        <v>4976</v>
      </c>
      <c r="C1993" s="4" t="s">
        <v>4976</v>
      </c>
      <c r="D1993" s="4" t="s">
        <v>3624</v>
      </c>
      <c r="E1993" s="4" t="s">
        <v>49</v>
      </c>
      <c r="F1993" s="4" t="s">
        <v>1584</v>
      </c>
      <c r="G1993" s="4" t="s">
        <v>59</v>
      </c>
      <c r="H1993" s="4" t="s">
        <v>3706</v>
      </c>
      <c r="I1993" s="4" t="s">
        <v>3657</v>
      </c>
      <c r="J1993" s="4" t="s">
        <v>68</v>
      </c>
      <c r="K1993" s="4" t="s">
        <v>3834</v>
      </c>
      <c r="L1993" s="4" t="s">
        <v>3635</v>
      </c>
      <c r="M1993" s="4" t="s">
        <v>737</v>
      </c>
      <c r="N1993" s="4" t="s">
        <v>44</v>
      </c>
      <c r="O1993" s="4" t="s">
        <v>3835</v>
      </c>
      <c r="P1993" s="4" t="s">
        <v>3629</v>
      </c>
    </row>
    <row r="1994" customFormat="false" ht="15" hidden="false" customHeight="false" outlineLevel="0" collapsed="false">
      <c r="A1994" s="4" t="s">
        <v>4981</v>
      </c>
      <c r="B1994" s="4" t="s">
        <v>4976</v>
      </c>
      <c r="C1994" s="4" t="s">
        <v>4982</v>
      </c>
      <c r="D1994" s="4" t="s">
        <v>3624</v>
      </c>
      <c r="E1994" s="4" t="s">
        <v>66</v>
      </c>
      <c r="F1994" s="4" t="s">
        <v>736</v>
      </c>
      <c r="G1994" s="4" t="s">
        <v>38</v>
      </c>
      <c r="H1994" s="4" t="s">
        <v>3676</v>
      </c>
      <c r="I1994" s="4" t="s">
        <v>3651</v>
      </c>
      <c r="J1994" s="4" t="s">
        <v>68</v>
      </c>
      <c r="K1994" s="4" t="s">
        <v>4035</v>
      </c>
      <c r="L1994" s="4" t="s">
        <v>736</v>
      </c>
      <c r="M1994" s="4" t="s">
        <v>1683</v>
      </c>
      <c r="N1994" s="4" t="s">
        <v>52</v>
      </c>
      <c r="O1994" s="4" t="s">
        <v>4036</v>
      </c>
      <c r="P1994" s="4" t="s">
        <v>3629</v>
      </c>
    </row>
    <row r="1995" customFormat="false" ht="15" hidden="false" customHeight="false" outlineLevel="0" collapsed="false">
      <c r="A1995" s="4" t="s">
        <v>4983</v>
      </c>
      <c r="B1995" s="4" t="s">
        <v>4984</v>
      </c>
      <c r="C1995" s="4" t="s">
        <v>4984</v>
      </c>
      <c r="D1995" s="4" t="s">
        <v>3624</v>
      </c>
      <c r="E1995" s="4" t="s">
        <v>36</v>
      </c>
      <c r="F1995" s="4" t="s">
        <v>736</v>
      </c>
      <c r="G1995" s="4" t="s">
        <v>38</v>
      </c>
      <c r="H1995" s="4" t="s">
        <v>3632</v>
      </c>
      <c r="I1995" s="4" t="s">
        <v>3716</v>
      </c>
      <c r="J1995" s="4" t="s">
        <v>40</v>
      </c>
      <c r="K1995" s="4" t="s">
        <v>3683</v>
      </c>
      <c r="L1995" s="4" t="s">
        <v>736</v>
      </c>
      <c r="M1995" s="4" t="s">
        <v>737</v>
      </c>
      <c r="N1995" s="4" t="s">
        <v>44</v>
      </c>
      <c r="O1995" s="4" t="s">
        <v>3684</v>
      </c>
      <c r="P1995" s="4" t="s">
        <v>3629</v>
      </c>
    </row>
    <row r="1996" customFormat="false" ht="15" hidden="false" customHeight="false" outlineLevel="0" collapsed="false">
      <c r="A1996" s="4" t="s">
        <v>4985</v>
      </c>
      <c r="B1996" s="4" t="s">
        <v>4982</v>
      </c>
      <c r="C1996" s="4" t="s">
        <v>4986</v>
      </c>
      <c r="D1996" s="4" t="s">
        <v>3624</v>
      </c>
      <c r="E1996" s="4" t="s">
        <v>36</v>
      </c>
      <c r="F1996" s="4" t="s">
        <v>3635</v>
      </c>
      <c r="G1996" s="4" t="s">
        <v>38</v>
      </c>
      <c r="H1996" s="4" t="s">
        <v>3625</v>
      </c>
      <c r="I1996" s="4" t="s">
        <v>3716</v>
      </c>
      <c r="J1996" s="4" t="s">
        <v>68</v>
      </c>
      <c r="K1996" s="4" t="s">
        <v>4035</v>
      </c>
      <c r="L1996" s="4" t="s">
        <v>736</v>
      </c>
      <c r="M1996" s="4" t="s">
        <v>737</v>
      </c>
      <c r="N1996" s="4" t="s">
        <v>44</v>
      </c>
      <c r="O1996" s="4" t="s">
        <v>4036</v>
      </c>
      <c r="P1996" s="4" t="s">
        <v>3629</v>
      </c>
    </row>
    <row r="1997" customFormat="false" ht="15" hidden="false" customHeight="false" outlineLevel="0" collapsed="false">
      <c r="A1997" s="4" t="s">
        <v>4987</v>
      </c>
      <c r="B1997" s="4" t="s">
        <v>4986</v>
      </c>
      <c r="C1997" s="4" t="s">
        <v>4650</v>
      </c>
      <c r="D1997" s="4" t="s">
        <v>4651</v>
      </c>
      <c r="E1997" s="4" t="s">
        <v>306</v>
      </c>
      <c r="F1997" s="4" t="s">
        <v>736</v>
      </c>
      <c r="G1997" s="4" t="s">
        <v>326</v>
      </c>
      <c r="H1997" s="4" t="s">
        <v>3676</v>
      </c>
      <c r="I1997" s="4" t="s">
        <v>4988</v>
      </c>
      <c r="J1997" s="4" t="s">
        <v>40</v>
      </c>
      <c r="K1997" s="4" t="s">
        <v>3772</v>
      </c>
      <c r="L1997" s="4" t="s">
        <v>736</v>
      </c>
      <c r="M1997" s="4" t="s">
        <v>737</v>
      </c>
      <c r="N1997" s="4" t="s">
        <v>44</v>
      </c>
      <c r="O1997" s="4" t="s">
        <v>3773</v>
      </c>
      <c r="P1997" s="4" t="s">
        <v>3629</v>
      </c>
    </row>
    <row r="1998" customFormat="false" ht="15" hidden="false" customHeight="false" outlineLevel="0" collapsed="false">
      <c r="A1998" s="4" t="s">
        <v>4989</v>
      </c>
      <c r="B1998" s="4" t="s">
        <v>4986</v>
      </c>
      <c r="C1998" s="4" t="s">
        <v>4990</v>
      </c>
      <c r="D1998" s="4" t="s">
        <v>3624</v>
      </c>
      <c r="E1998" s="4" t="s">
        <v>49</v>
      </c>
      <c r="F1998" s="4" t="s">
        <v>736</v>
      </c>
      <c r="G1998" s="4" t="s">
        <v>59</v>
      </c>
      <c r="H1998" s="4" t="s">
        <v>3706</v>
      </c>
      <c r="I1998" s="4" t="s">
        <v>3626</v>
      </c>
      <c r="J1998" s="4" t="s">
        <v>68</v>
      </c>
      <c r="K1998" s="4" t="s">
        <v>4496</v>
      </c>
      <c r="L1998" s="4" t="s">
        <v>736</v>
      </c>
      <c r="M1998" s="4" t="s">
        <v>737</v>
      </c>
      <c r="N1998" s="4" t="s">
        <v>44</v>
      </c>
      <c r="O1998" s="4" t="s">
        <v>4497</v>
      </c>
      <c r="P1998" s="4" t="s">
        <v>3629</v>
      </c>
    </row>
    <row r="1999" customFormat="false" ht="15" hidden="false" customHeight="false" outlineLevel="0" collapsed="false">
      <c r="A1999" s="4" t="s">
        <v>4991</v>
      </c>
      <c r="B1999" s="4" t="s">
        <v>4992</v>
      </c>
      <c r="C1999" s="4" t="s">
        <v>4650</v>
      </c>
      <c r="D1999" s="4" t="s">
        <v>4651</v>
      </c>
      <c r="E1999" s="4" t="s">
        <v>345</v>
      </c>
      <c r="F1999" s="4" t="s">
        <v>3406</v>
      </c>
      <c r="G1999" s="4" t="s">
        <v>38</v>
      </c>
      <c r="H1999" s="4" t="s">
        <v>3625</v>
      </c>
      <c r="I1999" s="4" t="s">
        <v>4993</v>
      </c>
      <c r="J1999" s="4" t="s">
        <v>68</v>
      </c>
      <c r="K1999" s="4" t="s">
        <v>4994</v>
      </c>
      <c r="L1999" s="4" t="s">
        <v>736</v>
      </c>
      <c r="M1999" s="4" t="s">
        <v>737</v>
      </c>
      <c r="N1999" s="4" t="s">
        <v>44</v>
      </c>
      <c r="O1999" s="4" t="s">
        <v>4995</v>
      </c>
      <c r="P1999" s="4" t="s">
        <v>3629</v>
      </c>
    </row>
    <row r="2000" customFormat="false" ht="15" hidden="false" customHeight="false" outlineLevel="0" collapsed="false">
      <c r="A2000" s="4" t="s">
        <v>4996</v>
      </c>
      <c r="B2000" s="4" t="s">
        <v>4992</v>
      </c>
      <c r="C2000" s="4" t="s">
        <v>4997</v>
      </c>
      <c r="D2000" s="4" t="s">
        <v>3624</v>
      </c>
      <c r="E2000" s="4" t="s">
        <v>89</v>
      </c>
      <c r="F2000" s="4" t="s">
        <v>736</v>
      </c>
      <c r="G2000" s="4" t="s">
        <v>38</v>
      </c>
      <c r="H2000" s="4" t="s">
        <v>3676</v>
      </c>
      <c r="I2000" s="4" t="s">
        <v>3669</v>
      </c>
      <c r="J2000" s="4" t="s">
        <v>40</v>
      </c>
      <c r="K2000" s="4" t="s">
        <v>4998</v>
      </c>
      <c r="L2000" s="4" t="s">
        <v>736</v>
      </c>
      <c r="M2000" s="4" t="s">
        <v>737</v>
      </c>
      <c r="N2000" s="4" t="s">
        <v>44</v>
      </c>
      <c r="O2000" s="4" t="s">
        <v>4999</v>
      </c>
      <c r="P2000" s="4" t="s">
        <v>3629</v>
      </c>
    </row>
    <row r="2001" customFormat="false" ht="15" hidden="false" customHeight="false" outlineLevel="0" collapsed="false">
      <c r="A2001" s="4" t="s">
        <v>5000</v>
      </c>
      <c r="B2001" s="4" t="s">
        <v>4990</v>
      </c>
      <c r="C2001" s="4" t="s">
        <v>4650</v>
      </c>
      <c r="D2001" s="4" t="s">
        <v>4651</v>
      </c>
      <c r="E2001" s="4" t="s">
        <v>306</v>
      </c>
      <c r="F2001" s="4" t="s">
        <v>3710</v>
      </c>
      <c r="G2001" s="4" t="s">
        <v>38</v>
      </c>
      <c r="H2001" s="4" t="s">
        <v>3676</v>
      </c>
      <c r="I2001" s="4" t="s">
        <v>4776</v>
      </c>
      <c r="J2001" s="4" t="s">
        <v>40</v>
      </c>
      <c r="K2001" s="4" t="s">
        <v>3876</v>
      </c>
      <c r="L2001" s="4" t="s">
        <v>736</v>
      </c>
      <c r="M2001" s="4" t="s">
        <v>737</v>
      </c>
      <c r="N2001" s="4" t="s">
        <v>44</v>
      </c>
      <c r="O2001" s="4" t="s">
        <v>3877</v>
      </c>
      <c r="P2001" s="4" t="s">
        <v>3629</v>
      </c>
    </row>
    <row r="2002" customFormat="false" ht="15" hidden="false" customHeight="false" outlineLevel="0" collapsed="false">
      <c r="A2002" s="4" t="s">
        <v>5001</v>
      </c>
      <c r="B2002" s="4" t="s">
        <v>5002</v>
      </c>
      <c r="C2002" s="4" t="s">
        <v>4650</v>
      </c>
      <c r="D2002" s="4" t="s">
        <v>4651</v>
      </c>
      <c r="E2002" s="4" t="s">
        <v>345</v>
      </c>
      <c r="F2002" s="4" t="s">
        <v>3406</v>
      </c>
      <c r="G2002" s="4" t="s">
        <v>38</v>
      </c>
      <c r="H2002" s="4" t="s">
        <v>3676</v>
      </c>
      <c r="I2002" s="4" t="s">
        <v>4652</v>
      </c>
      <c r="J2002" s="4" t="s">
        <v>40</v>
      </c>
      <c r="K2002" s="4" t="s">
        <v>4147</v>
      </c>
      <c r="L2002" s="4" t="s">
        <v>3406</v>
      </c>
      <c r="M2002" s="4" t="s">
        <v>737</v>
      </c>
      <c r="N2002" s="4" t="s">
        <v>44</v>
      </c>
      <c r="O2002" s="4" t="s">
        <v>4148</v>
      </c>
      <c r="P2002" s="4" t="s">
        <v>3629</v>
      </c>
    </row>
    <row r="2003" customFormat="false" ht="15" hidden="false" customHeight="false" outlineLevel="0" collapsed="false">
      <c r="A2003" s="4" t="s">
        <v>5003</v>
      </c>
      <c r="B2003" s="4" t="s">
        <v>4997</v>
      </c>
      <c r="C2003" s="4" t="s">
        <v>4650</v>
      </c>
      <c r="D2003" s="4" t="s">
        <v>4651</v>
      </c>
      <c r="E2003" s="4" t="s">
        <v>306</v>
      </c>
      <c r="F2003" s="4" t="s">
        <v>736</v>
      </c>
      <c r="G2003" s="4" t="s">
        <v>38</v>
      </c>
      <c r="H2003" s="4" t="s">
        <v>3676</v>
      </c>
      <c r="I2003" s="4" t="s">
        <v>5004</v>
      </c>
      <c r="J2003" s="4" t="s">
        <v>149</v>
      </c>
      <c r="K2003" s="4" t="s">
        <v>5005</v>
      </c>
      <c r="L2003" s="4" t="s">
        <v>837</v>
      </c>
      <c r="M2003" s="4" t="s">
        <v>838</v>
      </c>
      <c r="N2003" s="4" t="s">
        <v>44</v>
      </c>
      <c r="O2003" s="4" t="s">
        <v>5006</v>
      </c>
      <c r="P2003" s="4" t="s">
        <v>3629</v>
      </c>
    </row>
    <row r="2004" customFormat="false" ht="15" hidden="false" customHeight="false" outlineLevel="0" collapsed="false">
      <c r="A2004" s="4" t="s">
        <v>5007</v>
      </c>
      <c r="B2004" s="4" t="s">
        <v>4997</v>
      </c>
      <c r="C2004" s="4" t="s">
        <v>4650</v>
      </c>
      <c r="D2004" s="4" t="s">
        <v>4651</v>
      </c>
      <c r="E2004" s="4" t="s">
        <v>306</v>
      </c>
      <c r="F2004" s="4" t="s">
        <v>736</v>
      </c>
      <c r="G2004" s="4" t="s">
        <v>38</v>
      </c>
      <c r="H2004" s="4" t="s">
        <v>3676</v>
      </c>
      <c r="I2004" s="4" t="s">
        <v>5008</v>
      </c>
      <c r="J2004" s="4" t="s">
        <v>40</v>
      </c>
      <c r="K2004" s="4" t="s">
        <v>5009</v>
      </c>
      <c r="L2004" s="4" t="s">
        <v>994</v>
      </c>
      <c r="M2004" s="4" t="s">
        <v>873</v>
      </c>
      <c r="N2004" s="4" t="s">
        <v>44</v>
      </c>
      <c r="O2004" s="4" t="s">
        <v>5010</v>
      </c>
      <c r="P2004" s="4" t="s">
        <v>3629</v>
      </c>
    </row>
    <row r="2005" customFormat="false" ht="15" hidden="false" customHeight="false" outlineLevel="0" collapsed="false">
      <c r="A2005" s="4" t="s">
        <v>5011</v>
      </c>
      <c r="B2005" s="4" t="s">
        <v>5012</v>
      </c>
      <c r="C2005" s="4" t="s">
        <v>4650</v>
      </c>
      <c r="D2005" s="4" t="s">
        <v>4651</v>
      </c>
      <c r="E2005" s="4" t="s">
        <v>311</v>
      </c>
      <c r="F2005" s="4" t="s">
        <v>736</v>
      </c>
      <c r="G2005" s="4" t="s">
        <v>38</v>
      </c>
      <c r="H2005" s="4" t="s">
        <v>3676</v>
      </c>
      <c r="I2005" s="4" t="s">
        <v>4823</v>
      </c>
      <c r="J2005" s="4" t="s">
        <v>68</v>
      </c>
      <c r="K2005" s="4" t="s">
        <v>5013</v>
      </c>
      <c r="L2005" s="4" t="s">
        <v>596</v>
      </c>
      <c r="M2005" s="4" t="s">
        <v>695</v>
      </c>
      <c r="N2005" s="4" t="s">
        <v>44</v>
      </c>
      <c r="O2005" s="4" t="s">
        <v>5014</v>
      </c>
      <c r="P2005" s="4" t="s">
        <v>3629</v>
      </c>
    </row>
    <row r="2006" customFormat="false" ht="15" hidden="false" customHeight="false" outlineLevel="0" collapsed="false">
      <c r="A2006" s="4" t="s">
        <v>5015</v>
      </c>
      <c r="B2006" s="4" t="s">
        <v>5016</v>
      </c>
      <c r="C2006" s="4" t="s">
        <v>5017</v>
      </c>
      <c r="D2006" s="4" t="s">
        <v>3624</v>
      </c>
      <c r="E2006" s="4" t="s">
        <v>57</v>
      </c>
      <c r="F2006" s="4" t="s">
        <v>1584</v>
      </c>
      <c r="G2006" s="4" t="s">
        <v>59</v>
      </c>
      <c r="H2006" s="4" t="s">
        <v>3676</v>
      </c>
      <c r="I2006" s="4"/>
      <c r="J2006" s="4" t="s">
        <v>149</v>
      </c>
      <c r="K2006" s="4" t="s">
        <v>4014</v>
      </c>
      <c r="L2006" s="4" t="s">
        <v>3406</v>
      </c>
      <c r="M2006" s="4" t="s">
        <v>737</v>
      </c>
      <c r="N2006" s="4" t="s">
        <v>44</v>
      </c>
      <c r="O2006" s="4" t="s">
        <v>4015</v>
      </c>
      <c r="P2006" s="4" t="s">
        <v>3629</v>
      </c>
    </row>
    <row r="2007" customFormat="false" ht="15" hidden="false" customHeight="false" outlineLevel="0" collapsed="false">
      <c r="A2007" s="4" t="s">
        <v>5018</v>
      </c>
      <c r="B2007" s="4" t="s">
        <v>5016</v>
      </c>
      <c r="C2007" s="4" t="s">
        <v>5019</v>
      </c>
      <c r="D2007" s="4" t="s">
        <v>3624</v>
      </c>
      <c r="E2007" s="4" t="s">
        <v>89</v>
      </c>
      <c r="F2007" s="4" t="s">
        <v>736</v>
      </c>
      <c r="G2007" s="4" t="s">
        <v>38</v>
      </c>
      <c r="H2007" s="4" t="s">
        <v>3632</v>
      </c>
      <c r="I2007" s="4" t="s">
        <v>3669</v>
      </c>
      <c r="J2007" s="4" t="s">
        <v>81</v>
      </c>
      <c r="K2007" s="4" t="s">
        <v>4159</v>
      </c>
      <c r="L2007" s="4" t="s">
        <v>736</v>
      </c>
      <c r="M2007" s="4" t="s">
        <v>737</v>
      </c>
      <c r="N2007" s="4" t="s">
        <v>44</v>
      </c>
      <c r="O2007" s="4" t="s">
        <v>4160</v>
      </c>
      <c r="P2007" s="4" t="s">
        <v>3629</v>
      </c>
    </row>
    <row r="2008" customFormat="false" ht="15" hidden="false" customHeight="false" outlineLevel="0" collapsed="false">
      <c r="A2008" s="4" t="s">
        <v>5020</v>
      </c>
      <c r="B2008" s="4" t="s">
        <v>5021</v>
      </c>
      <c r="C2008" s="4" t="s">
        <v>4650</v>
      </c>
      <c r="D2008" s="4" t="s">
        <v>4651</v>
      </c>
      <c r="E2008" s="4" t="s">
        <v>306</v>
      </c>
      <c r="F2008" s="4" t="s">
        <v>3710</v>
      </c>
      <c r="G2008" s="4" t="s">
        <v>59</v>
      </c>
      <c r="H2008" s="4" t="s">
        <v>3625</v>
      </c>
      <c r="I2008" s="4" t="s">
        <v>4762</v>
      </c>
      <c r="J2008" s="4" t="s">
        <v>68</v>
      </c>
      <c r="K2008" s="4" t="s">
        <v>4035</v>
      </c>
      <c r="L2008" s="4" t="s">
        <v>736</v>
      </c>
      <c r="M2008" s="4" t="s">
        <v>737</v>
      </c>
      <c r="N2008" s="4" t="s">
        <v>94</v>
      </c>
      <c r="O2008" s="4" t="s">
        <v>4036</v>
      </c>
      <c r="P2008" s="4" t="s">
        <v>3629</v>
      </c>
    </row>
    <row r="2009" customFormat="false" ht="15" hidden="false" customHeight="false" outlineLevel="0" collapsed="false">
      <c r="A2009" s="4" t="s">
        <v>5022</v>
      </c>
      <c r="B2009" s="4" t="s">
        <v>5021</v>
      </c>
      <c r="C2009" s="4" t="s">
        <v>4650</v>
      </c>
      <c r="D2009" s="4" t="s">
        <v>4651</v>
      </c>
      <c r="E2009" s="4" t="s">
        <v>306</v>
      </c>
      <c r="F2009" s="4" t="s">
        <v>736</v>
      </c>
      <c r="G2009" s="4" t="s">
        <v>326</v>
      </c>
      <c r="H2009" s="4" t="s">
        <v>3632</v>
      </c>
      <c r="I2009" s="4" t="s">
        <v>5023</v>
      </c>
      <c r="J2009" s="4" t="s">
        <v>68</v>
      </c>
      <c r="K2009" s="4" t="s">
        <v>4202</v>
      </c>
      <c r="L2009" s="4" t="s">
        <v>736</v>
      </c>
      <c r="M2009" s="4" t="s">
        <v>737</v>
      </c>
      <c r="N2009" s="4" t="s">
        <v>44</v>
      </c>
      <c r="O2009" s="4" t="s">
        <v>4203</v>
      </c>
      <c r="P2009" s="4" t="s">
        <v>3629</v>
      </c>
    </row>
    <row r="2010" customFormat="false" ht="15" hidden="false" customHeight="false" outlineLevel="0" collapsed="false">
      <c r="A2010" s="4" t="s">
        <v>5024</v>
      </c>
      <c r="B2010" s="4" t="s">
        <v>5021</v>
      </c>
      <c r="C2010" s="4" t="s">
        <v>4650</v>
      </c>
      <c r="D2010" s="4" t="s">
        <v>4651</v>
      </c>
      <c r="E2010" s="4" t="s">
        <v>311</v>
      </c>
      <c r="F2010" s="4" t="s">
        <v>736</v>
      </c>
      <c r="G2010" s="4" t="s">
        <v>38</v>
      </c>
      <c r="H2010" s="4" t="s">
        <v>3676</v>
      </c>
      <c r="I2010" s="4" t="s">
        <v>4057</v>
      </c>
      <c r="J2010" s="4" t="s">
        <v>40</v>
      </c>
      <c r="K2010" s="4" t="s">
        <v>5025</v>
      </c>
      <c r="L2010" s="4" t="s">
        <v>988</v>
      </c>
      <c r="M2010" s="4" t="s">
        <v>1683</v>
      </c>
      <c r="N2010" s="4" t="s">
        <v>94</v>
      </c>
      <c r="O2010" s="4" t="s">
        <v>5026</v>
      </c>
      <c r="P2010" s="4" t="s">
        <v>3629</v>
      </c>
    </row>
    <row r="2011" customFormat="false" ht="15" hidden="false" customHeight="false" outlineLevel="0" collapsed="false">
      <c r="A2011" s="4" t="s">
        <v>5027</v>
      </c>
      <c r="B2011" s="4" t="s">
        <v>5021</v>
      </c>
      <c r="C2011" s="4" t="s">
        <v>4650</v>
      </c>
      <c r="D2011" s="4" t="s">
        <v>4651</v>
      </c>
      <c r="E2011" s="4" t="s">
        <v>306</v>
      </c>
      <c r="F2011" s="4" t="s">
        <v>736</v>
      </c>
      <c r="G2011" s="4" t="s">
        <v>59</v>
      </c>
      <c r="H2011" s="4" t="s">
        <v>3706</v>
      </c>
      <c r="I2011" s="4" t="s">
        <v>5028</v>
      </c>
      <c r="J2011" s="4" t="s">
        <v>40</v>
      </c>
      <c r="K2011" s="4" t="s">
        <v>3736</v>
      </c>
      <c r="L2011" s="4" t="s">
        <v>736</v>
      </c>
      <c r="M2011" s="4" t="s">
        <v>737</v>
      </c>
      <c r="N2011" s="4" t="s">
        <v>44</v>
      </c>
      <c r="O2011" s="4" t="s">
        <v>3737</v>
      </c>
      <c r="P2011" s="4" t="s">
        <v>3629</v>
      </c>
    </row>
    <row r="2012" customFormat="false" ht="15" hidden="false" customHeight="false" outlineLevel="0" collapsed="false">
      <c r="A2012" s="4" t="s">
        <v>5029</v>
      </c>
      <c r="B2012" s="4" t="s">
        <v>5021</v>
      </c>
      <c r="C2012" s="4" t="s">
        <v>4650</v>
      </c>
      <c r="D2012" s="4" t="s">
        <v>4651</v>
      </c>
      <c r="E2012" s="4" t="s">
        <v>306</v>
      </c>
      <c r="F2012" s="4" t="s">
        <v>3406</v>
      </c>
      <c r="G2012" s="4" t="s">
        <v>59</v>
      </c>
      <c r="H2012" s="4" t="s">
        <v>3676</v>
      </c>
      <c r="I2012" s="4" t="s">
        <v>5030</v>
      </c>
      <c r="J2012" s="4" t="s">
        <v>68</v>
      </c>
      <c r="K2012" s="4" t="s">
        <v>2178</v>
      </c>
      <c r="L2012" s="4" t="s">
        <v>736</v>
      </c>
      <c r="M2012" s="4" t="s">
        <v>737</v>
      </c>
      <c r="N2012" s="4" t="s">
        <v>44</v>
      </c>
      <c r="O2012" s="4" t="s">
        <v>2179</v>
      </c>
      <c r="P2012" s="4" t="s">
        <v>3629</v>
      </c>
    </row>
    <row r="2013" customFormat="false" ht="15" hidden="false" customHeight="false" outlineLevel="0" collapsed="false">
      <c r="A2013" s="4" t="s">
        <v>5031</v>
      </c>
      <c r="B2013" s="4" t="s">
        <v>5021</v>
      </c>
      <c r="C2013" s="4" t="s">
        <v>4650</v>
      </c>
      <c r="D2013" s="4" t="s">
        <v>4651</v>
      </c>
      <c r="E2013" s="4" t="s">
        <v>306</v>
      </c>
      <c r="F2013" s="4" t="s">
        <v>736</v>
      </c>
      <c r="G2013" s="4" t="s">
        <v>38</v>
      </c>
      <c r="H2013" s="4" t="s">
        <v>3625</v>
      </c>
      <c r="I2013" s="4" t="s">
        <v>4046</v>
      </c>
      <c r="J2013" s="4" t="s">
        <v>40</v>
      </c>
      <c r="K2013" s="4" t="s">
        <v>4514</v>
      </c>
      <c r="L2013" s="4" t="s">
        <v>736</v>
      </c>
      <c r="M2013" s="4" t="s">
        <v>737</v>
      </c>
      <c r="N2013" s="4" t="s">
        <v>44</v>
      </c>
      <c r="O2013" s="4" t="s">
        <v>4515</v>
      </c>
      <c r="P2013" s="4" t="s">
        <v>3629</v>
      </c>
    </row>
    <row r="2014" customFormat="false" ht="15" hidden="false" customHeight="false" outlineLevel="0" collapsed="false">
      <c r="A2014" s="4" t="s">
        <v>5011</v>
      </c>
      <c r="B2014" s="4" t="s">
        <v>5012</v>
      </c>
      <c r="C2014" s="4" t="s">
        <v>4650</v>
      </c>
      <c r="D2014" s="4" t="s">
        <v>4651</v>
      </c>
      <c r="E2014" s="4" t="s">
        <v>311</v>
      </c>
      <c r="F2014" s="4" t="s">
        <v>736</v>
      </c>
      <c r="G2014" s="4" t="s">
        <v>38</v>
      </c>
      <c r="H2014" s="4" t="s">
        <v>3676</v>
      </c>
      <c r="I2014" s="4" t="s">
        <v>4823</v>
      </c>
      <c r="J2014" s="4" t="s">
        <v>68</v>
      </c>
      <c r="K2014" s="4" t="s">
        <v>5013</v>
      </c>
      <c r="L2014" s="4" t="s">
        <v>596</v>
      </c>
      <c r="M2014" s="4" t="s">
        <v>695</v>
      </c>
      <c r="N2014" s="4" t="s">
        <v>44</v>
      </c>
      <c r="O2014" s="4" t="s">
        <v>5014</v>
      </c>
      <c r="P2014" s="4" t="s">
        <v>3629</v>
      </c>
    </row>
    <row r="2015" customFormat="false" ht="15" hidden="false" customHeight="false" outlineLevel="0" collapsed="false">
      <c r="A2015" s="4" t="s">
        <v>5032</v>
      </c>
      <c r="B2015" s="4" t="s">
        <v>5021</v>
      </c>
      <c r="C2015" s="4" t="s">
        <v>4650</v>
      </c>
      <c r="D2015" s="4" t="s">
        <v>4651</v>
      </c>
      <c r="E2015" s="4" t="s">
        <v>306</v>
      </c>
      <c r="F2015" s="4" t="s">
        <v>736</v>
      </c>
      <c r="G2015" s="4" t="s">
        <v>38</v>
      </c>
      <c r="H2015" s="4" t="s">
        <v>3676</v>
      </c>
      <c r="I2015" s="4" t="s">
        <v>4325</v>
      </c>
      <c r="J2015" s="4" t="s">
        <v>40</v>
      </c>
      <c r="K2015" s="4" t="s">
        <v>4335</v>
      </c>
      <c r="L2015" s="4" t="s">
        <v>736</v>
      </c>
      <c r="M2015" s="4" t="s">
        <v>1683</v>
      </c>
      <c r="N2015" s="4" t="s">
        <v>44</v>
      </c>
      <c r="O2015" s="4" t="s">
        <v>4336</v>
      </c>
      <c r="P2015" s="4" t="s">
        <v>3629</v>
      </c>
    </row>
    <row r="2016" customFormat="false" ht="15" hidden="false" customHeight="false" outlineLevel="0" collapsed="false">
      <c r="A2016" s="4" t="s">
        <v>5033</v>
      </c>
      <c r="B2016" s="4" t="s">
        <v>5021</v>
      </c>
      <c r="C2016" s="4" t="s">
        <v>4650</v>
      </c>
      <c r="D2016" s="4" t="s">
        <v>4651</v>
      </c>
      <c r="E2016" s="4" t="s">
        <v>306</v>
      </c>
      <c r="F2016" s="4" t="s">
        <v>3406</v>
      </c>
      <c r="G2016" s="4" t="s">
        <v>38</v>
      </c>
      <c r="H2016" s="4" t="s">
        <v>3625</v>
      </c>
      <c r="I2016" s="4" t="s">
        <v>4242</v>
      </c>
      <c r="J2016" s="4" t="s">
        <v>40</v>
      </c>
      <c r="K2016" s="4" t="s">
        <v>3912</v>
      </c>
      <c r="L2016" s="4" t="s">
        <v>736</v>
      </c>
      <c r="M2016" s="4" t="s">
        <v>737</v>
      </c>
      <c r="N2016" s="4" t="s">
        <v>185</v>
      </c>
      <c r="O2016" s="4" t="s">
        <v>3913</v>
      </c>
      <c r="P2016" s="4" t="s">
        <v>3629</v>
      </c>
    </row>
    <row r="2017" customFormat="false" ht="15" hidden="false" customHeight="false" outlineLevel="0" collapsed="false">
      <c r="A2017" s="4" t="s">
        <v>5034</v>
      </c>
      <c r="B2017" s="4" t="s">
        <v>5021</v>
      </c>
      <c r="C2017" s="4" t="s">
        <v>4650</v>
      </c>
      <c r="D2017" s="4" t="s">
        <v>4651</v>
      </c>
      <c r="E2017" s="4" t="s">
        <v>306</v>
      </c>
      <c r="F2017" s="4" t="s">
        <v>736</v>
      </c>
      <c r="G2017" s="4" t="s">
        <v>59</v>
      </c>
      <c r="H2017" s="4" t="s">
        <v>3676</v>
      </c>
      <c r="I2017" s="4" t="s">
        <v>5035</v>
      </c>
      <c r="J2017" s="4" t="s">
        <v>81</v>
      </c>
      <c r="K2017" s="4" t="s">
        <v>2145</v>
      </c>
      <c r="L2017" s="4" t="s">
        <v>988</v>
      </c>
      <c r="M2017" s="4" t="s">
        <v>737</v>
      </c>
      <c r="N2017" s="4" t="s">
        <v>44</v>
      </c>
      <c r="O2017" s="4" t="s">
        <v>2147</v>
      </c>
      <c r="P2017" s="4" t="s">
        <v>3629</v>
      </c>
    </row>
    <row r="2018" customFormat="false" ht="15" hidden="false" customHeight="false" outlineLevel="0" collapsed="false">
      <c r="A2018" s="4" t="s">
        <v>5036</v>
      </c>
      <c r="B2018" s="4" t="s">
        <v>5037</v>
      </c>
      <c r="C2018" s="4" t="s">
        <v>4650</v>
      </c>
      <c r="D2018" s="4" t="s">
        <v>4651</v>
      </c>
      <c r="E2018" s="4" t="s">
        <v>306</v>
      </c>
      <c r="F2018" s="4" t="s">
        <v>736</v>
      </c>
      <c r="G2018" s="4" t="s">
        <v>59</v>
      </c>
      <c r="H2018" s="4" t="s">
        <v>3632</v>
      </c>
      <c r="I2018" s="4" t="s">
        <v>5038</v>
      </c>
      <c r="J2018" s="4" t="s">
        <v>81</v>
      </c>
      <c r="K2018" s="4" t="s">
        <v>5039</v>
      </c>
      <c r="L2018" s="4" t="s">
        <v>736</v>
      </c>
      <c r="M2018" s="4" t="s">
        <v>1683</v>
      </c>
      <c r="N2018" s="4" t="s">
        <v>44</v>
      </c>
      <c r="O2018" s="4" t="s">
        <v>5040</v>
      </c>
      <c r="P2018" s="4" t="s">
        <v>3629</v>
      </c>
    </row>
    <row r="2019" customFormat="false" ht="15" hidden="false" customHeight="false" outlineLevel="0" collapsed="false">
      <c r="A2019" s="4" t="s">
        <v>5041</v>
      </c>
      <c r="B2019" s="4" t="s">
        <v>5037</v>
      </c>
      <c r="C2019" s="4" t="s">
        <v>4650</v>
      </c>
      <c r="D2019" s="4" t="s">
        <v>4651</v>
      </c>
      <c r="E2019" s="4" t="s">
        <v>306</v>
      </c>
      <c r="F2019" s="4" t="s">
        <v>736</v>
      </c>
      <c r="G2019" s="4" t="s">
        <v>326</v>
      </c>
      <c r="H2019" s="4" t="s">
        <v>3625</v>
      </c>
      <c r="I2019" s="4" t="s">
        <v>4780</v>
      </c>
      <c r="J2019" s="4" t="s">
        <v>81</v>
      </c>
      <c r="K2019" s="4" t="s">
        <v>3702</v>
      </c>
      <c r="L2019" s="4" t="s">
        <v>736</v>
      </c>
      <c r="M2019" s="4" t="s">
        <v>737</v>
      </c>
      <c r="N2019" s="4" t="s">
        <v>44</v>
      </c>
      <c r="O2019" s="4" t="s">
        <v>3703</v>
      </c>
      <c r="P2019" s="4" t="s">
        <v>3629</v>
      </c>
    </row>
    <row r="2020" customFormat="false" ht="15" hidden="false" customHeight="false" outlineLevel="0" collapsed="false">
      <c r="A2020" s="4" t="s">
        <v>5042</v>
      </c>
      <c r="B2020" s="4" t="s">
        <v>5037</v>
      </c>
      <c r="C2020" s="4" t="s">
        <v>4650</v>
      </c>
      <c r="D2020" s="4" t="s">
        <v>4651</v>
      </c>
      <c r="E2020" s="4" t="s">
        <v>306</v>
      </c>
      <c r="F2020" s="4" t="s">
        <v>1584</v>
      </c>
      <c r="G2020" s="4" t="s">
        <v>38</v>
      </c>
      <c r="H2020" s="4" t="s">
        <v>3706</v>
      </c>
      <c r="I2020" s="4" t="s">
        <v>5043</v>
      </c>
      <c r="J2020" s="4" t="s">
        <v>81</v>
      </c>
      <c r="K2020" s="4" t="s">
        <v>4397</v>
      </c>
      <c r="L2020" s="4" t="s">
        <v>736</v>
      </c>
      <c r="M2020" s="4" t="s">
        <v>737</v>
      </c>
      <c r="N2020" s="4" t="s">
        <v>44</v>
      </c>
      <c r="O2020" s="4" t="s">
        <v>4398</v>
      </c>
      <c r="P2020" s="4" t="s">
        <v>3629</v>
      </c>
    </row>
    <row r="2021" customFormat="false" ht="15" hidden="false" customHeight="false" outlineLevel="0" collapsed="false">
      <c r="A2021" s="4" t="s">
        <v>5044</v>
      </c>
      <c r="B2021" s="4" t="s">
        <v>5045</v>
      </c>
      <c r="C2021" s="4" t="s">
        <v>4650</v>
      </c>
      <c r="D2021" s="4" t="s">
        <v>4651</v>
      </c>
      <c r="E2021" s="4" t="s">
        <v>306</v>
      </c>
      <c r="F2021" s="4" t="s">
        <v>3710</v>
      </c>
      <c r="G2021" s="4" t="s">
        <v>59</v>
      </c>
      <c r="H2021" s="4" t="s">
        <v>3632</v>
      </c>
      <c r="I2021" s="4" t="s">
        <v>5046</v>
      </c>
      <c r="J2021" s="4" t="s">
        <v>40</v>
      </c>
      <c r="K2021" s="4" t="s">
        <v>3509</v>
      </c>
      <c r="L2021" s="4" t="s">
        <v>376</v>
      </c>
      <c r="M2021" s="4" t="s">
        <v>1412</v>
      </c>
      <c r="N2021" s="4" t="s">
        <v>44</v>
      </c>
      <c r="O2021" s="4" t="s">
        <v>3510</v>
      </c>
      <c r="P2021" s="4" t="s">
        <v>3629</v>
      </c>
    </row>
    <row r="2022" customFormat="false" ht="15" hidden="false" customHeight="false" outlineLevel="0" collapsed="false">
      <c r="A2022" s="4" t="s">
        <v>5047</v>
      </c>
      <c r="B2022" s="4" t="s">
        <v>5045</v>
      </c>
      <c r="C2022" s="4" t="s">
        <v>4650</v>
      </c>
      <c r="D2022" s="4" t="s">
        <v>4651</v>
      </c>
      <c r="E2022" s="4" t="s">
        <v>325</v>
      </c>
      <c r="F2022" s="4" t="s">
        <v>3406</v>
      </c>
      <c r="G2022" s="4" t="s">
        <v>59</v>
      </c>
      <c r="H2022" s="4" t="s">
        <v>3625</v>
      </c>
      <c r="I2022" s="4" t="s">
        <v>5048</v>
      </c>
      <c r="J2022" s="4" t="s">
        <v>81</v>
      </c>
      <c r="K2022" s="4" t="s">
        <v>3894</v>
      </c>
      <c r="L2022" s="4" t="s">
        <v>3406</v>
      </c>
      <c r="M2022" s="4" t="s">
        <v>737</v>
      </c>
      <c r="N2022" s="4" t="s">
        <v>44</v>
      </c>
      <c r="O2022" s="4" t="s">
        <v>3895</v>
      </c>
      <c r="P2022" s="4" t="s">
        <v>3629</v>
      </c>
    </row>
    <row r="2023" customFormat="false" ht="15" hidden="false" customHeight="false" outlineLevel="0" collapsed="false">
      <c r="A2023" s="4" t="s">
        <v>5049</v>
      </c>
      <c r="B2023" s="4" t="s">
        <v>5045</v>
      </c>
      <c r="C2023" s="4" t="s">
        <v>4650</v>
      </c>
      <c r="D2023" s="4" t="s">
        <v>4651</v>
      </c>
      <c r="E2023" s="4" t="s">
        <v>306</v>
      </c>
      <c r="F2023" s="4" t="s">
        <v>736</v>
      </c>
      <c r="G2023" s="4" t="s">
        <v>38</v>
      </c>
      <c r="H2023" s="4" t="s">
        <v>3625</v>
      </c>
      <c r="I2023" s="4" t="s">
        <v>5050</v>
      </c>
      <c r="J2023" s="4" t="s">
        <v>40</v>
      </c>
      <c r="K2023" s="4" t="s">
        <v>3845</v>
      </c>
      <c r="L2023" s="4" t="s">
        <v>736</v>
      </c>
      <c r="M2023" s="4" t="s">
        <v>737</v>
      </c>
      <c r="N2023" s="4" t="s">
        <v>44</v>
      </c>
      <c r="O2023" s="4" t="s">
        <v>3846</v>
      </c>
      <c r="P2023" s="4" t="s">
        <v>3629</v>
      </c>
    </row>
    <row r="2024" customFormat="false" ht="15" hidden="false" customHeight="false" outlineLevel="0" collapsed="false">
      <c r="A2024" s="4" t="s">
        <v>5051</v>
      </c>
      <c r="B2024" s="4" t="s">
        <v>5045</v>
      </c>
      <c r="C2024" s="4" t="s">
        <v>4650</v>
      </c>
      <c r="D2024" s="4" t="s">
        <v>4651</v>
      </c>
      <c r="E2024" s="4" t="s">
        <v>306</v>
      </c>
      <c r="F2024" s="4" t="s">
        <v>736</v>
      </c>
      <c r="G2024" s="4" t="s">
        <v>38</v>
      </c>
      <c r="H2024" s="4" t="s">
        <v>3632</v>
      </c>
      <c r="I2024" s="4" t="s">
        <v>5052</v>
      </c>
      <c r="J2024" s="4" t="s">
        <v>40</v>
      </c>
      <c r="K2024" s="4" t="s">
        <v>735</v>
      </c>
      <c r="L2024" s="4" t="s">
        <v>736</v>
      </c>
      <c r="M2024" s="4" t="s">
        <v>737</v>
      </c>
      <c r="N2024" s="4" t="s">
        <v>44</v>
      </c>
      <c r="O2024" s="4" t="s">
        <v>738</v>
      </c>
      <c r="P2024" s="4" t="s">
        <v>3629</v>
      </c>
    </row>
    <row r="2025" customFormat="false" ht="15" hidden="false" customHeight="false" outlineLevel="0" collapsed="false">
      <c r="A2025" s="4" t="s">
        <v>5053</v>
      </c>
      <c r="B2025" s="4" t="s">
        <v>5045</v>
      </c>
      <c r="C2025" s="4" t="s">
        <v>5054</v>
      </c>
      <c r="D2025" s="4" t="s">
        <v>3624</v>
      </c>
      <c r="E2025" s="4" t="s">
        <v>36</v>
      </c>
      <c r="F2025" s="4" t="s">
        <v>736</v>
      </c>
      <c r="G2025" s="4" t="s">
        <v>59</v>
      </c>
      <c r="H2025" s="4" t="s">
        <v>4039</v>
      </c>
      <c r="I2025" s="4" t="s">
        <v>3682</v>
      </c>
      <c r="J2025" s="4" t="s">
        <v>68</v>
      </c>
      <c r="K2025" s="4" t="s">
        <v>5055</v>
      </c>
      <c r="L2025" s="4" t="s">
        <v>736</v>
      </c>
      <c r="M2025" s="4" t="s">
        <v>737</v>
      </c>
      <c r="N2025" s="4" t="s">
        <v>44</v>
      </c>
      <c r="O2025" s="4" t="s">
        <v>5056</v>
      </c>
      <c r="P2025" s="4" t="s">
        <v>3629</v>
      </c>
    </row>
    <row r="2026" customFormat="false" ht="15" hidden="false" customHeight="false" outlineLevel="0" collapsed="false">
      <c r="A2026" s="4" t="s">
        <v>5057</v>
      </c>
      <c r="B2026" s="4" t="s">
        <v>5054</v>
      </c>
      <c r="C2026" s="4" t="s">
        <v>4650</v>
      </c>
      <c r="D2026" s="4" t="s">
        <v>4651</v>
      </c>
      <c r="E2026" s="4" t="s">
        <v>345</v>
      </c>
      <c r="F2026" s="4" t="s">
        <v>1584</v>
      </c>
      <c r="G2026" s="4" t="s">
        <v>38</v>
      </c>
      <c r="H2026" s="4" t="s">
        <v>3632</v>
      </c>
      <c r="I2026" s="4" t="s">
        <v>4696</v>
      </c>
      <c r="J2026" s="4" t="s">
        <v>40</v>
      </c>
      <c r="K2026" s="4" t="s">
        <v>5039</v>
      </c>
      <c r="L2026" s="4" t="s">
        <v>736</v>
      </c>
      <c r="M2026" s="4" t="s">
        <v>1683</v>
      </c>
      <c r="N2026" s="4" t="s">
        <v>44</v>
      </c>
      <c r="O2026" s="4" t="s">
        <v>5040</v>
      </c>
      <c r="P2026" s="4" t="s">
        <v>3629</v>
      </c>
    </row>
    <row r="2027" customFormat="false" ht="15" hidden="false" customHeight="false" outlineLevel="0" collapsed="false">
      <c r="A2027" s="4" t="s">
        <v>5058</v>
      </c>
      <c r="B2027" s="4" t="s">
        <v>5054</v>
      </c>
      <c r="C2027" s="4" t="s">
        <v>4650</v>
      </c>
      <c r="D2027" s="4" t="s">
        <v>4651</v>
      </c>
      <c r="E2027" s="4" t="s">
        <v>306</v>
      </c>
      <c r="F2027" s="4" t="s">
        <v>3406</v>
      </c>
      <c r="G2027" s="4" t="s">
        <v>59</v>
      </c>
      <c r="H2027" s="4" t="s">
        <v>3676</v>
      </c>
      <c r="I2027" s="4" t="s">
        <v>4197</v>
      </c>
      <c r="J2027" s="4" t="s">
        <v>68</v>
      </c>
      <c r="K2027" s="4" t="s">
        <v>5059</v>
      </c>
      <c r="L2027" s="4" t="s">
        <v>994</v>
      </c>
      <c r="M2027" s="4" t="s">
        <v>334</v>
      </c>
      <c r="N2027" s="4" t="s">
        <v>44</v>
      </c>
      <c r="O2027" s="4" t="s">
        <v>5060</v>
      </c>
      <c r="P2027" s="4" t="s">
        <v>3629</v>
      </c>
    </row>
    <row r="2028" customFormat="false" ht="15" hidden="false" customHeight="false" outlineLevel="0" collapsed="false">
      <c r="A2028" s="4" t="s">
        <v>5061</v>
      </c>
      <c r="B2028" s="4" t="s">
        <v>5062</v>
      </c>
      <c r="C2028" s="4" t="s">
        <v>4650</v>
      </c>
      <c r="D2028" s="4" t="s">
        <v>4651</v>
      </c>
      <c r="E2028" s="4" t="s">
        <v>311</v>
      </c>
      <c r="F2028" s="4" t="s">
        <v>736</v>
      </c>
      <c r="G2028" s="4" t="s">
        <v>38</v>
      </c>
      <c r="H2028" s="4" t="s">
        <v>3625</v>
      </c>
      <c r="I2028" s="4" t="s">
        <v>4412</v>
      </c>
      <c r="J2028" s="4" t="s">
        <v>68</v>
      </c>
      <c r="K2028" s="4" t="s">
        <v>1583</v>
      </c>
      <c r="L2028" s="4" t="s">
        <v>736</v>
      </c>
      <c r="M2028" s="4" t="s">
        <v>737</v>
      </c>
      <c r="N2028" s="4" t="s">
        <v>94</v>
      </c>
      <c r="O2028" s="4" t="s">
        <v>1585</v>
      </c>
      <c r="P2028" s="4" t="s">
        <v>3629</v>
      </c>
    </row>
    <row r="2029" customFormat="false" ht="15" hidden="false" customHeight="false" outlineLevel="0" collapsed="false">
      <c r="A2029" s="4" t="s">
        <v>4975</v>
      </c>
      <c r="B2029" s="4" t="s">
        <v>4971</v>
      </c>
      <c r="C2029" s="4" t="s">
        <v>4976</v>
      </c>
      <c r="D2029" s="4" t="s">
        <v>3624</v>
      </c>
      <c r="E2029" s="4" t="s">
        <v>36</v>
      </c>
      <c r="F2029" s="4" t="s">
        <v>3710</v>
      </c>
      <c r="G2029" s="4" t="s">
        <v>59</v>
      </c>
      <c r="H2029" s="4" t="s">
        <v>3625</v>
      </c>
      <c r="I2029" s="4" t="s">
        <v>3633</v>
      </c>
      <c r="J2029" s="4" t="s">
        <v>68</v>
      </c>
      <c r="K2029" s="4" t="s">
        <v>4245</v>
      </c>
      <c r="L2029" s="4" t="s">
        <v>736</v>
      </c>
      <c r="M2029" s="4" t="s">
        <v>737</v>
      </c>
      <c r="N2029" s="4" t="s">
        <v>44</v>
      </c>
      <c r="O2029" s="4" t="s">
        <v>4246</v>
      </c>
      <c r="P2029" s="4" t="s">
        <v>3629</v>
      </c>
    </row>
    <row r="2030" customFormat="false" ht="15" hidden="false" customHeight="false" outlineLevel="0" collapsed="false">
      <c r="A2030" s="4" t="s">
        <v>5063</v>
      </c>
      <c r="B2030" s="4" t="s">
        <v>5062</v>
      </c>
      <c r="C2030" s="4" t="s">
        <v>4650</v>
      </c>
      <c r="D2030" s="4" t="s">
        <v>4651</v>
      </c>
      <c r="E2030" s="4" t="s">
        <v>306</v>
      </c>
      <c r="F2030" s="4" t="s">
        <v>3406</v>
      </c>
      <c r="G2030" s="4" t="s">
        <v>38</v>
      </c>
      <c r="H2030" s="4" t="s">
        <v>3632</v>
      </c>
      <c r="I2030" s="4" t="s">
        <v>5064</v>
      </c>
      <c r="J2030" s="4" t="s">
        <v>40</v>
      </c>
      <c r="K2030" s="4" t="s">
        <v>3662</v>
      </c>
      <c r="L2030" s="4" t="s">
        <v>736</v>
      </c>
      <c r="M2030" s="4" t="s">
        <v>737</v>
      </c>
      <c r="N2030" s="4" t="s">
        <v>44</v>
      </c>
      <c r="O2030" s="4" t="s">
        <v>3663</v>
      </c>
      <c r="P2030" s="4" t="s">
        <v>3629</v>
      </c>
    </row>
    <row r="2031" customFormat="false" ht="15" hidden="false" customHeight="false" outlineLevel="0" collapsed="false">
      <c r="A2031" s="4" t="s">
        <v>5065</v>
      </c>
      <c r="B2031" s="4" t="s">
        <v>5062</v>
      </c>
      <c r="C2031" s="4" t="s">
        <v>4650</v>
      </c>
      <c r="D2031" s="4" t="s">
        <v>4651</v>
      </c>
      <c r="E2031" s="4" t="s">
        <v>306</v>
      </c>
      <c r="F2031" s="4" t="s">
        <v>736</v>
      </c>
      <c r="G2031" s="4" t="s">
        <v>38</v>
      </c>
      <c r="H2031" s="4" t="s">
        <v>3625</v>
      </c>
      <c r="I2031" s="4" t="s">
        <v>4009</v>
      </c>
      <c r="J2031" s="4" t="s">
        <v>68</v>
      </c>
      <c r="K2031" s="4" t="s">
        <v>4951</v>
      </c>
      <c r="L2031" s="4" t="s">
        <v>736</v>
      </c>
      <c r="M2031" s="4" t="s">
        <v>737</v>
      </c>
      <c r="N2031" s="4" t="s">
        <v>44</v>
      </c>
      <c r="O2031" s="4" t="s">
        <v>4952</v>
      </c>
      <c r="P2031" s="4" t="s">
        <v>3629</v>
      </c>
    </row>
    <row r="2032" customFormat="false" ht="15" hidden="false" customHeight="false" outlineLevel="0" collapsed="false">
      <c r="A2032" s="4" t="s">
        <v>5066</v>
      </c>
      <c r="B2032" s="4" t="s">
        <v>5062</v>
      </c>
      <c r="C2032" s="4" t="s">
        <v>4650</v>
      </c>
      <c r="D2032" s="4" t="s">
        <v>4651</v>
      </c>
      <c r="E2032" s="4" t="s">
        <v>345</v>
      </c>
      <c r="F2032" s="4" t="s">
        <v>3710</v>
      </c>
      <c r="G2032" s="4" t="s">
        <v>59</v>
      </c>
      <c r="H2032" s="4" t="s">
        <v>3676</v>
      </c>
      <c r="I2032" s="4" t="s">
        <v>3844</v>
      </c>
      <c r="J2032" s="4" t="s">
        <v>149</v>
      </c>
      <c r="K2032" s="4" t="s">
        <v>3764</v>
      </c>
      <c r="L2032" s="4" t="s">
        <v>736</v>
      </c>
      <c r="M2032" s="4" t="s">
        <v>737</v>
      </c>
      <c r="N2032" s="4" t="s">
        <v>44</v>
      </c>
      <c r="O2032" s="4" t="s">
        <v>3765</v>
      </c>
      <c r="P2032" s="4" t="s">
        <v>3629</v>
      </c>
    </row>
    <row r="2033" customFormat="false" ht="15" hidden="false" customHeight="false" outlineLevel="0" collapsed="false">
      <c r="A2033" s="4" t="s">
        <v>5067</v>
      </c>
      <c r="B2033" s="4" t="s">
        <v>5062</v>
      </c>
      <c r="C2033" s="4" t="s">
        <v>4650</v>
      </c>
      <c r="D2033" s="4" t="s">
        <v>4651</v>
      </c>
      <c r="E2033" s="4" t="s">
        <v>325</v>
      </c>
      <c r="F2033" s="4" t="s">
        <v>3406</v>
      </c>
      <c r="G2033" s="4" t="s">
        <v>59</v>
      </c>
      <c r="H2033" s="4" t="s">
        <v>3676</v>
      </c>
      <c r="I2033" s="4" t="s">
        <v>4685</v>
      </c>
      <c r="J2033" s="4" t="s">
        <v>40</v>
      </c>
      <c r="K2033" s="4" t="s">
        <v>3912</v>
      </c>
      <c r="L2033" s="4" t="s">
        <v>736</v>
      </c>
      <c r="M2033" s="4" t="s">
        <v>737</v>
      </c>
      <c r="N2033" s="4" t="s">
        <v>44</v>
      </c>
      <c r="O2033" s="4" t="s">
        <v>3913</v>
      </c>
      <c r="P2033" s="4" t="s">
        <v>3629</v>
      </c>
    </row>
    <row r="2034" customFormat="false" ht="15" hidden="false" customHeight="false" outlineLevel="0" collapsed="false">
      <c r="A2034" s="4" t="s">
        <v>5068</v>
      </c>
      <c r="B2034" s="4" t="s">
        <v>5062</v>
      </c>
      <c r="C2034" s="4" t="s">
        <v>4650</v>
      </c>
      <c r="D2034" s="4" t="s">
        <v>4651</v>
      </c>
      <c r="E2034" s="4" t="s">
        <v>306</v>
      </c>
      <c r="F2034" s="4" t="s">
        <v>3635</v>
      </c>
      <c r="G2034" s="4" t="s">
        <v>326</v>
      </c>
      <c r="H2034" s="4" t="s">
        <v>3676</v>
      </c>
      <c r="I2034" s="4" t="s">
        <v>5069</v>
      </c>
      <c r="J2034" s="4" t="s">
        <v>40</v>
      </c>
      <c r="K2034" s="4" t="s">
        <v>5070</v>
      </c>
      <c r="L2034" s="4" t="s">
        <v>524</v>
      </c>
      <c r="M2034" s="4" t="s">
        <v>377</v>
      </c>
      <c r="N2034" s="4" t="s">
        <v>44</v>
      </c>
      <c r="O2034" s="4" t="s">
        <v>5071</v>
      </c>
      <c r="P2034" s="4" t="s">
        <v>3629</v>
      </c>
    </row>
    <row r="2035" customFormat="false" ht="15" hidden="false" customHeight="false" outlineLevel="0" collapsed="false">
      <c r="A2035" s="4" t="s">
        <v>5072</v>
      </c>
      <c r="B2035" s="4" t="s">
        <v>5062</v>
      </c>
      <c r="C2035" s="4" t="s">
        <v>4650</v>
      </c>
      <c r="D2035" s="4" t="s">
        <v>4651</v>
      </c>
      <c r="E2035" s="4" t="s">
        <v>325</v>
      </c>
      <c r="F2035" s="4" t="s">
        <v>736</v>
      </c>
      <c r="G2035" s="4" t="s">
        <v>38</v>
      </c>
      <c r="H2035" s="4" t="s">
        <v>3706</v>
      </c>
      <c r="I2035" s="4" t="s">
        <v>5043</v>
      </c>
      <c r="J2035" s="4" t="s">
        <v>68</v>
      </c>
      <c r="K2035" s="4" t="s">
        <v>5073</v>
      </c>
      <c r="L2035" s="4" t="s">
        <v>736</v>
      </c>
      <c r="M2035" s="4" t="s">
        <v>1683</v>
      </c>
      <c r="N2035" s="4" t="s">
        <v>44</v>
      </c>
      <c r="O2035" s="4" t="s">
        <v>5074</v>
      </c>
      <c r="P2035" s="4" t="s">
        <v>3629</v>
      </c>
    </row>
    <row r="2036" customFormat="false" ht="15" hidden="false" customHeight="false" outlineLevel="0" collapsed="false">
      <c r="A2036" s="4" t="s">
        <v>5075</v>
      </c>
      <c r="B2036" s="4" t="s">
        <v>5062</v>
      </c>
      <c r="C2036" s="4" t="s">
        <v>4650</v>
      </c>
      <c r="D2036" s="4" t="s">
        <v>4651</v>
      </c>
      <c r="E2036" s="4" t="s">
        <v>345</v>
      </c>
      <c r="F2036" s="4" t="s">
        <v>736</v>
      </c>
      <c r="G2036" s="4" t="s">
        <v>59</v>
      </c>
      <c r="H2036" s="4" t="s">
        <v>3632</v>
      </c>
      <c r="I2036" s="4" t="s">
        <v>4762</v>
      </c>
      <c r="J2036" s="4" t="s">
        <v>40</v>
      </c>
      <c r="K2036" s="4" t="s">
        <v>5076</v>
      </c>
      <c r="L2036" s="4" t="s">
        <v>988</v>
      </c>
      <c r="M2036" s="4" t="s">
        <v>737</v>
      </c>
      <c r="N2036" s="4" t="s">
        <v>44</v>
      </c>
      <c r="O2036" s="4" t="s">
        <v>5077</v>
      </c>
      <c r="P2036" s="4" t="s">
        <v>3629</v>
      </c>
    </row>
    <row r="2037" customFormat="false" ht="15" hidden="false" customHeight="false" outlineLevel="0" collapsed="false">
      <c r="A2037" s="4" t="s">
        <v>5078</v>
      </c>
      <c r="B2037" s="4" t="s">
        <v>5062</v>
      </c>
      <c r="C2037" s="4" t="s">
        <v>4650</v>
      </c>
      <c r="D2037" s="4" t="s">
        <v>4651</v>
      </c>
      <c r="E2037" s="4" t="s">
        <v>311</v>
      </c>
      <c r="F2037" s="4" t="s">
        <v>736</v>
      </c>
      <c r="G2037" s="4" t="s">
        <v>38</v>
      </c>
      <c r="H2037" s="4" t="s">
        <v>3676</v>
      </c>
      <c r="I2037" s="4" t="s">
        <v>3868</v>
      </c>
      <c r="J2037" s="4" t="s">
        <v>40</v>
      </c>
      <c r="K2037" s="4" t="s">
        <v>5079</v>
      </c>
      <c r="L2037" s="4" t="s">
        <v>455</v>
      </c>
      <c r="M2037" s="4" t="s">
        <v>456</v>
      </c>
      <c r="N2037" s="4" t="s">
        <v>44</v>
      </c>
      <c r="O2037" s="4" t="s">
        <v>5080</v>
      </c>
      <c r="P2037" s="4" t="s">
        <v>3629</v>
      </c>
    </row>
    <row r="2038" customFormat="false" ht="15" hidden="false" customHeight="false" outlineLevel="0" collapsed="false">
      <c r="A2038" s="4" t="s">
        <v>5081</v>
      </c>
      <c r="B2038" s="4" t="s">
        <v>5062</v>
      </c>
      <c r="C2038" s="4" t="s">
        <v>4650</v>
      </c>
      <c r="D2038" s="4" t="s">
        <v>4651</v>
      </c>
      <c r="E2038" s="4" t="s">
        <v>306</v>
      </c>
      <c r="F2038" s="4" t="s">
        <v>736</v>
      </c>
      <c r="G2038" s="4" t="s">
        <v>38</v>
      </c>
      <c r="H2038" s="4" t="s">
        <v>3625</v>
      </c>
      <c r="I2038" s="4" t="s">
        <v>3898</v>
      </c>
      <c r="J2038" s="4" t="s">
        <v>40</v>
      </c>
      <c r="K2038" s="4" t="s">
        <v>5082</v>
      </c>
      <c r="L2038" s="4" t="s">
        <v>988</v>
      </c>
      <c r="M2038" s="4" t="s">
        <v>1683</v>
      </c>
      <c r="N2038" s="4" t="s">
        <v>52</v>
      </c>
      <c r="O2038" s="4" t="s">
        <v>5083</v>
      </c>
      <c r="P2038" s="4" t="s">
        <v>3629</v>
      </c>
    </row>
    <row r="2039" customFormat="false" ht="15" hidden="false" customHeight="false" outlineLevel="0" collapsed="false">
      <c r="A2039" s="4" t="s">
        <v>5084</v>
      </c>
      <c r="B2039" s="4" t="s">
        <v>5085</v>
      </c>
      <c r="C2039" s="4" t="s">
        <v>4650</v>
      </c>
      <c r="D2039" s="4" t="s">
        <v>4651</v>
      </c>
      <c r="E2039" s="4" t="s">
        <v>323</v>
      </c>
      <c r="F2039" s="4" t="s">
        <v>736</v>
      </c>
      <c r="G2039" s="4" t="s">
        <v>38</v>
      </c>
      <c r="H2039" s="4" t="s">
        <v>3706</v>
      </c>
      <c r="I2039" s="4" t="s">
        <v>4808</v>
      </c>
      <c r="J2039" s="4" t="s">
        <v>68</v>
      </c>
      <c r="K2039" s="4" t="s">
        <v>5086</v>
      </c>
      <c r="L2039" s="4" t="s">
        <v>634</v>
      </c>
      <c r="M2039" s="4" t="s">
        <v>635</v>
      </c>
      <c r="N2039" s="4" t="s">
        <v>44</v>
      </c>
      <c r="O2039" s="4" t="s">
        <v>5087</v>
      </c>
      <c r="P2039" s="4" t="s">
        <v>3629</v>
      </c>
    </row>
    <row r="2040" customFormat="false" ht="15" hidden="false" customHeight="false" outlineLevel="0" collapsed="false">
      <c r="A2040" s="4" t="s">
        <v>5088</v>
      </c>
      <c r="B2040" s="4" t="s">
        <v>5085</v>
      </c>
      <c r="C2040" s="4" t="s">
        <v>4650</v>
      </c>
      <c r="D2040" s="4" t="s">
        <v>4651</v>
      </c>
      <c r="E2040" s="4" t="s">
        <v>306</v>
      </c>
      <c r="F2040" s="4" t="s">
        <v>736</v>
      </c>
      <c r="G2040" s="4" t="s">
        <v>38</v>
      </c>
      <c r="H2040" s="4" t="s">
        <v>3625</v>
      </c>
      <c r="I2040" s="4" t="s">
        <v>5089</v>
      </c>
      <c r="J2040" s="4" t="s">
        <v>40</v>
      </c>
      <c r="K2040" s="4" t="s">
        <v>3753</v>
      </c>
      <c r="L2040" s="4" t="s">
        <v>3406</v>
      </c>
      <c r="M2040" s="4" t="s">
        <v>737</v>
      </c>
      <c r="N2040" s="4" t="s">
        <v>44</v>
      </c>
      <c r="O2040" s="4" t="s">
        <v>3754</v>
      </c>
      <c r="P2040" s="4" t="s">
        <v>3629</v>
      </c>
    </row>
    <row r="2041" customFormat="false" ht="15" hidden="false" customHeight="false" outlineLevel="0" collapsed="false">
      <c r="A2041" s="4" t="s">
        <v>5090</v>
      </c>
      <c r="B2041" s="4" t="s">
        <v>5085</v>
      </c>
      <c r="C2041" s="4" t="s">
        <v>4650</v>
      </c>
      <c r="D2041" s="4" t="s">
        <v>4651</v>
      </c>
      <c r="E2041" s="4" t="s">
        <v>306</v>
      </c>
      <c r="F2041" s="4" t="s">
        <v>736</v>
      </c>
      <c r="G2041" s="4" t="s">
        <v>326</v>
      </c>
      <c r="H2041" s="4" t="s">
        <v>3632</v>
      </c>
      <c r="I2041" s="4" t="s">
        <v>4022</v>
      </c>
      <c r="J2041" s="4" t="s">
        <v>149</v>
      </c>
      <c r="K2041" s="4" t="s">
        <v>5091</v>
      </c>
      <c r="L2041" s="4" t="s">
        <v>862</v>
      </c>
      <c r="M2041" s="4" t="s">
        <v>356</v>
      </c>
      <c r="N2041" s="4" t="s">
        <v>1592</v>
      </c>
      <c r="O2041" s="4"/>
      <c r="P2041" s="4" t="s">
        <v>3629</v>
      </c>
    </row>
    <row r="2042" customFormat="false" ht="15" hidden="false" customHeight="false" outlineLevel="0" collapsed="false">
      <c r="A2042" s="4" t="s">
        <v>5092</v>
      </c>
      <c r="B2042" s="4" t="s">
        <v>5085</v>
      </c>
      <c r="C2042" s="4" t="s">
        <v>4650</v>
      </c>
      <c r="D2042" s="4" t="s">
        <v>4651</v>
      </c>
      <c r="E2042" s="4" t="s">
        <v>325</v>
      </c>
      <c r="F2042" s="4" t="s">
        <v>3710</v>
      </c>
      <c r="G2042" s="4" t="s">
        <v>59</v>
      </c>
      <c r="H2042" s="4" t="s">
        <v>3676</v>
      </c>
      <c r="I2042" s="4" t="s">
        <v>5093</v>
      </c>
      <c r="J2042" s="4" t="s">
        <v>81</v>
      </c>
      <c r="K2042" s="4" t="s">
        <v>4262</v>
      </c>
      <c r="L2042" s="4" t="s">
        <v>3406</v>
      </c>
      <c r="M2042" s="4" t="s">
        <v>737</v>
      </c>
      <c r="N2042" s="4" t="s">
        <v>52</v>
      </c>
      <c r="O2042" s="4" t="s">
        <v>4263</v>
      </c>
      <c r="P2042" s="4" t="s">
        <v>3629</v>
      </c>
    </row>
    <row r="2043" customFormat="false" ht="15" hidden="false" customHeight="false" outlineLevel="0" collapsed="false">
      <c r="A2043" s="4" t="s">
        <v>5094</v>
      </c>
      <c r="B2043" s="4" t="s">
        <v>5085</v>
      </c>
      <c r="C2043" s="4" t="s">
        <v>4650</v>
      </c>
      <c r="D2043" s="4" t="s">
        <v>4651</v>
      </c>
      <c r="E2043" s="4" t="s">
        <v>306</v>
      </c>
      <c r="F2043" s="4" t="s">
        <v>736</v>
      </c>
      <c r="G2043" s="4" t="s">
        <v>59</v>
      </c>
      <c r="H2043" s="4" t="s">
        <v>3625</v>
      </c>
      <c r="I2043" s="4" t="s">
        <v>5095</v>
      </c>
      <c r="J2043" s="4" t="s">
        <v>40</v>
      </c>
      <c r="K2043" s="4" t="s">
        <v>4844</v>
      </c>
      <c r="L2043" s="4" t="s">
        <v>3406</v>
      </c>
      <c r="M2043" s="4" t="s">
        <v>737</v>
      </c>
      <c r="N2043" s="4" t="s">
        <v>44</v>
      </c>
      <c r="O2043" s="4" t="s">
        <v>4845</v>
      </c>
      <c r="P2043" s="4" t="s">
        <v>3629</v>
      </c>
    </row>
    <row r="2044" customFormat="false" ht="15" hidden="false" customHeight="false" outlineLevel="0" collapsed="false">
      <c r="A2044" s="4" t="s">
        <v>5096</v>
      </c>
      <c r="B2044" s="4" t="s">
        <v>5085</v>
      </c>
      <c r="C2044" s="4" t="s">
        <v>4650</v>
      </c>
      <c r="D2044" s="4" t="s">
        <v>4651</v>
      </c>
      <c r="E2044" s="4" t="s">
        <v>323</v>
      </c>
      <c r="F2044" s="4" t="s">
        <v>736</v>
      </c>
      <c r="G2044" s="4" t="s">
        <v>59</v>
      </c>
      <c r="H2044" s="4" t="s">
        <v>3625</v>
      </c>
      <c r="I2044" s="4" t="s">
        <v>5097</v>
      </c>
      <c r="J2044" s="4" t="s">
        <v>81</v>
      </c>
      <c r="K2044" s="4" t="s">
        <v>4514</v>
      </c>
      <c r="L2044" s="4" t="s">
        <v>736</v>
      </c>
      <c r="M2044" s="4" t="s">
        <v>737</v>
      </c>
      <c r="N2044" s="4" t="s">
        <v>44</v>
      </c>
      <c r="O2044" s="4" t="s">
        <v>4515</v>
      </c>
      <c r="P2044" s="4" t="s">
        <v>3629</v>
      </c>
    </row>
    <row r="2045" customFormat="false" ht="15" hidden="false" customHeight="false" outlineLevel="0" collapsed="false">
      <c r="A2045" s="4" t="s">
        <v>5098</v>
      </c>
      <c r="B2045" s="4" t="s">
        <v>5099</v>
      </c>
      <c r="C2045" s="4" t="s">
        <v>4650</v>
      </c>
      <c r="D2045" s="4" t="s">
        <v>4651</v>
      </c>
      <c r="E2045" s="4" t="s">
        <v>306</v>
      </c>
      <c r="F2045" s="4" t="s">
        <v>736</v>
      </c>
      <c r="G2045" s="4" t="s">
        <v>59</v>
      </c>
      <c r="H2045" s="4" t="s">
        <v>3632</v>
      </c>
      <c r="I2045" s="4" t="s">
        <v>5100</v>
      </c>
      <c r="J2045" s="4" t="s">
        <v>81</v>
      </c>
      <c r="K2045" s="4" t="s">
        <v>4514</v>
      </c>
      <c r="L2045" s="4" t="s">
        <v>736</v>
      </c>
      <c r="M2045" s="4" t="s">
        <v>737</v>
      </c>
      <c r="N2045" s="4" t="s">
        <v>44</v>
      </c>
      <c r="O2045" s="4" t="s">
        <v>4515</v>
      </c>
      <c r="P2045" s="4" t="s">
        <v>3629</v>
      </c>
    </row>
    <row r="2046" customFormat="false" ht="15" hidden="false" customHeight="false" outlineLevel="0" collapsed="false">
      <c r="A2046" s="4" t="s">
        <v>5101</v>
      </c>
      <c r="B2046" s="4" t="s">
        <v>5099</v>
      </c>
      <c r="C2046" s="4" t="s">
        <v>4650</v>
      </c>
      <c r="D2046" s="4" t="s">
        <v>4651</v>
      </c>
      <c r="E2046" s="4" t="s">
        <v>306</v>
      </c>
      <c r="F2046" s="4" t="s">
        <v>736</v>
      </c>
      <c r="G2046" s="4" t="s">
        <v>38</v>
      </c>
      <c r="H2046" s="4" t="s">
        <v>3676</v>
      </c>
      <c r="I2046" s="4" t="s">
        <v>4242</v>
      </c>
      <c r="J2046" s="4" t="s">
        <v>40</v>
      </c>
      <c r="K2046" s="4" t="s">
        <v>929</v>
      </c>
      <c r="L2046" s="4" t="s">
        <v>37</v>
      </c>
      <c r="M2046" s="4" t="s">
        <v>43</v>
      </c>
      <c r="N2046" s="4" t="s">
        <v>94</v>
      </c>
      <c r="O2046" s="4" t="s">
        <v>930</v>
      </c>
      <c r="P2046" s="4" t="s">
        <v>3629</v>
      </c>
    </row>
    <row r="2047" customFormat="false" ht="15" hidden="false" customHeight="false" outlineLevel="0" collapsed="false">
      <c r="A2047" s="4" t="s">
        <v>5102</v>
      </c>
      <c r="B2047" s="4" t="s">
        <v>5099</v>
      </c>
      <c r="C2047" s="4" t="s">
        <v>4650</v>
      </c>
      <c r="D2047" s="4" t="s">
        <v>4651</v>
      </c>
      <c r="E2047" s="4" t="s">
        <v>306</v>
      </c>
      <c r="F2047" s="4" t="s">
        <v>1584</v>
      </c>
      <c r="G2047" s="4" t="s">
        <v>38</v>
      </c>
      <c r="H2047" s="4" t="s">
        <v>3676</v>
      </c>
      <c r="I2047" s="4" t="s">
        <v>5043</v>
      </c>
      <c r="J2047" s="4" t="s">
        <v>68</v>
      </c>
      <c r="K2047" s="4" t="s">
        <v>5103</v>
      </c>
      <c r="L2047" s="4" t="s">
        <v>988</v>
      </c>
      <c r="M2047" s="4" t="s">
        <v>737</v>
      </c>
      <c r="N2047" s="4" t="s">
        <v>44</v>
      </c>
      <c r="O2047" s="4" t="s">
        <v>5104</v>
      </c>
      <c r="P2047" s="4" t="s">
        <v>3629</v>
      </c>
    </row>
    <row r="2048" customFormat="false" ht="15" hidden="false" customHeight="false" outlineLevel="0" collapsed="false">
      <c r="A2048" s="4" t="s">
        <v>5105</v>
      </c>
      <c r="B2048" s="4" t="s">
        <v>5099</v>
      </c>
      <c r="C2048" s="4" t="s">
        <v>4650</v>
      </c>
      <c r="D2048" s="4" t="s">
        <v>4651</v>
      </c>
      <c r="E2048" s="4" t="s">
        <v>306</v>
      </c>
      <c r="F2048" s="4" t="s">
        <v>736</v>
      </c>
      <c r="G2048" s="4" t="s">
        <v>326</v>
      </c>
      <c r="H2048" s="4" t="s">
        <v>3676</v>
      </c>
      <c r="I2048" s="4" t="s">
        <v>4127</v>
      </c>
      <c r="J2048" s="4" t="s">
        <v>40</v>
      </c>
      <c r="K2048" s="4" t="s">
        <v>3683</v>
      </c>
      <c r="L2048" s="4" t="s">
        <v>1584</v>
      </c>
      <c r="M2048" s="4" t="s">
        <v>737</v>
      </c>
      <c r="N2048" s="4" t="s">
        <v>185</v>
      </c>
      <c r="O2048" s="4" t="s">
        <v>3684</v>
      </c>
      <c r="P2048" s="4" t="s">
        <v>3629</v>
      </c>
    </row>
    <row r="2049" customFormat="false" ht="15" hidden="false" customHeight="false" outlineLevel="0" collapsed="false">
      <c r="A2049" s="4" t="s">
        <v>5106</v>
      </c>
      <c r="B2049" s="4" t="s">
        <v>4650</v>
      </c>
      <c r="C2049" s="4" t="s">
        <v>4650</v>
      </c>
      <c r="D2049" s="4" t="s">
        <v>4651</v>
      </c>
      <c r="E2049" s="4" t="s">
        <v>325</v>
      </c>
      <c r="F2049" s="4" t="s">
        <v>3710</v>
      </c>
      <c r="G2049" s="4" t="s">
        <v>38</v>
      </c>
      <c r="H2049" s="4" t="s">
        <v>3676</v>
      </c>
      <c r="I2049" s="4" t="s">
        <v>5064</v>
      </c>
      <c r="J2049" s="4" t="s">
        <v>68</v>
      </c>
      <c r="K2049" s="4" t="s">
        <v>4153</v>
      </c>
      <c r="L2049" s="4" t="s">
        <v>988</v>
      </c>
      <c r="M2049" s="4" t="s">
        <v>737</v>
      </c>
      <c r="N2049" s="4" t="s">
        <v>44</v>
      </c>
      <c r="O2049" s="4" t="s">
        <v>4154</v>
      </c>
      <c r="P2049" s="4" t="s">
        <v>3629</v>
      </c>
    </row>
    <row r="2050" customFormat="false" ht="15" hidden="false" customHeight="false" outlineLevel="0" collapsed="false">
      <c r="A2050" s="4" t="s">
        <v>5107</v>
      </c>
      <c r="B2050" s="4" t="s">
        <v>4650</v>
      </c>
      <c r="C2050" s="4" t="s">
        <v>4650</v>
      </c>
      <c r="D2050" s="4" t="s">
        <v>4651</v>
      </c>
      <c r="E2050" s="4" t="s">
        <v>311</v>
      </c>
      <c r="F2050" s="4" t="s">
        <v>736</v>
      </c>
      <c r="G2050" s="4" t="s">
        <v>59</v>
      </c>
      <c r="H2050" s="4" t="s">
        <v>3676</v>
      </c>
      <c r="I2050" s="4" t="s">
        <v>5108</v>
      </c>
      <c r="J2050" s="4" t="s">
        <v>40</v>
      </c>
      <c r="K2050" s="4" t="s">
        <v>4102</v>
      </c>
      <c r="L2050" s="4" t="s">
        <v>736</v>
      </c>
      <c r="M2050" s="4" t="s">
        <v>737</v>
      </c>
      <c r="N2050" s="4" t="s">
        <v>44</v>
      </c>
      <c r="O2050" s="4" t="s">
        <v>4103</v>
      </c>
      <c r="P2050" s="4" t="s">
        <v>3629</v>
      </c>
    </row>
    <row r="2051" customFormat="false" ht="15" hidden="false" customHeight="false" outlineLevel="0" collapsed="false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 t="s">
        <v>3629</v>
      </c>
    </row>
    <row r="2052" customFormat="false" ht="15" hidden="false" customHeight="false" outlineLevel="0" collapsed="false">
      <c r="A2052" s="4" t="s">
        <v>5109</v>
      </c>
      <c r="B2052" s="4" t="s">
        <v>4650</v>
      </c>
      <c r="C2052" s="4" t="s">
        <v>4650</v>
      </c>
      <c r="D2052" s="4" t="s">
        <v>4651</v>
      </c>
      <c r="E2052" s="4" t="s">
        <v>306</v>
      </c>
      <c r="F2052" s="4" t="s">
        <v>736</v>
      </c>
      <c r="G2052" s="4" t="s">
        <v>38</v>
      </c>
      <c r="H2052" s="4" t="s">
        <v>3625</v>
      </c>
      <c r="I2052" s="4" t="s">
        <v>3976</v>
      </c>
      <c r="J2052" s="4" t="s">
        <v>68</v>
      </c>
      <c r="K2052" s="4" t="s">
        <v>3912</v>
      </c>
      <c r="L2052" s="4" t="s">
        <v>736</v>
      </c>
      <c r="M2052" s="4" t="s">
        <v>737</v>
      </c>
      <c r="N2052" s="4" t="s">
        <v>44</v>
      </c>
      <c r="O2052" s="4" t="s">
        <v>3913</v>
      </c>
      <c r="P2052" s="4" t="s">
        <v>3629</v>
      </c>
    </row>
    <row r="2053" customFormat="false" ht="15" hidden="false" customHeight="false" outlineLevel="0" collapsed="false">
      <c r="A2053" s="4" t="s">
        <v>5110</v>
      </c>
      <c r="B2053" s="4" t="s">
        <v>4650</v>
      </c>
      <c r="C2053" s="4" t="s">
        <v>4650</v>
      </c>
      <c r="D2053" s="4" t="s">
        <v>4651</v>
      </c>
      <c r="E2053" s="4" t="s">
        <v>306</v>
      </c>
      <c r="F2053" s="4" t="s">
        <v>736</v>
      </c>
      <c r="G2053" s="4" t="s">
        <v>326</v>
      </c>
      <c r="H2053" s="4" t="s">
        <v>3676</v>
      </c>
      <c r="I2053" s="4" t="s">
        <v>5111</v>
      </c>
      <c r="J2053" s="4" t="s">
        <v>40</v>
      </c>
      <c r="K2053" s="4" t="s">
        <v>5112</v>
      </c>
      <c r="L2053" s="4" t="s">
        <v>988</v>
      </c>
      <c r="M2053" s="4" t="s">
        <v>737</v>
      </c>
      <c r="N2053" s="4" t="s">
        <v>94</v>
      </c>
      <c r="O2053" s="4" t="s">
        <v>5113</v>
      </c>
      <c r="P2053" s="4" t="s">
        <v>3629</v>
      </c>
    </row>
    <row r="2054" customFormat="false" ht="15" hidden="false" customHeight="false" outlineLevel="0" collapsed="false">
      <c r="A2054" s="4" t="s">
        <v>5114</v>
      </c>
      <c r="B2054" s="4" t="s">
        <v>4650</v>
      </c>
      <c r="C2054" s="4" t="s">
        <v>4650</v>
      </c>
      <c r="D2054" s="4" t="s">
        <v>4651</v>
      </c>
      <c r="E2054" s="4" t="s">
        <v>306</v>
      </c>
      <c r="F2054" s="4" t="s">
        <v>736</v>
      </c>
      <c r="G2054" s="4" t="s">
        <v>59</v>
      </c>
      <c r="H2054" s="4" t="s">
        <v>3625</v>
      </c>
      <c r="I2054" s="4" t="s">
        <v>4705</v>
      </c>
      <c r="J2054" s="4" t="s">
        <v>40</v>
      </c>
      <c r="K2054" s="4" t="s">
        <v>4075</v>
      </c>
      <c r="L2054" s="4" t="s">
        <v>736</v>
      </c>
      <c r="M2054" s="4" t="s">
        <v>737</v>
      </c>
      <c r="N2054" s="4" t="s">
        <v>44</v>
      </c>
      <c r="O2054" s="4" t="s">
        <v>4076</v>
      </c>
      <c r="P2054" s="4" t="s">
        <v>3629</v>
      </c>
    </row>
    <row r="2055" customFormat="false" ht="15" hidden="false" customHeight="false" outlineLevel="0" collapsed="false">
      <c r="A2055" s="4" t="s">
        <v>5115</v>
      </c>
      <c r="B2055" s="4" t="s">
        <v>4650</v>
      </c>
      <c r="C2055" s="4" t="s">
        <v>4650</v>
      </c>
      <c r="D2055" s="4" t="s">
        <v>4651</v>
      </c>
      <c r="E2055" s="4" t="s">
        <v>306</v>
      </c>
      <c r="F2055" s="4" t="s">
        <v>736</v>
      </c>
      <c r="G2055" s="4" t="s">
        <v>38</v>
      </c>
      <c r="H2055" s="4" t="s">
        <v>3706</v>
      </c>
      <c r="I2055" s="4" t="s">
        <v>4993</v>
      </c>
      <c r="J2055" s="4" t="s">
        <v>68</v>
      </c>
      <c r="K2055" s="4" t="s">
        <v>2459</v>
      </c>
      <c r="L2055" s="4" t="s">
        <v>736</v>
      </c>
      <c r="M2055" s="4" t="s">
        <v>737</v>
      </c>
      <c r="N2055" s="4" t="s">
        <v>44</v>
      </c>
      <c r="O2055" s="4" t="s">
        <v>2460</v>
      </c>
      <c r="P2055" s="4" t="s">
        <v>3629</v>
      </c>
    </row>
    <row r="2056" customFormat="false" ht="15" hidden="false" customHeight="false" outlineLevel="0" collapsed="false">
      <c r="A2056" s="4" t="s">
        <v>5116</v>
      </c>
      <c r="B2056" s="4" t="s">
        <v>4650</v>
      </c>
      <c r="C2056" s="4" t="s">
        <v>5117</v>
      </c>
      <c r="D2056" s="4" t="s">
        <v>3624</v>
      </c>
      <c r="E2056" s="4" t="s">
        <v>57</v>
      </c>
      <c r="F2056" s="4" t="s">
        <v>736</v>
      </c>
      <c r="G2056" s="4" t="s">
        <v>38</v>
      </c>
      <c r="H2056" s="4" t="s">
        <v>3676</v>
      </c>
      <c r="I2056" s="4" t="s">
        <v>3645</v>
      </c>
      <c r="J2056" s="4" t="s">
        <v>40</v>
      </c>
      <c r="K2056" s="4" t="s">
        <v>3462</v>
      </c>
      <c r="L2056" s="4" t="s">
        <v>900</v>
      </c>
      <c r="M2056" s="4" t="s">
        <v>356</v>
      </c>
      <c r="N2056" s="4" t="s">
        <v>901</v>
      </c>
      <c r="O2056" s="4"/>
      <c r="P2056" s="4" t="s">
        <v>3629</v>
      </c>
    </row>
    <row r="2057" customFormat="false" ht="15" hidden="false" customHeight="false" outlineLevel="0" collapsed="false">
      <c r="A2057" s="4" t="s">
        <v>5118</v>
      </c>
      <c r="B2057" s="4" t="s">
        <v>5119</v>
      </c>
      <c r="C2057" s="4" t="s">
        <v>5119</v>
      </c>
      <c r="D2057" s="4" t="s">
        <v>3624</v>
      </c>
      <c r="E2057" s="4" t="s">
        <v>36</v>
      </c>
      <c r="F2057" s="4" t="s">
        <v>3635</v>
      </c>
      <c r="G2057" s="4" t="s">
        <v>59</v>
      </c>
      <c r="H2057" s="4" t="s">
        <v>3625</v>
      </c>
      <c r="I2057" s="4" t="s">
        <v>3657</v>
      </c>
      <c r="J2057" s="4" t="s">
        <v>40</v>
      </c>
      <c r="K2057" s="4" t="s">
        <v>4232</v>
      </c>
      <c r="L2057" s="4" t="s">
        <v>736</v>
      </c>
      <c r="M2057" s="4" t="s">
        <v>1683</v>
      </c>
      <c r="N2057" s="4" t="s">
        <v>44</v>
      </c>
      <c r="O2057" s="4" t="s">
        <v>4233</v>
      </c>
      <c r="P2057" s="4" t="s">
        <v>3629</v>
      </c>
    </row>
    <row r="2058" customFormat="false" ht="15" hidden="false" customHeight="false" outlineLevel="0" collapsed="false">
      <c r="A2058" s="4" t="s">
        <v>5120</v>
      </c>
      <c r="B2058" s="4" t="s">
        <v>5121</v>
      </c>
      <c r="C2058" s="4" t="s">
        <v>5121</v>
      </c>
      <c r="D2058" s="4" t="s">
        <v>3624</v>
      </c>
      <c r="E2058" s="4" t="s">
        <v>36</v>
      </c>
      <c r="F2058" s="4" t="s">
        <v>1584</v>
      </c>
      <c r="G2058" s="4" t="s">
        <v>59</v>
      </c>
      <c r="H2058" s="4" t="s">
        <v>3676</v>
      </c>
      <c r="I2058" s="4" t="s">
        <v>3633</v>
      </c>
      <c r="J2058" s="4" t="s">
        <v>40</v>
      </c>
      <c r="K2058" s="4" t="s">
        <v>4309</v>
      </c>
      <c r="L2058" s="4" t="s">
        <v>736</v>
      </c>
      <c r="M2058" s="4" t="s">
        <v>737</v>
      </c>
      <c r="N2058" s="4" t="s">
        <v>44</v>
      </c>
      <c r="O2058" s="4" t="s">
        <v>4310</v>
      </c>
      <c r="P2058" s="4" t="s">
        <v>3629</v>
      </c>
    </row>
    <row r="2059" customFormat="false" ht="15" hidden="false" customHeight="false" outlineLevel="0" collapsed="false">
      <c r="A2059" s="4" t="s">
        <v>5122</v>
      </c>
      <c r="B2059" s="4" t="s">
        <v>5123</v>
      </c>
      <c r="C2059" s="4" t="s">
        <v>5123</v>
      </c>
      <c r="D2059" s="4" t="s">
        <v>3624</v>
      </c>
      <c r="E2059" s="4" t="s">
        <v>49</v>
      </c>
      <c r="F2059" s="4" t="s">
        <v>736</v>
      </c>
      <c r="G2059" s="4" t="s">
        <v>59</v>
      </c>
      <c r="H2059" s="4" t="s">
        <v>3706</v>
      </c>
      <c r="I2059" s="4" t="s">
        <v>3626</v>
      </c>
      <c r="J2059" s="4" t="s">
        <v>68</v>
      </c>
      <c r="K2059" s="4" t="s">
        <v>4206</v>
      </c>
      <c r="L2059" s="4" t="s">
        <v>736</v>
      </c>
      <c r="M2059" s="4" t="s">
        <v>737</v>
      </c>
      <c r="N2059" s="4" t="s">
        <v>52</v>
      </c>
      <c r="O2059" s="4" t="s">
        <v>4207</v>
      </c>
      <c r="P2059" s="4" t="s">
        <v>3629</v>
      </c>
    </row>
    <row r="2060" customFormat="false" ht="15" hidden="false" customHeight="false" outlineLevel="0" collapsed="false">
      <c r="A2060" s="4" t="s">
        <v>5124</v>
      </c>
      <c r="B2060" s="4" t="s">
        <v>5125</v>
      </c>
      <c r="C2060" s="4" t="s">
        <v>5126</v>
      </c>
      <c r="D2060" s="4" t="s">
        <v>3624</v>
      </c>
      <c r="E2060" s="4" t="s">
        <v>36</v>
      </c>
      <c r="F2060" s="4" t="s">
        <v>1584</v>
      </c>
      <c r="G2060" s="4" t="s">
        <v>59</v>
      </c>
      <c r="H2060" s="4" t="s">
        <v>3625</v>
      </c>
      <c r="I2060" s="4" t="s">
        <v>3633</v>
      </c>
      <c r="J2060" s="4" t="s">
        <v>68</v>
      </c>
      <c r="K2060" s="4" t="s">
        <v>5127</v>
      </c>
      <c r="L2060" s="4" t="s">
        <v>736</v>
      </c>
      <c r="M2060" s="4" t="s">
        <v>737</v>
      </c>
      <c r="N2060" s="4" t="s">
        <v>44</v>
      </c>
      <c r="O2060" s="4" t="s">
        <v>5128</v>
      </c>
      <c r="P2060" s="4" t="s">
        <v>3629</v>
      </c>
    </row>
    <row r="2061" customFormat="false" ht="15" hidden="false" customHeight="false" outlineLevel="0" collapsed="false">
      <c r="A2061" s="4" t="s">
        <v>5129</v>
      </c>
      <c r="B2061" s="4" t="s">
        <v>5130</v>
      </c>
      <c r="C2061" s="4" t="s">
        <v>5131</v>
      </c>
      <c r="D2061" s="4" t="s">
        <v>3624</v>
      </c>
      <c r="E2061" s="4" t="s">
        <v>57</v>
      </c>
      <c r="F2061" s="4" t="s">
        <v>3710</v>
      </c>
      <c r="G2061" s="4" t="s">
        <v>59</v>
      </c>
      <c r="H2061" s="4" t="s">
        <v>3632</v>
      </c>
      <c r="I2061" s="4" t="s">
        <v>3682</v>
      </c>
      <c r="J2061" s="4" t="s">
        <v>68</v>
      </c>
      <c r="K2061" s="4" t="s">
        <v>5127</v>
      </c>
      <c r="L2061" s="4" t="s">
        <v>736</v>
      </c>
      <c r="M2061" s="4" t="s">
        <v>737</v>
      </c>
      <c r="N2061" s="4" t="s">
        <v>44</v>
      </c>
      <c r="O2061" s="4" t="s">
        <v>5128</v>
      </c>
      <c r="P2061" s="4" t="s">
        <v>3629</v>
      </c>
    </row>
    <row r="2062" customFormat="false" ht="15" hidden="false" customHeight="false" outlineLevel="0" collapsed="false">
      <c r="A2062" s="4" t="s">
        <v>5132</v>
      </c>
      <c r="B2062" s="4" t="s">
        <v>5133</v>
      </c>
      <c r="C2062" s="4" t="s">
        <v>5131</v>
      </c>
      <c r="D2062" s="4" t="s">
        <v>3624</v>
      </c>
      <c r="E2062" s="4" t="s">
        <v>36</v>
      </c>
      <c r="F2062" s="4" t="s">
        <v>736</v>
      </c>
      <c r="G2062" s="4" t="s">
        <v>59</v>
      </c>
      <c r="H2062" s="4" t="s">
        <v>3632</v>
      </c>
      <c r="I2062" s="4" t="s">
        <v>3633</v>
      </c>
      <c r="J2062" s="4" t="s">
        <v>40</v>
      </c>
      <c r="K2062" s="4" t="s">
        <v>3693</v>
      </c>
      <c r="L2062" s="4" t="s">
        <v>736</v>
      </c>
      <c r="M2062" s="4" t="s">
        <v>737</v>
      </c>
      <c r="N2062" s="4" t="s">
        <v>44</v>
      </c>
      <c r="O2062" s="4" t="s">
        <v>3694</v>
      </c>
      <c r="P2062" s="4" t="s">
        <v>3629</v>
      </c>
    </row>
    <row r="2063" customFormat="false" ht="15" hidden="false" customHeight="false" outlineLevel="0" collapsed="false">
      <c r="A2063" s="4" t="s">
        <v>5134</v>
      </c>
      <c r="B2063" s="4" t="s">
        <v>5131</v>
      </c>
      <c r="C2063" s="4" t="s">
        <v>5131</v>
      </c>
      <c r="D2063" s="4" t="s">
        <v>3624</v>
      </c>
      <c r="E2063" s="4" t="s">
        <v>89</v>
      </c>
      <c r="F2063" s="4" t="s">
        <v>736</v>
      </c>
      <c r="G2063" s="4" t="s">
        <v>38</v>
      </c>
      <c r="H2063" s="4" t="s">
        <v>3625</v>
      </c>
      <c r="I2063" s="4" t="s">
        <v>3669</v>
      </c>
      <c r="J2063" s="4" t="s">
        <v>68</v>
      </c>
      <c r="K2063" s="4" t="s">
        <v>5135</v>
      </c>
      <c r="L2063" s="4" t="s">
        <v>736</v>
      </c>
      <c r="M2063" s="4" t="s">
        <v>737</v>
      </c>
      <c r="N2063" s="4" t="s">
        <v>44</v>
      </c>
      <c r="O2063" s="4" t="s">
        <v>5136</v>
      </c>
      <c r="P2063" s="4" t="s">
        <v>3629</v>
      </c>
    </row>
    <row r="2064" customFormat="false" ht="15" hidden="false" customHeight="false" outlineLevel="0" collapsed="false">
      <c r="A2064" s="4" t="s">
        <v>5137</v>
      </c>
      <c r="B2064" s="4" t="s">
        <v>5138</v>
      </c>
      <c r="C2064" s="4" t="s">
        <v>5138</v>
      </c>
      <c r="D2064" s="4" t="s">
        <v>3624</v>
      </c>
      <c r="E2064" s="4" t="s">
        <v>36</v>
      </c>
      <c r="F2064" s="4" t="s">
        <v>736</v>
      </c>
      <c r="G2064" s="4" t="s">
        <v>59</v>
      </c>
      <c r="H2064" s="4" t="s">
        <v>3625</v>
      </c>
      <c r="I2064" s="4" t="s">
        <v>3626</v>
      </c>
      <c r="J2064" s="4" t="s">
        <v>68</v>
      </c>
      <c r="K2064" s="4" t="s">
        <v>5039</v>
      </c>
      <c r="L2064" s="4" t="s">
        <v>736</v>
      </c>
      <c r="M2064" s="4" t="s">
        <v>737</v>
      </c>
      <c r="N2064" s="4" t="s">
        <v>44</v>
      </c>
      <c r="O2064" s="4" t="s">
        <v>5040</v>
      </c>
      <c r="P2064" s="4" t="s">
        <v>3629</v>
      </c>
    </row>
    <row r="2065" customFormat="false" ht="15" hidden="false" customHeight="false" outlineLevel="0" collapsed="false">
      <c r="A2065" s="4" t="s">
        <v>5139</v>
      </c>
      <c r="B2065" s="4" t="s">
        <v>5140</v>
      </c>
      <c r="C2065" s="4" t="s">
        <v>5140</v>
      </c>
      <c r="D2065" s="4" t="s">
        <v>3624</v>
      </c>
      <c r="E2065" s="4" t="s">
        <v>36</v>
      </c>
      <c r="F2065" s="4" t="s">
        <v>736</v>
      </c>
      <c r="G2065" s="4" t="s">
        <v>59</v>
      </c>
      <c r="H2065" s="4" t="s">
        <v>3676</v>
      </c>
      <c r="I2065" s="4" t="s">
        <v>3626</v>
      </c>
      <c r="J2065" s="4" t="s">
        <v>81</v>
      </c>
      <c r="K2065" s="4" t="s">
        <v>3326</v>
      </c>
      <c r="L2065" s="4" t="s">
        <v>3635</v>
      </c>
      <c r="M2065" s="4" t="s">
        <v>737</v>
      </c>
      <c r="N2065" s="4" t="s">
        <v>94</v>
      </c>
      <c r="O2065" s="4" t="s">
        <v>3327</v>
      </c>
      <c r="P2065" s="4" t="s">
        <v>3629</v>
      </c>
    </row>
    <row r="2066" customFormat="false" ht="15" hidden="false" customHeight="false" outlineLevel="0" collapsed="false">
      <c r="A2066" s="4" t="s">
        <v>5141</v>
      </c>
      <c r="B2066" s="4" t="s">
        <v>5142</v>
      </c>
      <c r="C2066" s="4" t="s">
        <v>5143</v>
      </c>
      <c r="D2066" s="4" t="s">
        <v>3624</v>
      </c>
      <c r="E2066" s="4" t="s">
        <v>66</v>
      </c>
      <c r="F2066" s="4" t="s">
        <v>736</v>
      </c>
      <c r="G2066" s="4" t="s">
        <v>38</v>
      </c>
      <c r="H2066" s="4" t="s">
        <v>3625</v>
      </c>
      <c r="I2066" s="4" t="s">
        <v>3651</v>
      </c>
      <c r="J2066" s="4" t="s">
        <v>68</v>
      </c>
      <c r="K2066" s="4" t="s">
        <v>3769</v>
      </c>
      <c r="L2066" s="4" t="s">
        <v>3635</v>
      </c>
      <c r="M2066" s="4" t="s">
        <v>737</v>
      </c>
      <c r="N2066" s="4" t="s">
        <v>185</v>
      </c>
      <c r="O2066" s="4" t="s">
        <v>3770</v>
      </c>
      <c r="P2066" s="4" t="s">
        <v>3629</v>
      </c>
    </row>
    <row r="2067" customFormat="false" ht="15" hidden="false" customHeight="false" outlineLevel="0" collapsed="false">
      <c r="A2067" s="4" t="s">
        <v>5144</v>
      </c>
      <c r="B2067" s="4" t="s">
        <v>5143</v>
      </c>
      <c r="C2067" s="4" t="s">
        <v>5145</v>
      </c>
      <c r="D2067" s="4" t="s">
        <v>3624</v>
      </c>
      <c r="E2067" s="4" t="s">
        <v>36</v>
      </c>
      <c r="F2067" s="4" t="s">
        <v>3710</v>
      </c>
      <c r="G2067" s="4" t="s">
        <v>38</v>
      </c>
      <c r="H2067" s="4" t="s">
        <v>3632</v>
      </c>
      <c r="I2067" s="4" t="s">
        <v>3669</v>
      </c>
      <c r="J2067" s="4" t="s">
        <v>81</v>
      </c>
      <c r="K2067" s="4" t="s">
        <v>4844</v>
      </c>
      <c r="L2067" s="4" t="s">
        <v>736</v>
      </c>
      <c r="M2067" s="4" t="s">
        <v>737</v>
      </c>
      <c r="N2067" s="4" t="s">
        <v>44</v>
      </c>
      <c r="O2067" s="4" t="s">
        <v>4845</v>
      </c>
      <c r="P2067" s="4" t="s">
        <v>3629</v>
      </c>
    </row>
    <row r="2068" customFormat="false" ht="15" hidden="false" customHeight="false" outlineLevel="0" collapsed="false">
      <c r="A2068" s="4" t="s">
        <v>5146</v>
      </c>
      <c r="B2068" s="4" t="s">
        <v>5147</v>
      </c>
      <c r="C2068" s="4" t="s">
        <v>5145</v>
      </c>
      <c r="D2068" s="4" t="s">
        <v>3624</v>
      </c>
      <c r="E2068" s="4" t="s">
        <v>49</v>
      </c>
      <c r="F2068" s="4" t="s">
        <v>736</v>
      </c>
      <c r="G2068" s="4" t="s">
        <v>38</v>
      </c>
      <c r="H2068" s="4" t="s">
        <v>3632</v>
      </c>
      <c r="I2068" s="4" t="s">
        <v>3651</v>
      </c>
      <c r="J2068" s="4" t="s">
        <v>68</v>
      </c>
      <c r="K2068" s="4" t="s">
        <v>4674</v>
      </c>
      <c r="L2068" s="4" t="s">
        <v>736</v>
      </c>
      <c r="M2068" s="4" t="s">
        <v>737</v>
      </c>
      <c r="N2068" s="4" t="s">
        <v>44</v>
      </c>
      <c r="O2068" s="4" t="s">
        <v>4675</v>
      </c>
      <c r="P2068" s="4" t="s">
        <v>3629</v>
      </c>
    </row>
    <row r="2069" customFormat="false" ht="15" hidden="false" customHeight="false" outlineLevel="0" collapsed="false">
      <c r="A2069" s="4" t="s">
        <v>5148</v>
      </c>
      <c r="B2069" s="4" t="s">
        <v>5149</v>
      </c>
      <c r="C2069" s="4" t="s">
        <v>5150</v>
      </c>
      <c r="D2069" s="4" t="s">
        <v>3624</v>
      </c>
      <c r="E2069" s="4" t="s">
        <v>57</v>
      </c>
      <c r="F2069" s="4" t="s">
        <v>3710</v>
      </c>
      <c r="G2069" s="4" t="s">
        <v>59</v>
      </c>
      <c r="H2069" s="4" t="s">
        <v>3625</v>
      </c>
      <c r="I2069" s="4" t="s">
        <v>3657</v>
      </c>
      <c r="J2069" s="4" t="s">
        <v>68</v>
      </c>
      <c r="K2069" s="4" t="s">
        <v>4330</v>
      </c>
      <c r="L2069" s="4" t="s">
        <v>736</v>
      </c>
      <c r="M2069" s="4" t="s">
        <v>737</v>
      </c>
      <c r="N2069" s="4" t="s">
        <v>44</v>
      </c>
      <c r="O2069" s="4" t="s">
        <v>4331</v>
      </c>
      <c r="P2069" s="4" t="s">
        <v>3629</v>
      </c>
    </row>
    <row r="2070" customFormat="false" ht="15" hidden="false" customHeight="false" outlineLevel="0" collapsed="false">
      <c r="A2070" s="4" t="s">
        <v>5151</v>
      </c>
      <c r="B2070" s="4" t="s">
        <v>5152</v>
      </c>
      <c r="C2070" s="4" t="s">
        <v>5153</v>
      </c>
      <c r="D2070" s="4" t="s">
        <v>3624</v>
      </c>
      <c r="E2070" s="4" t="s">
        <v>36</v>
      </c>
      <c r="F2070" s="4" t="s">
        <v>3635</v>
      </c>
      <c r="G2070" s="4" t="s">
        <v>59</v>
      </c>
      <c r="H2070" s="4" t="s">
        <v>3676</v>
      </c>
      <c r="I2070" s="4" t="s">
        <v>3657</v>
      </c>
      <c r="J2070" s="4" t="s">
        <v>40</v>
      </c>
      <c r="K2070" s="4" t="s">
        <v>3717</v>
      </c>
      <c r="L2070" s="4" t="s">
        <v>736</v>
      </c>
      <c r="M2070" s="4" t="s">
        <v>737</v>
      </c>
      <c r="N2070" s="4" t="s">
        <v>44</v>
      </c>
      <c r="O2070" s="4" t="s">
        <v>3718</v>
      </c>
      <c r="P2070" s="4" t="s">
        <v>3629</v>
      </c>
    </row>
    <row r="2071" customFormat="false" ht="15" hidden="false" customHeight="false" outlineLevel="0" collapsed="false">
      <c r="A2071" s="4" t="s">
        <v>5154</v>
      </c>
      <c r="B2071" s="4" t="s">
        <v>5152</v>
      </c>
      <c r="C2071" s="4" t="s">
        <v>5152</v>
      </c>
      <c r="D2071" s="4" t="s">
        <v>3624</v>
      </c>
      <c r="E2071" s="4" t="s">
        <v>36</v>
      </c>
      <c r="F2071" s="4" t="s">
        <v>736</v>
      </c>
      <c r="G2071" s="4" t="s">
        <v>59</v>
      </c>
      <c r="H2071" s="4" t="s">
        <v>3625</v>
      </c>
      <c r="I2071" s="4" t="s">
        <v>3657</v>
      </c>
      <c r="J2071" s="4" t="s">
        <v>40</v>
      </c>
      <c r="K2071" s="4" t="s">
        <v>4886</v>
      </c>
      <c r="L2071" s="4" t="s">
        <v>736</v>
      </c>
      <c r="M2071" s="4" t="s">
        <v>1683</v>
      </c>
      <c r="N2071" s="4" t="s">
        <v>52</v>
      </c>
      <c r="O2071" s="4" t="s">
        <v>4887</v>
      </c>
      <c r="P2071" s="4" t="s">
        <v>3629</v>
      </c>
    </row>
    <row r="2072" customFormat="false" ht="15" hidden="false" customHeight="false" outlineLevel="0" collapsed="false">
      <c r="A2072" s="4" t="s">
        <v>5155</v>
      </c>
      <c r="B2072" s="4" t="s">
        <v>5156</v>
      </c>
      <c r="C2072" s="4" t="s">
        <v>5157</v>
      </c>
      <c r="D2072" s="4" t="s">
        <v>3624</v>
      </c>
      <c r="E2072" s="4" t="s">
        <v>36</v>
      </c>
      <c r="F2072" s="4" t="s">
        <v>736</v>
      </c>
      <c r="G2072" s="4" t="s">
        <v>38</v>
      </c>
      <c r="H2072" s="4" t="s">
        <v>3676</v>
      </c>
      <c r="I2072" s="4" t="s">
        <v>3651</v>
      </c>
      <c r="J2072" s="4" t="s">
        <v>81</v>
      </c>
      <c r="K2072" s="4" t="s">
        <v>4937</v>
      </c>
      <c r="L2072" s="4" t="s">
        <v>3635</v>
      </c>
      <c r="M2072" s="4" t="s">
        <v>737</v>
      </c>
      <c r="N2072" s="4" t="s">
        <v>44</v>
      </c>
      <c r="O2072" s="4" t="s">
        <v>4938</v>
      </c>
      <c r="P2072" s="4" t="s">
        <v>3629</v>
      </c>
    </row>
    <row r="2073" customFormat="false" ht="15" hidden="false" customHeight="false" outlineLevel="0" collapsed="false">
      <c r="A2073" s="4" t="s">
        <v>5158</v>
      </c>
      <c r="B2073" s="4" t="s">
        <v>5159</v>
      </c>
      <c r="C2073" s="4" t="s">
        <v>5160</v>
      </c>
      <c r="D2073" s="4" t="s">
        <v>3624</v>
      </c>
      <c r="E2073" s="4" t="s">
        <v>66</v>
      </c>
      <c r="F2073" s="4" t="s">
        <v>736</v>
      </c>
      <c r="G2073" s="4" t="s">
        <v>38</v>
      </c>
      <c r="H2073" s="4" t="s">
        <v>3676</v>
      </c>
      <c r="I2073" s="4" t="s">
        <v>3669</v>
      </c>
      <c r="J2073" s="4" t="s">
        <v>68</v>
      </c>
      <c r="K2073" s="4" t="s">
        <v>2551</v>
      </c>
      <c r="L2073" s="4" t="s">
        <v>736</v>
      </c>
      <c r="M2073" s="4" t="s">
        <v>737</v>
      </c>
      <c r="N2073" s="4" t="s">
        <v>44</v>
      </c>
      <c r="O2073" s="4" t="s">
        <v>2552</v>
      </c>
      <c r="P2073" s="4" t="s">
        <v>3629</v>
      </c>
    </row>
    <row r="2074" customFormat="false" ht="15" hidden="false" customHeight="false" outlineLevel="0" collapsed="false">
      <c r="A2074" s="4" t="s">
        <v>5161</v>
      </c>
      <c r="B2074" s="4" t="s">
        <v>5162</v>
      </c>
      <c r="C2074" s="4" t="s">
        <v>5162</v>
      </c>
      <c r="D2074" s="4" t="s">
        <v>3624</v>
      </c>
      <c r="E2074" s="4" t="s">
        <v>66</v>
      </c>
      <c r="F2074" s="4" t="s">
        <v>736</v>
      </c>
      <c r="G2074" s="4" t="s">
        <v>59</v>
      </c>
      <c r="H2074" s="4" t="s">
        <v>3625</v>
      </c>
      <c r="I2074" s="4" t="s">
        <v>3633</v>
      </c>
      <c r="J2074" s="4" t="s">
        <v>68</v>
      </c>
      <c r="K2074" s="4" t="s">
        <v>3973</v>
      </c>
      <c r="L2074" s="4" t="s">
        <v>736</v>
      </c>
      <c r="M2074" s="4" t="s">
        <v>737</v>
      </c>
      <c r="N2074" s="4" t="s">
        <v>185</v>
      </c>
      <c r="O2074" s="4" t="s">
        <v>3974</v>
      </c>
      <c r="P2074" s="4" t="s">
        <v>3629</v>
      </c>
    </row>
    <row r="2075" customFormat="false" ht="15" hidden="false" customHeight="false" outlineLevel="0" collapsed="false">
      <c r="A2075" s="4" t="s">
        <v>5163</v>
      </c>
      <c r="B2075" s="4" t="s">
        <v>5164</v>
      </c>
      <c r="C2075" s="4" t="s">
        <v>5165</v>
      </c>
      <c r="D2075" s="4" t="s">
        <v>3624</v>
      </c>
      <c r="E2075" s="4" t="s">
        <v>36</v>
      </c>
      <c r="F2075" s="4" t="s">
        <v>1584</v>
      </c>
      <c r="G2075" s="4" t="s">
        <v>59</v>
      </c>
      <c r="H2075" s="4" t="s">
        <v>3706</v>
      </c>
      <c r="I2075" s="4" t="s">
        <v>3626</v>
      </c>
      <c r="J2075" s="4" t="s">
        <v>68</v>
      </c>
      <c r="K2075" s="4" t="s">
        <v>3772</v>
      </c>
      <c r="L2075" s="4" t="s">
        <v>736</v>
      </c>
      <c r="M2075" s="4" t="s">
        <v>737</v>
      </c>
      <c r="N2075" s="4" t="s">
        <v>44</v>
      </c>
      <c r="O2075" s="4" t="s">
        <v>3773</v>
      </c>
      <c r="P2075" s="4" t="s">
        <v>3629</v>
      </c>
    </row>
    <row r="2076" customFormat="false" ht="15" hidden="false" customHeight="false" outlineLevel="0" collapsed="false">
      <c r="A2076" s="4" t="s">
        <v>5166</v>
      </c>
      <c r="B2076" s="4" t="s">
        <v>5164</v>
      </c>
      <c r="C2076" s="4" t="s">
        <v>5167</v>
      </c>
      <c r="D2076" s="4" t="s">
        <v>3624</v>
      </c>
      <c r="E2076" s="4" t="s">
        <v>49</v>
      </c>
      <c r="F2076" s="4" t="s">
        <v>736</v>
      </c>
      <c r="G2076" s="4" t="s">
        <v>38</v>
      </c>
      <c r="H2076" s="4" t="s">
        <v>3625</v>
      </c>
      <c r="I2076" s="4" t="s">
        <v>3645</v>
      </c>
      <c r="J2076" s="4" t="s">
        <v>149</v>
      </c>
      <c r="K2076" s="4" t="s">
        <v>5039</v>
      </c>
      <c r="L2076" s="4" t="s">
        <v>736</v>
      </c>
      <c r="M2076" s="4" t="s">
        <v>737</v>
      </c>
      <c r="N2076" s="4" t="s">
        <v>44</v>
      </c>
      <c r="O2076" s="4" t="s">
        <v>5040</v>
      </c>
      <c r="P2076" s="4" t="s">
        <v>3629</v>
      </c>
    </row>
    <row r="2077" customFormat="false" ht="15" hidden="false" customHeight="false" outlineLevel="0" collapsed="false">
      <c r="A2077" s="4" t="s">
        <v>5168</v>
      </c>
      <c r="B2077" s="4" t="s">
        <v>5169</v>
      </c>
      <c r="C2077" s="4" t="s">
        <v>5170</v>
      </c>
      <c r="D2077" s="4" t="s">
        <v>3624</v>
      </c>
      <c r="E2077" s="4" t="s">
        <v>36</v>
      </c>
      <c r="F2077" s="4" t="s">
        <v>736</v>
      </c>
      <c r="G2077" s="4" t="s">
        <v>38</v>
      </c>
      <c r="H2077" s="4" t="s">
        <v>3632</v>
      </c>
      <c r="I2077" s="4" t="s">
        <v>3645</v>
      </c>
      <c r="J2077" s="4" t="s">
        <v>68</v>
      </c>
      <c r="K2077" s="4" t="s">
        <v>3985</v>
      </c>
      <c r="L2077" s="4" t="s">
        <v>736</v>
      </c>
      <c r="M2077" s="4" t="s">
        <v>737</v>
      </c>
      <c r="N2077" s="4" t="s">
        <v>44</v>
      </c>
      <c r="O2077" s="4" t="s">
        <v>3986</v>
      </c>
      <c r="P2077" s="4" t="s">
        <v>3629</v>
      </c>
    </row>
    <row r="2078" customFormat="false" ht="15" hidden="false" customHeight="false" outlineLevel="0" collapsed="false">
      <c r="A2078" s="4" t="s">
        <v>5171</v>
      </c>
      <c r="B2078" s="4" t="s">
        <v>5172</v>
      </c>
      <c r="C2078" s="4" t="s">
        <v>5170</v>
      </c>
      <c r="D2078" s="4" t="s">
        <v>3624</v>
      </c>
      <c r="E2078" s="4" t="s">
        <v>36</v>
      </c>
      <c r="F2078" s="4" t="s">
        <v>736</v>
      </c>
      <c r="G2078" s="4" t="s">
        <v>38</v>
      </c>
      <c r="H2078" s="4" t="s">
        <v>3676</v>
      </c>
      <c r="I2078" s="4" t="s">
        <v>3716</v>
      </c>
      <c r="J2078" s="4" t="s">
        <v>68</v>
      </c>
      <c r="K2078" s="4" t="s">
        <v>3742</v>
      </c>
      <c r="L2078" s="4" t="s">
        <v>736</v>
      </c>
      <c r="M2078" s="4" t="s">
        <v>737</v>
      </c>
      <c r="N2078" s="4" t="s">
        <v>44</v>
      </c>
      <c r="O2078" s="4" t="s">
        <v>3743</v>
      </c>
      <c r="P2078" s="4" t="s">
        <v>3629</v>
      </c>
    </row>
    <row r="2079" customFormat="false" ht="15" hidden="false" customHeight="false" outlineLevel="0" collapsed="false">
      <c r="A2079" s="4" t="s">
        <v>5173</v>
      </c>
      <c r="B2079" s="4" t="s">
        <v>5174</v>
      </c>
      <c r="C2079" s="4" t="s">
        <v>5175</v>
      </c>
      <c r="D2079" s="4" t="s">
        <v>3624</v>
      </c>
      <c r="E2079" s="4" t="s">
        <v>36</v>
      </c>
      <c r="F2079" s="4" t="s">
        <v>736</v>
      </c>
      <c r="G2079" s="4" t="s">
        <v>38</v>
      </c>
      <c r="H2079" s="4" t="s">
        <v>3625</v>
      </c>
      <c r="I2079" s="4" t="s">
        <v>3716</v>
      </c>
      <c r="J2079" s="4" t="s">
        <v>68</v>
      </c>
      <c r="K2079" s="4" t="s">
        <v>3985</v>
      </c>
      <c r="L2079" s="4" t="s">
        <v>736</v>
      </c>
      <c r="M2079" s="4" t="s">
        <v>737</v>
      </c>
      <c r="N2079" s="4" t="s">
        <v>44</v>
      </c>
      <c r="O2079" s="4" t="s">
        <v>3986</v>
      </c>
      <c r="P2079" s="4" t="s">
        <v>3629</v>
      </c>
    </row>
    <row r="2080" customFormat="false" ht="15" hidden="false" customHeight="false" outlineLevel="0" collapsed="false">
      <c r="A2080" s="4" t="s">
        <v>5176</v>
      </c>
      <c r="B2080" s="4" t="s">
        <v>5174</v>
      </c>
      <c r="C2080" s="4" t="s">
        <v>5174</v>
      </c>
      <c r="D2080" s="4" t="s">
        <v>3624</v>
      </c>
      <c r="E2080" s="4" t="s">
        <v>36</v>
      </c>
      <c r="F2080" s="4" t="s">
        <v>736</v>
      </c>
      <c r="G2080" s="4" t="s">
        <v>59</v>
      </c>
      <c r="H2080" s="4" t="s">
        <v>3676</v>
      </c>
      <c r="I2080" s="4" t="s">
        <v>3633</v>
      </c>
      <c r="J2080" s="4" t="s">
        <v>40</v>
      </c>
      <c r="K2080" s="4" t="s">
        <v>4803</v>
      </c>
      <c r="L2080" s="4" t="s">
        <v>736</v>
      </c>
      <c r="M2080" s="4" t="s">
        <v>737</v>
      </c>
      <c r="N2080" s="4" t="s">
        <v>44</v>
      </c>
      <c r="O2080" s="4" t="s">
        <v>4804</v>
      </c>
      <c r="P2080" s="4" t="s">
        <v>3629</v>
      </c>
    </row>
    <row r="2081" customFormat="false" ht="15" hidden="false" customHeight="false" outlineLevel="0" collapsed="false">
      <c r="A2081" s="4" t="s">
        <v>5177</v>
      </c>
      <c r="B2081" s="4" t="s">
        <v>5174</v>
      </c>
      <c r="C2081" s="4" t="s">
        <v>5174</v>
      </c>
      <c r="D2081" s="4" t="s">
        <v>3624</v>
      </c>
      <c r="E2081" s="4" t="s">
        <v>49</v>
      </c>
      <c r="F2081" s="4" t="s">
        <v>3635</v>
      </c>
      <c r="G2081" s="4" t="s">
        <v>38</v>
      </c>
      <c r="H2081" s="4" t="s">
        <v>3625</v>
      </c>
      <c r="I2081" s="4" t="s">
        <v>4641</v>
      </c>
      <c r="J2081" s="4" t="s">
        <v>40</v>
      </c>
      <c r="K2081" s="4" t="s">
        <v>4454</v>
      </c>
      <c r="L2081" s="4" t="s">
        <v>1584</v>
      </c>
      <c r="M2081" s="4" t="s">
        <v>737</v>
      </c>
      <c r="N2081" s="4" t="s">
        <v>44</v>
      </c>
      <c r="O2081" s="4" t="s">
        <v>4455</v>
      </c>
      <c r="P2081" s="4" t="s">
        <v>3629</v>
      </c>
    </row>
    <row r="2082" customFormat="false" ht="15" hidden="false" customHeight="false" outlineLevel="0" collapsed="false">
      <c r="A2082" s="4" t="s">
        <v>5178</v>
      </c>
      <c r="B2082" s="4" t="s">
        <v>5179</v>
      </c>
      <c r="C2082" s="4" t="s">
        <v>5180</v>
      </c>
      <c r="D2082" s="4" t="s">
        <v>3624</v>
      </c>
      <c r="E2082" s="4" t="s">
        <v>36</v>
      </c>
      <c r="F2082" s="4" t="s">
        <v>736</v>
      </c>
      <c r="G2082" s="4" t="s">
        <v>59</v>
      </c>
      <c r="H2082" s="4" t="s">
        <v>3625</v>
      </c>
      <c r="I2082" s="4" t="s">
        <v>3626</v>
      </c>
      <c r="J2082" s="4" t="s">
        <v>40</v>
      </c>
      <c r="K2082" s="4" t="s">
        <v>4245</v>
      </c>
      <c r="L2082" s="4" t="s">
        <v>1584</v>
      </c>
      <c r="M2082" s="4" t="s">
        <v>1683</v>
      </c>
      <c r="N2082" s="4" t="s">
        <v>44</v>
      </c>
      <c r="O2082" s="4" t="s">
        <v>4246</v>
      </c>
      <c r="P2082" s="4" t="s">
        <v>3629</v>
      </c>
    </row>
    <row r="2083" customFormat="false" ht="15" hidden="false" customHeight="false" outlineLevel="0" collapsed="false">
      <c r="A2083" s="4" t="s">
        <v>5181</v>
      </c>
      <c r="B2083" s="4" t="s">
        <v>5182</v>
      </c>
      <c r="C2083" s="4" t="s">
        <v>5183</v>
      </c>
      <c r="D2083" s="4" t="s">
        <v>3624</v>
      </c>
      <c r="E2083" s="4" t="s">
        <v>36</v>
      </c>
      <c r="F2083" s="4" t="s">
        <v>3710</v>
      </c>
      <c r="G2083" s="4" t="s">
        <v>38</v>
      </c>
      <c r="H2083" s="4" t="s">
        <v>3625</v>
      </c>
      <c r="I2083" s="4" t="s">
        <v>3716</v>
      </c>
      <c r="J2083" s="4" t="s">
        <v>68</v>
      </c>
      <c r="K2083" s="4" t="s">
        <v>5184</v>
      </c>
      <c r="L2083" s="4" t="s">
        <v>1584</v>
      </c>
      <c r="M2083" s="4" t="s">
        <v>1683</v>
      </c>
      <c r="N2083" s="4" t="s">
        <v>185</v>
      </c>
      <c r="O2083" s="4" t="s">
        <v>5185</v>
      </c>
      <c r="P2083" s="4" t="s">
        <v>3629</v>
      </c>
    </row>
    <row r="2084" customFormat="false" ht="15" hidden="false" customHeight="false" outlineLevel="0" collapsed="false">
      <c r="A2084" s="4" t="s">
        <v>5186</v>
      </c>
      <c r="B2084" s="4" t="s">
        <v>5187</v>
      </c>
      <c r="C2084" s="4" t="s">
        <v>5188</v>
      </c>
      <c r="D2084" s="4" t="s">
        <v>3624</v>
      </c>
      <c r="E2084" s="4" t="s">
        <v>36</v>
      </c>
      <c r="F2084" s="4" t="s">
        <v>1584</v>
      </c>
      <c r="G2084" s="4" t="s">
        <v>38</v>
      </c>
      <c r="H2084" s="4" t="s">
        <v>3625</v>
      </c>
      <c r="I2084" s="4" t="s">
        <v>3645</v>
      </c>
      <c r="J2084" s="4" t="s">
        <v>40</v>
      </c>
      <c r="K2084" s="4" t="s">
        <v>4138</v>
      </c>
      <c r="L2084" s="4" t="s">
        <v>3406</v>
      </c>
      <c r="M2084" s="4" t="s">
        <v>737</v>
      </c>
      <c r="N2084" s="4" t="s">
        <v>44</v>
      </c>
      <c r="O2084" s="4" t="s">
        <v>4139</v>
      </c>
      <c r="P2084" s="4" t="s">
        <v>3629</v>
      </c>
    </row>
    <row r="2085" customFormat="false" ht="15" hidden="false" customHeight="false" outlineLevel="0" collapsed="false">
      <c r="A2085" s="4" t="s">
        <v>5189</v>
      </c>
      <c r="B2085" s="4" t="s">
        <v>5187</v>
      </c>
      <c r="C2085" s="4" t="s">
        <v>5190</v>
      </c>
      <c r="D2085" s="4" t="s">
        <v>3624</v>
      </c>
      <c r="E2085" s="4" t="s">
        <v>89</v>
      </c>
      <c r="F2085" s="4" t="s">
        <v>736</v>
      </c>
      <c r="G2085" s="4" t="s">
        <v>38</v>
      </c>
      <c r="H2085" s="4" t="s">
        <v>3676</v>
      </c>
      <c r="I2085" s="4" t="s">
        <v>3669</v>
      </c>
      <c r="J2085" s="4" t="s">
        <v>68</v>
      </c>
      <c r="K2085" s="4" t="s">
        <v>4797</v>
      </c>
      <c r="L2085" s="4" t="s">
        <v>736</v>
      </c>
      <c r="M2085" s="4" t="s">
        <v>737</v>
      </c>
      <c r="N2085" s="4" t="s">
        <v>185</v>
      </c>
      <c r="O2085" s="4" t="s">
        <v>4798</v>
      </c>
      <c r="P2085" s="4" t="s">
        <v>3629</v>
      </c>
    </row>
    <row r="2086" customFormat="false" ht="15" hidden="false" customHeight="false" outlineLevel="0" collapsed="false">
      <c r="A2086" s="4" t="s">
        <v>5191</v>
      </c>
      <c r="B2086" s="4" t="s">
        <v>5188</v>
      </c>
      <c r="C2086" s="4" t="s">
        <v>5192</v>
      </c>
      <c r="D2086" s="4" t="s">
        <v>3624</v>
      </c>
      <c r="E2086" s="4" t="s">
        <v>66</v>
      </c>
      <c r="F2086" s="4" t="s">
        <v>736</v>
      </c>
      <c r="G2086" s="4" t="s">
        <v>38</v>
      </c>
      <c r="H2086" s="4" t="s">
        <v>3676</v>
      </c>
      <c r="I2086" s="4" t="s">
        <v>3651</v>
      </c>
      <c r="J2086" s="4" t="s">
        <v>40</v>
      </c>
      <c r="K2086" s="4" t="s">
        <v>3876</v>
      </c>
      <c r="L2086" s="4" t="s">
        <v>736</v>
      </c>
      <c r="M2086" s="4" t="s">
        <v>737</v>
      </c>
      <c r="N2086" s="4" t="s">
        <v>44</v>
      </c>
      <c r="O2086" s="4" t="s">
        <v>3877</v>
      </c>
      <c r="P2086" s="4" t="s">
        <v>3629</v>
      </c>
    </row>
    <row r="2087" customFormat="false" ht="15" hidden="false" customHeight="false" outlineLevel="0" collapsed="false">
      <c r="A2087" s="4" t="s">
        <v>5193</v>
      </c>
      <c r="B2087" s="4" t="s">
        <v>5192</v>
      </c>
      <c r="C2087" s="4" t="s">
        <v>5192</v>
      </c>
      <c r="D2087" s="4" t="s">
        <v>3624</v>
      </c>
      <c r="E2087" s="4" t="s">
        <v>36</v>
      </c>
      <c r="F2087" s="4" t="s">
        <v>736</v>
      </c>
      <c r="G2087" s="4" t="s">
        <v>38</v>
      </c>
      <c r="H2087" s="4" t="s">
        <v>3625</v>
      </c>
      <c r="I2087" s="4" t="s">
        <v>3651</v>
      </c>
      <c r="J2087" s="4" t="s">
        <v>81</v>
      </c>
      <c r="K2087" s="4" t="s">
        <v>4886</v>
      </c>
      <c r="L2087" s="4" t="s">
        <v>736</v>
      </c>
      <c r="M2087" s="4" t="s">
        <v>737</v>
      </c>
      <c r="N2087" s="4" t="s">
        <v>44</v>
      </c>
      <c r="O2087" s="4" t="s">
        <v>4887</v>
      </c>
      <c r="P2087" s="4" t="s">
        <v>3629</v>
      </c>
    </row>
    <row r="2088" customFormat="false" ht="15" hidden="false" customHeight="false" outlineLevel="0" collapsed="false">
      <c r="A2088" s="4" t="s">
        <v>5194</v>
      </c>
      <c r="B2088" s="4" t="s">
        <v>5192</v>
      </c>
      <c r="C2088" s="4" t="s">
        <v>5195</v>
      </c>
      <c r="D2088" s="4" t="s">
        <v>3624</v>
      </c>
      <c r="E2088" s="4" t="s">
        <v>36</v>
      </c>
      <c r="F2088" s="4" t="s">
        <v>736</v>
      </c>
      <c r="G2088" s="4" t="s">
        <v>59</v>
      </c>
      <c r="H2088" s="4" t="s">
        <v>3625</v>
      </c>
      <c r="I2088" s="4" t="s">
        <v>3657</v>
      </c>
      <c r="J2088" s="4" t="s">
        <v>40</v>
      </c>
      <c r="K2088" s="4" t="s">
        <v>3683</v>
      </c>
      <c r="L2088" s="4" t="s">
        <v>3635</v>
      </c>
      <c r="M2088" s="4" t="s">
        <v>737</v>
      </c>
      <c r="N2088" s="4" t="s">
        <v>44</v>
      </c>
      <c r="O2088" s="4" t="s">
        <v>3684</v>
      </c>
      <c r="P2088" s="4" t="s">
        <v>3629</v>
      </c>
    </row>
    <row r="2089" customFormat="false" ht="15" hidden="false" customHeight="false" outlineLevel="0" collapsed="false">
      <c r="A2089" s="4" t="s">
        <v>5196</v>
      </c>
      <c r="B2089" s="4" t="s">
        <v>5197</v>
      </c>
      <c r="C2089" s="4" t="s">
        <v>5198</v>
      </c>
      <c r="D2089" s="4" t="s">
        <v>3624</v>
      </c>
      <c r="E2089" s="4" t="s">
        <v>49</v>
      </c>
      <c r="F2089" s="4" t="s">
        <v>3635</v>
      </c>
      <c r="G2089" s="4" t="s">
        <v>59</v>
      </c>
      <c r="H2089" s="4" t="s">
        <v>3625</v>
      </c>
      <c r="I2089" s="4" t="s">
        <v>3657</v>
      </c>
      <c r="J2089" s="4" t="s">
        <v>81</v>
      </c>
      <c r="K2089" s="4" t="s">
        <v>4102</v>
      </c>
      <c r="L2089" s="4" t="s">
        <v>736</v>
      </c>
      <c r="M2089" s="4" t="s">
        <v>737</v>
      </c>
      <c r="N2089" s="4" t="s">
        <v>44</v>
      </c>
      <c r="O2089" s="4" t="s">
        <v>4103</v>
      </c>
      <c r="P2089" s="4" t="s">
        <v>3629</v>
      </c>
    </row>
    <row r="2090" customFormat="false" ht="15" hidden="false" customHeight="false" outlineLevel="0" collapsed="false">
      <c r="A2090" s="4" t="s">
        <v>5199</v>
      </c>
      <c r="B2090" s="4" t="s">
        <v>5200</v>
      </c>
      <c r="C2090" s="4" t="s">
        <v>5201</v>
      </c>
      <c r="D2090" s="4" t="s">
        <v>3624</v>
      </c>
      <c r="E2090" s="4" t="s">
        <v>36</v>
      </c>
      <c r="F2090" s="4" t="s">
        <v>736</v>
      </c>
      <c r="G2090" s="4" t="s">
        <v>59</v>
      </c>
      <c r="H2090" s="4"/>
      <c r="I2090" s="4" t="s">
        <v>3626</v>
      </c>
      <c r="J2090" s="4" t="s">
        <v>81</v>
      </c>
      <c r="K2090" s="4" t="s">
        <v>3927</v>
      </c>
      <c r="L2090" s="4" t="s">
        <v>736</v>
      </c>
      <c r="M2090" s="4" t="s">
        <v>737</v>
      </c>
      <c r="N2090" s="4" t="s">
        <v>44</v>
      </c>
      <c r="O2090" s="4" t="s">
        <v>3928</v>
      </c>
      <c r="P2090" s="4" t="s">
        <v>3629</v>
      </c>
    </row>
    <row r="2091" customFormat="false" ht="15" hidden="false" customHeight="false" outlineLevel="0" collapsed="false">
      <c r="A2091" s="4" t="s">
        <v>5202</v>
      </c>
      <c r="B2091" s="4" t="s">
        <v>5203</v>
      </c>
      <c r="C2091" s="4" t="s">
        <v>5203</v>
      </c>
      <c r="D2091" s="4" t="s">
        <v>3624</v>
      </c>
      <c r="E2091" s="4" t="s">
        <v>36</v>
      </c>
      <c r="F2091" s="4" t="s">
        <v>736</v>
      </c>
      <c r="G2091" s="4" t="s">
        <v>59</v>
      </c>
      <c r="H2091" s="4" t="s">
        <v>3676</v>
      </c>
      <c r="I2091" s="4" t="s">
        <v>3657</v>
      </c>
      <c r="J2091" s="4" t="s">
        <v>68</v>
      </c>
      <c r="K2091" s="4" t="s">
        <v>4409</v>
      </c>
      <c r="L2091" s="4" t="s">
        <v>736</v>
      </c>
      <c r="M2091" s="4" t="s">
        <v>737</v>
      </c>
      <c r="N2091" s="4" t="s">
        <v>44</v>
      </c>
      <c r="O2091" s="4" t="s">
        <v>4410</v>
      </c>
      <c r="P2091" s="4" t="s">
        <v>3629</v>
      </c>
    </row>
    <row r="2092" customFormat="false" ht="15" hidden="false" customHeight="false" outlineLevel="0" collapsed="false">
      <c r="A2092" s="4" t="s">
        <v>5204</v>
      </c>
      <c r="B2092" s="4" t="s">
        <v>5205</v>
      </c>
      <c r="C2092" s="4" t="s">
        <v>5205</v>
      </c>
      <c r="D2092" s="4" t="s">
        <v>3624</v>
      </c>
      <c r="E2092" s="4" t="s">
        <v>36</v>
      </c>
      <c r="F2092" s="4" t="s">
        <v>736</v>
      </c>
      <c r="G2092" s="4" t="s">
        <v>38</v>
      </c>
      <c r="H2092" s="4" t="s">
        <v>3625</v>
      </c>
      <c r="I2092" s="4" t="s">
        <v>3645</v>
      </c>
      <c r="J2092" s="4" t="s">
        <v>40</v>
      </c>
      <c r="K2092" s="4" t="s">
        <v>3811</v>
      </c>
      <c r="L2092" s="4" t="s">
        <v>736</v>
      </c>
      <c r="M2092" s="4" t="s">
        <v>737</v>
      </c>
      <c r="N2092" s="4" t="s">
        <v>44</v>
      </c>
      <c r="O2092" s="4" t="s">
        <v>3812</v>
      </c>
      <c r="P2092" s="4" t="s">
        <v>3629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6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8"/>
    <col collapsed="false" customWidth="true" hidden="false" outlineLevel="0" max="15" min="15" style="0" width="11"/>
    <col collapsed="false" customWidth="true" hidden="false" outlineLevel="0" max="16" min="16" style="0" width="20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28"/>
    <col collapsed="false" customWidth="true" hidden="false" outlineLevel="0" max="20" min="20" style="0" width="16"/>
  </cols>
  <sheetData>
    <row r="1" customFormat="false" ht="52.2" hidden="false" customHeight="false" outlineLevel="0" collapsed="false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5206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5207</v>
      </c>
      <c r="Q1" s="3" t="s">
        <v>5208</v>
      </c>
      <c r="R1" s="3" t="s">
        <v>5209</v>
      </c>
      <c r="S1" s="3" t="s">
        <v>5210</v>
      </c>
      <c r="T1" s="3" t="s">
        <v>32</v>
      </c>
    </row>
    <row r="2" customFormat="false" ht="15" hidden="false" customHeight="false" outlineLevel="0" collapsed="false">
      <c r="A2" s="4" t="str">
        <f aca="false">IF(Base_Bruta!A2="","",Base_Bruta!A2)</f>
        <v>SP-000682</v>
      </c>
      <c r="B2" s="5" t="n">
        <f aca="false">IF($A2="","",IF(ISNUMBER(Base_Bruta!B2),Base_Bruta!B2,IF(MID(Base_Bruta!B2,5,1)="-",DATE(VALUE(LEFT(Base_Bruta!B2,4)),VALUE(MID(Base_Bruta!B2,6,2)),VALUE(RIGHT(Base_Bruta!B2,2))),DATE(VALUE(RIGHT(Base_Bruta!B2,4)),VALUE(MID(Base_Bruta!B2,4,2)),VALUE(LEFT(Base_Bruta!B2,2))))))</f>
        <v>45662</v>
      </c>
      <c r="C2" s="5" t="n">
        <f aca="false">IF($A2="","",IF(ISNUMBER(Base_Bruta!C2),Base_Bruta!C2,IF(MID(Base_Bruta!C2,5,1)="-",DATE(VALUE(LEFT(Base_Bruta!C2,4)),VALUE(MID(Base_Bruta!C2,6,2)),VALUE(RIGHT(Base_Bruta!C2,2))),DATE(VALUE(RIGHT(Base_Bruta!C2,4)),VALUE(MID(Base_Bruta!C2,4,2)),VALUE(LEFT(Base_Bruta!C2,2))))))</f>
        <v>45662</v>
      </c>
      <c r="D2" s="4" t="str">
        <f aca="false">IF($A2="","",TRIM(Base_Bruta!D2))</f>
        <v>Cinema Paulista - Sessões</v>
      </c>
      <c r="E2" s="4" t="str">
        <f aca="false">IF($A2="","",_xlfn.XLOOKUP(LOWER(TRIM(Base_Bruta!E2)),DePara_Categoria!$A$2:$A$9,DePara_Categoria!$B$2:$B$9,"REVISAR"))</f>
        <v>Cinema</v>
      </c>
      <c r="F2" s="4" t="str">
        <f aca="false">IF($A2="","",_xlfn.XLOOKUP(LOWER(TRIM(Base_Bruta!F2)),DePara_Cidade!$A$2:$A$29,DePara_Cidade!$B$2:$B$29,"REVISAR"))</f>
        <v>São Paulo</v>
      </c>
      <c r="G2" s="4" t="str">
        <f aca="false">IF($A2="","",TRIM(Base_Bruta!G2))</f>
        <v>Inteira</v>
      </c>
      <c r="H2" s="4" t="n">
        <f aca="false">IF($A2="","",IF(ISNUMBER(Base_Bruta!H2),Base_Bruta!H2,IFERROR(_xlfn.NUMBERVALUE(TRIM(SUBSTITUTE(Base_Bruta!H2,"R$","")),",","."),0)))</f>
        <v>2</v>
      </c>
      <c r="I2" s="6" t="n">
        <f aca="false">IF($A2="","",IF(ISNUMBER(Base_Bruta!I2),Base_Bruta!I2,IFERROR(_xlfn.NUMBERVALUE(TRIM(SUBSTITUTE(Base_Bruta!I2,"R$","")),",","."),0)))</f>
        <v>45</v>
      </c>
      <c r="J2" s="6" t="n">
        <f aca="false">IF($A2="","",H2*I2)</f>
        <v>90</v>
      </c>
      <c r="K2" s="4" t="str">
        <f aca="false">IF($A2="","",TRIM(Base_Bruta!J2))</f>
        <v>Site</v>
      </c>
      <c r="L2" s="4" t="str">
        <f aca="false">IF($A2="","",TRIM(Base_Bruta!K2))</f>
        <v>C00387</v>
      </c>
      <c r="M2" s="4" t="str">
        <f aca="false">IF($A2="","",_xlfn.XLOOKUP(LOWER(TRIM(Base_Bruta!L2)),DePara_Cidade!$A$2:$A$29,DePara_Cidade!$B$2:$B$29,"REVISAR"))</f>
        <v>São Paulo</v>
      </c>
      <c r="N2" s="4" t="str">
        <f aca="false">IF($A2="","",UPPER(TRIM(Base_Bruta!M2)))</f>
        <v>SP</v>
      </c>
      <c r="O2" s="4" t="str">
        <f aca="false">IF($A2="","",_xlfn.XLOOKUP(LOWER(TRIM(Base_Bruta!N2)),DePara_Pais!$A$2:$A$9,DePara_Pais!$B$2:$B$9,"REVISAR"))</f>
        <v>Brasil</v>
      </c>
      <c r="P2" s="4" t="str">
        <f aca="false">IF($A2="","",IF(O2&lt;&gt;"Brasil","Turista Internacional",IF(M2=F2,"Local","Turista Nacional")))</f>
        <v>Local</v>
      </c>
      <c r="Q2" s="7" t="n">
        <f aca="false">IF($A2="","",DATE(YEAR(B2),MONTH(B2),1))</f>
        <v>45658</v>
      </c>
      <c r="R2" s="4" t="str">
        <f aca="false">IF($A2="","",IF(COUNTIF($A$2:$A2,$A2)&gt;1,"Sim","Não"))</f>
        <v>Não</v>
      </c>
      <c r="S2" s="4" t="str">
        <f aca="false">IF(A2="","Descartar - Linha vazia",IF(R2="Sim","Descartar - Duplicado",IF(OR(H2&lt;=0,I2&lt;=0),"Descartar - Qtd/Valor inválido","OK")))</f>
        <v>OK</v>
      </c>
      <c r="T2" s="4" t="str">
        <f aca="false">Base_Bruta!P2</f>
        <v>vendas_SP.xlsx</v>
      </c>
    </row>
    <row r="3" customFormat="false" ht="15" hidden="false" customHeight="false" outlineLevel="0" collapsed="false">
      <c r="A3" s="4" t="str">
        <f aca="false">IF(Base_Bruta!A3="","",Base_Bruta!A3)</f>
        <v>SP-000661</v>
      </c>
      <c r="B3" s="5" t="n">
        <f aca="false">IF($A3="","",IF(ISNUMBER(Base_Bruta!B3),Base_Bruta!B3,IF(MID(Base_Bruta!B3,5,1)="-",DATE(VALUE(LEFT(Base_Bruta!B3,4)),VALUE(MID(Base_Bruta!B3,6,2)),VALUE(RIGHT(Base_Bruta!B3,2))),DATE(VALUE(RIGHT(Base_Bruta!B3,4)),VALUE(MID(Base_Bruta!B3,4,2)),VALUE(LEFT(Base_Bruta!B3,2))))))</f>
        <v>45663</v>
      </c>
      <c r="C3" s="5" t="n">
        <f aca="false">IF($A3="","",IF(ISNUMBER(Base_Bruta!C3),Base_Bruta!C3,IF(MID(Base_Bruta!C3,5,1)="-",DATE(VALUE(LEFT(Base_Bruta!C3,4)),VALUE(MID(Base_Bruta!C3,6,2)),VALUE(RIGHT(Base_Bruta!C3,2))),DATE(VALUE(RIGHT(Base_Bruta!C3,4)),VALUE(MID(Base_Bruta!C3,4,2)),VALUE(LEFT(Base_Bruta!C3,2))))))</f>
        <v>45663</v>
      </c>
      <c r="D3" s="4" t="str">
        <f aca="false">IF($A3="","",TRIM(Base_Bruta!D3))</f>
        <v>Cinema Paulista - Sessões</v>
      </c>
      <c r="E3" s="4" t="str">
        <f aca="false">IF($A3="","",_xlfn.XLOOKUP(LOWER(TRIM(Base_Bruta!E3)),DePara_Categoria!$A$2:$A$9,DePara_Categoria!$B$2:$B$9,"REVISAR"))</f>
        <v>Cinema</v>
      </c>
      <c r="F3" s="4" t="str">
        <f aca="false">IF($A3="","",_xlfn.XLOOKUP(LOWER(TRIM(Base_Bruta!F3)),DePara_Cidade!$A$2:$A$29,DePara_Cidade!$B$2:$B$29,"REVISAR"))</f>
        <v>São Paulo</v>
      </c>
      <c r="G3" s="4" t="str">
        <f aca="false">IF($A3="","",TRIM(Base_Bruta!G3))</f>
        <v>Inteira</v>
      </c>
      <c r="H3" s="4" t="n">
        <f aca="false">IF($A3="","",IF(ISNUMBER(Base_Bruta!H3),Base_Bruta!H3,IFERROR(_xlfn.NUMBERVALUE(TRIM(SUBSTITUTE(Base_Bruta!H3,"R$","")),",","."),0)))</f>
        <v>1</v>
      </c>
      <c r="I3" s="6" t="n">
        <f aca="false">IF($A3="","",IF(ISNUMBER(Base_Bruta!I3),Base_Bruta!I3,IFERROR(_xlfn.NUMBERVALUE(TRIM(SUBSTITUTE(Base_Bruta!I3,"R$","")),",","."),0)))</f>
        <v>35</v>
      </c>
      <c r="J3" s="6" t="n">
        <f aca="false">IF($A3="","",H3*I3)</f>
        <v>35</v>
      </c>
      <c r="K3" s="4" t="str">
        <f aca="false">IF($A3="","",TRIM(Base_Bruta!J3))</f>
        <v>Site</v>
      </c>
      <c r="L3" s="4" t="str">
        <f aca="false">IF($A3="","",TRIM(Base_Bruta!K3))</f>
        <v>C01112</v>
      </c>
      <c r="M3" s="4" t="str">
        <f aca="false">IF($A3="","",_xlfn.XLOOKUP(LOWER(TRIM(Base_Bruta!L3)),DePara_Cidade!$A$2:$A$29,DePara_Cidade!$B$2:$B$29,"REVISAR"))</f>
        <v>São Paulo</v>
      </c>
      <c r="N3" s="4" t="str">
        <f aca="false">IF($A3="","",UPPER(TRIM(Base_Bruta!M3)))</f>
        <v>SP</v>
      </c>
      <c r="O3" s="4" t="str">
        <f aca="false">IF($A3="","",_xlfn.XLOOKUP(LOWER(TRIM(Base_Bruta!N3)),DePara_Pais!$A$2:$A$9,DePara_Pais!$B$2:$B$9,"REVISAR"))</f>
        <v>Brasil</v>
      </c>
      <c r="P3" s="4" t="str">
        <f aca="false">IF($A3="","",IF(O3&lt;&gt;"Brasil","Turista Internacional",IF(M3=F3,"Local","Turista Nacional")))</f>
        <v>Local</v>
      </c>
      <c r="Q3" s="7" t="n">
        <f aca="false">IF($A3="","",DATE(YEAR(B3),MONTH(B3),1))</f>
        <v>45658</v>
      </c>
      <c r="R3" s="4" t="str">
        <f aca="false">IF($A3="","",IF(COUNTIF($A$2:$A3,$A3)&gt;1,"Sim","Não"))</f>
        <v>Não</v>
      </c>
      <c r="S3" s="4" t="str">
        <f aca="false">IF(A3="","Descartar - Linha vazia",IF(R3="Sim","Descartar - Duplicado",IF(OR(H3&lt;=0,I3&lt;=0),"Descartar - Qtd/Valor inválido","OK")))</f>
        <v>OK</v>
      </c>
      <c r="T3" s="4" t="str">
        <f aca="false">Base_Bruta!P3</f>
        <v>vendas_SP.xlsx</v>
      </c>
    </row>
    <row r="4" customFormat="false" ht="15" hidden="false" customHeight="false" outlineLevel="0" collapsed="false">
      <c r="A4" s="4" t="str">
        <f aca="false">IF(Base_Bruta!A4="","",Base_Bruta!A4)</f>
        <v>SP-000694</v>
      </c>
      <c r="B4" s="5" t="n">
        <f aca="false">IF($A4="","",IF(ISNUMBER(Base_Bruta!B4),Base_Bruta!B4,IF(MID(Base_Bruta!B4,5,1)="-",DATE(VALUE(LEFT(Base_Bruta!B4,4)),VALUE(MID(Base_Bruta!B4,6,2)),VALUE(RIGHT(Base_Bruta!B4,2))),DATE(VALUE(RIGHT(Base_Bruta!B4,4)),VALUE(MID(Base_Bruta!B4,4,2)),VALUE(LEFT(Base_Bruta!B4,2))))))</f>
        <v>45664</v>
      </c>
      <c r="C4" s="5" t="n">
        <f aca="false">IF($A4="","",IF(ISNUMBER(Base_Bruta!C4),Base_Bruta!C4,IF(MID(Base_Bruta!C4,5,1)="-",DATE(VALUE(LEFT(Base_Bruta!C4,4)),VALUE(MID(Base_Bruta!C4,6,2)),VALUE(RIGHT(Base_Bruta!C4,2))),DATE(VALUE(RIGHT(Base_Bruta!C4,4)),VALUE(MID(Base_Bruta!C4,4,2)),VALUE(LEFT(Base_Bruta!C4,2))))))</f>
        <v>45667</v>
      </c>
      <c r="D4" s="4" t="str">
        <f aca="false">IF($A4="","",TRIM(Base_Bruta!D4))</f>
        <v>Cinema Paulista - Sessões</v>
      </c>
      <c r="E4" s="4" t="str">
        <f aca="false">IF($A4="","",_xlfn.XLOOKUP(LOWER(TRIM(Base_Bruta!E4)),DePara_Categoria!$A$2:$A$9,DePara_Categoria!$B$2:$B$9,"REVISAR"))</f>
        <v>Cinema</v>
      </c>
      <c r="F4" s="4" t="str">
        <f aca="false">IF($A4="","",_xlfn.XLOOKUP(LOWER(TRIM(Base_Bruta!F4)),DePara_Cidade!$A$2:$A$29,DePara_Cidade!$B$2:$B$29,"REVISAR"))</f>
        <v>São Paulo</v>
      </c>
      <c r="G4" s="4" t="str">
        <f aca="false">IF($A4="","",TRIM(Base_Bruta!G4))</f>
        <v>Meia</v>
      </c>
      <c r="H4" s="4" t="n">
        <f aca="false">IF($A4="","",IF(ISNUMBER(Base_Bruta!H4),Base_Bruta!H4,IFERROR(_xlfn.NUMBERVALUE(TRIM(SUBSTITUTE(Base_Bruta!H4,"R$","")),",","."),0)))</f>
        <v>2</v>
      </c>
      <c r="I4" s="6" t="n">
        <f aca="false">IF($A4="","",IF(ISNUMBER(Base_Bruta!I4),Base_Bruta!I4,IFERROR(_xlfn.NUMBERVALUE(TRIM(SUBSTITUTE(Base_Bruta!I4,"R$","")),",","."),0)))</f>
        <v>22.5</v>
      </c>
      <c r="J4" s="6" t="n">
        <f aca="false">IF($A4="","",H4*I4)</f>
        <v>45</v>
      </c>
      <c r="K4" s="4" t="str">
        <f aca="false">IF($A4="","",TRIM(Base_Bruta!J4))</f>
        <v>Site</v>
      </c>
      <c r="L4" s="4" t="str">
        <f aca="false">IF($A4="","",TRIM(Base_Bruta!K4))</f>
        <v>C02052</v>
      </c>
      <c r="M4" s="4" t="str">
        <f aca="false">IF($A4="","",_xlfn.XLOOKUP(LOWER(TRIM(Base_Bruta!L4)),DePara_Cidade!$A$2:$A$29,DePara_Cidade!$B$2:$B$29,"REVISAR"))</f>
        <v>São Paulo</v>
      </c>
      <c r="N4" s="4" t="str">
        <f aca="false">IF($A4="","",UPPER(TRIM(Base_Bruta!M4)))</f>
        <v>SP</v>
      </c>
      <c r="O4" s="4" t="str">
        <f aca="false">IF($A4="","",_xlfn.XLOOKUP(LOWER(TRIM(Base_Bruta!N4)),DePara_Pais!$A$2:$A$9,DePara_Pais!$B$2:$B$9,"REVISAR"))</f>
        <v>Brasil</v>
      </c>
      <c r="P4" s="4" t="str">
        <f aca="false">IF($A4="","",IF(O4&lt;&gt;"Brasil","Turista Internacional",IF(M4=F4,"Local","Turista Nacional")))</f>
        <v>Local</v>
      </c>
      <c r="Q4" s="7" t="n">
        <f aca="false">IF($A4="","",DATE(YEAR(B4),MONTH(B4),1))</f>
        <v>45658</v>
      </c>
      <c r="R4" s="4" t="str">
        <f aca="false">IF($A4="","",IF(COUNTIF($A$2:$A4,$A4)&gt;1,"Sim","Não"))</f>
        <v>Não</v>
      </c>
      <c r="S4" s="4" t="str">
        <f aca="false">IF(A4="","Descartar - Linha vazia",IF(R4="Sim","Descartar - Duplicado",IF(OR(H4&lt;=0,I4&lt;=0),"Descartar - Qtd/Valor inválido","OK")))</f>
        <v>OK</v>
      </c>
      <c r="T4" s="4" t="str">
        <f aca="false">Base_Bruta!P4</f>
        <v>vendas_SP.xlsx</v>
      </c>
    </row>
    <row r="5" customFormat="false" ht="15" hidden="false" customHeight="false" outlineLevel="0" collapsed="false">
      <c r="A5" s="4" t="str">
        <f aca="false">IF(Base_Bruta!A5="","",Base_Bruta!A5)</f>
        <v>SP-000695</v>
      </c>
      <c r="B5" s="5" t="n">
        <f aca="false">IF($A5="","",IF(ISNUMBER(Base_Bruta!B5),Base_Bruta!B5,IF(MID(Base_Bruta!B5,5,1)="-",DATE(VALUE(LEFT(Base_Bruta!B5,4)),VALUE(MID(Base_Bruta!B5,6,2)),VALUE(RIGHT(Base_Bruta!B5,2))),DATE(VALUE(RIGHT(Base_Bruta!B5,4)),VALUE(MID(Base_Bruta!B5,4,2)),VALUE(LEFT(Base_Bruta!B5,2))))))</f>
        <v>45666</v>
      </c>
      <c r="C5" s="5" t="n">
        <f aca="false">IF($A5="","",IF(ISNUMBER(Base_Bruta!C5),Base_Bruta!C5,IF(MID(Base_Bruta!C5,5,1)="-",DATE(VALUE(LEFT(Base_Bruta!C5,4)),VALUE(MID(Base_Bruta!C5,6,2)),VALUE(RIGHT(Base_Bruta!C5,2))),DATE(VALUE(RIGHT(Base_Bruta!C5,4)),VALUE(MID(Base_Bruta!C5,4,2)),VALUE(LEFT(Base_Bruta!C5,2))))))</f>
        <v>45669</v>
      </c>
      <c r="D5" s="4" t="str">
        <f aca="false">IF($A5="","",TRIM(Base_Bruta!D5))</f>
        <v>Cinema Paulista - Sessões</v>
      </c>
      <c r="E5" s="4" t="str">
        <f aca="false">IF($A5="","",_xlfn.XLOOKUP(LOWER(TRIM(Base_Bruta!E5)),DePara_Categoria!$A$2:$A$9,DePara_Categoria!$B$2:$B$9,"REVISAR"))</f>
        <v>Cinema</v>
      </c>
      <c r="F5" s="4" t="str">
        <f aca="false">IF($A5="","",_xlfn.XLOOKUP(LOWER(TRIM(Base_Bruta!F5)),DePara_Cidade!$A$2:$A$29,DePara_Cidade!$B$2:$B$29,"REVISAR"))</f>
        <v>São Paulo</v>
      </c>
      <c r="G5" s="4" t="str">
        <f aca="false">IF($A5="","",TRIM(Base_Bruta!G5))</f>
        <v>Inteira</v>
      </c>
      <c r="H5" s="4" t="n">
        <f aca="false">IF($A5="","",IF(ISNUMBER(Base_Bruta!H5),Base_Bruta!H5,IFERROR(_xlfn.NUMBERVALUE(TRIM(SUBSTITUTE(Base_Bruta!H5,"R$","")),",","."),0)))</f>
        <v>2</v>
      </c>
      <c r="I5" s="6" t="n">
        <f aca="false">IF($A5="","",IF(ISNUMBER(Base_Bruta!I5),Base_Bruta!I5,IFERROR(_xlfn.NUMBERVALUE(TRIM(SUBSTITUTE(Base_Bruta!I5,"R$","")),",","."),0)))</f>
        <v>40</v>
      </c>
      <c r="J5" s="6" t="n">
        <f aca="false">IF($A5="","",H5*I5)</f>
        <v>80</v>
      </c>
      <c r="K5" s="4" t="str">
        <f aca="false">IF($A5="","",TRIM(Base_Bruta!J5))</f>
        <v>App</v>
      </c>
      <c r="L5" s="4" t="str">
        <f aca="false">IF($A5="","",TRIM(Base_Bruta!K5))</f>
        <v>C00952</v>
      </c>
      <c r="M5" s="4" t="str">
        <f aca="false">IF($A5="","",_xlfn.XLOOKUP(LOWER(TRIM(Base_Bruta!L5)),DePara_Cidade!$A$2:$A$29,DePara_Cidade!$B$2:$B$29,"REVISAR"))</f>
        <v>São Paulo</v>
      </c>
      <c r="N5" s="4" t="str">
        <f aca="false">IF($A5="","",UPPER(TRIM(Base_Bruta!M5)))</f>
        <v>SP</v>
      </c>
      <c r="O5" s="4" t="str">
        <f aca="false">IF($A5="","",_xlfn.XLOOKUP(LOWER(TRIM(Base_Bruta!N5)),DePara_Pais!$A$2:$A$9,DePara_Pais!$B$2:$B$9,"REVISAR"))</f>
        <v>Brasil</v>
      </c>
      <c r="P5" s="4" t="str">
        <f aca="false">IF($A5="","",IF(O5&lt;&gt;"Brasil","Turista Internacional",IF(M5=F5,"Local","Turista Nacional")))</f>
        <v>Local</v>
      </c>
      <c r="Q5" s="7" t="n">
        <f aca="false">IF($A5="","",DATE(YEAR(B5),MONTH(B5),1))</f>
        <v>45658</v>
      </c>
      <c r="R5" s="4" t="str">
        <f aca="false">IF($A5="","",IF(COUNTIF($A$2:$A5,$A5)&gt;1,"Sim","Não"))</f>
        <v>Não</v>
      </c>
      <c r="S5" s="4" t="str">
        <f aca="false">IF(A5="","Descartar - Linha vazia",IF(R5="Sim","Descartar - Duplicado",IF(OR(H5&lt;=0,I5&lt;=0),"Descartar - Qtd/Valor inválido","OK")))</f>
        <v>OK</v>
      </c>
      <c r="T5" s="4" t="str">
        <f aca="false">Base_Bruta!P5</f>
        <v>vendas_SP.xlsx</v>
      </c>
    </row>
    <row r="6" customFormat="false" ht="15" hidden="false" customHeight="false" outlineLevel="0" collapsed="false">
      <c r="A6" s="4" t="str">
        <f aca="false">IF(Base_Bruta!A6="","",Base_Bruta!A6)</f>
        <v>SP-000624</v>
      </c>
      <c r="B6" s="5" t="n">
        <f aca="false">IF($A6="","",IF(ISNUMBER(Base_Bruta!B6),Base_Bruta!B6,IF(MID(Base_Bruta!B6,5,1)="-",DATE(VALUE(LEFT(Base_Bruta!B6,4)),VALUE(MID(Base_Bruta!B6,6,2)),VALUE(RIGHT(Base_Bruta!B6,2))),DATE(VALUE(RIGHT(Base_Bruta!B6,4)),VALUE(MID(Base_Bruta!B6,4,2)),VALUE(LEFT(Base_Bruta!B6,2))))))</f>
        <v>45668</v>
      </c>
      <c r="C6" s="5" t="n">
        <f aca="false">IF($A6="","",IF(ISNUMBER(Base_Bruta!C6),Base_Bruta!C6,IF(MID(Base_Bruta!C6,5,1)="-",DATE(VALUE(LEFT(Base_Bruta!C6,4)),VALUE(MID(Base_Bruta!C6,6,2)),VALUE(RIGHT(Base_Bruta!C6,2))),DATE(VALUE(RIGHT(Base_Bruta!C6,4)),VALUE(MID(Base_Bruta!C6,4,2)),VALUE(LEFT(Base_Bruta!C6,2))))))</f>
        <v>45671</v>
      </c>
      <c r="D6" s="4" t="str">
        <f aca="false">IF($A6="","",TRIM(Base_Bruta!D6))</f>
        <v>Cinema Paulista - Sessões</v>
      </c>
      <c r="E6" s="4" t="str">
        <f aca="false">IF($A6="","",_xlfn.XLOOKUP(LOWER(TRIM(Base_Bruta!E6)),DePara_Categoria!$A$2:$A$9,DePara_Categoria!$B$2:$B$9,"REVISAR"))</f>
        <v>Cinema</v>
      </c>
      <c r="F6" s="4" t="str">
        <f aca="false">IF($A6="","",_xlfn.XLOOKUP(LOWER(TRIM(Base_Bruta!F6)),DePara_Cidade!$A$2:$A$29,DePara_Cidade!$B$2:$B$29,"REVISAR"))</f>
        <v>São Paulo</v>
      </c>
      <c r="G6" s="4" t="str">
        <f aca="false">IF($A6="","",TRIM(Base_Bruta!G6))</f>
        <v>Meia</v>
      </c>
      <c r="H6" s="4" t="n">
        <f aca="false">IF($A6="","",IF(ISNUMBER(Base_Bruta!H6),Base_Bruta!H6,IFERROR(_xlfn.NUMBERVALUE(TRIM(SUBSTITUTE(Base_Bruta!H6,"R$","")),",","."),0)))</f>
        <v>1</v>
      </c>
      <c r="I6" s="6" t="n">
        <f aca="false">IF($A6="","",IF(ISNUMBER(Base_Bruta!I6),Base_Bruta!I6,IFERROR(_xlfn.NUMBERVALUE(TRIM(SUBSTITUTE(Base_Bruta!I6,"R$","")),",","."),0)))</f>
        <v>15</v>
      </c>
      <c r="J6" s="6" t="n">
        <f aca="false">IF($A6="","",H6*I6)</f>
        <v>15</v>
      </c>
      <c r="K6" s="4" t="str">
        <f aca="false">IF($A6="","",TRIM(Base_Bruta!J6))</f>
        <v>Site</v>
      </c>
      <c r="L6" s="4" t="str">
        <f aca="false">IF($A6="","",TRIM(Base_Bruta!K6))</f>
        <v>C02204</v>
      </c>
      <c r="M6" s="4" t="str">
        <f aca="false">IF($A6="","",_xlfn.XLOOKUP(LOWER(TRIM(Base_Bruta!L6)),DePara_Cidade!$A$2:$A$29,DePara_Cidade!$B$2:$B$29,"REVISAR"))</f>
        <v>São Paulo</v>
      </c>
      <c r="N6" s="4" t="str">
        <f aca="false">IF($A6="","",UPPER(TRIM(Base_Bruta!M6)))</f>
        <v>SP</v>
      </c>
      <c r="O6" s="4" t="str">
        <f aca="false">IF($A6="","",_xlfn.XLOOKUP(LOWER(TRIM(Base_Bruta!N6)),DePara_Pais!$A$2:$A$9,DePara_Pais!$B$2:$B$9,"REVISAR"))</f>
        <v>Brasil</v>
      </c>
      <c r="P6" s="4" t="str">
        <f aca="false">IF($A6="","",IF(O6&lt;&gt;"Brasil","Turista Internacional",IF(M6=F6,"Local","Turista Nacional")))</f>
        <v>Local</v>
      </c>
      <c r="Q6" s="7" t="n">
        <f aca="false">IF($A6="","",DATE(YEAR(B6),MONTH(B6),1))</f>
        <v>45658</v>
      </c>
      <c r="R6" s="4" t="str">
        <f aca="false">IF($A6="","",IF(COUNTIF($A$2:$A6,$A6)&gt;1,"Sim","Não"))</f>
        <v>Não</v>
      </c>
      <c r="S6" s="4" t="str">
        <f aca="false">IF(A6="","Descartar - Linha vazia",IF(R6="Sim","Descartar - Duplicado",IF(OR(H6&lt;=0,I6&lt;=0),"Descartar - Qtd/Valor inválido","OK")))</f>
        <v>OK</v>
      </c>
      <c r="T6" s="4" t="str">
        <f aca="false">Base_Bruta!P6</f>
        <v>vendas_SP.xlsx</v>
      </c>
    </row>
    <row r="7" customFormat="false" ht="15" hidden="false" customHeight="false" outlineLevel="0" collapsed="false">
      <c r="A7" s="4" t="str">
        <f aca="false">IF(Base_Bruta!A7="","",Base_Bruta!A7)</f>
        <v>SP-000641</v>
      </c>
      <c r="B7" s="5" t="n">
        <f aca="false">IF($A7="","",IF(ISNUMBER(Base_Bruta!B7),Base_Bruta!B7,IF(MID(Base_Bruta!B7,5,1)="-",DATE(VALUE(LEFT(Base_Bruta!B7,4)),VALUE(MID(Base_Bruta!B7,6,2)),VALUE(RIGHT(Base_Bruta!B7,2))),DATE(VALUE(RIGHT(Base_Bruta!B7,4)),VALUE(MID(Base_Bruta!B7,4,2)),VALUE(LEFT(Base_Bruta!B7,2))))))</f>
        <v>45672</v>
      </c>
      <c r="C7" s="5" t="n">
        <f aca="false">IF($A7="","",IF(ISNUMBER(Base_Bruta!C7),Base_Bruta!C7,IF(MID(Base_Bruta!C7,5,1)="-",DATE(VALUE(LEFT(Base_Bruta!C7,4)),VALUE(MID(Base_Bruta!C7,6,2)),VALUE(RIGHT(Base_Bruta!C7,2))),DATE(VALUE(RIGHT(Base_Bruta!C7,4)),VALUE(MID(Base_Bruta!C7,4,2)),VALUE(LEFT(Base_Bruta!C7,2))))))</f>
        <v>45674</v>
      </c>
      <c r="D7" s="4" t="str">
        <f aca="false">IF($A7="","",TRIM(Base_Bruta!D7))</f>
        <v>Cinema Paulista - Sessões</v>
      </c>
      <c r="E7" s="4" t="str">
        <f aca="false">IF($A7="","",_xlfn.XLOOKUP(LOWER(TRIM(Base_Bruta!E7)),DePara_Categoria!$A$2:$A$9,DePara_Categoria!$B$2:$B$9,"REVISAR"))</f>
        <v>Cinema</v>
      </c>
      <c r="F7" s="4" t="str">
        <f aca="false">IF($A7="","",_xlfn.XLOOKUP(LOWER(TRIM(Base_Bruta!F7)),DePara_Cidade!$A$2:$A$29,DePara_Cidade!$B$2:$B$29,"REVISAR"))</f>
        <v>São Paulo</v>
      </c>
      <c r="G7" s="4" t="str">
        <f aca="false">IF($A7="","",TRIM(Base_Bruta!G7))</f>
        <v>Meia</v>
      </c>
      <c r="H7" s="4" t="n">
        <f aca="false">IF($A7="","",IF(ISNUMBER(Base_Bruta!H7),Base_Bruta!H7,IFERROR(_xlfn.NUMBERVALUE(TRIM(SUBSTITUTE(Base_Bruta!H7,"R$","")),",","."),0)))</f>
        <v>1</v>
      </c>
      <c r="I7" s="6" t="n">
        <f aca="false">IF($A7="","",IF(ISNUMBER(Base_Bruta!I7),Base_Bruta!I7,IFERROR(_xlfn.NUMBERVALUE(TRIM(SUBSTITUTE(Base_Bruta!I7,"R$","")),",","."),0)))</f>
        <v>15</v>
      </c>
      <c r="J7" s="6" t="n">
        <f aca="false">IF($A7="","",H7*I7)</f>
        <v>15</v>
      </c>
      <c r="K7" s="4" t="str">
        <f aca="false">IF($A7="","",TRIM(Base_Bruta!J7))</f>
        <v>Bilheteria</v>
      </c>
      <c r="L7" s="4" t="str">
        <f aca="false">IF($A7="","",TRIM(Base_Bruta!K7))</f>
        <v>C00508</v>
      </c>
      <c r="M7" s="4" t="str">
        <f aca="false">IF($A7="","",_xlfn.XLOOKUP(LOWER(TRIM(Base_Bruta!L7)),DePara_Cidade!$A$2:$A$29,DePara_Cidade!$B$2:$B$29,"REVISAR"))</f>
        <v>São Paulo</v>
      </c>
      <c r="N7" s="4" t="str">
        <f aca="false">IF($A7="","",UPPER(TRIM(Base_Bruta!M7)))</f>
        <v>SP</v>
      </c>
      <c r="O7" s="4" t="str">
        <f aca="false">IF($A7="","",_xlfn.XLOOKUP(LOWER(TRIM(Base_Bruta!N7)),DePara_Pais!$A$2:$A$9,DePara_Pais!$B$2:$B$9,"REVISAR"))</f>
        <v>Brasil</v>
      </c>
      <c r="P7" s="4" t="str">
        <f aca="false">IF($A7="","",IF(O7&lt;&gt;"Brasil","Turista Internacional",IF(M7=F7,"Local","Turista Nacional")))</f>
        <v>Local</v>
      </c>
      <c r="Q7" s="7" t="n">
        <f aca="false">IF($A7="","",DATE(YEAR(B7),MONTH(B7),1))</f>
        <v>45658</v>
      </c>
      <c r="R7" s="4" t="str">
        <f aca="false">IF($A7="","",IF(COUNTIF($A$2:$A7,$A7)&gt;1,"Sim","Não"))</f>
        <v>Não</v>
      </c>
      <c r="S7" s="4" t="str">
        <f aca="false">IF(A7="","Descartar - Linha vazia",IF(R7="Sim","Descartar - Duplicado",IF(OR(H7&lt;=0,I7&lt;=0),"Descartar - Qtd/Valor inválido","OK")))</f>
        <v>OK</v>
      </c>
      <c r="T7" s="4" t="str">
        <f aca="false">Base_Bruta!P7</f>
        <v>vendas_SP.xlsx</v>
      </c>
    </row>
    <row r="8" customFormat="false" ht="15" hidden="false" customHeight="false" outlineLevel="0" collapsed="false">
      <c r="A8" s="4" t="str">
        <f aca="false">IF(Base_Bruta!A8="","",Base_Bruta!A8)</f>
        <v>SP-000653</v>
      </c>
      <c r="B8" s="5" t="n">
        <f aca="false">IF($A8="","",IF(ISNUMBER(Base_Bruta!B8),Base_Bruta!B8,IF(MID(Base_Bruta!B8,5,1)="-",DATE(VALUE(LEFT(Base_Bruta!B8,4)),VALUE(MID(Base_Bruta!B8,6,2)),VALUE(RIGHT(Base_Bruta!B8,2))),DATE(VALUE(RIGHT(Base_Bruta!B8,4)),VALUE(MID(Base_Bruta!B8,4,2)),VALUE(LEFT(Base_Bruta!B8,2))))))</f>
        <v>45672</v>
      </c>
      <c r="C8" s="5" t="n">
        <f aca="false">IF($A8="","",IF(ISNUMBER(Base_Bruta!C8),Base_Bruta!C8,IF(MID(Base_Bruta!C8,5,1)="-",DATE(VALUE(LEFT(Base_Bruta!C8,4)),VALUE(MID(Base_Bruta!C8,6,2)),VALUE(RIGHT(Base_Bruta!C8,2))),DATE(VALUE(RIGHT(Base_Bruta!C8,4)),VALUE(MID(Base_Bruta!C8,4,2)),VALUE(LEFT(Base_Bruta!C8,2))))))</f>
        <v>45674</v>
      </c>
      <c r="D8" s="4" t="str">
        <f aca="false">IF($A8="","",TRIM(Base_Bruta!D8))</f>
        <v>Cinema Paulista - Sessões</v>
      </c>
      <c r="E8" s="4" t="str">
        <f aca="false">IF($A8="","",_xlfn.XLOOKUP(LOWER(TRIM(Base_Bruta!E8)),DePara_Categoria!$A$2:$A$9,DePara_Categoria!$B$2:$B$9,"REVISAR"))</f>
        <v>Cinema</v>
      </c>
      <c r="F8" s="4" t="str">
        <f aca="false">IF($A8="","",_xlfn.XLOOKUP(LOWER(TRIM(Base_Bruta!F8)),DePara_Cidade!$A$2:$A$29,DePara_Cidade!$B$2:$B$29,"REVISAR"))</f>
        <v>São Paulo</v>
      </c>
      <c r="G8" s="4" t="str">
        <f aca="false">IF($A8="","",TRIM(Base_Bruta!G8))</f>
        <v>Meia</v>
      </c>
      <c r="H8" s="4" t="n">
        <f aca="false">IF($A8="","",IF(ISNUMBER(Base_Bruta!H8),Base_Bruta!H8,IFERROR(_xlfn.NUMBERVALUE(TRIM(SUBSTITUTE(Base_Bruta!H8,"R$","")),",","."),0)))</f>
        <v>4</v>
      </c>
      <c r="I8" s="6" t="n">
        <f aca="false">IF($A8="","",IF(ISNUMBER(Base_Bruta!I8),Base_Bruta!I8,IFERROR(_xlfn.NUMBERVALUE(TRIM(SUBSTITUTE(Base_Bruta!I8,"R$","")),",","."),0)))</f>
        <v>22.5</v>
      </c>
      <c r="J8" s="6" t="n">
        <f aca="false">IF($A8="","",H8*I8)</f>
        <v>90</v>
      </c>
      <c r="K8" s="4" t="str">
        <f aca="false">IF($A8="","",TRIM(Base_Bruta!J8))</f>
        <v>Site</v>
      </c>
      <c r="L8" s="4" t="str">
        <f aca="false">IF($A8="","",TRIM(Base_Bruta!K8))</f>
        <v>C02010</v>
      </c>
      <c r="M8" s="4" t="str">
        <f aca="false">IF($A8="","",_xlfn.XLOOKUP(LOWER(TRIM(Base_Bruta!L8)),DePara_Cidade!$A$2:$A$29,DePara_Cidade!$B$2:$B$29,"REVISAR"))</f>
        <v>São Paulo</v>
      </c>
      <c r="N8" s="4" t="str">
        <f aca="false">IF($A8="","",UPPER(TRIM(Base_Bruta!M8)))</f>
        <v>SP</v>
      </c>
      <c r="O8" s="4" t="str">
        <f aca="false">IF($A8="","",_xlfn.XLOOKUP(LOWER(TRIM(Base_Bruta!N8)),DePara_Pais!$A$2:$A$9,DePara_Pais!$B$2:$B$9,"REVISAR"))</f>
        <v>Brasil</v>
      </c>
      <c r="P8" s="4" t="str">
        <f aca="false">IF($A8="","",IF(O8&lt;&gt;"Brasil","Turista Internacional",IF(M8=F8,"Local","Turista Nacional")))</f>
        <v>Local</v>
      </c>
      <c r="Q8" s="7" t="n">
        <f aca="false">IF($A8="","",DATE(YEAR(B8),MONTH(B8),1))</f>
        <v>45658</v>
      </c>
      <c r="R8" s="4" t="str">
        <f aca="false">IF($A8="","",IF(COUNTIF($A$2:$A8,$A8)&gt;1,"Sim","Não"))</f>
        <v>Não</v>
      </c>
      <c r="S8" s="4" t="str">
        <f aca="false">IF(A8="","Descartar - Linha vazia",IF(R8="Sim","Descartar - Duplicado",IF(OR(H8&lt;=0,I8&lt;=0),"Descartar - Qtd/Valor inválido","OK")))</f>
        <v>OK</v>
      </c>
      <c r="T8" s="4" t="str">
        <f aca="false">Base_Bruta!P8</f>
        <v>vendas_SP.xlsx</v>
      </c>
    </row>
    <row r="9" customFormat="false" ht="15" hidden="false" customHeight="false" outlineLevel="0" collapsed="false">
      <c r="A9" s="4" t="str">
        <f aca="false">IF(Base_Bruta!A9="","",Base_Bruta!A9)</f>
        <v>SP-000632</v>
      </c>
      <c r="B9" s="5" t="n">
        <f aca="false">IF($A9="","",IF(ISNUMBER(Base_Bruta!B9),Base_Bruta!B9,IF(MID(Base_Bruta!B9,5,1)="-",DATE(VALUE(LEFT(Base_Bruta!B9,4)),VALUE(MID(Base_Bruta!B9,6,2)),VALUE(RIGHT(Base_Bruta!B9,2))),DATE(VALUE(RIGHT(Base_Bruta!B9,4)),VALUE(MID(Base_Bruta!B9,4,2)),VALUE(LEFT(Base_Bruta!B9,2))))))</f>
        <v>45673</v>
      </c>
      <c r="C9" s="5" t="n">
        <f aca="false">IF($A9="","",IF(ISNUMBER(Base_Bruta!C9),Base_Bruta!C9,IF(MID(Base_Bruta!C9,5,1)="-",DATE(VALUE(LEFT(Base_Bruta!C9,4)),VALUE(MID(Base_Bruta!C9,6,2)),VALUE(RIGHT(Base_Bruta!C9,2))),DATE(VALUE(RIGHT(Base_Bruta!C9,4)),VALUE(MID(Base_Bruta!C9,4,2)),VALUE(LEFT(Base_Bruta!C9,2))))))</f>
        <v>45674</v>
      </c>
      <c r="D9" s="4" t="str">
        <f aca="false">IF($A9="","",TRIM(Base_Bruta!D9))</f>
        <v>Cinema Paulista - Sessões</v>
      </c>
      <c r="E9" s="4" t="str">
        <f aca="false">IF($A9="","",_xlfn.XLOOKUP(LOWER(TRIM(Base_Bruta!E9)),DePara_Categoria!$A$2:$A$9,DePara_Categoria!$B$2:$B$9,"REVISAR"))</f>
        <v>Cinema</v>
      </c>
      <c r="F9" s="4" t="str">
        <f aca="false">IF($A9="","",_xlfn.XLOOKUP(LOWER(TRIM(Base_Bruta!F9)),DePara_Cidade!$A$2:$A$29,DePara_Cidade!$B$2:$B$29,"REVISAR"))</f>
        <v>São Paulo</v>
      </c>
      <c r="G9" s="4" t="str">
        <f aca="false">IF($A9="","",TRIM(Base_Bruta!G9))</f>
        <v>Meia</v>
      </c>
      <c r="H9" s="4" t="n">
        <f aca="false">IF($A9="","",IF(ISNUMBER(Base_Bruta!H9),Base_Bruta!H9,IFERROR(_xlfn.NUMBERVALUE(TRIM(SUBSTITUTE(Base_Bruta!H9,"R$","")),",","."),0)))</f>
        <v>2</v>
      </c>
      <c r="I9" s="6" t="n">
        <f aca="false">IF($A9="","",IF(ISNUMBER(Base_Bruta!I9),Base_Bruta!I9,IFERROR(_xlfn.NUMBERVALUE(TRIM(SUBSTITUTE(Base_Bruta!I9,"R$","")),",","."),0)))</f>
        <v>15</v>
      </c>
      <c r="J9" s="6" t="n">
        <f aca="false">IF($A9="","",H9*I9)</f>
        <v>30</v>
      </c>
      <c r="K9" s="4" t="str">
        <f aca="false">IF($A9="","",TRIM(Base_Bruta!J9))</f>
        <v>App</v>
      </c>
      <c r="L9" s="4" t="str">
        <f aca="false">IF($A9="","",TRIM(Base_Bruta!K9))</f>
        <v>C00115</v>
      </c>
      <c r="M9" s="4" t="str">
        <f aca="false">IF($A9="","",_xlfn.XLOOKUP(LOWER(TRIM(Base_Bruta!L9)),DePara_Cidade!$A$2:$A$29,DePara_Cidade!$B$2:$B$29,"REVISAR"))</f>
        <v>São Paulo</v>
      </c>
      <c r="N9" s="4" t="str">
        <f aca="false">IF($A9="","",UPPER(TRIM(Base_Bruta!M9)))</f>
        <v>SP</v>
      </c>
      <c r="O9" s="4" t="str">
        <f aca="false">IF($A9="","",_xlfn.XLOOKUP(LOWER(TRIM(Base_Bruta!N9)),DePara_Pais!$A$2:$A$9,DePara_Pais!$B$2:$B$9,"REVISAR"))</f>
        <v>Brasil</v>
      </c>
      <c r="P9" s="4" t="str">
        <f aca="false">IF($A9="","",IF(O9&lt;&gt;"Brasil","Turista Internacional",IF(M9=F9,"Local","Turista Nacional")))</f>
        <v>Local</v>
      </c>
      <c r="Q9" s="7" t="n">
        <f aca="false">IF($A9="","",DATE(YEAR(B9),MONTH(B9),1))</f>
        <v>45658</v>
      </c>
      <c r="R9" s="4" t="str">
        <f aca="false">IF($A9="","",IF(COUNTIF($A$2:$A9,$A9)&gt;1,"Sim","Não"))</f>
        <v>Não</v>
      </c>
      <c r="S9" s="4" t="str">
        <f aca="false">IF(A9="","Descartar - Linha vazia",IF(R9="Sim","Descartar - Duplicado",IF(OR(H9&lt;=0,I9&lt;=0),"Descartar - Qtd/Valor inválido","OK")))</f>
        <v>OK</v>
      </c>
      <c r="T9" s="4" t="str">
        <f aca="false">Base_Bruta!P9</f>
        <v>vendas_SP.xlsx</v>
      </c>
    </row>
    <row r="10" customFormat="false" ht="15" hidden="false" customHeight="false" outlineLevel="0" collapsed="false">
      <c r="A10" s="4" t="str">
        <f aca="false">IF(Base_Bruta!A10="","",Base_Bruta!A10)</f>
        <v>SP-000765</v>
      </c>
      <c r="B10" s="5" t="n">
        <f aca="false">IF($A10="","",IF(ISNUMBER(Base_Bruta!B10),Base_Bruta!B10,IF(MID(Base_Bruta!B10,5,1)="-",DATE(VALUE(LEFT(Base_Bruta!B10,4)),VALUE(MID(Base_Bruta!B10,6,2)),VALUE(RIGHT(Base_Bruta!B10,2))),DATE(VALUE(RIGHT(Base_Bruta!B10,4)),VALUE(MID(Base_Bruta!B10,4,2)),VALUE(LEFT(Base_Bruta!B10,2))))))</f>
        <v>45673</v>
      </c>
      <c r="C10" s="5" t="n">
        <f aca="false">IF($A10="","",IF(ISNUMBER(Base_Bruta!C10),Base_Bruta!C10,IF(MID(Base_Bruta!C10,5,1)="-",DATE(VALUE(LEFT(Base_Bruta!C10,4)),VALUE(MID(Base_Bruta!C10,6,2)),VALUE(RIGHT(Base_Bruta!C10,2))),DATE(VALUE(RIGHT(Base_Bruta!C10,4)),VALUE(MID(Base_Bruta!C10,4,2)),VALUE(LEFT(Base_Bruta!C10,2))))))</f>
        <v>45674</v>
      </c>
      <c r="D10" s="4" t="str">
        <f aca="false">IF($A10="","",TRIM(Base_Bruta!D10))</f>
        <v>Cinema Paulista - Sessões</v>
      </c>
      <c r="E10" s="4" t="str">
        <f aca="false">IF($A10="","",_xlfn.XLOOKUP(LOWER(TRIM(Base_Bruta!E10)),DePara_Categoria!$A$2:$A$9,DePara_Categoria!$B$2:$B$9,"REVISAR"))</f>
        <v>Cinema</v>
      </c>
      <c r="F10" s="4" t="str">
        <f aca="false">IF($A10="","",_xlfn.XLOOKUP(LOWER(TRIM(Base_Bruta!F10)),DePara_Cidade!$A$2:$A$29,DePara_Cidade!$B$2:$B$29,"REVISAR"))</f>
        <v>São Paulo</v>
      </c>
      <c r="G10" s="4" t="str">
        <f aca="false">IF($A10="","",TRIM(Base_Bruta!G10))</f>
        <v>Inteira</v>
      </c>
      <c r="H10" s="4" t="n">
        <f aca="false">IF($A10="","",IF(ISNUMBER(Base_Bruta!H10),Base_Bruta!H10,IFERROR(_xlfn.NUMBERVALUE(TRIM(SUBSTITUTE(Base_Bruta!H10,"R$","")),",","."),0)))</f>
        <v>1</v>
      </c>
      <c r="I10" s="6" t="n">
        <f aca="false">IF($A10="","",IF(ISNUMBER(Base_Bruta!I10),Base_Bruta!I10,IFERROR(_xlfn.NUMBERVALUE(TRIM(SUBSTITUTE(Base_Bruta!I10,"R$","")),",","."),0)))</f>
        <v>45</v>
      </c>
      <c r="J10" s="6" t="n">
        <f aca="false">IF($A10="","",H10*I10)</f>
        <v>45</v>
      </c>
      <c r="K10" s="4" t="str">
        <f aca="false">IF($A10="","",TRIM(Base_Bruta!J10))</f>
        <v>App</v>
      </c>
      <c r="L10" s="4" t="str">
        <f aca="false">IF($A10="","",TRIM(Base_Bruta!K10))</f>
        <v>C01088</v>
      </c>
      <c r="M10" s="4" t="str">
        <f aca="false">IF($A10="","",_xlfn.XLOOKUP(LOWER(TRIM(Base_Bruta!L10)),DePara_Cidade!$A$2:$A$29,DePara_Cidade!$B$2:$B$29,"REVISAR"))</f>
        <v>São Paulo</v>
      </c>
      <c r="N10" s="4" t="str">
        <f aca="false">IF($A10="","",UPPER(TRIM(Base_Bruta!M10)))</f>
        <v>SP</v>
      </c>
      <c r="O10" s="4" t="str">
        <f aca="false">IF($A10="","",_xlfn.XLOOKUP(LOWER(TRIM(Base_Bruta!N10)),DePara_Pais!$A$2:$A$9,DePara_Pais!$B$2:$B$9,"REVISAR"))</f>
        <v>Brasil</v>
      </c>
      <c r="P10" s="4" t="str">
        <f aca="false">IF($A10="","",IF(O10&lt;&gt;"Brasil","Turista Internacional",IF(M10=F10,"Local","Turista Nacional")))</f>
        <v>Local</v>
      </c>
      <c r="Q10" s="7" t="n">
        <f aca="false">IF($A10="","",DATE(YEAR(B10),MONTH(B10),1))</f>
        <v>45658</v>
      </c>
      <c r="R10" s="4" t="str">
        <f aca="false">IF($A10="","",IF(COUNTIF($A$2:$A10,$A10)&gt;1,"Sim","Não"))</f>
        <v>Não</v>
      </c>
      <c r="S10" s="4" t="str">
        <f aca="false">IF(A10="","Descartar - Linha vazia",IF(R10="Sim","Descartar - Duplicado",IF(OR(H10&lt;=0,I10&lt;=0),"Descartar - Qtd/Valor inválido","OK")))</f>
        <v>OK</v>
      </c>
      <c r="T10" s="4" t="str">
        <f aca="false">Base_Bruta!P10</f>
        <v>vendas_SP.xlsx</v>
      </c>
    </row>
    <row r="11" customFormat="false" ht="15" hidden="false" customHeight="false" outlineLevel="0" collapsed="false">
      <c r="A11" s="4" t="str">
        <f aca="false">IF(Base_Bruta!A11="","",Base_Bruta!A11)</f>
        <v>SP-000748</v>
      </c>
      <c r="B11" s="5" t="n">
        <f aca="false">IF($A11="","",IF(ISNUMBER(Base_Bruta!B11),Base_Bruta!B11,IF(MID(Base_Bruta!B11,5,1)="-",DATE(VALUE(LEFT(Base_Bruta!B11,4)),VALUE(MID(Base_Bruta!B11,6,2)),VALUE(RIGHT(Base_Bruta!B11,2))),DATE(VALUE(RIGHT(Base_Bruta!B11,4)),VALUE(MID(Base_Bruta!B11,4,2)),VALUE(LEFT(Base_Bruta!B11,2))))))</f>
        <v>45674</v>
      </c>
      <c r="C11" s="5" t="n">
        <f aca="false">IF($A11="","",IF(ISNUMBER(Base_Bruta!C11),Base_Bruta!C11,IF(MID(Base_Bruta!C11,5,1)="-",DATE(VALUE(LEFT(Base_Bruta!C11,4)),VALUE(MID(Base_Bruta!C11,6,2)),VALUE(RIGHT(Base_Bruta!C11,2))),DATE(VALUE(RIGHT(Base_Bruta!C11,4)),VALUE(MID(Base_Bruta!C11,4,2)),VALUE(LEFT(Base_Bruta!C11,2))))))</f>
        <v>45677</v>
      </c>
      <c r="D11" s="4" t="str">
        <f aca="false">IF($A11="","",TRIM(Base_Bruta!D11))</f>
        <v>Cinema Paulista - Sessões</v>
      </c>
      <c r="E11" s="4" t="str">
        <f aca="false">IF($A11="","",_xlfn.XLOOKUP(LOWER(TRIM(Base_Bruta!E11)),DePara_Categoria!$A$2:$A$9,DePara_Categoria!$B$2:$B$9,"REVISAR"))</f>
        <v>Cinema</v>
      </c>
      <c r="F11" s="4" t="str">
        <f aca="false">IF($A11="","",_xlfn.XLOOKUP(LOWER(TRIM(Base_Bruta!F11)),DePara_Cidade!$A$2:$A$29,DePara_Cidade!$B$2:$B$29,"REVISAR"))</f>
        <v>São Paulo</v>
      </c>
      <c r="G11" s="4" t="str">
        <f aca="false">IF($A11="","",TRIM(Base_Bruta!G11))</f>
        <v>Inteira</v>
      </c>
      <c r="H11" s="4" t="n">
        <f aca="false">IF($A11="","",IF(ISNUMBER(Base_Bruta!H11),Base_Bruta!H11,IFERROR(_xlfn.NUMBERVALUE(TRIM(SUBSTITUTE(Base_Bruta!H11,"R$","")),",","."),0)))</f>
        <v>1</v>
      </c>
      <c r="I11" s="6" t="n">
        <f aca="false">IF($A11="","",IF(ISNUMBER(Base_Bruta!I11),Base_Bruta!I11,IFERROR(_xlfn.NUMBERVALUE(TRIM(SUBSTITUTE(Base_Bruta!I11,"R$","")),",","."),0)))</f>
        <v>40</v>
      </c>
      <c r="J11" s="6" t="n">
        <f aca="false">IF($A11="","",H11*I11)</f>
        <v>40</v>
      </c>
      <c r="K11" s="4" t="str">
        <f aca="false">IF($A11="","",TRIM(Base_Bruta!J11))</f>
        <v>Site</v>
      </c>
      <c r="L11" s="4" t="str">
        <f aca="false">IF($A11="","",TRIM(Base_Bruta!K11))</f>
        <v>C01797</v>
      </c>
      <c r="M11" s="4" t="str">
        <f aca="false">IF($A11="","",_xlfn.XLOOKUP(LOWER(TRIM(Base_Bruta!L11)),DePara_Cidade!$A$2:$A$29,DePara_Cidade!$B$2:$B$29,"REVISAR"))</f>
        <v>São Paulo</v>
      </c>
      <c r="N11" s="4" t="str">
        <f aca="false">IF($A11="","",UPPER(TRIM(Base_Bruta!M11)))</f>
        <v>SP</v>
      </c>
      <c r="O11" s="4" t="str">
        <f aca="false">IF($A11="","",_xlfn.XLOOKUP(LOWER(TRIM(Base_Bruta!N11)),DePara_Pais!$A$2:$A$9,DePara_Pais!$B$2:$B$9,"REVISAR"))</f>
        <v>Brasil</v>
      </c>
      <c r="P11" s="4" t="str">
        <f aca="false">IF($A11="","",IF(O11&lt;&gt;"Brasil","Turista Internacional",IF(M11=F11,"Local","Turista Nacional")))</f>
        <v>Local</v>
      </c>
      <c r="Q11" s="7" t="n">
        <f aca="false">IF($A11="","",DATE(YEAR(B11),MONTH(B11),1))</f>
        <v>45658</v>
      </c>
      <c r="R11" s="4" t="str">
        <f aca="false">IF($A11="","",IF(COUNTIF($A$2:$A11,$A11)&gt;1,"Sim","Não"))</f>
        <v>Não</v>
      </c>
      <c r="S11" s="4" t="str">
        <f aca="false">IF(A11="","Descartar - Linha vazia",IF(R11="Sim","Descartar - Duplicado",IF(OR(H11&lt;=0,I11&lt;=0),"Descartar - Qtd/Valor inválido","OK")))</f>
        <v>OK</v>
      </c>
      <c r="T11" s="4" t="str">
        <f aca="false">Base_Bruta!P11</f>
        <v>vendas_SP.xlsx</v>
      </c>
    </row>
    <row r="12" customFormat="false" ht="15" hidden="false" customHeight="false" outlineLevel="0" collapsed="false">
      <c r="A12" s="4" t="str">
        <f aca="false">IF(Base_Bruta!A12="","",Base_Bruta!A12)</f>
        <v>SP-000778</v>
      </c>
      <c r="B12" s="5" t="n">
        <f aca="false">IF($A12="","",IF(ISNUMBER(Base_Bruta!B12),Base_Bruta!B12,IF(MID(Base_Bruta!B12,5,1)="-",DATE(VALUE(LEFT(Base_Bruta!B12,4)),VALUE(MID(Base_Bruta!B12,6,2)),VALUE(RIGHT(Base_Bruta!B12,2))),DATE(VALUE(RIGHT(Base_Bruta!B12,4)),VALUE(MID(Base_Bruta!B12,4,2)),VALUE(LEFT(Base_Bruta!B12,2))))))</f>
        <v>45675</v>
      </c>
      <c r="C12" s="5" t="n">
        <f aca="false">IF($A12="","",IF(ISNUMBER(Base_Bruta!C12),Base_Bruta!C12,IF(MID(Base_Bruta!C12,5,1)="-",DATE(VALUE(LEFT(Base_Bruta!C12,4)),VALUE(MID(Base_Bruta!C12,6,2)),VALUE(RIGHT(Base_Bruta!C12,2))),DATE(VALUE(RIGHT(Base_Bruta!C12,4)),VALUE(MID(Base_Bruta!C12,4,2)),VALUE(LEFT(Base_Bruta!C12,2))))))</f>
        <v>45678</v>
      </c>
      <c r="D12" s="4" t="str">
        <f aca="false">IF($A12="","",TRIM(Base_Bruta!D12))</f>
        <v>Cinema Paulista - Sessões</v>
      </c>
      <c r="E12" s="4" t="str">
        <f aca="false">IF($A12="","",_xlfn.XLOOKUP(LOWER(TRIM(Base_Bruta!E12)),DePara_Categoria!$A$2:$A$9,DePara_Categoria!$B$2:$B$9,"REVISAR"))</f>
        <v>Cinema</v>
      </c>
      <c r="F12" s="4" t="str">
        <f aca="false">IF($A12="","",_xlfn.XLOOKUP(LOWER(TRIM(Base_Bruta!F12)),DePara_Cidade!$A$2:$A$29,DePara_Cidade!$B$2:$B$29,"REVISAR"))</f>
        <v>São Paulo</v>
      </c>
      <c r="G12" s="4" t="str">
        <f aca="false">IF($A12="","",TRIM(Base_Bruta!G12))</f>
        <v>Inteira</v>
      </c>
      <c r="H12" s="4" t="n">
        <f aca="false">IF($A12="","",IF(ISNUMBER(Base_Bruta!H12),Base_Bruta!H12,IFERROR(_xlfn.NUMBERVALUE(TRIM(SUBSTITUTE(Base_Bruta!H12,"R$","")),",","."),0)))</f>
        <v>1</v>
      </c>
      <c r="I12" s="6" t="n">
        <f aca="false">IF($A12="","",IF(ISNUMBER(Base_Bruta!I12),Base_Bruta!I12,IFERROR(_xlfn.NUMBERVALUE(TRIM(SUBSTITUTE(Base_Bruta!I12,"R$","")),",","."),0)))</f>
        <v>35</v>
      </c>
      <c r="J12" s="6" t="n">
        <f aca="false">IF($A12="","",H12*I12)</f>
        <v>35</v>
      </c>
      <c r="K12" s="4" t="str">
        <f aca="false">IF($A12="","",TRIM(Base_Bruta!J12))</f>
        <v>Site</v>
      </c>
      <c r="L12" s="4" t="str">
        <f aca="false">IF($A12="","",TRIM(Base_Bruta!K12))</f>
        <v>C00890</v>
      </c>
      <c r="M12" s="4" t="str">
        <f aca="false">IF($A12="","",_xlfn.XLOOKUP(LOWER(TRIM(Base_Bruta!L12)),DePara_Cidade!$A$2:$A$29,DePara_Cidade!$B$2:$B$29,"REVISAR"))</f>
        <v>São Paulo</v>
      </c>
      <c r="N12" s="4" t="str">
        <f aca="false">IF($A12="","",UPPER(TRIM(Base_Bruta!M12)))</f>
        <v>SP</v>
      </c>
      <c r="O12" s="4" t="str">
        <f aca="false">IF($A12="","",_xlfn.XLOOKUP(LOWER(TRIM(Base_Bruta!N12)),DePara_Pais!$A$2:$A$9,DePara_Pais!$B$2:$B$9,"REVISAR"))</f>
        <v>Brasil</v>
      </c>
      <c r="P12" s="4" t="str">
        <f aca="false">IF($A12="","",IF(O12&lt;&gt;"Brasil","Turista Internacional",IF(M12=F12,"Local","Turista Nacional")))</f>
        <v>Local</v>
      </c>
      <c r="Q12" s="7" t="n">
        <f aca="false">IF($A12="","",DATE(YEAR(B12),MONTH(B12),1))</f>
        <v>45658</v>
      </c>
      <c r="R12" s="4" t="str">
        <f aca="false">IF($A12="","",IF(COUNTIF($A$2:$A12,$A12)&gt;1,"Sim","Não"))</f>
        <v>Não</v>
      </c>
      <c r="S12" s="4" t="str">
        <f aca="false">IF(A12="","Descartar - Linha vazia",IF(R12="Sim","Descartar - Duplicado",IF(OR(H12&lt;=0,I12&lt;=0),"Descartar - Qtd/Valor inválido","OK")))</f>
        <v>OK</v>
      </c>
      <c r="T12" s="4" t="str">
        <f aca="false">Base_Bruta!P12</f>
        <v>vendas_SP.xlsx</v>
      </c>
    </row>
    <row r="13" customFormat="false" ht="15" hidden="false" customHeight="false" outlineLevel="0" collapsed="false">
      <c r="A13" s="4" t="str">
        <f aca="false">IF(Base_Bruta!A13="","",Base_Bruta!A13)</f>
        <v>SP-000722</v>
      </c>
      <c r="B13" s="5" t="n">
        <f aca="false">IF($A13="","",IF(ISNUMBER(Base_Bruta!B13),Base_Bruta!B13,IF(MID(Base_Bruta!B13,5,1)="-",DATE(VALUE(LEFT(Base_Bruta!B13,4)),VALUE(MID(Base_Bruta!B13,6,2)),VALUE(RIGHT(Base_Bruta!B13,2))),DATE(VALUE(RIGHT(Base_Bruta!B13,4)),VALUE(MID(Base_Bruta!B13,4,2)),VALUE(LEFT(Base_Bruta!B13,2))))))</f>
        <v>45677</v>
      </c>
      <c r="C13" s="5" t="n">
        <f aca="false">IF($A13="","",IF(ISNUMBER(Base_Bruta!C13),Base_Bruta!C13,IF(MID(Base_Bruta!C13,5,1)="-",DATE(VALUE(LEFT(Base_Bruta!C13,4)),VALUE(MID(Base_Bruta!C13,6,2)),VALUE(RIGHT(Base_Bruta!C13,2))),DATE(VALUE(RIGHT(Base_Bruta!C13,4)),VALUE(MID(Base_Bruta!C13,4,2)),VALUE(LEFT(Base_Bruta!C13,2))))))</f>
        <v>45680</v>
      </c>
      <c r="D13" s="4" t="str">
        <f aca="false">IF($A13="","",TRIM(Base_Bruta!D13))</f>
        <v>Cinema Paulista - Sessões</v>
      </c>
      <c r="E13" s="4" t="str">
        <f aca="false">IF($A13="","",_xlfn.XLOOKUP(LOWER(TRIM(Base_Bruta!E13)),DePara_Categoria!$A$2:$A$9,DePara_Categoria!$B$2:$B$9,"REVISAR"))</f>
        <v>Cinema</v>
      </c>
      <c r="F13" s="4" t="str">
        <f aca="false">IF($A13="","",_xlfn.XLOOKUP(LOWER(TRIM(Base_Bruta!F13)),DePara_Cidade!$A$2:$A$29,DePara_Cidade!$B$2:$B$29,"REVISAR"))</f>
        <v>São Paulo</v>
      </c>
      <c r="G13" s="4" t="str">
        <f aca="false">IF($A13="","",TRIM(Base_Bruta!G13))</f>
        <v>Inteira</v>
      </c>
      <c r="H13" s="4" t="n">
        <f aca="false">IF($A13="","",IF(ISNUMBER(Base_Bruta!H13),Base_Bruta!H13,IFERROR(_xlfn.NUMBERVALUE(TRIM(SUBSTITUTE(Base_Bruta!H13,"R$","")),",","."),0)))</f>
        <v>1</v>
      </c>
      <c r="I13" s="6" t="n">
        <f aca="false">IF($A13="","",IF(ISNUMBER(Base_Bruta!I13),Base_Bruta!I13,IFERROR(_xlfn.NUMBERVALUE(TRIM(SUBSTITUTE(Base_Bruta!I13,"R$","")),",","."),0)))</f>
        <v>35</v>
      </c>
      <c r="J13" s="6" t="n">
        <f aca="false">IF($A13="","",H13*I13)</f>
        <v>35</v>
      </c>
      <c r="K13" s="4" t="str">
        <f aca="false">IF($A13="","",TRIM(Base_Bruta!J13))</f>
        <v>Site</v>
      </c>
      <c r="L13" s="4" t="str">
        <f aca="false">IF($A13="","",TRIM(Base_Bruta!K13))</f>
        <v>C00083</v>
      </c>
      <c r="M13" s="4" t="str">
        <f aca="false">IF($A13="","",_xlfn.XLOOKUP(LOWER(TRIM(Base_Bruta!L13)),DePara_Cidade!$A$2:$A$29,DePara_Cidade!$B$2:$B$29,"REVISAR"))</f>
        <v>São Paulo</v>
      </c>
      <c r="N13" s="4" t="str">
        <f aca="false">IF($A13="","",UPPER(TRIM(Base_Bruta!M13)))</f>
        <v>SP</v>
      </c>
      <c r="O13" s="4" t="str">
        <f aca="false">IF($A13="","",_xlfn.XLOOKUP(LOWER(TRIM(Base_Bruta!N13)),DePara_Pais!$A$2:$A$9,DePara_Pais!$B$2:$B$9,"REVISAR"))</f>
        <v>Brasil</v>
      </c>
      <c r="P13" s="4" t="str">
        <f aca="false">IF($A13="","",IF(O13&lt;&gt;"Brasil","Turista Internacional",IF(M13=F13,"Local","Turista Nacional")))</f>
        <v>Local</v>
      </c>
      <c r="Q13" s="7" t="n">
        <f aca="false">IF($A13="","",DATE(YEAR(B13),MONTH(B13),1))</f>
        <v>45658</v>
      </c>
      <c r="R13" s="4" t="str">
        <f aca="false">IF($A13="","",IF(COUNTIF($A$2:$A13,$A13)&gt;1,"Sim","Não"))</f>
        <v>Não</v>
      </c>
      <c r="S13" s="4" t="str">
        <f aca="false">IF(A13="","Descartar - Linha vazia",IF(R13="Sim","Descartar - Duplicado",IF(OR(H13&lt;=0,I13&lt;=0),"Descartar - Qtd/Valor inválido","OK")))</f>
        <v>OK</v>
      </c>
      <c r="T13" s="4" t="str">
        <f aca="false">Base_Bruta!P13</f>
        <v>vendas_SP.xlsx</v>
      </c>
    </row>
    <row r="14" customFormat="false" ht="15" hidden="false" customHeight="false" outlineLevel="0" collapsed="false">
      <c r="A14" s="4" t="str">
        <f aca="false">IF(Base_Bruta!A14="","",Base_Bruta!A14)</f>
        <v>SP-000685</v>
      </c>
      <c r="B14" s="5" t="n">
        <f aca="false">IF($A14="","",IF(ISNUMBER(Base_Bruta!B14),Base_Bruta!B14,IF(MID(Base_Bruta!B14,5,1)="-",DATE(VALUE(LEFT(Base_Bruta!B14,4)),VALUE(MID(Base_Bruta!B14,6,2)),VALUE(RIGHT(Base_Bruta!B14,2))),DATE(VALUE(RIGHT(Base_Bruta!B14,4)),VALUE(MID(Base_Bruta!B14,4,2)),VALUE(LEFT(Base_Bruta!B14,2))))))</f>
        <v>45683</v>
      </c>
      <c r="C14" s="5" t="n">
        <f aca="false">IF($A14="","",IF(ISNUMBER(Base_Bruta!C14),Base_Bruta!C14,IF(MID(Base_Bruta!C14,5,1)="-",DATE(VALUE(LEFT(Base_Bruta!C14,4)),VALUE(MID(Base_Bruta!C14,6,2)),VALUE(RIGHT(Base_Bruta!C14,2))),DATE(VALUE(RIGHT(Base_Bruta!C14,4)),VALUE(MID(Base_Bruta!C14,4,2)),VALUE(LEFT(Base_Bruta!C14,2))))))</f>
        <v>45684</v>
      </c>
      <c r="D14" s="4" t="str">
        <f aca="false">IF($A14="","",TRIM(Base_Bruta!D14))</f>
        <v>Cinema Paulista - Sessões</v>
      </c>
      <c r="E14" s="4" t="str">
        <f aca="false">IF($A14="","",_xlfn.XLOOKUP(LOWER(TRIM(Base_Bruta!E14)),DePara_Categoria!$A$2:$A$9,DePara_Categoria!$B$2:$B$9,"REVISAR"))</f>
        <v>Cinema</v>
      </c>
      <c r="F14" s="4" t="str">
        <f aca="false">IF($A14="","",_xlfn.XLOOKUP(LOWER(TRIM(Base_Bruta!F14)),DePara_Cidade!$A$2:$A$29,DePara_Cidade!$B$2:$B$29,"REVISAR"))</f>
        <v>São Paulo</v>
      </c>
      <c r="G14" s="4" t="str">
        <f aca="false">IF($A14="","",TRIM(Base_Bruta!G14))</f>
        <v>Inteira</v>
      </c>
      <c r="H14" s="4" t="n">
        <f aca="false">IF($A14="","",IF(ISNUMBER(Base_Bruta!H14),Base_Bruta!H14,IFERROR(_xlfn.NUMBERVALUE(TRIM(SUBSTITUTE(Base_Bruta!H14,"R$","")),",","."),0)))</f>
        <v>2</v>
      </c>
      <c r="I14" s="6" t="n">
        <f aca="false">IF($A14="","",IF(ISNUMBER(Base_Bruta!I14),Base_Bruta!I14,IFERROR(_xlfn.NUMBERVALUE(TRIM(SUBSTITUTE(Base_Bruta!I14,"R$","")),",","."),0)))</f>
        <v>45</v>
      </c>
      <c r="J14" s="6" t="n">
        <f aca="false">IF($A14="","",H14*I14)</f>
        <v>90</v>
      </c>
      <c r="K14" s="4" t="str">
        <f aca="false">IF($A14="","",TRIM(Base_Bruta!J14))</f>
        <v>App</v>
      </c>
      <c r="L14" s="4" t="str">
        <f aca="false">IF($A14="","",TRIM(Base_Bruta!K14))</f>
        <v>C01529</v>
      </c>
      <c r="M14" s="4" t="str">
        <f aca="false">IF($A14="","",_xlfn.XLOOKUP(LOWER(TRIM(Base_Bruta!L14)),DePara_Cidade!$A$2:$A$29,DePara_Cidade!$B$2:$B$29,"REVISAR"))</f>
        <v>São Paulo</v>
      </c>
      <c r="N14" s="4" t="str">
        <f aca="false">IF($A14="","",UPPER(TRIM(Base_Bruta!M14)))</f>
        <v>SP</v>
      </c>
      <c r="O14" s="4" t="str">
        <f aca="false">IF($A14="","",_xlfn.XLOOKUP(LOWER(TRIM(Base_Bruta!N14)),DePara_Pais!$A$2:$A$9,DePara_Pais!$B$2:$B$9,"REVISAR"))</f>
        <v>Brasil</v>
      </c>
      <c r="P14" s="4" t="str">
        <f aca="false">IF($A14="","",IF(O14&lt;&gt;"Brasil","Turista Internacional",IF(M14=F14,"Local","Turista Nacional")))</f>
        <v>Local</v>
      </c>
      <c r="Q14" s="7" t="n">
        <f aca="false">IF($A14="","",DATE(YEAR(B14),MONTH(B14),1))</f>
        <v>45658</v>
      </c>
      <c r="R14" s="4" t="str">
        <f aca="false">IF($A14="","",IF(COUNTIF($A$2:$A14,$A14)&gt;1,"Sim","Não"))</f>
        <v>Não</v>
      </c>
      <c r="S14" s="4" t="str">
        <f aca="false">IF(A14="","Descartar - Linha vazia",IF(R14="Sim","Descartar - Duplicado",IF(OR(H14&lt;=0,I14&lt;=0),"Descartar - Qtd/Valor inválido","OK")))</f>
        <v>OK</v>
      </c>
      <c r="T14" s="4" t="str">
        <f aca="false">Base_Bruta!P14</f>
        <v>vendas_SP.xlsx</v>
      </c>
    </row>
    <row r="15" customFormat="false" ht="15" hidden="false" customHeight="false" outlineLevel="0" collapsed="false">
      <c r="A15" s="4" t="str">
        <f aca="false">IF(Base_Bruta!A15="","",Base_Bruta!A15)</f>
        <v>SP-000747</v>
      </c>
      <c r="B15" s="5" t="n">
        <f aca="false">IF($A15="","",IF(ISNUMBER(Base_Bruta!B15),Base_Bruta!B15,IF(MID(Base_Bruta!B15,5,1)="-",DATE(VALUE(LEFT(Base_Bruta!B15,4)),VALUE(MID(Base_Bruta!B15,6,2)),VALUE(RIGHT(Base_Bruta!B15,2))),DATE(VALUE(RIGHT(Base_Bruta!B15,4)),VALUE(MID(Base_Bruta!B15,4,2)),VALUE(LEFT(Base_Bruta!B15,2))))))</f>
        <v>45683</v>
      </c>
      <c r="C15" s="5" t="n">
        <f aca="false">IF($A15="","",IF(ISNUMBER(Base_Bruta!C15),Base_Bruta!C15,IF(MID(Base_Bruta!C15,5,1)="-",DATE(VALUE(LEFT(Base_Bruta!C15,4)),VALUE(MID(Base_Bruta!C15,6,2)),VALUE(RIGHT(Base_Bruta!C15,2))),DATE(VALUE(RIGHT(Base_Bruta!C15,4)),VALUE(MID(Base_Bruta!C15,4,2)),VALUE(LEFT(Base_Bruta!C15,2))))))</f>
        <v>45683</v>
      </c>
      <c r="D15" s="4" t="str">
        <f aca="false">IF($A15="","",TRIM(Base_Bruta!D15))</f>
        <v>Cinema Paulista - Sessões</v>
      </c>
      <c r="E15" s="4" t="str">
        <f aca="false">IF($A15="","",_xlfn.XLOOKUP(LOWER(TRIM(Base_Bruta!E15)),DePara_Categoria!$A$2:$A$9,DePara_Categoria!$B$2:$B$9,"REVISAR"))</f>
        <v>Cinema</v>
      </c>
      <c r="F15" s="4" t="str">
        <f aca="false">IF($A15="","",_xlfn.XLOOKUP(LOWER(TRIM(Base_Bruta!F15)),DePara_Cidade!$A$2:$A$29,DePara_Cidade!$B$2:$B$29,"REVISAR"))</f>
        <v>São Paulo</v>
      </c>
      <c r="G15" s="4" t="str">
        <f aca="false">IF($A15="","",TRIM(Base_Bruta!G15))</f>
        <v>Inteira</v>
      </c>
      <c r="H15" s="4" t="n">
        <f aca="false">IF($A15="","",IF(ISNUMBER(Base_Bruta!H15),Base_Bruta!H15,IFERROR(_xlfn.NUMBERVALUE(TRIM(SUBSTITUTE(Base_Bruta!H15,"R$","")),",","."),0)))</f>
        <v>1</v>
      </c>
      <c r="I15" s="6" t="n">
        <f aca="false">IF($A15="","",IF(ISNUMBER(Base_Bruta!I15),Base_Bruta!I15,IFERROR(_xlfn.NUMBERVALUE(TRIM(SUBSTITUTE(Base_Bruta!I15,"R$","")),",","."),0)))</f>
        <v>35</v>
      </c>
      <c r="J15" s="6" t="n">
        <f aca="false">IF($A15="","",H15*I15)</f>
        <v>35</v>
      </c>
      <c r="K15" s="4" t="str">
        <f aca="false">IF($A15="","",TRIM(Base_Bruta!J15))</f>
        <v>Site</v>
      </c>
      <c r="L15" s="4" t="str">
        <f aca="false">IF($A15="","",TRIM(Base_Bruta!K15))</f>
        <v>C00552</v>
      </c>
      <c r="M15" s="4" t="str">
        <f aca="false">IF($A15="","",_xlfn.XLOOKUP(LOWER(TRIM(Base_Bruta!L15)),DePara_Cidade!$A$2:$A$29,DePara_Cidade!$B$2:$B$29,"REVISAR"))</f>
        <v>São Paulo</v>
      </c>
      <c r="N15" s="4" t="str">
        <f aca="false">IF($A15="","",UPPER(TRIM(Base_Bruta!M15)))</f>
        <v>SP</v>
      </c>
      <c r="O15" s="4" t="str">
        <f aca="false">IF($A15="","",_xlfn.XLOOKUP(LOWER(TRIM(Base_Bruta!N15)),DePara_Pais!$A$2:$A$9,DePara_Pais!$B$2:$B$9,"REVISAR"))</f>
        <v>Brasil</v>
      </c>
      <c r="P15" s="4" t="str">
        <f aca="false">IF($A15="","",IF(O15&lt;&gt;"Brasil","Turista Internacional",IF(M15=F15,"Local","Turista Nacional")))</f>
        <v>Local</v>
      </c>
      <c r="Q15" s="7" t="n">
        <f aca="false">IF($A15="","",DATE(YEAR(B15),MONTH(B15),1))</f>
        <v>45658</v>
      </c>
      <c r="R15" s="4" t="str">
        <f aca="false">IF($A15="","",IF(COUNTIF($A$2:$A15,$A15)&gt;1,"Sim","Não"))</f>
        <v>Não</v>
      </c>
      <c r="S15" s="4" t="str">
        <f aca="false">IF(A15="","Descartar - Linha vazia",IF(R15="Sim","Descartar - Duplicado",IF(OR(H15&lt;=0,I15&lt;=0),"Descartar - Qtd/Valor inválido","OK")))</f>
        <v>OK</v>
      </c>
      <c r="T15" s="4" t="str">
        <f aca="false">Base_Bruta!P15</f>
        <v>vendas_SP.xlsx</v>
      </c>
    </row>
    <row r="16" customFormat="false" ht="15" hidden="false" customHeight="false" outlineLevel="0" collapsed="false">
      <c r="A16" s="4" t="str">
        <f aca="false">IF(Base_Bruta!A16="","",Base_Bruta!A16)</f>
        <v>SP-000764</v>
      </c>
      <c r="B16" s="5" t="n">
        <f aca="false">IF($A16="","",IF(ISNUMBER(Base_Bruta!B16),Base_Bruta!B16,IF(MID(Base_Bruta!B16,5,1)="-",DATE(VALUE(LEFT(Base_Bruta!B16,4)),VALUE(MID(Base_Bruta!B16,6,2)),VALUE(RIGHT(Base_Bruta!B16,2))),DATE(VALUE(RIGHT(Base_Bruta!B16,4)),VALUE(MID(Base_Bruta!B16,4,2)),VALUE(LEFT(Base_Bruta!B16,2))))))</f>
        <v>45686</v>
      </c>
      <c r="C16" s="5" t="n">
        <f aca="false">IF($A16="","",IF(ISNUMBER(Base_Bruta!C16),Base_Bruta!C16,IF(MID(Base_Bruta!C16,5,1)="-",DATE(VALUE(LEFT(Base_Bruta!C16,4)),VALUE(MID(Base_Bruta!C16,6,2)),VALUE(RIGHT(Base_Bruta!C16,2))),DATE(VALUE(RIGHT(Base_Bruta!C16,4)),VALUE(MID(Base_Bruta!C16,4,2)),VALUE(LEFT(Base_Bruta!C16,2))))))</f>
        <v>45686</v>
      </c>
      <c r="D16" s="4" t="str">
        <f aca="false">IF($A16="","",TRIM(Base_Bruta!D16))</f>
        <v>Cinema Paulista - Sessões</v>
      </c>
      <c r="E16" s="4" t="str">
        <f aca="false">IF($A16="","",_xlfn.XLOOKUP(LOWER(TRIM(Base_Bruta!E16)),DePara_Categoria!$A$2:$A$9,DePara_Categoria!$B$2:$B$9,"REVISAR"))</f>
        <v>Cinema</v>
      </c>
      <c r="F16" s="4" t="str">
        <f aca="false">IF($A16="","",_xlfn.XLOOKUP(LOWER(TRIM(Base_Bruta!F16)),DePara_Cidade!$A$2:$A$29,DePara_Cidade!$B$2:$B$29,"REVISAR"))</f>
        <v>São Paulo</v>
      </c>
      <c r="G16" s="4" t="str">
        <f aca="false">IF($A16="","",TRIM(Base_Bruta!G16))</f>
        <v>Inteira</v>
      </c>
      <c r="H16" s="4" t="n">
        <f aca="false">IF($A16="","",IF(ISNUMBER(Base_Bruta!H16),Base_Bruta!H16,IFERROR(_xlfn.NUMBERVALUE(TRIM(SUBSTITUTE(Base_Bruta!H16,"R$","")),",","."),0)))</f>
        <v>2</v>
      </c>
      <c r="I16" s="6" t="n">
        <f aca="false">IF($A16="","",IF(ISNUMBER(Base_Bruta!I16),Base_Bruta!I16,IFERROR(_xlfn.NUMBERVALUE(TRIM(SUBSTITUTE(Base_Bruta!I16,"R$","")),",","."),0)))</f>
        <v>35</v>
      </c>
      <c r="J16" s="6" t="n">
        <f aca="false">IF($A16="","",H16*I16)</f>
        <v>70</v>
      </c>
      <c r="K16" s="4" t="str">
        <f aca="false">IF($A16="","",TRIM(Base_Bruta!J16))</f>
        <v>Site</v>
      </c>
      <c r="L16" s="4" t="str">
        <f aca="false">IF($A16="","",TRIM(Base_Bruta!K16))</f>
        <v>C02111</v>
      </c>
      <c r="M16" s="4" t="str">
        <f aca="false">IF($A16="","",_xlfn.XLOOKUP(LOWER(TRIM(Base_Bruta!L16)),DePara_Cidade!$A$2:$A$29,DePara_Cidade!$B$2:$B$29,"REVISAR"))</f>
        <v>São Paulo</v>
      </c>
      <c r="N16" s="4" t="str">
        <f aca="false">IF($A16="","",UPPER(TRIM(Base_Bruta!M16)))</f>
        <v>SP</v>
      </c>
      <c r="O16" s="4" t="str">
        <f aca="false">IF($A16="","",_xlfn.XLOOKUP(LOWER(TRIM(Base_Bruta!N16)),DePara_Pais!$A$2:$A$9,DePara_Pais!$B$2:$B$9,"REVISAR"))</f>
        <v>Brasil</v>
      </c>
      <c r="P16" s="4" t="str">
        <f aca="false">IF($A16="","",IF(O16&lt;&gt;"Brasil","Turista Internacional",IF(M16=F16,"Local","Turista Nacional")))</f>
        <v>Local</v>
      </c>
      <c r="Q16" s="7" t="n">
        <f aca="false">IF($A16="","",DATE(YEAR(B16),MONTH(B16),1))</f>
        <v>45658</v>
      </c>
      <c r="R16" s="4" t="str">
        <f aca="false">IF($A16="","",IF(COUNTIF($A$2:$A16,$A16)&gt;1,"Sim","Não"))</f>
        <v>Não</v>
      </c>
      <c r="S16" s="4" t="str">
        <f aca="false">IF(A16="","Descartar - Linha vazia",IF(R16="Sim","Descartar - Duplicado",IF(OR(H16&lt;=0,I16&lt;=0),"Descartar - Qtd/Valor inválido","OK")))</f>
        <v>OK</v>
      </c>
      <c r="T16" s="4" t="str">
        <f aca="false">Base_Bruta!P16</f>
        <v>vendas_SP.xlsx</v>
      </c>
    </row>
    <row r="17" customFormat="false" ht="15" hidden="false" customHeight="false" outlineLevel="0" collapsed="false">
      <c r="A17" s="4" t="str">
        <f aca="false">IF(Base_Bruta!A17="","",Base_Bruta!A17)</f>
        <v>SP-000617</v>
      </c>
      <c r="B17" s="5" t="n">
        <f aca="false">IF($A17="","",IF(ISNUMBER(Base_Bruta!B17),Base_Bruta!B17,IF(MID(Base_Bruta!B17,5,1)="-",DATE(VALUE(LEFT(Base_Bruta!B17,4)),VALUE(MID(Base_Bruta!B17,6,2)),VALUE(RIGHT(Base_Bruta!B17,2))),DATE(VALUE(RIGHT(Base_Bruta!B17,4)),VALUE(MID(Base_Bruta!B17,4,2)),VALUE(LEFT(Base_Bruta!B17,2))))))</f>
        <v>45687</v>
      </c>
      <c r="C17" s="5" t="n">
        <f aca="false">IF($A17="","",IF(ISNUMBER(Base_Bruta!C17),Base_Bruta!C17,IF(MID(Base_Bruta!C17,5,1)="-",DATE(VALUE(LEFT(Base_Bruta!C17,4)),VALUE(MID(Base_Bruta!C17,6,2)),VALUE(RIGHT(Base_Bruta!C17,2))),DATE(VALUE(RIGHT(Base_Bruta!C17,4)),VALUE(MID(Base_Bruta!C17,4,2)),VALUE(LEFT(Base_Bruta!C17,2))))))</f>
        <v>45690</v>
      </c>
      <c r="D17" s="4" t="str">
        <f aca="false">IF($A17="","",TRIM(Base_Bruta!D17))</f>
        <v>Cinema Paulista - Sessões</v>
      </c>
      <c r="E17" s="4" t="str">
        <f aca="false">IF($A17="","",_xlfn.XLOOKUP(LOWER(TRIM(Base_Bruta!E17)),DePara_Categoria!$A$2:$A$9,DePara_Categoria!$B$2:$B$9,"REVISAR"))</f>
        <v>Cinema</v>
      </c>
      <c r="F17" s="4" t="str">
        <f aca="false">IF($A17="","",_xlfn.XLOOKUP(LOWER(TRIM(Base_Bruta!F17)),DePara_Cidade!$A$2:$A$29,DePara_Cidade!$B$2:$B$29,"REVISAR"))</f>
        <v>São Paulo</v>
      </c>
      <c r="G17" s="4" t="str">
        <f aca="false">IF($A17="","",TRIM(Base_Bruta!G17))</f>
        <v>Meia</v>
      </c>
      <c r="H17" s="4" t="n">
        <f aca="false">IF($A17="","",IF(ISNUMBER(Base_Bruta!H17),Base_Bruta!H17,IFERROR(_xlfn.NUMBERVALUE(TRIM(SUBSTITUTE(Base_Bruta!H17,"R$","")),",","."),0)))</f>
        <v>2</v>
      </c>
      <c r="I17" s="6" t="n">
        <f aca="false">IF($A17="","",IF(ISNUMBER(Base_Bruta!I17),Base_Bruta!I17,IFERROR(_xlfn.NUMBERVALUE(TRIM(SUBSTITUTE(Base_Bruta!I17,"R$","")),",","."),0)))</f>
        <v>17.5</v>
      </c>
      <c r="J17" s="6" t="n">
        <f aca="false">IF($A17="","",H17*I17)</f>
        <v>35</v>
      </c>
      <c r="K17" s="4" t="str">
        <f aca="false">IF($A17="","",TRIM(Base_Bruta!J17))</f>
        <v>Site</v>
      </c>
      <c r="L17" s="4" t="str">
        <f aca="false">IF($A17="","",TRIM(Base_Bruta!K17))</f>
        <v>C01630</v>
      </c>
      <c r="M17" s="4" t="str">
        <f aca="false">IF($A17="","",_xlfn.XLOOKUP(LOWER(TRIM(Base_Bruta!L17)),DePara_Cidade!$A$2:$A$29,DePara_Cidade!$B$2:$B$29,"REVISAR"))</f>
        <v>São Paulo</v>
      </c>
      <c r="N17" s="4" t="str">
        <f aca="false">IF($A17="","",UPPER(TRIM(Base_Bruta!M17)))</f>
        <v>SP</v>
      </c>
      <c r="O17" s="4" t="str">
        <f aca="false">IF($A17="","",_xlfn.XLOOKUP(LOWER(TRIM(Base_Bruta!N17)),DePara_Pais!$A$2:$A$9,DePara_Pais!$B$2:$B$9,"REVISAR"))</f>
        <v>Brasil</v>
      </c>
      <c r="P17" s="4" t="str">
        <f aca="false">IF($A17="","",IF(O17&lt;&gt;"Brasil","Turista Internacional",IF(M17=F17,"Local","Turista Nacional")))</f>
        <v>Local</v>
      </c>
      <c r="Q17" s="7" t="n">
        <f aca="false">IF($A17="","",DATE(YEAR(B17),MONTH(B17),1))</f>
        <v>45658</v>
      </c>
      <c r="R17" s="4" t="str">
        <f aca="false">IF($A17="","",IF(COUNTIF($A$2:$A17,$A17)&gt;1,"Sim","Não"))</f>
        <v>Não</v>
      </c>
      <c r="S17" s="4" t="str">
        <f aca="false">IF(A17="","Descartar - Linha vazia",IF(R17="Sim","Descartar - Duplicado",IF(OR(H17&lt;=0,I17&lt;=0),"Descartar - Qtd/Valor inválido","OK")))</f>
        <v>OK</v>
      </c>
      <c r="T17" s="4" t="str">
        <f aca="false">Base_Bruta!P17</f>
        <v>vendas_SP.xlsx</v>
      </c>
    </row>
    <row r="18" customFormat="false" ht="15" hidden="false" customHeight="false" outlineLevel="0" collapsed="false">
      <c r="A18" s="4" t="str">
        <f aca="false">IF(Base_Bruta!A18="","",Base_Bruta!A18)</f>
        <v>SP-000713</v>
      </c>
      <c r="B18" s="5" t="n">
        <f aca="false">IF($A18="","",IF(ISNUMBER(Base_Bruta!B18),Base_Bruta!B18,IF(MID(Base_Bruta!B18,5,1)="-",DATE(VALUE(LEFT(Base_Bruta!B18,4)),VALUE(MID(Base_Bruta!B18,6,2)),VALUE(RIGHT(Base_Bruta!B18,2))),DATE(VALUE(RIGHT(Base_Bruta!B18,4)),VALUE(MID(Base_Bruta!B18,4,2)),VALUE(LEFT(Base_Bruta!B18,2))))))</f>
        <v>45687</v>
      </c>
      <c r="C18" s="5" t="n">
        <f aca="false">IF($A18="","",IF(ISNUMBER(Base_Bruta!C18),Base_Bruta!C18,IF(MID(Base_Bruta!C18,5,1)="-",DATE(VALUE(LEFT(Base_Bruta!C18,4)),VALUE(MID(Base_Bruta!C18,6,2)),VALUE(RIGHT(Base_Bruta!C18,2))),DATE(VALUE(RIGHT(Base_Bruta!C18,4)),VALUE(MID(Base_Bruta!C18,4,2)),VALUE(LEFT(Base_Bruta!C18,2))))))</f>
        <v>45690</v>
      </c>
      <c r="D18" s="4" t="str">
        <f aca="false">IF($A18="","",TRIM(Base_Bruta!D18))</f>
        <v>Cinema Paulista - Sessões</v>
      </c>
      <c r="E18" s="4" t="str">
        <f aca="false">IF($A18="","",_xlfn.XLOOKUP(LOWER(TRIM(Base_Bruta!E18)),DePara_Categoria!$A$2:$A$9,DePara_Categoria!$B$2:$B$9,"REVISAR"))</f>
        <v>Cinema</v>
      </c>
      <c r="F18" s="4" t="str">
        <f aca="false">IF($A18="","",_xlfn.XLOOKUP(LOWER(TRIM(Base_Bruta!F18)),DePara_Cidade!$A$2:$A$29,DePara_Cidade!$B$2:$B$29,"REVISAR"))</f>
        <v>São Paulo</v>
      </c>
      <c r="G18" s="4" t="str">
        <f aca="false">IF($A18="","",TRIM(Base_Bruta!G18))</f>
        <v>Inteira</v>
      </c>
      <c r="H18" s="4" t="n">
        <f aca="false">IF($A18="","",IF(ISNUMBER(Base_Bruta!H18),Base_Bruta!H18,IFERROR(_xlfn.NUMBERVALUE(TRIM(SUBSTITUTE(Base_Bruta!H18,"R$","")),",","."),0)))</f>
        <v>2</v>
      </c>
      <c r="I18" s="6" t="n">
        <f aca="false">IF($A18="","",IF(ISNUMBER(Base_Bruta!I18),Base_Bruta!I18,IFERROR(_xlfn.NUMBERVALUE(TRIM(SUBSTITUTE(Base_Bruta!I18,"R$","")),",","."),0)))</f>
        <v>40</v>
      </c>
      <c r="J18" s="6" t="n">
        <f aca="false">IF($A18="","",H18*I18)</f>
        <v>80</v>
      </c>
      <c r="K18" s="4" t="str">
        <f aca="false">IF($A18="","",TRIM(Base_Bruta!J18))</f>
        <v>Bilheteria</v>
      </c>
      <c r="L18" s="4" t="str">
        <f aca="false">IF($A18="","",TRIM(Base_Bruta!K18))</f>
        <v>C00015</v>
      </c>
      <c r="M18" s="4" t="str">
        <f aca="false">IF($A18="","",_xlfn.XLOOKUP(LOWER(TRIM(Base_Bruta!L18)),DePara_Cidade!$A$2:$A$29,DePara_Cidade!$B$2:$B$29,"REVISAR"))</f>
        <v>São Paulo</v>
      </c>
      <c r="N18" s="4" t="str">
        <f aca="false">IF($A18="","",UPPER(TRIM(Base_Bruta!M18)))</f>
        <v>SP</v>
      </c>
      <c r="O18" s="4" t="str">
        <f aca="false">IF($A18="","",_xlfn.XLOOKUP(LOWER(TRIM(Base_Bruta!N18)),DePara_Pais!$A$2:$A$9,DePara_Pais!$B$2:$B$9,"REVISAR"))</f>
        <v>Brasil</v>
      </c>
      <c r="P18" s="4" t="str">
        <f aca="false">IF($A18="","",IF(O18&lt;&gt;"Brasil","Turista Internacional",IF(M18=F18,"Local","Turista Nacional")))</f>
        <v>Local</v>
      </c>
      <c r="Q18" s="7" t="n">
        <f aca="false">IF($A18="","",DATE(YEAR(B18),MONTH(B18),1))</f>
        <v>45658</v>
      </c>
      <c r="R18" s="4" t="str">
        <f aca="false">IF($A18="","",IF(COUNTIF($A$2:$A18,$A18)&gt;1,"Sim","Não"))</f>
        <v>Não</v>
      </c>
      <c r="S18" s="4" t="str">
        <f aca="false">IF(A18="","Descartar - Linha vazia",IF(R18="Sim","Descartar - Duplicado",IF(OR(H18&lt;=0,I18&lt;=0),"Descartar - Qtd/Valor inválido","OK")))</f>
        <v>OK</v>
      </c>
      <c r="T18" s="4" t="str">
        <f aca="false">Base_Bruta!P18</f>
        <v>vendas_SP.xlsx</v>
      </c>
    </row>
    <row r="19" customFormat="false" ht="15" hidden="false" customHeight="false" outlineLevel="0" collapsed="false">
      <c r="A19" s="4" t="str">
        <f aca="false">IF(Base_Bruta!A19="","",Base_Bruta!A19)</f>
        <v>SP-000734</v>
      </c>
      <c r="B19" s="5" t="n">
        <f aca="false">IF($A19="","",IF(ISNUMBER(Base_Bruta!B19),Base_Bruta!B19,IF(MID(Base_Bruta!B19,5,1)="-",DATE(VALUE(LEFT(Base_Bruta!B19,4)),VALUE(MID(Base_Bruta!B19,6,2)),VALUE(RIGHT(Base_Bruta!B19,2))),DATE(VALUE(RIGHT(Base_Bruta!B19,4)),VALUE(MID(Base_Bruta!B19,4,2)),VALUE(LEFT(Base_Bruta!B19,2))))))</f>
        <v>45687</v>
      </c>
      <c r="C19" s="5" t="n">
        <f aca="false">IF($A19="","",IF(ISNUMBER(Base_Bruta!C19),Base_Bruta!C19,IF(MID(Base_Bruta!C19,5,1)="-",DATE(VALUE(LEFT(Base_Bruta!C19,4)),VALUE(MID(Base_Bruta!C19,6,2)),VALUE(RIGHT(Base_Bruta!C19,2))),DATE(VALUE(RIGHT(Base_Bruta!C19,4)),VALUE(MID(Base_Bruta!C19,4,2)),VALUE(LEFT(Base_Bruta!C19,2))))))</f>
        <v>45690</v>
      </c>
      <c r="D19" s="4" t="str">
        <f aca="false">IF($A19="","",TRIM(Base_Bruta!D19))</f>
        <v>Cinema Paulista - Sessões</v>
      </c>
      <c r="E19" s="4" t="str">
        <f aca="false">IF($A19="","",_xlfn.XLOOKUP(LOWER(TRIM(Base_Bruta!E19)),DePara_Categoria!$A$2:$A$9,DePara_Categoria!$B$2:$B$9,"REVISAR"))</f>
        <v>Cinema</v>
      </c>
      <c r="F19" s="4" t="str">
        <f aca="false">IF($A19="","",_xlfn.XLOOKUP(LOWER(TRIM(Base_Bruta!F19)),DePara_Cidade!$A$2:$A$29,DePara_Cidade!$B$2:$B$29,"REVISAR"))</f>
        <v>São Paulo</v>
      </c>
      <c r="G19" s="4" t="str">
        <f aca="false">IF($A19="","",TRIM(Base_Bruta!G19))</f>
        <v>Inteira</v>
      </c>
      <c r="H19" s="4" t="n">
        <f aca="false">IF($A19="","",IF(ISNUMBER(Base_Bruta!H19),Base_Bruta!H19,IFERROR(_xlfn.NUMBERVALUE(TRIM(SUBSTITUTE(Base_Bruta!H19,"R$","")),",","."),0)))</f>
        <v>3</v>
      </c>
      <c r="I19" s="6" t="n">
        <f aca="false">IF($A19="","",IF(ISNUMBER(Base_Bruta!I19),Base_Bruta!I19,IFERROR(_xlfn.NUMBERVALUE(TRIM(SUBSTITUTE(Base_Bruta!I19,"R$","")),",","."),0)))</f>
        <v>40</v>
      </c>
      <c r="J19" s="6" t="n">
        <f aca="false">IF($A19="","",H19*I19)</f>
        <v>120</v>
      </c>
      <c r="K19" s="4" t="str">
        <f aca="false">IF($A19="","",TRIM(Base_Bruta!J19))</f>
        <v>Site</v>
      </c>
      <c r="L19" s="4" t="str">
        <f aca="false">IF($A19="","",TRIM(Base_Bruta!K19))</f>
        <v>C01827</v>
      </c>
      <c r="M19" s="4" t="str">
        <f aca="false">IF($A19="","",_xlfn.XLOOKUP(LOWER(TRIM(Base_Bruta!L19)),DePara_Cidade!$A$2:$A$29,DePara_Cidade!$B$2:$B$29,"REVISAR"))</f>
        <v>São Paulo</v>
      </c>
      <c r="N19" s="4" t="str">
        <f aca="false">IF($A19="","",UPPER(TRIM(Base_Bruta!M19)))</f>
        <v>SP</v>
      </c>
      <c r="O19" s="4" t="str">
        <f aca="false">IF($A19="","",_xlfn.XLOOKUP(LOWER(TRIM(Base_Bruta!N19)),DePara_Pais!$A$2:$A$9,DePara_Pais!$B$2:$B$9,"REVISAR"))</f>
        <v>Brasil</v>
      </c>
      <c r="P19" s="4" t="str">
        <f aca="false">IF($A19="","",IF(O19&lt;&gt;"Brasil","Turista Internacional",IF(M19=F19,"Local","Turista Nacional")))</f>
        <v>Local</v>
      </c>
      <c r="Q19" s="7" t="n">
        <f aca="false">IF($A19="","",DATE(YEAR(B19),MONTH(B19),1))</f>
        <v>45658</v>
      </c>
      <c r="R19" s="4" t="str">
        <f aca="false">IF($A19="","",IF(COUNTIF($A$2:$A19,$A19)&gt;1,"Sim","Não"))</f>
        <v>Não</v>
      </c>
      <c r="S19" s="4" t="str">
        <f aca="false">IF(A19="","Descartar - Linha vazia",IF(R19="Sim","Descartar - Duplicado",IF(OR(H19&lt;=0,I19&lt;=0),"Descartar - Qtd/Valor inválido","OK")))</f>
        <v>OK</v>
      </c>
      <c r="T19" s="4" t="str">
        <f aca="false">Base_Bruta!P19</f>
        <v>vendas_SP.xlsx</v>
      </c>
    </row>
    <row r="20" customFormat="false" ht="15" hidden="false" customHeight="false" outlineLevel="0" collapsed="false">
      <c r="A20" s="4" t="str">
        <f aca="false">IF(Base_Bruta!A20="","",Base_Bruta!A20)</f>
        <v>SP-000694</v>
      </c>
      <c r="B20" s="5" t="n">
        <f aca="false">IF($A20="","",IF(ISNUMBER(Base_Bruta!B20),Base_Bruta!B20,IF(MID(Base_Bruta!B20,5,1)="-",DATE(VALUE(LEFT(Base_Bruta!B20,4)),VALUE(MID(Base_Bruta!B20,6,2)),VALUE(RIGHT(Base_Bruta!B20,2))),DATE(VALUE(RIGHT(Base_Bruta!B20,4)),VALUE(MID(Base_Bruta!B20,4,2)),VALUE(LEFT(Base_Bruta!B20,2))))))</f>
        <v>45664</v>
      </c>
      <c r="C20" s="5" t="n">
        <f aca="false">IF($A20="","",IF(ISNUMBER(Base_Bruta!C20),Base_Bruta!C20,IF(MID(Base_Bruta!C20,5,1)="-",DATE(VALUE(LEFT(Base_Bruta!C20,4)),VALUE(MID(Base_Bruta!C20,6,2)),VALUE(RIGHT(Base_Bruta!C20,2))),DATE(VALUE(RIGHT(Base_Bruta!C20,4)),VALUE(MID(Base_Bruta!C20,4,2)),VALUE(LEFT(Base_Bruta!C20,2))))))</f>
        <v>45667</v>
      </c>
      <c r="D20" s="4" t="str">
        <f aca="false">IF($A20="","",TRIM(Base_Bruta!D20))</f>
        <v>Cinema Paulista - Sessões</v>
      </c>
      <c r="E20" s="4" t="str">
        <f aca="false">IF($A20="","",_xlfn.XLOOKUP(LOWER(TRIM(Base_Bruta!E20)),DePara_Categoria!$A$2:$A$9,DePara_Categoria!$B$2:$B$9,"REVISAR"))</f>
        <v>Cinema</v>
      </c>
      <c r="F20" s="4" t="str">
        <f aca="false">IF($A20="","",_xlfn.XLOOKUP(LOWER(TRIM(Base_Bruta!F20)),DePara_Cidade!$A$2:$A$29,DePara_Cidade!$B$2:$B$29,"REVISAR"))</f>
        <v>São Paulo</v>
      </c>
      <c r="G20" s="4" t="str">
        <f aca="false">IF($A20="","",TRIM(Base_Bruta!G20))</f>
        <v>Meia</v>
      </c>
      <c r="H20" s="4" t="n">
        <f aca="false">IF($A20="","",IF(ISNUMBER(Base_Bruta!H20),Base_Bruta!H20,IFERROR(_xlfn.NUMBERVALUE(TRIM(SUBSTITUTE(Base_Bruta!H20,"R$","")),",","."),0)))</f>
        <v>2</v>
      </c>
      <c r="I20" s="6" t="n">
        <f aca="false">IF($A20="","",IF(ISNUMBER(Base_Bruta!I20),Base_Bruta!I20,IFERROR(_xlfn.NUMBERVALUE(TRIM(SUBSTITUTE(Base_Bruta!I20,"R$","")),",","."),0)))</f>
        <v>22.5</v>
      </c>
      <c r="J20" s="6" t="n">
        <f aca="false">IF($A20="","",H20*I20)</f>
        <v>45</v>
      </c>
      <c r="K20" s="4" t="str">
        <f aca="false">IF($A20="","",TRIM(Base_Bruta!J20))</f>
        <v>Site</v>
      </c>
      <c r="L20" s="4" t="str">
        <f aca="false">IF($A20="","",TRIM(Base_Bruta!K20))</f>
        <v>C02052</v>
      </c>
      <c r="M20" s="4" t="str">
        <f aca="false">IF($A20="","",_xlfn.XLOOKUP(LOWER(TRIM(Base_Bruta!L20)),DePara_Cidade!$A$2:$A$29,DePara_Cidade!$B$2:$B$29,"REVISAR"))</f>
        <v>São Paulo</v>
      </c>
      <c r="N20" s="4" t="str">
        <f aca="false">IF($A20="","",UPPER(TRIM(Base_Bruta!M20)))</f>
        <v>SP</v>
      </c>
      <c r="O20" s="4" t="str">
        <f aca="false">IF($A20="","",_xlfn.XLOOKUP(LOWER(TRIM(Base_Bruta!N20)),DePara_Pais!$A$2:$A$9,DePara_Pais!$B$2:$B$9,"REVISAR"))</f>
        <v>Brasil</v>
      </c>
      <c r="P20" s="4" t="str">
        <f aca="false">IF($A20="","",IF(O20&lt;&gt;"Brasil","Turista Internacional",IF(M20=F20,"Local","Turista Nacional")))</f>
        <v>Local</v>
      </c>
      <c r="Q20" s="7" t="n">
        <f aca="false">IF($A20="","",DATE(YEAR(B20),MONTH(B20),1))</f>
        <v>45658</v>
      </c>
      <c r="R20" s="4" t="str">
        <f aca="false">IF($A20="","",IF(COUNTIF($A$2:$A20,$A20)&gt;1,"Sim","Não"))</f>
        <v>Sim</v>
      </c>
      <c r="S20" s="4" t="str">
        <f aca="false">IF(A20="","Descartar - Linha vazia",IF(R20="Sim","Descartar - Duplicado",IF(OR(H20&lt;=0,I20&lt;=0),"Descartar - Qtd/Valor inválido","OK")))</f>
        <v>Descartar - Duplicado</v>
      </c>
      <c r="T20" s="4" t="str">
        <f aca="false">Base_Bruta!P20</f>
        <v>vendas_SP.xlsx</v>
      </c>
    </row>
    <row r="21" customFormat="false" ht="15" hidden="false" customHeight="false" outlineLevel="0" collapsed="false">
      <c r="A21" s="4" t="str">
        <f aca="false">IF(Base_Bruta!A21="","",Base_Bruta!A21)</f>
        <v>SP-000619</v>
      </c>
      <c r="B21" s="5" t="n">
        <f aca="false">IF($A21="","",IF(ISNUMBER(Base_Bruta!B21),Base_Bruta!B21,IF(MID(Base_Bruta!B21,5,1)="-",DATE(VALUE(LEFT(Base_Bruta!B21,4)),VALUE(MID(Base_Bruta!B21,6,2)),VALUE(RIGHT(Base_Bruta!B21,2))),DATE(VALUE(RIGHT(Base_Bruta!B21,4)),VALUE(MID(Base_Bruta!B21,4,2)),VALUE(LEFT(Base_Bruta!B21,2))))))</f>
        <v>45688</v>
      </c>
      <c r="C21" s="5" t="n">
        <f aca="false">IF($A21="","",IF(ISNUMBER(Base_Bruta!C21),Base_Bruta!C21,IF(MID(Base_Bruta!C21,5,1)="-",DATE(VALUE(LEFT(Base_Bruta!C21,4)),VALUE(MID(Base_Bruta!C21,6,2)),VALUE(RIGHT(Base_Bruta!C21,2))),DATE(VALUE(RIGHT(Base_Bruta!C21,4)),VALUE(MID(Base_Bruta!C21,4,2)),VALUE(LEFT(Base_Bruta!C21,2))))))</f>
        <v>45689</v>
      </c>
      <c r="D21" s="4" t="str">
        <f aca="false">IF($A21="","",TRIM(Base_Bruta!D21))</f>
        <v>Cinema Paulista - Sessões</v>
      </c>
      <c r="E21" s="4" t="str">
        <f aca="false">IF($A21="","",_xlfn.XLOOKUP(LOWER(TRIM(Base_Bruta!E21)),DePara_Categoria!$A$2:$A$9,DePara_Categoria!$B$2:$B$9,"REVISAR"))</f>
        <v>Cinema</v>
      </c>
      <c r="F21" s="4" t="str">
        <f aca="false">IF($A21="","",_xlfn.XLOOKUP(LOWER(TRIM(Base_Bruta!F21)),DePara_Cidade!$A$2:$A$29,DePara_Cidade!$B$2:$B$29,"REVISAR"))</f>
        <v>São Paulo</v>
      </c>
      <c r="G21" s="4" t="str">
        <f aca="false">IF($A21="","",TRIM(Base_Bruta!G21))</f>
        <v>Meia</v>
      </c>
      <c r="H21" s="4" t="n">
        <f aca="false">IF($A21="","",IF(ISNUMBER(Base_Bruta!H21),Base_Bruta!H21,IFERROR(_xlfn.NUMBERVALUE(TRIM(SUBSTITUTE(Base_Bruta!H21,"R$","")),",","."),0)))</f>
        <v>1</v>
      </c>
      <c r="I21" s="6" t="n">
        <f aca="false">IF($A21="","",IF(ISNUMBER(Base_Bruta!I21),Base_Bruta!I21,IFERROR(_xlfn.NUMBERVALUE(TRIM(SUBSTITUTE(Base_Bruta!I21,"R$","")),",","."),0)))</f>
        <v>20</v>
      </c>
      <c r="J21" s="6" t="n">
        <f aca="false">IF($A21="","",H21*I21)</f>
        <v>20</v>
      </c>
      <c r="K21" s="4" t="str">
        <f aca="false">IF($A21="","",TRIM(Base_Bruta!J21))</f>
        <v>App</v>
      </c>
      <c r="L21" s="4" t="str">
        <f aca="false">IF($A21="","",TRIM(Base_Bruta!K21))</f>
        <v>C01278</v>
      </c>
      <c r="M21" s="4" t="str">
        <f aca="false">IF($A21="","",_xlfn.XLOOKUP(LOWER(TRIM(Base_Bruta!L21)),DePara_Cidade!$A$2:$A$29,DePara_Cidade!$B$2:$B$29,"REVISAR"))</f>
        <v>São Paulo</v>
      </c>
      <c r="N21" s="4" t="str">
        <f aca="false">IF($A21="","",UPPER(TRIM(Base_Bruta!M21)))</f>
        <v>SP</v>
      </c>
      <c r="O21" s="4" t="str">
        <f aca="false">IF($A21="","",_xlfn.XLOOKUP(LOWER(TRIM(Base_Bruta!N21)),DePara_Pais!$A$2:$A$9,DePara_Pais!$B$2:$B$9,"REVISAR"))</f>
        <v>Brasil</v>
      </c>
      <c r="P21" s="4" t="str">
        <f aca="false">IF($A21="","",IF(O21&lt;&gt;"Brasil","Turista Internacional",IF(M21=F21,"Local","Turista Nacional")))</f>
        <v>Local</v>
      </c>
      <c r="Q21" s="7" t="n">
        <f aca="false">IF($A21="","",DATE(YEAR(B21),MONTH(B21),1))</f>
        <v>45658</v>
      </c>
      <c r="R21" s="4" t="str">
        <f aca="false">IF($A21="","",IF(COUNTIF($A$2:$A21,$A21)&gt;1,"Sim","Não"))</f>
        <v>Não</v>
      </c>
      <c r="S21" s="4" t="str">
        <f aca="false">IF(A21="","Descartar - Linha vazia",IF(R21="Sim","Descartar - Duplicado",IF(OR(H21&lt;=0,I21&lt;=0),"Descartar - Qtd/Valor inválido","OK")))</f>
        <v>OK</v>
      </c>
      <c r="T21" s="4" t="str">
        <f aca="false">Base_Bruta!P21</f>
        <v>vendas_SP.xlsx</v>
      </c>
    </row>
    <row r="22" customFormat="false" ht="15" hidden="false" customHeight="false" outlineLevel="0" collapsed="false">
      <c r="A22" s="4" t="str">
        <f aca="false">IF(Base_Bruta!A22="","",Base_Bruta!A22)</f>
        <v>SP-000654</v>
      </c>
      <c r="B22" s="5" t="n">
        <f aca="false">IF($A22="","",IF(ISNUMBER(Base_Bruta!B22),Base_Bruta!B22,IF(MID(Base_Bruta!B22,5,1)="-",DATE(VALUE(LEFT(Base_Bruta!B22,4)),VALUE(MID(Base_Bruta!B22,6,2)),VALUE(RIGHT(Base_Bruta!B22,2))),DATE(VALUE(RIGHT(Base_Bruta!B22,4)),VALUE(MID(Base_Bruta!B22,4,2)),VALUE(LEFT(Base_Bruta!B22,2))))))</f>
        <v>45692</v>
      </c>
      <c r="C22" s="5" t="n">
        <f aca="false">IF($A22="","",IF(ISNUMBER(Base_Bruta!C22),Base_Bruta!C22,IF(MID(Base_Bruta!C22,5,1)="-",DATE(VALUE(LEFT(Base_Bruta!C22,4)),VALUE(MID(Base_Bruta!C22,6,2)),VALUE(RIGHT(Base_Bruta!C22,2))),DATE(VALUE(RIGHT(Base_Bruta!C22,4)),VALUE(MID(Base_Bruta!C22,4,2)),VALUE(LEFT(Base_Bruta!C22,2))))))</f>
        <v>45695</v>
      </c>
      <c r="D22" s="4" t="str">
        <f aca="false">IF($A22="","",TRIM(Base_Bruta!D22))</f>
        <v>Cinema Paulista - Sessões</v>
      </c>
      <c r="E22" s="4" t="str">
        <f aca="false">IF($A22="","",_xlfn.XLOOKUP(LOWER(TRIM(Base_Bruta!E22)),DePara_Categoria!$A$2:$A$9,DePara_Categoria!$B$2:$B$9,"REVISAR"))</f>
        <v>Cinema</v>
      </c>
      <c r="F22" s="4" t="str">
        <f aca="false">IF($A22="","",_xlfn.XLOOKUP(LOWER(TRIM(Base_Bruta!F22)),DePara_Cidade!$A$2:$A$29,DePara_Cidade!$B$2:$B$29,"REVISAR"))</f>
        <v>São Paulo</v>
      </c>
      <c r="G22" s="4" t="str">
        <f aca="false">IF($A22="","",TRIM(Base_Bruta!G22))</f>
        <v>Meia</v>
      </c>
      <c r="H22" s="4" t="n">
        <f aca="false">IF($A22="","",IF(ISNUMBER(Base_Bruta!H22),Base_Bruta!H22,IFERROR(_xlfn.NUMBERVALUE(TRIM(SUBSTITUTE(Base_Bruta!H22,"R$","")),",","."),0)))</f>
        <v>4</v>
      </c>
      <c r="I22" s="6" t="n">
        <f aca="false">IF($A22="","",IF(ISNUMBER(Base_Bruta!I22),Base_Bruta!I22,IFERROR(_xlfn.NUMBERVALUE(TRIM(SUBSTITUTE(Base_Bruta!I22,"R$","")),",","."),0)))</f>
        <v>17.5</v>
      </c>
      <c r="J22" s="6" t="n">
        <f aca="false">IF($A22="","",H22*I22)</f>
        <v>70</v>
      </c>
      <c r="K22" s="4" t="str">
        <f aca="false">IF($A22="","",TRIM(Base_Bruta!J22))</f>
        <v>App</v>
      </c>
      <c r="L22" s="4" t="str">
        <f aca="false">IF($A22="","",TRIM(Base_Bruta!K22))</f>
        <v>C01401</v>
      </c>
      <c r="M22" s="4" t="str">
        <f aca="false">IF($A22="","",_xlfn.XLOOKUP(LOWER(TRIM(Base_Bruta!L22)),DePara_Cidade!$A$2:$A$29,DePara_Cidade!$B$2:$B$29,"REVISAR"))</f>
        <v>São Paulo</v>
      </c>
      <c r="N22" s="4" t="str">
        <f aca="false">IF($A22="","",UPPER(TRIM(Base_Bruta!M22)))</f>
        <v>SP</v>
      </c>
      <c r="O22" s="4" t="str">
        <f aca="false">IF($A22="","",_xlfn.XLOOKUP(LOWER(TRIM(Base_Bruta!N22)),DePara_Pais!$A$2:$A$9,DePara_Pais!$B$2:$B$9,"REVISAR"))</f>
        <v>Brasil</v>
      </c>
      <c r="P22" s="4" t="str">
        <f aca="false">IF($A22="","",IF(O22&lt;&gt;"Brasil","Turista Internacional",IF(M22=F22,"Local","Turista Nacional")))</f>
        <v>Local</v>
      </c>
      <c r="Q22" s="7" t="n">
        <f aca="false">IF($A22="","",DATE(YEAR(B22),MONTH(B22),1))</f>
        <v>45689</v>
      </c>
      <c r="R22" s="4" t="str">
        <f aca="false">IF($A22="","",IF(COUNTIF($A$2:$A22,$A22)&gt;1,"Sim","Não"))</f>
        <v>Não</v>
      </c>
      <c r="S22" s="4" t="str">
        <f aca="false">IF(A22="","Descartar - Linha vazia",IF(R22="Sim","Descartar - Duplicado",IF(OR(H22&lt;=0,I22&lt;=0),"Descartar - Qtd/Valor inválido","OK")))</f>
        <v>OK</v>
      </c>
      <c r="T22" s="4" t="str">
        <f aca="false">Base_Bruta!P22</f>
        <v>vendas_SP.xlsx</v>
      </c>
    </row>
    <row r="23" customFormat="false" ht="15" hidden="false" customHeight="false" outlineLevel="0" collapsed="false">
      <c r="A23" s="4" t="str">
        <f aca="false">IF(Base_Bruta!A23="","",Base_Bruta!A23)</f>
        <v>SP-000644</v>
      </c>
      <c r="B23" s="5" t="n">
        <f aca="false">IF($A23="","",IF(ISNUMBER(Base_Bruta!B23),Base_Bruta!B23,IF(MID(Base_Bruta!B23,5,1)="-",DATE(VALUE(LEFT(Base_Bruta!B23,4)),VALUE(MID(Base_Bruta!B23,6,2)),VALUE(RIGHT(Base_Bruta!B23,2))),DATE(VALUE(RIGHT(Base_Bruta!B23,4)),VALUE(MID(Base_Bruta!B23,4,2)),VALUE(LEFT(Base_Bruta!B23,2))))))</f>
        <v>45693</v>
      </c>
      <c r="C23" s="5" t="n">
        <f aca="false">IF($A23="","",IF(ISNUMBER(Base_Bruta!C23),Base_Bruta!C23,IF(MID(Base_Bruta!C23,5,1)="-",DATE(VALUE(LEFT(Base_Bruta!C23,4)),VALUE(MID(Base_Bruta!C23,6,2)),VALUE(RIGHT(Base_Bruta!C23,2))),DATE(VALUE(RIGHT(Base_Bruta!C23,4)),VALUE(MID(Base_Bruta!C23,4,2)),VALUE(LEFT(Base_Bruta!C23,2))))))</f>
        <v>45694</v>
      </c>
      <c r="D23" s="4" t="str">
        <f aca="false">IF($A23="","",TRIM(Base_Bruta!D23))</f>
        <v>Cinema Paulista - Sessões</v>
      </c>
      <c r="E23" s="4" t="str">
        <f aca="false">IF($A23="","",_xlfn.XLOOKUP(LOWER(TRIM(Base_Bruta!E23)),DePara_Categoria!$A$2:$A$9,DePara_Categoria!$B$2:$B$9,"REVISAR"))</f>
        <v>Cinema</v>
      </c>
      <c r="F23" s="4" t="str">
        <f aca="false">IF($A23="","",_xlfn.XLOOKUP(LOWER(TRIM(Base_Bruta!F23)),DePara_Cidade!$A$2:$A$29,DePara_Cidade!$B$2:$B$29,"REVISAR"))</f>
        <v>São Paulo</v>
      </c>
      <c r="G23" s="4" t="str">
        <f aca="false">IF($A23="","",TRIM(Base_Bruta!G23))</f>
        <v>Inteira</v>
      </c>
      <c r="H23" s="4" t="n">
        <f aca="false">IF($A23="","",IF(ISNUMBER(Base_Bruta!H23),Base_Bruta!H23,IFERROR(_xlfn.NUMBERVALUE(TRIM(SUBSTITUTE(Base_Bruta!H23,"R$","")),",","."),0)))</f>
        <v>1</v>
      </c>
      <c r="I23" s="6" t="n">
        <f aca="false">IF($A23="","",IF(ISNUMBER(Base_Bruta!I23),Base_Bruta!I23,IFERROR(_xlfn.NUMBERVALUE(TRIM(SUBSTITUTE(Base_Bruta!I23,"R$","")),",","."),0)))</f>
        <v>35</v>
      </c>
      <c r="J23" s="6" t="n">
        <f aca="false">IF($A23="","",H23*I23)</f>
        <v>35</v>
      </c>
      <c r="K23" s="4" t="str">
        <f aca="false">IF($A23="","",TRIM(Base_Bruta!J23))</f>
        <v>Parceiro</v>
      </c>
      <c r="L23" s="4" t="str">
        <f aca="false">IF($A23="","",TRIM(Base_Bruta!K23))</f>
        <v>C00365</v>
      </c>
      <c r="M23" s="4" t="str">
        <f aca="false">IF($A23="","",_xlfn.XLOOKUP(LOWER(TRIM(Base_Bruta!L23)),DePara_Cidade!$A$2:$A$29,DePara_Cidade!$B$2:$B$29,"REVISAR"))</f>
        <v>São Paulo</v>
      </c>
      <c r="N23" s="4" t="str">
        <f aca="false">IF($A23="","",UPPER(TRIM(Base_Bruta!M23)))</f>
        <v>SP</v>
      </c>
      <c r="O23" s="4" t="str">
        <f aca="false">IF($A23="","",_xlfn.XLOOKUP(LOWER(TRIM(Base_Bruta!N23)),DePara_Pais!$A$2:$A$9,DePara_Pais!$B$2:$B$9,"REVISAR"))</f>
        <v>Brasil</v>
      </c>
      <c r="P23" s="4" t="str">
        <f aca="false">IF($A23="","",IF(O23&lt;&gt;"Brasil","Turista Internacional",IF(M23=F23,"Local","Turista Nacional")))</f>
        <v>Local</v>
      </c>
      <c r="Q23" s="7" t="n">
        <f aca="false">IF($A23="","",DATE(YEAR(B23),MONTH(B23),1))</f>
        <v>45689</v>
      </c>
      <c r="R23" s="4" t="str">
        <f aca="false">IF($A23="","",IF(COUNTIF($A$2:$A23,$A23)&gt;1,"Sim","Não"))</f>
        <v>Não</v>
      </c>
      <c r="S23" s="4" t="str">
        <f aca="false">IF(A23="","Descartar - Linha vazia",IF(R23="Sim","Descartar - Duplicado",IF(OR(H23&lt;=0,I23&lt;=0),"Descartar - Qtd/Valor inválido","OK")))</f>
        <v>OK</v>
      </c>
      <c r="T23" s="4" t="str">
        <f aca="false">Base_Bruta!P23</f>
        <v>vendas_SP.xlsx</v>
      </c>
    </row>
    <row r="24" customFormat="false" ht="15" hidden="false" customHeight="false" outlineLevel="0" collapsed="false">
      <c r="A24" s="4" t="str">
        <f aca="false">IF(Base_Bruta!A24="","",Base_Bruta!A24)</f>
        <v>SP-000707</v>
      </c>
      <c r="B24" s="5" t="n">
        <f aca="false">IF($A24="","",IF(ISNUMBER(Base_Bruta!B24),Base_Bruta!B24,IF(MID(Base_Bruta!B24,5,1)="-",DATE(VALUE(LEFT(Base_Bruta!B24,4)),VALUE(MID(Base_Bruta!B24,6,2)),VALUE(RIGHT(Base_Bruta!B24,2))),DATE(VALUE(RIGHT(Base_Bruta!B24,4)),VALUE(MID(Base_Bruta!B24,4,2)),VALUE(LEFT(Base_Bruta!B24,2))))))</f>
        <v>45693</v>
      </c>
      <c r="C24" s="5" t="n">
        <f aca="false">IF($A24="","",IF(ISNUMBER(Base_Bruta!C24),Base_Bruta!C24,IF(MID(Base_Bruta!C24,5,1)="-",DATE(VALUE(LEFT(Base_Bruta!C24,4)),VALUE(MID(Base_Bruta!C24,6,2)),VALUE(RIGHT(Base_Bruta!C24,2))),DATE(VALUE(RIGHT(Base_Bruta!C24,4)),VALUE(MID(Base_Bruta!C24,4,2)),VALUE(LEFT(Base_Bruta!C24,2))))))</f>
        <v>45696</v>
      </c>
      <c r="D24" s="4" t="str">
        <f aca="false">IF($A24="","",TRIM(Base_Bruta!D24))</f>
        <v>Cinema Paulista - Sessões</v>
      </c>
      <c r="E24" s="4" t="str">
        <f aca="false">IF($A24="","",_xlfn.XLOOKUP(LOWER(TRIM(Base_Bruta!E24)),DePara_Categoria!$A$2:$A$9,DePara_Categoria!$B$2:$B$9,"REVISAR"))</f>
        <v>Cinema</v>
      </c>
      <c r="F24" s="4" t="str">
        <f aca="false">IF($A24="","",_xlfn.XLOOKUP(LOWER(TRIM(Base_Bruta!F24)),DePara_Cidade!$A$2:$A$29,DePara_Cidade!$B$2:$B$29,"REVISAR"))</f>
        <v>São Paulo</v>
      </c>
      <c r="G24" s="4" t="str">
        <f aca="false">IF($A24="","",TRIM(Base_Bruta!G24))</f>
        <v>Inteira</v>
      </c>
      <c r="H24" s="4" t="n">
        <f aca="false">IF($A24="","",IF(ISNUMBER(Base_Bruta!H24),Base_Bruta!H24,IFERROR(_xlfn.NUMBERVALUE(TRIM(SUBSTITUTE(Base_Bruta!H24,"R$","")),",","."),0)))</f>
        <v>1</v>
      </c>
      <c r="I24" s="6" t="n">
        <f aca="false">IF($A24="","",IF(ISNUMBER(Base_Bruta!I24),Base_Bruta!I24,IFERROR(_xlfn.NUMBERVALUE(TRIM(SUBSTITUTE(Base_Bruta!I24,"R$","")),",","."),0)))</f>
        <v>45</v>
      </c>
      <c r="J24" s="6" t="n">
        <f aca="false">IF($A24="","",H24*I24)</f>
        <v>45</v>
      </c>
      <c r="K24" s="4" t="str">
        <f aca="false">IF($A24="","",TRIM(Base_Bruta!J24))</f>
        <v>Site</v>
      </c>
      <c r="L24" s="4" t="str">
        <f aca="false">IF($A24="","",TRIM(Base_Bruta!K24))</f>
        <v>C00976</v>
      </c>
      <c r="M24" s="4" t="str">
        <f aca="false">IF($A24="","",_xlfn.XLOOKUP(LOWER(TRIM(Base_Bruta!L24)),DePara_Cidade!$A$2:$A$29,DePara_Cidade!$B$2:$B$29,"REVISAR"))</f>
        <v>São Paulo</v>
      </c>
      <c r="N24" s="4" t="str">
        <f aca="false">IF($A24="","",UPPER(TRIM(Base_Bruta!M24)))</f>
        <v>SP</v>
      </c>
      <c r="O24" s="4" t="str">
        <f aca="false">IF($A24="","",_xlfn.XLOOKUP(LOWER(TRIM(Base_Bruta!N24)),DePara_Pais!$A$2:$A$9,DePara_Pais!$B$2:$B$9,"REVISAR"))</f>
        <v>Brasil</v>
      </c>
      <c r="P24" s="4" t="str">
        <f aca="false">IF($A24="","",IF(O24&lt;&gt;"Brasil","Turista Internacional",IF(M24=F24,"Local","Turista Nacional")))</f>
        <v>Local</v>
      </c>
      <c r="Q24" s="7" t="n">
        <f aca="false">IF($A24="","",DATE(YEAR(B24),MONTH(B24),1))</f>
        <v>45689</v>
      </c>
      <c r="R24" s="4" t="str">
        <f aca="false">IF($A24="","",IF(COUNTIF($A$2:$A24,$A24)&gt;1,"Sim","Não"))</f>
        <v>Não</v>
      </c>
      <c r="S24" s="4" t="str">
        <f aca="false">IF(A24="","Descartar - Linha vazia",IF(R24="Sim","Descartar - Duplicado",IF(OR(H24&lt;=0,I24&lt;=0),"Descartar - Qtd/Valor inválido","OK")))</f>
        <v>OK</v>
      </c>
      <c r="T24" s="4" t="str">
        <f aca="false">Base_Bruta!P24</f>
        <v>vendas_SP.xlsx</v>
      </c>
    </row>
    <row r="25" customFormat="false" ht="15" hidden="false" customHeight="false" outlineLevel="0" collapsed="false">
      <c r="A25" s="4" t="str">
        <f aca="false">IF(Base_Bruta!A25="","",Base_Bruta!A25)</f>
        <v>SP-000656</v>
      </c>
      <c r="B25" s="5" t="n">
        <f aca="false">IF($A25="","",IF(ISNUMBER(Base_Bruta!B25),Base_Bruta!B25,IF(MID(Base_Bruta!B25,5,1)="-",DATE(VALUE(LEFT(Base_Bruta!B25,4)),VALUE(MID(Base_Bruta!B25,6,2)),VALUE(RIGHT(Base_Bruta!B25,2))),DATE(VALUE(RIGHT(Base_Bruta!B25,4)),VALUE(MID(Base_Bruta!B25,4,2)),VALUE(LEFT(Base_Bruta!B25,2))))))</f>
        <v>45696</v>
      </c>
      <c r="C25" s="5" t="n">
        <f aca="false">IF($A25="","",IF(ISNUMBER(Base_Bruta!C25),Base_Bruta!C25,IF(MID(Base_Bruta!C25,5,1)="-",DATE(VALUE(LEFT(Base_Bruta!C25,4)),VALUE(MID(Base_Bruta!C25,6,2)),VALUE(RIGHT(Base_Bruta!C25,2))),DATE(VALUE(RIGHT(Base_Bruta!C25,4)),VALUE(MID(Base_Bruta!C25,4,2)),VALUE(LEFT(Base_Bruta!C25,2))))))</f>
        <v>45696</v>
      </c>
      <c r="D25" s="4" t="str">
        <f aca="false">IF($A25="","",TRIM(Base_Bruta!D25))</f>
        <v>Cinema Paulista - Sessões</v>
      </c>
      <c r="E25" s="4" t="str">
        <f aca="false">IF($A25="","",_xlfn.XLOOKUP(LOWER(TRIM(Base_Bruta!E25)),DePara_Categoria!$A$2:$A$9,DePara_Categoria!$B$2:$B$9,"REVISAR"))</f>
        <v>Cinema</v>
      </c>
      <c r="F25" s="4" t="str">
        <f aca="false">IF($A25="","",_xlfn.XLOOKUP(LOWER(TRIM(Base_Bruta!F25)),DePara_Cidade!$A$2:$A$29,DePara_Cidade!$B$2:$B$29,"REVISAR"))</f>
        <v>São Paulo</v>
      </c>
      <c r="G25" s="4" t="str">
        <f aca="false">IF($A25="","",TRIM(Base_Bruta!G25))</f>
        <v>Meia</v>
      </c>
      <c r="H25" s="4" t="n">
        <f aca="false">IF($A25="","",IF(ISNUMBER(Base_Bruta!H25),Base_Bruta!H25,IFERROR(_xlfn.NUMBERVALUE(TRIM(SUBSTITUTE(Base_Bruta!H25,"R$","")),",","."),0)))</f>
        <v>2</v>
      </c>
      <c r="I25" s="6" t="n">
        <f aca="false">IF($A25="","",IF(ISNUMBER(Base_Bruta!I25),Base_Bruta!I25,IFERROR(_xlfn.NUMBERVALUE(TRIM(SUBSTITUTE(Base_Bruta!I25,"R$","")),",","."),0)))</f>
        <v>22.5</v>
      </c>
      <c r="J25" s="6" t="n">
        <f aca="false">IF($A25="","",H25*I25)</f>
        <v>45</v>
      </c>
      <c r="K25" s="4" t="str">
        <f aca="false">IF($A25="","",TRIM(Base_Bruta!J25))</f>
        <v>Site</v>
      </c>
      <c r="L25" s="4" t="str">
        <f aca="false">IF($A25="","",TRIM(Base_Bruta!K25))</f>
        <v>C01469</v>
      </c>
      <c r="M25" s="4" t="str">
        <f aca="false">IF($A25="","",_xlfn.XLOOKUP(LOWER(TRIM(Base_Bruta!L25)),DePara_Cidade!$A$2:$A$29,DePara_Cidade!$B$2:$B$29,"REVISAR"))</f>
        <v>São Paulo</v>
      </c>
      <c r="N25" s="4" t="str">
        <f aca="false">IF($A25="","",UPPER(TRIM(Base_Bruta!M25)))</f>
        <v>SP</v>
      </c>
      <c r="O25" s="4" t="str">
        <f aca="false">IF($A25="","",_xlfn.XLOOKUP(LOWER(TRIM(Base_Bruta!N25)),DePara_Pais!$A$2:$A$9,DePara_Pais!$B$2:$B$9,"REVISAR"))</f>
        <v>Brasil</v>
      </c>
      <c r="P25" s="4" t="str">
        <f aca="false">IF($A25="","",IF(O25&lt;&gt;"Brasil","Turista Internacional",IF(M25=F25,"Local","Turista Nacional")))</f>
        <v>Local</v>
      </c>
      <c r="Q25" s="7" t="n">
        <f aca="false">IF($A25="","",DATE(YEAR(B25),MONTH(B25),1))</f>
        <v>45689</v>
      </c>
      <c r="R25" s="4" t="str">
        <f aca="false">IF($A25="","",IF(COUNTIF($A$2:$A25,$A25)&gt;1,"Sim","Não"))</f>
        <v>Não</v>
      </c>
      <c r="S25" s="4" t="str">
        <f aca="false">IF(A25="","Descartar - Linha vazia",IF(R25="Sim","Descartar - Duplicado",IF(OR(H25&lt;=0,I25&lt;=0),"Descartar - Qtd/Valor inválido","OK")))</f>
        <v>OK</v>
      </c>
      <c r="T25" s="4" t="str">
        <f aca="false">Base_Bruta!P25</f>
        <v>vendas_SP.xlsx</v>
      </c>
    </row>
    <row r="26" customFormat="false" ht="15" hidden="false" customHeight="false" outlineLevel="0" collapsed="false">
      <c r="A26" s="4" t="str">
        <f aca="false">IF(Base_Bruta!A26="","",Base_Bruta!A26)</f>
        <v>SP-000640</v>
      </c>
      <c r="B26" s="5" t="n">
        <f aca="false">IF($A26="","",IF(ISNUMBER(Base_Bruta!B26),Base_Bruta!B26,IF(MID(Base_Bruta!B26,5,1)="-",DATE(VALUE(LEFT(Base_Bruta!B26,4)),VALUE(MID(Base_Bruta!B26,6,2)),VALUE(RIGHT(Base_Bruta!B26,2))),DATE(VALUE(RIGHT(Base_Bruta!B26,4)),VALUE(MID(Base_Bruta!B26,4,2)),VALUE(LEFT(Base_Bruta!B26,2))))))</f>
        <v>45701</v>
      </c>
      <c r="C26" s="5" t="n">
        <f aca="false">IF($A26="","",IF(ISNUMBER(Base_Bruta!C26),Base_Bruta!C26,IF(MID(Base_Bruta!C26,5,1)="-",DATE(VALUE(LEFT(Base_Bruta!C26,4)),VALUE(MID(Base_Bruta!C26,6,2)),VALUE(RIGHT(Base_Bruta!C26,2))),DATE(VALUE(RIGHT(Base_Bruta!C26,4)),VALUE(MID(Base_Bruta!C26,4,2)),VALUE(LEFT(Base_Bruta!C26,2))))))</f>
        <v>45702</v>
      </c>
      <c r="D26" s="4" t="str">
        <f aca="false">IF($A26="","",TRIM(Base_Bruta!D26))</f>
        <v>Cinema Paulista - Sessões</v>
      </c>
      <c r="E26" s="4" t="str">
        <f aca="false">IF($A26="","",_xlfn.XLOOKUP(LOWER(TRIM(Base_Bruta!E26)),DePara_Categoria!$A$2:$A$9,DePara_Categoria!$B$2:$B$9,"REVISAR"))</f>
        <v>Cinema</v>
      </c>
      <c r="F26" s="4" t="str">
        <f aca="false">IF($A26="","",_xlfn.XLOOKUP(LOWER(TRIM(Base_Bruta!F26)),DePara_Cidade!$A$2:$A$29,DePara_Cidade!$B$2:$B$29,"REVISAR"))</f>
        <v>São Paulo</v>
      </c>
      <c r="G26" s="4" t="str">
        <f aca="false">IF($A26="","",TRIM(Base_Bruta!G26))</f>
        <v>Inteira</v>
      </c>
      <c r="H26" s="4" t="n">
        <f aca="false">IF($A26="","",IF(ISNUMBER(Base_Bruta!H26),Base_Bruta!H26,IFERROR(_xlfn.NUMBERVALUE(TRIM(SUBSTITUTE(Base_Bruta!H26,"R$","")),",","."),0)))</f>
        <v>1</v>
      </c>
      <c r="I26" s="6" t="n">
        <f aca="false">IF($A26="","",IF(ISNUMBER(Base_Bruta!I26),Base_Bruta!I26,IFERROR(_xlfn.NUMBERVALUE(TRIM(SUBSTITUTE(Base_Bruta!I26,"R$","")),",","."),0)))</f>
        <v>40</v>
      </c>
      <c r="J26" s="6" t="n">
        <f aca="false">IF($A26="","",H26*I26)</f>
        <v>40</v>
      </c>
      <c r="K26" s="4" t="str">
        <f aca="false">IF($A26="","",TRIM(Base_Bruta!J26))</f>
        <v>Site</v>
      </c>
      <c r="L26" s="4" t="str">
        <f aca="false">IF($A26="","",TRIM(Base_Bruta!K26))</f>
        <v>C01219</v>
      </c>
      <c r="M26" s="4" t="str">
        <f aca="false">IF($A26="","",_xlfn.XLOOKUP(LOWER(TRIM(Base_Bruta!L26)),DePara_Cidade!$A$2:$A$29,DePara_Cidade!$B$2:$B$29,"REVISAR"))</f>
        <v>São Paulo</v>
      </c>
      <c r="N26" s="4" t="str">
        <f aca="false">IF($A26="","",UPPER(TRIM(Base_Bruta!M26)))</f>
        <v>SP</v>
      </c>
      <c r="O26" s="4" t="str">
        <f aca="false">IF($A26="","",_xlfn.XLOOKUP(LOWER(TRIM(Base_Bruta!N26)),DePara_Pais!$A$2:$A$9,DePara_Pais!$B$2:$B$9,"REVISAR"))</f>
        <v>Brasil</v>
      </c>
      <c r="P26" s="4" t="str">
        <f aca="false">IF($A26="","",IF(O26&lt;&gt;"Brasil","Turista Internacional",IF(M26=F26,"Local","Turista Nacional")))</f>
        <v>Local</v>
      </c>
      <c r="Q26" s="7" t="n">
        <f aca="false">IF($A26="","",DATE(YEAR(B26),MONTH(B26),1))</f>
        <v>45689</v>
      </c>
      <c r="R26" s="4" t="str">
        <f aca="false">IF($A26="","",IF(COUNTIF($A$2:$A26,$A26)&gt;1,"Sim","Não"))</f>
        <v>Não</v>
      </c>
      <c r="S26" s="4" t="str">
        <f aca="false">IF(A26="","Descartar - Linha vazia",IF(R26="Sim","Descartar - Duplicado",IF(OR(H26&lt;=0,I26&lt;=0),"Descartar - Qtd/Valor inválido","OK")))</f>
        <v>OK</v>
      </c>
      <c r="T26" s="4" t="str">
        <f aca="false">Base_Bruta!P26</f>
        <v>vendas_SP.xlsx</v>
      </c>
    </row>
    <row r="27" customFormat="false" ht="15" hidden="false" customHeight="false" outlineLevel="0" collapsed="false">
      <c r="A27" s="4" t="str">
        <f aca="false">IF(Base_Bruta!A27="","",Base_Bruta!A27)</f>
        <v>SP-000767</v>
      </c>
      <c r="B27" s="5" t="n">
        <f aca="false">IF($A27="","",IF(ISNUMBER(Base_Bruta!B27),Base_Bruta!B27,IF(MID(Base_Bruta!B27,5,1)="-",DATE(VALUE(LEFT(Base_Bruta!B27,4)),VALUE(MID(Base_Bruta!B27,6,2)),VALUE(RIGHT(Base_Bruta!B27,2))),DATE(VALUE(RIGHT(Base_Bruta!B27,4)),VALUE(MID(Base_Bruta!B27,4,2)),VALUE(LEFT(Base_Bruta!B27,2))))))</f>
        <v>45707</v>
      </c>
      <c r="C27" s="5" t="n">
        <f aca="false">IF($A27="","",IF(ISNUMBER(Base_Bruta!C27),Base_Bruta!C27,IF(MID(Base_Bruta!C27,5,1)="-",DATE(VALUE(LEFT(Base_Bruta!C27,4)),VALUE(MID(Base_Bruta!C27,6,2)),VALUE(RIGHT(Base_Bruta!C27,2))),DATE(VALUE(RIGHT(Base_Bruta!C27,4)),VALUE(MID(Base_Bruta!C27,4,2)),VALUE(LEFT(Base_Bruta!C27,2))))))</f>
        <v>45710</v>
      </c>
      <c r="D27" s="4" t="str">
        <f aca="false">IF($A27="","",TRIM(Base_Bruta!D27))</f>
        <v>Cinema Paulista - Sessões</v>
      </c>
      <c r="E27" s="4" t="str">
        <f aca="false">IF($A27="","",_xlfn.XLOOKUP(LOWER(TRIM(Base_Bruta!E27)),DePara_Categoria!$A$2:$A$9,DePara_Categoria!$B$2:$B$9,"REVISAR"))</f>
        <v>Cinema</v>
      </c>
      <c r="F27" s="4" t="str">
        <f aca="false">IF($A27="","",_xlfn.XLOOKUP(LOWER(TRIM(Base_Bruta!F27)),DePara_Cidade!$A$2:$A$29,DePara_Cidade!$B$2:$B$29,"REVISAR"))</f>
        <v>São Paulo</v>
      </c>
      <c r="G27" s="4" t="str">
        <f aca="false">IF($A27="","",TRIM(Base_Bruta!G27))</f>
        <v>Inteira</v>
      </c>
      <c r="H27" s="4" t="n">
        <f aca="false">IF($A27="","",IF(ISNUMBER(Base_Bruta!H27),Base_Bruta!H27,IFERROR(_xlfn.NUMBERVALUE(TRIM(SUBSTITUTE(Base_Bruta!H27,"R$","")),",","."),0)))</f>
        <v>2</v>
      </c>
      <c r="I27" s="6" t="n">
        <f aca="false">IF($A27="","",IF(ISNUMBER(Base_Bruta!I27),Base_Bruta!I27,IFERROR(_xlfn.NUMBERVALUE(TRIM(SUBSTITUTE(Base_Bruta!I27,"R$","")),",","."),0)))</f>
        <v>45</v>
      </c>
      <c r="J27" s="6" t="n">
        <f aca="false">IF($A27="","",H27*I27)</f>
        <v>90</v>
      </c>
      <c r="K27" s="4" t="str">
        <f aca="false">IF($A27="","",TRIM(Base_Bruta!J27))</f>
        <v>Site</v>
      </c>
      <c r="L27" s="4" t="str">
        <f aca="false">IF($A27="","",TRIM(Base_Bruta!K27))</f>
        <v>C02410</v>
      </c>
      <c r="M27" s="4" t="str">
        <f aca="false">IF($A27="","",_xlfn.XLOOKUP(LOWER(TRIM(Base_Bruta!L27)),DePara_Cidade!$A$2:$A$29,DePara_Cidade!$B$2:$B$29,"REVISAR"))</f>
        <v>São Paulo</v>
      </c>
      <c r="N27" s="4" t="str">
        <f aca="false">IF($A27="","",UPPER(TRIM(Base_Bruta!M27)))</f>
        <v>SP</v>
      </c>
      <c r="O27" s="4" t="str">
        <f aca="false">IF($A27="","",_xlfn.XLOOKUP(LOWER(TRIM(Base_Bruta!N27)),DePara_Pais!$A$2:$A$9,DePara_Pais!$B$2:$B$9,"REVISAR"))</f>
        <v>Brasil</v>
      </c>
      <c r="P27" s="4" t="str">
        <f aca="false">IF($A27="","",IF(O27&lt;&gt;"Brasil","Turista Internacional",IF(M27=F27,"Local","Turista Nacional")))</f>
        <v>Local</v>
      </c>
      <c r="Q27" s="7" t="n">
        <f aca="false">IF($A27="","",DATE(YEAR(B27),MONTH(B27),1))</f>
        <v>45689</v>
      </c>
      <c r="R27" s="4" t="str">
        <f aca="false">IF($A27="","",IF(COUNTIF($A$2:$A27,$A27)&gt;1,"Sim","Não"))</f>
        <v>Não</v>
      </c>
      <c r="S27" s="4" t="str">
        <f aca="false">IF(A27="","Descartar - Linha vazia",IF(R27="Sim","Descartar - Duplicado",IF(OR(H27&lt;=0,I27&lt;=0),"Descartar - Qtd/Valor inválido","OK")))</f>
        <v>OK</v>
      </c>
      <c r="T27" s="4" t="str">
        <f aca="false">Base_Bruta!P27</f>
        <v>vendas_SP.xlsx</v>
      </c>
    </row>
    <row r="28" customFormat="false" ht="15" hidden="false" customHeight="false" outlineLevel="0" collapsed="false">
      <c r="A28" s="4" t="str">
        <f aca="false">IF(Base_Bruta!A28="","",Base_Bruta!A28)</f>
        <v>SP-000743</v>
      </c>
      <c r="B28" s="5" t="n">
        <f aca="false">IF($A28="","",IF(ISNUMBER(Base_Bruta!B28),Base_Bruta!B28,IF(MID(Base_Bruta!B28,5,1)="-",DATE(VALUE(LEFT(Base_Bruta!B28,4)),VALUE(MID(Base_Bruta!B28,6,2)),VALUE(RIGHT(Base_Bruta!B28,2))),DATE(VALUE(RIGHT(Base_Bruta!B28,4)),VALUE(MID(Base_Bruta!B28,4,2)),VALUE(LEFT(Base_Bruta!B28,2))))))</f>
        <v>45708</v>
      </c>
      <c r="C28" s="5" t="n">
        <f aca="false">IF($A28="","",IF(ISNUMBER(Base_Bruta!C28),Base_Bruta!C28,IF(MID(Base_Bruta!C28,5,1)="-",DATE(VALUE(LEFT(Base_Bruta!C28,4)),VALUE(MID(Base_Bruta!C28,6,2)),VALUE(RIGHT(Base_Bruta!C28,2))),DATE(VALUE(RIGHT(Base_Bruta!C28,4)),VALUE(MID(Base_Bruta!C28,4,2)),VALUE(LEFT(Base_Bruta!C28,2))))))</f>
        <v>45711</v>
      </c>
      <c r="D28" s="4" t="str">
        <f aca="false">IF($A28="","",TRIM(Base_Bruta!D28))</f>
        <v>Cinema Paulista - Sessões</v>
      </c>
      <c r="E28" s="4" t="str">
        <f aca="false">IF($A28="","",_xlfn.XLOOKUP(LOWER(TRIM(Base_Bruta!E28)),DePara_Categoria!$A$2:$A$9,DePara_Categoria!$B$2:$B$9,"REVISAR"))</f>
        <v>Cinema</v>
      </c>
      <c r="F28" s="4" t="str">
        <f aca="false">IF($A28="","",_xlfn.XLOOKUP(LOWER(TRIM(Base_Bruta!F28)),DePara_Cidade!$A$2:$A$29,DePara_Cidade!$B$2:$B$29,"REVISAR"))</f>
        <v>São Paulo</v>
      </c>
      <c r="G28" s="4" t="str">
        <f aca="false">IF($A28="","",TRIM(Base_Bruta!G28))</f>
        <v>Inteira</v>
      </c>
      <c r="H28" s="4" t="n">
        <f aca="false">IF($A28="","",IF(ISNUMBER(Base_Bruta!H28),Base_Bruta!H28,IFERROR(_xlfn.NUMBERVALUE(TRIM(SUBSTITUTE(Base_Bruta!H28,"R$","")),",","."),0)))</f>
        <v>1</v>
      </c>
      <c r="I28" s="6" t="n">
        <f aca="false">IF($A28="","",IF(ISNUMBER(Base_Bruta!I28),Base_Bruta!I28,IFERROR(_xlfn.NUMBERVALUE(TRIM(SUBSTITUTE(Base_Bruta!I28,"R$","")),",","."),0)))</f>
        <v>35</v>
      </c>
      <c r="J28" s="6" t="n">
        <f aca="false">IF($A28="","",H28*I28)</f>
        <v>35</v>
      </c>
      <c r="K28" s="4" t="str">
        <f aca="false">IF($A28="","",TRIM(Base_Bruta!J28))</f>
        <v>Site</v>
      </c>
      <c r="L28" s="4" t="str">
        <f aca="false">IF($A28="","",TRIM(Base_Bruta!K28))</f>
        <v>C01939</v>
      </c>
      <c r="M28" s="4" t="str">
        <f aca="false">IF($A28="","",_xlfn.XLOOKUP(LOWER(TRIM(Base_Bruta!L28)),DePara_Cidade!$A$2:$A$29,DePara_Cidade!$B$2:$B$29,"REVISAR"))</f>
        <v>São Paulo</v>
      </c>
      <c r="N28" s="4" t="str">
        <f aca="false">IF($A28="","",UPPER(TRIM(Base_Bruta!M28)))</f>
        <v>SP</v>
      </c>
      <c r="O28" s="4" t="str">
        <f aca="false">IF($A28="","",_xlfn.XLOOKUP(LOWER(TRIM(Base_Bruta!N28)),DePara_Pais!$A$2:$A$9,DePara_Pais!$B$2:$B$9,"REVISAR"))</f>
        <v>Brasil</v>
      </c>
      <c r="P28" s="4" t="str">
        <f aca="false">IF($A28="","",IF(O28&lt;&gt;"Brasil","Turista Internacional",IF(M28=F28,"Local","Turista Nacional")))</f>
        <v>Local</v>
      </c>
      <c r="Q28" s="7" t="n">
        <f aca="false">IF($A28="","",DATE(YEAR(B28),MONTH(B28),1))</f>
        <v>45689</v>
      </c>
      <c r="R28" s="4" t="str">
        <f aca="false">IF($A28="","",IF(COUNTIF($A$2:$A28,$A28)&gt;1,"Sim","Não"))</f>
        <v>Não</v>
      </c>
      <c r="S28" s="4" t="str">
        <f aca="false">IF(A28="","Descartar - Linha vazia",IF(R28="Sim","Descartar - Duplicado",IF(OR(H28&lt;=0,I28&lt;=0),"Descartar - Qtd/Valor inválido","OK")))</f>
        <v>OK</v>
      </c>
      <c r="T28" s="4" t="str">
        <f aca="false">Base_Bruta!P28</f>
        <v>vendas_SP.xlsx</v>
      </c>
    </row>
    <row r="29" customFormat="false" ht="15" hidden="false" customHeight="false" outlineLevel="0" collapsed="false">
      <c r="A29" s="4" t="str">
        <f aca="false">IF(Base_Bruta!A29="","",Base_Bruta!A29)</f>
        <v>SP-000615</v>
      </c>
      <c r="B29" s="5" t="n">
        <f aca="false">IF($A29="","",IF(ISNUMBER(Base_Bruta!B29),Base_Bruta!B29,IF(MID(Base_Bruta!B29,5,1)="-",DATE(VALUE(LEFT(Base_Bruta!B29,4)),VALUE(MID(Base_Bruta!B29,6,2)),VALUE(RIGHT(Base_Bruta!B29,2))),DATE(VALUE(RIGHT(Base_Bruta!B29,4)),VALUE(MID(Base_Bruta!B29,4,2)),VALUE(LEFT(Base_Bruta!B29,2))))))</f>
        <v>45716</v>
      </c>
      <c r="C29" s="5" t="n">
        <f aca="false">IF($A29="","",IF(ISNUMBER(Base_Bruta!C29),Base_Bruta!C29,IF(MID(Base_Bruta!C29,5,1)="-",DATE(VALUE(LEFT(Base_Bruta!C29,4)),VALUE(MID(Base_Bruta!C29,6,2)),VALUE(RIGHT(Base_Bruta!C29,2))),DATE(VALUE(RIGHT(Base_Bruta!C29,4)),VALUE(MID(Base_Bruta!C29,4,2)),VALUE(LEFT(Base_Bruta!C29,2))))))</f>
        <v>45718</v>
      </c>
      <c r="D29" s="4" t="str">
        <f aca="false">IF($A29="","",TRIM(Base_Bruta!D29))</f>
        <v>Cinema Paulista - Sessões</v>
      </c>
      <c r="E29" s="4" t="str">
        <f aca="false">IF($A29="","",_xlfn.XLOOKUP(LOWER(TRIM(Base_Bruta!E29)),DePara_Categoria!$A$2:$A$9,DePara_Categoria!$B$2:$B$9,"REVISAR"))</f>
        <v>Cinema</v>
      </c>
      <c r="F29" s="4" t="str">
        <f aca="false">IF($A29="","",_xlfn.XLOOKUP(LOWER(TRIM(Base_Bruta!F29)),DePara_Cidade!$A$2:$A$29,DePara_Cidade!$B$2:$B$29,"REVISAR"))</f>
        <v>São Paulo</v>
      </c>
      <c r="G29" s="4" t="str">
        <f aca="false">IF($A29="","",TRIM(Base_Bruta!G29))</f>
        <v>Inteira</v>
      </c>
      <c r="H29" s="4" t="n">
        <f aca="false">IF($A29="","",IF(ISNUMBER(Base_Bruta!H29),Base_Bruta!H29,IFERROR(_xlfn.NUMBERVALUE(TRIM(SUBSTITUTE(Base_Bruta!H29,"R$","")),",","."),0)))</f>
        <v>2</v>
      </c>
      <c r="I29" s="6" t="n">
        <f aca="false">IF($A29="","",IF(ISNUMBER(Base_Bruta!I29),Base_Bruta!I29,IFERROR(_xlfn.NUMBERVALUE(TRIM(SUBSTITUTE(Base_Bruta!I29,"R$","")),",","."),0)))</f>
        <v>50</v>
      </c>
      <c r="J29" s="6" t="n">
        <f aca="false">IF($A29="","",H29*I29)</f>
        <v>100</v>
      </c>
      <c r="K29" s="4" t="str">
        <f aca="false">IF($A29="","",TRIM(Base_Bruta!J29))</f>
        <v>Site</v>
      </c>
      <c r="L29" s="4" t="str">
        <f aca="false">IF($A29="","",TRIM(Base_Bruta!K29))</f>
        <v>C00719</v>
      </c>
      <c r="M29" s="4" t="str">
        <f aca="false">IF($A29="","",_xlfn.XLOOKUP(LOWER(TRIM(Base_Bruta!L29)),DePara_Cidade!$A$2:$A$29,DePara_Cidade!$B$2:$B$29,"REVISAR"))</f>
        <v>São Paulo</v>
      </c>
      <c r="N29" s="4" t="str">
        <f aca="false">IF($A29="","",UPPER(TRIM(Base_Bruta!M29)))</f>
        <v>SP</v>
      </c>
      <c r="O29" s="4" t="str">
        <f aca="false">IF($A29="","",_xlfn.XLOOKUP(LOWER(TRIM(Base_Bruta!N29)),DePara_Pais!$A$2:$A$9,DePara_Pais!$B$2:$B$9,"REVISAR"))</f>
        <v>Brasil</v>
      </c>
      <c r="P29" s="4" t="str">
        <f aca="false">IF($A29="","",IF(O29&lt;&gt;"Brasil","Turista Internacional",IF(M29=F29,"Local","Turista Nacional")))</f>
        <v>Local</v>
      </c>
      <c r="Q29" s="7" t="n">
        <f aca="false">IF($A29="","",DATE(YEAR(B29),MONTH(B29),1))</f>
        <v>45689</v>
      </c>
      <c r="R29" s="4" t="str">
        <f aca="false">IF($A29="","",IF(COUNTIF($A$2:$A29,$A29)&gt;1,"Sim","Não"))</f>
        <v>Não</v>
      </c>
      <c r="S29" s="4" t="str">
        <f aca="false">IF(A29="","Descartar - Linha vazia",IF(R29="Sim","Descartar - Duplicado",IF(OR(H29&lt;=0,I29&lt;=0),"Descartar - Qtd/Valor inválido","OK")))</f>
        <v>OK</v>
      </c>
      <c r="T29" s="4" t="str">
        <f aca="false">Base_Bruta!P29</f>
        <v>vendas_SP.xlsx</v>
      </c>
    </row>
    <row r="30" customFormat="false" ht="15" hidden="false" customHeight="false" outlineLevel="0" collapsed="false">
      <c r="A30" s="4" t="str">
        <f aca="false">IF(Base_Bruta!A30="","",Base_Bruta!A30)</f>
        <v>SP-000745</v>
      </c>
      <c r="B30" s="5" t="n">
        <f aca="false">IF($A30="","",IF(ISNUMBER(Base_Bruta!B30),Base_Bruta!B30,IF(MID(Base_Bruta!B30,5,1)="-",DATE(VALUE(LEFT(Base_Bruta!B30,4)),VALUE(MID(Base_Bruta!B30,6,2)),VALUE(RIGHT(Base_Bruta!B30,2))),DATE(VALUE(RIGHT(Base_Bruta!B30,4)),VALUE(MID(Base_Bruta!B30,4,2)),VALUE(LEFT(Base_Bruta!B30,2))))))</f>
        <v>45720</v>
      </c>
      <c r="C30" s="5" t="n">
        <f aca="false">IF($A30="","",IF(ISNUMBER(Base_Bruta!C30),Base_Bruta!C30,IF(MID(Base_Bruta!C30,5,1)="-",DATE(VALUE(LEFT(Base_Bruta!C30,4)),VALUE(MID(Base_Bruta!C30,6,2)),VALUE(RIGHT(Base_Bruta!C30,2))),DATE(VALUE(RIGHT(Base_Bruta!C30,4)),VALUE(MID(Base_Bruta!C30,4,2)),VALUE(LEFT(Base_Bruta!C30,2))))))</f>
        <v>45723</v>
      </c>
      <c r="D30" s="4" t="str">
        <f aca="false">IF($A30="","",TRIM(Base_Bruta!D30))</f>
        <v>Cinema Paulista - Sessões</v>
      </c>
      <c r="E30" s="4" t="str">
        <f aca="false">IF($A30="","",_xlfn.XLOOKUP(LOWER(TRIM(Base_Bruta!E30)),DePara_Categoria!$A$2:$A$9,DePara_Categoria!$B$2:$B$9,"REVISAR"))</f>
        <v>Cinema</v>
      </c>
      <c r="F30" s="4" t="str">
        <f aca="false">IF($A30="","",_xlfn.XLOOKUP(LOWER(TRIM(Base_Bruta!F30)),DePara_Cidade!$A$2:$A$29,DePara_Cidade!$B$2:$B$29,"REVISAR"))</f>
        <v>São Paulo</v>
      </c>
      <c r="G30" s="4" t="str">
        <f aca="false">IF($A30="","",TRIM(Base_Bruta!G30))</f>
        <v>Meia</v>
      </c>
      <c r="H30" s="4" t="n">
        <f aca="false">IF($A30="","",IF(ISNUMBER(Base_Bruta!H30),Base_Bruta!H30,IFERROR(_xlfn.NUMBERVALUE(TRIM(SUBSTITUTE(Base_Bruta!H30,"R$","")),",","."),0)))</f>
        <v>1</v>
      </c>
      <c r="I30" s="6" t="n">
        <f aca="false">IF($A30="","",IF(ISNUMBER(Base_Bruta!I30),Base_Bruta!I30,IFERROR(_xlfn.NUMBERVALUE(TRIM(SUBSTITUTE(Base_Bruta!I30,"R$","")),",","."),0)))</f>
        <v>17.5</v>
      </c>
      <c r="J30" s="6" t="n">
        <f aca="false">IF($A30="","",H30*I30)</f>
        <v>17.5</v>
      </c>
      <c r="K30" s="4" t="str">
        <f aca="false">IF($A30="","",TRIM(Base_Bruta!J30))</f>
        <v>Site</v>
      </c>
      <c r="L30" s="4" t="str">
        <f aca="false">IF($A30="","",TRIM(Base_Bruta!K30))</f>
        <v>C00800</v>
      </c>
      <c r="M30" s="4" t="str">
        <f aca="false">IF($A30="","",_xlfn.XLOOKUP(LOWER(TRIM(Base_Bruta!L30)),DePara_Cidade!$A$2:$A$29,DePara_Cidade!$B$2:$B$29,"REVISAR"))</f>
        <v>São Paulo</v>
      </c>
      <c r="N30" s="4" t="str">
        <f aca="false">IF($A30="","",UPPER(TRIM(Base_Bruta!M30)))</f>
        <v>SP</v>
      </c>
      <c r="O30" s="4" t="str">
        <f aca="false">IF($A30="","",_xlfn.XLOOKUP(LOWER(TRIM(Base_Bruta!N30)),DePara_Pais!$A$2:$A$9,DePara_Pais!$B$2:$B$9,"REVISAR"))</f>
        <v>Brasil</v>
      </c>
      <c r="P30" s="4" t="str">
        <f aca="false">IF($A30="","",IF(O30&lt;&gt;"Brasil","Turista Internacional",IF(M30=F30,"Local","Turista Nacional")))</f>
        <v>Local</v>
      </c>
      <c r="Q30" s="7" t="n">
        <f aca="false">IF($A30="","",DATE(YEAR(B30),MONTH(B30),1))</f>
        <v>45717</v>
      </c>
      <c r="R30" s="4" t="str">
        <f aca="false">IF($A30="","",IF(COUNTIF($A$2:$A30,$A30)&gt;1,"Sim","Não"))</f>
        <v>Não</v>
      </c>
      <c r="S30" s="4" t="str">
        <f aca="false">IF(A30="","Descartar - Linha vazia",IF(R30="Sim","Descartar - Duplicado",IF(OR(H30&lt;=0,I30&lt;=0),"Descartar - Qtd/Valor inválido","OK")))</f>
        <v>OK</v>
      </c>
      <c r="T30" s="4" t="str">
        <f aca="false">Base_Bruta!P30</f>
        <v>vendas_SP.xlsx</v>
      </c>
    </row>
    <row r="31" customFormat="false" ht="15" hidden="false" customHeight="false" outlineLevel="0" collapsed="false">
      <c r="A31" s="4" t="str">
        <f aca="false">IF(Base_Bruta!A31="","",Base_Bruta!A31)</f>
        <v>SP-000668</v>
      </c>
      <c r="B31" s="5" t="n">
        <f aca="false">IF($A31="","",IF(ISNUMBER(Base_Bruta!B31),Base_Bruta!B31,IF(MID(Base_Bruta!B31,5,1)="-",DATE(VALUE(LEFT(Base_Bruta!B31,4)),VALUE(MID(Base_Bruta!B31,6,2)),VALUE(RIGHT(Base_Bruta!B31,2))),DATE(VALUE(RIGHT(Base_Bruta!B31,4)),VALUE(MID(Base_Bruta!B31,4,2)),VALUE(LEFT(Base_Bruta!B31,2))))))</f>
        <v>45722</v>
      </c>
      <c r="C31" s="5" t="n">
        <f aca="false">IF($A31="","",IF(ISNUMBER(Base_Bruta!C31),Base_Bruta!C31,IF(MID(Base_Bruta!C31,5,1)="-",DATE(VALUE(LEFT(Base_Bruta!C31,4)),VALUE(MID(Base_Bruta!C31,6,2)),VALUE(RIGHT(Base_Bruta!C31,2))),DATE(VALUE(RIGHT(Base_Bruta!C31,4)),VALUE(MID(Base_Bruta!C31,4,2)),VALUE(LEFT(Base_Bruta!C31,2))))))</f>
        <v>45722</v>
      </c>
      <c r="D31" s="4" t="str">
        <f aca="false">IF($A31="","",TRIM(Base_Bruta!D31))</f>
        <v>Cinema Paulista - Sessões</v>
      </c>
      <c r="E31" s="4" t="str">
        <f aca="false">IF($A31="","",_xlfn.XLOOKUP(LOWER(TRIM(Base_Bruta!E31)),DePara_Categoria!$A$2:$A$9,DePara_Categoria!$B$2:$B$9,"REVISAR"))</f>
        <v>Cinema</v>
      </c>
      <c r="F31" s="4" t="str">
        <f aca="false">IF($A31="","",_xlfn.XLOOKUP(LOWER(TRIM(Base_Bruta!F31)),DePara_Cidade!$A$2:$A$29,DePara_Cidade!$B$2:$B$29,"REVISAR"))</f>
        <v>São Paulo</v>
      </c>
      <c r="G31" s="4" t="str">
        <f aca="false">IF($A31="","",TRIM(Base_Bruta!G31))</f>
        <v>Inteira</v>
      </c>
      <c r="H31" s="4" t="n">
        <f aca="false">IF($A31="","",IF(ISNUMBER(Base_Bruta!H31),Base_Bruta!H31,IFERROR(_xlfn.NUMBERVALUE(TRIM(SUBSTITUTE(Base_Bruta!H31,"R$","")),",","."),0)))</f>
        <v>2</v>
      </c>
      <c r="I31" s="6" t="n">
        <f aca="false">IF($A31="","",IF(ISNUMBER(Base_Bruta!I31),Base_Bruta!I31,IFERROR(_xlfn.NUMBERVALUE(TRIM(SUBSTITUTE(Base_Bruta!I31,"R$","")),",","."),0)))</f>
        <v>40</v>
      </c>
      <c r="J31" s="6" t="n">
        <f aca="false">IF($A31="","",H31*I31)</f>
        <v>80</v>
      </c>
      <c r="K31" s="4" t="str">
        <f aca="false">IF($A31="","",TRIM(Base_Bruta!J31))</f>
        <v>Site</v>
      </c>
      <c r="L31" s="4" t="str">
        <f aca="false">IF($A31="","",TRIM(Base_Bruta!K31))</f>
        <v>C02308</v>
      </c>
      <c r="M31" s="4" t="str">
        <f aca="false">IF($A31="","",_xlfn.XLOOKUP(LOWER(TRIM(Base_Bruta!L31)),DePara_Cidade!$A$2:$A$29,DePara_Cidade!$B$2:$B$29,"REVISAR"))</f>
        <v>São Paulo</v>
      </c>
      <c r="N31" s="4" t="str">
        <f aca="false">IF($A31="","",UPPER(TRIM(Base_Bruta!M31)))</f>
        <v>SP</v>
      </c>
      <c r="O31" s="4" t="str">
        <f aca="false">IF($A31="","",_xlfn.XLOOKUP(LOWER(TRIM(Base_Bruta!N31)),DePara_Pais!$A$2:$A$9,DePara_Pais!$B$2:$B$9,"REVISAR"))</f>
        <v>Brasil</v>
      </c>
      <c r="P31" s="4" t="str">
        <f aca="false">IF($A31="","",IF(O31&lt;&gt;"Brasil","Turista Internacional",IF(M31=F31,"Local","Turista Nacional")))</f>
        <v>Local</v>
      </c>
      <c r="Q31" s="7" t="n">
        <f aca="false">IF($A31="","",DATE(YEAR(B31),MONTH(B31),1))</f>
        <v>45717</v>
      </c>
      <c r="R31" s="4" t="str">
        <f aca="false">IF($A31="","",IF(COUNTIF($A$2:$A31,$A31)&gt;1,"Sim","Não"))</f>
        <v>Não</v>
      </c>
      <c r="S31" s="4" t="str">
        <f aca="false">IF(A31="","Descartar - Linha vazia",IF(R31="Sim","Descartar - Duplicado",IF(OR(H31&lt;=0,I31&lt;=0),"Descartar - Qtd/Valor inválido","OK")))</f>
        <v>OK</v>
      </c>
      <c r="T31" s="4" t="str">
        <f aca="false">Base_Bruta!P31</f>
        <v>vendas_SP.xlsx</v>
      </c>
    </row>
    <row r="32" customFormat="false" ht="15" hidden="false" customHeight="false" outlineLevel="0" collapsed="false">
      <c r="A32" s="4" t="str">
        <f aca="false">IF(Base_Bruta!A32="","",Base_Bruta!A32)</f>
        <v>SP-000705</v>
      </c>
      <c r="B32" s="5" t="n">
        <f aca="false">IF($A32="","",IF(ISNUMBER(Base_Bruta!B32),Base_Bruta!B32,IF(MID(Base_Bruta!B32,5,1)="-",DATE(VALUE(LEFT(Base_Bruta!B32,4)),VALUE(MID(Base_Bruta!B32,6,2)),VALUE(RIGHT(Base_Bruta!B32,2))),DATE(VALUE(RIGHT(Base_Bruta!B32,4)),VALUE(MID(Base_Bruta!B32,4,2)),VALUE(LEFT(Base_Bruta!B32,2))))))</f>
        <v>45724</v>
      </c>
      <c r="C32" s="5" t="n">
        <f aca="false">IF($A32="","",IF(ISNUMBER(Base_Bruta!C32),Base_Bruta!C32,IF(MID(Base_Bruta!C32,5,1)="-",DATE(VALUE(LEFT(Base_Bruta!C32,4)),VALUE(MID(Base_Bruta!C32,6,2)),VALUE(RIGHT(Base_Bruta!C32,2))),DATE(VALUE(RIGHT(Base_Bruta!C32,4)),VALUE(MID(Base_Bruta!C32,4,2)),VALUE(LEFT(Base_Bruta!C32,2))))))</f>
        <v>45726</v>
      </c>
      <c r="D32" s="4" t="str">
        <f aca="false">IF($A32="","",TRIM(Base_Bruta!D32))</f>
        <v>Cinema Paulista - Sessões</v>
      </c>
      <c r="E32" s="4" t="str">
        <f aca="false">IF($A32="","",_xlfn.XLOOKUP(LOWER(TRIM(Base_Bruta!E32)),DePara_Categoria!$A$2:$A$9,DePara_Categoria!$B$2:$B$9,"REVISAR"))</f>
        <v>Cinema</v>
      </c>
      <c r="F32" s="4" t="str">
        <f aca="false">IF($A32="","",_xlfn.XLOOKUP(LOWER(TRIM(Base_Bruta!F32)),DePara_Cidade!$A$2:$A$29,DePara_Cidade!$B$2:$B$29,"REVISAR"))</f>
        <v>São Paulo</v>
      </c>
      <c r="G32" s="4" t="str">
        <f aca="false">IF($A32="","",TRIM(Base_Bruta!G32))</f>
        <v>Inteira</v>
      </c>
      <c r="H32" s="4" t="n">
        <f aca="false">IF($A32="","",IF(ISNUMBER(Base_Bruta!H32),Base_Bruta!H32,IFERROR(_xlfn.NUMBERVALUE(TRIM(SUBSTITUTE(Base_Bruta!H32,"R$","")),",","."),0)))</f>
        <v>1</v>
      </c>
      <c r="I32" s="6" t="n">
        <f aca="false">IF($A32="","",IF(ISNUMBER(Base_Bruta!I32),Base_Bruta!I32,IFERROR(_xlfn.NUMBERVALUE(TRIM(SUBSTITUTE(Base_Bruta!I32,"R$","")),",","."),0)))</f>
        <v>35</v>
      </c>
      <c r="J32" s="6" t="n">
        <f aca="false">IF($A32="","",H32*I32)</f>
        <v>35</v>
      </c>
      <c r="K32" s="4" t="str">
        <f aca="false">IF($A32="","",TRIM(Base_Bruta!J32))</f>
        <v>App</v>
      </c>
      <c r="L32" s="4" t="str">
        <f aca="false">IF($A32="","",TRIM(Base_Bruta!K32))</f>
        <v>C02130</v>
      </c>
      <c r="M32" s="4" t="str">
        <f aca="false">IF($A32="","",_xlfn.XLOOKUP(LOWER(TRIM(Base_Bruta!L32)),DePara_Cidade!$A$2:$A$29,DePara_Cidade!$B$2:$B$29,"REVISAR"))</f>
        <v>São Paulo</v>
      </c>
      <c r="N32" s="4" t="str">
        <f aca="false">IF($A32="","",UPPER(TRIM(Base_Bruta!M32)))</f>
        <v>SP</v>
      </c>
      <c r="O32" s="4" t="str">
        <f aca="false">IF($A32="","",_xlfn.XLOOKUP(LOWER(TRIM(Base_Bruta!N32)),DePara_Pais!$A$2:$A$9,DePara_Pais!$B$2:$B$9,"REVISAR"))</f>
        <v>Brasil</v>
      </c>
      <c r="P32" s="4" t="str">
        <f aca="false">IF($A32="","",IF(O32&lt;&gt;"Brasil","Turista Internacional",IF(M32=F32,"Local","Turista Nacional")))</f>
        <v>Local</v>
      </c>
      <c r="Q32" s="7" t="n">
        <f aca="false">IF($A32="","",DATE(YEAR(B32),MONTH(B32),1))</f>
        <v>45717</v>
      </c>
      <c r="R32" s="4" t="str">
        <f aca="false">IF($A32="","",IF(COUNTIF($A$2:$A32,$A32)&gt;1,"Sim","Não"))</f>
        <v>Não</v>
      </c>
      <c r="S32" s="4" t="str">
        <f aca="false">IF(A32="","Descartar - Linha vazia",IF(R32="Sim","Descartar - Duplicado",IF(OR(H32&lt;=0,I32&lt;=0),"Descartar - Qtd/Valor inválido","OK")))</f>
        <v>OK</v>
      </c>
      <c r="T32" s="4" t="str">
        <f aca="false">Base_Bruta!P32</f>
        <v>vendas_SP.xlsx</v>
      </c>
    </row>
    <row r="33" customFormat="false" ht="15" hidden="false" customHeight="false" outlineLevel="0" collapsed="false">
      <c r="A33" s="4" t="str">
        <f aca="false">IF(Base_Bruta!A33="","",Base_Bruta!A33)</f>
        <v>SP-000759</v>
      </c>
      <c r="B33" s="5" t="n">
        <f aca="false">IF($A33="","",IF(ISNUMBER(Base_Bruta!B33),Base_Bruta!B33,IF(MID(Base_Bruta!B33,5,1)="-",DATE(VALUE(LEFT(Base_Bruta!B33,4)),VALUE(MID(Base_Bruta!B33,6,2)),VALUE(RIGHT(Base_Bruta!B33,2))),DATE(VALUE(RIGHT(Base_Bruta!B33,4)),VALUE(MID(Base_Bruta!B33,4,2)),VALUE(LEFT(Base_Bruta!B33,2))))))</f>
        <v>45725</v>
      </c>
      <c r="C33" s="5" t="n">
        <f aca="false">IF($A33="","",IF(ISNUMBER(Base_Bruta!C33),Base_Bruta!C33,IF(MID(Base_Bruta!C33,5,1)="-",DATE(VALUE(LEFT(Base_Bruta!C33,4)),VALUE(MID(Base_Bruta!C33,6,2)),VALUE(RIGHT(Base_Bruta!C33,2))),DATE(VALUE(RIGHT(Base_Bruta!C33,4)),VALUE(MID(Base_Bruta!C33,4,2)),VALUE(LEFT(Base_Bruta!C33,2))))))</f>
        <v>45725</v>
      </c>
      <c r="D33" s="4" t="str">
        <f aca="false">IF($A33="","",TRIM(Base_Bruta!D33))</f>
        <v>Cinema Paulista - Sessões</v>
      </c>
      <c r="E33" s="4" t="str">
        <f aca="false">IF($A33="","",_xlfn.XLOOKUP(LOWER(TRIM(Base_Bruta!E33)),DePara_Categoria!$A$2:$A$9,DePara_Categoria!$B$2:$B$9,"REVISAR"))</f>
        <v>Cinema</v>
      </c>
      <c r="F33" s="4" t="str">
        <f aca="false">IF($A33="","",_xlfn.XLOOKUP(LOWER(TRIM(Base_Bruta!F33)),DePara_Cidade!$A$2:$A$29,DePara_Cidade!$B$2:$B$29,"REVISAR"))</f>
        <v>São Paulo</v>
      </c>
      <c r="G33" s="4" t="str">
        <f aca="false">IF($A33="","",TRIM(Base_Bruta!G33))</f>
        <v>Meia</v>
      </c>
      <c r="H33" s="4" t="n">
        <f aca="false">IF($A33="","",IF(ISNUMBER(Base_Bruta!H33),Base_Bruta!H33,IFERROR(_xlfn.NUMBERVALUE(TRIM(SUBSTITUTE(Base_Bruta!H33,"R$","")),",","."),0)))</f>
        <v>1</v>
      </c>
      <c r="I33" s="6" t="n">
        <f aca="false">IF($A33="","",IF(ISNUMBER(Base_Bruta!I33),Base_Bruta!I33,IFERROR(_xlfn.NUMBERVALUE(TRIM(SUBSTITUTE(Base_Bruta!I33,"R$","")),",","."),0)))</f>
        <v>22.5</v>
      </c>
      <c r="J33" s="6" t="n">
        <f aca="false">IF($A33="","",H33*I33)</f>
        <v>22.5</v>
      </c>
      <c r="K33" s="4" t="str">
        <f aca="false">IF($A33="","",TRIM(Base_Bruta!J33))</f>
        <v>Parceiro</v>
      </c>
      <c r="L33" s="4" t="str">
        <f aca="false">IF($A33="","",TRIM(Base_Bruta!K33))</f>
        <v>C01093</v>
      </c>
      <c r="M33" s="4" t="str">
        <f aca="false">IF($A33="","",_xlfn.XLOOKUP(LOWER(TRIM(Base_Bruta!L33)),DePara_Cidade!$A$2:$A$29,DePara_Cidade!$B$2:$B$29,"REVISAR"))</f>
        <v>São Paulo</v>
      </c>
      <c r="N33" s="4" t="str">
        <f aca="false">IF($A33="","",UPPER(TRIM(Base_Bruta!M33)))</f>
        <v>SP</v>
      </c>
      <c r="O33" s="4" t="str">
        <f aca="false">IF($A33="","",_xlfn.XLOOKUP(LOWER(TRIM(Base_Bruta!N33)),DePara_Pais!$A$2:$A$9,DePara_Pais!$B$2:$B$9,"REVISAR"))</f>
        <v>Brasil</v>
      </c>
      <c r="P33" s="4" t="str">
        <f aca="false">IF($A33="","",IF(O33&lt;&gt;"Brasil","Turista Internacional",IF(M33=F33,"Local","Turista Nacional")))</f>
        <v>Local</v>
      </c>
      <c r="Q33" s="7" t="n">
        <f aca="false">IF($A33="","",DATE(YEAR(B33),MONTH(B33),1))</f>
        <v>45717</v>
      </c>
      <c r="R33" s="4" t="str">
        <f aca="false">IF($A33="","",IF(COUNTIF($A$2:$A33,$A33)&gt;1,"Sim","Não"))</f>
        <v>Não</v>
      </c>
      <c r="S33" s="4" t="str">
        <f aca="false">IF(A33="","Descartar - Linha vazia",IF(R33="Sim","Descartar - Duplicado",IF(OR(H33&lt;=0,I33&lt;=0),"Descartar - Qtd/Valor inválido","OK")))</f>
        <v>OK</v>
      </c>
      <c r="T33" s="4" t="str">
        <f aca="false">Base_Bruta!P33</f>
        <v>vendas_SP.xlsx</v>
      </c>
    </row>
    <row r="34" customFormat="false" ht="15" hidden="false" customHeight="false" outlineLevel="0" collapsed="false">
      <c r="A34" s="4" t="str">
        <f aca="false">IF(Base_Bruta!A34="","",Base_Bruta!A34)</f>
        <v>SP-000696</v>
      </c>
      <c r="B34" s="5" t="n">
        <f aca="false">IF($A34="","",IF(ISNUMBER(Base_Bruta!B34),Base_Bruta!B34,IF(MID(Base_Bruta!B34,5,1)="-",DATE(VALUE(LEFT(Base_Bruta!B34,4)),VALUE(MID(Base_Bruta!B34,6,2)),VALUE(RIGHT(Base_Bruta!B34,2))),DATE(VALUE(RIGHT(Base_Bruta!B34,4)),VALUE(MID(Base_Bruta!B34,4,2)),VALUE(LEFT(Base_Bruta!B34,2))))))</f>
        <v>45726</v>
      </c>
      <c r="C34" s="5" t="n">
        <f aca="false">IF($A34="","",IF(ISNUMBER(Base_Bruta!C34),Base_Bruta!C34,IF(MID(Base_Bruta!C34,5,1)="-",DATE(VALUE(LEFT(Base_Bruta!C34,4)),VALUE(MID(Base_Bruta!C34,6,2)),VALUE(RIGHT(Base_Bruta!C34,2))),DATE(VALUE(RIGHT(Base_Bruta!C34,4)),VALUE(MID(Base_Bruta!C34,4,2)),VALUE(LEFT(Base_Bruta!C34,2))))))</f>
        <v>45728</v>
      </c>
      <c r="D34" s="4" t="str">
        <f aca="false">IF($A34="","",TRIM(Base_Bruta!D34))</f>
        <v>Cinema Paulista - Sessões</v>
      </c>
      <c r="E34" s="4" t="str">
        <f aca="false">IF($A34="","",_xlfn.XLOOKUP(LOWER(TRIM(Base_Bruta!E34)),DePara_Categoria!$A$2:$A$9,DePara_Categoria!$B$2:$B$9,"REVISAR"))</f>
        <v>Cinema</v>
      </c>
      <c r="F34" s="4" t="str">
        <f aca="false">IF($A34="","",_xlfn.XLOOKUP(LOWER(TRIM(Base_Bruta!F34)),DePara_Cidade!$A$2:$A$29,DePara_Cidade!$B$2:$B$29,"REVISAR"))</f>
        <v>São Paulo</v>
      </c>
      <c r="G34" s="4" t="str">
        <f aca="false">IF($A34="","",TRIM(Base_Bruta!G34))</f>
        <v>Inteira</v>
      </c>
      <c r="H34" s="4" t="n">
        <f aca="false">IF($A34="","",IF(ISNUMBER(Base_Bruta!H34),Base_Bruta!H34,IFERROR(_xlfn.NUMBERVALUE(TRIM(SUBSTITUTE(Base_Bruta!H34,"R$","")),",","."),0)))</f>
        <v>4</v>
      </c>
      <c r="I34" s="6" t="n">
        <f aca="false">IF($A34="","",IF(ISNUMBER(Base_Bruta!I34),Base_Bruta!I34,IFERROR(_xlfn.NUMBERVALUE(TRIM(SUBSTITUTE(Base_Bruta!I34,"R$","")),",","."),0)))</f>
        <v>40</v>
      </c>
      <c r="J34" s="6" t="n">
        <f aca="false">IF($A34="","",H34*I34)</f>
        <v>160</v>
      </c>
      <c r="K34" s="4" t="str">
        <f aca="false">IF($A34="","",TRIM(Base_Bruta!J34))</f>
        <v>Site</v>
      </c>
      <c r="L34" s="4" t="str">
        <f aca="false">IF($A34="","",TRIM(Base_Bruta!K34))</f>
        <v>C01722</v>
      </c>
      <c r="M34" s="4" t="str">
        <f aca="false">IF($A34="","",_xlfn.XLOOKUP(LOWER(TRIM(Base_Bruta!L34)),DePara_Cidade!$A$2:$A$29,DePara_Cidade!$B$2:$B$29,"REVISAR"))</f>
        <v>São Paulo</v>
      </c>
      <c r="N34" s="4" t="str">
        <f aca="false">IF($A34="","",UPPER(TRIM(Base_Bruta!M34)))</f>
        <v>SP</v>
      </c>
      <c r="O34" s="4" t="str">
        <f aca="false">IF($A34="","",_xlfn.XLOOKUP(LOWER(TRIM(Base_Bruta!N34)),DePara_Pais!$A$2:$A$9,DePara_Pais!$B$2:$B$9,"REVISAR"))</f>
        <v>Brasil</v>
      </c>
      <c r="P34" s="4" t="str">
        <f aca="false">IF($A34="","",IF(O34&lt;&gt;"Brasil","Turista Internacional",IF(M34=F34,"Local","Turista Nacional")))</f>
        <v>Local</v>
      </c>
      <c r="Q34" s="7" t="n">
        <f aca="false">IF($A34="","",DATE(YEAR(B34),MONTH(B34),1))</f>
        <v>45717</v>
      </c>
      <c r="R34" s="4" t="str">
        <f aca="false">IF($A34="","",IF(COUNTIF($A$2:$A34,$A34)&gt;1,"Sim","Não"))</f>
        <v>Não</v>
      </c>
      <c r="S34" s="4" t="str">
        <f aca="false">IF(A34="","Descartar - Linha vazia",IF(R34="Sim","Descartar - Duplicado",IF(OR(H34&lt;=0,I34&lt;=0),"Descartar - Qtd/Valor inválido","OK")))</f>
        <v>OK</v>
      </c>
      <c r="T34" s="4" t="str">
        <f aca="false">Base_Bruta!P34</f>
        <v>vendas_SP.xlsx</v>
      </c>
    </row>
    <row r="35" customFormat="false" ht="15" hidden="false" customHeight="false" outlineLevel="0" collapsed="false">
      <c r="A35" s="4" t="str">
        <f aca="false">IF(Base_Bruta!A35="","",Base_Bruta!A35)</f>
        <v>SP-000761</v>
      </c>
      <c r="B35" s="5" t="n">
        <f aca="false">IF($A35="","",IF(ISNUMBER(Base_Bruta!B35),Base_Bruta!B35,IF(MID(Base_Bruta!B35,5,1)="-",DATE(VALUE(LEFT(Base_Bruta!B35,4)),VALUE(MID(Base_Bruta!B35,6,2)),VALUE(RIGHT(Base_Bruta!B35,2))),DATE(VALUE(RIGHT(Base_Bruta!B35,4)),VALUE(MID(Base_Bruta!B35,4,2)),VALUE(LEFT(Base_Bruta!B35,2))))))</f>
        <v>45726</v>
      </c>
      <c r="C35" s="5" t="n">
        <f aca="false">IF($A35="","",IF(ISNUMBER(Base_Bruta!C35),Base_Bruta!C35,IF(MID(Base_Bruta!C35,5,1)="-",DATE(VALUE(LEFT(Base_Bruta!C35,4)),VALUE(MID(Base_Bruta!C35,6,2)),VALUE(RIGHT(Base_Bruta!C35,2))),DATE(VALUE(RIGHT(Base_Bruta!C35,4)),VALUE(MID(Base_Bruta!C35,4,2)),VALUE(LEFT(Base_Bruta!C35,2))))))</f>
        <v>45727</v>
      </c>
      <c r="D35" s="4" t="str">
        <f aca="false">IF($A35="","",TRIM(Base_Bruta!D35))</f>
        <v>Cinema Paulista - Sessões</v>
      </c>
      <c r="E35" s="4" t="str">
        <f aca="false">IF($A35="","",_xlfn.XLOOKUP(LOWER(TRIM(Base_Bruta!E35)),DePara_Categoria!$A$2:$A$9,DePara_Categoria!$B$2:$B$9,"REVISAR"))</f>
        <v>Cinema</v>
      </c>
      <c r="F35" s="4" t="str">
        <f aca="false">IF($A35="","",_xlfn.XLOOKUP(LOWER(TRIM(Base_Bruta!F35)),DePara_Cidade!$A$2:$A$29,DePara_Cidade!$B$2:$B$29,"REVISAR"))</f>
        <v>São Paulo</v>
      </c>
      <c r="G35" s="4" t="str">
        <f aca="false">IF($A35="","",TRIM(Base_Bruta!G35))</f>
        <v>Meia</v>
      </c>
      <c r="H35" s="4" t="n">
        <f aca="false">IF($A35="","",IF(ISNUMBER(Base_Bruta!H35),Base_Bruta!H35,IFERROR(_xlfn.NUMBERVALUE(TRIM(SUBSTITUTE(Base_Bruta!H35,"R$","")),",","."),0)))</f>
        <v>1</v>
      </c>
      <c r="I35" s="6" t="n">
        <f aca="false">IF($A35="","",IF(ISNUMBER(Base_Bruta!I35),Base_Bruta!I35,IFERROR(_xlfn.NUMBERVALUE(TRIM(SUBSTITUTE(Base_Bruta!I35,"R$","")),",","."),0)))</f>
        <v>22.5</v>
      </c>
      <c r="J35" s="6" t="n">
        <f aca="false">IF($A35="","",H35*I35)</f>
        <v>22.5</v>
      </c>
      <c r="K35" s="4" t="str">
        <f aca="false">IF($A35="","",TRIM(Base_Bruta!J35))</f>
        <v>App</v>
      </c>
      <c r="L35" s="4" t="str">
        <f aca="false">IF($A35="","",TRIM(Base_Bruta!K35))</f>
        <v>C00191</v>
      </c>
      <c r="M35" s="4" t="str">
        <f aca="false">IF($A35="","",_xlfn.XLOOKUP(LOWER(TRIM(Base_Bruta!L35)),DePara_Cidade!$A$2:$A$29,DePara_Cidade!$B$2:$B$29,"REVISAR"))</f>
        <v>São Paulo</v>
      </c>
      <c r="N35" s="4" t="str">
        <f aca="false">IF($A35="","",UPPER(TRIM(Base_Bruta!M35)))</f>
        <v>SP</v>
      </c>
      <c r="O35" s="4" t="str">
        <f aca="false">IF($A35="","",_xlfn.XLOOKUP(LOWER(TRIM(Base_Bruta!N35)),DePara_Pais!$A$2:$A$9,DePara_Pais!$B$2:$B$9,"REVISAR"))</f>
        <v>Brasil</v>
      </c>
      <c r="P35" s="4" t="str">
        <f aca="false">IF($A35="","",IF(O35&lt;&gt;"Brasil","Turista Internacional",IF(M35=F35,"Local","Turista Nacional")))</f>
        <v>Local</v>
      </c>
      <c r="Q35" s="7" t="n">
        <f aca="false">IF($A35="","",DATE(YEAR(B35),MONTH(B35),1))</f>
        <v>45717</v>
      </c>
      <c r="R35" s="4" t="str">
        <f aca="false">IF($A35="","",IF(COUNTIF($A$2:$A35,$A35)&gt;1,"Sim","Não"))</f>
        <v>Não</v>
      </c>
      <c r="S35" s="4" t="str">
        <f aca="false">IF(A35="","Descartar - Linha vazia",IF(R35="Sim","Descartar - Duplicado",IF(OR(H35&lt;=0,I35&lt;=0),"Descartar - Qtd/Valor inválido","OK")))</f>
        <v>OK</v>
      </c>
      <c r="T35" s="4" t="str">
        <f aca="false">Base_Bruta!P35</f>
        <v>vendas_SP.xlsx</v>
      </c>
    </row>
    <row r="36" customFormat="false" ht="15" hidden="false" customHeight="false" outlineLevel="0" collapsed="false">
      <c r="A36" s="4" t="str">
        <f aca="false">IF(Base_Bruta!A36="","",Base_Bruta!A36)</f>
        <v>SP-000657</v>
      </c>
      <c r="B36" s="5" t="n">
        <f aca="false">IF($A36="","",IF(ISNUMBER(Base_Bruta!B36),Base_Bruta!B36,IF(MID(Base_Bruta!B36,5,1)="-",DATE(VALUE(LEFT(Base_Bruta!B36,4)),VALUE(MID(Base_Bruta!B36,6,2)),VALUE(RIGHT(Base_Bruta!B36,2))),DATE(VALUE(RIGHT(Base_Bruta!B36,4)),VALUE(MID(Base_Bruta!B36,4,2)),VALUE(LEFT(Base_Bruta!B36,2))))))</f>
        <v>45729</v>
      </c>
      <c r="C36" s="5" t="n">
        <f aca="false">IF($A36="","",IF(ISNUMBER(Base_Bruta!C36),Base_Bruta!C36,IF(MID(Base_Bruta!C36,5,1)="-",DATE(VALUE(LEFT(Base_Bruta!C36,4)),VALUE(MID(Base_Bruta!C36,6,2)),VALUE(RIGHT(Base_Bruta!C36,2))),DATE(VALUE(RIGHT(Base_Bruta!C36,4)),VALUE(MID(Base_Bruta!C36,4,2)),VALUE(LEFT(Base_Bruta!C36,2))))))</f>
        <v>45729</v>
      </c>
      <c r="D36" s="4" t="str">
        <f aca="false">IF($A36="","",TRIM(Base_Bruta!D36))</f>
        <v>Cinema Paulista - Sessões</v>
      </c>
      <c r="E36" s="4" t="str">
        <f aca="false">IF($A36="","",_xlfn.XLOOKUP(LOWER(TRIM(Base_Bruta!E36)),DePara_Categoria!$A$2:$A$9,DePara_Categoria!$B$2:$B$9,"REVISAR"))</f>
        <v>Cinema</v>
      </c>
      <c r="F36" s="4" t="str">
        <f aca="false">IF($A36="","",_xlfn.XLOOKUP(LOWER(TRIM(Base_Bruta!F36)),DePara_Cidade!$A$2:$A$29,DePara_Cidade!$B$2:$B$29,"REVISAR"))</f>
        <v>São Paulo</v>
      </c>
      <c r="G36" s="4" t="str">
        <f aca="false">IF($A36="","",TRIM(Base_Bruta!G36))</f>
        <v>Inteira</v>
      </c>
      <c r="H36" s="4" t="n">
        <f aca="false">IF($A36="","",IF(ISNUMBER(Base_Bruta!H36),Base_Bruta!H36,IFERROR(_xlfn.NUMBERVALUE(TRIM(SUBSTITUTE(Base_Bruta!H36,"R$","")),",","."),0)))</f>
        <v>2</v>
      </c>
      <c r="I36" s="6" t="n">
        <f aca="false">IF($A36="","",IF(ISNUMBER(Base_Bruta!I36),Base_Bruta!I36,IFERROR(_xlfn.NUMBERVALUE(TRIM(SUBSTITUTE(Base_Bruta!I36,"R$","")),",","."),0)))</f>
        <v>40</v>
      </c>
      <c r="J36" s="6" t="n">
        <f aca="false">IF($A36="","",H36*I36)</f>
        <v>80</v>
      </c>
      <c r="K36" s="4" t="str">
        <f aca="false">IF($A36="","",TRIM(Base_Bruta!J36))</f>
        <v>Site</v>
      </c>
      <c r="L36" s="4" t="str">
        <f aca="false">IF($A36="","",TRIM(Base_Bruta!K36))</f>
        <v>C02365</v>
      </c>
      <c r="M36" s="4" t="str">
        <f aca="false">IF($A36="","",_xlfn.XLOOKUP(LOWER(TRIM(Base_Bruta!L36)),DePara_Cidade!$A$2:$A$29,DePara_Cidade!$B$2:$B$29,"REVISAR"))</f>
        <v>São Paulo</v>
      </c>
      <c r="N36" s="4" t="str">
        <f aca="false">IF($A36="","",UPPER(TRIM(Base_Bruta!M36)))</f>
        <v>SP</v>
      </c>
      <c r="O36" s="4" t="str">
        <f aca="false">IF($A36="","",_xlfn.XLOOKUP(LOWER(TRIM(Base_Bruta!N36)),DePara_Pais!$A$2:$A$9,DePara_Pais!$B$2:$B$9,"REVISAR"))</f>
        <v>Brasil</v>
      </c>
      <c r="P36" s="4" t="str">
        <f aca="false">IF($A36="","",IF(O36&lt;&gt;"Brasil","Turista Internacional",IF(M36=F36,"Local","Turista Nacional")))</f>
        <v>Local</v>
      </c>
      <c r="Q36" s="7" t="n">
        <f aca="false">IF($A36="","",DATE(YEAR(B36),MONTH(B36),1))</f>
        <v>45717</v>
      </c>
      <c r="R36" s="4" t="str">
        <f aca="false">IF($A36="","",IF(COUNTIF($A$2:$A36,$A36)&gt;1,"Sim","Não"))</f>
        <v>Não</v>
      </c>
      <c r="S36" s="4" t="str">
        <f aca="false">IF(A36="","Descartar - Linha vazia",IF(R36="Sim","Descartar - Duplicado",IF(OR(H36&lt;=0,I36&lt;=0),"Descartar - Qtd/Valor inválido","OK")))</f>
        <v>OK</v>
      </c>
      <c r="T36" s="4" t="str">
        <f aca="false">Base_Bruta!P36</f>
        <v>vendas_SP.xlsx</v>
      </c>
    </row>
    <row r="37" customFormat="false" ht="15" hidden="false" customHeight="false" outlineLevel="0" collapsed="false">
      <c r="A37" s="4" t="str">
        <f aca="false">IF(Base_Bruta!A37="","",Base_Bruta!A37)</f>
        <v>SP-000777</v>
      </c>
      <c r="B37" s="5" t="n">
        <f aca="false">IF($A37="","",IF(ISNUMBER(Base_Bruta!B37),Base_Bruta!B37,IF(MID(Base_Bruta!B37,5,1)="-",DATE(VALUE(LEFT(Base_Bruta!B37,4)),VALUE(MID(Base_Bruta!B37,6,2)),VALUE(RIGHT(Base_Bruta!B37,2))),DATE(VALUE(RIGHT(Base_Bruta!B37,4)),VALUE(MID(Base_Bruta!B37,4,2)),VALUE(LEFT(Base_Bruta!B37,2))))))</f>
        <v>45729</v>
      </c>
      <c r="C37" s="5" t="n">
        <f aca="false">IF($A37="","",IF(ISNUMBER(Base_Bruta!C37),Base_Bruta!C37,IF(MID(Base_Bruta!C37,5,1)="-",DATE(VALUE(LEFT(Base_Bruta!C37,4)),VALUE(MID(Base_Bruta!C37,6,2)),VALUE(RIGHT(Base_Bruta!C37,2))),DATE(VALUE(RIGHT(Base_Bruta!C37,4)),VALUE(MID(Base_Bruta!C37,4,2)),VALUE(LEFT(Base_Bruta!C37,2))))))</f>
        <v>45729</v>
      </c>
      <c r="D37" s="4" t="str">
        <f aca="false">IF($A37="","",TRIM(Base_Bruta!D37))</f>
        <v>Cinema Paulista - Sessões</v>
      </c>
      <c r="E37" s="4" t="str">
        <f aca="false">IF($A37="","",_xlfn.XLOOKUP(LOWER(TRIM(Base_Bruta!E37)),DePara_Categoria!$A$2:$A$9,DePara_Categoria!$B$2:$B$9,"REVISAR"))</f>
        <v>Cinema</v>
      </c>
      <c r="F37" s="4" t="str">
        <f aca="false">IF($A37="","",_xlfn.XLOOKUP(LOWER(TRIM(Base_Bruta!F37)),DePara_Cidade!$A$2:$A$29,DePara_Cidade!$B$2:$B$29,"REVISAR"))</f>
        <v>São Paulo</v>
      </c>
      <c r="G37" s="4" t="str">
        <f aca="false">IF($A37="","",TRIM(Base_Bruta!G37))</f>
        <v>Inteira</v>
      </c>
      <c r="H37" s="4" t="n">
        <f aca="false">IF($A37="","",IF(ISNUMBER(Base_Bruta!H37),Base_Bruta!H37,IFERROR(_xlfn.NUMBERVALUE(TRIM(SUBSTITUTE(Base_Bruta!H37,"R$","")),",","."),0)))</f>
        <v>1</v>
      </c>
      <c r="I37" s="6" t="n">
        <f aca="false">IF($A37="","",IF(ISNUMBER(Base_Bruta!I37),Base_Bruta!I37,IFERROR(_xlfn.NUMBERVALUE(TRIM(SUBSTITUTE(Base_Bruta!I37,"R$","")),",","."),0)))</f>
        <v>45</v>
      </c>
      <c r="J37" s="6" t="n">
        <f aca="false">IF($A37="","",H37*I37)</f>
        <v>45</v>
      </c>
      <c r="K37" s="4" t="str">
        <f aca="false">IF($A37="","",TRIM(Base_Bruta!J37))</f>
        <v>Bilheteria</v>
      </c>
      <c r="L37" s="4" t="str">
        <f aca="false">IF($A37="","",TRIM(Base_Bruta!K37))</f>
        <v>C01072</v>
      </c>
      <c r="M37" s="4" t="str">
        <f aca="false">IF($A37="","",_xlfn.XLOOKUP(LOWER(TRIM(Base_Bruta!L37)),DePara_Cidade!$A$2:$A$29,DePara_Cidade!$B$2:$B$29,"REVISAR"))</f>
        <v>São Paulo</v>
      </c>
      <c r="N37" s="4" t="str">
        <f aca="false">IF($A37="","",UPPER(TRIM(Base_Bruta!M37)))</f>
        <v>SP</v>
      </c>
      <c r="O37" s="4" t="str">
        <f aca="false">IF($A37="","",_xlfn.XLOOKUP(LOWER(TRIM(Base_Bruta!N37)),DePara_Pais!$A$2:$A$9,DePara_Pais!$B$2:$B$9,"REVISAR"))</f>
        <v>Brasil</v>
      </c>
      <c r="P37" s="4" t="str">
        <f aca="false">IF($A37="","",IF(O37&lt;&gt;"Brasil","Turista Internacional",IF(M37=F37,"Local","Turista Nacional")))</f>
        <v>Local</v>
      </c>
      <c r="Q37" s="7" t="n">
        <f aca="false">IF($A37="","",DATE(YEAR(B37),MONTH(B37),1))</f>
        <v>45717</v>
      </c>
      <c r="R37" s="4" t="str">
        <f aca="false">IF($A37="","",IF(COUNTIF($A$2:$A37,$A37)&gt;1,"Sim","Não"))</f>
        <v>Não</v>
      </c>
      <c r="S37" s="4" t="str">
        <f aca="false">IF(A37="","Descartar - Linha vazia",IF(R37="Sim","Descartar - Duplicado",IF(OR(H37&lt;=0,I37&lt;=0),"Descartar - Qtd/Valor inválido","OK")))</f>
        <v>OK</v>
      </c>
      <c r="T37" s="4" t="str">
        <f aca="false">Base_Bruta!P37</f>
        <v>vendas_SP.xlsx</v>
      </c>
    </row>
    <row r="38" customFormat="false" ht="15" hidden="false" customHeight="false" outlineLevel="0" collapsed="false">
      <c r="A38" s="4" t="str">
        <f aca="false">IF(Base_Bruta!A38="","",Base_Bruta!A38)</f>
        <v>SP-000757</v>
      </c>
      <c r="B38" s="5" t="n">
        <f aca="false">IF($A38="","",IF(ISNUMBER(Base_Bruta!B38),Base_Bruta!B38,IF(MID(Base_Bruta!B38,5,1)="-",DATE(VALUE(LEFT(Base_Bruta!B38,4)),VALUE(MID(Base_Bruta!B38,6,2)),VALUE(RIGHT(Base_Bruta!B38,2))),DATE(VALUE(RIGHT(Base_Bruta!B38,4)),VALUE(MID(Base_Bruta!B38,4,2)),VALUE(LEFT(Base_Bruta!B38,2))))))</f>
        <v>45737</v>
      </c>
      <c r="C38" s="5" t="n">
        <f aca="false">IF($A38="","",IF(ISNUMBER(Base_Bruta!C38),Base_Bruta!C38,IF(MID(Base_Bruta!C38,5,1)="-",DATE(VALUE(LEFT(Base_Bruta!C38,4)),VALUE(MID(Base_Bruta!C38,6,2)),VALUE(RIGHT(Base_Bruta!C38,2))),DATE(VALUE(RIGHT(Base_Bruta!C38,4)),VALUE(MID(Base_Bruta!C38,4,2)),VALUE(LEFT(Base_Bruta!C38,2))))))</f>
        <v>45738</v>
      </c>
      <c r="D38" s="4" t="str">
        <f aca="false">IF($A38="","",TRIM(Base_Bruta!D38))</f>
        <v>Cinema Paulista - Sessões</v>
      </c>
      <c r="E38" s="4" t="str">
        <f aca="false">IF($A38="","",_xlfn.XLOOKUP(LOWER(TRIM(Base_Bruta!E38)),DePara_Categoria!$A$2:$A$9,DePara_Categoria!$B$2:$B$9,"REVISAR"))</f>
        <v>Cinema</v>
      </c>
      <c r="F38" s="4" t="str">
        <f aca="false">IF($A38="","",_xlfn.XLOOKUP(LOWER(TRIM(Base_Bruta!F38)),DePara_Cidade!$A$2:$A$29,DePara_Cidade!$B$2:$B$29,"REVISAR"))</f>
        <v>São Paulo</v>
      </c>
      <c r="G38" s="4" t="str">
        <f aca="false">IF($A38="","",TRIM(Base_Bruta!G38))</f>
        <v>Inteira</v>
      </c>
      <c r="H38" s="4" t="n">
        <f aca="false">IF($A38="","",IF(ISNUMBER(Base_Bruta!H38),Base_Bruta!H38,IFERROR(_xlfn.NUMBERVALUE(TRIM(SUBSTITUTE(Base_Bruta!H38,"R$","")),",","."),0)))</f>
        <v>2</v>
      </c>
      <c r="I38" s="6" t="n">
        <f aca="false">IF($A38="","",IF(ISNUMBER(Base_Bruta!I38),Base_Bruta!I38,IFERROR(_xlfn.NUMBERVALUE(TRIM(SUBSTITUTE(Base_Bruta!I38,"R$","")),",","."),0)))</f>
        <v>40</v>
      </c>
      <c r="J38" s="6" t="n">
        <f aca="false">IF($A38="","",H38*I38)</f>
        <v>80</v>
      </c>
      <c r="K38" s="4" t="str">
        <f aca="false">IF($A38="","",TRIM(Base_Bruta!J38))</f>
        <v>App</v>
      </c>
      <c r="L38" s="4" t="str">
        <f aca="false">IF($A38="","",TRIM(Base_Bruta!K38))</f>
        <v>C02421</v>
      </c>
      <c r="M38" s="4" t="str">
        <f aca="false">IF($A38="","",_xlfn.XLOOKUP(LOWER(TRIM(Base_Bruta!L38)),DePara_Cidade!$A$2:$A$29,DePara_Cidade!$B$2:$B$29,"REVISAR"))</f>
        <v>Santiago</v>
      </c>
      <c r="N38" s="4" t="str">
        <f aca="false">IF($A38="","",UPPER(TRIM(Base_Bruta!M38)))</f>
        <v>EX</v>
      </c>
      <c r="O38" s="4" t="str">
        <f aca="false">IF($A38="","",_xlfn.XLOOKUP(LOWER(TRIM(Base_Bruta!N38)),DePara_Pais!$A$2:$A$9,DePara_Pais!$B$2:$B$9,"REVISAR"))</f>
        <v>Chile</v>
      </c>
      <c r="P38" s="4" t="str">
        <f aca="false">IF($A38="","",IF(O38&lt;&gt;"Brasil","Turista Internacional",IF(M38=F38,"Local","Turista Nacional")))</f>
        <v>Turista Internacional</v>
      </c>
      <c r="Q38" s="7" t="n">
        <f aca="false">IF($A38="","",DATE(YEAR(B38),MONTH(B38),1))</f>
        <v>45717</v>
      </c>
      <c r="R38" s="4" t="str">
        <f aca="false">IF($A38="","",IF(COUNTIF($A$2:$A38,$A38)&gt;1,"Sim","Não"))</f>
        <v>Não</v>
      </c>
      <c r="S38" s="4" t="str">
        <f aca="false">IF(A38="","Descartar - Linha vazia",IF(R38="Sim","Descartar - Duplicado",IF(OR(H38&lt;=0,I38&lt;=0),"Descartar - Qtd/Valor inválido","OK")))</f>
        <v>OK</v>
      </c>
      <c r="T38" s="4" t="str">
        <f aca="false">Base_Bruta!P38</f>
        <v>vendas_SP.xlsx</v>
      </c>
    </row>
    <row r="39" customFormat="false" ht="15" hidden="false" customHeight="false" outlineLevel="0" collapsed="false">
      <c r="A39" s="4" t="str">
        <f aca="false">IF(Base_Bruta!A39="","",Base_Bruta!A39)</f>
        <v>SP-000775</v>
      </c>
      <c r="B39" s="5" t="n">
        <f aca="false">IF($A39="","",IF(ISNUMBER(Base_Bruta!B39),Base_Bruta!B39,IF(MID(Base_Bruta!B39,5,1)="-",DATE(VALUE(LEFT(Base_Bruta!B39,4)),VALUE(MID(Base_Bruta!B39,6,2)),VALUE(RIGHT(Base_Bruta!B39,2))),DATE(VALUE(RIGHT(Base_Bruta!B39,4)),VALUE(MID(Base_Bruta!B39,4,2)),VALUE(LEFT(Base_Bruta!B39,2))))))</f>
        <v>45737</v>
      </c>
      <c r="C39" s="5" t="n">
        <f aca="false">IF($A39="","",IF(ISNUMBER(Base_Bruta!C39),Base_Bruta!C39,IF(MID(Base_Bruta!C39,5,1)="-",DATE(VALUE(LEFT(Base_Bruta!C39,4)),VALUE(MID(Base_Bruta!C39,6,2)),VALUE(RIGHT(Base_Bruta!C39,2))),DATE(VALUE(RIGHT(Base_Bruta!C39,4)),VALUE(MID(Base_Bruta!C39,4,2)),VALUE(LEFT(Base_Bruta!C39,2))))))</f>
        <v>45739</v>
      </c>
      <c r="D39" s="4" t="str">
        <f aca="false">IF($A39="","",TRIM(Base_Bruta!D39))</f>
        <v>Cinema Paulista - Sessões</v>
      </c>
      <c r="E39" s="4" t="str">
        <f aca="false">IF($A39="","",_xlfn.XLOOKUP(LOWER(TRIM(Base_Bruta!E39)),DePara_Categoria!$A$2:$A$9,DePara_Categoria!$B$2:$B$9,"REVISAR"))</f>
        <v>Cinema</v>
      </c>
      <c r="F39" s="4" t="str">
        <f aca="false">IF($A39="","",_xlfn.XLOOKUP(LOWER(TRIM(Base_Bruta!F39)),DePara_Cidade!$A$2:$A$29,DePara_Cidade!$B$2:$B$29,"REVISAR"))</f>
        <v>São Paulo</v>
      </c>
      <c r="G39" s="4" t="str">
        <f aca="false">IF($A39="","",TRIM(Base_Bruta!G39))</f>
        <v>Meia</v>
      </c>
      <c r="H39" s="4" t="n">
        <f aca="false">IF($A39="","",IF(ISNUMBER(Base_Bruta!H39),Base_Bruta!H39,IFERROR(_xlfn.NUMBERVALUE(TRIM(SUBSTITUTE(Base_Bruta!H39,"R$","")),",","."),0)))</f>
        <v>1</v>
      </c>
      <c r="I39" s="6" t="n">
        <f aca="false">IF($A39="","",IF(ISNUMBER(Base_Bruta!I39),Base_Bruta!I39,IFERROR(_xlfn.NUMBERVALUE(TRIM(SUBSTITUTE(Base_Bruta!I39,"R$","")),",","."),0)))</f>
        <v>15</v>
      </c>
      <c r="J39" s="6" t="n">
        <f aca="false">IF($A39="","",H39*I39)</f>
        <v>15</v>
      </c>
      <c r="K39" s="4" t="str">
        <f aca="false">IF($A39="","",TRIM(Base_Bruta!J39))</f>
        <v>App</v>
      </c>
      <c r="L39" s="4" t="str">
        <f aca="false">IF($A39="","",TRIM(Base_Bruta!K39))</f>
        <v>C00427</v>
      </c>
      <c r="M39" s="4" t="str">
        <f aca="false">IF($A39="","",_xlfn.XLOOKUP(LOWER(TRIM(Base_Bruta!L39)),DePara_Cidade!$A$2:$A$29,DePara_Cidade!$B$2:$B$29,"REVISAR"))</f>
        <v>São Paulo</v>
      </c>
      <c r="N39" s="4" t="str">
        <f aca="false">IF($A39="","",UPPER(TRIM(Base_Bruta!M39)))</f>
        <v>SP</v>
      </c>
      <c r="O39" s="4" t="str">
        <f aca="false">IF($A39="","",_xlfn.XLOOKUP(LOWER(TRIM(Base_Bruta!N39)),DePara_Pais!$A$2:$A$9,DePara_Pais!$B$2:$B$9,"REVISAR"))</f>
        <v>Brasil</v>
      </c>
      <c r="P39" s="4" t="str">
        <f aca="false">IF($A39="","",IF(O39&lt;&gt;"Brasil","Turista Internacional",IF(M39=F39,"Local","Turista Nacional")))</f>
        <v>Local</v>
      </c>
      <c r="Q39" s="7" t="n">
        <f aca="false">IF($A39="","",DATE(YEAR(B39),MONTH(B39),1))</f>
        <v>45717</v>
      </c>
      <c r="R39" s="4" t="str">
        <f aca="false">IF($A39="","",IF(COUNTIF($A$2:$A39,$A39)&gt;1,"Sim","Não"))</f>
        <v>Não</v>
      </c>
      <c r="S39" s="4" t="str">
        <f aca="false">IF(A39="","Descartar - Linha vazia",IF(R39="Sim","Descartar - Duplicado",IF(OR(H39&lt;=0,I39&lt;=0),"Descartar - Qtd/Valor inválido","OK")))</f>
        <v>OK</v>
      </c>
      <c r="T39" s="4" t="str">
        <f aca="false">Base_Bruta!P39</f>
        <v>vendas_SP.xlsx</v>
      </c>
    </row>
    <row r="40" customFormat="false" ht="15" hidden="false" customHeight="false" outlineLevel="0" collapsed="false">
      <c r="A40" s="4" t="str">
        <f aca="false">IF(Base_Bruta!A40="","",Base_Bruta!A40)</f>
        <v>SP-000655</v>
      </c>
      <c r="B40" s="5" t="n">
        <f aca="false">IF($A40="","",IF(ISNUMBER(Base_Bruta!B40),Base_Bruta!B40,IF(MID(Base_Bruta!B40,5,1)="-",DATE(VALUE(LEFT(Base_Bruta!B40,4)),VALUE(MID(Base_Bruta!B40,6,2)),VALUE(RIGHT(Base_Bruta!B40,2))),DATE(VALUE(RIGHT(Base_Bruta!B40,4)),VALUE(MID(Base_Bruta!B40,4,2)),VALUE(LEFT(Base_Bruta!B40,2))))))</f>
        <v>45745</v>
      </c>
      <c r="C40" s="5" t="n">
        <f aca="false">IF($A40="","",IF(ISNUMBER(Base_Bruta!C40),Base_Bruta!C40,IF(MID(Base_Bruta!C40,5,1)="-",DATE(VALUE(LEFT(Base_Bruta!C40,4)),VALUE(MID(Base_Bruta!C40,6,2)),VALUE(RIGHT(Base_Bruta!C40,2))),DATE(VALUE(RIGHT(Base_Bruta!C40,4)),VALUE(MID(Base_Bruta!C40,4,2)),VALUE(LEFT(Base_Bruta!C40,2))))))</f>
        <v>45747</v>
      </c>
      <c r="D40" s="4" t="str">
        <f aca="false">IF($A40="","",TRIM(Base_Bruta!D40))</f>
        <v>Cinema Paulista - Sessões</v>
      </c>
      <c r="E40" s="4" t="str">
        <f aca="false">IF($A40="","",_xlfn.XLOOKUP(LOWER(TRIM(Base_Bruta!E40)),DePara_Categoria!$A$2:$A$9,DePara_Categoria!$B$2:$B$9,"REVISAR"))</f>
        <v>Cinema</v>
      </c>
      <c r="F40" s="4" t="str">
        <f aca="false">IF($A40="","",_xlfn.XLOOKUP(LOWER(TRIM(Base_Bruta!F40)),DePara_Cidade!$A$2:$A$29,DePara_Cidade!$B$2:$B$29,"REVISAR"))</f>
        <v>São Paulo</v>
      </c>
      <c r="G40" s="4" t="str">
        <f aca="false">IF($A40="","",TRIM(Base_Bruta!G40))</f>
        <v>Inteira</v>
      </c>
      <c r="H40" s="4" t="n">
        <f aca="false">IF($A40="","",IF(ISNUMBER(Base_Bruta!H40),Base_Bruta!H40,IFERROR(_xlfn.NUMBERVALUE(TRIM(SUBSTITUTE(Base_Bruta!H40,"R$","")),",","."),0)))</f>
        <v>1</v>
      </c>
      <c r="I40" s="6" t="n">
        <f aca="false">IF($A40="","",IF(ISNUMBER(Base_Bruta!I40),Base_Bruta!I40,IFERROR(_xlfn.NUMBERVALUE(TRIM(SUBSTITUTE(Base_Bruta!I40,"R$","")),",","."),0)))</f>
        <v>45</v>
      </c>
      <c r="J40" s="6" t="n">
        <f aca="false">IF($A40="","",H40*I40)</f>
        <v>45</v>
      </c>
      <c r="K40" s="4" t="str">
        <f aca="false">IF($A40="","",TRIM(Base_Bruta!J40))</f>
        <v>Site</v>
      </c>
      <c r="L40" s="4" t="str">
        <f aca="false">IF($A40="","",TRIM(Base_Bruta!K40))</f>
        <v>C01408</v>
      </c>
      <c r="M40" s="4" t="str">
        <f aca="false">IF($A40="","",_xlfn.XLOOKUP(LOWER(TRIM(Base_Bruta!L40)),DePara_Cidade!$A$2:$A$29,DePara_Cidade!$B$2:$B$29,"REVISAR"))</f>
        <v>São Paulo</v>
      </c>
      <c r="N40" s="4" t="str">
        <f aca="false">IF($A40="","",UPPER(TRIM(Base_Bruta!M40)))</f>
        <v>SP</v>
      </c>
      <c r="O40" s="4" t="str">
        <f aca="false">IF($A40="","",_xlfn.XLOOKUP(LOWER(TRIM(Base_Bruta!N40)),DePara_Pais!$A$2:$A$9,DePara_Pais!$B$2:$B$9,"REVISAR"))</f>
        <v>Brasil</v>
      </c>
      <c r="P40" s="4" t="str">
        <f aca="false">IF($A40="","",IF(O40&lt;&gt;"Brasil","Turista Internacional",IF(M40=F40,"Local","Turista Nacional")))</f>
        <v>Local</v>
      </c>
      <c r="Q40" s="7" t="n">
        <f aca="false">IF($A40="","",DATE(YEAR(B40),MONTH(B40),1))</f>
        <v>45717</v>
      </c>
      <c r="R40" s="4" t="str">
        <f aca="false">IF($A40="","",IF(COUNTIF($A$2:$A40,$A40)&gt;1,"Sim","Não"))</f>
        <v>Não</v>
      </c>
      <c r="S40" s="4" t="str">
        <f aca="false">IF(A40="","Descartar - Linha vazia",IF(R40="Sim","Descartar - Duplicado",IF(OR(H40&lt;=0,I40&lt;=0),"Descartar - Qtd/Valor inválido","OK")))</f>
        <v>OK</v>
      </c>
      <c r="T40" s="4" t="str">
        <f aca="false">Base_Bruta!P40</f>
        <v>vendas_SP.xlsx</v>
      </c>
    </row>
    <row r="41" customFormat="false" ht="15" hidden="false" customHeight="false" outlineLevel="0" collapsed="false">
      <c r="A41" s="4" t="str">
        <f aca="false">IF(Base_Bruta!A41="","",Base_Bruta!A41)</f>
        <v>SP-000717</v>
      </c>
      <c r="B41" s="5" t="n">
        <f aca="false">IF($A41="","",IF(ISNUMBER(Base_Bruta!B41),Base_Bruta!B41,IF(MID(Base_Bruta!B41,5,1)="-",DATE(VALUE(LEFT(Base_Bruta!B41,4)),VALUE(MID(Base_Bruta!B41,6,2)),VALUE(RIGHT(Base_Bruta!B41,2))),DATE(VALUE(RIGHT(Base_Bruta!B41,4)),VALUE(MID(Base_Bruta!B41,4,2)),VALUE(LEFT(Base_Bruta!B41,2))))))</f>
        <v>45745</v>
      </c>
      <c r="C41" s="5" t="n">
        <f aca="false">IF($A41="","",IF(ISNUMBER(Base_Bruta!C41),Base_Bruta!C41,IF(MID(Base_Bruta!C41,5,1)="-",DATE(VALUE(LEFT(Base_Bruta!C41,4)),VALUE(MID(Base_Bruta!C41,6,2)),VALUE(RIGHT(Base_Bruta!C41,2))),DATE(VALUE(RIGHT(Base_Bruta!C41,4)),VALUE(MID(Base_Bruta!C41,4,2)),VALUE(LEFT(Base_Bruta!C41,2))))))</f>
        <v>45747</v>
      </c>
      <c r="D41" s="4" t="str">
        <f aca="false">IF($A41="","",TRIM(Base_Bruta!D41))</f>
        <v>Cinema Paulista - Sessões</v>
      </c>
      <c r="E41" s="4" t="str">
        <f aca="false">IF($A41="","",_xlfn.XLOOKUP(LOWER(TRIM(Base_Bruta!E41)),DePara_Categoria!$A$2:$A$9,DePara_Categoria!$B$2:$B$9,"REVISAR"))</f>
        <v>Cinema</v>
      </c>
      <c r="F41" s="4" t="str">
        <f aca="false">IF($A41="","",_xlfn.XLOOKUP(LOWER(TRIM(Base_Bruta!F41)),DePara_Cidade!$A$2:$A$29,DePara_Cidade!$B$2:$B$29,"REVISAR"))</f>
        <v>São Paulo</v>
      </c>
      <c r="G41" s="4" t="str">
        <f aca="false">IF($A41="","",TRIM(Base_Bruta!G41))</f>
        <v>Meia</v>
      </c>
      <c r="H41" s="4" t="n">
        <f aca="false">IF($A41="","",IF(ISNUMBER(Base_Bruta!H41),Base_Bruta!H41,IFERROR(_xlfn.NUMBERVALUE(TRIM(SUBSTITUTE(Base_Bruta!H41,"R$","")),",","."),0)))</f>
        <v>1</v>
      </c>
      <c r="I41" s="6" t="n">
        <f aca="false">IF($A41="","",IF(ISNUMBER(Base_Bruta!I41),Base_Bruta!I41,IFERROR(_xlfn.NUMBERVALUE(TRIM(SUBSTITUTE(Base_Bruta!I41,"R$","")),",","."),0)))</f>
        <v>17.5</v>
      </c>
      <c r="J41" s="6" t="n">
        <f aca="false">IF($A41="","",H41*I41)</f>
        <v>17.5</v>
      </c>
      <c r="K41" s="4" t="str">
        <f aca="false">IF($A41="","",TRIM(Base_Bruta!J41))</f>
        <v>App</v>
      </c>
      <c r="L41" s="4" t="str">
        <f aca="false">IF($A41="","",TRIM(Base_Bruta!K41))</f>
        <v>C01473</v>
      </c>
      <c r="M41" s="4" t="str">
        <f aca="false">IF($A41="","",_xlfn.XLOOKUP(LOWER(TRIM(Base_Bruta!L41)),DePara_Cidade!$A$2:$A$29,DePara_Cidade!$B$2:$B$29,"REVISAR"))</f>
        <v>São Paulo</v>
      </c>
      <c r="N41" s="4" t="str">
        <f aca="false">IF($A41="","",UPPER(TRIM(Base_Bruta!M41)))</f>
        <v>SP</v>
      </c>
      <c r="O41" s="4" t="str">
        <f aca="false">IF($A41="","",_xlfn.XLOOKUP(LOWER(TRIM(Base_Bruta!N41)),DePara_Pais!$A$2:$A$9,DePara_Pais!$B$2:$B$9,"REVISAR"))</f>
        <v>Brasil</v>
      </c>
      <c r="P41" s="4" t="str">
        <f aca="false">IF($A41="","",IF(O41&lt;&gt;"Brasil","Turista Internacional",IF(M41=F41,"Local","Turista Nacional")))</f>
        <v>Local</v>
      </c>
      <c r="Q41" s="7" t="n">
        <f aca="false">IF($A41="","",DATE(YEAR(B41),MONTH(B41),1))</f>
        <v>45717</v>
      </c>
      <c r="R41" s="4" t="str">
        <f aca="false">IF($A41="","",IF(COUNTIF($A$2:$A41,$A41)&gt;1,"Sim","Não"))</f>
        <v>Não</v>
      </c>
      <c r="S41" s="4" t="str">
        <f aca="false">IF(A41="","Descartar - Linha vazia",IF(R41="Sim","Descartar - Duplicado",IF(OR(H41&lt;=0,I41&lt;=0),"Descartar - Qtd/Valor inválido","OK")))</f>
        <v>OK</v>
      </c>
      <c r="T41" s="4" t="str">
        <f aca="false">Base_Bruta!P41</f>
        <v>vendas_SP.xlsx</v>
      </c>
    </row>
    <row r="42" customFormat="false" ht="15" hidden="false" customHeight="false" outlineLevel="0" collapsed="false">
      <c r="A42" s="4" t="str">
        <f aca="false">IF(Base_Bruta!A42="","",Base_Bruta!A42)</f>
        <v>SP-000726</v>
      </c>
      <c r="B42" s="5" t="n">
        <f aca="false">IF($A42="","",IF(ISNUMBER(Base_Bruta!B42),Base_Bruta!B42,IF(MID(Base_Bruta!B42,5,1)="-",DATE(VALUE(LEFT(Base_Bruta!B42,4)),VALUE(MID(Base_Bruta!B42,6,2)),VALUE(RIGHT(Base_Bruta!B42,2))),DATE(VALUE(RIGHT(Base_Bruta!B42,4)),VALUE(MID(Base_Bruta!B42,4,2)),VALUE(LEFT(Base_Bruta!B42,2))))))</f>
        <v>45745</v>
      </c>
      <c r="C42" s="5" t="n">
        <f aca="false">IF($A42="","",IF(ISNUMBER(Base_Bruta!C42),Base_Bruta!C42,IF(MID(Base_Bruta!C42,5,1)="-",DATE(VALUE(LEFT(Base_Bruta!C42,4)),VALUE(MID(Base_Bruta!C42,6,2)),VALUE(RIGHT(Base_Bruta!C42,2))),DATE(VALUE(RIGHT(Base_Bruta!C42,4)),VALUE(MID(Base_Bruta!C42,4,2)),VALUE(LEFT(Base_Bruta!C42,2))))))</f>
        <v>45745</v>
      </c>
      <c r="D42" s="4" t="str">
        <f aca="false">IF($A42="","",TRIM(Base_Bruta!D42))</f>
        <v>Cinema Paulista - Sessões</v>
      </c>
      <c r="E42" s="4" t="str">
        <f aca="false">IF($A42="","",_xlfn.XLOOKUP(LOWER(TRIM(Base_Bruta!E42)),DePara_Categoria!$A$2:$A$9,DePara_Categoria!$B$2:$B$9,"REVISAR"))</f>
        <v>Cinema</v>
      </c>
      <c r="F42" s="4" t="str">
        <f aca="false">IF($A42="","",_xlfn.XLOOKUP(LOWER(TRIM(Base_Bruta!F42)),DePara_Cidade!$A$2:$A$29,DePara_Cidade!$B$2:$B$29,"REVISAR"))</f>
        <v>São Paulo</v>
      </c>
      <c r="G42" s="4" t="str">
        <f aca="false">IF($A42="","",TRIM(Base_Bruta!G42))</f>
        <v>Inteira</v>
      </c>
      <c r="H42" s="4" t="n">
        <f aca="false">IF($A42="","",IF(ISNUMBER(Base_Bruta!H42),Base_Bruta!H42,IFERROR(_xlfn.NUMBERVALUE(TRIM(SUBSTITUTE(Base_Bruta!H42,"R$","")),",","."),0)))</f>
        <v>3</v>
      </c>
      <c r="I42" s="6" t="n">
        <f aca="false">IF($A42="","",IF(ISNUMBER(Base_Bruta!I42),Base_Bruta!I42,IFERROR(_xlfn.NUMBERVALUE(TRIM(SUBSTITUTE(Base_Bruta!I42,"R$","")),",","."),0)))</f>
        <v>50</v>
      </c>
      <c r="J42" s="6" t="n">
        <f aca="false">IF($A42="","",H42*I42)</f>
        <v>150</v>
      </c>
      <c r="K42" s="4" t="str">
        <f aca="false">IF($A42="","",TRIM(Base_Bruta!J42))</f>
        <v>App</v>
      </c>
      <c r="L42" s="4" t="str">
        <f aca="false">IF($A42="","",TRIM(Base_Bruta!K42))</f>
        <v>C01935</v>
      </c>
      <c r="M42" s="4" t="str">
        <f aca="false">IF($A42="","",_xlfn.XLOOKUP(LOWER(TRIM(Base_Bruta!L42)),DePara_Cidade!$A$2:$A$29,DePara_Cidade!$B$2:$B$29,"REVISAR"))</f>
        <v>São Paulo</v>
      </c>
      <c r="N42" s="4" t="str">
        <f aca="false">IF($A42="","",UPPER(TRIM(Base_Bruta!M42)))</f>
        <v>SP</v>
      </c>
      <c r="O42" s="4" t="str">
        <f aca="false">IF($A42="","",_xlfn.XLOOKUP(LOWER(TRIM(Base_Bruta!N42)),DePara_Pais!$A$2:$A$9,DePara_Pais!$B$2:$B$9,"REVISAR"))</f>
        <v>Brasil</v>
      </c>
      <c r="P42" s="4" t="str">
        <f aca="false">IF($A42="","",IF(O42&lt;&gt;"Brasil","Turista Internacional",IF(M42=F42,"Local","Turista Nacional")))</f>
        <v>Local</v>
      </c>
      <c r="Q42" s="7" t="n">
        <f aca="false">IF($A42="","",DATE(YEAR(B42),MONTH(B42),1))</f>
        <v>45717</v>
      </c>
      <c r="R42" s="4" t="str">
        <f aca="false">IF($A42="","",IF(COUNTIF($A$2:$A42,$A42)&gt;1,"Sim","Não"))</f>
        <v>Não</v>
      </c>
      <c r="S42" s="4" t="str">
        <f aca="false">IF(A42="","Descartar - Linha vazia",IF(R42="Sim","Descartar - Duplicado",IF(OR(H42&lt;=0,I42&lt;=0),"Descartar - Qtd/Valor inválido","OK")))</f>
        <v>OK</v>
      </c>
      <c r="T42" s="4" t="str">
        <f aca="false">Base_Bruta!P42</f>
        <v>vendas_SP.xlsx</v>
      </c>
    </row>
    <row r="43" customFormat="false" ht="15" hidden="false" customHeight="false" outlineLevel="0" collapsed="false">
      <c r="A43" s="4" t="str">
        <f aca="false">IF(Base_Bruta!A43="","",Base_Bruta!A43)</f>
        <v>SP-000719</v>
      </c>
      <c r="B43" s="5" t="n">
        <f aca="false">IF($A43="","",IF(ISNUMBER(Base_Bruta!B43),Base_Bruta!B43,IF(MID(Base_Bruta!B43,5,1)="-",DATE(VALUE(LEFT(Base_Bruta!B43,4)),VALUE(MID(Base_Bruta!B43,6,2)),VALUE(RIGHT(Base_Bruta!B43,2))),DATE(VALUE(RIGHT(Base_Bruta!B43,4)),VALUE(MID(Base_Bruta!B43,4,2)),VALUE(LEFT(Base_Bruta!B43,2))))))</f>
        <v>45757</v>
      </c>
      <c r="C43" s="5" t="n">
        <f aca="false">IF($A43="","",IF(ISNUMBER(Base_Bruta!C43),Base_Bruta!C43,IF(MID(Base_Bruta!C43,5,1)="-",DATE(VALUE(LEFT(Base_Bruta!C43,4)),VALUE(MID(Base_Bruta!C43,6,2)),VALUE(RIGHT(Base_Bruta!C43,2))),DATE(VALUE(RIGHT(Base_Bruta!C43,4)),VALUE(MID(Base_Bruta!C43,4,2)),VALUE(LEFT(Base_Bruta!C43,2))))))</f>
        <v>45760</v>
      </c>
      <c r="D43" s="4" t="str">
        <f aca="false">IF($A43="","",TRIM(Base_Bruta!D43))</f>
        <v>Cinema Paulista - Sessões</v>
      </c>
      <c r="E43" s="4" t="str">
        <f aca="false">IF($A43="","",_xlfn.XLOOKUP(LOWER(TRIM(Base_Bruta!E43)),DePara_Categoria!$A$2:$A$9,DePara_Categoria!$B$2:$B$9,"REVISAR"))</f>
        <v>Cinema</v>
      </c>
      <c r="F43" s="4" t="str">
        <f aca="false">IF($A43="","",_xlfn.XLOOKUP(LOWER(TRIM(Base_Bruta!F43)),DePara_Cidade!$A$2:$A$29,DePara_Cidade!$B$2:$B$29,"REVISAR"))</f>
        <v>São Paulo</v>
      </c>
      <c r="G43" s="4" t="str">
        <f aca="false">IF($A43="","",TRIM(Base_Bruta!G43))</f>
        <v>Inteira</v>
      </c>
      <c r="H43" s="4" t="n">
        <f aca="false">IF($A43="","",IF(ISNUMBER(Base_Bruta!H43),Base_Bruta!H43,IFERROR(_xlfn.NUMBERVALUE(TRIM(SUBSTITUTE(Base_Bruta!H43,"R$","")),",","."),0)))</f>
        <v>1</v>
      </c>
      <c r="I43" s="6" t="n">
        <f aca="false">IF($A43="","",IF(ISNUMBER(Base_Bruta!I43),Base_Bruta!I43,IFERROR(_xlfn.NUMBERVALUE(TRIM(SUBSTITUTE(Base_Bruta!I43,"R$","")),",","."),0)))</f>
        <v>30</v>
      </c>
      <c r="J43" s="6" t="n">
        <f aca="false">IF($A43="","",H43*I43)</f>
        <v>30</v>
      </c>
      <c r="K43" s="4" t="str">
        <f aca="false">IF($A43="","",TRIM(Base_Bruta!J43))</f>
        <v>Site</v>
      </c>
      <c r="L43" s="4" t="str">
        <f aca="false">IF($A43="","",TRIM(Base_Bruta!K43))</f>
        <v>C00272</v>
      </c>
      <c r="M43" s="4" t="str">
        <f aca="false">IF($A43="","",_xlfn.XLOOKUP(LOWER(TRIM(Base_Bruta!L43)),DePara_Cidade!$A$2:$A$29,DePara_Cidade!$B$2:$B$29,"REVISAR"))</f>
        <v>São Paulo</v>
      </c>
      <c r="N43" s="4" t="str">
        <f aca="false">IF($A43="","",UPPER(TRIM(Base_Bruta!M43)))</f>
        <v>SP</v>
      </c>
      <c r="O43" s="4" t="str">
        <f aca="false">IF($A43="","",_xlfn.XLOOKUP(LOWER(TRIM(Base_Bruta!N43)),DePara_Pais!$A$2:$A$9,DePara_Pais!$B$2:$B$9,"REVISAR"))</f>
        <v>Brasil</v>
      </c>
      <c r="P43" s="4" t="str">
        <f aca="false">IF($A43="","",IF(O43&lt;&gt;"Brasil","Turista Internacional",IF(M43=F43,"Local","Turista Nacional")))</f>
        <v>Local</v>
      </c>
      <c r="Q43" s="7" t="n">
        <f aca="false">IF($A43="","",DATE(YEAR(B43),MONTH(B43),1))</f>
        <v>45748</v>
      </c>
      <c r="R43" s="4" t="str">
        <f aca="false">IF($A43="","",IF(COUNTIF($A$2:$A43,$A43)&gt;1,"Sim","Não"))</f>
        <v>Não</v>
      </c>
      <c r="S43" s="4" t="str">
        <f aca="false">IF(A43="","Descartar - Linha vazia",IF(R43="Sim","Descartar - Duplicado",IF(OR(H43&lt;=0,I43&lt;=0),"Descartar - Qtd/Valor inválido","OK")))</f>
        <v>OK</v>
      </c>
      <c r="T43" s="4" t="str">
        <f aca="false">Base_Bruta!P43</f>
        <v>vendas_SP.xlsx</v>
      </c>
    </row>
    <row r="44" customFormat="false" ht="15" hidden="false" customHeight="false" outlineLevel="0" collapsed="false">
      <c r="A44" s="4" t="str">
        <f aca="false">IF(Base_Bruta!A44="","",Base_Bruta!A44)</f>
        <v>SP-000740</v>
      </c>
      <c r="B44" s="5" t="n">
        <f aca="false">IF($A44="","",IF(ISNUMBER(Base_Bruta!B44),Base_Bruta!B44,IF(MID(Base_Bruta!B44,5,1)="-",DATE(VALUE(LEFT(Base_Bruta!B44,4)),VALUE(MID(Base_Bruta!B44,6,2)),VALUE(RIGHT(Base_Bruta!B44,2))),DATE(VALUE(RIGHT(Base_Bruta!B44,4)),VALUE(MID(Base_Bruta!B44,4,2)),VALUE(LEFT(Base_Bruta!B44,2))))))</f>
        <v>45763</v>
      </c>
      <c r="C44" s="5" t="n">
        <f aca="false">IF($A44="","",IF(ISNUMBER(Base_Bruta!C44),Base_Bruta!C44,IF(MID(Base_Bruta!C44,5,1)="-",DATE(VALUE(LEFT(Base_Bruta!C44,4)),VALUE(MID(Base_Bruta!C44,6,2)),VALUE(RIGHT(Base_Bruta!C44,2))),DATE(VALUE(RIGHT(Base_Bruta!C44,4)),VALUE(MID(Base_Bruta!C44,4,2)),VALUE(LEFT(Base_Bruta!C44,2))))))</f>
        <v>45764</v>
      </c>
      <c r="D44" s="4" t="str">
        <f aca="false">IF($A44="","",TRIM(Base_Bruta!D44))</f>
        <v>Cinema Paulista - Sessões</v>
      </c>
      <c r="E44" s="4" t="str">
        <f aca="false">IF($A44="","",_xlfn.XLOOKUP(LOWER(TRIM(Base_Bruta!E44)),DePara_Categoria!$A$2:$A$9,DePara_Categoria!$B$2:$B$9,"REVISAR"))</f>
        <v>Cinema</v>
      </c>
      <c r="F44" s="4" t="str">
        <f aca="false">IF($A44="","",_xlfn.XLOOKUP(LOWER(TRIM(Base_Bruta!F44)),DePara_Cidade!$A$2:$A$29,DePara_Cidade!$B$2:$B$29,"REVISAR"))</f>
        <v>São Paulo</v>
      </c>
      <c r="G44" s="4" t="str">
        <f aca="false">IF($A44="","",TRIM(Base_Bruta!G44))</f>
        <v>Meia</v>
      </c>
      <c r="H44" s="4" t="n">
        <f aca="false">IF($A44="","",IF(ISNUMBER(Base_Bruta!H44),Base_Bruta!H44,IFERROR(_xlfn.NUMBERVALUE(TRIM(SUBSTITUTE(Base_Bruta!H44,"R$","")),",","."),0)))</f>
        <v>3</v>
      </c>
      <c r="I44" s="6" t="n">
        <f aca="false">IF($A44="","",IF(ISNUMBER(Base_Bruta!I44),Base_Bruta!I44,IFERROR(_xlfn.NUMBERVALUE(TRIM(SUBSTITUTE(Base_Bruta!I44,"R$","")),",","."),0)))</f>
        <v>22.5</v>
      </c>
      <c r="J44" s="6" t="n">
        <f aca="false">IF($A44="","",H44*I44)</f>
        <v>67.5</v>
      </c>
      <c r="K44" s="4" t="str">
        <f aca="false">IF($A44="","",TRIM(Base_Bruta!J44))</f>
        <v>Site</v>
      </c>
      <c r="L44" s="4" t="str">
        <f aca="false">IF($A44="","",TRIM(Base_Bruta!K44))</f>
        <v>C01089</v>
      </c>
      <c r="M44" s="4" t="str">
        <f aca="false">IF($A44="","",_xlfn.XLOOKUP(LOWER(TRIM(Base_Bruta!L44)),DePara_Cidade!$A$2:$A$29,DePara_Cidade!$B$2:$B$29,"REVISAR"))</f>
        <v>São Paulo</v>
      </c>
      <c r="N44" s="4" t="str">
        <f aca="false">IF($A44="","",UPPER(TRIM(Base_Bruta!M44)))</f>
        <v>SP</v>
      </c>
      <c r="O44" s="4" t="str">
        <f aca="false">IF($A44="","",_xlfn.XLOOKUP(LOWER(TRIM(Base_Bruta!N44)),DePara_Pais!$A$2:$A$9,DePara_Pais!$B$2:$B$9,"REVISAR"))</f>
        <v>Brasil</v>
      </c>
      <c r="P44" s="4" t="str">
        <f aca="false">IF($A44="","",IF(O44&lt;&gt;"Brasil","Turista Internacional",IF(M44=F44,"Local","Turista Nacional")))</f>
        <v>Local</v>
      </c>
      <c r="Q44" s="7" t="n">
        <f aca="false">IF($A44="","",DATE(YEAR(B44),MONTH(B44),1))</f>
        <v>45748</v>
      </c>
      <c r="R44" s="4" t="str">
        <f aca="false">IF($A44="","",IF(COUNTIF($A$2:$A44,$A44)&gt;1,"Sim","Não"))</f>
        <v>Não</v>
      </c>
      <c r="S44" s="4" t="str">
        <f aca="false">IF(A44="","Descartar - Linha vazia",IF(R44="Sim","Descartar - Duplicado",IF(OR(H44&lt;=0,I44&lt;=0),"Descartar - Qtd/Valor inválido","OK")))</f>
        <v>OK</v>
      </c>
      <c r="T44" s="4" t="str">
        <f aca="false">Base_Bruta!P44</f>
        <v>vendas_SP.xlsx</v>
      </c>
    </row>
    <row r="45" customFormat="false" ht="15" hidden="false" customHeight="false" outlineLevel="0" collapsed="false">
      <c r="A45" s="4" t="str">
        <f aca="false">IF(Base_Bruta!A45="","",Base_Bruta!A45)</f>
        <v>SP-000726</v>
      </c>
      <c r="B45" s="5" t="n">
        <f aca="false">IF($A45="","",IF(ISNUMBER(Base_Bruta!B45),Base_Bruta!B45,IF(MID(Base_Bruta!B45,5,1)="-",DATE(VALUE(LEFT(Base_Bruta!B45,4)),VALUE(MID(Base_Bruta!B45,6,2)),VALUE(RIGHT(Base_Bruta!B45,2))),DATE(VALUE(RIGHT(Base_Bruta!B45,4)),VALUE(MID(Base_Bruta!B45,4,2)),VALUE(LEFT(Base_Bruta!B45,2))))))</f>
        <v>45745</v>
      </c>
      <c r="C45" s="5" t="n">
        <f aca="false">IF($A45="","",IF(ISNUMBER(Base_Bruta!C45),Base_Bruta!C45,IF(MID(Base_Bruta!C45,5,1)="-",DATE(VALUE(LEFT(Base_Bruta!C45,4)),VALUE(MID(Base_Bruta!C45,6,2)),VALUE(RIGHT(Base_Bruta!C45,2))),DATE(VALUE(RIGHT(Base_Bruta!C45,4)),VALUE(MID(Base_Bruta!C45,4,2)),VALUE(LEFT(Base_Bruta!C45,2))))))</f>
        <v>45745</v>
      </c>
      <c r="D45" s="4" t="str">
        <f aca="false">IF($A45="","",TRIM(Base_Bruta!D45))</f>
        <v>Cinema Paulista - Sessões</v>
      </c>
      <c r="E45" s="4" t="str">
        <f aca="false">IF($A45="","",_xlfn.XLOOKUP(LOWER(TRIM(Base_Bruta!E45)),DePara_Categoria!$A$2:$A$9,DePara_Categoria!$B$2:$B$9,"REVISAR"))</f>
        <v>Cinema</v>
      </c>
      <c r="F45" s="4" t="str">
        <f aca="false">IF($A45="","",_xlfn.XLOOKUP(LOWER(TRIM(Base_Bruta!F45)),DePara_Cidade!$A$2:$A$29,DePara_Cidade!$B$2:$B$29,"REVISAR"))</f>
        <v>São Paulo</v>
      </c>
      <c r="G45" s="4" t="str">
        <f aca="false">IF($A45="","",TRIM(Base_Bruta!G45))</f>
        <v>Inteira</v>
      </c>
      <c r="H45" s="4" t="n">
        <f aca="false">IF($A45="","",IF(ISNUMBER(Base_Bruta!H45),Base_Bruta!H45,IFERROR(_xlfn.NUMBERVALUE(TRIM(SUBSTITUTE(Base_Bruta!H45,"R$","")),",","."),0)))</f>
        <v>3</v>
      </c>
      <c r="I45" s="6" t="n">
        <f aca="false">IF($A45="","",IF(ISNUMBER(Base_Bruta!I45),Base_Bruta!I45,IFERROR(_xlfn.NUMBERVALUE(TRIM(SUBSTITUTE(Base_Bruta!I45,"R$","")),",","."),0)))</f>
        <v>50</v>
      </c>
      <c r="J45" s="6" t="n">
        <f aca="false">IF($A45="","",H45*I45)</f>
        <v>150</v>
      </c>
      <c r="K45" s="4" t="str">
        <f aca="false">IF($A45="","",TRIM(Base_Bruta!J45))</f>
        <v>App</v>
      </c>
      <c r="L45" s="4" t="str">
        <f aca="false">IF($A45="","",TRIM(Base_Bruta!K45))</f>
        <v>C01935</v>
      </c>
      <c r="M45" s="4" t="str">
        <f aca="false">IF($A45="","",_xlfn.XLOOKUP(LOWER(TRIM(Base_Bruta!L45)),DePara_Cidade!$A$2:$A$29,DePara_Cidade!$B$2:$B$29,"REVISAR"))</f>
        <v>São Paulo</v>
      </c>
      <c r="N45" s="4" t="str">
        <f aca="false">IF($A45="","",UPPER(TRIM(Base_Bruta!M45)))</f>
        <v>SP</v>
      </c>
      <c r="O45" s="4" t="str">
        <f aca="false">IF($A45="","",_xlfn.XLOOKUP(LOWER(TRIM(Base_Bruta!N45)),DePara_Pais!$A$2:$A$9,DePara_Pais!$B$2:$B$9,"REVISAR"))</f>
        <v>Brasil</v>
      </c>
      <c r="P45" s="4" t="str">
        <f aca="false">IF($A45="","",IF(O45&lt;&gt;"Brasil","Turista Internacional",IF(M45=F45,"Local","Turista Nacional")))</f>
        <v>Local</v>
      </c>
      <c r="Q45" s="7" t="n">
        <f aca="false">IF($A45="","",DATE(YEAR(B45),MONTH(B45),1))</f>
        <v>45717</v>
      </c>
      <c r="R45" s="4" t="str">
        <f aca="false">IF($A45="","",IF(COUNTIF($A$2:$A45,$A45)&gt;1,"Sim","Não"))</f>
        <v>Sim</v>
      </c>
      <c r="S45" s="4" t="str">
        <f aca="false">IF(A45="","Descartar - Linha vazia",IF(R45="Sim","Descartar - Duplicado",IF(OR(H45&lt;=0,I45&lt;=0),"Descartar - Qtd/Valor inválido","OK")))</f>
        <v>Descartar - Duplicado</v>
      </c>
      <c r="T45" s="4" t="str">
        <f aca="false">Base_Bruta!P45</f>
        <v>vendas_SP.xlsx</v>
      </c>
    </row>
    <row r="46" customFormat="false" ht="15" hidden="false" customHeight="false" outlineLevel="0" collapsed="false">
      <c r="A46" s="4" t="str">
        <f aca="false">IF(Base_Bruta!A46="","",Base_Bruta!A46)</f>
        <v>SP-000679</v>
      </c>
      <c r="B46" s="5" t="n">
        <f aca="false">IF($A46="","",IF(ISNUMBER(Base_Bruta!B46),Base_Bruta!B46,IF(MID(Base_Bruta!B46,5,1)="-",DATE(VALUE(LEFT(Base_Bruta!B46,4)),VALUE(MID(Base_Bruta!B46,6,2)),VALUE(RIGHT(Base_Bruta!B46,2))),DATE(VALUE(RIGHT(Base_Bruta!B46,4)),VALUE(MID(Base_Bruta!B46,4,2)),VALUE(LEFT(Base_Bruta!B46,2))))))</f>
        <v>45765</v>
      </c>
      <c r="C46" s="5" t="n">
        <f aca="false">IF($A46="","",IF(ISNUMBER(Base_Bruta!C46),Base_Bruta!C46,IF(MID(Base_Bruta!C46,5,1)="-",DATE(VALUE(LEFT(Base_Bruta!C46,4)),VALUE(MID(Base_Bruta!C46,6,2)),VALUE(RIGHT(Base_Bruta!C46,2))),DATE(VALUE(RIGHT(Base_Bruta!C46,4)),VALUE(MID(Base_Bruta!C46,4,2)),VALUE(LEFT(Base_Bruta!C46,2))))))</f>
        <v>45765</v>
      </c>
      <c r="D46" s="4" t="str">
        <f aca="false">IF($A46="","",TRIM(Base_Bruta!D46))</f>
        <v>Cinema Paulista - Sessões</v>
      </c>
      <c r="E46" s="4" t="str">
        <f aca="false">IF($A46="","",_xlfn.XLOOKUP(LOWER(TRIM(Base_Bruta!E46)),DePara_Categoria!$A$2:$A$9,DePara_Categoria!$B$2:$B$9,"REVISAR"))</f>
        <v>Cinema</v>
      </c>
      <c r="F46" s="4" t="str">
        <f aca="false">IF($A46="","",_xlfn.XLOOKUP(LOWER(TRIM(Base_Bruta!F46)),DePara_Cidade!$A$2:$A$29,DePara_Cidade!$B$2:$B$29,"REVISAR"))</f>
        <v>São Paulo</v>
      </c>
      <c r="G46" s="4" t="str">
        <f aca="false">IF($A46="","",TRIM(Base_Bruta!G46))</f>
        <v>Inteira</v>
      </c>
      <c r="H46" s="4" t="n">
        <f aca="false">IF($A46="","",IF(ISNUMBER(Base_Bruta!H46),Base_Bruta!H46,IFERROR(_xlfn.NUMBERVALUE(TRIM(SUBSTITUTE(Base_Bruta!H46,"R$","")),",","."),0)))</f>
        <v>1</v>
      </c>
      <c r="I46" s="6" t="n">
        <f aca="false">IF($A46="","",IF(ISNUMBER(Base_Bruta!I46),Base_Bruta!I46,IFERROR(_xlfn.NUMBERVALUE(TRIM(SUBSTITUTE(Base_Bruta!I46,"R$","")),",","."),0)))</f>
        <v>45</v>
      </c>
      <c r="J46" s="6" t="n">
        <f aca="false">IF($A46="","",H46*I46)</f>
        <v>45</v>
      </c>
      <c r="K46" s="4" t="str">
        <f aca="false">IF($A46="","",TRIM(Base_Bruta!J46))</f>
        <v>Site</v>
      </c>
      <c r="L46" s="4" t="str">
        <f aca="false">IF($A46="","",TRIM(Base_Bruta!K46))</f>
        <v>C01708</v>
      </c>
      <c r="M46" s="4" t="str">
        <f aca="false">IF($A46="","",_xlfn.XLOOKUP(LOWER(TRIM(Base_Bruta!L46)),DePara_Cidade!$A$2:$A$29,DePara_Cidade!$B$2:$B$29,"REVISAR"))</f>
        <v>São Paulo</v>
      </c>
      <c r="N46" s="4" t="str">
        <f aca="false">IF($A46="","",UPPER(TRIM(Base_Bruta!M46)))</f>
        <v>SP</v>
      </c>
      <c r="O46" s="4" t="str">
        <f aca="false">IF($A46="","",_xlfn.XLOOKUP(LOWER(TRIM(Base_Bruta!N46)),DePara_Pais!$A$2:$A$9,DePara_Pais!$B$2:$B$9,"REVISAR"))</f>
        <v>Brasil</v>
      </c>
      <c r="P46" s="4" t="str">
        <f aca="false">IF($A46="","",IF(O46&lt;&gt;"Brasil","Turista Internacional",IF(M46=F46,"Local","Turista Nacional")))</f>
        <v>Local</v>
      </c>
      <c r="Q46" s="7" t="n">
        <f aca="false">IF($A46="","",DATE(YEAR(B46),MONTH(B46),1))</f>
        <v>45748</v>
      </c>
      <c r="R46" s="4" t="str">
        <f aca="false">IF($A46="","",IF(COUNTIF($A$2:$A46,$A46)&gt;1,"Sim","Não"))</f>
        <v>Não</v>
      </c>
      <c r="S46" s="4" t="str">
        <f aca="false">IF(A46="","Descartar - Linha vazia",IF(R46="Sim","Descartar - Duplicado",IF(OR(H46&lt;=0,I46&lt;=0),"Descartar - Qtd/Valor inválido","OK")))</f>
        <v>OK</v>
      </c>
      <c r="T46" s="4" t="str">
        <f aca="false">Base_Bruta!P46</f>
        <v>vendas_SP.xlsx</v>
      </c>
    </row>
    <row r="47" customFormat="false" ht="15" hidden="false" customHeight="false" outlineLevel="0" collapsed="false">
      <c r="A47" s="4" t="str">
        <f aca="false">IF(Base_Bruta!A47="","",Base_Bruta!A47)</f>
        <v>SP-000638</v>
      </c>
      <c r="B47" s="5" t="n">
        <f aca="false">IF($A47="","",IF(ISNUMBER(Base_Bruta!B47),Base_Bruta!B47,IF(MID(Base_Bruta!B47,5,1)="-",DATE(VALUE(LEFT(Base_Bruta!B47,4)),VALUE(MID(Base_Bruta!B47,6,2)),VALUE(RIGHT(Base_Bruta!B47,2))),DATE(VALUE(RIGHT(Base_Bruta!B47,4)),VALUE(MID(Base_Bruta!B47,4,2)),VALUE(LEFT(Base_Bruta!B47,2))))))</f>
        <v>45767</v>
      </c>
      <c r="C47" s="5" t="n">
        <f aca="false">IF($A47="","",IF(ISNUMBER(Base_Bruta!C47),Base_Bruta!C47,IF(MID(Base_Bruta!C47,5,1)="-",DATE(VALUE(LEFT(Base_Bruta!C47,4)),VALUE(MID(Base_Bruta!C47,6,2)),VALUE(RIGHT(Base_Bruta!C47,2))),DATE(VALUE(RIGHT(Base_Bruta!C47,4)),VALUE(MID(Base_Bruta!C47,4,2)),VALUE(LEFT(Base_Bruta!C47,2))))))</f>
        <v>45767</v>
      </c>
      <c r="D47" s="4" t="str">
        <f aca="false">IF($A47="","",TRIM(Base_Bruta!D47))</f>
        <v>Cinema Paulista - Sessões</v>
      </c>
      <c r="E47" s="4" t="str">
        <f aca="false">IF($A47="","",_xlfn.XLOOKUP(LOWER(TRIM(Base_Bruta!E47)),DePara_Categoria!$A$2:$A$9,DePara_Categoria!$B$2:$B$9,"REVISAR"))</f>
        <v>Cinema</v>
      </c>
      <c r="F47" s="4" t="str">
        <f aca="false">IF($A47="","",_xlfn.XLOOKUP(LOWER(TRIM(Base_Bruta!F47)),DePara_Cidade!$A$2:$A$29,DePara_Cidade!$B$2:$B$29,"REVISAR"))</f>
        <v>São Paulo</v>
      </c>
      <c r="G47" s="4" t="str">
        <f aca="false">IF($A47="","",TRIM(Base_Bruta!G47))</f>
        <v>Inteira</v>
      </c>
      <c r="H47" s="4" t="n">
        <f aca="false">IF($A47="","",IF(ISNUMBER(Base_Bruta!H47),Base_Bruta!H47,IFERROR(_xlfn.NUMBERVALUE(TRIM(SUBSTITUTE(Base_Bruta!H47,"R$","")),",","."),0)))</f>
        <v>2</v>
      </c>
      <c r="I47" s="6" t="n">
        <f aca="false">IF($A47="","",IF(ISNUMBER(Base_Bruta!I47),Base_Bruta!I47,IFERROR(_xlfn.NUMBERVALUE(TRIM(SUBSTITUTE(Base_Bruta!I47,"R$","")),",","."),0)))</f>
        <v>35</v>
      </c>
      <c r="J47" s="6" t="n">
        <f aca="false">IF($A47="","",H47*I47)</f>
        <v>70</v>
      </c>
      <c r="K47" s="4" t="str">
        <f aca="false">IF($A47="","",TRIM(Base_Bruta!J47))</f>
        <v>Site</v>
      </c>
      <c r="L47" s="4" t="str">
        <f aca="false">IF($A47="","",TRIM(Base_Bruta!K47))</f>
        <v>C01469</v>
      </c>
      <c r="M47" s="4" t="str">
        <f aca="false">IF($A47="","",_xlfn.XLOOKUP(LOWER(TRIM(Base_Bruta!L47)),DePara_Cidade!$A$2:$A$29,DePara_Cidade!$B$2:$B$29,"REVISAR"))</f>
        <v>São Paulo</v>
      </c>
      <c r="N47" s="4" t="str">
        <f aca="false">IF($A47="","",UPPER(TRIM(Base_Bruta!M47)))</f>
        <v>SP</v>
      </c>
      <c r="O47" s="4" t="str">
        <f aca="false">IF($A47="","",_xlfn.XLOOKUP(LOWER(TRIM(Base_Bruta!N47)),DePara_Pais!$A$2:$A$9,DePara_Pais!$B$2:$B$9,"REVISAR"))</f>
        <v>Brasil</v>
      </c>
      <c r="P47" s="4" t="str">
        <f aca="false">IF($A47="","",IF(O47&lt;&gt;"Brasil","Turista Internacional",IF(M47=F47,"Local","Turista Nacional")))</f>
        <v>Local</v>
      </c>
      <c r="Q47" s="7" t="n">
        <f aca="false">IF($A47="","",DATE(YEAR(B47),MONTH(B47),1))</f>
        <v>45748</v>
      </c>
      <c r="R47" s="4" t="str">
        <f aca="false">IF($A47="","",IF(COUNTIF($A$2:$A47,$A47)&gt;1,"Sim","Não"))</f>
        <v>Não</v>
      </c>
      <c r="S47" s="4" t="str">
        <f aca="false">IF(A47="","Descartar - Linha vazia",IF(R47="Sim","Descartar - Duplicado",IF(OR(H47&lt;=0,I47&lt;=0),"Descartar - Qtd/Valor inválido","OK")))</f>
        <v>OK</v>
      </c>
      <c r="T47" s="4" t="str">
        <f aca="false">Base_Bruta!P47</f>
        <v>vendas_SP.xlsx</v>
      </c>
    </row>
    <row r="48" customFormat="false" ht="15" hidden="false" customHeight="false" outlineLevel="0" collapsed="false">
      <c r="A48" s="4" t="str">
        <f aca="false">IF(Base_Bruta!A48="","",Base_Bruta!A48)</f>
        <v>SP-000693</v>
      </c>
      <c r="B48" s="5" t="n">
        <f aca="false">IF($A48="","",IF(ISNUMBER(Base_Bruta!B48),Base_Bruta!B48,IF(MID(Base_Bruta!B48,5,1)="-",DATE(VALUE(LEFT(Base_Bruta!B48,4)),VALUE(MID(Base_Bruta!B48,6,2)),VALUE(RIGHT(Base_Bruta!B48,2))),DATE(VALUE(RIGHT(Base_Bruta!B48,4)),VALUE(MID(Base_Bruta!B48,4,2)),VALUE(LEFT(Base_Bruta!B48,2))))))</f>
        <v>45768</v>
      </c>
      <c r="C48" s="5" t="n">
        <f aca="false">IF($A48="","",IF(ISNUMBER(Base_Bruta!C48),Base_Bruta!C48,IF(MID(Base_Bruta!C48,5,1)="-",DATE(VALUE(LEFT(Base_Bruta!C48,4)),VALUE(MID(Base_Bruta!C48,6,2)),VALUE(RIGHT(Base_Bruta!C48,2))),DATE(VALUE(RIGHT(Base_Bruta!C48,4)),VALUE(MID(Base_Bruta!C48,4,2)),VALUE(LEFT(Base_Bruta!C48,2))))))</f>
        <v>45770</v>
      </c>
      <c r="D48" s="4" t="str">
        <f aca="false">IF($A48="","",TRIM(Base_Bruta!D48))</f>
        <v>Cinema Paulista - Sessões</v>
      </c>
      <c r="E48" s="4" t="str">
        <f aca="false">IF($A48="","",_xlfn.XLOOKUP(LOWER(TRIM(Base_Bruta!E48)),DePara_Categoria!$A$2:$A$9,DePara_Categoria!$B$2:$B$9,"REVISAR"))</f>
        <v>Cinema</v>
      </c>
      <c r="F48" s="4" t="str">
        <f aca="false">IF($A48="","",_xlfn.XLOOKUP(LOWER(TRIM(Base_Bruta!F48)),DePara_Cidade!$A$2:$A$29,DePara_Cidade!$B$2:$B$29,"REVISAR"))</f>
        <v>São Paulo</v>
      </c>
      <c r="G48" s="4" t="str">
        <f aca="false">IF($A48="","",TRIM(Base_Bruta!G48))</f>
        <v>Inteira</v>
      </c>
      <c r="H48" s="4" t="n">
        <f aca="false">IF($A48="","",IF(ISNUMBER(Base_Bruta!H48),Base_Bruta!H48,IFERROR(_xlfn.NUMBERVALUE(TRIM(SUBSTITUTE(Base_Bruta!H48,"R$","")),",","."),0)))</f>
        <v>1</v>
      </c>
      <c r="I48" s="6" t="n">
        <f aca="false">IF($A48="","",IF(ISNUMBER(Base_Bruta!I48),Base_Bruta!I48,IFERROR(_xlfn.NUMBERVALUE(TRIM(SUBSTITUTE(Base_Bruta!I48,"R$","")),",","."),0)))</f>
        <v>35</v>
      </c>
      <c r="J48" s="6" t="n">
        <f aca="false">IF($A48="","",H48*I48)</f>
        <v>35</v>
      </c>
      <c r="K48" s="4" t="str">
        <f aca="false">IF($A48="","",TRIM(Base_Bruta!J48))</f>
        <v>App</v>
      </c>
      <c r="L48" s="4" t="str">
        <f aca="false">IF($A48="","",TRIM(Base_Bruta!K48))</f>
        <v>C00738</v>
      </c>
      <c r="M48" s="4" t="str">
        <f aca="false">IF($A48="","",_xlfn.XLOOKUP(LOWER(TRIM(Base_Bruta!L48)),DePara_Cidade!$A$2:$A$29,DePara_Cidade!$B$2:$B$29,"REVISAR"))</f>
        <v>São Paulo</v>
      </c>
      <c r="N48" s="4" t="str">
        <f aca="false">IF($A48="","",UPPER(TRIM(Base_Bruta!M48)))</f>
        <v>SP</v>
      </c>
      <c r="O48" s="4" t="str">
        <f aca="false">IF($A48="","",_xlfn.XLOOKUP(LOWER(TRIM(Base_Bruta!N48)),DePara_Pais!$A$2:$A$9,DePara_Pais!$B$2:$B$9,"REVISAR"))</f>
        <v>Brasil</v>
      </c>
      <c r="P48" s="4" t="str">
        <f aca="false">IF($A48="","",IF(O48&lt;&gt;"Brasil","Turista Internacional",IF(M48=F48,"Local","Turista Nacional")))</f>
        <v>Local</v>
      </c>
      <c r="Q48" s="7" t="n">
        <f aca="false">IF($A48="","",DATE(YEAR(B48),MONTH(B48),1))</f>
        <v>45748</v>
      </c>
      <c r="R48" s="4" t="str">
        <f aca="false">IF($A48="","",IF(COUNTIF($A$2:$A48,$A48)&gt;1,"Sim","Não"))</f>
        <v>Não</v>
      </c>
      <c r="S48" s="4" t="str">
        <f aca="false">IF(A48="","Descartar - Linha vazia",IF(R48="Sim","Descartar - Duplicado",IF(OR(H48&lt;=0,I48&lt;=0),"Descartar - Qtd/Valor inválido","OK")))</f>
        <v>OK</v>
      </c>
      <c r="T48" s="4" t="str">
        <f aca="false">Base_Bruta!P48</f>
        <v>vendas_SP.xlsx</v>
      </c>
    </row>
    <row r="49" customFormat="false" ht="15" hidden="false" customHeight="false" outlineLevel="0" collapsed="false">
      <c r="A49" s="4" t="str">
        <f aca="false">IF(Base_Bruta!A49="","",Base_Bruta!A49)</f>
        <v>SP-000635</v>
      </c>
      <c r="B49" s="5" t="n">
        <f aca="false">IF($A49="","",IF(ISNUMBER(Base_Bruta!B49),Base_Bruta!B49,IF(MID(Base_Bruta!B49,5,1)="-",DATE(VALUE(LEFT(Base_Bruta!B49,4)),VALUE(MID(Base_Bruta!B49,6,2)),VALUE(RIGHT(Base_Bruta!B49,2))),DATE(VALUE(RIGHT(Base_Bruta!B49,4)),VALUE(MID(Base_Bruta!B49,4,2)),VALUE(LEFT(Base_Bruta!B49,2))))))</f>
        <v>45770</v>
      </c>
      <c r="C49" s="5" t="n">
        <f aca="false">IF($A49="","",IF(ISNUMBER(Base_Bruta!C49),Base_Bruta!C49,IF(MID(Base_Bruta!C49,5,1)="-",DATE(VALUE(LEFT(Base_Bruta!C49,4)),VALUE(MID(Base_Bruta!C49,6,2)),VALUE(RIGHT(Base_Bruta!C49,2))),DATE(VALUE(RIGHT(Base_Bruta!C49,4)),VALUE(MID(Base_Bruta!C49,4,2)),VALUE(LEFT(Base_Bruta!C49,2))))))</f>
        <v>45772</v>
      </c>
      <c r="D49" s="4" t="str">
        <f aca="false">IF($A49="","",TRIM(Base_Bruta!D49))</f>
        <v>Cinema Paulista - Sessões</v>
      </c>
      <c r="E49" s="4" t="str">
        <f aca="false">IF($A49="","",_xlfn.XLOOKUP(LOWER(TRIM(Base_Bruta!E49)),DePara_Categoria!$A$2:$A$9,DePara_Categoria!$B$2:$B$9,"REVISAR"))</f>
        <v>Cinema</v>
      </c>
      <c r="F49" s="4" t="str">
        <f aca="false">IF($A49="","",_xlfn.XLOOKUP(LOWER(TRIM(Base_Bruta!F49)),DePara_Cidade!$A$2:$A$29,DePara_Cidade!$B$2:$B$29,"REVISAR"))</f>
        <v>São Paulo</v>
      </c>
      <c r="G49" s="4" t="str">
        <f aca="false">IF($A49="","",TRIM(Base_Bruta!G49))</f>
        <v>Inteira</v>
      </c>
      <c r="H49" s="4" t="n">
        <f aca="false">IF($A49="","",IF(ISNUMBER(Base_Bruta!H49),Base_Bruta!H49,IFERROR(_xlfn.NUMBERVALUE(TRIM(SUBSTITUTE(Base_Bruta!H49,"R$","")),",","."),0)))</f>
        <v>2</v>
      </c>
      <c r="I49" s="6" t="n">
        <f aca="false">IF($A49="","",IF(ISNUMBER(Base_Bruta!I49),Base_Bruta!I49,IFERROR(_xlfn.NUMBERVALUE(TRIM(SUBSTITUTE(Base_Bruta!I49,"R$","")),",","."),0)))</f>
        <v>35</v>
      </c>
      <c r="J49" s="6" t="n">
        <f aca="false">IF($A49="","",H49*I49)</f>
        <v>70</v>
      </c>
      <c r="K49" s="4" t="str">
        <f aca="false">IF($A49="","",TRIM(Base_Bruta!J49))</f>
        <v>App</v>
      </c>
      <c r="L49" s="4" t="str">
        <f aca="false">IF($A49="","",TRIM(Base_Bruta!K49))</f>
        <v>C00334</v>
      </c>
      <c r="M49" s="4" t="str">
        <f aca="false">IF($A49="","",_xlfn.XLOOKUP(LOWER(TRIM(Base_Bruta!L49)),DePara_Cidade!$A$2:$A$29,DePara_Cidade!$B$2:$B$29,"REVISAR"))</f>
        <v>São Paulo</v>
      </c>
      <c r="N49" s="4" t="str">
        <f aca="false">IF($A49="","",UPPER(TRIM(Base_Bruta!M49)))</f>
        <v>SP</v>
      </c>
      <c r="O49" s="4" t="str">
        <f aca="false">IF($A49="","",_xlfn.XLOOKUP(LOWER(TRIM(Base_Bruta!N49)),DePara_Pais!$A$2:$A$9,DePara_Pais!$B$2:$B$9,"REVISAR"))</f>
        <v>Brasil</v>
      </c>
      <c r="P49" s="4" t="str">
        <f aca="false">IF($A49="","",IF(O49&lt;&gt;"Brasil","Turista Internacional",IF(M49=F49,"Local","Turista Nacional")))</f>
        <v>Local</v>
      </c>
      <c r="Q49" s="7" t="n">
        <f aca="false">IF($A49="","",DATE(YEAR(B49),MONTH(B49),1))</f>
        <v>45748</v>
      </c>
      <c r="R49" s="4" t="str">
        <f aca="false">IF($A49="","",IF(COUNTIF($A$2:$A49,$A49)&gt;1,"Sim","Não"))</f>
        <v>Não</v>
      </c>
      <c r="S49" s="4" t="str">
        <f aca="false">IF(A49="","Descartar - Linha vazia",IF(R49="Sim","Descartar - Duplicado",IF(OR(H49&lt;=0,I49&lt;=0),"Descartar - Qtd/Valor inválido","OK")))</f>
        <v>OK</v>
      </c>
      <c r="T49" s="4" t="str">
        <f aca="false">Base_Bruta!P49</f>
        <v>vendas_SP.xlsx</v>
      </c>
    </row>
    <row r="50" customFormat="false" ht="15" hidden="false" customHeight="false" outlineLevel="0" collapsed="false">
      <c r="A50" s="4" t="str">
        <f aca="false">IF(Base_Bruta!A50="","",Base_Bruta!A50)</f>
        <v>SP-000687</v>
      </c>
      <c r="B50" s="5" t="n">
        <f aca="false">IF($A50="","",IF(ISNUMBER(Base_Bruta!B50),Base_Bruta!B50,IF(MID(Base_Bruta!B50,5,1)="-",DATE(VALUE(LEFT(Base_Bruta!B50,4)),VALUE(MID(Base_Bruta!B50,6,2)),VALUE(RIGHT(Base_Bruta!B50,2))),DATE(VALUE(RIGHT(Base_Bruta!B50,4)),VALUE(MID(Base_Bruta!B50,4,2)),VALUE(LEFT(Base_Bruta!B50,2))))))</f>
        <v>45771</v>
      </c>
      <c r="C50" s="5" t="n">
        <f aca="false">IF($A50="","",IF(ISNUMBER(Base_Bruta!C50),Base_Bruta!C50,IF(MID(Base_Bruta!C50,5,1)="-",DATE(VALUE(LEFT(Base_Bruta!C50,4)),VALUE(MID(Base_Bruta!C50,6,2)),VALUE(RIGHT(Base_Bruta!C50,2))),DATE(VALUE(RIGHT(Base_Bruta!C50,4)),VALUE(MID(Base_Bruta!C50,4,2)),VALUE(LEFT(Base_Bruta!C50,2))))))</f>
        <v>45772</v>
      </c>
      <c r="D50" s="4" t="str">
        <f aca="false">IF($A50="","",TRIM(Base_Bruta!D50))</f>
        <v>Cinema Paulista - Sessões</v>
      </c>
      <c r="E50" s="4" t="str">
        <f aca="false">IF($A50="","",_xlfn.XLOOKUP(LOWER(TRIM(Base_Bruta!E50)),DePara_Categoria!$A$2:$A$9,DePara_Categoria!$B$2:$B$9,"REVISAR"))</f>
        <v>Cinema</v>
      </c>
      <c r="F50" s="4" t="str">
        <f aca="false">IF($A50="","",_xlfn.XLOOKUP(LOWER(TRIM(Base_Bruta!F50)),DePara_Cidade!$A$2:$A$29,DePara_Cidade!$B$2:$B$29,"REVISAR"))</f>
        <v>São Paulo</v>
      </c>
      <c r="G50" s="4" t="str">
        <f aca="false">IF($A50="","",TRIM(Base_Bruta!G50))</f>
        <v>Inteira</v>
      </c>
      <c r="H50" s="4" t="n">
        <f aca="false">IF($A50="","",IF(ISNUMBER(Base_Bruta!H50),Base_Bruta!H50,IFERROR(_xlfn.NUMBERVALUE(TRIM(SUBSTITUTE(Base_Bruta!H50,"R$","")),",","."),0)))</f>
        <v>1</v>
      </c>
      <c r="I50" s="6" t="n">
        <f aca="false">IF($A50="","",IF(ISNUMBER(Base_Bruta!I50),Base_Bruta!I50,IFERROR(_xlfn.NUMBERVALUE(TRIM(SUBSTITUTE(Base_Bruta!I50,"R$","")),",","."),0)))</f>
        <v>35</v>
      </c>
      <c r="J50" s="6" t="n">
        <f aca="false">IF($A50="","",H50*I50)</f>
        <v>35</v>
      </c>
      <c r="K50" s="4" t="str">
        <f aca="false">IF($A50="","",TRIM(Base_Bruta!J50))</f>
        <v>App</v>
      </c>
      <c r="L50" s="4" t="str">
        <f aca="false">IF($A50="","",TRIM(Base_Bruta!K50))</f>
        <v>C00794</v>
      </c>
      <c r="M50" s="4" t="str">
        <f aca="false">IF($A50="","",_xlfn.XLOOKUP(LOWER(TRIM(Base_Bruta!L50)),DePara_Cidade!$A$2:$A$29,DePara_Cidade!$B$2:$B$29,"REVISAR"))</f>
        <v>São Paulo</v>
      </c>
      <c r="N50" s="4" t="str">
        <f aca="false">IF($A50="","",UPPER(TRIM(Base_Bruta!M50)))</f>
        <v>SP</v>
      </c>
      <c r="O50" s="4" t="str">
        <f aca="false">IF($A50="","",_xlfn.XLOOKUP(LOWER(TRIM(Base_Bruta!N50)),DePara_Pais!$A$2:$A$9,DePara_Pais!$B$2:$B$9,"REVISAR"))</f>
        <v>Brasil</v>
      </c>
      <c r="P50" s="4" t="str">
        <f aca="false">IF($A50="","",IF(O50&lt;&gt;"Brasil","Turista Internacional",IF(M50=F50,"Local","Turista Nacional")))</f>
        <v>Local</v>
      </c>
      <c r="Q50" s="7" t="n">
        <f aca="false">IF($A50="","",DATE(YEAR(B50),MONTH(B50),1))</f>
        <v>45748</v>
      </c>
      <c r="R50" s="4" t="str">
        <f aca="false">IF($A50="","",IF(COUNTIF($A$2:$A50,$A50)&gt;1,"Sim","Não"))</f>
        <v>Não</v>
      </c>
      <c r="S50" s="4" t="str">
        <f aca="false">IF(A50="","Descartar - Linha vazia",IF(R50="Sim","Descartar - Duplicado",IF(OR(H50&lt;=0,I50&lt;=0),"Descartar - Qtd/Valor inválido","OK")))</f>
        <v>OK</v>
      </c>
      <c r="T50" s="4" t="str">
        <f aca="false">Base_Bruta!P50</f>
        <v>vendas_SP.xlsx</v>
      </c>
    </row>
    <row r="51" customFormat="false" ht="15" hidden="false" customHeight="false" outlineLevel="0" collapsed="false">
      <c r="A51" s="4" t="str">
        <f aca="false">IF(Base_Bruta!A51="","",Base_Bruta!A51)</f>
        <v>SP-000645</v>
      </c>
      <c r="B51" s="5" t="n">
        <f aca="false">IF($A51="","",IF(ISNUMBER(Base_Bruta!B51),Base_Bruta!B51,IF(MID(Base_Bruta!B51,5,1)="-",DATE(VALUE(LEFT(Base_Bruta!B51,4)),VALUE(MID(Base_Bruta!B51,6,2)),VALUE(RIGHT(Base_Bruta!B51,2))),DATE(VALUE(RIGHT(Base_Bruta!B51,4)),VALUE(MID(Base_Bruta!B51,4,2)),VALUE(LEFT(Base_Bruta!B51,2))))))</f>
        <v>45773</v>
      </c>
      <c r="C51" s="5" t="n">
        <f aca="false">IF($A51="","",IF(ISNUMBER(Base_Bruta!C51),Base_Bruta!C51,IF(MID(Base_Bruta!C51,5,1)="-",DATE(VALUE(LEFT(Base_Bruta!C51,4)),VALUE(MID(Base_Bruta!C51,6,2)),VALUE(RIGHT(Base_Bruta!C51,2))),DATE(VALUE(RIGHT(Base_Bruta!C51,4)),VALUE(MID(Base_Bruta!C51,4,2)),VALUE(LEFT(Base_Bruta!C51,2))))))</f>
        <v>45774</v>
      </c>
      <c r="D51" s="4" t="str">
        <f aca="false">IF($A51="","",TRIM(Base_Bruta!D51))</f>
        <v>Cinema Paulista - Sessões</v>
      </c>
      <c r="E51" s="4" t="str">
        <f aca="false">IF($A51="","",_xlfn.XLOOKUP(LOWER(TRIM(Base_Bruta!E51)),DePara_Categoria!$A$2:$A$9,DePara_Categoria!$B$2:$B$9,"REVISAR"))</f>
        <v>Cinema</v>
      </c>
      <c r="F51" s="4" t="str">
        <f aca="false">IF($A51="","",_xlfn.XLOOKUP(LOWER(TRIM(Base_Bruta!F51)),DePara_Cidade!$A$2:$A$29,DePara_Cidade!$B$2:$B$29,"REVISAR"))</f>
        <v>São Paulo</v>
      </c>
      <c r="G51" s="4" t="str">
        <f aca="false">IF($A51="","",TRIM(Base_Bruta!G51))</f>
        <v>Inteira</v>
      </c>
      <c r="H51" s="4" t="n">
        <f aca="false">IF($A51="","",IF(ISNUMBER(Base_Bruta!H51),Base_Bruta!H51,IFERROR(_xlfn.NUMBERVALUE(TRIM(SUBSTITUTE(Base_Bruta!H51,"R$","")),",","."),0)))</f>
        <v>2</v>
      </c>
      <c r="I51" s="6" t="n">
        <f aca="false">IF($A51="","",IF(ISNUMBER(Base_Bruta!I51),Base_Bruta!I51,IFERROR(_xlfn.NUMBERVALUE(TRIM(SUBSTITUTE(Base_Bruta!I51,"R$","")),",","."),0)))</f>
        <v>40</v>
      </c>
      <c r="J51" s="6" t="n">
        <f aca="false">IF($A51="","",H51*I51)</f>
        <v>80</v>
      </c>
      <c r="K51" s="4" t="str">
        <f aca="false">IF($A51="","",TRIM(Base_Bruta!J51))</f>
        <v>Site</v>
      </c>
      <c r="L51" s="4" t="str">
        <f aca="false">IF($A51="","",TRIM(Base_Bruta!K51))</f>
        <v>C02369</v>
      </c>
      <c r="M51" s="4" t="str">
        <f aca="false">IF($A51="","",_xlfn.XLOOKUP(LOWER(TRIM(Base_Bruta!L51)),DePara_Cidade!$A$2:$A$29,DePara_Cidade!$B$2:$B$29,"REVISAR"))</f>
        <v>São Paulo</v>
      </c>
      <c r="N51" s="4" t="str">
        <f aca="false">IF($A51="","",UPPER(TRIM(Base_Bruta!M51)))</f>
        <v>SP</v>
      </c>
      <c r="O51" s="4" t="str">
        <f aca="false">IF($A51="","",_xlfn.XLOOKUP(LOWER(TRIM(Base_Bruta!N51)),DePara_Pais!$A$2:$A$9,DePara_Pais!$B$2:$B$9,"REVISAR"))</f>
        <v>Brasil</v>
      </c>
      <c r="P51" s="4" t="str">
        <f aca="false">IF($A51="","",IF(O51&lt;&gt;"Brasil","Turista Internacional",IF(M51=F51,"Local","Turista Nacional")))</f>
        <v>Local</v>
      </c>
      <c r="Q51" s="7" t="n">
        <f aca="false">IF($A51="","",DATE(YEAR(B51),MONTH(B51),1))</f>
        <v>45748</v>
      </c>
      <c r="R51" s="4" t="str">
        <f aca="false">IF($A51="","",IF(COUNTIF($A$2:$A51,$A51)&gt;1,"Sim","Não"))</f>
        <v>Não</v>
      </c>
      <c r="S51" s="4" t="str">
        <f aca="false">IF(A51="","Descartar - Linha vazia",IF(R51="Sim","Descartar - Duplicado",IF(OR(H51&lt;=0,I51&lt;=0),"Descartar - Qtd/Valor inválido","OK")))</f>
        <v>OK</v>
      </c>
      <c r="T51" s="4" t="str">
        <f aca="false">Base_Bruta!P51</f>
        <v>vendas_SP.xlsx</v>
      </c>
    </row>
    <row r="52" customFormat="false" ht="15" hidden="false" customHeight="false" outlineLevel="0" collapsed="false">
      <c r="A52" s="4" t="str">
        <f aca="false">IF(Base_Bruta!A52="","",Base_Bruta!A52)</f>
        <v>SP-000649</v>
      </c>
      <c r="B52" s="5" t="n">
        <f aca="false">IF($A52="","",IF(ISNUMBER(Base_Bruta!B52),Base_Bruta!B52,IF(MID(Base_Bruta!B52,5,1)="-",DATE(VALUE(LEFT(Base_Bruta!B52,4)),VALUE(MID(Base_Bruta!B52,6,2)),VALUE(RIGHT(Base_Bruta!B52,2))),DATE(VALUE(RIGHT(Base_Bruta!B52,4)),VALUE(MID(Base_Bruta!B52,4,2)),VALUE(LEFT(Base_Bruta!B52,2))))))</f>
        <v>45780</v>
      </c>
      <c r="C52" s="5" t="n">
        <f aca="false">IF($A52="","",IF(ISNUMBER(Base_Bruta!C52),Base_Bruta!C52,IF(MID(Base_Bruta!C52,5,1)="-",DATE(VALUE(LEFT(Base_Bruta!C52,4)),VALUE(MID(Base_Bruta!C52,6,2)),VALUE(RIGHT(Base_Bruta!C52,2))),DATE(VALUE(RIGHT(Base_Bruta!C52,4)),VALUE(MID(Base_Bruta!C52,4,2)),VALUE(LEFT(Base_Bruta!C52,2))))))</f>
        <v>45782</v>
      </c>
      <c r="D52" s="4" t="str">
        <f aca="false">IF($A52="","",TRIM(Base_Bruta!D52))</f>
        <v>Cinema Paulista - Sessões</v>
      </c>
      <c r="E52" s="4" t="str">
        <f aca="false">IF($A52="","",_xlfn.XLOOKUP(LOWER(TRIM(Base_Bruta!E52)),DePara_Categoria!$A$2:$A$9,DePara_Categoria!$B$2:$B$9,"REVISAR"))</f>
        <v>Cinema</v>
      </c>
      <c r="F52" s="4" t="str">
        <f aca="false">IF($A52="","",_xlfn.XLOOKUP(LOWER(TRIM(Base_Bruta!F52)),DePara_Cidade!$A$2:$A$29,DePara_Cidade!$B$2:$B$29,"REVISAR"))</f>
        <v>São Paulo</v>
      </c>
      <c r="G52" s="4" t="str">
        <f aca="false">IF($A52="","",TRIM(Base_Bruta!G52))</f>
        <v>Inteira</v>
      </c>
      <c r="H52" s="4" t="n">
        <f aca="false">IF($A52="","",IF(ISNUMBER(Base_Bruta!H52),Base_Bruta!H52,IFERROR(_xlfn.NUMBERVALUE(TRIM(SUBSTITUTE(Base_Bruta!H52,"R$","")),",","."),0)))</f>
        <v>1</v>
      </c>
      <c r="I52" s="6" t="n">
        <f aca="false">IF($A52="","",IF(ISNUMBER(Base_Bruta!I52),Base_Bruta!I52,IFERROR(_xlfn.NUMBERVALUE(TRIM(SUBSTITUTE(Base_Bruta!I52,"R$","")),",","."),0)))</f>
        <v>30</v>
      </c>
      <c r="J52" s="6" t="n">
        <f aca="false">IF($A52="","",H52*I52)</f>
        <v>30</v>
      </c>
      <c r="K52" s="4" t="str">
        <f aca="false">IF($A52="","",TRIM(Base_Bruta!J52))</f>
        <v>App</v>
      </c>
      <c r="L52" s="4" t="str">
        <f aca="false">IF($A52="","",TRIM(Base_Bruta!K52))</f>
        <v>C01659</v>
      </c>
      <c r="M52" s="4" t="str">
        <f aca="false">IF($A52="","",_xlfn.XLOOKUP(LOWER(TRIM(Base_Bruta!L52)),DePara_Cidade!$A$2:$A$29,DePara_Cidade!$B$2:$B$29,"REVISAR"))</f>
        <v>São Paulo</v>
      </c>
      <c r="N52" s="4" t="str">
        <f aca="false">IF($A52="","",UPPER(TRIM(Base_Bruta!M52)))</f>
        <v>SP</v>
      </c>
      <c r="O52" s="4" t="str">
        <f aca="false">IF($A52="","",_xlfn.XLOOKUP(LOWER(TRIM(Base_Bruta!N52)),DePara_Pais!$A$2:$A$9,DePara_Pais!$B$2:$B$9,"REVISAR"))</f>
        <v>Brasil</v>
      </c>
      <c r="P52" s="4" t="str">
        <f aca="false">IF($A52="","",IF(O52&lt;&gt;"Brasil","Turista Internacional",IF(M52=F52,"Local","Turista Nacional")))</f>
        <v>Local</v>
      </c>
      <c r="Q52" s="7" t="n">
        <f aca="false">IF($A52="","",DATE(YEAR(B52),MONTH(B52),1))</f>
        <v>45778</v>
      </c>
      <c r="R52" s="4" t="str">
        <f aca="false">IF($A52="","",IF(COUNTIF($A$2:$A52,$A52)&gt;1,"Sim","Não"))</f>
        <v>Não</v>
      </c>
      <c r="S52" s="4" t="str">
        <f aca="false">IF(A52="","Descartar - Linha vazia",IF(R52="Sim","Descartar - Duplicado",IF(OR(H52&lt;=0,I52&lt;=0),"Descartar - Qtd/Valor inválido","OK")))</f>
        <v>OK</v>
      </c>
      <c r="T52" s="4" t="str">
        <f aca="false">Base_Bruta!P52</f>
        <v>vendas_SP.xlsx</v>
      </c>
    </row>
    <row r="53" customFormat="false" ht="15" hidden="false" customHeight="false" outlineLevel="0" collapsed="false">
      <c r="A53" s="4" t="str">
        <f aca="false">IF(Base_Bruta!A53="","",Base_Bruta!A53)</f>
        <v>SP-000671</v>
      </c>
      <c r="B53" s="5" t="n">
        <f aca="false">IF($A53="","",IF(ISNUMBER(Base_Bruta!B53),Base_Bruta!B53,IF(MID(Base_Bruta!B53,5,1)="-",DATE(VALUE(LEFT(Base_Bruta!B53,4)),VALUE(MID(Base_Bruta!B53,6,2)),VALUE(RIGHT(Base_Bruta!B53,2))),DATE(VALUE(RIGHT(Base_Bruta!B53,4)),VALUE(MID(Base_Bruta!B53,4,2)),VALUE(LEFT(Base_Bruta!B53,2))))))</f>
        <v>45784</v>
      </c>
      <c r="C53" s="5" t="n">
        <f aca="false">IF($A53="","",IF(ISNUMBER(Base_Bruta!C53),Base_Bruta!C53,IF(MID(Base_Bruta!C53,5,1)="-",DATE(VALUE(LEFT(Base_Bruta!C53,4)),VALUE(MID(Base_Bruta!C53,6,2)),VALUE(RIGHT(Base_Bruta!C53,2))),DATE(VALUE(RIGHT(Base_Bruta!C53,4)),VALUE(MID(Base_Bruta!C53,4,2)),VALUE(LEFT(Base_Bruta!C53,2))))))</f>
        <v>45785</v>
      </c>
      <c r="D53" s="4" t="str">
        <f aca="false">IF($A53="","",TRIM(Base_Bruta!D53))</f>
        <v>Cinema Paulista - Sessões</v>
      </c>
      <c r="E53" s="4" t="str">
        <f aca="false">IF($A53="","",_xlfn.XLOOKUP(LOWER(TRIM(Base_Bruta!E53)),DePara_Categoria!$A$2:$A$9,DePara_Categoria!$B$2:$B$9,"REVISAR"))</f>
        <v>Cinema</v>
      </c>
      <c r="F53" s="4" t="str">
        <f aca="false">IF($A53="","",_xlfn.XLOOKUP(LOWER(TRIM(Base_Bruta!F53)),DePara_Cidade!$A$2:$A$29,DePara_Cidade!$B$2:$B$29,"REVISAR"))</f>
        <v>São Paulo</v>
      </c>
      <c r="G53" s="4" t="str">
        <f aca="false">IF($A53="","",TRIM(Base_Bruta!G53))</f>
        <v>Meia</v>
      </c>
      <c r="H53" s="4" t="n">
        <f aca="false">IF($A53="","",IF(ISNUMBER(Base_Bruta!H53),Base_Bruta!H53,IFERROR(_xlfn.NUMBERVALUE(TRIM(SUBSTITUTE(Base_Bruta!H53,"R$","")),",","."),0)))</f>
        <v>3</v>
      </c>
      <c r="I53" s="6" t="n">
        <f aca="false">IF($A53="","",IF(ISNUMBER(Base_Bruta!I53),Base_Bruta!I53,IFERROR(_xlfn.NUMBERVALUE(TRIM(SUBSTITUTE(Base_Bruta!I53,"R$","")),",","."),0)))</f>
        <v>15</v>
      </c>
      <c r="J53" s="6" t="n">
        <f aca="false">IF($A53="","",H53*I53)</f>
        <v>45</v>
      </c>
      <c r="K53" s="4" t="str">
        <f aca="false">IF($A53="","",TRIM(Base_Bruta!J53))</f>
        <v>App</v>
      </c>
      <c r="L53" s="4" t="str">
        <f aca="false">IF($A53="","",TRIM(Base_Bruta!K53))</f>
        <v>C01186</v>
      </c>
      <c r="M53" s="4" t="str">
        <f aca="false">IF($A53="","",_xlfn.XLOOKUP(LOWER(TRIM(Base_Bruta!L53)),DePara_Cidade!$A$2:$A$29,DePara_Cidade!$B$2:$B$29,"REVISAR"))</f>
        <v>São Paulo</v>
      </c>
      <c r="N53" s="4" t="str">
        <f aca="false">IF($A53="","",UPPER(TRIM(Base_Bruta!M53)))</f>
        <v>SP</v>
      </c>
      <c r="O53" s="4" t="str">
        <f aca="false">IF($A53="","",_xlfn.XLOOKUP(LOWER(TRIM(Base_Bruta!N53)),DePara_Pais!$A$2:$A$9,DePara_Pais!$B$2:$B$9,"REVISAR"))</f>
        <v>Brasil</v>
      </c>
      <c r="P53" s="4" t="str">
        <f aca="false">IF($A53="","",IF(O53&lt;&gt;"Brasil","Turista Internacional",IF(M53=F53,"Local","Turista Nacional")))</f>
        <v>Local</v>
      </c>
      <c r="Q53" s="7" t="n">
        <f aca="false">IF($A53="","",DATE(YEAR(B53),MONTH(B53),1))</f>
        <v>45778</v>
      </c>
      <c r="R53" s="4" t="str">
        <f aca="false">IF($A53="","",IF(COUNTIF($A$2:$A53,$A53)&gt;1,"Sim","Não"))</f>
        <v>Não</v>
      </c>
      <c r="S53" s="4" t="str">
        <f aca="false">IF(A53="","Descartar - Linha vazia",IF(R53="Sim","Descartar - Duplicado",IF(OR(H53&lt;=0,I53&lt;=0),"Descartar - Qtd/Valor inválido","OK")))</f>
        <v>OK</v>
      </c>
      <c r="T53" s="4" t="str">
        <f aca="false">Base_Bruta!P53</f>
        <v>vendas_SP.xlsx</v>
      </c>
    </row>
    <row r="54" customFormat="false" ht="15" hidden="false" customHeight="false" outlineLevel="0" collapsed="false">
      <c r="A54" s="4" t="str">
        <f aca="false">IF(Base_Bruta!A54="","",Base_Bruta!A54)</f>
        <v>SP-000658</v>
      </c>
      <c r="B54" s="5" t="n">
        <f aca="false">IF($A54="","",IF(ISNUMBER(Base_Bruta!B54),Base_Bruta!B54,IF(MID(Base_Bruta!B54,5,1)="-",DATE(VALUE(LEFT(Base_Bruta!B54,4)),VALUE(MID(Base_Bruta!B54,6,2)),VALUE(RIGHT(Base_Bruta!B54,2))),DATE(VALUE(RIGHT(Base_Bruta!B54,4)),VALUE(MID(Base_Bruta!B54,4,2)),VALUE(LEFT(Base_Bruta!B54,2))))))</f>
        <v>45786</v>
      </c>
      <c r="C54" s="5" t="n">
        <f aca="false">IF($A54="","",IF(ISNUMBER(Base_Bruta!C54),Base_Bruta!C54,IF(MID(Base_Bruta!C54,5,1)="-",DATE(VALUE(LEFT(Base_Bruta!C54,4)),VALUE(MID(Base_Bruta!C54,6,2)),VALUE(RIGHT(Base_Bruta!C54,2))),DATE(VALUE(RIGHT(Base_Bruta!C54,4)),VALUE(MID(Base_Bruta!C54,4,2)),VALUE(LEFT(Base_Bruta!C54,2))))))</f>
        <v>45786</v>
      </c>
      <c r="D54" s="4" t="str">
        <f aca="false">IF($A54="","",TRIM(Base_Bruta!D54))</f>
        <v>Cinema Paulista - Sessões</v>
      </c>
      <c r="E54" s="4" t="str">
        <f aca="false">IF($A54="","",_xlfn.XLOOKUP(LOWER(TRIM(Base_Bruta!E54)),DePara_Categoria!$A$2:$A$9,DePara_Categoria!$B$2:$B$9,"REVISAR"))</f>
        <v>Cinema</v>
      </c>
      <c r="F54" s="4" t="str">
        <f aca="false">IF($A54="","",_xlfn.XLOOKUP(LOWER(TRIM(Base_Bruta!F54)),DePara_Cidade!$A$2:$A$29,DePara_Cidade!$B$2:$B$29,"REVISAR"))</f>
        <v>São Paulo</v>
      </c>
      <c r="G54" s="4" t="str">
        <f aca="false">IF($A54="","",TRIM(Base_Bruta!G54))</f>
        <v>Meia</v>
      </c>
      <c r="H54" s="4" t="n">
        <f aca="false">IF($A54="","",IF(ISNUMBER(Base_Bruta!H54),Base_Bruta!H54,IFERROR(_xlfn.NUMBERVALUE(TRIM(SUBSTITUTE(Base_Bruta!H54,"R$","")),",","."),0)))</f>
        <v>1</v>
      </c>
      <c r="I54" s="6" t="n">
        <f aca="false">IF($A54="","",IF(ISNUMBER(Base_Bruta!I54),Base_Bruta!I54,IFERROR(_xlfn.NUMBERVALUE(TRIM(SUBSTITUTE(Base_Bruta!I54,"R$","")),",","."),0)))</f>
        <v>15</v>
      </c>
      <c r="J54" s="6" t="n">
        <f aca="false">IF($A54="","",H54*I54)</f>
        <v>15</v>
      </c>
      <c r="K54" s="4" t="str">
        <f aca="false">IF($A54="","",TRIM(Base_Bruta!J54))</f>
        <v>App</v>
      </c>
      <c r="L54" s="4" t="str">
        <f aca="false">IF($A54="","",TRIM(Base_Bruta!K54))</f>
        <v>C02058</v>
      </c>
      <c r="M54" s="4" t="str">
        <f aca="false">IF($A54="","",_xlfn.XLOOKUP(LOWER(TRIM(Base_Bruta!L54)),DePara_Cidade!$A$2:$A$29,DePara_Cidade!$B$2:$B$29,"REVISAR"))</f>
        <v>São Paulo</v>
      </c>
      <c r="N54" s="4" t="str">
        <f aca="false">IF($A54="","",UPPER(TRIM(Base_Bruta!M54)))</f>
        <v>SP</v>
      </c>
      <c r="O54" s="4" t="str">
        <f aca="false">IF($A54="","",_xlfn.XLOOKUP(LOWER(TRIM(Base_Bruta!N54)),DePara_Pais!$A$2:$A$9,DePara_Pais!$B$2:$B$9,"REVISAR"))</f>
        <v>Brasil</v>
      </c>
      <c r="P54" s="4" t="str">
        <f aca="false">IF($A54="","",IF(O54&lt;&gt;"Brasil","Turista Internacional",IF(M54=F54,"Local","Turista Nacional")))</f>
        <v>Local</v>
      </c>
      <c r="Q54" s="7" t="n">
        <f aca="false">IF($A54="","",DATE(YEAR(B54),MONTH(B54),1))</f>
        <v>45778</v>
      </c>
      <c r="R54" s="4" t="str">
        <f aca="false">IF($A54="","",IF(COUNTIF($A$2:$A54,$A54)&gt;1,"Sim","Não"))</f>
        <v>Não</v>
      </c>
      <c r="S54" s="4" t="str">
        <f aca="false">IF(A54="","Descartar - Linha vazia",IF(R54="Sim","Descartar - Duplicado",IF(OR(H54&lt;=0,I54&lt;=0),"Descartar - Qtd/Valor inválido","OK")))</f>
        <v>OK</v>
      </c>
      <c r="T54" s="4" t="str">
        <f aca="false">Base_Bruta!P54</f>
        <v>vendas_SP.xlsx</v>
      </c>
    </row>
    <row r="55" customFormat="false" ht="15" hidden="false" customHeight="false" outlineLevel="0" collapsed="false">
      <c r="A55" s="4" t="str">
        <f aca="false">IF(Base_Bruta!A55="","",Base_Bruta!A55)</f>
        <v>SP-000639</v>
      </c>
      <c r="B55" s="5" t="n">
        <f aca="false">IF($A55="","",IF(ISNUMBER(Base_Bruta!B55),Base_Bruta!B55,IF(MID(Base_Bruta!B55,5,1)="-",DATE(VALUE(LEFT(Base_Bruta!B55,4)),VALUE(MID(Base_Bruta!B55,6,2)),VALUE(RIGHT(Base_Bruta!B55,2))),DATE(VALUE(RIGHT(Base_Bruta!B55,4)),VALUE(MID(Base_Bruta!B55,4,2)),VALUE(LEFT(Base_Bruta!B55,2))))))</f>
        <v>45788</v>
      </c>
      <c r="C55" s="5" t="n">
        <f aca="false">IF($A55="","",IF(ISNUMBER(Base_Bruta!C55),Base_Bruta!C55,IF(MID(Base_Bruta!C55,5,1)="-",DATE(VALUE(LEFT(Base_Bruta!C55,4)),VALUE(MID(Base_Bruta!C55,6,2)),VALUE(RIGHT(Base_Bruta!C55,2))),DATE(VALUE(RIGHT(Base_Bruta!C55,4)),VALUE(MID(Base_Bruta!C55,4,2)),VALUE(LEFT(Base_Bruta!C55,2))))))</f>
        <v>45791</v>
      </c>
      <c r="D55" s="4" t="str">
        <f aca="false">IF($A55="","",TRIM(Base_Bruta!D55))</f>
        <v>Cinema Paulista - Sessões</v>
      </c>
      <c r="E55" s="4" t="str">
        <f aca="false">IF($A55="","",_xlfn.XLOOKUP(LOWER(TRIM(Base_Bruta!E55)),DePara_Categoria!$A$2:$A$9,DePara_Categoria!$B$2:$B$9,"REVISAR"))</f>
        <v>Cinema</v>
      </c>
      <c r="F55" s="4" t="str">
        <f aca="false">IF($A55="","",_xlfn.XLOOKUP(LOWER(TRIM(Base_Bruta!F55)),DePara_Cidade!$A$2:$A$29,DePara_Cidade!$B$2:$B$29,"REVISAR"))</f>
        <v>São Paulo</v>
      </c>
      <c r="G55" s="4" t="str">
        <f aca="false">IF($A55="","",TRIM(Base_Bruta!G55))</f>
        <v>Meia</v>
      </c>
      <c r="H55" s="4" t="n">
        <f aca="false">IF($A55="","",IF(ISNUMBER(Base_Bruta!H55),Base_Bruta!H55,IFERROR(_xlfn.NUMBERVALUE(TRIM(SUBSTITUTE(Base_Bruta!H55,"R$","")),",","."),0)))</f>
        <v>2</v>
      </c>
      <c r="I55" s="6" t="n">
        <f aca="false">IF($A55="","",IF(ISNUMBER(Base_Bruta!I55),Base_Bruta!I55,IFERROR(_xlfn.NUMBERVALUE(TRIM(SUBSTITUTE(Base_Bruta!I55,"R$","")),",","."),0)))</f>
        <v>17.5</v>
      </c>
      <c r="J55" s="6" t="n">
        <f aca="false">IF($A55="","",H55*I55)</f>
        <v>35</v>
      </c>
      <c r="K55" s="4" t="str">
        <f aca="false">IF($A55="","",TRIM(Base_Bruta!J55))</f>
        <v>App</v>
      </c>
      <c r="L55" s="4" t="str">
        <f aca="false">IF($A55="","",TRIM(Base_Bruta!K55))</f>
        <v>C01640</v>
      </c>
      <c r="M55" s="4" t="str">
        <f aca="false">IF($A55="","",_xlfn.XLOOKUP(LOWER(TRIM(Base_Bruta!L55)),DePara_Cidade!$A$2:$A$29,DePara_Cidade!$B$2:$B$29,"REVISAR"))</f>
        <v>São Paulo</v>
      </c>
      <c r="N55" s="4" t="str">
        <f aca="false">IF($A55="","",UPPER(TRIM(Base_Bruta!M55)))</f>
        <v>SP</v>
      </c>
      <c r="O55" s="4" t="str">
        <f aca="false">IF($A55="","",_xlfn.XLOOKUP(LOWER(TRIM(Base_Bruta!N55)),DePara_Pais!$A$2:$A$9,DePara_Pais!$B$2:$B$9,"REVISAR"))</f>
        <v>Brasil</v>
      </c>
      <c r="P55" s="4" t="str">
        <f aca="false">IF($A55="","",IF(O55&lt;&gt;"Brasil","Turista Internacional",IF(M55=F55,"Local","Turista Nacional")))</f>
        <v>Local</v>
      </c>
      <c r="Q55" s="7" t="n">
        <f aca="false">IF($A55="","",DATE(YEAR(B55),MONTH(B55),1))</f>
        <v>45778</v>
      </c>
      <c r="R55" s="4" t="str">
        <f aca="false">IF($A55="","",IF(COUNTIF($A$2:$A55,$A55)&gt;1,"Sim","Não"))</f>
        <v>Não</v>
      </c>
      <c r="S55" s="4" t="str">
        <f aca="false">IF(A55="","Descartar - Linha vazia",IF(R55="Sim","Descartar - Duplicado",IF(OR(H55&lt;=0,I55&lt;=0),"Descartar - Qtd/Valor inválido","OK")))</f>
        <v>OK</v>
      </c>
      <c r="T55" s="4" t="str">
        <f aca="false">Base_Bruta!P55</f>
        <v>vendas_SP.xlsx</v>
      </c>
    </row>
    <row r="56" customFormat="false" ht="15" hidden="false" customHeight="false" outlineLevel="0" collapsed="false">
      <c r="A56" s="4" t="str">
        <f aca="false">IF(Base_Bruta!A56="","",Base_Bruta!A56)</f>
        <v>SP-000620</v>
      </c>
      <c r="B56" s="5" t="n">
        <f aca="false">IF($A56="","",IF(ISNUMBER(Base_Bruta!B56),Base_Bruta!B56,IF(MID(Base_Bruta!B56,5,1)="-",DATE(VALUE(LEFT(Base_Bruta!B56,4)),VALUE(MID(Base_Bruta!B56,6,2)),VALUE(RIGHT(Base_Bruta!B56,2))),DATE(VALUE(RIGHT(Base_Bruta!B56,4)),VALUE(MID(Base_Bruta!B56,4,2)),VALUE(LEFT(Base_Bruta!B56,2))))))</f>
        <v>45789</v>
      </c>
      <c r="C56" s="5" t="n">
        <f aca="false">IF($A56="","",IF(ISNUMBER(Base_Bruta!C56),Base_Bruta!C56,IF(MID(Base_Bruta!C56,5,1)="-",DATE(VALUE(LEFT(Base_Bruta!C56,4)),VALUE(MID(Base_Bruta!C56,6,2)),VALUE(RIGHT(Base_Bruta!C56,2))),DATE(VALUE(RIGHT(Base_Bruta!C56,4)),VALUE(MID(Base_Bruta!C56,4,2)),VALUE(LEFT(Base_Bruta!C56,2))))))</f>
        <v>45792</v>
      </c>
      <c r="D56" s="4" t="str">
        <f aca="false">IF($A56="","",TRIM(Base_Bruta!D56))</f>
        <v>Cinema Paulista - Sessões</v>
      </c>
      <c r="E56" s="4" t="str">
        <f aca="false">IF($A56="","",_xlfn.XLOOKUP(LOWER(TRIM(Base_Bruta!E56)),DePara_Categoria!$A$2:$A$9,DePara_Categoria!$B$2:$B$9,"REVISAR"))</f>
        <v>Cinema</v>
      </c>
      <c r="F56" s="4" t="str">
        <f aca="false">IF($A56="","",_xlfn.XLOOKUP(LOWER(TRIM(Base_Bruta!F56)),DePara_Cidade!$A$2:$A$29,DePara_Cidade!$B$2:$B$29,"REVISAR"))</f>
        <v>São Paulo</v>
      </c>
      <c r="G56" s="4" t="str">
        <f aca="false">IF($A56="","",TRIM(Base_Bruta!G56))</f>
        <v>Inteira</v>
      </c>
      <c r="H56" s="4" t="n">
        <f aca="false">IF($A56="","",IF(ISNUMBER(Base_Bruta!H56),Base_Bruta!H56,IFERROR(_xlfn.NUMBERVALUE(TRIM(SUBSTITUTE(Base_Bruta!H56,"R$","")),",","."),0)))</f>
        <v>1</v>
      </c>
      <c r="I56" s="6" t="n">
        <f aca="false">IF($A56="","",IF(ISNUMBER(Base_Bruta!I56),Base_Bruta!I56,IFERROR(_xlfn.NUMBERVALUE(TRIM(SUBSTITUTE(Base_Bruta!I56,"R$","")),",","."),0)))</f>
        <v>30</v>
      </c>
      <c r="J56" s="6" t="n">
        <f aca="false">IF($A56="","",H56*I56)</f>
        <v>30</v>
      </c>
      <c r="K56" s="4" t="str">
        <f aca="false">IF($A56="","",TRIM(Base_Bruta!J56))</f>
        <v>App</v>
      </c>
      <c r="L56" s="4" t="str">
        <f aca="false">IF($A56="","",TRIM(Base_Bruta!K56))</f>
        <v>C01112</v>
      </c>
      <c r="M56" s="4" t="str">
        <f aca="false">IF($A56="","",_xlfn.XLOOKUP(LOWER(TRIM(Base_Bruta!L56)),DePara_Cidade!$A$2:$A$29,DePara_Cidade!$B$2:$B$29,"REVISAR"))</f>
        <v>São Paulo</v>
      </c>
      <c r="N56" s="4" t="str">
        <f aca="false">IF($A56="","",UPPER(TRIM(Base_Bruta!M56)))</f>
        <v>SP</v>
      </c>
      <c r="O56" s="4" t="str">
        <f aca="false">IF($A56="","",_xlfn.XLOOKUP(LOWER(TRIM(Base_Bruta!N56)),DePara_Pais!$A$2:$A$9,DePara_Pais!$B$2:$B$9,"REVISAR"))</f>
        <v>Brasil</v>
      </c>
      <c r="P56" s="4" t="str">
        <f aca="false">IF($A56="","",IF(O56&lt;&gt;"Brasil","Turista Internacional",IF(M56=F56,"Local","Turista Nacional")))</f>
        <v>Local</v>
      </c>
      <c r="Q56" s="7" t="n">
        <f aca="false">IF($A56="","",DATE(YEAR(B56),MONTH(B56),1))</f>
        <v>45778</v>
      </c>
      <c r="R56" s="4" t="str">
        <f aca="false">IF($A56="","",IF(COUNTIF($A$2:$A56,$A56)&gt;1,"Sim","Não"))</f>
        <v>Não</v>
      </c>
      <c r="S56" s="4" t="str">
        <f aca="false">IF(A56="","Descartar - Linha vazia",IF(R56="Sim","Descartar - Duplicado",IF(OR(H56&lt;=0,I56&lt;=0),"Descartar - Qtd/Valor inválido","OK")))</f>
        <v>OK</v>
      </c>
      <c r="T56" s="4" t="str">
        <f aca="false">Base_Bruta!P56</f>
        <v>vendas_SP.xlsx</v>
      </c>
    </row>
    <row r="57" customFormat="false" ht="15" hidden="false" customHeight="false" outlineLevel="0" collapsed="false">
      <c r="A57" s="4" t="str">
        <f aca="false">IF(Base_Bruta!A57="","",Base_Bruta!A57)</f>
        <v>SP-000777</v>
      </c>
      <c r="B57" s="5" t="n">
        <f aca="false">IF($A57="","",IF(ISNUMBER(Base_Bruta!B57),Base_Bruta!B57,IF(MID(Base_Bruta!B57,5,1)="-",DATE(VALUE(LEFT(Base_Bruta!B57,4)),VALUE(MID(Base_Bruta!B57,6,2)),VALUE(RIGHT(Base_Bruta!B57,2))),DATE(VALUE(RIGHT(Base_Bruta!B57,4)),VALUE(MID(Base_Bruta!B57,4,2)),VALUE(LEFT(Base_Bruta!B57,2))))))</f>
        <v>45729</v>
      </c>
      <c r="C57" s="5" t="n">
        <f aca="false">IF($A57="","",IF(ISNUMBER(Base_Bruta!C57),Base_Bruta!C57,IF(MID(Base_Bruta!C57,5,1)="-",DATE(VALUE(LEFT(Base_Bruta!C57,4)),VALUE(MID(Base_Bruta!C57,6,2)),VALUE(RIGHT(Base_Bruta!C57,2))),DATE(VALUE(RIGHT(Base_Bruta!C57,4)),VALUE(MID(Base_Bruta!C57,4,2)),VALUE(LEFT(Base_Bruta!C57,2))))))</f>
        <v>45729</v>
      </c>
      <c r="D57" s="4" t="str">
        <f aca="false">IF($A57="","",TRIM(Base_Bruta!D57))</f>
        <v>Cinema Paulista - Sessões</v>
      </c>
      <c r="E57" s="4" t="str">
        <f aca="false">IF($A57="","",_xlfn.XLOOKUP(LOWER(TRIM(Base_Bruta!E57)),DePara_Categoria!$A$2:$A$9,DePara_Categoria!$B$2:$B$9,"REVISAR"))</f>
        <v>Cinema</v>
      </c>
      <c r="F57" s="4" t="str">
        <f aca="false">IF($A57="","",_xlfn.XLOOKUP(LOWER(TRIM(Base_Bruta!F57)),DePara_Cidade!$A$2:$A$29,DePara_Cidade!$B$2:$B$29,"REVISAR"))</f>
        <v>São Paulo</v>
      </c>
      <c r="G57" s="4" t="str">
        <f aca="false">IF($A57="","",TRIM(Base_Bruta!G57))</f>
        <v>Inteira</v>
      </c>
      <c r="H57" s="4" t="n">
        <f aca="false">IF($A57="","",IF(ISNUMBER(Base_Bruta!H57),Base_Bruta!H57,IFERROR(_xlfn.NUMBERVALUE(TRIM(SUBSTITUTE(Base_Bruta!H57,"R$","")),",","."),0)))</f>
        <v>1</v>
      </c>
      <c r="I57" s="6" t="n">
        <f aca="false">IF($A57="","",IF(ISNUMBER(Base_Bruta!I57),Base_Bruta!I57,IFERROR(_xlfn.NUMBERVALUE(TRIM(SUBSTITUTE(Base_Bruta!I57,"R$","")),",","."),0)))</f>
        <v>45</v>
      </c>
      <c r="J57" s="6" t="n">
        <f aca="false">IF($A57="","",H57*I57)</f>
        <v>45</v>
      </c>
      <c r="K57" s="4" t="str">
        <f aca="false">IF($A57="","",TRIM(Base_Bruta!J57))</f>
        <v>Bilheteria</v>
      </c>
      <c r="L57" s="4" t="str">
        <f aca="false">IF($A57="","",TRIM(Base_Bruta!K57))</f>
        <v>C01072</v>
      </c>
      <c r="M57" s="4" t="str">
        <f aca="false">IF($A57="","",_xlfn.XLOOKUP(LOWER(TRIM(Base_Bruta!L57)),DePara_Cidade!$A$2:$A$29,DePara_Cidade!$B$2:$B$29,"REVISAR"))</f>
        <v>São Paulo</v>
      </c>
      <c r="N57" s="4" t="str">
        <f aca="false">IF($A57="","",UPPER(TRIM(Base_Bruta!M57)))</f>
        <v>SP</v>
      </c>
      <c r="O57" s="4" t="str">
        <f aca="false">IF($A57="","",_xlfn.XLOOKUP(LOWER(TRIM(Base_Bruta!N57)),DePara_Pais!$A$2:$A$9,DePara_Pais!$B$2:$B$9,"REVISAR"))</f>
        <v>Brasil</v>
      </c>
      <c r="P57" s="4" t="str">
        <f aca="false">IF($A57="","",IF(O57&lt;&gt;"Brasil","Turista Internacional",IF(M57=F57,"Local","Turista Nacional")))</f>
        <v>Local</v>
      </c>
      <c r="Q57" s="7" t="n">
        <f aca="false">IF($A57="","",DATE(YEAR(B57),MONTH(B57),1))</f>
        <v>45717</v>
      </c>
      <c r="R57" s="4" t="str">
        <f aca="false">IF($A57="","",IF(COUNTIF($A$2:$A57,$A57)&gt;1,"Sim","Não"))</f>
        <v>Sim</v>
      </c>
      <c r="S57" s="4" t="str">
        <f aca="false">IF(A57="","Descartar - Linha vazia",IF(R57="Sim","Descartar - Duplicado",IF(OR(H57&lt;=0,I57&lt;=0),"Descartar - Qtd/Valor inválido","OK")))</f>
        <v>Descartar - Duplicado</v>
      </c>
      <c r="T57" s="4" t="str">
        <f aca="false">Base_Bruta!P57</f>
        <v>vendas_SP.xlsx</v>
      </c>
    </row>
    <row r="58" customFormat="false" ht="15" hidden="false" customHeight="false" outlineLevel="0" collapsed="false">
      <c r="A58" s="4" t="str">
        <f aca="false">IF(Base_Bruta!A58="","",Base_Bruta!A58)</f>
        <v>SP-000708</v>
      </c>
      <c r="B58" s="5" t="n">
        <f aca="false">IF($A58="","",IF(ISNUMBER(Base_Bruta!B58),Base_Bruta!B58,IF(MID(Base_Bruta!B58,5,1)="-",DATE(VALUE(LEFT(Base_Bruta!B58,4)),VALUE(MID(Base_Bruta!B58,6,2)),VALUE(RIGHT(Base_Bruta!B58,2))),DATE(VALUE(RIGHT(Base_Bruta!B58,4)),VALUE(MID(Base_Bruta!B58,4,2)),VALUE(LEFT(Base_Bruta!B58,2))))))</f>
        <v>45796</v>
      </c>
      <c r="C58" s="5" t="n">
        <f aca="false">IF($A58="","",IF(ISNUMBER(Base_Bruta!C58),Base_Bruta!C58,IF(MID(Base_Bruta!C58,5,1)="-",DATE(VALUE(LEFT(Base_Bruta!C58,4)),VALUE(MID(Base_Bruta!C58,6,2)),VALUE(RIGHT(Base_Bruta!C58,2))),DATE(VALUE(RIGHT(Base_Bruta!C58,4)),VALUE(MID(Base_Bruta!C58,4,2)),VALUE(LEFT(Base_Bruta!C58,2))))))</f>
        <v>45799</v>
      </c>
      <c r="D58" s="4" t="str">
        <f aca="false">IF($A58="","",TRIM(Base_Bruta!D58))</f>
        <v>Cinema Paulista - Sessões</v>
      </c>
      <c r="E58" s="4" t="str">
        <f aca="false">IF($A58="","",_xlfn.XLOOKUP(LOWER(TRIM(Base_Bruta!E58)),DePara_Categoria!$A$2:$A$9,DePara_Categoria!$B$2:$B$9,"REVISAR"))</f>
        <v>Cinema</v>
      </c>
      <c r="F58" s="4" t="str">
        <f aca="false">IF($A58="","",_xlfn.XLOOKUP(LOWER(TRIM(Base_Bruta!F58)),DePara_Cidade!$A$2:$A$29,DePara_Cidade!$B$2:$B$29,"REVISAR"))</f>
        <v>São Paulo</v>
      </c>
      <c r="G58" s="4" t="str">
        <f aca="false">IF($A58="","",TRIM(Base_Bruta!G58))</f>
        <v>Inteira</v>
      </c>
      <c r="H58" s="4" t="n">
        <f aca="false">IF($A58="","",IF(ISNUMBER(Base_Bruta!H58),Base_Bruta!H58,IFERROR(_xlfn.NUMBERVALUE(TRIM(SUBSTITUTE(Base_Bruta!H58,"R$","")),",","."),0)))</f>
        <v>2</v>
      </c>
      <c r="I58" s="6" t="n">
        <f aca="false">IF($A58="","",IF(ISNUMBER(Base_Bruta!I58),Base_Bruta!I58,IFERROR(_xlfn.NUMBERVALUE(TRIM(SUBSTITUTE(Base_Bruta!I58,"R$","")),",","."),0)))</f>
        <v>45</v>
      </c>
      <c r="J58" s="6" t="n">
        <f aca="false">IF($A58="","",H58*I58)</f>
        <v>90</v>
      </c>
      <c r="K58" s="4" t="str">
        <f aca="false">IF($A58="","",TRIM(Base_Bruta!J58))</f>
        <v>Site</v>
      </c>
      <c r="L58" s="4" t="str">
        <f aca="false">IF($A58="","",TRIM(Base_Bruta!K58))</f>
        <v>C02023</v>
      </c>
      <c r="M58" s="4" t="str">
        <f aca="false">IF($A58="","",_xlfn.XLOOKUP(LOWER(TRIM(Base_Bruta!L58)),DePara_Cidade!$A$2:$A$29,DePara_Cidade!$B$2:$B$29,"REVISAR"))</f>
        <v>São Paulo</v>
      </c>
      <c r="N58" s="4" t="str">
        <f aca="false">IF($A58="","",UPPER(TRIM(Base_Bruta!M58)))</f>
        <v>SP</v>
      </c>
      <c r="O58" s="4" t="str">
        <f aca="false">IF($A58="","",_xlfn.XLOOKUP(LOWER(TRIM(Base_Bruta!N58)),DePara_Pais!$A$2:$A$9,DePara_Pais!$B$2:$B$9,"REVISAR"))</f>
        <v>Brasil</v>
      </c>
      <c r="P58" s="4" t="str">
        <f aca="false">IF($A58="","",IF(O58&lt;&gt;"Brasil","Turista Internacional",IF(M58=F58,"Local","Turista Nacional")))</f>
        <v>Local</v>
      </c>
      <c r="Q58" s="7" t="n">
        <f aca="false">IF($A58="","",DATE(YEAR(B58),MONTH(B58),1))</f>
        <v>45778</v>
      </c>
      <c r="R58" s="4" t="str">
        <f aca="false">IF($A58="","",IF(COUNTIF($A$2:$A58,$A58)&gt;1,"Sim","Não"))</f>
        <v>Não</v>
      </c>
      <c r="S58" s="4" t="str">
        <f aca="false">IF(A58="","Descartar - Linha vazia",IF(R58="Sim","Descartar - Duplicado",IF(OR(H58&lt;=0,I58&lt;=0),"Descartar - Qtd/Valor inválido","OK")))</f>
        <v>OK</v>
      </c>
      <c r="T58" s="4" t="str">
        <f aca="false">Base_Bruta!P58</f>
        <v>vendas_SP.xlsx</v>
      </c>
    </row>
    <row r="59" customFormat="false" ht="15" hidden="false" customHeight="false" outlineLevel="0" collapsed="false">
      <c r="A59" s="4" t="str">
        <f aca="false">IF(Base_Bruta!A59="","",Base_Bruta!A59)</f>
        <v>SP-000708</v>
      </c>
      <c r="B59" s="5" t="n">
        <f aca="false">IF($A59="","",IF(ISNUMBER(Base_Bruta!B59),Base_Bruta!B59,IF(MID(Base_Bruta!B59,5,1)="-",DATE(VALUE(LEFT(Base_Bruta!B59,4)),VALUE(MID(Base_Bruta!B59,6,2)),VALUE(RIGHT(Base_Bruta!B59,2))),DATE(VALUE(RIGHT(Base_Bruta!B59,4)),VALUE(MID(Base_Bruta!B59,4,2)),VALUE(LEFT(Base_Bruta!B59,2))))))</f>
        <v>45796</v>
      </c>
      <c r="C59" s="5" t="n">
        <f aca="false">IF($A59="","",IF(ISNUMBER(Base_Bruta!C59),Base_Bruta!C59,IF(MID(Base_Bruta!C59,5,1)="-",DATE(VALUE(LEFT(Base_Bruta!C59,4)),VALUE(MID(Base_Bruta!C59,6,2)),VALUE(RIGHT(Base_Bruta!C59,2))),DATE(VALUE(RIGHT(Base_Bruta!C59,4)),VALUE(MID(Base_Bruta!C59,4,2)),VALUE(LEFT(Base_Bruta!C59,2))))))</f>
        <v>45799</v>
      </c>
      <c r="D59" s="4" t="str">
        <f aca="false">IF($A59="","",TRIM(Base_Bruta!D59))</f>
        <v>Cinema Paulista - Sessões</v>
      </c>
      <c r="E59" s="4" t="str">
        <f aca="false">IF($A59="","",_xlfn.XLOOKUP(LOWER(TRIM(Base_Bruta!E59)),DePara_Categoria!$A$2:$A$9,DePara_Categoria!$B$2:$B$9,"REVISAR"))</f>
        <v>Cinema</v>
      </c>
      <c r="F59" s="4" t="str">
        <f aca="false">IF($A59="","",_xlfn.XLOOKUP(LOWER(TRIM(Base_Bruta!F59)),DePara_Cidade!$A$2:$A$29,DePara_Cidade!$B$2:$B$29,"REVISAR"))</f>
        <v>São Paulo</v>
      </c>
      <c r="G59" s="4" t="str">
        <f aca="false">IF($A59="","",TRIM(Base_Bruta!G59))</f>
        <v>Inteira</v>
      </c>
      <c r="H59" s="4" t="n">
        <f aca="false">IF($A59="","",IF(ISNUMBER(Base_Bruta!H59),Base_Bruta!H59,IFERROR(_xlfn.NUMBERVALUE(TRIM(SUBSTITUTE(Base_Bruta!H59,"R$","")),",","."),0)))</f>
        <v>2</v>
      </c>
      <c r="I59" s="6" t="n">
        <f aca="false">IF($A59="","",IF(ISNUMBER(Base_Bruta!I59),Base_Bruta!I59,IFERROR(_xlfn.NUMBERVALUE(TRIM(SUBSTITUTE(Base_Bruta!I59,"R$","")),",","."),0)))</f>
        <v>45</v>
      </c>
      <c r="J59" s="6" t="n">
        <f aca="false">IF($A59="","",H59*I59)</f>
        <v>90</v>
      </c>
      <c r="K59" s="4" t="str">
        <f aca="false">IF($A59="","",TRIM(Base_Bruta!J59))</f>
        <v>Site</v>
      </c>
      <c r="L59" s="4" t="str">
        <f aca="false">IF($A59="","",TRIM(Base_Bruta!K59))</f>
        <v>C02023</v>
      </c>
      <c r="M59" s="4" t="str">
        <f aca="false">IF($A59="","",_xlfn.XLOOKUP(LOWER(TRIM(Base_Bruta!L59)),DePara_Cidade!$A$2:$A$29,DePara_Cidade!$B$2:$B$29,"REVISAR"))</f>
        <v>São Paulo</v>
      </c>
      <c r="N59" s="4" t="str">
        <f aca="false">IF($A59="","",UPPER(TRIM(Base_Bruta!M59)))</f>
        <v>SP</v>
      </c>
      <c r="O59" s="4" t="str">
        <f aca="false">IF($A59="","",_xlfn.XLOOKUP(LOWER(TRIM(Base_Bruta!N59)),DePara_Pais!$A$2:$A$9,DePara_Pais!$B$2:$B$9,"REVISAR"))</f>
        <v>Brasil</v>
      </c>
      <c r="P59" s="4" t="str">
        <f aca="false">IF($A59="","",IF(O59&lt;&gt;"Brasil","Turista Internacional",IF(M59=F59,"Local","Turista Nacional")))</f>
        <v>Local</v>
      </c>
      <c r="Q59" s="7" t="n">
        <f aca="false">IF($A59="","",DATE(YEAR(B59),MONTH(B59),1))</f>
        <v>45778</v>
      </c>
      <c r="R59" s="4" t="str">
        <f aca="false">IF($A59="","",IF(COUNTIF($A$2:$A59,$A59)&gt;1,"Sim","Não"))</f>
        <v>Sim</v>
      </c>
      <c r="S59" s="4" t="str">
        <f aca="false">IF(A59="","Descartar - Linha vazia",IF(R59="Sim","Descartar - Duplicado",IF(OR(H59&lt;=0,I59&lt;=0),"Descartar - Qtd/Valor inválido","OK")))</f>
        <v>Descartar - Duplicado</v>
      </c>
      <c r="T59" s="4" t="str">
        <f aca="false">Base_Bruta!P59</f>
        <v>vendas_SP.xlsx</v>
      </c>
    </row>
    <row r="60" customFormat="false" ht="15" hidden="false" customHeight="false" outlineLevel="0" collapsed="false">
      <c r="A60" s="4" t="str">
        <f aca="false">IF(Base_Bruta!A60="","",Base_Bruta!A60)</f>
        <v>SP-000769</v>
      </c>
      <c r="B60" s="5" t="n">
        <f aca="false">IF($A60="","",IF(ISNUMBER(Base_Bruta!B60),Base_Bruta!B60,IF(MID(Base_Bruta!B60,5,1)="-",DATE(VALUE(LEFT(Base_Bruta!B60,4)),VALUE(MID(Base_Bruta!B60,6,2)),VALUE(RIGHT(Base_Bruta!B60,2))),DATE(VALUE(RIGHT(Base_Bruta!B60,4)),VALUE(MID(Base_Bruta!B60,4,2)),VALUE(LEFT(Base_Bruta!B60,2))))))</f>
        <v>45798</v>
      </c>
      <c r="C60" s="5" t="n">
        <f aca="false">IF($A60="","",IF(ISNUMBER(Base_Bruta!C60),Base_Bruta!C60,IF(MID(Base_Bruta!C60,5,1)="-",DATE(VALUE(LEFT(Base_Bruta!C60,4)),VALUE(MID(Base_Bruta!C60,6,2)),VALUE(RIGHT(Base_Bruta!C60,2))),DATE(VALUE(RIGHT(Base_Bruta!C60,4)),VALUE(MID(Base_Bruta!C60,4,2)),VALUE(LEFT(Base_Bruta!C60,2))))))</f>
        <v>45800</v>
      </c>
      <c r="D60" s="4" t="str">
        <f aca="false">IF($A60="","",TRIM(Base_Bruta!D60))</f>
        <v>Cinema Paulista - Sessões</v>
      </c>
      <c r="E60" s="4" t="str">
        <f aca="false">IF($A60="","",_xlfn.XLOOKUP(LOWER(TRIM(Base_Bruta!E60)),DePara_Categoria!$A$2:$A$9,DePara_Categoria!$B$2:$B$9,"REVISAR"))</f>
        <v>Cinema</v>
      </c>
      <c r="F60" s="4" t="str">
        <f aca="false">IF($A60="","",_xlfn.XLOOKUP(LOWER(TRIM(Base_Bruta!F60)),DePara_Cidade!$A$2:$A$29,DePara_Cidade!$B$2:$B$29,"REVISAR"))</f>
        <v>São Paulo</v>
      </c>
      <c r="G60" s="4" t="str">
        <f aca="false">IF($A60="","",TRIM(Base_Bruta!G60))</f>
        <v>Meia</v>
      </c>
      <c r="H60" s="4" t="n">
        <f aca="false">IF($A60="","",IF(ISNUMBER(Base_Bruta!H60),Base_Bruta!H60,IFERROR(_xlfn.NUMBERVALUE(TRIM(SUBSTITUTE(Base_Bruta!H60,"R$","")),",","."),0)))</f>
        <v>1</v>
      </c>
      <c r="I60" s="6" t="n">
        <f aca="false">IF($A60="","",IF(ISNUMBER(Base_Bruta!I60),Base_Bruta!I60,IFERROR(_xlfn.NUMBERVALUE(TRIM(SUBSTITUTE(Base_Bruta!I60,"R$","")),",","."),0)))</f>
        <v>20</v>
      </c>
      <c r="J60" s="6" t="n">
        <f aca="false">IF($A60="","",H60*I60)</f>
        <v>20</v>
      </c>
      <c r="K60" s="4" t="str">
        <f aca="false">IF($A60="","",TRIM(Base_Bruta!J60))</f>
        <v>Site</v>
      </c>
      <c r="L60" s="4" t="str">
        <f aca="false">IF($A60="","",TRIM(Base_Bruta!K60))</f>
        <v>C01630</v>
      </c>
      <c r="M60" s="4" t="str">
        <f aca="false">IF($A60="","",_xlfn.XLOOKUP(LOWER(TRIM(Base_Bruta!L60)),DePara_Cidade!$A$2:$A$29,DePara_Cidade!$B$2:$B$29,"REVISAR"))</f>
        <v>São Paulo</v>
      </c>
      <c r="N60" s="4" t="str">
        <f aca="false">IF($A60="","",UPPER(TRIM(Base_Bruta!M60)))</f>
        <v>SP</v>
      </c>
      <c r="O60" s="4" t="str">
        <f aca="false">IF($A60="","",_xlfn.XLOOKUP(LOWER(TRIM(Base_Bruta!N60)),DePara_Pais!$A$2:$A$9,DePara_Pais!$B$2:$B$9,"REVISAR"))</f>
        <v>Brasil</v>
      </c>
      <c r="P60" s="4" t="str">
        <f aca="false">IF($A60="","",IF(O60&lt;&gt;"Brasil","Turista Internacional",IF(M60=F60,"Local","Turista Nacional")))</f>
        <v>Local</v>
      </c>
      <c r="Q60" s="7" t="n">
        <f aca="false">IF($A60="","",DATE(YEAR(B60),MONTH(B60),1))</f>
        <v>45778</v>
      </c>
      <c r="R60" s="4" t="str">
        <f aca="false">IF($A60="","",IF(COUNTIF($A$2:$A60,$A60)&gt;1,"Sim","Não"))</f>
        <v>Não</v>
      </c>
      <c r="S60" s="4" t="str">
        <f aca="false">IF(A60="","Descartar - Linha vazia",IF(R60="Sim","Descartar - Duplicado",IF(OR(H60&lt;=0,I60&lt;=0),"Descartar - Qtd/Valor inválido","OK")))</f>
        <v>OK</v>
      </c>
      <c r="T60" s="4" t="str">
        <f aca="false">Base_Bruta!P60</f>
        <v>vendas_SP.xlsx</v>
      </c>
    </row>
    <row r="61" customFormat="false" ht="15" hidden="false" customHeight="false" outlineLevel="0" collapsed="false">
      <c r="A61" s="4" t="str">
        <f aca="false">IF(Base_Bruta!A61="","",Base_Bruta!A61)</f>
        <v>SP-000541</v>
      </c>
      <c r="B61" s="5" t="n">
        <f aca="false">IF($A61="","",IF(ISNUMBER(Base_Bruta!B61),Base_Bruta!B61,IF(MID(Base_Bruta!B61,5,1)="-",DATE(VALUE(LEFT(Base_Bruta!B61,4)),VALUE(MID(Base_Bruta!B61,6,2)),VALUE(RIGHT(Base_Bruta!B61,2))),DATE(VALUE(RIGHT(Base_Bruta!B61,4)),VALUE(MID(Base_Bruta!B61,4,2)),VALUE(LEFT(Base_Bruta!B61,2))))))</f>
        <v>45814</v>
      </c>
      <c r="C61" s="5" t="n">
        <f aca="false">IF($A61="","",IF(ISNUMBER(Base_Bruta!C61),Base_Bruta!C61,IF(MID(Base_Bruta!C61,5,1)="-",DATE(VALUE(LEFT(Base_Bruta!C61,4)),VALUE(MID(Base_Bruta!C61,6,2)),VALUE(RIGHT(Base_Bruta!C61,2))),DATE(VALUE(RIGHT(Base_Bruta!C61,4)),VALUE(MID(Base_Bruta!C61,4,2)),VALUE(LEFT(Base_Bruta!C61,2))))))</f>
        <v>45934</v>
      </c>
      <c r="D61" s="4" t="str">
        <f aca="false">IF($A61="","",TRIM(Base_Bruta!D61))</f>
        <v>Turnê Internacional Pop - SP</v>
      </c>
      <c r="E61" s="4" t="str">
        <f aca="false">IF($A61="","",_xlfn.XLOOKUP(LOWER(TRIM(Base_Bruta!E61)),DePara_Categoria!$A$2:$A$9,DePara_Categoria!$B$2:$B$9,"REVISAR"))</f>
        <v>Show</v>
      </c>
      <c r="F61" s="4" t="str">
        <f aca="false">IF($A61="","",_xlfn.XLOOKUP(LOWER(TRIM(Base_Bruta!F61)),DePara_Cidade!$A$2:$A$29,DePara_Cidade!$B$2:$B$29,"REVISAR"))</f>
        <v>São Paulo</v>
      </c>
      <c r="G61" s="4" t="str">
        <f aca="false">IF($A61="","",TRIM(Base_Bruta!G61))</f>
        <v>Inteira</v>
      </c>
      <c r="H61" s="4" t="n">
        <f aca="false">IF($A61="","",IF(ISNUMBER(Base_Bruta!H61),Base_Bruta!H61,IFERROR(_xlfn.NUMBERVALUE(TRIM(SUBSTITUTE(Base_Bruta!H61,"R$","")),",","."),0)))</f>
        <v>1</v>
      </c>
      <c r="I61" s="6" t="n">
        <f aca="false">IF($A61="","",IF(ISNUMBER(Base_Bruta!I61),Base_Bruta!I61,IFERROR(_xlfn.NUMBERVALUE(TRIM(SUBSTITUTE(Base_Bruta!I61,"R$","")),",","."),0)))</f>
        <v>770</v>
      </c>
      <c r="J61" s="6" t="n">
        <f aca="false">IF($A61="","",H61*I61)</f>
        <v>770</v>
      </c>
      <c r="K61" s="4" t="str">
        <f aca="false">IF($A61="","",TRIM(Base_Bruta!J61))</f>
        <v>Site</v>
      </c>
      <c r="L61" s="4" t="str">
        <f aca="false">IF($A61="","",TRIM(Base_Bruta!K61))</f>
        <v>C01550</v>
      </c>
      <c r="M61" s="4" t="str">
        <f aca="false">IF($A61="","",_xlfn.XLOOKUP(LOWER(TRIM(Base_Bruta!L61)),DePara_Cidade!$A$2:$A$29,DePara_Cidade!$B$2:$B$29,"REVISAR"))</f>
        <v>São Paulo</v>
      </c>
      <c r="N61" s="4" t="str">
        <f aca="false">IF($A61="","",UPPER(TRIM(Base_Bruta!M61)))</f>
        <v>SP</v>
      </c>
      <c r="O61" s="4" t="str">
        <f aca="false">IF($A61="","",_xlfn.XLOOKUP(LOWER(TRIM(Base_Bruta!N61)),DePara_Pais!$A$2:$A$9,DePara_Pais!$B$2:$B$9,"REVISAR"))</f>
        <v>Brasil</v>
      </c>
      <c r="P61" s="4" t="str">
        <f aca="false">IF($A61="","",IF(O61&lt;&gt;"Brasil","Turista Internacional",IF(M61=F61,"Local","Turista Nacional")))</f>
        <v>Local</v>
      </c>
      <c r="Q61" s="7" t="n">
        <f aca="false">IF($A61="","",DATE(YEAR(B61),MONTH(B61),1))</f>
        <v>45809</v>
      </c>
      <c r="R61" s="4" t="str">
        <f aca="false">IF($A61="","",IF(COUNTIF($A$2:$A61,$A61)&gt;1,"Sim","Não"))</f>
        <v>Não</v>
      </c>
      <c r="S61" s="4" t="str">
        <f aca="false">IF(A61="","Descartar - Linha vazia",IF(R61="Sim","Descartar - Duplicado",IF(OR(H61&lt;=0,I61&lt;=0),"Descartar - Qtd/Valor inválido","OK")))</f>
        <v>OK</v>
      </c>
      <c r="T61" s="4" t="str">
        <f aca="false">Base_Bruta!P61</f>
        <v>vendas_SP.xlsx</v>
      </c>
    </row>
    <row r="62" customFormat="false" ht="15" hidden="false" customHeight="false" outlineLevel="0" collapsed="false">
      <c r="A62" s="4" t="str">
        <f aca="false">IF(Base_Bruta!A62="","",Base_Bruta!A62)</f>
        <v>SP-000545</v>
      </c>
      <c r="B62" s="5" t="n">
        <f aca="false">IF($A62="","",IF(ISNUMBER(Base_Bruta!B62),Base_Bruta!B62,IF(MID(Base_Bruta!B62,5,1)="-",DATE(VALUE(LEFT(Base_Bruta!B62,4)),VALUE(MID(Base_Bruta!B62,6,2)),VALUE(RIGHT(Base_Bruta!B62,2))),DATE(VALUE(RIGHT(Base_Bruta!B62,4)),VALUE(MID(Base_Bruta!B62,4,2)),VALUE(LEFT(Base_Bruta!B62,2))))))</f>
        <v>45814</v>
      </c>
      <c r="C62" s="5" t="n">
        <f aca="false">IF($A62="","",IF(ISNUMBER(Base_Bruta!C62),Base_Bruta!C62,IF(MID(Base_Bruta!C62,5,1)="-",DATE(VALUE(LEFT(Base_Bruta!C62,4)),VALUE(MID(Base_Bruta!C62,6,2)),VALUE(RIGHT(Base_Bruta!C62,2))),DATE(VALUE(RIGHT(Base_Bruta!C62,4)),VALUE(MID(Base_Bruta!C62,4,2)),VALUE(LEFT(Base_Bruta!C62,2))))))</f>
        <v>45934</v>
      </c>
      <c r="D62" s="4" t="str">
        <f aca="false">IF($A62="","",TRIM(Base_Bruta!D62))</f>
        <v>Turnê Internacional Pop - SP</v>
      </c>
      <c r="E62" s="4" t="str">
        <f aca="false">IF($A62="","",_xlfn.XLOOKUP(LOWER(TRIM(Base_Bruta!E62)),DePara_Categoria!$A$2:$A$9,DePara_Categoria!$B$2:$B$9,"REVISAR"))</f>
        <v>Show</v>
      </c>
      <c r="F62" s="4" t="str">
        <f aca="false">IF($A62="","",_xlfn.XLOOKUP(LOWER(TRIM(Base_Bruta!F62)),DePara_Cidade!$A$2:$A$29,DePara_Cidade!$B$2:$B$29,"REVISAR"))</f>
        <v>São Paulo</v>
      </c>
      <c r="G62" s="4" t="str">
        <f aca="false">IF($A62="","",TRIM(Base_Bruta!G62))</f>
        <v>Meia</v>
      </c>
      <c r="H62" s="4" t="n">
        <f aca="false">IF($A62="","",IF(ISNUMBER(Base_Bruta!H62),Base_Bruta!H62,IFERROR(_xlfn.NUMBERVALUE(TRIM(SUBSTITUTE(Base_Bruta!H62,"R$","")),",","."),0)))</f>
        <v>1</v>
      </c>
      <c r="I62" s="6" t="n">
        <f aca="false">IF($A62="","",IF(ISNUMBER(Base_Bruta!I62),Base_Bruta!I62,IFERROR(_xlfn.NUMBERVALUE(TRIM(SUBSTITUTE(Base_Bruta!I62,"R$","")),",","."),0)))</f>
        <v>220</v>
      </c>
      <c r="J62" s="6" t="n">
        <f aca="false">IF($A62="","",H62*I62)</f>
        <v>220</v>
      </c>
      <c r="K62" s="4" t="str">
        <f aca="false">IF($A62="","",TRIM(Base_Bruta!J62))</f>
        <v>App</v>
      </c>
      <c r="L62" s="4" t="str">
        <f aca="false">IF($A62="","",TRIM(Base_Bruta!K62))</f>
        <v>C00213</v>
      </c>
      <c r="M62" s="4" t="str">
        <f aca="false">IF($A62="","",_xlfn.XLOOKUP(LOWER(TRIM(Base_Bruta!L62)),DePara_Cidade!$A$2:$A$29,DePara_Cidade!$B$2:$B$29,"REVISAR"))</f>
        <v>São Paulo</v>
      </c>
      <c r="N62" s="4" t="str">
        <f aca="false">IF($A62="","",UPPER(TRIM(Base_Bruta!M62)))</f>
        <v>SP</v>
      </c>
      <c r="O62" s="4" t="str">
        <f aca="false">IF($A62="","",_xlfn.XLOOKUP(LOWER(TRIM(Base_Bruta!N62)),DePara_Pais!$A$2:$A$9,DePara_Pais!$B$2:$B$9,"REVISAR"))</f>
        <v>Brasil</v>
      </c>
      <c r="P62" s="4" t="str">
        <f aca="false">IF($A62="","",IF(O62&lt;&gt;"Brasil","Turista Internacional",IF(M62=F62,"Local","Turista Nacional")))</f>
        <v>Local</v>
      </c>
      <c r="Q62" s="7" t="n">
        <f aca="false">IF($A62="","",DATE(YEAR(B62),MONTH(B62),1))</f>
        <v>45809</v>
      </c>
      <c r="R62" s="4" t="str">
        <f aca="false">IF($A62="","",IF(COUNTIF($A$2:$A62,$A62)&gt;1,"Sim","Não"))</f>
        <v>Não</v>
      </c>
      <c r="S62" s="4" t="str">
        <f aca="false">IF(A62="","Descartar - Linha vazia",IF(R62="Sim","Descartar - Duplicado",IF(OR(H62&lt;=0,I62&lt;=0),"Descartar - Qtd/Valor inválido","OK")))</f>
        <v>OK</v>
      </c>
      <c r="T62" s="4" t="str">
        <f aca="false">Base_Bruta!P62</f>
        <v>vendas_SP.xlsx</v>
      </c>
    </row>
    <row r="63" customFormat="false" ht="15" hidden="false" customHeight="false" outlineLevel="0" collapsed="false">
      <c r="A63" s="4" t="str">
        <f aca="false">IF(Base_Bruta!A63="","",Base_Bruta!A63)</f>
        <v>SP-000672</v>
      </c>
      <c r="B63" s="5" t="n">
        <f aca="false">IF($A63="","",IF(ISNUMBER(Base_Bruta!B63),Base_Bruta!B63,IF(MID(Base_Bruta!B63,5,1)="-",DATE(VALUE(LEFT(Base_Bruta!B63,4)),VALUE(MID(Base_Bruta!B63,6,2)),VALUE(RIGHT(Base_Bruta!B63,2))),DATE(VALUE(RIGHT(Base_Bruta!B63,4)),VALUE(MID(Base_Bruta!B63,4,2)),VALUE(LEFT(Base_Bruta!B63,2))))))</f>
        <v>45814</v>
      </c>
      <c r="C63" s="5" t="n">
        <f aca="false">IF($A63="","",IF(ISNUMBER(Base_Bruta!C63),Base_Bruta!C63,IF(MID(Base_Bruta!C63,5,1)="-",DATE(VALUE(LEFT(Base_Bruta!C63,4)),VALUE(MID(Base_Bruta!C63,6,2)),VALUE(RIGHT(Base_Bruta!C63,2))),DATE(VALUE(RIGHT(Base_Bruta!C63,4)),VALUE(MID(Base_Bruta!C63,4,2)),VALUE(LEFT(Base_Bruta!C63,2))))))</f>
        <v>45816</v>
      </c>
      <c r="D63" s="4" t="str">
        <f aca="false">IF($A63="","",TRIM(Base_Bruta!D63))</f>
        <v>Cinema Paulista - Sessões</v>
      </c>
      <c r="E63" s="4" t="str">
        <f aca="false">IF($A63="","",_xlfn.XLOOKUP(LOWER(TRIM(Base_Bruta!E63)),DePara_Categoria!$A$2:$A$9,DePara_Categoria!$B$2:$B$9,"REVISAR"))</f>
        <v>Cinema</v>
      </c>
      <c r="F63" s="4" t="str">
        <f aca="false">IF($A63="","",_xlfn.XLOOKUP(LOWER(TRIM(Base_Bruta!F63)),DePara_Cidade!$A$2:$A$29,DePara_Cidade!$B$2:$B$29,"REVISAR"))</f>
        <v>São Paulo</v>
      </c>
      <c r="G63" s="4" t="str">
        <f aca="false">IF($A63="","",TRIM(Base_Bruta!G63))</f>
        <v>Meia</v>
      </c>
      <c r="H63" s="4" t="n">
        <f aca="false">IF($A63="","",IF(ISNUMBER(Base_Bruta!H63),Base_Bruta!H63,IFERROR(_xlfn.NUMBERVALUE(TRIM(SUBSTITUTE(Base_Bruta!H63,"R$","")),",","."),0)))</f>
        <v>1</v>
      </c>
      <c r="I63" s="6" t="n">
        <f aca="false">IF($A63="","",IF(ISNUMBER(Base_Bruta!I63),Base_Bruta!I63,IFERROR(_xlfn.NUMBERVALUE(TRIM(SUBSTITUTE(Base_Bruta!I63,"R$","")),",","."),0)))</f>
        <v>25</v>
      </c>
      <c r="J63" s="6" t="n">
        <f aca="false">IF($A63="","",H63*I63)</f>
        <v>25</v>
      </c>
      <c r="K63" s="4" t="str">
        <f aca="false">IF($A63="","",TRIM(Base_Bruta!J63))</f>
        <v>App</v>
      </c>
      <c r="L63" s="4" t="str">
        <f aca="false">IF($A63="","",TRIM(Base_Bruta!K63))</f>
        <v>C01630</v>
      </c>
      <c r="M63" s="4" t="str">
        <f aca="false">IF($A63="","",_xlfn.XLOOKUP(LOWER(TRIM(Base_Bruta!L63)),DePara_Cidade!$A$2:$A$29,DePara_Cidade!$B$2:$B$29,"REVISAR"))</f>
        <v>São Paulo</v>
      </c>
      <c r="N63" s="4" t="str">
        <f aca="false">IF($A63="","",UPPER(TRIM(Base_Bruta!M63)))</f>
        <v>SP</v>
      </c>
      <c r="O63" s="4" t="str">
        <f aca="false">IF($A63="","",_xlfn.XLOOKUP(LOWER(TRIM(Base_Bruta!N63)),DePara_Pais!$A$2:$A$9,DePara_Pais!$B$2:$B$9,"REVISAR"))</f>
        <v>Brasil</v>
      </c>
      <c r="P63" s="4" t="str">
        <f aca="false">IF($A63="","",IF(O63&lt;&gt;"Brasil","Turista Internacional",IF(M63=F63,"Local","Turista Nacional")))</f>
        <v>Local</v>
      </c>
      <c r="Q63" s="7" t="n">
        <f aca="false">IF($A63="","",DATE(YEAR(B63),MONTH(B63),1))</f>
        <v>45809</v>
      </c>
      <c r="R63" s="4" t="str">
        <f aca="false">IF($A63="","",IF(COUNTIF($A$2:$A63,$A63)&gt;1,"Sim","Não"))</f>
        <v>Não</v>
      </c>
      <c r="S63" s="4" t="str">
        <f aca="false">IF(A63="","Descartar - Linha vazia",IF(R63="Sim","Descartar - Duplicado",IF(OR(H63&lt;=0,I63&lt;=0),"Descartar - Qtd/Valor inválido","OK")))</f>
        <v>OK</v>
      </c>
      <c r="T63" s="4" t="str">
        <f aca="false">Base_Bruta!P63</f>
        <v>vendas_SP.xlsx</v>
      </c>
    </row>
    <row r="64" customFormat="false" ht="15" hidden="false" customHeight="false" outlineLevel="0" collapsed="false">
      <c r="A64" s="4" t="str">
        <f aca="false">IF(Base_Bruta!A64="","",Base_Bruta!A64)</f>
        <v>SP-000462</v>
      </c>
      <c r="B64" s="5" t="n">
        <f aca="false">IF($A64="","",IF(ISNUMBER(Base_Bruta!B64),Base_Bruta!B64,IF(MID(Base_Bruta!B64,5,1)="-",DATE(VALUE(LEFT(Base_Bruta!B64,4)),VALUE(MID(Base_Bruta!B64,6,2)),VALUE(RIGHT(Base_Bruta!B64,2))),DATE(VALUE(RIGHT(Base_Bruta!B64,4)),VALUE(MID(Base_Bruta!B64,4,2)),VALUE(LEFT(Base_Bruta!B64,2))))))</f>
        <v>45816</v>
      </c>
      <c r="C64" s="5" t="n">
        <f aca="false">IF($A64="","",IF(ISNUMBER(Base_Bruta!C64),Base_Bruta!C64,IF(MID(Base_Bruta!C64,5,1)="-",DATE(VALUE(LEFT(Base_Bruta!C64,4)),VALUE(MID(Base_Bruta!C64,6,2)),VALUE(RIGHT(Base_Bruta!C64,2))),DATE(VALUE(RIGHT(Base_Bruta!C64,4)),VALUE(MID(Base_Bruta!C64,4,2)),VALUE(LEFT(Base_Bruta!C64,2))))))</f>
        <v>45934</v>
      </c>
      <c r="D64" s="4" t="str">
        <f aca="false">IF($A64="","",TRIM(Base_Bruta!D64))</f>
        <v>Turnê Internacional Pop - SP</v>
      </c>
      <c r="E64" s="4" t="str">
        <f aca="false">IF($A64="","",_xlfn.XLOOKUP(LOWER(TRIM(Base_Bruta!E64)),DePara_Categoria!$A$2:$A$9,DePara_Categoria!$B$2:$B$9,"REVISAR"))</f>
        <v>Show</v>
      </c>
      <c r="F64" s="4" t="str">
        <f aca="false">IF($A64="","",_xlfn.XLOOKUP(LOWER(TRIM(Base_Bruta!F64)),DePara_Cidade!$A$2:$A$29,DePara_Cidade!$B$2:$B$29,"REVISAR"))</f>
        <v>São Paulo</v>
      </c>
      <c r="G64" s="4" t="str">
        <f aca="false">IF($A64="","",TRIM(Base_Bruta!G64))</f>
        <v>Inteira</v>
      </c>
      <c r="H64" s="4" t="n">
        <f aca="false">IF($A64="","",IF(ISNUMBER(Base_Bruta!H64),Base_Bruta!H64,IFERROR(_xlfn.NUMBERVALUE(TRIM(SUBSTITUTE(Base_Bruta!H64,"R$","")),",","."),0)))</f>
        <v>1</v>
      </c>
      <c r="I64" s="6" t="n">
        <f aca="false">IF($A64="","",IF(ISNUMBER(Base_Bruta!I64),Base_Bruta!I64,IFERROR(_xlfn.NUMBERVALUE(TRIM(SUBSTITUTE(Base_Bruta!I64,"R$","")),",","."),0)))</f>
        <v>510</v>
      </c>
      <c r="J64" s="6" t="n">
        <f aca="false">IF($A64="","",H64*I64)</f>
        <v>510</v>
      </c>
      <c r="K64" s="4" t="str">
        <f aca="false">IF($A64="","",TRIM(Base_Bruta!J64))</f>
        <v>App</v>
      </c>
      <c r="L64" s="4" t="str">
        <f aca="false">IF($A64="","",TRIM(Base_Bruta!K64))</f>
        <v>C01205</v>
      </c>
      <c r="M64" s="4" t="str">
        <f aca="false">IF($A64="","",_xlfn.XLOOKUP(LOWER(TRIM(Base_Bruta!L64)),DePara_Cidade!$A$2:$A$29,DePara_Cidade!$B$2:$B$29,"REVISAR"))</f>
        <v>São Paulo</v>
      </c>
      <c r="N64" s="4" t="str">
        <f aca="false">IF($A64="","",UPPER(TRIM(Base_Bruta!M64)))</f>
        <v>SP</v>
      </c>
      <c r="O64" s="4" t="str">
        <f aca="false">IF($A64="","",_xlfn.XLOOKUP(LOWER(TRIM(Base_Bruta!N64)),DePara_Pais!$A$2:$A$9,DePara_Pais!$B$2:$B$9,"REVISAR"))</f>
        <v>Brasil</v>
      </c>
      <c r="P64" s="4" t="str">
        <f aca="false">IF($A64="","",IF(O64&lt;&gt;"Brasil","Turista Internacional",IF(M64=F64,"Local","Turista Nacional")))</f>
        <v>Local</v>
      </c>
      <c r="Q64" s="7" t="n">
        <f aca="false">IF($A64="","",DATE(YEAR(B64),MONTH(B64),1))</f>
        <v>45809</v>
      </c>
      <c r="R64" s="4" t="str">
        <f aca="false">IF($A64="","",IF(COUNTIF($A$2:$A64,$A64)&gt;1,"Sim","Não"))</f>
        <v>Não</v>
      </c>
      <c r="S64" s="4" t="str">
        <f aca="false">IF(A64="","Descartar - Linha vazia",IF(R64="Sim","Descartar - Duplicado",IF(OR(H64&lt;=0,I64&lt;=0),"Descartar - Qtd/Valor inválido","OK")))</f>
        <v>OK</v>
      </c>
      <c r="T64" s="4" t="str">
        <f aca="false">Base_Bruta!P64</f>
        <v>vendas_SP.xlsx</v>
      </c>
    </row>
    <row r="65" customFormat="false" ht="15" hidden="false" customHeight="false" outlineLevel="0" collapsed="false">
      <c r="A65" s="4" t="str">
        <f aca="false">IF(Base_Bruta!A65="","",Base_Bruta!A65)</f>
        <v>SP-000671</v>
      </c>
      <c r="B65" s="5" t="n">
        <f aca="false">IF($A65="","",IF(ISNUMBER(Base_Bruta!B65),Base_Bruta!B65,IF(MID(Base_Bruta!B65,5,1)="-",DATE(VALUE(LEFT(Base_Bruta!B65,4)),VALUE(MID(Base_Bruta!B65,6,2)),VALUE(RIGHT(Base_Bruta!B65,2))),DATE(VALUE(RIGHT(Base_Bruta!B65,4)),VALUE(MID(Base_Bruta!B65,4,2)),VALUE(LEFT(Base_Bruta!B65,2))))))</f>
        <v>45784</v>
      </c>
      <c r="C65" s="5" t="n">
        <f aca="false">IF($A65="","",IF(ISNUMBER(Base_Bruta!C65),Base_Bruta!C65,IF(MID(Base_Bruta!C65,5,1)="-",DATE(VALUE(LEFT(Base_Bruta!C65,4)),VALUE(MID(Base_Bruta!C65,6,2)),VALUE(RIGHT(Base_Bruta!C65,2))),DATE(VALUE(RIGHT(Base_Bruta!C65,4)),VALUE(MID(Base_Bruta!C65,4,2)),VALUE(LEFT(Base_Bruta!C65,2))))))</f>
        <v>45785</v>
      </c>
      <c r="D65" s="4" t="str">
        <f aca="false">IF($A65="","",TRIM(Base_Bruta!D65))</f>
        <v>Cinema Paulista - Sessões</v>
      </c>
      <c r="E65" s="4" t="str">
        <f aca="false">IF($A65="","",_xlfn.XLOOKUP(LOWER(TRIM(Base_Bruta!E65)),DePara_Categoria!$A$2:$A$9,DePara_Categoria!$B$2:$B$9,"REVISAR"))</f>
        <v>Cinema</v>
      </c>
      <c r="F65" s="4" t="str">
        <f aca="false">IF($A65="","",_xlfn.XLOOKUP(LOWER(TRIM(Base_Bruta!F65)),DePara_Cidade!$A$2:$A$29,DePara_Cidade!$B$2:$B$29,"REVISAR"))</f>
        <v>São Paulo</v>
      </c>
      <c r="G65" s="4" t="str">
        <f aca="false">IF($A65="","",TRIM(Base_Bruta!G65))</f>
        <v>Meia</v>
      </c>
      <c r="H65" s="4" t="n">
        <f aca="false">IF($A65="","",IF(ISNUMBER(Base_Bruta!H65),Base_Bruta!H65,IFERROR(_xlfn.NUMBERVALUE(TRIM(SUBSTITUTE(Base_Bruta!H65,"R$","")),",","."),0)))</f>
        <v>3</v>
      </c>
      <c r="I65" s="6" t="n">
        <f aca="false">IF($A65="","",IF(ISNUMBER(Base_Bruta!I65),Base_Bruta!I65,IFERROR(_xlfn.NUMBERVALUE(TRIM(SUBSTITUTE(Base_Bruta!I65,"R$","")),",","."),0)))</f>
        <v>15</v>
      </c>
      <c r="J65" s="6" t="n">
        <f aca="false">IF($A65="","",H65*I65)</f>
        <v>45</v>
      </c>
      <c r="K65" s="4" t="str">
        <f aca="false">IF($A65="","",TRIM(Base_Bruta!J65))</f>
        <v>App</v>
      </c>
      <c r="L65" s="4" t="str">
        <f aca="false">IF($A65="","",TRIM(Base_Bruta!K65))</f>
        <v>C01186</v>
      </c>
      <c r="M65" s="4" t="str">
        <f aca="false">IF($A65="","",_xlfn.XLOOKUP(LOWER(TRIM(Base_Bruta!L65)),DePara_Cidade!$A$2:$A$29,DePara_Cidade!$B$2:$B$29,"REVISAR"))</f>
        <v>São Paulo</v>
      </c>
      <c r="N65" s="4" t="str">
        <f aca="false">IF($A65="","",UPPER(TRIM(Base_Bruta!M65)))</f>
        <v>SP</v>
      </c>
      <c r="O65" s="4" t="str">
        <f aca="false">IF($A65="","",_xlfn.XLOOKUP(LOWER(TRIM(Base_Bruta!N65)),DePara_Pais!$A$2:$A$9,DePara_Pais!$B$2:$B$9,"REVISAR"))</f>
        <v>Brasil</v>
      </c>
      <c r="P65" s="4" t="str">
        <f aca="false">IF($A65="","",IF(O65&lt;&gt;"Brasil","Turista Internacional",IF(M65=F65,"Local","Turista Nacional")))</f>
        <v>Local</v>
      </c>
      <c r="Q65" s="7" t="n">
        <f aca="false">IF($A65="","",DATE(YEAR(B65),MONTH(B65),1))</f>
        <v>45778</v>
      </c>
      <c r="R65" s="4" t="str">
        <f aca="false">IF($A65="","",IF(COUNTIF($A$2:$A65,$A65)&gt;1,"Sim","Não"))</f>
        <v>Sim</v>
      </c>
      <c r="S65" s="4" t="str">
        <f aca="false">IF(A65="","Descartar - Linha vazia",IF(R65="Sim","Descartar - Duplicado",IF(OR(H65&lt;=0,I65&lt;=0),"Descartar - Qtd/Valor inválido","OK")))</f>
        <v>Descartar - Duplicado</v>
      </c>
      <c r="T65" s="4" t="str">
        <f aca="false">Base_Bruta!P65</f>
        <v>vendas_SP.xlsx</v>
      </c>
    </row>
    <row r="66" customFormat="false" ht="15" hidden="false" customHeight="false" outlineLevel="0" collapsed="false">
      <c r="A66" s="4" t="str">
        <f aca="false">IF(Base_Bruta!A66="","",Base_Bruta!A66)</f>
        <v>SP-000509</v>
      </c>
      <c r="B66" s="5" t="n">
        <f aca="false">IF($A66="","",IF(ISNUMBER(Base_Bruta!B66),Base_Bruta!B66,IF(MID(Base_Bruta!B66,5,1)="-",DATE(VALUE(LEFT(Base_Bruta!B66,4)),VALUE(MID(Base_Bruta!B66,6,2)),VALUE(RIGHT(Base_Bruta!B66,2))),DATE(VALUE(RIGHT(Base_Bruta!B66,4)),VALUE(MID(Base_Bruta!B66,4,2)),VALUE(LEFT(Base_Bruta!B66,2))))))</f>
        <v>45816</v>
      </c>
      <c r="C66" s="5" t="n">
        <f aca="false">IF($A66="","",IF(ISNUMBER(Base_Bruta!C66),Base_Bruta!C66,IF(MID(Base_Bruta!C66,5,1)="-",DATE(VALUE(LEFT(Base_Bruta!C66,4)),VALUE(MID(Base_Bruta!C66,6,2)),VALUE(RIGHT(Base_Bruta!C66,2))),DATE(VALUE(RIGHT(Base_Bruta!C66,4)),VALUE(MID(Base_Bruta!C66,4,2)),VALUE(LEFT(Base_Bruta!C66,2))))))</f>
        <v>45934</v>
      </c>
      <c r="D66" s="4" t="str">
        <f aca="false">IF($A66="","",TRIM(Base_Bruta!D66))</f>
        <v>Turnê Internacional Pop - SP</v>
      </c>
      <c r="E66" s="4" t="str">
        <f aca="false">IF($A66="","",_xlfn.XLOOKUP(LOWER(TRIM(Base_Bruta!E66)),DePara_Categoria!$A$2:$A$9,DePara_Categoria!$B$2:$B$9,"REVISAR"))</f>
        <v>Show</v>
      </c>
      <c r="F66" s="4" t="str">
        <f aca="false">IF($A66="","",_xlfn.XLOOKUP(LOWER(TRIM(Base_Bruta!F66)),DePara_Cidade!$A$2:$A$29,DePara_Cidade!$B$2:$B$29,"REVISAR"))</f>
        <v>São Paulo</v>
      </c>
      <c r="G66" s="4" t="str">
        <f aca="false">IF($A66="","",TRIM(Base_Bruta!G66))</f>
        <v>Inteira</v>
      </c>
      <c r="H66" s="4" t="n">
        <f aca="false">IF($A66="","",IF(ISNUMBER(Base_Bruta!H66),Base_Bruta!H66,IFERROR(_xlfn.NUMBERVALUE(TRIM(SUBSTITUTE(Base_Bruta!H66,"R$","")),",","."),0)))</f>
        <v>3</v>
      </c>
      <c r="I66" s="6" t="n">
        <f aca="false">IF($A66="","",IF(ISNUMBER(Base_Bruta!I66),Base_Bruta!I66,IFERROR(_xlfn.NUMBERVALUE(TRIM(SUBSTITUTE(Base_Bruta!I66,"R$","")),",","."),0)))</f>
        <v>0</v>
      </c>
      <c r="J66" s="6" t="n">
        <f aca="false">IF($A66="","",H66*I66)</f>
        <v>0</v>
      </c>
      <c r="K66" s="4" t="str">
        <f aca="false">IF($A66="","",TRIM(Base_Bruta!J66))</f>
        <v>Site</v>
      </c>
      <c r="L66" s="4" t="str">
        <f aca="false">IF($A66="","",TRIM(Base_Bruta!K66))</f>
        <v>C01939</v>
      </c>
      <c r="M66" s="4" t="str">
        <f aca="false">IF($A66="","",_xlfn.XLOOKUP(LOWER(TRIM(Base_Bruta!L66)),DePara_Cidade!$A$2:$A$29,DePara_Cidade!$B$2:$B$29,"REVISAR"))</f>
        <v>São Paulo</v>
      </c>
      <c r="N66" s="4" t="str">
        <f aca="false">IF($A66="","",UPPER(TRIM(Base_Bruta!M66)))</f>
        <v>SP</v>
      </c>
      <c r="O66" s="4" t="str">
        <f aca="false">IF($A66="","",_xlfn.XLOOKUP(LOWER(TRIM(Base_Bruta!N66)),DePara_Pais!$A$2:$A$9,DePara_Pais!$B$2:$B$9,"REVISAR"))</f>
        <v>Brasil</v>
      </c>
      <c r="P66" s="4" t="str">
        <f aca="false">IF($A66="","",IF(O66&lt;&gt;"Brasil","Turista Internacional",IF(M66=F66,"Local","Turista Nacional")))</f>
        <v>Local</v>
      </c>
      <c r="Q66" s="7" t="n">
        <f aca="false">IF($A66="","",DATE(YEAR(B66),MONTH(B66),1))</f>
        <v>45809</v>
      </c>
      <c r="R66" s="4" t="str">
        <f aca="false">IF($A66="","",IF(COUNTIF($A$2:$A66,$A66)&gt;1,"Sim","Não"))</f>
        <v>Não</v>
      </c>
      <c r="S66" s="4" t="str">
        <f aca="false">IF(A66="","Descartar - Linha vazia",IF(R66="Sim","Descartar - Duplicado",IF(OR(H66&lt;=0,I66&lt;=0),"Descartar - Qtd/Valor inválido","OK")))</f>
        <v>Descartar - Qtd/Valor inválido</v>
      </c>
      <c r="T66" s="4" t="str">
        <f aca="false">Base_Bruta!P66</f>
        <v>vendas_SP.xlsx</v>
      </c>
    </row>
    <row r="67" customFormat="false" ht="15" hidden="false" customHeight="false" outlineLevel="0" collapsed="false">
      <c r="A67" s="4" t="str">
        <f aca="false">IF(Base_Bruta!A67="","",Base_Bruta!A67)</f>
        <v>SP-000581</v>
      </c>
      <c r="B67" s="5" t="n">
        <f aca="false">IF($A67="","",IF(ISNUMBER(Base_Bruta!B67),Base_Bruta!B67,IF(MID(Base_Bruta!B67,5,1)="-",DATE(VALUE(LEFT(Base_Bruta!B67,4)),VALUE(MID(Base_Bruta!B67,6,2)),VALUE(RIGHT(Base_Bruta!B67,2))),DATE(VALUE(RIGHT(Base_Bruta!B67,4)),VALUE(MID(Base_Bruta!B67,4,2)),VALUE(LEFT(Base_Bruta!B67,2))))))</f>
        <v>45816</v>
      </c>
      <c r="C67" s="5" t="n">
        <f aca="false">IF($A67="","",IF(ISNUMBER(Base_Bruta!C67),Base_Bruta!C67,IF(MID(Base_Bruta!C67,5,1)="-",DATE(VALUE(LEFT(Base_Bruta!C67,4)),VALUE(MID(Base_Bruta!C67,6,2)),VALUE(RIGHT(Base_Bruta!C67,2))),DATE(VALUE(RIGHT(Base_Bruta!C67,4)),VALUE(MID(Base_Bruta!C67,4,2)),VALUE(LEFT(Base_Bruta!C67,2))))))</f>
        <v>45934</v>
      </c>
      <c r="D67" s="4" t="str">
        <f aca="false">IF($A67="","",TRIM(Base_Bruta!D67))</f>
        <v>Turnê Internacional Pop - SP</v>
      </c>
      <c r="E67" s="4" t="str">
        <f aca="false">IF($A67="","",_xlfn.XLOOKUP(LOWER(TRIM(Base_Bruta!E67)),DePara_Categoria!$A$2:$A$9,DePara_Categoria!$B$2:$B$9,"REVISAR"))</f>
        <v>Show</v>
      </c>
      <c r="F67" s="4" t="str">
        <f aca="false">IF($A67="","",_xlfn.XLOOKUP(LOWER(TRIM(Base_Bruta!F67)),DePara_Cidade!$A$2:$A$29,DePara_Cidade!$B$2:$B$29,"REVISAR"))</f>
        <v>São Paulo</v>
      </c>
      <c r="G67" s="4" t="str">
        <f aca="false">IF($A67="","",TRIM(Base_Bruta!G67))</f>
        <v>VIP</v>
      </c>
      <c r="H67" s="4" t="n">
        <f aca="false">IF($A67="","",IF(ISNUMBER(Base_Bruta!H67),Base_Bruta!H67,IFERROR(_xlfn.NUMBERVALUE(TRIM(SUBSTITUTE(Base_Bruta!H67,"R$","")),",","."),0)))</f>
        <v>2</v>
      </c>
      <c r="I67" s="6" t="n">
        <f aca="false">IF($A67="","",IF(ISNUMBER(Base_Bruta!I67),Base_Bruta!I67,IFERROR(_xlfn.NUMBERVALUE(TRIM(SUBSTITUTE(Base_Bruta!I67,"R$","")),",","."),0)))</f>
        <v>1070</v>
      </c>
      <c r="J67" s="6" t="n">
        <f aca="false">IF($A67="","",H67*I67)</f>
        <v>2140</v>
      </c>
      <c r="K67" s="4" t="str">
        <f aca="false">IF($A67="","",TRIM(Base_Bruta!J67))</f>
        <v>Bilheteria</v>
      </c>
      <c r="L67" s="4" t="str">
        <f aca="false">IF($A67="","",TRIM(Base_Bruta!K67))</f>
        <v>C00680</v>
      </c>
      <c r="M67" s="4" t="str">
        <f aca="false">IF($A67="","",_xlfn.XLOOKUP(LOWER(TRIM(Base_Bruta!L67)),DePara_Cidade!$A$2:$A$29,DePara_Cidade!$B$2:$B$29,"REVISAR"))</f>
        <v>São Paulo</v>
      </c>
      <c r="N67" s="4" t="str">
        <f aca="false">IF($A67="","",UPPER(TRIM(Base_Bruta!M67)))</f>
        <v>SP</v>
      </c>
      <c r="O67" s="4" t="str">
        <f aca="false">IF($A67="","",_xlfn.XLOOKUP(LOWER(TRIM(Base_Bruta!N67)),DePara_Pais!$A$2:$A$9,DePara_Pais!$B$2:$B$9,"REVISAR"))</f>
        <v>Brasil</v>
      </c>
      <c r="P67" s="4" t="str">
        <f aca="false">IF($A67="","",IF(O67&lt;&gt;"Brasil","Turista Internacional",IF(M67=F67,"Local","Turista Nacional")))</f>
        <v>Local</v>
      </c>
      <c r="Q67" s="7" t="n">
        <f aca="false">IF($A67="","",DATE(YEAR(B67),MONTH(B67),1))</f>
        <v>45809</v>
      </c>
      <c r="R67" s="4" t="str">
        <f aca="false">IF($A67="","",IF(COUNTIF($A$2:$A67,$A67)&gt;1,"Sim","Não"))</f>
        <v>Não</v>
      </c>
      <c r="S67" s="4" t="str">
        <f aca="false">IF(A67="","Descartar - Linha vazia",IF(R67="Sim","Descartar - Duplicado",IF(OR(H67&lt;=0,I67&lt;=0),"Descartar - Qtd/Valor inválido","OK")))</f>
        <v>OK</v>
      </c>
      <c r="T67" s="4" t="str">
        <f aca="false">Base_Bruta!P67</f>
        <v>vendas_SP.xlsx</v>
      </c>
    </row>
    <row r="68" customFormat="false" ht="15" hidden="false" customHeight="false" outlineLevel="0" collapsed="false">
      <c r="A68" s="4" t="str">
        <f aca="false">IF(Base_Bruta!A68="","",Base_Bruta!A68)</f>
        <v>SP-000609</v>
      </c>
      <c r="B68" s="5" t="n">
        <f aca="false">IF($A68="","",IF(ISNUMBER(Base_Bruta!B68),Base_Bruta!B68,IF(MID(Base_Bruta!B68,5,1)="-",DATE(VALUE(LEFT(Base_Bruta!B68,4)),VALUE(MID(Base_Bruta!B68,6,2)),VALUE(RIGHT(Base_Bruta!B68,2))),DATE(VALUE(RIGHT(Base_Bruta!B68,4)),VALUE(MID(Base_Bruta!B68,4,2)),VALUE(LEFT(Base_Bruta!B68,2))))))</f>
        <v>45816</v>
      </c>
      <c r="C68" s="5" t="n">
        <f aca="false">IF($A68="","",IF(ISNUMBER(Base_Bruta!C68),Base_Bruta!C68,IF(MID(Base_Bruta!C68,5,1)="-",DATE(VALUE(LEFT(Base_Bruta!C68,4)),VALUE(MID(Base_Bruta!C68,6,2)),VALUE(RIGHT(Base_Bruta!C68,2))),DATE(VALUE(RIGHT(Base_Bruta!C68,4)),VALUE(MID(Base_Bruta!C68,4,2)),VALUE(LEFT(Base_Bruta!C68,2))))))</f>
        <v>45934</v>
      </c>
      <c r="D68" s="4" t="str">
        <f aca="false">IF($A68="","",TRIM(Base_Bruta!D68))</f>
        <v>Turnê Internacional Pop - SP</v>
      </c>
      <c r="E68" s="4" t="str">
        <f aca="false">IF($A68="","",_xlfn.XLOOKUP(LOWER(TRIM(Base_Bruta!E68)),DePara_Categoria!$A$2:$A$9,DePara_Categoria!$B$2:$B$9,"REVISAR"))</f>
        <v>Show</v>
      </c>
      <c r="F68" s="4" t="str">
        <f aca="false">IF($A68="","",_xlfn.XLOOKUP(LOWER(TRIM(Base_Bruta!F68)),DePara_Cidade!$A$2:$A$29,DePara_Cidade!$B$2:$B$29,"REVISAR"))</f>
        <v>São Paulo</v>
      </c>
      <c r="G68" s="4" t="str">
        <f aca="false">IF($A68="","",TRIM(Base_Bruta!G68))</f>
        <v>Inteira</v>
      </c>
      <c r="H68" s="4" t="n">
        <f aca="false">IF($A68="","",IF(ISNUMBER(Base_Bruta!H68),Base_Bruta!H68,IFERROR(_xlfn.NUMBERVALUE(TRIM(SUBSTITUTE(Base_Bruta!H68,"R$","")),",","."),0)))</f>
        <v>2</v>
      </c>
      <c r="I68" s="6" t="n">
        <f aca="false">IF($A68="","",IF(ISNUMBER(Base_Bruta!I68),Base_Bruta!I68,IFERROR(_xlfn.NUMBERVALUE(TRIM(SUBSTITUTE(Base_Bruta!I68,"R$","")),",","."),0)))</f>
        <v>555</v>
      </c>
      <c r="J68" s="6" t="n">
        <f aca="false">IF($A68="","",H68*I68)</f>
        <v>1110</v>
      </c>
      <c r="K68" s="4" t="str">
        <f aca="false">IF($A68="","",TRIM(Base_Bruta!J68))</f>
        <v>Parceiro</v>
      </c>
      <c r="L68" s="4" t="str">
        <f aca="false">IF($A68="","",TRIM(Base_Bruta!K68))</f>
        <v>C01321</v>
      </c>
      <c r="M68" s="4" t="str">
        <f aca="false">IF($A68="","",_xlfn.XLOOKUP(LOWER(TRIM(Base_Bruta!L68)),DePara_Cidade!$A$2:$A$29,DePara_Cidade!$B$2:$B$29,"REVISAR"))</f>
        <v>Goiânia</v>
      </c>
      <c r="N68" s="4" t="str">
        <f aca="false">IF($A68="","",UPPER(TRIM(Base_Bruta!M68)))</f>
        <v>GO</v>
      </c>
      <c r="O68" s="4" t="str">
        <f aca="false">IF($A68="","",_xlfn.XLOOKUP(LOWER(TRIM(Base_Bruta!N68)),DePara_Pais!$A$2:$A$9,DePara_Pais!$B$2:$B$9,"REVISAR"))</f>
        <v>Brasil</v>
      </c>
      <c r="P68" s="4" t="str">
        <f aca="false">IF($A68="","",IF(O68&lt;&gt;"Brasil","Turista Internacional",IF(M68=F68,"Local","Turista Nacional")))</f>
        <v>Turista Nacional</v>
      </c>
      <c r="Q68" s="7" t="n">
        <f aca="false">IF($A68="","",DATE(YEAR(B68),MONTH(B68),1))</f>
        <v>45809</v>
      </c>
      <c r="R68" s="4" t="str">
        <f aca="false">IF($A68="","",IF(COUNTIF($A$2:$A68,$A68)&gt;1,"Sim","Não"))</f>
        <v>Não</v>
      </c>
      <c r="S68" s="4" t="str">
        <f aca="false">IF(A68="","Descartar - Linha vazia",IF(R68="Sim","Descartar - Duplicado",IF(OR(H68&lt;=0,I68&lt;=0),"Descartar - Qtd/Valor inválido","OK")))</f>
        <v>OK</v>
      </c>
      <c r="T68" s="4" t="str">
        <f aca="false">Base_Bruta!P68</f>
        <v>vendas_SP.xlsx</v>
      </c>
    </row>
    <row r="69" customFormat="false" ht="15" hidden="false" customHeight="false" outlineLevel="0" collapsed="false">
      <c r="A69" s="4" t="str">
        <f aca="false">IF(Base_Bruta!A69="","",Base_Bruta!A69)</f>
        <v>SP-000690</v>
      </c>
      <c r="B69" s="5" t="n">
        <f aca="false">IF($A69="","",IF(ISNUMBER(Base_Bruta!B69),Base_Bruta!B69,IF(MID(Base_Bruta!B69,5,1)="-",DATE(VALUE(LEFT(Base_Bruta!B69,4)),VALUE(MID(Base_Bruta!B69,6,2)),VALUE(RIGHT(Base_Bruta!B69,2))),DATE(VALUE(RIGHT(Base_Bruta!B69,4)),VALUE(MID(Base_Bruta!B69,4,2)),VALUE(LEFT(Base_Bruta!B69,2))))))</f>
        <v>45816</v>
      </c>
      <c r="C69" s="5" t="n">
        <f aca="false">IF($A69="","",IF(ISNUMBER(Base_Bruta!C69),Base_Bruta!C69,IF(MID(Base_Bruta!C69,5,1)="-",DATE(VALUE(LEFT(Base_Bruta!C69,4)),VALUE(MID(Base_Bruta!C69,6,2)),VALUE(RIGHT(Base_Bruta!C69,2))),DATE(VALUE(RIGHT(Base_Bruta!C69,4)),VALUE(MID(Base_Bruta!C69,4,2)),VALUE(LEFT(Base_Bruta!C69,2))))))</f>
        <v>45817</v>
      </c>
      <c r="D69" s="4" t="str">
        <f aca="false">IF($A69="","",TRIM(Base_Bruta!D69))</f>
        <v>Cinema Paulista - Sessões</v>
      </c>
      <c r="E69" s="4" t="str">
        <f aca="false">IF($A69="","",_xlfn.XLOOKUP(LOWER(TRIM(Base_Bruta!E69)),DePara_Categoria!$A$2:$A$9,DePara_Categoria!$B$2:$B$9,"REVISAR"))</f>
        <v>Cinema</v>
      </c>
      <c r="F69" s="4" t="str">
        <f aca="false">IF($A69="","",_xlfn.XLOOKUP(LOWER(TRIM(Base_Bruta!F69)),DePara_Cidade!$A$2:$A$29,DePara_Cidade!$B$2:$B$29,"REVISAR"))</f>
        <v>São Paulo</v>
      </c>
      <c r="G69" s="4" t="str">
        <f aca="false">IF($A69="","",TRIM(Base_Bruta!G69))</f>
        <v>Inteira</v>
      </c>
      <c r="H69" s="4" t="n">
        <f aca="false">IF($A69="","",IF(ISNUMBER(Base_Bruta!H69),Base_Bruta!H69,IFERROR(_xlfn.NUMBERVALUE(TRIM(SUBSTITUTE(Base_Bruta!H69,"R$","")),",","."),0)))</f>
        <v>1</v>
      </c>
      <c r="I69" s="6" t="n">
        <f aca="false">IF($A69="","",IF(ISNUMBER(Base_Bruta!I69),Base_Bruta!I69,IFERROR(_xlfn.NUMBERVALUE(TRIM(SUBSTITUTE(Base_Bruta!I69,"R$","")),",","."),0)))</f>
        <v>45</v>
      </c>
      <c r="J69" s="6" t="n">
        <f aca="false">IF($A69="","",H69*I69)</f>
        <v>45</v>
      </c>
      <c r="K69" s="4" t="str">
        <f aca="false">IF($A69="","",TRIM(Base_Bruta!J69))</f>
        <v>App</v>
      </c>
      <c r="L69" s="4" t="str">
        <f aca="false">IF($A69="","",TRIM(Base_Bruta!K69))</f>
        <v>C02096</v>
      </c>
      <c r="M69" s="4" t="str">
        <f aca="false">IF($A69="","",_xlfn.XLOOKUP(LOWER(TRIM(Base_Bruta!L69)),DePara_Cidade!$A$2:$A$29,DePara_Cidade!$B$2:$B$29,"REVISAR"))</f>
        <v>São Paulo</v>
      </c>
      <c r="N69" s="4" t="str">
        <f aca="false">IF($A69="","",UPPER(TRIM(Base_Bruta!M69)))</f>
        <v>SP</v>
      </c>
      <c r="O69" s="4" t="str">
        <f aca="false">IF($A69="","",_xlfn.XLOOKUP(LOWER(TRIM(Base_Bruta!N69)),DePara_Pais!$A$2:$A$9,DePara_Pais!$B$2:$B$9,"REVISAR"))</f>
        <v>Brasil</v>
      </c>
      <c r="P69" s="4" t="str">
        <f aca="false">IF($A69="","",IF(O69&lt;&gt;"Brasil","Turista Internacional",IF(M69=F69,"Local","Turista Nacional")))</f>
        <v>Local</v>
      </c>
      <c r="Q69" s="7" t="n">
        <f aca="false">IF($A69="","",DATE(YEAR(B69),MONTH(B69),1))</f>
        <v>45809</v>
      </c>
      <c r="R69" s="4" t="str">
        <f aca="false">IF($A69="","",IF(COUNTIF($A$2:$A69,$A69)&gt;1,"Sim","Não"))</f>
        <v>Não</v>
      </c>
      <c r="S69" s="4" t="str">
        <f aca="false">IF(A69="","Descartar - Linha vazia",IF(R69="Sim","Descartar - Duplicado",IF(OR(H69&lt;=0,I69&lt;=0),"Descartar - Qtd/Valor inválido","OK")))</f>
        <v>OK</v>
      </c>
      <c r="T69" s="4" t="str">
        <f aca="false">Base_Bruta!P69</f>
        <v>vendas_SP.xlsx</v>
      </c>
    </row>
    <row r="70" customFormat="false" ht="15" hidden="false" customHeight="false" outlineLevel="0" collapsed="false">
      <c r="A70" s="4" t="str">
        <f aca="false">IF(Base_Bruta!A70="","",Base_Bruta!A70)</f>
        <v>SP-000546</v>
      </c>
      <c r="B70" s="5" t="n">
        <f aca="false">IF($A70="","",IF(ISNUMBER(Base_Bruta!B70),Base_Bruta!B70,IF(MID(Base_Bruta!B70,5,1)="-",DATE(VALUE(LEFT(Base_Bruta!B70,4)),VALUE(MID(Base_Bruta!B70,6,2)),VALUE(RIGHT(Base_Bruta!B70,2))),DATE(VALUE(RIGHT(Base_Bruta!B70,4)),VALUE(MID(Base_Bruta!B70,4,2)),VALUE(LEFT(Base_Bruta!B70,2))))))</f>
        <v>45817</v>
      </c>
      <c r="C70" s="5" t="n">
        <f aca="false">IF($A70="","",IF(ISNUMBER(Base_Bruta!C70),Base_Bruta!C70,IF(MID(Base_Bruta!C70,5,1)="-",DATE(VALUE(LEFT(Base_Bruta!C70,4)),VALUE(MID(Base_Bruta!C70,6,2)),VALUE(RIGHT(Base_Bruta!C70,2))),DATE(VALUE(RIGHT(Base_Bruta!C70,4)),VALUE(MID(Base_Bruta!C70,4,2)),VALUE(LEFT(Base_Bruta!C70,2))))))</f>
        <v>45934</v>
      </c>
      <c r="D70" s="4" t="str">
        <f aca="false">IF($A70="","",TRIM(Base_Bruta!D70))</f>
        <v>Turnê Internacional Pop - SP</v>
      </c>
      <c r="E70" s="4" t="str">
        <f aca="false">IF($A70="","",_xlfn.XLOOKUP(LOWER(TRIM(Base_Bruta!E70)),DePara_Categoria!$A$2:$A$9,DePara_Categoria!$B$2:$B$9,"REVISAR"))</f>
        <v>Show</v>
      </c>
      <c r="F70" s="4" t="str">
        <f aca="false">IF($A70="","",_xlfn.XLOOKUP(LOWER(TRIM(Base_Bruta!F70)),DePara_Cidade!$A$2:$A$29,DePara_Cidade!$B$2:$B$29,"REVISAR"))</f>
        <v>São Paulo</v>
      </c>
      <c r="G70" s="4" t="str">
        <f aca="false">IF($A70="","",TRIM(Base_Bruta!G70))</f>
        <v>Inteira</v>
      </c>
      <c r="H70" s="4" t="n">
        <f aca="false">IF($A70="","",IF(ISNUMBER(Base_Bruta!H70),Base_Bruta!H70,IFERROR(_xlfn.NUMBERVALUE(TRIM(SUBSTITUTE(Base_Bruta!H70,"R$","")),",","."),0)))</f>
        <v>4</v>
      </c>
      <c r="I70" s="6" t="n">
        <f aca="false">IF($A70="","",IF(ISNUMBER(Base_Bruta!I70),Base_Bruta!I70,IFERROR(_xlfn.NUMBERVALUE(TRIM(SUBSTITUTE(Base_Bruta!I70,"R$","")),",","."),0)))</f>
        <v>625</v>
      </c>
      <c r="J70" s="6" t="n">
        <f aca="false">IF($A70="","",H70*I70)</f>
        <v>2500</v>
      </c>
      <c r="K70" s="4" t="str">
        <f aca="false">IF($A70="","",TRIM(Base_Bruta!J70))</f>
        <v>App</v>
      </c>
      <c r="L70" s="4" t="str">
        <f aca="false">IF($A70="","",TRIM(Base_Bruta!K70))</f>
        <v>C01501</v>
      </c>
      <c r="M70" s="4" t="str">
        <f aca="false">IF($A70="","",_xlfn.XLOOKUP(LOWER(TRIM(Base_Bruta!L70)),DePara_Cidade!$A$2:$A$29,DePara_Cidade!$B$2:$B$29,"REVISAR"))</f>
        <v>São Paulo</v>
      </c>
      <c r="N70" s="4" t="str">
        <f aca="false">IF($A70="","",UPPER(TRIM(Base_Bruta!M70)))</f>
        <v>SP</v>
      </c>
      <c r="O70" s="4" t="str">
        <f aca="false">IF($A70="","",_xlfn.XLOOKUP(LOWER(TRIM(Base_Bruta!N70)),DePara_Pais!$A$2:$A$9,DePara_Pais!$B$2:$B$9,"REVISAR"))</f>
        <v>Brasil</v>
      </c>
      <c r="P70" s="4" t="str">
        <f aca="false">IF($A70="","",IF(O70&lt;&gt;"Brasil","Turista Internacional",IF(M70=F70,"Local","Turista Nacional")))</f>
        <v>Local</v>
      </c>
      <c r="Q70" s="7" t="n">
        <f aca="false">IF($A70="","",DATE(YEAR(B70),MONTH(B70),1))</f>
        <v>45809</v>
      </c>
      <c r="R70" s="4" t="str">
        <f aca="false">IF($A70="","",IF(COUNTIF($A$2:$A70,$A70)&gt;1,"Sim","Não"))</f>
        <v>Não</v>
      </c>
      <c r="S70" s="4" t="str">
        <f aca="false">IF(A70="","Descartar - Linha vazia",IF(R70="Sim","Descartar - Duplicado",IF(OR(H70&lt;=0,I70&lt;=0),"Descartar - Qtd/Valor inválido","OK")))</f>
        <v>OK</v>
      </c>
      <c r="T70" s="4" t="str">
        <f aca="false">Base_Bruta!P70</f>
        <v>vendas_SP.xlsx</v>
      </c>
    </row>
    <row r="71" customFormat="false" ht="15" hidden="false" customHeight="false" outlineLevel="0" collapsed="false">
      <c r="A71" s="4" t="str">
        <f aca="false">IF(Base_Bruta!A71="","",Base_Bruta!A71)</f>
        <v>SP-000580</v>
      </c>
      <c r="B71" s="5" t="n">
        <f aca="false">IF($A71="","",IF(ISNUMBER(Base_Bruta!B71),Base_Bruta!B71,IF(MID(Base_Bruta!B71,5,1)="-",DATE(VALUE(LEFT(Base_Bruta!B71,4)),VALUE(MID(Base_Bruta!B71,6,2)),VALUE(RIGHT(Base_Bruta!B71,2))),DATE(VALUE(RIGHT(Base_Bruta!B71,4)),VALUE(MID(Base_Bruta!B71,4,2)),VALUE(LEFT(Base_Bruta!B71,2))))))</f>
        <v>45817</v>
      </c>
      <c r="C71" s="5" t="n">
        <f aca="false">IF($A71="","",IF(ISNUMBER(Base_Bruta!C71),Base_Bruta!C71,IF(MID(Base_Bruta!C71,5,1)="-",DATE(VALUE(LEFT(Base_Bruta!C71,4)),VALUE(MID(Base_Bruta!C71,6,2)),VALUE(RIGHT(Base_Bruta!C71,2))),DATE(VALUE(RIGHT(Base_Bruta!C71,4)),VALUE(MID(Base_Bruta!C71,4,2)),VALUE(LEFT(Base_Bruta!C71,2))))))</f>
        <v>45934</v>
      </c>
      <c r="D71" s="4" t="str">
        <f aca="false">IF($A71="","",TRIM(Base_Bruta!D71))</f>
        <v>Turnê Internacional Pop - SP</v>
      </c>
      <c r="E71" s="4" t="str">
        <f aca="false">IF($A71="","",_xlfn.XLOOKUP(LOWER(TRIM(Base_Bruta!E71)),DePara_Categoria!$A$2:$A$9,DePara_Categoria!$B$2:$B$9,"REVISAR"))</f>
        <v>Show</v>
      </c>
      <c r="F71" s="4" t="str">
        <f aca="false">IF($A71="","",_xlfn.XLOOKUP(LOWER(TRIM(Base_Bruta!F71)),DePara_Cidade!$A$2:$A$29,DePara_Cidade!$B$2:$B$29,"REVISAR"))</f>
        <v>São Paulo</v>
      </c>
      <c r="G71" s="4" t="str">
        <f aca="false">IF($A71="","",TRIM(Base_Bruta!G71))</f>
        <v>Inteira</v>
      </c>
      <c r="H71" s="4" t="n">
        <f aca="false">IF($A71="","",IF(ISNUMBER(Base_Bruta!H71),Base_Bruta!H71,IFERROR(_xlfn.NUMBERVALUE(TRIM(SUBSTITUTE(Base_Bruta!H71,"R$","")),",","."),0)))</f>
        <v>4</v>
      </c>
      <c r="I71" s="6" t="n">
        <f aca="false">IF($A71="","",IF(ISNUMBER(Base_Bruta!I71),Base_Bruta!I71,IFERROR(_xlfn.NUMBERVALUE(TRIM(SUBSTITUTE(Base_Bruta!I71,"R$","")),",","."),0)))</f>
        <v>615</v>
      </c>
      <c r="J71" s="6" t="n">
        <f aca="false">IF($A71="","",H71*I71)</f>
        <v>2460</v>
      </c>
      <c r="K71" s="4" t="str">
        <f aca="false">IF($A71="","",TRIM(Base_Bruta!J71))</f>
        <v>App</v>
      </c>
      <c r="L71" s="4" t="str">
        <f aca="false">IF($A71="","",TRIM(Base_Bruta!K71))</f>
        <v>C00508</v>
      </c>
      <c r="M71" s="4" t="str">
        <f aca="false">IF($A71="","",_xlfn.XLOOKUP(LOWER(TRIM(Base_Bruta!L71)),DePara_Cidade!$A$2:$A$29,DePara_Cidade!$B$2:$B$29,"REVISAR"))</f>
        <v>São Paulo</v>
      </c>
      <c r="N71" s="4" t="str">
        <f aca="false">IF($A71="","",UPPER(TRIM(Base_Bruta!M71)))</f>
        <v>SP</v>
      </c>
      <c r="O71" s="4" t="str">
        <f aca="false">IF($A71="","",_xlfn.XLOOKUP(LOWER(TRIM(Base_Bruta!N71)),DePara_Pais!$A$2:$A$9,DePara_Pais!$B$2:$B$9,"REVISAR"))</f>
        <v>Brasil</v>
      </c>
      <c r="P71" s="4" t="str">
        <f aca="false">IF($A71="","",IF(O71&lt;&gt;"Brasil","Turista Internacional",IF(M71=F71,"Local","Turista Nacional")))</f>
        <v>Local</v>
      </c>
      <c r="Q71" s="7" t="n">
        <f aca="false">IF($A71="","",DATE(YEAR(B71),MONTH(B71),1))</f>
        <v>45809</v>
      </c>
      <c r="R71" s="4" t="str">
        <f aca="false">IF($A71="","",IF(COUNTIF($A$2:$A71,$A71)&gt;1,"Sim","Não"))</f>
        <v>Não</v>
      </c>
      <c r="S71" s="4" t="str">
        <f aca="false">IF(A71="","Descartar - Linha vazia",IF(R71="Sim","Descartar - Duplicado",IF(OR(H71&lt;=0,I71&lt;=0),"Descartar - Qtd/Valor inválido","OK")))</f>
        <v>OK</v>
      </c>
      <c r="T71" s="4" t="str">
        <f aca="false">Base_Bruta!P71</f>
        <v>vendas_SP.xlsx</v>
      </c>
    </row>
    <row r="72" customFormat="false" ht="15" hidden="false" customHeight="false" outlineLevel="0" collapsed="false">
      <c r="A72" s="4" t="str">
        <f aca="false">IF(Base_Bruta!A72="","",Base_Bruta!A72)</f>
        <v>SP-000483</v>
      </c>
      <c r="B72" s="5" t="n">
        <f aca="false">IF($A72="","",IF(ISNUMBER(Base_Bruta!B72),Base_Bruta!B72,IF(MID(Base_Bruta!B72,5,1)="-",DATE(VALUE(LEFT(Base_Bruta!B72,4)),VALUE(MID(Base_Bruta!B72,6,2)),VALUE(RIGHT(Base_Bruta!B72,2))),DATE(VALUE(RIGHT(Base_Bruta!B72,4)),VALUE(MID(Base_Bruta!B72,4,2)),VALUE(LEFT(Base_Bruta!B72,2))))))</f>
        <v>45818</v>
      </c>
      <c r="C72" s="5" t="n">
        <f aca="false">IF($A72="","",IF(ISNUMBER(Base_Bruta!C72),Base_Bruta!C72,IF(MID(Base_Bruta!C72,5,1)="-",DATE(VALUE(LEFT(Base_Bruta!C72,4)),VALUE(MID(Base_Bruta!C72,6,2)),VALUE(RIGHT(Base_Bruta!C72,2))),DATE(VALUE(RIGHT(Base_Bruta!C72,4)),VALUE(MID(Base_Bruta!C72,4,2)),VALUE(LEFT(Base_Bruta!C72,2))))))</f>
        <v>45934</v>
      </c>
      <c r="D72" s="4" t="str">
        <f aca="false">IF($A72="","",TRIM(Base_Bruta!D72))</f>
        <v>Turnê Internacional Pop - SP</v>
      </c>
      <c r="E72" s="4" t="str">
        <f aca="false">IF($A72="","",_xlfn.XLOOKUP(LOWER(TRIM(Base_Bruta!E72)),DePara_Categoria!$A$2:$A$9,DePara_Categoria!$B$2:$B$9,"REVISAR"))</f>
        <v>Show</v>
      </c>
      <c r="F72" s="4" t="str">
        <f aca="false">IF($A72="","",_xlfn.XLOOKUP(LOWER(TRIM(Base_Bruta!F72)),DePara_Cidade!$A$2:$A$29,DePara_Cidade!$B$2:$B$29,"REVISAR"))</f>
        <v>São Paulo</v>
      </c>
      <c r="G72" s="4" t="str">
        <f aca="false">IF($A72="","",TRIM(Base_Bruta!G72))</f>
        <v>Inteira</v>
      </c>
      <c r="H72" s="4" t="n">
        <f aca="false">IF($A72="","",IF(ISNUMBER(Base_Bruta!H72),Base_Bruta!H72,IFERROR(_xlfn.NUMBERVALUE(TRIM(SUBSTITUTE(Base_Bruta!H72,"R$","")),",","."),0)))</f>
        <v>2</v>
      </c>
      <c r="I72" s="6" t="n">
        <f aca="false">IF($A72="","",IF(ISNUMBER(Base_Bruta!I72),Base_Bruta!I72,IFERROR(_xlfn.NUMBERVALUE(TRIM(SUBSTITUTE(Base_Bruta!I72,"R$","")),",","."),0)))</f>
        <v>545</v>
      </c>
      <c r="J72" s="6" t="n">
        <f aca="false">IF($A72="","",H72*I72)</f>
        <v>1090</v>
      </c>
      <c r="K72" s="4" t="str">
        <f aca="false">IF($A72="","",TRIM(Base_Bruta!J72))</f>
        <v>Bilheteria</v>
      </c>
      <c r="L72" s="4" t="str">
        <f aca="false">IF($A72="","",TRIM(Base_Bruta!K72))</f>
        <v>C01518</v>
      </c>
      <c r="M72" s="4" t="str">
        <f aca="false">IF($A72="","",_xlfn.XLOOKUP(LOWER(TRIM(Base_Bruta!L72)),DePara_Cidade!$A$2:$A$29,DePara_Cidade!$B$2:$B$29,"REVISAR"))</f>
        <v>São Paulo</v>
      </c>
      <c r="N72" s="4" t="str">
        <f aca="false">IF($A72="","",UPPER(TRIM(Base_Bruta!M72)))</f>
        <v>SP</v>
      </c>
      <c r="O72" s="4" t="str">
        <f aca="false">IF($A72="","",_xlfn.XLOOKUP(LOWER(TRIM(Base_Bruta!N72)),DePara_Pais!$A$2:$A$9,DePara_Pais!$B$2:$B$9,"REVISAR"))</f>
        <v>Brasil</v>
      </c>
      <c r="P72" s="4" t="str">
        <f aca="false">IF($A72="","",IF(O72&lt;&gt;"Brasil","Turista Internacional",IF(M72=F72,"Local","Turista Nacional")))</f>
        <v>Local</v>
      </c>
      <c r="Q72" s="7" t="n">
        <f aca="false">IF($A72="","",DATE(YEAR(B72),MONTH(B72),1))</f>
        <v>45809</v>
      </c>
      <c r="R72" s="4" t="str">
        <f aca="false">IF($A72="","",IF(COUNTIF($A$2:$A72,$A72)&gt;1,"Sim","Não"))</f>
        <v>Não</v>
      </c>
      <c r="S72" s="4" t="str">
        <f aca="false">IF(A72="","Descartar - Linha vazia",IF(R72="Sim","Descartar - Duplicado",IF(OR(H72&lt;=0,I72&lt;=0),"Descartar - Qtd/Valor inválido","OK")))</f>
        <v>OK</v>
      </c>
      <c r="T72" s="4" t="str">
        <f aca="false">Base_Bruta!P72</f>
        <v>vendas_SP.xlsx</v>
      </c>
    </row>
    <row r="73" customFormat="false" ht="15" hidden="false" customHeight="false" outlineLevel="0" collapsed="false">
      <c r="A73" s="4" t="str">
        <f aca="false">IF(Base_Bruta!A73="","",Base_Bruta!A73)</f>
        <v>SP-000499</v>
      </c>
      <c r="B73" s="5" t="n">
        <f aca="false">IF($A73="","",IF(ISNUMBER(Base_Bruta!B73),Base_Bruta!B73,IF(MID(Base_Bruta!B73,5,1)="-",DATE(VALUE(LEFT(Base_Bruta!B73,4)),VALUE(MID(Base_Bruta!B73,6,2)),VALUE(RIGHT(Base_Bruta!B73,2))),DATE(VALUE(RIGHT(Base_Bruta!B73,4)),VALUE(MID(Base_Bruta!B73,4,2)),VALUE(LEFT(Base_Bruta!B73,2))))))</f>
        <v>45818</v>
      </c>
      <c r="C73" s="5" t="n">
        <f aca="false">IF($A73="","",IF(ISNUMBER(Base_Bruta!C73),Base_Bruta!C73,IF(MID(Base_Bruta!C73,5,1)="-",DATE(VALUE(LEFT(Base_Bruta!C73,4)),VALUE(MID(Base_Bruta!C73,6,2)),VALUE(RIGHT(Base_Bruta!C73,2))),DATE(VALUE(RIGHT(Base_Bruta!C73,4)),VALUE(MID(Base_Bruta!C73,4,2)),VALUE(LEFT(Base_Bruta!C73,2))))))</f>
        <v>45934</v>
      </c>
      <c r="D73" s="4" t="str">
        <f aca="false">IF($A73="","",TRIM(Base_Bruta!D73))</f>
        <v>Turnê Internacional Pop - SP</v>
      </c>
      <c r="E73" s="4" t="str">
        <f aca="false">IF($A73="","",_xlfn.XLOOKUP(LOWER(TRIM(Base_Bruta!E73)),DePara_Categoria!$A$2:$A$9,DePara_Categoria!$B$2:$B$9,"REVISAR"))</f>
        <v>Show</v>
      </c>
      <c r="F73" s="4" t="str">
        <f aca="false">IF($A73="","",_xlfn.XLOOKUP(LOWER(TRIM(Base_Bruta!F73)),DePara_Cidade!$A$2:$A$29,DePara_Cidade!$B$2:$B$29,"REVISAR"))</f>
        <v>São Paulo</v>
      </c>
      <c r="G73" s="4" t="str">
        <f aca="false">IF($A73="","",TRIM(Base_Bruta!G73))</f>
        <v>Meia</v>
      </c>
      <c r="H73" s="4" t="n">
        <f aca="false">IF($A73="","",IF(ISNUMBER(Base_Bruta!H73),Base_Bruta!H73,IFERROR(_xlfn.NUMBERVALUE(TRIM(SUBSTITUTE(Base_Bruta!H73,"R$","")),",","."),0)))</f>
        <v>2</v>
      </c>
      <c r="I73" s="6" t="n">
        <f aca="false">IF($A73="","",IF(ISNUMBER(Base_Bruta!I73),Base_Bruta!I73,IFERROR(_xlfn.NUMBERVALUE(TRIM(SUBSTITUTE(Base_Bruta!I73,"R$","")),",","."),0)))</f>
        <v>370</v>
      </c>
      <c r="J73" s="6" t="n">
        <f aca="false">IF($A73="","",H73*I73)</f>
        <v>740</v>
      </c>
      <c r="K73" s="4" t="str">
        <f aca="false">IF($A73="","",TRIM(Base_Bruta!J73))</f>
        <v>App</v>
      </c>
      <c r="L73" s="4" t="str">
        <f aca="false">IF($A73="","",TRIM(Base_Bruta!K73))</f>
        <v>C00783</v>
      </c>
      <c r="M73" s="4" t="str">
        <f aca="false">IF($A73="","",_xlfn.XLOOKUP(LOWER(TRIM(Base_Bruta!L73)),DePara_Cidade!$A$2:$A$29,DePara_Cidade!$B$2:$B$29,"REVISAR"))</f>
        <v>Buenos Aires</v>
      </c>
      <c r="N73" s="4" t="str">
        <f aca="false">IF($A73="","",UPPER(TRIM(Base_Bruta!M73)))</f>
        <v>EX</v>
      </c>
      <c r="O73" s="4" t="str">
        <f aca="false">IF($A73="","",_xlfn.XLOOKUP(LOWER(TRIM(Base_Bruta!N73)),DePara_Pais!$A$2:$A$9,DePara_Pais!$B$2:$B$9,"REVISAR"))</f>
        <v>Argentina</v>
      </c>
      <c r="P73" s="4" t="str">
        <f aca="false">IF($A73="","",IF(O73&lt;&gt;"Brasil","Turista Internacional",IF(M73=F73,"Local","Turista Nacional")))</f>
        <v>Turista Internacional</v>
      </c>
      <c r="Q73" s="7" t="n">
        <f aca="false">IF($A73="","",DATE(YEAR(B73),MONTH(B73),1))</f>
        <v>45809</v>
      </c>
      <c r="R73" s="4" t="str">
        <f aca="false">IF($A73="","",IF(COUNTIF($A$2:$A73,$A73)&gt;1,"Sim","Não"))</f>
        <v>Não</v>
      </c>
      <c r="S73" s="4" t="str">
        <f aca="false">IF(A73="","Descartar - Linha vazia",IF(R73="Sim","Descartar - Duplicado",IF(OR(H73&lt;=0,I73&lt;=0),"Descartar - Qtd/Valor inválido","OK")))</f>
        <v>OK</v>
      </c>
      <c r="T73" s="4" t="str">
        <f aca="false">Base_Bruta!P73</f>
        <v>vendas_SP.xlsx</v>
      </c>
    </row>
    <row r="74" customFormat="false" ht="15" hidden="false" customHeight="false" outlineLevel="0" collapsed="false">
      <c r="A74" s="4" t="str">
        <f aca="false">IF(Base_Bruta!A74="","",Base_Bruta!A74)</f>
        <v>SP-000605</v>
      </c>
      <c r="B74" s="5" t="n">
        <f aca="false">IF($A74="","",IF(ISNUMBER(Base_Bruta!B74),Base_Bruta!B74,IF(MID(Base_Bruta!B74,5,1)="-",DATE(VALUE(LEFT(Base_Bruta!B74,4)),VALUE(MID(Base_Bruta!B74,6,2)),VALUE(RIGHT(Base_Bruta!B74,2))),DATE(VALUE(RIGHT(Base_Bruta!B74,4)),VALUE(MID(Base_Bruta!B74,4,2)),VALUE(LEFT(Base_Bruta!B74,2))))))</f>
        <v>45818</v>
      </c>
      <c r="C74" s="5" t="n">
        <f aca="false">IF($A74="","",IF(ISNUMBER(Base_Bruta!C74),Base_Bruta!C74,IF(MID(Base_Bruta!C74,5,1)="-",DATE(VALUE(LEFT(Base_Bruta!C74,4)),VALUE(MID(Base_Bruta!C74,6,2)),VALUE(RIGHT(Base_Bruta!C74,2))),DATE(VALUE(RIGHT(Base_Bruta!C74,4)),VALUE(MID(Base_Bruta!C74,4,2)),VALUE(LEFT(Base_Bruta!C74,2))))))</f>
        <v>45934</v>
      </c>
      <c r="D74" s="4" t="str">
        <f aca="false">IF($A74="","",TRIM(Base_Bruta!D74))</f>
        <v>Turnê Internacional Pop - SP</v>
      </c>
      <c r="E74" s="4" t="str">
        <f aca="false">IF($A74="","",_xlfn.XLOOKUP(LOWER(TRIM(Base_Bruta!E74)),DePara_Categoria!$A$2:$A$9,DePara_Categoria!$B$2:$B$9,"REVISAR"))</f>
        <v>Show</v>
      </c>
      <c r="F74" s="4" t="str">
        <f aca="false">IF($A74="","",_xlfn.XLOOKUP(LOWER(TRIM(Base_Bruta!F74)),DePara_Cidade!$A$2:$A$29,DePara_Cidade!$B$2:$B$29,"REVISAR"))</f>
        <v>São Paulo</v>
      </c>
      <c r="G74" s="4" t="str">
        <f aca="false">IF($A74="","",TRIM(Base_Bruta!G74))</f>
        <v>Inteira</v>
      </c>
      <c r="H74" s="4" t="n">
        <f aca="false">IF($A74="","",IF(ISNUMBER(Base_Bruta!H74),Base_Bruta!H74,IFERROR(_xlfn.NUMBERVALUE(TRIM(SUBSTITUTE(Base_Bruta!H74,"R$","")),",","."),0)))</f>
        <v>2</v>
      </c>
      <c r="I74" s="6" t="n">
        <f aca="false">IF($A74="","",IF(ISNUMBER(Base_Bruta!I74),Base_Bruta!I74,IFERROR(_xlfn.NUMBERVALUE(TRIM(SUBSTITUTE(Base_Bruta!I74,"R$","")),",","."),0)))</f>
        <v>300</v>
      </c>
      <c r="J74" s="6" t="n">
        <f aca="false">IF($A74="","",H74*I74)</f>
        <v>600</v>
      </c>
      <c r="K74" s="4" t="str">
        <f aca="false">IF($A74="","",TRIM(Base_Bruta!J74))</f>
        <v>Site</v>
      </c>
      <c r="L74" s="4" t="str">
        <f aca="false">IF($A74="","",TRIM(Base_Bruta!K74))</f>
        <v>C02308</v>
      </c>
      <c r="M74" s="4" t="str">
        <f aca="false">IF($A74="","",_xlfn.XLOOKUP(LOWER(TRIM(Base_Bruta!L74)),DePara_Cidade!$A$2:$A$29,DePara_Cidade!$B$2:$B$29,"REVISAR"))</f>
        <v>São Paulo</v>
      </c>
      <c r="N74" s="4" t="str">
        <f aca="false">IF($A74="","",UPPER(TRIM(Base_Bruta!M74)))</f>
        <v>SP</v>
      </c>
      <c r="O74" s="4" t="str">
        <f aca="false">IF($A74="","",_xlfn.XLOOKUP(LOWER(TRIM(Base_Bruta!N74)),DePara_Pais!$A$2:$A$9,DePara_Pais!$B$2:$B$9,"REVISAR"))</f>
        <v>Brasil</v>
      </c>
      <c r="P74" s="4" t="str">
        <f aca="false">IF($A74="","",IF(O74&lt;&gt;"Brasil","Turista Internacional",IF(M74=F74,"Local","Turista Nacional")))</f>
        <v>Local</v>
      </c>
      <c r="Q74" s="7" t="n">
        <f aca="false">IF($A74="","",DATE(YEAR(B74),MONTH(B74),1))</f>
        <v>45809</v>
      </c>
      <c r="R74" s="4" t="str">
        <f aca="false">IF($A74="","",IF(COUNTIF($A$2:$A74,$A74)&gt;1,"Sim","Não"))</f>
        <v>Não</v>
      </c>
      <c r="S74" s="4" t="str">
        <f aca="false">IF(A74="","Descartar - Linha vazia",IF(R74="Sim","Descartar - Duplicado",IF(OR(H74&lt;=0,I74&lt;=0),"Descartar - Qtd/Valor inválido","OK")))</f>
        <v>OK</v>
      </c>
      <c r="T74" s="4" t="str">
        <f aca="false">Base_Bruta!P74</f>
        <v>vendas_SP.xlsx</v>
      </c>
    </row>
    <row r="75" customFormat="false" ht="15" hidden="false" customHeight="false" outlineLevel="0" collapsed="false">
      <c r="A75" s="4" t="str">
        <f aca="false">IF(Base_Bruta!A75="","",Base_Bruta!A75)</f>
        <v>SP-000562</v>
      </c>
      <c r="B75" s="5" t="n">
        <f aca="false">IF($A75="","",IF(ISNUMBER(Base_Bruta!B75),Base_Bruta!B75,IF(MID(Base_Bruta!B75,5,1)="-",DATE(VALUE(LEFT(Base_Bruta!B75,4)),VALUE(MID(Base_Bruta!B75,6,2)),VALUE(RIGHT(Base_Bruta!B75,2))),DATE(VALUE(RIGHT(Base_Bruta!B75,4)),VALUE(MID(Base_Bruta!B75,4,2)),VALUE(LEFT(Base_Bruta!B75,2))))))</f>
        <v>45819</v>
      </c>
      <c r="C75" s="5" t="n">
        <f aca="false">IF($A75="","",IF(ISNUMBER(Base_Bruta!C75),Base_Bruta!C75,IF(MID(Base_Bruta!C75,5,1)="-",DATE(VALUE(LEFT(Base_Bruta!C75,4)),VALUE(MID(Base_Bruta!C75,6,2)),VALUE(RIGHT(Base_Bruta!C75,2))),DATE(VALUE(RIGHT(Base_Bruta!C75,4)),VALUE(MID(Base_Bruta!C75,4,2)),VALUE(LEFT(Base_Bruta!C75,2))))))</f>
        <v>45934</v>
      </c>
      <c r="D75" s="4" t="str">
        <f aca="false">IF($A75="","",TRIM(Base_Bruta!D75))</f>
        <v>Turnê Internacional Pop - SP</v>
      </c>
      <c r="E75" s="4" t="str">
        <f aca="false">IF($A75="","",_xlfn.XLOOKUP(LOWER(TRIM(Base_Bruta!E75)),DePara_Categoria!$A$2:$A$9,DePara_Categoria!$B$2:$B$9,"REVISAR"))</f>
        <v>Show</v>
      </c>
      <c r="F75" s="4" t="str">
        <f aca="false">IF($A75="","",_xlfn.XLOOKUP(LOWER(TRIM(Base_Bruta!F75)),DePara_Cidade!$A$2:$A$29,DePara_Cidade!$B$2:$B$29,"REVISAR"))</f>
        <v>São Paulo</v>
      </c>
      <c r="G75" s="4" t="str">
        <f aca="false">IF($A75="","",TRIM(Base_Bruta!G75))</f>
        <v>Meia</v>
      </c>
      <c r="H75" s="4" t="n">
        <f aca="false">IF($A75="","",IF(ISNUMBER(Base_Bruta!H75),Base_Bruta!H75,IFERROR(_xlfn.NUMBERVALUE(TRIM(SUBSTITUTE(Base_Bruta!H75,"R$","")),",","."),0)))</f>
        <v>2</v>
      </c>
      <c r="I75" s="6" t="n">
        <f aca="false">IF($A75="","",IF(ISNUMBER(Base_Bruta!I75),Base_Bruta!I75,IFERROR(_xlfn.NUMBERVALUE(TRIM(SUBSTITUTE(Base_Bruta!I75,"R$","")),",","."),0)))</f>
        <v>212.5</v>
      </c>
      <c r="J75" s="6" t="n">
        <f aca="false">IF($A75="","",H75*I75)</f>
        <v>425</v>
      </c>
      <c r="K75" s="4" t="str">
        <f aca="false">IF($A75="","",TRIM(Base_Bruta!J75))</f>
        <v>Bilheteria</v>
      </c>
      <c r="L75" s="4" t="str">
        <f aca="false">IF($A75="","",TRIM(Base_Bruta!K75))</f>
        <v>C00966</v>
      </c>
      <c r="M75" s="4" t="str">
        <f aca="false">IF($A75="","",_xlfn.XLOOKUP(LOWER(TRIM(Base_Bruta!L75)),DePara_Cidade!$A$2:$A$29,DePara_Cidade!$B$2:$B$29,"REVISAR"))</f>
        <v>Recife</v>
      </c>
      <c r="N75" s="4" t="str">
        <f aca="false">IF($A75="","",UPPER(TRIM(Base_Bruta!M75)))</f>
        <v>PE</v>
      </c>
      <c r="O75" s="4" t="str">
        <f aca="false">IF($A75="","",_xlfn.XLOOKUP(LOWER(TRIM(Base_Bruta!N75)),DePara_Pais!$A$2:$A$9,DePara_Pais!$B$2:$B$9,"REVISAR"))</f>
        <v>Brasil</v>
      </c>
      <c r="P75" s="4" t="str">
        <f aca="false">IF($A75="","",IF(O75&lt;&gt;"Brasil","Turista Internacional",IF(M75=F75,"Local","Turista Nacional")))</f>
        <v>Turista Nacional</v>
      </c>
      <c r="Q75" s="7" t="n">
        <f aca="false">IF($A75="","",DATE(YEAR(B75),MONTH(B75),1))</f>
        <v>45809</v>
      </c>
      <c r="R75" s="4" t="str">
        <f aca="false">IF($A75="","",IF(COUNTIF($A$2:$A75,$A75)&gt;1,"Sim","Não"))</f>
        <v>Não</v>
      </c>
      <c r="S75" s="4" t="str">
        <f aca="false">IF(A75="","Descartar - Linha vazia",IF(R75="Sim","Descartar - Duplicado",IF(OR(H75&lt;=0,I75&lt;=0),"Descartar - Qtd/Valor inválido","OK")))</f>
        <v>OK</v>
      </c>
      <c r="T75" s="4" t="str">
        <f aca="false">Base_Bruta!P75</f>
        <v>vendas_SP.xlsx</v>
      </c>
    </row>
    <row r="76" customFormat="false" ht="15" hidden="false" customHeight="false" outlineLevel="0" collapsed="false">
      <c r="A76" s="4" t="str">
        <f aca="false">IF(Base_Bruta!A76="","",Base_Bruta!A76)</f>
        <v>SP-000592</v>
      </c>
      <c r="B76" s="5" t="n">
        <f aca="false">IF($A76="","",IF(ISNUMBER(Base_Bruta!B76),Base_Bruta!B76,IF(MID(Base_Bruta!B76,5,1)="-",DATE(VALUE(LEFT(Base_Bruta!B76,4)),VALUE(MID(Base_Bruta!B76,6,2)),VALUE(RIGHT(Base_Bruta!B76,2))),DATE(VALUE(RIGHT(Base_Bruta!B76,4)),VALUE(MID(Base_Bruta!B76,4,2)),VALUE(LEFT(Base_Bruta!B76,2))))))</f>
        <v>45819</v>
      </c>
      <c r="C76" s="5" t="n">
        <f aca="false">IF($A76="","",IF(ISNUMBER(Base_Bruta!C76),Base_Bruta!C76,IF(MID(Base_Bruta!C76,5,1)="-",DATE(VALUE(LEFT(Base_Bruta!C76,4)),VALUE(MID(Base_Bruta!C76,6,2)),VALUE(RIGHT(Base_Bruta!C76,2))),DATE(VALUE(RIGHT(Base_Bruta!C76,4)),VALUE(MID(Base_Bruta!C76,4,2)),VALUE(LEFT(Base_Bruta!C76,2))))))</f>
        <v>45934</v>
      </c>
      <c r="D76" s="4" t="str">
        <f aca="false">IF($A76="","",TRIM(Base_Bruta!D76))</f>
        <v>Turnê Internacional Pop - SP</v>
      </c>
      <c r="E76" s="4" t="str">
        <f aca="false">IF($A76="","",_xlfn.XLOOKUP(LOWER(TRIM(Base_Bruta!E76)),DePara_Categoria!$A$2:$A$9,DePara_Categoria!$B$2:$B$9,"REVISAR"))</f>
        <v>Show</v>
      </c>
      <c r="F76" s="4" t="str">
        <f aca="false">IF($A76="","",_xlfn.XLOOKUP(LOWER(TRIM(Base_Bruta!F76)),DePara_Cidade!$A$2:$A$29,DePara_Cidade!$B$2:$B$29,"REVISAR"))</f>
        <v>São Paulo</v>
      </c>
      <c r="G76" s="4" t="str">
        <f aca="false">IF($A76="","",TRIM(Base_Bruta!G76))</f>
        <v>Meia</v>
      </c>
      <c r="H76" s="4" t="n">
        <f aca="false">IF($A76="","",IF(ISNUMBER(Base_Bruta!H76),Base_Bruta!H76,IFERROR(_xlfn.NUMBERVALUE(TRIM(SUBSTITUTE(Base_Bruta!H76,"R$","")),",","."),0)))</f>
        <v>1</v>
      </c>
      <c r="I76" s="6" t="n">
        <f aca="false">IF($A76="","",IF(ISNUMBER(Base_Bruta!I76),Base_Bruta!I76,IFERROR(_xlfn.NUMBERVALUE(TRIM(SUBSTITUTE(Base_Bruta!I76,"R$","")),",","."),0)))</f>
        <v>127.5</v>
      </c>
      <c r="J76" s="6" t="n">
        <f aca="false">IF($A76="","",H76*I76)</f>
        <v>127.5</v>
      </c>
      <c r="K76" s="4" t="str">
        <f aca="false">IF($A76="","",TRIM(Base_Bruta!J76))</f>
        <v>Site</v>
      </c>
      <c r="L76" s="4" t="str">
        <f aca="false">IF($A76="","",TRIM(Base_Bruta!K76))</f>
        <v>C01246</v>
      </c>
      <c r="M76" s="4" t="str">
        <f aca="false">IF($A76="","",_xlfn.XLOOKUP(LOWER(TRIM(Base_Bruta!L76)),DePara_Cidade!$A$2:$A$29,DePara_Cidade!$B$2:$B$29,"REVISAR"))</f>
        <v>São Paulo</v>
      </c>
      <c r="N76" s="4" t="str">
        <f aca="false">IF($A76="","",UPPER(TRIM(Base_Bruta!M76)))</f>
        <v>SP</v>
      </c>
      <c r="O76" s="4" t="str">
        <f aca="false">IF($A76="","",_xlfn.XLOOKUP(LOWER(TRIM(Base_Bruta!N76)),DePara_Pais!$A$2:$A$9,DePara_Pais!$B$2:$B$9,"REVISAR"))</f>
        <v>Brasil</v>
      </c>
      <c r="P76" s="4" t="str">
        <f aca="false">IF($A76="","",IF(O76&lt;&gt;"Brasil","Turista Internacional",IF(M76=F76,"Local","Turista Nacional")))</f>
        <v>Local</v>
      </c>
      <c r="Q76" s="7" t="n">
        <f aca="false">IF($A76="","",DATE(YEAR(B76),MONTH(B76),1))</f>
        <v>45809</v>
      </c>
      <c r="R76" s="4" t="str">
        <f aca="false">IF($A76="","",IF(COUNTIF($A$2:$A76,$A76)&gt;1,"Sim","Não"))</f>
        <v>Não</v>
      </c>
      <c r="S76" s="4" t="str">
        <f aca="false">IF(A76="","Descartar - Linha vazia",IF(R76="Sim","Descartar - Duplicado",IF(OR(H76&lt;=0,I76&lt;=0),"Descartar - Qtd/Valor inválido","OK")))</f>
        <v>OK</v>
      </c>
      <c r="T76" s="4" t="str">
        <f aca="false">Base_Bruta!P76</f>
        <v>vendas_SP.xlsx</v>
      </c>
    </row>
    <row r="77" customFormat="false" ht="15" hidden="false" customHeight="false" outlineLevel="0" collapsed="false">
      <c r="A77" s="4" t="str">
        <f aca="false">IF(Base_Bruta!A77="","",Base_Bruta!A77)</f>
        <v>SP-000718</v>
      </c>
      <c r="B77" s="5" t="n">
        <f aca="false">IF($A77="","",IF(ISNUMBER(Base_Bruta!B77),Base_Bruta!B77,IF(MID(Base_Bruta!B77,5,1)="-",DATE(VALUE(LEFT(Base_Bruta!B77,4)),VALUE(MID(Base_Bruta!B77,6,2)),VALUE(RIGHT(Base_Bruta!B77,2))),DATE(VALUE(RIGHT(Base_Bruta!B77,4)),VALUE(MID(Base_Bruta!B77,4,2)),VALUE(LEFT(Base_Bruta!B77,2))))))</f>
        <v>45819</v>
      </c>
      <c r="C77" s="5" t="n">
        <f aca="false">IF($A77="","",IF(ISNUMBER(Base_Bruta!C77),Base_Bruta!C77,IF(MID(Base_Bruta!C77,5,1)="-",DATE(VALUE(LEFT(Base_Bruta!C77,4)),VALUE(MID(Base_Bruta!C77,6,2)),VALUE(RIGHT(Base_Bruta!C77,2))),DATE(VALUE(RIGHT(Base_Bruta!C77,4)),VALUE(MID(Base_Bruta!C77,4,2)),VALUE(LEFT(Base_Bruta!C77,2))))))</f>
        <v>45822</v>
      </c>
      <c r="D77" s="4" t="str">
        <f aca="false">IF($A77="","",TRIM(Base_Bruta!D77))</f>
        <v>Cinema Paulista - Sessões</v>
      </c>
      <c r="E77" s="4" t="str">
        <f aca="false">IF($A77="","",_xlfn.XLOOKUP(LOWER(TRIM(Base_Bruta!E77)),DePara_Categoria!$A$2:$A$9,DePara_Categoria!$B$2:$B$9,"REVISAR"))</f>
        <v>Cinema</v>
      </c>
      <c r="F77" s="4" t="str">
        <f aca="false">IF($A77="","",_xlfn.XLOOKUP(LOWER(TRIM(Base_Bruta!F77)),DePara_Cidade!$A$2:$A$29,DePara_Cidade!$B$2:$B$29,"REVISAR"))</f>
        <v>São Paulo</v>
      </c>
      <c r="G77" s="4" t="str">
        <f aca="false">IF($A77="","",TRIM(Base_Bruta!G77))</f>
        <v>Inteira</v>
      </c>
      <c r="H77" s="4" t="n">
        <f aca="false">IF($A77="","",IF(ISNUMBER(Base_Bruta!H77),Base_Bruta!H77,IFERROR(_xlfn.NUMBERVALUE(TRIM(SUBSTITUTE(Base_Bruta!H77,"R$","")),",","."),0)))</f>
        <v>2</v>
      </c>
      <c r="I77" s="6" t="n">
        <f aca="false">IF($A77="","",IF(ISNUMBER(Base_Bruta!I77),Base_Bruta!I77,IFERROR(_xlfn.NUMBERVALUE(TRIM(SUBSTITUTE(Base_Bruta!I77,"R$","")),",","."),0)))</f>
        <v>45</v>
      </c>
      <c r="J77" s="6" t="n">
        <f aca="false">IF($A77="","",H77*I77)</f>
        <v>90</v>
      </c>
      <c r="K77" s="4" t="str">
        <f aca="false">IF($A77="","",TRIM(Base_Bruta!J77))</f>
        <v>Site</v>
      </c>
      <c r="L77" s="4" t="str">
        <f aca="false">IF($A77="","",TRIM(Base_Bruta!K77))</f>
        <v>C02010</v>
      </c>
      <c r="M77" s="4" t="str">
        <f aca="false">IF($A77="","",_xlfn.XLOOKUP(LOWER(TRIM(Base_Bruta!L77)),DePara_Cidade!$A$2:$A$29,DePara_Cidade!$B$2:$B$29,"REVISAR"))</f>
        <v>São Paulo</v>
      </c>
      <c r="N77" s="4" t="str">
        <f aca="false">IF($A77="","",UPPER(TRIM(Base_Bruta!M77)))</f>
        <v>SP</v>
      </c>
      <c r="O77" s="4" t="str">
        <f aca="false">IF($A77="","",_xlfn.XLOOKUP(LOWER(TRIM(Base_Bruta!N77)),DePara_Pais!$A$2:$A$9,DePara_Pais!$B$2:$B$9,"REVISAR"))</f>
        <v>Brasil</v>
      </c>
      <c r="P77" s="4" t="str">
        <f aca="false">IF($A77="","",IF(O77&lt;&gt;"Brasil","Turista Internacional",IF(M77=F77,"Local","Turista Nacional")))</f>
        <v>Local</v>
      </c>
      <c r="Q77" s="7" t="n">
        <f aca="false">IF($A77="","",DATE(YEAR(B77),MONTH(B77),1))</f>
        <v>45809</v>
      </c>
      <c r="R77" s="4" t="str">
        <f aca="false">IF($A77="","",IF(COUNTIF($A$2:$A77,$A77)&gt;1,"Sim","Não"))</f>
        <v>Não</v>
      </c>
      <c r="S77" s="4" t="str">
        <f aca="false">IF(A77="","Descartar - Linha vazia",IF(R77="Sim","Descartar - Duplicado",IF(OR(H77&lt;=0,I77&lt;=0),"Descartar - Qtd/Valor inválido","OK")))</f>
        <v>OK</v>
      </c>
      <c r="T77" s="4" t="str">
        <f aca="false">Base_Bruta!P77</f>
        <v>vendas_SP.xlsx</v>
      </c>
    </row>
    <row r="78" customFormat="false" ht="15" hidden="false" customHeight="false" outlineLevel="0" collapsed="false">
      <c r="A78" s="4" t="str">
        <f aca="false">IF(Base_Bruta!A78="","",Base_Bruta!A78)</f>
        <v>SP-000477</v>
      </c>
      <c r="B78" s="5" t="n">
        <f aca="false">IF($A78="","",IF(ISNUMBER(Base_Bruta!B78),Base_Bruta!B78,IF(MID(Base_Bruta!B78,5,1)="-",DATE(VALUE(LEFT(Base_Bruta!B78,4)),VALUE(MID(Base_Bruta!B78,6,2)),VALUE(RIGHT(Base_Bruta!B78,2))),DATE(VALUE(RIGHT(Base_Bruta!B78,4)),VALUE(MID(Base_Bruta!B78,4,2)),VALUE(LEFT(Base_Bruta!B78,2))))))</f>
        <v>45820</v>
      </c>
      <c r="C78" s="5" t="n">
        <f aca="false">IF($A78="","",IF(ISNUMBER(Base_Bruta!C78),Base_Bruta!C78,IF(MID(Base_Bruta!C78,5,1)="-",DATE(VALUE(LEFT(Base_Bruta!C78,4)),VALUE(MID(Base_Bruta!C78,6,2)),VALUE(RIGHT(Base_Bruta!C78,2))),DATE(VALUE(RIGHT(Base_Bruta!C78,4)),VALUE(MID(Base_Bruta!C78,4,2)),VALUE(LEFT(Base_Bruta!C78,2))))))</f>
        <v>45934</v>
      </c>
      <c r="D78" s="4" t="str">
        <f aca="false">IF($A78="","",TRIM(Base_Bruta!D78))</f>
        <v>Turnê Internacional Pop - SP</v>
      </c>
      <c r="E78" s="4" t="str">
        <f aca="false">IF($A78="","",_xlfn.XLOOKUP(LOWER(TRIM(Base_Bruta!E78)),DePara_Categoria!$A$2:$A$9,DePara_Categoria!$B$2:$B$9,"REVISAR"))</f>
        <v>Show</v>
      </c>
      <c r="F78" s="4" t="str">
        <f aca="false">IF($A78="","",_xlfn.XLOOKUP(LOWER(TRIM(Base_Bruta!F78)),DePara_Cidade!$A$2:$A$29,DePara_Cidade!$B$2:$B$29,"REVISAR"))</f>
        <v>São Paulo</v>
      </c>
      <c r="G78" s="4" t="str">
        <f aca="false">IF($A78="","",TRIM(Base_Bruta!G78))</f>
        <v>Inteira</v>
      </c>
      <c r="H78" s="4" t="n">
        <f aca="false">IF($A78="","",IF(ISNUMBER(Base_Bruta!H78),Base_Bruta!H78,IFERROR(_xlfn.NUMBERVALUE(TRIM(SUBSTITUTE(Base_Bruta!H78,"R$","")),",","."),0)))</f>
        <v>1</v>
      </c>
      <c r="I78" s="6" t="n">
        <f aca="false">IF($A78="","",IF(ISNUMBER(Base_Bruta!I78),Base_Bruta!I78,IFERROR(_xlfn.NUMBERVALUE(TRIM(SUBSTITUTE(Base_Bruta!I78,"R$","")),",","."),0)))</f>
        <v>545</v>
      </c>
      <c r="J78" s="6" t="n">
        <f aca="false">IF($A78="","",H78*I78)</f>
        <v>545</v>
      </c>
      <c r="K78" s="4" t="str">
        <f aca="false">IF($A78="","",TRIM(Base_Bruta!J78))</f>
        <v>Site</v>
      </c>
      <c r="L78" s="4" t="str">
        <f aca="false">IF($A78="","",TRIM(Base_Bruta!K78))</f>
        <v>C01359</v>
      </c>
      <c r="M78" s="4" t="str">
        <f aca="false">IF($A78="","",_xlfn.XLOOKUP(LOWER(TRIM(Base_Bruta!L78)),DePara_Cidade!$A$2:$A$29,DePara_Cidade!$B$2:$B$29,"REVISAR"))</f>
        <v>Rio de Janeiro</v>
      </c>
      <c r="N78" s="4" t="str">
        <f aca="false">IF($A78="","",UPPER(TRIM(Base_Bruta!M78)))</f>
        <v>RJ</v>
      </c>
      <c r="O78" s="4" t="str">
        <f aca="false">IF($A78="","",_xlfn.XLOOKUP(LOWER(TRIM(Base_Bruta!N78)),DePara_Pais!$A$2:$A$9,DePara_Pais!$B$2:$B$9,"REVISAR"))</f>
        <v>Brasil</v>
      </c>
      <c r="P78" s="4" t="str">
        <f aca="false">IF($A78="","",IF(O78&lt;&gt;"Brasil","Turista Internacional",IF(M78=F78,"Local","Turista Nacional")))</f>
        <v>Turista Nacional</v>
      </c>
      <c r="Q78" s="7" t="n">
        <f aca="false">IF($A78="","",DATE(YEAR(B78),MONTH(B78),1))</f>
        <v>45809</v>
      </c>
      <c r="R78" s="4" t="str">
        <f aca="false">IF($A78="","",IF(COUNTIF($A$2:$A78,$A78)&gt;1,"Sim","Não"))</f>
        <v>Não</v>
      </c>
      <c r="S78" s="4" t="str">
        <f aca="false">IF(A78="","Descartar - Linha vazia",IF(R78="Sim","Descartar - Duplicado",IF(OR(H78&lt;=0,I78&lt;=0),"Descartar - Qtd/Valor inválido","OK")))</f>
        <v>OK</v>
      </c>
      <c r="T78" s="4" t="str">
        <f aca="false">Base_Bruta!P78</f>
        <v>vendas_SP.xlsx</v>
      </c>
    </row>
    <row r="79" customFormat="false" ht="15" hidden="false" customHeight="false" outlineLevel="0" collapsed="false">
      <c r="A79" s="4" t="str">
        <f aca="false">IF(Base_Bruta!A79="","",Base_Bruta!A79)</f>
        <v>SP-000530</v>
      </c>
      <c r="B79" s="5" t="n">
        <f aca="false">IF($A79="","",IF(ISNUMBER(Base_Bruta!B79),Base_Bruta!B79,IF(MID(Base_Bruta!B79,5,1)="-",DATE(VALUE(LEFT(Base_Bruta!B79,4)),VALUE(MID(Base_Bruta!B79,6,2)),VALUE(RIGHT(Base_Bruta!B79,2))),DATE(VALUE(RIGHT(Base_Bruta!B79,4)),VALUE(MID(Base_Bruta!B79,4,2)),VALUE(LEFT(Base_Bruta!B79,2))))))</f>
        <v>45820</v>
      </c>
      <c r="C79" s="5" t="n">
        <f aca="false">IF($A79="","",IF(ISNUMBER(Base_Bruta!C79),Base_Bruta!C79,IF(MID(Base_Bruta!C79,5,1)="-",DATE(VALUE(LEFT(Base_Bruta!C79,4)),VALUE(MID(Base_Bruta!C79,6,2)),VALUE(RIGHT(Base_Bruta!C79,2))),DATE(VALUE(RIGHT(Base_Bruta!C79,4)),VALUE(MID(Base_Bruta!C79,4,2)),VALUE(LEFT(Base_Bruta!C79,2))))))</f>
        <v>45934</v>
      </c>
      <c r="D79" s="4" t="str">
        <f aca="false">IF($A79="","",TRIM(Base_Bruta!D79))</f>
        <v>Turnê Internacional Pop - SP</v>
      </c>
      <c r="E79" s="4" t="str">
        <f aca="false">IF($A79="","",_xlfn.XLOOKUP(LOWER(TRIM(Base_Bruta!E79)),DePara_Categoria!$A$2:$A$9,DePara_Categoria!$B$2:$B$9,"REVISAR"))</f>
        <v>Show</v>
      </c>
      <c r="F79" s="4" t="str">
        <f aca="false">IF($A79="","",_xlfn.XLOOKUP(LOWER(TRIM(Base_Bruta!F79)),DePara_Cidade!$A$2:$A$29,DePara_Cidade!$B$2:$B$29,"REVISAR"))</f>
        <v>São Paulo</v>
      </c>
      <c r="G79" s="4" t="str">
        <f aca="false">IF($A79="","",TRIM(Base_Bruta!G79))</f>
        <v>Inteira</v>
      </c>
      <c r="H79" s="4" t="n">
        <f aca="false">IF($A79="","",IF(ISNUMBER(Base_Bruta!H79),Base_Bruta!H79,IFERROR(_xlfn.NUMBERVALUE(TRIM(SUBSTITUTE(Base_Bruta!H79,"R$","")),",","."),0)))</f>
        <v>1</v>
      </c>
      <c r="I79" s="6" t="n">
        <f aca="false">IF($A79="","",IF(ISNUMBER(Base_Bruta!I79),Base_Bruta!I79,IFERROR(_xlfn.NUMBERVALUE(TRIM(SUBSTITUTE(Base_Bruta!I79,"R$","")),",","."),0)))</f>
        <v>575</v>
      </c>
      <c r="J79" s="6" t="n">
        <f aca="false">IF($A79="","",H79*I79)</f>
        <v>575</v>
      </c>
      <c r="K79" s="4" t="str">
        <f aca="false">IF($A79="","",TRIM(Base_Bruta!J79))</f>
        <v>App</v>
      </c>
      <c r="L79" s="4" t="str">
        <f aca="false">IF($A79="","",TRIM(Base_Bruta!K79))</f>
        <v>C00752</v>
      </c>
      <c r="M79" s="4" t="str">
        <f aca="false">IF($A79="","",_xlfn.XLOOKUP(LOWER(TRIM(Base_Bruta!L79)),DePara_Cidade!$A$2:$A$29,DePara_Cidade!$B$2:$B$29,"REVISAR"))</f>
        <v>Campinas</v>
      </c>
      <c r="N79" s="4" t="str">
        <f aca="false">IF($A79="","",UPPER(TRIM(Base_Bruta!M79)))</f>
        <v>SP</v>
      </c>
      <c r="O79" s="4" t="str">
        <f aca="false">IF($A79="","",_xlfn.XLOOKUP(LOWER(TRIM(Base_Bruta!N79)),DePara_Pais!$A$2:$A$9,DePara_Pais!$B$2:$B$9,"REVISAR"))</f>
        <v>Brasil</v>
      </c>
      <c r="P79" s="4" t="str">
        <f aca="false">IF($A79="","",IF(O79&lt;&gt;"Brasil","Turista Internacional",IF(M79=F79,"Local","Turista Nacional")))</f>
        <v>Turista Nacional</v>
      </c>
      <c r="Q79" s="7" t="n">
        <f aca="false">IF($A79="","",DATE(YEAR(B79),MONTH(B79),1))</f>
        <v>45809</v>
      </c>
      <c r="R79" s="4" t="str">
        <f aca="false">IF($A79="","",IF(COUNTIF($A$2:$A79,$A79)&gt;1,"Sim","Não"))</f>
        <v>Não</v>
      </c>
      <c r="S79" s="4" t="str">
        <f aca="false">IF(A79="","Descartar - Linha vazia",IF(R79="Sim","Descartar - Duplicado",IF(OR(H79&lt;=0,I79&lt;=0),"Descartar - Qtd/Valor inválido","OK")))</f>
        <v>OK</v>
      </c>
      <c r="T79" s="4" t="str">
        <f aca="false">Base_Bruta!P79</f>
        <v>vendas_SP.xlsx</v>
      </c>
    </row>
    <row r="80" customFormat="false" ht="15" hidden="false" customHeight="false" outlineLevel="0" collapsed="false">
      <c r="A80" s="4" t="str">
        <f aca="false">IF(Base_Bruta!A80="","",Base_Bruta!A80)</f>
        <v>SP-000565</v>
      </c>
      <c r="B80" s="5" t="n">
        <f aca="false">IF($A80="","",IF(ISNUMBER(Base_Bruta!B80),Base_Bruta!B80,IF(MID(Base_Bruta!B80,5,1)="-",DATE(VALUE(LEFT(Base_Bruta!B80,4)),VALUE(MID(Base_Bruta!B80,6,2)),VALUE(RIGHT(Base_Bruta!B80,2))),DATE(VALUE(RIGHT(Base_Bruta!B80,4)),VALUE(MID(Base_Bruta!B80,4,2)),VALUE(LEFT(Base_Bruta!B80,2))))))</f>
        <v>45820</v>
      </c>
      <c r="C80" s="5" t="n">
        <f aca="false">IF($A80="","",IF(ISNUMBER(Base_Bruta!C80),Base_Bruta!C80,IF(MID(Base_Bruta!C80,5,1)="-",DATE(VALUE(LEFT(Base_Bruta!C80,4)),VALUE(MID(Base_Bruta!C80,6,2)),VALUE(RIGHT(Base_Bruta!C80,2))),DATE(VALUE(RIGHT(Base_Bruta!C80,4)),VALUE(MID(Base_Bruta!C80,4,2)),VALUE(LEFT(Base_Bruta!C80,2))))))</f>
        <v>45934</v>
      </c>
      <c r="D80" s="4" t="str">
        <f aca="false">IF($A80="","",TRIM(Base_Bruta!D80))</f>
        <v>Turnê Internacional Pop - SP</v>
      </c>
      <c r="E80" s="4" t="str">
        <f aca="false">IF($A80="","",_xlfn.XLOOKUP(LOWER(TRIM(Base_Bruta!E80)),DePara_Categoria!$A$2:$A$9,DePara_Categoria!$B$2:$B$9,"REVISAR"))</f>
        <v>Show</v>
      </c>
      <c r="F80" s="4" t="str">
        <f aca="false">IF($A80="","",_xlfn.XLOOKUP(LOWER(TRIM(Base_Bruta!F80)),DePara_Cidade!$A$2:$A$29,DePara_Cidade!$B$2:$B$29,"REVISAR"))</f>
        <v>São Paulo</v>
      </c>
      <c r="G80" s="4" t="str">
        <f aca="false">IF($A80="","",TRIM(Base_Bruta!G80))</f>
        <v>Inteira</v>
      </c>
      <c r="H80" s="4" t="n">
        <f aca="false">IF($A80="","",IF(ISNUMBER(Base_Bruta!H80),Base_Bruta!H80,IFERROR(_xlfn.NUMBERVALUE(TRIM(SUBSTITUTE(Base_Bruta!H80,"R$","")),",","."),0)))</f>
        <v>1</v>
      </c>
      <c r="I80" s="6" t="n">
        <f aca="false">IF($A80="","",IF(ISNUMBER(Base_Bruta!I80),Base_Bruta!I80,IFERROR(_xlfn.NUMBERVALUE(TRIM(SUBSTITUTE(Base_Bruta!I80,"R$","")),",","."),0)))</f>
        <v>285</v>
      </c>
      <c r="J80" s="6" t="n">
        <f aca="false">IF($A80="","",H80*I80)</f>
        <v>285</v>
      </c>
      <c r="K80" s="4" t="str">
        <f aca="false">IF($A80="","",TRIM(Base_Bruta!J80))</f>
        <v>App</v>
      </c>
      <c r="L80" s="4" t="str">
        <f aca="false">IF($A80="","",TRIM(Base_Bruta!K80))</f>
        <v>C00890</v>
      </c>
      <c r="M80" s="4" t="str">
        <f aca="false">IF($A80="","",_xlfn.XLOOKUP(LOWER(TRIM(Base_Bruta!L80)),DePara_Cidade!$A$2:$A$29,DePara_Cidade!$B$2:$B$29,"REVISAR"))</f>
        <v>São Paulo</v>
      </c>
      <c r="N80" s="4" t="str">
        <f aca="false">IF($A80="","",UPPER(TRIM(Base_Bruta!M80)))</f>
        <v>SP</v>
      </c>
      <c r="O80" s="4" t="str">
        <f aca="false">IF($A80="","",_xlfn.XLOOKUP(LOWER(TRIM(Base_Bruta!N80)),DePara_Pais!$A$2:$A$9,DePara_Pais!$B$2:$B$9,"REVISAR"))</f>
        <v>Brasil</v>
      </c>
      <c r="P80" s="4" t="str">
        <f aca="false">IF($A80="","",IF(O80&lt;&gt;"Brasil","Turista Internacional",IF(M80=F80,"Local","Turista Nacional")))</f>
        <v>Local</v>
      </c>
      <c r="Q80" s="7" t="n">
        <f aca="false">IF($A80="","",DATE(YEAR(B80),MONTH(B80),1))</f>
        <v>45809</v>
      </c>
      <c r="R80" s="4" t="str">
        <f aca="false">IF($A80="","",IF(COUNTIF($A$2:$A80,$A80)&gt;1,"Sim","Não"))</f>
        <v>Não</v>
      </c>
      <c r="S80" s="4" t="str">
        <f aca="false">IF(A80="","Descartar - Linha vazia",IF(R80="Sim","Descartar - Duplicado",IF(OR(H80&lt;=0,I80&lt;=0),"Descartar - Qtd/Valor inválido","OK")))</f>
        <v>OK</v>
      </c>
      <c r="T80" s="4" t="str">
        <f aca="false">Base_Bruta!P80</f>
        <v>vendas_SP.xlsx</v>
      </c>
    </row>
    <row r="81" customFormat="false" ht="15" hidden="false" customHeight="false" outlineLevel="0" collapsed="false">
      <c r="A81" s="4" t="str">
        <f aca="false">IF(Base_Bruta!A81="","",Base_Bruta!A81)</f>
        <v>SP-000582</v>
      </c>
      <c r="B81" s="5" t="n">
        <f aca="false">IF($A81="","",IF(ISNUMBER(Base_Bruta!B81),Base_Bruta!B81,IF(MID(Base_Bruta!B81,5,1)="-",DATE(VALUE(LEFT(Base_Bruta!B81,4)),VALUE(MID(Base_Bruta!B81,6,2)),VALUE(RIGHT(Base_Bruta!B81,2))),DATE(VALUE(RIGHT(Base_Bruta!B81,4)),VALUE(MID(Base_Bruta!B81,4,2)),VALUE(LEFT(Base_Bruta!B81,2))))))</f>
        <v>45820</v>
      </c>
      <c r="C81" s="5" t="n">
        <f aca="false">IF($A81="","",IF(ISNUMBER(Base_Bruta!C81),Base_Bruta!C81,IF(MID(Base_Bruta!C81,5,1)="-",DATE(VALUE(LEFT(Base_Bruta!C81,4)),VALUE(MID(Base_Bruta!C81,6,2)),VALUE(RIGHT(Base_Bruta!C81,2))),DATE(VALUE(RIGHT(Base_Bruta!C81,4)),VALUE(MID(Base_Bruta!C81,4,2)),VALUE(LEFT(Base_Bruta!C81,2))))))</f>
        <v>45934</v>
      </c>
      <c r="D81" s="4" t="str">
        <f aca="false">IF($A81="","",TRIM(Base_Bruta!D81))</f>
        <v>Turnê Internacional Pop - SP</v>
      </c>
      <c r="E81" s="4" t="str">
        <f aca="false">IF($A81="","",_xlfn.XLOOKUP(LOWER(TRIM(Base_Bruta!E81)),DePara_Categoria!$A$2:$A$9,DePara_Categoria!$B$2:$B$9,"REVISAR"))</f>
        <v>Show</v>
      </c>
      <c r="F81" s="4" t="str">
        <f aca="false">IF($A81="","",_xlfn.XLOOKUP(LOWER(TRIM(Base_Bruta!F81)),DePara_Cidade!$A$2:$A$29,DePara_Cidade!$B$2:$B$29,"REVISAR"))</f>
        <v>São Paulo</v>
      </c>
      <c r="G81" s="4" t="str">
        <f aca="false">IF($A81="","",TRIM(Base_Bruta!G81))</f>
        <v>VIP</v>
      </c>
      <c r="H81" s="4" t="n">
        <f aca="false">IF($A81="","",IF(ISNUMBER(Base_Bruta!H81),Base_Bruta!H81,IFERROR(_xlfn.NUMBERVALUE(TRIM(SUBSTITUTE(Base_Bruta!H81,"R$","")),",","."),0)))</f>
        <v>1</v>
      </c>
      <c r="I81" s="6" t="n">
        <f aca="false">IF($A81="","",IF(ISNUMBER(Base_Bruta!I81),Base_Bruta!I81,IFERROR(_xlfn.NUMBERVALUE(TRIM(SUBSTITUTE(Base_Bruta!I81,"R$","")),",","."),0)))</f>
        <v>0</v>
      </c>
      <c r="J81" s="6" t="n">
        <f aca="false">IF($A81="","",H81*I81)</f>
        <v>0</v>
      </c>
      <c r="K81" s="4" t="str">
        <f aca="false">IF($A81="","",TRIM(Base_Bruta!J81))</f>
        <v>App</v>
      </c>
      <c r="L81" s="4" t="str">
        <f aca="false">IF($A81="","",TRIM(Base_Bruta!K81))</f>
        <v>C00148</v>
      </c>
      <c r="M81" s="4" t="str">
        <f aca="false">IF($A81="","",_xlfn.XLOOKUP(LOWER(TRIM(Base_Bruta!L81)),DePara_Cidade!$A$2:$A$29,DePara_Cidade!$B$2:$B$29,"REVISAR"))</f>
        <v>São Paulo</v>
      </c>
      <c r="N81" s="4" t="str">
        <f aca="false">IF($A81="","",UPPER(TRIM(Base_Bruta!M81)))</f>
        <v>SP</v>
      </c>
      <c r="O81" s="4" t="str">
        <f aca="false">IF($A81="","",_xlfn.XLOOKUP(LOWER(TRIM(Base_Bruta!N81)),DePara_Pais!$A$2:$A$9,DePara_Pais!$B$2:$B$9,"REVISAR"))</f>
        <v>Brasil</v>
      </c>
      <c r="P81" s="4" t="str">
        <f aca="false">IF($A81="","",IF(O81&lt;&gt;"Brasil","Turista Internacional",IF(M81=F81,"Local","Turista Nacional")))</f>
        <v>Local</v>
      </c>
      <c r="Q81" s="7" t="n">
        <f aca="false">IF($A81="","",DATE(YEAR(B81),MONTH(B81),1))</f>
        <v>45809</v>
      </c>
      <c r="R81" s="4" t="str">
        <f aca="false">IF($A81="","",IF(COUNTIF($A$2:$A81,$A81)&gt;1,"Sim","Não"))</f>
        <v>Não</v>
      </c>
      <c r="S81" s="4" t="str">
        <f aca="false">IF(A81="","Descartar - Linha vazia",IF(R81="Sim","Descartar - Duplicado",IF(OR(H81&lt;=0,I81&lt;=0),"Descartar - Qtd/Valor inválido","OK")))</f>
        <v>Descartar - Qtd/Valor inválido</v>
      </c>
      <c r="T81" s="4" t="str">
        <f aca="false">Base_Bruta!P81</f>
        <v>vendas_SP.xlsx</v>
      </c>
    </row>
    <row r="82" customFormat="false" ht="15" hidden="false" customHeight="false" outlineLevel="0" collapsed="false">
      <c r="A82" s="4" t="str">
        <f aca="false">IF(Base_Bruta!A82="","",Base_Bruta!A82)</f>
        <v>SP-000543</v>
      </c>
      <c r="B82" s="5" t="n">
        <f aca="false">IF($A82="","",IF(ISNUMBER(Base_Bruta!B82),Base_Bruta!B82,IF(MID(Base_Bruta!B82,5,1)="-",DATE(VALUE(LEFT(Base_Bruta!B82,4)),VALUE(MID(Base_Bruta!B82,6,2)),VALUE(RIGHT(Base_Bruta!B82,2))),DATE(VALUE(RIGHT(Base_Bruta!B82,4)),VALUE(MID(Base_Bruta!B82,4,2)),VALUE(LEFT(Base_Bruta!B82,2))))))</f>
        <v>45821</v>
      </c>
      <c r="C82" s="5" t="n">
        <f aca="false">IF($A82="","",IF(ISNUMBER(Base_Bruta!C82),Base_Bruta!C82,IF(MID(Base_Bruta!C82,5,1)="-",DATE(VALUE(LEFT(Base_Bruta!C82,4)),VALUE(MID(Base_Bruta!C82,6,2)),VALUE(RIGHT(Base_Bruta!C82,2))),DATE(VALUE(RIGHT(Base_Bruta!C82,4)),VALUE(MID(Base_Bruta!C82,4,2)),VALUE(LEFT(Base_Bruta!C82,2))))))</f>
        <v>45934</v>
      </c>
      <c r="D82" s="4" t="str">
        <f aca="false">IF($A82="","",TRIM(Base_Bruta!D82))</f>
        <v>Turnê Internacional Pop - SP</v>
      </c>
      <c r="E82" s="4" t="str">
        <f aca="false">IF($A82="","",_xlfn.XLOOKUP(LOWER(TRIM(Base_Bruta!E82)),DePara_Categoria!$A$2:$A$9,DePara_Categoria!$B$2:$B$9,"REVISAR"))</f>
        <v>Show</v>
      </c>
      <c r="F82" s="4" t="str">
        <f aca="false">IF($A82="","",_xlfn.XLOOKUP(LOWER(TRIM(Base_Bruta!F82)),DePara_Cidade!$A$2:$A$29,DePara_Cidade!$B$2:$B$29,"REVISAR"))</f>
        <v>São Paulo</v>
      </c>
      <c r="G82" s="4" t="str">
        <f aca="false">IF($A82="","",TRIM(Base_Bruta!G82))</f>
        <v>Inteira</v>
      </c>
      <c r="H82" s="4" t="n">
        <f aca="false">IF($A82="","",IF(ISNUMBER(Base_Bruta!H82),Base_Bruta!H82,IFERROR(_xlfn.NUMBERVALUE(TRIM(SUBSTITUTE(Base_Bruta!H82,"R$","")),",","."),0)))</f>
        <v>2</v>
      </c>
      <c r="I82" s="6" t="n">
        <f aca="false">IF($A82="","",IF(ISNUMBER(Base_Bruta!I82),Base_Bruta!I82,IFERROR(_xlfn.NUMBERVALUE(TRIM(SUBSTITUTE(Base_Bruta!I82,"R$","")),",","."),0)))</f>
        <v>600</v>
      </c>
      <c r="J82" s="6" t="n">
        <f aca="false">IF($A82="","",H82*I82)</f>
        <v>1200</v>
      </c>
      <c r="K82" s="4" t="str">
        <f aca="false">IF($A82="","",TRIM(Base_Bruta!J82))</f>
        <v>App</v>
      </c>
      <c r="L82" s="4" t="str">
        <f aca="false">IF($A82="","",TRIM(Base_Bruta!K82))</f>
        <v>C02448</v>
      </c>
      <c r="M82" s="4" t="str">
        <f aca="false">IF($A82="","",_xlfn.XLOOKUP(LOWER(TRIM(Base_Bruta!L82)),DePara_Cidade!$A$2:$A$29,DePara_Cidade!$B$2:$B$29,"REVISAR"))</f>
        <v>São Paulo</v>
      </c>
      <c r="N82" s="4" t="str">
        <f aca="false">IF($A82="","",UPPER(TRIM(Base_Bruta!M82)))</f>
        <v>SP</v>
      </c>
      <c r="O82" s="4" t="str">
        <f aca="false">IF($A82="","",_xlfn.XLOOKUP(LOWER(TRIM(Base_Bruta!N82)),DePara_Pais!$A$2:$A$9,DePara_Pais!$B$2:$B$9,"REVISAR"))</f>
        <v>Brasil</v>
      </c>
      <c r="P82" s="4" t="str">
        <f aca="false">IF($A82="","",IF(O82&lt;&gt;"Brasil","Turista Internacional",IF(M82=F82,"Local","Turista Nacional")))</f>
        <v>Local</v>
      </c>
      <c r="Q82" s="7" t="n">
        <f aca="false">IF($A82="","",DATE(YEAR(B82),MONTH(B82),1))</f>
        <v>45809</v>
      </c>
      <c r="R82" s="4" t="str">
        <f aca="false">IF($A82="","",IF(COUNTIF($A$2:$A82,$A82)&gt;1,"Sim","Não"))</f>
        <v>Não</v>
      </c>
      <c r="S82" s="4" t="str">
        <f aca="false">IF(A82="","Descartar - Linha vazia",IF(R82="Sim","Descartar - Duplicado",IF(OR(H82&lt;=0,I82&lt;=0),"Descartar - Qtd/Valor inválido","OK")))</f>
        <v>OK</v>
      </c>
      <c r="T82" s="4" t="str">
        <f aca="false">Base_Bruta!P82</f>
        <v>vendas_SP.xlsx</v>
      </c>
    </row>
    <row r="83" customFormat="false" ht="15" hidden="false" customHeight="false" outlineLevel="0" collapsed="false">
      <c r="A83" s="4" t="str">
        <f aca="false">IF(Base_Bruta!A83="","",Base_Bruta!A83)</f>
        <v>SP-000574</v>
      </c>
      <c r="B83" s="5" t="n">
        <f aca="false">IF($A83="","",IF(ISNUMBER(Base_Bruta!B83),Base_Bruta!B83,IF(MID(Base_Bruta!B83,5,1)="-",DATE(VALUE(LEFT(Base_Bruta!B83,4)),VALUE(MID(Base_Bruta!B83,6,2)),VALUE(RIGHT(Base_Bruta!B83,2))),DATE(VALUE(RIGHT(Base_Bruta!B83,4)),VALUE(MID(Base_Bruta!B83,4,2)),VALUE(LEFT(Base_Bruta!B83,2))))))</f>
        <v>45821</v>
      </c>
      <c r="C83" s="5" t="n">
        <f aca="false">IF($A83="","",IF(ISNUMBER(Base_Bruta!C83),Base_Bruta!C83,IF(MID(Base_Bruta!C83,5,1)="-",DATE(VALUE(LEFT(Base_Bruta!C83,4)),VALUE(MID(Base_Bruta!C83,6,2)),VALUE(RIGHT(Base_Bruta!C83,2))),DATE(VALUE(RIGHT(Base_Bruta!C83,4)),VALUE(MID(Base_Bruta!C83,4,2)),VALUE(LEFT(Base_Bruta!C83,2))))))</f>
        <v>45934</v>
      </c>
      <c r="D83" s="4" t="str">
        <f aca="false">IF($A83="","",TRIM(Base_Bruta!D83))</f>
        <v>Turnê Internacional Pop - SP</v>
      </c>
      <c r="E83" s="4" t="str">
        <f aca="false">IF($A83="","",_xlfn.XLOOKUP(LOWER(TRIM(Base_Bruta!E83)),DePara_Categoria!$A$2:$A$9,DePara_Categoria!$B$2:$B$9,"REVISAR"))</f>
        <v>Show</v>
      </c>
      <c r="F83" s="4" t="str">
        <f aca="false">IF($A83="","",_xlfn.XLOOKUP(LOWER(TRIM(Base_Bruta!F83)),DePara_Cidade!$A$2:$A$29,DePara_Cidade!$B$2:$B$29,"REVISAR"))</f>
        <v>São Paulo</v>
      </c>
      <c r="G83" s="4" t="str">
        <f aca="false">IF($A83="","",TRIM(Base_Bruta!G83))</f>
        <v>VIP</v>
      </c>
      <c r="H83" s="4" t="n">
        <f aca="false">IF($A83="","",IF(ISNUMBER(Base_Bruta!H83),Base_Bruta!H83,IFERROR(_xlfn.NUMBERVALUE(TRIM(SUBSTITUTE(Base_Bruta!H83,"R$","")),",","."),0)))</f>
        <v>4</v>
      </c>
      <c r="I83" s="6" t="n">
        <f aca="false">IF($A83="","",IF(ISNUMBER(Base_Bruta!I83),Base_Bruta!I83,IFERROR(_xlfn.NUMBERVALUE(TRIM(SUBSTITUTE(Base_Bruta!I83,"R$","")),",","."),0)))</f>
        <v>1230</v>
      </c>
      <c r="J83" s="6" t="n">
        <f aca="false">IF($A83="","",H83*I83)</f>
        <v>4920</v>
      </c>
      <c r="K83" s="4" t="str">
        <f aca="false">IF($A83="","",TRIM(Base_Bruta!J83))</f>
        <v>Parceiro</v>
      </c>
      <c r="L83" s="4" t="str">
        <f aca="false">IF($A83="","",TRIM(Base_Bruta!K83))</f>
        <v>C00325</v>
      </c>
      <c r="M83" s="4" t="str">
        <f aca="false">IF($A83="","",_xlfn.XLOOKUP(LOWER(TRIM(Base_Bruta!L83)),DePara_Cidade!$A$2:$A$29,DePara_Cidade!$B$2:$B$29,"REVISAR"))</f>
        <v>Campinas</v>
      </c>
      <c r="N83" s="4" t="str">
        <f aca="false">IF($A83="","",UPPER(TRIM(Base_Bruta!M83)))</f>
        <v>SP</v>
      </c>
      <c r="O83" s="4" t="str">
        <f aca="false">IF($A83="","",_xlfn.XLOOKUP(LOWER(TRIM(Base_Bruta!N83)),DePara_Pais!$A$2:$A$9,DePara_Pais!$B$2:$B$9,"REVISAR"))</f>
        <v>Brasil</v>
      </c>
      <c r="P83" s="4" t="str">
        <f aca="false">IF($A83="","",IF(O83&lt;&gt;"Brasil","Turista Internacional",IF(M83=F83,"Local","Turista Nacional")))</f>
        <v>Turista Nacional</v>
      </c>
      <c r="Q83" s="7" t="n">
        <f aca="false">IF($A83="","",DATE(YEAR(B83),MONTH(B83),1))</f>
        <v>45809</v>
      </c>
      <c r="R83" s="4" t="str">
        <f aca="false">IF($A83="","",IF(COUNTIF($A$2:$A83,$A83)&gt;1,"Sim","Não"))</f>
        <v>Não</v>
      </c>
      <c r="S83" s="4" t="str">
        <f aca="false">IF(A83="","Descartar - Linha vazia",IF(R83="Sim","Descartar - Duplicado",IF(OR(H83&lt;=0,I83&lt;=0),"Descartar - Qtd/Valor inválido","OK")))</f>
        <v>OK</v>
      </c>
      <c r="T83" s="4" t="str">
        <f aca="false">Base_Bruta!P83</f>
        <v>vendas_SP.xlsx</v>
      </c>
    </row>
    <row r="84" customFormat="false" ht="15" hidden="false" customHeight="false" outlineLevel="0" collapsed="false">
      <c r="A84" s="4" t="str">
        <f aca="false">IF(Base_Bruta!A84="","",Base_Bruta!A84)</f>
        <v>SP-000746</v>
      </c>
      <c r="B84" s="5" t="n">
        <f aca="false">IF($A84="","",IF(ISNUMBER(Base_Bruta!B84),Base_Bruta!B84,IF(MID(Base_Bruta!B84,5,1)="-",DATE(VALUE(LEFT(Base_Bruta!B84,4)),VALUE(MID(Base_Bruta!B84,6,2)),VALUE(RIGHT(Base_Bruta!B84,2))),DATE(VALUE(RIGHT(Base_Bruta!B84,4)),VALUE(MID(Base_Bruta!B84,4,2)),VALUE(LEFT(Base_Bruta!B84,2))))))</f>
        <v>45821</v>
      </c>
      <c r="C84" s="5" t="n">
        <f aca="false">IF($A84="","",IF(ISNUMBER(Base_Bruta!C84),Base_Bruta!C84,IF(MID(Base_Bruta!C84,5,1)="-",DATE(VALUE(LEFT(Base_Bruta!C84,4)),VALUE(MID(Base_Bruta!C84,6,2)),VALUE(RIGHT(Base_Bruta!C84,2))),DATE(VALUE(RIGHT(Base_Bruta!C84,4)),VALUE(MID(Base_Bruta!C84,4,2)),VALUE(LEFT(Base_Bruta!C84,2))))))</f>
        <v>45821</v>
      </c>
      <c r="D84" s="4" t="str">
        <f aca="false">IF($A84="","",TRIM(Base_Bruta!D84))</f>
        <v>Cinema Paulista - Sessões</v>
      </c>
      <c r="E84" s="4" t="str">
        <f aca="false">IF($A84="","",_xlfn.XLOOKUP(LOWER(TRIM(Base_Bruta!E84)),DePara_Categoria!$A$2:$A$9,DePara_Categoria!$B$2:$B$9,"REVISAR"))</f>
        <v>Cinema</v>
      </c>
      <c r="F84" s="4" t="str">
        <f aca="false">IF($A84="","",_xlfn.XLOOKUP(LOWER(TRIM(Base_Bruta!F84)),DePara_Cidade!$A$2:$A$29,DePara_Cidade!$B$2:$B$29,"REVISAR"))</f>
        <v>São Paulo</v>
      </c>
      <c r="G84" s="4" t="str">
        <f aca="false">IF($A84="","",TRIM(Base_Bruta!G84))</f>
        <v>Inteira</v>
      </c>
      <c r="H84" s="4" t="n">
        <f aca="false">IF($A84="","",IF(ISNUMBER(Base_Bruta!H84),Base_Bruta!H84,IFERROR(_xlfn.NUMBERVALUE(TRIM(SUBSTITUTE(Base_Bruta!H84,"R$","")),",","."),0)))</f>
        <v>2</v>
      </c>
      <c r="I84" s="6" t="n">
        <f aca="false">IF($A84="","",IF(ISNUMBER(Base_Bruta!I84),Base_Bruta!I84,IFERROR(_xlfn.NUMBERVALUE(TRIM(SUBSTITUTE(Base_Bruta!I84,"R$","")),",","."),0)))</f>
        <v>45</v>
      </c>
      <c r="J84" s="6" t="n">
        <f aca="false">IF($A84="","",H84*I84)</f>
        <v>90</v>
      </c>
      <c r="K84" s="4" t="str">
        <f aca="false">IF($A84="","",TRIM(Base_Bruta!J84))</f>
        <v>Site</v>
      </c>
      <c r="L84" s="4" t="str">
        <f aca="false">IF($A84="","",TRIM(Base_Bruta!K84))</f>
        <v>C01278</v>
      </c>
      <c r="M84" s="4" t="str">
        <f aca="false">IF($A84="","",_xlfn.XLOOKUP(LOWER(TRIM(Base_Bruta!L84)),DePara_Cidade!$A$2:$A$29,DePara_Cidade!$B$2:$B$29,"REVISAR"))</f>
        <v>São Paulo</v>
      </c>
      <c r="N84" s="4" t="str">
        <f aca="false">IF($A84="","",UPPER(TRIM(Base_Bruta!M84)))</f>
        <v>SP</v>
      </c>
      <c r="O84" s="4" t="str">
        <f aca="false">IF($A84="","",_xlfn.XLOOKUP(LOWER(TRIM(Base_Bruta!N84)),DePara_Pais!$A$2:$A$9,DePara_Pais!$B$2:$B$9,"REVISAR"))</f>
        <v>Brasil</v>
      </c>
      <c r="P84" s="4" t="str">
        <f aca="false">IF($A84="","",IF(O84&lt;&gt;"Brasil","Turista Internacional",IF(M84=F84,"Local","Turista Nacional")))</f>
        <v>Local</v>
      </c>
      <c r="Q84" s="7" t="n">
        <f aca="false">IF($A84="","",DATE(YEAR(B84),MONTH(B84),1))</f>
        <v>45809</v>
      </c>
      <c r="R84" s="4" t="str">
        <f aca="false">IF($A84="","",IF(COUNTIF($A$2:$A84,$A84)&gt;1,"Sim","Não"))</f>
        <v>Não</v>
      </c>
      <c r="S84" s="4" t="str">
        <f aca="false">IF(A84="","Descartar - Linha vazia",IF(R84="Sim","Descartar - Duplicado",IF(OR(H84&lt;=0,I84&lt;=0),"Descartar - Qtd/Valor inválido","OK")))</f>
        <v>OK</v>
      </c>
      <c r="T84" s="4" t="str">
        <f aca="false">Base_Bruta!P84</f>
        <v>vendas_SP.xlsx</v>
      </c>
    </row>
    <row r="85" customFormat="false" ht="15" hidden="false" customHeight="false" outlineLevel="0" collapsed="false">
      <c r="A85" s="4" t="str">
        <f aca="false">IF(Base_Bruta!A85="","",Base_Bruta!A85)</f>
        <v>SP-000484</v>
      </c>
      <c r="B85" s="5" t="n">
        <f aca="false">IF($A85="","",IF(ISNUMBER(Base_Bruta!B85),Base_Bruta!B85,IF(MID(Base_Bruta!B85,5,1)="-",DATE(VALUE(LEFT(Base_Bruta!B85,4)),VALUE(MID(Base_Bruta!B85,6,2)),VALUE(RIGHT(Base_Bruta!B85,2))),DATE(VALUE(RIGHT(Base_Bruta!B85,4)),VALUE(MID(Base_Bruta!B85,4,2)),VALUE(LEFT(Base_Bruta!B85,2))))))</f>
        <v>45822</v>
      </c>
      <c r="C85" s="5" t="n">
        <f aca="false">IF($A85="","",IF(ISNUMBER(Base_Bruta!C85),Base_Bruta!C85,IF(MID(Base_Bruta!C85,5,1)="-",DATE(VALUE(LEFT(Base_Bruta!C85,4)),VALUE(MID(Base_Bruta!C85,6,2)),VALUE(RIGHT(Base_Bruta!C85,2))),DATE(VALUE(RIGHT(Base_Bruta!C85,4)),VALUE(MID(Base_Bruta!C85,4,2)),VALUE(LEFT(Base_Bruta!C85,2))))))</f>
        <v>45934</v>
      </c>
      <c r="D85" s="4" t="str">
        <f aca="false">IF($A85="","",TRIM(Base_Bruta!D85))</f>
        <v>Turnê Internacional Pop - SP</v>
      </c>
      <c r="E85" s="4" t="str">
        <f aca="false">IF($A85="","",_xlfn.XLOOKUP(LOWER(TRIM(Base_Bruta!E85)),DePara_Categoria!$A$2:$A$9,DePara_Categoria!$B$2:$B$9,"REVISAR"))</f>
        <v>Show</v>
      </c>
      <c r="F85" s="4" t="str">
        <f aca="false">IF($A85="","",_xlfn.XLOOKUP(LOWER(TRIM(Base_Bruta!F85)),DePara_Cidade!$A$2:$A$29,DePara_Cidade!$B$2:$B$29,"REVISAR"))</f>
        <v>São Paulo</v>
      </c>
      <c r="G85" s="4" t="str">
        <f aca="false">IF($A85="","",TRIM(Base_Bruta!G85))</f>
        <v>VIP</v>
      </c>
      <c r="H85" s="4" t="n">
        <f aca="false">IF($A85="","",IF(ISNUMBER(Base_Bruta!H85),Base_Bruta!H85,IFERROR(_xlfn.NUMBERVALUE(TRIM(SUBSTITUTE(Base_Bruta!H85,"R$","")),",","."),0)))</f>
        <v>1</v>
      </c>
      <c r="I85" s="6" t="n">
        <f aca="false">IF($A85="","",IF(ISNUMBER(Base_Bruta!I85),Base_Bruta!I85,IFERROR(_xlfn.NUMBERVALUE(TRIM(SUBSTITUTE(Base_Bruta!I85,"R$","")),",","."),0)))</f>
        <v>530</v>
      </c>
      <c r="J85" s="6" t="n">
        <f aca="false">IF($A85="","",H85*I85)</f>
        <v>530</v>
      </c>
      <c r="K85" s="4" t="str">
        <f aca="false">IF($A85="","",TRIM(Base_Bruta!J85))</f>
        <v>Site</v>
      </c>
      <c r="L85" s="4" t="str">
        <f aca="false">IF($A85="","",TRIM(Base_Bruta!K85))</f>
        <v>C02058</v>
      </c>
      <c r="M85" s="4" t="str">
        <f aca="false">IF($A85="","",_xlfn.XLOOKUP(LOWER(TRIM(Base_Bruta!L85)),DePara_Cidade!$A$2:$A$29,DePara_Cidade!$B$2:$B$29,"REVISAR"))</f>
        <v>São Paulo</v>
      </c>
      <c r="N85" s="4" t="str">
        <f aca="false">IF($A85="","",UPPER(TRIM(Base_Bruta!M85)))</f>
        <v>SP</v>
      </c>
      <c r="O85" s="4" t="str">
        <f aca="false">IF($A85="","",_xlfn.XLOOKUP(LOWER(TRIM(Base_Bruta!N85)),DePara_Pais!$A$2:$A$9,DePara_Pais!$B$2:$B$9,"REVISAR"))</f>
        <v>Brasil</v>
      </c>
      <c r="P85" s="4" t="str">
        <f aca="false">IF($A85="","",IF(O85&lt;&gt;"Brasil","Turista Internacional",IF(M85=F85,"Local","Turista Nacional")))</f>
        <v>Local</v>
      </c>
      <c r="Q85" s="7" t="n">
        <f aca="false">IF($A85="","",DATE(YEAR(B85),MONTH(B85),1))</f>
        <v>45809</v>
      </c>
      <c r="R85" s="4" t="str">
        <f aca="false">IF($A85="","",IF(COUNTIF($A$2:$A85,$A85)&gt;1,"Sim","Não"))</f>
        <v>Não</v>
      </c>
      <c r="S85" s="4" t="str">
        <f aca="false">IF(A85="","Descartar - Linha vazia",IF(R85="Sim","Descartar - Duplicado",IF(OR(H85&lt;=0,I85&lt;=0),"Descartar - Qtd/Valor inválido","OK")))</f>
        <v>OK</v>
      </c>
      <c r="T85" s="4" t="str">
        <f aca="false">Base_Bruta!P85</f>
        <v>vendas_SP.xlsx</v>
      </c>
    </row>
    <row r="86" customFormat="false" ht="15" hidden="false" customHeight="false" outlineLevel="0" collapsed="false">
      <c r="A86" s="4" t="str">
        <f aca="false">IF(Base_Bruta!A86="","",Base_Bruta!A86)</f>
        <v>SP-000497</v>
      </c>
      <c r="B86" s="5" t="n">
        <f aca="false">IF($A86="","",IF(ISNUMBER(Base_Bruta!B86),Base_Bruta!B86,IF(MID(Base_Bruta!B86,5,1)="-",DATE(VALUE(LEFT(Base_Bruta!B86,4)),VALUE(MID(Base_Bruta!B86,6,2)),VALUE(RIGHT(Base_Bruta!B86,2))),DATE(VALUE(RIGHT(Base_Bruta!B86,4)),VALUE(MID(Base_Bruta!B86,4,2)),VALUE(LEFT(Base_Bruta!B86,2))))))</f>
        <v>45822</v>
      </c>
      <c r="C86" s="5" t="n">
        <f aca="false">IF($A86="","",IF(ISNUMBER(Base_Bruta!C86),Base_Bruta!C86,IF(MID(Base_Bruta!C86,5,1)="-",DATE(VALUE(LEFT(Base_Bruta!C86,4)),VALUE(MID(Base_Bruta!C86,6,2)),VALUE(RIGHT(Base_Bruta!C86,2))),DATE(VALUE(RIGHT(Base_Bruta!C86,4)),VALUE(MID(Base_Bruta!C86,4,2)),VALUE(LEFT(Base_Bruta!C86,2))))))</f>
        <v>45934</v>
      </c>
      <c r="D86" s="4" t="str">
        <f aca="false">IF($A86="","",TRIM(Base_Bruta!D86))</f>
        <v>Turnê Internacional Pop - SP</v>
      </c>
      <c r="E86" s="4" t="str">
        <f aca="false">IF($A86="","",_xlfn.XLOOKUP(LOWER(TRIM(Base_Bruta!E86)),DePara_Categoria!$A$2:$A$9,DePara_Categoria!$B$2:$B$9,"REVISAR"))</f>
        <v>Show</v>
      </c>
      <c r="F86" s="4" t="str">
        <f aca="false">IF($A86="","",_xlfn.XLOOKUP(LOWER(TRIM(Base_Bruta!F86)),DePara_Cidade!$A$2:$A$29,DePara_Cidade!$B$2:$B$29,"REVISAR"))</f>
        <v>São Paulo</v>
      </c>
      <c r="G86" s="4" t="str">
        <f aca="false">IF($A86="","",TRIM(Base_Bruta!G86))</f>
        <v>Inteira</v>
      </c>
      <c r="H86" s="4" t="n">
        <f aca="false">IF($A86="","",IF(ISNUMBER(Base_Bruta!H86),Base_Bruta!H86,IFERROR(_xlfn.NUMBERVALUE(TRIM(SUBSTITUTE(Base_Bruta!H86,"R$","")),",","."),0)))</f>
        <v>2</v>
      </c>
      <c r="I86" s="6" t="n">
        <f aca="false">IF($A86="","",IF(ISNUMBER(Base_Bruta!I86),Base_Bruta!I86,IFERROR(_xlfn.NUMBERVALUE(TRIM(SUBSTITUTE(Base_Bruta!I86,"R$","")),",","."),0)))</f>
        <v>685</v>
      </c>
      <c r="J86" s="6" t="n">
        <f aca="false">IF($A86="","",H86*I86)</f>
        <v>1370</v>
      </c>
      <c r="K86" s="4" t="str">
        <f aca="false">IF($A86="","",TRIM(Base_Bruta!J86))</f>
        <v>Bilheteria</v>
      </c>
      <c r="L86" s="4" t="str">
        <f aca="false">IF($A86="","",TRIM(Base_Bruta!K86))</f>
        <v>C01219</v>
      </c>
      <c r="M86" s="4" t="str">
        <f aca="false">IF($A86="","",_xlfn.XLOOKUP(LOWER(TRIM(Base_Bruta!L86)),DePara_Cidade!$A$2:$A$29,DePara_Cidade!$B$2:$B$29,"REVISAR"))</f>
        <v>São Paulo</v>
      </c>
      <c r="N86" s="4" t="str">
        <f aca="false">IF($A86="","",UPPER(TRIM(Base_Bruta!M86)))</f>
        <v>SP</v>
      </c>
      <c r="O86" s="4" t="str">
        <f aca="false">IF($A86="","",_xlfn.XLOOKUP(LOWER(TRIM(Base_Bruta!N86)),DePara_Pais!$A$2:$A$9,DePara_Pais!$B$2:$B$9,"REVISAR"))</f>
        <v>Brasil</v>
      </c>
      <c r="P86" s="4" t="str">
        <f aca="false">IF($A86="","",IF(O86&lt;&gt;"Brasil","Turista Internacional",IF(M86=F86,"Local","Turista Nacional")))</f>
        <v>Local</v>
      </c>
      <c r="Q86" s="7" t="n">
        <f aca="false">IF($A86="","",DATE(YEAR(B86),MONTH(B86),1))</f>
        <v>45809</v>
      </c>
      <c r="R86" s="4" t="str">
        <f aca="false">IF($A86="","",IF(COUNTIF($A$2:$A86,$A86)&gt;1,"Sim","Não"))</f>
        <v>Não</v>
      </c>
      <c r="S86" s="4" t="str">
        <f aca="false">IF(A86="","Descartar - Linha vazia",IF(R86="Sim","Descartar - Duplicado",IF(OR(H86&lt;=0,I86&lt;=0),"Descartar - Qtd/Valor inválido","OK")))</f>
        <v>OK</v>
      </c>
      <c r="T86" s="4" t="str">
        <f aca="false">Base_Bruta!P86</f>
        <v>vendas_SP.xlsx</v>
      </c>
    </row>
    <row r="87" customFormat="false" ht="15" hidden="false" customHeight="false" outlineLevel="0" collapsed="false">
      <c r="A87" s="4" t="str">
        <f aca="false">IF(Base_Bruta!A87="","",Base_Bruta!A87)</f>
        <v>SP-000542</v>
      </c>
      <c r="B87" s="5" t="n">
        <f aca="false">IF($A87="","",IF(ISNUMBER(Base_Bruta!B87),Base_Bruta!B87,IF(MID(Base_Bruta!B87,5,1)="-",DATE(VALUE(LEFT(Base_Bruta!B87,4)),VALUE(MID(Base_Bruta!B87,6,2)),VALUE(RIGHT(Base_Bruta!B87,2))),DATE(VALUE(RIGHT(Base_Bruta!B87,4)),VALUE(MID(Base_Bruta!B87,4,2)),VALUE(LEFT(Base_Bruta!B87,2))))))</f>
        <v>45822</v>
      </c>
      <c r="C87" s="5" t="n">
        <f aca="false">IF($A87="","",IF(ISNUMBER(Base_Bruta!C87),Base_Bruta!C87,IF(MID(Base_Bruta!C87,5,1)="-",DATE(VALUE(LEFT(Base_Bruta!C87,4)),VALUE(MID(Base_Bruta!C87,6,2)),VALUE(RIGHT(Base_Bruta!C87,2))),DATE(VALUE(RIGHT(Base_Bruta!C87,4)),VALUE(MID(Base_Bruta!C87,4,2)),VALUE(LEFT(Base_Bruta!C87,2))))))</f>
        <v>45934</v>
      </c>
      <c r="D87" s="4" t="str">
        <f aca="false">IF($A87="","",TRIM(Base_Bruta!D87))</f>
        <v>Turnê Internacional Pop - SP</v>
      </c>
      <c r="E87" s="4" t="str">
        <f aca="false">IF($A87="","",_xlfn.XLOOKUP(LOWER(TRIM(Base_Bruta!E87)),DePara_Categoria!$A$2:$A$9,DePara_Categoria!$B$2:$B$9,"REVISAR"))</f>
        <v>Show</v>
      </c>
      <c r="F87" s="4" t="str">
        <f aca="false">IF($A87="","",_xlfn.XLOOKUP(LOWER(TRIM(Base_Bruta!F87)),DePara_Cidade!$A$2:$A$29,DePara_Cidade!$B$2:$B$29,"REVISAR"))</f>
        <v>São Paulo</v>
      </c>
      <c r="G87" s="4" t="str">
        <f aca="false">IF($A87="","",TRIM(Base_Bruta!G87))</f>
        <v>Inteira</v>
      </c>
      <c r="H87" s="4" t="n">
        <f aca="false">IF($A87="","",IF(ISNUMBER(Base_Bruta!H87),Base_Bruta!H87,IFERROR(_xlfn.NUMBERVALUE(TRIM(SUBSTITUTE(Base_Bruta!H87,"R$","")),",","."),0)))</f>
        <v>1</v>
      </c>
      <c r="I87" s="6" t="n">
        <f aca="false">IF($A87="","",IF(ISNUMBER(Base_Bruta!I87),Base_Bruta!I87,IFERROR(_xlfn.NUMBERVALUE(TRIM(SUBSTITUTE(Base_Bruta!I87,"R$","")),",","."),0)))</f>
        <v>775</v>
      </c>
      <c r="J87" s="6" t="n">
        <f aca="false">IF($A87="","",H87*I87)</f>
        <v>775</v>
      </c>
      <c r="K87" s="4" t="str">
        <f aca="false">IF($A87="","",TRIM(Base_Bruta!J87))</f>
        <v>Site</v>
      </c>
      <c r="L87" s="4" t="str">
        <f aca="false">IF($A87="","",TRIM(Base_Bruta!K87))</f>
        <v>C00301</v>
      </c>
      <c r="M87" s="4" t="str">
        <f aca="false">IF($A87="","",_xlfn.XLOOKUP(LOWER(TRIM(Base_Bruta!L87)),DePara_Cidade!$A$2:$A$29,DePara_Cidade!$B$2:$B$29,"REVISAR"))</f>
        <v>São Paulo</v>
      </c>
      <c r="N87" s="4" t="str">
        <f aca="false">IF($A87="","",UPPER(TRIM(Base_Bruta!M87)))</f>
        <v>SP</v>
      </c>
      <c r="O87" s="4" t="str">
        <f aca="false">IF($A87="","",_xlfn.XLOOKUP(LOWER(TRIM(Base_Bruta!N87)),DePara_Pais!$A$2:$A$9,DePara_Pais!$B$2:$B$9,"REVISAR"))</f>
        <v>Brasil</v>
      </c>
      <c r="P87" s="4" t="str">
        <f aca="false">IF($A87="","",IF(O87&lt;&gt;"Brasil","Turista Internacional",IF(M87=F87,"Local","Turista Nacional")))</f>
        <v>Local</v>
      </c>
      <c r="Q87" s="7" t="n">
        <f aca="false">IF($A87="","",DATE(YEAR(B87),MONTH(B87),1))</f>
        <v>45809</v>
      </c>
      <c r="R87" s="4" t="str">
        <f aca="false">IF($A87="","",IF(COUNTIF($A$2:$A87,$A87)&gt;1,"Sim","Não"))</f>
        <v>Não</v>
      </c>
      <c r="S87" s="4" t="str">
        <f aca="false">IF(A87="","Descartar - Linha vazia",IF(R87="Sim","Descartar - Duplicado",IF(OR(H87&lt;=0,I87&lt;=0),"Descartar - Qtd/Valor inválido","OK")))</f>
        <v>OK</v>
      </c>
      <c r="T87" s="4" t="str">
        <f aca="false">Base_Bruta!P87</f>
        <v>vendas_SP.xlsx</v>
      </c>
    </row>
    <row r="88" customFormat="false" ht="15" hidden="false" customHeight="false" outlineLevel="0" collapsed="false">
      <c r="A88" s="4" t="str">
        <f aca="false">IF(Base_Bruta!A88="","",Base_Bruta!A88)</f>
        <v>SP-000506</v>
      </c>
      <c r="B88" s="5" t="n">
        <f aca="false">IF($A88="","",IF(ISNUMBER(Base_Bruta!B88),Base_Bruta!B88,IF(MID(Base_Bruta!B88,5,1)="-",DATE(VALUE(LEFT(Base_Bruta!B88,4)),VALUE(MID(Base_Bruta!B88,6,2)),VALUE(RIGHT(Base_Bruta!B88,2))),DATE(VALUE(RIGHT(Base_Bruta!B88,4)),VALUE(MID(Base_Bruta!B88,4,2)),VALUE(LEFT(Base_Bruta!B88,2))))))</f>
        <v>45823</v>
      </c>
      <c r="C88" s="5" t="n">
        <f aca="false">IF($A88="","",IF(ISNUMBER(Base_Bruta!C88),Base_Bruta!C88,IF(MID(Base_Bruta!C88,5,1)="-",DATE(VALUE(LEFT(Base_Bruta!C88,4)),VALUE(MID(Base_Bruta!C88,6,2)),VALUE(RIGHT(Base_Bruta!C88,2))),DATE(VALUE(RIGHT(Base_Bruta!C88,4)),VALUE(MID(Base_Bruta!C88,4,2)),VALUE(LEFT(Base_Bruta!C88,2))))))</f>
        <v>45934</v>
      </c>
      <c r="D88" s="4" t="str">
        <f aca="false">IF($A88="","",TRIM(Base_Bruta!D88))</f>
        <v>Turnê Internacional Pop - SP</v>
      </c>
      <c r="E88" s="4" t="str">
        <f aca="false">IF($A88="","",_xlfn.XLOOKUP(LOWER(TRIM(Base_Bruta!E88)),DePara_Categoria!$A$2:$A$9,DePara_Categoria!$B$2:$B$9,"REVISAR"))</f>
        <v>Show</v>
      </c>
      <c r="F88" s="4" t="str">
        <f aca="false">IF($A88="","",_xlfn.XLOOKUP(LOWER(TRIM(Base_Bruta!F88)),DePara_Cidade!$A$2:$A$29,DePara_Cidade!$B$2:$B$29,"REVISAR"))</f>
        <v>São Paulo</v>
      </c>
      <c r="G88" s="4" t="str">
        <f aca="false">IF($A88="","",TRIM(Base_Bruta!G88))</f>
        <v>Meia</v>
      </c>
      <c r="H88" s="4" t="n">
        <f aca="false">IF($A88="","",IF(ISNUMBER(Base_Bruta!H88),Base_Bruta!H88,IFERROR(_xlfn.NUMBERVALUE(TRIM(SUBSTITUTE(Base_Bruta!H88,"R$","")),",","."),0)))</f>
        <v>3</v>
      </c>
      <c r="I88" s="6" t="n">
        <f aca="false">IF($A88="","",IF(ISNUMBER(Base_Bruta!I88),Base_Bruta!I88,IFERROR(_xlfn.NUMBERVALUE(TRIM(SUBSTITUTE(Base_Bruta!I88,"R$","")),",","."),0)))</f>
        <v>192.5</v>
      </c>
      <c r="J88" s="6" t="n">
        <f aca="false">IF($A88="","",H88*I88)</f>
        <v>577.5</v>
      </c>
      <c r="K88" s="4" t="str">
        <f aca="false">IF($A88="","",TRIM(Base_Bruta!J88))</f>
        <v>Site</v>
      </c>
      <c r="L88" s="4" t="str">
        <f aca="false">IF($A88="","",TRIM(Base_Bruta!K88))</f>
        <v>C01349</v>
      </c>
      <c r="M88" s="4" t="str">
        <f aca="false">IF($A88="","",_xlfn.XLOOKUP(LOWER(TRIM(Base_Bruta!L88)),DePara_Cidade!$A$2:$A$29,DePara_Cidade!$B$2:$B$29,"REVISAR"))</f>
        <v>Brasília</v>
      </c>
      <c r="N88" s="4" t="str">
        <f aca="false">IF($A88="","",UPPER(TRIM(Base_Bruta!M88)))</f>
        <v>DF</v>
      </c>
      <c r="O88" s="4" t="str">
        <f aca="false">IF($A88="","",_xlfn.XLOOKUP(LOWER(TRIM(Base_Bruta!N88)),DePara_Pais!$A$2:$A$9,DePara_Pais!$B$2:$B$9,"REVISAR"))</f>
        <v>Brasil</v>
      </c>
      <c r="P88" s="4" t="str">
        <f aca="false">IF($A88="","",IF(O88&lt;&gt;"Brasil","Turista Internacional",IF(M88=F88,"Local","Turista Nacional")))</f>
        <v>Turista Nacional</v>
      </c>
      <c r="Q88" s="7" t="n">
        <f aca="false">IF($A88="","",DATE(YEAR(B88),MONTH(B88),1))</f>
        <v>45809</v>
      </c>
      <c r="R88" s="4" t="str">
        <f aca="false">IF($A88="","",IF(COUNTIF($A$2:$A88,$A88)&gt;1,"Sim","Não"))</f>
        <v>Não</v>
      </c>
      <c r="S88" s="4" t="str">
        <f aca="false">IF(A88="","Descartar - Linha vazia",IF(R88="Sim","Descartar - Duplicado",IF(OR(H88&lt;=0,I88&lt;=0),"Descartar - Qtd/Valor inválido","OK")))</f>
        <v>OK</v>
      </c>
      <c r="T88" s="4" t="str">
        <f aca="false">Base_Bruta!P88</f>
        <v>vendas_SP.xlsx</v>
      </c>
    </row>
    <row r="89" customFormat="false" ht="15" hidden="false" customHeight="false" outlineLevel="0" collapsed="false">
      <c r="A89" s="4" t="str">
        <f aca="false">IF(Base_Bruta!A89="","",Base_Bruta!A89)</f>
        <v>SP-000525</v>
      </c>
      <c r="B89" s="5" t="n">
        <f aca="false">IF($A89="","",IF(ISNUMBER(Base_Bruta!B89),Base_Bruta!B89,IF(MID(Base_Bruta!B89,5,1)="-",DATE(VALUE(LEFT(Base_Bruta!B89,4)),VALUE(MID(Base_Bruta!B89,6,2)),VALUE(RIGHT(Base_Bruta!B89,2))),DATE(VALUE(RIGHT(Base_Bruta!B89,4)),VALUE(MID(Base_Bruta!B89,4,2)),VALUE(LEFT(Base_Bruta!B89,2))))))</f>
        <v>45823</v>
      </c>
      <c r="C89" s="5" t="n">
        <f aca="false">IF($A89="","",IF(ISNUMBER(Base_Bruta!C89),Base_Bruta!C89,IF(MID(Base_Bruta!C89,5,1)="-",DATE(VALUE(LEFT(Base_Bruta!C89,4)),VALUE(MID(Base_Bruta!C89,6,2)),VALUE(RIGHT(Base_Bruta!C89,2))),DATE(VALUE(RIGHT(Base_Bruta!C89,4)),VALUE(MID(Base_Bruta!C89,4,2)),VALUE(LEFT(Base_Bruta!C89,2))))))</f>
        <v>45934</v>
      </c>
      <c r="D89" s="4" t="str">
        <f aca="false">IF($A89="","",TRIM(Base_Bruta!D89))</f>
        <v>Turnê Internacional Pop - SP</v>
      </c>
      <c r="E89" s="4" t="str">
        <f aca="false">IF($A89="","",_xlfn.XLOOKUP(LOWER(TRIM(Base_Bruta!E89)),DePara_Categoria!$A$2:$A$9,DePara_Categoria!$B$2:$B$9,"REVISAR"))</f>
        <v>Show</v>
      </c>
      <c r="F89" s="4" t="str">
        <f aca="false">IF($A89="","",_xlfn.XLOOKUP(LOWER(TRIM(Base_Bruta!F89)),DePara_Cidade!$A$2:$A$29,DePara_Cidade!$B$2:$B$29,"REVISAR"))</f>
        <v>São Paulo</v>
      </c>
      <c r="G89" s="4" t="str">
        <f aca="false">IF($A89="","",TRIM(Base_Bruta!G89))</f>
        <v>Meia</v>
      </c>
      <c r="H89" s="4" t="n">
        <f aca="false">IF($A89="","",IF(ISNUMBER(Base_Bruta!H89),Base_Bruta!H89,IFERROR(_xlfn.NUMBERVALUE(TRIM(SUBSTITUTE(Base_Bruta!H89,"R$","")),",","."),0)))</f>
        <v>3</v>
      </c>
      <c r="I89" s="6" t="n">
        <f aca="false">IF($A89="","",IF(ISNUMBER(Base_Bruta!I89),Base_Bruta!I89,IFERROR(_xlfn.NUMBERVALUE(TRIM(SUBSTITUTE(Base_Bruta!I89,"R$","")),",","."),0)))</f>
        <v>290</v>
      </c>
      <c r="J89" s="6" t="n">
        <f aca="false">IF($A89="","",H89*I89)</f>
        <v>870</v>
      </c>
      <c r="K89" s="4" t="str">
        <f aca="false">IF($A89="","",TRIM(Base_Bruta!J89))</f>
        <v>App</v>
      </c>
      <c r="L89" s="4" t="str">
        <f aca="false">IF($A89="","",TRIM(Base_Bruta!K89))</f>
        <v>C00186</v>
      </c>
      <c r="M89" s="4" t="str">
        <f aca="false">IF($A89="","",_xlfn.XLOOKUP(LOWER(TRIM(Base_Bruta!L89)),DePara_Cidade!$A$2:$A$29,DePara_Cidade!$B$2:$B$29,"REVISAR"))</f>
        <v>São Paulo</v>
      </c>
      <c r="N89" s="4" t="str">
        <f aca="false">IF($A89="","",UPPER(TRIM(Base_Bruta!M89)))</f>
        <v>SP</v>
      </c>
      <c r="O89" s="4" t="str">
        <f aca="false">IF($A89="","",_xlfn.XLOOKUP(LOWER(TRIM(Base_Bruta!N89)),DePara_Pais!$A$2:$A$9,DePara_Pais!$B$2:$B$9,"REVISAR"))</f>
        <v>Brasil</v>
      </c>
      <c r="P89" s="4" t="str">
        <f aca="false">IF($A89="","",IF(O89&lt;&gt;"Brasil","Turista Internacional",IF(M89=F89,"Local","Turista Nacional")))</f>
        <v>Local</v>
      </c>
      <c r="Q89" s="7" t="n">
        <f aca="false">IF($A89="","",DATE(YEAR(B89),MONTH(B89),1))</f>
        <v>45809</v>
      </c>
      <c r="R89" s="4" t="str">
        <f aca="false">IF($A89="","",IF(COUNTIF($A$2:$A89,$A89)&gt;1,"Sim","Não"))</f>
        <v>Não</v>
      </c>
      <c r="S89" s="4" t="str">
        <f aca="false">IF(A89="","Descartar - Linha vazia",IF(R89="Sim","Descartar - Duplicado",IF(OR(H89&lt;=0,I89&lt;=0),"Descartar - Qtd/Valor inválido","OK")))</f>
        <v>OK</v>
      </c>
      <c r="T89" s="4" t="str">
        <f aca="false">Base_Bruta!P89</f>
        <v>vendas_SP.xlsx</v>
      </c>
    </row>
    <row r="90" customFormat="false" ht="15" hidden="false" customHeight="false" outlineLevel="0" collapsed="false">
      <c r="A90" s="4" t="str">
        <f aca="false">IF(Base_Bruta!A90="","",Base_Bruta!A90)</f>
        <v>SP-000505</v>
      </c>
      <c r="B90" s="5" t="n">
        <f aca="false">IF($A90="","",IF(ISNUMBER(Base_Bruta!B90),Base_Bruta!B90,IF(MID(Base_Bruta!B90,5,1)="-",DATE(VALUE(LEFT(Base_Bruta!B90,4)),VALUE(MID(Base_Bruta!B90,6,2)),VALUE(RIGHT(Base_Bruta!B90,2))),DATE(VALUE(RIGHT(Base_Bruta!B90,4)),VALUE(MID(Base_Bruta!B90,4,2)),VALUE(LEFT(Base_Bruta!B90,2))))))</f>
        <v>45824</v>
      </c>
      <c r="C90" s="5" t="n">
        <f aca="false">IF($A90="","",IF(ISNUMBER(Base_Bruta!C90),Base_Bruta!C90,IF(MID(Base_Bruta!C90,5,1)="-",DATE(VALUE(LEFT(Base_Bruta!C90,4)),VALUE(MID(Base_Bruta!C90,6,2)),VALUE(RIGHT(Base_Bruta!C90,2))),DATE(VALUE(RIGHT(Base_Bruta!C90,4)),VALUE(MID(Base_Bruta!C90,4,2)),VALUE(LEFT(Base_Bruta!C90,2))))))</f>
        <v>45934</v>
      </c>
      <c r="D90" s="4" t="str">
        <f aca="false">IF($A90="","",TRIM(Base_Bruta!D90))</f>
        <v>Turnê Internacional Pop - SP</v>
      </c>
      <c r="E90" s="4" t="str">
        <f aca="false">IF($A90="","",_xlfn.XLOOKUP(LOWER(TRIM(Base_Bruta!E90)),DePara_Categoria!$A$2:$A$9,DePara_Categoria!$B$2:$B$9,"REVISAR"))</f>
        <v>Show</v>
      </c>
      <c r="F90" s="4" t="str">
        <f aca="false">IF($A90="","",_xlfn.XLOOKUP(LOWER(TRIM(Base_Bruta!F90)),DePara_Cidade!$A$2:$A$29,DePara_Cidade!$B$2:$B$29,"REVISAR"))</f>
        <v>São Paulo</v>
      </c>
      <c r="G90" s="4" t="str">
        <f aca="false">IF($A90="","",TRIM(Base_Bruta!G90))</f>
        <v>Meia</v>
      </c>
      <c r="H90" s="4" t="n">
        <f aca="false">IF($A90="","",IF(ISNUMBER(Base_Bruta!H90),Base_Bruta!H90,IFERROR(_xlfn.NUMBERVALUE(TRIM(SUBSTITUTE(Base_Bruta!H90,"R$","")),",","."),0)))</f>
        <v>1</v>
      </c>
      <c r="I90" s="6" t="n">
        <f aca="false">IF($A90="","",IF(ISNUMBER(Base_Bruta!I90),Base_Bruta!I90,IFERROR(_xlfn.NUMBERVALUE(TRIM(SUBSTITUTE(Base_Bruta!I90,"R$","")),",","."),0)))</f>
        <v>140</v>
      </c>
      <c r="J90" s="6" t="n">
        <f aca="false">IF($A90="","",H90*I90)</f>
        <v>140</v>
      </c>
      <c r="K90" s="4" t="str">
        <f aca="false">IF($A90="","",TRIM(Base_Bruta!J90))</f>
        <v>Parceiro</v>
      </c>
      <c r="L90" s="4" t="str">
        <f aca="false">IF($A90="","",TRIM(Base_Bruta!K90))</f>
        <v>C02365</v>
      </c>
      <c r="M90" s="4" t="str">
        <f aca="false">IF($A90="","",_xlfn.XLOOKUP(LOWER(TRIM(Base_Bruta!L90)),DePara_Cidade!$A$2:$A$29,DePara_Cidade!$B$2:$B$29,"REVISAR"))</f>
        <v>São Paulo</v>
      </c>
      <c r="N90" s="4" t="str">
        <f aca="false">IF($A90="","",UPPER(TRIM(Base_Bruta!M90)))</f>
        <v>SP</v>
      </c>
      <c r="O90" s="4" t="str">
        <f aca="false">IF($A90="","",_xlfn.XLOOKUP(LOWER(TRIM(Base_Bruta!N90)),DePara_Pais!$A$2:$A$9,DePara_Pais!$B$2:$B$9,"REVISAR"))</f>
        <v>Brasil</v>
      </c>
      <c r="P90" s="4" t="str">
        <f aca="false">IF($A90="","",IF(O90&lt;&gt;"Brasil","Turista Internacional",IF(M90=F90,"Local","Turista Nacional")))</f>
        <v>Local</v>
      </c>
      <c r="Q90" s="7" t="n">
        <f aca="false">IF($A90="","",DATE(YEAR(B90),MONTH(B90),1))</f>
        <v>45809</v>
      </c>
      <c r="R90" s="4" t="str">
        <f aca="false">IF($A90="","",IF(COUNTIF($A$2:$A90,$A90)&gt;1,"Sim","Não"))</f>
        <v>Não</v>
      </c>
      <c r="S90" s="4" t="str">
        <f aca="false">IF(A90="","Descartar - Linha vazia",IF(R90="Sim","Descartar - Duplicado",IF(OR(H90&lt;=0,I90&lt;=0),"Descartar - Qtd/Valor inválido","OK")))</f>
        <v>OK</v>
      </c>
      <c r="T90" s="4" t="str">
        <f aca="false">Base_Bruta!P90</f>
        <v>vendas_SP.xlsx</v>
      </c>
    </row>
    <row r="91" customFormat="false" ht="15" hidden="false" customHeight="false" outlineLevel="0" collapsed="false">
      <c r="A91" s="4" t="str">
        <f aca="false">IF(Base_Bruta!A91="","",Base_Bruta!A91)</f>
        <v>SP-000515</v>
      </c>
      <c r="B91" s="5" t="n">
        <f aca="false">IF($A91="","",IF(ISNUMBER(Base_Bruta!B91),Base_Bruta!B91,IF(MID(Base_Bruta!B91,5,1)="-",DATE(VALUE(LEFT(Base_Bruta!B91,4)),VALUE(MID(Base_Bruta!B91,6,2)),VALUE(RIGHT(Base_Bruta!B91,2))),DATE(VALUE(RIGHT(Base_Bruta!B91,4)),VALUE(MID(Base_Bruta!B91,4,2)),VALUE(LEFT(Base_Bruta!B91,2))))))</f>
        <v>45824</v>
      </c>
      <c r="C91" s="5" t="n">
        <f aca="false">IF($A91="","",IF(ISNUMBER(Base_Bruta!C91),Base_Bruta!C91,IF(MID(Base_Bruta!C91,5,1)="-",DATE(VALUE(LEFT(Base_Bruta!C91,4)),VALUE(MID(Base_Bruta!C91,6,2)),VALUE(RIGHT(Base_Bruta!C91,2))),DATE(VALUE(RIGHT(Base_Bruta!C91,4)),VALUE(MID(Base_Bruta!C91,4,2)),VALUE(LEFT(Base_Bruta!C91,2))))))</f>
        <v>45934</v>
      </c>
      <c r="D91" s="4" t="str">
        <f aca="false">IF($A91="","",TRIM(Base_Bruta!D91))</f>
        <v>Turnê Internacional Pop - SP</v>
      </c>
      <c r="E91" s="4" t="str">
        <f aca="false">IF($A91="","",_xlfn.XLOOKUP(LOWER(TRIM(Base_Bruta!E91)),DePara_Categoria!$A$2:$A$9,DePara_Categoria!$B$2:$B$9,"REVISAR"))</f>
        <v>Show</v>
      </c>
      <c r="F91" s="4" t="str">
        <f aca="false">IF($A91="","",_xlfn.XLOOKUP(LOWER(TRIM(Base_Bruta!F91)),DePara_Cidade!$A$2:$A$29,DePara_Cidade!$B$2:$B$29,"REVISAR"))</f>
        <v>São Paulo</v>
      </c>
      <c r="G91" s="4" t="str">
        <f aca="false">IF($A91="","",TRIM(Base_Bruta!G91))</f>
        <v>Meia</v>
      </c>
      <c r="H91" s="4" t="n">
        <f aca="false">IF($A91="","",IF(ISNUMBER(Base_Bruta!H91),Base_Bruta!H91,IFERROR(_xlfn.NUMBERVALUE(TRIM(SUBSTITUTE(Base_Bruta!H91,"R$","")),",","."),0)))</f>
        <v>2</v>
      </c>
      <c r="I91" s="6" t="n">
        <f aca="false">IF($A91="","",IF(ISNUMBER(Base_Bruta!I91),Base_Bruta!I91,IFERROR(_xlfn.NUMBERVALUE(TRIM(SUBSTITUTE(Base_Bruta!I91,"R$","")),",","."),0)))</f>
        <v>215</v>
      </c>
      <c r="J91" s="6" t="n">
        <f aca="false">IF($A91="","",H91*I91)</f>
        <v>430</v>
      </c>
      <c r="K91" s="4" t="str">
        <f aca="false">IF($A91="","",TRIM(Base_Bruta!J91))</f>
        <v>Site</v>
      </c>
      <c r="L91" s="4" t="str">
        <f aca="false">IF($A91="","",TRIM(Base_Bruta!K91))</f>
        <v>C02383</v>
      </c>
      <c r="M91" s="4" t="str">
        <f aca="false">IF($A91="","",_xlfn.XLOOKUP(LOWER(TRIM(Base_Bruta!L91)),DePara_Cidade!$A$2:$A$29,DePara_Cidade!$B$2:$B$29,"REVISAR"))</f>
        <v>São Paulo</v>
      </c>
      <c r="N91" s="4" t="str">
        <f aca="false">IF($A91="","",UPPER(TRIM(Base_Bruta!M91)))</f>
        <v>SP</v>
      </c>
      <c r="O91" s="4" t="str">
        <f aca="false">IF($A91="","",_xlfn.XLOOKUP(LOWER(TRIM(Base_Bruta!N91)),DePara_Pais!$A$2:$A$9,DePara_Pais!$B$2:$B$9,"REVISAR"))</f>
        <v>Brasil</v>
      </c>
      <c r="P91" s="4" t="str">
        <f aca="false">IF($A91="","",IF(O91&lt;&gt;"Brasil","Turista Internacional",IF(M91=F91,"Local","Turista Nacional")))</f>
        <v>Local</v>
      </c>
      <c r="Q91" s="7" t="n">
        <f aca="false">IF($A91="","",DATE(YEAR(B91),MONTH(B91),1))</f>
        <v>45809</v>
      </c>
      <c r="R91" s="4" t="str">
        <f aca="false">IF($A91="","",IF(COUNTIF($A$2:$A91,$A91)&gt;1,"Sim","Não"))</f>
        <v>Não</v>
      </c>
      <c r="S91" s="4" t="str">
        <f aca="false">IF(A91="","Descartar - Linha vazia",IF(R91="Sim","Descartar - Duplicado",IF(OR(H91&lt;=0,I91&lt;=0),"Descartar - Qtd/Valor inválido","OK")))</f>
        <v>OK</v>
      </c>
      <c r="T91" s="4" t="str">
        <f aca="false">Base_Bruta!P91</f>
        <v>vendas_SP.xlsx</v>
      </c>
    </row>
    <row r="92" customFormat="false" ht="15" hidden="false" customHeight="false" outlineLevel="0" collapsed="false">
      <c r="A92" s="4" t="str">
        <f aca="false">IF(Base_Bruta!A92="","",Base_Bruta!A92)</f>
        <v>SP-000522</v>
      </c>
      <c r="B92" s="5" t="n">
        <f aca="false">IF($A92="","",IF(ISNUMBER(Base_Bruta!B92),Base_Bruta!B92,IF(MID(Base_Bruta!B92,5,1)="-",DATE(VALUE(LEFT(Base_Bruta!B92,4)),VALUE(MID(Base_Bruta!B92,6,2)),VALUE(RIGHT(Base_Bruta!B92,2))),DATE(VALUE(RIGHT(Base_Bruta!B92,4)),VALUE(MID(Base_Bruta!B92,4,2)),VALUE(LEFT(Base_Bruta!B92,2))))))</f>
        <v>45824</v>
      </c>
      <c r="C92" s="5" t="n">
        <f aca="false">IF($A92="","",IF(ISNUMBER(Base_Bruta!C92),Base_Bruta!C92,IF(MID(Base_Bruta!C92,5,1)="-",DATE(VALUE(LEFT(Base_Bruta!C92,4)),VALUE(MID(Base_Bruta!C92,6,2)),VALUE(RIGHT(Base_Bruta!C92,2))),DATE(VALUE(RIGHT(Base_Bruta!C92,4)),VALUE(MID(Base_Bruta!C92,4,2)),VALUE(LEFT(Base_Bruta!C92,2))))))</f>
        <v>45934</v>
      </c>
      <c r="D92" s="4" t="str">
        <f aca="false">IF($A92="","",TRIM(Base_Bruta!D92))</f>
        <v>Turnê Internacional Pop - SP</v>
      </c>
      <c r="E92" s="4" t="str">
        <f aca="false">IF($A92="","",_xlfn.XLOOKUP(LOWER(TRIM(Base_Bruta!E92)),DePara_Categoria!$A$2:$A$9,DePara_Categoria!$B$2:$B$9,"REVISAR"))</f>
        <v>Show</v>
      </c>
      <c r="F92" s="4" t="str">
        <f aca="false">IF($A92="","",_xlfn.XLOOKUP(LOWER(TRIM(Base_Bruta!F92)),DePara_Cidade!$A$2:$A$29,DePara_Cidade!$B$2:$B$29,"REVISAR"))</f>
        <v>São Paulo</v>
      </c>
      <c r="G92" s="4" t="str">
        <f aca="false">IF($A92="","",TRIM(Base_Bruta!G92))</f>
        <v>Meia</v>
      </c>
      <c r="H92" s="4" t="n">
        <f aca="false">IF($A92="","",IF(ISNUMBER(Base_Bruta!H92),Base_Bruta!H92,IFERROR(_xlfn.NUMBERVALUE(TRIM(SUBSTITUTE(Base_Bruta!H92,"R$","")),",","."),0)))</f>
        <v>4</v>
      </c>
      <c r="I92" s="6" t="n">
        <f aca="false">IF($A92="","",IF(ISNUMBER(Base_Bruta!I92),Base_Bruta!I92,IFERROR(_xlfn.NUMBERVALUE(TRIM(SUBSTITUTE(Base_Bruta!I92,"R$","")),",","."),0)))</f>
        <v>200</v>
      </c>
      <c r="J92" s="6" t="n">
        <f aca="false">IF($A92="","",H92*I92)</f>
        <v>800</v>
      </c>
      <c r="K92" s="4" t="str">
        <f aca="false">IF($A92="","",TRIM(Base_Bruta!J92))</f>
        <v>Parceiro</v>
      </c>
      <c r="L92" s="4" t="str">
        <f aca="false">IF($A92="","",TRIM(Base_Bruta!K92))</f>
        <v>C01518</v>
      </c>
      <c r="M92" s="4" t="str">
        <f aca="false">IF($A92="","",_xlfn.XLOOKUP(LOWER(TRIM(Base_Bruta!L92)),DePara_Cidade!$A$2:$A$29,DePara_Cidade!$B$2:$B$29,"REVISAR"))</f>
        <v>São Paulo</v>
      </c>
      <c r="N92" s="4" t="str">
        <f aca="false">IF($A92="","",UPPER(TRIM(Base_Bruta!M92)))</f>
        <v>SP</v>
      </c>
      <c r="O92" s="4" t="str">
        <f aca="false">IF($A92="","",_xlfn.XLOOKUP(LOWER(TRIM(Base_Bruta!N92)),DePara_Pais!$A$2:$A$9,DePara_Pais!$B$2:$B$9,"REVISAR"))</f>
        <v>Brasil</v>
      </c>
      <c r="P92" s="4" t="str">
        <f aca="false">IF($A92="","",IF(O92&lt;&gt;"Brasil","Turista Internacional",IF(M92=F92,"Local","Turista Nacional")))</f>
        <v>Local</v>
      </c>
      <c r="Q92" s="7" t="n">
        <f aca="false">IF($A92="","",DATE(YEAR(B92),MONTH(B92),1))</f>
        <v>45809</v>
      </c>
      <c r="R92" s="4" t="str">
        <f aca="false">IF($A92="","",IF(COUNTIF($A$2:$A92,$A92)&gt;1,"Sim","Não"))</f>
        <v>Não</v>
      </c>
      <c r="S92" s="4" t="str">
        <f aca="false">IF(A92="","Descartar - Linha vazia",IF(R92="Sim","Descartar - Duplicado",IF(OR(H92&lt;=0,I92&lt;=0),"Descartar - Qtd/Valor inválido","OK")))</f>
        <v>OK</v>
      </c>
      <c r="T92" s="4" t="str">
        <f aca="false">Base_Bruta!P92</f>
        <v>vendas_SP.xlsx</v>
      </c>
    </row>
    <row r="93" customFormat="false" ht="15" hidden="false" customHeight="false" outlineLevel="0" collapsed="false">
      <c r="A93" s="4" t="str">
        <f aca="false">IF(Base_Bruta!A93="","",Base_Bruta!A93)</f>
        <v>SP-000576</v>
      </c>
      <c r="B93" s="5" t="n">
        <f aca="false">IF($A93="","",IF(ISNUMBER(Base_Bruta!B93),Base_Bruta!B93,IF(MID(Base_Bruta!B93,5,1)="-",DATE(VALUE(LEFT(Base_Bruta!B93,4)),VALUE(MID(Base_Bruta!B93,6,2)),VALUE(RIGHT(Base_Bruta!B93,2))),DATE(VALUE(RIGHT(Base_Bruta!B93,4)),VALUE(MID(Base_Bruta!B93,4,2)),VALUE(LEFT(Base_Bruta!B93,2))))))</f>
        <v>45824</v>
      </c>
      <c r="C93" s="5" t="n">
        <f aca="false">IF($A93="","",IF(ISNUMBER(Base_Bruta!C93),Base_Bruta!C93,IF(MID(Base_Bruta!C93,5,1)="-",DATE(VALUE(LEFT(Base_Bruta!C93,4)),VALUE(MID(Base_Bruta!C93,6,2)),VALUE(RIGHT(Base_Bruta!C93,2))),DATE(VALUE(RIGHT(Base_Bruta!C93,4)),VALUE(MID(Base_Bruta!C93,4,2)),VALUE(LEFT(Base_Bruta!C93,2))))))</f>
        <v>45934</v>
      </c>
      <c r="D93" s="4" t="str">
        <f aca="false">IF($A93="","",TRIM(Base_Bruta!D93))</f>
        <v>Turnê Internacional Pop - SP</v>
      </c>
      <c r="E93" s="4" t="str">
        <f aca="false">IF($A93="","",_xlfn.XLOOKUP(LOWER(TRIM(Base_Bruta!E93)),DePara_Categoria!$A$2:$A$9,DePara_Categoria!$B$2:$B$9,"REVISAR"))</f>
        <v>Show</v>
      </c>
      <c r="F93" s="4" t="str">
        <f aca="false">IF($A93="","",_xlfn.XLOOKUP(LOWER(TRIM(Base_Bruta!F93)),DePara_Cidade!$A$2:$A$29,DePara_Cidade!$B$2:$B$29,"REVISAR"))</f>
        <v>São Paulo</v>
      </c>
      <c r="G93" s="4" t="str">
        <f aca="false">IF($A93="","",TRIM(Base_Bruta!G93))</f>
        <v>VIP</v>
      </c>
      <c r="H93" s="4" t="n">
        <f aca="false">IF($A93="","",IF(ISNUMBER(Base_Bruta!H93),Base_Bruta!H93,IFERROR(_xlfn.NUMBERVALUE(TRIM(SUBSTITUTE(Base_Bruta!H93,"R$","")),",","."),0)))</f>
        <v>1</v>
      </c>
      <c r="I93" s="6" t="n">
        <f aca="false">IF($A93="","",IF(ISNUMBER(Base_Bruta!I93),Base_Bruta!I93,IFERROR(_xlfn.NUMBERVALUE(TRIM(SUBSTITUTE(Base_Bruta!I93,"R$","")),",","."),0)))</f>
        <v>1020</v>
      </c>
      <c r="J93" s="6" t="n">
        <f aca="false">IF($A93="","",H93*I93)</f>
        <v>1020</v>
      </c>
      <c r="K93" s="4" t="str">
        <f aca="false">IF($A93="","",TRIM(Base_Bruta!J93))</f>
        <v>Parceiro</v>
      </c>
      <c r="L93" s="4" t="str">
        <f aca="false">IF($A93="","",TRIM(Base_Bruta!K93))</f>
        <v>C01205</v>
      </c>
      <c r="M93" s="4" t="str">
        <f aca="false">IF($A93="","",_xlfn.XLOOKUP(LOWER(TRIM(Base_Bruta!L93)),DePara_Cidade!$A$2:$A$29,DePara_Cidade!$B$2:$B$29,"REVISAR"))</f>
        <v>São Paulo</v>
      </c>
      <c r="N93" s="4" t="str">
        <f aca="false">IF($A93="","",UPPER(TRIM(Base_Bruta!M93)))</f>
        <v>SP</v>
      </c>
      <c r="O93" s="4" t="str">
        <f aca="false">IF($A93="","",_xlfn.XLOOKUP(LOWER(TRIM(Base_Bruta!N93)),DePara_Pais!$A$2:$A$9,DePara_Pais!$B$2:$B$9,"REVISAR"))</f>
        <v>Brasil</v>
      </c>
      <c r="P93" s="4" t="str">
        <f aca="false">IF($A93="","",IF(O93&lt;&gt;"Brasil","Turista Internacional",IF(M93=F93,"Local","Turista Nacional")))</f>
        <v>Local</v>
      </c>
      <c r="Q93" s="7" t="n">
        <f aca="false">IF($A93="","",DATE(YEAR(B93),MONTH(B93),1))</f>
        <v>45809</v>
      </c>
      <c r="R93" s="4" t="str">
        <f aca="false">IF($A93="","",IF(COUNTIF($A$2:$A93,$A93)&gt;1,"Sim","Não"))</f>
        <v>Não</v>
      </c>
      <c r="S93" s="4" t="str">
        <f aca="false">IF(A93="","Descartar - Linha vazia",IF(R93="Sim","Descartar - Duplicado",IF(OR(H93&lt;=0,I93&lt;=0),"Descartar - Qtd/Valor inválido","OK")))</f>
        <v>OK</v>
      </c>
      <c r="T93" s="4" t="str">
        <f aca="false">Base_Bruta!P93</f>
        <v>vendas_SP.xlsx</v>
      </c>
    </row>
    <row r="94" customFormat="false" ht="15" hidden="false" customHeight="false" outlineLevel="0" collapsed="false">
      <c r="A94" s="4" t="str">
        <f aca="false">IF(Base_Bruta!A94="","",Base_Bruta!A94)</f>
        <v>SP-000603</v>
      </c>
      <c r="B94" s="5" t="n">
        <f aca="false">IF($A94="","",IF(ISNUMBER(Base_Bruta!B94),Base_Bruta!B94,IF(MID(Base_Bruta!B94,5,1)="-",DATE(VALUE(LEFT(Base_Bruta!B94,4)),VALUE(MID(Base_Bruta!B94,6,2)),VALUE(RIGHT(Base_Bruta!B94,2))),DATE(VALUE(RIGHT(Base_Bruta!B94,4)),VALUE(MID(Base_Bruta!B94,4,2)),VALUE(LEFT(Base_Bruta!B94,2))))))</f>
        <v>45824</v>
      </c>
      <c r="C94" s="5" t="n">
        <f aca="false">IF($A94="","",IF(ISNUMBER(Base_Bruta!C94),Base_Bruta!C94,IF(MID(Base_Bruta!C94,5,1)="-",DATE(VALUE(LEFT(Base_Bruta!C94,4)),VALUE(MID(Base_Bruta!C94,6,2)),VALUE(RIGHT(Base_Bruta!C94,2))),DATE(VALUE(RIGHT(Base_Bruta!C94,4)),VALUE(MID(Base_Bruta!C94,4,2)),VALUE(LEFT(Base_Bruta!C94,2))))))</f>
        <v>45934</v>
      </c>
      <c r="D94" s="4" t="str">
        <f aca="false">IF($A94="","",TRIM(Base_Bruta!D94))</f>
        <v>Turnê Internacional Pop - SP</v>
      </c>
      <c r="E94" s="4" t="str">
        <f aca="false">IF($A94="","",_xlfn.XLOOKUP(LOWER(TRIM(Base_Bruta!E94)),DePara_Categoria!$A$2:$A$9,DePara_Categoria!$B$2:$B$9,"REVISAR"))</f>
        <v>Show</v>
      </c>
      <c r="F94" s="4" t="str">
        <f aca="false">IF($A94="","",_xlfn.XLOOKUP(LOWER(TRIM(Base_Bruta!F94)),DePara_Cidade!$A$2:$A$29,DePara_Cidade!$B$2:$B$29,"REVISAR"))</f>
        <v>São Paulo</v>
      </c>
      <c r="G94" s="4" t="str">
        <f aca="false">IF($A94="","",TRIM(Base_Bruta!G94))</f>
        <v>Inteira</v>
      </c>
      <c r="H94" s="4" t="n">
        <f aca="false">IF($A94="","",IF(ISNUMBER(Base_Bruta!H94),Base_Bruta!H94,IFERROR(_xlfn.NUMBERVALUE(TRIM(SUBSTITUTE(Base_Bruta!H94,"R$","")),",","."),0)))</f>
        <v>2</v>
      </c>
      <c r="I94" s="6" t="n">
        <f aca="false">IF($A94="","",IF(ISNUMBER(Base_Bruta!I94),Base_Bruta!I94,IFERROR(_xlfn.NUMBERVALUE(TRIM(SUBSTITUTE(Base_Bruta!I94,"R$","")),",","."),0)))</f>
        <v>235</v>
      </c>
      <c r="J94" s="6" t="n">
        <f aca="false">IF($A94="","",H94*I94)</f>
        <v>470</v>
      </c>
      <c r="K94" s="4" t="str">
        <f aca="false">IF($A94="","",TRIM(Base_Bruta!J94))</f>
        <v>Site</v>
      </c>
      <c r="L94" s="4" t="str">
        <f aca="false">IF($A94="","",TRIM(Base_Bruta!K94))</f>
        <v>C01180</v>
      </c>
      <c r="M94" s="4" t="str">
        <f aca="false">IF($A94="","",_xlfn.XLOOKUP(LOWER(TRIM(Base_Bruta!L94)),DePara_Cidade!$A$2:$A$29,DePara_Cidade!$B$2:$B$29,"REVISAR"))</f>
        <v>Lisboa</v>
      </c>
      <c r="N94" s="4" t="str">
        <f aca="false">IF($A94="","",UPPER(TRIM(Base_Bruta!M94)))</f>
        <v>EX</v>
      </c>
      <c r="O94" s="4" t="str">
        <f aca="false">IF($A94="","",_xlfn.XLOOKUP(LOWER(TRIM(Base_Bruta!N94)),DePara_Pais!$A$2:$A$9,DePara_Pais!$B$2:$B$9,"REVISAR"))</f>
        <v>Portugal</v>
      </c>
      <c r="P94" s="4" t="str">
        <f aca="false">IF($A94="","",IF(O94&lt;&gt;"Brasil","Turista Internacional",IF(M94=F94,"Local","Turista Nacional")))</f>
        <v>Turista Internacional</v>
      </c>
      <c r="Q94" s="7" t="n">
        <f aca="false">IF($A94="","",DATE(YEAR(B94),MONTH(B94),1))</f>
        <v>45809</v>
      </c>
      <c r="R94" s="4" t="str">
        <f aca="false">IF($A94="","",IF(COUNTIF($A$2:$A94,$A94)&gt;1,"Sim","Não"))</f>
        <v>Não</v>
      </c>
      <c r="S94" s="4" t="str">
        <f aca="false">IF(A94="","Descartar - Linha vazia",IF(R94="Sim","Descartar - Duplicado",IF(OR(H94&lt;=0,I94&lt;=0),"Descartar - Qtd/Valor inválido","OK")))</f>
        <v>OK</v>
      </c>
      <c r="T94" s="4" t="str">
        <f aca="false">Base_Bruta!P94</f>
        <v>vendas_SP.xlsx</v>
      </c>
    </row>
    <row r="95" customFormat="false" ht="15" hidden="false" customHeight="false" outlineLevel="0" collapsed="false">
      <c r="A95" s="4" t="str">
        <f aca="false">IF(Base_Bruta!A95="","",Base_Bruta!A95)</f>
        <v>SP-000608</v>
      </c>
      <c r="B95" s="5" t="n">
        <f aca="false">IF($A95="","",IF(ISNUMBER(Base_Bruta!B95),Base_Bruta!B95,IF(MID(Base_Bruta!B95,5,1)="-",DATE(VALUE(LEFT(Base_Bruta!B95,4)),VALUE(MID(Base_Bruta!B95,6,2)),VALUE(RIGHT(Base_Bruta!B95,2))),DATE(VALUE(RIGHT(Base_Bruta!B95,4)),VALUE(MID(Base_Bruta!B95,4,2)),VALUE(LEFT(Base_Bruta!B95,2))))))</f>
        <v>45824</v>
      </c>
      <c r="C95" s="5" t="n">
        <f aca="false">IF($A95="","",IF(ISNUMBER(Base_Bruta!C95),Base_Bruta!C95,IF(MID(Base_Bruta!C95,5,1)="-",DATE(VALUE(LEFT(Base_Bruta!C95,4)),VALUE(MID(Base_Bruta!C95,6,2)),VALUE(RIGHT(Base_Bruta!C95,2))),DATE(VALUE(RIGHT(Base_Bruta!C95,4)),VALUE(MID(Base_Bruta!C95,4,2)),VALUE(LEFT(Base_Bruta!C95,2))))))</f>
        <v>45934</v>
      </c>
      <c r="D95" s="4" t="str">
        <f aca="false">IF($A95="","",TRIM(Base_Bruta!D95))</f>
        <v>Turnê Internacional Pop - SP</v>
      </c>
      <c r="E95" s="4" t="str">
        <f aca="false">IF($A95="","",_xlfn.XLOOKUP(LOWER(TRIM(Base_Bruta!E95)),DePara_Categoria!$A$2:$A$9,DePara_Categoria!$B$2:$B$9,"REVISAR"))</f>
        <v>Show</v>
      </c>
      <c r="F95" s="4" t="str">
        <f aca="false">IF($A95="","",_xlfn.XLOOKUP(LOWER(TRIM(Base_Bruta!F95)),DePara_Cidade!$A$2:$A$29,DePara_Cidade!$B$2:$B$29,"REVISAR"))</f>
        <v>São Paulo</v>
      </c>
      <c r="G95" s="4" t="str">
        <f aca="false">IF($A95="","",TRIM(Base_Bruta!G95))</f>
        <v>Meia</v>
      </c>
      <c r="H95" s="4" t="n">
        <f aca="false">IF($A95="","",IF(ISNUMBER(Base_Bruta!H95),Base_Bruta!H95,IFERROR(_xlfn.NUMBERVALUE(TRIM(SUBSTITUTE(Base_Bruta!H95,"R$","")),",","."),0)))</f>
        <v>2</v>
      </c>
      <c r="I95" s="6" t="n">
        <f aca="false">IF($A95="","",IF(ISNUMBER(Base_Bruta!I95),Base_Bruta!I95,IFERROR(_xlfn.NUMBERVALUE(TRIM(SUBSTITUTE(Base_Bruta!I95,"R$","")),",","."),0)))</f>
        <v>235</v>
      </c>
      <c r="J95" s="6" t="n">
        <f aca="false">IF($A95="","",H95*I95)</f>
        <v>470</v>
      </c>
      <c r="K95" s="4" t="str">
        <f aca="false">IF($A95="","",TRIM(Base_Bruta!J95))</f>
        <v>Site</v>
      </c>
      <c r="L95" s="4" t="str">
        <f aca="false">IF($A95="","",TRIM(Base_Bruta!K95))</f>
        <v>C01278</v>
      </c>
      <c r="M95" s="4" t="str">
        <f aca="false">IF($A95="","",_xlfn.XLOOKUP(LOWER(TRIM(Base_Bruta!L95)),DePara_Cidade!$A$2:$A$29,DePara_Cidade!$B$2:$B$29,"REVISAR"))</f>
        <v>São Paulo</v>
      </c>
      <c r="N95" s="4" t="str">
        <f aca="false">IF($A95="","",UPPER(TRIM(Base_Bruta!M95)))</f>
        <v>SP</v>
      </c>
      <c r="O95" s="4" t="str">
        <f aca="false">IF($A95="","",_xlfn.XLOOKUP(LOWER(TRIM(Base_Bruta!N95)),DePara_Pais!$A$2:$A$9,DePara_Pais!$B$2:$B$9,"REVISAR"))</f>
        <v>Brasil</v>
      </c>
      <c r="P95" s="4" t="str">
        <f aca="false">IF($A95="","",IF(O95&lt;&gt;"Brasil","Turista Internacional",IF(M95=F95,"Local","Turista Nacional")))</f>
        <v>Local</v>
      </c>
      <c r="Q95" s="7" t="n">
        <f aca="false">IF($A95="","",DATE(YEAR(B95),MONTH(B95),1))</f>
        <v>45809</v>
      </c>
      <c r="R95" s="4" t="str">
        <f aca="false">IF($A95="","",IF(COUNTIF($A$2:$A95,$A95)&gt;1,"Sim","Não"))</f>
        <v>Não</v>
      </c>
      <c r="S95" s="4" t="str">
        <f aca="false">IF(A95="","Descartar - Linha vazia",IF(R95="Sim","Descartar - Duplicado",IF(OR(H95&lt;=0,I95&lt;=0),"Descartar - Qtd/Valor inválido","OK")))</f>
        <v>OK</v>
      </c>
      <c r="T95" s="4" t="str">
        <f aca="false">Base_Bruta!P95</f>
        <v>vendas_SP.xlsx</v>
      </c>
    </row>
    <row r="96" customFormat="false" ht="15" hidden="false" customHeight="false" outlineLevel="0" collapsed="false">
      <c r="A96" s="4" t="str">
        <f aca="false">IF(Base_Bruta!A96="","",Base_Bruta!A96)</f>
        <v>SP-000469</v>
      </c>
      <c r="B96" s="5" t="n">
        <f aca="false">IF($A96="","",IF(ISNUMBER(Base_Bruta!B96),Base_Bruta!B96,IF(MID(Base_Bruta!B96,5,1)="-",DATE(VALUE(LEFT(Base_Bruta!B96,4)),VALUE(MID(Base_Bruta!B96,6,2)),VALUE(RIGHT(Base_Bruta!B96,2))),DATE(VALUE(RIGHT(Base_Bruta!B96,4)),VALUE(MID(Base_Bruta!B96,4,2)),VALUE(LEFT(Base_Bruta!B96,2))))))</f>
        <v>45825</v>
      </c>
      <c r="C96" s="5" t="n">
        <f aca="false">IF($A96="","",IF(ISNUMBER(Base_Bruta!C96),Base_Bruta!C96,IF(MID(Base_Bruta!C96,5,1)="-",DATE(VALUE(LEFT(Base_Bruta!C96,4)),VALUE(MID(Base_Bruta!C96,6,2)),VALUE(RIGHT(Base_Bruta!C96,2))),DATE(VALUE(RIGHT(Base_Bruta!C96,4)),VALUE(MID(Base_Bruta!C96,4,2)),VALUE(LEFT(Base_Bruta!C96,2))))))</f>
        <v>45934</v>
      </c>
      <c r="D96" s="4" t="str">
        <f aca="false">IF($A96="","",TRIM(Base_Bruta!D96))</f>
        <v>Turnê Internacional Pop - SP</v>
      </c>
      <c r="E96" s="4" t="str">
        <f aca="false">IF($A96="","",_xlfn.XLOOKUP(LOWER(TRIM(Base_Bruta!E96)),DePara_Categoria!$A$2:$A$9,DePara_Categoria!$B$2:$B$9,"REVISAR"))</f>
        <v>Show</v>
      </c>
      <c r="F96" s="4" t="str">
        <f aca="false">IF($A96="","",_xlfn.XLOOKUP(LOWER(TRIM(Base_Bruta!F96)),DePara_Cidade!$A$2:$A$29,DePara_Cidade!$B$2:$B$29,"REVISAR"))</f>
        <v>São Paulo</v>
      </c>
      <c r="G96" s="4" t="str">
        <f aca="false">IF($A96="","",TRIM(Base_Bruta!G96))</f>
        <v>Meia</v>
      </c>
      <c r="H96" s="4" t="n">
        <f aca="false">IF($A96="","",IF(ISNUMBER(Base_Bruta!H96),Base_Bruta!H96,IFERROR(_xlfn.NUMBERVALUE(TRIM(SUBSTITUTE(Base_Bruta!H96,"R$","")),",","."),0)))</f>
        <v>2</v>
      </c>
      <c r="I96" s="6" t="n">
        <f aca="false">IF($A96="","",IF(ISNUMBER(Base_Bruta!I96),Base_Bruta!I96,IFERROR(_xlfn.NUMBERVALUE(TRIM(SUBSTITUTE(Base_Bruta!I96,"R$","")),",","."),0)))</f>
        <v>185</v>
      </c>
      <c r="J96" s="6" t="n">
        <f aca="false">IF($A96="","",H96*I96)</f>
        <v>370</v>
      </c>
      <c r="K96" s="4" t="str">
        <f aca="false">IF($A96="","",TRIM(Base_Bruta!J96))</f>
        <v>Parceiro</v>
      </c>
      <c r="L96" s="4" t="str">
        <f aca="false">IF($A96="","",TRIM(Base_Bruta!K96))</f>
        <v>C02286</v>
      </c>
      <c r="M96" s="4" t="str">
        <f aca="false">IF($A96="","",_xlfn.XLOOKUP(LOWER(TRIM(Base_Bruta!L96)),DePara_Cidade!$A$2:$A$29,DePara_Cidade!$B$2:$B$29,"REVISAR"))</f>
        <v>Campinas</v>
      </c>
      <c r="N96" s="4" t="str">
        <f aca="false">IF($A96="","",UPPER(TRIM(Base_Bruta!M96)))</f>
        <v>SP</v>
      </c>
      <c r="O96" s="4" t="str">
        <f aca="false">IF($A96="","",_xlfn.XLOOKUP(LOWER(TRIM(Base_Bruta!N96)),DePara_Pais!$A$2:$A$9,DePara_Pais!$B$2:$B$9,"REVISAR"))</f>
        <v>Brasil</v>
      </c>
      <c r="P96" s="4" t="str">
        <f aca="false">IF($A96="","",IF(O96&lt;&gt;"Brasil","Turista Internacional",IF(M96=F96,"Local","Turista Nacional")))</f>
        <v>Turista Nacional</v>
      </c>
      <c r="Q96" s="7" t="n">
        <f aca="false">IF($A96="","",DATE(YEAR(B96),MONTH(B96),1))</f>
        <v>45809</v>
      </c>
      <c r="R96" s="4" t="str">
        <f aca="false">IF($A96="","",IF(COUNTIF($A$2:$A96,$A96)&gt;1,"Sim","Não"))</f>
        <v>Não</v>
      </c>
      <c r="S96" s="4" t="str">
        <f aca="false">IF(A96="","Descartar - Linha vazia",IF(R96="Sim","Descartar - Duplicado",IF(OR(H96&lt;=0,I96&lt;=0),"Descartar - Qtd/Valor inválido","OK")))</f>
        <v>OK</v>
      </c>
      <c r="T96" s="4" t="str">
        <f aca="false">Base_Bruta!P96</f>
        <v>vendas_SP.xlsx</v>
      </c>
    </row>
    <row r="97" customFormat="false" ht="15" hidden="false" customHeight="false" outlineLevel="0" collapsed="false">
      <c r="A97" s="4" t="str">
        <f aca="false">IF(Base_Bruta!A97="","",Base_Bruta!A97)</f>
        <v>SP-000487</v>
      </c>
      <c r="B97" s="5" t="n">
        <f aca="false">IF($A97="","",IF(ISNUMBER(Base_Bruta!B97),Base_Bruta!B97,IF(MID(Base_Bruta!B97,5,1)="-",DATE(VALUE(LEFT(Base_Bruta!B97,4)),VALUE(MID(Base_Bruta!B97,6,2)),VALUE(RIGHT(Base_Bruta!B97,2))),DATE(VALUE(RIGHT(Base_Bruta!B97,4)),VALUE(MID(Base_Bruta!B97,4,2)),VALUE(LEFT(Base_Bruta!B97,2))))))</f>
        <v>45825</v>
      </c>
      <c r="C97" s="5" t="n">
        <f aca="false">IF($A97="","",IF(ISNUMBER(Base_Bruta!C97),Base_Bruta!C97,IF(MID(Base_Bruta!C97,5,1)="-",DATE(VALUE(LEFT(Base_Bruta!C97,4)),VALUE(MID(Base_Bruta!C97,6,2)),VALUE(RIGHT(Base_Bruta!C97,2))),DATE(VALUE(RIGHT(Base_Bruta!C97,4)),VALUE(MID(Base_Bruta!C97,4,2)),VALUE(LEFT(Base_Bruta!C97,2))))))</f>
        <v>45934</v>
      </c>
      <c r="D97" s="4" t="str">
        <f aca="false">IF($A97="","",TRIM(Base_Bruta!D97))</f>
        <v>Turnê Internacional Pop - SP</v>
      </c>
      <c r="E97" s="4" t="str">
        <f aca="false">IF($A97="","",_xlfn.XLOOKUP(LOWER(TRIM(Base_Bruta!E97)),DePara_Categoria!$A$2:$A$9,DePara_Categoria!$B$2:$B$9,"REVISAR"))</f>
        <v>Show</v>
      </c>
      <c r="F97" s="4" t="str">
        <f aca="false">IF($A97="","",_xlfn.XLOOKUP(LOWER(TRIM(Base_Bruta!F97)),DePara_Cidade!$A$2:$A$29,DePara_Cidade!$B$2:$B$29,"REVISAR"))</f>
        <v>São Paulo</v>
      </c>
      <c r="G97" s="4" t="str">
        <f aca="false">IF($A97="","",TRIM(Base_Bruta!G97))</f>
        <v>Inteira</v>
      </c>
      <c r="H97" s="4" t="n">
        <f aca="false">IF($A97="","",IF(ISNUMBER(Base_Bruta!H97),Base_Bruta!H97,IFERROR(_xlfn.NUMBERVALUE(TRIM(SUBSTITUTE(Base_Bruta!H97,"R$","")),",","."),0)))</f>
        <v>1</v>
      </c>
      <c r="I97" s="6" t="n">
        <f aca="false">IF($A97="","",IF(ISNUMBER(Base_Bruta!I97),Base_Bruta!I97,IFERROR(_xlfn.NUMBERVALUE(TRIM(SUBSTITUTE(Base_Bruta!I97,"R$","")),",","."),0)))</f>
        <v>410</v>
      </c>
      <c r="J97" s="6" t="n">
        <f aca="false">IF($A97="","",H97*I97)</f>
        <v>410</v>
      </c>
      <c r="K97" s="4" t="str">
        <f aca="false">IF($A97="","",TRIM(Base_Bruta!J97))</f>
        <v>App</v>
      </c>
      <c r="L97" s="4" t="str">
        <f aca="false">IF($A97="","",TRIM(Base_Bruta!K97))</f>
        <v>C01017</v>
      </c>
      <c r="M97" s="4" t="str">
        <f aca="false">IF($A97="","",_xlfn.XLOOKUP(LOWER(TRIM(Base_Bruta!L97)),DePara_Cidade!$A$2:$A$29,DePara_Cidade!$B$2:$B$29,"REVISAR"))</f>
        <v>São Paulo</v>
      </c>
      <c r="N97" s="4" t="str">
        <f aca="false">IF($A97="","",UPPER(TRIM(Base_Bruta!M97)))</f>
        <v>SP</v>
      </c>
      <c r="O97" s="4" t="str">
        <f aca="false">IF($A97="","",_xlfn.XLOOKUP(LOWER(TRIM(Base_Bruta!N97)),DePara_Pais!$A$2:$A$9,DePara_Pais!$B$2:$B$9,"REVISAR"))</f>
        <v>Brasil</v>
      </c>
      <c r="P97" s="4" t="str">
        <f aca="false">IF($A97="","",IF(O97&lt;&gt;"Brasil","Turista Internacional",IF(M97=F97,"Local","Turista Nacional")))</f>
        <v>Local</v>
      </c>
      <c r="Q97" s="7" t="n">
        <f aca="false">IF($A97="","",DATE(YEAR(B97),MONTH(B97),1))</f>
        <v>45809</v>
      </c>
      <c r="R97" s="4" t="str">
        <f aca="false">IF($A97="","",IF(COUNTIF($A$2:$A97,$A97)&gt;1,"Sim","Não"))</f>
        <v>Não</v>
      </c>
      <c r="S97" s="4" t="str">
        <f aca="false">IF(A97="","Descartar - Linha vazia",IF(R97="Sim","Descartar - Duplicado",IF(OR(H97&lt;=0,I97&lt;=0),"Descartar - Qtd/Valor inválido","OK")))</f>
        <v>OK</v>
      </c>
      <c r="T97" s="4" t="str">
        <f aca="false">Base_Bruta!P97</f>
        <v>vendas_SP.xlsx</v>
      </c>
    </row>
    <row r="98" customFormat="false" ht="15" hidden="false" customHeight="false" outlineLevel="0" collapsed="false">
      <c r="A98" s="4" t="str">
        <f aca="false">IF(Base_Bruta!A98="","",Base_Bruta!A98)</f>
        <v>SP-000500</v>
      </c>
      <c r="B98" s="5" t="n">
        <f aca="false">IF($A98="","",IF(ISNUMBER(Base_Bruta!B98),Base_Bruta!B98,IF(MID(Base_Bruta!B98,5,1)="-",DATE(VALUE(LEFT(Base_Bruta!B98,4)),VALUE(MID(Base_Bruta!B98,6,2)),VALUE(RIGHT(Base_Bruta!B98,2))),DATE(VALUE(RIGHT(Base_Bruta!B98,4)),VALUE(MID(Base_Bruta!B98,4,2)),VALUE(LEFT(Base_Bruta!B98,2))))))</f>
        <v>45825</v>
      </c>
      <c r="C98" s="5" t="n">
        <f aca="false">IF($A98="","",IF(ISNUMBER(Base_Bruta!C98),Base_Bruta!C98,IF(MID(Base_Bruta!C98,5,1)="-",DATE(VALUE(LEFT(Base_Bruta!C98,4)),VALUE(MID(Base_Bruta!C98,6,2)),VALUE(RIGHT(Base_Bruta!C98,2))),DATE(VALUE(RIGHT(Base_Bruta!C98,4)),VALUE(MID(Base_Bruta!C98,4,2)),VALUE(LEFT(Base_Bruta!C98,2))))))</f>
        <v>45934</v>
      </c>
      <c r="D98" s="4" t="str">
        <f aca="false">IF($A98="","",TRIM(Base_Bruta!D98))</f>
        <v>Turnê Internacional Pop - SP</v>
      </c>
      <c r="E98" s="4" t="str">
        <f aca="false">IF($A98="","",_xlfn.XLOOKUP(LOWER(TRIM(Base_Bruta!E98)),DePara_Categoria!$A$2:$A$9,DePara_Categoria!$B$2:$B$9,"REVISAR"))</f>
        <v>Show</v>
      </c>
      <c r="F98" s="4" t="str">
        <f aca="false">IF($A98="","",_xlfn.XLOOKUP(LOWER(TRIM(Base_Bruta!F98)),DePara_Cidade!$A$2:$A$29,DePara_Cidade!$B$2:$B$29,"REVISAR"))</f>
        <v>São Paulo</v>
      </c>
      <c r="G98" s="4" t="str">
        <f aca="false">IF($A98="","",TRIM(Base_Bruta!G98))</f>
        <v>Inteira</v>
      </c>
      <c r="H98" s="4" t="n">
        <f aca="false">IF($A98="","",IF(ISNUMBER(Base_Bruta!H98),Base_Bruta!H98,IFERROR(_xlfn.NUMBERVALUE(TRIM(SUBSTITUTE(Base_Bruta!H98,"R$","")),",","."),0)))</f>
        <v>1</v>
      </c>
      <c r="I98" s="6" t="n">
        <f aca="false">IF($A98="","",IF(ISNUMBER(Base_Bruta!I98),Base_Bruta!I98,IFERROR(_xlfn.NUMBERVALUE(TRIM(SUBSTITUTE(Base_Bruta!I98,"R$","")),",","."),0)))</f>
        <v>505</v>
      </c>
      <c r="J98" s="6" t="n">
        <f aca="false">IF($A98="","",H98*I98)</f>
        <v>505</v>
      </c>
      <c r="K98" s="4" t="str">
        <f aca="false">IF($A98="","",TRIM(Base_Bruta!J98))</f>
        <v>Bilheteria</v>
      </c>
      <c r="L98" s="4" t="str">
        <f aca="false">IF($A98="","",TRIM(Base_Bruta!K98))</f>
        <v>C00733</v>
      </c>
      <c r="M98" s="4" t="str">
        <f aca="false">IF($A98="","",_xlfn.XLOOKUP(LOWER(TRIM(Base_Bruta!L98)),DePara_Cidade!$A$2:$A$29,DePara_Cidade!$B$2:$B$29,"REVISAR"))</f>
        <v>Campinas</v>
      </c>
      <c r="N98" s="4" t="str">
        <f aca="false">IF($A98="","",UPPER(TRIM(Base_Bruta!M98)))</f>
        <v>SP</v>
      </c>
      <c r="O98" s="4" t="str">
        <f aca="false">IF($A98="","",_xlfn.XLOOKUP(LOWER(TRIM(Base_Bruta!N98)),DePara_Pais!$A$2:$A$9,DePara_Pais!$B$2:$B$9,"REVISAR"))</f>
        <v>Brasil</v>
      </c>
      <c r="P98" s="4" t="str">
        <f aca="false">IF($A98="","",IF(O98&lt;&gt;"Brasil","Turista Internacional",IF(M98=F98,"Local","Turista Nacional")))</f>
        <v>Turista Nacional</v>
      </c>
      <c r="Q98" s="7" t="n">
        <f aca="false">IF($A98="","",DATE(YEAR(B98),MONTH(B98),1))</f>
        <v>45809</v>
      </c>
      <c r="R98" s="4" t="str">
        <f aca="false">IF($A98="","",IF(COUNTIF($A$2:$A98,$A98)&gt;1,"Sim","Não"))</f>
        <v>Não</v>
      </c>
      <c r="S98" s="4" t="str">
        <f aca="false">IF(A98="","Descartar - Linha vazia",IF(R98="Sim","Descartar - Duplicado",IF(OR(H98&lt;=0,I98&lt;=0),"Descartar - Qtd/Valor inválido","OK")))</f>
        <v>OK</v>
      </c>
      <c r="T98" s="4" t="str">
        <f aca="false">Base_Bruta!P98</f>
        <v>vendas_SP.xlsx</v>
      </c>
    </row>
    <row r="99" customFormat="false" ht="15" hidden="false" customHeight="false" outlineLevel="0" collapsed="false">
      <c r="A99" s="4" t="str">
        <f aca="false">IF(Base_Bruta!A99="","",Base_Bruta!A99)</f>
        <v>SP-000523</v>
      </c>
      <c r="B99" s="5" t="n">
        <f aca="false">IF($A99="","",IF(ISNUMBER(Base_Bruta!B99),Base_Bruta!B99,IF(MID(Base_Bruta!B99,5,1)="-",DATE(VALUE(LEFT(Base_Bruta!B99,4)),VALUE(MID(Base_Bruta!B99,6,2)),VALUE(RIGHT(Base_Bruta!B99,2))),DATE(VALUE(RIGHT(Base_Bruta!B99,4)),VALUE(MID(Base_Bruta!B99,4,2)),VALUE(LEFT(Base_Bruta!B99,2))))))</f>
        <v>45825</v>
      </c>
      <c r="C99" s="5" t="n">
        <f aca="false">IF($A99="","",IF(ISNUMBER(Base_Bruta!C99),Base_Bruta!C99,IF(MID(Base_Bruta!C99,5,1)="-",DATE(VALUE(LEFT(Base_Bruta!C99,4)),VALUE(MID(Base_Bruta!C99,6,2)),VALUE(RIGHT(Base_Bruta!C99,2))),DATE(VALUE(RIGHT(Base_Bruta!C99,4)),VALUE(MID(Base_Bruta!C99,4,2)),VALUE(LEFT(Base_Bruta!C99,2))))))</f>
        <v>45934</v>
      </c>
      <c r="D99" s="4" t="str">
        <f aca="false">IF($A99="","",TRIM(Base_Bruta!D99))</f>
        <v>Turnê Internacional Pop - SP</v>
      </c>
      <c r="E99" s="4" t="str">
        <f aca="false">IF($A99="","",_xlfn.XLOOKUP(LOWER(TRIM(Base_Bruta!E99)),DePara_Categoria!$A$2:$A$9,DePara_Categoria!$B$2:$B$9,"REVISAR"))</f>
        <v>Show</v>
      </c>
      <c r="F99" s="4" t="str">
        <f aca="false">IF($A99="","",_xlfn.XLOOKUP(LOWER(TRIM(Base_Bruta!F99)),DePara_Cidade!$A$2:$A$29,DePara_Cidade!$B$2:$B$29,"REVISAR"))</f>
        <v>São Paulo</v>
      </c>
      <c r="G99" s="4" t="str">
        <f aca="false">IF($A99="","",TRIM(Base_Bruta!G99))</f>
        <v>Inteira</v>
      </c>
      <c r="H99" s="4" t="n">
        <f aca="false">IF($A99="","",IF(ISNUMBER(Base_Bruta!H99),Base_Bruta!H99,IFERROR(_xlfn.NUMBERVALUE(TRIM(SUBSTITUTE(Base_Bruta!H99,"R$","")),",","."),0)))</f>
        <v>3</v>
      </c>
      <c r="I99" s="6" t="n">
        <f aca="false">IF($A99="","",IF(ISNUMBER(Base_Bruta!I99),Base_Bruta!I99,IFERROR(_xlfn.NUMBERVALUE(TRIM(SUBSTITUTE(Base_Bruta!I99,"R$","")),",","."),0)))</f>
        <v>755</v>
      </c>
      <c r="J99" s="6" t="n">
        <f aca="false">IF($A99="","",H99*I99)</f>
        <v>2265</v>
      </c>
      <c r="K99" s="4" t="str">
        <f aca="false">IF($A99="","",TRIM(Base_Bruta!J99))</f>
        <v>Site</v>
      </c>
      <c r="L99" s="4" t="str">
        <f aca="false">IF($A99="","",TRIM(Base_Bruta!K99))</f>
        <v>C00773</v>
      </c>
      <c r="M99" s="4" t="str">
        <f aca="false">IF($A99="","",_xlfn.XLOOKUP(LOWER(TRIM(Base_Bruta!L99)),DePara_Cidade!$A$2:$A$29,DePara_Cidade!$B$2:$B$29,"REVISAR"))</f>
        <v>São Paulo</v>
      </c>
      <c r="N99" s="4" t="str">
        <f aca="false">IF($A99="","",UPPER(TRIM(Base_Bruta!M99)))</f>
        <v>SP</v>
      </c>
      <c r="O99" s="4" t="str">
        <f aca="false">IF($A99="","",_xlfn.XLOOKUP(LOWER(TRIM(Base_Bruta!N99)),DePara_Pais!$A$2:$A$9,DePara_Pais!$B$2:$B$9,"REVISAR"))</f>
        <v>Brasil</v>
      </c>
      <c r="P99" s="4" t="str">
        <f aca="false">IF($A99="","",IF(O99&lt;&gt;"Brasil","Turista Internacional",IF(M99=F99,"Local","Turista Nacional")))</f>
        <v>Local</v>
      </c>
      <c r="Q99" s="7" t="n">
        <f aca="false">IF($A99="","",DATE(YEAR(B99),MONTH(B99),1))</f>
        <v>45809</v>
      </c>
      <c r="R99" s="4" t="str">
        <f aca="false">IF($A99="","",IF(COUNTIF($A$2:$A99,$A99)&gt;1,"Sim","Não"))</f>
        <v>Não</v>
      </c>
      <c r="S99" s="4" t="str">
        <f aca="false">IF(A99="","Descartar - Linha vazia",IF(R99="Sim","Descartar - Duplicado",IF(OR(H99&lt;=0,I99&lt;=0),"Descartar - Qtd/Valor inválido","OK")))</f>
        <v>OK</v>
      </c>
      <c r="T99" s="4" t="str">
        <f aca="false">Base_Bruta!P99</f>
        <v>vendas_SP.xlsx</v>
      </c>
    </row>
    <row r="100" customFormat="false" ht="15" hidden="false" customHeight="false" outlineLevel="0" collapsed="false">
      <c r="A100" s="4" t="str">
        <f aca="false">IF(Base_Bruta!A100="","",Base_Bruta!A100)</f>
        <v>SP-000540</v>
      </c>
      <c r="B100" s="5" t="n">
        <f aca="false">IF($A100="","",IF(ISNUMBER(Base_Bruta!B100),Base_Bruta!B100,IF(MID(Base_Bruta!B100,5,1)="-",DATE(VALUE(LEFT(Base_Bruta!B100,4)),VALUE(MID(Base_Bruta!B100,6,2)),VALUE(RIGHT(Base_Bruta!B100,2))),DATE(VALUE(RIGHT(Base_Bruta!B100,4)),VALUE(MID(Base_Bruta!B100,4,2)),VALUE(LEFT(Base_Bruta!B100,2))))))</f>
        <v>45825</v>
      </c>
      <c r="C100" s="5" t="n">
        <f aca="false">IF($A100="","",IF(ISNUMBER(Base_Bruta!C100),Base_Bruta!C100,IF(MID(Base_Bruta!C100,5,1)="-",DATE(VALUE(LEFT(Base_Bruta!C100,4)),VALUE(MID(Base_Bruta!C100,6,2)),VALUE(RIGHT(Base_Bruta!C100,2))),DATE(VALUE(RIGHT(Base_Bruta!C100,4)),VALUE(MID(Base_Bruta!C100,4,2)),VALUE(LEFT(Base_Bruta!C100,2))))))</f>
        <v>45934</v>
      </c>
      <c r="D100" s="4" t="str">
        <f aca="false">IF($A100="","",TRIM(Base_Bruta!D100))</f>
        <v>Turnê Internacional Pop - SP</v>
      </c>
      <c r="E100" s="4" t="str">
        <f aca="false">IF($A100="","",_xlfn.XLOOKUP(LOWER(TRIM(Base_Bruta!E100)),DePara_Categoria!$A$2:$A$9,DePara_Categoria!$B$2:$B$9,"REVISAR"))</f>
        <v>Show</v>
      </c>
      <c r="F100" s="4" t="str">
        <f aca="false">IF($A100="","",_xlfn.XLOOKUP(LOWER(TRIM(Base_Bruta!F100)),DePara_Cidade!$A$2:$A$29,DePara_Cidade!$B$2:$B$29,"REVISAR"))</f>
        <v>São Paulo</v>
      </c>
      <c r="G100" s="4" t="str">
        <f aca="false">IF($A100="","",TRIM(Base_Bruta!G100))</f>
        <v>Inteira</v>
      </c>
      <c r="H100" s="4" t="n">
        <f aca="false">IF($A100="","",IF(ISNUMBER(Base_Bruta!H100),Base_Bruta!H100,IFERROR(_xlfn.NUMBERVALUE(TRIM(SUBSTITUTE(Base_Bruta!H100,"R$","")),",","."),0)))</f>
        <v>1</v>
      </c>
      <c r="I100" s="6" t="n">
        <f aca="false">IF($A100="","",IF(ISNUMBER(Base_Bruta!I100),Base_Bruta!I100,IFERROR(_xlfn.NUMBERVALUE(TRIM(SUBSTITUTE(Base_Bruta!I100,"R$","")),",","."),0)))</f>
        <v>630</v>
      </c>
      <c r="J100" s="6" t="n">
        <f aca="false">IF($A100="","",H100*I100)</f>
        <v>630</v>
      </c>
      <c r="K100" s="4" t="str">
        <f aca="false">IF($A100="","",TRIM(Base_Bruta!J100))</f>
        <v>Parceiro</v>
      </c>
      <c r="L100" s="4" t="str">
        <f aca="false">IF($A100="","",TRIM(Base_Bruta!K100))</f>
        <v>C01076</v>
      </c>
      <c r="M100" s="4" t="str">
        <f aca="false">IF($A100="","",_xlfn.XLOOKUP(LOWER(TRIM(Base_Bruta!L100)),DePara_Cidade!$A$2:$A$29,DePara_Cidade!$B$2:$B$29,"REVISAR"))</f>
        <v>Florianópolis</v>
      </c>
      <c r="N100" s="4" t="str">
        <f aca="false">IF($A100="","",UPPER(TRIM(Base_Bruta!M100)))</f>
        <v>SC</v>
      </c>
      <c r="O100" s="4" t="str">
        <f aca="false">IF($A100="","",_xlfn.XLOOKUP(LOWER(TRIM(Base_Bruta!N100)),DePara_Pais!$A$2:$A$9,DePara_Pais!$B$2:$B$9,"REVISAR"))</f>
        <v>Brasil</v>
      </c>
      <c r="P100" s="4" t="str">
        <f aca="false">IF($A100="","",IF(O100&lt;&gt;"Brasil","Turista Internacional",IF(M100=F100,"Local","Turista Nacional")))</f>
        <v>Turista Nacional</v>
      </c>
      <c r="Q100" s="7" t="n">
        <f aca="false">IF($A100="","",DATE(YEAR(B100),MONTH(B100),1))</f>
        <v>45809</v>
      </c>
      <c r="R100" s="4" t="str">
        <f aca="false">IF($A100="","",IF(COUNTIF($A$2:$A100,$A100)&gt;1,"Sim","Não"))</f>
        <v>Não</v>
      </c>
      <c r="S100" s="4" t="str">
        <f aca="false">IF(A100="","Descartar - Linha vazia",IF(R100="Sim","Descartar - Duplicado",IF(OR(H100&lt;=0,I100&lt;=0),"Descartar - Qtd/Valor inválido","OK")))</f>
        <v>OK</v>
      </c>
      <c r="T100" s="4" t="str">
        <f aca="false">Base_Bruta!P100</f>
        <v>vendas_SP.xlsx</v>
      </c>
    </row>
    <row r="101" customFormat="false" ht="15" hidden="false" customHeight="false" outlineLevel="0" collapsed="false">
      <c r="A101" s="4" t="str">
        <f aca="false">IF(Base_Bruta!A101="","",Base_Bruta!A101)</f>
        <v>SP-000495</v>
      </c>
      <c r="B101" s="5" t="n">
        <f aca="false">IF($A101="","",IF(ISNUMBER(Base_Bruta!B101),Base_Bruta!B101,IF(MID(Base_Bruta!B101,5,1)="-",DATE(VALUE(LEFT(Base_Bruta!B101,4)),VALUE(MID(Base_Bruta!B101,6,2)),VALUE(RIGHT(Base_Bruta!B101,2))),DATE(VALUE(RIGHT(Base_Bruta!B101,4)),VALUE(MID(Base_Bruta!B101,4,2)),VALUE(LEFT(Base_Bruta!B101,2))))))</f>
        <v>45826</v>
      </c>
      <c r="C101" s="5" t="n">
        <f aca="false">IF($A101="","",IF(ISNUMBER(Base_Bruta!C101),Base_Bruta!C101,IF(MID(Base_Bruta!C101,5,1)="-",DATE(VALUE(LEFT(Base_Bruta!C101,4)),VALUE(MID(Base_Bruta!C101,6,2)),VALUE(RIGHT(Base_Bruta!C101,2))),DATE(VALUE(RIGHT(Base_Bruta!C101,4)),VALUE(MID(Base_Bruta!C101,4,2)),VALUE(LEFT(Base_Bruta!C101,2))))))</f>
        <v>45934</v>
      </c>
      <c r="D101" s="4" t="str">
        <f aca="false">IF($A101="","",TRIM(Base_Bruta!D101))</f>
        <v>Turnê Internacional Pop - SP</v>
      </c>
      <c r="E101" s="4" t="str">
        <f aca="false">IF($A101="","",_xlfn.XLOOKUP(LOWER(TRIM(Base_Bruta!E101)),DePara_Categoria!$A$2:$A$9,DePara_Categoria!$B$2:$B$9,"REVISAR"))</f>
        <v>Show</v>
      </c>
      <c r="F101" s="4" t="str">
        <f aca="false">IF($A101="","",_xlfn.XLOOKUP(LOWER(TRIM(Base_Bruta!F101)),DePara_Cidade!$A$2:$A$29,DePara_Cidade!$B$2:$B$29,"REVISAR"))</f>
        <v>São Paulo</v>
      </c>
      <c r="G101" s="4" t="str">
        <f aca="false">IF($A101="","",TRIM(Base_Bruta!G101))</f>
        <v>Meia</v>
      </c>
      <c r="H101" s="4" t="n">
        <f aca="false">IF($A101="","",IF(ISNUMBER(Base_Bruta!H101),Base_Bruta!H101,IFERROR(_xlfn.NUMBERVALUE(TRIM(SUBSTITUTE(Base_Bruta!H101,"R$","")),",","."),0)))</f>
        <v>1</v>
      </c>
      <c r="I101" s="6" t="n">
        <f aca="false">IF($A101="","",IF(ISNUMBER(Base_Bruta!I101),Base_Bruta!I101,IFERROR(_xlfn.NUMBERVALUE(TRIM(SUBSTITUTE(Base_Bruta!I101,"R$","")),",","."),0)))</f>
        <v>127.5</v>
      </c>
      <c r="J101" s="6" t="n">
        <f aca="false">IF($A101="","",H101*I101)</f>
        <v>127.5</v>
      </c>
      <c r="K101" s="4" t="str">
        <f aca="false">IF($A101="","",TRIM(Base_Bruta!J101))</f>
        <v>App</v>
      </c>
      <c r="L101" s="4" t="str">
        <f aca="false">IF($A101="","",TRIM(Base_Bruta!K101))</f>
        <v>C00213</v>
      </c>
      <c r="M101" s="4" t="str">
        <f aca="false">IF($A101="","",_xlfn.XLOOKUP(LOWER(TRIM(Base_Bruta!L101)),DePara_Cidade!$A$2:$A$29,DePara_Cidade!$B$2:$B$29,"REVISAR"))</f>
        <v>São Paulo</v>
      </c>
      <c r="N101" s="4" t="str">
        <f aca="false">IF($A101="","",UPPER(TRIM(Base_Bruta!M101)))</f>
        <v>SP</v>
      </c>
      <c r="O101" s="4" t="str">
        <f aca="false">IF($A101="","",_xlfn.XLOOKUP(LOWER(TRIM(Base_Bruta!N101)),DePara_Pais!$A$2:$A$9,DePara_Pais!$B$2:$B$9,"REVISAR"))</f>
        <v>Brasil</v>
      </c>
      <c r="P101" s="4" t="str">
        <f aca="false">IF($A101="","",IF(O101&lt;&gt;"Brasil","Turista Internacional",IF(M101=F101,"Local","Turista Nacional")))</f>
        <v>Local</v>
      </c>
      <c r="Q101" s="7" t="n">
        <f aca="false">IF($A101="","",DATE(YEAR(B101),MONTH(B101),1))</f>
        <v>45809</v>
      </c>
      <c r="R101" s="4" t="str">
        <f aca="false">IF($A101="","",IF(COUNTIF($A$2:$A101,$A101)&gt;1,"Sim","Não"))</f>
        <v>Não</v>
      </c>
      <c r="S101" s="4" t="str">
        <f aca="false">IF(A101="","Descartar - Linha vazia",IF(R101="Sim","Descartar - Duplicado",IF(OR(H101&lt;=0,I101&lt;=0),"Descartar - Qtd/Valor inválido","OK")))</f>
        <v>OK</v>
      </c>
      <c r="T101" s="4" t="str">
        <f aca="false">Base_Bruta!P101</f>
        <v>vendas_SP.xlsx</v>
      </c>
    </row>
    <row r="102" customFormat="false" ht="15" hidden="false" customHeight="false" outlineLevel="0" collapsed="false">
      <c r="A102" s="4" t="str">
        <f aca="false">IF(Base_Bruta!A102="","",Base_Bruta!A102)</f>
        <v>SP-000534</v>
      </c>
      <c r="B102" s="5" t="n">
        <f aca="false">IF($A102="","",IF(ISNUMBER(Base_Bruta!B102),Base_Bruta!B102,IF(MID(Base_Bruta!B102,5,1)="-",DATE(VALUE(LEFT(Base_Bruta!B102,4)),VALUE(MID(Base_Bruta!B102,6,2)),VALUE(RIGHT(Base_Bruta!B102,2))),DATE(VALUE(RIGHT(Base_Bruta!B102,4)),VALUE(MID(Base_Bruta!B102,4,2)),VALUE(LEFT(Base_Bruta!B102,2))))))</f>
        <v>45826</v>
      </c>
      <c r="C102" s="5" t="n">
        <f aca="false">IF($A102="","",IF(ISNUMBER(Base_Bruta!C102),Base_Bruta!C102,IF(MID(Base_Bruta!C102,5,1)="-",DATE(VALUE(LEFT(Base_Bruta!C102,4)),VALUE(MID(Base_Bruta!C102,6,2)),VALUE(RIGHT(Base_Bruta!C102,2))),DATE(VALUE(RIGHT(Base_Bruta!C102,4)),VALUE(MID(Base_Bruta!C102,4,2)),VALUE(LEFT(Base_Bruta!C102,2))))))</f>
        <v>45934</v>
      </c>
      <c r="D102" s="4" t="str">
        <f aca="false">IF($A102="","",TRIM(Base_Bruta!D102))</f>
        <v>Turnê Internacional Pop - SP</v>
      </c>
      <c r="E102" s="4" t="str">
        <f aca="false">IF($A102="","",_xlfn.XLOOKUP(LOWER(TRIM(Base_Bruta!E102)),DePara_Categoria!$A$2:$A$9,DePara_Categoria!$B$2:$B$9,"REVISAR"))</f>
        <v>Show</v>
      </c>
      <c r="F102" s="4" t="str">
        <f aca="false">IF($A102="","",_xlfn.XLOOKUP(LOWER(TRIM(Base_Bruta!F102)),DePara_Cidade!$A$2:$A$29,DePara_Cidade!$B$2:$B$29,"REVISAR"))</f>
        <v>São Paulo</v>
      </c>
      <c r="G102" s="4" t="str">
        <f aca="false">IF($A102="","",TRIM(Base_Bruta!G102))</f>
        <v>Inteira</v>
      </c>
      <c r="H102" s="4" t="n">
        <f aca="false">IF($A102="","",IF(ISNUMBER(Base_Bruta!H102),Base_Bruta!H102,IFERROR(_xlfn.NUMBERVALUE(TRIM(SUBSTITUTE(Base_Bruta!H102,"R$","")),",","."),0)))</f>
        <v>1</v>
      </c>
      <c r="I102" s="6" t="n">
        <f aca="false">IF($A102="","",IF(ISNUMBER(Base_Bruta!I102),Base_Bruta!I102,IFERROR(_xlfn.NUMBERVALUE(TRIM(SUBSTITUTE(Base_Bruta!I102,"R$","")),",","."),0)))</f>
        <v>335</v>
      </c>
      <c r="J102" s="6" t="n">
        <f aca="false">IF($A102="","",H102*I102)</f>
        <v>335</v>
      </c>
      <c r="K102" s="4" t="str">
        <f aca="false">IF($A102="","",TRIM(Base_Bruta!J102))</f>
        <v>App</v>
      </c>
      <c r="L102" s="4" t="str">
        <f aca="false">IF($A102="","",TRIM(Base_Bruta!K102))</f>
        <v>C00056</v>
      </c>
      <c r="M102" s="4" t="str">
        <f aca="false">IF($A102="","",_xlfn.XLOOKUP(LOWER(TRIM(Base_Bruta!L102)),DePara_Cidade!$A$2:$A$29,DePara_Cidade!$B$2:$B$29,"REVISAR"))</f>
        <v>Vitória</v>
      </c>
      <c r="N102" s="4" t="str">
        <f aca="false">IF($A102="","",UPPER(TRIM(Base_Bruta!M102)))</f>
        <v>ES</v>
      </c>
      <c r="O102" s="4" t="str">
        <f aca="false">IF($A102="","",_xlfn.XLOOKUP(LOWER(TRIM(Base_Bruta!N102)),DePara_Pais!$A$2:$A$9,DePara_Pais!$B$2:$B$9,"REVISAR"))</f>
        <v>Brasil</v>
      </c>
      <c r="P102" s="4" t="str">
        <f aca="false">IF($A102="","",IF(O102&lt;&gt;"Brasil","Turista Internacional",IF(M102=F102,"Local","Turista Nacional")))</f>
        <v>Turista Nacional</v>
      </c>
      <c r="Q102" s="7" t="n">
        <f aca="false">IF($A102="","",DATE(YEAR(B102),MONTH(B102),1))</f>
        <v>45809</v>
      </c>
      <c r="R102" s="4" t="str">
        <f aca="false">IF($A102="","",IF(COUNTIF($A$2:$A102,$A102)&gt;1,"Sim","Não"))</f>
        <v>Não</v>
      </c>
      <c r="S102" s="4" t="str">
        <f aca="false">IF(A102="","Descartar - Linha vazia",IF(R102="Sim","Descartar - Duplicado",IF(OR(H102&lt;=0,I102&lt;=0),"Descartar - Qtd/Valor inválido","OK")))</f>
        <v>OK</v>
      </c>
      <c r="T102" s="4" t="str">
        <f aca="false">Base_Bruta!P102</f>
        <v>vendas_SP.xlsx</v>
      </c>
    </row>
    <row r="103" customFormat="false" ht="15" hidden="false" customHeight="false" outlineLevel="0" collapsed="false">
      <c r="A103" s="4" t="str">
        <f aca="false">IF(Base_Bruta!A103="","",Base_Bruta!A103)</f>
        <v>SP-000561</v>
      </c>
      <c r="B103" s="5" t="n">
        <f aca="false">IF($A103="","",IF(ISNUMBER(Base_Bruta!B103),Base_Bruta!B103,IF(MID(Base_Bruta!B103,5,1)="-",DATE(VALUE(LEFT(Base_Bruta!B103,4)),VALUE(MID(Base_Bruta!B103,6,2)),VALUE(RIGHT(Base_Bruta!B103,2))),DATE(VALUE(RIGHT(Base_Bruta!B103,4)),VALUE(MID(Base_Bruta!B103,4,2)),VALUE(LEFT(Base_Bruta!B103,2))))))</f>
        <v>45826</v>
      </c>
      <c r="C103" s="5" t="n">
        <f aca="false">IF($A103="","",IF(ISNUMBER(Base_Bruta!C103),Base_Bruta!C103,IF(MID(Base_Bruta!C103,5,1)="-",DATE(VALUE(LEFT(Base_Bruta!C103,4)),VALUE(MID(Base_Bruta!C103,6,2)),VALUE(RIGHT(Base_Bruta!C103,2))),DATE(VALUE(RIGHT(Base_Bruta!C103,4)),VALUE(MID(Base_Bruta!C103,4,2)),VALUE(LEFT(Base_Bruta!C103,2))))))</f>
        <v>45934</v>
      </c>
      <c r="D103" s="4" t="str">
        <f aca="false">IF($A103="","",TRIM(Base_Bruta!D103))</f>
        <v>Turnê Internacional Pop - SP</v>
      </c>
      <c r="E103" s="4" t="str">
        <f aca="false">IF($A103="","",_xlfn.XLOOKUP(LOWER(TRIM(Base_Bruta!E103)),DePara_Categoria!$A$2:$A$9,DePara_Categoria!$B$2:$B$9,"REVISAR"))</f>
        <v>Show</v>
      </c>
      <c r="F103" s="4" t="str">
        <f aca="false">IF($A103="","",_xlfn.XLOOKUP(LOWER(TRIM(Base_Bruta!F103)),DePara_Cidade!$A$2:$A$29,DePara_Cidade!$B$2:$B$29,"REVISAR"))</f>
        <v>São Paulo</v>
      </c>
      <c r="G103" s="4" t="str">
        <f aca="false">IF($A103="","",TRIM(Base_Bruta!G103))</f>
        <v>Meia</v>
      </c>
      <c r="H103" s="4" t="n">
        <f aca="false">IF($A103="","",IF(ISNUMBER(Base_Bruta!H103),Base_Bruta!H103,IFERROR(_xlfn.NUMBERVALUE(TRIM(SUBSTITUTE(Base_Bruta!H103,"R$","")),",","."),0)))</f>
        <v>2</v>
      </c>
      <c r="I103" s="6" t="n">
        <f aca="false">IF($A103="","",IF(ISNUMBER(Base_Bruta!I103),Base_Bruta!I103,IFERROR(_xlfn.NUMBERVALUE(TRIM(SUBSTITUTE(Base_Bruta!I103,"R$","")),",","."),0)))</f>
        <v>192.5</v>
      </c>
      <c r="J103" s="6" t="n">
        <f aca="false">IF($A103="","",H103*I103)</f>
        <v>385</v>
      </c>
      <c r="K103" s="4" t="str">
        <f aca="false">IF($A103="","",TRIM(Base_Bruta!J103))</f>
        <v>App</v>
      </c>
      <c r="L103" s="4" t="str">
        <f aca="false">IF($A103="","",TRIM(Base_Bruta!K103))</f>
        <v>C00738</v>
      </c>
      <c r="M103" s="4" t="str">
        <f aca="false">IF($A103="","",_xlfn.XLOOKUP(LOWER(TRIM(Base_Bruta!L103)),DePara_Cidade!$A$2:$A$29,DePara_Cidade!$B$2:$B$29,"REVISAR"))</f>
        <v>São Paulo</v>
      </c>
      <c r="N103" s="4" t="str">
        <f aca="false">IF($A103="","",UPPER(TRIM(Base_Bruta!M103)))</f>
        <v>SP</v>
      </c>
      <c r="O103" s="4" t="str">
        <f aca="false">IF($A103="","",_xlfn.XLOOKUP(LOWER(TRIM(Base_Bruta!N103)),DePara_Pais!$A$2:$A$9,DePara_Pais!$B$2:$B$9,"REVISAR"))</f>
        <v>Brasil</v>
      </c>
      <c r="P103" s="4" t="str">
        <f aca="false">IF($A103="","",IF(O103&lt;&gt;"Brasil","Turista Internacional",IF(M103=F103,"Local","Turista Nacional")))</f>
        <v>Local</v>
      </c>
      <c r="Q103" s="7" t="n">
        <f aca="false">IF($A103="","",DATE(YEAR(B103),MONTH(B103),1))</f>
        <v>45809</v>
      </c>
      <c r="R103" s="4" t="str">
        <f aca="false">IF($A103="","",IF(COUNTIF($A$2:$A103,$A103)&gt;1,"Sim","Não"))</f>
        <v>Não</v>
      </c>
      <c r="S103" s="4" t="str">
        <f aca="false">IF(A103="","Descartar - Linha vazia",IF(R103="Sim","Descartar - Duplicado",IF(OR(H103&lt;=0,I103&lt;=0),"Descartar - Qtd/Valor inválido","OK")))</f>
        <v>OK</v>
      </c>
      <c r="T103" s="4" t="str">
        <f aca="false">Base_Bruta!P103</f>
        <v>vendas_SP.xlsx</v>
      </c>
    </row>
    <row r="104" customFormat="false" ht="15" hidden="false" customHeight="false" outlineLevel="0" collapsed="false">
      <c r="A104" s="4" t="str">
        <f aca="false">IF(Base_Bruta!A104="","",Base_Bruta!A104)</f>
        <v>SP-000584</v>
      </c>
      <c r="B104" s="5" t="n">
        <f aca="false">IF($A104="","",IF(ISNUMBER(Base_Bruta!B104),Base_Bruta!B104,IF(MID(Base_Bruta!B104,5,1)="-",DATE(VALUE(LEFT(Base_Bruta!B104,4)),VALUE(MID(Base_Bruta!B104,6,2)),VALUE(RIGHT(Base_Bruta!B104,2))),DATE(VALUE(RIGHT(Base_Bruta!B104,4)),VALUE(MID(Base_Bruta!B104,4,2)),VALUE(LEFT(Base_Bruta!B104,2))))))</f>
        <v>45827</v>
      </c>
      <c r="C104" s="5" t="n">
        <f aca="false">IF($A104="","",IF(ISNUMBER(Base_Bruta!C104),Base_Bruta!C104,IF(MID(Base_Bruta!C104,5,1)="-",DATE(VALUE(LEFT(Base_Bruta!C104,4)),VALUE(MID(Base_Bruta!C104,6,2)),VALUE(RIGHT(Base_Bruta!C104,2))),DATE(VALUE(RIGHT(Base_Bruta!C104,4)),VALUE(MID(Base_Bruta!C104,4,2)),VALUE(LEFT(Base_Bruta!C104,2))))))</f>
        <v>45934</v>
      </c>
      <c r="D104" s="4" t="str">
        <f aca="false">IF($A104="","",TRIM(Base_Bruta!D104))</f>
        <v>Turnê Internacional Pop - SP</v>
      </c>
      <c r="E104" s="4" t="str">
        <f aca="false">IF($A104="","",_xlfn.XLOOKUP(LOWER(TRIM(Base_Bruta!E104)),DePara_Categoria!$A$2:$A$9,DePara_Categoria!$B$2:$B$9,"REVISAR"))</f>
        <v>Show</v>
      </c>
      <c r="F104" s="4" t="str">
        <f aca="false">IF($A104="","",_xlfn.XLOOKUP(LOWER(TRIM(Base_Bruta!F104)),DePara_Cidade!$A$2:$A$29,DePara_Cidade!$B$2:$B$29,"REVISAR"))</f>
        <v>São Paulo</v>
      </c>
      <c r="G104" s="4" t="str">
        <f aca="false">IF($A104="","",TRIM(Base_Bruta!G104))</f>
        <v>Inteira</v>
      </c>
      <c r="H104" s="4" t="n">
        <f aca="false">IF($A104="","",IF(ISNUMBER(Base_Bruta!H104),Base_Bruta!H104,IFERROR(_xlfn.NUMBERVALUE(TRIM(SUBSTITUTE(Base_Bruta!H104,"R$","")),",","."),0)))</f>
        <v>3</v>
      </c>
      <c r="I104" s="6" t="n">
        <f aca="false">IF($A104="","",IF(ISNUMBER(Base_Bruta!I104),Base_Bruta!I104,IFERROR(_xlfn.NUMBERVALUE(TRIM(SUBSTITUTE(Base_Bruta!I104,"R$","")),",","."),0)))</f>
        <v>515</v>
      </c>
      <c r="J104" s="6" t="n">
        <f aca="false">IF($A104="","",H104*I104)</f>
        <v>1545</v>
      </c>
      <c r="K104" s="4" t="str">
        <f aca="false">IF($A104="","",TRIM(Base_Bruta!J104))</f>
        <v>Bilheteria</v>
      </c>
      <c r="L104" s="4" t="str">
        <f aca="false">IF($A104="","",TRIM(Base_Bruta!K104))</f>
        <v>C00534</v>
      </c>
      <c r="M104" s="4" t="str">
        <f aca="false">IF($A104="","",_xlfn.XLOOKUP(LOWER(TRIM(Base_Bruta!L104)),DePara_Cidade!$A$2:$A$29,DePara_Cidade!$B$2:$B$29,"REVISAR"))</f>
        <v>São Paulo</v>
      </c>
      <c r="N104" s="4" t="str">
        <f aca="false">IF($A104="","",UPPER(TRIM(Base_Bruta!M104)))</f>
        <v>SP</v>
      </c>
      <c r="O104" s="4" t="str">
        <f aca="false">IF($A104="","",_xlfn.XLOOKUP(LOWER(TRIM(Base_Bruta!N104)),DePara_Pais!$A$2:$A$9,DePara_Pais!$B$2:$B$9,"REVISAR"))</f>
        <v>Brasil</v>
      </c>
      <c r="P104" s="4" t="str">
        <f aca="false">IF($A104="","",IF(O104&lt;&gt;"Brasil","Turista Internacional",IF(M104=F104,"Local","Turista Nacional")))</f>
        <v>Local</v>
      </c>
      <c r="Q104" s="7" t="n">
        <f aca="false">IF($A104="","",DATE(YEAR(B104),MONTH(B104),1))</f>
        <v>45809</v>
      </c>
      <c r="R104" s="4" t="str">
        <f aca="false">IF($A104="","",IF(COUNTIF($A$2:$A104,$A104)&gt;1,"Sim","Não"))</f>
        <v>Não</v>
      </c>
      <c r="S104" s="4" t="str">
        <f aca="false">IF(A104="","Descartar - Linha vazia",IF(R104="Sim","Descartar - Duplicado",IF(OR(H104&lt;=0,I104&lt;=0),"Descartar - Qtd/Valor inválido","OK")))</f>
        <v>OK</v>
      </c>
      <c r="T104" s="4" t="str">
        <f aca="false">Base_Bruta!P104</f>
        <v>vendas_SP.xlsx</v>
      </c>
    </row>
    <row r="105" customFormat="false" ht="15" hidden="false" customHeight="false" outlineLevel="0" collapsed="false">
      <c r="A105" s="4" t="str">
        <f aca="false">IF(Base_Bruta!A105="","",Base_Bruta!A105)</f>
        <v>SP-000535</v>
      </c>
      <c r="B105" s="5" t="n">
        <f aca="false">IF($A105="","",IF(ISNUMBER(Base_Bruta!B105),Base_Bruta!B105,IF(MID(Base_Bruta!B105,5,1)="-",DATE(VALUE(LEFT(Base_Bruta!B105,4)),VALUE(MID(Base_Bruta!B105,6,2)),VALUE(RIGHT(Base_Bruta!B105,2))),DATE(VALUE(RIGHT(Base_Bruta!B105,4)),VALUE(MID(Base_Bruta!B105,4,2)),VALUE(LEFT(Base_Bruta!B105,2))))))</f>
        <v>45828</v>
      </c>
      <c r="C105" s="5" t="n">
        <f aca="false">IF($A105="","",IF(ISNUMBER(Base_Bruta!C105),Base_Bruta!C105,IF(MID(Base_Bruta!C105,5,1)="-",DATE(VALUE(LEFT(Base_Bruta!C105,4)),VALUE(MID(Base_Bruta!C105,6,2)),VALUE(RIGHT(Base_Bruta!C105,2))),DATE(VALUE(RIGHT(Base_Bruta!C105,4)),VALUE(MID(Base_Bruta!C105,4,2)),VALUE(LEFT(Base_Bruta!C105,2))))))</f>
        <v>45934</v>
      </c>
      <c r="D105" s="4" t="str">
        <f aca="false">IF($A105="","",TRIM(Base_Bruta!D105))</f>
        <v>Turnê Internacional Pop - SP</v>
      </c>
      <c r="E105" s="4" t="str">
        <f aca="false">IF($A105="","",_xlfn.XLOOKUP(LOWER(TRIM(Base_Bruta!E105)),DePara_Categoria!$A$2:$A$9,DePara_Categoria!$B$2:$B$9,"REVISAR"))</f>
        <v>Show</v>
      </c>
      <c r="F105" s="4" t="str">
        <f aca="false">IF($A105="","",_xlfn.XLOOKUP(LOWER(TRIM(Base_Bruta!F105)),DePara_Cidade!$A$2:$A$29,DePara_Cidade!$B$2:$B$29,"REVISAR"))</f>
        <v>São Paulo</v>
      </c>
      <c r="G105" s="4" t="str">
        <f aca="false">IF($A105="","",TRIM(Base_Bruta!G105))</f>
        <v>Inteira</v>
      </c>
      <c r="H105" s="4" t="n">
        <f aca="false">IF($A105="","",IF(ISNUMBER(Base_Bruta!H105),Base_Bruta!H105,IFERROR(_xlfn.NUMBERVALUE(TRIM(SUBSTITUTE(Base_Bruta!H105,"R$","")),",","."),0)))</f>
        <v>1</v>
      </c>
      <c r="I105" s="6" t="n">
        <f aca="false">IF($A105="","",IF(ISNUMBER(Base_Bruta!I105),Base_Bruta!I105,IFERROR(_xlfn.NUMBERVALUE(TRIM(SUBSTITUTE(Base_Bruta!I105,"R$","")),",","."),0)))</f>
        <v>445</v>
      </c>
      <c r="J105" s="6" t="n">
        <f aca="false">IF($A105="","",H105*I105)</f>
        <v>445</v>
      </c>
      <c r="K105" s="4" t="str">
        <f aca="false">IF($A105="","",TRIM(Base_Bruta!J105))</f>
        <v>App</v>
      </c>
      <c r="L105" s="4" t="str">
        <f aca="false">IF($A105="","",TRIM(Base_Bruta!K105))</f>
        <v>C02261</v>
      </c>
      <c r="M105" s="4" t="str">
        <f aca="false">IF($A105="","",_xlfn.XLOOKUP(LOWER(TRIM(Base_Bruta!L105)),DePara_Cidade!$A$2:$A$29,DePara_Cidade!$B$2:$B$29,"REVISAR"))</f>
        <v>São Paulo</v>
      </c>
      <c r="N105" s="4" t="str">
        <f aca="false">IF($A105="","",UPPER(TRIM(Base_Bruta!M105)))</f>
        <v>SP</v>
      </c>
      <c r="O105" s="4" t="str">
        <f aca="false">IF($A105="","",_xlfn.XLOOKUP(LOWER(TRIM(Base_Bruta!N105)),DePara_Pais!$A$2:$A$9,DePara_Pais!$B$2:$B$9,"REVISAR"))</f>
        <v>Brasil</v>
      </c>
      <c r="P105" s="4" t="str">
        <f aca="false">IF($A105="","",IF(O105&lt;&gt;"Brasil","Turista Internacional",IF(M105=F105,"Local","Turista Nacional")))</f>
        <v>Local</v>
      </c>
      <c r="Q105" s="7" t="n">
        <f aca="false">IF($A105="","",DATE(YEAR(B105),MONTH(B105),1))</f>
        <v>45809</v>
      </c>
      <c r="R105" s="4" t="str">
        <f aca="false">IF($A105="","",IF(COUNTIF($A$2:$A105,$A105)&gt;1,"Sim","Não"))</f>
        <v>Não</v>
      </c>
      <c r="S105" s="4" t="str">
        <f aca="false">IF(A105="","Descartar - Linha vazia",IF(R105="Sim","Descartar - Duplicado",IF(OR(H105&lt;=0,I105&lt;=0),"Descartar - Qtd/Valor inválido","OK")))</f>
        <v>OK</v>
      </c>
      <c r="T105" s="4" t="str">
        <f aca="false">Base_Bruta!P105</f>
        <v>vendas_SP.xlsx</v>
      </c>
    </row>
    <row r="106" customFormat="false" ht="15" hidden="false" customHeight="false" outlineLevel="0" collapsed="false">
      <c r="A106" s="4" t="str">
        <f aca="false">IF(Base_Bruta!A106="","",Base_Bruta!A106)</f>
        <v>SP-000692</v>
      </c>
      <c r="B106" s="5" t="n">
        <f aca="false">IF($A106="","",IF(ISNUMBER(Base_Bruta!B106),Base_Bruta!B106,IF(MID(Base_Bruta!B106,5,1)="-",DATE(VALUE(LEFT(Base_Bruta!B106,4)),VALUE(MID(Base_Bruta!B106,6,2)),VALUE(RIGHT(Base_Bruta!B106,2))),DATE(VALUE(RIGHT(Base_Bruta!B106,4)),VALUE(MID(Base_Bruta!B106,4,2)),VALUE(LEFT(Base_Bruta!B106,2))))))</f>
        <v>45828</v>
      </c>
      <c r="C106" s="5" t="n">
        <f aca="false">IF($A106="","",IF(ISNUMBER(Base_Bruta!C106),Base_Bruta!C106,IF(MID(Base_Bruta!C106,5,1)="-",DATE(VALUE(LEFT(Base_Bruta!C106,4)),VALUE(MID(Base_Bruta!C106,6,2)),VALUE(RIGHT(Base_Bruta!C106,2))),DATE(VALUE(RIGHT(Base_Bruta!C106,4)),VALUE(MID(Base_Bruta!C106,4,2)),VALUE(LEFT(Base_Bruta!C106,2))))))</f>
        <v>45829</v>
      </c>
      <c r="D106" s="4" t="str">
        <f aca="false">IF($A106="","",TRIM(Base_Bruta!D106))</f>
        <v>Cinema Paulista - Sessões</v>
      </c>
      <c r="E106" s="4" t="str">
        <f aca="false">IF($A106="","",_xlfn.XLOOKUP(LOWER(TRIM(Base_Bruta!E106)),DePara_Categoria!$A$2:$A$9,DePara_Categoria!$B$2:$B$9,"REVISAR"))</f>
        <v>Cinema</v>
      </c>
      <c r="F106" s="4" t="str">
        <f aca="false">IF($A106="","",_xlfn.XLOOKUP(LOWER(TRIM(Base_Bruta!F106)),DePara_Cidade!$A$2:$A$29,DePara_Cidade!$B$2:$B$29,"REVISAR"))</f>
        <v>São Paulo</v>
      </c>
      <c r="G106" s="4" t="str">
        <f aca="false">IF($A106="","",TRIM(Base_Bruta!G106))</f>
        <v>Meia</v>
      </c>
      <c r="H106" s="4" t="n">
        <f aca="false">IF($A106="","",IF(ISNUMBER(Base_Bruta!H106),Base_Bruta!H106,IFERROR(_xlfn.NUMBERVALUE(TRIM(SUBSTITUTE(Base_Bruta!H106,"R$","")),",","."),0)))</f>
        <v>1</v>
      </c>
      <c r="I106" s="6" t="n">
        <f aca="false">IF($A106="","",IF(ISNUMBER(Base_Bruta!I106),Base_Bruta!I106,IFERROR(_xlfn.NUMBERVALUE(TRIM(SUBSTITUTE(Base_Bruta!I106,"R$","")),",","."),0)))</f>
        <v>25</v>
      </c>
      <c r="J106" s="6" t="n">
        <f aca="false">IF($A106="","",H106*I106)</f>
        <v>25</v>
      </c>
      <c r="K106" s="4" t="str">
        <f aca="false">IF($A106="","",TRIM(Base_Bruta!J106))</f>
        <v>Site</v>
      </c>
      <c r="L106" s="4" t="str">
        <f aca="false">IF($A106="","",TRIM(Base_Bruta!K106))</f>
        <v>C01003</v>
      </c>
      <c r="M106" s="4" t="str">
        <f aca="false">IF($A106="","",_xlfn.XLOOKUP(LOWER(TRIM(Base_Bruta!L106)),DePara_Cidade!$A$2:$A$29,DePara_Cidade!$B$2:$B$29,"REVISAR"))</f>
        <v>Santos</v>
      </c>
      <c r="N106" s="4" t="str">
        <f aca="false">IF($A106="","",UPPER(TRIM(Base_Bruta!M106)))</f>
        <v>SP</v>
      </c>
      <c r="O106" s="4" t="str">
        <f aca="false">IF($A106="","",_xlfn.XLOOKUP(LOWER(TRIM(Base_Bruta!N106)),DePara_Pais!$A$2:$A$9,DePara_Pais!$B$2:$B$9,"REVISAR"))</f>
        <v>Brasil</v>
      </c>
      <c r="P106" s="4" t="str">
        <f aca="false">IF($A106="","",IF(O106&lt;&gt;"Brasil","Turista Internacional",IF(M106=F106,"Local","Turista Nacional")))</f>
        <v>Turista Nacional</v>
      </c>
      <c r="Q106" s="7" t="n">
        <f aca="false">IF($A106="","",DATE(YEAR(B106),MONTH(B106),1))</f>
        <v>45809</v>
      </c>
      <c r="R106" s="4" t="str">
        <f aca="false">IF($A106="","",IF(COUNTIF($A$2:$A106,$A106)&gt;1,"Sim","Não"))</f>
        <v>Não</v>
      </c>
      <c r="S106" s="4" t="str">
        <f aca="false">IF(A106="","Descartar - Linha vazia",IF(R106="Sim","Descartar - Duplicado",IF(OR(H106&lt;=0,I106&lt;=0),"Descartar - Qtd/Valor inválido","OK")))</f>
        <v>OK</v>
      </c>
      <c r="T106" s="4" t="str">
        <f aca="false">Base_Bruta!P106</f>
        <v>vendas_SP.xlsx</v>
      </c>
    </row>
    <row r="107" customFormat="false" ht="15" hidden="false" customHeight="false" outlineLevel="0" collapsed="false">
      <c r="A107" s="4" t="str">
        <f aca="false">IF(Base_Bruta!A107="","",Base_Bruta!A107)</f>
        <v>SP-000544</v>
      </c>
      <c r="B107" s="5" t="n">
        <f aca="false">IF($A107="","",IF(ISNUMBER(Base_Bruta!B107),Base_Bruta!B107,IF(MID(Base_Bruta!B107,5,1)="-",DATE(VALUE(LEFT(Base_Bruta!B107,4)),VALUE(MID(Base_Bruta!B107,6,2)),VALUE(RIGHT(Base_Bruta!B107,2))),DATE(VALUE(RIGHT(Base_Bruta!B107,4)),VALUE(MID(Base_Bruta!B107,4,2)),VALUE(LEFT(Base_Bruta!B107,2))))))</f>
        <v>45829</v>
      </c>
      <c r="C107" s="5" t="n">
        <f aca="false">IF($A107="","",IF(ISNUMBER(Base_Bruta!C107),Base_Bruta!C107,IF(MID(Base_Bruta!C107,5,1)="-",DATE(VALUE(LEFT(Base_Bruta!C107,4)),VALUE(MID(Base_Bruta!C107,6,2)),VALUE(RIGHT(Base_Bruta!C107,2))),DATE(VALUE(RIGHT(Base_Bruta!C107,4)),VALUE(MID(Base_Bruta!C107,4,2)),VALUE(LEFT(Base_Bruta!C107,2))))))</f>
        <v>45934</v>
      </c>
      <c r="D107" s="4" t="str">
        <f aca="false">IF($A107="","",TRIM(Base_Bruta!D107))</f>
        <v>Turnê Internacional Pop - SP</v>
      </c>
      <c r="E107" s="4" t="str">
        <f aca="false">IF($A107="","",_xlfn.XLOOKUP(LOWER(TRIM(Base_Bruta!E107)),DePara_Categoria!$A$2:$A$9,DePara_Categoria!$B$2:$B$9,"REVISAR"))</f>
        <v>Show</v>
      </c>
      <c r="F107" s="4" t="str">
        <f aca="false">IF($A107="","",_xlfn.XLOOKUP(LOWER(TRIM(Base_Bruta!F107)),DePara_Cidade!$A$2:$A$29,DePara_Cidade!$B$2:$B$29,"REVISAR"))</f>
        <v>São Paulo</v>
      </c>
      <c r="G107" s="4" t="str">
        <f aca="false">IF($A107="","",TRIM(Base_Bruta!G107))</f>
        <v>Inteira</v>
      </c>
      <c r="H107" s="4" t="n">
        <f aca="false">IF($A107="","",IF(ISNUMBER(Base_Bruta!H107),Base_Bruta!H107,IFERROR(_xlfn.NUMBERVALUE(TRIM(SUBSTITUTE(Base_Bruta!H107,"R$","")),",","."),0)))</f>
        <v>1</v>
      </c>
      <c r="I107" s="6" t="n">
        <f aca="false">IF($A107="","",IF(ISNUMBER(Base_Bruta!I107),Base_Bruta!I107,IFERROR(_xlfn.NUMBERVALUE(TRIM(SUBSTITUTE(Base_Bruta!I107,"R$","")),",","."),0)))</f>
        <v>550</v>
      </c>
      <c r="J107" s="6" t="n">
        <f aca="false">IF($A107="","",H107*I107)</f>
        <v>550</v>
      </c>
      <c r="K107" s="4" t="str">
        <f aca="false">IF($A107="","",TRIM(Base_Bruta!J107))</f>
        <v>App</v>
      </c>
      <c r="L107" s="4" t="str">
        <f aca="false">IF($A107="","",TRIM(Base_Bruta!K107))</f>
        <v>C00670</v>
      </c>
      <c r="M107" s="4" t="str">
        <f aca="false">IF($A107="","",_xlfn.XLOOKUP(LOWER(TRIM(Base_Bruta!L107)),DePara_Cidade!$A$2:$A$29,DePara_Cidade!$B$2:$B$29,"REVISAR"))</f>
        <v>São Paulo</v>
      </c>
      <c r="N107" s="4" t="str">
        <f aca="false">IF($A107="","",UPPER(TRIM(Base_Bruta!M107)))</f>
        <v>SP</v>
      </c>
      <c r="O107" s="4" t="str">
        <f aca="false">IF($A107="","",_xlfn.XLOOKUP(LOWER(TRIM(Base_Bruta!N107)),DePara_Pais!$A$2:$A$9,DePara_Pais!$B$2:$B$9,"REVISAR"))</f>
        <v>Brasil</v>
      </c>
      <c r="P107" s="4" t="str">
        <f aca="false">IF($A107="","",IF(O107&lt;&gt;"Brasil","Turista Internacional",IF(M107=F107,"Local","Turista Nacional")))</f>
        <v>Local</v>
      </c>
      <c r="Q107" s="7" t="n">
        <f aca="false">IF($A107="","",DATE(YEAR(B107),MONTH(B107),1))</f>
        <v>45809</v>
      </c>
      <c r="R107" s="4" t="str">
        <f aca="false">IF($A107="","",IF(COUNTIF($A$2:$A107,$A107)&gt;1,"Sim","Não"))</f>
        <v>Não</v>
      </c>
      <c r="S107" s="4" t="str">
        <f aca="false">IF(A107="","Descartar - Linha vazia",IF(R107="Sim","Descartar - Duplicado",IF(OR(H107&lt;=0,I107&lt;=0),"Descartar - Qtd/Valor inválido","OK")))</f>
        <v>OK</v>
      </c>
      <c r="T107" s="4" t="str">
        <f aca="false">Base_Bruta!P107</f>
        <v>vendas_SP.xlsx</v>
      </c>
    </row>
    <row r="108" customFormat="false" ht="15" hidden="false" customHeight="false" outlineLevel="0" collapsed="false">
      <c r="A108" s="4" t="str">
        <f aca="false">IF(Base_Bruta!A108="","",Base_Bruta!A108)</f>
        <v>SP-000553</v>
      </c>
      <c r="B108" s="5" t="n">
        <f aca="false">IF($A108="","",IF(ISNUMBER(Base_Bruta!B108),Base_Bruta!B108,IF(MID(Base_Bruta!B108,5,1)="-",DATE(VALUE(LEFT(Base_Bruta!B108,4)),VALUE(MID(Base_Bruta!B108,6,2)),VALUE(RIGHT(Base_Bruta!B108,2))),DATE(VALUE(RIGHT(Base_Bruta!B108,4)),VALUE(MID(Base_Bruta!B108,4,2)),VALUE(LEFT(Base_Bruta!B108,2))))))</f>
        <v>45829</v>
      </c>
      <c r="C108" s="5" t="n">
        <f aca="false">IF($A108="","",IF(ISNUMBER(Base_Bruta!C108),Base_Bruta!C108,IF(MID(Base_Bruta!C108,5,1)="-",DATE(VALUE(LEFT(Base_Bruta!C108,4)),VALUE(MID(Base_Bruta!C108,6,2)),VALUE(RIGHT(Base_Bruta!C108,2))),DATE(VALUE(RIGHT(Base_Bruta!C108,4)),VALUE(MID(Base_Bruta!C108,4,2)),VALUE(LEFT(Base_Bruta!C108,2))))))</f>
        <v>45934</v>
      </c>
      <c r="D108" s="4" t="str">
        <f aca="false">IF($A108="","",TRIM(Base_Bruta!D108))</f>
        <v>Turnê Internacional Pop - SP</v>
      </c>
      <c r="E108" s="4" t="str">
        <f aca="false">IF($A108="","",_xlfn.XLOOKUP(LOWER(TRIM(Base_Bruta!E108)),DePara_Categoria!$A$2:$A$9,DePara_Categoria!$B$2:$B$9,"REVISAR"))</f>
        <v>Show</v>
      </c>
      <c r="F108" s="4" t="str">
        <f aca="false">IF($A108="","",_xlfn.XLOOKUP(LOWER(TRIM(Base_Bruta!F108)),DePara_Cidade!$A$2:$A$29,DePara_Cidade!$B$2:$B$29,"REVISAR"))</f>
        <v>São Paulo</v>
      </c>
      <c r="G108" s="4" t="str">
        <f aca="false">IF($A108="","",TRIM(Base_Bruta!G108))</f>
        <v>Meia</v>
      </c>
      <c r="H108" s="4" t="n">
        <f aca="false">IF($A108="","",IF(ISNUMBER(Base_Bruta!H108),Base_Bruta!H108,IFERROR(_xlfn.NUMBERVALUE(TRIM(SUBSTITUTE(Base_Bruta!H108,"R$","")),",","."),0)))</f>
        <v>2</v>
      </c>
      <c r="I108" s="6" t="n">
        <f aca="false">IF($A108="","",IF(ISNUMBER(Base_Bruta!I108),Base_Bruta!I108,IFERROR(_xlfn.NUMBERVALUE(TRIM(SUBSTITUTE(Base_Bruta!I108,"R$","")),",","."),0)))</f>
        <v>190</v>
      </c>
      <c r="J108" s="6" t="n">
        <f aca="false">IF($A108="","",H108*I108)</f>
        <v>380</v>
      </c>
      <c r="K108" s="4" t="str">
        <f aca="false">IF($A108="","",TRIM(Base_Bruta!J108))</f>
        <v>App</v>
      </c>
      <c r="L108" s="4" t="str">
        <f aca="false">IF($A108="","",TRIM(Base_Bruta!K108))</f>
        <v>C01237</v>
      </c>
      <c r="M108" s="4" t="str">
        <f aca="false">IF($A108="","",_xlfn.XLOOKUP(LOWER(TRIM(Base_Bruta!L108)),DePara_Cidade!$A$2:$A$29,DePara_Cidade!$B$2:$B$29,"REVISAR"))</f>
        <v>Campinas</v>
      </c>
      <c r="N108" s="4" t="str">
        <f aca="false">IF($A108="","",UPPER(TRIM(Base_Bruta!M108)))</f>
        <v>SP</v>
      </c>
      <c r="O108" s="4" t="str">
        <f aca="false">IF($A108="","",_xlfn.XLOOKUP(LOWER(TRIM(Base_Bruta!N108)),DePara_Pais!$A$2:$A$9,DePara_Pais!$B$2:$B$9,"REVISAR"))</f>
        <v>Brasil</v>
      </c>
      <c r="P108" s="4" t="str">
        <f aca="false">IF($A108="","",IF(O108&lt;&gt;"Brasil","Turista Internacional",IF(M108=F108,"Local","Turista Nacional")))</f>
        <v>Turista Nacional</v>
      </c>
      <c r="Q108" s="7" t="n">
        <f aca="false">IF($A108="","",DATE(YEAR(B108),MONTH(B108),1))</f>
        <v>45809</v>
      </c>
      <c r="R108" s="4" t="str">
        <f aca="false">IF($A108="","",IF(COUNTIF($A$2:$A108,$A108)&gt;1,"Sim","Não"))</f>
        <v>Não</v>
      </c>
      <c r="S108" s="4" t="str">
        <f aca="false">IF(A108="","Descartar - Linha vazia",IF(R108="Sim","Descartar - Duplicado",IF(OR(H108&lt;=0,I108&lt;=0),"Descartar - Qtd/Valor inválido","OK")))</f>
        <v>OK</v>
      </c>
      <c r="T108" s="4" t="str">
        <f aca="false">Base_Bruta!P108</f>
        <v>vendas_SP.xlsx</v>
      </c>
    </row>
    <row r="109" customFormat="false" ht="15" hidden="false" customHeight="false" outlineLevel="0" collapsed="false">
      <c r="A109" s="4" t="str">
        <f aca="false">IF(Base_Bruta!A109="","",Base_Bruta!A109)</f>
        <v>SP-000597</v>
      </c>
      <c r="B109" s="5" t="n">
        <f aca="false">IF($A109="","",IF(ISNUMBER(Base_Bruta!B109),Base_Bruta!B109,IF(MID(Base_Bruta!B109,5,1)="-",DATE(VALUE(LEFT(Base_Bruta!B109,4)),VALUE(MID(Base_Bruta!B109,6,2)),VALUE(RIGHT(Base_Bruta!B109,2))),DATE(VALUE(RIGHT(Base_Bruta!B109,4)),VALUE(MID(Base_Bruta!B109,4,2)),VALUE(LEFT(Base_Bruta!B109,2))))))</f>
        <v>45829</v>
      </c>
      <c r="C109" s="5" t="n">
        <f aca="false">IF($A109="","",IF(ISNUMBER(Base_Bruta!C109),Base_Bruta!C109,IF(MID(Base_Bruta!C109,5,1)="-",DATE(VALUE(LEFT(Base_Bruta!C109,4)),VALUE(MID(Base_Bruta!C109,6,2)),VALUE(RIGHT(Base_Bruta!C109,2))),DATE(VALUE(RIGHT(Base_Bruta!C109,4)),VALUE(MID(Base_Bruta!C109,4,2)),VALUE(LEFT(Base_Bruta!C109,2))))))</f>
        <v>45934</v>
      </c>
      <c r="D109" s="4" t="str">
        <f aca="false">IF($A109="","",TRIM(Base_Bruta!D109))</f>
        <v>Turnê Internacional Pop - SP</v>
      </c>
      <c r="E109" s="4" t="str">
        <f aca="false">IF($A109="","",_xlfn.XLOOKUP(LOWER(TRIM(Base_Bruta!E109)),DePara_Categoria!$A$2:$A$9,DePara_Categoria!$B$2:$B$9,"REVISAR"))</f>
        <v>Show</v>
      </c>
      <c r="F109" s="4" t="str">
        <f aca="false">IF($A109="","",_xlfn.XLOOKUP(LOWER(TRIM(Base_Bruta!F109)),DePara_Cidade!$A$2:$A$29,DePara_Cidade!$B$2:$B$29,"REVISAR"))</f>
        <v>São Paulo</v>
      </c>
      <c r="G109" s="4" t="str">
        <f aca="false">IF($A109="","",TRIM(Base_Bruta!G109))</f>
        <v>Inteira</v>
      </c>
      <c r="H109" s="4" t="n">
        <f aca="false">IF($A109="","",IF(ISNUMBER(Base_Bruta!H109),Base_Bruta!H109,IFERROR(_xlfn.NUMBERVALUE(TRIM(SUBSTITUTE(Base_Bruta!H109,"R$","")),",","."),0)))</f>
        <v>3</v>
      </c>
      <c r="I109" s="6" t="n">
        <f aca="false">IF($A109="","",IF(ISNUMBER(Base_Bruta!I109),Base_Bruta!I109,IFERROR(_xlfn.NUMBERVALUE(TRIM(SUBSTITUTE(Base_Bruta!I109,"R$","")),",","."),0)))</f>
        <v>545</v>
      </c>
      <c r="J109" s="6" t="n">
        <f aca="false">IF($A109="","",H109*I109)</f>
        <v>1635</v>
      </c>
      <c r="K109" s="4" t="str">
        <f aca="false">IF($A109="","",TRIM(Base_Bruta!J109))</f>
        <v>Bilheteria</v>
      </c>
      <c r="L109" s="4" t="str">
        <f aca="false">IF($A109="","",TRIM(Base_Bruta!K109))</f>
        <v>C00609</v>
      </c>
      <c r="M109" s="4" t="str">
        <f aca="false">IF($A109="","",_xlfn.XLOOKUP(LOWER(TRIM(Base_Bruta!L109)),DePara_Cidade!$A$2:$A$29,DePara_Cidade!$B$2:$B$29,"REVISAR"))</f>
        <v>São Paulo</v>
      </c>
      <c r="N109" s="4" t="str">
        <f aca="false">IF($A109="","",UPPER(TRIM(Base_Bruta!M109)))</f>
        <v>SP</v>
      </c>
      <c r="O109" s="4" t="str">
        <f aca="false">IF($A109="","",_xlfn.XLOOKUP(LOWER(TRIM(Base_Bruta!N109)),DePara_Pais!$A$2:$A$9,DePara_Pais!$B$2:$B$9,"REVISAR"))</f>
        <v>Brasil</v>
      </c>
      <c r="P109" s="4" t="str">
        <f aca="false">IF($A109="","",IF(O109&lt;&gt;"Brasil","Turista Internacional",IF(M109=F109,"Local","Turista Nacional")))</f>
        <v>Local</v>
      </c>
      <c r="Q109" s="7" t="n">
        <f aca="false">IF($A109="","",DATE(YEAR(B109),MONTH(B109),1))</f>
        <v>45809</v>
      </c>
      <c r="R109" s="4" t="str">
        <f aca="false">IF($A109="","",IF(COUNTIF($A$2:$A109,$A109)&gt;1,"Sim","Não"))</f>
        <v>Não</v>
      </c>
      <c r="S109" s="4" t="str">
        <f aca="false">IF(A109="","Descartar - Linha vazia",IF(R109="Sim","Descartar - Duplicado",IF(OR(H109&lt;=0,I109&lt;=0),"Descartar - Qtd/Valor inválido","OK")))</f>
        <v>OK</v>
      </c>
      <c r="T109" s="4" t="str">
        <f aca="false">Base_Bruta!P109</f>
        <v>vendas_SP.xlsx</v>
      </c>
    </row>
    <row r="110" customFormat="false" ht="15" hidden="false" customHeight="false" outlineLevel="0" collapsed="false">
      <c r="A110" s="4" t="str">
        <f aca="false">IF(Base_Bruta!A110="","",Base_Bruta!A110)</f>
        <v>SP-000470</v>
      </c>
      <c r="B110" s="5" t="n">
        <f aca="false">IF($A110="","",IF(ISNUMBER(Base_Bruta!B110),Base_Bruta!B110,IF(MID(Base_Bruta!B110,5,1)="-",DATE(VALUE(LEFT(Base_Bruta!B110,4)),VALUE(MID(Base_Bruta!B110,6,2)),VALUE(RIGHT(Base_Bruta!B110,2))),DATE(VALUE(RIGHT(Base_Bruta!B110,4)),VALUE(MID(Base_Bruta!B110,4,2)),VALUE(LEFT(Base_Bruta!B110,2))))))</f>
        <v>45830</v>
      </c>
      <c r="C110" s="5" t="n">
        <f aca="false">IF($A110="","",IF(ISNUMBER(Base_Bruta!C110),Base_Bruta!C110,IF(MID(Base_Bruta!C110,5,1)="-",DATE(VALUE(LEFT(Base_Bruta!C110,4)),VALUE(MID(Base_Bruta!C110,6,2)),VALUE(RIGHT(Base_Bruta!C110,2))),DATE(VALUE(RIGHT(Base_Bruta!C110,4)),VALUE(MID(Base_Bruta!C110,4,2)),VALUE(LEFT(Base_Bruta!C110,2))))))</f>
        <v>45934</v>
      </c>
      <c r="D110" s="4" t="str">
        <f aca="false">IF($A110="","",TRIM(Base_Bruta!D110))</f>
        <v>Turnê Internacional Pop - SP</v>
      </c>
      <c r="E110" s="4" t="str">
        <f aca="false">IF($A110="","",_xlfn.XLOOKUP(LOWER(TRIM(Base_Bruta!E110)),DePara_Categoria!$A$2:$A$9,DePara_Categoria!$B$2:$B$9,"REVISAR"))</f>
        <v>Show</v>
      </c>
      <c r="F110" s="4" t="str">
        <f aca="false">IF($A110="","",_xlfn.XLOOKUP(LOWER(TRIM(Base_Bruta!F110)),DePara_Cidade!$A$2:$A$29,DePara_Cidade!$B$2:$B$29,"REVISAR"))</f>
        <v>São Paulo</v>
      </c>
      <c r="G110" s="4" t="str">
        <f aca="false">IF($A110="","",TRIM(Base_Bruta!G110))</f>
        <v>Meia</v>
      </c>
      <c r="H110" s="4" t="n">
        <f aca="false">IF($A110="","",IF(ISNUMBER(Base_Bruta!H110),Base_Bruta!H110,IFERROR(_xlfn.NUMBERVALUE(TRIM(SUBSTITUTE(Base_Bruta!H110,"R$","")),",","."),0)))</f>
        <v>2</v>
      </c>
      <c r="I110" s="6" t="n">
        <f aca="false">IF($A110="","",IF(ISNUMBER(Base_Bruta!I110),Base_Bruta!I110,IFERROR(_xlfn.NUMBERVALUE(TRIM(SUBSTITUTE(Base_Bruta!I110,"R$","")),",","."),0)))</f>
        <v>205</v>
      </c>
      <c r="J110" s="6" t="n">
        <f aca="false">IF($A110="","",H110*I110)</f>
        <v>410</v>
      </c>
      <c r="K110" s="4" t="str">
        <f aca="false">IF($A110="","",TRIM(Base_Bruta!J110))</f>
        <v>Bilheteria</v>
      </c>
      <c r="L110" s="4" t="str">
        <f aca="false">IF($A110="","",TRIM(Base_Bruta!K110))</f>
        <v>C00794</v>
      </c>
      <c r="M110" s="4" t="str">
        <f aca="false">IF($A110="","",_xlfn.XLOOKUP(LOWER(TRIM(Base_Bruta!L110)),DePara_Cidade!$A$2:$A$29,DePara_Cidade!$B$2:$B$29,"REVISAR"))</f>
        <v>São Paulo</v>
      </c>
      <c r="N110" s="4" t="str">
        <f aca="false">IF($A110="","",UPPER(TRIM(Base_Bruta!M110)))</f>
        <v>SP</v>
      </c>
      <c r="O110" s="4" t="str">
        <f aca="false">IF($A110="","",_xlfn.XLOOKUP(LOWER(TRIM(Base_Bruta!N110)),DePara_Pais!$A$2:$A$9,DePara_Pais!$B$2:$B$9,"REVISAR"))</f>
        <v>Brasil</v>
      </c>
      <c r="P110" s="4" t="str">
        <f aca="false">IF($A110="","",IF(O110&lt;&gt;"Brasil","Turista Internacional",IF(M110=F110,"Local","Turista Nacional")))</f>
        <v>Local</v>
      </c>
      <c r="Q110" s="7" t="n">
        <f aca="false">IF($A110="","",DATE(YEAR(B110),MONTH(B110),1))</f>
        <v>45809</v>
      </c>
      <c r="R110" s="4" t="str">
        <f aca="false">IF($A110="","",IF(COUNTIF($A$2:$A110,$A110)&gt;1,"Sim","Não"))</f>
        <v>Não</v>
      </c>
      <c r="S110" s="4" t="str">
        <f aca="false">IF(A110="","Descartar - Linha vazia",IF(R110="Sim","Descartar - Duplicado",IF(OR(H110&lt;=0,I110&lt;=0),"Descartar - Qtd/Valor inválido","OK")))</f>
        <v>OK</v>
      </c>
      <c r="T110" s="4" t="str">
        <f aca="false">Base_Bruta!P110</f>
        <v>vendas_SP.xlsx</v>
      </c>
    </row>
    <row r="111" customFormat="false" ht="15" hidden="false" customHeight="false" outlineLevel="0" collapsed="false">
      <c r="A111" s="4" t="str">
        <f aca="false">IF(Base_Bruta!A111="","",Base_Bruta!A111)</f>
        <v>SP-000520</v>
      </c>
      <c r="B111" s="5" t="n">
        <f aca="false">IF($A111="","",IF(ISNUMBER(Base_Bruta!B111),Base_Bruta!B111,IF(MID(Base_Bruta!B111,5,1)="-",DATE(VALUE(LEFT(Base_Bruta!B111,4)),VALUE(MID(Base_Bruta!B111,6,2)),VALUE(RIGHT(Base_Bruta!B111,2))),DATE(VALUE(RIGHT(Base_Bruta!B111,4)),VALUE(MID(Base_Bruta!B111,4,2)),VALUE(LEFT(Base_Bruta!B111,2))))))</f>
        <v>45830</v>
      </c>
      <c r="C111" s="5" t="n">
        <f aca="false">IF($A111="","",IF(ISNUMBER(Base_Bruta!C111),Base_Bruta!C111,IF(MID(Base_Bruta!C111,5,1)="-",DATE(VALUE(LEFT(Base_Bruta!C111,4)),VALUE(MID(Base_Bruta!C111,6,2)),VALUE(RIGHT(Base_Bruta!C111,2))),DATE(VALUE(RIGHT(Base_Bruta!C111,4)),VALUE(MID(Base_Bruta!C111,4,2)),VALUE(LEFT(Base_Bruta!C111,2))))))</f>
        <v>45934</v>
      </c>
      <c r="D111" s="4" t="str">
        <f aca="false">IF($A111="","",TRIM(Base_Bruta!D111))</f>
        <v>Turnê Internacional Pop - SP</v>
      </c>
      <c r="E111" s="4" t="str">
        <f aca="false">IF($A111="","",_xlfn.XLOOKUP(LOWER(TRIM(Base_Bruta!E111)),DePara_Categoria!$A$2:$A$9,DePara_Categoria!$B$2:$B$9,"REVISAR"))</f>
        <v>Show</v>
      </c>
      <c r="F111" s="4" t="str">
        <f aca="false">IF($A111="","",_xlfn.XLOOKUP(LOWER(TRIM(Base_Bruta!F111)),DePara_Cidade!$A$2:$A$29,DePara_Cidade!$B$2:$B$29,"REVISAR"))</f>
        <v>São Paulo</v>
      </c>
      <c r="G111" s="4" t="str">
        <f aca="false">IF($A111="","",TRIM(Base_Bruta!G111))</f>
        <v>VIP</v>
      </c>
      <c r="H111" s="4" t="n">
        <f aca="false">IF($A111="","",IF(ISNUMBER(Base_Bruta!H111),Base_Bruta!H111,IFERROR(_xlfn.NUMBERVALUE(TRIM(SUBSTITUTE(Base_Bruta!H111,"R$","")),",","."),0)))</f>
        <v>2</v>
      </c>
      <c r="I111" s="6" t="n">
        <f aca="false">IF($A111="","",IF(ISNUMBER(Base_Bruta!I111),Base_Bruta!I111,IFERROR(_xlfn.NUMBERVALUE(TRIM(SUBSTITUTE(Base_Bruta!I111,"R$","")),",","."),0)))</f>
        <v>900</v>
      </c>
      <c r="J111" s="6" t="n">
        <f aca="false">IF($A111="","",H111*I111)</f>
        <v>1800</v>
      </c>
      <c r="K111" s="4" t="str">
        <f aca="false">IF($A111="","",TRIM(Base_Bruta!J111))</f>
        <v>Site</v>
      </c>
      <c r="L111" s="4" t="str">
        <f aca="false">IF($A111="","",TRIM(Base_Bruta!K111))</f>
        <v>C01686</v>
      </c>
      <c r="M111" s="4" t="str">
        <f aca="false">IF($A111="","",_xlfn.XLOOKUP(LOWER(TRIM(Base_Bruta!L111)),DePara_Cidade!$A$2:$A$29,DePara_Cidade!$B$2:$B$29,"REVISAR"))</f>
        <v>São Paulo</v>
      </c>
      <c r="N111" s="4" t="str">
        <f aca="false">IF($A111="","",UPPER(TRIM(Base_Bruta!M111)))</f>
        <v>SP</v>
      </c>
      <c r="O111" s="4" t="str">
        <f aca="false">IF($A111="","",_xlfn.XLOOKUP(LOWER(TRIM(Base_Bruta!N111)),DePara_Pais!$A$2:$A$9,DePara_Pais!$B$2:$B$9,"REVISAR"))</f>
        <v>Brasil</v>
      </c>
      <c r="P111" s="4" t="str">
        <f aca="false">IF($A111="","",IF(O111&lt;&gt;"Brasil","Turista Internacional",IF(M111=F111,"Local","Turista Nacional")))</f>
        <v>Local</v>
      </c>
      <c r="Q111" s="7" t="n">
        <f aca="false">IF($A111="","",DATE(YEAR(B111),MONTH(B111),1))</f>
        <v>45809</v>
      </c>
      <c r="R111" s="4" t="str">
        <f aca="false">IF($A111="","",IF(COUNTIF($A$2:$A111,$A111)&gt;1,"Sim","Não"))</f>
        <v>Não</v>
      </c>
      <c r="S111" s="4" t="str">
        <f aca="false">IF(A111="","Descartar - Linha vazia",IF(R111="Sim","Descartar - Duplicado",IF(OR(H111&lt;=0,I111&lt;=0),"Descartar - Qtd/Valor inválido","OK")))</f>
        <v>OK</v>
      </c>
      <c r="T111" s="4" t="str">
        <f aca="false">Base_Bruta!P111</f>
        <v>vendas_SP.xlsx</v>
      </c>
    </row>
    <row r="112" customFormat="false" ht="15" hidden="false" customHeight="false" outlineLevel="0" collapsed="false">
      <c r="A112" s="4" t="str">
        <f aca="false">IF(Base_Bruta!A112="","",Base_Bruta!A112)</f>
        <v>SP-000558</v>
      </c>
      <c r="B112" s="5" t="n">
        <f aca="false">IF($A112="","",IF(ISNUMBER(Base_Bruta!B112),Base_Bruta!B112,IF(MID(Base_Bruta!B112,5,1)="-",DATE(VALUE(LEFT(Base_Bruta!B112,4)),VALUE(MID(Base_Bruta!B112,6,2)),VALUE(RIGHT(Base_Bruta!B112,2))),DATE(VALUE(RIGHT(Base_Bruta!B112,4)),VALUE(MID(Base_Bruta!B112,4,2)),VALUE(LEFT(Base_Bruta!B112,2))))))</f>
        <v>45830</v>
      </c>
      <c r="C112" s="5" t="n">
        <f aca="false">IF($A112="","",IF(ISNUMBER(Base_Bruta!C112),Base_Bruta!C112,IF(MID(Base_Bruta!C112,5,1)="-",DATE(VALUE(LEFT(Base_Bruta!C112,4)),VALUE(MID(Base_Bruta!C112,6,2)),VALUE(RIGHT(Base_Bruta!C112,2))),DATE(VALUE(RIGHT(Base_Bruta!C112,4)),VALUE(MID(Base_Bruta!C112,4,2)),VALUE(LEFT(Base_Bruta!C112,2))))))</f>
        <v>45934</v>
      </c>
      <c r="D112" s="4" t="str">
        <f aca="false">IF($A112="","",TRIM(Base_Bruta!D112))</f>
        <v>Turnê Internacional Pop - SP</v>
      </c>
      <c r="E112" s="4" t="str">
        <f aca="false">IF($A112="","",_xlfn.XLOOKUP(LOWER(TRIM(Base_Bruta!E112)),DePara_Categoria!$A$2:$A$9,DePara_Categoria!$B$2:$B$9,"REVISAR"))</f>
        <v>Show</v>
      </c>
      <c r="F112" s="4" t="str">
        <f aca="false">IF($A112="","",_xlfn.XLOOKUP(LOWER(TRIM(Base_Bruta!F112)),DePara_Cidade!$A$2:$A$29,DePara_Cidade!$B$2:$B$29,"REVISAR"))</f>
        <v>São Paulo</v>
      </c>
      <c r="G112" s="4" t="str">
        <f aca="false">IF($A112="","",TRIM(Base_Bruta!G112))</f>
        <v>Inteira</v>
      </c>
      <c r="H112" s="4" t="n">
        <f aca="false">IF($A112="","",IF(ISNUMBER(Base_Bruta!H112),Base_Bruta!H112,IFERROR(_xlfn.NUMBERVALUE(TRIM(SUBSTITUTE(Base_Bruta!H112,"R$","")),",","."),0)))</f>
        <v>2</v>
      </c>
      <c r="I112" s="6" t="n">
        <f aca="false">IF($A112="","",IF(ISNUMBER(Base_Bruta!I112),Base_Bruta!I112,IFERROR(_xlfn.NUMBERVALUE(TRIM(SUBSTITUTE(Base_Bruta!I112,"R$","")),",","."),0)))</f>
        <v>685</v>
      </c>
      <c r="J112" s="6" t="n">
        <f aca="false">IF($A112="","",H112*I112)</f>
        <v>1370</v>
      </c>
      <c r="K112" s="4" t="str">
        <f aca="false">IF($A112="","",TRIM(Base_Bruta!J112))</f>
        <v>Bilheteria</v>
      </c>
      <c r="L112" s="4" t="str">
        <f aca="false">IF($A112="","",TRIM(Base_Bruta!K112))</f>
        <v>C02147</v>
      </c>
      <c r="M112" s="4" t="str">
        <f aca="false">IF($A112="","",_xlfn.XLOOKUP(LOWER(TRIM(Base_Bruta!L112)),DePara_Cidade!$A$2:$A$29,DePara_Cidade!$B$2:$B$29,"REVISAR"))</f>
        <v>São Paulo</v>
      </c>
      <c r="N112" s="4" t="str">
        <f aca="false">IF($A112="","",UPPER(TRIM(Base_Bruta!M112)))</f>
        <v>SP</v>
      </c>
      <c r="O112" s="4" t="str">
        <f aca="false">IF($A112="","",_xlfn.XLOOKUP(LOWER(TRIM(Base_Bruta!N112)),DePara_Pais!$A$2:$A$9,DePara_Pais!$B$2:$B$9,"REVISAR"))</f>
        <v>Brasil</v>
      </c>
      <c r="P112" s="4" t="str">
        <f aca="false">IF($A112="","",IF(O112&lt;&gt;"Brasil","Turista Internacional",IF(M112=F112,"Local","Turista Nacional")))</f>
        <v>Local</v>
      </c>
      <c r="Q112" s="7" t="n">
        <f aca="false">IF($A112="","",DATE(YEAR(B112),MONTH(B112),1))</f>
        <v>45809</v>
      </c>
      <c r="R112" s="4" t="str">
        <f aca="false">IF($A112="","",IF(COUNTIF($A$2:$A112,$A112)&gt;1,"Sim","Não"))</f>
        <v>Não</v>
      </c>
      <c r="S112" s="4" t="str">
        <f aca="false">IF(A112="","Descartar - Linha vazia",IF(R112="Sim","Descartar - Duplicado",IF(OR(H112&lt;=0,I112&lt;=0),"Descartar - Qtd/Valor inválido","OK")))</f>
        <v>OK</v>
      </c>
      <c r="T112" s="4" t="str">
        <f aca="false">Base_Bruta!P112</f>
        <v>vendas_SP.xlsx</v>
      </c>
    </row>
    <row r="113" customFormat="false" ht="15" hidden="false" customHeight="false" outlineLevel="0" collapsed="false">
      <c r="A113" s="4" t="str">
        <f aca="false">IF(Base_Bruta!A113="","",Base_Bruta!A113)</f>
        <v>SP-000563</v>
      </c>
      <c r="B113" s="5" t="n">
        <f aca="false">IF($A113="","",IF(ISNUMBER(Base_Bruta!B113),Base_Bruta!B113,IF(MID(Base_Bruta!B113,5,1)="-",DATE(VALUE(LEFT(Base_Bruta!B113,4)),VALUE(MID(Base_Bruta!B113,6,2)),VALUE(RIGHT(Base_Bruta!B113,2))),DATE(VALUE(RIGHT(Base_Bruta!B113,4)),VALUE(MID(Base_Bruta!B113,4,2)),VALUE(LEFT(Base_Bruta!B113,2))))))</f>
        <v>45830</v>
      </c>
      <c r="C113" s="5" t="n">
        <f aca="false">IF($A113="","",IF(ISNUMBER(Base_Bruta!C113),Base_Bruta!C113,IF(MID(Base_Bruta!C113,5,1)="-",DATE(VALUE(LEFT(Base_Bruta!C113,4)),VALUE(MID(Base_Bruta!C113,6,2)),VALUE(RIGHT(Base_Bruta!C113,2))),DATE(VALUE(RIGHT(Base_Bruta!C113,4)),VALUE(MID(Base_Bruta!C113,4,2)),VALUE(LEFT(Base_Bruta!C113,2))))))</f>
        <v>45934</v>
      </c>
      <c r="D113" s="4" t="str">
        <f aca="false">IF($A113="","",TRIM(Base_Bruta!D113))</f>
        <v>Turnê Internacional Pop - SP</v>
      </c>
      <c r="E113" s="4" t="str">
        <f aca="false">IF($A113="","",_xlfn.XLOOKUP(LOWER(TRIM(Base_Bruta!E113)),DePara_Categoria!$A$2:$A$9,DePara_Categoria!$B$2:$B$9,"REVISAR"))</f>
        <v>Show</v>
      </c>
      <c r="F113" s="4" t="str">
        <f aca="false">IF($A113="","",_xlfn.XLOOKUP(LOWER(TRIM(Base_Bruta!F113)),DePara_Cidade!$A$2:$A$29,DePara_Cidade!$B$2:$B$29,"REVISAR"))</f>
        <v>São Paulo</v>
      </c>
      <c r="G113" s="4" t="str">
        <f aca="false">IF($A113="","",TRIM(Base_Bruta!G113))</f>
        <v>Meia</v>
      </c>
      <c r="H113" s="4" t="n">
        <f aca="false">IF($A113="","",IF(ISNUMBER(Base_Bruta!H113),Base_Bruta!H113,IFERROR(_xlfn.NUMBERVALUE(TRIM(SUBSTITUTE(Base_Bruta!H113,"R$","")),",","."),0)))</f>
        <v>1</v>
      </c>
      <c r="I113" s="6" t="n">
        <f aca="false">IF($A113="","",IF(ISNUMBER(Base_Bruta!I113),Base_Bruta!I113,IFERROR(_xlfn.NUMBERVALUE(TRIM(SUBSTITUTE(Base_Bruta!I113,"R$","")),",","."),0)))</f>
        <v>155</v>
      </c>
      <c r="J113" s="6" t="n">
        <f aca="false">IF($A113="","",H113*I113)</f>
        <v>155</v>
      </c>
      <c r="K113" s="4" t="str">
        <f aca="false">IF($A113="","",TRIM(Base_Bruta!J113))</f>
        <v>Parceiro</v>
      </c>
      <c r="L113" s="4" t="str">
        <f aca="false">IF($A113="","",TRIM(Base_Bruta!K113))</f>
        <v>C02239</v>
      </c>
      <c r="M113" s="4" t="str">
        <f aca="false">IF($A113="","",_xlfn.XLOOKUP(LOWER(TRIM(Base_Bruta!L113)),DePara_Cidade!$A$2:$A$29,DePara_Cidade!$B$2:$B$29,"REVISAR"))</f>
        <v>São Paulo</v>
      </c>
      <c r="N113" s="4" t="str">
        <f aca="false">IF($A113="","",UPPER(TRIM(Base_Bruta!M113)))</f>
        <v>SP</v>
      </c>
      <c r="O113" s="4" t="str">
        <f aca="false">IF($A113="","",_xlfn.XLOOKUP(LOWER(TRIM(Base_Bruta!N113)),DePara_Pais!$A$2:$A$9,DePara_Pais!$B$2:$B$9,"REVISAR"))</f>
        <v>Brasil</v>
      </c>
      <c r="P113" s="4" t="str">
        <f aca="false">IF($A113="","",IF(O113&lt;&gt;"Brasil","Turista Internacional",IF(M113=F113,"Local","Turista Nacional")))</f>
        <v>Local</v>
      </c>
      <c r="Q113" s="7" t="n">
        <f aca="false">IF($A113="","",DATE(YEAR(B113),MONTH(B113),1))</f>
        <v>45809</v>
      </c>
      <c r="R113" s="4" t="str">
        <f aca="false">IF($A113="","",IF(COUNTIF($A$2:$A113,$A113)&gt;1,"Sim","Não"))</f>
        <v>Não</v>
      </c>
      <c r="S113" s="4" t="str">
        <f aca="false">IF(A113="","Descartar - Linha vazia",IF(R113="Sim","Descartar - Duplicado",IF(OR(H113&lt;=0,I113&lt;=0),"Descartar - Qtd/Valor inválido","OK")))</f>
        <v>OK</v>
      </c>
      <c r="T113" s="4" t="str">
        <f aca="false">Base_Bruta!P113</f>
        <v>vendas_SP.xlsx</v>
      </c>
    </row>
    <row r="114" customFormat="false" ht="15" hidden="false" customHeight="false" outlineLevel="0" collapsed="false">
      <c r="A114" s="4" t="str">
        <f aca="false">IF(Base_Bruta!A114="","",Base_Bruta!A114)</f>
        <v>SP-000601</v>
      </c>
      <c r="B114" s="5" t="n">
        <f aca="false">IF($A114="","",IF(ISNUMBER(Base_Bruta!B114),Base_Bruta!B114,IF(MID(Base_Bruta!B114,5,1)="-",DATE(VALUE(LEFT(Base_Bruta!B114,4)),VALUE(MID(Base_Bruta!B114,6,2)),VALUE(RIGHT(Base_Bruta!B114,2))),DATE(VALUE(RIGHT(Base_Bruta!B114,4)),VALUE(MID(Base_Bruta!B114,4,2)),VALUE(LEFT(Base_Bruta!B114,2))))))</f>
        <v>45830</v>
      </c>
      <c r="C114" s="5" t="n">
        <f aca="false">IF($A114="","",IF(ISNUMBER(Base_Bruta!C114),Base_Bruta!C114,IF(MID(Base_Bruta!C114,5,1)="-",DATE(VALUE(LEFT(Base_Bruta!C114,4)),VALUE(MID(Base_Bruta!C114,6,2)),VALUE(RIGHT(Base_Bruta!C114,2))),DATE(VALUE(RIGHT(Base_Bruta!C114,4)),VALUE(MID(Base_Bruta!C114,4,2)),VALUE(LEFT(Base_Bruta!C114,2))))))</f>
        <v>45934</v>
      </c>
      <c r="D114" s="4" t="str">
        <f aca="false">IF($A114="","",TRIM(Base_Bruta!D114))</f>
        <v>Turnê Internacional Pop - SP</v>
      </c>
      <c r="E114" s="4" t="str">
        <f aca="false">IF($A114="","",_xlfn.XLOOKUP(LOWER(TRIM(Base_Bruta!E114)),DePara_Categoria!$A$2:$A$9,DePara_Categoria!$B$2:$B$9,"REVISAR"))</f>
        <v>Show</v>
      </c>
      <c r="F114" s="4" t="str">
        <f aca="false">IF($A114="","",_xlfn.XLOOKUP(LOWER(TRIM(Base_Bruta!F114)),DePara_Cidade!$A$2:$A$29,DePara_Cidade!$B$2:$B$29,"REVISAR"))</f>
        <v>São Paulo</v>
      </c>
      <c r="G114" s="4" t="str">
        <f aca="false">IF($A114="","",TRIM(Base_Bruta!G114))</f>
        <v>Inteira</v>
      </c>
      <c r="H114" s="4" t="n">
        <f aca="false">IF($A114="","",IF(ISNUMBER(Base_Bruta!H114),Base_Bruta!H114,IFERROR(_xlfn.NUMBERVALUE(TRIM(SUBSTITUTE(Base_Bruta!H114,"R$","")),",","."),0)))</f>
        <v>1</v>
      </c>
      <c r="I114" s="6" t="n">
        <f aca="false">IF($A114="","",IF(ISNUMBER(Base_Bruta!I114),Base_Bruta!I114,IFERROR(_xlfn.NUMBERVALUE(TRIM(SUBSTITUTE(Base_Bruta!I114,"R$","")),",","."),0)))</f>
        <v>350</v>
      </c>
      <c r="J114" s="6" t="n">
        <f aca="false">IF($A114="","",H114*I114)</f>
        <v>350</v>
      </c>
      <c r="K114" s="4" t="str">
        <f aca="false">IF($A114="","",TRIM(Base_Bruta!J114))</f>
        <v>App</v>
      </c>
      <c r="L114" s="4" t="str">
        <f aca="false">IF($A114="","",TRIM(Base_Bruta!K114))</f>
        <v>C00148</v>
      </c>
      <c r="M114" s="4" t="str">
        <f aca="false">IF($A114="","",_xlfn.XLOOKUP(LOWER(TRIM(Base_Bruta!L114)),DePara_Cidade!$A$2:$A$29,DePara_Cidade!$B$2:$B$29,"REVISAR"))</f>
        <v>São Paulo</v>
      </c>
      <c r="N114" s="4" t="str">
        <f aca="false">IF($A114="","",UPPER(TRIM(Base_Bruta!M114)))</f>
        <v>SP</v>
      </c>
      <c r="O114" s="4" t="str">
        <f aca="false">IF($A114="","",_xlfn.XLOOKUP(LOWER(TRIM(Base_Bruta!N114)),DePara_Pais!$A$2:$A$9,DePara_Pais!$B$2:$B$9,"REVISAR"))</f>
        <v>Brasil</v>
      </c>
      <c r="P114" s="4" t="str">
        <f aca="false">IF($A114="","",IF(O114&lt;&gt;"Brasil","Turista Internacional",IF(M114=F114,"Local","Turista Nacional")))</f>
        <v>Local</v>
      </c>
      <c r="Q114" s="7" t="n">
        <f aca="false">IF($A114="","",DATE(YEAR(B114),MONTH(B114),1))</f>
        <v>45809</v>
      </c>
      <c r="R114" s="4" t="str">
        <f aca="false">IF($A114="","",IF(COUNTIF($A$2:$A114,$A114)&gt;1,"Sim","Não"))</f>
        <v>Não</v>
      </c>
      <c r="S114" s="4" t="str">
        <f aca="false">IF(A114="","Descartar - Linha vazia",IF(R114="Sim","Descartar - Duplicado",IF(OR(H114&lt;=0,I114&lt;=0),"Descartar - Qtd/Valor inválido","OK")))</f>
        <v>OK</v>
      </c>
      <c r="T114" s="4" t="str">
        <f aca="false">Base_Bruta!P114</f>
        <v>vendas_SP.xlsx</v>
      </c>
    </row>
    <row r="115" customFormat="false" ht="15" hidden="false" customHeight="false" outlineLevel="0" collapsed="false">
      <c r="A115" s="4" t="str">
        <f aca="false">IF(Base_Bruta!A115="","",Base_Bruta!A115)</f>
        <v>SP-000557</v>
      </c>
      <c r="B115" s="5" t="n">
        <f aca="false">IF($A115="","",IF(ISNUMBER(Base_Bruta!B115),Base_Bruta!B115,IF(MID(Base_Bruta!B115,5,1)="-",DATE(VALUE(LEFT(Base_Bruta!B115,4)),VALUE(MID(Base_Bruta!B115,6,2)),VALUE(RIGHT(Base_Bruta!B115,2))),DATE(VALUE(RIGHT(Base_Bruta!B115,4)),VALUE(MID(Base_Bruta!B115,4,2)),VALUE(LEFT(Base_Bruta!B115,2))))))</f>
        <v>45831</v>
      </c>
      <c r="C115" s="5" t="n">
        <f aca="false">IF($A115="","",IF(ISNUMBER(Base_Bruta!C115),Base_Bruta!C115,IF(MID(Base_Bruta!C115,5,1)="-",DATE(VALUE(LEFT(Base_Bruta!C115,4)),VALUE(MID(Base_Bruta!C115,6,2)),VALUE(RIGHT(Base_Bruta!C115,2))),DATE(VALUE(RIGHT(Base_Bruta!C115,4)),VALUE(MID(Base_Bruta!C115,4,2)),VALUE(LEFT(Base_Bruta!C115,2))))))</f>
        <v>45934</v>
      </c>
      <c r="D115" s="4" t="str">
        <f aca="false">IF($A115="","",TRIM(Base_Bruta!D115))</f>
        <v>Turnê Internacional Pop - SP</v>
      </c>
      <c r="E115" s="4" t="str">
        <f aca="false">IF($A115="","",_xlfn.XLOOKUP(LOWER(TRIM(Base_Bruta!E115)),DePara_Categoria!$A$2:$A$9,DePara_Categoria!$B$2:$B$9,"REVISAR"))</f>
        <v>Show</v>
      </c>
      <c r="F115" s="4" t="str">
        <f aca="false">IF($A115="","",_xlfn.XLOOKUP(LOWER(TRIM(Base_Bruta!F115)),DePara_Cidade!$A$2:$A$29,DePara_Cidade!$B$2:$B$29,"REVISAR"))</f>
        <v>São Paulo</v>
      </c>
      <c r="G115" s="4" t="str">
        <f aca="false">IF($A115="","",TRIM(Base_Bruta!G115))</f>
        <v>VIP</v>
      </c>
      <c r="H115" s="4" t="n">
        <f aca="false">IF($A115="","",IF(ISNUMBER(Base_Bruta!H115),Base_Bruta!H115,IFERROR(_xlfn.NUMBERVALUE(TRIM(SUBSTITUTE(Base_Bruta!H115,"R$","")),",","."),0)))</f>
        <v>3</v>
      </c>
      <c r="I115" s="6" t="n">
        <f aca="false">IF($A115="","",IF(ISNUMBER(Base_Bruta!I115),Base_Bruta!I115,IFERROR(_xlfn.NUMBERVALUE(TRIM(SUBSTITUTE(Base_Bruta!I115,"R$","")),",","."),0)))</f>
        <v>1060</v>
      </c>
      <c r="J115" s="6" t="n">
        <f aca="false">IF($A115="","",H115*I115)</f>
        <v>3180</v>
      </c>
      <c r="K115" s="4" t="str">
        <f aca="false">IF($A115="","",TRIM(Base_Bruta!J115))</f>
        <v>App</v>
      </c>
      <c r="L115" s="4" t="str">
        <f aca="false">IF($A115="","",TRIM(Base_Bruta!K115))</f>
        <v>C01738</v>
      </c>
      <c r="M115" s="4" t="str">
        <f aca="false">IF($A115="","",_xlfn.XLOOKUP(LOWER(TRIM(Base_Bruta!L115)),DePara_Cidade!$A$2:$A$29,DePara_Cidade!$B$2:$B$29,"REVISAR"))</f>
        <v>Santos</v>
      </c>
      <c r="N115" s="4" t="str">
        <f aca="false">IF($A115="","",UPPER(TRIM(Base_Bruta!M115)))</f>
        <v>SP</v>
      </c>
      <c r="O115" s="4" t="str">
        <f aca="false">IF($A115="","",_xlfn.XLOOKUP(LOWER(TRIM(Base_Bruta!N115)),DePara_Pais!$A$2:$A$9,DePara_Pais!$B$2:$B$9,"REVISAR"))</f>
        <v>Brasil</v>
      </c>
      <c r="P115" s="4" t="str">
        <f aca="false">IF($A115="","",IF(O115&lt;&gt;"Brasil","Turista Internacional",IF(M115=F115,"Local","Turista Nacional")))</f>
        <v>Turista Nacional</v>
      </c>
      <c r="Q115" s="7" t="n">
        <f aca="false">IF($A115="","",DATE(YEAR(B115),MONTH(B115),1))</f>
        <v>45809</v>
      </c>
      <c r="R115" s="4" t="str">
        <f aca="false">IF($A115="","",IF(COUNTIF($A$2:$A115,$A115)&gt;1,"Sim","Não"))</f>
        <v>Não</v>
      </c>
      <c r="S115" s="4" t="str">
        <f aca="false">IF(A115="","Descartar - Linha vazia",IF(R115="Sim","Descartar - Duplicado",IF(OR(H115&lt;=0,I115&lt;=0),"Descartar - Qtd/Valor inválido","OK")))</f>
        <v>OK</v>
      </c>
      <c r="T115" s="4" t="str">
        <f aca="false">Base_Bruta!P115</f>
        <v>vendas_SP.xlsx</v>
      </c>
    </row>
    <row r="116" customFormat="false" ht="15" hidden="false" customHeight="false" outlineLevel="0" collapsed="false">
      <c r="A116" s="4" t="str">
        <f aca="false">IF(Base_Bruta!A116="","",Base_Bruta!A116)</f>
        <v>SP-000529</v>
      </c>
      <c r="B116" s="5" t="n">
        <f aca="false">IF($A116="","",IF(ISNUMBER(Base_Bruta!B116),Base_Bruta!B116,IF(MID(Base_Bruta!B116,5,1)="-",DATE(VALUE(LEFT(Base_Bruta!B116,4)),VALUE(MID(Base_Bruta!B116,6,2)),VALUE(RIGHT(Base_Bruta!B116,2))),DATE(VALUE(RIGHT(Base_Bruta!B116,4)),VALUE(MID(Base_Bruta!B116,4,2)),VALUE(LEFT(Base_Bruta!B116,2))))))</f>
        <v>45832</v>
      </c>
      <c r="C116" s="5" t="n">
        <f aca="false">IF($A116="","",IF(ISNUMBER(Base_Bruta!C116),Base_Bruta!C116,IF(MID(Base_Bruta!C116,5,1)="-",DATE(VALUE(LEFT(Base_Bruta!C116,4)),VALUE(MID(Base_Bruta!C116,6,2)),VALUE(RIGHT(Base_Bruta!C116,2))),DATE(VALUE(RIGHT(Base_Bruta!C116,4)),VALUE(MID(Base_Bruta!C116,4,2)),VALUE(LEFT(Base_Bruta!C116,2))))))</f>
        <v>45934</v>
      </c>
      <c r="D116" s="4" t="str">
        <f aca="false">IF($A116="","",TRIM(Base_Bruta!D116))</f>
        <v>Turnê Internacional Pop - SP</v>
      </c>
      <c r="E116" s="4" t="str">
        <f aca="false">IF($A116="","",_xlfn.XLOOKUP(LOWER(TRIM(Base_Bruta!E116)),DePara_Categoria!$A$2:$A$9,DePara_Categoria!$B$2:$B$9,"REVISAR"))</f>
        <v>Show</v>
      </c>
      <c r="F116" s="4" t="str">
        <f aca="false">IF($A116="","",_xlfn.XLOOKUP(LOWER(TRIM(Base_Bruta!F116)),DePara_Cidade!$A$2:$A$29,DePara_Cidade!$B$2:$B$29,"REVISAR"))</f>
        <v>São Paulo</v>
      </c>
      <c r="G116" s="4" t="str">
        <f aca="false">IF($A116="","",TRIM(Base_Bruta!G116))</f>
        <v>Meia</v>
      </c>
      <c r="H116" s="4" t="n">
        <f aca="false">IF($A116="","",IF(ISNUMBER(Base_Bruta!H116),Base_Bruta!H116,IFERROR(_xlfn.NUMBERVALUE(TRIM(SUBSTITUTE(Base_Bruta!H116,"R$","")),",","."),0)))</f>
        <v>1</v>
      </c>
      <c r="I116" s="6" t="n">
        <f aca="false">IF($A116="","",IF(ISNUMBER(Base_Bruta!I116),Base_Bruta!I116,IFERROR(_xlfn.NUMBERVALUE(TRIM(SUBSTITUTE(Base_Bruta!I116,"R$","")),",","."),0)))</f>
        <v>352.5</v>
      </c>
      <c r="J116" s="6" t="n">
        <f aca="false">IF($A116="","",H116*I116)</f>
        <v>352.5</v>
      </c>
      <c r="K116" s="4" t="str">
        <f aca="false">IF($A116="","",TRIM(Base_Bruta!J116))</f>
        <v>Site</v>
      </c>
      <c r="L116" s="4" t="str">
        <f aca="false">IF($A116="","",TRIM(Base_Bruta!K116))</f>
        <v>C01422</v>
      </c>
      <c r="M116" s="4" t="str">
        <f aca="false">IF($A116="","",_xlfn.XLOOKUP(LOWER(TRIM(Base_Bruta!L116)),DePara_Cidade!$A$2:$A$29,DePara_Cidade!$B$2:$B$29,"REVISAR"))</f>
        <v>São Paulo</v>
      </c>
      <c r="N116" s="4" t="str">
        <f aca="false">IF($A116="","",UPPER(TRIM(Base_Bruta!M116)))</f>
        <v>SP</v>
      </c>
      <c r="O116" s="4" t="str">
        <f aca="false">IF($A116="","",_xlfn.XLOOKUP(LOWER(TRIM(Base_Bruta!N116)),DePara_Pais!$A$2:$A$9,DePara_Pais!$B$2:$B$9,"REVISAR"))</f>
        <v>Brasil</v>
      </c>
      <c r="P116" s="4" t="str">
        <f aca="false">IF($A116="","",IF(O116&lt;&gt;"Brasil","Turista Internacional",IF(M116=F116,"Local","Turista Nacional")))</f>
        <v>Local</v>
      </c>
      <c r="Q116" s="7" t="n">
        <f aca="false">IF($A116="","",DATE(YEAR(B116),MONTH(B116),1))</f>
        <v>45809</v>
      </c>
      <c r="R116" s="4" t="str">
        <f aca="false">IF($A116="","",IF(COUNTIF($A$2:$A116,$A116)&gt;1,"Sim","Não"))</f>
        <v>Não</v>
      </c>
      <c r="S116" s="4" t="str">
        <f aca="false">IF(A116="","Descartar - Linha vazia",IF(R116="Sim","Descartar - Duplicado",IF(OR(H116&lt;=0,I116&lt;=0),"Descartar - Qtd/Valor inválido","OK")))</f>
        <v>OK</v>
      </c>
      <c r="T116" s="4" t="str">
        <f aca="false">Base_Bruta!P116</f>
        <v>vendas_SP.xlsx</v>
      </c>
    </row>
    <row r="117" customFormat="false" ht="15" hidden="false" customHeight="false" outlineLevel="0" collapsed="false">
      <c r="A117" s="4" t="str">
        <f aca="false">IF(Base_Bruta!A117="","",Base_Bruta!A117)</f>
        <v>SP-000537</v>
      </c>
      <c r="B117" s="5" t="n">
        <f aca="false">IF($A117="","",IF(ISNUMBER(Base_Bruta!B117),Base_Bruta!B117,IF(MID(Base_Bruta!B117,5,1)="-",DATE(VALUE(LEFT(Base_Bruta!B117,4)),VALUE(MID(Base_Bruta!B117,6,2)),VALUE(RIGHT(Base_Bruta!B117,2))),DATE(VALUE(RIGHT(Base_Bruta!B117,4)),VALUE(MID(Base_Bruta!B117,4,2)),VALUE(LEFT(Base_Bruta!B117,2))))))</f>
        <v>45832</v>
      </c>
      <c r="C117" s="5" t="n">
        <f aca="false">IF($A117="","",IF(ISNUMBER(Base_Bruta!C117),Base_Bruta!C117,IF(MID(Base_Bruta!C117,5,1)="-",DATE(VALUE(LEFT(Base_Bruta!C117,4)),VALUE(MID(Base_Bruta!C117,6,2)),VALUE(RIGHT(Base_Bruta!C117,2))),DATE(VALUE(RIGHT(Base_Bruta!C117,4)),VALUE(MID(Base_Bruta!C117,4,2)),VALUE(LEFT(Base_Bruta!C117,2))))))</f>
        <v>45934</v>
      </c>
      <c r="D117" s="4" t="str">
        <f aca="false">IF($A117="","",TRIM(Base_Bruta!D117))</f>
        <v>Turnê Internacional Pop - SP</v>
      </c>
      <c r="E117" s="4" t="str">
        <f aca="false">IF($A117="","",_xlfn.XLOOKUP(LOWER(TRIM(Base_Bruta!E117)),DePara_Categoria!$A$2:$A$9,DePara_Categoria!$B$2:$B$9,"REVISAR"))</f>
        <v>Show</v>
      </c>
      <c r="F117" s="4" t="str">
        <f aca="false">IF($A117="","",_xlfn.XLOOKUP(LOWER(TRIM(Base_Bruta!F117)),DePara_Cidade!$A$2:$A$29,DePara_Cidade!$B$2:$B$29,"REVISAR"))</f>
        <v>São Paulo</v>
      </c>
      <c r="G117" s="4" t="str">
        <f aca="false">IF($A117="","",TRIM(Base_Bruta!G117))</f>
        <v>Inteira</v>
      </c>
      <c r="H117" s="4" t="n">
        <f aca="false">IF($A117="","",IF(ISNUMBER(Base_Bruta!H117),Base_Bruta!H117,IFERROR(_xlfn.NUMBERVALUE(TRIM(SUBSTITUTE(Base_Bruta!H117,"R$","")),",","."),0)))</f>
        <v>1</v>
      </c>
      <c r="I117" s="6" t="n">
        <f aca="false">IF($A117="","",IF(ISNUMBER(Base_Bruta!I117),Base_Bruta!I117,IFERROR(_xlfn.NUMBERVALUE(TRIM(SUBSTITUTE(Base_Bruta!I117,"R$","")),",","."),0)))</f>
        <v>240</v>
      </c>
      <c r="J117" s="6" t="n">
        <f aca="false">IF($A117="","",H117*I117)</f>
        <v>240</v>
      </c>
      <c r="K117" s="4" t="str">
        <f aca="false">IF($A117="","",TRIM(Base_Bruta!J117))</f>
        <v>Site</v>
      </c>
      <c r="L117" s="4" t="str">
        <f aca="false">IF($A117="","",TRIM(Base_Bruta!K117))</f>
        <v>C00738</v>
      </c>
      <c r="M117" s="4" t="str">
        <f aca="false">IF($A117="","",_xlfn.XLOOKUP(LOWER(TRIM(Base_Bruta!L117)),DePara_Cidade!$A$2:$A$29,DePara_Cidade!$B$2:$B$29,"REVISAR"))</f>
        <v>São Paulo</v>
      </c>
      <c r="N117" s="4" t="str">
        <f aca="false">IF($A117="","",UPPER(TRIM(Base_Bruta!M117)))</f>
        <v>SP</v>
      </c>
      <c r="O117" s="4" t="str">
        <f aca="false">IF($A117="","",_xlfn.XLOOKUP(LOWER(TRIM(Base_Bruta!N117)),DePara_Pais!$A$2:$A$9,DePara_Pais!$B$2:$B$9,"REVISAR"))</f>
        <v>Brasil</v>
      </c>
      <c r="P117" s="4" t="str">
        <f aca="false">IF($A117="","",IF(O117&lt;&gt;"Brasil","Turista Internacional",IF(M117=F117,"Local","Turista Nacional")))</f>
        <v>Local</v>
      </c>
      <c r="Q117" s="7" t="n">
        <f aca="false">IF($A117="","",DATE(YEAR(B117),MONTH(B117),1))</f>
        <v>45809</v>
      </c>
      <c r="R117" s="4" t="str">
        <f aca="false">IF($A117="","",IF(COUNTIF($A$2:$A117,$A117)&gt;1,"Sim","Não"))</f>
        <v>Não</v>
      </c>
      <c r="S117" s="4" t="str">
        <f aca="false">IF(A117="","Descartar - Linha vazia",IF(R117="Sim","Descartar - Duplicado",IF(OR(H117&lt;=0,I117&lt;=0),"Descartar - Qtd/Valor inválido","OK")))</f>
        <v>OK</v>
      </c>
      <c r="T117" s="4" t="str">
        <f aca="false">Base_Bruta!P117</f>
        <v>vendas_SP.xlsx</v>
      </c>
    </row>
    <row r="118" customFormat="false" ht="15" hidden="false" customHeight="false" outlineLevel="0" collapsed="false">
      <c r="A118" s="4" t="str">
        <f aca="false">IF(Base_Bruta!A118="","",Base_Bruta!A118)</f>
        <v>SP-000559</v>
      </c>
      <c r="B118" s="5" t="n">
        <f aca="false">IF($A118="","",IF(ISNUMBER(Base_Bruta!B118),Base_Bruta!B118,IF(MID(Base_Bruta!B118,5,1)="-",DATE(VALUE(LEFT(Base_Bruta!B118,4)),VALUE(MID(Base_Bruta!B118,6,2)),VALUE(RIGHT(Base_Bruta!B118,2))),DATE(VALUE(RIGHT(Base_Bruta!B118,4)),VALUE(MID(Base_Bruta!B118,4,2)),VALUE(LEFT(Base_Bruta!B118,2))))))</f>
        <v>45832</v>
      </c>
      <c r="C118" s="5" t="n">
        <f aca="false">IF($A118="","",IF(ISNUMBER(Base_Bruta!C118),Base_Bruta!C118,IF(MID(Base_Bruta!C118,5,1)="-",DATE(VALUE(LEFT(Base_Bruta!C118,4)),VALUE(MID(Base_Bruta!C118,6,2)),VALUE(RIGHT(Base_Bruta!C118,2))),DATE(VALUE(RIGHT(Base_Bruta!C118,4)),VALUE(MID(Base_Bruta!C118,4,2)),VALUE(LEFT(Base_Bruta!C118,2))))))</f>
        <v>45934</v>
      </c>
      <c r="D118" s="4" t="str">
        <f aca="false">IF($A118="","",TRIM(Base_Bruta!D118))</f>
        <v>Turnê Internacional Pop - SP</v>
      </c>
      <c r="E118" s="4" t="str">
        <f aca="false">IF($A118="","",_xlfn.XLOOKUP(LOWER(TRIM(Base_Bruta!E118)),DePara_Categoria!$A$2:$A$9,DePara_Categoria!$B$2:$B$9,"REVISAR"))</f>
        <v>Show</v>
      </c>
      <c r="F118" s="4" t="str">
        <f aca="false">IF($A118="","",_xlfn.XLOOKUP(LOWER(TRIM(Base_Bruta!F118)),DePara_Cidade!$A$2:$A$29,DePara_Cidade!$B$2:$B$29,"REVISAR"))</f>
        <v>São Paulo</v>
      </c>
      <c r="G118" s="4" t="str">
        <f aca="false">IF($A118="","",TRIM(Base_Bruta!G118))</f>
        <v>Meia</v>
      </c>
      <c r="H118" s="4" t="n">
        <f aca="false">IF($A118="","",IF(ISNUMBER(Base_Bruta!H118),Base_Bruta!H118,IFERROR(_xlfn.NUMBERVALUE(TRIM(SUBSTITUTE(Base_Bruta!H118,"R$","")),",","."),0)))</f>
        <v>2</v>
      </c>
      <c r="I118" s="6" t="n">
        <f aca="false">IF($A118="","",IF(ISNUMBER(Base_Bruta!I118),Base_Bruta!I118,IFERROR(_xlfn.NUMBERVALUE(TRIM(SUBSTITUTE(Base_Bruta!I118,"R$","")),",","."),0)))</f>
        <v>195</v>
      </c>
      <c r="J118" s="6" t="n">
        <f aca="false">IF($A118="","",H118*I118)</f>
        <v>390</v>
      </c>
      <c r="K118" s="4" t="str">
        <f aca="false">IF($A118="","",TRIM(Base_Bruta!J118))</f>
        <v>Parceiro</v>
      </c>
      <c r="L118" s="4" t="str">
        <f aca="false">IF($A118="","",TRIM(Base_Bruta!K118))</f>
        <v>C00603</v>
      </c>
      <c r="M118" s="4" t="str">
        <f aca="false">IF($A118="","",_xlfn.XLOOKUP(LOWER(TRIM(Base_Bruta!L118)),DePara_Cidade!$A$2:$A$29,DePara_Cidade!$B$2:$B$29,"REVISAR"))</f>
        <v>Niterói</v>
      </c>
      <c r="N118" s="4" t="str">
        <f aca="false">IF($A118="","",UPPER(TRIM(Base_Bruta!M118)))</f>
        <v>RJ</v>
      </c>
      <c r="O118" s="4" t="str">
        <f aca="false">IF($A118="","",_xlfn.XLOOKUP(LOWER(TRIM(Base_Bruta!N118)),DePara_Pais!$A$2:$A$9,DePara_Pais!$B$2:$B$9,"REVISAR"))</f>
        <v>Brasil</v>
      </c>
      <c r="P118" s="4" t="str">
        <f aca="false">IF($A118="","",IF(O118&lt;&gt;"Brasil","Turista Internacional",IF(M118=F118,"Local","Turista Nacional")))</f>
        <v>Turista Nacional</v>
      </c>
      <c r="Q118" s="7" t="n">
        <f aca="false">IF($A118="","",DATE(YEAR(B118),MONTH(B118),1))</f>
        <v>45809</v>
      </c>
      <c r="R118" s="4" t="str">
        <f aca="false">IF($A118="","",IF(COUNTIF($A$2:$A118,$A118)&gt;1,"Sim","Não"))</f>
        <v>Não</v>
      </c>
      <c r="S118" s="4" t="str">
        <f aca="false">IF(A118="","Descartar - Linha vazia",IF(R118="Sim","Descartar - Duplicado",IF(OR(H118&lt;=0,I118&lt;=0),"Descartar - Qtd/Valor inválido","OK")))</f>
        <v>OK</v>
      </c>
      <c r="T118" s="4" t="str">
        <f aca="false">Base_Bruta!P118</f>
        <v>vendas_SP.xlsx</v>
      </c>
    </row>
    <row r="119" customFormat="false" ht="15" hidden="false" customHeight="false" outlineLevel="0" collapsed="false">
      <c r="A119" s="4" t="str">
        <f aca="false">IF(Base_Bruta!A119="","",Base_Bruta!A119)</f>
        <v>SP-000564</v>
      </c>
      <c r="B119" s="5" t="n">
        <f aca="false">IF($A119="","",IF(ISNUMBER(Base_Bruta!B119),Base_Bruta!B119,IF(MID(Base_Bruta!B119,5,1)="-",DATE(VALUE(LEFT(Base_Bruta!B119,4)),VALUE(MID(Base_Bruta!B119,6,2)),VALUE(RIGHT(Base_Bruta!B119,2))),DATE(VALUE(RIGHT(Base_Bruta!B119,4)),VALUE(MID(Base_Bruta!B119,4,2)),VALUE(LEFT(Base_Bruta!B119,2))))))</f>
        <v>45832</v>
      </c>
      <c r="C119" s="5" t="n">
        <f aca="false">IF($A119="","",IF(ISNUMBER(Base_Bruta!C119),Base_Bruta!C119,IF(MID(Base_Bruta!C119,5,1)="-",DATE(VALUE(LEFT(Base_Bruta!C119,4)),VALUE(MID(Base_Bruta!C119,6,2)),VALUE(RIGHT(Base_Bruta!C119,2))),DATE(VALUE(RIGHT(Base_Bruta!C119,4)),VALUE(MID(Base_Bruta!C119,4,2)),VALUE(LEFT(Base_Bruta!C119,2))))))</f>
        <v>45934</v>
      </c>
      <c r="D119" s="4" t="str">
        <f aca="false">IF($A119="","",TRIM(Base_Bruta!D119))</f>
        <v>Turnê Internacional Pop - SP</v>
      </c>
      <c r="E119" s="4" t="str">
        <f aca="false">IF($A119="","",_xlfn.XLOOKUP(LOWER(TRIM(Base_Bruta!E119)),DePara_Categoria!$A$2:$A$9,DePara_Categoria!$B$2:$B$9,"REVISAR"))</f>
        <v>Show</v>
      </c>
      <c r="F119" s="4" t="str">
        <f aca="false">IF($A119="","",_xlfn.XLOOKUP(LOWER(TRIM(Base_Bruta!F119)),DePara_Cidade!$A$2:$A$29,DePara_Cidade!$B$2:$B$29,"REVISAR"))</f>
        <v>São Paulo</v>
      </c>
      <c r="G119" s="4" t="str">
        <f aca="false">IF($A119="","",TRIM(Base_Bruta!G119))</f>
        <v>Meia</v>
      </c>
      <c r="H119" s="4" t="n">
        <f aca="false">IF($A119="","",IF(ISNUMBER(Base_Bruta!H119),Base_Bruta!H119,IFERROR(_xlfn.NUMBERVALUE(TRIM(SUBSTITUTE(Base_Bruta!H119,"R$","")),",","."),0)))</f>
        <v>2</v>
      </c>
      <c r="I119" s="6" t="n">
        <f aca="false">IF($A119="","",IF(ISNUMBER(Base_Bruta!I119),Base_Bruta!I119,IFERROR(_xlfn.NUMBERVALUE(TRIM(SUBSTITUTE(Base_Bruta!I119,"R$","")),",","."),0)))</f>
        <v>347.5</v>
      </c>
      <c r="J119" s="6" t="n">
        <f aca="false">IF($A119="","",H119*I119)</f>
        <v>695</v>
      </c>
      <c r="K119" s="4" t="str">
        <f aca="false">IF($A119="","",TRIM(Base_Bruta!J119))</f>
        <v>Site</v>
      </c>
      <c r="L119" s="4" t="str">
        <f aca="false">IF($A119="","",TRIM(Base_Bruta!K119))</f>
        <v>C00664</v>
      </c>
      <c r="M119" s="4" t="str">
        <f aca="false">IF($A119="","",_xlfn.XLOOKUP(LOWER(TRIM(Base_Bruta!L119)),DePara_Cidade!$A$2:$A$29,DePara_Cidade!$B$2:$B$29,"REVISAR"))</f>
        <v>Brasília</v>
      </c>
      <c r="N119" s="4" t="str">
        <f aca="false">IF($A119="","",UPPER(TRIM(Base_Bruta!M119)))</f>
        <v>DF</v>
      </c>
      <c r="O119" s="4" t="str">
        <f aca="false">IF($A119="","",_xlfn.XLOOKUP(LOWER(TRIM(Base_Bruta!N119)),DePara_Pais!$A$2:$A$9,DePara_Pais!$B$2:$B$9,"REVISAR"))</f>
        <v>Brasil</v>
      </c>
      <c r="P119" s="4" t="str">
        <f aca="false">IF($A119="","",IF(O119&lt;&gt;"Brasil","Turista Internacional",IF(M119=F119,"Local","Turista Nacional")))</f>
        <v>Turista Nacional</v>
      </c>
      <c r="Q119" s="7" t="n">
        <f aca="false">IF($A119="","",DATE(YEAR(B119),MONTH(B119),1))</f>
        <v>45809</v>
      </c>
      <c r="R119" s="4" t="str">
        <f aca="false">IF($A119="","",IF(COUNTIF($A$2:$A119,$A119)&gt;1,"Sim","Não"))</f>
        <v>Não</v>
      </c>
      <c r="S119" s="4" t="str">
        <f aca="false">IF(A119="","Descartar - Linha vazia",IF(R119="Sim","Descartar - Duplicado",IF(OR(H119&lt;=0,I119&lt;=0),"Descartar - Qtd/Valor inválido","OK")))</f>
        <v>OK</v>
      </c>
      <c r="T119" s="4" t="str">
        <f aca="false">Base_Bruta!P119</f>
        <v>vendas_SP.xlsx</v>
      </c>
    </row>
    <row r="120" customFormat="false" ht="15" hidden="false" customHeight="false" outlineLevel="0" collapsed="false">
      <c r="A120" s="4" t="str">
        <f aca="false">IF(Base_Bruta!A120="","",Base_Bruta!A120)</f>
        <v>SP-000729</v>
      </c>
      <c r="B120" s="5" t="n">
        <f aca="false">IF($A120="","",IF(ISNUMBER(Base_Bruta!B120),Base_Bruta!B120,IF(MID(Base_Bruta!B120,5,1)="-",DATE(VALUE(LEFT(Base_Bruta!B120,4)),VALUE(MID(Base_Bruta!B120,6,2)),VALUE(RIGHT(Base_Bruta!B120,2))),DATE(VALUE(RIGHT(Base_Bruta!B120,4)),VALUE(MID(Base_Bruta!B120,4,2)),VALUE(LEFT(Base_Bruta!B120,2))))))</f>
        <v>45833</v>
      </c>
      <c r="C120" s="5" t="n">
        <f aca="false">IF($A120="","",IF(ISNUMBER(Base_Bruta!C120),Base_Bruta!C120,IF(MID(Base_Bruta!C120,5,1)="-",DATE(VALUE(LEFT(Base_Bruta!C120,4)),VALUE(MID(Base_Bruta!C120,6,2)),VALUE(RIGHT(Base_Bruta!C120,2))),DATE(VALUE(RIGHT(Base_Bruta!C120,4)),VALUE(MID(Base_Bruta!C120,4,2)),VALUE(LEFT(Base_Bruta!C120,2))))))</f>
        <v>45834</v>
      </c>
      <c r="D120" s="4" t="str">
        <f aca="false">IF($A120="","",TRIM(Base_Bruta!D120))</f>
        <v>Cinema Paulista - Sessões</v>
      </c>
      <c r="E120" s="4" t="str">
        <f aca="false">IF($A120="","",_xlfn.XLOOKUP(LOWER(TRIM(Base_Bruta!E120)),DePara_Categoria!$A$2:$A$9,DePara_Categoria!$B$2:$B$9,"REVISAR"))</f>
        <v>Cinema</v>
      </c>
      <c r="F120" s="4" t="str">
        <f aca="false">IF($A120="","",_xlfn.XLOOKUP(LOWER(TRIM(Base_Bruta!F120)),DePara_Cidade!$A$2:$A$29,DePara_Cidade!$B$2:$B$29,"REVISAR"))</f>
        <v>São Paulo</v>
      </c>
      <c r="G120" s="4" t="str">
        <f aca="false">IF($A120="","",TRIM(Base_Bruta!G120))</f>
        <v>Inteira</v>
      </c>
      <c r="H120" s="4" t="n">
        <f aca="false">IF($A120="","",IF(ISNUMBER(Base_Bruta!H120),Base_Bruta!H120,IFERROR(_xlfn.NUMBERVALUE(TRIM(SUBSTITUTE(Base_Bruta!H120,"R$","")),",","."),0)))</f>
        <v>4</v>
      </c>
      <c r="I120" s="6" t="n">
        <f aca="false">IF($A120="","",IF(ISNUMBER(Base_Bruta!I120),Base_Bruta!I120,IFERROR(_xlfn.NUMBERVALUE(TRIM(SUBSTITUTE(Base_Bruta!I120,"R$","")),",","."),0)))</f>
        <v>35</v>
      </c>
      <c r="J120" s="6" t="n">
        <f aca="false">IF($A120="","",H120*I120)</f>
        <v>140</v>
      </c>
      <c r="K120" s="4" t="str">
        <f aca="false">IF($A120="","",TRIM(Base_Bruta!J120))</f>
        <v>Bilheteria</v>
      </c>
      <c r="L120" s="4" t="str">
        <f aca="false">IF($A120="","",TRIM(Base_Bruta!K120))</f>
        <v>C00571</v>
      </c>
      <c r="M120" s="4" t="str">
        <f aca="false">IF($A120="","",_xlfn.XLOOKUP(LOWER(TRIM(Base_Bruta!L120)),DePara_Cidade!$A$2:$A$29,DePara_Cidade!$B$2:$B$29,"REVISAR"))</f>
        <v>São Paulo</v>
      </c>
      <c r="N120" s="4" t="str">
        <f aca="false">IF($A120="","",UPPER(TRIM(Base_Bruta!M120)))</f>
        <v>SP</v>
      </c>
      <c r="O120" s="4" t="str">
        <f aca="false">IF($A120="","",_xlfn.XLOOKUP(LOWER(TRIM(Base_Bruta!N120)),DePara_Pais!$A$2:$A$9,DePara_Pais!$B$2:$B$9,"REVISAR"))</f>
        <v>Brasil</v>
      </c>
      <c r="P120" s="4" t="str">
        <f aca="false">IF($A120="","",IF(O120&lt;&gt;"Brasil","Turista Internacional",IF(M120=F120,"Local","Turista Nacional")))</f>
        <v>Local</v>
      </c>
      <c r="Q120" s="7" t="n">
        <f aca="false">IF($A120="","",DATE(YEAR(B120),MONTH(B120),1))</f>
        <v>45809</v>
      </c>
      <c r="R120" s="4" t="str">
        <f aca="false">IF($A120="","",IF(COUNTIF($A$2:$A120,$A120)&gt;1,"Sim","Não"))</f>
        <v>Não</v>
      </c>
      <c r="S120" s="4" t="str">
        <f aca="false">IF(A120="","Descartar - Linha vazia",IF(R120="Sim","Descartar - Duplicado",IF(OR(H120&lt;=0,I120&lt;=0),"Descartar - Qtd/Valor inválido","OK")))</f>
        <v>OK</v>
      </c>
      <c r="T120" s="4" t="str">
        <f aca="false">Base_Bruta!P120</f>
        <v>vendas_SP.xlsx</v>
      </c>
    </row>
    <row r="121" customFormat="false" ht="15" hidden="false" customHeight="false" outlineLevel="0" collapsed="false">
      <c r="A121" s="4" t="str">
        <f aca="false">IF(Base_Bruta!A121="","",Base_Bruta!A121)</f>
        <v>SP-000480</v>
      </c>
      <c r="B121" s="5" t="n">
        <f aca="false">IF($A121="","",IF(ISNUMBER(Base_Bruta!B121),Base_Bruta!B121,IF(MID(Base_Bruta!B121,5,1)="-",DATE(VALUE(LEFT(Base_Bruta!B121,4)),VALUE(MID(Base_Bruta!B121,6,2)),VALUE(RIGHT(Base_Bruta!B121,2))),DATE(VALUE(RIGHT(Base_Bruta!B121,4)),VALUE(MID(Base_Bruta!B121,4,2)),VALUE(LEFT(Base_Bruta!B121,2))))))</f>
        <v>45834</v>
      </c>
      <c r="C121" s="5" t="n">
        <f aca="false">IF($A121="","",IF(ISNUMBER(Base_Bruta!C121),Base_Bruta!C121,IF(MID(Base_Bruta!C121,5,1)="-",DATE(VALUE(LEFT(Base_Bruta!C121,4)),VALUE(MID(Base_Bruta!C121,6,2)),VALUE(RIGHT(Base_Bruta!C121,2))),DATE(VALUE(RIGHT(Base_Bruta!C121,4)),VALUE(MID(Base_Bruta!C121,4,2)),VALUE(LEFT(Base_Bruta!C121,2))))))</f>
        <v>45934</v>
      </c>
      <c r="D121" s="4" t="str">
        <f aca="false">IF($A121="","",TRIM(Base_Bruta!D121))</f>
        <v>Turnê Internacional Pop - SP</v>
      </c>
      <c r="E121" s="4" t="str">
        <f aca="false">IF($A121="","",_xlfn.XLOOKUP(LOWER(TRIM(Base_Bruta!E121)),DePara_Categoria!$A$2:$A$9,DePara_Categoria!$B$2:$B$9,"REVISAR"))</f>
        <v>Show</v>
      </c>
      <c r="F121" s="4" t="str">
        <f aca="false">IF($A121="","",_xlfn.XLOOKUP(LOWER(TRIM(Base_Bruta!F121)),DePara_Cidade!$A$2:$A$29,DePara_Cidade!$B$2:$B$29,"REVISAR"))</f>
        <v>São Paulo</v>
      </c>
      <c r="G121" s="4" t="str">
        <f aca="false">IF($A121="","",TRIM(Base_Bruta!G121))</f>
        <v>Inteira</v>
      </c>
      <c r="H121" s="4" t="n">
        <f aca="false">IF($A121="","",IF(ISNUMBER(Base_Bruta!H121),Base_Bruta!H121,IFERROR(_xlfn.NUMBERVALUE(TRIM(SUBSTITUTE(Base_Bruta!H121,"R$","")),",","."),0)))</f>
        <v>1</v>
      </c>
      <c r="I121" s="6" t="n">
        <f aca="false">IF($A121="","",IF(ISNUMBER(Base_Bruta!I121),Base_Bruta!I121,IFERROR(_xlfn.NUMBERVALUE(TRIM(SUBSTITUTE(Base_Bruta!I121,"R$","")),",","."),0)))</f>
        <v>605</v>
      </c>
      <c r="J121" s="6" t="n">
        <f aca="false">IF($A121="","",H121*I121)</f>
        <v>605</v>
      </c>
      <c r="K121" s="4" t="str">
        <f aca="false">IF($A121="","",TRIM(Base_Bruta!J121))</f>
        <v>Site</v>
      </c>
      <c r="L121" s="4" t="str">
        <f aca="false">IF($A121="","",TRIM(Base_Bruta!K121))</f>
        <v>C01089</v>
      </c>
      <c r="M121" s="4" t="str">
        <f aca="false">IF($A121="","",_xlfn.XLOOKUP(LOWER(TRIM(Base_Bruta!L121)),DePara_Cidade!$A$2:$A$29,DePara_Cidade!$B$2:$B$29,"REVISAR"))</f>
        <v>São Paulo</v>
      </c>
      <c r="N121" s="4" t="str">
        <f aca="false">IF($A121="","",UPPER(TRIM(Base_Bruta!M121)))</f>
        <v>SP</v>
      </c>
      <c r="O121" s="4" t="str">
        <f aca="false">IF($A121="","",_xlfn.XLOOKUP(LOWER(TRIM(Base_Bruta!N121)),DePara_Pais!$A$2:$A$9,DePara_Pais!$B$2:$B$9,"REVISAR"))</f>
        <v>Brasil</v>
      </c>
      <c r="P121" s="4" t="str">
        <f aca="false">IF($A121="","",IF(O121&lt;&gt;"Brasil","Turista Internacional",IF(M121=F121,"Local","Turista Nacional")))</f>
        <v>Local</v>
      </c>
      <c r="Q121" s="7" t="n">
        <f aca="false">IF($A121="","",DATE(YEAR(B121),MONTH(B121),1))</f>
        <v>45809</v>
      </c>
      <c r="R121" s="4" t="str">
        <f aca="false">IF($A121="","",IF(COUNTIF($A$2:$A121,$A121)&gt;1,"Sim","Não"))</f>
        <v>Não</v>
      </c>
      <c r="S121" s="4" t="str">
        <f aca="false">IF(A121="","Descartar - Linha vazia",IF(R121="Sim","Descartar - Duplicado",IF(OR(H121&lt;=0,I121&lt;=0),"Descartar - Qtd/Valor inválido","OK")))</f>
        <v>OK</v>
      </c>
      <c r="T121" s="4" t="str">
        <f aca="false">Base_Bruta!P121</f>
        <v>vendas_SP.xlsx</v>
      </c>
    </row>
    <row r="122" customFormat="false" ht="15" hidden="false" customHeight="false" outlineLevel="0" collapsed="false">
      <c r="A122" s="4" t="str">
        <f aca="false">IF(Base_Bruta!A122="","",Base_Bruta!A122)</f>
        <v>SP-000503</v>
      </c>
      <c r="B122" s="5" t="n">
        <f aca="false">IF($A122="","",IF(ISNUMBER(Base_Bruta!B122),Base_Bruta!B122,IF(MID(Base_Bruta!B122,5,1)="-",DATE(VALUE(LEFT(Base_Bruta!B122,4)),VALUE(MID(Base_Bruta!B122,6,2)),VALUE(RIGHT(Base_Bruta!B122,2))),DATE(VALUE(RIGHT(Base_Bruta!B122,4)),VALUE(MID(Base_Bruta!B122,4,2)),VALUE(LEFT(Base_Bruta!B122,2))))))</f>
        <v>45834</v>
      </c>
      <c r="C122" s="5" t="n">
        <f aca="false">IF($A122="","",IF(ISNUMBER(Base_Bruta!C122),Base_Bruta!C122,IF(MID(Base_Bruta!C122,5,1)="-",DATE(VALUE(LEFT(Base_Bruta!C122,4)),VALUE(MID(Base_Bruta!C122,6,2)),VALUE(RIGHT(Base_Bruta!C122,2))),DATE(VALUE(RIGHT(Base_Bruta!C122,4)),VALUE(MID(Base_Bruta!C122,4,2)),VALUE(LEFT(Base_Bruta!C122,2))))))</f>
        <v>45934</v>
      </c>
      <c r="D122" s="4" t="str">
        <f aca="false">IF($A122="","",TRIM(Base_Bruta!D122))</f>
        <v>Turnê Internacional Pop - SP</v>
      </c>
      <c r="E122" s="4" t="str">
        <f aca="false">IF($A122="","",_xlfn.XLOOKUP(LOWER(TRIM(Base_Bruta!E122)),DePara_Categoria!$A$2:$A$9,DePara_Categoria!$B$2:$B$9,"REVISAR"))</f>
        <v>Show</v>
      </c>
      <c r="F122" s="4" t="str">
        <f aca="false">IF($A122="","",_xlfn.XLOOKUP(LOWER(TRIM(Base_Bruta!F122)),DePara_Cidade!$A$2:$A$29,DePara_Cidade!$B$2:$B$29,"REVISAR"))</f>
        <v>São Paulo</v>
      </c>
      <c r="G122" s="4" t="str">
        <f aca="false">IF($A122="","",TRIM(Base_Bruta!G122))</f>
        <v>VIP</v>
      </c>
      <c r="H122" s="4" t="n">
        <f aca="false">IF($A122="","",IF(ISNUMBER(Base_Bruta!H122),Base_Bruta!H122,IFERROR(_xlfn.NUMBERVALUE(TRIM(SUBSTITUTE(Base_Bruta!H122,"R$","")),",","."),0)))</f>
        <v>1</v>
      </c>
      <c r="I122" s="6" t="n">
        <f aca="false">IF($A122="","",IF(ISNUMBER(Base_Bruta!I122),Base_Bruta!I122,IFERROR(_xlfn.NUMBERVALUE(TRIM(SUBSTITUTE(Base_Bruta!I122,"R$","")),",","."),0)))</f>
        <v>500</v>
      </c>
      <c r="J122" s="6" t="n">
        <f aca="false">IF($A122="","",H122*I122)</f>
        <v>500</v>
      </c>
      <c r="K122" s="4" t="str">
        <f aca="false">IF($A122="","",TRIM(Base_Bruta!J122))</f>
        <v>Site</v>
      </c>
      <c r="L122" s="4" t="str">
        <f aca="false">IF($A122="","",TRIM(Base_Bruta!K122))</f>
        <v>C02096</v>
      </c>
      <c r="M122" s="4" t="str">
        <f aca="false">IF($A122="","",_xlfn.XLOOKUP(LOWER(TRIM(Base_Bruta!L122)),DePara_Cidade!$A$2:$A$29,DePara_Cidade!$B$2:$B$29,"REVISAR"))</f>
        <v>São Paulo</v>
      </c>
      <c r="N122" s="4" t="str">
        <f aca="false">IF($A122="","",UPPER(TRIM(Base_Bruta!M122)))</f>
        <v>SP</v>
      </c>
      <c r="O122" s="4" t="str">
        <f aca="false">IF($A122="","",_xlfn.XLOOKUP(LOWER(TRIM(Base_Bruta!N122)),DePara_Pais!$A$2:$A$9,DePara_Pais!$B$2:$B$9,"REVISAR"))</f>
        <v>Brasil</v>
      </c>
      <c r="P122" s="4" t="str">
        <f aca="false">IF($A122="","",IF(O122&lt;&gt;"Brasil","Turista Internacional",IF(M122=F122,"Local","Turista Nacional")))</f>
        <v>Local</v>
      </c>
      <c r="Q122" s="7" t="n">
        <f aca="false">IF($A122="","",DATE(YEAR(B122),MONTH(B122),1))</f>
        <v>45809</v>
      </c>
      <c r="R122" s="4" t="str">
        <f aca="false">IF($A122="","",IF(COUNTIF($A$2:$A122,$A122)&gt;1,"Sim","Não"))</f>
        <v>Não</v>
      </c>
      <c r="S122" s="4" t="str">
        <f aca="false">IF(A122="","Descartar - Linha vazia",IF(R122="Sim","Descartar - Duplicado",IF(OR(H122&lt;=0,I122&lt;=0),"Descartar - Qtd/Valor inválido","OK")))</f>
        <v>OK</v>
      </c>
      <c r="T122" s="4" t="str">
        <f aca="false">Base_Bruta!P122</f>
        <v>vendas_SP.xlsx</v>
      </c>
    </row>
    <row r="123" customFormat="false" ht="15" hidden="false" customHeight="false" outlineLevel="0" collapsed="false">
      <c r="A123" s="4" t="str">
        <f aca="false">IF(Base_Bruta!A123="","",Base_Bruta!A123)</f>
        <v>SP-000519</v>
      </c>
      <c r="B123" s="5" t="n">
        <f aca="false">IF($A123="","",IF(ISNUMBER(Base_Bruta!B123),Base_Bruta!B123,IF(MID(Base_Bruta!B123,5,1)="-",DATE(VALUE(LEFT(Base_Bruta!B123,4)),VALUE(MID(Base_Bruta!B123,6,2)),VALUE(RIGHT(Base_Bruta!B123,2))),DATE(VALUE(RIGHT(Base_Bruta!B123,4)),VALUE(MID(Base_Bruta!B123,4,2)),VALUE(LEFT(Base_Bruta!B123,2))))))</f>
        <v>45834</v>
      </c>
      <c r="C123" s="5" t="n">
        <f aca="false">IF($A123="","",IF(ISNUMBER(Base_Bruta!C123),Base_Bruta!C123,IF(MID(Base_Bruta!C123,5,1)="-",DATE(VALUE(LEFT(Base_Bruta!C123,4)),VALUE(MID(Base_Bruta!C123,6,2)),VALUE(RIGHT(Base_Bruta!C123,2))),DATE(VALUE(RIGHT(Base_Bruta!C123,4)),VALUE(MID(Base_Bruta!C123,4,2)),VALUE(LEFT(Base_Bruta!C123,2))))))</f>
        <v>45934</v>
      </c>
      <c r="D123" s="4" t="str">
        <f aca="false">IF($A123="","",TRIM(Base_Bruta!D123))</f>
        <v>Turnê Internacional Pop - SP</v>
      </c>
      <c r="E123" s="4" t="str">
        <f aca="false">IF($A123="","",_xlfn.XLOOKUP(LOWER(TRIM(Base_Bruta!E123)),DePara_Categoria!$A$2:$A$9,DePara_Categoria!$B$2:$B$9,"REVISAR"))</f>
        <v>Show</v>
      </c>
      <c r="F123" s="4" t="str">
        <f aca="false">IF($A123="","",_xlfn.XLOOKUP(LOWER(TRIM(Base_Bruta!F123)),DePara_Cidade!$A$2:$A$29,DePara_Cidade!$B$2:$B$29,"REVISAR"))</f>
        <v>São Paulo</v>
      </c>
      <c r="G123" s="4" t="str">
        <f aca="false">IF($A123="","",TRIM(Base_Bruta!G123))</f>
        <v>VIP</v>
      </c>
      <c r="H123" s="4" t="n">
        <f aca="false">IF($A123="","",IF(ISNUMBER(Base_Bruta!H123),Base_Bruta!H123,IFERROR(_xlfn.NUMBERVALUE(TRIM(SUBSTITUTE(Base_Bruta!H123,"R$","")),",","."),0)))</f>
        <v>4</v>
      </c>
      <c r="I123" s="6" t="n">
        <f aca="false">IF($A123="","",IF(ISNUMBER(Base_Bruta!I123),Base_Bruta!I123,IFERROR(_xlfn.NUMBERVALUE(TRIM(SUBSTITUTE(Base_Bruta!I123,"R$","")),",","."),0)))</f>
        <v>1150</v>
      </c>
      <c r="J123" s="6" t="n">
        <f aca="false">IF($A123="","",H123*I123)</f>
        <v>4600</v>
      </c>
      <c r="K123" s="4" t="str">
        <f aca="false">IF($A123="","",TRIM(Base_Bruta!J123))</f>
        <v>Site</v>
      </c>
      <c r="L123" s="4" t="str">
        <f aca="false">IF($A123="","",TRIM(Base_Bruta!K123))</f>
        <v>C01712</v>
      </c>
      <c r="M123" s="4" t="str">
        <f aca="false">IF($A123="","",_xlfn.XLOOKUP(LOWER(TRIM(Base_Bruta!L123)),DePara_Cidade!$A$2:$A$29,DePara_Cidade!$B$2:$B$29,"REVISAR"))</f>
        <v>Santos</v>
      </c>
      <c r="N123" s="4" t="str">
        <f aca="false">IF($A123="","",UPPER(TRIM(Base_Bruta!M123)))</f>
        <v>SP</v>
      </c>
      <c r="O123" s="4" t="str">
        <f aca="false">IF($A123="","",_xlfn.XLOOKUP(LOWER(TRIM(Base_Bruta!N123)),DePara_Pais!$A$2:$A$9,DePara_Pais!$B$2:$B$9,"REVISAR"))</f>
        <v>Brasil</v>
      </c>
      <c r="P123" s="4" t="str">
        <f aca="false">IF($A123="","",IF(O123&lt;&gt;"Brasil","Turista Internacional",IF(M123=F123,"Local","Turista Nacional")))</f>
        <v>Turista Nacional</v>
      </c>
      <c r="Q123" s="7" t="n">
        <f aca="false">IF($A123="","",DATE(YEAR(B123),MONTH(B123),1))</f>
        <v>45809</v>
      </c>
      <c r="R123" s="4" t="str">
        <f aca="false">IF($A123="","",IF(COUNTIF($A$2:$A123,$A123)&gt;1,"Sim","Não"))</f>
        <v>Não</v>
      </c>
      <c r="S123" s="4" t="str">
        <f aca="false">IF(A123="","Descartar - Linha vazia",IF(R123="Sim","Descartar - Duplicado",IF(OR(H123&lt;=0,I123&lt;=0),"Descartar - Qtd/Valor inválido","OK")))</f>
        <v>OK</v>
      </c>
      <c r="T123" s="4" t="str">
        <f aca="false">Base_Bruta!P123</f>
        <v>vendas_SP.xlsx</v>
      </c>
    </row>
    <row r="124" customFormat="false" ht="15" hidden="false" customHeight="false" outlineLevel="0" collapsed="false">
      <c r="A124" s="4" t="str">
        <f aca="false">IF(Base_Bruta!A124="","",Base_Bruta!A124)</f>
        <v>SP-000570</v>
      </c>
      <c r="B124" s="5" t="n">
        <f aca="false">IF($A124="","",IF(ISNUMBER(Base_Bruta!B124),Base_Bruta!B124,IF(MID(Base_Bruta!B124,5,1)="-",DATE(VALUE(LEFT(Base_Bruta!B124,4)),VALUE(MID(Base_Bruta!B124,6,2)),VALUE(RIGHT(Base_Bruta!B124,2))),DATE(VALUE(RIGHT(Base_Bruta!B124,4)),VALUE(MID(Base_Bruta!B124,4,2)),VALUE(LEFT(Base_Bruta!B124,2))))))</f>
        <v>45834</v>
      </c>
      <c r="C124" s="5" t="n">
        <f aca="false">IF($A124="","",IF(ISNUMBER(Base_Bruta!C124),Base_Bruta!C124,IF(MID(Base_Bruta!C124,5,1)="-",DATE(VALUE(LEFT(Base_Bruta!C124,4)),VALUE(MID(Base_Bruta!C124,6,2)),VALUE(RIGHT(Base_Bruta!C124,2))),DATE(VALUE(RIGHT(Base_Bruta!C124,4)),VALUE(MID(Base_Bruta!C124,4,2)),VALUE(LEFT(Base_Bruta!C124,2))))))</f>
        <v>45934</v>
      </c>
      <c r="D124" s="4" t="str">
        <f aca="false">IF($A124="","",TRIM(Base_Bruta!D124))</f>
        <v>Turnê Internacional Pop - SP</v>
      </c>
      <c r="E124" s="4" t="str">
        <f aca="false">IF($A124="","",_xlfn.XLOOKUP(LOWER(TRIM(Base_Bruta!E124)),DePara_Categoria!$A$2:$A$9,DePara_Categoria!$B$2:$B$9,"REVISAR"))</f>
        <v>Show</v>
      </c>
      <c r="F124" s="4" t="str">
        <f aca="false">IF($A124="","",_xlfn.XLOOKUP(LOWER(TRIM(Base_Bruta!F124)),DePara_Cidade!$A$2:$A$29,DePara_Cidade!$B$2:$B$29,"REVISAR"))</f>
        <v>São Paulo</v>
      </c>
      <c r="G124" s="4" t="str">
        <f aca="false">IF($A124="","",TRIM(Base_Bruta!G124))</f>
        <v>Inteira</v>
      </c>
      <c r="H124" s="4" t="n">
        <f aca="false">IF($A124="","",IF(ISNUMBER(Base_Bruta!H124),Base_Bruta!H124,IFERROR(_xlfn.NUMBERVALUE(TRIM(SUBSTITUTE(Base_Bruta!H124,"R$","")),",","."),0)))</f>
        <v>2</v>
      </c>
      <c r="I124" s="6" t="n">
        <f aca="false">IF($A124="","",IF(ISNUMBER(Base_Bruta!I124),Base_Bruta!I124,IFERROR(_xlfn.NUMBERVALUE(TRIM(SUBSTITUTE(Base_Bruta!I124,"R$","")),",","."),0)))</f>
        <v>300</v>
      </c>
      <c r="J124" s="6" t="n">
        <f aca="false">IF($A124="","",H124*I124)</f>
        <v>600</v>
      </c>
      <c r="K124" s="4" t="str">
        <f aca="false">IF($A124="","",TRIM(Base_Bruta!J124))</f>
        <v>App</v>
      </c>
      <c r="L124" s="4" t="str">
        <f aca="false">IF($A124="","",TRIM(Base_Bruta!K124))</f>
        <v>C01548</v>
      </c>
      <c r="M124" s="4" t="str">
        <f aca="false">IF($A124="","",_xlfn.XLOOKUP(LOWER(TRIM(Base_Bruta!L124)),DePara_Cidade!$A$2:$A$29,DePara_Cidade!$B$2:$B$29,"REVISAR"))</f>
        <v>São Paulo</v>
      </c>
      <c r="N124" s="4" t="str">
        <f aca="false">IF($A124="","",UPPER(TRIM(Base_Bruta!M124)))</f>
        <v>SP</v>
      </c>
      <c r="O124" s="4" t="str">
        <f aca="false">IF($A124="","",_xlfn.XLOOKUP(LOWER(TRIM(Base_Bruta!N124)),DePara_Pais!$A$2:$A$9,DePara_Pais!$B$2:$B$9,"REVISAR"))</f>
        <v>Brasil</v>
      </c>
      <c r="P124" s="4" t="str">
        <f aca="false">IF($A124="","",IF(O124&lt;&gt;"Brasil","Turista Internacional",IF(M124=F124,"Local","Turista Nacional")))</f>
        <v>Local</v>
      </c>
      <c r="Q124" s="7" t="n">
        <f aca="false">IF($A124="","",DATE(YEAR(B124),MONTH(B124),1))</f>
        <v>45809</v>
      </c>
      <c r="R124" s="4" t="str">
        <f aca="false">IF($A124="","",IF(COUNTIF($A$2:$A124,$A124)&gt;1,"Sim","Não"))</f>
        <v>Não</v>
      </c>
      <c r="S124" s="4" t="str">
        <f aca="false">IF(A124="","Descartar - Linha vazia",IF(R124="Sim","Descartar - Duplicado",IF(OR(H124&lt;=0,I124&lt;=0),"Descartar - Qtd/Valor inválido","OK")))</f>
        <v>OK</v>
      </c>
      <c r="T124" s="4" t="str">
        <f aca="false">Base_Bruta!P124</f>
        <v>vendas_SP.xlsx</v>
      </c>
    </row>
    <row r="125" customFormat="false" ht="15" hidden="false" customHeight="false" outlineLevel="0" collapsed="false">
      <c r="A125" s="4" t="str">
        <f aca="false">IF(Base_Bruta!A125="","",Base_Bruta!A125)</f>
        <v>SP-000479</v>
      </c>
      <c r="B125" s="5" t="n">
        <f aca="false">IF($A125="","",IF(ISNUMBER(Base_Bruta!B125),Base_Bruta!B125,IF(MID(Base_Bruta!B125,5,1)="-",DATE(VALUE(LEFT(Base_Bruta!B125,4)),VALUE(MID(Base_Bruta!B125,6,2)),VALUE(RIGHT(Base_Bruta!B125,2))),DATE(VALUE(RIGHT(Base_Bruta!B125,4)),VALUE(MID(Base_Bruta!B125,4,2)),VALUE(LEFT(Base_Bruta!B125,2))))))</f>
        <v>45835</v>
      </c>
      <c r="C125" s="5" t="n">
        <f aca="false">IF($A125="","",IF(ISNUMBER(Base_Bruta!C125),Base_Bruta!C125,IF(MID(Base_Bruta!C125,5,1)="-",DATE(VALUE(LEFT(Base_Bruta!C125,4)),VALUE(MID(Base_Bruta!C125,6,2)),VALUE(RIGHT(Base_Bruta!C125,2))),DATE(VALUE(RIGHT(Base_Bruta!C125,4)),VALUE(MID(Base_Bruta!C125,4,2)),VALUE(LEFT(Base_Bruta!C125,2))))))</f>
        <v>45934</v>
      </c>
      <c r="D125" s="4" t="str">
        <f aca="false">IF($A125="","",TRIM(Base_Bruta!D125))</f>
        <v>Turnê Internacional Pop - SP</v>
      </c>
      <c r="E125" s="4" t="str">
        <f aca="false">IF($A125="","",_xlfn.XLOOKUP(LOWER(TRIM(Base_Bruta!E125)),DePara_Categoria!$A$2:$A$9,DePara_Categoria!$B$2:$B$9,"REVISAR"))</f>
        <v>Show</v>
      </c>
      <c r="F125" s="4" t="str">
        <f aca="false">IF($A125="","",_xlfn.XLOOKUP(LOWER(TRIM(Base_Bruta!F125)),DePara_Cidade!$A$2:$A$29,DePara_Cidade!$B$2:$B$29,"REVISAR"))</f>
        <v>São Paulo</v>
      </c>
      <c r="G125" s="4" t="str">
        <f aca="false">IF($A125="","",TRIM(Base_Bruta!G125))</f>
        <v>Inteira</v>
      </c>
      <c r="H125" s="4" t="n">
        <f aca="false">IF($A125="","",IF(ISNUMBER(Base_Bruta!H125),Base_Bruta!H125,IFERROR(_xlfn.NUMBERVALUE(TRIM(SUBSTITUTE(Base_Bruta!H125,"R$","")),",","."),0)))</f>
        <v>2</v>
      </c>
      <c r="I125" s="6" t="n">
        <f aca="false">IF($A125="","",IF(ISNUMBER(Base_Bruta!I125),Base_Bruta!I125,IFERROR(_xlfn.NUMBERVALUE(TRIM(SUBSTITUTE(Base_Bruta!I125,"R$","")),",","."),0)))</f>
        <v>715</v>
      </c>
      <c r="J125" s="6" t="n">
        <f aca="false">IF($A125="","",H125*I125)</f>
        <v>1430</v>
      </c>
      <c r="K125" s="4" t="str">
        <f aca="false">IF($A125="","",TRIM(Base_Bruta!J125))</f>
        <v>Site</v>
      </c>
      <c r="L125" s="4" t="str">
        <f aca="false">IF($A125="","",TRIM(Base_Bruta!K125))</f>
        <v>C01804</v>
      </c>
      <c r="M125" s="4" t="str">
        <f aca="false">IF($A125="","",_xlfn.XLOOKUP(LOWER(TRIM(Base_Bruta!L125)),DePara_Cidade!$A$2:$A$29,DePara_Cidade!$B$2:$B$29,"REVISAR"))</f>
        <v>Florianópolis</v>
      </c>
      <c r="N125" s="4" t="str">
        <f aca="false">IF($A125="","",UPPER(TRIM(Base_Bruta!M125)))</f>
        <v>SC</v>
      </c>
      <c r="O125" s="4" t="str">
        <f aca="false">IF($A125="","",_xlfn.XLOOKUP(LOWER(TRIM(Base_Bruta!N125)),DePara_Pais!$A$2:$A$9,DePara_Pais!$B$2:$B$9,"REVISAR"))</f>
        <v>Brasil</v>
      </c>
      <c r="P125" s="4" t="str">
        <f aca="false">IF($A125="","",IF(O125&lt;&gt;"Brasil","Turista Internacional",IF(M125=F125,"Local","Turista Nacional")))</f>
        <v>Turista Nacional</v>
      </c>
      <c r="Q125" s="7" t="n">
        <f aca="false">IF($A125="","",DATE(YEAR(B125),MONTH(B125),1))</f>
        <v>45809</v>
      </c>
      <c r="R125" s="4" t="str">
        <f aca="false">IF($A125="","",IF(COUNTIF($A$2:$A125,$A125)&gt;1,"Sim","Não"))</f>
        <v>Não</v>
      </c>
      <c r="S125" s="4" t="str">
        <f aca="false">IF(A125="","Descartar - Linha vazia",IF(R125="Sim","Descartar - Duplicado",IF(OR(H125&lt;=0,I125&lt;=0),"Descartar - Qtd/Valor inválido","OK")))</f>
        <v>OK</v>
      </c>
      <c r="T125" s="4" t="str">
        <f aca="false">Base_Bruta!P125</f>
        <v>vendas_SP.xlsx</v>
      </c>
    </row>
    <row r="126" customFormat="false" ht="15" hidden="false" customHeight="false" outlineLevel="0" collapsed="false">
      <c r="A126" s="4" t="str">
        <f aca="false">IF(Base_Bruta!A126="","",Base_Bruta!A126)</f>
        <v>SP-000770</v>
      </c>
      <c r="B126" s="5" t="n">
        <f aca="false">IF($A126="","",IF(ISNUMBER(Base_Bruta!B126),Base_Bruta!B126,IF(MID(Base_Bruta!B126,5,1)="-",DATE(VALUE(LEFT(Base_Bruta!B126,4)),VALUE(MID(Base_Bruta!B126,6,2)),VALUE(RIGHT(Base_Bruta!B126,2))),DATE(VALUE(RIGHT(Base_Bruta!B126,4)),VALUE(MID(Base_Bruta!B126,4,2)),VALUE(LEFT(Base_Bruta!B126,2))))))</f>
        <v>45839</v>
      </c>
      <c r="C126" s="5" t="n">
        <f aca="false">IF($A126="","",IF(ISNUMBER(Base_Bruta!C126),Base_Bruta!C126,IF(MID(Base_Bruta!C126,5,1)="-",DATE(VALUE(LEFT(Base_Bruta!C126,4)),VALUE(MID(Base_Bruta!C126,6,2)),VALUE(RIGHT(Base_Bruta!C126,2))),DATE(VALUE(RIGHT(Base_Bruta!C126,4)),VALUE(MID(Base_Bruta!C126,4,2)),VALUE(LEFT(Base_Bruta!C126,2))))))</f>
        <v>45839</v>
      </c>
      <c r="D126" s="4" t="str">
        <f aca="false">IF($A126="","",TRIM(Base_Bruta!D126))</f>
        <v>Cinema Paulista - Sessões</v>
      </c>
      <c r="E126" s="4" t="str">
        <f aca="false">IF($A126="","",_xlfn.XLOOKUP(LOWER(TRIM(Base_Bruta!E126)),DePara_Categoria!$A$2:$A$9,DePara_Categoria!$B$2:$B$9,"REVISAR"))</f>
        <v>Cinema</v>
      </c>
      <c r="F126" s="4" t="str">
        <f aca="false">IF($A126="","",_xlfn.XLOOKUP(LOWER(TRIM(Base_Bruta!F126)),DePara_Cidade!$A$2:$A$29,DePara_Cidade!$B$2:$B$29,"REVISAR"))</f>
        <v>São Paulo</v>
      </c>
      <c r="G126" s="4" t="str">
        <f aca="false">IF($A126="","",TRIM(Base_Bruta!G126))</f>
        <v>Inteira</v>
      </c>
      <c r="H126" s="4" t="n">
        <f aca="false">IF($A126="","",IF(ISNUMBER(Base_Bruta!H126),Base_Bruta!H126,IFERROR(_xlfn.NUMBERVALUE(TRIM(SUBSTITUTE(Base_Bruta!H126,"R$","")),",","."),0)))</f>
        <v>2</v>
      </c>
      <c r="I126" s="6" t="n">
        <f aca="false">IF($A126="","",IF(ISNUMBER(Base_Bruta!I126),Base_Bruta!I126,IFERROR(_xlfn.NUMBERVALUE(TRIM(SUBSTITUTE(Base_Bruta!I126,"R$","")),",","."),0)))</f>
        <v>35</v>
      </c>
      <c r="J126" s="6" t="n">
        <f aca="false">IF($A126="","",H126*I126)</f>
        <v>70</v>
      </c>
      <c r="K126" s="4" t="str">
        <f aca="false">IF($A126="","",TRIM(Base_Bruta!J126))</f>
        <v>Site</v>
      </c>
      <c r="L126" s="4" t="str">
        <f aca="false">IF($A126="","",TRIM(Base_Bruta!K126))</f>
        <v>C00115</v>
      </c>
      <c r="M126" s="4" t="str">
        <f aca="false">IF($A126="","",_xlfn.XLOOKUP(LOWER(TRIM(Base_Bruta!L126)),DePara_Cidade!$A$2:$A$29,DePara_Cidade!$B$2:$B$29,"REVISAR"))</f>
        <v>São Paulo</v>
      </c>
      <c r="N126" s="4" t="str">
        <f aca="false">IF($A126="","",UPPER(TRIM(Base_Bruta!M126)))</f>
        <v>SP</v>
      </c>
      <c r="O126" s="4" t="str">
        <f aca="false">IF($A126="","",_xlfn.XLOOKUP(LOWER(TRIM(Base_Bruta!N126)),DePara_Pais!$A$2:$A$9,DePara_Pais!$B$2:$B$9,"REVISAR"))</f>
        <v>Brasil</v>
      </c>
      <c r="P126" s="4" t="str">
        <f aca="false">IF($A126="","",IF(O126&lt;&gt;"Brasil","Turista Internacional",IF(M126=F126,"Local","Turista Nacional")))</f>
        <v>Local</v>
      </c>
      <c r="Q126" s="7" t="n">
        <f aca="false">IF($A126="","",DATE(YEAR(B126),MONTH(B126),1))</f>
        <v>45839</v>
      </c>
      <c r="R126" s="4" t="str">
        <f aca="false">IF($A126="","",IF(COUNTIF($A$2:$A126,$A126)&gt;1,"Sim","Não"))</f>
        <v>Não</v>
      </c>
      <c r="S126" s="4" t="str">
        <f aca="false">IF(A126="","Descartar - Linha vazia",IF(R126="Sim","Descartar - Duplicado",IF(OR(H126&lt;=0,I126&lt;=0),"Descartar - Qtd/Valor inválido","OK")))</f>
        <v>OK</v>
      </c>
      <c r="T126" s="4" t="str">
        <f aca="false">Base_Bruta!P126</f>
        <v>vendas_SP.xlsx</v>
      </c>
    </row>
    <row r="127" customFormat="false" ht="15" hidden="false" customHeight="false" outlineLevel="0" collapsed="false">
      <c r="A127" s="4" t="str">
        <f aca="false">IF(Base_Bruta!A127="","",Base_Bruta!A127)</f>
        <v>SP-000699</v>
      </c>
      <c r="B127" s="5" t="n">
        <f aca="false">IF($A127="","",IF(ISNUMBER(Base_Bruta!B127),Base_Bruta!B127,IF(MID(Base_Bruta!B127,5,1)="-",DATE(VALUE(LEFT(Base_Bruta!B127,4)),VALUE(MID(Base_Bruta!B127,6,2)),VALUE(RIGHT(Base_Bruta!B127,2))),DATE(VALUE(RIGHT(Base_Bruta!B127,4)),VALUE(MID(Base_Bruta!B127,4,2)),VALUE(LEFT(Base_Bruta!B127,2))))))</f>
        <v>45840</v>
      </c>
      <c r="C127" s="5" t="n">
        <f aca="false">IF($A127="","",IF(ISNUMBER(Base_Bruta!C127),Base_Bruta!C127,IF(MID(Base_Bruta!C127,5,1)="-",DATE(VALUE(LEFT(Base_Bruta!C127,4)),VALUE(MID(Base_Bruta!C127,6,2)),VALUE(RIGHT(Base_Bruta!C127,2))),DATE(VALUE(RIGHT(Base_Bruta!C127,4)),VALUE(MID(Base_Bruta!C127,4,2)),VALUE(LEFT(Base_Bruta!C127,2))))))</f>
        <v>45840</v>
      </c>
      <c r="D127" s="4" t="str">
        <f aca="false">IF($A127="","",TRIM(Base_Bruta!D127))</f>
        <v>Cinema Paulista - Sessões</v>
      </c>
      <c r="E127" s="4" t="str">
        <f aca="false">IF($A127="","",_xlfn.XLOOKUP(LOWER(TRIM(Base_Bruta!E127)),DePara_Categoria!$A$2:$A$9,DePara_Categoria!$B$2:$B$9,"REVISAR"))</f>
        <v>Cinema</v>
      </c>
      <c r="F127" s="4" t="str">
        <f aca="false">IF($A127="","",_xlfn.XLOOKUP(LOWER(TRIM(Base_Bruta!F127)),DePara_Cidade!$A$2:$A$29,DePara_Cidade!$B$2:$B$29,"REVISAR"))</f>
        <v>São Paulo</v>
      </c>
      <c r="G127" s="4" t="str">
        <f aca="false">IF($A127="","",TRIM(Base_Bruta!G127))</f>
        <v>Meia</v>
      </c>
      <c r="H127" s="4" t="n">
        <f aca="false">IF($A127="","",IF(ISNUMBER(Base_Bruta!H127),Base_Bruta!H127,IFERROR(_xlfn.NUMBERVALUE(TRIM(SUBSTITUTE(Base_Bruta!H127,"R$","")),",","."),0)))</f>
        <v>1</v>
      </c>
      <c r="I127" s="6" t="n">
        <f aca="false">IF($A127="","",IF(ISNUMBER(Base_Bruta!I127),Base_Bruta!I127,IFERROR(_xlfn.NUMBERVALUE(TRIM(SUBSTITUTE(Base_Bruta!I127,"R$","")),",","."),0)))</f>
        <v>20</v>
      </c>
      <c r="J127" s="6" t="n">
        <f aca="false">IF($A127="","",H127*I127)</f>
        <v>20</v>
      </c>
      <c r="K127" s="4" t="str">
        <f aca="false">IF($A127="","",TRIM(Base_Bruta!J127))</f>
        <v>App</v>
      </c>
      <c r="L127" s="4" t="str">
        <f aca="false">IF($A127="","",TRIM(Base_Bruta!K127))</f>
        <v>C01748</v>
      </c>
      <c r="M127" s="4" t="str">
        <f aca="false">IF($A127="","",_xlfn.XLOOKUP(LOWER(TRIM(Base_Bruta!L127)),DePara_Cidade!$A$2:$A$29,DePara_Cidade!$B$2:$B$29,"REVISAR"))</f>
        <v>São Paulo</v>
      </c>
      <c r="N127" s="4" t="str">
        <f aca="false">IF($A127="","",UPPER(TRIM(Base_Bruta!M127)))</f>
        <v>SP</v>
      </c>
      <c r="O127" s="4" t="str">
        <f aca="false">IF($A127="","",_xlfn.XLOOKUP(LOWER(TRIM(Base_Bruta!N127)),DePara_Pais!$A$2:$A$9,DePara_Pais!$B$2:$B$9,"REVISAR"))</f>
        <v>Brasil</v>
      </c>
      <c r="P127" s="4" t="str">
        <f aca="false">IF($A127="","",IF(O127&lt;&gt;"Brasil","Turista Internacional",IF(M127=F127,"Local","Turista Nacional")))</f>
        <v>Local</v>
      </c>
      <c r="Q127" s="7" t="n">
        <f aca="false">IF($A127="","",DATE(YEAR(B127),MONTH(B127),1))</f>
        <v>45839</v>
      </c>
      <c r="R127" s="4" t="str">
        <f aca="false">IF($A127="","",IF(COUNTIF($A$2:$A127,$A127)&gt;1,"Sim","Não"))</f>
        <v>Não</v>
      </c>
      <c r="S127" s="4" t="str">
        <f aca="false">IF(A127="","Descartar - Linha vazia",IF(R127="Sim","Descartar - Duplicado",IF(OR(H127&lt;=0,I127&lt;=0),"Descartar - Qtd/Valor inválido","OK")))</f>
        <v>OK</v>
      </c>
      <c r="T127" s="4" t="str">
        <f aca="false">Base_Bruta!P127</f>
        <v>vendas_SP.xlsx</v>
      </c>
    </row>
    <row r="128" customFormat="false" ht="15" hidden="false" customHeight="false" outlineLevel="0" collapsed="false">
      <c r="A128" s="4" t="str">
        <f aca="false">IF(Base_Bruta!A128="","",Base_Bruta!A128)</f>
        <v>SP-000647</v>
      </c>
      <c r="B128" s="5" t="n">
        <f aca="false">IF($A128="","",IF(ISNUMBER(Base_Bruta!B128),Base_Bruta!B128,IF(MID(Base_Bruta!B128,5,1)="-",DATE(VALUE(LEFT(Base_Bruta!B128,4)),VALUE(MID(Base_Bruta!B128,6,2)),VALUE(RIGHT(Base_Bruta!B128,2))),DATE(VALUE(RIGHT(Base_Bruta!B128,4)),VALUE(MID(Base_Bruta!B128,4,2)),VALUE(LEFT(Base_Bruta!B128,2))))))</f>
        <v>45841</v>
      </c>
      <c r="C128" s="5" t="n">
        <f aca="false">IF($A128="","",IF(ISNUMBER(Base_Bruta!C128),Base_Bruta!C128,IF(MID(Base_Bruta!C128,5,1)="-",DATE(VALUE(LEFT(Base_Bruta!C128,4)),VALUE(MID(Base_Bruta!C128,6,2)),VALUE(RIGHT(Base_Bruta!C128,2))),DATE(VALUE(RIGHT(Base_Bruta!C128,4)),VALUE(MID(Base_Bruta!C128,4,2)),VALUE(LEFT(Base_Bruta!C128,2))))))</f>
        <v>45843</v>
      </c>
      <c r="D128" s="4" t="str">
        <f aca="false">IF($A128="","",TRIM(Base_Bruta!D128))</f>
        <v>Cinema Paulista - Sessões</v>
      </c>
      <c r="E128" s="4" t="str">
        <f aca="false">IF($A128="","",_xlfn.XLOOKUP(LOWER(TRIM(Base_Bruta!E128)),DePara_Categoria!$A$2:$A$9,DePara_Categoria!$B$2:$B$9,"REVISAR"))</f>
        <v>Cinema</v>
      </c>
      <c r="F128" s="4" t="str">
        <f aca="false">IF($A128="","",_xlfn.XLOOKUP(LOWER(TRIM(Base_Bruta!F128)),DePara_Cidade!$A$2:$A$29,DePara_Cidade!$B$2:$B$29,"REVISAR"))</f>
        <v>São Paulo</v>
      </c>
      <c r="G128" s="4" t="str">
        <f aca="false">IF($A128="","",TRIM(Base_Bruta!G128))</f>
        <v>Inteira</v>
      </c>
      <c r="H128" s="4" t="n">
        <f aca="false">IF($A128="","",IF(ISNUMBER(Base_Bruta!H128),Base_Bruta!H128,IFERROR(_xlfn.NUMBERVALUE(TRIM(SUBSTITUTE(Base_Bruta!H128,"R$","")),",","."),0)))</f>
        <v>1</v>
      </c>
      <c r="I128" s="6" t="n">
        <f aca="false">IF($A128="","",IF(ISNUMBER(Base_Bruta!I128),Base_Bruta!I128,IFERROR(_xlfn.NUMBERVALUE(TRIM(SUBSTITUTE(Base_Bruta!I128,"R$","")),",","."),0)))</f>
        <v>45</v>
      </c>
      <c r="J128" s="6" t="n">
        <f aca="false">IF($A128="","",H128*I128)</f>
        <v>45</v>
      </c>
      <c r="K128" s="4" t="str">
        <f aca="false">IF($A128="","",TRIM(Base_Bruta!J128))</f>
        <v>Site</v>
      </c>
      <c r="L128" s="4" t="str">
        <f aca="false">IF($A128="","",TRIM(Base_Bruta!K128))</f>
        <v>C00279</v>
      </c>
      <c r="M128" s="4" t="str">
        <f aca="false">IF($A128="","",_xlfn.XLOOKUP(LOWER(TRIM(Base_Bruta!L128)),DePara_Cidade!$A$2:$A$29,DePara_Cidade!$B$2:$B$29,"REVISAR"))</f>
        <v>Lisboa</v>
      </c>
      <c r="N128" s="4" t="str">
        <f aca="false">IF($A128="","",UPPER(TRIM(Base_Bruta!M128)))</f>
        <v>EX</v>
      </c>
      <c r="O128" s="4" t="str">
        <f aca="false">IF($A128="","",_xlfn.XLOOKUP(LOWER(TRIM(Base_Bruta!N128)),DePara_Pais!$A$2:$A$9,DePara_Pais!$B$2:$B$9,"REVISAR"))</f>
        <v>Portugal</v>
      </c>
      <c r="P128" s="4" t="str">
        <f aca="false">IF($A128="","",IF(O128&lt;&gt;"Brasil","Turista Internacional",IF(M128=F128,"Local","Turista Nacional")))</f>
        <v>Turista Internacional</v>
      </c>
      <c r="Q128" s="7" t="n">
        <f aca="false">IF($A128="","",DATE(YEAR(B128),MONTH(B128),1))</f>
        <v>45839</v>
      </c>
      <c r="R128" s="4" t="str">
        <f aca="false">IF($A128="","",IF(COUNTIF($A$2:$A128,$A128)&gt;1,"Sim","Não"))</f>
        <v>Não</v>
      </c>
      <c r="S128" s="4" t="str">
        <f aca="false">IF(A128="","Descartar - Linha vazia",IF(R128="Sim","Descartar - Duplicado",IF(OR(H128&lt;=0,I128&lt;=0),"Descartar - Qtd/Valor inválido","OK")))</f>
        <v>OK</v>
      </c>
      <c r="T128" s="4" t="str">
        <f aca="false">Base_Bruta!P128</f>
        <v>vendas_SP.xlsx</v>
      </c>
    </row>
    <row r="129" customFormat="false" ht="15" hidden="false" customHeight="false" outlineLevel="0" collapsed="false">
      <c r="A129" s="4" t="str">
        <f aca="false">IF(Base_Bruta!A129="","",Base_Bruta!A129)</f>
        <v>SP-000776</v>
      </c>
      <c r="B129" s="5" t="n">
        <f aca="false">IF($A129="","",IF(ISNUMBER(Base_Bruta!B129),Base_Bruta!B129,IF(MID(Base_Bruta!B129,5,1)="-",DATE(VALUE(LEFT(Base_Bruta!B129,4)),VALUE(MID(Base_Bruta!B129,6,2)),VALUE(RIGHT(Base_Bruta!B129,2))),DATE(VALUE(RIGHT(Base_Bruta!B129,4)),VALUE(MID(Base_Bruta!B129,4,2)),VALUE(LEFT(Base_Bruta!B129,2))))))</f>
        <v>45841</v>
      </c>
      <c r="C129" s="5" t="n">
        <f aca="false">IF($A129="","",IF(ISNUMBER(Base_Bruta!C129),Base_Bruta!C129,IF(MID(Base_Bruta!C129,5,1)="-",DATE(VALUE(LEFT(Base_Bruta!C129,4)),VALUE(MID(Base_Bruta!C129,6,2)),VALUE(RIGHT(Base_Bruta!C129,2))),DATE(VALUE(RIGHT(Base_Bruta!C129,4)),VALUE(MID(Base_Bruta!C129,4,2)),VALUE(LEFT(Base_Bruta!C129,2))))))</f>
        <v>45841</v>
      </c>
      <c r="D129" s="4" t="str">
        <f aca="false">IF($A129="","",TRIM(Base_Bruta!D129))</f>
        <v>Cinema Paulista - Sessões</v>
      </c>
      <c r="E129" s="4" t="str">
        <f aca="false">IF($A129="","",_xlfn.XLOOKUP(LOWER(TRIM(Base_Bruta!E129)),DePara_Categoria!$A$2:$A$9,DePara_Categoria!$B$2:$B$9,"REVISAR"))</f>
        <v>Cinema</v>
      </c>
      <c r="F129" s="4" t="str">
        <f aca="false">IF($A129="","",_xlfn.XLOOKUP(LOWER(TRIM(Base_Bruta!F129)),DePara_Cidade!$A$2:$A$29,DePara_Cidade!$B$2:$B$29,"REVISAR"))</f>
        <v>São Paulo</v>
      </c>
      <c r="G129" s="4" t="str">
        <f aca="false">IF($A129="","",TRIM(Base_Bruta!G129))</f>
        <v>Inteira</v>
      </c>
      <c r="H129" s="4" t="n">
        <f aca="false">IF($A129="","",IF(ISNUMBER(Base_Bruta!H129),Base_Bruta!H129,IFERROR(_xlfn.NUMBERVALUE(TRIM(SUBSTITUTE(Base_Bruta!H129,"R$","")),",","."),0)))</f>
        <v>1</v>
      </c>
      <c r="I129" s="6" t="n">
        <f aca="false">IF($A129="","",IF(ISNUMBER(Base_Bruta!I129),Base_Bruta!I129,IFERROR(_xlfn.NUMBERVALUE(TRIM(SUBSTITUTE(Base_Bruta!I129,"R$","")),",","."),0)))</f>
        <v>35</v>
      </c>
      <c r="J129" s="6" t="n">
        <f aca="false">IF($A129="","",H129*I129)</f>
        <v>35</v>
      </c>
      <c r="K129" s="4" t="str">
        <f aca="false">IF($A129="","",TRIM(Base_Bruta!J129))</f>
        <v>Site</v>
      </c>
      <c r="L129" s="4" t="str">
        <f aca="false">IF($A129="","",TRIM(Base_Bruta!K129))</f>
        <v>C02264</v>
      </c>
      <c r="M129" s="4" t="str">
        <f aca="false">IF($A129="","",_xlfn.XLOOKUP(LOWER(TRIM(Base_Bruta!L129)),DePara_Cidade!$A$2:$A$29,DePara_Cidade!$B$2:$B$29,"REVISAR"))</f>
        <v>São Paulo</v>
      </c>
      <c r="N129" s="4" t="str">
        <f aca="false">IF($A129="","",UPPER(TRIM(Base_Bruta!M129)))</f>
        <v>SP</v>
      </c>
      <c r="O129" s="4" t="str">
        <f aca="false">IF($A129="","",_xlfn.XLOOKUP(LOWER(TRIM(Base_Bruta!N129)),DePara_Pais!$A$2:$A$9,DePara_Pais!$B$2:$B$9,"REVISAR"))</f>
        <v>Brasil</v>
      </c>
      <c r="P129" s="4" t="str">
        <f aca="false">IF($A129="","",IF(O129&lt;&gt;"Brasil","Turista Internacional",IF(M129=F129,"Local","Turista Nacional")))</f>
        <v>Local</v>
      </c>
      <c r="Q129" s="7" t="n">
        <f aca="false">IF($A129="","",DATE(YEAR(B129),MONTH(B129),1))</f>
        <v>45839</v>
      </c>
      <c r="R129" s="4" t="str">
        <f aca="false">IF($A129="","",IF(COUNTIF($A$2:$A129,$A129)&gt;1,"Sim","Não"))</f>
        <v>Não</v>
      </c>
      <c r="S129" s="4" t="str">
        <f aca="false">IF(A129="","Descartar - Linha vazia",IF(R129="Sim","Descartar - Duplicado",IF(OR(H129&lt;=0,I129&lt;=0),"Descartar - Qtd/Valor inválido","OK")))</f>
        <v>OK</v>
      </c>
      <c r="T129" s="4" t="str">
        <f aca="false">Base_Bruta!P129</f>
        <v>vendas_SP.xlsx</v>
      </c>
    </row>
    <row r="130" customFormat="false" ht="15" hidden="false" customHeight="false" outlineLevel="0" collapsed="false">
      <c r="A130" s="4" t="str">
        <f aca="false">IF(Base_Bruta!A130="","",Base_Bruta!A130)</f>
        <v>SP-000465</v>
      </c>
      <c r="B130" s="5" t="n">
        <f aca="false">IF($A130="","",IF(ISNUMBER(Base_Bruta!B130),Base_Bruta!B130,IF(MID(Base_Bruta!B130,5,1)="-",DATE(VALUE(LEFT(Base_Bruta!B130,4)),VALUE(MID(Base_Bruta!B130,6,2)),VALUE(RIGHT(Base_Bruta!B130,2))),DATE(VALUE(RIGHT(Base_Bruta!B130,4)),VALUE(MID(Base_Bruta!B130,4,2)),VALUE(LEFT(Base_Bruta!B130,2))))))</f>
        <v>45842</v>
      </c>
      <c r="C130" s="5" t="n">
        <f aca="false">IF($A130="","",IF(ISNUMBER(Base_Bruta!C130),Base_Bruta!C130,IF(MID(Base_Bruta!C130,5,1)="-",DATE(VALUE(LEFT(Base_Bruta!C130,4)),VALUE(MID(Base_Bruta!C130,6,2)),VALUE(RIGHT(Base_Bruta!C130,2))),DATE(VALUE(RIGHT(Base_Bruta!C130,4)),VALUE(MID(Base_Bruta!C130,4,2)),VALUE(LEFT(Base_Bruta!C130,2))))))</f>
        <v>45934</v>
      </c>
      <c r="D130" s="4" t="str">
        <f aca="false">IF($A130="","",TRIM(Base_Bruta!D130))</f>
        <v>Turnê Internacional Pop - SP</v>
      </c>
      <c r="E130" s="4" t="str">
        <f aca="false">IF($A130="","",_xlfn.XLOOKUP(LOWER(TRIM(Base_Bruta!E130)),DePara_Categoria!$A$2:$A$9,DePara_Categoria!$B$2:$B$9,"REVISAR"))</f>
        <v>Show</v>
      </c>
      <c r="F130" s="4" t="str">
        <f aca="false">IF($A130="","",_xlfn.XLOOKUP(LOWER(TRIM(Base_Bruta!F130)),DePara_Cidade!$A$2:$A$29,DePara_Cidade!$B$2:$B$29,"REVISAR"))</f>
        <v>São Paulo</v>
      </c>
      <c r="G130" s="4" t="str">
        <f aca="false">IF($A130="","",TRIM(Base_Bruta!G130))</f>
        <v>VIP</v>
      </c>
      <c r="H130" s="4" t="n">
        <f aca="false">IF($A130="","",IF(ISNUMBER(Base_Bruta!H130),Base_Bruta!H130,IFERROR(_xlfn.NUMBERVALUE(TRIM(SUBSTITUTE(Base_Bruta!H130,"R$","")),",","."),0)))</f>
        <v>1</v>
      </c>
      <c r="I130" s="6" t="n">
        <f aca="false">IF($A130="","",IF(ISNUMBER(Base_Bruta!I130),Base_Bruta!I130,IFERROR(_xlfn.NUMBERVALUE(TRIM(SUBSTITUTE(Base_Bruta!I130,"R$","")),",","."),0)))</f>
        <v>1040</v>
      </c>
      <c r="J130" s="6" t="n">
        <f aca="false">IF($A130="","",H130*I130)</f>
        <v>1040</v>
      </c>
      <c r="K130" s="4" t="str">
        <f aca="false">IF($A130="","",TRIM(Base_Bruta!J130))</f>
        <v>Site</v>
      </c>
      <c r="L130" s="4" t="str">
        <f aca="false">IF($A130="","",TRIM(Base_Bruta!K130))</f>
        <v>C00498</v>
      </c>
      <c r="M130" s="4" t="str">
        <f aca="false">IF($A130="","",_xlfn.XLOOKUP(LOWER(TRIM(Base_Bruta!L130)),DePara_Cidade!$A$2:$A$29,DePara_Cidade!$B$2:$B$29,"REVISAR"))</f>
        <v>Buenos Aires</v>
      </c>
      <c r="N130" s="4" t="str">
        <f aca="false">IF($A130="","",UPPER(TRIM(Base_Bruta!M130)))</f>
        <v>EX</v>
      </c>
      <c r="O130" s="4" t="str">
        <f aca="false">IF($A130="","",_xlfn.XLOOKUP(LOWER(TRIM(Base_Bruta!N130)),DePara_Pais!$A$2:$A$9,DePara_Pais!$B$2:$B$9,"REVISAR"))</f>
        <v>Argentina</v>
      </c>
      <c r="P130" s="4" t="str">
        <f aca="false">IF($A130="","",IF(O130&lt;&gt;"Brasil","Turista Internacional",IF(M130=F130,"Local","Turista Nacional")))</f>
        <v>Turista Internacional</v>
      </c>
      <c r="Q130" s="7" t="n">
        <f aca="false">IF($A130="","",DATE(YEAR(B130),MONTH(B130),1))</f>
        <v>45839</v>
      </c>
      <c r="R130" s="4" t="str">
        <f aca="false">IF($A130="","",IF(COUNTIF($A$2:$A130,$A130)&gt;1,"Sim","Não"))</f>
        <v>Não</v>
      </c>
      <c r="S130" s="4" t="str">
        <f aca="false">IF(A130="","Descartar - Linha vazia",IF(R130="Sim","Descartar - Duplicado",IF(OR(H130&lt;=0,I130&lt;=0),"Descartar - Qtd/Valor inválido","OK")))</f>
        <v>OK</v>
      </c>
      <c r="T130" s="4" t="str">
        <f aca="false">Base_Bruta!P130</f>
        <v>vendas_SP.xlsx</v>
      </c>
    </row>
    <row r="131" customFormat="false" ht="15" hidden="false" customHeight="false" outlineLevel="0" collapsed="false">
      <c r="A131" s="4" t="str">
        <f aca="false">IF(Base_Bruta!A131="","",Base_Bruta!A131)</f>
        <v>SP-000471</v>
      </c>
      <c r="B131" s="5" t="n">
        <f aca="false">IF($A131="","",IF(ISNUMBER(Base_Bruta!B131),Base_Bruta!B131,IF(MID(Base_Bruta!B131,5,1)="-",DATE(VALUE(LEFT(Base_Bruta!B131,4)),VALUE(MID(Base_Bruta!B131,6,2)),VALUE(RIGHT(Base_Bruta!B131,2))),DATE(VALUE(RIGHT(Base_Bruta!B131,4)),VALUE(MID(Base_Bruta!B131,4,2)),VALUE(LEFT(Base_Bruta!B131,2))))))</f>
        <v>45843</v>
      </c>
      <c r="C131" s="5" t="n">
        <f aca="false">IF($A131="","",IF(ISNUMBER(Base_Bruta!C131),Base_Bruta!C131,IF(MID(Base_Bruta!C131,5,1)="-",DATE(VALUE(LEFT(Base_Bruta!C131,4)),VALUE(MID(Base_Bruta!C131,6,2)),VALUE(RIGHT(Base_Bruta!C131,2))),DATE(VALUE(RIGHT(Base_Bruta!C131,4)),VALUE(MID(Base_Bruta!C131,4,2)),VALUE(LEFT(Base_Bruta!C131,2))))))</f>
        <v>45934</v>
      </c>
      <c r="D131" s="4" t="str">
        <f aca="false">IF($A131="","",TRIM(Base_Bruta!D131))</f>
        <v>Turnê Internacional Pop - SP</v>
      </c>
      <c r="E131" s="4" t="str">
        <f aca="false">IF($A131="","",_xlfn.XLOOKUP(LOWER(TRIM(Base_Bruta!E131)),DePara_Categoria!$A$2:$A$9,DePara_Categoria!$B$2:$B$9,"REVISAR"))</f>
        <v>Show</v>
      </c>
      <c r="F131" s="4" t="str">
        <f aca="false">IF($A131="","",_xlfn.XLOOKUP(LOWER(TRIM(Base_Bruta!F131)),DePara_Cidade!$A$2:$A$29,DePara_Cidade!$B$2:$B$29,"REVISAR"))</f>
        <v>São Paulo</v>
      </c>
      <c r="G131" s="4" t="str">
        <f aca="false">IF($A131="","",TRIM(Base_Bruta!G131))</f>
        <v>Inteira</v>
      </c>
      <c r="H131" s="4" t="n">
        <f aca="false">IF($A131="","",IF(ISNUMBER(Base_Bruta!H131),Base_Bruta!H131,IFERROR(_xlfn.NUMBERVALUE(TRIM(SUBSTITUTE(Base_Bruta!H131,"R$","")),",","."),0)))</f>
        <v>2</v>
      </c>
      <c r="I131" s="6" t="n">
        <f aca="false">IF($A131="","",IF(ISNUMBER(Base_Bruta!I131),Base_Bruta!I131,IFERROR(_xlfn.NUMBERVALUE(TRIM(SUBSTITUTE(Base_Bruta!I131,"R$","")),",","."),0)))</f>
        <v>540</v>
      </c>
      <c r="J131" s="6" t="n">
        <f aca="false">IF($A131="","",H131*I131)</f>
        <v>1080</v>
      </c>
      <c r="K131" s="4" t="str">
        <f aca="false">IF($A131="","",TRIM(Base_Bruta!J131))</f>
        <v>Bilheteria</v>
      </c>
      <c r="L131" s="4" t="str">
        <f aca="false">IF($A131="","",TRIM(Base_Bruta!K131))</f>
        <v>C00779</v>
      </c>
      <c r="M131" s="4" t="str">
        <f aca="false">IF($A131="","",_xlfn.XLOOKUP(LOWER(TRIM(Base_Bruta!L131)),DePara_Cidade!$A$2:$A$29,DePara_Cidade!$B$2:$B$29,"REVISAR"))</f>
        <v>São Paulo</v>
      </c>
      <c r="N131" s="4" t="str">
        <f aca="false">IF($A131="","",UPPER(TRIM(Base_Bruta!M131)))</f>
        <v>SP</v>
      </c>
      <c r="O131" s="4" t="str">
        <f aca="false">IF($A131="","",_xlfn.XLOOKUP(LOWER(TRIM(Base_Bruta!N131)),DePara_Pais!$A$2:$A$9,DePara_Pais!$B$2:$B$9,"REVISAR"))</f>
        <v>Brasil</v>
      </c>
      <c r="P131" s="4" t="str">
        <f aca="false">IF($A131="","",IF(O131&lt;&gt;"Brasil","Turista Internacional",IF(M131=F131,"Local","Turista Nacional")))</f>
        <v>Local</v>
      </c>
      <c r="Q131" s="7" t="n">
        <f aca="false">IF($A131="","",DATE(YEAR(B131),MONTH(B131),1))</f>
        <v>45839</v>
      </c>
      <c r="R131" s="4" t="str">
        <f aca="false">IF($A131="","",IF(COUNTIF($A$2:$A131,$A131)&gt;1,"Sim","Não"))</f>
        <v>Não</v>
      </c>
      <c r="S131" s="4" t="str">
        <f aca="false">IF(A131="","Descartar - Linha vazia",IF(R131="Sim","Descartar - Duplicado",IF(OR(H131&lt;=0,I131&lt;=0),"Descartar - Qtd/Valor inválido","OK")))</f>
        <v>OK</v>
      </c>
      <c r="T131" s="4" t="str">
        <f aca="false">Base_Bruta!P131</f>
        <v>vendas_SP.xlsx</v>
      </c>
    </row>
    <row r="132" customFormat="false" ht="15" hidden="false" customHeight="false" outlineLevel="0" collapsed="false">
      <c r="A132" s="4" t="str">
        <f aca="false">IF(Base_Bruta!A132="","",Base_Bruta!A132)</f>
        <v>SP-000466</v>
      </c>
      <c r="B132" s="5" t="n">
        <f aca="false">IF($A132="","",IF(ISNUMBER(Base_Bruta!B132),Base_Bruta!B132,IF(MID(Base_Bruta!B132,5,1)="-",DATE(VALUE(LEFT(Base_Bruta!B132,4)),VALUE(MID(Base_Bruta!B132,6,2)),VALUE(RIGHT(Base_Bruta!B132,2))),DATE(VALUE(RIGHT(Base_Bruta!B132,4)),VALUE(MID(Base_Bruta!B132,4,2)),VALUE(LEFT(Base_Bruta!B132,2))))))</f>
        <v>45844</v>
      </c>
      <c r="C132" s="5" t="n">
        <f aca="false">IF($A132="","",IF(ISNUMBER(Base_Bruta!C132),Base_Bruta!C132,IF(MID(Base_Bruta!C132,5,1)="-",DATE(VALUE(LEFT(Base_Bruta!C132,4)),VALUE(MID(Base_Bruta!C132,6,2)),VALUE(RIGHT(Base_Bruta!C132,2))),DATE(VALUE(RIGHT(Base_Bruta!C132,4)),VALUE(MID(Base_Bruta!C132,4,2)),VALUE(LEFT(Base_Bruta!C132,2))))))</f>
        <v>45934</v>
      </c>
      <c r="D132" s="4" t="str">
        <f aca="false">IF($A132="","",TRIM(Base_Bruta!D132))</f>
        <v>Turnê Internacional Pop - SP</v>
      </c>
      <c r="E132" s="4" t="str">
        <f aca="false">IF($A132="","",_xlfn.XLOOKUP(LOWER(TRIM(Base_Bruta!E132)),DePara_Categoria!$A$2:$A$9,DePara_Categoria!$B$2:$B$9,"REVISAR"))</f>
        <v>Show</v>
      </c>
      <c r="F132" s="4" t="str">
        <f aca="false">IF($A132="","",_xlfn.XLOOKUP(LOWER(TRIM(Base_Bruta!F132)),DePara_Cidade!$A$2:$A$29,DePara_Cidade!$B$2:$B$29,"REVISAR"))</f>
        <v>São Paulo</v>
      </c>
      <c r="G132" s="4" t="str">
        <f aca="false">IF($A132="","",TRIM(Base_Bruta!G132))</f>
        <v>Meia</v>
      </c>
      <c r="H132" s="4" t="n">
        <f aca="false">IF($A132="","",IF(ISNUMBER(Base_Bruta!H132),Base_Bruta!H132,IFERROR(_xlfn.NUMBERVALUE(TRIM(SUBSTITUTE(Base_Bruta!H132,"R$","")),",","."),0)))</f>
        <v>2</v>
      </c>
      <c r="I132" s="6" t="n">
        <f aca="false">IF($A132="","",IF(ISNUMBER(Base_Bruta!I132),Base_Bruta!I132,IFERROR(_xlfn.NUMBERVALUE(TRIM(SUBSTITUTE(Base_Bruta!I132,"R$","")),",","."),0)))</f>
        <v>285</v>
      </c>
      <c r="J132" s="6" t="n">
        <f aca="false">IF($A132="","",H132*I132)</f>
        <v>570</v>
      </c>
      <c r="K132" s="4" t="str">
        <f aca="false">IF($A132="","",TRIM(Base_Bruta!J132))</f>
        <v>Site</v>
      </c>
      <c r="L132" s="4" t="str">
        <f aca="false">IF($A132="","",TRIM(Base_Bruta!K132))</f>
        <v>C02261</v>
      </c>
      <c r="M132" s="4" t="str">
        <f aca="false">IF($A132="","",_xlfn.XLOOKUP(LOWER(TRIM(Base_Bruta!L132)),DePara_Cidade!$A$2:$A$29,DePara_Cidade!$B$2:$B$29,"REVISAR"))</f>
        <v>São Paulo</v>
      </c>
      <c r="N132" s="4" t="str">
        <f aca="false">IF($A132="","",UPPER(TRIM(Base_Bruta!M132)))</f>
        <v>SP</v>
      </c>
      <c r="O132" s="4" t="str">
        <f aca="false">IF($A132="","",_xlfn.XLOOKUP(LOWER(TRIM(Base_Bruta!N132)),DePara_Pais!$A$2:$A$9,DePara_Pais!$B$2:$B$9,"REVISAR"))</f>
        <v>Brasil</v>
      </c>
      <c r="P132" s="4" t="str">
        <f aca="false">IF($A132="","",IF(O132&lt;&gt;"Brasil","Turista Internacional",IF(M132=F132,"Local","Turista Nacional")))</f>
        <v>Local</v>
      </c>
      <c r="Q132" s="7" t="n">
        <f aca="false">IF($A132="","",DATE(YEAR(B132),MONTH(B132),1))</f>
        <v>45839</v>
      </c>
      <c r="R132" s="4" t="str">
        <f aca="false">IF($A132="","",IF(COUNTIF($A$2:$A132,$A132)&gt;1,"Sim","Não"))</f>
        <v>Não</v>
      </c>
      <c r="S132" s="4" t="str">
        <f aca="false">IF(A132="","Descartar - Linha vazia",IF(R132="Sim","Descartar - Duplicado",IF(OR(H132&lt;=0,I132&lt;=0),"Descartar - Qtd/Valor inválido","OK")))</f>
        <v>OK</v>
      </c>
      <c r="T132" s="4" t="str">
        <f aca="false">Base_Bruta!P132</f>
        <v>vendas_SP.xlsx</v>
      </c>
    </row>
    <row r="133" customFormat="false" ht="15" hidden="false" customHeight="false" outlineLevel="0" collapsed="false">
      <c r="A133" s="4" t="str">
        <f aca="false">IF(Base_Bruta!A133="","",Base_Bruta!A133)</f>
        <v>SP-000715</v>
      </c>
      <c r="B133" s="5" t="n">
        <f aca="false">IF($A133="","",IF(ISNUMBER(Base_Bruta!B133),Base_Bruta!B133,IF(MID(Base_Bruta!B133,5,1)="-",DATE(VALUE(LEFT(Base_Bruta!B133,4)),VALUE(MID(Base_Bruta!B133,6,2)),VALUE(RIGHT(Base_Bruta!B133,2))),DATE(VALUE(RIGHT(Base_Bruta!B133,4)),VALUE(MID(Base_Bruta!B133,4,2)),VALUE(LEFT(Base_Bruta!B133,2))))))</f>
        <v>45844</v>
      </c>
      <c r="C133" s="5" t="n">
        <f aca="false">IF($A133="","",IF(ISNUMBER(Base_Bruta!C133),Base_Bruta!C133,IF(MID(Base_Bruta!C133,5,1)="-",DATE(VALUE(LEFT(Base_Bruta!C133,4)),VALUE(MID(Base_Bruta!C133,6,2)),VALUE(RIGHT(Base_Bruta!C133,2))),DATE(VALUE(RIGHT(Base_Bruta!C133,4)),VALUE(MID(Base_Bruta!C133,4,2)),VALUE(LEFT(Base_Bruta!C133,2))))))</f>
        <v>45847</v>
      </c>
      <c r="D133" s="4" t="str">
        <f aca="false">IF($A133="","",TRIM(Base_Bruta!D133))</f>
        <v>Cinema Paulista - Sessões</v>
      </c>
      <c r="E133" s="4" t="str">
        <f aca="false">IF($A133="","",_xlfn.XLOOKUP(LOWER(TRIM(Base_Bruta!E133)),DePara_Categoria!$A$2:$A$9,DePara_Categoria!$B$2:$B$9,"REVISAR"))</f>
        <v>Cinema</v>
      </c>
      <c r="F133" s="4" t="str">
        <f aca="false">IF($A133="","",_xlfn.XLOOKUP(LOWER(TRIM(Base_Bruta!F133)),DePara_Cidade!$A$2:$A$29,DePara_Cidade!$B$2:$B$29,"REVISAR"))</f>
        <v>São Paulo</v>
      </c>
      <c r="G133" s="4" t="str">
        <f aca="false">IF($A133="","",TRIM(Base_Bruta!G133))</f>
        <v>Inteira</v>
      </c>
      <c r="H133" s="4" t="n">
        <f aca="false">IF($A133="","",IF(ISNUMBER(Base_Bruta!H133),Base_Bruta!H133,IFERROR(_xlfn.NUMBERVALUE(TRIM(SUBSTITUTE(Base_Bruta!H133,"R$","")),",","."),0)))</f>
        <v>2</v>
      </c>
      <c r="I133" s="6" t="n">
        <f aca="false">IF($A133="","",IF(ISNUMBER(Base_Bruta!I133),Base_Bruta!I133,IFERROR(_xlfn.NUMBERVALUE(TRIM(SUBSTITUTE(Base_Bruta!I133,"R$","")),",","."),0)))</f>
        <v>35</v>
      </c>
      <c r="J133" s="6" t="n">
        <f aca="false">IF($A133="","",H133*I133)</f>
        <v>70</v>
      </c>
      <c r="K133" s="4" t="str">
        <f aca="false">IF($A133="","",TRIM(Base_Bruta!J133))</f>
        <v>App</v>
      </c>
      <c r="L133" s="4" t="str">
        <f aca="false">IF($A133="","",TRIM(Base_Bruta!K133))</f>
        <v>C01197</v>
      </c>
      <c r="M133" s="4" t="str">
        <f aca="false">IF($A133="","",_xlfn.XLOOKUP(LOWER(TRIM(Base_Bruta!L133)),DePara_Cidade!$A$2:$A$29,DePara_Cidade!$B$2:$B$29,"REVISAR"))</f>
        <v>São Paulo</v>
      </c>
      <c r="N133" s="4" t="str">
        <f aca="false">IF($A133="","",UPPER(TRIM(Base_Bruta!M133)))</f>
        <v>SP</v>
      </c>
      <c r="O133" s="4" t="str">
        <f aca="false">IF($A133="","",_xlfn.XLOOKUP(LOWER(TRIM(Base_Bruta!N133)),DePara_Pais!$A$2:$A$9,DePara_Pais!$B$2:$B$9,"REVISAR"))</f>
        <v>Brasil</v>
      </c>
      <c r="P133" s="4" t="str">
        <f aca="false">IF($A133="","",IF(O133&lt;&gt;"Brasil","Turista Internacional",IF(M133=F133,"Local","Turista Nacional")))</f>
        <v>Local</v>
      </c>
      <c r="Q133" s="7" t="n">
        <f aca="false">IF($A133="","",DATE(YEAR(B133),MONTH(B133),1))</f>
        <v>45839</v>
      </c>
      <c r="R133" s="4" t="str">
        <f aca="false">IF($A133="","",IF(COUNTIF($A$2:$A133,$A133)&gt;1,"Sim","Não"))</f>
        <v>Não</v>
      </c>
      <c r="S133" s="4" t="str">
        <f aca="false">IF(A133="","Descartar - Linha vazia",IF(R133="Sim","Descartar - Duplicado",IF(OR(H133&lt;=0,I133&lt;=0),"Descartar - Qtd/Valor inválido","OK")))</f>
        <v>OK</v>
      </c>
      <c r="T133" s="4" t="str">
        <f aca="false">Base_Bruta!P133</f>
        <v>vendas_SP.xlsx</v>
      </c>
    </row>
    <row r="134" customFormat="false" ht="15" hidden="false" customHeight="false" outlineLevel="0" collapsed="false">
      <c r="A134" s="4" t="str">
        <f aca="false">IF(Base_Bruta!A134="","",Base_Bruta!A134)</f>
        <v>SP-000516</v>
      </c>
      <c r="B134" s="5" t="n">
        <f aca="false">IF($A134="","",IF(ISNUMBER(Base_Bruta!B134),Base_Bruta!B134,IF(MID(Base_Bruta!B134,5,1)="-",DATE(VALUE(LEFT(Base_Bruta!B134,4)),VALUE(MID(Base_Bruta!B134,6,2)),VALUE(RIGHT(Base_Bruta!B134,2))),DATE(VALUE(RIGHT(Base_Bruta!B134,4)),VALUE(MID(Base_Bruta!B134,4,2)),VALUE(LEFT(Base_Bruta!B134,2))))))</f>
        <v>45845</v>
      </c>
      <c r="C134" s="5" t="n">
        <f aca="false">IF($A134="","",IF(ISNUMBER(Base_Bruta!C134),Base_Bruta!C134,IF(MID(Base_Bruta!C134,5,1)="-",DATE(VALUE(LEFT(Base_Bruta!C134,4)),VALUE(MID(Base_Bruta!C134,6,2)),VALUE(RIGHT(Base_Bruta!C134,2))),DATE(VALUE(RIGHT(Base_Bruta!C134,4)),VALUE(MID(Base_Bruta!C134,4,2)),VALUE(LEFT(Base_Bruta!C134,2))))))</f>
        <v>45934</v>
      </c>
      <c r="D134" s="4" t="str">
        <f aca="false">IF($A134="","",TRIM(Base_Bruta!D134))</f>
        <v>Turnê Internacional Pop - SP</v>
      </c>
      <c r="E134" s="4" t="str">
        <f aca="false">IF($A134="","",_xlfn.XLOOKUP(LOWER(TRIM(Base_Bruta!E134)),DePara_Categoria!$A$2:$A$9,DePara_Categoria!$B$2:$B$9,"REVISAR"))</f>
        <v>Show</v>
      </c>
      <c r="F134" s="4" t="str">
        <f aca="false">IF($A134="","",_xlfn.XLOOKUP(LOWER(TRIM(Base_Bruta!F134)),DePara_Cidade!$A$2:$A$29,DePara_Cidade!$B$2:$B$29,"REVISAR"))</f>
        <v>São Paulo</v>
      </c>
      <c r="G134" s="4" t="str">
        <f aca="false">IF($A134="","",TRIM(Base_Bruta!G134))</f>
        <v>Inteira</v>
      </c>
      <c r="H134" s="4" t="n">
        <f aca="false">IF($A134="","",IF(ISNUMBER(Base_Bruta!H134),Base_Bruta!H134,IFERROR(_xlfn.NUMBERVALUE(TRIM(SUBSTITUTE(Base_Bruta!H134,"R$","")),",","."),0)))</f>
        <v>2</v>
      </c>
      <c r="I134" s="6" t="n">
        <f aca="false">IF($A134="","",IF(ISNUMBER(Base_Bruta!I134),Base_Bruta!I134,IFERROR(_xlfn.NUMBERVALUE(TRIM(SUBSTITUTE(Base_Bruta!I134,"R$","")),",","."),0)))</f>
        <v>595</v>
      </c>
      <c r="J134" s="6" t="n">
        <f aca="false">IF($A134="","",H134*I134)</f>
        <v>1190</v>
      </c>
      <c r="K134" s="4" t="str">
        <f aca="false">IF($A134="","",TRIM(Base_Bruta!J134))</f>
        <v>App</v>
      </c>
      <c r="L134" s="4" t="str">
        <f aca="false">IF($A134="","",TRIM(Base_Bruta!K134))</f>
        <v>C00191</v>
      </c>
      <c r="M134" s="4" t="str">
        <f aca="false">IF($A134="","",_xlfn.XLOOKUP(LOWER(TRIM(Base_Bruta!L134)),DePara_Cidade!$A$2:$A$29,DePara_Cidade!$B$2:$B$29,"REVISAR"))</f>
        <v>São Paulo</v>
      </c>
      <c r="N134" s="4" t="str">
        <f aca="false">IF($A134="","",UPPER(TRIM(Base_Bruta!M134)))</f>
        <v>SP</v>
      </c>
      <c r="O134" s="4" t="str">
        <f aca="false">IF($A134="","",_xlfn.XLOOKUP(LOWER(TRIM(Base_Bruta!N134)),DePara_Pais!$A$2:$A$9,DePara_Pais!$B$2:$B$9,"REVISAR"))</f>
        <v>Brasil</v>
      </c>
      <c r="P134" s="4" t="str">
        <f aca="false">IF($A134="","",IF(O134&lt;&gt;"Brasil","Turista Internacional",IF(M134=F134,"Local","Turista Nacional")))</f>
        <v>Local</v>
      </c>
      <c r="Q134" s="7" t="n">
        <f aca="false">IF($A134="","",DATE(YEAR(B134),MONTH(B134),1))</f>
        <v>45839</v>
      </c>
      <c r="R134" s="4" t="str">
        <f aca="false">IF($A134="","",IF(COUNTIF($A$2:$A134,$A134)&gt;1,"Sim","Não"))</f>
        <v>Não</v>
      </c>
      <c r="S134" s="4" t="str">
        <f aca="false">IF(A134="","Descartar - Linha vazia",IF(R134="Sim","Descartar - Duplicado",IF(OR(H134&lt;=0,I134&lt;=0),"Descartar - Qtd/Valor inválido","OK")))</f>
        <v>OK</v>
      </c>
      <c r="T134" s="4" t="str">
        <f aca="false">Base_Bruta!P134</f>
        <v>vendas_SP.xlsx</v>
      </c>
    </row>
    <row r="135" customFormat="false" ht="15" hidden="false" customHeight="false" outlineLevel="0" collapsed="false">
      <c r="A135" s="4" t="str">
        <f aca="false">IF(Base_Bruta!A135="","",Base_Bruta!A135)</f>
        <v>SP-000593</v>
      </c>
      <c r="B135" s="5" t="n">
        <f aca="false">IF($A135="","",IF(ISNUMBER(Base_Bruta!B135),Base_Bruta!B135,IF(MID(Base_Bruta!B135,5,1)="-",DATE(VALUE(LEFT(Base_Bruta!B135,4)),VALUE(MID(Base_Bruta!B135,6,2)),VALUE(RIGHT(Base_Bruta!B135,2))),DATE(VALUE(RIGHT(Base_Bruta!B135,4)),VALUE(MID(Base_Bruta!B135,4,2)),VALUE(LEFT(Base_Bruta!B135,2))))))</f>
        <v>45845</v>
      </c>
      <c r="C135" s="5" t="n">
        <f aca="false">IF($A135="","",IF(ISNUMBER(Base_Bruta!C135),Base_Bruta!C135,IF(MID(Base_Bruta!C135,5,1)="-",DATE(VALUE(LEFT(Base_Bruta!C135,4)),VALUE(MID(Base_Bruta!C135,6,2)),VALUE(RIGHT(Base_Bruta!C135,2))),DATE(VALUE(RIGHT(Base_Bruta!C135,4)),VALUE(MID(Base_Bruta!C135,4,2)),VALUE(LEFT(Base_Bruta!C135,2))))))</f>
        <v>45934</v>
      </c>
      <c r="D135" s="4" t="str">
        <f aca="false">IF($A135="","",TRIM(Base_Bruta!D135))</f>
        <v>Turnê Internacional Pop - SP</v>
      </c>
      <c r="E135" s="4" t="str">
        <f aca="false">IF($A135="","",_xlfn.XLOOKUP(LOWER(TRIM(Base_Bruta!E135)),DePara_Categoria!$A$2:$A$9,DePara_Categoria!$B$2:$B$9,"REVISAR"))</f>
        <v>Show</v>
      </c>
      <c r="F135" s="4" t="str">
        <f aca="false">IF($A135="","",_xlfn.XLOOKUP(LOWER(TRIM(Base_Bruta!F135)),DePara_Cidade!$A$2:$A$29,DePara_Cidade!$B$2:$B$29,"REVISAR"))</f>
        <v>São Paulo</v>
      </c>
      <c r="G135" s="4" t="str">
        <f aca="false">IF($A135="","",TRIM(Base_Bruta!G135))</f>
        <v>Meia</v>
      </c>
      <c r="H135" s="4" t="n">
        <f aca="false">IF($A135="","",IF(ISNUMBER(Base_Bruta!H135),Base_Bruta!H135,IFERROR(_xlfn.NUMBERVALUE(TRIM(SUBSTITUTE(Base_Bruta!H135,"R$","")),",","."),0)))</f>
        <v>2</v>
      </c>
      <c r="I135" s="6" t="n">
        <f aca="false">IF($A135="","",IF(ISNUMBER(Base_Bruta!I135),Base_Bruta!I135,IFERROR(_xlfn.NUMBERVALUE(TRIM(SUBSTITUTE(Base_Bruta!I135,"R$","")),",","."),0)))</f>
        <v>250</v>
      </c>
      <c r="J135" s="6" t="n">
        <f aca="false">IF($A135="","",H135*I135)</f>
        <v>500</v>
      </c>
      <c r="K135" s="4" t="str">
        <f aca="false">IF($A135="","",TRIM(Base_Bruta!J135))</f>
        <v>App</v>
      </c>
      <c r="L135" s="4" t="str">
        <f aca="false">IF($A135="","",TRIM(Base_Bruta!K135))</f>
        <v>C01219</v>
      </c>
      <c r="M135" s="4" t="str">
        <f aca="false">IF($A135="","",_xlfn.XLOOKUP(LOWER(TRIM(Base_Bruta!L135)),DePara_Cidade!$A$2:$A$29,DePara_Cidade!$B$2:$B$29,"REVISAR"))</f>
        <v>São Paulo</v>
      </c>
      <c r="N135" s="4" t="str">
        <f aca="false">IF($A135="","",UPPER(TRIM(Base_Bruta!M135)))</f>
        <v>SP</v>
      </c>
      <c r="O135" s="4" t="str">
        <f aca="false">IF($A135="","",_xlfn.XLOOKUP(LOWER(TRIM(Base_Bruta!N135)),DePara_Pais!$A$2:$A$9,DePara_Pais!$B$2:$B$9,"REVISAR"))</f>
        <v>Brasil</v>
      </c>
      <c r="P135" s="4" t="str">
        <f aca="false">IF($A135="","",IF(O135&lt;&gt;"Brasil","Turista Internacional",IF(M135=F135,"Local","Turista Nacional")))</f>
        <v>Local</v>
      </c>
      <c r="Q135" s="7" t="n">
        <f aca="false">IF($A135="","",DATE(YEAR(B135),MONTH(B135),1))</f>
        <v>45839</v>
      </c>
      <c r="R135" s="4" t="str">
        <f aca="false">IF($A135="","",IF(COUNTIF($A$2:$A135,$A135)&gt;1,"Sim","Não"))</f>
        <v>Não</v>
      </c>
      <c r="S135" s="4" t="str">
        <f aca="false">IF(A135="","Descartar - Linha vazia",IF(R135="Sim","Descartar - Duplicado",IF(OR(H135&lt;=0,I135&lt;=0),"Descartar - Qtd/Valor inválido","OK")))</f>
        <v>OK</v>
      </c>
      <c r="T135" s="4" t="str">
        <f aca="false">Base_Bruta!P135</f>
        <v>vendas_SP.xlsx</v>
      </c>
    </row>
    <row r="136" customFormat="false" ht="15" hidden="false" customHeight="false" outlineLevel="0" collapsed="false">
      <c r="A136" s="4" t="str">
        <f aca="false">IF(Base_Bruta!A136="","",Base_Bruta!A136)</f>
        <v>SP-000731</v>
      </c>
      <c r="B136" s="5" t="n">
        <f aca="false">IF($A136="","",IF(ISNUMBER(Base_Bruta!B136),Base_Bruta!B136,IF(MID(Base_Bruta!B136,5,1)="-",DATE(VALUE(LEFT(Base_Bruta!B136,4)),VALUE(MID(Base_Bruta!B136,6,2)),VALUE(RIGHT(Base_Bruta!B136,2))),DATE(VALUE(RIGHT(Base_Bruta!B136,4)),VALUE(MID(Base_Bruta!B136,4,2)),VALUE(LEFT(Base_Bruta!B136,2))))))</f>
        <v>45846</v>
      </c>
      <c r="C136" s="5" t="n">
        <f aca="false">IF($A136="","",IF(ISNUMBER(Base_Bruta!C136),Base_Bruta!C136,IF(MID(Base_Bruta!C136,5,1)="-",DATE(VALUE(LEFT(Base_Bruta!C136,4)),VALUE(MID(Base_Bruta!C136,6,2)),VALUE(RIGHT(Base_Bruta!C136,2))),DATE(VALUE(RIGHT(Base_Bruta!C136,4)),VALUE(MID(Base_Bruta!C136,4,2)),VALUE(LEFT(Base_Bruta!C136,2))))))</f>
        <v>45848</v>
      </c>
      <c r="D136" s="4" t="str">
        <f aca="false">IF($A136="","",TRIM(Base_Bruta!D136))</f>
        <v>Cinema Paulista - Sessões</v>
      </c>
      <c r="E136" s="4" t="str">
        <f aca="false">IF($A136="","",_xlfn.XLOOKUP(LOWER(TRIM(Base_Bruta!E136)),DePara_Categoria!$A$2:$A$9,DePara_Categoria!$B$2:$B$9,"REVISAR"))</f>
        <v>Cinema</v>
      </c>
      <c r="F136" s="4" t="str">
        <f aca="false">IF($A136="","",_xlfn.XLOOKUP(LOWER(TRIM(Base_Bruta!F136)),DePara_Cidade!$A$2:$A$29,DePara_Cidade!$B$2:$B$29,"REVISAR"))</f>
        <v>São Paulo</v>
      </c>
      <c r="G136" s="4" t="str">
        <f aca="false">IF($A136="","",TRIM(Base_Bruta!G136))</f>
        <v>Inteira</v>
      </c>
      <c r="H136" s="4" t="n">
        <f aca="false">IF($A136="","",IF(ISNUMBER(Base_Bruta!H136),Base_Bruta!H136,IFERROR(_xlfn.NUMBERVALUE(TRIM(SUBSTITUTE(Base_Bruta!H136,"R$","")),",","."),0)))</f>
        <v>3</v>
      </c>
      <c r="I136" s="6" t="n">
        <f aca="false">IF($A136="","",IF(ISNUMBER(Base_Bruta!I136),Base_Bruta!I136,IFERROR(_xlfn.NUMBERVALUE(TRIM(SUBSTITUTE(Base_Bruta!I136,"R$","")),",","."),0)))</f>
        <v>45</v>
      </c>
      <c r="J136" s="6" t="n">
        <f aca="false">IF($A136="","",H136*I136)</f>
        <v>135</v>
      </c>
      <c r="K136" s="4" t="str">
        <f aca="false">IF($A136="","",TRIM(Base_Bruta!J136))</f>
        <v>App</v>
      </c>
      <c r="L136" s="4" t="str">
        <f aca="false">IF($A136="","",TRIM(Base_Bruta!K136))</f>
        <v>C00856</v>
      </c>
      <c r="M136" s="4" t="str">
        <f aca="false">IF($A136="","",_xlfn.XLOOKUP(LOWER(TRIM(Base_Bruta!L136)),DePara_Cidade!$A$2:$A$29,DePara_Cidade!$B$2:$B$29,"REVISAR"))</f>
        <v>São Paulo</v>
      </c>
      <c r="N136" s="4" t="str">
        <f aca="false">IF($A136="","",UPPER(TRIM(Base_Bruta!M136)))</f>
        <v>SP</v>
      </c>
      <c r="O136" s="4" t="str">
        <f aca="false">IF($A136="","",_xlfn.XLOOKUP(LOWER(TRIM(Base_Bruta!N136)),DePara_Pais!$A$2:$A$9,DePara_Pais!$B$2:$B$9,"REVISAR"))</f>
        <v>Brasil</v>
      </c>
      <c r="P136" s="4" t="str">
        <f aca="false">IF($A136="","",IF(O136&lt;&gt;"Brasil","Turista Internacional",IF(M136=F136,"Local","Turista Nacional")))</f>
        <v>Local</v>
      </c>
      <c r="Q136" s="7" t="n">
        <f aca="false">IF($A136="","",DATE(YEAR(B136),MONTH(B136),1))</f>
        <v>45839</v>
      </c>
      <c r="R136" s="4" t="str">
        <f aca="false">IF($A136="","",IF(COUNTIF($A$2:$A136,$A136)&gt;1,"Sim","Não"))</f>
        <v>Não</v>
      </c>
      <c r="S136" s="4" t="str">
        <f aca="false">IF(A136="","Descartar - Linha vazia",IF(R136="Sim","Descartar - Duplicado",IF(OR(H136&lt;=0,I136&lt;=0),"Descartar - Qtd/Valor inválido","OK")))</f>
        <v>OK</v>
      </c>
      <c r="T136" s="4" t="str">
        <f aca="false">Base_Bruta!P136</f>
        <v>vendas_SP.xlsx</v>
      </c>
    </row>
    <row r="137" customFormat="false" ht="15" hidden="false" customHeight="false" outlineLevel="0" collapsed="false">
      <c r="A137" s="4" t="str">
        <f aca="false">IF(Base_Bruta!A137="","",Base_Bruta!A137)</f>
        <v>SP-000521</v>
      </c>
      <c r="B137" s="5" t="n">
        <f aca="false">IF($A137="","",IF(ISNUMBER(Base_Bruta!B137),Base_Bruta!B137,IF(MID(Base_Bruta!B137,5,1)="-",DATE(VALUE(LEFT(Base_Bruta!B137,4)),VALUE(MID(Base_Bruta!B137,6,2)),VALUE(RIGHT(Base_Bruta!B137,2))),DATE(VALUE(RIGHT(Base_Bruta!B137,4)),VALUE(MID(Base_Bruta!B137,4,2)),VALUE(LEFT(Base_Bruta!B137,2))))))</f>
        <v>45850</v>
      </c>
      <c r="C137" s="5" t="n">
        <f aca="false">IF($A137="","",IF(ISNUMBER(Base_Bruta!C137),Base_Bruta!C137,IF(MID(Base_Bruta!C137,5,1)="-",DATE(VALUE(LEFT(Base_Bruta!C137,4)),VALUE(MID(Base_Bruta!C137,6,2)),VALUE(RIGHT(Base_Bruta!C137,2))),DATE(VALUE(RIGHT(Base_Bruta!C137,4)),VALUE(MID(Base_Bruta!C137,4,2)),VALUE(LEFT(Base_Bruta!C137,2))))))</f>
        <v>45934</v>
      </c>
      <c r="D137" s="4" t="str">
        <f aca="false">IF($A137="","",TRIM(Base_Bruta!D137))</f>
        <v>Turnê Internacional Pop - SP</v>
      </c>
      <c r="E137" s="4" t="str">
        <f aca="false">IF($A137="","",_xlfn.XLOOKUP(LOWER(TRIM(Base_Bruta!E137)),DePara_Categoria!$A$2:$A$9,DePara_Categoria!$B$2:$B$9,"REVISAR"))</f>
        <v>Show</v>
      </c>
      <c r="F137" s="4" t="str">
        <f aca="false">IF($A137="","",_xlfn.XLOOKUP(LOWER(TRIM(Base_Bruta!F137)),DePara_Cidade!$A$2:$A$29,DePara_Cidade!$B$2:$B$29,"REVISAR"))</f>
        <v>São Paulo</v>
      </c>
      <c r="G137" s="4" t="str">
        <f aca="false">IF($A137="","",TRIM(Base_Bruta!G137))</f>
        <v>Inteira</v>
      </c>
      <c r="H137" s="4" t="n">
        <f aca="false">IF($A137="","",IF(ISNUMBER(Base_Bruta!H137),Base_Bruta!H137,IFERROR(_xlfn.NUMBERVALUE(TRIM(SUBSTITUTE(Base_Bruta!H137,"R$","")),",","."),0)))</f>
        <v>2</v>
      </c>
      <c r="I137" s="6" t="n">
        <f aca="false">IF($A137="","",IF(ISNUMBER(Base_Bruta!I137),Base_Bruta!I137,IFERROR(_xlfn.NUMBERVALUE(TRIM(SUBSTITUTE(Base_Bruta!I137,"R$","")),",","."),0)))</f>
        <v>690</v>
      </c>
      <c r="J137" s="6" t="n">
        <f aca="false">IF($A137="","",H137*I137)</f>
        <v>1380</v>
      </c>
      <c r="K137" s="4" t="str">
        <f aca="false">IF($A137="","",TRIM(Base_Bruta!J137))</f>
        <v>App</v>
      </c>
      <c r="L137" s="4" t="str">
        <f aca="false">IF($A137="","",TRIM(Base_Bruta!K137))</f>
        <v>C01778</v>
      </c>
      <c r="M137" s="4" t="str">
        <f aca="false">IF($A137="","",_xlfn.XLOOKUP(LOWER(TRIM(Base_Bruta!L137)),DePara_Cidade!$A$2:$A$29,DePara_Cidade!$B$2:$B$29,"REVISAR"))</f>
        <v>Salvador</v>
      </c>
      <c r="N137" s="4" t="str">
        <f aca="false">IF($A137="","",UPPER(TRIM(Base_Bruta!M137)))</f>
        <v>BA</v>
      </c>
      <c r="O137" s="4" t="str">
        <f aca="false">IF($A137="","",_xlfn.XLOOKUP(LOWER(TRIM(Base_Bruta!N137)),DePara_Pais!$A$2:$A$9,DePara_Pais!$B$2:$B$9,"REVISAR"))</f>
        <v>Brasil</v>
      </c>
      <c r="P137" s="4" t="str">
        <f aca="false">IF($A137="","",IF(O137&lt;&gt;"Brasil","Turista Internacional",IF(M137=F137,"Local","Turista Nacional")))</f>
        <v>Turista Nacional</v>
      </c>
      <c r="Q137" s="7" t="n">
        <f aca="false">IF($A137="","",DATE(YEAR(B137),MONTH(B137),1))</f>
        <v>45839</v>
      </c>
      <c r="R137" s="4" t="str">
        <f aca="false">IF($A137="","",IF(COUNTIF($A$2:$A137,$A137)&gt;1,"Sim","Não"))</f>
        <v>Não</v>
      </c>
      <c r="S137" s="4" t="str">
        <f aca="false">IF(A137="","Descartar - Linha vazia",IF(R137="Sim","Descartar - Duplicado",IF(OR(H137&lt;=0,I137&lt;=0),"Descartar - Qtd/Valor inválido","OK")))</f>
        <v>OK</v>
      </c>
      <c r="T137" s="4" t="str">
        <f aca="false">Base_Bruta!P137</f>
        <v>vendas_SP.xlsx</v>
      </c>
    </row>
    <row r="138" customFormat="false" ht="15" hidden="false" customHeight="false" outlineLevel="0" collapsed="false">
      <c r="A138" s="4" t="str">
        <f aca="false">IF(Base_Bruta!A138="","",Base_Bruta!A138)</f>
        <v>SP-000573</v>
      </c>
      <c r="B138" s="5" t="n">
        <f aca="false">IF($A138="","",IF(ISNUMBER(Base_Bruta!B138),Base_Bruta!B138,IF(MID(Base_Bruta!B138,5,1)="-",DATE(VALUE(LEFT(Base_Bruta!B138,4)),VALUE(MID(Base_Bruta!B138,6,2)),VALUE(RIGHT(Base_Bruta!B138,2))),DATE(VALUE(RIGHT(Base_Bruta!B138,4)),VALUE(MID(Base_Bruta!B138,4,2)),VALUE(LEFT(Base_Bruta!B138,2))))))</f>
        <v>45852</v>
      </c>
      <c r="C138" s="5" t="n">
        <f aca="false">IF($A138="","",IF(ISNUMBER(Base_Bruta!C138),Base_Bruta!C138,IF(MID(Base_Bruta!C138,5,1)="-",DATE(VALUE(LEFT(Base_Bruta!C138,4)),VALUE(MID(Base_Bruta!C138,6,2)),VALUE(RIGHT(Base_Bruta!C138,2))),DATE(VALUE(RIGHT(Base_Bruta!C138,4)),VALUE(MID(Base_Bruta!C138,4,2)),VALUE(LEFT(Base_Bruta!C138,2))))))</f>
        <v>45934</v>
      </c>
      <c r="D138" s="4" t="str">
        <f aca="false">IF($A138="","",TRIM(Base_Bruta!D138))</f>
        <v>Turnê Internacional Pop - SP</v>
      </c>
      <c r="E138" s="4" t="str">
        <f aca="false">IF($A138="","",_xlfn.XLOOKUP(LOWER(TRIM(Base_Bruta!E138)),DePara_Categoria!$A$2:$A$9,DePara_Categoria!$B$2:$B$9,"REVISAR"))</f>
        <v>Show</v>
      </c>
      <c r="F138" s="4" t="str">
        <f aca="false">IF($A138="","",_xlfn.XLOOKUP(LOWER(TRIM(Base_Bruta!F138)),DePara_Cidade!$A$2:$A$29,DePara_Cidade!$B$2:$B$29,"REVISAR"))</f>
        <v>São Paulo</v>
      </c>
      <c r="G138" s="4" t="str">
        <f aca="false">IF($A138="","",TRIM(Base_Bruta!G138))</f>
        <v>Inteira</v>
      </c>
      <c r="H138" s="4" t="n">
        <f aca="false">IF($A138="","",IF(ISNUMBER(Base_Bruta!H138),Base_Bruta!H138,IFERROR(_xlfn.NUMBERVALUE(TRIM(SUBSTITUTE(Base_Bruta!H138,"R$","")),",","."),0)))</f>
        <v>1</v>
      </c>
      <c r="I138" s="6" t="n">
        <f aca="false">IF($A138="","",IF(ISNUMBER(Base_Bruta!I138),Base_Bruta!I138,IFERROR(_xlfn.NUMBERVALUE(TRIM(SUBSTITUTE(Base_Bruta!I138,"R$","")),",","."),0)))</f>
        <v>265</v>
      </c>
      <c r="J138" s="6" t="n">
        <f aca="false">IF($A138="","",H138*I138)</f>
        <v>265</v>
      </c>
      <c r="K138" s="4" t="str">
        <f aca="false">IF($A138="","",TRIM(Base_Bruta!J138))</f>
        <v>App</v>
      </c>
      <c r="L138" s="4" t="str">
        <f aca="false">IF($A138="","",TRIM(Base_Bruta!K138))</f>
        <v>C01992</v>
      </c>
      <c r="M138" s="4" t="str">
        <f aca="false">IF($A138="","",_xlfn.XLOOKUP(LOWER(TRIM(Base_Bruta!L138)),DePara_Cidade!$A$2:$A$29,DePara_Cidade!$B$2:$B$29,"REVISAR"))</f>
        <v>Buenos Aires</v>
      </c>
      <c r="N138" s="4" t="str">
        <f aca="false">IF($A138="","",UPPER(TRIM(Base_Bruta!M138)))</f>
        <v>EX</v>
      </c>
      <c r="O138" s="4" t="str">
        <f aca="false">IF($A138="","",_xlfn.XLOOKUP(LOWER(TRIM(Base_Bruta!N138)),DePara_Pais!$A$2:$A$9,DePara_Pais!$B$2:$B$9,"REVISAR"))</f>
        <v>Argentina</v>
      </c>
      <c r="P138" s="4" t="str">
        <f aca="false">IF($A138="","",IF(O138&lt;&gt;"Brasil","Turista Internacional",IF(M138=F138,"Local","Turista Nacional")))</f>
        <v>Turista Internacional</v>
      </c>
      <c r="Q138" s="7" t="n">
        <f aca="false">IF($A138="","",DATE(YEAR(B138),MONTH(B138),1))</f>
        <v>45839</v>
      </c>
      <c r="R138" s="4" t="str">
        <f aca="false">IF($A138="","",IF(COUNTIF($A$2:$A138,$A138)&gt;1,"Sim","Não"))</f>
        <v>Não</v>
      </c>
      <c r="S138" s="4" t="str">
        <f aca="false">IF(A138="","Descartar - Linha vazia",IF(R138="Sim","Descartar - Duplicado",IF(OR(H138&lt;=0,I138&lt;=0),"Descartar - Qtd/Valor inválido","OK")))</f>
        <v>OK</v>
      </c>
      <c r="T138" s="4" t="str">
        <f aca="false">Base_Bruta!P138</f>
        <v>vendas_SP.xlsx</v>
      </c>
    </row>
    <row r="139" customFormat="false" ht="15" hidden="false" customHeight="false" outlineLevel="0" collapsed="false">
      <c r="A139" s="4" t="str">
        <f aca="false">IF(Base_Bruta!A139="","",Base_Bruta!A139)</f>
        <v>SP-000558</v>
      </c>
      <c r="B139" s="5" t="n">
        <f aca="false">IF($A139="","",IF(ISNUMBER(Base_Bruta!B139),Base_Bruta!B139,IF(MID(Base_Bruta!B139,5,1)="-",DATE(VALUE(LEFT(Base_Bruta!B139,4)),VALUE(MID(Base_Bruta!B139,6,2)),VALUE(RIGHT(Base_Bruta!B139,2))),DATE(VALUE(RIGHT(Base_Bruta!B139,4)),VALUE(MID(Base_Bruta!B139,4,2)),VALUE(LEFT(Base_Bruta!B139,2))))))</f>
        <v>45830</v>
      </c>
      <c r="C139" s="5" t="n">
        <f aca="false">IF($A139="","",IF(ISNUMBER(Base_Bruta!C139),Base_Bruta!C139,IF(MID(Base_Bruta!C139,5,1)="-",DATE(VALUE(LEFT(Base_Bruta!C139,4)),VALUE(MID(Base_Bruta!C139,6,2)),VALUE(RIGHT(Base_Bruta!C139,2))),DATE(VALUE(RIGHT(Base_Bruta!C139,4)),VALUE(MID(Base_Bruta!C139,4,2)),VALUE(LEFT(Base_Bruta!C139,2))))))</f>
        <v>45934</v>
      </c>
      <c r="D139" s="4" t="str">
        <f aca="false">IF($A139="","",TRIM(Base_Bruta!D139))</f>
        <v>Turnê Internacional Pop - SP</v>
      </c>
      <c r="E139" s="4" t="str">
        <f aca="false">IF($A139="","",_xlfn.XLOOKUP(LOWER(TRIM(Base_Bruta!E139)),DePara_Categoria!$A$2:$A$9,DePara_Categoria!$B$2:$B$9,"REVISAR"))</f>
        <v>Show</v>
      </c>
      <c r="F139" s="4" t="str">
        <f aca="false">IF($A139="","",_xlfn.XLOOKUP(LOWER(TRIM(Base_Bruta!F139)),DePara_Cidade!$A$2:$A$29,DePara_Cidade!$B$2:$B$29,"REVISAR"))</f>
        <v>São Paulo</v>
      </c>
      <c r="G139" s="4" t="str">
        <f aca="false">IF($A139="","",TRIM(Base_Bruta!G139))</f>
        <v>Inteira</v>
      </c>
      <c r="H139" s="4" t="n">
        <f aca="false">IF($A139="","",IF(ISNUMBER(Base_Bruta!H139),Base_Bruta!H139,IFERROR(_xlfn.NUMBERVALUE(TRIM(SUBSTITUTE(Base_Bruta!H139,"R$","")),",","."),0)))</f>
        <v>2</v>
      </c>
      <c r="I139" s="6" t="n">
        <f aca="false">IF($A139="","",IF(ISNUMBER(Base_Bruta!I139),Base_Bruta!I139,IFERROR(_xlfn.NUMBERVALUE(TRIM(SUBSTITUTE(Base_Bruta!I139,"R$","")),",","."),0)))</f>
        <v>685</v>
      </c>
      <c r="J139" s="6" t="n">
        <f aca="false">IF($A139="","",H139*I139)</f>
        <v>1370</v>
      </c>
      <c r="K139" s="4" t="str">
        <f aca="false">IF($A139="","",TRIM(Base_Bruta!J139))</f>
        <v>Bilheteria</v>
      </c>
      <c r="L139" s="4" t="str">
        <f aca="false">IF($A139="","",TRIM(Base_Bruta!K139))</f>
        <v>C02147</v>
      </c>
      <c r="M139" s="4" t="str">
        <f aca="false">IF($A139="","",_xlfn.XLOOKUP(LOWER(TRIM(Base_Bruta!L139)),DePara_Cidade!$A$2:$A$29,DePara_Cidade!$B$2:$B$29,"REVISAR"))</f>
        <v>São Paulo</v>
      </c>
      <c r="N139" s="4" t="str">
        <f aca="false">IF($A139="","",UPPER(TRIM(Base_Bruta!M139)))</f>
        <v>SP</v>
      </c>
      <c r="O139" s="4" t="str">
        <f aca="false">IF($A139="","",_xlfn.XLOOKUP(LOWER(TRIM(Base_Bruta!N139)),DePara_Pais!$A$2:$A$9,DePara_Pais!$B$2:$B$9,"REVISAR"))</f>
        <v>Brasil</v>
      </c>
      <c r="P139" s="4" t="str">
        <f aca="false">IF($A139="","",IF(O139&lt;&gt;"Brasil","Turista Internacional",IF(M139=F139,"Local","Turista Nacional")))</f>
        <v>Local</v>
      </c>
      <c r="Q139" s="7" t="n">
        <f aca="false">IF($A139="","",DATE(YEAR(B139),MONTH(B139),1))</f>
        <v>45809</v>
      </c>
      <c r="R139" s="4" t="str">
        <f aca="false">IF($A139="","",IF(COUNTIF($A$2:$A139,$A139)&gt;1,"Sim","Não"))</f>
        <v>Sim</v>
      </c>
      <c r="S139" s="4" t="str">
        <f aca="false">IF(A139="","Descartar - Linha vazia",IF(R139="Sim","Descartar - Duplicado",IF(OR(H139&lt;=0,I139&lt;=0),"Descartar - Qtd/Valor inválido","OK")))</f>
        <v>Descartar - Duplicado</v>
      </c>
      <c r="T139" s="4" t="str">
        <f aca="false">Base_Bruta!P139</f>
        <v>vendas_SP.xlsx</v>
      </c>
    </row>
    <row r="140" customFormat="false" ht="15" hidden="false" customHeight="false" outlineLevel="0" collapsed="false">
      <c r="A140" s="4" t="str">
        <f aca="false">IF(Base_Bruta!A140="","",Base_Bruta!A140)</f>
        <v>SP-000498</v>
      </c>
      <c r="B140" s="5" t="n">
        <f aca="false">IF($A140="","",IF(ISNUMBER(Base_Bruta!B140),Base_Bruta!B140,IF(MID(Base_Bruta!B140,5,1)="-",DATE(VALUE(LEFT(Base_Bruta!B140,4)),VALUE(MID(Base_Bruta!B140,6,2)),VALUE(RIGHT(Base_Bruta!B140,2))),DATE(VALUE(RIGHT(Base_Bruta!B140,4)),VALUE(MID(Base_Bruta!B140,4,2)),VALUE(LEFT(Base_Bruta!B140,2))))))</f>
        <v>45853</v>
      </c>
      <c r="C140" s="5" t="n">
        <f aca="false">IF($A140="","",IF(ISNUMBER(Base_Bruta!C140),Base_Bruta!C140,IF(MID(Base_Bruta!C140,5,1)="-",DATE(VALUE(LEFT(Base_Bruta!C140,4)),VALUE(MID(Base_Bruta!C140,6,2)),VALUE(RIGHT(Base_Bruta!C140,2))),DATE(VALUE(RIGHT(Base_Bruta!C140,4)),VALUE(MID(Base_Bruta!C140,4,2)),VALUE(LEFT(Base_Bruta!C140,2))))))</f>
        <v>45934</v>
      </c>
      <c r="D140" s="4" t="str">
        <f aca="false">IF($A140="","",TRIM(Base_Bruta!D140))</f>
        <v>Turnê Internacional Pop - SP</v>
      </c>
      <c r="E140" s="4" t="str">
        <f aca="false">IF($A140="","",_xlfn.XLOOKUP(LOWER(TRIM(Base_Bruta!E140)),DePara_Categoria!$A$2:$A$9,DePara_Categoria!$B$2:$B$9,"REVISAR"))</f>
        <v>Show</v>
      </c>
      <c r="F140" s="4" t="str">
        <f aca="false">IF($A140="","",_xlfn.XLOOKUP(LOWER(TRIM(Base_Bruta!F140)),DePara_Cidade!$A$2:$A$29,DePara_Cidade!$B$2:$B$29,"REVISAR"))</f>
        <v>São Paulo</v>
      </c>
      <c r="G140" s="4" t="str">
        <f aca="false">IF($A140="","",TRIM(Base_Bruta!G140))</f>
        <v>Inteira</v>
      </c>
      <c r="H140" s="4" t="n">
        <f aca="false">IF($A140="","",IF(ISNUMBER(Base_Bruta!H140),Base_Bruta!H140,IFERROR(_xlfn.NUMBERVALUE(TRIM(SUBSTITUTE(Base_Bruta!H140,"R$","")),",","."),0)))</f>
        <v>1</v>
      </c>
      <c r="I140" s="6" t="n">
        <f aca="false">IF($A140="","",IF(ISNUMBER(Base_Bruta!I140),Base_Bruta!I140,IFERROR(_xlfn.NUMBERVALUE(TRIM(SUBSTITUTE(Base_Bruta!I140,"R$","")),",","."),0)))</f>
        <v>445</v>
      </c>
      <c r="J140" s="6" t="n">
        <f aca="false">IF($A140="","",H140*I140)</f>
        <v>445</v>
      </c>
      <c r="K140" s="4" t="str">
        <f aca="false">IF($A140="","",TRIM(Base_Bruta!J140))</f>
        <v>Bilheteria</v>
      </c>
      <c r="L140" s="4" t="str">
        <f aca="false">IF($A140="","",TRIM(Base_Bruta!K140))</f>
        <v>C00840</v>
      </c>
      <c r="M140" s="4" t="str">
        <f aca="false">IF($A140="","",_xlfn.XLOOKUP(LOWER(TRIM(Base_Bruta!L140)),DePara_Cidade!$A$2:$A$29,DePara_Cidade!$B$2:$B$29,"REVISAR"))</f>
        <v>São Paulo</v>
      </c>
      <c r="N140" s="4" t="str">
        <f aca="false">IF($A140="","",UPPER(TRIM(Base_Bruta!M140)))</f>
        <v>SP</v>
      </c>
      <c r="O140" s="4" t="str">
        <f aca="false">IF($A140="","",_xlfn.XLOOKUP(LOWER(TRIM(Base_Bruta!N140)),DePara_Pais!$A$2:$A$9,DePara_Pais!$B$2:$B$9,"REVISAR"))</f>
        <v>Brasil</v>
      </c>
      <c r="P140" s="4" t="str">
        <f aca="false">IF($A140="","",IF(O140&lt;&gt;"Brasil","Turista Internacional",IF(M140=F140,"Local","Turista Nacional")))</f>
        <v>Local</v>
      </c>
      <c r="Q140" s="7" t="n">
        <f aca="false">IF($A140="","",DATE(YEAR(B140),MONTH(B140),1))</f>
        <v>45839</v>
      </c>
      <c r="R140" s="4" t="str">
        <f aca="false">IF($A140="","",IF(COUNTIF($A$2:$A140,$A140)&gt;1,"Sim","Não"))</f>
        <v>Não</v>
      </c>
      <c r="S140" s="4" t="str">
        <f aca="false">IF(A140="","Descartar - Linha vazia",IF(R140="Sim","Descartar - Duplicado",IF(OR(H140&lt;=0,I140&lt;=0),"Descartar - Qtd/Valor inválido","OK")))</f>
        <v>OK</v>
      </c>
      <c r="T140" s="4" t="str">
        <f aca="false">Base_Bruta!P140</f>
        <v>vendas_SP.xlsx</v>
      </c>
    </row>
    <row r="141" customFormat="false" ht="15" hidden="false" customHeight="false" outlineLevel="0" collapsed="false">
      <c r="A141" s="4" t="str">
        <f aca="false">IF(Base_Bruta!A141="","",Base_Bruta!A141)</f>
        <v>SP-000502</v>
      </c>
      <c r="B141" s="5" t="n">
        <f aca="false">IF($A141="","",IF(ISNUMBER(Base_Bruta!B141),Base_Bruta!B141,IF(MID(Base_Bruta!B141,5,1)="-",DATE(VALUE(LEFT(Base_Bruta!B141,4)),VALUE(MID(Base_Bruta!B141,6,2)),VALUE(RIGHT(Base_Bruta!B141,2))),DATE(VALUE(RIGHT(Base_Bruta!B141,4)),VALUE(MID(Base_Bruta!B141,4,2)),VALUE(LEFT(Base_Bruta!B141,2))))))</f>
        <v>45855</v>
      </c>
      <c r="C141" s="5" t="n">
        <f aca="false">IF($A141="","",IF(ISNUMBER(Base_Bruta!C141),Base_Bruta!C141,IF(MID(Base_Bruta!C141,5,1)="-",DATE(VALUE(LEFT(Base_Bruta!C141,4)),VALUE(MID(Base_Bruta!C141,6,2)),VALUE(RIGHT(Base_Bruta!C141,2))),DATE(VALUE(RIGHT(Base_Bruta!C141,4)),VALUE(MID(Base_Bruta!C141,4,2)),VALUE(LEFT(Base_Bruta!C141,2))))))</f>
        <v>45934</v>
      </c>
      <c r="D141" s="4" t="str">
        <f aca="false">IF($A141="","",TRIM(Base_Bruta!D141))</f>
        <v>Turnê Internacional Pop - SP</v>
      </c>
      <c r="E141" s="4" t="str">
        <f aca="false">IF($A141="","",_xlfn.XLOOKUP(LOWER(TRIM(Base_Bruta!E141)),DePara_Categoria!$A$2:$A$9,DePara_Categoria!$B$2:$B$9,"REVISAR"))</f>
        <v>Show</v>
      </c>
      <c r="F141" s="4" t="str">
        <f aca="false">IF($A141="","",_xlfn.XLOOKUP(LOWER(TRIM(Base_Bruta!F141)),DePara_Cidade!$A$2:$A$29,DePara_Cidade!$B$2:$B$29,"REVISAR"))</f>
        <v>São Paulo</v>
      </c>
      <c r="G141" s="4" t="str">
        <f aca="false">IF($A141="","",TRIM(Base_Bruta!G141))</f>
        <v>Inteira</v>
      </c>
      <c r="H141" s="4" t="n">
        <f aca="false">IF($A141="","",IF(ISNUMBER(Base_Bruta!H141),Base_Bruta!H141,IFERROR(_xlfn.NUMBERVALUE(TRIM(SUBSTITUTE(Base_Bruta!H141,"R$","")),",","."),0)))</f>
        <v>1</v>
      </c>
      <c r="I141" s="6" t="n">
        <f aca="false">IF($A141="","",IF(ISNUMBER(Base_Bruta!I141),Base_Bruta!I141,IFERROR(_xlfn.NUMBERVALUE(TRIM(SUBSTITUTE(Base_Bruta!I141,"R$","")),",","."),0)))</f>
        <v>505</v>
      </c>
      <c r="J141" s="6" t="n">
        <f aca="false">IF($A141="","",H141*I141)</f>
        <v>505</v>
      </c>
      <c r="K141" s="4" t="str">
        <f aca="false">IF($A141="","",TRIM(Base_Bruta!J141))</f>
        <v>App</v>
      </c>
      <c r="L141" s="4" t="str">
        <f aca="false">IF($A141="","",TRIM(Base_Bruta!K141))</f>
        <v>C00387</v>
      </c>
      <c r="M141" s="4" t="str">
        <f aca="false">IF($A141="","",_xlfn.XLOOKUP(LOWER(TRIM(Base_Bruta!L141)),DePara_Cidade!$A$2:$A$29,DePara_Cidade!$B$2:$B$29,"REVISAR"))</f>
        <v>São Paulo</v>
      </c>
      <c r="N141" s="4" t="str">
        <f aca="false">IF($A141="","",UPPER(TRIM(Base_Bruta!M141)))</f>
        <v>SP</v>
      </c>
      <c r="O141" s="4" t="str">
        <f aca="false">IF($A141="","",_xlfn.XLOOKUP(LOWER(TRIM(Base_Bruta!N141)),DePara_Pais!$A$2:$A$9,DePara_Pais!$B$2:$B$9,"REVISAR"))</f>
        <v>Brasil</v>
      </c>
      <c r="P141" s="4" t="str">
        <f aca="false">IF($A141="","",IF(O141&lt;&gt;"Brasil","Turista Internacional",IF(M141=F141,"Local","Turista Nacional")))</f>
        <v>Local</v>
      </c>
      <c r="Q141" s="7" t="n">
        <f aca="false">IF($A141="","",DATE(YEAR(B141),MONTH(B141),1))</f>
        <v>45839</v>
      </c>
      <c r="R141" s="4" t="str">
        <f aca="false">IF($A141="","",IF(COUNTIF($A$2:$A141,$A141)&gt;1,"Sim","Não"))</f>
        <v>Não</v>
      </c>
      <c r="S141" s="4" t="str">
        <f aca="false">IF(A141="","Descartar - Linha vazia",IF(R141="Sim","Descartar - Duplicado",IF(OR(H141&lt;=0,I141&lt;=0),"Descartar - Qtd/Valor inválido","OK")))</f>
        <v>OK</v>
      </c>
      <c r="T141" s="4" t="str">
        <f aca="false">Base_Bruta!P141</f>
        <v>vendas_SP.xlsx</v>
      </c>
    </row>
    <row r="142" customFormat="false" ht="15" hidden="false" customHeight="false" outlineLevel="0" collapsed="false">
      <c r="A142" s="4" t="str">
        <f aca="false">IF(Base_Bruta!A142="","",Base_Bruta!A142)</f>
        <v>SP-000058</v>
      </c>
      <c r="B142" s="5" t="n">
        <f aca="false">IF($A142="","",IF(ISNUMBER(Base_Bruta!B142),Base_Bruta!B142,IF(MID(Base_Bruta!B142,5,1)="-",DATE(VALUE(LEFT(Base_Bruta!B142,4)),VALUE(MID(Base_Bruta!B142,6,2)),VALUE(RIGHT(Base_Bruta!B142,2))),DATE(VALUE(RIGHT(Base_Bruta!B142,4)),VALUE(MID(Base_Bruta!B142,4,2)),VALUE(LEFT(Base_Bruta!B142,2))))))</f>
        <v>45856</v>
      </c>
      <c r="C142" s="5" t="n">
        <f aca="false">IF($A142="","",IF(ISNUMBER(Base_Bruta!C142),Base_Bruta!C142,IF(MID(Base_Bruta!C142,5,1)="-",DATE(VALUE(LEFT(Base_Bruta!C142,4)),VALUE(MID(Base_Bruta!C142,6,2)),VALUE(RIGHT(Base_Bruta!C142,2))),DATE(VALUE(RIGHT(Base_Bruta!C142,4)),VALUE(MID(Base_Bruta!C142,4,2)),VALUE(LEFT(Base_Bruta!C142,2))))))</f>
        <v>45976</v>
      </c>
      <c r="D142" s="4" t="str">
        <f aca="false">IF($A142="","",TRIM(Base_Bruta!D142))</f>
        <v>Festival Sonora SP 2025</v>
      </c>
      <c r="E142" s="4" t="str">
        <f aca="false">IF($A142="","",_xlfn.XLOOKUP(LOWER(TRIM(Base_Bruta!E142)),DePara_Categoria!$A$2:$A$9,DePara_Categoria!$B$2:$B$9,"REVISAR"))</f>
        <v>Festival</v>
      </c>
      <c r="F142" s="4" t="str">
        <f aca="false">IF($A142="","",_xlfn.XLOOKUP(LOWER(TRIM(Base_Bruta!F142)),DePara_Cidade!$A$2:$A$29,DePara_Cidade!$B$2:$B$29,"REVISAR"))</f>
        <v>São Paulo</v>
      </c>
      <c r="G142" s="4" t="str">
        <f aca="false">IF($A142="","",TRIM(Base_Bruta!G142))</f>
        <v>Meia</v>
      </c>
      <c r="H142" s="4" t="n">
        <f aca="false">IF($A142="","",IF(ISNUMBER(Base_Bruta!H142),Base_Bruta!H142,IFERROR(_xlfn.NUMBERVALUE(TRIM(SUBSTITUTE(Base_Bruta!H142,"R$","")),",","."),0)))</f>
        <v>4</v>
      </c>
      <c r="I142" s="6" t="n">
        <f aca="false">IF($A142="","",IF(ISNUMBER(Base_Bruta!I142),Base_Bruta!I142,IFERROR(_xlfn.NUMBERVALUE(TRIM(SUBSTITUTE(Base_Bruta!I142,"R$","")),",","."),0)))</f>
        <v>380</v>
      </c>
      <c r="J142" s="6" t="n">
        <f aca="false">IF($A142="","",H142*I142)</f>
        <v>1520</v>
      </c>
      <c r="K142" s="4" t="str">
        <f aca="false">IF($A142="","",TRIM(Base_Bruta!J142))</f>
        <v>App</v>
      </c>
      <c r="L142" s="4" t="str">
        <f aca="false">IF($A142="","",TRIM(Base_Bruta!K142))</f>
        <v>C01153</v>
      </c>
      <c r="M142" s="4" t="str">
        <f aca="false">IF($A142="","",_xlfn.XLOOKUP(LOWER(TRIM(Base_Bruta!L142)),DePara_Cidade!$A$2:$A$29,DePara_Cidade!$B$2:$B$29,"REVISAR"))</f>
        <v>Recife</v>
      </c>
      <c r="N142" s="4" t="str">
        <f aca="false">IF($A142="","",UPPER(TRIM(Base_Bruta!M142)))</f>
        <v>PE</v>
      </c>
      <c r="O142" s="4" t="str">
        <f aca="false">IF($A142="","",_xlfn.XLOOKUP(LOWER(TRIM(Base_Bruta!N142)),DePara_Pais!$A$2:$A$9,DePara_Pais!$B$2:$B$9,"REVISAR"))</f>
        <v>Brasil</v>
      </c>
      <c r="P142" s="4" t="str">
        <f aca="false">IF($A142="","",IF(O142&lt;&gt;"Brasil","Turista Internacional",IF(M142=F142,"Local","Turista Nacional")))</f>
        <v>Turista Nacional</v>
      </c>
      <c r="Q142" s="7" t="n">
        <f aca="false">IF($A142="","",DATE(YEAR(B142),MONTH(B142),1))</f>
        <v>45839</v>
      </c>
      <c r="R142" s="4" t="str">
        <f aca="false">IF($A142="","",IF(COUNTIF($A$2:$A142,$A142)&gt;1,"Sim","Não"))</f>
        <v>Não</v>
      </c>
      <c r="S142" s="4" t="str">
        <f aca="false">IF(A142="","Descartar - Linha vazia",IF(R142="Sim","Descartar - Duplicado",IF(OR(H142&lt;=0,I142&lt;=0),"Descartar - Qtd/Valor inválido","OK")))</f>
        <v>OK</v>
      </c>
      <c r="T142" s="4" t="str">
        <f aca="false">Base_Bruta!P142</f>
        <v>vendas_SP.xlsx</v>
      </c>
    </row>
    <row r="143" customFormat="false" ht="15" hidden="false" customHeight="false" outlineLevel="0" collapsed="false">
      <c r="A143" s="4" t="str">
        <f aca="false">IF(Base_Bruta!A143="","",Base_Bruta!A143)</f>
        <v>SP-000063</v>
      </c>
      <c r="B143" s="5" t="n">
        <f aca="false">IF($A143="","",IF(ISNUMBER(Base_Bruta!B143),Base_Bruta!B143,IF(MID(Base_Bruta!B143,5,1)="-",DATE(VALUE(LEFT(Base_Bruta!B143,4)),VALUE(MID(Base_Bruta!B143,6,2)),VALUE(RIGHT(Base_Bruta!B143,2))),DATE(VALUE(RIGHT(Base_Bruta!B143,4)),VALUE(MID(Base_Bruta!B143,4,2)),VALUE(LEFT(Base_Bruta!B143,2))))))</f>
        <v>45856</v>
      </c>
      <c r="C143" s="5" t="n">
        <f aca="false">IF($A143="","",IF(ISNUMBER(Base_Bruta!C143),Base_Bruta!C143,IF(MID(Base_Bruta!C143,5,1)="-",DATE(VALUE(LEFT(Base_Bruta!C143,4)),VALUE(MID(Base_Bruta!C143,6,2)),VALUE(RIGHT(Base_Bruta!C143,2))),DATE(VALUE(RIGHT(Base_Bruta!C143,4)),VALUE(MID(Base_Bruta!C143,4,2)),VALUE(LEFT(Base_Bruta!C143,2))))))</f>
        <v>45976</v>
      </c>
      <c r="D143" s="4" t="str">
        <f aca="false">IF($A143="","",TRIM(Base_Bruta!D143))</f>
        <v>Festival Sonora SP 2025</v>
      </c>
      <c r="E143" s="4" t="str">
        <f aca="false">IF($A143="","",_xlfn.XLOOKUP(LOWER(TRIM(Base_Bruta!E143)),DePara_Categoria!$A$2:$A$9,DePara_Categoria!$B$2:$B$9,"REVISAR"))</f>
        <v>Festival</v>
      </c>
      <c r="F143" s="4" t="str">
        <f aca="false">IF($A143="","",_xlfn.XLOOKUP(LOWER(TRIM(Base_Bruta!F143)),DePara_Cidade!$A$2:$A$29,DePara_Cidade!$B$2:$B$29,"REVISAR"))</f>
        <v>São Paulo</v>
      </c>
      <c r="G143" s="4" t="str">
        <f aca="false">IF($A143="","",TRIM(Base_Bruta!G143))</f>
        <v>Inteira</v>
      </c>
      <c r="H143" s="4" t="n">
        <f aca="false">IF($A143="","",IF(ISNUMBER(Base_Bruta!H143),Base_Bruta!H143,IFERROR(_xlfn.NUMBERVALUE(TRIM(SUBSTITUTE(Base_Bruta!H143,"R$","")),",","."),0)))</f>
        <v>4</v>
      </c>
      <c r="I143" s="6" t="n">
        <f aca="false">IF($A143="","",IF(ISNUMBER(Base_Bruta!I143),Base_Bruta!I143,IFERROR(_xlfn.NUMBERVALUE(TRIM(SUBSTITUTE(Base_Bruta!I143,"R$","")),",","."),0)))</f>
        <v>885</v>
      </c>
      <c r="J143" s="6" t="n">
        <f aca="false">IF($A143="","",H143*I143)</f>
        <v>3540</v>
      </c>
      <c r="K143" s="4" t="str">
        <f aca="false">IF($A143="","",TRIM(Base_Bruta!J143))</f>
        <v>Site</v>
      </c>
      <c r="L143" s="4" t="str">
        <f aca="false">IF($A143="","",TRIM(Base_Bruta!K143))</f>
        <v>C00233</v>
      </c>
      <c r="M143" s="4" t="str">
        <f aca="false">IF($A143="","",_xlfn.XLOOKUP(LOWER(TRIM(Base_Bruta!L143)),DePara_Cidade!$A$2:$A$29,DePara_Cidade!$B$2:$B$29,"REVISAR"))</f>
        <v>São Paulo</v>
      </c>
      <c r="N143" s="4" t="str">
        <f aca="false">IF($A143="","",UPPER(TRIM(Base_Bruta!M143)))</f>
        <v>SP</v>
      </c>
      <c r="O143" s="4" t="str">
        <f aca="false">IF($A143="","",_xlfn.XLOOKUP(LOWER(TRIM(Base_Bruta!N143)),DePara_Pais!$A$2:$A$9,DePara_Pais!$B$2:$B$9,"REVISAR"))</f>
        <v>Brasil</v>
      </c>
      <c r="P143" s="4" t="str">
        <f aca="false">IF($A143="","",IF(O143&lt;&gt;"Brasil","Turista Internacional",IF(M143=F143,"Local","Turista Nacional")))</f>
        <v>Local</v>
      </c>
      <c r="Q143" s="7" t="n">
        <f aca="false">IF($A143="","",DATE(YEAR(B143),MONTH(B143),1))</f>
        <v>45839</v>
      </c>
      <c r="R143" s="4" t="str">
        <f aca="false">IF($A143="","",IF(COUNTIF($A$2:$A143,$A143)&gt;1,"Sim","Não"))</f>
        <v>Não</v>
      </c>
      <c r="S143" s="4" t="str">
        <f aca="false">IF(A143="","Descartar - Linha vazia",IF(R143="Sim","Descartar - Duplicado",IF(OR(H143&lt;=0,I143&lt;=0),"Descartar - Qtd/Valor inválido","OK")))</f>
        <v>OK</v>
      </c>
      <c r="T143" s="4" t="str">
        <f aca="false">Base_Bruta!P143</f>
        <v>vendas_SP.xlsx</v>
      </c>
    </row>
    <row r="144" customFormat="false" ht="15" hidden="false" customHeight="false" outlineLevel="0" collapsed="false">
      <c r="A144" s="4" t="str">
        <f aca="false">IF(Base_Bruta!A144="","",Base_Bruta!A144)</f>
        <v>SP-000130</v>
      </c>
      <c r="B144" s="5" t="n">
        <f aca="false">IF($A144="","",IF(ISNUMBER(Base_Bruta!B144),Base_Bruta!B144,IF(MID(Base_Bruta!B144,5,1)="-",DATE(VALUE(LEFT(Base_Bruta!B144,4)),VALUE(MID(Base_Bruta!B144,6,2)),VALUE(RIGHT(Base_Bruta!B144,2))),DATE(VALUE(RIGHT(Base_Bruta!B144,4)),VALUE(MID(Base_Bruta!B144,4,2)),VALUE(LEFT(Base_Bruta!B144,2))))))</f>
        <v>45856</v>
      </c>
      <c r="C144" s="5" t="n">
        <f aca="false">IF($A144="","",IF(ISNUMBER(Base_Bruta!C144),Base_Bruta!C144,IF(MID(Base_Bruta!C144,5,1)="-",DATE(VALUE(LEFT(Base_Bruta!C144,4)),VALUE(MID(Base_Bruta!C144,6,2)),VALUE(RIGHT(Base_Bruta!C144,2))),DATE(VALUE(RIGHT(Base_Bruta!C144,4)),VALUE(MID(Base_Bruta!C144,4,2)),VALUE(LEFT(Base_Bruta!C144,2))))))</f>
        <v>45976</v>
      </c>
      <c r="D144" s="4" t="str">
        <f aca="false">IF($A144="","",TRIM(Base_Bruta!D144))</f>
        <v>Festival Sonora SP 2025</v>
      </c>
      <c r="E144" s="4" t="str">
        <f aca="false">IF($A144="","",_xlfn.XLOOKUP(LOWER(TRIM(Base_Bruta!E144)),DePara_Categoria!$A$2:$A$9,DePara_Categoria!$B$2:$B$9,"REVISAR"))</f>
        <v>Festival</v>
      </c>
      <c r="F144" s="4" t="str">
        <f aca="false">IF($A144="","",_xlfn.XLOOKUP(LOWER(TRIM(Base_Bruta!F144)),DePara_Cidade!$A$2:$A$29,DePara_Cidade!$B$2:$B$29,"REVISAR"))</f>
        <v>São Paulo</v>
      </c>
      <c r="G144" s="4" t="str">
        <f aca="false">IF($A144="","",TRIM(Base_Bruta!G144))</f>
        <v>Inteira</v>
      </c>
      <c r="H144" s="4" t="n">
        <f aca="false">IF($A144="","",IF(ISNUMBER(Base_Bruta!H144),Base_Bruta!H144,IFERROR(_xlfn.NUMBERVALUE(TRIM(SUBSTITUTE(Base_Bruta!H144,"R$","")),",","."),0)))</f>
        <v>2</v>
      </c>
      <c r="I144" s="6" t="n">
        <f aca="false">IF($A144="","",IF(ISNUMBER(Base_Bruta!I144),Base_Bruta!I144,IFERROR(_xlfn.NUMBERVALUE(TRIM(SUBSTITUTE(Base_Bruta!I144,"R$","")),",","."),0)))</f>
        <v>760</v>
      </c>
      <c r="J144" s="6" t="n">
        <f aca="false">IF($A144="","",H144*I144)</f>
        <v>1520</v>
      </c>
      <c r="K144" s="4" t="str">
        <f aca="false">IF($A144="","",TRIM(Base_Bruta!J144))</f>
        <v>Site</v>
      </c>
      <c r="L144" s="4" t="str">
        <f aca="false">IF($A144="","",TRIM(Base_Bruta!K144))</f>
        <v>C00331</v>
      </c>
      <c r="M144" s="4" t="str">
        <f aca="false">IF($A144="","",_xlfn.XLOOKUP(LOWER(TRIM(Base_Bruta!L144)),DePara_Cidade!$A$2:$A$29,DePara_Cidade!$B$2:$B$29,"REVISAR"))</f>
        <v>Santos</v>
      </c>
      <c r="N144" s="4" t="str">
        <f aca="false">IF($A144="","",UPPER(TRIM(Base_Bruta!M144)))</f>
        <v>SP</v>
      </c>
      <c r="O144" s="4" t="str">
        <f aca="false">IF($A144="","",_xlfn.XLOOKUP(LOWER(TRIM(Base_Bruta!N144)),DePara_Pais!$A$2:$A$9,DePara_Pais!$B$2:$B$9,"REVISAR"))</f>
        <v>Brasil</v>
      </c>
      <c r="P144" s="4" t="str">
        <f aca="false">IF($A144="","",IF(O144&lt;&gt;"Brasil","Turista Internacional",IF(M144=F144,"Local","Turista Nacional")))</f>
        <v>Turista Nacional</v>
      </c>
      <c r="Q144" s="7" t="n">
        <f aca="false">IF($A144="","",DATE(YEAR(B144),MONTH(B144),1))</f>
        <v>45839</v>
      </c>
      <c r="R144" s="4" t="str">
        <f aca="false">IF($A144="","",IF(COUNTIF($A$2:$A144,$A144)&gt;1,"Sim","Não"))</f>
        <v>Não</v>
      </c>
      <c r="S144" s="4" t="str">
        <f aca="false">IF(A144="","Descartar - Linha vazia",IF(R144="Sim","Descartar - Duplicado",IF(OR(H144&lt;=0,I144&lt;=0),"Descartar - Qtd/Valor inválido","OK")))</f>
        <v>OK</v>
      </c>
      <c r="T144" s="4" t="str">
        <f aca="false">Base_Bruta!P144</f>
        <v>vendas_SP.xlsx</v>
      </c>
    </row>
    <row r="145" customFormat="false" ht="15" hidden="false" customHeight="false" outlineLevel="0" collapsed="false">
      <c r="A145" s="4" t="str">
        <f aca="false">IF(Base_Bruta!A145="","",Base_Bruta!A145)</f>
        <v>SP-000165</v>
      </c>
      <c r="B145" s="5" t="n">
        <f aca="false">IF($A145="","",IF(ISNUMBER(Base_Bruta!B145),Base_Bruta!B145,IF(MID(Base_Bruta!B145,5,1)="-",DATE(VALUE(LEFT(Base_Bruta!B145,4)),VALUE(MID(Base_Bruta!B145,6,2)),VALUE(RIGHT(Base_Bruta!B145,2))),DATE(VALUE(RIGHT(Base_Bruta!B145,4)),VALUE(MID(Base_Bruta!B145,4,2)),VALUE(LEFT(Base_Bruta!B145,2))))))</f>
        <v>45856</v>
      </c>
      <c r="C145" s="5" t="n">
        <f aca="false">IF($A145="","",IF(ISNUMBER(Base_Bruta!C145),Base_Bruta!C145,IF(MID(Base_Bruta!C145,5,1)="-",DATE(VALUE(LEFT(Base_Bruta!C145,4)),VALUE(MID(Base_Bruta!C145,6,2)),VALUE(RIGHT(Base_Bruta!C145,2))),DATE(VALUE(RIGHT(Base_Bruta!C145,4)),VALUE(MID(Base_Bruta!C145,4,2)),VALUE(LEFT(Base_Bruta!C145,2))))))</f>
        <v>45976</v>
      </c>
      <c r="D145" s="4" t="str">
        <f aca="false">IF($A145="","",TRIM(Base_Bruta!D145))</f>
        <v>Festival Sonora SP 2025</v>
      </c>
      <c r="E145" s="4" t="str">
        <f aca="false">IF($A145="","",_xlfn.XLOOKUP(LOWER(TRIM(Base_Bruta!E145)),DePara_Categoria!$A$2:$A$9,DePara_Categoria!$B$2:$B$9,"REVISAR"))</f>
        <v>Festival</v>
      </c>
      <c r="F145" s="4" t="str">
        <f aca="false">IF($A145="","",_xlfn.XLOOKUP(LOWER(TRIM(Base_Bruta!F145)),DePara_Cidade!$A$2:$A$29,DePara_Cidade!$B$2:$B$29,"REVISAR"))</f>
        <v>São Paulo</v>
      </c>
      <c r="G145" s="4" t="str">
        <f aca="false">IF($A145="","",TRIM(Base_Bruta!G145))</f>
        <v>Meia</v>
      </c>
      <c r="H145" s="4" t="n">
        <f aca="false">IF($A145="","",IF(ISNUMBER(Base_Bruta!H145),Base_Bruta!H145,IFERROR(_xlfn.NUMBERVALUE(TRIM(SUBSTITUTE(Base_Bruta!H145,"R$","")),",","."),0)))</f>
        <v>4</v>
      </c>
      <c r="I145" s="6" t="n">
        <f aca="false">IF($A145="","",IF(ISNUMBER(Base_Bruta!I145),Base_Bruta!I145,IFERROR(_xlfn.NUMBERVALUE(TRIM(SUBSTITUTE(Base_Bruta!I145,"R$","")),",","."),0)))</f>
        <v>377.5</v>
      </c>
      <c r="J145" s="6" t="n">
        <f aca="false">IF($A145="","",H145*I145)</f>
        <v>1510</v>
      </c>
      <c r="K145" s="4" t="str">
        <f aca="false">IF($A145="","",TRIM(Base_Bruta!J145))</f>
        <v>Site</v>
      </c>
      <c r="L145" s="4" t="str">
        <f aca="false">IF($A145="","",TRIM(Base_Bruta!K145))</f>
        <v>C01278</v>
      </c>
      <c r="M145" s="4" t="str">
        <f aca="false">IF($A145="","",_xlfn.XLOOKUP(LOWER(TRIM(Base_Bruta!L145)),DePara_Cidade!$A$2:$A$29,DePara_Cidade!$B$2:$B$29,"REVISAR"))</f>
        <v>São Paulo</v>
      </c>
      <c r="N145" s="4" t="str">
        <f aca="false">IF($A145="","",UPPER(TRIM(Base_Bruta!M145)))</f>
        <v>SP</v>
      </c>
      <c r="O145" s="4" t="str">
        <f aca="false">IF($A145="","",_xlfn.XLOOKUP(LOWER(TRIM(Base_Bruta!N145)),DePara_Pais!$A$2:$A$9,DePara_Pais!$B$2:$B$9,"REVISAR"))</f>
        <v>Brasil</v>
      </c>
      <c r="P145" s="4" t="str">
        <f aca="false">IF($A145="","",IF(O145&lt;&gt;"Brasil","Turista Internacional",IF(M145=F145,"Local","Turista Nacional")))</f>
        <v>Local</v>
      </c>
      <c r="Q145" s="7" t="n">
        <f aca="false">IF($A145="","",DATE(YEAR(B145),MONTH(B145),1))</f>
        <v>45839</v>
      </c>
      <c r="R145" s="4" t="str">
        <f aca="false">IF($A145="","",IF(COUNTIF($A$2:$A145,$A145)&gt;1,"Sim","Não"))</f>
        <v>Não</v>
      </c>
      <c r="S145" s="4" t="str">
        <f aca="false">IF(A145="","Descartar - Linha vazia",IF(R145="Sim","Descartar - Duplicado",IF(OR(H145&lt;=0,I145&lt;=0),"Descartar - Qtd/Valor inválido","OK")))</f>
        <v>OK</v>
      </c>
      <c r="T145" s="4" t="str">
        <f aca="false">Base_Bruta!P145</f>
        <v>vendas_SP.xlsx</v>
      </c>
    </row>
    <row r="146" customFormat="false" ht="15" hidden="false" customHeight="false" outlineLevel="0" collapsed="false">
      <c r="A146" s="4" t="str">
        <f aca="false">IF(Base_Bruta!A146="","",Base_Bruta!A146)</f>
        <v>SP-000205</v>
      </c>
      <c r="B146" s="5" t="n">
        <f aca="false">IF($A146="","",IF(ISNUMBER(Base_Bruta!B146),Base_Bruta!B146,IF(MID(Base_Bruta!B146,5,1)="-",DATE(VALUE(LEFT(Base_Bruta!B146,4)),VALUE(MID(Base_Bruta!B146,6,2)),VALUE(RIGHT(Base_Bruta!B146,2))),DATE(VALUE(RIGHT(Base_Bruta!B146,4)),VALUE(MID(Base_Bruta!B146,4,2)),VALUE(LEFT(Base_Bruta!B146,2))))))</f>
        <v>45856</v>
      </c>
      <c r="C146" s="5" t="n">
        <f aca="false">IF($A146="","",IF(ISNUMBER(Base_Bruta!C146),Base_Bruta!C146,IF(MID(Base_Bruta!C146,5,1)="-",DATE(VALUE(LEFT(Base_Bruta!C146,4)),VALUE(MID(Base_Bruta!C146,6,2)),VALUE(RIGHT(Base_Bruta!C146,2))),DATE(VALUE(RIGHT(Base_Bruta!C146,4)),VALUE(MID(Base_Bruta!C146,4,2)),VALUE(LEFT(Base_Bruta!C146,2))))))</f>
        <v>45976</v>
      </c>
      <c r="D146" s="4" t="str">
        <f aca="false">IF($A146="","",TRIM(Base_Bruta!D146))</f>
        <v>Festival Sonora SP 2025</v>
      </c>
      <c r="E146" s="4" t="str">
        <f aca="false">IF($A146="","",_xlfn.XLOOKUP(LOWER(TRIM(Base_Bruta!E146)),DePara_Categoria!$A$2:$A$9,DePara_Categoria!$B$2:$B$9,"REVISAR"))</f>
        <v>Festival</v>
      </c>
      <c r="F146" s="4" t="str">
        <f aca="false">IF($A146="","",_xlfn.XLOOKUP(LOWER(TRIM(Base_Bruta!F146)),DePara_Cidade!$A$2:$A$29,DePara_Cidade!$B$2:$B$29,"REVISAR"))</f>
        <v>São Paulo</v>
      </c>
      <c r="G146" s="4" t="str">
        <f aca="false">IF($A146="","",TRIM(Base_Bruta!G146))</f>
        <v>Inteira</v>
      </c>
      <c r="H146" s="4" t="n">
        <f aca="false">IF($A146="","",IF(ISNUMBER(Base_Bruta!H146),Base_Bruta!H146,IFERROR(_xlfn.NUMBERVALUE(TRIM(SUBSTITUTE(Base_Bruta!H146,"R$","")),",","."),0)))</f>
        <v>1</v>
      </c>
      <c r="I146" s="6" t="n">
        <f aca="false">IF($A146="","",IF(ISNUMBER(Base_Bruta!I146),Base_Bruta!I146,IFERROR(_xlfn.NUMBERVALUE(TRIM(SUBSTITUTE(Base_Bruta!I146,"R$","")),",","."),0)))</f>
        <v>1050</v>
      </c>
      <c r="J146" s="6" t="n">
        <f aca="false">IF($A146="","",H146*I146)</f>
        <v>1050</v>
      </c>
      <c r="K146" s="4" t="str">
        <f aca="false">IF($A146="","",TRIM(Base_Bruta!J146))</f>
        <v>Site</v>
      </c>
      <c r="L146" s="4" t="str">
        <f aca="false">IF($A146="","",TRIM(Base_Bruta!K146))</f>
        <v>C01473</v>
      </c>
      <c r="M146" s="4" t="str">
        <f aca="false">IF($A146="","",_xlfn.XLOOKUP(LOWER(TRIM(Base_Bruta!L146)),DePara_Cidade!$A$2:$A$29,DePara_Cidade!$B$2:$B$29,"REVISAR"))</f>
        <v>São Paulo</v>
      </c>
      <c r="N146" s="4" t="str">
        <f aca="false">IF($A146="","",UPPER(TRIM(Base_Bruta!M146)))</f>
        <v>SP</v>
      </c>
      <c r="O146" s="4" t="str">
        <f aca="false">IF($A146="","",_xlfn.XLOOKUP(LOWER(TRIM(Base_Bruta!N146)),DePara_Pais!$A$2:$A$9,DePara_Pais!$B$2:$B$9,"REVISAR"))</f>
        <v>Brasil</v>
      </c>
      <c r="P146" s="4" t="str">
        <f aca="false">IF($A146="","",IF(O146&lt;&gt;"Brasil","Turista Internacional",IF(M146=F146,"Local","Turista Nacional")))</f>
        <v>Local</v>
      </c>
      <c r="Q146" s="7" t="n">
        <f aca="false">IF($A146="","",DATE(YEAR(B146),MONTH(B146),1))</f>
        <v>45839</v>
      </c>
      <c r="R146" s="4" t="str">
        <f aca="false">IF($A146="","",IF(COUNTIF($A$2:$A146,$A146)&gt;1,"Sim","Não"))</f>
        <v>Não</v>
      </c>
      <c r="S146" s="4" t="str">
        <f aca="false">IF(A146="","Descartar - Linha vazia",IF(R146="Sim","Descartar - Duplicado",IF(OR(H146&lt;=0,I146&lt;=0),"Descartar - Qtd/Valor inválido","OK")))</f>
        <v>OK</v>
      </c>
      <c r="T146" s="4" t="str">
        <f aca="false">Base_Bruta!P146</f>
        <v>vendas_SP.xlsx</v>
      </c>
    </row>
    <row r="147" customFormat="false" ht="15" hidden="false" customHeight="false" outlineLevel="0" collapsed="false">
      <c r="A147" s="4" t="str">
        <f aca="false">IF(Base_Bruta!A147="","",Base_Bruta!A147)</f>
        <v>SP-000217</v>
      </c>
      <c r="B147" s="5" t="n">
        <f aca="false">IF($A147="","",IF(ISNUMBER(Base_Bruta!B147),Base_Bruta!B147,IF(MID(Base_Bruta!B147,5,1)="-",DATE(VALUE(LEFT(Base_Bruta!B147,4)),VALUE(MID(Base_Bruta!B147,6,2)),VALUE(RIGHT(Base_Bruta!B147,2))),DATE(VALUE(RIGHT(Base_Bruta!B147,4)),VALUE(MID(Base_Bruta!B147,4,2)),VALUE(LEFT(Base_Bruta!B147,2))))))</f>
        <v>45856</v>
      </c>
      <c r="C147" s="5" t="n">
        <f aca="false">IF($A147="","",IF(ISNUMBER(Base_Bruta!C147),Base_Bruta!C147,IF(MID(Base_Bruta!C147,5,1)="-",DATE(VALUE(LEFT(Base_Bruta!C147,4)),VALUE(MID(Base_Bruta!C147,6,2)),VALUE(RIGHT(Base_Bruta!C147,2))),DATE(VALUE(RIGHT(Base_Bruta!C147,4)),VALUE(MID(Base_Bruta!C147,4,2)),VALUE(LEFT(Base_Bruta!C147,2))))))</f>
        <v>45976</v>
      </c>
      <c r="D147" s="4" t="str">
        <f aca="false">IF($A147="","",TRIM(Base_Bruta!D147))</f>
        <v>Festival Sonora SP 2025</v>
      </c>
      <c r="E147" s="4" t="str">
        <f aca="false">IF($A147="","",_xlfn.XLOOKUP(LOWER(TRIM(Base_Bruta!E147)),DePara_Categoria!$A$2:$A$9,DePara_Categoria!$B$2:$B$9,"REVISAR"))</f>
        <v>Festival</v>
      </c>
      <c r="F147" s="4" t="str">
        <f aca="false">IF($A147="","",_xlfn.XLOOKUP(LOWER(TRIM(Base_Bruta!F147)),DePara_Cidade!$A$2:$A$29,DePara_Cidade!$B$2:$B$29,"REVISAR"))</f>
        <v>São Paulo</v>
      </c>
      <c r="G147" s="4" t="str">
        <f aca="false">IF($A147="","",TRIM(Base_Bruta!G147))</f>
        <v>Meia</v>
      </c>
      <c r="H147" s="4" t="n">
        <f aca="false">IF($A147="","",IF(ISNUMBER(Base_Bruta!H147),Base_Bruta!H147,IFERROR(_xlfn.NUMBERVALUE(TRIM(SUBSTITUTE(Base_Bruta!H147,"R$","")),",","."),0)))</f>
        <v>2</v>
      </c>
      <c r="I147" s="6" t="n">
        <f aca="false">IF($A147="","",IF(ISNUMBER(Base_Bruta!I147),Base_Bruta!I147,IFERROR(_xlfn.NUMBERVALUE(TRIM(SUBSTITUTE(Base_Bruta!I147,"R$","")),",","."),0)))</f>
        <v>340</v>
      </c>
      <c r="J147" s="6" t="n">
        <f aca="false">IF($A147="","",H147*I147)</f>
        <v>680</v>
      </c>
      <c r="K147" s="4" t="str">
        <f aca="false">IF($A147="","",TRIM(Base_Bruta!J147))</f>
        <v>Site</v>
      </c>
      <c r="L147" s="4" t="str">
        <f aca="false">IF($A147="","",TRIM(Base_Bruta!K147))</f>
        <v>C00579</v>
      </c>
      <c r="M147" s="4" t="str">
        <f aca="false">IF($A147="","",_xlfn.XLOOKUP(LOWER(TRIM(Base_Bruta!L147)),DePara_Cidade!$A$2:$A$29,DePara_Cidade!$B$2:$B$29,"REVISAR"))</f>
        <v>Porto Alegre</v>
      </c>
      <c r="N147" s="4" t="str">
        <f aca="false">IF($A147="","",UPPER(TRIM(Base_Bruta!M147)))</f>
        <v>RS</v>
      </c>
      <c r="O147" s="4" t="str">
        <f aca="false">IF($A147="","",_xlfn.XLOOKUP(LOWER(TRIM(Base_Bruta!N147)),DePara_Pais!$A$2:$A$9,DePara_Pais!$B$2:$B$9,"REVISAR"))</f>
        <v>Brasil</v>
      </c>
      <c r="P147" s="4" t="str">
        <f aca="false">IF($A147="","",IF(O147&lt;&gt;"Brasil","Turista Internacional",IF(M147=F147,"Local","Turista Nacional")))</f>
        <v>Turista Nacional</v>
      </c>
      <c r="Q147" s="7" t="n">
        <f aca="false">IF($A147="","",DATE(YEAR(B147),MONTH(B147),1))</f>
        <v>45839</v>
      </c>
      <c r="R147" s="4" t="str">
        <f aca="false">IF($A147="","",IF(COUNTIF($A$2:$A147,$A147)&gt;1,"Sim","Não"))</f>
        <v>Não</v>
      </c>
      <c r="S147" s="4" t="str">
        <f aca="false">IF(A147="","Descartar - Linha vazia",IF(R147="Sim","Descartar - Duplicado",IF(OR(H147&lt;=0,I147&lt;=0),"Descartar - Qtd/Valor inválido","OK")))</f>
        <v>OK</v>
      </c>
      <c r="T147" s="4" t="str">
        <f aca="false">Base_Bruta!P147</f>
        <v>vendas_SP.xlsx</v>
      </c>
    </row>
    <row r="148" customFormat="false" ht="15" hidden="false" customHeight="false" outlineLevel="0" collapsed="false">
      <c r="A148" s="4" t="str">
        <f aca="false">IF(Base_Bruta!A148="","",Base_Bruta!A148)</f>
        <v>SP-000476</v>
      </c>
      <c r="B148" s="5" t="n">
        <f aca="false">IF($A148="","",IF(ISNUMBER(Base_Bruta!B148),Base_Bruta!B148,IF(MID(Base_Bruta!B148,5,1)="-",DATE(VALUE(LEFT(Base_Bruta!B148,4)),VALUE(MID(Base_Bruta!B148,6,2)),VALUE(RIGHT(Base_Bruta!B148,2))),DATE(VALUE(RIGHT(Base_Bruta!B148,4)),VALUE(MID(Base_Bruta!B148,4,2)),VALUE(LEFT(Base_Bruta!B148,2))))))</f>
        <v>45856</v>
      </c>
      <c r="C148" s="5" t="n">
        <f aca="false">IF($A148="","",IF(ISNUMBER(Base_Bruta!C148),Base_Bruta!C148,IF(MID(Base_Bruta!C148,5,1)="-",DATE(VALUE(LEFT(Base_Bruta!C148,4)),VALUE(MID(Base_Bruta!C148,6,2)),VALUE(RIGHT(Base_Bruta!C148,2))),DATE(VALUE(RIGHT(Base_Bruta!C148,4)),VALUE(MID(Base_Bruta!C148,4,2)),VALUE(LEFT(Base_Bruta!C148,2))))))</f>
        <v>45934</v>
      </c>
      <c r="D148" s="4" t="str">
        <f aca="false">IF($A148="","",TRIM(Base_Bruta!D148))</f>
        <v>Turnê Internacional Pop - SP</v>
      </c>
      <c r="E148" s="4" t="str">
        <f aca="false">IF($A148="","",_xlfn.XLOOKUP(LOWER(TRIM(Base_Bruta!E148)),DePara_Categoria!$A$2:$A$9,DePara_Categoria!$B$2:$B$9,"REVISAR"))</f>
        <v>Show</v>
      </c>
      <c r="F148" s="4" t="str">
        <f aca="false">IF($A148="","",_xlfn.XLOOKUP(LOWER(TRIM(Base_Bruta!F148)),DePara_Cidade!$A$2:$A$29,DePara_Cidade!$B$2:$B$29,"REVISAR"))</f>
        <v>São Paulo</v>
      </c>
      <c r="G148" s="4" t="str">
        <f aca="false">IF($A148="","",TRIM(Base_Bruta!G148))</f>
        <v>Inteira</v>
      </c>
      <c r="H148" s="4" t="n">
        <f aca="false">IF($A148="","",IF(ISNUMBER(Base_Bruta!H148),Base_Bruta!H148,IFERROR(_xlfn.NUMBERVALUE(TRIM(SUBSTITUTE(Base_Bruta!H148,"R$","")),",","."),0)))</f>
        <v>1</v>
      </c>
      <c r="I148" s="6" t="n">
        <f aca="false">IF($A148="","",IF(ISNUMBER(Base_Bruta!I148),Base_Bruta!I148,IFERROR(_xlfn.NUMBERVALUE(TRIM(SUBSTITUTE(Base_Bruta!I148,"R$","")),",","."),0)))</f>
        <v>260</v>
      </c>
      <c r="J148" s="6" t="n">
        <f aca="false">IF($A148="","",H148*I148)</f>
        <v>260</v>
      </c>
      <c r="K148" s="4" t="str">
        <f aca="false">IF($A148="","",TRIM(Base_Bruta!J148))</f>
        <v>Site</v>
      </c>
      <c r="L148" s="4" t="str">
        <f aca="false">IF($A148="","",TRIM(Base_Bruta!K148))</f>
        <v>C00709</v>
      </c>
      <c r="M148" s="4" t="str">
        <f aca="false">IF($A148="","",_xlfn.XLOOKUP(LOWER(TRIM(Base_Bruta!L148)),DePara_Cidade!$A$2:$A$29,DePara_Cidade!$B$2:$B$29,"REVISAR"))</f>
        <v>São Paulo</v>
      </c>
      <c r="N148" s="4" t="str">
        <f aca="false">IF($A148="","",UPPER(TRIM(Base_Bruta!M148)))</f>
        <v>SP</v>
      </c>
      <c r="O148" s="4" t="str">
        <f aca="false">IF($A148="","",_xlfn.XLOOKUP(LOWER(TRIM(Base_Bruta!N148)),DePara_Pais!$A$2:$A$9,DePara_Pais!$B$2:$B$9,"REVISAR"))</f>
        <v>Brasil</v>
      </c>
      <c r="P148" s="4" t="str">
        <f aca="false">IF($A148="","",IF(O148&lt;&gt;"Brasil","Turista Internacional",IF(M148=F148,"Local","Turista Nacional")))</f>
        <v>Local</v>
      </c>
      <c r="Q148" s="7" t="n">
        <f aca="false">IF($A148="","",DATE(YEAR(B148),MONTH(B148),1))</f>
        <v>45839</v>
      </c>
      <c r="R148" s="4" t="str">
        <f aca="false">IF($A148="","",IF(COUNTIF($A$2:$A148,$A148)&gt;1,"Sim","Não"))</f>
        <v>Não</v>
      </c>
      <c r="S148" s="4" t="str">
        <f aca="false">IF(A148="","Descartar - Linha vazia",IF(R148="Sim","Descartar - Duplicado",IF(OR(H148&lt;=0,I148&lt;=0),"Descartar - Qtd/Valor inválido","OK")))</f>
        <v>OK</v>
      </c>
      <c r="T148" s="4" t="str">
        <f aca="false">Base_Bruta!P148</f>
        <v>vendas_SP.xlsx</v>
      </c>
    </row>
    <row r="149" customFormat="false" ht="15" hidden="false" customHeight="false" outlineLevel="0" collapsed="false">
      <c r="A149" s="4" t="str">
        <f aca="false">IF(Base_Bruta!A149="","",Base_Bruta!A149)</f>
        <v>SP-000023</v>
      </c>
      <c r="B149" s="5" t="n">
        <f aca="false">IF($A149="","",IF(ISNUMBER(Base_Bruta!B149),Base_Bruta!B149,IF(MID(Base_Bruta!B149,5,1)="-",DATE(VALUE(LEFT(Base_Bruta!B149,4)),VALUE(MID(Base_Bruta!B149,6,2)),VALUE(RIGHT(Base_Bruta!B149,2))),DATE(VALUE(RIGHT(Base_Bruta!B149,4)),VALUE(MID(Base_Bruta!B149,4,2)),VALUE(LEFT(Base_Bruta!B149,2))))))</f>
        <v>45857</v>
      </c>
      <c r="C149" s="5" t="n">
        <f aca="false">IF($A149="","",IF(ISNUMBER(Base_Bruta!C149),Base_Bruta!C149,IF(MID(Base_Bruta!C149,5,1)="-",DATE(VALUE(LEFT(Base_Bruta!C149,4)),VALUE(MID(Base_Bruta!C149,6,2)),VALUE(RIGHT(Base_Bruta!C149,2))),DATE(VALUE(RIGHT(Base_Bruta!C149,4)),VALUE(MID(Base_Bruta!C149,4,2)),VALUE(LEFT(Base_Bruta!C149,2))))))</f>
        <v>45976</v>
      </c>
      <c r="D149" s="4" t="str">
        <f aca="false">IF($A149="","",TRIM(Base_Bruta!D149))</f>
        <v>Festival Sonora SP 2025</v>
      </c>
      <c r="E149" s="4" t="str">
        <f aca="false">IF($A149="","",_xlfn.XLOOKUP(LOWER(TRIM(Base_Bruta!E149)),DePara_Categoria!$A$2:$A$9,DePara_Categoria!$B$2:$B$9,"REVISAR"))</f>
        <v>Festival</v>
      </c>
      <c r="F149" s="4" t="str">
        <f aca="false">IF($A149="","",_xlfn.XLOOKUP(LOWER(TRIM(Base_Bruta!F149)),DePara_Cidade!$A$2:$A$29,DePara_Cidade!$B$2:$B$29,"REVISAR"))</f>
        <v>São Paulo</v>
      </c>
      <c r="G149" s="4" t="str">
        <f aca="false">IF($A149="","",TRIM(Base_Bruta!G149))</f>
        <v>Meia</v>
      </c>
      <c r="H149" s="4" t="n">
        <f aca="false">IF($A149="","",IF(ISNUMBER(Base_Bruta!H149),Base_Bruta!H149,IFERROR(_xlfn.NUMBERVALUE(TRIM(SUBSTITUTE(Base_Bruta!H149,"R$","")),",","."),0)))</f>
        <v>1</v>
      </c>
      <c r="I149" s="6" t="n">
        <f aca="false">IF($A149="","",IF(ISNUMBER(Base_Bruta!I149),Base_Bruta!I149,IFERROR(_xlfn.NUMBERVALUE(TRIM(SUBSTITUTE(Base_Bruta!I149,"R$","")),",","."),0)))</f>
        <v>417.5</v>
      </c>
      <c r="J149" s="6" t="n">
        <f aca="false">IF($A149="","",H149*I149)</f>
        <v>417.5</v>
      </c>
      <c r="K149" s="4" t="str">
        <f aca="false">IF($A149="","",TRIM(Base_Bruta!J149))</f>
        <v>Site</v>
      </c>
      <c r="L149" s="4" t="str">
        <f aca="false">IF($A149="","",TRIM(Base_Bruta!K149))</f>
        <v>C02369</v>
      </c>
      <c r="M149" s="4" t="str">
        <f aca="false">IF($A149="","",_xlfn.XLOOKUP(LOWER(TRIM(Base_Bruta!L149)),DePara_Cidade!$A$2:$A$29,DePara_Cidade!$B$2:$B$29,"REVISAR"))</f>
        <v>São Paulo</v>
      </c>
      <c r="N149" s="4" t="str">
        <f aca="false">IF($A149="","",UPPER(TRIM(Base_Bruta!M149)))</f>
        <v>SP</v>
      </c>
      <c r="O149" s="4" t="str">
        <f aca="false">IF($A149="","",_xlfn.XLOOKUP(LOWER(TRIM(Base_Bruta!N149)),DePara_Pais!$A$2:$A$9,DePara_Pais!$B$2:$B$9,"REVISAR"))</f>
        <v>Brasil</v>
      </c>
      <c r="P149" s="4" t="str">
        <f aca="false">IF($A149="","",IF(O149&lt;&gt;"Brasil","Turista Internacional",IF(M149=F149,"Local","Turista Nacional")))</f>
        <v>Local</v>
      </c>
      <c r="Q149" s="7" t="n">
        <f aca="false">IF($A149="","",DATE(YEAR(B149),MONTH(B149),1))</f>
        <v>45839</v>
      </c>
      <c r="R149" s="4" t="str">
        <f aca="false">IF($A149="","",IF(COUNTIF($A$2:$A149,$A149)&gt;1,"Sim","Não"))</f>
        <v>Não</v>
      </c>
      <c r="S149" s="4" t="str">
        <f aca="false">IF(A149="","Descartar - Linha vazia",IF(R149="Sim","Descartar - Duplicado",IF(OR(H149&lt;=0,I149&lt;=0),"Descartar - Qtd/Valor inválido","OK")))</f>
        <v>OK</v>
      </c>
      <c r="T149" s="4" t="str">
        <f aca="false">Base_Bruta!P149</f>
        <v>vendas_SP.xlsx</v>
      </c>
    </row>
    <row r="150" customFormat="false" ht="15" hidden="false" customHeight="false" outlineLevel="0" collapsed="false">
      <c r="A150" s="4" t="str">
        <f aca="false">IF(Base_Bruta!A150="","",Base_Bruta!A150)</f>
        <v>SP-000133</v>
      </c>
      <c r="B150" s="5" t="n">
        <f aca="false">IF($A150="","",IF(ISNUMBER(Base_Bruta!B150),Base_Bruta!B150,IF(MID(Base_Bruta!B150,5,1)="-",DATE(VALUE(LEFT(Base_Bruta!B150,4)),VALUE(MID(Base_Bruta!B150,6,2)),VALUE(RIGHT(Base_Bruta!B150,2))),DATE(VALUE(RIGHT(Base_Bruta!B150,4)),VALUE(MID(Base_Bruta!B150,4,2)),VALUE(LEFT(Base_Bruta!B150,2))))))</f>
        <v>45857</v>
      </c>
      <c r="C150" s="5" t="n">
        <f aca="false">IF($A150="","",IF(ISNUMBER(Base_Bruta!C150),Base_Bruta!C150,IF(MID(Base_Bruta!C150,5,1)="-",DATE(VALUE(LEFT(Base_Bruta!C150,4)),VALUE(MID(Base_Bruta!C150,6,2)),VALUE(RIGHT(Base_Bruta!C150,2))),DATE(VALUE(RIGHT(Base_Bruta!C150,4)),VALUE(MID(Base_Bruta!C150,4,2)),VALUE(LEFT(Base_Bruta!C150,2))))))</f>
        <v>45976</v>
      </c>
      <c r="D150" s="4" t="str">
        <f aca="false">IF($A150="","",TRIM(Base_Bruta!D150))</f>
        <v>Festival Sonora SP 2025</v>
      </c>
      <c r="E150" s="4" t="str">
        <f aca="false">IF($A150="","",_xlfn.XLOOKUP(LOWER(TRIM(Base_Bruta!E150)),DePara_Categoria!$A$2:$A$9,DePara_Categoria!$B$2:$B$9,"REVISAR"))</f>
        <v>Festival</v>
      </c>
      <c r="F150" s="4" t="str">
        <f aca="false">IF($A150="","",_xlfn.XLOOKUP(LOWER(TRIM(Base_Bruta!F150)),DePara_Cidade!$A$2:$A$29,DePara_Cidade!$B$2:$B$29,"REVISAR"))</f>
        <v>São Paulo</v>
      </c>
      <c r="G150" s="4" t="str">
        <f aca="false">IF($A150="","",TRIM(Base_Bruta!G150))</f>
        <v>Inteira</v>
      </c>
      <c r="H150" s="4" t="n">
        <f aca="false">IF($A150="","",IF(ISNUMBER(Base_Bruta!H150),Base_Bruta!H150,IFERROR(_xlfn.NUMBERVALUE(TRIM(SUBSTITUTE(Base_Bruta!H150,"R$","")),",","."),0)))</f>
        <v>1</v>
      </c>
      <c r="I150" s="6" t="n">
        <f aca="false">IF($A150="","",IF(ISNUMBER(Base_Bruta!I150),Base_Bruta!I150,IFERROR(_xlfn.NUMBERVALUE(TRIM(SUBSTITUTE(Base_Bruta!I150,"R$","")),",","."),0)))</f>
        <v>855</v>
      </c>
      <c r="J150" s="6" t="n">
        <f aca="false">IF($A150="","",H150*I150)</f>
        <v>855</v>
      </c>
      <c r="K150" s="4" t="str">
        <f aca="false">IF($A150="","",TRIM(Base_Bruta!J150))</f>
        <v>Site</v>
      </c>
      <c r="L150" s="4" t="str">
        <f aca="false">IF($A150="","",TRIM(Base_Bruta!K150))</f>
        <v>C02465</v>
      </c>
      <c r="M150" s="4" t="str">
        <f aca="false">IF($A150="","",_xlfn.XLOOKUP(LOWER(TRIM(Base_Bruta!L150)),DePara_Cidade!$A$2:$A$29,DePara_Cidade!$B$2:$B$29,"REVISAR"))</f>
        <v>São Paulo</v>
      </c>
      <c r="N150" s="4" t="str">
        <f aca="false">IF($A150="","",UPPER(TRIM(Base_Bruta!M150)))</f>
        <v>SP</v>
      </c>
      <c r="O150" s="4" t="str">
        <f aca="false">IF($A150="","",_xlfn.XLOOKUP(LOWER(TRIM(Base_Bruta!N150)),DePara_Pais!$A$2:$A$9,DePara_Pais!$B$2:$B$9,"REVISAR"))</f>
        <v>Brasil</v>
      </c>
      <c r="P150" s="4" t="str">
        <f aca="false">IF($A150="","",IF(O150&lt;&gt;"Brasil","Turista Internacional",IF(M150=F150,"Local","Turista Nacional")))</f>
        <v>Local</v>
      </c>
      <c r="Q150" s="7" t="n">
        <f aca="false">IF($A150="","",DATE(YEAR(B150),MONTH(B150),1))</f>
        <v>45839</v>
      </c>
      <c r="R150" s="4" t="str">
        <f aca="false">IF($A150="","",IF(COUNTIF($A$2:$A150,$A150)&gt;1,"Sim","Não"))</f>
        <v>Não</v>
      </c>
      <c r="S150" s="4" t="str">
        <f aca="false">IF(A150="","Descartar - Linha vazia",IF(R150="Sim","Descartar - Duplicado",IF(OR(H150&lt;=0,I150&lt;=0),"Descartar - Qtd/Valor inválido","OK")))</f>
        <v>OK</v>
      </c>
      <c r="T150" s="4" t="str">
        <f aca="false">Base_Bruta!P150</f>
        <v>vendas_SP.xlsx</v>
      </c>
    </row>
    <row r="151" customFormat="false" ht="15" hidden="false" customHeight="false" outlineLevel="0" collapsed="false">
      <c r="A151" s="4" t="str">
        <f aca="false">IF(Base_Bruta!A151="","",Base_Bruta!A151)</f>
        <v>SP-000146</v>
      </c>
      <c r="B151" s="5" t="n">
        <f aca="false">IF($A151="","",IF(ISNUMBER(Base_Bruta!B151),Base_Bruta!B151,IF(MID(Base_Bruta!B151,5,1)="-",DATE(VALUE(LEFT(Base_Bruta!B151,4)),VALUE(MID(Base_Bruta!B151,6,2)),VALUE(RIGHT(Base_Bruta!B151,2))),DATE(VALUE(RIGHT(Base_Bruta!B151,4)),VALUE(MID(Base_Bruta!B151,4,2)),VALUE(LEFT(Base_Bruta!B151,2))))))</f>
        <v>45857</v>
      </c>
      <c r="C151" s="5" t="n">
        <f aca="false">IF($A151="","",IF(ISNUMBER(Base_Bruta!C151),Base_Bruta!C151,IF(MID(Base_Bruta!C151,5,1)="-",DATE(VALUE(LEFT(Base_Bruta!C151,4)),VALUE(MID(Base_Bruta!C151,6,2)),VALUE(RIGHT(Base_Bruta!C151,2))),DATE(VALUE(RIGHT(Base_Bruta!C151,4)),VALUE(MID(Base_Bruta!C151,4,2)),VALUE(LEFT(Base_Bruta!C151,2))))))</f>
        <v>45976</v>
      </c>
      <c r="D151" s="4" t="str">
        <f aca="false">IF($A151="","",TRIM(Base_Bruta!D151))</f>
        <v>Festival Sonora SP 2025</v>
      </c>
      <c r="E151" s="4" t="str">
        <f aca="false">IF($A151="","",_xlfn.XLOOKUP(LOWER(TRIM(Base_Bruta!E151)),DePara_Categoria!$A$2:$A$9,DePara_Categoria!$B$2:$B$9,"REVISAR"))</f>
        <v>Festival</v>
      </c>
      <c r="F151" s="4" t="str">
        <f aca="false">IF($A151="","",_xlfn.XLOOKUP(LOWER(TRIM(Base_Bruta!F151)),DePara_Cidade!$A$2:$A$29,DePara_Cidade!$B$2:$B$29,"REVISAR"))</f>
        <v>São Paulo</v>
      </c>
      <c r="G151" s="4" t="str">
        <f aca="false">IF($A151="","",TRIM(Base_Bruta!G151))</f>
        <v>Inteira</v>
      </c>
      <c r="H151" s="4" t="n">
        <f aca="false">IF($A151="","",IF(ISNUMBER(Base_Bruta!H151),Base_Bruta!H151,IFERROR(_xlfn.NUMBERVALUE(TRIM(SUBSTITUTE(Base_Bruta!H151,"R$","")),",","."),0)))</f>
        <v>1</v>
      </c>
      <c r="I151" s="6" t="n">
        <f aca="false">IF($A151="","",IF(ISNUMBER(Base_Bruta!I151),Base_Bruta!I151,IFERROR(_xlfn.NUMBERVALUE(TRIM(SUBSTITUTE(Base_Bruta!I151,"R$","")),",","."),0)))</f>
        <v>660</v>
      </c>
      <c r="J151" s="6" t="n">
        <f aca="false">IF($A151="","",H151*I151)</f>
        <v>660</v>
      </c>
      <c r="K151" s="4" t="str">
        <f aca="false">IF($A151="","",TRIM(Base_Bruta!J151))</f>
        <v>App</v>
      </c>
      <c r="L151" s="4" t="str">
        <f aca="false">IF($A151="","",TRIM(Base_Bruta!K151))</f>
        <v>C01163</v>
      </c>
      <c r="M151" s="4" t="str">
        <f aca="false">IF($A151="","",_xlfn.XLOOKUP(LOWER(TRIM(Base_Bruta!L151)),DePara_Cidade!$A$2:$A$29,DePara_Cidade!$B$2:$B$29,"REVISAR"))</f>
        <v>São Paulo</v>
      </c>
      <c r="N151" s="4" t="str">
        <f aca="false">IF($A151="","",UPPER(TRIM(Base_Bruta!M151)))</f>
        <v>SP</v>
      </c>
      <c r="O151" s="4" t="str">
        <f aca="false">IF($A151="","",_xlfn.XLOOKUP(LOWER(TRIM(Base_Bruta!N151)),DePara_Pais!$A$2:$A$9,DePara_Pais!$B$2:$B$9,"REVISAR"))</f>
        <v>Brasil</v>
      </c>
      <c r="P151" s="4" t="str">
        <f aca="false">IF($A151="","",IF(O151&lt;&gt;"Brasil","Turista Internacional",IF(M151=F151,"Local","Turista Nacional")))</f>
        <v>Local</v>
      </c>
      <c r="Q151" s="7" t="n">
        <f aca="false">IF($A151="","",DATE(YEAR(B151),MONTH(B151),1))</f>
        <v>45839</v>
      </c>
      <c r="R151" s="4" t="str">
        <f aca="false">IF($A151="","",IF(COUNTIF($A$2:$A151,$A151)&gt;1,"Sim","Não"))</f>
        <v>Não</v>
      </c>
      <c r="S151" s="4" t="str">
        <f aca="false">IF(A151="","Descartar - Linha vazia",IF(R151="Sim","Descartar - Duplicado",IF(OR(H151&lt;=0,I151&lt;=0),"Descartar - Qtd/Valor inválido","OK")))</f>
        <v>OK</v>
      </c>
      <c r="T151" s="4" t="str">
        <f aca="false">Base_Bruta!P151</f>
        <v>vendas_SP.xlsx</v>
      </c>
    </row>
    <row r="152" customFormat="false" ht="15" hidden="false" customHeight="false" outlineLevel="0" collapsed="false">
      <c r="A152" s="4" t="str">
        <f aca="false">IF(Base_Bruta!A152="","",Base_Bruta!A152)</f>
        <v>SP-000473</v>
      </c>
      <c r="B152" s="5" t="n">
        <f aca="false">IF($A152="","",IF(ISNUMBER(Base_Bruta!B152),Base_Bruta!B152,IF(MID(Base_Bruta!B152,5,1)="-",DATE(VALUE(LEFT(Base_Bruta!B152,4)),VALUE(MID(Base_Bruta!B152,6,2)),VALUE(RIGHT(Base_Bruta!B152,2))),DATE(VALUE(RIGHT(Base_Bruta!B152,4)),VALUE(MID(Base_Bruta!B152,4,2)),VALUE(LEFT(Base_Bruta!B152,2))))))</f>
        <v>45857</v>
      </c>
      <c r="C152" s="5" t="n">
        <f aca="false">IF($A152="","",IF(ISNUMBER(Base_Bruta!C152),Base_Bruta!C152,IF(MID(Base_Bruta!C152,5,1)="-",DATE(VALUE(LEFT(Base_Bruta!C152,4)),VALUE(MID(Base_Bruta!C152,6,2)),VALUE(RIGHT(Base_Bruta!C152,2))),DATE(VALUE(RIGHT(Base_Bruta!C152,4)),VALUE(MID(Base_Bruta!C152,4,2)),VALUE(LEFT(Base_Bruta!C152,2))))))</f>
        <v>45934</v>
      </c>
      <c r="D152" s="4" t="str">
        <f aca="false">IF($A152="","",TRIM(Base_Bruta!D152))</f>
        <v>Turnê Internacional Pop - SP</v>
      </c>
      <c r="E152" s="4" t="str">
        <f aca="false">IF($A152="","",_xlfn.XLOOKUP(LOWER(TRIM(Base_Bruta!E152)),DePara_Categoria!$A$2:$A$9,DePara_Categoria!$B$2:$B$9,"REVISAR"))</f>
        <v>Show</v>
      </c>
      <c r="F152" s="4" t="str">
        <f aca="false">IF($A152="","",_xlfn.XLOOKUP(LOWER(TRIM(Base_Bruta!F152)),DePara_Cidade!$A$2:$A$29,DePara_Cidade!$B$2:$B$29,"REVISAR"))</f>
        <v>São Paulo</v>
      </c>
      <c r="G152" s="4" t="str">
        <f aca="false">IF($A152="","",TRIM(Base_Bruta!G152))</f>
        <v>Meia</v>
      </c>
      <c r="H152" s="4" t="n">
        <f aca="false">IF($A152="","",IF(ISNUMBER(Base_Bruta!H152),Base_Bruta!H152,IFERROR(_xlfn.NUMBERVALUE(TRIM(SUBSTITUTE(Base_Bruta!H152,"R$","")),",","."),0)))</f>
        <v>2</v>
      </c>
      <c r="I152" s="6" t="n">
        <f aca="false">IF($A152="","",IF(ISNUMBER(Base_Bruta!I152),Base_Bruta!I152,IFERROR(_xlfn.NUMBERVALUE(TRIM(SUBSTITUTE(Base_Bruta!I152,"R$","")),",","."),0)))</f>
        <v>337.5</v>
      </c>
      <c r="J152" s="6" t="n">
        <f aca="false">IF($A152="","",H152*I152)</f>
        <v>675</v>
      </c>
      <c r="K152" s="4" t="str">
        <f aca="false">IF($A152="","",TRIM(Base_Bruta!J152))</f>
        <v>Site</v>
      </c>
      <c r="L152" s="4" t="str">
        <f aca="false">IF($A152="","",TRIM(Base_Bruta!K152))</f>
        <v>C00148</v>
      </c>
      <c r="M152" s="4" t="str">
        <f aca="false">IF($A152="","",_xlfn.XLOOKUP(LOWER(TRIM(Base_Bruta!L152)),DePara_Cidade!$A$2:$A$29,DePara_Cidade!$B$2:$B$29,"REVISAR"))</f>
        <v>São Paulo</v>
      </c>
      <c r="N152" s="4" t="str">
        <f aca="false">IF($A152="","",UPPER(TRIM(Base_Bruta!M152)))</f>
        <v>SP</v>
      </c>
      <c r="O152" s="4" t="str">
        <f aca="false">IF($A152="","",_xlfn.XLOOKUP(LOWER(TRIM(Base_Bruta!N152)),DePara_Pais!$A$2:$A$9,DePara_Pais!$B$2:$B$9,"REVISAR"))</f>
        <v>Brasil</v>
      </c>
      <c r="P152" s="4" t="str">
        <f aca="false">IF($A152="","",IF(O152&lt;&gt;"Brasil","Turista Internacional",IF(M152=F152,"Local","Turista Nacional")))</f>
        <v>Local</v>
      </c>
      <c r="Q152" s="7" t="n">
        <f aca="false">IF($A152="","",DATE(YEAR(B152),MONTH(B152),1))</f>
        <v>45839</v>
      </c>
      <c r="R152" s="4" t="str">
        <f aca="false">IF($A152="","",IF(COUNTIF($A$2:$A152,$A152)&gt;1,"Sim","Não"))</f>
        <v>Não</v>
      </c>
      <c r="S152" s="4" t="str">
        <f aca="false">IF(A152="","Descartar - Linha vazia",IF(R152="Sim","Descartar - Duplicado",IF(OR(H152&lt;=0,I152&lt;=0),"Descartar - Qtd/Valor inválido","OK")))</f>
        <v>OK</v>
      </c>
      <c r="T152" s="4" t="str">
        <f aca="false">Base_Bruta!P152</f>
        <v>vendas_SP.xlsx</v>
      </c>
    </row>
    <row r="153" customFormat="false" ht="15" hidden="false" customHeight="false" outlineLevel="0" collapsed="false">
      <c r="A153" s="4" t="str">
        <f aca="false">IF(Base_Bruta!A153="","",Base_Bruta!A153)</f>
        <v>SP-000586</v>
      </c>
      <c r="B153" s="5" t="n">
        <f aca="false">IF($A153="","",IF(ISNUMBER(Base_Bruta!B153),Base_Bruta!B153,IF(MID(Base_Bruta!B153,5,1)="-",DATE(VALUE(LEFT(Base_Bruta!B153,4)),VALUE(MID(Base_Bruta!B153,6,2)),VALUE(RIGHT(Base_Bruta!B153,2))),DATE(VALUE(RIGHT(Base_Bruta!B153,4)),VALUE(MID(Base_Bruta!B153,4,2)),VALUE(LEFT(Base_Bruta!B153,2))))))</f>
        <v>45857</v>
      </c>
      <c r="C153" s="5" t="n">
        <f aca="false">IF($A153="","",IF(ISNUMBER(Base_Bruta!C153),Base_Bruta!C153,IF(MID(Base_Bruta!C153,5,1)="-",DATE(VALUE(LEFT(Base_Bruta!C153,4)),VALUE(MID(Base_Bruta!C153,6,2)),VALUE(RIGHT(Base_Bruta!C153,2))),DATE(VALUE(RIGHT(Base_Bruta!C153,4)),VALUE(MID(Base_Bruta!C153,4,2)),VALUE(LEFT(Base_Bruta!C153,2))))))</f>
        <v>45934</v>
      </c>
      <c r="D153" s="4" t="str">
        <f aca="false">IF($A153="","",TRIM(Base_Bruta!D153))</f>
        <v>Turnê Internacional Pop - SP</v>
      </c>
      <c r="E153" s="4" t="str">
        <f aca="false">IF($A153="","",_xlfn.XLOOKUP(LOWER(TRIM(Base_Bruta!E153)),DePara_Categoria!$A$2:$A$9,DePara_Categoria!$B$2:$B$9,"REVISAR"))</f>
        <v>Show</v>
      </c>
      <c r="F153" s="4" t="str">
        <f aca="false">IF($A153="","",_xlfn.XLOOKUP(LOWER(TRIM(Base_Bruta!F153)),DePara_Cidade!$A$2:$A$29,DePara_Cidade!$B$2:$B$29,"REVISAR"))</f>
        <v>São Paulo</v>
      </c>
      <c r="G153" s="4" t="str">
        <f aca="false">IF($A153="","",TRIM(Base_Bruta!G153))</f>
        <v>Inteira</v>
      </c>
      <c r="H153" s="4" t="n">
        <f aca="false">IF($A153="","",IF(ISNUMBER(Base_Bruta!H153),Base_Bruta!H153,IFERROR(_xlfn.NUMBERVALUE(TRIM(SUBSTITUTE(Base_Bruta!H153,"R$","")),",","."),0)))</f>
        <v>4</v>
      </c>
      <c r="I153" s="6" t="n">
        <f aca="false">IF($A153="","",IF(ISNUMBER(Base_Bruta!I153),Base_Bruta!I153,IFERROR(_xlfn.NUMBERVALUE(TRIM(SUBSTITUTE(Base_Bruta!I153,"R$","")),",","."),0)))</f>
        <v>350</v>
      </c>
      <c r="J153" s="6" t="n">
        <f aca="false">IF($A153="","",H153*I153)</f>
        <v>1400</v>
      </c>
      <c r="K153" s="4" t="str">
        <f aca="false">IF($A153="","",TRIM(Base_Bruta!J153))</f>
        <v>Site</v>
      </c>
      <c r="L153" s="4" t="str">
        <f aca="false">IF($A153="","",TRIM(Base_Bruta!K153))</f>
        <v>C02383</v>
      </c>
      <c r="M153" s="4" t="str">
        <f aca="false">IF($A153="","",_xlfn.XLOOKUP(LOWER(TRIM(Base_Bruta!L153)),DePara_Cidade!$A$2:$A$29,DePara_Cidade!$B$2:$B$29,"REVISAR"))</f>
        <v>São Paulo</v>
      </c>
      <c r="N153" s="4" t="str">
        <f aca="false">IF($A153="","",UPPER(TRIM(Base_Bruta!M153)))</f>
        <v>SP</v>
      </c>
      <c r="O153" s="4" t="str">
        <f aca="false">IF($A153="","",_xlfn.XLOOKUP(LOWER(TRIM(Base_Bruta!N153)),DePara_Pais!$A$2:$A$9,DePara_Pais!$B$2:$B$9,"REVISAR"))</f>
        <v>Brasil</v>
      </c>
      <c r="P153" s="4" t="str">
        <f aca="false">IF($A153="","",IF(O153&lt;&gt;"Brasil","Turista Internacional",IF(M153=F153,"Local","Turista Nacional")))</f>
        <v>Local</v>
      </c>
      <c r="Q153" s="7" t="n">
        <f aca="false">IF($A153="","",DATE(YEAR(B153),MONTH(B153),1))</f>
        <v>45839</v>
      </c>
      <c r="R153" s="4" t="str">
        <f aca="false">IF($A153="","",IF(COUNTIF($A$2:$A153,$A153)&gt;1,"Sim","Não"))</f>
        <v>Não</v>
      </c>
      <c r="S153" s="4" t="str">
        <f aca="false">IF(A153="","Descartar - Linha vazia",IF(R153="Sim","Descartar - Duplicado",IF(OR(H153&lt;=0,I153&lt;=0),"Descartar - Qtd/Valor inválido","OK")))</f>
        <v>OK</v>
      </c>
      <c r="T153" s="4" t="str">
        <f aca="false">Base_Bruta!P153</f>
        <v>vendas_SP.xlsx</v>
      </c>
    </row>
    <row r="154" customFormat="false" ht="15" hidden="false" customHeight="false" outlineLevel="0" collapsed="false">
      <c r="A154" s="4" t="str">
        <f aca="false">IF(Base_Bruta!A154="","",Base_Bruta!A154)</f>
        <v>SP-000691</v>
      </c>
      <c r="B154" s="5" t="n">
        <f aca="false">IF($A154="","",IF(ISNUMBER(Base_Bruta!B154),Base_Bruta!B154,IF(MID(Base_Bruta!B154,5,1)="-",DATE(VALUE(LEFT(Base_Bruta!B154,4)),VALUE(MID(Base_Bruta!B154,6,2)),VALUE(RIGHT(Base_Bruta!B154,2))),DATE(VALUE(RIGHT(Base_Bruta!B154,4)),VALUE(MID(Base_Bruta!B154,4,2)),VALUE(LEFT(Base_Bruta!B154,2))))))</f>
        <v>45857</v>
      </c>
      <c r="C154" s="5" t="n">
        <f aca="false">IF($A154="","",IF(ISNUMBER(Base_Bruta!C154),Base_Bruta!C154,IF(MID(Base_Bruta!C154,5,1)="-",DATE(VALUE(LEFT(Base_Bruta!C154,4)),VALUE(MID(Base_Bruta!C154,6,2)),VALUE(RIGHT(Base_Bruta!C154,2))),DATE(VALUE(RIGHT(Base_Bruta!C154,4)),VALUE(MID(Base_Bruta!C154,4,2)),VALUE(LEFT(Base_Bruta!C154,2))))))</f>
        <v>45860</v>
      </c>
      <c r="D154" s="4" t="str">
        <f aca="false">IF($A154="","",TRIM(Base_Bruta!D154))</f>
        <v>Cinema Paulista - Sessões</v>
      </c>
      <c r="E154" s="4" t="str">
        <f aca="false">IF($A154="","",_xlfn.XLOOKUP(LOWER(TRIM(Base_Bruta!E154)),DePara_Categoria!$A$2:$A$9,DePara_Categoria!$B$2:$B$9,"REVISAR"))</f>
        <v>Cinema</v>
      </c>
      <c r="F154" s="4" t="str">
        <f aca="false">IF($A154="","",_xlfn.XLOOKUP(LOWER(TRIM(Base_Bruta!F154)),DePara_Cidade!$A$2:$A$29,DePara_Cidade!$B$2:$B$29,"REVISAR"))</f>
        <v>São Paulo</v>
      </c>
      <c r="G154" s="4" t="str">
        <f aca="false">IF($A154="","",TRIM(Base_Bruta!G154))</f>
        <v>Inteira</v>
      </c>
      <c r="H154" s="4" t="n">
        <f aca="false">IF($A154="","",IF(ISNUMBER(Base_Bruta!H154),Base_Bruta!H154,IFERROR(_xlfn.NUMBERVALUE(TRIM(SUBSTITUTE(Base_Bruta!H154,"R$","")),",","."),0)))</f>
        <v>1</v>
      </c>
      <c r="I154" s="6" t="n">
        <f aca="false">IF($A154="","",IF(ISNUMBER(Base_Bruta!I154),Base_Bruta!I154,IFERROR(_xlfn.NUMBERVALUE(TRIM(SUBSTITUTE(Base_Bruta!I154,"R$","")),",","."),0)))</f>
        <v>45</v>
      </c>
      <c r="J154" s="6" t="n">
        <f aca="false">IF($A154="","",H154*I154)</f>
        <v>45</v>
      </c>
      <c r="K154" s="4" t="str">
        <f aca="false">IF($A154="","",TRIM(Base_Bruta!J154))</f>
        <v>Parceiro</v>
      </c>
      <c r="L154" s="4" t="str">
        <f aca="false">IF($A154="","",TRIM(Base_Bruta!K154))</f>
        <v>C02098</v>
      </c>
      <c r="M154" s="4" t="str">
        <f aca="false">IF($A154="","",_xlfn.XLOOKUP(LOWER(TRIM(Base_Bruta!L154)),DePara_Cidade!$A$2:$A$29,DePara_Cidade!$B$2:$B$29,"REVISAR"))</f>
        <v>São Paulo</v>
      </c>
      <c r="N154" s="4" t="str">
        <f aca="false">IF($A154="","",UPPER(TRIM(Base_Bruta!M154)))</f>
        <v>SP</v>
      </c>
      <c r="O154" s="4" t="str">
        <f aca="false">IF($A154="","",_xlfn.XLOOKUP(LOWER(TRIM(Base_Bruta!N154)),DePara_Pais!$A$2:$A$9,DePara_Pais!$B$2:$B$9,"REVISAR"))</f>
        <v>Brasil</v>
      </c>
      <c r="P154" s="4" t="str">
        <f aca="false">IF($A154="","",IF(O154&lt;&gt;"Brasil","Turista Internacional",IF(M154=F154,"Local","Turista Nacional")))</f>
        <v>Local</v>
      </c>
      <c r="Q154" s="7" t="n">
        <f aca="false">IF($A154="","",DATE(YEAR(B154),MONTH(B154),1))</f>
        <v>45839</v>
      </c>
      <c r="R154" s="4" t="str">
        <f aca="false">IF($A154="","",IF(COUNTIF($A$2:$A154,$A154)&gt;1,"Sim","Não"))</f>
        <v>Não</v>
      </c>
      <c r="S154" s="4" t="str">
        <f aca="false">IF(A154="","Descartar - Linha vazia",IF(R154="Sim","Descartar - Duplicado",IF(OR(H154&lt;=0,I154&lt;=0),"Descartar - Qtd/Valor inválido","OK")))</f>
        <v>OK</v>
      </c>
      <c r="T154" s="4" t="str">
        <f aca="false">Base_Bruta!P154</f>
        <v>vendas_SP.xlsx</v>
      </c>
    </row>
    <row r="155" customFormat="false" ht="15" hidden="false" customHeight="false" outlineLevel="0" collapsed="false">
      <c r="A155" s="4" t="str">
        <f aca="false">IF(Base_Bruta!A155="","",Base_Bruta!A155)</f>
        <v>SP-000002</v>
      </c>
      <c r="B155" s="5" t="n">
        <f aca="false">IF($A155="","",IF(ISNUMBER(Base_Bruta!B155),Base_Bruta!B155,IF(MID(Base_Bruta!B155,5,1)="-",DATE(VALUE(LEFT(Base_Bruta!B155,4)),VALUE(MID(Base_Bruta!B155,6,2)),VALUE(RIGHT(Base_Bruta!B155,2))),DATE(VALUE(RIGHT(Base_Bruta!B155,4)),VALUE(MID(Base_Bruta!B155,4,2)),VALUE(LEFT(Base_Bruta!B155,2))))))</f>
        <v>45858</v>
      </c>
      <c r="C155" s="5" t="n">
        <f aca="false">IF($A155="","",IF(ISNUMBER(Base_Bruta!C155),Base_Bruta!C155,IF(MID(Base_Bruta!C155,5,1)="-",DATE(VALUE(LEFT(Base_Bruta!C155,4)),VALUE(MID(Base_Bruta!C155,6,2)),VALUE(RIGHT(Base_Bruta!C155,2))),DATE(VALUE(RIGHT(Base_Bruta!C155,4)),VALUE(MID(Base_Bruta!C155,4,2)),VALUE(LEFT(Base_Bruta!C155,2))))))</f>
        <v>45976</v>
      </c>
      <c r="D155" s="4" t="str">
        <f aca="false">IF($A155="","",TRIM(Base_Bruta!D155))</f>
        <v>Festival Sonora SP 2025</v>
      </c>
      <c r="E155" s="4" t="str">
        <f aca="false">IF($A155="","",_xlfn.XLOOKUP(LOWER(TRIM(Base_Bruta!E155)),DePara_Categoria!$A$2:$A$9,DePara_Categoria!$B$2:$B$9,"REVISAR"))</f>
        <v>Festival</v>
      </c>
      <c r="F155" s="4" t="str">
        <f aca="false">IF($A155="","",_xlfn.XLOOKUP(LOWER(TRIM(Base_Bruta!F155)),DePara_Cidade!$A$2:$A$29,DePara_Cidade!$B$2:$B$29,"REVISAR"))</f>
        <v>São Paulo</v>
      </c>
      <c r="G155" s="4" t="str">
        <f aca="false">IF($A155="","",TRIM(Base_Bruta!G155))</f>
        <v>VIP</v>
      </c>
      <c r="H155" s="4" t="n">
        <f aca="false">IF($A155="","",IF(ISNUMBER(Base_Bruta!H155),Base_Bruta!H155,IFERROR(_xlfn.NUMBERVALUE(TRIM(SUBSTITUTE(Base_Bruta!H155,"R$","")),",","."),0)))</f>
        <v>1</v>
      </c>
      <c r="I155" s="6" t="n">
        <f aca="false">IF($A155="","",IF(ISNUMBER(Base_Bruta!I155),Base_Bruta!I155,IFERROR(_xlfn.NUMBERVALUE(TRIM(SUBSTITUTE(Base_Bruta!I155,"R$","")),",","."),0)))</f>
        <v>2050</v>
      </c>
      <c r="J155" s="6" t="n">
        <f aca="false">IF($A155="","",H155*I155)</f>
        <v>2050</v>
      </c>
      <c r="K155" s="4" t="str">
        <f aca="false">IF($A155="","",TRIM(Base_Bruta!J155))</f>
        <v>Site</v>
      </c>
      <c r="L155" s="4" t="str">
        <f aca="false">IF($A155="","",TRIM(Base_Bruta!K155))</f>
        <v>C02079</v>
      </c>
      <c r="M155" s="4" t="str">
        <f aca="false">IF($A155="","",_xlfn.XLOOKUP(LOWER(TRIM(Base_Bruta!L155)),DePara_Cidade!$A$2:$A$29,DePara_Cidade!$B$2:$B$29,"REVISAR"))</f>
        <v>São Paulo</v>
      </c>
      <c r="N155" s="4" t="str">
        <f aca="false">IF($A155="","",UPPER(TRIM(Base_Bruta!M155)))</f>
        <v>SP</v>
      </c>
      <c r="O155" s="4" t="str">
        <f aca="false">IF($A155="","",_xlfn.XLOOKUP(LOWER(TRIM(Base_Bruta!N155)),DePara_Pais!$A$2:$A$9,DePara_Pais!$B$2:$B$9,"REVISAR"))</f>
        <v>Brasil</v>
      </c>
      <c r="P155" s="4" t="str">
        <f aca="false">IF($A155="","",IF(O155&lt;&gt;"Brasil","Turista Internacional",IF(M155=F155,"Local","Turista Nacional")))</f>
        <v>Local</v>
      </c>
      <c r="Q155" s="7" t="n">
        <f aca="false">IF($A155="","",DATE(YEAR(B155),MONTH(B155),1))</f>
        <v>45839</v>
      </c>
      <c r="R155" s="4" t="str">
        <f aca="false">IF($A155="","",IF(COUNTIF($A$2:$A155,$A155)&gt;1,"Sim","Não"))</f>
        <v>Não</v>
      </c>
      <c r="S155" s="4" t="str">
        <f aca="false">IF(A155="","Descartar - Linha vazia",IF(R155="Sim","Descartar - Duplicado",IF(OR(H155&lt;=0,I155&lt;=0),"Descartar - Qtd/Valor inválido","OK")))</f>
        <v>OK</v>
      </c>
      <c r="T155" s="4" t="str">
        <f aca="false">Base_Bruta!P155</f>
        <v>vendas_SP.xlsx</v>
      </c>
    </row>
    <row r="156" customFormat="false" ht="15" hidden="false" customHeight="false" outlineLevel="0" collapsed="false">
      <c r="A156" s="4" t="str">
        <f aca="false">IF(Base_Bruta!A156="","",Base_Bruta!A156)</f>
        <v>SP-000120</v>
      </c>
      <c r="B156" s="5" t="n">
        <f aca="false">IF($A156="","",IF(ISNUMBER(Base_Bruta!B156),Base_Bruta!B156,IF(MID(Base_Bruta!B156,5,1)="-",DATE(VALUE(LEFT(Base_Bruta!B156,4)),VALUE(MID(Base_Bruta!B156,6,2)),VALUE(RIGHT(Base_Bruta!B156,2))),DATE(VALUE(RIGHT(Base_Bruta!B156,4)),VALUE(MID(Base_Bruta!B156,4,2)),VALUE(LEFT(Base_Bruta!B156,2))))))</f>
        <v>45858</v>
      </c>
      <c r="C156" s="5" t="n">
        <f aca="false">IF($A156="","",IF(ISNUMBER(Base_Bruta!C156),Base_Bruta!C156,IF(MID(Base_Bruta!C156,5,1)="-",DATE(VALUE(LEFT(Base_Bruta!C156,4)),VALUE(MID(Base_Bruta!C156,6,2)),VALUE(RIGHT(Base_Bruta!C156,2))),DATE(VALUE(RIGHT(Base_Bruta!C156,4)),VALUE(MID(Base_Bruta!C156,4,2)),VALUE(LEFT(Base_Bruta!C156,2))))))</f>
        <v>45976</v>
      </c>
      <c r="D156" s="4" t="str">
        <f aca="false">IF($A156="","",TRIM(Base_Bruta!D156))</f>
        <v>Festival Sonora SP 2025</v>
      </c>
      <c r="E156" s="4" t="str">
        <f aca="false">IF($A156="","",_xlfn.XLOOKUP(LOWER(TRIM(Base_Bruta!E156)),DePara_Categoria!$A$2:$A$9,DePara_Categoria!$B$2:$B$9,"REVISAR"))</f>
        <v>Festival</v>
      </c>
      <c r="F156" s="4" t="str">
        <f aca="false">IF($A156="","",_xlfn.XLOOKUP(LOWER(TRIM(Base_Bruta!F156)),DePara_Cidade!$A$2:$A$29,DePara_Cidade!$B$2:$B$29,"REVISAR"))</f>
        <v>São Paulo</v>
      </c>
      <c r="G156" s="4" t="str">
        <f aca="false">IF($A156="","",TRIM(Base_Bruta!G156))</f>
        <v>Meia</v>
      </c>
      <c r="H156" s="4" t="n">
        <f aca="false">IF($A156="","",IF(ISNUMBER(Base_Bruta!H156),Base_Bruta!H156,IFERROR(_xlfn.NUMBERVALUE(TRIM(SUBSTITUTE(Base_Bruta!H156,"R$","")),",","."),0)))</f>
        <v>2</v>
      </c>
      <c r="I156" s="6" t="n">
        <f aca="false">IF($A156="","",IF(ISNUMBER(Base_Bruta!I156),Base_Bruta!I156,IFERROR(_xlfn.NUMBERVALUE(TRIM(SUBSTITUTE(Base_Bruta!I156,"R$","")),",","."),0)))</f>
        <v>445</v>
      </c>
      <c r="J156" s="6" t="n">
        <f aca="false">IF($A156="","",H156*I156)</f>
        <v>890</v>
      </c>
      <c r="K156" s="4" t="str">
        <f aca="false">IF($A156="","",TRIM(Base_Bruta!J156))</f>
        <v>Site</v>
      </c>
      <c r="L156" s="4" t="str">
        <f aca="false">IF($A156="","",TRIM(Base_Bruta!K156))</f>
        <v>C02104</v>
      </c>
      <c r="M156" s="4" t="str">
        <f aca="false">IF($A156="","",_xlfn.XLOOKUP(LOWER(TRIM(Base_Bruta!L156)),DePara_Cidade!$A$2:$A$29,DePara_Cidade!$B$2:$B$29,"REVISAR"))</f>
        <v>São Paulo</v>
      </c>
      <c r="N156" s="4" t="str">
        <f aca="false">IF($A156="","",UPPER(TRIM(Base_Bruta!M156)))</f>
        <v>SP</v>
      </c>
      <c r="O156" s="4" t="str">
        <f aca="false">IF($A156="","",_xlfn.XLOOKUP(LOWER(TRIM(Base_Bruta!N156)),DePara_Pais!$A$2:$A$9,DePara_Pais!$B$2:$B$9,"REVISAR"))</f>
        <v>Brasil</v>
      </c>
      <c r="P156" s="4" t="str">
        <f aca="false">IF($A156="","",IF(O156&lt;&gt;"Brasil","Turista Internacional",IF(M156=F156,"Local","Turista Nacional")))</f>
        <v>Local</v>
      </c>
      <c r="Q156" s="7" t="n">
        <f aca="false">IF($A156="","",DATE(YEAR(B156),MONTH(B156),1))</f>
        <v>45839</v>
      </c>
      <c r="R156" s="4" t="str">
        <f aca="false">IF($A156="","",IF(COUNTIF($A$2:$A156,$A156)&gt;1,"Sim","Não"))</f>
        <v>Não</v>
      </c>
      <c r="S156" s="4" t="str">
        <f aca="false">IF(A156="","Descartar - Linha vazia",IF(R156="Sim","Descartar - Duplicado",IF(OR(H156&lt;=0,I156&lt;=0),"Descartar - Qtd/Valor inválido","OK")))</f>
        <v>OK</v>
      </c>
      <c r="T156" s="4" t="str">
        <f aca="false">Base_Bruta!P156</f>
        <v>vendas_SP.xlsx</v>
      </c>
    </row>
    <row r="157" customFormat="false" ht="15" hidden="false" customHeight="false" outlineLevel="0" collapsed="false">
      <c r="A157" s="4" t="str">
        <f aca="false">IF(Base_Bruta!A157="","",Base_Bruta!A157)</f>
        <v>SP-000149</v>
      </c>
      <c r="B157" s="5" t="n">
        <f aca="false">IF($A157="","",IF(ISNUMBER(Base_Bruta!B157),Base_Bruta!B157,IF(MID(Base_Bruta!B157,5,1)="-",DATE(VALUE(LEFT(Base_Bruta!B157,4)),VALUE(MID(Base_Bruta!B157,6,2)),VALUE(RIGHT(Base_Bruta!B157,2))),DATE(VALUE(RIGHT(Base_Bruta!B157,4)),VALUE(MID(Base_Bruta!B157,4,2)),VALUE(LEFT(Base_Bruta!B157,2))))))</f>
        <v>45858</v>
      </c>
      <c r="C157" s="5" t="n">
        <f aca="false">IF($A157="","",IF(ISNUMBER(Base_Bruta!C157),Base_Bruta!C157,IF(MID(Base_Bruta!C157,5,1)="-",DATE(VALUE(LEFT(Base_Bruta!C157,4)),VALUE(MID(Base_Bruta!C157,6,2)),VALUE(RIGHT(Base_Bruta!C157,2))),DATE(VALUE(RIGHT(Base_Bruta!C157,4)),VALUE(MID(Base_Bruta!C157,4,2)),VALUE(LEFT(Base_Bruta!C157,2))))))</f>
        <v>45976</v>
      </c>
      <c r="D157" s="4" t="str">
        <f aca="false">IF($A157="","",TRIM(Base_Bruta!D157))</f>
        <v>Festival Sonora SP 2025</v>
      </c>
      <c r="E157" s="4" t="str">
        <f aca="false">IF($A157="","",_xlfn.XLOOKUP(LOWER(TRIM(Base_Bruta!E157)),DePara_Categoria!$A$2:$A$9,DePara_Categoria!$B$2:$B$9,"REVISAR"))</f>
        <v>Festival</v>
      </c>
      <c r="F157" s="4" t="str">
        <f aca="false">IF($A157="","",_xlfn.XLOOKUP(LOWER(TRIM(Base_Bruta!F157)),DePara_Cidade!$A$2:$A$29,DePara_Cidade!$B$2:$B$29,"REVISAR"))</f>
        <v>São Paulo</v>
      </c>
      <c r="G157" s="4" t="str">
        <f aca="false">IF($A157="","",TRIM(Base_Bruta!G157))</f>
        <v>Inteira</v>
      </c>
      <c r="H157" s="4" t="n">
        <f aca="false">IF($A157="","",IF(ISNUMBER(Base_Bruta!H157),Base_Bruta!H157,IFERROR(_xlfn.NUMBERVALUE(TRIM(SUBSTITUTE(Base_Bruta!H157,"R$","")),",","."),0)))</f>
        <v>2</v>
      </c>
      <c r="I157" s="6" t="n">
        <f aca="false">IF($A157="","",IF(ISNUMBER(Base_Bruta!I157),Base_Bruta!I157,IFERROR(_xlfn.NUMBERVALUE(TRIM(SUBSTITUTE(Base_Bruta!I157,"R$","")),",","."),0)))</f>
        <v>1115</v>
      </c>
      <c r="J157" s="6" t="n">
        <f aca="false">IF($A157="","",H157*I157)</f>
        <v>2230</v>
      </c>
      <c r="K157" s="4" t="str">
        <f aca="false">IF($A157="","",TRIM(Base_Bruta!J157))</f>
        <v>Parceiro</v>
      </c>
      <c r="L157" s="4" t="str">
        <f aca="false">IF($A157="","",TRIM(Base_Bruta!K157))</f>
        <v>C00281</v>
      </c>
      <c r="M157" s="4" t="str">
        <f aca="false">IF($A157="","",_xlfn.XLOOKUP(LOWER(TRIM(Base_Bruta!L157)),DePara_Cidade!$A$2:$A$29,DePara_Cidade!$B$2:$B$29,"REVISAR"))</f>
        <v>Santos</v>
      </c>
      <c r="N157" s="4" t="str">
        <f aca="false">IF($A157="","",UPPER(TRIM(Base_Bruta!M157)))</f>
        <v>SP</v>
      </c>
      <c r="O157" s="4" t="str">
        <f aca="false">IF($A157="","",_xlfn.XLOOKUP(LOWER(TRIM(Base_Bruta!N157)),DePara_Pais!$A$2:$A$9,DePara_Pais!$B$2:$B$9,"REVISAR"))</f>
        <v>Brasil</v>
      </c>
      <c r="P157" s="4" t="str">
        <f aca="false">IF($A157="","",IF(O157&lt;&gt;"Brasil","Turista Internacional",IF(M157=F157,"Local","Turista Nacional")))</f>
        <v>Turista Nacional</v>
      </c>
      <c r="Q157" s="7" t="n">
        <f aca="false">IF($A157="","",DATE(YEAR(B157),MONTH(B157),1))</f>
        <v>45839</v>
      </c>
      <c r="R157" s="4" t="str">
        <f aca="false">IF($A157="","",IF(COUNTIF($A$2:$A157,$A157)&gt;1,"Sim","Não"))</f>
        <v>Não</v>
      </c>
      <c r="S157" s="4" t="str">
        <f aca="false">IF(A157="","Descartar - Linha vazia",IF(R157="Sim","Descartar - Duplicado",IF(OR(H157&lt;=0,I157&lt;=0),"Descartar - Qtd/Valor inválido","OK")))</f>
        <v>OK</v>
      </c>
      <c r="T157" s="4" t="str">
        <f aca="false">Base_Bruta!P157</f>
        <v>vendas_SP.xlsx</v>
      </c>
    </row>
    <row r="158" customFormat="false" ht="15" hidden="false" customHeight="false" outlineLevel="0" collapsed="false">
      <c r="A158" s="4" t="str">
        <f aca="false">IF(Base_Bruta!A158="","",Base_Bruta!A158)</f>
        <v>SP-000207</v>
      </c>
      <c r="B158" s="5" t="n">
        <f aca="false">IF($A158="","",IF(ISNUMBER(Base_Bruta!B158),Base_Bruta!B158,IF(MID(Base_Bruta!B158,5,1)="-",DATE(VALUE(LEFT(Base_Bruta!B158,4)),VALUE(MID(Base_Bruta!B158,6,2)),VALUE(RIGHT(Base_Bruta!B158,2))),DATE(VALUE(RIGHT(Base_Bruta!B158,4)),VALUE(MID(Base_Bruta!B158,4,2)),VALUE(LEFT(Base_Bruta!B158,2))))))</f>
        <v>45858</v>
      </c>
      <c r="C158" s="5" t="n">
        <f aca="false">IF($A158="","",IF(ISNUMBER(Base_Bruta!C158),Base_Bruta!C158,IF(MID(Base_Bruta!C158,5,1)="-",DATE(VALUE(LEFT(Base_Bruta!C158,4)),VALUE(MID(Base_Bruta!C158,6,2)),VALUE(RIGHT(Base_Bruta!C158,2))),DATE(VALUE(RIGHT(Base_Bruta!C158,4)),VALUE(MID(Base_Bruta!C158,4,2)),VALUE(LEFT(Base_Bruta!C158,2))))))</f>
        <v>45976</v>
      </c>
      <c r="D158" s="4" t="str">
        <f aca="false">IF($A158="","",TRIM(Base_Bruta!D158))</f>
        <v>Festival Sonora SP 2025</v>
      </c>
      <c r="E158" s="4" t="str">
        <f aca="false">IF($A158="","",_xlfn.XLOOKUP(LOWER(TRIM(Base_Bruta!E158)),DePara_Categoria!$A$2:$A$9,DePara_Categoria!$B$2:$B$9,"REVISAR"))</f>
        <v>Festival</v>
      </c>
      <c r="F158" s="4" t="str">
        <f aca="false">IF($A158="","",_xlfn.XLOOKUP(LOWER(TRIM(Base_Bruta!F158)),DePara_Cidade!$A$2:$A$29,DePara_Cidade!$B$2:$B$29,"REVISAR"))</f>
        <v>São Paulo</v>
      </c>
      <c r="G158" s="4" t="str">
        <f aca="false">IF($A158="","",TRIM(Base_Bruta!G158))</f>
        <v>Inteira</v>
      </c>
      <c r="H158" s="4" t="n">
        <f aca="false">IF($A158="","",IF(ISNUMBER(Base_Bruta!H158),Base_Bruta!H158,IFERROR(_xlfn.NUMBERVALUE(TRIM(SUBSTITUTE(Base_Bruta!H158,"R$","")),",","."),0)))</f>
        <v>1</v>
      </c>
      <c r="I158" s="6" t="n">
        <f aca="false">IF($A158="","",IF(ISNUMBER(Base_Bruta!I158),Base_Bruta!I158,IFERROR(_xlfn.NUMBERVALUE(TRIM(SUBSTITUTE(Base_Bruta!I158,"R$","")),",","."),0)))</f>
        <v>915</v>
      </c>
      <c r="J158" s="6" t="n">
        <f aca="false">IF($A158="","",H158*I158)</f>
        <v>915</v>
      </c>
      <c r="K158" s="4" t="str">
        <f aca="false">IF($A158="","",TRIM(Base_Bruta!J158))</f>
        <v>Site</v>
      </c>
      <c r="L158" s="4" t="str">
        <f aca="false">IF($A158="","",TRIM(Base_Bruta!K158))</f>
        <v>C01939</v>
      </c>
      <c r="M158" s="4" t="str">
        <f aca="false">IF($A158="","",_xlfn.XLOOKUP(LOWER(TRIM(Base_Bruta!L158)),DePara_Cidade!$A$2:$A$29,DePara_Cidade!$B$2:$B$29,"REVISAR"))</f>
        <v>São Paulo</v>
      </c>
      <c r="N158" s="4" t="str">
        <f aca="false">IF($A158="","",UPPER(TRIM(Base_Bruta!M158)))</f>
        <v>SP</v>
      </c>
      <c r="O158" s="4" t="str">
        <f aca="false">IF($A158="","",_xlfn.XLOOKUP(LOWER(TRIM(Base_Bruta!N158)),DePara_Pais!$A$2:$A$9,DePara_Pais!$B$2:$B$9,"REVISAR"))</f>
        <v>Brasil</v>
      </c>
      <c r="P158" s="4" t="str">
        <f aca="false">IF($A158="","",IF(O158&lt;&gt;"Brasil","Turista Internacional",IF(M158=F158,"Local","Turista Nacional")))</f>
        <v>Local</v>
      </c>
      <c r="Q158" s="7" t="n">
        <f aca="false">IF($A158="","",DATE(YEAR(B158),MONTH(B158),1))</f>
        <v>45839</v>
      </c>
      <c r="R158" s="4" t="str">
        <f aca="false">IF($A158="","",IF(COUNTIF($A$2:$A158,$A158)&gt;1,"Sim","Não"))</f>
        <v>Não</v>
      </c>
      <c r="S158" s="4" t="str">
        <f aca="false">IF(A158="","Descartar - Linha vazia",IF(R158="Sim","Descartar - Duplicado",IF(OR(H158&lt;=0,I158&lt;=0),"Descartar - Qtd/Valor inválido","OK")))</f>
        <v>OK</v>
      </c>
      <c r="T158" s="4" t="str">
        <f aca="false">Base_Bruta!P158</f>
        <v>vendas_SP.xlsx</v>
      </c>
    </row>
    <row r="159" customFormat="false" ht="15" hidden="false" customHeight="false" outlineLevel="0" collapsed="false">
      <c r="A159" s="4" t="str">
        <f aca="false">IF(Base_Bruta!A159="","",Base_Bruta!A159)</f>
        <v>SP-000564</v>
      </c>
      <c r="B159" s="5" t="n">
        <f aca="false">IF($A159="","",IF(ISNUMBER(Base_Bruta!B159),Base_Bruta!B159,IF(MID(Base_Bruta!B159,5,1)="-",DATE(VALUE(LEFT(Base_Bruta!B159,4)),VALUE(MID(Base_Bruta!B159,6,2)),VALUE(RIGHT(Base_Bruta!B159,2))),DATE(VALUE(RIGHT(Base_Bruta!B159,4)),VALUE(MID(Base_Bruta!B159,4,2)),VALUE(LEFT(Base_Bruta!B159,2))))))</f>
        <v>45832</v>
      </c>
      <c r="C159" s="5" t="n">
        <f aca="false">IF($A159="","",IF(ISNUMBER(Base_Bruta!C159),Base_Bruta!C159,IF(MID(Base_Bruta!C159,5,1)="-",DATE(VALUE(LEFT(Base_Bruta!C159,4)),VALUE(MID(Base_Bruta!C159,6,2)),VALUE(RIGHT(Base_Bruta!C159,2))),DATE(VALUE(RIGHT(Base_Bruta!C159,4)),VALUE(MID(Base_Bruta!C159,4,2)),VALUE(LEFT(Base_Bruta!C159,2))))))</f>
        <v>45934</v>
      </c>
      <c r="D159" s="4" t="str">
        <f aca="false">IF($A159="","",TRIM(Base_Bruta!D159))</f>
        <v>Turnê Internacional Pop - SP</v>
      </c>
      <c r="E159" s="4" t="str">
        <f aca="false">IF($A159="","",_xlfn.XLOOKUP(LOWER(TRIM(Base_Bruta!E159)),DePara_Categoria!$A$2:$A$9,DePara_Categoria!$B$2:$B$9,"REVISAR"))</f>
        <v>Show</v>
      </c>
      <c r="F159" s="4" t="str">
        <f aca="false">IF($A159="","",_xlfn.XLOOKUP(LOWER(TRIM(Base_Bruta!F159)),DePara_Cidade!$A$2:$A$29,DePara_Cidade!$B$2:$B$29,"REVISAR"))</f>
        <v>São Paulo</v>
      </c>
      <c r="G159" s="4" t="str">
        <f aca="false">IF($A159="","",TRIM(Base_Bruta!G159))</f>
        <v>Meia</v>
      </c>
      <c r="H159" s="4" t="n">
        <f aca="false">IF($A159="","",IF(ISNUMBER(Base_Bruta!H159),Base_Bruta!H159,IFERROR(_xlfn.NUMBERVALUE(TRIM(SUBSTITUTE(Base_Bruta!H159,"R$","")),",","."),0)))</f>
        <v>2</v>
      </c>
      <c r="I159" s="6" t="n">
        <f aca="false">IF($A159="","",IF(ISNUMBER(Base_Bruta!I159),Base_Bruta!I159,IFERROR(_xlfn.NUMBERVALUE(TRIM(SUBSTITUTE(Base_Bruta!I159,"R$","")),",","."),0)))</f>
        <v>347.5</v>
      </c>
      <c r="J159" s="6" t="n">
        <f aca="false">IF($A159="","",H159*I159)</f>
        <v>695</v>
      </c>
      <c r="K159" s="4" t="str">
        <f aca="false">IF($A159="","",TRIM(Base_Bruta!J159))</f>
        <v>Site</v>
      </c>
      <c r="L159" s="4" t="str">
        <f aca="false">IF($A159="","",TRIM(Base_Bruta!K159))</f>
        <v>C00664</v>
      </c>
      <c r="M159" s="4" t="str">
        <f aca="false">IF($A159="","",_xlfn.XLOOKUP(LOWER(TRIM(Base_Bruta!L159)),DePara_Cidade!$A$2:$A$29,DePara_Cidade!$B$2:$B$29,"REVISAR"))</f>
        <v>Brasília</v>
      </c>
      <c r="N159" s="4" t="str">
        <f aca="false">IF($A159="","",UPPER(TRIM(Base_Bruta!M159)))</f>
        <v>DF</v>
      </c>
      <c r="O159" s="4" t="str">
        <f aca="false">IF($A159="","",_xlfn.XLOOKUP(LOWER(TRIM(Base_Bruta!N159)),DePara_Pais!$A$2:$A$9,DePara_Pais!$B$2:$B$9,"REVISAR"))</f>
        <v>Brasil</v>
      </c>
      <c r="P159" s="4" t="str">
        <f aca="false">IF($A159="","",IF(O159&lt;&gt;"Brasil","Turista Internacional",IF(M159=F159,"Local","Turista Nacional")))</f>
        <v>Turista Nacional</v>
      </c>
      <c r="Q159" s="7" t="n">
        <f aca="false">IF($A159="","",DATE(YEAR(B159),MONTH(B159),1))</f>
        <v>45809</v>
      </c>
      <c r="R159" s="4" t="str">
        <f aca="false">IF($A159="","",IF(COUNTIF($A$2:$A159,$A159)&gt;1,"Sim","Não"))</f>
        <v>Sim</v>
      </c>
      <c r="S159" s="4" t="str">
        <f aca="false">IF(A159="","Descartar - Linha vazia",IF(R159="Sim","Descartar - Duplicado",IF(OR(H159&lt;=0,I159&lt;=0),"Descartar - Qtd/Valor inválido","OK")))</f>
        <v>Descartar - Duplicado</v>
      </c>
      <c r="T159" s="4" t="str">
        <f aca="false">Base_Bruta!P159</f>
        <v>vendas_SP.xlsx</v>
      </c>
    </row>
    <row r="160" customFormat="false" ht="15" hidden="false" customHeight="false" outlineLevel="0" collapsed="false">
      <c r="A160" s="4" t="str">
        <f aca="false">IF(Base_Bruta!A160="","",Base_Bruta!A160)</f>
        <v>SP-000526</v>
      </c>
      <c r="B160" s="5" t="n">
        <f aca="false">IF($A160="","",IF(ISNUMBER(Base_Bruta!B160),Base_Bruta!B160,IF(MID(Base_Bruta!B160,5,1)="-",DATE(VALUE(LEFT(Base_Bruta!B160,4)),VALUE(MID(Base_Bruta!B160,6,2)),VALUE(RIGHT(Base_Bruta!B160,2))),DATE(VALUE(RIGHT(Base_Bruta!B160,4)),VALUE(MID(Base_Bruta!B160,4,2)),VALUE(LEFT(Base_Bruta!B160,2))))))</f>
        <v>45858</v>
      </c>
      <c r="C160" s="5" t="n">
        <f aca="false">IF($A160="","",IF(ISNUMBER(Base_Bruta!C160),Base_Bruta!C160,IF(MID(Base_Bruta!C160,5,1)="-",DATE(VALUE(LEFT(Base_Bruta!C160,4)),VALUE(MID(Base_Bruta!C160,6,2)),VALUE(RIGHT(Base_Bruta!C160,2))),DATE(VALUE(RIGHT(Base_Bruta!C160,4)),VALUE(MID(Base_Bruta!C160,4,2)),VALUE(LEFT(Base_Bruta!C160,2))))))</f>
        <v>45934</v>
      </c>
      <c r="D160" s="4" t="str">
        <f aca="false">IF($A160="","",TRIM(Base_Bruta!D160))</f>
        <v>Turnê Internacional Pop - SP</v>
      </c>
      <c r="E160" s="4" t="str">
        <f aca="false">IF($A160="","",_xlfn.XLOOKUP(LOWER(TRIM(Base_Bruta!E160)),DePara_Categoria!$A$2:$A$9,DePara_Categoria!$B$2:$B$9,"REVISAR"))</f>
        <v>Show</v>
      </c>
      <c r="F160" s="4" t="str">
        <f aca="false">IF($A160="","",_xlfn.XLOOKUP(LOWER(TRIM(Base_Bruta!F160)),DePara_Cidade!$A$2:$A$29,DePara_Cidade!$B$2:$B$29,"REVISAR"))</f>
        <v>São Paulo</v>
      </c>
      <c r="G160" s="4" t="str">
        <f aca="false">IF($A160="","",TRIM(Base_Bruta!G160))</f>
        <v>Inteira</v>
      </c>
      <c r="H160" s="4" t="n">
        <f aca="false">IF($A160="","",IF(ISNUMBER(Base_Bruta!H160),Base_Bruta!H160,IFERROR(_xlfn.NUMBERVALUE(TRIM(SUBSTITUTE(Base_Bruta!H160,"R$","")),",","."),0)))</f>
        <v>1</v>
      </c>
      <c r="I160" s="6" t="n">
        <f aca="false">IF($A160="","",IF(ISNUMBER(Base_Bruta!I160),Base_Bruta!I160,IFERROR(_xlfn.NUMBERVALUE(TRIM(SUBSTITUTE(Base_Bruta!I160,"R$","")),",","."),0)))</f>
        <v>545</v>
      </c>
      <c r="J160" s="6" t="n">
        <f aca="false">IF($A160="","",H160*I160)</f>
        <v>545</v>
      </c>
      <c r="K160" s="4" t="str">
        <f aca="false">IF($A160="","",TRIM(Base_Bruta!J160))</f>
        <v>Parceiro</v>
      </c>
      <c r="L160" s="4" t="str">
        <f aca="false">IF($A160="","",TRIM(Base_Bruta!K160))</f>
        <v>C00349</v>
      </c>
      <c r="M160" s="4" t="str">
        <f aca="false">IF($A160="","",_xlfn.XLOOKUP(LOWER(TRIM(Base_Bruta!L160)),DePara_Cidade!$A$2:$A$29,DePara_Cidade!$B$2:$B$29,"REVISAR"))</f>
        <v>Buenos Aires</v>
      </c>
      <c r="N160" s="4" t="str">
        <f aca="false">IF($A160="","",UPPER(TRIM(Base_Bruta!M160)))</f>
        <v>EX</v>
      </c>
      <c r="O160" s="4" t="str">
        <f aca="false">IF($A160="","",_xlfn.XLOOKUP(LOWER(TRIM(Base_Bruta!N160)),DePara_Pais!$A$2:$A$9,DePara_Pais!$B$2:$B$9,"REVISAR"))</f>
        <v>Argentina</v>
      </c>
      <c r="P160" s="4" t="str">
        <f aca="false">IF($A160="","",IF(O160&lt;&gt;"Brasil","Turista Internacional",IF(M160=F160,"Local","Turista Nacional")))</f>
        <v>Turista Internacional</v>
      </c>
      <c r="Q160" s="7" t="n">
        <f aca="false">IF($A160="","",DATE(YEAR(B160),MONTH(B160),1))</f>
        <v>45839</v>
      </c>
      <c r="R160" s="4" t="str">
        <f aca="false">IF($A160="","",IF(COUNTIF($A$2:$A160,$A160)&gt;1,"Sim","Não"))</f>
        <v>Não</v>
      </c>
      <c r="S160" s="4" t="str">
        <f aca="false">IF(A160="","Descartar - Linha vazia",IF(R160="Sim","Descartar - Duplicado",IF(OR(H160&lt;=0,I160&lt;=0),"Descartar - Qtd/Valor inválido","OK")))</f>
        <v>OK</v>
      </c>
      <c r="T160" s="4" t="str">
        <f aca="false">Base_Bruta!P160</f>
        <v>vendas_SP.xlsx</v>
      </c>
    </row>
    <row r="161" customFormat="false" ht="15" hidden="false" customHeight="false" outlineLevel="0" collapsed="false">
      <c r="A161" s="4" t="str">
        <f aca="false">IF(Base_Bruta!A161="","",Base_Bruta!A161)</f>
        <v>SP-000528</v>
      </c>
      <c r="B161" s="5" t="n">
        <f aca="false">IF($A161="","",IF(ISNUMBER(Base_Bruta!B161),Base_Bruta!B161,IF(MID(Base_Bruta!B161,5,1)="-",DATE(VALUE(LEFT(Base_Bruta!B161,4)),VALUE(MID(Base_Bruta!B161,6,2)),VALUE(RIGHT(Base_Bruta!B161,2))),DATE(VALUE(RIGHT(Base_Bruta!B161,4)),VALUE(MID(Base_Bruta!B161,4,2)),VALUE(LEFT(Base_Bruta!B161,2))))))</f>
        <v>45858</v>
      </c>
      <c r="C161" s="5" t="n">
        <f aca="false">IF($A161="","",IF(ISNUMBER(Base_Bruta!C161),Base_Bruta!C161,IF(MID(Base_Bruta!C161,5,1)="-",DATE(VALUE(LEFT(Base_Bruta!C161,4)),VALUE(MID(Base_Bruta!C161,6,2)),VALUE(RIGHT(Base_Bruta!C161,2))),DATE(VALUE(RIGHT(Base_Bruta!C161,4)),VALUE(MID(Base_Bruta!C161,4,2)),VALUE(LEFT(Base_Bruta!C161,2))))))</f>
        <v>45934</v>
      </c>
      <c r="D161" s="4" t="str">
        <f aca="false">IF($A161="","",TRIM(Base_Bruta!D161))</f>
        <v>Turnê Internacional Pop - SP</v>
      </c>
      <c r="E161" s="4" t="str">
        <f aca="false">IF($A161="","",_xlfn.XLOOKUP(LOWER(TRIM(Base_Bruta!E161)),DePara_Categoria!$A$2:$A$9,DePara_Categoria!$B$2:$B$9,"REVISAR"))</f>
        <v>Show</v>
      </c>
      <c r="F161" s="4" t="str">
        <f aca="false">IF($A161="","",_xlfn.XLOOKUP(LOWER(TRIM(Base_Bruta!F161)),DePara_Cidade!$A$2:$A$29,DePara_Cidade!$B$2:$B$29,"REVISAR"))</f>
        <v>São Paulo</v>
      </c>
      <c r="G161" s="4" t="str">
        <f aca="false">IF($A161="","",TRIM(Base_Bruta!G161))</f>
        <v>Meia</v>
      </c>
      <c r="H161" s="4" t="n">
        <f aca="false">IF($A161="","",IF(ISNUMBER(Base_Bruta!H161),Base_Bruta!H161,IFERROR(_xlfn.NUMBERVALUE(TRIM(SUBSTITUTE(Base_Bruta!H161,"R$","")),",","."),0)))</f>
        <v>3</v>
      </c>
      <c r="I161" s="6" t="n">
        <f aca="false">IF($A161="","",IF(ISNUMBER(Base_Bruta!I161),Base_Bruta!I161,IFERROR(_xlfn.NUMBERVALUE(TRIM(SUBSTITUTE(Base_Bruta!I161,"R$","")),",","."),0)))</f>
        <v>340</v>
      </c>
      <c r="J161" s="6" t="n">
        <f aca="false">IF($A161="","",H161*I161)</f>
        <v>1020</v>
      </c>
      <c r="K161" s="4" t="str">
        <f aca="false">IF($A161="","",TRIM(Base_Bruta!J161))</f>
        <v>App</v>
      </c>
      <c r="L161" s="4" t="str">
        <f aca="false">IF($A161="","",TRIM(Base_Bruta!K161))</f>
        <v>C02209</v>
      </c>
      <c r="M161" s="4" t="str">
        <f aca="false">IF($A161="","",_xlfn.XLOOKUP(LOWER(TRIM(Base_Bruta!L161)),DePara_Cidade!$A$2:$A$29,DePara_Cidade!$B$2:$B$29,"REVISAR"))</f>
        <v>Buenos Aires</v>
      </c>
      <c r="N161" s="4" t="str">
        <f aca="false">IF($A161="","",UPPER(TRIM(Base_Bruta!M161)))</f>
        <v>EX</v>
      </c>
      <c r="O161" s="4" t="str">
        <f aca="false">IF($A161="","",_xlfn.XLOOKUP(LOWER(TRIM(Base_Bruta!N161)),DePara_Pais!$A$2:$A$9,DePara_Pais!$B$2:$B$9,"REVISAR"))</f>
        <v>Argentina</v>
      </c>
      <c r="P161" s="4" t="str">
        <f aca="false">IF($A161="","",IF(O161&lt;&gt;"Brasil","Turista Internacional",IF(M161=F161,"Local","Turista Nacional")))</f>
        <v>Turista Internacional</v>
      </c>
      <c r="Q161" s="7" t="n">
        <f aca="false">IF($A161="","",DATE(YEAR(B161),MONTH(B161),1))</f>
        <v>45839</v>
      </c>
      <c r="R161" s="4" t="str">
        <f aca="false">IF($A161="","",IF(COUNTIF($A$2:$A161,$A161)&gt;1,"Sim","Não"))</f>
        <v>Não</v>
      </c>
      <c r="S161" s="4" t="str">
        <f aca="false">IF(A161="","Descartar - Linha vazia",IF(R161="Sim","Descartar - Duplicado",IF(OR(H161&lt;=0,I161&lt;=0),"Descartar - Qtd/Valor inválido","OK")))</f>
        <v>OK</v>
      </c>
      <c r="T161" s="4" t="str">
        <f aca="false">Base_Bruta!P161</f>
        <v>vendas_SP.xlsx</v>
      </c>
    </row>
    <row r="162" customFormat="false" ht="15" hidden="false" customHeight="false" outlineLevel="0" collapsed="false">
      <c r="A162" s="4" t="str">
        <f aca="false">IF(Base_Bruta!A162="","",Base_Bruta!A162)</f>
        <v>SP-000079</v>
      </c>
      <c r="B162" s="5" t="n">
        <f aca="false">IF($A162="","",IF(ISNUMBER(Base_Bruta!B162),Base_Bruta!B162,IF(MID(Base_Bruta!B162,5,1)="-",DATE(VALUE(LEFT(Base_Bruta!B162,4)),VALUE(MID(Base_Bruta!B162,6,2)),VALUE(RIGHT(Base_Bruta!B162,2))),DATE(VALUE(RIGHT(Base_Bruta!B162,4)),VALUE(MID(Base_Bruta!B162,4,2)),VALUE(LEFT(Base_Bruta!B162,2))))))</f>
        <v>45859</v>
      </c>
      <c r="C162" s="5" t="n">
        <f aca="false">IF($A162="","",IF(ISNUMBER(Base_Bruta!C162),Base_Bruta!C162,IF(MID(Base_Bruta!C162,5,1)="-",DATE(VALUE(LEFT(Base_Bruta!C162,4)),VALUE(MID(Base_Bruta!C162,6,2)),VALUE(RIGHT(Base_Bruta!C162,2))),DATE(VALUE(RIGHT(Base_Bruta!C162,4)),VALUE(MID(Base_Bruta!C162,4,2)),VALUE(LEFT(Base_Bruta!C162,2))))))</f>
        <v>45976</v>
      </c>
      <c r="D162" s="4" t="str">
        <f aca="false">IF($A162="","",TRIM(Base_Bruta!D162))</f>
        <v>Festival Sonora SP 2025</v>
      </c>
      <c r="E162" s="4" t="str">
        <f aca="false">IF($A162="","",_xlfn.XLOOKUP(LOWER(TRIM(Base_Bruta!E162)),DePara_Categoria!$A$2:$A$9,DePara_Categoria!$B$2:$B$9,"REVISAR"))</f>
        <v>Festival</v>
      </c>
      <c r="F162" s="4" t="str">
        <f aca="false">IF($A162="","",_xlfn.XLOOKUP(LOWER(TRIM(Base_Bruta!F162)),DePara_Cidade!$A$2:$A$29,DePara_Cidade!$B$2:$B$29,"REVISAR"))</f>
        <v>São Paulo</v>
      </c>
      <c r="G162" s="4" t="str">
        <f aca="false">IF($A162="","",TRIM(Base_Bruta!G162))</f>
        <v>VIP</v>
      </c>
      <c r="H162" s="4" t="n">
        <f aca="false">IF($A162="","",IF(ISNUMBER(Base_Bruta!H162),Base_Bruta!H162,IFERROR(_xlfn.NUMBERVALUE(TRIM(SUBSTITUTE(Base_Bruta!H162,"R$","")),",","."),0)))</f>
        <v>2</v>
      </c>
      <c r="I162" s="6" t="n">
        <f aca="false">IF($A162="","",IF(ISNUMBER(Base_Bruta!I162),Base_Bruta!I162,IFERROR(_xlfn.NUMBERVALUE(TRIM(SUBSTITUTE(Base_Bruta!I162,"R$","")),",","."),0)))</f>
        <v>2220</v>
      </c>
      <c r="J162" s="6" t="n">
        <f aca="false">IF($A162="","",H162*I162)</f>
        <v>4440</v>
      </c>
      <c r="K162" s="4" t="str">
        <f aca="false">IF($A162="","",TRIM(Base_Bruta!J162))</f>
        <v>App</v>
      </c>
      <c r="L162" s="4" t="str">
        <f aca="false">IF($A162="","",TRIM(Base_Bruta!K162))</f>
        <v>C00468</v>
      </c>
      <c r="M162" s="4" t="str">
        <f aca="false">IF($A162="","",_xlfn.XLOOKUP(LOWER(TRIM(Base_Bruta!L162)),DePara_Cidade!$A$2:$A$29,DePara_Cidade!$B$2:$B$29,"REVISAR"))</f>
        <v>São Paulo</v>
      </c>
      <c r="N162" s="4" t="str">
        <f aca="false">IF($A162="","",UPPER(TRIM(Base_Bruta!M162)))</f>
        <v>SP</v>
      </c>
      <c r="O162" s="4" t="str">
        <f aca="false">IF($A162="","",_xlfn.XLOOKUP(LOWER(TRIM(Base_Bruta!N162)),DePara_Pais!$A$2:$A$9,DePara_Pais!$B$2:$B$9,"REVISAR"))</f>
        <v>Brasil</v>
      </c>
      <c r="P162" s="4" t="str">
        <f aca="false">IF($A162="","",IF(O162&lt;&gt;"Brasil","Turista Internacional",IF(M162=F162,"Local","Turista Nacional")))</f>
        <v>Local</v>
      </c>
      <c r="Q162" s="7" t="n">
        <f aca="false">IF($A162="","",DATE(YEAR(B162),MONTH(B162),1))</f>
        <v>45839</v>
      </c>
      <c r="R162" s="4" t="str">
        <f aca="false">IF($A162="","",IF(COUNTIF($A$2:$A162,$A162)&gt;1,"Sim","Não"))</f>
        <v>Não</v>
      </c>
      <c r="S162" s="4" t="str">
        <f aca="false">IF(A162="","Descartar - Linha vazia",IF(R162="Sim","Descartar - Duplicado",IF(OR(H162&lt;=0,I162&lt;=0),"Descartar - Qtd/Valor inválido","OK")))</f>
        <v>OK</v>
      </c>
      <c r="T162" s="4" t="str">
        <f aca="false">Base_Bruta!P162</f>
        <v>vendas_SP.xlsx</v>
      </c>
    </row>
    <row r="163" customFormat="false" ht="15" hidden="false" customHeight="false" outlineLevel="0" collapsed="false">
      <c r="A163" s="4" t="str">
        <f aca="false">IF(Base_Bruta!A163="","",Base_Bruta!A163)</f>
        <v>SP-000108</v>
      </c>
      <c r="B163" s="5" t="n">
        <f aca="false">IF($A163="","",IF(ISNUMBER(Base_Bruta!B163),Base_Bruta!B163,IF(MID(Base_Bruta!B163,5,1)="-",DATE(VALUE(LEFT(Base_Bruta!B163,4)),VALUE(MID(Base_Bruta!B163,6,2)),VALUE(RIGHT(Base_Bruta!B163,2))),DATE(VALUE(RIGHT(Base_Bruta!B163,4)),VALUE(MID(Base_Bruta!B163,4,2)),VALUE(LEFT(Base_Bruta!B163,2))))))</f>
        <v>45859</v>
      </c>
      <c r="C163" s="5" t="n">
        <f aca="false">IF($A163="","",IF(ISNUMBER(Base_Bruta!C163),Base_Bruta!C163,IF(MID(Base_Bruta!C163,5,1)="-",DATE(VALUE(LEFT(Base_Bruta!C163,4)),VALUE(MID(Base_Bruta!C163,6,2)),VALUE(RIGHT(Base_Bruta!C163,2))),DATE(VALUE(RIGHT(Base_Bruta!C163,4)),VALUE(MID(Base_Bruta!C163,4,2)),VALUE(LEFT(Base_Bruta!C163,2))))))</f>
        <v>45976</v>
      </c>
      <c r="D163" s="4" t="str">
        <f aca="false">IF($A163="","",TRIM(Base_Bruta!D163))</f>
        <v>Festival Sonora SP 2025</v>
      </c>
      <c r="E163" s="4" t="str">
        <f aca="false">IF($A163="","",_xlfn.XLOOKUP(LOWER(TRIM(Base_Bruta!E163)),DePara_Categoria!$A$2:$A$9,DePara_Categoria!$B$2:$B$9,"REVISAR"))</f>
        <v>Festival</v>
      </c>
      <c r="F163" s="4" t="str">
        <f aca="false">IF($A163="","",_xlfn.XLOOKUP(LOWER(TRIM(Base_Bruta!F163)),DePara_Cidade!$A$2:$A$29,DePara_Cidade!$B$2:$B$29,"REVISAR"))</f>
        <v>São Paulo</v>
      </c>
      <c r="G163" s="4" t="str">
        <f aca="false">IF($A163="","",TRIM(Base_Bruta!G163))</f>
        <v>Meia</v>
      </c>
      <c r="H163" s="4" t="n">
        <f aca="false">IF($A163="","",IF(ISNUMBER(Base_Bruta!H163),Base_Bruta!H163,IFERROR(_xlfn.NUMBERVALUE(TRIM(SUBSTITUTE(Base_Bruta!H163,"R$","")),",","."),0)))</f>
        <v>2</v>
      </c>
      <c r="I163" s="6" t="n">
        <f aca="false">IF($A163="","",IF(ISNUMBER(Base_Bruta!I163),Base_Bruta!I163,IFERROR(_xlfn.NUMBERVALUE(TRIM(SUBSTITUTE(Base_Bruta!I163,"R$","")),",","."),0)))</f>
        <v>395</v>
      </c>
      <c r="J163" s="6" t="n">
        <f aca="false">IF($A163="","",H163*I163)</f>
        <v>790</v>
      </c>
      <c r="K163" s="4" t="str">
        <f aca="false">IF($A163="","",TRIM(Base_Bruta!J163))</f>
        <v>App</v>
      </c>
      <c r="L163" s="4" t="str">
        <f aca="false">IF($A163="","",TRIM(Base_Bruta!K163))</f>
        <v>C01646</v>
      </c>
      <c r="M163" s="4" t="str">
        <f aca="false">IF($A163="","",_xlfn.XLOOKUP(LOWER(TRIM(Base_Bruta!L163)),DePara_Cidade!$A$2:$A$29,DePara_Cidade!$B$2:$B$29,"REVISAR"))</f>
        <v>Rio de Janeiro</v>
      </c>
      <c r="N163" s="4" t="str">
        <f aca="false">IF($A163="","",UPPER(TRIM(Base_Bruta!M163)))</f>
        <v>RJ</v>
      </c>
      <c r="O163" s="4" t="str">
        <f aca="false">IF($A163="","",_xlfn.XLOOKUP(LOWER(TRIM(Base_Bruta!N163)),DePara_Pais!$A$2:$A$9,DePara_Pais!$B$2:$B$9,"REVISAR"))</f>
        <v>Brasil</v>
      </c>
      <c r="P163" s="4" t="str">
        <f aca="false">IF($A163="","",IF(O163&lt;&gt;"Brasil","Turista Internacional",IF(M163=F163,"Local","Turista Nacional")))</f>
        <v>Turista Nacional</v>
      </c>
      <c r="Q163" s="7" t="n">
        <f aca="false">IF($A163="","",DATE(YEAR(B163),MONTH(B163),1))</f>
        <v>45839</v>
      </c>
      <c r="R163" s="4" t="str">
        <f aca="false">IF($A163="","",IF(COUNTIF($A$2:$A163,$A163)&gt;1,"Sim","Não"))</f>
        <v>Não</v>
      </c>
      <c r="S163" s="4" t="str">
        <f aca="false">IF(A163="","Descartar - Linha vazia",IF(R163="Sim","Descartar - Duplicado",IF(OR(H163&lt;=0,I163&lt;=0),"Descartar - Qtd/Valor inválido","OK")))</f>
        <v>OK</v>
      </c>
      <c r="T163" s="4" t="str">
        <f aca="false">Base_Bruta!P163</f>
        <v>vendas_SP.xlsx</v>
      </c>
    </row>
    <row r="164" customFormat="false" ht="15" hidden="false" customHeight="false" outlineLevel="0" collapsed="false">
      <c r="A164" s="4" t="str">
        <f aca="false">IF(Base_Bruta!A164="","",Base_Bruta!A164)</f>
        <v>SP-000173</v>
      </c>
      <c r="B164" s="5" t="n">
        <f aca="false">IF($A164="","",IF(ISNUMBER(Base_Bruta!B164),Base_Bruta!B164,IF(MID(Base_Bruta!B164,5,1)="-",DATE(VALUE(LEFT(Base_Bruta!B164,4)),VALUE(MID(Base_Bruta!B164,6,2)),VALUE(RIGHT(Base_Bruta!B164,2))),DATE(VALUE(RIGHT(Base_Bruta!B164,4)),VALUE(MID(Base_Bruta!B164,4,2)),VALUE(LEFT(Base_Bruta!B164,2))))))</f>
        <v>45859</v>
      </c>
      <c r="C164" s="5" t="n">
        <f aca="false">IF($A164="","",IF(ISNUMBER(Base_Bruta!C164),Base_Bruta!C164,IF(MID(Base_Bruta!C164,5,1)="-",DATE(VALUE(LEFT(Base_Bruta!C164,4)),VALUE(MID(Base_Bruta!C164,6,2)),VALUE(RIGHT(Base_Bruta!C164,2))),DATE(VALUE(RIGHT(Base_Bruta!C164,4)),VALUE(MID(Base_Bruta!C164,4,2)),VALUE(LEFT(Base_Bruta!C164,2))))))</f>
        <v>45976</v>
      </c>
      <c r="D164" s="4" t="str">
        <f aca="false">IF($A164="","",TRIM(Base_Bruta!D164))</f>
        <v>Festival Sonora SP 2025</v>
      </c>
      <c r="E164" s="4" t="str">
        <f aca="false">IF($A164="","",_xlfn.XLOOKUP(LOWER(TRIM(Base_Bruta!E164)),DePara_Categoria!$A$2:$A$9,DePara_Categoria!$B$2:$B$9,"REVISAR"))</f>
        <v>Festival</v>
      </c>
      <c r="F164" s="4" t="str">
        <f aca="false">IF($A164="","",_xlfn.XLOOKUP(LOWER(TRIM(Base_Bruta!F164)),DePara_Cidade!$A$2:$A$29,DePara_Cidade!$B$2:$B$29,"REVISAR"))</f>
        <v>São Paulo</v>
      </c>
      <c r="G164" s="4" t="str">
        <f aca="false">IF($A164="","",TRIM(Base_Bruta!G164))</f>
        <v>Inteira</v>
      </c>
      <c r="H164" s="4" t="n">
        <f aca="false">IF($A164="","",IF(ISNUMBER(Base_Bruta!H164),Base_Bruta!H164,IFERROR(_xlfn.NUMBERVALUE(TRIM(SUBSTITUTE(Base_Bruta!H164,"R$","")),",","."),0)))</f>
        <v>1</v>
      </c>
      <c r="I164" s="6" t="n">
        <f aca="false">IF($A164="","",IF(ISNUMBER(Base_Bruta!I164),Base_Bruta!I164,IFERROR(_xlfn.NUMBERVALUE(TRIM(SUBSTITUTE(Base_Bruta!I164,"R$","")),",","."),0)))</f>
        <v>895</v>
      </c>
      <c r="J164" s="6" t="n">
        <f aca="false">IF($A164="","",H164*I164)</f>
        <v>895</v>
      </c>
      <c r="K164" s="4" t="str">
        <f aca="false">IF($A164="","",TRIM(Base_Bruta!J164))</f>
        <v>App</v>
      </c>
      <c r="L164" s="4" t="str">
        <f aca="false">IF($A164="","",TRIM(Base_Bruta!K164))</f>
        <v>C01089</v>
      </c>
      <c r="M164" s="4" t="str">
        <f aca="false">IF($A164="","",_xlfn.XLOOKUP(LOWER(TRIM(Base_Bruta!L164)),DePara_Cidade!$A$2:$A$29,DePara_Cidade!$B$2:$B$29,"REVISAR"))</f>
        <v>São Paulo</v>
      </c>
      <c r="N164" s="4" t="str">
        <f aca="false">IF($A164="","",UPPER(TRIM(Base_Bruta!M164)))</f>
        <v>SP</v>
      </c>
      <c r="O164" s="4" t="str">
        <f aca="false">IF($A164="","",_xlfn.XLOOKUP(LOWER(TRIM(Base_Bruta!N164)),DePara_Pais!$A$2:$A$9,DePara_Pais!$B$2:$B$9,"REVISAR"))</f>
        <v>Brasil</v>
      </c>
      <c r="P164" s="4" t="str">
        <f aca="false">IF($A164="","",IF(O164&lt;&gt;"Brasil","Turista Internacional",IF(M164=F164,"Local","Turista Nacional")))</f>
        <v>Local</v>
      </c>
      <c r="Q164" s="7" t="n">
        <f aca="false">IF($A164="","",DATE(YEAR(B164),MONTH(B164),1))</f>
        <v>45839</v>
      </c>
      <c r="R164" s="4" t="str">
        <f aca="false">IF($A164="","",IF(COUNTIF($A$2:$A164,$A164)&gt;1,"Sim","Não"))</f>
        <v>Não</v>
      </c>
      <c r="S164" s="4" t="str">
        <f aca="false">IF(A164="","Descartar - Linha vazia",IF(R164="Sim","Descartar - Duplicado",IF(OR(H164&lt;=0,I164&lt;=0),"Descartar - Qtd/Valor inválido","OK")))</f>
        <v>OK</v>
      </c>
      <c r="T164" s="4" t="str">
        <f aca="false">Base_Bruta!P164</f>
        <v>vendas_SP.xlsx</v>
      </c>
    </row>
    <row r="165" customFormat="false" ht="15" hidden="false" customHeight="false" outlineLevel="0" collapsed="false">
      <c r="A165" s="4" t="str">
        <f aca="false">IF(Base_Bruta!A165="","",Base_Bruta!A165)</f>
        <v>SP-000202</v>
      </c>
      <c r="B165" s="5" t="n">
        <f aca="false">IF($A165="","",IF(ISNUMBER(Base_Bruta!B165),Base_Bruta!B165,IF(MID(Base_Bruta!B165,5,1)="-",DATE(VALUE(LEFT(Base_Bruta!B165,4)),VALUE(MID(Base_Bruta!B165,6,2)),VALUE(RIGHT(Base_Bruta!B165,2))),DATE(VALUE(RIGHT(Base_Bruta!B165,4)),VALUE(MID(Base_Bruta!B165,4,2)),VALUE(LEFT(Base_Bruta!B165,2))))))</f>
        <v>45859</v>
      </c>
      <c r="C165" s="5" t="n">
        <f aca="false">IF($A165="","",IF(ISNUMBER(Base_Bruta!C165),Base_Bruta!C165,IF(MID(Base_Bruta!C165,5,1)="-",DATE(VALUE(LEFT(Base_Bruta!C165,4)),VALUE(MID(Base_Bruta!C165,6,2)),VALUE(RIGHT(Base_Bruta!C165,2))),DATE(VALUE(RIGHT(Base_Bruta!C165,4)),VALUE(MID(Base_Bruta!C165,4,2)),VALUE(LEFT(Base_Bruta!C165,2))))))</f>
        <v>45976</v>
      </c>
      <c r="D165" s="4" t="str">
        <f aca="false">IF($A165="","",TRIM(Base_Bruta!D165))</f>
        <v>Festival Sonora SP 2025</v>
      </c>
      <c r="E165" s="4" t="str">
        <f aca="false">IF($A165="","",_xlfn.XLOOKUP(LOWER(TRIM(Base_Bruta!E165)),DePara_Categoria!$A$2:$A$9,DePara_Categoria!$B$2:$B$9,"REVISAR"))</f>
        <v>Festival</v>
      </c>
      <c r="F165" s="4" t="str">
        <f aca="false">IF($A165="","",_xlfn.XLOOKUP(LOWER(TRIM(Base_Bruta!F165)),DePara_Cidade!$A$2:$A$29,DePara_Cidade!$B$2:$B$29,"REVISAR"))</f>
        <v>São Paulo</v>
      </c>
      <c r="G165" s="4" t="str">
        <f aca="false">IF($A165="","",TRIM(Base_Bruta!G165))</f>
        <v>Meia</v>
      </c>
      <c r="H165" s="4" t="n">
        <f aca="false">IF($A165="","",IF(ISNUMBER(Base_Bruta!H165),Base_Bruta!H165,IFERROR(_xlfn.NUMBERVALUE(TRIM(SUBSTITUTE(Base_Bruta!H165,"R$","")),",","."),0)))</f>
        <v>2</v>
      </c>
      <c r="I165" s="6" t="n">
        <f aca="false">IF($A165="","",IF(ISNUMBER(Base_Bruta!I165),Base_Bruta!I165,IFERROR(_xlfn.NUMBERVALUE(TRIM(SUBSTITUTE(Base_Bruta!I165,"R$","")),",","."),0)))</f>
        <v>395</v>
      </c>
      <c r="J165" s="6" t="n">
        <f aca="false">IF($A165="","",H165*I165)</f>
        <v>790</v>
      </c>
      <c r="K165" s="4" t="str">
        <f aca="false">IF($A165="","",TRIM(Base_Bruta!J165))</f>
        <v>Site</v>
      </c>
      <c r="L165" s="4" t="str">
        <f aca="false">IF($A165="","",TRIM(Base_Bruta!K165))</f>
        <v>C01529</v>
      </c>
      <c r="M165" s="4" t="str">
        <f aca="false">IF($A165="","",_xlfn.XLOOKUP(LOWER(TRIM(Base_Bruta!L165)),DePara_Cidade!$A$2:$A$29,DePara_Cidade!$B$2:$B$29,"REVISAR"))</f>
        <v>São Paulo</v>
      </c>
      <c r="N165" s="4" t="str">
        <f aca="false">IF($A165="","",UPPER(TRIM(Base_Bruta!M165)))</f>
        <v>SP</v>
      </c>
      <c r="O165" s="4" t="str">
        <f aca="false">IF($A165="","",_xlfn.XLOOKUP(LOWER(TRIM(Base_Bruta!N165)),DePara_Pais!$A$2:$A$9,DePara_Pais!$B$2:$B$9,"REVISAR"))</f>
        <v>Brasil</v>
      </c>
      <c r="P165" s="4" t="str">
        <f aca="false">IF($A165="","",IF(O165&lt;&gt;"Brasil","Turista Internacional",IF(M165=F165,"Local","Turista Nacional")))</f>
        <v>Local</v>
      </c>
      <c r="Q165" s="7" t="n">
        <f aca="false">IF($A165="","",DATE(YEAR(B165),MONTH(B165),1))</f>
        <v>45839</v>
      </c>
      <c r="R165" s="4" t="str">
        <f aca="false">IF($A165="","",IF(COUNTIF($A$2:$A165,$A165)&gt;1,"Sim","Não"))</f>
        <v>Não</v>
      </c>
      <c r="S165" s="4" t="str">
        <f aca="false">IF(A165="","Descartar - Linha vazia",IF(R165="Sim","Descartar - Duplicado",IF(OR(H165&lt;=0,I165&lt;=0),"Descartar - Qtd/Valor inválido","OK")))</f>
        <v>OK</v>
      </c>
      <c r="T165" s="4" t="str">
        <f aca="false">Base_Bruta!P165</f>
        <v>vendas_SP.xlsx</v>
      </c>
    </row>
    <row r="166" customFormat="false" ht="15" hidden="false" customHeight="false" outlineLevel="0" collapsed="false">
      <c r="A166" s="4" t="str">
        <f aca="false">IF(Base_Bruta!A166="","",Base_Bruta!A166)</f>
        <v>SP-000513</v>
      </c>
      <c r="B166" s="5" t="n">
        <f aca="false">IF($A166="","",IF(ISNUMBER(Base_Bruta!B166),Base_Bruta!B166,IF(MID(Base_Bruta!B166,5,1)="-",DATE(VALUE(LEFT(Base_Bruta!B166,4)),VALUE(MID(Base_Bruta!B166,6,2)),VALUE(RIGHT(Base_Bruta!B166,2))),DATE(VALUE(RIGHT(Base_Bruta!B166,4)),VALUE(MID(Base_Bruta!B166,4,2)),VALUE(LEFT(Base_Bruta!B166,2))))))</f>
        <v>45859</v>
      </c>
      <c r="C166" s="5" t="n">
        <f aca="false">IF($A166="","",IF(ISNUMBER(Base_Bruta!C166),Base_Bruta!C166,IF(MID(Base_Bruta!C166,5,1)="-",DATE(VALUE(LEFT(Base_Bruta!C166,4)),VALUE(MID(Base_Bruta!C166,6,2)),VALUE(RIGHT(Base_Bruta!C166,2))),DATE(VALUE(RIGHT(Base_Bruta!C166,4)),VALUE(MID(Base_Bruta!C166,4,2)),VALUE(LEFT(Base_Bruta!C166,2))))))</f>
        <v>45934</v>
      </c>
      <c r="D166" s="4" t="str">
        <f aca="false">IF($A166="","",TRIM(Base_Bruta!D166))</f>
        <v>Turnê Internacional Pop - SP</v>
      </c>
      <c r="E166" s="4" t="str">
        <f aca="false">IF($A166="","",_xlfn.XLOOKUP(LOWER(TRIM(Base_Bruta!E166)),DePara_Categoria!$A$2:$A$9,DePara_Categoria!$B$2:$B$9,"REVISAR"))</f>
        <v>Show</v>
      </c>
      <c r="F166" s="4" t="str">
        <f aca="false">IF($A166="","",_xlfn.XLOOKUP(LOWER(TRIM(Base_Bruta!F166)),DePara_Cidade!$A$2:$A$29,DePara_Cidade!$B$2:$B$29,"REVISAR"))</f>
        <v>São Paulo</v>
      </c>
      <c r="G166" s="4" t="str">
        <f aca="false">IF($A166="","",TRIM(Base_Bruta!G166))</f>
        <v>Inteira</v>
      </c>
      <c r="H166" s="4" t="n">
        <f aca="false">IF($A166="","",IF(ISNUMBER(Base_Bruta!H166),Base_Bruta!H166,IFERROR(_xlfn.NUMBERVALUE(TRIM(SUBSTITUTE(Base_Bruta!H166,"R$","")),",","."),0)))</f>
        <v>2</v>
      </c>
      <c r="I166" s="6" t="n">
        <f aca="false">IF($A166="","",IF(ISNUMBER(Base_Bruta!I166),Base_Bruta!I166,IFERROR(_xlfn.NUMBERVALUE(TRIM(SUBSTITUTE(Base_Bruta!I166,"R$","")),",","."),0)))</f>
        <v>695</v>
      </c>
      <c r="J166" s="6" t="n">
        <f aca="false">IF($A166="","",H166*I166)</f>
        <v>1390</v>
      </c>
      <c r="K166" s="4" t="str">
        <f aca="false">IF($A166="","",TRIM(Base_Bruta!J166))</f>
        <v>App</v>
      </c>
      <c r="L166" s="4" t="str">
        <f aca="false">IF($A166="","",TRIM(Base_Bruta!K166))</f>
        <v>C01236</v>
      </c>
      <c r="M166" s="4" t="str">
        <f aca="false">IF($A166="","",_xlfn.XLOOKUP(LOWER(TRIM(Base_Bruta!L166)),DePara_Cidade!$A$2:$A$29,DePara_Cidade!$B$2:$B$29,"REVISAR"))</f>
        <v>Salvador</v>
      </c>
      <c r="N166" s="4" t="str">
        <f aca="false">IF($A166="","",UPPER(TRIM(Base_Bruta!M166)))</f>
        <v>BA</v>
      </c>
      <c r="O166" s="4" t="str">
        <f aca="false">IF($A166="","",_xlfn.XLOOKUP(LOWER(TRIM(Base_Bruta!N166)),DePara_Pais!$A$2:$A$9,DePara_Pais!$B$2:$B$9,"REVISAR"))</f>
        <v>Brasil</v>
      </c>
      <c r="P166" s="4" t="str">
        <f aca="false">IF($A166="","",IF(O166&lt;&gt;"Brasil","Turista Internacional",IF(M166=F166,"Local","Turista Nacional")))</f>
        <v>Turista Nacional</v>
      </c>
      <c r="Q166" s="7" t="n">
        <f aca="false">IF($A166="","",DATE(YEAR(B166),MONTH(B166),1))</f>
        <v>45839</v>
      </c>
      <c r="R166" s="4" t="str">
        <f aca="false">IF($A166="","",IF(COUNTIF($A$2:$A166,$A166)&gt;1,"Sim","Não"))</f>
        <v>Não</v>
      </c>
      <c r="S166" s="4" t="str">
        <f aca="false">IF(A166="","Descartar - Linha vazia",IF(R166="Sim","Descartar - Duplicado",IF(OR(H166&lt;=0,I166&lt;=0),"Descartar - Qtd/Valor inválido","OK")))</f>
        <v>OK</v>
      </c>
      <c r="T166" s="4" t="str">
        <f aca="false">Base_Bruta!P166</f>
        <v>vendas_SP.xlsx</v>
      </c>
    </row>
    <row r="167" customFormat="false" ht="15" hidden="false" customHeight="false" outlineLevel="0" collapsed="false">
      <c r="A167" s="4" t="str">
        <f aca="false">IF(Base_Bruta!A167="","",Base_Bruta!A167)</f>
        <v>SP-000623</v>
      </c>
      <c r="B167" s="5" t="n">
        <f aca="false">IF($A167="","",IF(ISNUMBER(Base_Bruta!B167),Base_Bruta!B167,IF(MID(Base_Bruta!B167,5,1)="-",DATE(VALUE(LEFT(Base_Bruta!B167,4)),VALUE(MID(Base_Bruta!B167,6,2)),VALUE(RIGHT(Base_Bruta!B167,2))),DATE(VALUE(RIGHT(Base_Bruta!B167,4)),VALUE(MID(Base_Bruta!B167,4,2)),VALUE(LEFT(Base_Bruta!B167,2))))))</f>
        <v>45859</v>
      </c>
      <c r="C167" s="5" t="n">
        <f aca="false">IF($A167="","",IF(ISNUMBER(Base_Bruta!C167),Base_Bruta!C167,IF(MID(Base_Bruta!C167,5,1)="-",DATE(VALUE(LEFT(Base_Bruta!C167,4)),VALUE(MID(Base_Bruta!C167,6,2)),VALUE(RIGHT(Base_Bruta!C167,2))),DATE(VALUE(RIGHT(Base_Bruta!C167,4)),VALUE(MID(Base_Bruta!C167,4,2)),VALUE(LEFT(Base_Bruta!C167,2))))))</f>
        <v>45860</v>
      </c>
      <c r="D167" s="4" t="str">
        <f aca="false">IF($A167="","",TRIM(Base_Bruta!D167))</f>
        <v>Cinema Paulista - Sessões</v>
      </c>
      <c r="E167" s="4" t="str">
        <f aca="false">IF($A167="","",_xlfn.XLOOKUP(LOWER(TRIM(Base_Bruta!E167)),DePara_Categoria!$A$2:$A$9,DePara_Categoria!$B$2:$B$9,"REVISAR"))</f>
        <v>Cinema</v>
      </c>
      <c r="F167" s="4" t="str">
        <f aca="false">IF($A167="","",_xlfn.XLOOKUP(LOWER(TRIM(Base_Bruta!F167)),DePara_Cidade!$A$2:$A$29,DePara_Cidade!$B$2:$B$29,"REVISAR"))</f>
        <v>São Paulo</v>
      </c>
      <c r="G167" s="4" t="str">
        <f aca="false">IF($A167="","",TRIM(Base_Bruta!G167))</f>
        <v>Inteira</v>
      </c>
      <c r="H167" s="4" t="n">
        <f aca="false">IF($A167="","",IF(ISNUMBER(Base_Bruta!H167),Base_Bruta!H167,IFERROR(_xlfn.NUMBERVALUE(TRIM(SUBSTITUTE(Base_Bruta!H167,"R$","")),",","."),0)))</f>
        <v>1</v>
      </c>
      <c r="I167" s="6" t="n">
        <f aca="false">IF($A167="","",IF(ISNUMBER(Base_Bruta!I167),Base_Bruta!I167,IFERROR(_xlfn.NUMBERVALUE(TRIM(SUBSTITUTE(Base_Bruta!I167,"R$","")),",","."),0)))</f>
        <v>40</v>
      </c>
      <c r="J167" s="6" t="n">
        <f aca="false">IF($A167="","",H167*I167)</f>
        <v>40</v>
      </c>
      <c r="K167" s="4" t="str">
        <f aca="false">IF($A167="","",TRIM(Base_Bruta!J167))</f>
        <v>App</v>
      </c>
      <c r="L167" s="4" t="str">
        <f aca="false">IF($A167="","",TRIM(Base_Bruta!K167))</f>
        <v>C00147</v>
      </c>
      <c r="M167" s="4" t="str">
        <f aca="false">IF($A167="","",_xlfn.XLOOKUP(LOWER(TRIM(Base_Bruta!L167)),DePara_Cidade!$A$2:$A$29,DePara_Cidade!$B$2:$B$29,"REVISAR"))</f>
        <v>São Paulo</v>
      </c>
      <c r="N167" s="4" t="str">
        <f aca="false">IF($A167="","",UPPER(TRIM(Base_Bruta!M167)))</f>
        <v>SP</v>
      </c>
      <c r="O167" s="4" t="str">
        <f aca="false">IF($A167="","",_xlfn.XLOOKUP(LOWER(TRIM(Base_Bruta!N167)),DePara_Pais!$A$2:$A$9,DePara_Pais!$B$2:$B$9,"REVISAR"))</f>
        <v>Brasil</v>
      </c>
      <c r="P167" s="4" t="str">
        <f aca="false">IF($A167="","",IF(O167&lt;&gt;"Brasil","Turista Internacional",IF(M167=F167,"Local","Turista Nacional")))</f>
        <v>Local</v>
      </c>
      <c r="Q167" s="7" t="n">
        <f aca="false">IF($A167="","",DATE(YEAR(B167),MONTH(B167),1))</f>
        <v>45839</v>
      </c>
      <c r="R167" s="4" t="str">
        <f aca="false">IF($A167="","",IF(COUNTIF($A$2:$A167,$A167)&gt;1,"Sim","Não"))</f>
        <v>Não</v>
      </c>
      <c r="S167" s="4" t="str">
        <f aca="false">IF(A167="","Descartar - Linha vazia",IF(R167="Sim","Descartar - Duplicado",IF(OR(H167&lt;=0,I167&lt;=0),"Descartar - Qtd/Valor inválido","OK")))</f>
        <v>OK</v>
      </c>
      <c r="T167" s="4" t="str">
        <f aca="false">Base_Bruta!P167</f>
        <v>vendas_SP.xlsx</v>
      </c>
    </row>
    <row r="168" customFormat="false" ht="15" hidden="false" customHeight="false" outlineLevel="0" collapsed="false">
      <c r="A168" s="4" t="str">
        <f aca="false">IF(Base_Bruta!A168="","",Base_Bruta!A168)</f>
        <v>SP-000104</v>
      </c>
      <c r="B168" s="5" t="n">
        <f aca="false">IF($A168="","",IF(ISNUMBER(Base_Bruta!B168),Base_Bruta!B168,IF(MID(Base_Bruta!B168,5,1)="-",DATE(VALUE(LEFT(Base_Bruta!B168,4)),VALUE(MID(Base_Bruta!B168,6,2)),VALUE(RIGHT(Base_Bruta!B168,2))),DATE(VALUE(RIGHT(Base_Bruta!B168,4)),VALUE(MID(Base_Bruta!B168,4,2)),VALUE(LEFT(Base_Bruta!B168,2))))))</f>
        <v>45860</v>
      </c>
      <c r="C168" s="5" t="n">
        <f aca="false">IF($A168="","",IF(ISNUMBER(Base_Bruta!C168),Base_Bruta!C168,IF(MID(Base_Bruta!C168,5,1)="-",DATE(VALUE(LEFT(Base_Bruta!C168,4)),VALUE(MID(Base_Bruta!C168,6,2)),VALUE(RIGHT(Base_Bruta!C168,2))),DATE(VALUE(RIGHT(Base_Bruta!C168,4)),VALUE(MID(Base_Bruta!C168,4,2)),VALUE(LEFT(Base_Bruta!C168,2))))))</f>
        <v>45976</v>
      </c>
      <c r="D168" s="4" t="str">
        <f aca="false">IF($A168="","",TRIM(Base_Bruta!D168))</f>
        <v>Festival Sonora SP 2025</v>
      </c>
      <c r="E168" s="4" t="str">
        <f aca="false">IF($A168="","",_xlfn.XLOOKUP(LOWER(TRIM(Base_Bruta!E168)),DePara_Categoria!$A$2:$A$9,DePara_Categoria!$B$2:$B$9,"REVISAR"))</f>
        <v>Festival</v>
      </c>
      <c r="F168" s="4" t="str">
        <f aca="false">IF($A168="","",_xlfn.XLOOKUP(LOWER(TRIM(Base_Bruta!F168)),DePara_Cidade!$A$2:$A$29,DePara_Cidade!$B$2:$B$29,"REVISAR"))</f>
        <v>São Paulo</v>
      </c>
      <c r="G168" s="4" t="str">
        <f aca="false">IF($A168="","",TRIM(Base_Bruta!G168))</f>
        <v>Inteira</v>
      </c>
      <c r="H168" s="4" t="n">
        <f aca="false">IF($A168="","",IF(ISNUMBER(Base_Bruta!H168),Base_Bruta!H168,IFERROR(_xlfn.NUMBERVALUE(TRIM(SUBSTITUTE(Base_Bruta!H168,"R$","")),",","."),0)))</f>
        <v>2</v>
      </c>
      <c r="I168" s="6" t="n">
        <f aca="false">IF($A168="","",IF(ISNUMBER(Base_Bruta!I168),Base_Bruta!I168,IFERROR(_xlfn.NUMBERVALUE(TRIM(SUBSTITUTE(Base_Bruta!I168,"R$","")),",","."),0)))</f>
        <v>860</v>
      </c>
      <c r="J168" s="6" t="n">
        <f aca="false">IF($A168="","",H168*I168)</f>
        <v>1720</v>
      </c>
      <c r="K168" s="4" t="str">
        <f aca="false">IF($A168="","",TRIM(Base_Bruta!J168))</f>
        <v>Site</v>
      </c>
      <c r="L168" s="4" t="str">
        <f aca="false">IF($A168="","",TRIM(Base_Bruta!K168))</f>
        <v>C00699</v>
      </c>
      <c r="M168" s="4" t="str">
        <f aca="false">IF($A168="","",_xlfn.XLOOKUP(LOWER(TRIM(Base_Bruta!L168)),DePara_Cidade!$A$2:$A$29,DePara_Cidade!$B$2:$B$29,"REVISAR"))</f>
        <v>São Paulo</v>
      </c>
      <c r="N168" s="4" t="str">
        <f aca="false">IF($A168="","",UPPER(TRIM(Base_Bruta!M168)))</f>
        <v>SP</v>
      </c>
      <c r="O168" s="4" t="str">
        <f aca="false">IF($A168="","",_xlfn.XLOOKUP(LOWER(TRIM(Base_Bruta!N168)),DePara_Pais!$A$2:$A$9,DePara_Pais!$B$2:$B$9,"REVISAR"))</f>
        <v>Brasil</v>
      </c>
      <c r="P168" s="4" t="str">
        <f aca="false">IF($A168="","",IF(O168&lt;&gt;"Brasil","Turista Internacional",IF(M168=F168,"Local","Turista Nacional")))</f>
        <v>Local</v>
      </c>
      <c r="Q168" s="7" t="n">
        <f aca="false">IF($A168="","",DATE(YEAR(B168),MONTH(B168),1))</f>
        <v>45839</v>
      </c>
      <c r="R168" s="4" t="str">
        <f aca="false">IF($A168="","",IF(COUNTIF($A$2:$A168,$A168)&gt;1,"Sim","Não"))</f>
        <v>Não</v>
      </c>
      <c r="S168" s="4" t="str">
        <f aca="false">IF(A168="","Descartar - Linha vazia",IF(R168="Sim","Descartar - Duplicado",IF(OR(H168&lt;=0,I168&lt;=0),"Descartar - Qtd/Valor inválido","OK")))</f>
        <v>OK</v>
      </c>
      <c r="T168" s="4" t="str">
        <f aca="false">Base_Bruta!P168</f>
        <v>vendas_SP.xlsx</v>
      </c>
    </row>
    <row r="169" customFormat="false" ht="15" hidden="false" customHeight="false" outlineLevel="0" collapsed="false">
      <c r="A169" s="4" t="str">
        <f aca="false">IF(Base_Bruta!A169="","",Base_Bruta!A169)</f>
        <v>SP-000524</v>
      </c>
      <c r="B169" s="5" t="n">
        <f aca="false">IF($A169="","",IF(ISNUMBER(Base_Bruta!B169),Base_Bruta!B169,IF(MID(Base_Bruta!B169,5,1)="-",DATE(VALUE(LEFT(Base_Bruta!B169,4)),VALUE(MID(Base_Bruta!B169,6,2)),VALUE(RIGHT(Base_Bruta!B169,2))),DATE(VALUE(RIGHT(Base_Bruta!B169,4)),VALUE(MID(Base_Bruta!B169,4,2)),VALUE(LEFT(Base_Bruta!B169,2))))))</f>
        <v>45860</v>
      </c>
      <c r="C169" s="5" t="n">
        <f aca="false">IF($A169="","",IF(ISNUMBER(Base_Bruta!C169),Base_Bruta!C169,IF(MID(Base_Bruta!C169,5,1)="-",DATE(VALUE(LEFT(Base_Bruta!C169,4)),VALUE(MID(Base_Bruta!C169,6,2)),VALUE(RIGHT(Base_Bruta!C169,2))),DATE(VALUE(RIGHT(Base_Bruta!C169,4)),VALUE(MID(Base_Bruta!C169,4,2)),VALUE(LEFT(Base_Bruta!C169,2))))))</f>
        <v>45934</v>
      </c>
      <c r="D169" s="4" t="str">
        <f aca="false">IF($A169="","",TRIM(Base_Bruta!D169))</f>
        <v>Turnê Internacional Pop - SP</v>
      </c>
      <c r="E169" s="4" t="str">
        <f aca="false">IF($A169="","",_xlfn.XLOOKUP(LOWER(TRIM(Base_Bruta!E169)),DePara_Categoria!$A$2:$A$9,DePara_Categoria!$B$2:$B$9,"REVISAR"))</f>
        <v>Show</v>
      </c>
      <c r="F169" s="4" t="str">
        <f aca="false">IF($A169="","",_xlfn.XLOOKUP(LOWER(TRIM(Base_Bruta!F169)),DePara_Cidade!$A$2:$A$29,DePara_Cidade!$B$2:$B$29,"REVISAR"))</f>
        <v>São Paulo</v>
      </c>
      <c r="G169" s="4" t="str">
        <f aca="false">IF($A169="","",TRIM(Base_Bruta!G169))</f>
        <v>Meia</v>
      </c>
      <c r="H169" s="4" t="n">
        <f aca="false">IF($A169="","",IF(ISNUMBER(Base_Bruta!H169),Base_Bruta!H169,IFERROR(_xlfn.NUMBERVALUE(TRIM(SUBSTITUTE(Base_Bruta!H169,"R$","")),",","."),0)))</f>
        <v>1</v>
      </c>
      <c r="I169" s="6" t="n">
        <f aca="false">IF($A169="","",IF(ISNUMBER(Base_Bruta!I169),Base_Bruta!I169,IFERROR(_xlfn.NUMBERVALUE(TRIM(SUBSTITUTE(Base_Bruta!I169,"R$","")),",","."),0)))</f>
        <v>370</v>
      </c>
      <c r="J169" s="6" t="n">
        <f aca="false">IF($A169="","",H169*I169)</f>
        <v>370</v>
      </c>
      <c r="K169" s="4" t="str">
        <f aca="false">IF($A169="","",TRIM(Base_Bruta!J169))</f>
        <v>Bilheteria</v>
      </c>
      <c r="L169" s="4" t="str">
        <f aca="false">IF($A169="","",TRIM(Base_Bruta!K169))</f>
        <v>C01838</v>
      </c>
      <c r="M169" s="4" t="str">
        <f aca="false">IF($A169="","",_xlfn.XLOOKUP(LOWER(TRIM(Base_Bruta!L169)),DePara_Cidade!$A$2:$A$29,DePara_Cidade!$B$2:$B$29,"REVISAR"))</f>
        <v>Brasília</v>
      </c>
      <c r="N169" s="4" t="str">
        <f aca="false">IF($A169="","",UPPER(TRIM(Base_Bruta!M169)))</f>
        <v>DF</v>
      </c>
      <c r="O169" s="4" t="str">
        <f aca="false">IF($A169="","",_xlfn.XLOOKUP(LOWER(TRIM(Base_Bruta!N169)),DePara_Pais!$A$2:$A$9,DePara_Pais!$B$2:$B$9,"REVISAR"))</f>
        <v>Brasil</v>
      </c>
      <c r="P169" s="4" t="str">
        <f aca="false">IF($A169="","",IF(O169&lt;&gt;"Brasil","Turista Internacional",IF(M169=F169,"Local","Turista Nacional")))</f>
        <v>Turista Nacional</v>
      </c>
      <c r="Q169" s="7" t="n">
        <f aca="false">IF($A169="","",DATE(YEAR(B169),MONTH(B169),1))</f>
        <v>45839</v>
      </c>
      <c r="R169" s="4" t="str">
        <f aca="false">IF($A169="","",IF(COUNTIF($A$2:$A169,$A169)&gt;1,"Sim","Não"))</f>
        <v>Não</v>
      </c>
      <c r="S169" s="4" t="str">
        <f aca="false">IF(A169="","Descartar - Linha vazia",IF(R169="Sim","Descartar - Duplicado",IF(OR(H169&lt;=0,I169&lt;=0),"Descartar - Qtd/Valor inválido","OK")))</f>
        <v>OK</v>
      </c>
      <c r="T169" s="4" t="str">
        <f aca="false">Base_Bruta!P169</f>
        <v>vendas_SP.xlsx</v>
      </c>
    </row>
    <row r="170" customFormat="false" ht="15" hidden="false" customHeight="false" outlineLevel="0" collapsed="false">
      <c r="A170" s="4" t="str">
        <f aca="false">IF(Base_Bruta!A170="","",Base_Bruta!A170)</f>
        <v>SP-000538</v>
      </c>
      <c r="B170" s="5" t="n">
        <f aca="false">IF($A170="","",IF(ISNUMBER(Base_Bruta!B170),Base_Bruta!B170,IF(MID(Base_Bruta!B170,5,1)="-",DATE(VALUE(LEFT(Base_Bruta!B170,4)),VALUE(MID(Base_Bruta!B170,6,2)),VALUE(RIGHT(Base_Bruta!B170,2))),DATE(VALUE(RIGHT(Base_Bruta!B170,4)),VALUE(MID(Base_Bruta!B170,4,2)),VALUE(LEFT(Base_Bruta!B170,2))))))</f>
        <v>45860</v>
      </c>
      <c r="C170" s="5" t="n">
        <f aca="false">IF($A170="","",IF(ISNUMBER(Base_Bruta!C170),Base_Bruta!C170,IF(MID(Base_Bruta!C170,5,1)="-",DATE(VALUE(LEFT(Base_Bruta!C170,4)),VALUE(MID(Base_Bruta!C170,6,2)),VALUE(RIGHT(Base_Bruta!C170,2))),DATE(VALUE(RIGHT(Base_Bruta!C170,4)),VALUE(MID(Base_Bruta!C170,4,2)),VALUE(LEFT(Base_Bruta!C170,2))))))</f>
        <v>45934</v>
      </c>
      <c r="D170" s="4" t="str">
        <f aca="false">IF($A170="","",TRIM(Base_Bruta!D170))</f>
        <v>Turnê Internacional Pop - SP</v>
      </c>
      <c r="E170" s="4" t="str">
        <f aca="false">IF($A170="","",_xlfn.XLOOKUP(LOWER(TRIM(Base_Bruta!E170)),DePara_Categoria!$A$2:$A$9,DePara_Categoria!$B$2:$B$9,"REVISAR"))</f>
        <v>Show</v>
      </c>
      <c r="F170" s="4" t="str">
        <f aca="false">IF($A170="","",_xlfn.XLOOKUP(LOWER(TRIM(Base_Bruta!F170)),DePara_Cidade!$A$2:$A$29,DePara_Cidade!$B$2:$B$29,"REVISAR"))</f>
        <v>São Paulo</v>
      </c>
      <c r="G170" s="4" t="str">
        <f aca="false">IF($A170="","",TRIM(Base_Bruta!G170))</f>
        <v>Meia</v>
      </c>
      <c r="H170" s="4" t="n">
        <f aca="false">IF($A170="","",IF(ISNUMBER(Base_Bruta!H170),Base_Bruta!H170,IFERROR(_xlfn.NUMBERVALUE(TRIM(SUBSTITUTE(Base_Bruta!H170,"R$","")),",","."),0)))</f>
        <v>2</v>
      </c>
      <c r="I170" s="6" t="n">
        <f aca="false">IF($A170="","",IF(ISNUMBER(Base_Bruta!I170),Base_Bruta!I170,IFERROR(_xlfn.NUMBERVALUE(TRIM(SUBSTITUTE(Base_Bruta!I170,"R$","")),",","."),0)))</f>
        <v>282.5</v>
      </c>
      <c r="J170" s="6" t="n">
        <f aca="false">IF($A170="","",H170*I170)</f>
        <v>565</v>
      </c>
      <c r="K170" s="4" t="str">
        <f aca="false">IF($A170="","",TRIM(Base_Bruta!J170))</f>
        <v>Parceiro</v>
      </c>
      <c r="L170" s="4" t="str">
        <f aca="false">IF($A170="","",TRIM(Base_Bruta!K170))</f>
        <v>C00296</v>
      </c>
      <c r="M170" s="4" t="str">
        <f aca="false">IF($A170="","",_xlfn.XLOOKUP(LOWER(TRIM(Base_Bruta!L170)),DePara_Cidade!$A$2:$A$29,DePara_Cidade!$B$2:$B$29,"REVISAR"))</f>
        <v>Salvador</v>
      </c>
      <c r="N170" s="4" t="str">
        <f aca="false">IF($A170="","",UPPER(TRIM(Base_Bruta!M170)))</f>
        <v>BA</v>
      </c>
      <c r="O170" s="4" t="str">
        <f aca="false">IF($A170="","",_xlfn.XLOOKUP(LOWER(TRIM(Base_Bruta!N170)),DePara_Pais!$A$2:$A$9,DePara_Pais!$B$2:$B$9,"REVISAR"))</f>
        <v>Brasil</v>
      </c>
      <c r="P170" s="4" t="str">
        <f aca="false">IF($A170="","",IF(O170&lt;&gt;"Brasil","Turista Internacional",IF(M170=F170,"Local","Turista Nacional")))</f>
        <v>Turista Nacional</v>
      </c>
      <c r="Q170" s="7" t="n">
        <f aca="false">IF($A170="","",DATE(YEAR(B170),MONTH(B170),1))</f>
        <v>45839</v>
      </c>
      <c r="R170" s="4" t="str">
        <f aca="false">IF($A170="","",IF(COUNTIF($A$2:$A170,$A170)&gt;1,"Sim","Não"))</f>
        <v>Não</v>
      </c>
      <c r="S170" s="4" t="str">
        <f aca="false">IF(A170="","Descartar - Linha vazia",IF(R170="Sim","Descartar - Duplicado",IF(OR(H170&lt;=0,I170&lt;=0),"Descartar - Qtd/Valor inválido","OK")))</f>
        <v>OK</v>
      </c>
      <c r="T170" s="4" t="str">
        <f aca="false">Base_Bruta!P170</f>
        <v>vendas_SP.xlsx</v>
      </c>
    </row>
    <row r="171" customFormat="false" ht="15" hidden="false" customHeight="false" outlineLevel="0" collapsed="false">
      <c r="A171" s="4" t="str">
        <f aca="false">IF(Base_Bruta!A171="","",Base_Bruta!A171)</f>
        <v>SP-000062</v>
      </c>
      <c r="B171" s="5" t="n">
        <f aca="false">IF($A171="","",IF(ISNUMBER(Base_Bruta!B171),Base_Bruta!B171,IF(MID(Base_Bruta!B171,5,1)="-",DATE(VALUE(LEFT(Base_Bruta!B171,4)),VALUE(MID(Base_Bruta!B171,6,2)),VALUE(RIGHT(Base_Bruta!B171,2))),DATE(VALUE(RIGHT(Base_Bruta!B171,4)),VALUE(MID(Base_Bruta!B171,4,2)),VALUE(LEFT(Base_Bruta!B171,2))))))</f>
        <v>45861</v>
      </c>
      <c r="C171" s="5" t="n">
        <f aca="false">IF($A171="","",IF(ISNUMBER(Base_Bruta!C171),Base_Bruta!C171,IF(MID(Base_Bruta!C171,5,1)="-",DATE(VALUE(LEFT(Base_Bruta!C171,4)),VALUE(MID(Base_Bruta!C171,6,2)),VALUE(RIGHT(Base_Bruta!C171,2))),DATE(VALUE(RIGHT(Base_Bruta!C171,4)),VALUE(MID(Base_Bruta!C171,4,2)),VALUE(LEFT(Base_Bruta!C171,2))))))</f>
        <v>45976</v>
      </c>
      <c r="D171" s="4" t="str">
        <f aca="false">IF($A171="","",TRIM(Base_Bruta!D171))</f>
        <v>Festival Sonora SP 2025</v>
      </c>
      <c r="E171" s="4" t="str">
        <f aca="false">IF($A171="","",_xlfn.XLOOKUP(LOWER(TRIM(Base_Bruta!E171)),DePara_Categoria!$A$2:$A$9,DePara_Categoria!$B$2:$B$9,"REVISAR"))</f>
        <v>Festival</v>
      </c>
      <c r="F171" s="4" t="str">
        <f aca="false">IF($A171="","",_xlfn.XLOOKUP(LOWER(TRIM(Base_Bruta!F171)),DePara_Cidade!$A$2:$A$29,DePara_Cidade!$B$2:$B$29,"REVISAR"))</f>
        <v>São Paulo</v>
      </c>
      <c r="G171" s="4" t="str">
        <f aca="false">IF($A171="","",TRIM(Base_Bruta!G171))</f>
        <v>Meia</v>
      </c>
      <c r="H171" s="4" t="n">
        <f aca="false">IF($A171="","",IF(ISNUMBER(Base_Bruta!H171),Base_Bruta!H171,IFERROR(_xlfn.NUMBERVALUE(TRIM(SUBSTITUTE(Base_Bruta!H171,"R$","")),",","."),0)))</f>
        <v>2</v>
      </c>
      <c r="I171" s="6" t="n">
        <f aca="false">IF($A171="","",IF(ISNUMBER(Base_Bruta!I171),Base_Bruta!I171,IFERROR(_xlfn.NUMBERVALUE(TRIM(SUBSTITUTE(Base_Bruta!I171,"R$","")),",","."),0)))</f>
        <v>387.5</v>
      </c>
      <c r="J171" s="6" t="n">
        <f aca="false">IF($A171="","",H171*I171)</f>
        <v>775</v>
      </c>
      <c r="K171" s="4" t="str">
        <f aca="false">IF($A171="","",TRIM(Base_Bruta!J171))</f>
        <v>App</v>
      </c>
      <c r="L171" s="4" t="str">
        <f aca="false">IF($A171="","",TRIM(Base_Bruta!K171))</f>
        <v>C00870</v>
      </c>
      <c r="M171" s="4" t="str">
        <f aca="false">IF($A171="","",_xlfn.XLOOKUP(LOWER(TRIM(Base_Bruta!L171)),DePara_Cidade!$A$2:$A$29,DePara_Cidade!$B$2:$B$29,"REVISAR"))</f>
        <v>São Paulo</v>
      </c>
      <c r="N171" s="4" t="str">
        <f aca="false">IF($A171="","",UPPER(TRIM(Base_Bruta!M171)))</f>
        <v>SP</v>
      </c>
      <c r="O171" s="4" t="str">
        <f aca="false">IF($A171="","",_xlfn.XLOOKUP(LOWER(TRIM(Base_Bruta!N171)),DePara_Pais!$A$2:$A$9,DePara_Pais!$B$2:$B$9,"REVISAR"))</f>
        <v>Brasil</v>
      </c>
      <c r="P171" s="4" t="str">
        <f aca="false">IF($A171="","",IF(O171&lt;&gt;"Brasil","Turista Internacional",IF(M171=F171,"Local","Turista Nacional")))</f>
        <v>Local</v>
      </c>
      <c r="Q171" s="7" t="n">
        <f aca="false">IF($A171="","",DATE(YEAR(B171),MONTH(B171),1))</f>
        <v>45839</v>
      </c>
      <c r="R171" s="4" t="str">
        <f aca="false">IF($A171="","",IF(COUNTIF($A$2:$A171,$A171)&gt;1,"Sim","Não"))</f>
        <v>Não</v>
      </c>
      <c r="S171" s="4" t="str">
        <f aca="false">IF(A171="","Descartar - Linha vazia",IF(R171="Sim","Descartar - Duplicado",IF(OR(H171&lt;=0,I171&lt;=0),"Descartar - Qtd/Valor inválido","OK")))</f>
        <v>OK</v>
      </c>
      <c r="T171" s="4" t="str">
        <f aca="false">Base_Bruta!P171</f>
        <v>vendas_SP.xlsx</v>
      </c>
    </row>
    <row r="172" customFormat="false" ht="15" hidden="false" customHeight="false" outlineLevel="0" collapsed="false">
      <c r="A172" s="4" t="str">
        <f aca="false">IF(Base_Bruta!A172="","",Base_Bruta!A172)</f>
        <v>SP-000074</v>
      </c>
      <c r="B172" s="5" t="n">
        <f aca="false">IF($A172="","",IF(ISNUMBER(Base_Bruta!B172),Base_Bruta!B172,IF(MID(Base_Bruta!B172,5,1)="-",DATE(VALUE(LEFT(Base_Bruta!B172,4)),VALUE(MID(Base_Bruta!B172,6,2)),VALUE(RIGHT(Base_Bruta!B172,2))),DATE(VALUE(RIGHT(Base_Bruta!B172,4)),VALUE(MID(Base_Bruta!B172,4,2)),VALUE(LEFT(Base_Bruta!B172,2))))))</f>
        <v>45861</v>
      </c>
      <c r="C172" s="5" t="n">
        <f aca="false">IF($A172="","",IF(ISNUMBER(Base_Bruta!C172),Base_Bruta!C172,IF(MID(Base_Bruta!C172,5,1)="-",DATE(VALUE(LEFT(Base_Bruta!C172,4)),VALUE(MID(Base_Bruta!C172,6,2)),VALUE(RIGHT(Base_Bruta!C172,2))),DATE(VALUE(RIGHT(Base_Bruta!C172,4)),VALUE(MID(Base_Bruta!C172,4,2)),VALUE(LEFT(Base_Bruta!C172,2))))))</f>
        <v>45976</v>
      </c>
      <c r="D172" s="4" t="str">
        <f aca="false">IF($A172="","",TRIM(Base_Bruta!D172))</f>
        <v>Festival Sonora SP 2025</v>
      </c>
      <c r="E172" s="4" t="str">
        <f aca="false">IF($A172="","",_xlfn.XLOOKUP(LOWER(TRIM(Base_Bruta!E172)),DePara_Categoria!$A$2:$A$9,DePara_Categoria!$B$2:$B$9,"REVISAR"))</f>
        <v>Festival</v>
      </c>
      <c r="F172" s="4" t="str">
        <f aca="false">IF($A172="","",_xlfn.XLOOKUP(LOWER(TRIM(Base_Bruta!F172)),DePara_Cidade!$A$2:$A$29,DePara_Cidade!$B$2:$B$29,"REVISAR"))</f>
        <v>São Paulo</v>
      </c>
      <c r="G172" s="4" t="str">
        <f aca="false">IF($A172="","",TRIM(Base_Bruta!G172))</f>
        <v>Meia</v>
      </c>
      <c r="H172" s="4" t="n">
        <f aca="false">IF($A172="","",IF(ISNUMBER(Base_Bruta!H172),Base_Bruta!H172,IFERROR(_xlfn.NUMBERVALUE(TRIM(SUBSTITUTE(Base_Bruta!H172,"R$","")),",","."),0)))</f>
        <v>4</v>
      </c>
      <c r="I172" s="6" t="n">
        <f aca="false">IF($A172="","",IF(ISNUMBER(Base_Bruta!I172),Base_Bruta!I172,IFERROR(_xlfn.NUMBERVALUE(TRIM(SUBSTITUTE(Base_Bruta!I172,"R$","")),",","."),0)))</f>
        <v>462.5</v>
      </c>
      <c r="J172" s="6" t="n">
        <f aca="false">IF($A172="","",H172*I172)</f>
        <v>1850</v>
      </c>
      <c r="K172" s="4" t="str">
        <f aca="false">IF($A172="","",TRIM(Base_Bruta!J172))</f>
        <v>App</v>
      </c>
      <c r="L172" s="4" t="str">
        <f aca="false">IF($A172="","",TRIM(Base_Bruta!K172))</f>
        <v>C01756</v>
      </c>
      <c r="M172" s="4" t="str">
        <f aca="false">IF($A172="","",_xlfn.XLOOKUP(LOWER(TRIM(Base_Bruta!L172)),DePara_Cidade!$A$2:$A$29,DePara_Cidade!$B$2:$B$29,"REVISAR"))</f>
        <v>São Paulo</v>
      </c>
      <c r="N172" s="4" t="str">
        <f aca="false">IF($A172="","",UPPER(TRIM(Base_Bruta!M172)))</f>
        <v>SP</v>
      </c>
      <c r="O172" s="4" t="str">
        <f aca="false">IF($A172="","",_xlfn.XLOOKUP(LOWER(TRIM(Base_Bruta!N172)),DePara_Pais!$A$2:$A$9,DePara_Pais!$B$2:$B$9,"REVISAR"))</f>
        <v>Brasil</v>
      </c>
      <c r="P172" s="4" t="str">
        <f aca="false">IF($A172="","",IF(O172&lt;&gt;"Brasil","Turista Internacional",IF(M172=F172,"Local","Turista Nacional")))</f>
        <v>Local</v>
      </c>
      <c r="Q172" s="7" t="n">
        <f aca="false">IF($A172="","",DATE(YEAR(B172),MONTH(B172),1))</f>
        <v>45839</v>
      </c>
      <c r="R172" s="4" t="str">
        <f aca="false">IF($A172="","",IF(COUNTIF($A$2:$A172,$A172)&gt;1,"Sim","Não"))</f>
        <v>Não</v>
      </c>
      <c r="S172" s="4" t="str">
        <f aca="false">IF(A172="","Descartar - Linha vazia",IF(R172="Sim","Descartar - Duplicado",IF(OR(H172&lt;=0,I172&lt;=0),"Descartar - Qtd/Valor inválido","OK")))</f>
        <v>OK</v>
      </c>
      <c r="T172" s="4" t="str">
        <f aca="false">Base_Bruta!P172</f>
        <v>vendas_SP.xlsx</v>
      </c>
    </row>
    <row r="173" customFormat="false" ht="15" hidden="false" customHeight="false" outlineLevel="0" collapsed="false">
      <c r="A173" s="4" t="str">
        <f aca="false">IF(Base_Bruta!A173="","",Base_Bruta!A173)</f>
        <v>SP-000187</v>
      </c>
      <c r="B173" s="5" t="n">
        <f aca="false">IF($A173="","",IF(ISNUMBER(Base_Bruta!B173),Base_Bruta!B173,IF(MID(Base_Bruta!B173,5,1)="-",DATE(VALUE(LEFT(Base_Bruta!B173,4)),VALUE(MID(Base_Bruta!B173,6,2)),VALUE(RIGHT(Base_Bruta!B173,2))),DATE(VALUE(RIGHT(Base_Bruta!B173,4)),VALUE(MID(Base_Bruta!B173,4,2)),VALUE(LEFT(Base_Bruta!B173,2))))))</f>
        <v>45861</v>
      </c>
      <c r="C173" s="5" t="n">
        <f aca="false">IF($A173="","",IF(ISNUMBER(Base_Bruta!C173),Base_Bruta!C173,IF(MID(Base_Bruta!C173,5,1)="-",DATE(VALUE(LEFT(Base_Bruta!C173,4)),VALUE(MID(Base_Bruta!C173,6,2)),VALUE(RIGHT(Base_Bruta!C173,2))),DATE(VALUE(RIGHT(Base_Bruta!C173,4)),VALUE(MID(Base_Bruta!C173,4,2)),VALUE(LEFT(Base_Bruta!C173,2))))))</f>
        <v>45976</v>
      </c>
      <c r="D173" s="4" t="str">
        <f aca="false">IF($A173="","",TRIM(Base_Bruta!D173))</f>
        <v>Festival Sonora SP 2025</v>
      </c>
      <c r="E173" s="4" t="str">
        <f aca="false">IF($A173="","",_xlfn.XLOOKUP(LOWER(TRIM(Base_Bruta!E173)),DePara_Categoria!$A$2:$A$9,DePara_Categoria!$B$2:$B$9,"REVISAR"))</f>
        <v>Festival</v>
      </c>
      <c r="F173" s="4" t="str">
        <f aca="false">IF($A173="","",_xlfn.XLOOKUP(LOWER(TRIM(Base_Bruta!F173)),DePara_Cidade!$A$2:$A$29,DePara_Cidade!$B$2:$B$29,"REVISAR"))</f>
        <v>São Paulo</v>
      </c>
      <c r="G173" s="4" t="str">
        <f aca="false">IF($A173="","",TRIM(Base_Bruta!G173))</f>
        <v>Meia</v>
      </c>
      <c r="H173" s="4" t="n">
        <f aca="false">IF($A173="","",IF(ISNUMBER(Base_Bruta!H173),Base_Bruta!H173,IFERROR(_xlfn.NUMBERVALUE(TRIM(SUBSTITUTE(Base_Bruta!H173,"R$","")),",","."),0)))</f>
        <v>1</v>
      </c>
      <c r="I173" s="6" t="n">
        <f aca="false">IF($A173="","",IF(ISNUMBER(Base_Bruta!I173),Base_Bruta!I173,IFERROR(_xlfn.NUMBERVALUE(TRIM(SUBSTITUTE(Base_Bruta!I173,"R$","")),",","."),0)))</f>
        <v>350</v>
      </c>
      <c r="J173" s="6" t="n">
        <f aca="false">IF($A173="","",H173*I173)</f>
        <v>350</v>
      </c>
      <c r="K173" s="4" t="str">
        <f aca="false">IF($A173="","",TRIM(Base_Bruta!J173))</f>
        <v>Bilheteria</v>
      </c>
      <c r="L173" s="4" t="str">
        <f aca="false">IF($A173="","",TRIM(Base_Bruta!K173))</f>
        <v>C00434</v>
      </c>
      <c r="M173" s="4" t="str">
        <f aca="false">IF($A173="","",_xlfn.XLOOKUP(LOWER(TRIM(Base_Bruta!L173)),DePara_Cidade!$A$2:$A$29,DePara_Cidade!$B$2:$B$29,"REVISAR"))</f>
        <v>São Paulo</v>
      </c>
      <c r="N173" s="4" t="str">
        <f aca="false">IF($A173="","",UPPER(TRIM(Base_Bruta!M173)))</f>
        <v>SP</v>
      </c>
      <c r="O173" s="4" t="str">
        <f aca="false">IF($A173="","",_xlfn.XLOOKUP(LOWER(TRIM(Base_Bruta!N173)),DePara_Pais!$A$2:$A$9,DePara_Pais!$B$2:$B$9,"REVISAR"))</f>
        <v>Brasil</v>
      </c>
      <c r="P173" s="4" t="str">
        <f aca="false">IF($A173="","",IF(O173&lt;&gt;"Brasil","Turista Internacional",IF(M173=F173,"Local","Turista Nacional")))</f>
        <v>Local</v>
      </c>
      <c r="Q173" s="7" t="n">
        <f aca="false">IF($A173="","",DATE(YEAR(B173),MONTH(B173),1))</f>
        <v>45839</v>
      </c>
      <c r="R173" s="4" t="str">
        <f aca="false">IF($A173="","",IF(COUNTIF($A$2:$A173,$A173)&gt;1,"Sim","Não"))</f>
        <v>Não</v>
      </c>
      <c r="S173" s="4" t="str">
        <f aca="false">IF(A173="","Descartar - Linha vazia",IF(R173="Sim","Descartar - Duplicado",IF(OR(H173&lt;=0,I173&lt;=0),"Descartar - Qtd/Valor inválido","OK")))</f>
        <v>OK</v>
      </c>
      <c r="T173" s="4" t="str">
        <f aca="false">Base_Bruta!P173</f>
        <v>vendas_SP.xlsx</v>
      </c>
    </row>
    <row r="174" customFormat="false" ht="15" hidden="false" customHeight="false" outlineLevel="0" collapsed="false">
      <c r="A174" s="4" t="str">
        <f aca="false">IF(Base_Bruta!A174="","",Base_Bruta!A174)</f>
        <v>SP-000086</v>
      </c>
      <c r="B174" s="5" t="n">
        <f aca="false">IF($A174="","",IF(ISNUMBER(Base_Bruta!B174),Base_Bruta!B174,IF(MID(Base_Bruta!B174,5,1)="-",DATE(VALUE(LEFT(Base_Bruta!B174,4)),VALUE(MID(Base_Bruta!B174,6,2)),VALUE(RIGHT(Base_Bruta!B174,2))),DATE(VALUE(RIGHT(Base_Bruta!B174,4)),VALUE(MID(Base_Bruta!B174,4,2)),VALUE(LEFT(Base_Bruta!B174,2))))))</f>
        <v>45862</v>
      </c>
      <c r="C174" s="5" t="n">
        <f aca="false">IF($A174="","",IF(ISNUMBER(Base_Bruta!C174),Base_Bruta!C174,IF(MID(Base_Bruta!C174,5,1)="-",DATE(VALUE(LEFT(Base_Bruta!C174,4)),VALUE(MID(Base_Bruta!C174,6,2)),VALUE(RIGHT(Base_Bruta!C174,2))),DATE(VALUE(RIGHT(Base_Bruta!C174,4)),VALUE(MID(Base_Bruta!C174,4,2)),VALUE(LEFT(Base_Bruta!C174,2))))))</f>
        <v>45976</v>
      </c>
      <c r="D174" s="4" t="str">
        <f aca="false">IF($A174="","",TRIM(Base_Bruta!D174))</f>
        <v>Festival Sonora SP 2025</v>
      </c>
      <c r="E174" s="4" t="str">
        <f aca="false">IF($A174="","",_xlfn.XLOOKUP(LOWER(TRIM(Base_Bruta!E174)),DePara_Categoria!$A$2:$A$9,DePara_Categoria!$B$2:$B$9,"REVISAR"))</f>
        <v>Festival</v>
      </c>
      <c r="F174" s="4" t="str">
        <f aca="false">IF($A174="","",_xlfn.XLOOKUP(LOWER(TRIM(Base_Bruta!F174)),DePara_Cidade!$A$2:$A$29,DePara_Cidade!$B$2:$B$29,"REVISAR"))</f>
        <v>São Paulo</v>
      </c>
      <c r="G174" s="4" t="str">
        <f aca="false">IF($A174="","",TRIM(Base_Bruta!G174))</f>
        <v>Inteira</v>
      </c>
      <c r="H174" s="4" t="n">
        <f aca="false">IF($A174="","",IF(ISNUMBER(Base_Bruta!H174),Base_Bruta!H174,IFERROR(_xlfn.NUMBERVALUE(TRIM(SUBSTITUTE(Base_Bruta!H174,"R$","")),",","."),0)))</f>
        <v>3</v>
      </c>
      <c r="I174" s="6" t="n">
        <f aca="false">IF($A174="","",IF(ISNUMBER(Base_Bruta!I174),Base_Bruta!I174,IFERROR(_xlfn.NUMBERVALUE(TRIM(SUBSTITUTE(Base_Bruta!I174,"R$","")),",","."),0)))</f>
        <v>695</v>
      </c>
      <c r="J174" s="6" t="n">
        <f aca="false">IF($A174="","",H174*I174)</f>
        <v>2085</v>
      </c>
      <c r="K174" s="4" t="str">
        <f aca="false">IF($A174="","",TRIM(Base_Bruta!J174))</f>
        <v>App</v>
      </c>
      <c r="L174" s="4" t="str">
        <f aca="false">IF($A174="","",TRIM(Base_Bruta!K174))</f>
        <v>C02369</v>
      </c>
      <c r="M174" s="4" t="str">
        <f aca="false">IF($A174="","",_xlfn.XLOOKUP(LOWER(TRIM(Base_Bruta!L174)),DePara_Cidade!$A$2:$A$29,DePara_Cidade!$B$2:$B$29,"REVISAR"))</f>
        <v>São Paulo</v>
      </c>
      <c r="N174" s="4" t="str">
        <f aca="false">IF($A174="","",UPPER(TRIM(Base_Bruta!M174)))</f>
        <v>SP</v>
      </c>
      <c r="O174" s="4" t="str">
        <f aca="false">IF($A174="","",_xlfn.XLOOKUP(LOWER(TRIM(Base_Bruta!N174)),DePara_Pais!$A$2:$A$9,DePara_Pais!$B$2:$B$9,"REVISAR"))</f>
        <v>Brasil</v>
      </c>
      <c r="P174" s="4" t="str">
        <f aca="false">IF($A174="","",IF(O174&lt;&gt;"Brasil","Turista Internacional",IF(M174=F174,"Local","Turista Nacional")))</f>
        <v>Local</v>
      </c>
      <c r="Q174" s="7" t="n">
        <f aca="false">IF($A174="","",DATE(YEAR(B174),MONTH(B174),1))</f>
        <v>45839</v>
      </c>
      <c r="R174" s="4" t="str">
        <f aca="false">IF($A174="","",IF(COUNTIF($A$2:$A174,$A174)&gt;1,"Sim","Não"))</f>
        <v>Não</v>
      </c>
      <c r="S174" s="4" t="str">
        <f aca="false">IF(A174="","Descartar - Linha vazia",IF(R174="Sim","Descartar - Duplicado",IF(OR(H174&lt;=0,I174&lt;=0),"Descartar - Qtd/Valor inválido","OK")))</f>
        <v>OK</v>
      </c>
      <c r="T174" s="4" t="str">
        <f aca="false">Base_Bruta!P174</f>
        <v>vendas_SP.xlsx</v>
      </c>
    </row>
    <row r="175" customFormat="false" ht="15" hidden="false" customHeight="false" outlineLevel="0" collapsed="false">
      <c r="A175" s="4" t="str">
        <f aca="false">IF(Base_Bruta!A175="","",Base_Bruta!A175)</f>
        <v>SP-000088</v>
      </c>
      <c r="B175" s="5" t="n">
        <f aca="false">IF($A175="","",IF(ISNUMBER(Base_Bruta!B175),Base_Bruta!B175,IF(MID(Base_Bruta!B175,5,1)="-",DATE(VALUE(LEFT(Base_Bruta!B175,4)),VALUE(MID(Base_Bruta!B175,6,2)),VALUE(RIGHT(Base_Bruta!B175,2))),DATE(VALUE(RIGHT(Base_Bruta!B175,4)),VALUE(MID(Base_Bruta!B175,4,2)),VALUE(LEFT(Base_Bruta!B175,2))))))</f>
        <v>45862</v>
      </c>
      <c r="C175" s="5" t="n">
        <f aca="false">IF($A175="","",IF(ISNUMBER(Base_Bruta!C175),Base_Bruta!C175,IF(MID(Base_Bruta!C175,5,1)="-",DATE(VALUE(LEFT(Base_Bruta!C175,4)),VALUE(MID(Base_Bruta!C175,6,2)),VALUE(RIGHT(Base_Bruta!C175,2))),DATE(VALUE(RIGHT(Base_Bruta!C175,4)),VALUE(MID(Base_Bruta!C175,4,2)),VALUE(LEFT(Base_Bruta!C175,2))))))</f>
        <v>45976</v>
      </c>
      <c r="D175" s="4" t="str">
        <f aca="false">IF($A175="","",TRIM(Base_Bruta!D175))</f>
        <v>Festival Sonora SP 2025</v>
      </c>
      <c r="E175" s="4" t="str">
        <f aca="false">IF($A175="","",_xlfn.XLOOKUP(LOWER(TRIM(Base_Bruta!E175)),DePara_Categoria!$A$2:$A$9,DePara_Categoria!$B$2:$B$9,"REVISAR"))</f>
        <v>Festival</v>
      </c>
      <c r="F175" s="4" t="str">
        <f aca="false">IF($A175="","",_xlfn.XLOOKUP(LOWER(TRIM(Base_Bruta!F175)),DePara_Cidade!$A$2:$A$29,DePara_Cidade!$B$2:$B$29,"REVISAR"))</f>
        <v>São Paulo</v>
      </c>
      <c r="G175" s="4" t="str">
        <f aca="false">IF($A175="","",TRIM(Base_Bruta!G175))</f>
        <v>Inteira</v>
      </c>
      <c r="H175" s="4" t="n">
        <f aca="false">IF($A175="","",IF(ISNUMBER(Base_Bruta!H175),Base_Bruta!H175,IFERROR(_xlfn.NUMBERVALUE(TRIM(SUBSTITUTE(Base_Bruta!H175,"R$","")),",","."),0)))</f>
        <v>3</v>
      </c>
      <c r="I175" s="6" t="n">
        <f aca="false">IF($A175="","",IF(ISNUMBER(Base_Bruta!I175),Base_Bruta!I175,IFERROR(_xlfn.NUMBERVALUE(TRIM(SUBSTITUTE(Base_Bruta!I175,"R$","")),",","."),0)))</f>
        <v>725</v>
      </c>
      <c r="J175" s="6" t="n">
        <f aca="false">IF($A175="","",H175*I175)</f>
        <v>2175</v>
      </c>
      <c r="K175" s="4" t="str">
        <f aca="false">IF($A175="","",TRIM(Base_Bruta!J175))</f>
        <v>App</v>
      </c>
      <c r="L175" s="4" t="str">
        <f aca="false">IF($A175="","",TRIM(Base_Bruta!K175))</f>
        <v>C01408</v>
      </c>
      <c r="M175" s="4" t="str">
        <f aca="false">IF($A175="","",_xlfn.XLOOKUP(LOWER(TRIM(Base_Bruta!L175)),DePara_Cidade!$A$2:$A$29,DePara_Cidade!$B$2:$B$29,"REVISAR"))</f>
        <v>São Paulo</v>
      </c>
      <c r="N175" s="4" t="str">
        <f aca="false">IF($A175="","",UPPER(TRIM(Base_Bruta!M175)))</f>
        <v>SP</v>
      </c>
      <c r="O175" s="4" t="str">
        <f aca="false">IF($A175="","",_xlfn.XLOOKUP(LOWER(TRIM(Base_Bruta!N175)),DePara_Pais!$A$2:$A$9,DePara_Pais!$B$2:$B$9,"REVISAR"))</f>
        <v>Brasil</v>
      </c>
      <c r="P175" s="4" t="str">
        <f aca="false">IF($A175="","",IF(O175&lt;&gt;"Brasil","Turista Internacional",IF(M175=F175,"Local","Turista Nacional")))</f>
        <v>Local</v>
      </c>
      <c r="Q175" s="7" t="n">
        <f aca="false">IF($A175="","",DATE(YEAR(B175),MONTH(B175),1))</f>
        <v>45839</v>
      </c>
      <c r="R175" s="4" t="str">
        <f aca="false">IF($A175="","",IF(COUNTIF($A$2:$A175,$A175)&gt;1,"Sim","Não"))</f>
        <v>Não</v>
      </c>
      <c r="S175" s="4" t="str">
        <f aca="false">IF(A175="","Descartar - Linha vazia",IF(R175="Sim","Descartar - Duplicado",IF(OR(H175&lt;=0,I175&lt;=0),"Descartar - Qtd/Valor inválido","OK")))</f>
        <v>OK</v>
      </c>
      <c r="T175" s="4" t="str">
        <f aca="false">Base_Bruta!P175</f>
        <v>vendas_SP.xlsx</v>
      </c>
    </row>
    <row r="176" customFormat="false" ht="15" hidden="false" customHeight="false" outlineLevel="0" collapsed="false">
      <c r="A176" s="4" t="str">
        <f aca="false">IF(Base_Bruta!A176="","",Base_Bruta!A176)</f>
        <v>SP-000112</v>
      </c>
      <c r="B176" s="5" t="n">
        <f aca="false">IF($A176="","",IF(ISNUMBER(Base_Bruta!B176),Base_Bruta!B176,IF(MID(Base_Bruta!B176,5,1)="-",DATE(VALUE(LEFT(Base_Bruta!B176,4)),VALUE(MID(Base_Bruta!B176,6,2)),VALUE(RIGHT(Base_Bruta!B176,2))),DATE(VALUE(RIGHT(Base_Bruta!B176,4)),VALUE(MID(Base_Bruta!B176,4,2)),VALUE(LEFT(Base_Bruta!B176,2))))))</f>
        <v>45862</v>
      </c>
      <c r="C176" s="5" t="n">
        <f aca="false">IF($A176="","",IF(ISNUMBER(Base_Bruta!C176),Base_Bruta!C176,IF(MID(Base_Bruta!C176,5,1)="-",DATE(VALUE(LEFT(Base_Bruta!C176,4)),VALUE(MID(Base_Bruta!C176,6,2)),VALUE(RIGHT(Base_Bruta!C176,2))),DATE(VALUE(RIGHT(Base_Bruta!C176,4)),VALUE(MID(Base_Bruta!C176,4,2)),VALUE(LEFT(Base_Bruta!C176,2))))))</f>
        <v>45976</v>
      </c>
      <c r="D176" s="4" t="str">
        <f aca="false">IF($A176="","",TRIM(Base_Bruta!D176))</f>
        <v>Festival Sonora SP 2025</v>
      </c>
      <c r="E176" s="4" t="str">
        <f aca="false">IF($A176="","",_xlfn.XLOOKUP(LOWER(TRIM(Base_Bruta!E176)),DePara_Categoria!$A$2:$A$9,DePara_Categoria!$B$2:$B$9,"REVISAR"))</f>
        <v>Festival</v>
      </c>
      <c r="F176" s="4" t="str">
        <f aca="false">IF($A176="","",_xlfn.XLOOKUP(LOWER(TRIM(Base_Bruta!F176)),DePara_Cidade!$A$2:$A$29,DePara_Cidade!$B$2:$B$29,"REVISAR"))</f>
        <v>São Paulo</v>
      </c>
      <c r="G176" s="4" t="str">
        <f aca="false">IF($A176="","",TRIM(Base_Bruta!G176))</f>
        <v>Inteira</v>
      </c>
      <c r="H176" s="4" t="n">
        <f aca="false">IF($A176="","",IF(ISNUMBER(Base_Bruta!H176),Base_Bruta!H176,IFERROR(_xlfn.NUMBERVALUE(TRIM(SUBSTITUTE(Base_Bruta!H176,"R$","")),",","."),0)))</f>
        <v>1</v>
      </c>
      <c r="I176" s="6" t="n">
        <f aca="false">IF($A176="","",IF(ISNUMBER(Base_Bruta!I176),Base_Bruta!I176,IFERROR(_xlfn.NUMBERVALUE(TRIM(SUBSTITUTE(Base_Bruta!I176,"R$","")),",","."),0)))</f>
        <v>680</v>
      </c>
      <c r="J176" s="6" t="n">
        <f aca="false">IF($A176="","",H176*I176)</f>
        <v>680</v>
      </c>
      <c r="K176" s="4" t="str">
        <f aca="false">IF($A176="","",TRIM(Base_Bruta!J176))</f>
        <v>Bilheteria</v>
      </c>
      <c r="L176" s="4" t="str">
        <f aca="false">IF($A176="","",TRIM(Base_Bruta!K176))</f>
        <v>C02079</v>
      </c>
      <c r="M176" s="4" t="str">
        <f aca="false">IF($A176="","",_xlfn.XLOOKUP(LOWER(TRIM(Base_Bruta!L176)),DePara_Cidade!$A$2:$A$29,DePara_Cidade!$B$2:$B$29,"REVISAR"))</f>
        <v>São Paulo</v>
      </c>
      <c r="N176" s="4" t="str">
        <f aca="false">IF($A176="","",UPPER(TRIM(Base_Bruta!M176)))</f>
        <v>SP</v>
      </c>
      <c r="O176" s="4" t="str">
        <f aca="false">IF($A176="","",_xlfn.XLOOKUP(LOWER(TRIM(Base_Bruta!N176)),DePara_Pais!$A$2:$A$9,DePara_Pais!$B$2:$B$9,"REVISAR"))</f>
        <v>Brasil</v>
      </c>
      <c r="P176" s="4" t="str">
        <f aca="false">IF($A176="","",IF(O176&lt;&gt;"Brasil","Turista Internacional",IF(M176=F176,"Local","Turista Nacional")))</f>
        <v>Local</v>
      </c>
      <c r="Q176" s="7" t="n">
        <f aca="false">IF($A176="","",DATE(YEAR(B176),MONTH(B176),1))</f>
        <v>45839</v>
      </c>
      <c r="R176" s="4" t="str">
        <f aca="false">IF($A176="","",IF(COUNTIF($A$2:$A176,$A176)&gt;1,"Sim","Não"))</f>
        <v>Não</v>
      </c>
      <c r="S176" s="4" t="str">
        <f aca="false">IF(A176="","Descartar - Linha vazia",IF(R176="Sim","Descartar - Duplicado",IF(OR(H176&lt;=0,I176&lt;=0),"Descartar - Qtd/Valor inválido","OK")))</f>
        <v>OK</v>
      </c>
      <c r="T176" s="4" t="str">
        <f aca="false">Base_Bruta!P176</f>
        <v>vendas_SP.xlsx</v>
      </c>
    </row>
    <row r="177" customFormat="false" ht="15" hidden="false" customHeight="false" outlineLevel="0" collapsed="false">
      <c r="A177" s="4" t="str">
        <f aca="false">IF(Base_Bruta!A177="","",Base_Bruta!A177)</f>
        <v>SP-000166</v>
      </c>
      <c r="B177" s="5" t="n">
        <f aca="false">IF($A177="","",IF(ISNUMBER(Base_Bruta!B177),Base_Bruta!B177,IF(MID(Base_Bruta!B177,5,1)="-",DATE(VALUE(LEFT(Base_Bruta!B177,4)),VALUE(MID(Base_Bruta!B177,6,2)),VALUE(RIGHT(Base_Bruta!B177,2))),DATE(VALUE(RIGHT(Base_Bruta!B177,4)),VALUE(MID(Base_Bruta!B177,4,2)),VALUE(LEFT(Base_Bruta!B177,2))))))</f>
        <v>45862</v>
      </c>
      <c r="C177" s="5" t="n">
        <f aca="false">IF($A177="","",IF(ISNUMBER(Base_Bruta!C177),Base_Bruta!C177,IF(MID(Base_Bruta!C177,5,1)="-",DATE(VALUE(LEFT(Base_Bruta!C177,4)),VALUE(MID(Base_Bruta!C177,6,2)),VALUE(RIGHT(Base_Bruta!C177,2))),DATE(VALUE(RIGHT(Base_Bruta!C177,4)),VALUE(MID(Base_Bruta!C177,4,2)),VALUE(LEFT(Base_Bruta!C177,2))))))</f>
        <v>45976</v>
      </c>
      <c r="D177" s="4" t="str">
        <f aca="false">IF($A177="","",TRIM(Base_Bruta!D177))</f>
        <v>Festival Sonora SP 2025</v>
      </c>
      <c r="E177" s="4" t="str">
        <f aca="false">IF($A177="","",_xlfn.XLOOKUP(LOWER(TRIM(Base_Bruta!E177)),DePara_Categoria!$A$2:$A$9,DePara_Categoria!$B$2:$B$9,"REVISAR"))</f>
        <v>Festival</v>
      </c>
      <c r="F177" s="4" t="str">
        <f aca="false">IF($A177="","",_xlfn.XLOOKUP(LOWER(TRIM(Base_Bruta!F177)),DePara_Cidade!$A$2:$A$29,DePara_Cidade!$B$2:$B$29,"REVISAR"))</f>
        <v>São Paulo</v>
      </c>
      <c r="G177" s="4" t="str">
        <f aca="false">IF($A177="","",TRIM(Base_Bruta!G177))</f>
        <v>Inteira</v>
      </c>
      <c r="H177" s="4" t="n">
        <f aca="false">IF($A177="","",IF(ISNUMBER(Base_Bruta!H177),Base_Bruta!H177,IFERROR(_xlfn.NUMBERVALUE(TRIM(SUBSTITUTE(Base_Bruta!H177,"R$","")),",","."),0)))</f>
        <v>2</v>
      </c>
      <c r="I177" s="6" t="n">
        <f aca="false">IF($A177="","",IF(ISNUMBER(Base_Bruta!I177),Base_Bruta!I177,IFERROR(_xlfn.NUMBERVALUE(TRIM(SUBSTITUTE(Base_Bruta!I177,"R$","")),",","."),0)))</f>
        <v>730</v>
      </c>
      <c r="J177" s="6" t="n">
        <f aca="false">IF($A177="","",H177*I177)</f>
        <v>1460</v>
      </c>
      <c r="K177" s="4" t="str">
        <f aca="false">IF($A177="","",TRIM(Base_Bruta!J177))</f>
        <v>Site</v>
      </c>
      <c r="L177" s="4" t="str">
        <f aca="false">IF($A177="","",TRIM(Base_Bruta!K177))</f>
        <v>C00800</v>
      </c>
      <c r="M177" s="4" t="str">
        <f aca="false">IF($A177="","",_xlfn.XLOOKUP(LOWER(TRIM(Base_Bruta!L177)),DePara_Cidade!$A$2:$A$29,DePara_Cidade!$B$2:$B$29,"REVISAR"))</f>
        <v>São Paulo</v>
      </c>
      <c r="N177" s="4" t="str">
        <f aca="false">IF($A177="","",UPPER(TRIM(Base_Bruta!M177)))</f>
        <v>SP</v>
      </c>
      <c r="O177" s="4" t="str">
        <f aca="false">IF($A177="","",_xlfn.XLOOKUP(LOWER(TRIM(Base_Bruta!N177)),DePara_Pais!$A$2:$A$9,DePara_Pais!$B$2:$B$9,"REVISAR"))</f>
        <v>Brasil</v>
      </c>
      <c r="P177" s="4" t="str">
        <f aca="false">IF($A177="","",IF(O177&lt;&gt;"Brasil","Turista Internacional",IF(M177=F177,"Local","Turista Nacional")))</f>
        <v>Local</v>
      </c>
      <c r="Q177" s="7" t="n">
        <f aca="false">IF($A177="","",DATE(YEAR(B177),MONTH(B177),1))</f>
        <v>45839</v>
      </c>
      <c r="R177" s="4" t="str">
        <f aca="false">IF($A177="","",IF(COUNTIF($A$2:$A177,$A177)&gt;1,"Sim","Não"))</f>
        <v>Não</v>
      </c>
      <c r="S177" s="4" t="str">
        <f aca="false">IF(A177="","Descartar - Linha vazia",IF(R177="Sim","Descartar - Duplicado",IF(OR(H177&lt;=0,I177&lt;=0),"Descartar - Qtd/Valor inválido","OK")))</f>
        <v>OK</v>
      </c>
      <c r="T177" s="4" t="str">
        <f aca="false">Base_Bruta!P177</f>
        <v>vendas_SP.xlsx</v>
      </c>
    </row>
    <row r="178" customFormat="false" ht="15" hidden="false" customHeight="false" outlineLevel="0" collapsed="false">
      <c r="A178" s="4" t="str">
        <f aca="false">IF(Base_Bruta!A178="","",Base_Bruta!A178)</f>
        <v>SP-000111</v>
      </c>
      <c r="B178" s="5" t="n">
        <f aca="false">IF($A178="","",IF(ISNUMBER(Base_Bruta!B178),Base_Bruta!B178,IF(MID(Base_Bruta!B178,5,1)="-",DATE(VALUE(LEFT(Base_Bruta!B178,4)),VALUE(MID(Base_Bruta!B178,6,2)),VALUE(RIGHT(Base_Bruta!B178,2))),DATE(VALUE(RIGHT(Base_Bruta!B178,4)),VALUE(MID(Base_Bruta!B178,4,2)),VALUE(LEFT(Base_Bruta!B178,2))))))</f>
        <v>45863</v>
      </c>
      <c r="C178" s="5" t="n">
        <f aca="false">IF($A178="","",IF(ISNUMBER(Base_Bruta!C178),Base_Bruta!C178,IF(MID(Base_Bruta!C178,5,1)="-",DATE(VALUE(LEFT(Base_Bruta!C178,4)),VALUE(MID(Base_Bruta!C178,6,2)),VALUE(RIGHT(Base_Bruta!C178,2))),DATE(VALUE(RIGHT(Base_Bruta!C178,4)),VALUE(MID(Base_Bruta!C178,4,2)),VALUE(LEFT(Base_Bruta!C178,2))))))</f>
        <v>45976</v>
      </c>
      <c r="D178" s="4" t="str">
        <f aca="false">IF($A178="","",TRIM(Base_Bruta!D178))</f>
        <v>Festival Sonora SP 2025</v>
      </c>
      <c r="E178" s="4" t="str">
        <f aca="false">IF($A178="","",_xlfn.XLOOKUP(LOWER(TRIM(Base_Bruta!E178)),DePara_Categoria!$A$2:$A$9,DePara_Categoria!$B$2:$B$9,"REVISAR"))</f>
        <v>Festival</v>
      </c>
      <c r="F178" s="4" t="str">
        <f aca="false">IF($A178="","",_xlfn.XLOOKUP(LOWER(TRIM(Base_Bruta!F178)),DePara_Cidade!$A$2:$A$29,DePara_Cidade!$B$2:$B$29,"REVISAR"))</f>
        <v>São Paulo</v>
      </c>
      <c r="G178" s="4" t="str">
        <f aca="false">IF($A178="","",TRIM(Base_Bruta!G178))</f>
        <v>Inteira</v>
      </c>
      <c r="H178" s="4" t="n">
        <f aca="false">IF($A178="","",IF(ISNUMBER(Base_Bruta!H178),Base_Bruta!H178,IFERROR(_xlfn.NUMBERVALUE(TRIM(SUBSTITUTE(Base_Bruta!H178,"R$","")),",","."),0)))</f>
        <v>1</v>
      </c>
      <c r="I178" s="6" t="n">
        <f aca="false">IF($A178="","",IF(ISNUMBER(Base_Bruta!I178),Base_Bruta!I178,IFERROR(_xlfn.NUMBERVALUE(TRIM(SUBSTITUTE(Base_Bruta!I178,"R$","")),",","."),0)))</f>
        <v>780</v>
      </c>
      <c r="J178" s="6" t="n">
        <f aca="false">IF($A178="","",H178*I178)</f>
        <v>780</v>
      </c>
      <c r="K178" s="4" t="str">
        <f aca="false">IF($A178="","",TRIM(Base_Bruta!J178))</f>
        <v>App</v>
      </c>
      <c r="L178" s="4" t="str">
        <f aca="false">IF($A178="","",TRIM(Base_Bruta!K178))</f>
        <v>C01316</v>
      </c>
      <c r="M178" s="4" t="str">
        <f aca="false">IF($A178="","",_xlfn.XLOOKUP(LOWER(TRIM(Base_Bruta!L178)),DePara_Cidade!$A$2:$A$29,DePara_Cidade!$B$2:$B$29,"REVISAR"))</f>
        <v>Belo Horizonte</v>
      </c>
      <c r="N178" s="4" t="str">
        <f aca="false">IF($A178="","",UPPER(TRIM(Base_Bruta!M178)))</f>
        <v>MG</v>
      </c>
      <c r="O178" s="4" t="str">
        <f aca="false">IF($A178="","",_xlfn.XLOOKUP(LOWER(TRIM(Base_Bruta!N178)),DePara_Pais!$A$2:$A$9,DePara_Pais!$B$2:$B$9,"REVISAR"))</f>
        <v>Brasil</v>
      </c>
      <c r="P178" s="4" t="str">
        <f aca="false">IF($A178="","",IF(O178&lt;&gt;"Brasil","Turista Internacional",IF(M178=F178,"Local","Turista Nacional")))</f>
        <v>Turista Nacional</v>
      </c>
      <c r="Q178" s="7" t="n">
        <f aca="false">IF($A178="","",DATE(YEAR(B178),MONTH(B178),1))</f>
        <v>45839</v>
      </c>
      <c r="R178" s="4" t="str">
        <f aca="false">IF($A178="","",IF(COUNTIF($A$2:$A178,$A178)&gt;1,"Sim","Não"))</f>
        <v>Não</v>
      </c>
      <c r="S178" s="4" t="str">
        <f aca="false">IF(A178="","Descartar - Linha vazia",IF(R178="Sim","Descartar - Duplicado",IF(OR(H178&lt;=0,I178&lt;=0),"Descartar - Qtd/Valor inválido","OK")))</f>
        <v>OK</v>
      </c>
      <c r="T178" s="4" t="str">
        <f aca="false">Base_Bruta!P178</f>
        <v>vendas_SP.xlsx</v>
      </c>
    </row>
    <row r="179" customFormat="false" ht="15" hidden="false" customHeight="false" outlineLevel="0" collapsed="false">
      <c r="A179" s="4" t="str">
        <f aca="false">IF(Base_Bruta!A179="","",Base_Bruta!A179)</f>
        <v>SP-000158</v>
      </c>
      <c r="B179" s="5" t="n">
        <f aca="false">IF($A179="","",IF(ISNUMBER(Base_Bruta!B179),Base_Bruta!B179,IF(MID(Base_Bruta!B179,5,1)="-",DATE(VALUE(LEFT(Base_Bruta!B179,4)),VALUE(MID(Base_Bruta!B179,6,2)),VALUE(RIGHT(Base_Bruta!B179,2))),DATE(VALUE(RIGHT(Base_Bruta!B179,4)),VALUE(MID(Base_Bruta!B179,4,2)),VALUE(LEFT(Base_Bruta!B179,2))))))</f>
        <v>45863</v>
      </c>
      <c r="C179" s="5" t="n">
        <f aca="false">IF($A179="","",IF(ISNUMBER(Base_Bruta!C179),Base_Bruta!C179,IF(MID(Base_Bruta!C179,5,1)="-",DATE(VALUE(LEFT(Base_Bruta!C179,4)),VALUE(MID(Base_Bruta!C179,6,2)),VALUE(RIGHT(Base_Bruta!C179,2))),DATE(VALUE(RIGHT(Base_Bruta!C179,4)),VALUE(MID(Base_Bruta!C179,4,2)),VALUE(LEFT(Base_Bruta!C179,2))))))</f>
        <v>45976</v>
      </c>
      <c r="D179" s="4" t="str">
        <f aca="false">IF($A179="","",TRIM(Base_Bruta!D179))</f>
        <v>Festival Sonora SP 2025</v>
      </c>
      <c r="E179" s="4" t="str">
        <f aca="false">IF($A179="","",_xlfn.XLOOKUP(LOWER(TRIM(Base_Bruta!E179)),DePara_Categoria!$A$2:$A$9,DePara_Categoria!$B$2:$B$9,"REVISAR"))</f>
        <v>Festival</v>
      </c>
      <c r="F179" s="4" t="str">
        <f aca="false">IF($A179="","",_xlfn.XLOOKUP(LOWER(TRIM(Base_Bruta!F179)),DePara_Cidade!$A$2:$A$29,DePara_Cidade!$B$2:$B$29,"REVISAR"))</f>
        <v>São Paulo</v>
      </c>
      <c r="G179" s="4" t="str">
        <f aca="false">IF($A179="","",TRIM(Base_Bruta!G179))</f>
        <v>Inteira</v>
      </c>
      <c r="H179" s="4" t="n">
        <f aca="false">IF($A179="","",IF(ISNUMBER(Base_Bruta!H179),Base_Bruta!H179,IFERROR(_xlfn.NUMBERVALUE(TRIM(SUBSTITUTE(Base_Bruta!H179,"R$","")),",","."),0)))</f>
        <v>3</v>
      </c>
      <c r="I179" s="6" t="n">
        <f aca="false">IF($A179="","",IF(ISNUMBER(Base_Bruta!I179),Base_Bruta!I179,IFERROR(_xlfn.NUMBERVALUE(TRIM(SUBSTITUTE(Base_Bruta!I179,"R$","")),",","."),0)))</f>
        <v>745</v>
      </c>
      <c r="J179" s="6" t="n">
        <f aca="false">IF($A179="","",H179*I179)</f>
        <v>2235</v>
      </c>
      <c r="K179" s="4" t="str">
        <f aca="false">IF($A179="","",TRIM(Base_Bruta!J179))</f>
        <v>Bilheteria</v>
      </c>
      <c r="L179" s="4" t="str">
        <f aca="false">IF($A179="","",TRIM(Base_Bruta!K179))</f>
        <v>C00486</v>
      </c>
      <c r="M179" s="4" t="str">
        <f aca="false">IF($A179="","",_xlfn.XLOOKUP(LOWER(TRIM(Base_Bruta!L179)),DePara_Cidade!$A$2:$A$29,DePara_Cidade!$B$2:$B$29,"REVISAR"))</f>
        <v>São Paulo</v>
      </c>
      <c r="N179" s="4" t="str">
        <f aca="false">IF($A179="","",UPPER(TRIM(Base_Bruta!M179)))</f>
        <v>SP</v>
      </c>
      <c r="O179" s="4" t="str">
        <f aca="false">IF($A179="","",_xlfn.XLOOKUP(LOWER(TRIM(Base_Bruta!N179)),DePara_Pais!$A$2:$A$9,DePara_Pais!$B$2:$B$9,"REVISAR"))</f>
        <v>Brasil</v>
      </c>
      <c r="P179" s="4" t="str">
        <f aca="false">IF($A179="","",IF(O179&lt;&gt;"Brasil","Turista Internacional",IF(M179=F179,"Local","Turista Nacional")))</f>
        <v>Local</v>
      </c>
      <c r="Q179" s="7" t="n">
        <f aca="false">IF($A179="","",DATE(YEAR(B179),MONTH(B179),1))</f>
        <v>45839</v>
      </c>
      <c r="R179" s="4" t="str">
        <f aca="false">IF($A179="","",IF(COUNTIF($A$2:$A179,$A179)&gt;1,"Sim","Não"))</f>
        <v>Não</v>
      </c>
      <c r="S179" s="4" t="str">
        <f aca="false">IF(A179="","Descartar - Linha vazia",IF(R179="Sim","Descartar - Duplicado",IF(OR(H179&lt;=0,I179&lt;=0),"Descartar - Qtd/Valor inválido","OK")))</f>
        <v>OK</v>
      </c>
      <c r="T179" s="4" t="str">
        <f aca="false">Base_Bruta!P179</f>
        <v>vendas_SP.xlsx</v>
      </c>
    </row>
    <row r="180" customFormat="false" ht="15" hidden="false" customHeight="false" outlineLevel="0" collapsed="false">
      <c r="A180" s="4" t="str">
        <f aca="false">IF(Base_Bruta!A180="","",Base_Bruta!A180)</f>
        <v>SP-000193</v>
      </c>
      <c r="B180" s="5" t="n">
        <f aca="false">IF($A180="","",IF(ISNUMBER(Base_Bruta!B180),Base_Bruta!B180,IF(MID(Base_Bruta!B180,5,1)="-",DATE(VALUE(LEFT(Base_Bruta!B180,4)),VALUE(MID(Base_Bruta!B180,6,2)),VALUE(RIGHT(Base_Bruta!B180,2))),DATE(VALUE(RIGHT(Base_Bruta!B180,4)),VALUE(MID(Base_Bruta!B180,4,2)),VALUE(LEFT(Base_Bruta!B180,2))))))</f>
        <v>45863</v>
      </c>
      <c r="C180" s="5" t="n">
        <f aca="false">IF($A180="","",IF(ISNUMBER(Base_Bruta!C180),Base_Bruta!C180,IF(MID(Base_Bruta!C180,5,1)="-",DATE(VALUE(LEFT(Base_Bruta!C180,4)),VALUE(MID(Base_Bruta!C180,6,2)),VALUE(RIGHT(Base_Bruta!C180,2))),DATE(VALUE(RIGHT(Base_Bruta!C180,4)),VALUE(MID(Base_Bruta!C180,4,2)),VALUE(LEFT(Base_Bruta!C180,2))))))</f>
        <v>45976</v>
      </c>
      <c r="D180" s="4" t="str">
        <f aca="false">IF($A180="","",TRIM(Base_Bruta!D180))</f>
        <v>Festival Sonora SP 2025</v>
      </c>
      <c r="E180" s="4" t="str">
        <f aca="false">IF($A180="","",_xlfn.XLOOKUP(LOWER(TRIM(Base_Bruta!E180)),DePara_Categoria!$A$2:$A$9,DePara_Categoria!$B$2:$B$9,"REVISAR"))</f>
        <v>Festival</v>
      </c>
      <c r="F180" s="4" t="str">
        <f aca="false">IF($A180="","",_xlfn.XLOOKUP(LOWER(TRIM(Base_Bruta!F180)),DePara_Cidade!$A$2:$A$29,DePara_Cidade!$B$2:$B$29,"REVISAR"))</f>
        <v>São Paulo</v>
      </c>
      <c r="G180" s="4" t="str">
        <f aca="false">IF($A180="","",TRIM(Base_Bruta!G180))</f>
        <v>Inteira</v>
      </c>
      <c r="H180" s="4" t="n">
        <f aca="false">IF($A180="","",IF(ISNUMBER(Base_Bruta!H180),Base_Bruta!H180,IFERROR(_xlfn.NUMBERVALUE(TRIM(SUBSTITUTE(Base_Bruta!H180,"R$","")),",","."),0)))</f>
        <v>2</v>
      </c>
      <c r="I180" s="6" t="n">
        <f aca="false">IF($A180="","",IF(ISNUMBER(Base_Bruta!I180),Base_Bruta!I180,IFERROR(_xlfn.NUMBERVALUE(TRIM(SUBSTITUTE(Base_Bruta!I180,"R$","")),",","."),0)))</f>
        <v>935</v>
      </c>
      <c r="J180" s="6" t="n">
        <f aca="false">IF($A180="","",H180*I180)</f>
        <v>1870</v>
      </c>
      <c r="K180" s="4" t="str">
        <f aca="false">IF($A180="","",TRIM(Base_Bruta!J180))</f>
        <v>Bilheteria</v>
      </c>
      <c r="L180" s="4" t="str">
        <f aca="false">IF($A180="","",TRIM(Base_Bruta!K180))</f>
        <v>C00809</v>
      </c>
      <c r="M180" s="4" t="str">
        <f aca="false">IF($A180="","",_xlfn.XLOOKUP(LOWER(TRIM(Base_Bruta!L180)),DePara_Cidade!$A$2:$A$29,DePara_Cidade!$B$2:$B$29,"REVISAR"))</f>
        <v>Porto Alegre</v>
      </c>
      <c r="N180" s="4" t="str">
        <f aca="false">IF($A180="","",UPPER(TRIM(Base_Bruta!M180)))</f>
        <v>RS</v>
      </c>
      <c r="O180" s="4" t="str">
        <f aca="false">IF($A180="","",_xlfn.XLOOKUP(LOWER(TRIM(Base_Bruta!N180)),DePara_Pais!$A$2:$A$9,DePara_Pais!$B$2:$B$9,"REVISAR"))</f>
        <v>Brasil</v>
      </c>
      <c r="P180" s="4" t="str">
        <f aca="false">IF($A180="","",IF(O180&lt;&gt;"Brasil","Turista Internacional",IF(M180=F180,"Local","Turista Nacional")))</f>
        <v>Turista Nacional</v>
      </c>
      <c r="Q180" s="7" t="n">
        <f aca="false">IF($A180="","",DATE(YEAR(B180),MONTH(B180),1))</f>
        <v>45839</v>
      </c>
      <c r="R180" s="4" t="str">
        <f aca="false">IF($A180="","",IF(COUNTIF($A$2:$A180,$A180)&gt;1,"Sim","Não"))</f>
        <v>Não</v>
      </c>
      <c r="S180" s="4" t="str">
        <f aca="false">IF(A180="","Descartar - Linha vazia",IF(R180="Sim","Descartar - Duplicado",IF(OR(H180&lt;=0,I180&lt;=0),"Descartar - Qtd/Valor inválido","OK")))</f>
        <v>OK</v>
      </c>
      <c r="T180" s="4" t="str">
        <f aca="false">Base_Bruta!P180</f>
        <v>vendas_SP.xlsx</v>
      </c>
    </row>
    <row r="181" customFormat="false" ht="15" hidden="false" customHeight="false" outlineLevel="0" collapsed="false">
      <c r="A181" s="4" t="str">
        <f aca="false">IF(Base_Bruta!A181="","",Base_Bruta!A181)</f>
        <v>SP-000009</v>
      </c>
      <c r="B181" s="5" t="n">
        <f aca="false">IF($A181="","",IF(ISNUMBER(Base_Bruta!B181),Base_Bruta!B181,IF(MID(Base_Bruta!B181,5,1)="-",DATE(VALUE(LEFT(Base_Bruta!B181,4)),VALUE(MID(Base_Bruta!B181,6,2)),VALUE(RIGHT(Base_Bruta!B181,2))),DATE(VALUE(RIGHT(Base_Bruta!B181,4)),VALUE(MID(Base_Bruta!B181,4,2)),VALUE(LEFT(Base_Bruta!B181,2))))))</f>
        <v>45864</v>
      </c>
      <c r="C181" s="5" t="n">
        <f aca="false">IF($A181="","",IF(ISNUMBER(Base_Bruta!C181),Base_Bruta!C181,IF(MID(Base_Bruta!C181,5,1)="-",DATE(VALUE(LEFT(Base_Bruta!C181,4)),VALUE(MID(Base_Bruta!C181,6,2)),VALUE(RIGHT(Base_Bruta!C181,2))),DATE(VALUE(RIGHT(Base_Bruta!C181,4)),VALUE(MID(Base_Bruta!C181,4,2)),VALUE(LEFT(Base_Bruta!C181,2))))))</f>
        <v>45976</v>
      </c>
      <c r="D181" s="4" t="str">
        <f aca="false">IF($A181="","",TRIM(Base_Bruta!D181))</f>
        <v>Festival Sonora SP 2025</v>
      </c>
      <c r="E181" s="4" t="str">
        <f aca="false">IF($A181="","",_xlfn.XLOOKUP(LOWER(TRIM(Base_Bruta!E181)),DePara_Categoria!$A$2:$A$9,DePara_Categoria!$B$2:$B$9,"REVISAR"))</f>
        <v>Festival</v>
      </c>
      <c r="F181" s="4" t="str">
        <f aca="false">IF($A181="","",_xlfn.XLOOKUP(LOWER(TRIM(Base_Bruta!F181)),DePara_Cidade!$A$2:$A$29,DePara_Cidade!$B$2:$B$29,"REVISAR"))</f>
        <v>São Paulo</v>
      </c>
      <c r="G181" s="4" t="str">
        <f aca="false">IF($A181="","",TRIM(Base_Bruta!G181))</f>
        <v>VIP</v>
      </c>
      <c r="H181" s="4" t="n">
        <f aca="false">IF($A181="","",IF(ISNUMBER(Base_Bruta!H181),Base_Bruta!H181,IFERROR(_xlfn.NUMBERVALUE(TRIM(SUBSTITUTE(Base_Bruta!H181,"R$","")),",","."),0)))</f>
        <v>2</v>
      </c>
      <c r="I181" s="6" t="n">
        <f aca="false">IF($A181="","",IF(ISNUMBER(Base_Bruta!I181),Base_Bruta!I181,IFERROR(_xlfn.NUMBERVALUE(TRIM(SUBSTITUTE(Base_Bruta!I181,"R$","")),",","."),0)))</f>
        <v>1860</v>
      </c>
      <c r="J181" s="6" t="n">
        <f aca="false">IF($A181="","",H181*I181)</f>
        <v>3720</v>
      </c>
      <c r="K181" s="4" t="str">
        <f aca="false">IF($A181="","",TRIM(Base_Bruta!J181))</f>
        <v>Site</v>
      </c>
      <c r="L181" s="4" t="str">
        <f aca="false">IF($A181="","",TRIM(Base_Bruta!K181))</f>
        <v>C00577</v>
      </c>
      <c r="M181" s="4" t="str">
        <f aca="false">IF($A181="","",_xlfn.XLOOKUP(LOWER(TRIM(Base_Bruta!L181)),DePara_Cidade!$A$2:$A$29,DePara_Cidade!$B$2:$B$29,"REVISAR"))</f>
        <v>Santos</v>
      </c>
      <c r="N181" s="4" t="str">
        <f aca="false">IF($A181="","",UPPER(TRIM(Base_Bruta!M181)))</f>
        <v>SP</v>
      </c>
      <c r="O181" s="4" t="str">
        <f aca="false">IF($A181="","",_xlfn.XLOOKUP(LOWER(TRIM(Base_Bruta!N181)),DePara_Pais!$A$2:$A$9,DePara_Pais!$B$2:$B$9,"REVISAR"))</f>
        <v>Brasil</v>
      </c>
      <c r="P181" s="4" t="str">
        <f aca="false">IF($A181="","",IF(O181&lt;&gt;"Brasil","Turista Internacional",IF(M181=F181,"Local","Turista Nacional")))</f>
        <v>Turista Nacional</v>
      </c>
      <c r="Q181" s="7" t="n">
        <f aca="false">IF($A181="","",DATE(YEAR(B181),MONTH(B181),1))</f>
        <v>45839</v>
      </c>
      <c r="R181" s="4" t="str">
        <f aca="false">IF($A181="","",IF(COUNTIF($A$2:$A181,$A181)&gt;1,"Sim","Não"))</f>
        <v>Não</v>
      </c>
      <c r="S181" s="4" t="str">
        <f aca="false">IF(A181="","Descartar - Linha vazia",IF(R181="Sim","Descartar - Duplicado",IF(OR(H181&lt;=0,I181&lt;=0),"Descartar - Qtd/Valor inválido","OK")))</f>
        <v>OK</v>
      </c>
      <c r="T181" s="4" t="str">
        <f aca="false">Base_Bruta!P181</f>
        <v>vendas_SP.xlsx</v>
      </c>
    </row>
    <row r="182" customFormat="false" ht="15" hidden="false" customHeight="false" outlineLevel="0" collapsed="false">
      <c r="A182" s="4" t="str">
        <f aca="false">IF(Base_Bruta!A182="","",Base_Bruta!A182)</f>
        <v>SP-000024</v>
      </c>
      <c r="B182" s="5" t="n">
        <f aca="false">IF($A182="","",IF(ISNUMBER(Base_Bruta!B182),Base_Bruta!B182,IF(MID(Base_Bruta!B182,5,1)="-",DATE(VALUE(LEFT(Base_Bruta!B182,4)),VALUE(MID(Base_Bruta!B182,6,2)),VALUE(RIGHT(Base_Bruta!B182,2))),DATE(VALUE(RIGHT(Base_Bruta!B182,4)),VALUE(MID(Base_Bruta!B182,4,2)),VALUE(LEFT(Base_Bruta!B182,2))))))</f>
        <v>45864</v>
      </c>
      <c r="C182" s="5" t="n">
        <f aca="false">IF($A182="","",IF(ISNUMBER(Base_Bruta!C182),Base_Bruta!C182,IF(MID(Base_Bruta!C182,5,1)="-",DATE(VALUE(LEFT(Base_Bruta!C182,4)),VALUE(MID(Base_Bruta!C182,6,2)),VALUE(RIGHT(Base_Bruta!C182,2))),DATE(VALUE(RIGHT(Base_Bruta!C182,4)),VALUE(MID(Base_Bruta!C182,4,2)),VALUE(LEFT(Base_Bruta!C182,2))))))</f>
        <v>45976</v>
      </c>
      <c r="D182" s="4" t="str">
        <f aca="false">IF($A182="","",TRIM(Base_Bruta!D182))</f>
        <v>Festival Sonora SP 2025</v>
      </c>
      <c r="E182" s="4" t="str">
        <f aca="false">IF($A182="","",_xlfn.XLOOKUP(LOWER(TRIM(Base_Bruta!E182)),DePara_Categoria!$A$2:$A$9,DePara_Categoria!$B$2:$B$9,"REVISAR"))</f>
        <v>Festival</v>
      </c>
      <c r="F182" s="4" t="str">
        <f aca="false">IF($A182="","",_xlfn.XLOOKUP(LOWER(TRIM(Base_Bruta!F182)),DePara_Cidade!$A$2:$A$29,DePara_Cidade!$B$2:$B$29,"REVISAR"))</f>
        <v>São Paulo</v>
      </c>
      <c r="G182" s="4" t="str">
        <f aca="false">IF($A182="","",TRIM(Base_Bruta!G182))</f>
        <v>Meia</v>
      </c>
      <c r="H182" s="4" t="n">
        <f aca="false">IF($A182="","",IF(ISNUMBER(Base_Bruta!H182),Base_Bruta!H182,IFERROR(_xlfn.NUMBERVALUE(TRIM(SUBSTITUTE(Base_Bruta!H182,"R$","")),",","."),0)))</f>
        <v>4</v>
      </c>
      <c r="I182" s="6" t="n">
        <f aca="false">IF($A182="","",IF(ISNUMBER(Base_Bruta!I182),Base_Bruta!I182,IFERROR(_xlfn.NUMBERVALUE(TRIM(SUBSTITUTE(Base_Bruta!I182,"R$","")),",","."),0)))</f>
        <v>542.5</v>
      </c>
      <c r="J182" s="6" t="n">
        <f aca="false">IF($A182="","",H182*I182)</f>
        <v>2170</v>
      </c>
      <c r="K182" s="4" t="str">
        <f aca="false">IF($A182="","",TRIM(Base_Bruta!J182))</f>
        <v>Site</v>
      </c>
      <c r="L182" s="4" t="str">
        <f aca="false">IF($A182="","",TRIM(Base_Bruta!K182))</f>
        <v>C01630</v>
      </c>
      <c r="M182" s="4" t="str">
        <f aca="false">IF($A182="","",_xlfn.XLOOKUP(LOWER(TRIM(Base_Bruta!L182)),DePara_Cidade!$A$2:$A$29,DePara_Cidade!$B$2:$B$29,"REVISAR"))</f>
        <v>São Paulo</v>
      </c>
      <c r="N182" s="4" t="str">
        <f aca="false">IF($A182="","",UPPER(TRIM(Base_Bruta!M182)))</f>
        <v>SP</v>
      </c>
      <c r="O182" s="4" t="str">
        <f aca="false">IF($A182="","",_xlfn.XLOOKUP(LOWER(TRIM(Base_Bruta!N182)),DePara_Pais!$A$2:$A$9,DePara_Pais!$B$2:$B$9,"REVISAR"))</f>
        <v>Brasil</v>
      </c>
      <c r="P182" s="4" t="str">
        <f aca="false">IF($A182="","",IF(O182&lt;&gt;"Brasil","Turista Internacional",IF(M182=F182,"Local","Turista Nacional")))</f>
        <v>Local</v>
      </c>
      <c r="Q182" s="7" t="n">
        <f aca="false">IF($A182="","",DATE(YEAR(B182),MONTH(B182),1))</f>
        <v>45839</v>
      </c>
      <c r="R182" s="4" t="str">
        <f aca="false">IF($A182="","",IF(COUNTIF($A$2:$A182,$A182)&gt;1,"Sim","Não"))</f>
        <v>Não</v>
      </c>
      <c r="S182" s="4" t="str">
        <f aca="false">IF(A182="","Descartar - Linha vazia",IF(R182="Sim","Descartar - Duplicado",IF(OR(H182&lt;=0,I182&lt;=0),"Descartar - Qtd/Valor inválido","OK")))</f>
        <v>OK</v>
      </c>
      <c r="T182" s="4" t="str">
        <f aca="false">Base_Bruta!P182</f>
        <v>vendas_SP.xlsx</v>
      </c>
    </row>
    <row r="183" customFormat="false" ht="15" hidden="false" customHeight="false" outlineLevel="0" collapsed="false">
      <c r="A183" s="4" t="str">
        <f aca="false">IF(Base_Bruta!A183="","",Base_Bruta!A183)</f>
        <v>SP-000118</v>
      </c>
      <c r="B183" s="5" t="n">
        <f aca="false">IF($A183="","",IF(ISNUMBER(Base_Bruta!B183),Base_Bruta!B183,IF(MID(Base_Bruta!B183,5,1)="-",DATE(VALUE(LEFT(Base_Bruta!B183,4)),VALUE(MID(Base_Bruta!B183,6,2)),VALUE(RIGHT(Base_Bruta!B183,2))),DATE(VALUE(RIGHT(Base_Bruta!B183,4)),VALUE(MID(Base_Bruta!B183,4,2)),VALUE(LEFT(Base_Bruta!B183,2))))))</f>
        <v>45864</v>
      </c>
      <c r="C183" s="5" t="n">
        <f aca="false">IF($A183="","",IF(ISNUMBER(Base_Bruta!C183),Base_Bruta!C183,IF(MID(Base_Bruta!C183,5,1)="-",DATE(VALUE(LEFT(Base_Bruta!C183,4)),VALUE(MID(Base_Bruta!C183,6,2)),VALUE(RIGHT(Base_Bruta!C183,2))),DATE(VALUE(RIGHT(Base_Bruta!C183,4)),VALUE(MID(Base_Bruta!C183,4,2)),VALUE(LEFT(Base_Bruta!C183,2))))))</f>
        <v>45976</v>
      </c>
      <c r="D183" s="4" t="str">
        <f aca="false">IF($A183="","",TRIM(Base_Bruta!D183))</f>
        <v>Festival Sonora SP 2025</v>
      </c>
      <c r="E183" s="4" t="str">
        <f aca="false">IF($A183="","",_xlfn.XLOOKUP(LOWER(TRIM(Base_Bruta!E183)),DePara_Categoria!$A$2:$A$9,DePara_Categoria!$B$2:$B$9,"REVISAR"))</f>
        <v>Festival</v>
      </c>
      <c r="F183" s="4" t="str">
        <f aca="false">IF($A183="","",_xlfn.XLOOKUP(LOWER(TRIM(Base_Bruta!F183)),DePara_Cidade!$A$2:$A$29,DePara_Cidade!$B$2:$B$29,"REVISAR"))</f>
        <v>São Paulo</v>
      </c>
      <c r="G183" s="4" t="str">
        <f aca="false">IF($A183="","",TRIM(Base_Bruta!G183))</f>
        <v>Meia</v>
      </c>
      <c r="H183" s="4" t="n">
        <f aca="false">IF($A183="","",IF(ISNUMBER(Base_Bruta!H183),Base_Bruta!H183,IFERROR(_xlfn.NUMBERVALUE(TRIM(SUBSTITUTE(Base_Bruta!H183,"R$","")),",","."),0)))</f>
        <v>3</v>
      </c>
      <c r="I183" s="6" t="n">
        <f aca="false">IF($A183="","",IF(ISNUMBER(Base_Bruta!I183),Base_Bruta!I183,IFERROR(_xlfn.NUMBERVALUE(TRIM(SUBSTITUTE(Base_Bruta!I183,"R$","")),",","."),0)))</f>
        <v>545</v>
      </c>
      <c r="J183" s="6" t="n">
        <f aca="false">IF($A183="","",H183*I183)</f>
        <v>1635</v>
      </c>
      <c r="K183" s="4" t="str">
        <f aca="false">IF($A183="","",TRIM(Base_Bruta!J183))</f>
        <v>App</v>
      </c>
      <c r="L183" s="4" t="str">
        <f aca="false">IF($A183="","",TRIM(Base_Bruta!K183))</f>
        <v>C02157</v>
      </c>
      <c r="M183" s="4" t="str">
        <f aca="false">IF($A183="","",_xlfn.XLOOKUP(LOWER(TRIM(Base_Bruta!L183)),DePara_Cidade!$A$2:$A$29,DePara_Cidade!$B$2:$B$29,"REVISAR"))</f>
        <v>Buenos Aires</v>
      </c>
      <c r="N183" s="4" t="str">
        <f aca="false">IF($A183="","",UPPER(TRIM(Base_Bruta!M183)))</f>
        <v>EX</v>
      </c>
      <c r="O183" s="4" t="str">
        <f aca="false">IF($A183="","",_xlfn.XLOOKUP(LOWER(TRIM(Base_Bruta!N183)),DePara_Pais!$A$2:$A$9,DePara_Pais!$B$2:$B$9,"REVISAR"))</f>
        <v>Argentina</v>
      </c>
      <c r="P183" s="4" t="str">
        <f aca="false">IF($A183="","",IF(O183&lt;&gt;"Brasil","Turista Internacional",IF(M183=F183,"Local","Turista Nacional")))</f>
        <v>Turista Internacional</v>
      </c>
      <c r="Q183" s="7" t="n">
        <f aca="false">IF($A183="","",DATE(YEAR(B183),MONTH(B183),1))</f>
        <v>45839</v>
      </c>
      <c r="R183" s="4" t="str">
        <f aca="false">IF($A183="","",IF(COUNTIF($A$2:$A183,$A183)&gt;1,"Sim","Não"))</f>
        <v>Não</v>
      </c>
      <c r="S183" s="4" t="str">
        <f aca="false">IF(A183="","Descartar - Linha vazia",IF(R183="Sim","Descartar - Duplicado",IF(OR(H183&lt;=0,I183&lt;=0),"Descartar - Qtd/Valor inválido","OK")))</f>
        <v>OK</v>
      </c>
      <c r="T183" s="4" t="str">
        <f aca="false">Base_Bruta!P183</f>
        <v>vendas_SP.xlsx</v>
      </c>
    </row>
    <row r="184" customFormat="false" ht="15" hidden="false" customHeight="false" outlineLevel="0" collapsed="false">
      <c r="A184" s="4" t="str">
        <f aca="false">IF(Base_Bruta!A184="","",Base_Bruta!A184)</f>
        <v>SP-000137</v>
      </c>
      <c r="B184" s="5" t="n">
        <f aca="false">IF($A184="","",IF(ISNUMBER(Base_Bruta!B184),Base_Bruta!B184,IF(MID(Base_Bruta!B184,5,1)="-",DATE(VALUE(LEFT(Base_Bruta!B184,4)),VALUE(MID(Base_Bruta!B184,6,2)),VALUE(RIGHT(Base_Bruta!B184,2))),DATE(VALUE(RIGHT(Base_Bruta!B184,4)),VALUE(MID(Base_Bruta!B184,4,2)),VALUE(LEFT(Base_Bruta!B184,2))))))</f>
        <v>45864</v>
      </c>
      <c r="C184" s="5" t="n">
        <f aca="false">IF($A184="","",IF(ISNUMBER(Base_Bruta!C184),Base_Bruta!C184,IF(MID(Base_Bruta!C184,5,1)="-",DATE(VALUE(LEFT(Base_Bruta!C184,4)),VALUE(MID(Base_Bruta!C184,6,2)),VALUE(RIGHT(Base_Bruta!C184,2))),DATE(VALUE(RIGHT(Base_Bruta!C184,4)),VALUE(MID(Base_Bruta!C184,4,2)),VALUE(LEFT(Base_Bruta!C184,2))))))</f>
        <v>45976</v>
      </c>
      <c r="D184" s="4" t="str">
        <f aca="false">IF($A184="","",TRIM(Base_Bruta!D184))</f>
        <v>Festival Sonora SP 2025</v>
      </c>
      <c r="E184" s="4" t="str">
        <f aca="false">IF($A184="","",_xlfn.XLOOKUP(LOWER(TRIM(Base_Bruta!E184)),DePara_Categoria!$A$2:$A$9,DePara_Categoria!$B$2:$B$9,"REVISAR"))</f>
        <v>Festival</v>
      </c>
      <c r="F184" s="4" t="str">
        <f aca="false">IF($A184="","",_xlfn.XLOOKUP(LOWER(TRIM(Base_Bruta!F184)),DePara_Cidade!$A$2:$A$29,DePara_Cidade!$B$2:$B$29,"REVISAR"))</f>
        <v>São Paulo</v>
      </c>
      <c r="G184" s="4" t="str">
        <f aca="false">IF($A184="","",TRIM(Base_Bruta!G184))</f>
        <v>Inteira</v>
      </c>
      <c r="H184" s="4" t="n">
        <f aca="false">IF($A184="","",IF(ISNUMBER(Base_Bruta!H184),Base_Bruta!H184,IFERROR(_xlfn.NUMBERVALUE(TRIM(SUBSTITUTE(Base_Bruta!H184,"R$","")),",","."),0)))</f>
        <v>2</v>
      </c>
      <c r="I184" s="6" t="n">
        <f aca="false">IF($A184="","",IF(ISNUMBER(Base_Bruta!I184),Base_Bruta!I184,IFERROR(_xlfn.NUMBERVALUE(TRIM(SUBSTITUTE(Base_Bruta!I184,"R$","")),",","."),0)))</f>
        <v>650</v>
      </c>
      <c r="J184" s="6" t="n">
        <f aca="false">IF($A184="","",H184*I184)</f>
        <v>1300</v>
      </c>
      <c r="K184" s="4" t="str">
        <f aca="false">IF($A184="","",TRIM(Base_Bruta!J184))</f>
        <v>Parceiro</v>
      </c>
      <c r="L184" s="4" t="str">
        <f aca="false">IF($A184="","",TRIM(Base_Bruta!K184))</f>
        <v>C00790</v>
      </c>
      <c r="M184" s="4" t="str">
        <f aca="false">IF($A184="","",_xlfn.XLOOKUP(LOWER(TRIM(Base_Bruta!L184)),DePara_Cidade!$A$2:$A$29,DePara_Cidade!$B$2:$B$29,"REVISAR"))</f>
        <v>São Paulo</v>
      </c>
      <c r="N184" s="4" t="str">
        <f aca="false">IF($A184="","",UPPER(TRIM(Base_Bruta!M184)))</f>
        <v>SP</v>
      </c>
      <c r="O184" s="4" t="str">
        <f aca="false">IF($A184="","",_xlfn.XLOOKUP(LOWER(TRIM(Base_Bruta!N184)),DePara_Pais!$A$2:$A$9,DePara_Pais!$B$2:$B$9,"REVISAR"))</f>
        <v>Brasil</v>
      </c>
      <c r="P184" s="4" t="str">
        <f aca="false">IF($A184="","",IF(O184&lt;&gt;"Brasil","Turista Internacional",IF(M184=F184,"Local","Turista Nacional")))</f>
        <v>Local</v>
      </c>
      <c r="Q184" s="7" t="n">
        <f aca="false">IF($A184="","",DATE(YEAR(B184),MONTH(B184),1))</f>
        <v>45839</v>
      </c>
      <c r="R184" s="4" t="str">
        <f aca="false">IF($A184="","",IF(COUNTIF($A$2:$A184,$A184)&gt;1,"Sim","Não"))</f>
        <v>Não</v>
      </c>
      <c r="S184" s="4" t="str">
        <f aca="false">IF(A184="","Descartar - Linha vazia",IF(R184="Sim","Descartar - Duplicado",IF(OR(H184&lt;=0,I184&lt;=0),"Descartar - Qtd/Valor inválido","OK")))</f>
        <v>OK</v>
      </c>
      <c r="T184" s="4" t="str">
        <f aca="false">Base_Bruta!P184</f>
        <v>vendas_SP.xlsx</v>
      </c>
    </row>
    <row r="185" customFormat="false" ht="15" hidden="false" customHeight="false" outlineLevel="0" collapsed="false">
      <c r="A185" s="4" t="str">
        <f aca="false">IF(Base_Bruta!A185="","",Base_Bruta!A185)</f>
        <v>SP-000155</v>
      </c>
      <c r="B185" s="5" t="n">
        <f aca="false">IF($A185="","",IF(ISNUMBER(Base_Bruta!B185),Base_Bruta!B185,IF(MID(Base_Bruta!B185,5,1)="-",DATE(VALUE(LEFT(Base_Bruta!B185,4)),VALUE(MID(Base_Bruta!B185,6,2)),VALUE(RIGHT(Base_Bruta!B185,2))),DATE(VALUE(RIGHT(Base_Bruta!B185,4)),VALUE(MID(Base_Bruta!B185,4,2)),VALUE(LEFT(Base_Bruta!B185,2))))))</f>
        <v>45864</v>
      </c>
      <c r="C185" s="5" t="n">
        <f aca="false">IF($A185="","",IF(ISNUMBER(Base_Bruta!C185),Base_Bruta!C185,IF(MID(Base_Bruta!C185,5,1)="-",DATE(VALUE(LEFT(Base_Bruta!C185,4)),VALUE(MID(Base_Bruta!C185,6,2)),VALUE(RIGHT(Base_Bruta!C185,2))),DATE(VALUE(RIGHT(Base_Bruta!C185,4)),VALUE(MID(Base_Bruta!C185,4,2)),VALUE(LEFT(Base_Bruta!C185,2))))))</f>
        <v>45976</v>
      </c>
      <c r="D185" s="4" t="str">
        <f aca="false">IF($A185="","",TRIM(Base_Bruta!D185))</f>
        <v>Festival Sonora SP 2025</v>
      </c>
      <c r="E185" s="4" t="str">
        <f aca="false">IF($A185="","",_xlfn.XLOOKUP(LOWER(TRIM(Base_Bruta!E185)),DePara_Categoria!$A$2:$A$9,DePara_Categoria!$B$2:$B$9,"REVISAR"))</f>
        <v>Festival</v>
      </c>
      <c r="F185" s="4" t="str">
        <f aca="false">IF($A185="","",_xlfn.XLOOKUP(LOWER(TRIM(Base_Bruta!F185)),DePara_Cidade!$A$2:$A$29,DePara_Cidade!$B$2:$B$29,"REVISAR"))</f>
        <v>São Paulo</v>
      </c>
      <c r="G185" s="4" t="str">
        <f aca="false">IF($A185="","",TRIM(Base_Bruta!G185))</f>
        <v>Inteira</v>
      </c>
      <c r="H185" s="4" t="n">
        <f aca="false">IF($A185="","",IF(ISNUMBER(Base_Bruta!H185),Base_Bruta!H185,IFERROR(_xlfn.NUMBERVALUE(TRIM(SUBSTITUTE(Base_Bruta!H185,"R$","")),",","."),0)))</f>
        <v>1</v>
      </c>
      <c r="I185" s="6" t="n">
        <f aca="false">IF($A185="","",IF(ISNUMBER(Base_Bruta!I185),Base_Bruta!I185,IFERROR(_xlfn.NUMBERVALUE(TRIM(SUBSTITUTE(Base_Bruta!I185,"R$","")),",","."),0)))</f>
        <v>925</v>
      </c>
      <c r="J185" s="6" t="n">
        <f aca="false">IF($A185="","",H185*I185)</f>
        <v>925</v>
      </c>
      <c r="K185" s="4" t="str">
        <f aca="false">IF($A185="","",TRIM(Base_Bruta!J185))</f>
        <v>Site</v>
      </c>
      <c r="L185" s="4" t="str">
        <f aca="false">IF($A185="","",TRIM(Base_Bruta!K185))</f>
        <v>C00837</v>
      </c>
      <c r="M185" s="4" t="str">
        <f aca="false">IF($A185="","",_xlfn.XLOOKUP(LOWER(TRIM(Base_Bruta!L185)),DePara_Cidade!$A$2:$A$29,DePara_Cidade!$B$2:$B$29,"REVISAR"))</f>
        <v>São Paulo</v>
      </c>
      <c r="N185" s="4" t="str">
        <f aca="false">IF($A185="","",UPPER(TRIM(Base_Bruta!M185)))</f>
        <v>SP</v>
      </c>
      <c r="O185" s="4" t="str">
        <f aca="false">IF($A185="","",_xlfn.XLOOKUP(LOWER(TRIM(Base_Bruta!N185)),DePara_Pais!$A$2:$A$9,DePara_Pais!$B$2:$B$9,"REVISAR"))</f>
        <v>Brasil</v>
      </c>
      <c r="P185" s="4" t="str">
        <f aca="false">IF($A185="","",IF(O185&lt;&gt;"Brasil","Turista Internacional",IF(M185=F185,"Local","Turista Nacional")))</f>
        <v>Local</v>
      </c>
      <c r="Q185" s="7" t="n">
        <f aca="false">IF($A185="","",DATE(YEAR(B185),MONTH(B185),1))</f>
        <v>45839</v>
      </c>
      <c r="R185" s="4" t="str">
        <f aca="false">IF($A185="","",IF(COUNTIF($A$2:$A185,$A185)&gt;1,"Sim","Não"))</f>
        <v>Não</v>
      </c>
      <c r="S185" s="4" t="str">
        <f aca="false">IF(A185="","Descartar - Linha vazia",IF(R185="Sim","Descartar - Duplicado",IF(OR(H185&lt;=0,I185&lt;=0),"Descartar - Qtd/Valor inválido","OK")))</f>
        <v>OK</v>
      </c>
      <c r="T185" s="4" t="str">
        <f aca="false">Base_Bruta!P185</f>
        <v>vendas_SP.xlsx</v>
      </c>
    </row>
    <row r="186" customFormat="false" ht="15" hidden="false" customHeight="false" outlineLevel="0" collapsed="false">
      <c r="A186" s="4" t="str">
        <f aca="false">IF(Base_Bruta!A186="","",Base_Bruta!A186)</f>
        <v>SP-000157</v>
      </c>
      <c r="B186" s="5" t="n">
        <f aca="false">IF($A186="","",IF(ISNUMBER(Base_Bruta!B186),Base_Bruta!B186,IF(MID(Base_Bruta!B186,5,1)="-",DATE(VALUE(LEFT(Base_Bruta!B186,4)),VALUE(MID(Base_Bruta!B186,6,2)),VALUE(RIGHT(Base_Bruta!B186,2))),DATE(VALUE(RIGHT(Base_Bruta!B186,4)),VALUE(MID(Base_Bruta!B186,4,2)),VALUE(LEFT(Base_Bruta!B186,2))))))</f>
        <v>45864</v>
      </c>
      <c r="C186" s="5" t="n">
        <f aca="false">IF($A186="","",IF(ISNUMBER(Base_Bruta!C186),Base_Bruta!C186,IF(MID(Base_Bruta!C186,5,1)="-",DATE(VALUE(LEFT(Base_Bruta!C186,4)),VALUE(MID(Base_Bruta!C186,6,2)),VALUE(RIGHT(Base_Bruta!C186,2))),DATE(VALUE(RIGHT(Base_Bruta!C186,4)),VALUE(MID(Base_Bruta!C186,4,2)),VALUE(LEFT(Base_Bruta!C186,2))))))</f>
        <v>45976</v>
      </c>
      <c r="D186" s="4" t="str">
        <f aca="false">IF($A186="","",TRIM(Base_Bruta!D186))</f>
        <v>Festival Sonora SP 2025</v>
      </c>
      <c r="E186" s="4" t="str">
        <f aca="false">IF($A186="","",_xlfn.XLOOKUP(LOWER(TRIM(Base_Bruta!E186)),DePara_Categoria!$A$2:$A$9,DePara_Categoria!$B$2:$B$9,"REVISAR"))</f>
        <v>Festival</v>
      </c>
      <c r="F186" s="4" t="str">
        <f aca="false">IF($A186="","",_xlfn.XLOOKUP(LOWER(TRIM(Base_Bruta!F186)),DePara_Cidade!$A$2:$A$29,DePara_Cidade!$B$2:$B$29,"REVISAR"))</f>
        <v>São Paulo</v>
      </c>
      <c r="G186" s="4" t="str">
        <f aca="false">IF($A186="","",TRIM(Base_Bruta!G186))</f>
        <v>Meia</v>
      </c>
      <c r="H186" s="4" t="n">
        <f aca="false">IF($A186="","",IF(ISNUMBER(Base_Bruta!H186),Base_Bruta!H186,IFERROR(_xlfn.NUMBERVALUE(TRIM(SUBSTITUTE(Base_Bruta!H186,"R$","")),",","."),0)))</f>
        <v>1</v>
      </c>
      <c r="I186" s="6" t="n">
        <f aca="false">IF($A186="","",IF(ISNUMBER(Base_Bruta!I186),Base_Bruta!I186,IFERROR(_xlfn.NUMBERVALUE(TRIM(SUBSTITUTE(Base_Bruta!I186,"R$","")),",","."),0)))</f>
        <v>415</v>
      </c>
      <c r="J186" s="6" t="n">
        <f aca="false">IF($A186="","",H186*I186)</f>
        <v>415</v>
      </c>
      <c r="K186" s="4" t="str">
        <f aca="false">IF($A186="","",TRIM(Base_Bruta!J186))</f>
        <v>App</v>
      </c>
      <c r="L186" s="4" t="str">
        <f aca="false">IF($A186="","",TRIM(Base_Bruta!K186))</f>
        <v>C02033</v>
      </c>
      <c r="M186" s="4" t="str">
        <f aca="false">IF($A186="","",_xlfn.XLOOKUP(LOWER(TRIM(Base_Bruta!L186)),DePara_Cidade!$A$2:$A$29,DePara_Cidade!$B$2:$B$29,"REVISAR"))</f>
        <v>Santiago</v>
      </c>
      <c r="N186" s="4" t="str">
        <f aca="false">IF($A186="","",UPPER(TRIM(Base_Bruta!M186)))</f>
        <v>EX</v>
      </c>
      <c r="O186" s="4" t="str">
        <f aca="false">IF($A186="","",_xlfn.XLOOKUP(LOWER(TRIM(Base_Bruta!N186)),DePara_Pais!$A$2:$A$9,DePara_Pais!$B$2:$B$9,"REVISAR"))</f>
        <v>Chile</v>
      </c>
      <c r="P186" s="4" t="str">
        <f aca="false">IF($A186="","",IF(O186&lt;&gt;"Brasil","Turista Internacional",IF(M186=F186,"Local","Turista Nacional")))</f>
        <v>Turista Internacional</v>
      </c>
      <c r="Q186" s="7" t="n">
        <f aca="false">IF($A186="","",DATE(YEAR(B186),MONTH(B186),1))</f>
        <v>45839</v>
      </c>
      <c r="R186" s="4" t="str">
        <f aca="false">IF($A186="","",IF(COUNTIF($A$2:$A186,$A186)&gt;1,"Sim","Não"))</f>
        <v>Não</v>
      </c>
      <c r="S186" s="4" t="str">
        <f aca="false">IF(A186="","Descartar - Linha vazia",IF(R186="Sim","Descartar - Duplicado",IF(OR(H186&lt;=0,I186&lt;=0),"Descartar - Qtd/Valor inválido","OK")))</f>
        <v>OK</v>
      </c>
      <c r="T186" s="4" t="str">
        <f aca="false">Base_Bruta!P186</f>
        <v>vendas_SP.xlsx</v>
      </c>
    </row>
    <row r="187" customFormat="false" ht="15" hidden="false" customHeight="false" outlineLevel="0" collapsed="false">
      <c r="A187" s="4" t="str">
        <f aca="false">IF(Base_Bruta!A187="","",Base_Bruta!A187)</f>
        <v>SP-000164</v>
      </c>
      <c r="B187" s="5" t="n">
        <f aca="false">IF($A187="","",IF(ISNUMBER(Base_Bruta!B187),Base_Bruta!B187,IF(MID(Base_Bruta!B187,5,1)="-",DATE(VALUE(LEFT(Base_Bruta!B187,4)),VALUE(MID(Base_Bruta!B187,6,2)),VALUE(RIGHT(Base_Bruta!B187,2))),DATE(VALUE(RIGHT(Base_Bruta!B187,4)),VALUE(MID(Base_Bruta!B187,4,2)),VALUE(LEFT(Base_Bruta!B187,2))))))</f>
        <v>45864</v>
      </c>
      <c r="C187" s="5" t="n">
        <f aca="false">IF($A187="","",IF(ISNUMBER(Base_Bruta!C187),Base_Bruta!C187,IF(MID(Base_Bruta!C187,5,1)="-",DATE(VALUE(LEFT(Base_Bruta!C187,4)),VALUE(MID(Base_Bruta!C187,6,2)),VALUE(RIGHT(Base_Bruta!C187,2))),DATE(VALUE(RIGHT(Base_Bruta!C187,4)),VALUE(MID(Base_Bruta!C187,4,2)),VALUE(LEFT(Base_Bruta!C187,2))))))</f>
        <v>45976</v>
      </c>
      <c r="D187" s="4" t="str">
        <f aca="false">IF($A187="","",TRIM(Base_Bruta!D187))</f>
        <v>Festival Sonora SP 2025</v>
      </c>
      <c r="E187" s="4" t="str">
        <f aca="false">IF($A187="","",_xlfn.XLOOKUP(LOWER(TRIM(Base_Bruta!E187)),DePara_Categoria!$A$2:$A$9,DePara_Categoria!$B$2:$B$9,"REVISAR"))</f>
        <v>Festival</v>
      </c>
      <c r="F187" s="4" t="str">
        <f aca="false">IF($A187="","",_xlfn.XLOOKUP(LOWER(TRIM(Base_Bruta!F187)),DePara_Cidade!$A$2:$A$29,DePara_Cidade!$B$2:$B$29,"REVISAR"))</f>
        <v>São Paulo</v>
      </c>
      <c r="G187" s="4" t="str">
        <f aca="false">IF($A187="","",TRIM(Base_Bruta!G187))</f>
        <v>Meia</v>
      </c>
      <c r="H187" s="4" t="n">
        <f aca="false">IF($A187="","",IF(ISNUMBER(Base_Bruta!H187),Base_Bruta!H187,IFERROR(_xlfn.NUMBERVALUE(TRIM(SUBSTITUTE(Base_Bruta!H187,"R$","")),",","."),0)))</f>
        <v>2</v>
      </c>
      <c r="I187" s="6" t="n">
        <f aca="false">IF($A187="","",IF(ISNUMBER(Base_Bruta!I187),Base_Bruta!I187,IFERROR(_xlfn.NUMBERVALUE(TRIM(SUBSTITUTE(Base_Bruta!I187,"R$","")),",","."),0)))</f>
        <v>430</v>
      </c>
      <c r="J187" s="6" t="n">
        <f aca="false">IF($A187="","",H187*I187)</f>
        <v>860</v>
      </c>
      <c r="K187" s="4" t="str">
        <f aca="false">IF($A187="","",TRIM(Base_Bruta!J187))</f>
        <v>Bilheteria</v>
      </c>
      <c r="L187" s="4" t="str">
        <f aca="false">IF($A187="","",TRIM(Base_Bruta!K187))</f>
        <v>C02204</v>
      </c>
      <c r="M187" s="4" t="str">
        <f aca="false">IF($A187="","",_xlfn.XLOOKUP(LOWER(TRIM(Base_Bruta!L187)),DePara_Cidade!$A$2:$A$29,DePara_Cidade!$B$2:$B$29,"REVISAR"))</f>
        <v>São Paulo</v>
      </c>
      <c r="N187" s="4" t="str">
        <f aca="false">IF($A187="","",UPPER(TRIM(Base_Bruta!M187)))</f>
        <v>SP</v>
      </c>
      <c r="O187" s="4" t="str">
        <f aca="false">IF($A187="","",_xlfn.XLOOKUP(LOWER(TRIM(Base_Bruta!N187)),DePara_Pais!$A$2:$A$9,DePara_Pais!$B$2:$B$9,"REVISAR"))</f>
        <v>Brasil</v>
      </c>
      <c r="P187" s="4" t="str">
        <f aca="false">IF($A187="","",IF(O187&lt;&gt;"Brasil","Turista Internacional",IF(M187=F187,"Local","Turista Nacional")))</f>
        <v>Local</v>
      </c>
      <c r="Q187" s="7" t="n">
        <f aca="false">IF($A187="","",DATE(YEAR(B187),MONTH(B187),1))</f>
        <v>45839</v>
      </c>
      <c r="R187" s="4" t="str">
        <f aca="false">IF($A187="","",IF(COUNTIF($A$2:$A187,$A187)&gt;1,"Sim","Não"))</f>
        <v>Não</v>
      </c>
      <c r="S187" s="4" t="str">
        <f aca="false">IF(A187="","Descartar - Linha vazia",IF(R187="Sim","Descartar - Duplicado",IF(OR(H187&lt;=0,I187&lt;=0),"Descartar - Qtd/Valor inválido","OK")))</f>
        <v>OK</v>
      </c>
      <c r="T187" s="4" t="str">
        <f aca="false">Base_Bruta!P187</f>
        <v>vendas_SP.xlsx</v>
      </c>
    </row>
    <row r="188" customFormat="false" ht="15" hidden="false" customHeight="false" outlineLevel="0" collapsed="false">
      <c r="A188" s="4" t="str">
        <f aca="false">IF(Base_Bruta!A188="","",Base_Bruta!A188)</f>
        <v>SP-000210</v>
      </c>
      <c r="B188" s="5" t="n">
        <f aca="false">IF($A188="","",IF(ISNUMBER(Base_Bruta!B188),Base_Bruta!B188,IF(MID(Base_Bruta!B188,5,1)="-",DATE(VALUE(LEFT(Base_Bruta!B188,4)),VALUE(MID(Base_Bruta!B188,6,2)),VALUE(RIGHT(Base_Bruta!B188,2))),DATE(VALUE(RIGHT(Base_Bruta!B188,4)),VALUE(MID(Base_Bruta!B188,4,2)),VALUE(LEFT(Base_Bruta!B188,2))))))</f>
        <v>45864</v>
      </c>
      <c r="C188" s="5" t="n">
        <f aca="false">IF($A188="","",IF(ISNUMBER(Base_Bruta!C188),Base_Bruta!C188,IF(MID(Base_Bruta!C188,5,1)="-",DATE(VALUE(LEFT(Base_Bruta!C188,4)),VALUE(MID(Base_Bruta!C188,6,2)),VALUE(RIGHT(Base_Bruta!C188,2))),DATE(VALUE(RIGHT(Base_Bruta!C188,4)),VALUE(MID(Base_Bruta!C188,4,2)),VALUE(LEFT(Base_Bruta!C188,2))))))</f>
        <v>45976</v>
      </c>
      <c r="D188" s="4" t="str">
        <f aca="false">IF($A188="","",TRIM(Base_Bruta!D188))</f>
        <v>Festival Sonora SP 2025</v>
      </c>
      <c r="E188" s="4" t="str">
        <f aca="false">IF($A188="","",_xlfn.XLOOKUP(LOWER(TRIM(Base_Bruta!E188)),DePara_Categoria!$A$2:$A$9,DePara_Categoria!$B$2:$B$9,"REVISAR"))</f>
        <v>Festival</v>
      </c>
      <c r="F188" s="4" t="str">
        <f aca="false">IF($A188="","",_xlfn.XLOOKUP(LOWER(TRIM(Base_Bruta!F188)),DePara_Cidade!$A$2:$A$29,DePara_Cidade!$B$2:$B$29,"REVISAR"))</f>
        <v>São Paulo</v>
      </c>
      <c r="G188" s="4" t="str">
        <f aca="false">IF($A188="","",TRIM(Base_Bruta!G188))</f>
        <v>Meia</v>
      </c>
      <c r="H188" s="4" t="n">
        <f aca="false">IF($A188="","",IF(ISNUMBER(Base_Bruta!H188),Base_Bruta!H188,IFERROR(_xlfn.NUMBERVALUE(TRIM(SUBSTITUTE(Base_Bruta!H188,"R$","")),",","."),0)))</f>
        <v>3</v>
      </c>
      <c r="I188" s="6" t="n">
        <f aca="false">IF($A188="","",IF(ISNUMBER(Base_Bruta!I188),Base_Bruta!I188,IFERROR(_xlfn.NUMBERVALUE(TRIM(SUBSTITUTE(Base_Bruta!I188,"R$","")),",","."),0)))</f>
        <v>552.5</v>
      </c>
      <c r="J188" s="6" t="n">
        <f aca="false">IF($A188="","",H188*I188)</f>
        <v>1657.5</v>
      </c>
      <c r="K188" s="4" t="str">
        <f aca="false">IF($A188="","",TRIM(Base_Bruta!J188))</f>
        <v>App</v>
      </c>
      <c r="L188" s="4" t="str">
        <f aca="false">IF($A188="","",TRIM(Base_Bruta!K188))</f>
        <v>C01596</v>
      </c>
      <c r="M188" s="4" t="str">
        <f aca="false">IF($A188="","",_xlfn.XLOOKUP(LOWER(TRIM(Base_Bruta!L188)),DePara_Cidade!$A$2:$A$29,DePara_Cidade!$B$2:$B$29,"REVISAR"))</f>
        <v>Buenos Aires</v>
      </c>
      <c r="N188" s="4" t="str">
        <f aca="false">IF($A188="","",UPPER(TRIM(Base_Bruta!M188)))</f>
        <v>EX</v>
      </c>
      <c r="O188" s="4" t="str">
        <f aca="false">IF($A188="","",_xlfn.XLOOKUP(LOWER(TRIM(Base_Bruta!N188)),DePara_Pais!$A$2:$A$9,DePara_Pais!$B$2:$B$9,"REVISAR"))</f>
        <v>Argentina</v>
      </c>
      <c r="P188" s="4" t="str">
        <f aca="false">IF($A188="","",IF(O188&lt;&gt;"Brasil","Turista Internacional",IF(M188=F188,"Local","Turista Nacional")))</f>
        <v>Turista Internacional</v>
      </c>
      <c r="Q188" s="7" t="n">
        <f aca="false">IF($A188="","",DATE(YEAR(B188),MONTH(B188),1))</f>
        <v>45839</v>
      </c>
      <c r="R188" s="4" t="str">
        <f aca="false">IF($A188="","",IF(COUNTIF($A$2:$A188,$A188)&gt;1,"Sim","Não"))</f>
        <v>Não</v>
      </c>
      <c r="S188" s="4" t="str">
        <f aca="false">IF(A188="","Descartar - Linha vazia",IF(R188="Sim","Descartar - Duplicado",IF(OR(H188&lt;=0,I188&lt;=0),"Descartar - Qtd/Valor inválido","OK")))</f>
        <v>OK</v>
      </c>
      <c r="T188" s="4" t="str">
        <f aca="false">Base_Bruta!P188</f>
        <v>vendas_SP.xlsx</v>
      </c>
    </row>
    <row r="189" customFormat="false" ht="15" hidden="false" customHeight="false" outlineLevel="0" collapsed="false">
      <c r="A189" s="4" t="str">
        <f aca="false">IF(Base_Bruta!A189="","",Base_Bruta!A189)</f>
        <v>SP-000599</v>
      </c>
      <c r="B189" s="5" t="n">
        <f aca="false">IF($A189="","",IF(ISNUMBER(Base_Bruta!B189),Base_Bruta!B189,IF(MID(Base_Bruta!B189,5,1)="-",DATE(VALUE(LEFT(Base_Bruta!B189,4)),VALUE(MID(Base_Bruta!B189,6,2)),VALUE(RIGHT(Base_Bruta!B189,2))),DATE(VALUE(RIGHT(Base_Bruta!B189,4)),VALUE(MID(Base_Bruta!B189,4,2)),VALUE(LEFT(Base_Bruta!B189,2))))))</f>
        <v>45864</v>
      </c>
      <c r="C189" s="5" t="n">
        <f aca="false">IF($A189="","",IF(ISNUMBER(Base_Bruta!C189),Base_Bruta!C189,IF(MID(Base_Bruta!C189,5,1)="-",DATE(VALUE(LEFT(Base_Bruta!C189,4)),VALUE(MID(Base_Bruta!C189,6,2)),VALUE(RIGHT(Base_Bruta!C189,2))),DATE(VALUE(RIGHT(Base_Bruta!C189,4)),VALUE(MID(Base_Bruta!C189,4,2)),VALUE(LEFT(Base_Bruta!C189,2))))))</f>
        <v>45934</v>
      </c>
      <c r="D189" s="4" t="str">
        <f aca="false">IF($A189="","",TRIM(Base_Bruta!D189))</f>
        <v>Turnê Internacional Pop - SP</v>
      </c>
      <c r="E189" s="4" t="str">
        <f aca="false">IF($A189="","",_xlfn.XLOOKUP(LOWER(TRIM(Base_Bruta!E189)),DePara_Categoria!$A$2:$A$9,DePara_Categoria!$B$2:$B$9,"REVISAR"))</f>
        <v>Show</v>
      </c>
      <c r="F189" s="4" t="str">
        <f aca="false">IF($A189="","",_xlfn.XLOOKUP(LOWER(TRIM(Base_Bruta!F189)),DePara_Cidade!$A$2:$A$29,DePara_Cidade!$B$2:$B$29,"REVISAR"))</f>
        <v>São Paulo</v>
      </c>
      <c r="G189" s="4" t="str">
        <f aca="false">IF($A189="","",TRIM(Base_Bruta!G189))</f>
        <v>Meia</v>
      </c>
      <c r="H189" s="4" t="n">
        <f aca="false">IF($A189="","",IF(ISNUMBER(Base_Bruta!H189),Base_Bruta!H189,IFERROR(_xlfn.NUMBERVALUE(TRIM(SUBSTITUTE(Base_Bruta!H189,"R$","")),",","."),0)))</f>
        <v>4</v>
      </c>
      <c r="I189" s="6" t="n">
        <f aca="false">IF($A189="","",IF(ISNUMBER(Base_Bruta!I189),Base_Bruta!I189,IFERROR(_xlfn.NUMBERVALUE(TRIM(SUBSTITUTE(Base_Bruta!I189,"R$","")),",","."),0)))</f>
        <v>190</v>
      </c>
      <c r="J189" s="6" t="n">
        <f aca="false">IF($A189="","",H189*I189)</f>
        <v>760</v>
      </c>
      <c r="K189" s="4" t="str">
        <f aca="false">IF($A189="","",TRIM(Base_Bruta!J189))</f>
        <v>App</v>
      </c>
      <c r="L189" s="4" t="str">
        <f aca="false">IF($A189="","",TRIM(Base_Bruta!K189))</f>
        <v>C00883</v>
      </c>
      <c r="M189" s="4" t="str">
        <f aca="false">IF($A189="","",_xlfn.XLOOKUP(LOWER(TRIM(Base_Bruta!L189)),DePara_Cidade!$A$2:$A$29,DePara_Cidade!$B$2:$B$29,"REVISAR"))</f>
        <v>São Paulo</v>
      </c>
      <c r="N189" s="4" t="str">
        <f aca="false">IF($A189="","",UPPER(TRIM(Base_Bruta!M189)))</f>
        <v>SP</v>
      </c>
      <c r="O189" s="4" t="str">
        <f aca="false">IF($A189="","",_xlfn.XLOOKUP(LOWER(TRIM(Base_Bruta!N189)),DePara_Pais!$A$2:$A$9,DePara_Pais!$B$2:$B$9,"REVISAR"))</f>
        <v>Brasil</v>
      </c>
      <c r="P189" s="4" t="str">
        <f aca="false">IF($A189="","",IF(O189&lt;&gt;"Brasil","Turista Internacional",IF(M189=F189,"Local","Turista Nacional")))</f>
        <v>Local</v>
      </c>
      <c r="Q189" s="7" t="n">
        <f aca="false">IF($A189="","",DATE(YEAR(B189),MONTH(B189),1))</f>
        <v>45839</v>
      </c>
      <c r="R189" s="4" t="str">
        <f aca="false">IF($A189="","",IF(COUNTIF($A$2:$A189,$A189)&gt;1,"Sim","Não"))</f>
        <v>Não</v>
      </c>
      <c r="S189" s="4" t="str">
        <f aca="false">IF(A189="","Descartar - Linha vazia",IF(R189="Sim","Descartar - Duplicado",IF(OR(H189&lt;=0,I189&lt;=0),"Descartar - Qtd/Valor inválido","OK")))</f>
        <v>OK</v>
      </c>
      <c r="T189" s="4" t="str">
        <f aca="false">Base_Bruta!P189</f>
        <v>vendas_SP.xlsx</v>
      </c>
    </row>
    <row r="190" customFormat="false" ht="15" hidden="false" customHeight="false" outlineLevel="0" collapsed="false">
      <c r="A190" s="4" t="str">
        <f aca="false">IF(Base_Bruta!A190="","",Base_Bruta!A190)</f>
        <v>SP-000048</v>
      </c>
      <c r="B190" s="5" t="n">
        <f aca="false">IF($A190="","",IF(ISNUMBER(Base_Bruta!B190),Base_Bruta!B190,IF(MID(Base_Bruta!B190,5,1)="-",DATE(VALUE(LEFT(Base_Bruta!B190,4)),VALUE(MID(Base_Bruta!B190,6,2)),VALUE(RIGHT(Base_Bruta!B190,2))),DATE(VALUE(RIGHT(Base_Bruta!B190,4)),VALUE(MID(Base_Bruta!B190,4,2)),VALUE(LEFT(Base_Bruta!B190,2))))))</f>
        <v>45865</v>
      </c>
      <c r="C190" s="5" t="n">
        <f aca="false">IF($A190="","",IF(ISNUMBER(Base_Bruta!C190),Base_Bruta!C190,IF(MID(Base_Bruta!C190,5,1)="-",DATE(VALUE(LEFT(Base_Bruta!C190,4)),VALUE(MID(Base_Bruta!C190,6,2)),VALUE(RIGHT(Base_Bruta!C190,2))),DATE(VALUE(RIGHT(Base_Bruta!C190,4)),VALUE(MID(Base_Bruta!C190,4,2)),VALUE(LEFT(Base_Bruta!C190,2))))))</f>
        <v>45976</v>
      </c>
      <c r="D190" s="4" t="str">
        <f aca="false">IF($A190="","",TRIM(Base_Bruta!D190))</f>
        <v>Festival Sonora SP 2025</v>
      </c>
      <c r="E190" s="4" t="str">
        <f aca="false">IF($A190="","",_xlfn.XLOOKUP(LOWER(TRIM(Base_Bruta!E190)),DePara_Categoria!$A$2:$A$9,DePara_Categoria!$B$2:$B$9,"REVISAR"))</f>
        <v>Festival</v>
      </c>
      <c r="F190" s="4" t="str">
        <f aca="false">IF($A190="","",_xlfn.XLOOKUP(LOWER(TRIM(Base_Bruta!F190)),DePara_Cidade!$A$2:$A$29,DePara_Cidade!$B$2:$B$29,"REVISAR"))</f>
        <v>São Paulo</v>
      </c>
      <c r="G190" s="4" t="str">
        <f aca="false">IF($A190="","",TRIM(Base_Bruta!G190))</f>
        <v>Inteira</v>
      </c>
      <c r="H190" s="4" t="n">
        <f aca="false">IF($A190="","",IF(ISNUMBER(Base_Bruta!H190),Base_Bruta!H190,IFERROR(_xlfn.NUMBERVALUE(TRIM(SUBSTITUTE(Base_Bruta!H190,"R$","")),",","."),0)))</f>
        <v>3</v>
      </c>
      <c r="I190" s="6" t="n">
        <f aca="false">IF($A190="","",IF(ISNUMBER(Base_Bruta!I190),Base_Bruta!I190,IFERROR(_xlfn.NUMBERVALUE(TRIM(SUBSTITUTE(Base_Bruta!I190,"R$","")),",","."),0)))</f>
        <v>715</v>
      </c>
      <c r="J190" s="6" t="n">
        <f aca="false">IF($A190="","",H190*I190)</f>
        <v>2145</v>
      </c>
      <c r="K190" s="4" t="str">
        <f aca="false">IF($A190="","",TRIM(Base_Bruta!J190))</f>
        <v>App</v>
      </c>
      <c r="L190" s="4" t="str">
        <f aca="false">IF($A190="","",TRIM(Base_Bruta!K190))</f>
        <v>C01804</v>
      </c>
      <c r="M190" s="4" t="str">
        <f aca="false">IF($A190="","",_xlfn.XLOOKUP(LOWER(TRIM(Base_Bruta!L190)),DePara_Cidade!$A$2:$A$29,DePara_Cidade!$B$2:$B$29,"REVISAR"))</f>
        <v>Florianópolis</v>
      </c>
      <c r="N190" s="4" t="str">
        <f aca="false">IF($A190="","",UPPER(TRIM(Base_Bruta!M190)))</f>
        <v>SC</v>
      </c>
      <c r="O190" s="4" t="str">
        <f aca="false">IF($A190="","",_xlfn.XLOOKUP(LOWER(TRIM(Base_Bruta!N190)),DePara_Pais!$A$2:$A$9,DePara_Pais!$B$2:$B$9,"REVISAR"))</f>
        <v>Brasil</v>
      </c>
      <c r="P190" s="4" t="str">
        <f aca="false">IF($A190="","",IF(O190&lt;&gt;"Brasil","Turista Internacional",IF(M190=F190,"Local","Turista Nacional")))</f>
        <v>Turista Nacional</v>
      </c>
      <c r="Q190" s="7" t="n">
        <f aca="false">IF($A190="","",DATE(YEAR(B190),MONTH(B190),1))</f>
        <v>45839</v>
      </c>
      <c r="R190" s="4" t="str">
        <f aca="false">IF($A190="","",IF(COUNTIF($A$2:$A190,$A190)&gt;1,"Sim","Não"))</f>
        <v>Não</v>
      </c>
      <c r="S190" s="4" t="str">
        <f aca="false">IF(A190="","Descartar - Linha vazia",IF(R190="Sim","Descartar - Duplicado",IF(OR(H190&lt;=0,I190&lt;=0),"Descartar - Qtd/Valor inválido","OK")))</f>
        <v>OK</v>
      </c>
      <c r="T190" s="4" t="str">
        <f aca="false">Base_Bruta!P190</f>
        <v>vendas_SP.xlsx</v>
      </c>
    </row>
    <row r="191" customFormat="false" ht="15" hidden="false" customHeight="false" outlineLevel="0" collapsed="false">
      <c r="A191" s="4" t="str">
        <f aca="false">IF(Base_Bruta!A191="","",Base_Bruta!A191)</f>
        <v>SP-000060</v>
      </c>
      <c r="B191" s="5" t="n">
        <f aca="false">IF($A191="","",IF(ISNUMBER(Base_Bruta!B191),Base_Bruta!B191,IF(MID(Base_Bruta!B191,5,1)="-",DATE(VALUE(LEFT(Base_Bruta!B191,4)),VALUE(MID(Base_Bruta!B191,6,2)),VALUE(RIGHT(Base_Bruta!B191,2))),DATE(VALUE(RIGHT(Base_Bruta!B191,4)),VALUE(MID(Base_Bruta!B191,4,2)),VALUE(LEFT(Base_Bruta!B191,2))))))</f>
        <v>45865</v>
      </c>
      <c r="C191" s="5" t="n">
        <f aca="false">IF($A191="","",IF(ISNUMBER(Base_Bruta!C191),Base_Bruta!C191,IF(MID(Base_Bruta!C191,5,1)="-",DATE(VALUE(LEFT(Base_Bruta!C191,4)),VALUE(MID(Base_Bruta!C191,6,2)),VALUE(RIGHT(Base_Bruta!C191,2))),DATE(VALUE(RIGHT(Base_Bruta!C191,4)),VALUE(MID(Base_Bruta!C191,4,2)),VALUE(LEFT(Base_Bruta!C191,2))))))</f>
        <v>45976</v>
      </c>
      <c r="D191" s="4" t="str">
        <f aca="false">IF($A191="","",TRIM(Base_Bruta!D191))</f>
        <v>Festival Sonora SP 2025</v>
      </c>
      <c r="E191" s="4" t="str">
        <f aca="false">IF($A191="","",_xlfn.XLOOKUP(LOWER(TRIM(Base_Bruta!E191)),DePara_Categoria!$A$2:$A$9,DePara_Categoria!$B$2:$B$9,"REVISAR"))</f>
        <v>Festival</v>
      </c>
      <c r="F191" s="4" t="str">
        <f aca="false">IF($A191="","",_xlfn.XLOOKUP(LOWER(TRIM(Base_Bruta!F191)),DePara_Cidade!$A$2:$A$29,DePara_Cidade!$B$2:$B$29,"REVISAR"))</f>
        <v>São Paulo</v>
      </c>
      <c r="G191" s="4" t="str">
        <f aca="false">IF($A191="","",TRIM(Base_Bruta!G191))</f>
        <v>Inteira</v>
      </c>
      <c r="H191" s="4" t="n">
        <f aca="false">IF($A191="","",IF(ISNUMBER(Base_Bruta!H191),Base_Bruta!H191,IFERROR(_xlfn.NUMBERVALUE(TRIM(SUBSTITUTE(Base_Bruta!H191,"R$","")),",","."),0)))</f>
        <v>0</v>
      </c>
      <c r="I191" s="6" t="n">
        <f aca="false">IF($A191="","",IF(ISNUMBER(Base_Bruta!I191),Base_Bruta!I191,IFERROR(_xlfn.NUMBERVALUE(TRIM(SUBSTITUTE(Base_Bruta!I191,"R$","")),",","."),0)))</f>
        <v>955</v>
      </c>
      <c r="J191" s="6" t="n">
        <f aca="false">IF($A191="","",H191*I191)</f>
        <v>0</v>
      </c>
      <c r="K191" s="4" t="str">
        <f aca="false">IF($A191="","",TRIM(Base_Bruta!J191))</f>
        <v>App</v>
      </c>
      <c r="L191" s="4" t="str">
        <f aca="false">IF($A191="","",TRIM(Base_Bruta!K191))</f>
        <v>C00256</v>
      </c>
      <c r="M191" s="4" t="str">
        <f aca="false">IF($A191="","",_xlfn.XLOOKUP(LOWER(TRIM(Base_Bruta!L191)),DePara_Cidade!$A$2:$A$29,DePara_Cidade!$B$2:$B$29,"REVISAR"))</f>
        <v>Santos</v>
      </c>
      <c r="N191" s="4" t="str">
        <f aca="false">IF($A191="","",UPPER(TRIM(Base_Bruta!M191)))</f>
        <v>SP</v>
      </c>
      <c r="O191" s="4" t="str">
        <f aca="false">IF($A191="","",_xlfn.XLOOKUP(LOWER(TRIM(Base_Bruta!N191)),DePara_Pais!$A$2:$A$9,DePara_Pais!$B$2:$B$9,"REVISAR"))</f>
        <v>Brasil</v>
      </c>
      <c r="P191" s="4" t="str">
        <f aca="false">IF($A191="","",IF(O191&lt;&gt;"Brasil","Turista Internacional",IF(M191=F191,"Local","Turista Nacional")))</f>
        <v>Turista Nacional</v>
      </c>
      <c r="Q191" s="7" t="n">
        <f aca="false">IF($A191="","",DATE(YEAR(B191),MONTH(B191),1))</f>
        <v>45839</v>
      </c>
      <c r="R191" s="4" t="str">
        <f aca="false">IF($A191="","",IF(COUNTIF($A$2:$A191,$A191)&gt;1,"Sim","Não"))</f>
        <v>Não</v>
      </c>
      <c r="S191" s="4" t="str">
        <f aca="false">IF(A191="","Descartar - Linha vazia",IF(R191="Sim","Descartar - Duplicado",IF(OR(H191&lt;=0,I191&lt;=0),"Descartar - Qtd/Valor inválido","OK")))</f>
        <v>Descartar - Qtd/Valor inválido</v>
      </c>
      <c r="T191" s="4" t="str">
        <f aca="false">Base_Bruta!P191</f>
        <v>vendas_SP.xlsx</v>
      </c>
    </row>
    <row r="192" customFormat="false" ht="15" hidden="false" customHeight="false" outlineLevel="0" collapsed="false">
      <c r="A192" s="4" t="str">
        <f aca="false">IF(Base_Bruta!A192="","",Base_Bruta!A192)</f>
        <v>SP-000067</v>
      </c>
      <c r="B192" s="5" t="n">
        <f aca="false">IF($A192="","",IF(ISNUMBER(Base_Bruta!B192),Base_Bruta!B192,IF(MID(Base_Bruta!B192,5,1)="-",DATE(VALUE(LEFT(Base_Bruta!B192,4)),VALUE(MID(Base_Bruta!B192,6,2)),VALUE(RIGHT(Base_Bruta!B192,2))),DATE(VALUE(RIGHT(Base_Bruta!B192,4)),VALUE(MID(Base_Bruta!B192,4,2)),VALUE(LEFT(Base_Bruta!B192,2))))))</f>
        <v>45865</v>
      </c>
      <c r="C192" s="5" t="n">
        <f aca="false">IF($A192="","",IF(ISNUMBER(Base_Bruta!C192),Base_Bruta!C192,IF(MID(Base_Bruta!C192,5,1)="-",DATE(VALUE(LEFT(Base_Bruta!C192,4)),VALUE(MID(Base_Bruta!C192,6,2)),VALUE(RIGHT(Base_Bruta!C192,2))),DATE(VALUE(RIGHT(Base_Bruta!C192,4)),VALUE(MID(Base_Bruta!C192,4,2)),VALUE(LEFT(Base_Bruta!C192,2))))))</f>
        <v>45976</v>
      </c>
      <c r="D192" s="4" t="str">
        <f aca="false">IF($A192="","",TRIM(Base_Bruta!D192))</f>
        <v>Festival Sonora SP 2025</v>
      </c>
      <c r="E192" s="4" t="str">
        <f aca="false">IF($A192="","",_xlfn.XLOOKUP(LOWER(TRIM(Base_Bruta!E192)),DePara_Categoria!$A$2:$A$9,DePara_Categoria!$B$2:$B$9,"REVISAR"))</f>
        <v>Festival</v>
      </c>
      <c r="F192" s="4" t="str">
        <f aca="false">IF($A192="","",_xlfn.XLOOKUP(LOWER(TRIM(Base_Bruta!F192)),DePara_Cidade!$A$2:$A$29,DePara_Cidade!$B$2:$B$29,"REVISAR"))</f>
        <v>São Paulo</v>
      </c>
      <c r="G192" s="4" t="str">
        <f aca="false">IF($A192="","",TRIM(Base_Bruta!G192))</f>
        <v>Meia</v>
      </c>
      <c r="H192" s="4" t="n">
        <f aca="false">IF($A192="","",IF(ISNUMBER(Base_Bruta!H192),Base_Bruta!H192,IFERROR(_xlfn.NUMBERVALUE(TRIM(SUBSTITUTE(Base_Bruta!H192,"R$","")),",","."),0)))</f>
        <v>2</v>
      </c>
      <c r="I192" s="6" t="n">
        <f aca="false">IF($A192="","",IF(ISNUMBER(Base_Bruta!I192),Base_Bruta!I192,IFERROR(_xlfn.NUMBERVALUE(TRIM(SUBSTITUTE(Base_Bruta!I192,"R$","")),",","."),0)))</f>
        <v>385</v>
      </c>
      <c r="J192" s="6" t="n">
        <f aca="false">IF($A192="","",H192*I192)</f>
        <v>770</v>
      </c>
      <c r="K192" s="4" t="str">
        <f aca="false">IF($A192="","",TRIM(Base_Bruta!J192))</f>
        <v>App</v>
      </c>
      <c r="L192" s="4" t="str">
        <f aca="false">IF($A192="","",TRIM(Base_Bruta!K192))</f>
        <v>C02274</v>
      </c>
      <c r="M192" s="4" t="str">
        <f aca="false">IF($A192="","",_xlfn.XLOOKUP(LOWER(TRIM(Base_Bruta!L192)),DePara_Cidade!$A$2:$A$29,DePara_Cidade!$B$2:$B$29,"REVISAR"))</f>
        <v>Niterói</v>
      </c>
      <c r="N192" s="4" t="str">
        <f aca="false">IF($A192="","",UPPER(TRIM(Base_Bruta!M192)))</f>
        <v>RJ</v>
      </c>
      <c r="O192" s="4" t="str">
        <f aca="false">IF($A192="","",_xlfn.XLOOKUP(LOWER(TRIM(Base_Bruta!N192)),DePara_Pais!$A$2:$A$9,DePara_Pais!$B$2:$B$9,"REVISAR"))</f>
        <v>Brasil</v>
      </c>
      <c r="P192" s="4" t="str">
        <f aca="false">IF($A192="","",IF(O192&lt;&gt;"Brasil","Turista Internacional",IF(M192=F192,"Local","Turista Nacional")))</f>
        <v>Turista Nacional</v>
      </c>
      <c r="Q192" s="7" t="n">
        <f aca="false">IF($A192="","",DATE(YEAR(B192),MONTH(B192),1))</f>
        <v>45839</v>
      </c>
      <c r="R192" s="4" t="str">
        <f aca="false">IF($A192="","",IF(COUNTIF($A$2:$A192,$A192)&gt;1,"Sim","Não"))</f>
        <v>Não</v>
      </c>
      <c r="S192" s="4" t="str">
        <f aca="false">IF(A192="","Descartar - Linha vazia",IF(R192="Sim","Descartar - Duplicado",IF(OR(H192&lt;=0,I192&lt;=0),"Descartar - Qtd/Valor inválido","OK")))</f>
        <v>OK</v>
      </c>
      <c r="T192" s="4" t="str">
        <f aca="false">Base_Bruta!P192</f>
        <v>vendas_SP.xlsx</v>
      </c>
    </row>
    <row r="193" customFormat="false" ht="15" hidden="false" customHeight="false" outlineLevel="0" collapsed="false">
      <c r="A193" s="4" t="str">
        <f aca="false">IF(Base_Bruta!A193="","",Base_Bruta!A193)</f>
        <v>SP-000101</v>
      </c>
      <c r="B193" s="5" t="n">
        <f aca="false">IF($A193="","",IF(ISNUMBER(Base_Bruta!B193),Base_Bruta!B193,IF(MID(Base_Bruta!B193,5,1)="-",DATE(VALUE(LEFT(Base_Bruta!B193,4)),VALUE(MID(Base_Bruta!B193,6,2)),VALUE(RIGHT(Base_Bruta!B193,2))),DATE(VALUE(RIGHT(Base_Bruta!B193,4)),VALUE(MID(Base_Bruta!B193,4,2)),VALUE(LEFT(Base_Bruta!B193,2))))))</f>
        <v>45865</v>
      </c>
      <c r="C193" s="5" t="n">
        <f aca="false">IF($A193="","",IF(ISNUMBER(Base_Bruta!C193),Base_Bruta!C193,IF(MID(Base_Bruta!C193,5,1)="-",DATE(VALUE(LEFT(Base_Bruta!C193,4)),VALUE(MID(Base_Bruta!C193,6,2)),VALUE(RIGHT(Base_Bruta!C193,2))),DATE(VALUE(RIGHT(Base_Bruta!C193,4)),VALUE(MID(Base_Bruta!C193,4,2)),VALUE(LEFT(Base_Bruta!C193,2))))))</f>
        <v>45976</v>
      </c>
      <c r="D193" s="4" t="str">
        <f aca="false">IF($A193="","",TRIM(Base_Bruta!D193))</f>
        <v>Festival Sonora SP 2025</v>
      </c>
      <c r="E193" s="4" t="str">
        <f aca="false">IF($A193="","",_xlfn.XLOOKUP(LOWER(TRIM(Base_Bruta!E193)),DePara_Categoria!$A$2:$A$9,DePara_Categoria!$B$2:$B$9,"REVISAR"))</f>
        <v>Festival</v>
      </c>
      <c r="F193" s="4" t="str">
        <f aca="false">IF($A193="","",_xlfn.XLOOKUP(LOWER(TRIM(Base_Bruta!F193)),DePara_Cidade!$A$2:$A$29,DePara_Cidade!$B$2:$B$29,"REVISAR"))</f>
        <v>São Paulo</v>
      </c>
      <c r="G193" s="4" t="str">
        <f aca="false">IF($A193="","",TRIM(Base_Bruta!G193))</f>
        <v>Inteira</v>
      </c>
      <c r="H193" s="4" t="n">
        <f aca="false">IF($A193="","",IF(ISNUMBER(Base_Bruta!H193),Base_Bruta!H193,IFERROR(_xlfn.NUMBERVALUE(TRIM(SUBSTITUTE(Base_Bruta!H193,"R$","")),",","."),0)))</f>
        <v>2</v>
      </c>
      <c r="I193" s="6" t="n">
        <f aca="false">IF($A193="","",IF(ISNUMBER(Base_Bruta!I193),Base_Bruta!I193,IFERROR(_xlfn.NUMBERVALUE(TRIM(SUBSTITUTE(Base_Bruta!I193,"R$","")),",","."),0)))</f>
        <v>740</v>
      </c>
      <c r="J193" s="6" t="n">
        <f aca="false">IF($A193="","",H193*I193)</f>
        <v>1480</v>
      </c>
      <c r="K193" s="4" t="str">
        <f aca="false">IF($A193="","",TRIM(Base_Bruta!J193))</f>
        <v>Site</v>
      </c>
      <c r="L193" s="4" t="str">
        <f aca="false">IF($A193="","",TRIM(Base_Bruta!K193))</f>
        <v>C00486</v>
      </c>
      <c r="M193" s="4" t="str">
        <f aca="false">IF($A193="","",_xlfn.XLOOKUP(LOWER(TRIM(Base_Bruta!L193)),DePara_Cidade!$A$2:$A$29,DePara_Cidade!$B$2:$B$29,"REVISAR"))</f>
        <v>São Paulo</v>
      </c>
      <c r="N193" s="4" t="str">
        <f aca="false">IF($A193="","",UPPER(TRIM(Base_Bruta!M193)))</f>
        <v>SP</v>
      </c>
      <c r="O193" s="4" t="str">
        <f aca="false">IF($A193="","",_xlfn.XLOOKUP(LOWER(TRIM(Base_Bruta!N193)),DePara_Pais!$A$2:$A$9,DePara_Pais!$B$2:$B$9,"REVISAR"))</f>
        <v>Brasil</v>
      </c>
      <c r="P193" s="4" t="str">
        <f aca="false">IF($A193="","",IF(O193&lt;&gt;"Brasil","Turista Internacional",IF(M193=F193,"Local","Turista Nacional")))</f>
        <v>Local</v>
      </c>
      <c r="Q193" s="7" t="n">
        <f aca="false">IF($A193="","",DATE(YEAR(B193),MONTH(B193),1))</f>
        <v>45839</v>
      </c>
      <c r="R193" s="4" t="str">
        <f aca="false">IF($A193="","",IF(COUNTIF($A$2:$A193,$A193)&gt;1,"Sim","Não"))</f>
        <v>Não</v>
      </c>
      <c r="S193" s="4" t="str">
        <f aca="false">IF(A193="","Descartar - Linha vazia",IF(R193="Sim","Descartar - Duplicado",IF(OR(H193&lt;=0,I193&lt;=0),"Descartar - Qtd/Valor inválido","OK")))</f>
        <v>OK</v>
      </c>
      <c r="T193" s="4" t="str">
        <f aca="false">Base_Bruta!P193</f>
        <v>vendas_SP.xlsx</v>
      </c>
    </row>
    <row r="194" customFormat="false" ht="15" hidden="false" customHeight="false" outlineLevel="0" collapsed="false">
      <c r="A194" s="4" t="str">
        <f aca="false">IF(Base_Bruta!A194="","",Base_Bruta!A194)</f>
        <v>SP-000211</v>
      </c>
      <c r="B194" s="5" t="n">
        <f aca="false">IF($A194="","",IF(ISNUMBER(Base_Bruta!B194),Base_Bruta!B194,IF(MID(Base_Bruta!B194,5,1)="-",DATE(VALUE(LEFT(Base_Bruta!B194,4)),VALUE(MID(Base_Bruta!B194,6,2)),VALUE(RIGHT(Base_Bruta!B194,2))),DATE(VALUE(RIGHT(Base_Bruta!B194,4)),VALUE(MID(Base_Bruta!B194,4,2)),VALUE(LEFT(Base_Bruta!B194,2))))))</f>
        <v>45865</v>
      </c>
      <c r="C194" s="5" t="n">
        <f aca="false">IF($A194="","",IF(ISNUMBER(Base_Bruta!C194),Base_Bruta!C194,IF(MID(Base_Bruta!C194,5,1)="-",DATE(VALUE(LEFT(Base_Bruta!C194,4)),VALUE(MID(Base_Bruta!C194,6,2)),VALUE(RIGHT(Base_Bruta!C194,2))),DATE(VALUE(RIGHT(Base_Bruta!C194,4)),VALUE(MID(Base_Bruta!C194,4,2)),VALUE(LEFT(Base_Bruta!C194,2))))))</f>
        <v>45976</v>
      </c>
      <c r="D194" s="4" t="str">
        <f aca="false">IF($A194="","",TRIM(Base_Bruta!D194))</f>
        <v>Festival Sonora SP 2025</v>
      </c>
      <c r="E194" s="4" t="str">
        <f aca="false">IF($A194="","",_xlfn.XLOOKUP(LOWER(TRIM(Base_Bruta!E194)),DePara_Categoria!$A$2:$A$9,DePara_Categoria!$B$2:$B$9,"REVISAR"))</f>
        <v>Festival</v>
      </c>
      <c r="F194" s="4" t="str">
        <f aca="false">IF($A194="","",_xlfn.XLOOKUP(LOWER(TRIM(Base_Bruta!F194)),DePara_Cidade!$A$2:$A$29,DePara_Cidade!$B$2:$B$29,"REVISAR"))</f>
        <v>São Paulo</v>
      </c>
      <c r="G194" s="4" t="str">
        <f aca="false">IF($A194="","",TRIM(Base_Bruta!G194))</f>
        <v>Meia</v>
      </c>
      <c r="H194" s="4" t="n">
        <f aca="false">IF($A194="","",IF(ISNUMBER(Base_Bruta!H194),Base_Bruta!H194,IFERROR(_xlfn.NUMBERVALUE(TRIM(SUBSTITUTE(Base_Bruta!H194,"R$","")),",","."),0)))</f>
        <v>1</v>
      </c>
      <c r="I194" s="6" t="n">
        <f aca="false">IF($A194="","",IF(ISNUMBER(Base_Bruta!I194),Base_Bruta!I194,IFERROR(_xlfn.NUMBERVALUE(TRIM(SUBSTITUTE(Base_Bruta!I194,"R$","")),",","."),0)))</f>
        <v>452.5</v>
      </c>
      <c r="J194" s="6" t="n">
        <f aca="false">IF($A194="","",H194*I194)</f>
        <v>452.5</v>
      </c>
      <c r="K194" s="4" t="str">
        <f aca="false">IF($A194="","",TRIM(Base_Bruta!J194))</f>
        <v>Site</v>
      </c>
      <c r="L194" s="4" t="str">
        <f aca="false">IF($A194="","",TRIM(Base_Bruta!K194))</f>
        <v>C00688</v>
      </c>
      <c r="M194" s="4" t="str">
        <f aca="false">IF($A194="","",_xlfn.XLOOKUP(LOWER(TRIM(Base_Bruta!L194)),DePara_Cidade!$A$2:$A$29,DePara_Cidade!$B$2:$B$29,"REVISAR"))</f>
        <v>Santos</v>
      </c>
      <c r="N194" s="4" t="str">
        <f aca="false">IF($A194="","",UPPER(TRIM(Base_Bruta!M194)))</f>
        <v>SP</v>
      </c>
      <c r="O194" s="4" t="str">
        <f aca="false">IF($A194="","",_xlfn.XLOOKUP(LOWER(TRIM(Base_Bruta!N194)),DePara_Pais!$A$2:$A$9,DePara_Pais!$B$2:$B$9,"REVISAR"))</f>
        <v>Brasil</v>
      </c>
      <c r="P194" s="4" t="str">
        <f aca="false">IF($A194="","",IF(O194&lt;&gt;"Brasil","Turista Internacional",IF(M194=F194,"Local","Turista Nacional")))</f>
        <v>Turista Nacional</v>
      </c>
      <c r="Q194" s="7" t="n">
        <f aca="false">IF($A194="","",DATE(YEAR(B194),MONTH(B194),1))</f>
        <v>45839</v>
      </c>
      <c r="R194" s="4" t="str">
        <f aca="false">IF($A194="","",IF(COUNTIF($A$2:$A194,$A194)&gt;1,"Sim","Não"))</f>
        <v>Não</v>
      </c>
      <c r="S194" s="4" t="str">
        <f aca="false">IF(A194="","Descartar - Linha vazia",IF(R194="Sim","Descartar - Duplicado",IF(OR(H194&lt;=0,I194&lt;=0),"Descartar - Qtd/Valor inválido","OK")))</f>
        <v>OK</v>
      </c>
      <c r="T194" s="4" t="str">
        <f aca="false">Base_Bruta!P194</f>
        <v>vendas_SP.xlsx</v>
      </c>
    </row>
    <row r="195" customFormat="false" ht="15" hidden="false" customHeight="false" outlineLevel="0" collapsed="false">
      <c r="A195" s="4" t="str">
        <f aca="false">IF(Base_Bruta!A195="","",Base_Bruta!A195)</f>
        <v>SP-000227</v>
      </c>
      <c r="B195" s="5" t="n">
        <f aca="false">IF($A195="","",IF(ISNUMBER(Base_Bruta!B195),Base_Bruta!B195,IF(MID(Base_Bruta!B195,5,1)="-",DATE(VALUE(LEFT(Base_Bruta!B195,4)),VALUE(MID(Base_Bruta!B195,6,2)),VALUE(RIGHT(Base_Bruta!B195,2))),DATE(VALUE(RIGHT(Base_Bruta!B195,4)),VALUE(MID(Base_Bruta!B195,4,2)),VALUE(LEFT(Base_Bruta!B195,2))))))</f>
        <v>45865</v>
      </c>
      <c r="C195" s="5" t="n">
        <f aca="false">IF($A195="","",IF(ISNUMBER(Base_Bruta!C195),Base_Bruta!C195,IF(MID(Base_Bruta!C195,5,1)="-",DATE(VALUE(LEFT(Base_Bruta!C195,4)),VALUE(MID(Base_Bruta!C195,6,2)),VALUE(RIGHT(Base_Bruta!C195,2))),DATE(VALUE(RIGHT(Base_Bruta!C195,4)),VALUE(MID(Base_Bruta!C195,4,2)),VALUE(LEFT(Base_Bruta!C195,2))))))</f>
        <v>45976</v>
      </c>
      <c r="D195" s="4" t="str">
        <f aca="false">IF($A195="","",TRIM(Base_Bruta!D195))</f>
        <v>Festival Sonora SP 2025</v>
      </c>
      <c r="E195" s="4" t="str">
        <f aca="false">IF($A195="","",_xlfn.XLOOKUP(LOWER(TRIM(Base_Bruta!E195)),DePara_Categoria!$A$2:$A$9,DePara_Categoria!$B$2:$B$9,"REVISAR"))</f>
        <v>Festival</v>
      </c>
      <c r="F195" s="4" t="str">
        <f aca="false">IF($A195="","",_xlfn.XLOOKUP(LOWER(TRIM(Base_Bruta!F195)),DePara_Cidade!$A$2:$A$29,DePara_Cidade!$B$2:$B$29,"REVISAR"))</f>
        <v>São Paulo</v>
      </c>
      <c r="G195" s="4" t="str">
        <f aca="false">IF($A195="","",TRIM(Base_Bruta!G195))</f>
        <v>Inteira</v>
      </c>
      <c r="H195" s="4" t="n">
        <f aca="false">IF($A195="","",IF(ISNUMBER(Base_Bruta!H195),Base_Bruta!H195,IFERROR(_xlfn.NUMBERVALUE(TRIM(SUBSTITUTE(Base_Bruta!H195,"R$","")),",","."),0)))</f>
        <v>2</v>
      </c>
      <c r="I195" s="6" t="n">
        <f aca="false">IF($A195="","",IF(ISNUMBER(Base_Bruta!I195),Base_Bruta!I195,IFERROR(_xlfn.NUMBERVALUE(TRIM(SUBSTITUTE(Base_Bruta!I195,"R$","")),",","."),0)))</f>
        <v>1115</v>
      </c>
      <c r="J195" s="6" t="n">
        <f aca="false">IF($A195="","",H195*I195)</f>
        <v>2230</v>
      </c>
      <c r="K195" s="4" t="str">
        <f aca="false">IF($A195="","",TRIM(Base_Bruta!J195))</f>
        <v>App</v>
      </c>
      <c r="L195" s="4" t="str">
        <f aca="false">IF($A195="","",TRIM(Base_Bruta!K195))</f>
        <v>C00976</v>
      </c>
      <c r="M195" s="4" t="str">
        <f aca="false">IF($A195="","",_xlfn.XLOOKUP(LOWER(TRIM(Base_Bruta!L195)),DePara_Cidade!$A$2:$A$29,DePara_Cidade!$B$2:$B$29,"REVISAR"))</f>
        <v>São Paulo</v>
      </c>
      <c r="N195" s="4" t="str">
        <f aca="false">IF($A195="","",UPPER(TRIM(Base_Bruta!M195)))</f>
        <v>SP</v>
      </c>
      <c r="O195" s="4" t="str">
        <f aca="false">IF($A195="","",_xlfn.XLOOKUP(LOWER(TRIM(Base_Bruta!N195)),DePara_Pais!$A$2:$A$9,DePara_Pais!$B$2:$B$9,"REVISAR"))</f>
        <v>Brasil</v>
      </c>
      <c r="P195" s="4" t="str">
        <f aca="false">IF($A195="","",IF(O195&lt;&gt;"Brasil","Turista Internacional",IF(M195=F195,"Local","Turista Nacional")))</f>
        <v>Local</v>
      </c>
      <c r="Q195" s="7" t="n">
        <f aca="false">IF($A195="","",DATE(YEAR(B195),MONTH(B195),1))</f>
        <v>45839</v>
      </c>
      <c r="R195" s="4" t="str">
        <f aca="false">IF($A195="","",IF(COUNTIF($A$2:$A195,$A195)&gt;1,"Sim","Não"))</f>
        <v>Não</v>
      </c>
      <c r="S195" s="4" t="str">
        <f aca="false">IF(A195="","Descartar - Linha vazia",IF(R195="Sim","Descartar - Duplicado",IF(OR(H195&lt;=0,I195&lt;=0),"Descartar - Qtd/Valor inválido","OK")))</f>
        <v>OK</v>
      </c>
      <c r="T195" s="4" t="str">
        <f aca="false">Base_Bruta!P195</f>
        <v>vendas_SP.xlsx</v>
      </c>
    </row>
    <row r="196" customFormat="false" ht="15" hidden="false" customHeight="false" outlineLevel="0" collapsed="false">
      <c r="A196" s="4" t="str">
        <f aca="false">IF(Base_Bruta!A196="","",Base_Bruta!A196)</f>
        <v>SP-000008</v>
      </c>
      <c r="B196" s="5" t="n">
        <f aca="false">IF($A196="","",IF(ISNUMBER(Base_Bruta!B196),Base_Bruta!B196,IF(MID(Base_Bruta!B196,5,1)="-",DATE(VALUE(LEFT(Base_Bruta!B196,4)),VALUE(MID(Base_Bruta!B196,6,2)),VALUE(RIGHT(Base_Bruta!B196,2))),DATE(VALUE(RIGHT(Base_Bruta!B196,4)),VALUE(MID(Base_Bruta!B196,4,2)),VALUE(LEFT(Base_Bruta!B196,2))))))</f>
        <v>45866</v>
      </c>
      <c r="C196" s="5" t="n">
        <f aca="false">IF($A196="","",IF(ISNUMBER(Base_Bruta!C196),Base_Bruta!C196,IF(MID(Base_Bruta!C196,5,1)="-",DATE(VALUE(LEFT(Base_Bruta!C196,4)),VALUE(MID(Base_Bruta!C196,6,2)),VALUE(RIGHT(Base_Bruta!C196,2))),DATE(VALUE(RIGHT(Base_Bruta!C196,4)),VALUE(MID(Base_Bruta!C196,4,2)),VALUE(LEFT(Base_Bruta!C196,2))))))</f>
        <v>45976</v>
      </c>
      <c r="D196" s="4" t="str">
        <f aca="false">IF($A196="","",TRIM(Base_Bruta!D196))</f>
        <v>Festival Sonora SP 2025</v>
      </c>
      <c r="E196" s="4" t="str">
        <f aca="false">IF($A196="","",_xlfn.XLOOKUP(LOWER(TRIM(Base_Bruta!E196)),DePara_Categoria!$A$2:$A$9,DePara_Categoria!$B$2:$B$9,"REVISAR"))</f>
        <v>Festival</v>
      </c>
      <c r="F196" s="4" t="str">
        <f aca="false">IF($A196="","",_xlfn.XLOOKUP(LOWER(TRIM(Base_Bruta!F196)),DePara_Cidade!$A$2:$A$29,DePara_Cidade!$B$2:$B$29,"REVISAR"))</f>
        <v>São Paulo</v>
      </c>
      <c r="G196" s="4" t="str">
        <f aca="false">IF($A196="","",TRIM(Base_Bruta!G196))</f>
        <v>Inteira</v>
      </c>
      <c r="H196" s="4" t="n">
        <f aca="false">IF($A196="","",IF(ISNUMBER(Base_Bruta!H196),Base_Bruta!H196,IFERROR(_xlfn.NUMBERVALUE(TRIM(SUBSTITUTE(Base_Bruta!H196,"R$","")),",","."),0)))</f>
        <v>1</v>
      </c>
      <c r="I196" s="6" t="n">
        <f aca="false">IF($A196="","",IF(ISNUMBER(Base_Bruta!I196),Base_Bruta!I196,IFERROR(_xlfn.NUMBERVALUE(TRIM(SUBSTITUTE(Base_Bruta!I196,"R$","")),",","."),0)))</f>
        <v>1060</v>
      </c>
      <c r="J196" s="6" t="n">
        <f aca="false">IF($A196="","",H196*I196)</f>
        <v>1060</v>
      </c>
      <c r="K196" s="4" t="str">
        <f aca="false">IF($A196="","",TRIM(Base_Bruta!J196))</f>
        <v>Site</v>
      </c>
      <c r="L196" s="4" t="str">
        <f aca="false">IF($A196="","",TRIM(Base_Bruta!K196))</f>
        <v>C01049</v>
      </c>
      <c r="M196" s="4" t="str">
        <f aca="false">IF($A196="","",_xlfn.XLOOKUP(LOWER(TRIM(Base_Bruta!L196)),DePara_Cidade!$A$2:$A$29,DePara_Cidade!$B$2:$B$29,"REVISAR"))</f>
        <v>São Paulo</v>
      </c>
      <c r="N196" s="4" t="str">
        <f aca="false">IF($A196="","",UPPER(TRIM(Base_Bruta!M196)))</f>
        <v>SP</v>
      </c>
      <c r="O196" s="4" t="str">
        <f aca="false">IF($A196="","",_xlfn.XLOOKUP(LOWER(TRIM(Base_Bruta!N196)),DePara_Pais!$A$2:$A$9,DePara_Pais!$B$2:$B$9,"REVISAR"))</f>
        <v>Brasil</v>
      </c>
      <c r="P196" s="4" t="str">
        <f aca="false">IF($A196="","",IF(O196&lt;&gt;"Brasil","Turista Internacional",IF(M196=F196,"Local","Turista Nacional")))</f>
        <v>Local</v>
      </c>
      <c r="Q196" s="7" t="n">
        <f aca="false">IF($A196="","",DATE(YEAR(B196),MONTH(B196),1))</f>
        <v>45839</v>
      </c>
      <c r="R196" s="4" t="str">
        <f aca="false">IF($A196="","",IF(COUNTIF($A$2:$A196,$A196)&gt;1,"Sim","Não"))</f>
        <v>Não</v>
      </c>
      <c r="S196" s="4" t="str">
        <f aca="false">IF(A196="","Descartar - Linha vazia",IF(R196="Sim","Descartar - Duplicado",IF(OR(H196&lt;=0,I196&lt;=0),"Descartar - Qtd/Valor inválido","OK")))</f>
        <v>OK</v>
      </c>
      <c r="T196" s="4" t="str">
        <f aca="false">Base_Bruta!P196</f>
        <v>vendas_SP.xlsx</v>
      </c>
    </row>
    <row r="197" customFormat="false" ht="15" hidden="false" customHeight="false" outlineLevel="0" collapsed="false">
      <c r="A197" s="4" t="str">
        <f aca="false">IF(Base_Bruta!A197="","",Base_Bruta!A197)</f>
        <v>SP-000114</v>
      </c>
      <c r="B197" s="5" t="n">
        <f aca="false">IF($A197="","",IF(ISNUMBER(Base_Bruta!B197),Base_Bruta!B197,IF(MID(Base_Bruta!B197,5,1)="-",DATE(VALUE(LEFT(Base_Bruta!B197,4)),VALUE(MID(Base_Bruta!B197,6,2)),VALUE(RIGHT(Base_Bruta!B197,2))),DATE(VALUE(RIGHT(Base_Bruta!B197,4)),VALUE(MID(Base_Bruta!B197,4,2)),VALUE(LEFT(Base_Bruta!B197,2))))))</f>
        <v>45866</v>
      </c>
      <c r="C197" s="5" t="n">
        <f aca="false">IF($A197="","",IF(ISNUMBER(Base_Bruta!C197),Base_Bruta!C197,IF(MID(Base_Bruta!C197,5,1)="-",DATE(VALUE(LEFT(Base_Bruta!C197,4)),VALUE(MID(Base_Bruta!C197,6,2)),VALUE(RIGHT(Base_Bruta!C197,2))),DATE(VALUE(RIGHT(Base_Bruta!C197,4)),VALUE(MID(Base_Bruta!C197,4,2)),VALUE(LEFT(Base_Bruta!C197,2))))))</f>
        <v>45976</v>
      </c>
      <c r="D197" s="4" t="str">
        <f aca="false">IF($A197="","",TRIM(Base_Bruta!D197))</f>
        <v>Festival Sonora SP 2025</v>
      </c>
      <c r="E197" s="4" t="str">
        <f aca="false">IF($A197="","",_xlfn.XLOOKUP(LOWER(TRIM(Base_Bruta!E197)),DePara_Categoria!$A$2:$A$9,DePara_Categoria!$B$2:$B$9,"REVISAR"))</f>
        <v>Festival</v>
      </c>
      <c r="F197" s="4" t="str">
        <f aca="false">IF($A197="","",_xlfn.XLOOKUP(LOWER(TRIM(Base_Bruta!F197)),DePara_Cidade!$A$2:$A$29,DePara_Cidade!$B$2:$B$29,"REVISAR"))</f>
        <v>São Paulo</v>
      </c>
      <c r="G197" s="4" t="str">
        <f aca="false">IF($A197="","",TRIM(Base_Bruta!G197))</f>
        <v>Inteira</v>
      </c>
      <c r="H197" s="4" t="n">
        <f aca="false">IF($A197="","",IF(ISNUMBER(Base_Bruta!H197),Base_Bruta!H197,IFERROR(_xlfn.NUMBERVALUE(TRIM(SUBSTITUTE(Base_Bruta!H197,"R$","")),",","."),0)))</f>
        <v>2</v>
      </c>
      <c r="I197" s="6" t="n">
        <f aca="false">IF($A197="","",IF(ISNUMBER(Base_Bruta!I197),Base_Bruta!I197,IFERROR(_xlfn.NUMBERVALUE(TRIM(SUBSTITUTE(Base_Bruta!I197,"R$","")),",","."),0)))</f>
        <v>1150</v>
      </c>
      <c r="J197" s="6" t="n">
        <f aca="false">IF($A197="","",H197*I197)</f>
        <v>2300</v>
      </c>
      <c r="K197" s="4" t="str">
        <f aca="false">IF($A197="","",TRIM(Base_Bruta!J197))</f>
        <v>App</v>
      </c>
      <c r="L197" s="4" t="str">
        <f aca="false">IF($A197="","",TRIM(Base_Bruta!K197))</f>
        <v>C01939</v>
      </c>
      <c r="M197" s="4" t="str">
        <f aca="false">IF($A197="","",_xlfn.XLOOKUP(LOWER(TRIM(Base_Bruta!L197)),DePara_Cidade!$A$2:$A$29,DePara_Cidade!$B$2:$B$29,"REVISAR"))</f>
        <v>São Paulo</v>
      </c>
      <c r="N197" s="4" t="str">
        <f aca="false">IF($A197="","",UPPER(TRIM(Base_Bruta!M197)))</f>
        <v>SP</v>
      </c>
      <c r="O197" s="4" t="str">
        <f aca="false">IF($A197="","",_xlfn.XLOOKUP(LOWER(TRIM(Base_Bruta!N197)),DePara_Pais!$A$2:$A$9,DePara_Pais!$B$2:$B$9,"REVISAR"))</f>
        <v>Brasil</v>
      </c>
      <c r="P197" s="4" t="str">
        <f aca="false">IF($A197="","",IF(O197&lt;&gt;"Brasil","Turista Internacional",IF(M197=F197,"Local","Turista Nacional")))</f>
        <v>Local</v>
      </c>
      <c r="Q197" s="7" t="n">
        <f aca="false">IF($A197="","",DATE(YEAR(B197),MONTH(B197),1))</f>
        <v>45839</v>
      </c>
      <c r="R197" s="4" t="str">
        <f aca="false">IF($A197="","",IF(COUNTIF($A$2:$A197,$A197)&gt;1,"Sim","Não"))</f>
        <v>Não</v>
      </c>
      <c r="S197" s="4" t="str">
        <f aca="false">IF(A197="","Descartar - Linha vazia",IF(R197="Sim","Descartar - Duplicado",IF(OR(H197&lt;=0,I197&lt;=0),"Descartar - Qtd/Valor inválido","OK")))</f>
        <v>OK</v>
      </c>
      <c r="T197" s="4" t="str">
        <f aca="false">Base_Bruta!P197</f>
        <v>vendas_SP.xlsx</v>
      </c>
    </row>
    <row r="198" customFormat="false" ht="15" hidden="false" customHeight="false" outlineLevel="0" collapsed="false">
      <c r="A198" s="4" t="str">
        <f aca="false">IF(Base_Bruta!A198="","",Base_Bruta!A198)</f>
        <v>SP-000161</v>
      </c>
      <c r="B198" s="5" t="n">
        <f aca="false">IF($A198="","",IF(ISNUMBER(Base_Bruta!B198),Base_Bruta!B198,IF(MID(Base_Bruta!B198,5,1)="-",DATE(VALUE(LEFT(Base_Bruta!B198,4)),VALUE(MID(Base_Bruta!B198,6,2)),VALUE(RIGHT(Base_Bruta!B198,2))),DATE(VALUE(RIGHT(Base_Bruta!B198,4)),VALUE(MID(Base_Bruta!B198,4,2)),VALUE(LEFT(Base_Bruta!B198,2))))))</f>
        <v>45866</v>
      </c>
      <c r="C198" s="5" t="n">
        <f aca="false">IF($A198="","",IF(ISNUMBER(Base_Bruta!C198),Base_Bruta!C198,IF(MID(Base_Bruta!C198,5,1)="-",DATE(VALUE(LEFT(Base_Bruta!C198,4)),VALUE(MID(Base_Bruta!C198,6,2)),VALUE(RIGHT(Base_Bruta!C198,2))),DATE(VALUE(RIGHT(Base_Bruta!C198,4)),VALUE(MID(Base_Bruta!C198,4,2)),VALUE(LEFT(Base_Bruta!C198,2))))))</f>
        <v>45976</v>
      </c>
      <c r="D198" s="4" t="str">
        <f aca="false">IF($A198="","",TRIM(Base_Bruta!D198))</f>
        <v>Festival Sonora SP 2025</v>
      </c>
      <c r="E198" s="4" t="str">
        <f aca="false">IF($A198="","",_xlfn.XLOOKUP(LOWER(TRIM(Base_Bruta!E198)),DePara_Categoria!$A$2:$A$9,DePara_Categoria!$B$2:$B$9,"REVISAR"))</f>
        <v>Festival</v>
      </c>
      <c r="F198" s="4" t="str">
        <f aca="false">IF($A198="","",_xlfn.XLOOKUP(LOWER(TRIM(Base_Bruta!F198)),DePara_Cidade!$A$2:$A$29,DePara_Cidade!$B$2:$B$29,"REVISAR"))</f>
        <v>São Paulo</v>
      </c>
      <c r="G198" s="4" t="str">
        <f aca="false">IF($A198="","",TRIM(Base_Bruta!G198))</f>
        <v>Inteira</v>
      </c>
      <c r="H198" s="4" t="n">
        <f aca="false">IF($A198="","",IF(ISNUMBER(Base_Bruta!H198),Base_Bruta!H198,IFERROR(_xlfn.NUMBERVALUE(TRIM(SUBSTITUTE(Base_Bruta!H198,"R$","")),",","."),0)))</f>
        <v>1</v>
      </c>
      <c r="I198" s="6" t="n">
        <f aca="false">IF($A198="","",IF(ISNUMBER(Base_Bruta!I198),Base_Bruta!I198,IFERROR(_xlfn.NUMBERVALUE(TRIM(SUBSTITUTE(Base_Bruta!I198,"R$","")),",","."),0)))</f>
        <v>910</v>
      </c>
      <c r="J198" s="6" t="n">
        <f aca="false">IF($A198="","",H198*I198)</f>
        <v>910</v>
      </c>
      <c r="K198" s="4" t="str">
        <f aca="false">IF($A198="","",TRIM(Base_Bruta!J198))</f>
        <v>Site</v>
      </c>
      <c r="L198" s="4" t="str">
        <f aca="false">IF($A198="","",TRIM(Base_Bruta!K198))</f>
        <v>C00236</v>
      </c>
      <c r="M198" s="4" t="str">
        <f aca="false">IF($A198="","",_xlfn.XLOOKUP(LOWER(TRIM(Base_Bruta!L198)),DePara_Cidade!$A$2:$A$29,DePara_Cidade!$B$2:$B$29,"REVISAR"))</f>
        <v>São Paulo</v>
      </c>
      <c r="N198" s="4" t="str">
        <f aca="false">IF($A198="","",UPPER(TRIM(Base_Bruta!M198)))</f>
        <v>SP</v>
      </c>
      <c r="O198" s="4" t="str">
        <f aca="false">IF($A198="","",_xlfn.XLOOKUP(LOWER(TRIM(Base_Bruta!N198)),DePara_Pais!$A$2:$A$9,DePara_Pais!$B$2:$B$9,"REVISAR"))</f>
        <v>Brasil</v>
      </c>
      <c r="P198" s="4" t="str">
        <f aca="false">IF($A198="","",IF(O198&lt;&gt;"Brasil","Turista Internacional",IF(M198=F198,"Local","Turista Nacional")))</f>
        <v>Local</v>
      </c>
      <c r="Q198" s="7" t="n">
        <f aca="false">IF($A198="","",DATE(YEAR(B198),MONTH(B198),1))</f>
        <v>45839</v>
      </c>
      <c r="R198" s="4" t="str">
        <f aca="false">IF($A198="","",IF(COUNTIF($A$2:$A198,$A198)&gt;1,"Sim","Não"))</f>
        <v>Não</v>
      </c>
      <c r="S198" s="4" t="str">
        <f aca="false">IF(A198="","Descartar - Linha vazia",IF(R198="Sim","Descartar - Duplicado",IF(OR(H198&lt;=0,I198&lt;=0),"Descartar - Qtd/Valor inválido","OK")))</f>
        <v>OK</v>
      </c>
      <c r="T198" s="4" t="str">
        <f aca="false">Base_Bruta!P198</f>
        <v>vendas_SP.xlsx</v>
      </c>
    </row>
    <row r="199" customFormat="false" ht="15" hidden="false" customHeight="false" outlineLevel="0" collapsed="false">
      <c r="A199" s="4" t="str">
        <f aca="false">IF(Base_Bruta!A199="","",Base_Bruta!A199)</f>
        <v>SP-000226</v>
      </c>
      <c r="B199" s="5" t="n">
        <f aca="false">IF($A199="","",IF(ISNUMBER(Base_Bruta!B199),Base_Bruta!B199,IF(MID(Base_Bruta!B199,5,1)="-",DATE(VALUE(LEFT(Base_Bruta!B199,4)),VALUE(MID(Base_Bruta!B199,6,2)),VALUE(RIGHT(Base_Bruta!B199,2))),DATE(VALUE(RIGHT(Base_Bruta!B199,4)),VALUE(MID(Base_Bruta!B199,4,2)),VALUE(LEFT(Base_Bruta!B199,2))))))</f>
        <v>45866</v>
      </c>
      <c r="C199" s="5" t="n">
        <f aca="false">IF($A199="","",IF(ISNUMBER(Base_Bruta!C199),Base_Bruta!C199,IF(MID(Base_Bruta!C199,5,1)="-",DATE(VALUE(LEFT(Base_Bruta!C199,4)),VALUE(MID(Base_Bruta!C199,6,2)),VALUE(RIGHT(Base_Bruta!C199,2))),DATE(VALUE(RIGHT(Base_Bruta!C199,4)),VALUE(MID(Base_Bruta!C199,4,2)),VALUE(LEFT(Base_Bruta!C199,2))))))</f>
        <v>45976</v>
      </c>
      <c r="D199" s="4" t="str">
        <f aca="false">IF($A199="","",TRIM(Base_Bruta!D199))</f>
        <v>Festival Sonora SP 2025</v>
      </c>
      <c r="E199" s="4" t="str">
        <f aca="false">IF($A199="","",_xlfn.XLOOKUP(LOWER(TRIM(Base_Bruta!E199)),DePara_Categoria!$A$2:$A$9,DePara_Categoria!$B$2:$B$9,"REVISAR"))</f>
        <v>Festival</v>
      </c>
      <c r="F199" s="4" t="str">
        <f aca="false">IF($A199="","",_xlfn.XLOOKUP(LOWER(TRIM(Base_Bruta!F199)),DePara_Cidade!$A$2:$A$29,DePara_Cidade!$B$2:$B$29,"REVISAR"))</f>
        <v>São Paulo</v>
      </c>
      <c r="G199" s="4" t="str">
        <f aca="false">IF($A199="","",TRIM(Base_Bruta!G199))</f>
        <v>Meia</v>
      </c>
      <c r="H199" s="4" t="n">
        <f aca="false">IF($A199="","",IF(ISNUMBER(Base_Bruta!H199),Base_Bruta!H199,IFERROR(_xlfn.NUMBERVALUE(TRIM(SUBSTITUTE(Base_Bruta!H199,"R$","")),",","."),0)))</f>
        <v>1</v>
      </c>
      <c r="I199" s="6" t="n">
        <f aca="false">IF($A199="","",IF(ISNUMBER(Base_Bruta!I199),Base_Bruta!I199,IFERROR(_xlfn.NUMBERVALUE(TRIM(SUBSTITUTE(Base_Bruta!I199,"R$","")),",","."),0)))</f>
        <v>460</v>
      </c>
      <c r="J199" s="6" t="n">
        <f aca="false">IF($A199="","",H199*I199)</f>
        <v>460</v>
      </c>
      <c r="K199" s="4" t="str">
        <f aca="false">IF($A199="","",TRIM(Base_Bruta!J199))</f>
        <v>App</v>
      </c>
      <c r="L199" s="4" t="str">
        <f aca="false">IF($A199="","",TRIM(Base_Bruta!K199))</f>
        <v>C00670</v>
      </c>
      <c r="M199" s="4" t="str">
        <f aca="false">IF($A199="","",_xlfn.XLOOKUP(LOWER(TRIM(Base_Bruta!L199)),DePara_Cidade!$A$2:$A$29,DePara_Cidade!$B$2:$B$29,"REVISAR"))</f>
        <v>São Paulo</v>
      </c>
      <c r="N199" s="4" t="str">
        <f aca="false">IF($A199="","",UPPER(TRIM(Base_Bruta!M199)))</f>
        <v>SP</v>
      </c>
      <c r="O199" s="4" t="str">
        <f aca="false">IF($A199="","",_xlfn.XLOOKUP(LOWER(TRIM(Base_Bruta!N199)),DePara_Pais!$A$2:$A$9,DePara_Pais!$B$2:$B$9,"REVISAR"))</f>
        <v>Brasil</v>
      </c>
      <c r="P199" s="4" t="str">
        <f aca="false">IF($A199="","",IF(O199&lt;&gt;"Brasil","Turista Internacional",IF(M199=F199,"Local","Turista Nacional")))</f>
        <v>Local</v>
      </c>
      <c r="Q199" s="7" t="n">
        <f aca="false">IF($A199="","",DATE(YEAR(B199),MONTH(B199),1))</f>
        <v>45839</v>
      </c>
      <c r="R199" s="4" t="str">
        <f aca="false">IF($A199="","",IF(COUNTIF($A$2:$A199,$A199)&gt;1,"Sim","Não"))</f>
        <v>Não</v>
      </c>
      <c r="S199" s="4" t="str">
        <f aca="false">IF(A199="","Descartar - Linha vazia",IF(R199="Sim","Descartar - Duplicado",IF(OR(H199&lt;=0,I199&lt;=0),"Descartar - Qtd/Valor inválido","OK")))</f>
        <v>OK</v>
      </c>
      <c r="T199" s="4" t="str">
        <f aca="false">Base_Bruta!P199</f>
        <v>vendas_SP.xlsx</v>
      </c>
    </row>
    <row r="200" customFormat="false" ht="15" hidden="false" customHeight="false" outlineLevel="0" collapsed="false">
      <c r="A200" s="4" t="str">
        <f aca="false">IF(Base_Bruta!A200="","",Base_Bruta!A200)</f>
        <v>SP-000678</v>
      </c>
      <c r="B200" s="5" t="n">
        <f aca="false">IF($A200="","",IF(ISNUMBER(Base_Bruta!B200),Base_Bruta!B200,IF(MID(Base_Bruta!B200,5,1)="-",DATE(VALUE(LEFT(Base_Bruta!B200,4)),VALUE(MID(Base_Bruta!B200,6,2)),VALUE(RIGHT(Base_Bruta!B200,2))),DATE(VALUE(RIGHT(Base_Bruta!B200,4)),VALUE(MID(Base_Bruta!B200,4,2)),VALUE(LEFT(Base_Bruta!B200,2))))))</f>
        <v>45866</v>
      </c>
      <c r="C200" s="5" t="n">
        <f aca="false">IF($A200="","",IF(ISNUMBER(Base_Bruta!C200),Base_Bruta!C200,IF(MID(Base_Bruta!C200,5,1)="-",DATE(VALUE(LEFT(Base_Bruta!C200,4)),VALUE(MID(Base_Bruta!C200,6,2)),VALUE(RIGHT(Base_Bruta!C200,2))),DATE(VALUE(RIGHT(Base_Bruta!C200,4)),VALUE(MID(Base_Bruta!C200,4,2)),VALUE(LEFT(Base_Bruta!C200,2))))))</f>
        <v>45866</v>
      </c>
      <c r="D200" s="4" t="str">
        <f aca="false">IF($A200="","",TRIM(Base_Bruta!D200))</f>
        <v>Cinema Paulista - Sessões</v>
      </c>
      <c r="E200" s="4" t="str">
        <f aca="false">IF($A200="","",_xlfn.XLOOKUP(LOWER(TRIM(Base_Bruta!E200)),DePara_Categoria!$A$2:$A$9,DePara_Categoria!$B$2:$B$9,"REVISAR"))</f>
        <v>Cinema</v>
      </c>
      <c r="F200" s="4" t="str">
        <f aca="false">IF($A200="","",_xlfn.XLOOKUP(LOWER(TRIM(Base_Bruta!F200)),DePara_Cidade!$A$2:$A$29,DePara_Cidade!$B$2:$B$29,"REVISAR"))</f>
        <v>São Paulo</v>
      </c>
      <c r="G200" s="4" t="str">
        <f aca="false">IF($A200="","",TRIM(Base_Bruta!G200))</f>
        <v>Meia</v>
      </c>
      <c r="H200" s="4" t="n">
        <f aca="false">IF($A200="","",IF(ISNUMBER(Base_Bruta!H200),Base_Bruta!H200,IFERROR(_xlfn.NUMBERVALUE(TRIM(SUBSTITUTE(Base_Bruta!H200,"R$","")),",","."),0)))</f>
        <v>2</v>
      </c>
      <c r="I200" s="6" t="n">
        <f aca="false">IF($A200="","",IF(ISNUMBER(Base_Bruta!I200),Base_Bruta!I200,IFERROR(_xlfn.NUMBERVALUE(TRIM(SUBSTITUTE(Base_Bruta!I200,"R$","")),",","."),0)))</f>
        <v>22.5</v>
      </c>
      <c r="J200" s="6" t="n">
        <f aca="false">IF($A200="","",H200*I200)</f>
        <v>45</v>
      </c>
      <c r="K200" s="4" t="str">
        <f aca="false">IF($A200="","",TRIM(Base_Bruta!J200))</f>
        <v>App</v>
      </c>
      <c r="L200" s="4" t="str">
        <f aca="false">IF($A200="","",TRIM(Base_Bruta!K200))</f>
        <v>C01797</v>
      </c>
      <c r="M200" s="4" t="str">
        <f aca="false">IF($A200="","",_xlfn.XLOOKUP(LOWER(TRIM(Base_Bruta!L200)),DePara_Cidade!$A$2:$A$29,DePara_Cidade!$B$2:$B$29,"REVISAR"))</f>
        <v>São Paulo</v>
      </c>
      <c r="N200" s="4" t="str">
        <f aca="false">IF($A200="","",UPPER(TRIM(Base_Bruta!M200)))</f>
        <v>SP</v>
      </c>
      <c r="O200" s="4" t="str">
        <f aca="false">IF($A200="","",_xlfn.XLOOKUP(LOWER(TRIM(Base_Bruta!N200)),DePara_Pais!$A$2:$A$9,DePara_Pais!$B$2:$B$9,"REVISAR"))</f>
        <v>Brasil</v>
      </c>
      <c r="P200" s="4" t="str">
        <f aca="false">IF($A200="","",IF(O200&lt;&gt;"Brasil","Turista Internacional",IF(M200=F200,"Local","Turista Nacional")))</f>
        <v>Local</v>
      </c>
      <c r="Q200" s="7" t="n">
        <f aca="false">IF($A200="","",DATE(YEAR(B200),MONTH(B200),1))</f>
        <v>45839</v>
      </c>
      <c r="R200" s="4" t="str">
        <f aca="false">IF($A200="","",IF(COUNTIF($A$2:$A200,$A200)&gt;1,"Sim","Não"))</f>
        <v>Não</v>
      </c>
      <c r="S200" s="4" t="str">
        <f aca="false">IF(A200="","Descartar - Linha vazia",IF(R200="Sim","Descartar - Duplicado",IF(OR(H200&lt;=0,I200&lt;=0),"Descartar - Qtd/Valor inválido","OK")))</f>
        <v>OK</v>
      </c>
      <c r="T200" s="4" t="str">
        <f aca="false">Base_Bruta!P200</f>
        <v>vendas_SP.xlsx</v>
      </c>
    </row>
    <row r="201" customFormat="false" ht="15" hidden="false" customHeight="false" outlineLevel="0" collapsed="false">
      <c r="A201" s="4" t="str">
        <f aca="false">IF(Base_Bruta!A201="","",Base_Bruta!A201)</f>
        <v>SP-000010</v>
      </c>
      <c r="B201" s="5" t="n">
        <f aca="false">IF($A201="","",IF(ISNUMBER(Base_Bruta!B201),Base_Bruta!B201,IF(MID(Base_Bruta!B201,5,1)="-",DATE(VALUE(LEFT(Base_Bruta!B201,4)),VALUE(MID(Base_Bruta!B201,6,2)),VALUE(RIGHT(Base_Bruta!B201,2))),DATE(VALUE(RIGHT(Base_Bruta!B201,4)),VALUE(MID(Base_Bruta!B201,4,2)),VALUE(LEFT(Base_Bruta!B201,2))))))</f>
        <v>45867</v>
      </c>
      <c r="C201" s="5" t="n">
        <f aca="false">IF($A201="","",IF(ISNUMBER(Base_Bruta!C201),Base_Bruta!C201,IF(MID(Base_Bruta!C201,5,1)="-",DATE(VALUE(LEFT(Base_Bruta!C201,4)),VALUE(MID(Base_Bruta!C201,6,2)),VALUE(RIGHT(Base_Bruta!C201,2))),DATE(VALUE(RIGHT(Base_Bruta!C201,4)),VALUE(MID(Base_Bruta!C201,4,2)),VALUE(LEFT(Base_Bruta!C201,2))))))</f>
        <v>45976</v>
      </c>
      <c r="D201" s="4" t="str">
        <f aca="false">IF($A201="","",TRIM(Base_Bruta!D201))</f>
        <v>Festival Sonora SP 2025</v>
      </c>
      <c r="E201" s="4" t="str">
        <f aca="false">IF($A201="","",_xlfn.XLOOKUP(LOWER(TRIM(Base_Bruta!E201)),DePara_Categoria!$A$2:$A$9,DePara_Categoria!$B$2:$B$9,"REVISAR"))</f>
        <v>Festival</v>
      </c>
      <c r="F201" s="4" t="str">
        <f aca="false">IF($A201="","",_xlfn.XLOOKUP(LOWER(TRIM(Base_Bruta!F201)),DePara_Cidade!$A$2:$A$29,DePara_Cidade!$B$2:$B$29,"REVISAR"))</f>
        <v>São Paulo</v>
      </c>
      <c r="G201" s="4" t="str">
        <f aca="false">IF($A201="","",TRIM(Base_Bruta!G201))</f>
        <v>Meia</v>
      </c>
      <c r="H201" s="4" t="n">
        <f aca="false">IF($A201="","",IF(ISNUMBER(Base_Bruta!H201),Base_Bruta!H201,IFERROR(_xlfn.NUMBERVALUE(TRIM(SUBSTITUTE(Base_Bruta!H201,"R$","")),",","."),0)))</f>
        <v>1</v>
      </c>
      <c r="I201" s="6" t="n">
        <f aca="false">IF($A201="","",IF(ISNUMBER(Base_Bruta!I201),Base_Bruta!I201,IFERROR(_xlfn.NUMBERVALUE(TRIM(SUBSTITUTE(Base_Bruta!I201,"R$","")),",","."),0)))</f>
        <v>355</v>
      </c>
      <c r="J201" s="6" t="n">
        <f aca="false">IF($A201="","",H201*I201)</f>
        <v>355</v>
      </c>
      <c r="K201" s="4" t="str">
        <f aca="false">IF($A201="","",TRIM(Base_Bruta!J201))</f>
        <v>Site</v>
      </c>
      <c r="L201" s="4" t="str">
        <f aca="false">IF($A201="","",TRIM(Base_Bruta!K201))</f>
        <v>C00717</v>
      </c>
      <c r="M201" s="4" t="str">
        <f aca="false">IF($A201="","",_xlfn.XLOOKUP(LOWER(TRIM(Base_Bruta!L201)),DePara_Cidade!$A$2:$A$29,DePara_Cidade!$B$2:$B$29,"REVISAR"))</f>
        <v>Campinas</v>
      </c>
      <c r="N201" s="4" t="str">
        <f aca="false">IF($A201="","",UPPER(TRIM(Base_Bruta!M201)))</f>
        <v>SP</v>
      </c>
      <c r="O201" s="4" t="str">
        <f aca="false">IF($A201="","",_xlfn.XLOOKUP(LOWER(TRIM(Base_Bruta!N201)),DePara_Pais!$A$2:$A$9,DePara_Pais!$B$2:$B$9,"REVISAR"))</f>
        <v>Brasil</v>
      </c>
      <c r="P201" s="4" t="str">
        <f aca="false">IF($A201="","",IF(O201&lt;&gt;"Brasil","Turista Internacional",IF(M201=F201,"Local","Turista Nacional")))</f>
        <v>Turista Nacional</v>
      </c>
      <c r="Q201" s="7" t="n">
        <f aca="false">IF($A201="","",DATE(YEAR(B201),MONTH(B201),1))</f>
        <v>45839</v>
      </c>
      <c r="R201" s="4" t="str">
        <f aca="false">IF($A201="","",IF(COUNTIF($A$2:$A201,$A201)&gt;1,"Sim","Não"))</f>
        <v>Não</v>
      </c>
      <c r="S201" s="4" t="str">
        <f aca="false">IF(A201="","Descartar - Linha vazia",IF(R201="Sim","Descartar - Duplicado",IF(OR(H201&lt;=0,I201&lt;=0),"Descartar - Qtd/Valor inválido","OK")))</f>
        <v>OK</v>
      </c>
      <c r="T201" s="4" t="str">
        <f aca="false">Base_Bruta!P201</f>
        <v>vendas_SP.xlsx</v>
      </c>
    </row>
    <row r="202" customFormat="false" ht="15" hidden="false" customHeight="false" outlineLevel="0" collapsed="false">
      <c r="A202" s="4" t="str">
        <f aca="false">IF(Base_Bruta!A202="","",Base_Bruta!A202)</f>
        <v>SP-000202</v>
      </c>
      <c r="B202" s="5" t="n">
        <f aca="false">IF($A202="","",IF(ISNUMBER(Base_Bruta!B202),Base_Bruta!B202,IF(MID(Base_Bruta!B202,5,1)="-",DATE(VALUE(LEFT(Base_Bruta!B202,4)),VALUE(MID(Base_Bruta!B202,6,2)),VALUE(RIGHT(Base_Bruta!B202,2))),DATE(VALUE(RIGHT(Base_Bruta!B202,4)),VALUE(MID(Base_Bruta!B202,4,2)),VALUE(LEFT(Base_Bruta!B202,2))))))</f>
        <v>45859</v>
      </c>
      <c r="C202" s="5" t="n">
        <f aca="false">IF($A202="","",IF(ISNUMBER(Base_Bruta!C202),Base_Bruta!C202,IF(MID(Base_Bruta!C202,5,1)="-",DATE(VALUE(LEFT(Base_Bruta!C202,4)),VALUE(MID(Base_Bruta!C202,6,2)),VALUE(RIGHT(Base_Bruta!C202,2))),DATE(VALUE(RIGHT(Base_Bruta!C202,4)),VALUE(MID(Base_Bruta!C202,4,2)),VALUE(LEFT(Base_Bruta!C202,2))))))</f>
        <v>45976</v>
      </c>
      <c r="D202" s="4" t="str">
        <f aca="false">IF($A202="","",TRIM(Base_Bruta!D202))</f>
        <v>Festival Sonora SP 2025</v>
      </c>
      <c r="E202" s="4" t="str">
        <f aca="false">IF($A202="","",_xlfn.XLOOKUP(LOWER(TRIM(Base_Bruta!E202)),DePara_Categoria!$A$2:$A$9,DePara_Categoria!$B$2:$B$9,"REVISAR"))</f>
        <v>Festival</v>
      </c>
      <c r="F202" s="4" t="str">
        <f aca="false">IF($A202="","",_xlfn.XLOOKUP(LOWER(TRIM(Base_Bruta!F202)),DePara_Cidade!$A$2:$A$29,DePara_Cidade!$B$2:$B$29,"REVISAR"))</f>
        <v>São Paulo</v>
      </c>
      <c r="G202" s="4" t="str">
        <f aca="false">IF($A202="","",TRIM(Base_Bruta!G202))</f>
        <v>Meia</v>
      </c>
      <c r="H202" s="4" t="n">
        <f aca="false">IF($A202="","",IF(ISNUMBER(Base_Bruta!H202),Base_Bruta!H202,IFERROR(_xlfn.NUMBERVALUE(TRIM(SUBSTITUTE(Base_Bruta!H202,"R$","")),",","."),0)))</f>
        <v>2</v>
      </c>
      <c r="I202" s="6" t="n">
        <f aca="false">IF($A202="","",IF(ISNUMBER(Base_Bruta!I202),Base_Bruta!I202,IFERROR(_xlfn.NUMBERVALUE(TRIM(SUBSTITUTE(Base_Bruta!I202,"R$","")),",","."),0)))</f>
        <v>395</v>
      </c>
      <c r="J202" s="6" t="n">
        <f aca="false">IF($A202="","",H202*I202)</f>
        <v>790</v>
      </c>
      <c r="K202" s="4" t="str">
        <f aca="false">IF($A202="","",TRIM(Base_Bruta!J202))</f>
        <v>Site</v>
      </c>
      <c r="L202" s="4" t="str">
        <f aca="false">IF($A202="","",TRIM(Base_Bruta!K202))</f>
        <v>C01529</v>
      </c>
      <c r="M202" s="4" t="str">
        <f aca="false">IF($A202="","",_xlfn.XLOOKUP(LOWER(TRIM(Base_Bruta!L202)),DePara_Cidade!$A$2:$A$29,DePara_Cidade!$B$2:$B$29,"REVISAR"))</f>
        <v>São Paulo</v>
      </c>
      <c r="N202" s="4" t="str">
        <f aca="false">IF($A202="","",UPPER(TRIM(Base_Bruta!M202)))</f>
        <v>SP</v>
      </c>
      <c r="O202" s="4" t="str">
        <f aca="false">IF($A202="","",_xlfn.XLOOKUP(LOWER(TRIM(Base_Bruta!N202)),DePara_Pais!$A$2:$A$9,DePara_Pais!$B$2:$B$9,"REVISAR"))</f>
        <v>Brasil</v>
      </c>
      <c r="P202" s="4" t="str">
        <f aca="false">IF($A202="","",IF(O202&lt;&gt;"Brasil","Turista Internacional",IF(M202=F202,"Local","Turista Nacional")))</f>
        <v>Local</v>
      </c>
      <c r="Q202" s="7" t="n">
        <f aca="false">IF($A202="","",DATE(YEAR(B202),MONTH(B202),1))</f>
        <v>45839</v>
      </c>
      <c r="R202" s="4" t="str">
        <f aca="false">IF($A202="","",IF(COUNTIF($A$2:$A202,$A202)&gt;1,"Sim","Não"))</f>
        <v>Sim</v>
      </c>
      <c r="S202" s="4" t="str">
        <f aca="false">IF(A202="","Descartar - Linha vazia",IF(R202="Sim","Descartar - Duplicado",IF(OR(H202&lt;=0,I202&lt;=0),"Descartar - Qtd/Valor inválido","OK")))</f>
        <v>Descartar - Duplicado</v>
      </c>
      <c r="T202" s="4" t="str">
        <f aca="false">Base_Bruta!P202</f>
        <v>vendas_SP.xlsx</v>
      </c>
    </row>
    <row r="203" customFormat="false" ht="15" hidden="false" customHeight="false" outlineLevel="0" collapsed="false">
      <c r="A203" s="4" t="str">
        <f aca="false">IF(Base_Bruta!A203="","",Base_Bruta!A203)</f>
        <v>SP-000093</v>
      </c>
      <c r="B203" s="5" t="n">
        <f aca="false">IF($A203="","",IF(ISNUMBER(Base_Bruta!B203),Base_Bruta!B203,IF(MID(Base_Bruta!B203,5,1)="-",DATE(VALUE(LEFT(Base_Bruta!B203,4)),VALUE(MID(Base_Bruta!B203,6,2)),VALUE(RIGHT(Base_Bruta!B203,2))),DATE(VALUE(RIGHT(Base_Bruta!B203,4)),VALUE(MID(Base_Bruta!B203,4,2)),VALUE(LEFT(Base_Bruta!B203,2))))))</f>
        <v>45867</v>
      </c>
      <c r="C203" s="5" t="n">
        <f aca="false">IF($A203="","",IF(ISNUMBER(Base_Bruta!C203),Base_Bruta!C203,IF(MID(Base_Bruta!C203,5,1)="-",DATE(VALUE(LEFT(Base_Bruta!C203,4)),VALUE(MID(Base_Bruta!C203,6,2)),VALUE(RIGHT(Base_Bruta!C203,2))),DATE(VALUE(RIGHT(Base_Bruta!C203,4)),VALUE(MID(Base_Bruta!C203,4,2)),VALUE(LEFT(Base_Bruta!C203,2))))))</f>
        <v>45976</v>
      </c>
      <c r="D203" s="4" t="str">
        <f aca="false">IF($A203="","",TRIM(Base_Bruta!D203))</f>
        <v>Festival Sonora SP 2025</v>
      </c>
      <c r="E203" s="4" t="str">
        <f aca="false">IF($A203="","",_xlfn.XLOOKUP(LOWER(TRIM(Base_Bruta!E203)),DePara_Categoria!$A$2:$A$9,DePara_Categoria!$B$2:$B$9,"REVISAR"))</f>
        <v>Festival</v>
      </c>
      <c r="F203" s="4" t="str">
        <f aca="false">IF($A203="","",_xlfn.XLOOKUP(LOWER(TRIM(Base_Bruta!F203)),DePara_Cidade!$A$2:$A$29,DePara_Cidade!$B$2:$B$29,"REVISAR"))</f>
        <v>São Paulo</v>
      </c>
      <c r="G203" s="4" t="str">
        <f aca="false">IF($A203="","",TRIM(Base_Bruta!G203))</f>
        <v>Inteira</v>
      </c>
      <c r="H203" s="4" t="n">
        <f aca="false">IF($A203="","",IF(ISNUMBER(Base_Bruta!H203),Base_Bruta!H203,IFERROR(_xlfn.NUMBERVALUE(TRIM(SUBSTITUTE(Base_Bruta!H203,"R$","")),",","."),0)))</f>
        <v>2</v>
      </c>
      <c r="I203" s="6" t="n">
        <f aca="false">IF($A203="","",IF(ISNUMBER(Base_Bruta!I203),Base_Bruta!I203,IFERROR(_xlfn.NUMBERVALUE(TRIM(SUBSTITUTE(Base_Bruta!I203,"R$","")),",","."),0)))</f>
        <v>1000</v>
      </c>
      <c r="J203" s="6" t="n">
        <f aca="false">IF($A203="","",H203*I203)</f>
        <v>2000</v>
      </c>
      <c r="K203" s="4" t="str">
        <f aca="false">IF($A203="","",TRIM(Base_Bruta!J203))</f>
        <v>Site</v>
      </c>
      <c r="L203" s="4" t="str">
        <f aca="false">IF($A203="","",TRIM(Base_Bruta!K203))</f>
        <v>C01493</v>
      </c>
      <c r="M203" s="4" t="str">
        <f aca="false">IF($A203="","",_xlfn.XLOOKUP(LOWER(TRIM(Base_Bruta!L203)),DePara_Cidade!$A$2:$A$29,DePara_Cidade!$B$2:$B$29,"REVISAR"))</f>
        <v>São Paulo</v>
      </c>
      <c r="N203" s="4" t="str">
        <f aca="false">IF($A203="","",UPPER(TRIM(Base_Bruta!M203)))</f>
        <v>SP</v>
      </c>
      <c r="O203" s="4" t="str">
        <f aca="false">IF($A203="","",_xlfn.XLOOKUP(LOWER(TRIM(Base_Bruta!N203)),DePara_Pais!$A$2:$A$9,DePara_Pais!$B$2:$B$9,"REVISAR"))</f>
        <v>Brasil</v>
      </c>
      <c r="P203" s="4" t="str">
        <f aca="false">IF($A203="","",IF(O203&lt;&gt;"Brasil","Turista Internacional",IF(M203=F203,"Local","Turista Nacional")))</f>
        <v>Local</v>
      </c>
      <c r="Q203" s="7" t="n">
        <f aca="false">IF($A203="","",DATE(YEAR(B203),MONTH(B203),1))</f>
        <v>45839</v>
      </c>
      <c r="R203" s="4" t="str">
        <f aca="false">IF($A203="","",IF(COUNTIF($A$2:$A203,$A203)&gt;1,"Sim","Não"))</f>
        <v>Não</v>
      </c>
      <c r="S203" s="4" t="str">
        <f aca="false">IF(A203="","Descartar - Linha vazia",IF(R203="Sim","Descartar - Duplicado",IF(OR(H203&lt;=0,I203&lt;=0),"Descartar - Qtd/Valor inválido","OK")))</f>
        <v>OK</v>
      </c>
      <c r="T203" s="4" t="str">
        <f aca="false">Base_Bruta!P203</f>
        <v>vendas_SP.xlsx</v>
      </c>
    </row>
    <row r="204" customFormat="false" ht="15" hidden="false" customHeight="false" outlineLevel="0" collapsed="false">
      <c r="A204" s="4" t="str">
        <f aca="false">IF(Base_Bruta!A204="","",Base_Bruta!A204)</f>
        <v>SP-000134</v>
      </c>
      <c r="B204" s="5" t="n">
        <f aca="false">IF($A204="","",IF(ISNUMBER(Base_Bruta!B204),Base_Bruta!B204,IF(MID(Base_Bruta!B204,5,1)="-",DATE(VALUE(LEFT(Base_Bruta!B204,4)),VALUE(MID(Base_Bruta!B204,6,2)),VALUE(RIGHT(Base_Bruta!B204,2))),DATE(VALUE(RIGHT(Base_Bruta!B204,4)),VALUE(MID(Base_Bruta!B204,4,2)),VALUE(LEFT(Base_Bruta!B204,2))))))</f>
        <v>45867</v>
      </c>
      <c r="C204" s="5" t="n">
        <f aca="false">IF($A204="","",IF(ISNUMBER(Base_Bruta!C204),Base_Bruta!C204,IF(MID(Base_Bruta!C204,5,1)="-",DATE(VALUE(LEFT(Base_Bruta!C204,4)),VALUE(MID(Base_Bruta!C204,6,2)),VALUE(RIGHT(Base_Bruta!C204,2))),DATE(VALUE(RIGHT(Base_Bruta!C204,4)),VALUE(MID(Base_Bruta!C204,4,2)),VALUE(LEFT(Base_Bruta!C204,2))))))</f>
        <v>45976</v>
      </c>
      <c r="D204" s="4" t="str">
        <f aca="false">IF($A204="","",TRIM(Base_Bruta!D204))</f>
        <v>Festival Sonora SP 2025</v>
      </c>
      <c r="E204" s="4" t="str">
        <f aca="false">IF($A204="","",_xlfn.XLOOKUP(LOWER(TRIM(Base_Bruta!E204)),DePara_Categoria!$A$2:$A$9,DePara_Categoria!$B$2:$B$9,"REVISAR"))</f>
        <v>Festival</v>
      </c>
      <c r="F204" s="4" t="str">
        <f aca="false">IF($A204="","",_xlfn.XLOOKUP(LOWER(TRIM(Base_Bruta!F204)),DePara_Cidade!$A$2:$A$29,DePara_Cidade!$B$2:$B$29,"REVISAR"))</f>
        <v>São Paulo</v>
      </c>
      <c r="G204" s="4" t="str">
        <f aca="false">IF($A204="","",TRIM(Base_Bruta!G204))</f>
        <v>Inteira</v>
      </c>
      <c r="H204" s="4" t="n">
        <f aca="false">IF($A204="","",IF(ISNUMBER(Base_Bruta!H204),Base_Bruta!H204,IFERROR(_xlfn.NUMBERVALUE(TRIM(SUBSTITUTE(Base_Bruta!H204,"R$","")),",","."),0)))</f>
        <v>2</v>
      </c>
      <c r="I204" s="6" t="n">
        <f aca="false">IF($A204="","",IF(ISNUMBER(Base_Bruta!I204),Base_Bruta!I204,IFERROR(_xlfn.NUMBERVALUE(TRIM(SUBSTITUTE(Base_Bruta!I204,"R$","")),",","."),0)))</f>
        <v>990</v>
      </c>
      <c r="J204" s="6" t="n">
        <f aca="false">IF($A204="","",H204*I204)</f>
        <v>1980</v>
      </c>
      <c r="K204" s="4" t="str">
        <f aca="false">IF($A204="","",TRIM(Base_Bruta!J204))</f>
        <v>App</v>
      </c>
      <c r="L204" s="4" t="str">
        <f aca="false">IF($A204="","",TRIM(Base_Bruta!K204))</f>
        <v>C02061</v>
      </c>
      <c r="M204" s="4" t="str">
        <f aca="false">IF($A204="","",_xlfn.XLOOKUP(LOWER(TRIM(Base_Bruta!L204)),DePara_Cidade!$A$2:$A$29,DePara_Cidade!$B$2:$B$29,"REVISAR"))</f>
        <v>Santos</v>
      </c>
      <c r="N204" s="4" t="str">
        <f aca="false">IF($A204="","",UPPER(TRIM(Base_Bruta!M204)))</f>
        <v>SP</v>
      </c>
      <c r="O204" s="4" t="str">
        <f aca="false">IF($A204="","",_xlfn.XLOOKUP(LOWER(TRIM(Base_Bruta!N204)),DePara_Pais!$A$2:$A$9,DePara_Pais!$B$2:$B$9,"REVISAR"))</f>
        <v>Brasil</v>
      </c>
      <c r="P204" s="4" t="str">
        <f aca="false">IF($A204="","",IF(O204&lt;&gt;"Brasil","Turista Internacional",IF(M204=F204,"Local","Turista Nacional")))</f>
        <v>Turista Nacional</v>
      </c>
      <c r="Q204" s="7" t="n">
        <f aca="false">IF($A204="","",DATE(YEAR(B204),MONTH(B204),1))</f>
        <v>45839</v>
      </c>
      <c r="R204" s="4" t="str">
        <f aca="false">IF($A204="","",IF(COUNTIF($A$2:$A204,$A204)&gt;1,"Sim","Não"))</f>
        <v>Não</v>
      </c>
      <c r="S204" s="4" t="str">
        <f aca="false">IF(A204="","Descartar - Linha vazia",IF(R204="Sim","Descartar - Duplicado",IF(OR(H204&lt;=0,I204&lt;=0),"Descartar - Qtd/Valor inválido","OK")))</f>
        <v>OK</v>
      </c>
      <c r="T204" s="4" t="str">
        <f aca="false">Base_Bruta!P204</f>
        <v>vendas_SP.xlsx</v>
      </c>
    </row>
    <row r="205" customFormat="false" ht="15" hidden="false" customHeight="false" outlineLevel="0" collapsed="false">
      <c r="A205" s="4" t="str">
        <f aca="false">IF(Base_Bruta!A205="","",Base_Bruta!A205)</f>
        <v>SP-000171</v>
      </c>
      <c r="B205" s="5" t="n">
        <f aca="false">IF($A205="","",IF(ISNUMBER(Base_Bruta!B205),Base_Bruta!B205,IF(MID(Base_Bruta!B205,5,1)="-",DATE(VALUE(LEFT(Base_Bruta!B205,4)),VALUE(MID(Base_Bruta!B205,6,2)),VALUE(RIGHT(Base_Bruta!B205,2))),DATE(VALUE(RIGHT(Base_Bruta!B205,4)),VALUE(MID(Base_Bruta!B205,4,2)),VALUE(LEFT(Base_Bruta!B205,2))))))</f>
        <v>45867</v>
      </c>
      <c r="C205" s="5" t="n">
        <f aca="false">IF($A205="","",IF(ISNUMBER(Base_Bruta!C205),Base_Bruta!C205,IF(MID(Base_Bruta!C205,5,1)="-",DATE(VALUE(LEFT(Base_Bruta!C205,4)),VALUE(MID(Base_Bruta!C205,6,2)),VALUE(RIGHT(Base_Bruta!C205,2))),DATE(VALUE(RIGHT(Base_Bruta!C205,4)),VALUE(MID(Base_Bruta!C205,4,2)),VALUE(LEFT(Base_Bruta!C205,2))))))</f>
        <v>45976</v>
      </c>
      <c r="D205" s="4" t="str">
        <f aca="false">IF($A205="","",TRIM(Base_Bruta!D205))</f>
        <v>Festival Sonora SP 2025</v>
      </c>
      <c r="E205" s="4" t="str">
        <f aca="false">IF($A205="","",_xlfn.XLOOKUP(LOWER(TRIM(Base_Bruta!E205)),DePara_Categoria!$A$2:$A$9,DePara_Categoria!$B$2:$B$9,"REVISAR"))</f>
        <v>Festival</v>
      </c>
      <c r="F205" s="4" t="str">
        <f aca="false">IF($A205="","",_xlfn.XLOOKUP(LOWER(TRIM(Base_Bruta!F205)),DePara_Cidade!$A$2:$A$29,DePara_Cidade!$B$2:$B$29,"REVISAR"))</f>
        <v>São Paulo</v>
      </c>
      <c r="G205" s="4" t="str">
        <f aca="false">IF($A205="","",TRIM(Base_Bruta!G205))</f>
        <v>Inteira</v>
      </c>
      <c r="H205" s="4" t="n">
        <f aca="false">IF($A205="","",IF(ISNUMBER(Base_Bruta!H205),Base_Bruta!H205,IFERROR(_xlfn.NUMBERVALUE(TRIM(SUBSTITUTE(Base_Bruta!H205,"R$","")),",","."),0)))</f>
        <v>1</v>
      </c>
      <c r="I205" s="6" t="n">
        <f aca="false">IF($A205="","",IF(ISNUMBER(Base_Bruta!I205),Base_Bruta!I205,IFERROR(_xlfn.NUMBERVALUE(TRIM(SUBSTITUTE(Base_Bruta!I205,"R$","")),",","."),0)))</f>
        <v>935</v>
      </c>
      <c r="J205" s="6" t="n">
        <f aca="false">IF($A205="","",H205*I205)</f>
        <v>935</v>
      </c>
      <c r="K205" s="4" t="str">
        <f aca="false">IF($A205="","",TRIM(Base_Bruta!J205))</f>
        <v>Site</v>
      </c>
      <c r="L205" s="4" t="str">
        <f aca="false">IF($A205="","",TRIM(Base_Bruta!K205))</f>
        <v>C00147</v>
      </c>
      <c r="M205" s="4" t="str">
        <f aca="false">IF($A205="","",_xlfn.XLOOKUP(LOWER(TRIM(Base_Bruta!L205)),DePara_Cidade!$A$2:$A$29,DePara_Cidade!$B$2:$B$29,"REVISAR"))</f>
        <v>São Paulo</v>
      </c>
      <c r="N205" s="4" t="str">
        <f aca="false">IF($A205="","",UPPER(TRIM(Base_Bruta!M205)))</f>
        <v>SP</v>
      </c>
      <c r="O205" s="4" t="str">
        <f aca="false">IF($A205="","",_xlfn.XLOOKUP(LOWER(TRIM(Base_Bruta!N205)),DePara_Pais!$A$2:$A$9,DePara_Pais!$B$2:$B$9,"REVISAR"))</f>
        <v>Brasil</v>
      </c>
      <c r="P205" s="4" t="str">
        <f aca="false">IF($A205="","",IF(O205&lt;&gt;"Brasil","Turista Internacional",IF(M205=F205,"Local","Turista Nacional")))</f>
        <v>Local</v>
      </c>
      <c r="Q205" s="7" t="n">
        <f aca="false">IF($A205="","",DATE(YEAR(B205),MONTH(B205),1))</f>
        <v>45839</v>
      </c>
      <c r="R205" s="4" t="str">
        <f aca="false">IF($A205="","",IF(COUNTIF($A$2:$A205,$A205)&gt;1,"Sim","Não"))</f>
        <v>Não</v>
      </c>
      <c r="S205" s="4" t="str">
        <f aca="false">IF(A205="","Descartar - Linha vazia",IF(R205="Sim","Descartar - Duplicado",IF(OR(H205&lt;=0,I205&lt;=0),"Descartar - Qtd/Valor inválido","OK")))</f>
        <v>OK</v>
      </c>
      <c r="T205" s="4" t="str">
        <f aca="false">Base_Bruta!P205</f>
        <v>vendas_SP.xlsx</v>
      </c>
    </row>
    <row r="206" customFormat="false" ht="15" hidden="false" customHeight="false" outlineLevel="0" collapsed="false">
      <c r="A206" s="4" t="str">
        <f aca="false">IF(Base_Bruta!A206="","",Base_Bruta!A206)</f>
        <v>SP-000172</v>
      </c>
      <c r="B206" s="5" t="n">
        <f aca="false">IF($A206="","",IF(ISNUMBER(Base_Bruta!B206),Base_Bruta!B206,IF(MID(Base_Bruta!B206,5,1)="-",DATE(VALUE(LEFT(Base_Bruta!B206,4)),VALUE(MID(Base_Bruta!B206,6,2)),VALUE(RIGHT(Base_Bruta!B206,2))),DATE(VALUE(RIGHT(Base_Bruta!B206,4)),VALUE(MID(Base_Bruta!B206,4,2)),VALUE(LEFT(Base_Bruta!B206,2))))))</f>
        <v>45867</v>
      </c>
      <c r="C206" s="5" t="n">
        <f aca="false">IF($A206="","",IF(ISNUMBER(Base_Bruta!C206),Base_Bruta!C206,IF(MID(Base_Bruta!C206,5,1)="-",DATE(VALUE(LEFT(Base_Bruta!C206,4)),VALUE(MID(Base_Bruta!C206,6,2)),VALUE(RIGHT(Base_Bruta!C206,2))),DATE(VALUE(RIGHT(Base_Bruta!C206,4)),VALUE(MID(Base_Bruta!C206,4,2)),VALUE(LEFT(Base_Bruta!C206,2))))))</f>
        <v>45976</v>
      </c>
      <c r="D206" s="4" t="str">
        <f aca="false">IF($A206="","",TRIM(Base_Bruta!D206))</f>
        <v>Festival Sonora SP 2025</v>
      </c>
      <c r="E206" s="4" t="str">
        <f aca="false">IF($A206="","",_xlfn.XLOOKUP(LOWER(TRIM(Base_Bruta!E206)),DePara_Categoria!$A$2:$A$9,DePara_Categoria!$B$2:$B$9,"REVISAR"))</f>
        <v>Festival</v>
      </c>
      <c r="F206" s="4" t="str">
        <f aca="false">IF($A206="","",_xlfn.XLOOKUP(LOWER(TRIM(Base_Bruta!F206)),DePara_Cidade!$A$2:$A$29,DePara_Cidade!$B$2:$B$29,"REVISAR"))</f>
        <v>São Paulo</v>
      </c>
      <c r="G206" s="4" t="str">
        <f aca="false">IF($A206="","",TRIM(Base_Bruta!G206))</f>
        <v>VIP</v>
      </c>
      <c r="H206" s="4" t="n">
        <f aca="false">IF($A206="","",IF(ISNUMBER(Base_Bruta!H206),Base_Bruta!H206,IFERROR(_xlfn.NUMBERVALUE(TRIM(SUBSTITUTE(Base_Bruta!H206,"R$","")),",","."),0)))</f>
        <v>1</v>
      </c>
      <c r="I206" s="6" t="n">
        <f aca="false">IF($A206="","",IF(ISNUMBER(Base_Bruta!I206),Base_Bruta!I206,IFERROR(_xlfn.NUMBERVALUE(TRIM(SUBSTITUTE(Base_Bruta!I206,"R$","")),",","."),0)))</f>
        <v>1340</v>
      </c>
      <c r="J206" s="6" t="n">
        <f aca="false">IF($A206="","",H206*I206)</f>
        <v>1340</v>
      </c>
      <c r="K206" s="4" t="str">
        <f aca="false">IF($A206="","",TRIM(Base_Bruta!J206))</f>
        <v>Site</v>
      </c>
      <c r="L206" s="4" t="str">
        <f aca="false">IF($A206="","",TRIM(Base_Bruta!K206))</f>
        <v>C00478</v>
      </c>
      <c r="M206" s="4" t="str">
        <f aca="false">IF($A206="","",_xlfn.XLOOKUP(LOWER(TRIM(Base_Bruta!L206)),DePara_Cidade!$A$2:$A$29,DePara_Cidade!$B$2:$B$29,"REVISAR"))</f>
        <v>Campinas</v>
      </c>
      <c r="N206" s="4" t="str">
        <f aca="false">IF($A206="","",UPPER(TRIM(Base_Bruta!M206)))</f>
        <v>SP</v>
      </c>
      <c r="O206" s="4" t="str">
        <f aca="false">IF($A206="","",_xlfn.XLOOKUP(LOWER(TRIM(Base_Bruta!N206)),DePara_Pais!$A$2:$A$9,DePara_Pais!$B$2:$B$9,"REVISAR"))</f>
        <v>Brasil</v>
      </c>
      <c r="P206" s="4" t="str">
        <f aca="false">IF($A206="","",IF(O206&lt;&gt;"Brasil","Turista Internacional",IF(M206=F206,"Local","Turista Nacional")))</f>
        <v>Turista Nacional</v>
      </c>
      <c r="Q206" s="7" t="n">
        <f aca="false">IF($A206="","",DATE(YEAR(B206),MONTH(B206),1))</f>
        <v>45839</v>
      </c>
      <c r="R206" s="4" t="str">
        <f aca="false">IF($A206="","",IF(COUNTIF($A$2:$A206,$A206)&gt;1,"Sim","Não"))</f>
        <v>Não</v>
      </c>
      <c r="S206" s="4" t="str">
        <f aca="false">IF(A206="","Descartar - Linha vazia",IF(R206="Sim","Descartar - Duplicado",IF(OR(H206&lt;=0,I206&lt;=0),"Descartar - Qtd/Valor inválido","OK")))</f>
        <v>OK</v>
      </c>
      <c r="T206" s="4" t="str">
        <f aca="false">Base_Bruta!P206</f>
        <v>vendas_SP.xlsx</v>
      </c>
    </row>
    <row r="207" customFormat="false" ht="15" hidden="false" customHeight="false" outlineLevel="0" collapsed="false">
      <c r="A207" s="4" t="str">
        <f aca="false">IF(Base_Bruta!A207="","",Base_Bruta!A207)</f>
        <v>SP-000496</v>
      </c>
      <c r="B207" s="5" t="n">
        <f aca="false">IF($A207="","",IF(ISNUMBER(Base_Bruta!B207),Base_Bruta!B207,IF(MID(Base_Bruta!B207,5,1)="-",DATE(VALUE(LEFT(Base_Bruta!B207,4)),VALUE(MID(Base_Bruta!B207,6,2)),VALUE(RIGHT(Base_Bruta!B207,2))),DATE(VALUE(RIGHT(Base_Bruta!B207,4)),VALUE(MID(Base_Bruta!B207,4,2)),VALUE(LEFT(Base_Bruta!B207,2))))))</f>
        <v>45867</v>
      </c>
      <c r="C207" s="5" t="n">
        <f aca="false">IF($A207="","",IF(ISNUMBER(Base_Bruta!C207),Base_Bruta!C207,IF(MID(Base_Bruta!C207,5,1)="-",DATE(VALUE(LEFT(Base_Bruta!C207,4)),VALUE(MID(Base_Bruta!C207,6,2)),VALUE(RIGHT(Base_Bruta!C207,2))),DATE(VALUE(RIGHT(Base_Bruta!C207,4)),VALUE(MID(Base_Bruta!C207,4,2)),VALUE(LEFT(Base_Bruta!C207,2))))))</f>
        <v>45934</v>
      </c>
      <c r="D207" s="4" t="str">
        <f aca="false">IF($A207="","",TRIM(Base_Bruta!D207))</f>
        <v>Turnê Internacional Pop - SP</v>
      </c>
      <c r="E207" s="4" t="str">
        <f aca="false">IF($A207="","",_xlfn.XLOOKUP(LOWER(TRIM(Base_Bruta!E207)),DePara_Categoria!$A$2:$A$9,DePara_Categoria!$B$2:$B$9,"REVISAR"))</f>
        <v>Show</v>
      </c>
      <c r="F207" s="4" t="str">
        <f aca="false">IF($A207="","",_xlfn.XLOOKUP(LOWER(TRIM(Base_Bruta!F207)),DePara_Cidade!$A$2:$A$29,DePara_Cidade!$B$2:$B$29,"REVISAR"))</f>
        <v>São Paulo</v>
      </c>
      <c r="G207" s="4" t="str">
        <f aca="false">IF($A207="","",TRIM(Base_Bruta!G207))</f>
        <v>VIP</v>
      </c>
      <c r="H207" s="4" t="n">
        <f aca="false">IF($A207="","",IF(ISNUMBER(Base_Bruta!H207),Base_Bruta!H207,IFERROR(_xlfn.NUMBERVALUE(TRIM(SUBSTITUTE(Base_Bruta!H207,"R$","")),",","."),0)))</f>
        <v>1</v>
      </c>
      <c r="I207" s="6" t="n">
        <f aca="false">IF($A207="","",IF(ISNUMBER(Base_Bruta!I207),Base_Bruta!I207,IFERROR(_xlfn.NUMBERVALUE(TRIM(SUBSTITUTE(Base_Bruta!I207,"R$","")),",","."),0)))</f>
        <v>1290</v>
      </c>
      <c r="J207" s="6" t="n">
        <f aca="false">IF($A207="","",H207*I207)</f>
        <v>1290</v>
      </c>
      <c r="K207" s="4" t="str">
        <f aca="false">IF($A207="","",TRIM(Base_Bruta!J207))</f>
        <v>App</v>
      </c>
      <c r="L207" s="4" t="str">
        <f aca="false">IF($A207="","",TRIM(Base_Bruta!K207))</f>
        <v>C02023</v>
      </c>
      <c r="M207" s="4" t="str">
        <f aca="false">IF($A207="","",_xlfn.XLOOKUP(LOWER(TRIM(Base_Bruta!L207)),DePara_Cidade!$A$2:$A$29,DePara_Cidade!$B$2:$B$29,"REVISAR"))</f>
        <v>São Paulo</v>
      </c>
      <c r="N207" s="4" t="str">
        <f aca="false">IF($A207="","",UPPER(TRIM(Base_Bruta!M207)))</f>
        <v>SP</v>
      </c>
      <c r="O207" s="4" t="str">
        <f aca="false">IF($A207="","",_xlfn.XLOOKUP(LOWER(TRIM(Base_Bruta!N207)),DePara_Pais!$A$2:$A$9,DePara_Pais!$B$2:$B$9,"REVISAR"))</f>
        <v>Brasil</v>
      </c>
      <c r="P207" s="4" t="str">
        <f aca="false">IF($A207="","",IF(O207&lt;&gt;"Brasil","Turista Internacional",IF(M207=F207,"Local","Turista Nacional")))</f>
        <v>Local</v>
      </c>
      <c r="Q207" s="7" t="n">
        <f aca="false">IF($A207="","",DATE(YEAR(B207),MONTH(B207),1))</f>
        <v>45839</v>
      </c>
      <c r="R207" s="4" t="str">
        <f aca="false">IF($A207="","",IF(COUNTIF($A$2:$A207,$A207)&gt;1,"Sim","Não"))</f>
        <v>Não</v>
      </c>
      <c r="S207" s="4" t="str">
        <f aca="false">IF(A207="","Descartar - Linha vazia",IF(R207="Sim","Descartar - Duplicado",IF(OR(H207&lt;=0,I207&lt;=0),"Descartar - Qtd/Valor inválido","OK")))</f>
        <v>OK</v>
      </c>
      <c r="T207" s="4" t="str">
        <f aca="false">Base_Bruta!P207</f>
        <v>vendas_SP.xlsx</v>
      </c>
    </row>
    <row r="208" customFormat="false" ht="15" hidden="false" customHeight="false" outlineLevel="0" collapsed="false">
      <c r="A208" s="4" t="str">
        <f aca="false">IF(Base_Bruta!A208="","",Base_Bruta!A208)</f>
        <v>SP-000096</v>
      </c>
      <c r="B208" s="5" t="n">
        <f aca="false">IF($A208="","",IF(ISNUMBER(Base_Bruta!B208),Base_Bruta!B208,IF(MID(Base_Bruta!B208,5,1)="-",DATE(VALUE(LEFT(Base_Bruta!B208,4)),VALUE(MID(Base_Bruta!B208,6,2)),VALUE(RIGHT(Base_Bruta!B208,2))),DATE(VALUE(RIGHT(Base_Bruta!B208,4)),VALUE(MID(Base_Bruta!B208,4,2)),VALUE(LEFT(Base_Bruta!B208,2))))))</f>
        <v>45868</v>
      </c>
      <c r="C208" s="5" t="n">
        <f aca="false">IF($A208="","",IF(ISNUMBER(Base_Bruta!C208),Base_Bruta!C208,IF(MID(Base_Bruta!C208,5,1)="-",DATE(VALUE(LEFT(Base_Bruta!C208,4)),VALUE(MID(Base_Bruta!C208,6,2)),VALUE(RIGHT(Base_Bruta!C208,2))),DATE(VALUE(RIGHT(Base_Bruta!C208,4)),VALUE(MID(Base_Bruta!C208,4,2)),VALUE(LEFT(Base_Bruta!C208,2))))))</f>
        <v>45976</v>
      </c>
      <c r="D208" s="4" t="str">
        <f aca="false">IF($A208="","",TRIM(Base_Bruta!D208))</f>
        <v>Festival Sonora SP 2025</v>
      </c>
      <c r="E208" s="4" t="str">
        <f aca="false">IF($A208="","",_xlfn.XLOOKUP(LOWER(TRIM(Base_Bruta!E208)),DePara_Categoria!$A$2:$A$9,DePara_Categoria!$B$2:$B$9,"REVISAR"))</f>
        <v>Festival</v>
      </c>
      <c r="F208" s="4" t="str">
        <f aca="false">IF($A208="","",_xlfn.XLOOKUP(LOWER(TRIM(Base_Bruta!F208)),DePara_Cidade!$A$2:$A$29,DePara_Cidade!$B$2:$B$29,"REVISAR"))</f>
        <v>São Paulo</v>
      </c>
      <c r="G208" s="4" t="str">
        <f aca="false">IF($A208="","",TRIM(Base_Bruta!G208))</f>
        <v>Inteira</v>
      </c>
      <c r="H208" s="4" t="n">
        <f aca="false">IF($A208="","",IF(ISNUMBER(Base_Bruta!H208),Base_Bruta!H208,IFERROR(_xlfn.NUMBERVALUE(TRIM(SUBSTITUTE(Base_Bruta!H208,"R$","")),",","."),0)))</f>
        <v>1</v>
      </c>
      <c r="I208" s="6" t="n">
        <f aca="false">IF($A208="","",IF(ISNUMBER(Base_Bruta!I208),Base_Bruta!I208,IFERROR(_xlfn.NUMBERVALUE(TRIM(SUBSTITUTE(Base_Bruta!I208,"R$","")),",","."),0)))</f>
        <v>1095</v>
      </c>
      <c r="J208" s="6" t="n">
        <f aca="false">IF($A208="","",H208*I208)</f>
        <v>1095</v>
      </c>
      <c r="K208" s="4" t="str">
        <f aca="false">IF($A208="","",TRIM(Base_Bruta!J208))</f>
        <v>Site</v>
      </c>
      <c r="L208" s="4" t="str">
        <f aca="false">IF($A208="","",TRIM(Base_Bruta!K208))</f>
        <v>C01249</v>
      </c>
      <c r="M208" s="4" t="str">
        <f aca="false">IF($A208="","",_xlfn.XLOOKUP(LOWER(TRIM(Base_Bruta!L208)),DePara_Cidade!$A$2:$A$29,DePara_Cidade!$B$2:$B$29,"REVISAR"))</f>
        <v>Porto Alegre</v>
      </c>
      <c r="N208" s="4" t="str">
        <f aca="false">IF($A208="","",UPPER(TRIM(Base_Bruta!M208)))</f>
        <v>RS</v>
      </c>
      <c r="O208" s="4" t="str">
        <f aca="false">IF($A208="","",_xlfn.XLOOKUP(LOWER(TRIM(Base_Bruta!N208)),DePara_Pais!$A$2:$A$9,DePara_Pais!$B$2:$B$9,"REVISAR"))</f>
        <v>Brasil</v>
      </c>
      <c r="P208" s="4" t="str">
        <f aca="false">IF($A208="","",IF(O208&lt;&gt;"Brasil","Turista Internacional",IF(M208=F208,"Local","Turista Nacional")))</f>
        <v>Turista Nacional</v>
      </c>
      <c r="Q208" s="7" t="n">
        <f aca="false">IF($A208="","",DATE(YEAR(B208),MONTH(B208),1))</f>
        <v>45839</v>
      </c>
      <c r="R208" s="4" t="str">
        <f aca="false">IF($A208="","",IF(COUNTIF($A$2:$A208,$A208)&gt;1,"Sim","Não"))</f>
        <v>Não</v>
      </c>
      <c r="S208" s="4" t="str">
        <f aca="false">IF(A208="","Descartar - Linha vazia",IF(R208="Sim","Descartar - Duplicado",IF(OR(H208&lt;=0,I208&lt;=0),"Descartar - Qtd/Valor inválido","OK")))</f>
        <v>OK</v>
      </c>
      <c r="T208" s="4" t="str">
        <f aca="false">Base_Bruta!P208</f>
        <v>vendas_SP.xlsx</v>
      </c>
    </row>
    <row r="209" customFormat="false" ht="15" hidden="false" customHeight="false" outlineLevel="0" collapsed="false">
      <c r="A209" s="4" t="str">
        <f aca="false">IF(Base_Bruta!A209="","",Base_Bruta!A209)</f>
        <v>SP-000128</v>
      </c>
      <c r="B209" s="5" t="n">
        <f aca="false">IF($A209="","",IF(ISNUMBER(Base_Bruta!B209),Base_Bruta!B209,IF(MID(Base_Bruta!B209,5,1)="-",DATE(VALUE(LEFT(Base_Bruta!B209,4)),VALUE(MID(Base_Bruta!B209,6,2)),VALUE(RIGHT(Base_Bruta!B209,2))),DATE(VALUE(RIGHT(Base_Bruta!B209,4)),VALUE(MID(Base_Bruta!B209,4,2)),VALUE(LEFT(Base_Bruta!B209,2))))))</f>
        <v>45868</v>
      </c>
      <c r="C209" s="5" t="n">
        <f aca="false">IF($A209="","",IF(ISNUMBER(Base_Bruta!C209),Base_Bruta!C209,IF(MID(Base_Bruta!C209,5,1)="-",DATE(VALUE(LEFT(Base_Bruta!C209,4)),VALUE(MID(Base_Bruta!C209,6,2)),VALUE(RIGHT(Base_Bruta!C209,2))),DATE(VALUE(RIGHT(Base_Bruta!C209,4)),VALUE(MID(Base_Bruta!C209,4,2)),VALUE(LEFT(Base_Bruta!C209,2))))))</f>
        <v>45976</v>
      </c>
      <c r="D209" s="4" t="str">
        <f aca="false">IF($A209="","",TRIM(Base_Bruta!D209))</f>
        <v>Festival Sonora SP 2025</v>
      </c>
      <c r="E209" s="4" t="str">
        <f aca="false">IF($A209="","",_xlfn.XLOOKUP(LOWER(TRIM(Base_Bruta!E209)),DePara_Categoria!$A$2:$A$9,DePara_Categoria!$B$2:$B$9,"REVISAR"))</f>
        <v>Festival</v>
      </c>
      <c r="F209" s="4" t="str">
        <f aca="false">IF($A209="","",_xlfn.XLOOKUP(LOWER(TRIM(Base_Bruta!F209)),DePara_Cidade!$A$2:$A$29,DePara_Cidade!$B$2:$B$29,"REVISAR"))</f>
        <v>São Paulo</v>
      </c>
      <c r="G209" s="4" t="str">
        <f aca="false">IF($A209="","",TRIM(Base_Bruta!G209))</f>
        <v>Inteira</v>
      </c>
      <c r="H209" s="4" t="n">
        <f aca="false">IF($A209="","",IF(ISNUMBER(Base_Bruta!H209),Base_Bruta!H209,IFERROR(_xlfn.NUMBERVALUE(TRIM(SUBSTITUTE(Base_Bruta!H209,"R$","")),",","."),0)))</f>
        <v>2</v>
      </c>
      <c r="I209" s="6" t="n">
        <f aca="false">IF($A209="","",IF(ISNUMBER(Base_Bruta!I209),Base_Bruta!I209,IFERROR(_xlfn.NUMBERVALUE(TRIM(SUBSTITUTE(Base_Bruta!I209,"R$","")),",","."),0)))</f>
        <v>1100</v>
      </c>
      <c r="J209" s="6" t="n">
        <f aca="false">IF($A209="","",H209*I209)</f>
        <v>2200</v>
      </c>
      <c r="K209" s="4" t="str">
        <f aca="false">IF($A209="","",TRIM(Base_Bruta!J209))</f>
        <v>Site</v>
      </c>
      <c r="L209" s="4" t="str">
        <f aca="false">IF($A209="","",TRIM(Base_Bruta!K209))</f>
        <v>C02284</v>
      </c>
      <c r="M209" s="4" t="str">
        <f aca="false">IF($A209="","",_xlfn.XLOOKUP(LOWER(TRIM(Base_Bruta!L209)),DePara_Cidade!$A$2:$A$29,DePara_Cidade!$B$2:$B$29,"REVISAR"))</f>
        <v>Curitiba</v>
      </c>
      <c r="N209" s="4" t="str">
        <f aca="false">IF($A209="","",UPPER(TRIM(Base_Bruta!M209)))</f>
        <v>PR</v>
      </c>
      <c r="O209" s="4" t="str">
        <f aca="false">IF($A209="","",_xlfn.XLOOKUP(LOWER(TRIM(Base_Bruta!N209)),DePara_Pais!$A$2:$A$9,DePara_Pais!$B$2:$B$9,"REVISAR"))</f>
        <v>Brasil</v>
      </c>
      <c r="P209" s="4" t="str">
        <f aca="false">IF($A209="","",IF(O209&lt;&gt;"Brasil","Turista Internacional",IF(M209=F209,"Local","Turista Nacional")))</f>
        <v>Turista Nacional</v>
      </c>
      <c r="Q209" s="7" t="n">
        <f aca="false">IF($A209="","",DATE(YEAR(B209),MONTH(B209),1))</f>
        <v>45839</v>
      </c>
      <c r="R209" s="4" t="str">
        <f aca="false">IF($A209="","",IF(COUNTIF($A$2:$A209,$A209)&gt;1,"Sim","Não"))</f>
        <v>Não</v>
      </c>
      <c r="S209" s="4" t="str">
        <f aca="false">IF(A209="","Descartar - Linha vazia",IF(R209="Sim","Descartar - Duplicado",IF(OR(H209&lt;=0,I209&lt;=0),"Descartar - Qtd/Valor inválido","OK")))</f>
        <v>OK</v>
      </c>
      <c r="T209" s="4" t="str">
        <f aca="false">Base_Bruta!P209</f>
        <v>vendas_SP.xlsx</v>
      </c>
    </row>
    <row r="210" customFormat="false" ht="15" hidden="false" customHeight="false" outlineLevel="0" collapsed="false">
      <c r="A210" s="4" t="str">
        <f aca="false">IF(Base_Bruta!A210="","",Base_Bruta!A210)</f>
        <v>SP-000194</v>
      </c>
      <c r="B210" s="5" t="n">
        <f aca="false">IF($A210="","",IF(ISNUMBER(Base_Bruta!B210),Base_Bruta!B210,IF(MID(Base_Bruta!B210,5,1)="-",DATE(VALUE(LEFT(Base_Bruta!B210,4)),VALUE(MID(Base_Bruta!B210,6,2)),VALUE(RIGHT(Base_Bruta!B210,2))),DATE(VALUE(RIGHT(Base_Bruta!B210,4)),VALUE(MID(Base_Bruta!B210,4,2)),VALUE(LEFT(Base_Bruta!B210,2))))))</f>
        <v>45868</v>
      </c>
      <c r="C210" s="5" t="n">
        <f aca="false">IF($A210="","",IF(ISNUMBER(Base_Bruta!C210),Base_Bruta!C210,IF(MID(Base_Bruta!C210,5,1)="-",DATE(VALUE(LEFT(Base_Bruta!C210,4)),VALUE(MID(Base_Bruta!C210,6,2)),VALUE(RIGHT(Base_Bruta!C210,2))),DATE(VALUE(RIGHT(Base_Bruta!C210,4)),VALUE(MID(Base_Bruta!C210,4,2)),VALUE(LEFT(Base_Bruta!C210,2))))))</f>
        <v>45976</v>
      </c>
      <c r="D210" s="4" t="str">
        <f aca="false">IF($A210="","",TRIM(Base_Bruta!D210))</f>
        <v>Festival Sonora SP 2025</v>
      </c>
      <c r="E210" s="4" t="str">
        <f aca="false">IF($A210="","",_xlfn.XLOOKUP(LOWER(TRIM(Base_Bruta!E210)),DePara_Categoria!$A$2:$A$9,DePara_Categoria!$B$2:$B$9,"REVISAR"))</f>
        <v>Festival</v>
      </c>
      <c r="F210" s="4" t="str">
        <f aca="false">IF($A210="","",_xlfn.XLOOKUP(LOWER(TRIM(Base_Bruta!F210)),DePara_Cidade!$A$2:$A$29,DePara_Cidade!$B$2:$B$29,"REVISAR"))</f>
        <v>São Paulo</v>
      </c>
      <c r="G210" s="4" t="str">
        <f aca="false">IF($A210="","",TRIM(Base_Bruta!G210))</f>
        <v>Inteira</v>
      </c>
      <c r="H210" s="4" t="n">
        <f aca="false">IF($A210="","",IF(ISNUMBER(Base_Bruta!H210),Base_Bruta!H210,IFERROR(_xlfn.NUMBERVALUE(TRIM(SUBSTITUTE(Base_Bruta!H210,"R$","")),",","."),0)))</f>
        <v>1</v>
      </c>
      <c r="I210" s="6" t="n">
        <f aca="false">IF($A210="","",IF(ISNUMBER(Base_Bruta!I210),Base_Bruta!I210,IFERROR(_xlfn.NUMBERVALUE(TRIM(SUBSTITUTE(Base_Bruta!I210,"R$","")),",","."),0)))</f>
        <v>665</v>
      </c>
      <c r="J210" s="6" t="n">
        <f aca="false">IF($A210="","",H210*I210)</f>
        <v>665</v>
      </c>
      <c r="K210" s="4" t="str">
        <f aca="false">IF($A210="","",TRIM(Base_Bruta!J210))</f>
        <v>Site</v>
      </c>
      <c r="L210" s="4" t="str">
        <f aca="false">IF($A210="","",TRIM(Base_Bruta!K210))</f>
        <v>C01505</v>
      </c>
      <c r="M210" s="4" t="str">
        <f aca="false">IF($A210="","",_xlfn.XLOOKUP(LOWER(TRIM(Base_Bruta!L210)),DePara_Cidade!$A$2:$A$29,DePara_Cidade!$B$2:$B$29,"REVISAR"))</f>
        <v>Niterói</v>
      </c>
      <c r="N210" s="4" t="str">
        <f aca="false">IF($A210="","",UPPER(TRIM(Base_Bruta!M210)))</f>
        <v>RJ</v>
      </c>
      <c r="O210" s="4" t="str">
        <f aca="false">IF($A210="","",_xlfn.XLOOKUP(LOWER(TRIM(Base_Bruta!N210)),DePara_Pais!$A$2:$A$9,DePara_Pais!$B$2:$B$9,"REVISAR"))</f>
        <v>Brasil</v>
      </c>
      <c r="P210" s="4" t="str">
        <f aca="false">IF($A210="","",IF(O210&lt;&gt;"Brasil","Turista Internacional",IF(M210=F210,"Local","Turista Nacional")))</f>
        <v>Turista Nacional</v>
      </c>
      <c r="Q210" s="7" t="n">
        <f aca="false">IF($A210="","",DATE(YEAR(B210),MONTH(B210),1))</f>
        <v>45839</v>
      </c>
      <c r="R210" s="4" t="str">
        <f aca="false">IF($A210="","",IF(COUNTIF($A$2:$A210,$A210)&gt;1,"Sim","Não"))</f>
        <v>Não</v>
      </c>
      <c r="S210" s="4" t="str">
        <f aca="false">IF(A210="","Descartar - Linha vazia",IF(R210="Sim","Descartar - Duplicado",IF(OR(H210&lt;=0,I210&lt;=0),"Descartar - Qtd/Valor inválido","OK")))</f>
        <v>OK</v>
      </c>
      <c r="T210" s="4" t="str">
        <f aca="false">Base_Bruta!P210</f>
        <v>vendas_SP.xlsx</v>
      </c>
    </row>
    <row r="211" customFormat="false" ht="15" hidden="false" customHeight="false" outlineLevel="0" collapsed="false">
      <c r="A211" s="4" t="str">
        <f aca="false">IF(Base_Bruta!A211="","",Base_Bruta!A211)</f>
        <v>SP-000073</v>
      </c>
      <c r="B211" s="5" t="n">
        <f aca="false">IF($A211="","",IF(ISNUMBER(Base_Bruta!B211),Base_Bruta!B211,IF(MID(Base_Bruta!B211,5,1)="-",DATE(VALUE(LEFT(Base_Bruta!B211,4)),VALUE(MID(Base_Bruta!B211,6,2)),VALUE(RIGHT(Base_Bruta!B211,2))),DATE(VALUE(RIGHT(Base_Bruta!B211,4)),VALUE(MID(Base_Bruta!B211,4,2)),VALUE(LEFT(Base_Bruta!B211,2))))))</f>
        <v>45869</v>
      </c>
      <c r="C211" s="5" t="n">
        <f aca="false">IF($A211="","",IF(ISNUMBER(Base_Bruta!C211),Base_Bruta!C211,IF(MID(Base_Bruta!C211,5,1)="-",DATE(VALUE(LEFT(Base_Bruta!C211,4)),VALUE(MID(Base_Bruta!C211,6,2)),VALUE(RIGHT(Base_Bruta!C211,2))),DATE(VALUE(RIGHT(Base_Bruta!C211,4)),VALUE(MID(Base_Bruta!C211,4,2)),VALUE(LEFT(Base_Bruta!C211,2))))))</f>
        <v>45976</v>
      </c>
      <c r="D211" s="4" t="str">
        <f aca="false">IF($A211="","",TRIM(Base_Bruta!D211))</f>
        <v>Festival Sonora SP 2025</v>
      </c>
      <c r="E211" s="4" t="str">
        <f aca="false">IF($A211="","",_xlfn.XLOOKUP(LOWER(TRIM(Base_Bruta!E211)),DePara_Categoria!$A$2:$A$9,DePara_Categoria!$B$2:$B$9,"REVISAR"))</f>
        <v>Festival</v>
      </c>
      <c r="F211" s="4" t="str">
        <f aca="false">IF($A211="","",_xlfn.XLOOKUP(LOWER(TRIM(Base_Bruta!F211)),DePara_Cidade!$A$2:$A$29,DePara_Cidade!$B$2:$B$29,"REVISAR"))</f>
        <v>São Paulo</v>
      </c>
      <c r="G211" s="4" t="str">
        <f aca="false">IF($A211="","",TRIM(Base_Bruta!G211))</f>
        <v>Meia</v>
      </c>
      <c r="H211" s="4" t="n">
        <f aca="false">IF($A211="","",IF(ISNUMBER(Base_Bruta!H211),Base_Bruta!H211,IFERROR(_xlfn.NUMBERVALUE(TRIM(SUBSTITUTE(Base_Bruta!H211,"R$","")),",","."),0)))</f>
        <v>2</v>
      </c>
      <c r="I211" s="6" t="n">
        <f aca="false">IF($A211="","",IF(ISNUMBER(Base_Bruta!I211),Base_Bruta!I211,IFERROR(_xlfn.NUMBERVALUE(TRIM(SUBSTITUTE(Base_Bruta!I211,"R$","")),",","."),0)))</f>
        <v>510</v>
      </c>
      <c r="J211" s="6" t="n">
        <f aca="false">IF($A211="","",H211*I211)</f>
        <v>1020</v>
      </c>
      <c r="K211" s="4" t="str">
        <f aca="false">IF($A211="","",TRIM(Base_Bruta!J211))</f>
        <v>App</v>
      </c>
      <c r="L211" s="4" t="str">
        <f aca="false">IF($A211="","",TRIM(Base_Bruta!K211))</f>
        <v>C00875</v>
      </c>
      <c r="M211" s="4" t="str">
        <f aca="false">IF($A211="","",_xlfn.XLOOKUP(LOWER(TRIM(Base_Bruta!L211)),DePara_Cidade!$A$2:$A$29,DePara_Cidade!$B$2:$B$29,"REVISAR"))</f>
        <v>São Paulo</v>
      </c>
      <c r="N211" s="4" t="str">
        <f aca="false">IF($A211="","",UPPER(TRIM(Base_Bruta!M211)))</f>
        <v>SP</v>
      </c>
      <c r="O211" s="4" t="str">
        <f aca="false">IF($A211="","",_xlfn.XLOOKUP(LOWER(TRIM(Base_Bruta!N211)),DePara_Pais!$A$2:$A$9,DePara_Pais!$B$2:$B$9,"REVISAR"))</f>
        <v>Brasil</v>
      </c>
      <c r="P211" s="4" t="str">
        <f aca="false">IF($A211="","",IF(O211&lt;&gt;"Brasil","Turista Internacional",IF(M211=F211,"Local","Turista Nacional")))</f>
        <v>Local</v>
      </c>
      <c r="Q211" s="7" t="n">
        <f aca="false">IF($A211="","",DATE(YEAR(B211),MONTH(B211),1))</f>
        <v>45839</v>
      </c>
      <c r="R211" s="4" t="str">
        <f aca="false">IF($A211="","",IF(COUNTIF($A$2:$A211,$A211)&gt;1,"Sim","Não"))</f>
        <v>Não</v>
      </c>
      <c r="S211" s="4" t="str">
        <f aca="false">IF(A211="","Descartar - Linha vazia",IF(R211="Sim","Descartar - Duplicado",IF(OR(H211&lt;=0,I211&lt;=0),"Descartar - Qtd/Valor inválido","OK")))</f>
        <v>OK</v>
      </c>
      <c r="T211" s="4" t="str">
        <f aca="false">Base_Bruta!P211</f>
        <v>vendas_SP.xlsx</v>
      </c>
    </row>
    <row r="212" customFormat="false" ht="15" hidden="false" customHeight="false" outlineLevel="0" collapsed="false">
      <c r="A212" s="4" t="str">
        <f aca="false">IF(Base_Bruta!A212="","",Base_Bruta!A212)</f>
        <v>SP-000115</v>
      </c>
      <c r="B212" s="5" t="n">
        <f aca="false">IF($A212="","",IF(ISNUMBER(Base_Bruta!B212),Base_Bruta!B212,IF(MID(Base_Bruta!B212,5,1)="-",DATE(VALUE(LEFT(Base_Bruta!B212,4)),VALUE(MID(Base_Bruta!B212,6,2)),VALUE(RIGHT(Base_Bruta!B212,2))),DATE(VALUE(RIGHT(Base_Bruta!B212,4)),VALUE(MID(Base_Bruta!B212,4,2)),VALUE(LEFT(Base_Bruta!B212,2))))))</f>
        <v>45869</v>
      </c>
      <c r="C212" s="5" t="n">
        <f aca="false">IF($A212="","",IF(ISNUMBER(Base_Bruta!C212),Base_Bruta!C212,IF(MID(Base_Bruta!C212,5,1)="-",DATE(VALUE(LEFT(Base_Bruta!C212,4)),VALUE(MID(Base_Bruta!C212,6,2)),VALUE(RIGHT(Base_Bruta!C212,2))),DATE(VALUE(RIGHT(Base_Bruta!C212,4)),VALUE(MID(Base_Bruta!C212,4,2)),VALUE(LEFT(Base_Bruta!C212,2))))))</f>
        <v>45976</v>
      </c>
      <c r="D212" s="4" t="str">
        <f aca="false">IF($A212="","",TRIM(Base_Bruta!D212))</f>
        <v>Festival Sonora SP 2025</v>
      </c>
      <c r="E212" s="4" t="str">
        <f aca="false">IF($A212="","",_xlfn.XLOOKUP(LOWER(TRIM(Base_Bruta!E212)),DePara_Categoria!$A$2:$A$9,DePara_Categoria!$B$2:$B$9,"REVISAR"))</f>
        <v>Festival</v>
      </c>
      <c r="F212" s="4" t="str">
        <f aca="false">IF($A212="","",_xlfn.XLOOKUP(LOWER(TRIM(Base_Bruta!F212)),DePara_Cidade!$A$2:$A$29,DePara_Cidade!$B$2:$B$29,"REVISAR"))</f>
        <v>São Paulo</v>
      </c>
      <c r="G212" s="4" t="str">
        <f aca="false">IF($A212="","",TRIM(Base_Bruta!G212))</f>
        <v>Meia</v>
      </c>
      <c r="H212" s="4" t="n">
        <f aca="false">IF($A212="","",IF(ISNUMBER(Base_Bruta!H212),Base_Bruta!H212,IFERROR(_xlfn.NUMBERVALUE(TRIM(SUBSTITUTE(Base_Bruta!H212,"R$","")),",","."),0)))</f>
        <v>1</v>
      </c>
      <c r="I212" s="6" t="n">
        <f aca="false">IF($A212="","",IF(ISNUMBER(Base_Bruta!I212),Base_Bruta!I212,IFERROR(_xlfn.NUMBERVALUE(TRIM(SUBSTITUTE(Base_Bruta!I212,"R$","")),",","."),0)))</f>
        <v>455</v>
      </c>
      <c r="J212" s="6" t="n">
        <f aca="false">IF($A212="","",H212*I212)</f>
        <v>455</v>
      </c>
      <c r="K212" s="4" t="str">
        <f aca="false">IF($A212="","",TRIM(Base_Bruta!J212))</f>
        <v>App</v>
      </c>
      <c r="L212" s="4" t="str">
        <f aca="false">IF($A212="","",TRIM(Base_Bruta!K212))</f>
        <v>C00842</v>
      </c>
      <c r="M212" s="4" t="str">
        <f aca="false">IF($A212="","",_xlfn.XLOOKUP(LOWER(TRIM(Base_Bruta!L212)),DePara_Cidade!$A$2:$A$29,DePara_Cidade!$B$2:$B$29,"REVISAR"))</f>
        <v>Niterói</v>
      </c>
      <c r="N212" s="4" t="str">
        <f aca="false">IF($A212="","",UPPER(TRIM(Base_Bruta!M212)))</f>
        <v>RJ</v>
      </c>
      <c r="O212" s="4" t="str">
        <f aca="false">IF($A212="","",_xlfn.XLOOKUP(LOWER(TRIM(Base_Bruta!N212)),DePara_Pais!$A$2:$A$9,DePara_Pais!$B$2:$B$9,"REVISAR"))</f>
        <v>Brasil</v>
      </c>
      <c r="P212" s="4" t="str">
        <f aca="false">IF($A212="","",IF(O212&lt;&gt;"Brasil","Turista Internacional",IF(M212=F212,"Local","Turista Nacional")))</f>
        <v>Turista Nacional</v>
      </c>
      <c r="Q212" s="7" t="n">
        <f aca="false">IF($A212="","",DATE(YEAR(B212),MONTH(B212),1))</f>
        <v>45839</v>
      </c>
      <c r="R212" s="4" t="str">
        <f aca="false">IF($A212="","",IF(COUNTIF($A$2:$A212,$A212)&gt;1,"Sim","Não"))</f>
        <v>Não</v>
      </c>
      <c r="S212" s="4" t="str">
        <f aca="false">IF(A212="","Descartar - Linha vazia",IF(R212="Sim","Descartar - Duplicado",IF(OR(H212&lt;=0,I212&lt;=0),"Descartar - Qtd/Valor inválido","OK")))</f>
        <v>OK</v>
      </c>
      <c r="T212" s="4" t="str">
        <f aca="false">Base_Bruta!P212</f>
        <v>vendas_SP.xlsx</v>
      </c>
    </row>
    <row r="213" customFormat="false" ht="15" hidden="false" customHeight="false" outlineLevel="0" collapsed="false">
      <c r="A213" s="4" t="str">
        <f aca="false">IF(Base_Bruta!A213="","",Base_Bruta!A213)</f>
        <v>SP-000142</v>
      </c>
      <c r="B213" s="5" t="n">
        <f aca="false">IF($A213="","",IF(ISNUMBER(Base_Bruta!B213),Base_Bruta!B213,IF(MID(Base_Bruta!B213,5,1)="-",DATE(VALUE(LEFT(Base_Bruta!B213,4)),VALUE(MID(Base_Bruta!B213,6,2)),VALUE(RIGHT(Base_Bruta!B213,2))),DATE(VALUE(RIGHT(Base_Bruta!B213,4)),VALUE(MID(Base_Bruta!B213,4,2)),VALUE(LEFT(Base_Bruta!B213,2))))))</f>
        <v>45869</v>
      </c>
      <c r="C213" s="5" t="n">
        <f aca="false">IF($A213="","",IF(ISNUMBER(Base_Bruta!C213),Base_Bruta!C213,IF(MID(Base_Bruta!C213,5,1)="-",DATE(VALUE(LEFT(Base_Bruta!C213,4)),VALUE(MID(Base_Bruta!C213,6,2)),VALUE(RIGHT(Base_Bruta!C213,2))),DATE(VALUE(RIGHT(Base_Bruta!C213,4)),VALUE(MID(Base_Bruta!C213,4,2)),VALUE(LEFT(Base_Bruta!C213,2))))))</f>
        <v>45976</v>
      </c>
      <c r="D213" s="4" t="str">
        <f aca="false">IF($A213="","",TRIM(Base_Bruta!D213))</f>
        <v>Festival Sonora SP 2025</v>
      </c>
      <c r="E213" s="4" t="str">
        <f aca="false">IF($A213="","",_xlfn.XLOOKUP(LOWER(TRIM(Base_Bruta!E213)),DePara_Categoria!$A$2:$A$9,DePara_Categoria!$B$2:$B$9,"REVISAR"))</f>
        <v>Festival</v>
      </c>
      <c r="F213" s="4" t="str">
        <f aca="false">IF($A213="","",_xlfn.XLOOKUP(LOWER(TRIM(Base_Bruta!F213)),DePara_Cidade!$A$2:$A$29,DePara_Cidade!$B$2:$B$29,"REVISAR"))</f>
        <v>São Paulo</v>
      </c>
      <c r="G213" s="4" t="str">
        <f aca="false">IF($A213="","",TRIM(Base_Bruta!G213))</f>
        <v>Inteira</v>
      </c>
      <c r="H213" s="4" t="n">
        <f aca="false">IF($A213="","",IF(ISNUMBER(Base_Bruta!H213),Base_Bruta!H213,IFERROR(_xlfn.NUMBERVALUE(TRIM(SUBSTITUTE(Base_Bruta!H213,"R$","")),",","."),0)))</f>
        <v>3</v>
      </c>
      <c r="I213" s="6" t="n">
        <f aca="false">IF($A213="","",IF(ISNUMBER(Base_Bruta!I213),Base_Bruta!I213,IFERROR(_xlfn.NUMBERVALUE(TRIM(SUBSTITUTE(Base_Bruta!I213,"R$","")),",","."),0)))</f>
        <v>1000</v>
      </c>
      <c r="J213" s="6" t="n">
        <f aca="false">IF($A213="","",H213*I213)</f>
        <v>3000</v>
      </c>
      <c r="K213" s="4" t="str">
        <f aca="false">IF($A213="","",TRIM(Base_Bruta!J213))</f>
        <v>Parceiro</v>
      </c>
      <c r="L213" s="4" t="str">
        <f aca="false">IF($A213="","",TRIM(Base_Bruta!K213))</f>
        <v>C02338</v>
      </c>
      <c r="M213" s="4" t="str">
        <f aca="false">IF($A213="","",_xlfn.XLOOKUP(LOWER(TRIM(Base_Bruta!L213)),DePara_Cidade!$A$2:$A$29,DePara_Cidade!$B$2:$B$29,"REVISAR"))</f>
        <v>São Paulo</v>
      </c>
      <c r="N213" s="4" t="str">
        <f aca="false">IF($A213="","",UPPER(TRIM(Base_Bruta!M213)))</f>
        <v>SP</v>
      </c>
      <c r="O213" s="4" t="str">
        <f aca="false">IF($A213="","",_xlfn.XLOOKUP(LOWER(TRIM(Base_Bruta!N213)),DePara_Pais!$A$2:$A$9,DePara_Pais!$B$2:$B$9,"REVISAR"))</f>
        <v>Brasil</v>
      </c>
      <c r="P213" s="4" t="str">
        <f aca="false">IF($A213="","",IF(O213&lt;&gt;"Brasil","Turista Internacional",IF(M213=F213,"Local","Turista Nacional")))</f>
        <v>Local</v>
      </c>
      <c r="Q213" s="7" t="n">
        <f aca="false">IF($A213="","",DATE(YEAR(B213),MONTH(B213),1))</f>
        <v>45839</v>
      </c>
      <c r="R213" s="4" t="str">
        <f aca="false">IF($A213="","",IF(COUNTIF($A$2:$A213,$A213)&gt;1,"Sim","Não"))</f>
        <v>Não</v>
      </c>
      <c r="S213" s="4" t="str">
        <f aca="false">IF(A213="","Descartar - Linha vazia",IF(R213="Sim","Descartar - Duplicado",IF(OR(H213&lt;=0,I213&lt;=0),"Descartar - Qtd/Valor inválido","OK")))</f>
        <v>OK</v>
      </c>
      <c r="T213" s="4" t="str">
        <f aca="false">Base_Bruta!P213</f>
        <v>vendas_SP.xlsx</v>
      </c>
    </row>
    <row r="214" customFormat="false" ht="15" hidden="false" customHeight="false" outlineLevel="0" collapsed="false">
      <c r="A214" s="4" t="str">
        <f aca="false">IF(Base_Bruta!A214="","",Base_Bruta!A214)</f>
        <v>SP-000481</v>
      </c>
      <c r="B214" s="5" t="n">
        <f aca="false">IF($A214="","",IF(ISNUMBER(Base_Bruta!B214),Base_Bruta!B214,IF(MID(Base_Bruta!B214,5,1)="-",DATE(VALUE(LEFT(Base_Bruta!B214,4)),VALUE(MID(Base_Bruta!B214,6,2)),VALUE(RIGHT(Base_Bruta!B214,2))),DATE(VALUE(RIGHT(Base_Bruta!B214,4)),VALUE(MID(Base_Bruta!B214,4,2)),VALUE(LEFT(Base_Bruta!B214,2))))))</f>
        <v>45869</v>
      </c>
      <c r="C214" s="5" t="n">
        <f aca="false">IF($A214="","",IF(ISNUMBER(Base_Bruta!C214),Base_Bruta!C214,IF(MID(Base_Bruta!C214,5,1)="-",DATE(VALUE(LEFT(Base_Bruta!C214,4)),VALUE(MID(Base_Bruta!C214,6,2)),VALUE(RIGHT(Base_Bruta!C214,2))),DATE(VALUE(RIGHT(Base_Bruta!C214,4)),VALUE(MID(Base_Bruta!C214,4,2)),VALUE(LEFT(Base_Bruta!C214,2))))))</f>
        <v>45934</v>
      </c>
      <c r="D214" s="4" t="str">
        <f aca="false">IF($A214="","",TRIM(Base_Bruta!D214))</f>
        <v>Turnê Internacional Pop - SP</v>
      </c>
      <c r="E214" s="4" t="str">
        <f aca="false">IF($A214="","",_xlfn.XLOOKUP(LOWER(TRIM(Base_Bruta!E214)),DePara_Categoria!$A$2:$A$9,DePara_Categoria!$B$2:$B$9,"REVISAR"))</f>
        <v>Show</v>
      </c>
      <c r="F214" s="4" t="str">
        <f aca="false">IF($A214="","",_xlfn.XLOOKUP(LOWER(TRIM(Base_Bruta!F214)),DePara_Cidade!$A$2:$A$29,DePara_Cidade!$B$2:$B$29,"REVISAR"))</f>
        <v>São Paulo</v>
      </c>
      <c r="G214" s="4" t="str">
        <f aca="false">IF($A214="","",TRIM(Base_Bruta!G214))</f>
        <v>Inteira</v>
      </c>
      <c r="H214" s="4" t="n">
        <f aca="false">IF($A214="","",IF(ISNUMBER(Base_Bruta!H214),Base_Bruta!H214,IFERROR(_xlfn.NUMBERVALUE(TRIM(SUBSTITUTE(Base_Bruta!H214,"R$","")),",","."),0)))</f>
        <v>1</v>
      </c>
      <c r="I214" s="6" t="n">
        <f aca="false">IF($A214="","",IF(ISNUMBER(Base_Bruta!I214),Base_Bruta!I214,IFERROR(_xlfn.NUMBERVALUE(TRIM(SUBSTITUTE(Base_Bruta!I214,"R$","")),",","."),0)))</f>
        <v>465</v>
      </c>
      <c r="J214" s="6" t="n">
        <f aca="false">IF($A214="","",H214*I214)</f>
        <v>465</v>
      </c>
      <c r="K214" s="4" t="str">
        <f aca="false">IF($A214="","",TRIM(Base_Bruta!J214))</f>
        <v>Bilheteria</v>
      </c>
      <c r="L214" s="4" t="str">
        <f aca="false">IF($A214="","",TRIM(Base_Bruta!K214))</f>
        <v>C00147</v>
      </c>
      <c r="M214" s="4" t="str">
        <f aca="false">IF($A214="","",_xlfn.XLOOKUP(LOWER(TRIM(Base_Bruta!L214)),DePara_Cidade!$A$2:$A$29,DePara_Cidade!$B$2:$B$29,"REVISAR"))</f>
        <v>São Paulo</v>
      </c>
      <c r="N214" s="4" t="str">
        <f aca="false">IF($A214="","",UPPER(TRIM(Base_Bruta!M214)))</f>
        <v>SP</v>
      </c>
      <c r="O214" s="4" t="str">
        <f aca="false">IF($A214="","",_xlfn.XLOOKUP(LOWER(TRIM(Base_Bruta!N214)),DePara_Pais!$A$2:$A$9,DePara_Pais!$B$2:$B$9,"REVISAR"))</f>
        <v>Brasil</v>
      </c>
      <c r="P214" s="4" t="str">
        <f aca="false">IF($A214="","",IF(O214&lt;&gt;"Brasil","Turista Internacional",IF(M214=F214,"Local","Turista Nacional")))</f>
        <v>Local</v>
      </c>
      <c r="Q214" s="7" t="n">
        <f aca="false">IF($A214="","",DATE(YEAR(B214),MONTH(B214),1))</f>
        <v>45839</v>
      </c>
      <c r="R214" s="4" t="str">
        <f aca="false">IF($A214="","",IF(COUNTIF($A$2:$A214,$A214)&gt;1,"Sim","Não"))</f>
        <v>Não</v>
      </c>
      <c r="S214" s="4" t="str">
        <f aca="false">IF(A214="","Descartar - Linha vazia",IF(R214="Sim","Descartar - Duplicado",IF(OR(H214&lt;=0,I214&lt;=0),"Descartar - Qtd/Valor inválido","OK")))</f>
        <v>OK</v>
      </c>
      <c r="T214" s="4" t="str">
        <f aca="false">Base_Bruta!P214</f>
        <v>vendas_SP.xlsx</v>
      </c>
    </row>
    <row r="215" customFormat="false" ht="15" hidden="false" customHeight="false" outlineLevel="0" collapsed="false">
      <c r="A215" s="4" t="str">
        <f aca="false">IF(Base_Bruta!A215="","",Base_Bruta!A215)</f>
        <v>SP-000131</v>
      </c>
      <c r="B215" s="5" t="n">
        <f aca="false">IF($A215="","",IF(ISNUMBER(Base_Bruta!B215),Base_Bruta!B215,IF(MID(Base_Bruta!B215,5,1)="-",DATE(VALUE(LEFT(Base_Bruta!B215,4)),VALUE(MID(Base_Bruta!B215,6,2)),VALUE(RIGHT(Base_Bruta!B215,2))),DATE(VALUE(RIGHT(Base_Bruta!B215,4)),VALUE(MID(Base_Bruta!B215,4,2)),VALUE(LEFT(Base_Bruta!B215,2))))))</f>
        <v>45870</v>
      </c>
      <c r="C215" s="5" t="n">
        <f aca="false">IF($A215="","",IF(ISNUMBER(Base_Bruta!C215),Base_Bruta!C215,IF(MID(Base_Bruta!C215,5,1)="-",DATE(VALUE(LEFT(Base_Bruta!C215,4)),VALUE(MID(Base_Bruta!C215,6,2)),VALUE(RIGHT(Base_Bruta!C215,2))),DATE(VALUE(RIGHT(Base_Bruta!C215,4)),VALUE(MID(Base_Bruta!C215,4,2)),VALUE(LEFT(Base_Bruta!C215,2))))))</f>
        <v>45976</v>
      </c>
      <c r="D215" s="4" t="str">
        <f aca="false">IF($A215="","",TRIM(Base_Bruta!D215))</f>
        <v>Festival Sonora SP 2025</v>
      </c>
      <c r="E215" s="4" t="str">
        <f aca="false">IF($A215="","",_xlfn.XLOOKUP(LOWER(TRIM(Base_Bruta!E215)),DePara_Categoria!$A$2:$A$9,DePara_Categoria!$B$2:$B$9,"REVISAR"))</f>
        <v>Festival</v>
      </c>
      <c r="F215" s="4" t="str">
        <f aca="false">IF($A215="","",_xlfn.XLOOKUP(LOWER(TRIM(Base_Bruta!F215)),DePara_Cidade!$A$2:$A$29,DePara_Cidade!$B$2:$B$29,"REVISAR"))</f>
        <v>São Paulo</v>
      </c>
      <c r="G215" s="4" t="str">
        <f aca="false">IF($A215="","",TRIM(Base_Bruta!G215))</f>
        <v>VIP</v>
      </c>
      <c r="H215" s="4" t="n">
        <f aca="false">IF($A215="","",IF(ISNUMBER(Base_Bruta!H215),Base_Bruta!H215,IFERROR(_xlfn.NUMBERVALUE(TRIM(SUBSTITUTE(Base_Bruta!H215,"R$","")),",","."),0)))</f>
        <v>2</v>
      </c>
      <c r="I215" s="6" t="n">
        <f aca="false">IF($A215="","",IF(ISNUMBER(Base_Bruta!I215),Base_Bruta!I215,IFERROR(_xlfn.NUMBERVALUE(TRIM(SUBSTITUTE(Base_Bruta!I215,"R$","")),",","."),0)))</f>
        <v>2090</v>
      </c>
      <c r="J215" s="6" t="n">
        <f aca="false">IF($A215="","",H215*I215)</f>
        <v>4180</v>
      </c>
      <c r="K215" s="4" t="str">
        <f aca="false">IF($A215="","",TRIM(Base_Bruta!J215))</f>
        <v>Site</v>
      </c>
      <c r="L215" s="4" t="str">
        <f aca="false">IF($A215="","",TRIM(Base_Bruta!K215))</f>
        <v>C01934</v>
      </c>
      <c r="M215" s="4" t="str">
        <f aca="false">IF($A215="","",_xlfn.XLOOKUP(LOWER(TRIM(Base_Bruta!L215)),DePara_Cidade!$A$2:$A$29,DePara_Cidade!$B$2:$B$29,"REVISAR"))</f>
        <v>Miami</v>
      </c>
      <c r="N215" s="4" t="str">
        <f aca="false">IF($A215="","",UPPER(TRIM(Base_Bruta!M215)))</f>
        <v>EX</v>
      </c>
      <c r="O215" s="4" t="str">
        <f aca="false">IF($A215="","",_xlfn.XLOOKUP(LOWER(TRIM(Base_Bruta!N215)),DePara_Pais!$A$2:$A$9,DePara_Pais!$B$2:$B$9,"REVISAR"))</f>
        <v>EUA</v>
      </c>
      <c r="P215" s="4" t="str">
        <f aca="false">IF($A215="","",IF(O215&lt;&gt;"Brasil","Turista Internacional",IF(M215=F215,"Local","Turista Nacional")))</f>
        <v>Turista Internacional</v>
      </c>
      <c r="Q215" s="7" t="n">
        <f aca="false">IF($A215="","",DATE(YEAR(B215),MONTH(B215),1))</f>
        <v>45870</v>
      </c>
      <c r="R215" s="4" t="str">
        <f aca="false">IF($A215="","",IF(COUNTIF($A$2:$A215,$A215)&gt;1,"Sim","Não"))</f>
        <v>Não</v>
      </c>
      <c r="S215" s="4" t="str">
        <f aca="false">IF(A215="","Descartar - Linha vazia",IF(R215="Sim","Descartar - Duplicado",IF(OR(H215&lt;=0,I215&lt;=0),"Descartar - Qtd/Valor inválido","OK")))</f>
        <v>OK</v>
      </c>
      <c r="T215" s="4" t="str">
        <f aca="false">Base_Bruta!P215</f>
        <v>vendas_SP.xlsx</v>
      </c>
    </row>
    <row r="216" customFormat="false" ht="15" hidden="false" customHeight="false" outlineLevel="0" collapsed="false">
      <c r="A216" s="4" t="str">
        <f aca="false">IF(Base_Bruta!A216="","",Base_Bruta!A216)</f>
        <v>SP-000115</v>
      </c>
      <c r="B216" s="5" t="n">
        <f aca="false">IF($A216="","",IF(ISNUMBER(Base_Bruta!B216),Base_Bruta!B216,IF(MID(Base_Bruta!B216,5,1)="-",DATE(VALUE(LEFT(Base_Bruta!B216,4)),VALUE(MID(Base_Bruta!B216,6,2)),VALUE(RIGHT(Base_Bruta!B216,2))),DATE(VALUE(RIGHT(Base_Bruta!B216,4)),VALUE(MID(Base_Bruta!B216,4,2)),VALUE(LEFT(Base_Bruta!B216,2))))))</f>
        <v>45869</v>
      </c>
      <c r="C216" s="5" t="n">
        <f aca="false">IF($A216="","",IF(ISNUMBER(Base_Bruta!C216),Base_Bruta!C216,IF(MID(Base_Bruta!C216,5,1)="-",DATE(VALUE(LEFT(Base_Bruta!C216,4)),VALUE(MID(Base_Bruta!C216,6,2)),VALUE(RIGHT(Base_Bruta!C216,2))),DATE(VALUE(RIGHT(Base_Bruta!C216,4)),VALUE(MID(Base_Bruta!C216,4,2)),VALUE(LEFT(Base_Bruta!C216,2))))))</f>
        <v>45976</v>
      </c>
      <c r="D216" s="4" t="str">
        <f aca="false">IF($A216="","",TRIM(Base_Bruta!D216))</f>
        <v>Festival Sonora SP 2025</v>
      </c>
      <c r="E216" s="4" t="str">
        <f aca="false">IF($A216="","",_xlfn.XLOOKUP(LOWER(TRIM(Base_Bruta!E216)),DePara_Categoria!$A$2:$A$9,DePara_Categoria!$B$2:$B$9,"REVISAR"))</f>
        <v>Festival</v>
      </c>
      <c r="F216" s="4" t="str">
        <f aca="false">IF($A216="","",_xlfn.XLOOKUP(LOWER(TRIM(Base_Bruta!F216)),DePara_Cidade!$A$2:$A$29,DePara_Cidade!$B$2:$B$29,"REVISAR"))</f>
        <v>São Paulo</v>
      </c>
      <c r="G216" s="4" t="str">
        <f aca="false">IF($A216="","",TRIM(Base_Bruta!G216))</f>
        <v>Meia</v>
      </c>
      <c r="H216" s="4" t="n">
        <f aca="false">IF($A216="","",IF(ISNUMBER(Base_Bruta!H216),Base_Bruta!H216,IFERROR(_xlfn.NUMBERVALUE(TRIM(SUBSTITUTE(Base_Bruta!H216,"R$","")),",","."),0)))</f>
        <v>1</v>
      </c>
      <c r="I216" s="6" t="n">
        <f aca="false">IF($A216="","",IF(ISNUMBER(Base_Bruta!I216),Base_Bruta!I216,IFERROR(_xlfn.NUMBERVALUE(TRIM(SUBSTITUTE(Base_Bruta!I216,"R$","")),",","."),0)))</f>
        <v>455</v>
      </c>
      <c r="J216" s="6" t="n">
        <f aca="false">IF($A216="","",H216*I216)</f>
        <v>455</v>
      </c>
      <c r="K216" s="4" t="str">
        <f aca="false">IF($A216="","",TRIM(Base_Bruta!J216))</f>
        <v>App</v>
      </c>
      <c r="L216" s="4" t="str">
        <f aca="false">IF($A216="","",TRIM(Base_Bruta!K216))</f>
        <v>C00842</v>
      </c>
      <c r="M216" s="4" t="str">
        <f aca="false">IF($A216="","",_xlfn.XLOOKUP(LOWER(TRIM(Base_Bruta!L216)),DePara_Cidade!$A$2:$A$29,DePara_Cidade!$B$2:$B$29,"REVISAR"))</f>
        <v>Niterói</v>
      </c>
      <c r="N216" s="4" t="str">
        <f aca="false">IF($A216="","",UPPER(TRIM(Base_Bruta!M216)))</f>
        <v>RJ</v>
      </c>
      <c r="O216" s="4" t="str">
        <f aca="false">IF($A216="","",_xlfn.XLOOKUP(LOWER(TRIM(Base_Bruta!N216)),DePara_Pais!$A$2:$A$9,DePara_Pais!$B$2:$B$9,"REVISAR"))</f>
        <v>Brasil</v>
      </c>
      <c r="P216" s="4" t="str">
        <f aca="false">IF($A216="","",IF(O216&lt;&gt;"Brasil","Turista Internacional",IF(M216=F216,"Local","Turista Nacional")))</f>
        <v>Turista Nacional</v>
      </c>
      <c r="Q216" s="7" t="n">
        <f aca="false">IF($A216="","",DATE(YEAR(B216),MONTH(B216),1))</f>
        <v>45839</v>
      </c>
      <c r="R216" s="4" t="str">
        <f aca="false">IF($A216="","",IF(COUNTIF($A$2:$A216,$A216)&gt;1,"Sim","Não"))</f>
        <v>Sim</v>
      </c>
      <c r="S216" s="4" t="str">
        <f aca="false">IF(A216="","Descartar - Linha vazia",IF(R216="Sim","Descartar - Duplicado",IF(OR(H216&lt;=0,I216&lt;=0),"Descartar - Qtd/Valor inválido","OK")))</f>
        <v>Descartar - Duplicado</v>
      </c>
      <c r="T216" s="4" t="str">
        <f aca="false">Base_Bruta!P216</f>
        <v>vendas_SP.xlsx</v>
      </c>
    </row>
    <row r="217" customFormat="false" ht="15" hidden="false" customHeight="false" outlineLevel="0" collapsed="false">
      <c r="A217" s="4" t="str">
        <f aca="false">IF(Base_Bruta!A217="","",Base_Bruta!A217)</f>
        <v>SP-000139</v>
      </c>
      <c r="B217" s="5" t="n">
        <f aca="false">IF($A217="","",IF(ISNUMBER(Base_Bruta!B217),Base_Bruta!B217,IF(MID(Base_Bruta!B217,5,1)="-",DATE(VALUE(LEFT(Base_Bruta!B217,4)),VALUE(MID(Base_Bruta!B217,6,2)),VALUE(RIGHT(Base_Bruta!B217,2))),DATE(VALUE(RIGHT(Base_Bruta!B217,4)),VALUE(MID(Base_Bruta!B217,4,2)),VALUE(LEFT(Base_Bruta!B217,2))))))</f>
        <v>45870</v>
      </c>
      <c r="C217" s="5" t="n">
        <f aca="false">IF($A217="","",IF(ISNUMBER(Base_Bruta!C217),Base_Bruta!C217,IF(MID(Base_Bruta!C217,5,1)="-",DATE(VALUE(LEFT(Base_Bruta!C217,4)),VALUE(MID(Base_Bruta!C217,6,2)),VALUE(RIGHT(Base_Bruta!C217,2))),DATE(VALUE(RIGHT(Base_Bruta!C217,4)),VALUE(MID(Base_Bruta!C217,4,2)),VALUE(LEFT(Base_Bruta!C217,2))))))</f>
        <v>45976</v>
      </c>
      <c r="D217" s="4" t="str">
        <f aca="false">IF($A217="","",TRIM(Base_Bruta!D217))</f>
        <v>Festival Sonora SP 2025</v>
      </c>
      <c r="E217" s="4" t="str">
        <f aca="false">IF($A217="","",_xlfn.XLOOKUP(LOWER(TRIM(Base_Bruta!E217)),DePara_Categoria!$A$2:$A$9,DePara_Categoria!$B$2:$B$9,"REVISAR"))</f>
        <v>Festival</v>
      </c>
      <c r="F217" s="4" t="str">
        <f aca="false">IF($A217="","",_xlfn.XLOOKUP(LOWER(TRIM(Base_Bruta!F217)),DePara_Cidade!$A$2:$A$29,DePara_Cidade!$B$2:$B$29,"REVISAR"))</f>
        <v>São Paulo</v>
      </c>
      <c r="G217" s="4" t="str">
        <f aca="false">IF($A217="","",TRIM(Base_Bruta!G217))</f>
        <v>Meia</v>
      </c>
      <c r="H217" s="4" t="n">
        <f aca="false">IF($A217="","",IF(ISNUMBER(Base_Bruta!H217),Base_Bruta!H217,IFERROR(_xlfn.NUMBERVALUE(TRIM(SUBSTITUTE(Base_Bruta!H217,"R$","")),",","."),0)))</f>
        <v>1</v>
      </c>
      <c r="I217" s="6" t="n">
        <f aca="false">IF($A217="","",IF(ISNUMBER(Base_Bruta!I217),Base_Bruta!I217,IFERROR(_xlfn.NUMBERVALUE(TRIM(SUBSTITUTE(Base_Bruta!I217,"R$","")),",","."),0)))</f>
        <v>565</v>
      </c>
      <c r="J217" s="6" t="n">
        <f aca="false">IF($A217="","",H217*I217)</f>
        <v>565</v>
      </c>
      <c r="K217" s="4" t="str">
        <f aca="false">IF($A217="","",TRIM(Base_Bruta!J217))</f>
        <v>Site</v>
      </c>
      <c r="L217" s="4" t="str">
        <f aca="false">IF($A217="","",TRIM(Base_Bruta!K217))</f>
        <v>C02089</v>
      </c>
      <c r="M217" s="4" t="str">
        <f aca="false">IF($A217="","",_xlfn.XLOOKUP(LOWER(TRIM(Base_Bruta!L217)),DePara_Cidade!$A$2:$A$29,DePara_Cidade!$B$2:$B$29,"REVISAR"))</f>
        <v>Campinas</v>
      </c>
      <c r="N217" s="4" t="str">
        <f aca="false">IF($A217="","",UPPER(TRIM(Base_Bruta!M217)))</f>
        <v>SP</v>
      </c>
      <c r="O217" s="4" t="str">
        <f aca="false">IF($A217="","",_xlfn.XLOOKUP(LOWER(TRIM(Base_Bruta!N217)),DePara_Pais!$A$2:$A$9,DePara_Pais!$B$2:$B$9,"REVISAR"))</f>
        <v>Brasil</v>
      </c>
      <c r="P217" s="4" t="str">
        <f aca="false">IF($A217="","",IF(O217&lt;&gt;"Brasil","Turista Internacional",IF(M217=F217,"Local","Turista Nacional")))</f>
        <v>Turista Nacional</v>
      </c>
      <c r="Q217" s="7" t="n">
        <f aca="false">IF($A217="","",DATE(YEAR(B217),MONTH(B217),1))</f>
        <v>45870</v>
      </c>
      <c r="R217" s="4" t="str">
        <f aca="false">IF($A217="","",IF(COUNTIF($A$2:$A217,$A217)&gt;1,"Sim","Não"))</f>
        <v>Não</v>
      </c>
      <c r="S217" s="4" t="str">
        <f aca="false">IF(A217="","Descartar - Linha vazia",IF(R217="Sim","Descartar - Duplicado",IF(OR(H217&lt;=0,I217&lt;=0),"Descartar - Qtd/Valor inválido","OK")))</f>
        <v>OK</v>
      </c>
      <c r="T217" s="4" t="str">
        <f aca="false">Base_Bruta!P217</f>
        <v>vendas_SP.xlsx</v>
      </c>
    </row>
    <row r="218" customFormat="false" ht="15" hidden="false" customHeight="false" outlineLevel="0" collapsed="false">
      <c r="A218" s="4" t="str">
        <f aca="false">IF(Base_Bruta!A218="","",Base_Bruta!A218)</f>
        <v>SP-000204</v>
      </c>
      <c r="B218" s="5" t="n">
        <f aca="false">IF($A218="","",IF(ISNUMBER(Base_Bruta!B218),Base_Bruta!B218,IF(MID(Base_Bruta!B218,5,1)="-",DATE(VALUE(LEFT(Base_Bruta!B218,4)),VALUE(MID(Base_Bruta!B218,6,2)),VALUE(RIGHT(Base_Bruta!B218,2))),DATE(VALUE(RIGHT(Base_Bruta!B218,4)),VALUE(MID(Base_Bruta!B218,4,2)),VALUE(LEFT(Base_Bruta!B218,2))))))</f>
        <v>45870</v>
      </c>
      <c r="C218" s="5" t="n">
        <f aca="false">IF($A218="","",IF(ISNUMBER(Base_Bruta!C218),Base_Bruta!C218,IF(MID(Base_Bruta!C218,5,1)="-",DATE(VALUE(LEFT(Base_Bruta!C218,4)),VALUE(MID(Base_Bruta!C218,6,2)),VALUE(RIGHT(Base_Bruta!C218,2))),DATE(VALUE(RIGHT(Base_Bruta!C218,4)),VALUE(MID(Base_Bruta!C218,4,2)),VALUE(LEFT(Base_Bruta!C218,2))))))</f>
        <v>45976</v>
      </c>
      <c r="D218" s="4" t="str">
        <f aca="false">IF($A218="","",TRIM(Base_Bruta!D218))</f>
        <v>Festival Sonora SP 2025</v>
      </c>
      <c r="E218" s="4" t="str">
        <f aca="false">IF($A218="","",_xlfn.XLOOKUP(LOWER(TRIM(Base_Bruta!E218)),DePara_Categoria!$A$2:$A$9,DePara_Categoria!$B$2:$B$9,"REVISAR"))</f>
        <v>Festival</v>
      </c>
      <c r="F218" s="4" t="str">
        <f aca="false">IF($A218="","",_xlfn.XLOOKUP(LOWER(TRIM(Base_Bruta!F218)),DePara_Cidade!$A$2:$A$29,DePara_Cidade!$B$2:$B$29,"REVISAR"))</f>
        <v>São Paulo</v>
      </c>
      <c r="G218" s="4" t="str">
        <f aca="false">IF($A218="","",TRIM(Base_Bruta!G218))</f>
        <v>Inteira</v>
      </c>
      <c r="H218" s="4" t="n">
        <f aca="false">IF($A218="","",IF(ISNUMBER(Base_Bruta!H218),Base_Bruta!H218,IFERROR(_xlfn.NUMBERVALUE(TRIM(SUBSTITUTE(Base_Bruta!H218,"R$","")),",","."),0)))</f>
        <v>1</v>
      </c>
      <c r="I218" s="6" t="n">
        <f aca="false">IF($A218="","",IF(ISNUMBER(Base_Bruta!I218),Base_Bruta!I218,IFERROR(_xlfn.NUMBERVALUE(TRIM(SUBSTITUTE(Base_Bruta!I218,"R$","")),",","."),0)))</f>
        <v>655</v>
      </c>
      <c r="J218" s="6" t="n">
        <f aca="false">IF($A218="","",H218*I218)</f>
        <v>655</v>
      </c>
      <c r="K218" s="4" t="str">
        <f aca="false">IF($A218="","",TRIM(Base_Bruta!J218))</f>
        <v>App</v>
      </c>
      <c r="L218" s="4" t="str">
        <f aca="false">IF($A218="","",TRIM(Base_Bruta!K218))</f>
        <v>C00214</v>
      </c>
      <c r="M218" s="4" t="str">
        <f aca="false">IF($A218="","",_xlfn.XLOOKUP(LOWER(TRIM(Base_Bruta!L218)),DePara_Cidade!$A$2:$A$29,DePara_Cidade!$B$2:$B$29,"REVISAR"))</f>
        <v>Goiânia</v>
      </c>
      <c r="N218" s="4" t="str">
        <f aca="false">IF($A218="","",UPPER(TRIM(Base_Bruta!M218)))</f>
        <v>GO</v>
      </c>
      <c r="O218" s="4" t="str">
        <f aca="false">IF($A218="","",_xlfn.XLOOKUP(LOWER(TRIM(Base_Bruta!N218)),DePara_Pais!$A$2:$A$9,DePara_Pais!$B$2:$B$9,"REVISAR"))</f>
        <v>Brasil</v>
      </c>
      <c r="P218" s="4" t="str">
        <f aca="false">IF($A218="","",IF(O218&lt;&gt;"Brasil","Turista Internacional",IF(M218=F218,"Local","Turista Nacional")))</f>
        <v>Turista Nacional</v>
      </c>
      <c r="Q218" s="7" t="n">
        <f aca="false">IF($A218="","",DATE(YEAR(B218),MONTH(B218),1))</f>
        <v>45870</v>
      </c>
      <c r="R218" s="4" t="str">
        <f aca="false">IF($A218="","",IF(COUNTIF($A$2:$A218,$A218)&gt;1,"Sim","Não"))</f>
        <v>Não</v>
      </c>
      <c r="S218" s="4" t="str">
        <f aca="false">IF(A218="","Descartar - Linha vazia",IF(R218="Sim","Descartar - Duplicado",IF(OR(H218&lt;=0,I218&lt;=0),"Descartar - Qtd/Valor inválido","OK")))</f>
        <v>OK</v>
      </c>
      <c r="T218" s="4" t="str">
        <f aca="false">Base_Bruta!P218</f>
        <v>vendas_SP.xlsx</v>
      </c>
    </row>
    <row r="219" customFormat="false" ht="15" hidden="false" customHeight="false" outlineLevel="0" collapsed="false">
      <c r="A219" s="4" t="str">
        <f aca="false">IF(Base_Bruta!A219="","",Base_Bruta!A219)</f>
        <v>SP-000225</v>
      </c>
      <c r="B219" s="5" t="n">
        <f aca="false">IF($A219="","",IF(ISNUMBER(Base_Bruta!B219),Base_Bruta!B219,IF(MID(Base_Bruta!B219,5,1)="-",DATE(VALUE(LEFT(Base_Bruta!B219,4)),VALUE(MID(Base_Bruta!B219,6,2)),VALUE(RIGHT(Base_Bruta!B219,2))),DATE(VALUE(RIGHT(Base_Bruta!B219,4)),VALUE(MID(Base_Bruta!B219,4,2)),VALUE(LEFT(Base_Bruta!B219,2))))))</f>
        <v>45870</v>
      </c>
      <c r="C219" s="5" t="n">
        <f aca="false">IF($A219="","",IF(ISNUMBER(Base_Bruta!C219),Base_Bruta!C219,IF(MID(Base_Bruta!C219,5,1)="-",DATE(VALUE(LEFT(Base_Bruta!C219,4)),VALUE(MID(Base_Bruta!C219,6,2)),VALUE(RIGHT(Base_Bruta!C219,2))),DATE(VALUE(RIGHT(Base_Bruta!C219,4)),VALUE(MID(Base_Bruta!C219,4,2)),VALUE(LEFT(Base_Bruta!C219,2))))))</f>
        <v>45976</v>
      </c>
      <c r="D219" s="4" t="str">
        <f aca="false">IF($A219="","",TRIM(Base_Bruta!D219))</f>
        <v>Festival Sonora SP 2025</v>
      </c>
      <c r="E219" s="4" t="str">
        <f aca="false">IF($A219="","",_xlfn.XLOOKUP(LOWER(TRIM(Base_Bruta!E219)),DePara_Categoria!$A$2:$A$9,DePara_Categoria!$B$2:$B$9,"REVISAR"))</f>
        <v>Festival</v>
      </c>
      <c r="F219" s="4" t="str">
        <f aca="false">IF($A219="","",_xlfn.XLOOKUP(LOWER(TRIM(Base_Bruta!F219)),DePara_Cidade!$A$2:$A$29,DePara_Cidade!$B$2:$B$29,"REVISAR"))</f>
        <v>São Paulo</v>
      </c>
      <c r="G219" s="4" t="str">
        <f aca="false">IF($A219="","",TRIM(Base_Bruta!G219))</f>
        <v>Inteira</v>
      </c>
      <c r="H219" s="4" t="n">
        <f aca="false">IF($A219="","",IF(ISNUMBER(Base_Bruta!H219),Base_Bruta!H219,IFERROR(_xlfn.NUMBERVALUE(TRIM(SUBSTITUTE(Base_Bruta!H219,"R$","")),",","."),0)))</f>
        <v>4</v>
      </c>
      <c r="I219" s="6" t="n">
        <f aca="false">IF($A219="","",IF(ISNUMBER(Base_Bruta!I219),Base_Bruta!I219,IFERROR(_xlfn.NUMBERVALUE(TRIM(SUBSTITUTE(Base_Bruta!I219,"R$","")),",","."),0)))</f>
        <v>1105</v>
      </c>
      <c r="J219" s="6" t="n">
        <f aca="false">IF($A219="","",H219*I219)</f>
        <v>4420</v>
      </c>
      <c r="K219" s="4" t="str">
        <f aca="false">IF($A219="","",TRIM(Base_Bruta!J219))</f>
        <v>App</v>
      </c>
      <c r="L219" s="4" t="str">
        <f aca="false">IF($A219="","",TRIM(Base_Bruta!K219))</f>
        <v>C02429</v>
      </c>
      <c r="M219" s="4" t="str">
        <f aca="false">IF($A219="","",_xlfn.XLOOKUP(LOWER(TRIM(Base_Bruta!L219)),DePara_Cidade!$A$2:$A$29,DePara_Cidade!$B$2:$B$29,"REVISAR"))</f>
        <v>Campinas</v>
      </c>
      <c r="N219" s="4" t="str">
        <f aca="false">IF($A219="","",UPPER(TRIM(Base_Bruta!M219)))</f>
        <v>SP</v>
      </c>
      <c r="O219" s="4" t="str">
        <f aca="false">IF($A219="","",_xlfn.XLOOKUP(LOWER(TRIM(Base_Bruta!N219)),DePara_Pais!$A$2:$A$9,DePara_Pais!$B$2:$B$9,"REVISAR"))</f>
        <v>Brasil</v>
      </c>
      <c r="P219" s="4" t="str">
        <f aca="false">IF($A219="","",IF(O219&lt;&gt;"Brasil","Turista Internacional",IF(M219=F219,"Local","Turista Nacional")))</f>
        <v>Turista Nacional</v>
      </c>
      <c r="Q219" s="7" t="n">
        <f aca="false">IF($A219="","",DATE(YEAR(B219),MONTH(B219),1))</f>
        <v>45870</v>
      </c>
      <c r="R219" s="4" t="str">
        <f aca="false">IF($A219="","",IF(COUNTIF($A$2:$A219,$A219)&gt;1,"Sim","Não"))</f>
        <v>Não</v>
      </c>
      <c r="S219" s="4" t="str">
        <f aca="false">IF(A219="","Descartar - Linha vazia",IF(R219="Sim","Descartar - Duplicado",IF(OR(H219&lt;=0,I219&lt;=0),"Descartar - Qtd/Valor inválido","OK")))</f>
        <v>OK</v>
      </c>
      <c r="T219" s="4" t="str">
        <f aca="false">Base_Bruta!P219</f>
        <v>vendas_SP.xlsx</v>
      </c>
    </row>
    <row r="220" customFormat="false" ht="15" hidden="false" customHeight="false" outlineLevel="0" collapsed="false">
      <c r="A220" s="4" t="str">
        <f aca="false">IF(Base_Bruta!A220="","",Base_Bruta!A220)</f>
        <v>SP-000461</v>
      </c>
      <c r="B220" s="5" t="n">
        <f aca="false">IF($A220="","",IF(ISNUMBER(Base_Bruta!B220),Base_Bruta!B220,IF(MID(Base_Bruta!B220,5,1)="-",DATE(VALUE(LEFT(Base_Bruta!B220,4)),VALUE(MID(Base_Bruta!B220,6,2)),VALUE(RIGHT(Base_Bruta!B220,2))),DATE(VALUE(RIGHT(Base_Bruta!B220,4)),VALUE(MID(Base_Bruta!B220,4,2)),VALUE(LEFT(Base_Bruta!B220,2))))))</f>
        <v>45870</v>
      </c>
      <c r="C220" s="5" t="n">
        <f aca="false">IF($A220="","",IF(ISNUMBER(Base_Bruta!C220),Base_Bruta!C220,IF(MID(Base_Bruta!C220,5,1)="-",DATE(VALUE(LEFT(Base_Bruta!C220,4)),VALUE(MID(Base_Bruta!C220,6,2)),VALUE(RIGHT(Base_Bruta!C220,2))),DATE(VALUE(RIGHT(Base_Bruta!C220,4)),VALUE(MID(Base_Bruta!C220,4,2)),VALUE(LEFT(Base_Bruta!C220,2))))))</f>
        <v>45934</v>
      </c>
      <c r="D220" s="4" t="str">
        <f aca="false">IF($A220="","",TRIM(Base_Bruta!D220))</f>
        <v>Turnê Internacional Pop - SP</v>
      </c>
      <c r="E220" s="4" t="str">
        <f aca="false">IF($A220="","",_xlfn.XLOOKUP(LOWER(TRIM(Base_Bruta!E220)),DePara_Categoria!$A$2:$A$9,DePara_Categoria!$B$2:$B$9,"REVISAR"))</f>
        <v>Show</v>
      </c>
      <c r="F220" s="4" t="str">
        <f aca="false">IF($A220="","",_xlfn.XLOOKUP(LOWER(TRIM(Base_Bruta!F220)),DePara_Cidade!$A$2:$A$29,DePara_Cidade!$B$2:$B$29,"REVISAR"))</f>
        <v>São Paulo</v>
      </c>
      <c r="G220" s="4" t="str">
        <f aca="false">IF($A220="","",TRIM(Base_Bruta!G220))</f>
        <v>Inteira</v>
      </c>
      <c r="H220" s="4" t="n">
        <f aca="false">IF($A220="","",IF(ISNUMBER(Base_Bruta!H220),Base_Bruta!H220,IFERROR(_xlfn.NUMBERVALUE(TRIM(SUBSTITUTE(Base_Bruta!H220,"R$","")),",","."),0)))</f>
        <v>1</v>
      </c>
      <c r="I220" s="6" t="n">
        <f aca="false">IF($A220="","",IF(ISNUMBER(Base_Bruta!I220),Base_Bruta!I220,IFERROR(_xlfn.NUMBERVALUE(TRIM(SUBSTITUTE(Base_Bruta!I220,"R$","")),",","."),0)))</f>
        <v>740</v>
      </c>
      <c r="J220" s="6" t="n">
        <f aca="false">IF($A220="","",H220*I220)</f>
        <v>740</v>
      </c>
      <c r="K220" s="4" t="str">
        <f aca="false">IF($A220="","",TRIM(Base_Bruta!J220))</f>
        <v>App</v>
      </c>
      <c r="L220" s="4" t="str">
        <f aca="false">IF($A220="","",TRIM(Base_Bruta!K220))</f>
        <v>C00884</v>
      </c>
      <c r="M220" s="4" t="str">
        <f aca="false">IF($A220="","",_xlfn.XLOOKUP(LOWER(TRIM(Base_Bruta!L220)),DePara_Cidade!$A$2:$A$29,DePara_Cidade!$B$2:$B$29,"REVISAR"))</f>
        <v>Vitória</v>
      </c>
      <c r="N220" s="4" t="str">
        <f aca="false">IF($A220="","",UPPER(TRIM(Base_Bruta!M220)))</f>
        <v>ES</v>
      </c>
      <c r="O220" s="4" t="str">
        <f aca="false">IF($A220="","",_xlfn.XLOOKUP(LOWER(TRIM(Base_Bruta!N220)),DePara_Pais!$A$2:$A$9,DePara_Pais!$B$2:$B$9,"REVISAR"))</f>
        <v>Brasil</v>
      </c>
      <c r="P220" s="4" t="str">
        <f aca="false">IF($A220="","",IF(O220&lt;&gt;"Brasil","Turista Internacional",IF(M220=F220,"Local","Turista Nacional")))</f>
        <v>Turista Nacional</v>
      </c>
      <c r="Q220" s="7" t="n">
        <f aca="false">IF($A220="","",DATE(YEAR(B220),MONTH(B220),1))</f>
        <v>45870</v>
      </c>
      <c r="R220" s="4" t="str">
        <f aca="false">IF($A220="","",IF(COUNTIF($A$2:$A220,$A220)&gt;1,"Sim","Não"))</f>
        <v>Não</v>
      </c>
      <c r="S220" s="4" t="str">
        <f aca="false">IF(A220="","Descartar - Linha vazia",IF(R220="Sim","Descartar - Duplicado",IF(OR(H220&lt;=0,I220&lt;=0),"Descartar - Qtd/Valor inválido","OK")))</f>
        <v>OK</v>
      </c>
      <c r="T220" s="4" t="str">
        <f aca="false">Base_Bruta!P220</f>
        <v>vendas_SP.xlsx</v>
      </c>
    </row>
    <row r="221" customFormat="false" ht="15" hidden="false" customHeight="false" outlineLevel="0" collapsed="false">
      <c r="A221" s="4" t="str">
        <f aca="false">IF(Base_Bruta!A221="","",Base_Bruta!A221)</f>
        <v>SP-000171</v>
      </c>
      <c r="B221" s="5" t="n">
        <f aca="false">IF($A221="","",IF(ISNUMBER(Base_Bruta!B221),Base_Bruta!B221,IF(MID(Base_Bruta!B221,5,1)="-",DATE(VALUE(LEFT(Base_Bruta!B221,4)),VALUE(MID(Base_Bruta!B221,6,2)),VALUE(RIGHT(Base_Bruta!B221,2))),DATE(VALUE(RIGHT(Base_Bruta!B221,4)),VALUE(MID(Base_Bruta!B221,4,2)),VALUE(LEFT(Base_Bruta!B221,2))))))</f>
        <v>45867</v>
      </c>
      <c r="C221" s="5" t="n">
        <f aca="false">IF($A221="","",IF(ISNUMBER(Base_Bruta!C221),Base_Bruta!C221,IF(MID(Base_Bruta!C221,5,1)="-",DATE(VALUE(LEFT(Base_Bruta!C221,4)),VALUE(MID(Base_Bruta!C221,6,2)),VALUE(RIGHT(Base_Bruta!C221,2))),DATE(VALUE(RIGHT(Base_Bruta!C221,4)),VALUE(MID(Base_Bruta!C221,4,2)),VALUE(LEFT(Base_Bruta!C221,2))))))</f>
        <v>45976</v>
      </c>
      <c r="D221" s="4" t="str">
        <f aca="false">IF($A221="","",TRIM(Base_Bruta!D221))</f>
        <v>Festival Sonora SP 2025</v>
      </c>
      <c r="E221" s="4" t="str">
        <f aca="false">IF($A221="","",_xlfn.XLOOKUP(LOWER(TRIM(Base_Bruta!E221)),DePara_Categoria!$A$2:$A$9,DePara_Categoria!$B$2:$B$9,"REVISAR"))</f>
        <v>Festival</v>
      </c>
      <c r="F221" s="4" t="str">
        <f aca="false">IF($A221="","",_xlfn.XLOOKUP(LOWER(TRIM(Base_Bruta!F221)),DePara_Cidade!$A$2:$A$29,DePara_Cidade!$B$2:$B$29,"REVISAR"))</f>
        <v>São Paulo</v>
      </c>
      <c r="G221" s="4" t="str">
        <f aca="false">IF($A221="","",TRIM(Base_Bruta!G221))</f>
        <v>Inteira</v>
      </c>
      <c r="H221" s="4" t="n">
        <f aca="false">IF($A221="","",IF(ISNUMBER(Base_Bruta!H221),Base_Bruta!H221,IFERROR(_xlfn.NUMBERVALUE(TRIM(SUBSTITUTE(Base_Bruta!H221,"R$","")),",","."),0)))</f>
        <v>1</v>
      </c>
      <c r="I221" s="6" t="n">
        <f aca="false">IF($A221="","",IF(ISNUMBER(Base_Bruta!I221),Base_Bruta!I221,IFERROR(_xlfn.NUMBERVALUE(TRIM(SUBSTITUTE(Base_Bruta!I221,"R$","")),",","."),0)))</f>
        <v>935</v>
      </c>
      <c r="J221" s="6" t="n">
        <f aca="false">IF($A221="","",H221*I221)</f>
        <v>935</v>
      </c>
      <c r="K221" s="4" t="str">
        <f aca="false">IF($A221="","",TRIM(Base_Bruta!J221))</f>
        <v>Site</v>
      </c>
      <c r="L221" s="4" t="str">
        <f aca="false">IF($A221="","",TRIM(Base_Bruta!K221))</f>
        <v>C00147</v>
      </c>
      <c r="M221" s="4" t="str">
        <f aca="false">IF($A221="","",_xlfn.XLOOKUP(LOWER(TRIM(Base_Bruta!L221)),DePara_Cidade!$A$2:$A$29,DePara_Cidade!$B$2:$B$29,"REVISAR"))</f>
        <v>São Paulo</v>
      </c>
      <c r="N221" s="4" t="str">
        <f aca="false">IF($A221="","",UPPER(TRIM(Base_Bruta!M221)))</f>
        <v>SP</v>
      </c>
      <c r="O221" s="4" t="str">
        <f aca="false">IF($A221="","",_xlfn.XLOOKUP(LOWER(TRIM(Base_Bruta!N221)),DePara_Pais!$A$2:$A$9,DePara_Pais!$B$2:$B$9,"REVISAR"))</f>
        <v>Brasil</v>
      </c>
      <c r="P221" s="4" t="str">
        <f aca="false">IF($A221="","",IF(O221&lt;&gt;"Brasil","Turista Internacional",IF(M221=F221,"Local","Turista Nacional")))</f>
        <v>Local</v>
      </c>
      <c r="Q221" s="7" t="n">
        <f aca="false">IF($A221="","",DATE(YEAR(B221),MONTH(B221),1))</f>
        <v>45839</v>
      </c>
      <c r="R221" s="4" t="str">
        <f aca="false">IF($A221="","",IF(COUNTIF($A$2:$A221,$A221)&gt;1,"Sim","Não"))</f>
        <v>Sim</v>
      </c>
      <c r="S221" s="4" t="str">
        <f aca="false">IF(A221="","Descartar - Linha vazia",IF(R221="Sim","Descartar - Duplicado",IF(OR(H221&lt;=0,I221&lt;=0),"Descartar - Qtd/Valor inválido","OK")))</f>
        <v>Descartar - Duplicado</v>
      </c>
      <c r="T221" s="4" t="str">
        <f aca="false">Base_Bruta!P221</f>
        <v>vendas_SP.xlsx</v>
      </c>
    </row>
    <row r="222" customFormat="false" ht="15" hidden="false" customHeight="false" outlineLevel="0" collapsed="false">
      <c r="A222" s="4" t="str">
        <f aca="false">IF(Base_Bruta!A222="","",Base_Bruta!A222)</f>
        <v>SP-000021</v>
      </c>
      <c r="B222" s="5" t="n">
        <f aca="false">IF($A222="","",IF(ISNUMBER(Base_Bruta!B222),Base_Bruta!B222,IF(MID(Base_Bruta!B222,5,1)="-",DATE(VALUE(LEFT(Base_Bruta!B222,4)),VALUE(MID(Base_Bruta!B222,6,2)),VALUE(RIGHT(Base_Bruta!B222,2))),DATE(VALUE(RIGHT(Base_Bruta!B222,4)),VALUE(MID(Base_Bruta!B222,4,2)),VALUE(LEFT(Base_Bruta!B222,2))))))</f>
        <v>45871</v>
      </c>
      <c r="C222" s="5" t="n">
        <f aca="false">IF($A222="","",IF(ISNUMBER(Base_Bruta!C222),Base_Bruta!C222,IF(MID(Base_Bruta!C222,5,1)="-",DATE(VALUE(LEFT(Base_Bruta!C222,4)),VALUE(MID(Base_Bruta!C222,6,2)),VALUE(RIGHT(Base_Bruta!C222,2))),DATE(VALUE(RIGHT(Base_Bruta!C222,4)),VALUE(MID(Base_Bruta!C222,4,2)),VALUE(LEFT(Base_Bruta!C222,2))))))</f>
        <v>45976</v>
      </c>
      <c r="D222" s="4" t="str">
        <f aca="false">IF($A222="","",TRIM(Base_Bruta!D222))</f>
        <v>Festival Sonora SP 2025</v>
      </c>
      <c r="E222" s="4" t="str">
        <f aca="false">IF($A222="","",_xlfn.XLOOKUP(LOWER(TRIM(Base_Bruta!E222)),DePara_Categoria!$A$2:$A$9,DePara_Categoria!$B$2:$B$9,"REVISAR"))</f>
        <v>Festival</v>
      </c>
      <c r="F222" s="4" t="str">
        <f aca="false">IF($A222="","",_xlfn.XLOOKUP(LOWER(TRIM(Base_Bruta!F222)),DePara_Cidade!$A$2:$A$29,DePara_Cidade!$B$2:$B$29,"REVISAR"))</f>
        <v>São Paulo</v>
      </c>
      <c r="G222" s="4" t="str">
        <f aca="false">IF($A222="","",TRIM(Base_Bruta!G222))</f>
        <v>Inteira</v>
      </c>
      <c r="H222" s="4" t="n">
        <f aca="false">IF($A222="","",IF(ISNUMBER(Base_Bruta!H222),Base_Bruta!H222,IFERROR(_xlfn.NUMBERVALUE(TRIM(SUBSTITUTE(Base_Bruta!H222,"R$","")),",","."),0)))</f>
        <v>1</v>
      </c>
      <c r="I222" s="6" t="n">
        <f aca="false">IF($A222="","",IF(ISNUMBER(Base_Bruta!I222),Base_Bruta!I222,IFERROR(_xlfn.NUMBERVALUE(TRIM(SUBSTITUTE(Base_Bruta!I222,"R$","")),",","."),0)))</f>
        <v>790</v>
      </c>
      <c r="J222" s="6" t="n">
        <f aca="false">IF($A222="","",H222*I222)</f>
        <v>790</v>
      </c>
      <c r="K222" s="4" t="str">
        <f aca="false">IF($A222="","",TRIM(Base_Bruta!J222))</f>
        <v>Site</v>
      </c>
      <c r="L222" s="4" t="str">
        <f aca="false">IF($A222="","",TRIM(Base_Bruta!K222))</f>
        <v>C02383</v>
      </c>
      <c r="M222" s="4" t="str">
        <f aca="false">IF($A222="","",_xlfn.XLOOKUP(LOWER(TRIM(Base_Bruta!L222)),DePara_Cidade!$A$2:$A$29,DePara_Cidade!$B$2:$B$29,"REVISAR"))</f>
        <v>São Paulo</v>
      </c>
      <c r="N222" s="4" t="str">
        <f aca="false">IF($A222="","",UPPER(TRIM(Base_Bruta!M222)))</f>
        <v>SP</v>
      </c>
      <c r="O222" s="4" t="str">
        <f aca="false">IF($A222="","",_xlfn.XLOOKUP(LOWER(TRIM(Base_Bruta!N222)),DePara_Pais!$A$2:$A$9,DePara_Pais!$B$2:$B$9,"REVISAR"))</f>
        <v>Brasil</v>
      </c>
      <c r="P222" s="4" t="str">
        <f aca="false">IF($A222="","",IF(O222&lt;&gt;"Brasil","Turista Internacional",IF(M222=F222,"Local","Turista Nacional")))</f>
        <v>Local</v>
      </c>
      <c r="Q222" s="7" t="n">
        <f aca="false">IF($A222="","",DATE(YEAR(B222),MONTH(B222),1))</f>
        <v>45870</v>
      </c>
      <c r="R222" s="4" t="str">
        <f aca="false">IF($A222="","",IF(COUNTIF($A$2:$A222,$A222)&gt;1,"Sim","Não"))</f>
        <v>Não</v>
      </c>
      <c r="S222" s="4" t="str">
        <f aca="false">IF(A222="","Descartar - Linha vazia",IF(R222="Sim","Descartar - Duplicado",IF(OR(H222&lt;=0,I222&lt;=0),"Descartar - Qtd/Valor inválido","OK")))</f>
        <v>OK</v>
      </c>
      <c r="T222" s="4" t="str">
        <f aca="false">Base_Bruta!P222</f>
        <v>vendas_SP.xlsx</v>
      </c>
    </row>
    <row r="223" customFormat="false" ht="15" hidden="false" customHeight="false" outlineLevel="0" collapsed="false">
      <c r="A223" s="4" t="str">
        <f aca="false">IF(Base_Bruta!A223="","",Base_Bruta!A223)</f>
        <v>SP-000046</v>
      </c>
      <c r="B223" s="5" t="n">
        <f aca="false">IF($A223="","",IF(ISNUMBER(Base_Bruta!B223),Base_Bruta!B223,IF(MID(Base_Bruta!B223,5,1)="-",DATE(VALUE(LEFT(Base_Bruta!B223,4)),VALUE(MID(Base_Bruta!B223,6,2)),VALUE(RIGHT(Base_Bruta!B223,2))),DATE(VALUE(RIGHT(Base_Bruta!B223,4)),VALUE(MID(Base_Bruta!B223,4,2)),VALUE(LEFT(Base_Bruta!B223,2))))))</f>
        <v>45871</v>
      </c>
      <c r="C223" s="5" t="n">
        <f aca="false">IF($A223="","",IF(ISNUMBER(Base_Bruta!C223),Base_Bruta!C223,IF(MID(Base_Bruta!C223,5,1)="-",DATE(VALUE(LEFT(Base_Bruta!C223,4)),VALUE(MID(Base_Bruta!C223,6,2)),VALUE(RIGHT(Base_Bruta!C223,2))),DATE(VALUE(RIGHT(Base_Bruta!C223,4)),VALUE(MID(Base_Bruta!C223,4,2)),VALUE(LEFT(Base_Bruta!C223,2))))))</f>
        <v>45976</v>
      </c>
      <c r="D223" s="4" t="str">
        <f aca="false">IF($A223="","",TRIM(Base_Bruta!D223))</f>
        <v>Festival Sonora SP 2025</v>
      </c>
      <c r="E223" s="4" t="str">
        <f aca="false">IF($A223="","",_xlfn.XLOOKUP(LOWER(TRIM(Base_Bruta!E223)),DePara_Categoria!$A$2:$A$9,DePara_Categoria!$B$2:$B$9,"REVISAR"))</f>
        <v>Festival</v>
      </c>
      <c r="F223" s="4" t="str">
        <f aca="false">IF($A223="","",_xlfn.XLOOKUP(LOWER(TRIM(Base_Bruta!F223)),DePara_Cidade!$A$2:$A$29,DePara_Cidade!$B$2:$B$29,"REVISAR"))</f>
        <v>São Paulo</v>
      </c>
      <c r="G223" s="4" t="str">
        <f aca="false">IF($A223="","",TRIM(Base_Bruta!G223))</f>
        <v>VIP</v>
      </c>
      <c r="H223" s="4" t="n">
        <f aca="false">IF($A223="","",IF(ISNUMBER(Base_Bruta!H223),Base_Bruta!H223,IFERROR(_xlfn.NUMBERVALUE(TRIM(SUBSTITUTE(Base_Bruta!H223,"R$","")),",","."),0)))</f>
        <v>1</v>
      </c>
      <c r="I223" s="6" t="n">
        <f aca="false">IF($A223="","",IF(ISNUMBER(Base_Bruta!I223),Base_Bruta!I223,IFERROR(_xlfn.NUMBERVALUE(TRIM(SUBSTITUTE(Base_Bruta!I223,"R$","")),",","."),0)))</f>
        <v>1400</v>
      </c>
      <c r="J223" s="6" t="n">
        <f aca="false">IF($A223="","",H223*I223)</f>
        <v>1400</v>
      </c>
      <c r="K223" s="4" t="str">
        <f aca="false">IF($A223="","",TRIM(Base_Bruta!J223))</f>
        <v>Site</v>
      </c>
      <c r="L223" s="4" t="str">
        <f aca="false">IF($A223="","",TRIM(Base_Bruta!K223))</f>
        <v>C00150</v>
      </c>
      <c r="M223" s="4" t="str">
        <f aca="false">IF($A223="","",_xlfn.XLOOKUP(LOWER(TRIM(Base_Bruta!L223)),DePara_Cidade!$A$2:$A$29,DePara_Cidade!$B$2:$B$29,"REVISAR"))</f>
        <v>Santiago</v>
      </c>
      <c r="N223" s="4" t="str">
        <f aca="false">IF($A223="","",UPPER(TRIM(Base_Bruta!M223)))</f>
        <v>EX</v>
      </c>
      <c r="O223" s="4" t="str">
        <f aca="false">IF($A223="","",_xlfn.XLOOKUP(LOWER(TRIM(Base_Bruta!N223)),DePara_Pais!$A$2:$A$9,DePara_Pais!$B$2:$B$9,"REVISAR"))</f>
        <v>Chile</v>
      </c>
      <c r="P223" s="4" t="str">
        <f aca="false">IF($A223="","",IF(O223&lt;&gt;"Brasil","Turista Internacional",IF(M223=F223,"Local","Turista Nacional")))</f>
        <v>Turista Internacional</v>
      </c>
      <c r="Q223" s="7" t="n">
        <f aca="false">IF($A223="","",DATE(YEAR(B223),MONTH(B223),1))</f>
        <v>45870</v>
      </c>
      <c r="R223" s="4" t="str">
        <f aca="false">IF($A223="","",IF(COUNTIF($A$2:$A223,$A223)&gt;1,"Sim","Não"))</f>
        <v>Não</v>
      </c>
      <c r="S223" s="4" t="str">
        <f aca="false">IF(A223="","Descartar - Linha vazia",IF(R223="Sim","Descartar - Duplicado",IF(OR(H223&lt;=0,I223&lt;=0),"Descartar - Qtd/Valor inválido","OK")))</f>
        <v>OK</v>
      </c>
      <c r="T223" s="4" t="str">
        <f aca="false">Base_Bruta!P223</f>
        <v>vendas_SP.xlsx</v>
      </c>
    </row>
    <row r="224" customFormat="false" ht="15" hidden="false" customHeight="false" outlineLevel="0" collapsed="false">
      <c r="A224" s="4" t="str">
        <f aca="false">IF(Base_Bruta!A224="","",Base_Bruta!A224)</f>
        <v>SP-000091</v>
      </c>
      <c r="B224" s="5" t="n">
        <f aca="false">IF($A224="","",IF(ISNUMBER(Base_Bruta!B224),Base_Bruta!B224,IF(MID(Base_Bruta!B224,5,1)="-",DATE(VALUE(LEFT(Base_Bruta!B224,4)),VALUE(MID(Base_Bruta!B224,6,2)),VALUE(RIGHT(Base_Bruta!B224,2))),DATE(VALUE(RIGHT(Base_Bruta!B224,4)),VALUE(MID(Base_Bruta!B224,4,2)),VALUE(LEFT(Base_Bruta!B224,2))))))</f>
        <v>45871</v>
      </c>
      <c r="C224" s="5" t="n">
        <f aca="false">IF($A224="","",IF(ISNUMBER(Base_Bruta!C224),Base_Bruta!C224,IF(MID(Base_Bruta!C224,5,1)="-",DATE(VALUE(LEFT(Base_Bruta!C224,4)),VALUE(MID(Base_Bruta!C224,6,2)),VALUE(RIGHT(Base_Bruta!C224,2))),DATE(VALUE(RIGHT(Base_Bruta!C224,4)),VALUE(MID(Base_Bruta!C224,4,2)),VALUE(LEFT(Base_Bruta!C224,2))))))</f>
        <v>45976</v>
      </c>
      <c r="D224" s="4" t="str">
        <f aca="false">IF($A224="","",TRIM(Base_Bruta!D224))</f>
        <v>Festival Sonora SP 2025</v>
      </c>
      <c r="E224" s="4" t="str">
        <f aca="false">IF($A224="","",_xlfn.XLOOKUP(LOWER(TRIM(Base_Bruta!E224)),DePara_Categoria!$A$2:$A$9,DePara_Categoria!$B$2:$B$9,"REVISAR"))</f>
        <v>Festival</v>
      </c>
      <c r="F224" s="4" t="str">
        <f aca="false">IF($A224="","",_xlfn.XLOOKUP(LOWER(TRIM(Base_Bruta!F224)),DePara_Cidade!$A$2:$A$29,DePara_Cidade!$B$2:$B$29,"REVISAR"))</f>
        <v>São Paulo</v>
      </c>
      <c r="G224" s="4" t="str">
        <f aca="false">IF($A224="","",TRIM(Base_Bruta!G224))</f>
        <v>VIP</v>
      </c>
      <c r="H224" s="4" t="n">
        <f aca="false">IF($A224="","",IF(ISNUMBER(Base_Bruta!H224),Base_Bruta!H224,IFERROR(_xlfn.NUMBERVALUE(TRIM(SUBSTITUTE(Base_Bruta!H224,"R$","")),",","."),0)))</f>
        <v>2</v>
      </c>
      <c r="I224" s="6" t="n">
        <f aca="false">IF($A224="","",IF(ISNUMBER(Base_Bruta!I224),Base_Bruta!I224,IFERROR(_xlfn.NUMBERVALUE(TRIM(SUBSTITUTE(Base_Bruta!I224,"R$","")),",","."),0)))</f>
        <v>1350</v>
      </c>
      <c r="J224" s="6" t="n">
        <f aca="false">IF($A224="","",H224*I224)</f>
        <v>2700</v>
      </c>
      <c r="K224" s="4" t="str">
        <f aca="false">IF($A224="","",TRIM(Base_Bruta!J224))</f>
        <v>App</v>
      </c>
      <c r="L224" s="4" t="str">
        <f aca="false">IF($A224="","",TRIM(Base_Bruta!K224))</f>
        <v>C00429</v>
      </c>
      <c r="M224" s="4" t="str">
        <f aca="false">IF($A224="","",_xlfn.XLOOKUP(LOWER(TRIM(Base_Bruta!L224)),DePara_Cidade!$A$2:$A$29,DePara_Cidade!$B$2:$B$29,"REVISAR"))</f>
        <v>São Paulo</v>
      </c>
      <c r="N224" s="4" t="str">
        <f aca="false">IF($A224="","",UPPER(TRIM(Base_Bruta!M224)))</f>
        <v>SP</v>
      </c>
      <c r="O224" s="4" t="str">
        <f aca="false">IF($A224="","",_xlfn.XLOOKUP(LOWER(TRIM(Base_Bruta!N224)),DePara_Pais!$A$2:$A$9,DePara_Pais!$B$2:$B$9,"REVISAR"))</f>
        <v>Brasil</v>
      </c>
      <c r="P224" s="4" t="str">
        <f aca="false">IF($A224="","",IF(O224&lt;&gt;"Brasil","Turista Internacional",IF(M224=F224,"Local","Turista Nacional")))</f>
        <v>Local</v>
      </c>
      <c r="Q224" s="7" t="n">
        <f aca="false">IF($A224="","",DATE(YEAR(B224),MONTH(B224),1))</f>
        <v>45870</v>
      </c>
      <c r="R224" s="4" t="str">
        <f aca="false">IF($A224="","",IF(COUNTIF($A$2:$A224,$A224)&gt;1,"Sim","Não"))</f>
        <v>Não</v>
      </c>
      <c r="S224" s="4" t="str">
        <f aca="false">IF(A224="","Descartar - Linha vazia",IF(R224="Sim","Descartar - Duplicado",IF(OR(H224&lt;=0,I224&lt;=0),"Descartar - Qtd/Valor inválido","OK")))</f>
        <v>OK</v>
      </c>
      <c r="T224" s="4" t="str">
        <f aca="false">Base_Bruta!P224</f>
        <v>vendas_SP.xlsx</v>
      </c>
    </row>
    <row r="225" customFormat="false" ht="15" hidden="false" customHeight="false" outlineLevel="0" collapsed="false">
      <c r="A225" s="4" t="str">
        <f aca="false">IF(Base_Bruta!A225="","",Base_Bruta!A225)</f>
        <v>SP-000178</v>
      </c>
      <c r="B225" s="5" t="n">
        <f aca="false">IF($A225="","",IF(ISNUMBER(Base_Bruta!B225),Base_Bruta!B225,IF(MID(Base_Bruta!B225,5,1)="-",DATE(VALUE(LEFT(Base_Bruta!B225,4)),VALUE(MID(Base_Bruta!B225,6,2)),VALUE(RIGHT(Base_Bruta!B225,2))),DATE(VALUE(RIGHT(Base_Bruta!B225,4)),VALUE(MID(Base_Bruta!B225,4,2)),VALUE(LEFT(Base_Bruta!B225,2))))))</f>
        <v>45871</v>
      </c>
      <c r="C225" s="5" t="n">
        <f aca="false">IF($A225="","",IF(ISNUMBER(Base_Bruta!C225),Base_Bruta!C225,IF(MID(Base_Bruta!C225,5,1)="-",DATE(VALUE(LEFT(Base_Bruta!C225,4)),VALUE(MID(Base_Bruta!C225,6,2)),VALUE(RIGHT(Base_Bruta!C225,2))),DATE(VALUE(RIGHT(Base_Bruta!C225,4)),VALUE(MID(Base_Bruta!C225,4,2)),VALUE(LEFT(Base_Bruta!C225,2))))))</f>
        <v>45976</v>
      </c>
      <c r="D225" s="4" t="str">
        <f aca="false">IF($A225="","",TRIM(Base_Bruta!D225))</f>
        <v>Festival Sonora SP 2025</v>
      </c>
      <c r="E225" s="4" t="str">
        <f aca="false">IF($A225="","",_xlfn.XLOOKUP(LOWER(TRIM(Base_Bruta!E225)),DePara_Categoria!$A$2:$A$9,DePara_Categoria!$B$2:$B$9,"REVISAR"))</f>
        <v>Festival</v>
      </c>
      <c r="F225" s="4" t="str">
        <f aca="false">IF($A225="","",_xlfn.XLOOKUP(LOWER(TRIM(Base_Bruta!F225)),DePara_Cidade!$A$2:$A$29,DePara_Cidade!$B$2:$B$29,"REVISAR"))</f>
        <v>São Paulo</v>
      </c>
      <c r="G225" s="4" t="str">
        <f aca="false">IF($A225="","",TRIM(Base_Bruta!G225))</f>
        <v>VIP</v>
      </c>
      <c r="H225" s="4" t="n">
        <f aca="false">IF($A225="","",IF(ISNUMBER(Base_Bruta!H225),Base_Bruta!H225,IFERROR(_xlfn.NUMBERVALUE(TRIM(SUBSTITUTE(Base_Bruta!H225,"R$","")),",","."),0)))</f>
        <v>2</v>
      </c>
      <c r="I225" s="6" t="n">
        <f aca="false">IF($A225="","",IF(ISNUMBER(Base_Bruta!I225),Base_Bruta!I225,IFERROR(_xlfn.NUMBERVALUE(TRIM(SUBSTITUTE(Base_Bruta!I225,"R$","")),",","."),0)))</f>
        <v>1470</v>
      </c>
      <c r="J225" s="6" t="n">
        <f aca="false">IF($A225="","",H225*I225)</f>
        <v>2940</v>
      </c>
      <c r="K225" s="4" t="str">
        <f aca="false">IF($A225="","",TRIM(Base_Bruta!J225))</f>
        <v>Site</v>
      </c>
      <c r="L225" s="4" t="str">
        <f aca="false">IF($A225="","",TRIM(Base_Bruta!K225))</f>
        <v>C00834</v>
      </c>
      <c r="M225" s="4" t="str">
        <f aca="false">IF($A225="","",_xlfn.XLOOKUP(LOWER(TRIM(Base_Bruta!L225)),DePara_Cidade!$A$2:$A$29,DePara_Cidade!$B$2:$B$29,"REVISAR"))</f>
        <v>Santos</v>
      </c>
      <c r="N225" s="4" t="str">
        <f aca="false">IF($A225="","",UPPER(TRIM(Base_Bruta!M225)))</f>
        <v>SP</v>
      </c>
      <c r="O225" s="4" t="str">
        <f aca="false">IF($A225="","",_xlfn.XLOOKUP(LOWER(TRIM(Base_Bruta!N225)),DePara_Pais!$A$2:$A$9,DePara_Pais!$B$2:$B$9,"REVISAR"))</f>
        <v>Brasil</v>
      </c>
      <c r="P225" s="4" t="str">
        <f aca="false">IF($A225="","",IF(O225&lt;&gt;"Brasil","Turista Internacional",IF(M225=F225,"Local","Turista Nacional")))</f>
        <v>Turista Nacional</v>
      </c>
      <c r="Q225" s="7" t="n">
        <f aca="false">IF($A225="","",DATE(YEAR(B225),MONTH(B225),1))</f>
        <v>45870</v>
      </c>
      <c r="R225" s="4" t="str">
        <f aca="false">IF($A225="","",IF(COUNTIF($A$2:$A225,$A225)&gt;1,"Sim","Não"))</f>
        <v>Não</v>
      </c>
      <c r="S225" s="4" t="str">
        <f aca="false">IF(A225="","Descartar - Linha vazia",IF(R225="Sim","Descartar - Duplicado",IF(OR(H225&lt;=0,I225&lt;=0),"Descartar - Qtd/Valor inválido","OK")))</f>
        <v>OK</v>
      </c>
      <c r="T225" s="4" t="str">
        <f aca="false">Base_Bruta!P225</f>
        <v>vendas_SP.xlsx</v>
      </c>
    </row>
    <row r="226" customFormat="false" ht="15" hidden="false" customHeight="false" outlineLevel="0" collapsed="false">
      <c r="A226" s="4" t="str">
        <f aca="false">IF(Base_Bruta!A226="","",Base_Bruta!A226)</f>
        <v>SP-000038</v>
      </c>
      <c r="B226" s="5" t="n">
        <f aca="false">IF($A226="","",IF(ISNUMBER(Base_Bruta!B226),Base_Bruta!B226,IF(MID(Base_Bruta!B226,5,1)="-",DATE(VALUE(LEFT(Base_Bruta!B226,4)),VALUE(MID(Base_Bruta!B226,6,2)),VALUE(RIGHT(Base_Bruta!B226,2))),DATE(VALUE(RIGHT(Base_Bruta!B226,4)),VALUE(MID(Base_Bruta!B226,4,2)),VALUE(LEFT(Base_Bruta!B226,2))))))</f>
        <v>45873</v>
      </c>
      <c r="C226" s="5" t="n">
        <f aca="false">IF($A226="","",IF(ISNUMBER(Base_Bruta!C226),Base_Bruta!C226,IF(MID(Base_Bruta!C226,5,1)="-",DATE(VALUE(LEFT(Base_Bruta!C226,4)),VALUE(MID(Base_Bruta!C226,6,2)),VALUE(RIGHT(Base_Bruta!C226,2))),DATE(VALUE(RIGHT(Base_Bruta!C226,4)),VALUE(MID(Base_Bruta!C226,4,2)),VALUE(LEFT(Base_Bruta!C226,2))))))</f>
        <v>45976</v>
      </c>
      <c r="D226" s="4" t="str">
        <f aca="false">IF($A226="","",TRIM(Base_Bruta!D226))</f>
        <v>Festival Sonora SP 2025</v>
      </c>
      <c r="E226" s="4" t="str">
        <f aca="false">IF($A226="","",_xlfn.XLOOKUP(LOWER(TRIM(Base_Bruta!E226)),DePara_Categoria!$A$2:$A$9,DePara_Categoria!$B$2:$B$9,"REVISAR"))</f>
        <v>Festival</v>
      </c>
      <c r="F226" s="4" t="str">
        <f aca="false">IF($A226="","",_xlfn.XLOOKUP(LOWER(TRIM(Base_Bruta!F226)),DePara_Cidade!$A$2:$A$29,DePara_Cidade!$B$2:$B$29,"REVISAR"))</f>
        <v>São Paulo</v>
      </c>
      <c r="G226" s="4" t="str">
        <f aca="false">IF($A226="","",TRIM(Base_Bruta!G226))</f>
        <v>Inteira</v>
      </c>
      <c r="H226" s="4" t="n">
        <f aca="false">IF($A226="","",IF(ISNUMBER(Base_Bruta!H226),Base_Bruta!H226,IFERROR(_xlfn.NUMBERVALUE(TRIM(SUBSTITUTE(Base_Bruta!H226,"R$","")),",","."),0)))</f>
        <v>1</v>
      </c>
      <c r="I226" s="6" t="n">
        <f aca="false">IF($A226="","",IF(ISNUMBER(Base_Bruta!I226),Base_Bruta!I226,IFERROR(_xlfn.NUMBERVALUE(TRIM(SUBSTITUTE(Base_Bruta!I226,"R$","")),",","."),0)))</f>
        <v>1070</v>
      </c>
      <c r="J226" s="6" t="n">
        <f aca="false">IF($A226="","",H226*I226)</f>
        <v>1070</v>
      </c>
      <c r="K226" s="4" t="str">
        <f aca="false">IF($A226="","",TRIM(Base_Bruta!J226))</f>
        <v>Bilheteria</v>
      </c>
      <c r="L226" s="4" t="str">
        <f aca="false">IF($A226="","",TRIM(Base_Bruta!K226))</f>
        <v>C02028</v>
      </c>
      <c r="M226" s="4" t="str">
        <f aca="false">IF($A226="","",_xlfn.XLOOKUP(LOWER(TRIM(Base_Bruta!L226)),DePara_Cidade!$A$2:$A$29,DePara_Cidade!$B$2:$B$29,"REVISAR"))</f>
        <v>Lisboa</v>
      </c>
      <c r="N226" s="4" t="str">
        <f aca="false">IF($A226="","",UPPER(TRIM(Base_Bruta!M226)))</f>
        <v>EX</v>
      </c>
      <c r="O226" s="4" t="str">
        <f aca="false">IF($A226="","",_xlfn.XLOOKUP(LOWER(TRIM(Base_Bruta!N226)),DePara_Pais!$A$2:$A$9,DePara_Pais!$B$2:$B$9,"REVISAR"))</f>
        <v>Portugal</v>
      </c>
      <c r="P226" s="4" t="str">
        <f aca="false">IF($A226="","",IF(O226&lt;&gt;"Brasil","Turista Internacional",IF(M226=F226,"Local","Turista Nacional")))</f>
        <v>Turista Internacional</v>
      </c>
      <c r="Q226" s="7" t="n">
        <f aca="false">IF($A226="","",DATE(YEAR(B226),MONTH(B226),1))</f>
        <v>45870</v>
      </c>
      <c r="R226" s="4" t="str">
        <f aca="false">IF($A226="","",IF(COUNTIF($A$2:$A226,$A226)&gt;1,"Sim","Não"))</f>
        <v>Não</v>
      </c>
      <c r="S226" s="4" t="str">
        <f aca="false">IF(A226="","Descartar - Linha vazia",IF(R226="Sim","Descartar - Duplicado",IF(OR(H226&lt;=0,I226&lt;=0),"Descartar - Qtd/Valor inválido","OK")))</f>
        <v>OK</v>
      </c>
      <c r="T226" s="4" t="str">
        <f aca="false">Base_Bruta!P226</f>
        <v>vendas_SP.xlsx</v>
      </c>
    </row>
    <row r="227" customFormat="false" ht="15" hidden="false" customHeight="false" outlineLevel="0" collapsed="false">
      <c r="A227" s="4" t="str">
        <f aca="false">IF(Base_Bruta!A227="","",Base_Bruta!A227)</f>
        <v>SP-000050</v>
      </c>
      <c r="B227" s="5" t="n">
        <f aca="false">IF($A227="","",IF(ISNUMBER(Base_Bruta!B227),Base_Bruta!B227,IF(MID(Base_Bruta!B227,5,1)="-",DATE(VALUE(LEFT(Base_Bruta!B227,4)),VALUE(MID(Base_Bruta!B227,6,2)),VALUE(RIGHT(Base_Bruta!B227,2))),DATE(VALUE(RIGHT(Base_Bruta!B227,4)),VALUE(MID(Base_Bruta!B227,4,2)),VALUE(LEFT(Base_Bruta!B227,2))))))</f>
        <v>45873</v>
      </c>
      <c r="C227" s="5" t="n">
        <f aca="false">IF($A227="","",IF(ISNUMBER(Base_Bruta!C227),Base_Bruta!C227,IF(MID(Base_Bruta!C227,5,1)="-",DATE(VALUE(LEFT(Base_Bruta!C227,4)),VALUE(MID(Base_Bruta!C227,6,2)),VALUE(RIGHT(Base_Bruta!C227,2))),DATE(VALUE(RIGHT(Base_Bruta!C227,4)),VALUE(MID(Base_Bruta!C227,4,2)),VALUE(LEFT(Base_Bruta!C227,2))))))</f>
        <v>45976</v>
      </c>
      <c r="D227" s="4" t="str">
        <f aca="false">IF($A227="","",TRIM(Base_Bruta!D227))</f>
        <v>Festival Sonora SP 2025</v>
      </c>
      <c r="E227" s="4" t="str">
        <f aca="false">IF($A227="","",_xlfn.XLOOKUP(LOWER(TRIM(Base_Bruta!E227)),DePara_Categoria!$A$2:$A$9,DePara_Categoria!$B$2:$B$9,"REVISAR"))</f>
        <v>Festival</v>
      </c>
      <c r="F227" s="4" t="str">
        <f aca="false">IF($A227="","",_xlfn.XLOOKUP(LOWER(TRIM(Base_Bruta!F227)),DePara_Cidade!$A$2:$A$29,DePara_Cidade!$B$2:$B$29,"REVISAR"))</f>
        <v>São Paulo</v>
      </c>
      <c r="G227" s="4" t="str">
        <f aca="false">IF($A227="","",TRIM(Base_Bruta!G227))</f>
        <v>Meia</v>
      </c>
      <c r="H227" s="4" t="n">
        <f aca="false">IF($A227="","",IF(ISNUMBER(Base_Bruta!H227),Base_Bruta!H227,IFERROR(_xlfn.NUMBERVALUE(TRIM(SUBSTITUTE(Base_Bruta!H227,"R$","")),",","."),0)))</f>
        <v>1</v>
      </c>
      <c r="I227" s="6" t="n">
        <f aca="false">IF($A227="","",IF(ISNUMBER(Base_Bruta!I227),Base_Bruta!I227,IFERROR(_xlfn.NUMBERVALUE(TRIM(SUBSTITUTE(Base_Bruta!I227,"R$","")),",","."),0)))</f>
        <v>420</v>
      </c>
      <c r="J227" s="6" t="n">
        <f aca="false">IF($A227="","",H227*I227)</f>
        <v>420</v>
      </c>
      <c r="K227" s="4" t="str">
        <f aca="false">IF($A227="","",TRIM(Base_Bruta!J227))</f>
        <v>Site</v>
      </c>
      <c r="L227" s="4" t="str">
        <f aca="false">IF($A227="","",TRIM(Base_Bruta!K227))</f>
        <v>C00028</v>
      </c>
      <c r="M227" s="4" t="str">
        <f aca="false">IF($A227="","",_xlfn.XLOOKUP(LOWER(TRIM(Base_Bruta!L227)),DePara_Cidade!$A$2:$A$29,DePara_Cidade!$B$2:$B$29,"REVISAR"))</f>
        <v>Campinas</v>
      </c>
      <c r="N227" s="4" t="str">
        <f aca="false">IF($A227="","",UPPER(TRIM(Base_Bruta!M227)))</f>
        <v>SP</v>
      </c>
      <c r="O227" s="4" t="str">
        <f aca="false">IF($A227="","",_xlfn.XLOOKUP(LOWER(TRIM(Base_Bruta!N227)),DePara_Pais!$A$2:$A$9,DePara_Pais!$B$2:$B$9,"REVISAR"))</f>
        <v>Brasil</v>
      </c>
      <c r="P227" s="4" t="str">
        <f aca="false">IF($A227="","",IF(O227&lt;&gt;"Brasil","Turista Internacional",IF(M227=F227,"Local","Turista Nacional")))</f>
        <v>Turista Nacional</v>
      </c>
      <c r="Q227" s="7" t="n">
        <f aca="false">IF($A227="","",DATE(YEAR(B227),MONTH(B227),1))</f>
        <v>45870</v>
      </c>
      <c r="R227" s="4" t="str">
        <f aca="false">IF($A227="","",IF(COUNTIF($A$2:$A227,$A227)&gt;1,"Sim","Não"))</f>
        <v>Não</v>
      </c>
      <c r="S227" s="4" t="str">
        <f aca="false">IF(A227="","Descartar - Linha vazia",IF(R227="Sim","Descartar - Duplicado",IF(OR(H227&lt;=0,I227&lt;=0),"Descartar - Qtd/Valor inválido","OK")))</f>
        <v>OK</v>
      </c>
      <c r="T227" s="4" t="str">
        <f aca="false">Base_Bruta!P227</f>
        <v>vendas_SP.xlsx</v>
      </c>
    </row>
    <row r="228" customFormat="false" ht="15" hidden="false" customHeight="false" outlineLevel="0" collapsed="false">
      <c r="A228" s="4" t="str">
        <f aca="false">IF(Base_Bruta!A228="","",Base_Bruta!A228)</f>
        <v>SP-000219</v>
      </c>
      <c r="B228" s="5" t="n">
        <f aca="false">IF($A228="","",IF(ISNUMBER(Base_Bruta!B228),Base_Bruta!B228,IF(MID(Base_Bruta!B228,5,1)="-",DATE(VALUE(LEFT(Base_Bruta!B228,4)),VALUE(MID(Base_Bruta!B228,6,2)),VALUE(RIGHT(Base_Bruta!B228,2))),DATE(VALUE(RIGHT(Base_Bruta!B228,4)),VALUE(MID(Base_Bruta!B228,4,2)),VALUE(LEFT(Base_Bruta!B228,2))))))</f>
        <v>45873</v>
      </c>
      <c r="C228" s="5" t="n">
        <f aca="false">IF($A228="","",IF(ISNUMBER(Base_Bruta!C228),Base_Bruta!C228,IF(MID(Base_Bruta!C228,5,1)="-",DATE(VALUE(LEFT(Base_Bruta!C228,4)),VALUE(MID(Base_Bruta!C228,6,2)),VALUE(RIGHT(Base_Bruta!C228,2))),DATE(VALUE(RIGHT(Base_Bruta!C228,4)),VALUE(MID(Base_Bruta!C228,4,2)),VALUE(LEFT(Base_Bruta!C228,2))))))</f>
        <v>45976</v>
      </c>
      <c r="D228" s="4" t="str">
        <f aca="false">IF($A228="","",TRIM(Base_Bruta!D228))</f>
        <v>Festival Sonora SP 2025</v>
      </c>
      <c r="E228" s="4" t="str">
        <f aca="false">IF($A228="","",_xlfn.XLOOKUP(LOWER(TRIM(Base_Bruta!E228)),DePara_Categoria!$A$2:$A$9,DePara_Categoria!$B$2:$B$9,"REVISAR"))</f>
        <v>Festival</v>
      </c>
      <c r="F228" s="4" t="str">
        <f aca="false">IF($A228="","",_xlfn.XLOOKUP(LOWER(TRIM(Base_Bruta!F228)),DePara_Cidade!$A$2:$A$29,DePara_Cidade!$B$2:$B$29,"REVISAR"))</f>
        <v>São Paulo</v>
      </c>
      <c r="G228" s="4" t="str">
        <f aca="false">IF($A228="","",TRIM(Base_Bruta!G228))</f>
        <v>Inteira</v>
      </c>
      <c r="H228" s="4" t="n">
        <f aca="false">IF($A228="","",IF(ISNUMBER(Base_Bruta!H228),Base_Bruta!H228,IFERROR(_xlfn.NUMBERVALUE(TRIM(SUBSTITUTE(Base_Bruta!H228,"R$","")),",","."),0)))</f>
        <v>1</v>
      </c>
      <c r="I228" s="6" t="n">
        <f aca="false">IF($A228="","",IF(ISNUMBER(Base_Bruta!I228),Base_Bruta!I228,IFERROR(_xlfn.NUMBERVALUE(TRIM(SUBSTITUTE(Base_Bruta!I228,"R$","")),",","."),0)))</f>
        <v>995</v>
      </c>
      <c r="J228" s="6" t="n">
        <f aca="false">IF($A228="","",H228*I228)</f>
        <v>995</v>
      </c>
      <c r="K228" s="4" t="str">
        <f aca="false">IF($A228="","",TRIM(Base_Bruta!J228))</f>
        <v>Site</v>
      </c>
      <c r="L228" s="4" t="str">
        <f aca="false">IF($A228="","",TRIM(Base_Bruta!K228))</f>
        <v>C02137</v>
      </c>
      <c r="M228" s="4" t="str">
        <f aca="false">IF($A228="","",_xlfn.XLOOKUP(LOWER(TRIM(Base_Bruta!L228)),DePara_Cidade!$A$2:$A$29,DePara_Cidade!$B$2:$B$29,"REVISAR"))</f>
        <v>Buenos Aires</v>
      </c>
      <c r="N228" s="4" t="str">
        <f aca="false">IF($A228="","",UPPER(TRIM(Base_Bruta!M228)))</f>
        <v>EX</v>
      </c>
      <c r="O228" s="4" t="str">
        <f aca="false">IF($A228="","",_xlfn.XLOOKUP(LOWER(TRIM(Base_Bruta!N228)),DePara_Pais!$A$2:$A$9,DePara_Pais!$B$2:$B$9,"REVISAR"))</f>
        <v>Argentina</v>
      </c>
      <c r="P228" s="4" t="str">
        <f aca="false">IF($A228="","",IF(O228&lt;&gt;"Brasil","Turista Internacional",IF(M228=F228,"Local","Turista Nacional")))</f>
        <v>Turista Internacional</v>
      </c>
      <c r="Q228" s="7" t="n">
        <f aca="false">IF($A228="","",DATE(YEAR(B228),MONTH(B228),1))</f>
        <v>45870</v>
      </c>
      <c r="R228" s="4" t="str">
        <f aca="false">IF($A228="","",IF(COUNTIF($A$2:$A228,$A228)&gt;1,"Sim","Não"))</f>
        <v>Não</v>
      </c>
      <c r="S228" s="4" t="str">
        <f aca="false">IF(A228="","Descartar - Linha vazia",IF(R228="Sim","Descartar - Duplicado",IF(OR(H228&lt;=0,I228&lt;=0),"Descartar - Qtd/Valor inválido","OK")))</f>
        <v>OK</v>
      </c>
      <c r="T228" s="4" t="str">
        <f aca="false">Base_Bruta!P228</f>
        <v>vendas_SP.xlsx</v>
      </c>
    </row>
    <row r="229" customFormat="false" ht="15" hidden="false" customHeight="false" outlineLevel="0" collapsed="false">
      <c r="A229" s="4" t="str">
        <f aca="false">IF(Base_Bruta!A229="","",Base_Bruta!A229)</f>
        <v>SP-000018</v>
      </c>
      <c r="B229" s="5" t="n">
        <f aca="false">IF($A229="","",IF(ISNUMBER(Base_Bruta!B229),Base_Bruta!B229,IF(MID(Base_Bruta!B229,5,1)="-",DATE(VALUE(LEFT(Base_Bruta!B229,4)),VALUE(MID(Base_Bruta!B229,6,2)),VALUE(RIGHT(Base_Bruta!B229,2))),DATE(VALUE(RIGHT(Base_Bruta!B229,4)),VALUE(MID(Base_Bruta!B229,4,2)),VALUE(LEFT(Base_Bruta!B229,2))))))</f>
        <v>45875</v>
      </c>
      <c r="C229" s="5" t="n">
        <f aca="false">IF($A229="","",IF(ISNUMBER(Base_Bruta!C229),Base_Bruta!C229,IF(MID(Base_Bruta!C229,5,1)="-",DATE(VALUE(LEFT(Base_Bruta!C229,4)),VALUE(MID(Base_Bruta!C229,6,2)),VALUE(RIGHT(Base_Bruta!C229,2))),DATE(VALUE(RIGHT(Base_Bruta!C229,4)),VALUE(MID(Base_Bruta!C229,4,2)),VALUE(LEFT(Base_Bruta!C229,2))))))</f>
        <v>45976</v>
      </c>
      <c r="D229" s="4" t="str">
        <f aca="false">IF($A229="","",TRIM(Base_Bruta!D229))</f>
        <v>Festival Sonora SP 2025</v>
      </c>
      <c r="E229" s="4" t="str">
        <f aca="false">IF($A229="","",_xlfn.XLOOKUP(LOWER(TRIM(Base_Bruta!E229)),DePara_Categoria!$A$2:$A$9,DePara_Categoria!$B$2:$B$9,"REVISAR"))</f>
        <v>Festival</v>
      </c>
      <c r="F229" s="4" t="str">
        <f aca="false">IF($A229="","",_xlfn.XLOOKUP(LOWER(TRIM(Base_Bruta!F229)),DePara_Cidade!$A$2:$A$29,DePara_Cidade!$B$2:$B$29,"REVISAR"))</f>
        <v>São Paulo</v>
      </c>
      <c r="G229" s="4" t="str">
        <f aca="false">IF($A229="","",TRIM(Base_Bruta!G229))</f>
        <v>Inteira</v>
      </c>
      <c r="H229" s="4" t="n">
        <f aca="false">IF($A229="","",IF(ISNUMBER(Base_Bruta!H229),Base_Bruta!H229,IFERROR(_xlfn.NUMBERVALUE(TRIM(SUBSTITUTE(Base_Bruta!H229,"R$","")),",","."),0)))</f>
        <v>1</v>
      </c>
      <c r="I229" s="6" t="n">
        <f aca="false">IF($A229="","",IF(ISNUMBER(Base_Bruta!I229),Base_Bruta!I229,IFERROR(_xlfn.NUMBERVALUE(TRIM(SUBSTITUTE(Base_Bruta!I229,"R$","")),",","."),0)))</f>
        <v>980</v>
      </c>
      <c r="J229" s="6" t="n">
        <f aca="false">IF($A229="","",H229*I229)</f>
        <v>980</v>
      </c>
      <c r="K229" s="4" t="str">
        <f aca="false">IF($A229="","",TRIM(Base_Bruta!J229))</f>
        <v>Site</v>
      </c>
      <c r="L229" s="4" t="str">
        <f aca="false">IF($A229="","",TRIM(Base_Bruta!K229))</f>
        <v>C00301</v>
      </c>
      <c r="M229" s="4" t="str">
        <f aca="false">IF($A229="","",_xlfn.XLOOKUP(LOWER(TRIM(Base_Bruta!L229)),DePara_Cidade!$A$2:$A$29,DePara_Cidade!$B$2:$B$29,"REVISAR"))</f>
        <v>São Paulo</v>
      </c>
      <c r="N229" s="4" t="str">
        <f aca="false">IF($A229="","",UPPER(TRIM(Base_Bruta!M229)))</f>
        <v>SP</v>
      </c>
      <c r="O229" s="4" t="str">
        <f aca="false">IF($A229="","",_xlfn.XLOOKUP(LOWER(TRIM(Base_Bruta!N229)),DePara_Pais!$A$2:$A$9,DePara_Pais!$B$2:$B$9,"REVISAR"))</f>
        <v>Brasil</v>
      </c>
      <c r="P229" s="4" t="str">
        <f aca="false">IF($A229="","",IF(O229&lt;&gt;"Brasil","Turista Internacional",IF(M229=F229,"Local","Turista Nacional")))</f>
        <v>Local</v>
      </c>
      <c r="Q229" s="7" t="n">
        <f aca="false">IF($A229="","",DATE(YEAR(B229),MONTH(B229),1))</f>
        <v>45870</v>
      </c>
      <c r="R229" s="4" t="str">
        <f aca="false">IF($A229="","",IF(COUNTIF($A$2:$A229,$A229)&gt;1,"Sim","Não"))</f>
        <v>Não</v>
      </c>
      <c r="S229" s="4" t="str">
        <f aca="false">IF(A229="","Descartar - Linha vazia",IF(R229="Sim","Descartar - Duplicado",IF(OR(H229&lt;=0,I229&lt;=0),"Descartar - Qtd/Valor inválido","OK")))</f>
        <v>OK</v>
      </c>
      <c r="T229" s="4" t="str">
        <f aca="false">Base_Bruta!P229</f>
        <v>vendas_SP.xlsx</v>
      </c>
    </row>
    <row r="230" customFormat="false" ht="15" hidden="false" customHeight="false" outlineLevel="0" collapsed="false">
      <c r="A230" s="4" t="str">
        <f aca="false">IF(Base_Bruta!A230="","",Base_Bruta!A230)</f>
        <v>SP-000022</v>
      </c>
      <c r="B230" s="5" t="n">
        <f aca="false">IF($A230="","",IF(ISNUMBER(Base_Bruta!B230),Base_Bruta!B230,IF(MID(Base_Bruta!B230,5,1)="-",DATE(VALUE(LEFT(Base_Bruta!B230,4)),VALUE(MID(Base_Bruta!B230,6,2)),VALUE(RIGHT(Base_Bruta!B230,2))),DATE(VALUE(RIGHT(Base_Bruta!B230,4)),VALUE(MID(Base_Bruta!B230,4,2)),VALUE(LEFT(Base_Bruta!B230,2))))))</f>
        <v>45875</v>
      </c>
      <c r="C230" s="5" t="n">
        <f aca="false">IF($A230="","",IF(ISNUMBER(Base_Bruta!C230),Base_Bruta!C230,IF(MID(Base_Bruta!C230,5,1)="-",DATE(VALUE(LEFT(Base_Bruta!C230,4)),VALUE(MID(Base_Bruta!C230,6,2)),VALUE(RIGHT(Base_Bruta!C230,2))),DATE(VALUE(RIGHT(Base_Bruta!C230,4)),VALUE(MID(Base_Bruta!C230,4,2)),VALUE(LEFT(Base_Bruta!C230,2))))))</f>
        <v>45976</v>
      </c>
      <c r="D230" s="4" t="str">
        <f aca="false">IF($A230="","",TRIM(Base_Bruta!D230))</f>
        <v>Festival Sonora SP 2025</v>
      </c>
      <c r="E230" s="4" t="str">
        <f aca="false">IF($A230="","",_xlfn.XLOOKUP(LOWER(TRIM(Base_Bruta!E230)),DePara_Categoria!$A$2:$A$9,DePara_Categoria!$B$2:$B$9,"REVISAR"))</f>
        <v>Festival</v>
      </c>
      <c r="F230" s="4" t="str">
        <f aca="false">IF($A230="","",_xlfn.XLOOKUP(LOWER(TRIM(Base_Bruta!F230)),DePara_Cidade!$A$2:$A$29,DePara_Cidade!$B$2:$B$29,"REVISAR"))</f>
        <v>São Paulo</v>
      </c>
      <c r="G230" s="4" t="str">
        <f aca="false">IF($A230="","",TRIM(Base_Bruta!G230))</f>
        <v>Inteira</v>
      </c>
      <c r="H230" s="4" t="n">
        <f aca="false">IF($A230="","",IF(ISNUMBER(Base_Bruta!H230),Base_Bruta!H230,IFERROR(_xlfn.NUMBERVALUE(TRIM(SUBSTITUTE(Base_Bruta!H230,"R$","")),",","."),0)))</f>
        <v>1</v>
      </c>
      <c r="I230" s="6" t="n">
        <f aca="false">IF($A230="","",IF(ISNUMBER(Base_Bruta!I230),Base_Bruta!I230,IFERROR(_xlfn.NUMBERVALUE(TRIM(SUBSTITUTE(Base_Bruta!I230,"R$","")),",","."),0)))</f>
        <v>945</v>
      </c>
      <c r="J230" s="6" t="n">
        <f aca="false">IF($A230="","",H230*I230)</f>
        <v>945</v>
      </c>
      <c r="K230" s="4" t="str">
        <f aca="false">IF($A230="","",TRIM(Base_Bruta!J230))</f>
        <v>Site</v>
      </c>
      <c r="L230" s="4" t="str">
        <f aca="false">IF($A230="","",TRIM(Base_Bruta!K230))</f>
        <v>C00982</v>
      </c>
      <c r="M230" s="4" t="str">
        <f aca="false">IF($A230="","",_xlfn.XLOOKUP(LOWER(TRIM(Base_Bruta!L230)),DePara_Cidade!$A$2:$A$29,DePara_Cidade!$B$2:$B$29,"REVISAR"))</f>
        <v>Campinas</v>
      </c>
      <c r="N230" s="4" t="str">
        <f aca="false">IF($A230="","",UPPER(TRIM(Base_Bruta!M230)))</f>
        <v>SP</v>
      </c>
      <c r="O230" s="4" t="str">
        <f aca="false">IF($A230="","",_xlfn.XLOOKUP(LOWER(TRIM(Base_Bruta!N230)),DePara_Pais!$A$2:$A$9,DePara_Pais!$B$2:$B$9,"REVISAR"))</f>
        <v>Brasil</v>
      </c>
      <c r="P230" s="4" t="str">
        <f aca="false">IF($A230="","",IF(O230&lt;&gt;"Brasil","Turista Internacional",IF(M230=F230,"Local","Turista Nacional")))</f>
        <v>Turista Nacional</v>
      </c>
      <c r="Q230" s="7" t="n">
        <f aca="false">IF($A230="","",DATE(YEAR(B230),MONTH(B230),1))</f>
        <v>45870</v>
      </c>
      <c r="R230" s="4" t="str">
        <f aca="false">IF($A230="","",IF(COUNTIF($A$2:$A230,$A230)&gt;1,"Sim","Não"))</f>
        <v>Não</v>
      </c>
      <c r="S230" s="4" t="str">
        <f aca="false">IF(A230="","Descartar - Linha vazia",IF(R230="Sim","Descartar - Duplicado",IF(OR(H230&lt;=0,I230&lt;=0),"Descartar - Qtd/Valor inválido","OK")))</f>
        <v>OK</v>
      </c>
      <c r="T230" s="4" t="str">
        <f aca="false">Base_Bruta!P230</f>
        <v>vendas_SP.xlsx</v>
      </c>
    </row>
    <row r="231" customFormat="false" ht="15" hidden="false" customHeight="false" outlineLevel="0" collapsed="false">
      <c r="A231" s="4" t="str">
        <f aca="false">IF(Base_Bruta!A231="","",Base_Bruta!A231)</f>
        <v>SP-000045</v>
      </c>
      <c r="B231" s="5" t="n">
        <f aca="false">IF($A231="","",IF(ISNUMBER(Base_Bruta!B231),Base_Bruta!B231,IF(MID(Base_Bruta!B231,5,1)="-",DATE(VALUE(LEFT(Base_Bruta!B231,4)),VALUE(MID(Base_Bruta!B231,6,2)),VALUE(RIGHT(Base_Bruta!B231,2))),DATE(VALUE(RIGHT(Base_Bruta!B231,4)),VALUE(MID(Base_Bruta!B231,4,2)),VALUE(LEFT(Base_Bruta!B231,2))))))</f>
        <v>45875</v>
      </c>
      <c r="C231" s="5" t="n">
        <f aca="false">IF($A231="","",IF(ISNUMBER(Base_Bruta!C231),Base_Bruta!C231,IF(MID(Base_Bruta!C231,5,1)="-",DATE(VALUE(LEFT(Base_Bruta!C231,4)),VALUE(MID(Base_Bruta!C231,6,2)),VALUE(RIGHT(Base_Bruta!C231,2))),DATE(VALUE(RIGHT(Base_Bruta!C231,4)),VALUE(MID(Base_Bruta!C231,4,2)),VALUE(LEFT(Base_Bruta!C231,2))))))</f>
        <v>45976</v>
      </c>
      <c r="D231" s="4" t="str">
        <f aca="false">IF($A231="","",TRIM(Base_Bruta!D231))</f>
        <v>Festival Sonora SP 2025</v>
      </c>
      <c r="E231" s="4" t="str">
        <f aca="false">IF($A231="","",_xlfn.XLOOKUP(LOWER(TRIM(Base_Bruta!E231)),DePara_Categoria!$A$2:$A$9,DePara_Categoria!$B$2:$B$9,"REVISAR"))</f>
        <v>Festival</v>
      </c>
      <c r="F231" s="4" t="str">
        <f aca="false">IF($A231="","",_xlfn.XLOOKUP(LOWER(TRIM(Base_Bruta!F231)),DePara_Cidade!$A$2:$A$29,DePara_Cidade!$B$2:$B$29,"REVISAR"))</f>
        <v>São Paulo</v>
      </c>
      <c r="G231" s="4" t="str">
        <f aca="false">IF($A231="","",TRIM(Base_Bruta!G231))</f>
        <v>Inteira</v>
      </c>
      <c r="H231" s="4" t="n">
        <f aca="false">IF($A231="","",IF(ISNUMBER(Base_Bruta!H231),Base_Bruta!H231,IFERROR(_xlfn.NUMBERVALUE(TRIM(SUBSTITUTE(Base_Bruta!H231,"R$","")),",","."),0)))</f>
        <v>3</v>
      </c>
      <c r="I231" s="6" t="n">
        <f aca="false">IF($A231="","",IF(ISNUMBER(Base_Bruta!I231),Base_Bruta!I231,IFERROR(_xlfn.NUMBERVALUE(TRIM(SUBSTITUTE(Base_Bruta!I231,"R$","")),",","."),0)))</f>
        <v>895</v>
      </c>
      <c r="J231" s="6" t="n">
        <f aca="false">IF($A231="","",H231*I231)</f>
        <v>2685</v>
      </c>
      <c r="K231" s="4" t="str">
        <f aca="false">IF($A231="","",TRIM(Base_Bruta!J231))</f>
        <v>App</v>
      </c>
      <c r="L231" s="4" t="str">
        <f aca="false">IF($A231="","",TRIM(Base_Bruta!K231))</f>
        <v>C02316</v>
      </c>
      <c r="M231" s="4" t="str">
        <f aca="false">IF($A231="","",_xlfn.XLOOKUP(LOWER(TRIM(Base_Bruta!L231)),DePara_Cidade!$A$2:$A$29,DePara_Cidade!$B$2:$B$29,"REVISAR"))</f>
        <v>São Paulo</v>
      </c>
      <c r="N231" s="4" t="str">
        <f aca="false">IF($A231="","",UPPER(TRIM(Base_Bruta!M231)))</f>
        <v>SP</v>
      </c>
      <c r="O231" s="4" t="str">
        <f aca="false">IF($A231="","",_xlfn.XLOOKUP(LOWER(TRIM(Base_Bruta!N231)),DePara_Pais!$A$2:$A$9,DePara_Pais!$B$2:$B$9,"REVISAR"))</f>
        <v>Brasil</v>
      </c>
      <c r="P231" s="4" t="str">
        <f aca="false">IF($A231="","",IF(O231&lt;&gt;"Brasil","Turista Internacional",IF(M231=F231,"Local","Turista Nacional")))</f>
        <v>Local</v>
      </c>
      <c r="Q231" s="7" t="n">
        <f aca="false">IF($A231="","",DATE(YEAR(B231),MONTH(B231),1))</f>
        <v>45870</v>
      </c>
      <c r="R231" s="4" t="str">
        <f aca="false">IF($A231="","",IF(COUNTIF($A$2:$A231,$A231)&gt;1,"Sim","Não"))</f>
        <v>Não</v>
      </c>
      <c r="S231" s="4" t="str">
        <f aca="false">IF(A231="","Descartar - Linha vazia",IF(R231="Sim","Descartar - Duplicado",IF(OR(H231&lt;=0,I231&lt;=0),"Descartar - Qtd/Valor inválido","OK")))</f>
        <v>OK</v>
      </c>
      <c r="T231" s="4" t="str">
        <f aca="false">Base_Bruta!P231</f>
        <v>vendas_SP.xlsx</v>
      </c>
    </row>
    <row r="232" customFormat="false" ht="15" hidden="false" customHeight="false" outlineLevel="0" collapsed="false">
      <c r="A232" s="4" t="str">
        <f aca="false">IF(Base_Bruta!A232="","",Base_Bruta!A232)</f>
        <v>SP-000051</v>
      </c>
      <c r="B232" s="5" t="n">
        <f aca="false">IF($A232="","",IF(ISNUMBER(Base_Bruta!B232),Base_Bruta!B232,IF(MID(Base_Bruta!B232,5,1)="-",DATE(VALUE(LEFT(Base_Bruta!B232,4)),VALUE(MID(Base_Bruta!B232,6,2)),VALUE(RIGHT(Base_Bruta!B232,2))),DATE(VALUE(RIGHT(Base_Bruta!B232,4)),VALUE(MID(Base_Bruta!B232,4,2)),VALUE(LEFT(Base_Bruta!B232,2))))))</f>
        <v>45875</v>
      </c>
      <c r="C232" s="5" t="n">
        <f aca="false">IF($A232="","",IF(ISNUMBER(Base_Bruta!C232),Base_Bruta!C232,IF(MID(Base_Bruta!C232,5,1)="-",DATE(VALUE(LEFT(Base_Bruta!C232,4)),VALUE(MID(Base_Bruta!C232,6,2)),VALUE(RIGHT(Base_Bruta!C232,2))),DATE(VALUE(RIGHT(Base_Bruta!C232,4)),VALUE(MID(Base_Bruta!C232,4,2)),VALUE(LEFT(Base_Bruta!C232,2))))))</f>
        <v>45976</v>
      </c>
      <c r="D232" s="4" t="str">
        <f aca="false">IF($A232="","",TRIM(Base_Bruta!D232))</f>
        <v>Festival Sonora SP 2025</v>
      </c>
      <c r="E232" s="4" t="str">
        <f aca="false">IF($A232="","",_xlfn.XLOOKUP(LOWER(TRIM(Base_Bruta!E232)),DePara_Categoria!$A$2:$A$9,DePara_Categoria!$B$2:$B$9,"REVISAR"))</f>
        <v>Festival</v>
      </c>
      <c r="F232" s="4" t="str">
        <f aca="false">IF($A232="","",_xlfn.XLOOKUP(LOWER(TRIM(Base_Bruta!F232)),DePara_Cidade!$A$2:$A$29,DePara_Cidade!$B$2:$B$29,"REVISAR"))</f>
        <v>São Paulo</v>
      </c>
      <c r="G232" s="4" t="str">
        <f aca="false">IF($A232="","",TRIM(Base_Bruta!G232))</f>
        <v>Meia</v>
      </c>
      <c r="H232" s="4" t="n">
        <f aca="false">IF($A232="","",IF(ISNUMBER(Base_Bruta!H232),Base_Bruta!H232,IFERROR(_xlfn.NUMBERVALUE(TRIM(SUBSTITUTE(Base_Bruta!H232,"R$","")),",","."),0)))</f>
        <v>3</v>
      </c>
      <c r="I232" s="6" t="n">
        <f aca="false">IF($A232="","",IF(ISNUMBER(Base_Bruta!I232),Base_Bruta!I232,IFERROR(_xlfn.NUMBERVALUE(TRIM(SUBSTITUTE(Base_Bruta!I232,"R$","")),",","."),0)))</f>
        <v>407.5</v>
      </c>
      <c r="J232" s="6" t="n">
        <f aca="false">IF($A232="","",H232*I232)</f>
        <v>1222.5</v>
      </c>
      <c r="K232" s="4" t="str">
        <f aca="false">IF($A232="","",TRIM(Base_Bruta!J232))</f>
        <v>App</v>
      </c>
      <c r="L232" s="4" t="str">
        <f aca="false">IF($A232="","",TRIM(Base_Bruta!K232))</f>
        <v>C01364</v>
      </c>
      <c r="M232" s="4" t="str">
        <f aca="false">IF($A232="","",_xlfn.XLOOKUP(LOWER(TRIM(Base_Bruta!L232)),DePara_Cidade!$A$2:$A$29,DePara_Cidade!$B$2:$B$29,"REVISAR"))</f>
        <v>Campinas</v>
      </c>
      <c r="N232" s="4" t="str">
        <f aca="false">IF($A232="","",UPPER(TRIM(Base_Bruta!M232)))</f>
        <v>SP</v>
      </c>
      <c r="O232" s="4" t="str">
        <f aca="false">IF($A232="","",_xlfn.XLOOKUP(LOWER(TRIM(Base_Bruta!N232)),DePara_Pais!$A$2:$A$9,DePara_Pais!$B$2:$B$9,"REVISAR"))</f>
        <v>Brasil</v>
      </c>
      <c r="P232" s="4" t="str">
        <f aca="false">IF($A232="","",IF(O232&lt;&gt;"Brasil","Turista Internacional",IF(M232=F232,"Local","Turista Nacional")))</f>
        <v>Turista Nacional</v>
      </c>
      <c r="Q232" s="7" t="n">
        <f aca="false">IF($A232="","",DATE(YEAR(B232),MONTH(B232),1))</f>
        <v>45870</v>
      </c>
      <c r="R232" s="4" t="str">
        <f aca="false">IF($A232="","",IF(COUNTIF($A$2:$A232,$A232)&gt;1,"Sim","Não"))</f>
        <v>Não</v>
      </c>
      <c r="S232" s="4" t="str">
        <f aca="false">IF(A232="","Descartar - Linha vazia",IF(R232="Sim","Descartar - Duplicado",IF(OR(H232&lt;=0,I232&lt;=0),"Descartar - Qtd/Valor inválido","OK")))</f>
        <v>OK</v>
      </c>
      <c r="T232" s="4" t="str">
        <f aca="false">Base_Bruta!P232</f>
        <v>vendas_SP.xlsx</v>
      </c>
    </row>
    <row r="233" customFormat="false" ht="15" hidden="false" customHeight="false" outlineLevel="0" collapsed="false">
      <c r="A233" s="4" t="str">
        <f aca="false">IF(Base_Bruta!A233="","",Base_Bruta!A233)</f>
        <v>SP-000059</v>
      </c>
      <c r="B233" s="5" t="n">
        <f aca="false">IF($A233="","",IF(ISNUMBER(Base_Bruta!B233),Base_Bruta!B233,IF(MID(Base_Bruta!B233,5,1)="-",DATE(VALUE(LEFT(Base_Bruta!B233,4)),VALUE(MID(Base_Bruta!B233,6,2)),VALUE(RIGHT(Base_Bruta!B233,2))),DATE(VALUE(RIGHT(Base_Bruta!B233,4)),VALUE(MID(Base_Bruta!B233,4,2)),VALUE(LEFT(Base_Bruta!B233,2))))))</f>
        <v>45875</v>
      </c>
      <c r="C233" s="5" t="n">
        <f aca="false">IF($A233="","",IF(ISNUMBER(Base_Bruta!C233),Base_Bruta!C233,IF(MID(Base_Bruta!C233,5,1)="-",DATE(VALUE(LEFT(Base_Bruta!C233,4)),VALUE(MID(Base_Bruta!C233,6,2)),VALUE(RIGHT(Base_Bruta!C233,2))),DATE(VALUE(RIGHT(Base_Bruta!C233,4)),VALUE(MID(Base_Bruta!C233,4,2)),VALUE(LEFT(Base_Bruta!C233,2))))))</f>
        <v>45976</v>
      </c>
      <c r="D233" s="4" t="str">
        <f aca="false">IF($A233="","",TRIM(Base_Bruta!D233))</f>
        <v>Festival Sonora SP 2025</v>
      </c>
      <c r="E233" s="4" t="str">
        <f aca="false">IF($A233="","",_xlfn.XLOOKUP(LOWER(TRIM(Base_Bruta!E233)),DePara_Categoria!$A$2:$A$9,DePara_Categoria!$B$2:$B$9,"REVISAR"))</f>
        <v>Festival</v>
      </c>
      <c r="F233" s="4" t="str">
        <f aca="false">IF($A233="","",_xlfn.XLOOKUP(LOWER(TRIM(Base_Bruta!F233)),DePara_Cidade!$A$2:$A$29,DePara_Cidade!$B$2:$B$29,"REVISAR"))</f>
        <v>São Paulo</v>
      </c>
      <c r="G233" s="4" t="str">
        <f aca="false">IF($A233="","",TRIM(Base_Bruta!G233))</f>
        <v>Meia</v>
      </c>
      <c r="H233" s="4" t="n">
        <f aca="false">IF($A233="","",IF(ISNUMBER(Base_Bruta!H233),Base_Bruta!H233,IFERROR(_xlfn.NUMBERVALUE(TRIM(SUBSTITUTE(Base_Bruta!H233,"R$","")),",","."),0)))</f>
        <v>1</v>
      </c>
      <c r="I233" s="6" t="n">
        <f aca="false">IF($A233="","",IF(ISNUMBER(Base_Bruta!I233),Base_Bruta!I233,IFERROR(_xlfn.NUMBERVALUE(TRIM(SUBSTITUTE(Base_Bruta!I233,"R$","")),",","."),0)))</f>
        <v>520</v>
      </c>
      <c r="J233" s="6" t="n">
        <f aca="false">IF($A233="","",H233*I233)</f>
        <v>520</v>
      </c>
      <c r="K233" s="4" t="str">
        <f aca="false">IF($A233="","",TRIM(Base_Bruta!J233))</f>
        <v>Site</v>
      </c>
      <c r="L233" s="4" t="str">
        <f aca="false">IF($A233="","",TRIM(Base_Bruta!K233))</f>
        <v>C00387</v>
      </c>
      <c r="M233" s="4" t="str">
        <f aca="false">IF($A233="","",_xlfn.XLOOKUP(LOWER(TRIM(Base_Bruta!L233)),DePara_Cidade!$A$2:$A$29,DePara_Cidade!$B$2:$B$29,"REVISAR"))</f>
        <v>São Paulo</v>
      </c>
      <c r="N233" s="4" t="str">
        <f aca="false">IF($A233="","",UPPER(TRIM(Base_Bruta!M233)))</f>
        <v>SP</v>
      </c>
      <c r="O233" s="4" t="str">
        <f aca="false">IF($A233="","",_xlfn.XLOOKUP(LOWER(TRIM(Base_Bruta!N233)),DePara_Pais!$A$2:$A$9,DePara_Pais!$B$2:$B$9,"REVISAR"))</f>
        <v>Brasil</v>
      </c>
      <c r="P233" s="4" t="str">
        <f aca="false">IF($A233="","",IF(O233&lt;&gt;"Brasil","Turista Internacional",IF(M233=F233,"Local","Turista Nacional")))</f>
        <v>Local</v>
      </c>
      <c r="Q233" s="7" t="n">
        <f aca="false">IF($A233="","",DATE(YEAR(B233),MONTH(B233),1))</f>
        <v>45870</v>
      </c>
      <c r="R233" s="4" t="str">
        <f aca="false">IF($A233="","",IF(COUNTIF($A$2:$A233,$A233)&gt;1,"Sim","Não"))</f>
        <v>Não</v>
      </c>
      <c r="S233" s="4" t="str">
        <f aca="false">IF(A233="","Descartar - Linha vazia",IF(R233="Sim","Descartar - Duplicado",IF(OR(H233&lt;=0,I233&lt;=0),"Descartar - Qtd/Valor inválido","OK")))</f>
        <v>OK</v>
      </c>
      <c r="T233" s="4" t="str">
        <f aca="false">Base_Bruta!P233</f>
        <v>vendas_SP.xlsx</v>
      </c>
    </row>
    <row r="234" customFormat="false" ht="15" hidden="false" customHeight="false" outlineLevel="0" collapsed="false">
      <c r="A234" s="4" t="str">
        <f aca="false">IF(Base_Bruta!A234="","",Base_Bruta!A234)</f>
        <v>SP-000068</v>
      </c>
      <c r="B234" s="5" t="n">
        <f aca="false">IF($A234="","",IF(ISNUMBER(Base_Bruta!B234),Base_Bruta!B234,IF(MID(Base_Bruta!B234,5,1)="-",DATE(VALUE(LEFT(Base_Bruta!B234,4)),VALUE(MID(Base_Bruta!B234,6,2)),VALUE(RIGHT(Base_Bruta!B234,2))),DATE(VALUE(RIGHT(Base_Bruta!B234,4)),VALUE(MID(Base_Bruta!B234,4,2)),VALUE(LEFT(Base_Bruta!B234,2))))))</f>
        <v>45875</v>
      </c>
      <c r="C234" s="5" t="n">
        <f aca="false">IF($A234="","",IF(ISNUMBER(Base_Bruta!C234),Base_Bruta!C234,IF(MID(Base_Bruta!C234,5,1)="-",DATE(VALUE(LEFT(Base_Bruta!C234,4)),VALUE(MID(Base_Bruta!C234,6,2)),VALUE(RIGHT(Base_Bruta!C234,2))),DATE(VALUE(RIGHT(Base_Bruta!C234,4)),VALUE(MID(Base_Bruta!C234,4,2)),VALUE(LEFT(Base_Bruta!C234,2))))))</f>
        <v>45976</v>
      </c>
      <c r="D234" s="4" t="str">
        <f aca="false">IF($A234="","",TRIM(Base_Bruta!D234))</f>
        <v>Festival Sonora SP 2025</v>
      </c>
      <c r="E234" s="4" t="str">
        <f aca="false">IF($A234="","",_xlfn.XLOOKUP(LOWER(TRIM(Base_Bruta!E234)),DePara_Categoria!$A$2:$A$9,DePara_Categoria!$B$2:$B$9,"REVISAR"))</f>
        <v>Festival</v>
      </c>
      <c r="F234" s="4" t="str">
        <f aca="false">IF($A234="","",_xlfn.XLOOKUP(LOWER(TRIM(Base_Bruta!F234)),DePara_Cidade!$A$2:$A$29,DePara_Cidade!$B$2:$B$29,"REVISAR"))</f>
        <v>São Paulo</v>
      </c>
      <c r="G234" s="4" t="str">
        <f aca="false">IF($A234="","",TRIM(Base_Bruta!G234))</f>
        <v>Inteira</v>
      </c>
      <c r="H234" s="4" t="n">
        <f aca="false">IF($A234="","",IF(ISNUMBER(Base_Bruta!H234),Base_Bruta!H234,IFERROR(_xlfn.NUMBERVALUE(TRIM(SUBSTITUTE(Base_Bruta!H234,"R$","")),",","."),0)))</f>
        <v>2</v>
      </c>
      <c r="I234" s="6" t="n">
        <f aca="false">IF($A234="","",IF(ISNUMBER(Base_Bruta!I234),Base_Bruta!I234,IFERROR(_xlfn.NUMBERVALUE(TRIM(SUBSTITUTE(Base_Bruta!I234,"R$","")),",","."),0)))</f>
        <v>1105</v>
      </c>
      <c r="J234" s="6" t="n">
        <f aca="false">IF($A234="","",H234*I234)</f>
        <v>2210</v>
      </c>
      <c r="K234" s="4" t="str">
        <f aca="false">IF($A234="","",TRIM(Base_Bruta!J234))</f>
        <v>Site</v>
      </c>
      <c r="L234" s="4" t="str">
        <f aca="false">IF($A234="","",TRIM(Base_Bruta!K234))</f>
        <v>C02365</v>
      </c>
      <c r="M234" s="4" t="str">
        <f aca="false">IF($A234="","",_xlfn.XLOOKUP(LOWER(TRIM(Base_Bruta!L234)),DePara_Cidade!$A$2:$A$29,DePara_Cidade!$B$2:$B$29,"REVISAR"))</f>
        <v>São Paulo</v>
      </c>
      <c r="N234" s="4" t="str">
        <f aca="false">IF($A234="","",UPPER(TRIM(Base_Bruta!M234)))</f>
        <v>SP</v>
      </c>
      <c r="O234" s="4" t="str">
        <f aca="false">IF($A234="","",_xlfn.XLOOKUP(LOWER(TRIM(Base_Bruta!N234)),DePara_Pais!$A$2:$A$9,DePara_Pais!$B$2:$B$9,"REVISAR"))</f>
        <v>Brasil</v>
      </c>
      <c r="P234" s="4" t="str">
        <f aca="false">IF($A234="","",IF(O234&lt;&gt;"Brasil","Turista Internacional",IF(M234=F234,"Local","Turista Nacional")))</f>
        <v>Local</v>
      </c>
      <c r="Q234" s="7" t="n">
        <f aca="false">IF($A234="","",DATE(YEAR(B234),MONTH(B234),1))</f>
        <v>45870</v>
      </c>
      <c r="R234" s="4" t="str">
        <f aca="false">IF($A234="","",IF(COUNTIF($A$2:$A234,$A234)&gt;1,"Sim","Não"))</f>
        <v>Não</v>
      </c>
      <c r="S234" s="4" t="str">
        <f aca="false">IF(A234="","Descartar - Linha vazia",IF(R234="Sim","Descartar - Duplicado",IF(OR(H234&lt;=0,I234&lt;=0),"Descartar - Qtd/Valor inválido","OK")))</f>
        <v>OK</v>
      </c>
      <c r="T234" s="4" t="str">
        <f aca="false">Base_Bruta!P234</f>
        <v>vendas_SP.xlsx</v>
      </c>
    </row>
    <row r="235" customFormat="false" ht="15" hidden="false" customHeight="false" outlineLevel="0" collapsed="false">
      <c r="A235" s="4" t="str">
        <f aca="false">IF(Base_Bruta!A235="","",Base_Bruta!A235)</f>
        <v>SP-000109</v>
      </c>
      <c r="B235" s="5" t="n">
        <f aca="false">IF($A235="","",IF(ISNUMBER(Base_Bruta!B235),Base_Bruta!B235,IF(MID(Base_Bruta!B235,5,1)="-",DATE(VALUE(LEFT(Base_Bruta!B235,4)),VALUE(MID(Base_Bruta!B235,6,2)),VALUE(RIGHT(Base_Bruta!B235,2))),DATE(VALUE(RIGHT(Base_Bruta!B235,4)),VALUE(MID(Base_Bruta!B235,4,2)),VALUE(LEFT(Base_Bruta!B235,2))))))</f>
        <v>45875</v>
      </c>
      <c r="C235" s="5" t="n">
        <f aca="false">IF($A235="","",IF(ISNUMBER(Base_Bruta!C235),Base_Bruta!C235,IF(MID(Base_Bruta!C235,5,1)="-",DATE(VALUE(LEFT(Base_Bruta!C235,4)),VALUE(MID(Base_Bruta!C235,6,2)),VALUE(RIGHT(Base_Bruta!C235,2))),DATE(VALUE(RIGHT(Base_Bruta!C235,4)),VALUE(MID(Base_Bruta!C235,4,2)),VALUE(LEFT(Base_Bruta!C235,2))))))</f>
        <v>45976</v>
      </c>
      <c r="D235" s="4" t="str">
        <f aca="false">IF($A235="","",TRIM(Base_Bruta!D235))</f>
        <v>Festival Sonora SP 2025</v>
      </c>
      <c r="E235" s="4" t="str">
        <f aca="false">IF($A235="","",_xlfn.XLOOKUP(LOWER(TRIM(Base_Bruta!E235)),DePara_Categoria!$A$2:$A$9,DePara_Categoria!$B$2:$B$9,"REVISAR"))</f>
        <v>Festival</v>
      </c>
      <c r="F235" s="4" t="str">
        <f aca="false">IF($A235="","",_xlfn.XLOOKUP(LOWER(TRIM(Base_Bruta!F235)),DePara_Cidade!$A$2:$A$29,DePara_Cidade!$B$2:$B$29,"REVISAR"))</f>
        <v>São Paulo</v>
      </c>
      <c r="G235" s="4" t="str">
        <f aca="false">IF($A235="","",TRIM(Base_Bruta!G235))</f>
        <v>VIP</v>
      </c>
      <c r="H235" s="4" t="n">
        <f aca="false">IF($A235="","",IF(ISNUMBER(Base_Bruta!H235),Base_Bruta!H235,IFERROR(_xlfn.NUMBERVALUE(TRIM(SUBSTITUTE(Base_Bruta!H235,"R$","")),",","."),0)))</f>
        <v>1</v>
      </c>
      <c r="I235" s="6" t="n">
        <f aca="false">IF($A235="","",IF(ISNUMBER(Base_Bruta!I235),Base_Bruta!I235,IFERROR(_xlfn.NUMBERVALUE(TRIM(SUBSTITUTE(Base_Bruta!I235,"R$","")),",","."),0)))</f>
        <v>2040</v>
      </c>
      <c r="J235" s="6" t="n">
        <f aca="false">IF($A235="","",H235*I235)</f>
        <v>2040</v>
      </c>
      <c r="K235" s="4" t="str">
        <f aca="false">IF($A235="","",TRIM(Base_Bruta!J235))</f>
        <v>App</v>
      </c>
      <c r="L235" s="4" t="str">
        <f aca="false">IF($A235="","",TRIM(Base_Bruta!K235))</f>
        <v>C00743</v>
      </c>
      <c r="M235" s="4" t="str">
        <f aca="false">IF($A235="","",_xlfn.XLOOKUP(LOWER(TRIM(Base_Bruta!L235)),DePara_Cidade!$A$2:$A$29,DePara_Cidade!$B$2:$B$29,"REVISAR"))</f>
        <v>São Paulo</v>
      </c>
      <c r="N235" s="4" t="str">
        <f aca="false">IF($A235="","",UPPER(TRIM(Base_Bruta!M235)))</f>
        <v>SP</v>
      </c>
      <c r="O235" s="4" t="str">
        <f aca="false">IF($A235="","",_xlfn.XLOOKUP(LOWER(TRIM(Base_Bruta!N235)),DePara_Pais!$A$2:$A$9,DePara_Pais!$B$2:$B$9,"REVISAR"))</f>
        <v>Brasil</v>
      </c>
      <c r="P235" s="4" t="str">
        <f aca="false">IF($A235="","",IF(O235&lt;&gt;"Brasil","Turista Internacional",IF(M235=F235,"Local","Turista Nacional")))</f>
        <v>Local</v>
      </c>
      <c r="Q235" s="7" t="n">
        <f aca="false">IF($A235="","",DATE(YEAR(B235),MONTH(B235),1))</f>
        <v>45870</v>
      </c>
      <c r="R235" s="4" t="str">
        <f aca="false">IF($A235="","",IF(COUNTIF($A$2:$A235,$A235)&gt;1,"Sim","Não"))</f>
        <v>Não</v>
      </c>
      <c r="S235" s="4" t="str">
        <f aca="false">IF(A235="","Descartar - Linha vazia",IF(R235="Sim","Descartar - Duplicado",IF(OR(H235&lt;=0,I235&lt;=0),"Descartar - Qtd/Valor inválido","OK")))</f>
        <v>OK</v>
      </c>
      <c r="T235" s="4" t="str">
        <f aca="false">Base_Bruta!P235</f>
        <v>vendas_SP.xlsx</v>
      </c>
    </row>
    <row r="236" customFormat="false" ht="15" hidden="false" customHeight="false" outlineLevel="0" collapsed="false">
      <c r="A236" s="4" t="str">
        <f aca="false">IF(Base_Bruta!A236="","",Base_Bruta!A236)</f>
        <v>SP-000141</v>
      </c>
      <c r="B236" s="5" t="n">
        <f aca="false">IF($A236="","",IF(ISNUMBER(Base_Bruta!B236),Base_Bruta!B236,IF(MID(Base_Bruta!B236,5,1)="-",DATE(VALUE(LEFT(Base_Bruta!B236,4)),VALUE(MID(Base_Bruta!B236,6,2)),VALUE(RIGHT(Base_Bruta!B236,2))),DATE(VALUE(RIGHT(Base_Bruta!B236,4)),VALUE(MID(Base_Bruta!B236,4,2)),VALUE(LEFT(Base_Bruta!B236,2))))))</f>
        <v>45875</v>
      </c>
      <c r="C236" s="5" t="n">
        <f aca="false">IF($A236="","",IF(ISNUMBER(Base_Bruta!C236),Base_Bruta!C236,IF(MID(Base_Bruta!C236,5,1)="-",DATE(VALUE(LEFT(Base_Bruta!C236,4)),VALUE(MID(Base_Bruta!C236,6,2)),VALUE(RIGHT(Base_Bruta!C236,2))),DATE(VALUE(RIGHT(Base_Bruta!C236,4)),VALUE(MID(Base_Bruta!C236,4,2)),VALUE(LEFT(Base_Bruta!C236,2))))))</f>
        <v>45976</v>
      </c>
      <c r="D236" s="4" t="str">
        <f aca="false">IF($A236="","",TRIM(Base_Bruta!D236))</f>
        <v>Festival Sonora SP 2025</v>
      </c>
      <c r="E236" s="4" t="str">
        <f aca="false">IF($A236="","",_xlfn.XLOOKUP(LOWER(TRIM(Base_Bruta!E236)),DePara_Categoria!$A$2:$A$9,DePara_Categoria!$B$2:$B$9,"REVISAR"))</f>
        <v>Festival</v>
      </c>
      <c r="F236" s="4" t="str">
        <f aca="false">IF($A236="","",_xlfn.XLOOKUP(LOWER(TRIM(Base_Bruta!F236)),DePara_Cidade!$A$2:$A$29,DePara_Cidade!$B$2:$B$29,"REVISAR"))</f>
        <v>São Paulo</v>
      </c>
      <c r="G236" s="4" t="str">
        <f aca="false">IF($A236="","",TRIM(Base_Bruta!G236))</f>
        <v>Meia</v>
      </c>
      <c r="H236" s="4" t="n">
        <f aca="false">IF($A236="","",IF(ISNUMBER(Base_Bruta!H236),Base_Bruta!H236,IFERROR(_xlfn.NUMBERVALUE(TRIM(SUBSTITUTE(Base_Bruta!H236,"R$","")),",","."),0)))</f>
        <v>1</v>
      </c>
      <c r="I236" s="6" t="n">
        <f aca="false">IF($A236="","",IF(ISNUMBER(Base_Bruta!I236),Base_Bruta!I236,IFERROR(_xlfn.NUMBERVALUE(TRIM(SUBSTITUTE(Base_Bruta!I236,"R$","")),",","."),0)))</f>
        <v>352.5</v>
      </c>
      <c r="J236" s="6" t="n">
        <f aca="false">IF($A236="","",H236*I236)</f>
        <v>352.5</v>
      </c>
      <c r="K236" s="4" t="str">
        <f aca="false">IF($A236="","",TRIM(Base_Bruta!J236))</f>
        <v>Parceiro</v>
      </c>
      <c r="L236" s="4" t="str">
        <f aca="false">IF($A236="","",TRIM(Base_Bruta!K236))</f>
        <v>C00706</v>
      </c>
      <c r="M236" s="4" t="str">
        <f aca="false">IF($A236="","",_xlfn.XLOOKUP(LOWER(TRIM(Base_Bruta!L236)),DePara_Cidade!$A$2:$A$29,DePara_Cidade!$B$2:$B$29,"REVISAR"))</f>
        <v>Curitiba</v>
      </c>
      <c r="N236" s="4" t="str">
        <f aca="false">IF($A236="","",UPPER(TRIM(Base_Bruta!M236)))</f>
        <v>PR</v>
      </c>
      <c r="O236" s="4" t="str">
        <f aca="false">IF($A236="","",_xlfn.XLOOKUP(LOWER(TRIM(Base_Bruta!N236)),DePara_Pais!$A$2:$A$9,DePara_Pais!$B$2:$B$9,"REVISAR"))</f>
        <v>Brasil</v>
      </c>
      <c r="P236" s="4" t="str">
        <f aca="false">IF($A236="","",IF(O236&lt;&gt;"Brasil","Turista Internacional",IF(M236=F236,"Local","Turista Nacional")))</f>
        <v>Turista Nacional</v>
      </c>
      <c r="Q236" s="7" t="n">
        <f aca="false">IF($A236="","",DATE(YEAR(B236),MONTH(B236),1))</f>
        <v>45870</v>
      </c>
      <c r="R236" s="4" t="str">
        <f aca="false">IF($A236="","",IF(COUNTIF($A$2:$A236,$A236)&gt;1,"Sim","Não"))</f>
        <v>Não</v>
      </c>
      <c r="S236" s="4" t="str">
        <f aca="false">IF(A236="","Descartar - Linha vazia",IF(R236="Sim","Descartar - Duplicado",IF(OR(H236&lt;=0,I236&lt;=0),"Descartar - Qtd/Valor inválido","OK")))</f>
        <v>OK</v>
      </c>
      <c r="T236" s="4" t="str">
        <f aca="false">Base_Bruta!P236</f>
        <v>vendas_SP.xlsx</v>
      </c>
    </row>
    <row r="237" customFormat="false" ht="15" hidden="false" customHeight="false" outlineLevel="0" collapsed="false">
      <c r="A237" s="4" t="str">
        <f aca="false">IF(Base_Bruta!A237="","",Base_Bruta!A237)</f>
        <v>SP-000575</v>
      </c>
      <c r="B237" s="5" t="n">
        <f aca="false">IF($A237="","",IF(ISNUMBER(Base_Bruta!B237),Base_Bruta!B237,IF(MID(Base_Bruta!B237,5,1)="-",DATE(VALUE(LEFT(Base_Bruta!B237,4)),VALUE(MID(Base_Bruta!B237,6,2)),VALUE(RIGHT(Base_Bruta!B237,2))),DATE(VALUE(RIGHT(Base_Bruta!B237,4)),VALUE(MID(Base_Bruta!B237,4,2)),VALUE(LEFT(Base_Bruta!B237,2))))))</f>
        <v>45875</v>
      </c>
      <c r="C237" s="5" t="n">
        <f aca="false">IF($A237="","",IF(ISNUMBER(Base_Bruta!C237),Base_Bruta!C237,IF(MID(Base_Bruta!C237,5,1)="-",DATE(VALUE(LEFT(Base_Bruta!C237,4)),VALUE(MID(Base_Bruta!C237,6,2)),VALUE(RIGHT(Base_Bruta!C237,2))),DATE(VALUE(RIGHT(Base_Bruta!C237,4)),VALUE(MID(Base_Bruta!C237,4,2)),VALUE(LEFT(Base_Bruta!C237,2))))))</f>
        <v>45934</v>
      </c>
      <c r="D237" s="4" t="str">
        <f aca="false">IF($A237="","",TRIM(Base_Bruta!D237))</f>
        <v>Turnê Internacional Pop - SP</v>
      </c>
      <c r="E237" s="4" t="str">
        <f aca="false">IF($A237="","",_xlfn.XLOOKUP(LOWER(TRIM(Base_Bruta!E237)),DePara_Categoria!$A$2:$A$9,DePara_Categoria!$B$2:$B$9,"REVISAR"))</f>
        <v>Show</v>
      </c>
      <c r="F237" s="4" t="str">
        <f aca="false">IF($A237="","",_xlfn.XLOOKUP(LOWER(TRIM(Base_Bruta!F237)),DePara_Cidade!$A$2:$A$29,DePara_Cidade!$B$2:$B$29,"REVISAR"))</f>
        <v>São Paulo</v>
      </c>
      <c r="G237" s="4" t="str">
        <f aca="false">IF($A237="","",TRIM(Base_Bruta!G237))</f>
        <v>VIP</v>
      </c>
      <c r="H237" s="4" t="n">
        <f aca="false">IF($A237="","",IF(ISNUMBER(Base_Bruta!H237),Base_Bruta!H237,IFERROR(_xlfn.NUMBERVALUE(TRIM(SUBSTITUTE(Base_Bruta!H237,"R$","")),",","."),0)))</f>
        <v>4</v>
      </c>
      <c r="I237" s="6" t="n">
        <f aca="false">IF($A237="","",IF(ISNUMBER(Base_Bruta!I237),Base_Bruta!I237,IFERROR(_xlfn.NUMBERVALUE(TRIM(SUBSTITUTE(Base_Bruta!I237,"R$","")),",","."),0)))</f>
        <v>1170</v>
      </c>
      <c r="J237" s="6" t="n">
        <f aca="false">IF($A237="","",H237*I237)</f>
        <v>4680</v>
      </c>
      <c r="K237" s="4" t="str">
        <f aca="false">IF($A237="","",TRIM(Base_Bruta!J237))</f>
        <v>Bilheteria</v>
      </c>
      <c r="L237" s="4" t="str">
        <f aca="false">IF($A237="","",TRIM(Base_Bruta!K237))</f>
        <v>C01519</v>
      </c>
      <c r="M237" s="4" t="str">
        <f aca="false">IF($A237="","",_xlfn.XLOOKUP(LOWER(TRIM(Base_Bruta!L237)),DePara_Cidade!$A$2:$A$29,DePara_Cidade!$B$2:$B$29,"REVISAR"))</f>
        <v>Salvador</v>
      </c>
      <c r="N237" s="4" t="str">
        <f aca="false">IF($A237="","",UPPER(TRIM(Base_Bruta!M237)))</f>
        <v>BA</v>
      </c>
      <c r="O237" s="4" t="str">
        <f aca="false">IF($A237="","",_xlfn.XLOOKUP(LOWER(TRIM(Base_Bruta!N237)),DePara_Pais!$A$2:$A$9,DePara_Pais!$B$2:$B$9,"REVISAR"))</f>
        <v>Brasil</v>
      </c>
      <c r="P237" s="4" t="str">
        <f aca="false">IF($A237="","",IF(O237&lt;&gt;"Brasil","Turista Internacional",IF(M237=F237,"Local","Turista Nacional")))</f>
        <v>Turista Nacional</v>
      </c>
      <c r="Q237" s="7" t="n">
        <f aca="false">IF($A237="","",DATE(YEAR(B237),MONTH(B237),1))</f>
        <v>45870</v>
      </c>
      <c r="R237" s="4" t="str">
        <f aca="false">IF($A237="","",IF(COUNTIF($A$2:$A237,$A237)&gt;1,"Sim","Não"))</f>
        <v>Não</v>
      </c>
      <c r="S237" s="4" t="str">
        <f aca="false">IF(A237="","Descartar - Linha vazia",IF(R237="Sim","Descartar - Duplicado",IF(OR(H237&lt;=0,I237&lt;=0),"Descartar - Qtd/Valor inválido","OK")))</f>
        <v>OK</v>
      </c>
      <c r="T237" s="4" t="str">
        <f aca="false">Base_Bruta!P237</f>
        <v>vendas_SP.xlsx</v>
      </c>
    </row>
    <row r="238" customFormat="false" ht="15" hidden="false" customHeight="false" outlineLevel="0" collapsed="false">
      <c r="A238" s="4" t="str">
        <f aca="false">IF(Base_Bruta!A238="","",Base_Bruta!A238)</f>
        <v>SP-000053</v>
      </c>
      <c r="B238" s="5" t="n">
        <f aca="false">IF($A238="","",IF(ISNUMBER(Base_Bruta!B238),Base_Bruta!B238,IF(MID(Base_Bruta!B238,5,1)="-",DATE(VALUE(LEFT(Base_Bruta!B238,4)),VALUE(MID(Base_Bruta!B238,6,2)),VALUE(RIGHT(Base_Bruta!B238,2))),DATE(VALUE(RIGHT(Base_Bruta!B238,4)),VALUE(MID(Base_Bruta!B238,4,2)),VALUE(LEFT(Base_Bruta!B238,2))))))</f>
        <v>45876</v>
      </c>
      <c r="C238" s="5" t="n">
        <f aca="false">IF($A238="","",IF(ISNUMBER(Base_Bruta!C238),Base_Bruta!C238,IF(MID(Base_Bruta!C238,5,1)="-",DATE(VALUE(LEFT(Base_Bruta!C238,4)),VALUE(MID(Base_Bruta!C238,6,2)),VALUE(RIGHT(Base_Bruta!C238,2))),DATE(VALUE(RIGHT(Base_Bruta!C238,4)),VALUE(MID(Base_Bruta!C238,4,2)),VALUE(LEFT(Base_Bruta!C238,2))))))</f>
        <v>45976</v>
      </c>
      <c r="D238" s="4" t="str">
        <f aca="false">IF($A238="","",TRIM(Base_Bruta!D238))</f>
        <v>Festival Sonora SP 2025</v>
      </c>
      <c r="E238" s="4" t="str">
        <f aca="false">IF($A238="","",_xlfn.XLOOKUP(LOWER(TRIM(Base_Bruta!E238)),DePara_Categoria!$A$2:$A$9,DePara_Categoria!$B$2:$B$9,"REVISAR"))</f>
        <v>Festival</v>
      </c>
      <c r="F238" s="4" t="str">
        <f aca="false">IF($A238="","",_xlfn.XLOOKUP(LOWER(TRIM(Base_Bruta!F238)),DePara_Cidade!$A$2:$A$29,DePara_Cidade!$B$2:$B$29,"REVISAR"))</f>
        <v>São Paulo</v>
      </c>
      <c r="G238" s="4" t="str">
        <f aca="false">IF($A238="","",TRIM(Base_Bruta!G238))</f>
        <v>Meia</v>
      </c>
      <c r="H238" s="4" t="n">
        <f aca="false">IF($A238="","",IF(ISNUMBER(Base_Bruta!H238),Base_Bruta!H238,IFERROR(_xlfn.NUMBERVALUE(TRIM(SUBSTITUTE(Base_Bruta!H238,"R$","")),",","."),0)))</f>
        <v>1</v>
      </c>
      <c r="I238" s="6" t="n">
        <f aca="false">IF($A238="","",IF(ISNUMBER(Base_Bruta!I238),Base_Bruta!I238,IFERROR(_xlfn.NUMBERVALUE(TRIM(SUBSTITUTE(Base_Bruta!I238,"R$","")),",","."),0)))</f>
        <v>412.5</v>
      </c>
      <c r="J238" s="6" t="n">
        <f aca="false">IF($A238="","",H238*I238)</f>
        <v>412.5</v>
      </c>
      <c r="K238" s="4" t="str">
        <f aca="false">IF($A238="","",TRIM(Base_Bruta!J238))</f>
        <v>App</v>
      </c>
      <c r="L238" s="4" t="str">
        <f aca="false">IF($A238="","",TRIM(Base_Bruta!K238))</f>
        <v>C00245</v>
      </c>
      <c r="M238" s="4" t="str">
        <f aca="false">IF($A238="","",_xlfn.XLOOKUP(LOWER(TRIM(Base_Bruta!L238)),DePara_Cidade!$A$2:$A$29,DePara_Cidade!$B$2:$B$29,"REVISAR"))</f>
        <v>Campinas</v>
      </c>
      <c r="N238" s="4" t="str">
        <f aca="false">IF($A238="","",UPPER(TRIM(Base_Bruta!M238)))</f>
        <v>SP</v>
      </c>
      <c r="O238" s="4" t="str">
        <f aca="false">IF($A238="","",_xlfn.XLOOKUP(LOWER(TRIM(Base_Bruta!N238)),DePara_Pais!$A$2:$A$9,DePara_Pais!$B$2:$B$9,"REVISAR"))</f>
        <v>Brasil</v>
      </c>
      <c r="P238" s="4" t="str">
        <f aca="false">IF($A238="","",IF(O238&lt;&gt;"Brasil","Turista Internacional",IF(M238=F238,"Local","Turista Nacional")))</f>
        <v>Turista Nacional</v>
      </c>
      <c r="Q238" s="7" t="n">
        <f aca="false">IF($A238="","",DATE(YEAR(B238),MONTH(B238),1))</f>
        <v>45870</v>
      </c>
      <c r="R238" s="4" t="str">
        <f aca="false">IF($A238="","",IF(COUNTIF($A$2:$A238,$A238)&gt;1,"Sim","Não"))</f>
        <v>Não</v>
      </c>
      <c r="S238" s="4" t="str">
        <f aca="false">IF(A238="","Descartar - Linha vazia",IF(R238="Sim","Descartar - Duplicado",IF(OR(H238&lt;=0,I238&lt;=0),"Descartar - Qtd/Valor inválido","OK")))</f>
        <v>OK</v>
      </c>
      <c r="T238" s="4" t="str">
        <f aca="false">Base_Bruta!P238</f>
        <v>vendas_SP.xlsx</v>
      </c>
    </row>
    <row r="239" customFormat="false" ht="15" hidden="false" customHeight="false" outlineLevel="0" collapsed="false">
      <c r="A239" s="4" t="str">
        <f aca="false">IF(Base_Bruta!A239="","",Base_Bruta!A239)</f>
        <v>SP-000116</v>
      </c>
      <c r="B239" s="5" t="n">
        <f aca="false">IF($A239="","",IF(ISNUMBER(Base_Bruta!B239),Base_Bruta!B239,IF(MID(Base_Bruta!B239,5,1)="-",DATE(VALUE(LEFT(Base_Bruta!B239,4)),VALUE(MID(Base_Bruta!B239,6,2)),VALUE(RIGHT(Base_Bruta!B239,2))),DATE(VALUE(RIGHT(Base_Bruta!B239,4)),VALUE(MID(Base_Bruta!B239,4,2)),VALUE(LEFT(Base_Bruta!B239,2))))))</f>
        <v>45876</v>
      </c>
      <c r="C239" s="5" t="n">
        <f aca="false">IF($A239="","",IF(ISNUMBER(Base_Bruta!C239),Base_Bruta!C239,IF(MID(Base_Bruta!C239,5,1)="-",DATE(VALUE(LEFT(Base_Bruta!C239,4)),VALUE(MID(Base_Bruta!C239,6,2)),VALUE(RIGHT(Base_Bruta!C239,2))),DATE(VALUE(RIGHT(Base_Bruta!C239,4)),VALUE(MID(Base_Bruta!C239,4,2)),VALUE(LEFT(Base_Bruta!C239,2))))))</f>
        <v>45976</v>
      </c>
      <c r="D239" s="4" t="str">
        <f aca="false">IF($A239="","",TRIM(Base_Bruta!D239))</f>
        <v>Festival Sonora SP 2025</v>
      </c>
      <c r="E239" s="4" t="str">
        <f aca="false">IF($A239="","",_xlfn.XLOOKUP(LOWER(TRIM(Base_Bruta!E239)),DePara_Categoria!$A$2:$A$9,DePara_Categoria!$B$2:$B$9,"REVISAR"))</f>
        <v>Festival</v>
      </c>
      <c r="F239" s="4" t="str">
        <f aca="false">IF($A239="","",_xlfn.XLOOKUP(LOWER(TRIM(Base_Bruta!F239)),DePara_Cidade!$A$2:$A$29,DePara_Cidade!$B$2:$B$29,"REVISAR"))</f>
        <v>São Paulo</v>
      </c>
      <c r="G239" s="4" t="str">
        <f aca="false">IF($A239="","",TRIM(Base_Bruta!G239))</f>
        <v>Meia</v>
      </c>
      <c r="H239" s="4" t="n">
        <f aca="false">IF($A239="","",IF(ISNUMBER(Base_Bruta!H239),Base_Bruta!H239,IFERROR(_xlfn.NUMBERVALUE(TRIM(SUBSTITUTE(Base_Bruta!H239,"R$","")),",","."),0)))</f>
        <v>2</v>
      </c>
      <c r="I239" s="6" t="n">
        <f aca="false">IF($A239="","",IF(ISNUMBER(Base_Bruta!I239),Base_Bruta!I239,IFERROR(_xlfn.NUMBERVALUE(TRIM(SUBSTITUTE(Base_Bruta!I239,"R$","")),",","."),0)))</f>
        <v>472.5</v>
      </c>
      <c r="J239" s="6" t="n">
        <f aca="false">IF($A239="","",H239*I239)</f>
        <v>945</v>
      </c>
      <c r="K239" s="4" t="str">
        <f aca="false">IF($A239="","",TRIM(Base_Bruta!J239))</f>
        <v>App</v>
      </c>
      <c r="L239" s="4" t="str">
        <f aca="false">IF($A239="","",TRIM(Base_Bruta!K239))</f>
        <v>C00856</v>
      </c>
      <c r="M239" s="4" t="str">
        <f aca="false">IF($A239="","",_xlfn.XLOOKUP(LOWER(TRIM(Base_Bruta!L239)),DePara_Cidade!$A$2:$A$29,DePara_Cidade!$B$2:$B$29,"REVISAR"))</f>
        <v>São Paulo</v>
      </c>
      <c r="N239" s="4" t="str">
        <f aca="false">IF($A239="","",UPPER(TRIM(Base_Bruta!M239)))</f>
        <v>SP</v>
      </c>
      <c r="O239" s="4" t="str">
        <f aca="false">IF($A239="","",_xlfn.XLOOKUP(LOWER(TRIM(Base_Bruta!N239)),DePara_Pais!$A$2:$A$9,DePara_Pais!$B$2:$B$9,"REVISAR"))</f>
        <v>Brasil</v>
      </c>
      <c r="P239" s="4" t="str">
        <f aca="false">IF($A239="","",IF(O239&lt;&gt;"Brasil","Turista Internacional",IF(M239=F239,"Local","Turista Nacional")))</f>
        <v>Local</v>
      </c>
      <c r="Q239" s="7" t="n">
        <f aca="false">IF($A239="","",DATE(YEAR(B239),MONTH(B239),1))</f>
        <v>45870</v>
      </c>
      <c r="R239" s="4" t="str">
        <f aca="false">IF($A239="","",IF(COUNTIF($A$2:$A239,$A239)&gt;1,"Sim","Não"))</f>
        <v>Não</v>
      </c>
      <c r="S239" s="4" t="str">
        <f aca="false">IF(A239="","Descartar - Linha vazia",IF(R239="Sim","Descartar - Duplicado",IF(OR(H239&lt;=0,I239&lt;=0),"Descartar - Qtd/Valor inválido","OK")))</f>
        <v>OK</v>
      </c>
      <c r="T239" s="4" t="str">
        <f aca="false">Base_Bruta!P239</f>
        <v>vendas_SP.xlsx</v>
      </c>
    </row>
    <row r="240" customFormat="false" ht="15" hidden="false" customHeight="false" outlineLevel="0" collapsed="false">
      <c r="A240" s="4" t="str">
        <f aca="false">IF(Base_Bruta!A240="","",Base_Bruta!A240)</f>
        <v>SP-000121</v>
      </c>
      <c r="B240" s="5" t="n">
        <f aca="false">IF($A240="","",IF(ISNUMBER(Base_Bruta!B240),Base_Bruta!B240,IF(MID(Base_Bruta!B240,5,1)="-",DATE(VALUE(LEFT(Base_Bruta!B240,4)),VALUE(MID(Base_Bruta!B240,6,2)),VALUE(RIGHT(Base_Bruta!B240,2))),DATE(VALUE(RIGHT(Base_Bruta!B240,4)),VALUE(MID(Base_Bruta!B240,4,2)),VALUE(LEFT(Base_Bruta!B240,2))))))</f>
        <v>45876</v>
      </c>
      <c r="C240" s="5" t="n">
        <f aca="false">IF($A240="","",IF(ISNUMBER(Base_Bruta!C240),Base_Bruta!C240,IF(MID(Base_Bruta!C240,5,1)="-",DATE(VALUE(LEFT(Base_Bruta!C240,4)),VALUE(MID(Base_Bruta!C240,6,2)),VALUE(RIGHT(Base_Bruta!C240,2))),DATE(VALUE(RIGHT(Base_Bruta!C240,4)),VALUE(MID(Base_Bruta!C240,4,2)),VALUE(LEFT(Base_Bruta!C240,2))))))</f>
        <v>45976</v>
      </c>
      <c r="D240" s="4" t="str">
        <f aca="false">IF($A240="","",TRIM(Base_Bruta!D240))</f>
        <v>Festival Sonora SP 2025</v>
      </c>
      <c r="E240" s="4" t="str">
        <f aca="false">IF($A240="","",_xlfn.XLOOKUP(LOWER(TRIM(Base_Bruta!E240)),DePara_Categoria!$A$2:$A$9,DePara_Categoria!$B$2:$B$9,"REVISAR"))</f>
        <v>Festival</v>
      </c>
      <c r="F240" s="4" t="str">
        <f aca="false">IF($A240="","",_xlfn.XLOOKUP(LOWER(TRIM(Base_Bruta!F240)),DePara_Cidade!$A$2:$A$29,DePara_Cidade!$B$2:$B$29,"REVISAR"))</f>
        <v>São Paulo</v>
      </c>
      <c r="G240" s="4" t="str">
        <f aca="false">IF($A240="","",TRIM(Base_Bruta!G240))</f>
        <v>Inteira</v>
      </c>
      <c r="H240" s="4" t="n">
        <f aca="false">IF($A240="","",IF(ISNUMBER(Base_Bruta!H240),Base_Bruta!H240,IFERROR(_xlfn.NUMBERVALUE(TRIM(SUBSTITUTE(Base_Bruta!H240,"R$","")),",","."),0)))</f>
        <v>2</v>
      </c>
      <c r="I240" s="6" t="n">
        <f aca="false">IF($A240="","",IF(ISNUMBER(Base_Bruta!I240),Base_Bruta!I240,IFERROR(_xlfn.NUMBERVALUE(TRIM(SUBSTITUTE(Base_Bruta!I240,"R$","")),",","."),0)))</f>
        <v>900</v>
      </c>
      <c r="J240" s="6" t="n">
        <f aca="false">IF($A240="","",H240*I240)</f>
        <v>1800</v>
      </c>
      <c r="K240" s="4" t="str">
        <f aca="false">IF($A240="","",TRIM(Base_Bruta!J240))</f>
        <v>Site</v>
      </c>
      <c r="L240" s="4" t="str">
        <f aca="false">IF($A240="","",TRIM(Base_Bruta!K240))</f>
        <v>C00485</v>
      </c>
      <c r="M240" s="4" t="str">
        <f aca="false">IF($A240="","",_xlfn.XLOOKUP(LOWER(TRIM(Base_Bruta!L240)),DePara_Cidade!$A$2:$A$29,DePara_Cidade!$B$2:$B$29,"REVISAR"))</f>
        <v>São Paulo</v>
      </c>
      <c r="N240" s="4" t="str">
        <f aca="false">IF($A240="","",UPPER(TRIM(Base_Bruta!M240)))</f>
        <v>SP</v>
      </c>
      <c r="O240" s="4" t="str">
        <f aca="false">IF($A240="","",_xlfn.XLOOKUP(LOWER(TRIM(Base_Bruta!N240)),DePara_Pais!$A$2:$A$9,DePara_Pais!$B$2:$B$9,"REVISAR"))</f>
        <v>Brasil</v>
      </c>
      <c r="P240" s="4" t="str">
        <f aca="false">IF($A240="","",IF(O240&lt;&gt;"Brasil","Turista Internacional",IF(M240=F240,"Local","Turista Nacional")))</f>
        <v>Local</v>
      </c>
      <c r="Q240" s="7" t="n">
        <f aca="false">IF($A240="","",DATE(YEAR(B240),MONTH(B240),1))</f>
        <v>45870</v>
      </c>
      <c r="R240" s="4" t="str">
        <f aca="false">IF($A240="","",IF(COUNTIF($A$2:$A240,$A240)&gt;1,"Sim","Não"))</f>
        <v>Não</v>
      </c>
      <c r="S240" s="4" t="str">
        <f aca="false">IF(A240="","Descartar - Linha vazia",IF(R240="Sim","Descartar - Duplicado",IF(OR(H240&lt;=0,I240&lt;=0),"Descartar - Qtd/Valor inválido","OK")))</f>
        <v>OK</v>
      </c>
      <c r="T240" s="4" t="str">
        <f aca="false">Base_Bruta!P240</f>
        <v>vendas_SP.xlsx</v>
      </c>
    </row>
    <row r="241" customFormat="false" ht="15" hidden="false" customHeight="false" outlineLevel="0" collapsed="false">
      <c r="A241" s="4" t="str">
        <f aca="false">IF(Base_Bruta!A241="","",Base_Bruta!A241)</f>
        <v>SP-000129</v>
      </c>
      <c r="B241" s="5" t="n">
        <f aca="false">IF($A241="","",IF(ISNUMBER(Base_Bruta!B241),Base_Bruta!B241,IF(MID(Base_Bruta!B241,5,1)="-",DATE(VALUE(LEFT(Base_Bruta!B241,4)),VALUE(MID(Base_Bruta!B241,6,2)),VALUE(RIGHT(Base_Bruta!B241,2))),DATE(VALUE(RIGHT(Base_Bruta!B241,4)),VALUE(MID(Base_Bruta!B241,4,2)),VALUE(LEFT(Base_Bruta!B241,2))))))</f>
        <v>45876</v>
      </c>
      <c r="C241" s="5" t="n">
        <f aca="false">IF($A241="","",IF(ISNUMBER(Base_Bruta!C241),Base_Bruta!C241,IF(MID(Base_Bruta!C241,5,1)="-",DATE(VALUE(LEFT(Base_Bruta!C241,4)),VALUE(MID(Base_Bruta!C241,6,2)),VALUE(RIGHT(Base_Bruta!C241,2))),DATE(VALUE(RIGHT(Base_Bruta!C241,4)),VALUE(MID(Base_Bruta!C241,4,2)),VALUE(LEFT(Base_Bruta!C241,2))))))</f>
        <v>45976</v>
      </c>
      <c r="D241" s="4" t="str">
        <f aca="false">IF($A241="","",TRIM(Base_Bruta!D241))</f>
        <v>Festival Sonora SP 2025</v>
      </c>
      <c r="E241" s="4" t="str">
        <f aca="false">IF($A241="","",_xlfn.XLOOKUP(LOWER(TRIM(Base_Bruta!E241)),DePara_Categoria!$A$2:$A$9,DePara_Categoria!$B$2:$B$9,"REVISAR"))</f>
        <v>Festival</v>
      </c>
      <c r="F241" s="4" t="str">
        <f aca="false">IF($A241="","",_xlfn.XLOOKUP(LOWER(TRIM(Base_Bruta!F241)),DePara_Cidade!$A$2:$A$29,DePara_Cidade!$B$2:$B$29,"REVISAR"))</f>
        <v>São Paulo</v>
      </c>
      <c r="G241" s="4" t="str">
        <f aca="false">IF($A241="","",TRIM(Base_Bruta!G241))</f>
        <v>Meia</v>
      </c>
      <c r="H241" s="4" t="n">
        <f aca="false">IF($A241="","",IF(ISNUMBER(Base_Bruta!H241),Base_Bruta!H241,IFERROR(_xlfn.NUMBERVALUE(TRIM(SUBSTITUTE(Base_Bruta!H241,"R$","")),",","."),0)))</f>
        <v>1</v>
      </c>
      <c r="I241" s="6" t="n">
        <f aca="false">IF($A241="","",IF(ISNUMBER(Base_Bruta!I241),Base_Bruta!I241,IFERROR(_xlfn.NUMBERVALUE(TRIM(SUBSTITUTE(Base_Bruta!I241,"R$","")),",","."),0)))</f>
        <v>407.5</v>
      </c>
      <c r="J241" s="6" t="n">
        <f aca="false">IF($A241="","",H241*I241)</f>
        <v>407.5</v>
      </c>
      <c r="K241" s="4" t="str">
        <f aca="false">IF($A241="","",TRIM(Base_Bruta!J241))</f>
        <v>Site</v>
      </c>
      <c r="L241" s="4" t="str">
        <f aca="false">IF($A241="","",TRIM(Base_Bruta!K241))</f>
        <v>C00738</v>
      </c>
      <c r="M241" s="4" t="str">
        <f aca="false">IF($A241="","",_xlfn.XLOOKUP(LOWER(TRIM(Base_Bruta!L241)),DePara_Cidade!$A$2:$A$29,DePara_Cidade!$B$2:$B$29,"REVISAR"))</f>
        <v>São Paulo</v>
      </c>
      <c r="N241" s="4" t="str">
        <f aca="false">IF($A241="","",UPPER(TRIM(Base_Bruta!M241)))</f>
        <v>SP</v>
      </c>
      <c r="O241" s="4" t="str">
        <f aca="false">IF($A241="","",_xlfn.XLOOKUP(LOWER(TRIM(Base_Bruta!N241)),DePara_Pais!$A$2:$A$9,DePara_Pais!$B$2:$B$9,"REVISAR"))</f>
        <v>Brasil</v>
      </c>
      <c r="P241" s="4" t="str">
        <f aca="false">IF($A241="","",IF(O241&lt;&gt;"Brasil","Turista Internacional",IF(M241=F241,"Local","Turista Nacional")))</f>
        <v>Local</v>
      </c>
      <c r="Q241" s="7" t="n">
        <f aca="false">IF($A241="","",DATE(YEAR(B241),MONTH(B241),1))</f>
        <v>45870</v>
      </c>
      <c r="R241" s="4" t="str">
        <f aca="false">IF($A241="","",IF(COUNTIF($A$2:$A241,$A241)&gt;1,"Sim","Não"))</f>
        <v>Não</v>
      </c>
      <c r="S241" s="4" t="str">
        <f aca="false">IF(A241="","Descartar - Linha vazia",IF(R241="Sim","Descartar - Duplicado",IF(OR(H241&lt;=0,I241&lt;=0),"Descartar - Qtd/Valor inválido","OK")))</f>
        <v>OK</v>
      </c>
      <c r="T241" s="4" t="str">
        <f aca="false">Base_Bruta!P241</f>
        <v>vendas_SP.xlsx</v>
      </c>
    </row>
    <row r="242" customFormat="false" ht="15" hidden="false" customHeight="false" outlineLevel="0" collapsed="false">
      <c r="A242" s="4" t="str">
        <f aca="false">IF(Base_Bruta!A242="","",Base_Bruta!A242)</f>
        <v>SP-000135</v>
      </c>
      <c r="B242" s="5" t="n">
        <f aca="false">IF($A242="","",IF(ISNUMBER(Base_Bruta!B242),Base_Bruta!B242,IF(MID(Base_Bruta!B242,5,1)="-",DATE(VALUE(LEFT(Base_Bruta!B242,4)),VALUE(MID(Base_Bruta!B242,6,2)),VALUE(RIGHT(Base_Bruta!B242,2))),DATE(VALUE(RIGHT(Base_Bruta!B242,4)),VALUE(MID(Base_Bruta!B242,4,2)),VALUE(LEFT(Base_Bruta!B242,2))))))</f>
        <v>45876</v>
      </c>
      <c r="C242" s="5" t="n">
        <f aca="false">IF($A242="","",IF(ISNUMBER(Base_Bruta!C242),Base_Bruta!C242,IF(MID(Base_Bruta!C242,5,1)="-",DATE(VALUE(LEFT(Base_Bruta!C242,4)),VALUE(MID(Base_Bruta!C242,6,2)),VALUE(RIGHT(Base_Bruta!C242,2))),DATE(VALUE(RIGHT(Base_Bruta!C242,4)),VALUE(MID(Base_Bruta!C242,4,2)),VALUE(LEFT(Base_Bruta!C242,2))))))</f>
        <v>45976</v>
      </c>
      <c r="D242" s="4" t="str">
        <f aca="false">IF($A242="","",TRIM(Base_Bruta!D242))</f>
        <v>Festival Sonora SP 2025</v>
      </c>
      <c r="E242" s="4" t="str">
        <f aca="false">IF($A242="","",_xlfn.XLOOKUP(LOWER(TRIM(Base_Bruta!E242)),DePara_Categoria!$A$2:$A$9,DePara_Categoria!$B$2:$B$9,"REVISAR"))</f>
        <v>Festival</v>
      </c>
      <c r="F242" s="4" t="str">
        <f aca="false">IF($A242="","",_xlfn.XLOOKUP(LOWER(TRIM(Base_Bruta!F242)),DePara_Cidade!$A$2:$A$29,DePara_Cidade!$B$2:$B$29,"REVISAR"))</f>
        <v>São Paulo</v>
      </c>
      <c r="G242" s="4" t="str">
        <f aca="false">IF($A242="","",TRIM(Base_Bruta!G242))</f>
        <v>Meia</v>
      </c>
      <c r="H242" s="4" t="n">
        <f aca="false">IF($A242="","",IF(ISNUMBER(Base_Bruta!H242),Base_Bruta!H242,IFERROR(_xlfn.NUMBERVALUE(TRIM(SUBSTITUTE(Base_Bruta!H242,"R$","")),",","."),0)))</f>
        <v>1</v>
      </c>
      <c r="I242" s="6" t="n">
        <f aca="false">IF($A242="","",IF(ISNUMBER(Base_Bruta!I242),Base_Bruta!I242,IFERROR(_xlfn.NUMBERVALUE(TRIM(SUBSTITUTE(Base_Bruta!I242,"R$","")),",","."),0)))</f>
        <v>435</v>
      </c>
      <c r="J242" s="6" t="n">
        <f aca="false">IF($A242="","",H242*I242)</f>
        <v>435</v>
      </c>
      <c r="K242" s="4" t="str">
        <f aca="false">IF($A242="","",TRIM(Base_Bruta!J242))</f>
        <v>Site</v>
      </c>
      <c r="L242" s="4" t="str">
        <f aca="false">IF($A242="","",TRIM(Base_Bruta!K242))</f>
        <v>C01013</v>
      </c>
      <c r="M242" s="4" t="str">
        <f aca="false">IF($A242="","",_xlfn.XLOOKUP(LOWER(TRIM(Base_Bruta!L242)),DePara_Cidade!$A$2:$A$29,DePara_Cidade!$B$2:$B$29,"REVISAR"))</f>
        <v>São Paulo</v>
      </c>
      <c r="N242" s="4" t="str">
        <f aca="false">IF($A242="","",UPPER(TRIM(Base_Bruta!M242)))</f>
        <v>SP</v>
      </c>
      <c r="O242" s="4" t="str">
        <f aca="false">IF($A242="","",_xlfn.XLOOKUP(LOWER(TRIM(Base_Bruta!N242)),DePara_Pais!$A$2:$A$9,DePara_Pais!$B$2:$B$9,"REVISAR"))</f>
        <v>Brasil</v>
      </c>
      <c r="P242" s="4" t="str">
        <f aca="false">IF($A242="","",IF(O242&lt;&gt;"Brasil","Turista Internacional",IF(M242=F242,"Local","Turista Nacional")))</f>
        <v>Local</v>
      </c>
      <c r="Q242" s="7" t="n">
        <f aca="false">IF($A242="","",DATE(YEAR(B242),MONTH(B242),1))</f>
        <v>45870</v>
      </c>
      <c r="R242" s="4" t="str">
        <f aca="false">IF($A242="","",IF(COUNTIF($A$2:$A242,$A242)&gt;1,"Sim","Não"))</f>
        <v>Não</v>
      </c>
      <c r="S242" s="4" t="str">
        <f aca="false">IF(A242="","Descartar - Linha vazia",IF(R242="Sim","Descartar - Duplicado",IF(OR(H242&lt;=0,I242&lt;=0),"Descartar - Qtd/Valor inválido","OK")))</f>
        <v>OK</v>
      </c>
      <c r="T242" s="4" t="str">
        <f aca="false">Base_Bruta!P242</f>
        <v>vendas_SP.xlsx</v>
      </c>
    </row>
    <row r="243" customFormat="false" ht="15" hidden="false" customHeight="false" outlineLevel="0" collapsed="false">
      <c r="A243" s="4" t="str">
        <f aca="false">IF(Base_Bruta!A243="","",Base_Bruta!A243)</f>
        <v>SP-000220</v>
      </c>
      <c r="B243" s="5" t="n">
        <f aca="false">IF($A243="","",IF(ISNUMBER(Base_Bruta!B243),Base_Bruta!B243,IF(MID(Base_Bruta!B243,5,1)="-",DATE(VALUE(LEFT(Base_Bruta!B243,4)),VALUE(MID(Base_Bruta!B243,6,2)),VALUE(RIGHT(Base_Bruta!B243,2))),DATE(VALUE(RIGHT(Base_Bruta!B243,4)),VALUE(MID(Base_Bruta!B243,4,2)),VALUE(LEFT(Base_Bruta!B243,2))))))</f>
        <v>45876</v>
      </c>
      <c r="C243" s="5" t="n">
        <f aca="false">IF($A243="","",IF(ISNUMBER(Base_Bruta!C243),Base_Bruta!C243,IF(MID(Base_Bruta!C243,5,1)="-",DATE(VALUE(LEFT(Base_Bruta!C243,4)),VALUE(MID(Base_Bruta!C243,6,2)),VALUE(RIGHT(Base_Bruta!C243,2))),DATE(VALUE(RIGHT(Base_Bruta!C243,4)),VALUE(MID(Base_Bruta!C243,4,2)),VALUE(LEFT(Base_Bruta!C243,2))))))</f>
        <v>45976</v>
      </c>
      <c r="D243" s="4" t="str">
        <f aca="false">IF($A243="","",TRIM(Base_Bruta!D243))</f>
        <v>Festival Sonora SP 2025</v>
      </c>
      <c r="E243" s="4" t="str">
        <f aca="false">IF($A243="","",_xlfn.XLOOKUP(LOWER(TRIM(Base_Bruta!E243)),DePara_Categoria!$A$2:$A$9,DePara_Categoria!$B$2:$B$9,"REVISAR"))</f>
        <v>Festival</v>
      </c>
      <c r="F243" s="4" t="str">
        <f aca="false">IF($A243="","",_xlfn.XLOOKUP(LOWER(TRIM(Base_Bruta!F243)),DePara_Cidade!$A$2:$A$29,DePara_Cidade!$B$2:$B$29,"REVISAR"))</f>
        <v>São Paulo</v>
      </c>
      <c r="G243" s="4" t="str">
        <f aca="false">IF($A243="","",TRIM(Base_Bruta!G243))</f>
        <v>Inteira</v>
      </c>
      <c r="H243" s="4" t="n">
        <f aca="false">IF($A243="","",IF(ISNUMBER(Base_Bruta!H243),Base_Bruta!H243,IFERROR(_xlfn.NUMBERVALUE(TRIM(SUBSTITUTE(Base_Bruta!H243,"R$","")),",","."),0)))</f>
        <v>1</v>
      </c>
      <c r="I243" s="6" t="n">
        <f aca="false">IF($A243="","",IF(ISNUMBER(Base_Bruta!I243),Base_Bruta!I243,IFERROR(_xlfn.NUMBERVALUE(TRIM(SUBSTITUTE(Base_Bruta!I243,"R$","")),",","."),0)))</f>
        <v>975</v>
      </c>
      <c r="J243" s="6" t="n">
        <f aca="false">IF($A243="","",H243*I243)</f>
        <v>975</v>
      </c>
      <c r="K243" s="4" t="str">
        <f aca="false">IF($A243="","",TRIM(Base_Bruta!J243))</f>
        <v>App</v>
      </c>
      <c r="L243" s="4" t="str">
        <f aca="false">IF($A243="","",TRIM(Base_Bruta!K243))</f>
        <v>C01013</v>
      </c>
      <c r="M243" s="4" t="str">
        <f aca="false">IF($A243="","",_xlfn.XLOOKUP(LOWER(TRIM(Base_Bruta!L243)),DePara_Cidade!$A$2:$A$29,DePara_Cidade!$B$2:$B$29,"REVISAR"))</f>
        <v>São Paulo</v>
      </c>
      <c r="N243" s="4" t="str">
        <f aca="false">IF($A243="","",UPPER(TRIM(Base_Bruta!M243)))</f>
        <v>SP</v>
      </c>
      <c r="O243" s="4" t="str">
        <f aca="false">IF($A243="","",_xlfn.XLOOKUP(LOWER(TRIM(Base_Bruta!N243)),DePara_Pais!$A$2:$A$9,DePara_Pais!$B$2:$B$9,"REVISAR"))</f>
        <v>Brasil</v>
      </c>
      <c r="P243" s="4" t="str">
        <f aca="false">IF($A243="","",IF(O243&lt;&gt;"Brasil","Turista Internacional",IF(M243=F243,"Local","Turista Nacional")))</f>
        <v>Local</v>
      </c>
      <c r="Q243" s="7" t="n">
        <f aca="false">IF($A243="","",DATE(YEAR(B243),MONTH(B243),1))</f>
        <v>45870</v>
      </c>
      <c r="R243" s="4" t="str">
        <f aca="false">IF($A243="","",IF(COUNTIF($A$2:$A243,$A243)&gt;1,"Sim","Não"))</f>
        <v>Não</v>
      </c>
      <c r="S243" s="4" t="str">
        <f aca="false">IF(A243="","Descartar - Linha vazia",IF(R243="Sim","Descartar - Duplicado",IF(OR(H243&lt;=0,I243&lt;=0),"Descartar - Qtd/Valor inválido","OK")))</f>
        <v>OK</v>
      </c>
      <c r="T243" s="4" t="str">
        <f aca="false">Base_Bruta!P243</f>
        <v>vendas_SP.xlsx</v>
      </c>
    </row>
    <row r="244" customFormat="false" ht="15" hidden="false" customHeight="false" outlineLevel="0" collapsed="false">
      <c r="A244" s="4" t="str">
        <f aca="false">IF(Base_Bruta!A244="","",Base_Bruta!A244)</f>
        <v>SP-000229</v>
      </c>
      <c r="B244" s="5" t="n">
        <f aca="false">IF($A244="","",IF(ISNUMBER(Base_Bruta!B244),Base_Bruta!B244,IF(MID(Base_Bruta!B244,5,1)="-",DATE(VALUE(LEFT(Base_Bruta!B244,4)),VALUE(MID(Base_Bruta!B244,6,2)),VALUE(RIGHT(Base_Bruta!B244,2))),DATE(VALUE(RIGHT(Base_Bruta!B244,4)),VALUE(MID(Base_Bruta!B244,4,2)),VALUE(LEFT(Base_Bruta!B244,2))))))</f>
        <v>45876</v>
      </c>
      <c r="C244" s="5" t="n">
        <f aca="false">IF($A244="","",IF(ISNUMBER(Base_Bruta!C244),Base_Bruta!C244,IF(MID(Base_Bruta!C244,5,1)="-",DATE(VALUE(LEFT(Base_Bruta!C244,4)),VALUE(MID(Base_Bruta!C244,6,2)),VALUE(RIGHT(Base_Bruta!C244,2))),DATE(VALUE(RIGHT(Base_Bruta!C244,4)),VALUE(MID(Base_Bruta!C244,4,2)),VALUE(LEFT(Base_Bruta!C244,2))))))</f>
        <v>45976</v>
      </c>
      <c r="D244" s="4" t="str">
        <f aca="false">IF($A244="","",TRIM(Base_Bruta!D244))</f>
        <v>Festival Sonora SP 2025</v>
      </c>
      <c r="E244" s="4" t="str">
        <f aca="false">IF($A244="","",_xlfn.XLOOKUP(LOWER(TRIM(Base_Bruta!E244)),DePara_Categoria!$A$2:$A$9,DePara_Categoria!$B$2:$B$9,"REVISAR"))</f>
        <v>Festival</v>
      </c>
      <c r="F244" s="4" t="str">
        <f aca="false">IF($A244="","",_xlfn.XLOOKUP(LOWER(TRIM(Base_Bruta!F244)),DePara_Cidade!$A$2:$A$29,DePara_Cidade!$B$2:$B$29,"REVISAR"))</f>
        <v>São Paulo</v>
      </c>
      <c r="G244" s="4" t="str">
        <f aca="false">IF($A244="","",TRIM(Base_Bruta!G244))</f>
        <v>Inteira</v>
      </c>
      <c r="H244" s="4" t="n">
        <f aca="false">IF($A244="","",IF(ISNUMBER(Base_Bruta!H244),Base_Bruta!H244,IFERROR(_xlfn.NUMBERVALUE(TRIM(SUBSTITUTE(Base_Bruta!H244,"R$","")),",","."),0)))</f>
        <v>1</v>
      </c>
      <c r="I244" s="6" t="n">
        <f aca="false">IF($A244="","",IF(ISNUMBER(Base_Bruta!I244),Base_Bruta!I244,IFERROR(_xlfn.NUMBERVALUE(TRIM(SUBSTITUTE(Base_Bruta!I244,"R$","")),",","."),0)))</f>
        <v>655</v>
      </c>
      <c r="J244" s="6" t="n">
        <f aca="false">IF($A244="","",H244*I244)</f>
        <v>655</v>
      </c>
      <c r="K244" s="4" t="str">
        <f aca="false">IF($A244="","",TRIM(Base_Bruta!J244))</f>
        <v>Site</v>
      </c>
      <c r="L244" s="4" t="str">
        <f aca="false">IF($A244="","",TRIM(Base_Bruta!K244))</f>
        <v>C02317</v>
      </c>
      <c r="M244" s="4" t="str">
        <f aca="false">IF($A244="","",_xlfn.XLOOKUP(LOWER(TRIM(Base_Bruta!L244)),DePara_Cidade!$A$2:$A$29,DePara_Cidade!$B$2:$B$29,"REVISAR"))</f>
        <v>Santos</v>
      </c>
      <c r="N244" s="4" t="str">
        <f aca="false">IF($A244="","",UPPER(TRIM(Base_Bruta!M244)))</f>
        <v>SP</v>
      </c>
      <c r="O244" s="4" t="str">
        <f aca="false">IF($A244="","",_xlfn.XLOOKUP(LOWER(TRIM(Base_Bruta!N244)),DePara_Pais!$A$2:$A$9,DePara_Pais!$B$2:$B$9,"REVISAR"))</f>
        <v>Brasil</v>
      </c>
      <c r="P244" s="4" t="str">
        <f aca="false">IF($A244="","",IF(O244&lt;&gt;"Brasil","Turista Internacional",IF(M244=F244,"Local","Turista Nacional")))</f>
        <v>Turista Nacional</v>
      </c>
      <c r="Q244" s="7" t="n">
        <f aca="false">IF($A244="","",DATE(YEAR(B244),MONTH(B244),1))</f>
        <v>45870</v>
      </c>
      <c r="R244" s="4" t="str">
        <f aca="false">IF($A244="","",IF(COUNTIF($A$2:$A244,$A244)&gt;1,"Sim","Não"))</f>
        <v>Não</v>
      </c>
      <c r="S244" s="4" t="str">
        <f aca="false">IF(A244="","Descartar - Linha vazia",IF(R244="Sim","Descartar - Duplicado",IF(OR(H244&lt;=0,I244&lt;=0),"Descartar - Qtd/Valor inválido","OK")))</f>
        <v>OK</v>
      </c>
      <c r="T244" s="4" t="str">
        <f aca="false">Base_Bruta!P244</f>
        <v>vendas_SP.xlsx</v>
      </c>
    </row>
    <row r="245" customFormat="false" ht="15" hidden="false" customHeight="false" outlineLevel="0" collapsed="false">
      <c r="A245" s="4" t="str">
        <f aca="false">IF(Base_Bruta!A245="","",Base_Bruta!A245)</f>
        <v>SP-000038</v>
      </c>
      <c r="B245" s="5" t="n">
        <f aca="false">IF($A245="","",IF(ISNUMBER(Base_Bruta!B245),Base_Bruta!B245,IF(MID(Base_Bruta!B245,5,1)="-",DATE(VALUE(LEFT(Base_Bruta!B245,4)),VALUE(MID(Base_Bruta!B245,6,2)),VALUE(RIGHT(Base_Bruta!B245,2))),DATE(VALUE(RIGHT(Base_Bruta!B245,4)),VALUE(MID(Base_Bruta!B245,4,2)),VALUE(LEFT(Base_Bruta!B245,2))))))</f>
        <v>45873</v>
      </c>
      <c r="C245" s="5" t="n">
        <f aca="false">IF($A245="","",IF(ISNUMBER(Base_Bruta!C245),Base_Bruta!C245,IF(MID(Base_Bruta!C245,5,1)="-",DATE(VALUE(LEFT(Base_Bruta!C245,4)),VALUE(MID(Base_Bruta!C245,6,2)),VALUE(RIGHT(Base_Bruta!C245,2))),DATE(VALUE(RIGHT(Base_Bruta!C245,4)),VALUE(MID(Base_Bruta!C245,4,2)),VALUE(LEFT(Base_Bruta!C245,2))))))</f>
        <v>45976</v>
      </c>
      <c r="D245" s="4" t="str">
        <f aca="false">IF($A245="","",TRIM(Base_Bruta!D245))</f>
        <v>Festival Sonora SP 2025</v>
      </c>
      <c r="E245" s="4" t="str">
        <f aca="false">IF($A245="","",_xlfn.XLOOKUP(LOWER(TRIM(Base_Bruta!E245)),DePara_Categoria!$A$2:$A$9,DePara_Categoria!$B$2:$B$9,"REVISAR"))</f>
        <v>Festival</v>
      </c>
      <c r="F245" s="4" t="str">
        <f aca="false">IF($A245="","",_xlfn.XLOOKUP(LOWER(TRIM(Base_Bruta!F245)),DePara_Cidade!$A$2:$A$29,DePara_Cidade!$B$2:$B$29,"REVISAR"))</f>
        <v>São Paulo</v>
      </c>
      <c r="G245" s="4" t="str">
        <f aca="false">IF($A245="","",TRIM(Base_Bruta!G245))</f>
        <v>Inteira</v>
      </c>
      <c r="H245" s="4" t="n">
        <f aca="false">IF($A245="","",IF(ISNUMBER(Base_Bruta!H245),Base_Bruta!H245,IFERROR(_xlfn.NUMBERVALUE(TRIM(SUBSTITUTE(Base_Bruta!H245,"R$","")),",","."),0)))</f>
        <v>1</v>
      </c>
      <c r="I245" s="6" t="n">
        <f aca="false">IF($A245="","",IF(ISNUMBER(Base_Bruta!I245),Base_Bruta!I245,IFERROR(_xlfn.NUMBERVALUE(TRIM(SUBSTITUTE(Base_Bruta!I245,"R$","")),",","."),0)))</f>
        <v>1070</v>
      </c>
      <c r="J245" s="6" t="n">
        <f aca="false">IF($A245="","",H245*I245)</f>
        <v>1070</v>
      </c>
      <c r="K245" s="4" t="str">
        <f aca="false">IF($A245="","",TRIM(Base_Bruta!J245))</f>
        <v>Bilheteria</v>
      </c>
      <c r="L245" s="4" t="str">
        <f aca="false">IF($A245="","",TRIM(Base_Bruta!K245))</f>
        <v>C02028</v>
      </c>
      <c r="M245" s="4" t="str">
        <f aca="false">IF($A245="","",_xlfn.XLOOKUP(LOWER(TRIM(Base_Bruta!L245)),DePara_Cidade!$A$2:$A$29,DePara_Cidade!$B$2:$B$29,"REVISAR"))</f>
        <v>Lisboa</v>
      </c>
      <c r="N245" s="4" t="str">
        <f aca="false">IF($A245="","",UPPER(TRIM(Base_Bruta!M245)))</f>
        <v>EX</v>
      </c>
      <c r="O245" s="4" t="str">
        <f aca="false">IF($A245="","",_xlfn.XLOOKUP(LOWER(TRIM(Base_Bruta!N245)),DePara_Pais!$A$2:$A$9,DePara_Pais!$B$2:$B$9,"REVISAR"))</f>
        <v>Portugal</v>
      </c>
      <c r="P245" s="4" t="str">
        <f aca="false">IF($A245="","",IF(O245&lt;&gt;"Brasil","Turista Internacional",IF(M245=F245,"Local","Turista Nacional")))</f>
        <v>Turista Internacional</v>
      </c>
      <c r="Q245" s="7" t="n">
        <f aca="false">IF($A245="","",DATE(YEAR(B245),MONTH(B245),1))</f>
        <v>45870</v>
      </c>
      <c r="R245" s="4" t="str">
        <f aca="false">IF($A245="","",IF(COUNTIF($A$2:$A245,$A245)&gt;1,"Sim","Não"))</f>
        <v>Sim</v>
      </c>
      <c r="S245" s="4" t="str">
        <f aca="false">IF(A245="","Descartar - Linha vazia",IF(R245="Sim","Descartar - Duplicado",IF(OR(H245&lt;=0,I245&lt;=0),"Descartar - Qtd/Valor inválido","OK")))</f>
        <v>Descartar - Duplicado</v>
      </c>
      <c r="T245" s="4" t="str">
        <f aca="false">Base_Bruta!P245</f>
        <v>vendas_SP.xlsx</v>
      </c>
    </row>
    <row r="246" customFormat="false" ht="15" hidden="false" customHeight="false" outlineLevel="0" collapsed="false">
      <c r="A246" s="4" t="str">
        <f aca="false">IF(Base_Bruta!A246="","",Base_Bruta!A246)</f>
        <v>SP-000201</v>
      </c>
      <c r="B246" s="5" t="n">
        <f aca="false">IF($A246="","",IF(ISNUMBER(Base_Bruta!B246),Base_Bruta!B246,IF(MID(Base_Bruta!B246,5,1)="-",DATE(VALUE(LEFT(Base_Bruta!B246,4)),VALUE(MID(Base_Bruta!B246,6,2)),VALUE(RIGHT(Base_Bruta!B246,2))),DATE(VALUE(RIGHT(Base_Bruta!B246,4)),VALUE(MID(Base_Bruta!B246,4,2)),VALUE(LEFT(Base_Bruta!B246,2))))))</f>
        <v>45878</v>
      </c>
      <c r="C246" s="5" t="n">
        <f aca="false">IF($A246="","",IF(ISNUMBER(Base_Bruta!C246),Base_Bruta!C246,IF(MID(Base_Bruta!C246,5,1)="-",DATE(VALUE(LEFT(Base_Bruta!C246,4)),VALUE(MID(Base_Bruta!C246,6,2)),VALUE(RIGHT(Base_Bruta!C246,2))),DATE(VALUE(RIGHT(Base_Bruta!C246,4)),VALUE(MID(Base_Bruta!C246,4,2)),VALUE(LEFT(Base_Bruta!C246,2))))))</f>
        <v>45976</v>
      </c>
      <c r="D246" s="4" t="str">
        <f aca="false">IF($A246="","",TRIM(Base_Bruta!D246))</f>
        <v>Festival Sonora SP 2025</v>
      </c>
      <c r="E246" s="4" t="str">
        <f aca="false">IF($A246="","",_xlfn.XLOOKUP(LOWER(TRIM(Base_Bruta!E246)),DePara_Categoria!$A$2:$A$9,DePara_Categoria!$B$2:$B$9,"REVISAR"))</f>
        <v>Festival</v>
      </c>
      <c r="F246" s="4" t="str">
        <f aca="false">IF($A246="","",_xlfn.XLOOKUP(LOWER(TRIM(Base_Bruta!F246)),DePara_Cidade!$A$2:$A$29,DePara_Cidade!$B$2:$B$29,"REVISAR"))</f>
        <v>São Paulo</v>
      </c>
      <c r="G246" s="4" t="str">
        <f aca="false">IF($A246="","",TRIM(Base_Bruta!G246))</f>
        <v>Inteira</v>
      </c>
      <c r="H246" s="4" t="n">
        <f aca="false">IF($A246="","",IF(ISNUMBER(Base_Bruta!H246),Base_Bruta!H246,IFERROR(_xlfn.NUMBERVALUE(TRIM(SUBSTITUTE(Base_Bruta!H246,"R$","")),",","."),0)))</f>
        <v>4</v>
      </c>
      <c r="I246" s="6" t="n">
        <f aca="false">IF($A246="","",IF(ISNUMBER(Base_Bruta!I246),Base_Bruta!I246,IFERROR(_xlfn.NUMBERVALUE(TRIM(SUBSTITUTE(Base_Bruta!I246,"R$","")),",","."),0)))</f>
        <v>985</v>
      </c>
      <c r="J246" s="6" t="n">
        <f aca="false">IF($A246="","",H246*I246)</f>
        <v>3940</v>
      </c>
      <c r="K246" s="4" t="str">
        <f aca="false">IF($A246="","",TRIM(Base_Bruta!J246))</f>
        <v>Parceiro</v>
      </c>
      <c r="L246" s="4" t="str">
        <f aca="false">IF($A246="","",TRIM(Base_Bruta!K246))</f>
        <v>C00450</v>
      </c>
      <c r="M246" s="4" t="str">
        <f aca="false">IF($A246="","",_xlfn.XLOOKUP(LOWER(TRIM(Base_Bruta!L246)),DePara_Cidade!$A$2:$A$29,DePara_Cidade!$B$2:$B$29,"REVISAR"))</f>
        <v>Vitória</v>
      </c>
      <c r="N246" s="4" t="str">
        <f aca="false">IF($A246="","",UPPER(TRIM(Base_Bruta!M246)))</f>
        <v>ES</v>
      </c>
      <c r="O246" s="4" t="str">
        <f aca="false">IF($A246="","",_xlfn.XLOOKUP(LOWER(TRIM(Base_Bruta!N246)),DePara_Pais!$A$2:$A$9,DePara_Pais!$B$2:$B$9,"REVISAR"))</f>
        <v>Brasil</v>
      </c>
      <c r="P246" s="4" t="str">
        <f aca="false">IF($A246="","",IF(O246&lt;&gt;"Brasil","Turista Internacional",IF(M246=F246,"Local","Turista Nacional")))</f>
        <v>Turista Nacional</v>
      </c>
      <c r="Q246" s="7" t="n">
        <f aca="false">IF($A246="","",DATE(YEAR(B246),MONTH(B246),1))</f>
        <v>45870</v>
      </c>
      <c r="R246" s="4" t="str">
        <f aca="false">IF($A246="","",IF(COUNTIF($A$2:$A246,$A246)&gt;1,"Sim","Não"))</f>
        <v>Não</v>
      </c>
      <c r="S246" s="4" t="str">
        <f aca="false">IF(A246="","Descartar - Linha vazia",IF(R246="Sim","Descartar - Duplicado",IF(OR(H246&lt;=0,I246&lt;=0),"Descartar - Qtd/Valor inválido","OK")))</f>
        <v>OK</v>
      </c>
      <c r="T246" s="4" t="str">
        <f aca="false">Base_Bruta!P246</f>
        <v>vendas_SP.xlsx</v>
      </c>
    </row>
    <row r="247" customFormat="false" ht="15" hidden="false" customHeight="false" outlineLevel="0" collapsed="false">
      <c r="A247" s="4" t="str">
        <f aca="false">IF(Base_Bruta!A247="","",Base_Bruta!A247)</f>
        <v>SP-000681</v>
      </c>
      <c r="B247" s="5" t="n">
        <f aca="false">IF($A247="","",IF(ISNUMBER(Base_Bruta!B247),Base_Bruta!B247,IF(MID(Base_Bruta!B247,5,1)="-",DATE(VALUE(LEFT(Base_Bruta!B247,4)),VALUE(MID(Base_Bruta!B247,6,2)),VALUE(RIGHT(Base_Bruta!B247,2))),DATE(VALUE(RIGHT(Base_Bruta!B247,4)),VALUE(MID(Base_Bruta!B247,4,2)),VALUE(LEFT(Base_Bruta!B247,2))))))</f>
        <v>45878</v>
      </c>
      <c r="C247" s="5" t="n">
        <f aca="false">IF($A247="","",IF(ISNUMBER(Base_Bruta!C247),Base_Bruta!C247,IF(MID(Base_Bruta!C247,5,1)="-",DATE(VALUE(LEFT(Base_Bruta!C247,4)),VALUE(MID(Base_Bruta!C247,6,2)),VALUE(RIGHT(Base_Bruta!C247,2))),DATE(VALUE(RIGHT(Base_Bruta!C247,4)),VALUE(MID(Base_Bruta!C247,4,2)),VALUE(LEFT(Base_Bruta!C247,2))))))</f>
        <v>45881</v>
      </c>
      <c r="D247" s="4" t="str">
        <f aca="false">IF($A247="","",TRIM(Base_Bruta!D247))</f>
        <v>Cinema Paulista - Sessões</v>
      </c>
      <c r="E247" s="4" t="str">
        <f aca="false">IF($A247="","",_xlfn.XLOOKUP(LOWER(TRIM(Base_Bruta!E247)),DePara_Categoria!$A$2:$A$9,DePara_Categoria!$B$2:$B$9,"REVISAR"))</f>
        <v>Cinema</v>
      </c>
      <c r="F247" s="4" t="str">
        <f aca="false">IF($A247="","",_xlfn.XLOOKUP(LOWER(TRIM(Base_Bruta!F247)),DePara_Cidade!$A$2:$A$29,DePara_Cidade!$B$2:$B$29,"REVISAR"))</f>
        <v>São Paulo</v>
      </c>
      <c r="G247" s="4" t="str">
        <f aca="false">IF($A247="","",TRIM(Base_Bruta!G247))</f>
        <v>Inteira</v>
      </c>
      <c r="H247" s="4" t="n">
        <f aca="false">IF($A247="","",IF(ISNUMBER(Base_Bruta!H247),Base_Bruta!H247,IFERROR(_xlfn.NUMBERVALUE(TRIM(SUBSTITUTE(Base_Bruta!H247,"R$","")),",","."),0)))</f>
        <v>2</v>
      </c>
      <c r="I247" s="6" t="n">
        <f aca="false">IF($A247="","",IF(ISNUMBER(Base_Bruta!I247),Base_Bruta!I247,IFERROR(_xlfn.NUMBERVALUE(TRIM(SUBSTITUTE(Base_Bruta!I247,"R$","")),",","."),0)))</f>
        <v>50</v>
      </c>
      <c r="J247" s="6" t="n">
        <f aca="false">IF($A247="","",H247*I247)</f>
        <v>100</v>
      </c>
      <c r="K247" s="4" t="str">
        <f aca="false">IF($A247="","",TRIM(Base_Bruta!J247))</f>
        <v>Site</v>
      </c>
      <c r="L247" s="4" t="str">
        <f aca="false">IF($A247="","",TRIM(Base_Bruta!K247))</f>
        <v>C00840</v>
      </c>
      <c r="M247" s="4" t="str">
        <f aca="false">IF($A247="","",_xlfn.XLOOKUP(LOWER(TRIM(Base_Bruta!L247)),DePara_Cidade!$A$2:$A$29,DePara_Cidade!$B$2:$B$29,"REVISAR"))</f>
        <v>São Paulo</v>
      </c>
      <c r="N247" s="4" t="str">
        <f aca="false">IF($A247="","",UPPER(TRIM(Base_Bruta!M247)))</f>
        <v>SP</v>
      </c>
      <c r="O247" s="4" t="str">
        <f aca="false">IF($A247="","",_xlfn.XLOOKUP(LOWER(TRIM(Base_Bruta!N247)),DePara_Pais!$A$2:$A$9,DePara_Pais!$B$2:$B$9,"REVISAR"))</f>
        <v>Brasil</v>
      </c>
      <c r="P247" s="4" t="str">
        <f aca="false">IF($A247="","",IF(O247&lt;&gt;"Brasil","Turista Internacional",IF(M247=F247,"Local","Turista Nacional")))</f>
        <v>Local</v>
      </c>
      <c r="Q247" s="7" t="n">
        <f aca="false">IF($A247="","",DATE(YEAR(B247),MONTH(B247),1))</f>
        <v>45870</v>
      </c>
      <c r="R247" s="4" t="str">
        <f aca="false">IF($A247="","",IF(COUNTIF($A$2:$A247,$A247)&gt;1,"Sim","Não"))</f>
        <v>Não</v>
      </c>
      <c r="S247" s="4" t="str">
        <f aca="false">IF(A247="","Descartar - Linha vazia",IF(R247="Sim","Descartar - Duplicado",IF(OR(H247&lt;=0,I247&lt;=0),"Descartar - Qtd/Valor inválido","OK")))</f>
        <v>OK</v>
      </c>
      <c r="T247" s="4" t="str">
        <f aca="false">Base_Bruta!P247</f>
        <v>vendas_SP.xlsx</v>
      </c>
    </row>
    <row r="248" customFormat="false" ht="15" hidden="false" customHeight="false" outlineLevel="0" collapsed="false">
      <c r="A248" s="4" t="str">
        <f aca="false">IF(Base_Bruta!A248="","",Base_Bruta!A248)</f>
        <v>SP-000475</v>
      </c>
      <c r="B248" s="5" t="n">
        <f aca="false">IF($A248="","",IF(ISNUMBER(Base_Bruta!B248),Base_Bruta!B248,IF(MID(Base_Bruta!B248,5,1)="-",DATE(VALUE(LEFT(Base_Bruta!B248,4)),VALUE(MID(Base_Bruta!B248,6,2)),VALUE(RIGHT(Base_Bruta!B248,2))),DATE(VALUE(RIGHT(Base_Bruta!B248,4)),VALUE(MID(Base_Bruta!B248,4,2)),VALUE(LEFT(Base_Bruta!B248,2))))))</f>
        <v>45879</v>
      </c>
      <c r="C248" s="5" t="n">
        <f aca="false">IF($A248="","",IF(ISNUMBER(Base_Bruta!C248),Base_Bruta!C248,IF(MID(Base_Bruta!C248,5,1)="-",DATE(VALUE(LEFT(Base_Bruta!C248,4)),VALUE(MID(Base_Bruta!C248,6,2)),VALUE(RIGHT(Base_Bruta!C248,2))),DATE(VALUE(RIGHT(Base_Bruta!C248,4)),VALUE(MID(Base_Bruta!C248,4,2)),VALUE(LEFT(Base_Bruta!C248,2))))))</f>
        <v>45934</v>
      </c>
      <c r="D248" s="4" t="str">
        <f aca="false">IF($A248="","",TRIM(Base_Bruta!D248))</f>
        <v>Turnê Internacional Pop - SP</v>
      </c>
      <c r="E248" s="4" t="str">
        <f aca="false">IF($A248="","",_xlfn.XLOOKUP(LOWER(TRIM(Base_Bruta!E248)),DePara_Categoria!$A$2:$A$9,DePara_Categoria!$B$2:$B$9,"REVISAR"))</f>
        <v>Show</v>
      </c>
      <c r="F248" s="4" t="str">
        <f aca="false">IF($A248="","",_xlfn.XLOOKUP(LOWER(TRIM(Base_Bruta!F248)),DePara_Cidade!$A$2:$A$29,DePara_Cidade!$B$2:$B$29,"REVISAR"))</f>
        <v>São Paulo</v>
      </c>
      <c r="G248" s="4" t="str">
        <f aca="false">IF($A248="","",TRIM(Base_Bruta!G248))</f>
        <v>Inteira</v>
      </c>
      <c r="H248" s="4" t="n">
        <f aca="false">IF($A248="","",IF(ISNUMBER(Base_Bruta!H248),Base_Bruta!H248,IFERROR(_xlfn.NUMBERVALUE(TRIM(SUBSTITUTE(Base_Bruta!H248,"R$","")),",","."),0)))</f>
        <v>1</v>
      </c>
      <c r="I248" s="6" t="n">
        <f aca="false">IF($A248="","",IF(ISNUMBER(Base_Bruta!I248),Base_Bruta!I248,IFERROR(_xlfn.NUMBERVALUE(TRIM(SUBSTITUTE(Base_Bruta!I248,"R$","")),",","."),0)))</f>
        <v>510</v>
      </c>
      <c r="J248" s="6" t="n">
        <f aca="false">IF($A248="","",H248*I248)</f>
        <v>510</v>
      </c>
      <c r="K248" s="4" t="str">
        <f aca="false">IF($A248="","",TRIM(Base_Bruta!J248))</f>
        <v>App</v>
      </c>
      <c r="L248" s="4" t="str">
        <f aca="false">IF($A248="","",TRIM(Base_Bruta!K248))</f>
        <v>C02204</v>
      </c>
      <c r="M248" s="4" t="str">
        <f aca="false">IF($A248="","",_xlfn.XLOOKUP(LOWER(TRIM(Base_Bruta!L248)),DePara_Cidade!$A$2:$A$29,DePara_Cidade!$B$2:$B$29,"REVISAR"))</f>
        <v>São Paulo</v>
      </c>
      <c r="N248" s="4" t="str">
        <f aca="false">IF($A248="","",UPPER(TRIM(Base_Bruta!M248)))</f>
        <v>SP</v>
      </c>
      <c r="O248" s="4" t="str">
        <f aca="false">IF($A248="","",_xlfn.XLOOKUP(LOWER(TRIM(Base_Bruta!N248)),DePara_Pais!$A$2:$A$9,DePara_Pais!$B$2:$B$9,"REVISAR"))</f>
        <v>Brasil</v>
      </c>
      <c r="P248" s="4" t="str">
        <f aca="false">IF($A248="","",IF(O248&lt;&gt;"Brasil","Turista Internacional",IF(M248=F248,"Local","Turista Nacional")))</f>
        <v>Local</v>
      </c>
      <c r="Q248" s="7" t="n">
        <f aca="false">IF($A248="","",DATE(YEAR(B248),MONTH(B248),1))</f>
        <v>45870</v>
      </c>
      <c r="R248" s="4" t="str">
        <f aca="false">IF($A248="","",IF(COUNTIF($A$2:$A248,$A248)&gt;1,"Sim","Não"))</f>
        <v>Não</v>
      </c>
      <c r="S248" s="4" t="str">
        <f aca="false">IF(A248="","Descartar - Linha vazia",IF(R248="Sim","Descartar - Duplicado",IF(OR(H248&lt;=0,I248&lt;=0),"Descartar - Qtd/Valor inválido","OK")))</f>
        <v>OK</v>
      </c>
      <c r="T248" s="4" t="str">
        <f aca="false">Base_Bruta!P248</f>
        <v>vendas_SP.xlsx</v>
      </c>
    </row>
    <row r="249" customFormat="false" ht="15" hidden="false" customHeight="false" outlineLevel="0" collapsed="false">
      <c r="A249" s="4" t="str">
        <f aca="false">IF(Base_Bruta!A249="","",Base_Bruta!A249)</f>
        <v>SP-000588</v>
      </c>
      <c r="B249" s="5" t="n">
        <f aca="false">IF($A249="","",IF(ISNUMBER(Base_Bruta!B249),Base_Bruta!B249,IF(MID(Base_Bruta!B249,5,1)="-",DATE(VALUE(LEFT(Base_Bruta!B249,4)),VALUE(MID(Base_Bruta!B249,6,2)),VALUE(RIGHT(Base_Bruta!B249,2))),DATE(VALUE(RIGHT(Base_Bruta!B249,4)),VALUE(MID(Base_Bruta!B249,4,2)),VALUE(LEFT(Base_Bruta!B249,2))))))</f>
        <v>45879</v>
      </c>
      <c r="C249" s="5" t="n">
        <f aca="false">IF($A249="","",IF(ISNUMBER(Base_Bruta!C249),Base_Bruta!C249,IF(MID(Base_Bruta!C249,5,1)="-",DATE(VALUE(LEFT(Base_Bruta!C249,4)),VALUE(MID(Base_Bruta!C249,6,2)),VALUE(RIGHT(Base_Bruta!C249,2))),DATE(VALUE(RIGHT(Base_Bruta!C249,4)),VALUE(MID(Base_Bruta!C249,4,2)),VALUE(LEFT(Base_Bruta!C249,2))))))</f>
        <v>45934</v>
      </c>
      <c r="D249" s="4" t="str">
        <f aca="false">IF($A249="","",TRIM(Base_Bruta!D249))</f>
        <v>Turnê Internacional Pop - SP</v>
      </c>
      <c r="E249" s="4" t="str">
        <f aca="false">IF($A249="","",_xlfn.XLOOKUP(LOWER(TRIM(Base_Bruta!E249)),DePara_Categoria!$A$2:$A$9,DePara_Categoria!$B$2:$B$9,"REVISAR"))</f>
        <v>Show</v>
      </c>
      <c r="F249" s="4" t="str">
        <f aca="false">IF($A249="","",_xlfn.XLOOKUP(LOWER(TRIM(Base_Bruta!F249)),DePara_Cidade!$A$2:$A$29,DePara_Cidade!$B$2:$B$29,"REVISAR"))</f>
        <v>São Paulo</v>
      </c>
      <c r="G249" s="4" t="str">
        <f aca="false">IF($A249="","",TRIM(Base_Bruta!G249))</f>
        <v>Meia</v>
      </c>
      <c r="H249" s="4" t="n">
        <f aca="false">IF($A249="","",IF(ISNUMBER(Base_Bruta!H249),Base_Bruta!H249,IFERROR(_xlfn.NUMBERVALUE(TRIM(SUBSTITUTE(Base_Bruta!H249,"R$","")),",","."),0)))</f>
        <v>1</v>
      </c>
      <c r="I249" s="6" t="n">
        <f aca="false">IF($A249="","",IF(ISNUMBER(Base_Bruta!I249),Base_Bruta!I249,IFERROR(_xlfn.NUMBERVALUE(TRIM(SUBSTITUTE(Base_Bruta!I249,"R$","")),",","."),0)))</f>
        <v>305</v>
      </c>
      <c r="J249" s="6" t="n">
        <f aca="false">IF($A249="","",H249*I249)</f>
        <v>305</v>
      </c>
      <c r="K249" s="4" t="str">
        <f aca="false">IF($A249="","",TRIM(Base_Bruta!J249))</f>
        <v>Parceiro</v>
      </c>
      <c r="L249" s="4" t="str">
        <f aca="false">IF($A249="","",TRIM(Base_Bruta!K249))</f>
        <v>C01824</v>
      </c>
      <c r="M249" s="4" t="str">
        <f aca="false">IF($A249="","",_xlfn.XLOOKUP(LOWER(TRIM(Base_Bruta!L249)),DePara_Cidade!$A$2:$A$29,DePara_Cidade!$B$2:$B$29,"REVISAR"))</f>
        <v>Santos</v>
      </c>
      <c r="N249" s="4" t="str">
        <f aca="false">IF($A249="","",UPPER(TRIM(Base_Bruta!M249)))</f>
        <v>SP</v>
      </c>
      <c r="O249" s="4" t="str">
        <f aca="false">IF($A249="","",_xlfn.XLOOKUP(LOWER(TRIM(Base_Bruta!N249)),DePara_Pais!$A$2:$A$9,DePara_Pais!$B$2:$B$9,"REVISAR"))</f>
        <v>Brasil</v>
      </c>
      <c r="P249" s="4" t="str">
        <f aca="false">IF($A249="","",IF(O249&lt;&gt;"Brasil","Turista Internacional",IF(M249=F249,"Local","Turista Nacional")))</f>
        <v>Turista Nacional</v>
      </c>
      <c r="Q249" s="7" t="n">
        <f aca="false">IF($A249="","",DATE(YEAR(B249),MONTH(B249),1))</f>
        <v>45870</v>
      </c>
      <c r="R249" s="4" t="str">
        <f aca="false">IF($A249="","",IF(COUNTIF($A$2:$A249,$A249)&gt;1,"Sim","Não"))</f>
        <v>Não</v>
      </c>
      <c r="S249" s="4" t="str">
        <f aca="false">IF(A249="","Descartar - Linha vazia",IF(R249="Sim","Descartar - Duplicado",IF(OR(H249&lt;=0,I249&lt;=0),"Descartar - Qtd/Valor inválido","OK")))</f>
        <v>OK</v>
      </c>
      <c r="T249" s="4" t="str">
        <f aca="false">Base_Bruta!P249</f>
        <v>vendas_SP.xlsx</v>
      </c>
    </row>
    <row r="250" customFormat="false" ht="15" hidden="false" customHeight="false" outlineLevel="0" collapsed="false">
      <c r="A250" s="4" t="str">
        <f aca="false">IF(Base_Bruta!A250="","",Base_Bruta!A250)</f>
        <v>SP-000143</v>
      </c>
      <c r="B250" s="5" t="n">
        <f aca="false">IF($A250="","",IF(ISNUMBER(Base_Bruta!B250),Base_Bruta!B250,IF(MID(Base_Bruta!B250,5,1)="-",DATE(VALUE(LEFT(Base_Bruta!B250,4)),VALUE(MID(Base_Bruta!B250,6,2)),VALUE(RIGHT(Base_Bruta!B250,2))),DATE(VALUE(RIGHT(Base_Bruta!B250,4)),VALUE(MID(Base_Bruta!B250,4,2)),VALUE(LEFT(Base_Bruta!B250,2))))))</f>
        <v>45880</v>
      </c>
      <c r="C250" s="5" t="n">
        <f aca="false">IF($A250="","",IF(ISNUMBER(Base_Bruta!C250),Base_Bruta!C250,IF(MID(Base_Bruta!C250,5,1)="-",DATE(VALUE(LEFT(Base_Bruta!C250,4)),VALUE(MID(Base_Bruta!C250,6,2)),VALUE(RIGHT(Base_Bruta!C250,2))),DATE(VALUE(RIGHT(Base_Bruta!C250,4)),VALUE(MID(Base_Bruta!C250,4,2)),VALUE(LEFT(Base_Bruta!C250,2))))))</f>
        <v>45976</v>
      </c>
      <c r="D250" s="4" t="str">
        <f aca="false">IF($A250="","",TRIM(Base_Bruta!D250))</f>
        <v>Festival Sonora SP 2025</v>
      </c>
      <c r="E250" s="4" t="str">
        <f aca="false">IF($A250="","",_xlfn.XLOOKUP(LOWER(TRIM(Base_Bruta!E250)),DePara_Categoria!$A$2:$A$9,DePara_Categoria!$B$2:$B$9,"REVISAR"))</f>
        <v>Festival</v>
      </c>
      <c r="F250" s="4" t="str">
        <f aca="false">IF($A250="","",_xlfn.XLOOKUP(LOWER(TRIM(Base_Bruta!F250)),DePara_Cidade!$A$2:$A$29,DePara_Cidade!$B$2:$B$29,"REVISAR"))</f>
        <v>São Paulo</v>
      </c>
      <c r="G250" s="4" t="str">
        <f aca="false">IF($A250="","",TRIM(Base_Bruta!G250))</f>
        <v>Meia</v>
      </c>
      <c r="H250" s="4" t="n">
        <f aca="false">IF($A250="","",IF(ISNUMBER(Base_Bruta!H250),Base_Bruta!H250,IFERROR(_xlfn.NUMBERVALUE(TRIM(SUBSTITUTE(Base_Bruta!H250,"R$","")),",","."),0)))</f>
        <v>3</v>
      </c>
      <c r="I250" s="6" t="n">
        <f aca="false">IF($A250="","",IF(ISNUMBER(Base_Bruta!I250),Base_Bruta!I250,IFERROR(_xlfn.NUMBERVALUE(TRIM(SUBSTITUTE(Base_Bruta!I250,"R$","")),",","."),0)))</f>
        <v>497.5</v>
      </c>
      <c r="J250" s="6" t="n">
        <f aca="false">IF($A250="","",H250*I250)</f>
        <v>1492.5</v>
      </c>
      <c r="K250" s="4" t="str">
        <f aca="false">IF($A250="","",TRIM(Base_Bruta!J250))</f>
        <v>Site</v>
      </c>
      <c r="L250" s="4" t="str">
        <f aca="false">IF($A250="","",TRIM(Base_Bruta!K250))</f>
        <v>C02302</v>
      </c>
      <c r="M250" s="4" t="str">
        <f aca="false">IF($A250="","",_xlfn.XLOOKUP(LOWER(TRIM(Base_Bruta!L250)),DePara_Cidade!$A$2:$A$29,DePara_Cidade!$B$2:$B$29,"REVISAR"))</f>
        <v>Campinas</v>
      </c>
      <c r="N250" s="4" t="str">
        <f aca="false">IF($A250="","",UPPER(TRIM(Base_Bruta!M250)))</f>
        <v>SP</v>
      </c>
      <c r="O250" s="4" t="str">
        <f aca="false">IF($A250="","",_xlfn.XLOOKUP(LOWER(TRIM(Base_Bruta!N250)),DePara_Pais!$A$2:$A$9,DePara_Pais!$B$2:$B$9,"REVISAR"))</f>
        <v>Brasil</v>
      </c>
      <c r="P250" s="4" t="str">
        <f aca="false">IF($A250="","",IF(O250&lt;&gt;"Brasil","Turista Internacional",IF(M250=F250,"Local","Turista Nacional")))</f>
        <v>Turista Nacional</v>
      </c>
      <c r="Q250" s="7" t="n">
        <f aca="false">IF($A250="","",DATE(YEAR(B250),MONTH(B250),1))</f>
        <v>45870</v>
      </c>
      <c r="R250" s="4" t="str">
        <f aca="false">IF($A250="","",IF(COUNTIF($A$2:$A250,$A250)&gt;1,"Sim","Não"))</f>
        <v>Não</v>
      </c>
      <c r="S250" s="4" t="str">
        <f aca="false">IF(A250="","Descartar - Linha vazia",IF(R250="Sim","Descartar - Duplicado",IF(OR(H250&lt;=0,I250&lt;=0),"Descartar - Qtd/Valor inválido","OK")))</f>
        <v>OK</v>
      </c>
      <c r="T250" s="4" t="str">
        <f aca="false">Base_Bruta!P250</f>
        <v>vendas_SP.xlsx</v>
      </c>
    </row>
    <row r="251" customFormat="false" ht="15" hidden="false" customHeight="false" outlineLevel="0" collapsed="false">
      <c r="A251" s="4" t="str">
        <f aca="false">IF(Base_Bruta!A251="","",Base_Bruta!A251)</f>
        <v>SP-000156</v>
      </c>
      <c r="B251" s="5" t="n">
        <f aca="false">IF($A251="","",IF(ISNUMBER(Base_Bruta!B251),Base_Bruta!B251,IF(MID(Base_Bruta!B251,5,1)="-",DATE(VALUE(LEFT(Base_Bruta!B251,4)),VALUE(MID(Base_Bruta!B251,6,2)),VALUE(RIGHT(Base_Bruta!B251,2))),DATE(VALUE(RIGHT(Base_Bruta!B251,4)),VALUE(MID(Base_Bruta!B251,4,2)),VALUE(LEFT(Base_Bruta!B251,2))))))</f>
        <v>45881</v>
      </c>
      <c r="C251" s="5" t="n">
        <f aca="false">IF($A251="","",IF(ISNUMBER(Base_Bruta!C251),Base_Bruta!C251,IF(MID(Base_Bruta!C251,5,1)="-",DATE(VALUE(LEFT(Base_Bruta!C251,4)),VALUE(MID(Base_Bruta!C251,6,2)),VALUE(RIGHT(Base_Bruta!C251,2))),DATE(VALUE(RIGHT(Base_Bruta!C251,4)),VALUE(MID(Base_Bruta!C251,4,2)),VALUE(LEFT(Base_Bruta!C251,2))))))</f>
        <v>45976</v>
      </c>
      <c r="D251" s="4" t="str">
        <f aca="false">IF($A251="","",TRIM(Base_Bruta!D251))</f>
        <v>Festival Sonora SP 2025</v>
      </c>
      <c r="E251" s="4" t="str">
        <f aca="false">IF($A251="","",_xlfn.XLOOKUP(LOWER(TRIM(Base_Bruta!E251)),DePara_Categoria!$A$2:$A$9,DePara_Categoria!$B$2:$B$9,"REVISAR"))</f>
        <v>Festival</v>
      </c>
      <c r="F251" s="4" t="str">
        <f aca="false">IF($A251="","",_xlfn.XLOOKUP(LOWER(TRIM(Base_Bruta!F251)),DePara_Cidade!$A$2:$A$29,DePara_Cidade!$B$2:$B$29,"REVISAR"))</f>
        <v>São Paulo</v>
      </c>
      <c r="G251" s="4" t="str">
        <f aca="false">IF($A251="","",TRIM(Base_Bruta!G251))</f>
        <v>Meia</v>
      </c>
      <c r="H251" s="4" t="n">
        <f aca="false">IF($A251="","",IF(ISNUMBER(Base_Bruta!H251),Base_Bruta!H251,IFERROR(_xlfn.NUMBERVALUE(TRIM(SUBSTITUTE(Base_Bruta!H251,"R$","")),",","."),0)))</f>
        <v>2</v>
      </c>
      <c r="I251" s="6" t="n">
        <f aca="false">IF($A251="","",IF(ISNUMBER(Base_Bruta!I251),Base_Bruta!I251,IFERROR(_xlfn.NUMBERVALUE(TRIM(SUBSTITUTE(Base_Bruta!I251,"R$","")),",","."),0)))</f>
        <v>547.5</v>
      </c>
      <c r="J251" s="6" t="n">
        <f aca="false">IF($A251="","",H251*I251)</f>
        <v>1095</v>
      </c>
      <c r="K251" s="4" t="str">
        <f aca="false">IF($A251="","",TRIM(Base_Bruta!J251))</f>
        <v>Site</v>
      </c>
      <c r="L251" s="4" t="str">
        <f aca="false">IF($A251="","",TRIM(Base_Bruta!K251))</f>
        <v>C00794</v>
      </c>
      <c r="M251" s="4" t="str">
        <f aca="false">IF($A251="","",_xlfn.XLOOKUP(LOWER(TRIM(Base_Bruta!L251)),DePara_Cidade!$A$2:$A$29,DePara_Cidade!$B$2:$B$29,"REVISAR"))</f>
        <v>São Paulo</v>
      </c>
      <c r="N251" s="4" t="str">
        <f aca="false">IF($A251="","",UPPER(TRIM(Base_Bruta!M251)))</f>
        <v>SP</v>
      </c>
      <c r="O251" s="4" t="str">
        <f aca="false">IF($A251="","",_xlfn.XLOOKUP(LOWER(TRIM(Base_Bruta!N251)),DePara_Pais!$A$2:$A$9,DePara_Pais!$B$2:$B$9,"REVISAR"))</f>
        <v>Brasil</v>
      </c>
      <c r="P251" s="4" t="str">
        <f aca="false">IF($A251="","",IF(O251&lt;&gt;"Brasil","Turista Internacional",IF(M251=F251,"Local","Turista Nacional")))</f>
        <v>Local</v>
      </c>
      <c r="Q251" s="7" t="n">
        <f aca="false">IF($A251="","",DATE(YEAR(B251),MONTH(B251),1))</f>
        <v>45870</v>
      </c>
      <c r="R251" s="4" t="str">
        <f aca="false">IF($A251="","",IF(COUNTIF($A$2:$A251,$A251)&gt;1,"Sim","Não"))</f>
        <v>Não</v>
      </c>
      <c r="S251" s="4" t="str">
        <f aca="false">IF(A251="","Descartar - Linha vazia",IF(R251="Sim","Descartar - Duplicado",IF(OR(H251&lt;=0,I251&lt;=0),"Descartar - Qtd/Valor inválido","OK")))</f>
        <v>OK</v>
      </c>
      <c r="T251" s="4" t="str">
        <f aca="false">Base_Bruta!P251</f>
        <v>vendas_SP.xlsx</v>
      </c>
    </row>
    <row r="252" customFormat="false" ht="15" hidden="false" customHeight="false" outlineLevel="0" collapsed="false">
      <c r="A252" s="4" t="str">
        <f aca="false">IF(Base_Bruta!A252="","",Base_Bruta!A252)</f>
        <v>SP-000163</v>
      </c>
      <c r="B252" s="5" t="n">
        <f aca="false">IF($A252="","",IF(ISNUMBER(Base_Bruta!B252),Base_Bruta!B252,IF(MID(Base_Bruta!B252,5,1)="-",DATE(VALUE(LEFT(Base_Bruta!B252,4)),VALUE(MID(Base_Bruta!B252,6,2)),VALUE(RIGHT(Base_Bruta!B252,2))),DATE(VALUE(RIGHT(Base_Bruta!B252,4)),VALUE(MID(Base_Bruta!B252,4,2)),VALUE(LEFT(Base_Bruta!B252,2))))))</f>
        <v>45881</v>
      </c>
      <c r="C252" s="5" t="n">
        <f aca="false">IF($A252="","",IF(ISNUMBER(Base_Bruta!C252),Base_Bruta!C252,IF(MID(Base_Bruta!C252,5,1)="-",DATE(VALUE(LEFT(Base_Bruta!C252,4)),VALUE(MID(Base_Bruta!C252,6,2)),VALUE(RIGHT(Base_Bruta!C252,2))),DATE(VALUE(RIGHT(Base_Bruta!C252,4)),VALUE(MID(Base_Bruta!C252,4,2)),VALUE(LEFT(Base_Bruta!C252,2))))))</f>
        <v>45976</v>
      </c>
      <c r="D252" s="4" t="str">
        <f aca="false">IF($A252="","",TRIM(Base_Bruta!D252))</f>
        <v>Festival Sonora SP 2025</v>
      </c>
      <c r="E252" s="4" t="str">
        <f aca="false">IF($A252="","",_xlfn.XLOOKUP(LOWER(TRIM(Base_Bruta!E252)),DePara_Categoria!$A$2:$A$9,DePara_Categoria!$B$2:$B$9,"REVISAR"))</f>
        <v>Festival</v>
      </c>
      <c r="F252" s="4" t="str">
        <f aca="false">IF($A252="","",_xlfn.XLOOKUP(LOWER(TRIM(Base_Bruta!F252)),DePara_Cidade!$A$2:$A$29,DePara_Cidade!$B$2:$B$29,"REVISAR"))</f>
        <v>São Paulo</v>
      </c>
      <c r="G252" s="4" t="str">
        <f aca="false">IF($A252="","",TRIM(Base_Bruta!G252))</f>
        <v>Inteira</v>
      </c>
      <c r="H252" s="4" t="n">
        <f aca="false">IF($A252="","",IF(ISNUMBER(Base_Bruta!H252),Base_Bruta!H252,IFERROR(_xlfn.NUMBERVALUE(TRIM(SUBSTITUTE(Base_Bruta!H252,"R$","")),",","."),0)))</f>
        <v>3</v>
      </c>
      <c r="I252" s="6" t="n">
        <f aca="false">IF($A252="","",IF(ISNUMBER(Base_Bruta!I252),Base_Bruta!I252,IFERROR(_xlfn.NUMBERVALUE(TRIM(SUBSTITUTE(Base_Bruta!I252,"R$","")),",","."),0)))</f>
        <v>790</v>
      </c>
      <c r="J252" s="6" t="n">
        <f aca="false">IF($A252="","",H252*I252)</f>
        <v>2370</v>
      </c>
      <c r="K252" s="4" t="str">
        <f aca="false">IF($A252="","",TRIM(Base_Bruta!J252))</f>
        <v>Site</v>
      </c>
      <c r="L252" s="4" t="str">
        <f aca="false">IF($A252="","",TRIM(Base_Bruta!K252))</f>
        <v>C01849</v>
      </c>
      <c r="M252" s="4" t="str">
        <f aca="false">IF($A252="","",_xlfn.XLOOKUP(LOWER(TRIM(Base_Bruta!L252)),DePara_Cidade!$A$2:$A$29,DePara_Cidade!$B$2:$B$29,"REVISAR"))</f>
        <v>Porto Alegre</v>
      </c>
      <c r="N252" s="4" t="str">
        <f aca="false">IF($A252="","",UPPER(TRIM(Base_Bruta!M252)))</f>
        <v>RS</v>
      </c>
      <c r="O252" s="4" t="str">
        <f aca="false">IF($A252="","",_xlfn.XLOOKUP(LOWER(TRIM(Base_Bruta!N252)),DePara_Pais!$A$2:$A$9,DePara_Pais!$B$2:$B$9,"REVISAR"))</f>
        <v>Brasil</v>
      </c>
      <c r="P252" s="4" t="str">
        <f aca="false">IF($A252="","",IF(O252&lt;&gt;"Brasil","Turista Internacional",IF(M252=F252,"Local","Turista Nacional")))</f>
        <v>Turista Nacional</v>
      </c>
      <c r="Q252" s="7" t="n">
        <f aca="false">IF($A252="","",DATE(YEAR(B252),MONTH(B252),1))</f>
        <v>45870</v>
      </c>
      <c r="R252" s="4" t="str">
        <f aca="false">IF($A252="","",IF(COUNTIF($A$2:$A252,$A252)&gt;1,"Sim","Não"))</f>
        <v>Não</v>
      </c>
      <c r="S252" s="4" t="str">
        <f aca="false">IF(A252="","Descartar - Linha vazia",IF(R252="Sim","Descartar - Duplicado",IF(OR(H252&lt;=0,I252&lt;=0),"Descartar - Qtd/Valor inválido","OK")))</f>
        <v>OK</v>
      </c>
      <c r="T252" s="4" t="str">
        <f aca="false">Base_Bruta!P252</f>
        <v>vendas_SP.xlsx</v>
      </c>
    </row>
    <row r="253" customFormat="false" ht="15" hidden="false" customHeight="false" outlineLevel="0" collapsed="false">
      <c r="A253" s="4" t="str">
        <f aca="false">IF(Base_Bruta!A253="","",Base_Bruta!A253)</f>
        <v>SP-000198</v>
      </c>
      <c r="B253" s="5" t="n">
        <f aca="false">IF($A253="","",IF(ISNUMBER(Base_Bruta!B253),Base_Bruta!B253,IF(MID(Base_Bruta!B253,5,1)="-",DATE(VALUE(LEFT(Base_Bruta!B253,4)),VALUE(MID(Base_Bruta!B253,6,2)),VALUE(RIGHT(Base_Bruta!B253,2))),DATE(VALUE(RIGHT(Base_Bruta!B253,4)),VALUE(MID(Base_Bruta!B253,4,2)),VALUE(LEFT(Base_Bruta!B253,2))))))</f>
        <v>45881</v>
      </c>
      <c r="C253" s="5" t="n">
        <f aca="false">IF($A253="","",IF(ISNUMBER(Base_Bruta!C253),Base_Bruta!C253,IF(MID(Base_Bruta!C253,5,1)="-",DATE(VALUE(LEFT(Base_Bruta!C253,4)),VALUE(MID(Base_Bruta!C253,6,2)),VALUE(RIGHT(Base_Bruta!C253,2))),DATE(VALUE(RIGHT(Base_Bruta!C253,4)),VALUE(MID(Base_Bruta!C253,4,2)),VALUE(LEFT(Base_Bruta!C253,2))))))</f>
        <v>45976</v>
      </c>
      <c r="D253" s="4" t="str">
        <f aca="false">IF($A253="","",TRIM(Base_Bruta!D253))</f>
        <v>Festival Sonora SP 2025</v>
      </c>
      <c r="E253" s="4" t="str">
        <f aca="false">IF($A253="","",_xlfn.XLOOKUP(LOWER(TRIM(Base_Bruta!E253)),DePara_Categoria!$A$2:$A$9,DePara_Categoria!$B$2:$B$9,"REVISAR"))</f>
        <v>Festival</v>
      </c>
      <c r="F253" s="4" t="str">
        <f aca="false">IF($A253="","",_xlfn.XLOOKUP(LOWER(TRIM(Base_Bruta!F253)),DePara_Cidade!$A$2:$A$29,DePara_Cidade!$B$2:$B$29,"REVISAR"))</f>
        <v>São Paulo</v>
      </c>
      <c r="G253" s="4" t="str">
        <f aca="false">IF($A253="","",TRIM(Base_Bruta!G253))</f>
        <v>Inteira</v>
      </c>
      <c r="H253" s="4" t="n">
        <f aca="false">IF($A253="","",IF(ISNUMBER(Base_Bruta!H253),Base_Bruta!H253,IFERROR(_xlfn.NUMBERVALUE(TRIM(SUBSTITUTE(Base_Bruta!H253,"R$","")),",","."),0)))</f>
        <v>3</v>
      </c>
      <c r="I253" s="6" t="n">
        <f aca="false">IF($A253="","",IF(ISNUMBER(Base_Bruta!I253),Base_Bruta!I253,IFERROR(_xlfn.NUMBERVALUE(TRIM(SUBSTITUTE(Base_Bruta!I253,"R$","")),",","."),0)))</f>
        <v>970</v>
      </c>
      <c r="J253" s="6" t="n">
        <f aca="false">IF($A253="","",H253*I253)</f>
        <v>2910</v>
      </c>
      <c r="K253" s="4" t="str">
        <f aca="false">IF($A253="","",TRIM(Base_Bruta!J253))</f>
        <v>App</v>
      </c>
      <c r="L253" s="4" t="str">
        <f aca="false">IF($A253="","",TRIM(Base_Bruta!K253))</f>
        <v>C00858</v>
      </c>
      <c r="M253" s="4" t="str">
        <f aca="false">IF($A253="","",_xlfn.XLOOKUP(LOWER(TRIM(Base_Bruta!L253)),DePara_Cidade!$A$2:$A$29,DePara_Cidade!$B$2:$B$29,"REVISAR"))</f>
        <v>São Paulo</v>
      </c>
      <c r="N253" s="4" t="str">
        <f aca="false">IF($A253="","",UPPER(TRIM(Base_Bruta!M253)))</f>
        <v>SP</v>
      </c>
      <c r="O253" s="4" t="str">
        <f aca="false">IF($A253="","",_xlfn.XLOOKUP(LOWER(TRIM(Base_Bruta!N253)),DePara_Pais!$A$2:$A$9,DePara_Pais!$B$2:$B$9,"REVISAR"))</f>
        <v>Brasil</v>
      </c>
      <c r="P253" s="4" t="str">
        <f aca="false">IF($A253="","",IF(O253&lt;&gt;"Brasil","Turista Internacional",IF(M253=F253,"Local","Turista Nacional")))</f>
        <v>Local</v>
      </c>
      <c r="Q253" s="7" t="n">
        <f aca="false">IF($A253="","",DATE(YEAR(B253),MONTH(B253),1))</f>
        <v>45870</v>
      </c>
      <c r="R253" s="4" t="str">
        <f aca="false">IF($A253="","",IF(COUNTIF($A$2:$A253,$A253)&gt;1,"Sim","Não"))</f>
        <v>Não</v>
      </c>
      <c r="S253" s="4" t="str">
        <f aca="false">IF(A253="","Descartar - Linha vazia",IF(R253="Sim","Descartar - Duplicado",IF(OR(H253&lt;=0,I253&lt;=0),"Descartar - Qtd/Valor inválido","OK")))</f>
        <v>OK</v>
      </c>
      <c r="T253" s="4" t="str">
        <f aca="false">Base_Bruta!P253</f>
        <v>vendas_SP.xlsx</v>
      </c>
    </row>
    <row r="254" customFormat="false" ht="15" hidden="false" customHeight="false" outlineLevel="0" collapsed="false">
      <c r="A254" s="4" t="str">
        <f aca="false">IF(Base_Bruta!A254="","",Base_Bruta!A254)</f>
        <v>SP-000567</v>
      </c>
      <c r="B254" s="5" t="n">
        <f aca="false">IF($A254="","",IF(ISNUMBER(Base_Bruta!B254),Base_Bruta!B254,IF(MID(Base_Bruta!B254,5,1)="-",DATE(VALUE(LEFT(Base_Bruta!B254,4)),VALUE(MID(Base_Bruta!B254,6,2)),VALUE(RIGHT(Base_Bruta!B254,2))),DATE(VALUE(RIGHT(Base_Bruta!B254,4)),VALUE(MID(Base_Bruta!B254,4,2)),VALUE(LEFT(Base_Bruta!B254,2))))))</f>
        <v>45881</v>
      </c>
      <c r="C254" s="5" t="n">
        <f aca="false">IF($A254="","",IF(ISNUMBER(Base_Bruta!C254),Base_Bruta!C254,IF(MID(Base_Bruta!C254,5,1)="-",DATE(VALUE(LEFT(Base_Bruta!C254,4)),VALUE(MID(Base_Bruta!C254,6,2)),VALUE(RIGHT(Base_Bruta!C254,2))),DATE(VALUE(RIGHT(Base_Bruta!C254,4)),VALUE(MID(Base_Bruta!C254,4,2)),VALUE(LEFT(Base_Bruta!C254,2))))))</f>
        <v>45934</v>
      </c>
      <c r="D254" s="4" t="str">
        <f aca="false">IF($A254="","",TRIM(Base_Bruta!D254))</f>
        <v>Turnê Internacional Pop - SP</v>
      </c>
      <c r="E254" s="4" t="str">
        <f aca="false">IF($A254="","",_xlfn.XLOOKUP(LOWER(TRIM(Base_Bruta!E254)),DePara_Categoria!$A$2:$A$9,DePara_Categoria!$B$2:$B$9,"REVISAR"))</f>
        <v>Show</v>
      </c>
      <c r="F254" s="4" t="str">
        <f aca="false">IF($A254="","",_xlfn.XLOOKUP(LOWER(TRIM(Base_Bruta!F254)),DePara_Cidade!$A$2:$A$29,DePara_Cidade!$B$2:$B$29,"REVISAR"))</f>
        <v>São Paulo</v>
      </c>
      <c r="G254" s="4" t="str">
        <f aca="false">IF($A254="","",TRIM(Base_Bruta!G254))</f>
        <v>Meia</v>
      </c>
      <c r="H254" s="4" t="n">
        <f aca="false">IF($A254="","",IF(ISNUMBER(Base_Bruta!H254),Base_Bruta!H254,IFERROR(_xlfn.NUMBERVALUE(TRIM(SUBSTITUTE(Base_Bruta!H254,"R$","")),",","."),0)))</f>
        <v>1</v>
      </c>
      <c r="I254" s="6" t="n">
        <f aca="false">IF($A254="","",IF(ISNUMBER(Base_Bruta!I254),Base_Bruta!I254,IFERROR(_xlfn.NUMBERVALUE(TRIM(SUBSTITUTE(Base_Bruta!I254,"R$","")),",","."),0)))</f>
        <v>390</v>
      </c>
      <c r="J254" s="6" t="n">
        <f aca="false">IF($A254="","",H254*I254)</f>
        <v>390</v>
      </c>
      <c r="K254" s="4" t="str">
        <f aca="false">IF($A254="","",TRIM(Base_Bruta!J254))</f>
        <v>Site</v>
      </c>
      <c r="L254" s="4" t="str">
        <f aca="false">IF($A254="","",TRIM(Base_Bruta!K254))</f>
        <v>C01035</v>
      </c>
      <c r="M254" s="4" t="str">
        <f aca="false">IF($A254="","",_xlfn.XLOOKUP(LOWER(TRIM(Base_Bruta!L254)),DePara_Cidade!$A$2:$A$29,DePara_Cidade!$B$2:$B$29,"REVISAR"))</f>
        <v>Contagem</v>
      </c>
      <c r="N254" s="4" t="str">
        <f aca="false">IF($A254="","",UPPER(TRIM(Base_Bruta!M254)))</f>
        <v>MG</v>
      </c>
      <c r="O254" s="4" t="str">
        <f aca="false">IF($A254="","",_xlfn.XLOOKUP(LOWER(TRIM(Base_Bruta!N254)),DePara_Pais!$A$2:$A$9,DePara_Pais!$B$2:$B$9,"REVISAR"))</f>
        <v>Brasil</v>
      </c>
      <c r="P254" s="4" t="str">
        <f aca="false">IF($A254="","",IF(O254&lt;&gt;"Brasil","Turista Internacional",IF(M254=F254,"Local","Turista Nacional")))</f>
        <v>Turista Nacional</v>
      </c>
      <c r="Q254" s="7" t="n">
        <f aca="false">IF($A254="","",DATE(YEAR(B254),MONTH(B254),1))</f>
        <v>45870</v>
      </c>
      <c r="R254" s="4" t="str">
        <f aca="false">IF($A254="","",IF(COUNTIF($A$2:$A254,$A254)&gt;1,"Sim","Não"))</f>
        <v>Não</v>
      </c>
      <c r="S254" s="4" t="str">
        <f aca="false">IF(A254="","Descartar - Linha vazia",IF(R254="Sim","Descartar - Duplicado",IF(OR(H254&lt;=0,I254&lt;=0),"Descartar - Qtd/Valor inválido","OK")))</f>
        <v>OK</v>
      </c>
      <c r="T254" s="4" t="str">
        <f aca="false">Base_Bruta!P254</f>
        <v>vendas_SP.xlsx</v>
      </c>
    </row>
    <row r="255" customFormat="false" ht="15" hidden="false" customHeight="false" outlineLevel="0" collapsed="false">
      <c r="A255" s="4" t="str">
        <f aca="false">IF(Base_Bruta!A255="","",Base_Bruta!A255)</f>
        <v>SP-000110</v>
      </c>
      <c r="B255" s="5" t="n">
        <f aca="false">IF($A255="","",IF(ISNUMBER(Base_Bruta!B255),Base_Bruta!B255,IF(MID(Base_Bruta!B255,5,1)="-",DATE(VALUE(LEFT(Base_Bruta!B255,4)),VALUE(MID(Base_Bruta!B255,6,2)),VALUE(RIGHT(Base_Bruta!B255,2))),DATE(VALUE(RIGHT(Base_Bruta!B255,4)),VALUE(MID(Base_Bruta!B255,4,2)),VALUE(LEFT(Base_Bruta!B255,2))))))</f>
        <v>45882</v>
      </c>
      <c r="C255" s="5" t="n">
        <f aca="false">IF($A255="","",IF(ISNUMBER(Base_Bruta!C255),Base_Bruta!C255,IF(MID(Base_Bruta!C255,5,1)="-",DATE(VALUE(LEFT(Base_Bruta!C255,4)),VALUE(MID(Base_Bruta!C255,6,2)),VALUE(RIGHT(Base_Bruta!C255,2))),DATE(VALUE(RIGHT(Base_Bruta!C255,4)),VALUE(MID(Base_Bruta!C255,4,2)),VALUE(LEFT(Base_Bruta!C255,2))))))</f>
        <v>45976</v>
      </c>
      <c r="D255" s="4" t="str">
        <f aca="false">IF($A255="","",TRIM(Base_Bruta!D255))</f>
        <v>Festival Sonora SP 2025</v>
      </c>
      <c r="E255" s="4" t="str">
        <f aca="false">IF($A255="","",_xlfn.XLOOKUP(LOWER(TRIM(Base_Bruta!E255)),DePara_Categoria!$A$2:$A$9,DePara_Categoria!$B$2:$B$9,"REVISAR"))</f>
        <v>Festival</v>
      </c>
      <c r="F255" s="4" t="str">
        <f aca="false">IF($A255="","",_xlfn.XLOOKUP(LOWER(TRIM(Base_Bruta!F255)),DePara_Cidade!$A$2:$A$29,DePara_Cidade!$B$2:$B$29,"REVISAR"))</f>
        <v>São Paulo</v>
      </c>
      <c r="G255" s="4" t="str">
        <f aca="false">IF($A255="","",TRIM(Base_Bruta!G255))</f>
        <v>Meia</v>
      </c>
      <c r="H255" s="4" t="n">
        <f aca="false">IF($A255="","",IF(ISNUMBER(Base_Bruta!H255),Base_Bruta!H255,IFERROR(_xlfn.NUMBERVALUE(TRIM(SUBSTITUTE(Base_Bruta!H255,"R$","")),",","."),0)))</f>
        <v>1</v>
      </c>
      <c r="I255" s="6" t="n">
        <f aca="false">IF($A255="","",IF(ISNUMBER(Base_Bruta!I255),Base_Bruta!I255,IFERROR(_xlfn.NUMBERVALUE(TRIM(SUBSTITUTE(Base_Bruta!I255,"R$","")),",","."),0)))</f>
        <v>570</v>
      </c>
      <c r="J255" s="6" t="n">
        <f aca="false">IF($A255="","",H255*I255)</f>
        <v>570</v>
      </c>
      <c r="K255" s="4" t="str">
        <f aca="false">IF($A255="","",TRIM(Base_Bruta!J255))</f>
        <v>Site</v>
      </c>
      <c r="L255" s="4" t="str">
        <f aca="false">IF($A255="","",TRIM(Base_Bruta!K255))</f>
        <v>C02438</v>
      </c>
      <c r="M255" s="4" t="str">
        <f aca="false">IF($A255="","",_xlfn.XLOOKUP(LOWER(TRIM(Base_Bruta!L255)),DePara_Cidade!$A$2:$A$29,DePara_Cidade!$B$2:$B$29,"REVISAR"))</f>
        <v>Goiânia</v>
      </c>
      <c r="N255" s="4" t="str">
        <f aca="false">IF($A255="","",UPPER(TRIM(Base_Bruta!M255)))</f>
        <v>GO</v>
      </c>
      <c r="O255" s="4" t="str">
        <f aca="false">IF($A255="","",_xlfn.XLOOKUP(LOWER(TRIM(Base_Bruta!N255)),DePara_Pais!$A$2:$A$9,DePara_Pais!$B$2:$B$9,"REVISAR"))</f>
        <v>Brasil</v>
      </c>
      <c r="P255" s="4" t="str">
        <f aca="false">IF($A255="","",IF(O255&lt;&gt;"Brasil","Turista Internacional",IF(M255=F255,"Local","Turista Nacional")))</f>
        <v>Turista Nacional</v>
      </c>
      <c r="Q255" s="7" t="n">
        <f aca="false">IF($A255="","",DATE(YEAR(B255),MONTH(B255),1))</f>
        <v>45870</v>
      </c>
      <c r="R255" s="4" t="str">
        <f aca="false">IF($A255="","",IF(COUNTIF($A$2:$A255,$A255)&gt;1,"Sim","Não"))</f>
        <v>Não</v>
      </c>
      <c r="S255" s="4" t="str">
        <f aca="false">IF(A255="","Descartar - Linha vazia",IF(R255="Sim","Descartar - Duplicado",IF(OR(H255&lt;=0,I255&lt;=0),"Descartar - Qtd/Valor inválido","OK")))</f>
        <v>OK</v>
      </c>
      <c r="T255" s="4" t="str">
        <f aca="false">Base_Bruta!P255</f>
        <v>vendas_SP.xlsx</v>
      </c>
    </row>
    <row r="256" customFormat="false" ht="15" hidden="false" customHeight="false" outlineLevel="0" collapsed="false">
      <c r="A256" s="4" t="str">
        <f aca="false">IF(Base_Bruta!A256="","",Base_Bruta!A256)</f>
        <v>SP-000600</v>
      </c>
      <c r="B256" s="5" t="n">
        <f aca="false">IF($A256="","",IF(ISNUMBER(Base_Bruta!B256),Base_Bruta!B256,IF(MID(Base_Bruta!B256,5,1)="-",DATE(VALUE(LEFT(Base_Bruta!B256,4)),VALUE(MID(Base_Bruta!B256,6,2)),VALUE(RIGHT(Base_Bruta!B256,2))),DATE(VALUE(RIGHT(Base_Bruta!B256,4)),VALUE(MID(Base_Bruta!B256,4,2)),VALUE(LEFT(Base_Bruta!B256,2))))))</f>
        <v>45882</v>
      </c>
      <c r="C256" s="5" t="n">
        <f aca="false">IF($A256="","",IF(ISNUMBER(Base_Bruta!C256),Base_Bruta!C256,IF(MID(Base_Bruta!C256,5,1)="-",DATE(VALUE(LEFT(Base_Bruta!C256,4)),VALUE(MID(Base_Bruta!C256,6,2)),VALUE(RIGHT(Base_Bruta!C256,2))),DATE(VALUE(RIGHT(Base_Bruta!C256,4)),VALUE(MID(Base_Bruta!C256,4,2)),VALUE(LEFT(Base_Bruta!C256,2))))))</f>
        <v>45934</v>
      </c>
      <c r="D256" s="4" t="str">
        <f aca="false">IF($A256="","",TRIM(Base_Bruta!D256))</f>
        <v>Turnê Internacional Pop - SP</v>
      </c>
      <c r="E256" s="4" t="str">
        <f aca="false">IF($A256="","",_xlfn.XLOOKUP(LOWER(TRIM(Base_Bruta!E256)),DePara_Categoria!$A$2:$A$9,DePara_Categoria!$B$2:$B$9,"REVISAR"))</f>
        <v>Show</v>
      </c>
      <c r="F256" s="4" t="str">
        <f aca="false">IF($A256="","",_xlfn.XLOOKUP(LOWER(TRIM(Base_Bruta!F256)),DePara_Cidade!$A$2:$A$29,DePara_Cidade!$B$2:$B$29,"REVISAR"))</f>
        <v>São Paulo</v>
      </c>
      <c r="G256" s="4" t="str">
        <f aca="false">IF($A256="","",TRIM(Base_Bruta!G256))</f>
        <v>Meia</v>
      </c>
      <c r="H256" s="4" t="n">
        <f aca="false">IF($A256="","",IF(ISNUMBER(Base_Bruta!H256),Base_Bruta!H256,IFERROR(_xlfn.NUMBERVALUE(TRIM(SUBSTITUTE(Base_Bruta!H256,"R$","")),",","."),0)))</f>
        <v>1</v>
      </c>
      <c r="I256" s="6" t="n">
        <f aca="false">IF($A256="","",IF(ISNUMBER(Base_Bruta!I256),Base_Bruta!I256,IFERROR(_xlfn.NUMBERVALUE(TRIM(SUBSTITUTE(Base_Bruta!I256,"R$","")),",","."),0)))</f>
        <v>140</v>
      </c>
      <c r="J256" s="6" t="n">
        <f aca="false">IF($A256="","",H256*I256)</f>
        <v>140</v>
      </c>
      <c r="K256" s="4" t="str">
        <f aca="false">IF($A256="","",TRIM(Base_Bruta!J256))</f>
        <v>App</v>
      </c>
      <c r="L256" s="4" t="str">
        <f aca="false">IF($A256="","",TRIM(Base_Bruta!K256))</f>
        <v>C01988</v>
      </c>
      <c r="M256" s="4" t="str">
        <f aca="false">IF($A256="","",_xlfn.XLOOKUP(LOWER(TRIM(Base_Bruta!L256)),DePara_Cidade!$A$2:$A$29,DePara_Cidade!$B$2:$B$29,"REVISAR"))</f>
        <v>Santos</v>
      </c>
      <c r="N256" s="4" t="str">
        <f aca="false">IF($A256="","",UPPER(TRIM(Base_Bruta!M256)))</f>
        <v>SP</v>
      </c>
      <c r="O256" s="4" t="str">
        <f aca="false">IF($A256="","",_xlfn.XLOOKUP(LOWER(TRIM(Base_Bruta!N256)),DePara_Pais!$A$2:$A$9,DePara_Pais!$B$2:$B$9,"REVISAR"))</f>
        <v>Brasil</v>
      </c>
      <c r="P256" s="4" t="str">
        <f aca="false">IF($A256="","",IF(O256&lt;&gt;"Brasil","Turista Internacional",IF(M256=F256,"Local","Turista Nacional")))</f>
        <v>Turista Nacional</v>
      </c>
      <c r="Q256" s="7" t="n">
        <f aca="false">IF($A256="","",DATE(YEAR(B256),MONTH(B256),1))</f>
        <v>45870</v>
      </c>
      <c r="R256" s="4" t="str">
        <f aca="false">IF($A256="","",IF(COUNTIF($A$2:$A256,$A256)&gt;1,"Sim","Não"))</f>
        <v>Não</v>
      </c>
      <c r="S256" s="4" t="str">
        <f aca="false">IF(A256="","Descartar - Linha vazia",IF(R256="Sim","Descartar - Duplicado",IF(OR(H256&lt;=0,I256&lt;=0),"Descartar - Qtd/Valor inválido","OK")))</f>
        <v>OK</v>
      </c>
      <c r="T256" s="4" t="str">
        <f aca="false">Base_Bruta!P256</f>
        <v>vendas_SP.xlsx</v>
      </c>
    </row>
    <row r="257" customFormat="false" ht="15" hidden="false" customHeight="false" outlineLevel="0" collapsed="false">
      <c r="A257" s="4" t="str">
        <f aca="false">IF(Base_Bruta!A257="","",Base_Bruta!A257)</f>
        <v>SP-000607</v>
      </c>
      <c r="B257" s="5" t="n">
        <f aca="false">IF($A257="","",IF(ISNUMBER(Base_Bruta!B257),Base_Bruta!B257,IF(MID(Base_Bruta!B257,5,1)="-",DATE(VALUE(LEFT(Base_Bruta!B257,4)),VALUE(MID(Base_Bruta!B257,6,2)),VALUE(RIGHT(Base_Bruta!B257,2))),DATE(VALUE(RIGHT(Base_Bruta!B257,4)),VALUE(MID(Base_Bruta!B257,4,2)),VALUE(LEFT(Base_Bruta!B257,2))))))</f>
        <v>45882</v>
      </c>
      <c r="C257" s="5" t="n">
        <f aca="false">IF($A257="","",IF(ISNUMBER(Base_Bruta!C257),Base_Bruta!C257,IF(MID(Base_Bruta!C257,5,1)="-",DATE(VALUE(LEFT(Base_Bruta!C257,4)),VALUE(MID(Base_Bruta!C257,6,2)),VALUE(RIGHT(Base_Bruta!C257,2))),DATE(VALUE(RIGHT(Base_Bruta!C257,4)),VALUE(MID(Base_Bruta!C257,4,2)),VALUE(LEFT(Base_Bruta!C257,2))))))</f>
        <v>45934</v>
      </c>
      <c r="D257" s="4" t="str">
        <f aca="false">IF($A257="","",TRIM(Base_Bruta!D257))</f>
        <v>Turnê Internacional Pop - SP</v>
      </c>
      <c r="E257" s="4" t="str">
        <f aca="false">IF($A257="","",_xlfn.XLOOKUP(LOWER(TRIM(Base_Bruta!E257)),DePara_Categoria!$A$2:$A$9,DePara_Categoria!$B$2:$B$9,"REVISAR"))</f>
        <v>Show</v>
      </c>
      <c r="F257" s="4" t="str">
        <f aca="false">IF($A257="","",_xlfn.XLOOKUP(LOWER(TRIM(Base_Bruta!F257)),DePara_Cidade!$A$2:$A$29,DePara_Cidade!$B$2:$B$29,"REVISAR"))</f>
        <v>São Paulo</v>
      </c>
      <c r="G257" s="4" t="str">
        <f aca="false">IF($A257="","",TRIM(Base_Bruta!G257))</f>
        <v>Inteira</v>
      </c>
      <c r="H257" s="4" t="n">
        <f aca="false">IF($A257="","",IF(ISNUMBER(Base_Bruta!H257),Base_Bruta!H257,IFERROR(_xlfn.NUMBERVALUE(TRIM(SUBSTITUTE(Base_Bruta!H257,"R$","")),",","."),0)))</f>
        <v>1</v>
      </c>
      <c r="I257" s="6" t="n">
        <f aca="false">IF($A257="","",IF(ISNUMBER(Base_Bruta!I257),Base_Bruta!I257,IFERROR(_xlfn.NUMBERVALUE(TRIM(SUBSTITUTE(Base_Bruta!I257,"R$","")),",","."),0)))</f>
        <v>475</v>
      </c>
      <c r="J257" s="6" t="n">
        <f aca="false">IF($A257="","",H257*I257)</f>
        <v>475</v>
      </c>
      <c r="K257" s="4" t="str">
        <f aca="false">IF($A257="","",TRIM(Base_Bruta!J257))</f>
        <v>Site</v>
      </c>
      <c r="L257" s="4" t="str">
        <f aca="false">IF($A257="","",TRIM(Base_Bruta!K257))</f>
        <v>C00395</v>
      </c>
      <c r="M257" s="4" t="str">
        <f aca="false">IF($A257="","",_xlfn.XLOOKUP(LOWER(TRIM(Base_Bruta!L257)),DePara_Cidade!$A$2:$A$29,DePara_Cidade!$B$2:$B$29,"REVISAR"))</f>
        <v>Brasília</v>
      </c>
      <c r="N257" s="4" t="str">
        <f aca="false">IF($A257="","",UPPER(TRIM(Base_Bruta!M257)))</f>
        <v>DF</v>
      </c>
      <c r="O257" s="4" t="str">
        <f aca="false">IF($A257="","",_xlfn.XLOOKUP(LOWER(TRIM(Base_Bruta!N257)),DePara_Pais!$A$2:$A$9,DePara_Pais!$B$2:$B$9,"REVISAR"))</f>
        <v>Brasil</v>
      </c>
      <c r="P257" s="4" t="str">
        <f aca="false">IF($A257="","",IF(O257&lt;&gt;"Brasil","Turista Internacional",IF(M257=F257,"Local","Turista Nacional")))</f>
        <v>Turista Nacional</v>
      </c>
      <c r="Q257" s="7" t="n">
        <f aca="false">IF($A257="","",DATE(YEAR(B257),MONTH(B257),1))</f>
        <v>45870</v>
      </c>
      <c r="R257" s="4" t="str">
        <f aca="false">IF($A257="","",IF(COUNTIF($A$2:$A257,$A257)&gt;1,"Sim","Não"))</f>
        <v>Não</v>
      </c>
      <c r="S257" s="4" t="str">
        <f aca="false">IF(A257="","Descartar - Linha vazia",IF(R257="Sim","Descartar - Duplicado",IF(OR(H257&lt;=0,I257&lt;=0),"Descartar - Qtd/Valor inválido","OK")))</f>
        <v>OK</v>
      </c>
      <c r="T257" s="4" t="str">
        <f aca="false">Base_Bruta!P257</f>
        <v>vendas_SP.xlsx</v>
      </c>
    </row>
    <row r="258" customFormat="false" ht="15" hidden="false" customHeight="false" outlineLevel="0" collapsed="false">
      <c r="A258" s="4" t="str">
        <f aca="false">IF(Base_Bruta!A258="","",Base_Bruta!A258)</f>
        <v>SP-000700</v>
      </c>
      <c r="B258" s="5" t="n">
        <f aca="false">IF($A258="","",IF(ISNUMBER(Base_Bruta!B258),Base_Bruta!B258,IF(MID(Base_Bruta!B258,5,1)="-",DATE(VALUE(LEFT(Base_Bruta!B258,4)),VALUE(MID(Base_Bruta!B258,6,2)),VALUE(RIGHT(Base_Bruta!B258,2))),DATE(VALUE(RIGHT(Base_Bruta!B258,4)),VALUE(MID(Base_Bruta!B258,4,2)),VALUE(LEFT(Base_Bruta!B258,2))))))</f>
        <v>45882</v>
      </c>
      <c r="C258" s="5" t="n">
        <f aca="false">IF($A258="","",IF(ISNUMBER(Base_Bruta!C258),Base_Bruta!C258,IF(MID(Base_Bruta!C258,5,1)="-",DATE(VALUE(LEFT(Base_Bruta!C258,4)),VALUE(MID(Base_Bruta!C258,6,2)),VALUE(RIGHT(Base_Bruta!C258,2))),DATE(VALUE(RIGHT(Base_Bruta!C258,4)),VALUE(MID(Base_Bruta!C258,4,2)),VALUE(LEFT(Base_Bruta!C258,2))))))</f>
        <v>45885</v>
      </c>
      <c r="D258" s="4" t="str">
        <f aca="false">IF($A258="","",TRIM(Base_Bruta!D258))</f>
        <v>Cinema Paulista - Sessões</v>
      </c>
      <c r="E258" s="4" t="str">
        <f aca="false">IF($A258="","",_xlfn.XLOOKUP(LOWER(TRIM(Base_Bruta!E258)),DePara_Categoria!$A$2:$A$9,DePara_Categoria!$B$2:$B$9,"REVISAR"))</f>
        <v>Cinema</v>
      </c>
      <c r="F258" s="4" t="str">
        <f aca="false">IF($A258="","",_xlfn.XLOOKUP(LOWER(TRIM(Base_Bruta!F258)),DePara_Cidade!$A$2:$A$29,DePara_Cidade!$B$2:$B$29,"REVISAR"))</f>
        <v>São Paulo</v>
      </c>
      <c r="G258" s="4" t="str">
        <f aca="false">IF($A258="","",TRIM(Base_Bruta!G258))</f>
        <v>Inteira</v>
      </c>
      <c r="H258" s="4" t="n">
        <f aca="false">IF($A258="","",IF(ISNUMBER(Base_Bruta!H258),Base_Bruta!H258,IFERROR(_xlfn.NUMBERVALUE(TRIM(SUBSTITUTE(Base_Bruta!H258,"R$","")),",","."),0)))</f>
        <v>1</v>
      </c>
      <c r="I258" s="6" t="n">
        <f aca="false">IF($A258="","",IF(ISNUMBER(Base_Bruta!I258),Base_Bruta!I258,IFERROR(_xlfn.NUMBERVALUE(TRIM(SUBSTITUTE(Base_Bruta!I258,"R$","")),",","."),0)))</f>
        <v>40</v>
      </c>
      <c r="J258" s="6" t="n">
        <f aca="false">IF($A258="","",H258*I258)</f>
        <v>40</v>
      </c>
      <c r="K258" s="4" t="str">
        <f aca="false">IF($A258="","",TRIM(Base_Bruta!J258))</f>
        <v>Site</v>
      </c>
      <c r="L258" s="4" t="str">
        <f aca="false">IF($A258="","",TRIM(Base_Bruta!K258))</f>
        <v>C01205</v>
      </c>
      <c r="M258" s="4" t="str">
        <f aca="false">IF($A258="","",_xlfn.XLOOKUP(LOWER(TRIM(Base_Bruta!L258)),DePara_Cidade!$A$2:$A$29,DePara_Cidade!$B$2:$B$29,"REVISAR"))</f>
        <v>São Paulo</v>
      </c>
      <c r="N258" s="4" t="str">
        <f aca="false">IF($A258="","",UPPER(TRIM(Base_Bruta!M258)))</f>
        <v>SP</v>
      </c>
      <c r="O258" s="4" t="str">
        <f aca="false">IF($A258="","",_xlfn.XLOOKUP(LOWER(TRIM(Base_Bruta!N258)),DePara_Pais!$A$2:$A$9,DePara_Pais!$B$2:$B$9,"REVISAR"))</f>
        <v>Brasil</v>
      </c>
      <c r="P258" s="4" t="str">
        <f aca="false">IF($A258="","",IF(O258&lt;&gt;"Brasil","Turista Internacional",IF(M258=F258,"Local","Turista Nacional")))</f>
        <v>Local</v>
      </c>
      <c r="Q258" s="7" t="n">
        <f aca="false">IF($A258="","",DATE(YEAR(B258),MONTH(B258),1))</f>
        <v>45870</v>
      </c>
      <c r="R258" s="4" t="str">
        <f aca="false">IF($A258="","",IF(COUNTIF($A$2:$A258,$A258)&gt;1,"Sim","Não"))</f>
        <v>Não</v>
      </c>
      <c r="S258" s="4" t="str">
        <f aca="false">IF(A258="","Descartar - Linha vazia",IF(R258="Sim","Descartar - Duplicado",IF(OR(H258&lt;=0,I258&lt;=0),"Descartar - Qtd/Valor inválido","OK")))</f>
        <v>OK</v>
      </c>
      <c r="T258" s="4" t="str">
        <f aca="false">Base_Bruta!P258</f>
        <v>vendas_SP.xlsx</v>
      </c>
    </row>
    <row r="259" customFormat="false" ht="15" hidden="false" customHeight="false" outlineLevel="0" collapsed="false">
      <c r="A259" s="4" t="str">
        <f aca="false">IF(Base_Bruta!A259="","",Base_Bruta!A259)</f>
        <v>SP-000126</v>
      </c>
      <c r="B259" s="5" t="n">
        <f aca="false">IF($A259="","",IF(ISNUMBER(Base_Bruta!B259),Base_Bruta!B259,IF(MID(Base_Bruta!B259,5,1)="-",DATE(VALUE(LEFT(Base_Bruta!B259,4)),VALUE(MID(Base_Bruta!B259,6,2)),VALUE(RIGHT(Base_Bruta!B259,2))),DATE(VALUE(RIGHT(Base_Bruta!B259,4)),VALUE(MID(Base_Bruta!B259,4,2)),VALUE(LEFT(Base_Bruta!B259,2))))))</f>
        <v>45883</v>
      </c>
      <c r="C259" s="5" t="n">
        <f aca="false">IF($A259="","",IF(ISNUMBER(Base_Bruta!C259),Base_Bruta!C259,IF(MID(Base_Bruta!C259,5,1)="-",DATE(VALUE(LEFT(Base_Bruta!C259,4)),VALUE(MID(Base_Bruta!C259,6,2)),VALUE(RIGHT(Base_Bruta!C259,2))),DATE(VALUE(RIGHT(Base_Bruta!C259,4)),VALUE(MID(Base_Bruta!C259,4,2)),VALUE(LEFT(Base_Bruta!C259,2))))))</f>
        <v>45976</v>
      </c>
      <c r="D259" s="4" t="str">
        <f aca="false">IF($A259="","",TRIM(Base_Bruta!D259))</f>
        <v>Festival Sonora SP 2025</v>
      </c>
      <c r="E259" s="4" t="str">
        <f aca="false">IF($A259="","",_xlfn.XLOOKUP(LOWER(TRIM(Base_Bruta!E259)),DePara_Categoria!$A$2:$A$9,DePara_Categoria!$B$2:$B$9,"REVISAR"))</f>
        <v>Festival</v>
      </c>
      <c r="F259" s="4" t="str">
        <f aca="false">IF($A259="","",_xlfn.XLOOKUP(LOWER(TRIM(Base_Bruta!F259)),DePara_Cidade!$A$2:$A$29,DePara_Cidade!$B$2:$B$29,"REVISAR"))</f>
        <v>São Paulo</v>
      </c>
      <c r="G259" s="4" t="str">
        <f aca="false">IF($A259="","",TRIM(Base_Bruta!G259))</f>
        <v>Inteira</v>
      </c>
      <c r="H259" s="4" t="n">
        <f aca="false">IF($A259="","",IF(ISNUMBER(Base_Bruta!H259),Base_Bruta!H259,IFERROR(_xlfn.NUMBERVALUE(TRIM(SUBSTITUTE(Base_Bruta!H259,"R$","")),",","."),0)))</f>
        <v>4</v>
      </c>
      <c r="I259" s="6" t="n">
        <f aca="false">IF($A259="","",IF(ISNUMBER(Base_Bruta!I259),Base_Bruta!I259,IFERROR(_xlfn.NUMBERVALUE(TRIM(SUBSTITUTE(Base_Bruta!I259,"R$","")),",","."),0)))</f>
        <v>890</v>
      </c>
      <c r="J259" s="6" t="n">
        <f aca="false">IF($A259="","",H259*I259)</f>
        <v>3560</v>
      </c>
      <c r="K259" s="4" t="str">
        <f aca="false">IF($A259="","",TRIM(Base_Bruta!J259))</f>
        <v>App</v>
      </c>
      <c r="L259" s="4" t="str">
        <f aca="false">IF($A259="","",TRIM(Base_Bruta!K259))</f>
        <v>C01686</v>
      </c>
      <c r="M259" s="4" t="str">
        <f aca="false">IF($A259="","",_xlfn.XLOOKUP(LOWER(TRIM(Base_Bruta!L259)),DePara_Cidade!$A$2:$A$29,DePara_Cidade!$B$2:$B$29,"REVISAR"))</f>
        <v>São Paulo</v>
      </c>
      <c r="N259" s="4" t="str">
        <f aca="false">IF($A259="","",UPPER(TRIM(Base_Bruta!M259)))</f>
        <v>SP</v>
      </c>
      <c r="O259" s="4" t="str">
        <f aca="false">IF($A259="","",_xlfn.XLOOKUP(LOWER(TRIM(Base_Bruta!N259)),DePara_Pais!$A$2:$A$9,DePara_Pais!$B$2:$B$9,"REVISAR"))</f>
        <v>Brasil</v>
      </c>
      <c r="P259" s="4" t="str">
        <f aca="false">IF($A259="","",IF(O259&lt;&gt;"Brasil","Turista Internacional",IF(M259=F259,"Local","Turista Nacional")))</f>
        <v>Local</v>
      </c>
      <c r="Q259" s="7" t="n">
        <f aca="false">IF($A259="","",DATE(YEAR(B259),MONTH(B259),1))</f>
        <v>45870</v>
      </c>
      <c r="R259" s="4" t="str">
        <f aca="false">IF($A259="","",IF(COUNTIF($A$2:$A259,$A259)&gt;1,"Sim","Não"))</f>
        <v>Não</v>
      </c>
      <c r="S259" s="4" t="str">
        <f aca="false">IF(A259="","Descartar - Linha vazia",IF(R259="Sim","Descartar - Duplicado",IF(OR(H259&lt;=0,I259&lt;=0),"Descartar - Qtd/Valor inválido","OK")))</f>
        <v>OK</v>
      </c>
      <c r="T259" s="4" t="str">
        <f aca="false">Base_Bruta!P259</f>
        <v>vendas_SP.xlsx</v>
      </c>
    </row>
    <row r="260" customFormat="false" ht="15" hidden="false" customHeight="false" outlineLevel="0" collapsed="false">
      <c r="A260" s="4" t="str">
        <f aca="false">IF(Base_Bruta!A260="","",Base_Bruta!A260)</f>
        <v>SP-000147</v>
      </c>
      <c r="B260" s="5" t="n">
        <f aca="false">IF($A260="","",IF(ISNUMBER(Base_Bruta!B260),Base_Bruta!B260,IF(MID(Base_Bruta!B260,5,1)="-",DATE(VALUE(LEFT(Base_Bruta!B260,4)),VALUE(MID(Base_Bruta!B260,6,2)),VALUE(RIGHT(Base_Bruta!B260,2))),DATE(VALUE(RIGHT(Base_Bruta!B260,4)),VALUE(MID(Base_Bruta!B260,4,2)),VALUE(LEFT(Base_Bruta!B260,2))))))</f>
        <v>45884</v>
      </c>
      <c r="C260" s="5" t="n">
        <f aca="false">IF($A260="","",IF(ISNUMBER(Base_Bruta!C260),Base_Bruta!C260,IF(MID(Base_Bruta!C260,5,1)="-",DATE(VALUE(LEFT(Base_Bruta!C260,4)),VALUE(MID(Base_Bruta!C260,6,2)),VALUE(RIGHT(Base_Bruta!C260,2))),DATE(VALUE(RIGHT(Base_Bruta!C260,4)),VALUE(MID(Base_Bruta!C260,4,2)),VALUE(LEFT(Base_Bruta!C260,2))))))</f>
        <v>45976</v>
      </c>
      <c r="D260" s="4" t="str">
        <f aca="false">IF($A260="","",TRIM(Base_Bruta!D260))</f>
        <v>Festival Sonora SP 2025</v>
      </c>
      <c r="E260" s="4" t="str">
        <f aca="false">IF($A260="","",_xlfn.XLOOKUP(LOWER(TRIM(Base_Bruta!E260)),DePara_Categoria!$A$2:$A$9,DePara_Categoria!$B$2:$B$9,"REVISAR"))</f>
        <v>Festival</v>
      </c>
      <c r="F260" s="4" t="str">
        <f aca="false">IF($A260="","",_xlfn.XLOOKUP(LOWER(TRIM(Base_Bruta!F260)),DePara_Cidade!$A$2:$A$29,DePara_Cidade!$B$2:$B$29,"REVISAR"))</f>
        <v>São Paulo</v>
      </c>
      <c r="G260" s="4" t="str">
        <f aca="false">IF($A260="","",TRIM(Base_Bruta!G260))</f>
        <v>Inteira</v>
      </c>
      <c r="H260" s="4" t="n">
        <f aca="false">IF($A260="","",IF(ISNUMBER(Base_Bruta!H260),Base_Bruta!H260,IFERROR(_xlfn.NUMBERVALUE(TRIM(SUBSTITUTE(Base_Bruta!H260,"R$","")),",","."),0)))</f>
        <v>2</v>
      </c>
      <c r="I260" s="6" t="n">
        <f aca="false">IF($A260="","",IF(ISNUMBER(Base_Bruta!I260),Base_Bruta!I260,IFERROR(_xlfn.NUMBERVALUE(TRIM(SUBSTITUTE(Base_Bruta!I260,"R$","")),",","."),0)))</f>
        <v>1055</v>
      </c>
      <c r="J260" s="6" t="n">
        <f aca="false">IF($A260="","",H260*I260)</f>
        <v>2110</v>
      </c>
      <c r="K260" s="4" t="str">
        <f aca="false">IF($A260="","",TRIM(Base_Bruta!J260))</f>
        <v>Bilheteria</v>
      </c>
      <c r="L260" s="4" t="str">
        <f aca="false">IF($A260="","",TRIM(Base_Bruta!K260))</f>
        <v>C00169</v>
      </c>
      <c r="M260" s="4" t="str">
        <f aca="false">IF($A260="","",_xlfn.XLOOKUP(LOWER(TRIM(Base_Bruta!L260)),DePara_Cidade!$A$2:$A$29,DePara_Cidade!$B$2:$B$29,"REVISAR"))</f>
        <v>Lisboa</v>
      </c>
      <c r="N260" s="4" t="str">
        <f aca="false">IF($A260="","",UPPER(TRIM(Base_Bruta!M260)))</f>
        <v>EX</v>
      </c>
      <c r="O260" s="4" t="str">
        <f aca="false">IF($A260="","",_xlfn.XLOOKUP(LOWER(TRIM(Base_Bruta!N260)),DePara_Pais!$A$2:$A$9,DePara_Pais!$B$2:$B$9,"REVISAR"))</f>
        <v>Portugal</v>
      </c>
      <c r="P260" s="4" t="str">
        <f aca="false">IF($A260="","",IF(O260&lt;&gt;"Brasil","Turista Internacional",IF(M260=F260,"Local","Turista Nacional")))</f>
        <v>Turista Internacional</v>
      </c>
      <c r="Q260" s="7" t="n">
        <f aca="false">IF($A260="","",DATE(YEAR(B260),MONTH(B260),1))</f>
        <v>45870</v>
      </c>
      <c r="R260" s="4" t="str">
        <f aca="false">IF($A260="","",IF(COUNTIF($A$2:$A260,$A260)&gt;1,"Sim","Não"))</f>
        <v>Não</v>
      </c>
      <c r="S260" s="4" t="str">
        <f aca="false">IF(A260="","Descartar - Linha vazia",IF(R260="Sim","Descartar - Duplicado",IF(OR(H260&lt;=0,I260&lt;=0),"Descartar - Qtd/Valor inválido","OK")))</f>
        <v>OK</v>
      </c>
      <c r="T260" s="4" t="str">
        <f aca="false">Base_Bruta!P260</f>
        <v>vendas_SP.xlsx</v>
      </c>
    </row>
    <row r="261" customFormat="false" ht="15" hidden="false" customHeight="false" outlineLevel="0" collapsed="false">
      <c r="A261" s="4" t="str">
        <f aca="false">IF(Base_Bruta!A261="","",Base_Bruta!A261)</f>
        <v>SP-000167</v>
      </c>
      <c r="B261" s="5" t="n">
        <f aca="false">IF($A261="","",IF(ISNUMBER(Base_Bruta!B261),Base_Bruta!B261,IF(MID(Base_Bruta!B261,5,1)="-",DATE(VALUE(LEFT(Base_Bruta!B261,4)),VALUE(MID(Base_Bruta!B261,6,2)),VALUE(RIGHT(Base_Bruta!B261,2))),DATE(VALUE(RIGHT(Base_Bruta!B261,4)),VALUE(MID(Base_Bruta!B261,4,2)),VALUE(LEFT(Base_Bruta!B261,2))))))</f>
        <v>45884</v>
      </c>
      <c r="C261" s="5" t="n">
        <f aca="false">IF($A261="","",IF(ISNUMBER(Base_Bruta!C261),Base_Bruta!C261,IF(MID(Base_Bruta!C261,5,1)="-",DATE(VALUE(LEFT(Base_Bruta!C261,4)),VALUE(MID(Base_Bruta!C261,6,2)),VALUE(RIGHT(Base_Bruta!C261,2))),DATE(VALUE(RIGHT(Base_Bruta!C261,4)),VALUE(MID(Base_Bruta!C261,4,2)),VALUE(LEFT(Base_Bruta!C261,2))))))</f>
        <v>45976</v>
      </c>
      <c r="D261" s="4" t="str">
        <f aca="false">IF($A261="","",TRIM(Base_Bruta!D261))</f>
        <v>Festival Sonora SP 2025</v>
      </c>
      <c r="E261" s="4" t="str">
        <f aca="false">IF($A261="","",_xlfn.XLOOKUP(LOWER(TRIM(Base_Bruta!E261)),DePara_Categoria!$A$2:$A$9,DePara_Categoria!$B$2:$B$9,"REVISAR"))</f>
        <v>Festival</v>
      </c>
      <c r="F261" s="4" t="str">
        <f aca="false">IF($A261="","",_xlfn.XLOOKUP(LOWER(TRIM(Base_Bruta!F261)),DePara_Cidade!$A$2:$A$29,DePara_Cidade!$B$2:$B$29,"REVISAR"))</f>
        <v>São Paulo</v>
      </c>
      <c r="G261" s="4" t="str">
        <f aca="false">IF($A261="","",TRIM(Base_Bruta!G261))</f>
        <v>Meia</v>
      </c>
      <c r="H261" s="4" t="n">
        <f aca="false">IF($A261="","",IF(ISNUMBER(Base_Bruta!H261),Base_Bruta!H261,IFERROR(_xlfn.NUMBERVALUE(TRIM(SUBSTITUTE(Base_Bruta!H261,"R$","")),",","."),0)))</f>
        <v>1</v>
      </c>
      <c r="I261" s="6" t="n">
        <f aca="false">IF($A261="","",IF(ISNUMBER(Base_Bruta!I261),Base_Bruta!I261,IFERROR(_xlfn.NUMBERVALUE(TRIM(SUBSTITUTE(Base_Bruta!I261,"R$","")),",","."),0)))</f>
        <v>365</v>
      </c>
      <c r="J261" s="6" t="n">
        <f aca="false">IF($A261="","",H261*I261)</f>
        <v>365</v>
      </c>
      <c r="K261" s="4" t="str">
        <f aca="false">IF($A261="","",TRIM(Base_Bruta!J261))</f>
        <v>Site</v>
      </c>
      <c r="L261" s="4" t="str">
        <f aca="false">IF($A261="","",TRIM(Base_Bruta!K261))</f>
        <v>C00485</v>
      </c>
      <c r="M261" s="4" t="str">
        <f aca="false">IF($A261="","",_xlfn.XLOOKUP(LOWER(TRIM(Base_Bruta!L261)),DePara_Cidade!$A$2:$A$29,DePara_Cidade!$B$2:$B$29,"REVISAR"))</f>
        <v>São Paulo</v>
      </c>
      <c r="N261" s="4" t="str">
        <f aca="false">IF($A261="","",UPPER(TRIM(Base_Bruta!M261)))</f>
        <v>SP</v>
      </c>
      <c r="O261" s="4" t="str">
        <f aca="false">IF($A261="","",_xlfn.XLOOKUP(LOWER(TRIM(Base_Bruta!N261)),DePara_Pais!$A$2:$A$9,DePara_Pais!$B$2:$B$9,"REVISAR"))</f>
        <v>Brasil</v>
      </c>
      <c r="P261" s="4" t="str">
        <f aca="false">IF($A261="","",IF(O261&lt;&gt;"Brasil","Turista Internacional",IF(M261=F261,"Local","Turista Nacional")))</f>
        <v>Local</v>
      </c>
      <c r="Q261" s="7" t="n">
        <f aca="false">IF($A261="","",DATE(YEAR(B261),MONTH(B261),1))</f>
        <v>45870</v>
      </c>
      <c r="R261" s="4" t="str">
        <f aca="false">IF($A261="","",IF(COUNTIF($A$2:$A261,$A261)&gt;1,"Sim","Não"))</f>
        <v>Não</v>
      </c>
      <c r="S261" s="4" t="str">
        <f aca="false">IF(A261="","Descartar - Linha vazia",IF(R261="Sim","Descartar - Duplicado",IF(OR(H261&lt;=0,I261&lt;=0),"Descartar - Qtd/Valor inválido","OK")))</f>
        <v>OK</v>
      </c>
      <c r="T261" s="4" t="str">
        <f aca="false">Base_Bruta!P261</f>
        <v>vendas_SP.xlsx</v>
      </c>
    </row>
    <row r="262" customFormat="false" ht="15" hidden="false" customHeight="false" outlineLevel="0" collapsed="false">
      <c r="A262" s="4" t="str">
        <f aca="false">IF(Base_Bruta!A262="","",Base_Bruta!A262)</f>
        <v>SP-000087</v>
      </c>
      <c r="B262" s="5" t="n">
        <f aca="false">IF($A262="","",IF(ISNUMBER(Base_Bruta!B262),Base_Bruta!B262,IF(MID(Base_Bruta!B262,5,1)="-",DATE(VALUE(LEFT(Base_Bruta!B262,4)),VALUE(MID(Base_Bruta!B262,6,2)),VALUE(RIGHT(Base_Bruta!B262,2))),DATE(VALUE(RIGHT(Base_Bruta!B262,4)),VALUE(MID(Base_Bruta!B262,4,2)),VALUE(LEFT(Base_Bruta!B262,2))))))</f>
        <v>45885</v>
      </c>
      <c r="C262" s="5" t="n">
        <f aca="false">IF($A262="","",IF(ISNUMBER(Base_Bruta!C262),Base_Bruta!C262,IF(MID(Base_Bruta!C262,5,1)="-",DATE(VALUE(LEFT(Base_Bruta!C262,4)),VALUE(MID(Base_Bruta!C262,6,2)),VALUE(RIGHT(Base_Bruta!C262,2))),DATE(VALUE(RIGHT(Base_Bruta!C262,4)),VALUE(MID(Base_Bruta!C262,4,2)),VALUE(LEFT(Base_Bruta!C262,2))))))</f>
        <v>45976</v>
      </c>
      <c r="D262" s="4" t="str">
        <f aca="false">IF($A262="","",TRIM(Base_Bruta!D262))</f>
        <v>Festival Sonora SP 2025</v>
      </c>
      <c r="E262" s="4" t="str">
        <f aca="false">IF($A262="","",_xlfn.XLOOKUP(LOWER(TRIM(Base_Bruta!E262)),DePara_Categoria!$A$2:$A$9,DePara_Categoria!$B$2:$B$9,"REVISAR"))</f>
        <v>Festival</v>
      </c>
      <c r="F262" s="4" t="str">
        <f aca="false">IF($A262="","",_xlfn.XLOOKUP(LOWER(TRIM(Base_Bruta!F262)),DePara_Cidade!$A$2:$A$29,DePara_Cidade!$B$2:$B$29,"REVISAR"))</f>
        <v>São Paulo</v>
      </c>
      <c r="G262" s="4" t="str">
        <f aca="false">IF($A262="","",TRIM(Base_Bruta!G262))</f>
        <v>Inteira</v>
      </c>
      <c r="H262" s="4" t="n">
        <f aca="false">IF($A262="","",IF(ISNUMBER(Base_Bruta!H262),Base_Bruta!H262,IFERROR(_xlfn.NUMBERVALUE(TRIM(SUBSTITUTE(Base_Bruta!H262,"R$","")),",","."),0)))</f>
        <v>1</v>
      </c>
      <c r="I262" s="6" t="n">
        <f aca="false">IF($A262="","",IF(ISNUMBER(Base_Bruta!I262),Base_Bruta!I262,IFERROR(_xlfn.NUMBERVALUE(TRIM(SUBSTITUTE(Base_Bruta!I262,"R$","")),",","."),0)))</f>
        <v>895</v>
      </c>
      <c r="J262" s="6" t="n">
        <f aca="false">IF($A262="","",H262*I262)</f>
        <v>895</v>
      </c>
      <c r="K262" s="4" t="str">
        <f aca="false">IF($A262="","",TRIM(Base_Bruta!J262))</f>
        <v>Parceiro</v>
      </c>
      <c r="L262" s="4" t="str">
        <f aca="false">IF($A262="","",TRIM(Base_Bruta!K262))</f>
        <v>C00873</v>
      </c>
      <c r="M262" s="4" t="str">
        <f aca="false">IF($A262="","",_xlfn.XLOOKUP(LOWER(TRIM(Base_Bruta!L262)),DePara_Cidade!$A$2:$A$29,DePara_Cidade!$B$2:$B$29,"REVISAR"))</f>
        <v>São Paulo</v>
      </c>
      <c r="N262" s="4" t="str">
        <f aca="false">IF($A262="","",UPPER(TRIM(Base_Bruta!M262)))</f>
        <v>SP</v>
      </c>
      <c r="O262" s="4" t="str">
        <f aca="false">IF($A262="","",_xlfn.XLOOKUP(LOWER(TRIM(Base_Bruta!N262)),DePara_Pais!$A$2:$A$9,DePara_Pais!$B$2:$B$9,"REVISAR"))</f>
        <v>Brasil</v>
      </c>
      <c r="P262" s="4" t="str">
        <f aca="false">IF($A262="","",IF(O262&lt;&gt;"Brasil","Turista Internacional",IF(M262=F262,"Local","Turista Nacional")))</f>
        <v>Local</v>
      </c>
      <c r="Q262" s="7" t="n">
        <f aca="false">IF($A262="","",DATE(YEAR(B262),MONTH(B262),1))</f>
        <v>45870</v>
      </c>
      <c r="R262" s="4" t="str">
        <f aca="false">IF($A262="","",IF(COUNTIF($A$2:$A262,$A262)&gt;1,"Sim","Não"))</f>
        <v>Não</v>
      </c>
      <c r="S262" s="4" t="str">
        <f aca="false">IF(A262="","Descartar - Linha vazia",IF(R262="Sim","Descartar - Duplicado",IF(OR(H262&lt;=0,I262&lt;=0),"Descartar - Qtd/Valor inválido","OK")))</f>
        <v>OK</v>
      </c>
      <c r="T262" s="4" t="str">
        <f aca="false">Base_Bruta!P262</f>
        <v>vendas_SP.xlsx</v>
      </c>
    </row>
    <row r="263" customFormat="false" ht="15" hidden="false" customHeight="false" outlineLevel="0" collapsed="false">
      <c r="A263" s="4" t="str">
        <f aca="false">IF(Base_Bruta!A263="","",Base_Bruta!A263)</f>
        <v>SP-000176</v>
      </c>
      <c r="B263" s="5" t="n">
        <f aca="false">IF($A263="","",IF(ISNUMBER(Base_Bruta!B263),Base_Bruta!B263,IF(MID(Base_Bruta!B263,5,1)="-",DATE(VALUE(LEFT(Base_Bruta!B263,4)),VALUE(MID(Base_Bruta!B263,6,2)),VALUE(RIGHT(Base_Bruta!B263,2))),DATE(VALUE(RIGHT(Base_Bruta!B263,4)),VALUE(MID(Base_Bruta!B263,4,2)),VALUE(LEFT(Base_Bruta!B263,2))))))</f>
        <v>45885</v>
      </c>
      <c r="C263" s="5" t="n">
        <f aca="false">IF($A263="","",IF(ISNUMBER(Base_Bruta!C263),Base_Bruta!C263,IF(MID(Base_Bruta!C263,5,1)="-",DATE(VALUE(LEFT(Base_Bruta!C263,4)),VALUE(MID(Base_Bruta!C263,6,2)),VALUE(RIGHT(Base_Bruta!C263,2))),DATE(VALUE(RIGHT(Base_Bruta!C263,4)),VALUE(MID(Base_Bruta!C263,4,2)),VALUE(LEFT(Base_Bruta!C263,2))))))</f>
        <v>45976</v>
      </c>
      <c r="D263" s="4" t="str">
        <f aca="false">IF($A263="","",TRIM(Base_Bruta!D263))</f>
        <v>Festival Sonora SP 2025</v>
      </c>
      <c r="E263" s="4" t="str">
        <f aca="false">IF($A263="","",_xlfn.XLOOKUP(LOWER(TRIM(Base_Bruta!E263)),DePara_Categoria!$A$2:$A$9,DePara_Categoria!$B$2:$B$9,"REVISAR"))</f>
        <v>Festival</v>
      </c>
      <c r="F263" s="4" t="str">
        <f aca="false">IF($A263="","",_xlfn.XLOOKUP(LOWER(TRIM(Base_Bruta!F263)),DePara_Cidade!$A$2:$A$29,DePara_Cidade!$B$2:$B$29,"REVISAR"))</f>
        <v>São Paulo</v>
      </c>
      <c r="G263" s="4" t="str">
        <f aca="false">IF($A263="","",TRIM(Base_Bruta!G263))</f>
        <v>VIP</v>
      </c>
      <c r="H263" s="4" t="n">
        <f aca="false">IF($A263="","",IF(ISNUMBER(Base_Bruta!H263),Base_Bruta!H263,IFERROR(_xlfn.NUMBERVALUE(TRIM(SUBSTITUTE(Base_Bruta!H263,"R$","")),",","."),0)))</f>
        <v>1</v>
      </c>
      <c r="I263" s="6" t="n">
        <f aca="false">IF($A263="","",IF(ISNUMBER(Base_Bruta!I263),Base_Bruta!I263,IFERROR(_xlfn.NUMBERVALUE(TRIM(SUBSTITUTE(Base_Bruta!I263,"R$","")),",","."),0)))</f>
        <v>2160</v>
      </c>
      <c r="J263" s="6" t="n">
        <f aca="false">IF($A263="","",H263*I263)</f>
        <v>2160</v>
      </c>
      <c r="K263" s="4" t="str">
        <f aca="false">IF($A263="","",TRIM(Base_Bruta!J263))</f>
        <v>Bilheteria</v>
      </c>
      <c r="L263" s="4" t="str">
        <f aca="false">IF($A263="","",TRIM(Base_Bruta!K263))</f>
        <v>C00017</v>
      </c>
      <c r="M263" s="4" t="str">
        <f aca="false">IF($A263="","",_xlfn.XLOOKUP(LOWER(TRIM(Base_Bruta!L263)),DePara_Cidade!$A$2:$A$29,DePara_Cidade!$B$2:$B$29,"REVISAR"))</f>
        <v>São Paulo</v>
      </c>
      <c r="N263" s="4" t="str">
        <f aca="false">IF($A263="","",UPPER(TRIM(Base_Bruta!M263)))</f>
        <v>SP</v>
      </c>
      <c r="O263" s="4" t="str">
        <f aca="false">IF($A263="","",_xlfn.XLOOKUP(LOWER(TRIM(Base_Bruta!N263)),DePara_Pais!$A$2:$A$9,DePara_Pais!$B$2:$B$9,"REVISAR"))</f>
        <v>Brasil</v>
      </c>
      <c r="P263" s="4" t="str">
        <f aca="false">IF($A263="","",IF(O263&lt;&gt;"Brasil","Turista Internacional",IF(M263=F263,"Local","Turista Nacional")))</f>
        <v>Local</v>
      </c>
      <c r="Q263" s="7" t="n">
        <f aca="false">IF($A263="","",DATE(YEAR(B263),MONTH(B263),1))</f>
        <v>45870</v>
      </c>
      <c r="R263" s="4" t="str">
        <f aca="false">IF($A263="","",IF(COUNTIF($A$2:$A263,$A263)&gt;1,"Sim","Não"))</f>
        <v>Não</v>
      </c>
      <c r="S263" s="4" t="str">
        <f aca="false">IF(A263="","Descartar - Linha vazia",IF(R263="Sim","Descartar - Duplicado",IF(OR(H263&lt;=0,I263&lt;=0),"Descartar - Qtd/Valor inválido","OK")))</f>
        <v>OK</v>
      </c>
      <c r="T263" s="4" t="str">
        <f aca="false">Base_Bruta!P263</f>
        <v>vendas_SP.xlsx</v>
      </c>
    </row>
    <row r="264" customFormat="false" ht="15" hidden="false" customHeight="false" outlineLevel="0" collapsed="false">
      <c r="A264" s="4" t="str">
        <f aca="false">IF(Base_Bruta!A264="","",Base_Bruta!A264)</f>
        <v>SP-000151</v>
      </c>
      <c r="B264" s="5" t="n">
        <f aca="false">IF($A264="","",IF(ISNUMBER(Base_Bruta!B264),Base_Bruta!B264,IF(MID(Base_Bruta!B264,5,1)="-",DATE(VALUE(LEFT(Base_Bruta!B264,4)),VALUE(MID(Base_Bruta!B264,6,2)),VALUE(RIGHT(Base_Bruta!B264,2))),DATE(VALUE(RIGHT(Base_Bruta!B264,4)),VALUE(MID(Base_Bruta!B264,4,2)),VALUE(LEFT(Base_Bruta!B264,2))))))</f>
        <v>45886</v>
      </c>
      <c r="C264" s="5" t="n">
        <f aca="false">IF($A264="","",IF(ISNUMBER(Base_Bruta!C264),Base_Bruta!C264,IF(MID(Base_Bruta!C264,5,1)="-",DATE(VALUE(LEFT(Base_Bruta!C264,4)),VALUE(MID(Base_Bruta!C264,6,2)),VALUE(RIGHT(Base_Bruta!C264,2))),DATE(VALUE(RIGHT(Base_Bruta!C264,4)),VALUE(MID(Base_Bruta!C264,4,2)),VALUE(LEFT(Base_Bruta!C264,2))))))</f>
        <v>45976</v>
      </c>
      <c r="D264" s="4" t="str">
        <f aca="false">IF($A264="","",TRIM(Base_Bruta!D264))</f>
        <v>Festival Sonora SP 2025</v>
      </c>
      <c r="E264" s="4" t="str">
        <f aca="false">IF($A264="","",_xlfn.XLOOKUP(LOWER(TRIM(Base_Bruta!E264)),DePara_Categoria!$A$2:$A$9,DePara_Categoria!$B$2:$B$9,"REVISAR"))</f>
        <v>Festival</v>
      </c>
      <c r="F264" s="4" t="str">
        <f aca="false">IF($A264="","",_xlfn.XLOOKUP(LOWER(TRIM(Base_Bruta!F264)),DePara_Cidade!$A$2:$A$29,DePara_Cidade!$B$2:$B$29,"REVISAR"))</f>
        <v>São Paulo</v>
      </c>
      <c r="G264" s="4" t="str">
        <f aca="false">IF($A264="","",TRIM(Base_Bruta!G264))</f>
        <v>Meia</v>
      </c>
      <c r="H264" s="4" t="n">
        <f aca="false">IF($A264="","",IF(ISNUMBER(Base_Bruta!H264),Base_Bruta!H264,IFERROR(_xlfn.NUMBERVALUE(TRIM(SUBSTITUTE(Base_Bruta!H264,"R$","")),",","."),0)))</f>
        <v>2</v>
      </c>
      <c r="I264" s="6" t="n">
        <f aca="false">IF($A264="","",IF(ISNUMBER(Base_Bruta!I264),Base_Bruta!I264,IFERROR(_xlfn.NUMBERVALUE(TRIM(SUBSTITUTE(Base_Bruta!I264,"R$","")),",","."),0)))</f>
        <v>432.5</v>
      </c>
      <c r="J264" s="6" t="n">
        <f aca="false">IF($A264="","",H264*I264)</f>
        <v>865</v>
      </c>
      <c r="K264" s="4" t="str">
        <f aca="false">IF($A264="","",TRIM(Base_Bruta!J264))</f>
        <v>App</v>
      </c>
      <c r="L264" s="4" t="str">
        <f aca="false">IF($A264="","",TRIM(Base_Bruta!K264))</f>
        <v>C00829</v>
      </c>
      <c r="M264" s="4" t="str">
        <f aca="false">IF($A264="","",_xlfn.XLOOKUP(LOWER(TRIM(Base_Bruta!L264)),DePara_Cidade!$A$2:$A$29,DePara_Cidade!$B$2:$B$29,"REVISAR"))</f>
        <v>Lisboa</v>
      </c>
      <c r="N264" s="4" t="str">
        <f aca="false">IF($A264="","",UPPER(TRIM(Base_Bruta!M264)))</f>
        <v>EX</v>
      </c>
      <c r="O264" s="4" t="str">
        <f aca="false">IF($A264="","",_xlfn.XLOOKUP(LOWER(TRIM(Base_Bruta!N264)),DePara_Pais!$A$2:$A$9,DePara_Pais!$B$2:$B$9,"REVISAR"))</f>
        <v>Portugal</v>
      </c>
      <c r="P264" s="4" t="str">
        <f aca="false">IF($A264="","",IF(O264&lt;&gt;"Brasil","Turista Internacional",IF(M264=F264,"Local","Turista Nacional")))</f>
        <v>Turista Internacional</v>
      </c>
      <c r="Q264" s="7" t="n">
        <f aca="false">IF($A264="","",DATE(YEAR(B264),MONTH(B264),1))</f>
        <v>45870</v>
      </c>
      <c r="R264" s="4" t="str">
        <f aca="false">IF($A264="","",IF(COUNTIF($A$2:$A264,$A264)&gt;1,"Sim","Não"))</f>
        <v>Não</v>
      </c>
      <c r="S264" s="4" t="str">
        <f aca="false">IF(A264="","Descartar - Linha vazia",IF(R264="Sim","Descartar - Duplicado",IF(OR(H264&lt;=0,I264&lt;=0),"Descartar - Qtd/Valor inválido","OK")))</f>
        <v>OK</v>
      </c>
      <c r="T264" s="4" t="str">
        <f aca="false">Base_Bruta!P264</f>
        <v>vendas_SP.xlsx</v>
      </c>
    </row>
    <row r="265" customFormat="false" ht="15" hidden="false" customHeight="false" outlineLevel="0" collapsed="false">
      <c r="A265" s="4" t="str">
        <f aca="false">IF(Base_Bruta!A265="","",Base_Bruta!A265)</f>
        <v>SP-000527</v>
      </c>
      <c r="B265" s="5" t="n">
        <f aca="false">IF($A265="","",IF(ISNUMBER(Base_Bruta!B265),Base_Bruta!B265,IF(MID(Base_Bruta!B265,5,1)="-",DATE(VALUE(LEFT(Base_Bruta!B265,4)),VALUE(MID(Base_Bruta!B265,6,2)),VALUE(RIGHT(Base_Bruta!B265,2))),DATE(VALUE(RIGHT(Base_Bruta!B265,4)),VALUE(MID(Base_Bruta!B265,4,2)),VALUE(LEFT(Base_Bruta!B265,2))))))</f>
        <v>45886</v>
      </c>
      <c r="C265" s="5" t="n">
        <f aca="false">IF($A265="","",IF(ISNUMBER(Base_Bruta!C265),Base_Bruta!C265,IF(MID(Base_Bruta!C265,5,1)="-",DATE(VALUE(LEFT(Base_Bruta!C265,4)),VALUE(MID(Base_Bruta!C265,6,2)),VALUE(RIGHT(Base_Bruta!C265,2))),DATE(VALUE(RIGHT(Base_Bruta!C265,4)),VALUE(MID(Base_Bruta!C265,4,2)),VALUE(LEFT(Base_Bruta!C265,2))))))</f>
        <v>45934</v>
      </c>
      <c r="D265" s="4" t="str">
        <f aca="false">IF($A265="","",TRIM(Base_Bruta!D265))</f>
        <v>Turnê Internacional Pop - SP</v>
      </c>
      <c r="E265" s="4" t="str">
        <f aca="false">IF($A265="","",_xlfn.XLOOKUP(LOWER(TRIM(Base_Bruta!E265)),DePara_Categoria!$A$2:$A$9,DePara_Categoria!$B$2:$B$9,"REVISAR"))</f>
        <v>Show</v>
      </c>
      <c r="F265" s="4" t="str">
        <f aca="false">IF($A265="","",_xlfn.XLOOKUP(LOWER(TRIM(Base_Bruta!F265)),DePara_Cidade!$A$2:$A$29,DePara_Cidade!$B$2:$B$29,"REVISAR"))</f>
        <v>São Paulo</v>
      </c>
      <c r="G265" s="4" t="str">
        <f aca="false">IF($A265="","",TRIM(Base_Bruta!G265))</f>
        <v>Inteira</v>
      </c>
      <c r="H265" s="4" t="n">
        <f aca="false">IF($A265="","",IF(ISNUMBER(Base_Bruta!H265),Base_Bruta!H265,IFERROR(_xlfn.NUMBERVALUE(TRIM(SUBSTITUTE(Base_Bruta!H265,"R$","")),",","."),0)))</f>
        <v>3</v>
      </c>
      <c r="I265" s="6" t="n">
        <f aca="false">IF($A265="","",IF(ISNUMBER(Base_Bruta!I265),Base_Bruta!I265,IFERROR(_xlfn.NUMBERVALUE(TRIM(SUBSTITUTE(Base_Bruta!I265,"R$","")),",","."),0)))</f>
        <v>425</v>
      </c>
      <c r="J265" s="6" t="n">
        <f aca="false">IF($A265="","",H265*I265)</f>
        <v>1275</v>
      </c>
      <c r="K265" s="4" t="str">
        <f aca="false">IF($A265="","",TRIM(Base_Bruta!J265))</f>
        <v>App</v>
      </c>
      <c r="L265" s="4" t="str">
        <f aca="false">IF($A265="","",TRIM(Base_Bruta!K265))</f>
        <v>C00233</v>
      </c>
      <c r="M265" s="4" t="str">
        <f aca="false">IF($A265="","",_xlfn.XLOOKUP(LOWER(TRIM(Base_Bruta!L265)),DePara_Cidade!$A$2:$A$29,DePara_Cidade!$B$2:$B$29,"REVISAR"))</f>
        <v>São Paulo</v>
      </c>
      <c r="N265" s="4" t="str">
        <f aca="false">IF($A265="","",UPPER(TRIM(Base_Bruta!M265)))</f>
        <v>SP</v>
      </c>
      <c r="O265" s="4" t="str">
        <f aca="false">IF($A265="","",_xlfn.XLOOKUP(LOWER(TRIM(Base_Bruta!N265)),DePara_Pais!$A$2:$A$9,DePara_Pais!$B$2:$B$9,"REVISAR"))</f>
        <v>Brasil</v>
      </c>
      <c r="P265" s="4" t="str">
        <f aca="false">IF($A265="","",IF(O265&lt;&gt;"Brasil","Turista Internacional",IF(M265=F265,"Local","Turista Nacional")))</f>
        <v>Local</v>
      </c>
      <c r="Q265" s="7" t="n">
        <f aca="false">IF($A265="","",DATE(YEAR(B265),MONTH(B265),1))</f>
        <v>45870</v>
      </c>
      <c r="R265" s="4" t="str">
        <f aca="false">IF($A265="","",IF(COUNTIF($A$2:$A265,$A265)&gt;1,"Sim","Não"))</f>
        <v>Não</v>
      </c>
      <c r="S265" s="4" t="str">
        <f aca="false">IF(A265="","Descartar - Linha vazia",IF(R265="Sim","Descartar - Duplicado",IF(OR(H265&lt;=0,I265&lt;=0),"Descartar - Qtd/Valor inválido","OK")))</f>
        <v>OK</v>
      </c>
      <c r="T265" s="4" t="str">
        <f aca="false">Base_Bruta!P265</f>
        <v>vendas_SP.xlsx</v>
      </c>
    </row>
    <row r="266" customFormat="false" ht="15" hidden="false" customHeight="false" outlineLevel="0" collapsed="false">
      <c r="A266" s="4" t="str">
        <f aca="false">IF(Base_Bruta!A266="","",Base_Bruta!A266)</f>
        <v>SP-000571</v>
      </c>
      <c r="B266" s="5" t="n">
        <f aca="false">IF($A266="","",IF(ISNUMBER(Base_Bruta!B266),Base_Bruta!B266,IF(MID(Base_Bruta!B266,5,1)="-",DATE(VALUE(LEFT(Base_Bruta!B266,4)),VALUE(MID(Base_Bruta!B266,6,2)),VALUE(RIGHT(Base_Bruta!B266,2))),DATE(VALUE(RIGHT(Base_Bruta!B266,4)),VALUE(MID(Base_Bruta!B266,4,2)),VALUE(LEFT(Base_Bruta!B266,2))))))</f>
        <v>45886</v>
      </c>
      <c r="C266" s="5" t="n">
        <f aca="false">IF($A266="","",IF(ISNUMBER(Base_Bruta!C266),Base_Bruta!C266,IF(MID(Base_Bruta!C266,5,1)="-",DATE(VALUE(LEFT(Base_Bruta!C266,4)),VALUE(MID(Base_Bruta!C266,6,2)),VALUE(RIGHT(Base_Bruta!C266,2))),DATE(VALUE(RIGHT(Base_Bruta!C266,4)),VALUE(MID(Base_Bruta!C266,4,2)),VALUE(LEFT(Base_Bruta!C266,2))))))</f>
        <v>45934</v>
      </c>
      <c r="D266" s="4" t="str">
        <f aca="false">IF($A266="","",TRIM(Base_Bruta!D266))</f>
        <v>Turnê Internacional Pop - SP</v>
      </c>
      <c r="E266" s="4" t="str">
        <f aca="false">IF($A266="","",_xlfn.XLOOKUP(LOWER(TRIM(Base_Bruta!E266)),DePara_Categoria!$A$2:$A$9,DePara_Categoria!$B$2:$B$9,"REVISAR"))</f>
        <v>Show</v>
      </c>
      <c r="F266" s="4" t="str">
        <f aca="false">IF($A266="","",_xlfn.XLOOKUP(LOWER(TRIM(Base_Bruta!F266)),DePara_Cidade!$A$2:$A$29,DePara_Cidade!$B$2:$B$29,"REVISAR"))</f>
        <v>São Paulo</v>
      </c>
      <c r="G266" s="4" t="str">
        <f aca="false">IF($A266="","",TRIM(Base_Bruta!G266))</f>
        <v>Inteira</v>
      </c>
      <c r="H266" s="4" t="n">
        <f aca="false">IF($A266="","",IF(ISNUMBER(Base_Bruta!H266),Base_Bruta!H266,IFERROR(_xlfn.NUMBERVALUE(TRIM(SUBSTITUTE(Base_Bruta!H266,"R$","")),",","."),0)))</f>
        <v>1</v>
      </c>
      <c r="I266" s="6" t="n">
        <f aca="false">IF($A266="","",IF(ISNUMBER(Base_Bruta!I266),Base_Bruta!I266,IFERROR(_xlfn.NUMBERVALUE(TRIM(SUBSTITUTE(Base_Bruta!I266,"R$","")),",","."),0)))</f>
        <v>515</v>
      </c>
      <c r="J266" s="6" t="n">
        <f aca="false">IF($A266="","",H266*I266)</f>
        <v>515</v>
      </c>
      <c r="K266" s="4" t="str">
        <f aca="false">IF($A266="","",TRIM(Base_Bruta!J266))</f>
        <v>Site</v>
      </c>
      <c r="L266" s="4" t="str">
        <f aca="false">IF($A266="","",TRIM(Base_Bruta!K266))</f>
        <v>C01916</v>
      </c>
      <c r="M266" s="4" t="str">
        <f aca="false">IF($A266="","",_xlfn.XLOOKUP(LOWER(TRIM(Base_Bruta!L266)),DePara_Cidade!$A$2:$A$29,DePara_Cidade!$B$2:$B$29,"REVISAR"))</f>
        <v>São Paulo</v>
      </c>
      <c r="N266" s="4" t="str">
        <f aca="false">IF($A266="","",UPPER(TRIM(Base_Bruta!M266)))</f>
        <v>SP</v>
      </c>
      <c r="O266" s="4" t="str">
        <f aca="false">IF($A266="","",_xlfn.XLOOKUP(LOWER(TRIM(Base_Bruta!N266)),DePara_Pais!$A$2:$A$9,DePara_Pais!$B$2:$B$9,"REVISAR"))</f>
        <v>Brasil</v>
      </c>
      <c r="P266" s="4" t="str">
        <f aca="false">IF($A266="","",IF(O266&lt;&gt;"Brasil","Turista Internacional",IF(M266=F266,"Local","Turista Nacional")))</f>
        <v>Local</v>
      </c>
      <c r="Q266" s="7" t="n">
        <f aca="false">IF($A266="","",DATE(YEAR(B266),MONTH(B266),1))</f>
        <v>45870</v>
      </c>
      <c r="R266" s="4" t="str">
        <f aca="false">IF($A266="","",IF(COUNTIF($A$2:$A266,$A266)&gt;1,"Sim","Não"))</f>
        <v>Não</v>
      </c>
      <c r="S266" s="4" t="str">
        <f aca="false">IF(A266="","Descartar - Linha vazia",IF(R266="Sim","Descartar - Duplicado",IF(OR(H266&lt;=0,I266&lt;=0),"Descartar - Qtd/Valor inválido","OK")))</f>
        <v>OK</v>
      </c>
      <c r="T266" s="4" t="str">
        <f aca="false">Base_Bruta!P266</f>
        <v>vendas_SP.xlsx</v>
      </c>
    </row>
    <row r="267" customFormat="false" ht="15" hidden="false" customHeight="false" outlineLevel="0" collapsed="false">
      <c r="A267" s="4" t="str">
        <f aca="false">IF(Base_Bruta!A267="","",Base_Bruta!A267)</f>
        <v>SP-000742</v>
      </c>
      <c r="B267" s="5" t="n">
        <f aca="false">IF($A267="","",IF(ISNUMBER(Base_Bruta!B267),Base_Bruta!B267,IF(MID(Base_Bruta!B267,5,1)="-",DATE(VALUE(LEFT(Base_Bruta!B267,4)),VALUE(MID(Base_Bruta!B267,6,2)),VALUE(RIGHT(Base_Bruta!B267,2))),DATE(VALUE(RIGHT(Base_Bruta!B267,4)),VALUE(MID(Base_Bruta!B267,4,2)),VALUE(LEFT(Base_Bruta!B267,2))))))</f>
        <v>45886</v>
      </c>
      <c r="C267" s="5" t="n">
        <f aca="false">IF($A267="","",IF(ISNUMBER(Base_Bruta!C267),Base_Bruta!C267,IF(MID(Base_Bruta!C267,5,1)="-",DATE(VALUE(LEFT(Base_Bruta!C267,4)),VALUE(MID(Base_Bruta!C267,6,2)),VALUE(RIGHT(Base_Bruta!C267,2))),DATE(VALUE(RIGHT(Base_Bruta!C267,4)),VALUE(MID(Base_Bruta!C267,4,2)),VALUE(LEFT(Base_Bruta!C267,2))))))</f>
        <v>45886</v>
      </c>
      <c r="D267" s="4" t="str">
        <f aca="false">IF($A267="","",TRIM(Base_Bruta!D267))</f>
        <v>Cinema Paulista - Sessões</v>
      </c>
      <c r="E267" s="4" t="str">
        <f aca="false">IF($A267="","",_xlfn.XLOOKUP(LOWER(TRIM(Base_Bruta!E267)),DePara_Categoria!$A$2:$A$9,DePara_Categoria!$B$2:$B$9,"REVISAR"))</f>
        <v>Cinema</v>
      </c>
      <c r="F267" s="4" t="str">
        <f aca="false">IF($A267="","",_xlfn.XLOOKUP(LOWER(TRIM(Base_Bruta!F267)),DePara_Cidade!$A$2:$A$29,DePara_Cidade!$B$2:$B$29,"REVISAR"))</f>
        <v>São Paulo</v>
      </c>
      <c r="G267" s="4" t="str">
        <f aca="false">IF($A267="","",TRIM(Base_Bruta!G267))</f>
        <v>Inteira</v>
      </c>
      <c r="H267" s="4" t="n">
        <f aca="false">IF($A267="","",IF(ISNUMBER(Base_Bruta!H267),Base_Bruta!H267,IFERROR(_xlfn.NUMBERVALUE(TRIM(SUBSTITUTE(Base_Bruta!H267,"R$","")),",","."),0)))</f>
        <v>3</v>
      </c>
      <c r="I267" s="6" t="n">
        <f aca="false">IF($A267="","",IF(ISNUMBER(Base_Bruta!I267),Base_Bruta!I267,IFERROR(_xlfn.NUMBERVALUE(TRIM(SUBSTITUTE(Base_Bruta!I267,"R$","")),",","."),0)))</f>
        <v>35</v>
      </c>
      <c r="J267" s="6" t="n">
        <f aca="false">IF($A267="","",H267*I267)</f>
        <v>105</v>
      </c>
      <c r="K267" s="4" t="str">
        <f aca="false">IF($A267="","",TRIM(Base_Bruta!J267))</f>
        <v>App</v>
      </c>
      <c r="L267" s="4" t="str">
        <f aca="false">IF($A267="","",TRIM(Base_Bruta!K267))</f>
        <v>C00873</v>
      </c>
      <c r="M267" s="4" t="str">
        <f aca="false">IF($A267="","",_xlfn.XLOOKUP(LOWER(TRIM(Base_Bruta!L267)),DePara_Cidade!$A$2:$A$29,DePara_Cidade!$B$2:$B$29,"REVISAR"))</f>
        <v>São Paulo</v>
      </c>
      <c r="N267" s="4" t="str">
        <f aca="false">IF($A267="","",UPPER(TRIM(Base_Bruta!M267)))</f>
        <v>SP</v>
      </c>
      <c r="O267" s="4" t="str">
        <f aca="false">IF($A267="","",_xlfn.XLOOKUP(LOWER(TRIM(Base_Bruta!N267)),DePara_Pais!$A$2:$A$9,DePara_Pais!$B$2:$B$9,"REVISAR"))</f>
        <v>Brasil</v>
      </c>
      <c r="P267" s="4" t="str">
        <f aca="false">IF($A267="","",IF(O267&lt;&gt;"Brasil","Turista Internacional",IF(M267=F267,"Local","Turista Nacional")))</f>
        <v>Local</v>
      </c>
      <c r="Q267" s="7" t="n">
        <f aca="false">IF($A267="","",DATE(YEAR(B267),MONTH(B267),1))</f>
        <v>45870</v>
      </c>
      <c r="R267" s="4" t="str">
        <f aca="false">IF($A267="","",IF(COUNTIF($A$2:$A267,$A267)&gt;1,"Sim","Não"))</f>
        <v>Não</v>
      </c>
      <c r="S267" s="4" t="str">
        <f aca="false">IF(A267="","Descartar - Linha vazia",IF(R267="Sim","Descartar - Duplicado",IF(OR(H267&lt;=0,I267&lt;=0),"Descartar - Qtd/Valor inválido","OK")))</f>
        <v>OK</v>
      </c>
      <c r="T267" s="4" t="str">
        <f aca="false">Base_Bruta!P267</f>
        <v>vendas_SP.xlsx</v>
      </c>
    </row>
    <row r="268" customFormat="false" ht="15" hidden="false" customHeight="false" outlineLevel="0" collapsed="false">
      <c r="A268" s="4" t="str">
        <f aca="false">IF(Base_Bruta!A268="","",Base_Bruta!A268)</f>
        <v>SP-000037</v>
      </c>
      <c r="B268" s="5" t="n">
        <f aca="false">IF($A268="","",IF(ISNUMBER(Base_Bruta!B268),Base_Bruta!B268,IF(MID(Base_Bruta!B268,5,1)="-",DATE(VALUE(LEFT(Base_Bruta!B268,4)),VALUE(MID(Base_Bruta!B268,6,2)),VALUE(RIGHT(Base_Bruta!B268,2))),DATE(VALUE(RIGHT(Base_Bruta!B268,4)),VALUE(MID(Base_Bruta!B268,4,2)),VALUE(LEFT(Base_Bruta!B268,2))))))</f>
        <v>45887</v>
      </c>
      <c r="C268" s="5" t="n">
        <f aca="false">IF($A268="","",IF(ISNUMBER(Base_Bruta!C268),Base_Bruta!C268,IF(MID(Base_Bruta!C268,5,1)="-",DATE(VALUE(LEFT(Base_Bruta!C268,4)),VALUE(MID(Base_Bruta!C268,6,2)),VALUE(RIGHT(Base_Bruta!C268,2))),DATE(VALUE(RIGHT(Base_Bruta!C268,4)),VALUE(MID(Base_Bruta!C268,4,2)),VALUE(LEFT(Base_Bruta!C268,2))))))</f>
        <v>45976</v>
      </c>
      <c r="D268" s="4" t="str">
        <f aca="false">IF($A268="","",TRIM(Base_Bruta!D268))</f>
        <v>Festival Sonora SP 2025</v>
      </c>
      <c r="E268" s="4" t="str">
        <f aca="false">IF($A268="","",_xlfn.XLOOKUP(LOWER(TRIM(Base_Bruta!E268)),DePara_Categoria!$A$2:$A$9,DePara_Categoria!$B$2:$B$9,"REVISAR"))</f>
        <v>Festival</v>
      </c>
      <c r="F268" s="4" t="str">
        <f aca="false">IF($A268="","",_xlfn.XLOOKUP(LOWER(TRIM(Base_Bruta!F268)),DePara_Cidade!$A$2:$A$29,DePara_Cidade!$B$2:$B$29,"REVISAR"))</f>
        <v>São Paulo</v>
      </c>
      <c r="G268" s="4" t="str">
        <f aca="false">IF($A268="","",TRIM(Base_Bruta!G268))</f>
        <v>Inteira</v>
      </c>
      <c r="H268" s="4" t="n">
        <f aca="false">IF($A268="","",IF(ISNUMBER(Base_Bruta!H268),Base_Bruta!H268,IFERROR(_xlfn.NUMBERVALUE(TRIM(SUBSTITUTE(Base_Bruta!H268,"R$","")),",","."),0)))</f>
        <v>1</v>
      </c>
      <c r="I268" s="6" t="n">
        <f aca="false">IF($A268="","",IF(ISNUMBER(Base_Bruta!I268),Base_Bruta!I268,IFERROR(_xlfn.NUMBERVALUE(TRIM(SUBSTITUTE(Base_Bruta!I268,"R$","")),",","."),0)))</f>
        <v>795</v>
      </c>
      <c r="J268" s="6" t="n">
        <f aca="false">IF($A268="","",H268*I268)</f>
        <v>795</v>
      </c>
      <c r="K268" s="4" t="str">
        <f aca="false">IF($A268="","",TRIM(Base_Bruta!J268))</f>
        <v>Site</v>
      </c>
      <c r="L268" s="4" t="str">
        <f aca="false">IF($A268="","",TRIM(Base_Bruta!K268))</f>
        <v>C00419</v>
      </c>
      <c r="M268" s="4" t="str">
        <f aca="false">IF($A268="","",_xlfn.XLOOKUP(LOWER(TRIM(Base_Bruta!L268)),DePara_Cidade!$A$2:$A$29,DePara_Cidade!$B$2:$B$29,"REVISAR"))</f>
        <v>Belo Horizonte</v>
      </c>
      <c r="N268" s="4" t="str">
        <f aca="false">IF($A268="","",UPPER(TRIM(Base_Bruta!M268)))</f>
        <v>MG</v>
      </c>
      <c r="O268" s="4" t="str">
        <f aca="false">IF($A268="","",_xlfn.XLOOKUP(LOWER(TRIM(Base_Bruta!N268)),DePara_Pais!$A$2:$A$9,DePara_Pais!$B$2:$B$9,"REVISAR"))</f>
        <v>Brasil</v>
      </c>
      <c r="P268" s="4" t="str">
        <f aca="false">IF($A268="","",IF(O268&lt;&gt;"Brasil","Turista Internacional",IF(M268=F268,"Local","Turista Nacional")))</f>
        <v>Turista Nacional</v>
      </c>
      <c r="Q268" s="7" t="n">
        <f aca="false">IF($A268="","",DATE(YEAR(B268),MONTH(B268),1))</f>
        <v>45870</v>
      </c>
      <c r="R268" s="4" t="str">
        <f aca="false">IF($A268="","",IF(COUNTIF($A$2:$A268,$A268)&gt;1,"Sim","Não"))</f>
        <v>Não</v>
      </c>
      <c r="S268" s="4" t="str">
        <f aca="false">IF(A268="","Descartar - Linha vazia",IF(R268="Sim","Descartar - Duplicado",IF(OR(H268&lt;=0,I268&lt;=0),"Descartar - Qtd/Valor inválido","OK")))</f>
        <v>OK</v>
      </c>
      <c r="T268" s="4" t="str">
        <f aca="false">Base_Bruta!P268</f>
        <v>vendas_SP.xlsx</v>
      </c>
    </row>
    <row r="269" customFormat="false" ht="15" hidden="false" customHeight="false" outlineLevel="0" collapsed="false">
      <c r="A269" s="4" t="str">
        <f aca="false">IF(Base_Bruta!A269="","",Base_Bruta!A269)</f>
        <v>SP-000585</v>
      </c>
      <c r="B269" s="5" t="n">
        <f aca="false">IF($A269="","",IF(ISNUMBER(Base_Bruta!B269),Base_Bruta!B269,IF(MID(Base_Bruta!B269,5,1)="-",DATE(VALUE(LEFT(Base_Bruta!B269,4)),VALUE(MID(Base_Bruta!B269,6,2)),VALUE(RIGHT(Base_Bruta!B269,2))),DATE(VALUE(RIGHT(Base_Bruta!B269,4)),VALUE(MID(Base_Bruta!B269,4,2)),VALUE(LEFT(Base_Bruta!B269,2))))))</f>
        <v>45887</v>
      </c>
      <c r="C269" s="5" t="n">
        <f aca="false">IF($A269="","",IF(ISNUMBER(Base_Bruta!C269),Base_Bruta!C269,IF(MID(Base_Bruta!C269,5,1)="-",DATE(VALUE(LEFT(Base_Bruta!C269,4)),VALUE(MID(Base_Bruta!C269,6,2)),VALUE(RIGHT(Base_Bruta!C269,2))),DATE(VALUE(RIGHT(Base_Bruta!C269,4)),VALUE(MID(Base_Bruta!C269,4,2)),VALUE(LEFT(Base_Bruta!C269,2))))))</f>
        <v>45934</v>
      </c>
      <c r="D269" s="4" t="str">
        <f aca="false">IF($A269="","",TRIM(Base_Bruta!D269))</f>
        <v>Turnê Internacional Pop - SP</v>
      </c>
      <c r="E269" s="4" t="str">
        <f aca="false">IF($A269="","",_xlfn.XLOOKUP(LOWER(TRIM(Base_Bruta!E269)),DePara_Categoria!$A$2:$A$9,DePara_Categoria!$B$2:$B$9,"REVISAR"))</f>
        <v>Show</v>
      </c>
      <c r="F269" s="4" t="str">
        <f aca="false">IF($A269="","",_xlfn.XLOOKUP(LOWER(TRIM(Base_Bruta!F269)),DePara_Cidade!$A$2:$A$29,DePara_Cidade!$B$2:$B$29,"REVISAR"))</f>
        <v>São Paulo</v>
      </c>
      <c r="G269" s="4" t="str">
        <f aca="false">IF($A269="","",TRIM(Base_Bruta!G269))</f>
        <v>Inteira</v>
      </c>
      <c r="H269" s="4" t="n">
        <f aca="false">IF($A269="","",IF(ISNUMBER(Base_Bruta!H269),Base_Bruta!H269,IFERROR(_xlfn.NUMBERVALUE(TRIM(SUBSTITUTE(Base_Bruta!H269,"R$","")),",","."),0)))</f>
        <v>2</v>
      </c>
      <c r="I269" s="6" t="n">
        <f aca="false">IF($A269="","",IF(ISNUMBER(Base_Bruta!I269),Base_Bruta!I269,IFERROR(_xlfn.NUMBERVALUE(TRIM(SUBSTITUTE(Base_Bruta!I269,"R$","")),",","."),0)))</f>
        <v>245</v>
      </c>
      <c r="J269" s="6" t="n">
        <f aca="false">IF($A269="","",H269*I269)</f>
        <v>490</v>
      </c>
      <c r="K269" s="4" t="str">
        <f aca="false">IF($A269="","",TRIM(Base_Bruta!J269))</f>
        <v>App</v>
      </c>
      <c r="L269" s="4" t="str">
        <f aca="false">IF($A269="","",TRIM(Base_Bruta!K269))</f>
        <v>C01163</v>
      </c>
      <c r="M269" s="4" t="str">
        <f aca="false">IF($A269="","",_xlfn.XLOOKUP(LOWER(TRIM(Base_Bruta!L269)),DePara_Cidade!$A$2:$A$29,DePara_Cidade!$B$2:$B$29,"REVISAR"))</f>
        <v>São Paulo</v>
      </c>
      <c r="N269" s="4" t="str">
        <f aca="false">IF($A269="","",UPPER(TRIM(Base_Bruta!M269)))</f>
        <v>SP</v>
      </c>
      <c r="O269" s="4" t="str">
        <f aca="false">IF($A269="","",_xlfn.XLOOKUP(LOWER(TRIM(Base_Bruta!N269)),DePara_Pais!$A$2:$A$9,DePara_Pais!$B$2:$B$9,"REVISAR"))</f>
        <v>Brasil</v>
      </c>
      <c r="P269" s="4" t="str">
        <f aca="false">IF($A269="","",IF(O269&lt;&gt;"Brasil","Turista Internacional",IF(M269=F269,"Local","Turista Nacional")))</f>
        <v>Local</v>
      </c>
      <c r="Q269" s="7" t="n">
        <f aca="false">IF($A269="","",DATE(YEAR(B269),MONTH(B269),1))</f>
        <v>45870</v>
      </c>
      <c r="R269" s="4" t="str">
        <f aca="false">IF($A269="","",IF(COUNTIF($A$2:$A269,$A269)&gt;1,"Sim","Não"))</f>
        <v>Não</v>
      </c>
      <c r="S269" s="4" t="str">
        <f aca="false">IF(A269="","Descartar - Linha vazia",IF(R269="Sim","Descartar - Duplicado",IF(OR(H269&lt;=0,I269&lt;=0),"Descartar - Qtd/Valor inválido","OK")))</f>
        <v>OK</v>
      </c>
      <c r="T269" s="4" t="str">
        <f aca="false">Base_Bruta!P269</f>
        <v>vendas_SP.xlsx</v>
      </c>
    </row>
    <row r="270" customFormat="false" ht="15" hidden="false" customHeight="false" outlineLevel="0" collapsed="false">
      <c r="A270" s="4" t="str">
        <f aca="false">IF(Base_Bruta!A270="","",Base_Bruta!A270)</f>
        <v>SP-000721</v>
      </c>
      <c r="B270" s="5" t="n">
        <f aca="false">IF($A270="","",IF(ISNUMBER(Base_Bruta!B270),Base_Bruta!B270,IF(MID(Base_Bruta!B270,5,1)="-",DATE(VALUE(LEFT(Base_Bruta!B270,4)),VALUE(MID(Base_Bruta!B270,6,2)),VALUE(RIGHT(Base_Bruta!B270,2))),DATE(VALUE(RIGHT(Base_Bruta!B270,4)),VALUE(MID(Base_Bruta!B270,4,2)),VALUE(LEFT(Base_Bruta!B270,2))))))</f>
        <v>45887</v>
      </c>
      <c r="C270" s="5" t="n">
        <f aca="false">IF($A270="","",IF(ISNUMBER(Base_Bruta!C270),Base_Bruta!C270,IF(MID(Base_Bruta!C270,5,1)="-",DATE(VALUE(LEFT(Base_Bruta!C270,4)),VALUE(MID(Base_Bruta!C270,6,2)),VALUE(RIGHT(Base_Bruta!C270,2))),DATE(VALUE(RIGHT(Base_Bruta!C270,4)),VALUE(MID(Base_Bruta!C270,4,2)),VALUE(LEFT(Base_Bruta!C270,2))))))</f>
        <v>45888</v>
      </c>
      <c r="D270" s="4" t="str">
        <f aca="false">IF($A270="","",TRIM(Base_Bruta!D270))</f>
        <v>Cinema Paulista - Sessões</v>
      </c>
      <c r="E270" s="4" t="str">
        <f aca="false">IF($A270="","",_xlfn.XLOOKUP(LOWER(TRIM(Base_Bruta!E270)),DePara_Categoria!$A$2:$A$9,DePara_Categoria!$B$2:$B$9,"REVISAR"))</f>
        <v>Cinema</v>
      </c>
      <c r="F270" s="4" t="str">
        <f aca="false">IF($A270="","",_xlfn.XLOOKUP(LOWER(TRIM(Base_Bruta!F270)),DePara_Cidade!$A$2:$A$29,DePara_Cidade!$B$2:$B$29,"REVISAR"))</f>
        <v>São Paulo</v>
      </c>
      <c r="G270" s="4" t="str">
        <f aca="false">IF($A270="","",TRIM(Base_Bruta!G270))</f>
        <v>Inteira</v>
      </c>
      <c r="H270" s="4" t="n">
        <f aca="false">IF($A270="","",IF(ISNUMBER(Base_Bruta!H270),Base_Bruta!H270,IFERROR(_xlfn.NUMBERVALUE(TRIM(SUBSTITUTE(Base_Bruta!H270,"R$","")),",","."),0)))</f>
        <v>3</v>
      </c>
      <c r="I270" s="6" t="n">
        <f aca="false">IF($A270="","",IF(ISNUMBER(Base_Bruta!I270),Base_Bruta!I270,IFERROR(_xlfn.NUMBERVALUE(TRIM(SUBSTITUTE(Base_Bruta!I270,"R$","")),",","."),0)))</f>
        <v>35</v>
      </c>
      <c r="J270" s="6" t="n">
        <f aca="false">IF($A270="","",H270*I270)</f>
        <v>105</v>
      </c>
      <c r="K270" s="4" t="str">
        <f aca="false">IF($A270="","",TRIM(Base_Bruta!J270))</f>
        <v>Bilheteria</v>
      </c>
      <c r="L270" s="4" t="str">
        <f aca="false">IF($A270="","",TRIM(Base_Bruta!K270))</f>
        <v>C00779</v>
      </c>
      <c r="M270" s="4" t="str">
        <f aca="false">IF($A270="","",_xlfn.XLOOKUP(LOWER(TRIM(Base_Bruta!L270)),DePara_Cidade!$A$2:$A$29,DePara_Cidade!$B$2:$B$29,"REVISAR"))</f>
        <v>São Paulo</v>
      </c>
      <c r="N270" s="4" t="str">
        <f aca="false">IF($A270="","",UPPER(TRIM(Base_Bruta!M270)))</f>
        <v>SP</v>
      </c>
      <c r="O270" s="4" t="str">
        <f aca="false">IF($A270="","",_xlfn.XLOOKUP(LOWER(TRIM(Base_Bruta!N270)),DePara_Pais!$A$2:$A$9,DePara_Pais!$B$2:$B$9,"REVISAR"))</f>
        <v>Brasil</v>
      </c>
      <c r="P270" s="4" t="str">
        <f aca="false">IF($A270="","",IF(O270&lt;&gt;"Brasil","Turista Internacional",IF(M270=F270,"Local","Turista Nacional")))</f>
        <v>Local</v>
      </c>
      <c r="Q270" s="7" t="n">
        <f aca="false">IF($A270="","",DATE(YEAR(B270),MONTH(B270),1))</f>
        <v>45870</v>
      </c>
      <c r="R270" s="4" t="str">
        <f aca="false">IF($A270="","",IF(COUNTIF($A$2:$A270,$A270)&gt;1,"Sim","Não"))</f>
        <v>Não</v>
      </c>
      <c r="S270" s="4" t="str">
        <f aca="false">IF(A270="","Descartar - Linha vazia",IF(R270="Sim","Descartar - Duplicado",IF(OR(H270&lt;=0,I270&lt;=0),"Descartar - Qtd/Valor inválido","OK")))</f>
        <v>OK</v>
      </c>
      <c r="T270" s="4" t="str">
        <f aca="false">Base_Bruta!P270</f>
        <v>vendas_SP.xlsx</v>
      </c>
    </row>
    <row r="271" customFormat="false" ht="15" hidden="false" customHeight="false" outlineLevel="0" collapsed="false">
      <c r="A271" s="4" t="str">
        <f aca="false">IF(Base_Bruta!A271="","",Base_Bruta!A271)</f>
        <v>SP-000075</v>
      </c>
      <c r="B271" s="5" t="n">
        <f aca="false">IF($A271="","",IF(ISNUMBER(Base_Bruta!B271),Base_Bruta!B271,IF(MID(Base_Bruta!B271,5,1)="-",DATE(VALUE(LEFT(Base_Bruta!B271,4)),VALUE(MID(Base_Bruta!B271,6,2)),VALUE(RIGHT(Base_Bruta!B271,2))),DATE(VALUE(RIGHT(Base_Bruta!B271,4)),VALUE(MID(Base_Bruta!B271,4,2)),VALUE(LEFT(Base_Bruta!B271,2))))))</f>
        <v>45888</v>
      </c>
      <c r="C271" s="5" t="n">
        <f aca="false">IF($A271="","",IF(ISNUMBER(Base_Bruta!C271),Base_Bruta!C271,IF(MID(Base_Bruta!C271,5,1)="-",DATE(VALUE(LEFT(Base_Bruta!C271,4)),VALUE(MID(Base_Bruta!C271,6,2)),VALUE(RIGHT(Base_Bruta!C271,2))),DATE(VALUE(RIGHT(Base_Bruta!C271,4)),VALUE(MID(Base_Bruta!C271,4,2)),VALUE(LEFT(Base_Bruta!C271,2))))))</f>
        <v>45976</v>
      </c>
      <c r="D271" s="4" t="str">
        <f aca="false">IF($A271="","",TRIM(Base_Bruta!D271))</f>
        <v>Festival Sonora SP 2025</v>
      </c>
      <c r="E271" s="4" t="str">
        <f aca="false">IF($A271="","",_xlfn.XLOOKUP(LOWER(TRIM(Base_Bruta!E271)),DePara_Categoria!$A$2:$A$9,DePara_Categoria!$B$2:$B$9,"REVISAR"))</f>
        <v>Festival</v>
      </c>
      <c r="F271" s="4" t="str">
        <f aca="false">IF($A271="","",_xlfn.XLOOKUP(LOWER(TRIM(Base_Bruta!F271)),DePara_Cidade!$A$2:$A$29,DePara_Cidade!$B$2:$B$29,"REVISAR"))</f>
        <v>São Paulo</v>
      </c>
      <c r="G271" s="4" t="str">
        <f aca="false">IF($A271="","",TRIM(Base_Bruta!G271))</f>
        <v>Meia</v>
      </c>
      <c r="H271" s="4" t="n">
        <f aca="false">IF($A271="","",IF(ISNUMBER(Base_Bruta!H271),Base_Bruta!H271,IFERROR(_xlfn.NUMBERVALUE(TRIM(SUBSTITUTE(Base_Bruta!H271,"R$","")),",","."),0)))</f>
        <v>3</v>
      </c>
      <c r="I271" s="6" t="n">
        <f aca="false">IF($A271="","",IF(ISNUMBER(Base_Bruta!I271),Base_Bruta!I271,IFERROR(_xlfn.NUMBERVALUE(TRIM(SUBSTITUTE(Base_Bruta!I271,"R$","")),",","."),0)))</f>
        <v>470</v>
      </c>
      <c r="J271" s="6" t="n">
        <f aca="false">IF($A271="","",H271*I271)</f>
        <v>1410</v>
      </c>
      <c r="K271" s="4" t="str">
        <f aca="false">IF($A271="","",TRIM(Base_Bruta!J271))</f>
        <v>App</v>
      </c>
      <c r="L271" s="4" t="str">
        <f aca="false">IF($A271="","",TRIM(Base_Bruta!K271))</f>
        <v>C00553</v>
      </c>
      <c r="M271" s="4" t="str">
        <f aca="false">IF($A271="","",_xlfn.XLOOKUP(LOWER(TRIM(Base_Bruta!L271)),DePara_Cidade!$A$2:$A$29,DePara_Cidade!$B$2:$B$29,"REVISAR"))</f>
        <v>São Paulo</v>
      </c>
      <c r="N271" s="4" t="str">
        <f aca="false">IF($A271="","",UPPER(TRIM(Base_Bruta!M271)))</f>
        <v>SP</v>
      </c>
      <c r="O271" s="4" t="str">
        <f aca="false">IF($A271="","",_xlfn.XLOOKUP(LOWER(TRIM(Base_Bruta!N271)),DePara_Pais!$A$2:$A$9,DePara_Pais!$B$2:$B$9,"REVISAR"))</f>
        <v>Brasil</v>
      </c>
      <c r="P271" s="4" t="str">
        <f aca="false">IF($A271="","",IF(O271&lt;&gt;"Brasil","Turista Internacional",IF(M271=F271,"Local","Turista Nacional")))</f>
        <v>Local</v>
      </c>
      <c r="Q271" s="7" t="n">
        <f aca="false">IF($A271="","",DATE(YEAR(B271),MONTH(B271),1))</f>
        <v>45870</v>
      </c>
      <c r="R271" s="4" t="str">
        <f aca="false">IF($A271="","",IF(COUNTIF($A$2:$A271,$A271)&gt;1,"Sim","Não"))</f>
        <v>Não</v>
      </c>
      <c r="S271" s="4" t="str">
        <f aca="false">IF(A271="","Descartar - Linha vazia",IF(R271="Sim","Descartar - Duplicado",IF(OR(H271&lt;=0,I271&lt;=0),"Descartar - Qtd/Valor inválido","OK")))</f>
        <v>OK</v>
      </c>
      <c r="T271" s="4" t="str">
        <f aca="false">Base_Bruta!P271</f>
        <v>vendas_SP.xlsx</v>
      </c>
    </row>
    <row r="272" customFormat="false" ht="15" hidden="false" customHeight="false" outlineLevel="0" collapsed="false">
      <c r="A272" s="4" t="str">
        <f aca="false">IF(Base_Bruta!A272="","",Base_Bruta!A272)</f>
        <v>SP-000177</v>
      </c>
      <c r="B272" s="5" t="n">
        <f aca="false">IF($A272="","",IF(ISNUMBER(Base_Bruta!B272),Base_Bruta!B272,IF(MID(Base_Bruta!B272,5,1)="-",DATE(VALUE(LEFT(Base_Bruta!B272,4)),VALUE(MID(Base_Bruta!B272,6,2)),VALUE(RIGHT(Base_Bruta!B272,2))),DATE(VALUE(RIGHT(Base_Bruta!B272,4)),VALUE(MID(Base_Bruta!B272,4,2)),VALUE(LEFT(Base_Bruta!B272,2))))))</f>
        <v>45888</v>
      </c>
      <c r="C272" s="5" t="n">
        <f aca="false">IF($A272="","",IF(ISNUMBER(Base_Bruta!C272),Base_Bruta!C272,IF(MID(Base_Bruta!C272,5,1)="-",DATE(VALUE(LEFT(Base_Bruta!C272,4)),VALUE(MID(Base_Bruta!C272,6,2)),VALUE(RIGHT(Base_Bruta!C272,2))),DATE(VALUE(RIGHT(Base_Bruta!C272,4)),VALUE(MID(Base_Bruta!C272,4,2)),VALUE(LEFT(Base_Bruta!C272,2))))))</f>
        <v>45976</v>
      </c>
      <c r="D272" s="4" t="str">
        <f aca="false">IF($A272="","",TRIM(Base_Bruta!D272))</f>
        <v>Festival Sonora SP 2025</v>
      </c>
      <c r="E272" s="4" t="str">
        <f aca="false">IF($A272="","",_xlfn.XLOOKUP(LOWER(TRIM(Base_Bruta!E272)),DePara_Categoria!$A$2:$A$9,DePara_Categoria!$B$2:$B$9,"REVISAR"))</f>
        <v>Festival</v>
      </c>
      <c r="F272" s="4" t="str">
        <f aca="false">IF($A272="","",_xlfn.XLOOKUP(LOWER(TRIM(Base_Bruta!F272)),DePara_Cidade!$A$2:$A$29,DePara_Cidade!$B$2:$B$29,"REVISAR"))</f>
        <v>São Paulo</v>
      </c>
      <c r="G272" s="4" t="str">
        <f aca="false">IF($A272="","",TRIM(Base_Bruta!G272))</f>
        <v>Inteira</v>
      </c>
      <c r="H272" s="4" t="n">
        <f aca="false">IF($A272="","",IF(ISNUMBER(Base_Bruta!H272),Base_Bruta!H272,IFERROR(_xlfn.NUMBERVALUE(TRIM(SUBSTITUTE(Base_Bruta!H272,"R$","")),",","."),0)))</f>
        <v>1</v>
      </c>
      <c r="I272" s="6" t="n">
        <f aca="false">IF($A272="","",IF(ISNUMBER(Base_Bruta!I272),Base_Bruta!I272,IFERROR(_xlfn.NUMBERVALUE(TRIM(SUBSTITUTE(Base_Bruta!I272,"R$","")),",","."),0)))</f>
        <v>995</v>
      </c>
      <c r="J272" s="6" t="n">
        <f aca="false">IF($A272="","",H272*I272)</f>
        <v>995</v>
      </c>
      <c r="K272" s="4" t="str">
        <f aca="false">IF($A272="","",TRIM(Base_Bruta!J272))</f>
        <v>Site</v>
      </c>
      <c r="L272" s="4" t="str">
        <f aca="false">IF($A272="","",TRIM(Base_Bruta!K272))</f>
        <v>C00356</v>
      </c>
      <c r="M272" s="4" t="str">
        <f aca="false">IF($A272="","",_xlfn.XLOOKUP(LOWER(TRIM(Base_Bruta!L272)),DePara_Cidade!$A$2:$A$29,DePara_Cidade!$B$2:$B$29,"REVISAR"))</f>
        <v>Campinas</v>
      </c>
      <c r="N272" s="4" t="str">
        <f aca="false">IF($A272="","",UPPER(TRIM(Base_Bruta!M272)))</f>
        <v>SP</v>
      </c>
      <c r="O272" s="4" t="str">
        <f aca="false">IF($A272="","",_xlfn.XLOOKUP(LOWER(TRIM(Base_Bruta!N272)),DePara_Pais!$A$2:$A$9,DePara_Pais!$B$2:$B$9,"REVISAR"))</f>
        <v>Brasil</v>
      </c>
      <c r="P272" s="4" t="str">
        <f aca="false">IF($A272="","",IF(O272&lt;&gt;"Brasil","Turista Internacional",IF(M272=F272,"Local","Turista Nacional")))</f>
        <v>Turista Nacional</v>
      </c>
      <c r="Q272" s="7" t="n">
        <f aca="false">IF($A272="","",DATE(YEAR(B272),MONTH(B272),1))</f>
        <v>45870</v>
      </c>
      <c r="R272" s="4" t="str">
        <f aca="false">IF($A272="","",IF(COUNTIF($A$2:$A272,$A272)&gt;1,"Sim","Não"))</f>
        <v>Não</v>
      </c>
      <c r="S272" s="4" t="str">
        <f aca="false">IF(A272="","Descartar - Linha vazia",IF(R272="Sim","Descartar - Duplicado",IF(OR(H272&lt;=0,I272&lt;=0),"Descartar - Qtd/Valor inválido","OK")))</f>
        <v>OK</v>
      </c>
      <c r="T272" s="4" t="str">
        <f aca="false">Base_Bruta!P272</f>
        <v>vendas_SP.xlsx</v>
      </c>
    </row>
    <row r="273" customFormat="false" ht="15" hidden="false" customHeight="false" outlineLevel="0" collapsed="false">
      <c r="A273" s="4" t="str">
        <f aca="false">IF(Base_Bruta!A273="","",Base_Bruta!A273)</f>
        <v>SP-000547</v>
      </c>
      <c r="B273" s="5" t="n">
        <f aca="false">IF($A273="","",IF(ISNUMBER(Base_Bruta!B273),Base_Bruta!B273,IF(MID(Base_Bruta!B273,5,1)="-",DATE(VALUE(LEFT(Base_Bruta!B273,4)),VALUE(MID(Base_Bruta!B273,6,2)),VALUE(RIGHT(Base_Bruta!B273,2))),DATE(VALUE(RIGHT(Base_Bruta!B273,4)),VALUE(MID(Base_Bruta!B273,4,2)),VALUE(LEFT(Base_Bruta!B273,2))))))</f>
        <v>45889</v>
      </c>
      <c r="C273" s="5" t="n">
        <f aca="false">IF($A273="","",IF(ISNUMBER(Base_Bruta!C273),Base_Bruta!C273,IF(MID(Base_Bruta!C273,5,1)="-",DATE(VALUE(LEFT(Base_Bruta!C273,4)),VALUE(MID(Base_Bruta!C273,6,2)),VALUE(RIGHT(Base_Bruta!C273,2))),DATE(VALUE(RIGHT(Base_Bruta!C273,4)),VALUE(MID(Base_Bruta!C273,4,2)),VALUE(LEFT(Base_Bruta!C273,2))))))</f>
        <v>45934</v>
      </c>
      <c r="D273" s="4" t="str">
        <f aca="false">IF($A273="","",TRIM(Base_Bruta!D273))</f>
        <v>Turnê Internacional Pop - SP</v>
      </c>
      <c r="E273" s="4" t="str">
        <f aca="false">IF($A273="","",_xlfn.XLOOKUP(LOWER(TRIM(Base_Bruta!E273)),DePara_Categoria!$A$2:$A$9,DePara_Categoria!$B$2:$B$9,"REVISAR"))</f>
        <v>Show</v>
      </c>
      <c r="F273" s="4" t="str">
        <f aca="false">IF($A273="","",_xlfn.XLOOKUP(LOWER(TRIM(Base_Bruta!F273)),DePara_Cidade!$A$2:$A$29,DePara_Cidade!$B$2:$B$29,"REVISAR"))</f>
        <v>São Paulo</v>
      </c>
      <c r="G273" s="4" t="str">
        <f aca="false">IF($A273="","",TRIM(Base_Bruta!G273))</f>
        <v>VIP</v>
      </c>
      <c r="H273" s="4" t="n">
        <f aca="false">IF($A273="","",IF(ISNUMBER(Base_Bruta!H273),Base_Bruta!H273,IFERROR(_xlfn.NUMBERVALUE(TRIM(SUBSTITUTE(Base_Bruta!H273,"R$","")),",","."),0)))</f>
        <v>2</v>
      </c>
      <c r="I273" s="6" t="n">
        <f aca="false">IF($A273="","",IF(ISNUMBER(Base_Bruta!I273),Base_Bruta!I273,IFERROR(_xlfn.NUMBERVALUE(TRIM(SUBSTITUTE(Base_Bruta!I273,"R$","")),",","."),0)))</f>
        <v>1320</v>
      </c>
      <c r="J273" s="6" t="n">
        <f aca="false">IF($A273="","",H273*I273)</f>
        <v>2640</v>
      </c>
      <c r="K273" s="4" t="str">
        <f aca="false">IF($A273="","",TRIM(Base_Bruta!J273))</f>
        <v>App</v>
      </c>
      <c r="L273" s="4" t="str">
        <f aca="false">IF($A273="","",TRIM(Base_Bruta!K273))</f>
        <v>C01797</v>
      </c>
      <c r="M273" s="4" t="str">
        <f aca="false">IF($A273="","",_xlfn.XLOOKUP(LOWER(TRIM(Base_Bruta!L273)),DePara_Cidade!$A$2:$A$29,DePara_Cidade!$B$2:$B$29,"REVISAR"))</f>
        <v>São Paulo</v>
      </c>
      <c r="N273" s="4" t="str">
        <f aca="false">IF($A273="","",UPPER(TRIM(Base_Bruta!M273)))</f>
        <v>SP</v>
      </c>
      <c r="O273" s="4" t="str">
        <f aca="false">IF($A273="","",_xlfn.XLOOKUP(LOWER(TRIM(Base_Bruta!N273)),DePara_Pais!$A$2:$A$9,DePara_Pais!$B$2:$B$9,"REVISAR"))</f>
        <v>Brasil</v>
      </c>
      <c r="P273" s="4" t="str">
        <f aca="false">IF($A273="","",IF(O273&lt;&gt;"Brasil","Turista Internacional",IF(M273=F273,"Local","Turista Nacional")))</f>
        <v>Local</v>
      </c>
      <c r="Q273" s="7" t="n">
        <f aca="false">IF($A273="","",DATE(YEAR(B273),MONTH(B273),1))</f>
        <v>45870</v>
      </c>
      <c r="R273" s="4" t="str">
        <f aca="false">IF($A273="","",IF(COUNTIF($A$2:$A273,$A273)&gt;1,"Sim","Não"))</f>
        <v>Não</v>
      </c>
      <c r="S273" s="4" t="str">
        <f aca="false">IF(A273="","Descartar - Linha vazia",IF(R273="Sim","Descartar - Duplicado",IF(OR(H273&lt;=0,I273&lt;=0),"Descartar - Qtd/Valor inválido","OK")))</f>
        <v>OK</v>
      </c>
      <c r="T273" s="4" t="str">
        <f aca="false">Base_Bruta!P273</f>
        <v>vendas_SP.xlsx</v>
      </c>
    </row>
    <row r="274" customFormat="false" ht="15" hidden="false" customHeight="false" outlineLevel="0" collapsed="false">
      <c r="A274" s="4" t="str">
        <f aca="false">IF(Base_Bruta!A274="","",Base_Bruta!A274)</f>
        <v>SP-000551</v>
      </c>
      <c r="B274" s="5" t="n">
        <f aca="false">IF($A274="","",IF(ISNUMBER(Base_Bruta!B274),Base_Bruta!B274,IF(MID(Base_Bruta!B274,5,1)="-",DATE(VALUE(LEFT(Base_Bruta!B274,4)),VALUE(MID(Base_Bruta!B274,6,2)),VALUE(RIGHT(Base_Bruta!B274,2))),DATE(VALUE(RIGHT(Base_Bruta!B274,4)),VALUE(MID(Base_Bruta!B274,4,2)),VALUE(LEFT(Base_Bruta!B274,2))))))</f>
        <v>45889</v>
      </c>
      <c r="C274" s="5" t="n">
        <f aca="false">IF($A274="","",IF(ISNUMBER(Base_Bruta!C274),Base_Bruta!C274,IF(MID(Base_Bruta!C274,5,1)="-",DATE(VALUE(LEFT(Base_Bruta!C274,4)),VALUE(MID(Base_Bruta!C274,6,2)),VALUE(RIGHT(Base_Bruta!C274,2))),DATE(VALUE(RIGHT(Base_Bruta!C274,4)),VALUE(MID(Base_Bruta!C274,4,2)),VALUE(LEFT(Base_Bruta!C274,2))))))</f>
        <v>45934</v>
      </c>
      <c r="D274" s="4" t="str">
        <f aca="false">IF($A274="","",TRIM(Base_Bruta!D274))</f>
        <v>Turnê Internacional Pop - SP</v>
      </c>
      <c r="E274" s="4" t="str">
        <f aca="false">IF($A274="","",_xlfn.XLOOKUP(LOWER(TRIM(Base_Bruta!E274)),DePara_Categoria!$A$2:$A$9,DePara_Categoria!$B$2:$B$9,"REVISAR"))</f>
        <v>Show</v>
      </c>
      <c r="F274" s="4" t="str">
        <f aca="false">IF($A274="","",_xlfn.XLOOKUP(LOWER(TRIM(Base_Bruta!F274)),DePara_Cidade!$A$2:$A$29,DePara_Cidade!$B$2:$B$29,"REVISAR"))</f>
        <v>São Paulo</v>
      </c>
      <c r="G274" s="4" t="str">
        <f aca="false">IF($A274="","",TRIM(Base_Bruta!G274))</f>
        <v>VIP</v>
      </c>
      <c r="H274" s="4" t="n">
        <f aca="false">IF($A274="","",IF(ISNUMBER(Base_Bruta!H274),Base_Bruta!H274,IFERROR(_xlfn.NUMBERVALUE(TRIM(SUBSTITUTE(Base_Bruta!H274,"R$","")),",","."),0)))</f>
        <v>2</v>
      </c>
      <c r="I274" s="6" t="n">
        <f aca="false">IF($A274="","",IF(ISNUMBER(Base_Bruta!I274),Base_Bruta!I274,IFERROR(_xlfn.NUMBERVALUE(TRIM(SUBSTITUTE(Base_Bruta!I274,"R$","")),",","."),0)))</f>
        <v>1440</v>
      </c>
      <c r="J274" s="6" t="n">
        <f aca="false">IF($A274="","",H274*I274)</f>
        <v>2880</v>
      </c>
      <c r="K274" s="4" t="str">
        <f aca="false">IF($A274="","",TRIM(Base_Bruta!J274))</f>
        <v>Site</v>
      </c>
      <c r="L274" s="4" t="str">
        <f aca="false">IF($A274="","",TRIM(Base_Bruta!K274))</f>
        <v>C00486</v>
      </c>
      <c r="M274" s="4" t="str">
        <f aca="false">IF($A274="","",_xlfn.XLOOKUP(LOWER(TRIM(Base_Bruta!L274)),DePara_Cidade!$A$2:$A$29,DePara_Cidade!$B$2:$B$29,"REVISAR"))</f>
        <v>São Paulo</v>
      </c>
      <c r="N274" s="4" t="str">
        <f aca="false">IF($A274="","",UPPER(TRIM(Base_Bruta!M274)))</f>
        <v>SP</v>
      </c>
      <c r="O274" s="4" t="str">
        <f aca="false">IF($A274="","",_xlfn.XLOOKUP(LOWER(TRIM(Base_Bruta!N274)),DePara_Pais!$A$2:$A$9,DePara_Pais!$B$2:$B$9,"REVISAR"))</f>
        <v>Brasil</v>
      </c>
      <c r="P274" s="4" t="str">
        <f aca="false">IF($A274="","",IF(O274&lt;&gt;"Brasil","Turista Internacional",IF(M274=F274,"Local","Turista Nacional")))</f>
        <v>Local</v>
      </c>
      <c r="Q274" s="7" t="n">
        <f aca="false">IF($A274="","",DATE(YEAR(B274),MONTH(B274),1))</f>
        <v>45870</v>
      </c>
      <c r="R274" s="4" t="str">
        <f aca="false">IF($A274="","",IF(COUNTIF($A$2:$A274,$A274)&gt;1,"Sim","Não"))</f>
        <v>Não</v>
      </c>
      <c r="S274" s="4" t="str">
        <f aca="false">IF(A274="","Descartar - Linha vazia",IF(R274="Sim","Descartar - Duplicado",IF(OR(H274&lt;=0,I274&lt;=0),"Descartar - Qtd/Valor inválido","OK")))</f>
        <v>OK</v>
      </c>
      <c r="T274" s="4" t="str">
        <f aca="false">Base_Bruta!P274</f>
        <v>vendas_SP.xlsx</v>
      </c>
    </row>
    <row r="275" customFormat="false" ht="15" hidden="false" customHeight="false" outlineLevel="0" collapsed="false">
      <c r="A275" s="4" t="str">
        <f aca="false">IF(Base_Bruta!A275="","",Base_Bruta!A275)</f>
        <v>SP-000596</v>
      </c>
      <c r="B275" s="5" t="n">
        <f aca="false">IF($A275="","",IF(ISNUMBER(Base_Bruta!B275),Base_Bruta!B275,IF(MID(Base_Bruta!B275,5,1)="-",DATE(VALUE(LEFT(Base_Bruta!B275,4)),VALUE(MID(Base_Bruta!B275,6,2)),VALUE(RIGHT(Base_Bruta!B275,2))),DATE(VALUE(RIGHT(Base_Bruta!B275,4)),VALUE(MID(Base_Bruta!B275,4,2)),VALUE(LEFT(Base_Bruta!B275,2))))))</f>
        <v>45889</v>
      </c>
      <c r="C275" s="5" t="n">
        <f aca="false">IF($A275="","",IF(ISNUMBER(Base_Bruta!C275),Base_Bruta!C275,IF(MID(Base_Bruta!C275,5,1)="-",DATE(VALUE(LEFT(Base_Bruta!C275,4)),VALUE(MID(Base_Bruta!C275,6,2)),VALUE(RIGHT(Base_Bruta!C275,2))),DATE(VALUE(RIGHT(Base_Bruta!C275,4)),VALUE(MID(Base_Bruta!C275,4,2)),VALUE(LEFT(Base_Bruta!C275,2))))))</f>
        <v>45934</v>
      </c>
      <c r="D275" s="4" t="str">
        <f aca="false">IF($A275="","",TRIM(Base_Bruta!D275))</f>
        <v>Turnê Internacional Pop - SP</v>
      </c>
      <c r="E275" s="4" t="str">
        <f aca="false">IF($A275="","",_xlfn.XLOOKUP(LOWER(TRIM(Base_Bruta!E275)),DePara_Categoria!$A$2:$A$9,DePara_Categoria!$B$2:$B$9,"REVISAR"))</f>
        <v>Show</v>
      </c>
      <c r="F275" s="4" t="str">
        <f aca="false">IF($A275="","",_xlfn.XLOOKUP(LOWER(TRIM(Base_Bruta!F275)),DePara_Cidade!$A$2:$A$29,DePara_Cidade!$B$2:$B$29,"REVISAR"))</f>
        <v>São Paulo</v>
      </c>
      <c r="G275" s="4" t="str">
        <f aca="false">IF($A275="","",TRIM(Base_Bruta!G275))</f>
        <v>Inteira</v>
      </c>
      <c r="H275" s="4" t="n">
        <f aca="false">IF($A275="","",IF(ISNUMBER(Base_Bruta!H275),Base_Bruta!H275,IFERROR(_xlfn.NUMBERVALUE(TRIM(SUBSTITUTE(Base_Bruta!H275,"R$","")),",","."),0)))</f>
        <v>1</v>
      </c>
      <c r="I275" s="6" t="n">
        <f aca="false">IF($A275="","",IF(ISNUMBER(Base_Bruta!I275),Base_Bruta!I275,IFERROR(_xlfn.NUMBERVALUE(TRIM(SUBSTITUTE(Base_Bruta!I275,"R$","")),",","."),0)))</f>
        <v>510</v>
      </c>
      <c r="J275" s="6" t="n">
        <f aca="false">IF($A275="","",H275*I275)</f>
        <v>510</v>
      </c>
      <c r="K275" s="4" t="str">
        <f aca="false">IF($A275="","",TRIM(Base_Bruta!J275))</f>
        <v>App</v>
      </c>
      <c r="L275" s="4" t="str">
        <f aca="false">IF($A275="","",TRIM(Base_Bruta!K275))</f>
        <v>C02347</v>
      </c>
      <c r="M275" s="4" t="str">
        <f aca="false">IF($A275="","",_xlfn.XLOOKUP(LOWER(TRIM(Base_Bruta!L275)),DePara_Cidade!$A$2:$A$29,DePara_Cidade!$B$2:$B$29,"REVISAR"))</f>
        <v>São Paulo</v>
      </c>
      <c r="N275" s="4" t="str">
        <f aca="false">IF($A275="","",UPPER(TRIM(Base_Bruta!M275)))</f>
        <v>SP</v>
      </c>
      <c r="O275" s="4" t="str">
        <f aca="false">IF($A275="","",_xlfn.XLOOKUP(LOWER(TRIM(Base_Bruta!N275)),DePara_Pais!$A$2:$A$9,DePara_Pais!$B$2:$B$9,"REVISAR"))</f>
        <v>Brasil</v>
      </c>
      <c r="P275" s="4" t="str">
        <f aca="false">IF($A275="","",IF(O275&lt;&gt;"Brasil","Turista Internacional",IF(M275=F275,"Local","Turista Nacional")))</f>
        <v>Local</v>
      </c>
      <c r="Q275" s="7" t="n">
        <f aca="false">IF($A275="","",DATE(YEAR(B275),MONTH(B275),1))</f>
        <v>45870</v>
      </c>
      <c r="R275" s="4" t="str">
        <f aca="false">IF($A275="","",IF(COUNTIF($A$2:$A275,$A275)&gt;1,"Sim","Não"))</f>
        <v>Não</v>
      </c>
      <c r="S275" s="4" t="str">
        <f aca="false">IF(A275="","Descartar - Linha vazia",IF(R275="Sim","Descartar - Duplicado",IF(OR(H275&lt;=0,I275&lt;=0),"Descartar - Qtd/Valor inválido","OK")))</f>
        <v>OK</v>
      </c>
      <c r="T275" s="4" t="str">
        <f aca="false">Base_Bruta!P275</f>
        <v>vendas_SP.xlsx</v>
      </c>
    </row>
    <row r="276" customFormat="false" ht="15" hidden="false" customHeight="false" outlineLevel="0" collapsed="false">
      <c r="A276" s="4" t="str">
        <f aca="false">IF(Base_Bruta!A276="","",Base_Bruta!A276)</f>
        <v>SP-000510</v>
      </c>
      <c r="B276" s="5" t="n">
        <f aca="false">IF($A276="","",IF(ISNUMBER(Base_Bruta!B276),Base_Bruta!B276,IF(MID(Base_Bruta!B276,5,1)="-",DATE(VALUE(LEFT(Base_Bruta!B276,4)),VALUE(MID(Base_Bruta!B276,6,2)),VALUE(RIGHT(Base_Bruta!B276,2))),DATE(VALUE(RIGHT(Base_Bruta!B276,4)),VALUE(MID(Base_Bruta!B276,4,2)),VALUE(LEFT(Base_Bruta!B276,2))))))</f>
        <v>45890</v>
      </c>
      <c r="C276" s="5" t="n">
        <f aca="false">IF($A276="","",IF(ISNUMBER(Base_Bruta!C276),Base_Bruta!C276,IF(MID(Base_Bruta!C276,5,1)="-",DATE(VALUE(LEFT(Base_Bruta!C276,4)),VALUE(MID(Base_Bruta!C276,6,2)),VALUE(RIGHT(Base_Bruta!C276,2))),DATE(VALUE(RIGHT(Base_Bruta!C276,4)),VALUE(MID(Base_Bruta!C276,4,2)),VALUE(LEFT(Base_Bruta!C276,2))))))</f>
        <v>45934</v>
      </c>
      <c r="D276" s="4" t="str">
        <f aca="false">IF($A276="","",TRIM(Base_Bruta!D276))</f>
        <v>Turnê Internacional Pop - SP</v>
      </c>
      <c r="E276" s="4" t="str">
        <f aca="false">IF($A276="","",_xlfn.XLOOKUP(LOWER(TRIM(Base_Bruta!E276)),DePara_Categoria!$A$2:$A$9,DePara_Categoria!$B$2:$B$9,"REVISAR"))</f>
        <v>Show</v>
      </c>
      <c r="F276" s="4" t="str">
        <f aca="false">IF($A276="","",_xlfn.XLOOKUP(LOWER(TRIM(Base_Bruta!F276)),DePara_Cidade!$A$2:$A$29,DePara_Cidade!$B$2:$B$29,"REVISAR"))</f>
        <v>São Paulo</v>
      </c>
      <c r="G276" s="4" t="str">
        <f aca="false">IF($A276="","",TRIM(Base_Bruta!G276))</f>
        <v>Inteira</v>
      </c>
      <c r="H276" s="4" t="n">
        <f aca="false">IF($A276="","",IF(ISNUMBER(Base_Bruta!H276),Base_Bruta!H276,IFERROR(_xlfn.NUMBERVALUE(TRIM(SUBSTITUTE(Base_Bruta!H276,"R$","")),",","."),0)))</f>
        <v>1</v>
      </c>
      <c r="I276" s="6" t="n">
        <f aca="false">IF($A276="","",IF(ISNUMBER(Base_Bruta!I276),Base_Bruta!I276,IFERROR(_xlfn.NUMBERVALUE(TRIM(SUBSTITUTE(Base_Bruta!I276,"R$","")),",","."),0)))</f>
        <v>520</v>
      </c>
      <c r="J276" s="6" t="n">
        <f aca="false">IF($A276="","",H276*I276)</f>
        <v>520</v>
      </c>
      <c r="K276" s="4" t="str">
        <f aca="false">IF($A276="","",TRIM(Base_Bruta!J276))</f>
        <v>Site</v>
      </c>
      <c r="L276" s="4" t="str">
        <f aca="false">IF($A276="","",TRIM(Base_Bruta!K276))</f>
        <v>C01418</v>
      </c>
      <c r="M276" s="4" t="str">
        <f aca="false">IF($A276="","",_xlfn.XLOOKUP(LOWER(TRIM(Base_Bruta!L276)),DePara_Cidade!$A$2:$A$29,DePara_Cidade!$B$2:$B$29,"REVISAR"))</f>
        <v>São Paulo</v>
      </c>
      <c r="N276" s="4" t="str">
        <f aca="false">IF($A276="","",UPPER(TRIM(Base_Bruta!M276)))</f>
        <v>SP</v>
      </c>
      <c r="O276" s="4" t="str">
        <f aca="false">IF($A276="","",_xlfn.XLOOKUP(LOWER(TRIM(Base_Bruta!N276)),DePara_Pais!$A$2:$A$9,DePara_Pais!$B$2:$B$9,"REVISAR"))</f>
        <v>Brasil</v>
      </c>
      <c r="P276" s="4" t="str">
        <f aca="false">IF($A276="","",IF(O276&lt;&gt;"Brasil","Turista Internacional",IF(M276=F276,"Local","Turista Nacional")))</f>
        <v>Local</v>
      </c>
      <c r="Q276" s="7" t="n">
        <f aca="false">IF($A276="","",DATE(YEAR(B276),MONTH(B276),1))</f>
        <v>45870</v>
      </c>
      <c r="R276" s="4" t="str">
        <f aca="false">IF($A276="","",IF(COUNTIF($A$2:$A276,$A276)&gt;1,"Sim","Não"))</f>
        <v>Não</v>
      </c>
      <c r="S276" s="4" t="str">
        <f aca="false">IF(A276="","Descartar - Linha vazia",IF(R276="Sim","Descartar - Duplicado",IF(OR(H276&lt;=0,I276&lt;=0),"Descartar - Qtd/Valor inválido","OK")))</f>
        <v>OK</v>
      </c>
      <c r="T276" s="4" t="str">
        <f aca="false">Base_Bruta!P276</f>
        <v>vendas_SP.xlsx</v>
      </c>
    </row>
    <row r="277" customFormat="false" ht="15" hidden="false" customHeight="false" outlineLevel="0" collapsed="false">
      <c r="A277" s="4" t="str">
        <f aca="false">IF(Base_Bruta!A277="","",Base_Bruta!A277)</f>
        <v>SP-000028</v>
      </c>
      <c r="B277" s="5" t="n">
        <f aca="false">IF($A277="","",IF(ISNUMBER(Base_Bruta!B277),Base_Bruta!B277,IF(MID(Base_Bruta!B277,5,1)="-",DATE(VALUE(LEFT(Base_Bruta!B277,4)),VALUE(MID(Base_Bruta!B277,6,2)),VALUE(RIGHT(Base_Bruta!B277,2))),DATE(VALUE(RIGHT(Base_Bruta!B277,4)),VALUE(MID(Base_Bruta!B277,4,2)),VALUE(LEFT(Base_Bruta!B277,2))))))</f>
        <v>45891</v>
      </c>
      <c r="C277" s="5" t="n">
        <f aca="false">IF($A277="","",IF(ISNUMBER(Base_Bruta!C277),Base_Bruta!C277,IF(MID(Base_Bruta!C277,5,1)="-",DATE(VALUE(LEFT(Base_Bruta!C277,4)),VALUE(MID(Base_Bruta!C277,6,2)),VALUE(RIGHT(Base_Bruta!C277,2))),DATE(VALUE(RIGHT(Base_Bruta!C277,4)),VALUE(MID(Base_Bruta!C277,4,2)),VALUE(LEFT(Base_Bruta!C277,2))))))</f>
        <v>45976</v>
      </c>
      <c r="D277" s="4" t="str">
        <f aca="false">IF($A277="","",TRIM(Base_Bruta!D277))</f>
        <v>Festival Sonora SP 2025</v>
      </c>
      <c r="E277" s="4" t="str">
        <f aca="false">IF($A277="","",_xlfn.XLOOKUP(LOWER(TRIM(Base_Bruta!E277)),DePara_Categoria!$A$2:$A$9,DePara_Categoria!$B$2:$B$9,"REVISAR"))</f>
        <v>Festival</v>
      </c>
      <c r="F277" s="4" t="str">
        <f aca="false">IF($A277="","",_xlfn.XLOOKUP(LOWER(TRIM(Base_Bruta!F277)),DePara_Cidade!$A$2:$A$29,DePara_Cidade!$B$2:$B$29,"REVISAR"))</f>
        <v>São Paulo</v>
      </c>
      <c r="G277" s="4" t="str">
        <f aca="false">IF($A277="","",TRIM(Base_Bruta!G277))</f>
        <v>Meia</v>
      </c>
      <c r="H277" s="4" t="n">
        <f aca="false">IF($A277="","",IF(ISNUMBER(Base_Bruta!H277),Base_Bruta!H277,IFERROR(_xlfn.NUMBERVALUE(TRIM(SUBSTITUTE(Base_Bruta!H277,"R$","")),",","."),0)))</f>
        <v>1</v>
      </c>
      <c r="I277" s="6" t="n">
        <f aca="false">IF($A277="","",IF(ISNUMBER(Base_Bruta!I277),Base_Bruta!I277,IFERROR(_xlfn.NUMBERVALUE(TRIM(SUBSTITUTE(Base_Bruta!I277,"R$","")),",","."),0)))</f>
        <v>555</v>
      </c>
      <c r="J277" s="6" t="n">
        <f aca="false">IF($A277="","",H277*I277)</f>
        <v>555</v>
      </c>
      <c r="K277" s="4" t="str">
        <f aca="false">IF($A277="","",TRIM(Base_Bruta!J277))</f>
        <v>App</v>
      </c>
      <c r="L277" s="4" t="str">
        <f aca="false">IF($A277="","",TRIM(Base_Bruta!K277))</f>
        <v>C02098</v>
      </c>
      <c r="M277" s="4" t="str">
        <f aca="false">IF($A277="","",_xlfn.XLOOKUP(LOWER(TRIM(Base_Bruta!L277)),DePara_Cidade!$A$2:$A$29,DePara_Cidade!$B$2:$B$29,"REVISAR"))</f>
        <v>São Paulo</v>
      </c>
      <c r="N277" s="4" t="str">
        <f aca="false">IF($A277="","",UPPER(TRIM(Base_Bruta!M277)))</f>
        <v>SP</v>
      </c>
      <c r="O277" s="4" t="str">
        <f aca="false">IF($A277="","",_xlfn.XLOOKUP(LOWER(TRIM(Base_Bruta!N277)),DePara_Pais!$A$2:$A$9,DePara_Pais!$B$2:$B$9,"REVISAR"))</f>
        <v>Brasil</v>
      </c>
      <c r="P277" s="4" t="str">
        <f aca="false">IF($A277="","",IF(O277&lt;&gt;"Brasil","Turista Internacional",IF(M277=F277,"Local","Turista Nacional")))</f>
        <v>Local</v>
      </c>
      <c r="Q277" s="7" t="n">
        <f aca="false">IF($A277="","",DATE(YEAR(B277),MONTH(B277),1))</f>
        <v>45870</v>
      </c>
      <c r="R277" s="4" t="str">
        <f aca="false">IF($A277="","",IF(COUNTIF($A$2:$A277,$A277)&gt;1,"Sim","Não"))</f>
        <v>Não</v>
      </c>
      <c r="S277" s="4" t="str">
        <f aca="false">IF(A277="","Descartar - Linha vazia",IF(R277="Sim","Descartar - Duplicado",IF(OR(H277&lt;=0,I277&lt;=0),"Descartar - Qtd/Valor inválido","OK")))</f>
        <v>OK</v>
      </c>
      <c r="T277" s="4" t="str">
        <f aca="false">Base_Bruta!P277</f>
        <v>vendas_SP.xlsx</v>
      </c>
    </row>
    <row r="278" customFormat="false" ht="15" hidden="false" customHeight="false" outlineLevel="0" collapsed="false">
      <c r="A278" s="4" t="str">
        <f aca="false">IF(Base_Bruta!A278="","",Base_Bruta!A278)</f>
        <v>SP-000039</v>
      </c>
      <c r="B278" s="5" t="n">
        <f aca="false">IF($A278="","",IF(ISNUMBER(Base_Bruta!B278),Base_Bruta!B278,IF(MID(Base_Bruta!B278,5,1)="-",DATE(VALUE(LEFT(Base_Bruta!B278,4)),VALUE(MID(Base_Bruta!B278,6,2)),VALUE(RIGHT(Base_Bruta!B278,2))),DATE(VALUE(RIGHT(Base_Bruta!B278,4)),VALUE(MID(Base_Bruta!B278,4,2)),VALUE(LEFT(Base_Bruta!B278,2))))))</f>
        <v>45891</v>
      </c>
      <c r="C278" s="5" t="n">
        <f aca="false">IF($A278="","",IF(ISNUMBER(Base_Bruta!C278),Base_Bruta!C278,IF(MID(Base_Bruta!C278,5,1)="-",DATE(VALUE(LEFT(Base_Bruta!C278,4)),VALUE(MID(Base_Bruta!C278,6,2)),VALUE(RIGHT(Base_Bruta!C278,2))),DATE(VALUE(RIGHT(Base_Bruta!C278,4)),VALUE(MID(Base_Bruta!C278,4,2)),VALUE(LEFT(Base_Bruta!C278,2))))))</f>
        <v>45976</v>
      </c>
      <c r="D278" s="4" t="str">
        <f aca="false">IF($A278="","",TRIM(Base_Bruta!D278))</f>
        <v>Festival Sonora SP 2025</v>
      </c>
      <c r="E278" s="4" t="str">
        <f aca="false">IF($A278="","",_xlfn.XLOOKUP(LOWER(TRIM(Base_Bruta!E278)),DePara_Categoria!$A$2:$A$9,DePara_Categoria!$B$2:$B$9,"REVISAR"))</f>
        <v>Festival</v>
      </c>
      <c r="F278" s="4" t="str">
        <f aca="false">IF($A278="","",_xlfn.XLOOKUP(LOWER(TRIM(Base_Bruta!F278)),DePara_Cidade!$A$2:$A$29,DePara_Cidade!$B$2:$B$29,"REVISAR"))</f>
        <v>São Paulo</v>
      </c>
      <c r="G278" s="4" t="str">
        <f aca="false">IF($A278="","",TRIM(Base_Bruta!G278))</f>
        <v>Inteira</v>
      </c>
      <c r="H278" s="4" t="n">
        <f aca="false">IF($A278="","",IF(ISNUMBER(Base_Bruta!H278),Base_Bruta!H278,IFERROR(_xlfn.NUMBERVALUE(TRIM(SUBSTITUTE(Base_Bruta!H278,"R$","")),",","."),0)))</f>
        <v>2</v>
      </c>
      <c r="I278" s="6" t="n">
        <f aca="false">IF($A278="","",IF(ISNUMBER(Base_Bruta!I278),Base_Bruta!I278,IFERROR(_xlfn.NUMBERVALUE(TRIM(SUBSTITUTE(Base_Bruta!I278,"R$","")),",","."),0)))</f>
        <v>985</v>
      </c>
      <c r="J278" s="6" t="n">
        <f aca="false">IF($A278="","",H278*I278)</f>
        <v>1970</v>
      </c>
      <c r="K278" s="4" t="str">
        <f aca="false">IF($A278="","",TRIM(Base_Bruta!J278))</f>
        <v>Bilheteria</v>
      </c>
      <c r="L278" s="4" t="str">
        <f aca="false">IF($A278="","",TRIM(Base_Bruta!K278))</f>
        <v>C01796</v>
      </c>
      <c r="M278" s="4" t="str">
        <f aca="false">IF($A278="","",_xlfn.XLOOKUP(LOWER(TRIM(Base_Bruta!L278)),DePara_Cidade!$A$2:$A$29,DePara_Cidade!$B$2:$B$29,"REVISAR"))</f>
        <v>Curitiba</v>
      </c>
      <c r="N278" s="4" t="str">
        <f aca="false">IF($A278="","",UPPER(TRIM(Base_Bruta!M278)))</f>
        <v>PR</v>
      </c>
      <c r="O278" s="4" t="str">
        <f aca="false">IF($A278="","",_xlfn.XLOOKUP(LOWER(TRIM(Base_Bruta!N278)),DePara_Pais!$A$2:$A$9,DePara_Pais!$B$2:$B$9,"REVISAR"))</f>
        <v>Brasil</v>
      </c>
      <c r="P278" s="4" t="str">
        <f aca="false">IF($A278="","",IF(O278&lt;&gt;"Brasil","Turista Internacional",IF(M278=F278,"Local","Turista Nacional")))</f>
        <v>Turista Nacional</v>
      </c>
      <c r="Q278" s="7" t="n">
        <f aca="false">IF($A278="","",DATE(YEAR(B278),MONTH(B278),1))</f>
        <v>45870</v>
      </c>
      <c r="R278" s="4" t="str">
        <f aca="false">IF($A278="","",IF(COUNTIF($A$2:$A278,$A278)&gt;1,"Sim","Não"))</f>
        <v>Não</v>
      </c>
      <c r="S278" s="4" t="str">
        <f aca="false">IF(A278="","Descartar - Linha vazia",IF(R278="Sim","Descartar - Duplicado",IF(OR(H278&lt;=0,I278&lt;=0),"Descartar - Qtd/Valor inválido","OK")))</f>
        <v>OK</v>
      </c>
      <c r="T278" s="4" t="str">
        <f aca="false">Base_Bruta!P278</f>
        <v>vendas_SP.xlsx</v>
      </c>
    </row>
    <row r="279" customFormat="false" ht="15" hidden="false" customHeight="false" outlineLevel="0" collapsed="false">
      <c r="A279" s="4" t="str">
        <f aca="false">IF(Base_Bruta!A279="","",Base_Bruta!A279)</f>
        <v>SP-000755</v>
      </c>
      <c r="B279" s="5" t="n">
        <f aca="false">IF($A279="","",IF(ISNUMBER(Base_Bruta!B279),Base_Bruta!B279,IF(MID(Base_Bruta!B279,5,1)="-",DATE(VALUE(LEFT(Base_Bruta!B279,4)),VALUE(MID(Base_Bruta!B279,6,2)),VALUE(RIGHT(Base_Bruta!B279,2))),DATE(VALUE(RIGHT(Base_Bruta!B279,4)),VALUE(MID(Base_Bruta!B279,4,2)),VALUE(LEFT(Base_Bruta!B279,2))))))</f>
        <v>45891</v>
      </c>
      <c r="C279" s="5" t="n">
        <f aca="false">IF($A279="","",IF(ISNUMBER(Base_Bruta!C279),Base_Bruta!C279,IF(MID(Base_Bruta!C279,5,1)="-",DATE(VALUE(LEFT(Base_Bruta!C279,4)),VALUE(MID(Base_Bruta!C279,6,2)),VALUE(RIGHT(Base_Bruta!C279,2))),DATE(VALUE(RIGHT(Base_Bruta!C279,4)),VALUE(MID(Base_Bruta!C279,4,2)),VALUE(LEFT(Base_Bruta!C279,2))))))</f>
        <v>45894</v>
      </c>
      <c r="D279" s="4" t="str">
        <f aca="false">IF($A279="","",TRIM(Base_Bruta!D279))</f>
        <v>Cinema Paulista - Sessões</v>
      </c>
      <c r="E279" s="4" t="str">
        <f aca="false">IF($A279="","",_xlfn.XLOOKUP(LOWER(TRIM(Base_Bruta!E279)),DePara_Categoria!$A$2:$A$9,DePara_Categoria!$B$2:$B$9,"REVISAR"))</f>
        <v>Cinema</v>
      </c>
      <c r="F279" s="4" t="str">
        <f aca="false">IF($A279="","",_xlfn.XLOOKUP(LOWER(TRIM(Base_Bruta!F279)),DePara_Cidade!$A$2:$A$29,DePara_Cidade!$B$2:$B$29,"REVISAR"))</f>
        <v>São Paulo</v>
      </c>
      <c r="G279" s="4" t="str">
        <f aca="false">IF($A279="","",TRIM(Base_Bruta!G279))</f>
        <v>Inteira</v>
      </c>
      <c r="H279" s="4" t="n">
        <f aca="false">IF($A279="","",IF(ISNUMBER(Base_Bruta!H279),Base_Bruta!H279,IFERROR(_xlfn.NUMBERVALUE(TRIM(SUBSTITUTE(Base_Bruta!H279,"R$","")),",","."),0)))</f>
        <v>1</v>
      </c>
      <c r="I279" s="6" t="n">
        <f aca="false">IF($A279="","",IF(ISNUMBER(Base_Bruta!I279),Base_Bruta!I279,IFERROR(_xlfn.NUMBERVALUE(TRIM(SUBSTITUTE(Base_Bruta!I279,"R$","")),",","."),0)))</f>
        <v>40</v>
      </c>
      <c r="J279" s="6" t="n">
        <f aca="false">IF($A279="","",H279*I279)</f>
        <v>40</v>
      </c>
      <c r="K279" s="4" t="str">
        <f aca="false">IF($A279="","",TRIM(Base_Bruta!J279))</f>
        <v>App</v>
      </c>
      <c r="L279" s="4" t="str">
        <f aca="false">IF($A279="","",TRIM(Base_Bruta!K279))</f>
        <v>C02465</v>
      </c>
      <c r="M279" s="4" t="str">
        <f aca="false">IF($A279="","",_xlfn.XLOOKUP(LOWER(TRIM(Base_Bruta!L279)),DePara_Cidade!$A$2:$A$29,DePara_Cidade!$B$2:$B$29,"REVISAR"))</f>
        <v>São Paulo</v>
      </c>
      <c r="N279" s="4" t="str">
        <f aca="false">IF($A279="","",UPPER(TRIM(Base_Bruta!M279)))</f>
        <v>SP</v>
      </c>
      <c r="O279" s="4" t="str">
        <f aca="false">IF($A279="","",_xlfn.XLOOKUP(LOWER(TRIM(Base_Bruta!N279)),DePara_Pais!$A$2:$A$9,DePara_Pais!$B$2:$B$9,"REVISAR"))</f>
        <v>Brasil</v>
      </c>
      <c r="P279" s="4" t="str">
        <f aca="false">IF($A279="","",IF(O279&lt;&gt;"Brasil","Turista Internacional",IF(M279=F279,"Local","Turista Nacional")))</f>
        <v>Local</v>
      </c>
      <c r="Q279" s="7" t="n">
        <f aca="false">IF($A279="","",DATE(YEAR(B279),MONTH(B279),1))</f>
        <v>45870</v>
      </c>
      <c r="R279" s="4" t="str">
        <f aca="false">IF($A279="","",IF(COUNTIF($A$2:$A279,$A279)&gt;1,"Sim","Não"))</f>
        <v>Não</v>
      </c>
      <c r="S279" s="4" t="str">
        <f aca="false">IF(A279="","Descartar - Linha vazia",IF(R279="Sim","Descartar - Duplicado",IF(OR(H279&lt;=0,I279&lt;=0),"Descartar - Qtd/Valor inválido","OK")))</f>
        <v>OK</v>
      </c>
      <c r="T279" s="4" t="str">
        <f aca="false">Base_Bruta!P279</f>
        <v>vendas_SP.xlsx</v>
      </c>
    </row>
    <row r="280" customFormat="false" ht="15" hidden="false" customHeight="false" outlineLevel="0" collapsed="false">
      <c r="A280" s="4" t="str">
        <f aca="false">IF(Base_Bruta!A280="","",Base_Bruta!A280)</f>
        <v>SP-000181</v>
      </c>
      <c r="B280" s="5" t="n">
        <f aca="false">IF($A280="","",IF(ISNUMBER(Base_Bruta!B280),Base_Bruta!B280,IF(MID(Base_Bruta!B280,5,1)="-",DATE(VALUE(LEFT(Base_Bruta!B280,4)),VALUE(MID(Base_Bruta!B280,6,2)),VALUE(RIGHT(Base_Bruta!B280,2))),DATE(VALUE(RIGHT(Base_Bruta!B280,4)),VALUE(MID(Base_Bruta!B280,4,2)),VALUE(LEFT(Base_Bruta!B280,2))))))</f>
        <v>45893</v>
      </c>
      <c r="C280" s="5" t="n">
        <f aca="false">IF($A280="","",IF(ISNUMBER(Base_Bruta!C280),Base_Bruta!C280,IF(MID(Base_Bruta!C280,5,1)="-",DATE(VALUE(LEFT(Base_Bruta!C280,4)),VALUE(MID(Base_Bruta!C280,6,2)),VALUE(RIGHT(Base_Bruta!C280,2))),DATE(VALUE(RIGHT(Base_Bruta!C280,4)),VALUE(MID(Base_Bruta!C280,4,2)),VALUE(LEFT(Base_Bruta!C280,2))))))</f>
        <v>45976</v>
      </c>
      <c r="D280" s="4" t="str">
        <f aca="false">IF($A280="","",TRIM(Base_Bruta!D280))</f>
        <v>Festival Sonora SP 2025</v>
      </c>
      <c r="E280" s="4" t="str">
        <f aca="false">IF($A280="","",_xlfn.XLOOKUP(LOWER(TRIM(Base_Bruta!E280)),DePara_Categoria!$A$2:$A$9,DePara_Categoria!$B$2:$B$9,"REVISAR"))</f>
        <v>Festival</v>
      </c>
      <c r="F280" s="4" t="str">
        <f aca="false">IF($A280="","",_xlfn.XLOOKUP(LOWER(TRIM(Base_Bruta!F280)),DePara_Cidade!$A$2:$A$29,DePara_Cidade!$B$2:$B$29,"REVISAR"))</f>
        <v>São Paulo</v>
      </c>
      <c r="G280" s="4" t="str">
        <f aca="false">IF($A280="","",TRIM(Base_Bruta!G280))</f>
        <v>Inteira</v>
      </c>
      <c r="H280" s="4" t="n">
        <f aca="false">IF($A280="","",IF(ISNUMBER(Base_Bruta!H280),Base_Bruta!H280,IFERROR(_xlfn.NUMBERVALUE(TRIM(SUBSTITUTE(Base_Bruta!H280,"R$","")),",","."),0)))</f>
        <v>1</v>
      </c>
      <c r="I280" s="6" t="n">
        <f aca="false">IF($A280="","",IF(ISNUMBER(Base_Bruta!I280),Base_Bruta!I280,IFERROR(_xlfn.NUMBERVALUE(TRIM(SUBSTITUTE(Base_Bruta!I280,"R$","")),",","."),0)))</f>
        <v>800</v>
      </c>
      <c r="J280" s="6" t="n">
        <f aca="false">IF($A280="","",H280*I280)</f>
        <v>800</v>
      </c>
      <c r="K280" s="4" t="str">
        <f aca="false">IF($A280="","",TRIM(Base_Bruta!J280))</f>
        <v>App</v>
      </c>
      <c r="L280" s="4" t="str">
        <f aca="false">IF($A280="","",TRIM(Base_Bruta!K280))</f>
        <v>C02064</v>
      </c>
      <c r="M280" s="4" t="str">
        <f aca="false">IF($A280="","",_xlfn.XLOOKUP(LOWER(TRIM(Base_Bruta!L280)),DePara_Cidade!$A$2:$A$29,DePara_Cidade!$B$2:$B$29,"REVISAR"))</f>
        <v>Santos</v>
      </c>
      <c r="N280" s="4" t="str">
        <f aca="false">IF($A280="","",UPPER(TRIM(Base_Bruta!M280)))</f>
        <v>SP</v>
      </c>
      <c r="O280" s="4" t="str">
        <f aca="false">IF($A280="","",_xlfn.XLOOKUP(LOWER(TRIM(Base_Bruta!N280)),DePara_Pais!$A$2:$A$9,DePara_Pais!$B$2:$B$9,"REVISAR"))</f>
        <v>Brasil</v>
      </c>
      <c r="P280" s="4" t="str">
        <f aca="false">IF($A280="","",IF(O280&lt;&gt;"Brasil","Turista Internacional",IF(M280=F280,"Local","Turista Nacional")))</f>
        <v>Turista Nacional</v>
      </c>
      <c r="Q280" s="7" t="n">
        <f aca="false">IF($A280="","",DATE(YEAR(B280),MONTH(B280),1))</f>
        <v>45870</v>
      </c>
      <c r="R280" s="4" t="str">
        <f aca="false">IF($A280="","",IF(COUNTIF($A$2:$A280,$A280)&gt;1,"Sim","Não"))</f>
        <v>Não</v>
      </c>
      <c r="S280" s="4" t="str">
        <f aca="false">IF(A280="","Descartar - Linha vazia",IF(R280="Sim","Descartar - Duplicado",IF(OR(H280&lt;=0,I280&lt;=0),"Descartar - Qtd/Valor inválido","OK")))</f>
        <v>OK</v>
      </c>
      <c r="T280" s="4" t="str">
        <f aca="false">Base_Bruta!P280</f>
        <v>vendas_SP.xlsx</v>
      </c>
    </row>
    <row r="281" customFormat="false" ht="15" hidden="false" customHeight="false" outlineLevel="0" collapsed="false">
      <c r="A281" s="4" t="str">
        <f aca="false">IF(Base_Bruta!A281="","",Base_Bruta!A281)</f>
        <v>SP-000492</v>
      </c>
      <c r="B281" s="5" t="n">
        <f aca="false">IF($A281="","",IF(ISNUMBER(Base_Bruta!B281),Base_Bruta!B281,IF(MID(Base_Bruta!B281,5,1)="-",DATE(VALUE(LEFT(Base_Bruta!B281,4)),VALUE(MID(Base_Bruta!B281,6,2)),VALUE(RIGHT(Base_Bruta!B281,2))),DATE(VALUE(RIGHT(Base_Bruta!B281,4)),VALUE(MID(Base_Bruta!B281,4,2)),VALUE(LEFT(Base_Bruta!B281,2))))))</f>
        <v>45893</v>
      </c>
      <c r="C281" s="5" t="n">
        <f aca="false">IF($A281="","",IF(ISNUMBER(Base_Bruta!C281),Base_Bruta!C281,IF(MID(Base_Bruta!C281,5,1)="-",DATE(VALUE(LEFT(Base_Bruta!C281,4)),VALUE(MID(Base_Bruta!C281,6,2)),VALUE(RIGHT(Base_Bruta!C281,2))),DATE(VALUE(RIGHT(Base_Bruta!C281,4)),VALUE(MID(Base_Bruta!C281,4,2)),VALUE(LEFT(Base_Bruta!C281,2))))))</f>
        <v>45934</v>
      </c>
      <c r="D281" s="4" t="str">
        <f aca="false">IF($A281="","",TRIM(Base_Bruta!D281))</f>
        <v>Turnê Internacional Pop - SP</v>
      </c>
      <c r="E281" s="4" t="str">
        <f aca="false">IF($A281="","",_xlfn.XLOOKUP(LOWER(TRIM(Base_Bruta!E281)),DePara_Categoria!$A$2:$A$9,DePara_Categoria!$B$2:$B$9,"REVISAR"))</f>
        <v>Show</v>
      </c>
      <c r="F281" s="4" t="str">
        <f aca="false">IF($A281="","",_xlfn.XLOOKUP(LOWER(TRIM(Base_Bruta!F281)),DePara_Cidade!$A$2:$A$29,DePara_Cidade!$B$2:$B$29,"REVISAR"))</f>
        <v>São Paulo</v>
      </c>
      <c r="G281" s="4" t="str">
        <f aca="false">IF($A281="","",TRIM(Base_Bruta!G281))</f>
        <v>Meia</v>
      </c>
      <c r="H281" s="4" t="n">
        <f aca="false">IF($A281="","",IF(ISNUMBER(Base_Bruta!H281),Base_Bruta!H281,IFERROR(_xlfn.NUMBERVALUE(TRIM(SUBSTITUTE(Base_Bruta!H281,"R$","")),",","."),0)))</f>
        <v>2</v>
      </c>
      <c r="I281" s="6" t="n">
        <f aca="false">IF($A281="","",IF(ISNUMBER(Base_Bruta!I281),Base_Bruta!I281,IFERROR(_xlfn.NUMBERVALUE(TRIM(SUBSTITUTE(Base_Bruta!I281,"R$","")),",","."),0)))</f>
        <v>310</v>
      </c>
      <c r="J281" s="6" t="n">
        <f aca="false">IF($A281="","",H281*I281)</f>
        <v>620</v>
      </c>
      <c r="K281" s="4" t="str">
        <f aca="false">IF($A281="","",TRIM(Base_Bruta!J281))</f>
        <v>Parceiro</v>
      </c>
      <c r="L281" s="4" t="str">
        <f aca="false">IF($A281="","",TRIM(Base_Bruta!K281))</f>
        <v>C00191</v>
      </c>
      <c r="M281" s="4" t="str">
        <f aca="false">IF($A281="","",_xlfn.XLOOKUP(LOWER(TRIM(Base_Bruta!L281)),DePara_Cidade!$A$2:$A$29,DePara_Cidade!$B$2:$B$29,"REVISAR"))</f>
        <v>São Paulo</v>
      </c>
      <c r="N281" s="4" t="str">
        <f aca="false">IF($A281="","",UPPER(TRIM(Base_Bruta!M281)))</f>
        <v>SP</v>
      </c>
      <c r="O281" s="4" t="str">
        <f aca="false">IF($A281="","",_xlfn.XLOOKUP(LOWER(TRIM(Base_Bruta!N281)),DePara_Pais!$A$2:$A$9,DePara_Pais!$B$2:$B$9,"REVISAR"))</f>
        <v>Brasil</v>
      </c>
      <c r="P281" s="4" t="str">
        <f aca="false">IF($A281="","",IF(O281&lt;&gt;"Brasil","Turista Internacional",IF(M281=F281,"Local","Turista Nacional")))</f>
        <v>Local</v>
      </c>
      <c r="Q281" s="7" t="n">
        <f aca="false">IF($A281="","",DATE(YEAR(B281),MONTH(B281),1))</f>
        <v>45870</v>
      </c>
      <c r="R281" s="4" t="str">
        <f aca="false">IF($A281="","",IF(COUNTIF($A$2:$A281,$A281)&gt;1,"Sim","Não"))</f>
        <v>Não</v>
      </c>
      <c r="S281" s="4" t="str">
        <f aca="false">IF(A281="","Descartar - Linha vazia",IF(R281="Sim","Descartar - Duplicado",IF(OR(H281&lt;=0,I281&lt;=0),"Descartar - Qtd/Valor inválido","OK")))</f>
        <v>OK</v>
      </c>
      <c r="T281" s="4" t="str">
        <f aca="false">Base_Bruta!P281</f>
        <v>vendas_SP.xlsx</v>
      </c>
    </row>
    <row r="282" customFormat="false" ht="15" hidden="false" customHeight="false" outlineLevel="0" collapsed="false">
      <c r="A282" s="4" t="str">
        <f aca="false">IF(Base_Bruta!A282="","",Base_Bruta!A282)</f>
        <v>SP-000208</v>
      </c>
      <c r="B282" s="5" t="n">
        <f aca="false">IF($A282="","",IF(ISNUMBER(Base_Bruta!B282),Base_Bruta!B282,IF(MID(Base_Bruta!B282,5,1)="-",DATE(VALUE(LEFT(Base_Bruta!B282,4)),VALUE(MID(Base_Bruta!B282,6,2)),VALUE(RIGHT(Base_Bruta!B282,2))),DATE(VALUE(RIGHT(Base_Bruta!B282,4)),VALUE(MID(Base_Bruta!B282,4,2)),VALUE(LEFT(Base_Bruta!B282,2))))))</f>
        <v>45895</v>
      </c>
      <c r="C282" s="5" t="n">
        <f aca="false">IF($A282="","",IF(ISNUMBER(Base_Bruta!C282),Base_Bruta!C282,IF(MID(Base_Bruta!C282,5,1)="-",DATE(VALUE(LEFT(Base_Bruta!C282,4)),VALUE(MID(Base_Bruta!C282,6,2)),VALUE(RIGHT(Base_Bruta!C282,2))),DATE(VALUE(RIGHT(Base_Bruta!C282,4)),VALUE(MID(Base_Bruta!C282,4,2)),VALUE(LEFT(Base_Bruta!C282,2))))))</f>
        <v>45976</v>
      </c>
      <c r="D282" s="4" t="str">
        <f aca="false">IF($A282="","",TRIM(Base_Bruta!D282))</f>
        <v>Festival Sonora SP 2025</v>
      </c>
      <c r="E282" s="4" t="str">
        <f aca="false">IF($A282="","",_xlfn.XLOOKUP(LOWER(TRIM(Base_Bruta!E282)),DePara_Categoria!$A$2:$A$9,DePara_Categoria!$B$2:$B$9,"REVISAR"))</f>
        <v>Festival</v>
      </c>
      <c r="F282" s="4" t="str">
        <f aca="false">IF($A282="","",_xlfn.XLOOKUP(LOWER(TRIM(Base_Bruta!F282)),DePara_Cidade!$A$2:$A$29,DePara_Cidade!$B$2:$B$29,"REVISAR"))</f>
        <v>São Paulo</v>
      </c>
      <c r="G282" s="4" t="str">
        <f aca="false">IF($A282="","",TRIM(Base_Bruta!G282))</f>
        <v>Inteira</v>
      </c>
      <c r="H282" s="4" t="n">
        <f aca="false">IF($A282="","",IF(ISNUMBER(Base_Bruta!H282),Base_Bruta!H282,IFERROR(_xlfn.NUMBERVALUE(TRIM(SUBSTITUTE(Base_Bruta!H282,"R$","")),",","."),0)))</f>
        <v>2</v>
      </c>
      <c r="I282" s="6" t="n">
        <f aca="false">IF($A282="","",IF(ISNUMBER(Base_Bruta!I282),Base_Bruta!I282,IFERROR(_xlfn.NUMBERVALUE(TRIM(SUBSTITUTE(Base_Bruta!I282,"R$","")),",","."),0)))</f>
        <v>1100</v>
      </c>
      <c r="J282" s="6" t="n">
        <f aca="false">IF($A282="","",H282*I282)</f>
        <v>2200</v>
      </c>
      <c r="K282" s="4" t="str">
        <f aca="false">IF($A282="","",TRIM(Base_Bruta!J282))</f>
        <v>Site</v>
      </c>
      <c r="L282" s="4" t="str">
        <f aca="false">IF($A282="","",TRIM(Base_Bruta!K282))</f>
        <v>C02127</v>
      </c>
      <c r="M282" s="4" t="str">
        <f aca="false">IF($A282="","",_xlfn.XLOOKUP(LOWER(TRIM(Base_Bruta!L282)),DePara_Cidade!$A$2:$A$29,DePara_Cidade!$B$2:$B$29,"REVISAR"))</f>
        <v>São Paulo</v>
      </c>
      <c r="N282" s="4" t="str">
        <f aca="false">IF($A282="","",UPPER(TRIM(Base_Bruta!M282)))</f>
        <v>SP</v>
      </c>
      <c r="O282" s="4" t="str">
        <f aca="false">IF($A282="","",_xlfn.XLOOKUP(LOWER(TRIM(Base_Bruta!N282)),DePara_Pais!$A$2:$A$9,DePara_Pais!$B$2:$B$9,"REVISAR"))</f>
        <v>Brasil</v>
      </c>
      <c r="P282" s="4" t="str">
        <f aca="false">IF($A282="","",IF(O282&lt;&gt;"Brasil","Turista Internacional",IF(M282=F282,"Local","Turista Nacional")))</f>
        <v>Local</v>
      </c>
      <c r="Q282" s="7" t="n">
        <f aca="false">IF($A282="","",DATE(YEAR(B282),MONTH(B282),1))</f>
        <v>45870</v>
      </c>
      <c r="R282" s="4" t="str">
        <f aca="false">IF($A282="","",IF(COUNTIF($A$2:$A282,$A282)&gt;1,"Sim","Não"))</f>
        <v>Não</v>
      </c>
      <c r="S282" s="4" t="str">
        <f aca="false">IF(A282="","Descartar - Linha vazia",IF(R282="Sim","Descartar - Duplicado",IF(OR(H282&lt;=0,I282&lt;=0),"Descartar - Qtd/Valor inválido","OK")))</f>
        <v>OK</v>
      </c>
      <c r="T282" s="4" t="str">
        <f aca="false">Base_Bruta!P282</f>
        <v>vendas_SP.xlsx</v>
      </c>
    </row>
    <row r="283" customFormat="false" ht="15" hidden="false" customHeight="false" outlineLevel="0" collapsed="false">
      <c r="A283" s="4" t="str">
        <f aca="false">IF(Base_Bruta!A283="","",Base_Bruta!A283)</f>
        <v>SP-000556</v>
      </c>
      <c r="B283" s="5" t="n">
        <f aca="false">IF($A283="","",IF(ISNUMBER(Base_Bruta!B283),Base_Bruta!B283,IF(MID(Base_Bruta!B283,5,1)="-",DATE(VALUE(LEFT(Base_Bruta!B283,4)),VALUE(MID(Base_Bruta!B283,6,2)),VALUE(RIGHT(Base_Bruta!B283,2))),DATE(VALUE(RIGHT(Base_Bruta!B283,4)),VALUE(MID(Base_Bruta!B283,4,2)),VALUE(LEFT(Base_Bruta!B283,2))))))</f>
        <v>45895</v>
      </c>
      <c r="C283" s="5" t="n">
        <f aca="false">IF($A283="","",IF(ISNUMBER(Base_Bruta!C283),Base_Bruta!C283,IF(MID(Base_Bruta!C283,5,1)="-",DATE(VALUE(LEFT(Base_Bruta!C283,4)),VALUE(MID(Base_Bruta!C283,6,2)),VALUE(RIGHT(Base_Bruta!C283,2))),DATE(VALUE(RIGHT(Base_Bruta!C283,4)),VALUE(MID(Base_Bruta!C283,4,2)),VALUE(LEFT(Base_Bruta!C283,2))))))</f>
        <v>45934</v>
      </c>
      <c r="D283" s="4" t="str">
        <f aca="false">IF($A283="","",TRIM(Base_Bruta!D283))</f>
        <v>Turnê Internacional Pop - SP</v>
      </c>
      <c r="E283" s="4" t="str">
        <f aca="false">IF($A283="","",_xlfn.XLOOKUP(LOWER(TRIM(Base_Bruta!E283)),DePara_Categoria!$A$2:$A$9,DePara_Categoria!$B$2:$B$9,"REVISAR"))</f>
        <v>Show</v>
      </c>
      <c r="F283" s="4" t="str">
        <f aca="false">IF($A283="","",_xlfn.XLOOKUP(LOWER(TRIM(Base_Bruta!F283)),DePara_Cidade!$A$2:$A$29,DePara_Cidade!$B$2:$B$29,"REVISAR"))</f>
        <v>São Paulo</v>
      </c>
      <c r="G283" s="4" t="str">
        <f aca="false">IF($A283="","",TRIM(Base_Bruta!G283))</f>
        <v>Inteira</v>
      </c>
      <c r="H283" s="4" t="n">
        <f aca="false">IF($A283="","",IF(ISNUMBER(Base_Bruta!H283),Base_Bruta!H283,IFERROR(_xlfn.NUMBERVALUE(TRIM(SUBSTITUTE(Base_Bruta!H283,"R$","")),",","."),0)))</f>
        <v>1</v>
      </c>
      <c r="I283" s="6" t="n">
        <f aca="false">IF($A283="","",IF(ISNUMBER(Base_Bruta!I283),Base_Bruta!I283,IFERROR(_xlfn.NUMBERVALUE(TRIM(SUBSTITUTE(Base_Bruta!I283,"R$","")),",","."),0)))</f>
        <v>485</v>
      </c>
      <c r="J283" s="6" t="n">
        <f aca="false">IF($A283="","",H283*I283)</f>
        <v>485</v>
      </c>
      <c r="K283" s="4" t="str">
        <f aca="false">IF($A283="","",TRIM(Base_Bruta!J283))</f>
        <v>Site</v>
      </c>
      <c r="L283" s="4" t="str">
        <f aca="false">IF($A283="","",TRIM(Base_Bruta!K283))</f>
        <v>C01708</v>
      </c>
      <c r="M283" s="4" t="str">
        <f aca="false">IF($A283="","",_xlfn.XLOOKUP(LOWER(TRIM(Base_Bruta!L283)),DePara_Cidade!$A$2:$A$29,DePara_Cidade!$B$2:$B$29,"REVISAR"))</f>
        <v>São Paulo</v>
      </c>
      <c r="N283" s="4" t="str">
        <f aca="false">IF($A283="","",UPPER(TRIM(Base_Bruta!M283)))</f>
        <v>SP</v>
      </c>
      <c r="O283" s="4" t="str">
        <f aca="false">IF($A283="","",_xlfn.XLOOKUP(LOWER(TRIM(Base_Bruta!N283)),DePara_Pais!$A$2:$A$9,DePara_Pais!$B$2:$B$9,"REVISAR"))</f>
        <v>Brasil</v>
      </c>
      <c r="P283" s="4" t="str">
        <f aca="false">IF($A283="","",IF(O283&lt;&gt;"Brasil","Turista Internacional",IF(M283=F283,"Local","Turista Nacional")))</f>
        <v>Local</v>
      </c>
      <c r="Q283" s="7" t="n">
        <f aca="false">IF($A283="","",DATE(YEAR(B283),MONTH(B283),1))</f>
        <v>45870</v>
      </c>
      <c r="R283" s="4" t="str">
        <f aca="false">IF($A283="","",IF(COUNTIF($A$2:$A283,$A283)&gt;1,"Sim","Não"))</f>
        <v>Não</v>
      </c>
      <c r="S283" s="4" t="str">
        <f aca="false">IF(A283="","Descartar - Linha vazia",IF(R283="Sim","Descartar - Duplicado",IF(OR(H283&lt;=0,I283&lt;=0),"Descartar - Qtd/Valor inválido","OK")))</f>
        <v>OK</v>
      </c>
      <c r="T283" s="4" t="str">
        <f aca="false">Base_Bruta!P283</f>
        <v>vendas_SP.xlsx</v>
      </c>
    </row>
    <row r="284" customFormat="false" ht="15" hidden="false" customHeight="false" outlineLevel="0" collapsed="false">
      <c r="A284" s="4" t="str">
        <f aca="false">IF(Base_Bruta!A284="","",Base_Bruta!A284)</f>
        <v>SP-000041</v>
      </c>
      <c r="B284" s="5" t="n">
        <f aca="false">IF($A284="","",IF(ISNUMBER(Base_Bruta!B284),Base_Bruta!B284,IF(MID(Base_Bruta!B284,5,1)="-",DATE(VALUE(LEFT(Base_Bruta!B284,4)),VALUE(MID(Base_Bruta!B284,6,2)),VALUE(RIGHT(Base_Bruta!B284,2))),DATE(VALUE(RIGHT(Base_Bruta!B284,4)),VALUE(MID(Base_Bruta!B284,4,2)),VALUE(LEFT(Base_Bruta!B284,2))))))</f>
        <v>45896</v>
      </c>
      <c r="C284" s="5" t="n">
        <f aca="false">IF($A284="","",IF(ISNUMBER(Base_Bruta!C284),Base_Bruta!C284,IF(MID(Base_Bruta!C284,5,1)="-",DATE(VALUE(LEFT(Base_Bruta!C284,4)),VALUE(MID(Base_Bruta!C284,6,2)),VALUE(RIGHT(Base_Bruta!C284,2))),DATE(VALUE(RIGHT(Base_Bruta!C284,4)),VALUE(MID(Base_Bruta!C284,4,2)),VALUE(LEFT(Base_Bruta!C284,2))))))</f>
        <v>45976</v>
      </c>
      <c r="D284" s="4" t="str">
        <f aca="false">IF($A284="","",TRIM(Base_Bruta!D284))</f>
        <v>Festival Sonora SP 2025</v>
      </c>
      <c r="E284" s="4" t="str">
        <f aca="false">IF($A284="","",_xlfn.XLOOKUP(LOWER(TRIM(Base_Bruta!E284)),DePara_Categoria!$A$2:$A$9,DePara_Categoria!$B$2:$B$9,"REVISAR"))</f>
        <v>Festival</v>
      </c>
      <c r="F284" s="4" t="str">
        <f aca="false">IF($A284="","",_xlfn.XLOOKUP(LOWER(TRIM(Base_Bruta!F284)),DePara_Cidade!$A$2:$A$29,DePara_Cidade!$B$2:$B$29,"REVISAR"))</f>
        <v>São Paulo</v>
      </c>
      <c r="G284" s="4" t="str">
        <f aca="false">IF($A284="","",TRIM(Base_Bruta!G284))</f>
        <v>Inteira</v>
      </c>
      <c r="H284" s="4" t="n">
        <f aca="false">IF($A284="","",IF(ISNUMBER(Base_Bruta!H284),Base_Bruta!H284,IFERROR(_xlfn.NUMBERVALUE(TRIM(SUBSTITUTE(Base_Bruta!H284,"R$","")),",","."),0)))</f>
        <v>2</v>
      </c>
      <c r="I284" s="6" t="n">
        <f aca="false">IF($A284="","",IF(ISNUMBER(Base_Bruta!I284),Base_Bruta!I284,IFERROR(_xlfn.NUMBERVALUE(TRIM(SUBSTITUTE(Base_Bruta!I284,"R$","")),",","."),0)))</f>
        <v>970</v>
      </c>
      <c r="J284" s="6" t="n">
        <f aca="false">IF($A284="","",H284*I284)</f>
        <v>1940</v>
      </c>
      <c r="K284" s="4" t="str">
        <f aca="false">IF($A284="","",TRIM(Base_Bruta!J284))</f>
        <v>App</v>
      </c>
      <c r="L284" s="4" t="str">
        <f aca="false">IF($A284="","",TRIM(Base_Bruta!K284))</f>
        <v>C00392</v>
      </c>
      <c r="M284" s="4" t="str">
        <f aca="false">IF($A284="","",_xlfn.XLOOKUP(LOWER(TRIM(Base_Bruta!L284)),DePara_Cidade!$A$2:$A$29,DePara_Cidade!$B$2:$B$29,"REVISAR"))</f>
        <v>Recife</v>
      </c>
      <c r="N284" s="4" t="str">
        <f aca="false">IF($A284="","",UPPER(TRIM(Base_Bruta!M284)))</f>
        <v>PE</v>
      </c>
      <c r="O284" s="4" t="str">
        <f aca="false">IF($A284="","",_xlfn.XLOOKUP(LOWER(TRIM(Base_Bruta!N284)),DePara_Pais!$A$2:$A$9,DePara_Pais!$B$2:$B$9,"REVISAR"))</f>
        <v>Brasil</v>
      </c>
      <c r="P284" s="4" t="str">
        <f aca="false">IF($A284="","",IF(O284&lt;&gt;"Brasil","Turista Internacional",IF(M284=F284,"Local","Turista Nacional")))</f>
        <v>Turista Nacional</v>
      </c>
      <c r="Q284" s="7" t="n">
        <f aca="false">IF($A284="","",DATE(YEAR(B284),MONTH(B284),1))</f>
        <v>45870</v>
      </c>
      <c r="R284" s="4" t="str">
        <f aca="false">IF($A284="","",IF(COUNTIF($A$2:$A284,$A284)&gt;1,"Sim","Não"))</f>
        <v>Não</v>
      </c>
      <c r="S284" s="4" t="str">
        <f aca="false">IF(A284="","Descartar - Linha vazia",IF(R284="Sim","Descartar - Duplicado",IF(OR(H284&lt;=0,I284&lt;=0),"Descartar - Qtd/Valor inválido","OK")))</f>
        <v>OK</v>
      </c>
      <c r="T284" s="4" t="str">
        <f aca="false">Base_Bruta!P284</f>
        <v>vendas_SP.xlsx</v>
      </c>
    </row>
    <row r="285" customFormat="false" ht="15" hidden="false" customHeight="false" outlineLevel="0" collapsed="false">
      <c r="A285" s="4" t="str">
        <f aca="false">IF(Base_Bruta!A285="","",Base_Bruta!A285)</f>
        <v>SP-000689</v>
      </c>
      <c r="B285" s="5" t="n">
        <f aca="false">IF($A285="","",IF(ISNUMBER(Base_Bruta!B285),Base_Bruta!B285,IF(MID(Base_Bruta!B285,5,1)="-",DATE(VALUE(LEFT(Base_Bruta!B285,4)),VALUE(MID(Base_Bruta!B285,6,2)),VALUE(RIGHT(Base_Bruta!B285,2))),DATE(VALUE(RIGHT(Base_Bruta!B285,4)),VALUE(MID(Base_Bruta!B285,4,2)),VALUE(LEFT(Base_Bruta!B285,2))))))</f>
        <v>45896</v>
      </c>
      <c r="C285" s="5" t="n">
        <f aca="false">IF($A285="","",IF(ISNUMBER(Base_Bruta!C285),Base_Bruta!C285,IF(MID(Base_Bruta!C285,5,1)="-",DATE(VALUE(LEFT(Base_Bruta!C285,4)),VALUE(MID(Base_Bruta!C285,6,2)),VALUE(RIGHT(Base_Bruta!C285,2))),DATE(VALUE(RIGHT(Base_Bruta!C285,4)),VALUE(MID(Base_Bruta!C285,4,2)),VALUE(LEFT(Base_Bruta!C285,2))))))</f>
        <v>45898</v>
      </c>
      <c r="D285" s="4" t="str">
        <f aca="false">IF($A285="","",TRIM(Base_Bruta!D285))</f>
        <v>Cinema Paulista - Sessões</v>
      </c>
      <c r="E285" s="4" t="str">
        <f aca="false">IF($A285="","",_xlfn.XLOOKUP(LOWER(TRIM(Base_Bruta!E285)),DePara_Categoria!$A$2:$A$9,DePara_Categoria!$B$2:$B$9,"REVISAR"))</f>
        <v>Cinema</v>
      </c>
      <c r="F285" s="4" t="str">
        <f aca="false">IF($A285="","",_xlfn.XLOOKUP(LOWER(TRIM(Base_Bruta!F285)),DePara_Cidade!$A$2:$A$29,DePara_Cidade!$B$2:$B$29,"REVISAR"))</f>
        <v>São Paulo</v>
      </c>
      <c r="G285" s="4" t="str">
        <f aca="false">IF($A285="","",TRIM(Base_Bruta!G285))</f>
        <v>Inteira</v>
      </c>
      <c r="H285" s="4" t="n">
        <f aca="false">IF($A285="","",IF(ISNUMBER(Base_Bruta!H285),Base_Bruta!H285,IFERROR(_xlfn.NUMBERVALUE(TRIM(SUBSTITUTE(Base_Bruta!H285,"R$","")),",","."),0)))</f>
        <v>1</v>
      </c>
      <c r="I285" s="6" t="n">
        <f aca="false">IF($A285="","",IF(ISNUMBER(Base_Bruta!I285),Base_Bruta!I285,IFERROR(_xlfn.NUMBERVALUE(TRIM(SUBSTITUTE(Base_Bruta!I285,"R$","")),",","."),0)))</f>
        <v>45</v>
      </c>
      <c r="J285" s="6" t="n">
        <f aca="false">IF($A285="","",H285*I285)</f>
        <v>45</v>
      </c>
      <c r="K285" s="4" t="str">
        <f aca="false">IF($A285="","",TRIM(Base_Bruta!J285))</f>
        <v>App</v>
      </c>
      <c r="L285" s="4" t="str">
        <f aca="false">IF($A285="","",TRIM(Base_Bruta!K285))</f>
        <v>C01278</v>
      </c>
      <c r="M285" s="4" t="str">
        <f aca="false">IF($A285="","",_xlfn.XLOOKUP(LOWER(TRIM(Base_Bruta!L285)),DePara_Cidade!$A$2:$A$29,DePara_Cidade!$B$2:$B$29,"REVISAR"))</f>
        <v>São Paulo</v>
      </c>
      <c r="N285" s="4" t="str">
        <f aca="false">IF($A285="","",UPPER(TRIM(Base_Bruta!M285)))</f>
        <v>SP</v>
      </c>
      <c r="O285" s="4" t="str">
        <f aca="false">IF($A285="","",_xlfn.XLOOKUP(LOWER(TRIM(Base_Bruta!N285)),DePara_Pais!$A$2:$A$9,DePara_Pais!$B$2:$B$9,"REVISAR"))</f>
        <v>Brasil</v>
      </c>
      <c r="P285" s="4" t="str">
        <f aca="false">IF($A285="","",IF(O285&lt;&gt;"Brasil","Turista Internacional",IF(M285=F285,"Local","Turista Nacional")))</f>
        <v>Local</v>
      </c>
      <c r="Q285" s="7" t="n">
        <f aca="false">IF($A285="","",DATE(YEAR(B285),MONTH(B285),1))</f>
        <v>45870</v>
      </c>
      <c r="R285" s="4" t="str">
        <f aca="false">IF($A285="","",IF(COUNTIF($A$2:$A285,$A285)&gt;1,"Sim","Não"))</f>
        <v>Não</v>
      </c>
      <c r="S285" s="4" t="str">
        <f aca="false">IF(A285="","Descartar - Linha vazia",IF(R285="Sim","Descartar - Duplicado",IF(OR(H285&lt;=0,I285&lt;=0),"Descartar - Qtd/Valor inválido","OK")))</f>
        <v>OK</v>
      </c>
      <c r="T285" s="4" t="str">
        <f aca="false">Base_Bruta!P285</f>
        <v>vendas_SP.xlsx</v>
      </c>
    </row>
    <row r="286" customFormat="false" ht="15" hidden="false" customHeight="false" outlineLevel="0" collapsed="false">
      <c r="A286" s="4" t="str">
        <f aca="false">IF(Base_Bruta!A286="","",Base_Bruta!A286)</f>
        <v>SP-000195</v>
      </c>
      <c r="B286" s="5" t="n">
        <f aca="false">IF($A286="","",IF(ISNUMBER(Base_Bruta!B286),Base_Bruta!B286,IF(MID(Base_Bruta!B286,5,1)="-",DATE(VALUE(LEFT(Base_Bruta!B286,4)),VALUE(MID(Base_Bruta!B286,6,2)),VALUE(RIGHT(Base_Bruta!B286,2))),DATE(VALUE(RIGHT(Base_Bruta!B286,4)),VALUE(MID(Base_Bruta!B286,4,2)),VALUE(LEFT(Base_Bruta!B286,2))))))</f>
        <v>45897</v>
      </c>
      <c r="C286" s="5" t="n">
        <f aca="false">IF($A286="","",IF(ISNUMBER(Base_Bruta!C286),Base_Bruta!C286,IF(MID(Base_Bruta!C286,5,1)="-",DATE(VALUE(LEFT(Base_Bruta!C286,4)),VALUE(MID(Base_Bruta!C286,6,2)),VALUE(RIGHT(Base_Bruta!C286,2))),DATE(VALUE(RIGHT(Base_Bruta!C286,4)),VALUE(MID(Base_Bruta!C286,4,2)),VALUE(LEFT(Base_Bruta!C286,2))))))</f>
        <v>45976</v>
      </c>
      <c r="D286" s="4" t="str">
        <f aca="false">IF($A286="","",TRIM(Base_Bruta!D286))</f>
        <v>Festival Sonora SP 2025</v>
      </c>
      <c r="E286" s="4" t="str">
        <f aca="false">IF($A286="","",_xlfn.XLOOKUP(LOWER(TRIM(Base_Bruta!E286)),DePara_Categoria!$A$2:$A$9,DePara_Categoria!$B$2:$B$9,"REVISAR"))</f>
        <v>Festival</v>
      </c>
      <c r="F286" s="4" t="str">
        <f aca="false">IF($A286="","",_xlfn.XLOOKUP(LOWER(TRIM(Base_Bruta!F286)),DePara_Cidade!$A$2:$A$29,DePara_Cidade!$B$2:$B$29,"REVISAR"))</f>
        <v>São Paulo</v>
      </c>
      <c r="G286" s="4" t="str">
        <f aca="false">IF($A286="","",TRIM(Base_Bruta!G286))</f>
        <v>Meia</v>
      </c>
      <c r="H286" s="4" t="n">
        <f aca="false">IF($A286="","",IF(ISNUMBER(Base_Bruta!H286),Base_Bruta!H286,IFERROR(_xlfn.NUMBERVALUE(TRIM(SUBSTITUTE(Base_Bruta!H286,"R$","")),",","."),0)))</f>
        <v>1</v>
      </c>
      <c r="I286" s="6" t="n">
        <f aca="false">IF($A286="","",IF(ISNUMBER(Base_Bruta!I286),Base_Bruta!I286,IFERROR(_xlfn.NUMBERVALUE(TRIM(SUBSTITUTE(Base_Bruta!I286,"R$","")),",","."),0)))</f>
        <v>362.5</v>
      </c>
      <c r="J286" s="6" t="n">
        <f aca="false">IF($A286="","",H286*I286)</f>
        <v>362.5</v>
      </c>
      <c r="K286" s="4" t="str">
        <f aca="false">IF($A286="","",TRIM(Base_Bruta!J286))</f>
        <v>App</v>
      </c>
      <c r="L286" s="4" t="str">
        <f aca="false">IF($A286="","",TRIM(Base_Bruta!K286))</f>
        <v>C01343</v>
      </c>
      <c r="M286" s="4" t="str">
        <f aca="false">IF($A286="","",_xlfn.XLOOKUP(LOWER(TRIM(Base_Bruta!L286)),DePara_Cidade!$A$2:$A$29,DePara_Cidade!$B$2:$B$29,"REVISAR"))</f>
        <v>Campinas</v>
      </c>
      <c r="N286" s="4" t="str">
        <f aca="false">IF($A286="","",UPPER(TRIM(Base_Bruta!M286)))</f>
        <v>SP</v>
      </c>
      <c r="O286" s="4" t="str">
        <f aca="false">IF($A286="","",_xlfn.XLOOKUP(LOWER(TRIM(Base_Bruta!N286)),DePara_Pais!$A$2:$A$9,DePara_Pais!$B$2:$B$9,"REVISAR"))</f>
        <v>Brasil</v>
      </c>
      <c r="P286" s="4" t="str">
        <f aca="false">IF($A286="","",IF(O286&lt;&gt;"Brasil","Turista Internacional",IF(M286=F286,"Local","Turista Nacional")))</f>
        <v>Turista Nacional</v>
      </c>
      <c r="Q286" s="7" t="n">
        <f aca="false">IF($A286="","",DATE(YEAR(B286),MONTH(B286),1))</f>
        <v>45870</v>
      </c>
      <c r="R286" s="4" t="str">
        <f aca="false">IF($A286="","",IF(COUNTIF($A$2:$A286,$A286)&gt;1,"Sim","Não"))</f>
        <v>Não</v>
      </c>
      <c r="S286" s="4" t="str">
        <f aca="false">IF(A286="","Descartar - Linha vazia",IF(R286="Sim","Descartar - Duplicado",IF(OR(H286&lt;=0,I286&lt;=0),"Descartar - Qtd/Valor inválido","OK")))</f>
        <v>OK</v>
      </c>
      <c r="T286" s="4" t="str">
        <f aca="false">Base_Bruta!P286</f>
        <v>vendas_SP.xlsx</v>
      </c>
    </row>
    <row r="287" customFormat="false" ht="15" hidden="false" customHeight="false" outlineLevel="0" collapsed="false">
      <c r="A287" s="4" t="str">
        <f aca="false">IF(Base_Bruta!A287="","",Base_Bruta!A287)</f>
        <v>SP-000203</v>
      </c>
      <c r="B287" s="5" t="n">
        <f aca="false">IF($A287="","",IF(ISNUMBER(Base_Bruta!B287),Base_Bruta!B287,IF(MID(Base_Bruta!B287,5,1)="-",DATE(VALUE(LEFT(Base_Bruta!B287,4)),VALUE(MID(Base_Bruta!B287,6,2)),VALUE(RIGHT(Base_Bruta!B287,2))),DATE(VALUE(RIGHT(Base_Bruta!B287,4)),VALUE(MID(Base_Bruta!B287,4,2)),VALUE(LEFT(Base_Bruta!B287,2))))))</f>
        <v>45897</v>
      </c>
      <c r="C287" s="5" t="n">
        <f aca="false">IF($A287="","",IF(ISNUMBER(Base_Bruta!C287),Base_Bruta!C287,IF(MID(Base_Bruta!C287,5,1)="-",DATE(VALUE(LEFT(Base_Bruta!C287,4)),VALUE(MID(Base_Bruta!C287,6,2)),VALUE(RIGHT(Base_Bruta!C287,2))),DATE(VALUE(RIGHT(Base_Bruta!C287,4)),VALUE(MID(Base_Bruta!C287,4,2)),VALUE(LEFT(Base_Bruta!C287,2))))))</f>
        <v>45976</v>
      </c>
      <c r="D287" s="4" t="str">
        <f aca="false">IF($A287="","",TRIM(Base_Bruta!D287))</f>
        <v>Festival Sonora SP 2025</v>
      </c>
      <c r="E287" s="4" t="str">
        <f aca="false">IF($A287="","",_xlfn.XLOOKUP(LOWER(TRIM(Base_Bruta!E287)),DePara_Categoria!$A$2:$A$9,DePara_Categoria!$B$2:$B$9,"REVISAR"))</f>
        <v>Festival</v>
      </c>
      <c r="F287" s="4" t="str">
        <f aca="false">IF($A287="","",_xlfn.XLOOKUP(LOWER(TRIM(Base_Bruta!F287)),DePara_Cidade!$A$2:$A$29,DePara_Cidade!$B$2:$B$29,"REVISAR"))</f>
        <v>São Paulo</v>
      </c>
      <c r="G287" s="4" t="str">
        <f aca="false">IF($A287="","",TRIM(Base_Bruta!G287))</f>
        <v>VIP</v>
      </c>
      <c r="H287" s="4" t="n">
        <f aca="false">IF($A287="","",IF(ISNUMBER(Base_Bruta!H287),Base_Bruta!H287,IFERROR(_xlfn.NUMBERVALUE(TRIM(SUBSTITUTE(Base_Bruta!H287,"R$","")),",","."),0)))</f>
        <v>2</v>
      </c>
      <c r="I287" s="6" t="n">
        <f aca="false">IF($A287="","",IF(ISNUMBER(Base_Bruta!I287),Base_Bruta!I287,IFERROR(_xlfn.NUMBERVALUE(TRIM(SUBSTITUTE(Base_Bruta!I287,"R$","")),",","."),0)))</f>
        <v>1770</v>
      </c>
      <c r="J287" s="6" t="n">
        <f aca="false">IF($A287="","",H287*I287)</f>
        <v>3540</v>
      </c>
      <c r="K287" s="4" t="str">
        <f aca="false">IF($A287="","",TRIM(Base_Bruta!J287))</f>
        <v>Site</v>
      </c>
      <c r="L287" s="4" t="str">
        <f aca="false">IF($A287="","",TRIM(Base_Bruta!K287))</f>
        <v>C00883</v>
      </c>
      <c r="M287" s="4" t="str">
        <f aca="false">IF($A287="","",_xlfn.XLOOKUP(LOWER(TRIM(Base_Bruta!L287)),DePara_Cidade!$A$2:$A$29,DePara_Cidade!$B$2:$B$29,"REVISAR"))</f>
        <v>São Paulo</v>
      </c>
      <c r="N287" s="4" t="str">
        <f aca="false">IF($A287="","",UPPER(TRIM(Base_Bruta!M287)))</f>
        <v>SP</v>
      </c>
      <c r="O287" s="4" t="str">
        <f aca="false">IF($A287="","",_xlfn.XLOOKUP(LOWER(TRIM(Base_Bruta!N287)),DePara_Pais!$A$2:$A$9,DePara_Pais!$B$2:$B$9,"REVISAR"))</f>
        <v>Brasil</v>
      </c>
      <c r="P287" s="4" t="str">
        <f aca="false">IF($A287="","",IF(O287&lt;&gt;"Brasil","Turista Internacional",IF(M287=F287,"Local","Turista Nacional")))</f>
        <v>Local</v>
      </c>
      <c r="Q287" s="7" t="n">
        <f aca="false">IF($A287="","",DATE(YEAR(B287),MONTH(B287),1))</f>
        <v>45870</v>
      </c>
      <c r="R287" s="4" t="str">
        <f aca="false">IF($A287="","",IF(COUNTIF($A$2:$A287,$A287)&gt;1,"Sim","Não"))</f>
        <v>Não</v>
      </c>
      <c r="S287" s="4" t="str">
        <f aca="false">IF(A287="","Descartar - Linha vazia",IF(R287="Sim","Descartar - Duplicado",IF(OR(H287&lt;=0,I287&lt;=0),"Descartar - Qtd/Valor inválido","OK")))</f>
        <v>OK</v>
      </c>
      <c r="T287" s="4" t="str">
        <f aca="false">Base_Bruta!P287</f>
        <v>vendas_SP.xlsx</v>
      </c>
    </row>
    <row r="288" customFormat="false" ht="15" hidden="false" customHeight="false" outlineLevel="0" collapsed="false">
      <c r="A288" s="4" t="str">
        <f aca="false">IF(Base_Bruta!A288="","",Base_Bruta!A288)</f>
        <v>SP-000213</v>
      </c>
      <c r="B288" s="5" t="n">
        <f aca="false">IF($A288="","",IF(ISNUMBER(Base_Bruta!B288),Base_Bruta!B288,IF(MID(Base_Bruta!B288,5,1)="-",DATE(VALUE(LEFT(Base_Bruta!B288,4)),VALUE(MID(Base_Bruta!B288,6,2)),VALUE(RIGHT(Base_Bruta!B288,2))),DATE(VALUE(RIGHT(Base_Bruta!B288,4)),VALUE(MID(Base_Bruta!B288,4,2)),VALUE(LEFT(Base_Bruta!B288,2))))))</f>
        <v>45897</v>
      </c>
      <c r="C288" s="5" t="n">
        <f aca="false">IF($A288="","",IF(ISNUMBER(Base_Bruta!C288),Base_Bruta!C288,IF(MID(Base_Bruta!C288,5,1)="-",DATE(VALUE(LEFT(Base_Bruta!C288,4)),VALUE(MID(Base_Bruta!C288,6,2)),VALUE(RIGHT(Base_Bruta!C288,2))),DATE(VALUE(RIGHT(Base_Bruta!C288,4)),VALUE(MID(Base_Bruta!C288,4,2)),VALUE(LEFT(Base_Bruta!C288,2))))))</f>
        <v>45976</v>
      </c>
      <c r="D288" s="4" t="str">
        <f aca="false">IF($A288="","",TRIM(Base_Bruta!D288))</f>
        <v>Festival Sonora SP 2025</v>
      </c>
      <c r="E288" s="4" t="str">
        <f aca="false">IF($A288="","",_xlfn.XLOOKUP(LOWER(TRIM(Base_Bruta!E288)),DePara_Categoria!$A$2:$A$9,DePara_Categoria!$B$2:$B$9,"REVISAR"))</f>
        <v>Festival</v>
      </c>
      <c r="F288" s="4" t="str">
        <f aca="false">IF($A288="","",_xlfn.XLOOKUP(LOWER(TRIM(Base_Bruta!F288)),DePara_Cidade!$A$2:$A$29,DePara_Cidade!$B$2:$B$29,"REVISAR"))</f>
        <v>São Paulo</v>
      </c>
      <c r="G288" s="4" t="str">
        <f aca="false">IF($A288="","",TRIM(Base_Bruta!G288))</f>
        <v>VIP</v>
      </c>
      <c r="H288" s="4" t="n">
        <f aca="false">IF($A288="","",IF(ISNUMBER(Base_Bruta!H288),Base_Bruta!H288,IFERROR(_xlfn.NUMBERVALUE(TRIM(SUBSTITUTE(Base_Bruta!H288,"R$","")),",","."),0)))</f>
        <v>2</v>
      </c>
      <c r="I288" s="6" t="n">
        <f aca="false">IF($A288="","",IF(ISNUMBER(Base_Bruta!I288),Base_Bruta!I288,IFERROR(_xlfn.NUMBERVALUE(TRIM(SUBSTITUTE(Base_Bruta!I288,"R$","")),",","."),0)))</f>
        <v>1990</v>
      </c>
      <c r="J288" s="6" t="n">
        <f aca="false">IF($A288="","",H288*I288)</f>
        <v>3980</v>
      </c>
      <c r="K288" s="4" t="str">
        <f aca="false">IF($A288="","",TRIM(Base_Bruta!J288))</f>
        <v>Site</v>
      </c>
      <c r="L288" s="4" t="str">
        <f aca="false">IF($A288="","",TRIM(Base_Bruta!K288))</f>
        <v>C00647</v>
      </c>
      <c r="M288" s="4" t="str">
        <f aca="false">IF($A288="","",_xlfn.XLOOKUP(LOWER(TRIM(Base_Bruta!L288)),DePara_Cidade!$A$2:$A$29,DePara_Cidade!$B$2:$B$29,"REVISAR"))</f>
        <v>Buenos Aires</v>
      </c>
      <c r="N288" s="4" t="str">
        <f aca="false">IF($A288="","",UPPER(TRIM(Base_Bruta!M288)))</f>
        <v>EX</v>
      </c>
      <c r="O288" s="4" t="str">
        <f aca="false">IF($A288="","",_xlfn.XLOOKUP(LOWER(TRIM(Base_Bruta!N288)),DePara_Pais!$A$2:$A$9,DePara_Pais!$B$2:$B$9,"REVISAR"))</f>
        <v>Argentina</v>
      </c>
      <c r="P288" s="4" t="str">
        <f aca="false">IF($A288="","",IF(O288&lt;&gt;"Brasil","Turista Internacional",IF(M288=F288,"Local","Turista Nacional")))</f>
        <v>Turista Internacional</v>
      </c>
      <c r="Q288" s="7" t="n">
        <f aca="false">IF($A288="","",DATE(YEAR(B288),MONTH(B288),1))</f>
        <v>45870</v>
      </c>
      <c r="R288" s="4" t="str">
        <f aca="false">IF($A288="","",IF(COUNTIF($A$2:$A288,$A288)&gt;1,"Sim","Não"))</f>
        <v>Não</v>
      </c>
      <c r="S288" s="4" t="str">
        <f aca="false">IF(A288="","Descartar - Linha vazia",IF(R288="Sim","Descartar - Duplicado",IF(OR(H288&lt;=0,I288&lt;=0),"Descartar - Qtd/Valor inválido","OK")))</f>
        <v>OK</v>
      </c>
      <c r="T288" s="4" t="str">
        <f aca="false">Base_Bruta!P288</f>
        <v>vendas_SP.xlsx</v>
      </c>
    </row>
    <row r="289" customFormat="false" ht="15" hidden="false" customHeight="false" outlineLevel="0" collapsed="false">
      <c r="A289" s="4" t="str">
        <f aca="false">IF(Base_Bruta!A289="","",Base_Bruta!A289)</f>
        <v>SP-000566</v>
      </c>
      <c r="B289" s="5" t="n">
        <f aca="false">IF($A289="","",IF(ISNUMBER(Base_Bruta!B289),Base_Bruta!B289,IF(MID(Base_Bruta!B289,5,1)="-",DATE(VALUE(LEFT(Base_Bruta!B289,4)),VALUE(MID(Base_Bruta!B289,6,2)),VALUE(RIGHT(Base_Bruta!B289,2))),DATE(VALUE(RIGHT(Base_Bruta!B289,4)),VALUE(MID(Base_Bruta!B289,4,2)),VALUE(LEFT(Base_Bruta!B289,2))))))</f>
        <v>45898</v>
      </c>
      <c r="C289" s="5" t="n">
        <f aca="false">IF($A289="","",IF(ISNUMBER(Base_Bruta!C289),Base_Bruta!C289,IF(MID(Base_Bruta!C289,5,1)="-",DATE(VALUE(LEFT(Base_Bruta!C289,4)),VALUE(MID(Base_Bruta!C289,6,2)),VALUE(RIGHT(Base_Bruta!C289,2))),DATE(VALUE(RIGHT(Base_Bruta!C289,4)),VALUE(MID(Base_Bruta!C289,4,2)),VALUE(LEFT(Base_Bruta!C289,2))))))</f>
        <v>45934</v>
      </c>
      <c r="D289" s="4" t="str">
        <f aca="false">IF($A289="","",TRIM(Base_Bruta!D289))</f>
        <v>Turnê Internacional Pop - SP</v>
      </c>
      <c r="E289" s="4" t="str">
        <f aca="false">IF($A289="","",_xlfn.XLOOKUP(LOWER(TRIM(Base_Bruta!E289)),DePara_Categoria!$A$2:$A$9,DePara_Categoria!$B$2:$B$9,"REVISAR"))</f>
        <v>Show</v>
      </c>
      <c r="F289" s="4" t="str">
        <f aca="false">IF($A289="","",_xlfn.XLOOKUP(LOWER(TRIM(Base_Bruta!F289)),DePara_Cidade!$A$2:$A$29,DePara_Cidade!$B$2:$B$29,"REVISAR"))</f>
        <v>São Paulo</v>
      </c>
      <c r="G289" s="4" t="str">
        <f aca="false">IF($A289="","",TRIM(Base_Bruta!G289))</f>
        <v>Inteira</v>
      </c>
      <c r="H289" s="4" t="n">
        <f aca="false">IF($A289="","",IF(ISNUMBER(Base_Bruta!H289),Base_Bruta!H289,IFERROR(_xlfn.NUMBERVALUE(TRIM(SUBSTITUTE(Base_Bruta!H289,"R$","")),",","."),0)))</f>
        <v>4</v>
      </c>
      <c r="I289" s="6" t="n">
        <f aca="false">IF($A289="","",IF(ISNUMBER(Base_Bruta!I289),Base_Bruta!I289,IFERROR(_xlfn.NUMBERVALUE(TRIM(SUBSTITUTE(Base_Bruta!I289,"R$","")),",","."),0)))</f>
        <v>320</v>
      </c>
      <c r="J289" s="6" t="n">
        <f aca="false">IF($A289="","",H289*I289)</f>
        <v>1280</v>
      </c>
      <c r="K289" s="4" t="str">
        <f aca="false">IF($A289="","",TRIM(Base_Bruta!J289))</f>
        <v>Site</v>
      </c>
      <c r="L289" s="4" t="str">
        <f aca="false">IF($A289="","",TRIM(Base_Bruta!K289))</f>
        <v>C01969</v>
      </c>
      <c r="M289" s="4" t="str">
        <f aca="false">IF($A289="","",_xlfn.XLOOKUP(LOWER(TRIM(Base_Bruta!L289)),DePara_Cidade!$A$2:$A$29,DePara_Cidade!$B$2:$B$29,"REVISAR"))</f>
        <v>Lisboa</v>
      </c>
      <c r="N289" s="4" t="str">
        <f aca="false">IF($A289="","",UPPER(TRIM(Base_Bruta!M289)))</f>
        <v>EX</v>
      </c>
      <c r="O289" s="4" t="str">
        <f aca="false">IF($A289="","",_xlfn.XLOOKUP(LOWER(TRIM(Base_Bruta!N289)),DePara_Pais!$A$2:$A$9,DePara_Pais!$B$2:$B$9,"REVISAR"))</f>
        <v>Portugal</v>
      </c>
      <c r="P289" s="4" t="str">
        <f aca="false">IF($A289="","",IF(O289&lt;&gt;"Brasil","Turista Internacional",IF(M289=F289,"Local","Turista Nacional")))</f>
        <v>Turista Internacional</v>
      </c>
      <c r="Q289" s="7" t="n">
        <f aca="false">IF($A289="","",DATE(YEAR(B289),MONTH(B289),1))</f>
        <v>45870</v>
      </c>
      <c r="R289" s="4" t="str">
        <f aca="false">IF($A289="","",IF(COUNTIF($A$2:$A289,$A289)&gt;1,"Sim","Não"))</f>
        <v>Não</v>
      </c>
      <c r="S289" s="4" t="str">
        <f aca="false">IF(A289="","Descartar - Linha vazia",IF(R289="Sim","Descartar - Duplicado",IF(OR(H289&lt;=0,I289&lt;=0),"Descartar - Qtd/Valor inválido","OK")))</f>
        <v>OK</v>
      </c>
      <c r="T289" s="4" t="str">
        <f aca="false">Base_Bruta!P289</f>
        <v>vendas_SP.xlsx</v>
      </c>
    </row>
    <row r="290" customFormat="false" ht="15" hidden="false" customHeight="false" outlineLevel="0" collapsed="false">
      <c r="A290" s="4" t="str">
        <f aca="false">IF(Base_Bruta!A290="","",Base_Bruta!A290)</f>
        <v>SP-000536</v>
      </c>
      <c r="B290" s="5" t="n">
        <f aca="false">IF($A290="","",IF(ISNUMBER(Base_Bruta!B290),Base_Bruta!B290,IF(MID(Base_Bruta!B290,5,1)="-",DATE(VALUE(LEFT(Base_Bruta!B290,4)),VALUE(MID(Base_Bruta!B290,6,2)),VALUE(RIGHT(Base_Bruta!B290,2))),DATE(VALUE(RIGHT(Base_Bruta!B290,4)),VALUE(MID(Base_Bruta!B290,4,2)),VALUE(LEFT(Base_Bruta!B290,2))))))</f>
        <v>45899</v>
      </c>
      <c r="C290" s="5" t="n">
        <f aca="false">IF($A290="","",IF(ISNUMBER(Base_Bruta!C290),Base_Bruta!C290,IF(MID(Base_Bruta!C290,5,1)="-",DATE(VALUE(LEFT(Base_Bruta!C290,4)),VALUE(MID(Base_Bruta!C290,6,2)),VALUE(RIGHT(Base_Bruta!C290,2))),DATE(VALUE(RIGHT(Base_Bruta!C290,4)),VALUE(MID(Base_Bruta!C290,4,2)),VALUE(LEFT(Base_Bruta!C290,2))))))</f>
        <v>45934</v>
      </c>
      <c r="D290" s="4" t="str">
        <f aca="false">IF($A290="","",TRIM(Base_Bruta!D290))</f>
        <v>Turnê Internacional Pop - SP</v>
      </c>
      <c r="E290" s="4" t="str">
        <f aca="false">IF($A290="","",_xlfn.XLOOKUP(LOWER(TRIM(Base_Bruta!E290)),DePara_Categoria!$A$2:$A$9,DePara_Categoria!$B$2:$B$9,"REVISAR"))</f>
        <v>Show</v>
      </c>
      <c r="F290" s="4" t="str">
        <f aca="false">IF($A290="","",_xlfn.XLOOKUP(LOWER(TRIM(Base_Bruta!F290)),DePara_Cidade!$A$2:$A$29,DePara_Cidade!$B$2:$B$29,"REVISAR"))</f>
        <v>São Paulo</v>
      </c>
      <c r="G290" s="4" t="str">
        <f aca="false">IF($A290="","",TRIM(Base_Bruta!G290))</f>
        <v>Inteira</v>
      </c>
      <c r="H290" s="4" t="n">
        <f aca="false">IF($A290="","",IF(ISNUMBER(Base_Bruta!H290),Base_Bruta!H290,IFERROR(_xlfn.NUMBERVALUE(TRIM(SUBSTITUTE(Base_Bruta!H290,"R$","")),",","."),0)))</f>
        <v>2</v>
      </c>
      <c r="I290" s="6" t="n">
        <f aca="false">IF($A290="","",IF(ISNUMBER(Base_Bruta!I290),Base_Bruta!I290,IFERROR(_xlfn.NUMBERVALUE(TRIM(SUBSTITUTE(Base_Bruta!I290,"R$","")),",","."),0)))</f>
        <v>755</v>
      </c>
      <c r="J290" s="6" t="n">
        <f aca="false">IF($A290="","",H290*I290)</f>
        <v>1510</v>
      </c>
      <c r="K290" s="4" t="str">
        <f aca="false">IF($A290="","",TRIM(Base_Bruta!J290))</f>
        <v>Site</v>
      </c>
      <c r="L290" s="4" t="str">
        <f aca="false">IF($A290="","",TRIM(Base_Bruta!K290))</f>
        <v>C01523</v>
      </c>
      <c r="M290" s="4" t="str">
        <f aca="false">IF($A290="","",_xlfn.XLOOKUP(LOWER(TRIM(Base_Bruta!L290)),DePara_Cidade!$A$2:$A$29,DePara_Cidade!$B$2:$B$29,"REVISAR"))</f>
        <v>Salvador</v>
      </c>
      <c r="N290" s="4" t="str">
        <f aca="false">IF($A290="","",UPPER(TRIM(Base_Bruta!M290)))</f>
        <v>BA</v>
      </c>
      <c r="O290" s="4" t="str">
        <f aca="false">IF($A290="","",_xlfn.XLOOKUP(LOWER(TRIM(Base_Bruta!N290)),DePara_Pais!$A$2:$A$9,DePara_Pais!$B$2:$B$9,"REVISAR"))</f>
        <v>Brasil</v>
      </c>
      <c r="P290" s="4" t="str">
        <f aca="false">IF($A290="","",IF(O290&lt;&gt;"Brasil","Turista Internacional",IF(M290=F290,"Local","Turista Nacional")))</f>
        <v>Turista Nacional</v>
      </c>
      <c r="Q290" s="7" t="n">
        <f aca="false">IF($A290="","",DATE(YEAR(B290),MONTH(B290),1))</f>
        <v>45870</v>
      </c>
      <c r="R290" s="4" t="str">
        <f aca="false">IF($A290="","",IF(COUNTIF($A$2:$A290,$A290)&gt;1,"Sim","Não"))</f>
        <v>Não</v>
      </c>
      <c r="S290" s="4" t="str">
        <f aca="false">IF(A290="","Descartar - Linha vazia",IF(R290="Sim","Descartar - Duplicado",IF(OR(H290&lt;=0,I290&lt;=0),"Descartar - Qtd/Valor inválido","OK")))</f>
        <v>OK</v>
      </c>
      <c r="T290" s="4" t="str">
        <f aca="false">Base_Bruta!P290</f>
        <v>vendas_SP.xlsx</v>
      </c>
    </row>
    <row r="291" customFormat="false" ht="15" hidden="false" customHeight="false" outlineLevel="0" collapsed="false">
      <c r="A291" s="4" t="str">
        <f aca="false">IF(Base_Bruta!A291="","",Base_Bruta!A291)</f>
        <v>SP-000485</v>
      </c>
      <c r="B291" s="5" t="n">
        <f aca="false">IF($A291="","",IF(ISNUMBER(Base_Bruta!B291),Base_Bruta!B291,IF(MID(Base_Bruta!B291,5,1)="-",DATE(VALUE(LEFT(Base_Bruta!B291,4)),VALUE(MID(Base_Bruta!B291,6,2)),VALUE(RIGHT(Base_Bruta!B291,2))),DATE(VALUE(RIGHT(Base_Bruta!B291,4)),VALUE(MID(Base_Bruta!B291,4,2)),VALUE(LEFT(Base_Bruta!B291,2))))))</f>
        <v>45900</v>
      </c>
      <c r="C291" s="5" t="n">
        <f aca="false">IF($A291="","",IF(ISNUMBER(Base_Bruta!C291),Base_Bruta!C291,IF(MID(Base_Bruta!C291,5,1)="-",DATE(VALUE(LEFT(Base_Bruta!C291,4)),VALUE(MID(Base_Bruta!C291,6,2)),VALUE(RIGHT(Base_Bruta!C291,2))),DATE(VALUE(RIGHT(Base_Bruta!C291,4)),VALUE(MID(Base_Bruta!C291,4,2)),VALUE(LEFT(Base_Bruta!C291,2))))))</f>
        <v>45934</v>
      </c>
      <c r="D291" s="4" t="str">
        <f aca="false">IF($A291="","",TRIM(Base_Bruta!D291))</f>
        <v>Turnê Internacional Pop - SP</v>
      </c>
      <c r="E291" s="4" t="str">
        <f aca="false">IF($A291="","",_xlfn.XLOOKUP(LOWER(TRIM(Base_Bruta!E291)),DePara_Categoria!$A$2:$A$9,DePara_Categoria!$B$2:$B$9,"REVISAR"))</f>
        <v>Show</v>
      </c>
      <c r="F291" s="4" t="str">
        <f aca="false">IF($A291="","",_xlfn.XLOOKUP(LOWER(TRIM(Base_Bruta!F291)),DePara_Cidade!$A$2:$A$29,DePara_Cidade!$B$2:$B$29,"REVISAR"))</f>
        <v>São Paulo</v>
      </c>
      <c r="G291" s="4" t="str">
        <f aca="false">IF($A291="","",TRIM(Base_Bruta!G291))</f>
        <v>Inteira</v>
      </c>
      <c r="H291" s="4" t="n">
        <f aca="false">IF($A291="","",IF(ISNUMBER(Base_Bruta!H291),Base_Bruta!H291,IFERROR(_xlfn.NUMBERVALUE(TRIM(SUBSTITUTE(Base_Bruta!H291,"R$","")),",","."),0)))</f>
        <v>1</v>
      </c>
      <c r="I291" s="6" t="n">
        <f aca="false">IF($A291="","",IF(ISNUMBER(Base_Bruta!I291),Base_Bruta!I291,IFERROR(_xlfn.NUMBERVALUE(TRIM(SUBSTITUTE(Base_Bruta!I291,"R$","")),",","."),0)))</f>
        <v>705</v>
      </c>
      <c r="J291" s="6" t="n">
        <f aca="false">IF($A291="","",H291*I291)</f>
        <v>705</v>
      </c>
      <c r="K291" s="4" t="str">
        <f aca="false">IF($A291="","",TRIM(Base_Bruta!J291))</f>
        <v>Bilheteria</v>
      </c>
      <c r="L291" s="4" t="str">
        <f aca="false">IF($A291="","",TRIM(Base_Bruta!K291))</f>
        <v>C01640</v>
      </c>
      <c r="M291" s="4" t="str">
        <f aca="false">IF($A291="","",_xlfn.XLOOKUP(LOWER(TRIM(Base_Bruta!L291)),DePara_Cidade!$A$2:$A$29,DePara_Cidade!$B$2:$B$29,"REVISAR"))</f>
        <v>São Paulo</v>
      </c>
      <c r="N291" s="4" t="str">
        <f aca="false">IF($A291="","",UPPER(TRIM(Base_Bruta!M291)))</f>
        <v>SP</v>
      </c>
      <c r="O291" s="4" t="str">
        <f aca="false">IF($A291="","",_xlfn.XLOOKUP(LOWER(TRIM(Base_Bruta!N291)),DePara_Pais!$A$2:$A$9,DePara_Pais!$B$2:$B$9,"REVISAR"))</f>
        <v>Brasil</v>
      </c>
      <c r="P291" s="4" t="str">
        <f aca="false">IF($A291="","",IF(O291&lt;&gt;"Brasil","Turista Internacional",IF(M291=F291,"Local","Turista Nacional")))</f>
        <v>Local</v>
      </c>
      <c r="Q291" s="7" t="n">
        <f aca="false">IF($A291="","",DATE(YEAR(B291),MONTH(B291),1))</f>
        <v>45870</v>
      </c>
      <c r="R291" s="4" t="str">
        <f aca="false">IF($A291="","",IF(COUNTIF($A$2:$A291,$A291)&gt;1,"Sim","Não"))</f>
        <v>Não</v>
      </c>
      <c r="S291" s="4" t="str">
        <f aca="false">IF(A291="","Descartar - Linha vazia",IF(R291="Sim","Descartar - Duplicado",IF(OR(H291&lt;=0,I291&lt;=0),"Descartar - Qtd/Valor inválido","OK")))</f>
        <v>OK</v>
      </c>
      <c r="T291" s="4" t="str">
        <f aca="false">Base_Bruta!P291</f>
        <v>vendas_SP.xlsx</v>
      </c>
    </row>
    <row r="292" customFormat="false" ht="15" hidden="false" customHeight="false" outlineLevel="0" collapsed="false">
      <c r="A292" s="4" t="str">
        <f aca="false">IF(Base_Bruta!A292="","",Base_Bruta!A292)</f>
        <v>SP-000011</v>
      </c>
      <c r="B292" s="5" t="n">
        <f aca="false">IF($A292="","",IF(ISNUMBER(Base_Bruta!B292),Base_Bruta!B292,IF(MID(Base_Bruta!B292,5,1)="-",DATE(VALUE(LEFT(Base_Bruta!B292,4)),VALUE(MID(Base_Bruta!B292,6,2)),VALUE(RIGHT(Base_Bruta!B292,2))),DATE(VALUE(RIGHT(Base_Bruta!B292,4)),VALUE(MID(Base_Bruta!B292,4,2)),VALUE(LEFT(Base_Bruta!B292,2))))))</f>
        <v>45901</v>
      </c>
      <c r="C292" s="5" t="n">
        <f aca="false">IF($A292="","",IF(ISNUMBER(Base_Bruta!C292),Base_Bruta!C292,IF(MID(Base_Bruta!C292,5,1)="-",DATE(VALUE(LEFT(Base_Bruta!C292,4)),VALUE(MID(Base_Bruta!C292,6,2)),VALUE(RIGHT(Base_Bruta!C292,2))),DATE(VALUE(RIGHT(Base_Bruta!C292,4)),VALUE(MID(Base_Bruta!C292,4,2)),VALUE(LEFT(Base_Bruta!C292,2))))))</f>
        <v>45976</v>
      </c>
      <c r="D292" s="4" t="str">
        <f aca="false">IF($A292="","",TRIM(Base_Bruta!D292))</f>
        <v>Festival Sonora SP 2025</v>
      </c>
      <c r="E292" s="4" t="str">
        <f aca="false">IF($A292="","",_xlfn.XLOOKUP(LOWER(TRIM(Base_Bruta!E292)),DePara_Categoria!$A$2:$A$9,DePara_Categoria!$B$2:$B$9,"REVISAR"))</f>
        <v>Festival</v>
      </c>
      <c r="F292" s="4" t="str">
        <f aca="false">IF($A292="","",_xlfn.XLOOKUP(LOWER(TRIM(Base_Bruta!F292)),DePara_Cidade!$A$2:$A$29,DePara_Cidade!$B$2:$B$29,"REVISAR"))</f>
        <v>São Paulo</v>
      </c>
      <c r="G292" s="4" t="str">
        <f aca="false">IF($A292="","",TRIM(Base_Bruta!G292))</f>
        <v>Inteira</v>
      </c>
      <c r="H292" s="4" t="n">
        <f aca="false">IF($A292="","",IF(ISNUMBER(Base_Bruta!H292),Base_Bruta!H292,IFERROR(_xlfn.NUMBERVALUE(TRIM(SUBSTITUTE(Base_Bruta!H292,"R$","")),",","."),0)))</f>
        <v>2</v>
      </c>
      <c r="I292" s="6" t="n">
        <f aca="false">IF($A292="","",IF(ISNUMBER(Base_Bruta!I292),Base_Bruta!I292,IFERROR(_xlfn.NUMBERVALUE(TRIM(SUBSTITUTE(Base_Bruta!I292,"R$","")),",","."),0)))</f>
        <v>925</v>
      </c>
      <c r="J292" s="6" t="n">
        <f aca="false">IF($A292="","",H292*I292)</f>
        <v>1850</v>
      </c>
      <c r="K292" s="4" t="str">
        <f aca="false">IF($A292="","",TRIM(Base_Bruta!J292))</f>
        <v>App</v>
      </c>
      <c r="L292" s="4" t="str">
        <f aca="false">IF($A292="","",TRIM(Base_Bruta!K292))</f>
        <v>C00365</v>
      </c>
      <c r="M292" s="4" t="str">
        <f aca="false">IF($A292="","",_xlfn.XLOOKUP(LOWER(TRIM(Base_Bruta!L292)),DePara_Cidade!$A$2:$A$29,DePara_Cidade!$B$2:$B$29,"REVISAR"))</f>
        <v>São Paulo</v>
      </c>
      <c r="N292" s="4" t="str">
        <f aca="false">IF($A292="","",UPPER(TRIM(Base_Bruta!M292)))</f>
        <v>SP</v>
      </c>
      <c r="O292" s="4" t="str">
        <f aca="false">IF($A292="","",_xlfn.XLOOKUP(LOWER(TRIM(Base_Bruta!N292)),DePara_Pais!$A$2:$A$9,DePara_Pais!$B$2:$B$9,"REVISAR"))</f>
        <v>Brasil</v>
      </c>
      <c r="P292" s="4" t="str">
        <f aca="false">IF($A292="","",IF(O292&lt;&gt;"Brasil","Turista Internacional",IF(M292=F292,"Local","Turista Nacional")))</f>
        <v>Local</v>
      </c>
      <c r="Q292" s="7" t="n">
        <f aca="false">IF($A292="","",DATE(YEAR(B292),MONTH(B292),1))</f>
        <v>45901</v>
      </c>
      <c r="R292" s="4" t="str">
        <f aca="false">IF($A292="","",IF(COUNTIF($A$2:$A292,$A292)&gt;1,"Sim","Não"))</f>
        <v>Não</v>
      </c>
      <c r="S292" s="4" t="str">
        <f aca="false">IF(A292="","Descartar - Linha vazia",IF(R292="Sim","Descartar - Duplicado",IF(OR(H292&lt;=0,I292&lt;=0),"Descartar - Qtd/Valor inválido","OK")))</f>
        <v>OK</v>
      </c>
      <c r="T292" s="4" t="str">
        <f aca="false">Base_Bruta!P292</f>
        <v>vendas_SP.xlsx</v>
      </c>
    </row>
    <row r="293" customFormat="false" ht="15" hidden="false" customHeight="false" outlineLevel="0" collapsed="false">
      <c r="A293" s="4" t="str">
        <f aca="false">IF(Base_Bruta!A293="","",Base_Bruta!A293)</f>
        <v>SP-000019</v>
      </c>
      <c r="B293" s="5" t="n">
        <f aca="false">IF($A293="","",IF(ISNUMBER(Base_Bruta!B293),Base_Bruta!B293,IF(MID(Base_Bruta!B293,5,1)="-",DATE(VALUE(LEFT(Base_Bruta!B293,4)),VALUE(MID(Base_Bruta!B293,6,2)),VALUE(RIGHT(Base_Bruta!B293,2))),DATE(VALUE(RIGHT(Base_Bruta!B293,4)),VALUE(MID(Base_Bruta!B293,4,2)),VALUE(LEFT(Base_Bruta!B293,2))))))</f>
        <v>45901</v>
      </c>
      <c r="C293" s="5" t="n">
        <f aca="false">IF($A293="","",IF(ISNUMBER(Base_Bruta!C293),Base_Bruta!C293,IF(MID(Base_Bruta!C293,5,1)="-",DATE(VALUE(LEFT(Base_Bruta!C293,4)),VALUE(MID(Base_Bruta!C293,6,2)),VALUE(RIGHT(Base_Bruta!C293,2))),DATE(VALUE(RIGHT(Base_Bruta!C293,4)),VALUE(MID(Base_Bruta!C293,4,2)),VALUE(LEFT(Base_Bruta!C293,2))))))</f>
        <v>45976</v>
      </c>
      <c r="D293" s="4" t="str">
        <f aca="false">IF($A293="","",TRIM(Base_Bruta!D293))</f>
        <v>Festival Sonora SP 2025</v>
      </c>
      <c r="E293" s="4" t="str">
        <f aca="false">IF($A293="","",_xlfn.XLOOKUP(LOWER(TRIM(Base_Bruta!E293)),DePara_Categoria!$A$2:$A$9,DePara_Categoria!$B$2:$B$9,"REVISAR"))</f>
        <v>Festival</v>
      </c>
      <c r="F293" s="4" t="str">
        <f aca="false">IF($A293="","",_xlfn.XLOOKUP(LOWER(TRIM(Base_Bruta!F293)),DePara_Cidade!$A$2:$A$29,DePara_Cidade!$B$2:$B$29,"REVISAR"))</f>
        <v>São Paulo</v>
      </c>
      <c r="G293" s="4" t="str">
        <f aca="false">IF($A293="","",TRIM(Base_Bruta!G293))</f>
        <v>Inteira</v>
      </c>
      <c r="H293" s="4" t="n">
        <f aca="false">IF($A293="","",IF(ISNUMBER(Base_Bruta!H293),Base_Bruta!H293,IFERROR(_xlfn.NUMBERVALUE(TRIM(SUBSTITUTE(Base_Bruta!H293,"R$","")),",","."),0)))</f>
        <v>2</v>
      </c>
      <c r="I293" s="6" t="n">
        <f aca="false">IF($A293="","",IF(ISNUMBER(Base_Bruta!I293),Base_Bruta!I293,IFERROR(_xlfn.NUMBERVALUE(TRIM(SUBSTITUTE(Base_Bruta!I293,"R$","")),",","."),0)))</f>
        <v>1135</v>
      </c>
      <c r="J293" s="6" t="n">
        <f aca="false">IF($A293="","",H293*I293)</f>
        <v>2270</v>
      </c>
      <c r="K293" s="4" t="str">
        <f aca="false">IF($A293="","",TRIM(Base_Bruta!J293))</f>
        <v>Site</v>
      </c>
      <c r="L293" s="4" t="str">
        <f aca="false">IF($A293="","",TRIM(Base_Bruta!K293))</f>
        <v>C01580</v>
      </c>
      <c r="M293" s="4" t="str">
        <f aca="false">IF($A293="","",_xlfn.XLOOKUP(LOWER(TRIM(Base_Bruta!L293)),DePara_Cidade!$A$2:$A$29,DePara_Cidade!$B$2:$B$29,"REVISAR"))</f>
        <v>Goiânia</v>
      </c>
      <c r="N293" s="4" t="str">
        <f aca="false">IF($A293="","",UPPER(TRIM(Base_Bruta!M293)))</f>
        <v>GO</v>
      </c>
      <c r="O293" s="4" t="str">
        <f aca="false">IF($A293="","",_xlfn.XLOOKUP(LOWER(TRIM(Base_Bruta!N293)),DePara_Pais!$A$2:$A$9,DePara_Pais!$B$2:$B$9,"REVISAR"))</f>
        <v>Brasil</v>
      </c>
      <c r="P293" s="4" t="str">
        <f aca="false">IF($A293="","",IF(O293&lt;&gt;"Brasil","Turista Internacional",IF(M293=F293,"Local","Turista Nacional")))</f>
        <v>Turista Nacional</v>
      </c>
      <c r="Q293" s="7" t="n">
        <f aca="false">IF($A293="","",DATE(YEAR(B293),MONTH(B293),1))</f>
        <v>45901</v>
      </c>
      <c r="R293" s="4" t="str">
        <f aca="false">IF($A293="","",IF(COUNTIF($A$2:$A293,$A293)&gt;1,"Sim","Não"))</f>
        <v>Não</v>
      </c>
      <c r="S293" s="4" t="str">
        <f aca="false">IF(A293="","Descartar - Linha vazia",IF(R293="Sim","Descartar - Duplicado",IF(OR(H293&lt;=0,I293&lt;=0),"Descartar - Qtd/Valor inválido","OK")))</f>
        <v>OK</v>
      </c>
      <c r="T293" s="4" t="str">
        <f aca="false">Base_Bruta!P293</f>
        <v>vendas_SP.xlsx</v>
      </c>
    </row>
    <row r="294" customFormat="false" ht="15" hidden="false" customHeight="false" outlineLevel="0" collapsed="false">
      <c r="A294" s="4" t="str">
        <f aca="false">IF(Base_Bruta!A294="","",Base_Bruta!A294)</f>
        <v>SP-000035</v>
      </c>
      <c r="B294" s="5" t="n">
        <f aca="false">IF($A294="","",IF(ISNUMBER(Base_Bruta!B294),Base_Bruta!B294,IF(MID(Base_Bruta!B294,5,1)="-",DATE(VALUE(LEFT(Base_Bruta!B294,4)),VALUE(MID(Base_Bruta!B294,6,2)),VALUE(RIGHT(Base_Bruta!B294,2))),DATE(VALUE(RIGHT(Base_Bruta!B294,4)),VALUE(MID(Base_Bruta!B294,4,2)),VALUE(LEFT(Base_Bruta!B294,2))))))</f>
        <v>45901</v>
      </c>
      <c r="C294" s="5" t="n">
        <f aca="false">IF($A294="","",IF(ISNUMBER(Base_Bruta!C294),Base_Bruta!C294,IF(MID(Base_Bruta!C294,5,1)="-",DATE(VALUE(LEFT(Base_Bruta!C294,4)),VALUE(MID(Base_Bruta!C294,6,2)),VALUE(RIGHT(Base_Bruta!C294,2))),DATE(VALUE(RIGHT(Base_Bruta!C294,4)),VALUE(MID(Base_Bruta!C294,4,2)),VALUE(LEFT(Base_Bruta!C294,2))))))</f>
        <v>45976</v>
      </c>
      <c r="D294" s="4" t="str">
        <f aca="false">IF($A294="","",TRIM(Base_Bruta!D294))</f>
        <v>Festival Sonora SP 2025</v>
      </c>
      <c r="E294" s="4" t="str">
        <f aca="false">IF($A294="","",_xlfn.XLOOKUP(LOWER(TRIM(Base_Bruta!E294)),DePara_Categoria!$A$2:$A$9,DePara_Categoria!$B$2:$B$9,"REVISAR"))</f>
        <v>Festival</v>
      </c>
      <c r="F294" s="4" t="str">
        <f aca="false">IF($A294="","",_xlfn.XLOOKUP(LOWER(TRIM(Base_Bruta!F294)),DePara_Cidade!$A$2:$A$29,DePara_Cidade!$B$2:$B$29,"REVISAR"))</f>
        <v>São Paulo</v>
      </c>
      <c r="G294" s="4" t="str">
        <f aca="false">IF($A294="","",TRIM(Base_Bruta!G294))</f>
        <v>Meia</v>
      </c>
      <c r="H294" s="4" t="n">
        <f aca="false">IF($A294="","",IF(ISNUMBER(Base_Bruta!H294),Base_Bruta!H294,IFERROR(_xlfn.NUMBERVALUE(TRIM(SUBSTITUTE(Base_Bruta!H294,"R$","")),",","."),0)))</f>
        <v>2</v>
      </c>
      <c r="I294" s="6" t="n">
        <f aca="false">IF($A294="","",IF(ISNUMBER(Base_Bruta!I294),Base_Bruta!I294,IFERROR(_xlfn.NUMBERVALUE(TRIM(SUBSTITUTE(Base_Bruta!I294,"R$","")),",","."),0)))</f>
        <v>412.5</v>
      </c>
      <c r="J294" s="6" t="n">
        <f aca="false">IF($A294="","",H294*I294)</f>
        <v>825</v>
      </c>
      <c r="K294" s="4" t="str">
        <f aca="false">IF($A294="","",TRIM(Base_Bruta!J294))</f>
        <v>App</v>
      </c>
      <c r="L294" s="4" t="str">
        <f aca="false">IF($A294="","",TRIM(Base_Bruta!K294))</f>
        <v>C02104</v>
      </c>
      <c r="M294" s="4" t="str">
        <f aca="false">IF($A294="","",_xlfn.XLOOKUP(LOWER(TRIM(Base_Bruta!L294)),DePara_Cidade!$A$2:$A$29,DePara_Cidade!$B$2:$B$29,"REVISAR"))</f>
        <v>São Paulo</v>
      </c>
      <c r="N294" s="4" t="str">
        <f aca="false">IF($A294="","",UPPER(TRIM(Base_Bruta!M294)))</f>
        <v>SP</v>
      </c>
      <c r="O294" s="4" t="str">
        <f aca="false">IF($A294="","",_xlfn.XLOOKUP(LOWER(TRIM(Base_Bruta!N294)),DePara_Pais!$A$2:$A$9,DePara_Pais!$B$2:$B$9,"REVISAR"))</f>
        <v>Brasil</v>
      </c>
      <c r="P294" s="4" t="str">
        <f aca="false">IF($A294="","",IF(O294&lt;&gt;"Brasil","Turista Internacional",IF(M294=F294,"Local","Turista Nacional")))</f>
        <v>Local</v>
      </c>
      <c r="Q294" s="7" t="n">
        <f aca="false">IF($A294="","",DATE(YEAR(B294),MONTH(B294),1))</f>
        <v>45901</v>
      </c>
      <c r="R294" s="4" t="str">
        <f aca="false">IF($A294="","",IF(COUNTIF($A$2:$A294,$A294)&gt;1,"Sim","Não"))</f>
        <v>Não</v>
      </c>
      <c r="S294" s="4" t="str">
        <f aca="false">IF(A294="","Descartar - Linha vazia",IF(R294="Sim","Descartar - Duplicado",IF(OR(H294&lt;=0,I294&lt;=0),"Descartar - Qtd/Valor inválido","OK")))</f>
        <v>OK</v>
      </c>
      <c r="T294" s="4" t="str">
        <f aca="false">Base_Bruta!P294</f>
        <v>vendas_SP.xlsx</v>
      </c>
    </row>
    <row r="295" customFormat="false" ht="15" hidden="false" customHeight="false" outlineLevel="0" collapsed="false">
      <c r="A295" s="4" t="str">
        <f aca="false">IF(Base_Bruta!A295="","",Base_Bruta!A295)</f>
        <v>SP-000199</v>
      </c>
      <c r="B295" s="5" t="n">
        <f aca="false">IF($A295="","",IF(ISNUMBER(Base_Bruta!B295),Base_Bruta!B295,IF(MID(Base_Bruta!B295,5,1)="-",DATE(VALUE(LEFT(Base_Bruta!B295,4)),VALUE(MID(Base_Bruta!B295,6,2)),VALUE(RIGHT(Base_Bruta!B295,2))),DATE(VALUE(RIGHT(Base_Bruta!B295,4)),VALUE(MID(Base_Bruta!B295,4,2)),VALUE(LEFT(Base_Bruta!B295,2))))))</f>
        <v>45902</v>
      </c>
      <c r="C295" s="5" t="n">
        <f aca="false">IF($A295="","",IF(ISNUMBER(Base_Bruta!C295),Base_Bruta!C295,IF(MID(Base_Bruta!C295,5,1)="-",DATE(VALUE(LEFT(Base_Bruta!C295,4)),VALUE(MID(Base_Bruta!C295,6,2)),VALUE(RIGHT(Base_Bruta!C295,2))),DATE(VALUE(RIGHT(Base_Bruta!C295,4)),VALUE(MID(Base_Bruta!C295,4,2)),VALUE(LEFT(Base_Bruta!C295,2))))))</f>
        <v>45976</v>
      </c>
      <c r="D295" s="4" t="str">
        <f aca="false">IF($A295="","",TRIM(Base_Bruta!D295))</f>
        <v>Festival Sonora SP 2025</v>
      </c>
      <c r="E295" s="4" t="str">
        <f aca="false">IF($A295="","",_xlfn.XLOOKUP(LOWER(TRIM(Base_Bruta!E295)),DePara_Categoria!$A$2:$A$9,DePara_Categoria!$B$2:$B$9,"REVISAR"))</f>
        <v>Festival</v>
      </c>
      <c r="F295" s="4" t="str">
        <f aca="false">IF($A295="","",_xlfn.XLOOKUP(LOWER(TRIM(Base_Bruta!F295)),DePara_Cidade!$A$2:$A$29,DePara_Cidade!$B$2:$B$29,"REVISAR"))</f>
        <v>São Paulo</v>
      </c>
      <c r="G295" s="4" t="str">
        <f aca="false">IF($A295="","",TRIM(Base_Bruta!G295))</f>
        <v>Inteira</v>
      </c>
      <c r="H295" s="4" t="n">
        <f aca="false">IF($A295="","",IF(ISNUMBER(Base_Bruta!H295),Base_Bruta!H295,IFERROR(_xlfn.NUMBERVALUE(TRIM(SUBSTITUTE(Base_Bruta!H295,"R$","")),",","."),0)))</f>
        <v>4</v>
      </c>
      <c r="I295" s="6" t="n">
        <f aca="false">IF($A295="","",IF(ISNUMBER(Base_Bruta!I295),Base_Bruta!I295,IFERROR(_xlfn.NUMBERVALUE(TRIM(SUBSTITUTE(Base_Bruta!I295,"R$","")),",","."),0)))</f>
        <v>785</v>
      </c>
      <c r="J295" s="6" t="n">
        <f aca="false">IF($A295="","",H295*I295)</f>
        <v>3140</v>
      </c>
      <c r="K295" s="4" t="str">
        <f aca="false">IF($A295="","",TRIM(Base_Bruta!J295))</f>
        <v>Bilheteria</v>
      </c>
      <c r="L295" s="4" t="str">
        <f aca="false">IF($A295="","",TRIM(Base_Bruta!K295))</f>
        <v>C01869</v>
      </c>
      <c r="M295" s="4" t="str">
        <f aca="false">IF($A295="","",_xlfn.XLOOKUP(LOWER(TRIM(Base_Bruta!L295)),DePara_Cidade!$A$2:$A$29,DePara_Cidade!$B$2:$B$29,"REVISAR"))</f>
        <v>Porto Alegre</v>
      </c>
      <c r="N295" s="4" t="str">
        <f aca="false">IF($A295="","",UPPER(TRIM(Base_Bruta!M295)))</f>
        <v>RS</v>
      </c>
      <c r="O295" s="4" t="str">
        <f aca="false">IF($A295="","",_xlfn.XLOOKUP(LOWER(TRIM(Base_Bruta!N295)),DePara_Pais!$A$2:$A$9,DePara_Pais!$B$2:$B$9,"REVISAR"))</f>
        <v>Brasil</v>
      </c>
      <c r="P295" s="4" t="str">
        <f aca="false">IF($A295="","",IF(O295&lt;&gt;"Brasil","Turista Internacional",IF(M295=F295,"Local","Turista Nacional")))</f>
        <v>Turista Nacional</v>
      </c>
      <c r="Q295" s="7" t="n">
        <f aca="false">IF($A295="","",DATE(YEAR(B295),MONTH(B295),1))</f>
        <v>45901</v>
      </c>
      <c r="R295" s="4" t="str">
        <f aca="false">IF($A295="","",IF(COUNTIF($A$2:$A295,$A295)&gt;1,"Sim","Não"))</f>
        <v>Não</v>
      </c>
      <c r="S295" s="4" t="str">
        <f aca="false">IF(A295="","Descartar - Linha vazia",IF(R295="Sim","Descartar - Duplicado",IF(OR(H295&lt;=0,I295&lt;=0),"Descartar - Qtd/Valor inválido","OK")))</f>
        <v>OK</v>
      </c>
      <c r="T295" s="4" t="str">
        <f aca="false">Base_Bruta!P295</f>
        <v>vendas_SP.xlsx</v>
      </c>
    </row>
    <row r="296" customFormat="false" ht="15" hidden="false" customHeight="false" outlineLevel="0" collapsed="false">
      <c r="A296" s="4" t="str">
        <f aca="false">IF(Base_Bruta!A296="","",Base_Bruta!A296)</f>
        <v>SP-000738</v>
      </c>
      <c r="B296" s="5" t="n">
        <f aca="false">IF($A296="","",IF(ISNUMBER(Base_Bruta!B296),Base_Bruta!B296,IF(MID(Base_Bruta!B296,5,1)="-",DATE(VALUE(LEFT(Base_Bruta!B296,4)),VALUE(MID(Base_Bruta!B296,6,2)),VALUE(RIGHT(Base_Bruta!B296,2))),DATE(VALUE(RIGHT(Base_Bruta!B296,4)),VALUE(MID(Base_Bruta!B296,4,2)),VALUE(LEFT(Base_Bruta!B296,2))))))</f>
        <v>45902</v>
      </c>
      <c r="C296" s="5" t="n">
        <f aca="false">IF($A296="","",IF(ISNUMBER(Base_Bruta!C296),Base_Bruta!C296,IF(MID(Base_Bruta!C296,5,1)="-",DATE(VALUE(LEFT(Base_Bruta!C296,4)),VALUE(MID(Base_Bruta!C296,6,2)),VALUE(RIGHT(Base_Bruta!C296,2))),DATE(VALUE(RIGHT(Base_Bruta!C296,4)),VALUE(MID(Base_Bruta!C296,4,2)),VALUE(LEFT(Base_Bruta!C296,2))))))</f>
        <v>45904</v>
      </c>
      <c r="D296" s="4" t="str">
        <f aca="false">IF($A296="","",TRIM(Base_Bruta!D296))</f>
        <v>Cinema Paulista - Sessões</v>
      </c>
      <c r="E296" s="4" t="str">
        <f aca="false">IF($A296="","",_xlfn.XLOOKUP(LOWER(TRIM(Base_Bruta!E296)),DePara_Categoria!$A$2:$A$9,DePara_Categoria!$B$2:$B$9,"REVISAR"))</f>
        <v>Cinema</v>
      </c>
      <c r="F296" s="4" t="str">
        <f aca="false">IF($A296="","",_xlfn.XLOOKUP(LOWER(TRIM(Base_Bruta!F296)),DePara_Cidade!$A$2:$A$29,DePara_Cidade!$B$2:$B$29,"REVISAR"))</f>
        <v>São Paulo</v>
      </c>
      <c r="G296" s="4" t="str">
        <f aca="false">IF($A296="","",TRIM(Base_Bruta!G296))</f>
        <v>Inteira</v>
      </c>
      <c r="H296" s="4" t="n">
        <f aca="false">IF($A296="","",IF(ISNUMBER(Base_Bruta!H296),Base_Bruta!H296,IFERROR(_xlfn.NUMBERVALUE(TRIM(SUBSTITUTE(Base_Bruta!H296,"R$","")),",","."),0)))</f>
        <v>2</v>
      </c>
      <c r="I296" s="6" t="n">
        <f aca="false">IF($A296="","",IF(ISNUMBER(Base_Bruta!I296),Base_Bruta!I296,IFERROR(_xlfn.NUMBERVALUE(TRIM(SUBSTITUTE(Base_Bruta!I296,"R$","")),",","."),0)))</f>
        <v>40</v>
      </c>
      <c r="J296" s="6" t="n">
        <f aca="false">IF($A296="","",H296*I296)</f>
        <v>80</v>
      </c>
      <c r="K296" s="4" t="str">
        <f aca="false">IF($A296="","",TRIM(Base_Bruta!J296))</f>
        <v>App</v>
      </c>
      <c r="L296" s="4" t="str">
        <f aca="false">IF($A296="","",TRIM(Base_Bruta!K296))</f>
        <v>C01197</v>
      </c>
      <c r="M296" s="4" t="str">
        <f aca="false">IF($A296="","",_xlfn.XLOOKUP(LOWER(TRIM(Base_Bruta!L296)),DePara_Cidade!$A$2:$A$29,DePara_Cidade!$B$2:$B$29,"REVISAR"))</f>
        <v>São Paulo</v>
      </c>
      <c r="N296" s="4" t="str">
        <f aca="false">IF($A296="","",UPPER(TRIM(Base_Bruta!M296)))</f>
        <v>SP</v>
      </c>
      <c r="O296" s="4" t="str">
        <f aca="false">IF($A296="","",_xlfn.XLOOKUP(LOWER(TRIM(Base_Bruta!N296)),DePara_Pais!$A$2:$A$9,DePara_Pais!$B$2:$B$9,"REVISAR"))</f>
        <v>Brasil</v>
      </c>
      <c r="P296" s="4" t="str">
        <f aca="false">IF($A296="","",IF(O296&lt;&gt;"Brasil","Turista Internacional",IF(M296=F296,"Local","Turista Nacional")))</f>
        <v>Local</v>
      </c>
      <c r="Q296" s="7" t="n">
        <f aca="false">IF($A296="","",DATE(YEAR(B296),MONTH(B296),1))</f>
        <v>45901</v>
      </c>
      <c r="R296" s="4" t="str">
        <f aca="false">IF($A296="","",IF(COUNTIF($A$2:$A296,$A296)&gt;1,"Sim","Não"))</f>
        <v>Não</v>
      </c>
      <c r="S296" s="4" t="str">
        <f aca="false">IF(A296="","Descartar - Linha vazia",IF(R296="Sim","Descartar - Duplicado",IF(OR(H296&lt;=0,I296&lt;=0),"Descartar - Qtd/Valor inválido","OK")))</f>
        <v>OK</v>
      </c>
      <c r="T296" s="4" t="str">
        <f aca="false">Base_Bruta!P296</f>
        <v>vendas_SP.xlsx</v>
      </c>
    </row>
    <row r="297" customFormat="false" ht="15" hidden="false" customHeight="false" outlineLevel="0" collapsed="false">
      <c r="A297" s="4" t="str">
        <f aca="false">IF(Base_Bruta!A297="","",Base_Bruta!A297)</f>
        <v>SP-000604</v>
      </c>
      <c r="B297" s="5" t="n">
        <f aca="false">IF($A297="","",IF(ISNUMBER(Base_Bruta!B297),Base_Bruta!B297,IF(MID(Base_Bruta!B297,5,1)="-",DATE(VALUE(LEFT(Base_Bruta!B297,4)),VALUE(MID(Base_Bruta!B297,6,2)),VALUE(RIGHT(Base_Bruta!B297,2))),DATE(VALUE(RIGHT(Base_Bruta!B297,4)),VALUE(MID(Base_Bruta!B297,4,2)),VALUE(LEFT(Base_Bruta!B297,2))))))</f>
        <v>45903</v>
      </c>
      <c r="C297" s="5" t="n">
        <f aca="false">IF($A297="","",IF(ISNUMBER(Base_Bruta!C297),Base_Bruta!C297,IF(MID(Base_Bruta!C297,5,1)="-",DATE(VALUE(LEFT(Base_Bruta!C297,4)),VALUE(MID(Base_Bruta!C297,6,2)),VALUE(RIGHT(Base_Bruta!C297,2))),DATE(VALUE(RIGHT(Base_Bruta!C297,4)),VALUE(MID(Base_Bruta!C297,4,2)),VALUE(LEFT(Base_Bruta!C297,2))))))</f>
        <v>45934</v>
      </c>
      <c r="D297" s="4" t="str">
        <f aca="false">IF($A297="","",TRIM(Base_Bruta!D297))</f>
        <v>Turnê Internacional Pop - SP</v>
      </c>
      <c r="E297" s="4" t="str">
        <f aca="false">IF($A297="","",_xlfn.XLOOKUP(LOWER(TRIM(Base_Bruta!E297)),DePara_Categoria!$A$2:$A$9,DePara_Categoria!$B$2:$B$9,"REVISAR"))</f>
        <v>Show</v>
      </c>
      <c r="F297" s="4" t="str">
        <f aca="false">IF($A297="","",_xlfn.XLOOKUP(LOWER(TRIM(Base_Bruta!F297)),DePara_Cidade!$A$2:$A$29,DePara_Cidade!$B$2:$B$29,"REVISAR"))</f>
        <v>São Paulo</v>
      </c>
      <c r="G297" s="4" t="str">
        <f aca="false">IF($A297="","",TRIM(Base_Bruta!G297))</f>
        <v>Meia</v>
      </c>
      <c r="H297" s="4" t="n">
        <f aca="false">IF($A297="","",IF(ISNUMBER(Base_Bruta!H297),Base_Bruta!H297,IFERROR(_xlfn.NUMBERVALUE(TRIM(SUBSTITUTE(Base_Bruta!H297,"R$","")),",","."),0)))</f>
        <v>1</v>
      </c>
      <c r="I297" s="6" t="n">
        <f aca="false">IF($A297="","",IF(ISNUMBER(Base_Bruta!I297),Base_Bruta!I297,IFERROR(_xlfn.NUMBERVALUE(TRIM(SUBSTITUTE(Base_Bruta!I297,"R$","")),",","."),0)))</f>
        <v>265</v>
      </c>
      <c r="J297" s="6" t="n">
        <f aca="false">IF($A297="","",H297*I297)</f>
        <v>265</v>
      </c>
      <c r="K297" s="4" t="str">
        <f aca="false">IF($A297="","",TRIM(Base_Bruta!J297))</f>
        <v>Site</v>
      </c>
      <c r="L297" s="4" t="str">
        <f aca="false">IF($A297="","",TRIM(Base_Bruta!K297))</f>
        <v>C00734</v>
      </c>
      <c r="M297" s="4" t="str">
        <f aca="false">IF($A297="","",_xlfn.XLOOKUP(LOWER(TRIM(Base_Bruta!L297)),DePara_Cidade!$A$2:$A$29,DePara_Cidade!$B$2:$B$29,"REVISAR"))</f>
        <v>São Paulo</v>
      </c>
      <c r="N297" s="4" t="str">
        <f aca="false">IF($A297="","",UPPER(TRIM(Base_Bruta!M297)))</f>
        <v>SP</v>
      </c>
      <c r="O297" s="4" t="str">
        <f aca="false">IF($A297="","",_xlfn.XLOOKUP(LOWER(TRIM(Base_Bruta!N297)),DePara_Pais!$A$2:$A$9,DePara_Pais!$B$2:$B$9,"REVISAR"))</f>
        <v>Brasil</v>
      </c>
      <c r="P297" s="4" t="str">
        <f aca="false">IF($A297="","",IF(O297&lt;&gt;"Brasil","Turista Internacional",IF(M297=F297,"Local","Turista Nacional")))</f>
        <v>Local</v>
      </c>
      <c r="Q297" s="7" t="n">
        <f aca="false">IF($A297="","",DATE(YEAR(B297),MONTH(B297),1))</f>
        <v>45901</v>
      </c>
      <c r="R297" s="4" t="str">
        <f aca="false">IF($A297="","",IF(COUNTIF($A$2:$A297,$A297)&gt;1,"Sim","Não"))</f>
        <v>Não</v>
      </c>
      <c r="S297" s="4" t="str">
        <f aca="false">IF(A297="","Descartar - Linha vazia",IF(R297="Sim","Descartar - Duplicado",IF(OR(H297&lt;=0,I297&lt;=0),"Descartar - Qtd/Valor inválido","OK")))</f>
        <v>OK</v>
      </c>
      <c r="T297" s="4" t="str">
        <f aca="false">Base_Bruta!P297</f>
        <v>vendas_SP.xlsx</v>
      </c>
    </row>
    <row r="298" customFormat="false" ht="15" hidden="false" customHeight="false" outlineLevel="0" collapsed="false">
      <c r="A298" s="4" t="str">
        <f aca="false">IF(Base_Bruta!A298="","",Base_Bruta!A298)</f>
        <v>SP-000618</v>
      </c>
      <c r="B298" s="5" t="n">
        <f aca="false">IF($A298="","",IF(ISNUMBER(Base_Bruta!B298),Base_Bruta!B298,IF(MID(Base_Bruta!B298,5,1)="-",DATE(VALUE(LEFT(Base_Bruta!B298,4)),VALUE(MID(Base_Bruta!B298,6,2)),VALUE(RIGHT(Base_Bruta!B298,2))),DATE(VALUE(RIGHT(Base_Bruta!B298,4)),VALUE(MID(Base_Bruta!B298,4,2)),VALUE(LEFT(Base_Bruta!B298,2))))))</f>
        <v>45903</v>
      </c>
      <c r="C298" s="5" t="n">
        <f aca="false">IF($A298="","",IF(ISNUMBER(Base_Bruta!C298),Base_Bruta!C298,IF(MID(Base_Bruta!C298,5,1)="-",DATE(VALUE(LEFT(Base_Bruta!C298,4)),VALUE(MID(Base_Bruta!C298,6,2)),VALUE(RIGHT(Base_Bruta!C298,2))),DATE(VALUE(RIGHT(Base_Bruta!C298,4)),VALUE(MID(Base_Bruta!C298,4,2)),VALUE(LEFT(Base_Bruta!C298,2))))))</f>
        <v>45905</v>
      </c>
      <c r="D298" s="4" t="str">
        <f aca="false">IF($A298="","",TRIM(Base_Bruta!D298))</f>
        <v>Cinema Paulista - Sessões</v>
      </c>
      <c r="E298" s="4" t="str">
        <f aca="false">IF($A298="","",_xlfn.XLOOKUP(LOWER(TRIM(Base_Bruta!E298)),DePara_Categoria!$A$2:$A$9,DePara_Categoria!$B$2:$B$9,"REVISAR"))</f>
        <v>Cinema</v>
      </c>
      <c r="F298" s="4" t="str">
        <f aca="false">IF($A298="","",_xlfn.XLOOKUP(LOWER(TRIM(Base_Bruta!F298)),DePara_Cidade!$A$2:$A$29,DePara_Cidade!$B$2:$B$29,"REVISAR"))</f>
        <v>São Paulo</v>
      </c>
      <c r="G298" s="4" t="str">
        <f aca="false">IF($A298="","",TRIM(Base_Bruta!G298))</f>
        <v>Inteira</v>
      </c>
      <c r="H298" s="4" t="n">
        <f aca="false">IF($A298="","",IF(ISNUMBER(Base_Bruta!H298),Base_Bruta!H298,IFERROR(_xlfn.NUMBERVALUE(TRIM(SUBSTITUTE(Base_Bruta!H298,"R$","")),",","."),0)))</f>
        <v>2</v>
      </c>
      <c r="I298" s="6" t="n">
        <f aca="false">IF($A298="","",IF(ISNUMBER(Base_Bruta!I298),Base_Bruta!I298,IFERROR(_xlfn.NUMBERVALUE(TRIM(SUBSTITUTE(Base_Bruta!I298,"R$","")),",","."),0)))</f>
        <v>30</v>
      </c>
      <c r="J298" s="6" t="n">
        <f aca="false">IF($A298="","",H298*I298)</f>
        <v>60</v>
      </c>
      <c r="K298" s="4" t="str">
        <f aca="false">IF($A298="","",TRIM(Base_Bruta!J298))</f>
        <v>App</v>
      </c>
      <c r="L298" s="4" t="str">
        <f aca="false">IF($A298="","",TRIM(Base_Bruta!K298))</f>
        <v>C00391</v>
      </c>
      <c r="M298" s="4" t="str">
        <f aca="false">IF($A298="","",_xlfn.XLOOKUP(LOWER(TRIM(Base_Bruta!L298)),DePara_Cidade!$A$2:$A$29,DePara_Cidade!$B$2:$B$29,"REVISAR"))</f>
        <v>São Paulo</v>
      </c>
      <c r="N298" s="4" t="str">
        <f aca="false">IF($A298="","",UPPER(TRIM(Base_Bruta!M298)))</f>
        <v>SP</v>
      </c>
      <c r="O298" s="4" t="str">
        <f aca="false">IF($A298="","",_xlfn.XLOOKUP(LOWER(TRIM(Base_Bruta!N298)),DePara_Pais!$A$2:$A$9,DePara_Pais!$B$2:$B$9,"REVISAR"))</f>
        <v>Brasil</v>
      </c>
      <c r="P298" s="4" t="str">
        <f aca="false">IF($A298="","",IF(O298&lt;&gt;"Brasil","Turista Internacional",IF(M298=F298,"Local","Turista Nacional")))</f>
        <v>Local</v>
      </c>
      <c r="Q298" s="7" t="n">
        <f aca="false">IF($A298="","",DATE(YEAR(B298),MONTH(B298),1))</f>
        <v>45901</v>
      </c>
      <c r="R298" s="4" t="str">
        <f aca="false">IF($A298="","",IF(COUNTIF($A$2:$A298,$A298)&gt;1,"Sim","Não"))</f>
        <v>Não</v>
      </c>
      <c r="S298" s="4" t="str">
        <f aca="false">IF(A298="","Descartar - Linha vazia",IF(R298="Sim","Descartar - Duplicado",IF(OR(H298&lt;=0,I298&lt;=0),"Descartar - Qtd/Valor inválido","OK")))</f>
        <v>OK</v>
      </c>
      <c r="T298" s="4" t="str">
        <f aca="false">Base_Bruta!P298</f>
        <v>vendas_SP.xlsx</v>
      </c>
    </row>
    <row r="299" customFormat="false" ht="15" hidden="false" customHeight="false" outlineLevel="0" collapsed="false">
      <c r="A299" s="4" t="str">
        <f aca="false">IF(Base_Bruta!A299="","",Base_Bruta!A299)</f>
        <v>SP-000072</v>
      </c>
      <c r="B299" s="5" t="n">
        <f aca="false">IF($A299="","",IF(ISNUMBER(Base_Bruta!B299),Base_Bruta!B299,IF(MID(Base_Bruta!B299,5,1)="-",DATE(VALUE(LEFT(Base_Bruta!B299,4)),VALUE(MID(Base_Bruta!B299,6,2)),VALUE(RIGHT(Base_Bruta!B299,2))),DATE(VALUE(RIGHT(Base_Bruta!B299,4)),VALUE(MID(Base_Bruta!B299,4,2)),VALUE(LEFT(Base_Bruta!B299,2))))))</f>
        <v>45904</v>
      </c>
      <c r="C299" s="5" t="n">
        <f aca="false">IF($A299="","",IF(ISNUMBER(Base_Bruta!C299),Base_Bruta!C299,IF(MID(Base_Bruta!C299,5,1)="-",DATE(VALUE(LEFT(Base_Bruta!C299,4)),VALUE(MID(Base_Bruta!C299,6,2)),VALUE(RIGHT(Base_Bruta!C299,2))),DATE(VALUE(RIGHT(Base_Bruta!C299,4)),VALUE(MID(Base_Bruta!C299,4,2)),VALUE(LEFT(Base_Bruta!C299,2))))))</f>
        <v>45976</v>
      </c>
      <c r="D299" s="4" t="str">
        <f aca="false">IF($A299="","",TRIM(Base_Bruta!D299))</f>
        <v>Festival Sonora SP 2025</v>
      </c>
      <c r="E299" s="4" t="str">
        <f aca="false">IF($A299="","",_xlfn.XLOOKUP(LOWER(TRIM(Base_Bruta!E299)),DePara_Categoria!$A$2:$A$9,DePara_Categoria!$B$2:$B$9,"REVISAR"))</f>
        <v>Festival</v>
      </c>
      <c r="F299" s="4" t="str">
        <f aca="false">IF($A299="","",_xlfn.XLOOKUP(LOWER(TRIM(Base_Bruta!F299)),DePara_Cidade!$A$2:$A$29,DePara_Cidade!$B$2:$B$29,"REVISAR"))</f>
        <v>São Paulo</v>
      </c>
      <c r="G299" s="4" t="str">
        <f aca="false">IF($A299="","",TRIM(Base_Bruta!G299))</f>
        <v>VIP</v>
      </c>
      <c r="H299" s="4" t="n">
        <f aca="false">IF($A299="","",IF(ISNUMBER(Base_Bruta!H299),Base_Bruta!H299,IFERROR(_xlfn.NUMBERVALUE(TRIM(SUBSTITUTE(Base_Bruta!H299,"R$","")),",","."),0)))</f>
        <v>4</v>
      </c>
      <c r="I299" s="6" t="n">
        <f aca="false">IF($A299="","",IF(ISNUMBER(Base_Bruta!I299),Base_Bruta!I299,IFERROR(_xlfn.NUMBERVALUE(TRIM(SUBSTITUTE(Base_Bruta!I299,"R$","")),",","."),0)))</f>
        <v>2220</v>
      </c>
      <c r="J299" s="6" t="n">
        <f aca="false">IF($A299="","",H299*I299)</f>
        <v>8880</v>
      </c>
      <c r="K299" s="4" t="str">
        <f aca="false">IF($A299="","",TRIM(Base_Bruta!J299))</f>
        <v>Parceiro</v>
      </c>
      <c r="L299" s="4" t="str">
        <f aca="false">IF($A299="","",TRIM(Base_Bruta!K299))</f>
        <v>C00964</v>
      </c>
      <c r="M299" s="4" t="str">
        <f aca="false">IF($A299="","",_xlfn.XLOOKUP(LOWER(TRIM(Base_Bruta!L299)),DePara_Cidade!$A$2:$A$29,DePara_Cidade!$B$2:$B$29,"REVISAR"))</f>
        <v>São Paulo</v>
      </c>
      <c r="N299" s="4" t="str">
        <f aca="false">IF($A299="","",UPPER(TRIM(Base_Bruta!M299)))</f>
        <v>SP</v>
      </c>
      <c r="O299" s="4" t="str">
        <f aca="false">IF($A299="","",_xlfn.XLOOKUP(LOWER(TRIM(Base_Bruta!N299)),DePara_Pais!$A$2:$A$9,DePara_Pais!$B$2:$B$9,"REVISAR"))</f>
        <v>Brasil</v>
      </c>
      <c r="P299" s="4" t="str">
        <f aca="false">IF($A299="","",IF(O299&lt;&gt;"Brasil","Turista Internacional",IF(M299=F299,"Local","Turista Nacional")))</f>
        <v>Local</v>
      </c>
      <c r="Q299" s="7" t="n">
        <f aca="false">IF($A299="","",DATE(YEAR(B299),MONTH(B299),1))</f>
        <v>45901</v>
      </c>
      <c r="R299" s="4" t="str">
        <f aca="false">IF($A299="","",IF(COUNTIF($A$2:$A299,$A299)&gt;1,"Sim","Não"))</f>
        <v>Não</v>
      </c>
      <c r="S299" s="4" t="str">
        <f aca="false">IF(A299="","Descartar - Linha vazia",IF(R299="Sim","Descartar - Duplicado",IF(OR(H299&lt;=0,I299&lt;=0),"Descartar - Qtd/Valor inválido","OK")))</f>
        <v>OK</v>
      </c>
      <c r="T299" s="4" t="str">
        <f aca="false">Base_Bruta!P299</f>
        <v>vendas_SP.xlsx</v>
      </c>
    </row>
    <row r="300" customFormat="false" ht="15" hidden="false" customHeight="false" outlineLevel="0" collapsed="false">
      <c r="A300" s="4" t="str">
        <f aca="false">IF(Base_Bruta!A300="","",Base_Bruta!A300)</f>
        <v>SP-000703</v>
      </c>
      <c r="B300" s="5" t="n">
        <f aca="false">IF($A300="","",IF(ISNUMBER(Base_Bruta!B300),Base_Bruta!B300,IF(MID(Base_Bruta!B300,5,1)="-",DATE(VALUE(LEFT(Base_Bruta!B300,4)),VALUE(MID(Base_Bruta!B300,6,2)),VALUE(RIGHT(Base_Bruta!B300,2))),DATE(VALUE(RIGHT(Base_Bruta!B300,4)),VALUE(MID(Base_Bruta!B300,4,2)),VALUE(LEFT(Base_Bruta!B300,2))))))</f>
        <v>45905</v>
      </c>
      <c r="C300" s="5" t="n">
        <f aca="false">IF($A300="","",IF(ISNUMBER(Base_Bruta!C300),Base_Bruta!C300,IF(MID(Base_Bruta!C300,5,1)="-",DATE(VALUE(LEFT(Base_Bruta!C300,4)),VALUE(MID(Base_Bruta!C300,6,2)),VALUE(RIGHT(Base_Bruta!C300,2))),DATE(VALUE(RIGHT(Base_Bruta!C300,4)),VALUE(MID(Base_Bruta!C300,4,2)),VALUE(LEFT(Base_Bruta!C300,2))))))</f>
        <v>45906</v>
      </c>
      <c r="D300" s="4" t="str">
        <f aca="false">IF($A300="","",TRIM(Base_Bruta!D300))</f>
        <v>Cinema Paulista - Sessões</v>
      </c>
      <c r="E300" s="4" t="str">
        <f aca="false">IF($A300="","",_xlfn.XLOOKUP(LOWER(TRIM(Base_Bruta!E300)),DePara_Categoria!$A$2:$A$9,DePara_Categoria!$B$2:$B$9,"REVISAR"))</f>
        <v>Cinema</v>
      </c>
      <c r="F300" s="4" t="str">
        <f aca="false">IF($A300="","",_xlfn.XLOOKUP(LOWER(TRIM(Base_Bruta!F300)),DePara_Cidade!$A$2:$A$29,DePara_Cidade!$B$2:$B$29,"REVISAR"))</f>
        <v>São Paulo</v>
      </c>
      <c r="G300" s="4" t="str">
        <f aca="false">IF($A300="","",TRIM(Base_Bruta!G300))</f>
        <v>Inteira</v>
      </c>
      <c r="H300" s="4" t="n">
        <f aca="false">IF($A300="","",IF(ISNUMBER(Base_Bruta!H300),Base_Bruta!H300,IFERROR(_xlfn.NUMBERVALUE(TRIM(SUBSTITUTE(Base_Bruta!H300,"R$","")),",","."),0)))</f>
        <v>3</v>
      </c>
      <c r="I300" s="6" t="n">
        <f aca="false">IF($A300="","",IF(ISNUMBER(Base_Bruta!I300),Base_Bruta!I300,IFERROR(_xlfn.NUMBERVALUE(TRIM(SUBSTITUTE(Base_Bruta!I300,"R$","")),",","."),0)))</f>
        <v>35</v>
      </c>
      <c r="J300" s="6" t="n">
        <f aca="false">IF($A300="","",H300*I300)</f>
        <v>105</v>
      </c>
      <c r="K300" s="4" t="str">
        <f aca="false">IF($A300="","",TRIM(Base_Bruta!J300))</f>
        <v>App</v>
      </c>
      <c r="L300" s="4" t="str">
        <f aca="false">IF($A300="","",TRIM(Base_Bruta!K300))</f>
        <v>C00685</v>
      </c>
      <c r="M300" s="4" t="str">
        <f aca="false">IF($A300="","",_xlfn.XLOOKUP(LOWER(TRIM(Base_Bruta!L300)),DePara_Cidade!$A$2:$A$29,DePara_Cidade!$B$2:$B$29,"REVISAR"))</f>
        <v>São Paulo</v>
      </c>
      <c r="N300" s="4" t="str">
        <f aca="false">IF($A300="","",UPPER(TRIM(Base_Bruta!M300)))</f>
        <v>SP</v>
      </c>
      <c r="O300" s="4" t="str">
        <f aca="false">IF($A300="","",_xlfn.XLOOKUP(LOWER(TRIM(Base_Bruta!N300)),DePara_Pais!$A$2:$A$9,DePara_Pais!$B$2:$B$9,"REVISAR"))</f>
        <v>Brasil</v>
      </c>
      <c r="P300" s="4" t="str">
        <f aca="false">IF($A300="","",IF(O300&lt;&gt;"Brasil","Turista Internacional",IF(M300=F300,"Local","Turista Nacional")))</f>
        <v>Local</v>
      </c>
      <c r="Q300" s="7" t="n">
        <f aca="false">IF($A300="","",DATE(YEAR(B300),MONTH(B300),1))</f>
        <v>45901</v>
      </c>
      <c r="R300" s="4" t="str">
        <f aca="false">IF($A300="","",IF(COUNTIF($A$2:$A300,$A300)&gt;1,"Sim","Não"))</f>
        <v>Não</v>
      </c>
      <c r="S300" s="4" t="str">
        <f aca="false">IF(A300="","Descartar - Linha vazia",IF(R300="Sim","Descartar - Duplicado",IF(OR(H300&lt;=0,I300&lt;=0),"Descartar - Qtd/Valor inválido","OK")))</f>
        <v>OK</v>
      </c>
      <c r="T300" s="4" t="str">
        <f aca="false">Base_Bruta!P300</f>
        <v>vendas_SP.xlsx</v>
      </c>
    </row>
    <row r="301" customFormat="false" ht="15" hidden="false" customHeight="false" outlineLevel="0" collapsed="false">
      <c r="A301" s="4" t="str">
        <f aca="false">IF(Base_Bruta!A301="","",Base_Bruta!A301)</f>
        <v>SP-000190</v>
      </c>
      <c r="B301" s="5" t="n">
        <f aca="false">IF($A301="","",IF(ISNUMBER(Base_Bruta!B301),Base_Bruta!B301,IF(MID(Base_Bruta!B301,5,1)="-",DATE(VALUE(LEFT(Base_Bruta!B301,4)),VALUE(MID(Base_Bruta!B301,6,2)),VALUE(RIGHT(Base_Bruta!B301,2))),DATE(VALUE(RIGHT(Base_Bruta!B301,4)),VALUE(MID(Base_Bruta!B301,4,2)),VALUE(LEFT(Base_Bruta!B301,2))))))</f>
        <v>45906</v>
      </c>
      <c r="C301" s="5" t="n">
        <f aca="false">IF($A301="","",IF(ISNUMBER(Base_Bruta!C301),Base_Bruta!C301,IF(MID(Base_Bruta!C301,5,1)="-",DATE(VALUE(LEFT(Base_Bruta!C301,4)),VALUE(MID(Base_Bruta!C301,6,2)),VALUE(RIGHT(Base_Bruta!C301,2))),DATE(VALUE(RIGHT(Base_Bruta!C301,4)),VALUE(MID(Base_Bruta!C301,4,2)),VALUE(LEFT(Base_Bruta!C301,2))))))</f>
        <v>45976</v>
      </c>
      <c r="D301" s="4" t="str">
        <f aca="false">IF($A301="","",TRIM(Base_Bruta!D301))</f>
        <v>Festival Sonora SP 2025</v>
      </c>
      <c r="E301" s="4" t="str">
        <f aca="false">IF($A301="","",_xlfn.XLOOKUP(LOWER(TRIM(Base_Bruta!E301)),DePara_Categoria!$A$2:$A$9,DePara_Categoria!$B$2:$B$9,"REVISAR"))</f>
        <v>Festival</v>
      </c>
      <c r="F301" s="4" t="str">
        <f aca="false">IF($A301="","",_xlfn.XLOOKUP(LOWER(TRIM(Base_Bruta!F301)),DePara_Cidade!$A$2:$A$29,DePara_Cidade!$B$2:$B$29,"REVISAR"))</f>
        <v>São Paulo</v>
      </c>
      <c r="G301" s="4" t="str">
        <f aca="false">IF($A301="","",TRIM(Base_Bruta!G301))</f>
        <v>Inteira</v>
      </c>
      <c r="H301" s="4" t="n">
        <f aca="false">IF($A301="","",IF(ISNUMBER(Base_Bruta!H301),Base_Bruta!H301,IFERROR(_xlfn.NUMBERVALUE(TRIM(SUBSTITUTE(Base_Bruta!H301,"R$","")),",","."),0)))</f>
        <v>1</v>
      </c>
      <c r="I301" s="6" t="n">
        <f aca="false">IF($A301="","",IF(ISNUMBER(Base_Bruta!I301),Base_Bruta!I301,IFERROR(_xlfn.NUMBERVALUE(TRIM(SUBSTITUTE(Base_Bruta!I301,"R$","")),",","."),0)))</f>
        <v>1085</v>
      </c>
      <c r="J301" s="6" t="n">
        <f aca="false">IF($A301="","",H301*I301)</f>
        <v>1085</v>
      </c>
      <c r="K301" s="4" t="str">
        <f aca="false">IF($A301="","",TRIM(Base_Bruta!J301))</f>
        <v>Site</v>
      </c>
      <c r="L301" s="4" t="str">
        <f aca="false">IF($A301="","",TRIM(Base_Bruta!K301))</f>
        <v>C01049</v>
      </c>
      <c r="M301" s="4" t="str">
        <f aca="false">IF($A301="","",_xlfn.XLOOKUP(LOWER(TRIM(Base_Bruta!L301)),DePara_Cidade!$A$2:$A$29,DePara_Cidade!$B$2:$B$29,"REVISAR"))</f>
        <v>São Paulo</v>
      </c>
      <c r="N301" s="4" t="str">
        <f aca="false">IF($A301="","",UPPER(TRIM(Base_Bruta!M301)))</f>
        <v>SP</v>
      </c>
      <c r="O301" s="4" t="str">
        <f aca="false">IF($A301="","",_xlfn.XLOOKUP(LOWER(TRIM(Base_Bruta!N301)),DePara_Pais!$A$2:$A$9,DePara_Pais!$B$2:$B$9,"REVISAR"))</f>
        <v>Brasil</v>
      </c>
      <c r="P301" s="4" t="str">
        <f aca="false">IF($A301="","",IF(O301&lt;&gt;"Brasil","Turista Internacional",IF(M301=F301,"Local","Turista Nacional")))</f>
        <v>Local</v>
      </c>
      <c r="Q301" s="7" t="n">
        <f aca="false">IF($A301="","",DATE(YEAR(B301),MONTH(B301),1))</f>
        <v>45901</v>
      </c>
      <c r="R301" s="4" t="str">
        <f aca="false">IF($A301="","",IF(COUNTIF($A$2:$A301,$A301)&gt;1,"Sim","Não"))</f>
        <v>Não</v>
      </c>
      <c r="S301" s="4" t="str">
        <f aca="false">IF(A301="","Descartar - Linha vazia",IF(R301="Sim","Descartar - Duplicado",IF(OR(H301&lt;=0,I301&lt;=0),"Descartar - Qtd/Valor inválido","OK")))</f>
        <v>OK</v>
      </c>
      <c r="T301" s="4" t="str">
        <f aca="false">Base_Bruta!P301</f>
        <v>vendas_SP.xlsx</v>
      </c>
    </row>
    <row r="302" customFormat="false" ht="15" hidden="false" customHeight="false" outlineLevel="0" collapsed="false">
      <c r="A302" s="4" t="str">
        <f aca="false">IF(Base_Bruta!A302="","",Base_Bruta!A302)</f>
        <v>SP-000218</v>
      </c>
      <c r="B302" s="5" t="n">
        <f aca="false">IF($A302="","",IF(ISNUMBER(Base_Bruta!B302),Base_Bruta!B302,IF(MID(Base_Bruta!B302,5,1)="-",DATE(VALUE(LEFT(Base_Bruta!B302,4)),VALUE(MID(Base_Bruta!B302,6,2)),VALUE(RIGHT(Base_Bruta!B302,2))),DATE(VALUE(RIGHT(Base_Bruta!B302,4)),VALUE(MID(Base_Bruta!B302,4,2)),VALUE(LEFT(Base_Bruta!B302,2))))))</f>
        <v>45906</v>
      </c>
      <c r="C302" s="5" t="n">
        <f aca="false">IF($A302="","",IF(ISNUMBER(Base_Bruta!C302),Base_Bruta!C302,IF(MID(Base_Bruta!C302,5,1)="-",DATE(VALUE(LEFT(Base_Bruta!C302,4)),VALUE(MID(Base_Bruta!C302,6,2)),VALUE(RIGHT(Base_Bruta!C302,2))),DATE(VALUE(RIGHT(Base_Bruta!C302,4)),VALUE(MID(Base_Bruta!C302,4,2)),VALUE(LEFT(Base_Bruta!C302,2))))))</f>
        <v>45976</v>
      </c>
      <c r="D302" s="4" t="str">
        <f aca="false">IF($A302="","",TRIM(Base_Bruta!D302))</f>
        <v>Festival Sonora SP 2025</v>
      </c>
      <c r="E302" s="4" t="str">
        <f aca="false">IF($A302="","",_xlfn.XLOOKUP(LOWER(TRIM(Base_Bruta!E302)),DePara_Categoria!$A$2:$A$9,DePara_Categoria!$B$2:$B$9,"REVISAR"))</f>
        <v>Festival</v>
      </c>
      <c r="F302" s="4" t="str">
        <f aca="false">IF($A302="","",_xlfn.XLOOKUP(LOWER(TRIM(Base_Bruta!F302)),DePara_Cidade!$A$2:$A$29,DePara_Cidade!$B$2:$B$29,"REVISAR"))</f>
        <v>São Paulo</v>
      </c>
      <c r="G302" s="4" t="str">
        <f aca="false">IF($A302="","",TRIM(Base_Bruta!G302))</f>
        <v>Inteira</v>
      </c>
      <c r="H302" s="4" t="n">
        <f aca="false">IF($A302="","",IF(ISNUMBER(Base_Bruta!H302),Base_Bruta!H302,IFERROR(_xlfn.NUMBERVALUE(TRIM(SUBSTITUTE(Base_Bruta!H302,"R$","")),",","."),0)))</f>
        <v>2</v>
      </c>
      <c r="I302" s="6" t="n">
        <f aca="false">IF($A302="","",IF(ISNUMBER(Base_Bruta!I302),Base_Bruta!I302,IFERROR(_xlfn.NUMBERVALUE(TRIM(SUBSTITUTE(Base_Bruta!I302,"R$","")),",","."),0)))</f>
        <v>1015</v>
      </c>
      <c r="J302" s="6" t="n">
        <f aca="false">IF($A302="","",H302*I302)</f>
        <v>2030</v>
      </c>
      <c r="K302" s="4" t="str">
        <f aca="false">IF($A302="","",TRIM(Base_Bruta!J302))</f>
        <v>App</v>
      </c>
      <c r="L302" s="4" t="str">
        <f aca="false">IF($A302="","",TRIM(Base_Bruta!K302))</f>
        <v>C01764</v>
      </c>
      <c r="M302" s="4" t="str">
        <f aca="false">IF($A302="","",_xlfn.XLOOKUP(LOWER(TRIM(Base_Bruta!L302)),DePara_Cidade!$A$2:$A$29,DePara_Cidade!$B$2:$B$29,"REVISAR"))</f>
        <v>Miami</v>
      </c>
      <c r="N302" s="4" t="str">
        <f aca="false">IF($A302="","",UPPER(TRIM(Base_Bruta!M302)))</f>
        <v>EX</v>
      </c>
      <c r="O302" s="4" t="str">
        <f aca="false">IF($A302="","",_xlfn.XLOOKUP(LOWER(TRIM(Base_Bruta!N302)),DePara_Pais!$A$2:$A$9,DePara_Pais!$B$2:$B$9,"REVISAR"))</f>
        <v>EUA</v>
      </c>
      <c r="P302" s="4" t="str">
        <f aca="false">IF($A302="","",IF(O302&lt;&gt;"Brasil","Turista Internacional",IF(M302=F302,"Local","Turista Nacional")))</f>
        <v>Turista Internacional</v>
      </c>
      <c r="Q302" s="7" t="n">
        <f aca="false">IF($A302="","",DATE(YEAR(B302),MONTH(B302),1))</f>
        <v>45901</v>
      </c>
      <c r="R302" s="4" t="str">
        <f aca="false">IF($A302="","",IF(COUNTIF($A$2:$A302,$A302)&gt;1,"Sim","Não"))</f>
        <v>Não</v>
      </c>
      <c r="S302" s="4" t="str">
        <f aca="false">IF(A302="","Descartar - Linha vazia",IF(R302="Sim","Descartar - Duplicado",IF(OR(H302&lt;=0,I302&lt;=0),"Descartar - Qtd/Valor inválido","OK")))</f>
        <v>OK</v>
      </c>
      <c r="T302" s="4" t="str">
        <f aca="false">Base_Bruta!P302</f>
        <v>vendas_SP.xlsx</v>
      </c>
    </row>
    <row r="303" customFormat="false" ht="15" hidden="false" customHeight="false" outlineLevel="0" collapsed="false">
      <c r="A303" s="4" t="str">
        <f aca="false">IF(Base_Bruta!A303="","",Base_Bruta!A303)</f>
        <v>SP-000168</v>
      </c>
      <c r="B303" s="5" t="n">
        <f aca="false">IF($A303="","",IF(ISNUMBER(Base_Bruta!B303),Base_Bruta!B303,IF(MID(Base_Bruta!B303,5,1)="-",DATE(VALUE(LEFT(Base_Bruta!B303,4)),VALUE(MID(Base_Bruta!B303,6,2)),VALUE(RIGHT(Base_Bruta!B303,2))),DATE(VALUE(RIGHT(Base_Bruta!B303,4)),VALUE(MID(Base_Bruta!B303,4,2)),VALUE(LEFT(Base_Bruta!B303,2))))))</f>
        <v>45907</v>
      </c>
      <c r="C303" s="5" t="n">
        <f aca="false">IF($A303="","",IF(ISNUMBER(Base_Bruta!C303),Base_Bruta!C303,IF(MID(Base_Bruta!C303,5,1)="-",DATE(VALUE(LEFT(Base_Bruta!C303,4)),VALUE(MID(Base_Bruta!C303,6,2)),VALUE(RIGHT(Base_Bruta!C303,2))),DATE(VALUE(RIGHT(Base_Bruta!C303,4)),VALUE(MID(Base_Bruta!C303,4,2)),VALUE(LEFT(Base_Bruta!C303,2))))))</f>
        <v>45976</v>
      </c>
      <c r="D303" s="4" t="str">
        <f aca="false">IF($A303="","",TRIM(Base_Bruta!D303))</f>
        <v>Festival Sonora SP 2025</v>
      </c>
      <c r="E303" s="4" t="str">
        <f aca="false">IF($A303="","",_xlfn.XLOOKUP(LOWER(TRIM(Base_Bruta!E303)),DePara_Categoria!$A$2:$A$9,DePara_Categoria!$B$2:$B$9,"REVISAR"))</f>
        <v>Festival</v>
      </c>
      <c r="F303" s="4" t="str">
        <f aca="false">IF($A303="","",_xlfn.XLOOKUP(LOWER(TRIM(Base_Bruta!F303)),DePara_Cidade!$A$2:$A$29,DePara_Cidade!$B$2:$B$29,"REVISAR"))</f>
        <v>São Paulo</v>
      </c>
      <c r="G303" s="4" t="str">
        <f aca="false">IF($A303="","",TRIM(Base_Bruta!G303))</f>
        <v>Meia</v>
      </c>
      <c r="H303" s="4" t="n">
        <f aca="false">IF($A303="","",IF(ISNUMBER(Base_Bruta!H303),Base_Bruta!H303,IFERROR(_xlfn.NUMBERVALUE(TRIM(SUBSTITUTE(Base_Bruta!H303,"R$","")),",","."),0)))</f>
        <v>2</v>
      </c>
      <c r="I303" s="6" t="n">
        <f aca="false">IF($A303="","",IF(ISNUMBER(Base_Bruta!I303),Base_Bruta!I303,IFERROR(_xlfn.NUMBERVALUE(TRIM(SUBSTITUTE(Base_Bruta!I303,"R$","")),",","."),0)))</f>
        <v>540</v>
      </c>
      <c r="J303" s="6" t="n">
        <f aca="false">IF($A303="","",H303*I303)</f>
        <v>1080</v>
      </c>
      <c r="K303" s="4" t="str">
        <f aca="false">IF($A303="","",TRIM(Base_Bruta!J303))</f>
        <v>App</v>
      </c>
      <c r="L303" s="4" t="str">
        <f aca="false">IF($A303="","",TRIM(Base_Bruta!K303))</f>
        <v>C00927</v>
      </c>
      <c r="M303" s="4" t="str">
        <f aca="false">IF($A303="","",_xlfn.XLOOKUP(LOWER(TRIM(Base_Bruta!L303)),DePara_Cidade!$A$2:$A$29,DePara_Cidade!$B$2:$B$29,"REVISAR"))</f>
        <v>Campinas</v>
      </c>
      <c r="N303" s="4" t="str">
        <f aca="false">IF($A303="","",UPPER(TRIM(Base_Bruta!M303)))</f>
        <v>SP</v>
      </c>
      <c r="O303" s="4" t="str">
        <f aca="false">IF($A303="","",_xlfn.XLOOKUP(LOWER(TRIM(Base_Bruta!N303)),DePara_Pais!$A$2:$A$9,DePara_Pais!$B$2:$B$9,"REVISAR"))</f>
        <v>Brasil</v>
      </c>
      <c r="P303" s="4" t="str">
        <f aca="false">IF($A303="","",IF(O303&lt;&gt;"Brasil","Turista Internacional",IF(M303=F303,"Local","Turista Nacional")))</f>
        <v>Turista Nacional</v>
      </c>
      <c r="Q303" s="7" t="n">
        <f aca="false">IF($A303="","",DATE(YEAR(B303),MONTH(B303),1))</f>
        <v>45901</v>
      </c>
      <c r="R303" s="4" t="str">
        <f aca="false">IF($A303="","",IF(COUNTIF($A$2:$A303,$A303)&gt;1,"Sim","Não"))</f>
        <v>Não</v>
      </c>
      <c r="S303" s="4" t="str">
        <f aca="false">IF(A303="","Descartar - Linha vazia",IF(R303="Sim","Descartar - Duplicado",IF(OR(H303&lt;=0,I303&lt;=0),"Descartar - Qtd/Valor inválido","OK")))</f>
        <v>OK</v>
      </c>
      <c r="T303" s="4" t="str">
        <f aca="false">Base_Bruta!P303</f>
        <v>vendas_SP.xlsx</v>
      </c>
    </row>
    <row r="304" customFormat="false" ht="15" hidden="false" customHeight="false" outlineLevel="0" collapsed="false">
      <c r="A304" s="4" t="str">
        <f aca="false">IF(Base_Bruta!A304="","",Base_Bruta!A304)</f>
        <v>SP-000180</v>
      </c>
      <c r="B304" s="5" t="n">
        <f aca="false">IF($A304="","",IF(ISNUMBER(Base_Bruta!B304),Base_Bruta!B304,IF(MID(Base_Bruta!B304,5,1)="-",DATE(VALUE(LEFT(Base_Bruta!B304,4)),VALUE(MID(Base_Bruta!B304,6,2)),VALUE(RIGHT(Base_Bruta!B304,2))),DATE(VALUE(RIGHT(Base_Bruta!B304,4)),VALUE(MID(Base_Bruta!B304,4,2)),VALUE(LEFT(Base_Bruta!B304,2))))))</f>
        <v>45909</v>
      </c>
      <c r="C304" s="5" t="n">
        <f aca="false">IF($A304="","",IF(ISNUMBER(Base_Bruta!C304),Base_Bruta!C304,IF(MID(Base_Bruta!C304,5,1)="-",DATE(VALUE(LEFT(Base_Bruta!C304,4)),VALUE(MID(Base_Bruta!C304,6,2)),VALUE(RIGHT(Base_Bruta!C304,2))),DATE(VALUE(RIGHT(Base_Bruta!C304,4)),VALUE(MID(Base_Bruta!C304,4,2)),VALUE(LEFT(Base_Bruta!C304,2))))))</f>
        <v>45976</v>
      </c>
      <c r="D304" s="4" t="str">
        <f aca="false">IF($A304="","",TRIM(Base_Bruta!D304))</f>
        <v>Festival Sonora SP 2025</v>
      </c>
      <c r="E304" s="4" t="str">
        <f aca="false">IF($A304="","",_xlfn.XLOOKUP(LOWER(TRIM(Base_Bruta!E304)),DePara_Categoria!$A$2:$A$9,DePara_Categoria!$B$2:$B$9,"REVISAR"))</f>
        <v>Festival</v>
      </c>
      <c r="F304" s="4" t="str">
        <f aca="false">IF($A304="","",_xlfn.XLOOKUP(LOWER(TRIM(Base_Bruta!F304)),DePara_Cidade!$A$2:$A$29,DePara_Cidade!$B$2:$B$29,"REVISAR"))</f>
        <v>São Paulo</v>
      </c>
      <c r="G304" s="4" t="str">
        <f aca="false">IF($A304="","",TRIM(Base_Bruta!G304))</f>
        <v>Inteira</v>
      </c>
      <c r="H304" s="4" t="n">
        <f aca="false">IF($A304="","",IF(ISNUMBER(Base_Bruta!H304),Base_Bruta!H304,IFERROR(_xlfn.NUMBERVALUE(TRIM(SUBSTITUTE(Base_Bruta!H304,"R$","")),",","."),0)))</f>
        <v>2</v>
      </c>
      <c r="I304" s="6" t="n">
        <f aca="false">IF($A304="","",IF(ISNUMBER(Base_Bruta!I304),Base_Bruta!I304,IFERROR(_xlfn.NUMBERVALUE(TRIM(SUBSTITUTE(Base_Bruta!I304,"R$","")),",","."),0)))</f>
        <v>945</v>
      </c>
      <c r="J304" s="6" t="n">
        <f aca="false">IF($A304="","",H304*I304)</f>
        <v>1890</v>
      </c>
      <c r="K304" s="4" t="str">
        <f aca="false">IF($A304="","",TRIM(Base_Bruta!J304))</f>
        <v>Site</v>
      </c>
      <c r="L304" s="4" t="str">
        <f aca="false">IF($A304="","",TRIM(Base_Bruta!K304))</f>
        <v>C02347</v>
      </c>
      <c r="M304" s="4" t="str">
        <f aca="false">IF($A304="","",_xlfn.XLOOKUP(LOWER(TRIM(Base_Bruta!L304)),DePara_Cidade!$A$2:$A$29,DePara_Cidade!$B$2:$B$29,"REVISAR"))</f>
        <v>São Paulo</v>
      </c>
      <c r="N304" s="4" t="str">
        <f aca="false">IF($A304="","",UPPER(TRIM(Base_Bruta!M304)))</f>
        <v>SP</v>
      </c>
      <c r="O304" s="4" t="str">
        <f aca="false">IF($A304="","",_xlfn.XLOOKUP(LOWER(TRIM(Base_Bruta!N304)),DePara_Pais!$A$2:$A$9,DePara_Pais!$B$2:$B$9,"REVISAR"))</f>
        <v>Brasil</v>
      </c>
      <c r="P304" s="4" t="str">
        <f aca="false">IF($A304="","",IF(O304&lt;&gt;"Brasil","Turista Internacional",IF(M304=F304,"Local","Turista Nacional")))</f>
        <v>Local</v>
      </c>
      <c r="Q304" s="7" t="n">
        <f aca="false">IF($A304="","",DATE(YEAR(B304),MONTH(B304),1))</f>
        <v>45901</v>
      </c>
      <c r="R304" s="4" t="str">
        <f aca="false">IF($A304="","",IF(COUNTIF($A$2:$A304,$A304)&gt;1,"Sim","Não"))</f>
        <v>Não</v>
      </c>
      <c r="S304" s="4" t="str">
        <f aca="false">IF(A304="","Descartar - Linha vazia",IF(R304="Sim","Descartar - Duplicado",IF(OR(H304&lt;=0,I304&lt;=0),"Descartar - Qtd/Valor inválido","OK")))</f>
        <v>OK</v>
      </c>
      <c r="T304" s="4" t="str">
        <f aca="false">Base_Bruta!P304</f>
        <v>vendas_SP.xlsx</v>
      </c>
    </row>
    <row r="305" customFormat="false" ht="15" hidden="false" customHeight="false" outlineLevel="0" collapsed="false">
      <c r="A305" s="4" t="str">
        <f aca="false">IF(Base_Bruta!A305="","",Base_Bruta!A305)</f>
        <v>SP-000191</v>
      </c>
      <c r="B305" s="5" t="n">
        <f aca="false">IF($A305="","",IF(ISNUMBER(Base_Bruta!B305),Base_Bruta!B305,IF(MID(Base_Bruta!B305,5,1)="-",DATE(VALUE(LEFT(Base_Bruta!B305,4)),VALUE(MID(Base_Bruta!B305,6,2)),VALUE(RIGHT(Base_Bruta!B305,2))),DATE(VALUE(RIGHT(Base_Bruta!B305,4)),VALUE(MID(Base_Bruta!B305,4,2)),VALUE(LEFT(Base_Bruta!B305,2))))))</f>
        <v>45909</v>
      </c>
      <c r="C305" s="5" t="n">
        <f aca="false">IF($A305="","",IF(ISNUMBER(Base_Bruta!C305),Base_Bruta!C305,IF(MID(Base_Bruta!C305,5,1)="-",DATE(VALUE(LEFT(Base_Bruta!C305,4)),VALUE(MID(Base_Bruta!C305,6,2)),VALUE(RIGHT(Base_Bruta!C305,2))),DATE(VALUE(RIGHT(Base_Bruta!C305,4)),VALUE(MID(Base_Bruta!C305,4,2)),VALUE(LEFT(Base_Bruta!C305,2))))))</f>
        <v>45976</v>
      </c>
      <c r="D305" s="4" t="str">
        <f aca="false">IF($A305="","",TRIM(Base_Bruta!D305))</f>
        <v>Festival Sonora SP 2025</v>
      </c>
      <c r="E305" s="4" t="str">
        <f aca="false">IF($A305="","",_xlfn.XLOOKUP(LOWER(TRIM(Base_Bruta!E305)),DePara_Categoria!$A$2:$A$9,DePara_Categoria!$B$2:$B$9,"REVISAR"))</f>
        <v>Festival</v>
      </c>
      <c r="F305" s="4" t="str">
        <f aca="false">IF($A305="","",_xlfn.XLOOKUP(LOWER(TRIM(Base_Bruta!F305)),DePara_Cidade!$A$2:$A$29,DePara_Cidade!$B$2:$B$29,"REVISAR"))</f>
        <v>São Paulo</v>
      </c>
      <c r="G305" s="4" t="str">
        <f aca="false">IF($A305="","",TRIM(Base_Bruta!G305))</f>
        <v>VIP</v>
      </c>
      <c r="H305" s="4" t="n">
        <f aca="false">IF($A305="","",IF(ISNUMBER(Base_Bruta!H305),Base_Bruta!H305,IFERROR(_xlfn.NUMBERVALUE(TRIM(SUBSTITUTE(Base_Bruta!H305,"R$","")),",","."),0)))</f>
        <v>1</v>
      </c>
      <c r="I305" s="6" t="n">
        <f aca="false">IF($A305="","",IF(ISNUMBER(Base_Bruta!I305),Base_Bruta!I305,IFERROR(_xlfn.NUMBERVALUE(TRIM(SUBSTITUTE(Base_Bruta!I305,"R$","")),",","."),0)))</f>
        <v>1740</v>
      </c>
      <c r="J305" s="6" t="n">
        <f aca="false">IF($A305="","",H305*I305)</f>
        <v>1740</v>
      </c>
      <c r="K305" s="4" t="str">
        <f aca="false">IF($A305="","",TRIM(Base_Bruta!J305))</f>
        <v>Site</v>
      </c>
      <c r="L305" s="4" t="str">
        <f aca="false">IF($A305="","",TRIM(Base_Bruta!K305))</f>
        <v>C02088</v>
      </c>
      <c r="M305" s="4" t="str">
        <f aca="false">IF($A305="","",_xlfn.XLOOKUP(LOWER(TRIM(Base_Bruta!L305)),DePara_Cidade!$A$2:$A$29,DePara_Cidade!$B$2:$B$29,"REVISAR"))</f>
        <v>Buenos Aires</v>
      </c>
      <c r="N305" s="4" t="str">
        <f aca="false">IF($A305="","",UPPER(TRIM(Base_Bruta!M305)))</f>
        <v>EX</v>
      </c>
      <c r="O305" s="4" t="str">
        <f aca="false">IF($A305="","",_xlfn.XLOOKUP(LOWER(TRIM(Base_Bruta!N305)),DePara_Pais!$A$2:$A$9,DePara_Pais!$B$2:$B$9,"REVISAR"))</f>
        <v>Argentina</v>
      </c>
      <c r="P305" s="4" t="str">
        <f aca="false">IF($A305="","",IF(O305&lt;&gt;"Brasil","Turista Internacional",IF(M305=F305,"Local","Turista Nacional")))</f>
        <v>Turista Internacional</v>
      </c>
      <c r="Q305" s="7" t="n">
        <f aca="false">IF($A305="","",DATE(YEAR(B305),MONTH(B305),1))</f>
        <v>45901</v>
      </c>
      <c r="R305" s="4" t="str">
        <f aca="false">IF($A305="","",IF(COUNTIF($A$2:$A305,$A305)&gt;1,"Sim","Não"))</f>
        <v>Não</v>
      </c>
      <c r="S305" s="4" t="str">
        <f aca="false">IF(A305="","Descartar - Linha vazia",IF(R305="Sim","Descartar - Duplicado",IF(OR(H305&lt;=0,I305&lt;=0),"Descartar - Qtd/Valor inválido","OK")))</f>
        <v>OK</v>
      </c>
      <c r="T305" s="4" t="str">
        <f aca="false">Base_Bruta!P305</f>
        <v>vendas_SP.xlsx</v>
      </c>
    </row>
    <row r="306" customFormat="false" ht="15" hidden="false" customHeight="false" outlineLevel="0" collapsed="false">
      <c r="A306" s="4" t="str">
        <f aca="false">IF(Base_Bruta!A306="","",Base_Bruta!A306)</f>
        <v>SP-000555</v>
      </c>
      <c r="B306" s="5" t="n">
        <f aca="false">IF($A306="","",IF(ISNUMBER(Base_Bruta!B306),Base_Bruta!B306,IF(MID(Base_Bruta!B306,5,1)="-",DATE(VALUE(LEFT(Base_Bruta!B306,4)),VALUE(MID(Base_Bruta!B306,6,2)),VALUE(RIGHT(Base_Bruta!B306,2))),DATE(VALUE(RIGHT(Base_Bruta!B306,4)),VALUE(MID(Base_Bruta!B306,4,2)),VALUE(LEFT(Base_Bruta!B306,2))))))</f>
        <v>45909</v>
      </c>
      <c r="C306" s="5" t="n">
        <f aca="false">IF($A306="","",IF(ISNUMBER(Base_Bruta!C306),Base_Bruta!C306,IF(MID(Base_Bruta!C306,5,1)="-",DATE(VALUE(LEFT(Base_Bruta!C306,4)),VALUE(MID(Base_Bruta!C306,6,2)),VALUE(RIGHT(Base_Bruta!C306,2))),DATE(VALUE(RIGHT(Base_Bruta!C306,4)),VALUE(MID(Base_Bruta!C306,4,2)),VALUE(LEFT(Base_Bruta!C306,2))))))</f>
        <v>45934</v>
      </c>
      <c r="D306" s="4" t="str">
        <f aca="false">IF($A306="","",TRIM(Base_Bruta!D306))</f>
        <v>Turnê Internacional Pop - SP</v>
      </c>
      <c r="E306" s="4" t="str">
        <f aca="false">IF($A306="","",_xlfn.XLOOKUP(LOWER(TRIM(Base_Bruta!E306)),DePara_Categoria!$A$2:$A$9,DePara_Categoria!$B$2:$B$9,"REVISAR"))</f>
        <v>Show</v>
      </c>
      <c r="F306" s="4" t="str">
        <f aca="false">IF($A306="","",_xlfn.XLOOKUP(LOWER(TRIM(Base_Bruta!F306)),DePara_Cidade!$A$2:$A$29,DePara_Cidade!$B$2:$B$29,"REVISAR"))</f>
        <v>São Paulo</v>
      </c>
      <c r="G306" s="4" t="str">
        <f aca="false">IF($A306="","",TRIM(Base_Bruta!G306))</f>
        <v>VIP</v>
      </c>
      <c r="H306" s="4" t="n">
        <f aca="false">IF($A306="","",IF(ISNUMBER(Base_Bruta!H306),Base_Bruta!H306,IFERROR(_xlfn.NUMBERVALUE(TRIM(SUBSTITUTE(Base_Bruta!H306,"R$","")),",","."),0)))</f>
        <v>2</v>
      </c>
      <c r="I306" s="6" t="n">
        <f aca="false">IF($A306="","",IF(ISNUMBER(Base_Bruta!I306),Base_Bruta!I306,IFERROR(_xlfn.NUMBERVALUE(TRIM(SUBSTITUTE(Base_Bruta!I306,"R$","")),",","."),0)))</f>
        <v>630</v>
      </c>
      <c r="J306" s="6" t="n">
        <f aca="false">IF($A306="","",H306*I306)</f>
        <v>1260</v>
      </c>
      <c r="K306" s="4" t="str">
        <f aca="false">IF($A306="","",TRIM(Base_Bruta!J306))</f>
        <v>Site</v>
      </c>
      <c r="L306" s="4" t="str">
        <f aca="false">IF($A306="","",TRIM(Base_Bruta!K306))</f>
        <v>C01985</v>
      </c>
      <c r="M306" s="4" t="str">
        <f aca="false">IF($A306="","",_xlfn.XLOOKUP(LOWER(TRIM(Base_Bruta!L306)),DePara_Cidade!$A$2:$A$29,DePara_Cidade!$B$2:$B$29,"REVISAR"))</f>
        <v>Santos</v>
      </c>
      <c r="N306" s="4" t="str">
        <f aca="false">IF($A306="","",UPPER(TRIM(Base_Bruta!M306)))</f>
        <v>SP</v>
      </c>
      <c r="O306" s="4" t="str">
        <f aca="false">IF($A306="","",_xlfn.XLOOKUP(LOWER(TRIM(Base_Bruta!N306)),DePara_Pais!$A$2:$A$9,DePara_Pais!$B$2:$B$9,"REVISAR"))</f>
        <v>Brasil</v>
      </c>
      <c r="P306" s="4" t="str">
        <f aca="false">IF($A306="","",IF(O306&lt;&gt;"Brasil","Turista Internacional",IF(M306=F306,"Local","Turista Nacional")))</f>
        <v>Turista Nacional</v>
      </c>
      <c r="Q306" s="7" t="n">
        <f aca="false">IF($A306="","",DATE(YEAR(B306),MONTH(B306),1))</f>
        <v>45901</v>
      </c>
      <c r="R306" s="4" t="str">
        <f aca="false">IF($A306="","",IF(COUNTIF($A$2:$A306,$A306)&gt;1,"Sim","Não"))</f>
        <v>Não</v>
      </c>
      <c r="S306" s="4" t="str">
        <f aca="false">IF(A306="","Descartar - Linha vazia",IF(R306="Sim","Descartar - Duplicado",IF(OR(H306&lt;=0,I306&lt;=0),"Descartar - Qtd/Valor inválido","OK")))</f>
        <v>OK</v>
      </c>
      <c r="T306" s="4" t="str">
        <f aca="false">Base_Bruta!P306</f>
        <v>vendas_SP.xlsx</v>
      </c>
    </row>
    <row r="307" customFormat="false" ht="15" hidden="false" customHeight="false" outlineLevel="0" collapsed="false">
      <c r="A307" s="4" t="str">
        <f aca="false">IF(Base_Bruta!A307="","",Base_Bruta!A307)</f>
        <v>SP-000489</v>
      </c>
      <c r="B307" s="5" t="n">
        <f aca="false">IF($A307="","",IF(ISNUMBER(Base_Bruta!B307),Base_Bruta!B307,IF(MID(Base_Bruta!B307,5,1)="-",DATE(VALUE(LEFT(Base_Bruta!B307,4)),VALUE(MID(Base_Bruta!B307,6,2)),VALUE(RIGHT(Base_Bruta!B307,2))),DATE(VALUE(RIGHT(Base_Bruta!B307,4)),VALUE(MID(Base_Bruta!B307,4,2)),VALUE(LEFT(Base_Bruta!B307,2))))))</f>
        <v>45910</v>
      </c>
      <c r="C307" s="5" t="n">
        <f aca="false">IF($A307="","",IF(ISNUMBER(Base_Bruta!C307),Base_Bruta!C307,IF(MID(Base_Bruta!C307,5,1)="-",DATE(VALUE(LEFT(Base_Bruta!C307,4)),VALUE(MID(Base_Bruta!C307,6,2)),VALUE(RIGHT(Base_Bruta!C307,2))),DATE(VALUE(RIGHT(Base_Bruta!C307,4)),VALUE(MID(Base_Bruta!C307,4,2)),VALUE(LEFT(Base_Bruta!C307,2))))))</f>
        <v>45934</v>
      </c>
      <c r="D307" s="4" t="str">
        <f aca="false">IF($A307="","",TRIM(Base_Bruta!D307))</f>
        <v>Turnê Internacional Pop - SP</v>
      </c>
      <c r="E307" s="4" t="str">
        <f aca="false">IF($A307="","",_xlfn.XLOOKUP(LOWER(TRIM(Base_Bruta!E307)),DePara_Categoria!$A$2:$A$9,DePara_Categoria!$B$2:$B$9,"REVISAR"))</f>
        <v>Show</v>
      </c>
      <c r="F307" s="4" t="str">
        <f aca="false">IF($A307="","",_xlfn.XLOOKUP(LOWER(TRIM(Base_Bruta!F307)),DePara_Cidade!$A$2:$A$29,DePara_Cidade!$B$2:$B$29,"REVISAR"))</f>
        <v>São Paulo</v>
      </c>
      <c r="G307" s="4" t="str">
        <f aca="false">IF($A307="","",TRIM(Base_Bruta!G307))</f>
        <v>Meia</v>
      </c>
      <c r="H307" s="4" t="n">
        <f aca="false">IF($A307="","",IF(ISNUMBER(Base_Bruta!H307),Base_Bruta!H307,IFERROR(_xlfn.NUMBERVALUE(TRIM(SUBSTITUTE(Base_Bruta!H307,"R$","")),",","."),0)))</f>
        <v>1</v>
      </c>
      <c r="I307" s="6" t="n">
        <f aca="false">IF($A307="","",IF(ISNUMBER(Base_Bruta!I307),Base_Bruta!I307,IFERROR(_xlfn.NUMBERVALUE(TRIM(SUBSTITUTE(Base_Bruta!I307,"R$","")),",","."),0)))</f>
        <v>212.5</v>
      </c>
      <c r="J307" s="6" t="n">
        <f aca="false">IF($A307="","",H307*I307)</f>
        <v>212.5</v>
      </c>
      <c r="K307" s="4" t="str">
        <f aca="false">IF($A307="","",TRIM(Base_Bruta!J307))</f>
        <v>Site</v>
      </c>
      <c r="L307" s="4" t="str">
        <f aca="false">IF($A307="","",TRIM(Base_Bruta!K307))</f>
        <v>C02127</v>
      </c>
      <c r="M307" s="4" t="str">
        <f aca="false">IF($A307="","",_xlfn.XLOOKUP(LOWER(TRIM(Base_Bruta!L307)),DePara_Cidade!$A$2:$A$29,DePara_Cidade!$B$2:$B$29,"REVISAR"))</f>
        <v>São Paulo</v>
      </c>
      <c r="N307" s="4" t="str">
        <f aca="false">IF($A307="","",UPPER(TRIM(Base_Bruta!M307)))</f>
        <v>SP</v>
      </c>
      <c r="O307" s="4" t="str">
        <f aca="false">IF($A307="","",_xlfn.XLOOKUP(LOWER(TRIM(Base_Bruta!N307)),DePara_Pais!$A$2:$A$9,DePara_Pais!$B$2:$B$9,"REVISAR"))</f>
        <v>Brasil</v>
      </c>
      <c r="P307" s="4" t="str">
        <f aca="false">IF($A307="","",IF(O307&lt;&gt;"Brasil","Turista Internacional",IF(M307=F307,"Local","Turista Nacional")))</f>
        <v>Local</v>
      </c>
      <c r="Q307" s="7" t="n">
        <f aca="false">IF($A307="","",DATE(YEAR(B307),MONTH(B307),1))</f>
        <v>45901</v>
      </c>
      <c r="R307" s="4" t="str">
        <f aca="false">IF($A307="","",IF(COUNTIF($A$2:$A307,$A307)&gt;1,"Sim","Não"))</f>
        <v>Não</v>
      </c>
      <c r="S307" s="4" t="str">
        <f aca="false">IF(A307="","Descartar - Linha vazia",IF(R307="Sim","Descartar - Duplicado",IF(OR(H307&lt;=0,I307&lt;=0),"Descartar - Qtd/Valor inválido","OK")))</f>
        <v>OK</v>
      </c>
      <c r="T307" s="4" t="str">
        <f aca="false">Base_Bruta!P307</f>
        <v>vendas_SP.xlsx</v>
      </c>
    </row>
    <row r="308" customFormat="false" ht="15" hidden="false" customHeight="false" outlineLevel="0" collapsed="false">
      <c r="A308" s="4" t="str">
        <f aca="false">IF(Base_Bruta!A308="","",Base_Bruta!A308)</f>
        <v>SP-000463</v>
      </c>
      <c r="B308" s="5" t="n">
        <f aca="false">IF($A308="","",IF(ISNUMBER(Base_Bruta!B308),Base_Bruta!B308,IF(MID(Base_Bruta!B308,5,1)="-",DATE(VALUE(LEFT(Base_Bruta!B308,4)),VALUE(MID(Base_Bruta!B308,6,2)),VALUE(RIGHT(Base_Bruta!B308,2))),DATE(VALUE(RIGHT(Base_Bruta!B308,4)),VALUE(MID(Base_Bruta!B308,4,2)),VALUE(LEFT(Base_Bruta!B308,2))))))</f>
        <v>45912</v>
      </c>
      <c r="C308" s="5" t="n">
        <f aca="false">IF($A308="","",IF(ISNUMBER(Base_Bruta!C308),Base_Bruta!C308,IF(MID(Base_Bruta!C308,5,1)="-",DATE(VALUE(LEFT(Base_Bruta!C308,4)),VALUE(MID(Base_Bruta!C308,6,2)),VALUE(RIGHT(Base_Bruta!C308,2))),DATE(VALUE(RIGHT(Base_Bruta!C308,4)),VALUE(MID(Base_Bruta!C308,4,2)),VALUE(LEFT(Base_Bruta!C308,2))))))</f>
        <v>45934</v>
      </c>
      <c r="D308" s="4" t="str">
        <f aca="false">IF($A308="","",TRIM(Base_Bruta!D308))</f>
        <v>Turnê Internacional Pop - SP</v>
      </c>
      <c r="E308" s="4" t="str">
        <f aca="false">IF($A308="","",_xlfn.XLOOKUP(LOWER(TRIM(Base_Bruta!E308)),DePara_Categoria!$A$2:$A$9,DePara_Categoria!$B$2:$B$9,"REVISAR"))</f>
        <v>Show</v>
      </c>
      <c r="F308" s="4" t="str">
        <f aca="false">IF($A308="","",_xlfn.XLOOKUP(LOWER(TRIM(Base_Bruta!F308)),DePara_Cidade!$A$2:$A$29,DePara_Cidade!$B$2:$B$29,"REVISAR"))</f>
        <v>São Paulo</v>
      </c>
      <c r="G308" s="4" t="str">
        <f aca="false">IF($A308="","",TRIM(Base_Bruta!G308))</f>
        <v>Inteira</v>
      </c>
      <c r="H308" s="4" t="n">
        <f aca="false">IF($A308="","",IF(ISNUMBER(Base_Bruta!H308),Base_Bruta!H308,IFERROR(_xlfn.NUMBERVALUE(TRIM(SUBSTITUTE(Base_Bruta!H308,"R$","")),",","."),0)))</f>
        <v>2</v>
      </c>
      <c r="I308" s="6" t="n">
        <f aca="false">IF($A308="","",IF(ISNUMBER(Base_Bruta!I308),Base_Bruta!I308,IFERROR(_xlfn.NUMBERVALUE(TRIM(SUBSTITUTE(Base_Bruta!I308,"R$","")),",","."),0)))</f>
        <v>365</v>
      </c>
      <c r="J308" s="6" t="n">
        <f aca="false">IF($A308="","",H308*I308)</f>
        <v>730</v>
      </c>
      <c r="K308" s="4" t="str">
        <f aca="false">IF($A308="","",TRIM(Base_Bruta!J308))</f>
        <v>App</v>
      </c>
      <c r="L308" s="4" t="str">
        <f aca="false">IF($A308="","",TRIM(Base_Bruta!K308))</f>
        <v>C01965</v>
      </c>
      <c r="M308" s="4" t="str">
        <f aca="false">IF($A308="","",_xlfn.XLOOKUP(LOWER(TRIM(Base_Bruta!L308)),DePara_Cidade!$A$2:$A$29,DePara_Cidade!$B$2:$B$29,"REVISAR"))</f>
        <v>São Paulo</v>
      </c>
      <c r="N308" s="4" t="str">
        <f aca="false">IF($A308="","",UPPER(TRIM(Base_Bruta!M308)))</f>
        <v>SP</v>
      </c>
      <c r="O308" s="4" t="str">
        <f aca="false">IF($A308="","",_xlfn.XLOOKUP(LOWER(TRIM(Base_Bruta!N308)),DePara_Pais!$A$2:$A$9,DePara_Pais!$B$2:$B$9,"REVISAR"))</f>
        <v>Brasil</v>
      </c>
      <c r="P308" s="4" t="str">
        <f aca="false">IF($A308="","",IF(O308&lt;&gt;"Brasil","Turista Internacional",IF(M308=F308,"Local","Turista Nacional")))</f>
        <v>Local</v>
      </c>
      <c r="Q308" s="7" t="n">
        <f aca="false">IF($A308="","",DATE(YEAR(B308),MONTH(B308),1))</f>
        <v>45901</v>
      </c>
      <c r="R308" s="4" t="str">
        <f aca="false">IF($A308="","",IF(COUNTIF($A$2:$A308,$A308)&gt;1,"Sim","Não"))</f>
        <v>Não</v>
      </c>
      <c r="S308" s="4" t="str">
        <f aca="false">IF(A308="","Descartar - Linha vazia",IF(R308="Sim","Descartar - Duplicado",IF(OR(H308&lt;=0,I308&lt;=0),"Descartar - Qtd/Valor inválido","OK")))</f>
        <v>OK</v>
      </c>
      <c r="T308" s="4" t="str">
        <f aca="false">Base_Bruta!P308</f>
        <v>vendas_SP.xlsx</v>
      </c>
    </row>
    <row r="309" customFormat="false" ht="15" hidden="false" customHeight="false" outlineLevel="0" collapsed="false">
      <c r="A309" s="4" t="str">
        <f aca="false">IF(Base_Bruta!A309="","",Base_Bruta!A309)</f>
        <v>SP-000736</v>
      </c>
      <c r="B309" s="5" t="n">
        <f aca="false">IF($A309="","",IF(ISNUMBER(Base_Bruta!B309),Base_Bruta!B309,IF(MID(Base_Bruta!B309,5,1)="-",DATE(VALUE(LEFT(Base_Bruta!B309,4)),VALUE(MID(Base_Bruta!B309,6,2)),VALUE(RIGHT(Base_Bruta!B309,2))),DATE(VALUE(RIGHT(Base_Bruta!B309,4)),VALUE(MID(Base_Bruta!B309,4,2)),VALUE(LEFT(Base_Bruta!B309,2))))))</f>
        <v>45912</v>
      </c>
      <c r="C309" s="5" t="n">
        <f aca="false">IF($A309="","",IF(ISNUMBER(Base_Bruta!C309),Base_Bruta!C309,IF(MID(Base_Bruta!C309,5,1)="-",DATE(VALUE(LEFT(Base_Bruta!C309,4)),VALUE(MID(Base_Bruta!C309,6,2)),VALUE(RIGHT(Base_Bruta!C309,2))),DATE(VALUE(RIGHT(Base_Bruta!C309,4)),VALUE(MID(Base_Bruta!C309,4,2)),VALUE(LEFT(Base_Bruta!C309,2))))))</f>
        <v>45913</v>
      </c>
      <c r="D309" s="4" t="str">
        <f aca="false">IF($A309="","",TRIM(Base_Bruta!D309))</f>
        <v>Cinema Paulista - Sessões</v>
      </c>
      <c r="E309" s="4" t="str">
        <f aca="false">IF($A309="","",_xlfn.XLOOKUP(LOWER(TRIM(Base_Bruta!E309)),DePara_Categoria!$A$2:$A$9,DePara_Categoria!$B$2:$B$9,"REVISAR"))</f>
        <v>Cinema</v>
      </c>
      <c r="F309" s="4" t="str">
        <f aca="false">IF($A309="","",_xlfn.XLOOKUP(LOWER(TRIM(Base_Bruta!F309)),DePara_Cidade!$A$2:$A$29,DePara_Cidade!$B$2:$B$29,"REVISAR"))</f>
        <v>São Paulo</v>
      </c>
      <c r="G309" s="4" t="str">
        <f aca="false">IF($A309="","",TRIM(Base_Bruta!G309))</f>
        <v>Inteira</v>
      </c>
      <c r="H309" s="4" t="n">
        <f aca="false">IF($A309="","",IF(ISNUMBER(Base_Bruta!H309),Base_Bruta!H309,IFERROR(_xlfn.NUMBERVALUE(TRIM(SUBSTITUTE(Base_Bruta!H309,"R$","")),",","."),0)))</f>
        <v>1</v>
      </c>
      <c r="I309" s="6" t="n">
        <f aca="false">IF($A309="","",IF(ISNUMBER(Base_Bruta!I309),Base_Bruta!I309,IFERROR(_xlfn.NUMBERVALUE(TRIM(SUBSTITUTE(Base_Bruta!I309,"R$","")),",","."),0)))</f>
        <v>35</v>
      </c>
      <c r="J309" s="6" t="n">
        <f aca="false">IF($A309="","",H309*I309)</f>
        <v>35</v>
      </c>
      <c r="K309" s="4" t="str">
        <f aca="false">IF($A309="","",TRIM(Base_Bruta!J309))</f>
        <v>App</v>
      </c>
      <c r="L309" s="4" t="str">
        <f aca="false">IF($A309="","",TRIM(Base_Bruta!K309))</f>
        <v>C00699</v>
      </c>
      <c r="M309" s="4" t="str">
        <f aca="false">IF($A309="","",_xlfn.XLOOKUP(LOWER(TRIM(Base_Bruta!L309)),DePara_Cidade!$A$2:$A$29,DePara_Cidade!$B$2:$B$29,"REVISAR"))</f>
        <v>São Paulo</v>
      </c>
      <c r="N309" s="4" t="str">
        <f aca="false">IF($A309="","",UPPER(TRIM(Base_Bruta!M309)))</f>
        <v>SP</v>
      </c>
      <c r="O309" s="4" t="str">
        <f aca="false">IF($A309="","",_xlfn.XLOOKUP(LOWER(TRIM(Base_Bruta!N309)),DePara_Pais!$A$2:$A$9,DePara_Pais!$B$2:$B$9,"REVISAR"))</f>
        <v>Brasil</v>
      </c>
      <c r="P309" s="4" t="str">
        <f aca="false">IF($A309="","",IF(O309&lt;&gt;"Brasil","Turista Internacional",IF(M309=F309,"Local","Turista Nacional")))</f>
        <v>Local</v>
      </c>
      <c r="Q309" s="7" t="n">
        <f aca="false">IF($A309="","",DATE(YEAR(B309),MONTH(B309),1))</f>
        <v>45901</v>
      </c>
      <c r="R309" s="4" t="str">
        <f aca="false">IF($A309="","",IF(COUNTIF($A$2:$A309,$A309)&gt;1,"Sim","Não"))</f>
        <v>Não</v>
      </c>
      <c r="S309" s="4" t="str">
        <f aca="false">IF(A309="","Descartar - Linha vazia",IF(R309="Sim","Descartar - Duplicado",IF(OR(H309&lt;=0,I309&lt;=0),"Descartar - Qtd/Valor inválido","OK")))</f>
        <v>OK</v>
      </c>
      <c r="T309" s="4" t="str">
        <f aca="false">Base_Bruta!P309</f>
        <v>vendas_SP.xlsx</v>
      </c>
    </row>
    <row r="310" customFormat="false" ht="15" hidden="false" customHeight="false" outlineLevel="0" collapsed="false">
      <c r="A310" s="4" t="str">
        <f aca="false">IF(Base_Bruta!A310="","",Base_Bruta!A310)</f>
        <v>SP-000744</v>
      </c>
      <c r="B310" s="5" t="n">
        <f aca="false">IF($A310="","",IF(ISNUMBER(Base_Bruta!B310),Base_Bruta!B310,IF(MID(Base_Bruta!B310,5,1)="-",DATE(VALUE(LEFT(Base_Bruta!B310,4)),VALUE(MID(Base_Bruta!B310,6,2)),VALUE(RIGHT(Base_Bruta!B310,2))),DATE(VALUE(RIGHT(Base_Bruta!B310,4)),VALUE(MID(Base_Bruta!B310,4,2)),VALUE(LEFT(Base_Bruta!B310,2))))))</f>
        <v>45913</v>
      </c>
      <c r="C310" s="5" t="n">
        <f aca="false">IF($A310="","",IF(ISNUMBER(Base_Bruta!C310),Base_Bruta!C310,IF(MID(Base_Bruta!C310,5,1)="-",DATE(VALUE(LEFT(Base_Bruta!C310,4)),VALUE(MID(Base_Bruta!C310,6,2)),VALUE(RIGHT(Base_Bruta!C310,2))),DATE(VALUE(RIGHT(Base_Bruta!C310,4)),VALUE(MID(Base_Bruta!C310,4,2)),VALUE(LEFT(Base_Bruta!C310,2))))))</f>
        <v>45916</v>
      </c>
      <c r="D310" s="4" t="str">
        <f aca="false">IF($A310="","",TRIM(Base_Bruta!D310))</f>
        <v>Cinema Paulista - Sessões</v>
      </c>
      <c r="E310" s="4" t="str">
        <f aca="false">IF($A310="","",_xlfn.XLOOKUP(LOWER(TRIM(Base_Bruta!E310)),DePara_Categoria!$A$2:$A$9,DePara_Categoria!$B$2:$B$9,"REVISAR"))</f>
        <v>Cinema</v>
      </c>
      <c r="F310" s="4" t="str">
        <f aca="false">IF($A310="","",_xlfn.XLOOKUP(LOWER(TRIM(Base_Bruta!F310)),DePara_Cidade!$A$2:$A$29,DePara_Cidade!$B$2:$B$29,"REVISAR"))</f>
        <v>São Paulo</v>
      </c>
      <c r="G310" s="4" t="str">
        <f aca="false">IF($A310="","",TRIM(Base_Bruta!G310))</f>
        <v>Inteira</v>
      </c>
      <c r="H310" s="4" t="n">
        <f aca="false">IF($A310="","",IF(ISNUMBER(Base_Bruta!H310),Base_Bruta!H310,IFERROR(_xlfn.NUMBERVALUE(TRIM(SUBSTITUTE(Base_Bruta!H310,"R$","")),",","."),0)))</f>
        <v>2</v>
      </c>
      <c r="I310" s="6" t="n">
        <f aca="false">IF($A310="","",IF(ISNUMBER(Base_Bruta!I310),Base_Bruta!I310,IFERROR(_xlfn.NUMBERVALUE(TRIM(SUBSTITUTE(Base_Bruta!I310,"R$","")),",","."),0)))</f>
        <v>30</v>
      </c>
      <c r="J310" s="6" t="n">
        <f aca="false">IF($A310="","",H310*I310)</f>
        <v>60</v>
      </c>
      <c r="K310" s="4" t="str">
        <f aca="false">IF($A310="","",TRIM(Base_Bruta!J310))</f>
        <v>Bilheteria</v>
      </c>
      <c r="L310" s="4" t="str">
        <f aca="false">IF($A310="","",TRIM(Base_Bruta!K310))</f>
        <v>C00609</v>
      </c>
      <c r="M310" s="4" t="str">
        <f aca="false">IF($A310="","",_xlfn.XLOOKUP(LOWER(TRIM(Base_Bruta!L310)),DePara_Cidade!$A$2:$A$29,DePara_Cidade!$B$2:$B$29,"REVISAR"))</f>
        <v>São Paulo</v>
      </c>
      <c r="N310" s="4" t="str">
        <f aca="false">IF($A310="","",UPPER(TRIM(Base_Bruta!M310)))</f>
        <v>SP</v>
      </c>
      <c r="O310" s="4" t="str">
        <f aca="false">IF($A310="","",_xlfn.XLOOKUP(LOWER(TRIM(Base_Bruta!N310)),DePara_Pais!$A$2:$A$9,DePara_Pais!$B$2:$B$9,"REVISAR"))</f>
        <v>Brasil</v>
      </c>
      <c r="P310" s="4" t="str">
        <f aca="false">IF($A310="","",IF(O310&lt;&gt;"Brasil","Turista Internacional",IF(M310=F310,"Local","Turista Nacional")))</f>
        <v>Local</v>
      </c>
      <c r="Q310" s="7" t="n">
        <f aca="false">IF($A310="","",DATE(YEAR(B310),MONTH(B310),1))</f>
        <v>45901</v>
      </c>
      <c r="R310" s="4" t="str">
        <f aca="false">IF($A310="","",IF(COUNTIF($A$2:$A310,$A310)&gt;1,"Sim","Não"))</f>
        <v>Não</v>
      </c>
      <c r="S310" s="4" t="str">
        <f aca="false">IF(A310="","Descartar - Linha vazia",IF(R310="Sim","Descartar - Duplicado",IF(OR(H310&lt;=0,I310&lt;=0),"Descartar - Qtd/Valor inválido","OK")))</f>
        <v>OK</v>
      </c>
      <c r="T310" s="4" t="str">
        <f aca="false">Base_Bruta!P310</f>
        <v>vendas_SP.xlsx</v>
      </c>
    </row>
    <row r="311" customFormat="false" ht="15" hidden="false" customHeight="false" outlineLevel="0" collapsed="false">
      <c r="A311" s="4" t="str">
        <f aca="false">IF(Base_Bruta!A311="","",Base_Bruta!A311)</f>
        <v>SP-000025</v>
      </c>
      <c r="B311" s="5" t="n">
        <f aca="false">IF($A311="","",IF(ISNUMBER(Base_Bruta!B311),Base_Bruta!B311,IF(MID(Base_Bruta!B311,5,1)="-",DATE(VALUE(LEFT(Base_Bruta!B311,4)),VALUE(MID(Base_Bruta!B311,6,2)),VALUE(RIGHT(Base_Bruta!B311,2))),DATE(VALUE(RIGHT(Base_Bruta!B311,4)),VALUE(MID(Base_Bruta!B311,4,2)),VALUE(LEFT(Base_Bruta!B311,2))))))</f>
        <v>45915</v>
      </c>
      <c r="C311" s="5" t="n">
        <f aca="false">IF($A311="","",IF(ISNUMBER(Base_Bruta!C311),Base_Bruta!C311,IF(MID(Base_Bruta!C311,5,1)="-",DATE(VALUE(LEFT(Base_Bruta!C311,4)),VALUE(MID(Base_Bruta!C311,6,2)),VALUE(RIGHT(Base_Bruta!C311,2))),DATE(VALUE(RIGHT(Base_Bruta!C311,4)),VALUE(MID(Base_Bruta!C311,4,2)),VALUE(LEFT(Base_Bruta!C311,2))))))</f>
        <v>45976</v>
      </c>
      <c r="D311" s="4" t="str">
        <f aca="false">IF($A311="","",TRIM(Base_Bruta!D311))</f>
        <v>Festival Sonora SP 2025</v>
      </c>
      <c r="E311" s="4" t="str">
        <f aca="false">IF($A311="","",_xlfn.XLOOKUP(LOWER(TRIM(Base_Bruta!E311)),DePara_Categoria!$A$2:$A$9,DePara_Categoria!$B$2:$B$9,"REVISAR"))</f>
        <v>Festival</v>
      </c>
      <c r="F311" s="4" t="str">
        <f aca="false">IF($A311="","",_xlfn.XLOOKUP(LOWER(TRIM(Base_Bruta!F311)),DePara_Cidade!$A$2:$A$29,DePara_Cidade!$B$2:$B$29,"REVISAR"))</f>
        <v>São Paulo</v>
      </c>
      <c r="G311" s="4" t="str">
        <f aca="false">IF($A311="","",TRIM(Base_Bruta!G311))</f>
        <v>Inteira</v>
      </c>
      <c r="H311" s="4" t="n">
        <f aca="false">IF($A311="","",IF(ISNUMBER(Base_Bruta!H311),Base_Bruta!H311,IFERROR(_xlfn.NUMBERVALUE(TRIM(SUBSTITUTE(Base_Bruta!H311,"R$","")),",","."),0)))</f>
        <v>2</v>
      </c>
      <c r="I311" s="6" t="n">
        <f aca="false">IF($A311="","",IF(ISNUMBER(Base_Bruta!I311),Base_Bruta!I311,IFERROR(_xlfn.NUMBERVALUE(TRIM(SUBSTITUTE(Base_Bruta!I311,"R$","")),",","."),0)))</f>
        <v>1045</v>
      </c>
      <c r="J311" s="6" t="n">
        <f aca="false">IF($A311="","",H311*I311)</f>
        <v>2090</v>
      </c>
      <c r="K311" s="4" t="str">
        <f aca="false">IF($A311="","",TRIM(Base_Bruta!J311))</f>
        <v>Site</v>
      </c>
      <c r="L311" s="4" t="str">
        <f aca="false">IF($A311="","",TRIM(Base_Bruta!K311))</f>
        <v>C01879</v>
      </c>
      <c r="M311" s="4" t="str">
        <f aca="false">IF($A311="","",_xlfn.XLOOKUP(LOWER(TRIM(Base_Bruta!L311)),DePara_Cidade!$A$2:$A$29,DePara_Cidade!$B$2:$B$29,"REVISAR"))</f>
        <v>São Paulo</v>
      </c>
      <c r="N311" s="4" t="str">
        <f aca="false">IF($A311="","",UPPER(TRIM(Base_Bruta!M311)))</f>
        <v>SP</v>
      </c>
      <c r="O311" s="4" t="str">
        <f aca="false">IF($A311="","",_xlfn.XLOOKUP(LOWER(TRIM(Base_Bruta!N311)),DePara_Pais!$A$2:$A$9,DePara_Pais!$B$2:$B$9,"REVISAR"))</f>
        <v>Brasil</v>
      </c>
      <c r="P311" s="4" t="str">
        <f aca="false">IF($A311="","",IF(O311&lt;&gt;"Brasil","Turista Internacional",IF(M311=F311,"Local","Turista Nacional")))</f>
        <v>Local</v>
      </c>
      <c r="Q311" s="7" t="n">
        <f aca="false">IF($A311="","",DATE(YEAR(B311),MONTH(B311),1))</f>
        <v>45901</v>
      </c>
      <c r="R311" s="4" t="str">
        <f aca="false">IF($A311="","",IF(COUNTIF($A$2:$A311,$A311)&gt;1,"Sim","Não"))</f>
        <v>Não</v>
      </c>
      <c r="S311" s="4" t="str">
        <f aca="false">IF(A311="","Descartar - Linha vazia",IF(R311="Sim","Descartar - Duplicado",IF(OR(H311&lt;=0,I311&lt;=0),"Descartar - Qtd/Valor inválido","OK")))</f>
        <v>OK</v>
      </c>
      <c r="T311" s="4" t="str">
        <f aca="false">Base_Bruta!P311</f>
        <v>vendas_SP.xlsx</v>
      </c>
    </row>
    <row r="312" customFormat="false" ht="15" hidden="false" customHeight="false" outlineLevel="0" collapsed="false">
      <c r="A312" s="4" t="str">
        <f aca="false">IF(Base_Bruta!A312="","",Base_Bruta!A312)</f>
        <v>SP-000468</v>
      </c>
      <c r="B312" s="5" t="n">
        <f aca="false">IF($A312="","",IF(ISNUMBER(Base_Bruta!B312),Base_Bruta!B312,IF(MID(Base_Bruta!B312,5,1)="-",DATE(VALUE(LEFT(Base_Bruta!B312,4)),VALUE(MID(Base_Bruta!B312,6,2)),VALUE(RIGHT(Base_Bruta!B312,2))),DATE(VALUE(RIGHT(Base_Bruta!B312,4)),VALUE(MID(Base_Bruta!B312,4,2)),VALUE(LEFT(Base_Bruta!B312,2))))))</f>
        <v>45915</v>
      </c>
      <c r="C312" s="5" t="n">
        <f aca="false">IF($A312="","",IF(ISNUMBER(Base_Bruta!C312),Base_Bruta!C312,IF(MID(Base_Bruta!C312,5,1)="-",DATE(VALUE(LEFT(Base_Bruta!C312,4)),VALUE(MID(Base_Bruta!C312,6,2)),VALUE(RIGHT(Base_Bruta!C312,2))),DATE(VALUE(RIGHT(Base_Bruta!C312,4)),VALUE(MID(Base_Bruta!C312,4,2)),VALUE(LEFT(Base_Bruta!C312,2))))))</f>
        <v>45934</v>
      </c>
      <c r="D312" s="4" t="str">
        <f aca="false">IF($A312="","",TRIM(Base_Bruta!D312))</f>
        <v>Turnê Internacional Pop - SP</v>
      </c>
      <c r="E312" s="4" t="str">
        <f aca="false">IF($A312="","",_xlfn.XLOOKUP(LOWER(TRIM(Base_Bruta!E312)),DePara_Categoria!$A$2:$A$9,DePara_Categoria!$B$2:$B$9,"REVISAR"))</f>
        <v>Show</v>
      </c>
      <c r="F312" s="4" t="str">
        <f aca="false">IF($A312="","",_xlfn.XLOOKUP(LOWER(TRIM(Base_Bruta!F312)),DePara_Cidade!$A$2:$A$29,DePara_Cidade!$B$2:$B$29,"REVISAR"))</f>
        <v>São Paulo</v>
      </c>
      <c r="G312" s="4" t="str">
        <f aca="false">IF($A312="","",TRIM(Base_Bruta!G312))</f>
        <v>Meia</v>
      </c>
      <c r="H312" s="4" t="n">
        <f aca="false">IF($A312="","",IF(ISNUMBER(Base_Bruta!H312),Base_Bruta!H312,IFERROR(_xlfn.NUMBERVALUE(TRIM(SUBSTITUTE(Base_Bruta!H312,"R$","")),",","."),0)))</f>
        <v>2</v>
      </c>
      <c r="I312" s="6" t="n">
        <f aca="false">IF($A312="","",IF(ISNUMBER(Base_Bruta!I312),Base_Bruta!I312,IFERROR(_xlfn.NUMBERVALUE(TRIM(SUBSTITUTE(Base_Bruta!I312,"R$","")),",","."),0)))</f>
        <v>255</v>
      </c>
      <c r="J312" s="6" t="n">
        <f aca="false">IF($A312="","",H312*I312)</f>
        <v>510</v>
      </c>
      <c r="K312" s="4" t="str">
        <f aca="false">IF($A312="","",TRIM(Base_Bruta!J312))</f>
        <v>Parceiro</v>
      </c>
      <c r="L312" s="4" t="str">
        <f aca="false">IF($A312="","",TRIM(Base_Bruta!K312))</f>
        <v>C00171</v>
      </c>
      <c r="M312" s="4" t="str">
        <f aca="false">IF($A312="","",_xlfn.XLOOKUP(LOWER(TRIM(Base_Bruta!L312)),DePara_Cidade!$A$2:$A$29,DePara_Cidade!$B$2:$B$29,"REVISAR"))</f>
        <v>Rio de Janeiro</v>
      </c>
      <c r="N312" s="4" t="str">
        <f aca="false">IF($A312="","",UPPER(TRIM(Base_Bruta!M312)))</f>
        <v>RJ</v>
      </c>
      <c r="O312" s="4" t="str">
        <f aca="false">IF($A312="","",_xlfn.XLOOKUP(LOWER(TRIM(Base_Bruta!N312)),DePara_Pais!$A$2:$A$9,DePara_Pais!$B$2:$B$9,"REVISAR"))</f>
        <v>Brasil</v>
      </c>
      <c r="P312" s="4" t="str">
        <f aca="false">IF($A312="","",IF(O312&lt;&gt;"Brasil","Turista Internacional",IF(M312=F312,"Local","Turista Nacional")))</f>
        <v>Turista Nacional</v>
      </c>
      <c r="Q312" s="7" t="n">
        <f aca="false">IF($A312="","",DATE(YEAR(B312),MONTH(B312),1))</f>
        <v>45901</v>
      </c>
      <c r="R312" s="4" t="str">
        <f aca="false">IF($A312="","",IF(COUNTIF($A$2:$A312,$A312)&gt;1,"Sim","Não"))</f>
        <v>Não</v>
      </c>
      <c r="S312" s="4" t="str">
        <f aca="false">IF(A312="","Descartar - Linha vazia",IF(R312="Sim","Descartar - Duplicado",IF(OR(H312&lt;=0,I312&lt;=0),"Descartar - Qtd/Valor inválido","OK")))</f>
        <v>OK</v>
      </c>
      <c r="T312" s="4" t="str">
        <f aca="false">Base_Bruta!P312</f>
        <v>vendas_SP.xlsx</v>
      </c>
    </row>
    <row r="313" customFormat="false" ht="15" hidden="false" customHeight="false" outlineLevel="0" collapsed="false">
      <c r="A313" s="4" t="str">
        <f aca="false">IF(Base_Bruta!A313="","",Base_Bruta!A313)</f>
        <v>SP-000228</v>
      </c>
      <c r="B313" s="5" t="n">
        <f aca="false">IF($A313="","",IF(ISNUMBER(Base_Bruta!B313),Base_Bruta!B313,IF(MID(Base_Bruta!B313,5,1)="-",DATE(VALUE(LEFT(Base_Bruta!B313,4)),VALUE(MID(Base_Bruta!B313,6,2)),VALUE(RIGHT(Base_Bruta!B313,2))),DATE(VALUE(RIGHT(Base_Bruta!B313,4)),VALUE(MID(Base_Bruta!B313,4,2)),VALUE(LEFT(Base_Bruta!B313,2))))))</f>
        <v>45916</v>
      </c>
      <c r="C313" s="5" t="n">
        <f aca="false">IF($A313="","",IF(ISNUMBER(Base_Bruta!C313),Base_Bruta!C313,IF(MID(Base_Bruta!C313,5,1)="-",DATE(VALUE(LEFT(Base_Bruta!C313,4)),VALUE(MID(Base_Bruta!C313,6,2)),VALUE(RIGHT(Base_Bruta!C313,2))),DATE(VALUE(RIGHT(Base_Bruta!C313,4)),VALUE(MID(Base_Bruta!C313,4,2)),VALUE(LEFT(Base_Bruta!C313,2))))))</f>
        <v>45976</v>
      </c>
      <c r="D313" s="4" t="str">
        <f aca="false">IF($A313="","",TRIM(Base_Bruta!D313))</f>
        <v>Festival Sonora SP 2025</v>
      </c>
      <c r="E313" s="4" t="str">
        <f aca="false">IF($A313="","",_xlfn.XLOOKUP(LOWER(TRIM(Base_Bruta!E313)),DePara_Categoria!$A$2:$A$9,DePara_Categoria!$B$2:$B$9,"REVISAR"))</f>
        <v>Festival</v>
      </c>
      <c r="F313" s="4" t="str">
        <f aca="false">IF($A313="","",_xlfn.XLOOKUP(LOWER(TRIM(Base_Bruta!F313)),DePara_Cidade!$A$2:$A$29,DePara_Cidade!$B$2:$B$29,"REVISAR"))</f>
        <v>São Paulo</v>
      </c>
      <c r="G313" s="4" t="str">
        <f aca="false">IF($A313="","",TRIM(Base_Bruta!G313))</f>
        <v>Inteira</v>
      </c>
      <c r="H313" s="4" t="n">
        <f aca="false">IF($A313="","",IF(ISNUMBER(Base_Bruta!H313),Base_Bruta!H313,IFERROR(_xlfn.NUMBERVALUE(TRIM(SUBSTITUTE(Base_Bruta!H313,"R$","")),",","."),0)))</f>
        <v>2</v>
      </c>
      <c r="I313" s="6" t="n">
        <f aca="false">IF($A313="","",IF(ISNUMBER(Base_Bruta!I313),Base_Bruta!I313,IFERROR(_xlfn.NUMBERVALUE(TRIM(SUBSTITUTE(Base_Bruta!I313,"R$","")),",","."),0)))</f>
        <v>970</v>
      </c>
      <c r="J313" s="6" t="n">
        <f aca="false">IF($A313="","",H313*I313)</f>
        <v>1940</v>
      </c>
      <c r="K313" s="4" t="str">
        <f aca="false">IF($A313="","",TRIM(Base_Bruta!J313))</f>
        <v>Site</v>
      </c>
      <c r="L313" s="4" t="str">
        <f aca="false">IF($A313="","",TRIM(Base_Bruta!K313))</f>
        <v>C01039</v>
      </c>
      <c r="M313" s="4" t="str">
        <f aca="false">IF($A313="","",_xlfn.XLOOKUP(LOWER(TRIM(Base_Bruta!L313)),DePara_Cidade!$A$2:$A$29,DePara_Cidade!$B$2:$B$29,"REVISAR"))</f>
        <v>São Paulo</v>
      </c>
      <c r="N313" s="4" t="str">
        <f aca="false">IF($A313="","",UPPER(TRIM(Base_Bruta!M313)))</f>
        <v>SP</v>
      </c>
      <c r="O313" s="4" t="str">
        <f aca="false">IF($A313="","",_xlfn.XLOOKUP(LOWER(TRIM(Base_Bruta!N313)),DePara_Pais!$A$2:$A$9,DePara_Pais!$B$2:$B$9,"REVISAR"))</f>
        <v>Brasil</v>
      </c>
      <c r="P313" s="4" t="str">
        <f aca="false">IF($A313="","",IF(O313&lt;&gt;"Brasil","Turista Internacional",IF(M313=F313,"Local","Turista Nacional")))</f>
        <v>Local</v>
      </c>
      <c r="Q313" s="7" t="n">
        <f aca="false">IF($A313="","",DATE(YEAR(B313),MONTH(B313),1))</f>
        <v>45901</v>
      </c>
      <c r="R313" s="4" t="str">
        <f aca="false">IF($A313="","",IF(COUNTIF($A$2:$A313,$A313)&gt;1,"Sim","Não"))</f>
        <v>Não</v>
      </c>
      <c r="S313" s="4" t="str">
        <f aca="false">IF(A313="","Descartar - Linha vazia",IF(R313="Sim","Descartar - Duplicado",IF(OR(H313&lt;=0,I313&lt;=0),"Descartar - Qtd/Valor inválido","OK")))</f>
        <v>OK</v>
      </c>
      <c r="T313" s="4" t="str">
        <f aca="false">Base_Bruta!P313</f>
        <v>vendas_SP.xlsx</v>
      </c>
    </row>
    <row r="314" customFormat="false" ht="15" hidden="false" customHeight="false" outlineLevel="0" collapsed="false">
      <c r="A314" s="4" t="str">
        <f aca="false">IF(Base_Bruta!A314="","",Base_Bruta!A314)</f>
        <v>SP-000464</v>
      </c>
      <c r="B314" s="5" t="n">
        <f aca="false">IF($A314="","",IF(ISNUMBER(Base_Bruta!B314),Base_Bruta!B314,IF(MID(Base_Bruta!B314,5,1)="-",DATE(VALUE(LEFT(Base_Bruta!B314,4)),VALUE(MID(Base_Bruta!B314,6,2)),VALUE(RIGHT(Base_Bruta!B314,2))),DATE(VALUE(RIGHT(Base_Bruta!B314,4)),VALUE(MID(Base_Bruta!B314,4,2)),VALUE(LEFT(Base_Bruta!B314,2))))))</f>
        <v>45916</v>
      </c>
      <c r="C314" s="5" t="n">
        <f aca="false">IF($A314="","",IF(ISNUMBER(Base_Bruta!C314),Base_Bruta!C314,IF(MID(Base_Bruta!C314,5,1)="-",DATE(VALUE(LEFT(Base_Bruta!C314,4)),VALUE(MID(Base_Bruta!C314,6,2)),VALUE(RIGHT(Base_Bruta!C314,2))),DATE(VALUE(RIGHT(Base_Bruta!C314,4)),VALUE(MID(Base_Bruta!C314,4,2)),VALUE(LEFT(Base_Bruta!C314,2))))))</f>
        <v>45934</v>
      </c>
      <c r="D314" s="4" t="str">
        <f aca="false">IF($A314="","",TRIM(Base_Bruta!D314))</f>
        <v>Turnê Internacional Pop - SP</v>
      </c>
      <c r="E314" s="4" t="str">
        <f aca="false">IF($A314="","",_xlfn.XLOOKUP(LOWER(TRIM(Base_Bruta!E314)),DePara_Categoria!$A$2:$A$9,DePara_Categoria!$B$2:$B$9,"REVISAR"))</f>
        <v>Show</v>
      </c>
      <c r="F314" s="4" t="str">
        <f aca="false">IF($A314="","",_xlfn.XLOOKUP(LOWER(TRIM(Base_Bruta!F314)),DePara_Cidade!$A$2:$A$29,DePara_Cidade!$B$2:$B$29,"REVISAR"))</f>
        <v>São Paulo</v>
      </c>
      <c r="G314" s="4" t="str">
        <f aca="false">IF($A314="","",TRIM(Base_Bruta!G314))</f>
        <v>Meia</v>
      </c>
      <c r="H314" s="4" t="n">
        <f aca="false">IF($A314="","",IF(ISNUMBER(Base_Bruta!H314),Base_Bruta!H314,IFERROR(_xlfn.NUMBERVALUE(TRIM(SUBSTITUTE(Base_Bruta!H314,"R$","")),",","."),0)))</f>
        <v>3</v>
      </c>
      <c r="I314" s="6" t="n">
        <f aca="false">IF($A314="","",IF(ISNUMBER(Base_Bruta!I314),Base_Bruta!I314,IFERROR(_xlfn.NUMBERVALUE(TRIM(SUBSTITUTE(Base_Bruta!I314,"R$","")),",","."),0)))</f>
        <v>290</v>
      </c>
      <c r="J314" s="6" t="n">
        <f aca="false">IF($A314="","",H314*I314)</f>
        <v>870</v>
      </c>
      <c r="K314" s="4" t="str">
        <f aca="false">IF($A314="","",TRIM(Base_Bruta!J314))</f>
        <v>Site</v>
      </c>
      <c r="L314" s="4" t="str">
        <f aca="false">IF($A314="","",TRIM(Base_Bruta!K314))</f>
        <v>C00586</v>
      </c>
      <c r="M314" s="4" t="str">
        <f aca="false">IF($A314="","",_xlfn.XLOOKUP(LOWER(TRIM(Base_Bruta!L314)),DePara_Cidade!$A$2:$A$29,DePara_Cidade!$B$2:$B$29,"REVISAR"))</f>
        <v>Salvador</v>
      </c>
      <c r="N314" s="4" t="str">
        <f aca="false">IF($A314="","",UPPER(TRIM(Base_Bruta!M314)))</f>
        <v>BA</v>
      </c>
      <c r="O314" s="4" t="str">
        <f aca="false">IF($A314="","",_xlfn.XLOOKUP(LOWER(TRIM(Base_Bruta!N314)),DePara_Pais!$A$2:$A$9,DePara_Pais!$B$2:$B$9,"REVISAR"))</f>
        <v>Brasil</v>
      </c>
      <c r="P314" s="4" t="str">
        <f aca="false">IF($A314="","",IF(O314&lt;&gt;"Brasil","Turista Internacional",IF(M314=F314,"Local","Turista Nacional")))</f>
        <v>Turista Nacional</v>
      </c>
      <c r="Q314" s="7" t="n">
        <f aca="false">IF($A314="","",DATE(YEAR(B314),MONTH(B314),1))</f>
        <v>45901</v>
      </c>
      <c r="R314" s="4" t="str">
        <f aca="false">IF($A314="","",IF(COUNTIF($A$2:$A314,$A314)&gt;1,"Sim","Não"))</f>
        <v>Não</v>
      </c>
      <c r="S314" s="4" t="str">
        <f aca="false">IF(A314="","Descartar - Linha vazia",IF(R314="Sim","Descartar - Duplicado",IF(OR(H314&lt;=0,I314&lt;=0),"Descartar - Qtd/Valor inválido","OK")))</f>
        <v>OK</v>
      </c>
      <c r="T314" s="4" t="str">
        <f aca="false">Base_Bruta!P314</f>
        <v>vendas_SP.xlsx</v>
      </c>
    </row>
    <row r="315" customFormat="false" ht="15" hidden="false" customHeight="false" outlineLevel="0" collapsed="false">
      <c r="A315" s="4" t="str">
        <f aca="false">IF(Base_Bruta!A315="","",Base_Bruta!A315)</f>
        <v>SP-000733</v>
      </c>
      <c r="B315" s="5" t="n">
        <f aca="false">IF($A315="","",IF(ISNUMBER(Base_Bruta!B315),Base_Bruta!B315,IF(MID(Base_Bruta!B315,5,1)="-",DATE(VALUE(LEFT(Base_Bruta!B315,4)),VALUE(MID(Base_Bruta!B315,6,2)),VALUE(RIGHT(Base_Bruta!B315,2))),DATE(VALUE(RIGHT(Base_Bruta!B315,4)),VALUE(MID(Base_Bruta!B315,4,2)),VALUE(LEFT(Base_Bruta!B315,2))))))</f>
        <v>45916</v>
      </c>
      <c r="C315" s="5" t="n">
        <f aca="false">IF($A315="","",IF(ISNUMBER(Base_Bruta!C315),Base_Bruta!C315,IF(MID(Base_Bruta!C315,5,1)="-",DATE(VALUE(LEFT(Base_Bruta!C315,4)),VALUE(MID(Base_Bruta!C315,6,2)),VALUE(RIGHT(Base_Bruta!C315,2))),DATE(VALUE(RIGHT(Base_Bruta!C315,4)),VALUE(MID(Base_Bruta!C315,4,2)),VALUE(LEFT(Base_Bruta!C315,2))))))</f>
        <v>45917</v>
      </c>
      <c r="D315" s="4" t="str">
        <f aca="false">IF($A315="","",TRIM(Base_Bruta!D315))</f>
        <v>Cinema Paulista - Sessões</v>
      </c>
      <c r="E315" s="4" t="str">
        <f aca="false">IF($A315="","",_xlfn.XLOOKUP(LOWER(TRIM(Base_Bruta!E315)),DePara_Categoria!$A$2:$A$9,DePara_Categoria!$B$2:$B$9,"REVISAR"))</f>
        <v>Cinema</v>
      </c>
      <c r="F315" s="4" t="str">
        <f aca="false">IF($A315="","",_xlfn.XLOOKUP(LOWER(TRIM(Base_Bruta!F315)),DePara_Cidade!$A$2:$A$29,DePara_Cidade!$B$2:$B$29,"REVISAR"))</f>
        <v>São Paulo</v>
      </c>
      <c r="G315" s="4" t="str">
        <f aca="false">IF($A315="","",TRIM(Base_Bruta!G315))</f>
        <v>Inteira</v>
      </c>
      <c r="H315" s="4" t="n">
        <f aca="false">IF($A315="","",IF(ISNUMBER(Base_Bruta!H315),Base_Bruta!H315,IFERROR(_xlfn.NUMBERVALUE(TRIM(SUBSTITUTE(Base_Bruta!H315,"R$","")),",","."),0)))</f>
        <v>3</v>
      </c>
      <c r="I315" s="6" t="n">
        <f aca="false">IF($A315="","",IF(ISNUMBER(Base_Bruta!I315),Base_Bruta!I315,IFERROR(_xlfn.NUMBERVALUE(TRIM(SUBSTITUTE(Base_Bruta!I315,"R$","")),",","."),0)))</f>
        <v>45</v>
      </c>
      <c r="J315" s="6" t="n">
        <f aca="false">IF($A315="","",H315*I315)</f>
        <v>135</v>
      </c>
      <c r="K315" s="4" t="str">
        <f aca="false">IF($A315="","",TRIM(Base_Bruta!J315))</f>
        <v>Site</v>
      </c>
      <c r="L315" s="4" t="str">
        <f aca="false">IF($A315="","",TRIM(Base_Bruta!K315))</f>
        <v>C01401</v>
      </c>
      <c r="M315" s="4" t="str">
        <f aca="false">IF($A315="","",_xlfn.XLOOKUP(LOWER(TRIM(Base_Bruta!L315)),DePara_Cidade!$A$2:$A$29,DePara_Cidade!$B$2:$B$29,"REVISAR"))</f>
        <v>São Paulo</v>
      </c>
      <c r="N315" s="4" t="str">
        <f aca="false">IF($A315="","",UPPER(TRIM(Base_Bruta!M315)))</f>
        <v>SP</v>
      </c>
      <c r="O315" s="4" t="str">
        <f aca="false">IF($A315="","",_xlfn.XLOOKUP(LOWER(TRIM(Base_Bruta!N315)),DePara_Pais!$A$2:$A$9,DePara_Pais!$B$2:$B$9,"REVISAR"))</f>
        <v>Brasil</v>
      </c>
      <c r="P315" s="4" t="str">
        <f aca="false">IF($A315="","",IF(O315&lt;&gt;"Brasil","Turista Internacional",IF(M315=F315,"Local","Turista Nacional")))</f>
        <v>Local</v>
      </c>
      <c r="Q315" s="7" t="n">
        <f aca="false">IF($A315="","",DATE(YEAR(B315),MONTH(B315),1))</f>
        <v>45901</v>
      </c>
      <c r="R315" s="4" t="str">
        <f aca="false">IF($A315="","",IF(COUNTIF($A$2:$A315,$A315)&gt;1,"Sim","Não"))</f>
        <v>Não</v>
      </c>
      <c r="S315" s="4" t="str">
        <f aca="false">IF(A315="","Descartar - Linha vazia",IF(R315="Sim","Descartar - Duplicado",IF(OR(H315&lt;=0,I315&lt;=0),"Descartar - Qtd/Valor inválido","OK")))</f>
        <v>OK</v>
      </c>
      <c r="T315" s="4" t="str">
        <f aca="false">Base_Bruta!P315</f>
        <v>vendas_SP.xlsx</v>
      </c>
    </row>
    <row r="316" customFormat="false" ht="15" hidden="false" customHeight="false" outlineLevel="0" collapsed="false">
      <c r="A316" s="4" t="str">
        <f aca="false">IF(Base_Bruta!A316="","",Base_Bruta!A316)</f>
        <v>SP-000098</v>
      </c>
      <c r="B316" s="5" t="n">
        <f aca="false">IF($A316="","",IF(ISNUMBER(Base_Bruta!B316),Base_Bruta!B316,IF(MID(Base_Bruta!B316,5,1)="-",DATE(VALUE(LEFT(Base_Bruta!B316,4)),VALUE(MID(Base_Bruta!B316,6,2)),VALUE(RIGHT(Base_Bruta!B316,2))),DATE(VALUE(RIGHT(Base_Bruta!B316,4)),VALUE(MID(Base_Bruta!B316,4,2)),VALUE(LEFT(Base_Bruta!B316,2))))))</f>
        <v>45917</v>
      </c>
      <c r="C316" s="5" t="n">
        <f aca="false">IF($A316="","",IF(ISNUMBER(Base_Bruta!C316),Base_Bruta!C316,IF(MID(Base_Bruta!C316,5,1)="-",DATE(VALUE(LEFT(Base_Bruta!C316,4)),VALUE(MID(Base_Bruta!C316,6,2)),VALUE(RIGHT(Base_Bruta!C316,2))),DATE(VALUE(RIGHT(Base_Bruta!C316,4)),VALUE(MID(Base_Bruta!C316,4,2)),VALUE(LEFT(Base_Bruta!C316,2))))))</f>
        <v>45976</v>
      </c>
      <c r="D316" s="4" t="str">
        <f aca="false">IF($A316="","",TRIM(Base_Bruta!D316))</f>
        <v>Festival Sonora SP 2025</v>
      </c>
      <c r="E316" s="4" t="str">
        <f aca="false">IF($A316="","",_xlfn.XLOOKUP(LOWER(TRIM(Base_Bruta!E316)),DePara_Categoria!$A$2:$A$9,DePara_Categoria!$B$2:$B$9,"REVISAR"))</f>
        <v>Festival</v>
      </c>
      <c r="F316" s="4" t="str">
        <f aca="false">IF($A316="","",_xlfn.XLOOKUP(LOWER(TRIM(Base_Bruta!F316)),DePara_Cidade!$A$2:$A$29,DePara_Cidade!$B$2:$B$29,"REVISAR"))</f>
        <v>São Paulo</v>
      </c>
      <c r="G316" s="4" t="str">
        <f aca="false">IF($A316="","",TRIM(Base_Bruta!G316))</f>
        <v>VIP</v>
      </c>
      <c r="H316" s="4" t="n">
        <f aca="false">IF($A316="","",IF(ISNUMBER(Base_Bruta!H316),Base_Bruta!H316,IFERROR(_xlfn.NUMBERVALUE(TRIM(SUBSTITUTE(Base_Bruta!H316,"R$","")),",","."),0)))</f>
        <v>2</v>
      </c>
      <c r="I316" s="6" t="n">
        <f aca="false">IF($A316="","",IF(ISNUMBER(Base_Bruta!I316),Base_Bruta!I316,IFERROR(_xlfn.NUMBERVALUE(TRIM(SUBSTITUTE(Base_Bruta!I316,"R$","")),",","."),0)))</f>
        <v>2110</v>
      </c>
      <c r="J316" s="6" t="n">
        <f aca="false">IF($A316="","",H316*I316)</f>
        <v>4220</v>
      </c>
      <c r="K316" s="4" t="str">
        <f aca="false">IF($A316="","",TRIM(Base_Bruta!J316))</f>
        <v>Bilheteria</v>
      </c>
      <c r="L316" s="4" t="str">
        <f aca="false">IF($A316="","",TRIM(Base_Bruta!K316))</f>
        <v>C01759</v>
      </c>
      <c r="M316" s="4" t="str">
        <f aca="false">IF($A316="","",_xlfn.XLOOKUP(LOWER(TRIM(Base_Bruta!L316)),DePara_Cidade!$A$2:$A$29,DePara_Cidade!$B$2:$B$29,"REVISAR"))</f>
        <v>Santos</v>
      </c>
      <c r="N316" s="4" t="str">
        <f aca="false">IF($A316="","",UPPER(TRIM(Base_Bruta!M316)))</f>
        <v>SP</v>
      </c>
      <c r="O316" s="4" t="str">
        <f aca="false">IF($A316="","",_xlfn.XLOOKUP(LOWER(TRIM(Base_Bruta!N316)),DePara_Pais!$A$2:$A$9,DePara_Pais!$B$2:$B$9,"REVISAR"))</f>
        <v>Brasil</v>
      </c>
      <c r="P316" s="4" t="str">
        <f aca="false">IF($A316="","",IF(O316&lt;&gt;"Brasil","Turista Internacional",IF(M316=F316,"Local","Turista Nacional")))</f>
        <v>Turista Nacional</v>
      </c>
      <c r="Q316" s="7" t="n">
        <f aca="false">IF($A316="","",DATE(YEAR(B316),MONTH(B316),1))</f>
        <v>45901</v>
      </c>
      <c r="R316" s="4" t="str">
        <f aca="false">IF($A316="","",IF(COUNTIF($A$2:$A316,$A316)&gt;1,"Sim","Não"))</f>
        <v>Não</v>
      </c>
      <c r="S316" s="4" t="str">
        <f aca="false">IF(A316="","Descartar - Linha vazia",IF(R316="Sim","Descartar - Duplicado",IF(OR(H316&lt;=0,I316&lt;=0),"Descartar - Qtd/Valor inválido","OK")))</f>
        <v>OK</v>
      </c>
      <c r="T316" s="4" t="str">
        <f aca="false">Base_Bruta!P316</f>
        <v>vendas_SP.xlsx</v>
      </c>
    </row>
    <row r="317" customFormat="false" ht="15" hidden="false" customHeight="false" outlineLevel="0" collapsed="false">
      <c r="A317" s="4" t="str">
        <f aca="false">IF(Base_Bruta!A317="","",Base_Bruta!A317)</f>
        <v>SP-000590</v>
      </c>
      <c r="B317" s="5" t="n">
        <f aca="false">IF($A317="","",IF(ISNUMBER(Base_Bruta!B317),Base_Bruta!B317,IF(MID(Base_Bruta!B317,5,1)="-",DATE(VALUE(LEFT(Base_Bruta!B317,4)),VALUE(MID(Base_Bruta!B317,6,2)),VALUE(RIGHT(Base_Bruta!B317,2))),DATE(VALUE(RIGHT(Base_Bruta!B317,4)),VALUE(MID(Base_Bruta!B317,4,2)),VALUE(LEFT(Base_Bruta!B317,2))))))</f>
        <v>45917</v>
      </c>
      <c r="C317" s="5" t="n">
        <f aca="false">IF($A317="","",IF(ISNUMBER(Base_Bruta!C317),Base_Bruta!C317,IF(MID(Base_Bruta!C317,5,1)="-",DATE(VALUE(LEFT(Base_Bruta!C317,4)),VALUE(MID(Base_Bruta!C317,6,2)),VALUE(RIGHT(Base_Bruta!C317,2))),DATE(VALUE(RIGHT(Base_Bruta!C317,4)),VALUE(MID(Base_Bruta!C317,4,2)),VALUE(LEFT(Base_Bruta!C317,2))))))</f>
        <v>45934</v>
      </c>
      <c r="D317" s="4" t="str">
        <f aca="false">IF($A317="","",TRIM(Base_Bruta!D317))</f>
        <v>Turnê Internacional Pop - SP</v>
      </c>
      <c r="E317" s="4" t="str">
        <f aca="false">IF($A317="","",_xlfn.XLOOKUP(LOWER(TRIM(Base_Bruta!E317)),DePara_Categoria!$A$2:$A$9,DePara_Categoria!$B$2:$B$9,"REVISAR"))</f>
        <v>Show</v>
      </c>
      <c r="F317" s="4" t="str">
        <f aca="false">IF($A317="","",_xlfn.XLOOKUP(LOWER(TRIM(Base_Bruta!F317)),DePara_Cidade!$A$2:$A$29,DePara_Cidade!$B$2:$B$29,"REVISAR"))</f>
        <v>São Paulo</v>
      </c>
      <c r="G317" s="4" t="str">
        <f aca="false">IF($A317="","",TRIM(Base_Bruta!G317))</f>
        <v>Meia</v>
      </c>
      <c r="H317" s="4" t="n">
        <f aca="false">IF($A317="","",IF(ISNUMBER(Base_Bruta!H317),Base_Bruta!H317,IFERROR(_xlfn.NUMBERVALUE(TRIM(SUBSTITUTE(Base_Bruta!H317,"R$","")),",","."),0)))</f>
        <v>2</v>
      </c>
      <c r="I317" s="6" t="n">
        <f aca="false">IF($A317="","",IF(ISNUMBER(Base_Bruta!I317),Base_Bruta!I317,IFERROR(_xlfn.NUMBERVALUE(TRIM(SUBSTITUTE(Base_Bruta!I317,"R$","")),",","."),0)))</f>
        <v>232.5</v>
      </c>
      <c r="J317" s="6" t="n">
        <f aca="false">IF($A317="","",H317*I317)</f>
        <v>465</v>
      </c>
      <c r="K317" s="4" t="str">
        <f aca="false">IF($A317="","",TRIM(Base_Bruta!J317))</f>
        <v>Site</v>
      </c>
      <c r="L317" s="4" t="str">
        <f aca="false">IF($A317="","",TRIM(Base_Bruta!K317))</f>
        <v>C00738</v>
      </c>
      <c r="M317" s="4" t="str">
        <f aca="false">IF($A317="","",_xlfn.XLOOKUP(LOWER(TRIM(Base_Bruta!L317)),DePara_Cidade!$A$2:$A$29,DePara_Cidade!$B$2:$B$29,"REVISAR"))</f>
        <v>São Paulo</v>
      </c>
      <c r="N317" s="4" t="str">
        <f aca="false">IF($A317="","",UPPER(TRIM(Base_Bruta!M317)))</f>
        <v>SP</v>
      </c>
      <c r="O317" s="4" t="str">
        <f aca="false">IF($A317="","",_xlfn.XLOOKUP(LOWER(TRIM(Base_Bruta!N317)),DePara_Pais!$A$2:$A$9,DePara_Pais!$B$2:$B$9,"REVISAR"))</f>
        <v>Brasil</v>
      </c>
      <c r="P317" s="4" t="str">
        <f aca="false">IF($A317="","",IF(O317&lt;&gt;"Brasil","Turista Internacional",IF(M317=F317,"Local","Turista Nacional")))</f>
        <v>Local</v>
      </c>
      <c r="Q317" s="7" t="n">
        <f aca="false">IF($A317="","",DATE(YEAR(B317),MONTH(B317),1))</f>
        <v>45901</v>
      </c>
      <c r="R317" s="4" t="str">
        <f aca="false">IF($A317="","",IF(COUNTIF($A$2:$A317,$A317)&gt;1,"Sim","Não"))</f>
        <v>Não</v>
      </c>
      <c r="S317" s="4" t="str">
        <f aca="false">IF(A317="","Descartar - Linha vazia",IF(R317="Sim","Descartar - Duplicado",IF(OR(H317&lt;=0,I317&lt;=0),"Descartar - Qtd/Valor inválido","OK")))</f>
        <v>OK</v>
      </c>
      <c r="T317" s="4" t="str">
        <f aca="false">Base_Bruta!P317</f>
        <v>vendas_SP.xlsx</v>
      </c>
    </row>
    <row r="318" customFormat="false" ht="15" hidden="false" customHeight="false" outlineLevel="0" collapsed="false">
      <c r="A318" s="4" t="str">
        <f aca="false">IF(Base_Bruta!A318="","",Base_Bruta!A318)</f>
        <v>SP-000760</v>
      </c>
      <c r="B318" s="5" t="n">
        <f aca="false">IF($A318="","",IF(ISNUMBER(Base_Bruta!B318),Base_Bruta!B318,IF(MID(Base_Bruta!B318,5,1)="-",DATE(VALUE(LEFT(Base_Bruta!B318,4)),VALUE(MID(Base_Bruta!B318,6,2)),VALUE(RIGHT(Base_Bruta!B318,2))),DATE(VALUE(RIGHT(Base_Bruta!B318,4)),VALUE(MID(Base_Bruta!B318,4,2)),VALUE(LEFT(Base_Bruta!B318,2))))))</f>
        <v>45917</v>
      </c>
      <c r="C318" s="5" t="n">
        <f aca="false">IF($A318="","",IF(ISNUMBER(Base_Bruta!C318),Base_Bruta!C318,IF(MID(Base_Bruta!C318,5,1)="-",DATE(VALUE(LEFT(Base_Bruta!C318,4)),VALUE(MID(Base_Bruta!C318,6,2)),VALUE(RIGHT(Base_Bruta!C318,2))),DATE(VALUE(RIGHT(Base_Bruta!C318,4)),VALUE(MID(Base_Bruta!C318,4,2)),VALUE(LEFT(Base_Bruta!C318,2))))))</f>
        <v>45917</v>
      </c>
      <c r="D318" s="4" t="str">
        <f aca="false">IF($A318="","",TRIM(Base_Bruta!D318))</f>
        <v>Cinema Paulista - Sessões</v>
      </c>
      <c r="E318" s="4" t="str">
        <f aca="false">IF($A318="","",_xlfn.XLOOKUP(LOWER(TRIM(Base_Bruta!E318)),DePara_Categoria!$A$2:$A$9,DePara_Categoria!$B$2:$B$9,"REVISAR"))</f>
        <v>Cinema</v>
      </c>
      <c r="F318" s="4" t="str">
        <f aca="false">IF($A318="","",_xlfn.XLOOKUP(LOWER(TRIM(Base_Bruta!F318)),DePara_Cidade!$A$2:$A$29,DePara_Cidade!$B$2:$B$29,"REVISAR"))</f>
        <v>São Paulo</v>
      </c>
      <c r="G318" s="4" t="str">
        <f aca="false">IF($A318="","",TRIM(Base_Bruta!G318))</f>
        <v>Inteira</v>
      </c>
      <c r="H318" s="4" t="n">
        <f aca="false">IF($A318="","",IF(ISNUMBER(Base_Bruta!H318),Base_Bruta!H318,IFERROR(_xlfn.NUMBERVALUE(TRIM(SUBSTITUTE(Base_Bruta!H318,"R$","")),",","."),0)))</f>
        <v>1</v>
      </c>
      <c r="I318" s="6" t="n">
        <f aca="false">IF($A318="","",IF(ISNUMBER(Base_Bruta!I318),Base_Bruta!I318,IFERROR(_xlfn.NUMBERVALUE(TRIM(SUBSTITUTE(Base_Bruta!I318,"R$","")),",","."),0)))</f>
        <v>35</v>
      </c>
      <c r="J318" s="6" t="n">
        <f aca="false">IF($A318="","",H318*I318)</f>
        <v>35</v>
      </c>
      <c r="K318" s="4" t="str">
        <f aca="false">IF($A318="","",TRIM(Base_Bruta!J318))</f>
        <v>App</v>
      </c>
      <c r="L318" s="4" t="str">
        <f aca="false">IF($A318="","",TRIM(Base_Bruta!K318))</f>
        <v>C00334</v>
      </c>
      <c r="M318" s="4" t="str">
        <f aca="false">IF($A318="","",_xlfn.XLOOKUP(LOWER(TRIM(Base_Bruta!L318)),DePara_Cidade!$A$2:$A$29,DePara_Cidade!$B$2:$B$29,"REVISAR"))</f>
        <v>São Paulo</v>
      </c>
      <c r="N318" s="4" t="str">
        <f aca="false">IF($A318="","",UPPER(TRIM(Base_Bruta!M318)))</f>
        <v>SP</v>
      </c>
      <c r="O318" s="4" t="str">
        <f aca="false">IF($A318="","",_xlfn.XLOOKUP(LOWER(TRIM(Base_Bruta!N318)),DePara_Pais!$A$2:$A$9,DePara_Pais!$B$2:$B$9,"REVISAR"))</f>
        <v>Brasil</v>
      </c>
      <c r="P318" s="4" t="str">
        <f aca="false">IF($A318="","",IF(O318&lt;&gt;"Brasil","Turista Internacional",IF(M318=F318,"Local","Turista Nacional")))</f>
        <v>Local</v>
      </c>
      <c r="Q318" s="7" t="n">
        <f aca="false">IF($A318="","",DATE(YEAR(B318),MONTH(B318),1))</f>
        <v>45901</v>
      </c>
      <c r="R318" s="4" t="str">
        <f aca="false">IF($A318="","",IF(COUNTIF($A$2:$A318,$A318)&gt;1,"Sim","Não"))</f>
        <v>Não</v>
      </c>
      <c r="S318" s="4" t="str">
        <f aca="false">IF(A318="","Descartar - Linha vazia",IF(R318="Sim","Descartar - Duplicado",IF(OR(H318&lt;=0,I318&lt;=0),"Descartar - Qtd/Valor inválido","OK")))</f>
        <v>OK</v>
      </c>
      <c r="T318" s="4" t="str">
        <f aca="false">Base_Bruta!P318</f>
        <v>vendas_SP.xlsx</v>
      </c>
    </row>
    <row r="319" customFormat="false" ht="15" hidden="false" customHeight="false" outlineLevel="0" collapsed="false">
      <c r="A319" s="4" t="str">
        <f aca="false">IF(Base_Bruta!A319="","",Base_Bruta!A319)</f>
        <v>SP-000150</v>
      </c>
      <c r="B319" s="5" t="n">
        <f aca="false">IF($A319="","",IF(ISNUMBER(Base_Bruta!B319),Base_Bruta!B319,IF(MID(Base_Bruta!B319,5,1)="-",DATE(VALUE(LEFT(Base_Bruta!B319,4)),VALUE(MID(Base_Bruta!B319,6,2)),VALUE(RIGHT(Base_Bruta!B319,2))),DATE(VALUE(RIGHT(Base_Bruta!B319,4)),VALUE(MID(Base_Bruta!B319,4,2)),VALUE(LEFT(Base_Bruta!B319,2))))))</f>
        <v>45919</v>
      </c>
      <c r="C319" s="5" t="n">
        <f aca="false">IF($A319="","",IF(ISNUMBER(Base_Bruta!C319),Base_Bruta!C319,IF(MID(Base_Bruta!C319,5,1)="-",DATE(VALUE(LEFT(Base_Bruta!C319,4)),VALUE(MID(Base_Bruta!C319,6,2)),VALUE(RIGHT(Base_Bruta!C319,2))),DATE(VALUE(RIGHT(Base_Bruta!C319,4)),VALUE(MID(Base_Bruta!C319,4,2)),VALUE(LEFT(Base_Bruta!C319,2))))))</f>
        <v>45976</v>
      </c>
      <c r="D319" s="4" t="str">
        <f aca="false">IF($A319="","",TRIM(Base_Bruta!D319))</f>
        <v>Festival Sonora SP 2025</v>
      </c>
      <c r="E319" s="4" t="str">
        <f aca="false">IF($A319="","",_xlfn.XLOOKUP(LOWER(TRIM(Base_Bruta!E319)),DePara_Categoria!$A$2:$A$9,DePara_Categoria!$B$2:$B$9,"REVISAR"))</f>
        <v>Festival</v>
      </c>
      <c r="F319" s="4" t="str">
        <f aca="false">IF($A319="","",_xlfn.XLOOKUP(LOWER(TRIM(Base_Bruta!F319)),DePara_Cidade!$A$2:$A$29,DePara_Cidade!$B$2:$B$29,"REVISAR"))</f>
        <v>São Paulo</v>
      </c>
      <c r="G319" s="4" t="str">
        <f aca="false">IF($A319="","",TRIM(Base_Bruta!G319))</f>
        <v>Inteira</v>
      </c>
      <c r="H319" s="4" t="n">
        <f aca="false">IF($A319="","",IF(ISNUMBER(Base_Bruta!H319),Base_Bruta!H319,IFERROR(_xlfn.NUMBERVALUE(TRIM(SUBSTITUTE(Base_Bruta!H319,"R$","")),",","."),0)))</f>
        <v>1</v>
      </c>
      <c r="I319" s="6" t="n">
        <f aca="false">IF($A319="","",IF(ISNUMBER(Base_Bruta!I319),Base_Bruta!I319,IFERROR(_xlfn.NUMBERVALUE(TRIM(SUBSTITUTE(Base_Bruta!I319,"R$","")),",","."),0)))</f>
        <v>760</v>
      </c>
      <c r="J319" s="6" t="n">
        <f aca="false">IF($A319="","",H319*I319)</f>
        <v>760</v>
      </c>
      <c r="K319" s="4" t="str">
        <f aca="false">IF($A319="","",TRIM(Base_Bruta!J319))</f>
        <v>Site</v>
      </c>
      <c r="L319" s="4" t="str">
        <f aca="false">IF($A319="","",TRIM(Base_Bruta!K319))</f>
        <v>C02219</v>
      </c>
      <c r="M319" s="4" t="str">
        <f aca="false">IF($A319="","",_xlfn.XLOOKUP(LOWER(TRIM(Base_Bruta!L319)),DePara_Cidade!$A$2:$A$29,DePara_Cidade!$B$2:$B$29,"REVISAR"))</f>
        <v>Campinas</v>
      </c>
      <c r="N319" s="4" t="str">
        <f aca="false">IF($A319="","",UPPER(TRIM(Base_Bruta!M319)))</f>
        <v>SP</v>
      </c>
      <c r="O319" s="4" t="str">
        <f aca="false">IF($A319="","",_xlfn.XLOOKUP(LOWER(TRIM(Base_Bruta!N319)),DePara_Pais!$A$2:$A$9,DePara_Pais!$B$2:$B$9,"REVISAR"))</f>
        <v>Brasil</v>
      </c>
      <c r="P319" s="4" t="str">
        <f aca="false">IF($A319="","",IF(O319&lt;&gt;"Brasil","Turista Internacional",IF(M319=F319,"Local","Turista Nacional")))</f>
        <v>Turista Nacional</v>
      </c>
      <c r="Q319" s="7" t="n">
        <f aca="false">IF($A319="","",DATE(YEAR(B319),MONTH(B319),1))</f>
        <v>45901</v>
      </c>
      <c r="R319" s="4" t="str">
        <f aca="false">IF($A319="","",IF(COUNTIF($A$2:$A319,$A319)&gt;1,"Sim","Não"))</f>
        <v>Não</v>
      </c>
      <c r="S319" s="4" t="str">
        <f aca="false">IF(A319="","Descartar - Linha vazia",IF(R319="Sim","Descartar - Duplicado",IF(OR(H319&lt;=0,I319&lt;=0),"Descartar - Qtd/Valor inválido","OK")))</f>
        <v>OK</v>
      </c>
      <c r="T319" s="4" t="str">
        <f aca="false">Base_Bruta!P319</f>
        <v>vendas_SP.xlsx</v>
      </c>
    </row>
    <row r="320" customFormat="false" ht="15" hidden="false" customHeight="false" outlineLevel="0" collapsed="false">
      <c r="A320" s="4" t="str">
        <f aca="false">IF(Base_Bruta!A320="","",Base_Bruta!A320)</f>
        <v>SP-000578</v>
      </c>
      <c r="B320" s="5" t="n">
        <f aca="false">IF($A320="","",IF(ISNUMBER(Base_Bruta!B320),Base_Bruta!B320,IF(MID(Base_Bruta!B320,5,1)="-",DATE(VALUE(LEFT(Base_Bruta!B320,4)),VALUE(MID(Base_Bruta!B320,6,2)),VALUE(RIGHT(Base_Bruta!B320,2))),DATE(VALUE(RIGHT(Base_Bruta!B320,4)),VALUE(MID(Base_Bruta!B320,4,2)),VALUE(LEFT(Base_Bruta!B320,2))))))</f>
        <v>45919</v>
      </c>
      <c r="C320" s="5" t="n">
        <f aca="false">IF($A320="","",IF(ISNUMBER(Base_Bruta!C320),Base_Bruta!C320,IF(MID(Base_Bruta!C320,5,1)="-",DATE(VALUE(LEFT(Base_Bruta!C320,4)),VALUE(MID(Base_Bruta!C320,6,2)),VALUE(RIGHT(Base_Bruta!C320,2))),DATE(VALUE(RIGHT(Base_Bruta!C320,4)),VALUE(MID(Base_Bruta!C320,4,2)),VALUE(LEFT(Base_Bruta!C320,2))))))</f>
        <v>45934</v>
      </c>
      <c r="D320" s="4" t="str">
        <f aca="false">IF($A320="","",TRIM(Base_Bruta!D320))</f>
        <v>Turnê Internacional Pop - SP</v>
      </c>
      <c r="E320" s="4" t="str">
        <f aca="false">IF($A320="","",_xlfn.XLOOKUP(LOWER(TRIM(Base_Bruta!E320)),DePara_Categoria!$A$2:$A$9,DePara_Categoria!$B$2:$B$9,"REVISAR"))</f>
        <v>Show</v>
      </c>
      <c r="F320" s="4" t="str">
        <f aca="false">IF($A320="","",_xlfn.XLOOKUP(LOWER(TRIM(Base_Bruta!F320)),DePara_Cidade!$A$2:$A$29,DePara_Cidade!$B$2:$B$29,"REVISAR"))</f>
        <v>São Paulo</v>
      </c>
      <c r="G320" s="4" t="str">
        <f aca="false">IF($A320="","",TRIM(Base_Bruta!G320))</f>
        <v>Inteira</v>
      </c>
      <c r="H320" s="4" t="n">
        <f aca="false">IF($A320="","",IF(ISNUMBER(Base_Bruta!H320),Base_Bruta!H320,IFERROR(_xlfn.NUMBERVALUE(TRIM(SUBSTITUTE(Base_Bruta!H320,"R$","")),",","."),0)))</f>
        <v>1</v>
      </c>
      <c r="I320" s="6" t="n">
        <f aca="false">IF($A320="","",IF(ISNUMBER(Base_Bruta!I320),Base_Bruta!I320,IFERROR(_xlfn.NUMBERVALUE(TRIM(SUBSTITUTE(Base_Bruta!I320,"R$","")),",","."),0)))</f>
        <v>475</v>
      </c>
      <c r="J320" s="6" t="n">
        <f aca="false">IF($A320="","",H320*I320)</f>
        <v>475</v>
      </c>
      <c r="K320" s="4" t="str">
        <f aca="false">IF($A320="","",TRIM(Base_Bruta!J320))</f>
        <v>App</v>
      </c>
      <c r="L320" s="4" t="str">
        <f aca="false">IF($A320="","",TRIM(Base_Bruta!K320))</f>
        <v>C00719</v>
      </c>
      <c r="M320" s="4" t="str">
        <f aca="false">IF($A320="","",_xlfn.XLOOKUP(LOWER(TRIM(Base_Bruta!L320)),DePara_Cidade!$A$2:$A$29,DePara_Cidade!$B$2:$B$29,"REVISAR"))</f>
        <v>São Paulo</v>
      </c>
      <c r="N320" s="4" t="str">
        <f aca="false">IF($A320="","",UPPER(TRIM(Base_Bruta!M320)))</f>
        <v>SP</v>
      </c>
      <c r="O320" s="4" t="str">
        <f aca="false">IF($A320="","",_xlfn.XLOOKUP(LOWER(TRIM(Base_Bruta!N320)),DePara_Pais!$A$2:$A$9,DePara_Pais!$B$2:$B$9,"REVISAR"))</f>
        <v>Brasil</v>
      </c>
      <c r="P320" s="4" t="str">
        <f aca="false">IF($A320="","",IF(O320&lt;&gt;"Brasil","Turista Internacional",IF(M320=F320,"Local","Turista Nacional")))</f>
        <v>Local</v>
      </c>
      <c r="Q320" s="7" t="n">
        <f aca="false">IF($A320="","",DATE(YEAR(B320),MONTH(B320),1))</f>
        <v>45901</v>
      </c>
      <c r="R320" s="4" t="str">
        <f aca="false">IF($A320="","",IF(COUNTIF($A$2:$A320,$A320)&gt;1,"Sim","Não"))</f>
        <v>Não</v>
      </c>
      <c r="S320" s="4" t="str">
        <f aca="false">IF(A320="","Descartar - Linha vazia",IF(R320="Sim","Descartar - Duplicado",IF(OR(H320&lt;=0,I320&lt;=0),"Descartar - Qtd/Valor inválido","OK")))</f>
        <v>OK</v>
      </c>
      <c r="T320" s="4" t="str">
        <f aca="false">Base_Bruta!P320</f>
        <v>vendas_SP.xlsx</v>
      </c>
    </row>
    <row r="321" customFormat="false" ht="15" hidden="false" customHeight="false" outlineLevel="0" collapsed="false">
      <c r="A321" s="4" t="str">
        <f aca="false">IF(Base_Bruta!A321="","",Base_Bruta!A321)</f>
        <v>SP-000036</v>
      </c>
      <c r="B321" s="5" t="n">
        <f aca="false">IF($A321="","",IF(ISNUMBER(Base_Bruta!B321),Base_Bruta!B321,IF(MID(Base_Bruta!B321,5,1)="-",DATE(VALUE(LEFT(Base_Bruta!B321,4)),VALUE(MID(Base_Bruta!B321,6,2)),VALUE(RIGHT(Base_Bruta!B321,2))),DATE(VALUE(RIGHT(Base_Bruta!B321,4)),VALUE(MID(Base_Bruta!B321,4,2)),VALUE(LEFT(Base_Bruta!B321,2))))))</f>
        <v>45920</v>
      </c>
      <c r="C321" s="5" t="n">
        <f aca="false">IF($A321="","",IF(ISNUMBER(Base_Bruta!C321),Base_Bruta!C321,IF(MID(Base_Bruta!C321,5,1)="-",DATE(VALUE(LEFT(Base_Bruta!C321,4)),VALUE(MID(Base_Bruta!C321,6,2)),VALUE(RIGHT(Base_Bruta!C321,2))),DATE(VALUE(RIGHT(Base_Bruta!C321,4)),VALUE(MID(Base_Bruta!C321,4,2)),VALUE(LEFT(Base_Bruta!C321,2))))))</f>
        <v>45976</v>
      </c>
      <c r="D321" s="4" t="str">
        <f aca="false">IF($A321="","",TRIM(Base_Bruta!D321))</f>
        <v>Festival Sonora SP 2025</v>
      </c>
      <c r="E321" s="4" t="str">
        <f aca="false">IF($A321="","",_xlfn.XLOOKUP(LOWER(TRIM(Base_Bruta!E321)),DePara_Categoria!$A$2:$A$9,DePara_Categoria!$B$2:$B$9,"REVISAR"))</f>
        <v>Festival</v>
      </c>
      <c r="F321" s="4" t="str">
        <f aca="false">IF($A321="","",_xlfn.XLOOKUP(LOWER(TRIM(Base_Bruta!F321)),DePara_Cidade!$A$2:$A$29,DePara_Cidade!$B$2:$B$29,"REVISAR"))</f>
        <v>São Paulo</v>
      </c>
      <c r="G321" s="4" t="str">
        <f aca="false">IF($A321="","",TRIM(Base_Bruta!G321))</f>
        <v>Inteira</v>
      </c>
      <c r="H321" s="4" t="n">
        <f aca="false">IF($A321="","",IF(ISNUMBER(Base_Bruta!H321),Base_Bruta!H321,IFERROR(_xlfn.NUMBERVALUE(TRIM(SUBSTITUTE(Base_Bruta!H321,"R$","")),",","."),0)))</f>
        <v>2</v>
      </c>
      <c r="I321" s="6" t="n">
        <f aca="false">IF($A321="","",IF(ISNUMBER(Base_Bruta!I321),Base_Bruta!I321,IFERROR(_xlfn.NUMBERVALUE(TRIM(SUBSTITUTE(Base_Bruta!I321,"R$","")),",","."),0)))</f>
        <v>820</v>
      </c>
      <c r="J321" s="6" t="n">
        <f aca="false">IF($A321="","",H321*I321)</f>
        <v>1640</v>
      </c>
      <c r="K321" s="4" t="str">
        <f aca="false">IF($A321="","",TRIM(Base_Bruta!J321))</f>
        <v>Site</v>
      </c>
      <c r="L321" s="4" t="str">
        <f aca="false">IF($A321="","",TRIM(Base_Bruta!K321))</f>
        <v>C01920</v>
      </c>
      <c r="M321" s="4" t="str">
        <f aca="false">IF($A321="","",_xlfn.XLOOKUP(LOWER(TRIM(Base_Bruta!L321)),DePara_Cidade!$A$2:$A$29,DePara_Cidade!$B$2:$B$29,"REVISAR"))</f>
        <v>Campinas</v>
      </c>
      <c r="N321" s="4" t="str">
        <f aca="false">IF($A321="","",UPPER(TRIM(Base_Bruta!M321)))</f>
        <v>SP</v>
      </c>
      <c r="O321" s="4" t="str">
        <f aca="false">IF($A321="","",_xlfn.XLOOKUP(LOWER(TRIM(Base_Bruta!N321)),DePara_Pais!$A$2:$A$9,DePara_Pais!$B$2:$B$9,"REVISAR"))</f>
        <v>Brasil</v>
      </c>
      <c r="P321" s="4" t="str">
        <f aca="false">IF($A321="","",IF(O321&lt;&gt;"Brasil","Turista Internacional",IF(M321=F321,"Local","Turista Nacional")))</f>
        <v>Turista Nacional</v>
      </c>
      <c r="Q321" s="7" t="n">
        <f aca="false">IF($A321="","",DATE(YEAR(B321),MONTH(B321),1))</f>
        <v>45901</v>
      </c>
      <c r="R321" s="4" t="str">
        <f aca="false">IF($A321="","",IF(COUNTIF($A$2:$A321,$A321)&gt;1,"Sim","Não"))</f>
        <v>Não</v>
      </c>
      <c r="S321" s="4" t="str">
        <f aca="false">IF(A321="","Descartar - Linha vazia",IF(R321="Sim","Descartar - Duplicado",IF(OR(H321&lt;=0,I321&lt;=0),"Descartar - Qtd/Valor inválido","OK")))</f>
        <v>OK</v>
      </c>
      <c r="T321" s="4" t="str">
        <f aca="false">Base_Bruta!P321</f>
        <v>vendas_SP.xlsx</v>
      </c>
    </row>
    <row r="322" customFormat="false" ht="15" hidden="false" customHeight="false" outlineLevel="0" collapsed="false">
      <c r="A322" s="4" t="str">
        <f aca="false">IF(Base_Bruta!A322="","",Base_Bruta!A322)</f>
        <v>SP-000145</v>
      </c>
      <c r="B322" s="5" t="n">
        <f aca="false">IF($A322="","",IF(ISNUMBER(Base_Bruta!B322),Base_Bruta!B322,IF(MID(Base_Bruta!B322,5,1)="-",DATE(VALUE(LEFT(Base_Bruta!B322,4)),VALUE(MID(Base_Bruta!B322,6,2)),VALUE(RIGHT(Base_Bruta!B322,2))),DATE(VALUE(RIGHT(Base_Bruta!B322,4)),VALUE(MID(Base_Bruta!B322,4,2)),VALUE(LEFT(Base_Bruta!B322,2))))))</f>
        <v>45920</v>
      </c>
      <c r="C322" s="5" t="n">
        <f aca="false">IF($A322="","",IF(ISNUMBER(Base_Bruta!C322),Base_Bruta!C322,IF(MID(Base_Bruta!C322,5,1)="-",DATE(VALUE(LEFT(Base_Bruta!C322,4)),VALUE(MID(Base_Bruta!C322,6,2)),VALUE(RIGHT(Base_Bruta!C322,2))),DATE(VALUE(RIGHT(Base_Bruta!C322,4)),VALUE(MID(Base_Bruta!C322,4,2)),VALUE(LEFT(Base_Bruta!C322,2))))))</f>
        <v>45976</v>
      </c>
      <c r="D322" s="4" t="str">
        <f aca="false">IF($A322="","",TRIM(Base_Bruta!D322))</f>
        <v>Festival Sonora SP 2025</v>
      </c>
      <c r="E322" s="4" t="str">
        <f aca="false">IF($A322="","",_xlfn.XLOOKUP(LOWER(TRIM(Base_Bruta!E322)),DePara_Categoria!$A$2:$A$9,DePara_Categoria!$B$2:$B$9,"REVISAR"))</f>
        <v>Festival</v>
      </c>
      <c r="F322" s="4" t="str">
        <f aca="false">IF($A322="","",_xlfn.XLOOKUP(LOWER(TRIM(Base_Bruta!F322)),DePara_Cidade!$A$2:$A$29,DePara_Cidade!$B$2:$B$29,"REVISAR"))</f>
        <v>São Paulo</v>
      </c>
      <c r="G322" s="4" t="str">
        <f aca="false">IF($A322="","",TRIM(Base_Bruta!G322))</f>
        <v>Inteira</v>
      </c>
      <c r="H322" s="4" t="n">
        <f aca="false">IF($A322="","",IF(ISNUMBER(Base_Bruta!H322),Base_Bruta!H322,IFERROR(_xlfn.NUMBERVALUE(TRIM(SUBSTITUTE(Base_Bruta!H322,"R$","")),",","."),0)))</f>
        <v>1</v>
      </c>
      <c r="I322" s="6" t="n">
        <f aca="false">IF($A322="","",IF(ISNUMBER(Base_Bruta!I322),Base_Bruta!I322,IFERROR(_xlfn.NUMBERVALUE(TRIM(SUBSTITUTE(Base_Bruta!I322,"R$","")),",","."),0)))</f>
        <v>730</v>
      </c>
      <c r="J322" s="6" t="n">
        <f aca="false">IF($A322="","",H322*I322)</f>
        <v>730</v>
      </c>
      <c r="K322" s="4" t="str">
        <f aca="false">IF($A322="","",TRIM(Base_Bruta!J322))</f>
        <v>Bilheteria</v>
      </c>
      <c r="L322" s="4" t="str">
        <f aca="false">IF($A322="","",TRIM(Base_Bruta!K322))</f>
        <v>C01016</v>
      </c>
      <c r="M322" s="4" t="str">
        <f aca="false">IF($A322="","",_xlfn.XLOOKUP(LOWER(TRIM(Base_Bruta!L322)),DePara_Cidade!$A$2:$A$29,DePara_Cidade!$B$2:$B$29,"REVISAR"))</f>
        <v>Santiago</v>
      </c>
      <c r="N322" s="4" t="str">
        <f aca="false">IF($A322="","",UPPER(TRIM(Base_Bruta!M322)))</f>
        <v>EX</v>
      </c>
      <c r="O322" s="4" t="str">
        <f aca="false">IF($A322="","",_xlfn.XLOOKUP(LOWER(TRIM(Base_Bruta!N322)),DePara_Pais!$A$2:$A$9,DePara_Pais!$B$2:$B$9,"REVISAR"))</f>
        <v>Chile</v>
      </c>
      <c r="P322" s="4" t="str">
        <f aca="false">IF($A322="","",IF(O322&lt;&gt;"Brasil","Turista Internacional",IF(M322=F322,"Local","Turista Nacional")))</f>
        <v>Turista Internacional</v>
      </c>
      <c r="Q322" s="7" t="n">
        <f aca="false">IF($A322="","",DATE(YEAR(B322),MONTH(B322),1))</f>
        <v>45901</v>
      </c>
      <c r="R322" s="4" t="str">
        <f aca="false">IF($A322="","",IF(COUNTIF($A$2:$A322,$A322)&gt;1,"Sim","Não"))</f>
        <v>Não</v>
      </c>
      <c r="S322" s="4" t="str">
        <f aca="false">IF(A322="","Descartar - Linha vazia",IF(R322="Sim","Descartar - Duplicado",IF(OR(H322&lt;=0,I322&lt;=0),"Descartar - Qtd/Valor inválido","OK")))</f>
        <v>OK</v>
      </c>
      <c r="T322" s="4" t="str">
        <f aca="false">Base_Bruta!P322</f>
        <v>vendas_SP.xlsx</v>
      </c>
    </row>
    <row r="323" customFormat="false" ht="15" hidden="false" customHeight="false" outlineLevel="0" collapsed="false">
      <c r="A323" s="4" t="str">
        <f aca="false">IF(Base_Bruta!A323="","",Base_Bruta!A323)</f>
        <v>SP-000751</v>
      </c>
      <c r="B323" s="5" t="n">
        <f aca="false">IF($A323="","",IF(ISNUMBER(Base_Bruta!B323),Base_Bruta!B323,IF(MID(Base_Bruta!B323,5,1)="-",DATE(VALUE(LEFT(Base_Bruta!B323,4)),VALUE(MID(Base_Bruta!B323,6,2)),VALUE(RIGHT(Base_Bruta!B323,2))),DATE(VALUE(RIGHT(Base_Bruta!B323,4)),VALUE(MID(Base_Bruta!B323,4,2)),VALUE(LEFT(Base_Bruta!B323,2))))))</f>
        <v>45920</v>
      </c>
      <c r="C323" s="5" t="n">
        <f aca="false">IF($A323="","",IF(ISNUMBER(Base_Bruta!C323),Base_Bruta!C323,IF(MID(Base_Bruta!C323,5,1)="-",DATE(VALUE(LEFT(Base_Bruta!C323,4)),VALUE(MID(Base_Bruta!C323,6,2)),VALUE(RIGHT(Base_Bruta!C323,2))),DATE(VALUE(RIGHT(Base_Bruta!C323,4)),VALUE(MID(Base_Bruta!C323,4,2)),VALUE(LEFT(Base_Bruta!C323,2))))))</f>
        <v>45920</v>
      </c>
      <c r="D323" s="4" t="str">
        <f aca="false">IF($A323="","",TRIM(Base_Bruta!D323))</f>
        <v>Cinema Paulista - Sessões</v>
      </c>
      <c r="E323" s="4" t="str">
        <f aca="false">IF($A323="","",_xlfn.XLOOKUP(LOWER(TRIM(Base_Bruta!E323)),DePara_Categoria!$A$2:$A$9,DePara_Categoria!$B$2:$B$9,"REVISAR"))</f>
        <v>Cinema</v>
      </c>
      <c r="F323" s="4" t="str">
        <f aca="false">IF($A323="","",_xlfn.XLOOKUP(LOWER(TRIM(Base_Bruta!F323)),DePara_Cidade!$A$2:$A$29,DePara_Cidade!$B$2:$B$29,"REVISAR"))</f>
        <v>São Paulo</v>
      </c>
      <c r="G323" s="4" t="str">
        <f aca="false">IF($A323="","",TRIM(Base_Bruta!G323))</f>
        <v>Meia</v>
      </c>
      <c r="H323" s="4" t="n">
        <f aca="false">IF($A323="","",IF(ISNUMBER(Base_Bruta!H323),Base_Bruta!H323,IFERROR(_xlfn.NUMBERVALUE(TRIM(SUBSTITUTE(Base_Bruta!H323,"R$","")),",","."),0)))</f>
        <v>1</v>
      </c>
      <c r="I323" s="6" t="n">
        <f aca="false">IF($A323="","",IF(ISNUMBER(Base_Bruta!I323),Base_Bruta!I323,IFERROR(_xlfn.NUMBERVALUE(TRIM(SUBSTITUTE(Base_Bruta!I323,"R$","")),",","."),0)))</f>
        <v>15</v>
      </c>
      <c r="J323" s="6" t="n">
        <f aca="false">IF($A323="","",H323*I323)</f>
        <v>15</v>
      </c>
      <c r="K323" s="4" t="str">
        <f aca="false">IF($A323="","",TRIM(Base_Bruta!J323))</f>
        <v>Parceiro</v>
      </c>
      <c r="L323" s="4" t="str">
        <f aca="false">IF($A323="","",TRIM(Base_Bruta!K323))</f>
        <v>C00502</v>
      </c>
      <c r="M323" s="4" t="str">
        <f aca="false">IF($A323="","",_xlfn.XLOOKUP(LOWER(TRIM(Base_Bruta!L323)),DePara_Cidade!$A$2:$A$29,DePara_Cidade!$B$2:$B$29,"REVISAR"))</f>
        <v>São Paulo</v>
      </c>
      <c r="N323" s="4" t="str">
        <f aca="false">IF($A323="","",UPPER(TRIM(Base_Bruta!M323)))</f>
        <v>SP</v>
      </c>
      <c r="O323" s="4" t="str">
        <f aca="false">IF($A323="","",_xlfn.XLOOKUP(LOWER(TRIM(Base_Bruta!N323)),DePara_Pais!$A$2:$A$9,DePara_Pais!$B$2:$B$9,"REVISAR"))</f>
        <v>Brasil</v>
      </c>
      <c r="P323" s="4" t="str">
        <f aca="false">IF($A323="","",IF(O323&lt;&gt;"Brasil","Turista Internacional",IF(M323=F323,"Local","Turista Nacional")))</f>
        <v>Local</v>
      </c>
      <c r="Q323" s="7" t="n">
        <f aca="false">IF($A323="","",DATE(YEAR(B323),MONTH(B323),1))</f>
        <v>45901</v>
      </c>
      <c r="R323" s="4" t="str">
        <f aca="false">IF($A323="","",IF(COUNTIF($A$2:$A323,$A323)&gt;1,"Sim","Não"))</f>
        <v>Não</v>
      </c>
      <c r="S323" s="4" t="str">
        <f aca="false">IF(A323="","Descartar - Linha vazia",IF(R323="Sim","Descartar - Duplicado",IF(OR(H323&lt;=0,I323&lt;=0),"Descartar - Qtd/Valor inválido","OK")))</f>
        <v>OK</v>
      </c>
      <c r="T323" s="4" t="str">
        <f aca="false">Base_Bruta!P323</f>
        <v>vendas_SP.xlsx</v>
      </c>
    </row>
    <row r="324" customFormat="false" ht="15" hidden="false" customHeight="false" outlineLevel="0" collapsed="false">
      <c r="A324" s="4" t="str">
        <f aca="false">IF(Base_Bruta!A324="","",Base_Bruta!A324)</f>
        <v>SP-000055</v>
      </c>
      <c r="B324" s="5" t="n">
        <f aca="false">IF($A324="","",IF(ISNUMBER(Base_Bruta!B324),Base_Bruta!B324,IF(MID(Base_Bruta!B324,5,1)="-",DATE(VALUE(LEFT(Base_Bruta!B324,4)),VALUE(MID(Base_Bruta!B324,6,2)),VALUE(RIGHT(Base_Bruta!B324,2))),DATE(VALUE(RIGHT(Base_Bruta!B324,4)),VALUE(MID(Base_Bruta!B324,4,2)),VALUE(LEFT(Base_Bruta!B324,2))))))</f>
        <v>45921</v>
      </c>
      <c r="C324" s="5" t="n">
        <f aca="false">IF($A324="","",IF(ISNUMBER(Base_Bruta!C324),Base_Bruta!C324,IF(MID(Base_Bruta!C324,5,1)="-",DATE(VALUE(LEFT(Base_Bruta!C324,4)),VALUE(MID(Base_Bruta!C324,6,2)),VALUE(RIGHT(Base_Bruta!C324,2))),DATE(VALUE(RIGHT(Base_Bruta!C324,4)),VALUE(MID(Base_Bruta!C324,4,2)),VALUE(LEFT(Base_Bruta!C324,2))))))</f>
        <v>45976</v>
      </c>
      <c r="D324" s="4" t="str">
        <f aca="false">IF($A324="","",TRIM(Base_Bruta!D324))</f>
        <v>Festival Sonora SP 2025</v>
      </c>
      <c r="E324" s="4" t="str">
        <f aca="false">IF($A324="","",_xlfn.XLOOKUP(LOWER(TRIM(Base_Bruta!E324)),DePara_Categoria!$A$2:$A$9,DePara_Categoria!$B$2:$B$9,"REVISAR"))</f>
        <v>Festival</v>
      </c>
      <c r="F324" s="4" t="str">
        <f aca="false">IF($A324="","",_xlfn.XLOOKUP(LOWER(TRIM(Base_Bruta!F324)),DePara_Cidade!$A$2:$A$29,DePara_Cidade!$B$2:$B$29,"REVISAR"))</f>
        <v>São Paulo</v>
      </c>
      <c r="G324" s="4" t="str">
        <f aca="false">IF($A324="","",TRIM(Base_Bruta!G324))</f>
        <v>Meia</v>
      </c>
      <c r="H324" s="4" t="n">
        <f aca="false">IF($A324="","",IF(ISNUMBER(Base_Bruta!H324),Base_Bruta!H324,IFERROR(_xlfn.NUMBERVALUE(TRIM(SUBSTITUTE(Base_Bruta!H324,"R$","")),",","."),0)))</f>
        <v>2</v>
      </c>
      <c r="I324" s="6" t="n">
        <f aca="false">IF($A324="","",IF(ISNUMBER(Base_Bruta!I324),Base_Bruta!I324,IFERROR(_xlfn.NUMBERVALUE(TRIM(SUBSTITUTE(Base_Bruta!I324,"R$","")),",","."),0)))</f>
        <v>475</v>
      </c>
      <c r="J324" s="6" t="n">
        <f aca="false">IF($A324="","",H324*I324)</f>
        <v>950</v>
      </c>
      <c r="K324" s="4" t="str">
        <f aca="false">IF($A324="","",TRIM(Base_Bruta!J324))</f>
        <v>Site</v>
      </c>
      <c r="L324" s="4" t="str">
        <f aca="false">IF($A324="","",TRIM(Base_Bruta!K324))</f>
        <v>C00015</v>
      </c>
      <c r="M324" s="4" t="str">
        <f aca="false">IF($A324="","",_xlfn.XLOOKUP(LOWER(TRIM(Base_Bruta!L324)),DePara_Cidade!$A$2:$A$29,DePara_Cidade!$B$2:$B$29,"REVISAR"))</f>
        <v>São Paulo</v>
      </c>
      <c r="N324" s="4" t="str">
        <f aca="false">IF($A324="","",UPPER(TRIM(Base_Bruta!M324)))</f>
        <v>SP</v>
      </c>
      <c r="O324" s="4" t="str">
        <f aca="false">IF($A324="","",_xlfn.XLOOKUP(LOWER(TRIM(Base_Bruta!N324)),DePara_Pais!$A$2:$A$9,DePara_Pais!$B$2:$B$9,"REVISAR"))</f>
        <v>Brasil</v>
      </c>
      <c r="P324" s="4" t="str">
        <f aca="false">IF($A324="","",IF(O324&lt;&gt;"Brasil","Turista Internacional",IF(M324=F324,"Local","Turista Nacional")))</f>
        <v>Local</v>
      </c>
      <c r="Q324" s="7" t="n">
        <f aca="false">IF($A324="","",DATE(YEAR(B324),MONTH(B324),1))</f>
        <v>45901</v>
      </c>
      <c r="R324" s="4" t="str">
        <f aca="false">IF($A324="","",IF(COUNTIF($A$2:$A324,$A324)&gt;1,"Sim","Não"))</f>
        <v>Não</v>
      </c>
      <c r="S324" s="4" t="str">
        <f aca="false">IF(A324="","Descartar - Linha vazia",IF(R324="Sim","Descartar - Duplicado",IF(OR(H324&lt;=0,I324&lt;=0),"Descartar - Qtd/Valor inválido","OK")))</f>
        <v>OK</v>
      </c>
      <c r="T324" s="4" t="str">
        <f aca="false">Base_Bruta!P324</f>
        <v>vendas_SP.xlsx</v>
      </c>
    </row>
    <row r="325" customFormat="false" ht="15" hidden="false" customHeight="false" outlineLevel="0" collapsed="false">
      <c r="A325" s="4" t="str">
        <f aca="false">IF(Base_Bruta!A325="","",Base_Bruta!A325)</f>
        <v>SP-000482</v>
      </c>
      <c r="B325" s="5" t="n">
        <f aca="false">IF($A325="","",IF(ISNUMBER(Base_Bruta!B325),Base_Bruta!B325,IF(MID(Base_Bruta!B325,5,1)="-",DATE(VALUE(LEFT(Base_Bruta!B325,4)),VALUE(MID(Base_Bruta!B325,6,2)),VALUE(RIGHT(Base_Bruta!B325,2))),DATE(VALUE(RIGHT(Base_Bruta!B325,4)),VALUE(MID(Base_Bruta!B325,4,2)),VALUE(LEFT(Base_Bruta!B325,2))))))</f>
        <v>45922</v>
      </c>
      <c r="C325" s="5" t="n">
        <f aca="false">IF($A325="","",IF(ISNUMBER(Base_Bruta!C325),Base_Bruta!C325,IF(MID(Base_Bruta!C325,5,1)="-",DATE(VALUE(LEFT(Base_Bruta!C325,4)),VALUE(MID(Base_Bruta!C325,6,2)),VALUE(RIGHT(Base_Bruta!C325,2))),DATE(VALUE(RIGHT(Base_Bruta!C325,4)),VALUE(MID(Base_Bruta!C325,4,2)),VALUE(LEFT(Base_Bruta!C325,2))))))</f>
        <v>45934</v>
      </c>
      <c r="D325" s="4" t="str">
        <f aca="false">IF($A325="","",TRIM(Base_Bruta!D325))</f>
        <v>Turnê Internacional Pop - SP</v>
      </c>
      <c r="E325" s="4" t="str">
        <f aca="false">IF($A325="","",_xlfn.XLOOKUP(LOWER(TRIM(Base_Bruta!E325)),DePara_Categoria!$A$2:$A$9,DePara_Categoria!$B$2:$B$9,"REVISAR"))</f>
        <v>Show</v>
      </c>
      <c r="F325" s="4" t="str">
        <f aca="false">IF($A325="","",_xlfn.XLOOKUP(LOWER(TRIM(Base_Bruta!F325)),DePara_Cidade!$A$2:$A$29,DePara_Cidade!$B$2:$B$29,"REVISAR"))</f>
        <v>São Paulo</v>
      </c>
      <c r="G325" s="4" t="str">
        <f aca="false">IF($A325="","",TRIM(Base_Bruta!G325))</f>
        <v>Inteira</v>
      </c>
      <c r="H325" s="4" t="n">
        <f aca="false">IF($A325="","",IF(ISNUMBER(Base_Bruta!H325),Base_Bruta!H325,IFERROR(_xlfn.NUMBERVALUE(TRIM(SUBSTITUTE(Base_Bruta!H325,"R$","")),",","."),0)))</f>
        <v>2</v>
      </c>
      <c r="I325" s="6" t="n">
        <f aca="false">IF($A325="","",IF(ISNUMBER(Base_Bruta!I325),Base_Bruta!I325,IFERROR(_xlfn.NUMBERVALUE(TRIM(SUBSTITUTE(Base_Bruta!I325,"R$","")),",","."),0)))</f>
        <v>445</v>
      </c>
      <c r="J325" s="6" t="n">
        <f aca="false">IF($A325="","",H325*I325)</f>
        <v>890</v>
      </c>
      <c r="K325" s="4" t="str">
        <f aca="false">IF($A325="","",TRIM(Base_Bruta!J325))</f>
        <v>App</v>
      </c>
      <c r="L325" s="4" t="str">
        <f aca="false">IF($A325="","",TRIM(Base_Bruta!K325))</f>
        <v>C00015</v>
      </c>
      <c r="M325" s="4" t="str">
        <f aca="false">IF($A325="","",_xlfn.XLOOKUP(LOWER(TRIM(Base_Bruta!L325)),DePara_Cidade!$A$2:$A$29,DePara_Cidade!$B$2:$B$29,"REVISAR"))</f>
        <v>São Paulo</v>
      </c>
      <c r="N325" s="4" t="str">
        <f aca="false">IF($A325="","",UPPER(TRIM(Base_Bruta!M325)))</f>
        <v>SP</v>
      </c>
      <c r="O325" s="4" t="str">
        <f aca="false">IF($A325="","",_xlfn.XLOOKUP(LOWER(TRIM(Base_Bruta!N325)),DePara_Pais!$A$2:$A$9,DePara_Pais!$B$2:$B$9,"REVISAR"))</f>
        <v>Brasil</v>
      </c>
      <c r="P325" s="4" t="str">
        <f aca="false">IF($A325="","",IF(O325&lt;&gt;"Brasil","Turista Internacional",IF(M325=F325,"Local","Turista Nacional")))</f>
        <v>Local</v>
      </c>
      <c r="Q325" s="7" t="n">
        <f aca="false">IF($A325="","",DATE(YEAR(B325),MONTH(B325),1))</f>
        <v>45901</v>
      </c>
      <c r="R325" s="4" t="str">
        <f aca="false">IF($A325="","",IF(COUNTIF($A$2:$A325,$A325)&gt;1,"Sim","Não"))</f>
        <v>Não</v>
      </c>
      <c r="S325" s="4" t="str">
        <f aca="false">IF(A325="","Descartar - Linha vazia",IF(R325="Sim","Descartar - Duplicado",IF(OR(H325&lt;=0,I325&lt;=0),"Descartar - Qtd/Valor inválido","OK")))</f>
        <v>OK</v>
      </c>
      <c r="T325" s="4" t="str">
        <f aca="false">Base_Bruta!P325</f>
        <v>vendas_SP.xlsx</v>
      </c>
    </row>
    <row r="326" customFormat="false" ht="15" hidden="false" customHeight="false" outlineLevel="0" collapsed="false">
      <c r="A326" s="4" t="str">
        <f aca="false">IF(Base_Bruta!A326="","",Base_Bruta!A326)</f>
        <v>SP-000230</v>
      </c>
      <c r="B326" s="5" t="n">
        <f aca="false">IF($A326="","",IF(ISNUMBER(Base_Bruta!B326),Base_Bruta!B326,IF(MID(Base_Bruta!B326,5,1)="-",DATE(VALUE(LEFT(Base_Bruta!B326,4)),VALUE(MID(Base_Bruta!B326,6,2)),VALUE(RIGHT(Base_Bruta!B326,2))),DATE(VALUE(RIGHT(Base_Bruta!B326,4)),VALUE(MID(Base_Bruta!B326,4,2)),VALUE(LEFT(Base_Bruta!B326,2))))))</f>
        <v>45923</v>
      </c>
      <c r="C326" s="5" t="n">
        <f aca="false">IF($A326="","",IF(ISNUMBER(Base_Bruta!C326),Base_Bruta!C326,IF(MID(Base_Bruta!C326,5,1)="-",DATE(VALUE(LEFT(Base_Bruta!C326,4)),VALUE(MID(Base_Bruta!C326,6,2)),VALUE(RIGHT(Base_Bruta!C326,2))),DATE(VALUE(RIGHT(Base_Bruta!C326,4)),VALUE(MID(Base_Bruta!C326,4,2)),VALUE(LEFT(Base_Bruta!C326,2))))))</f>
        <v>45976</v>
      </c>
      <c r="D326" s="4" t="str">
        <f aca="false">IF($A326="","",TRIM(Base_Bruta!D326))</f>
        <v>Festival Sonora SP 2025</v>
      </c>
      <c r="E326" s="4" t="str">
        <f aca="false">IF($A326="","",_xlfn.XLOOKUP(LOWER(TRIM(Base_Bruta!E326)),DePara_Categoria!$A$2:$A$9,DePara_Categoria!$B$2:$B$9,"REVISAR"))</f>
        <v>Festival</v>
      </c>
      <c r="F326" s="4" t="str">
        <f aca="false">IF($A326="","",_xlfn.XLOOKUP(LOWER(TRIM(Base_Bruta!F326)),DePara_Cidade!$A$2:$A$29,DePara_Cidade!$B$2:$B$29,"REVISAR"))</f>
        <v>São Paulo</v>
      </c>
      <c r="G326" s="4" t="str">
        <f aca="false">IF($A326="","",TRIM(Base_Bruta!G326))</f>
        <v>Meia</v>
      </c>
      <c r="H326" s="4" t="n">
        <f aca="false">IF($A326="","",IF(ISNUMBER(Base_Bruta!H326),Base_Bruta!H326,IFERROR(_xlfn.NUMBERVALUE(TRIM(SUBSTITUTE(Base_Bruta!H326,"R$","")),",","."),0)))</f>
        <v>1</v>
      </c>
      <c r="I326" s="6" t="n">
        <f aca="false">IF($A326="","",IF(ISNUMBER(Base_Bruta!I326),Base_Bruta!I326,IFERROR(_xlfn.NUMBERVALUE(TRIM(SUBSTITUTE(Base_Bruta!I326,"R$","")),",","."),0)))</f>
        <v>377.5</v>
      </c>
      <c r="J326" s="6" t="n">
        <f aca="false">IF($A326="","",H326*I326)</f>
        <v>377.5</v>
      </c>
      <c r="K326" s="4" t="str">
        <f aca="false">IF($A326="","",TRIM(Base_Bruta!J326))</f>
        <v>Site</v>
      </c>
      <c r="L326" s="4" t="str">
        <f aca="false">IF($A326="","",TRIM(Base_Bruta!K326))</f>
        <v>C01754</v>
      </c>
      <c r="M326" s="4" t="str">
        <f aca="false">IF($A326="","",_xlfn.XLOOKUP(LOWER(TRIM(Base_Bruta!L326)),DePara_Cidade!$A$2:$A$29,DePara_Cidade!$B$2:$B$29,"REVISAR"))</f>
        <v>Porto Alegre</v>
      </c>
      <c r="N326" s="4" t="str">
        <f aca="false">IF($A326="","",UPPER(TRIM(Base_Bruta!M326)))</f>
        <v>RS</v>
      </c>
      <c r="O326" s="4" t="str">
        <f aca="false">IF($A326="","",_xlfn.XLOOKUP(LOWER(TRIM(Base_Bruta!N326)),DePara_Pais!$A$2:$A$9,DePara_Pais!$B$2:$B$9,"REVISAR"))</f>
        <v>Brasil</v>
      </c>
      <c r="P326" s="4" t="str">
        <f aca="false">IF($A326="","",IF(O326&lt;&gt;"Brasil","Turista Internacional",IF(M326=F326,"Local","Turista Nacional")))</f>
        <v>Turista Nacional</v>
      </c>
      <c r="Q326" s="7" t="n">
        <f aca="false">IF($A326="","",DATE(YEAR(B326),MONTH(B326),1))</f>
        <v>45901</v>
      </c>
      <c r="R326" s="4" t="str">
        <f aca="false">IF($A326="","",IF(COUNTIF($A$2:$A326,$A326)&gt;1,"Sim","Não"))</f>
        <v>Não</v>
      </c>
      <c r="S326" s="4" t="str">
        <f aca="false">IF(A326="","Descartar - Linha vazia",IF(R326="Sim","Descartar - Duplicado",IF(OR(H326&lt;=0,I326&lt;=0),"Descartar - Qtd/Valor inválido","OK")))</f>
        <v>OK</v>
      </c>
      <c r="T326" s="4" t="str">
        <f aca="false">Base_Bruta!P326</f>
        <v>vendas_SP.xlsx</v>
      </c>
    </row>
    <row r="327" customFormat="false" ht="15" hidden="false" customHeight="false" outlineLevel="0" collapsed="false">
      <c r="A327" s="4" t="str">
        <f aca="false">IF(Base_Bruta!A327="","",Base_Bruta!A327)</f>
        <v>SP-000081</v>
      </c>
      <c r="B327" s="5" t="n">
        <f aca="false">IF($A327="","",IF(ISNUMBER(Base_Bruta!B327),Base_Bruta!B327,IF(MID(Base_Bruta!B327,5,1)="-",DATE(VALUE(LEFT(Base_Bruta!B327,4)),VALUE(MID(Base_Bruta!B327,6,2)),VALUE(RIGHT(Base_Bruta!B327,2))),DATE(VALUE(RIGHT(Base_Bruta!B327,4)),VALUE(MID(Base_Bruta!B327,4,2)),VALUE(LEFT(Base_Bruta!B327,2))))))</f>
        <v>45924</v>
      </c>
      <c r="C327" s="5" t="n">
        <f aca="false">IF($A327="","",IF(ISNUMBER(Base_Bruta!C327),Base_Bruta!C327,IF(MID(Base_Bruta!C327,5,1)="-",DATE(VALUE(LEFT(Base_Bruta!C327,4)),VALUE(MID(Base_Bruta!C327,6,2)),VALUE(RIGHT(Base_Bruta!C327,2))),DATE(VALUE(RIGHT(Base_Bruta!C327,4)),VALUE(MID(Base_Bruta!C327,4,2)),VALUE(LEFT(Base_Bruta!C327,2))))))</f>
        <v>45976</v>
      </c>
      <c r="D327" s="4" t="str">
        <f aca="false">IF($A327="","",TRIM(Base_Bruta!D327))</f>
        <v>Festival Sonora SP 2025</v>
      </c>
      <c r="E327" s="4" t="str">
        <f aca="false">IF($A327="","",_xlfn.XLOOKUP(LOWER(TRIM(Base_Bruta!E327)),DePara_Categoria!$A$2:$A$9,DePara_Categoria!$B$2:$B$9,"REVISAR"))</f>
        <v>Festival</v>
      </c>
      <c r="F327" s="4" t="str">
        <f aca="false">IF($A327="","",_xlfn.XLOOKUP(LOWER(TRIM(Base_Bruta!F327)),DePara_Cidade!$A$2:$A$29,DePara_Cidade!$B$2:$B$29,"REVISAR"))</f>
        <v>São Paulo</v>
      </c>
      <c r="G327" s="4" t="str">
        <f aca="false">IF($A327="","",TRIM(Base_Bruta!G327))</f>
        <v>Inteira</v>
      </c>
      <c r="H327" s="4" t="n">
        <f aca="false">IF($A327="","",IF(ISNUMBER(Base_Bruta!H327),Base_Bruta!H327,IFERROR(_xlfn.NUMBERVALUE(TRIM(SUBSTITUTE(Base_Bruta!H327,"R$","")),",","."),0)))</f>
        <v>3</v>
      </c>
      <c r="I327" s="6" t="n">
        <f aca="false">IF($A327="","",IF(ISNUMBER(Base_Bruta!I327),Base_Bruta!I327,IFERROR(_xlfn.NUMBERVALUE(TRIM(SUBSTITUTE(Base_Bruta!I327,"R$","")),",","."),0)))</f>
        <v>795</v>
      </c>
      <c r="J327" s="6" t="n">
        <f aca="false">IF($A327="","",H327*I327)</f>
        <v>2385</v>
      </c>
      <c r="K327" s="4" t="str">
        <f aca="false">IF($A327="","",TRIM(Base_Bruta!J327))</f>
        <v>Site</v>
      </c>
      <c r="L327" s="4" t="str">
        <f aca="false">IF($A327="","",TRIM(Base_Bruta!K327))</f>
        <v>C02218</v>
      </c>
      <c r="M327" s="4" t="str">
        <f aca="false">IF($A327="","",_xlfn.XLOOKUP(LOWER(TRIM(Base_Bruta!L327)),DePara_Cidade!$A$2:$A$29,DePara_Cidade!$B$2:$B$29,"REVISAR"))</f>
        <v>Campinas</v>
      </c>
      <c r="N327" s="4" t="str">
        <f aca="false">IF($A327="","",UPPER(TRIM(Base_Bruta!M327)))</f>
        <v>SP</v>
      </c>
      <c r="O327" s="4" t="str">
        <f aca="false">IF($A327="","",_xlfn.XLOOKUP(LOWER(TRIM(Base_Bruta!N327)),DePara_Pais!$A$2:$A$9,DePara_Pais!$B$2:$B$9,"REVISAR"))</f>
        <v>Brasil</v>
      </c>
      <c r="P327" s="4" t="str">
        <f aca="false">IF($A327="","",IF(O327&lt;&gt;"Brasil","Turista Internacional",IF(M327=F327,"Local","Turista Nacional")))</f>
        <v>Turista Nacional</v>
      </c>
      <c r="Q327" s="7" t="n">
        <f aca="false">IF($A327="","",DATE(YEAR(B327),MONTH(B327),1))</f>
        <v>45901</v>
      </c>
      <c r="R327" s="4" t="str">
        <f aca="false">IF($A327="","",IF(COUNTIF($A$2:$A327,$A327)&gt;1,"Sim","Não"))</f>
        <v>Não</v>
      </c>
      <c r="S327" s="4" t="str">
        <f aca="false">IF(A327="","Descartar - Linha vazia",IF(R327="Sim","Descartar - Duplicado",IF(OR(H327&lt;=0,I327&lt;=0),"Descartar - Qtd/Valor inválido","OK")))</f>
        <v>OK</v>
      </c>
      <c r="T327" s="4" t="str">
        <f aca="false">Base_Bruta!P327</f>
        <v>vendas_SP.xlsx</v>
      </c>
    </row>
    <row r="328" customFormat="false" ht="15" hidden="false" customHeight="false" outlineLevel="0" collapsed="false">
      <c r="A328" s="4" t="str">
        <f aca="false">IF(Base_Bruta!A328="","",Base_Bruta!A328)</f>
        <v>SP-000185</v>
      </c>
      <c r="B328" s="5" t="n">
        <f aca="false">IF($A328="","",IF(ISNUMBER(Base_Bruta!B328),Base_Bruta!B328,IF(MID(Base_Bruta!B328,5,1)="-",DATE(VALUE(LEFT(Base_Bruta!B328,4)),VALUE(MID(Base_Bruta!B328,6,2)),VALUE(RIGHT(Base_Bruta!B328,2))),DATE(VALUE(RIGHT(Base_Bruta!B328,4)),VALUE(MID(Base_Bruta!B328,4,2)),VALUE(LEFT(Base_Bruta!B328,2))))))</f>
        <v>45924</v>
      </c>
      <c r="C328" s="5" t="n">
        <f aca="false">IF($A328="","",IF(ISNUMBER(Base_Bruta!C328),Base_Bruta!C328,IF(MID(Base_Bruta!C328,5,1)="-",DATE(VALUE(LEFT(Base_Bruta!C328,4)),VALUE(MID(Base_Bruta!C328,6,2)),VALUE(RIGHT(Base_Bruta!C328,2))),DATE(VALUE(RIGHT(Base_Bruta!C328,4)),VALUE(MID(Base_Bruta!C328,4,2)),VALUE(LEFT(Base_Bruta!C328,2))))))</f>
        <v>45976</v>
      </c>
      <c r="D328" s="4" t="str">
        <f aca="false">IF($A328="","",TRIM(Base_Bruta!D328))</f>
        <v>Festival Sonora SP 2025</v>
      </c>
      <c r="E328" s="4" t="str">
        <f aca="false">IF($A328="","",_xlfn.XLOOKUP(LOWER(TRIM(Base_Bruta!E328)),DePara_Categoria!$A$2:$A$9,DePara_Categoria!$B$2:$B$9,"REVISAR"))</f>
        <v>Festival</v>
      </c>
      <c r="F328" s="4" t="str">
        <f aca="false">IF($A328="","",_xlfn.XLOOKUP(LOWER(TRIM(Base_Bruta!F328)),DePara_Cidade!$A$2:$A$29,DePara_Cidade!$B$2:$B$29,"REVISAR"))</f>
        <v>São Paulo</v>
      </c>
      <c r="G328" s="4" t="str">
        <f aca="false">IF($A328="","",TRIM(Base_Bruta!G328))</f>
        <v>Inteira</v>
      </c>
      <c r="H328" s="4" t="n">
        <f aca="false">IF($A328="","",IF(ISNUMBER(Base_Bruta!H328),Base_Bruta!H328,IFERROR(_xlfn.NUMBERVALUE(TRIM(SUBSTITUTE(Base_Bruta!H328,"R$","")),",","."),0)))</f>
        <v>3</v>
      </c>
      <c r="I328" s="6" t="n">
        <f aca="false">IF($A328="","",IF(ISNUMBER(Base_Bruta!I328),Base_Bruta!I328,IFERROR(_xlfn.NUMBERVALUE(TRIM(SUBSTITUTE(Base_Bruta!I328,"R$","")),",","."),0)))</f>
        <v>855</v>
      </c>
      <c r="J328" s="6" t="n">
        <f aca="false">IF($A328="","",H328*I328)</f>
        <v>2565</v>
      </c>
      <c r="K328" s="4" t="str">
        <f aca="false">IF($A328="","",TRIM(Base_Bruta!J328))</f>
        <v>Site</v>
      </c>
      <c r="L328" s="4" t="str">
        <f aca="false">IF($A328="","",TRIM(Base_Bruta!K328))</f>
        <v>C00721</v>
      </c>
      <c r="M328" s="4" t="str">
        <f aca="false">IF($A328="","",_xlfn.XLOOKUP(LOWER(TRIM(Base_Bruta!L328)),DePara_Cidade!$A$2:$A$29,DePara_Cidade!$B$2:$B$29,"REVISAR"))</f>
        <v>Buenos Aires</v>
      </c>
      <c r="N328" s="4" t="str">
        <f aca="false">IF($A328="","",UPPER(TRIM(Base_Bruta!M328)))</f>
        <v>EX</v>
      </c>
      <c r="O328" s="4" t="str">
        <f aca="false">IF($A328="","",_xlfn.XLOOKUP(LOWER(TRIM(Base_Bruta!N328)),DePara_Pais!$A$2:$A$9,DePara_Pais!$B$2:$B$9,"REVISAR"))</f>
        <v>Argentina</v>
      </c>
      <c r="P328" s="4" t="str">
        <f aca="false">IF($A328="","",IF(O328&lt;&gt;"Brasil","Turista Internacional",IF(M328=F328,"Local","Turista Nacional")))</f>
        <v>Turista Internacional</v>
      </c>
      <c r="Q328" s="7" t="n">
        <f aca="false">IF($A328="","",DATE(YEAR(B328),MONTH(B328),1))</f>
        <v>45901</v>
      </c>
      <c r="R328" s="4" t="str">
        <f aca="false">IF($A328="","",IF(COUNTIF($A$2:$A328,$A328)&gt;1,"Sim","Não"))</f>
        <v>Não</v>
      </c>
      <c r="S328" s="4" t="str">
        <f aca="false">IF(A328="","Descartar - Linha vazia",IF(R328="Sim","Descartar - Duplicado",IF(OR(H328&lt;=0,I328&lt;=0),"Descartar - Qtd/Valor inválido","OK")))</f>
        <v>OK</v>
      </c>
      <c r="T328" s="4" t="str">
        <f aca="false">Base_Bruta!P328</f>
        <v>vendas_SP.xlsx</v>
      </c>
    </row>
    <row r="329" customFormat="false" ht="15" hidden="false" customHeight="false" outlineLevel="0" collapsed="false">
      <c r="A329" s="4" t="str">
        <f aca="false">IF(Base_Bruta!A329="","",Base_Bruta!A329)</f>
        <v>SP-000518</v>
      </c>
      <c r="B329" s="5" t="n">
        <f aca="false">IF($A329="","",IF(ISNUMBER(Base_Bruta!B329),Base_Bruta!B329,IF(MID(Base_Bruta!B329,5,1)="-",DATE(VALUE(LEFT(Base_Bruta!B329,4)),VALUE(MID(Base_Bruta!B329,6,2)),VALUE(RIGHT(Base_Bruta!B329,2))),DATE(VALUE(RIGHT(Base_Bruta!B329,4)),VALUE(MID(Base_Bruta!B329,4,2)),VALUE(LEFT(Base_Bruta!B329,2))))))</f>
        <v>45924</v>
      </c>
      <c r="C329" s="5" t="n">
        <f aca="false">IF($A329="","",IF(ISNUMBER(Base_Bruta!C329),Base_Bruta!C329,IF(MID(Base_Bruta!C329,5,1)="-",DATE(VALUE(LEFT(Base_Bruta!C329,4)),VALUE(MID(Base_Bruta!C329,6,2)),VALUE(RIGHT(Base_Bruta!C329,2))),DATE(VALUE(RIGHT(Base_Bruta!C329,4)),VALUE(MID(Base_Bruta!C329,4,2)),VALUE(LEFT(Base_Bruta!C329,2))))))</f>
        <v>45934</v>
      </c>
      <c r="D329" s="4" t="str">
        <f aca="false">IF($A329="","",TRIM(Base_Bruta!D329))</f>
        <v>Turnê Internacional Pop - SP</v>
      </c>
      <c r="E329" s="4" t="str">
        <f aca="false">IF($A329="","",_xlfn.XLOOKUP(LOWER(TRIM(Base_Bruta!E329)),DePara_Categoria!$A$2:$A$9,DePara_Categoria!$B$2:$B$9,"REVISAR"))</f>
        <v>Show</v>
      </c>
      <c r="F329" s="4" t="str">
        <f aca="false">IF($A329="","",_xlfn.XLOOKUP(LOWER(TRIM(Base_Bruta!F329)),DePara_Cidade!$A$2:$A$29,DePara_Cidade!$B$2:$B$29,"REVISAR"))</f>
        <v>São Paulo</v>
      </c>
      <c r="G329" s="4" t="str">
        <f aca="false">IF($A329="","",TRIM(Base_Bruta!G329))</f>
        <v>Meia</v>
      </c>
      <c r="H329" s="4" t="n">
        <f aca="false">IF($A329="","",IF(ISNUMBER(Base_Bruta!H329),Base_Bruta!H329,IFERROR(_xlfn.NUMBERVALUE(TRIM(SUBSTITUTE(Base_Bruta!H329,"R$","")),",","."),0)))</f>
        <v>1</v>
      </c>
      <c r="I329" s="6" t="n">
        <f aca="false">IF($A329="","",IF(ISNUMBER(Base_Bruta!I329),Base_Bruta!I329,IFERROR(_xlfn.NUMBERVALUE(TRIM(SUBSTITUTE(Base_Bruta!I329,"R$","")),",","."),0)))</f>
        <v>117.5</v>
      </c>
      <c r="J329" s="6" t="n">
        <f aca="false">IF($A329="","",H329*I329)</f>
        <v>117.5</v>
      </c>
      <c r="K329" s="4" t="str">
        <f aca="false">IF($A329="","",TRIM(Base_Bruta!J329))</f>
        <v>App</v>
      </c>
      <c r="L329" s="4" t="str">
        <f aca="false">IF($A329="","",TRIM(Base_Bruta!K329))</f>
        <v>C01469</v>
      </c>
      <c r="M329" s="4" t="str">
        <f aca="false">IF($A329="","",_xlfn.XLOOKUP(LOWER(TRIM(Base_Bruta!L329)),DePara_Cidade!$A$2:$A$29,DePara_Cidade!$B$2:$B$29,"REVISAR"))</f>
        <v>São Paulo</v>
      </c>
      <c r="N329" s="4" t="str">
        <f aca="false">IF($A329="","",UPPER(TRIM(Base_Bruta!M329)))</f>
        <v>SP</v>
      </c>
      <c r="O329" s="4" t="str">
        <f aca="false">IF($A329="","",_xlfn.XLOOKUP(LOWER(TRIM(Base_Bruta!N329)),DePara_Pais!$A$2:$A$9,DePara_Pais!$B$2:$B$9,"REVISAR"))</f>
        <v>Brasil</v>
      </c>
      <c r="P329" s="4" t="str">
        <f aca="false">IF($A329="","",IF(O329&lt;&gt;"Brasil","Turista Internacional",IF(M329=F329,"Local","Turista Nacional")))</f>
        <v>Local</v>
      </c>
      <c r="Q329" s="7" t="n">
        <f aca="false">IF($A329="","",DATE(YEAR(B329),MONTH(B329),1))</f>
        <v>45901</v>
      </c>
      <c r="R329" s="4" t="str">
        <f aca="false">IF($A329="","",IF(COUNTIF($A$2:$A329,$A329)&gt;1,"Sim","Não"))</f>
        <v>Não</v>
      </c>
      <c r="S329" s="4" t="str">
        <f aca="false">IF(A329="","Descartar - Linha vazia",IF(R329="Sim","Descartar - Duplicado",IF(OR(H329&lt;=0,I329&lt;=0),"Descartar - Qtd/Valor inválido","OK")))</f>
        <v>OK</v>
      </c>
      <c r="T329" s="4" t="str">
        <f aca="false">Base_Bruta!P329</f>
        <v>vendas_SP.xlsx</v>
      </c>
    </row>
    <row r="330" customFormat="false" ht="15" hidden="false" customHeight="false" outlineLevel="0" collapsed="false">
      <c r="A330" s="4" t="str">
        <f aca="false">IF(Base_Bruta!A330="","",Base_Bruta!A330)</f>
        <v>SP-000486</v>
      </c>
      <c r="B330" s="5" t="n">
        <f aca="false">IF($A330="","",IF(ISNUMBER(Base_Bruta!B330),Base_Bruta!B330,IF(MID(Base_Bruta!B330,5,1)="-",DATE(VALUE(LEFT(Base_Bruta!B330,4)),VALUE(MID(Base_Bruta!B330,6,2)),VALUE(RIGHT(Base_Bruta!B330,2))),DATE(VALUE(RIGHT(Base_Bruta!B330,4)),VALUE(MID(Base_Bruta!B330,4,2)),VALUE(LEFT(Base_Bruta!B330,2))))))</f>
        <v>45925</v>
      </c>
      <c r="C330" s="5" t="n">
        <f aca="false">IF($A330="","",IF(ISNUMBER(Base_Bruta!C330),Base_Bruta!C330,IF(MID(Base_Bruta!C330,5,1)="-",DATE(VALUE(LEFT(Base_Bruta!C330,4)),VALUE(MID(Base_Bruta!C330,6,2)),VALUE(RIGHT(Base_Bruta!C330,2))),DATE(VALUE(RIGHT(Base_Bruta!C330,4)),VALUE(MID(Base_Bruta!C330,4,2)),VALUE(LEFT(Base_Bruta!C330,2))))))</f>
        <v>45934</v>
      </c>
      <c r="D330" s="4" t="str">
        <f aca="false">IF($A330="","",TRIM(Base_Bruta!D330))</f>
        <v>Turnê Internacional Pop - SP</v>
      </c>
      <c r="E330" s="4" t="str">
        <f aca="false">IF($A330="","",_xlfn.XLOOKUP(LOWER(TRIM(Base_Bruta!E330)),DePara_Categoria!$A$2:$A$9,DePara_Categoria!$B$2:$B$9,"REVISAR"))</f>
        <v>Show</v>
      </c>
      <c r="F330" s="4" t="str">
        <f aca="false">IF($A330="","",_xlfn.XLOOKUP(LOWER(TRIM(Base_Bruta!F330)),DePara_Cidade!$A$2:$A$29,DePara_Cidade!$B$2:$B$29,"REVISAR"))</f>
        <v>São Paulo</v>
      </c>
      <c r="G330" s="4" t="str">
        <f aca="false">IF($A330="","",TRIM(Base_Bruta!G330))</f>
        <v>Inteira</v>
      </c>
      <c r="H330" s="4" t="n">
        <f aca="false">IF($A330="","",IF(ISNUMBER(Base_Bruta!H330),Base_Bruta!H330,IFERROR(_xlfn.NUMBERVALUE(TRIM(SUBSTITUTE(Base_Bruta!H330,"R$","")),",","."),0)))</f>
        <v>3</v>
      </c>
      <c r="I330" s="6" t="n">
        <f aca="false">IF($A330="","",IF(ISNUMBER(Base_Bruta!I330),Base_Bruta!I330,IFERROR(_xlfn.NUMBERVALUE(TRIM(SUBSTITUTE(Base_Bruta!I330,"R$","")),",","."),0)))</f>
        <v>760</v>
      </c>
      <c r="J330" s="6" t="n">
        <f aca="false">IF($A330="","",H330*I330)</f>
        <v>2280</v>
      </c>
      <c r="K330" s="4" t="str">
        <f aca="false">IF($A330="","",TRIM(Base_Bruta!J330))</f>
        <v>Site</v>
      </c>
      <c r="L330" s="4" t="str">
        <f aca="false">IF($A330="","",TRIM(Base_Bruta!K330))</f>
        <v>C00609</v>
      </c>
      <c r="M330" s="4" t="str">
        <f aca="false">IF($A330="","",_xlfn.XLOOKUP(LOWER(TRIM(Base_Bruta!L330)),DePara_Cidade!$A$2:$A$29,DePara_Cidade!$B$2:$B$29,"REVISAR"))</f>
        <v>São Paulo</v>
      </c>
      <c r="N330" s="4" t="str">
        <f aca="false">IF($A330="","",UPPER(TRIM(Base_Bruta!M330)))</f>
        <v>SP</v>
      </c>
      <c r="O330" s="4" t="str">
        <f aca="false">IF($A330="","",_xlfn.XLOOKUP(LOWER(TRIM(Base_Bruta!N330)),DePara_Pais!$A$2:$A$9,DePara_Pais!$B$2:$B$9,"REVISAR"))</f>
        <v>Brasil</v>
      </c>
      <c r="P330" s="4" t="str">
        <f aca="false">IF($A330="","",IF(O330&lt;&gt;"Brasil","Turista Internacional",IF(M330=F330,"Local","Turista Nacional")))</f>
        <v>Local</v>
      </c>
      <c r="Q330" s="7" t="n">
        <f aca="false">IF($A330="","",DATE(YEAR(B330),MONTH(B330),1))</f>
        <v>45901</v>
      </c>
      <c r="R330" s="4" t="str">
        <f aca="false">IF($A330="","",IF(COUNTIF($A$2:$A330,$A330)&gt;1,"Sim","Não"))</f>
        <v>Não</v>
      </c>
      <c r="S330" s="4" t="str">
        <f aca="false">IF(A330="","Descartar - Linha vazia",IF(R330="Sim","Descartar - Duplicado",IF(OR(H330&lt;=0,I330&lt;=0),"Descartar - Qtd/Valor inválido","OK")))</f>
        <v>OK</v>
      </c>
      <c r="T330" s="4" t="str">
        <f aca="false">Base_Bruta!P330</f>
        <v>vendas_SP.xlsx</v>
      </c>
    </row>
    <row r="331" customFormat="false" ht="15" hidden="false" customHeight="false" outlineLevel="0" collapsed="false">
      <c r="A331" s="4" t="str">
        <f aca="false">IF(Base_Bruta!A331="","",Base_Bruta!A331)</f>
        <v>SP-000020</v>
      </c>
      <c r="B331" s="5" t="n">
        <f aca="false">IF($A331="","",IF(ISNUMBER(Base_Bruta!B331),Base_Bruta!B331,IF(MID(Base_Bruta!B331,5,1)="-",DATE(VALUE(LEFT(Base_Bruta!B331,4)),VALUE(MID(Base_Bruta!B331,6,2)),VALUE(RIGHT(Base_Bruta!B331,2))),DATE(VALUE(RIGHT(Base_Bruta!B331,4)),VALUE(MID(Base_Bruta!B331,4,2)),VALUE(LEFT(Base_Bruta!B331,2))))))</f>
        <v>45927</v>
      </c>
      <c r="C331" s="5" t="n">
        <f aca="false">IF($A331="","",IF(ISNUMBER(Base_Bruta!C331),Base_Bruta!C331,IF(MID(Base_Bruta!C331,5,1)="-",DATE(VALUE(LEFT(Base_Bruta!C331,4)),VALUE(MID(Base_Bruta!C331,6,2)),VALUE(RIGHT(Base_Bruta!C331,2))),DATE(VALUE(RIGHT(Base_Bruta!C331,4)),VALUE(MID(Base_Bruta!C331,4,2)),VALUE(LEFT(Base_Bruta!C331,2))))))</f>
        <v>45976</v>
      </c>
      <c r="D331" s="4" t="str">
        <f aca="false">IF($A331="","",TRIM(Base_Bruta!D331))</f>
        <v>Festival Sonora SP 2025</v>
      </c>
      <c r="E331" s="4" t="str">
        <f aca="false">IF($A331="","",_xlfn.XLOOKUP(LOWER(TRIM(Base_Bruta!E331)),DePara_Categoria!$A$2:$A$9,DePara_Categoria!$B$2:$B$9,"REVISAR"))</f>
        <v>Festival</v>
      </c>
      <c r="F331" s="4" t="str">
        <f aca="false">IF($A331="","",_xlfn.XLOOKUP(LOWER(TRIM(Base_Bruta!F331)),DePara_Cidade!$A$2:$A$29,DePara_Cidade!$B$2:$B$29,"REVISAR"))</f>
        <v>São Paulo</v>
      </c>
      <c r="G331" s="4" t="str">
        <f aca="false">IF($A331="","",TRIM(Base_Bruta!G331))</f>
        <v>Meia</v>
      </c>
      <c r="H331" s="4" t="n">
        <f aca="false">IF($A331="","",IF(ISNUMBER(Base_Bruta!H331),Base_Bruta!H331,IFERROR(_xlfn.NUMBERVALUE(TRIM(SUBSTITUTE(Base_Bruta!H331,"R$","")),",","."),0)))</f>
        <v>2</v>
      </c>
      <c r="I331" s="6" t="n">
        <f aca="false">IF($A331="","",IF(ISNUMBER(Base_Bruta!I331),Base_Bruta!I331,IFERROR(_xlfn.NUMBERVALUE(TRIM(SUBSTITUTE(Base_Bruta!I331,"R$","")),",","."),0)))</f>
        <v>500</v>
      </c>
      <c r="J331" s="6" t="n">
        <f aca="false">IF($A331="","",H331*I331)</f>
        <v>1000</v>
      </c>
      <c r="K331" s="4" t="str">
        <f aca="false">IF($A331="","",TRIM(Base_Bruta!J331))</f>
        <v>Site</v>
      </c>
      <c r="L331" s="4" t="str">
        <f aca="false">IF($A331="","",TRIM(Base_Bruta!K331))</f>
        <v>C02098</v>
      </c>
      <c r="M331" s="4" t="str">
        <f aca="false">IF($A331="","",_xlfn.XLOOKUP(LOWER(TRIM(Base_Bruta!L331)),DePara_Cidade!$A$2:$A$29,DePara_Cidade!$B$2:$B$29,"REVISAR"))</f>
        <v>São Paulo</v>
      </c>
      <c r="N331" s="4" t="str">
        <f aca="false">IF($A331="","",UPPER(TRIM(Base_Bruta!M331)))</f>
        <v>SP</v>
      </c>
      <c r="O331" s="4" t="str">
        <f aca="false">IF($A331="","",_xlfn.XLOOKUP(LOWER(TRIM(Base_Bruta!N331)),DePara_Pais!$A$2:$A$9,DePara_Pais!$B$2:$B$9,"REVISAR"))</f>
        <v>Brasil</v>
      </c>
      <c r="P331" s="4" t="str">
        <f aca="false">IF($A331="","",IF(O331&lt;&gt;"Brasil","Turista Internacional",IF(M331=F331,"Local","Turista Nacional")))</f>
        <v>Local</v>
      </c>
      <c r="Q331" s="7" t="n">
        <f aca="false">IF($A331="","",DATE(YEAR(B331),MONTH(B331),1))</f>
        <v>45901</v>
      </c>
      <c r="R331" s="4" t="str">
        <f aca="false">IF($A331="","",IF(COUNTIF($A$2:$A331,$A331)&gt;1,"Sim","Não"))</f>
        <v>Não</v>
      </c>
      <c r="S331" s="4" t="str">
        <f aca="false">IF(A331="","Descartar - Linha vazia",IF(R331="Sim","Descartar - Duplicado",IF(OR(H331&lt;=0,I331&lt;=0),"Descartar - Qtd/Valor inválido","OK")))</f>
        <v>OK</v>
      </c>
      <c r="T331" s="4" t="str">
        <f aca="false">Base_Bruta!P331</f>
        <v>vendas_SP.xlsx</v>
      </c>
    </row>
    <row r="332" customFormat="false" ht="15" hidden="false" customHeight="false" outlineLevel="0" collapsed="false">
      <c r="A332" s="4" t="str">
        <f aca="false">IF(Base_Bruta!A332="","",Base_Bruta!A332)</f>
        <v>SP-000107</v>
      </c>
      <c r="B332" s="5" t="n">
        <f aca="false">IF($A332="","",IF(ISNUMBER(Base_Bruta!B332),Base_Bruta!B332,IF(MID(Base_Bruta!B332,5,1)="-",DATE(VALUE(LEFT(Base_Bruta!B332,4)),VALUE(MID(Base_Bruta!B332,6,2)),VALUE(RIGHT(Base_Bruta!B332,2))),DATE(VALUE(RIGHT(Base_Bruta!B332,4)),VALUE(MID(Base_Bruta!B332,4,2)),VALUE(LEFT(Base_Bruta!B332,2))))))</f>
        <v>45927</v>
      </c>
      <c r="C332" s="5" t="n">
        <f aca="false">IF($A332="","",IF(ISNUMBER(Base_Bruta!C332),Base_Bruta!C332,IF(MID(Base_Bruta!C332,5,1)="-",DATE(VALUE(LEFT(Base_Bruta!C332,4)),VALUE(MID(Base_Bruta!C332,6,2)),VALUE(RIGHT(Base_Bruta!C332,2))),DATE(VALUE(RIGHT(Base_Bruta!C332,4)),VALUE(MID(Base_Bruta!C332,4,2)),VALUE(LEFT(Base_Bruta!C332,2))))))</f>
        <v>45976</v>
      </c>
      <c r="D332" s="4" t="str">
        <f aca="false">IF($A332="","",TRIM(Base_Bruta!D332))</f>
        <v>Festival Sonora SP 2025</v>
      </c>
      <c r="E332" s="4" t="str">
        <f aca="false">IF($A332="","",_xlfn.XLOOKUP(LOWER(TRIM(Base_Bruta!E332)),DePara_Categoria!$A$2:$A$9,DePara_Categoria!$B$2:$B$9,"REVISAR"))</f>
        <v>Festival</v>
      </c>
      <c r="F332" s="4" t="str">
        <f aca="false">IF($A332="","",_xlfn.XLOOKUP(LOWER(TRIM(Base_Bruta!F332)),DePara_Cidade!$A$2:$A$29,DePara_Cidade!$B$2:$B$29,"REVISAR"))</f>
        <v>São Paulo</v>
      </c>
      <c r="G332" s="4" t="str">
        <f aca="false">IF($A332="","",TRIM(Base_Bruta!G332))</f>
        <v>Meia</v>
      </c>
      <c r="H332" s="4" t="n">
        <f aca="false">IF($A332="","",IF(ISNUMBER(Base_Bruta!H332),Base_Bruta!H332,IFERROR(_xlfn.NUMBERVALUE(TRIM(SUBSTITUTE(Base_Bruta!H332,"R$","")),",","."),0)))</f>
        <v>2</v>
      </c>
      <c r="I332" s="6" t="n">
        <f aca="false">IF($A332="","",IF(ISNUMBER(Base_Bruta!I332),Base_Bruta!I332,IFERROR(_xlfn.NUMBERVALUE(TRIM(SUBSTITUTE(Base_Bruta!I332,"R$","")),",","."),0)))</f>
        <v>542.5</v>
      </c>
      <c r="J332" s="6" t="n">
        <f aca="false">IF($A332="","",H332*I332)</f>
        <v>1085</v>
      </c>
      <c r="K332" s="4" t="str">
        <f aca="false">IF($A332="","",TRIM(Base_Bruta!J332))</f>
        <v>Bilheteria</v>
      </c>
      <c r="L332" s="4" t="str">
        <f aca="false">IF($A332="","",TRIM(Base_Bruta!K332))</f>
        <v>C02302</v>
      </c>
      <c r="M332" s="4" t="str">
        <f aca="false">IF($A332="","",_xlfn.XLOOKUP(LOWER(TRIM(Base_Bruta!L332)),DePara_Cidade!$A$2:$A$29,DePara_Cidade!$B$2:$B$29,"REVISAR"))</f>
        <v>Campinas</v>
      </c>
      <c r="N332" s="4" t="str">
        <f aca="false">IF($A332="","",UPPER(TRIM(Base_Bruta!M332)))</f>
        <v>SP</v>
      </c>
      <c r="O332" s="4" t="str">
        <f aca="false">IF($A332="","",_xlfn.XLOOKUP(LOWER(TRIM(Base_Bruta!N332)),DePara_Pais!$A$2:$A$9,DePara_Pais!$B$2:$B$9,"REVISAR"))</f>
        <v>Brasil</v>
      </c>
      <c r="P332" s="4" t="str">
        <f aca="false">IF($A332="","",IF(O332&lt;&gt;"Brasil","Turista Internacional",IF(M332=F332,"Local","Turista Nacional")))</f>
        <v>Turista Nacional</v>
      </c>
      <c r="Q332" s="7" t="n">
        <f aca="false">IF($A332="","",DATE(YEAR(B332),MONTH(B332),1))</f>
        <v>45901</v>
      </c>
      <c r="R332" s="4" t="str">
        <f aca="false">IF($A332="","",IF(COUNTIF($A$2:$A332,$A332)&gt;1,"Sim","Não"))</f>
        <v>Não</v>
      </c>
      <c r="S332" s="4" t="str">
        <f aca="false">IF(A332="","Descartar - Linha vazia",IF(R332="Sim","Descartar - Duplicado",IF(OR(H332&lt;=0,I332&lt;=0),"Descartar - Qtd/Valor inválido","OK")))</f>
        <v>OK</v>
      </c>
      <c r="T332" s="4" t="str">
        <f aca="false">Base_Bruta!P332</f>
        <v>vendas_SP.xlsx</v>
      </c>
    </row>
    <row r="333" customFormat="false" ht="15" hidden="false" customHeight="false" outlineLevel="0" collapsed="false">
      <c r="A333" s="4" t="str">
        <f aca="false">IF(Base_Bruta!A333="","",Base_Bruta!A333)</f>
        <v>SP-000491</v>
      </c>
      <c r="B333" s="5" t="n">
        <f aca="false">IF($A333="","",IF(ISNUMBER(Base_Bruta!B333),Base_Bruta!B333,IF(MID(Base_Bruta!B333,5,1)="-",DATE(VALUE(LEFT(Base_Bruta!B333,4)),VALUE(MID(Base_Bruta!B333,6,2)),VALUE(RIGHT(Base_Bruta!B333,2))),DATE(VALUE(RIGHT(Base_Bruta!B333,4)),VALUE(MID(Base_Bruta!B333,4,2)),VALUE(LEFT(Base_Bruta!B333,2))))))</f>
        <v>45927</v>
      </c>
      <c r="C333" s="5" t="n">
        <f aca="false">IF($A333="","",IF(ISNUMBER(Base_Bruta!C333),Base_Bruta!C333,IF(MID(Base_Bruta!C333,5,1)="-",DATE(VALUE(LEFT(Base_Bruta!C333,4)),VALUE(MID(Base_Bruta!C333,6,2)),VALUE(RIGHT(Base_Bruta!C333,2))),DATE(VALUE(RIGHT(Base_Bruta!C333,4)),VALUE(MID(Base_Bruta!C333,4,2)),VALUE(LEFT(Base_Bruta!C333,2))))))</f>
        <v>45934</v>
      </c>
      <c r="D333" s="4" t="str">
        <f aca="false">IF($A333="","",TRIM(Base_Bruta!D333))</f>
        <v>Turnê Internacional Pop - SP</v>
      </c>
      <c r="E333" s="4" t="str">
        <f aca="false">IF($A333="","",_xlfn.XLOOKUP(LOWER(TRIM(Base_Bruta!E333)),DePara_Categoria!$A$2:$A$9,DePara_Categoria!$B$2:$B$9,"REVISAR"))</f>
        <v>Show</v>
      </c>
      <c r="F333" s="4" t="str">
        <f aca="false">IF($A333="","",_xlfn.XLOOKUP(LOWER(TRIM(Base_Bruta!F333)),DePara_Cidade!$A$2:$A$29,DePara_Cidade!$B$2:$B$29,"REVISAR"))</f>
        <v>São Paulo</v>
      </c>
      <c r="G333" s="4" t="str">
        <f aca="false">IF($A333="","",TRIM(Base_Bruta!G333))</f>
        <v>Inteira</v>
      </c>
      <c r="H333" s="4" t="n">
        <f aca="false">IF($A333="","",IF(ISNUMBER(Base_Bruta!H333),Base_Bruta!H333,IFERROR(_xlfn.NUMBERVALUE(TRIM(SUBSTITUTE(Base_Bruta!H333,"R$","")),",","."),0)))</f>
        <v>3</v>
      </c>
      <c r="I333" s="6" t="n">
        <f aca="false">IF($A333="","",IF(ISNUMBER(Base_Bruta!I333),Base_Bruta!I333,IFERROR(_xlfn.NUMBERVALUE(TRIM(SUBSTITUTE(Base_Bruta!I333,"R$","")),",","."),0)))</f>
        <v>695</v>
      </c>
      <c r="J333" s="6" t="n">
        <f aca="false">IF($A333="","",H333*I333)</f>
        <v>2085</v>
      </c>
      <c r="K333" s="4" t="str">
        <f aca="false">IF($A333="","",TRIM(Base_Bruta!J333))</f>
        <v>App</v>
      </c>
      <c r="L333" s="4" t="str">
        <f aca="false">IF($A333="","",TRIM(Base_Bruta!K333))</f>
        <v>C01732</v>
      </c>
      <c r="M333" s="4" t="str">
        <f aca="false">IF($A333="","",_xlfn.XLOOKUP(LOWER(TRIM(Base_Bruta!L333)),DePara_Cidade!$A$2:$A$29,DePara_Cidade!$B$2:$B$29,"REVISAR"))</f>
        <v>Salvador</v>
      </c>
      <c r="N333" s="4" t="str">
        <f aca="false">IF($A333="","",UPPER(TRIM(Base_Bruta!M333)))</f>
        <v>BA</v>
      </c>
      <c r="O333" s="4" t="str">
        <f aca="false">IF($A333="","",_xlfn.XLOOKUP(LOWER(TRIM(Base_Bruta!N333)),DePara_Pais!$A$2:$A$9,DePara_Pais!$B$2:$B$9,"REVISAR"))</f>
        <v>Brasil</v>
      </c>
      <c r="P333" s="4" t="str">
        <f aca="false">IF($A333="","",IF(O333&lt;&gt;"Brasil","Turista Internacional",IF(M333=F333,"Local","Turista Nacional")))</f>
        <v>Turista Nacional</v>
      </c>
      <c r="Q333" s="7" t="n">
        <f aca="false">IF($A333="","",DATE(YEAR(B333),MONTH(B333),1))</f>
        <v>45901</v>
      </c>
      <c r="R333" s="4" t="str">
        <f aca="false">IF($A333="","",IF(COUNTIF($A$2:$A333,$A333)&gt;1,"Sim","Não"))</f>
        <v>Não</v>
      </c>
      <c r="S333" s="4" t="str">
        <f aca="false">IF(A333="","Descartar - Linha vazia",IF(R333="Sim","Descartar - Duplicado",IF(OR(H333&lt;=0,I333&lt;=0),"Descartar - Qtd/Valor inválido","OK")))</f>
        <v>OK</v>
      </c>
      <c r="T333" s="4" t="str">
        <f aca="false">Base_Bruta!P333</f>
        <v>vendas_SP.xlsx</v>
      </c>
    </row>
    <row r="334" customFormat="false" ht="15" hidden="false" customHeight="false" outlineLevel="0" collapsed="false">
      <c r="A334" s="4" t="str">
        <f aca="false">IF(Base_Bruta!A334="","",Base_Bruta!A334)</f>
        <v>SP-000501</v>
      </c>
      <c r="B334" s="5" t="n">
        <f aca="false">IF($A334="","",IF(ISNUMBER(Base_Bruta!B334),Base_Bruta!B334,IF(MID(Base_Bruta!B334,5,1)="-",DATE(VALUE(LEFT(Base_Bruta!B334,4)),VALUE(MID(Base_Bruta!B334,6,2)),VALUE(RIGHT(Base_Bruta!B334,2))),DATE(VALUE(RIGHT(Base_Bruta!B334,4)),VALUE(MID(Base_Bruta!B334,4,2)),VALUE(LEFT(Base_Bruta!B334,2))))))</f>
        <v>45927</v>
      </c>
      <c r="C334" s="5" t="n">
        <f aca="false">IF($A334="","",IF(ISNUMBER(Base_Bruta!C334),Base_Bruta!C334,IF(MID(Base_Bruta!C334,5,1)="-",DATE(VALUE(LEFT(Base_Bruta!C334,4)),VALUE(MID(Base_Bruta!C334,6,2)),VALUE(RIGHT(Base_Bruta!C334,2))),DATE(VALUE(RIGHT(Base_Bruta!C334,4)),VALUE(MID(Base_Bruta!C334,4,2)),VALUE(LEFT(Base_Bruta!C334,2))))))</f>
        <v>45934</v>
      </c>
      <c r="D334" s="4" t="str">
        <f aca="false">IF($A334="","",TRIM(Base_Bruta!D334))</f>
        <v>Turnê Internacional Pop - SP</v>
      </c>
      <c r="E334" s="4" t="str">
        <f aca="false">IF($A334="","",_xlfn.XLOOKUP(LOWER(TRIM(Base_Bruta!E334)),DePara_Categoria!$A$2:$A$9,DePara_Categoria!$B$2:$B$9,"REVISAR"))</f>
        <v>Show</v>
      </c>
      <c r="F334" s="4" t="str">
        <f aca="false">IF($A334="","",_xlfn.XLOOKUP(LOWER(TRIM(Base_Bruta!F334)),DePara_Cidade!$A$2:$A$29,DePara_Cidade!$B$2:$B$29,"REVISAR"))</f>
        <v>São Paulo</v>
      </c>
      <c r="G334" s="4" t="str">
        <f aca="false">IF($A334="","",TRIM(Base_Bruta!G334))</f>
        <v>Inteira</v>
      </c>
      <c r="H334" s="4" t="n">
        <f aca="false">IF($A334="","",IF(ISNUMBER(Base_Bruta!H334),Base_Bruta!H334,IFERROR(_xlfn.NUMBERVALUE(TRIM(SUBSTITUTE(Base_Bruta!H334,"R$","")),",","."),0)))</f>
        <v>3</v>
      </c>
      <c r="I334" s="6" t="n">
        <f aca="false">IF($A334="","",IF(ISNUMBER(Base_Bruta!I334),Base_Bruta!I334,IFERROR(_xlfn.NUMBERVALUE(TRIM(SUBSTITUTE(Base_Bruta!I334,"R$","")),",","."),0)))</f>
        <v>425</v>
      </c>
      <c r="J334" s="6" t="n">
        <f aca="false">IF($A334="","",H334*I334)</f>
        <v>1275</v>
      </c>
      <c r="K334" s="4" t="str">
        <f aca="false">IF($A334="","",TRIM(Base_Bruta!J334))</f>
        <v>Site</v>
      </c>
      <c r="L334" s="4" t="str">
        <f aca="false">IF($A334="","",TRIM(Base_Bruta!K334))</f>
        <v>C01651</v>
      </c>
      <c r="M334" s="4" t="str">
        <f aca="false">IF($A334="","",_xlfn.XLOOKUP(LOWER(TRIM(Base_Bruta!L334)),DePara_Cidade!$A$2:$A$29,DePara_Cidade!$B$2:$B$29,"REVISAR"))</f>
        <v>São Paulo</v>
      </c>
      <c r="N334" s="4" t="str">
        <f aca="false">IF($A334="","",UPPER(TRIM(Base_Bruta!M334)))</f>
        <v>SP</v>
      </c>
      <c r="O334" s="4" t="str">
        <f aca="false">IF($A334="","",_xlfn.XLOOKUP(LOWER(TRIM(Base_Bruta!N334)),DePara_Pais!$A$2:$A$9,DePara_Pais!$B$2:$B$9,"REVISAR"))</f>
        <v>Brasil</v>
      </c>
      <c r="P334" s="4" t="str">
        <f aca="false">IF($A334="","",IF(O334&lt;&gt;"Brasil","Turista Internacional",IF(M334=F334,"Local","Turista Nacional")))</f>
        <v>Local</v>
      </c>
      <c r="Q334" s="7" t="n">
        <f aca="false">IF($A334="","",DATE(YEAR(B334),MONTH(B334),1))</f>
        <v>45901</v>
      </c>
      <c r="R334" s="4" t="str">
        <f aca="false">IF($A334="","",IF(COUNTIF($A$2:$A334,$A334)&gt;1,"Sim","Não"))</f>
        <v>Não</v>
      </c>
      <c r="S334" s="4" t="str">
        <f aca="false">IF(A334="","Descartar - Linha vazia",IF(R334="Sim","Descartar - Duplicado",IF(OR(H334&lt;=0,I334&lt;=0),"Descartar - Qtd/Valor inválido","OK")))</f>
        <v>OK</v>
      </c>
      <c r="T334" s="4" t="str">
        <f aca="false">Base_Bruta!P334</f>
        <v>vendas_SP.xlsx</v>
      </c>
    </row>
    <row r="335" customFormat="false" ht="15" hidden="false" customHeight="false" outlineLevel="0" collapsed="false">
      <c r="A335" s="4" t="str">
        <f aca="false">IF(Base_Bruta!A335="","",Base_Bruta!A335)</f>
        <v>SP-000602</v>
      </c>
      <c r="B335" s="5" t="n">
        <f aca="false">IF($A335="","",IF(ISNUMBER(Base_Bruta!B335),Base_Bruta!B335,IF(MID(Base_Bruta!B335,5,1)="-",DATE(VALUE(LEFT(Base_Bruta!B335,4)),VALUE(MID(Base_Bruta!B335,6,2)),VALUE(RIGHT(Base_Bruta!B335,2))),DATE(VALUE(RIGHT(Base_Bruta!B335,4)),VALUE(MID(Base_Bruta!B335,4,2)),VALUE(LEFT(Base_Bruta!B335,2))))))</f>
        <v>45927</v>
      </c>
      <c r="C335" s="5" t="n">
        <f aca="false">IF($A335="","",IF(ISNUMBER(Base_Bruta!C335),Base_Bruta!C335,IF(MID(Base_Bruta!C335,5,1)="-",DATE(VALUE(LEFT(Base_Bruta!C335,4)),VALUE(MID(Base_Bruta!C335,6,2)),VALUE(RIGHT(Base_Bruta!C335,2))),DATE(VALUE(RIGHT(Base_Bruta!C335,4)),VALUE(MID(Base_Bruta!C335,4,2)),VALUE(LEFT(Base_Bruta!C335,2))))))</f>
        <v>45934</v>
      </c>
      <c r="D335" s="4" t="str">
        <f aca="false">IF($A335="","",TRIM(Base_Bruta!D335))</f>
        <v>Turnê Internacional Pop - SP</v>
      </c>
      <c r="E335" s="4" t="str">
        <f aca="false">IF($A335="","",_xlfn.XLOOKUP(LOWER(TRIM(Base_Bruta!E335)),DePara_Categoria!$A$2:$A$9,DePara_Categoria!$B$2:$B$9,"REVISAR"))</f>
        <v>Show</v>
      </c>
      <c r="F335" s="4" t="str">
        <f aca="false">IF($A335="","",_xlfn.XLOOKUP(LOWER(TRIM(Base_Bruta!F335)),DePara_Cidade!$A$2:$A$29,DePara_Cidade!$B$2:$B$29,"REVISAR"))</f>
        <v>São Paulo</v>
      </c>
      <c r="G335" s="4" t="str">
        <f aca="false">IF($A335="","",TRIM(Base_Bruta!G335))</f>
        <v>Inteira</v>
      </c>
      <c r="H335" s="4" t="n">
        <f aca="false">IF($A335="","",IF(ISNUMBER(Base_Bruta!H335),Base_Bruta!H335,IFERROR(_xlfn.NUMBERVALUE(TRIM(SUBSTITUTE(Base_Bruta!H335,"R$","")),",","."),0)))</f>
        <v>2</v>
      </c>
      <c r="I335" s="6" t="n">
        <f aca="false">IF($A335="","",IF(ISNUMBER(Base_Bruta!I335),Base_Bruta!I335,IFERROR(_xlfn.NUMBERVALUE(TRIM(SUBSTITUTE(Base_Bruta!I335,"R$","")),",","."),0)))</f>
        <v>710</v>
      </c>
      <c r="J335" s="6" t="n">
        <f aca="false">IF($A335="","",H335*I335)</f>
        <v>1420</v>
      </c>
      <c r="K335" s="4" t="str">
        <f aca="false">IF($A335="","",TRIM(Base_Bruta!J335))</f>
        <v>Site</v>
      </c>
      <c r="L335" s="4" t="str">
        <f aca="false">IF($A335="","",TRIM(Base_Bruta!K335))</f>
        <v>C00870</v>
      </c>
      <c r="M335" s="4" t="str">
        <f aca="false">IF($A335="","",_xlfn.XLOOKUP(LOWER(TRIM(Base_Bruta!L335)),DePara_Cidade!$A$2:$A$29,DePara_Cidade!$B$2:$B$29,"REVISAR"))</f>
        <v>São Paulo</v>
      </c>
      <c r="N335" s="4" t="str">
        <f aca="false">IF($A335="","",UPPER(TRIM(Base_Bruta!M335)))</f>
        <v>SP</v>
      </c>
      <c r="O335" s="4" t="str">
        <f aca="false">IF($A335="","",_xlfn.XLOOKUP(LOWER(TRIM(Base_Bruta!N335)),DePara_Pais!$A$2:$A$9,DePara_Pais!$B$2:$B$9,"REVISAR"))</f>
        <v>Brasil</v>
      </c>
      <c r="P335" s="4" t="str">
        <f aca="false">IF($A335="","",IF(O335&lt;&gt;"Brasil","Turista Internacional",IF(M335=F335,"Local","Turista Nacional")))</f>
        <v>Local</v>
      </c>
      <c r="Q335" s="7" t="n">
        <f aca="false">IF($A335="","",DATE(YEAR(B335),MONTH(B335),1))</f>
        <v>45901</v>
      </c>
      <c r="R335" s="4" t="str">
        <f aca="false">IF($A335="","",IF(COUNTIF($A$2:$A335,$A335)&gt;1,"Sim","Não"))</f>
        <v>Não</v>
      </c>
      <c r="S335" s="4" t="str">
        <f aca="false">IF(A335="","Descartar - Linha vazia",IF(R335="Sim","Descartar - Duplicado",IF(OR(H335&lt;=0,I335&lt;=0),"Descartar - Qtd/Valor inválido","OK")))</f>
        <v>OK</v>
      </c>
      <c r="T335" s="4" t="str">
        <f aca="false">Base_Bruta!P335</f>
        <v>vendas_SP.xlsx</v>
      </c>
    </row>
    <row r="336" customFormat="false" ht="15" hidden="false" customHeight="false" outlineLevel="0" collapsed="false">
      <c r="A336" s="4" t="str">
        <f aca="false">IF(Base_Bruta!A336="","",Base_Bruta!A336)</f>
        <v>SP-000613</v>
      </c>
      <c r="B336" s="5" t="n">
        <f aca="false">IF($A336="","",IF(ISNUMBER(Base_Bruta!B336),Base_Bruta!B336,IF(MID(Base_Bruta!B336,5,1)="-",DATE(VALUE(LEFT(Base_Bruta!B336,4)),VALUE(MID(Base_Bruta!B336,6,2)),VALUE(RIGHT(Base_Bruta!B336,2))),DATE(VALUE(RIGHT(Base_Bruta!B336,4)),VALUE(MID(Base_Bruta!B336,4,2)),VALUE(LEFT(Base_Bruta!B336,2))))))</f>
        <v>45927</v>
      </c>
      <c r="C336" s="5" t="n">
        <f aca="false">IF($A336="","",IF(ISNUMBER(Base_Bruta!C336),Base_Bruta!C336,IF(MID(Base_Bruta!C336,5,1)="-",DATE(VALUE(LEFT(Base_Bruta!C336,4)),VALUE(MID(Base_Bruta!C336,6,2)),VALUE(RIGHT(Base_Bruta!C336,2))),DATE(VALUE(RIGHT(Base_Bruta!C336,4)),VALUE(MID(Base_Bruta!C336,4,2)),VALUE(LEFT(Base_Bruta!C336,2))))))</f>
        <v>45930</v>
      </c>
      <c r="D336" s="4" t="str">
        <f aca="false">IF($A336="","",TRIM(Base_Bruta!D336))</f>
        <v>Cinema Paulista - Sessões</v>
      </c>
      <c r="E336" s="4" t="str">
        <f aca="false">IF($A336="","",_xlfn.XLOOKUP(LOWER(TRIM(Base_Bruta!E336)),DePara_Categoria!$A$2:$A$9,DePara_Categoria!$B$2:$B$9,"REVISAR"))</f>
        <v>Cinema</v>
      </c>
      <c r="F336" s="4" t="str">
        <f aca="false">IF($A336="","",_xlfn.XLOOKUP(LOWER(TRIM(Base_Bruta!F336)),DePara_Cidade!$A$2:$A$29,DePara_Cidade!$B$2:$B$29,"REVISAR"))</f>
        <v>São Paulo</v>
      </c>
      <c r="G336" s="4" t="str">
        <f aca="false">IF($A336="","",TRIM(Base_Bruta!G336))</f>
        <v>Inteira</v>
      </c>
      <c r="H336" s="4" t="n">
        <f aca="false">IF($A336="","",IF(ISNUMBER(Base_Bruta!H336),Base_Bruta!H336,IFERROR(_xlfn.NUMBERVALUE(TRIM(SUBSTITUTE(Base_Bruta!H336,"R$","")),",","."),0)))</f>
        <v>2</v>
      </c>
      <c r="I336" s="6" t="n">
        <f aca="false">IF($A336="","",IF(ISNUMBER(Base_Bruta!I336),Base_Bruta!I336,IFERROR(_xlfn.NUMBERVALUE(TRIM(SUBSTITUTE(Base_Bruta!I336,"R$","")),",","."),0)))</f>
        <v>40</v>
      </c>
      <c r="J336" s="6" t="n">
        <f aca="false">IF($A336="","",H336*I336)</f>
        <v>80</v>
      </c>
      <c r="K336" s="4" t="str">
        <f aca="false">IF($A336="","",TRIM(Base_Bruta!J336))</f>
        <v>Site</v>
      </c>
      <c r="L336" s="4" t="str">
        <f aca="false">IF($A336="","",TRIM(Base_Bruta!K336))</f>
        <v>C00463</v>
      </c>
      <c r="M336" s="4" t="str">
        <f aca="false">IF($A336="","",_xlfn.XLOOKUP(LOWER(TRIM(Base_Bruta!L336)),DePara_Cidade!$A$2:$A$29,DePara_Cidade!$B$2:$B$29,"REVISAR"))</f>
        <v>São Paulo</v>
      </c>
      <c r="N336" s="4" t="str">
        <f aca="false">IF($A336="","",UPPER(TRIM(Base_Bruta!M336)))</f>
        <v>SP</v>
      </c>
      <c r="O336" s="4" t="str">
        <f aca="false">IF($A336="","",_xlfn.XLOOKUP(LOWER(TRIM(Base_Bruta!N336)),DePara_Pais!$A$2:$A$9,DePara_Pais!$B$2:$B$9,"REVISAR"))</f>
        <v>Brasil</v>
      </c>
      <c r="P336" s="4" t="str">
        <f aca="false">IF($A336="","",IF(O336&lt;&gt;"Brasil","Turista Internacional",IF(M336=F336,"Local","Turista Nacional")))</f>
        <v>Local</v>
      </c>
      <c r="Q336" s="7" t="n">
        <f aca="false">IF($A336="","",DATE(YEAR(B336),MONTH(B336),1))</f>
        <v>45901</v>
      </c>
      <c r="R336" s="4" t="str">
        <f aca="false">IF($A336="","",IF(COUNTIF($A$2:$A336,$A336)&gt;1,"Sim","Não"))</f>
        <v>Não</v>
      </c>
      <c r="S336" s="4" t="str">
        <f aca="false">IF(A336="","Descartar - Linha vazia",IF(R336="Sim","Descartar - Duplicado",IF(OR(H336&lt;=0,I336&lt;=0),"Descartar - Qtd/Valor inválido","OK")))</f>
        <v>OK</v>
      </c>
      <c r="T336" s="4" t="str">
        <f aca="false">Base_Bruta!P336</f>
        <v>vendas_SP.xlsx</v>
      </c>
    </row>
    <row r="337" customFormat="false" ht="15" hidden="false" customHeight="false" outlineLevel="0" collapsed="false">
      <c r="A337" s="4" t="str">
        <f aca="false">IF(Base_Bruta!A337="","",Base_Bruta!A337)</f>
        <v>SP-000680</v>
      </c>
      <c r="B337" s="5" t="n">
        <f aca="false">IF($A337="","",IF(ISNUMBER(Base_Bruta!B337),Base_Bruta!B337,IF(MID(Base_Bruta!B337,5,1)="-",DATE(VALUE(LEFT(Base_Bruta!B337,4)),VALUE(MID(Base_Bruta!B337,6,2)),VALUE(RIGHT(Base_Bruta!B337,2))),DATE(VALUE(RIGHT(Base_Bruta!B337,4)),VALUE(MID(Base_Bruta!B337,4,2)),VALUE(LEFT(Base_Bruta!B337,2))))))</f>
        <v>45927</v>
      </c>
      <c r="C337" s="5" t="n">
        <f aca="false">IF($A337="","",IF(ISNUMBER(Base_Bruta!C337),Base_Bruta!C337,IF(MID(Base_Bruta!C337,5,1)="-",DATE(VALUE(LEFT(Base_Bruta!C337,4)),VALUE(MID(Base_Bruta!C337,6,2)),VALUE(RIGHT(Base_Bruta!C337,2))),DATE(VALUE(RIGHT(Base_Bruta!C337,4)),VALUE(MID(Base_Bruta!C337,4,2)),VALUE(LEFT(Base_Bruta!C337,2))))))</f>
        <v>45929</v>
      </c>
      <c r="D337" s="4" t="str">
        <f aca="false">IF($A337="","",TRIM(Base_Bruta!D337))</f>
        <v>Cinema Paulista - Sessões</v>
      </c>
      <c r="E337" s="4" t="str">
        <f aca="false">IF($A337="","",_xlfn.XLOOKUP(LOWER(TRIM(Base_Bruta!E337)),DePara_Categoria!$A$2:$A$9,DePara_Categoria!$B$2:$B$9,"REVISAR"))</f>
        <v>Cinema</v>
      </c>
      <c r="F337" s="4" t="str">
        <f aca="false">IF($A337="","",_xlfn.XLOOKUP(LOWER(TRIM(Base_Bruta!F337)),DePara_Cidade!$A$2:$A$29,DePara_Cidade!$B$2:$B$29,"REVISAR"))</f>
        <v>São Paulo</v>
      </c>
      <c r="G337" s="4" t="str">
        <f aca="false">IF($A337="","",TRIM(Base_Bruta!G337))</f>
        <v>Inteira</v>
      </c>
      <c r="H337" s="4" t="n">
        <f aca="false">IF($A337="","",IF(ISNUMBER(Base_Bruta!H337),Base_Bruta!H337,IFERROR(_xlfn.NUMBERVALUE(TRIM(SUBSTITUTE(Base_Bruta!H337,"R$","")),",","."),0)))</f>
        <v>4</v>
      </c>
      <c r="I337" s="6" t="n">
        <f aca="false">IF($A337="","",IF(ISNUMBER(Base_Bruta!I337),Base_Bruta!I337,IFERROR(_xlfn.NUMBERVALUE(TRIM(SUBSTITUTE(Base_Bruta!I337,"R$","")),",","."),0)))</f>
        <v>45</v>
      </c>
      <c r="J337" s="6" t="n">
        <f aca="false">IF($A337="","",H337*I337)</f>
        <v>180</v>
      </c>
      <c r="K337" s="4" t="str">
        <f aca="false">IF($A337="","",TRIM(Base_Bruta!J337))</f>
        <v>App</v>
      </c>
      <c r="L337" s="4" t="str">
        <f aca="false">IF($A337="","",TRIM(Base_Bruta!K337))</f>
        <v>C00272</v>
      </c>
      <c r="M337" s="4" t="str">
        <f aca="false">IF($A337="","",_xlfn.XLOOKUP(LOWER(TRIM(Base_Bruta!L337)),DePara_Cidade!$A$2:$A$29,DePara_Cidade!$B$2:$B$29,"REVISAR"))</f>
        <v>São Paulo</v>
      </c>
      <c r="N337" s="4" t="str">
        <f aca="false">IF($A337="","",UPPER(TRIM(Base_Bruta!M337)))</f>
        <v>SP</v>
      </c>
      <c r="O337" s="4" t="str">
        <f aca="false">IF($A337="","",_xlfn.XLOOKUP(LOWER(TRIM(Base_Bruta!N337)),DePara_Pais!$A$2:$A$9,DePara_Pais!$B$2:$B$9,"REVISAR"))</f>
        <v>Brasil</v>
      </c>
      <c r="P337" s="4" t="str">
        <f aca="false">IF($A337="","",IF(O337&lt;&gt;"Brasil","Turista Internacional",IF(M337=F337,"Local","Turista Nacional")))</f>
        <v>Local</v>
      </c>
      <c r="Q337" s="7" t="n">
        <f aca="false">IF($A337="","",DATE(YEAR(B337),MONTH(B337),1))</f>
        <v>45901</v>
      </c>
      <c r="R337" s="4" t="str">
        <f aca="false">IF($A337="","",IF(COUNTIF($A$2:$A337,$A337)&gt;1,"Sim","Não"))</f>
        <v>Não</v>
      </c>
      <c r="S337" s="4" t="str">
        <f aca="false">IF(A337="","Descartar - Linha vazia",IF(R337="Sim","Descartar - Duplicado",IF(OR(H337&lt;=0,I337&lt;=0),"Descartar - Qtd/Valor inválido","OK")))</f>
        <v>OK</v>
      </c>
      <c r="T337" s="4" t="str">
        <f aca="false">Base_Bruta!P337</f>
        <v>vendas_SP.xlsx</v>
      </c>
    </row>
    <row r="338" customFormat="false" ht="15" hidden="false" customHeight="false" outlineLevel="0" collapsed="false">
      <c r="A338" s="4" t="str">
        <f aca="false">IF(Base_Bruta!A338="","",Base_Bruta!A338)</f>
        <v>SP-000192</v>
      </c>
      <c r="B338" s="5" t="n">
        <f aca="false">IF($A338="","",IF(ISNUMBER(Base_Bruta!B338),Base_Bruta!B338,IF(MID(Base_Bruta!B338,5,1)="-",DATE(VALUE(LEFT(Base_Bruta!B338,4)),VALUE(MID(Base_Bruta!B338,6,2)),VALUE(RIGHT(Base_Bruta!B338,2))),DATE(VALUE(RIGHT(Base_Bruta!B338,4)),VALUE(MID(Base_Bruta!B338,4,2)),VALUE(LEFT(Base_Bruta!B338,2))))))</f>
        <v>45928</v>
      </c>
      <c r="C338" s="5" t="n">
        <f aca="false">IF($A338="","",IF(ISNUMBER(Base_Bruta!C338),Base_Bruta!C338,IF(MID(Base_Bruta!C338,5,1)="-",DATE(VALUE(LEFT(Base_Bruta!C338,4)),VALUE(MID(Base_Bruta!C338,6,2)),VALUE(RIGHT(Base_Bruta!C338,2))),DATE(VALUE(RIGHT(Base_Bruta!C338,4)),VALUE(MID(Base_Bruta!C338,4,2)),VALUE(LEFT(Base_Bruta!C338,2))))))</f>
        <v>45976</v>
      </c>
      <c r="D338" s="4" t="str">
        <f aca="false">IF($A338="","",TRIM(Base_Bruta!D338))</f>
        <v>Festival Sonora SP 2025</v>
      </c>
      <c r="E338" s="4" t="str">
        <f aca="false">IF($A338="","",_xlfn.XLOOKUP(LOWER(TRIM(Base_Bruta!E338)),DePara_Categoria!$A$2:$A$9,DePara_Categoria!$B$2:$B$9,"REVISAR"))</f>
        <v>Festival</v>
      </c>
      <c r="F338" s="4" t="str">
        <f aca="false">IF($A338="","",_xlfn.XLOOKUP(LOWER(TRIM(Base_Bruta!F338)),DePara_Cidade!$A$2:$A$29,DePara_Cidade!$B$2:$B$29,"REVISAR"))</f>
        <v>São Paulo</v>
      </c>
      <c r="G338" s="4" t="str">
        <f aca="false">IF($A338="","",TRIM(Base_Bruta!G338))</f>
        <v>VIP</v>
      </c>
      <c r="H338" s="4" t="n">
        <f aca="false">IF($A338="","",IF(ISNUMBER(Base_Bruta!H338),Base_Bruta!H338,IFERROR(_xlfn.NUMBERVALUE(TRIM(SUBSTITUTE(Base_Bruta!H338,"R$","")),",","."),0)))</f>
        <v>0</v>
      </c>
      <c r="I338" s="6" t="n">
        <f aca="false">IF($A338="","",IF(ISNUMBER(Base_Bruta!I338),Base_Bruta!I338,IFERROR(_xlfn.NUMBERVALUE(TRIM(SUBSTITUTE(Base_Bruta!I338,"R$","")),",","."),0)))</f>
        <v>1590</v>
      </c>
      <c r="J338" s="6" t="n">
        <f aca="false">IF($A338="","",H338*I338)</f>
        <v>0</v>
      </c>
      <c r="K338" s="4" t="str">
        <f aca="false">IF($A338="","",TRIM(Base_Bruta!J338))</f>
        <v>Site</v>
      </c>
      <c r="L338" s="4" t="str">
        <f aca="false">IF($A338="","",TRIM(Base_Bruta!K338))</f>
        <v>C01424</v>
      </c>
      <c r="M338" s="4" t="str">
        <f aca="false">IF($A338="","",_xlfn.XLOOKUP(LOWER(TRIM(Base_Bruta!L338)),DePara_Cidade!$A$2:$A$29,DePara_Cidade!$B$2:$B$29,"REVISAR"))</f>
        <v>Campinas</v>
      </c>
      <c r="N338" s="4" t="str">
        <f aca="false">IF($A338="","",UPPER(TRIM(Base_Bruta!M338)))</f>
        <v>SP</v>
      </c>
      <c r="O338" s="4" t="str">
        <f aca="false">IF($A338="","",_xlfn.XLOOKUP(LOWER(TRIM(Base_Bruta!N338)),DePara_Pais!$A$2:$A$9,DePara_Pais!$B$2:$B$9,"REVISAR"))</f>
        <v>Brasil</v>
      </c>
      <c r="P338" s="4" t="str">
        <f aca="false">IF($A338="","",IF(O338&lt;&gt;"Brasil","Turista Internacional",IF(M338=F338,"Local","Turista Nacional")))</f>
        <v>Turista Nacional</v>
      </c>
      <c r="Q338" s="7" t="n">
        <f aca="false">IF($A338="","",DATE(YEAR(B338),MONTH(B338),1))</f>
        <v>45901</v>
      </c>
      <c r="R338" s="4" t="str">
        <f aca="false">IF($A338="","",IF(COUNTIF($A$2:$A338,$A338)&gt;1,"Sim","Não"))</f>
        <v>Não</v>
      </c>
      <c r="S338" s="4" t="str">
        <f aca="false">IF(A338="","Descartar - Linha vazia",IF(R338="Sim","Descartar - Duplicado",IF(OR(H338&lt;=0,I338&lt;=0),"Descartar - Qtd/Valor inválido","OK")))</f>
        <v>Descartar - Qtd/Valor inválido</v>
      </c>
      <c r="T338" s="4" t="str">
        <f aca="false">Base_Bruta!P338</f>
        <v>vendas_SP.xlsx</v>
      </c>
    </row>
    <row r="339" customFormat="false" ht="15" hidden="false" customHeight="false" outlineLevel="0" collapsed="false">
      <c r="A339" s="4" t="str">
        <f aca="false">IF(Base_Bruta!A339="","",Base_Bruta!A339)</f>
        <v>SP-000472</v>
      </c>
      <c r="B339" s="5" t="n">
        <f aca="false">IF($A339="","",IF(ISNUMBER(Base_Bruta!B339),Base_Bruta!B339,IF(MID(Base_Bruta!B339,5,1)="-",DATE(VALUE(LEFT(Base_Bruta!B339,4)),VALUE(MID(Base_Bruta!B339,6,2)),VALUE(RIGHT(Base_Bruta!B339,2))),DATE(VALUE(RIGHT(Base_Bruta!B339,4)),VALUE(MID(Base_Bruta!B339,4,2)),VALUE(LEFT(Base_Bruta!B339,2))))))</f>
        <v>45928</v>
      </c>
      <c r="C339" s="5" t="n">
        <f aca="false">IF($A339="","",IF(ISNUMBER(Base_Bruta!C339),Base_Bruta!C339,IF(MID(Base_Bruta!C339,5,1)="-",DATE(VALUE(LEFT(Base_Bruta!C339,4)),VALUE(MID(Base_Bruta!C339,6,2)),VALUE(RIGHT(Base_Bruta!C339,2))),DATE(VALUE(RIGHT(Base_Bruta!C339,4)),VALUE(MID(Base_Bruta!C339,4,2)),VALUE(LEFT(Base_Bruta!C339,2))))))</f>
        <v>45934</v>
      </c>
      <c r="D339" s="4" t="str">
        <f aca="false">IF($A339="","",TRIM(Base_Bruta!D339))</f>
        <v>Turnê Internacional Pop - SP</v>
      </c>
      <c r="E339" s="4" t="str">
        <f aca="false">IF($A339="","",_xlfn.XLOOKUP(LOWER(TRIM(Base_Bruta!E339)),DePara_Categoria!$A$2:$A$9,DePara_Categoria!$B$2:$B$9,"REVISAR"))</f>
        <v>Show</v>
      </c>
      <c r="F339" s="4" t="str">
        <f aca="false">IF($A339="","",_xlfn.XLOOKUP(LOWER(TRIM(Base_Bruta!F339)),DePara_Cidade!$A$2:$A$29,DePara_Cidade!$B$2:$B$29,"REVISAR"))</f>
        <v>São Paulo</v>
      </c>
      <c r="G339" s="4" t="str">
        <f aca="false">IF($A339="","",TRIM(Base_Bruta!G339))</f>
        <v>VIP</v>
      </c>
      <c r="H339" s="4" t="n">
        <f aca="false">IF($A339="","",IF(ISNUMBER(Base_Bruta!H339),Base_Bruta!H339,IFERROR(_xlfn.NUMBERVALUE(TRIM(SUBSTITUTE(Base_Bruta!H339,"R$","")),",","."),0)))</f>
        <v>1</v>
      </c>
      <c r="I339" s="6" t="n">
        <f aca="false">IF($A339="","",IF(ISNUMBER(Base_Bruta!I339),Base_Bruta!I339,IFERROR(_xlfn.NUMBERVALUE(TRIM(SUBSTITUTE(Base_Bruta!I339,"R$","")),",","."),0)))</f>
        <v>590</v>
      </c>
      <c r="J339" s="6" t="n">
        <f aca="false">IF($A339="","",H339*I339)</f>
        <v>590</v>
      </c>
      <c r="K339" s="4" t="str">
        <f aca="false">IF($A339="","",TRIM(Base_Bruta!J339))</f>
        <v>Site</v>
      </c>
      <c r="L339" s="4" t="str">
        <f aca="false">IF($A339="","",TRIM(Base_Bruta!K339))</f>
        <v>C00460</v>
      </c>
      <c r="M339" s="4" t="str">
        <f aca="false">IF($A339="","",_xlfn.XLOOKUP(LOWER(TRIM(Base_Bruta!L339)),DePara_Cidade!$A$2:$A$29,DePara_Cidade!$B$2:$B$29,"REVISAR"))</f>
        <v>Buenos Aires</v>
      </c>
      <c r="N339" s="4" t="str">
        <f aca="false">IF($A339="","",UPPER(TRIM(Base_Bruta!M339)))</f>
        <v>EX</v>
      </c>
      <c r="O339" s="4" t="str">
        <f aca="false">IF($A339="","",_xlfn.XLOOKUP(LOWER(TRIM(Base_Bruta!N339)),DePara_Pais!$A$2:$A$9,DePara_Pais!$B$2:$B$9,"REVISAR"))</f>
        <v>Argentina</v>
      </c>
      <c r="P339" s="4" t="str">
        <f aca="false">IF($A339="","",IF(O339&lt;&gt;"Brasil","Turista Internacional",IF(M339=F339,"Local","Turista Nacional")))</f>
        <v>Turista Internacional</v>
      </c>
      <c r="Q339" s="7" t="n">
        <f aca="false">IF($A339="","",DATE(YEAR(B339),MONTH(B339),1))</f>
        <v>45901</v>
      </c>
      <c r="R339" s="4" t="str">
        <f aca="false">IF($A339="","",IF(COUNTIF($A$2:$A339,$A339)&gt;1,"Sim","Não"))</f>
        <v>Não</v>
      </c>
      <c r="S339" s="4" t="str">
        <f aca="false">IF(A339="","Descartar - Linha vazia",IF(R339="Sim","Descartar - Duplicado",IF(OR(H339&lt;=0,I339&lt;=0),"Descartar - Qtd/Valor inválido","OK")))</f>
        <v>OK</v>
      </c>
      <c r="T339" s="4" t="str">
        <f aca="false">Base_Bruta!P339</f>
        <v>vendas_SP.xlsx</v>
      </c>
    </row>
    <row r="340" customFormat="false" ht="15" hidden="false" customHeight="false" outlineLevel="0" collapsed="false">
      <c r="A340" s="4" t="str">
        <f aca="false">IF(Base_Bruta!A340="","",Base_Bruta!A340)</f>
        <v>SP-000478</v>
      </c>
      <c r="B340" s="5" t="n">
        <f aca="false">IF($A340="","",IF(ISNUMBER(Base_Bruta!B340),Base_Bruta!B340,IF(MID(Base_Bruta!B340,5,1)="-",DATE(VALUE(LEFT(Base_Bruta!B340,4)),VALUE(MID(Base_Bruta!B340,6,2)),VALUE(RIGHT(Base_Bruta!B340,2))),DATE(VALUE(RIGHT(Base_Bruta!B340,4)),VALUE(MID(Base_Bruta!B340,4,2)),VALUE(LEFT(Base_Bruta!B340,2))))))</f>
        <v>45928</v>
      </c>
      <c r="C340" s="5" t="n">
        <f aca="false">IF($A340="","",IF(ISNUMBER(Base_Bruta!C340),Base_Bruta!C340,IF(MID(Base_Bruta!C340,5,1)="-",DATE(VALUE(LEFT(Base_Bruta!C340,4)),VALUE(MID(Base_Bruta!C340,6,2)),VALUE(RIGHT(Base_Bruta!C340,2))),DATE(VALUE(RIGHT(Base_Bruta!C340,4)),VALUE(MID(Base_Bruta!C340,4,2)),VALUE(LEFT(Base_Bruta!C340,2))))))</f>
        <v>45934</v>
      </c>
      <c r="D340" s="4" t="str">
        <f aca="false">IF($A340="","",TRIM(Base_Bruta!D340))</f>
        <v>Turnê Internacional Pop - SP</v>
      </c>
      <c r="E340" s="4" t="str">
        <f aca="false">IF($A340="","",_xlfn.XLOOKUP(LOWER(TRIM(Base_Bruta!E340)),DePara_Categoria!$A$2:$A$9,DePara_Categoria!$B$2:$B$9,"REVISAR"))</f>
        <v>Show</v>
      </c>
      <c r="F340" s="4" t="str">
        <f aca="false">IF($A340="","",_xlfn.XLOOKUP(LOWER(TRIM(Base_Bruta!F340)),DePara_Cidade!$A$2:$A$29,DePara_Cidade!$B$2:$B$29,"REVISAR"))</f>
        <v>São Paulo</v>
      </c>
      <c r="G340" s="4" t="str">
        <f aca="false">IF($A340="","",TRIM(Base_Bruta!G340))</f>
        <v>Inteira</v>
      </c>
      <c r="H340" s="4" t="n">
        <f aca="false">IF($A340="","",IF(ISNUMBER(Base_Bruta!H340),Base_Bruta!H340,IFERROR(_xlfn.NUMBERVALUE(TRIM(SUBSTITUTE(Base_Bruta!H340,"R$","")),",","."),0)))</f>
        <v>1</v>
      </c>
      <c r="I340" s="6" t="n">
        <f aca="false">IF($A340="","",IF(ISNUMBER(Base_Bruta!I340),Base_Bruta!I340,IFERROR(_xlfn.NUMBERVALUE(TRIM(SUBSTITUTE(Base_Bruta!I340,"R$","")),",","."),0)))</f>
        <v>375</v>
      </c>
      <c r="J340" s="6" t="n">
        <f aca="false">IF($A340="","",H340*I340)</f>
        <v>375</v>
      </c>
      <c r="K340" s="4" t="str">
        <f aca="false">IF($A340="","",TRIM(Base_Bruta!J340))</f>
        <v>Site</v>
      </c>
      <c r="L340" s="4" t="str">
        <f aca="false">IF($A340="","",TRIM(Base_Bruta!K340))</f>
        <v>C01861</v>
      </c>
      <c r="M340" s="4" t="str">
        <f aca="false">IF($A340="","",_xlfn.XLOOKUP(LOWER(TRIM(Base_Bruta!L340)),DePara_Cidade!$A$2:$A$29,DePara_Cidade!$B$2:$B$29,"REVISAR"))</f>
        <v>São Paulo</v>
      </c>
      <c r="N340" s="4" t="str">
        <f aca="false">IF($A340="","",UPPER(TRIM(Base_Bruta!M340)))</f>
        <v>SP</v>
      </c>
      <c r="O340" s="4" t="str">
        <f aca="false">IF($A340="","",_xlfn.XLOOKUP(LOWER(TRIM(Base_Bruta!N340)),DePara_Pais!$A$2:$A$9,DePara_Pais!$B$2:$B$9,"REVISAR"))</f>
        <v>Brasil</v>
      </c>
      <c r="P340" s="4" t="str">
        <f aca="false">IF($A340="","",IF(O340&lt;&gt;"Brasil","Turista Internacional",IF(M340=F340,"Local","Turista Nacional")))</f>
        <v>Local</v>
      </c>
      <c r="Q340" s="7" t="n">
        <f aca="false">IF($A340="","",DATE(YEAR(B340),MONTH(B340),1))</f>
        <v>45901</v>
      </c>
      <c r="R340" s="4" t="str">
        <f aca="false">IF($A340="","",IF(COUNTIF($A$2:$A340,$A340)&gt;1,"Sim","Não"))</f>
        <v>Não</v>
      </c>
      <c r="S340" s="4" t="str">
        <f aca="false">IF(A340="","Descartar - Linha vazia",IF(R340="Sim","Descartar - Duplicado",IF(OR(H340&lt;=0,I340&lt;=0),"Descartar - Qtd/Valor inválido","OK")))</f>
        <v>OK</v>
      </c>
      <c r="T340" s="4" t="str">
        <f aca="false">Base_Bruta!P340</f>
        <v>vendas_SP.xlsx</v>
      </c>
    </row>
    <row r="341" customFormat="false" ht="15" hidden="false" customHeight="false" outlineLevel="0" collapsed="false">
      <c r="A341" s="4" t="str">
        <f aca="false">IF(Base_Bruta!A341="","",Base_Bruta!A341)</f>
        <v>SP-000508</v>
      </c>
      <c r="B341" s="5" t="n">
        <f aca="false">IF($A341="","",IF(ISNUMBER(Base_Bruta!B341),Base_Bruta!B341,IF(MID(Base_Bruta!B341,5,1)="-",DATE(VALUE(LEFT(Base_Bruta!B341,4)),VALUE(MID(Base_Bruta!B341,6,2)),VALUE(RIGHT(Base_Bruta!B341,2))),DATE(VALUE(RIGHT(Base_Bruta!B341,4)),VALUE(MID(Base_Bruta!B341,4,2)),VALUE(LEFT(Base_Bruta!B341,2))))))</f>
        <v>45928</v>
      </c>
      <c r="C341" s="5" t="n">
        <f aca="false">IF($A341="","",IF(ISNUMBER(Base_Bruta!C341),Base_Bruta!C341,IF(MID(Base_Bruta!C341,5,1)="-",DATE(VALUE(LEFT(Base_Bruta!C341,4)),VALUE(MID(Base_Bruta!C341,6,2)),VALUE(RIGHT(Base_Bruta!C341,2))),DATE(VALUE(RIGHT(Base_Bruta!C341,4)),VALUE(MID(Base_Bruta!C341,4,2)),VALUE(LEFT(Base_Bruta!C341,2))))))</f>
        <v>45934</v>
      </c>
      <c r="D341" s="4" t="str">
        <f aca="false">IF($A341="","",TRIM(Base_Bruta!D341))</f>
        <v>Turnê Internacional Pop - SP</v>
      </c>
      <c r="E341" s="4" t="str">
        <f aca="false">IF($A341="","",_xlfn.XLOOKUP(LOWER(TRIM(Base_Bruta!E341)),DePara_Categoria!$A$2:$A$9,DePara_Categoria!$B$2:$B$9,"REVISAR"))</f>
        <v>Show</v>
      </c>
      <c r="F341" s="4" t="str">
        <f aca="false">IF($A341="","",_xlfn.XLOOKUP(LOWER(TRIM(Base_Bruta!F341)),DePara_Cidade!$A$2:$A$29,DePara_Cidade!$B$2:$B$29,"REVISAR"))</f>
        <v>São Paulo</v>
      </c>
      <c r="G341" s="4" t="str">
        <f aca="false">IF($A341="","",TRIM(Base_Bruta!G341))</f>
        <v>VIP</v>
      </c>
      <c r="H341" s="4" t="n">
        <f aca="false">IF($A341="","",IF(ISNUMBER(Base_Bruta!H341),Base_Bruta!H341,IFERROR(_xlfn.NUMBERVALUE(TRIM(SUBSTITUTE(Base_Bruta!H341,"R$","")),",","."),0)))</f>
        <v>1</v>
      </c>
      <c r="I341" s="6" t="n">
        <f aca="false">IF($A341="","",IF(ISNUMBER(Base_Bruta!I341),Base_Bruta!I341,IFERROR(_xlfn.NUMBERVALUE(TRIM(SUBSTITUTE(Base_Bruta!I341,"R$","")),",","."),0)))</f>
        <v>1070</v>
      </c>
      <c r="J341" s="6" t="n">
        <f aca="false">IF($A341="","",H341*I341)</f>
        <v>1070</v>
      </c>
      <c r="K341" s="4" t="str">
        <f aca="false">IF($A341="","",TRIM(Base_Bruta!J341))</f>
        <v>Site</v>
      </c>
      <c r="L341" s="4" t="str">
        <f aca="false">IF($A341="","",TRIM(Base_Bruta!K341))</f>
        <v>C00800</v>
      </c>
      <c r="M341" s="4" t="str">
        <f aca="false">IF($A341="","",_xlfn.XLOOKUP(LOWER(TRIM(Base_Bruta!L341)),DePara_Cidade!$A$2:$A$29,DePara_Cidade!$B$2:$B$29,"REVISAR"))</f>
        <v>São Paulo</v>
      </c>
      <c r="N341" s="4" t="str">
        <f aca="false">IF($A341="","",UPPER(TRIM(Base_Bruta!M341)))</f>
        <v>SP</v>
      </c>
      <c r="O341" s="4" t="str">
        <f aca="false">IF($A341="","",_xlfn.XLOOKUP(LOWER(TRIM(Base_Bruta!N341)),DePara_Pais!$A$2:$A$9,DePara_Pais!$B$2:$B$9,"REVISAR"))</f>
        <v>Brasil</v>
      </c>
      <c r="P341" s="4" t="str">
        <f aca="false">IF($A341="","",IF(O341&lt;&gt;"Brasil","Turista Internacional",IF(M341=F341,"Local","Turista Nacional")))</f>
        <v>Local</v>
      </c>
      <c r="Q341" s="7" t="n">
        <f aca="false">IF($A341="","",DATE(YEAR(B341),MONTH(B341),1))</f>
        <v>45901</v>
      </c>
      <c r="R341" s="4" t="str">
        <f aca="false">IF($A341="","",IF(COUNTIF($A$2:$A341,$A341)&gt;1,"Sim","Não"))</f>
        <v>Não</v>
      </c>
      <c r="S341" s="4" t="str">
        <f aca="false">IF(A341="","Descartar - Linha vazia",IF(R341="Sim","Descartar - Duplicado",IF(OR(H341&lt;=0,I341&lt;=0),"Descartar - Qtd/Valor inválido","OK")))</f>
        <v>OK</v>
      </c>
      <c r="T341" s="4" t="str">
        <f aca="false">Base_Bruta!P341</f>
        <v>vendas_SP.xlsx</v>
      </c>
    </row>
    <row r="342" customFormat="false" ht="15" hidden="false" customHeight="false" outlineLevel="0" collapsed="false">
      <c r="A342" s="4" t="str">
        <f aca="false">IF(Base_Bruta!A342="","",Base_Bruta!A342)</f>
        <v>SP-000560</v>
      </c>
      <c r="B342" s="5" t="n">
        <f aca="false">IF($A342="","",IF(ISNUMBER(Base_Bruta!B342),Base_Bruta!B342,IF(MID(Base_Bruta!B342,5,1)="-",DATE(VALUE(LEFT(Base_Bruta!B342,4)),VALUE(MID(Base_Bruta!B342,6,2)),VALUE(RIGHT(Base_Bruta!B342,2))),DATE(VALUE(RIGHT(Base_Bruta!B342,4)),VALUE(MID(Base_Bruta!B342,4,2)),VALUE(LEFT(Base_Bruta!B342,2))))))</f>
        <v>45928</v>
      </c>
      <c r="C342" s="5" t="n">
        <f aca="false">IF($A342="","",IF(ISNUMBER(Base_Bruta!C342),Base_Bruta!C342,IF(MID(Base_Bruta!C342,5,1)="-",DATE(VALUE(LEFT(Base_Bruta!C342,4)),VALUE(MID(Base_Bruta!C342,6,2)),VALUE(RIGHT(Base_Bruta!C342,2))),DATE(VALUE(RIGHT(Base_Bruta!C342,4)),VALUE(MID(Base_Bruta!C342,4,2)),VALUE(LEFT(Base_Bruta!C342,2))))))</f>
        <v>45934</v>
      </c>
      <c r="D342" s="4" t="str">
        <f aca="false">IF($A342="","",TRIM(Base_Bruta!D342))</f>
        <v>Turnê Internacional Pop - SP</v>
      </c>
      <c r="E342" s="4" t="str">
        <f aca="false">IF($A342="","",_xlfn.XLOOKUP(LOWER(TRIM(Base_Bruta!E342)),DePara_Categoria!$A$2:$A$9,DePara_Categoria!$B$2:$B$9,"REVISAR"))</f>
        <v>Show</v>
      </c>
      <c r="F342" s="4" t="str">
        <f aca="false">IF($A342="","",_xlfn.XLOOKUP(LOWER(TRIM(Base_Bruta!F342)),DePara_Cidade!$A$2:$A$29,DePara_Cidade!$B$2:$B$29,"REVISAR"))</f>
        <v>São Paulo</v>
      </c>
      <c r="G342" s="4" t="str">
        <f aca="false">IF($A342="","",TRIM(Base_Bruta!G342))</f>
        <v>Inteira</v>
      </c>
      <c r="H342" s="4" t="n">
        <f aca="false">IF($A342="","",IF(ISNUMBER(Base_Bruta!H342),Base_Bruta!H342,IFERROR(_xlfn.NUMBERVALUE(TRIM(SUBSTITUTE(Base_Bruta!H342,"R$","")),",","."),0)))</f>
        <v>2</v>
      </c>
      <c r="I342" s="6" t="n">
        <f aca="false">IF($A342="","",IF(ISNUMBER(Base_Bruta!I342),Base_Bruta!I342,IFERROR(_xlfn.NUMBERVALUE(TRIM(SUBSTITUTE(Base_Bruta!I342,"R$","")),",","."),0)))</f>
        <v>240</v>
      </c>
      <c r="J342" s="6" t="n">
        <f aca="false">IF($A342="","",H342*I342)</f>
        <v>480</v>
      </c>
      <c r="K342" s="4" t="str">
        <f aca="false">IF($A342="","",TRIM(Base_Bruta!J342))</f>
        <v>Site</v>
      </c>
      <c r="L342" s="4" t="str">
        <f aca="false">IF($A342="","",TRIM(Base_Bruta!K342))</f>
        <v>C01163</v>
      </c>
      <c r="M342" s="4" t="str">
        <f aca="false">IF($A342="","",_xlfn.XLOOKUP(LOWER(TRIM(Base_Bruta!L342)),DePara_Cidade!$A$2:$A$29,DePara_Cidade!$B$2:$B$29,"REVISAR"))</f>
        <v>São Paulo</v>
      </c>
      <c r="N342" s="4" t="str">
        <f aca="false">IF($A342="","",UPPER(TRIM(Base_Bruta!M342)))</f>
        <v>SP</v>
      </c>
      <c r="O342" s="4" t="str">
        <f aca="false">IF($A342="","",_xlfn.XLOOKUP(LOWER(TRIM(Base_Bruta!N342)),DePara_Pais!$A$2:$A$9,DePara_Pais!$B$2:$B$9,"REVISAR"))</f>
        <v>Brasil</v>
      </c>
      <c r="P342" s="4" t="str">
        <f aca="false">IF($A342="","",IF(O342&lt;&gt;"Brasil","Turista Internacional",IF(M342=F342,"Local","Turista Nacional")))</f>
        <v>Local</v>
      </c>
      <c r="Q342" s="7" t="n">
        <f aca="false">IF($A342="","",DATE(YEAR(B342),MONTH(B342),1))</f>
        <v>45901</v>
      </c>
      <c r="R342" s="4" t="str">
        <f aca="false">IF($A342="","",IF(COUNTIF($A$2:$A342,$A342)&gt;1,"Sim","Não"))</f>
        <v>Não</v>
      </c>
      <c r="S342" s="4" t="str">
        <f aca="false">IF(A342="","Descartar - Linha vazia",IF(R342="Sim","Descartar - Duplicado",IF(OR(H342&lt;=0,I342&lt;=0),"Descartar - Qtd/Valor inválido","OK")))</f>
        <v>OK</v>
      </c>
      <c r="T342" s="4" t="str">
        <f aca="false">Base_Bruta!P342</f>
        <v>vendas_SP.xlsx</v>
      </c>
    </row>
    <row r="343" customFormat="false" ht="15" hidden="false" customHeight="false" outlineLevel="0" collapsed="false">
      <c r="A343" s="4" t="str">
        <f aca="false">IF(Base_Bruta!A343="","",Base_Bruta!A343)</f>
        <v>SP-000577</v>
      </c>
      <c r="B343" s="5" t="n">
        <f aca="false">IF($A343="","",IF(ISNUMBER(Base_Bruta!B343),Base_Bruta!B343,IF(MID(Base_Bruta!B343,5,1)="-",DATE(VALUE(LEFT(Base_Bruta!B343,4)),VALUE(MID(Base_Bruta!B343,6,2)),VALUE(RIGHT(Base_Bruta!B343,2))),DATE(VALUE(RIGHT(Base_Bruta!B343,4)),VALUE(MID(Base_Bruta!B343,4,2)),VALUE(LEFT(Base_Bruta!B343,2))))))</f>
        <v>45928</v>
      </c>
      <c r="C343" s="5" t="n">
        <f aca="false">IF($A343="","",IF(ISNUMBER(Base_Bruta!C343),Base_Bruta!C343,IF(MID(Base_Bruta!C343,5,1)="-",DATE(VALUE(LEFT(Base_Bruta!C343,4)),VALUE(MID(Base_Bruta!C343,6,2)),VALUE(RIGHT(Base_Bruta!C343,2))),DATE(VALUE(RIGHT(Base_Bruta!C343,4)),VALUE(MID(Base_Bruta!C343,4,2)),VALUE(LEFT(Base_Bruta!C343,2))))))</f>
        <v>45934</v>
      </c>
      <c r="D343" s="4" t="str">
        <f aca="false">IF($A343="","",TRIM(Base_Bruta!D343))</f>
        <v>Turnê Internacional Pop - SP</v>
      </c>
      <c r="E343" s="4" t="str">
        <f aca="false">IF($A343="","",_xlfn.XLOOKUP(LOWER(TRIM(Base_Bruta!E343)),DePara_Categoria!$A$2:$A$9,DePara_Categoria!$B$2:$B$9,"REVISAR"))</f>
        <v>Show</v>
      </c>
      <c r="F343" s="4" t="str">
        <f aca="false">IF($A343="","",_xlfn.XLOOKUP(LOWER(TRIM(Base_Bruta!F343)),DePara_Cidade!$A$2:$A$29,DePara_Cidade!$B$2:$B$29,"REVISAR"))</f>
        <v>São Paulo</v>
      </c>
      <c r="G343" s="4" t="str">
        <f aca="false">IF($A343="","",TRIM(Base_Bruta!G343))</f>
        <v>Meia</v>
      </c>
      <c r="H343" s="4" t="n">
        <f aca="false">IF($A343="","",IF(ISNUMBER(Base_Bruta!H343),Base_Bruta!H343,IFERROR(_xlfn.NUMBERVALUE(TRIM(SUBSTITUTE(Base_Bruta!H343,"R$","")),",","."),0)))</f>
        <v>4</v>
      </c>
      <c r="I343" s="6" t="n">
        <f aca="false">IF($A343="","",IF(ISNUMBER(Base_Bruta!I343),Base_Bruta!I343,IFERROR(_xlfn.NUMBERVALUE(TRIM(SUBSTITUTE(Base_Bruta!I343,"R$","")),",","."),0)))</f>
        <v>245</v>
      </c>
      <c r="J343" s="6" t="n">
        <f aca="false">IF($A343="","",H343*I343)</f>
        <v>980</v>
      </c>
      <c r="K343" s="4" t="str">
        <f aca="false">IF($A343="","",TRIM(Base_Bruta!J343))</f>
        <v>Site</v>
      </c>
      <c r="L343" s="4" t="str">
        <f aca="false">IF($A343="","",TRIM(Base_Bruta!K343))</f>
        <v>C01935</v>
      </c>
      <c r="M343" s="4" t="str">
        <f aca="false">IF($A343="","",_xlfn.XLOOKUP(LOWER(TRIM(Base_Bruta!L343)),DePara_Cidade!$A$2:$A$29,DePara_Cidade!$B$2:$B$29,"REVISAR"))</f>
        <v>São Paulo</v>
      </c>
      <c r="N343" s="4" t="str">
        <f aca="false">IF($A343="","",UPPER(TRIM(Base_Bruta!M343)))</f>
        <v>SP</v>
      </c>
      <c r="O343" s="4" t="str">
        <f aca="false">IF($A343="","",_xlfn.XLOOKUP(LOWER(TRIM(Base_Bruta!N343)),DePara_Pais!$A$2:$A$9,DePara_Pais!$B$2:$B$9,"REVISAR"))</f>
        <v>Brasil</v>
      </c>
      <c r="P343" s="4" t="str">
        <f aca="false">IF($A343="","",IF(O343&lt;&gt;"Brasil","Turista Internacional",IF(M343=F343,"Local","Turista Nacional")))</f>
        <v>Local</v>
      </c>
      <c r="Q343" s="7" t="n">
        <f aca="false">IF($A343="","",DATE(YEAR(B343),MONTH(B343),1))</f>
        <v>45901</v>
      </c>
      <c r="R343" s="4" t="str">
        <f aca="false">IF($A343="","",IF(COUNTIF($A$2:$A343,$A343)&gt;1,"Sim","Não"))</f>
        <v>Não</v>
      </c>
      <c r="S343" s="4" t="str">
        <f aca="false">IF(A343="","Descartar - Linha vazia",IF(R343="Sim","Descartar - Duplicado",IF(OR(H343&lt;=0,I343&lt;=0),"Descartar - Qtd/Valor inválido","OK")))</f>
        <v>OK</v>
      </c>
      <c r="T343" s="4" t="str">
        <f aca="false">Base_Bruta!P343</f>
        <v>vendas_SP.xlsx</v>
      </c>
    </row>
    <row r="344" customFormat="false" ht="15" hidden="false" customHeight="false" outlineLevel="0" collapsed="false">
      <c r="A344" s="4" t="str">
        <f aca="false">IF(Base_Bruta!A344="","",Base_Bruta!A344)</f>
        <v>SP-000027</v>
      </c>
      <c r="B344" s="5" t="n">
        <f aca="false">IF($A344="","",IF(ISNUMBER(Base_Bruta!B344),Base_Bruta!B344,IF(MID(Base_Bruta!B344,5,1)="-",DATE(VALUE(LEFT(Base_Bruta!B344,4)),VALUE(MID(Base_Bruta!B344,6,2)),VALUE(RIGHT(Base_Bruta!B344,2))),DATE(VALUE(RIGHT(Base_Bruta!B344,4)),VALUE(MID(Base_Bruta!B344,4,2)),VALUE(LEFT(Base_Bruta!B344,2))))))</f>
        <v>45929</v>
      </c>
      <c r="C344" s="5" t="n">
        <f aca="false">IF($A344="","",IF(ISNUMBER(Base_Bruta!C344),Base_Bruta!C344,IF(MID(Base_Bruta!C344,5,1)="-",DATE(VALUE(LEFT(Base_Bruta!C344,4)),VALUE(MID(Base_Bruta!C344,6,2)),VALUE(RIGHT(Base_Bruta!C344,2))),DATE(VALUE(RIGHT(Base_Bruta!C344,4)),VALUE(MID(Base_Bruta!C344,4,2)),VALUE(LEFT(Base_Bruta!C344,2))))))</f>
        <v>45976</v>
      </c>
      <c r="D344" s="4" t="str">
        <f aca="false">IF($A344="","",TRIM(Base_Bruta!D344))</f>
        <v>Festival Sonora SP 2025</v>
      </c>
      <c r="E344" s="4" t="str">
        <f aca="false">IF($A344="","",_xlfn.XLOOKUP(LOWER(TRIM(Base_Bruta!E344)),DePara_Categoria!$A$2:$A$9,DePara_Categoria!$B$2:$B$9,"REVISAR"))</f>
        <v>Festival</v>
      </c>
      <c r="F344" s="4" t="str">
        <f aca="false">IF($A344="","",_xlfn.XLOOKUP(LOWER(TRIM(Base_Bruta!F344)),DePara_Cidade!$A$2:$A$29,DePara_Cidade!$B$2:$B$29,"REVISAR"))</f>
        <v>São Paulo</v>
      </c>
      <c r="G344" s="4" t="str">
        <f aca="false">IF($A344="","",TRIM(Base_Bruta!G344))</f>
        <v>VIP</v>
      </c>
      <c r="H344" s="4" t="n">
        <f aca="false">IF($A344="","",IF(ISNUMBER(Base_Bruta!H344),Base_Bruta!H344,IFERROR(_xlfn.NUMBERVALUE(TRIM(SUBSTITUTE(Base_Bruta!H344,"R$","")),",","."),0)))</f>
        <v>2</v>
      </c>
      <c r="I344" s="6" t="n">
        <f aca="false">IF($A344="","",IF(ISNUMBER(Base_Bruta!I344),Base_Bruta!I344,IFERROR(_xlfn.NUMBERVALUE(TRIM(SUBSTITUTE(Base_Bruta!I344,"R$","")),",","."),0)))</f>
        <v>1340</v>
      </c>
      <c r="J344" s="6" t="n">
        <f aca="false">IF($A344="","",H344*I344)</f>
        <v>2680</v>
      </c>
      <c r="K344" s="4" t="str">
        <f aca="false">IF($A344="","",TRIM(Base_Bruta!J344))</f>
        <v>Parceiro</v>
      </c>
      <c r="L344" s="4" t="str">
        <f aca="false">IF($A344="","",TRIM(Base_Bruta!K344))</f>
        <v>C01077</v>
      </c>
      <c r="M344" s="4" t="str">
        <f aca="false">IF($A344="","",_xlfn.XLOOKUP(LOWER(TRIM(Base_Bruta!L344)),DePara_Cidade!$A$2:$A$29,DePara_Cidade!$B$2:$B$29,"REVISAR"))</f>
        <v>São Paulo</v>
      </c>
      <c r="N344" s="4" t="str">
        <f aca="false">IF($A344="","",UPPER(TRIM(Base_Bruta!M344)))</f>
        <v>SP</v>
      </c>
      <c r="O344" s="4" t="str">
        <f aca="false">IF($A344="","",_xlfn.XLOOKUP(LOWER(TRIM(Base_Bruta!N344)),DePara_Pais!$A$2:$A$9,DePara_Pais!$B$2:$B$9,"REVISAR"))</f>
        <v>Brasil</v>
      </c>
      <c r="P344" s="4" t="str">
        <f aca="false">IF($A344="","",IF(O344&lt;&gt;"Brasil","Turista Internacional",IF(M344=F344,"Local","Turista Nacional")))</f>
        <v>Local</v>
      </c>
      <c r="Q344" s="7" t="n">
        <f aca="false">IF($A344="","",DATE(YEAR(B344),MONTH(B344),1))</f>
        <v>45901</v>
      </c>
      <c r="R344" s="4" t="str">
        <f aca="false">IF($A344="","",IF(COUNTIF($A$2:$A344,$A344)&gt;1,"Sim","Não"))</f>
        <v>Não</v>
      </c>
      <c r="S344" s="4" t="str">
        <f aca="false">IF(A344="","Descartar - Linha vazia",IF(R344="Sim","Descartar - Duplicado",IF(OR(H344&lt;=0,I344&lt;=0),"Descartar - Qtd/Valor inválido","OK")))</f>
        <v>OK</v>
      </c>
      <c r="T344" s="4" t="str">
        <f aca="false">Base_Bruta!P344</f>
        <v>vendas_SP.xlsx</v>
      </c>
    </row>
    <row r="345" customFormat="false" ht="15" hidden="false" customHeight="false" outlineLevel="0" collapsed="false">
      <c r="A345" s="4" t="str">
        <f aca="false">IF(Base_Bruta!A345="","",Base_Bruta!A345)</f>
        <v>SP-000493</v>
      </c>
      <c r="B345" s="5" t="n">
        <f aca="false">IF($A345="","",IF(ISNUMBER(Base_Bruta!B345),Base_Bruta!B345,IF(MID(Base_Bruta!B345,5,1)="-",DATE(VALUE(LEFT(Base_Bruta!B345,4)),VALUE(MID(Base_Bruta!B345,6,2)),VALUE(RIGHT(Base_Bruta!B345,2))),DATE(VALUE(RIGHT(Base_Bruta!B345,4)),VALUE(MID(Base_Bruta!B345,4,2)),VALUE(LEFT(Base_Bruta!B345,2))))))</f>
        <v>45929</v>
      </c>
      <c r="C345" s="5" t="n">
        <f aca="false">IF($A345="","",IF(ISNUMBER(Base_Bruta!C345),Base_Bruta!C345,IF(MID(Base_Bruta!C345,5,1)="-",DATE(VALUE(LEFT(Base_Bruta!C345,4)),VALUE(MID(Base_Bruta!C345,6,2)),VALUE(RIGHT(Base_Bruta!C345,2))),DATE(VALUE(RIGHT(Base_Bruta!C345,4)),VALUE(MID(Base_Bruta!C345,4,2)),VALUE(LEFT(Base_Bruta!C345,2))))))</f>
        <v>45934</v>
      </c>
      <c r="D345" s="4" t="str">
        <f aca="false">IF($A345="","",TRIM(Base_Bruta!D345))</f>
        <v>Turnê Internacional Pop - SP</v>
      </c>
      <c r="E345" s="4" t="str">
        <f aca="false">IF($A345="","",_xlfn.XLOOKUP(LOWER(TRIM(Base_Bruta!E345)),DePara_Categoria!$A$2:$A$9,DePara_Categoria!$B$2:$B$9,"REVISAR"))</f>
        <v>Show</v>
      </c>
      <c r="F345" s="4" t="str">
        <f aca="false">IF($A345="","",_xlfn.XLOOKUP(LOWER(TRIM(Base_Bruta!F345)),DePara_Cidade!$A$2:$A$29,DePara_Cidade!$B$2:$B$29,"REVISAR"))</f>
        <v>São Paulo</v>
      </c>
      <c r="G345" s="4" t="str">
        <f aca="false">IF($A345="","",TRIM(Base_Bruta!G345))</f>
        <v>VIP</v>
      </c>
      <c r="H345" s="4" t="n">
        <f aca="false">IF($A345="","",IF(ISNUMBER(Base_Bruta!H345),Base_Bruta!H345,IFERROR(_xlfn.NUMBERVALUE(TRIM(SUBSTITUTE(Base_Bruta!H345,"R$","")),",","."),0)))</f>
        <v>2</v>
      </c>
      <c r="I345" s="6" t="n">
        <f aca="false">IF($A345="","",IF(ISNUMBER(Base_Bruta!I345),Base_Bruta!I345,IFERROR(_xlfn.NUMBERVALUE(TRIM(SUBSTITUTE(Base_Bruta!I345,"R$","")),",","."),0)))</f>
        <v>760</v>
      </c>
      <c r="J345" s="6" t="n">
        <f aca="false">IF($A345="","",H345*I345)</f>
        <v>1520</v>
      </c>
      <c r="K345" s="4" t="str">
        <f aca="false">IF($A345="","",TRIM(Base_Bruta!J345))</f>
        <v>Site</v>
      </c>
      <c r="L345" s="4" t="str">
        <f aca="false">IF($A345="","",TRIM(Base_Bruta!K345))</f>
        <v>C00873</v>
      </c>
      <c r="M345" s="4" t="str">
        <f aca="false">IF($A345="","",_xlfn.XLOOKUP(LOWER(TRIM(Base_Bruta!L345)),DePara_Cidade!$A$2:$A$29,DePara_Cidade!$B$2:$B$29,"REVISAR"))</f>
        <v>São Paulo</v>
      </c>
      <c r="N345" s="4" t="str">
        <f aca="false">IF($A345="","",UPPER(TRIM(Base_Bruta!M345)))</f>
        <v>SP</v>
      </c>
      <c r="O345" s="4" t="str">
        <f aca="false">IF($A345="","",_xlfn.XLOOKUP(LOWER(TRIM(Base_Bruta!N345)),DePara_Pais!$A$2:$A$9,DePara_Pais!$B$2:$B$9,"REVISAR"))</f>
        <v>Brasil</v>
      </c>
      <c r="P345" s="4" t="str">
        <f aca="false">IF($A345="","",IF(O345&lt;&gt;"Brasil","Turista Internacional",IF(M345=F345,"Local","Turista Nacional")))</f>
        <v>Local</v>
      </c>
      <c r="Q345" s="7" t="n">
        <f aca="false">IF($A345="","",DATE(YEAR(B345),MONTH(B345),1))</f>
        <v>45901</v>
      </c>
      <c r="R345" s="4" t="str">
        <f aca="false">IF($A345="","",IF(COUNTIF($A$2:$A345,$A345)&gt;1,"Sim","Não"))</f>
        <v>Não</v>
      </c>
      <c r="S345" s="4" t="str">
        <f aca="false">IF(A345="","Descartar - Linha vazia",IF(R345="Sim","Descartar - Duplicado",IF(OR(H345&lt;=0,I345&lt;=0),"Descartar - Qtd/Valor inválido","OK")))</f>
        <v>OK</v>
      </c>
      <c r="T345" s="4" t="str">
        <f aca="false">Base_Bruta!P345</f>
        <v>vendas_SP.xlsx</v>
      </c>
    </row>
    <row r="346" customFormat="false" ht="15" hidden="false" customHeight="false" outlineLevel="0" collapsed="false">
      <c r="A346" s="4" t="str">
        <f aca="false">IF(Base_Bruta!A346="","",Base_Bruta!A346)</f>
        <v>SP-000533</v>
      </c>
      <c r="B346" s="5" t="n">
        <f aca="false">IF($A346="","",IF(ISNUMBER(Base_Bruta!B346),Base_Bruta!B346,IF(MID(Base_Bruta!B346,5,1)="-",DATE(VALUE(LEFT(Base_Bruta!B346,4)),VALUE(MID(Base_Bruta!B346,6,2)),VALUE(RIGHT(Base_Bruta!B346,2))),DATE(VALUE(RIGHT(Base_Bruta!B346,4)),VALUE(MID(Base_Bruta!B346,4,2)),VALUE(LEFT(Base_Bruta!B346,2))))))</f>
        <v>45929</v>
      </c>
      <c r="C346" s="5" t="n">
        <f aca="false">IF($A346="","",IF(ISNUMBER(Base_Bruta!C346),Base_Bruta!C346,IF(MID(Base_Bruta!C346,5,1)="-",DATE(VALUE(LEFT(Base_Bruta!C346,4)),VALUE(MID(Base_Bruta!C346,6,2)),VALUE(RIGHT(Base_Bruta!C346,2))),DATE(VALUE(RIGHT(Base_Bruta!C346,4)),VALUE(MID(Base_Bruta!C346,4,2)),VALUE(LEFT(Base_Bruta!C346,2))))))</f>
        <v>45934</v>
      </c>
      <c r="D346" s="4" t="str">
        <f aca="false">IF($A346="","",TRIM(Base_Bruta!D346))</f>
        <v>Turnê Internacional Pop - SP</v>
      </c>
      <c r="E346" s="4" t="str">
        <f aca="false">IF($A346="","",_xlfn.XLOOKUP(LOWER(TRIM(Base_Bruta!E346)),DePara_Categoria!$A$2:$A$9,DePara_Categoria!$B$2:$B$9,"REVISAR"))</f>
        <v>Show</v>
      </c>
      <c r="F346" s="4" t="str">
        <f aca="false">IF($A346="","",_xlfn.XLOOKUP(LOWER(TRIM(Base_Bruta!F346)),DePara_Cidade!$A$2:$A$29,DePara_Cidade!$B$2:$B$29,"REVISAR"))</f>
        <v>São Paulo</v>
      </c>
      <c r="G346" s="4" t="str">
        <f aca="false">IF($A346="","",TRIM(Base_Bruta!G346))</f>
        <v>Inteira</v>
      </c>
      <c r="H346" s="4" t="n">
        <f aca="false">IF($A346="","",IF(ISNUMBER(Base_Bruta!H346),Base_Bruta!H346,IFERROR(_xlfn.NUMBERVALUE(TRIM(SUBSTITUTE(Base_Bruta!H346,"R$","")),",","."),0)))</f>
        <v>2</v>
      </c>
      <c r="I346" s="6" t="n">
        <f aca="false">IF($A346="","",IF(ISNUMBER(Base_Bruta!I346),Base_Bruta!I346,IFERROR(_xlfn.NUMBERVALUE(TRIM(SUBSTITUTE(Base_Bruta!I346,"R$","")),",","."),0)))</f>
        <v>495</v>
      </c>
      <c r="J346" s="6" t="n">
        <f aca="false">IF($A346="","",H346*I346)</f>
        <v>990</v>
      </c>
      <c r="K346" s="4" t="str">
        <f aca="false">IF($A346="","",TRIM(Base_Bruta!J346))</f>
        <v>Bilheteria</v>
      </c>
      <c r="L346" s="4" t="str">
        <f aca="false">IF($A346="","",TRIM(Base_Bruta!K346))</f>
        <v>C01761</v>
      </c>
      <c r="M346" s="4" t="str">
        <f aca="false">IF($A346="","",_xlfn.XLOOKUP(LOWER(TRIM(Base_Bruta!L346)),DePara_Cidade!$A$2:$A$29,DePara_Cidade!$B$2:$B$29,"REVISAR"))</f>
        <v>São Paulo</v>
      </c>
      <c r="N346" s="4" t="str">
        <f aca="false">IF($A346="","",UPPER(TRIM(Base_Bruta!M346)))</f>
        <v>SP</v>
      </c>
      <c r="O346" s="4" t="str">
        <f aca="false">IF($A346="","",_xlfn.XLOOKUP(LOWER(TRIM(Base_Bruta!N346)),DePara_Pais!$A$2:$A$9,DePara_Pais!$B$2:$B$9,"REVISAR"))</f>
        <v>Brasil</v>
      </c>
      <c r="P346" s="4" t="str">
        <f aca="false">IF($A346="","",IF(O346&lt;&gt;"Brasil","Turista Internacional",IF(M346=F346,"Local","Turista Nacional")))</f>
        <v>Local</v>
      </c>
      <c r="Q346" s="7" t="n">
        <f aca="false">IF($A346="","",DATE(YEAR(B346),MONTH(B346),1))</f>
        <v>45901</v>
      </c>
      <c r="R346" s="4" t="str">
        <f aca="false">IF($A346="","",IF(COUNTIF($A$2:$A346,$A346)&gt;1,"Sim","Não"))</f>
        <v>Não</v>
      </c>
      <c r="S346" s="4" t="str">
        <f aca="false">IF(A346="","Descartar - Linha vazia",IF(R346="Sim","Descartar - Duplicado",IF(OR(H346&lt;=0,I346&lt;=0),"Descartar - Qtd/Valor inválido","OK")))</f>
        <v>OK</v>
      </c>
      <c r="T346" s="4" t="str">
        <f aca="false">Base_Bruta!P346</f>
        <v>vendas_SP.xlsx</v>
      </c>
    </row>
    <row r="347" customFormat="false" ht="15" hidden="false" customHeight="false" outlineLevel="0" collapsed="false">
      <c r="A347" s="4" t="str">
        <f aca="false">IF(Base_Bruta!A347="","",Base_Bruta!A347)</f>
        <v>SP-000549</v>
      </c>
      <c r="B347" s="5" t="n">
        <f aca="false">IF($A347="","",IF(ISNUMBER(Base_Bruta!B347),Base_Bruta!B347,IF(MID(Base_Bruta!B347,5,1)="-",DATE(VALUE(LEFT(Base_Bruta!B347,4)),VALUE(MID(Base_Bruta!B347,6,2)),VALUE(RIGHT(Base_Bruta!B347,2))),DATE(VALUE(RIGHT(Base_Bruta!B347,4)),VALUE(MID(Base_Bruta!B347,4,2)),VALUE(LEFT(Base_Bruta!B347,2))))))</f>
        <v>45929</v>
      </c>
      <c r="C347" s="5" t="n">
        <f aca="false">IF($A347="","",IF(ISNUMBER(Base_Bruta!C347),Base_Bruta!C347,IF(MID(Base_Bruta!C347,5,1)="-",DATE(VALUE(LEFT(Base_Bruta!C347,4)),VALUE(MID(Base_Bruta!C347,6,2)),VALUE(RIGHT(Base_Bruta!C347,2))),DATE(VALUE(RIGHT(Base_Bruta!C347,4)),VALUE(MID(Base_Bruta!C347,4,2)),VALUE(LEFT(Base_Bruta!C347,2))))))</f>
        <v>45934</v>
      </c>
      <c r="D347" s="4" t="str">
        <f aca="false">IF($A347="","",TRIM(Base_Bruta!D347))</f>
        <v>Turnê Internacional Pop - SP</v>
      </c>
      <c r="E347" s="4" t="str">
        <f aca="false">IF($A347="","",_xlfn.XLOOKUP(LOWER(TRIM(Base_Bruta!E347)),DePara_Categoria!$A$2:$A$9,DePara_Categoria!$B$2:$B$9,"REVISAR"))</f>
        <v>Show</v>
      </c>
      <c r="F347" s="4" t="str">
        <f aca="false">IF($A347="","",_xlfn.XLOOKUP(LOWER(TRIM(Base_Bruta!F347)),DePara_Cidade!$A$2:$A$29,DePara_Cidade!$B$2:$B$29,"REVISAR"))</f>
        <v>São Paulo</v>
      </c>
      <c r="G347" s="4" t="str">
        <f aca="false">IF($A347="","",TRIM(Base_Bruta!G347))</f>
        <v>Meia</v>
      </c>
      <c r="H347" s="4" t="n">
        <f aca="false">IF($A347="","",IF(ISNUMBER(Base_Bruta!H347),Base_Bruta!H347,IFERROR(_xlfn.NUMBERVALUE(TRIM(SUBSTITUTE(Base_Bruta!H347,"R$","")),",","."),0)))</f>
        <v>1</v>
      </c>
      <c r="I347" s="6" t="n">
        <f aca="false">IF($A347="","",IF(ISNUMBER(Base_Bruta!I347),Base_Bruta!I347,IFERROR(_xlfn.NUMBERVALUE(TRIM(SUBSTITUTE(Base_Bruta!I347,"R$","")),",","."),0)))</f>
        <v>195</v>
      </c>
      <c r="J347" s="6" t="n">
        <f aca="false">IF($A347="","",H347*I347)</f>
        <v>195</v>
      </c>
      <c r="K347" s="4" t="str">
        <f aca="false">IF($A347="","",TRIM(Base_Bruta!J347))</f>
        <v>Site</v>
      </c>
      <c r="L347" s="4" t="str">
        <f aca="false">IF($A347="","",TRIM(Base_Bruta!K347))</f>
        <v>C00186</v>
      </c>
      <c r="M347" s="4" t="str">
        <f aca="false">IF($A347="","",_xlfn.XLOOKUP(LOWER(TRIM(Base_Bruta!L347)),DePara_Cidade!$A$2:$A$29,DePara_Cidade!$B$2:$B$29,"REVISAR"))</f>
        <v>São Paulo</v>
      </c>
      <c r="N347" s="4" t="str">
        <f aca="false">IF($A347="","",UPPER(TRIM(Base_Bruta!M347)))</f>
        <v>SP</v>
      </c>
      <c r="O347" s="4" t="str">
        <f aca="false">IF($A347="","",_xlfn.XLOOKUP(LOWER(TRIM(Base_Bruta!N347)),DePara_Pais!$A$2:$A$9,DePara_Pais!$B$2:$B$9,"REVISAR"))</f>
        <v>Brasil</v>
      </c>
      <c r="P347" s="4" t="str">
        <f aca="false">IF($A347="","",IF(O347&lt;&gt;"Brasil","Turista Internacional",IF(M347=F347,"Local","Turista Nacional")))</f>
        <v>Local</v>
      </c>
      <c r="Q347" s="7" t="n">
        <f aca="false">IF($A347="","",DATE(YEAR(B347),MONTH(B347),1))</f>
        <v>45901</v>
      </c>
      <c r="R347" s="4" t="str">
        <f aca="false">IF($A347="","",IF(COUNTIF($A$2:$A347,$A347)&gt;1,"Sim","Não"))</f>
        <v>Não</v>
      </c>
      <c r="S347" s="4" t="str">
        <f aca="false">IF(A347="","Descartar - Linha vazia",IF(R347="Sim","Descartar - Duplicado",IF(OR(H347&lt;=0,I347&lt;=0),"Descartar - Qtd/Valor inválido","OK")))</f>
        <v>OK</v>
      </c>
      <c r="T347" s="4" t="str">
        <f aca="false">Base_Bruta!P347</f>
        <v>vendas_SP.xlsx</v>
      </c>
    </row>
    <row r="348" customFormat="false" ht="15" hidden="false" customHeight="false" outlineLevel="0" collapsed="false">
      <c r="A348" s="4" t="str">
        <f aca="false">IF(Base_Bruta!A348="","",Base_Bruta!A348)</f>
        <v>SP-000583</v>
      </c>
      <c r="B348" s="5" t="n">
        <f aca="false">IF($A348="","",IF(ISNUMBER(Base_Bruta!B348),Base_Bruta!B348,IF(MID(Base_Bruta!B348,5,1)="-",DATE(VALUE(LEFT(Base_Bruta!B348,4)),VALUE(MID(Base_Bruta!B348,6,2)),VALUE(RIGHT(Base_Bruta!B348,2))),DATE(VALUE(RIGHT(Base_Bruta!B348,4)),VALUE(MID(Base_Bruta!B348,4,2)),VALUE(LEFT(Base_Bruta!B348,2))))))</f>
        <v>45929</v>
      </c>
      <c r="C348" s="5" t="n">
        <f aca="false">IF($A348="","",IF(ISNUMBER(Base_Bruta!C348),Base_Bruta!C348,IF(MID(Base_Bruta!C348,5,1)="-",DATE(VALUE(LEFT(Base_Bruta!C348,4)),VALUE(MID(Base_Bruta!C348,6,2)),VALUE(RIGHT(Base_Bruta!C348,2))),DATE(VALUE(RIGHT(Base_Bruta!C348,4)),VALUE(MID(Base_Bruta!C348,4,2)),VALUE(LEFT(Base_Bruta!C348,2))))))</f>
        <v>45934</v>
      </c>
      <c r="D348" s="4" t="str">
        <f aca="false">IF($A348="","",TRIM(Base_Bruta!D348))</f>
        <v>Turnê Internacional Pop - SP</v>
      </c>
      <c r="E348" s="4" t="str">
        <f aca="false">IF($A348="","",_xlfn.XLOOKUP(LOWER(TRIM(Base_Bruta!E348)),DePara_Categoria!$A$2:$A$9,DePara_Categoria!$B$2:$B$9,"REVISAR"))</f>
        <v>Show</v>
      </c>
      <c r="F348" s="4" t="str">
        <f aca="false">IF($A348="","",_xlfn.XLOOKUP(LOWER(TRIM(Base_Bruta!F348)),DePara_Cidade!$A$2:$A$29,DePara_Cidade!$B$2:$B$29,"REVISAR"))</f>
        <v>São Paulo</v>
      </c>
      <c r="G348" s="4" t="str">
        <f aca="false">IF($A348="","",TRIM(Base_Bruta!G348))</f>
        <v>Inteira</v>
      </c>
      <c r="H348" s="4" t="n">
        <f aca="false">IF($A348="","",IF(ISNUMBER(Base_Bruta!H348),Base_Bruta!H348,IFERROR(_xlfn.NUMBERVALUE(TRIM(SUBSTITUTE(Base_Bruta!H348,"R$","")),",","."),0)))</f>
        <v>1</v>
      </c>
      <c r="I348" s="6" t="n">
        <f aca="false">IF($A348="","",IF(ISNUMBER(Base_Bruta!I348),Base_Bruta!I348,IFERROR(_xlfn.NUMBERVALUE(TRIM(SUBSTITUTE(Base_Bruta!I348,"R$","")),",","."),0)))</f>
        <v>515</v>
      </c>
      <c r="J348" s="6" t="n">
        <f aca="false">IF($A348="","",H348*I348)</f>
        <v>515</v>
      </c>
      <c r="K348" s="4" t="str">
        <f aca="false">IF($A348="","",TRIM(Base_Bruta!J348))</f>
        <v>Site</v>
      </c>
      <c r="L348" s="4" t="str">
        <f aca="false">IF($A348="","",TRIM(Base_Bruta!K348))</f>
        <v>C00908</v>
      </c>
      <c r="M348" s="4" t="str">
        <f aca="false">IF($A348="","",_xlfn.XLOOKUP(LOWER(TRIM(Base_Bruta!L348)),DePara_Cidade!$A$2:$A$29,DePara_Cidade!$B$2:$B$29,"REVISAR"))</f>
        <v>Porto Alegre</v>
      </c>
      <c r="N348" s="4" t="str">
        <f aca="false">IF($A348="","",UPPER(TRIM(Base_Bruta!M348)))</f>
        <v>RS</v>
      </c>
      <c r="O348" s="4" t="str">
        <f aca="false">IF($A348="","",_xlfn.XLOOKUP(LOWER(TRIM(Base_Bruta!N348)),DePara_Pais!$A$2:$A$9,DePara_Pais!$B$2:$B$9,"REVISAR"))</f>
        <v>Brasil</v>
      </c>
      <c r="P348" s="4" t="str">
        <f aca="false">IF($A348="","",IF(O348&lt;&gt;"Brasil","Turista Internacional",IF(M348=F348,"Local","Turista Nacional")))</f>
        <v>Turista Nacional</v>
      </c>
      <c r="Q348" s="7" t="n">
        <f aca="false">IF($A348="","",DATE(YEAR(B348),MONTH(B348),1))</f>
        <v>45901</v>
      </c>
      <c r="R348" s="4" t="str">
        <f aca="false">IF($A348="","",IF(COUNTIF($A$2:$A348,$A348)&gt;1,"Sim","Não"))</f>
        <v>Não</v>
      </c>
      <c r="S348" s="4" t="str">
        <f aca="false">IF(A348="","Descartar - Linha vazia",IF(R348="Sim","Descartar - Duplicado",IF(OR(H348&lt;=0,I348&lt;=0),"Descartar - Qtd/Valor inválido","OK")))</f>
        <v>OK</v>
      </c>
      <c r="T348" s="4" t="str">
        <f aca="false">Base_Bruta!P348</f>
        <v>vendas_SP.xlsx</v>
      </c>
    </row>
    <row r="349" customFormat="false" ht="15" hidden="false" customHeight="false" outlineLevel="0" collapsed="false">
      <c r="A349" s="4" t="str">
        <f aca="false">IF(Base_Bruta!A349="","",Base_Bruta!A349)</f>
        <v>SP-000587</v>
      </c>
      <c r="B349" s="5" t="n">
        <f aca="false">IF($A349="","",IF(ISNUMBER(Base_Bruta!B349),Base_Bruta!B349,IF(MID(Base_Bruta!B349,5,1)="-",DATE(VALUE(LEFT(Base_Bruta!B349,4)),VALUE(MID(Base_Bruta!B349,6,2)),VALUE(RIGHT(Base_Bruta!B349,2))),DATE(VALUE(RIGHT(Base_Bruta!B349,4)),VALUE(MID(Base_Bruta!B349,4,2)),VALUE(LEFT(Base_Bruta!B349,2))))))</f>
        <v>45929</v>
      </c>
      <c r="C349" s="5" t="n">
        <f aca="false">IF($A349="","",IF(ISNUMBER(Base_Bruta!C349),Base_Bruta!C349,IF(MID(Base_Bruta!C349,5,1)="-",DATE(VALUE(LEFT(Base_Bruta!C349,4)),VALUE(MID(Base_Bruta!C349,6,2)),VALUE(RIGHT(Base_Bruta!C349,2))),DATE(VALUE(RIGHT(Base_Bruta!C349,4)),VALUE(MID(Base_Bruta!C349,4,2)),VALUE(LEFT(Base_Bruta!C349,2))))))</f>
        <v>45934</v>
      </c>
      <c r="D349" s="4" t="str">
        <f aca="false">IF($A349="","",TRIM(Base_Bruta!D349))</f>
        <v>Turnê Internacional Pop - SP</v>
      </c>
      <c r="E349" s="4" t="str">
        <f aca="false">IF($A349="","",_xlfn.XLOOKUP(LOWER(TRIM(Base_Bruta!E349)),DePara_Categoria!$A$2:$A$9,DePara_Categoria!$B$2:$B$9,"REVISAR"))</f>
        <v>Show</v>
      </c>
      <c r="F349" s="4" t="str">
        <f aca="false">IF($A349="","",_xlfn.XLOOKUP(LOWER(TRIM(Base_Bruta!F349)),DePara_Cidade!$A$2:$A$29,DePara_Cidade!$B$2:$B$29,"REVISAR"))</f>
        <v>São Paulo</v>
      </c>
      <c r="G349" s="4" t="str">
        <f aca="false">IF($A349="","",TRIM(Base_Bruta!G349))</f>
        <v>Inteira</v>
      </c>
      <c r="H349" s="4" t="n">
        <f aca="false">IF($A349="","",IF(ISNUMBER(Base_Bruta!H349),Base_Bruta!H349,IFERROR(_xlfn.NUMBERVALUE(TRIM(SUBSTITUTE(Base_Bruta!H349,"R$","")),",","."),0)))</f>
        <v>1</v>
      </c>
      <c r="I349" s="6" t="n">
        <f aca="false">IF($A349="","",IF(ISNUMBER(Base_Bruta!I349),Base_Bruta!I349,IFERROR(_xlfn.NUMBERVALUE(TRIM(SUBSTITUTE(Base_Bruta!I349,"R$","")),",","."),0)))</f>
        <v>470</v>
      </c>
      <c r="J349" s="6" t="n">
        <f aca="false">IF($A349="","",H349*I349)</f>
        <v>470</v>
      </c>
      <c r="K349" s="4" t="str">
        <f aca="false">IF($A349="","",TRIM(Base_Bruta!J349))</f>
        <v>App</v>
      </c>
      <c r="L349" s="4" t="str">
        <f aca="false">IF($A349="","",TRIM(Base_Bruta!K349))</f>
        <v>C00186</v>
      </c>
      <c r="M349" s="4" t="str">
        <f aca="false">IF($A349="","",_xlfn.XLOOKUP(LOWER(TRIM(Base_Bruta!L349)),DePara_Cidade!$A$2:$A$29,DePara_Cidade!$B$2:$B$29,"REVISAR"))</f>
        <v>São Paulo</v>
      </c>
      <c r="N349" s="4" t="str">
        <f aca="false">IF($A349="","",UPPER(TRIM(Base_Bruta!M349)))</f>
        <v>SP</v>
      </c>
      <c r="O349" s="4" t="str">
        <f aca="false">IF($A349="","",_xlfn.XLOOKUP(LOWER(TRIM(Base_Bruta!N349)),DePara_Pais!$A$2:$A$9,DePara_Pais!$B$2:$B$9,"REVISAR"))</f>
        <v>Brasil</v>
      </c>
      <c r="P349" s="4" t="str">
        <f aca="false">IF($A349="","",IF(O349&lt;&gt;"Brasil","Turista Internacional",IF(M349=F349,"Local","Turista Nacional")))</f>
        <v>Local</v>
      </c>
      <c r="Q349" s="7" t="n">
        <f aca="false">IF($A349="","",DATE(YEAR(B349),MONTH(B349),1))</f>
        <v>45901</v>
      </c>
      <c r="R349" s="4" t="str">
        <f aca="false">IF($A349="","",IF(COUNTIF($A$2:$A349,$A349)&gt;1,"Sim","Não"))</f>
        <v>Não</v>
      </c>
      <c r="S349" s="4" t="str">
        <f aca="false">IF(A349="","Descartar - Linha vazia",IF(R349="Sim","Descartar - Duplicado",IF(OR(H349&lt;=0,I349&lt;=0),"Descartar - Qtd/Valor inválido","OK")))</f>
        <v>OK</v>
      </c>
      <c r="T349" s="4" t="str">
        <f aca="false">Base_Bruta!P349</f>
        <v>vendas_SP.xlsx</v>
      </c>
    </row>
    <row r="350" customFormat="false" ht="15" hidden="false" customHeight="false" outlineLevel="0" collapsed="false">
      <c r="A350" s="4" t="str">
        <f aca="false">IF(Base_Bruta!A350="","",Base_Bruta!A350)</f>
        <v>SP-000591</v>
      </c>
      <c r="B350" s="5" t="n">
        <f aca="false">IF($A350="","",IF(ISNUMBER(Base_Bruta!B350),Base_Bruta!B350,IF(MID(Base_Bruta!B350,5,1)="-",DATE(VALUE(LEFT(Base_Bruta!B350,4)),VALUE(MID(Base_Bruta!B350,6,2)),VALUE(RIGHT(Base_Bruta!B350,2))),DATE(VALUE(RIGHT(Base_Bruta!B350,4)),VALUE(MID(Base_Bruta!B350,4,2)),VALUE(LEFT(Base_Bruta!B350,2))))))</f>
        <v>45929</v>
      </c>
      <c r="C350" s="5" t="n">
        <f aca="false">IF($A350="","",IF(ISNUMBER(Base_Bruta!C350),Base_Bruta!C350,IF(MID(Base_Bruta!C350,5,1)="-",DATE(VALUE(LEFT(Base_Bruta!C350,4)),VALUE(MID(Base_Bruta!C350,6,2)),VALUE(RIGHT(Base_Bruta!C350,2))),DATE(VALUE(RIGHT(Base_Bruta!C350,4)),VALUE(MID(Base_Bruta!C350,4,2)),VALUE(LEFT(Base_Bruta!C350,2))))))</f>
        <v>45934</v>
      </c>
      <c r="D350" s="4" t="str">
        <f aca="false">IF($A350="","",TRIM(Base_Bruta!D350))</f>
        <v>Turnê Internacional Pop - SP</v>
      </c>
      <c r="E350" s="4" t="str">
        <f aca="false">IF($A350="","",_xlfn.XLOOKUP(LOWER(TRIM(Base_Bruta!E350)),DePara_Categoria!$A$2:$A$9,DePara_Categoria!$B$2:$B$9,"REVISAR"))</f>
        <v>Show</v>
      </c>
      <c r="F350" s="4" t="str">
        <f aca="false">IF($A350="","",_xlfn.XLOOKUP(LOWER(TRIM(Base_Bruta!F350)),DePara_Cidade!$A$2:$A$29,DePara_Cidade!$B$2:$B$29,"REVISAR"))</f>
        <v>São Paulo</v>
      </c>
      <c r="G350" s="4" t="str">
        <f aca="false">IF($A350="","",TRIM(Base_Bruta!G350))</f>
        <v>Meia</v>
      </c>
      <c r="H350" s="4" t="n">
        <f aca="false">IF($A350="","",IF(ISNUMBER(Base_Bruta!H350),Base_Bruta!H350,IFERROR(_xlfn.NUMBERVALUE(TRIM(SUBSTITUTE(Base_Bruta!H350,"R$","")),",","."),0)))</f>
        <v>1</v>
      </c>
      <c r="I350" s="6" t="n">
        <f aca="false">IF($A350="","",IF(ISNUMBER(Base_Bruta!I350),Base_Bruta!I350,IFERROR(_xlfn.NUMBERVALUE(TRIM(SUBSTITUTE(Base_Bruta!I350,"R$","")),",","."),0)))</f>
        <v>242.5</v>
      </c>
      <c r="J350" s="6" t="n">
        <f aca="false">IF($A350="","",H350*I350)</f>
        <v>242.5</v>
      </c>
      <c r="K350" s="4" t="str">
        <f aca="false">IF($A350="","",TRIM(Base_Bruta!J350))</f>
        <v>App</v>
      </c>
      <c r="L350" s="4" t="str">
        <f aca="false">IF($A350="","",TRIM(Base_Bruta!K350))</f>
        <v>C00148</v>
      </c>
      <c r="M350" s="4" t="str">
        <f aca="false">IF($A350="","",_xlfn.XLOOKUP(LOWER(TRIM(Base_Bruta!L350)),DePara_Cidade!$A$2:$A$29,DePara_Cidade!$B$2:$B$29,"REVISAR"))</f>
        <v>São Paulo</v>
      </c>
      <c r="N350" s="4" t="str">
        <f aca="false">IF($A350="","",UPPER(TRIM(Base_Bruta!M350)))</f>
        <v>SP</v>
      </c>
      <c r="O350" s="4" t="str">
        <f aca="false">IF($A350="","",_xlfn.XLOOKUP(LOWER(TRIM(Base_Bruta!N350)),DePara_Pais!$A$2:$A$9,DePara_Pais!$B$2:$B$9,"REVISAR"))</f>
        <v>Brasil</v>
      </c>
      <c r="P350" s="4" t="str">
        <f aca="false">IF($A350="","",IF(O350&lt;&gt;"Brasil","Turista Internacional",IF(M350=F350,"Local","Turista Nacional")))</f>
        <v>Local</v>
      </c>
      <c r="Q350" s="7" t="n">
        <f aca="false">IF($A350="","",DATE(YEAR(B350),MONTH(B350),1))</f>
        <v>45901</v>
      </c>
      <c r="R350" s="4" t="str">
        <f aca="false">IF($A350="","",IF(COUNTIF($A$2:$A350,$A350)&gt;1,"Sim","Não"))</f>
        <v>Não</v>
      </c>
      <c r="S350" s="4" t="str">
        <f aca="false">IF(A350="","Descartar - Linha vazia",IF(R350="Sim","Descartar - Duplicado",IF(OR(H350&lt;=0,I350&lt;=0),"Descartar - Qtd/Valor inválido","OK")))</f>
        <v>OK</v>
      </c>
      <c r="T350" s="4" t="str">
        <f aca="false">Base_Bruta!P350</f>
        <v>vendas_SP.xlsx</v>
      </c>
    </row>
    <row r="351" customFormat="false" ht="15" hidden="false" customHeight="false" outlineLevel="0" collapsed="false">
      <c r="A351" s="4" t="str">
        <f aca="false">IF(Base_Bruta!A351="","",Base_Bruta!A351)</f>
        <v>SP-000630</v>
      </c>
      <c r="B351" s="5" t="n">
        <f aca="false">IF($A351="","",IF(ISNUMBER(Base_Bruta!B351),Base_Bruta!B351,IF(MID(Base_Bruta!B351,5,1)="-",DATE(VALUE(LEFT(Base_Bruta!B351,4)),VALUE(MID(Base_Bruta!B351,6,2)),VALUE(RIGHT(Base_Bruta!B351,2))),DATE(VALUE(RIGHT(Base_Bruta!B351,4)),VALUE(MID(Base_Bruta!B351,4,2)),VALUE(LEFT(Base_Bruta!B351,2))))))</f>
        <v>45929</v>
      </c>
      <c r="C351" s="5" t="n">
        <f aca="false">IF($A351="","",IF(ISNUMBER(Base_Bruta!C351),Base_Bruta!C351,IF(MID(Base_Bruta!C351,5,1)="-",DATE(VALUE(LEFT(Base_Bruta!C351,4)),VALUE(MID(Base_Bruta!C351,6,2)),VALUE(RIGHT(Base_Bruta!C351,2))),DATE(VALUE(RIGHT(Base_Bruta!C351,4)),VALUE(MID(Base_Bruta!C351,4,2)),VALUE(LEFT(Base_Bruta!C351,2))))))</f>
        <v>45931</v>
      </c>
      <c r="D351" s="4" t="str">
        <f aca="false">IF($A351="","",TRIM(Base_Bruta!D351))</f>
        <v>Cinema Paulista - Sessões</v>
      </c>
      <c r="E351" s="4" t="str">
        <f aca="false">IF($A351="","",_xlfn.XLOOKUP(LOWER(TRIM(Base_Bruta!E351)),DePara_Categoria!$A$2:$A$9,DePara_Categoria!$B$2:$B$9,"REVISAR"))</f>
        <v>Cinema</v>
      </c>
      <c r="F351" s="4" t="str">
        <f aca="false">IF($A351="","",_xlfn.XLOOKUP(LOWER(TRIM(Base_Bruta!F351)),DePara_Cidade!$A$2:$A$29,DePara_Cidade!$B$2:$B$29,"REVISAR"))</f>
        <v>São Paulo</v>
      </c>
      <c r="G351" s="4" t="str">
        <f aca="false">IF($A351="","",TRIM(Base_Bruta!G351))</f>
        <v>Inteira</v>
      </c>
      <c r="H351" s="4" t="n">
        <f aca="false">IF($A351="","",IF(ISNUMBER(Base_Bruta!H351),Base_Bruta!H351,IFERROR(_xlfn.NUMBERVALUE(TRIM(SUBSTITUTE(Base_Bruta!H351,"R$","")),",","."),0)))</f>
        <v>1</v>
      </c>
      <c r="I351" s="6" t="n">
        <f aca="false">IF($A351="","",IF(ISNUMBER(Base_Bruta!I351),Base_Bruta!I351,IFERROR(_xlfn.NUMBERVALUE(TRIM(SUBSTITUTE(Base_Bruta!I351,"R$","")),",","."),0)))</f>
        <v>40</v>
      </c>
      <c r="J351" s="6" t="n">
        <f aca="false">IF($A351="","",H351*I351)</f>
        <v>40</v>
      </c>
      <c r="K351" s="4" t="str">
        <f aca="false">IF($A351="","",TRIM(Base_Bruta!J351))</f>
        <v>App</v>
      </c>
      <c r="L351" s="4" t="str">
        <f aca="false">IF($A351="","",TRIM(Base_Bruta!K351))</f>
        <v>C01207</v>
      </c>
      <c r="M351" s="4" t="str">
        <f aca="false">IF($A351="","",_xlfn.XLOOKUP(LOWER(TRIM(Base_Bruta!L351)),DePara_Cidade!$A$2:$A$29,DePara_Cidade!$B$2:$B$29,"REVISAR"))</f>
        <v>São Paulo</v>
      </c>
      <c r="N351" s="4" t="str">
        <f aca="false">IF($A351="","",UPPER(TRIM(Base_Bruta!M351)))</f>
        <v>SP</v>
      </c>
      <c r="O351" s="4" t="str">
        <f aca="false">IF($A351="","",_xlfn.XLOOKUP(LOWER(TRIM(Base_Bruta!N351)),DePara_Pais!$A$2:$A$9,DePara_Pais!$B$2:$B$9,"REVISAR"))</f>
        <v>Brasil</v>
      </c>
      <c r="P351" s="4" t="str">
        <f aca="false">IF($A351="","",IF(O351&lt;&gt;"Brasil","Turista Internacional",IF(M351=F351,"Local","Turista Nacional")))</f>
        <v>Local</v>
      </c>
      <c r="Q351" s="7" t="n">
        <f aca="false">IF($A351="","",DATE(YEAR(B351),MONTH(B351),1))</f>
        <v>45901</v>
      </c>
      <c r="R351" s="4" t="str">
        <f aca="false">IF($A351="","",IF(COUNTIF($A$2:$A351,$A351)&gt;1,"Sim","Não"))</f>
        <v>Não</v>
      </c>
      <c r="S351" s="4" t="str">
        <f aca="false">IF(A351="","Descartar - Linha vazia",IF(R351="Sim","Descartar - Duplicado",IF(OR(H351&lt;=0,I351&lt;=0),"Descartar - Qtd/Valor inválido","OK")))</f>
        <v>OK</v>
      </c>
      <c r="T351" s="4" t="str">
        <f aca="false">Base_Bruta!P351</f>
        <v>vendas_SP.xlsx</v>
      </c>
    </row>
    <row r="352" customFormat="false" ht="15" hidden="false" customHeight="false" outlineLevel="0" collapsed="false">
      <c r="A352" s="4" t="str">
        <f aca="false">IF(Base_Bruta!A352="","",Base_Bruta!A352)</f>
        <v>SP-000754</v>
      </c>
      <c r="B352" s="5" t="n">
        <f aca="false">IF($A352="","",IF(ISNUMBER(Base_Bruta!B352),Base_Bruta!B352,IF(MID(Base_Bruta!B352,5,1)="-",DATE(VALUE(LEFT(Base_Bruta!B352,4)),VALUE(MID(Base_Bruta!B352,6,2)),VALUE(RIGHT(Base_Bruta!B352,2))),DATE(VALUE(RIGHT(Base_Bruta!B352,4)),VALUE(MID(Base_Bruta!B352,4,2)),VALUE(LEFT(Base_Bruta!B352,2))))))</f>
        <v>45929</v>
      </c>
      <c r="C352" s="5" t="n">
        <f aca="false">IF($A352="","",IF(ISNUMBER(Base_Bruta!C352),Base_Bruta!C352,IF(MID(Base_Bruta!C352,5,1)="-",DATE(VALUE(LEFT(Base_Bruta!C352,4)),VALUE(MID(Base_Bruta!C352,6,2)),VALUE(RIGHT(Base_Bruta!C352,2))),DATE(VALUE(RIGHT(Base_Bruta!C352,4)),VALUE(MID(Base_Bruta!C352,4,2)),VALUE(LEFT(Base_Bruta!C352,2))))))</f>
        <v>45932</v>
      </c>
      <c r="D352" s="4" t="str">
        <f aca="false">IF($A352="","",TRIM(Base_Bruta!D352))</f>
        <v>Cinema Paulista - Sessões</v>
      </c>
      <c r="E352" s="4" t="str">
        <f aca="false">IF($A352="","",_xlfn.XLOOKUP(LOWER(TRIM(Base_Bruta!E352)),DePara_Categoria!$A$2:$A$9,DePara_Categoria!$B$2:$B$9,"REVISAR"))</f>
        <v>Cinema</v>
      </c>
      <c r="F352" s="4" t="str">
        <f aca="false">IF($A352="","",_xlfn.XLOOKUP(LOWER(TRIM(Base_Bruta!F352)),DePara_Cidade!$A$2:$A$29,DePara_Cidade!$B$2:$B$29,"REVISAR"))</f>
        <v>São Paulo</v>
      </c>
      <c r="G352" s="4" t="str">
        <f aca="false">IF($A352="","",TRIM(Base_Bruta!G352))</f>
        <v>Inteira</v>
      </c>
      <c r="H352" s="4" t="n">
        <f aca="false">IF($A352="","",IF(ISNUMBER(Base_Bruta!H352),Base_Bruta!H352,IFERROR(_xlfn.NUMBERVALUE(TRIM(SUBSTITUTE(Base_Bruta!H352,"R$","")),",","."),0)))</f>
        <v>1</v>
      </c>
      <c r="I352" s="6" t="n">
        <f aca="false">IF($A352="","",IF(ISNUMBER(Base_Bruta!I352),Base_Bruta!I352,IFERROR(_xlfn.NUMBERVALUE(TRIM(SUBSTITUTE(Base_Bruta!I352,"R$","")),",","."),0)))</f>
        <v>40</v>
      </c>
      <c r="J352" s="6" t="n">
        <f aca="false">IF($A352="","",H352*I352)</f>
        <v>40</v>
      </c>
      <c r="K352" s="4" t="str">
        <f aca="false">IF($A352="","",TRIM(Base_Bruta!J352))</f>
        <v>Site</v>
      </c>
      <c r="L352" s="4" t="str">
        <f aca="false">IF($A352="","",TRIM(Base_Bruta!K352))</f>
        <v>C00794</v>
      </c>
      <c r="M352" s="4" t="str">
        <f aca="false">IF($A352="","",_xlfn.XLOOKUP(LOWER(TRIM(Base_Bruta!L352)),DePara_Cidade!$A$2:$A$29,DePara_Cidade!$B$2:$B$29,"REVISAR"))</f>
        <v>São Paulo</v>
      </c>
      <c r="N352" s="4" t="str">
        <f aca="false">IF($A352="","",UPPER(TRIM(Base_Bruta!M352)))</f>
        <v>SP</v>
      </c>
      <c r="O352" s="4" t="str">
        <f aca="false">IF($A352="","",_xlfn.XLOOKUP(LOWER(TRIM(Base_Bruta!N352)),DePara_Pais!$A$2:$A$9,DePara_Pais!$B$2:$B$9,"REVISAR"))</f>
        <v>Brasil</v>
      </c>
      <c r="P352" s="4" t="str">
        <f aca="false">IF($A352="","",IF(O352&lt;&gt;"Brasil","Turista Internacional",IF(M352=F352,"Local","Turista Nacional")))</f>
        <v>Local</v>
      </c>
      <c r="Q352" s="7" t="n">
        <f aca="false">IF($A352="","",DATE(YEAR(B352),MONTH(B352),1))</f>
        <v>45901</v>
      </c>
      <c r="R352" s="4" t="str">
        <f aca="false">IF($A352="","",IF(COUNTIF($A$2:$A352,$A352)&gt;1,"Sim","Não"))</f>
        <v>Não</v>
      </c>
      <c r="S352" s="4" t="str">
        <f aca="false">IF(A352="","Descartar - Linha vazia",IF(R352="Sim","Descartar - Duplicado",IF(OR(H352&lt;=0,I352&lt;=0),"Descartar - Qtd/Valor inválido","OK")))</f>
        <v>OK</v>
      </c>
      <c r="T352" s="4" t="str">
        <f aca="false">Base_Bruta!P352</f>
        <v>vendas_SP.xlsx</v>
      </c>
    </row>
    <row r="353" customFormat="false" ht="15" hidden="false" customHeight="false" outlineLevel="0" collapsed="false">
      <c r="A353" s="4" t="str">
        <f aca="false">IF(Base_Bruta!A353="","",Base_Bruta!A353)</f>
        <v>SP-000490</v>
      </c>
      <c r="B353" s="5" t="n">
        <f aca="false">IF($A353="","",IF(ISNUMBER(Base_Bruta!B353),Base_Bruta!B353,IF(MID(Base_Bruta!B353,5,1)="-",DATE(VALUE(LEFT(Base_Bruta!B353,4)),VALUE(MID(Base_Bruta!B353,6,2)),VALUE(RIGHT(Base_Bruta!B353,2))),DATE(VALUE(RIGHT(Base_Bruta!B353,4)),VALUE(MID(Base_Bruta!B353,4,2)),VALUE(LEFT(Base_Bruta!B353,2))))))</f>
        <v>45930</v>
      </c>
      <c r="C353" s="5" t="n">
        <f aca="false">IF($A353="","",IF(ISNUMBER(Base_Bruta!C353),Base_Bruta!C353,IF(MID(Base_Bruta!C353,5,1)="-",DATE(VALUE(LEFT(Base_Bruta!C353,4)),VALUE(MID(Base_Bruta!C353,6,2)),VALUE(RIGHT(Base_Bruta!C353,2))),DATE(VALUE(RIGHT(Base_Bruta!C353,4)),VALUE(MID(Base_Bruta!C353,4,2)),VALUE(LEFT(Base_Bruta!C353,2))))))</f>
        <v>45934</v>
      </c>
      <c r="D353" s="4" t="str">
        <f aca="false">IF($A353="","",TRIM(Base_Bruta!D353))</f>
        <v>Turnê Internacional Pop - SP</v>
      </c>
      <c r="E353" s="4" t="str">
        <f aca="false">IF($A353="","",_xlfn.XLOOKUP(LOWER(TRIM(Base_Bruta!E353)),DePara_Categoria!$A$2:$A$9,DePara_Categoria!$B$2:$B$9,"REVISAR"))</f>
        <v>Show</v>
      </c>
      <c r="F353" s="4" t="str">
        <f aca="false">IF($A353="","",_xlfn.XLOOKUP(LOWER(TRIM(Base_Bruta!F353)),DePara_Cidade!$A$2:$A$29,DePara_Cidade!$B$2:$B$29,"REVISAR"))</f>
        <v>São Paulo</v>
      </c>
      <c r="G353" s="4" t="str">
        <f aca="false">IF($A353="","",TRIM(Base_Bruta!G353))</f>
        <v>Meia</v>
      </c>
      <c r="H353" s="4" t="n">
        <f aca="false">IF($A353="","",IF(ISNUMBER(Base_Bruta!H353),Base_Bruta!H353,IFERROR(_xlfn.NUMBERVALUE(TRIM(SUBSTITUTE(Base_Bruta!H353,"R$","")),",","."),0)))</f>
        <v>2</v>
      </c>
      <c r="I353" s="6" t="n">
        <f aca="false">IF($A353="","",IF(ISNUMBER(Base_Bruta!I353),Base_Bruta!I353,IFERROR(_xlfn.NUMBERVALUE(TRIM(SUBSTITUTE(Base_Bruta!I353,"R$","")),",","."),0)))</f>
        <v>117.5</v>
      </c>
      <c r="J353" s="6" t="n">
        <f aca="false">IF($A353="","",H353*I353)</f>
        <v>235</v>
      </c>
      <c r="K353" s="4" t="str">
        <f aca="false">IF($A353="","",TRIM(Base_Bruta!J353))</f>
        <v>Site</v>
      </c>
      <c r="L353" s="4" t="str">
        <f aca="false">IF($A353="","",TRIM(Base_Bruta!K353))</f>
        <v>C01501</v>
      </c>
      <c r="M353" s="4" t="str">
        <f aca="false">IF($A353="","",_xlfn.XLOOKUP(LOWER(TRIM(Base_Bruta!L353)),DePara_Cidade!$A$2:$A$29,DePara_Cidade!$B$2:$B$29,"REVISAR"))</f>
        <v>São Paulo</v>
      </c>
      <c r="N353" s="4" t="str">
        <f aca="false">IF($A353="","",UPPER(TRIM(Base_Bruta!M353)))</f>
        <v>SP</v>
      </c>
      <c r="O353" s="4" t="str">
        <f aca="false">IF($A353="","",_xlfn.XLOOKUP(LOWER(TRIM(Base_Bruta!N353)),DePara_Pais!$A$2:$A$9,DePara_Pais!$B$2:$B$9,"REVISAR"))</f>
        <v>Brasil</v>
      </c>
      <c r="P353" s="4" t="str">
        <f aca="false">IF($A353="","",IF(O353&lt;&gt;"Brasil","Turista Internacional",IF(M353=F353,"Local","Turista Nacional")))</f>
        <v>Local</v>
      </c>
      <c r="Q353" s="7" t="n">
        <f aca="false">IF($A353="","",DATE(YEAR(B353),MONTH(B353),1))</f>
        <v>45901</v>
      </c>
      <c r="R353" s="4" t="str">
        <f aca="false">IF($A353="","",IF(COUNTIF($A$2:$A353,$A353)&gt;1,"Sim","Não"))</f>
        <v>Não</v>
      </c>
      <c r="S353" s="4" t="str">
        <f aca="false">IF(A353="","Descartar - Linha vazia",IF(R353="Sim","Descartar - Duplicado",IF(OR(H353&lt;=0,I353&lt;=0),"Descartar - Qtd/Valor inválido","OK")))</f>
        <v>OK</v>
      </c>
      <c r="T353" s="4" t="str">
        <f aca="false">Base_Bruta!P353</f>
        <v>vendas_SP.xlsx</v>
      </c>
    </row>
    <row r="354" customFormat="false" ht="15" hidden="false" customHeight="false" outlineLevel="0" collapsed="false">
      <c r="A354" s="4" t="str">
        <f aca="false">IF(Base_Bruta!A354="","",Base_Bruta!A354)</f>
        <v>SP-000511</v>
      </c>
      <c r="B354" s="5" t="n">
        <f aca="false">IF($A354="","",IF(ISNUMBER(Base_Bruta!B354),Base_Bruta!B354,IF(MID(Base_Bruta!B354,5,1)="-",DATE(VALUE(LEFT(Base_Bruta!B354,4)),VALUE(MID(Base_Bruta!B354,6,2)),VALUE(RIGHT(Base_Bruta!B354,2))),DATE(VALUE(RIGHT(Base_Bruta!B354,4)),VALUE(MID(Base_Bruta!B354,4,2)),VALUE(LEFT(Base_Bruta!B354,2))))))</f>
        <v>45930</v>
      </c>
      <c r="C354" s="5" t="n">
        <f aca="false">IF($A354="","",IF(ISNUMBER(Base_Bruta!C354),Base_Bruta!C354,IF(MID(Base_Bruta!C354,5,1)="-",DATE(VALUE(LEFT(Base_Bruta!C354,4)),VALUE(MID(Base_Bruta!C354,6,2)),VALUE(RIGHT(Base_Bruta!C354,2))),DATE(VALUE(RIGHT(Base_Bruta!C354,4)),VALUE(MID(Base_Bruta!C354,4,2)),VALUE(LEFT(Base_Bruta!C354,2))))))</f>
        <v>45934</v>
      </c>
      <c r="D354" s="4" t="str">
        <f aca="false">IF($A354="","",TRIM(Base_Bruta!D354))</f>
        <v>Turnê Internacional Pop - SP</v>
      </c>
      <c r="E354" s="4" t="str">
        <f aca="false">IF($A354="","",_xlfn.XLOOKUP(LOWER(TRIM(Base_Bruta!E354)),DePara_Categoria!$A$2:$A$9,DePara_Categoria!$B$2:$B$9,"REVISAR"))</f>
        <v>Show</v>
      </c>
      <c r="F354" s="4" t="str">
        <f aca="false">IF($A354="","",_xlfn.XLOOKUP(LOWER(TRIM(Base_Bruta!F354)),DePara_Cidade!$A$2:$A$29,DePara_Cidade!$B$2:$B$29,"REVISAR"))</f>
        <v>São Paulo</v>
      </c>
      <c r="G354" s="4" t="str">
        <f aca="false">IF($A354="","",TRIM(Base_Bruta!G354))</f>
        <v>Inteira</v>
      </c>
      <c r="H354" s="4" t="n">
        <f aca="false">IF($A354="","",IF(ISNUMBER(Base_Bruta!H354),Base_Bruta!H354,IFERROR(_xlfn.NUMBERVALUE(TRIM(SUBSTITUTE(Base_Bruta!H354,"R$","")),",","."),0)))</f>
        <v>3</v>
      </c>
      <c r="I354" s="6" t="n">
        <f aca="false">IF($A354="","",IF(ISNUMBER(Base_Bruta!I354),Base_Bruta!I354,IFERROR(_xlfn.NUMBERVALUE(TRIM(SUBSTITUTE(Base_Bruta!I354,"R$","")),",","."),0)))</f>
        <v>765</v>
      </c>
      <c r="J354" s="6" t="n">
        <f aca="false">IF($A354="","",H354*I354)</f>
        <v>2295</v>
      </c>
      <c r="K354" s="4" t="str">
        <f aca="false">IF($A354="","",TRIM(Base_Bruta!J354))</f>
        <v>App</v>
      </c>
      <c r="L354" s="4" t="str">
        <f aca="false">IF($A354="","",TRIM(Base_Bruta!K354))</f>
        <v>C01308</v>
      </c>
      <c r="M354" s="4" t="str">
        <f aca="false">IF($A354="","",_xlfn.XLOOKUP(LOWER(TRIM(Base_Bruta!L354)),DePara_Cidade!$A$2:$A$29,DePara_Cidade!$B$2:$B$29,"REVISAR"))</f>
        <v>Campinas</v>
      </c>
      <c r="N354" s="4" t="str">
        <f aca="false">IF($A354="","",UPPER(TRIM(Base_Bruta!M354)))</f>
        <v>SP</v>
      </c>
      <c r="O354" s="4" t="str">
        <f aca="false">IF($A354="","",_xlfn.XLOOKUP(LOWER(TRIM(Base_Bruta!N354)),DePara_Pais!$A$2:$A$9,DePara_Pais!$B$2:$B$9,"REVISAR"))</f>
        <v>Brasil</v>
      </c>
      <c r="P354" s="4" t="str">
        <f aca="false">IF($A354="","",IF(O354&lt;&gt;"Brasil","Turista Internacional",IF(M354=F354,"Local","Turista Nacional")))</f>
        <v>Turista Nacional</v>
      </c>
      <c r="Q354" s="7" t="n">
        <f aca="false">IF($A354="","",DATE(YEAR(B354),MONTH(B354),1))</f>
        <v>45901</v>
      </c>
      <c r="R354" s="4" t="str">
        <f aca="false">IF($A354="","",IF(COUNTIF($A$2:$A354,$A354)&gt;1,"Sim","Não"))</f>
        <v>Não</v>
      </c>
      <c r="S354" s="4" t="str">
        <f aca="false">IF(A354="","Descartar - Linha vazia",IF(R354="Sim","Descartar - Duplicado",IF(OR(H354&lt;=0,I354&lt;=0),"Descartar - Qtd/Valor inválido","OK")))</f>
        <v>OK</v>
      </c>
      <c r="T354" s="4" t="str">
        <f aca="false">Base_Bruta!P354</f>
        <v>vendas_SP.xlsx</v>
      </c>
    </row>
    <row r="355" customFormat="false" ht="15" hidden="false" customHeight="false" outlineLevel="0" collapsed="false">
      <c r="A355" s="4" t="str">
        <f aca="false">IF(Base_Bruta!A355="","",Base_Bruta!A355)</f>
        <v>SP-000532</v>
      </c>
      <c r="B355" s="5" t="n">
        <f aca="false">IF($A355="","",IF(ISNUMBER(Base_Bruta!B355),Base_Bruta!B355,IF(MID(Base_Bruta!B355,5,1)="-",DATE(VALUE(LEFT(Base_Bruta!B355,4)),VALUE(MID(Base_Bruta!B355,6,2)),VALUE(RIGHT(Base_Bruta!B355,2))),DATE(VALUE(RIGHT(Base_Bruta!B355,4)),VALUE(MID(Base_Bruta!B355,4,2)),VALUE(LEFT(Base_Bruta!B355,2))))))</f>
        <v>45930</v>
      </c>
      <c r="C355" s="5" t="n">
        <f aca="false">IF($A355="","",IF(ISNUMBER(Base_Bruta!C355),Base_Bruta!C355,IF(MID(Base_Bruta!C355,5,1)="-",DATE(VALUE(LEFT(Base_Bruta!C355,4)),VALUE(MID(Base_Bruta!C355,6,2)),VALUE(RIGHT(Base_Bruta!C355,2))),DATE(VALUE(RIGHT(Base_Bruta!C355,4)),VALUE(MID(Base_Bruta!C355,4,2)),VALUE(LEFT(Base_Bruta!C355,2))))))</f>
        <v>45934</v>
      </c>
      <c r="D355" s="4" t="str">
        <f aca="false">IF($A355="","",TRIM(Base_Bruta!D355))</f>
        <v>Turnê Internacional Pop - SP</v>
      </c>
      <c r="E355" s="4" t="str">
        <f aca="false">IF($A355="","",_xlfn.XLOOKUP(LOWER(TRIM(Base_Bruta!E355)),DePara_Categoria!$A$2:$A$9,DePara_Categoria!$B$2:$B$9,"REVISAR"))</f>
        <v>Show</v>
      </c>
      <c r="F355" s="4" t="str">
        <f aca="false">IF($A355="","",_xlfn.XLOOKUP(LOWER(TRIM(Base_Bruta!F355)),DePara_Cidade!$A$2:$A$29,DePara_Cidade!$B$2:$B$29,"REVISAR"))</f>
        <v>São Paulo</v>
      </c>
      <c r="G355" s="4" t="str">
        <f aca="false">IF($A355="","",TRIM(Base_Bruta!G355))</f>
        <v>Inteira</v>
      </c>
      <c r="H355" s="4" t="n">
        <f aca="false">IF($A355="","",IF(ISNUMBER(Base_Bruta!H355),Base_Bruta!H355,IFERROR(_xlfn.NUMBERVALUE(TRIM(SUBSTITUTE(Base_Bruta!H355,"R$","")),",","."),0)))</f>
        <v>1</v>
      </c>
      <c r="I355" s="6" t="n">
        <f aca="false">IF($A355="","",IF(ISNUMBER(Base_Bruta!I355),Base_Bruta!I355,IFERROR(_xlfn.NUMBERVALUE(TRIM(SUBSTITUTE(Base_Bruta!I355,"R$","")),",","."),0)))</f>
        <v>285</v>
      </c>
      <c r="J355" s="6" t="n">
        <f aca="false">IF($A355="","",H355*I355)</f>
        <v>285</v>
      </c>
      <c r="K355" s="4" t="str">
        <f aca="false">IF($A355="","",TRIM(Base_Bruta!J355))</f>
        <v>App</v>
      </c>
      <c r="L355" s="4" t="str">
        <f aca="false">IF($A355="","",TRIM(Base_Bruta!K355))</f>
        <v>C00272</v>
      </c>
      <c r="M355" s="4" t="str">
        <f aca="false">IF($A355="","",_xlfn.XLOOKUP(LOWER(TRIM(Base_Bruta!L355)),DePara_Cidade!$A$2:$A$29,DePara_Cidade!$B$2:$B$29,"REVISAR"))</f>
        <v>São Paulo</v>
      </c>
      <c r="N355" s="4" t="str">
        <f aca="false">IF($A355="","",UPPER(TRIM(Base_Bruta!M355)))</f>
        <v>SP</v>
      </c>
      <c r="O355" s="4" t="str">
        <f aca="false">IF($A355="","",_xlfn.XLOOKUP(LOWER(TRIM(Base_Bruta!N355)),DePara_Pais!$A$2:$A$9,DePara_Pais!$B$2:$B$9,"REVISAR"))</f>
        <v>Brasil</v>
      </c>
      <c r="P355" s="4" t="str">
        <f aca="false">IF($A355="","",IF(O355&lt;&gt;"Brasil","Turista Internacional",IF(M355=F355,"Local","Turista Nacional")))</f>
        <v>Local</v>
      </c>
      <c r="Q355" s="7" t="n">
        <f aca="false">IF($A355="","",DATE(YEAR(B355),MONTH(B355),1))</f>
        <v>45901</v>
      </c>
      <c r="R355" s="4" t="str">
        <f aca="false">IF($A355="","",IF(COUNTIF($A$2:$A355,$A355)&gt;1,"Sim","Não"))</f>
        <v>Não</v>
      </c>
      <c r="S355" s="4" t="str">
        <f aca="false">IF(A355="","Descartar - Linha vazia",IF(R355="Sim","Descartar - Duplicado",IF(OR(H355&lt;=0,I355&lt;=0),"Descartar - Qtd/Valor inválido","OK")))</f>
        <v>OK</v>
      </c>
      <c r="T355" s="4" t="str">
        <f aca="false">Base_Bruta!P355</f>
        <v>vendas_SP.xlsx</v>
      </c>
    </row>
    <row r="356" customFormat="false" ht="15" hidden="false" customHeight="false" outlineLevel="0" collapsed="false">
      <c r="A356" s="4" t="str">
        <f aca="false">IF(Base_Bruta!A356="","",Base_Bruta!A356)</f>
        <v>SP-000595</v>
      </c>
      <c r="B356" s="5" t="n">
        <f aca="false">IF($A356="","",IF(ISNUMBER(Base_Bruta!B356),Base_Bruta!B356,IF(MID(Base_Bruta!B356,5,1)="-",DATE(VALUE(LEFT(Base_Bruta!B356,4)),VALUE(MID(Base_Bruta!B356,6,2)),VALUE(RIGHT(Base_Bruta!B356,2))),DATE(VALUE(RIGHT(Base_Bruta!B356,4)),VALUE(MID(Base_Bruta!B356,4,2)),VALUE(LEFT(Base_Bruta!B356,2))))))</f>
        <v>45930</v>
      </c>
      <c r="C356" s="5" t="n">
        <f aca="false">IF($A356="","",IF(ISNUMBER(Base_Bruta!C356),Base_Bruta!C356,IF(MID(Base_Bruta!C356,5,1)="-",DATE(VALUE(LEFT(Base_Bruta!C356,4)),VALUE(MID(Base_Bruta!C356,6,2)),VALUE(RIGHT(Base_Bruta!C356,2))),DATE(VALUE(RIGHT(Base_Bruta!C356,4)),VALUE(MID(Base_Bruta!C356,4,2)),VALUE(LEFT(Base_Bruta!C356,2))))))</f>
        <v>45934</v>
      </c>
      <c r="D356" s="4" t="str">
        <f aca="false">IF($A356="","",TRIM(Base_Bruta!D356))</f>
        <v>Turnê Internacional Pop - SP</v>
      </c>
      <c r="E356" s="4" t="str">
        <f aca="false">IF($A356="","",_xlfn.XLOOKUP(LOWER(TRIM(Base_Bruta!E356)),DePara_Categoria!$A$2:$A$9,DePara_Categoria!$B$2:$B$9,"REVISAR"))</f>
        <v>Show</v>
      </c>
      <c r="F356" s="4" t="str">
        <f aca="false">IF($A356="","",_xlfn.XLOOKUP(LOWER(TRIM(Base_Bruta!F356)),DePara_Cidade!$A$2:$A$29,DePara_Cidade!$B$2:$B$29,"REVISAR"))</f>
        <v>São Paulo</v>
      </c>
      <c r="G356" s="4" t="str">
        <f aca="false">IF($A356="","",TRIM(Base_Bruta!G356))</f>
        <v>Inteira</v>
      </c>
      <c r="H356" s="4" t="n">
        <f aca="false">IF($A356="","",IF(ISNUMBER(Base_Bruta!H356),Base_Bruta!H356,IFERROR(_xlfn.NUMBERVALUE(TRIM(SUBSTITUTE(Base_Bruta!H356,"R$","")),",","."),0)))</f>
        <v>2</v>
      </c>
      <c r="I356" s="6" t="n">
        <f aca="false">IF($A356="","",IF(ISNUMBER(Base_Bruta!I356),Base_Bruta!I356,IFERROR(_xlfn.NUMBERVALUE(TRIM(SUBSTITUTE(Base_Bruta!I356,"R$","")),",","."),0)))</f>
        <v>390</v>
      </c>
      <c r="J356" s="6" t="n">
        <f aca="false">IF($A356="","",H356*I356)</f>
        <v>780</v>
      </c>
      <c r="K356" s="4" t="str">
        <f aca="false">IF($A356="","",TRIM(Base_Bruta!J356))</f>
        <v>App</v>
      </c>
      <c r="L356" s="4" t="str">
        <f aca="false">IF($A356="","",TRIM(Base_Bruta!K356))</f>
        <v>C02399</v>
      </c>
      <c r="M356" s="4" t="str">
        <f aca="false">IF($A356="","",_xlfn.XLOOKUP(LOWER(TRIM(Base_Bruta!L356)),DePara_Cidade!$A$2:$A$29,DePara_Cidade!$B$2:$B$29,"REVISAR"))</f>
        <v>Rio de Janeiro</v>
      </c>
      <c r="N356" s="4" t="str">
        <f aca="false">IF($A356="","",UPPER(TRIM(Base_Bruta!M356)))</f>
        <v>RJ</v>
      </c>
      <c r="O356" s="4" t="str">
        <f aca="false">IF($A356="","",_xlfn.XLOOKUP(LOWER(TRIM(Base_Bruta!N356)),DePara_Pais!$A$2:$A$9,DePara_Pais!$B$2:$B$9,"REVISAR"))</f>
        <v>Brasil</v>
      </c>
      <c r="P356" s="4" t="str">
        <f aca="false">IF($A356="","",IF(O356&lt;&gt;"Brasil","Turista Internacional",IF(M356=F356,"Local","Turista Nacional")))</f>
        <v>Turista Nacional</v>
      </c>
      <c r="Q356" s="7" t="n">
        <f aca="false">IF($A356="","",DATE(YEAR(B356),MONTH(B356),1))</f>
        <v>45901</v>
      </c>
      <c r="R356" s="4" t="str">
        <f aca="false">IF($A356="","",IF(COUNTIF($A$2:$A356,$A356)&gt;1,"Sim","Não"))</f>
        <v>Não</v>
      </c>
      <c r="S356" s="4" t="str">
        <f aca="false">IF(A356="","Descartar - Linha vazia",IF(R356="Sim","Descartar - Duplicado",IF(OR(H356&lt;=0,I356&lt;=0),"Descartar - Qtd/Valor inválido","OK")))</f>
        <v>OK</v>
      </c>
      <c r="T356" s="4" t="str">
        <f aca="false">Base_Bruta!P356</f>
        <v>vendas_SP.xlsx</v>
      </c>
    </row>
    <row r="357" customFormat="false" ht="15" hidden="false" customHeight="false" outlineLevel="0" collapsed="false">
      <c r="A357" s="4" t="str">
        <f aca="false">IF(Base_Bruta!A357="","",Base_Bruta!A357)</f>
        <v>SP-000774</v>
      </c>
      <c r="B357" s="5" t="n">
        <f aca="false">IF($A357="","",IF(ISNUMBER(Base_Bruta!B357),Base_Bruta!B357,IF(MID(Base_Bruta!B357,5,1)="-",DATE(VALUE(LEFT(Base_Bruta!B357,4)),VALUE(MID(Base_Bruta!B357,6,2)),VALUE(RIGHT(Base_Bruta!B357,2))),DATE(VALUE(RIGHT(Base_Bruta!B357,4)),VALUE(MID(Base_Bruta!B357,4,2)),VALUE(LEFT(Base_Bruta!B357,2))))))</f>
        <v>45930</v>
      </c>
      <c r="C357" s="5" t="n">
        <f aca="false">IF($A357="","",IF(ISNUMBER(Base_Bruta!C357),Base_Bruta!C357,IF(MID(Base_Bruta!C357,5,1)="-",DATE(VALUE(LEFT(Base_Bruta!C357,4)),VALUE(MID(Base_Bruta!C357,6,2)),VALUE(RIGHT(Base_Bruta!C357,2))),DATE(VALUE(RIGHT(Base_Bruta!C357,4)),VALUE(MID(Base_Bruta!C357,4,2)),VALUE(LEFT(Base_Bruta!C357,2))))))</f>
        <v>45930</v>
      </c>
      <c r="D357" s="4" t="str">
        <f aca="false">IF($A357="","",TRIM(Base_Bruta!D357))</f>
        <v>Cinema Paulista - Sessões</v>
      </c>
      <c r="E357" s="4" t="str">
        <f aca="false">IF($A357="","",_xlfn.XLOOKUP(LOWER(TRIM(Base_Bruta!E357)),DePara_Categoria!$A$2:$A$9,DePara_Categoria!$B$2:$B$9,"REVISAR"))</f>
        <v>Cinema</v>
      </c>
      <c r="F357" s="4" t="str">
        <f aca="false">IF($A357="","",_xlfn.XLOOKUP(LOWER(TRIM(Base_Bruta!F357)),DePara_Cidade!$A$2:$A$29,DePara_Cidade!$B$2:$B$29,"REVISAR"))</f>
        <v>São Paulo</v>
      </c>
      <c r="G357" s="4" t="str">
        <f aca="false">IF($A357="","",TRIM(Base_Bruta!G357))</f>
        <v>Meia</v>
      </c>
      <c r="H357" s="4" t="n">
        <f aca="false">IF($A357="","",IF(ISNUMBER(Base_Bruta!H357),Base_Bruta!H357,IFERROR(_xlfn.NUMBERVALUE(TRIM(SUBSTITUTE(Base_Bruta!H357,"R$","")),",","."),0)))</f>
        <v>1</v>
      </c>
      <c r="I357" s="6" t="n">
        <f aca="false">IF($A357="","",IF(ISNUMBER(Base_Bruta!I357),Base_Bruta!I357,IFERROR(_xlfn.NUMBERVALUE(TRIM(SUBSTITUTE(Base_Bruta!I357,"R$","")),",","."),0)))</f>
        <v>15</v>
      </c>
      <c r="J357" s="6" t="n">
        <f aca="false">IF($A357="","",H357*I357)</f>
        <v>15</v>
      </c>
      <c r="K357" s="4" t="str">
        <f aca="false">IF($A357="","",TRIM(Base_Bruta!J357))</f>
        <v>Site</v>
      </c>
      <c r="L357" s="4" t="str">
        <f aca="false">IF($A357="","",TRIM(Base_Bruta!K357))</f>
        <v>C00468</v>
      </c>
      <c r="M357" s="4" t="str">
        <f aca="false">IF($A357="","",_xlfn.XLOOKUP(LOWER(TRIM(Base_Bruta!L357)),DePara_Cidade!$A$2:$A$29,DePara_Cidade!$B$2:$B$29,"REVISAR"))</f>
        <v>São Paulo</v>
      </c>
      <c r="N357" s="4" t="str">
        <f aca="false">IF($A357="","",UPPER(TRIM(Base_Bruta!M357)))</f>
        <v>SP</v>
      </c>
      <c r="O357" s="4" t="str">
        <f aca="false">IF($A357="","",_xlfn.XLOOKUP(LOWER(TRIM(Base_Bruta!N357)),DePara_Pais!$A$2:$A$9,DePara_Pais!$B$2:$B$9,"REVISAR"))</f>
        <v>Brasil</v>
      </c>
      <c r="P357" s="4" t="str">
        <f aca="false">IF($A357="","",IF(O357&lt;&gt;"Brasil","Turista Internacional",IF(M357=F357,"Local","Turista Nacional")))</f>
        <v>Local</v>
      </c>
      <c r="Q357" s="7" t="n">
        <f aca="false">IF($A357="","",DATE(YEAR(B357),MONTH(B357),1))</f>
        <v>45901</v>
      </c>
      <c r="R357" s="4" t="str">
        <f aca="false">IF($A357="","",IF(COUNTIF($A$2:$A357,$A357)&gt;1,"Sim","Não"))</f>
        <v>Não</v>
      </c>
      <c r="S357" s="4" t="str">
        <f aca="false">IF(A357="","Descartar - Linha vazia",IF(R357="Sim","Descartar - Duplicado",IF(OR(H357&lt;=0,I357&lt;=0),"Descartar - Qtd/Valor inválido","OK")))</f>
        <v>OK</v>
      </c>
      <c r="T357" s="4" t="str">
        <f aca="false">Base_Bruta!P357</f>
        <v>vendas_SP.xlsx</v>
      </c>
    </row>
    <row r="358" customFormat="false" ht="15" hidden="false" customHeight="false" outlineLevel="0" collapsed="false">
      <c r="A358" s="4" t="str">
        <f aca="false">IF(Base_Bruta!A358="","",Base_Bruta!A358)</f>
        <v>SP-000493</v>
      </c>
      <c r="B358" s="5" t="n">
        <f aca="false">IF($A358="","",IF(ISNUMBER(Base_Bruta!B358),Base_Bruta!B358,IF(MID(Base_Bruta!B358,5,1)="-",DATE(VALUE(LEFT(Base_Bruta!B358,4)),VALUE(MID(Base_Bruta!B358,6,2)),VALUE(RIGHT(Base_Bruta!B358,2))),DATE(VALUE(RIGHT(Base_Bruta!B358,4)),VALUE(MID(Base_Bruta!B358,4,2)),VALUE(LEFT(Base_Bruta!B358,2))))))</f>
        <v>45929</v>
      </c>
      <c r="C358" s="5" t="n">
        <f aca="false">IF($A358="","",IF(ISNUMBER(Base_Bruta!C358),Base_Bruta!C358,IF(MID(Base_Bruta!C358,5,1)="-",DATE(VALUE(LEFT(Base_Bruta!C358,4)),VALUE(MID(Base_Bruta!C358,6,2)),VALUE(RIGHT(Base_Bruta!C358,2))),DATE(VALUE(RIGHT(Base_Bruta!C358,4)),VALUE(MID(Base_Bruta!C358,4,2)),VALUE(LEFT(Base_Bruta!C358,2))))))</f>
        <v>45934</v>
      </c>
      <c r="D358" s="4" t="str">
        <f aca="false">IF($A358="","",TRIM(Base_Bruta!D358))</f>
        <v>Turnê Internacional Pop - SP</v>
      </c>
      <c r="E358" s="4" t="str">
        <f aca="false">IF($A358="","",_xlfn.XLOOKUP(LOWER(TRIM(Base_Bruta!E358)),DePara_Categoria!$A$2:$A$9,DePara_Categoria!$B$2:$B$9,"REVISAR"))</f>
        <v>Show</v>
      </c>
      <c r="F358" s="4" t="str">
        <f aca="false">IF($A358="","",_xlfn.XLOOKUP(LOWER(TRIM(Base_Bruta!F358)),DePara_Cidade!$A$2:$A$29,DePara_Cidade!$B$2:$B$29,"REVISAR"))</f>
        <v>São Paulo</v>
      </c>
      <c r="G358" s="4" t="str">
        <f aca="false">IF($A358="","",TRIM(Base_Bruta!G358))</f>
        <v>VIP</v>
      </c>
      <c r="H358" s="4" t="n">
        <f aca="false">IF($A358="","",IF(ISNUMBER(Base_Bruta!H358),Base_Bruta!H358,IFERROR(_xlfn.NUMBERVALUE(TRIM(SUBSTITUTE(Base_Bruta!H358,"R$","")),",","."),0)))</f>
        <v>2</v>
      </c>
      <c r="I358" s="6" t="n">
        <f aca="false">IF($A358="","",IF(ISNUMBER(Base_Bruta!I358),Base_Bruta!I358,IFERROR(_xlfn.NUMBERVALUE(TRIM(SUBSTITUTE(Base_Bruta!I358,"R$","")),",","."),0)))</f>
        <v>760</v>
      </c>
      <c r="J358" s="6" t="n">
        <f aca="false">IF($A358="","",H358*I358)</f>
        <v>1520</v>
      </c>
      <c r="K358" s="4" t="str">
        <f aca="false">IF($A358="","",TRIM(Base_Bruta!J358))</f>
        <v>Site</v>
      </c>
      <c r="L358" s="4" t="str">
        <f aca="false">IF($A358="","",TRIM(Base_Bruta!K358))</f>
        <v>C00873</v>
      </c>
      <c r="M358" s="4" t="str">
        <f aca="false">IF($A358="","",_xlfn.XLOOKUP(LOWER(TRIM(Base_Bruta!L358)),DePara_Cidade!$A$2:$A$29,DePara_Cidade!$B$2:$B$29,"REVISAR"))</f>
        <v>São Paulo</v>
      </c>
      <c r="N358" s="4" t="str">
        <f aca="false">IF($A358="","",UPPER(TRIM(Base_Bruta!M358)))</f>
        <v>SP</v>
      </c>
      <c r="O358" s="4" t="str">
        <f aca="false">IF($A358="","",_xlfn.XLOOKUP(LOWER(TRIM(Base_Bruta!N358)),DePara_Pais!$A$2:$A$9,DePara_Pais!$B$2:$B$9,"REVISAR"))</f>
        <v>Brasil</v>
      </c>
      <c r="P358" s="4" t="str">
        <f aca="false">IF($A358="","",IF(O358&lt;&gt;"Brasil","Turista Internacional",IF(M358=F358,"Local","Turista Nacional")))</f>
        <v>Local</v>
      </c>
      <c r="Q358" s="7" t="n">
        <f aca="false">IF($A358="","",DATE(YEAR(B358),MONTH(B358),1))</f>
        <v>45901</v>
      </c>
      <c r="R358" s="4" t="str">
        <f aca="false">IF($A358="","",IF(COUNTIF($A$2:$A358,$A358)&gt;1,"Sim","Não"))</f>
        <v>Sim</v>
      </c>
      <c r="S358" s="4" t="str">
        <f aca="false">IF(A358="","Descartar - Linha vazia",IF(R358="Sim","Descartar - Duplicado",IF(OR(H358&lt;=0,I358&lt;=0),"Descartar - Qtd/Valor inválido","OK")))</f>
        <v>Descartar - Duplicado</v>
      </c>
      <c r="T358" s="4" t="str">
        <f aca="false">Base_Bruta!P358</f>
        <v>vendas_SP.xlsx</v>
      </c>
    </row>
    <row r="359" customFormat="false" ht="15" hidden="false" customHeight="false" outlineLevel="0" collapsed="false">
      <c r="A359" s="4" t="str">
        <f aca="false">IF(Base_Bruta!A359="","",Base_Bruta!A359)</f>
        <v>SP-000138</v>
      </c>
      <c r="B359" s="5" t="n">
        <f aca="false">IF($A359="","",IF(ISNUMBER(Base_Bruta!B359),Base_Bruta!B359,IF(MID(Base_Bruta!B359,5,1)="-",DATE(VALUE(LEFT(Base_Bruta!B359,4)),VALUE(MID(Base_Bruta!B359,6,2)),VALUE(RIGHT(Base_Bruta!B359,2))),DATE(VALUE(RIGHT(Base_Bruta!B359,4)),VALUE(MID(Base_Bruta!B359,4,2)),VALUE(LEFT(Base_Bruta!B359,2))))))</f>
        <v>45931</v>
      </c>
      <c r="C359" s="5" t="n">
        <f aca="false">IF($A359="","",IF(ISNUMBER(Base_Bruta!C359),Base_Bruta!C359,IF(MID(Base_Bruta!C359,5,1)="-",DATE(VALUE(LEFT(Base_Bruta!C359,4)),VALUE(MID(Base_Bruta!C359,6,2)),VALUE(RIGHT(Base_Bruta!C359,2))),DATE(VALUE(RIGHT(Base_Bruta!C359,4)),VALUE(MID(Base_Bruta!C359,4,2)),VALUE(LEFT(Base_Bruta!C359,2))))))</f>
        <v>45976</v>
      </c>
      <c r="D359" s="4" t="str">
        <f aca="false">IF($A359="","",TRIM(Base_Bruta!D359))</f>
        <v>Festival Sonora SP 2025</v>
      </c>
      <c r="E359" s="4" t="str">
        <f aca="false">IF($A359="","",_xlfn.XLOOKUP(LOWER(TRIM(Base_Bruta!E359)),DePara_Categoria!$A$2:$A$9,DePara_Categoria!$B$2:$B$9,"REVISAR"))</f>
        <v>Festival</v>
      </c>
      <c r="F359" s="4" t="str">
        <f aca="false">IF($A359="","",_xlfn.XLOOKUP(LOWER(TRIM(Base_Bruta!F359)),DePara_Cidade!$A$2:$A$29,DePara_Cidade!$B$2:$B$29,"REVISAR"))</f>
        <v>São Paulo</v>
      </c>
      <c r="G359" s="4" t="str">
        <f aca="false">IF($A359="","",TRIM(Base_Bruta!G359))</f>
        <v>Inteira</v>
      </c>
      <c r="H359" s="4" t="n">
        <f aca="false">IF($A359="","",IF(ISNUMBER(Base_Bruta!H359),Base_Bruta!H359,IFERROR(_xlfn.NUMBERVALUE(TRIM(SUBSTITUTE(Base_Bruta!H359,"R$","")),",","."),0)))</f>
        <v>4</v>
      </c>
      <c r="I359" s="6" t="n">
        <f aca="false">IF($A359="","",IF(ISNUMBER(Base_Bruta!I359),Base_Bruta!I359,IFERROR(_xlfn.NUMBERVALUE(TRIM(SUBSTITUTE(Base_Bruta!I359,"R$","")),",","."),0)))</f>
        <v>1005</v>
      </c>
      <c r="J359" s="6" t="n">
        <f aca="false">IF($A359="","",H359*I359)</f>
        <v>4020</v>
      </c>
      <c r="K359" s="4" t="str">
        <f aca="false">IF($A359="","",TRIM(Base_Bruta!J359))</f>
        <v>Site</v>
      </c>
      <c r="L359" s="4" t="str">
        <f aca="false">IF($A359="","",TRIM(Base_Bruta!K359))</f>
        <v>C00351</v>
      </c>
      <c r="M359" s="4" t="str">
        <f aca="false">IF($A359="","",_xlfn.XLOOKUP(LOWER(TRIM(Base_Bruta!L359)),DePara_Cidade!$A$2:$A$29,DePara_Cidade!$B$2:$B$29,"REVISAR"))</f>
        <v>Vitória</v>
      </c>
      <c r="N359" s="4" t="str">
        <f aca="false">IF($A359="","",UPPER(TRIM(Base_Bruta!M359)))</f>
        <v>ES</v>
      </c>
      <c r="O359" s="4" t="str">
        <f aca="false">IF($A359="","",_xlfn.XLOOKUP(LOWER(TRIM(Base_Bruta!N359)),DePara_Pais!$A$2:$A$9,DePara_Pais!$B$2:$B$9,"REVISAR"))</f>
        <v>Brasil</v>
      </c>
      <c r="P359" s="4" t="str">
        <f aca="false">IF($A359="","",IF(O359&lt;&gt;"Brasil","Turista Internacional",IF(M359=F359,"Local","Turista Nacional")))</f>
        <v>Turista Nacional</v>
      </c>
      <c r="Q359" s="7" t="n">
        <f aca="false">IF($A359="","",DATE(YEAR(B359),MONTH(B359),1))</f>
        <v>45931</v>
      </c>
      <c r="R359" s="4" t="str">
        <f aca="false">IF($A359="","",IF(COUNTIF($A$2:$A359,$A359)&gt;1,"Sim","Não"))</f>
        <v>Não</v>
      </c>
      <c r="S359" s="4" t="str">
        <f aca="false">IF(A359="","Descartar - Linha vazia",IF(R359="Sim","Descartar - Duplicado",IF(OR(H359&lt;=0,I359&lt;=0),"Descartar - Qtd/Valor inválido","OK")))</f>
        <v>OK</v>
      </c>
      <c r="T359" s="4" t="str">
        <f aca="false">Base_Bruta!P359</f>
        <v>vendas_SP.xlsx</v>
      </c>
    </row>
    <row r="360" customFormat="false" ht="15" hidden="false" customHeight="false" outlineLevel="0" collapsed="false">
      <c r="A360" s="4" t="str">
        <f aca="false">IF(Base_Bruta!A360="","",Base_Bruta!A360)</f>
        <v>SP-000474</v>
      </c>
      <c r="B360" s="5" t="n">
        <f aca="false">IF($A360="","",IF(ISNUMBER(Base_Bruta!B360),Base_Bruta!B360,IF(MID(Base_Bruta!B360,5,1)="-",DATE(VALUE(LEFT(Base_Bruta!B360,4)),VALUE(MID(Base_Bruta!B360,6,2)),VALUE(RIGHT(Base_Bruta!B360,2))),DATE(VALUE(RIGHT(Base_Bruta!B360,4)),VALUE(MID(Base_Bruta!B360,4,2)),VALUE(LEFT(Base_Bruta!B360,2))))))</f>
        <v>45931</v>
      </c>
      <c r="C360" s="5" t="n">
        <f aca="false">IF($A360="","",IF(ISNUMBER(Base_Bruta!C360),Base_Bruta!C360,IF(MID(Base_Bruta!C360,5,1)="-",DATE(VALUE(LEFT(Base_Bruta!C360,4)),VALUE(MID(Base_Bruta!C360,6,2)),VALUE(RIGHT(Base_Bruta!C360,2))),DATE(VALUE(RIGHT(Base_Bruta!C360,4)),VALUE(MID(Base_Bruta!C360,4,2)),VALUE(LEFT(Base_Bruta!C360,2))))))</f>
        <v>45934</v>
      </c>
      <c r="D360" s="4" t="str">
        <f aca="false">IF($A360="","",TRIM(Base_Bruta!D360))</f>
        <v>Turnê Internacional Pop - SP</v>
      </c>
      <c r="E360" s="4" t="str">
        <f aca="false">IF($A360="","",_xlfn.XLOOKUP(LOWER(TRIM(Base_Bruta!E360)),DePara_Categoria!$A$2:$A$9,DePara_Categoria!$B$2:$B$9,"REVISAR"))</f>
        <v>Show</v>
      </c>
      <c r="F360" s="4" t="str">
        <f aca="false">IF($A360="","",_xlfn.XLOOKUP(LOWER(TRIM(Base_Bruta!F360)),DePara_Cidade!$A$2:$A$29,DePara_Cidade!$B$2:$B$29,"REVISAR"))</f>
        <v>São Paulo</v>
      </c>
      <c r="G360" s="4" t="str">
        <f aca="false">IF($A360="","",TRIM(Base_Bruta!G360))</f>
        <v>VIP</v>
      </c>
      <c r="H360" s="4" t="n">
        <f aca="false">IF($A360="","",IF(ISNUMBER(Base_Bruta!H360),Base_Bruta!H360,IFERROR(_xlfn.NUMBERVALUE(TRIM(SUBSTITUTE(Base_Bruta!H360,"R$","")),",","."),0)))</f>
        <v>1</v>
      </c>
      <c r="I360" s="6" t="n">
        <f aca="false">IF($A360="","",IF(ISNUMBER(Base_Bruta!I360),Base_Bruta!I360,IFERROR(_xlfn.NUMBERVALUE(TRIM(SUBSTITUTE(Base_Bruta!I360,"R$","")),",","."),0)))</f>
        <v>1040</v>
      </c>
      <c r="J360" s="6" t="n">
        <f aca="false">IF($A360="","",H360*I360)</f>
        <v>1040</v>
      </c>
      <c r="K360" s="4" t="str">
        <f aca="false">IF($A360="","",TRIM(Base_Bruta!J360))</f>
        <v>Site</v>
      </c>
      <c r="L360" s="4" t="str">
        <f aca="false">IF($A360="","",TRIM(Base_Bruta!K360))</f>
        <v>C01394</v>
      </c>
      <c r="M360" s="4" t="str">
        <f aca="false">IF($A360="","",_xlfn.XLOOKUP(LOWER(TRIM(Base_Bruta!L360)),DePara_Cidade!$A$2:$A$29,DePara_Cidade!$B$2:$B$29,"REVISAR"))</f>
        <v>São Paulo</v>
      </c>
      <c r="N360" s="4" t="str">
        <f aca="false">IF($A360="","",UPPER(TRIM(Base_Bruta!M360)))</f>
        <v>SP</v>
      </c>
      <c r="O360" s="4" t="str">
        <f aca="false">IF($A360="","",_xlfn.XLOOKUP(LOWER(TRIM(Base_Bruta!N360)),DePara_Pais!$A$2:$A$9,DePara_Pais!$B$2:$B$9,"REVISAR"))</f>
        <v>Brasil</v>
      </c>
      <c r="P360" s="4" t="str">
        <f aca="false">IF($A360="","",IF(O360&lt;&gt;"Brasil","Turista Internacional",IF(M360=F360,"Local","Turista Nacional")))</f>
        <v>Local</v>
      </c>
      <c r="Q360" s="7" t="n">
        <f aca="false">IF($A360="","",DATE(YEAR(B360),MONTH(B360),1))</f>
        <v>45931</v>
      </c>
      <c r="R360" s="4" t="str">
        <f aca="false">IF($A360="","",IF(COUNTIF($A$2:$A360,$A360)&gt;1,"Sim","Não"))</f>
        <v>Não</v>
      </c>
      <c r="S360" s="4" t="str">
        <f aca="false">IF(A360="","Descartar - Linha vazia",IF(R360="Sim","Descartar - Duplicado",IF(OR(H360&lt;=0,I360&lt;=0),"Descartar - Qtd/Valor inválido","OK")))</f>
        <v>OK</v>
      </c>
      <c r="T360" s="4" t="str">
        <f aca="false">Base_Bruta!P360</f>
        <v>vendas_SP.xlsx</v>
      </c>
    </row>
    <row r="361" customFormat="false" ht="15" hidden="false" customHeight="false" outlineLevel="0" collapsed="false">
      <c r="A361" s="4" t="str">
        <f aca="false">IF(Base_Bruta!A361="","",Base_Bruta!A361)</f>
        <v>SP-000488</v>
      </c>
      <c r="B361" s="5" t="n">
        <f aca="false">IF($A361="","",IF(ISNUMBER(Base_Bruta!B361),Base_Bruta!B361,IF(MID(Base_Bruta!B361,5,1)="-",DATE(VALUE(LEFT(Base_Bruta!B361,4)),VALUE(MID(Base_Bruta!B361,6,2)),VALUE(RIGHT(Base_Bruta!B361,2))),DATE(VALUE(RIGHT(Base_Bruta!B361,4)),VALUE(MID(Base_Bruta!B361,4,2)),VALUE(LEFT(Base_Bruta!B361,2))))))</f>
        <v>45931</v>
      </c>
      <c r="C361" s="5" t="n">
        <f aca="false">IF($A361="","",IF(ISNUMBER(Base_Bruta!C361),Base_Bruta!C361,IF(MID(Base_Bruta!C361,5,1)="-",DATE(VALUE(LEFT(Base_Bruta!C361,4)),VALUE(MID(Base_Bruta!C361,6,2)),VALUE(RIGHT(Base_Bruta!C361,2))),DATE(VALUE(RIGHT(Base_Bruta!C361,4)),VALUE(MID(Base_Bruta!C361,4,2)),VALUE(LEFT(Base_Bruta!C361,2))))))</f>
        <v>45934</v>
      </c>
      <c r="D361" s="4" t="str">
        <f aca="false">IF($A361="","",TRIM(Base_Bruta!D361))</f>
        <v>Turnê Internacional Pop - SP</v>
      </c>
      <c r="E361" s="4" t="str">
        <f aca="false">IF($A361="","",_xlfn.XLOOKUP(LOWER(TRIM(Base_Bruta!E361)),DePara_Categoria!$A$2:$A$9,DePara_Categoria!$B$2:$B$9,"REVISAR"))</f>
        <v>Show</v>
      </c>
      <c r="F361" s="4" t="str">
        <f aca="false">IF($A361="","",_xlfn.XLOOKUP(LOWER(TRIM(Base_Bruta!F361)),DePara_Cidade!$A$2:$A$29,DePara_Cidade!$B$2:$B$29,"REVISAR"))</f>
        <v>São Paulo</v>
      </c>
      <c r="G361" s="4" t="str">
        <f aca="false">IF($A361="","",TRIM(Base_Bruta!G361))</f>
        <v>Inteira</v>
      </c>
      <c r="H361" s="4" t="n">
        <f aca="false">IF($A361="","",IF(ISNUMBER(Base_Bruta!H361),Base_Bruta!H361,IFERROR(_xlfn.NUMBERVALUE(TRIM(SUBSTITUTE(Base_Bruta!H361,"R$","")),",","."),0)))</f>
        <v>1</v>
      </c>
      <c r="I361" s="6" t="n">
        <f aca="false">IF($A361="","",IF(ISNUMBER(Base_Bruta!I361),Base_Bruta!I361,IFERROR(_xlfn.NUMBERVALUE(TRIM(SUBSTITUTE(Base_Bruta!I361,"R$","")),",","."),0)))</f>
        <v>405</v>
      </c>
      <c r="J361" s="6" t="n">
        <f aca="false">IF($A361="","",H361*I361)</f>
        <v>405</v>
      </c>
      <c r="K361" s="4" t="str">
        <f aca="false">IF($A361="","",TRIM(Base_Bruta!J361))</f>
        <v>Site</v>
      </c>
      <c r="L361" s="4" t="str">
        <f aca="false">IF($A361="","",TRIM(Base_Bruta!K361))</f>
        <v>C01401</v>
      </c>
      <c r="M361" s="4" t="str">
        <f aca="false">IF($A361="","",_xlfn.XLOOKUP(LOWER(TRIM(Base_Bruta!L361)),DePara_Cidade!$A$2:$A$29,DePara_Cidade!$B$2:$B$29,"REVISAR"))</f>
        <v>São Paulo</v>
      </c>
      <c r="N361" s="4" t="str">
        <f aca="false">IF($A361="","",UPPER(TRIM(Base_Bruta!M361)))</f>
        <v>SP</v>
      </c>
      <c r="O361" s="4" t="str">
        <f aca="false">IF($A361="","",_xlfn.XLOOKUP(LOWER(TRIM(Base_Bruta!N361)),DePara_Pais!$A$2:$A$9,DePara_Pais!$B$2:$B$9,"REVISAR"))</f>
        <v>Brasil</v>
      </c>
      <c r="P361" s="4" t="str">
        <f aca="false">IF($A361="","",IF(O361&lt;&gt;"Brasil","Turista Internacional",IF(M361=F361,"Local","Turista Nacional")))</f>
        <v>Local</v>
      </c>
      <c r="Q361" s="7" t="n">
        <f aca="false">IF($A361="","",DATE(YEAR(B361),MONTH(B361),1))</f>
        <v>45931</v>
      </c>
      <c r="R361" s="4" t="str">
        <f aca="false">IF($A361="","",IF(COUNTIF($A$2:$A361,$A361)&gt;1,"Sim","Não"))</f>
        <v>Não</v>
      </c>
      <c r="S361" s="4" t="str">
        <f aca="false">IF(A361="","Descartar - Linha vazia",IF(R361="Sim","Descartar - Duplicado",IF(OR(H361&lt;=0,I361&lt;=0),"Descartar - Qtd/Valor inválido","OK")))</f>
        <v>OK</v>
      </c>
      <c r="T361" s="4" t="str">
        <f aca="false">Base_Bruta!P361</f>
        <v>vendas_SP.xlsx</v>
      </c>
    </row>
    <row r="362" customFormat="false" ht="15" hidden="false" customHeight="false" outlineLevel="0" collapsed="false">
      <c r="A362" s="4" t="str">
        <f aca="false">IF(Base_Bruta!A362="","",Base_Bruta!A362)</f>
        <v>SP-000494</v>
      </c>
      <c r="B362" s="5" t="n">
        <f aca="false">IF($A362="","",IF(ISNUMBER(Base_Bruta!B362),Base_Bruta!B362,IF(MID(Base_Bruta!B362,5,1)="-",DATE(VALUE(LEFT(Base_Bruta!B362,4)),VALUE(MID(Base_Bruta!B362,6,2)),VALUE(RIGHT(Base_Bruta!B362,2))),DATE(VALUE(RIGHT(Base_Bruta!B362,4)),VALUE(MID(Base_Bruta!B362,4,2)),VALUE(LEFT(Base_Bruta!B362,2))))))</f>
        <v>45931</v>
      </c>
      <c r="C362" s="5" t="n">
        <f aca="false">IF($A362="","",IF(ISNUMBER(Base_Bruta!C362),Base_Bruta!C362,IF(MID(Base_Bruta!C362,5,1)="-",DATE(VALUE(LEFT(Base_Bruta!C362,4)),VALUE(MID(Base_Bruta!C362,6,2)),VALUE(RIGHT(Base_Bruta!C362,2))),DATE(VALUE(RIGHT(Base_Bruta!C362,4)),VALUE(MID(Base_Bruta!C362,4,2)),VALUE(LEFT(Base_Bruta!C362,2))))))</f>
        <v>45934</v>
      </c>
      <c r="D362" s="4" t="str">
        <f aca="false">IF($A362="","",TRIM(Base_Bruta!D362))</f>
        <v>Turnê Internacional Pop - SP</v>
      </c>
      <c r="E362" s="4" t="str">
        <f aca="false">IF($A362="","",_xlfn.XLOOKUP(LOWER(TRIM(Base_Bruta!E362)),DePara_Categoria!$A$2:$A$9,DePara_Categoria!$B$2:$B$9,"REVISAR"))</f>
        <v>Show</v>
      </c>
      <c r="F362" s="4" t="str">
        <f aca="false">IF($A362="","",_xlfn.XLOOKUP(LOWER(TRIM(Base_Bruta!F362)),DePara_Cidade!$A$2:$A$29,DePara_Cidade!$B$2:$B$29,"REVISAR"))</f>
        <v>São Paulo</v>
      </c>
      <c r="G362" s="4" t="str">
        <f aca="false">IF($A362="","",TRIM(Base_Bruta!G362))</f>
        <v>Meia</v>
      </c>
      <c r="H362" s="4" t="n">
        <f aca="false">IF($A362="","",IF(ISNUMBER(Base_Bruta!H362),Base_Bruta!H362,IFERROR(_xlfn.NUMBERVALUE(TRIM(SUBSTITUTE(Base_Bruta!H362,"R$","")),",","."),0)))</f>
        <v>1</v>
      </c>
      <c r="I362" s="6" t="n">
        <f aca="false">IF($A362="","",IF(ISNUMBER(Base_Bruta!I362),Base_Bruta!I362,IFERROR(_xlfn.NUMBERVALUE(TRIM(SUBSTITUTE(Base_Bruta!I362,"R$","")),",","."),0)))</f>
        <v>220</v>
      </c>
      <c r="J362" s="6" t="n">
        <f aca="false">IF($A362="","",H362*I362)</f>
        <v>220</v>
      </c>
      <c r="K362" s="4" t="str">
        <f aca="false">IF($A362="","",TRIM(Base_Bruta!J362))</f>
        <v>App</v>
      </c>
      <c r="L362" s="4" t="str">
        <f aca="false">IF($A362="","",TRIM(Base_Bruta!K362))</f>
        <v>C00186</v>
      </c>
      <c r="M362" s="4" t="str">
        <f aca="false">IF($A362="","",_xlfn.XLOOKUP(LOWER(TRIM(Base_Bruta!L362)),DePara_Cidade!$A$2:$A$29,DePara_Cidade!$B$2:$B$29,"REVISAR"))</f>
        <v>São Paulo</v>
      </c>
      <c r="N362" s="4" t="str">
        <f aca="false">IF($A362="","",UPPER(TRIM(Base_Bruta!M362)))</f>
        <v>SP</v>
      </c>
      <c r="O362" s="4" t="str">
        <f aca="false">IF($A362="","",_xlfn.XLOOKUP(LOWER(TRIM(Base_Bruta!N362)),DePara_Pais!$A$2:$A$9,DePara_Pais!$B$2:$B$9,"REVISAR"))</f>
        <v>Brasil</v>
      </c>
      <c r="P362" s="4" t="str">
        <f aca="false">IF($A362="","",IF(O362&lt;&gt;"Brasil","Turista Internacional",IF(M362=F362,"Local","Turista Nacional")))</f>
        <v>Local</v>
      </c>
      <c r="Q362" s="7" t="n">
        <f aca="false">IF($A362="","",DATE(YEAR(B362),MONTH(B362),1))</f>
        <v>45931</v>
      </c>
      <c r="R362" s="4" t="str">
        <f aca="false">IF($A362="","",IF(COUNTIF($A$2:$A362,$A362)&gt;1,"Sim","Não"))</f>
        <v>Não</v>
      </c>
      <c r="S362" s="4" t="str">
        <f aca="false">IF(A362="","Descartar - Linha vazia",IF(R362="Sim","Descartar - Duplicado",IF(OR(H362&lt;=0,I362&lt;=0),"Descartar - Qtd/Valor inválido","OK")))</f>
        <v>OK</v>
      </c>
      <c r="T362" s="4" t="str">
        <f aca="false">Base_Bruta!P362</f>
        <v>vendas_SP.xlsx</v>
      </c>
    </row>
    <row r="363" customFormat="false" ht="15" hidden="false" customHeight="false" outlineLevel="0" collapsed="false">
      <c r="A363" s="4" t="str">
        <f aca="false">IF(Base_Bruta!A363="","",Base_Bruta!A363)</f>
        <v>SP-000507</v>
      </c>
      <c r="B363" s="5" t="n">
        <f aca="false">IF($A363="","",IF(ISNUMBER(Base_Bruta!B363),Base_Bruta!B363,IF(MID(Base_Bruta!B363,5,1)="-",DATE(VALUE(LEFT(Base_Bruta!B363,4)),VALUE(MID(Base_Bruta!B363,6,2)),VALUE(RIGHT(Base_Bruta!B363,2))),DATE(VALUE(RIGHT(Base_Bruta!B363,4)),VALUE(MID(Base_Bruta!B363,4,2)),VALUE(LEFT(Base_Bruta!B363,2))))))</f>
        <v>45931</v>
      </c>
      <c r="C363" s="5" t="n">
        <f aca="false">IF($A363="","",IF(ISNUMBER(Base_Bruta!C363),Base_Bruta!C363,IF(MID(Base_Bruta!C363,5,1)="-",DATE(VALUE(LEFT(Base_Bruta!C363,4)),VALUE(MID(Base_Bruta!C363,6,2)),VALUE(RIGHT(Base_Bruta!C363,2))),DATE(VALUE(RIGHT(Base_Bruta!C363,4)),VALUE(MID(Base_Bruta!C363,4,2)),VALUE(LEFT(Base_Bruta!C363,2))))))</f>
        <v>45934</v>
      </c>
      <c r="D363" s="4" t="str">
        <f aca="false">IF($A363="","",TRIM(Base_Bruta!D363))</f>
        <v>Turnê Internacional Pop - SP</v>
      </c>
      <c r="E363" s="4" t="str">
        <f aca="false">IF($A363="","",_xlfn.XLOOKUP(LOWER(TRIM(Base_Bruta!E363)),DePara_Categoria!$A$2:$A$9,DePara_Categoria!$B$2:$B$9,"REVISAR"))</f>
        <v>Show</v>
      </c>
      <c r="F363" s="4" t="str">
        <f aca="false">IF($A363="","",_xlfn.XLOOKUP(LOWER(TRIM(Base_Bruta!F363)),DePara_Cidade!$A$2:$A$29,DePara_Cidade!$B$2:$B$29,"REVISAR"))</f>
        <v>São Paulo</v>
      </c>
      <c r="G363" s="4" t="str">
        <f aca="false">IF($A363="","",TRIM(Base_Bruta!G363))</f>
        <v>VIP</v>
      </c>
      <c r="H363" s="4" t="n">
        <f aca="false">IF($A363="","",IF(ISNUMBER(Base_Bruta!H363),Base_Bruta!H363,IFERROR(_xlfn.NUMBERVALUE(TRIM(SUBSTITUTE(Base_Bruta!H363,"R$","")),",","."),0)))</f>
        <v>3</v>
      </c>
      <c r="I363" s="6" t="n">
        <f aca="false">IF($A363="","",IF(ISNUMBER(Base_Bruta!I363),Base_Bruta!I363,IFERROR(_xlfn.NUMBERVALUE(TRIM(SUBSTITUTE(Base_Bruta!I363,"R$","")),",","."),0)))</f>
        <v>980</v>
      </c>
      <c r="J363" s="6" t="n">
        <f aca="false">IF($A363="","",H363*I363)</f>
        <v>2940</v>
      </c>
      <c r="K363" s="4" t="str">
        <f aca="false">IF($A363="","",TRIM(Base_Bruta!J363))</f>
        <v>App</v>
      </c>
      <c r="L363" s="4" t="str">
        <f aca="false">IF($A363="","",TRIM(Base_Bruta!K363))</f>
        <v>C01630</v>
      </c>
      <c r="M363" s="4" t="str">
        <f aca="false">IF($A363="","",_xlfn.XLOOKUP(LOWER(TRIM(Base_Bruta!L363)),DePara_Cidade!$A$2:$A$29,DePara_Cidade!$B$2:$B$29,"REVISAR"))</f>
        <v>São Paulo</v>
      </c>
      <c r="N363" s="4" t="str">
        <f aca="false">IF($A363="","",UPPER(TRIM(Base_Bruta!M363)))</f>
        <v>SP</v>
      </c>
      <c r="O363" s="4" t="str">
        <f aca="false">IF($A363="","",_xlfn.XLOOKUP(LOWER(TRIM(Base_Bruta!N363)),DePara_Pais!$A$2:$A$9,DePara_Pais!$B$2:$B$9,"REVISAR"))</f>
        <v>Brasil</v>
      </c>
      <c r="P363" s="4" t="str">
        <f aca="false">IF($A363="","",IF(O363&lt;&gt;"Brasil","Turista Internacional",IF(M363=F363,"Local","Turista Nacional")))</f>
        <v>Local</v>
      </c>
      <c r="Q363" s="7" t="n">
        <f aca="false">IF($A363="","",DATE(YEAR(B363),MONTH(B363),1))</f>
        <v>45931</v>
      </c>
      <c r="R363" s="4" t="str">
        <f aca="false">IF($A363="","",IF(COUNTIF($A$2:$A363,$A363)&gt;1,"Sim","Não"))</f>
        <v>Não</v>
      </c>
      <c r="S363" s="4" t="str">
        <f aca="false">IF(A363="","Descartar - Linha vazia",IF(R363="Sim","Descartar - Duplicado",IF(OR(H363&lt;=0,I363&lt;=0),"Descartar - Qtd/Valor inválido","OK")))</f>
        <v>OK</v>
      </c>
      <c r="T363" s="4" t="str">
        <f aca="false">Base_Bruta!P363</f>
        <v>vendas_SP.xlsx</v>
      </c>
    </row>
    <row r="364" customFormat="false" ht="15" hidden="false" customHeight="false" outlineLevel="0" collapsed="false">
      <c r="A364" s="4" t="str">
        <f aca="false">IF(Base_Bruta!A364="","",Base_Bruta!A364)</f>
        <v>SP-000514</v>
      </c>
      <c r="B364" s="5" t="n">
        <f aca="false">IF($A364="","",IF(ISNUMBER(Base_Bruta!B364),Base_Bruta!B364,IF(MID(Base_Bruta!B364,5,1)="-",DATE(VALUE(LEFT(Base_Bruta!B364,4)),VALUE(MID(Base_Bruta!B364,6,2)),VALUE(RIGHT(Base_Bruta!B364,2))),DATE(VALUE(RIGHT(Base_Bruta!B364,4)),VALUE(MID(Base_Bruta!B364,4,2)),VALUE(LEFT(Base_Bruta!B364,2))))))</f>
        <v>45931</v>
      </c>
      <c r="C364" s="5" t="n">
        <f aca="false">IF($A364="","",IF(ISNUMBER(Base_Bruta!C364),Base_Bruta!C364,IF(MID(Base_Bruta!C364,5,1)="-",DATE(VALUE(LEFT(Base_Bruta!C364,4)),VALUE(MID(Base_Bruta!C364,6,2)),VALUE(RIGHT(Base_Bruta!C364,2))),DATE(VALUE(RIGHT(Base_Bruta!C364,4)),VALUE(MID(Base_Bruta!C364,4,2)),VALUE(LEFT(Base_Bruta!C364,2))))))</f>
        <v>45934</v>
      </c>
      <c r="D364" s="4" t="str">
        <f aca="false">IF($A364="","",TRIM(Base_Bruta!D364))</f>
        <v>Turnê Internacional Pop - SP</v>
      </c>
      <c r="E364" s="4" t="str">
        <f aca="false">IF($A364="","",_xlfn.XLOOKUP(LOWER(TRIM(Base_Bruta!E364)),DePara_Categoria!$A$2:$A$9,DePara_Categoria!$B$2:$B$9,"REVISAR"))</f>
        <v>Show</v>
      </c>
      <c r="F364" s="4" t="str">
        <f aca="false">IF($A364="","",_xlfn.XLOOKUP(LOWER(TRIM(Base_Bruta!F364)),DePara_Cidade!$A$2:$A$29,DePara_Cidade!$B$2:$B$29,"REVISAR"))</f>
        <v>São Paulo</v>
      </c>
      <c r="G364" s="4" t="str">
        <f aca="false">IF($A364="","",TRIM(Base_Bruta!G364))</f>
        <v>Meia</v>
      </c>
      <c r="H364" s="4" t="n">
        <f aca="false">IF($A364="","",IF(ISNUMBER(Base_Bruta!H364),Base_Bruta!H364,IFERROR(_xlfn.NUMBERVALUE(TRIM(SUBSTITUTE(Base_Bruta!H364,"R$","")),",","."),0)))</f>
        <v>3</v>
      </c>
      <c r="I364" s="6" t="n">
        <f aca="false">IF($A364="","",IF(ISNUMBER(Base_Bruta!I364),Base_Bruta!I364,IFERROR(_xlfn.NUMBERVALUE(TRIM(SUBSTITUTE(Base_Bruta!I364,"R$","")),",","."),0)))</f>
        <v>125</v>
      </c>
      <c r="J364" s="6" t="n">
        <f aca="false">IF($A364="","",H364*I364)</f>
        <v>375</v>
      </c>
      <c r="K364" s="4" t="str">
        <f aca="false">IF($A364="","",TRIM(Base_Bruta!J364))</f>
        <v>Site</v>
      </c>
      <c r="L364" s="4" t="str">
        <f aca="false">IF($A364="","",TRIM(Base_Bruta!K364))</f>
        <v>C00835</v>
      </c>
      <c r="M364" s="4" t="str">
        <f aca="false">IF($A364="","",_xlfn.XLOOKUP(LOWER(TRIM(Base_Bruta!L364)),DePara_Cidade!$A$2:$A$29,DePara_Cidade!$B$2:$B$29,"REVISAR"))</f>
        <v>Campinas</v>
      </c>
      <c r="N364" s="4" t="str">
        <f aca="false">IF($A364="","",UPPER(TRIM(Base_Bruta!M364)))</f>
        <v>SP</v>
      </c>
      <c r="O364" s="4" t="str">
        <f aca="false">IF($A364="","",_xlfn.XLOOKUP(LOWER(TRIM(Base_Bruta!N364)),DePara_Pais!$A$2:$A$9,DePara_Pais!$B$2:$B$9,"REVISAR"))</f>
        <v>Brasil</v>
      </c>
      <c r="P364" s="4" t="str">
        <f aca="false">IF($A364="","",IF(O364&lt;&gt;"Brasil","Turista Internacional",IF(M364=F364,"Local","Turista Nacional")))</f>
        <v>Turista Nacional</v>
      </c>
      <c r="Q364" s="7" t="n">
        <f aca="false">IF($A364="","",DATE(YEAR(B364),MONTH(B364),1))</f>
        <v>45931</v>
      </c>
      <c r="R364" s="4" t="str">
        <f aca="false">IF($A364="","",IF(COUNTIF($A$2:$A364,$A364)&gt;1,"Sim","Não"))</f>
        <v>Não</v>
      </c>
      <c r="S364" s="4" t="str">
        <f aca="false">IF(A364="","Descartar - Linha vazia",IF(R364="Sim","Descartar - Duplicado",IF(OR(H364&lt;=0,I364&lt;=0),"Descartar - Qtd/Valor inválido","OK")))</f>
        <v>OK</v>
      </c>
      <c r="T364" s="4" t="str">
        <f aca="false">Base_Bruta!P364</f>
        <v>vendas_SP.xlsx</v>
      </c>
    </row>
    <row r="365" customFormat="false" ht="15" hidden="false" customHeight="false" outlineLevel="0" collapsed="false">
      <c r="A365" s="4" t="str">
        <f aca="false">IF(Base_Bruta!A365="","",Base_Bruta!A365)</f>
        <v>SP-000517</v>
      </c>
      <c r="B365" s="5" t="n">
        <f aca="false">IF($A365="","",IF(ISNUMBER(Base_Bruta!B365),Base_Bruta!B365,IF(MID(Base_Bruta!B365,5,1)="-",DATE(VALUE(LEFT(Base_Bruta!B365,4)),VALUE(MID(Base_Bruta!B365,6,2)),VALUE(RIGHT(Base_Bruta!B365,2))),DATE(VALUE(RIGHT(Base_Bruta!B365,4)),VALUE(MID(Base_Bruta!B365,4,2)),VALUE(LEFT(Base_Bruta!B365,2))))))</f>
        <v>45931</v>
      </c>
      <c r="C365" s="5" t="n">
        <f aca="false">IF($A365="","",IF(ISNUMBER(Base_Bruta!C365),Base_Bruta!C365,IF(MID(Base_Bruta!C365,5,1)="-",DATE(VALUE(LEFT(Base_Bruta!C365,4)),VALUE(MID(Base_Bruta!C365,6,2)),VALUE(RIGHT(Base_Bruta!C365,2))),DATE(VALUE(RIGHT(Base_Bruta!C365,4)),VALUE(MID(Base_Bruta!C365,4,2)),VALUE(LEFT(Base_Bruta!C365,2))))))</f>
        <v>45934</v>
      </c>
      <c r="D365" s="4" t="str">
        <f aca="false">IF($A365="","",TRIM(Base_Bruta!D365))</f>
        <v>Turnê Internacional Pop - SP</v>
      </c>
      <c r="E365" s="4" t="str">
        <f aca="false">IF($A365="","",_xlfn.XLOOKUP(LOWER(TRIM(Base_Bruta!E365)),DePara_Categoria!$A$2:$A$9,DePara_Categoria!$B$2:$B$9,"REVISAR"))</f>
        <v>Show</v>
      </c>
      <c r="F365" s="4" t="str">
        <f aca="false">IF($A365="","",_xlfn.XLOOKUP(LOWER(TRIM(Base_Bruta!F365)),DePara_Cidade!$A$2:$A$29,DePara_Cidade!$B$2:$B$29,"REVISAR"))</f>
        <v>São Paulo</v>
      </c>
      <c r="G365" s="4" t="str">
        <f aca="false">IF($A365="","",TRIM(Base_Bruta!G365))</f>
        <v>Meia</v>
      </c>
      <c r="H365" s="4" t="n">
        <f aca="false">IF($A365="","",IF(ISNUMBER(Base_Bruta!H365),Base_Bruta!H365,IFERROR(_xlfn.NUMBERVALUE(TRIM(SUBSTITUTE(Base_Bruta!H365,"R$","")),",","."),0)))</f>
        <v>4</v>
      </c>
      <c r="I365" s="6" t="n">
        <f aca="false">IF($A365="","",IF(ISNUMBER(Base_Bruta!I365),Base_Bruta!I365,IFERROR(_xlfn.NUMBERVALUE(TRIM(SUBSTITUTE(Base_Bruta!I365,"R$","")),",","."),0)))</f>
        <v>342.5</v>
      </c>
      <c r="J365" s="6" t="n">
        <f aca="false">IF($A365="","",H365*I365)</f>
        <v>1370</v>
      </c>
      <c r="K365" s="4" t="str">
        <f aca="false">IF($A365="","",TRIM(Base_Bruta!J365))</f>
        <v>Site</v>
      </c>
      <c r="L365" s="4" t="str">
        <f aca="false">IF($A365="","",TRIM(Base_Bruta!K365))</f>
        <v>C02171</v>
      </c>
      <c r="M365" s="4" t="str">
        <f aca="false">IF($A365="","",_xlfn.XLOOKUP(LOWER(TRIM(Base_Bruta!L365)),DePara_Cidade!$A$2:$A$29,DePara_Cidade!$B$2:$B$29,"REVISAR"))</f>
        <v>Recife</v>
      </c>
      <c r="N365" s="4" t="str">
        <f aca="false">IF($A365="","",UPPER(TRIM(Base_Bruta!M365)))</f>
        <v>PE</v>
      </c>
      <c r="O365" s="4" t="str">
        <f aca="false">IF($A365="","",_xlfn.XLOOKUP(LOWER(TRIM(Base_Bruta!N365)),DePara_Pais!$A$2:$A$9,DePara_Pais!$B$2:$B$9,"REVISAR"))</f>
        <v>Brasil</v>
      </c>
      <c r="P365" s="4" t="str">
        <f aca="false">IF($A365="","",IF(O365&lt;&gt;"Brasil","Turista Internacional",IF(M365=F365,"Local","Turista Nacional")))</f>
        <v>Turista Nacional</v>
      </c>
      <c r="Q365" s="7" t="n">
        <f aca="false">IF($A365="","",DATE(YEAR(B365),MONTH(B365),1))</f>
        <v>45931</v>
      </c>
      <c r="R365" s="4" t="str">
        <f aca="false">IF($A365="","",IF(COUNTIF($A$2:$A365,$A365)&gt;1,"Sim","Não"))</f>
        <v>Não</v>
      </c>
      <c r="S365" s="4" t="str">
        <f aca="false">IF(A365="","Descartar - Linha vazia",IF(R365="Sim","Descartar - Duplicado",IF(OR(H365&lt;=0,I365&lt;=0),"Descartar - Qtd/Valor inválido","OK")))</f>
        <v>OK</v>
      </c>
      <c r="T365" s="4" t="str">
        <f aca="false">Base_Bruta!P365</f>
        <v>vendas_SP.xlsx</v>
      </c>
    </row>
    <row r="366" customFormat="false" ht="15" hidden="false" customHeight="false" outlineLevel="0" collapsed="false">
      <c r="A366" s="4" t="str">
        <f aca="false">IF(Base_Bruta!A366="","",Base_Bruta!A366)</f>
        <v>SP-000569</v>
      </c>
      <c r="B366" s="5" t="n">
        <f aca="false">IF($A366="","",IF(ISNUMBER(Base_Bruta!B366),Base_Bruta!B366,IF(MID(Base_Bruta!B366,5,1)="-",DATE(VALUE(LEFT(Base_Bruta!B366,4)),VALUE(MID(Base_Bruta!B366,6,2)),VALUE(RIGHT(Base_Bruta!B366,2))),DATE(VALUE(RIGHT(Base_Bruta!B366,4)),VALUE(MID(Base_Bruta!B366,4,2)),VALUE(LEFT(Base_Bruta!B366,2))))))</f>
        <v>45931</v>
      </c>
      <c r="C366" s="5" t="n">
        <f aca="false">IF($A366="","",IF(ISNUMBER(Base_Bruta!C366),Base_Bruta!C366,IF(MID(Base_Bruta!C366,5,1)="-",DATE(VALUE(LEFT(Base_Bruta!C366,4)),VALUE(MID(Base_Bruta!C366,6,2)),VALUE(RIGHT(Base_Bruta!C366,2))),DATE(VALUE(RIGHT(Base_Bruta!C366,4)),VALUE(MID(Base_Bruta!C366,4,2)),VALUE(LEFT(Base_Bruta!C366,2))))))</f>
        <v>45934</v>
      </c>
      <c r="D366" s="4" t="str">
        <f aca="false">IF($A366="","",TRIM(Base_Bruta!D366))</f>
        <v>Turnê Internacional Pop - SP</v>
      </c>
      <c r="E366" s="4" t="str">
        <f aca="false">IF($A366="","",_xlfn.XLOOKUP(LOWER(TRIM(Base_Bruta!E366)),DePara_Categoria!$A$2:$A$9,DePara_Categoria!$B$2:$B$9,"REVISAR"))</f>
        <v>Show</v>
      </c>
      <c r="F366" s="4" t="str">
        <f aca="false">IF($A366="","",_xlfn.XLOOKUP(LOWER(TRIM(Base_Bruta!F366)),DePara_Cidade!$A$2:$A$29,DePara_Cidade!$B$2:$B$29,"REVISAR"))</f>
        <v>São Paulo</v>
      </c>
      <c r="G366" s="4" t="str">
        <f aca="false">IF($A366="","",TRIM(Base_Bruta!G366))</f>
        <v>Inteira</v>
      </c>
      <c r="H366" s="4" t="n">
        <f aca="false">IF($A366="","",IF(ISNUMBER(Base_Bruta!H366),Base_Bruta!H366,IFERROR(_xlfn.NUMBERVALUE(TRIM(SUBSTITUTE(Base_Bruta!H366,"R$","")),",","."),0)))</f>
        <v>2</v>
      </c>
      <c r="I366" s="6" t="n">
        <f aca="false">IF($A366="","",IF(ISNUMBER(Base_Bruta!I366),Base_Bruta!I366,IFERROR(_xlfn.NUMBERVALUE(TRIM(SUBSTITUTE(Base_Bruta!I366,"R$","")),",","."),0)))</f>
        <v>620</v>
      </c>
      <c r="J366" s="6" t="n">
        <f aca="false">IF($A366="","",H366*I366)</f>
        <v>1240</v>
      </c>
      <c r="K366" s="4" t="str">
        <f aca="false">IF($A366="","",TRIM(Base_Bruta!J366))</f>
        <v>App</v>
      </c>
      <c r="L366" s="4" t="str">
        <f aca="false">IF($A366="","",TRIM(Base_Bruta!K366))</f>
        <v>C00560</v>
      </c>
      <c r="M366" s="4" t="str">
        <f aca="false">IF($A366="","",_xlfn.XLOOKUP(LOWER(TRIM(Base_Bruta!L366)),DePara_Cidade!$A$2:$A$29,DePara_Cidade!$B$2:$B$29,"REVISAR"))</f>
        <v>São Paulo</v>
      </c>
      <c r="N366" s="4" t="str">
        <f aca="false">IF($A366="","",UPPER(TRIM(Base_Bruta!M366)))</f>
        <v>SP</v>
      </c>
      <c r="O366" s="4" t="str">
        <f aca="false">IF($A366="","",_xlfn.XLOOKUP(LOWER(TRIM(Base_Bruta!N366)),DePara_Pais!$A$2:$A$9,DePara_Pais!$B$2:$B$9,"REVISAR"))</f>
        <v>Brasil</v>
      </c>
      <c r="P366" s="4" t="str">
        <f aca="false">IF($A366="","",IF(O366&lt;&gt;"Brasil","Turista Internacional",IF(M366=F366,"Local","Turista Nacional")))</f>
        <v>Local</v>
      </c>
      <c r="Q366" s="7" t="n">
        <f aca="false">IF($A366="","",DATE(YEAR(B366),MONTH(B366),1))</f>
        <v>45931</v>
      </c>
      <c r="R366" s="4" t="str">
        <f aca="false">IF($A366="","",IF(COUNTIF($A$2:$A366,$A366)&gt;1,"Sim","Não"))</f>
        <v>Não</v>
      </c>
      <c r="S366" s="4" t="str">
        <f aca="false">IF(A366="","Descartar - Linha vazia",IF(R366="Sim","Descartar - Duplicado",IF(OR(H366&lt;=0,I366&lt;=0),"Descartar - Qtd/Valor inválido","OK")))</f>
        <v>OK</v>
      </c>
      <c r="T366" s="4" t="str">
        <f aca="false">Base_Bruta!P366</f>
        <v>vendas_SP.xlsx</v>
      </c>
    </row>
    <row r="367" customFormat="false" ht="15" hidden="false" customHeight="false" outlineLevel="0" collapsed="false">
      <c r="A367" s="4" t="str">
        <f aca="false">IF(Base_Bruta!A367="","",Base_Bruta!A367)</f>
        <v>SP-000606</v>
      </c>
      <c r="B367" s="5" t="n">
        <f aca="false">IF($A367="","",IF(ISNUMBER(Base_Bruta!B367),Base_Bruta!B367,IF(MID(Base_Bruta!B367,5,1)="-",DATE(VALUE(LEFT(Base_Bruta!B367,4)),VALUE(MID(Base_Bruta!B367,6,2)),VALUE(RIGHT(Base_Bruta!B367,2))),DATE(VALUE(RIGHT(Base_Bruta!B367,4)),VALUE(MID(Base_Bruta!B367,4,2)),VALUE(LEFT(Base_Bruta!B367,2))))))</f>
        <v>45931</v>
      </c>
      <c r="C367" s="5" t="n">
        <f aca="false">IF($A367="","",IF(ISNUMBER(Base_Bruta!C367),Base_Bruta!C367,IF(MID(Base_Bruta!C367,5,1)="-",DATE(VALUE(LEFT(Base_Bruta!C367,4)),VALUE(MID(Base_Bruta!C367,6,2)),VALUE(RIGHT(Base_Bruta!C367,2))),DATE(VALUE(RIGHT(Base_Bruta!C367,4)),VALUE(MID(Base_Bruta!C367,4,2)),VALUE(LEFT(Base_Bruta!C367,2))))))</f>
        <v>45934</v>
      </c>
      <c r="D367" s="4" t="str">
        <f aca="false">IF($A367="","",TRIM(Base_Bruta!D367))</f>
        <v>Turnê Internacional Pop - SP</v>
      </c>
      <c r="E367" s="4" t="str">
        <f aca="false">IF($A367="","",_xlfn.XLOOKUP(LOWER(TRIM(Base_Bruta!E367)),DePara_Categoria!$A$2:$A$9,DePara_Categoria!$B$2:$B$9,"REVISAR"))</f>
        <v>Show</v>
      </c>
      <c r="F367" s="4" t="str">
        <f aca="false">IF($A367="","",_xlfn.XLOOKUP(LOWER(TRIM(Base_Bruta!F367)),DePara_Cidade!$A$2:$A$29,DePara_Cidade!$B$2:$B$29,"REVISAR"))</f>
        <v>São Paulo</v>
      </c>
      <c r="G367" s="4" t="str">
        <f aca="false">IF($A367="","",TRIM(Base_Bruta!G367))</f>
        <v>Inteira</v>
      </c>
      <c r="H367" s="4" t="n">
        <f aca="false">IF($A367="","",IF(ISNUMBER(Base_Bruta!H367),Base_Bruta!H367,IFERROR(_xlfn.NUMBERVALUE(TRIM(SUBSTITUTE(Base_Bruta!H367,"R$","")),",","."),0)))</f>
        <v>2</v>
      </c>
      <c r="I367" s="6" t="n">
        <f aca="false">IF($A367="","",IF(ISNUMBER(Base_Bruta!I367),Base_Bruta!I367,IFERROR(_xlfn.NUMBERVALUE(TRIM(SUBSTITUTE(Base_Bruta!I367,"R$","")),",","."),0)))</f>
        <v>745</v>
      </c>
      <c r="J367" s="6" t="n">
        <f aca="false">IF($A367="","",H367*I367)</f>
        <v>1490</v>
      </c>
      <c r="K367" s="4" t="str">
        <f aca="false">IF($A367="","",TRIM(Base_Bruta!J367))</f>
        <v>Bilheteria</v>
      </c>
      <c r="L367" s="4" t="str">
        <f aca="false">IF($A367="","",TRIM(Base_Bruta!K367))</f>
        <v>C01278</v>
      </c>
      <c r="M367" s="4" t="str">
        <f aca="false">IF($A367="","",_xlfn.XLOOKUP(LOWER(TRIM(Base_Bruta!L367)),DePara_Cidade!$A$2:$A$29,DePara_Cidade!$B$2:$B$29,"REVISAR"))</f>
        <v>São Paulo</v>
      </c>
      <c r="N367" s="4" t="str">
        <f aca="false">IF($A367="","",UPPER(TRIM(Base_Bruta!M367)))</f>
        <v>SP</v>
      </c>
      <c r="O367" s="4" t="str">
        <f aca="false">IF($A367="","",_xlfn.XLOOKUP(LOWER(TRIM(Base_Bruta!N367)),DePara_Pais!$A$2:$A$9,DePara_Pais!$B$2:$B$9,"REVISAR"))</f>
        <v>Brasil</v>
      </c>
      <c r="P367" s="4" t="str">
        <f aca="false">IF($A367="","",IF(O367&lt;&gt;"Brasil","Turista Internacional",IF(M367=F367,"Local","Turista Nacional")))</f>
        <v>Local</v>
      </c>
      <c r="Q367" s="7" t="n">
        <f aca="false">IF($A367="","",DATE(YEAR(B367),MONTH(B367),1))</f>
        <v>45931</v>
      </c>
      <c r="R367" s="4" t="str">
        <f aca="false">IF($A367="","",IF(COUNTIF($A$2:$A367,$A367)&gt;1,"Sim","Não"))</f>
        <v>Não</v>
      </c>
      <c r="S367" s="4" t="str">
        <f aca="false">IF(A367="","Descartar - Linha vazia",IF(R367="Sim","Descartar - Duplicado",IF(OR(H367&lt;=0,I367&lt;=0),"Descartar - Qtd/Valor inválido","OK")))</f>
        <v>OK</v>
      </c>
      <c r="T367" s="4" t="str">
        <f aca="false">Base_Bruta!P367</f>
        <v>vendas_SP.xlsx</v>
      </c>
    </row>
    <row r="368" customFormat="false" ht="15" hidden="false" customHeight="false" outlineLevel="0" collapsed="false">
      <c r="A368" s="4" t="str">
        <f aca="false">IF(Base_Bruta!A368="","",Base_Bruta!A368)</f>
        <v>SP-000625</v>
      </c>
      <c r="B368" s="5" t="n">
        <f aca="false">IF($A368="","",IF(ISNUMBER(Base_Bruta!B368),Base_Bruta!B368,IF(MID(Base_Bruta!B368,5,1)="-",DATE(VALUE(LEFT(Base_Bruta!B368,4)),VALUE(MID(Base_Bruta!B368,6,2)),VALUE(RIGHT(Base_Bruta!B368,2))),DATE(VALUE(RIGHT(Base_Bruta!B368,4)),VALUE(MID(Base_Bruta!B368,4,2)),VALUE(LEFT(Base_Bruta!B368,2))))))</f>
        <v>45931</v>
      </c>
      <c r="C368" s="5" t="n">
        <f aca="false">IF($A368="","",IF(ISNUMBER(Base_Bruta!C368),Base_Bruta!C368,IF(MID(Base_Bruta!C368,5,1)="-",DATE(VALUE(LEFT(Base_Bruta!C368,4)),VALUE(MID(Base_Bruta!C368,6,2)),VALUE(RIGHT(Base_Bruta!C368,2))),DATE(VALUE(RIGHT(Base_Bruta!C368,4)),VALUE(MID(Base_Bruta!C368,4,2)),VALUE(LEFT(Base_Bruta!C368,2))))))</f>
        <v>45933</v>
      </c>
      <c r="D368" s="4" t="str">
        <f aca="false">IF($A368="","",TRIM(Base_Bruta!D368))</f>
        <v>Cinema Paulista - Sessões</v>
      </c>
      <c r="E368" s="4" t="str">
        <f aca="false">IF($A368="","",_xlfn.XLOOKUP(LOWER(TRIM(Base_Bruta!E368)),DePara_Categoria!$A$2:$A$9,DePara_Categoria!$B$2:$B$9,"REVISAR"))</f>
        <v>Cinema</v>
      </c>
      <c r="F368" s="4" t="str">
        <f aca="false">IF($A368="","",_xlfn.XLOOKUP(LOWER(TRIM(Base_Bruta!F368)),DePara_Cidade!$A$2:$A$29,DePara_Cidade!$B$2:$B$29,"REVISAR"))</f>
        <v>São Paulo</v>
      </c>
      <c r="G368" s="4" t="str">
        <f aca="false">IF($A368="","",TRIM(Base_Bruta!G368))</f>
        <v>Inteira</v>
      </c>
      <c r="H368" s="4" t="n">
        <f aca="false">IF($A368="","",IF(ISNUMBER(Base_Bruta!H368),Base_Bruta!H368,IFERROR(_xlfn.NUMBERVALUE(TRIM(SUBSTITUTE(Base_Bruta!H368,"R$","")),",","."),0)))</f>
        <v>2</v>
      </c>
      <c r="I368" s="6" t="n">
        <f aca="false">IF($A368="","",IF(ISNUMBER(Base_Bruta!I368),Base_Bruta!I368,IFERROR(_xlfn.NUMBERVALUE(TRIM(SUBSTITUTE(Base_Bruta!I368,"R$","")),",","."),0)))</f>
        <v>35</v>
      </c>
      <c r="J368" s="6" t="n">
        <f aca="false">IF($A368="","",H368*I368)</f>
        <v>70</v>
      </c>
      <c r="K368" s="4" t="str">
        <f aca="false">IF($A368="","",TRIM(Base_Bruta!J368))</f>
        <v>App</v>
      </c>
      <c r="L368" s="4" t="str">
        <f aca="false">IF($A368="","",TRIM(Base_Bruta!K368))</f>
        <v>C02434</v>
      </c>
      <c r="M368" s="4" t="str">
        <f aca="false">IF($A368="","",_xlfn.XLOOKUP(LOWER(TRIM(Base_Bruta!L368)),DePara_Cidade!$A$2:$A$29,DePara_Cidade!$B$2:$B$29,"REVISAR"))</f>
        <v>Vitória</v>
      </c>
      <c r="N368" s="4" t="str">
        <f aca="false">IF($A368="","",UPPER(TRIM(Base_Bruta!M368)))</f>
        <v>ES</v>
      </c>
      <c r="O368" s="4" t="str">
        <f aca="false">IF($A368="","",_xlfn.XLOOKUP(LOWER(TRIM(Base_Bruta!N368)),DePara_Pais!$A$2:$A$9,DePara_Pais!$B$2:$B$9,"REVISAR"))</f>
        <v>Brasil</v>
      </c>
      <c r="P368" s="4" t="str">
        <f aca="false">IF($A368="","",IF(O368&lt;&gt;"Brasil","Turista Internacional",IF(M368=F368,"Local","Turista Nacional")))</f>
        <v>Turista Nacional</v>
      </c>
      <c r="Q368" s="7" t="n">
        <f aca="false">IF($A368="","",DATE(YEAR(B368),MONTH(B368),1))</f>
        <v>45931</v>
      </c>
      <c r="R368" s="4" t="str">
        <f aca="false">IF($A368="","",IF(COUNTIF($A$2:$A368,$A368)&gt;1,"Sim","Não"))</f>
        <v>Não</v>
      </c>
      <c r="S368" s="4" t="str">
        <f aca="false">IF(A368="","Descartar - Linha vazia",IF(R368="Sim","Descartar - Duplicado",IF(OR(H368&lt;=0,I368&lt;=0),"Descartar - Qtd/Valor inválido","OK")))</f>
        <v>OK</v>
      </c>
      <c r="T368" s="4" t="str">
        <f aca="false">Base_Bruta!P368</f>
        <v>vendas_SP.xlsx</v>
      </c>
    </row>
    <row r="369" customFormat="false" ht="15" hidden="false" customHeight="false" outlineLevel="0" collapsed="false">
      <c r="A369" s="4" t="str">
        <f aca="false">IF(Base_Bruta!A369="","",Base_Bruta!A369)</f>
        <v>SP-000095</v>
      </c>
      <c r="B369" s="5" t="n">
        <f aca="false">IF($A369="","",IF(ISNUMBER(Base_Bruta!B369),Base_Bruta!B369,IF(MID(Base_Bruta!B369,5,1)="-",DATE(VALUE(LEFT(Base_Bruta!B369,4)),VALUE(MID(Base_Bruta!B369,6,2)),VALUE(RIGHT(Base_Bruta!B369,2))),DATE(VALUE(RIGHT(Base_Bruta!B369,4)),VALUE(MID(Base_Bruta!B369,4,2)),VALUE(LEFT(Base_Bruta!B369,2))))))</f>
        <v>45932</v>
      </c>
      <c r="C369" s="5" t="n">
        <f aca="false">IF($A369="","",IF(ISNUMBER(Base_Bruta!C369),Base_Bruta!C369,IF(MID(Base_Bruta!C369,5,1)="-",DATE(VALUE(LEFT(Base_Bruta!C369,4)),VALUE(MID(Base_Bruta!C369,6,2)),VALUE(RIGHT(Base_Bruta!C369,2))),DATE(VALUE(RIGHT(Base_Bruta!C369,4)),VALUE(MID(Base_Bruta!C369,4,2)),VALUE(LEFT(Base_Bruta!C369,2))))))</f>
        <v>45976</v>
      </c>
      <c r="D369" s="4" t="str">
        <f aca="false">IF($A369="","",TRIM(Base_Bruta!D369))</f>
        <v>Festival Sonora SP 2025</v>
      </c>
      <c r="E369" s="4" t="str">
        <f aca="false">IF($A369="","",_xlfn.XLOOKUP(LOWER(TRIM(Base_Bruta!E369)),DePara_Categoria!$A$2:$A$9,DePara_Categoria!$B$2:$B$9,"REVISAR"))</f>
        <v>Festival</v>
      </c>
      <c r="F369" s="4" t="str">
        <f aca="false">IF($A369="","",_xlfn.XLOOKUP(LOWER(TRIM(Base_Bruta!F369)),DePara_Cidade!$A$2:$A$29,DePara_Cidade!$B$2:$B$29,"REVISAR"))</f>
        <v>São Paulo</v>
      </c>
      <c r="G369" s="4" t="str">
        <f aca="false">IF($A369="","",TRIM(Base_Bruta!G369))</f>
        <v>Meia</v>
      </c>
      <c r="H369" s="4" t="n">
        <f aca="false">IF($A369="","",IF(ISNUMBER(Base_Bruta!H369),Base_Bruta!H369,IFERROR(_xlfn.NUMBERVALUE(TRIM(SUBSTITUTE(Base_Bruta!H369,"R$","")),",","."),0)))</f>
        <v>2</v>
      </c>
      <c r="I369" s="6" t="n">
        <f aca="false">IF($A369="","",IF(ISNUMBER(Base_Bruta!I369),Base_Bruta!I369,IFERROR(_xlfn.NUMBERVALUE(TRIM(SUBSTITUTE(Base_Bruta!I369,"R$","")),",","."),0)))</f>
        <v>430</v>
      </c>
      <c r="J369" s="6" t="n">
        <f aca="false">IF($A369="","",H369*I369)</f>
        <v>860</v>
      </c>
      <c r="K369" s="4" t="str">
        <f aca="false">IF($A369="","",TRIM(Base_Bruta!J369))</f>
        <v>Site</v>
      </c>
      <c r="L369" s="4" t="str">
        <f aca="false">IF($A369="","",TRIM(Base_Bruta!K369))</f>
        <v>C01799</v>
      </c>
      <c r="M369" s="4" t="str">
        <f aca="false">IF($A369="","",_xlfn.XLOOKUP(LOWER(TRIM(Base_Bruta!L369)),DePara_Cidade!$A$2:$A$29,DePara_Cidade!$B$2:$B$29,"REVISAR"))</f>
        <v>São Paulo</v>
      </c>
      <c r="N369" s="4" t="str">
        <f aca="false">IF($A369="","",UPPER(TRIM(Base_Bruta!M369)))</f>
        <v>SP</v>
      </c>
      <c r="O369" s="4" t="str">
        <f aca="false">IF($A369="","",_xlfn.XLOOKUP(LOWER(TRIM(Base_Bruta!N369)),DePara_Pais!$A$2:$A$9,DePara_Pais!$B$2:$B$9,"REVISAR"))</f>
        <v>Brasil</v>
      </c>
      <c r="P369" s="4" t="str">
        <f aca="false">IF($A369="","",IF(O369&lt;&gt;"Brasil","Turista Internacional",IF(M369=F369,"Local","Turista Nacional")))</f>
        <v>Local</v>
      </c>
      <c r="Q369" s="7" t="n">
        <f aca="false">IF($A369="","",DATE(YEAR(B369),MONTH(B369),1))</f>
        <v>45931</v>
      </c>
      <c r="R369" s="4" t="str">
        <f aca="false">IF($A369="","",IF(COUNTIF($A$2:$A369,$A369)&gt;1,"Sim","Não"))</f>
        <v>Não</v>
      </c>
      <c r="S369" s="4" t="str">
        <f aca="false">IF(A369="","Descartar - Linha vazia",IF(R369="Sim","Descartar - Duplicado",IF(OR(H369&lt;=0,I369&lt;=0),"Descartar - Qtd/Valor inválido","OK")))</f>
        <v>OK</v>
      </c>
      <c r="T369" s="4" t="str">
        <f aca="false">Base_Bruta!P369</f>
        <v>vendas_SP.xlsx</v>
      </c>
    </row>
    <row r="370" customFormat="false" ht="15" hidden="false" customHeight="false" outlineLevel="0" collapsed="false">
      <c r="A370" s="4" t="str">
        <f aca="false">IF(Base_Bruta!A370="","",Base_Bruta!A370)</f>
        <v>SP-000504</v>
      </c>
      <c r="B370" s="5" t="n">
        <f aca="false">IF($A370="","",IF(ISNUMBER(Base_Bruta!B370),Base_Bruta!B370,IF(MID(Base_Bruta!B370,5,1)="-",DATE(VALUE(LEFT(Base_Bruta!B370,4)),VALUE(MID(Base_Bruta!B370,6,2)),VALUE(RIGHT(Base_Bruta!B370,2))),DATE(VALUE(RIGHT(Base_Bruta!B370,4)),VALUE(MID(Base_Bruta!B370,4,2)),VALUE(LEFT(Base_Bruta!B370,2))))))</f>
        <v>45932</v>
      </c>
      <c r="C370" s="5" t="n">
        <f aca="false">IF($A370="","",IF(ISNUMBER(Base_Bruta!C370),Base_Bruta!C370,IF(MID(Base_Bruta!C370,5,1)="-",DATE(VALUE(LEFT(Base_Bruta!C370,4)),VALUE(MID(Base_Bruta!C370,6,2)),VALUE(RIGHT(Base_Bruta!C370,2))),DATE(VALUE(RIGHT(Base_Bruta!C370,4)),VALUE(MID(Base_Bruta!C370,4,2)),VALUE(LEFT(Base_Bruta!C370,2))))))</f>
        <v>45934</v>
      </c>
      <c r="D370" s="4" t="str">
        <f aca="false">IF($A370="","",TRIM(Base_Bruta!D370))</f>
        <v>Turnê Internacional Pop - SP</v>
      </c>
      <c r="E370" s="4" t="str">
        <f aca="false">IF($A370="","",_xlfn.XLOOKUP(LOWER(TRIM(Base_Bruta!E370)),DePara_Categoria!$A$2:$A$9,DePara_Categoria!$B$2:$B$9,"REVISAR"))</f>
        <v>Show</v>
      </c>
      <c r="F370" s="4" t="str">
        <f aca="false">IF($A370="","",_xlfn.XLOOKUP(LOWER(TRIM(Base_Bruta!F370)),DePara_Cidade!$A$2:$A$29,DePara_Cidade!$B$2:$B$29,"REVISAR"))</f>
        <v>São Paulo</v>
      </c>
      <c r="G370" s="4" t="str">
        <f aca="false">IF($A370="","",TRIM(Base_Bruta!G370))</f>
        <v>Meia</v>
      </c>
      <c r="H370" s="4" t="n">
        <f aca="false">IF($A370="","",IF(ISNUMBER(Base_Bruta!H370),Base_Bruta!H370,IFERROR(_xlfn.NUMBERVALUE(TRIM(SUBSTITUTE(Base_Bruta!H370,"R$","")),",","."),0)))</f>
        <v>2</v>
      </c>
      <c r="I370" s="6" t="n">
        <f aca="false">IF($A370="","",IF(ISNUMBER(Base_Bruta!I370),Base_Bruta!I370,IFERROR(_xlfn.NUMBERVALUE(TRIM(SUBSTITUTE(Base_Bruta!I370,"R$","")),",","."),0)))</f>
        <v>190</v>
      </c>
      <c r="J370" s="6" t="n">
        <f aca="false">IF($A370="","",H370*I370)</f>
        <v>380</v>
      </c>
      <c r="K370" s="4" t="str">
        <f aca="false">IF($A370="","",TRIM(Base_Bruta!J370))</f>
        <v>App</v>
      </c>
      <c r="L370" s="4" t="str">
        <f aca="false">IF($A370="","",TRIM(Base_Bruta!K370))</f>
        <v>C00017</v>
      </c>
      <c r="M370" s="4" t="str">
        <f aca="false">IF($A370="","",_xlfn.XLOOKUP(LOWER(TRIM(Base_Bruta!L370)),DePara_Cidade!$A$2:$A$29,DePara_Cidade!$B$2:$B$29,"REVISAR"))</f>
        <v>São Paulo</v>
      </c>
      <c r="N370" s="4" t="str">
        <f aca="false">IF($A370="","",UPPER(TRIM(Base_Bruta!M370)))</f>
        <v>SP</v>
      </c>
      <c r="O370" s="4" t="str">
        <f aca="false">IF($A370="","",_xlfn.XLOOKUP(LOWER(TRIM(Base_Bruta!N370)),DePara_Pais!$A$2:$A$9,DePara_Pais!$B$2:$B$9,"REVISAR"))</f>
        <v>Brasil</v>
      </c>
      <c r="P370" s="4" t="str">
        <f aca="false">IF($A370="","",IF(O370&lt;&gt;"Brasil","Turista Internacional",IF(M370=F370,"Local","Turista Nacional")))</f>
        <v>Local</v>
      </c>
      <c r="Q370" s="7" t="n">
        <f aca="false">IF($A370="","",DATE(YEAR(B370),MONTH(B370),1))</f>
        <v>45931</v>
      </c>
      <c r="R370" s="4" t="str">
        <f aca="false">IF($A370="","",IF(COUNTIF($A$2:$A370,$A370)&gt;1,"Sim","Não"))</f>
        <v>Não</v>
      </c>
      <c r="S370" s="4" t="str">
        <f aca="false">IF(A370="","Descartar - Linha vazia",IF(R370="Sim","Descartar - Duplicado",IF(OR(H370&lt;=0,I370&lt;=0),"Descartar - Qtd/Valor inválido","OK")))</f>
        <v>OK</v>
      </c>
      <c r="T370" s="4" t="str">
        <f aca="false">Base_Bruta!P370</f>
        <v>vendas_SP.xlsx</v>
      </c>
    </row>
    <row r="371" customFormat="false" ht="15" hidden="false" customHeight="false" outlineLevel="0" collapsed="false">
      <c r="A371" s="4" t="str">
        <f aca="false">IF(Base_Bruta!A371="","",Base_Bruta!A371)</f>
        <v>SP-000531</v>
      </c>
      <c r="B371" s="5" t="n">
        <f aca="false">IF($A371="","",IF(ISNUMBER(Base_Bruta!B371),Base_Bruta!B371,IF(MID(Base_Bruta!B371,5,1)="-",DATE(VALUE(LEFT(Base_Bruta!B371,4)),VALUE(MID(Base_Bruta!B371,6,2)),VALUE(RIGHT(Base_Bruta!B371,2))),DATE(VALUE(RIGHT(Base_Bruta!B371,4)),VALUE(MID(Base_Bruta!B371,4,2)),VALUE(LEFT(Base_Bruta!B371,2))))))</f>
        <v>45932</v>
      </c>
      <c r="C371" s="5" t="n">
        <f aca="false">IF($A371="","",IF(ISNUMBER(Base_Bruta!C371),Base_Bruta!C371,IF(MID(Base_Bruta!C371,5,1)="-",DATE(VALUE(LEFT(Base_Bruta!C371,4)),VALUE(MID(Base_Bruta!C371,6,2)),VALUE(RIGHT(Base_Bruta!C371,2))),DATE(VALUE(RIGHT(Base_Bruta!C371,4)),VALUE(MID(Base_Bruta!C371,4,2)),VALUE(LEFT(Base_Bruta!C371,2))))))</f>
        <v>45934</v>
      </c>
      <c r="D371" s="4" t="str">
        <f aca="false">IF($A371="","",TRIM(Base_Bruta!D371))</f>
        <v>Turnê Internacional Pop - SP</v>
      </c>
      <c r="E371" s="4" t="str">
        <f aca="false">IF($A371="","",_xlfn.XLOOKUP(LOWER(TRIM(Base_Bruta!E371)),DePara_Categoria!$A$2:$A$9,DePara_Categoria!$B$2:$B$9,"REVISAR"))</f>
        <v>Show</v>
      </c>
      <c r="F371" s="4" t="str">
        <f aca="false">IF($A371="","",_xlfn.XLOOKUP(LOWER(TRIM(Base_Bruta!F371)),DePara_Cidade!$A$2:$A$29,DePara_Cidade!$B$2:$B$29,"REVISAR"))</f>
        <v>São Paulo</v>
      </c>
      <c r="G371" s="4" t="str">
        <f aca="false">IF($A371="","",TRIM(Base_Bruta!G371))</f>
        <v>VIP</v>
      </c>
      <c r="H371" s="4" t="n">
        <f aca="false">IF($A371="","",IF(ISNUMBER(Base_Bruta!H371),Base_Bruta!H371,IFERROR(_xlfn.NUMBERVALUE(TRIM(SUBSTITUTE(Base_Bruta!H371,"R$","")),",","."),0)))</f>
        <v>4</v>
      </c>
      <c r="I371" s="6" t="n">
        <f aca="false">IF($A371="","",IF(ISNUMBER(Base_Bruta!I371),Base_Bruta!I371,IFERROR(_xlfn.NUMBERVALUE(TRIM(SUBSTITUTE(Base_Bruta!I371,"R$","")),",","."),0)))</f>
        <v>810</v>
      </c>
      <c r="J371" s="6" t="n">
        <f aca="false">IF($A371="","",H371*I371)</f>
        <v>3240</v>
      </c>
      <c r="K371" s="4" t="str">
        <f aca="false">IF($A371="","",TRIM(Base_Bruta!J371))</f>
        <v>App</v>
      </c>
      <c r="L371" s="4" t="str">
        <f aca="false">IF($A371="","",TRIM(Base_Bruta!K371))</f>
        <v>C01501</v>
      </c>
      <c r="M371" s="4" t="str">
        <f aca="false">IF($A371="","",_xlfn.XLOOKUP(LOWER(TRIM(Base_Bruta!L371)),DePara_Cidade!$A$2:$A$29,DePara_Cidade!$B$2:$B$29,"REVISAR"))</f>
        <v>São Paulo</v>
      </c>
      <c r="N371" s="4" t="str">
        <f aca="false">IF($A371="","",UPPER(TRIM(Base_Bruta!M371)))</f>
        <v>SP</v>
      </c>
      <c r="O371" s="4" t="str">
        <f aca="false">IF($A371="","",_xlfn.XLOOKUP(LOWER(TRIM(Base_Bruta!N371)),DePara_Pais!$A$2:$A$9,DePara_Pais!$B$2:$B$9,"REVISAR"))</f>
        <v>Brasil</v>
      </c>
      <c r="P371" s="4" t="str">
        <f aca="false">IF($A371="","",IF(O371&lt;&gt;"Brasil","Turista Internacional",IF(M371=F371,"Local","Turista Nacional")))</f>
        <v>Local</v>
      </c>
      <c r="Q371" s="7" t="n">
        <f aca="false">IF($A371="","",DATE(YEAR(B371),MONTH(B371),1))</f>
        <v>45931</v>
      </c>
      <c r="R371" s="4" t="str">
        <f aca="false">IF($A371="","",IF(COUNTIF($A$2:$A371,$A371)&gt;1,"Sim","Não"))</f>
        <v>Não</v>
      </c>
      <c r="S371" s="4" t="str">
        <f aca="false">IF(A371="","Descartar - Linha vazia",IF(R371="Sim","Descartar - Duplicado",IF(OR(H371&lt;=0,I371&lt;=0),"Descartar - Qtd/Valor inválido","OK")))</f>
        <v>OK</v>
      </c>
      <c r="T371" s="4" t="str">
        <f aca="false">Base_Bruta!P371</f>
        <v>vendas_SP.xlsx</v>
      </c>
    </row>
    <row r="372" customFormat="false" ht="15" hidden="false" customHeight="false" outlineLevel="0" collapsed="false">
      <c r="A372" s="4" t="str">
        <f aca="false">IF(Base_Bruta!A372="","",Base_Bruta!A372)</f>
        <v>SP-000548</v>
      </c>
      <c r="B372" s="5" t="n">
        <f aca="false">IF($A372="","",IF(ISNUMBER(Base_Bruta!B372),Base_Bruta!B372,IF(MID(Base_Bruta!B372,5,1)="-",DATE(VALUE(LEFT(Base_Bruta!B372,4)),VALUE(MID(Base_Bruta!B372,6,2)),VALUE(RIGHT(Base_Bruta!B372,2))),DATE(VALUE(RIGHT(Base_Bruta!B372,4)),VALUE(MID(Base_Bruta!B372,4,2)),VALUE(LEFT(Base_Bruta!B372,2))))))</f>
        <v>45932</v>
      </c>
      <c r="C372" s="5" t="n">
        <f aca="false">IF($A372="","",IF(ISNUMBER(Base_Bruta!C372),Base_Bruta!C372,IF(MID(Base_Bruta!C372,5,1)="-",DATE(VALUE(LEFT(Base_Bruta!C372,4)),VALUE(MID(Base_Bruta!C372,6,2)),VALUE(RIGHT(Base_Bruta!C372,2))),DATE(VALUE(RIGHT(Base_Bruta!C372,4)),VALUE(MID(Base_Bruta!C372,4,2)),VALUE(LEFT(Base_Bruta!C372,2))))))</f>
        <v>45934</v>
      </c>
      <c r="D372" s="4" t="str">
        <f aca="false">IF($A372="","",TRIM(Base_Bruta!D372))</f>
        <v>Turnê Internacional Pop - SP</v>
      </c>
      <c r="E372" s="4" t="str">
        <f aca="false">IF($A372="","",_xlfn.XLOOKUP(LOWER(TRIM(Base_Bruta!E372)),DePara_Categoria!$A$2:$A$9,DePara_Categoria!$B$2:$B$9,"REVISAR"))</f>
        <v>Show</v>
      </c>
      <c r="F372" s="4" t="str">
        <f aca="false">IF($A372="","",_xlfn.XLOOKUP(LOWER(TRIM(Base_Bruta!F372)),DePara_Cidade!$A$2:$A$29,DePara_Cidade!$B$2:$B$29,"REVISAR"))</f>
        <v>São Paulo</v>
      </c>
      <c r="G372" s="4" t="str">
        <f aca="false">IF($A372="","",TRIM(Base_Bruta!G372))</f>
        <v>Inteira</v>
      </c>
      <c r="H372" s="4" t="n">
        <f aca="false">IF($A372="","",IF(ISNUMBER(Base_Bruta!H372),Base_Bruta!H372,IFERROR(_xlfn.NUMBERVALUE(TRIM(SUBSTITUTE(Base_Bruta!H372,"R$","")),",","."),0)))</f>
        <v>2</v>
      </c>
      <c r="I372" s="6" t="n">
        <f aca="false">IF($A372="","",IF(ISNUMBER(Base_Bruta!I372),Base_Bruta!I372,IFERROR(_xlfn.NUMBERVALUE(TRIM(SUBSTITUTE(Base_Bruta!I372,"R$","")),",","."),0)))</f>
        <v>385</v>
      </c>
      <c r="J372" s="6" t="n">
        <f aca="false">IF($A372="","",H372*I372)</f>
        <v>770</v>
      </c>
      <c r="K372" s="4" t="str">
        <f aca="false">IF($A372="","",TRIM(Base_Bruta!J372))</f>
        <v>App</v>
      </c>
      <c r="L372" s="4" t="str">
        <f aca="false">IF($A372="","",TRIM(Base_Bruta!K372))</f>
        <v>C00375</v>
      </c>
      <c r="M372" s="4" t="str">
        <f aca="false">IF($A372="","",_xlfn.XLOOKUP(LOWER(TRIM(Base_Bruta!L372)),DePara_Cidade!$A$2:$A$29,DePara_Cidade!$B$2:$B$29,"REVISAR"))</f>
        <v>Salvador</v>
      </c>
      <c r="N372" s="4" t="str">
        <f aca="false">IF($A372="","",UPPER(TRIM(Base_Bruta!M372)))</f>
        <v>BA</v>
      </c>
      <c r="O372" s="4" t="str">
        <f aca="false">IF($A372="","",_xlfn.XLOOKUP(LOWER(TRIM(Base_Bruta!N372)),DePara_Pais!$A$2:$A$9,DePara_Pais!$B$2:$B$9,"REVISAR"))</f>
        <v>Brasil</v>
      </c>
      <c r="P372" s="4" t="str">
        <f aca="false">IF($A372="","",IF(O372&lt;&gt;"Brasil","Turista Internacional",IF(M372=F372,"Local","Turista Nacional")))</f>
        <v>Turista Nacional</v>
      </c>
      <c r="Q372" s="7" t="n">
        <f aca="false">IF($A372="","",DATE(YEAR(B372),MONTH(B372),1))</f>
        <v>45931</v>
      </c>
      <c r="R372" s="4" t="str">
        <f aca="false">IF($A372="","",IF(COUNTIF($A$2:$A372,$A372)&gt;1,"Sim","Não"))</f>
        <v>Não</v>
      </c>
      <c r="S372" s="4" t="str">
        <f aca="false">IF(A372="","Descartar - Linha vazia",IF(R372="Sim","Descartar - Duplicado",IF(OR(H372&lt;=0,I372&lt;=0),"Descartar - Qtd/Valor inválido","OK")))</f>
        <v>OK</v>
      </c>
      <c r="T372" s="4" t="str">
        <f aca="false">Base_Bruta!P372</f>
        <v>vendas_SP.xlsx</v>
      </c>
    </row>
    <row r="373" customFormat="false" ht="15" hidden="false" customHeight="false" outlineLevel="0" collapsed="false">
      <c r="A373" s="4" t="str">
        <f aca="false">IF(Base_Bruta!A373="","",Base_Bruta!A373)</f>
        <v>SP-000554</v>
      </c>
      <c r="B373" s="5" t="n">
        <f aca="false">IF($A373="","",IF(ISNUMBER(Base_Bruta!B373),Base_Bruta!B373,IF(MID(Base_Bruta!B373,5,1)="-",DATE(VALUE(LEFT(Base_Bruta!B373,4)),VALUE(MID(Base_Bruta!B373,6,2)),VALUE(RIGHT(Base_Bruta!B373,2))),DATE(VALUE(RIGHT(Base_Bruta!B373,4)),VALUE(MID(Base_Bruta!B373,4,2)),VALUE(LEFT(Base_Bruta!B373,2))))))</f>
        <v>45932</v>
      </c>
      <c r="C373" s="5" t="n">
        <f aca="false">IF($A373="","",IF(ISNUMBER(Base_Bruta!C373),Base_Bruta!C373,IF(MID(Base_Bruta!C373,5,1)="-",DATE(VALUE(LEFT(Base_Bruta!C373,4)),VALUE(MID(Base_Bruta!C373,6,2)),VALUE(RIGHT(Base_Bruta!C373,2))),DATE(VALUE(RIGHT(Base_Bruta!C373,4)),VALUE(MID(Base_Bruta!C373,4,2)),VALUE(LEFT(Base_Bruta!C373,2))))))</f>
        <v>45934</v>
      </c>
      <c r="D373" s="4" t="str">
        <f aca="false">IF($A373="","",TRIM(Base_Bruta!D373))</f>
        <v>Turnê Internacional Pop - SP</v>
      </c>
      <c r="E373" s="4" t="str">
        <f aca="false">IF($A373="","",_xlfn.XLOOKUP(LOWER(TRIM(Base_Bruta!E373)),DePara_Categoria!$A$2:$A$9,DePara_Categoria!$B$2:$B$9,"REVISAR"))</f>
        <v>Show</v>
      </c>
      <c r="F373" s="4" t="str">
        <f aca="false">IF($A373="","",_xlfn.XLOOKUP(LOWER(TRIM(Base_Bruta!F373)),DePara_Cidade!$A$2:$A$29,DePara_Cidade!$B$2:$B$29,"REVISAR"))</f>
        <v>São Paulo</v>
      </c>
      <c r="G373" s="4" t="str">
        <f aca="false">IF($A373="","",TRIM(Base_Bruta!G373))</f>
        <v>Inteira</v>
      </c>
      <c r="H373" s="4" t="n">
        <f aca="false">IF($A373="","",IF(ISNUMBER(Base_Bruta!H373),Base_Bruta!H373,IFERROR(_xlfn.NUMBERVALUE(TRIM(SUBSTITUTE(Base_Bruta!H373,"R$","")),",","."),0)))</f>
        <v>2</v>
      </c>
      <c r="I373" s="6" t="n">
        <f aca="false">IF($A373="","",IF(ISNUMBER(Base_Bruta!I373),Base_Bruta!I373,IFERROR(_xlfn.NUMBERVALUE(TRIM(SUBSTITUTE(Base_Bruta!I373,"R$","")),",","."),0)))</f>
        <v>710</v>
      </c>
      <c r="J373" s="6" t="n">
        <f aca="false">IF($A373="","",H373*I373)</f>
        <v>1420</v>
      </c>
      <c r="K373" s="4" t="str">
        <f aca="false">IF($A373="","",TRIM(Base_Bruta!J373))</f>
        <v>Bilheteria</v>
      </c>
      <c r="L373" s="4" t="str">
        <f aca="false">IF($A373="","",TRIM(Base_Bruta!K373))</f>
        <v>C01205</v>
      </c>
      <c r="M373" s="4" t="str">
        <f aca="false">IF($A373="","",_xlfn.XLOOKUP(LOWER(TRIM(Base_Bruta!L373)),DePara_Cidade!$A$2:$A$29,DePara_Cidade!$B$2:$B$29,"REVISAR"))</f>
        <v>São Paulo</v>
      </c>
      <c r="N373" s="4" t="str">
        <f aca="false">IF($A373="","",UPPER(TRIM(Base_Bruta!M373)))</f>
        <v>SP</v>
      </c>
      <c r="O373" s="4" t="str">
        <f aca="false">IF($A373="","",_xlfn.XLOOKUP(LOWER(TRIM(Base_Bruta!N373)),DePara_Pais!$A$2:$A$9,DePara_Pais!$B$2:$B$9,"REVISAR"))</f>
        <v>Brasil</v>
      </c>
      <c r="P373" s="4" t="str">
        <f aca="false">IF($A373="","",IF(O373&lt;&gt;"Brasil","Turista Internacional",IF(M373=F373,"Local","Turista Nacional")))</f>
        <v>Local</v>
      </c>
      <c r="Q373" s="7" t="n">
        <f aca="false">IF($A373="","",DATE(YEAR(B373),MONTH(B373),1))</f>
        <v>45931</v>
      </c>
      <c r="R373" s="4" t="str">
        <f aca="false">IF($A373="","",IF(COUNTIF($A$2:$A373,$A373)&gt;1,"Sim","Não"))</f>
        <v>Não</v>
      </c>
      <c r="S373" s="4" t="str">
        <f aca="false">IF(A373="","Descartar - Linha vazia",IF(R373="Sim","Descartar - Duplicado",IF(OR(H373&lt;=0,I373&lt;=0),"Descartar - Qtd/Valor inválido","OK")))</f>
        <v>OK</v>
      </c>
      <c r="T373" s="4" t="str">
        <f aca="false">Base_Bruta!P373</f>
        <v>vendas_SP.xlsx</v>
      </c>
    </row>
    <row r="374" customFormat="false" ht="15" hidden="false" customHeight="false" outlineLevel="0" collapsed="false">
      <c r="A374" s="4" t="str">
        <f aca="false">IF(Base_Bruta!A374="","",Base_Bruta!A374)</f>
        <v>SP-000579</v>
      </c>
      <c r="B374" s="5" t="n">
        <f aca="false">IF($A374="","",IF(ISNUMBER(Base_Bruta!B374),Base_Bruta!B374,IF(MID(Base_Bruta!B374,5,1)="-",DATE(VALUE(LEFT(Base_Bruta!B374,4)),VALUE(MID(Base_Bruta!B374,6,2)),VALUE(RIGHT(Base_Bruta!B374,2))),DATE(VALUE(RIGHT(Base_Bruta!B374,4)),VALUE(MID(Base_Bruta!B374,4,2)),VALUE(LEFT(Base_Bruta!B374,2))))))</f>
        <v>45932</v>
      </c>
      <c r="C374" s="5" t="n">
        <f aca="false">IF($A374="","",IF(ISNUMBER(Base_Bruta!C374),Base_Bruta!C374,IF(MID(Base_Bruta!C374,5,1)="-",DATE(VALUE(LEFT(Base_Bruta!C374,4)),VALUE(MID(Base_Bruta!C374,6,2)),VALUE(RIGHT(Base_Bruta!C374,2))),DATE(VALUE(RIGHT(Base_Bruta!C374,4)),VALUE(MID(Base_Bruta!C374,4,2)),VALUE(LEFT(Base_Bruta!C374,2))))))</f>
        <v>45934</v>
      </c>
      <c r="D374" s="4" t="str">
        <f aca="false">IF($A374="","",TRIM(Base_Bruta!D374))</f>
        <v>Turnê Internacional Pop - SP</v>
      </c>
      <c r="E374" s="4" t="str">
        <f aca="false">IF($A374="","",_xlfn.XLOOKUP(LOWER(TRIM(Base_Bruta!E374)),DePara_Categoria!$A$2:$A$9,DePara_Categoria!$B$2:$B$9,"REVISAR"))</f>
        <v>Show</v>
      </c>
      <c r="F374" s="4" t="str">
        <f aca="false">IF($A374="","",_xlfn.XLOOKUP(LOWER(TRIM(Base_Bruta!F374)),DePara_Cidade!$A$2:$A$29,DePara_Cidade!$B$2:$B$29,"REVISAR"))</f>
        <v>São Paulo</v>
      </c>
      <c r="G374" s="4" t="str">
        <f aca="false">IF($A374="","",TRIM(Base_Bruta!G374))</f>
        <v>Meia</v>
      </c>
      <c r="H374" s="4" t="n">
        <f aca="false">IF($A374="","",IF(ISNUMBER(Base_Bruta!H374),Base_Bruta!H374,IFERROR(_xlfn.NUMBERVALUE(TRIM(SUBSTITUTE(Base_Bruta!H374,"R$","")),",","."),0)))</f>
        <v>1</v>
      </c>
      <c r="I374" s="6" t="n">
        <f aca="false">IF($A374="","",IF(ISNUMBER(Base_Bruta!I374),Base_Bruta!I374,IFERROR(_xlfn.NUMBERVALUE(TRIM(SUBSTITUTE(Base_Bruta!I374,"R$","")),",","."),0)))</f>
        <v>377.5</v>
      </c>
      <c r="J374" s="6" t="n">
        <f aca="false">IF($A374="","",H374*I374)</f>
        <v>377.5</v>
      </c>
      <c r="K374" s="4" t="str">
        <f aca="false">IF($A374="","",TRIM(Base_Bruta!J374))</f>
        <v>App</v>
      </c>
      <c r="L374" s="4" t="str">
        <f aca="false">IF($A374="","",TRIM(Base_Bruta!K374))</f>
        <v>C02419</v>
      </c>
      <c r="M374" s="4" t="str">
        <f aca="false">IF($A374="","",_xlfn.XLOOKUP(LOWER(TRIM(Base_Bruta!L374)),DePara_Cidade!$A$2:$A$29,DePara_Cidade!$B$2:$B$29,"REVISAR"))</f>
        <v>São Paulo</v>
      </c>
      <c r="N374" s="4" t="str">
        <f aca="false">IF($A374="","",UPPER(TRIM(Base_Bruta!M374)))</f>
        <v>SP</v>
      </c>
      <c r="O374" s="4" t="str">
        <f aca="false">IF($A374="","",_xlfn.XLOOKUP(LOWER(TRIM(Base_Bruta!N374)),DePara_Pais!$A$2:$A$9,DePara_Pais!$B$2:$B$9,"REVISAR"))</f>
        <v>Brasil</v>
      </c>
      <c r="P374" s="4" t="str">
        <f aca="false">IF($A374="","",IF(O374&lt;&gt;"Brasil","Turista Internacional",IF(M374=F374,"Local","Turista Nacional")))</f>
        <v>Local</v>
      </c>
      <c r="Q374" s="7" t="n">
        <f aca="false">IF($A374="","",DATE(YEAR(B374),MONTH(B374),1))</f>
        <v>45931</v>
      </c>
      <c r="R374" s="4" t="str">
        <f aca="false">IF($A374="","",IF(COUNTIF($A$2:$A374,$A374)&gt;1,"Sim","Não"))</f>
        <v>Não</v>
      </c>
      <c r="S374" s="4" t="str">
        <f aca="false">IF(A374="","Descartar - Linha vazia",IF(R374="Sim","Descartar - Duplicado",IF(OR(H374&lt;=0,I374&lt;=0),"Descartar - Qtd/Valor inválido","OK")))</f>
        <v>OK</v>
      </c>
      <c r="T374" s="4" t="str">
        <f aca="false">Base_Bruta!P374</f>
        <v>vendas_SP.xlsx</v>
      </c>
    </row>
    <row r="375" customFormat="false" ht="15" hidden="false" customHeight="false" outlineLevel="0" collapsed="false">
      <c r="A375" s="4" t="str">
        <f aca="false">IF(Base_Bruta!A375="","",Base_Bruta!A375)</f>
        <v>SP-000589</v>
      </c>
      <c r="B375" s="5" t="n">
        <f aca="false">IF($A375="","",IF(ISNUMBER(Base_Bruta!B375),Base_Bruta!B375,IF(MID(Base_Bruta!B375,5,1)="-",DATE(VALUE(LEFT(Base_Bruta!B375,4)),VALUE(MID(Base_Bruta!B375,6,2)),VALUE(RIGHT(Base_Bruta!B375,2))),DATE(VALUE(RIGHT(Base_Bruta!B375,4)),VALUE(MID(Base_Bruta!B375,4,2)),VALUE(LEFT(Base_Bruta!B375,2))))))</f>
        <v>45932</v>
      </c>
      <c r="C375" s="5" t="n">
        <f aca="false">IF($A375="","",IF(ISNUMBER(Base_Bruta!C375),Base_Bruta!C375,IF(MID(Base_Bruta!C375,5,1)="-",DATE(VALUE(LEFT(Base_Bruta!C375,4)),VALUE(MID(Base_Bruta!C375,6,2)),VALUE(RIGHT(Base_Bruta!C375,2))),DATE(VALUE(RIGHT(Base_Bruta!C375,4)),VALUE(MID(Base_Bruta!C375,4,2)),VALUE(LEFT(Base_Bruta!C375,2))))))</f>
        <v>45934</v>
      </c>
      <c r="D375" s="4" t="str">
        <f aca="false">IF($A375="","",TRIM(Base_Bruta!D375))</f>
        <v>Turnê Internacional Pop - SP</v>
      </c>
      <c r="E375" s="4" t="str">
        <f aca="false">IF($A375="","",_xlfn.XLOOKUP(LOWER(TRIM(Base_Bruta!E375)),DePara_Categoria!$A$2:$A$9,DePara_Categoria!$B$2:$B$9,"REVISAR"))</f>
        <v>Show</v>
      </c>
      <c r="F375" s="4" t="str">
        <f aca="false">IF($A375="","",_xlfn.XLOOKUP(LOWER(TRIM(Base_Bruta!F375)),DePara_Cidade!$A$2:$A$29,DePara_Cidade!$B$2:$B$29,"REVISAR"))</f>
        <v>São Paulo</v>
      </c>
      <c r="G375" s="4" t="str">
        <f aca="false">IF($A375="","",TRIM(Base_Bruta!G375))</f>
        <v>VIP</v>
      </c>
      <c r="H375" s="4" t="n">
        <f aca="false">IF($A375="","",IF(ISNUMBER(Base_Bruta!H375),Base_Bruta!H375,IFERROR(_xlfn.NUMBERVALUE(TRIM(SUBSTITUTE(Base_Bruta!H375,"R$","")),",","."),0)))</f>
        <v>4</v>
      </c>
      <c r="I375" s="6" t="n">
        <f aca="false">IF($A375="","",IF(ISNUMBER(Base_Bruta!I375),Base_Bruta!I375,IFERROR(_xlfn.NUMBERVALUE(TRIM(SUBSTITUTE(Base_Bruta!I375,"R$","")),",","."),0)))</f>
        <v>1350</v>
      </c>
      <c r="J375" s="6" t="n">
        <f aca="false">IF($A375="","",H375*I375)</f>
        <v>5400</v>
      </c>
      <c r="K375" s="4" t="str">
        <f aca="false">IF($A375="","",TRIM(Base_Bruta!J375))</f>
        <v>Site</v>
      </c>
      <c r="L375" s="4" t="str">
        <f aca="false">IF($A375="","",TRIM(Base_Bruta!K375))</f>
        <v>C01112</v>
      </c>
      <c r="M375" s="4" t="str">
        <f aca="false">IF($A375="","",_xlfn.XLOOKUP(LOWER(TRIM(Base_Bruta!L375)),DePara_Cidade!$A$2:$A$29,DePara_Cidade!$B$2:$B$29,"REVISAR"))</f>
        <v>São Paulo</v>
      </c>
      <c r="N375" s="4" t="str">
        <f aca="false">IF($A375="","",UPPER(TRIM(Base_Bruta!M375)))</f>
        <v>SP</v>
      </c>
      <c r="O375" s="4" t="str">
        <f aca="false">IF($A375="","",_xlfn.XLOOKUP(LOWER(TRIM(Base_Bruta!N375)),DePara_Pais!$A$2:$A$9,DePara_Pais!$B$2:$B$9,"REVISAR"))</f>
        <v>Brasil</v>
      </c>
      <c r="P375" s="4" t="str">
        <f aca="false">IF($A375="","",IF(O375&lt;&gt;"Brasil","Turista Internacional",IF(M375=F375,"Local","Turista Nacional")))</f>
        <v>Local</v>
      </c>
      <c r="Q375" s="7" t="n">
        <f aca="false">IF($A375="","",DATE(YEAR(B375),MONTH(B375),1))</f>
        <v>45931</v>
      </c>
      <c r="R375" s="4" t="str">
        <f aca="false">IF($A375="","",IF(COUNTIF($A$2:$A375,$A375)&gt;1,"Sim","Não"))</f>
        <v>Não</v>
      </c>
      <c r="S375" s="4" t="str">
        <f aca="false">IF(A375="","Descartar - Linha vazia",IF(R375="Sim","Descartar - Duplicado",IF(OR(H375&lt;=0,I375&lt;=0),"Descartar - Qtd/Valor inválido","OK")))</f>
        <v>OK</v>
      </c>
      <c r="T375" s="4" t="str">
        <f aca="false">Base_Bruta!P375</f>
        <v>vendas_SP.xlsx</v>
      </c>
    </row>
    <row r="376" customFormat="false" ht="15" hidden="false" customHeight="false" outlineLevel="0" collapsed="false">
      <c r="A376" s="4" t="str">
        <f aca="false">IF(Base_Bruta!A376="","",Base_Bruta!A376)</f>
        <v>SP-000610</v>
      </c>
      <c r="B376" s="5" t="n">
        <f aca="false">IF($A376="","",IF(ISNUMBER(Base_Bruta!B376),Base_Bruta!B376,IF(MID(Base_Bruta!B376,5,1)="-",DATE(VALUE(LEFT(Base_Bruta!B376,4)),VALUE(MID(Base_Bruta!B376,6,2)),VALUE(RIGHT(Base_Bruta!B376,2))),DATE(VALUE(RIGHT(Base_Bruta!B376,4)),VALUE(MID(Base_Bruta!B376,4,2)),VALUE(LEFT(Base_Bruta!B376,2))))))</f>
        <v>45932</v>
      </c>
      <c r="C376" s="5" t="n">
        <f aca="false">IF($A376="","",IF(ISNUMBER(Base_Bruta!C376),Base_Bruta!C376,IF(MID(Base_Bruta!C376,5,1)="-",DATE(VALUE(LEFT(Base_Bruta!C376,4)),VALUE(MID(Base_Bruta!C376,6,2)),VALUE(RIGHT(Base_Bruta!C376,2))),DATE(VALUE(RIGHT(Base_Bruta!C376,4)),VALUE(MID(Base_Bruta!C376,4,2)),VALUE(LEFT(Base_Bruta!C376,2))))))</f>
        <v>45934</v>
      </c>
      <c r="D376" s="4" t="str">
        <f aca="false">IF($A376="","",TRIM(Base_Bruta!D376))</f>
        <v>Turnê Internacional Pop - SP</v>
      </c>
      <c r="E376" s="4" t="str">
        <f aca="false">IF($A376="","",_xlfn.XLOOKUP(LOWER(TRIM(Base_Bruta!E376)),DePara_Categoria!$A$2:$A$9,DePara_Categoria!$B$2:$B$9,"REVISAR"))</f>
        <v>Show</v>
      </c>
      <c r="F376" s="4" t="str">
        <f aca="false">IF($A376="","",_xlfn.XLOOKUP(LOWER(TRIM(Base_Bruta!F376)),DePara_Cidade!$A$2:$A$29,DePara_Cidade!$B$2:$B$29,"REVISAR"))</f>
        <v>São Paulo</v>
      </c>
      <c r="G376" s="4" t="str">
        <f aca="false">IF($A376="","",TRIM(Base_Bruta!G376))</f>
        <v>Inteira</v>
      </c>
      <c r="H376" s="4" t="n">
        <f aca="false">IF($A376="","",IF(ISNUMBER(Base_Bruta!H376),Base_Bruta!H376,IFERROR(_xlfn.NUMBERVALUE(TRIM(SUBSTITUTE(Base_Bruta!H376,"R$","")),",","."),0)))</f>
        <v>2</v>
      </c>
      <c r="I376" s="6" t="n">
        <f aca="false">IF($A376="","",IF(ISNUMBER(Base_Bruta!I376),Base_Bruta!I376,IFERROR(_xlfn.NUMBERVALUE(TRIM(SUBSTITUTE(Base_Bruta!I376,"R$","")),",","."),0)))</f>
        <v>655</v>
      </c>
      <c r="J376" s="6" t="n">
        <f aca="false">IF($A376="","",H376*I376)</f>
        <v>1310</v>
      </c>
      <c r="K376" s="4" t="str">
        <f aca="false">IF($A376="","",TRIM(Base_Bruta!J376))</f>
        <v>Site</v>
      </c>
      <c r="L376" s="4" t="str">
        <f aca="false">IF($A376="","",TRIM(Base_Bruta!K376))</f>
        <v>C00233</v>
      </c>
      <c r="M376" s="4" t="str">
        <f aca="false">IF($A376="","",_xlfn.XLOOKUP(LOWER(TRIM(Base_Bruta!L376)),DePara_Cidade!$A$2:$A$29,DePara_Cidade!$B$2:$B$29,"REVISAR"))</f>
        <v>São Paulo</v>
      </c>
      <c r="N376" s="4" t="str">
        <f aca="false">IF($A376="","",UPPER(TRIM(Base_Bruta!M376)))</f>
        <v>SP</v>
      </c>
      <c r="O376" s="4" t="str">
        <f aca="false">IF($A376="","",_xlfn.XLOOKUP(LOWER(TRIM(Base_Bruta!N376)),DePara_Pais!$A$2:$A$9,DePara_Pais!$B$2:$B$9,"REVISAR"))</f>
        <v>Brasil</v>
      </c>
      <c r="P376" s="4" t="str">
        <f aca="false">IF($A376="","",IF(O376&lt;&gt;"Brasil","Turista Internacional",IF(M376=F376,"Local","Turista Nacional")))</f>
        <v>Local</v>
      </c>
      <c r="Q376" s="7" t="n">
        <f aca="false">IF($A376="","",DATE(YEAR(B376),MONTH(B376),1))</f>
        <v>45931</v>
      </c>
      <c r="R376" s="4" t="str">
        <f aca="false">IF($A376="","",IF(COUNTIF($A$2:$A376,$A376)&gt;1,"Sim","Não"))</f>
        <v>Não</v>
      </c>
      <c r="S376" s="4" t="str">
        <f aca="false">IF(A376="","Descartar - Linha vazia",IF(R376="Sim","Descartar - Duplicado",IF(OR(H376&lt;=0,I376&lt;=0),"Descartar - Qtd/Valor inválido","OK")))</f>
        <v>OK</v>
      </c>
      <c r="T376" s="4" t="str">
        <f aca="false">Base_Bruta!P376</f>
        <v>vendas_SP.xlsx</v>
      </c>
    </row>
    <row r="377" customFormat="false" ht="15" hidden="false" customHeight="false" outlineLevel="0" collapsed="false">
      <c r="A377" s="4" t="str">
        <f aca="false">IF(Base_Bruta!A377="","",Base_Bruta!A377)</f>
        <v>SP-000049</v>
      </c>
      <c r="B377" s="5" t="n">
        <f aca="false">IF($A377="","",IF(ISNUMBER(Base_Bruta!B377),Base_Bruta!B377,IF(MID(Base_Bruta!B377,5,1)="-",DATE(VALUE(LEFT(Base_Bruta!B377,4)),VALUE(MID(Base_Bruta!B377,6,2)),VALUE(RIGHT(Base_Bruta!B377,2))),DATE(VALUE(RIGHT(Base_Bruta!B377,4)),VALUE(MID(Base_Bruta!B377,4,2)),VALUE(LEFT(Base_Bruta!B377,2))))))</f>
        <v>45933</v>
      </c>
      <c r="C377" s="5" t="n">
        <f aca="false">IF($A377="","",IF(ISNUMBER(Base_Bruta!C377),Base_Bruta!C377,IF(MID(Base_Bruta!C377,5,1)="-",DATE(VALUE(LEFT(Base_Bruta!C377,4)),VALUE(MID(Base_Bruta!C377,6,2)),VALUE(RIGHT(Base_Bruta!C377,2))),DATE(VALUE(RIGHT(Base_Bruta!C377,4)),VALUE(MID(Base_Bruta!C377,4,2)),VALUE(LEFT(Base_Bruta!C377,2))))))</f>
        <v>45976</v>
      </c>
      <c r="D377" s="4" t="str">
        <f aca="false">IF($A377="","",TRIM(Base_Bruta!D377))</f>
        <v>Festival Sonora SP 2025</v>
      </c>
      <c r="E377" s="4" t="str">
        <f aca="false">IF($A377="","",_xlfn.XLOOKUP(LOWER(TRIM(Base_Bruta!E377)),DePara_Categoria!$A$2:$A$9,DePara_Categoria!$B$2:$B$9,"REVISAR"))</f>
        <v>Festival</v>
      </c>
      <c r="F377" s="4" t="str">
        <f aca="false">IF($A377="","",_xlfn.XLOOKUP(LOWER(TRIM(Base_Bruta!F377)),DePara_Cidade!$A$2:$A$29,DePara_Cidade!$B$2:$B$29,"REVISAR"))</f>
        <v>São Paulo</v>
      </c>
      <c r="G377" s="4" t="str">
        <f aca="false">IF($A377="","",TRIM(Base_Bruta!G377))</f>
        <v>Inteira</v>
      </c>
      <c r="H377" s="4" t="n">
        <f aca="false">IF($A377="","",IF(ISNUMBER(Base_Bruta!H377),Base_Bruta!H377,IFERROR(_xlfn.NUMBERVALUE(TRIM(SUBSTITUTE(Base_Bruta!H377,"R$","")),",","."),0)))</f>
        <v>1</v>
      </c>
      <c r="I377" s="6" t="n">
        <f aca="false">IF($A377="","",IF(ISNUMBER(Base_Bruta!I377),Base_Bruta!I377,IFERROR(_xlfn.NUMBERVALUE(TRIM(SUBSTITUTE(Base_Bruta!I377,"R$","")),",","."),0)))</f>
        <v>700</v>
      </c>
      <c r="J377" s="6" t="n">
        <f aca="false">IF($A377="","",H377*I377)</f>
        <v>700</v>
      </c>
      <c r="K377" s="4" t="str">
        <f aca="false">IF($A377="","",TRIM(Base_Bruta!J377))</f>
        <v>Site</v>
      </c>
      <c r="L377" s="4" t="str">
        <f aca="false">IF($A377="","",TRIM(Base_Bruta!K377))</f>
        <v>C01923</v>
      </c>
      <c r="M377" s="4" t="str">
        <f aca="false">IF($A377="","",_xlfn.XLOOKUP(LOWER(TRIM(Base_Bruta!L377)),DePara_Cidade!$A$2:$A$29,DePara_Cidade!$B$2:$B$29,"REVISAR"))</f>
        <v>Santos</v>
      </c>
      <c r="N377" s="4" t="str">
        <f aca="false">IF($A377="","",UPPER(TRIM(Base_Bruta!M377)))</f>
        <v>SP</v>
      </c>
      <c r="O377" s="4" t="str">
        <f aca="false">IF($A377="","",_xlfn.XLOOKUP(LOWER(TRIM(Base_Bruta!N377)),DePara_Pais!$A$2:$A$9,DePara_Pais!$B$2:$B$9,"REVISAR"))</f>
        <v>Brasil</v>
      </c>
      <c r="P377" s="4" t="str">
        <f aca="false">IF($A377="","",IF(O377&lt;&gt;"Brasil","Turista Internacional",IF(M377=F377,"Local","Turista Nacional")))</f>
        <v>Turista Nacional</v>
      </c>
      <c r="Q377" s="7" t="n">
        <f aca="false">IF($A377="","",DATE(YEAR(B377),MONTH(B377),1))</f>
        <v>45931</v>
      </c>
      <c r="R377" s="4" t="str">
        <f aca="false">IF($A377="","",IF(COUNTIF($A$2:$A377,$A377)&gt;1,"Sim","Não"))</f>
        <v>Não</v>
      </c>
      <c r="S377" s="4" t="str">
        <f aca="false">IF(A377="","Descartar - Linha vazia",IF(R377="Sim","Descartar - Duplicado",IF(OR(H377&lt;=0,I377&lt;=0),"Descartar - Qtd/Valor inválido","OK")))</f>
        <v>OK</v>
      </c>
      <c r="T377" s="4" t="str">
        <f aca="false">Base_Bruta!P377</f>
        <v>vendas_SP.xlsx</v>
      </c>
    </row>
    <row r="378" customFormat="false" ht="15" hidden="false" customHeight="false" outlineLevel="0" collapsed="false">
      <c r="A378" s="4" t="str">
        <f aca="false">IF(Base_Bruta!A378="","",Base_Bruta!A378)</f>
        <v>SP-000174</v>
      </c>
      <c r="B378" s="5" t="n">
        <f aca="false">IF($A378="","",IF(ISNUMBER(Base_Bruta!B378),Base_Bruta!B378,IF(MID(Base_Bruta!B378,5,1)="-",DATE(VALUE(LEFT(Base_Bruta!B378,4)),VALUE(MID(Base_Bruta!B378,6,2)),VALUE(RIGHT(Base_Bruta!B378,2))),DATE(VALUE(RIGHT(Base_Bruta!B378,4)),VALUE(MID(Base_Bruta!B378,4,2)),VALUE(LEFT(Base_Bruta!B378,2))))))</f>
        <v>45933</v>
      </c>
      <c r="C378" s="5" t="n">
        <f aca="false">IF($A378="","",IF(ISNUMBER(Base_Bruta!C378),Base_Bruta!C378,IF(MID(Base_Bruta!C378,5,1)="-",DATE(VALUE(LEFT(Base_Bruta!C378,4)),VALUE(MID(Base_Bruta!C378,6,2)),VALUE(RIGHT(Base_Bruta!C378,2))),DATE(VALUE(RIGHT(Base_Bruta!C378,4)),VALUE(MID(Base_Bruta!C378,4,2)),VALUE(LEFT(Base_Bruta!C378,2))))))</f>
        <v>45976</v>
      </c>
      <c r="D378" s="4" t="str">
        <f aca="false">IF($A378="","",TRIM(Base_Bruta!D378))</f>
        <v>Festival Sonora SP 2025</v>
      </c>
      <c r="E378" s="4" t="str">
        <f aca="false">IF($A378="","",_xlfn.XLOOKUP(LOWER(TRIM(Base_Bruta!E378)),DePara_Categoria!$A$2:$A$9,DePara_Categoria!$B$2:$B$9,"REVISAR"))</f>
        <v>Festival</v>
      </c>
      <c r="F378" s="4" t="str">
        <f aca="false">IF($A378="","",_xlfn.XLOOKUP(LOWER(TRIM(Base_Bruta!F378)),DePara_Cidade!$A$2:$A$29,DePara_Cidade!$B$2:$B$29,"REVISAR"))</f>
        <v>São Paulo</v>
      </c>
      <c r="G378" s="4" t="str">
        <f aca="false">IF($A378="","",TRIM(Base_Bruta!G378))</f>
        <v>Inteira</v>
      </c>
      <c r="H378" s="4" t="n">
        <f aca="false">IF($A378="","",IF(ISNUMBER(Base_Bruta!H378),Base_Bruta!H378,IFERROR(_xlfn.NUMBERVALUE(TRIM(SUBSTITUTE(Base_Bruta!H378,"R$","")),",","."),0)))</f>
        <v>1</v>
      </c>
      <c r="I378" s="6" t="n">
        <f aca="false">IF($A378="","",IF(ISNUMBER(Base_Bruta!I378),Base_Bruta!I378,IFERROR(_xlfn.NUMBERVALUE(TRIM(SUBSTITUTE(Base_Bruta!I378,"R$","")),",","."),0)))</f>
        <v>985</v>
      </c>
      <c r="J378" s="6" t="n">
        <f aca="false">IF($A378="","",H378*I378)</f>
        <v>985</v>
      </c>
      <c r="K378" s="4" t="str">
        <f aca="false">IF($A378="","",TRIM(Base_Bruta!J378))</f>
        <v>Parceiro</v>
      </c>
      <c r="L378" s="4" t="str">
        <f aca="false">IF($A378="","",TRIM(Base_Bruta!K378))</f>
        <v>C01879</v>
      </c>
      <c r="M378" s="4" t="str">
        <f aca="false">IF($A378="","",_xlfn.XLOOKUP(LOWER(TRIM(Base_Bruta!L378)),DePara_Cidade!$A$2:$A$29,DePara_Cidade!$B$2:$B$29,"REVISAR"))</f>
        <v>São Paulo</v>
      </c>
      <c r="N378" s="4" t="str">
        <f aca="false">IF($A378="","",UPPER(TRIM(Base_Bruta!M378)))</f>
        <v>SP</v>
      </c>
      <c r="O378" s="4" t="str">
        <f aca="false">IF($A378="","",_xlfn.XLOOKUP(LOWER(TRIM(Base_Bruta!N378)),DePara_Pais!$A$2:$A$9,DePara_Pais!$B$2:$B$9,"REVISAR"))</f>
        <v>Brasil</v>
      </c>
      <c r="P378" s="4" t="str">
        <f aca="false">IF($A378="","",IF(O378&lt;&gt;"Brasil","Turista Internacional",IF(M378=F378,"Local","Turista Nacional")))</f>
        <v>Local</v>
      </c>
      <c r="Q378" s="7" t="n">
        <f aca="false">IF($A378="","",DATE(YEAR(B378),MONTH(B378),1))</f>
        <v>45931</v>
      </c>
      <c r="R378" s="4" t="str">
        <f aca="false">IF($A378="","",IF(COUNTIF($A$2:$A378,$A378)&gt;1,"Sim","Não"))</f>
        <v>Não</v>
      </c>
      <c r="S378" s="4" t="str">
        <f aca="false">IF(A378="","Descartar - Linha vazia",IF(R378="Sim","Descartar - Duplicado",IF(OR(H378&lt;=0,I378&lt;=0),"Descartar - Qtd/Valor inválido","OK")))</f>
        <v>OK</v>
      </c>
      <c r="T378" s="4" t="str">
        <f aca="false">Base_Bruta!P378</f>
        <v>vendas_SP.xlsx</v>
      </c>
    </row>
    <row r="379" customFormat="false" ht="15" hidden="false" customHeight="false" outlineLevel="0" collapsed="false">
      <c r="A379" s="4" t="str">
        <f aca="false">IF(Base_Bruta!A379="","",Base_Bruta!A379)</f>
        <v>SP-000467</v>
      </c>
      <c r="B379" s="5" t="n">
        <f aca="false">IF($A379="","",IF(ISNUMBER(Base_Bruta!B379),Base_Bruta!B379,IF(MID(Base_Bruta!B379,5,1)="-",DATE(VALUE(LEFT(Base_Bruta!B379,4)),VALUE(MID(Base_Bruta!B379,6,2)),VALUE(RIGHT(Base_Bruta!B379,2))),DATE(VALUE(RIGHT(Base_Bruta!B379,4)),VALUE(MID(Base_Bruta!B379,4,2)),VALUE(LEFT(Base_Bruta!B379,2))))))</f>
        <v>45933</v>
      </c>
      <c r="C379" s="5" t="n">
        <f aca="false">IF($A379="","",IF(ISNUMBER(Base_Bruta!C379),Base_Bruta!C379,IF(MID(Base_Bruta!C379,5,1)="-",DATE(VALUE(LEFT(Base_Bruta!C379,4)),VALUE(MID(Base_Bruta!C379,6,2)),VALUE(RIGHT(Base_Bruta!C379,2))),DATE(VALUE(RIGHT(Base_Bruta!C379,4)),VALUE(MID(Base_Bruta!C379,4,2)),VALUE(LEFT(Base_Bruta!C379,2))))))</f>
        <v>45934</v>
      </c>
      <c r="D379" s="4" t="str">
        <f aca="false">IF($A379="","",TRIM(Base_Bruta!D379))</f>
        <v>Turnê Internacional Pop - SP</v>
      </c>
      <c r="E379" s="4" t="str">
        <f aca="false">IF($A379="","",_xlfn.XLOOKUP(LOWER(TRIM(Base_Bruta!E379)),DePara_Categoria!$A$2:$A$9,DePara_Categoria!$B$2:$B$9,"REVISAR"))</f>
        <v>Show</v>
      </c>
      <c r="F379" s="4" t="str">
        <f aca="false">IF($A379="","",_xlfn.XLOOKUP(LOWER(TRIM(Base_Bruta!F379)),DePara_Cidade!$A$2:$A$29,DePara_Cidade!$B$2:$B$29,"REVISAR"))</f>
        <v>São Paulo</v>
      </c>
      <c r="G379" s="4" t="str">
        <f aca="false">IF($A379="","",TRIM(Base_Bruta!G379))</f>
        <v>Inteira</v>
      </c>
      <c r="H379" s="4" t="n">
        <f aca="false">IF($A379="","",IF(ISNUMBER(Base_Bruta!H379),Base_Bruta!H379,IFERROR(_xlfn.NUMBERVALUE(TRIM(SUBSTITUTE(Base_Bruta!H379,"R$","")),",","."),0)))</f>
        <v>3</v>
      </c>
      <c r="I379" s="6" t="n">
        <f aca="false">IF($A379="","",IF(ISNUMBER(Base_Bruta!I379),Base_Bruta!I379,IFERROR(_xlfn.NUMBERVALUE(TRIM(SUBSTITUTE(Base_Bruta!I379,"R$","")),",","."),0)))</f>
        <v>390</v>
      </c>
      <c r="J379" s="6" t="n">
        <f aca="false">IF($A379="","",H379*I379)</f>
        <v>1170</v>
      </c>
      <c r="K379" s="4" t="str">
        <f aca="false">IF($A379="","",TRIM(Base_Bruta!J379))</f>
        <v>Site</v>
      </c>
      <c r="L379" s="4" t="str">
        <f aca="false">IF($A379="","",TRIM(Base_Bruta!K379))</f>
        <v>C01089</v>
      </c>
      <c r="M379" s="4" t="str">
        <f aca="false">IF($A379="","",_xlfn.XLOOKUP(LOWER(TRIM(Base_Bruta!L379)),DePara_Cidade!$A$2:$A$29,DePara_Cidade!$B$2:$B$29,"REVISAR"))</f>
        <v>São Paulo</v>
      </c>
      <c r="N379" s="4" t="str">
        <f aca="false">IF($A379="","",UPPER(TRIM(Base_Bruta!M379)))</f>
        <v>SP</v>
      </c>
      <c r="O379" s="4" t="str">
        <f aca="false">IF($A379="","",_xlfn.XLOOKUP(LOWER(TRIM(Base_Bruta!N379)),DePara_Pais!$A$2:$A$9,DePara_Pais!$B$2:$B$9,"REVISAR"))</f>
        <v>Brasil</v>
      </c>
      <c r="P379" s="4" t="str">
        <f aca="false">IF($A379="","",IF(O379&lt;&gt;"Brasil","Turista Internacional",IF(M379=F379,"Local","Turista Nacional")))</f>
        <v>Local</v>
      </c>
      <c r="Q379" s="7" t="n">
        <f aca="false">IF($A379="","",DATE(YEAR(B379),MONTH(B379),1))</f>
        <v>45931</v>
      </c>
      <c r="R379" s="4" t="str">
        <f aca="false">IF($A379="","",IF(COUNTIF($A$2:$A379,$A379)&gt;1,"Sim","Não"))</f>
        <v>Não</v>
      </c>
      <c r="S379" s="4" t="str">
        <f aca="false">IF(A379="","Descartar - Linha vazia",IF(R379="Sim","Descartar - Duplicado",IF(OR(H379&lt;=0,I379&lt;=0),"Descartar - Qtd/Valor inválido","OK")))</f>
        <v>OK</v>
      </c>
      <c r="T379" s="4" t="str">
        <f aca="false">Base_Bruta!P379</f>
        <v>vendas_SP.xlsx</v>
      </c>
    </row>
    <row r="380" customFormat="false" ht="15" hidden="false" customHeight="false" outlineLevel="0" collapsed="false">
      <c r="A380" s="4" t="str">
        <f aca="false">IF(Base_Bruta!A380="","",Base_Bruta!A380)</f>
        <v>SP-000512</v>
      </c>
      <c r="B380" s="5" t="n">
        <f aca="false">IF($A380="","",IF(ISNUMBER(Base_Bruta!B380),Base_Bruta!B380,IF(MID(Base_Bruta!B380,5,1)="-",DATE(VALUE(LEFT(Base_Bruta!B380,4)),VALUE(MID(Base_Bruta!B380,6,2)),VALUE(RIGHT(Base_Bruta!B380,2))),DATE(VALUE(RIGHT(Base_Bruta!B380,4)),VALUE(MID(Base_Bruta!B380,4,2)),VALUE(LEFT(Base_Bruta!B380,2))))))</f>
        <v>45933</v>
      </c>
      <c r="C380" s="5" t="n">
        <f aca="false">IF($A380="","",IF(ISNUMBER(Base_Bruta!C380),Base_Bruta!C380,IF(MID(Base_Bruta!C380,5,1)="-",DATE(VALUE(LEFT(Base_Bruta!C380,4)),VALUE(MID(Base_Bruta!C380,6,2)),VALUE(RIGHT(Base_Bruta!C380,2))),DATE(VALUE(RIGHT(Base_Bruta!C380,4)),VALUE(MID(Base_Bruta!C380,4,2)),VALUE(LEFT(Base_Bruta!C380,2))))))</f>
        <v>45934</v>
      </c>
      <c r="D380" s="4" t="str">
        <f aca="false">IF($A380="","",TRIM(Base_Bruta!D380))</f>
        <v>Turnê Internacional Pop - SP</v>
      </c>
      <c r="E380" s="4" t="str">
        <f aca="false">IF($A380="","",_xlfn.XLOOKUP(LOWER(TRIM(Base_Bruta!E380)),DePara_Categoria!$A$2:$A$9,DePara_Categoria!$B$2:$B$9,"REVISAR"))</f>
        <v>Show</v>
      </c>
      <c r="F380" s="4" t="str">
        <f aca="false">IF($A380="","",_xlfn.XLOOKUP(LOWER(TRIM(Base_Bruta!F380)),DePara_Cidade!$A$2:$A$29,DePara_Cidade!$B$2:$B$29,"REVISAR"))</f>
        <v>São Paulo</v>
      </c>
      <c r="G380" s="4" t="str">
        <f aca="false">IF($A380="","",TRIM(Base_Bruta!G380))</f>
        <v>Meia</v>
      </c>
      <c r="H380" s="4" t="n">
        <f aca="false">IF($A380="","",IF(ISNUMBER(Base_Bruta!H380),Base_Bruta!H380,IFERROR(_xlfn.NUMBERVALUE(TRIM(SUBSTITUTE(Base_Bruta!H380,"R$","")),",","."),0)))</f>
        <v>2</v>
      </c>
      <c r="I380" s="6" t="n">
        <f aca="false">IF($A380="","",IF(ISNUMBER(Base_Bruta!I380),Base_Bruta!I380,IFERROR(_xlfn.NUMBERVALUE(TRIM(SUBSTITUTE(Base_Bruta!I380,"R$","")),",","."),0)))</f>
        <v>240</v>
      </c>
      <c r="J380" s="6" t="n">
        <f aca="false">IF($A380="","",H380*I380)</f>
        <v>480</v>
      </c>
      <c r="K380" s="4" t="str">
        <f aca="false">IF($A380="","",TRIM(Base_Bruta!J380))</f>
        <v>Site</v>
      </c>
      <c r="L380" s="4" t="str">
        <f aca="false">IF($A380="","",TRIM(Base_Bruta!K380))</f>
        <v>C00670</v>
      </c>
      <c r="M380" s="4" t="str">
        <f aca="false">IF($A380="","",_xlfn.XLOOKUP(LOWER(TRIM(Base_Bruta!L380)),DePara_Cidade!$A$2:$A$29,DePara_Cidade!$B$2:$B$29,"REVISAR"))</f>
        <v>São Paulo</v>
      </c>
      <c r="N380" s="4" t="str">
        <f aca="false">IF($A380="","",UPPER(TRIM(Base_Bruta!M380)))</f>
        <v>SP</v>
      </c>
      <c r="O380" s="4" t="str">
        <f aca="false">IF($A380="","",_xlfn.XLOOKUP(LOWER(TRIM(Base_Bruta!N380)),DePara_Pais!$A$2:$A$9,DePara_Pais!$B$2:$B$9,"REVISAR"))</f>
        <v>Brasil</v>
      </c>
      <c r="P380" s="4" t="str">
        <f aca="false">IF($A380="","",IF(O380&lt;&gt;"Brasil","Turista Internacional",IF(M380=F380,"Local","Turista Nacional")))</f>
        <v>Local</v>
      </c>
      <c r="Q380" s="7" t="n">
        <f aca="false">IF($A380="","",DATE(YEAR(B380),MONTH(B380),1))</f>
        <v>45931</v>
      </c>
      <c r="R380" s="4" t="str">
        <f aca="false">IF($A380="","",IF(COUNTIF($A$2:$A380,$A380)&gt;1,"Sim","Não"))</f>
        <v>Não</v>
      </c>
      <c r="S380" s="4" t="str">
        <f aca="false">IF(A380="","Descartar - Linha vazia",IF(R380="Sim","Descartar - Duplicado",IF(OR(H380&lt;=0,I380&lt;=0),"Descartar - Qtd/Valor inválido","OK")))</f>
        <v>OK</v>
      </c>
      <c r="T380" s="4" t="str">
        <f aca="false">Base_Bruta!P380</f>
        <v>vendas_SP.xlsx</v>
      </c>
    </row>
    <row r="381" customFormat="false" ht="15" hidden="false" customHeight="false" outlineLevel="0" collapsed="false">
      <c r="A381" s="4" t="str">
        <f aca="false">IF(Base_Bruta!A381="","",Base_Bruta!A381)</f>
        <v>SP-000539</v>
      </c>
      <c r="B381" s="5" t="n">
        <f aca="false">IF($A381="","",IF(ISNUMBER(Base_Bruta!B381),Base_Bruta!B381,IF(MID(Base_Bruta!B381,5,1)="-",DATE(VALUE(LEFT(Base_Bruta!B381,4)),VALUE(MID(Base_Bruta!B381,6,2)),VALUE(RIGHT(Base_Bruta!B381,2))),DATE(VALUE(RIGHT(Base_Bruta!B381,4)),VALUE(MID(Base_Bruta!B381,4,2)),VALUE(LEFT(Base_Bruta!B381,2))))))</f>
        <v>45933</v>
      </c>
      <c r="C381" s="5" t="n">
        <f aca="false">IF($A381="","",IF(ISNUMBER(Base_Bruta!C381),Base_Bruta!C381,IF(MID(Base_Bruta!C381,5,1)="-",DATE(VALUE(LEFT(Base_Bruta!C381,4)),VALUE(MID(Base_Bruta!C381,6,2)),VALUE(RIGHT(Base_Bruta!C381,2))),DATE(VALUE(RIGHT(Base_Bruta!C381,4)),VALUE(MID(Base_Bruta!C381,4,2)),VALUE(LEFT(Base_Bruta!C381,2))))))</f>
        <v>45934</v>
      </c>
      <c r="D381" s="4" t="str">
        <f aca="false">IF($A381="","",TRIM(Base_Bruta!D381))</f>
        <v>Turnê Internacional Pop - SP</v>
      </c>
      <c r="E381" s="4" t="str">
        <f aca="false">IF($A381="","",_xlfn.XLOOKUP(LOWER(TRIM(Base_Bruta!E381)),DePara_Categoria!$A$2:$A$9,DePara_Categoria!$B$2:$B$9,"REVISAR"))</f>
        <v>Show</v>
      </c>
      <c r="F381" s="4" t="str">
        <f aca="false">IF($A381="","",_xlfn.XLOOKUP(LOWER(TRIM(Base_Bruta!F381)),DePara_Cidade!$A$2:$A$29,DePara_Cidade!$B$2:$B$29,"REVISAR"))</f>
        <v>São Paulo</v>
      </c>
      <c r="G381" s="4" t="str">
        <f aca="false">IF($A381="","",TRIM(Base_Bruta!G381))</f>
        <v>VIP</v>
      </c>
      <c r="H381" s="4" t="n">
        <f aca="false">IF($A381="","",IF(ISNUMBER(Base_Bruta!H381),Base_Bruta!H381,IFERROR(_xlfn.NUMBERVALUE(TRIM(SUBSTITUTE(Base_Bruta!H381,"R$","")),",","."),0)))</f>
        <v>1</v>
      </c>
      <c r="I381" s="6" t="n">
        <f aca="false">IF($A381="","",IF(ISNUMBER(Base_Bruta!I381),Base_Bruta!I381,IFERROR(_xlfn.NUMBERVALUE(TRIM(SUBSTITUTE(Base_Bruta!I381,"R$","")),",","."),0)))</f>
        <v>1140</v>
      </c>
      <c r="J381" s="6" t="n">
        <f aca="false">IF($A381="","",H381*I381)</f>
        <v>1140</v>
      </c>
      <c r="K381" s="4" t="str">
        <f aca="false">IF($A381="","",TRIM(Base_Bruta!J381))</f>
        <v>Site</v>
      </c>
      <c r="L381" s="4" t="str">
        <f aca="false">IF($A381="","",TRIM(Base_Bruta!K381))</f>
        <v>C02063</v>
      </c>
      <c r="M381" s="4" t="str">
        <f aca="false">IF($A381="","",_xlfn.XLOOKUP(LOWER(TRIM(Base_Bruta!L381)),DePara_Cidade!$A$2:$A$29,DePara_Cidade!$B$2:$B$29,"REVISAR"))</f>
        <v>São Paulo</v>
      </c>
      <c r="N381" s="4" t="str">
        <f aca="false">IF($A381="","",UPPER(TRIM(Base_Bruta!M381)))</f>
        <v>SP</v>
      </c>
      <c r="O381" s="4" t="str">
        <f aca="false">IF($A381="","",_xlfn.XLOOKUP(LOWER(TRIM(Base_Bruta!N381)),DePara_Pais!$A$2:$A$9,DePara_Pais!$B$2:$B$9,"REVISAR"))</f>
        <v>Brasil</v>
      </c>
      <c r="P381" s="4" t="str">
        <f aca="false">IF($A381="","",IF(O381&lt;&gt;"Brasil","Turista Internacional",IF(M381=F381,"Local","Turista Nacional")))</f>
        <v>Local</v>
      </c>
      <c r="Q381" s="7" t="n">
        <f aca="false">IF($A381="","",DATE(YEAR(B381),MONTH(B381),1))</f>
        <v>45931</v>
      </c>
      <c r="R381" s="4" t="str">
        <f aca="false">IF($A381="","",IF(COUNTIF($A$2:$A381,$A381)&gt;1,"Sim","Não"))</f>
        <v>Não</v>
      </c>
      <c r="S381" s="4" t="str">
        <f aca="false">IF(A381="","Descartar - Linha vazia",IF(R381="Sim","Descartar - Duplicado",IF(OR(H381&lt;=0,I381&lt;=0),"Descartar - Qtd/Valor inválido","OK")))</f>
        <v>OK</v>
      </c>
      <c r="T381" s="4" t="str">
        <f aca="false">Base_Bruta!P381</f>
        <v>vendas_SP.xlsx</v>
      </c>
    </row>
    <row r="382" customFormat="false" ht="15" hidden="false" customHeight="false" outlineLevel="0" collapsed="false">
      <c r="A382" s="4" t="str">
        <f aca="false">IF(Base_Bruta!A382="","",Base_Bruta!A382)</f>
        <v>SP-000594</v>
      </c>
      <c r="B382" s="5" t="n">
        <f aca="false">IF($A382="","",IF(ISNUMBER(Base_Bruta!B382),Base_Bruta!B382,IF(MID(Base_Bruta!B382,5,1)="-",DATE(VALUE(LEFT(Base_Bruta!B382,4)),VALUE(MID(Base_Bruta!B382,6,2)),VALUE(RIGHT(Base_Bruta!B382,2))),DATE(VALUE(RIGHT(Base_Bruta!B382,4)),VALUE(MID(Base_Bruta!B382,4,2)),VALUE(LEFT(Base_Bruta!B382,2))))))</f>
        <v>45933</v>
      </c>
      <c r="C382" s="5" t="n">
        <f aca="false">IF($A382="","",IF(ISNUMBER(Base_Bruta!C382),Base_Bruta!C382,IF(MID(Base_Bruta!C382,5,1)="-",DATE(VALUE(LEFT(Base_Bruta!C382,4)),VALUE(MID(Base_Bruta!C382,6,2)),VALUE(RIGHT(Base_Bruta!C382,2))),DATE(VALUE(RIGHT(Base_Bruta!C382,4)),VALUE(MID(Base_Bruta!C382,4,2)),VALUE(LEFT(Base_Bruta!C382,2))))))</f>
        <v>45934</v>
      </c>
      <c r="D382" s="4" t="str">
        <f aca="false">IF($A382="","",TRIM(Base_Bruta!D382))</f>
        <v>Turnê Internacional Pop - SP</v>
      </c>
      <c r="E382" s="4" t="str">
        <f aca="false">IF($A382="","",_xlfn.XLOOKUP(LOWER(TRIM(Base_Bruta!E382)),DePara_Categoria!$A$2:$A$9,DePara_Categoria!$B$2:$B$9,"REVISAR"))</f>
        <v>Show</v>
      </c>
      <c r="F382" s="4" t="str">
        <f aca="false">IF($A382="","",_xlfn.XLOOKUP(LOWER(TRIM(Base_Bruta!F382)),DePara_Cidade!$A$2:$A$29,DePara_Cidade!$B$2:$B$29,"REVISAR"))</f>
        <v>São Paulo</v>
      </c>
      <c r="G382" s="4" t="str">
        <f aca="false">IF($A382="","",TRIM(Base_Bruta!G382))</f>
        <v>Meia</v>
      </c>
      <c r="H382" s="4" t="n">
        <f aca="false">IF($A382="","",IF(ISNUMBER(Base_Bruta!H382),Base_Bruta!H382,IFERROR(_xlfn.NUMBERVALUE(TRIM(SUBSTITUTE(Base_Bruta!H382,"R$","")),",","."),0)))</f>
        <v>3</v>
      </c>
      <c r="I382" s="6" t="n">
        <f aca="false">IF($A382="","",IF(ISNUMBER(Base_Bruta!I382),Base_Bruta!I382,IFERROR(_xlfn.NUMBERVALUE(TRIM(SUBSTITUTE(Base_Bruta!I382,"R$","")),",","."),0)))</f>
        <v>180</v>
      </c>
      <c r="J382" s="6" t="n">
        <f aca="false">IF($A382="","",H382*I382)</f>
        <v>540</v>
      </c>
      <c r="K382" s="4" t="str">
        <f aca="false">IF($A382="","",TRIM(Base_Bruta!J382))</f>
        <v>App</v>
      </c>
      <c r="L382" s="4" t="str">
        <f aca="false">IF($A382="","",TRIM(Base_Bruta!K382))</f>
        <v>C01548</v>
      </c>
      <c r="M382" s="4" t="str">
        <f aca="false">IF($A382="","",_xlfn.XLOOKUP(LOWER(TRIM(Base_Bruta!L382)),DePara_Cidade!$A$2:$A$29,DePara_Cidade!$B$2:$B$29,"REVISAR"))</f>
        <v>São Paulo</v>
      </c>
      <c r="N382" s="4" t="str">
        <f aca="false">IF($A382="","",UPPER(TRIM(Base_Bruta!M382)))</f>
        <v>SP</v>
      </c>
      <c r="O382" s="4" t="str">
        <f aca="false">IF($A382="","",_xlfn.XLOOKUP(LOWER(TRIM(Base_Bruta!N382)),DePara_Pais!$A$2:$A$9,DePara_Pais!$B$2:$B$9,"REVISAR"))</f>
        <v>Brasil</v>
      </c>
      <c r="P382" s="4" t="str">
        <f aca="false">IF($A382="","",IF(O382&lt;&gt;"Brasil","Turista Internacional",IF(M382=F382,"Local","Turista Nacional")))</f>
        <v>Local</v>
      </c>
      <c r="Q382" s="7" t="n">
        <f aca="false">IF($A382="","",DATE(YEAR(B382),MONTH(B382),1))</f>
        <v>45931</v>
      </c>
      <c r="R382" s="4" t="str">
        <f aca="false">IF($A382="","",IF(COUNTIF($A$2:$A382,$A382)&gt;1,"Sim","Não"))</f>
        <v>Não</v>
      </c>
      <c r="S382" s="4" t="str">
        <f aca="false">IF(A382="","Descartar - Linha vazia",IF(R382="Sim","Descartar - Duplicado",IF(OR(H382&lt;=0,I382&lt;=0),"Descartar - Qtd/Valor inválido","OK")))</f>
        <v>OK</v>
      </c>
      <c r="T382" s="4" t="str">
        <f aca="false">Base_Bruta!P382</f>
        <v>vendas_SP.xlsx</v>
      </c>
    </row>
    <row r="383" customFormat="false" ht="15" hidden="false" customHeight="false" outlineLevel="0" collapsed="false">
      <c r="A383" s="4" t="str">
        <f aca="false">IF(Base_Bruta!A383="","",Base_Bruta!A383)</f>
        <v>SP-000659</v>
      </c>
      <c r="B383" s="5" t="n">
        <f aca="false">IF($A383="","",IF(ISNUMBER(Base_Bruta!B383),Base_Bruta!B383,IF(MID(Base_Bruta!B383,5,1)="-",DATE(VALUE(LEFT(Base_Bruta!B383,4)),VALUE(MID(Base_Bruta!B383,6,2)),VALUE(RIGHT(Base_Bruta!B383,2))),DATE(VALUE(RIGHT(Base_Bruta!B383,4)),VALUE(MID(Base_Bruta!B383,4,2)),VALUE(LEFT(Base_Bruta!B383,2))))))</f>
        <v>45933</v>
      </c>
      <c r="C383" s="5" t="n">
        <f aca="false">IF($A383="","",IF(ISNUMBER(Base_Bruta!C383),Base_Bruta!C383,IF(MID(Base_Bruta!C383,5,1)="-",DATE(VALUE(LEFT(Base_Bruta!C383,4)),VALUE(MID(Base_Bruta!C383,6,2)),VALUE(RIGHT(Base_Bruta!C383,2))),DATE(VALUE(RIGHT(Base_Bruta!C383,4)),VALUE(MID(Base_Bruta!C383,4,2)),VALUE(LEFT(Base_Bruta!C383,2))))))</f>
        <v>45933</v>
      </c>
      <c r="D383" s="4" t="str">
        <f aca="false">IF($A383="","",TRIM(Base_Bruta!D383))</f>
        <v>Cinema Paulista - Sessões</v>
      </c>
      <c r="E383" s="4" t="str">
        <f aca="false">IF($A383="","",_xlfn.XLOOKUP(LOWER(TRIM(Base_Bruta!E383)),DePara_Categoria!$A$2:$A$9,DePara_Categoria!$B$2:$B$9,"REVISAR"))</f>
        <v>Cinema</v>
      </c>
      <c r="F383" s="4" t="str">
        <f aca="false">IF($A383="","",_xlfn.XLOOKUP(LOWER(TRIM(Base_Bruta!F383)),DePara_Cidade!$A$2:$A$29,DePara_Cidade!$B$2:$B$29,"REVISAR"))</f>
        <v>São Paulo</v>
      </c>
      <c r="G383" s="4" t="str">
        <f aca="false">IF($A383="","",TRIM(Base_Bruta!G383))</f>
        <v>Meia</v>
      </c>
      <c r="H383" s="4" t="n">
        <f aca="false">IF($A383="","",IF(ISNUMBER(Base_Bruta!H383),Base_Bruta!H383,IFERROR(_xlfn.NUMBERVALUE(TRIM(SUBSTITUTE(Base_Bruta!H383,"R$","")),",","."),0)))</f>
        <v>1</v>
      </c>
      <c r="I383" s="6" t="n">
        <f aca="false">IF($A383="","",IF(ISNUMBER(Base_Bruta!I383),Base_Bruta!I383,IFERROR(_xlfn.NUMBERVALUE(TRIM(SUBSTITUTE(Base_Bruta!I383,"R$","")),",","."),0)))</f>
        <v>22.5</v>
      </c>
      <c r="J383" s="6" t="n">
        <f aca="false">IF($A383="","",H383*I383)</f>
        <v>22.5</v>
      </c>
      <c r="K383" s="4" t="str">
        <f aca="false">IF($A383="","",TRIM(Base_Bruta!J383))</f>
        <v>App</v>
      </c>
      <c r="L383" s="4" t="str">
        <f aca="false">IF($A383="","",TRIM(Base_Bruta!K383))</f>
        <v>C00502</v>
      </c>
      <c r="M383" s="4" t="str">
        <f aca="false">IF($A383="","",_xlfn.XLOOKUP(LOWER(TRIM(Base_Bruta!L383)),DePara_Cidade!$A$2:$A$29,DePara_Cidade!$B$2:$B$29,"REVISAR"))</f>
        <v>São Paulo</v>
      </c>
      <c r="N383" s="4" t="str">
        <f aca="false">IF($A383="","",UPPER(TRIM(Base_Bruta!M383)))</f>
        <v>SP</v>
      </c>
      <c r="O383" s="4" t="str">
        <f aca="false">IF($A383="","",_xlfn.XLOOKUP(LOWER(TRIM(Base_Bruta!N383)),DePara_Pais!$A$2:$A$9,DePara_Pais!$B$2:$B$9,"REVISAR"))</f>
        <v>Brasil</v>
      </c>
      <c r="P383" s="4" t="str">
        <f aca="false">IF($A383="","",IF(O383&lt;&gt;"Brasil","Turista Internacional",IF(M383=F383,"Local","Turista Nacional")))</f>
        <v>Local</v>
      </c>
      <c r="Q383" s="7" t="n">
        <f aca="false">IF($A383="","",DATE(YEAR(B383),MONTH(B383),1))</f>
        <v>45931</v>
      </c>
      <c r="R383" s="4" t="str">
        <f aca="false">IF($A383="","",IF(COUNTIF($A$2:$A383,$A383)&gt;1,"Sim","Não"))</f>
        <v>Não</v>
      </c>
      <c r="S383" s="4" t="str">
        <f aca="false">IF(A383="","Descartar - Linha vazia",IF(R383="Sim","Descartar - Duplicado",IF(OR(H383&lt;=0,I383&lt;=0),"Descartar - Qtd/Valor inválido","OK")))</f>
        <v>OK</v>
      </c>
      <c r="T383" s="4" t="str">
        <f aca="false">Base_Bruta!P383</f>
        <v>vendas_SP.xlsx</v>
      </c>
    </row>
    <row r="384" customFormat="false" ht="15" hidden="false" customHeight="false" outlineLevel="0" collapsed="false">
      <c r="A384" s="4" t="str">
        <f aca="false">IF(Base_Bruta!A384="","",Base_Bruta!A384)</f>
        <v>SP-000698</v>
      </c>
      <c r="B384" s="5" t="n">
        <f aca="false">IF($A384="","",IF(ISNUMBER(Base_Bruta!B384),Base_Bruta!B384,IF(MID(Base_Bruta!B384,5,1)="-",DATE(VALUE(LEFT(Base_Bruta!B384,4)),VALUE(MID(Base_Bruta!B384,6,2)),VALUE(RIGHT(Base_Bruta!B384,2))),DATE(VALUE(RIGHT(Base_Bruta!B384,4)),VALUE(MID(Base_Bruta!B384,4,2)),VALUE(LEFT(Base_Bruta!B384,2))))))</f>
        <v>45933</v>
      </c>
      <c r="C384" s="5" t="n">
        <f aca="false">IF($A384="","",IF(ISNUMBER(Base_Bruta!C384),Base_Bruta!C384,IF(MID(Base_Bruta!C384,5,1)="-",DATE(VALUE(LEFT(Base_Bruta!C384,4)),VALUE(MID(Base_Bruta!C384,6,2)),VALUE(RIGHT(Base_Bruta!C384,2))),DATE(VALUE(RIGHT(Base_Bruta!C384,4)),VALUE(MID(Base_Bruta!C384,4,2)),VALUE(LEFT(Base_Bruta!C384,2))))))</f>
        <v>45935</v>
      </c>
      <c r="D384" s="4" t="str">
        <f aca="false">IF($A384="","",TRIM(Base_Bruta!D384))</f>
        <v>Cinema Paulista - Sessões</v>
      </c>
      <c r="E384" s="4" t="str">
        <f aca="false">IF($A384="","",_xlfn.XLOOKUP(LOWER(TRIM(Base_Bruta!E384)),DePara_Categoria!$A$2:$A$9,DePara_Categoria!$B$2:$B$9,"REVISAR"))</f>
        <v>Cinema</v>
      </c>
      <c r="F384" s="4" t="str">
        <f aca="false">IF($A384="","",_xlfn.XLOOKUP(LOWER(TRIM(Base_Bruta!F384)),DePara_Cidade!$A$2:$A$29,DePara_Cidade!$B$2:$B$29,"REVISAR"))</f>
        <v>São Paulo</v>
      </c>
      <c r="G384" s="4" t="str">
        <f aca="false">IF($A384="","",TRIM(Base_Bruta!G384))</f>
        <v>Inteira</v>
      </c>
      <c r="H384" s="4" t="n">
        <f aca="false">IF($A384="","",IF(ISNUMBER(Base_Bruta!H384),Base_Bruta!H384,IFERROR(_xlfn.NUMBERVALUE(TRIM(SUBSTITUTE(Base_Bruta!H384,"R$","")),",","."),0)))</f>
        <v>2</v>
      </c>
      <c r="I384" s="6" t="n">
        <f aca="false">IF($A384="","",IF(ISNUMBER(Base_Bruta!I384),Base_Bruta!I384,IFERROR(_xlfn.NUMBERVALUE(TRIM(SUBSTITUTE(Base_Bruta!I384,"R$","")),",","."),0)))</f>
        <v>40</v>
      </c>
      <c r="J384" s="6" t="n">
        <f aca="false">IF($A384="","",H384*I384)</f>
        <v>80</v>
      </c>
      <c r="K384" s="4" t="str">
        <f aca="false">IF($A384="","",TRIM(Base_Bruta!J384))</f>
        <v>App</v>
      </c>
      <c r="L384" s="4" t="str">
        <f aca="false">IF($A384="","",TRIM(Base_Bruta!K384))</f>
        <v>C01473</v>
      </c>
      <c r="M384" s="4" t="str">
        <f aca="false">IF($A384="","",_xlfn.XLOOKUP(LOWER(TRIM(Base_Bruta!L384)),DePara_Cidade!$A$2:$A$29,DePara_Cidade!$B$2:$B$29,"REVISAR"))</f>
        <v>São Paulo</v>
      </c>
      <c r="N384" s="4" t="str">
        <f aca="false">IF($A384="","",UPPER(TRIM(Base_Bruta!M384)))</f>
        <v>SP</v>
      </c>
      <c r="O384" s="4" t="str">
        <f aca="false">IF($A384="","",_xlfn.XLOOKUP(LOWER(TRIM(Base_Bruta!N384)),DePara_Pais!$A$2:$A$9,DePara_Pais!$B$2:$B$9,"REVISAR"))</f>
        <v>Brasil</v>
      </c>
      <c r="P384" s="4" t="str">
        <f aca="false">IF($A384="","",IF(O384&lt;&gt;"Brasil","Turista Internacional",IF(M384=F384,"Local","Turista Nacional")))</f>
        <v>Local</v>
      </c>
      <c r="Q384" s="7" t="n">
        <f aca="false">IF($A384="","",DATE(YEAR(B384),MONTH(B384),1))</f>
        <v>45931</v>
      </c>
      <c r="R384" s="4" t="str">
        <f aca="false">IF($A384="","",IF(COUNTIF($A$2:$A384,$A384)&gt;1,"Sim","Não"))</f>
        <v>Não</v>
      </c>
      <c r="S384" s="4" t="str">
        <f aca="false">IF(A384="","Descartar - Linha vazia",IF(R384="Sim","Descartar - Duplicado",IF(OR(H384&lt;=0,I384&lt;=0),"Descartar - Qtd/Valor inválido","OK")))</f>
        <v>OK</v>
      </c>
      <c r="T384" s="4" t="str">
        <f aca="false">Base_Bruta!P384</f>
        <v>vendas_SP.xlsx</v>
      </c>
    </row>
    <row r="385" customFormat="false" ht="15" hidden="false" customHeight="false" outlineLevel="0" collapsed="false">
      <c r="A385" s="4" t="str">
        <f aca="false">IF(Base_Bruta!A385="","",Base_Bruta!A385)</f>
        <v>SP-000070</v>
      </c>
      <c r="B385" s="5" t="n">
        <f aca="false">IF($A385="","",IF(ISNUMBER(Base_Bruta!B385),Base_Bruta!B385,IF(MID(Base_Bruta!B385,5,1)="-",DATE(VALUE(LEFT(Base_Bruta!B385,4)),VALUE(MID(Base_Bruta!B385,6,2)),VALUE(RIGHT(Base_Bruta!B385,2))),DATE(VALUE(RIGHT(Base_Bruta!B385,4)),VALUE(MID(Base_Bruta!B385,4,2)),VALUE(LEFT(Base_Bruta!B385,2))))))</f>
        <v>45934</v>
      </c>
      <c r="C385" s="5" t="n">
        <f aca="false">IF($A385="","",IF(ISNUMBER(Base_Bruta!C385),Base_Bruta!C385,IF(MID(Base_Bruta!C385,5,1)="-",DATE(VALUE(LEFT(Base_Bruta!C385,4)),VALUE(MID(Base_Bruta!C385,6,2)),VALUE(RIGHT(Base_Bruta!C385,2))),DATE(VALUE(RIGHT(Base_Bruta!C385,4)),VALUE(MID(Base_Bruta!C385,4,2)),VALUE(LEFT(Base_Bruta!C385,2))))))</f>
        <v>45976</v>
      </c>
      <c r="D385" s="4" t="str">
        <f aca="false">IF($A385="","",TRIM(Base_Bruta!D385))</f>
        <v>Festival Sonora SP 2025</v>
      </c>
      <c r="E385" s="4" t="str">
        <f aca="false">IF($A385="","",_xlfn.XLOOKUP(LOWER(TRIM(Base_Bruta!E385)),DePara_Categoria!$A$2:$A$9,DePara_Categoria!$B$2:$B$9,"REVISAR"))</f>
        <v>Festival</v>
      </c>
      <c r="F385" s="4" t="str">
        <f aca="false">IF($A385="","",_xlfn.XLOOKUP(LOWER(TRIM(Base_Bruta!F385)),DePara_Cidade!$A$2:$A$29,DePara_Cidade!$B$2:$B$29,"REVISAR"))</f>
        <v>São Paulo</v>
      </c>
      <c r="G385" s="4" t="str">
        <f aca="false">IF($A385="","",TRIM(Base_Bruta!G385))</f>
        <v>Meia</v>
      </c>
      <c r="H385" s="4" t="n">
        <f aca="false">IF($A385="","",IF(ISNUMBER(Base_Bruta!H385),Base_Bruta!H385,IFERROR(_xlfn.NUMBERVALUE(TRIM(SUBSTITUTE(Base_Bruta!H385,"R$","")),",","."),0)))</f>
        <v>2</v>
      </c>
      <c r="I385" s="6" t="n">
        <f aca="false">IF($A385="","",IF(ISNUMBER(Base_Bruta!I385),Base_Bruta!I385,IFERROR(_xlfn.NUMBERVALUE(TRIM(SUBSTITUTE(Base_Bruta!I385,"R$","")),",","."),0)))</f>
        <v>517.5</v>
      </c>
      <c r="J385" s="6" t="n">
        <f aca="false">IF($A385="","",H385*I385)</f>
        <v>1035</v>
      </c>
      <c r="K385" s="4" t="str">
        <f aca="false">IF($A385="","",TRIM(Base_Bruta!J385))</f>
        <v>Parceiro</v>
      </c>
      <c r="L385" s="4" t="str">
        <f aca="false">IF($A385="","",TRIM(Base_Bruta!K385))</f>
        <v>C00267</v>
      </c>
      <c r="M385" s="4" t="str">
        <f aca="false">IF($A385="","",_xlfn.XLOOKUP(LOWER(TRIM(Base_Bruta!L385)),DePara_Cidade!$A$2:$A$29,DePara_Cidade!$B$2:$B$29,"REVISAR"))</f>
        <v>Brasília</v>
      </c>
      <c r="N385" s="4" t="str">
        <f aca="false">IF($A385="","",UPPER(TRIM(Base_Bruta!M385)))</f>
        <v>DF</v>
      </c>
      <c r="O385" s="4" t="str">
        <f aca="false">IF($A385="","",_xlfn.XLOOKUP(LOWER(TRIM(Base_Bruta!N385)),DePara_Pais!$A$2:$A$9,DePara_Pais!$B$2:$B$9,"REVISAR"))</f>
        <v>Brasil</v>
      </c>
      <c r="P385" s="4" t="str">
        <f aca="false">IF($A385="","",IF(O385&lt;&gt;"Brasil","Turista Internacional",IF(M385=F385,"Local","Turista Nacional")))</f>
        <v>Turista Nacional</v>
      </c>
      <c r="Q385" s="7" t="n">
        <f aca="false">IF($A385="","",DATE(YEAR(B385),MONTH(B385),1))</f>
        <v>45931</v>
      </c>
      <c r="R385" s="4" t="str">
        <f aca="false">IF($A385="","",IF(COUNTIF($A$2:$A385,$A385)&gt;1,"Sim","Não"))</f>
        <v>Não</v>
      </c>
      <c r="S385" s="4" t="str">
        <f aca="false">IF(A385="","Descartar - Linha vazia",IF(R385="Sim","Descartar - Duplicado",IF(OR(H385&lt;=0,I385&lt;=0),"Descartar - Qtd/Valor inválido","OK")))</f>
        <v>OK</v>
      </c>
      <c r="T385" s="4" t="str">
        <f aca="false">Base_Bruta!P385</f>
        <v>vendas_SP.xlsx</v>
      </c>
    </row>
    <row r="386" customFormat="false" ht="15" hidden="false" customHeight="false" outlineLevel="0" collapsed="false">
      <c r="A386" s="4" t="str">
        <f aca="false">IF(Base_Bruta!A386="","",Base_Bruta!A386)</f>
        <v>SP-000076</v>
      </c>
      <c r="B386" s="5" t="n">
        <f aca="false">IF($A386="","",IF(ISNUMBER(Base_Bruta!B386),Base_Bruta!B386,IF(MID(Base_Bruta!B386,5,1)="-",DATE(VALUE(LEFT(Base_Bruta!B386,4)),VALUE(MID(Base_Bruta!B386,6,2)),VALUE(RIGHT(Base_Bruta!B386,2))),DATE(VALUE(RIGHT(Base_Bruta!B386,4)),VALUE(MID(Base_Bruta!B386,4,2)),VALUE(LEFT(Base_Bruta!B386,2))))))</f>
        <v>45934</v>
      </c>
      <c r="C386" s="5" t="n">
        <f aca="false">IF($A386="","",IF(ISNUMBER(Base_Bruta!C386),Base_Bruta!C386,IF(MID(Base_Bruta!C386,5,1)="-",DATE(VALUE(LEFT(Base_Bruta!C386,4)),VALUE(MID(Base_Bruta!C386,6,2)),VALUE(RIGHT(Base_Bruta!C386,2))),DATE(VALUE(RIGHT(Base_Bruta!C386,4)),VALUE(MID(Base_Bruta!C386,4,2)),VALUE(LEFT(Base_Bruta!C386,2))))))</f>
        <v>45976</v>
      </c>
      <c r="D386" s="4" t="str">
        <f aca="false">IF($A386="","",TRIM(Base_Bruta!D386))</f>
        <v>Festival Sonora SP 2025</v>
      </c>
      <c r="E386" s="4" t="str">
        <f aca="false">IF($A386="","",_xlfn.XLOOKUP(LOWER(TRIM(Base_Bruta!E386)),DePara_Categoria!$A$2:$A$9,DePara_Categoria!$B$2:$B$9,"REVISAR"))</f>
        <v>Festival</v>
      </c>
      <c r="F386" s="4" t="str">
        <f aca="false">IF($A386="","",_xlfn.XLOOKUP(LOWER(TRIM(Base_Bruta!F386)),DePara_Cidade!$A$2:$A$29,DePara_Cidade!$B$2:$B$29,"REVISAR"))</f>
        <v>São Paulo</v>
      </c>
      <c r="G386" s="4" t="str">
        <f aca="false">IF($A386="","",TRIM(Base_Bruta!G386))</f>
        <v>Meia</v>
      </c>
      <c r="H386" s="4" t="n">
        <f aca="false">IF($A386="","",IF(ISNUMBER(Base_Bruta!H386),Base_Bruta!H386,IFERROR(_xlfn.NUMBERVALUE(TRIM(SUBSTITUTE(Base_Bruta!H386,"R$","")),",","."),0)))</f>
        <v>1</v>
      </c>
      <c r="I386" s="6" t="n">
        <f aca="false">IF($A386="","",IF(ISNUMBER(Base_Bruta!I386),Base_Bruta!I386,IFERROR(_xlfn.NUMBERVALUE(TRIM(SUBSTITUTE(Base_Bruta!I386,"R$","")),",","."),0)))</f>
        <v>565</v>
      </c>
      <c r="J386" s="6" t="n">
        <f aca="false">IF($A386="","",H386*I386)</f>
        <v>565</v>
      </c>
      <c r="K386" s="4" t="str">
        <f aca="false">IF($A386="","",TRIM(Base_Bruta!J386))</f>
        <v>App</v>
      </c>
      <c r="L386" s="4" t="str">
        <f aca="false">IF($A386="","",TRIM(Base_Bruta!K386))</f>
        <v>C02354</v>
      </c>
      <c r="M386" s="4" t="str">
        <f aca="false">IF($A386="","",_xlfn.XLOOKUP(LOWER(TRIM(Base_Bruta!L386)),DePara_Cidade!$A$2:$A$29,DePara_Cidade!$B$2:$B$29,"REVISAR"))</f>
        <v>Curitiba</v>
      </c>
      <c r="N386" s="4" t="str">
        <f aca="false">IF($A386="","",UPPER(TRIM(Base_Bruta!M386)))</f>
        <v>PR</v>
      </c>
      <c r="O386" s="4" t="str">
        <f aca="false">IF($A386="","",_xlfn.XLOOKUP(LOWER(TRIM(Base_Bruta!N386)),DePara_Pais!$A$2:$A$9,DePara_Pais!$B$2:$B$9,"REVISAR"))</f>
        <v>Brasil</v>
      </c>
      <c r="P386" s="4" t="str">
        <f aca="false">IF($A386="","",IF(O386&lt;&gt;"Brasil","Turista Internacional",IF(M386=F386,"Local","Turista Nacional")))</f>
        <v>Turista Nacional</v>
      </c>
      <c r="Q386" s="7" t="n">
        <f aca="false">IF($A386="","",DATE(YEAR(B386),MONTH(B386),1))</f>
        <v>45931</v>
      </c>
      <c r="R386" s="4" t="str">
        <f aca="false">IF($A386="","",IF(COUNTIF($A$2:$A386,$A386)&gt;1,"Sim","Não"))</f>
        <v>Não</v>
      </c>
      <c r="S386" s="4" t="str">
        <f aca="false">IF(A386="","Descartar - Linha vazia",IF(R386="Sim","Descartar - Duplicado",IF(OR(H386&lt;=0,I386&lt;=0),"Descartar - Qtd/Valor inválido","OK")))</f>
        <v>OK</v>
      </c>
      <c r="T386" s="4" t="str">
        <f aca="false">Base_Bruta!P386</f>
        <v>vendas_SP.xlsx</v>
      </c>
    </row>
    <row r="387" customFormat="false" ht="15" hidden="false" customHeight="false" outlineLevel="0" collapsed="false">
      <c r="A387" s="4" t="str">
        <f aca="false">IF(Base_Bruta!A387="","",Base_Bruta!A387)</f>
        <v>SP-000183</v>
      </c>
      <c r="B387" s="5" t="n">
        <f aca="false">IF($A387="","",IF(ISNUMBER(Base_Bruta!B387),Base_Bruta!B387,IF(MID(Base_Bruta!B387,5,1)="-",DATE(VALUE(LEFT(Base_Bruta!B387,4)),VALUE(MID(Base_Bruta!B387,6,2)),VALUE(RIGHT(Base_Bruta!B387,2))),DATE(VALUE(RIGHT(Base_Bruta!B387,4)),VALUE(MID(Base_Bruta!B387,4,2)),VALUE(LEFT(Base_Bruta!B387,2))))))</f>
        <v>45934</v>
      </c>
      <c r="C387" s="5" t="n">
        <f aca="false">IF($A387="","",IF(ISNUMBER(Base_Bruta!C387),Base_Bruta!C387,IF(MID(Base_Bruta!C387,5,1)="-",DATE(VALUE(LEFT(Base_Bruta!C387,4)),VALUE(MID(Base_Bruta!C387,6,2)),VALUE(RIGHT(Base_Bruta!C387,2))),DATE(VALUE(RIGHT(Base_Bruta!C387,4)),VALUE(MID(Base_Bruta!C387,4,2)),VALUE(LEFT(Base_Bruta!C387,2))))))</f>
        <v>45976</v>
      </c>
      <c r="D387" s="4" t="str">
        <f aca="false">IF($A387="","",TRIM(Base_Bruta!D387))</f>
        <v>Festival Sonora SP 2025</v>
      </c>
      <c r="E387" s="4" t="str">
        <f aca="false">IF($A387="","",_xlfn.XLOOKUP(LOWER(TRIM(Base_Bruta!E387)),DePara_Categoria!$A$2:$A$9,DePara_Categoria!$B$2:$B$9,"REVISAR"))</f>
        <v>Festival</v>
      </c>
      <c r="F387" s="4" t="str">
        <f aca="false">IF($A387="","",_xlfn.XLOOKUP(LOWER(TRIM(Base_Bruta!F387)),DePara_Cidade!$A$2:$A$29,DePara_Cidade!$B$2:$B$29,"REVISAR"))</f>
        <v>São Paulo</v>
      </c>
      <c r="G387" s="4" t="str">
        <f aca="false">IF($A387="","",TRIM(Base_Bruta!G387))</f>
        <v>Meia</v>
      </c>
      <c r="H387" s="4" t="n">
        <f aca="false">IF($A387="","",IF(ISNUMBER(Base_Bruta!H387),Base_Bruta!H387,IFERROR(_xlfn.NUMBERVALUE(TRIM(SUBSTITUTE(Base_Bruta!H387,"R$","")),",","."),0)))</f>
        <v>1</v>
      </c>
      <c r="I387" s="6" t="n">
        <f aca="false">IF($A387="","",IF(ISNUMBER(Base_Bruta!I387),Base_Bruta!I387,IFERROR(_xlfn.NUMBERVALUE(TRIM(SUBSTITUTE(Base_Bruta!I387,"R$","")),",","."),0)))</f>
        <v>545</v>
      </c>
      <c r="J387" s="6" t="n">
        <f aca="false">IF($A387="","",H387*I387)</f>
        <v>545</v>
      </c>
      <c r="K387" s="4" t="str">
        <f aca="false">IF($A387="","",TRIM(Base_Bruta!J387))</f>
        <v>Site</v>
      </c>
      <c r="L387" s="4" t="str">
        <f aca="false">IF($A387="","",TRIM(Base_Bruta!K387))</f>
        <v>C00468</v>
      </c>
      <c r="M387" s="4" t="str">
        <f aca="false">IF($A387="","",_xlfn.XLOOKUP(LOWER(TRIM(Base_Bruta!L387)),DePara_Cidade!$A$2:$A$29,DePara_Cidade!$B$2:$B$29,"REVISAR"))</f>
        <v>São Paulo</v>
      </c>
      <c r="N387" s="4" t="str">
        <f aca="false">IF($A387="","",UPPER(TRIM(Base_Bruta!M387)))</f>
        <v>SP</v>
      </c>
      <c r="O387" s="4" t="str">
        <f aca="false">IF($A387="","",_xlfn.XLOOKUP(LOWER(TRIM(Base_Bruta!N387)),DePara_Pais!$A$2:$A$9,DePara_Pais!$B$2:$B$9,"REVISAR"))</f>
        <v>Brasil</v>
      </c>
      <c r="P387" s="4" t="str">
        <f aca="false">IF($A387="","",IF(O387&lt;&gt;"Brasil","Turista Internacional",IF(M387=F387,"Local","Turista Nacional")))</f>
        <v>Local</v>
      </c>
      <c r="Q387" s="7" t="n">
        <f aca="false">IF($A387="","",DATE(YEAR(B387),MONTH(B387),1))</f>
        <v>45931</v>
      </c>
      <c r="R387" s="4" t="str">
        <f aca="false">IF($A387="","",IF(COUNTIF($A$2:$A387,$A387)&gt;1,"Sim","Não"))</f>
        <v>Não</v>
      </c>
      <c r="S387" s="4" t="str">
        <f aca="false">IF(A387="","Descartar - Linha vazia",IF(R387="Sim","Descartar - Duplicado",IF(OR(H387&lt;=0,I387&lt;=0),"Descartar - Qtd/Valor inválido","OK")))</f>
        <v>OK</v>
      </c>
      <c r="T387" s="4" t="str">
        <f aca="false">Base_Bruta!P387</f>
        <v>vendas_SP.xlsx</v>
      </c>
    </row>
    <row r="388" customFormat="false" ht="15" hidden="false" customHeight="false" outlineLevel="0" collapsed="false">
      <c r="A388" s="4" t="str">
        <f aca="false">IF(Base_Bruta!A388="","",Base_Bruta!A388)</f>
        <v>SP-000550</v>
      </c>
      <c r="B388" s="5" t="n">
        <f aca="false">IF($A388="","",IF(ISNUMBER(Base_Bruta!B388),Base_Bruta!B388,IF(MID(Base_Bruta!B388,5,1)="-",DATE(VALUE(LEFT(Base_Bruta!B388,4)),VALUE(MID(Base_Bruta!B388,6,2)),VALUE(RIGHT(Base_Bruta!B388,2))),DATE(VALUE(RIGHT(Base_Bruta!B388,4)),VALUE(MID(Base_Bruta!B388,4,2)),VALUE(LEFT(Base_Bruta!B388,2))))))</f>
        <v>45934</v>
      </c>
      <c r="C388" s="5" t="n">
        <f aca="false">IF($A388="","",IF(ISNUMBER(Base_Bruta!C388),Base_Bruta!C388,IF(MID(Base_Bruta!C388,5,1)="-",DATE(VALUE(LEFT(Base_Bruta!C388,4)),VALUE(MID(Base_Bruta!C388,6,2)),VALUE(RIGHT(Base_Bruta!C388,2))),DATE(VALUE(RIGHT(Base_Bruta!C388,4)),VALUE(MID(Base_Bruta!C388,4,2)),VALUE(LEFT(Base_Bruta!C388,2))))))</f>
        <v>45934</v>
      </c>
      <c r="D388" s="4" t="str">
        <f aca="false">IF($A388="","",TRIM(Base_Bruta!D388))</f>
        <v>Turnê Internacional Pop - SP</v>
      </c>
      <c r="E388" s="4" t="str">
        <f aca="false">IF($A388="","",_xlfn.XLOOKUP(LOWER(TRIM(Base_Bruta!E388)),DePara_Categoria!$A$2:$A$9,DePara_Categoria!$B$2:$B$9,"REVISAR"))</f>
        <v>Show</v>
      </c>
      <c r="F388" s="4" t="str">
        <f aca="false">IF($A388="","",_xlfn.XLOOKUP(LOWER(TRIM(Base_Bruta!F388)),DePara_Cidade!$A$2:$A$29,DePara_Cidade!$B$2:$B$29,"REVISAR"))</f>
        <v>São Paulo</v>
      </c>
      <c r="G388" s="4" t="str">
        <f aca="false">IF($A388="","",TRIM(Base_Bruta!G388))</f>
        <v>Inteira</v>
      </c>
      <c r="H388" s="4" t="n">
        <f aca="false">IF($A388="","",IF(ISNUMBER(Base_Bruta!H388),Base_Bruta!H388,IFERROR(_xlfn.NUMBERVALUE(TRIM(SUBSTITUTE(Base_Bruta!H388,"R$","")),",","."),0)))</f>
        <v>2</v>
      </c>
      <c r="I388" s="6" t="n">
        <f aca="false">IF($A388="","",IF(ISNUMBER(Base_Bruta!I388),Base_Bruta!I388,IFERROR(_xlfn.NUMBERVALUE(TRIM(SUBSTITUTE(Base_Bruta!I388,"R$","")),",","."),0)))</f>
        <v>295</v>
      </c>
      <c r="J388" s="6" t="n">
        <f aca="false">IF($A388="","",H388*I388)</f>
        <v>590</v>
      </c>
      <c r="K388" s="4" t="str">
        <f aca="false">IF($A388="","",TRIM(Base_Bruta!J388))</f>
        <v>Site</v>
      </c>
      <c r="L388" s="4" t="str">
        <f aca="false">IF($A388="","",TRIM(Base_Bruta!K388))</f>
        <v>C02058</v>
      </c>
      <c r="M388" s="4" t="str">
        <f aca="false">IF($A388="","",_xlfn.XLOOKUP(LOWER(TRIM(Base_Bruta!L388)),DePara_Cidade!$A$2:$A$29,DePara_Cidade!$B$2:$B$29,"REVISAR"))</f>
        <v>São Paulo</v>
      </c>
      <c r="N388" s="4" t="str">
        <f aca="false">IF($A388="","",UPPER(TRIM(Base_Bruta!M388)))</f>
        <v>SP</v>
      </c>
      <c r="O388" s="4" t="str">
        <f aca="false">IF($A388="","",_xlfn.XLOOKUP(LOWER(TRIM(Base_Bruta!N388)),DePara_Pais!$A$2:$A$9,DePara_Pais!$B$2:$B$9,"REVISAR"))</f>
        <v>Brasil</v>
      </c>
      <c r="P388" s="4" t="str">
        <f aca="false">IF($A388="","",IF(O388&lt;&gt;"Brasil","Turista Internacional",IF(M388=F388,"Local","Turista Nacional")))</f>
        <v>Local</v>
      </c>
      <c r="Q388" s="7" t="n">
        <f aca="false">IF($A388="","",DATE(YEAR(B388),MONTH(B388),1))</f>
        <v>45931</v>
      </c>
      <c r="R388" s="4" t="str">
        <f aca="false">IF($A388="","",IF(COUNTIF($A$2:$A388,$A388)&gt;1,"Sim","Não"))</f>
        <v>Não</v>
      </c>
      <c r="S388" s="4" t="str">
        <f aca="false">IF(A388="","Descartar - Linha vazia",IF(R388="Sim","Descartar - Duplicado",IF(OR(H388&lt;=0,I388&lt;=0),"Descartar - Qtd/Valor inválido","OK")))</f>
        <v>OK</v>
      </c>
      <c r="T388" s="4" t="str">
        <f aca="false">Base_Bruta!P388</f>
        <v>vendas_SP.xlsx</v>
      </c>
    </row>
    <row r="389" customFormat="false" ht="15" hidden="false" customHeight="false" outlineLevel="0" collapsed="false">
      <c r="A389" s="4" t="str">
        <f aca="false">IF(Base_Bruta!A389="","",Base_Bruta!A389)</f>
        <v>SP-000552</v>
      </c>
      <c r="B389" s="5" t="n">
        <f aca="false">IF($A389="","",IF(ISNUMBER(Base_Bruta!B389),Base_Bruta!B389,IF(MID(Base_Bruta!B389,5,1)="-",DATE(VALUE(LEFT(Base_Bruta!B389,4)),VALUE(MID(Base_Bruta!B389,6,2)),VALUE(RIGHT(Base_Bruta!B389,2))),DATE(VALUE(RIGHT(Base_Bruta!B389,4)),VALUE(MID(Base_Bruta!B389,4,2)),VALUE(LEFT(Base_Bruta!B389,2))))))</f>
        <v>45934</v>
      </c>
      <c r="C389" s="5" t="n">
        <f aca="false">IF($A389="","",IF(ISNUMBER(Base_Bruta!C389),Base_Bruta!C389,IF(MID(Base_Bruta!C389,5,1)="-",DATE(VALUE(LEFT(Base_Bruta!C389,4)),VALUE(MID(Base_Bruta!C389,6,2)),VALUE(RIGHT(Base_Bruta!C389,2))),DATE(VALUE(RIGHT(Base_Bruta!C389,4)),VALUE(MID(Base_Bruta!C389,4,2)),VALUE(LEFT(Base_Bruta!C389,2))))))</f>
        <v>45934</v>
      </c>
      <c r="D389" s="4" t="str">
        <f aca="false">IF($A389="","",TRIM(Base_Bruta!D389))</f>
        <v>Turnê Internacional Pop - SP</v>
      </c>
      <c r="E389" s="4" t="str">
        <f aca="false">IF($A389="","",_xlfn.XLOOKUP(LOWER(TRIM(Base_Bruta!E389)),DePara_Categoria!$A$2:$A$9,DePara_Categoria!$B$2:$B$9,"REVISAR"))</f>
        <v>Show</v>
      </c>
      <c r="F389" s="4" t="str">
        <f aca="false">IF($A389="","",_xlfn.XLOOKUP(LOWER(TRIM(Base_Bruta!F389)),DePara_Cidade!$A$2:$A$29,DePara_Cidade!$B$2:$B$29,"REVISAR"))</f>
        <v>São Paulo</v>
      </c>
      <c r="G389" s="4" t="str">
        <f aca="false">IF($A389="","",TRIM(Base_Bruta!G389))</f>
        <v>Inteira</v>
      </c>
      <c r="H389" s="4" t="n">
        <f aca="false">IF($A389="","",IF(ISNUMBER(Base_Bruta!H389),Base_Bruta!H389,IFERROR(_xlfn.NUMBERVALUE(TRIM(SUBSTITUTE(Base_Bruta!H389,"R$","")),",","."),0)))</f>
        <v>2</v>
      </c>
      <c r="I389" s="6" t="n">
        <f aca="false">IF($A389="","",IF(ISNUMBER(Base_Bruta!I389),Base_Bruta!I389,IFERROR(_xlfn.NUMBERVALUE(TRIM(SUBSTITUTE(Base_Bruta!I389,"R$","")),",","."),0)))</f>
        <v>725</v>
      </c>
      <c r="J389" s="6" t="n">
        <f aca="false">IF($A389="","",H389*I389)</f>
        <v>1450</v>
      </c>
      <c r="K389" s="4" t="str">
        <f aca="false">IF($A389="","",TRIM(Base_Bruta!J389))</f>
        <v>App</v>
      </c>
      <c r="L389" s="4" t="str">
        <f aca="false">IF($A389="","",TRIM(Base_Bruta!K389))</f>
        <v>C01238</v>
      </c>
      <c r="M389" s="4" t="str">
        <f aca="false">IF($A389="","",_xlfn.XLOOKUP(LOWER(TRIM(Base_Bruta!L389)),DePara_Cidade!$A$2:$A$29,DePara_Cidade!$B$2:$B$29,"REVISAR"))</f>
        <v>Curitiba</v>
      </c>
      <c r="N389" s="4" t="str">
        <f aca="false">IF($A389="","",UPPER(TRIM(Base_Bruta!M389)))</f>
        <v>PR</v>
      </c>
      <c r="O389" s="4" t="str">
        <f aca="false">IF($A389="","",_xlfn.XLOOKUP(LOWER(TRIM(Base_Bruta!N389)),DePara_Pais!$A$2:$A$9,DePara_Pais!$B$2:$B$9,"REVISAR"))</f>
        <v>Brasil</v>
      </c>
      <c r="P389" s="4" t="str">
        <f aca="false">IF($A389="","",IF(O389&lt;&gt;"Brasil","Turista Internacional",IF(M389=F389,"Local","Turista Nacional")))</f>
        <v>Turista Nacional</v>
      </c>
      <c r="Q389" s="7" t="n">
        <f aca="false">IF($A389="","",DATE(YEAR(B389),MONTH(B389),1))</f>
        <v>45931</v>
      </c>
      <c r="R389" s="4" t="str">
        <f aca="false">IF($A389="","",IF(COUNTIF($A$2:$A389,$A389)&gt;1,"Sim","Não"))</f>
        <v>Não</v>
      </c>
      <c r="S389" s="4" t="str">
        <f aca="false">IF(A389="","Descartar - Linha vazia",IF(R389="Sim","Descartar - Duplicado",IF(OR(H389&lt;=0,I389&lt;=0),"Descartar - Qtd/Valor inválido","OK")))</f>
        <v>OK</v>
      </c>
      <c r="T389" s="4" t="str">
        <f aca="false">Base_Bruta!P389</f>
        <v>vendas_SP.xlsx</v>
      </c>
    </row>
    <row r="390" customFormat="false" ht="15" hidden="false" customHeight="false" outlineLevel="0" collapsed="false">
      <c r="A390" s="4" t="str">
        <f aca="false">IF(Base_Bruta!A390="","",Base_Bruta!A390)</f>
        <v>SP-000568</v>
      </c>
      <c r="B390" s="5" t="n">
        <f aca="false">IF($A390="","",IF(ISNUMBER(Base_Bruta!B390),Base_Bruta!B390,IF(MID(Base_Bruta!B390,5,1)="-",DATE(VALUE(LEFT(Base_Bruta!B390,4)),VALUE(MID(Base_Bruta!B390,6,2)),VALUE(RIGHT(Base_Bruta!B390,2))),DATE(VALUE(RIGHT(Base_Bruta!B390,4)),VALUE(MID(Base_Bruta!B390,4,2)),VALUE(LEFT(Base_Bruta!B390,2))))))</f>
        <v>45934</v>
      </c>
      <c r="C390" s="5" t="n">
        <f aca="false">IF($A390="","",IF(ISNUMBER(Base_Bruta!C390),Base_Bruta!C390,IF(MID(Base_Bruta!C390,5,1)="-",DATE(VALUE(LEFT(Base_Bruta!C390,4)),VALUE(MID(Base_Bruta!C390,6,2)),VALUE(RIGHT(Base_Bruta!C390,2))),DATE(VALUE(RIGHT(Base_Bruta!C390,4)),VALUE(MID(Base_Bruta!C390,4,2)),VALUE(LEFT(Base_Bruta!C390,2))))))</f>
        <v>45934</v>
      </c>
      <c r="D390" s="4" t="str">
        <f aca="false">IF($A390="","",TRIM(Base_Bruta!D390))</f>
        <v>Turnê Internacional Pop - SP</v>
      </c>
      <c r="E390" s="4" t="str">
        <f aca="false">IF($A390="","",_xlfn.XLOOKUP(LOWER(TRIM(Base_Bruta!E390)),DePara_Categoria!$A$2:$A$9,DePara_Categoria!$B$2:$B$9,"REVISAR"))</f>
        <v>Show</v>
      </c>
      <c r="F390" s="4" t="str">
        <f aca="false">IF($A390="","",_xlfn.XLOOKUP(LOWER(TRIM(Base_Bruta!F390)),DePara_Cidade!$A$2:$A$29,DePara_Cidade!$B$2:$B$29,"REVISAR"))</f>
        <v>São Paulo</v>
      </c>
      <c r="G390" s="4" t="str">
        <f aca="false">IF($A390="","",TRIM(Base_Bruta!G390))</f>
        <v>Inteira</v>
      </c>
      <c r="H390" s="4" t="n">
        <f aca="false">IF($A390="","",IF(ISNUMBER(Base_Bruta!H390),Base_Bruta!H390,IFERROR(_xlfn.NUMBERVALUE(TRIM(SUBSTITUTE(Base_Bruta!H390,"R$","")),",","."),0)))</f>
        <v>1</v>
      </c>
      <c r="I390" s="6" t="n">
        <f aca="false">IF($A390="","",IF(ISNUMBER(Base_Bruta!I390),Base_Bruta!I390,IFERROR(_xlfn.NUMBERVALUE(TRIM(SUBSTITUTE(Base_Bruta!I390,"R$","")),",","."),0)))</f>
        <v>280</v>
      </c>
      <c r="J390" s="6" t="n">
        <f aca="false">IF($A390="","",H390*I390)</f>
        <v>280</v>
      </c>
      <c r="K390" s="4" t="str">
        <f aca="false">IF($A390="","",TRIM(Base_Bruta!J390))</f>
        <v>Site</v>
      </c>
      <c r="L390" s="4" t="str">
        <f aca="false">IF($A390="","",TRIM(Base_Bruta!K390))</f>
        <v>C01571</v>
      </c>
      <c r="M390" s="4" t="str">
        <f aca="false">IF($A390="","",_xlfn.XLOOKUP(LOWER(TRIM(Base_Bruta!L390)),DePara_Cidade!$A$2:$A$29,DePara_Cidade!$B$2:$B$29,"REVISAR"))</f>
        <v>Campinas</v>
      </c>
      <c r="N390" s="4" t="str">
        <f aca="false">IF($A390="","",UPPER(TRIM(Base_Bruta!M390)))</f>
        <v>SP</v>
      </c>
      <c r="O390" s="4" t="str">
        <f aca="false">IF($A390="","",_xlfn.XLOOKUP(LOWER(TRIM(Base_Bruta!N390)),DePara_Pais!$A$2:$A$9,DePara_Pais!$B$2:$B$9,"REVISAR"))</f>
        <v>Brasil</v>
      </c>
      <c r="P390" s="4" t="str">
        <f aca="false">IF($A390="","",IF(O390&lt;&gt;"Brasil","Turista Internacional",IF(M390=F390,"Local","Turista Nacional")))</f>
        <v>Turista Nacional</v>
      </c>
      <c r="Q390" s="7" t="n">
        <f aca="false">IF($A390="","",DATE(YEAR(B390),MONTH(B390),1))</f>
        <v>45931</v>
      </c>
      <c r="R390" s="4" t="str">
        <f aca="false">IF($A390="","",IF(COUNTIF($A$2:$A390,$A390)&gt;1,"Sim","Não"))</f>
        <v>Não</v>
      </c>
      <c r="S390" s="4" t="str">
        <f aca="false">IF(A390="","Descartar - Linha vazia",IF(R390="Sim","Descartar - Duplicado",IF(OR(H390&lt;=0,I390&lt;=0),"Descartar - Qtd/Valor inválido","OK")))</f>
        <v>OK</v>
      </c>
      <c r="T390" s="4" t="str">
        <f aca="false">Base_Bruta!P390</f>
        <v>vendas_SP.xlsx</v>
      </c>
    </row>
    <row r="391" customFormat="false" ht="15" hidden="false" customHeight="false" outlineLevel="0" collapsed="false">
      <c r="A391" s="4" t="str">
        <f aca="false">IF(Base_Bruta!A391="","",Base_Bruta!A391)</f>
        <v>SP-000572</v>
      </c>
      <c r="B391" s="5" t="n">
        <f aca="false">IF($A391="","",IF(ISNUMBER(Base_Bruta!B391),Base_Bruta!B391,IF(MID(Base_Bruta!B391,5,1)="-",DATE(VALUE(LEFT(Base_Bruta!B391,4)),VALUE(MID(Base_Bruta!B391,6,2)),VALUE(RIGHT(Base_Bruta!B391,2))),DATE(VALUE(RIGHT(Base_Bruta!B391,4)),VALUE(MID(Base_Bruta!B391,4,2)),VALUE(LEFT(Base_Bruta!B391,2))))))</f>
        <v>45934</v>
      </c>
      <c r="C391" s="5" t="n">
        <f aca="false">IF($A391="","",IF(ISNUMBER(Base_Bruta!C391),Base_Bruta!C391,IF(MID(Base_Bruta!C391,5,1)="-",DATE(VALUE(LEFT(Base_Bruta!C391,4)),VALUE(MID(Base_Bruta!C391,6,2)),VALUE(RIGHT(Base_Bruta!C391,2))),DATE(VALUE(RIGHT(Base_Bruta!C391,4)),VALUE(MID(Base_Bruta!C391,4,2)),VALUE(LEFT(Base_Bruta!C391,2))))))</f>
        <v>45934</v>
      </c>
      <c r="D391" s="4" t="str">
        <f aca="false">IF($A391="","",TRIM(Base_Bruta!D391))</f>
        <v>Turnê Internacional Pop - SP</v>
      </c>
      <c r="E391" s="4" t="str">
        <f aca="false">IF($A391="","",_xlfn.XLOOKUP(LOWER(TRIM(Base_Bruta!E391)),DePara_Categoria!$A$2:$A$9,DePara_Categoria!$B$2:$B$9,"REVISAR"))</f>
        <v>Show</v>
      </c>
      <c r="F391" s="4" t="str">
        <f aca="false">IF($A391="","",_xlfn.XLOOKUP(LOWER(TRIM(Base_Bruta!F391)),DePara_Cidade!$A$2:$A$29,DePara_Cidade!$B$2:$B$29,"REVISAR"))</f>
        <v>São Paulo</v>
      </c>
      <c r="G391" s="4" t="str">
        <f aca="false">IF($A391="","",TRIM(Base_Bruta!G391))</f>
        <v>Inteira</v>
      </c>
      <c r="H391" s="4" t="n">
        <f aca="false">IF($A391="","",IF(ISNUMBER(Base_Bruta!H391),Base_Bruta!H391,IFERROR(_xlfn.NUMBERVALUE(TRIM(SUBSTITUTE(Base_Bruta!H391,"R$","")),",","."),0)))</f>
        <v>1</v>
      </c>
      <c r="I391" s="6" t="n">
        <f aca="false">IF($A391="","",IF(ISNUMBER(Base_Bruta!I391),Base_Bruta!I391,IFERROR(_xlfn.NUMBERVALUE(TRIM(SUBSTITUTE(Base_Bruta!I391,"R$","")),",","."),0)))</f>
        <v>755</v>
      </c>
      <c r="J391" s="6" t="n">
        <f aca="false">IF($A391="","",H391*I391)</f>
        <v>755</v>
      </c>
      <c r="K391" s="4" t="str">
        <f aca="false">IF($A391="","",TRIM(Base_Bruta!J391))</f>
        <v>Parceiro</v>
      </c>
      <c r="L391" s="4" t="str">
        <f aca="false">IF($A391="","",TRIM(Base_Bruta!K391))</f>
        <v>C02406</v>
      </c>
      <c r="M391" s="4" t="str">
        <f aca="false">IF($A391="","",_xlfn.XLOOKUP(LOWER(TRIM(Base_Bruta!L391)),DePara_Cidade!$A$2:$A$29,DePara_Cidade!$B$2:$B$29,"REVISAR"))</f>
        <v>Contagem</v>
      </c>
      <c r="N391" s="4" t="str">
        <f aca="false">IF($A391="","",UPPER(TRIM(Base_Bruta!M391)))</f>
        <v>MG</v>
      </c>
      <c r="O391" s="4" t="str">
        <f aca="false">IF($A391="","",_xlfn.XLOOKUP(LOWER(TRIM(Base_Bruta!N391)),DePara_Pais!$A$2:$A$9,DePara_Pais!$B$2:$B$9,"REVISAR"))</f>
        <v>Brasil</v>
      </c>
      <c r="P391" s="4" t="str">
        <f aca="false">IF($A391="","",IF(O391&lt;&gt;"Brasil","Turista Internacional",IF(M391=F391,"Local","Turista Nacional")))</f>
        <v>Turista Nacional</v>
      </c>
      <c r="Q391" s="7" t="n">
        <f aca="false">IF($A391="","",DATE(YEAR(B391),MONTH(B391),1))</f>
        <v>45931</v>
      </c>
      <c r="R391" s="4" t="str">
        <f aca="false">IF($A391="","",IF(COUNTIF($A$2:$A391,$A391)&gt;1,"Sim","Não"))</f>
        <v>Não</v>
      </c>
      <c r="S391" s="4" t="str">
        <f aca="false">IF(A391="","Descartar - Linha vazia",IF(R391="Sim","Descartar - Duplicado",IF(OR(H391&lt;=0,I391&lt;=0),"Descartar - Qtd/Valor inválido","OK")))</f>
        <v>OK</v>
      </c>
      <c r="T391" s="4" t="str">
        <f aca="false">Base_Bruta!P391</f>
        <v>vendas_SP.xlsx</v>
      </c>
    </row>
    <row r="392" customFormat="false" ht="15" hidden="false" customHeight="false" outlineLevel="0" collapsed="false">
      <c r="A392" s="4" t="str">
        <f aca="false">IF(Base_Bruta!A392="","",Base_Bruta!A392)</f>
        <v>SP-000598</v>
      </c>
      <c r="B392" s="5" t="n">
        <f aca="false">IF($A392="","",IF(ISNUMBER(Base_Bruta!B392),Base_Bruta!B392,IF(MID(Base_Bruta!B392,5,1)="-",DATE(VALUE(LEFT(Base_Bruta!B392,4)),VALUE(MID(Base_Bruta!B392,6,2)),VALUE(RIGHT(Base_Bruta!B392,2))),DATE(VALUE(RIGHT(Base_Bruta!B392,4)),VALUE(MID(Base_Bruta!B392,4,2)),VALUE(LEFT(Base_Bruta!B392,2))))))</f>
        <v>45934</v>
      </c>
      <c r="C392" s="5" t="n">
        <f aca="false">IF($A392="","",IF(ISNUMBER(Base_Bruta!C392),Base_Bruta!C392,IF(MID(Base_Bruta!C392,5,1)="-",DATE(VALUE(LEFT(Base_Bruta!C392,4)),VALUE(MID(Base_Bruta!C392,6,2)),VALUE(RIGHT(Base_Bruta!C392,2))),DATE(VALUE(RIGHT(Base_Bruta!C392,4)),VALUE(MID(Base_Bruta!C392,4,2)),VALUE(LEFT(Base_Bruta!C392,2))))))</f>
        <v>45934</v>
      </c>
      <c r="D392" s="4" t="str">
        <f aca="false">IF($A392="","",TRIM(Base_Bruta!D392))</f>
        <v>Turnê Internacional Pop - SP</v>
      </c>
      <c r="E392" s="4" t="str">
        <f aca="false">IF($A392="","",_xlfn.XLOOKUP(LOWER(TRIM(Base_Bruta!E392)),DePara_Categoria!$A$2:$A$9,DePara_Categoria!$B$2:$B$9,"REVISAR"))</f>
        <v>Show</v>
      </c>
      <c r="F392" s="4" t="str">
        <f aca="false">IF($A392="","",_xlfn.XLOOKUP(LOWER(TRIM(Base_Bruta!F392)),DePara_Cidade!$A$2:$A$29,DePara_Cidade!$B$2:$B$29,"REVISAR"))</f>
        <v>São Paulo</v>
      </c>
      <c r="G392" s="4" t="str">
        <f aca="false">IF($A392="","",TRIM(Base_Bruta!G392))</f>
        <v>Inteira</v>
      </c>
      <c r="H392" s="4" t="n">
        <f aca="false">IF($A392="","",IF(ISNUMBER(Base_Bruta!H392),Base_Bruta!H392,IFERROR(_xlfn.NUMBERVALUE(TRIM(SUBSTITUTE(Base_Bruta!H392,"R$","")),",","."),0)))</f>
        <v>2</v>
      </c>
      <c r="I392" s="6" t="n">
        <f aca="false">IF($A392="","",IF(ISNUMBER(Base_Bruta!I392),Base_Bruta!I392,IFERROR(_xlfn.NUMBERVALUE(TRIM(SUBSTITUTE(Base_Bruta!I392,"R$","")),",","."),0)))</f>
        <v>485</v>
      </c>
      <c r="J392" s="6" t="n">
        <f aca="false">IF($A392="","",H392*I392)</f>
        <v>970</v>
      </c>
      <c r="K392" s="4" t="str">
        <f aca="false">IF($A392="","",TRIM(Base_Bruta!J392))</f>
        <v>App</v>
      </c>
      <c r="L392" s="4" t="str">
        <f aca="false">IF($A392="","",TRIM(Base_Bruta!K392))</f>
        <v>C02369</v>
      </c>
      <c r="M392" s="4" t="str">
        <f aca="false">IF($A392="","",_xlfn.XLOOKUP(LOWER(TRIM(Base_Bruta!L392)),DePara_Cidade!$A$2:$A$29,DePara_Cidade!$B$2:$B$29,"REVISAR"))</f>
        <v>São Paulo</v>
      </c>
      <c r="N392" s="4" t="str">
        <f aca="false">IF($A392="","",UPPER(TRIM(Base_Bruta!M392)))</f>
        <v>SP</v>
      </c>
      <c r="O392" s="4" t="str">
        <f aca="false">IF($A392="","",_xlfn.XLOOKUP(LOWER(TRIM(Base_Bruta!N392)),DePara_Pais!$A$2:$A$9,DePara_Pais!$B$2:$B$9,"REVISAR"))</f>
        <v>Brasil</v>
      </c>
      <c r="P392" s="4" t="str">
        <f aca="false">IF($A392="","",IF(O392&lt;&gt;"Brasil","Turista Internacional",IF(M392=F392,"Local","Turista Nacional")))</f>
        <v>Local</v>
      </c>
      <c r="Q392" s="7" t="n">
        <f aca="false">IF($A392="","",DATE(YEAR(B392),MONTH(B392),1))</f>
        <v>45931</v>
      </c>
      <c r="R392" s="4" t="str">
        <f aca="false">IF($A392="","",IF(COUNTIF($A$2:$A392,$A392)&gt;1,"Sim","Não"))</f>
        <v>Não</v>
      </c>
      <c r="S392" s="4" t="str">
        <f aca="false">IF(A392="","Descartar - Linha vazia",IF(R392="Sim","Descartar - Duplicado",IF(OR(H392&lt;=0,I392&lt;=0),"Descartar - Qtd/Valor inválido","OK")))</f>
        <v>OK</v>
      </c>
      <c r="T392" s="4" t="str">
        <f aca="false">Base_Bruta!P392</f>
        <v>vendas_SP.xlsx</v>
      </c>
    </row>
    <row r="393" customFormat="false" ht="15" hidden="false" customHeight="false" outlineLevel="0" collapsed="false">
      <c r="A393" s="4" t="str">
        <f aca="false">IF(Base_Bruta!A393="","",Base_Bruta!A393)</f>
        <v>SP-000222</v>
      </c>
      <c r="B393" s="5" t="n">
        <f aca="false">IF($A393="","",IF(ISNUMBER(Base_Bruta!B393),Base_Bruta!B393,IF(MID(Base_Bruta!B393,5,1)="-",DATE(VALUE(LEFT(Base_Bruta!B393,4)),VALUE(MID(Base_Bruta!B393,6,2)),VALUE(RIGHT(Base_Bruta!B393,2))),DATE(VALUE(RIGHT(Base_Bruta!B393,4)),VALUE(MID(Base_Bruta!B393,4,2)),VALUE(LEFT(Base_Bruta!B393,2))))))</f>
        <v>45935</v>
      </c>
      <c r="C393" s="5" t="n">
        <f aca="false">IF($A393="","",IF(ISNUMBER(Base_Bruta!C393),Base_Bruta!C393,IF(MID(Base_Bruta!C393,5,1)="-",DATE(VALUE(LEFT(Base_Bruta!C393,4)),VALUE(MID(Base_Bruta!C393,6,2)),VALUE(RIGHT(Base_Bruta!C393,2))),DATE(VALUE(RIGHT(Base_Bruta!C393,4)),VALUE(MID(Base_Bruta!C393,4,2)),VALUE(LEFT(Base_Bruta!C393,2))))))</f>
        <v>45976</v>
      </c>
      <c r="D393" s="4" t="str">
        <f aca="false">IF($A393="","",TRIM(Base_Bruta!D393))</f>
        <v>Festival Sonora SP 2025</v>
      </c>
      <c r="E393" s="4" t="str">
        <f aca="false">IF($A393="","",_xlfn.XLOOKUP(LOWER(TRIM(Base_Bruta!E393)),DePara_Categoria!$A$2:$A$9,DePara_Categoria!$B$2:$B$9,"REVISAR"))</f>
        <v>Festival</v>
      </c>
      <c r="F393" s="4" t="str">
        <f aca="false">IF($A393="","",_xlfn.XLOOKUP(LOWER(TRIM(Base_Bruta!F393)),DePara_Cidade!$A$2:$A$29,DePara_Cidade!$B$2:$B$29,"REVISAR"))</f>
        <v>São Paulo</v>
      </c>
      <c r="G393" s="4" t="str">
        <f aca="false">IF($A393="","",TRIM(Base_Bruta!G393))</f>
        <v>Meia</v>
      </c>
      <c r="H393" s="4" t="n">
        <f aca="false">IF($A393="","",IF(ISNUMBER(Base_Bruta!H393),Base_Bruta!H393,IFERROR(_xlfn.NUMBERVALUE(TRIM(SUBSTITUTE(Base_Bruta!H393,"R$","")),",","."),0)))</f>
        <v>1</v>
      </c>
      <c r="I393" s="6" t="n">
        <f aca="false">IF($A393="","",IF(ISNUMBER(Base_Bruta!I393),Base_Bruta!I393,IFERROR(_xlfn.NUMBERVALUE(TRIM(SUBSTITUTE(Base_Bruta!I393,"R$","")),",","."),0)))</f>
        <v>365</v>
      </c>
      <c r="J393" s="6" t="n">
        <f aca="false">IF($A393="","",H393*I393)</f>
        <v>365</v>
      </c>
      <c r="K393" s="4" t="str">
        <f aca="false">IF($A393="","",TRIM(Base_Bruta!J393))</f>
        <v>App</v>
      </c>
      <c r="L393" s="4" t="str">
        <f aca="false">IF($A393="","",TRIM(Base_Bruta!K393))</f>
        <v>C00794</v>
      </c>
      <c r="M393" s="4" t="str">
        <f aca="false">IF($A393="","",_xlfn.XLOOKUP(LOWER(TRIM(Base_Bruta!L393)),DePara_Cidade!$A$2:$A$29,DePara_Cidade!$B$2:$B$29,"REVISAR"))</f>
        <v>São Paulo</v>
      </c>
      <c r="N393" s="4" t="str">
        <f aca="false">IF($A393="","",UPPER(TRIM(Base_Bruta!M393)))</f>
        <v>SP</v>
      </c>
      <c r="O393" s="4" t="str">
        <f aca="false">IF($A393="","",_xlfn.XLOOKUP(LOWER(TRIM(Base_Bruta!N393)),DePara_Pais!$A$2:$A$9,DePara_Pais!$B$2:$B$9,"REVISAR"))</f>
        <v>Brasil</v>
      </c>
      <c r="P393" s="4" t="str">
        <f aca="false">IF($A393="","",IF(O393&lt;&gt;"Brasil","Turista Internacional",IF(M393=F393,"Local","Turista Nacional")))</f>
        <v>Local</v>
      </c>
      <c r="Q393" s="7" t="n">
        <f aca="false">IF($A393="","",DATE(YEAR(B393),MONTH(B393),1))</f>
        <v>45931</v>
      </c>
      <c r="R393" s="4" t="str">
        <f aca="false">IF($A393="","",IF(COUNTIF($A$2:$A393,$A393)&gt;1,"Sim","Não"))</f>
        <v>Não</v>
      </c>
      <c r="S393" s="4" t="str">
        <f aca="false">IF(A393="","Descartar - Linha vazia",IF(R393="Sim","Descartar - Duplicado",IF(OR(H393&lt;=0,I393&lt;=0),"Descartar - Qtd/Valor inválido","OK")))</f>
        <v>OK</v>
      </c>
      <c r="T393" s="4" t="str">
        <f aca="false">Base_Bruta!P393</f>
        <v>vendas_SP.xlsx</v>
      </c>
    </row>
    <row r="394" customFormat="false" ht="15" hidden="false" customHeight="false" outlineLevel="0" collapsed="false">
      <c r="A394" s="4" t="str">
        <f aca="false">IF(Base_Bruta!A394="","",Base_Bruta!A394)</f>
        <v>SP-000215</v>
      </c>
      <c r="B394" s="5" t="n">
        <f aca="false">IF($A394="","",IF(ISNUMBER(Base_Bruta!B394),Base_Bruta!B394,IF(MID(Base_Bruta!B394,5,1)="-",DATE(VALUE(LEFT(Base_Bruta!B394,4)),VALUE(MID(Base_Bruta!B394,6,2)),VALUE(RIGHT(Base_Bruta!B394,2))),DATE(VALUE(RIGHT(Base_Bruta!B394,4)),VALUE(MID(Base_Bruta!B394,4,2)),VALUE(LEFT(Base_Bruta!B394,2))))))</f>
        <v>45936</v>
      </c>
      <c r="C394" s="5" t="n">
        <f aca="false">IF($A394="","",IF(ISNUMBER(Base_Bruta!C394),Base_Bruta!C394,IF(MID(Base_Bruta!C394,5,1)="-",DATE(VALUE(LEFT(Base_Bruta!C394,4)),VALUE(MID(Base_Bruta!C394,6,2)),VALUE(RIGHT(Base_Bruta!C394,2))),DATE(VALUE(RIGHT(Base_Bruta!C394,4)),VALUE(MID(Base_Bruta!C394,4,2)),VALUE(LEFT(Base_Bruta!C394,2))))))</f>
        <v>45976</v>
      </c>
      <c r="D394" s="4" t="str">
        <f aca="false">IF($A394="","",TRIM(Base_Bruta!D394))</f>
        <v>Festival Sonora SP 2025</v>
      </c>
      <c r="E394" s="4" t="str">
        <f aca="false">IF($A394="","",_xlfn.XLOOKUP(LOWER(TRIM(Base_Bruta!E394)),DePara_Categoria!$A$2:$A$9,DePara_Categoria!$B$2:$B$9,"REVISAR"))</f>
        <v>Festival</v>
      </c>
      <c r="F394" s="4" t="str">
        <f aca="false">IF($A394="","",_xlfn.XLOOKUP(LOWER(TRIM(Base_Bruta!F394)),DePara_Cidade!$A$2:$A$29,DePara_Cidade!$B$2:$B$29,"REVISAR"))</f>
        <v>São Paulo</v>
      </c>
      <c r="G394" s="4" t="str">
        <f aca="false">IF($A394="","",TRIM(Base_Bruta!G394))</f>
        <v>Meia</v>
      </c>
      <c r="H394" s="4" t="n">
        <f aca="false">IF($A394="","",IF(ISNUMBER(Base_Bruta!H394),Base_Bruta!H394,IFERROR(_xlfn.NUMBERVALUE(TRIM(SUBSTITUTE(Base_Bruta!H394,"R$","")),",","."),0)))</f>
        <v>1</v>
      </c>
      <c r="I394" s="6" t="n">
        <f aca="false">IF($A394="","",IF(ISNUMBER(Base_Bruta!I394),Base_Bruta!I394,IFERROR(_xlfn.NUMBERVALUE(TRIM(SUBSTITUTE(Base_Bruta!I394,"R$","")),",","."),0)))</f>
        <v>570</v>
      </c>
      <c r="J394" s="6" t="n">
        <f aca="false">IF($A394="","",H394*I394)</f>
        <v>570</v>
      </c>
      <c r="K394" s="4" t="str">
        <f aca="false">IF($A394="","",TRIM(Base_Bruta!J394))</f>
        <v>App</v>
      </c>
      <c r="L394" s="4" t="str">
        <f aca="false">IF($A394="","",TRIM(Base_Bruta!K394))</f>
        <v>C00277</v>
      </c>
      <c r="M394" s="4" t="str">
        <f aca="false">IF($A394="","",_xlfn.XLOOKUP(LOWER(TRIM(Base_Bruta!L394)),DePara_Cidade!$A$2:$A$29,DePara_Cidade!$B$2:$B$29,"REVISAR"))</f>
        <v>Santiago</v>
      </c>
      <c r="N394" s="4" t="str">
        <f aca="false">IF($A394="","",UPPER(TRIM(Base_Bruta!M394)))</f>
        <v>EX</v>
      </c>
      <c r="O394" s="4" t="str">
        <f aca="false">IF($A394="","",_xlfn.XLOOKUP(LOWER(TRIM(Base_Bruta!N394)),DePara_Pais!$A$2:$A$9,DePara_Pais!$B$2:$B$9,"REVISAR"))</f>
        <v>Chile</v>
      </c>
      <c r="P394" s="4" t="str">
        <f aca="false">IF($A394="","",IF(O394&lt;&gt;"Brasil","Turista Internacional",IF(M394=F394,"Local","Turista Nacional")))</f>
        <v>Turista Internacional</v>
      </c>
      <c r="Q394" s="7" t="n">
        <f aca="false">IF($A394="","",DATE(YEAR(B394),MONTH(B394),1))</f>
        <v>45931</v>
      </c>
      <c r="R394" s="4" t="str">
        <f aca="false">IF($A394="","",IF(COUNTIF($A$2:$A394,$A394)&gt;1,"Sim","Não"))</f>
        <v>Não</v>
      </c>
      <c r="S394" s="4" t="str">
        <f aca="false">IF(A394="","Descartar - Linha vazia",IF(R394="Sim","Descartar - Duplicado",IF(OR(H394&lt;=0,I394&lt;=0),"Descartar - Qtd/Valor inválido","OK")))</f>
        <v>OK</v>
      </c>
      <c r="T394" s="4" t="str">
        <f aca="false">Base_Bruta!P394</f>
        <v>vendas_SP.xlsx</v>
      </c>
    </row>
    <row r="395" customFormat="false" ht="15" hidden="false" customHeight="false" outlineLevel="0" collapsed="false">
      <c r="A395" s="4" t="str">
        <f aca="false">IF(Base_Bruta!A395="","",Base_Bruta!A395)</f>
        <v>SP-000184</v>
      </c>
      <c r="B395" s="5" t="n">
        <f aca="false">IF($A395="","",IF(ISNUMBER(Base_Bruta!B395),Base_Bruta!B395,IF(MID(Base_Bruta!B395,5,1)="-",DATE(VALUE(LEFT(Base_Bruta!B395,4)),VALUE(MID(Base_Bruta!B395,6,2)),VALUE(RIGHT(Base_Bruta!B395,2))),DATE(VALUE(RIGHT(Base_Bruta!B395,4)),VALUE(MID(Base_Bruta!B395,4,2)),VALUE(LEFT(Base_Bruta!B395,2))))))</f>
        <v>45937</v>
      </c>
      <c r="C395" s="5" t="n">
        <f aca="false">IF($A395="","",IF(ISNUMBER(Base_Bruta!C395),Base_Bruta!C395,IF(MID(Base_Bruta!C395,5,1)="-",DATE(VALUE(LEFT(Base_Bruta!C395,4)),VALUE(MID(Base_Bruta!C395,6,2)),VALUE(RIGHT(Base_Bruta!C395,2))),DATE(VALUE(RIGHT(Base_Bruta!C395,4)),VALUE(MID(Base_Bruta!C395,4,2)),VALUE(LEFT(Base_Bruta!C395,2))))))</f>
        <v>45976</v>
      </c>
      <c r="D395" s="4" t="str">
        <f aca="false">IF($A395="","",TRIM(Base_Bruta!D395))</f>
        <v>Festival Sonora SP 2025</v>
      </c>
      <c r="E395" s="4" t="str">
        <f aca="false">IF($A395="","",_xlfn.XLOOKUP(LOWER(TRIM(Base_Bruta!E395)),DePara_Categoria!$A$2:$A$9,DePara_Categoria!$B$2:$B$9,"REVISAR"))</f>
        <v>Festival</v>
      </c>
      <c r="F395" s="4" t="str">
        <f aca="false">IF($A395="","",_xlfn.XLOOKUP(LOWER(TRIM(Base_Bruta!F395)),DePara_Cidade!$A$2:$A$29,DePara_Cidade!$B$2:$B$29,"REVISAR"))</f>
        <v>São Paulo</v>
      </c>
      <c r="G395" s="4" t="str">
        <f aca="false">IF($A395="","",TRIM(Base_Bruta!G395))</f>
        <v>Inteira</v>
      </c>
      <c r="H395" s="4" t="n">
        <f aca="false">IF($A395="","",IF(ISNUMBER(Base_Bruta!H395),Base_Bruta!H395,IFERROR(_xlfn.NUMBERVALUE(TRIM(SUBSTITUTE(Base_Bruta!H395,"R$","")),",","."),0)))</f>
        <v>1</v>
      </c>
      <c r="I395" s="6" t="n">
        <f aca="false">IF($A395="","",IF(ISNUMBER(Base_Bruta!I395),Base_Bruta!I395,IFERROR(_xlfn.NUMBERVALUE(TRIM(SUBSTITUTE(Base_Bruta!I395,"R$","")),",","."),0)))</f>
        <v>990</v>
      </c>
      <c r="J395" s="6" t="n">
        <f aca="false">IF($A395="","",H395*I395)</f>
        <v>990</v>
      </c>
      <c r="K395" s="4" t="str">
        <f aca="false">IF($A395="","",TRIM(Base_Bruta!J395))</f>
        <v>Site</v>
      </c>
      <c r="L395" s="4" t="str">
        <f aca="false">IF($A395="","",TRIM(Base_Bruta!K395))</f>
        <v>C01469</v>
      </c>
      <c r="M395" s="4" t="str">
        <f aca="false">IF($A395="","",_xlfn.XLOOKUP(LOWER(TRIM(Base_Bruta!L395)),DePara_Cidade!$A$2:$A$29,DePara_Cidade!$B$2:$B$29,"REVISAR"))</f>
        <v>São Paulo</v>
      </c>
      <c r="N395" s="4" t="str">
        <f aca="false">IF($A395="","",UPPER(TRIM(Base_Bruta!M395)))</f>
        <v>SP</v>
      </c>
      <c r="O395" s="4" t="str">
        <f aca="false">IF($A395="","",_xlfn.XLOOKUP(LOWER(TRIM(Base_Bruta!N395)),DePara_Pais!$A$2:$A$9,DePara_Pais!$B$2:$B$9,"REVISAR"))</f>
        <v>Brasil</v>
      </c>
      <c r="P395" s="4" t="str">
        <f aca="false">IF($A395="","",IF(O395&lt;&gt;"Brasil","Turista Internacional",IF(M395=F395,"Local","Turista Nacional")))</f>
        <v>Local</v>
      </c>
      <c r="Q395" s="7" t="n">
        <f aca="false">IF($A395="","",DATE(YEAR(B395),MONTH(B395),1))</f>
        <v>45931</v>
      </c>
      <c r="R395" s="4" t="str">
        <f aca="false">IF($A395="","",IF(COUNTIF($A$2:$A395,$A395)&gt;1,"Sim","Não"))</f>
        <v>Não</v>
      </c>
      <c r="S395" s="4" t="str">
        <f aca="false">IF(A395="","Descartar - Linha vazia",IF(R395="Sim","Descartar - Duplicado",IF(OR(H395&lt;=0,I395&lt;=0),"Descartar - Qtd/Valor inválido","OK")))</f>
        <v>OK</v>
      </c>
      <c r="T395" s="4" t="str">
        <f aca="false">Base_Bruta!P395</f>
        <v>vendas_SP.xlsx</v>
      </c>
    </row>
    <row r="396" customFormat="false" ht="15" hidden="false" customHeight="false" outlineLevel="0" collapsed="false">
      <c r="A396" s="4" t="str">
        <f aca="false">IF(Base_Bruta!A396="","",Base_Bruta!A396)</f>
        <v>SP-000030</v>
      </c>
      <c r="B396" s="5" t="n">
        <f aca="false">IF($A396="","",IF(ISNUMBER(Base_Bruta!B396),Base_Bruta!B396,IF(MID(Base_Bruta!B396,5,1)="-",DATE(VALUE(LEFT(Base_Bruta!B396,4)),VALUE(MID(Base_Bruta!B396,6,2)),VALUE(RIGHT(Base_Bruta!B396,2))),DATE(VALUE(RIGHT(Base_Bruta!B396,4)),VALUE(MID(Base_Bruta!B396,4,2)),VALUE(LEFT(Base_Bruta!B396,2))))))</f>
        <v>45938</v>
      </c>
      <c r="C396" s="5" t="n">
        <f aca="false">IF($A396="","",IF(ISNUMBER(Base_Bruta!C396),Base_Bruta!C396,IF(MID(Base_Bruta!C396,5,1)="-",DATE(VALUE(LEFT(Base_Bruta!C396,4)),VALUE(MID(Base_Bruta!C396,6,2)),VALUE(RIGHT(Base_Bruta!C396,2))),DATE(VALUE(RIGHT(Base_Bruta!C396,4)),VALUE(MID(Base_Bruta!C396,4,2)),VALUE(LEFT(Base_Bruta!C396,2))))))</f>
        <v>45976</v>
      </c>
      <c r="D396" s="4" t="str">
        <f aca="false">IF($A396="","",TRIM(Base_Bruta!D396))</f>
        <v>Festival Sonora SP 2025</v>
      </c>
      <c r="E396" s="4" t="str">
        <f aca="false">IF($A396="","",_xlfn.XLOOKUP(LOWER(TRIM(Base_Bruta!E396)),DePara_Categoria!$A$2:$A$9,DePara_Categoria!$B$2:$B$9,"REVISAR"))</f>
        <v>Festival</v>
      </c>
      <c r="F396" s="4" t="str">
        <f aca="false">IF($A396="","",_xlfn.XLOOKUP(LOWER(TRIM(Base_Bruta!F396)),DePara_Cidade!$A$2:$A$29,DePara_Cidade!$B$2:$B$29,"REVISAR"))</f>
        <v>São Paulo</v>
      </c>
      <c r="G396" s="4" t="str">
        <f aca="false">IF($A396="","",TRIM(Base_Bruta!G396))</f>
        <v>Meia</v>
      </c>
      <c r="H396" s="4" t="n">
        <f aca="false">IF($A396="","",IF(ISNUMBER(Base_Bruta!H396),Base_Bruta!H396,IFERROR(_xlfn.NUMBERVALUE(TRIM(SUBSTITUTE(Base_Bruta!H396,"R$","")),",","."),0)))</f>
        <v>2</v>
      </c>
      <c r="I396" s="6" t="n">
        <f aca="false">IF($A396="","",IF(ISNUMBER(Base_Bruta!I396),Base_Bruta!I396,IFERROR(_xlfn.NUMBERVALUE(TRIM(SUBSTITUTE(Base_Bruta!I396,"R$","")),",","."),0)))</f>
        <v>520</v>
      </c>
      <c r="J396" s="6" t="n">
        <f aca="false">IF($A396="","",H396*I396)</f>
        <v>1040</v>
      </c>
      <c r="K396" s="4" t="str">
        <f aca="false">IF($A396="","",TRIM(Base_Bruta!J396))</f>
        <v>Site</v>
      </c>
      <c r="L396" s="4" t="str">
        <f aca="false">IF($A396="","",TRIM(Base_Bruta!K396))</f>
        <v>C01644</v>
      </c>
      <c r="M396" s="4" t="str">
        <f aca="false">IF($A396="","",_xlfn.XLOOKUP(LOWER(TRIM(Base_Bruta!L396)),DePara_Cidade!$A$2:$A$29,DePara_Cidade!$B$2:$B$29,"REVISAR"))</f>
        <v>Recife</v>
      </c>
      <c r="N396" s="4" t="str">
        <f aca="false">IF($A396="","",UPPER(TRIM(Base_Bruta!M396)))</f>
        <v>PE</v>
      </c>
      <c r="O396" s="4" t="str">
        <f aca="false">IF($A396="","",_xlfn.XLOOKUP(LOWER(TRIM(Base_Bruta!N396)),DePara_Pais!$A$2:$A$9,DePara_Pais!$B$2:$B$9,"REVISAR"))</f>
        <v>Brasil</v>
      </c>
      <c r="P396" s="4" t="str">
        <f aca="false">IF($A396="","",IF(O396&lt;&gt;"Brasil","Turista Internacional",IF(M396=F396,"Local","Turista Nacional")))</f>
        <v>Turista Nacional</v>
      </c>
      <c r="Q396" s="7" t="n">
        <f aca="false">IF($A396="","",DATE(YEAR(B396),MONTH(B396),1))</f>
        <v>45931</v>
      </c>
      <c r="R396" s="4" t="str">
        <f aca="false">IF($A396="","",IF(COUNTIF($A$2:$A396,$A396)&gt;1,"Sim","Não"))</f>
        <v>Não</v>
      </c>
      <c r="S396" s="4" t="str">
        <f aca="false">IF(A396="","Descartar - Linha vazia",IF(R396="Sim","Descartar - Duplicado",IF(OR(H396&lt;=0,I396&lt;=0),"Descartar - Qtd/Valor inválido","OK")))</f>
        <v>OK</v>
      </c>
      <c r="T396" s="4" t="str">
        <f aca="false">Base_Bruta!P396</f>
        <v>vendas_SP.xlsx</v>
      </c>
    </row>
    <row r="397" customFormat="false" ht="15" hidden="false" customHeight="false" outlineLevel="0" collapsed="false">
      <c r="A397" s="4" t="str">
        <f aca="false">IF(Base_Bruta!A397="","",Base_Bruta!A397)</f>
        <v>SP-000078</v>
      </c>
      <c r="B397" s="5" t="n">
        <f aca="false">IF($A397="","",IF(ISNUMBER(Base_Bruta!B397),Base_Bruta!B397,IF(MID(Base_Bruta!B397,5,1)="-",DATE(VALUE(LEFT(Base_Bruta!B397,4)),VALUE(MID(Base_Bruta!B397,6,2)),VALUE(RIGHT(Base_Bruta!B397,2))),DATE(VALUE(RIGHT(Base_Bruta!B397,4)),VALUE(MID(Base_Bruta!B397,4,2)),VALUE(LEFT(Base_Bruta!B397,2))))))</f>
        <v>45940</v>
      </c>
      <c r="C397" s="5" t="n">
        <f aca="false">IF($A397="","",IF(ISNUMBER(Base_Bruta!C397),Base_Bruta!C397,IF(MID(Base_Bruta!C397,5,1)="-",DATE(VALUE(LEFT(Base_Bruta!C397,4)),VALUE(MID(Base_Bruta!C397,6,2)),VALUE(RIGHT(Base_Bruta!C397,2))),DATE(VALUE(RIGHT(Base_Bruta!C397,4)),VALUE(MID(Base_Bruta!C397,4,2)),VALUE(LEFT(Base_Bruta!C397,2))))))</f>
        <v>45976</v>
      </c>
      <c r="D397" s="4" t="str">
        <f aca="false">IF($A397="","",TRIM(Base_Bruta!D397))</f>
        <v>Festival Sonora SP 2025</v>
      </c>
      <c r="E397" s="4" t="str">
        <f aca="false">IF($A397="","",_xlfn.XLOOKUP(LOWER(TRIM(Base_Bruta!E397)),DePara_Categoria!$A$2:$A$9,DePara_Categoria!$B$2:$B$9,"REVISAR"))</f>
        <v>Festival</v>
      </c>
      <c r="F397" s="4" t="str">
        <f aca="false">IF($A397="","",_xlfn.XLOOKUP(LOWER(TRIM(Base_Bruta!F397)),DePara_Cidade!$A$2:$A$29,DePara_Cidade!$B$2:$B$29,"REVISAR"))</f>
        <v>São Paulo</v>
      </c>
      <c r="G397" s="4" t="str">
        <f aca="false">IF($A397="","",TRIM(Base_Bruta!G397))</f>
        <v>Inteira</v>
      </c>
      <c r="H397" s="4" t="n">
        <f aca="false">IF($A397="","",IF(ISNUMBER(Base_Bruta!H397),Base_Bruta!H397,IFERROR(_xlfn.NUMBERVALUE(TRIM(SUBSTITUTE(Base_Bruta!H397,"R$","")),",","."),0)))</f>
        <v>1</v>
      </c>
      <c r="I397" s="6" t="n">
        <f aca="false">IF($A397="","",IF(ISNUMBER(Base_Bruta!I397),Base_Bruta!I397,IFERROR(_xlfn.NUMBERVALUE(TRIM(SUBSTITUTE(Base_Bruta!I397,"R$","")),",","."),0)))</f>
        <v>880</v>
      </c>
      <c r="J397" s="6" t="n">
        <f aca="false">IF($A397="","",H397*I397)</f>
        <v>880</v>
      </c>
      <c r="K397" s="4" t="str">
        <f aca="false">IF($A397="","",TRIM(Base_Bruta!J397))</f>
        <v>App</v>
      </c>
      <c r="L397" s="4" t="str">
        <f aca="false">IF($A397="","",TRIM(Base_Bruta!K397))</f>
        <v>C01017</v>
      </c>
      <c r="M397" s="4" t="str">
        <f aca="false">IF($A397="","",_xlfn.XLOOKUP(LOWER(TRIM(Base_Bruta!L397)),DePara_Cidade!$A$2:$A$29,DePara_Cidade!$B$2:$B$29,"REVISAR"))</f>
        <v>São Paulo</v>
      </c>
      <c r="N397" s="4" t="str">
        <f aca="false">IF($A397="","",UPPER(TRIM(Base_Bruta!M397)))</f>
        <v>SP</v>
      </c>
      <c r="O397" s="4" t="str">
        <f aca="false">IF($A397="","",_xlfn.XLOOKUP(LOWER(TRIM(Base_Bruta!N397)),DePara_Pais!$A$2:$A$9,DePara_Pais!$B$2:$B$9,"REVISAR"))</f>
        <v>Brasil</v>
      </c>
      <c r="P397" s="4" t="str">
        <f aca="false">IF($A397="","",IF(O397&lt;&gt;"Brasil","Turista Internacional",IF(M397=F397,"Local","Turista Nacional")))</f>
        <v>Local</v>
      </c>
      <c r="Q397" s="7" t="n">
        <f aca="false">IF($A397="","",DATE(YEAR(B397),MONTH(B397),1))</f>
        <v>45931</v>
      </c>
      <c r="R397" s="4" t="str">
        <f aca="false">IF($A397="","",IF(COUNTIF($A$2:$A397,$A397)&gt;1,"Sim","Não"))</f>
        <v>Não</v>
      </c>
      <c r="S397" s="4" t="str">
        <f aca="false">IF(A397="","Descartar - Linha vazia",IF(R397="Sim","Descartar - Duplicado",IF(OR(H397&lt;=0,I397&lt;=0),"Descartar - Qtd/Valor inválido","OK")))</f>
        <v>OK</v>
      </c>
      <c r="T397" s="4" t="str">
        <f aca="false">Base_Bruta!P397</f>
        <v>vendas_SP.xlsx</v>
      </c>
    </row>
    <row r="398" customFormat="false" ht="15" hidden="false" customHeight="false" outlineLevel="0" collapsed="false">
      <c r="A398" s="4" t="str">
        <f aca="false">IF(Base_Bruta!A398="","",Base_Bruta!A398)</f>
        <v>SP-000057</v>
      </c>
      <c r="B398" s="5" t="n">
        <f aca="false">IF($A398="","",IF(ISNUMBER(Base_Bruta!B398),Base_Bruta!B398,IF(MID(Base_Bruta!B398,5,1)="-",DATE(VALUE(LEFT(Base_Bruta!B398,4)),VALUE(MID(Base_Bruta!B398,6,2)),VALUE(RIGHT(Base_Bruta!B398,2))),DATE(VALUE(RIGHT(Base_Bruta!B398,4)),VALUE(MID(Base_Bruta!B398,4,2)),VALUE(LEFT(Base_Bruta!B398,2))))))</f>
        <v>45941</v>
      </c>
      <c r="C398" s="5" t="n">
        <f aca="false">IF($A398="","",IF(ISNUMBER(Base_Bruta!C398),Base_Bruta!C398,IF(MID(Base_Bruta!C398,5,1)="-",DATE(VALUE(LEFT(Base_Bruta!C398,4)),VALUE(MID(Base_Bruta!C398,6,2)),VALUE(RIGHT(Base_Bruta!C398,2))),DATE(VALUE(RIGHT(Base_Bruta!C398,4)),VALUE(MID(Base_Bruta!C398,4,2)),VALUE(LEFT(Base_Bruta!C398,2))))))</f>
        <v>45976</v>
      </c>
      <c r="D398" s="4" t="str">
        <f aca="false">IF($A398="","",TRIM(Base_Bruta!D398))</f>
        <v>Festival Sonora SP 2025</v>
      </c>
      <c r="E398" s="4" t="str">
        <f aca="false">IF($A398="","",_xlfn.XLOOKUP(LOWER(TRIM(Base_Bruta!E398)),DePara_Categoria!$A$2:$A$9,DePara_Categoria!$B$2:$B$9,"REVISAR"))</f>
        <v>Festival</v>
      </c>
      <c r="F398" s="4" t="str">
        <f aca="false">IF($A398="","",_xlfn.XLOOKUP(LOWER(TRIM(Base_Bruta!F398)),DePara_Cidade!$A$2:$A$29,DePara_Cidade!$B$2:$B$29,"REVISAR"))</f>
        <v>São Paulo</v>
      </c>
      <c r="G398" s="4" t="str">
        <f aca="false">IF($A398="","",TRIM(Base_Bruta!G398))</f>
        <v>VIP</v>
      </c>
      <c r="H398" s="4" t="n">
        <f aca="false">IF($A398="","",IF(ISNUMBER(Base_Bruta!H398),Base_Bruta!H398,IFERROR(_xlfn.NUMBERVALUE(TRIM(SUBSTITUTE(Base_Bruta!H398,"R$","")),",","."),0)))</f>
        <v>2</v>
      </c>
      <c r="I398" s="6" t="n">
        <f aca="false">IF($A398="","",IF(ISNUMBER(Base_Bruta!I398),Base_Bruta!I398,IFERROR(_xlfn.NUMBERVALUE(TRIM(SUBSTITUTE(Base_Bruta!I398,"R$","")),",","."),0)))</f>
        <v>1760</v>
      </c>
      <c r="J398" s="6" t="n">
        <f aca="false">IF($A398="","",H398*I398)</f>
        <v>3520</v>
      </c>
      <c r="K398" s="4" t="str">
        <f aca="false">IF($A398="","",TRIM(Base_Bruta!J398))</f>
        <v>Site</v>
      </c>
      <c r="L398" s="4" t="str">
        <f aca="false">IF($A398="","",TRIM(Base_Bruta!K398))</f>
        <v>C01077</v>
      </c>
      <c r="M398" s="4" t="str">
        <f aca="false">IF($A398="","",_xlfn.XLOOKUP(LOWER(TRIM(Base_Bruta!L398)),DePara_Cidade!$A$2:$A$29,DePara_Cidade!$B$2:$B$29,"REVISAR"))</f>
        <v>São Paulo</v>
      </c>
      <c r="N398" s="4" t="str">
        <f aca="false">IF($A398="","",UPPER(TRIM(Base_Bruta!M398)))</f>
        <v>SP</v>
      </c>
      <c r="O398" s="4" t="str">
        <f aca="false">IF($A398="","",_xlfn.XLOOKUP(LOWER(TRIM(Base_Bruta!N398)),DePara_Pais!$A$2:$A$9,DePara_Pais!$B$2:$B$9,"REVISAR"))</f>
        <v>Brasil</v>
      </c>
      <c r="P398" s="4" t="str">
        <f aca="false">IF($A398="","",IF(O398&lt;&gt;"Brasil","Turista Internacional",IF(M398=F398,"Local","Turista Nacional")))</f>
        <v>Local</v>
      </c>
      <c r="Q398" s="7" t="n">
        <f aca="false">IF($A398="","",DATE(YEAR(B398),MONTH(B398),1))</f>
        <v>45931</v>
      </c>
      <c r="R398" s="4" t="str">
        <f aca="false">IF($A398="","",IF(COUNTIF($A$2:$A398,$A398)&gt;1,"Sim","Não"))</f>
        <v>Não</v>
      </c>
      <c r="S398" s="4" t="str">
        <f aca="false">IF(A398="","Descartar - Linha vazia",IF(R398="Sim","Descartar - Duplicado",IF(OR(H398&lt;=0,I398&lt;=0),"Descartar - Qtd/Valor inválido","OK")))</f>
        <v>OK</v>
      </c>
      <c r="T398" s="4" t="str">
        <f aca="false">Base_Bruta!P398</f>
        <v>vendas_SP.xlsx</v>
      </c>
    </row>
    <row r="399" customFormat="false" ht="15" hidden="false" customHeight="false" outlineLevel="0" collapsed="false">
      <c r="A399" s="4" t="str">
        <f aca="false">IF(Base_Bruta!A399="","",Base_Bruta!A399)</f>
        <v>SP-000004</v>
      </c>
      <c r="B399" s="5" t="n">
        <f aca="false">IF($A399="","",IF(ISNUMBER(Base_Bruta!B399),Base_Bruta!B399,IF(MID(Base_Bruta!B399,5,1)="-",DATE(VALUE(LEFT(Base_Bruta!B399,4)),VALUE(MID(Base_Bruta!B399,6,2)),VALUE(RIGHT(Base_Bruta!B399,2))),DATE(VALUE(RIGHT(Base_Bruta!B399,4)),VALUE(MID(Base_Bruta!B399,4,2)),VALUE(LEFT(Base_Bruta!B399,2))))))</f>
        <v>45942</v>
      </c>
      <c r="C399" s="5" t="n">
        <f aca="false">IF($A399="","",IF(ISNUMBER(Base_Bruta!C399),Base_Bruta!C399,IF(MID(Base_Bruta!C399,5,1)="-",DATE(VALUE(LEFT(Base_Bruta!C399,4)),VALUE(MID(Base_Bruta!C399,6,2)),VALUE(RIGHT(Base_Bruta!C399,2))),DATE(VALUE(RIGHT(Base_Bruta!C399,4)),VALUE(MID(Base_Bruta!C399,4,2)),VALUE(LEFT(Base_Bruta!C399,2))))))</f>
        <v>45976</v>
      </c>
      <c r="D399" s="4" t="str">
        <f aca="false">IF($A399="","",TRIM(Base_Bruta!D399))</f>
        <v>Festival Sonora SP 2025</v>
      </c>
      <c r="E399" s="4" t="str">
        <f aca="false">IF($A399="","",_xlfn.XLOOKUP(LOWER(TRIM(Base_Bruta!E399)),DePara_Categoria!$A$2:$A$9,DePara_Categoria!$B$2:$B$9,"REVISAR"))</f>
        <v>Festival</v>
      </c>
      <c r="F399" s="4" t="str">
        <f aca="false">IF($A399="","",_xlfn.XLOOKUP(LOWER(TRIM(Base_Bruta!F399)),DePara_Cidade!$A$2:$A$29,DePara_Cidade!$B$2:$B$29,"REVISAR"))</f>
        <v>São Paulo</v>
      </c>
      <c r="G399" s="4" t="str">
        <f aca="false">IF($A399="","",TRIM(Base_Bruta!G399))</f>
        <v>VIP</v>
      </c>
      <c r="H399" s="4" t="n">
        <f aca="false">IF($A399="","",IF(ISNUMBER(Base_Bruta!H399),Base_Bruta!H399,IFERROR(_xlfn.NUMBERVALUE(TRIM(SUBSTITUTE(Base_Bruta!H399,"R$","")),",","."),0)))</f>
        <v>1</v>
      </c>
      <c r="I399" s="6" t="n">
        <f aca="false">IF($A399="","",IF(ISNUMBER(Base_Bruta!I399),Base_Bruta!I399,IFERROR(_xlfn.NUMBERVALUE(TRIM(SUBSTITUTE(Base_Bruta!I399,"R$","")),",","."),0)))</f>
        <v>1560</v>
      </c>
      <c r="J399" s="6" t="n">
        <f aca="false">IF($A399="","",H399*I399)</f>
        <v>1560</v>
      </c>
      <c r="K399" s="4" t="str">
        <f aca="false">IF($A399="","",TRIM(Base_Bruta!J399))</f>
        <v>App</v>
      </c>
      <c r="L399" s="4" t="str">
        <f aca="false">IF($A399="","",TRIM(Base_Bruta!K399))</f>
        <v>C00290</v>
      </c>
      <c r="M399" s="4" t="str">
        <f aca="false">IF($A399="","",_xlfn.XLOOKUP(LOWER(TRIM(Base_Bruta!L399)),DePara_Cidade!$A$2:$A$29,DePara_Cidade!$B$2:$B$29,"REVISAR"))</f>
        <v>Santos</v>
      </c>
      <c r="N399" s="4" t="str">
        <f aca="false">IF($A399="","",UPPER(TRIM(Base_Bruta!M399)))</f>
        <v>SP</v>
      </c>
      <c r="O399" s="4" t="str">
        <f aca="false">IF($A399="","",_xlfn.XLOOKUP(LOWER(TRIM(Base_Bruta!N399)),DePara_Pais!$A$2:$A$9,DePara_Pais!$B$2:$B$9,"REVISAR"))</f>
        <v>Brasil</v>
      </c>
      <c r="P399" s="4" t="str">
        <f aca="false">IF($A399="","",IF(O399&lt;&gt;"Brasil","Turista Internacional",IF(M399=F399,"Local","Turista Nacional")))</f>
        <v>Turista Nacional</v>
      </c>
      <c r="Q399" s="7" t="n">
        <f aca="false">IF($A399="","",DATE(YEAR(B399),MONTH(B399),1))</f>
        <v>45931</v>
      </c>
      <c r="R399" s="4" t="str">
        <f aca="false">IF($A399="","",IF(COUNTIF($A$2:$A399,$A399)&gt;1,"Sim","Não"))</f>
        <v>Não</v>
      </c>
      <c r="S399" s="4" t="str">
        <f aca="false">IF(A399="","Descartar - Linha vazia",IF(R399="Sim","Descartar - Duplicado",IF(OR(H399&lt;=0,I399&lt;=0),"Descartar - Qtd/Valor inválido","OK")))</f>
        <v>OK</v>
      </c>
      <c r="T399" s="4" t="str">
        <f aca="false">Base_Bruta!P399</f>
        <v>vendas_SP.xlsx</v>
      </c>
    </row>
    <row r="400" customFormat="false" ht="15" hidden="false" customHeight="false" outlineLevel="0" collapsed="false">
      <c r="A400" s="4" t="str">
        <f aca="false">IF(Base_Bruta!A400="","",Base_Bruta!A400)</f>
        <v>SP-000007</v>
      </c>
      <c r="B400" s="5" t="n">
        <f aca="false">IF($A400="","",IF(ISNUMBER(Base_Bruta!B400),Base_Bruta!B400,IF(MID(Base_Bruta!B400,5,1)="-",DATE(VALUE(LEFT(Base_Bruta!B400,4)),VALUE(MID(Base_Bruta!B400,6,2)),VALUE(RIGHT(Base_Bruta!B400,2))),DATE(VALUE(RIGHT(Base_Bruta!B400,4)),VALUE(MID(Base_Bruta!B400,4,2)),VALUE(LEFT(Base_Bruta!B400,2))))))</f>
        <v>45942</v>
      </c>
      <c r="C400" s="5" t="n">
        <f aca="false">IF($A400="","",IF(ISNUMBER(Base_Bruta!C400),Base_Bruta!C400,IF(MID(Base_Bruta!C400,5,1)="-",DATE(VALUE(LEFT(Base_Bruta!C400,4)),VALUE(MID(Base_Bruta!C400,6,2)),VALUE(RIGHT(Base_Bruta!C400,2))),DATE(VALUE(RIGHT(Base_Bruta!C400,4)),VALUE(MID(Base_Bruta!C400,4,2)),VALUE(LEFT(Base_Bruta!C400,2))))))</f>
        <v>45976</v>
      </c>
      <c r="D400" s="4" t="str">
        <f aca="false">IF($A400="","",TRIM(Base_Bruta!D400))</f>
        <v>Festival Sonora SP 2025</v>
      </c>
      <c r="E400" s="4" t="str">
        <f aca="false">IF($A400="","",_xlfn.XLOOKUP(LOWER(TRIM(Base_Bruta!E400)),DePara_Categoria!$A$2:$A$9,DePara_Categoria!$B$2:$B$9,"REVISAR"))</f>
        <v>Festival</v>
      </c>
      <c r="F400" s="4" t="str">
        <f aca="false">IF($A400="","",_xlfn.XLOOKUP(LOWER(TRIM(Base_Bruta!F400)),DePara_Cidade!$A$2:$A$29,DePara_Cidade!$B$2:$B$29,"REVISAR"))</f>
        <v>São Paulo</v>
      </c>
      <c r="G400" s="4" t="str">
        <f aca="false">IF($A400="","",TRIM(Base_Bruta!G400))</f>
        <v>Inteira</v>
      </c>
      <c r="H400" s="4" t="n">
        <f aca="false">IF($A400="","",IF(ISNUMBER(Base_Bruta!H400),Base_Bruta!H400,IFERROR(_xlfn.NUMBERVALUE(TRIM(SUBSTITUTE(Base_Bruta!H400,"R$","")),",","."),0)))</f>
        <v>2</v>
      </c>
      <c r="I400" s="6" t="n">
        <f aca="false">IF($A400="","",IF(ISNUMBER(Base_Bruta!I400),Base_Bruta!I400,IFERROR(_xlfn.NUMBERVALUE(TRIM(SUBSTITUTE(Base_Bruta!I400,"R$","")),",","."),0)))</f>
        <v>680</v>
      </c>
      <c r="J400" s="6" t="n">
        <f aca="false">IF($A400="","",H400*I400)</f>
        <v>1360</v>
      </c>
      <c r="K400" s="4" t="str">
        <f aca="false">IF($A400="","",TRIM(Base_Bruta!J400))</f>
        <v>Parceiro</v>
      </c>
      <c r="L400" s="4" t="str">
        <f aca="false">IF($A400="","",TRIM(Base_Bruta!K400))</f>
        <v>C01752</v>
      </c>
      <c r="M400" s="4" t="str">
        <f aca="false">IF($A400="","",_xlfn.XLOOKUP(LOWER(TRIM(Base_Bruta!L400)),DePara_Cidade!$A$2:$A$29,DePara_Cidade!$B$2:$B$29,"REVISAR"))</f>
        <v>Santiago</v>
      </c>
      <c r="N400" s="4" t="str">
        <f aca="false">IF($A400="","",UPPER(TRIM(Base_Bruta!M400)))</f>
        <v>EX</v>
      </c>
      <c r="O400" s="4" t="str">
        <f aca="false">IF($A400="","",_xlfn.XLOOKUP(LOWER(TRIM(Base_Bruta!N400)),DePara_Pais!$A$2:$A$9,DePara_Pais!$B$2:$B$9,"REVISAR"))</f>
        <v>Chile</v>
      </c>
      <c r="P400" s="4" t="str">
        <f aca="false">IF($A400="","",IF(O400&lt;&gt;"Brasil","Turista Internacional",IF(M400=F400,"Local","Turista Nacional")))</f>
        <v>Turista Internacional</v>
      </c>
      <c r="Q400" s="7" t="n">
        <f aca="false">IF($A400="","",DATE(YEAR(B400),MONTH(B400),1))</f>
        <v>45931</v>
      </c>
      <c r="R400" s="4" t="str">
        <f aca="false">IF($A400="","",IF(COUNTIF($A$2:$A400,$A400)&gt;1,"Sim","Não"))</f>
        <v>Não</v>
      </c>
      <c r="S400" s="4" t="str">
        <f aca="false">IF(A400="","Descartar - Linha vazia",IF(R400="Sim","Descartar - Duplicado",IF(OR(H400&lt;=0,I400&lt;=0),"Descartar - Qtd/Valor inválido","OK")))</f>
        <v>OK</v>
      </c>
      <c r="T400" s="4" t="str">
        <f aca="false">Base_Bruta!P400</f>
        <v>vendas_SP.xlsx</v>
      </c>
    </row>
    <row r="401" customFormat="false" ht="15" hidden="false" customHeight="false" outlineLevel="0" collapsed="false">
      <c r="A401" s="4" t="str">
        <f aca="false">IF(Base_Bruta!A401="","",Base_Bruta!A401)</f>
        <v>SP-000714</v>
      </c>
      <c r="B401" s="5" t="n">
        <f aca="false">IF($A401="","",IF(ISNUMBER(Base_Bruta!B401),Base_Bruta!B401,IF(MID(Base_Bruta!B401,5,1)="-",DATE(VALUE(LEFT(Base_Bruta!B401,4)),VALUE(MID(Base_Bruta!B401,6,2)),VALUE(RIGHT(Base_Bruta!B401,2))),DATE(VALUE(RIGHT(Base_Bruta!B401,4)),VALUE(MID(Base_Bruta!B401,4,2)),VALUE(LEFT(Base_Bruta!B401,2))))))</f>
        <v>45943</v>
      </c>
      <c r="C401" s="5" t="n">
        <f aca="false">IF($A401="","",IF(ISNUMBER(Base_Bruta!C401),Base_Bruta!C401,IF(MID(Base_Bruta!C401,5,1)="-",DATE(VALUE(LEFT(Base_Bruta!C401,4)),VALUE(MID(Base_Bruta!C401,6,2)),VALUE(RIGHT(Base_Bruta!C401,2))),DATE(VALUE(RIGHT(Base_Bruta!C401,4)),VALUE(MID(Base_Bruta!C401,4,2)),VALUE(LEFT(Base_Bruta!C401,2))))))</f>
        <v>45944</v>
      </c>
      <c r="D401" s="4" t="str">
        <f aca="false">IF($A401="","",TRIM(Base_Bruta!D401))</f>
        <v>Cinema Paulista - Sessões</v>
      </c>
      <c r="E401" s="4" t="str">
        <f aca="false">IF($A401="","",_xlfn.XLOOKUP(LOWER(TRIM(Base_Bruta!E401)),DePara_Categoria!$A$2:$A$9,DePara_Categoria!$B$2:$B$9,"REVISAR"))</f>
        <v>Cinema</v>
      </c>
      <c r="F401" s="4" t="str">
        <f aca="false">IF($A401="","",_xlfn.XLOOKUP(LOWER(TRIM(Base_Bruta!F401)),DePara_Cidade!$A$2:$A$29,DePara_Cidade!$B$2:$B$29,"REVISAR"))</f>
        <v>São Paulo</v>
      </c>
      <c r="G401" s="4" t="str">
        <f aca="false">IF($A401="","",TRIM(Base_Bruta!G401))</f>
        <v>Inteira</v>
      </c>
      <c r="H401" s="4" t="n">
        <f aca="false">IF($A401="","",IF(ISNUMBER(Base_Bruta!H401),Base_Bruta!H401,IFERROR(_xlfn.NUMBERVALUE(TRIM(SUBSTITUTE(Base_Bruta!H401,"R$","")),",","."),0)))</f>
        <v>1</v>
      </c>
      <c r="I401" s="6" t="n">
        <f aca="false">IF($A401="","",IF(ISNUMBER(Base_Bruta!I401),Base_Bruta!I401,IFERROR(_xlfn.NUMBERVALUE(TRIM(SUBSTITUTE(Base_Bruta!I401,"R$","")),",","."),0)))</f>
        <v>35</v>
      </c>
      <c r="J401" s="6" t="n">
        <f aca="false">IF($A401="","",H401*I401)</f>
        <v>35</v>
      </c>
      <c r="K401" s="4" t="str">
        <f aca="false">IF($A401="","",TRIM(Base_Bruta!J401))</f>
        <v>Site</v>
      </c>
      <c r="L401" s="4" t="str">
        <f aca="false">IF($A401="","",TRIM(Base_Bruta!K401))</f>
        <v>C01810</v>
      </c>
      <c r="M401" s="4" t="str">
        <f aca="false">IF($A401="","",_xlfn.XLOOKUP(LOWER(TRIM(Base_Bruta!L401)),DePara_Cidade!$A$2:$A$29,DePara_Cidade!$B$2:$B$29,"REVISAR"))</f>
        <v>São Paulo</v>
      </c>
      <c r="N401" s="4" t="str">
        <f aca="false">IF($A401="","",UPPER(TRIM(Base_Bruta!M401)))</f>
        <v>SP</v>
      </c>
      <c r="O401" s="4" t="str">
        <f aca="false">IF($A401="","",_xlfn.XLOOKUP(LOWER(TRIM(Base_Bruta!N401)),DePara_Pais!$A$2:$A$9,DePara_Pais!$B$2:$B$9,"REVISAR"))</f>
        <v>Brasil</v>
      </c>
      <c r="P401" s="4" t="str">
        <f aca="false">IF($A401="","",IF(O401&lt;&gt;"Brasil","Turista Internacional",IF(M401=F401,"Local","Turista Nacional")))</f>
        <v>Local</v>
      </c>
      <c r="Q401" s="7" t="n">
        <f aca="false">IF($A401="","",DATE(YEAR(B401),MONTH(B401),1))</f>
        <v>45931</v>
      </c>
      <c r="R401" s="4" t="str">
        <f aca="false">IF($A401="","",IF(COUNTIF($A$2:$A401,$A401)&gt;1,"Sim","Não"))</f>
        <v>Não</v>
      </c>
      <c r="S401" s="4" t="str">
        <f aca="false">IF(A401="","Descartar - Linha vazia",IF(R401="Sim","Descartar - Duplicado",IF(OR(H401&lt;=0,I401&lt;=0),"Descartar - Qtd/Valor inválido","OK")))</f>
        <v>OK</v>
      </c>
      <c r="T401" s="4" t="str">
        <f aca="false">Base_Bruta!P401</f>
        <v>vendas_SP.xlsx</v>
      </c>
    </row>
    <row r="402" customFormat="false" ht="15" hidden="false" customHeight="false" outlineLevel="0" collapsed="false">
      <c r="A402" s="4" t="str">
        <f aca="false">IF(Base_Bruta!A402="","",Base_Bruta!A402)</f>
        <v>SP-000006</v>
      </c>
      <c r="B402" s="5" t="n">
        <f aca="false">IF($A402="","",IF(ISNUMBER(Base_Bruta!B402),Base_Bruta!B402,IF(MID(Base_Bruta!B402,5,1)="-",DATE(VALUE(LEFT(Base_Bruta!B402,4)),VALUE(MID(Base_Bruta!B402,6,2)),VALUE(RIGHT(Base_Bruta!B402,2))),DATE(VALUE(RIGHT(Base_Bruta!B402,4)),VALUE(MID(Base_Bruta!B402,4,2)),VALUE(LEFT(Base_Bruta!B402,2))))))</f>
        <v>45944</v>
      </c>
      <c r="C402" s="5" t="n">
        <f aca="false">IF($A402="","",IF(ISNUMBER(Base_Bruta!C402),Base_Bruta!C402,IF(MID(Base_Bruta!C402,5,1)="-",DATE(VALUE(LEFT(Base_Bruta!C402,4)),VALUE(MID(Base_Bruta!C402,6,2)),VALUE(RIGHT(Base_Bruta!C402,2))),DATE(VALUE(RIGHT(Base_Bruta!C402,4)),VALUE(MID(Base_Bruta!C402,4,2)),VALUE(LEFT(Base_Bruta!C402,2))))))</f>
        <v>45976</v>
      </c>
      <c r="D402" s="4" t="str">
        <f aca="false">IF($A402="","",TRIM(Base_Bruta!D402))</f>
        <v>Festival Sonora SP 2025</v>
      </c>
      <c r="E402" s="4" t="str">
        <f aca="false">IF($A402="","",_xlfn.XLOOKUP(LOWER(TRIM(Base_Bruta!E402)),DePara_Categoria!$A$2:$A$9,DePara_Categoria!$B$2:$B$9,"REVISAR"))</f>
        <v>Festival</v>
      </c>
      <c r="F402" s="4" t="str">
        <f aca="false">IF($A402="","",_xlfn.XLOOKUP(LOWER(TRIM(Base_Bruta!F402)),DePara_Cidade!$A$2:$A$29,DePara_Cidade!$B$2:$B$29,"REVISAR"))</f>
        <v>São Paulo</v>
      </c>
      <c r="G402" s="4" t="str">
        <f aca="false">IF($A402="","",TRIM(Base_Bruta!G402))</f>
        <v>Meia</v>
      </c>
      <c r="H402" s="4" t="n">
        <f aca="false">IF($A402="","",IF(ISNUMBER(Base_Bruta!H402),Base_Bruta!H402,IFERROR(_xlfn.NUMBERVALUE(TRIM(SUBSTITUTE(Base_Bruta!H402,"R$","")),",","."),0)))</f>
        <v>2</v>
      </c>
      <c r="I402" s="6" t="n">
        <f aca="false">IF($A402="","",IF(ISNUMBER(Base_Bruta!I402),Base_Bruta!I402,IFERROR(_xlfn.NUMBERVALUE(TRIM(SUBSTITUTE(Base_Bruta!I402,"R$","")),",","."),0)))</f>
        <v>430</v>
      </c>
      <c r="J402" s="6" t="n">
        <f aca="false">IF($A402="","",H402*I402)</f>
        <v>860</v>
      </c>
      <c r="K402" s="4" t="str">
        <f aca="false">IF($A402="","",TRIM(Base_Bruta!J402))</f>
        <v>App</v>
      </c>
      <c r="L402" s="4" t="str">
        <f aca="false">IF($A402="","",TRIM(Base_Bruta!K402))</f>
        <v>C00883</v>
      </c>
      <c r="M402" s="4" t="str">
        <f aca="false">IF($A402="","",_xlfn.XLOOKUP(LOWER(TRIM(Base_Bruta!L402)),DePara_Cidade!$A$2:$A$29,DePara_Cidade!$B$2:$B$29,"REVISAR"))</f>
        <v>São Paulo</v>
      </c>
      <c r="N402" s="4" t="str">
        <f aca="false">IF($A402="","",UPPER(TRIM(Base_Bruta!M402)))</f>
        <v>SP</v>
      </c>
      <c r="O402" s="4" t="str">
        <f aca="false">IF($A402="","",_xlfn.XLOOKUP(LOWER(TRIM(Base_Bruta!N402)),DePara_Pais!$A$2:$A$9,DePara_Pais!$B$2:$B$9,"REVISAR"))</f>
        <v>Brasil</v>
      </c>
      <c r="P402" s="4" t="str">
        <f aca="false">IF($A402="","",IF(O402&lt;&gt;"Brasil","Turista Internacional",IF(M402=F402,"Local","Turista Nacional")))</f>
        <v>Local</v>
      </c>
      <c r="Q402" s="7" t="n">
        <f aca="false">IF($A402="","",DATE(YEAR(B402),MONTH(B402),1))</f>
        <v>45931</v>
      </c>
      <c r="R402" s="4" t="str">
        <f aca="false">IF($A402="","",IF(COUNTIF($A$2:$A402,$A402)&gt;1,"Sim","Não"))</f>
        <v>Não</v>
      </c>
      <c r="S402" s="4" t="str">
        <f aca="false">IF(A402="","Descartar - Linha vazia",IF(R402="Sim","Descartar - Duplicado",IF(OR(H402&lt;=0,I402&lt;=0),"Descartar - Qtd/Valor inválido","OK")))</f>
        <v>OK</v>
      </c>
      <c r="T402" s="4" t="str">
        <f aca="false">Base_Bruta!P402</f>
        <v>vendas_SP.xlsx</v>
      </c>
    </row>
    <row r="403" customFormat="false" ht="15" hidden="false" customHeight="false" outlineLevel="0" collapsed="false">
      <c r="A403" s="4" t="str">
        <f aca="false">IF(Base_Bruta!A403="","",Base_Bruta!A403)</f>
        <v>SP-000085</v>
      </c>
      <c r="B403" s="5" t="n">
        <f aca="false">IF($A403="","",IF(ISNUMBER(Base_Bruta!B403),Base_Bruta!B403,IF(MID(Base_Bruta!B403,5,1)="-",DATE(VALUE(LEFT(Base_Bruta!B403,4)),VALUE(MID(Base_Bruta!B403,6,2)),VALUE(RIGHT(Base_Bruta!B403,2))),DATE(VALUE(RIGHT(Base_Bruta!B403,4)),VALUE(MID(Base_Bruta!B403,4,2)),VALUE(LEFT(Base_Bruta!B403,2))))))</f>
        <v>45944</v>
      </c>
      <c r="C403" s="5" t="n">
        <f aca="false">IF($A403="","",IF(ISNUMBER(Base_Bruta!C403),Base_Bruta!C403,IF(MID(Base_Bruta!C403,5,1)="-",DATE(VALUE(LEFT(Base_Bruta!C403,4)),VALUE(MID(Base_Bruta!C403,6,2)),VALUE(RIGHT(Base_Bruta!C403,2))),DATE(VALUE(RIGHT(Base_Bruta!C403,4)),VALUE(MID(Base_Bruta!C403,4,2)),VALUE(LEFT(Base_Bruta!C403,2))))))</f>
        <v>45976</v>
      </c>
      <c r="D403" s="4" t="str">
        <f aca="false">IF($A403="","",TRIM(Base_Bruta!D403))</f>
        <v>Festival Sonora SP 2025</v>
      </c>
      <c r="E403" s="4" t="str">
        <f aca="false">IF($A403="","",_xlfn.XLOOKUP(LOWER(TRIM(Base_Bruta!E403)),DePara_Categoria!$A$2:$A$9,DePara_Categoria!$B$2:$B$9,"REVISAR"))</f>
        <v>Festival</v>
      </c>
      <c r="F403" s="4" t="str">
        <f aca="false">IF($A403="","",_xlfn.XLOOKUP(LOWER(TRIM(Base_Bruta!F403)),DePara_Cidade!$A$2:$A$29,DePara_Cidade!$B$2:$B$29,"REVISAR"))</f>
        <v>São Paulo</v>
      </c>
      <c r="G403" s="4" t="str">
        <f aca="false">IF($A403="","",TRIM(Base_Bruta!G403))</f>
        <v>Meia</v>
      </c>
      <c r="H403" s="4" t="n">
        <f aca="false">IF($A403="","",IF(ISNUMBER(Base_Bruta!H403),Base_Bruta!H403,IFERROR(_xlfn.NUMBERVALUE(TRIM(SUBSTITUTE(Base_Bruta!H403,"R$","")),",","."),0)))</f>
        <v>1</v>
      </c>
      <c r="I403" s="6" t="n">
        <f aca="false">IF($A403="","",IF(ISNUMBER(Base_Bruta!I403),Base_Bruta!I403,IFERROR(_xlfn.NUMBERVALUE(TRIM(SUBSTITUTE(Base_Bruta!I403,"R$","")),",","."),0)))</f>
        <v>420</v>
      </c>
      <c r="J403" s="6" t="n">
        <f aca="false">IF($A403="","",H403*I403)</f>
        <v>420</v>
      </c>
      <c r="K403" s="4" t="str">
        <f aca="false">IF($A403="","",TRIM(Base_Bruta!J403))</f>
        <v>App</v>
      </c>
      <c r="L403" s="4" t="str">
        <f aca="false">IF($A403="","",TRIM(Base_Bruta!K403))</f>
        <v>C00028</v>
      </c>
      <c r="M403" s="4" t="str">
        <f aca="false">IF($A403="","",_xlfn.XLOOKUP(LOWER(TRIM(Base_Bruta!L403)),DePara_Cidade!$A$2:$A$29,DePara_Cidade!$B$2:$B$29,"REVISAR"))</f>
        <v>Campinas</v>
      </c>
      <c r="N403" s="4" t="str">
        <f aca="false">IF($A403="","",UPPER(TRIM(Base_Bruta!M403)))</f>
        <v>SP</v>
      </c>
      <c r="O403" s="4" t="str">
        <f aca="false">IF($A403="","",_xlfn.XLOOKUP(LOWER(TRIM(Base_Bruta!N403)),DePara_Pais!$A$2:$A$9,DePara_Pais!$B$2:$B$9,"REVISAR"))</f>
        <v>Brasil</v>
      </c>
      <c r="P403" s="4" t="str">
        <f aca="false">IF($A403="","",IF(O403&lt;&gt;"Brasil","Turista Internacional",IF(M403=F403,"Local","Turista Nacional")))</f>
        <v>Turista Nacional</v>
      </c>
      <c r="Q403" s="7" t="n">
        <f aca="false">IF($A403="","",DATE(YEAR(B403),MONTH(B403),1))</f>
        <v>45931</v>
      </c>
      <c r="R403" s="4" t="str">
        <f aca="false">IF($A403="","",IF(COUNTIF($A$2:$A403,$A403)&gt;1,"Sim","Não"))</f>
        <v>Não</v>
      </c>
      <c r="S403" s="4" t="str">
        <f aca="false">IF(A403="","Descartar - Linha vazia",IF(R403="Sim","Descartar - Duplicado",IF(OR(H403&lt;=0,I403&lt;=0),"Descartar - Qtd/Valor inválido","OK")))</f>
        <v>OK</v>
      </c>
      <c r="T403" s="4" t="str">
        <f aca="false">Base_Bruta!P403</f>
        <v>vendas_SP.xlsx</v>
      </c>
    </row>
    <row r="404" customFormat="false" ht="15" hidden="false" customHeight="false" outlineLevel="0" collapsed="false">
      <c r="A404" s="4" t="str">
        <f aca="false">IF(Base_Bruta!A404="","",Base_Bruta!A404)</f>
        <v>SP-000160</v>
      </c>
      <c r="B404" s="5" t="n">
        <f aca="false">IF($A404="","",IF(ISNUMBER(Base_Bruta!B404),Base_Bruta!B404,IF(MID(Base_Bruta!B404,5,1)="-",DATE(VALUE(LEFT(Base_Bruta!B404,4)),VALUE(MID(Base_Bruta!B404,6,2)),VALUE(RIGHT(Base_Bruta!B404,2))),DATE(VALUE(RIGHT(Base_Bruta!B404,4)),VALUE(MID(Base_Bruta!B404,4,2)),VALUE(LEFT(Base_Bruta!B404,2))))))</f>
        <v>45944</v>
      </c>
      <c r="C404" s="5" t="n">
        <f aca="false">IF($A404="","",IF(ISNUMBER(Base_Bruta!C404),Base_Bruta!C404,IF(MID(Base_Bruta!C404,5,1)="-",DATE(VALUE(LEFT(Base_Bruta!C404,4)),VALUE(MID(Base_Bruta!C404,6,2)),VALUE(RIGHT(Base_Bruta!C404,2))),DATE(VALUE(RIGHT(Base_Bruta!C404,4)),VALUE(MID(Base_Bruta!C404,4,2)),VALUE(LEFT(Base_Bruta!C404,2))))))</f>
        <v>45976</v>
      </c>
      <c r="D404" s="4" t="str">
        <f aca="false">IF($A404="","",TRIM(Base_Bruta!D404))</f>
        <v>Festival Sonora SP 2025</v>
      </c>
      <c r="E404" s="4" t="str">
        <f aca="false">IF($A404="","",_xlfn.XLOOKUP(LOWER(TRIM(Base_Bruta!E404)),DePara_Categoria!$A$2:$A$9,DePara_Categoria!$B$2:$B$9,"REVISAR"))</f>
        <v>Festival</v>
      </c>
      <c r="F404" s="4" t="str">
        <f aca="false">IF($A404="","",_xlfn.XLOOKUP(LOWER(TRIM(Base_Bruta!F404)),DePara_Cidade!$A$2:$A$29,DePara_Cidade!$B$2:$B$29,"REVISAR"))</f>
        <v>São Paulo</v>
      </c>
      <c r="G404" s="4" t="str">
        <f aca="false">IF($A404="","",TRIM(Base_Bruta!G404))</f>
        <v>Inteira</v>
      </c>
      <c r="H404" s="4" t="n">
        <f aca="false">IF($A404="","",IF(ISNUMBER(Base_Bruta!H404),Base_Bruta!H404,IFERROR(_xlfn.NUMBERVALUE(TRIM(SUBSTITUTE(Base_Bruta!H404,"R$","")),",","."),0)))</f>
        <v>1</v>
      </c>
      <c r="I404" s="6" t="n">
        <f aca="false">IF($A404="","",IF(ISNUMBER(Base_Bruta!I404),Base_Bruta!I404,IFERROR(_xlfn.NUMBERVALUE(TRIM(SUBSTITUTE(Base_Bruta!I404,"R$","")),",","."),0)))</f>
        <v>0</v>
      </c>
      <c r="J404" s="6" t="n">
        <f aca="false">IF($A404="","",H404*I404)</f>
        <v>0</v>
      </c>
      <c r="K404" s="4" t="str">
        <f aca="false">IF($A404="","",TRIM(Base_Bruta!J404))</f>
        <v>App</v>
      </c>
      <c r="L404" s="4" t="str">
        <f aca="false">IF($A404="","",TRIM(Base_Bruta!K404))</f>
        <v>C01596</v>
      </c>
      <c r="M404" s="4" t="str">
        <f aca="false">IF($A404="","",_xlfn.XLOOKUP(LOWER(TRIM(Base_Bruta!L404)),DePara_Cidade!$A$2:$A$29,DePara_Cidade!$B$2:$B$29,"REVISAR"))</f>
        <v>Buenos Aires</v>
      </c>
      <c r="N404" s="4" t="str">
        <f aca="false">IF($A404="","",UPPER(TRIM(Base_Bruta!M404)))</f>
        <v>EX</v>
      </c>
      <c r="O404" s="4" t="str">
        <f aca="false">IF($A404="","",_xlfn.XLOOKUP(LOWER(TRIM(Base_Bruta!N404)),DePara_Pais!$A$2:$A$9,DePara_Pais!$B$2:$B$9,"REVISAR"))</f>
        <v>Argentina</v>
      </c>
      <c r="P404" s="4" t="str">
        <f aca="false">IF($A404="","",IF(O404&lt;&gt;"Brasil","Turista Internacional",IF(M404=F404,"Local","Turista Nacional")))</f>
        <v>Turista Internacional</v>
      </c>
      <c r="Q404" s="7" t="n">
        <f aca="false">IF($A404="","",DATE(YEAR(B404),MONTH(B404),1))</f>
        <v>45931</v>
      </c>
      <c r="R404" s="4" t="str">
        <f aca="false">IF($A404="","",IF(COUNTIF($A$2:$A404,$A404)&gt;1,"Sim","Não"))</f>
        <v>Não</v>
      </c>
      <c r="S404" s="4" t="str">
        <f aca="false">IF(A404="","Descartar - Linha vazia",IF(R404="Sim","Descartar - Duplicado",IF(OR(H404&lt;=0,I404&lt;=0),"Descartar - Qtd/Valor inválido","OK")))</f>
        <v>Descartar - Qtd/Valor inválido</v>
      </c>
      <c r="T404" s="4" t="str">
        <f aca="false">Base_Bruta!P404</f>
        <v>vendas_SP.xlsx</v>
      </c>
    </row>
    <row r="405" customFormat="false" ht="15" hidden="false" customHeight="false" outlineLevel="0" collapsed="false">
      <c r="A405" s="4" t="str">
        <f aca="false">IF(Base_Bruta!A405="","",Base_Bruta!A405)</f>
        <v>SP-000224</v>
      </c>
      <c r="B405" s="5" t="n">
        <f aca="false">IF($A405="","",IF(ISNUMBER(Base_Bruta!B405),Base_Bruta!B405,IF(MID(Base_Bruta!B405,5,1)="-",DATE(VALUE(LEFT(Base_Bruta!B405,4)),VALUE(MID(Base_Bruta!B405,6,2)),VALUE(RIGHT(Base_Bruta!B405,2))),DATE(VALUE(RIGHT(Base_Bruta!B405,4)),VALUE(MID(Base_Bruta!B405,4,2)),VALUE(LEFT(Base_Bruta!B405,2))))))</f>
        <v>45945</v>
      </c>
      <c r="C405" s="5" t="n">
        <f aca="false">IF($A405="","",IF(ISNUMBER(Base_Bruta!C405),Base_Bruta!C405,IF(MID(Base_Bruta!C405,5,1)="-",DATE(VALUE(LEFT(Base_Bruta!C405,4)),VALUE(MID(Base_Bruta!C405,6,2)),VALUE(RIGHT(Base_Bruta!C405,2))),DATE(VALUE(RIGHT(Base_Bruta!C405,4)),VALUE(MID(Base_Bruta!C405,4,2)),VALUE(LEFT(Base_Bruta!C405,2))))))</f>
        <v>45976</v>
      </c>
      <c r="D405" s="4" t="str">
        <f aca="false">IF($A405="","",TRIM(Base_Bruta!D405))</f>
        <v>Festival Sonora SP 2025</v>
      </c>
      <c r="E405" s="4" t="str">
        <f aca="false">IF($A405="","",_xlfn.XLOOKUP(LOWER(TRIM(Base_Bruta!E405)),DePara_Categoria!$A$2:$A$9,DePara_Categoria!$B$2:$B$9,"REVISAR"))</f>
        <v>Festival</v>
      </c>
      <c r="F405" s="4" t="str">
        <f aca="false">IF($A405="","",_xlfn.XLOOKUP(LOWER(TRIM(Base_Bruta!F405)),DePara_Cidade!$A$2:$A$29,DePara_Cidade!$B$2:$B$29,"REVISAR"))</f>
        <v>São Paulo</v>
      </c>
      <c r="G405" s="4" t="str">
        <f aca="false">IF($A405="","",TRIM(Base_Bruta!G405))</f>
        <v>Inteira</v>
      </c>
      <c r="H405" s="4" t="n">
        <f aca="false">IF($A405="","",IF(ISNUMBER(Base_Bruta!H405),Base_Bruta!H405,IFERROR(_xlfn.NUMBERVALUE(TRIM(SUBSTITUTE(Base_Bruta!H405,"R$","")),",","."),0)))</f>
        <v>1</v>
      </c>
      <c r="I405" s="6" t="n">
        <f aca="false">IF($A405="","",IF(ISNUMBER(Base_Bruta!I405),Base_Bruta!I405,IFERROR(_xlfn.NUMBERVALUE(TRIM(SUBSTITUTE(Base_Bruta!I405,"R$","")),",","."),0)))</f>
        <v>980</v>
      </c>
      <c r="J405" s="6" t="n">
        <f aca="false">IF($A405="","",H405*I405)</f>
        <v>980</v>
      </c>
      <c r="K405" s="4" t="str">
        <f aca="false">IF($A405="","",TRIM(Base_Bruta!J405))</f>
        <v>Site</v>
      </c>
      <c r="L405" s="4" t="str">
        <f aca="false">IF($A405="","",TRIM(Base_Bruta!K405))</f>
        <v>C01469</v>
      </c>
      <c r="M405" s="4" t="str">
        <f aca="false">IF($A405="","",_xlfn.XLOOKUP(LOWER(TRIM(Base_Bruta!L405)),DePara_Cidade!$A$2:$A$29,DePara_Cidade!$B$2:$B$29,"REVISAR"))</f>
        <v>São Paulo</v>
      </c>
      <c r="N405" s="4" t="str">
        <f aca="false">IF($A405="","",UPPER(TRIM(Base_Bruta!M405)))</f>
        <v>SP</v>
      </c>
      <c r="O405" s="4" t="str">
        <f aca="false">IF($A405="","",_xlfn.XLOOKUP(LOWER(TRIM(Base_Bruta!N405)),DePara_Pais!$A$2:$A$9,DePara_Pais!$B$2:$B$9,"REVISAR"))</f>
        <v>Brasil</v>
      </c>
      <c r="P405" s="4" t="str">
        <f aca="false">IF($A405="","",IF(O405&lt;&gt;"Brasil","Turista Internacional",IF(M405=F405,"Local","Turista Nacional")))</f>
        <v>Local</v>
      </c>
      <c r="Q405" s="7" t="n">
        <f aca="false">IF($A405="","",DATE(YEAR(B405),MONTH(B405),1))</f>
        <v>45931</v>
      </c>
      <c r="R405" s="4" t="str">
        <f aca="false">IF($A405="","",IF(COUNTIF($A$2:$A405,$A405)&gt;1,"Sim","Não"))</f>
        <v>Não</v>
      </c>
      <c r="S405" s="4" t="str">
        <f aca="false">IF(A405="","Descartar - Linha vazia",IF(R405="Sim","Descartar - Duplicado",IF(OR(H405&lt;=0,I405&lt;=0),"Descartar - Qtd/Valor inválido","OK")))</f>
        <v>OK</v>
      </c>
      <c r="T405" s="4" t="str">
        <f aca="false">Base_Bruta!P405</f>
        <v>vendas_SP.xlsx</v>
      </c>
    </row>
    <row r="406" customFormat="false" ht="15" hidden="false" customHeight="false" outlineLevel="0" collapsed="false">
      <c r="A406" s="4" t="str">
        <f aca="false">IF(Base_Bruta!A406="","",Base_Bruta!A406)</f>
        <v>SP-000221</v>
      </c>
      <c r="B406" s="5" t="n">
        <f aca="false">IF($A406="","",IF(ISNUMBER(Base_Bruta!B406),Base_Bruta!B406,IF(MID(Base_Bruta!B406,5,1)="-",DATE(VALUE(LEFT(Base_Bruta!B406,4)),VALUE(MID(Base_Bruta!B406,6,2)),VALUE(RIGHT(Base_Bruta!B406,2))),DATE(VALUE(RIGHT(Base_Bruta!B406,4)),VALUE(MID(Base_Bruta!B406,4,2)),VALUE(LEFT(Base_Bruta!B406,2))))))</f>
        <v>45946</v>
      </c>
      <c r="C406" s="5" t="n">
        <f aca="false">IF($A406="","",IF(ISNUMBER(Base_Bruta!C406),Base_Bruta!C406,IF(MID(Base_Bruta!C406,5,1)="-",DATE(VALUE(LEFT(Base_Bruta!C406,4)),VALUE(MID(Base_Bruta!C406,6,2)),VALUE(RIGHT(Base_Bruta!C406,2))),DATE(VALUE(RIGHT(Base_Bruta!C406,4)),VALUE(MID(Base_Bruta!C406,4,2)),VALUE(LEFT(Base_Bruta!C406,2))))))</f>
        <v>45976</v>
      </c>
      <c r="D406" s="4" t="str">
        <f aca="false">IF($A406="","",TRIM(Base_Bruta!D406))</f>
        <v>Festival Sonora SP 2025</v>
      </c>
      <c r="E406" s="4" t="str">
        <f aca="false">IF($A406="","",_xlfn.XLOOKUP(LOWER(TRIM(Base_Bruta!E406)),DePara_Categoria!$A$2:$A$9,DePara_Categoria!$B$2:$B$9,"REVISAR"))</f>
        <v>Festival</v>
      </c>
      <c r="F406" s="4" t="str">
        <f aca="false">IF($A406="","",_xlfn.XLOOKUP(LOWER(TRIM(Base_Bruta!F406)),DePara_Cidade!$A$2:$A$29,DePara_Cidade!$B$2:$B$29,"REVISAR"))</f>
        <v>São Paulo</v>
      </c>
      <c r="G406" s="4" t="str">
        <f aca="false">IF($A406="","",TRIM(Base_Bruta!G406))</f>
        <v>Inteira</v>
      </c>
      <c r="H406" s="4" t="n">
        <f aca="false">IF($A406="","",IF(ISNUMBER(Base_Bruta!H406),Base_Bruta!H406,IFERROR(_xlfn.NUMBERVALUE(TRIM(SUBSTITUTE(Base_Bruta!H406,"R$","")),",","."),0)))</f>
        <v>2</v>
      </c>
      <c r="I406" s="6" t="n">
        <f aca="false">IF($A406="","",IF(ISNUMBER(Base_Bruta!I406),Base_Bruta!I406,IFERROR(_xlfn.NUMBERVALUE(TRIM(SUBSTITUTE(Base_Bruta!I406,"R$","")),",","."),0)))</f>
        <v>1025</v>
      </c>
      <c r="J406" s="6" t="n">
        <f aca="false">IF($A406="","",H406*I406)</f>
        <v>2050</v>
      </c>
      <c r="K406" s="4" t="str">
        <f aca="false">IF($A406="","",TRIM(Base_Bruta!J406))</f>
        <v>Bilheteria</v>
      </c>
      <c r="L406" s="4" t="str">
        <f aca="false">IF($A406="","",TRIM(Base_Bruta!K406))</f>
        <v>C00735</v>
      </c>
      <c r="M406" s="4" t="str">
        <f aca="false">IF($A406="","",_xlfn.XLOOKUP(LOWER(TRIM(Base_Bruta!L406)),DePara_Cidade!$A$2:$A$29,DePara_Cidade!$B$2:$B$29,"REVISAR"))</f>
        <v>Lisboa</v>
      </c>
      <c r="N406" s="4" t="str">
        <f aca="false">IF($A406="","",UPPER(TRIM(Base_Bruta!M406)))</f>
        <v>EX</v>
      </c>
      <c r="O406" s="4" t="str">
        <f aca="false">IF($A406="","",_xlfn.XLOOKUP(LOWER(TRIM(Base_Bruta!N406)),DePara_Pais!$A$2:$A$9,DePara_Pais!$B$2:$B$9,"REVISAR"))</f>
        <v>Portugal</v>
      </c>
      <c r="P406" s="4" t="str">
        <f aca="false">IF($A406="","",IF(O406&lt;&gt;"Brasil","Turista Internacional",IF(M406=F406,"Local","Turista Nacional")))</f>
        <v>Turista Internacional</v>
      </c>
      <c r="Q406" s="7" t="n">
        <f aca="false">IF($A406="","",DATE(YEAR(B406),MONTH(B406),1))</f>
        <v>45931</v>
      </c>
      <c r="R406" s="4" t="str">
        <f aca="false">IF($A406="","",IF(COUNTIF($A$2:$A406,$A406)&gt;1,"Sim","Não"))</f>
        <v>Não</v>
      </c>
      <c r="S406" s="4" t="str">
        <f aca="false">IF(A406="","Descartar - Linha vazia",IF(R406="Sim","Descartar - Duplicado",IF(OR(H406&lt;=0,I406&lt;=0),"Descartar - Qtd/Valor inválido","OK")))</f>
        <v>OK</v>
      </c>
      <c r="T406" s="4" t="str">
        <f aca="false">Base_Bruta!P406</f>
        <v>vendas_SP.xlsx</v>
      </c>
    </row>
    <row r="407" customFormat="false" ht="15" hidden="false" customHeight="false" outlineLevel="0" collapsed="false">
      <c r="A407" s="4" t="str">
        <f aca="false">IF(Base_Bruta!A407="","",Base_Bruta!A407)</f>
        <v>SP-000170</v>
      </c>
      <c r="B407" s="5" t="n">
        <f aca="false">IF($A407="","",IF(ISNUMBER(Base_Bruta!B407),Base_Bruta!B407,IF(MID(Base_Bruta!B407,5,1)="-",DATE(VALUE(LEFT(Base_Bruta!B407,4)),VALUE(MID(Base_Bruta!B407,6,2)),VALUE(RIGHT(Base_Bruta!B407,2))),DATE(VALUE(RIGHT(Base_Bruta!B407,4)),VALUE(MID(Base_Bruta!B407,4,2)),VALUE(LEFT(Base_Bruta!B407,2))))))</f>
        <v>45947</v>
      </c>
      <c r="C407" s="5" t="n">
        <f aca="false">IF($A407="","",IF(ISNUMBER(Base_Bruta!C407),Base_Bruta!C407,IF(MID(Base_Bruta!C407,5,1)="-",DATE(VALUE(LEFT(Base_Bruta!C407,4)),VALUE(MID(Base_Bruta!C407,6,2)),VALUE(RIGHT(Base_Bruta!C407,2))),DATE(VALUE(RIGHT(Base_Bruta!C407,4)),VALUE(MID(Base_Bruta!C407,4,2)),VALUE(LEFT(Base_Bruta!C407,2))))))</f>
        <v>45976</v>
      </c>
      <c r="D407" s="4" t="str">
        <f aca="false">IF($A407="","",TRIM(Base_Bruta!D407))</f>
        <v>Festival Sonora SP 2025</v>
      </c>
      <c r="E407" s="4" t="str">
        <f aca="false">IF($A407="","",_xlfn.XLOOKUP(LOWER(TRIM(Base_Bruta!E407)),DePara_Categoria!$A$2:$A$9,DePara_Categoria!$B$2:$B$9,"REVISAR"))</f>
        <v>Festival</v>
      </c>
      <c r="F407" s="4" t="str">
        <f aca="false">IF($A407="","",_xlfn.XLOOKUP(LOWER(TRIM(Base_Bruta!F407)),DePara_Cidade!$A$2:$A$29,DePara_Cidade!$B$2:$B$29,"REVISAR"))</f>
        <v>São Paulo</v>
      </c>
      <c r="G407" s="4" t="str">
        <f aca="false">IF($A407="","",TRIM(Base_Bruta!G407))</f>
        <v>Inteira</v>
      </c>
      <c r="H407" s="4" t="n">
        <f aca="false">IF($A407="","",IF(ISNUMBER(Base_Bruta!H407),Base_Bruta!H407,IFERROR(_xlfn.NUMBERVALUE(TRIM(SUBSTITUTE(Base_Bruta!H407,"R$","")),",","."),0)))</f>
        <v>1</v>
      </c>
      <c r="I407" s="6" t="n">
        <f aca="false">IF($A407="","",IF(ISNUMBER(Base_Bruta!I407),Base_Bruta!I407,IFERROR(_xlfn.NUMBERVALUE(TRIM(SUBSTITUTE(Base_Bruta!I407,"R$","")),",","."),0)))</f>
        <v>890</v>
      </c>
      <c r="J407" s="6" t="n">
        <f aca="false">IF($A407="","",H407*I407)</f>
        <v>890</v>
      </c>
      <c r="K407" s="4" t="str">
        <f aca="false">IF($A407="","",TRIM(Base_Bruta!J407))</f>
        <v>Site</v>
      </c>
      <c r="L407" s="4" t="str">
        <f aca="false">IF($A407="","",TRIM(Base_Bruta!K407))</f>
        <v>C01916</v>
      </c>
      <c r="M407" s="4" t="str">
        <f aca="false">IF($A407="","",_xlfn.XLOOKUP(LOWER(TRIM(Base_Bruta!L407)),DePara_Cidade!$A$2:$A$29,DePara_Cidade!$B$2:$B$29,"REVISAR"))</f>
        <v>São Paulo</v>
      </c>
      <c r="N407" s="4" t="str">
        <f aca="false">IF($A407="","",UPPER(TRIM(Base_Bruta!M407)))</f>
        <v>SP</v>
      </c>
      <c r="O407" s="4" t="str">
        <f aca="false">IF($A407="","",_xlfn.XLOOKUP(LOWER(TRIM(Base_Bruta!N407)),DePara_Pais!$A$2:$A$9,DePara_Pais!$B$2:$B$9,"REVISAR"))</f>
        <v>Brasil</v>
      </c>
      <c r="P407" s="4" t="str">
        <f aca="false">IF($A407="","",IF(O407&lt;&gt;"Brasil","Turista Internacional",IF(M407=F407,"Local","Turista Nacional")))</f>
        <v>Local</v>
      </c>
      <c r="Q407" s="7" t="n">
        <f aca="false">IF($A407="","",DATE(YEAR(B407),MONTH(B407),1))</f>
        <v>45931</v>
      </c>
      <c r="R407" s="4" t="str">
        <f aca="false">IF($A407="","",IF(COUNTIF($A$2:$A407,$A407)&gt;1,"Sim","Não"))</f>
        <v>Não</v>
      </c>
      <c r="S407" s="4" t="str">
        <f aca="false">IF(A407="","Descartar - Linha vazia",IF(R407="Sim","Descartar - Duplicado",IF(OR(H407&lt;=0,I407&lt;=0),"Descartar - Qtd/Valor inválido","OK")))</f>
        <v>OK</v>
      </c>
      <c r="T407" s="4" t="str">
        <f aca="false">Base_Bruta!P407</f>
        <v>vendas_SP.xlsx</v>
      </c>
    </row>
    <row r="408" customFormat="false" ht="15" hidden="false" customHeight="false" outlineLevel="0" collapsed="false">
      <c r="A408" s="4" t="str">
        <f aca="false">IF(Base_Bruta!A408="","",Base_Bruta!A408)</f>
        <v>SP-000670</v>
      </c>
      <c r="B408" s="5" t="n">
        <f aca="false">IF($A408="","",IF(ISNUMBER(Base_Bruta!B408),Base_Bruta!B408,IF(MID(Base_Bruta!B408,5,1)="-",DATE(VALUE(LEFT(Base_Bruta!B408,4)),VALUE(MID(Base_Bruta!B408,6,2)),VALUE(RIGHT(Base_Bruta!B408,2))),DATE(VALUE(RIGHT(Base_Bruta!B408,4)),VALUE(MID(Base_Bruta!B408,4,2)),VALUE(LEFT(Base_Bruta!B408,2))))))</f>
        <v>45947</v>
      </c>
      <c r="C408" s="5" t="n">
        <f aca="false">IF($A408="","",IF(ISNUMBER(Base_Bruta!C408),Base_Bruta!C408,IF(MID(Base_Bruta!C408,5,1)="-",DATE(VALUE(LEFT(Base_Bruta!C408,4)),VALUE(MID(Base_Bruta!C408,6,2)),VALUE(RIGHT(Base_Bruta!C408,2))),DATE(VALUE(RIGHT(Base_Bruta!C408,4)),VALUE(MID(Base_Bruta!C408,4,2)),VALUE(LEFT(Base_Bruta!C408,2))))))</f>
        <v>45947</v>
      </c>
      <c r="D408" s="4" t="str">
        <f aca="false">IF($A408="","",TRIM(Base_Bruta!D408))</f>
        <v>Cinema Paulista - Sessões</v>
      </c>
      <c r="E408" s="4" t="str">
        <f aca="false">IF($A408="","",_xlfn.XLOOKUP(LOWER(TRIM(Base_Bruta!E408)),DePara_Categoria!$A$2:$A$9,DePara_Categoria!$B$2:$B$9,"REVISAR"))</f>
        <v>Cinema</v>
      </c>
      <c r="F408" s="4" t="str">
        <f aca="false">IF($A408="","",_xlfn.XLOOKUP(LOWER(TRIM(Base_Bruta!F408)),DePara_Cidade!$A$2:$A$29,DePara_Cidade!$B$2:$B$29,"REVISAR"))</f>
        <v>São Paulo</v>
      </c>
      <c r="G408" s="4" t="str">
        <f aca="false">IF($A408="","",TRIM(Base_Bruta!G408))</f>
        <v>Meia</v>
      </c>
      <c r="H408" s="4" t="n">
        <f aca="false">IF($A408="","",IF(ISNUMBER(Base_Bruta!H408),Base_Bruta!H408,IFERROR(_xlfn.NUMBERVALUE(TRIM(SUBSTITUTE(Base_Bruta!H408,"R$","")),",","."),0)))</f>
        <v>3</v>
      </c>
      <c r="I408" s="6" t="n">
        <f aca="false">IF($A408="","",IF(ISNUMBER(Base_Bruta!I408),Base_Bruta!I408,IFERROR(_xlfn.NUMBERVALUE(TRIM(SUBSTITUTE(Base_Bruta!I408,"R$","")),",","."),0)))</f>
        <v>22.5</v>
      </c>
      <c r="J408" s="6" t="n">
        <f aca="false">IF($A408="","",H408*I408)</f>
        <v>67.5</v>
      </c>
      <c r="K408" s="4" t="str">
        <f aca="false">IF($A408="","",TRIM(Base_Bruta!J408))</f>
        <v>Site</v>
      </c>
      <c r="L408" s="4" t="str">
        <f aca="false">IF($A408="","",TRIM(Base_Bruta!K408))</f>
        <v>C00685</v>
      </c>
      <c r="M408" s="4" t="str">
        <f aca="false">IF($A408="","",_xlfn.XLOOKUP(LOWER(TRIM(Base_Bruta!L408)),DePara_Cidade!$A$2:$A$29,DePara_Cidade!$B$2:$B$29,"REVISAR"))</f>
        <v>São Paulo</v>
      </c>
      <c r="N408" s="4" t="str">
        <f aca="false">IF($A408="","",UPPER(TRIM(Base_Bruta!M408)))</f>
        <v>SP</v>
      </c>
      <c r="O408" s="4" t="str">
        <f aca="false">IF($A408="","",_xlfn.XLOOKUP(LOWER(TRIM(Base_Bruta!N408)),DePara_Pais!$A$2:$A$9,DePara_Pais!$B$2:$B$9,"REVISAR"))</f>
        <v>Brasil</v>
      </c>
      <c r="P408" s="4" t="str">
        <f aca="false">IF($A408="","",IF(O408&lt;&gt;"Brasil","Turista Internacional",IF(M408=F408,"Local","Turista Nacional")))</f>
        <v>Local</v>
      </c>
      <c r="Q408" s="7" t="n">
        <f aca="false">IF($A408="","",DATE(YEAR(B408),MONTH(B408),1))</f>
        <v>45931</v>
      </c>
      <c r="R408" s="4" t="str">
        <f aca="false">IF($A408="","",IF(COUNTIF($A$2:$A408,$A408)&gt;1,"Sim","Não"))</f>
        <v>Não</v>
      </c>
      <c r="S408" s="4" t="str">
        <f aca="false">IF(A408="","Descartar - Linha vazia",IF(R408="Sim","Descartar - Duplicado",IF(OR(H408&lt;=0,I408&lt;=0),"Descartar - Qtd/Valor inválido","OK")))</f>
        <v>OK</v>
      </c>
      <c r="T408" s="4" t="str">
        <f aca="false">Base_Bruta!P408</f>
        <v>vendas_SP.xlsx</v>
      </c>
    </row>
    <row r="409" customFormat="false" ht="15" hidden="false" customHeight="false" outlineLevel="0" collapsed="false">
      <c r="A409" s="4" t="str">
        <f aca="false">IF(Base_Bruta!A409="","",Base_Bruta!A409)</f>
        <v>SP-000153</v>
      </c>
      <c r="B409" s="5" t="n">
        <f aca="false">IF($A409="","",IF(ISNUMBER(Base_Bruta!B409),Base_Bruta!B409,IF(MID(Base_Bruta!B409,5,1)="-",DATE(VALUE(LEFT(Base_Bruta!B409,4)),VALUE(MID(Base_Bruta!B409,6,2)),VALUE(RIGHT(Base_Bruta!B409,2))),DATE(VALUE(RIGHT(Base_Bruta!B409,4)),VALUE(MID(Base_Bruta!B409,4,2)),VALUE(LEFT(Base_Bruta!B409,2))))))</f>
        <v>45952</v>
      </c>
      <c r="C409" s="5" t="n">
        <f aca="false">IF($A409="","",IF(ISNUMBER(Base_Bruta!C409),Base_Bruta!C409,IF(MID(Base_Bruta!C409,5,1)="-",DATE(VALUE(LEFT(Base_Bruta!C409,4)),VALUE(MID(Base_Bruta!C409,6,2)),VALUE(RIGHT(Base_Bruta!C409,2))),DATE(VALUE(RIGHT(Base_Bruta!C409,4)),VALUE(MID(Base_Bruta!C409,4,2)),VALUE(LEFT(Base_Bruta!C409,2))))))</f>
        <v>45976</v>
      </c>
      <c r="D409" s="4" t="str">
        <f aca="false">IF($A409="","",TRIM(Base_Bruta!D409))</f>
        <v>Festival Sonora SP 2025</v>
      </c>
      <c r="E409" s="4" t="str">
        <f aca="false">IF($A409="","",_xlfn.XLOOKUP(LOWER(TRIM(Base_Bruta!E409)),DePara_Categoria!$A$2:$A$9,DePara_Categoria!$B$2:$B$9,"REVISAR"))</f>
        <v>Festival</v>
      </c>
      <c r="F409" s="4" t="str">
        <f aca="false">IF($A409="","",_xlfn.XLOOKUP(LOWER(TRIM(Base_Bruta!F409)),DePara_Cidade!$A$2:$A$29,DePara_Cidade!$B$2:$B$29,"REVISAR"))</f>
        <v>São Paulo</v>
      </c>
      <c r="G409" s="4" t="str">
        <f aca="false">IF($A409="","",TRIM(Base_Bruta!G409))</f>
        <v>Meia</v>
      </c>
      <c r="H409" s="4" t="n">
        <f aca="false">IF($A409="","",IF(ISNUMBER(Base_Bruta!H409),Base_Bruta!H409,IFERROR(_xlfn.NUMBERVALUE(TRIM(SUBSTITUTE(Base_Bruta!H409,"R$","")),",","."),0)))</f>
        <v>1</v>
      </c>
      <c r="I409" s="6" t="n">
        <f aca="false">IF($A409="","",IF(ISNUMBER(Base_Bruta!I409),Base_Bruta!I409,IFERROR(_xlfn.NUMBERVALUE(TRIM(SUBSTITUTE(Base_Bruta!I409,"R$","")),",","."),0)))</f>
        <v>472.5</v>
      </c>
      <c r="J409" s="6" t="n">
        <f aca="false">IF($A409="","",H409*I409)</f>
        <v>472.5</v>
      </c>
      <c r="K409" s="4" t="str">
        <f aca="false">IF($A409="","",TRIM(Base_Bruta!J409))</f>
        <v>App</v>
      </c>
      <c r="L409" s="4" t="str">
        <f aca="false">IF($A409="","",TRIM(Base_Bruta!K409))</f>
        <v>C01337</v>
      </c>
      <c r="M409" s="4" t="str">
        <f aca="false">IF($A409="","",_xlfn.XLOOKUP(LOWER(TRIM(Base_Bruta!L409)),DePara_Cidade!$A$2:$A$29,DePara_Cidade!$B$2:$B$29,"REVISAR"))</f>
        <v>Niterói</v>
      </c>
      <c r="N409" s="4" t="str">
        <f aca="false">IF($A409="","",UPPER(TRIM(Base_Bruta!M409)))</f>
        <v>RJ</v>
      </c>
      <c r="O409" s="4" t="str">
        <f aca="false">IF($A409="","",_xlfn.XLOOKUP(LOWER(TRIM(Base_Bruta!N409)),DePara_Pais!$A$2:$A$9,DePara_Pais!$B$2:$B$9,"REVISAR"))</f>
        <v>Brasil</v>
      </c>
      <c r="P409" s="4" t="str">
        <f aca="false">IF($A409="","",IF(O409&lt;&gt;"Brasil","Turista Internacional",IF(M409=F409,"Local","Turista Nacional")))</f>
        <v>Turista Nacional</v>
      </c>
      <c r="Q409" s="7" t="n">
        <f aca="false">IF($A409="","",DATE(YEAR(B409),MONTH(B409),1))</f>
        <v>45931</v>
      </c>
      <c r="R409" s="4" t="str">
        <f aca="false">IF($A409="","",IF(COUNTIF($A$2:$A409,$A409)&gt;1,"Sim","Não"))</f>
        <v>Não</v>
      </c>
      <c r="S409" s="4" t="str">
        <f aca="false">IF(A409="","Descartar - Linha vazia",IF(R409="Sim","Descartar - Duplicado",IF(OR(H409&lt;=0,I409&lt;=0),"Descartar - Qtd/Valor inválido","OK")))</f>
        <v>OK</v>
      </c>
      <c r="T409" s="4" t="str">
        <f aca="false">Base_Bruta!P409</f>
        <v>vendas_SP.xlsx</v>
      </c>
    </row>
    <row r="410" customFormat="false" ht="15" hidden="false" customHeight="false" outlineLevel="0" collapsed="false">
      <c r="A410" s="4" t="str">
        <f aca="false">IF(Base_Bruta!A410="","",Base_Bruta!A410)</f>
        <v>SP-000103</v>
      </c>
      <c r="B410" s="5" t="n">
        <f aca="false">IF($A410="","",IF(ISNUMBER(Base_Bruta!B410),Base_Bruta!B410,IF(MID(Base_Bruta!B410,5,1)="-",DATE(VALUE(LEFT(Base_Bruta!B410,4)),VALUE(MID(Base_Bruta!B410,6,2)),VALUE(RIGHT(Base_Bruta!B410,2))),DATE(VALUE(RIGHT(Base_Bruta!B410,4)),VALUE(MID(Base_Bruta!B410,4,2)),VALUE(LEFT(Base_Bruta!B410,2))))))</f>
        <v>45954</v>
      </c>
      <c r="C410" s="5" t="n">
        <f aca="false">IF($A410="","",IF(ISNUMBER(Base_Bruta!C410),Base_Bruta!C410,IF(MID(Base_Bruta!C410,5,1)="-",DATE(VALUE(LEFT(Base_Bruta!C410,4)),VALUE(MID(Base_Bruta!C410,6,2)),VALUE(RIGHT(Base_Bruta!C410,2))),DATE(VALUE(RIGHT(Base_Bruta!C410,4)),VALUE(MID(Base_Bruta!C410,4,2)),VALUE(LEFT(Base_Bruta!C410,2))))))</f>
        <v>45976</v>
      </c>
      <c r="D410" s="4" t="str">
        <f aca="false">IF($A410="","",TRIM(Base_Bruta!D410))</f>
        <v>Festival Sonora SP 2025</v>
      </c>
      <c r="E410" s="4" t="str">
        <f aca="false">IF($A410="","",_xlfn.XLOOKUP(LOWER(TRIM(Base_Bruta!E410)),DePara_Categoria!$A$2:$A$9,DePara_Categoria!$B$2:$B$9,"REVISAR"))</f>
        <v>Festival</v>
      </c>
      <c r="F410" s="4" t="str">
        <f aca="false">IF($A410="","",_xlfn.XLOOKUP(LOWER(TRIM(Base_Bruta!F410)),DePara_Cidade!$A$2:$A$29,DePara_Cidade!$B$2:$B$29,"REVISAR"))</f>
        <v>São Paulo</v>
      </c>
      <c r="G410" s="4" t="str">
        <f aca="false">IF($A410="","",TRIM(Base_Bruta!G410))</f>
        <v>Inteira</v>
      </c>
      <c r="H410" s="4" t="n">
        <f aca="false">IF($A410="","",IF(ISNUMBER(Base_Bruta!H410),Base_Bruta!H410,IFERROR(_xlfn.NUMBERVALUE(TRIM(SUBSTITUTE(Base_Bruta!H410,"R$","")),",","."),0)))</f>
        <v>1</v>
      </c>
      <c r="I410" s="6" t="n">
        <f aca="false">IF($A410="","",IF(ISNUMBER(Base_Bruta!I410),Base_Bruta!I410,IFERROR(_xlfn.NUMBERVALUE(TRIM(SUBSTITUTE(Base_Bruta!I410,"R$","")),",","."),0)))</f>
        <v>1095</v>
      </c>
      <c r="J410" s="6" t="n">
        <f aca="false">IF($A410="","",H410*I410)</f>
        <v>1095</v>
      </c>
      <c r="K410" s="4" t="str">
        <f aca="false">IF($A410="","",TRIM(Base_Bruta!J410))</f>
        <v>App</v>
      </c>
      <c r="L410" s="4" t="str">
        <f aca="false">IF($A410="","",TRIM(Base_Bruta!K410))</f>
        <v>C01259</v>
      </c>
      <c r="M410" s="4" t="str">
        <f aca="false">IF($A410="","",_xlfn.XLOOKUP(LOWER(TRIM(Base_Bruta!L410)),DePara_Cidade!$A$2:$A$29,DePara_Cidade!$B$2:$B$29,"REVISAR"))</f>
        <v>Rio de Janeiro</v>
      </c>
      <c r="N410" s="4" t="str">
        <f aca="false">IF($A410="","",UPPER(TRIM(Base_Bruta!M410)))</f>
        <v>RJ</v>
      </c>
      <c r="O410" s="4" t="str">
        <f aca="false">IF($A410="","",_xlfn.XLOOKUP(LOWER(TRIM(Base_Bruta!N410)),DePara_Pais!$A$2:$A$9,DePara_Pais!$B$2:$B$9,"REVISAR"))</f>
        <v>Brasil</v>
      </c>
      <c r="P410" s="4" t="str">
        <f aca="false">IF($A410="","",IF(O410&lt;&gt;"Brasil","Turista Internacional",IF(M410=F410,"Local","Turista Nacional")))</f>
        <v>Turista Nacional</v>
      </c>
      <c r="Q410" s="7" t="n">
        <f aca="false">IF($A410="","",DATE(YEAR(B410),MONTH(B410),1))</f>
        <v>45931</v>
      </c>
      <c r="R410" s="4" t="str">
        <f aca="false">IF($A410="","",IF(COUNTIF($A$2:$A410,$A410)&gt;1,"Sim","Não"))</f>
        <v>Não</v>
      </c>
      <c r="S410" s="4" t="str">
        <f aca="false">IF(A410="","Descartar - Linha vazia",IF(R410="Sim","Descartar - Duplicado",IF(OR(H410&lt;=0,I410&lt;=0),"Descartar - Qtd/Valor inválido","OK")))</f>
        <v>OK</v>
      </c>
      <c r="T410" s="4" t="str">
        <f aca="false">Base_Bruta!P410</f>
        <v>vendas_SP.xlsx</v>
      </c>
    </row>
    <row r="411" customFormat="false" ht="15" hidden="false" customHeight="false" outlineLevel="0" collapsed="false">
      <c r="A411" s="4" t="str">
        <f aca="false">IF(Base_Bruta!A411="","",Base_Bruta!A411)</f>
        <v>SP-000223</v>
      </c>
      <c r="B411" s="5" t="n">
        <f aca="false">IF($A411="","",IF(ISNUMBER(Base_Bruta!B411),Base_Bruta!B411,IF(MID(Base_Bruta!B411,5,1)="-",DATE(VALUE(LEFT(Base_Bruta!B411,4)),VALUE(MID(Base_Bruta!B411,6,2)),VALUE(RIGHT(Base_Bruta!B411,2))),DATE(VALUE(RIGHT(Base_Bruta!B411,4)),VALUE(MID(Base_Bruta!B411,4,2)),VALUE(LEFT(Base_Bruta!B411,2))))))</f>
        <v>45954</v>
      </c>
      <c r="C411" s="5" t="n">
        <f aca="false">IF($A411="","",IF(ISNUMBER(Base_Bruta!C411),Base_Bruta!C411,IF(MID(Base_Bruta!C411,5,1)="-",DATE(VALUE(LEFT(Base_Bruta!C411,4)),VALUE(MID(Base_Bruta!C411,6,2)),VALUE(RIGHT(Base_Bruta!C411,2))),DATE(VALUE(RIGHT(Base_Bruta!C411,4)),VALUE(MID(Base_Bruta!C411,4,2)),VALUE(LEFT(Base_Bruta!C411,2))))))</f>
        <v>45976</v>
      </c>
      <c r="D411" s="4" t="str">
        <f aca="false">IF($A411="","",TRIM(Base_Bruta!D411))</f>
        <v>Festival Sonora SP 2025</v>
      </c>
      <c r="E411" s="4" t="str">
        <f aca="false">IF($A411="","",_xlfn.XLOOKUP(LOWER(TRIM(Base_Bruta!E411)),DePara_Categoria!$A$2:$A$9,DePara_Categoria!$B$2:$B$9,"REVISAR"))</f>
        <v>Festival</v>
      </c>
      <c r="F411" s="4" t="str">
        <f aca="false">IF($A411="","",_xlfn.XLOOKUP(LOWER(TRIM(Base_Bruta!F411)),DePara_Cidade!$A$2:$A$29,DePara_Cidade!$B$2:$B$29,"REVISAR"))</f>
        <v>São Paulo</v>
      </c>
      <c r="G411" s="4" t="str">
        <f aca="false">IF($A411="","",TRIM(Base_Bruta!G411))</f>
        <v>Inteira</v>
      </c>
      <c r="H411" s="4" t="n">
        <f aca="false">IF($A411="","",IF(ISNUMBER(Base_Bruta!H411),Base_Bruta!H411,IFERROR(_xlfn.NUMBERVALUE(TRIM(SUBSTITUTE(Base_Bruta!H411,"R$","")),",","."),0)))</f>
        <v>2</v>
      </c>
      <c r="I411" s="6" t="n">
        <f aca="false">IF($A411="","",IF(ISNUMBER(Base_Bruta!I411),Base_Bruta!I411,IFERROR(_xlfn.NUMBERVALUE(TRIM(SUBSTITUTE(Base_Bruta!I411,"R$","")),",","."),0)))</f>
        <v>1075</v>
      </c>
      <c r="J411" s="6" t="n">
        <f aca="false">IF($A411="","",H411*I411)</f>
        <v>2150</v>
      </c>
      <c r="K411" s="4" t="str">
        <f aca="false">IF($A411="","",TRIM(Base_Bruta!J411))</f>
        <v>Site</v>
      </c>
      <c r="L411" s="4" t="str">
        <f aca="false">IF($A411="","",TRIM(Base_Bruta!K411))</f>
        <v>C01827</v>
      </c>
      <c r="M411" s="4" t="str">
        <f aca="false">IF($A411="","",_xlfn.XLOOKUP(LOWER(TRIM(Base_Bruta!L411)),DePara_Cidade!$A$2:$A$29,DePara_Cidade!$B$2:$B$29,"REVISAR"))</f>
        <v>São Paulo</v>
      </c>
      <c r="N411" s="4" t="str">
        <f aca="false">IF($A411="","",UPPER(TRIM(Base_Bruta!M411)))</f>
        <v>SP</v>
      </c>
      <c r="O411" s="4" t="str">
        <f aca="false">IF($A411="","",_xlfn.XLOOKUP(LOWER(TRIM(Base_Bruta!N411)),DePara_Pais!$A$2:$A$9,DePara_Pais!$B$2:$B$9,"REVISAR"))</f>
        <v>Brasil</v>
      </c>
      <c r="P411" s="4" t="str">
        <f aca="false">IF($A411="","",IF(O411&lt;&gt;"Brasil","Turista Internacional",IF(M411=F411,"Local","Turista Nacional")))</f>
        <v>Local</v>
      </c>
      <c r="Q411" s="7" t="n">
        <f aca="false">IF($A411="","",DATE(YEAR(B411),MONTH(B411),1))</f>
        <v>45931</v>
      </c>
      <c r="R411" s="4" t="str">
        <f aca="false">IF($A411="","",IF(COUNTIF($A$2:$A411,$A411)&gt;1,"Sim","Não"))</f>
        <v>Não</v>
      </c>
      <c r="S411" s="4" t="str">
        <f aca="false">IF(A411="","Descartar - Linha vazia",IF(R411="Sim","Descartar - Duplicado",IF(OR(H411&lt;=0,I411&lt;=0),"Descartar - Qtd/Valor inválido","OK")))</f>
        <v>OK</v>
      </c>
      <c r="T411" s="4" t="str">
        <f aca="false">Base_Bruta!P411</f>
        <v>vendas_SP.xlsx</v>
      </c>
    </row>
    <row r="412" customFormat="false" ht="15" hidden="false" customHeight="false" outlineLevel="0" collapsed="false">
      <c r="A412" s="4" t="str">
        <f aca="false">IF(Base_Bruta!A412="","",Base_Bruta!A412)</f>
        <v>SP-000013</v>
      </c>
      <c r="B412" s="5" t="n">
        <f aca="false">IF($A412="","",IF(ISNUMBER(Base_Bruta!B412),Base_Bruta!B412,IF(MID(Base_Bruta!B412,5,1)="-",DATE(VALUE(LEFT(Base_Bruta!B412,4)),VALUE(MID(Base_Bruta!B412,6,2)),VALUE(RIGHT(Base_Bruta!B412,2))),DATE(VALUE(RIGHT(Base_Bruta!B412,4)),VALUE(MID(Base_Bruta!B412,4,2)),VALUE(LEFT(Base_Bruta!B412,2))))))</f>
        <v>45955</v>
      </c>
      <c r="C412" s="5" t="n">
        <f aca="false">IF($A412="","",IF(ISNUMBER(Base_Bruta!C412),Base_Bruta!C412,IF(MID(Base_Bruta!C412,5,1)="-",DATE(VALUE(LEFT(Base_Bruta!C412,4)),VALUE(MID(Base_Bruta!C412,6,2)),VALUE(RIGHT(Base_Bruta!C412,2))),DATE(VALUE(RIGHT(Base_Bruta!C412,4)),VALUE(MID(Base_Bruta!C412,4,2)),VALUE(LEFT(Base_Bruta!C412,2))))))</f>
        <v>45976</v>
      </c>
      <c r="D412" s="4" t="str">
        <f aca="false">IF($A412="","",TRIM(Base_Bruta!D412))</f>
        <v>Festival Sonora SP 2025</v>
      </c>
      <c r="E412" s="4" t="str">
        <f aca="false">IF($A412="","",_xlfn.XLOOKUP(LOWER(TRIM(Base_Bruta!E412)),DePara_Categoria!$A$2:$A$9,DePara_Categoria!$B$2:$B$9,"REVISAR"))</f>
        <v>Festival</v>
      </c>
      <c r="F412" s="4" t="str">
        <f aca="false">IF($A412="","",_xlfn.XLOOKUP(LOWER(TRIM(Base_Bruta!F412)),DePara_Cidade!$A$2:$A$29,DePara_Cidade!$B$2:$B$29,"REVISAR"))</f>
        <v>São Paulo</v>
      </c>
      <c r="G412" s="4" t="str">
        <f aca="false">IF($A412="","",TRIM(Base_Bruta!G412))</f>
        <v>Inteira</v>
      </c>
      <c r="H412" s="4" t="n">
        <f aca="false">IF($A412="","",IF(ISNUMBER(Base_Bruta!H412),Base_Bruta!H412,IFERROR(_xlfn.NUMBERVALUE(TRIM(SUBSTITUTE(Base_Bruta!H412,"R$","")),",","."),0)))</f>
        <v>4</v>
      </c>
      <c r="I412" s="6" t="n">
        <f aca="false">IF($A412="","",IF(ISNUMBER(Base_Bruta!I412),Base_Bruta!I412,IFERROR(_xlfn.NUMBERVALUE(TRIM(SUBSTITUTE(Base_Bruta!I412,"R$","")),",","."),0)))</f>
        <v>1035</v>
      </c>
      <c r="J412" s="6" t="n">
        <f aca="false">IF($A412="","",H412*I412)</f>
        <v>4140</v>
      </c>
      <c r="K412" s="4" t="str">
        <f aca="false">IF($A412="","",TRIM(Base_Bruta!J412))</f>
        <v>Site</v>
      </c>
      <c r="L412" s="4" t="str">
        <f aca="false">IF($A412="","",TRIM(Base_Bruta!K412))</f>
        <v>C00359</v>
      </c>
      <c r="M412" s="4" t="str">
        <f aca="false">IF($A412="","",_xlfn.XLOOKUP(LOWER(TRIM(Base_Bruta!L412)),DePara_Cidade!$A$2:$A$29,DePara_Cidade!$B$2:$B$29,"REVISAR"))</f>
        <v>Santos</v>
      </c>
      <c r="N412" s="4" t="str">
        <f aca="false">IF($A412="","",UPPER(TRIM(Base_Bruta!M412)))</f>
        <v>SP</v>
      </c>
      <c r="O412" s="4" t="str">
        <f aca="false">IF($A412="","",_xlfn.XLOOKUP(LOWER(TRIM(Base_Bruta!N412)),DePara_Pais!$A$2:$A$9,DePara_Pais!$B$2:$B$9,"REVISAR"))</f>
        <v>Brasil</v>
      </c>
      <c r="P412" s="4" t="str">
        <f aca="false">IF($A412="","",IF(O412&lt;&gt;"Brasil","Turista Internacional",IF(M412=F412,"Local","Turista Nacional")))</f>
        <v>Turista Nacional</v>
      </c>
      <c r="Q412" s="7" t="n">
        <f aca="false">IF($A412="","",DATE(YEAR(B412),MONTH(B412),1))</f>
        <v>45931</v>
      </c>
      <c r="R412" s="4" t="str">
        <f aca="false">IF($A412="","",IF(COUNTIF($A$2:$A412,$A412)&gt;1,"Sim","Não"))</f>
        <v>Não</v>
      </c>
      <c r="S412" s="4" t="str">
        <f aca="false">IF(A412="","Descartar - Linha vazia",IF(R412="Sim","Descartar - Duplicado",IF(OR(H412&lt;=0,I412&lt;=0),"Descartar - Qtd/Valor inválido","OK")))</f>
        <v>OK</v>
      </c>
      <c r="T412" s="4" t="str">
        <f aca="false">Base_Bruta!P412</f>
        <v>vendas_SP.xlsx</v>
      </c>
    </row>
    <row r="413" customFormat="false" ht="15" hidden="false" customHeight="false" outlineLevel="0" collapsed="false">
      <c r="A413" s="4" t="str">
        <f aca="false">IF(Base_Bruta!A413="","",Base_Bruta!A413)</f>
        <v>SP-000673</v>
      </c>
      <c r="B413" s="5" t="n">
        <f aca="false">IF($A413="","",IF(ISNUMBER(Base_Bruta!B413),Base_Bruta!B413,IF(MID(Base_Bruta!B413,5,1)="-",DATE(VALUE(LEFT(Base_Bruta!B413,4)),VALUE(MID(Base_Bruta!B413,6,2)),VALUE(RIGHT(Base_Bruta!B413,2))),DATE(VALUE(RIGHT(Base_Bruta!B413,4)),VALUE(MID(Base_Bruta!B413,4,2)),VALUE(LEFT(Base_Bruta!B413,2))))))</f>
        <v>45955</v>
      </c>
      <c r="C413" s="5" t="n">
        <f aca="false">IF($A413="","",IF(ISNUMBER(Base_Bruta!C413),Base_Bruta!C413,IF(MID(Base_Bruta!C413,5,1)="-",DATE(VALUE(LEFT(Base_Bruta!C413,4)),VALUE(MID(Base_Bruta!C413,6,2)),VALUE(RIGHT(Base_Bruta!C413,2))),DATE(VALUE(RIGHT(Base_Bruta!C413,4)),VALUE(MID(Base_Bruta!C413,4,2)),VALUE(LEFT(Base_Bruta!C413,2))))))</f>
        <v>45956</v>
      </c>
      <c r="D413" s="4" t="str">
        <f aca="false">IF($A413="","",TRIM(Base_Bruta!D413))</f>
        <v>Cinema Paulista - Sessões</v>
      </c>
      <c r="E413" s="4" t="str">
        <f aca="false">IF($A413="","",_xlfn.XLOOKUP(LOWER(TRIM(Base_Bruta!E413)),DePara_Categoria!$A$2:$A$9,DePara_Categoria!$B$2:$B$9,"REVISAR"))</f>
        <v>Cinema</v>
      </c>
      <c r="F413" s="4" t="str">
        <f aca="false">IF($A413="","",_xlfn.XLOOKUP(LOWER(TRIM(Base_Bruta!F413)),DePara_Cidade!$A$2:$A$29,DePara_Cidade!$B$2:$B$29,"REVISAR"))</f>
        <v>São Paulo</v>
      </c>
      <c r="G413" s="4" t="str">
        <f aca="false">IF($A413="","",TRIM(Base_Bruta!G413))</f>
        <v>Meia</v>
      </c>
      <c r="H413" s="4" t="n">
        <f aca="false">IF($A413="","",IF(ISNUMBER(Base_Bruta!H413),Base_Bruta!H413,IFERROR(_xlfn.NUMBERVALUE(TRIM(SUBSTITUTE(Base_Bruta!H413,"R$","")),",","."),0)))</f>
        <v>4</v>
      </c>
      <c r="I413" s="6" t="n">
        <f aca="false">IF($A413="","",IF(ISNUMBER(Base_Bruta!I413),Base_Bruta!I413,IFERROR(_xlfn.NUMBERVALUE(TRIM(SUBSTITUTE(Base_Bruta!I413,"R$","")),",","."),0)))</f>
        <v>15</v>
      </c>
      <c r="J413" s="6" t="n">
        <f aca="false">IF($A413="","",H413*I413)</f>
        <v>60</v>
      </c>
      <c r="K413" s="4" t="str">
        <f aca="false">IF($A413="","",TRIM(Base_Bruta!J413))</f>
        <v>Bilheteria</v>
      </c>
      <c r="L413" s="4" t="str">
        <f aca="false">IF($A413="","",TRIM(Base_Bruta!K413))</f>
        <v>C00213</v>
      </c>
      <c r="M413" s="4" t="str">
        <f aca="false">IF($A413="","",_xlfn.XLOOKUP(LOWER(TRIM(Base_Bruta!L413)),DePara_Cidade!$A$2:$A$29,DePara_Cidade!$B$2:$B$29,"REVISAR"))</f>
        <v>São Paulo</v>
      </c>
      <c r="N413" s="4" t="str">
        <f aca="false">IF($A413="","",UPPER(TRIM(Base_Bruta!M413)))</f>
        <v>SP</v>
      </c>
      <c r="O413" s="4" t="str">
        <f aca="false">IF($A413="","",_xlfn.XLOOKUP(LOWER(TRIM(Base_Bruta!N413)),DePara_Pais!$A$2:$A$9,DePara_Pais!$B$2:$B$9,"REVISAR"))</f>
        <v>Brasil</v>
      </c>
      <c r="P413" s="4" t="str">
        <f aca="false">IF($A413="","",IF(O413&lt;&gt;"Brasil","Turista Internacional",IF(M413=F413,"Local","Turista Nacional")))</f>
        <v>Local</v>
      </c>
      <c r="Q413" s="7" t="n">
        <f aca="false">IF($A413="","",DATE(YEAR(B413),MONTH(B413),1))</f>
        <v>45931</v>
      </c>
      <c r="R413" s="4" t="str">
        <f aca="false">IF($A413="","",IF(COUNTIF($A$2:$A413,$A413)&gt;1,"Sim","Não"))</f>
        <v>Não</v>
      </c>
      <c r="S413" s="4" t="str">
        <f aca="false">IF(A413="","Descartar - Linha vazia",IF(R413="Sim","Descartar - Duplicado",IF(OR(H413&lt;=0,I413&lt;=0),"Descartar - Qtd/Valor inválido","OK")))</f>
        <v>OK</v>
      </c>
      <c r="T413" s="4" t="str">
        <f aca="false">Base_Bruta!P413</f>
        <v>vendas_SP.xlsx</v>
      </c>
    </row>
    <row r="414" customFormat="false" ht="15" hidden="false" customHeight="false" outlineLevel="0" collapsed="false">
      <c r="A414" s="4" t="str">
        <f aca="false">IF(Base_Bruta!A414="","",Base_Bruta!A414)</f>
        <v>SP-000697</v>
      </c>
      <c r="B414" s="5" t="n">
        <f aca="false">IF($A414="","",IF(ISNUMBER(Base_Bruta!B414),Base_Bruta!B414,IF(MID(Base_Bruta!B414,5,1)="-",DATE(VALUE(LEFT(Base_Bruta!B414,4)),VALUE(MID(Base_Bruta!B414,6,2)),VALUE(RIGHT(Base_Bruta!B414,2))),DATE(VALUE(RIGHT(Base_Bruta!B414,4)),VALUE(MID(Base_Bruta!B414,4,2)),VALUE(LEFT(Base_Bruta!B414,2))))))</f>
        <v>45955</v>
      </c>
      <c r="C414" s="5" t="n">
        <f aca="false">IF($A414="","",IF(ISNUMBER(Base_Bruta!C414),Base_Bruta!C414,IF(MID(Base_Bruta!C414,5,1)="-",DATE(VALUE(LEFT(Base_Bruta!C414,4)),VALUE(MID(Base_Bruta!C414,6,2)),VALUE(RIGHT(Base_Bruta!C414,2))),DATE(VALUE(RIGHT(Base_Bruta!C414,4)),VALUE(MID(Base_Bruta!C414,4,2)),VALUE(LEFT(Base_Bruta!C414,2))))))</f>
        <v>45957</v>
      </c>
      <c r="D414" s="4" t="str">
        <f aca="false">IF($A414="","",TRIM(Base_Bruta!D414))</f>
        <v>Cinema Paulista - Sessões</v>
      </c>
      <c r="E414" s="4" t="str">
        <f aca="false">IF($A414="","",_xlfn.XLOOKUP(LOWER(TRIM(Base_Bruta!E414)),DePara_Categoria!$A$2:$A$9,DePara_Categoria!$B$2:$B$9,"REVISAR"))</f>
        <v>Cinema</v>
      </c>
      <c r="F414" s="4" t="str">
        <f aca="false">IF($A414="","",_xlfn.XLOOKUP(LOWER(TRIM(Base_Bruta!F414)),DePara_Cidade!$A$2:$A$29,DePara_Cidade!$B$2:$B$29,"REVISAR"))</f>
        <v>São Paulo</v>
      </c>
      <c r="G414" s="4" t="str">
        <f aca="false">IF($A414="","",TRIM(Base_Bruta!G414))</f>
        <v>Inteira</v>
      </c>
      <c r="H414" s="4" t="n">
        <f aca="false">IF($A414="","",IF(ISNUMBER(Base_Bruta!H414),Base_Bruta!H414,IFERROR(_xlfn.NUMBERVALUE(TRIM(SUBSTITUTE(Base_Bruta!H414,"R$","")),",","."),0)))</f>
        <v>4</v>
      </c>
      <c r="I414" s="6" t="n">
        <f aca="false">IF($A414="","",IF(ISNUMBER(Base_Bruta!I414),Base_Bruta!I414,IFERROR(_xlfn.NUMBERVALUE(TRIM(SUBSTITUTE(Base_Bruta!I414,"R$","")),",","."),0)))</f>
        <v>45</v>
      </c>
      <c r="J414" s="6" t="n">
        <f aca="false">IF($A414="","",H414*I414)</f>
        <v>180</v>
      </c>
      <c r="K414" s="4" t="str">
        <f aca="false">IF($A414="","",TRIM(Base_Bruta!J414))</f>
        <v>App</v>
      </c>
      <c r="L414" s="4" t="str">
        <f aca="false">IF($A414="","",TRIM(Base_Bruta!K414))</f>
        <v>C00083</v>
      </c>
      <c r="M414" s="4" t="str">
        <f aca="false">IF($A414="","",_xlfn.XLOOKUP(LOWER(TRIM(Base_Bruta!L414)),DePara_Cidade!$A$2:$A$29,DePara_Cidade!$B$2:$B$29,"REVISAR"))</f>
        <v>São Paulo</v>
      </c>
      <c r="N414" s="4" t="str">
        <f aca="false">IF($A414="","",UPPER(TRIM(Base_Bruta!M414)))</f>
        <v>SP</v>
      </c>
      <c r="O414" s="4" t="str">
        <f aca="false">IF($A414="","",_xlfn.XLOOKUP(LOWER(TRIM(Base_Bruta!N414)),DePara_Pais!$A$2:$A$9,DePara_Pais!$B$2:$B$9,"REVISAR"))</f>
        <v>Brasil</v>
      </c>
      <c r="P414" s="4" t="str">
        <f aca="false">IF($A414="","",IF(O414&lt;&gt;"Brasil","Turista Internacional",IF(M414=F414,"Local","Turista Nacional")))</f>
        <v>Local</v>
      </c>
      <c r="Q414" s="7" t="n">
        <f aca="false">IF($A414="","",DATE(YEAR(B414),MONTH(B414),1))</f>
        <v>45931</v>
      </c>
      <c r="R414" s="4" t="str">
        <f aca="false">IF($A414="","",IF(COUNTIF($A$2:$A414,$A414)&gt;1,"Sim","Não"))</f>
        <v>Não</v>
      </c>
      <c r="S414" s="4" t="str">
        <f aca="false">IF(A414="","Descartar - Linha vazia",IF(R414="Sim","Descartar - Duplicado",IF(OR(H414&lt;=0,I414&lt;=0),"Descartar - Qtd/Valor inválido","OK")))</f>
        <v>OK</v>
      </c>
      <c r="T414" s="4" t="str">
        <f aca="false">Base_Bruta!P414</f>
        <v>vendas_SP.xlsx</v>
      </c>
    </row>
    <row r="415" customFormat="false" ht="15" hidden="false" customHeight="false" outlineLevel="0" collapsed="false">
      <c r="A415" s="4" t="str">
        <f aca="false">IF(Base_Bruta!A415="","",Base_Bruta!A415)</f>
        <v>SP-000124</v>
      </c>
      <c r="B415" s="5" t="n">
        <f aca="false">IF($A415="","",IF(ISNUMBER(Base_Bruta!B415),Base_Bruta!B415,IF(MID(Base_Bruta!B415,5,1)="-",DATE(VALUE(LEFT(Base_Bruta!B415,4)),VALUE(MID(Base_Bruta!B415,6,2)),VALUE(RIGHT(Base_Bruta!B415,2))),DATE(VALUE(RIGHT(Base_Bruta!B415,4)),VALUE(MID(Base_Bruta!B415,4,2)),VALUE(LEFT(Base_Bruta!B415,2))))))</f>
        <v>45957</v>
      </c>
      <c r="C415" s="5" t="n">
        <f aca="false">IF($A415="","",IF(ISNUMBER(Base_Bruta!C415),Base_Bruta!C415,IF(MID(Base_Bruta!C415,5,1)="-",DATE(VALUE(LEFT(Base_Bruta!C415,4)),VALUE(MID(Base_Bruta!C415,6,2)),VALUE(RIGHT(Base_Bruta!C415,2))),DATE(VALUE(RIGHT(Base_Bruta!C415,4)),VALUE(MID(Base_Bruta!C415,4,2)),VALUE(LEFT(Base_Bruta!C415,2))))))</f>
        <v>45976</v>
      </c>
      <c r="D415" s="4" t="str">
        <f aca="false">IF($A415="","",TRIM(Base_Bruta!D415))</f>
        <v>Festival Sonora SP 2025</v>
      </c>
      <c r="E415" s="4" t="str">
        <f aca="false">IF($A415="","",_xlfn.XLOOKUP(LOWER(TRIM(Base_Bruta!E415)),DePara_Categoria!$A$2:$A$9,DePara_Categoria!$B$2:$B$9,"REVISAR"))</f>
        <v>Festival</v>
      </c>
      <c r="F415" s="4" t="str">
        <f aca="false">IF($A415="","",_xlfn.XLOOKUP(LOWER(TRIM(Base_Bruta!F415)),DePara_Cidade!$A$2:$A$29,DePara_Cidade!$B$2:$B$29,"REVISAR"))</f>
        <v>São Paulo</v>
      </c>
      <c r="G415" s="4" t="str">
        <f aca="false">IF($A415="","",TRIM(Base_Bruta!G415))</f>
        <v>Meia</v>
      </c>
      <c r="H415" s="4" t="n">
        <f aca="false">IF($A415="","",IF(ISNUMBER(Base_Bruta!H415),Base_Bruta!H415,IFERROR(_xlfn.NUMBERVALUE(TRIM(SUBSTITUTE(Base_Bruta!H415,"R$","")),",","."),0)))</f>
        <v>3</v>
      </c>
      <c r="I415" s="6" t="n">
        <f aca="false">IF($A415="","",IF(ISNUMBER(Base_Bruta!I415),Base_Bruta!I415,IFERROR(_xlfn.NUMBERVALUE(TRIM(SUBSTITUTE(Base_Bruta!I415,"R$","")),",","."),0)))</f>
        <v>392.5</v>
      </c>
      <c r="J415" s="6" t="n">
        <f aca="false">IF($A415="","",H415*I415)</f>
        <v>1177.5</v>
      </c>
      <c r="K415" s="4" t="str">
        <f aca="false">IF($A415="","",TRIM(Base_Bruta!J415))</f>
        <v>Site</v>
      </c>
      <c r="L415" s="4" t="str">
        <f aca="false">IF($A415="","",TRIM(Base_Bruta!K415))</f>
        <v>C02102</v>
      </c>
      <c r="M415" s="4" t="str">
        <f aca="false">IF($A415="","",_xlfn.XLOOKUP(LOWER(TRIM(Base_Bruta!L415)),DePara_Cidade!$A$2:$A$29,DePara_Cidade!$B$2:$B$29,"REVISAR"))</f>
        <v>Porto Alegre</v>
      </c>
      <c r="N415" s="4" t="str">
        <f aca="false">IF($A415="","",UPPER(TRIM(Base_Bruta!M415)))</f>
        <v>RS</v>
      </c>
      <c r="O415" s="4" t="str">
        <f aca="false">IF($A415="","",_xlfn.XLOOKUP(LOWER(TRIM(Base_Bruta!N415)),DePara_Pais!$A$2:$A$9,DePara_Pais!$B$2:$B$9,"REVISAR"))</f>
        <v>Brasil</v>
      </c>
      <c r="P415" s="4" t="str">
        <f aca="false">IF($A415="","",IF(O415&lt;&gt;"Brasil","Turista Internacional",IF(M415=F415,"Local","Turista Nacional")))</f>
        <v>Turista Nacional</v>
      </c>
      <c r="Q415" s="7" t="n">
        <f aca="false">IF($A415="","",DATE(YEAR(B415),MONTH(B415),1))</f>
        <v>45931</v>
      </c>
      <c r="R415" s="4" t="str">
        <f aca="false">IF($A415="","",IF(COUNTIF($A$2:$A415,$A415)&gt;1,"Sim","Não"))</f>
        <v>Não</v>
      </c>
      <c r="S415" s="4" t="str">
        <f aca="false">IF(A415="","Descartar - Linha vazia",IF(R415="Sim","Descartar - Duplicado",IF(OR(H415&lt;=0,I415&lt;=0),"Descartar - Qtd/Valor inválido","OK")))</f>
        <v>OK</v>
      </c>
      <c r="T415" s="4" t="str">
        <f aca="false">Base_Bruta!P415</f>
        <v>vendas_SP.xlsx</v>
      </c>
    </row>
    <row r="416" customFormat="false" ht="15" hidden="false" customHeight="false" outlineLevel="0" collapsed="false">
      <c r="A416" s="4" t="str">
        <f aca="false">IF(Base_Bruta!A416="","",Base_Bruta!A416)</f>
        <v>SP-000152</v>
      </c>
      <c r="B416" s="5" t="n">
        <f aca="false">IF($A416="","",IF(ISNUMBER(Base_Bruta!B416),Base_Bruta!B416,IF(MID(Base_Bruta!B416,5,1)="-",DATE(VALUE(LEFT(Base_Bruta!B416,4)),VALUE(MID(Base_Bruta!B416,6,2)),VALUE(RIGHT(Base_Bruta!B416,2))),DATE(VALUE(RIGHT(Base_Bruta!B416,4)),VALUE(MID(Base_Bruta!B416,4,2)),VALUE(LEFT(Base_Bruta!B416,2))))))</f>
        <v>45957</v>
      </c>
      <c r="C416" s="5" t="n">
        <f aca="false">IF($A416="","",IF(ISNUMBER(Base_Bruta!C416),Base_Bruta!C416,IF(MID(Base_Bruta!C416,5,1)="-",DATE(VALUE(LEFT(Base_Bruta!C416,4)),VALUE(MID(Base_Bruta!C416,6,2)),VALUE(RIGHT(Base_Bruta!C416,2))),DATE(VALUE(RIGHT(Base_Bruta!C416,4)),VALUE(MID(Base_Bruta!C416,4,2)),VALUE(LEFT(Base_Bruta!C416,2))))))</f>
        <v>45976</v>
      </c>
      <c r="D416" s="4" t="str">
        <f aca="false">IF($A416="","",TRIM(Base_Bruta!D416))</f>
        <v>Festival Sonora SP 2025</v>
      </c>
      <c r="E416" s="4" t="str">
        <f aca="false">IF($A416="","",_xlfn.XLOOKUP(LOWER(TRIM(Base_Bruta!E416)),DePara_Categoria!$A$2:$A$9,DePara_Categoria!$B$2:$B$9,"REVISAR"))</f>
        <v>Festival</v>
      </c>
      <c r="F416" s="4" t="str">
        <f aca="false">IF($A416="","",_xlfn.XLOOKUP(LOWER(TRIM(Base_Bruta!F416)),DePara_Cidade!$A$2:$A$29,DePara_Cidade!$B$2:$B$29,"REVISAR"))</f>
        <v>São Paulo</v>
      </c>
      <c r="G416" s="4" t="str">
        <f aca="false">IF($A416="","",TRIM(Base_Bruta!G416))</f>
        <v>Meia</v>
      </c>
      <c r="H416" s="4" t="n">
        <f aca="false">IF($A416="","",IF(ISNUMBER(Base_Bruta!H416),Base_Bruta!H416,IFERROR(_xlfn.NUMBERVALUE(TRIM(SUBSTITUTE(Base_Bruta!H416,"R$","")),",","."),0)))</f>
        <v>3</v>
      </c>
      <c r="I416" s="6" t="n">
        <f aca="false">IF($A416="","",IF(ISNUMBER(Base_Bruta!I416),Base_Bruta!I416,IFERROR(_xlfn.NUMBERVALUE(TRIM(SUBSTITUTE(Base_Bruta!I416,"R$","")),",","."),0)))</f>
        <v>530</v>
      </c>
      <c r="J416" s="6" t="n">
        <f aca="false">IF($A416="","",H416*I416)</f>
        <v>1590</v>
      </c>
      <c r="K416" s="4" t="str">
        <f aca="false">IF($A416="","",TRIM(Base_Bruta!J416))</f>
        <v>App</v>
      </c>
      <c r="L416" s="4" t="str">
        <f aca="false">IF($A416="","",TRIM(Base_Bruta!K416))</f>
        <v>C02058</v>
      </c>
      <c r="M416" s="4" t="str">
        <f aca="false">IF($A416="","",_xlfn.XLOOKUP(LOWER(TRIM(Base_Bruta!L416)),DePara_Cidade!$A$2:$A$29,DePara_Cidade!$B$2:$B$29,"REVISAR"))</f>
        <v>São Paulo</v>
      </c>
      <c r="N416" s="4" t="str">
        <f aca="false">IF($A416="","",UPPER(TRIM(Base_Bruta!M416)))</f>
        <v>SP</v>
      </c>
      <c r="O416" s="4" t="str">
        <f aca="false">IF($A416="","",_xlfn.XLOOKUP(LOWER(TRIM(Base_Bruta!N416)),DePara_Pais!$A$2:$A$9,DePara_Pais!$B$2:$B$9,"REVISAR"))</f>
        <v>Brasil</v>
      </c>
      <c r="P416" s="4" t="str">
        <f aca="false">IF($A416="","",IF(O416&lt;&gt;"Brasil","Turista Internacional",IF(M416=F416,"Local","Turista Nacional")))</f>
        <v>Local</v>
      </c>
      <c r="Q416" s="7" t="n">
        <f aca="false">IF($A416="","",DATE(YEAR(B416),MONTH(B416),1))</f>
        <v>45931</v>
      </c>
      <c r="R416" s="4" t="str">
        <f aca="false">IF($A416="","",IF(COUNTIF($A$2:$A416,$A416)&gt;1,"Sim","Não"))</f>
        <v>Não</v>
      </c>
      <c r="S416" s="4" t="str">
        <f aca="false">IF(A416="","Descartar - Linha vazia",IF(R416="Sim","Descartar - Duplicado",IF(OR(H416&lt;=0,I416&lt;=0),"Descartar - Qtd/Valor inválido","OK")))</f>
        <v>OK</v>
      </c>
      <c r="T416" s="4" t="str">
        <f aca="false">Base_Bruta!P416</f>
        <v>vendas_SP.xlsx</v>
      </c>
    </row>
    <row r="417" customFormat="false" ht="15" hidden="false" customHeight="false" outlineLevel="0" collapsed="false">
      <c r="A417" s="4" t="str">
        <f aca="false">IF(Base_Bruta!A417="","",Base_Bruta!A417)</f>
        <v>SP-000179</v>
      </c>
      <c r="B417" s="5" t="n">
        <f aca="false">IF($A417="","",IF(ISNUMBER(Base_Bruta!B417),Base_Bruta!B417,IF(MID(Base_Bruta!B417,5,1)="-",DATE(VALUE(LEFT(Base_Bruta!B417,4)),VALUE(MID(Base_Bruta!B417,6,2)),VALUE(RIGHT(Base_Bruta!B417,2))),DATE(VALUE(RIGHT(Base_Bruta!B417,4)),VALUE(MID(Base_Bruta!B417,4,2)),VALUE(LEFT(Base_Bruta!B417,2))))))</f>
        <v>45957</v>
      </c>
      <c r="C417" s="5" t="n">
        <f aca="false">IF($A417="","",IF(ISNUMBER(Base_Bruta!C417),Base_Bruta!C417,IF(MID(Base_Bruta!C417,5,1)="-",DATE(VALUE(LEFT(Base_Bruta!C417,4)),VALUE(MID(Base_Bruta!C417,6,2)),VALUE(RIGHT(Base_Bruta!C417,2))),DATE(VALUE(RIGHT(Base_Bruta!C417,4)),VALUE(MID(Base_Bruta!C417,4,2)),VALUE(LEFT(Base_Bruta!C417,2))))))</f>
        <v>45976</v>
      </c>
      <c r="D417" s="4" t="str">
        <f aca="false">IF($A417="","",TRIM(Base_Bruta!D417))</f>
        <v>Festival Sonora SP 2025</v>
      </c>
      <c r="E417" s="4" t="str">
        <f aca="false">IF($A417="","",_xlfn.XLOOKUP(LOWER(TRIM(Base_Bruta!E417)),DePara_Categoria!$A$2:$A$9,DePara_Categoria!$B$2:$B$9,"REVISAR"))</f>
        <v>Festival</v>
      </c>
      <c r="F417" s="4" t="str">
        <f aca="false">IF($A417="","",_xlfn.XLOOKUP(LOWER(TRIM(Base_Bruta!F417)),DePara_Cidade!$A$2:$A$29,DePara_Cidade!$B$2:$B$29,"REVISAR"))</f>
        <v>São Paulo</v>
      </c>
      <c r="G417" s="4" t="str">
        <f aca="false">IF($A417="","",TRIM(Base_Bruta!G417))</f>
        <v>Inteira</v>
      </c>
      <c r="H417" s="4" t="n">
        <f aca="false">IF($A417="","",IF(ISNUMBER(Base_Bruta!H417),Base_Bruta!H417,IFERROR(_xlfn.NUMBERVALUE(TRIM(SUBSTITUTE(Base_Bruta!H417,"R$","")),",","."),0)))</f>
        <v>4</v>
      </c>
      <c r="I417" s="6" t="n">
        <f aca="false">IF($A417="","",IF(ISNUMBER(Base_Bruta!I417),Base_Bruta!I417,IFERROR(_xlfn.NUMBERVALUE(TRIM(SUBSTITUTE(Base_Bruta!I417,"R$","")),",","."),0)))</f>
        <v>1080</v>
      </c>
      <c r="J417" s="6" t="n">
        <f aca="false">IF($A417="","",H417*I417)</f>
        <v>4320</v>
      </c>
      <c r="K417" s="4" t="str">
        <f aca="false">IF($A417="","",TRIM(Base_Bruta!J417))</f>
        <v>App</v>
      </c>
      <c r="L417" s="4" t="str">
        <f aca="false">IF($A417="","",TRIM(Base_Bruta!K417))</f>
        <v>C01300</v>
      </c>
      <c r="M417" s="4" t="str">
        <f aca="false">IF($A417="","",_xlfn.XLOOKUP(LOWER(TRIM(Base_Bruta!L417)),DePara_Cidade!$A$2:$A$29,DePara_Cidade!$B$2:$B$29,"REVISAR"))</f>
        <v>Buenos Aires</v>
      </c>
      <c r="N417" s="4" t="str">
        <f aca="false">IF($A417="","",UPPER(TRIM(Base_Bruta!M417)))</f>
        <v>EX</v>
      </c>
      <c r="O417" s="4" t="str">
        <f aca="false">IF($A417="","",_xlfn.XLOOKUP(LOWER(TRIM(Base_Bruta!N417)),DePara_Pais!$A$2:$A$9,DePara_Pais!$B$2:$B$9,"REVISAR"))</f>
        <v>Argentina</v>
      </c>
      <c r="P417" s="4" t="str">
        <f aca="false">IF($A417="","",IF(O417&lt;&gt;"Brasil","Turista Internacional",IF(M417=F417,"Local","Turista Nacional")))</f>
        <v>Turista Internacional</v>
      </c>
      <c r="Q417" s="7" t="n">
        <f aca="false">IF($A417="","",DATE(YEAR(B417),MONTH(B417),1))</f>
        <v>45931</v>
      </c>
      <c r="R417" s="4" t="str">
        <f aca="false">IF($A417="","",IF(COUNTIF($A$2:$A417,$A417)&gt;1,"Sim","Não"))</f>
        <v>Não</v>
      </c>
      <c r="S417" s="4" t="str">
        <f aca="false">IF(A417="","Descartar - Linha vazia",IF(R417="Sim","Descartar - Duplicado",IF(OR(H417&lt;=0,I417&lt;=0),"Descartar - Qtd/Valor inválido","OK")))</f>
        <v>OK</v>
      </c>
      <c r="T417" s="4" t="str">
        <f aca="false">Base_Bruta!P417</f>
        <v>vendas_SP.xlsx</v>
      </c>
    </row>
    <row r="418" customFormat="false" ht="15" hidden="false" customHeight="false" outlineLevel="0" collapsed="false">
      <c r="A418" s="4" t="str">
        <f aca="false">IF(Base_Bruta!A418="","",Base_Bruta!A418)</f>
        <v>SP-000664</v>
      </c>
      <c r="B418" s="5" t="n">
        <f aca="false">IF($A418="","",IF(ISNUMBER(Base_Bruta!B418),Base_Bruta!B418,IF(MID(Base_Bruta!B418,5,1)="-",DATE(VALUE(LEFT(Base_Bruta!B418,4)),VALUE(MID(Base_Bruta!B418,6,2)),VALUE(RIGHT(Base_Bruta!B418,2))),DATE(VALUE(RIGHT(Base_Bruta!B418,4)),VALUE(MID(Base_Bruta!B418,4,2)),VALUE(LEFT(Base_Bruta!B418,2))))))</f>
        <v>45957</v>
      </c>
      <c r="C418" s="5" t="n">
        <f aca="false">IF($A418="","",IF(ISNUMBER(Base_Bruta!C418),Base_Bruta!C418,IF(MID(Base_Bruta!C418,5,1)="-",DATE(VALUE(LEFT(Base_Bruta!C418,4)),VALUE(MID(Base_Bruta!C418,6,2)),VALUE(RIGHT(Base_Bruta!C418,2))),DATE(VALUE(RIGHT(Base_Bruta!C418,4)),VALUE(MID(Base_Bruta!C418,4,2)),VALUE(LEFT(Base_Bruta!C418,2))))))</f>
        <v>45959</v>
      </c>
      <c r="D418" s="4" t="str">
        <f aca="false">IF($A418="","",TRIM(Base_Bruta!D418))</f>
        <v>Cinema Paulista - Sessões</v>
      </c>
      <c r="E418" s="4" t="str">
        <f aca="false">IF($A418="","",_xlfn.XLOOKUP(LOWER(TRIM(Base_Bruta!E418)),DePara_Categoria!$A$2:$A$9,DePara_Categoria!$B$2:$B$9,"REVISAR"))</f>
        <v>Cinema</v>
      </c>
      <c r="F418" s="4" t="str">
        <f aca="false">IF($A418="","",_xlfn.XLOOKUP(LOWER(TRIM(Base_Bruta!F418)),DePara_Cidade!$A$2:$A$29,DePara_Cidade!$B$2:$B$29,"REVISAR"))</f>
        <v>São Paulo</v>
      </c>
      <c r="G418" s="4" t="str">
        <f aca="false">IF($A418="","",TRIM(Base_Bruta!G418))</f>
        <v>Meia</v>
      </c>
      <c r="H418" s="4" t="n">
        <f aca="false">IF($A418="","",IF(ISNUMBER(Base_Bruta!H418),Base_Bruta!H418,IFERROR(_xlfn.NUMBERVALUE(TRIM(SUBSTITUTE(Base_Bruta!H418,"R$","")),",","."),0)))</f>
        <v>2</v>
      </c>
      <c r="I418" s="6" t="n">
        <f aca="false">IF($A418="","",IF(ISNUMBER(Base_Bruta!I418),Base_Bruta!I418,IFERROR(_xlfn.NUMBERVALUE(TRIM(SUBSTITUTE(Base_Bruta!I418,"R$","")),",","."),0)))</f>
        <v>22.5</v>
      </c>
      <c r="J418" s="6" t="n">
        <f aca="false">IF($A418="","",H418*I418)</f>
        <v>45</v>
      </c>
      <c r="K418" s="4" t="str">
        <f aca="false">IF($A418="","",TRIM(Base_Bruta!J418))</f>
        <v>App</v>
      </c>
      <c r="L418" s="4" t="str">
        <f aca="false">IF($A418="","",TRIM(Base_Bruta!K418))</f>
        <v>C01394</v>
      </c>
      <c r="M418" s="4" t="str">
        <f aca="false">IF($A418="","",_xlfn.XLOOKUP(LOWER(TRIM(Base_Bruta!L418)),DePara_Cidade!$A$2:$A$29,DePara_Cidade!$B$2:$B$29,"REVISAR"))</f>
        <v>São Paulo</v>
      </c>
      <c r="N418" s="4" t="str">
        <f aca="false">IF($A418="","",UPPER(TRIM(Base_Bruta!M418)))</f>
        <v>SP</v>
      </c>
      <c r="O418" s="4" t="str">
        <f aca="false">IF($A418="","",_xlfn.XLOOKUP(LOWER(TRIM(Base_Bruta!N418)),DePara_Pais!$A$2:$A$9,DePara_Pais!$B$2:$B$9,"REVISAR"))</f>
        <v>Brasil</v>
      </c>
      <c r="P418" s="4" t="str">
        <f aca="false">IF($A418="","",IF(O418&lt;&gt;"Brasil","Turista Internacional",IF(M418=F418,"Local","Turista Nacional")))</f>
        <v>Local</v>
      </c>
      <c r="Q418" s="7" t="n">
        <f aca="false">IF($A418="","",DATE(YEAR(B418),MONTH(B418),1))</f>
        <v>45931</v>
      </c>
      <c r="R418" s="4" t="str">
        <f aca="false">IF($A418="","",IF(COUNTIF($A$2:$A418,$A418)&gt;1,"Sim","Não"))</f>
        <v>Não</v>
      </c>
      <c r="S418" s="4" t="str">
        <f aca="false">IF(A418="","Descartar - Linha vazia",IF(R418="Sim","Descartar - Duplicado",IF(OR(H418&lt;=0,I418&lt;=0),"Descartar - Qtd/Valor inválido","OK")))</f>
        <v>OK</v>
      </c>
      <c r="T418" s="4" t="str">
        <f aca="false">Base_Bruta!P418</f>
        <v>vendas_SP.xlsx</v>
      </c>
    </row>
    <row r="419" customFormat="false" ht="15" hidden="false" customHeight="false" outlineLevel="0" collapsed="false">
      <c r="A419" s="4" t="str">
        <f aca="false">IF(Base_Bruta!A419="","",Base_Bruta!A419)</f>
        <v>SP-000043</v>
      </c>
      <c r="B419" s="5" t="n">
        <f aca="false">IF($A419="","",IF(ISNUMBER(Base_Bruta!B419),Base_Bruta!B419,IF(MID(Base_Bruta!B419,5,1)="-",DATE(VALUE(LEFT(Base_Bruta!B419,4)),VALUE(MID(Base_Bruta!B419,6,2)),VALUE(RIGHT(Base_Bruta!B419,2))),DATE(VALUE(RIGHT(Base_Bruta!B419,4)),VALUE(MID(Base_Bruta!B419,4,2)),VALUE(LEFT(Base_Bruta!B419,2))))))</f>
        <v>45958</v>
      </c>
      <c r="C419" s="5" t="n">
        <f aca="false">IF($A419="","",IF(ISNUMBER(Base_Bruta!C419),Base_Bruta!C419,IF(MID(Base_Bruta!C419,5,1)="-",DATE(VALUE(LEFT(Base_Bruta!C419,4)),VALUE(MID(Base_Bruta!C419,6,2)),VALUE(RIGHT(Base_Bruta!C419,2))),DATE(VALUE(RIGHT(Base_Bruta!C419,4)),VALUE(MID(Base_Bruta!C419,4,2)),VALUE(LEFT(Base_Bruta!C419,2))))))</f>
        <v>45976</v>
      </c>
      <c r="D419" s="4" t="str">
        <f aca="false">IF($A419="","",TRIM(Base_Bruta!D419))</f>
        <v>Festival Sonora SP 2025</v>
      </c>
      <c r="E419" s="4" t="str">
        <f aca="false">IF($A419="","",_xlfn.XLOOKUP(LOWER(TRIM(Base_Bruta!E419)),DePara_Categoria!$A$2:$A$9,DePara_Categoria!$B$2:$B$9,"REVISAR"))</f>
        <v>Festival</v>
      </c>
      <c r="F419" s="4" t="str">
        <f aca="false">IF($A419="","",_xlfn.XLOOKUP(LOWER(TRIM(Base_Bruta!F419)),DePara_Cidade!$A$2:$A$29,DePara_Cidade!$B$2:$B$29,"REVISAR"))</f>
        <v>São Paulo</v>
      </c>
      <c r="G419" s="4" t="str">
        <f aca="false">IF($A419="","",TRIM(Base_Bruta!G419))</f>
        <v>Meia</v>
      </c>
      <c r="H419" s="4" t="n">
        <f aca="false">IF($A419="","",IF(ISNUMBER(Base_Bruta!H419),Base_Bruta!H419,IFERROR(_xlfn.NUMBERVALUE(TRIM(SUBSTITUTE(Base_Bruta!H419,"R$","")),",","."),0)))</f>
        <v>1</v>
      </c>
      <c r="I419" s="6" t="n">
        <f aca="false">IF($A419="","",IF(ISNUMBER(Base_Bruta!I419),Base_Bruta!I419,IFERROR(_xlfn.NUMBERVALUE(TRIM(SUBSTITUTE(Base_Bruta!I419,"R$","")),",","."),0)))</f>
        <v>537.5</v>
      </c>
      <c r="J419" s="6" t="n">
        <f aca="false">IF($A419="","",H419*I419)</f>
        <v>537.5</v>
      </c>
      <c r="K419" s="4" t="str">
        <f aca="false">IF($A419="","",TRIM(Base_Bruta!J419))</f>
        <v>Bilheteria</v>
      </c>
      <c r="L419" s="4" t="str">
        <f aca="false">IF($A419="","",TRIM(Base_Bruta!K419))</f>
        <v>C01675</v>
      </c>
      <c r="M419" s="4" t="str">
        <f aca="false">IF($A419="","",_xlfn.XLOOKUP(LOWER(TRIM(Base_Bruta!L419)),DePara_Cidade!$A$2:$A$29,DePara_Cidade!$B$2:$B$29,"REVISAR"))</f>
        <v>Vitória</v>
      </c>
      <c r="N419" s="4" t="str">
        <f aca="false">IF($A419="","",UPPER(TRIM(Base_Bruta!M419)))</f>
        <v>ES</v>
      </c>
      <c r="O419" s="4" t="str">
        <f aca="false">IF($A419="","",_xlfn.XLOOKUP(LOWER(TRIM(Base_Bruta!N419)),DePara_Pais!$A$2:$A$9,DePara_Pais!$B$2:$B$9,"REVISAR"))</f>
        <v>Brasil</v>
      </c>
      <c r="P419" s="4" t="str">
        <f aca="false">IF($A419="","",IF(O419&lt;&gt;"Brasil","Turista Internacional",IF(M419=F419,"Local","Turista Nacional")))</f>
        <v>Turista Nacional</v>
      </c>
      <c r="Q419" s="7" t="n">
        <f aca="false">IF($A419="","",DATE(YEAR(B419),MONTH(B419),1))</f>
        <v>45931</v>
      </c>
      <c r="R419" s="4" t="str">
        <f aca="false">IF($A419="","",IF(COUNTIF($A$2:$A419,$A419)&gt;1,"Sim","Não"))</f>
        <v>Não</v>
      </c>
      <c r="S419" s="4" t="str">
        <f aca="false">IF(A419="","Descartar - Linha vazia",IF(R419="Sim","Descartar - Duplicado",IF(OR(H419&lt;=0,I419&lt;=0),"Descartar - Qtd/Valor inválido","OK")))</f>
        <v>OK</v>
      </c>
      <c r="T419" s="4" t="str">
        <f aca="false">Base_Bruta!P419</f>
        <v>vendas_SP.xlsx</v>
      </c>
    </row>
    <row r="420" customFormat="false" ht="15" hidden="false" customHeight="false" outlineLevel="0" collapsed="false">
      <c r="A420" s="4" t="str">
        <f aca="false">IF(Base_Bruta!A420="","",Base_Bruta!A420)</f>
        <v>SP-000105</v>
      </c>
      <c r="B420" s="5" t="n">
        <f aca="false">IF($A420="","",IF(ISNUMBER(Base_Bruta!B420),Base_Bruta!B420,IF(MID(Base_Bruta!B420,5,1)="-",DATE(VALUE(LEFT(Base_Bruta!B420,4)),VALUE(MID(Base_Bruta!B420,6,2)),VALUE(RIGHT(Base_Bruta!B420,2))),DATE(VALUE(RIGHT(Base_Bruta!B420,4)),VALUE(MID(Base_Bruta!B420,4,2)),VALUE(LEFT(Base_Bruta!B420,2))))))</f>
        <v>45958</v>
      </c>
      <c r="C420" s="5" t="n">
        <f aca="false">IF($A420="","",IF(ISNUMBER(Base_Bruta!C420),Base_Bruta!C420,IF(MID(Base_Bruta!C420,5,1)="-",DATE(VALUE(LEFT(Base_Bruta!C420,4)),VALUE(MID(Base_Bruta!C420,6,2)),VALUE(RIGHT(Base_Bruta!C420,2))),DATE(VALUE(RIGHT(Base_Bruta!C420,4)),VALUE(MID(Base_Bruta!C420,4,2)),VALUE(LEFT(Base_Bruta!C420,2))))))</f>
        <v>45976</v>
      </c>
      <c r="D420" s="4" t="str">
        <f aca="false">IF($A420="","",TRIM(Base_Bruta!D420))</f>
        <v>Festival Sonora SP 2025</v>
      </c>
      <c r="E420" s="4" t="str">
        <f aca="false">IF($A420="","",_xlfn.XLOOKUP(LOWER(TRIM(Base_Bruta!E420)),DePara_Categoria!$A$2:$A$9,DePara_Categoria!$B$2:$B$9,"REVISAR"))</f>
        <v>Festival</v>
      </c>
      <c r="F420" s="4" t="str">
        <f aca="false">IF($A420="","",_xlfn.XLOOKUP(LOWER(TRIM(Base_Bruta!F420)),DePara_Cidade!$A$2:$A$29,DePara_Cidade!$B$2:$B$29,"REVISAR"))</f>
        <v>São Paulo</v>
      </c>
      <c r="G420" s="4" t="str">
        <f aca="false">IF($A420="","",TRIM(Base_Bruta!G420))</f>
        <v>Inteira</v>
      </c>
      <c r="H420" s="4" t="n">
        <f aca="false">IF($A420="","",IF(ISNUMBER(Base_Bruta!H420),Base_Bruta!H420,IFERROR(_xlfn.NUMBERVALUE(TRIM(SUBSTITUTE(Base_Bruta!H420,"R$","")),",","."),0)))</f>
        <v>2</v>
      </c>
      <c r="I420" s="6" t="n">
        <f aca="false">IF($A420="","",IF(ISNUMBER(Base_Bruta!I420),Base_Bruta!I420,IFERROR(_xlfn.NUMBERVALUE(TRIM(SUBSTITUTE(Base_Bruta!I420,"R$","")),",","."),0)))</f>
        <v>780</v>
      </c>
      <c r="J420" s="6" t="n">
        <f aca="false">IF($A420="","",H420*I420)</f>
        <v>1560</v>
      </c>
      <c r="K420" s="4" t="str">
        <f aca="false">IF($A420="","",TRIM(Base_Bruta!J420))</f>
        <v>Bilheteria</v>
      </c>
      <c r="L420" s="4" t="str">
        <f aca="false">IF($A420="","",TRIM(Base_Bruta!K420))</f>
        <v>C01394</v>
      </c>
      <c r="M420" s="4" t="str">
        <f aca="false">IF($A420="","",_xlfn.XLOOKUP(LOWER(TRIM(Base_Bruta!L420)),DePara_Cidade!$A$2:$A$29,DePara_Cidade!$B$2:$B$29,"REVISAR"))</f>
        <v>São Paulo</v>
      </c>
      <c r="N420" s="4" t="str">
        <f aca="false">IF($A420="","",UPPER(TRIM(Base_Bruta!M420)))</f>
        <v>SP</v>
      </c>
      <c r="O420" s="4" t="str">
        <f aca="false">IF($A420="","",_xlfn.XLOOKUP(LOWER(TRIM(Base_Bruta!N420)),DePara_Pais!$A$2:$A$9,DePara_Pais!$B$2:$B$9,"REVISAR"))</f>
        <v>Brasil</v>
      </c>
      <c r="P420" s="4" t="str">
        <f aca="false">IF($A420="","",IF(O420&lt;&gt;"Brasil","Turista Internacional",IF(M420=F420,"Local","Turista Nacional")))</f>
        <v>Local</v>
      </c>
      <c r="Q420" s="7" t="n">
        <f aca="false">IF($A420="","",DATE(YEAR(B420),MONTH(B420),1))</f>
        <v>45931</v>
      </c>
      <c r="R420" s="4" t="str">
        <f aca="false">IF($A420="","",IF(COUNTIF($A$2:$A420,$A420)&gt;1,"Sim","Não"))</f>
        <v>Não</v>
      </c>
      <c r="S420" s="4" t="str">
        <f aca="false">IF(A420="","Descartar - Linha vazia",IF(R420="Sim","Descartar - Duplicado",IF(OR(H420&lt;=0,I420&lt;=0),"Descartar - Qtd/Valor inválido","OK")))</f>
        <v>OK</v>
      </c>
      <c r="T420" s="4" t="str">
        <f aca="false">Base_Bruta!P420</f>
        <v>vendas_SP.xlsx</v>
      </c>
    </row>
    <row r="421" customFormat="false" ht="15" hidden="false" customHeight="false" outlineLevel="0" collapsed="false">
      <c r="A421" s="4" t="str">
        <f aca="false">IF(Base_Bruta!A421="","",Base_Bruta!A421)</f>
        <v>SP-000212</v>
      </c>
      <c r="B421" s="5" t="n">
        <f aca="false">IF($A421="","",IF(ISNUMBER(Base_Bruta!B421),Base_Bruta!B421,IF(MID(Base_Bruta!B421,5,1)="-",DATE(VALUE(LEFT(Base_Bruta!B421,4)),VALUE(MID(Base_Bruta!B421,6,2)),VALUE(RIGHT(Base_Bruta!B421,2))),DATE(VALUE(RIGHT(Base_Bruta!B421,4)),VALUE(MID(Base_Bruta!B421,4,2)),VALUE(LEFT(Base_Bruta!B421,2))))))</f>
        <v>45958</v>
      </c>
      <c r="C421" s="5" t="n">
        <f aca="false">IF($A421="","",IF(ISNUMBER(Base_Bruta!C421),Base_Bruta!C421,IF(MID(Base_Bruta!C421,5,1)="-",DATE(VALUE(LEFT(Base_Bruta!C421,4)),VALUE(MID(Base_Bruta!C421,6,2)),VALUE(RIGHT(Base_Bruta!C421,2))),DATE(VALUE(RIGHT(Base_Bruta!C421,4)),VALUE(MID(Base_Bruta!C421,4,2)),VALUE(LEFT(Base_Bruta!C421,2))))))</f>
        <v>45976</v>
      </c>
      <c r="D421" s="4" t="str">
        <f aca="false">IF($A421="","",TRIM(Base_Bruta!D421))</f>
        <v>Festival Sonora SP 2025</v>
      </c>
      <c r="E421" s="4" t="str">
        <f aca="false">IF($A421="","",_xlfn.XLOOKUP(LOWER(TRIM(Base_Bruta!E421)),DePara_Categoria!$A$2:$A$9,DePara_Categoria!$B$2:$B$9,"REVISAR"))</f>
        <v>Festival</v>
      </c>
      <c r="F421" s="4" t="str">
        <f aca="false">IF($A421="","",_xlfn.XLOOKUP(LOWER(TRIM(Base_Bruta!F421)),DePara_Cidade!$A$2:$A$29,DePara_Cidade!$B$2:$B$29,"REVISAR"))</f>
        <v>São Paulo</v>
      </c>
      <c r="G421" s="4" t="str">
        <f aca="false">IF($A421="","",TRIM(Base_Bruta!G421))</f>
        <v>Inteira</v>
      </c>
      <c r="H421" s="4" t="n">
        <f aca="false">IF($A421="","",IF(ISNUMBER(Base_Bruta!H421),Base_Bruta!H421,IFERROR(_xlfn.NUMBERVALUE(TRIM(SUBSTITUTE(Base_Bruta!H421,"R$","")),",","."),0)))</f>
        <v>1</v>
      </c>
      <c r="I421" s="6" t="n">
        <f aca="false">IF($A421="","",IF(ISNUMBER(Base_Bruta!I421),Base_Bruta!I421,IFERROR(_xlfn.NUMBERVALUE(TRIM(SUBSTITUTE(Base_Bruta!I421,"R$","")),",","."),0)))</f>
        <v>1025</v>
      </c>
      <c r="J421" s="6" t="n">
        <f aca="false">IF($A421="","",H421*I421)</f>
        <v>1025</v>
      </c>
      <c r="K421" s="4" t="str">
        <f aca="false">IF($A421="","",TRIM(Base_Bruta!J421))</f>
        <v>Site</v>
      </c>
      <c r="L421" s="4" t="str">
        <f aca="false">IF($A421="","",TRIM(Base_Bruta!K421))</f>
        <v>C01514</v>
      </c>
      <c r="M421" s="4" t="str">
        <f aca="false">IF($A421="","",_xlfn.XLOOKUP(LOWER(TRIM(Base_Bruta!L421)),DePara_Cidade!$A$2:$A$29,DePara_Cidade!$B$2:$B$29,"REVISAR"))</f>
        <v>Contagem</v>
      </c>
      <c r="N421" s="4" t="str">
        <f aca="false">IF($A421="","",UPPER(TRIM(Base_Bruta!M421)))</f>
        <v>MG</v>
      </c>
      <c r="O421" s="4" t="str">
        <f aca="false">IF($A421="","",_xlfn.XLOOKUP(LOWER(TRIM(Base_Bruta!N421)),DePara_Pais!$A$2:$A$9,DePara_Pais!$B$2:$B$9,"REVISAR"))</f>
        <v>Brasil</v>
      </c>
      <c r="P421" s="4" t="str">
        <f aca="false">IF($A421="","",IF(O421&lt;&gt;"Brasil","Turista Internacional",IF(M421=F421,"Local","Turista Nacional")))</f>
        <v>Turista Nacional</v>
      </c>
      <c r="Q421" s="7" t="n">
        <f aca="false">IF($A421="","",DATE(YEAR(B421),MONTH(B421),1))</f>
        <v>45931</v>
      </c>
      <c r="R421" s="4" t="str">
        <f aca="false">IF($A421="","",IF(COUNTIF($A$2:$A421,$A421)&gt;1,"Sim","Não"))</f>
        <v>Não</v>
      </c>
      <c r="S421" s="4" t="str">
        <f aca="false">IF(A421="","Descartar - Linha vazia",IF(R421="Sim","Descartar - Duplicado",IF(OR(H421&lt;=0,I421&lt;=0),"Descartar - Qtd/Valor inválido","OK")))</f>
        <v>OK</v>
      </c>
      <c r="T421" s="4" t="str">
        <f aca="false">Base_Bruta!P421</f>
        <v>vendas_SP.xlsx</v>
      </c>
    </row>
    <row r="422" customFormat="false" ht="15" hidden="false" customHeight="false" outlineLevel="0" collapsed="false">
      <c r="A422" s="4" t="str">
        <f aca="false">IF(Base_Bruta!A422="","",Base_Bruta!A422)</f>
        <v>SP-000026</v>
      </c>
      <c r="B422" s="5" t="n">
        <f aca="false">IF($A422="","",IF(ISNUMBER(Base_Bruta!B422),Base_Bruta!B422,IF(MID(Base_Bruta!B422,5,1)="-",DATE(VALUE(LEFT(Base_Bruta!B422,4)),VALUE(MID(Base_Bruta!B422,6,2)),VALUE(RIGHT(Base_Bruta!B422,2))),DATE(VALUE(RIGHT(Base_Bruta!B422,4)),VALUE(MID(Base_Bruta!B422,4,2)),VALUE(LEFT(Base_Bruta!B422,2))))))</f>
        <v>45960</v>
      </c>
      <c r="C422" s="5" t="n">
        <f aca="false">IF($A422="","",IF(ISNUMBER(Base_Bruta!C422),Base_Bruta!C422,IF(MID(Base_Bruta!C422,5,1)="-",DATE(VALUE(LEFT(Base_Bruta!C422,4)),VALUE(MID(Base_Bruta!C422,6,2)),VALUE(RIGHT(Base_Bruta!C422,2))),DATE(VALUE(RIGHT(Base_Bruta!C422,4)),VALUE(MID(Base_Bruta!C422,4,2)),VALUE(LEFT(Base_Bruta!C422,2))))))</f>
        <v>45976</v>
      </c>
      <c r="D422" s="4" t="str">
        <f aca="false">IF($A422="","",TRIM(Base_Bruta!D422))</f>
        <v>Festival Sonora SP 2025</v>
      </c>
      <c r="E422" s="4" t="str">
        <f aca="false">IF($A422="","",_xlfn.XLOOKUP(LOWER(TRIM(Base_Bruta!E422)),DePara_Categoria!$A$2:$A$9,DePara_Categoria!$B$2:$B$9,"REVISAR"))</f>
        <v>Festival</v>
      </c>
      <c r="F422" s="4" t="str">
        <f aca="false">IF($A422="","",_xlfn.XLOOKUP(LOWER(TRIM(Base_Bruta!F422)),DePara_Cidade!$A$2:$A$29,DePara_Cidade!$B$2:$B$29,"REVISAR"))</f>
        <v>São Paulo</v>
      </c>
      <c r="G422" s="4" t="str">
        <f aca="false">IF($A422="","",TRIM(Base_Bruta!G422))</f>
        <v>Inteira</v>
      </c>
      <c r="H422" s="4" t="n">
        <f aca="false">IF($A422="","",IF(ISNUMBER(Base_Bruta!H422),Base_Bruta!H422,IFERROR(_xlfn.NUMBERVALUE(TRIM(SUBSTITUTE(Base_Bruta!H422,"R$","")),",","."),0)))</f>
        <v>1</v>
      </c>
      <c r="I422" s="6" t="n">
        <f aca="false">IF($A422="","",IF(ISNUMBER(Base_Bruta!I422),Base_Bruta!I422,IFERROR(_xlfn.NUMBERVALUE(TRIM(SUBSTITUTE(Base_Bruta!I422,"R$","")),",","."),0)))</f>
        <v>860</v>
      </c>
      <c r="J422" s="6" t="n">
        <f aca="false">IF($A422="","",H422*I422)</f>
        <v>860</v>
      </c>
      <c r="K422" s="4" t="str">
        <f aca="false">IF($A422="","",TRIM(Base_Bruta!J422))</f>
        <v>Site</v>
      </c>
      <c r="L422" s="4" t="str">
        <f aca="false">IF($A422="","",TRIM(Base_Bruta!K422))</f>
        <v>C01935</v>
      </c>
      <c r="M422" s="4" t="str">
        <f aca="false">IF($A422="","",_xlfn.XLOOKUP(LOWER(TRIM(Base_Bruta!L422)),DePara_Cidade!$A$2:$A$29,DePara_Cidade!$B$2:$B$29,"REVISAR"))</f>
        <v>São Paulo</v>
      </c>
      <c r="N422" s="4" t="str">
        <f aca="false">IF($A422="","",UPPER(TRIM(Base_Bruta!M422)))</f>
        <v>SP</v>
      </c>
      <c r="O422" s="4" t="str">
        <f aca="false">IF($A422="","",_xlfn.XLOOKUP(LOWER(TRIM(Base_Bruta!N422)),DePara_Pais!$A$2:$A$9,DePara_Pais!$B$2:$B$9,"REVISAR"))</f>
        <v>Brasil</v>
      </c>
      <c r="P422" s="4" t="str">
        <f aca="false">IF($A422="","",IF(O422&lt;&gt;"Brasil","Turista Internacional",IF(M422=F422,"Local","Turista Nacional")))</f>
        <v>Local</v>
      </c>
      <c r="Q422" s="7" t="n">
        <f aca="false">IF($A422="","",DATE(YEAR(B422),MONTH(B422),1))</f>
        <v>45931</v>
      </c>
      <c r="R422" s="4" t="str">
        <f aca="false">IF($A422="","",IF(COUNTIF($A$2:$A422,$A422)&gt;1,"Sim","Não"))</f>
        <v>Não</v>
      </c>
      <c r="S422" s="4" t="str">
        <f aca="false">IF(A422="","Descartar - Linha vazia",IF(R422="Sim","Descartar - Duplicado",IF(OR(H422&lt;=0,I422&lt;=0),"Descartar - Qtd/Valor inválido","OK")))</f>
        <v>OK</v>
      </c>
      <c r="T422" s="4" t="str">
        <f aca="false">Base_Bruta!P422</f>
        <v>vendas_SP.xlsx</v>
      </c>
    </row>
    <row r="423" customFormat="false" ht="15" hidden="false" customHeight="false" outlineLevel="0" collapsed="false">
      <c r="A423" s="4" t="str">
        <f aca="false">IF(Base_Bruta!A423="","",Base_Bruta!A423)</f>
        <v>SP-000216</v>
      </c>
      <c r="B423" s="5" t="n">
        <f aca="false">IF($A423="","",IF(ISNUMBER(Base_Bruta!B423),Base_Bruta!B423,IF(MID(Base_Bruta!B423,5,1)="-",DATE(VALUE(LEFT(Base_Bruta!B423,4)),VALUE(MID(Base_Bruta!B423,6,2)),VALUE(RIGHT(Base_Bruta!B423,2))),DATE(VALUE(RIGHT(Base_Bruta!B423,4)),VALUE(MID(Base_Bruta!B423,4,2)),VALUE(LEFT(Base_Bruta!B423,2))))))</f>
        <v>45960</v>
      </c>
      <c r="C423" s="5" t="n">
        <f aca="false">IF($A423="","",IF(ISNUMBER(Base_Bruta!C423),Base_Bruta!C423,IF(MID(Base_Bruta!C423,5,1)="-",DATE(VALUE(LEFT(Base_Bruta!C423,4)),VALUE(MID(Base_Bruta!C423,6,2)),VALUE(RIGHT(Base_Bruta!C423,2))),DATE(VALUE(RIGHT(Base_Bruta!C423,4)),VALUE(MID(Base_Bruta!C423,4,2)),VALUE(LEFT(Base_Bruta!C423,2))))))</f>
        <v>45976</v>
      </c>
      <c r="D423" s="4" t="str">
        <f aca="false">IF($A423="","",TRIM(Base_Bruta!D423))</f>
        <v>Festival Sonora SP 2025</v>
      </c>
      <c r="E423" s="4" t="str">
        <f aca="false">IF($A423="","",_xlfn.XLOOKUP(LOWER(TRIM(Base_Bruta!E423)),DePara_Categoria!$A$2:$A$9,DePara_Categoria!$B$2:$B$9,"REVISAR"))</f>
        <v>Festival</v>
      </c>
      <c r="F423" s="4" t="str">
        <f aca="false">IF($A423="","",_xlfn.XLOOKUP(LOWER(TRIM(Base_Bruta!F423)),DePara_Cidade!$A$2:$A$29,DePara_Cidade!$B$2:$B$29,"REVISAR"))</f>
        <v>São Paulo</v>
      </c>
      <c r="G423" s="4" t="str">
        <f aca="false">IF($A423="","",TRIM(Base_Bruta!G423))</f>
        <v>Inteira</v>
      </c>
      <c r="H423" s="4" t="n">
        <f aca="false">IF($A423="","",IF(ISNUMBER(Base_Bruta!H423),Base_Bruta!H423,IFERROR(_xlfn.NUMBERVALUE(TRIM(SUBSTITUTE(Base_Bruta!H423,"R$","")),",","."),0)))</f>
        <v>2</v>
      </c>
      <c r="I423" s="6" t="n">
        <f aca="false">IF($A423="","",IF(ISNUMBER(Base_Bruta!I423),Base_Bruta!I423,IFERROR(_xlfn.NUMBERVALUE(TRIM(SUBSTITUTE(Base_Bruta!I423,"R$","")),",","."),0)))</f>
        <v>900</v>
      </c>
      <c r="J423" s="6" t="n">
        <f aca="false">IF($A423="","",H423*I423)</f>
        <v>1800</v>
      </c>
      <c r="K423" s="4" t="str">
        <f aca="false">IF($A423="","",TRIM(Base_Bruta!J423))</f>
        <v>App</v>
      </c>
      <c r="L423" s="4" t="str">
        <f aca="false">IF($A423="","",TRIM(Base_Bruta!K423))</f>
        <v>C00430</v>
      </c>
      <c r="M423" s="4" t="str">
        <f aca="false">IF($A423="","",_xlfn.XLOOKUP(LOWER(TRIM(Base_Bruta!L423)),DePara_Cidade!$A$2:$A$29,DePara_Cidade!$B$2:$B$29,"REVISAR"))</f>
        <v>Miami</v>
      </c>
      <c r="N423" s="4" t="str">
        <f aca="false">IF($A423="","",UPPER(TRIM(Base_Bruta!M423)))</f>
        <v>EX</v>
      </c>
      <c r="O423" s="4" t="str">
        <f aca="false">IF($A423="","",_xlfn.XLOOKUP(LOWER(TRIM(Base_Bruta!N423)),DePara_Pais!$A$2:$A$9,DePara_Pais!$B$2:$B$9,"REVISAR"))</f>
        <v>EUA</v>
      </c>
      <c r="P423" s="4" t="str">
        <f aca="false">IF($A423="","",IF(O423&lt;&gt;"Brasil","Turista Internacional",IF(M423=F423,"Local","Turista Nacional")))</f>
        <v>Turista Internacional</v>
      </c>
      <c r="Q423" s="7" t="n">
        <f aca="false">IF($A423="","",DATE(YEAR(B423),MONTH(B423),1))</f>
        <v>45931</v>
      </c>
      <c r="R423" s="4" t="str">
        <f aca="false">IF($A423="","",IF(COUNTIF($A$2:$A423,$A423)&gt;1,"Sim","Não"))</f>
        <v>Não</v>
      </c>
      <c r="S423" s="4" t="str">
        <f aca="false">IF(A423="","Descartar - Linha vazia",IF(R423="Sim","Descartar - Duplicado",IF(OR(H423&lt;=0,I423&lt;=0),"Descartar - Qtd/Valor inválido","OK")))</f>
        <v>OK</v>
      </c>
      <c r="T423" s="4" t="str">
        <f aca="false">Base_Bruta!P423</f>
        <v>vendas_SP.xlsx</v>
      </c>
    </row>
    <row r="424" customFormat="false" ht="15" hidden="false" customHeight="false" outlineLevel="0" collapsed="false">
      <c r="A424" s="4" t="str">
        <f aca="false">IF(Base_Bruta!A424="","",Base_Bruta!A424)</f>
        <v>SP-000628</v>
      </c>
      <c r="B424" s="5" t="n">
        <f aca="false">IF($A424="","",IF(ISNUMBER(Base_Bruta!B424),Base_Bruta!B424,IF(MID(Base_Bruta!B424,5,1)="-",DATE(VALUE(LEFT(Base_Bruta!B424,4)),VALUE(MID(Base_Bruta!B424,6,2)),VALUE(RIGHT(Base_Bruta!B424,2))),DATE(VALUE(RIGHT(Base_Bruta!B424,4)),VALUE(MID(Base_Bruta!B424,4,2)),VALUE(LEFT(Base_Bruta!B424,2))))))</f>
        <v>45960</v>
      </c>
      <c r="C424" s="5" t="n">
        <f aca="false">IF($A424="","",IF(ISNUMBER(Base_Bruta!C424),Base_Bruta!C424,IF(MID(Base_Bruta!C424,5,1)="-",DATE(VALUE(LEFT(Base_Bruta!C424,4)),VALUE(MID(Base_Bruta!C424,6,2)),VALUE(RIGHT(Base_Bruta!C424,2))),DATE(VALUE(RIGHT(Base_Bruta!C424,4)),VALUE(MID(Base_Bruta!C424,4,2)),VALUE(LEFT(Base_Bruta!C424,2))))))</f>
        <v>45960</v>
      </c>
      <c r="D424" s="4" t="str">
        <f aca="false">IF($A424="","",TRIM(Base_Bruta!D424))</f>
        <v>Cinema Paulista - Sessões</v>
      </c>
      <c r="E424" s="4" t="str">
        <f aca="false">IF($A424="","",_xlfn.XLOOKUP(LOWER(TRIM(Base_Bruta!E424)),DePara_Categoria!$A$2:$A$9,DePara_Categoria!$B$2:$B$9,"REVISAR"))</f>
        <v>Cinema</v>
      </c>
      <c r="F424" s="4" t="str">
        <f aca="false">IF($A424="","",_xlfn.XLOOKUP(LOWER(TRIM(Base_Bruta!F424)),DePara_Cidade!$A$2:$A$29,DePara_Cidade!$B$2:$B$29,"REVISAR"))</f>
        <v>São Paulo</v>
      </c>
      <c r="G424" s="4" t="str">
        <f aca="false">IF($A424="","",TRIM(Base_Bruta!G424))</f>
        <v>Meia</v>
      </c>
      <c r="H424" s="4" t="n">
        <f aca="false">IF($A424="","",IF(ISNUMBER(Base_Bruta!H424),Base_Bruta!H424,IFERROR(_xlfn.NUMBERVALUE(TRIM(SUBSTITUTE(Base_Bruta!H424,"R$","")),",","."),0)))</f>
        <v>2</v>
      </c>
      <c r="I424" s="6" t="n">
        <f aca="false">IF($A424="","",IF(ISNUMBER(Base_Bruta!I424),Base_Bruta!I424,IFERROR(_xlfn.NUMBERVALUE(TRIM(SUBSTITUTE(Base_Bruta!I424,"R$","")),",","."),0)))</f>
        <v>20</v>
      </c>
      <c r="J424" s="6" t="n">
        <f aca="false">IF($A424="","",H424*I424)</f>
        <v>40</v>
      </c>
      <c r="K424" s="4" t="str">
        <f aca="false">IF($A424="","",TRIM(Base_Bruta!J424))</f>
        <v>App</v>
      </c>
      <c r="L424" s="4" t="str">
        <f aca="false">IF($A424="","",TRIM(Base_Bruta!K424))</f>
        <v>C02098</v>
      </c>
      <c r="M424" s="4" t="str">
        <f aca="false">IF($A424="","",_xlfn.XLOOKUP(LOWER(TRIM(Base_Bruta!L424)),DePara_Cidade!$A$2:$A$29,DePara_Cidade!$B$2:$B$29,"REVISAR"))</f>
        <v>São Paulo</v>
      </c>
      <c r="N424" s="4" t="str">
        <f aca="false">IF($A424="","",UPPER(TRIM(Base_Bruta!M424)))</f>
        <v>SP</v>
      </c>
      <c r="O424" s="4" t="str">
        <f aca="false">IF($A424="","",_xlfn.XLOOKUP(LOWER(TRIM(Base_Bruta!N424)),DePara_Pais!$A$2:$A$9,DePara_Pais!$B$2:$B$9,"REVISAR"))</f>
        <v>Brasil</v>
      </c>
      <c r="P424" s="4" t="str">
        <f aca="false">IF($A424="","",IF(O424&lt;&gt;"Brasil","Turista Internacional",IF(M424=F424,"Local","Turista Nacional")))</f>
        <v>Local</v>
      </c>
      <c r="Q424" s="7" t="n">
        <f aca="false">IF($A424="","",DATE(YEAR(B424),MONTH(B424),1))</f>
        <v>45931</v>
      </c>
      <c r="R424" s="4" t="str">
        <f aca="false">IF($A424="","",IF(COUNTIF($A$2:$A424,$A424)&gt;1,"Sim","Não"))</f>
        <v>Não</v>
      </c>
      <c r="S424" s="4" t="str">
        <f aca="false">IF(A424="","Descartar - Linha vazia",IF(R424="Sim","Descartar - Duplicado",IF(OR(H424&lt;=0,I424&lt;=0),"Descartar - Qtd/Valor inválido","OK")))</f>
        <v>OK</v>
      </c>
      <c r="T424" s="4" t="str">
        <f aca="false">Base_Bruta!P424</f>
        <v>vendas_SP.xlsx</v>
      </c>
    </row>
    <row r="425" customFormat="false" ht="15" hidden="false" customHeight="false" outlineLevel="0" collapsed="false">
      <c r="A425" s="4" t="str">
        <f aca="false">IF(Base_Bruta!A425="","",Base_Bruta!A425)</f>
        <v>SP-000034</v>
      </c>
      <c r="B425" s="5" t="n">
        <f aca="false">IF($A425="","",IF(ISNUMBER(Base_Bruta!B425),Base_Bruta!B425,IF(MID(Base_Bruta!B425,5,1)="-",DATE(VALUE(LEFT(Base_Bruta!B425,4)),VALUE(MID(Base_Bruta!B425,6,2)),VALUE(RIGHT(Base_Bruta!B425,2))),DATE(VALUE(RIGHT(Base_Bruta!B425,4)),VALUE(MID(Base_Bruta!B425,4,2)),VALUE(LEFT(Base_Bruta!B425,2))))))</f>
        <v>45963</v>
      </c>
      <c r="C425" s="5" t="n">
        <f aca="false">IF($A425="","",IF(ISNUMBER(Base_Bruta!C425),Base_Bruta!C425,IF(MID(Base_Bruta!C425,5,1)="-",DATE(VALUE(LEFT(Base_Bruta!C425,4)),VALUE(MID(Base_Bruta!C425,6,2)),VALUE(RIGHT(Base_Bruta!C425,2))),DATE(VALUE(RIGHT(Base_Bruta!C425,4)),VALUE(MID(Base_Bruta!C425,4,2)),VALUE(LEFT(Base_Bruta!C425,2))))))</f>
        <v>45976</v>
      </c>
      <c r="D425" s="4" t="str">
        <f aca="false">IF($A425="","",TRIM(Base_Bruta!D425))</f>
        <v>Festival Sonora SP 2025</v>
      </c>
      <c r="E425" s="4" t="str">
        <f aca="false">IF($A425="","",_xlfn.XLOOKUP(LOWER(TRIM(Base_Bruta!E425)),DePara_Categoria!$A$2:$A$9,DePara_Categoria!$B$2:$B$9,"REVISAR"))</f>
        <v>Festival</v>
      </c>
      <c r="F425" s="4" t="str">
        <f aca="false">IF($A425="","",_xlfn.XLOOKUP(LOWER(TRIM(Base_Bruta!F425)),DePara_Cidade!$A$2:$A$29,DePara_Cidade!$B$2:$B$29,"REVISAR"))</f>
        <v>São Paulo</v>
      </c>
      <c r="G425" s="4" t="str">
        <f aca="false">IF($A425="","",TRIM(Base_Bruta!G425))</f>
        <v>VIP</v>
      </c>
      <c r="H425" s="4" t="n">
        <f aca="false">IF($A425="","",IF(ISNUMBER(Base_Bruta!H425),Base_Bruta!H425,IFERROR(_xlfn.NUMBERVALUE(TRIM(SUBSTITUTE(Base_Bruta!H425,"R$","")),",","."),0)))</f>
        <v>1</v>
      </c>
      <c r="I425" s="6" t="n">
        <f aca="false">IF($A425="","",IF(ISNUMBER(Base_Bruta!I425),Base_Bruta!I425,IFERROR(_xlfn.NUMBERVALUE(TRIM(SUBSTITUTE(Base_Bruta!I425,"R$","")),",","."),0)))</f>
        <v>2180</v>
      </c>
      <c r="J425" s="6" t="n">
        <f aca="false">IF($A425="","",H425*I425)</f>
        <v>2180</v>
      </c>
      <c r="K425" s="4" t="str">
        <f aca="false">IF($A425="","",TRIM(Base_Bruta!J425))</f>
        <v>Site</v>
      </c>
      <c r="L425" s="4" t="str">
        <f aca="false">IF($A425="","",TRIM(Base_Bruta!K425))</f>
        <v>C00648</v>
      </c>
      <c r="M425" s="4" t="str">
        <f aca="false">IF($A425="","",_xlfn.XLOOKUP(LOWER(TRIM(Base_Bruta!L425)),DePara_Cidade!$A$2:$A$29,DePara_Cidade!$B$2:$B$29,"REVISAR"))</f>
        <v>Rio de Janeiro</v>
      </c>
      <c r="N425" s="4" t="str">
        <f aca="false">IF($A425="","",UPPER(TRIM(Base_Bruta!M425)))</f>
        <v>RJ</v>
      </c>
      <c r="O425" s="4" t="str">
        <f aca="false">IF($A425="","",_xlfn.XLOOKUP(LOWER(TRIM(Base_Bruta!N425)),DePara_Pais!$A$2:$A$9,DePara_Pais!$B$2:$B$9,"REVISAR"))</f>
        <v>Brasil</v>
      </c>
      <c r="P425" s="4" t="str">
        <f aca="false">IF($A425="","",IF(O425&lt;&gt;"Brasil","Turista Internacional",IF(M425=F425,"Local","Turista Nacional")))</f>
        <v>Turista Nacional</v>
      </c>
      <c r="Q425" s="7" t="n">
        <f aca="false">IF($A425="","",DATE(YEAR(B425),MONTH(B425),1))</f>
        <v>45962</v>
      </c>
      <c r="R425" s="4" t="str">
        <f aca="false">IF($A425="","",IF(COUNTIF($A$2:$A425,$A425)&gt;1,"Sim","Não"))</f>
        <v>Não</v>
      </c>
      <c r="S425" s="4" t="str">
        <f aca="false">IF(A425="","Descartar - Linha vazia",IF(R425="Sim","Descartar - Duplicado",IF(OR(H425&lt;=0,I425&lt;=0),"Descartar - Qtd/Valor inválido","OK")))</f>
        <v>OK</v>
      </c>
      <c r="T425" s="4" t="str">
        <f aca="false">Base_Bruta!P425</f>
        <v>vendas_SP.xlsx</v>
      </c>
    </row>
    <row r="426" customFormat="false" ht="15" hidden="false" customHeight="false" outlineLevel="0" collapsed="false">
      <c r="A426" s="4" t="str">
        <f aca="false">IF(Base_Bruta!A426="","",Base_Bruta!A426)</f>
        <v>SP-000052</v>
      </c>
      <c r="B426" s="5" t="n">
        <f aca="false">IF($A426="","",IF(ISNUMBER(Base_Bruta!B426),Base_Bruta!B426,IF(MID(Base_Bruta!B426,5,1)="-",DATE(VALUE(LEFT(Base_Bruta!B426,4)),VALUE(MID(Base_Bruta!B426,6,2)),VALUE(RIGHT(Base_Bruta!B426,2))),DATE(VALUE(RIGHT(Base_Bruta!B426,4)),VALUE(MID(Base_Bruta!B426,4,2)),VALUE(LEFT(Base_Bruta!B426,2))))))</f>
        <v>45964</v>
      </c>
      <c r="C426" s="5" t="n">
        <f aca="false">IF($A426="","",IF(ISNUMBER(Base_Bruta!C426),Base_Bruta!C426,IF(MID(Base_Bruta!C426,5,1)="-",DATE(VALUE(LEFT(Base_Bruta!C426,4)),VALUE(MID(Base_Bruta!C426,6,2)),VALUE(RIGHT(Base_Bruta!C426,2))),DATE(VALUE(RIGHT(Base_Bruta!C426,4)),VALUE(MID(Base_Bruta!C426,4,2)),VALUE(LEFT(Base_Bruta!C426,2))))))</f>
        <v>45976</v>
      </c>
      <c r="D426" s="4" t="str">
        <f aca="false">IF($A426="","",TRIM(Base_Bruta!D426))</f>
        <v>Festival Sonora SP 2025</v>
      </c>
      <c r="E426" s="4" t="str">
        <f aca="false">IF($A426="","",_xlfn.XLOOKUP(LOWER(TRIM(Base_Bruta!E426)),DePara_Categoria!$A$2:$A$9,DePara_Categoria!$B$2:$B$9,"REVISAR"))</f>
        <v>Festival</v>
      </c>
      <c r="F426" s="4" t="str">
        <f aca="false">IF($A426="","",_xlfn.XLOOKUP(LOWER(TRIM(Base_Bruta!F426)),DePara_Cidade!$A$2:$A$29,DePara_Cidade!$B$2:$B$29,"REVISAR"))</f>
        <v>São Paulo</v>
      </c>
      <c r="G426" s="4" t="str">
        <f aca="false">IF($A426="","",TRIM(Base_Bruta!G426))</f>
        <v>Meia</v>
      </c>
      <c r="H426" s="4" t="n">
        <f aca="false">IF($A426="","",IF(ISNUMBER(Base_Bruta!H426),Base_Bruta!H426,IFERROR(_xlfn.NUMBERVALUE(TRIM(SUBSTITUTE(Base_Bruta!H426,"R$","")),",","."),0)))</f>
        <v>1</v>
      </c>
      <c r="I426" s="6" t="n">
        <f aca="false">IF($A426="","",IF(ISNUMBER(Base_Bruta!I426),Base_Bruta!I426,IFERROR(_xlfn.NUMBERVALUE(TRIM(SUBSTITUTE(Base_Bruta!I426,"R$","")),",","."),0)))</f>
        <v>485</v>
      </c>
      <c r="J426" s="6" t="n">
        <f aca="false">IF($A426="","",H426*I426)</f>
        <v>485</v>
      </c>
      <c r="K426" s="4" t="str">
        <f aca="false">IF($A426="","",TRIM(Base_Bruta!J426))</f>
        <v>Site</v>
      </c>
      <c r="L426" s="4" t="str">
        <f aca="false">IF($A426="","",TRIM(Base_Bruta!K426))</f>
        <v>C02248</v>
      </c>
      <c r="M426" s="4" t="str">
        <f aca="false">IF($A426="","",_xlfn.XLOOKUP(LOWER(TRIM(Base_Bruta!L426)),DePara_Cidade!$A$2:$A$29,DePara_Cidade!$B$2:$B$29,"REVISAR"))</f>
        <v>Brasília</v>
      </c>
      <c r="N426" s="4" t="str">
        <f aca="false">IF($A426="","",UPPER(TRIM(Base_Bruta!M426)))</f>
        <v>DF</v>
      </c>
      <c r="O426" s="4" t="str">
        <f aca="false">IF($A426="","",_xlfn.XLOOKUP(LOWER(TRIM(Base_Bruta!N426)),DePara_Pais!$A$2:$A$9,DePara_Pais!$B$2:$B$9,"REVISAR"))</f>
        <v>Brasil</v>
      </c>
      <c r="P426" s="4" t="str">
        <f aca="false">IF($A426="","",IF(O426&lt;&gt;"Brasil","Turista Internacional",IF(M426=F426,"Local","Turista Nacional")))</f>
        <v>Turista Nacional</v>
      </c>
      <c r="Q426" s="7" t="n">
        <f aca="false">IF($A426="","",DATE(YEAR(B426),MONTH(B426),1))</f>
        <v>45962</v>
      </c>
      <c r="R426" s="4" t="str">
        <f aca="false">IF($A426="","",IF(COUNTIF($A$2:$A426,$A426)&gt;1,"Sim","Não"))</f>
        <v>Não</v>
      </c>
      <c r="S426" s="4" t="str">
        <f aca="false">IF(A426="","Descartar - Linha vazia",IF(R426="Sim","Descartar - Duplicado",IF(OR(H426&lt;=0,I426&lt;=0),"Descartar - Qtd/Valor inválido","OK")))</f>
        <v>OK</v>
      </c>
      <c r="T426" s="4" t="str">
        <f aca="false">Base_Bruta!P426</f>
        <v>vendas_SP.xlsx</v>
      </c>
    </row>
    <row r="427" customFormat="false" ht="15" hidden="false" customHeight="false" outlineLevel="0" collapsed="false">
      <c r="A427" s="4" t="str">
        <f aca="false">IF(Base_Bruta!A427="","",Base_Bruta!A427)</f>
        <v>SP-000159</v>
      </c>
      <c r="B427" s="5" t="n">
        <f aca="false">IF($A427="","",IF(ISNUMBER(Base_Bruta!B427),Base_Bruta!B427,IF(MID(Base_Bruta!B427,5,1)="-",DATE(VALUE(LEFT(Base_Bruta!B427,4)),VALUE(MID(Base_Bruta!B427,6,2)),VALUE(RIGHT(Base_Bruta!B427,2))),DATE(VALUE(RIGHT(Base_Bruta!B427,4)),VALUE(MID(Base_Bruta!B427,4,2)),VALUE(LEFT(Base_Bruta!B427,2))))))</f>
        <v>45964</v>
      </c>
      <c r="C427" s="5" t="n">
        <f aca="false">IF($A427="","",IF(ISNUMBER(Base_Bruta!C427),Base_Bruta!C427,IF(MID(Base_Bruta!C427,5,1)="-",DATE(VALUE(LEFT(Base_Bruta!C427,4)),VALUE(MID(Base_Bruta!C427,6,2)),VALUE(RIGHT(Base_Bruta!C427,2))),DATE(VALUE(RIGHT(Base_Bruta!C427,4)),VALUE(MID(Base_Bruta!C427,4,2)),VALUE(LEFT(Base_Bruta!C427,2))))))</f>
        <v>45976</v>
      </c>
      <c r="D427" s="4" t="str">
        <f aca="false">IF($A427="","",TRIM(Base_Bruta!D427))</f>
        <v>Festival Sonora SP 2025</v>
      </c>
      <c r="E427" s="4" t="str">
        <f aca="false">IF($A427="","",_xlfn.XLOOKUP(LOWER(TRIM(Base_Bruta!E427)),DePara_Categoria!$A$2:$A$9,DePara_Categoria!$B$2:$B$9,"REVISAR"))</f>
        <v>Festival</v>
      </c>
      <c r="F427" s="4" t="str">
        <f aca="false">IF($A427="","",_xlfn.XLOOKUP(LOWER(TRIM(Base_Bruta!F427)),DePara_Cidade!$A$2:$A$29,DePara_Cidade!$B$2:$B$29,"REVISAR"))</f>
        <v>São Paulo</v>
      </c>
      <c r="G427" s="4" t="str">
        <f aca="false">IF($A427="","",TRIM(Base_Bruta!G427))</f>
        <v>Inteira</v>
      </c>
      <c r="H427" s="4" t="n">
        <f aca="false">IF($A427="","",IF(ISNUMBER(Base_Bruta!H427),Base_Bruta!H427,IFERROR(_xlfn.NUMBERVALUE(TRIM(SUBSTITUTE(Base_Bruta!H427,"R$","")),",","."),0)))</f>
        <v>2</v>
      </c>
      <c r="I427" s="6" t="n">
        <f aca="false">IF($A427="","",IF(ISNUMBER(Base_Bruta!I427),Base_Bruta!I427,IFERROR(_xlfn.NUMBERVALUE(TRIM(SUBSTITUTE(Base_Bruta!I427,"R$","")),",","."),0)))</f>
        <v>960</v>
      </c>
      <c r="J427" s="6" t="n">
        <f aca="false">IF($A427="","",H427*I427)</f>
        <v>1920</v>
      </c>
      <c r="K427" s="4" t="str">
        <f aca="false">IF($A427="","",TRIM(Base_Bruta!J427))</f>
        <v>App</v>
      </c>
      <c r="L427" s="4" t="str">
        <f aca="false">IF($A427="","",TRIM(Base_Bruta!K427))</f>
        <v>C02465</v>
      </c>
      <c r="M427" s="4" t="str">
        <f aca="false">IF($A427="","",_xlfn.XLOOKUP(LOWER(TRIM(Base_Bruta!L427)),DePara_Cidade!$A$2:$A$29,DePara_Cidade!$B$2:$B$29,"REVISAR"))</f>
        <v>São Paulo</v>
      </c>
      <c r="N427" s="4" t="str">
        <f aca="false">IF($A427="","",UPPER(TRIM(Base_Bruta!M427)))</f>
        <v>SP</v>
      </c>
      <c r="O427" s="4" t="str">
        <f aca="false">IF($A427="","",_xlfn.XLOOKUP(LOWER(TRIM(Base_Bruta!N427)),DePara_Pais!$A$2:$A$9,DePara_Pais!$B$2:$B$9,"REVISAR"))</f>
        <v>Brasil</v>
      </c>
      <c r="P427" s="4" t="str">
        <f aca="false">IF($A427="","",IF(O427&lt;&gt;"Brasil","Turista Internacional",IF(M427=F427,"Local","Turista Nacional")))</f>
        <v>Local</v>
      </c>
      <c r="Q427" s="7" t="n">
        <f aca="false">IF($A427="","",DATE(YEAR(B427),MONTH(B427),1))</f>
        <v>45962</v>
      </c>
      <c r="R427" s="4" t="str">
        <f aca="false">IF($A427="","",IF(COUNTIF($A$2:$A427,$A427)&gt;1,"Sim","Não"))</f>
        <v>Não</v>
      </c>
      <c r="S427" s="4" t="str">
        <f aca="false">IF(A427="","Descartar - Linha vazia",IF(R427="Sim","Descartar - Duplicado",IF(OR(H427&lt;=0,I427&lt;=0),"Descartar - Qtd/Valor inválido","OK")))</f>
        <v>OK</v>
      </c>
      <c r="T427" s="4" t="str">
        <f aca="false">Base_Bruta!P427</f>
        <v>vendas_SP.xlsx</v>
      </c>
    </row>
    <row r="428" customFormat="false" ht="15" hidden="false" customHeight="false" outlineLevel="0" collapsed="false">
      <c r="A428" s="4" t="str">
        <f aca="false">IF(Base_Bruta!A428="","",Base_Bruta!A428)</f>
        <v>SP-000144</v>
      </c>
      <c r="B428" s="5" t="n">
        <f aca="false">IF($A428="","",IF(ISNUMBER(Base_Bruta!B428),Base_Bruta!B428,IF(MID(Base_Bruta!B428,5,1)="-",DATE(VALUE(LEFT(Base_Bruta!B428,4)),VALUE(MID(Base_Bruta!B428,6,2)),VALUE(RIGHT(Base_Bruta!B428,2))),DATE(VALUE(RIGHT(Base_Bruta!B428,4)),VALUE(MID(Base_Bruta!B428,4,2)),VALUE(LEFT(Base_Bruta!B428,2))))))</f>
        <v>45966</v>
      </c>
      <c r="C428" s="5" t="n">
        <f aca="false">IF($A428="","",IF(ISNUMBER(Base_Bruta!C428),Base_Bruta!C428,IF(MID(Base_Bruta!C428,5,1)="-",DATE(VALUE(LEFT(Base_Bruta!C428,4)),VALUE(MID(Base_Bruta!C428,6,2)),VALUE(RIGHT(Base_Bruta!C428,2))),DATE(VALUE(RIGHT(Base_Bruta!C428,4)),VALUE(MID(Base_Bruta!C428,4,2)),VALUE(LEFT(Base_Bruta!C428,2))))))</f>
        <v>45976</v>
      </c>
      <c r="D428" s="4" t="str">
        <f aca="false">IF($A428="","",TRIM(Base_Bruta!D428))</f>
        <v>Festival Sonora SP 2025</v>
      </c>
      <c r="E428" s="4" t="str">
        <f aca="false">IF($A428="","",_xlfn.XLOOKUP(LOWER(TRIM(Base_Bruta!E428)),DePara_Categoria!$A$2:$A$9,DePara_Categoria!$B$2:$B$9,"REVISAR"))</f>
        <v>Festival</v>
      </c>
      <c r="F428" s="4" t="str">
        <f aca="false">IF($A428="","",_xlfn.XLOOKUP(LOWER(TRIM(Base_Bruta!F428)),DePara_Cidade!$A$2:$A$29,DePara_Cidade!$B$2:$B$29,"REVISAR"))</f>
        <v>São Paulo</v>
      </c>
      <c r="G428" s="4" t="str">
        <f aca="false">IF($A428="","",TRIM(Base_Bruta!G428))</f>
        <v>VIP</v>
      </c>
      <c r="H428" s="4" t="n">
        <f aca="false">IF($A428="","",IF(ISNUMBER(Base_Bruta!H428),Base_Bruta!H428,IFERROR(_xlfn.NUMBERVALUE(TRIM(SUBSTITUTE(Base_Bruta!H428,"R$","")),",","."),0)))</f>
        <v>2</v>
      </c>
      <c r="I428" s="6" t="n">
        <f aca="false">IF($A428="","",IF(ISNUMBER(Base_Bruta!I428),Base_Bruta!I428,IFERROR(_xlfn.NUMBERVALUE(TRIM(SUBSTITUTE(Base_Bruta!I428,"R$","")),",","."),0)))</f>
        <v>1600</v>
      </c>
      <c r="J428" s="6" t="n">
        <f aca="false">IF($A428="","",H428*I428)</f>
        <v>3200</v>
      </c>
      <c r="K428" s="4" t="str">
        <f aca="false">IF($A428="","",TRIM(Base_Bruta!J428))</f>
        <v>Bilheteria</v>
      </c>
      <c r="L428" s="4" t="str">
        <f aca="false">IF($A428="","",TRIM(Base_Bruta!K428))</f>
        <v>C02383</v>
      </c>
      <c r="M428" s="4" t="str">
        <f aca="false">IF($A428="","",_xlfn.XLOOKUP(LOWER(TRIM(Base_Bruta!L428)),DePara_Cidade!$A$2:$A$29,DePara_Cidade!$B$2:$B$29,"REVISAR"))</f>
        <v>São Paulo</v>
      </c>
      <c r="N428" s="4" t="str">
        <f aca="false">IF($A428="","",UPPER(TRIM(Base_Bruta!M428)))</f>
        <v>SP</v>
      </c>
      <c r="O428" s="4" t="str">
        <f aca="false">IF($A428="","",_xlfn.XLOOKUP(LOWER(TRIM(Base_Bruta!N428)),DePara_Pais!$A$2:$A$9,DePara_Pais!$B$2:$B$9,"REVISAR"))</f>
        <v>Brasil</v>
      </c>
      <c r="P428" s="4" t="str">
        <f aca="false">IF($A428="","",IF(O428&lt;&gt;"Brasil","Turista Internacional",IF(M428=F428,"Local","Turista Nacional")))</f>
        <v>Local</v>
      </c>
      <c r="Q428" s="7" t="n">
        <f aca="false">IF($A428="","",DATE(YEAR(B428),MONTH(B428),1))</f>
        <v>45962</v>
      </c>
      <c r="R428" s="4" t="str">
        <f aca="false">IF($A428="","",IF(COUNTIF($A$2:$A428,$A428)&gt;1,"Sim","Não"))</f>
        <v>Não</v>
      </c>
      <c r="S428" s="4" t="str">
        <f aca="false">IF(A428="","Descartar - Linha vazia",IF(R428="Sim","Descartar - Duplicado",IF(OR(H428&lt;=0,I428&lt;=0),"Descartar - Qtd/Valor inválido","OK")))</f>
        <v>OK</v>
      </c>
      <c r="T428" s="4" t="str">
        <f aca="false">Base_Bruta!P428</f>
        <v>vendas_SP.xlsx</v>
      </c>
    </row>
    <row r="429" customFormat="false" ht="15" hidden="false" customHeight="false" outlineLevel="0" collapsed="false">
      <c r="A429" s="4" t="str">
        <f aca="false">IF(Base_Bruta!A429="","",Base_Bruta!A429)</f>
        <v>SP-000056</v>
      </c>
      <c r="B429" s="5" t="n">
        <f aca="false">IF($A429="","",IF(ISNUMBER(Base_Bruta!B429),Base_Bruta!B429,IF(MID(Base_Bruta!B429,5,1)="-",DATE(VALUE(LEFT(Base_Bruta!B429,4)),VALUE(MID(Base_Bruta!B429,6,2)),VALUE(RIGHT(Base_Bruta!B429,2))),DATE(VALUE(RIGHT(Base_Bruta!B429,4)),VALUE(MID(Base_Bruta!B429,4,2)),VALUE(LEFT(Base_Bruta!B429,2))))))</f>
        <v>45969</v>
      </c>
      <c r="C429" s="5" t="n">
        <f aca="false">IF($A429="","",IF(ISNUMBER(Base_Bruta!C429),Base_Bruta!C429,IF(MID(Base_Bruta!C429,5,1)="-",DATE(VALUE(LEFT(Base_Bruta!C429,4)),VALUE(MID(Base_Bruta!C429,6,2)),VALUE(RIGHT(Base_Bruta!C429,2))),DATE(VALUE(RIGHT(Base_Bruta!C429,4)),VALUE(MID(Base_Bruta!C429,4,2)),VALUE(LEFT(Base_Bruta!C429,2))))))</f>
        <v>45976</v>
      </c>
      <c r="D429" s="4" t="str">
        <f aca="false">IF($A429="","",TRIM(Base_Bruta!D429))</f>
        <v>Festival Sonora SP 2025</v>
      </c>
      <c r="E429" s="4" t="str">
        <f aca="false">IF($A429="","",_xlfn.XLOOKUP(LOWER(TRIM(Base_Bruta!E429)),DePara_Categoria!$A$2:$A$9,DePara_Categoria!$B$2:$B$9,"REVISAR"))</f>
        <v>Festival</v>
      </c>
      <c r="F429" s="4" t="str">
        <f aca="false">IF($A429="","",_xlfn.XLOOKUP(LOWER(TRIM(Base_Bruta!F429)),DePara_Cidade!$A$2:$A$29,DePara_Cidade!$B$2:$B$29,"REVISAR"))</f>
        <v>São Paulo</v>
      </c>
      <c r="G429" s="4" t="str">
        <f aca="false">IF($A429="","",TRIM(Base_Bruta!G429))</f>
        <v>Inteira</v>
      </c>
      <c r="H429" s="4" t="n">
        <f aca="false">IF($A429="","",IF(ISNUMBER(Base_Bruta!H429),Base_Bruta!H429,IFERROR(_xlfn.NUMBERVALUE(TRIM(SUBSTITUTE(Base_Bruta!H429,"R$","")),",","."),0)))</f>
        <v>2</v>
      </c>
      <c r="I429" s="6" t="n">
        <f aca="false">IF($A429="","",IF(ISNUMBER(Base_Bruta!I429),Base_Bruta!I429,IFERROR(_xlfn.NUMBERVALUE(TRIM(SUBSTITUTE(Base_Bruta!I429,"R$","")),",","."),0)))</f>
        <v>1070</v>
      </c>
      <c r="J429" s="6" t="n">
        <f aca="false">IF($A429="","",H429*I429)</f>
        <v>2140</v>
      </c>
      <c r="K429" s="4" t="str">
        <f aca="false">IF($A429="","",TRIM(Base_Bruta!J429))</f>
        <v>Site</v>
      </c>
      <c r="L429" s="4" t="str">
        <f aca="false">IF($A429="","",TRIM(Base_Bruta!K429))</f>
        <v>C01049</v>
      </c>
      <c r="M429" s="4" t="str">
        <f aca="false">IF($A429="","",_xlfn.XLOOKUP(LOWER(TRIM(Base_Bruta!L429)),DePara_Cidade!$A$2:$A$29,DePara_Cidade!$B$2:$B$29,"REVISAR"))</f>
        <v>São Paulo</v>
      </c>
      <c r="N429" s="4" t="str">
        <f aca="false">IF($A429="","",UPPER(TRIM(Base_Bruta!M429)))</f>
        <v>SP</v>
      </c>
      <c r="O429" s="4" t="str">
        <f aca="false">IF($A429="","",_xlfn.XLOOKUP(LOWER(TRIM(Base_Bruta!N429)),DePara_Pais!$A$2:$A$9,DePara_Pais!$B$2:$B$9,"REVISAR"))</f>
        <v>Brasil</v>
      </c>
      <c r="P429" s="4" t="str">
        <f aca="false">IF($A429="","",IF(O429&lt;&gt;"Brasil","Turista Internacional",IF(M429=F429,"Local","Turista Nacional")))</f>
        <v>Local</v>
      </c>
      <c r="Q429" s="7" t="n">
        <f aca="false">IF($A429="","",DATE(YEAR(B429),MONTH(B429),1))</f>
        <v>45962</v>
      </c>
      <c r="R429" s="4" t="str">
        <f aca="false">IF($A429="","",IF(COUNTIF($A$2:$A429,$A429)&gt;1,"Sim","Não"))</f>
        <v>Não</v>
      </c>
      <c r="S429" s="4" t="str">
        <f aca="false">IF(A429="","Descartar - Linha vazia",IF(R429="Sim","Descartar - Duplicado",IF(OR(H429&lt;=0,I429&lt;=0),"Descartar - Qtd/Valor inválido","OK")))</f>
        <v>OK</v>
      </c>
      <c r="T429" s="4" t="str">
        <f aca="false">Base_Bruta!P429</f>
        <v>vendas_SP.xlsx</v>
      </c>
    </row>
    <row r="430" customFormat="false" ht="15" hidden="false" customHeight="false" outlineLevel="0" collapsed="false">
      <c r="A430" s="4" t="str">
        <f aca="false">IF(Base_Bruta!A430="","",Base_Bruta!A430)</f>
        <v>SP-000175</v>
      </c>
      <c r="B430" s="5" t="n">
        <f aca="false">IF($A430="","",IF(ISNUMBER(Base_Bruta!B430),Base_Bruta!B430,IF(MID(Base_Bruta!B430,5,1)="-",DATE(VALUE(LEFT(Base_Bruta!B430,4)),VALUE(MID(Base_Bruta!B430,6,2)),VALUE(RIGHT(Base_Bruta!B430,2))),DATE(VALUE(RIGHT(Base_Bruta!B430,4)),VALUE(MID(Base_Bruta!B430,4,2)),VALUE(LEFT(Base_Bruta!B430,2))))))</f>
        <v>45969</v>
      </c>
      <c r="C430" s="5" t="n">
        <f aca="false">IF($A430="","",IF(ISNUMBER(Base_Bruta!C430),Base_Bruta!C430,IF(MID(Base_Bruta!C430,5,1)="-",DATE(VALUE(LEFT(Base_Bruta!C430,4)),VALUE(MID(Base_Bruta!C430,6,2)),VALUE(RIGHT(Base_Bruta!C430,2))),DATE(VALUE(RIGHT(Base_Bruta!C430,4)),VALUE(MID(Base_Bruta!C430,4,2)),VALUE(LEFT(Base_Bruta!C430,2))))))</f>
        <v>45976</v>
      </c>
      <c r="D430" s="4" t="str">
        <f aca="false">IF($A430="","",TRIM(Base_Bruta!D430))</f>
        <v>Festival Sonora SP 2025</v>
      </c>
      <c r="E430" s="4" t="str">
        <f aca="false">IF($A430="","",_xlfn.XLOOKUP(LOWER(TRIM(Base_Bruta!E430)),DePara_Categoria!$A$2:$A$9,DePara_Categoria!$B$2:$B$9,"REVISAR"))</f>
        <v>Festival</v>
      </c>
      <c r="F430" s="4" t="str">
        <f aca="false">IF($A430="","",_xlfn.XLOOKUP(LOWER(TRIM(Base_Bruta!F430)),DePara_Cidade!$A$2:$A$29,DePara_Cidade!$B$2:$B$29,"REVISAR"))</f>
        <v>São Paulo</v>
      </c>
      <c r="G430" s="4" t="str">
        <f aca="false">IF($A430="","",TRIM(Base_Bruta!G430))</f>
        <v>Inteira</v>
      </c>
      <c r="H430" s="4" t="n">
        <f aca="false">IF($A430="","",IF(ISNUMBER(Base_Bruta!H430),Base_Bruta!H430,IFERROR(_xlfn.NUMBERVALUE(TRIM(SUBSTITUTE(Base_Bruta!H430,"R$","")),",","."),0)))</f>
        <v>2</v>
      </c>
      <c r="I430" s="6" t="n">
        <f aca="false">IF($A430="","",IF(ISNUMBER(Base_Bruta!I430),Base_Bruta!I430,IFERROR(_xlfn.NUMBERVALUE(TRIM(SUBSTITUTE(Base_Bruta!I430,"R$","")),",","."),0)))</f>
        <v>880</v>
      </c>
      <c r="J430" s="6" t="n">
        <f aca="false">IF($A430="","",H430*I430)</f>
        <v>1760</v>
      </c>
      <c r="K430" s="4" t="str">
        <f aca="false">IF($A430="","",TRIM(Base_Bruta!J430))</f>
        <v>Site</v>
      </c>
      <c r="L430" s="4" t="str">
        <f aca="false">IF($A430="","",TRIM(Base_Bruta!K430))</f>
        <v>C00553</v>
      </c>
      <c r="M430" s="4" t="str">
        <f aca="false">IF($A430="","",_xlfn.XLOOKUP(LOWER(TRIM(Base_Bruta!L430)),DePara_Cidade!$A$2:$A$29,DePara_Cidade!$B$2:$B$29,"REVISAR"))</f>
        <v>São Paulo</v>
      </c>
      <c r="N430" s="4" t="str">
        <f aca="false">IF($A430="","",UPPER(TRIM(Base_Bruta!M430)))</f>
        <v>SP</v>
      </c>
      <c r="O430" s="4" t="str">
        <f aca="false">IF($A430="","",_xlfn.XLOOKUP(LOWER(TRIM(Base_Bruta!N430)),DePara_Pais!$A$2:$A$9,DePara_Pais!$B$2:$B$9,"REVISAR"))</f>
        <v>Brasil</v>
      </c>
      <c r="P430" s="4" t="str">
        <f aca="false">IF($A430="","",IF(O430&lt;&gt;"Brasil","Turista Internacional",IF(M430=F430,"Local","Turista Nacional")))</f>
        <v>Local</v>
      </c>
      <c r="Q430" s="7" t="n">
        <f aca="false">IF($A430="","",DATE(YEAR(B430),MONTH(B430),1))</f>
        <v>45962</v>
      </c>
      <c r="R430" s="4" t="str">
        <f aca="false">IF($A430="","",IF(COUNTIF($A$2:$A430,$A430)&gt;1,"Sim","Não"))</f>
        <v>Não</v>
      </c>
      <c r="S430" s="4" t="str">
        <f aca="false">IF(A430="","Descartar - Linha vazia",IF(R430="Sim","Descartar - Duplicado",IF(OR(H430&lt;=0,I430&lt;=0),"Descartar - Qtd/Valor inválido","OK")))</f>
        <v>OK</v>
      </c>
      <c r="T430" s="4" t="str">
        <f aca="false">Base_Bruta!P430</f>
        <v>vendas_SP.xlsx</v>
      </c>
    </row>
    <row r="431" customFormat="false" ht="15" hidden="false" customHeight="false" outlineLevel="0" collapsed="false">
      <c r="A431" s="4" t="str">
        <f aca="false">IF(Base_Bruta!A431="","",Base_Bruta!A431)</f>
        <v>SP-000186</v>
      </c>
      <c r="B431" s="5" t="n">
        <f aca="false">IF($A431="","",IF(ISNUMBER(Base_Bruta!B431),Base_Bruta!B431,IF(MID(Base_Bruta!B431,5,1)="-",DATE(VALUE(LEFT(Base_Bruta!B431,4)),VALUE(MID(Base_Bruta!B431,6,2)),VALUE(RIGHT(Base_Bruta!B431,2))),DATE(VALUE(RIGHT(Base_Bruta!B431,4)),VALUE(MID(Base_Bruta!B431,4,2)),VALUE(LEFT(Base_Bruta!B431,2))))))</f>
        <v>45969</v>
      </c>
      <c r="C431" s="5" t="n">
        <f aca="false">IF($A431="","",IF(ISNUMBER(Base_Bruta!C431),Base_Bruta!C431,IF(MID(Base_Bruta!C431,5,1)="-",DATE(VALUE(LEFT(Base_Bruta!C431,4)),VALUE(MID(Base_Bruta!C431,6,2)),VALUE(RIGHT(Base_Bruta!C431,2))),DATE(VALUE(RIGHT(Base_Bruta!C431,4)),VALUE(MID(Base_Bruta!C431,4,2)),VALUE(LEFT(Base_Bruta!C431,2))))))</f>
        <v>45976</v>
      </c>
      <c r="D431" s="4" t="str">
        <f aca="false">IF($A431="","",TRIM(Base_Bruta!D431))</f>
        <v>Festival Sonora SP 2025</v>
      </c>
      <c r="E431" s="4" t="str">
        <f aca="false">IF($A431="","",_xlfn.XLOOKUP(LOWER(TRIM(Base_Bruta!E431)),DePara_Categoria!$A$2:$A$9,DePara_Categoria!$B$2:$B$9,"REVISAR"))</f>
        <v>Festival</v>
      </c>
      <c r="F431" s="4" t="str">
        <f aca="false">IF($A431="","",_xlfn.XLOOKUP(LOWER(TRIM(Base_Bruta!F431)),DePara_Cidade!$A$2:$A$29,DePara_Cidade!$B$2:$B$29,"REVISAR"))</f>
        <v>São Paulo</v>
      </c>
      <c r="G431" s="4" t="str">
        <f aca="false">IF($A431="","",TRIM(Base_Bruta!G431))</f>
        <v>Meia</v>
      </c>
      <c r="H431" s="4" t="n">
        <f aca="false">IF($A431="","",IF(ISNUMBER(Base_Bruta!H431),Base_Bruta!H431,IFERROR(_xlfn.NUMBERVALUE(TRIM(SUBSTITUTE(Base_Bruta!H431,"R$","")),",","."),0)))</f>
        <v>1</v>
      </c>
      <c r="I431" s="6" t="n">
        <f aca="false">IF($A431="","",IF(ISNUMBER(Base_Bruta!I431),Base_Bruta!I431,IFERROR(_xlfn.NUMBERVALUE(TRIM(SUBSTITUTE(Base_Bruta!I431,"R$","")),",","."),0)))</f>
        <v>527.5</v>
      </c>
      <c r="J431" s="6" t="n">
        <f aca="false">IF($A431="","",H431*I431)</f>
        <v>527.5</v>
      </c>
      <c r="K431" s="4" t="str">
        <f aca="false">IF($A431="","",TRIM(Base_Bruta!J431))</f>
        <v>App</v>
      </c>
      <c r="L431" s="4" t="str">
        <f aca="false">IF($A431="","",TRIM(Base_Bruta!K431))</f>
        <v>C00658</v>
      </c>
      <c r="M431" s="4" t="str">
        <f aca="false">IF($A431="","",_xlfn.XLOOKUP(LOWER(TRIM(Base_Bruta!L431)),DePara_Cidade!$A$2:$A$29,DePara_Cidade!$B$2:$B$29,"REVISAR"))</f>
        <v>Campinas</v>
      </c>
      <c r="N431" s="4" t="str">
        <f aca="false">IF($A431="","",UPPER(TRIM(Base_Bruta!M431)))</f>
        <v>SP</v>
      </c>
      <c r="O431" s="4" t="str">
        <f aca="false">IF($A431="","",_xlfn.XLOOKUP(LOWER(TRIM(Base_Bruta!N431)),DePara_Pais!$A$2:$A$9,DePara_Pais!$B$2:$B$9,"REVISAR"))</f>
        <v>Brasil</v>
      </c>
      <c r="P431" s="4" t="str">
        <f aca="false">IF($A431="","",IF(O431&lt;&gt;"Brasil","Turista Internacional",IF(M431=F431,"Local","Turista Nacional")))</f>
        <v>Turista Nacional</v>
      </c>
      <c r="Q431" s="7" t="n">
        <f aca="false">IF($A431="","",DATE(YEAR(B431),MONTH(B431),1))</f>
        <v>45962</v>
      </c>
      <c r="R431" s="4" t="str">
        <f aca="false">IF($A431="","",IF(COUNTIF($A$2:$A431,$A431)&gt;1,"Sim","Não"))</f>
        <v>Não</v>
      </c>
      <c r="S431" s="4" t="str">
        <f aca="false">IF(A431="","Descartar - Linha vazia",IF(R431="Sim","Descartar - Duplicado",IF(OR(H431&lt;=0,I431&lt;=0),"Descartar - Qtd/Valor inválido","OK")))</f>
        <v>OK</v>
      </c>
      <c r="T431" s="4" t="str">
        <f aca="false">Base_Bruta!P431</f>
        <v>vendas_SP.xlsx</v>
      </c>
    </row>
    <row r="432" customFormat="false" ht="15" hidden="false" customHeight="false" outlineLevel="0" collapsed="false">
      <c r="A432" s="4" t="str">
        <f aca="false">IF(Base_Bruta!A432="","",Base_Bruta!A432)</f>
        <v>SP-000197</v>
      </c>
      <c r="B432" s="5" t="n">
        <f aca="false">IF($A432="","",IF(ISNUMBER(Base_Bruta!B432),Base_Bruta!B432,IF(MID(Base_Bruta!B432,5,1)="-",DATE(VALUE(LEFT(Base_Bruta!B432,4)),VALUE(MID(Base_Bruta!B432,6,2)),VALUE(RIGHT(Base_Bruta!B432,2))),DATE(VALUE(RIGHT(Base_Bruta!B432,4)),VALUE(MID(Base_Bruta!B432,4,2)),VALUE(LEFT(Base_Bruta!B432,2))))))</f>
        <v>45969</v>
      </c>
      <c r="C432" s="5" t="n">
        <f aca="false">IF($A432="","",IF(ISNUMBER(Base_Bruta!C432),Base_Bruta!C432,IF(MID(Base_Bruta!C432,5,1)="-",DATE(VALUE(LEFT(Base_Bruta!C432,4)),VALUE(MID(Base_Bruta!C432,6,2)),VALUE(RIGHT(Base_Bruta!C432,2))),DATE(VALUE(RIGHT(Base_Bruta!C432,4)),VALUE(MID(Base_Bruta!C432,4,2)),VALUE(LEFT(Base_Bruta!C432,2))))))</f>
        <v>45976</v>
      </c>
      <c r="D432" s="4" t="str">
        <f aca="false">IF($A432="","",TRIM(Base_Bruta!D432))</f>
        <v>Festival Sonora SP 2025</v>
      </c>
      <c r="E432" s="4" t="str">
        <f aca="false">IF($A432="","",_xlfn.XLOOKUP(LOWER(TRIM(Base_Bruta!E432)),DePara_Categoria!$A$2:$A$9,DePara_Categoria!$B$2:$B$9,"REVISAR"))</f>
        <v>Festival</v>
      </c>
      <c r="F432" s="4" t="str">
        <f aca="false">IF($A432="","",_xlfn.XLOOKUP(LOWER(TRIM(Base_Bruta!F432)),DePara_Cidade!$A$2:$A$29,DePara_Cidade!$B$2:$B$29,"REVISAR"))</f>
        <v>São Paulo</v>
      </c>
      <c r="G432" s="4" t="str">
        <f aca="false">IF($A432="","",TRIM(Base_Bruta!G432))</f>
        <v>Inteira</v>
      </c>
      <c r="H432" s="4" t="n">
        <f aca="false">IF($A432="","",IF(ISNUMBER(Base_Bruta!H432),Base_Bruta!H432,IFERROR(_xlfn.NUMBERVALUE(TRIM(SUBSTITUTE(Base_Bruta!H432,"R$","")),",","."),0)))</f>
        <v>2</v>
      </c>
      <c r="I432" s="6" t="n">
        <f aca="false">IF($A432="","",IF(ISNUMBER(Base_Bruta!I432),Base_Bruta!I432,IFERROR(_xlfn.NUMBERVALUE(TRIM(SUBSTITUTE(Base_Bruta!I432,"R$","")),",","."),0)))</f>
        <v>675</v>
      </c>
      <c r="J432" s="6" t="n">
        <f aca="false">IF($A432="","",H432*I432)</f>
        <v>1350</v>
      </c>
      <c r="K432" s="4" t="str">
        <f aca="false">IF($A432="","",TRIM(Base_Bruta!J432))</f>
        <v>Site</v>
      </c>
      <c r="L432" s="4" t="str">
        <f aca="false">IF($A432="","",TRIM(Base_Bruta!K432))</f>
        <v>C01163</v>
      </c>
      <c r="M432" s="4" t="str">
        <f aca="false">IF($A432="","",_xlfn.XLOOKUP(LOWER(TRIM(Base_Bruta!L432)),DePara_Cidade!$A$2:$A$29,DePara_Cidade!$B$2:$B$29,"REVISAR"))</f>
        <v>São Paulo</v>
      </c>
      <c r="N432" s="4" t="str">
        <f aca="false">IF($A432="","",UPPER(TRIM(Base_Bruta!M432)))</f>
        <v>SP</v>
      </c>
      <c r="O432" s="4" t="str">
        <f aca="false">IF($A432="","",_xlfn.XLOOKUP(LOWER(TRIM(Base_Bruta!N432)),DePara_Pais!$A$2:$A$9,DePara_Pais!$B$2:$B$9,"REVISAR"))</f>
        <v>Brasil</v>
      </c>
      <c r="P432" s="4" t="str">
        <f aca="false">IF($A432="","",IF(O432&lt;&gt;"Brasil","Turista Internacional",IF(M432=F432,"Local","Turista Nacional")))</f>
        <v>Local</v>
      </c>
      <c r="Q432" s="7" t="n">
        <f aca="false">IF($A432="","",DATE(YEAR(B432),MONTH(B432),1))</f>
        <v>45962</v>
      </c>
      <c r="R432" s="4" t="str">
        <f aca="false">IF($A432="","",IF(COUNTIF($A$2:$A432,$A432)&gt;1,"Sim","Não"))</f>
        <v>Não</v>
      </c>
      <c r="S432" s="4" t="str">
        <f aca="false">IF(A432="","Descartar - Linha vazia",IF(R432="Sim","Descartar - Duplicado",IF(OR(H432&lt;=0,I432&lt;=0),"Descartar - Qtd/Valor inválido","OK")))</f>
        <v>OK</v>
      </c>
      <c r="T432" s="4" t="str">
        <f aca="false">Base_Bruta!P432</f>
        <v>vendas_SP.xlsx</v>
      </c>
    </row>
    <row r="433" customFormat="false" ht="15" hidden="false" customHeight="false" outlineLevel="0" collapsed="false">
      <c r="A433" s="4" t="str">
        <f aca="false">IF(Base_Bruta!A433="","",Base_Bruta!A433)</f>
        <v>SP-000711</v>
      </c>
      <c r="B433" s="5" t="n">
        <f aca="false">IF($A433="","",IF(ISNUMBER(Base_Bruta!B433),Base_Bruta!B433,IF(MID(Base_Bruta!B433,5,1)="-",DATE(VALUE(LEFT(Base_Bruta!B433,4)),VALUE(MID(Base_Bruta!B433,6,2)),VALUE(RIGHT(Base_Bruta!B433,2))),DATE(VALUE(RIGHT(Base_Bruta!B433,4)),VALUE(MID(Base_Bruta!B433,4,2)),VALUE(LEFT(Base_Bruta!B433,2))))))</f>
        <v>45969</v>
      </c>
      <c r="C433" s="5" t="n">
        <f aca="false">IF($A433="","",IF(ISNUMBER(Base_Bruta!C433),Base_Bruta!C433,IF(MID(Base_Bruta!C433,5,1)="-",DATE(VALUE(LEFT(Base_Bruta!C433,4)),VALUE(MID(Base_Bruta!C433,6,2)),VALUE(RIGHT(Base_Bruta!C433,2))),DATE(VALUE(RIGHT(Base_Bruta!C433,4)),VALUE(MID(Base_Bruta!C433,4,2)),VALUE(LEFT(Base_Bruta!C433,2))))))</f>
        <v>45971</v>
      </c>
      <c r="D433" s="4" t="str">
        <f aca="false">IF($A433="","",TRIM(Base_Bruta!D433))</f>
        <v>Cinema Paulista - Sessões</v>
      </c>
      <c r="E433" s="4" t="str">
        <f aca="false">IF($A433="","",_xlfn.XLOOKUP(LOWER(TRIM(Base_Bruta!E433)),DePara_Categoria!$A$2:$A$9,DePara_Categoria!$B$2:$B$9,"REVISAR"))</f>
        <v>Cinema</v>
      </c>
      <c r="F433" s="4" t="str">
        <f aca="false">IF($A433="","",_xlfn.XLOOKUP(LOWER(TRIM(Base_Bruta!F433)),DePara_Cidade!$A$2:$A$29,DePara_Cidade!$B$2:$B$29,"REVISAR"))</f>
        <v>São Paulo</v>
      </c>
      <c r="G433" s="4" t="str">
        <f aca="false">IF($A433="","",TRIM(Base_Bruta!G433))</f>
        <v>Meia</v>
      </c>
      <c r="H433" s="4" t="n">
        <f aca="false">IF($A433="","",IF(ISNUMBER(Base_Bruta!H433),Base_Bruta!H433,IFERROR(_xlfn.NUMBERVALUE(TRIM(SUBSTITUTE(Base_Bruta!H433,"R$","")),",","."),0)))</f>
        <v>1</v>
      </c>
      <c r="I433" s="6" t="n">
        <f aca="false">IF($A433="","",IF(ISNUMBER(Base_Bruta!I433),Base_Bruta!I433,IFERROR(_xlfn.NUMBERVALUE(TRIM(SUBSTITUTE(Base_Bruta!I433,"R$","")),",","."),0)))</f>
        <v>20</v>
      </c>
      <c r="J433" s="6" t="n">
        <f aca="false">IF($A433="","",H433*I433)</f>
        <v>20</v>
      </c>
      <c r="K433" s="4" t="str">
        <f aca="false">IF($A433="","",TRIM(Base_Bruta!J433))</f>
        <v>Site</v>
      </c>
      <c r="L433" s="4" t="str">
        <f aca="false">IF($A433="","",TRIM(Base_Bruta!K433))</f>
        <v>C02308</v>
      </c>
      <c r="M433" s="4" t="str">
        <f aca="false">IF($A433="","",_xlfn.XLOOKUP(LOWER(TRIM(Base_Bruta!L433)),DePara_Cidade!$A$2:$A$29,DePara_Cidade!$B$2:$B$29,"REVISAR"))</f>
        <v>São Paulo</v>
      </c>
      <c r="N433" s="4" t="str">
        <f aca="false">IF($A433="","",UPPER(TRIM(Base_Bruta!M433)))</f>
        <v>SP</v>
      </c>
      <c r="O433" s="4" t="str">
        <f aca="false">IF($A433="","",_xlfn.XLOOKUP(LOWER(TRIM(Base_Bruta!N433)),DePara_Pais!$A$2:$A$9,DePara_Pais!$B$2:$B$9,"REVISAR"))</f>
        <v>Brasil</v>
      </c>
      <c r="P433" s="4" t="str">
        <f aca="false">IF($A433="","",IF(O433&lt;&gt;"Brasil","Turista Internacional",IF(M433=F433,"Local","Turista Nacional")))</f>
        <v>Local</v>
      </c>
      <c r="Q433" s="7" t="n">
        <f aca="false">IF($A433="","",DATE(YEAR(B433),MONTH(B433),1))</f>
        <v>45962</v>
      </c>
      <c r="R433" s="4" t="str">
        <f aca="false">IF($A433="","",IF(COUNTIF($A$2:$A433,$A433)&gt;1,"Sim","Não"))</f>
        <v>Não</v>
      </c>
      <c r="S433" s="4" t="str">
        <f aca="false">IF(A433="","Descartar - Linha vazia",IF(R433="Sim","Descartar - Duplicado",IF(OR(H433&lt;=0,I433&lt;=0),"Descartar - Qtd/Valor inválido","OK")))</f>
        <v>OK</v>
      </c>
      <c r="T433" s="4" t="str">
        <f aca="false">Base_Bruta!P433</f>
        <v>vendas_SP.xlsx</v>
      </c>
    </row>
    <row r="434" customFormat="false" ht="15" hidden="false" customHeight="false" outlineLevel="0" collapsed="false">
      <c r="A434" s="4" t="str">
        <f aca="false">IF(Base_Bruta!A434="","",Base_Bruta!A434)</f>
        <v>SP-000001</v>
      </c>
      <c r="B434" s="5" t="n">
        <f aca="false">IF($A434="","",IF(ISNUMBER(Base_Bruta!B434),Base_Bruta!B434,IF(MID(Base_Bruta!B434,5,1)="-",DATE(VALUE(LEFT(Base_Bruta!B434,4)),VALUE(MID(Base_Bruta!B434,6,2)),VALUE(RIGHT(Base_Bruta!B434,2))),DATE(VALUE(RIGHT(Base_Bruta!B434,4)),VALUE(MID(Base_Bruta!B434,4,2)),VALUE(LEFT(Base_Bruta!B434,2))))))</f>
        <v>45970</v>
      </c>
      <c r="C434" s="5" t="n">
        <f aca="false">IF($A434="","",IF(ISNUMBER(Base_Bruta!C434),Base_Bruta!C434,IF(MID(Base_Bruta!C434,5,1)="-",DATE(VALUE(LEFT(Base_Bruta!C434,4)),VALUE(MID(Base_Bruta!C434,6,2)),VALUE(RIGHT(Base_Bruta!C434,2))),DATE(VALUE(RIGHT(Base_Bruta!C434,4)),VALUE(MID(Base_Bruta!C434,4,2)),VALUE(LEFT(Base_Bruta!C434,2))))))</f>
        <v>45976</v>
      </c>
      <c r="D434" s="4" t="str">
        <f aca="false">IF($A434="","",TRIM(Base_Bruta!D434))</f>
        <v>Festival Sonora SP 2025</v>
      </c>
      <c r="E434" s="4" t="str">
        <f aca="false">IF($A434="","",_xlfn.XLOOKUP(LOWER(TRIM(Base_Bruta!E434)),DePara_Categoria!$A$2:$A$9,DePara_Categoria!$B$2:$B$9,"REVISAR"))</f>
        <v>Festival</v>
      </c>
      <c r="F434" s="4" t="str">
        <f aca="false">IF($A434="","",_xlfn.XLOOKUP(LOWER(TRIM(Base_Bruta!F434)),DePara_Cidade!$A$2:$A$29,DePara_Cidade!$B$2:$B$29,"REVISAR"))</f>
        <v>São Paulo</v>
      </c>
      <c r="G434" s="4" t="str">
        <f aca="false">IF($A434="","",TRIM(Base_Bruta!G434))</f>
        <v>Meia</v>
      </c>
      <c r="H434" s="4" t="n">
        <f aca="false">IF($A434="","",IF(ISNUMBER(Base_Bruta!H434),Base_Bruta!H434,IFERROR(_xlfn.NUMBERVALUE(TRIM(SUBSTITUTE(Base_Bruta!H434,"R$","")),",","."),0)))</f>
        <v>3</v>
      </c>
      <c r="I434" s="6" t="n">
        <f aca="false">IF($A434="","",IF(ISNUMBER(Base_Bruta!I434),Base_Bruta!I434,IFERROR(_xlfn.NUMBERVALUE(TRIM(SUBSTITUTE(Base_Bruta!I434,"R$","")),",","."),0)))</f>
        <v>462.5</v>
      </c>
      <c r="J434" s="6" t="n">
        <f aca="false">IF($A434="","",H434*I434)</f>
        <v>1387.5</v>
      </c>
      <c r="K434" s="4" t="str">
        <f aca="false">IF($A434="","",TRIM(Base_Bruta!J434))</f>
        <v>App</v>
      </c>
      <c r="L434" s="4" t="str">
        <f aca="false">IF($A434="","",TRIM(Base_Bruta!K434))</f>
        <v>C02413</v>
      </c>
      <c r="M434" s="4" t="str">
        <f aca="false">IF($A434="","",_xlfn.XLOOKUP(LOWER(TRIM(Base_Bruta!L434)),DePara_Cidade!$A$2:$A$29,DePara_Cidade!$B$2:$B$29,"REVISAR"))</f>
        <v>Contagem</v>
      </c>
      <c r="N434" s="4" t="str">
        <f aca="false">IF($A434="","",UPPER(TRIM(Base_Bruta!M434)))</f>
        <v>MG</v>
      </c>
      <c r="O434" s="4" t="str">
        <f aca="false">IF($A434="","",_xlfn.XLOOKUP(LOWER(TRIM(Base_Bruta!N434)),DePara_Pais!$A$2:$A$9,DePara_Pais!$B$2:$B$9,"REVISAR"))</f>
        <v>Brasil</v>
      </c>
      <c r="P434" s="4" t="str">
        <f aca="false">IF($A434="","",IF(O434&lt;&gt;"Brasil","Turista Internacional",IF(M434=F434,"Local","Turista Nacional")))</f>
        <v>Turista Nacional</v>
      </c>
      <c r="Q434" s="7" t="n">
        <f aca="false">IF($A434="","",DATE(YEAR(B434),MONTH(B434),1))</f>
        <v>45962</v>
      </c>
      <c r="R434" s="4" t="str">
        <f aca="false">IF($A434="","",IF(COUNTIF($A$2:$A434,$A434)&gt;1,"Sim","Não"))</f>
        <v>Não</v>
      </c>
      <c r="S434" s="4" t="str">
        <f aca="false">IF(A434="","Descartar - Linha vazia",IF(R434="Sim","Descartar - Duplicado",IF(OR(H434&lt;=0,I434&lt;=0),"Descartar - Qtd/Valor inválido","OK")))</f>
        <v>OK</v>
      </c>
      <c r="T434" s="4" t="str">
        <f aca="false">Base_Bruta!P434</f>
        <v>vendas_SP.xlsx</v>
      </c>
    </row>
    <row r="435" customFormat="false" ht="15" hidden="false" customHeight="false" outlineLevel="0" collapsed="false">
      <c r="A435" s="4" t="str">
        <f aca="false">IF(Base_Bruta!A435="","",Base_Bruta!A435)</f>
        <v>SP-000033</v>
      </c>
      <c r="B435" s="5" t="n">
        <f aca="false">IF($A435="","",IF(ISNUMBER(Base_Bruta!B435),Base_Bruta!B435,IF(MID(Base_Bruta!B435,5,1)="-",DATE(VALUE(LEFT(Base_Bruta!B435,4)),VALUE(MID(Base_Bruta!B435,6,2)),VALUE(RIGHT(Base_Bruta!B435,2))),DATE(VALUE(RIGHT(Base_Bruta!B435,4)),VALUE(MID(Base_Bruta!B435,4,2)),VALUE(LEFT(Base_Bruta!B435,2))))))</f>
        <v>45970</v>
      </c>
      <c r="C435" s="5" t="n">
        <f aca="false">IF($A435="","",IF(ISNUMBER(Base_Bruta!C435),Base_Bruta!C435,IF(MID(Base_Bruta!C435,5,1)="-",DATE(VALUE(LEFT(Base_Bruta!C435,4)),VALUE(MID(Base_Bruta!C435,6,2)),VALUE(RIGHT(Base_Bruta!C435,2))),DATE(VALUE(RIGHT(Base_Bruta!C435,4)),VALUE(MID(Base_Bruta!C435,4,2)),VALUE(LEFT(Base_Bruta!C435,2))))))</f>
        <v>45976</v>
      </c>
      <c r="D435" s="4" t="str">
        <f aca="false">IF($A435="","",TRIM(Base_Bruta!D435))</f>
        <v>Festival Sonora SP 2025</v>
      </c>
      <c r="E435" s="4" t="str">
        <f aca="false">IF($A435="","",_xlfn.XLOOKUP(LOWER(TRIM(Base_Bruta!E435)),DePara_Categoria!$A$2:$A$9,DePara_Categoria!$B$2:$B$9,"REVISAR"))</f>
        <v>Festival</v>
      </c>
      <c r="F435" s="4" t="str">
        <f aca="false">IF($A435="","",_xlfn.XLOOKUP(LOWER(TRIM(Base_Bruta!F435)),DePara_Cidade!$A$2:$A$29,DePara_Cidade!$B$2:$B$29,"REVISAR"))</f>
        <v>São Paulo</v>
      </c>
      <c r="G435" s="4" t="str">
        <f aca="false">IF($A435="","",TRIM(Base_Bruta!G435))</f>
        <v>Meia</v>
      </c>
      <c r="H435" s="4" t="n">
        <f aca="false">IF($A435="","",IF(ISNUMBER(Base_Bruta!H435),Base_Bruta!H435,IFERROR(_xlfn.NUMBERVALUE(TRIM(SUBSTITUTE(Base_Bruta!H435,"R$","")),",","."),0)))</f>
        <v>1</v>
      </c>
      <c r="I435" s="6" t="n">
        <f aca="false">IF($A435="","",IF(ISNUMBER(Base_Bruta!I435),Base_Bruta!I435,IFERROR(_xlfn.NUMBERVALUE(TRIM(SUBSTITUTE(Base_Bruta!I435,"R$","")),",","."),0)))</f>
        <v>390</v>
      </c>
      <c r="J435" s="6" t="n">
        <f aca="false">IF($A435="","",H435*I435)</f>
        <v>390</v>
      </c>
      <c r="K435" s="4" t="str">
        <f aca="false">IF($A435="","",TRIM(Base_Bruta!J435))</f>
        <v>App</v>
      </c>
      <c r="L435" s="4" t="str">
        <f aca="false">IF($A435="","",TRIM(Base_Bruta!K435))</f>
        <v>C02496</v>
      </c>
      <c r="M435" s="4" t="str">
        <f aca="false">IF($A435="","",_xlfn.XLOOKUP(LOWER(TRIM(Base_Bruta!L435)),DePara_Cidade!$A$2:$A$29,DePara_Cidade!$B$2:$B$29,"REVISAR"))</f>
        <v>Lisboa</v>
      </c>
      <c r="N435" s="4" t="str">
        <f aca="false">IF($A435="","",UPPER(TRIM(Base_Bruta!M435)))</f>
        <v>EX</v>
      </c>
      <c r="O435" s="4" t="str">
        <f aca="false">IF($A435="","",_xlfn.XLOOKUP(LOWER(TRIM(Base_Bruta!N435)),DePara_Pais!$A$2:$A$9,DePara_Pais!$B$2:$B$9,"REVISAR"))</f>
        <v>Portugal</v>
      </c>
      <c r="P435" s="4" t="str">
        <f aca="false">IF($A435="","",IF(O435&lt;&gt;"Brasil","Turista Internacional",IF(M435=F435,"Local","Turista Nacional")))</f>
        <v>Turista Internacional</v>
      </c>
      <c r="Q435" s="7" t="n">
        <f aca="false">IF($A435="","",DATE(YEAR(B435),MONTH(B435),1))</f>
        <v>45962</v>
      </c>
      <c r="R435" s="4" t="str">
        <f aca="false">IF($A435="","",IF(COUNTIF($A$2:$A435,$A435)&gt;1,"Sim","Não"))</f>
        <v>Não</v>
      </c>
      <c r="S435" s="4" t="str">
        <f aca="false">IF(A435="","Descartar - Linha vazia",IF(R435="Sim","Descartar - Duplicado",IF(OR(H435&lt;=0,I435&lt;=0),"Descartar - Qtd/Valor inválido","OK")))</f>
        <v>OK</v>
      </c>
      <c r="T435" s="4" t="str">
        <f aca="false">Base_Bruta!P435</f>
        <v>vendas_SP.xlsx</v>
      </c>
    </row>
    <row r="436" customFormat="false" ht="15" hidden="false" customHeight="false" outlineLevel="0" collapsed="false">
      <c r="A436" s="4" t="str">
        <f aca="false">IF(Base_Bruta!A436="","",Base_Bruta!A436)</f>
        <v>SP-000077</v>
      </c>
      <c r="B436" s="5" t="n">
        <f aca="false">IF($A436="","",IF(ISNUMBER(Base_Bruta!B436),Base_Bruta!B436,IF(MID(Base_Bruta!B436,5,1)="-",DATE(VALUE(LEFT(Base_Bruta!B436,4)),VALUE(MID(Base_Bruta!B436,6,2)),VALUE(RIGHT(Base_Bruta!B436,2))),DATE(VALUE(RIGHT(Base_Bruta!B436,4)),VALUE(MID(Base_Bruta!B436,4,2)),VALUE(LEFT(Base_Bruta!B436,2))))))</f>
        <v>45970</v>
      </c>
      <c r="C436" s="5" t="n">
        <f aca="false">IF($A436="","",IF(ISNUMBER(Base_Bruta!C436),Base_Bruta!C436,IF(MID(Base_Bruta!C436,5,1)="-",DATE(VALUE(LEFT(Base_Bruta!C436,4)),VALUE(MID(Base_Bruta!C436,6,2)),VALUE(RIGHT(Base_Bruta!C436,2))),DATE(VALUE(RIGHT(Base_Bruta!C436,4)),VALUE(MID(Base_Bruta!C436,4,2)),VALUE(LEFT(Base_Bruta!C436,2))))))</f>
        <v>45976</v>
      </c>
      <c r="D436" s="4" t="str">
        <f aca="false">IF($A436="","",TRIM(Base_Bruta!D436))</f>
        <v>Festival Sonora SP 2025</v>
      </c>
      <c r="E436" s="4" t="str">
        <f aca="false">IF($A436="","",_xlfn.XLOOKUP(LOWER(TRIM(Base_Bruta!E436)),DePara_Categoria!$A$2:$A$9,DePara_Categoria!$B$2:$B$9,"REVISAR"))</f>
        <v>Festival</v>
      </c>
      <c r="F436" s="4" t="str">
        <f aca="false">IF($A436="","",_xlfn.XLOOKUP(LOWER(TRIM(Base_Bruta!F436)),DePara_Cidade!$A$2:$A$29,DePara_Cidade!$B$2:$B$29,"REVISAR"))</f>
        <v>São Paulo</v>
      </c>
      <c r="G436" s="4" t="str">
        <f aca="false">IF($A436="","",TRIM(Base_Bruta!G436))</f>
        <v>Inteira</v>
      </c>
      <c r="H436" s="4" t="n">
        <f aca="false">IF($A436="","",IF(ISNUMBER(Base_Bruta!H436),Base_Bruta!H436,IFERROR(_xlfn.NUMBERVALUE(TRIM(SUBSTITUTE(Base_Bruta!H436,"R$","")),",","."),0)))</f>
        <v>3</v>
      </c>
      <c r="I436" s="6" t="n">
        <f aca="false">IF($A436="","",IF(ISNUMBER(Base_Bruta!I436),Base_Bruta!I436,IFERROR(_xlfn.NUMBERVALUE(TRIM(SUBSTITUTE(Base_Bruta!I436,"R$","")),",","."),0)))</f>
        <v>1115</v>
      </c>
      <c r="J436" s="6" t="n">
        <f aca="false">IF($A436="","",H436*I436)</f>
        <v>3345</v>
      </c>
      <c r="K436" s="4" t="str">
        <f aca="false">IF($A436="","",TRIM(Base_Bruta!J436))</f>
        <v>App</v>
      </c>
      <c r="L436" s="4" t="str">
        <f aca="false">IF($A436="","",TRIM(Base_Bruta!K436))</f>
        <v>C00393</v>
      </c>
      <c r="M436" s="4" t="str">
        <f aca="false">IF($A436="","",_xlfn.XLOOKUP(LOWER(TRIM(Base_Bruta!L436)),DePara_Cidade!$A$2:$A$29,DePara_Cidade!$B$2:$B$29,"REVISAR"))</f>
        <v>Vitória</v>
      </c>
      <c r="N436" s="4" t="str">
        <f aca="false">IF($A436="","",UPPER(TRIM(Base_Bruta!M436)))</f>
        <v>ES</v>
      </c>
      <c r="O436" s="4" t="str">
        <f aca="false">IF($A436="","",_xlfn.XLOOKUP(LOWER(TRIM(Base_Bruta!N436)),DePara_Pais!$A$2:$A$9,DePara_Pais!$B$2:$B$9,"REVISAR"))</f>
        <v>Brasil</v>
      </c>
      <c r="P436" s="4" t="str">
        <f aca="false">IF($A436="","",IF(O436&lt;&gt;"Brasil","Turista Internacional",IF(M436=F436,"Local","Turista Nacional")))</f>
        <v>Turista Nacional</v>
      </c>
      <c r="Q436" s="7" t="n">
        <f aca="false">IF($A436="","",DATE(YEAR(B436),MONTH(B436),1))</f>
        <v>45962</v>
      </c>
      <c r="R436" s="4" t="str">
        <f aca="false">IF($A436="","",IF(COUNTIF($A$2:$A436,$A436)&gt;1,"Sim","Não"))</f>
        <v>Não</v>
      </c>
      <c r="S436" s="4" t="str">
        <f aca="false">IF(A436="","Descartar - Linha vazia",IF(R436="Sim","Descartar - Duplicado",IF(OR(H436&lt;=0,I436&lt;=0),"Descartar - Qtd/Valor inválido","OK")))</f>
        <v>OK</v>
      </c>
      <c r="T436" s="4" t="str">
        <f aca="false">Base_Bruta!P436</f>
        <v>vendas_SP.xlsx</v>
      </c>
    </row>
    <row r="437" customFormat="false" ht="15" hidden="false" customHeight="false" outlineLevel="0" collapsed="false">
      <c r="A437" s="4" t="str">
        <f aca="false">IF(Base_Bruta!A437="","",Base_Bruta!A437)</f>
        <v>SP-000125</v>
      </c>
      <c r="B437" s="5" t="n">
        <f aca="false">IF($A437="","",IF(ISNUMBER(Base_Bruta!B437),Base_Bruta!B437,IF(MID(Base_Bruta!B437,5,1)="-",DATE(VALUE(LEFT(Base_Bruta!B437,4)),VALUE(MID(Base_Bruta!B437,6,2)),VALUE(RIGHT(Base_Bruta!B437,2))),DATE(VALUE(RIGHT(Base_Bruta!B437,4)),VALUE(MID(Base_Bruta!B437,4,2)),VALUE(LEFT(Base_Bruta!B437,2))))))</f>
        <v>45970</v>
      </c>
      <c r="C437" s="5" t="n">
        <f aca="false">IF($A437="","",IF(ISNUMBER(Base_Bruta!C437),Base_Bruta!C437,IF(MID(Base_Bruta!C437,5,1)="-",DATE(VALUE(LEFT(Base_Bruta!C437,4)),VALUE(MID(Base_Bruta!C437,6,2)),VALUE(RIGHT(Base_Bruta!C437,2))),DATE(VALUE(RIGHT(Base_Bruta!C437,4)),VALUE(MID(Base_Bruta!C437,4,2)),VALUE(LEFT(Base_Bruta!C437,2))))))</f>
        <v>45976</v>
      </c>
      <c r="D437" s="4" t="str">
        <f aca="false">IF($A437="","",TRIM(Base_Bruta!D437))</f>
        <v>Festival Sonora SP 2025</v>
      </c>
      <c r="E437" s="4" t="str">
        <f aca="false">IF($A437="","",_xlfn.XLOOKUP(LOWER(TRIM(Base_Bruta!E437)),DePara_Categoria!$A$2:$A$9,DePara_Categoria!$B$2:$B$9,"REVISAR"))</f>
        <v>Festival</v>
      </c>
      <c r="F437" s="4" t="str">
        <f aca="false">IF($A437="","",_xlfn.XLOOKUP(LOWER(TRIM(Base_Bruta!F437)),DePara_Cidade!$A$2:$A$29,DePara_Cidade!$B$2:$B$29,"REVISAR"))</f>
        <v>São Paulo</v>
      </c>
      <c r="G437" s="4" t="str">
        <f aca="false">IF($A437="","",TRIM(Base_Bruta!G437))</f>
        <v>Inteira</v>
      </c>
      <c r="H437" s="4" t="n">
        <f aca="false">IF($A437="","",IF(ISNUMBER(Base_Bruta!H437),Base_Bruta!H437,IFERROR(_xlfn.NUMBERVALUE(TRIM(SUBSTITUTE(Base_Bruta!H437,"R$","")),",","."),0)))</f>
        <v>1</v>
      </c>
      <c r="I437" s="6" t="n">
        <f aca="false">IF($A437="","",IF(ISNUMBER(Base_Bruta!I437),Base_Bruta!I437,IFERROR(_xlfn.NUMBERVALUE(TRIM(SUBSTITUTE(Base_Bruta!I437,"R$","")),",","."),0)))</f>
        <v>1055</v>
      </c>
      <c r="J437" s="6" t="n">
        <f aca="false">IF($A437="","",H437*I437)</f>
        <v>1055</v>
      </c>
      <c r="K437" s="4" t="str">
        <f aca="false">IF($A437="","",TRIM(Base_Bruta!J437))</f>
        <v>App</v>
      </c>
      <c r="L437" s="4" t="str">
        <f aca="false">IF($A437="","",TRIM(Base_Bruta!K437))</f>
        <v>C00736</v>
      </c>
      <c r="M437" s="4" t="str">
        <f aca="false">IF($A437="","",_xlfn.XLOOKUP(LOWER(TRIM(Base_Bruta!L437)),DePara_Cidade!$A$2:$A$29,DePara_Cidade!$B$2:$B$29,"REVISAR"))</f>
        <v>Recife</v>
      </c>
      <c r="N437" s="4" t="str">
        <f aca="false">IF($A437="","",UPPER(TRIM(Base_Bruta!M437)))</f>
        <v>PE</v>
      </c>
      <c r="O437" s="4" t="str">
        <f aca="false">IF($A437="","",_xlfn.XLOOKUP(LOWER(TRIM(Base_Bruta!N437)),DePara_Pais!$A$2:$A$9,DePara_Pais!$B$2:$B$9,"REVISAR"))</f>
        <v>Brasil</v>
      </c>
      <c r="P437" s="4" t="str">
        <f aca="false">IF($A437="","",IF(O437&lt;&gt;"Brasil","Turista Internacional",IF(M437=F437,"Local","Turista Nacional")))</f>
        <v>Turista Nacional</v>
      </c>
      <c r="Q437" s="7" t="n">
        <f aca="false">IF($A437="","",DATE(YEAR(B437),MONTH(B437),1))</f>
        <v>45962</v>
      </c>
      <c r="R437" s="4" t="str">
        <f aca="false">IF($A437="","",IF(COUNTIF($A$2:$A437,$A437)&gt;1,"Sim","Não"))</f>
        <v>Não</v>
      </c>
      <c r="S437" s="4" t="str">
        <f aca="false">IF(A437="","Descartar - Linha vazia",IF(R437="Sim","Descartar - Duplicado",IF(OR(H437&lt;=0,I437&lt;=0),"Descartar - Qtd/Valor inválido","OK")))</f>
        <v>OK</v>
      </c>
      <c r="T437" s="4" t="str">
        <f aca="false">Base_Bruta!P437</f>
        <v>vendas_SP.xlsx</v>
      </c>
    </row>
    <row r="438" customFormat="false" ht="15" hidden="false" customHeight="false" outlineLevel="0" collapsed="false">
      <c r="A438" s="4" t="str">
        <f aca="false">IF(Base_Bruta!A438="","",Base_Bruta!A438)</f>
        <v>SP-000127</v>
      </c>
      <c r="B438" s="5" t="n">
        <f aca="false">IF($A438="","",IF(ISNUMBER(Base_Bruta!B438),Base_Bruta!B438,IF(MID(Base_Bruta!B438,5,1)="-",DATE(VALUE(LEFT(Base_Bruta!B438,4)),VALUE(MID(Base_Bruta!B438,6,2)),VALUE(RIGHT(Base_Bruta!B438,2))),DATE(VALUE(RIGHT(Base_Bruta!B438,4)),VALUE(MID(Base_Bruta!B438,4,2)),VALUE(LEFT(Base_Bruta!B438,2))))))</f>
        <v>45970</v>
      </c>
      <c r="C438" s="5" t="n">
        <f aca="false">IF($A438="","",IF(ISNUMBER(Base_Bruta!C438),Base_Bruta!C438,IF(MID(Base_Bruta!C438,5,1)="-",DATE(VALUE(LEFT(Base_Bruta!C438,4)),VALUE(MID(Base_Bruta!C438,6,2)),VALUE(RIGHT(Base_Bruta!C438,2))),DATE(VALUE(RIGHT(Base_Bruta!C438,4)),VALUE(MID(Base_Bruta!C438,4,2)),VALUE(LEFT(Base_Bruta!C438,2))))))</f>
        <v>45976</v>
      </c>
      <c r="D438" s="4" t="str">
        <f aca="false">IF($A438="","",TRIM(Base_Bruta!D438))</f>
        <v>Festival Sonora SP 2025</v>
      </c>
      <c r="E438" s="4" t="str">
        <f aca="false">IF($A438="","",_xlfn.XLOOKUP(LOWER(TRIM(Base_Bruta!E438)),DePara_Categoria!$A$2:$A$9,DePara_Categoria!$B$2:$B$9,"REVISAR"))</f>
        <v>Festival</v>
      </c>
      <c r="F438" s="4" t="str">
        <f aca="false">IF($A438="","",_xlfn.XLOOKUP(LOWER(TRIM(Base_Bruta!F438)),DePara_Cidade!$A$2:$A$29,DePara_Cidade!$B$2:$B$29,"REVISAR"))</f>
        <v>São Paulo</v>
      </c>
      <c r="G438" s="4" t="str">
        <f aca="false">IF($A438="","",TRIM(Base_Bruta!G438))</f>
        <v>Inteira</v>
      </c>
      <c r="H438" s="4" t="n">
        <f aca="false">IF($A438="","",IF(ISNUMBER(Base_Bruta!H438),Base_Bruta!H438,IFERROR(_xlfn.NUMBERVALUE(TRIM(SUBSTITUTE(Base_Bruta!H438,"R$","")),",","."),0)))</f>
        <v>1</v>
      </c>
      <c r="I438" s="6" t="n">
        <f aca="false">IF($A438="","",IF(ISNUMBER(Base_Bruta!I438),Base_Bruta!I438,IFERROR(_xlfn.NUMBERVALUE(TRIM(SUBSTITUTE(Base_Bruta!I438,"R$","")),",","."),0)))</f>
        <v>955</v>
      </c>
      <c r="J438" s="6" t="n">
        <f aca="false">IF($A438="","",H438*I438)</f>
        <v>955</v>
      </c>
      <c r="K438" s="4" t="str">
        <f aca="false">IF($A438="","",TRIM(Base_Bruta!J438))</f>
        <v>App</v>
      </c>
      <c r="L438" s="4" t="str">
        <f aca="false">IF($A438="","",TRIM(Base_Bruta!K438))</f>
        <v>C01686</v>
      </c>
      <c r="M438" s="4" t="str">
        <f aca="false">IF($A438="","",_xlfn.XLOOKUP(LOWER(TRIM(Base_Bruta!L438)),DePara_Cidade!$A$2:$A$29,DePara_Cidade!$B$2:$B$29,"REVISAR"))</f>
        <v>São Paulo</v>
      </c>
      <c r="N438" s="4" t="str">
        <f aca="false">IF($A438="","",UPPER(TRIM(Base_Bruta!M438)))</f>
        <v>SP</v>
      </c>
      <c r="O438" s="4" t="str">
        <f aca="false">IF($A438="","",_xlfn.XLOOKUP(LOWER(TRIM(Base_Bruta!N438)),DePara_Pais!$A$2:$A$9,DePara_Pais!$B$2:$B$9,"REVISAR"))</f>
        <v>Brasil</v>
      </c>
      <c r="P438" s="4" t="str">
        <f aca="false">IF($A438="","",IF(O438&lt;&gt;"Brasil","Turista Internacional",IF(M438=F438,"Local","Turista Nacional")))</f>
        <v>Local</v>
      </c>
      <c r="Q438" s="7" t="n">
        <f aca="false">IF($A438="","",DATE(YEAR(B438),MONTH(B438),1))</f>
        <v>45962</v>
      </c>
      <c r="R438" s="4" t="str">
        <f aca="false">IF($A438="","",IF(COUNTIF($A$2:$A438,$A438)&gt;1,"Sim","Não"))</f>
        <v>Não</v>
      </c>
      <c r="S438" s="4" t="str">
        <f aca="false">IF(A438="","Descartar - Linha vazia",IF(R438="Sim","Descartar - Duplicado",IF(OR(H438&lt;=0,I438&lt;=0),"Descartar - Qtd/Valor inválido","OK")))</f>
        <v>OK</v>
      </c>
      <c r="T438" s="4" t="str">
        <f aca="false">Base_Bruta!P438</f>
        <v>vendas_SP.xlsx</v>
      </c>
    </row>
    <row r="439" customFormat="false" ht="15" hidden="false" customHeight="false" outlineLevel="0" collapsed="false">
      <c r="A439" s="4" t="str">
        <f aca="false">IF(Base_Bruta!A439="","",Base_Bruta!A439)</f>
        <v>SP-000182</v>
      </c>
      <c r="B439" s="5" t="n">
        <f aca="false">IF($A439="","",IF(ISNUMBER(Base_Bruta!B439),Base_Bruta!B439,IF(MID(Base_Bruta!B439,5,1)="-",DATE(VALUE(LEFT(Base_Bruta!B439,4)),VALUE(MID(Base_Bruta!B439,6,2)),VALUE(RIGHT(Base_Bruta!B439,2))),DATE(VALUE(RIGHT(Base_Bruta!B439,4)),VALUE(MID(Base_Bruta!B439,4,2)),VALUE(LEFT(Base_Bruta!B439,2))))))</f>
        <v>45970</v>
      </c>
      <c r="C439" s="5" t="n">
        <f aca="false">IF($A439="","",IF(ISNUMBER(Base_Bruta!C439),Base_Bruta!C439,IF(MID(Base_Bruta!C439,5,1)="-",DATE(VALUE(LEFT(Base_Bruta!C439,4)),VALUE(MID(Base_Bruta!C439,6,2)),VALUE(RIGHT(Base_Bruta!C439,2))),DATE(VALUE(RIGHT(Base_Bruta!C439,4)),VALUE(MID(Base_Bruta!C439,4,2)),VALUE(LEFT(Base_Bruta!C439,2))))))</f>
        <v>45976</v>
      </c>
      <c r="D439" s="4" t="str">
        <f aca="false">IF($A439="","",TRIM(Base_Bruta!D439))</f>
        <v>Festival Sonora SP 2025</v>
      </c>
      <c r="E439" s="4" t="str">
        <f aca="false">IF($A439="","",_xlfn.XLOOKUP(LOWER(TRIM(Base_Bruta!E439)),DePara_Categoria!$A$2:$A$9,DePara_Categoria!$B$2:$B$9,"REVISAR"))</f>
        <v>Festival</v>
      </c>
      <c r="F439" s="4" t="str">
        <f aca="false">IF($A439="","",_xlfn.XLOOKUP(LOWER(TRIM(Base_Bruta!F439)),DePara_Cidade!$A$2:$A$29,DePara_Cidade!$B$2:$B$29,"REVISAR"))</f>
        <v>São Paulo</v>
      </c>
      <c r="G439" s="4" t="str">
        <f aca="false">IF($A439="","",TRIM(Base_Bruta!G439))</f>
        <v>Inteira</v>
      </c>
      <c r="H439" s="4" t="n">
        <f aca="false">IF($A439="","",IF(ISNUMBER(Base_Bruta!H439),Base_Bruta!H439,IFERROR(_xlfn.NUMBERVALUE(TRIM(SUBSTITUTE(Base_Bruta!H439,"R$","")),",","."),0)))</f>
        <v>2</v>
      </c>
      <c r="I439" s="6" t="n">
        <f aca="false">IF($A439="","",IF(ISNUMBER(Base_Bruta!I439),Base_Bruta!I439,IFERROR(_xlfn.NUMBERVALUE(TRIM(SUBSTITUTE(Base_Bruta!I439,"R$","")),",","."),0)))</f>
        <v>1030</v>
      </c>
      <c r="J439" s="6" t="n">
        <f aca="false">IF($A439="","",H439*I439)</f>
        <v>2060</v>
      </c>
      <c r="K439" s="4" t="str">
        <f aca="false">IF($A439="","",TRIM(Base_Bruta!J439))</f>
        <v>Bilheteria</v>
      </c>
      <c r="L439" s="4" t="str">
        <f aca="false">IF($A439="","",TRIM(Base_Bruta!K439))</f>
        <v>C02137</v>
      </c>
      <c r="M439" s="4" t="str">
        <f aca="false">IF($A439="","",_xlfn.XLOOKUP(LOWER(TRIM(Base_Bruta!L439)),DePara_Cidade!$A$2:$A$29,DePara_Cidade!$B$2:$B$29,"REVISAR"))</f>
        <v>Buenos Aires</v>
      </c>
      <c r="N439" s="4" t="str">
        <f aca="false">IF($A439="","",UPPER(TRIM(Base_Bruta!M439)))</f>
        <v>EX</v>
      </c>
      <c r="O439" s="4" t="str">
        <f aca="false">IF($A439="","",_xlfn.XLOOKUP(LOWER(TRIM(Base_Bruta!N439)),DePara_Pais!$A$2:$A$9,DePara_Pais!$B$2:$B$9,"REVISAR"))</f>
        <v>Argentina</v>
      </c>
      <c r="P439" s="4" t="str">
        <f aca="false">IF($A439="","",IF(O439&lt;&gt;"Brasil","Turista Internacional",IF(M439=F439,"Local","Turista Nacional")))</f>
        <v>Turista Internacional</v>
      </c>
      <c r="Q439" s="7" t="n">
        <f aca="false">IF($A439="","",DATE(YEAR(B439),MONTH(B439),1))</f>
        <v>45962</v>
      </c>
      <c r="R439" s="4" t="str">
        <f aca="false">IF($A439="","",IF(COUNTIF($A$2:$A439,$A439)&gt;1,"Sim","Não"))</f>
        <v>Não</v>
      </c>
      <c r="S439" s="4" t="str">
        <f aca="false">IF(A439="","Descartar - Linha vazia",IF(R439="Sim","Descartar - Duplicado",IF(OR(H439&lt;=0,I439&lt;=0),"Descartar - Qtd/Valor inválido","OK")))</f>
        <v>OK</v>
      </c>
      <c r="T439" s="4" t="str">
        <f aca="false">Base_Bruta!P439</f>
        <v>vendas_SP.xlsx</v>
      </c>
    </row>
    <row r="440" customFormat="false" ht="15" hidden="false" customHeight="false" outlineLevel="0" collapsed="false">
      <c r="A440" s="4" t="str">
        <f aca="false">IF(Base_Bruta!A440="","",Base_Bruta!A440)</f>
        <v>SP-000206</v>
      </c>
      <c r="B440" s="5" t="n">
        <f aca="false">IF($A440="","",IF(ISNUMBER(Base_Bruta!B440),Base_Bruta!B440,IF(MID(Base_Bruta!B440,5,1)="-",DATE(VALUE(LEFT(Base_Bruta!B440,4)),VALUE(MID(Base_Bruta!B440,6,2)),VALUE(RIGHT(Base_Bruta!B440,2))),DATE(VALUE(RIGHT(Base_Bruta!B440,4)),VALUE(MID(Base_Bruta!B440,4,2)),VALUE(LEFT(Base_Bruta!B440,2))))))</f>
        <v>45970</v>
      </c>
      <c r="C440" s="5" t="n">
        <f aca="false">IF($A440="","",IF(ISNUMBER(Base_Bruta!C440),Base_Bruta!C440,IF(MID(Base_Bruta!C440,5,1)="-",DATE(VALUE(LEFT(Base_Bruta!C440,4)),VALUE(MID(Base_Bruta!C440,6,2)),VALUE(RIGHT(Base_Bruta!C440,2))),DATE(VALUE(RIGHT(Base_Bruta!C440,4)),VALUE(MID(Base_Bruta!C440,4,2)),VALUE(LEFT(Base_Bruta!C440,2))))))</f>
        <v>45976</v>
      </c>
      <c r="D440" s="4" t="str">
        <f aca="false">IF($A440="","",TRIM(Base_Bruta!D440))</f>
        <v>Festival Sonora SP 2025</v>
      </c>
      <c r="E440" s="4" t="str">
        <f aca="false">IF($A440="","",_xlfn.XLOOKUP(LOWER(TRIM(Base_Bruta!E440)),DePara_Categoria!$A$2:$A$9,DePara_Categoria!$B$2:$B$9,"REVISAR"))</f>
        <v>Festival</v>
      </c>
      <c r="F440" s="4" t="str">
        <f aca="false">IF($A440="","",_xlfn.XLOOKUP(LOWER(TRIM(Base_Bruta!F440)),DePara_Cidade!$A$2:$A$29,DePara_Cidade!$B$2:$B$29,"REVISAR"))</f>
        <v>São Paulo</v>
      </c>
      <c r="G440" s="4" t="str">
        <f aca="false">IF($A440="","",TRIM(Base_Bruta!G440))</f>
        <v>Meia</v>
      </c>
      <c r="H440" s="4" t="n">
        <f aca="false">IF($A440="","",IF(ISNUMBER(Base_Bruta!H440),Base_Bruta!H440,IFERROR(_xlfn.NUMBERVALUE(TRIM(SUBSTITUTE(Base_Bruta!H440,"R$","")),",","."),0)))</f>
        <v>4</v>
      </c>
      <c r="I440" s="6" t="n">
        <f aca="false">IF($A440="","",IF(ISNUMBER(Base_Bruta!I440),Base_Bruta!I440,IFERROR(_xlfn.NUMBERVALUE(TRIM(SUBSTITUTE(Base_Bruta!I440,"R$","")),",","."),0)))</f>
        <v>507.5</v>
      </c>
      <c r="J440" s="6" t="n">
        <f aca="false">IF($A440="","",H440*I440)</f>
        <v>2030</v>
      </c>
      <c r="K440" s="4" t="str">
        <f aca="false">IF($A440="","",TRIM(Base_Bruta!J440))</f>
        <v>App</v>
      </c>
      <c r="L440" s="4" t="str">
        <f aca="false">IF($A440="","",TRIM(Base_Bruta!K440))</f>
        <v>C00233</v>
      </c>
      <c r="M440" s="4" t="str">
        <f aca="false">IF($A440="","",_xlfn.XLOOKUP(LOWER(TRIM(Base_Bruta!L440)),DePara_Cidade!$A$2:$A$29,DePara_Cidade!$B$2:$B$29,"REVISAR"))</f>
        <v>São Paulo</v>
      </c>
      <c r="N440" s="4" t="str">
        <f aca="false">IF($A440="","",UPPER(TRIM(Base_Bruta!M440)))</f>
        <v>SP</v>
      </c>
      <c r="O440" s="4" t="str">
        <f aca="false">IF($A440="","",_xlfn.XLOOKUP(LOWER(TRIM(Base_Bruta!N440)),DePara_Pais!$A$2:$A$9,DePara_Pais!$B$2:$B$9,"REVISAR"))</f>
        <v>Brasil</v>
      </c>
      <c r="P440" s="4" t="str">
        <f aca="false">IF($A440="","",IF(O440&lt;&gt;"Brasil","Turista Internacional",IF(M440=F440,"Local","Turista Nacional")))</f>
        <v>Local</v>
      </c>
      <c r="Q440" s="7" t="n">
        <f aca="false">IF($A440="","",DATE(YEAR(B440),MONTH(B440),1))</f>
        <v>45962</v>
      </c>
      <c r="R440" s="4" t="str">
        <f aca="false">IF($A440="","",IF(COUNTIF($A$2:$A440,$A440)&gt;1,"Sim","Não"))</f>
        <v>Não</v>
      </c>
      <c r="S440" s="4" t="str">
        <f aca="false">IF(A440="","Descartar - Linha vazia",IF(R440="Sim","Descartar - Duplicado",IF(OR(H440&lt;=0,I440&lt;=0),"Descartar - Qtd/Valor inválido","OK")))</f>
        <v>OK</v>
      </c>
      <c r="T440" s="4" t="str">
        <f aca="false">Base_Bruta!P440</f>
        <v>vendas_SP.xlsx</v>
      </c>
    </row>
    <row r="441" customFormat="false" ht="15" hidden="false" customHeight="false" outlineLevel="0" collapsed="false">
      <c r="A441" s="4" t="str">
        <f aca="false">IF(Base_Bruta!A441="","",Base_Bruta!A441)</f>
        <v>SP-000015</v>
      </c>
      <c r="B441" s="5" t="n">
        <f aca="false">IF($A441="","",IF(ISNUMBER(Base_Bruta!B441),Base_Bruta!B441,IF(MID(Base_Bruta!B441,5,1)="-",DATE(VALUE(LEFT(Base_Bruta!B441,4)),VALUE(MID(Base_Bruta!B441,6,2)),VALUE(RIGHT(Base_Bruta!B441,2))),DATE(VALUE(RIGHT(Base_Bruta!B441,4)),VALUE(MID(Base_Bruta!B441,4,2)),VALUE(LEFT(Base_Bruta!B441,2))))))</f>
        <v>45971</v>
      </c>
      <c r="C441" s="5" t="n">
        <f aca="false">IF($A441="","",IF(ISNUMBER(Base_Bruta!C441),Base_Bruta!C441,IF(MID(Base_Bruta!C441,5,1)="-",DATE(VALUE(LEFT(Base_Bruta!C441,4)),VALUE(MID(Base_Bruta!C441,6,2)),VALUE(RIGHT(Base_Bruta!C441,2))),DATE(VALUE(RIGHT(Base_Bruta!C441,4)),VALUE(MID(Base_Bruta!C441,4,2)),VALUE(LEFT(Base_Bruta!C441,2))))))</f>
        <v>45976</v>
      </c>
      <c r="D441" s="4" t="str">
        <f aca="false">IF($A441="","",TRIM(Base_Bruta!D441))</f>
        <v>Festival Sonora SP 2025</v>
      </c>
      <c r="E441" s="4" t="str">
        <f aca="false">IF($A441="","",_xlfn.XLOOKUP(LOWER(TRIM(Base_Bruta!E441)),DePara_Categoria!$A$2:$A$9,DePara_Categoria!$B$2:$B$9,"REVISAR"))</f>
        <v>Festival</v>
      </c>
      <c r="F441" s="4" t="str">
        <f aca="false">IF($A441="","",_xlfn.XLOOKUP(LOWER(TRIM(Base_Bruta!F441)),DePara_Cidade!$A$2:$A$29,DePara_Cidade!$B$2:$B$29,"REVISAR"))</f>
        <v>São Paulo</v>
      </c>
      <c r="G441" s="4" t="str">
        <f aca="false">IF($A441="","",TRIM(Base_Bruta!G441))</f>
        <v>Meia</v>
      </c>
      <c r="H441" s="4" t="n">
        <f aca="false">IF($A441="","",IF(ISNUMBER(Base_Bruta!H441),Base_Bruta!H441,IFERROR(_xlfn.NUMBERVALUE(TRIM(SUBSTITUTE(Base_Bruta!H441,"R$","")),",","."),0)))</f>
        <v>2</v>
      </c>
      <c r="I441" s="6" t="n">
        <f aca="false">IF($A441="","",IF(ISNUMBER(Base_Bruta!I441),Base_Bruta!I441,IFERROR(_xlfn.NUMBERVALUE(TRIM(SUBSTITUTE(Base_Bruta!I441,"R$","")),",","."),0)))</f>
        <v>447.5</v>
      </c>
      <c r="J441" s="6" t="n">
        <f aca="false">IF($A441="","",H441*I441)</f>
        <v>895</v>
      </c>
      <c r="K441" s="4" t="str">
        <f aca="false">IF($A441="","",TRIM(Base_Bruta!J441))</f>
        <v>Bilheteria</v>
      </c>
      <c r="L441" s="4" t="str">
        <f aca="false">IF($A441="","",TRIM(Base_Bruta!K441))</f>
        <v>C01642</v>
      </c>
      <c r="M441" s="4" t="str">
        <f aca="false">IF($A441="","",_xlfn.XLOOKUP(LOWER(TRIM(Base_Bruta!L441)),DePara_Cidade!$A$2:$A$29,DePara_Cidade!$B$2:$B$29,"REVISAR"))</f>
        <v>Florianópolis</v>
      </c>
      <c r="N441" s="4" t="str">
        <f aca="false">IF($A441="","",UPPER(TRIM(Base_Bruta!M441)))</f>
        <v>SC</v>
      </c>
      <c r="O441" s="4" t="str">
        <f aca="false">IF($A441="","",_xlfn.XLOOKUP(LOWER(TRIM(Base_Bruta!N441)),DePara_Pais!$A$2:$A$9,DePara_Pais!$B$2:$B$9,"REVISAR"))</f>
        <v>Brasil</v>
      </c>
      <c r="P441" s="4" t="str">
        <f aca="false">IF($A441="","",IF(O441&lt;&gt;"Brasil","Turista Internacional",IF(M441=F441,"Local","Turista Nacional")))</f>
        <v>Turista Nacional</v>
      </c>
      <c r="Q441" s="7" t="n">
        <f aca="false">IF($A441="","",DATE(YEAR(B441),MONTH(B441),1))</f>
        <v>45962</v>
      </c>
      <c r="R441" s="4" t="str">
        <f aca="false">IF($A441="","",IF(COUNTIF($A$2:$A441,$A441)&gt;1,"Sim","Não"))</f>
        <v>Não</v>
      </c>
      <c r="S441" s="4" t="str">
        <f aca="false">IF(A441="","Descartar - Linha vazia",IF(R441="Sim","Descartar - Duplicado",IF(OR(H441&lt;=0,I441&lt;=0),"Descartar - Qtd/Valor inválido","OK")))</f>
        <v>OK</v>
      </c>
      <c r="T441" s="4" t="str">
        <f aca="false">Base_Bruta!P441</f>
        <v>vendas_SP.xlsx</v>
      </c>
    </row>
    <row r="442" customFormat="false" ht="15" hidden="false" customHeight="false" outlineLevel="0" collapsed="false">
      <c r="A442" s="4" t="str">
        <f aca="false">IF(Base_Bruta!A442="","",Base_Bruta!A442)</f>
        <v>SP-000089</v>
      </c>
      <c r="B442" s="5" t="n">
        <f aca="false">IF($A442="","",IF(ISNUMBER(Base_Bruta!B442),Base_Bruta!B442,IF(MID(Base_Bruta!B442,5,1)="-",DATE(VALUE(LEFT(Base_Bruta!B442,4)),VALUE(MID(Base_Bruta!B442,6,2)),VALUE(RIGHT(Base_Bruta!B442,2))),DATE(VALUE(RIGHT(Base_Bruta!B442,4)),VALUE(MID(Base_Bruta!B442,4,2)),VALUE(LEFT(Base_Bruta!B442,2))))))</f>
        <v>45971</v>
      </c>
      <c r="C442" s="5" t="n">
        <f aca="false">IF($A442="","",IF(ISNUMBER(Base_Bruta!C442),Base_Bruta!C442,IF(MID(Base_Bruta!C442,5,1)="-",DATE(VALUE(LEFT(Base_Bruta!C442,4)),VALUE(MID(Base_Bruta!C442,6,2)),VALUE(RIGHT(Base_Bruta!C442,2))),DATE(VALUE(RIGHT(Base_Bruta!C442,4)),VALUE(MID(Base_Bruta!C442,4,2)),VALUE(LEFT(Base_Bruta!C442,2))))))</f>
        <v>45976</v>
      </c>
      <c r="D442" s="4" t="str">
        <f aca="false">IF($A442="","",TRIM(Base_Bruta!D442))</f>
        <v>Festival Sonora SP 2025</v>
      </c>
      <c r="E442" s="4" t="str">
        <f aca="false">IF($A442="","",_xlfn.XLOOKUP(LOWER(TRIM(Base_Bruta!E442)),DePara_Categoria!$A$2:$A$9,DePara_Categoria!$B$2:$B$9,"REVISAR"))</f>
        <v>Festival</v>
      </c>
      <c r="F442" s="4" t="str">
        <f aca="false">IF($A442="","",_xlfn.XLOOKUP(LOWER(TRIM(Base_Bruta!F442)),DePara_Cidade!$A$2:$A$29,DePara_Cidade!$B$2:$B$29,"REVISAR"))</f>
        <v>São Paulo</v>
      </c>
      <c r="G442" s="4" t="str">
        <f aca="false">IF($A442="","",TRIM(Base_Bruta!G442))</f>
        <v>Meia</v>
      </c>
      <c r="H442" s="4" t="n">
        <f aca="false">IF($A442="","",IF(ISNUMBER(Base_Bruta!H442),Base_Bruta!H442,IFERROR(_xlfn.NUMBERVALUE(TRIM(SUBSTITUTE(Base_Bruta!H442,"R$","")),",","."),0)))</f>
        <v>1</v>
      </c>
      <c r="I442" s="6" t="n">
        <f aca="false">IF($A442="","",IF(ISNUMBER(Base_Bruta!I442),Base_Bruta!I442,IFERROR(_xlfn.NUMBERVALUE(TRIM(SUBSTITUTE(Base_Bruta!I442,"R$","")),",","."),0)))</f>
        <v>435</v>
      </c>
      <c r="J442" s="6" t="n">
        <f aca="false">IF($A442="","",H442*I442)</f>
        <v>435</v>
      </c>
      <c r="K442" s="4" t="str">
        <f aca="false">IF($A442="","",TRIM(Base_Bruta!J442))</f>
        <v>App</v>
      </c>
      <c r="L442" s="4" t="str">
        <f aca="false">IF($A442="","",TRIM(Base_Bruta!K442))</f>
        <v>C02185</v>
      </c>
      <c r="M442" s="4" t="str">
        <f aca="false">IF($A442="","",_xlfn.XLOOKUP(LOWER(TRIM(Base_Bruta!L442)),DePara_Cidade!$A$2:$A$29,DePara_Cidade!$B$2:$B$29,"REVISAR"))</f>
        <v>Salvador</v>
      </c>
      <c r="N442" s="4" t="str">
        <f aca="false">IF($A442="","",UPPER(TRIM(Base_Bruta!M442)))</f>
        <v>BA</v>
      </c>
      <c r="O442" s="4" t="str">
        <f aca="false">IF($A442="","",_xlfn.XLOOKUP(LOWER(TRIM(Base_Bruta!N442)),DePara_Pais!$A$2:$A$9,DePara_Pais!$B$2:$B$9,"REVISAR"))</f>
        <v>Brasil</v>
      </c>
      <c r="P442" s="4" t="str">
        <f aca="false">IF($A442="","",IF(O442&lt;&gt;"Brasil","Turista Internacional",IF(M442=F442,"Local","Turista Nacional")))</f>
        <v>Turista Nacional</v>
      </c>
      <c r="Q442" s="7" t="n">
        <f aca="false">IF($A442="","",DATE(YEAR(B442),MONTH(B442),1))</f>
        <v>45962</v>
      </c>
      <c r="R442" s="4" t="str">
        <f aca="false">IF($A442="","",IF(COUNTIF($A$2:$A442,$A442)&gt;1,"Sim","Não"))</f>
        <v>Não</v>
      </c>
      <c r="S442" s="4" t="str">
        <f aca="false">IF(A442="","Descartar - Linha vazia",IF(R442="Sim","Descartar - Duplicado",IF(OR(H442&lt;=0,I442&lt;=0),"Descartar - Qtd/Valor inválido","OK")))</f>
        <v>OK</v>
      </c>
      <c r="T442" s="4" t="str">
        <f aca="false">Base_Bruta!P442</f>
        <v>vendas_SP.xlsx</v>
      </c>
    </row>
    <row r="443" customFormat="false" ht="15" hidden="false" customHeight="false" outlineLevel="0" collapsed="false">
      <c r="A443" s="4" t="str">
        <f aca="false">IF(Base_Bruta!A443="","",Base_Bruta!A443)</f>
        <v>SP-000092</v>
      </c>
      <c r="B443" s="5" t="n">
        <f aca="false">IF($A443="","",IF(ISNUMBER(Base_Bruta!B443),Base_Bruta!B443,IF(MID(Base_Bruta!B443,5,1)="-",DATE(VALUE(LEFT(Base_Bruta!B443,4)),VALUE(MID(Base_Bruta!B443,6,2)),VALUE(RIGHT(Base_Bruta!B443,2))),DATE(VALUE(RIGHT(Base_Bruta!B443,4)),VALUE(MID(Base_Bruta!B443,4,2)),VALUE(LEFT(Base_Bruta!B443,2))))))</f>
        <v>45971</v>
      </c>
      <c r="C443" s="5" t="n">
        <f aca="false">IF($A443="","",IF(ISNUMBER(Base_Bruta!C443),Base_Bruta!C443,IF(MID(Base_Bruta!C443,5,1)="-",DATE(VALUE(LEFT(Base_Bruta!C443,4)),VALUE(MID(Base_Bruta!C443,6,2)),VALUE(RIGHT(Base_Bruta!C443,2))),DATE(VALUE(RIGHT(Base_Bruta!C443,4)),VALUE(MID(Base_Bruta!C443,4,2)),VALUE(LEFT(Base_Bruta!C443,2))))))</f>
        <v>45976</v>
      </c>
      <c r="D443" s="4" t="str">
        <f aca="false">IF($A443="","",TRIM(Base_Bruta!D443))</f>
        <v>Festival Sonora SP 2025</v>
      </c>
      <c r="E443" s="4" t="str">
        <f aca="false">IF($A443="","",_xlfn.XLOOKUP(LOWER(TRIM(Base_Bruta!E443)),DePara_Categoria!$A$2:$A$9,DePara_Categoria!$B$2:$B$9,"REVISAR"))</f>
        <v>Festival</v>
      </c>
      <c r="F443" s="4" t="str">
        <f aca="false">IF($A443="","",_xlfn.XLOOKUP(LOWER(TRIM(Base_Bruta!F443)),DePara_Cidade!$A$2:$A$29,DePara_Cidade!$B$2:$B$29,"REVISAR"))</f>
        <v>São Paulo</v>
      </c>
      <c r="G443" s="4" t="str">
        <f aca="false">IF($A443="","",TRIM(Base_Bruta!G443))</f>
        <v>Inteira</v>
      </c>
      <c r="H443" s="4" t="n">
        <f aca="false">IF($A443="","",IF(ISNUMBER(Base_Bruta!H443),Base_Bruta!H443,IFERROR(_xlfn.NUMBERVALUE(TRIM(SUBSTITUTE(Base_Bruta!H443,"R$","")),",","."),0)))</f>
        <v>2</v>
      </c>
      <c r="I443" s="6" t="n">
        <f aca="false">IF($A443="","",IF(ISNUMBER(Base_Bruta!I443),Base_Bruta!I443,IFERROR(_xlfn.NUMBERVALUE(TRIM(SUBSTITUTE(Base_Bruta!I443,"R$","")),",","."),0)))</f>
        <v>675</v>
      </c>
      <c r="J443" s="6" t="n">
        <f aca="false">IF($A443="","",H443*I443)</f>
        <v>1350</v>
      </c>
      <c r="K443" s="4" t="str">
        <f aca="false">IF($A443="","",TRIM(Base_Bruta!J443))</f>
        <v>Site</v>
      </c>
      <c r="L443" s="4" t="str">
        <f aca="false">IF($A443="","",TRIM(Base_Bruta!K443))</f>
        <v>C00895</v>
      </c>
      <c r="M443" s="4" t="str">
        <f aca="false">IF($A443="","",_xlfn.XLOOKUP(LOWER(TRIM(Base_Bruta!L443)),DePara_Cidade!$A$2:$A$29,DePara_Cidade!$B$2:$B$29,"REVISAR"))</f>
        <v>Florianópolis</v>
      </c>
      <c r="N443" s="4" t="str">
        <f aca="false">IF($A443="","",UPPER(TRIM(Base_Bruta!M443)))</f>
        <v>SC</v>
      </c>
      <c r="O443" s="4" t="str">
        <f aca="false">IF($A443="","",_xlfn.XLOOKUP(LOWER(TRIM(Base_Bruta!N443)),DePara_Pais!$A$2:$A$9,DePara_Pais!$B$2:$B$9,"REVISAR"))</f>
        <v>Brasil</v>
      </c>
      <c r="P443" s="4" t="str">
        <f aca="false">IF($A443="","",IF(O443&lt;&gt;"Brasil","Turista Internacional",IF(M443=F443,"Local","Turista Nacional")))</f>
        <v>Turista Nacional</v>
      </c>
      <c r="Q443" s="7" t="n">
        <f aca="false">IF($A443="","",DATE(YEAR(B443),MONTH(B443),1))</f>
        <v>45962</v>
      </c>
      <c r="R443" s="4" t="str">
        <f aca="false">IF($A443="","",IF(COUNTIF($A$2:$A443,$A443)&gt;1,"Sim","Não"))</f>
        <v>Não</v>
      </c>
      <c r="S443" s="4" t="str">
        <f aca="false">IF(A443="","Descartar - Linha vazia",IF(R443="Sim","Descartar - Duplicado",IF(OR(H443&lt;=0,I443&lt;=0),"Descartar - Qtd/Valor inválido","OK")))</f>
        <v>OK</v>
      </c>
      <c r="T443" s="4" t="str">
        <f aca="false">Base_Bruta!P443</f>
        <v>vendas_SP.xlsx</v>
      </c>
    </row>
    <row r="444" customFormat="false" ht="15" hidden="false" customHeight="false" outlineLevel="0" collapsed="false">
      <c r="A444" s="4" t="str">
        <f aca="false">IF(Base_Bruta!A444="","",Base_Bruta!A444)</f>
        <v>SP-000099</v>
      </c>
      <c r="B444" s="5" t="n">
        <f aca="false">IF($A444="","",IF(ISNUMBER(Base_Bruta!B444),Base_Bruta!B444,IF(MID(Base_Bruta!B444,5,1)="-",DATE(VALUE(LEFT(Base_Bruta!B444,4)),VALUE(MID(Base_Bruta!B444,6,2)),VALUE(RIGHT(Base_Bruta!B444,2))),DATE(VALUE(RIGHT(Base_Bruta!B444,4)),VALUE(MID(Base_Bruta!B444,4,2)),VALUE(LEFT(Base_Bruta!B444,2))))))</f>
        <v>45971</v>
      </c>
      <c r="C444" s="5" t="n">
        <f aca="false">IF($A444="","",IF(ISNUMBER(Base_Bruta!C444),Base_Bruta!C444,IF(MID(Base_Bruta!C444,5,1)="-",DATE(VALUE(LEFT(Base_Bruta!C444,4)),VALUE(MID(Base_Bruta!C444,6,2)),VALUE(RIGHT(Base_Bruta!C444,2))),DATE(VALUE(RIGHT(Base_Bruta!C444,4)),VALUE(MID(Base_Bruta!C444,4,2)),VALUE(LEFT(Base_Bruta!C444,2))))))</f>
        <v>45976</v>
      </c>
      <c r="D444" s="4" t="str">
        <f aca="false">IF($A444="","",TRIM(Base_Bruta!D444))</f>
        <v>Festival Sonora SP 2025</v>
      </c>
      <c r="E444" s="4" t="str">
        <f aca="false">IF($A444="","",_xlfn.XLOOKUP(LOWER(TRIM(Base_Bruta!E444)),DePara_Categoria!$A$2:$A$9,DePara_Categoria!$B$2:$B$9,"REVISAR"))</f>
        <v>Festival</v>
      </c>
      <c r="F444" s="4" t="str">
        <f aca="false">IF($A444="","",_xlfn.XLOOKUP(LOWER(TRIM(Base_Bruta!F444)),DePara_Cidade!$A$2:$A$29,DePara_Cidade!$B$2:$B$29,"REVISAR"))</f>
        <v>São Paulo</v>
      </c>
      <c r="G444" s="4" t="str">
        <f aca="false">IF($A444="","",TRIM(Base_Bruta!G444))</f>
        <v>VIP</v>
      </c>
      <c r="H444" s="4" t="n">
        <f aca="false">IF($A444="","",IF(ISNUMBER(Base_Bruta!H444),Base_Bruta!H444,IFERROR(_xlfn.NUMBERVALUE(TRIM(SUBSTITUTE(Base_Bruta!H444,"R$","")),",","."),0)))</f>
        <v>1</v>
      </c>
      <c r="I444" s="6" t="n">
        <f aca="false">IF($A444="","",IF(ISNUMBER(Base_Bruta!I444),Base_Bruta!I444,IFERROR(_xlfn.NUMBERVALUE(TRIM(SUBSTITUTE(Base_Bruta!I444,"R$","")),",","."),0)))</f>
        <v>1520</v>
      </c>
      <c r="J444" s="6" t="n">
        <f aca="false">IF($A444="","",H444*I444)</f>
        <v>1520</v>
      </c>
      <c r="K444" s="4" t="str">
        <f aca="false">IF($A444="","",TRIM(Base_Bruta!J444))</f>
        <v>Site</v>
      </c>
      <c r="L444" s="4" t="str">
        <f aca="false">IF($A444="","",TRIM(Base_Bruta!K444))</f>
        <v>C00976</v>
      </c>
      <c r="M444" s="4" t="str">
        <f aca="false">IF($A444="","",_xlfn.XLOOKUP(LOWER(TRIM(Base_Bruta!L444)),DePara_Cidade!$A$2:$A$29,DePara_Cidade!$B$2:$B$29,"REVISAR"))</f>
        <v>São Paulo</v>
      </c>
      <c r="N444" s="4" t="str">
        <f aca="false">IF($A444="","",UPPER(TRIM(Base_Bruta!M444)))</f>
        <v>SP</v>
      </c>
      <c r="O444" s="4" t="str">
        <f aca="false">IF($A444="","",_xlfn.XLOOKUP(LOWER(TRIM(Base_Bruta!N444)),DePara_Pais!$A$2:$A$9,DePara_Pais!$B$2:$B$9,"REVISAR"))</f>
        <v>Brasil</v>
      </c>
      <c r="P444" s="4" t="str">
        <f aca="false">IF($A444="","",IF(O444&lt;&gt;"Brasil","Turista Internacional",IF(M444=F444,"Local","Turista Nacional")))</f>
        <v>Local</v>
      </c>
      <c r="Q444" s="7" t="n">
        <f aca="false">IF($A444="","",DATE(YEAR(B444),MONTH(B444),1))</f>
        <v>45962</v>
      </c>
      <c r="R444" s="4" t="str">
        <f aca="false">IF($A444="","",IF(COUNTIF($A$2:$A444,$A444)&gt;1,"Sim","Não"))</f>
        <v>Não</v>
      </c>
      <c r="S444" s="4" t="str">
        <f aca="false">IF(A444="","Descartar - Linha vazia",IF(R444="Sim","Descartar - Duplicado",IF(OR(H444&lt;=0,I444&lt;=0),"Descartar - Qtd/Valor inválido","OK")))</f>
        <v>OK</v>
      </c>
      <c r="T444" s="4" t="str">
        <f aca="false">Base_Bruta!P444</f>
        <v>vendas_SP.xlsx</v>
      </c>
    </row>
    <row r="445" customFormat="false" ht="15" hidden="false" customHeight="false" outlineLevel="0" collapsed="false">
      <c r="A445" s="4" t="str">
        <f aca="false">IF(Base_Bruta!A445="","",Base_Bruta!A445)</f>
        <v>SP-000117</v>
      </c>
      <c r="B445" s="5" t="n">
        <f aca="false">IF($A445="","",IF(ISNUMBER(Base_Bruta!B445),Base_Bruta!B445,IF(MID(Base_Bruta!B445,5,1)="-",DATE(VALUE(LEFT(Base_Bruta!B445,4)),VALUE(MID(Base_Bruta!B445,6,2)),VALUE(RIGHT(Base_Bruta!B445,2))),DATE(VALUE(RIGHT(Base_Bruta!B445,4)),VALUE(MID(Base_Bruta!B445,4,2)),VALUE(LEFT(Base_Bruta!B445,2))))))</f>
        <v>45971</v>
      </c>
      <c r="C445" s="5" t="n">
        <f aca="false">IF($A445="","",IF(ISNUMBER(Base_Bruta!C445),Base_Bruta!C445,IF(MID(Base_Bruta!C445,5,1)="-",DATE(VALUE(LEFT(Base_Bruta!C445,4)),VALUE(MID(Base_Bruta!C445,6,2)),VALUE(RIGHT(Base_Bruta!C445,2))),DATE(VALUE(RIGHT(Base_Bruta!C445,4)),VALUE(MID(Base_Bruta!C445,4,2)),VALUE(LEFT(Base_Bruta!C445,2))))))</f>
        <v>45976</v>
      </c>
      <c r="D445" s="4" t="str">
        <f aca="false">IF($A445="","",TRIM(Base_Bruta!D445))</f>
        <v>Festival Sonora SP 2025</v>
      </c>
      <c r="E445" s="4" t="str">
        <f aca="false">IF($A445="","",_xlfn.XLOOKUP(LOWER(TRIM(Base_Bruta!E445)),DePara_Categoria!$A$2:$A$9,DePara_Categoria!$B$2:$B$9,"REVISAR"))</f>
        <v>Festival</v>
      </c>
      <c r="F445" s="4" t="str">
        <f aca="false">IF($A445="","",_xlfn.XLOOKUP(LOWER(TRIM(Base_Bruta!F445)),DePara_Cidade!$A$2:$A$29,DePara_Cidade!$B$2:$B$29,"REVISAR"))</f>
        <v>São Paulo</v>
      </c>
      <c r="G445" s="4" t="str">
        <f aca="false">IF($A445="","",TRIM(Base_Bruta!G445))</f>
        <v>VIP</v>
      </c>
      <c r="H445" s="4" t="n">
        <f aca="false">IF($A445="","",IF(ISNUMBER(Base_Bruta!H445),Base_Bruta!H445,IFERROR(_xlfn.NUMBERVALUE(TRIM(SUBSTITUTE(Base_Bruta!H445,"R$","")),",","."),0)))</f>
        <v>2</v>
      </c>
      <c r="I445" s="6" t="n">
        <f aca="false">IF($A445="","",IF(ISNUMBER(Base_Bruta!I445),Base_Bruta!I445,IFERROR(_xlfn.NUMBERVALUE(TRIM(SUBSTITUTE(Base_Bruta!I445,"R$","")),",","."),0)))</f>
        <v>1320</v>
      </c>
      <c r="J445" s="6" t="n">
        <f aca="false">IF($A445="","",H445*I445)</f>
        <v>2640</v>
      </c>
      <c r="K445" s="4" t="str">
        <f aca="false">IF($A445="","",TRIM(Base_Bruta!J445))</f>
        <v>Site</v>
      </c>
      <c r="L445" s="4" t="str">
        <f aca="false">IF($A445="","",TRIM(Base_Bruta!K445))</f>
        <v>C02416</v>
      </c>
      <c r="M445" s="4" t="str">
        <f aca="false">IF($A445="","",_xlfn.XLOOKUP(LOWER(TRIM(Base_Bruta!L445)),DePara_Cidade!$A$2:$A$29,DePara_Cidade!$B$2:$B$29,"REVISAR"))</f>
        <v>Salvador</v>
      </c>
      <c r="N445" s="4" t="str">
        <f aca="false">IF($A445="","",UPPER(TRIM(Base_Bruta!M445)))</f>
        <v>BA</v>
      </c>
      <c r="O445" s="4" t="str">
        <f aca="false">IF($A445="","",_xlfn.XLOOKUP(LOWER(TRIM(Base_Bruta!N445)),DePara_Pais!$A$2:$A$9,DePara_Pais!$B$2:$B$9,"REVISAR"))</f>
        <v>Brasil</v>
      </c>
      <c r="P445" s="4" t="str">
        <f aca="false">IF($A445="","",IF(O445&lt;&gt;"Brasil","Turista Internacional",IF(M445=F445,"Local","Turista Nacional")))</f>
        <v>Turista Nacional</v>
      </c>
      <c r="Q445" s="7" t="n">
        <f aca="false">IF($A445="","",DATE(YEAR(B445),MONTH(B445),1))</f>
        <v>45962</v>
      </c>
      <c r="R445" s="4" t="str">
        <f aca="false">IF($A445="","",IF(COUNTIF($A$2:$A445,$A445)&gt;1,"Sim","Não"))</f>
        <v>Não</v>
      </c>
      <c r="S445" s="4" t="str">
        <f aca="false">IF(A445="","Descartar - Linha vazia",IF(R445="Sim","Descartar - Duplicado",IF(OR(H445&lt;=0,I445&lt;=0),"Descartar - Qtd/Valor inválido","OK")))</f>
        <v>OK</v>
      </c>
      <c r="T445" s="4" t="str">
        <f aca="false">Base_Bruta!P445</f>
        <v>vendas_SP.xlsx</v>
      </c>
    </row>
    <row r="446" customFormat="false" ht="15" hidden="false" customHeight="false" outlineLevel="0" collapsed="false">
      <c r="A446" s="4" t="str">
        <f aca="false">IF(Base_Bruta!A446="","",Base_Bruta!A446)</f>
        <v>SP-000148</v>
      </c>
      <c r="B446" s="5" t="n">
        <f aca="false">IF($A446="","",IF(ISNUMBER(Base_Bruta!B446),Base_Bruta!B446,IF(MID(Base_Bruta!B446,5,1)="-",DATE(VALUE(LEFT(Base_Bruta!B446,4)),VALUE(MID(Base_Bruta!B446,6,2)),VALUE(RIGHT(Base_Bruta!B446,2))),DATE(VALUE(RIGHT(Base_Bruta!B446,4)),VALUE(MID(Base_Bruta!B446,4,2)),VALUE(LEFT(Base_Bruta!B446,2))))))</f>
        <v>45971</v>
      </c>
      <c r="C446" s="5" t="n">
        <f aca="false">IF($A446="","",IF(ISNUMBER(Base_Bruta!C446),Base_Bruta!C446,IF(MID(Base_Bruta!C446,5,1)="-",DATE(VALUE(LEFT(Base_Bruta!C446,4)),VALUE(MID(Base_Bruta!C446,6,2)),VALUE(RIGHT(Base_Bruta!C446,2))),DATE(VALUE(RIGHT(Base_Bruta!C446,4)),VALUE(MID(Base_Bruta!C446,4,2)),VALUE(LEFT(Base_Bruta!C446,2))))))</f>
        <v>45976</v>
      </c>
      <c r="D446" s="4" t="str">
        <f aca="false">IF($A446="","",TRIM(Base_Bruta!D446))</f>
        <v>Festival Sonora SP 2025</v>
      </c>
      <c r="E446" s="4" t="str">
        <f aca="false">IF($A446="","",_xlfn.XLOOKUP(LOWER(TRIM(Base_Bruta!E446)),DePara_Categoria!$A$2:$A$9,DePara_Categoria!$B$2:$B$9,"REVISAR"))</f>
        <v>Festival</v>
      </c>
      <c r="F446" s="4" t="str">
        <f aca="false">IF($A446="","",_xlfn.XLOOKUP(LOWER(TRIM(Base_Bruta!F446)),DePara_Cidade!$A$2:$A$29,DePara_Cidade!$B$2:$B$29,"REVISAR"))</f>
        <v>São Paulo</v>
      </c>
      <c r="G446" s="4" t="str">
        <f aca="false">IF($A446="","",TRIM(Base_Bruta!G446))</f>
        <v>Inteira</v>
      </c>
      <c r="H446" s="4" t="n">
        <f aca="false">IF($A446="","",IF(ISNUMBER(Base_Bruta!H446),Base_Bruta!H446,IFERROR(_xlfn.NUMBERVALUE(TRIM(SUBSTITUTE(Base_Bruta!H446,"R$","")),",","."),0)))</f>
        <v>2</v>
      </c>
      <c r="I446" s="6" t="n">
        <f aca="false">IF($A446="","",IF(ISNUMBER(Base_Bruta!I446),Base_Bruta!I446,IFERROR(_xlfn.NUMBERVALUE(TRIM(SUBSTITUTE(Base_Bruta!I446,"R$","")),",","."),0)))</f>
        <v>945</v>
      </c>
      <c r="J446" s="6" t="n">
        <f aca="false">IF($A446="","",H446*I446)</f>
        <v>1890</v>
      </c>
      <c r="K446" s="4" t="str">
        <f aca="false">IF($A446="","",TRIM(Base_Bruta!J446))</f>
        <v>Site</v>
      </c>
      <c r="L446" s="4" t="str">
        <f aca="false">IF($A446="","",TRIM(Base_Bruta!K446))</f>
        <v>C00146</v>
      </c>
      <c r="M446" s="4" t="str">
        <f aca="false">IF($A446="","",_xlfn.XLOOKUP(LOWER(TRIM(Base_Bruta!L446)),DePara_Cidade!$A$2:$A$29,DePara_Cidade!$B$2:$B$29,"REVISAR"))</f>
        <v>Santos</v>
      </c>
      <c r="N446" s="4" t="str">
        <f aca="false">IF($A446="","",UPPER(TRIM(Base_Bruta!M446)))</f>
        <v>SP</v>
      </c>
      <c r="O446" s="4" t="str">
        <f aca="false">IF($A446="","",_xlfn.XLOOKUP(LOWER(TRIM(Base_Bruta!N446)),DePara_Pais!$A$2:$A$9,DePara_Pais!$B$2:$B$9,"REVISAR"))</f>
        <v>Brasil</v>
      </c>
      <c r="P446" s="4" t="str">
        <f aca="false">IF($A446="","",IF(O446&lt;&gt;"Brasil","Turista Internacional",IF(M446=F446,"Local","Turista Nacional")))</f>
        <v>Turista Nacional</v>
      </c>
      <c r="Q446" s="7" t="n">
        <f aca="false">IF($A446="","",DATE(YEAR(B446),MONTH(B446),1))</f>
        <v>45962</v>
      </c>
      <c r="R446" s="4" t="str">
        <f aca="false">IF($A446="","",IF(COUNTIF($A$2:$A446,$A446)&gt;1,"Sim","Não"))</f>
        <v>Não</v>
      </c>
      <c r="S446" s="4" t="str">
        <f aca="false">IF(A446="","Descartar - Linha vazia",IF(R446="Sim","Descartar - Duplicado",IF(OR(H446&lt;=0,I446&lt;=0),"Descartar - Qtd/Valor inválido","OK")))</f>
        <v>OK</v>
      </c>
      <c r="T446" s="4" t="str">
        <f aca="false">Base_Bruta!P446</f>
        <v>vendas_SP.xlsx</v>
      </c>
    </row>
    <row r="447" customFormat="false" ht="15" hidden="false" customHeight="false" outlineLevel="0" collapsed="false">
      <c r="A447" s="4" t="str">
        <f aca="false">IF(Base_Bruta!A447="","",Base_Bruta!A447)</f>
        <v>SP-000209</v>
      </c>
      <c r="B447" s="5" t="n">
        <f aca="false">IF($A447="","",IF(ISNUMBER(Base_Bruta!B447),Base_Bruta!B447,IF(MID(Base_Bruta!B447,5,1)="-",DATE(VALUE(LEFT(Base_Bruta!B447,4)),VALUE(MID(Base_Bruta!B447,6,2)),VALUE(RIGHT(Base_Bruta!B447,2))),DATE(VALUE(RIGHT(Base_Bruta!B447,4)),VALUE(MID(Base_Bruta!B447,4,2)),VALUE(LEFT(Base_Bruta!B447,2))))))</f>
        <v>45971</v>
      </c>
      <c r="C447" s="5" t="n">
        <f aca="false">IF($A447="","",IF(ISNUMBER(Base_Bruta!C447),Base_Bruta!C447,IF(MID(Base_Bruta!C447,5,1)="-",DATE(VALUE(LEFT(Base_Bruta!C447,4)),VALUE(MID(Base_Bruta!C447,6,2)),VALUE(RIGHT(Base_Bruta!C447,2))),DATE(VALUE(RIGHT(Base_Bruta!C447,4)),VALUE(MID(Base_Bruta!C447,4,2)),VALUE(LEFT(Base_Bruta!C447,2))))))</f>
        <v>45976</v>
      </c>
      <c r="D447" s="4" t="str">
        <f aca="false">IF($A447="","",TRIM(Base_Bruta!D447))</f>
        <v>Festival Sonora SP 2025</v>
      </c>
      <c r="E447" s="4" t="str">
        <f aca="false">IF($A447="","",_xlfn.XLOOKUP(LOWER(TRIM(Base_Bruta!E447)),DePara_Categoria!$A$2:$A$9,DePara_Categoria!$B$2:$B$9,"REVISAR"))</f>
        <v>Festival</v>
      </c>
      <c r="F447" s="4" t="str">
        <f aca="false">IF($A447="","",_xlfn.XLOOKUP(LOWER(TRIM(Base_Bruta!F447)),DePara_Cidade!$A$2:$A$29,DePara_Cidade!$B$2:$B$29,"REVISAR"))</f>
        <v>São Paulo</v>
      </c>
      <c r="G447" s="4" t="str">
        <f aca="false">IF($A447="","",TRIM(Base_Bruta!G447))</f>
        <v>VIP</v>
      </c>
      <c r="H447" s="4" t="n">
        <f aca="false">IF($A447="","",IF(ISNUMBER(Base_Bruta!H447),Base_Bruta!H447,IFERROR(_xlfn.NUMBERVALUE(TRIM(SUBSTITUTE(Base_Bruta!H447,"R$","")),",","."),0)))</f>
        <v>1</v>
      </c>
      <c r="I447" s="6" t="n">
        <f aca="false">IF($A447="","",IF(ISNUMBER(Base_Bruta!I447),Base_Bruta!I447,IFERROR(_xlfn.NUMBERVALUE(TRIM(SUBSTITUTE(Base_Bruta!I447,"R$","")),",","."),0)))</f>
        <v>1550</v>
      </c>
      <c r="J447" s="6" t="n">
        <f aca="false">IF($A447="","",H447*I447)</f>
        <v>1550</v>
      </c>
      <c r="K447" s="4" t="str">
        <f aca="false">IF($A447="","",TRIM(Base_Bruta!J447))</f>
        <v>Site</v>
      </c>
      <c r="L447" s="4" t="str">
        <f aca="false">IF($A447="","",TRIM(Base_Bruta!K447))</f>
        <v>C01034</v>
      </c>
      <c r="M447" s="4" t="str">
        <f aca="false">IF($A447="","",_xlfn.XLOOKUP(LOWER(TRIM(Base_Bruta!L447)),DePara_Cidade!$A$2:$A$29,DePara_Cidade!$B$2:$B$29,"REVISAR"))</f>
        <v>Santiago</v>
      </c>
      <c r="N447" s="4" t="str">
        <f aca="false">IF($A447="","",UPPER(TRIM(Base_Bruta!M447)))</f>
        <v>EX</v>
      </c>
      <c r="O447" s="4" t="str">
        <f aca="false">IF($A447="","",_xlfn.XLOOKUP(LOWER(TRIM(Base_Bruta!N447)),DePara_Pais!$A$2:$A$9,DePara_Pais!$B$2:$B$9,"REVISAR"))</f>
        <v>Chile</v>
      </c>
      <c r="P447" s="4" t="str">
        <f aca="false">IF($A447="","",IF(O447&lt;&gt;"Brasil","Turista Internacional",IF(M447=F447,"Local","Turista Nacional")))</f>
        <v>Turista Internacional</v>
      </c>
      <c r="Q447" s="7" t="n">
        <f aca="false">IF($A447="","",DATE(YEAR(B447),MONTH(B447),1))</f>
        <v>45962</v>
      </c>
      <c r="R447" s="4" t="str">
        <f aca="false">IF($A447="","",IF(COUNTIF($A$2:$A447,$A447)&gt;1,"Sim","Não"))</f>
        <v>Não</v>
      </c>
      <c r="S447" s="4" t="str">
        <f aca="false">IF(A447="","Descartar - Linha vazia",IF(R447="Sim","Descartar - Duplicado",IF(OR(H447&lt;=0,I447&lt;=0),"Descartar - Qtd/Valor inválido","OK")))</f>
        <v>OK</v>
      </c>
      <c r="T447" s="4" t="str">
        <f aca="false">Base_Bruta!P447</f>
        <v>vendas_SP.xlsx</v>
      </c>
    </row>
    <row r="448" customFormat="false" ht="15" hidden="false" customHeight="false" outlineLevel="0" collapsed="false">
      <c r="A448" s="4" t="str">
        <f aca="false">IF(Base_Bruta!A448="","",Base_Bruta!A448)</f>
        <v>SP-000634</v>
      </c>
      <c r="B448" s="5" t="n">
        <f aca="false">IF($A448="","",IF(ISNUMBER(Base_Bruta!B448),Base_Bruta!B448,IF(MID(Base_Bruta!B448,5,1)="-",DATE(VALUE(LEFT(Base_Bruta!B448,4)),VALUE(MID(Base_Bruta!B448,6,2)),VALUE(RIGHT(Base_Bruta!B448,2))),DATE(VALUE(RIGHT(Base_Bruta!B448,4)),VALUE(MID(Base_Bruta!B448,4,2)),VALUE(LEFT(Base_Bruta!B448,2))))))</f>
        <v>45971</v>
      </c>
      <c r="C448" s="5" t="n">
        <f aca="false">IF($A448="","",IF(ISNUMBER(Base_Bruta!C448),Base_Bruta!C448,IF(MID(Base_Bruta!C448,5,1)="-",DATE(VALUE(LEFT(Base_Bruta!C448,4)),VALUE(MID(Base_Bruta!C448,6,2)),VALUE(RIGHT(Base_Bruta!C448,2))),DATE(VALUE(RIGHT(Base_Bruta!C448,4)),VALUE(MID(Base_Bruta!C448,4,2)),VALUE(LEFT(Base_Bruta!C448,2))))))</f>
        <v>45973</v>
      </c>
      <c r="D448" s="4" t="str">
        <f aca="false">IF($A448="","",TRIM(Base_Bruta!D448))</f>
        <v>Cinema Paulista - Sessões</v>
      </c>
      <c r="E448" s="4" t="str">
        <f aca="false">IF($A448="","",_xlfn.XLOOKUP(LOWER(TRIM(Base_Bruta!E448)),DePara_Categoria!$A$2:$A$9,DePara_Categoria!$B$2:$B$9,"REVISAR"))</f>
        <v>Cinema</v>
      </c>
      <c r="F448" s="4" t="str">
        <f aca="false">IF($A448="","",_xlfn.XLOOKUP(LOWER(TRIM(Base_Bruta!F448)),DePara_Cidade!$A$2:$A$29,DePara_Cidade!$B$2:$B$29,"REVISAR"))</f>
        <v>São Paulo</v>
      </c>
      <c r="G448" s="4" t="str">
        <f aca="false">IF($A448="","",TRIM(Base_Bruta!G448))</f>
        <v>Inteira</v>
      </c>
      <c r="H448" s="4" t="n">
        <f aca="false">IF($A448="","",IF(ISNUMBER(Base_Bruta!H448),Base_Bruta!H448,IFERROR(_xlfn.NUMBERVALUE(TRIM(SUBSTITUTE(Base_Bruta!H448,"R$","")),",","."),0)))</f>
        <v>2</v>
      </c>
      <c r="I448" s="6" t="n">
        <f aca="false">IF($A448="","",IF(ISNUMBER(Base_Bruta!I448),Base_Bruta!I448,IFERROR(_xlfn.NUMBERVALUE(TRIM(SUBSTITUTE(Base_Bruta!I448,"R$","")),",","."),0)))</f>
        <v>40</v>
      </c>
      <c r="J448" s="6" t="n">
        <f aca="false">IF($A448="","",H448*I448)</f>
        <v>80</v>
      </c>
      <c r="K448" s="4" t="str">
        <f aca="false">IF($A448="","",TRIM(Base_Bruta!J448))</f>
        <v>Parceiro</v>
      </c>
      <c r="L448" s="4" t="str">
        <f aca="false">IF($A448="","",TRIM(Base_Bruta!K448))</f>
        <v>C00858</v>
      </c>
      <c r="M448" s="4" t="str">
        <f aca="false">IF($A448="","",_xlfn.XLOOKUP(LOWER(TRIM(Base_Bruta!L448)),DePara_Cidade!$A$2:$A$29,DePara_Cidade!$B$2:$B$29,"REVISAR"))</f>
        <v>São Paulo</v>
      </c>
      <c r="N448" s="4" t="str">
        <f aca="false">IF($A448="","",UPPER(TRIM(Base_Bruta!M448)))</f>
        <v>SP</v>
      </c>
      <c r="O448" s="4" t="str">
        <f aca="false">IF($A448="","",_xlfn.XLOOKUP(LOWER(TRIM(Base_Bruta!N448)),DePara_Pais!$A$2:$A$9,DePara_Pais!$B$2:$B$9,"REVISAR"))</f>
        <v>Brasil</v>
      </c>
      <c r="P448" s="4" t="str">
        <f aca="false">IF($A448="","",IF(O448&lt;&gt;"Brasil","Turista Internacional",IF(M448=F448,"Local","Turista Nacional")))</f>
        <v>Local</v>
      </c>
      <c r="Q448" s="7" t="n">
        <f aca="false">IF($A448="","",DATE(YEAR(B448),MONTH(B448),1))</f>
        <v>45962</v>
      </c>
      <c r="R448" s="4" t="str">
        <f aca="false">IF($A448="","",IF(COUNTIF($A$2:$A448,$A448)&gt;1,"Sim","Não"))</f>
        <v>Não</v>
      </c>
      <c r="S448" s="4" t="str">
        <f aca="false">IF(A448="","Descartar - Linha vazia",IF(R448="Sim","Descartar - Duplicado",IF(OR(H448&lt;=0,I448&lt;=0),"Descartar - Qtd/Valor inválido","OK")))</f>
        <v>OK</v>
      </c>
      <c r="T448" s="4" t="str">
        <f aca="false">Base_Bruta!P448</f>
        <v>vendas_SP.xlsx</v>
      </c>
    </row>
    <row r="449" customFormat="false" ht="15" hidden="false" customHeight="false" outlineLevel="0" collapsed="false">
      <c r="A449" s="4" t="str">
        <f aca="false">IF(Base_Bruta!A449="","",Base_Bruta!A449)</f>
        <v>SP-000016</v>
      </c>
      <c r="B449" s="5" t="n">
        <f aca="false">IF($A449="","",IF(ISNUMBER(Base_Bruta!B449),Base_Bruta!B449,IF(MID(Base_Bruta!B449,5,1)="-",DATE(VALUE(LEFT(Base_Bruta!B449,4)),VALUE(MID(Base_Bruta!B449,6,2)),VALUE(RIGHT(Base_Bruta!B449,2))),DATE(VALUE(RIGHT(Base_Bruta!B449,4)),VALUE(MID(Base_Bruta!B449,4,2)),VALUE(LEFT(Base_Bruta!B449,2))))))</f>
        <v>45972</v>
      </c>
      <c r="C449" s="5" t="n">
        <f aca="false">IF($A449="","",IF(ISNUMBER(Base_Bruta!C449),Base_Bruta!C449,IF(MID(Base_Bruta!C449,5,1)="-",DATE(VALUE(LEFT(Base_Bruta!C449,4)),VALUE(MID(Base_Bruta!C449,6,2)),VALUE(RIGHT(Base_Bruta!C449,2))),DATE(VALUE(RIGHT(Base_Bruta!C449,4)),VALUE(MID(Base_Bruta!C449,4,2)),VALUE(LEFT(Base_Bruta!C449,2))))))</f>
        <v>45976</v>
      </c>
      <c r="D449" s="4" t="str">
        <f aca="false">IF($A449="","",TRIM(Base_Bruta!D449))</f>
        <v>Festival Sonora SP 2025</v>
      </c>
      <c r="E449" s="4" t="str">
        <f aca="false">IF($A449="","",_xlfn.XLOOKUP(LOWER(TRIM(Base_Bruta!E449)),DePara_Categoria!$A$2:$A$9,DePara_Categoria!$B$2:$B$9,"REVISAR"))</f>
        <v>Festival</v>
      </c>
      <c r="F449" s="4" t="str">
        <f aca="false">IF($A449="","",_xlfn.XLOOKUP(LOWER(TRIM(Base_Bruta!F449)),DePara_Cidade!$A$2:$A$29,DePara_Cidade!$B$2:$B$29,"REVISAR"))</f>
        <v>São Paulo</v>
      </c>
      <c r="G449" s="4" t="str">
        <f aca="false">IF($A449="","",TRIM(Base_Bruta!G449))</f>
        <v>Meia</v>
      </c>
      <c r="H449" s="4" t="n">
        <f aca="false">IF($A449="","",IF(ISNUMBER(Base_Bruta!H449),Base_Bruta!H449,IFERROR(_xlfn.NUMBERVALUE(TRIM(SUBSTITUTE(Base_Bruta!H449,"R$","")),",","."),0)))</f>
        <v>2</v>
      </c>
      <c r="I449" s="6" t="n">
        <f aca="false">IF($A449="","",IF(ISNUMBER(Base_Bruta!I449),Base_Bruta!I449,IFERROR(_xlfn.NUMBERVALUE(TRIM(SUBSTITUTE(Base_Bruta!I449,"R$","")),",","."),0)))</f>
        <v>410</v>
      </c>
      <c r="J449" s="6" t="n">
        <f aca="false">IF($A449="","",H449*I449)</f>
        <v>820</v>
      </c>
      <c r="K449" s="4" t="str">
        <f aca="false">IF($A449="","",TRIM(Base_Bruta!J449))</f>
        <v>App</v>
      </c>
      <c r="L449" s="4" t="str">
        <f aca="false">IF($A449="","",TRIM(Base_Bruta!K449))</f>
        <v>C01471</v>
      </c>
      <c r="M449" s="4" t="str">
        <f aca="false">IF($A449="","",_xlfn.XLOOKUP(LOWER(TRIM(Base_Bruta!L449)),DePara_Cidade!$A$2:$A$29,DePara_Cidade!$B$2:$B$29,"REVISAR"))</f>
        <v>Santos</v>
      </c>
      <c r="N449" s="4" t="str">
        <f aca="false">IF($A449="","",UPPER(TRIM(Base_Bruta!M449)))</f>
        <v>SP</v>
      </c>
      <c r="O449" s="4" t="str">
        <f aca="false">IF($A449="","",_xlfn.XLOOKUP(LOWER(TRIM(Base_Bruta!N449)),DePara_Pais!$A$2:$A$9,DePara_Pais!$B$2:$B$9,"REVISAR"))</f>
        <v>Brasil</v>
      </c>
      <c r="P449" s="4" t="str">
        <f aca="false">IF($A449="","",IF(O449&lt;&gt;"Brasil","Turista Internacional",IF(M449=F449,"Local","Turista Nacional")))</f>
        <v>Turista Nacional</v>
      </c>
      <c r="Q449" s="7" t="n">
        <f aca="false">IF($A449="","",DATE(YEAR(B449),MONTH(B449),1))</f>
        <v>45962</v>
      </c>
      <c r="R449" s="4" t="str">
        <f aca="false">IF($A449="","",IF(COUNTIF($A$2:$A449,$A449)&gt;1,"Sim","Não"))</f>
        <v>Não</v>
      </c>
      <c r="S449" s="4" t="str">
        <f aca="false">IF(A449="","Descartar - Linha vazia",IF(R449="Sim","Descartar - Duplicado",IF(OR(H449&lt;=0,I449&lt;=0),"Descartar - Qtd/Valor inválido","OK")))</f>
        <v>OK</v>
      </c>
      <c r="T449" s="4" t="str">
        <f aca="false">Base_Bruta!P449</f>
        <v>vendas_SP.xlsx</v>
      </c>
    </row>
    <row r="450" customFormat="false" ht="15" hidden="false" customHeight="false" outlineLevel="0" collapsed="false">
      <c r="A450" s="4" t="str">
        <f aca="false">IF(Base_Bruta!A450="","",Base_Bruta!A450)</f>
        <v>SP-000017</v>
      </c>
      <c r="B450" s="5" t="n">
        <f aca="false">IF($A450="","",IF(ISNUMBER(Base_Bruta!B450),Base_Bruta!B450,IF(MID(Base_Bruta!B450,5,1)="-",DATE(VALUE(LEFT(Base_Bruta!B450,4)),VALUE(MID(Base_Bruta!B450,6,2)),VALUE(RIGHT(Base_Bruta!B450,2))),DATE(VALUE(RIGHT(Base_Bruta!B450,4)),VALUE(MID(Base_Bruta!B450,4,2)),VALUE(LEFT(Base_Bruta!B450,2))))))</f>
        <v>45972</v>
      </c>
      <c r="C450" s="5" t="n">
        <f aca="false">IF($A450="","",IF(ISNUMBER(Base_Bruta!C450),Base_Bruta!C450,IF(MID(Base_Bruta!C450,5,1)="-",DATE(VALUE(LEFT(Base_Bruta!C450,4)),VALUE(MID(Base_Bruta!C450,6,2)),VALUE(RIGHT(Base_Bruta!C450,2))),DATE(VALUE(RIGHT(Base_Bruta!C450,4)),VALUE(MID(Base_Bruta!C450,4,2)),VALUE(LEFT(Base_Bruta!C450,2))))))</f>
        <v>45976</v>
      </c>
      <c r="D450" s="4" t="str">
        <f aca="false">IF($A450="","",TRIM(Base_Bruta!D450))</f>
        <v>Festival Sonora SP 2025</v>
      </c>
      <c r="E450" s="4" t="str">
        <f aca="false">IF($A450="","",_xlfn.XLOOKUP(LOWER(TRIM(Base_Bruta!E450)),DePara_Categoria!$A$2:$A$9,DePara_Categoria!$B$2:$B$9,"REVISAR"))</f>
        <v>Festival</v>
      </c>
      <c r="F450" s="4" t="str">
        <f aca="false">IF($A450="","",_xlfn.XLOOKUP(LOWER(TRIM(Base_Bruta!F450)),DePara_Cidade!$A$2:$A$29,DePara_Cidade!$B$2:$B$29,"REVISAR"))</f>
        <v>São Paulo</v>
      </c>
      <c r="G450" s="4" t="str">
        <f aca="false">IF($A450="","",TRIM(Base_Bruta!G450))</f>
        <v>Meia</v>
      </c>
      <c r="H450" s="4" t="n">
        <f aca="false">IF($A450="","",IF(ISNUMBER(Base_Bruta!H450),Base_Bruta!H450,IFERROR(_xlfn.NUMBERVALUE(TRIM(SUBSTITUTE(Base_Bruta!H450,"R$","")),",","."),0)))</f>
        <v>1</v>
      </c>
      <c r="I450" s="6" t="n">
        <f aca="false">IF($A450="","",IF(ISNUMBER(Base_Bruta!I450),Base_Bruta!I450,IFERROR(_xlfn.NUMBERVALUE(TRIM(SUBSTITUTE(Base_Bruta!I450,"R$","")),",","."),0)))</f>
        <v>497.5</v>
      </c>
      <c r="J450" s="6" t="n">
        <f aca="false">IF($A450="","",H450*I450)</f>
        <v>497.5</v>
      </c>
      <c r="K450" s="4" t="str">
        <f aca="false">IF($A450="","",TRIM(Base_Bruta!J450))</f>
        <v>App</v>
      </c>
      <c r="L450" s="4" t="str">
        <f aca="false">IF($A450="","",TRIM(Base_Bruta!K450))</f>
        <v>C00571</v>
      </c>
      <c r="M450" s="4" t="str">
        <f aca="false">IF($A450="","",_xlfn.XLOOKUP(LOWER(TRIM(Base_Bruta!L450)),DePara_Cidade!$A$2:$A$29,DePara_Cidade!$B$2:$B$29,"REVISAR"))</f>
        <v>São Paulo</v>
      </c>
      <c r="N450" s="4" t="str">
        <f aca="false">IF($A450="","",UPPER(TRIM(Base_Bruta!M450)))</f>
        <v>SP</v>
      </c>
      <c r="O450" s="4" t="str">
        <f aca="false">IF($A450="","",_xlfn.XLOOKUP(LOWER(TRIM(Base_Bruta!N450)),DePara_Pais!$A$2:$A$9,DePara_Pais!$B$2:$B$9,"REVISAR"))</f>
        <v>Brasil</v>
      </c>
      <c r="P450" s="4" t="str">
        <f aca="false">IF($A450="","",IF(O450&lt;&gt;"Brasil","Turista Internacional",IF(M450=F450,"Local","Turista Nacional")))</f>
        <v>Local</v>
      </c>
      <c r="Q450" s="7" t="n">
        <f aca="false">IF($A450="","",DATE(YEAR(B450),MONTH(B450),1))</f>
        <v>45962</v>
      </c>
      <c r="R450" s="4" t="str">
        <f aca="false">IF($A450="","",IF(COUNTIF($A$2:$A450,$A450)&gt;1,"Sim","Não"))</f>
        <v>Não</v>
      </c>
      <c r="S450" s="4" t="str">
        <f aca="false">IF(A450="","Descartar - Linha vazia",IF(R450="Sim","Descartar - Duplicado",IF(OR(H450&lt;=0,I450&lt;=0),"Descartar - Qtd/Valor inválido","OK")))</f>
        <v>OK</v>
      </c>
      <c r="T450" s="4" t="str">
        <f aca="false">Base_Bruta!P450</f>
        <v>vendas_SP.xlsx</v>
      </c>
    </row>
    <row r="451" customFormat="false" ht="15" hidden="false" customHeight="false" outlineLevel="0" collapsed="false">
      <c r="A451" s="4" t="str">
        <f aca="false">IF(Base_Bruta!A451="","",Base_Bruta!A451)</f>
        <v>SP-000071</v>
      </c>
      <c r="B451" s="5" t="n">
        <f aca="false">IF($A451="","",IF(ISNUMBER(Base_Bruta!B451),Base_Bruta!B451,IF(MID(Base_Bruta!B451,5,1)="-",DATE(VALUE(LEFT(Base_Bruta!B451,4)),VALUE(MID(Base_Bruta!B451,6,2)),VALUE(RIGHT(Base_Bruta!B451,2))),DATE(VALUE(RIGHT(Base_Bruta!B451,4)),VALUE(MID(Base_Bruta!B451,4,2)),VALUE(LEFT(Base_Bruta!B451,2))))))</f>
        <v>45972</v>
      </c>
      <c r="C451" s="5" t="n">
        <f aca="false">IF($A451="","",IF(ISNUMBER(Base_Bruta!C451),Base_Bruta!C451,IF(MID(Base_Bruta!C451,5,1)="-",DATE(VALUE(LEFT(Base_Bruta!C451,4)),VALUE(MID(Base_Bruta!C451,6,2)),VALUE(RIGHT(Base_Bruta!C451,2))),DATE(VALUE(RIGHT(Base_Bruta!C451,4)),VALUE(MID(Base_Bruta!C451,4,2)),VALUE(LEFT(Base_Bruta!C451,2))))))</f>
        <v>45976</v>
      </c>
      <c r="D451" s="4" t="str">
        <f aca="false">IF($A451="","",TRIM(Base_Bruta!D451))</f>
        <v>Festival Sonora SP 2025</v>
      </c>
      <c r="E451" s="4" t="str">
        <f aca="false">IF($A451="","",_xlfn.XLOOKUP(LOWER(TRIM(Base_Bruta!E451)),DePara_Categoria!$A$2:$A$9,DePara_Categoria!$B$2:$B$9,"REVISAR"))</f>
        <v>Festival</v>
      </c>
      <c r="F451" s="4" t="str">
        <f aca="false">IF($A451="","",_xlfn.XLOOKUP(LOWER(TRIM(Base_Bruta!F451)),DePara_Cidade!$A$2:$A$29,DePara_Cidade!$B$2:$B$29,"REVISAR"))</f>
        <v>São Paulo</v>
      </c>
      <c r="G451" s="4" t="str">
        <f aca="false">IF($A451="","",TRIM(Base_Bruta!G451))</f>
        <v>Meia</v>
      </c>
      <c r="H451" s="4" t="n">
        <f aca="false">IF($A451="","",IF(ISNUMBER(Base_Bruta!H451),Base_Bruta!H451,IFERROR(_xlfn.NUMBERVALUE(TRIM(SUBSTITUTE(Base_Bruta!H451,"R$","")),",","."),0)))</f>
        <v>2</v>
      </c>
      <c r="I451" s="6" t="n">
        <f aca="false">IF($A451="","",IF(ISNUMBER(Base_Bruta!I451),Base_Bruta!I451,IFERROR(_xlfn.NUMBERVALUE(TRIM(SUBSTITUTE(Base_Bruta!I451,"R$","")),",","."),0)))</f>
        <v>447.5</v>
      </c>
      <c r="J451" s="6" t="n">
        <f aca="false">IF($A451="","",H451*I451)</f>
        <v>895</v>
      </c>
      <c r="K451" s="4" t="str">
        <f aca="false">IF($A451="","",TRIM(Base_Bruta!J451))</f>
        <v>Site</v>
      </c>
      <c r="L451" s="4" t="str">
        <f aca="false">IF($A451="","",TRIM(Base_Bruta!K451))</f>
        <v>C01659</v>
      </c>
      <c r="M451" s="4" t="str">
        <f aca="false">IF($A451="","",_xlfn.XLOOKUP(LOWER(TRIM(Base_Bruta!L451)),DePara_Cidade!$A$2:$A$29,DePara_Cidade!$B$2:$B$29,"REVISAR"))</f>
        <v>São Paulo</v>
      </c>
      <c r="N451" s="4" t="str">
        <f aca="false">IF($A451="","",UPPER(TRIM(Base_Bruta!M451)))</f>
        <v>SP</v>
      </c>
      <c r="O451" s="4" t="str">
        <f aca="false">IF($A451="","",_xlfn.XLOOKUP(LOWER(TRIM(Base_Bruta!N451)),DePara_Pais!$A$2:$A$9,DePara_Pais!$B$2:$B$9,"REVISAR"))</f>
        <v>Brasil</v>
      </c>
      <c r="P451" s="4" t="str">
        <f aca="false">IF($A451="","",IF(O451&lt;&gt;"Brasil","Turista Internacional",IF(M451=F451,"Local","Turista Nacional")))</f>
        <v>Local</v>
      </c>
      <c r="Q451" s="7" t="n">
        <f aca="false">IF($A451="","",DATE(YEAR(B451),MONTH(B451),1))</f>
        <v>45962</v>
      </c>
      <c r="R451" s="4" t="str">
        <f aca="false">IF($A451="","",IF(COUNTIF($A$2:$A451,$A451)&gt;1,"Sim","Não"))</f>
        <v>Não</v>
      </c>
      <c r="S451" s="4" t="str">
        <f aca="false">IF(A451="","Descartar - Linha vazia",IF(R451="Sim","Descartar - Duplicado",IF(OR(H451&lt;=0,I451&lt;=0),"Descartar - Qtd/Valor inválido","OK")))</f>
        <v>OK</v>
      </c>
      <c r="T451" s="4" t="str">
        <f aca="false">Base_Bruta!P451</f>
        <v>vendas_SP.xlsx</v>
      </c>
    </row>
    <row r="452" customFormat="false" ht="15" hidden="false" customHeight="false" outlineLevel="0" collapsed="false">
      <c r="A452" s="4" t="str">
        <f aca="false">IF(Base_Bruta!A452="","",Base_Bruta!A452)</f>
        <v>SP-000097</v>
      </c>
      <c r="B452" s="5" t="n">
        <f aca="false">IF($A452="","",IF(ISNUMBER(Base_Bruta!B452),Base_Bruta!B452,IF(MID(Base_Bruta!B452,5,1)="-",DATE(VALUE(LEFT(Base_Bruta!B452,4)),VALUE(MID(Base_Bruta!B452,6,2)),VALUE(RIGHT(Base_Bruta!B452,2))),DATE(VALUE(RIGHT(Base_Bruta!B452,4)),VALUE(MID(Base_Bruta!B452,4,2)),VALUE(LEFT(Base_Bruta!B452,2))))))</f>
        <v>45972</v>
      </c>
      <c r="C452" s="5" t="n">
        <f aca="false">IF($A452="","",IF(ISNUMBER(Base_Bruta!C452),Base_Bruta!C452,IF(MID(Base_Bruta!C452,5,1)="-",DATE(VALUE(LEFT(Base_Bruta!C452,4)),VALUE(MID(Base_Bruta!C452,6,2)),VALUE(RIGHT(Base_Bruta!C452,2))),DATE(VALUE(RIGHT(Base_Bruta!C452,4)),VALUE(MID(Base_Bruta!C452,4,2)),VALUE(LEFT(Base_Bruta!C452,2))))))</f>
        <v>45976</v>
      </c>
      <c r="D452" s="4" t="str">
        <f aca="false">IF($A452="","",TRIM(Base_Bruta!D452))</f>
        <v>Festival Sonora SP 2025</v>
      </c>
      <c r="E452" s="4" t="str">
        <f aca="false">IF($A452="","",_xlfn.XLOOKUP(LOWER(TRIM(Base_Bruta!E452)),DePara_Categoria!$A$2:$A$9,DePara_Categoria!$B$2:$B$9,"REVISAR"))</f>
        <v>Festival</v>
      </c>
      <c r="F452" s="4" t="str">
        <f aca="false">IF($A452="","",_xlfn.XLOOKUP(LOWER(TRIM(Base_Bruta!F452)),DePara_Cidade!$A$2:$A$29,DePara_Cidade!$B$2:$B$29,"REVISAR"))</f>
        <v>São Paulo</v>
      </c>
      <c r="G452" s="4" t="str">
        <f aca="false">IF($A452="","",TRIM(Base_Bruta!G452))</f>
        <v>VIP</v>
      </c>
      <c r="H452" s="4" t="n">
        <f aca="false">IF($A452="","",IF(ISNUMBER(Base_Bruta!H452),Base_Bruta!H452,IFERROR(_xlfn.NUMBERVALUE(TRIM(SUBSTITUTE(Base_Bruta!H452,"R$","")),",","."),0)))</f>
        <v>4</v>
      </c>
      <c r="I452" s="6" t="n">
        <f aca="false">IF($A452="","",IF(ISNUMBER(Base_Bruta!I452),Base_Bruta!I452,IFERROR(_xlfn.NUMBERVALUE(TRIM(SUBSTITUTE(Base_Bruta!I452,"R$","")),",","."),0)))</f>
        <v>2160</v>
      </c>
      <c r="J452" s="6" t="n">
        <f aca="false">IF($A452="","",H452*I452)</f>
        <v>8640</v>
      </c>
      <c r="K452" s="4" t="str">
        <f aca="false">IF($A452="","",TRIM(Base_Bruta!J452))</f>
        <v>App</v>
      </c>
      <c r="L452" s="4" t="str">
        <f aca="false">IF($A452="","",TRIM(Base_Bruta!K452))</f>
        <v>C00670</v>
      </c>
      <c r="M452" s="4" t="str">
        <f aca="false">IF($A452="","",_xlfn.XLOOKUP(LOWER(TRIM(Base_Bruta!L452)),DePara_Cidade!$A$2:$A$29,DePara_Cidade!$B$2:$B$29,"REVISAR"))</f>
        <v>São Paulo</v>
      </c>
      <c r="N452" s="4" t="str">
        <f aca="false">IF($A452="","",UPPER(TRIM(Base_Bruta!M452)))</f>
        <v>SP</v>
      </c>
      <c r="O452" s="4" t="str">
        <f aca="false">IF($A452="","",_xlfn.XLOOKUP(LOWER(TRIM(Base_Bruta!N452)),DePara_Pais!$A$2:$A$9,DePara_Pais!$B$2:$B$9,"REVISAR"))</f>
        <v>Brasil</v>
      </c>
      <c r="P452" s="4" t="str">
        <f aca="false">IF($A452="","",IF(O452&lt;&gt;"Brasil","Turista Internacional",IF(M452=F452,"Local","Turista Nacional")))</f>
        <v>Local</v>
      </c>
      <c r="Q452" s="7" t="n">
        <f aca="false">IF($A452="","",DATE(YEAR(B452),MONTH(B452),1))</f>
        <v>45962</v>
      </c>
      <c r="R452" s="4" t="str">
        <f aca="false">IF($A452="","",IF(COUNTIF($A$2:$A452,$A452)&gt;1,"Sim","Não"))</f>
        <v>Não</v>
      </c>
      <c r="S452" s="4" t="str">
        <f aca="false">IF(A452="","Descartar - Linha vazia",IF(R452="Sim","Descartar - Duplicado",IF(OR(H452&lt;=0,I452&lt;=0),"Descartar - Qtd/Valor inválido","OK")))</f>
        <v>OK</v>
      </c>
      <c r="T452" s="4" t="str">
        <f aca="false">Base_Bruta!P452</f>
        <v>vendas_SP.xlsx</v>
      </c>
    </row>
    <row r="453" customFormat="false" ht="15" hidden="false" customHeight="false" outlineLevel="0" collapsed="false">
      <c r="A453" s="4" t="str">
        <f aca="false">IF(Base_Bruta!A453="","",Base_Bruta!A453)</f>
        <v>SP-000136</v>
      </c>
      <c r="B453" s="5" t="n">
        <f aca="false">IF($A453="","",IF(ISNUMBER(Base_Bruta!B453),Base_Bruta!B453,IF(MID(Base_Bruta!B453,5,1)="-",DATE(VALUE(LEFT(Base_Bruta!B453,4)),VALUE(MID(Base_Bruta!B453,6,2)),VALUE(RIGHT(Base_Bruta!B453,2))),DATE(VALUE(RIGHT(Base_Bruta!B453,4)),VALUE(MID(Base_Bruta!B453,4,2)),VALUE(LEFT(Base_Bruta!B453,2))))))</f>
        <v>45972</v>
      </c>
      <c r="C453" s="5" t="n">
        <f aca="false">IF($A453="","",IF(ISNUMBER(Base_Bruta!C453),Base_Bruta!C453,IF(MID(Base_Bruta!C453,5,1)="-",DATE(VALUE(LEFT(Base_Bruta!C453,4)),VALUE(MID(Base_Bruta!C453,6,2)),VALUE(RIGHT(Base_Bruta!C453,2))),DATE(VALUE(RIGHT(Base_Bruta!C453,4)),VALUE(MID(Base_Bruta!C453,4,2)),VALUE(LEFT(Base_Bruta!C453,2))))))</f>
        <v>45976</v>
      </c>
      <c r="D453" s="4" t="str">
        <f aca="false">IF($A453="","",TRIM(Base_Bruta!D453))</f>
        <v>Festival Sonora SP 2025</v>
      </c>
      <c r="E453" s="4" t="str">
        <f aca="false">IF($A453="","",_xlfn.XLOOKUP(LOWER(TRIM(Base_Bruta!E453)),DePara_Categoria!$A$2:$A$9,DePara_Categoria!$B$2:$B$9,"REVISAR"))</f>
        <v>Festival</v>
      </c>
      <c r="F453" s="4" t="str">
        <f aca="false">IF($A453="","",_xlfn.XLOOKUP(LOWER(TRIM(Base_Bruta!F453)),DePara_Cidade!$A$2:$A$29,DePara_Cidade!$B$2:$B$29,"REVISAR"))</f>
        <v>São Paulo</v>
      </c>
      <c r="G453" s="4" t="str">
        <f aca="false">IF($A453="","",TRIM(Base_Bruta!G453))</f>
        <v>Inteira</v>
      </c>
      <c r="H453" s="4" t="n">
        <f aca="false">IF($A453="","",IF(ISNUMBER(Base_Bruta!H453),Base_Bruta!H453,IFERROR(_xlfn.NUMBERVALUE(TRIM(SUBSTITUTE(Base_Bruta!H453,"R$","")),",","."),0)))</f>
        <v>2</v>
      </c>
      <c r="I453" s="6" t="n">
        <f aca="false">IF($A453="","",IF(ISNUMBER(Base_Bruta!I453),Base_Bruta!I453,IFERROR(_xlfn.NUMBERVALUE(TRIM(SUBSTITUTE(Base_Bruta!I453,"R$","")),",","."),0)))</f>
        <v>1085</v>
      </c>
      <c r="J453" s="6" t="n">
        <f aca="false">IF($A453="","",H453*I453)</f>
        <v>2170</v>
      </c>
      <c r="K453" s="4" t="str">
        <f aca="false">IF($A453="","",TRIM(Base_Bruta!J453))</f>
        <v>Site</v>
      </c>
      <c r="L453" s="4" t="str">
        <f aca="false">IF($A453="","",TRIM(Base_Bruta!K453))</f>
        <v>C01031</v>
      </c>
      <c r="M453" s="4" t="str">
        <f aca="false">IF($A453="","",_xlfn.XLOOKUP(LOWER(TRIM(Base_Bruta!L453)),DePara_Cidade!$A$2:$A$29,DePara_Cidade!$B$2:$B$29,"REVISAR"))</f>
        <v>Goiânia</v>
      </c>
      <c r="N453" s="4" t="str">
        <f aca="false">IF($A453="","",UPPER(TRIM(Base_Bruta!M453)))</f>
        <v>GO</v>
      </c>
      <c r="O453" s="4" t="str">
        <f aca="false">IF($A453="","",_xlfn.XLOOKUP(LOWER(TRIM(Base_Bruta!N453)),DePara_Pais!$A$2:$A$9,DePara_Pais!$B$2:$B$9,"REVISAR"))</f>
        <v>Brasil</v>
      </c>
      <c r="P453" s="4" t="str">
        <f aca="false">IF($A453="","",IF(O453&lt;&gt;"Brasil","Turista Internacional",IF(M453=F453,"Local","Turista Nacional")))</f>
        <v>Turista Nacional</v>
      </c>
      <c r="Q453" s="7" t="n">
        <f aca="false">IF($A453="","",DATE(YEAR(B453),MONTH(B453),1))</f>
        <v>45962</v>
      </c>
      <c r="R453" s="4" t="str">
        <f aca="false">IF($A453="","",IF(COUNTIF($A$2:$A453,$A453)&gt;1,"Sim","Não"))</f>
        <v>Não</v>
      </c>
      <c r="S453" s="4" t="str">
        <f aca="false">IF(A453="","Descartar - Linha vazia",IF(R453="Sim","Descartar - Duplicado",IF(OR(H453&lt;=0,I453&lt;=0),"Descartar - Qtd/Valor inválido","OK")))</f>
        <v>OK</v>
      </c>
      <c r="T453" s="4" t="str">
        <f aca="false">Base_Bruta!P453</f>
        <v>vendas_SP.xlsx</v>
      </c>
    </row>
    <row r="454" customFormat="false" ht="15" hidden="false" customHeight="false" outlineLevel="0" collapsed="false">
      <c r="A454" s="4" t="str">
        <f aca="false">IF(Base_Bruta!A454="","",Base_Bruta!A454)</f>
        <v>SP-000140</v>
      </c>
      <c r="B454" s="5" t="n">
        <f aca="false">IF($A454="","",IF(ISNUMBER(Base_Bruta!B454),Base_Bruta!B454,IF(MID(Base_Bruta!B454,5,1)="-",DATE(VALUE(LEFT(Base_Bruta!B454,4)),VALUE(MID(Base_Bruta!B454,6,2)),VALUE(RIGHT(Base_Bruta!B454,2))),DATE(VALUE(RIGHT(Base_Bruta!B454,4)),VALUE(MID(Base_Bruta!B454,4,2)),VALUE(LEFT(Base_Bruta!B454,2))))))</f>
        <v>45972</v>
      </c>
      <c r="C454" s="5" t="n">
        <f aca="false">IF($A454="","",IF(ISNUMBER(Base_Bruta!C454),Base_Bruta!C454,IF(MID(Base_Bruta!C454,5,1)="-",DATE(VALUE(LEFT(Base_Bruta!C454,4)),VALUE(MID(Base_Bruta!C454,6,2)),VALUE(RIGHT(Base_Bruta!C454,2))),DATE(VALUE(RIGHT(Base_Bruta!C454,4)),VALUE(MID(Base_Bruta!C454,4,2)),VALUE(LEFT(Base_Bruta!C454,2))))))</f>
        <v>45976</v>
      </c>
      <c r="D454" s="4" t="str">
        <f aca="false">IF($A454="","",TRIM(Base_Bruta!D454))</f>
        <v>Festival Sonora SP 2025</v>
      </c>
      <c r="E454" s="4" t="str">
        <f aca="false">IF($A454="","",_xlfn.XLOOKUP(LOWER(TRIM(Base_Bruta!E454)),DePara_Categoria!$A$2:$A$9,DePara_Categoria!$B$2:$B$9,"REVISAR"))</f>
        <v>Festival</v>
      </c>
      <c r="F454" s="4" t="str">
        <f aca="false">IF($A454="","",_xlfn.XLOOKUP(LOWER(TRIM(Base_Bruta!F454)),DePara_Cidade!$A$2:$A$29,DePara_Cidade!$B$2:$B$29,"REVISAR"))</f>
        <v>São Paulo</v>
      </c>
      <c r="G454" s="4" t="str">
        <f aca="false">IF($A454="","",TRIM(Base_Bruta!G454))</f>
        <v>Inteira</v>
      </c>
      <c r="H454" s="4" t="n">
        <f aca="false">IF($A454="","",IF(ISNUMBER(Base_Bruta!H454),Base_Bruta!H454,IFERROR(_xlfn.NUMBERVALUE(TRIM(SUBSTITUTE(Base_Bruta!H454,"R$","")),",","."),0)))</f>
        <v>1</v>
      </c>
      <c r="I454" s="6" t="n">
        <f aca="false">IF($A454="","",IF(ISNUMBER(Base_Bruta!I454),Base_Bruta!I454,IFERROR(_xlfn.NUMBERVALUE(TRIM(SUBSTITUTE(Base_Bruta!I454,"R$","")),",","."),0)))</f>
        <v>1020</v>
      </c>
      <c r="J454" s="6" t="n">
        <f aca="false">IF($A454="","",H454*I454)</f>
        <v>1020</v>
      </c>
      <c r="K454" s="4" t="str">
        <f aca="false">IF($A454="","",TRIM(Base_Bruta!J454))</f>
        <v>Site</v>
      </c>
      <c r="L454" s="4" t="str">
        <f aca="false">IF($A454="","",TRIM(Base_Bruta!K454))</f>
        <v>C01246</v>
      </c>
      <c r="M454" s="4" t="str">
        <f aca="false">IF($A454="","",_xlfn.XLOOKUP(LOWER(TRIM(Base_Bruta!L454)),DePara_Cidade!$A$2:$A$29,DePara_Cidade!$B$2:$B$29,"REVISAR"))</f>
        <v>São Paulo</v>
      </c>
      <c r="N454" s="4" t="str">
        <f aca="false">IF($A454="","",UPPER(TRIM(Base_Bruta!M454)))</f>
        <v>SP</v>
      </c>
      <c r="O454" s="4" t="str">
        <f aca="false">IF($A454="","",_xlfn.XLOOKUP(LOWER(TRIM(Base_Bruta!N454)),DePara_Pais!$A$2:$A$9,DePara_Pais!$B$2:$B$9,"REVISAR"))</f>
        <v>Brasil</v>
      </c>
      <c r="P454" s="4" t="str">
        <f aca="false">IF($A454="","",IF(O454&lt;&gt;"Brasil","Turista Internacional",IF(M454=F454,"Local","Turista Nacional")))</f>
        <v>Local</v>
      </c>
      <c r="Q454" s="7" t="n">
        <f aca="false">IF($A454="","",DATE(YEAR(B454),MONTH(B454),1))</f>
        <v>45962</v>
      </c>
      <c r="R454" s="4" t="str">
        <f aca="false">IF($A454="","",IF(COUNTIF($A$2:$A454,$A454)&gt;1,"Sim","Não"))</f>
        <v>Não</v>
      </c>
      <c r="S454" s="4" t="str">
        <f aca="false">IF(A454="","Descartar - Linha vazia",IF(R454="Sim","Descartar - Duplicado",IF(OR(H454&lt;=0,I454&lt;=0),"Descartar - Qtd/Valor inválido","OK")))</f>
        <v>OK</v>
      </c>
      <c r="T454" s="4" t="str">
        <f aca="false">Base_Bruta!P454</f>
        <v>vendas_SP.xlsx</v>
      </c>
    </row>
    <row r="455" customFormat="false" ht="15" hidden="false" customHeight="false" outlineLevel="0" collapsed="false">
      <c r="A455" s="4" t="str">
        <f aca="false">IF(Base_Bruta!A455="","",Base_Bruta!A455)</f>
        <v>SP-000169</v>
      </c>
      <c r="B455" s="5" t="n">
        <f aca="false">IF($A455="","",IF(ISNUMBER(Base_Bruta!B455),Base_Bruta!B455,IF(MID(Base_Bruta!B455,5,1)="-",DATE(VALUE(LEFT(Base_Bruta!B455,4)),VALUE(MID(Base_Bruta!B455,6,2)),VALUE(RIGHT(Base_Bruta!B455,2))),DATE(VALUE(RIGHT(Base_Bruta!B455,4)),VALUE(MID(Base_Bruta!B455,4,2)),VALUE(LEFT(Base_Bruta!B455,2))))))</f>
        <v>45972</v>
      </c>
      <c r="C455" s="5" t="n">
        <f aca="false">IF($A455="","",IF(ISNUMBER(Base_Bruta!C455),Base_Bruta!C455,IF(MID(Base_Bruta!C455,5,1)="-",DATE(VALUE(LEFT(Base_Bruta!C455,4)),VALUE(MID(Base_Bruta!C455,6,2)),VALUE(RIGHT(Base_Bruta!C455,2))),DATE(VALUE(RIGHT(Base_Bruta!C455,4)),VALUE(MID(Base_Bruta!C455,4,2)),VALUE(LEFT(Base_Bruta!C455,2))))))</f>
        <v>45976</v>
      </c>
      <c r="D455" s="4" t="str">
        <f aca="false">IF($A455="","",TRIM(Base_Bruta!D455))</f>
        <v>Festival Sonora SP 2025</v>
      </c>
      <c r="E455" s="4" t="str">
        <f aca="false">IF($A455="","",_xlfn.XLOOKUP(LOWER(TRIM(Base_Bruta!E455)),DePara_Categoria!$A$2:$A$9,DePara_Categoria!$B$2:$B$9,"REVISAR"))</f>
        <v>Festival</v>
      </c>
      <c r="F455" s="4" t="str">
        <f aca="false">IF($A455="","",_xlfn.XLOOKUP(LOWER(TRIM(Base_Bruta!F455)),DePara_Cidade!$A$2:$A$29,DePara_Cidade!$B$2:$B$29,"REVISAR"))</f>
        <v>São Paulo</v>
      </c>
      <c r="G455" s="4" t="str">
        <f aca="false">IF($A455="","",TRIM(Base_Bruta!G455))</f>
        <v>Meia</v>
      </c>
      <c r="H455" s="4" t="n">
        <f aca="false">IF($A455="","",IF(ISNUMBER(Base_Bruta!H455),Base_Bruta!H455,IFERROR(_xlfn.NUMBERVALUE(TRIM(SUBSTITUTE(Base_Bruta!H455,"R$","")),",","."),0)))</f>
        <v>1</v>
      </c>
      <c r="I455" s="6" t="n">
        <f aca="false">IF($A455="","",IF(ISNUMBER(Base_Bruta!I455),Base_Bruta!I455,IFERROR(_xlfn.NUMBERVALUE(TRIM(SUBSTITUTE(Base_Bruta!I455,"R$","")),",","."),0)))</f>
        <v>360</v>
      </c>
      <c r="J455" s="6" t="n">
        <f aca="false">IF($A455="","",H455*I455)</f>
        <v>360</v>
      </c>
      <c r="K455" s="4" t="str">
        <f aca="false">IF($A455="","",TRIM(Base_Bruta!J455))</f>
        <v>Site</v>
      </c>
      <c r="L455" s="4" t="str">
        <f aca="false">IF($A455="","",TRIM(Base_Bruta!K455))</f>
        <v>C01290</v>
      </c>
      <c r="M455" s="4" t="str">
        <f aca="false">IF($A455="","",_xlfn.XLOOKUP(LOWER(TRIM(Base_Bruta!L455)),DePara_Cidade!$A$2:$A$29,DePara_Cidade!$B$2:$B$29,"REVISAR"))</f>
        <v>Miami</v>
      </c>
      <c r="N455" s="4" t="str">
        <f aca="false">IF($A455="","",UPPER(TRIM(Base_Bruta!M455)))</f>
        <v>EX</v>
      </c>
      <c r="O455" s="4" t="str">
        <f aca="false">IF($A455="","",_xlfn.XLOOKUP(LOWER(TRIM(Base_Bruta!N455)),DePara_Pais!$A$2:$A$9,DePara_Pais!$B$2:$B$9,"REVISAR"))</f>
        <v>EUA</v>
      </c>
      <c r="P455" s="4" t="str">
        <f aca="false">IF($A455="","",IF(O455&lt;&gt;"Brasil","Turista Internacional",IF(M455=F455,"Local","Turista Nacional")))</f>
        <v>Turista Internacional</v>
      </c>
      <c r="Q455" s="7" t="n">
        <f aca="false">IF($A455="","",DATE(YEAR(B455),MONTH(B455),1))</f>
        <v>45962</v>
      </c>
      <c r="R455" s="4" t="str">
        <f aca="false">IF($A455="","",IF(COUNTIF($A$2:$A455,$A455)&gt;1,"Sim","Não"))</f>
        <v>Não</v>
      </c>
      <c r="S455" s="4" t="str">
        <f aca="false">IF(A455="","Descartar - Linha vazia",IF(R455="Sim","Descartar - Duplicado",IF(OR(H455&lt;=0,I455&lt;=0),"Descartar - Qtd/Valor inválido","OK")))</f>
        <v>OK</v>
      </c>
      <c r="T455" s="4" t="str">
        <f aca="false">Base_Bruta!P455</f>
        <v>vendas_SP.xlsx</v>
      </c>
    </row>
    <row r="456" customFormat="false" ht="15" hidden="false" customHeight="false" outlineLevel="0" collapsed="false">
      <c r="A456" s="4" t="str">
        <f aca="false">IF(Base_Bruta!A456="","",Base_Bruta!A456)</f>
        <v>SP-000196</v>
      </c>
      <c r="B456" s="5" t="n">
        <f aca="false">IF($A456="","",IF(ISNUMBER(Base_Bruta!B456),Base_Bruta!B456,IF(MID(Base_Bruta!B456,5,1)="-",DATE(VALUE(LEFT(Base_Bruta!B456,4)),VALUE(MID(Base_Bruta!B456,6,2)),VALUE(RIGHT(Base_Bruta!B456,2))),DATE(VALUE(RIGHT(Base_Bruta!B456,4)),VALUE(MID(Base_Bruta!B456,4,2)),VALUE(LEFT(Base_Bruta!B456,2))))))</f>
        <v>45972</v>
      </c>
      <c r="C456" s="5" t="n">
        <f aca="false">IF($A456="","",IF(ISNUMBER(Base_Bruta!C456),Base_Bruta!C456,IF(MID(Base_Bruta!C456,5,1)="-",DATE(VALUE(LEFT(Base_Bruta!C456,4)),VALUE(MID(Base_Bruta!C456,6,2)),VALUE(RIGHT(Base_Bruta!C456,2))),DATE(VALUE(RIGHT(Base_Bruta!C456,4)),VALUE(MID(Base_Bruta!C456,4,2)),VALUE(LEFT(Base_Bruta!C456,2))))))</f>
        <v>45976</v>
      </c>
      <c r="D456" s="4" t="str">
        <f aca="false">IF($A456="","",TRIM(Base_Bruta!D456))</f>
        <v>Festival Sonora SP 2025</v>
      </c>
      <c r="E456" s="4" t="str">
        <f aca="false">IF($A456="","",_xlfn.XLOOKUP(LOWER(TRIM(Base_Bruta!E456)),DePara_Categoria!$A$2:$A$9,DePara_Categoria!$B$2:$B$9,"REVISAR"))</f>
        <v>Festival</v>
      </c>
      <c r="F456" s="4" t="str">
        <f aca="false">IF($A456="","",_xlfn.XLOOKUP(LOWER(TRIM(Base_Bruta!F456)),DePara_Cidade!$A$2:$A$29,DePara_Cidade!$B$2:$B$29,"REVISAR"))</f>
        <v>São Paulo</v>
      </c>
      <c r="G456" s="4" t="str">
        <f aca="false">IF($A456="","",TRIM(Base_Bruta!G456))</f>
        <v>Meia</v>
      </c>
      <c r="H456" s="4" t="n">
        <f aca="false">IF($A456="","",IF(ISNUMBER(Base_Bruta!H456),Base_Bruta!H456,IFERROR(_xlfn.NUMBERVALUE(TRIM(SUBSTITUTE(Base_Bruta!H456,"R$","")),",","."),0)))</f>
        <v>3</v>
      </c>
      <c r="I456" s="6" t="n">
        <f aca="false">IF($A456="","",IF(ISNUMBER(Base_Bruta!I456),Base_Bruta!I456,IFERROR(_xlfn.NUMBERVALUE(TRIM(SUBSTITUTE(Base_Bruta!I456,"R$","")),",","."),0)))</f>
        <v>550</v>
      </c>
      <c r="J456" s="6" t="n">
        <f aca="false">IF($A456="","",H456*I456)</f>
        <v>1650</v>
      </c>
      <c r="K456" s="4" t="str">
        <f aca="false">IF($A456="","",TRIM(Base_Bruta!J456))</f>
        <v>App</v>
      </c>
      <c r="L456" s="4" t="str">
        <f aca="false">IF($A456="","",TRIM(Base_Bruta!K456))</f>
        <v>C00334</v>
      </c>
      <c r="M456" s="4" t="str">
        <f aca="false">IF($A456="","",_xlfn.XLOOKUP(LOWER(TRIM(Base_Bruta!L456)),DePara_Cidade!$A$2:$A$29,DePara_Cidade!$B$2:$B$29,"REVISAR"))</f>
        <v>São Paulo</v>
      </c>
      <c r="N456" s="4" t="str">
        <f aca="false">IF($A456="","",UPPER(TRIM(Base_Bruta!M456)))</f>
        <v>SP</v>
      </c>
      <c r="O456" s="4" t="str">
        <f aca="false">IF($A456="","",_xlfn.XLOOKUP(LOWER(TRIM(Base_Bruta!N456)),DePara_Pais!$A$2:$A$9,DePara_Pais!$B$2:$B$9,"REVISAR"))</f>
        <v>Brasil</v>
      </c>
      <c r="P456" s="4" t="str">
        <f aca="false">IF($A456="","",IF(O456&lt;&gt;"Brasil","Turista Internacional",IF(M456=F456,"Local","Turista Nacional")))</f>
        <v>Local</v>
      </c>
      <c r="Q456" s="7" t="n">
        <f aca="false">IF($A456="","",DATE(YEAR(B456),MONTH(B456),1))</f>
        <v>45962</v>
      </c>
      <c r="R456" s="4" t="str">
        <f aca="false">IF($A456="","",IF(COUNTIF($A$2:$A456,$A456)&gt;1,"Sim","Não"))</f>
        <v>Não</v>
      </c>
      <c r="S456" s="4" t="str">
        <f aca="false">IF(A456="","Descartar - Linha vazia",IF(R456="Sim","Descartar - Duplicado",IF(OR(H456&lt;=0,I456&lt;=0),"Descartar - Qtd/Valor inválido","OK")))</f>
        <v>OK</v>
      </c>
      <c r="T456" s="4" t="str">
        <f aca="false">Base_Bruta!P456</f>
        <v>vendas_SP.xlsx</v>
      </c>
    </row>
    <row r="457" customFormat="false" ht="15" hidden="false" customHeight="false" outlineLevel="0" collapsed="false">
      <c r="A457" s="4" t="str">
        <f aca="false">IF(Base_Bruta!A457="","",Base_Bruta!A457)</f>
        <v>SP-000665</v>
      </c>
      <c r="B457" s="5" t="n">
        <f aca="false">IF($A457="","",IF(ISNUMBER(Base_Bruta!B457),Base_Bruta!B457,IF(MID(Base_Bruta!B457,5,1)="-",DATE(VALUE(LEFT(Base_Bruta!B457,4)),VALUE(MID(Base_Bruta!B457,6,2)),VALUE(RIGHT(Base_Bruta!B457,2))),DATE(VALUE(RIGHT(Base_Bruta!B457,4)),VALUE(MID(Base_Bruta!B457,4,2)),VALUE(LEFT(Base_Bruta!B457,2))))))</f>
        <v>45972</v>
      </c>
      <c r="C457" s="5" t="n">
        <f aca="false">IF($A457="","",IF(ISNUMBER(Base_Bruta!C457),Base_Bruta!C457,IF(MID(Base_Bruta!C457,5,1)="-",DATE(VALUE(LEFT(Base_Bruta!C457,4)),VALUE(MID(Base_Bruta!C457,6,2)),VALUE(RIGHT(Base_Bruta!C457,2))),DATE(VALUE(RIGHT(Base_Bruta!C457,4)),VALUE(MID(Base_Bruta!C457,4,2)),VALUE(LEFT(Base_Bruta!C457,2))))))</f>
        <v>45973</v>
      </c>
      <c r="D457" s="4" t="str">
        <f aca="false">IF($A457="","",TRIM(Base_Bruta!D457))</f>
        <v>Cinema Paulista - Sessões</v>
      </c>
      <c r="E457" s="4" t="str">
        <f aca="false">IF($A457="","",_xlfn.XLOOKUP(LOWER(TRIM(Base_Bruta!E457)),DePara_Categoria!$A$2:$A$9,DePara_Categoria!$B$2:$B$9,"REVISAR"))</f>
        <v>Cinema</v>
      </c>
      <c r="F457" s="4" t="str">
        <f aca="false">IF($A457="","",_xlfn.XLOOKUP(LOWER(TRIM(Base_Bruta!F457)),DePara_Cidade!$A$2:$A$29,DePara_Cidade!$B$2:$B$29,"REVISAR"))</f>
        <v>São Paulo</v>
      </c>
      <c r="G457" s="4" t="str">
        <f aca="false">IF($A457="","",TRIM(Base_Bruta!G457))</f>
        <v>Inteira</v>
      </c>
      <c r="H457" s="4" t="n">
        <f aca="false">IF($A457="","",IF(ISNUMBER(Base_Bruta!H457),Base_Bruta!H457,IFERROR(_xlfn.NUMBERVALUE(TRIM(SUBSTITUTE(Base_Bruta!H457,"R$","")),",","."),0)))</f>
        <v>2</v>
      </c>
      <c r="I457" s="6" t="n">
        <f aca="false">IF($A457="","",IF(ISNUMBER(Base_Bruta!I457),Base_Bruta!I457,IFERROR(_xlfn.NUMBERVALUE(TRIM(SUBSTITUTE(Base_Bruta!I457,"R$","")),",","."),0)))</f>
        <v>40</v>
      </c>
      <c r="J457" s="6" t="n">
        <f aca="false">IF($A457="","",H457*I457)</f>
        <v>80</v>
      </c>
      <c r="K457" s="4" t="str">
        <f aca="false">IF($A457="","",TRIM(Base_Bruta!J457))</f>
        <v>Site</v>
      </c>
      <c r="L457" s="4" t="str">
        <f aca="false">IF($A457="","",TRIM(Base_Bruta!K457))</f>
        <v>C00709</v>
      </c>
      <c r="M457" s="4" t="str">
        <f aca="false">IF($A457="","",_xlfn.XLOOKUP(LOWER(TRIM(Base_Bruta!L457)),DePara_Cidade!$A$2:$A$29,DePara_Cidade!$B$2:$B$29,"REVISAR"))</f>
        <v>São Paulo</v>
      </c>
      <c r="N457" s="4" t="str">
        <f aca="false">IF($A457="","",UPPER(TRIM(Base_Bruta!M457)))</f>
        <v>SP</v>
      </c>
      <c r="O457" s="4" t="str">
        <f aca="false">IF($A457="","",_xlfn.XLOOKUP(LOWER(TRIM(Base_Bruta!N457)),DePara_Pais!$A$2:$A$9,DePara_Pais!$B$2:$B$9,"REVISAR"))</f>
        <v>Brasil</v>
      </c>
      <c r="P457" s="4" t="str">
        <f aca="false">IF($A457="","",IF(O457&lt;&gt;"Brasil","Turista Internacional",IF(M457=F457,"Local","Turista Nacional")))</f>
        <v>Local</v>
      </c>
      <c r="Q457" s="7" t="n">
        <f aca="false">IF($A457="","",DATE(YEAR(B457),MONTH(B457),1))</f>
        <v>45962</v>
      </c>
      <c r="R457" s="4" t="str">
        <f aca="false">IF($A457="","",IF(COUNTIF($A$2:$A457,$A457)&gt;1,"Sim","Não"))</f>
        <v>Não</v>
      </c>
      <c r="S457" s="4" t="str">
        <f aca="false">IF(A457="","Descartar - Linha vazia",IF(R457="Sim","Descartar - Duplicado",IF(OR(H457&lt;=0,I457&lt;=0),"Descartar - Qtd/Valor inválido","OK")))</f>
        <v>OK</v>
      </c>
      <c r="T457" s="4" t="str">
        <f aca="false">Base_Bruta!P457</f>
        <v>vendas_SP.xlsx</v>
      </c>
    </row>
    <row r="458" customFormat="false" ht="15" hidden="false" customHeight="false" outlineLevel="0" collapsed="false">
      <c r="A458" s="4" t="str">
        <f aca="false">IF(Base_Bruta!A458="","",Base_Bruta!A458)</f>
        <v>SP-000701</v>
      </c>
      <c r="B458" s="5" t="n">
        <f aca="false">IF($A458="","",IF(ISNUMBER(Base_Bruta!B458),Base_Bruta!B458,IF(MID(Base_Bruta!B458,5,1)="-",DATE(VALUE(LEFT(Base_Bruta!B458,4)),VALUE(MID(Base_Bruta!B458,6,2)),VALUE(RIGHT(Base_Bruta!B458,2))),DATE(VALUE(RIGHT(Base_Bruta!B458,4)),VALUE(MID(Base_Bruta!B458,4,2)),VALUE(LEFT(Base_Bruta!B458,2))))))</f>
        <v>45972</v>
      </c>
      <c r="C458" s="5" t="n">
        <f aca="false">IF($A458="","",IF(ISNUMBER(Base_Bruta!C458),Base_Bruta!C458,IF(MID(Base_Bruta!C458,5,1)="-",DATE(VALUE(LEFT(Base_Bruta!C458,4)),VALUE(MID(Base_Bruta!C458,6,2)),VALUE(RIGHT(Base_Bruta!C458,2))),DATE(VALUE(RIGHT(Base_Bruta!C458,4)),VALUE(MID(Base_Bruta!C458,4,2)),VALUE(LEFT(Base_Bruta!C458,2))))))</f>
        <v>45975</v>
      </c>
      <c r="D458" s="4" t="str">
        <f aca="false">IF($A458="","",TRIM(Base_Bruta!D458))</f>
        <v>Cinema Paulista - Sessões</v>
      </c>
      <c r="E458" s="4" t="str">
        <f aca="false">IF($A458="","",_xlfn.XLOOKUP(LOWER(TRIM(Base_Bruta!E458)),DePara_Categoria!$A$2:$A$9,DePara_Categoria!$B$2:$B$9,"REVISAR"))</f>
        <v>Cinema</v>
      </c>
      <c r="F458" s="4" t="str">
        <f aca="false">IF($A458="","",_xlfn.XLOOKUP(LOWER(TRIM(Base_Bruta!F458)),DePara_Cidade!$A$2:$A$29,DePara_Cidade!$B$2:$B$29,"REVISAR"))</f>
        <v>São Paulo</v>
      </c>
      <c r="G458" s="4" t="str">
        <f aca="false">IF($A458="","",TRIM(Base_Bruta!G458))</f>
        <v>Inteira</v>
      </c>
      <c r="H458" s="4" t="n">
        <f aca="false">IF($A458="","",IF(ISNUMBER(Base_Bruta!H458),Base_Bruta!H458,IFERROR(_xlfn.NUMBERVALUE(TRIM(SUBSTITUTE(Base_Bruta!H458,"R$","")),",","."),0)))</f>
        <v>2</v>
      </c>
      <c r="I458" s="6" t="n">
        <f aca="false">IF($A458="","",IF(ISNUMBER(Base_Bruta!I458),Base_Bruta!I458,IFERROR(_xlfn.NUMBERVALUE(TRIM(SUBSTITUTE(Base_Bruta!I458,"R$","")),",","."),0)))</f>
        <v>45</v>
      </c>
      <c r="J458" s="6" t="n">
        <f aca="false">IF($A458="","",H458*I458)</f>
        <v>90</v>
      </c>
      <c r="K458" s="4" t="str">
        <f aca="false">IF($A458="","",TRIM(Base_Bruta!J458))</f>
        <v>Site</v>
      </c>
      <c r="L458" s="4" t="str">
        <f aca="false">IF($A458="","",TRIM(Base_Bruta!K458))</f>
        <v>C00883</v>
      </c>
      <c r="M458" s="4" t="str">
        <f aca="false">IF($A458="","",_xlfn.XLOOKUP(LOWER(TRIM(Base_Bruta!L458)),DePara_Cidade!$A$2:$A$29,DePara_Cidade!$B$2:$B$29,"REVISAR"))</f>
        <v>São Paulo</v>
      </c>
      <c r="N458" s="4" t="str">
        <f aca="false">IF($A458="","",UPPER(TRIM(Base_Bruta!M458)))</f>
        <v>SP</v>
      </c>
      <c r="O458" s="4" t="str">
        <f aca="false">IF($A458="","",_xlfn.XLOOKUP(LOWER(TRIM(Base_Bruta!N458)),DePara_Pais!$A$2:$A$9,DePara_Pais!$B$2:$B$9,"REVISAR"))</f>
        <v>Brasil</v>
      </c>
      <c r="P458" s="4" t="str">
        <f aca="false">IF($A458="","",IF(O458&lt;&gt;"Brasil","Turista Internacional",IF(M458=F458,"Local","Turista Nacional")))</f>
        <v>Local</v>
      </c>
      <c r="Q458" s="7" t="n">
        <f aca="false">IF($A458="","",DATE(YEAR(B458),MONTH(B458),1))</f>
        <v>45962</v>
      </c>
      <c r="R458" s="4" t="str">
        <f aca="false">IF($A458="","",IF(COUNTIF($A$2:$A458,$A458)&gt;1,"Sim","Não"))</f>
        <v>Não</v>
      </c>
      <c r="S458" s="4" t="str">
        <f aca="false">IF(A458="","Descartar - Linha vazia",IF(R458="Sim","Descartar - Duplicado",IF(OR(H458&lt;=0,I458&lt;=0),"Descartar - Qtd/Valor inválido","OK")))</f>
        <v>OK</v>
      </c>
      <c r="T458" s="4" t="str">
        <f aca="false">Base_Bruta!P458</f>
        <v>vendas_SP.xlsx</v>
      </c>
    </row>
    <row r="459" customFormat="false" ht="15" hidden="false" customHeight="false" outlineLevel="0" collapsed="false">
      <c r="A459" s="4" t="str">
        <f aca="false">IF(Base_Bruta!A459="","",Base_Bruta!A459)</f>
        <v>SP-000040</v>
      </c>
      <c r="B459" s="5" t="n">
        <f aca="false">IF($A459="","",IF(ISNUMBER(Base_Bruta!B459),Base_Bruta!B459,IF(MID(Base_Bruta!B459,5,1)="-",DATE(VALUE(LEFT(Base_Bruta!B459,4)),VALUE(MID(Base_Bruta!B459,6,2)),VALUE(RIGHT(Base_Bruta!B459,2))),DATE(VALUE(RIGHT(Base_Bruta!B459,4)),VALUE(MID(Base_Bruta!B459,4,2)),VALUE(LEFT(Base_Bruta!B459,2))))))</f>
        <v>45973</v>
      </c>
      <c r="C459" s="5" t="n">
        <f aca="false">IF($A459="","",IF(ISNUMBER(Base_Bruta!C459),Base_Bruta!C459,IF(MID(Base_Bruta!C459,5,1)="-",DATE(VALUE(LEFT(Base_Bruta!C459,4)),VALUE(MID(Base_Bruta!C459,6,2)),VALUE(RIGHT(Base_Bruta!C459,2))),DATE(VALUE(RIGHT(Base_Bruta!C459,4)),VALUE(MID(Base_Bruta!C459,4,2)),VALUE(LEFT(Base_Bruta!C459,2))))))</f>
        <v>45976</v>
      </c>
      <c r="D459" s="4" t="str">
        <f aca="false">IF($A459="","",TRIM(Base_Bruta!D459))</f>
        <v>Festival Sonora SP 2025</v>
      </c>
      <c r="E459" s="4" t="str">
        <f aca="false">IF($A459="","",_xlfn.XLOOKUP(LOWER(TRIM(Base_Bruta!E459)),DePara_Categoria!$A$2:$A$9,DePara_Categoria!$B$2:$B$9,"REVISAR"))</f>
        <v>Festival</v>
      </c>
      <c r="F459" s="4" t="str">
        <f aca="false">IF($A459="","",_xlfn.XLOOKUP(LOWER(TRIM(Base_Bruta!F459)),DePara_Cidade!$A$2:$A$29,DePara_Cidade!$B$2:$B$29,"REVISAR"))</f>
        <v>São Paulo</v>
      </c>
      <c r="G459" s="4" t="str">
        <f aca="false">IF($A459="","",TRIM(Base_Bruta!G459))</f>
        <v>VIP</v>
      </c>
      <c r="H459" s="4" t="n">
        <f aca="false">IF($A459="","",IF(ISNUMBER(Base_Bruta!H459),Base_Bruta!H459,IFERROR(_xlfn.NUMBERVALUE(TRIM(SUBSTITUTE(Base_Bruta!H459,"R$","")),",","."),0)))</f>
        <v>2</v>
      </c>
      <c r="I459" s="6" t="n">
        <f aca="false">IF($A459="","",IF(ISNUMBER(Base_Bruta!I459),Base_Bruta!I459,IFERROR(_xlfn.NUMBERVALUE(TRIM(SUBSTITUTE(Base_Bruta!I459,"R$","")),",","."),0)))</f>
        <v>2250</v>
      </c>
      <c r="J459" s="6" t="n">
        <f aca="false">IF($A459="","",H459*I459)</f>
        <v>4500</v>
      </c>
      <c r="K459" s="4" t="str">
        <f aca="false">IF($A459="","",TRIM(Base_Bruta!J459))</f>
        <v>Parceiro</v>
      </c>
      <c r="L459" s="4" t="str">
        <f aca="false">IF($A459="","",TRIM(Base_Bruta!K459))</f>
        <v>C00840</v>
      </c>
      <c r="M459" s="4" t="str">
        <f aca="false">IF($A459="","",_xlfn.XLOOKUP(LOWER(TRIM(Base_Bruta!L459)),DePara_Cidade!$A$2:$A$29,DePara_Cidade!$B$2:$B$29,"REVISAR"))</f>
        <v>São Paulo</v>
      </c>
      <c r="N459" s="4" t="str">
        <f aca="false">IF($A459="","",UPPER(TRIM(Base_Bruta!M459)))</f>
        <v>SP</v>
      </c>
      <c r="O459" s="4" t="str">
        <f aca="false">IF($A459="","",_xlfn.XLOOKUP(LOWER(TRIM(Base_Bruta!N459)),DePara_Pais!$A$2:$A$9,DePara_Pais!$B$2:$B$9,"REVISAR"))</f>
        <v>Brasil</v>
      </c>
      <c r="P459" s="4" t="str">
        <f aca="false">IF($A459="","",IF(O459&lt;&gt;"Brasil","Turista Internacional",IF(M459=F459,"Local","Turista Nacional")))</f>
        <v>Local</v>
      </c>
      <c r="Q459" s="7" t="n">
        <f aca="false">IF($A459="","",DATE(YEAR(B459),MONTH(B459),1))</f>
        <v>45962</v>
      </c>
      <c r="R459" s="4" t="str">
        <f aca="false">IF($A459="","",IF(COUNTIF($A$2:$A459,$A459)&gt;1,"Sim","Não"))</f>
        <v>Não</v>
      </c>
      <c r="S459" s="4" t="str">
        <f aca="false">IF(A459="","Descartar - Linha vazia",IF(R459="Sim","Descartar - Duplicado",IF(OR(H459&lt;=0,I459&lt;=0),"Descartar - Qtd/Valor inválido","OK")))</f>
        <v>OK</v>
      </c>
      <c r="T459" s="4" t="str">
        <f aca="false">Base_Bruta!P459</f>
        <v>vendas_SP.xlsx</v>
      </c>
    </row>
    <row r="460" customFormat="false" ht="15" hidden="false" customHeight="false" outlineLevel="0" collapsed="false">
      <c r="A460" s="4" t="str">
        <f aca="false">IF(Base_Bruta!A460="","",Base_Bruta!A460)</f>
        <v>SP-000044</v>
      </c>
      <c r="B460" s="5" t="n">
        <f aca="false">IF($A460="","",IF(ISNUMBER(Base_Bruta!B460),Base_Bruta!B460,IF(MID(Base_Bruta!B460,5,1)="-",DATE(VALUE(LEFT(Base_Bruta!B460,4)),VALUE(MID(Base_Bruta!B460,6,2)),VALUE(RIGHT(Base_Bruta!B460,2))),DATE(VALUE(RIGHT(Base_Bruta!B460,4)),VALUE(MID(Base_Bruta!B460,4,2)),VALUE(LEFT(Base_Bruta!B460,2))))))</f>
        <v>45973</v>
      </c>
      <c r="C460" s="5" t="n">
        <f aca="false">IF($A460="","",IF(ISNUMBER(Base_Bruta!C460),Base_Bruta!C460,IF(MID(Base_Bruta!C460,5,1)="-",DATE(VALUE(LEFT(Base_Bruta!C460,4)),VALUE(MID(Base_Bruta!C460,6,2)),VALUE(RIGHT(Base_Bruta!C460,2))),DATE(VALUE(RIGHT(Base_Bruta!C460,4)),VALUE(MID(Base_Bruta!C460,4,2)),VALUE(LEFT(Base_Bruta!C460,2))))))</f>
        <v>45976</v>
      </c>
      <c r="D460" s="4" t="str">
        <f aca="false">IF($A460="","",TRIM(Base_Bruta!D460))</f>
        <v>Festival Sonora SP 2025</v>
      </c>
      <c r="E460" s="4" t="str">
        <f aca="false">IF($A460="","",_xlfn.XLOOKUP(LOWER(TRIM(Base_Bruta!E460)),DePara_Categoria!$A$2:$A$9,DePara_Categoria!$B$2:$B$9,"REVISAR"))</f>
        <v>Festival</v>
      </c>
      <c r="F460" s="4" t="str">
        <f aca="false">IF($A460="","",_xlfn.XLOOKUP(LOWER(TRIM(Base_Bruta!F460)),DePara_Cidade!$A$2:$A$29,DePara_Cidade!$B$2:$B$29,"REVISAR"))</f>
        <v>São Paulo</v>
      </c>
      <c r="G460" s="4" t="str">
        <f aca="false">IF($A460="","",TRIM(Base_Bruta!G460))</f>
        <v>Inteira</v>
      </c>
      <c r="H460" s="4" t="n">
        <f aca="false">IF($A460="","",IF(ISNUMBER(Base_Bruta!H460),Base_Bruta!H460,IFERROR(_xlfn.NUMBERVALUE(TRIM(SUBSTITUTE(Base_Bruta!H460,"R$","")),",","."),0)))</f>
        <v>0</v>
      </c>
      <c r="I460" s="6" t="n">
        <f aca="false">IF($A460="","",IF(ISNUMBER(Base_Bruta!I460),Base_Bruta!I460,IFERROR(_xlfn.NUMBERVALUE(TRIM(SUBSTITUTE(Base_Bruta!I460,"R$","")),",","."),0)))</f>
        <v>1095</v>
      </c>
      <c r="J460" s="6" t="n">
        <f aca="false">IF($A460="","",H460*I460)</f>
        <v>0</v>
      </c>
      <c r="K460" s="4" t="str">
        <f aca="false">IF($A460="","",TRIM(Base_Bruta!J460))</f>
        <v>Bilheteria</v>
      </c>
      <c r="L460" s="4" t="str">
        <f aca="false">IF($A460="","",TRIM(Base_Bruta!K460))</f>
        <v>C00502</v>
      </c>
      <c r="M460" s="4" t="str">
        <f aca="false">IF($A460="","",_xlfn.XLOOKUP(LOWER(TRIM(Base_Bruta!L460)),DePara_Cidade!$A$2:$A$29,DePara_Cidade!$B$2:$B$29,"REVISAR"))</f>
        <v>São Paulo</v>
      </c>
      <c r="N460" s="4" t="str">
        <f aca="false">IF($A460="","",UPPER(TRIM(Base_Bruta!M460)))</f>
        <v>SP</v>
      </c>
      <c r="O460" s="4" t="str">
        <f aca="false">IF($A460="","",_xlfn.XLOOKUP(LOWER(TRIM(Base_Bruta!N460)),DePara_Pais!$A$2:$A$9,DePara_Pais!$B$2:$B$9,"REVISAR"))</f>
        <v>Brasil</v>
      </c>
      <c r="P460" s="4" t="str">
        <f aca="false">IF($A460="","",IF(O460&lt;&gt;"Brasil","Turista Internacional",IF(M460=F460,"Local","Turista Nacional")))</f>
        <v>Local</v>
      </c>
      <c r="Q460" s="7" t="n">
        <f aca="false">IF($A460="","",DATE(YEAR(B460),MONTH(B460),1))</f>
        <v>45962</v>
      </c>
      <c r="R460" s="4" t="str">
        <f aca="false">IF($A460="","",IF(COUNTIF($A$2:$A460,$A460)&gt;1,"Sim","Não"))</f>
        <v>Não</v>
      </c>
      <c r="S460" s="4" t="str">
        <f aca="false">IF(A460="","Descartar - Linha vazia",IF(R460="Sim","Descartar - Duplicado",IF(OR(H460&lt;=0,I460&lt;=0),"Descartar - Qtd/Valor inválido","OK")))</f>
        <v>Descartar - Qtd/Valor inválido</v>
      </c>
      <c r="T460" s="4" t="str">
        <f aca="false">Base_Bruta!P460</f>
        <v>vendas_SP.xlsx</v>
      </c>
    </row>
    <row r="461" customFormat="false" ht="15" hidden="false" customHeight="false" outlineLevel="0" collapsed="false">
      <c r="A461" s="4" t="str">
        <f aca="false">IF(Base_Bruta!A461="","",Base_Bruta!A461)</f>
        <v>SP-000054</v>
      </c>
      <c r="B461" s="5" t="n">
        <f aca="false">IF($A461="","",IF(ISNUMBER(Base_Bruta!B461),Base_Bruta!B461,IF(MID(Base_Bruta!B461,5,1)="-",DATE(VALUE(LEFT(Base_Bruta!B461,4)),VALUE(MID(Base_Bruta!B461,6,2)),VALUE(RIGHT(Base_Bruta!B461,2))),DATE(VALUE(RIGHT(Base_Bruta!B461,4)),VALUE(MID(Base_Bruta!B461,4,2)),VALUE(LEFT(Base_Bruta!B461,2))))))</f>
        <v>45973</v>
      </c>
      <c r="C461" s="5" t="n">
        <f aca="false">IF($A461="","",IF(ISNUMBER(Base_Bruta!C461),Base_Bruta!C461,IF(MID(Base_Bruta!C461,5,1)="-",DATE(VALUE(LEFT(Base_Bruta!C461,4)),VALUE(MID(Base_Bruta!C461,6,2)),VALUE(RIGHT(Base_Bruta!C461,2))),DATE(VALUE(RIGHT(Base_Bruta!C461,4)),VALUE(MID(Base_Bruta!C461,4,2)),VALUE(LEFT(Base_Bruta!C461,2))))))</f>
        <v>45976</v>
      </c>
      <c r="D461" s="4" t="str">
        <f aca="false">IF($A461="","",TRIM(Base_Bruta!D461))</f>
        <v>Festival Sonora SP 2025</v>
      </c>
      <c r="E461" s="4" t="str">
        <f aca="false">IF($A461="","",_xlfn.XLOOKUP(LOWER(TRIM(Base_Bruta!E461)),DePara_Categoria!$A$2:$A$9,DePara_Categoria!$B$2:$B$9,"REVISAR"))</f>
        <v>Festival</v>
      </c>
      <c r="F461" s="4" t="str">
        <f aca="false">IF($A461="","",_xlfn.XLOOKUP(LOWER(TRIM(Base_Bruta!F461)),DePara_Cidade!$A$2:$A$29,DePara_Cidade!$B$2:$B$29,"REVISAR"))</f>
        <v>São Paulo</v>
      </c>
      <c r="G461" s="4" t="str">
        <f aca="false">IF($A461="","",TRIM(Base_Bruta!G461))</f>
        <v>Inteira</v>
      </c>
      <c r="H461" s="4" t="n">
        <f aca="false">IF($A461="","",IF(ISNUMBER(Base_Bruta!H461),Base_Bruta!H461,IFERROR(_xlfn.NUMBERVALUE(TRIM(SUBSTITUTE(Base_Bruta!H461,"R$","")),",","."),0)))</f>
        <v>1</v>
      </c>
      <c r="I461" s="6" t="n">
        <f aca="false">IF($A461="","",IF(ISNUMBER(Base_Bruta!I461),Base_Bruta!I461,IFERROR(_xlfn.NUMBERVALUE(TRIM(SUBSTITUTE(Base_Bruta!I461,"R$","")),",","."),0)))</f>
        <v>1020</v>
      </c>
      <c r="J461" s="6" t="n">
        <f aca="false">IF($A461="","",H461*I461)</f>
        <v>1020</v>
      </c>
      <c r="K461" s="4" t="str">
        <f aca="false">IF($A461="","",TRIM(Base_Bruta!J461))</f>
        <v>App</v>
      </c>
      <c r="L461" s="4" t="str">
        <f aca="false">IF($A461="","",TRIM(Base_Bruta!K461))</f>
        <v>C01473</v>
      </c>
      <c r="M461" s="4" t="str">
        <f aca="false">IF($A461="","",_xlfn.XLOOKUP(LOWER(TRIM(Base_Bruta!L461)),DePara_Cidade!$A$2:$A$29,DePara_Cidade!$B$2:$B$29,"REVISAR"))</f>
        <v>São Paulo</v>
      </c>
      <c r="N461" s="4" t="str">
        <f aca="false">IF($A461="","",UPPER(TRIM(Base_Bruta!M461)))</f>
        <v>SP</v>
      </c>
      <c r="O461" s="4" t="str">
        <f aca="false">IF($A461="","",_xlfn.XLOOKUP(LOWER(TRIM(Base_Bruta!N461)),DePara_Pais!$A$2:$A$9,DePara_Pais!$B$2:$B$9,"REVISAR"))</f>
        <v>Brasil</v>
      </c>
      <c r="P461" s="4" t="str">
        <f aca="false">IF($A461="","",IF(O461&lt;&gt;"Brasil","Turista Internacional",IF(M461=F461,"Local","Turista Nacional")))</f>
        <v>Local</v>
      </c>
      <c r="Q461" s="7" t="n">
        <f aca="false">IF($A461="","",DATE(YEAR(B461),MONTH(B461),1))</f>
        <v>45962</v>
      </c>
      <c r="R461" s="4" t="str">
        <f aca="false">IF($A461="","",IF(COUNTIF($A$2:$A461,$A461)&gt;1,"Sim","Não"))</f>
        <v>Não</v>
      </c>
      <c r="S461" s="4" t="str">
        <f aca="false">IF(A461="","Descartar - Linha vazia",IF(R461="Sim","Descartar - Duplicado",IF(OR(H461&lt;=0,I461&lt;=0),"Descartar - Qtd/Valor inválido","OK")))</f>
        <v>OK</v>
      </c>
      <c r="T461" s="4" t="str">
        <f aca="false">Base_Bruta!P461</f>
        <v>vendas_SP.xlsx</v>
      </c>
    </row>
    <row r="462" customFormat="false" ht="15" hidden="false" customHeight="false" outlineLevel="0" collapsed="false">
      <c r="A462" s="4" t="str">
        <f aca="false">IF(Base_Bruta!A462="","",Base_Bruta!A462)</f>
        <v>SP-000082</v>
      </c>
      <c r="B462" s="5" t="n">
        <f aca="false">IF($A462="","",IF(ISNUMBER(Base_Bruta!B462),Base_Bruta!B462,IF(MID(Base_Bruta!B462,5,1)="-",DATE(VALUE(LEFT(Base_Bruta!B462,4)),VALUE(MID(Base_Bruta!B462,6,2)),VALUE(RIGHT(Base_Bruta!B462,2))),DATE(VALUE(RIGHT(Base_Bruta!B462,4)),VALUE(MID(Base_Bruta!B462,4,2)),VALUE(LEFT(Base_Bruta!B462,2))))))</f>
        <v>45973</v>
      </c>
      <c r="C462" s="5" t="n">
        <f aca="false">IF($A462="","",IF(ISNUMBER(Base_Bruta!C462),Base_Bruta!C462,IF(MID(Base_Bruta!C462,5,1)="-",DATE(VALUE(LEFT(Base_Bruta!C462,4)),VALUE(MID(Base_Bruta!C462,6,2)),VALUE(RIGHT(Base_Bruta!C462,2))),DATE(VALUE(RIGHT(Base_Bruta!C462,4)),VALUE(MID(Base_Bruta!C462,4,2)),VALUE(LEFT(Base_Bruta!C462,2))))))</f>
        <v>45976</v>
      </c>
      <c r="D462" s="4" t="str">
        <f aca="false">IF($A462="","",TRIM(Base_Bruta!D462))</f>
        <v>Festival Sonora SP 2025</v>
      </c>
      <c r="E462" s="4" t="str">
        <f aca="false">IF($A462="","",_xlfn.XLOOKUP(LOWER(TRIM(Base_Bruta!E462)),DePara_Categoria!$A$2:$A$9,DePara_Categoria!$B$2:$B$9,"REVISAR"))</f>
        <v>Festival</v>
      </c>
      <c r="F462" s="4" t="str">
        <f aca="false">IF($A462="","",_xlfn.XLOOKUP(LOWER(TRIM(Base_Bruta!F462)),DePara_Cidade!$A$2:$A$29,DePara_Cidade!$B$2:$B$29,"REVISAR"))</f>
        <v>São Paulo</v>
      </c>
      <c r="G462" s="4" t="str">
        <f aca="false">IF($A462="","",TRIM(Base_Bruta!G462))</f>
        <v>Inteira</v>
      </c>
      <c r="H462" s="4" t="n">
        <f aca="false">IF($A462="","",IF(ISNUMBER(Base_Bruta!H462),Base_Bruta!H462,IFERROR(_xlfn.NUMBERVALUE(TRIM(SUBSTITUTE(Base_Bruta!H462,"R$","")),",","."),0)))</f>
        <v>3</v>
      </c>
      <c r="I462" s="6" t="n">
        <f aca="false">IF($A462="","",IF(ISNUMBER(Base_Bruta!I462),Base_Bruta!I462,IFERROR(_xlfn.NUMBERVALUE(TRIM(SUBSTITUTE(Base_Bruta!I462,"R$","")),",","."),0)))</f>
        <v>895</v>
      </c>
      <c r="J462" s="6" t="n">
        <f aca="false">IF($A462="","",H462*I462)</f>
        <v>2685</v>
      </c>
      <c r="K462" s="4" t="str">
        <f aca="false">IF($A462="","",TRIM(Base_Bruta!J462))</f>
        <v>Site</v>
      </c>
      <c r="L462" s="4" t="str">
        <f aca="false">IF($A462="","",TRIM(Base_Bruta!K462))</f>
        <v>C01422</v>
      </c>
      <c r="M462" s="4" t="str">
        <f aca="false">IF($A462="","",_xlfn.XLOOKUP(LOWER(TRIM(Base_Bruta!L462)),DePara_Cidade!$A$2:$A$29,DePara_Cidade!$B$2:$B$29,"REVISAR"))</f>
        <v>São Paulo</v>
      </c>
      <c r="N462" s="4" t="str">
        <f aca="false">IF($A462="","",UPPER(TRIM(Base_Bruta!M462)))</f>
        <v>SP</v>
      </c>
      <c r="O462" s="4" t="str">
        <f aca="false">IF($A462="","",_xlfn.XLOOKUP(LOWER(TRIM(Base_Bruta!N462)),DePara_Pais!$A$2:$A$9,DePara_Pais!$B$2:$B$9,"REVISAR"))</f>
        <v>Brasil</v>
      </c>
      <c r="P462" s="4" t="str">
        <f aca="false">IF($A462="","",IF(O462&lt;&gt;"Brasil","Turista Internacional",IF(M462=F462,"Local","Turista Nacional")))</f>
        <v>Local</v>
      </c>
      <c r="Q462" s="7" t="n">
        <f aca="false">IF($A462="","",DATE(YEAR(B462),MONTH(B462),1))</f>
        <v>45962</v>
      </c>
      <c r="R462" s="4" t="str">
        <f aca="false">IF($A462="","",IF(COUNTIF($A$2:$A462,$A462)&gt;1,"Sim","Não"))</f>
        <v>Não</v>
      </c>
      <c r="S462" s="4" t="str">
        <f aca="false">IF(A462="","Descartar - Linha vazia",IF(R462="Sim","Descartar - Duplicado",IF(OR(H462&lt;=0,I462&lt;=0),"Descartar - Qtd/Valor inválido","OK")))</f>
        <v>OK</v>
      </c>
      <c r="T462" s="4" t="str">
        <f aca="false">Base_Bruta!P462</f>
        <v>vendas_SP.xlsx</v>
      </c>
    </row>
    <row r="463" customFormat="false" ht="15" hidden="false" customHeight="false" outlineLevel="0" collapsed="false">
      <c r="A463" s="4" t="str">
        <f aca="false">IF(Base_Bruta!A463="","",Base_Bruta!A463)</f>
        <v>SP-000090</v>
      </c>
      <c r="B463" s="5" t="n">
        <f aca="false">IF($A463="","",IF(ISNUMBER(Base_Bruta!B463),Base_Bruta!B463,IF(MID(Base_Bruta!B463,5,1)="-",DATE(VALUE(LEFT(Base_Bruta!B463,4)),VALUE(MID(Base_Bruta!B463,6,2)),VALUE(RIGHT(Base_Bruta!B463,2))),DATE(VALUE(RIGHT(Base_Bruta!B463,4)),VALUE(MID(Base_Bruta!B463,4,2)),VALUE(LEFT(Base_Bruta!B463,2))))))</f>
        <v>45973</v>
      </c>
      <c r="C463" s="5" t="n">
        <f aca="false">IF($A463="","",IF(ISNUMBER(Base_Bruta!C463),Base_Bruta!C463,IF(MID(Base_Bruta!C463,5,1)="-",DATE(VALUE(LEFT(Base_Bruta!C463,4)),VALUE(MID(Base_Bruta!C463,6,2)),VALUE(RIGHT(Base_Bruta!C463,2))),DATE(VALUE(RIGHT(Base_Bruta!C463,4)),VALUE(MID(Base_Bruta!C463,4,2)),VALUE(LEFT(Base_Bruta!C463,2))))))</f>
        <v>45976</v>
      </c>
      <c r="D463" s="4" t="str">
        <f aca="false">IF($A463="","",TRIM(Base_Bruta!D463))</f>
        <v>Festival Sonora SP 2025</v>
      </c>
      <c r="E463" s="4" t="str">
        <f aca="false">IF($A463="","",_xlfn.XLOOKUP(LOWER(TRIM(Base_Bruta!E463)),DePara_Categoria!$A$2:$A$9,DePara_Categoria!$B$2:$B$9,"REVISAR"))</f>
        <v>Festival</v>
      </c>
      <c r="F463" s="4" t="str">
        <f aca="false">IF($A463="","",_xlfn.XLOOKUP(LOWER(TRIM(Base_Bruta!F463)),DePara_Cidade!$A$2:$A$29,DePara_Cidade!$B$2:$B$29,"REVISAR"))</f>
        <v>São Paulo</v>
      </c>
      <c r="G463" s="4" t="str">
        <f aca="false">IF($A463="","",TRIM(Base_Bruta!G463))</f>
        <v>Inteira</v>
      </c>
      <c r="H463" s="4" t="n">
        <f aca="false">IF($A463="","",IF(ISNUMBER(Base_Bruta!H463),Base_Bruta!H463,IFERROR(_xlfn.NUMBERVALUE(TRIM(SUBSTITUTE(Base_Bruta!H463,"R$","")),",","."),0)))</f>
        <v>3</v>
      </c>
      <c r="I463" s="6" t="n">
        <f aca="false">IF($A463="","",IF(ISNUMBER(Base_Bruta!I463),Base_Bruta!I463,IFERROR(_xlfn.NUMBERVALUE(TRIM(SUBSTITUTE(Base_Bruta!I463,"R$","")),",","."),0)))</f>
        <v>795</v>
      </c>
      <c r="J463" s="6" t="n">
        <f aca="false">IF($A463="","",H463*I463)</f>
        <v>2385</v>
      </c>
      <c r="K463" s="4" t="str">
        <f aca="false">IF($A463="","",TRIM(Base_Bruta!J463))</f>
        <v>Parceiro</v>
      </c>
      <c r="L463" s="4" t="str">
        <f aca="false">IF($A463="","",TRIM(Base_Bruta!K463))</f>
        <v>C00680</v>
      </c>
      <c r="M463" s="4" t="str">
        <f aca="false">IF($A463="","",_xlfn.XLOOKUP(LOWER(TRIM(Base_Bruta!L463)),DePara_Cidade!$A$2:$A$29,DePara_Cidade!$B$2:$B$29,"REVISAR"))</f>
        <v>São Paulo</v>
      </c>
      <c r="N463" s="4" t="str">
        <f aca="false">IF($A463="","",UPPER(TRIM(Base_Bruta!M463)))</f>
        <v>SP</v>
      </c>
      <c r="O463" s="4" t="str">
        <f aca="false">IF($A463="","",_xlfn.XLOOKUP(LOWER(TRIM(Base_Bruta!N463)),DePara_Pais!$A$2:$A$9,DePara_Pais!$B$2:$B$9,"REVISAR"))</f>
        <v>Brasil</v>
      </c>
      <c r="P463" s="4" t="str">
        <f aca="false">IF($A463="","",IF(O463&lt;&gt;"Brasil","Turista Internacional",IF(M463=F463,"Local","Turista Nacional")))</f>
        <v>Local</v>
      </c>
      <c r="Q463" s="7" t="n">
        <f aca="false">IF($A463="","",DATE(YEAR(B463),MONTH(B463),1))</f>
        <v>45962</v>
      </c>
      <c r="R463" s="4" t="str">
        <f aca="false">IF($A463="","",IF(COUNTIF($A$2:$A463,$A463)&gt;1,"Sim","Não"))</f>
        <v>Não</v>
      </c>
      <c r="S463" s="4" t="str">
        <f aca="false">IF(A463="","Descartar - Linha vazia",IF(R463="Sim","Descartar - Duplicado",IF(OR(H463&lt;=0,I463&lt;=0),"Descartar - Qtd/Valor inválido","OK")))</f>
        <v>OK</v>
      </c>
      <c r="T463" s="4" t="str">
        <f aca="false">Base_Bruta!P463</f>
        <v>vendas_SP.xlsx</v>
      </c>
    </row>
    <row r="464" customFormat="false" ht="15" hidden="false" customHeight="false" outlineLevel="0" collapsed="false">
      <c r="A464" s="4" t="str">
        <f aca="false">IF(Base_Bruta!A464="","",Base_Bruta!A464)</f>
        <v>SP-000100</v>
      </c>
      <c r="B464" s="5" t="n">
        <f aca="false">IF($A464="","",IF(ISNUMBER(Base_Bruta!B464),Base_Bruta!B464,IF(MID(Base_Bruta!B464,5,1)="-",DATE(VALUE(LEFT(Base_Bruta!B464,4)),VALUE(MID(Base_Bruta!B464,6,2)),VALUE(RIGHT(Base_Bruta!B464,2))),DATE(VALUE(RIGHT(Base_Bruta!B464,4)),VALUE(MID(Base_Bruta!B464,4,2)),VALUE(LEFT(Base_Bruta!B464,2))))))</f>
        <v>45973</v>
      </c>
      <c r="C464" s="5" t="n">
        <f aca="false">IF($A464="","",IF(ISNUMBER(Base_Bruta!C464),Base_Bruta!C464,IF(MID(Base_Bruta!C464,5,1)="-",DATE(VALUE(LEFT(Base_Bruta!C464,4)),VALUE(MID(Base_Bruta!C464,6,2)),VALUE(RIGHT(Base_Bruta!C464,2))),DATE(VALUE(RIGHT(Base_Bruta!C464,4)),VALUE(MID(Base_Bruta!C464,4,2)),VALUE(LEFT(Base_Bruta!C464,2))))))</f>
        <v>45976</v>
      </c>
      <c r="D464" s="4" t="str">
        <f aca="false">IF($A464="","",TRIM(Base_Bruta!D464))</f>
        <v>Festival Sonora SP 2025</v>
      </c>
      <c r="E464" s="4" t="str">
        <f aca="false">IF($A464="","",_xlfn.XLOOKUP(LOWER(TRIM(Base_Bruta!E464)),DePara_Categoria!$A$2:$A$9,DePara_Categoria!$B$2:$B$9,"REVISAR"))</f>
        <v>Festival</v>
      </c>
      <c r="F464" s="4" t="str">
        <f aca="false">IF($A464="","",_xlfn.XLOOKUP(LOWER(TRIM(Base_Bruta!F464)),DePara_Cidade!$A$2:$A$29,DePara_Cidade!$B$2:$B$29,"REVISAR"))</f>
        <v>São Paulo</v>
      </c>
      <c r="G464" s="4" t="str">
        <f aca="false">IF($A464="","",TRIM(Base_Bruta!G464))</f>
        <v>Inteira</v>
      </c>
      <c r="H464" s="4" t="n">
        <f aca="false">IF($A464="","",IF(ISNUMBER(Base_Bruta!H464),Base_Bruta!H464,IFERROR(_xlfn.NUMBERVALUE(TRIM(SUBSTITUTE(Base_Bruta!H464,"R$","")),",","."),0)))</f>
        <v>2</v>
      </c>
      <c r="I464" s="6" t="n">
        <f aca="false">IF($A464="","",IF(ISNUMBER(Base_Bruta!I464),Base_Bruta!I464,IFERROR(_xlfn.NUMBERVALUE(TRIM(SUBSTITUTE(Base_Bruta!I464,"R$","")),",","."),0)))</f>
        <v>775</v>
      </c>
      <c r="J464" s="6" t="n">
        <f aca="false">IF($A464="","",H464*I464)</f>
        <v>1550</v>
      </c>
      <c r="K464" s="4" t="str">
        <f aca="false">IF($A464="","",TRIM(Base_Bruta!J464))</f>
        <v>Bilheteria</v>
      </c>
      <c r="L464" s="4" t="str">
        <f aca="false">IF($A464="","",TRIM(Base_Bruta!K464))</f>
        <v>C00621</v>
      </c>
      <c r="M464" s="4" t="str">
        <f aca="false">IF($A464="","",_xlfn.XLOOKUP(LOWER(TRIM(Base_Bruta!L464)),DePara_Cidade!$A$2:$A$29,DePara_Cidade!$B$2:$B$29,"REVISAR"))</f>
        <v>Salvador</v>
      </c>
      <c r="N464" s="4" t="str">
        <f aca="false">IF($A464="","",UPPER(TRIM(Base_Bruta!M464)))</f>
        <v>BA</v>
      </c>
      <c r="O464" s="4" t="str">
        <f aca="false">IF($A464="","",_xlfn.XLOOKUP(LOWER(TRIM(Base_Bruta!N464)),DePara_Pais!$A$2:$A$9,DePara_Pais!$B$2:$B$9,"REVISAR"))</f>
        <v>Brasil</v>
      </c>
      <c r="P464" s="4" t="str">
        <f aca="false">IF($A464="","",IF(O464&lt;&gt;"Brasil","Turista Internacional",IF(M464=F464,"Local","Turista Nacional")))</f>
        <v>Turista Nacional</v>
      </c>
      <c r="Q464" s="7" t="n">
        <f aca="false">IF($A464="","",DATE(YEAR(B464),MONTH(B464),1))</f>
        <v>45962</v>
      </c>
      <c r="R464" s="4" t="str">
        <f aca="false">IF($A464="","",IF(COUNTIF($A$2:$A464,$A464)&gt;1,"Sim","Não"))</f>
        <v>Não</v>
      </c>
      <c r="S464" s="4" t="str">
        <f aca="false">IF(A464="","Descartar - Linha vazia",IF(R464="Sim","Descartar - Duplicado",IF(OR(H464&lt;=0,I464&lt;=0),"Descartar - Qtd/Valor inválido","OK")))</f>
        <v>OK</v>
      </c>
      <c r="T464" s="4" t="str">
        <f aca="false">Base_Bruta!P464</f>
        <v>vendas_SP.xlsx</v>
      </c>
    </row>
    <row r="465" customFormat="false" ht="15" hidden="false" customHeight="false" outlineLevel="0" collapsed="false">
      <c r="A465" s="4" t="str">
        <f aca="false">IF(Base_Bruta!A465="","",Base_Bruta!A465)</f>
        <v>SP-000154</v>
      </c>
      <c r="B465" s="5" t="n">
        <f aca="false">IF($A465="","",IF(ISNUMBER(Base_Bruta!B465),Base_Bruta!B465,IF(MID(Base_Bruta!B465,5,1)="-",DATE(VALUE(LEFT(Base_Bruta!B465,4)),VALUE(MID(Base_Bruta!B465,6,2)),VALUE(RIGHT(Base_Bruta!B465,2))),DATE(VALUE(RIGHT(Base_Bruta!B465,4)),VALUE(MID(Base_Bruta!B465,4,2)),VALUE(LEFT(Base_Bruta!B465,2))))))</f>
        <v>45973</v>
      </c>
      <c r="C465" s="5" t="n">
        <f aca="false">IF($A465="","",IF(ISNUMBER(Base_Bruta!C465),Base_Bruta!C465,IF(MID(Base_Bruta!C465,5,1)="-",DATE(VALUE(LEFT(Base_Bruta!C465,4)),VALUE(MID(Base_Bruta!C465,6,2)),VALUE(RIGHT(Base_Bruta!C465,2))),DATE(VALUE(RIGHT(Base_Bruta!C465,4)),VALUE(MID(Base_Bruta!C465,4,2)),VALUE(LEFT(Base_Bruta!C465,2))))))</f>
        <v>45976</v>
      </c>
      <c r="D465" s="4" t="str">
        <f aca="false">IF($A465="","",TRIM(Base_Bruta!D465))</f>
        <v>Festival Sonora SP 2025</v>
      </c>
      <c r="E465" s="4" t="str">
        <f aca="false">IF($A465="","",_xlfn.XLOOKUP(LOWER(TRIM(Base_Bruta!E465)),DePara_Categoria!$A$2:$A$9,DePara_Categoria!$B$2:$B$9,"REVISAR"))</f>
        <v>Festival</v>
      </c>
      <c r="F465" s="4" t="str">
        <f aca="false">IF($A465="","",_xlfn.XLOOKUP(LOWER(TRIM(Base_Bruta!F465)),DePara_Cidade!$A$2:$A$29,DePara_Cidade!$B$2:$B$29,"REVISAR"))</f>
        <v>São Paulo</v>
      </c>
      <c r="G465" s="4" t="str">
        <f aca="false">IF($A465="","",TRIM(Base_Bruta!G465))</f>
        <v>Meia</v>
      </c>
      <c r="H465" s="4" t="n">
        <f aca="false">IF($A465="","",IF(ISNUMBER(Base_Bruta!H465),Base_Bruta!H465,IFERROR(_xlfn.NUMBERVALUE(TRIM(SUBSTITUTE(Base_Bruta!H465,"R$","")),",","."),0)))</f>
        <v>2</v>
      </c>
      <c r="I465" s="6" t="n">
        <f aca="false">IF($A465="","",IF(ISNUMBER(Base_Bruta!I465),Base_Bruta!I465,IFERROR(_xlfn.NUMBERVALUE(TRIM(SUBSTITUTE(Base_Bruta!I465,"R$","")),",","."),0)))</f>
        <v>365</v>
      </c>
      <c r="J465" s="6" t="n">
        <f aca="false">IF($A465="","",H465*I465)</f>
        <v>730</v>
      </c>
      <c r="K465" s="4" t="str">
        <f aca="false">IF($A465="","",TRIM(Base_Bruta!J465))</f>
        <v>Site</v>
      </c>
      <c r="L465" s="4" t="str">
        <f aca="false">IF($A465="","",TRIM(Base_Bruta!K465))</f>
        <v>C00486</v>
      </c>
      <c r="M465" s="4" t="str">
        <f aca="false">IF($A465="","",_xlfn.XLOOKUP(LOWER(TRIM(Base_Bruta!L465)),DePara_Cidade!$A$2:$A$29,DePara_Cidade!$B$2:$B$29,"REVISAR"))</f>
        <v>São Paulo</v>
      </c>
      <c r="N465" s="4" t="str">
        <f aca="false">IF($A465="","",UPPER(TRIM(Base_Bruta!M465)))</f>
        <v>SP</v>
      </c>
      <c r="O465" s="4" t="str">
        <f aca="false">IF($A465="","",_xlfn.XLOOKUP(LOWER(TRIM(Base_Bruta!N465)),DePara_Pais!$A$2:$A$9,DePara_Pais!$B$2:$B$9,"REVISAR"))</f>
        <v>Brasil</v>
      </c>
      <c r="P465" s="4" t="str">
        <f aca="false">IF($A465="","",IF(O465&lt;&gt;"Brasil","Turista Internacional",IF(M465=F465,"Local","Turista Nacional")))</f>
        <v>Local</v>
      </c>
      <c r="Q465" s="7" t="n">
        <f aca="false">IF($A465="","",DATE(YEAR(B465),MONTH(B465),1))</f>
        <v>45962</v>
      </c>
      <c r="R465" s="4" t="str">
        <f aca="false">IF($A465="","",IF(COUNTIF($A$2:$A465,$A465)&gt;1,"Sim","Não"))</f>
        <v>Não</v>
      </c>
      <c r="S465" s="4" t="str">
        <f aca="false">IF(A465="","Descartar - Linha vazia",IF(R465="Sim","Descartar - Duplicado",IF(OR(H465&lt;=0,I465&lt;=0),"Descartar - Qtd/Valor inválido","OK")))</f>
        <v>OK</v>
      </c>
      <c r="T465" s="4" t="str">
        <f aca="false">Base_Bruta!P465</f>
        <v>vendas_SP.xlsx</v>
      </c>
    </row>
    <row r="466" customFormat="false" ht="15" hidden="false" customHeight="false" outlineLevel="0" collapsed="false">
      <c r="A466" s="4" t="str">
        <f aca="false">IF(Base_Bruta!A466="","",Base_Bruta!A466)</f>
        <v>SP-000014</v>
      </c>
      <c r="B466" s="5" t="n">
        <f aca="false">IF($A466="","",IF(ISNUMBER(Base_Bruta!B466),Base_Bruta!B466,IF(MID(Base_Bruta!B466,5,1)="-",DATE(VALUE(LEFT(Base_Bruta!B466,4)),VALUE(MID(Base_Bruta!B466,6,2)),VALUE(RIGHT(Base_Bruta!B466,2))),DATE(VALUE(RIGHT(Base_Bruta!B466,4)),VALUE(MID(Base_Bruta!B466,4,2)),VALUE(LEFT(Base_Bruta!B466,2))))))</f>
        <v>45974</v>
      </c>
      <c r="C466" s="5" t="n">
        <f aca="false">IF($A466="","",IF(ISNUMBER(Base_Bruta!C466),Base_Bruta!C466,IF(MID(Base_Bruta!C466,5,1)="-",DATE(VALUE(LEFT(Base_Bruta!C466,4)),VALUE(MID(Base_Bruta!C466,6,2)),VALUE(RIGHT(Base_Bruta!C466,2))),DATE(VALUE(RIGHT(Base_Bruta!C466,4)),VALUE(MID(Base_Bruta!C466,4,2)),VALUE(LEFT(Base_Bruta!C466,2))))))</f>
        <v>45976</v>
      </c>
      <c r="D466" s="4" t="str">
        <f aca="false">IF($A466="","",TRIM(Base_Bruta!D466))</f>
        <v>Festival Sonora SP 2025</v>
      </c>
      <c r="E466" s="4" t="str">
        <f aca="false">IF($A466="","",_xlfn.XLOOKUP(LOWER(TRIM(Base_Bruta!E466)),DePara_Categoria!$A$2:$A$9,DePara_Categoria!$B$2:$B$9,"REVISAR"))</f>
        <v>Festival</v>
      </c>
      <c r="F466" s="4" t="str">
        <f aca="false">IF($A466="","",_xlfn.XLOOKUP(LOWER(TRIM(Base_Bruta!F466)),DePara_Cidade!$A$2:$A$29,DePara_Cidade!$B$2:$B$29,"REVISAR"))</f>
        <v>São Paulo</v>
      </c>
      <c r="G466" s="4" t="str">
        <f aca="false">IF($A466="","",TRIM(Base_Bruta!G466))</f>
        <v>Inteira</v>
      </c>
      <c r="H466" s="4" t="n">
        <f aca="false">IF($A466="","",IF(ISNUMBER(Base_Bruta!H466),Base_Bruta!H466,IFERROR(_xlfn.NUMBERVALUE(TRIM(SUBSTITUTE(Base_Bruta!H466,"R$","")),",","."),0)))</f>
        <v>1</v>
      </c>
      <c r="I466" s="6" t="n">
        <f aca="false">IF($A466="","",IF(ISNUMBER(Base_Bruta!I466),Base_Bruta!I466,IFERROR(_xlfn.NUMBERVALUE(TRIM(SUBSTITUTE(Base_Bruta!I466,"R$","")),",","."),0)))</f>
        <v>700</v>
      </c>
      <c r="J466" s="6" t="n">
        <f aca="false">IF($A466="","",H466*I466)</f>
        <v>700</v>
      </c>
      <c r="K466" s="4" t="str">
        <f aca="false">IF($A466="","",TRIM(Base_Bruta!J466))</f>
        <v>App</v>
      </c>
      <c r="L466" s="4" t="str">
        <f aca="false">IF($A466="","",TRIM(Base_Bruta!K466))</f>
        <v>C01017</v>
      </c>
      <c r="M466" s="4" t="str">
        <f aca="false">IF($A466="","",_xlfn.XLOOKUP(LOWER(TRIM(Base_Bruta!L466)),DePara_Cidade!$A$2:$A$29,DePara_Cidade!$B$2:$B$29,"REVISAR"))</f>
        <v>São Paulo</v>
      </c>
      <c r="N466" s="4" t="str">
        <f aca="false">IF($A466="","",UPPER(TRIM(Base_Bruta!M466)))</f>
        <v>SP</v>
      </c>
      <c r="O466" s="4" t="str">
        <f aca="false">IF($A466="","",_xlfn.XLOOKUP(LOWER(TRIM(Base_Bruta!N466)),DePara_Pais!$A$2:$A$9,DePara_Pais!$B$2:$B$9,"REVISAR"))</f>
        <v>Brasil</v>
      </c>
      <c r="P466" s="4" t="str">
        <f aca="false">IF($A466="","",IF(O466&lt;&gt;"Brasil","Turista Internacional",IF(M466=F466,"Local","Turista Nacional")))</f>
        <v>Local</v>
      </c>
      <c r="Q466" s="7" t="n">
        <f aca="false">IF($A466="","",DATE(YEAR(B466),MONTH(B466),1))</f>
        <v>45962</v>
      </c>
      <c r="R466" s="4" t="str">
        <f aca="false">IF($A466="","",IF(COUNTIF($A$2:$A466,$A466)&gt;1,"Sim","Não"))</f>
        <v>Não</v>
      </c>
      <c r="S466" s="4" t="str">
        <f aca="false">IF(A466="","Descartar - Linha vazia",IF(R466="Sim","Descartar - Duplicado",IF(OR(H466&lt;=0,I466&lt;=0),"Descartar - Qtd/Valor inválido","OK")))</f>
        <v>OK</v>
      </c>
      <c r="T466" s="4" t="str">
        <f aca="false">Base_Bruta!P466</f>
        <v>vendas_SP.xlsx</v>
      </c>
    </row>
    <row r="467" customFormat="false" ht="15" hidden="false" customHeight="false" outlineLevel="0" collapsed="false">
      <c r="A467" s="4" t="str">
        <f aca="false">IF(Base_Bruta!A467="","",Base_Bruta!A467)</f>
        <v>SP-000032</v>
      </c>
      <c r="B467" s="5" t="n">
        <f aca="false">IF($A467="","",IF(ISNUMBER(Base_Bruta!B467),Base_Bruta!B467,IF(MID(Base_Bruta!B467,5,1)="-",DATE(VALUE(LEFT(Base_Bruta!B467,4)),VALUE(MID(Base_Bruta!B467,6,2)),VALUE(RIGHT(Base_Bruta!B467,2))),DATE(VALUE(RIGHT(Base_Bruta!B467,4)),VALUE(MID(Base_Bruta!B467,4,2)),VALUE(LEFT(Base_Bruta!B467,2))))))</f>
        <v>45974</v>
      </c>
      <c r="C467" s="5" t="n">
        <f aca="false">IF($A467="","",IF(ISNUMBER(Base_Bruta!C467),Base_Bruta!C467,IF(MID(Base_Bruta!C467,5,1)="-",DATE(VALUE(LEFT(Base_Bruta!C467,4)),VALUE(MID(Base_Bruta!C467,6,2)),VALUE(RIGHT(Base_Bruta!C467,2))),DATE(VALUE(RIGHT(Base_Bruta!C467,4)),VALUE(MID(Base_Bruta!C467,4,2)),VALUE(LEFT(Base_Bruta!C467,2))))))</f>
        <v>45976</v>
      </c>
      <c r="D467" s="4" t="str">
        <f aca="false">IF($A467="","",TRIM(Base_Bruta!D467))</f>
        <v>Festival Sonora SP 2025</v>
      </c>
      <c r="E467" s="4" t="str">
        <f aca="false">IF($A467="","",_xlfn.XLOOKUP(LOWER(TRIM(Base_Bruta!E467)),DePara_Categoria!$A$2:$A$9,DePara_Categoria!$B$2:$B$9,"REVISAR"))</f>
        <v>Festival</v>
      </c>
      <c r="F467" s="4" t="str">
        <f aca="false">IF($A467="","",_xlfn.XLOOKUP(LOWER(TRIM(Base_Bruta!F467)),DePara_Cidade!$A$2:$A$29,DePara_Cidade!$B$2:$B$29,"REVISAR"))</f>
        <v>São Paulo</v>
      </c>
      <c r="G467" s="4" t="str">
        <f aca="false">IF($A467="","",TRIM(Base_Bruta!G467))</f>
        <v>Meia</v>
      </c>
      <c r="H467" s="4" t="n">
        <f aca="false">IF($A467="","",IF(ISNUMBER(Base_Bruta!H467),Base_Bruta!H467,IFERROR(_xlfn.NUMBERVALUE(TRIM(SUBSTITUTE(Base_Bruta!H467,"R$","")),",","."),0)))</f>
        <v>1</v>
      </c>
      <c r="I467" s="6" t="n">
        <f aca="false">IF($A467="","",IF(ISNUMBER(Base_Bruta!I467),Base_Bruta!I467,IFERROR(_xlfn.NUMBERVALUE(TRIM(SUBSTITUTE(Base_Bruta!I467,"R$","")),",","."),0)))</f>
        <v>527.5</v>
      </c>
      <c r="J467" s="6" t="n">
        <f aca="false">IF($A467="","",H467*I467)</f>
        <v>527.5</v>
      </c>
      <c r="K467" s="4" t="str">
        <f aca="false">IF($A467="","",TRIM(Base_Bruta!J467))</f>
        <v>Site</v>
      </c>
      <c r="L467" s="4" t="str">
        <f aca="false">IF($A467="","",TRIM(Base_Bruta!K467))</f>
        <v>C01319</v>
      </c>
      <c r="M467" s="4" t="str">
        <f aca="false">IF($A467="","",_xlfn.XLOOKUP(LOWER(TRIM(Base_Bruta!L467)),DePara_Cidade!$A$2:$A$29,DePara_Cidade!$B$2:$B$29,"REVISAR"))</f>
        <v>São Paulo</v>
      </c>
      <c r="N467" s="4" t="str">
        <f aca="false">IF($A467="","",UPPER(TRIM(Base_Bruta!M467)))</f>
        <v>SP</v>
      </c>
      <c r="O467" s="4" t="str">
        <f aca="false">IF($A467="","",_xlfn.XLOOKUP(LOWER(TRIM(Base_Bruta!N467)),DePara_Pais!$A$2:$A$9,DePara_Pais!$B$2:$B$9,"REVISAR"))</f>
        <v>Brasil</v>
      </c>
      <c r="P467" s="4" t="str">
        <f aca="false">IF($A467="","",IF(O467&lt;&gt;"Brasil","Turista Internacional",IF(M467=F467,"Local","Turista Nacional")))</f>
        <v>Local</v>
      </c>
      <c r="Q467" s="7" t="n">
        <f aca="false">IF($A467="","",DATE(YEAR(B467),MONTH(B467),1))</f>
        <v>45962</v>
      </c>
      <c r="R467" s="4" t="str">
        <f aca="false">IF($A467="","",IF(COUNTIF($A$2:$A467,$A467)&gt;1,"Sim","Não"))</f>
        <v>Não</v>
      </c>
      <c r="S467" s="4" t="str">
        <f aca="false">IF(A467="","Descartar - Linha vazia",IF(R467="Sim","Descartar - Duplicado",IF(OR(H467&lt;=0,I467&lt;=0),"Descartar - Qtd/Valor inválido","OK")))</f>
        <v>OK</v>
      </c>
      <c r="T467" s="4" t="str">
        <f aca="false">Base_Bruta!P467</f>
        <v>vendas_SP.xlsx</v>
      </c>
    </row>
    <row r="468" customFormat="false" ht="15" hidden="false" customHeight="false" outlineLevel="0" collapsed="false">
      <c r="A468" s="4" t="str">
        <f aca="false">IF(Base_Bruta!A468="","",Base_Bruta!A468)</f>
        <v>SP-000083</v>
      </c>
      <c r="B468" s="5" t="n">
        <f aca="false">IF($A468="","",IF(ISNUMBER(Base_Bruta!B468),Base_Bruta!B468,IF(MID(Base_Bruta!B468,5,1)="-",DATE(VALUE(LEFT(Base_Bruta!B468,4)),VALUE(MID(Base_Bruta!B468,6,2)),VALUE(RIGHT(Base_Bruta!B468,2))),DATE(VALUE(RIGHT(Base_Bruta!B468,4)),VALUE(MID(Base_Bruta!B468,4,2)),VALUE(LEFT(Base_Bruta!B468,2))))))</f>
        <v>45974</v>
      </c>
      <c r="C468" s="5" t="n">
        <f aca="false">IF($A468="","",IF(ISNUMBER(Base_Bruta!C468),Base_Bruta!C468,IF(MID(Base_Bruta!C468,5,1)="-",DATE(VALUE(LEFT(Base_Bruta!C468,4)),VALUE(MID(Base_Bruta!C468,6,2)),VALUE(RIGHT(Base_Bruta!C468,2))),DATE(VALUE(RIGHT(Base_Bruta!C468,4)),VALUE(MID(Base_Bruta!C468,4,2)),VALUE(LEFT(Base_Bruta!C468,2))))))</f>
        <v>45976</v>
      </c>
      <c r="D468" s="4" t="str">
        <f aca="false">IF($A468="","",TRIM(Base_Bruta!D468))</f>
        <v>Festival Sonora SP 2025</v>
      </c>
      <c r="E468" s="4" t="str">
        <f aca="false">IF($A468="","",_xlfn.XLOOKUP(LOWER(TRIM(Base_Bruta!E468)),DePara_Categoria!$A$2:$A$9,DePara_Categoria!$B$2:$B$9,"REVISAR"))</f>
        <v>Festival</v>
      </c>
      <c r="F468" s="4" t="str">
        <f aca="false">IF($A468="","",_xlfn.XLOOKUP(LOWER(TRIM(Base_Bruta!F468)),DePara_Cidade!$A$2:$A$29,DePara_Cidade!$B$2:$B$29,"REVISAR"))</f>
        <v>São Paulo</v>
      </c>
      <c r="G468" s="4" t="str">
        <f aca="false">IF($A468="","",TRIM(Base_Bruta!G468))</f>
        <v>Inteira</v>
      </c>
      <c r="H468" s="4" t="n">
        <f aca="false">IF($A468="","",IF(ISNUMBER(Base_Bruta!H468),Base_Bruta!H468,IFERROR(_xlfn.NUMBERVALUE(TRIM(SUBSTITUTE(Base_Bruta!H468,"R$","")),",","."),0)))</f>
        <v>2</v>
      </c>
      <c r="I468" s="6" t="n">
        <f aca="false">IF($A468="","",IF(ISNUMBER(Base_Bruta!I468),Base_Bruta!I468,IFERROR(_xlfn.NUMBERVALUE(TRIM(SUBSTITUTE(Base_Bruta!I468,"R$","")),",","."),0)))</f>
        <v>730</v>
      </c>
      <c r="J468" s="6" t="n">
        <f aca="false">IF($A468="","",H468*I468)</f>
        <v>1460</v>
      </c>
      <c r="K468" s="4" t="str">
        <f aca="false">IF($A468="","",TRIM(Base_Bruta!J468))</f>
        <v>Site</v>
      </c>
      <c r="L468" s="4" t="str">
        <f aca="false">IF($A468="","",TRIM(Base_Bruta!K468))</f>
        <v>C01693</v>
      </c>
      <c r="M468" s="4" t="str">
        <f aca="false">IF($A468="","",_xlfn.XLOOKUP(LOWER(TRIM(Base_Bruta!L468)),DePara_Cidade!$A$2:$A$29,DePara_Cidade!$B$2:$B$29,"REVISAR"))</f>
        <v>Santiago</v>
      </c>
      <c r="N468" s="4" t="str">
        <f aca="false">IF($A468="","",UPPER(TRIM(Base_Bruta!M468)))</f>
        <v>EX</v>
      </c>
      <c r="O468" s="4" t="str">
        <f aca="false">IF($A468="","",_xlfn.XLOOKUP(LOWER(TRIM(Base_Bruta!N468)),DePara_Pais!$A$2:$A$9,DePara_Pais!$B$2:$B$9,"REVISAR"))</f>
        <v>Chile</v>
      </c>
      <c r="P468" s="4" t="str">
        <f aca="false">IF($A468="","",IF(O468&lt;&gt;"Brasil","Turista Internacional",IF(M468=F468,"Local","Turista Nacional")))</f>
        <v>Turista Internacional</v>
      </c>
      <c r="Q468" s="7" t="n">
        <f aca="false">IF($A468="","",DATE(YEAR(B468),MONTH(B468),1))</f>
        <v>45962</v>
      </c>
      <c r="R468" s="4" t="str">
        <f aca="false">IF($A468="","",IF(COUNTIF($A$2:$A468,$A468)&gt;1,"Sim","Não"))</f>
        <v>Não</v>
      </c>
      <c r="S468" s="4" t="str">
        <f aca="false">IF(A468="","Descartar - Linha vazia",IF(R468="Sim","Descartar - Duplicado",IF(OR(H468&lt;=0,I468&lt;=0),"Descartar - Qtd/Valor inválido","OK")))</f>
        <v>OK</v>
      </c>
      <c r="T468" s="4" t="str">
        <f aca="false">Base_Bruta!P468</f>
        <v>vendas_SP.xlsx</v>
      </c>
    </row>
    <row r="469" customFormat="false" ht="15" hidden="false" customHeight="false" outlineLevel="0" collapsed="false">
      <c r="A469" s="4" t="str">
        <f aca="false">IF(Base_Bruta!A469="","",Base_Bruta!A469)</f>
        <v>SP-000094</v>
      </c>
      <c r="B469" s="5" t="n">
        <f aca="false">IF($A469="","",IF(ISNUMBER(Base_Bruta!B469),Base_Bruta!B469,IF(MID(Base_Bruta!B469,5,1)="-",DATE(VALUE(LEFT(Base_Bruta!B469,4)),VALUE(MID(Base_Bruta!B469,6,2)),VALUE(RIGHT(Base_Bruta!B469,2))),DATE(VALUE(RIGHT(Base_Bruta!B469,4)),VALUE(MID(Base_Bruta!B469,4,2)),VALUE(LEFT(Base_Bruta!B469,2))))))</f>
        <v>45974</v>
      </c>
      <c r="C469" s="5" t="n">
        <f aca="false">IF($A469="","",IF(ISNUMBER(Base_Bruta!C469),Base_Bruta!C469,IF(MID(Base_Bruta!C469,5,1)="-",DATE(VALUE(LEFT(Base_Bruta!C469,4)),VALUE(MID(Base_Bruta!C469,6,2)),VALUE(RIGHT(Base_Bruta!C469,2))),DATE(VALUE(RIGHT(Base_Bruta!C469,4)),VALUE(MID(Base_Bruta!C469,4,2)),VALUE(LEFT(Base_Bruta!C469,2))))))</f>
        <v>45976</v>
      </c>
      <c r="D469" s="4" t="str">
        <f aca="false">IF($A469="","",TRIM(Base_Bruta!D469))</f>
        <v>Festival Sonora SP 2025</v>
      </c>
      <c r="E469" s="4" t="str">
        <f aca="false">IF($A469="","",_xlfn.XLOOKUP(LOWER(TRIM(Base_Bruta!E469)),DePara_Categoria!$A$2:$A$9,DePara_Categoria!$B$2:$B$9,"REVISAR"))</f>
        <v>Festival</v>
      </c>
      <c r="F469" s="4" t="str">
        <f aca="false">IF($A469="","",_xlfn.XLOOKUP(LOWER(TRIM(Base_Bruta!F469)),DePara_Cidade!$A$2:$A$29,DePara_Cidade!$B$2:$B$29,"REVISAR"))</f>
        <v>São Paulo</v>
      </c>
      <c r="G469" s="4" t="str">
        <f aca="false">IF($A469="","",TRIM(Base_Bruta!G469))</f>
        <v>Inteira</v>
      </c>
      <c r="H469" s="4" t="n">
        <f aca="false">IF($A469="","",IF(ISNUMBER(Base_Bruta!H469),Base_Bruta!H469,IFERROR(_xlfn.NUMBERVALUE(TRIM(SUBSTITUTE(Base_Bruta!H469,"R$","")),",","."),0)))</f>
        <v>2</v>
      </c>
      <c r="I469" s="6" t="n">
        <f aca="false">IF($A469="","",IF(ISNUMBER(Base_Bruta!I469),Base_Bruta!I469,IFERROR(_xlfn.NUMBERVALUE(TRIM(SUBSTITUTE(Base_Bruta!I469,"R$","")),",","."),0)))</f>
        <v>835</v>
      </c>
      <c r="J469" s="6" t="n">
        <f aca="false">IF($A469="","",H469*I469)</f>
        <v>1670</v>
      </c>
      <c r="K469" s="4" t="str">
        <f aca="false">IF($A469="","",TRIM(Base_Bruta!J469))</f>
        <v>Site</v>
      </c>
      <c r="L469" s="4" t="str">
        <f aca="false">IF($A469="","",TRIM(Base_Bruta!K469))</f>
        <v>C00185</v>
      </c>
      <c r="M469" s="4" t="str">
        <f aca="false">IF($A469="","",_xlfn.XLOOKUP(LOWER(TRIM(Base_Bruta!L469)),DePara_Cidade!$A$2:$A$29,DePara_Cidade!$B$2:$B$29,"REVISAR"))</f>
        <v>São Paulo</v>
      </c>
      <c r="N469" s="4" t="str">
        <f aca="false">IF($A469="","",UPPER(TRIM(Base_Bruta!M469)))</f>
        <v>SP</v>
      </c>
      <c r="O469" s="4" t="str">
        <f aca="false">IF($A469="","",_xlfn.XLOOKUP(LOWER(TRIM(Base_Bruta!N469)),DePara_Pais!$A$2:$A$9,DePara_Pais!$B$2:$B$9,"REVISAR"))</f>
        <v>Brasil</v>
      </c>
      <c r="P469" s="4" t="str">
        <f aca="false">IF($A469="","",IF(O469&lt;&gt;"Brasil","Turista Internacional",IF(M469=F469,"Local","Turista Nacional")))</f>
        <v>Local</v>
      </c>
      <c r="Q469" s="7" t="n">
        <f aca="false">IF($A469="","",DATE(YEAR(B469),MONTH(B469),1))</f>
        <v>45962</v>
      </c>
      <c r="R469" s="4" t="str">
        <f aca="false">IF($A469="","",IF(COUNTIF($A$2:$A469,$A469)&gt;1,"Sim","Não"))</f>
        <v>Não</v>
      </c>
      <c r="S469" s="4" t="str">
        <f aca="false">IF(A469="","Descartar - Linha vazia",IF(R469="Sim","Descartar - Duplicado",IF(OR(H469&lt;=0,I469&lt;=0),"Descartar - Qtd/Valor inválido","OK")))</f>
        <v>OK</v>
      </c>
      <c r="T469" s="4" t="str">
        <f aca="false">Base_Bruta!P469</f>
        <v>vendas_SP.xlsx</v>
      </c>
    </row>
    <row r="470" customFormat="false" ht="15" hidden="false" customHeight="false" outlineLevel="0" collapsed="false">
      <c r="A470" s="4" t="str">
        <f aca="false">IF(Base_Bruta!A470="","",Base_Bruta!A470)</f>
        <v>SP-000102</v>
      </c>
      <c r="B470" s="5" t="n">
        <f aca="false">IF($A470="","",IF(ISNUMBER(Base_Bruta!B470),Base_Bruta!B470,IF(MID(Base_Bruta!B470,5,1)="-",DATE(VALUE(LEFT(Base_Bruta!B470,4)),VALUE(MID(Base_Bruta!B470,6,2)),VALUE(RIGHT(Base_Bruta!B470,2))),DATE(VALUE(RIGHT(Base_Bruta!B470,4)),VALUE(MID(Base_Bruta!B470,4,2)),VALUE(LEFT(Base_Bruta!B470,2))))))</f>
        <v>45974</v>
      </c>
      <c r="C470" s="5" t="n">
        <f aca="false">IF($A470="","",IF(ISNUMBER(Base_Bruta!C470),Base_Bruta!C470,IF(MID(Base_Bruta!C470,5,1)="-",DATE(VALUE(LEFT(Base_Bruta!C470,4)),VALUE(MID(Base_Bruta!C470,6,2)),VALUE(RIGHT(Base_Bruta!C470,2))),DATE(VALUE(RIGHT(Base_Bruta!C470,4)),VALUE(MID(Base_Bruta!C470,4,2)),VALUE(LEFT(Base_Bruta!C470,2))))))</f>
        <v>45976</v>
      </c>
      <c r="D470" s="4" t="str">
        <f aca="false">IF($A470="","",TRIM(Base_Bruta!D470))</f>
        <v>Festival Sonora SP 2025</v>
      </c>
      <c r="E470" s="4" t="str">
        <f aca="false">IF($A470="","",_xlfn.XLOOKUP(LOWER(TRIM(Base_Bruta!E470)),DePara_Categoria!$A$2:$A$9,DePara_Categoria!$B$2:$B$9,"REVISAR"))</f>
        <v>Festival</v>
      </c>
      <c r="F470" s="4" t="str">
        <f aca="false">IF($A470="","",_xlfn.XLOOKUP(LOWER(TRIM(Base_Bruta!F470)),DePara_Cidade!$A$2:$A$29,DePara_Cidade!$B$2:$B$29,"REVISAR"))</f>
        <v>São Paulo</v>
      </c>
      <c r="G470" s="4" t="str">
        <f aca="false">IF($A470="","",TRIM(Base_Bruta!G470))</f>
        <v>VIP</v>
      </c>
      <c r="H470" s="4" t="n">
        <f aca="false">IF($A470="","",IF(ISNUMBER(Base_Bruta!H470),Base_Bruta!H470,IFERROR(_xlfn.NUMBERVALUE(TRIM(SUBSTITUTE(Base_Bruta!H470,"R$","")),",","."),0)))</f>
        <v>4</v>
      </c>
      <c r="I470" s="6" t="n">
        <f aca="false">IF($A470="","",IF(ISNUMBER(Base_Bruta!I470),Base_Bruta!I470,IFERROR(_xlfn.NUMBERVALUE(TRIM(SUBSTITUTE(Base_Bruta!I470,"R$","")),",","."),0)))</f>
        <v>2180</v>
      </c>
      <c r="J470" s="6" t="n">
        <f aca="false">IF($A470="","",H470*I470)</f>
        <v>8720</v>
      </c>
      <c r="K470" s="4" t="str">
        <f aca="false">IF($A470="","",TRIM(Base_Bruta!J470))</f>
        <v>Bilheteria</v>
      </c>
      <c r="L470" s="4" t="str">
        <f aca="false">IF($A470="","",TRIM(Base_Bruta!K470))</f>
        <v>C00434</v>
      </c>
      <c r="M470" s="4" t="str">
        <f aca="false">IF($A470="","",_xlfn.XLOOKUP(LOWER(TRIM(Base_Bruta!L470)),DePara_Cidade!$A$2:$A$29,DePara_Cidade!$B$2:$B$29,"REVISAR"))</f>
        <v>São Paulo</v>
      </c>
      <c r="N470" s="4" t="str">
        <f aca="false">IF($A470="","",UPPER(TRIM(Base_Bruta!M470)))</f>
        <v>SP</v>
      </c>
      <c r="O470" s="4" t="str">
        <f aca="false">IF($A470="","",_xlfn.XLOOKUP(LOWER(TRIM(Base_Bruta!N470)),DePara_Pais!$A$2:$A$9,DePara_Pais!$B$2:$B$9,"REVISAR"))</f>
        <v>Brasil</v>
      </c>
      <c r="P470" s="4" t="str">
        <f aca="false">IF($A470="","",IF(O470&lt;&gt;"Brasil","Turista Internacional",IF(M470=F470,"Local","Turista Nacional")))</f>
        <v>Local</v>
      </c>
      <c r="Q470" s="7" t="n">
        <f aca="false">IF($A470="","",DATE(YEAR(B470),MONTH(B470),1))</f>
        <v>45962</v>
      </c>
      <c r="R470" s="4" t="str">
        <f aca="false">IF($A470="","",IF(COUNTIF($A$2:$A470,$A470)&gt;1,"Sim","Não"))</f>
        <v>Não</v>
      </c>
      <c r="S470" s="4" t="str">
        <f aca="false">IF(A470="","Descartar - Linha vazia",IF(R470="Sim","Descartar - Duplicado",IF(OR(H470&lt;=0,I470&lt;=0),"Descartar - Qtd/Valor inválido","OK")))</f>
        <v>OK</v>
      </c>
      <c r="T470" s="4" t="str">
        <f aca="false">Base_Bruta!P470</f>
        <v>vendas_SP.xlsx</v>
      </c>
    </row>
    <row r="471" customFormat="false" ht="15" hidden="false" customHeight="false" outlineLevel="0" collapsed="false">
      <c r="A471" s="4" t="str">
        <f aca="false">IF(Base_Bruta!A471="","",Base_Bruta!A471)</f>
        <v>SP-000122</v>
      </c>
      <c r="B471" s="5" t="n">
        <f aca="false">IF($A471="","",IF(ISNUMBER(Base_Bruta!B471),Base_Bruta!B471,IF(MID(Base_Bruta!B471,5,1)="-",DATE(VALUE(LEFT(Base_Bruta!B471,4)),VALUE(MID(Base_Bruta!B471,6,2)),VALUE(RIGHT(Base_Bruta!B471,2))),DATE(VALUE(RIGHT(Base_Bruta!B471,4)),VALUE(MID(Base_Bruta!B471,4,2)),VALUE(LEFT(Base_Bruta!B471,2))))))</f>
        <v>45974</v>
      </c>
      <c r="C471" s="5" t="n">
        <f aca="false">IF($A471="","",IF(ISNUMBER(Base_Bruta!C471),Base_Bruta!C471,IF(MID(Base_Bruta!C471,5,1)="-",DATE(VALUE(LEFT(Base_Bruta!C471,4)),VALUE(MID(Base_Bruta!C471,6,2)),VALUE(RIGHT(Base_Bruta!C471,2))),DATE(VALUE(RIGHT(Base_Bruta!C471,4)),VALUE(MID(Base_Bruta!C471,4,2)),VALUE(LEFT(Base_Bruta!C471,2))))))</f>
        <v>45976</v>
      </c>
      <c r="D471" s="4" t="str">
        <f aca="false">IF($A471="","",TRIM(Base_Bruta!D471))</f>
        <v>Festival Sonora SP 2025</v>
      </c>
      <c r="E471" s="4" t="str">
        <f aca="false">IF($A471="","",_xlfn.XLOOKUP(LOWER(TRIM(Base_Bruta!E471)),DePara_Categoria!$A$2:$A$9,DePara_Categoria!$B$2:$B$9,"REVISAR"))</f>
        <v>Festival</v>
      </c>
      <c r="F471" s="4" t="str">
        <f aca="false">IF($A471="","",_xlfn.XLOOKUP(LOWER(TRIM(Base_Bruta!F471)),DePara_Cidade!$A$2:$A$29,DePara_Cidade!$B$2:$B$29,"REVISAR"))</f>
        <v>São Paulo</v>
      </c>
      <c r="G471" s="4" t="str">
        <f aca="false">IF($A471="","",TRIM(Base_Bruta!G471))</f>
        <v>Meia</v>
      </c>
      <c r="H471" s="4" t="n">
        <f aca="false">IF($A471="","",IF(ISNUMBER(Base_Bruta!H471),Base_Bruta!H471,IFERROR(_xlfn.NUMBERVALUE(TRIM(SUBSTITUTE(Base_Bruta!H471,"R$","")),",","."),0)))</f>
        <v>1</v>
      </c>
      <c r="I471" s="6" t="n">
        <f aca="false">IF($A471="","",IF(ISNUMBER(Base_Bruta!I471),Base_Bruta!I471,IFERROR(_xlfn.NUMBERVALUE(TRIM(SUBSTITUTE(Base_Bruta!I471,"R$","")),",","."),0)))</f>
        <v>342.5</v>
      </c>
      <c r="J471" s="6" t="n">
        <f aca="false">IF($A471="","",H471*I471)</f>
        <v>342.5</v>
      </c>
      <c r="K471" s="4" t="str">
        <f aca="false">IF($A471="","",TRIM(Base_Bruta!J471))</f>
        <v>App</v>
      </c>
      <c r="L471" s="4" t="str">
        <f aca="false">IF($A471="","",TRIM(Base_Bruta!K471))</f>
        <v>C01896</v>
      </c>
      <c r="M471" s="4" t="str">
        <f aca="false">IF($A471="","",_xlfn.XLOOKUP(LOWER(TRIM(Base_Bruta!L471)),DePara_Cidade!$A$2:$A$29,DePara_Cidade!$B$2:$B$29,"REVISAR"))</f>
        <v>Salvador</v>
      </c>
      <c r="N471" s="4" t="str">
        <f aca="false">IF($A471="","",UPPER(TRIM(Base_Bruta!M471)))</f>
        <v>BA</v>
      </c>
      <c r="O471" s="4" t="str">
        <f aca="false">IF($A471="","",_xlfn.XLOOKUP(LOWER(TRIM(Base_Bruta!N471)),DePara_Pais!$A$2:$A$9,DePara_Pais!$B$2:$B$9,"REVISAR"))</f>
        <v>Brasil</v>
      </c>
      <c r="P471" s="4" t="str">
        <f aca="false">IF($A471="","",IF(O471&lt;&gt;"Brasil","Turista Internacional",IF(M471=F471,"Local","Turista Nacional")))</f>
        <v>Turista Nacional</v>
      </c>
      <c r="Q471" s="7" t="n">
        <f aca="false">IF($A471="","",DATE(YEAR(B471),MONTH(B471),1))</f>
        <v>45962</v>
      </c>
      <c r="R471" s="4" t="str">
        <f aca="false">IF($A471="","",IF(COUNTIF($A$2:$A471,$A471)&gt;1,"Sim","Não"))</f>
        <v>Não</v>
      </c>
      <c r="S471" s="4" t="str">
        <f aca="false">IF(A471="","Descartar - Linha vazia",IF(R471="Sim","Descartar - Duplicado",IF(OR(H471&lt;=0,I471&lt;=0),"Descartar - Qtd/Valor inválido","OK")))</f>
        <v>OK</v>
      </c>
      <c r="T471" s="4" t="str">
        <f aca="false">Base_Bruta!P471</f>
        <v>vendas_SP.xlsx</v>
      </c>
    </row>
    <row r="472" customFormat="false" ht="15" hidden="false" customHeight="false" outlineLevel="0" collapsed="false">
      <c r="A472" s="4" t="str">
        <f aca="false">IF(Base_Bruta!A472="","",Base_Bruta!A472)</f>
        <v>SP-000132</v>
      </c>
      <c r="B472" s="5" t="n">
        <f aca="false">IF($A472="","",IF(ISNUMBER(Base_Bruta!B472),Base_Bruta!B472,IF(MID(Base_Bruta!B472,5,1)="-",DATE(VALUE(LEFT(Base_Bruta!B472,4)),VALUE(MID(Base_Bruta!B472,6,2)),VALUE(RIGHT(Base_Bruta!B472,2))),DATE(VALUE(RIGHT(Base_Bruta!B472,4)),VALUE(MID(Base_Bruta!B472,4,2)),VALUE(LEFT(Base_Bruta!B472,2))))))</f>
        <v>45974</v>
      </c>
      <c r="C472" s="5" t="n">
        <f aca="false">IF($A472="","",IF(ISNUMBER(Base_Bruta!C472),Base_Bruta!C472,IF(MID(Base_Bruta!C472,5,1)="-",DATE(VALUE(LEFT(Base_Bruta!C472,4)),VALUE(MID(Base_Bruta!C472,6,2)),VALUE(RIGHT(Base_Bruta!C472,2))),DATE(VALUE(RIGHT(Base_Bruta!C472,4)),VALUE(MID(Base_Bruta!C472,4,2)),VALUE(LEFT(Base_Bruta!C472,2))))))</f>
        <v>45976</v>
      </c>
      <c r="D472" s="4" t="str">
        <f aca="false">IF($A472="","",TRIM(Base_Bruta!D472))</f>
        <v>Festival Sonora SP 2025</v>
      </c>
      <c r="E472" s="4" t="str">
        <f aca="false">IF($A472="","",_xlfn.XLOOKUP(LOWER(TRIM(Base_Bruta!E472)),DePara_Categoria!$A$2:$A$9,DePara_Categoria!$B$2:$B$9,"REVISAR"))</f>
        <v>Festival</v>
      </c>
      <c r="F472" s="4" t="str">
        <f aca="false">IF($A472="","",_xlfn.XLOOKUP(LOWER(TRIM(Base_Bruta!F472)),DePara_Cidade!$A$2:$A$29,DePara_Cidade!$B$2:$B$29,"REVISAR"))</f>
        <v>São Paulo</v>
      </c>
      <c r="G472" s="4" t="str">
        <f aca="false">IF($A472="","",TRIM(Base_Bruta!G472))</f>
        <v>Meia</v>
      </c>
      <c r="H472" s="4" t="n">
        <f aca="false">IF($A472="","",IF(ISNUMBER(Base_Bruta!H472),Base_Bruta!H472,IFERROR(_xlfn.NUMBERVALUE(TRIM(SUBSTITUTE(Base_Bruta!H472,"R$","")),",","."),0)))</f>
        <v>1</v>
      </c>
      <c r="I472" s="6" t="n">
        <f aca="false">IF($A472="","",IF(ISNUMBER(Base_Bruta!I472),Base_Bruta!I472,IFERROR(_xlfn.NUMBERVALUE(TRIM(SUBSTITUTE(Base_Bruta!I472,"R$","")),",","."),0)))</f>
        <v>380</v>
      </c>
      <c r="J472" s="6" t="n">
        <f aca="false">IF($A472="","",H472*I472)</f>
        <v>380</v>
      </c>
      <c r="K472" s="4" t="str">
        <f aca="false">IF($A472="","",TRIM(Base_Bruta!J472))</f>
        <v>App</v>
      </c>
      <c r="L472" s="4" t="str">
        <f aca="false">IF($A472="","",TRIM(Base_Bruta!K472))</f>
        <v>C02493</v>
      </c>
      <c r="M472" s="4" t="str">
        <f aca="false">IF($A472="","",_xlfn.XLOOKUP(LOWER(TRIM(Base_Bruta!L472)),DePara_Cidade!$A$2:$A$29,DePara_Cidade!$B$2:$B$29,"REVISAR"))</f>
        <v>São Paulo</v>
      </c>
      <c r="N472" s="4" t="str">
        <f aca="false">IF($A472="","",UPPER(TRIM(Base_Bruta!M472)))</f>
        <v>SP</v>
      </c>
      <c r="O472" s="4" t="str">
        <f aca="false">IF($A472="","",_xlfn.XLOOKUP(LOWER(TRIM(Base_Bruta!N472)),DePara_Pais!$A$2:$A$9,DePara_Pais!$B$2:$B$9,"REVISAR"))</f>
        <v>Brasil</v>
      </c>
      <c r="P472" s="4" t="str">
        <f aca="false">IF($A472="","",IF(O472&lt;&gt;"Brasil","Turista Internacional",IF(M472=F472,"Local","Turista Nacional")))</f>
        <v>Local</v>
      </c>
      <c r="Q472" s="7" t="n">
        <f aca="false">IF($A472="","",DATE(YEAR(B472),MONTH(B472),1))</f>
        <v>45962</v>
      </c>
      <c r="R472" s="4" t="str">
        <f aca="false">IF($A472="","",IF(COUNTIF($A$2:$A472,$A472)&gt;1,"Sim","Não"))</f>
        <v>Não</v>
      </c>
      <c r="S472" s="4" t="str">
        <f aca="false">IF(A472="","Descartar - Linha vazia",IF(R472="Sim","Descartar - Duplicado",IF(OR(H472&lt;=0,I472&lt;=0),"Descartar - Qtd/Valor inválido","OK")))</f>
        <v>OK</v>
      </c>
      <c r="T472" s="4" t="str">
        <f aca="false">Base_Bruta!P472</f>
        <v>vendas_SP.xlsx</v>
      </c>
    </row>
    <row r="473" customFormat="false" ht="15" hidden="false" customHeight="false" outlineLevel="0" collapsed="false">
      <c r="A473" s="4" t="str">
        <f aca="false">IF(Base_Bruta!A473="","",Base_Bruta!A473)</f>
        <v>SP-000214</v>
      </c>
      <c r="B473" s="5" t="n">
        <f aca="false">IF($A473="","",IF(ISNUMBER(Base_Bruta!B473),Base_Bruta!B473,IF(MID(Base_Bruta!B473,5,1)="-",DATE(VALUE(LEFT(Base_Bruta!B473,4)),VALUE(MID(Base_Bruta!B473,6,2)),VALUE(RIGHT(Base_Bruta!B473,2))),DATE(VALUE(RIGHT(Base_Bruta!B473,4)),VALUE(MID(Base_Bruta!B473,4,2)),VALUE(LEFT(Base_Bruta!B473,2))))))</f>
        <v>45974</v>
      </c>
      <c r="C473" s="5" t="n">
        <f aca="false">IF($A473="","",IF(ISNUMBER(Base_Bruta!C473),Base_Bruta!C473,IF(MID(Base_Bruta!C473,5,1)="-",DATE(VALUE(LEFT(Base_Bruta!C473,4)),VALUE(MID(Base_Bruta!C473,6,2)),VALUE(RIGHT(Base_Bruta!C473,2))),DATE(VALUE(RIGHT(Base_Bruta!C473,4)),VALUE(MID(Base_Bruta!C473,4,2)),VALUE(LEFT(Base_Bruta!C473,2))))))</f>
        <v>45976</v>
      </c>
      <c r="D473" s="4" t="str">
        <f aca="false">IF($A473="","",TRIM(Base_Bruta!D473))</f>
        <v>Festival Sonora SP 2025</v>
      </c>
      <c r="E473" s="4" t="str">
        <f aca="false">IF($A473="","",_xlfn.XLOOKUP(LOWER(TRIM(Base_Bruta!E473)),DePara_Categoria!$A$2:$A$9,DePara_Categoria!$B$2:$B$9,"REVISAR"))</f>
        <v>Festival</v>
      </c>
      <c r="F473" s="4" t="str">
        <f aca="false">IF($A473="","",_xlfn.XLOOKUP(LOWER(TRIM(Base_Bruta!F473)),DePara_Cidade!$A$2:$A$29,DePara_Cidade!$B$2:$B$29,"REVISAR"))</f>
        <v>São Paulo</v>
      </c>
      <c r="G473" s="4" t="str">
        <f aca="false">IF($A473="","",TRIM(Base_Bruta!G473))</f>
        <v>Meia</v>
      </c>
      <c r="H473" s="4" t="n">
        <f aca="false">IF($A473="","",IF(ISNUMBER(Base_Bruta!H473),Base_Bruta!H473,IFERROR(_xlfn.NUMBERVALUE(TRIM(SUBSTITUTE(Base_Bruta!H473,"R$","")),",","."),0)))</f>
        <v>2</v>
      </c>
      <c r="I473" s="6" t="n">
        <f aca="false">IF($A473="","",IF(ISNUMBER(Base_Bruta!I473),Base_Bruta!I473,IFERROR(_xlfn.NUMBERVALUE(TRIM(SUBSTITUTE(Base_Bruta!I473,"R$","")),",","."),0)))</f>
        <v>332.5</v>
      </c>
      <c r="J473" s="6" t="n">
        <f aca="false">IF($A473="","",H473*I473)</f>
        <v>665</v>
      </c>
      <c r="K473" s="4" t="str">
        <f aca="false">IF($A473="","",TRIM(Base_Bruta!J473))</f>
        <v>App</v>
      </c>
      <c r="L473" s="4" t="str">
        <f aca="false">IF($A473="","",TRIM(Base_Bruta!K473))</f>
        <v>C02261</v>
      </c>
      <c r="M473" s="4" t="str">
        <f aca="false">IF($A473="","",_xlfn.XLOOKUP(LOWER(TRIM(Base_Bruta!L473)),DePara_Cidade!$A$2:$A$29,DePara_Cidade!$B$2:$B$29,"REVISAR"))</f>
        <v>São Paulo</v>
      </c>
      <c r="N473" s="4" t="str">
        <f aca="false">IF($A473="","",UPPER(TRIM(Base_Bruta!M473)))</f>
        <v>SP</v>
      </c>
      <c r="O473" s="4" t="str">
        <f aca="false">IF($A473="","",_xlfn.XLOOKUP(LOWER(TRIM(Base_Bruta!N473)),DePara_Pais!$A$2:$A$9,DePara_Pais!$B$2:$B$9,"REVISAR"))</f>
        <v>Brasil</v>
      </c>
      <c r="P473" s="4" t="str">
        <f aca="false">IF($A473="","",IF(O473&lt;&gt;"Brasil","Turista Internacional",IF(M473=F473,"Local","Turista Nacional")))</f>
        <v>Local</v>
      </c>
      <c r="Q473" s="7" t="n">
        <f aca="false">IF($A473="","",DATE(YEAR(B473),MONTH(B473),1))</f>
        <v>45962</v>
      </c>
      <c r="R473" s="4" t="str">
        <f aca="false">IF($A473="","",IF(COUNTIF($A$2:$A473,$A473)&gt;1,"Sim","Não"))</f>
        <v>Não</v>
      </c>
      <c r="S473" s="4" t="str">
        <f aca="false">IF(A473="","Descartar - Linha vazia",IF(R473="Sim","Descartar - Duplicado",IF(OR(H473&lt;=0,I473&lt;=0),"Descartar - Qtd/Valor inválido","OK")))</f>
        <v>OK</v>
      </c>
      <c r="T473" s="4" t="str">
        <f aca="false">Base_Bruta!P473</f>
        <v>vendas_SP.xlsx</v>
      </c>
    </row>
    <row r="474" customFormat="false" ht="15" hidden="false" customHeight="false" outlineLevel="0" collapsed="false">
      <c r="A474" s="4" t="str">
        <f aca="false">IF(Base_Bruta!A474="","",Base_Bruta!A474)</f>
        <v>SP-000003</v>
      </c>
      <c r="B474" s="5" t="n">
        <f aca="false">IF($A474="","",IF(ISNUMBER(Base_Bruta!B474),Base_Bruta!B474,IF(MID(Base_Bruta!B474,5,1)="-",DATE(VALUE(LEFT(Base_Bruta!B474,4)),VALUE(MID(Base_Bruta!B474,6,2)),VALUE(RIGHT(Base_Bruta!B474,2))),DATE(VALUE(RIGHT(Base_Bruta!B474,4)),VALUE(MID(Base_Bruta!B474,4,2)),VALUE(LEFT(Base_Bruta!B474,2))))))</f>
        <v>45975</v>
      </c>
      <c r="C474" s="5" t="n">
        <f aca="false">IF($A474="","",IF(ISNUMBER(Base_Bruta!C474),Base_Bruta!C474,IF(MID(Base_Bruta!C474,5,1)="-",DATE(VALUE(LEFT(Base_Bruta!C474,4)),VALUE(MID(Base_Bruta!C474,6,2)),VALUE(RIGHT(Base_Bruta!C474,2))),DATE(VALUE(RIGHT(Base_Bruta!C474,4)),VALUE(MID(Base_Bruta!C474,4,2)),VALUE(LEFT(Base_Bruta!C474,2))))))</f>
        <v>45976</v>
      </c>
      <c r="D474" s="4" t="str">
        <f aca="false">IF($A474="","",TRIM(Base_Bruta!D474))</f>
        <v>Festival Sonora SP 2025</v>
      </c>
      <c r="E474" s="4" t="str">
        <f aca="false">IF($A474="","",_xlfn.XLOOKUP(LOWER(TRIM(Base_Bruta!E474)),DePara_Categoria!$A$2:$A$9,DePara_Categoria!$B$2:$B$9,"REVISAR"))</f>
        <v>Festival</v>
      </c>
      <c r="F474" s="4" t="str">
        <f aca="false">IF($A474="","",_xlfn.XLOOKUP(LOWER(TRIM(Base_Bruta!F474)),DePara_Cidade!$A$2:$A$29,DePara_Cidade!$B$2:$B$29,"REVISAR"))</f>
        <v>São Paulo</v>
      </c>
      <c r="G474" s="4" t="str">
        <f aca="false">IF($A474="","",TRIM(Base_Bruta!G474))</f>
        <v>Meia</v>
      </c>
      <c r="H474" s="4" t="n">
        <f aca="false">IF($A474="","",IF(ISNUMBER(Base_Bruta!H474),Base_Bruta!H474,IFERROR(_xlfn.NUMBERVALUE(TRIM(SUBSTITUTE(Base_Bruta!H474,"R$","")),",","."),0)))</f>
        <v>1</v>
      </c>
      <c r="I474" s="6" t="n">
        <f aca="false">IF($A474="","",IF(ISNUMBER(Base_Bruta!I474),Base_Bruta!I474,IFERROR(_xlfn.NUMBERVALUE(TRIM(SUBSTITUTE(Base_Bruta!I474,"R$","")),",","."),0)))</f>
        <v>467.5</v>
      </c>
      <c r="J474" s="6" t="n">
        <f aca="false">IF($A474="","",H474*I474)</f>
        <v>467.5</v>
      </c>
      <c r="K474" s="4" t="str">
        <f aca="false">IF($A474="","",TRIM(Base_Bruta!J474))</f>
        <v>Site</v>
      </c>
      <c r="L474" s="4" t="str">
        <f aca="false">IF($A474="","",TRIM(Base_Bruta!K474))</f>
        <v>C00680</v>
      </c>
      <c r="M474" s="4" t="str">
        <f aca="false">IF($A474="","",_xlfn.XLOOKUP(LOWER(TRIM(Base_Bruta!L474)),DePara_Cidade!$A$2:$A$29,DePara_Cidade!$B$2:$B$29,"REVISAR"))</f>
        <v>São Paulo</v>
      </c>
      <c r="N474" s="4" t="str">
        <f aca="false">IF($A474="","",UPPER(TRIM(Base_Bruta!M474)))</f>
        <v>SP</v>
      </c>
      <c r="O474" s="4" t="str">
        <f aca="false">IF($A474="","",_xlfn.XLOOKUP(LOWER(TRIM(Base_Bruta!N474)),DePara_Pais!$A$2:$A$9,DePara_Pais!$B$2:$B$9,"REVISAR"))</f>
        <v>Brasil</v>
      </c>
      <c r="P474" s="4" t="str">
        <f aca="false">IF($A474="","",IF(O474&lt;&gt;"Brasil","Turista Internacional",IF(M474=F474,"Local","Turista Nacional")))</f>
        <v>Local</v>
      </c>
      <c r="Q474" s="7" t="n">
        <f aca="false">IF($A474="","",DATE(YEAR(B474),MONTH(B474),1))</f>
        <v>45962</v>
      </c>
      <c r="R474" s="4" t="str">
        <f aca="false">IF($A474="","",IF(COUNTIF($A$2:$A474,$A474)&gt;1,"Sim","Não"))</f>
        <v>Não</v>
      </c>
      <c r="S474" s="4" t="str">
        <f aca="false">IF(A474="","Descartar - Linha vazia",IF(R474="Sim","Descartar - Duplicado",IF(OR(H474&lt;=0,I474&lt;=0),"Descartar - Qtd/Valor inválido","OK")))</f>
        <v>OK</v>
      </c>
      <c r="T474" s="4" t="str">
        <f aca="false">Base_Bruta!P474</f>
        <v>vendas_SP.xlsx</v>
      </c>
    </row>
    <row r="475" customFormat="false" ht="15" hidden="false" customHeight="false" outlineLevel="0" collapsed="false">
      <c r="A475" s="4" t="str">
        <f aca="false">IF(Base_Bruta!A475="","",Base_Bruta!A475)</f>
        <v>SP-000029</v>
      </c>
      <c r="B475" s="5" t="n">
        <f aca="false">IF($A475="","",IF(ISNUMBER(Base_Bruta!B475),Base_Bruta!B475,IF(MID(Base_Bruta!B475,5,1)="-",DATE(VALUE(LEFT(Base_Bruta!B475,4)),VALUE(MID(Base_Bruta!B475,6,2)),VALUE(RIGHT(Base_Bruta!B475,2))),DATE(VALUE(RIGHT(Base_Bruta!B475,4)),VALUE(MID(Base_Bruta!B475,4,2)),VALUE(LEFT(Base_Bruta!B475,2))))))</f>
        <v>45975</v>
      </c>
      <c r="C475" s="5" t="n">
        <f aca="false">IF($A475="","",IF(ISNUMBER(Base_Bruta!C475),Base_Bruta!C475,IF(MID(Base_Bruta!C475,5,1)="-",DATE(VALUE(LEFT(Base_Bruta!C475,4)),VALUE(MID(Base_Bruta!C475,6,2)),VALUE(RIGHT(Base_Bruta!C475,2))),DATE(VALUE(RIGHT(Base_Bruta!C475,4)),VALUE(MID(Base_Bruta!C475,4,2)),VALUE(LEFT(Base_Bruta!C475,2))))))</f>
        <v>45976</v>
      </c>
      <c r="D475" s="4" t="str">
        <f aca="false">IF($A475="","",TRIM(Base_Bruta!D475))</f>
        <v>Festival Sonora SP 2025</v>
      </c>
      <c r="E475" s="4" t="str">
        <f aca="false">IF($A475="","",_xlfn.XLOOKUP(LOWER(TRIM(Base_Bruta!E475)),DePara_Categoria!$A$2:$A$9,DePara_Categoria!$B$2:$B$9,"REVISAR"))</f>
        <v>Festival</v>
      </c>
      <c r="F475" s="4" t="str">
        <f aca="false">IF($A475="","",_xlfn.XLOOKUP(LOWER(TRIM(Base_Bruta!F475)),DePara_Cidade!$A$2:$A$29,DePara_Cidade!$B$2:$B$29,"REVISAR"))</f>
        <v>São Paulo</v>
      </c>
      <c r="G475" s="4" t="str">
        <f aca="false">IF($A475="","",TRIM(Base_Bruta!G475))</f>
        <v>Meia</v>
      </c>
      <c r="H475" s="4" t="n">
        <f aca="false">IF($A475="","",IF(ISNUMBER(Base_Bruta!H475),Base_Bruta!H475,IFERROR(_xlfn.NUMBERVALUE(TRIM(SUBSTITUTE(Base_Bruta!H475,"R$","")),",","."),0)))</f>
        <v>1</v>
      </c>
      <c r="I475" s="6" t="n">
        <f aca="false">IF($A475="","",IF(ISNUMBER(Base_Bruta!I475),Base_Bruta!I475,IFERROR(_xlfn.NUMBERVALUE(TRIM(SUBSTITUTE(Base_Bruta!I475,"R$","")),",","."),0)))</f>
        <v>327.5</v>
      </c>
      <c r="J475" s="6" t="n">
        <f aca="false">IF($A475="","",H475*I475)</f>
        <v>327.5</v>
      </c>
      <c r="K475" s="4" t="str">
        <f aca="false">IF($A475="","",TRIM(Base_Bruta!J475))</f>
        <v>App</v>
      </c>
      <c r="L475" s="4" t="str">
        <f aca="false">IF($A475="","",TRIM(Base_Bruta!K475))</f>
        <v>C02336</v>
      </c>
      <c r="M475" s="4" t="str">
        <f aca="false">IF($A475="","",_xlfn.XLOOKUP(LOWER(TRIM(Base_Bruta!L475)),DePara_Cidade!$A$2:$A$29,DePara_Cidade!$B$2:$B$29,"REVISAR"))</f>
        <v>São Paulo</v>
      </c>
      <c r="N475" s="4" t="str">
        <f aca="false">IF($A475="","",UPPER(TRIM(Base_Bruta!M475)))</f>
        <v>SP</v>
      </c>
      <c r="O475" s="4" t="str">
        <f aca="false">IF($A475="","",_xlfn.XLOOKUP(LOWER(TRIM(Base_Bruta!N475)),DePara_Pais!$A$2:$A$9,DePara_Pais!$B$2:$B$9,"REVISAR"))</f>
        <v>Brasil</v>
      </c>
      <c r="P475" s="4" t="str">
        <f aca="false">IF($A475="","",IF(O475&lt;&gt;"Brasil","Turista Internacional",IF(M475=F475,"Local","Turista Nacional")))</f>
        <v>Local</v>
      </c>
      <c r="Q475" s="7" t="n">
        <f aca="false">IF($A475="","",DATE(YEAR(B475),MONTH(B475),1))</f>
        <v>45962</v>
      </c>
      <c r="R475" s="4" t="str">
        <f aca="false">IF($A475="","",IF(COUNTIF($A$2:$A475,$A475)&gt;1,"Sim","Não"))</f>
        <v>Não</v>
      </c>
      <c r="S475" s="4" t="str">
        <f aca="false">IF(A475="","Descartar - Linha vazia",IF(R475="Sim","Descartar - Duplicado",IF(OR(H475&lt;=0,I475&lt;=0),"Descartar - Qtd/Valor inválido","OK")))</f>
        <v>OK</v>
      </c>
      <c r="T475" s="4" t="str">
        <f aca="false">Base_Bruta!P475</f>
        <v>vendas_SP.xlsx</v>
      </c>
    </row>
    <row r="476" customFormat="false" ht="15" hidden="false" customHeight="false" outlineLevel="0" collapsed="false">
      <c r="A476" s="4" t="str">
        <f aca="false">IF(Base_Bruta!A476="","",Base_Bruta!A476)</f>
        <v>SP-000047</v>
      </c>
      <c r="B476" s="5" t="n">
        <f aca="false">IF($A476="","",IF(ISNUMBER(Base_Bruta!B476),Base_Bruta!B476,IF(MID(Base_Bruta!B476,5,1)="-",DATE(VALUE(LEFT(Base_Bruta!B476,4)),VALUE(MID(Base_Bruta!B476,6,2)),VALUE(RIGHT(Base_Bruta!B476,2))),DATE(VALUE(RIGHT(Base_Bruta!B476,4)),VALUE(MID(Base_Bruta!B476,4,2)),VALUE(LEFT(Base_Bruta!B476,2))))))</f>
        <v>45975</v>
      </c>
      <c r="C476" s="5" t="n">
        <f aca="false">IF($A476="","",IF(ISNUMBER(Base_Bruta!C476),Base_Bruta!C476,IF(MID(Base_Bruta!C476,5,1)="-",DATE(VALUE(LEFT(Base_Bruta!C476,4)),VALUE(MID(Base_Bruta!C476,6,2)),VALUE(RIGHT(Base_Bruta!C476,2))),DATE(VALUE(RIGHT(Base_Bruta!C476,4)),VALUE(MID(Base_Bruta!C476,4,2)),VALUE(LEFT(Base_Bruta!C476,2))))))</f>
        <v>45976</v>
      </c>
      <c r="D476" s="4" t="str">
        <f aca="false">IF($A476="","",TRIM(Base_Bruta!D476))</f>
        <v>Festival Sonora SP 2025</v>
      </c>
      <c r="E476" s="4" t="str">
        <f aca="false">IF($A476="","",_xlfn.XLOOKUP(LOWER(TRIM(Base_Bruta!E476)),DePara_Categoria!$A$2:$A$9,DePara_Categoria!$B$2:$B$9,"REVISAR"))</f>
        <v>Festival</v>
      </c>
      <c r="F476" s="4" t="str">
        <f aca="false">IF($A476="","",_xlfn.XLOOKUP(LOWER(TRIM(Base_Bruta!F476)),DePara_Cidade!$A$2:$A$29,DePara_Cidade!$B$2:$B$29,"REVISAR"))</f>
        <v>São Paulo</v>
      </c>
      <c r="G476" s="4" t="str">
        <f aca="false">IF($A476="","",TRIM(Base_Bruta!G476))</f>
        <v>VIP</v>
      </c>
      <c r="H476" s="4" t="n">
        <f aca="false">IF($A476="","",IF(ISNUMBER(Base_Bruta!H476),Base_Bruta!H476,IFERROR(_xlfn.NUMBERVALUE(TRIM(SUBSTITUTE(Base_Bruta!H476,"R$","")),",","."),0)))</f>
        <v>2</v>
      </c>
      <c r="I476" s="6" t="n">
        <f aca="false">IF($A476="","",IF(ISNUMBER(Base_Bruta!I476),Base_Bruta!I476,IFERROR(_xlfn.NUMBERVALUE(TRIM(SUBSTITUTE(Base_Bruta!I476,"R$","")),",","."),0)))</f>
        <v>2130</v>
      </c>
      <c r="J476" s="6" t="n">
        <f aca="false">IF($A476="","",H476*I476)</f>
        <v>4260</v>
      </c>
      <c r="K476" s="4" t="str">
        <f aca="false">IF($A476="","",TRIM(Base_Bruta!J476))</f>
        <v>App</v>
      </c>
      <c r="L476" s="4" t="str">
        <f aca="false">IF($A476="","",TRIM(Base_Bruta!K476))</f>
        <v>C01761</v>
      </c>
      <c r="M476" s="4" t="str">
        <f aca="false">IF($A476="","",_xlfn.XLOOKUP(LOWER(TRIM(Base_Bruta!L476)),DePara_Cidade!$A$2:$A$29,DePara_Cidade!$B$2:$B$29,"REVISAR"))</f>
        <v>São Paulo</v>
      </c>
      <c r="N476" s="4" t="str">
        <f aca="false">IF($A476="","",UPPER(TRIM(Base_Bruta!M476)))</f>
        <v>SP</v>
      </c>
      <c r="O476" s="4" t="str">
        <f aca="false">IF($A476="","",_xlfn.XLOOKUP(LOWER(TRIM(Base_Bruta!N476)),DePara_Pais!$A$2:$A$9,DePara_Pais!$B$2:$B$9,"REVISAR"))</f>
        <v>Brasil</v>
      </c>
      <c r="P476" s="4" t="str">
        <f aca="false">IF($A476="","",IF(O476&lt;&gt;"Brasil","Turista Internacional",IF(M476=F476,"Local","Turista Nacional")))</f>
        <v>Local</v>
      </c>
      <c r="Q476" s="7" t="n">
        <f aca="false">IF($A476="","",DATE(YEAR(B476),MONTH(B476),1))</f>
        <v>45962</v>
      </c>
      <c r="R476" s="4" t="str">
        <f aca="false">IF($A476="","",IF(COUNTIF($A$2:$A476,$A476)&gt;1,"Sim","Não"))</f>
        <v>Não</v>
      </c>
      <c r="S476" s="4" t="str">
        <f aca="false">IF(A476="","Descartar - Linha vazia",IF(R476="Sim","Descartar - Duplicado",IF(OR(H476&lt;=0,I476&lt;=0),"Descartar - Qtd/Valor inválido","OK")))</f>
        <v>OK</v>
      </c>
      <c r="T476" s="4" t="str">
        <f aca="false">Base_Bruta!P476</f>
        <v>vendas_SP.xlsx</v>
      </c>
    </row>
    <row r="477" customFormat="false" ht="15" hidden="false" customHeight="false" outlineLevel="0" collapsed="false">
      <c r="A477" s="4" t="str">
        <f aca="false">IF(Base_Bruta!A477="","",Base_Bruta!A477)</f>
        <v>SP-000061</v>
      </c>
      <c r="B477" s="5" t="n">
        <f aca="false">IF($A477="","",IF(ISNUMBER(Base_Bruta!B477),Base_Bruta!B477,IF(MID(Base_Bruta!B477,5,1)="-",DATE(VALUE(LEFT(Base_Bruta!B477,4)),VALUE(MID(Base_Bruta!B477,6,2)),VALUE(RIGHT(Base_Bruta!B477,2))),DATE(VALUE(RIGHT(Base_Bruta!B477,4)),VALUE(MID(Base_Bruta!B477,4,2)),VALUE(LEFT(Base_Bruta!B477,2))))))</f>
        <v>45975</v>
      </c>
      <c r="C477" s="5" t="n">
        <f aca="false">IF($A477="","",IF(ISNUMBER(Base_Bruta!C477),Base_Bruta!C477,IF(MID(Base_Bruta!C477,5,1)="-",DATE(VALUE(LEFT(Base_Bruta!C477,4)),VALUE(MID(Base_Bruta!C477,6,2)),VALUE(RIGHT(Base_Bruta!C477,2))),DATE(VALUE(RIGHT(Base_Bruta!C477,4)),VALUE(MID(Base_Bruta!C477,4,2)),VALUE(LEFT(Base_Bruta!C477,2))))))</f>
        <v>45976</v>
      </c>
      <c r="D477" s="4" t="str">
        <f aca="false">IF($A477="","",TRIM(Base_Bruta!D477))</f>
        <v>Festival Sonora SP 2025</v>
      </c>
      <c r="E477" s="4" t="str">
        <f aca="false">IF($A477="","",_xlfn.XLOOKUP(LOWER(TRIM(Base_Bruta!E477)),DePara_Categoria!$A$2:$A$9,DePara_Categoria!$B$2:$B$9,"REVISAR"))</f>
        <v>Festival</v>
      </c>
      <c r="F477" s="4" t="str">
        <f aca="false">IF($A477="","",_xlfn.XLOOKUP(LOWER(TRIM(Base_Bruta!F477)),DePara_Cidade!$A$2:$A$29,DePara_Cidade!$B$2:$B$29,"REVISAR"))</f>
        <v>São Paulo</v>
      </c>
      <c r="G477" s="4" t="str">
        <f aca="false">IF($A477="","",TRIM(Base_Bruta!G477))</f>
        <v>Inteira</v>
      </c>
      <c r="H477" s="4" t="n">
        <f aca="false">IF($A477="","",IF(ISNUMBER(Base_Bruta!H477),Base_Bruta!H477,IFERROR(_xlfn.NUMBERVALUE(TRIM(SUBSTITUTE(Base_Bruta!H477,"R$","")),",","."),0)))</f>
        <v>1</v>
      </c>
      <c r="I477" s="6" t="n">
        <f aca="false">IF($A477="","",IF(ISNUMBER(Base_Bruta!I477),Base_Bruta!I477,IFERROR(_xlfn.NUMBERVALUE(TRIM(SUBSTITUTE(Base_Bruta!I477,"R$","")),",","."),0)))</f>
        <v>700</v>
      </c>
      <c r="J477" s="6" t="n">
        <f aca="false">IF($A477="","",H477*I477)</f>
        <v>700</v>
      </c>
      <c r="K477" s="4" t="str">
        <f aca="false">IF($A477="","",TRIM(Base_Bruta!J477))</f>
        <v>Site</v>
      </c>
      <c r="L477" s="4" t="str">
        <f aca="false">IF($A477="","",TRIM(Base_Bruta!K477))</f>
        <v>C02079</v>
      </c>
      <c r="M477" s="4" t="str">
        <f aca="false">IF($A477="","",_xlfn.XLOOKUP(LOWER(TRIM(Base_Bruta!L477)),DePara_Cidade!$A$2:$A$29,DePara_Cidade!$B$2:$B$29,"REVISAR"))</f>
        <v>São Paulo</v>
      </c>
      <c r="N477" s="4" t="str">
        <f aca="false">IF($A477="","",UPPER(TRIM(Base_Bruta!M477)))</f>
        <v>SP</v>
      </c>
      <c r="O477" s="4" t="str">
        <f aca="false">IF($A477="","",_xlfn.XLOOKUP(LOWER(TRIM(Base_Bruta!N477)),DePara_Pais!$A$2:$A$9,DePara_Pais!$B$2:$B$9,"REVISAR"))</f>
        <v>Brasil</v>
      </c>
      <c r="P477" s="4" t="str">
        <f aca="false">IF($A477="","",IF(O477&lt;&gt;"Brasil","Turista Internacional",IF(M477=F477,"Local","Turista Nacional")))</f>
        <v>Local</v>
      </c>
      <c r="Q477" s="7" t="n">
        <f aca="false">IF($A477="","",DATE(YEAR(B477),MONTH(B477),1))</f>
        <v>45962</v>
      </c>
      <c r="R477" s="4" t="str">
        <f aca="false">IF($A477="","",IF(COUNTIF($A$2:$A477,$A477)&gt;1,"Sim","Não"))</f>
        <v>Não</v>
      </c>
      <c r="S477" s="4" t="str">
        <f aca="false">IF(A477="","Descartar - Linha vazia",IF(R477="Sim","Descartar - Duplicado",IF(OR(H477&lt;=0,I477&lt;=0),"Descartar - Qtd/Valor inválido","OK")))</f>
        <v>OK</v>
      </c>
      <c r="T477" s="4" t="str">
        <f aca="false">Base_Bruta!P477</f>
        <v>vendas_SP.xlsx</v>
      </c>
    </row>
    <row r="478" customFormat="false" ht="15" hidden="false" customHeight="false" outlineLevel="0" collapsed="false">
      <c r="A478" s="4" t="str">
        <f aca="false">IF(Base_Bruta!A478="","",Base_Bruta!A478)</f>
        <v>SP-000069</v>
      </c>
      <c r="B478" s="5" t="n">
        <f aca="false">IF($A478="","",IF(ISNUMBER(Base_Bruta!B478),Base_Bruta!B478,IF(MID(Base_Bruta!B478,5,1)="-",DATE(VALUE(LEFT(Base_Bruta!B478,4)),VALUE(MID(Base_Bruta!B478,6,2)),VALUE(RIGHT(Base_Bruta!B478,2))),DATE(VALUE(RIGHT(Base_Bruta!B478,4)),VALUE(MID(Base_Bruta!B478,4,2)),VALUE(LEFT(Base_Bruta!B478,2))))))</f>
        <v>45975</v>
      </c>
      <c r="C478" s="5" t="n">
        <f aca="false">IF($A478="","",IF(ISNUMBER(Base_Bruta!C478),Base_Bruta!C478,IF(MID(Base_Bruta!C478,5,1)="-",DATE(VALUE(LEFT(Base_Bruta!C478,4)),VALUE(MID(Base_Bruta!C478,6,2)),VALUE(RIGHT(Base_Bruta!C478,2))),DATE(VALUE(RIGHT(Base_Bruta!C478,4)),VALUE(MID(Base_Bruta!C478,4,2)),VALUE(LEFT(Base_Bruta!C478,2))))))</f>
        <v>45976</v>
      </c>
      <c r="D478" s="4" t="str">
        <f aca="false">IF($A478="","",TRIM(Base_Bruta!D478))</f>
        <v>Festival Sonora SP 2025</v>
      </c>
      <c r="E478" s="4" t="str">
        <f aca="false">IF($A478="","",_xlfn.XLOOKUP(LOWER(TRIM(Base_Bruta!E478)),DePara_Categoria!$A$2:$A$9,DePara_Categoria!$B$2:$B$9,"REVISAR"))</f>
        <v>Festival</v>
      </c>
      <c r="F478" s="4" t="str">
        <f aca="false">IF($A478="","",_xlfn.XLOOKUP(LOWER(TRIM(Base_Bruta!F478)),DePara_Cidade!$A$2:$A$29,DePara_Cidade!$B$2:$B$29,"REVISAR"))</f>
        <v>São Paulo</v>
      </c>
      <c r="G478" s="4" t="str">
        <f aca="false">IF($A478="","",TRIM(Base_Bruta!G478))</f>
        <v>Meia</v>
      </c>
      <c r="H478" s="4" t="n">
        <f aca="false">IF($A478="","",IF(ISNUMBER(Base_Bruta!H478),Base_Bruta!H478,IFERROR(_xlfn.NUMBERVALUE(TRIM(SUBSTITUTE(Base_Bruta!H478,"R$","")),",","."),0)))</f>
        <v>2</v>
      </c>
      <c r="I478" s="6" t="n">
        <f aca="false">IF($A478="","",IF(ISNUMBER(Base_Bruta!I478),Base_Bruta!I478,IFERROR(_xlfn.NUMBERVALUE(TRIM(SUBSTITUTE(Base_Bruta!I478,"R$","")),",","."),0)))</f>
        <v>512.5</v>
      </c>
      <c r="J478" s="6" t="n">
        <f aca="false">IF($A478="","",H478*I478)</f>
        <v>1025</v>
      </c>
      <c r="K478" s="4" t="str">
        <f aca="false">IF($A478="","",TRIM(Base_Bruta!J478))</f>
        <v>Site</v>
      </c>
      <c r="L478" s="4" t="str">
        <f aca="false">IF($A478="","",TRIM(Base_Bruta!K478))</f>
        <v>C00416</v>
      </c>
      <c r="M478" s="4" t="str">
        <f aca="false">IF($A478="","",_xlfn.XLOOKUP(LOWER(TRIM(Base_Bruta!L478)),DePara_Cidade!$A$2:$A$29,DePara_Cidade!$B$2:$B$29,"REVISAR"))</f>
        <v>Miami</v>
      </c>
      <c r="N478" s="4" t="str">
        <f aca="false">IF($A478="","",UPPER(TRIM(Base_Bruta!M478)))</f>
        <v>EX</v>
      </c>
      <c r="O478" s="4" t="str">
        <f aca="false">IF($A478="","",_xlfn.XLOOKUP(LOWER(TRIM(Base_Bruta!N478)),DePara_Pais!$A$2:$A$9,DePara_Pais!$B$2:$B$9,"REVISAR"))</f>
        <v>EUA</v>
      </c>
      <c r="P478" s="4" t="str">
        <f aca="false">IF($A478="","",IF(O478&lt;&gt;"Brasil","Turista Internacional",IF(M478=F478,"Local","Turista Nacional")))</f>
        <v>Turista Internacional</v>
      </c>
      <c r="Q478" s="7" t="n">
        <f aca="false">IF($A478="","",DATE(YEAR(B478),MONTH(B478),1))</f>
        <v>45962</v>
      </c>
      <c r="R478" s="4" t="str">
        <f aca="false">IF($A478="","",IF(COUNTIF($A$2:$A478,$A478)&gt;1,"Sim","Não"))</f>
        <v>Não</v>
      </c>
      <c r="S478" s="4" t="str">
        <f aca="false">IF(A478="","Descartar - Linha vazia",IF(R478="Sim","Descartar - Duplicado",IF(OR(H478&lt;=0,I478&lt;=0),"Descartar - Qtd/Valor inválido","OK")))</f>
        <v>OK</v>
      </c>
      <c r="T478" s="4" t="str">
        <f aca="false">Base_Bruta!P478</f>
        <v>vendas_SP.xlsx</v>
      </c>
    </row>
    <row r="479" customFormat="false" ht="15" hidden="false" customHeight="false" outlineLevel="0" collapsed="false">
      <c r="A479" s="4" t="str">
        <f aca="false">IF(Base_Bruta!A479="","",Base_Bruta!A479)</f>
        <v>SP-000080</v>
      </c>
      <c r="B479" s="5" t="n">
        <f aca="false">IF($A479="","",IF(ISNUMBER(Base_Bruta!B479),Base_Bruta!B479,IF(MID(Base_Bruta!B479,5,1)="-",DATE(VALUE(LEFT(Base_Bruta!B479,4)),VALUE(MID(Base_Bruta!B479,6,2)),VALUE(RIGHT(Base_Bruta!B479,2))),DATE(VALUE(RIGHT(Base_Bruta!B479,4)),VALUE(MID(Base_Bruta!B479,4,2)),VALUE(LEFT(Base_Bruta!B479,2))))))</f>
        <v>45975</v>
      </c>
      <c r="C479" s="5" t="n">
        <f aca="false">IF($A479="","",IF(ISNUMBER(Base_Bruta!C479),Base_Bruta!C479,IF(MID(Base_Bruta!C479,5,1)="-",DATE(VALUE(LEFT(Base_Bruta!C479,4)),VALUE(MID(Base_Bruta!C479,6,2)),VALUE(RIGHT(Base_Bruta!C479,2))),DATE(VALUE(RIGHT(Base_Bruta!C479,4)),VALUE(MID(Base_Bruta!C479,4,2)),VALUE(LEFT(Base_Bruta!C479,2))))))</f>
        <v>45976</v>
      </c>
      <c r="D479" s="4" t="str">
        <f aca="false">IF($A479="","",TRIM(Base_Bruta!D479))</f>
        <v>Festival Sonora SP 2025</v>
      </c>
      <c r="E479" s="4" t="str">
        <f aca="false">IF($A479="","",_xlfn.XLOOKUP(LOWER(TRIM(Base_Bruta!E479)),DePara_Categoria!$A$2:$A$9,DePara_Categoria!$B$2:$B$9,"REVISAR"))</f>
        <v>Festival</v>
      </c>
      <c r="F479" s="4" t="str">
        <f aca="false">IF($A479="","",_xlfn.XLOOKUP(LOWER(TRIM(Base_Bruta!F479)),DePara_Cidade!$A$2:$A$29,DePara_Cidade!$B$2:$B$29,"REVISAR"))</f>
        <v>São Paulo</v>
      </c>
      <c r="G479" s="4" t="str">
        <f aca="false">IF($A479="","",TRIM(Base_Bruta!G479))</f>
        <v>Meia</v>
      </c>
      <c r="H479" s="4" t="n">
        <f aca="false">IF($A479="","",IF(ISNUMBER(Base_Bruta!H479),Base_Bruta!H479,IFERROR(_xlfn.NUMBERVALUE(TRIM(SUBSTITUTE(Base_Bruta!H479,"R$","")),",","."),0)))</f>
        <v>2</v>
      </c>
      <c r="I479" s="6" t="n">
        <f aca="false">IF($A479="","",IF(ISNUMBER(Base_Bruta!I479),Base_Bruta!I479,IFERROR(_xlfn.NUMBERVALUE(TRIM(SUBSTITUTE(Base_Bruta!I479,"R$","")),",","."),0)))</f>
        <v>530</v>
      </c>
      <c r="J479" s="6" t="n">
        <f aca="false">IF($A479="","",H479*I479)</f>
        <v>1060</v>
      </c>
      <c r="K479" s="4" t="str">
        <f aca="false">IF($A479="","",TRIM(Base_Bruta!J479))</f>
        <v>Site</v>
      </c>
      <c r="L479" s="4" t="str">
        <f aca="false">IF($A479="","",TRIM(Base_Bruta!K479))</f>
        <v>C00575</v>
      </c>
      <c r="M479" s="4" t="str">
        <f aca="false">IF($A479="","",_xlfn.XLOOKUP(LOWER(TRIM(Base_Bruta!L479)),DePara_Cidade!$A$2:$A$29,DePara_Cidade!$B$2:$B$29,"REVISAR"))</f>
        <v>Belo Horizonte</v>
      </c>
      <c r="N479" s="4" t="str">
        <f aca="false">IF($A479="","",UPPER(TRIM(Base_Bruta!M479)))</f>
        <v>MG</v>
      </c>
      <c r="O479" s="4" t="str">
        <f aca="false">IF($A479="","",_xlfn.XLOOKUP(LOWER(TRIM(Base_Bruta!N479)),DePara_Pais!$A$2:$A$9,DePara_Pais!$B$2:$B$9,"REVISAR"))</f>
        <v>Brasil</v>
      </c>
      <c r="P479" s="4" t="str">
        <f aca="false">IF($A479="","",IF(O479&lt;&gt;"Brasil","Turista Internacional",IF(M479=F479,"Local","Turista Nacional")))</f>
        <v>Turista Nacional</v>
      </c>
      <c r="Q479" s="7" t="n">
        <f aca="false">IF($A479="","",DATE(YEAR(B479),MONTH(B479),1))</f>
        <v>45962</v>
      </c>
      <c r="R479" s="4" t="str">
        <f aca="false">IF($A479="","",IF(COUNTIF($A$2:$A479,$A479)&gt;1,"Sim","Não"))</f>
        <v>Não</v>
      </c>
      <c r="S479" s="4" t="str">
        <f aca="false">IF(A479="","Descartar - Linha vazia",IF(R479="Sim","Descartar - Duplicado",IF(OR(H479&lt;=0,I479&lt;=0),"Descartar - Qtd/Valor inválido","OK")))</f>
        <v>OK</v>
      </c>
      <c r="T479" s="4" t="str">
        <f aca="false">Base_Bruta!P479</f>
        <v>vendas_SP.xlsx</v>
      </c>
    </row>
    <row r="480" customFormat="false" ht="15" hidden="false" customHeight="false" outlineLevel="0" collapsed="false">
      <c r="A480" s="4" t="str">
        <f aca="false">IF(Base_Bruta!A480="","",Base_Bruta!A480)</f>
        <v>SP-000084</v>
      </c>
      <c r="B480" s="5" t="n">
        <f aca="false">IF($A480="","",IF(ISNUMBER(Base_Bruta!B480),Base_Bruta!B480,IF(MID(Base_Bruta!B480,5,1)="-",DATE(VALUE(LEFT(Base_Bruta!B480,4)),VALUE(MID(Base_Bruta!B480,6,2)),VALUE(RIGHT(Base_Bruta!B480,2))),DATE(VALUE(RIGHT(Base_Bruta!B480,4)),VALUE(MID(Base_Bruta!B480,4,2)),VALUE(LEFT(Base_Bruta!B480,2))))))</f>
        <v>45975</v>
      </c>
      <c r="C480" s="5" t="n">
        <f aca="false">IF($A480="","",IF(ISNUMBER(Base_Bruta!C480),Base_Bruta!C480,IF(MID(Base_Bruta!C480,5,1)="-",DATE(VALUE(LEFT(Base_Bruta!C480,4)),VALUE(MID(Base_Bruta!C480,6,2)),VALUE(RIGHT(Base_Bruta!C480,2))),DATE(VALUE(RIGHT(Base_Bruta!C480,4)),VALUE(MID(Base_Bruta!C480,4,2)),VALUE(LEFT(Base_Bruta!C480,2))))))</f>
        <v>45976</v>
      </c>
      <c r="D480" s="4" t="str">
        <f aca="false">IF($A480="","",TRIM(Base_Bruta!D480))</f>
        <v>Festival Sonora SP 2025</v>
      </c>
      <c r="E480" s="4" t="str">
        <f aca="false">IF($A480="","",_xlfn.XLOOKUP(LOWER(TRIM(Base_Bruta!E480)),DePara_Categoria!$A$2:$A$9,DePara_Categoria!$B$2:$B$9,"REVISAR"))</f>
        <v>Festival</v>
      </c>
      <c r="F480" s="4" t="str">
        <f aca="false">IF($A480="","",_xlfn.XLOOKUP(LOWER(TRIM(Base_Bruta!F480)),DePara_Cidade!$A$2:$A$29,DePara_Cidade!$B$2:$B$29,"REVISAR"))</f>
        <v>São Paulo</v>
      </c>
      <c r="G480" s="4" t="str">
        <f aca="false">IF($A480="","",TRIM(Base_Bruta!G480))</f>
        <v>Inteira</v>
      </c>
      <c r="H480" s="4" t="n">
        <f aca="false">IF($A480="","",IF(ISNUMBER(Base_Bruta!H480),Base_Bruta!H480,IFERROR(_xlfn.NUMBERVALUE(TRIM(SUBSTITUTE(Base_Bruta!H480,"R$","")),",","."),0)))</f>
        <v>1</v>
      </c>
      <c r="I480" s="6" t="n">
        <f aca="false">IF($A480="","",IF(ISNUMBER(Base_Bruta!I480),Base_Bruta!I480,IFERROR(_xlfn.NUMBERVALUE(TRIM(SUBSTITUTE(Base_Bruta!I480,"R$","")),",","."),0)))</f>
        <v>1050</v>
      </c>
      <c r="J480" s="6" t="n">
        <f aca="false">IF($A480="","",H480*I480)</f>
        <v>1050</v>
      </c>
      <c r="K480" s="4" t="str">
        <f aca="false">IF($A480="","",TRIM(Base_Bruta!J480))</f>
        <v>Site</v>
      </c>
      <c r="L480" s="4" t="str">
        <f aca="false">IF($A480="","",TRIM(Base_Bruta!K480))</f>
        <v>C01152</v>
      </c>
      <c r="M480" s="4" t="str">
        <f aca="false">IF($A480="","",_xlfn.XLOOKUP(LOWER(TRIM(Base_Bruta!L480)),DePara_Cidade!$A$2:$A$29,DePara_Cidade!$B$2:$B$29,"REVISAR"))</f>
        <v>Recife</v>
      </c>
      <c r="N480" s="4" t="str">
        <f aca="false">IF($A480="","",UPPER(TRIM(Base_Bruta!M480)))</f>
        <v>PE</v>
      </c>
      <c r="O480" s="4" t="str">
        <f aca="false">IF($A480="","",_xlfn.XLOOKUP(LOWER(TRIM(Base_Bruta!N480)),DePara_Pais!$A$2:$A$9,DePara_Pais!$B$2:$B$9,"REVISAR"))</f>
        <v>Brasil</v>
      </c>
      <c r="P480" s="4" t="str">
        <f aca="false">IF($A480="","",IF(O480&lt;&gt;"Brasil","Turista Internacional",IF(M480=F480,"Local","Turista Nacional")))</f>
        <v>Turista Nacional</v>
      </c>
      <c r="Q480" s="7" t="n">
        <f aca="false">IF($A480="","",DATE(YEAR(B480),MONTH(B480),1))</f>
        <v>45962</v>
      </c>
      <c r="R480" s="4" t="str">
        <f aca="false">IF($A480="","",IF(COUNTIF($A$2:$A480,$A480)&gt;1,"Sim","Não"))</f>
        <v>Não</v>
      </c>
      <c r="S480" s="4" t="str">
        <f aca="false">IF(A480="","Descartar - Linha vazia",IF(R480="Sim","Descartar - Duplicado",IF(OR(H480&lt;=0,I480&lt;=0),"Descartar - Qtd/Valor inválido","OK")))</f>
        <v>OK</v>
      </c>
      <c r="T480" s="4" t="str">
        <f aca="false">Base_Bruta!P480</f>
        <v>vendas_SP.xlsx</v>
      </c>
    </row>
    <row r="481" customFormat="false" ht="15" hidden="false" customHeight="false" outlineLevel="0" collapsed="false">
      <c r="A481" s="4" t="str">
        <f aca="false">IF(Base_Bruta!A481="","",Base_Bruta!A481)</f>
        <v>SP-000123</v>
      </c>
      <c r="B481" s="5" t="n">
        <f aca="false">IF($A481="","",IF(ISNUMBER(Base_Bruta!B481),Base_Bruta!B481,IF(MID(Base_Bruta!B481,5,1)="-",DATE(VALUE(LEFT(Base_Bruta!B481,4)),VALUE(MID(Base_Bruta!B481,6,2)),VALUE(RIGHT(Base_Bruta!B481,2))),DATE(VALUE(RIGHT(Base_Bruta!B481,4)),VALUE(MID(Base_Bruta!B481,4,2)),VALUE(LEFT(Base_Bruta!B481,2))))))</f>
        <v>45975</v>
      </c>
      <c r="C481" s="5" t="n">
        <f aca="false">IF($A481="","",IF(ISNUMBER(Base_Bruta!C481),Base_Bruta!C481,IF(MID(Base_Bruta!C481,5,1)="-",DATE(VALUE(LEFT(Base_Bruta!C481,4)),VALUE(MID(Base_Bruta!C481,6,2)),VALUE(RIGHT(Base_Bruta!C481,2))),DATE(VALUE(RIGHT(Base_Bruta!C481,4)),VALUE(MID(Base_Bruta!C481,4,2)),VALUE(LEFT(Base_Bruta!C481,2))))))</f>
        <v>45976</v>
      </c>
      <c r="D481" s="4" t="str">
        <f aca="false">IF($A481="","",TRIM(Base_Bruta!D481))</f>
        <v>Festival Sonora SP 2025</v>
      </c>
      <c r="E481" s="4" t="str">
        <f aca="false">IF($A481="","",_xlfn.XLOOKUP(LOWER(TRIM(Base_Bruta!E481)),DePara_Categoria!$A$2:$A$9,DePara_Categoria!$B$2:$B$9,"REVISAR"))</f>
        <v>Festival</v>
      </c>
      <c r="F481" s="4" t="str">
        <f aca="false">IF($A481="","",_xlfn.XLOOKUP(LOWER(TRIM(Base_Bruta!F481)),DePara_Cidade!$A$2:$A$29,DePara_Cidade!$B$2:$B$29,"REVISAR"))</f>
        <v>São Paulo</v>
      </c>
      <c r="G481" s="4" t="str">
        <f aca="false">IF($A481="","",TRIM(Base_Bruta!G481))</f>
        <v>Meia</v>
      </c>
      <c r="H481" s="4" t="n">
        <f aca="false">IF($A481="","",IF(ISNUMBER(Base_Bruta!H481),Base_Bruta!H481,IFERROR(_xlfn.NUMBERVALUE(TRIM(SUBSTITUTE(Base_Bruta!H481,"R$","")),",","."),0)))</f>
        <v>1</v>
      </c>
      <c r="I481" s="6" t="n">
        <f aca="false">IF($A481="","",IF(ISNUMBER(Base_Bruta!I481),Base_Bruta!I481,IFERROR(_xlfn.NUMBERVALUE(TRIM(SUBSTITUTE(Base_Bruta!I481,"R$","")),",","."),0)))</f>
        <v>465</v>
      </c>
      <c r="J481" s="6" t="n">
        <f aca="false">IF($A481="","",H481*I481)</f>
        <v>465</v>
      </c>
      <c r="K481" s="4" t="str">
        <f aca="false">IF($A481="","",TRIM(Base_Bruta!J481))</f>
        <v>App</v>
      </c>
      <c r="L481" s="4" t="str">
        <f aca="false">IF($A481="","",TRIM(Base_Bruta!K481))</f>
        <v>C01246</v>
      </c>
      <c r="M481" s="4" t="str">
        <f aca="false">IF($A481="","",_xlfn.XLOOKUP(LOWER(TRIM(Base_Bruta!L481)),DePara_Cidade!$A$2:$A$29,DePara_Cidade!$B$2:$B$29,"REVISAR"))</f>
        <v>São Paulo</v>
      </c>
      <c r="N481" s="4" t="str">
        <f aca="false">IF($A481="","",UPPER(TRIM(Base_Bruta!M481)))</f>
        <v>SP</v>
      </c>
      <c r="O481" s="4" t="str">
        <f aca="false">IF($A481="","",_xlfn.XLOOKUP(LOWER(TRIM(Base_Bruta!N481)),DePara_Pais!$A$2:$A$9,DePara_Pais!$B$2:$B$9,"REVISAR"))</f>
        <v>Brasil</v>
      </c>
      <c r="P481" s="4" t="str">
        <f aca="false">IF($A481="","",IF(O481&lt;&gt;"Brasil","Turista Internacional",IF(M481=F481,"Local","Turista Nacional")))</f>
        <v>Local</v>
      </c>
      <c r="Q481" s="7" t="n">
        <f aca="false">IF($A481="","",DATE(YEAR(B481),MONTH(B481),1))</f>
        <v>45962</v>
      </c>
      <c r="R481" s="4" t="str">
        <f aca="false">IF($A481="","",IF(COUNTIF($A$2:$A481,$A481)&gt;1,"Sim","Não"))</f>
        <v>Não</v>
      </c>
      <c r="S481" s="4" t="str">
        <f aca="false">IF(A481="","Descartar - Linha vazia",IF(R481="Sim","Descartar - Duplicado",IF(OR(H481&lt;=0,I481&lt;=0),"Descartar - Qtd/Valor inválido","OK")))</f>
        <v>OK</v>
      </c>
      <c r="T481" s="4" t="str">
        <f aca="false">Base_Bruta!P481</f>
        <v>vendas_SP.xlsx</v>
      </c>
    </row>
    <row r="482" customFormat="false" ht="15" hidden="false" customHeight="false" outlineLevel="0" collapsed="false">
      <c r="A482" s="4" t="str">
        <f aca="false">IF(Base_Bruta!A482="","",Base_Bruta!A482)</f>
        <v>SP-000188</v>
      </c>
      <c r="B482" s="5" t="n">
        <f aca="false">IF($A482="","",IF(ISNUMBER(Base_Bruta!B482),Base_Bruta!B482,IF(MID(Base_Bruta!B482,5,1)="-",DATE(VALUE(LEFT(Base_Bruta!B482,4)),VALUE(MID(Base_Bruta!B482,6,2)),VALUE(RIGHT(Base_Bruta!B482,2))),DATE(VALUE(RIGHT(Base_Bruta!B482,4)),VALUE(MID(Base_Bruta!B482,4,2)),VALUE(LEFT(Base_Bruta!B482,2))))))</f>
        <v>45975</v>
      </c>
      <c r="C482" s="5" t="n">
        <f aca="false">IF($A482="","",IF(ISNUMBER(Base_Bruta!C482),Base_Bruta!C482,IF(MID(Base_Bruta!C482,5,1)="-",DATE(VALUE(LEFT(Base_Bruta!C482,4)),VALUE(MID(Base_Bruta!C482,6,2)),VALUE(RIGHT(Base_Bruta!C482,2))),DATE(VALUE(RIGHT(Base_Bruta!C482,4)),VALUE(MID(Base_Bruta!C482,4,2)),VALUE(LEFT(Base_Bruta!C482,2))))))</f>
        <v>45976</v>
      </c>
      <c r="D482" s="4" t="str">
        <f aca="false">IF($A482="","",TRIM(Base_Bruta!D482))</f>
        <v>Festival Sonora SP 2025</v>
      </c>
      <c r="E482" s="4" t="str">
        <f aca="false">IF($A482="","",_xlfn.XLOOKUP(LOWER(TRIM(Base_Bruta!E482)),DePara_Categoria!$A$2:$A$9,DePara_Categoria!$B$2:$B$9,"REVISAR"))</f>
        <v>Festival</v>
      </c>
      <c r="F482" s="4" t="str">
        <f aca="false">IF($A482="","",_xlfn.XLOOKUP(LOWER(TRIM(Base_Bruta!F482)),DePara_Cidade!$A$2:$A$29,DePara_Cidade!$B$2:$B$29,"REVISAR"))</f>
        <v>São Paulo</v>
      </c>
      <c r="G482" s="4" t="str">
        <f aca="false">IF($A482="","",TRIM(Base_Bruta!G482))</f>
        <v>Inteira</v>
      </c>
      <c r="H482" s="4" t="n">
        <f aca="false">IF($A482="","",IF(ISNUMBER(Base_Bruta!H482),Base_Bruta!H482,IFERROR(_xlfn.NUMBERVALUE(TRIM(SUBSTITUTE(Base_Bruta!H482,"R$","")),",","."),0)))</f>
        <v>1</v>
      </c>
      <c r="I482" s="6" t="n">
        <f aca="false">IF($A482="","",IF(ISNUMBER(Base_Bruta!I482),Base_Bruta!I482,IFERROR(_xlfn.NUMBERVALUE(TRIM(SUBSTITUTE(Base_Bruta!I482,"R$","")),",","."),0)))</f>
        <v>1020</v>
      </c>
      <c r="J482" s="6" t="n">
        <f aca="false">IF($A482="","",H482*I482)</f>
        <v>1020</v>
      </c>
      <c r="K482" s="4" t="str">
        <f aca="false">IF($A482="","",TRIM(Base_Bruta!J482))</f>
        <v>Site</v>
      </c>
      <c r="L482" s="4" t="str">
        <f aca="false">IF($A482="","",TRIM(Base_Bruta!K482))</f>
        <v>C01736</v>
      </c>
      <c r="M482" s="4" t="str">
        <f aca="false">IF($A482="","",_xlfn.XLOOKUP(LOWER(TRIM(Base_Bruta!L482)),DePara_Cidade!$A$2:$A$29,DePara_Cidade!$B$2:$B$29,"REVISAR"))</f>
        <v>Miami</v>
      </c>
      <c r="N482" s="4" t="str">
        <f aca="false">IF($A482="","",UPPER(TRIM(Base_Bruta!M482)))</f>
        <v>EX</v>
      </c>
      <c r="O482" s="4" t="str">
        <f aca="false">IF($A482="","",_xlfn.XLOOKUP(LOWER(TRIM(Base_Bruta!N482)),DePara_Pais!$A$2:$A$9,DePara_Pais!$B$2:$B$9,"REVISAR"))</f>
        <v>EUA</v>
      </c>
      <c r="P482" s="4" t="str">
        <f aca="false">IF($A482="","",IF(O482&lt;&gt;"Brasil","Turista Internacional",IF(M482=F482,"Local","Turista Nacional")))</f>
        <v>Turista Internacional</v>
      </c>
      <c r="Q482" s="7" t="n">
        <f aca="false">IF($A482="","",DATE(YEAR(B482),MONTH(B482),1))</f>
        <v>45962</v>
      </c>
      <c r="R482" s="4" t="str">
        <f aca="false">IF($A482="","",IF(COUNTIF($A$2:$A482,$A482)&gt;1,"Sim","Não"))</f>
        <v>Não</v>
      </c>
      <c r="S482" s="4" t="str">
        <f aca="false">IF(A482="","Descartar - Linha vazia",IF(R482="Sim","Descartar - Duplicado",IF(OR(H482&lt;=0,I482&lt;=0),"Descartar - Qtd/Valor inválido","OK")))</f>
        <v>OK</v>
      </c>
      <c r="T482" s="4" t="str">
        <f aca="false">Base_Bruta!P482</f>
        <v>vendas_SP.xlsx</v>
      </c>
    </row>
    <row r="483" customFormat="false" ht="15" hidden="false" customHeight="false" outlineLevel="0" collapsed="false">
      <c r="A483" s="4" t="str">
        <f aca="false">IF(Base_Bruta!A483="","",Base_Bruta!A483)</f>
        <v>SP-000200</v>
      </c>
      <c r="B483" s="5" t="n">
        <f aca="false">IF($A483="","",IF(ISNUMBER(Base_Bruta!B483),Base_Bruta!B483,IF(MID(Base_Bruta!B483,5,1)="-",DATE(VALUE(LEFT(Base_Bruta!B483,4)),VALUE(MID(Base_Bruta!B483,6,2)),VALUE(RIGHT(Base_Bruta!B483,2))),DATE(VALUE(RIGHT(Base_Bruta!B483,4)),VALUE(MID(Base_Bruta!B483,4,2)),VALUE(LEFT(Base_Bruta!B483,2))))))</f>
        <v>45975</v>
      </c>
      <c r="C483" s="5" t="n">
        <f aca="false">IF($A483="","",IF(ISNUMBER(Base_Bruta!C483),Base_Bruta!C483,IF(MID(Base_Bruta!C483,5,1)="-",DATE(VALUE(LEFT(Base_Bruta!C483,4)),VALUE(MID(Base_Bruta!C483,6,2)),VALUE(RIGHT(Base_Bruta!C483,2))),DATE(VALUE(RIGHT(Base_Bruta!C483,4)),VALUE(MID(Base_Bruta!C483,4,2)),VALUE(LEFT(Base_Bruta!C483,2))))))</f>
        <v>45976</v>
      </c>
      <c r="D483" s="4" t="str">
        <f aca="false">IF($A483="","",TRIM(Base_Bruta!D483))</f>
        <v>Festival Sonora SP 2025</v>
      </c>
      <c r="E483" s="4" t="str">
        <f aca="false">IF($A483="","",_xlfn.XLOOKUP(LOWER(TRIM(Base_Bruta!E483)),DePara_Categoria!$A$2:$A$9,DePara_Categoria!$B$2:$B$9,"REVISAR"))</f>
        <v>Festival</v>
      </c>
      <c r="F483" s="4" t="str">
        <f aca="false">IF($A483="","",_xlfn.XLOOKUP(LOWER(TRIM(Base_Bruta!F483)),DePara_Cidade!$A$2:$A$29,DePara_Cidade!$B$2:$B$29,"REVISAR"))</f>
        <v>São Paulo</v>
      </c>
      <c r="G483" s="4" t="str">
        <f aca="false">IF($A483="","",TRIM(Base_Bruta!G483))</f>
        <v>Meia</v>
      </c>
      <c r="H483" s="4" t="n">
        <f aca="false">IF($A483="","",IF(ISNUMBER(Base_Bruta!H483),Base_Bruta!H483,IFERROR(_xlfn.NUMBERVALUE(TRIM(SUBSTITUTE(Base_Bruta!H483,"R$","")),",","."),0)))</f>
        <v>1</v>
      </c>
      <c r="I483" s="6" t="n">
        <f aca="false">IF($A483="","",IF(ISNUMBER(Base_Bruta!I483),Base_Bruta!I483,IFERROR(_xlfn.NUMBERVALUE(TRIM(SUBSTITUTE(Base_Bruta!I483,"R$","")),",","."),0)))</f>
        <v>397.5</v>
      </c>
      <c r="J483" s="6" t="n">
        <f aca="false">IF($A483="","",H483*I483)</f>
        <v>397.5</v>
      </c>
      <c r="K483" s="4" t="str">
        <f aca="false">IF($A483="","",TRIM(Base_Bruta!J483))</f>
        <v>Site</v>
      </c>
      <c r="L483" s="4" t="str">
        <f aca="false">IF($A483="","",TRIM(Base_Bruta!K483))</f>
        <v>C00773</v>
      </c>
      <c r="M483" s="4" t="str">
        <f aca="false">IF($A483="","",_xlfn.XLOOKUP(LOWER(TRIM(Base_Bruta!L483)),DePara_Cidade!$A$2:$A$29,DePara_Cidade!$B$2:$B$29,"REVISAR"))</f>
        <v>São Paulo</v>
      </c>
      <c r="N483" s="4" t="str">
        <f aca="false">IF($A483="","",UPPER(TRIM(Base_Bruta!M483)))</f>
        <v>SP</v>
      </c>
      <c r="O483" s="4" t="str">
        <f aca="false">IF($A483="","",_xlfn.XLOOKUP(LOWER(TRIM(Base_Bruta!N483)),DePara_Pais!$A$2:$A$9,DePara_Pais!$B$2:$B$9,"REVISAR"))</f>
        <v>Brasil</v>
      </c>
      <c r="P483" s="4" t="str">
        <f aca="false">IF($A483="","",IF(O483&lt;&gt;"Brasil","Turista Internacional",IF(M483=F483,"Local","Turista Nacional")))</f>
        <v>Local</v>
      </c>
      <c r="Q483" s="7" t="n">
        <f aca="false">IF($A483="","",DATE(YEAR(B483),MONTH(B483),1))</f>
        <v>45962</v>
      </c>
      <c r="R483" s="4" t="str">
        <f aca="false">IF($A483="","",IF(COUNTIF($A$2:$A483,$A483)&gt;1,"Sim","Não"))</f>
        <v>Não</v>
      </c>
      <c r="S483" s="4" t="str">
        <f aca="false">IF(A483="","Descartar - Linha vazia",IF(R483="Sim","Descartar - Duplicado",IF(OR(H483&lt;=0,I483&lt;=0),"Descartar - Qtd/Valor inválido","OK")))</f>
        <v>OK</v>
      </c>
      <c r="T483" s="4" t="str">
        <f aca="false">Base_Bruta!P483</f>
        <v>vendas_SP.xlsx</v>
      </c>
    </row>
    <row r="484" customFormat="false" ht="15" hidden="false" customHeight="false" outlineLevel="0" collapsed="false">
      <c r="A484" s="4" t="str">
        <f aca="false">IF(Base_Bruta!A484="","",Base_Bruta!A484)</f>
        <v>SP-000005</v>
      </c>
      <c r="B484" s="5" t="n">
        <f aca="false">IF($A484="","",IF(ISNUMBER(Base_Bruta!B484),Base_Bruta!B484,IF(MID(Base_Bruta!B484,5,1)="-",DATE(VALUE(LEFT(Base_Bruta!B484,4)),VALUE(MID(Base_Bruta!B484,6,2)),VALUE(RIGHT(Base_Bruta!B484,2))),DATE(VALUE(RIGHT(Base_Bruta!B484,4)),VALUE(MID(Base_Bruta!B484,4,2)),VALUE(LEFT(Base_Bruta!B484,2))))))</f>
        <v>45976</v>
      </c>
      <c r="C484" s="5" t="n">
        <f aca="false">IF($A484="","",IF(ISNUMBER(Base_Bruta!C484),Base_Bruta!C484,IF(MID(Base_Bruta!C484,5,1)="-",DATE(VALUE(LEFT(Base_Bruta!C484,4)),VALUE(MID(Base_Bruta!C484,6,2)),VALUE(RIGHT(Base_Bruta!C484,2))),DATE(VALUE(RIGHT(Base_Bruta!C484,4)),VALUE(MID(Base_Bruta!C484,4,2)),VALUE(LEFT(Base_Bruta!C484,2))))))</f>
        <v>45976</v>
      </c>
      <c r="D484" s="4" t="str">
        <f aca="false">IF($A484="","",TRIM(Base_Bruta!D484))</f>
        <v>Festival Sonora SP 2025</v>
      </c>
      <c r="E484" s="4" t="str">
        <f aca="false">IF($A484="","",_xlfn.XLOOKUP(LOWER(TRIM(Base_Bruta!E484)),DePara_Categoria!$A$2:$A$9,DePara_Categoria!$B$2:$B$9,"REVISAR"))</f>
        <v>Festival</v>
      </c>
      <c r="F484" s="4" t="str">
        <f aca="false">IF($A484="","",_xlfn.XLOOKUP(LOWER(TRIM(Base_Bruta!F484)),DePara_Cidade!$A$2:$A$29,DePara_Cidade!$B$2:$B$29,"REVISAR"))</f>
        <v>São Paulo</v>
      </c>
      <c r="G484" s="4" t="str">
        <f aca="false">IF($A484="","",TRIM(Base_Bruta!G484))</f>
        <v>Inteira</v>
      </c>
      <c r="H484" s="4" t="n">
        <f aca="false">IF($A484="","",IF(ISNUMBER(Base_Bruta!H484),Base_Bruta!H484,IFERROR(_xlfn.NUMBERVALUE(TRIM(SUBSTITUTE(Base_Bruta!H484,"R$","")),",","."),0)))</f>
        <v>2</v>
      </c>
      <c r="I484" s="6" t="n">
        <f aca="false">IF($A484="","",IF(ISNUMBER(Base_Bruta!I484),Base_Bruta!I484,IFERROR(_xlfn.NUMBERVALUE(TRIM(SUBSTITUTE(Base_Bruta!I484,"R$","")),",","."),0)))</f>
        <v>715</v>
      </c>
      <c r="J484" s="6" t="n">
        <f aca="false">IF($A484="","",H484*I484)</f>
        <v>1430</v>
      </c>
      <c r="K484" s="4" t="str">
        <f aca="false">IF($A484="","",TRIM(Base_Bruta!J484))</f>
        <v>Bilheteria</v>
      </c>
      <c r="L484" s="4" t="str">
        <f aca="false">IF($A484="","",TRIM(Base_Bruta!K484))</f>
        <v>C01017</v>
      </c>
      <c r="M484" s="4" t="str">
        <f aca="false">IF($A484="","",_xlfn.XLOOKUP(LOWER(TRIM(Base_Bruta!L484)),DePara_Cidade!$A$2:$A$29,DePara_Cidade!$B$2:$B$29,"REVISAR"))</f>
        <v>São Paulo</v>
      </c>
      <c r="N484" s="4" t="str">
        <f aca="false">IF($A484="","",UPPER(TRIM(Base_Bruta!M484)))</f>
        <v>SP</v>
      </c>
      <c r="O484" s="4" t="str">
        <f aca="false">IF($A484="","",_xlfn.XLOOKUP(LOWER(TRIM(Base_Bruta!N484)),DePara_Pais!$A$2:$A$9,DePara_Pais!$B$2:$B$9,"REVISAR"))</f>
        <v>Brasil</v>
      </c>
      <c r="P484" s="4" t="str">
        <f aca="false">IF($A484="","",IF(O484&lt;&gt;"Brasil","Turista Internacional",IF(M484=F484,"Local","Turista Nacional")))</f>
        <v>Local</v>
      </c>
      <c r="Q484" s="7" t="n">
        <f aca="false">IF($A484="","",DATE(YEAR(B484),MONTH(B484),1))</f>
        <v>45962</v>
      </c>
      <c r="R484" s="4" t="str">
        <f aca="false">IF($A484="","",IF(COUNTIF($A$2:$A484,$A484)&gt;1,"Sim","Não"))</f>
        <v>Não</v>
      </c>
      <c r="S484" s="4" t="str">
        <f aca="false">IF(A484="","Descartar - Linha vazia",IF(R484="Sim","Descartar - Duplicado",IF(OR(H484&lt;=0,I484&lt;=0),"Descartar - Qtd/Valor inválido","OK")))</f>
        <v>OK</v>
      </c>
      <c r="T484" s="4" t="str">
        <f aca="false">Base_Bruta!P484</f>
        <v>vendas_SP.xlsx</v>
      </c>
    </row>
    <row r="485" customFormat="false" ht="15" hidden="false" customHeight="false" outlineLevel="0" collapsed="false">
      <c r="A485" s="4" t="str">
        <f aca="false">IF(Base_Bruta!A485="","",Base_Bruta!A485)</f>
        <v>SP-000012</v>
      </c>
      <c r="B485" s="5" t="n">
        <f aca="false">IF($A485="","",IF(ISNUMBER(Base_Bruta!B485),Base_Bruta!B485,IF(MID(Base_Bruta!B485,5,1)="-",DATE(VALUE(LEFT(Base_Bruta!B485,4)),VALUE(MID(Base_Bruta!B485,6,2)),VALUE(RIGHT(Base_Bruta!B485,2))),DATE(VALUE(RIGHT(Base_Bruta!B485,4)),VALUE(MID(Base_Bruta!B485,4,2)),VALUE(LEFT(Base_Bruta!B485,2))))))</f>
        <v>45976</v>
      </c>
      <c r="C485" s="5" t="n">
        <f aca="false">IF($A485="","",IF(ISNUMBER(Base_Bruta!C485),Base_Bruta!C485,IF(MID(Base_Bruta!C485,5,1)="-",DATE(VALUE(LEFT(Base_Bruta!C485,4)),VALUE(MID(Base_Bruta!C485,6,2)),VALUE(RIGHT(Base_Bruta!C485,2))),DATE(VALUE(RIGHT(Base_Bruta!C485,4)),VALUE(MID(Base_Bruta!C485,4,2)),VALUE(LEFT(Base_Bruta!C485,2))))))</f>
        <v>45976</v>
      </c>
      <c r="D485" s="4" t="str">
        <f aca="false">IF($A485="","",TRIM(Base_Bruta!D485))</f>
        <v>Festival Sonora SP 2025</v>
      </c>
      <c r="E485" s="4" t="str">
        <f aca="false">IF($A485="","",_xlfn.XLOOKUP(LOWER(TRIM(Base_Bruta!E485)),DePara_Categoria!$A$2:$A$9,DePara_Categoria!$B$2:$B$9,"REVISAR"))</f>
        <v>Festival</v>
      </c>
      <c r="F485" s="4" t="str">
        <f aca="false">IF($A485="","",_xlfn.XLOOKUP(LOWER(TRIM(Base_Bruta!F485)),DePara_Cidade!$A$2:$A$29,DePara_Cidade!$B$2:$B$29,"REVISAR"))</f>
        <v>São Paulo</v>
      </c>
      <c r="G485" s="4" t="str">
        <f aca="false">IF($A485="","",TRIM(Base_Bruta!G485))</f>
        <v>VIP</v>
      </c>
      <c r="H485" s="4" t="n">
        <f aca="false">IF($A485="","",IF(ISNUMBER(Base_Bruta!H485),Base_Bruta!H485,IFERROR(_xlfn.NUMBERVALUE(TRIM(SUBSTITUTE(Base_Bruta!H485,"R$","")),",","."),0)))</f>
        <v>2</v>
      </c>
      <c r="I485" s="6" t="n">
        <f aca="false">IF($A485="","",IF(ISNUMBER(Base_Bruta!I485),Base_Bruta!I485,IFERROR(_xlfn.NUMBERVALUE(TRIM(SUBSTITUTE(Base_Bruta!I485,"R$","")),",","."),0)))</f>
        <v>1690</v>
      </c>
      <c r="J485" s="6" t="n">
        <f aca="false">IF($A485="","",H485*I485)</f>
        <v>3380</v>
      </c>
      <c r="K485" s="4" t="str">
        <f aca="false">IF($A485="","",TRIM(Base_Bruta!J485))</f>
        <v>App</v>
      </c>
      <c r="L485" s="4" t="str">
        <f aca="false">IF($A485="","",TRIM(Base_Bruta!K485))</f>
        <v>C00175</v>
      </c>
      <c r="M485" s="4" t="str">
        <f aca="false">IF($A485="","",_xlfn.XLOOKUP(LOWER(TRIM(Base_Bruta!L485)),DePara_Cidade!$A$2:$A$29,DePara_Cidade!$B$2:$B$29,"REVISAR"))</f>
        <v>Florianópolis</v>
      </c>
      <c r="N485" s="4" t="str">
        <f aca="false">IF($A485="","",UPPER(TRIM(Base_Bruta!M485)))</f>
        <v>SC</v>
      </c>
      <c r="O485" s="4" t="str">
        <f aca="false">IF($A485="","",_xlfn.XLOOKUP(LOWER(TRIM(Base_Bruta!N485)),DePara_Pais!$A$2:$A$9,DePara_Pais!$B$2:$B$9,"REVISAR"))</f>
        <v>Brasil</v>
      </c>
      <c r="P485" s="4" t="str">
        <f aca="false">IF($A485="","",IF(O485&lt;&gt;"Brasil","Turista Internacional",IF(M485=F485,"Local","Turista Nacional")))</f>
        <v>Turista Nacional</v>
      </c>
      <c r="Q485" s="7" t="n">
        <f aca="false">IF($A485="","",DATE(YEAR(B485),MONTH(B485),1))</f>
        <v>45962</v>
      </c>
      <c r="R485" s="4" t="str">
        <f aca="false">IF($A485="","",IF(COUNTIF($A$2:$A485,$A485)&gt;1,"Sim","Não"))</f>
        <v>Não</v>
      </c>
      <c r="S485" s="4" t="str">
        <f aca="false">IF(A485="","Descartar - Linha vazia",IF(R485="Sim","Descartar - Duplicado",IF(OR(H485&lt;=0,I485&lt;=0),"Descartar - Qtd/Valor inválido","OK")))</f>
        <v>OK</v>
      </c>
      <c r="T485" s="4" t="str">
        <f aca="false">Base_Bruta!P485</f>
        <v>vendas_SP.xlsx</v>
      </c>
    </row>
    <row r="486" customFormat="false" ht="15" hidden="false" customHeight="false" outlineLevel="0" collapsed="false">
      <c r="A486" s="4" t="str">
        <f aca="false">IF(Base_Bruta!A486="","",Base_Bruta!A486)</f>
        <v>SP-000031</v>
      </c>
      <c r="B486" s="5" t="n">
        <f aca="false">IF($A486="","",IF(ISNUMBER(Base_Bruta!B486),Base_Bruta!B486,IF(MID(Base_Bruta!B486,5,1)="-",DATE(VALUE(LEFT(Base_Bruta!B486,4)),VALUE(MID(Base_Bruta!B486,6,2)),VALUE(RIGHT(Base_Bruta!B486,2))),DATE(VALUE(RIGHT(Base_Bruta!B486,4)),VALUE(MID(Base_Bruta!B486,4,2)),VALUE(LEFT(Base_Bruta!B486,2))))))</f>
        <v>45976</v>
      </c>
      <c r="C486" s="5" t="n">
        <f aca="false">IF($A486="","",IF(ISNUMBER(Base_Bruta!C486),Base_Bruta!C486,IF(MID(Base_Bruta!C486,5,1)="-",DATE(VALUE(LEFT(Base_Bruta!C486,4)),VALUE(MID(Base_Bruta!C486,6,2)),VALUE(RIGHT(Base_Bruta!C486,2))),DATE(VALUE(RIGHT(Base_Bruta!C486,4)),VALUE(MID(Base_Bruta!C486,4,2)),VALUE(LEFT(Base_Bruta!C486,2))))))</f>
        <v>45976</v>
      </c>
      <c r="D486" s="4" t="str">
        <f aca="false">IF($A486="","",TRIM(Base_Bruta!D486))</f>
        <v>Festival Sonora SP 2025</v>
      </c>
      <c r="E486" s="4" t="str">
        <f aca="false">IF($A486="","",_xlfn.XLOOKUP(LOWER(TRIM(Base_Bruta!E486)),DePara_Categoria!$A$2:$A$9,DePara_Categoria!$B$2:$B$9,"REVISAR"))</f>
        <v>Festival</v>
      </c>
      <c r="F486" s="4" t="str">
        <f aca="false">IF($A486="","",_xlfn.XLOOKUP(LOWER(TRIM(Base_Bruta!F486)),DePara_Cidade!$A$2:$A$29,DePara_Cidade!$B$2:$B$29,"REVISAR"))</f>
        <v>São Paulo</v>
      </c>
      <c r="G486" s="4" t="str">
        <f aca="false">IF($A486="","",TRIM(Base_Bruta!G486))</f>
        <v>Inteira</v>
      </c>
      <c r="H486" s="4" t="n">
        <f aca="false">IF($A486="","",IF(ISNUMBER(Base_Bruta!H486),Base_Bruta!H486,IFERROR(_xlfn.NUMBERVALUE(TRIM(SUBSTITUTE(Base_Bruta!H486,"R$","")),",","."),0)))</f>
        <v>2</v>
      </c>
      <c r="I486" s="6" t="n">
        <f aca="false">IF($A486="","",IF(ISNUMBER(Base_Bruta!I486),Base_Bruta!I486,IFERROR(_xlfn.NUMBERVALUE(TRIM(SUBSTITUTE(Base_Bruta!I486,"R$","")),",","."),0)))</f>
        <v>915</v>
      </c>
      <c r="J486" s="6" t="n">
        <f aca="false">IF($A486="","",H486*I486)</f>
        <v>1830</v>
      </c>
      <c r="K486" s="4" t="str">
        <f aca="false">IF($A486="","",TRIM(Base_Bruta!J486))</f>
        <v>App</v>
      </c>
      <c r="L486" s="4" t="str">
        <f aca="false">IF($A486="","",TRIM(Base_Bruta!K486))</f>
        <v>C01469</v>
      </c>
      <c r="M486" s="4" t="str">
        <f aca="false">IF($A486="","",_xlfn.XLOOKUP(LOWER(TRIM(Base_Bruta!L486)),DePara_Cidade!$A$2:$A$29,DePara_Cidade!$B$2:$B$29,"REVISAR"))</f>
        <v>São Paulo</v>
      </c>
      <c r="N486" s="4" t="str">
        <f aca="false">IF($A486="","",UPPER(TRIM(Base_Bruta!M486)))</f>
        <v>SP</v>
      </c>
      <c r="O486" s="4" t="str">
        <f aca="false">IF($A486="","",_xlfn.XLOOKUP(LOWER(TRIM(Base_Bruta!N486)),DePara_Pais!$A$2:$A$9,DePara_Pais!$B$2:$B$9,"REVISAR"))</f>
        <v>Brasil</v>
      </c>
      <c r="P486" s="4" t="str">
        <f aca="false">IF($A486="","",IF(O486&lt;&gt;"Brasil","Turista Internacional",IF(M486=F486,"Local","Turista Nacional")))</f>
        <v>Local</v>
      </c>
      <c r="Q486" s="7" t="n">
        <f aca="false">IF($A486="","",DATE(YEAR(B486),MONTH(B486),1))</f>
        <v>45962</v>
      </c>
      <c r="R486" s="4" t="str">
        <f aca="false">IF($A486="","",IF(COUNTIF($A$2:$A486,$A486)&gt;1,"Sim","Não"))</f>
        <v>Não</v>
      </c>
      <c r="S486" s="4" t="str">
        <f aca="false">IF(A486="","Descartar - Linha vazia",IF(R486="Sim","Descartar - Duplicado",IF(OR(H486&lt;=0,I486&lt;=0),"Descartar - Qtd/Valor inválido","OK")))</f>
        <v>OK</v>
      </c>
      <c r="T486" s="4" t="str">
        <f aca="false">Base_Bruta!P486</f>
        <v>vendas_SP.xlsx</v>
      </c>
    </row>
    <row r="487" customFormat="false" ht="15" hidden="false" customHeight="false" outlineLevel="0" collapsed="false">
      <c r="A487" s="4" t="str">
        <f aca="false">IF(Base_Bruta!A487="","",Base_Bruta!A487)</f>
        <v>SP-000042</v>
      </c>
      <c r="B487" s="5" t="n">
        <f aca="false">IF($A487="","",IF(ISNUMBER(Base_Bruta!B487),Base_Bruta!B487,IF(MID(Base_Bruta!B487,5,1)="-",DATE(VALUE(LEFT(Base_Bruta!B487,4)),VALUE(MID(Base_Bruta!B487,6,2)),VALUE(RIGHT(Base_Bruta!B487,2))),DATE(VALUE(RIGHT(Base_Bruta!B487,4)),VALUE(MID(Base_Bruta!B487,4,2)),VALUE(LEFT(Base_Bruta!B487,2))))))</f>
        <v>45976</v>
      </c>
      <c r="C487" s="5" t="n">
        <f aca="false">IF($A487="","",IF(ISNUMBER(Base_Bruta!C487),Base_Bruta!C487,IF(MID(Base_Bruta!C487,5,1)="-",DATE(VALUE(LEFT(Base_Bruta!C487,4)),VALUE(MID(Base_Bruta!C487,6,2)),VALUE(RIGHT(Base_Bruta!C487,2))),DATE(VALUE(RIGHT(Base_Bruta!C487,4)),VALUE(MID(Base_Bruta!C487,4,2)),VALUE(LEFT(Base_Bruta!C487,2))))))</f>
        <v>45976</v>
      </c>
      <c r="D487" s="4" t="str">
        <f aca="false">IF($A487="","",TRIM(Base_Bruta!D487))</f>
        <v>Festival Sonora SP 2025</v>
      </c>
      <c r="E487" s="4" t="str">
        <f aca="false">IF($A487="","",_xlfn.XLOOKUP(LOWER(TRIM(Base_Bruta!E487)),DePara_Categoria!$A$2:$A$9,DePara_Categoria!$B$2:$B$9,"REVISAR"))</f>
        <v>Festival</v>
      </c>
      <c r="F487" s="4" t="str">
        <f aca="false">IF($A487="","",_xlfn.XLOOKUP(LOWER(TRIM(Base_Bruta!F487)),DePara_Cidade!$A$2:$A$29,DePara_Cidade!$B$2:$B$29,"REVISAR"))</f>
        <v>São Paulo</v>
      </c>
      <c r="G487" s="4" t="str">
        <f aca="false">IF($A487="","",TRIM(Base_Bruta!G487))</f>
        <v>Inteira</v>
      </c>
      <c r="H487" s="4" t="n">
        <f aca="false">IF($A487="","",IF(ISNUMBER(Base_Bruta!H487),Base_Bruta!H487,IFERROR(_xlfn.NUMBERVALUE(TRIM(SUBSTITUTE(Base_Bruta!H487,"R$","")),",","."),0)))</f>
        <v>1</v>
      </c>
      <c r="I487" s="6" t="n">
        <f aca="false">IF($A487="","",IF(ISNUMBER(Base_Bruta!I487),Base_Bruta!I487,IFERROR(_xlfn.NUMBERVALUE(TRIM(SUBSTITUTE(Base_Bruta!I487,"R$","")),",","."),0)))</f>
        <v>960</v>
      </c>
      <c r="J487" s="6" t="n">
        <f aca="false">IF($A487="","",H487*I487)</f>
        <v>960</v>
      </c>
      <c r="K487" s="4" t="str">
        <f aca="false">IF($A487="","",TRIM(Base_Bruta!J487))</f>
        <v>App</v>
      </c>
      <c r="L487" s="4" t="str">
        <f aca="false">IF($A487="","",TRIM(Base_Bruta!K487))</f>
        <v>C01553</v>
      </c>
      <c r="M487" s="4" t="str">
        <f aca="false">IF($A487="","",_xlfn.XLOOKUP(LOWER(TRIM(Base_Bruta!L487)),DePara_Cidade!$A$2:$A$29,DePara_Cidade!$B$2:$B$29,"REVISAR"))</f>
        <v>Porto Alegre</v>
      </c>
      <c r="N487" s="4" t="str">
        <f aca="false">IF($A487="","",UPPER(TRIM(Base_Bruta!M487)))</f>
        <v>RS</v>
      </c>
      <c r="O487" s="4" t="str">
        <f aca="false">IF($A487="","",_xlfn.XLOOKUP(LOWER(TRIM(Base_Bruta!N487)),DePara_Pais!$A$2:$A$9,DePara_Pais!$B$2:$B$9,"REVISAR"))</f>
        <v>Brasil</v>
      </c>
      <c r="P487" s="4" t="str">
        <f aca="false">IF($A487="","",IF(O487&lt;&gt;"Brasil","Turista Internacional",IF(M487=F487,"Local","Turista Nacional")))</f>
        <v>Turista Nacional</v>
      </c>
      <c r="Q487" s="7" t="n">
        <f aca="false">IF($A487="","",DATE(YEAR(B487),MONTH(B487),1))</f>
        <v>45962</v>
      </c>
      <c r="R487" s="4" t="str">
        <f aca="false">IF($A487="","",IF(COUNTIF($A$2:$A487,$A487)&gt;1,"Sim","Não"))</f>
        <v>Não</v>
      </c>
      <c r="S487" s="4" t="str">
        <f aca="false">IF(A487="","Descartar - Linha vazia",IF(R487="Sim","Descartar - Duplicado",IF(OR(H487&lt;=0,I487&lt;=0),"Descartar - Qtd/Valor inválido","OK")))</f>
        <v>OK</v>
      </c>
      <c r="T487" s="4" t="str">
        <f aca="false">Base_Bruta!P487</f>
        <v>vendas_SP.xlsx</v>
      </c>
    </row>
    <row r="488" customFormat="false" ht="15" hidden="false" customHeight="false" outlineLevel="0" collapsed="false">
      <c r="A488" s="4" t="str">
        <f aca="false">IF(Base_Bruta!A488="","",Base_Bruta!A488)</f>
        <v>SP-000064</v>
      </c>
      <c r="B488" s="5" t="n">
        <f aca="false">IF($A488="","",IF(ISNUMBER(Base_Bruta!B488),Base_Bruta!B488,IF(MID(Base_Bruta!B488,5,1)="-",DATE(VALUE(LEFT(Base_Bruta!B488,4)),VALUE(MID(Base_Bruta!B488,6,2)),VALUE(RIGHT(Base_Bruta!B488,2))),DATE(VALUE(RIGHT(Base_Bruta!B488,4)),VALUE(MID(Base_Bruta!B488,4,2)),VALUE(LEFT(Base_Bruta!B488,2))))))</f>
        <v>45976</v>
      </c>
      <c r="C488" s="5" t="n">
        <f aca="false">IF($A488="","",IF(ISNUMBER(Base_Bruta!C488),Base_Bruta!C488,IF(MID(Base_Bruta!C488,5,1)="-",DATE(VALUE(LEFT(Base_Bruta!C488,4)),VALUE(MID(Base_Bruta!C488,6,2)),VALUE(RIGHT(Base_Bruta!C488,2))),DATE(VALUE(RIGHT(Base_Bruta!C488,4)),VALUE(MID(Base_Bruta!C488,4,2)),VALUE(LEFT(Base_Bruta!C488,2))))))</f>
        <v>45976</v>
      </c>
      <c r="D488" s="4" t="str">
        <f aca="false">IF($A488="","",TRIM(Base_Bruta!D488))</f>
        <v>Festival Sonora SP 2025</v>
      </c>
      <c r="E488" s="4" t="str">
        <f aca="false">IF($A488="","",_xlfn.XLOOKUP(LOWER(TRIM(Base_Bruta!E488)),DePara_Categoria!$A$2:$A$9,DePara_Categoria!$B$2:$B$9,"REVISAR"))</f>
        <v>Festival</v>
      </c>
      <c r="F488" s="4" t="str">
        <f aca="false">IF($A488="","",_xlfn.XLOOKUP(LOWER(TRIM(Base_Bruta!F488)),DePara_Cidade!$A$2:$A$29,DePara_Cidade!$B$2:$B$29,"REVISAR"))</f>
        <v>São Paulo</v>
      </c>
      <c r="G488" s="4" t="str">
        <f aca="false">IF($A488="","",TRIM(Base_Bruta!G488))</f>
        <v>Meia</v>
      </c>
      <c r="H488" s="4" t="n">
        <f aca="false">IF($A488="","",IF(ISNUMBER(Base_Bruta!H488),Base_Bruta!H488,IFERROR(_xlfn.NUMBERVALUE(TRIM(SUBSTITUTE(Base_Bruta!H488,"R$","")),",","."),0)))</f>
        <v>1</v>
      </c>
      <c r="I488" s="6" t="n">
        <f aca="false">IF($A488="","",IF(ISNUMBER(Base_Bruta!I488),Base_Bruta!I488,IFERROR(_xlfn.NUMBERVALUE(TRIM(SUBSTITUTE(Base_Bruta!I488,"R$","")),",","."),0)))</f>
        <v>565</v>
      </c>
      <c r="J488" s="6" t="n">
        <f aca="false">IF($A488="","",H488*I488)</f>
        <v>565</v>
      </c>
      <c r="K488" s="4" t="str">
        <f aca="false">IF($A488="","",TRIM(Base_Bruta!J488))</f>
        <v>App</v>
      </c>
      <c r="L488" s="4" t="str">
        <f aca="false">IF($A488="","",TRIM(Base_Bruta!K488))</f>
        <v>C00685</v>
      </c>
      <c r="M488" s="4" t="str">
        <f aca="false">IF($A488="","",_xlfn.XLOOKUP(LOWER(TRIM(Base_Bruta!L488)),DePara_Cidade!$A$2:$A$29,DePara_Cidade!$B$2:$B$29,"REVISAR"))</f>
        <v>São Paulo</v>
      </c>
      <c r="N488" s="4" t="str">
        <f aca="false">IF($A488="","",UPPER(TRIM(Base_Bruta!M488)))</f>
        <v>SP</v>
      </c>
      <c r="O488" s="4" t="str">
        <f aca="false">IF($A488="","",_xlfn.XLOOKUP(LOWER(TRIM(Base_Bruta!N488)),DePara_Pais!$A$2:$A$9,DePara_Pais!$B$2:$B$9,"REVISAR"))</f>
        <v>Brasil</v>
      </c>
      <c r="P488" s="4" t="str">
        <f aca="false">IF($A488="","",IF(O488&lt;&gt;"Brasil","Turista Internacional",IF(M488=F488,"Local","Turista Nacional")))</f>
        <v>Local</v>
      </c>
      <c r="Q488" s="7" t="n">
        <f aca="false">IF($A488="","",DATE(YEAR(B488),MONTH(B488),1))</f>
        <v>45962</v>
      </c>
      <c r="R488" s="4" t="str">
        <f aca="false">IF($A488="","",IF(COUNTIF($A$2:$A488,$A488)&gt;1,"Sim","Não"))</f>
        <v>Não</v>
      </c>
      <c r="S488" s="4" t="str">
        <f aca="false">IF(A488="","Descartar - Linha vazia",IF(R488="Sim","Descartar - Duplicado",IF(OR(H488&lt;=0,I488&lt;=0),"Descartar - Qtd/Valor inválido","OK")))</f>
        <v>OK</v>
      </c>
      <c r="T488" s="4" t="str">
        <f aca="false">Base_Bruta!P488</f>
        <v>vendas_SP.xlsx</v>
      </c>
    </row>
    <row r="489" customFormat="false" ht="15" hidden="false" customHeight="false" outlineLevel="0" collapsed="false">
      <c r="A489" s="4" t="str">
        <f aca="false">IF(Base_Bruta!A489="","",Base_Bruta!A489)</f>
        <v>SP-000065</v>
      </c>
      <c r="B489" s="5" t="n">
        <f aca="false">IF($A489="","",IF(ISNUMBER(Base_Bruta!B489),Base_Bruta!B489,IF(MID(Base_Bruta!B489,5,1)="-",DATE(VALUE(LEFT(Base_Bruta!B489,4)),VALUE(MID(Base_Bruta!B489,6,2)),VALUE(RIGHT(Base_Bruta!B489,2))),DATE(VALUE(RIGHT(Base_Bruta!B489,4)),VALUE(MID(Base_Bruta!B489,4,2)),VALUE(LEFT(Base_Bruta!B489,2))))))</f>
        <v>45976</v>
      </c>
      <c r="C489" s="5" t="n">
        <f aca="false">IF($A489="","",IF(ISNUMBER(Base_Bruta!C489),Base_Bruta!C489,IF(MID(Base_Bruta!C489,5,1)="-",DATE(VALUE(LEFT(Base_Bruta!C489,4)),VALUE(MID(Base_Bruta!C489,6,2)),VALUE(RIGHT(Base_Bruta!C489,2))),DATE(VALUE(RIGHT(Base_Bruta!C489,4)),VALUE(MID(Base_Bruta!C489,4,2)),VALUE(LEFT(Base_Bruta!C489,2))))))</f>
        <v>45976</v>
      </c>
      <c r="D489" s="4" t="str">
        <f aca="false">IF($A489="","",TRIM(Base_Bruta!D489))</f>
        <v>Festival Sonora SP 2025</v>
      </c>
      <c r="E489" s="4" t="str">
        <f aca="false">IF($A489="","",_xlfn.XLOOKUP(LOWER(TRIM(Base_Bruta!E489)),DePara_Categoria!$A$2:$A$9,DePara_Categoria!$B$2:$B$9,"REVISAR"))</f>
        <v>Festival</v>
      </c>
      <c r="F489" s="4" t="str">
        <f aca="false">IF($A489="","",_xlfn.XLOOKUP(LOWER(TRIM(Base_Bruta!F489)),DePara_Cidade!$A$2:$A$29,DePara_Cidade!$B$2:$B$29,"REVISAR"))</f>
        <v>São Paulo</v>
      </c>
      <c r="G489" s="4" t="str">
        <f aca="false">IF($A489="","",TRIM(Base_Bruta!G489))</f>
        <v>Meia</v>
      </c>
      <c r="H489" s="4" t="n">
        <f aca="false">IF($A489="","",IF(ISNUMBER(Base_Bruta!H489),Base_Bruta!H489,IFERROR(_xlfn.NUMBERVALUE(TRIM(SUBSTITUTE(Base_Bruta!H489,"R$","")),",","."),0)))</f>
        <v>1</v>
      </c>
      <c r="I489" s="6" t="n">
        <f aca="false">IF($A489="","",IF(ISNUMBER(Base_Bruta!I489),Base_Bruta!I489,IFERROR(_xlfn.NUMBERVALUE(TRIM(SUBSTITUTE(Base_Bruta!I489,"R$","")),",","."),0)))</f>
        <v>367.5</v>
      </c>
      <c r="J489" s="6" t="n">
        <f aca="false">IF($A489="","",H489*I489)</f>
        <v>367.5</v>
      </c>
      <c r="K489" s="4" t="str">
        <f aca="false">IF($A489="","",TRIM(Base_Bruta!J489))</f>
        <v>Site</v>
      </c>
      <c r="L489" s="4" t="str">
        <f aca="false">IF($A489="","",TRIM(Base_Bruta!K489))</f>
        <v>C01186</v>
      </c>
      <c r="M489" s="4" t="str">
        <f aca="false">IF($A489="","",_xlfn.XLOOKUP(LOWER(TRIM(Base_Bruta!L489)),DePara_Cidade!$A$2:$A$29,DePara_Cidade!$B$2:$B$29,"REVISAR"))</f>
        <v>São Paulo</v>
      </c>
      <c r="N489" s="4" t="str">
        <f aca="false">IF($A489="","",UPPER(TRIM(Base_Bruta!M489)))</f>
        <v>SP</v>
      </c>
      <c r="O489" s="4" t="str">
        <f aca="false">IF($A489="","",_xlfn.XLOOKUP(LOWER(TRIM(Base_Bruta!N489)),DePara_Pais!$A$2:$A$9,DePara_Pais!$B$2:$B$9,"REVISAR"))</f>
        <v>Brasil</v>
      </c>
      <c r="P489" s="4" t="str">
        <f aca="false">IF($A489="","",IF(O489&lt;&gt;"Brasil","Turista Internacional",IF(M489=F489,"Local","Turista Nacional")))</f>
        <v>Local</v>
      </c>
      <c r="Q489" s="7" t="n">
        <f aca="false">IF($A489="","",DATE(YEAR(B489),MONTH(B489),1))</f>
        <v>45962</v>
      </c>
      <c r="R489" s="4" t="str">
        <f aca="false">IF($A489="","",IF(COUNTIF($A$2:$A489,$A489)&gt;1,"Sim","Não"))</f>
        <v>Não</v>
      </c>
      <c r="S489" s="4" t="str">
        <f aca="false">IF(A489="","Descartar - Linha vazia",IF(R489="Sim","Descartar - Duplicado",IF(OR(H489&lt;=0,I489&lt;=0),"Descartar - Qtd/Valor inválido","OK")))</f>
        <v>OK</v>
      </c>
      <c r="T489" s="4" t="str">
        <f aca="false">Base_Bruta!P489</f>
        <v>vendas_SP.xlsx</v>
      </c>
    </row>
    <row r="490" customFormat="false" ht="15" hidden="false" customHeight="false" outlineLevel="0" collapsed="false">
      <c r="A490" s="4" t="str">
        <f aca="false">IF(Base_Bruta!A490="","",Base_Bruta!A490)</f>
        <v>SP-000066</v>
      </c>
      <c r="B490" s="5" t="n">
        <f aca="false">IF($A490="","",IF(ISNUMBER(Base_Bruta!B490),Base_Bruta!B490,IF(MID(Base_Bruta!B490,5,1)="-",DATE(VALUE(LEFT(Base_Bruta!B490,4)),VALUE(MID(Base_Bruta!B490,6,2)),VALUE(RIGHT(Base_Bruta!B490,2))),DATE(VALUE(RIGHT(Base_Bruta!B490,4)),VALUE(MID(Base_Bruta!B490,4,2)),VALUE(LEFT(Base_Bruta!B490,2))))))</f>
        <v>45976</v>
      </c>
      <c r="C490" s="5" t="n">
        <f aca="false">IF($A490="","",IF(ISNUMBER(Base_Bruta!C490),Base_Bruta!C490,IF(MID(Base_Bruta!C490,5,1)="-",DATE(VALUE(LEFT(Base_Bruta!C490,4)),VALUE(MID(Base_Bruta!C490,6,2)),VALUE(RIGHT(Base_Bruta!C490,2))),DATE(VALUE(RIGHT(Base_Bruta!C490,4)),VALUE(MID(Base_Bruta!C490,4,2)),VALUE(LEFT(Base_Bruta!C490,2))))))</f>
        <v>45976</v>
      </c>
      <c r="D490" s="4" t="str">
        <f aca="false">IF($A490="","",TRIM(Base_Bruta!D490))</f>
        <v>Festival Sonora SP 2025</v>
      </c>
      <c r="E490" s="4" t="str">
        <f aca="false">IF($A490="","",_xlfn.XLOOKUP(LOWER(TRIM(Base_Bruta!E490)),DePara_Categoria!$A$2:$A$9,DePara_Categoria!$B$2:$B$9,"REVISAR"))</f>
        <v>Festival</v>
      </c>
      <c r="F490" s="4" t="str">
        <f aca="false">IF($A490="","",_xlfn.XLOOKUP(LOWER(TRIM(Base_Bruta!F490)),DePara_Cidade!$A$2:$A$29,DePara_Cidade!$B$2:$B$29,"REVISAR"))</f>
        <v>São Paulo</v>
      </c>
      <c r="G490" s="4" t="str">
        <f aca="false">IF($A490="","",TRIM(Base_Bruta!G490))</f>
        <v>Meia</v>
      </c>
      <c r="H490" s="4" t="n">
        <f aca="false">IF($A490="","",IF(ISNUMBER(Base_Bruta!H490),Base_Bruta!H490,IFERROR(_xlfn.NUMBERVALUE(TRIM(SUBSTITUTE(Base_Bruta!H490,"R$","")),",","."),0)))</f>
        <v>2</v>
      </c>
      <c r="I490" s="6" t="n">
        <f aca="false">IF($A490="","",IF(ISNUMBER(Base_Bruta!I490),Base_Bruta!I490,IFERROR(_xlfn.NUMBERVALUE(TRIM(SUBSTITUTE(Base_Bruta!I490,"R$","")),",","."),0)))</f>
        <v>550</v>
      </c>
      <c r="J490" s="6" t="n">
        <f aca="false">IF($A490="","",H490*I490)</f>
        <v>1100</v>
      </c>
      <c r="K490" s="4" t="str">
        <f aca="false">IF($A490="","",TRIM(Base_Bruta!J490))</f>
        <v>App</v>
      </c>
      <c r="L490" s="4" t="str">
        <f aca="false">IF($A490="","",TRIM(Base_Bruta!K490))</f>
        <v>C00365</v>
      </c>
      <c r="M490" s="4" t="str">
        <f aca="false">IF($A490="","",_xlfn.XLOOKUP(LOWER(TRIM(Base_Bruta!L490)),DePara_Cidade!$A$2:$A$29,DePara_Cidade!$B$2:$B$29,"REVISAR"))</f>
        <v>São Paulo</v>
      </c>
      <c r="N490" s="4" t="str">
        <f aca="false">IF($A490="","",UPPER(TRIM(Base_Bruta!M490)))</f>
        <v>SP</v>
      </c>
      <c r="O490" s="4" t="str">
        <f aca="false">IF($A490="","",_xlfn.XLOOKUP(LOWER(TRIM(Base_Bruta!N490)),DePara_Pais!$A$2:$A$9,DePara_Pais!$B$2:$B$9,"REVISAR"))</f>
        <v>Brasil</v>
      </c>
      <c r="P490" s="4" t="str">
        <f aca="false">IF($A490="","",IF(O490&lt;&gt;"Brasil","Turista Internacional",IF(M490=F490,"Local","Turista Nacional")))</f>
        <v>Local</v>
      </c>
      <c r="Q490" s="7" t="n">
        <f aca="false">IF($A490="","",DATE(YEAR(B490),MONTH(B490),1))</f>
        <v>45962</v>
      </c>
      <c r="R490" s="4" t="str">
        <f aca="false">IF($A490="","",IF(COUNTIF($A$2:$A490,$A490)&gt;1,"Sim","Não"))</f>
        <v>Não</v>
      </c>
      <c r="S490" s="4" t="str">
        <f aca="false">IF(A490="","Descartar - Linha vazia",IF(R490="Sim","Descartar - Duplicado",IF(OR(H490&lt;=0,I490&lt;=0),"Descartar - Qtd/Valor inválido","OK")))</f>
        <v>OK</v>
      </c>
      <c r="T490" s="4" t="str">
        <f aca="false">Base_Bruta!P490</f>
        <v>vendas_SP.xlsx</v>
      </c>
    </row>
    <row r="491" customFormat="false" ht="15" hidden="false" customHeight="false" outlineLevel="0" collapsed="false">
      <c r="A491" s="4" t="str">
        <f aca="false">IF(Base_Bruta!A491="","",Base_Bruta!A491)</f>
        <v/>
      </c>
      <c r="B491" s="5" t="str">
        <f aca="false">IF($A491="","",IF(ISNUMBER(Base_Bruta!B491),Base_Bruta!B491,IF(MID(Base_Bruta!B491,5,1)="-",DATE(VALUE(LEFT(Base_Bruta!B491,4)),VALUE(MID(Base_Bruta!B491,6,2)),VALUE(RIGHT(Base_Bruta!B491,2))),DATE(VALUE(RIGHT(Base_Bruta!B491,4)),VALUE(MID(Base_Bruta!B491,4,2)),VALUE(LEFT(Base_Bruta!B491,2))))))</f>
        <v/>
      </c>
      <c r="C491" s="5" t="str">
        <f aca="false">IF($A491="","",IF(ISNUMBER(Base_Bruta!C491),Base_Bruta!C491,IF(MID(Base_Bruta!C491,5,1)="-",DATE(VALUE(LEFT(Base_Bruta!C491,4)),VALUE(MID(Base_Bruta!C491,6,2)),VALUE(RIGHT(Base_Bruta!C491,2))),DATE(VALUE(RIGHT(Base_Bruta!C491,4)),VALUE(MID(Base_Bruta!C491,4,2)),VALUE(LEFT(Base_Bruta!C491,2))))))</f>
        <v/>
      </c>
      <c r="D491" s="4" t="str">
        <f aca="false">IF($A491="","",TRIM(Base_Bruta!D491))</f>
        <v/>
      </c>
      <c r="E491" s="4" t="str">
        <f aca="false">IF($A491="","",_xlfn.XLOOKUP(LOWER(TRIM(Base_Bruta!E491)),DePara_Categoria!$A$2:$A$9,DePara_Categoria!$B$2:$B$9,"REVISAR"))</f>
        <v/>
      </c>
      <c r="F491" s="4" t="str">
        <f aca="false">IF($A491="","",_xlfn.XLOOKUP(LOWER(TRIM(Base_Bruta!F491)),DePara_Cidade!$A$2:$A$29,DePara_Cidade!$B$2:$B$29,"REVISAR"))</f>
        <v/>
      </c>
      <c r="G491" s="4" t="str">
        <f aca="false">IF($A491="","",TRIM(Base_Bruta!G491))</f>
        <v/>
      </c>
      <c r="H491" s="4" t="str">
        <f aca="false">IF($A491="","",IF(ISNUMBER(Base_Bruta!H491),Base_Bruta!H491,IFERROR(_xlfn.NUMBERVALUE(TRIM(SUBSTITUTE(Base_Bruta!H491,"R$","")),",","."),0)))</f>
        <v/>
      </c>
      <c r="I491" s="6" t="str">
        <f aca="false">IF($A491="","",IF(ISNUMBER(Base_Bruta!I491),Base_Bruta!I491,IFERROR(_xlfn.NUMBERVALUE(TRIM(SUBSTITUTE(Base_Bruta!I491,"R$","")),",","."),0)))</f>
        <v/>
      </c>
      <c r="J491" s="6" t="str">
        <f aca="false">IF($A491="","",H491*I491)</f>
        <v/>
      </c>
      <c r="K491" s="4" t="str">
        <f aca="false">IF($A491="","",TRIM(Base_Bruta!J491))</f>
        <v/>
      </c>
      <c r="L491" s="4" t="str">
        <f aca="false">IF($A491="","",TRIM(Base_Bruta!K491))</f>
        <v/>
      </c>
      <c r="M491" s="4" t="str">
        <f aca="false">IF($A491="","",_xlfn.XLOOKUP(LOWER(TRIM(Base_Bruta!L491)),DePara_Cidade!$A$2:$A$29,DePara_Cidade!$B$2:$B$29,"REVISAR"))</f>
        <v/>
      </c>
      <c r="N491" s="4" t="str">
        <f aca="false">IF($A491="","",UPPER(TRIM(Base_Bruta!M491)))</f>
        <v/>
      </c>
      <c r="O491" s="4" t="str">
        <f aca="false">IF($A491="","",_xlfn.XLOOKUP(LOWER(TRIM(Base_Bruta!N491)),DePara_Pais!$A$2:$A$9,DePara_Pais!$B$2:$B$9,"REVISAR"))</f>
        <v/>
      </c>
      <c r="P491" s="4" t="str">
        <f aca="false">IF($A491="","",IF(O491&lt;&gt;"Brasil","Turista Internacional",IF(M491=F491,"Local","Turista Nacional")))</f>
        <v/>
      </c>
      <c r="Q491" s="7" t="str">
        <f aca="false">IF($A491="","",DATE(YEAR(B491),MONTH(B491),1))</f>
        <v/>
      </c>
      <c r="R491" s="4" t="str">
        <f aca="false">IF($A491="","",IF(COUNTIF($A$2:$A491,$A491)&gt;1,"Sim","Não"))</f>
        <v/>
      </c>
      <c r="S491" s="4" t="str">
        <f aca="false">IF(A491="","Descartar - Linha vazia",IF(R491="Sim","Descartar - Duplicado",IF(OR(H491&lt;=0,I491&lt;=0),"Descartar - Qtd/Valor inválido","OK")))</f>
        <v>Descartar - Linha vazia</v>
      </c>
      <c r="T491" s="4" t="str">
        <f aca="false">Base_Bruta!P491</f>
        <v>vendas_SP.xlsx</v>
      </c>
    </row>
    <row r="492" customFormat="false" ht="15" hidden="false" customHeight="false" outlineLevel="0" collapsed="false">
      <c r="A492" s="4" t="str">
        <f aca="false">IF(Base_Bruta!A492="","",Base_Bruta!A492)</f>
        <v>SP-000106</v>
      </c>
      <c r="B492" s="5" t="n">
        <f aca="false">IF($A492="","",IF(ISNUMBER(Base_Bruta!B492),Base_Bruta!B492,IF(MID(Base_Bruta!B492,5,1)="-",DATE(VALUE(LEFT(Base_Bruta!B492,4)),VALUE(MID(Base_Bruta!B492,6,2)),VALUE(RIGHT(Base_Bruta!B492,2))),DATE(VALUE(RIGHT(Base_Bruta!B492,4)),VALUE(MID(Base_Bruta!B492,4,2)),VALUE(LEFT(Base_Bruta!B492,2))))))</f>
        <v>45976</v>
      </c>
      <c r="C492" s="5" t="n">
        <f aca="false">IF($A492="","",IF(ISNUMBER(Base_Bruta!C492),Base_Bruta!C492,IF(MID(Base_Bruta!C492,5,1)="-",DATE(VALUE(LEFT(Base_Bruta!C492,4)),VALUE(MID(Base_Bruta!C492,6,2)),VALUE(RIGHT(Base_Bruta!C492,2))),DATE(VALUE(RIGHT(Base_Bruta!C492,4)),VALUE(MID(Base_Bruta!C492,4,2)),VALUE(LEFT(Base_Bruta!C492,2))))))</f>
        <v>45976</v>
      </c>
      <c r="D492" s="4" t="str">
        <f aca="false">IF($A492="","",TRIM(Base_Bruta!D492))</f>
        <v>Festival Sonora SP 2025</v>
      </c>
      <c r="E492" s="4" t="str">
        <f aca="false">IF($A492="","",_xlfn.XLOOKUP(LOWER(TRIM(Base_Bruta!E492)),DePara_Categoria!$A$2:$A$9,DePara_Categoria!$B$2:$B$9,"REVISAR"))</f>
        <v>Festival</v>
      </c>
      <c r="F492" s="4" t="str">
        <f aca="false">IF($A492="","",_xlfn.XLOOKUP(LOWER(TRIM(Base_Bruta!F492)),DePara_Cidade!$A$2:$A$29,DePara_Cidade!$B$2:$B$29,"REVISAR"))</f>
        <v>São Paulo</v>
      </c>
      <c r="G492" s="4" t="str">
        <f aca="false">IF($A492="","",TRIM(Base_Bruta!G492))</f>
        <v>Inteira</v>
      </c>
      <c r="H492" s="4" t="n">
        <f aca="false">IF($A492="","",IF(ISNUMBER(Base_Bruta!H492),Base_Bruta!H492,IFERROR(_xlfn.NUMBERVALUE(TRIM(SUBSTITUTE(Base_Bruta!H492,"R$","")),",","."),0)))</f>
        <v>2</v>
      </c>
      <c r="I492" s="6" t="n">
        <f aca="false">IF($A492="","",IF(ISNUMBER(Base_Bruta!I492),Base_Bruta!I492,IFERROR(_xlfn.NUMBERVALUE(TRIM(SUBSTITUTE(Base_Bruta!I492,"R$","")),",","."),0)))</f>
        <v>1000</v>
      </c>
      <c r="J492" s="6" t="n">
        <f aca="false">IF($A492="","",H492*I492)</f>
        <v>2000</v>
      </c>
      <c r="K492" s="4" t="str">
        <f aca="false">IF($A492="","",TRIM(Base_Bruta!J492))</f>
        <v>Parceiro</v>
      </c>
      <c r="L492" s="4" t="str">
        <f aca="false">IF($A492="","",TRIM(Base_Bruta!K492))</f>
        <v>C01001</v>
      </c>
      <c r="M492" s="4" t="str">
        <f aca="false">IF($A492="","",_xlfn.XLOOKUP(LOWER(TRIM(Base_Bruta!L492)),DePara_Cidade!$A$2:$A$29,DePara_Cidade!$B$2:$B$29,"REVISAR"))</f>
        <v>São Paulo</v>
      </c>
      <c r="N492" s="4" t="str">
        <f aca="false">IF($A492="","",UPPER(TRIM(Base_Bruta!M492)))</f>
        <v>SP</v>
      </c>
      <c r="O492" s="4" t="str">
        <f aca="false">IF($A492="","",_xlfn.XLOOKUP(LOWER(TRIM(Base_Bruta!N492)),DePara_Pais!$A$2:$A$9,DePara_Pais!$B$2:$B$9,"REVISAR"))</f>
        <v>Brasil</v>
      </c>
      <c r="P492" s="4" t="str">
        <f aca="false">IF($A492="","",IF(O492&lt;&gt;"Brasil","Turista Internacional",IF(M492=F492,"Local","Turista Nacional")))</f>
        <v>Local</v>
      </c>
      <c r="Q492" s="7" t="n">
        <f aca="false">IF($A492="","",DATE(YEAR(B492),MONTH(B492),1))</f>
        <v>45962</v>
      </c>
      <c r="R492" s="4" t="str">
        <f aca="false">IF($A492="","",IF(COUNTIF($A$2:$A492,$A492)&gt;1,"Sim","Não"))</f>
        <v>Não</v>
      </c>
      <c r="S492" s="4" t="str">
        <f aca="false">IF(A492="","Descartar - Linha vazia",IF(R492="Sim","Descartar - Duplicado",IF(OR(H492&lt;=0,I492&lt;=0),"Descartar - Qtd/Valor inválido","OK")))</f>
        <v>OK</v>
      </c>
      <c r="T492" s="4" t="str">
        <f aca="false">Base_Bruta!P492</f>
        <v>vendas_SP.xlsx</v>
      </c>
    </row>
    <row r="493" customFormat="false" ht="15" hidden="false" customHeight="false" outlineLevel="0" collapsed="false">
      <c r="A493" s="4" t="str">
        <f aca="false">IF(Base_Bruta!A493="","",Base_Bruta!A493)</f>
        <v>SP-000113</v>
      </c>
      <c r="B493" s="5" t="n">
        <f aca="false">IF($A493="","",IF(ISNUMBER(Base_Bruta!B493),Base_Bruta!B493,IF(MID(Base_Bruta!B493,5,1)="-",DATE(VALUE(LEFT(Base_Bruta!B493,4)),VALUE(MID(Base_Bruta!B493,6,2)),VALUE(RIGHT(Base_Bruta!B493,2))),DATE(VALUE(RIGHT(Base_Bruta!B493,4)),VALUE(MID(Base_Bruta!B493,4,2)),VALUE(LEFT(Base_Bruta!B493,2))))))</f>
        <v>45976</v>
      </c>
      <c r="C493" s="5" t="n">
        <f aca="false">IF($A493="","",IF(ISNUMBER(Base_Bruta!C493),Base_Bruta!C493,IF(MID(Base_Bruta!C493,5,1)="-",DATE(VALUE(LEFT(Base_Bruta!C493,4)),VALUE(MID(Base_Bruta!C493,6,2)),VALUE(RIGHT(Base_Bruta!C493,2))),DATE(VALUE(RIGHT(Base_Bruta!C493,4)),VALUE(MID(Base_Bruta!C493,4,2)),VALUE(LEFT(Base_Bruta!C493,2))))))</f>
        <v>45976</v>
      </c>
      <c r="D493" s="4" t="str">
        <f aca="false">IF($A493="","",TRIM(Base_Bruta!D493))</f>
        <v>Festival Sonora SP 2025</v>
      </c>
      <c r="E493" s="4" t="str">
        <f aca="false">IF($A493="","",_xlfn.XLOOKUP(LOWER(TRIM(Base_Bruta!E493)),DePara_Categoria!$A$2:$A$9,DePara_Categoria!$B$2:$B$9,"REVISAR"))</f>
        <v>Festival</v>
      </c>
      <c r="F493" s="4" t="str">
        <f aca="false">IF($A493="","",_xlfn.XLOOKUP(LOWER(TRIM(Base_Bruta!F493)),DePara_Cidade!$A$2:$A$29,DePara_Cidade!$B$2:$B$29,"REVISAR"))</f>
        <v>São Paulo</v>
      </c>
      <c r="G493" s="4" t="str">
        <f aca="false">IF($A493="","",TRIM(Base_Bruta!G493))</f>
        <v>Inteira</v>
      </c>
      <c r="H493" s="4" t="n">
        <f aca="false">IF($A493="","",IF(ISNUMBER(Base_Bruta!H493),Base_Bruta!H493,IFERROR(_xlfn.NUMBERVALUE(TRIM(SUBSTITUTE(Base_Bruta!H493,"R$","")),",","."),0)))</f>
        <v>2</v>
      </c>
      <c r="I493" s="6" t="n">
        <f aca="false">IF($A493="","",IF(ISNUMBER(Base_Bruta!I493),Base_Bruta!I493,IFERROR(_xlfn.NUMBERVALUE(TRIM(SUBSTITUTE(Base_Bruta!I493,"R$","")),",","."),0)))</f>
        <v>735</v>
      </c>
      <c r="J493" s="6" t="n">
        <f aca="false">IF($A493="","",H493*I493)</f>
        <v>1470</v>
      </c>
      <c r="K493" s="4" t="str">
        <f aca="false">IF($A493="","",TRIM(Base_Bruta!J493))</f>
        <v>Bilheteria</v>
      </c>
      <c r="L493" s="4" t="str">
        <f aca="false">IF($A493="","",TRIM(Base_Bruta!K493))</f>
        <v>C01918</v>
      </c>
      <c r="M493" s="4" t="str">
        <f aca="false">IF($A493="","",_xlfn.XLOOKUP(LOWER(TRIM(Base_Bruta!L493)),DePara_Cidade!$A$2:$A$29,DePara_Cidade!$B$2:$B$29,"REVISAR"))</f>
        <v>Campinas</v>
      </c>
      <c r="N493" s="4" t="str">
        <f aca="false">IF($A493="","",UPPER(TRIM(Base_Bruta!M493)))</f>
        <v>SP</v>
      </c>
      <c r="O493" s="4" t="str">
        <f aca="false">IF($A493="","",_xlfn.XLOOKUP(LOWER(TRIM(Base_Bruta!N493)),DePara_Pais!$A$2:$A$9,DePara_Pais!$B$2:$B$9,"REVISAR"))</f>
        <v>Brasil</v>
      </c>
      <c r="P493" s="4" t="str">
        <f aca="false">IF($A493="","",IF(O493&lt;&gt;"Brasil","Turista Internacional",IF(M493=F493,"Local","Turista Nacional")))</f>
        <v>Turista Nacional</v>
      </c>
      <c r="Q493" s="7" t="n">
        <f aca="false">IF($A493="","",DATE(YEAR(B493),MONTH(B493),1))</f>
        <v>45962</v>
      </c>
      <c r="R493" s="4" t="str">
        <f aca="false">IF($A493="","",IF(COUNTIF($A$2:$A493,$A493)&gt;1,"Sim","Não"))</f>
        <v>Não</v>
      </c>
      <c r="S493" s="4" t="str">
        <f aca="false">IF(A493="","Descartar - Linha vazia",IF(R493="Sim","Descartar - Duplicado",IF(OR(H493&lt;=0,I493&lt;=0),"Descartar - Qtd/Valor inválido","OK")))</f>
        <v>OK</v>
      </c>
      <c r="T493" s="4" t="str">
        <f aca="false">Base_Bruta!P493</f>
        <v>vendas_SP.xlsx</v>
      </c>
    </row>
    <row r="494" customFormat="false" ht="15" hidden="false" customHeight="false" outlineLevel="0" collapsed="false">
      <c r="A494" s="4" t="str">
        <f aca="false">IF(Base_Bruta!A494="","",Base_Bruta!A494)</f>
        <v>SP-000044</v>
      </c>
      <c r="B494" s="5" t="n">
        <f aca="false">IF($A494="","",IF(ISNUMBER(Base_Bruta!B494),Base_Bruta!B494,IF(MID(Base_Bruta!B494,5,1)="-",DATE(VALUE(LEFT(Base_Bruta!B494,4)),VALUE(MID(Base_Bruta!B494,6,2)),VALUE(RIGHT(Base_Bruta!B494,2))),DATE(VALUE(RIGHT(Base_Bruta!B494,4)),VALUE(MID(Base_Bruta!B494,4,2)),VALUE(LEFT(Base_Bruta!B494,2))))))</f>
        <v>45973</v>
      </c>
      <c r="C494" s="5" t="n">
        <f aca="false">IF($A494="","",IF(ISNUMBER(Base_Bruta!C494),Base_Bruta!C494,IF(MID(Base_Bruta!C494,5,1)="-",DATE(VALUE(LEFT(Base_Bruta!C494,4)),VALUE(MID(Base_Bruta!C494,6,2)),VALUE(RIGHT(Base_Bruta!C494,2))),DATE(VALUE(RIGHT(Base_Bruta!C494,4)),VALUE(MID(Base_Bruta!C494,4,2)),VALUE(LEFT(Base_Bruta!C494,2))))))</f>
        <v>45976</v>
      </c>
      <c r="D494" s="4" t="str">
        <f aca="false">IF($A494="","",TRIM(Base_Bruta!D494))</f>
        <v>Festival Sonora SP 2025</v>
      </c>
      <c r="E494" s="4" t="str">
        <f aca="false">IF($A494="","",_xlfn.XLOOKUP(LOWER(TRIM(Base_Bruta!E494)),DePara_Categoria!$A$2:$A$9,DePara_Categoria!$B$2:$B$9,"REVISAR"))</f>
        <v>Festival</v>
      </c>
      <c r="F494" s="4" t="str">
        <f aca="false">IF($A494="","",_xlfn.XLOOKUP(LOWER(TRIM(Base_Bruta!F494)),DePara_Cidade!$A$2:$A$29,DePara_Cidade!$B$2:$B$29,"REVISAR"))</f>
        <v>São Paulo</v>
      </c>
      <c r="G494" s="4" t="str">
        <f aca="false">IF($A494="","",TRIM(Base_Bruta!G494))</f>
        <v>Inteira</v>
      </c>
      <c r="H494" s="4" t="n">
        <f aca="false">IF($A494="","",IF(ISNUMBER(Base_Bruta!H494),Base_Bruta!H494,IFERROR(_xlfn.NUMBERVALUE(TRIM(SUBSTITUTE(Base_Bruta!H494,"R$","")),",","."),0)))</f>
        <v>0</v>
      </c>
      <c r="I494" s="6" t="n">
        <f aca="false">IF($A494="","",IF(ISNUMBER(Base_Bruta!I494),Base_Bruta!I494,IFERROR(_xlfn.NUMBERVALUE(TRIM(SUBSTITUTE(Base_Bruta!I494,"R$","")),",","."),0)))</f>
        <v>1095</v>
      </c>
      <c r="J494" s="6" t="n">
        <f aca="false">IF($A494="","",H494*I494)</f>
        <v>0</v>
      </c>
      <c r="K494" s="4" t="str">
        <f aca="false">IF($A494="","",TRIM(Base_Bruta!J494))</f>
        <v>Bilheteria</v>
      </c>
      <c r="L494" s="4" t="str">
        <f aca="false">IF($A494="","",TRIM(Base_Bruta!K494))</f>
        <v>C00502</v>
      </c>
      <c r="M494" s="4" t="str">
        <f aca="false">IF($A494="","",_xlfn.XLOOKUP(LOWER(TRIM(Base_Bruta!L494)),DePara_Cidade!$A$2:$A$29,DePara_Cidade!$B$2:$B$29,"REVISAR"))</f>
        <v>São Paulo</v>
      </c>
      <c r="N494" s="4" t="str">
        <f aca="false">IF($A494="","",UPPER(TRIM(Base_Bruta!M494)))</f>
        <v>SP</v>
      </c>
      <c r="O494" s="4" t="str">
        <f aca="false">IF($A494="","",_xlfn.XLOOKUP(LOWER(TRIM(Base_Bruta!N494)),DePara_Pais!$A$2:$A$9,DePara_Pais!$B$2:$B$9,"REVISAR"))</f>
        <v>Brasil</v>
      </c>
      <c r="P494" s="4" t="str">
        <f aca="false">IF($A494="","",IF(O494&lt;&gt;"Brasil","Turista Internacional",IF(M494=F494,"Local","Turista Nacional")))</f>
        <v>Local</v>
      </c>
      <c r="Q494" s="7" t="n">
        <f aca="false">IF($A494="","",DATE(YEAR(B494),MONTH(B494),1))</f>
        <v>45962</v>
      </c>
      <c r="R494" s="4" t="str">
        <f aca="false">IF($A494="","",IF(COUNTIF($A$2:$A494,$A494)&gt;1,"Sim","Não"))</f>
        <v>Sim</v>
      </c>
      <c r="S494" s="4" t="str">
        <f aca="false">IF(A494="","Descartar - Linha vazia",IF(R494="Sim","Descartar - Duplicado",IF(OR(H494&lt;=0,I494&lt;=0),"Descartar - Qtd/Valor inválido","OK")))</f>
        <v>Descartar - Duplicado</v>
      </c>
      <c r="T494" s="4" t="str">
        <f aca="false">Base_Bruta!P494</f>
        <v>vendas_SP.xlsx</v>
      </c>
    </row>
    <row r="495" customFormat="false" ht="15" hidden="false" customHeight="false" outlineLevel="0" collapsed="false">
      <c r="A495" s="4" t="str">
        <f aca="false">IF(Base_Bruta!A495="","",Base_Bruta!A495)</f>
        <v>SP-000119</v>
      </c>
      <c r="B495" s="5" t="n">
        <f aca="false">IF($A495="","",IF(ISNUMBER(Base_Bruta!B495),Base_Bruta!B495,IF(MID(Base_Bruta!B495,5,1)="-",DATE(VALUE(LEFT(Base_Bruta!B495,4)),VALUE(MID(Base_Bruta!B495,6,2)),VALUE(RIGHT(Base_Bruta!B495,2))),DATE(VALUE(RIGHT(Base_Bruta!B495,4)),VALUE(MID(Base_Bruta!B495,4,2)),VALUE(LEFT(Base_Bruta!B495,2))))))</f>
        <v>45976</v>
      </c>
      <c r="C495" s="5" t="n">
        <f aca="false">IF($A495="","",IF(ISNUMBER(Base_Bruta!C495),Base_Bruta!C495,IF(MID(Base_Bruta!C495,5,1)="-",DATE(VALUE(LEFT(Base_Bruta!C495,4)),VALUE(MID(Base_Bruta!C495,6,2)),VALUE(RIGHT(Base_Bruta!C495,2))),DATE(VALUE(RIGHT(Base_Bruta!C495,4)),VALUE(MID(Base_Bruta!C495,4,2)),VALUE(LEFT(Base_Bruta!C495,2))))))</f>
        <v>45976</v>
      </c>
      <c r="D495" s="4" t="str">
        <f aca="false">IF($A495="","",TRIM(Base_Bruta!D495))</f>
        <v>Festival Sonora SP 2025</v>
      </c>
      <c r="E495" s="4" t="str">
        <f aca="false">IF($A495="","",_xlfn.XLOOKUP(LOWER(TRIM(Base_Bruta!E495)),DePara_Categoria!$A$2:$A$9,DePara_Categoria!$B$2:$B$9,"REVISAR"))</f>
        <v>Festival</v>
      </c>
      <c r="F495" s="4" t="str">
        <f aca="false">IF($A495="","",_xlfn.XLOOKUP(LOWER(TRIM(Base_Bruta!F495)),DePara_Cidade!$A$2:$A$29,DePara_Cidade!$B$2:$B$29,"REVISAR"))</f>
        <v>São Paulo</v>
      </c>
      <c r="G495" s="4" t="str">
        <f aca="false">IF($A495="","",TRIM(Base_Bruta!G495))</f>
        <v>Meia</v>
      </c>
      <c r="H495" s="4" t="n">
        <f aca="false">IF($A495="","",IF(ISNUMBER(Base_Bruta!H495),Base_Bruta!H495,IFERROR(_xlfn.NUMBERVALUE(TRIM(SUBSTITUTE(Base_Bruta!H495,"R$","")),",","."),0)))</f>
        <v>4</v>
      </c>
      <c r="I495" s="6" t="n">
        <f aca="false">IF($A495="","",IF(ISNUMBER(Base_Bruta!I495),Base_Bruta!I495,IFERROR(_xlfn.NUMBERVALUE(TRIM(SUBSTITUTE(Base_Bruta!I495,"R$","")),",","."),0)))</f>
        <v>560</v>
      </c>
      <c r="J495" s="6" t="n">
        <f aca="false">IF($A495="","",H495*I495)</f>
        <v>2240</v>
      </c>
      <c r="K495" s="4" t="str">
        <f aca="false">IF($A495="","",TRIM(Base_Bruta!J495))</f>
        <v>Site</v>
      </c>
      <c r="L495" s="4" t="str">
        <f aca="false">IF($A495="","",TRIM(Base_Bruta!K495))</f>
        <v>C00301</v>
      </c>
      <c r="M495" s="4" t="str">
        <f aca="false">IF($A495="","",_xlfn.XLOOKUP(LOWER(TRIM(Base_Bruta!L495)),DePara_Cidade!$A$2:$A$29,DePara_Cidade!$B$2:$B$29,"REVISAR"))</f>
        <v>São Paulo</v>
      </c>
      <c r="N495" s="4" t="str">
        <f aca="false">IF($A495="","",UPPER(TRIM(Base_Bruta!M495)))</f>
        <v>SP</v>
      </c>
      <c r="O495" s="4" t="str">
        <f aca="false">IF($A495="","",_xlfn.XLOOKUP(LOWER(TRIM(Base_Bruta!N495)),DePara_Pais!$A$2:$A$9,DePara_Pais!$B$2:$B$9,"REVISAR"))</f>
        <v>Brasil</v>
      </c>
      <c r="P495" s="4" t="str">
        <f aca="false">IF($A495="","",IF(O495&lt;&gt;"Brasil","Turista Internacional",IF(M495=F495,"Local","Turista Nacional")))</f>
        <v>Local</v>
      </c>
      <c r="Q495" s="7" t="n">
        <f aca="false">IF($A495="","",DATE(YEAR(B495),MONTH(B495),1))</f>
        <v>45962</v>
      </c>
      <c r="R495" s="4" t="str">
        <f aca="false">IF($A495="","",IF(COUNTIF($A$2:$A495,$A495)&gt;1,"Sim","Não"))</f>
        <v>Não</v>
      </c>
      <c r="S495" s="4" t="str">
        <f aca="false">IF(A495="","Descartar - Linha vazia",IF(R495="Sim","Descartar - Duplicado",IF(OR(H495&lt;=0,I495&lt;=0),"Descartar - Qtd/Valor inválido","OK")))</f>
        <v>OK</v>
      </c>
      <c r="T495" s="4" t="str">
        <f aca="false">Base_Bruta!P495</f>
        <v>vendas_SP.xlsx</v>
      </c>
    </row>
    <row r="496" customFormat="false" ht="15" hidden="false" customHeight="false" outlineLevel="0" collapsed="false">
      <c r="A496" s="4" t="str">
        <f aca="false">IF(Base_Bruta!A496="","",Base_Bruta!A496)</f>
        <v>SP-000162</v>
      </c>
      <c r="B496" s="5" t="n">
        <f aca="false">IF($A496="","",IF(ISNUMBER(Base_Bruta!B496),Base_Bruta!B496,IF(MID(Base_Bruta!B496,5,1)="-",DATE(VALUE(LEFT(Base_Bruta!B496,4)),VALUE(MID(Base_Bruta!B496,6,2)),VALUE(RIGHT(Base_Bruta!B496,2))),DATE(VALUE(RIGHT(Base_Bruta!B496,4)),VALUE(MID(Base_Bruta!B496,4,2)),VALUE(LEFT(Base_Bruta!B496,2))))))</f>
        <v>45976</v>
      </c>
      <c r="C496" s="5" t="n">
        <f aca="false">IF($A496="","",IF(ISNUMBER(Base_Bruta!C496),Base_Bruta!C496,IF(MID(Base_Bruta!C496,5,1)="-",DATE(VALUE(LEFT(Base_Bruta!C496,4)),VALUE(MID(Base_Bruta!C496,6,2)),VALUE(RIGHT(Base_Bruta!C496,2))),DATE(VALUE(RIGHT(Base_Bruta!C496,4)),VALUE(MID(Base_Bruta!C496,4,2)),VALUE(LEFT(Base_Bruta!C496,2))))))</f>
        <v>45976</v>
      </c>
      <c r="D496" s="4" t="str">
        <f aca="false">IF($A496="","",TRIM(Base_Bruta!D496))</f>
        <v>Festival Sonora SP 2025</v>
      </c>
      <c r="E496" s="4" t="str">
        <f aca="false">IF($A496="","",_xlfn.XLOOKUP(LOWER(TRIM(Base_Bruta!E496)),DePara_Categoria!$A$2:$A$9,DePara_Categoria!$B$2:$B$9,"REVISAR"))</f>
        <v>Festival</v>
      </c>
      <c r="F496" s="4" t="str">
        <f aca="false">IF($A496="","",_xlfn.XLOOKUP(LOWER(TRIM(Base_Bruta!F496)),DePara_Cidade!$A$2:$A$29,DePara_Cidade!$B$2:$B$29,"REVISAR"))</f>
        <v>São Paulo</v>
      </c>
      <c r="G496" s="4" t="str">
        <f aca="false">IF($A496="","",TRIM(Base_Bruta!G496))</f>
        <v>Meia</v>
      </c>
      <c r="H496" s="4" t="n">
        <f aca="false">IF($A496="","",IF(ISNUMBER(Base_Bruta!H496),Base_Bruta!H496,IFERROR(_xlfn.NUMBERVALUE(TRIM(SUBSTITUTE(Base_Bruta!H496,"R$","")),",","."),0)))</f>
        <v>2</v>
      </c>
      <c r="I496" s="6" t="n">
        <f aca="false">IF($A496="","",IF(ISNUMBER(Base_Bruta!I496),Base_Bruta!I496,IFERROR(_xlfn.NUMBERVALUE(TRIM(SUBSTITUTE(Base_Bruta!I496,"R$","")),",","."),0)))</f>
        <v>537.5</v>
      </c>
      <c r="J496" s="6" t="n">
        <f aca="false">IF($A496="","",H496*I496)</f>
        <v>1075</v>
      </c>
      <c r="K496" s="4" t="str">
        <f aca="false">IF($A496="","",TRIM(Base_Bruta!J496))</f>
        <v>App</v>
      </c>
      <c r="L496" s="4" t="str">
        <f aca="false">IF($A496="","",TRIM(Base_Bruta!K496))</f>
        <v>C02493</v>
      </c>
      <c r="M496" s="4" t="str">
        <f aca="false">IF($A496="","",_xlfn.XLOOKUP(LOWER(TRIM(Base_Bruta!L496)),DePara_Cidade!$A$2:$A$29,DePara_Cidade!$B$2:$B$29,"REVISAR"))</f>
        <v>São Paulo</v>
      </c>
      <c r="N496" s="4" t="str">
        <f aca="false">IF($A496="","",UPPER(TRIM(Base_Bruta!M496)))</f>
        <v>SP</v>
      </c>
      <c r="O496" s="4" t="str">
        <f aca="false">IF($A496="","",_xlfn.XLOOKUP(LOWER(TRIM(Base_Bruta!N496)),DePara_Pais!$A$2:$A$9,DePara_Pais!$B$2:$B$9,"REVISAR"))</f>
        <v>Brasil</v>
      </c>
      <c r="P496" s="4" t="str">
        <f aca="false">IF($A496="","",IF(O496&lt;&gt;"Brasil","Turista Internacional",IF(M496=F496,"Local","Turista Nacional")))</f>
        <v>Local</v>
      </c>
      <c r="Q496" s="7" t="n">
        <f aca="false">IF($A496="","",DATE(YEAR(B496),MONTH(B496),1))</f>
        <v>45962</v>
      </c>
      <c r="R496" s="4" t="str">
        <f aca="false">IF($A496="","",IF(COUNTIF($A$2:$A496,$A496)&gt;1,"Sim","Não"))</f>
        <v>Não</v>
      </c>
      <c r="S496" s="4" t="str">
        <f aca="false">IF(A496="","Descartar - Linha vazia",IF(R496="Sim","Descartar - Duplicado",IF(OR(H496&lt;=0,I496&lt;=0),"Descartar - Qtd/Valor inválido","OK")))</f>
        <v>OK</v>
      </c>
      <c r="T496" s="4" t="str">
        <f aca="false">Base_Bruta!P496</f>
        <v>vendas_SP.xlsx</v>
      </c>
    </row>
    <row r="497" customFormat="false" ht="15" hidden="false" customHeight="false" outlineLevel="0" collapsed="false">
      <c r="A497" s="4" t="str">
        <f aca="false">IF(Base_Bruta!A497="","",Base_Bruta!A497)</f>
        <v>SP-000189</v>
      </c>
      <c r="B497" s="5" t="n">
        <f aca="false">IF($A497="","",IF(ISNUMBER(Base_Bruta!B497),Base_Bruta!B497,IF(MID(Base_Bruta!B497,5,1)="-",DATE(VALUE(LEFT(Base_Bruta!B497,4)),VALUE(MID(Base_Bruta!B497,6,2)),VALUE(RIGHT(Base_Bruta!B497,2))),DATE(VALUE(RIGHT(Base_Bruta!B497,4)),VALUE(MID(Base_Bruta!B497,4,2)),VALUE(LEFT(Base_Bruta!B497,2))))))</f>
        <v>45976</v>
      </c>
      <c r="C497" s="5" t="n">
        <f aca="false">IF($A497="","",IF(ISNUMBER(Base_Bruta!C497),Base_Bruta!C497,IF(MID(Base_Bruta!C497,5,1)="-",DATE(VALUE(LEFT(Base_Bruta!C497,4)),VALUE(MID(Base_Bruta!C497,6,2)),VALUE(RIGHT(Base_Bruta!C497,2))),DATE(VALUE(RIGHT(Base_Bruta!C497,4)),VALUE(MID(Base_Bruta!C497,4,2)),VALUE(LEFT(Base_Bruta!C497,2))))))</f>
        <v>45976</v>
      </c>
      <c r="D497" s="4" t="str">
        <f aca="false">IF($A497="","",TRIM(Base_Bruta!D497))</f>
        <v>Festival Sonora SP 2025</v>
      </c>
      <c r="E497" s="4" t="str">
        <f aca="false">IF($A497="","",_xlfn.XLOOKUP(LOWER(TRIM(Base_Bruta!E497)),DePara_Categoria!$A$2:$A$9,DePara_Categoria!$B$2:$B$9,"REVISAR"))</f>
        <v>Festival</v>
      </c>
      <c r="F497" s="4" t="str">
        <f aca="false">IF($A497="","",_xlfn.XLOOKUP(LOWER(TRIM(Base_Bruta!F497)),DePara_Cidade!$A$2:$A$29,DePara_Cidade!$B$2:$B$29,"REVISAR"))</f>
        <v>São Paulo</v>
      </c>
      <c r="G497" s="4" t="str">
        <f aca="false">IF($A497="","",TRIM(Base_Bruta!G497))</f>
        <v>Inteira</v>
      </c>
      <c r="H497" s="4" t="n">
        <f aca="false">IF($A497="","",IF(ISNUMBER(Base_Bruta!H497),Base_Bruta!H497,IFERROR(_xlfn.NUMBERVALUE(TRIM(SUBSTITUTE(Base_Bruta!H497,"R$","")),",","."),0)))</f>
        <v>1</v>
      </c>
      <c r="I497" s="6" t="n">
        <f aca="false">IF($A497="","",IF(ISNUMBER(Base_Bruta!I497),Base_Bruta!I497,IFERROR(_xlfn.NUMBERVALUE(TRIM(SUBSTITUTE(Base_Bruta!I497,"R$","")),",","."),0)))</f>
        <v>890</v>
      </c>
      <c r="J497" s="6" t="n">
        <f aca="false">IF($A497="","",H497*I497)</f>
        <v>890</v>
      </c>
      <c r="K497" s="4" t="str">
        <f aca="false">IF($A497="","",TRIM(Base_Bruta!J497))</f>
        <v>Parceiro</v>
      </c>
      <c r="L497" s="4" t="str">
        <f aca="false">IF($A497="","",TRIM(Base_Bruta!K497))</f>
        <v>C00115</v>
      </c>
      <c r="M497" s="4" t="str">
        <f aca="false">IF($A497="","",_xlfn.XLOOKUP(LOWER(TRIM(Base_Bruta!L497)),DePara_Cidade!$A$2:$A$29,DePara_Cidade!$B$2:$B$29,"REVISAR"))</f>
        <v>São Paulo</v>
      </c>
      <c r="N497" s="4" t="str">
        <f aca="false">IF($A497="","",UPPER(TRIM(Base_Bruta!M497)))</f>
        <v>SP</v>
      </c>
      <c r="O497" s="4" t="str">
        <f aca="false">IF($A497="","",_xlfn.XLOOKUP(LOWER(TRIM(Base_Bruta!N497)),DePara_Pais!$A$2:$A$9,DePara_Pais!$B$2:$B$9,"REVISAR"))</f>
        <v>Brasil</v>
      </c>
      <c r="P497" s="4" t="str">
        <f aca="false">IF($A497="","",IF(O497&lt;&gt;"Brasil","Turista Internacional",IF(M497=F497,"Local","Turista Nacional")))</f>
        <v>Local</v>
      </c>
      <c r="Q497" s="7" t="n">
        <f aca="false">IF($A497="","",DATE(YEAR(B497),MONTH(B497),1))</f>
        <v>45962</v>
      </c>
      <c r="R497" s="4" t="str">
        <f aca="false">IF($A497="","",IF(COUNTIF($A$2:$A497,$A497)&gt;1,"Sim","Não"))</f>
        <v>Não</v>
      </c>
      <c r="S497" s="4" t="str">
        <f aca="false">IF(A497="","Descartar - Linha vazia",IF(R497="Sim","Descartar - Duplicado",IF(OR(H497&lt;=0,I497&lt;=0),"Descartar - Qtd/Valor inválido","OK")))</f>
        <v>OK</v>
      </c>
      <c r="T497" s="4" t="str">
        <f aca="false">Base_Bruta!P497</f>
        <v>vendas_SP.xlsx</v>
      </c>
    </row>
    <row r="498" customFormat="false" ht="15" hidden="false" customHeight="false" outlineLevel="0" collapsed="false">
      <c r="A498" s="4" t="str">
        <f aca="false">IF(Base_Bruta!A498="","",Base_Bruta!A498)</f>
        <v>SP-000749</v>
      </c>
      <c r="B498" s="5" t="n">
        <f aca="false">IF($A498="","",IF(ISNUMBER(Base_Bruta!B498),Base_Bruta!B498,IF(MID(Base_Bruta!B498,5,1)="-",DATE(VALUE(LEFT(Base_Bruta!B498,4)),VALUE(MID(Base_Bruta!B498,6,2)),VALUE(RIGHT(Base_Bruta!B498,2))),DATE(VALUE(RIGHT(Base_Bruta!B498,4)),VALUE(MID(Base_Bruta!B498,4,2)),VALUE(LEFT(Base_Bruta!B498,2))))))</f>
        <v>45977</v>
      </c>
      <c r="C498" s="5" t="n">
        <f aca="false">IF($A498="","",IF(ISNUMBER(Base_Bruta!C498),Base_Bruta!C498,IF(MID(Base_Bruta!C498,5,1)="-",DATE(VALUE(LEFT(Base_Bruta!C498,4)),VALUE(MID(Base_Bruta!C498,6,2)),VALUE(RIGHT(Base_Bruta!C498,2))),DATE(VALUE(RIGHT(Base_Bruta!C498,4)),VALUE(MID(Base_Bruta!C498,4,2)),VALUE(LEFT(Base_Bruta!C498,2))))))</f>
        <v>45980</v>
      </c>
      <c r="D498" s="4" t="str">
        <f aca="false">IF($A498="","",TRIM(Base_Bruta!D498))</f>
        <v>Cinema Paulista - Sessões</v>
      </c>
      <c r="E498" s="4" t="str">
        <f aca="false">IF($A498="","",_xlfn.XLOOKUP(LOWER(TRIM(Base_Bruta!E498)),DePara_Categoria!$A$2:$A$9,DePara_Categoria!$B$2:$B$9,"REVISAR"))</f>
        <v>Cinema</v>
      </c>
      <c r="F498" s="4" t="str">
        <f aca="false">IF($A498="","",_xlfn.XLOOKUP(LOWER(TRIM(Base_Bruta!F498)),DePara_Cidade!$A$2:$A$29,DePara_Cidade!$B$2:$B$29,"REVISAR"))</f>
        <v>São Paulo</v>
      </c>
      <c r="G498" s="4" t="str">
        <f aca="false">IF($A498="","",TRIM(Base_Bruta!G498))</f>
        <v>Inteira</v>
      </c>
      <c r="H498" s="4" t="n">
        <f aca="false">IF($A498="","",IF(ISNUMBER(Base_Bruta!H498),Base_Bruta!H498,IFERROR(_xlfn.NUMBERVALUE(TRIM(SUBSTITUTE(Base_Bruta!H498,"R$","")),",","."),0)))</f>
        <v>3</v>
      </c>
      <c r="I498" s="6" t="n">
        <f aca="false">IF($A498="","",IF(ISNUMBER(Base_Bruta!I498),Base_Bruta!I498,IFERROR(_xlfn.NUMBERVALUE(TRIM(SUBSTITUTE(Base_Bruta!I498,"R$","")),",","."),0)))</f>
        <v>45</v>
      </c>
      <c r="J498" s="6" t="n">
        <f aca="false">IF($A498="","",H498*I498)</f>
        <v>135</v>
      </c>
      <c r="K498" s="4" t="str">
        <f aca="false">IF($A498="","",TRIM(Base_Bruta!J498))</f>
        <v>App</v>
      </c>
      <c r="L498" s="4" t="str">
        <f aca="false">IF($A498="","",TRIM(Base_Bruta!K498))</f>
        <v>C01861</v>
      </c>
      <c r="M498" s="4" t="str">
        <f aca="false">IF($A498="","",_xlfn.XLOOKUP(LOWER(TRIM(Base_Bruta!L498)),DePara_Cidade!$A$2:$A$29,DePara_Cidade!$B$2:$B$29,"REVISAR"))</f>
        <v>São Paulo</v>
      </c>
      <c r="N498" s="4" t="str">
        <f aca="false">IF($A498="","",UPPER(TRIM(Base_Bruta!M498)))</f>
        <v>SP</v>
      </c>
      <c r="O498" s="4" t="str">
        <f aca="false">IF($A498="","",_xlfn.XLOOKUP(LOWER(TRIM(Base_Bruta!N498)),DePara_Pais!$A$2:$A$9,DePara_Pais!$B$2:$B$9,"REVISAR"))</f>
        <v>Brasil</v>
      </c>
      <c r="P498" s="4" t="str">
        <f aca="false">IF($A498="","",IF(O498&lt;&gt;"Brasil","Turista Internacional",IF(M498=F498,"Local","Turista Nacional")))</f>
        <v>Local</v>
      </c>
      <c r="Q498" s="7" t="n">
        <f aca="false">IF($A498="","",DATE(YEAR(B498),MONTH(B498),1))</f>
        <v>45962</v>
      </c>
      <c r="R498" s="4" t="str">
        <f aca="false">IF($A498="","",IF(COUNTIF($A$2:$A498,$A498)&gt;1,"Sim","Não"))</f>
        <v>Não</v>
      </c>
      <c r="S498" s="4" t="str">
        <f aca="false">IF(A498="","Descartar - Linha vazia",IF(R498="Sim","Descartar - Duplicado",IF(OR(H498&lt;=0,I498&lt;=0),"Descartar - Qtd/Valor inválido","OK")))</f>
        <v>OK</v>
      </c>
      <c r="T498" s="4" t="str">
        <f aca="false">Base_Bruta!P498</f>
        <v>vendas_SP.xlsx</v>
      </c>
    </row>
    <row r="499" customFormat="false" ht="15" hidden="false" customHeight="false" outlineLevel="0" collapsed="false">
      <c r="A499" s="4" t="str">
        <f aca="false">IF(Base_Bruta!A499="","",Base_Bruta!A499)</f>
        <v>SP-000636</v>
      </c>
      <c r="B499" s="5" t="n">
        <f aca="false">IF($A499="","",IF(ISNUMBER(Base_Bruta!B499),Base_Bruta!B499,IF(MID(Base_Bruta!B499,5,1)="-",DATE(VALUE(LEFT(Base_Bruta!B499,4)),VALUE(MID(Base_Bruta!B499,6,2)),VALUE(RIGHT(Base_Bruta!B499,2))),DATE(VALUE(RIGHT(Base_Bruta!B499,4)),VALUE(MID(Base_Bruta!B499,4,2)),VALUE(LEFT(Base_Bruta!B499,2))))))</f>
        <v>45979</v>
      </c>
      <c r="C499" s="5" t="n">
        <f aca="false">IF($A499="","",IF(ISNUMBER(Base_Bruta!C499),Base_Bruta!C499,IF(MID(Base_Bruta!C499,5,1)="-",DATE(VALUE(LEFT(Base_Bruta!C499,4)),VALUE(MID(Base_Bruta!C499,6,2)),VALUE(RIGHT(Base_Bruta!C499,2))),DATE(VALUE(RIGHT(Base_Bruta!C499,4)),VALUE(MID(Base_Bruta!C499,4,2)),VALUE(LEFT(Base_Bruta!C499,2))))))</f>
        <v>45979</v>
      </c>
      <c r="D499" s="4" t="str">
        <f aca="false">IF($A499="","",TRIM(Base_Bruta!D499))</f>
        <v>Cinema Paulista - Sessões</v>
      </c>
      <c r="E499" s="4" t="str">
        <f aca="false">IF($A499="","",_xlfn.XLOOKUP(LOWER(TRIM(Base_Bruta!E499)),DePara_Categoria!$A$2:$A$9,DePara_Categoria!$B$2:$B$9,"REVISAR"))</f>
        <v>Cinema</v>
      </c>
      <c r="F499" s="4" t="str">
        <f aca="false">IF($A499="","",_xlfn.XLOOKUP(LOWER(TRIM(Base_Bruta!F499)),DePara_Cidade!$A$2:$A$29,DePara_Cidade!$B$2:$B$29,"REVISAR"))</f>
        <v>São Paulo</v>
      </c>
      <c r="G499" s="4" t="str">
        <f aca="false">IF($A499="","",TRIM(Base_Bruta!G499))</f>
        <v>Meia</v>
      </c>
      <c r="H499" s="4" t="n">
        <f aca="false">IF($A499="","",IF(ISNUMBER(Base_Bruta!H499),Base_Bruta!H499,IFERROR(_xlfn.NUMBERVALUE(TRIM(SUBSTITUTE(Base_Bruta!H499,"R$","")),",","."),0)))</f>
        <v>2</v>
      </c>
      <c r="I499" s="6" t="n">
        <f aca="false">IF($A499="","",IF(ISNUMBER(Base_Bruta!I499),Base_Bruta!I499,IFERROR(_xlfn.NUMBERVALUE(TRIM(SUBSTITUTE(Base_Bruta!I499,"R$","")),",","."),0)))</f>
        <v>17.5</v>
      </c>
      <c r="J499" s="6" t="n">
        <f aca="false">IF($A499="","",H499*I499)</f>
        <v>35</v>
      </c>
      <c r="K499" s="4" t="str">
        <f aca="false">IF($A499="","",TRIM(Base_Bruta!J499))</f>
        <v>Parceiro</v>
      </c>
      <c r="L499" s="4" t="str">
        <f aca="false">IF($A499="","",TRIM(Base_Bruta!K499))</f>
        <v>C00870</v>
      </c>
      <c r="M499" s="4" t="str">
        <f aca="false">IF($A499="","",_xlfn.XLOOKUP(LOWER(TRIM(Base_Bruta!L499)),DePara_Cidade!$A$2:$A$29,DePara_Cidade!$B$2:$B$29,"REVISAR"))</f>
        <v>São Paulo</v>
      </c>
      <c r="N499" s="4" t="str">
        <f aca="false">IF($A499="","",UPPER(TRIM(Base_Bruta!M499)))</f>
        <v>SP</v>
      </c>
      <c r="O499" s="4" t="str">
        <f aca="false">IF($A499="","",_xlfn.XLOOKUP(LOWER(TRIM(Base_Bruta!N499)),DePara_Pais!$A$2:$A$9,DePara_Pais!$B$2:$B$9,"REVISAR"))</f>
        <v>Brasil</v>
      </c>
      <c r="P499" s="4" t="str">
        <f aca="false">IF($A499="","",IF(O499&lt;&gt;"Brasil","Turista Internacional",IF(M499=F499,"Local","Turista Nacional")))</f>
        <v>Local</v>
      </c>
      <c r="Q499" s="7" t="n">
        <f aca="false">IF($A499="","",DATE(YEAR(B499),MONTH(B499),1))</f>
        <v>45962</v>
      </c>
      <c r="R499" s="4" t="str">
        <f aca="false">IF($A499="","",IF(COUNTIF($A$2:$A499,$A499)&gt;1,"Sim","Não"))</f>
        <v>Não</v>
      </c>
      <c r="S499" s="4" t="str">
        <f aca="false">IF(A499="","Descartar - Linha vazia",IF(R499="Sim","Descartar - Duplicado",IF(OR(H499&lt;=0,I499&lt;=0),"Descartar - Qtd/Valor inválido","OK")))</f>
        <v>OK</v>
      </c>
      <c r="T499" s="4" t="str">
        <f aca="false">Base_Bruta!P499</f>
        <v>vendas_SP.xlsx</v>
      </c>
    </row>
    <row r="500" customFormat="false" ht="15" hidden="false" customHeight="false" outlineLevel="0" collapsed="false">
      <c r="A500" s="4" t="str">
        <f aca="false">IF(Base_Bruta!A500="","",Base_Bruta!A500)</f>
        <v>SP-000704</v>
      </c>
      <c r="B500" s="5" t="n">
        <f aca="false">IF($A500="","",IF(ISNUMBER(Base_Bruta!B500),Base_Bruta!B500,IF(MID(Base_Bruta!B500,5,1)="-",DATE(VALUE(LEFT(Base_Bruta!B500,4)),VALUE(MID(Base_Bruta!B500,6,2)),VALUE(RIGHT(Base_Bruta!B500,2))),DATE(VALUE(RIGHT(Base_Bruta!B500,4)),VALUE(MID(Base_Bruta!B500,4,2)),VALUE(LEFT(Base_Bruta!B500,2))))))</f>
        <v>45980</v>
      </c>
      <c r="C500" s="5" t="n">
        <f aca="false">IF($A500="","",IF(ISNUMBER(Base_Bruta!C500),Base_Bruta!C500,IF(MID(Base_Bruta!C500,5,1)="-",DATE(VALUE(LEFT(Base_Bruta!C500,4)),VALUE(MID(Base_Bruta!C500,6,2)),VALUE(RIGHT(Base_Bruta!C500,2))),DATE(VALUE(RIGHT(Base_Bruta!C500,4)),VALUE(MID(Base_Bruta!C500,4,2)),VALUE(LEFT(Base_Bruta!C500,2))))))</f>
        <v>45980</v>
      </c>
      <c r="D500" s="4" t="str">
        <f aca="false">IF($A500="","",TRIM(Base_Bruta!D500))</f>
        <v>Cinema Paulista - Sessões</v>
      </c>
      <c r="E500" s="4" t="str">
        <f aca="false">IF($A500="","",_xlfn.XLOOKUP(LOWER(TRIM(Base_Bruta!E500)),DePara_Categoria!$A$2:$A$9,DePara_Categoria!$B$2:$B$9,"REVISAR"))</f>
        <v>Cinema</v>
      </c>
      <c r="F500" s="4" t="str">
        <f aca="false">IF($A500="","",_xlfn.XLOOKUP(LOWER(TRIM(Base_Bruta!F500)),DePara_Cidade!$A$2:$A$29,DePara_Cidade!$B$2:$B$29,"REVISAR"))</f>
        <v>São Paulo</v>
      </c>
      <c r="G500" s="4" t="str">
        <f aca="false">IF($A500="","",TRIM(Base_Bruta!G500))</f>
        <v>Meia</v>
      </c>
      <c r="H500" s="4" t="n">
        <f aca="false">IF($A500="","",IF(ISNUMBER(Base_Bruta!H500),Base_Bruta!H500,IFERROR(_xlfn.NUMBERVALUE(TRIM(SUBSTITUTE(Base_Bruta!H500,"R$","")),",","."),0)))</f>
        <v>1</v>
      </c>
      <c r="I500" s="6" t="n">
        <f aca="false">IF($A500="","",IF(ISNUMBER(Base_Bruta!I500),Base_Bruta!I500,IFERROR(_xlfn.NUMBERVALUE(TRIM(SUBSTITUTE(Base_Bruta!I500,"R$","")),",","."),0)))</f>
        <v>17.5</v>
      </c>
      <c r="J500" s="6" t="n">
        <f aca="false">IF($A500="","",H500*I500)</f>
        <v>17.5</v>
      </c>
      <c r="K500" s="4" t="str">
        <f aca="false">IF($A500="","",TRIM(Base_Bruta!J500))</f>
        <v>Site</v>
      </c>
      <c r="L500" s="4" t="str">
        <f aca="false">IF($A500="","",TRIM(Base_Bruta!K500))</f>
        <v>C01518</v>
      </c>
      <c r="M500" s="4" t="str">
        <f aca="false">IF($A500="","",_xlfn.XLOOKUP(LOWER(TRIM(Base_Bruta!L500)),DePara_Cidade!$A$2:$A$29,DePara_Cidade!$B$2:$B$29,"REVISAR"))</f>
        <v>São Paulo</v>
      </c>
      <c r="N500" s="4" t="str">
        <f aca="false">IF($A500="","",UPPER(TRIM(Base_Bruta!M500)))</f>
        <v>SP</v>
      </c>
      <c r="O500" s="4" t="str">
        <f aca="false">IF($A500="","",_xlfn.XLOOKUP(LOWER(TRIM(Base_Bruta!N500)),DePara_Pais!$A$2:$A$9,DePara_Pais!$B$2:$B$9,"REVISAR"))</f>
        <v>Brasil</v>
      </c>
      <c r="P500" s="4" t="str">
        <f aca="false">IF($A500="","",IF(O500&lt;&gt;"Brasil","Turista Internacional",IF(M500=F500,"Local","Turista Nacional")))</f>
        <v>Local</v>
      </c>
      <c r="Q500" s="7" t="n">
        <f aca="false">IF($A500="","",DATE(YEAR(B500),MONTH(B500),1))</f>
        <v>45962</v>
      </c>
      <c r="R500" s="4" t="str">
        <f aca="false">IF($A500="","",IF(COUNTIF($A$2:$A500,$A500)&gt;1,"Sim","Não"))</f>
        <v>Não</v>
      </c>
      <c r="S500" s="4" t="str">
        <f aca="false">IF(A500="","Descartar - Linha vazia",IF(R500="Sim","Descartar - Duplicado",IF(OR(H500&lt;=0,I500&lt;=0),"Descartar - Qtd/Valor inválido","OK")))</f>
        <v>OK</v>
      </c>
      <c r="T500" s="4" t="str">
        <f aca="false">Base_Bruta!P500</f>
        <v>vendas_SP.xlsx</v>
      </c>
    </row>
    <row r="501" customFormat="false" ht="15" hidden="false" customHeight="false" outlineLevel="0" collapsed="false">
      <c r="A501" s="4" t="str">
        <f aca="false">IF(Base_Bruta!A501="","",Base_Bruta!A501)</f>
        <v>SP-000662</v>
      </c>
      <c r="B501" s="5" t="n">
        <f aca="false">IF($A501="","",IF(ISNUMBER(Base_Bruta!B501),Base_Bruta!B501,IF(MID(Base_Bruta!B501,5,1)="-",DATE(VALUE(LEFT(Base_Bruta!B501,4)),VALUE(MID(Base_Bruta!B501,6,2)),VALUE(RIGHT(Base_Bruta!B501,2))),DATE(VALUE(RIGHT(Base_Bruta!B501,4)),VALUE(MID(Base_Bruta!B501,4,2)),VALUE(LEFT(Base_Bruta!B501,2))))))</f>
        <v>45988</v>
      </c>
      <c r="C501" s="5" t="n">
        <f aca="false">IF($A501="","",IF(ISNUMBER(Base_Bruta!C501),Base_Bruta!C501,IF(MID(Base_Bruta!C501,5,1)="-",DATE(VALUE(LEFT(Base_Bruta!C501,4)),VALUE(MID(Base_Bruta!C501,6,2)),VALUE(RIGHT(Base_Bruta!C501,2))),DATE(VALUE(RIGHT(Base_Bruta!C501,4)),VALUE(MID(Base_Bruta!C501,4,2)),VALUE(LEFT(Base_Bruta!C501,2))))))</f>
        <v>45990</v>
      </c>
      <c r="D501" s="4" t="str">
        <f aca="false">IF($A501="","",TRIM(Base_Bruta!D501))</f>
        <v>Cinema Paulista - Sessões</v>
      </c>
      <c r="E501" s="4" t="str">
        <f aca="false">IF($A501="","",_xlfn.XLOOKUP(LOWER(TRIM(Base_Bruta!E501)),DePara_Categoria!$A$2:$A$9,DePara_Categoria!$B$2:$B$9,"REVISAR"))</f>
        <v>Cinema</v>
      </c>
      <c r="F501" s="4" t="str">
        <f aca="false">IF($A501="","",_xlfn.XLOOKUP(LOWER(TRIM(Base_Bruta!F501)),DePara_Cidade!$A$2:$A$29,DePara_Cidade!$B$2:$B$29,"REVISAR"))</f>
        <v>São Paulo</v>
      </c>
      <c r="G501" s="4" t="str">
        <f aca="false">IF($A501="","",TRIM(Base_Bruta!G501))</f>
        <v>Inteira</v>
      </c>
      <c r="H501" s="4" t="n">
        <f aca="false">IF($A501="","",IF(ISNUMBER(Base_Bruta!H501),Base_Bruta!H501,IFERROR(_xlfn.NUMBERVALUE(TRIM(SUBSTITUTE(Base_Bruta!H501,"R$","")),",","."),0)))</f>
        <v>2</v>
      </c>
      <c r="I501" s="6" t="n">
        <f aca="false">IF($A501="","",IF(ISNUMBER(Base_Bruta!I501),Base_Bruta!I501,IFERROR(_xlfn.NUMBERVALUE(TRIM(SUBSTITUTE(Base_Bruta!I501,"R$","")),",","."),0)))</f>
        <v>40</v>
      </c>
      <c r="J501" s="6" t="n">
        <f aca="false">IF($A501="","",H501*I501)</f>
        <v>80</v>
      </c>
      <c r="K501" s="4" t="str">
        <f aca="false">IF($A501="","",TRIM(Base_Bruta!J501))</f>
        <v>Bilheteria</v>
      </c>
      <c r="L501" s="4" t="str">
        <f aca="false">IF($A501="","",TRIM(Base_Bruta!K501))</f>
        <v>C00213</v>
      </c>
      <c r="M501" s="4" t="str">
        <f aca="false">IF($A501="","",_xlfn.XLOOKUP(LOWER(TRIM(Base_Bruta!L501)),DePara_Cidade!$A$2:$A$29,DePara_Cidade!$B$2:$B$29,"REVISAR"))</f>
        <v>São Paulo</v>
      </c>
      <c r="N501" s="4" t="str">
        <f aca="false">IF($A501="","",UPPER(TRIM(Base_Bruta!M501)))</f>
        <v>SP</v>
      </c>
      <c r="O501" s="4" t="str">
        <f aca="false">IF($A501="","",_xlfn.XLOOKUP(LOWER(TRIM(Base_Bruta!N501)),DePara_Pais!$A$2:$A$9,DePara_Pais!$B$2:$B$9,"REVISAR"))</f>
        <v>Brasil</v>
      </c>
      <c r="P501" s="4" t="str">
        <f aca="false">IF($A501="","",IF(O501&lt;&gt;"Brasil","Turista Internacional",IF(M501=F501,"Local","Turista Nacional")))</f>
        <v>Local</v>
      </c>
      <c r="Q501" s="7" t="n">
        <f aca="false">IF($A501="","",DATE(YEAR(B501),MONTH(B501),1))</f>
        <v>45962</v>
      </c>
      <c r="R501" s="4" t="str">
        <f aca="false">IF($A501="","",IF(COUNTIF($A$2:$A501,$A501)&gt;1,"Sim","Não"))</f>
        <v>Não</v>
      </c>
      <c r="S501" s="4" t="str">
        <f aca="false">IF(A501="","Descartar - Linha vazia",IF(R501="Sim","Descartar - Duplicado",IF(OR(H501&lt;=0,I501&lt;=0),"Descartar - Qtd/Valor inválido","OK")))</f>
        <v>OK</v>
      </c>
      <c r="T501" s="4" t="str">
        <f aca="false">Base_Bruta!P501</f>
        <v>vendas_SP.xlsx</v>
      </c>
    </row>
    <row r="502" customFormat="false" ht="15" hidden="false" customHeight="false" outlineLevel="0" collapsed="false">
      <c r="A502" s="4" t="str">
        <f aca="false">IF(Base_Bruta!A502="","",Base_Bruta!A502)</f>
        <v>SP-000631</v>
      </c>
      <c r="B502" s="5" t="n">
        <f aca="false">IF($A502="","",IF(ISNUMBER(Base_Bruta!B502),Base_Bruta!B502,IF(MID(Base_Bruta!B502,5,1)="-",DATE(VALUE(LEFT(Base_Bruta!B502,4)),VALUE(MID(Base_Bruta!B502,6,2)),VALUE(RIGHT(Base_Bruta!B502,2))),DATE(VALUE(RIGHT(Base_Bruta!B502,4)),VALUE(MID(Base_Bruta!B502,4,2)),VALUE(LEFT(Base_Bruta!B502,2))))))</f>
        <v>45995</v>
      </c>
      <c r="C502" s="5" t="n">
        <f aca="false">IF($A502="","",IF(ISNUMBER(Base_Bruta!C502),Base_Bruta!C502,IF(MID(Base_Bruta!C502,5,1)="-",DATE(VALUE(LEFT(Base_Bruta!C502,4)),VALUE(MID(Base_Bruta!C502,6,2)),VALUE(RIGHT(Base_Bruta!C502,2))),DATE(VALUE(RIGHT(Base_Bruta!C502,4)),VALUE(MID(Base_Bruta!C502,4,2)),VALUE(LEFT(Base_Bruta!C502,2))))))</f>
        <v>45998</v>
      </c>
      <c r="D502" s="4" t="str">
        <f aca="false">IF($A502="","",TRIM(Base_Bruta!D502))</f>
        <v>Cinema Paulista - Sessões</v>
      </c>
      <c r="E502" s="4" t="str">
        <f aca="false">IF($A502="","",_xlfn.XLOOKUP(LOWER(TRIM(Base_Bruta!E502)),DePara_Categoria!$A$2:$A$9,DePara_Categoria!$B$2:$B$9,"REVISAR"))</f>
        <v>Cinema</v>
      </c>
      <c r="F502" s="4" t="str">
        <f aca="false">IF($A502="","",_xlfn.XLOOKUP(LOWER(TRIM(Base_Bruta!F502)),DePara_Cidade!$A$2:$A$29,DePara_Cidade!$B$2:$B$29,"REVISAR"))</f>
        <v>São Paulo</v>
      </c>
      <c r="G502" s="4" t="str">
        <f aca="false">IF($A502="","",TRIM(Base_Bruta!G502))</f>
        <v>Meia</v>
      </c>
      <c r="H502" s="4" t="n">
        <f aca="false">IF($A502="","",IF(ISNUMBER(Base_Bruta!H502),Base_Bruta!H502,IFERROR(_xlfn.NUMBERVALUE(TRIM(SUBSTITUTE(Base_Bruta!H502,"R$","")),",","."),0)))</f>
        <v>1</v>
      </c>
      <c r="I502" s="6" t="n">
        <f aca="false">IF($A502="","",IF(ISNUMBER(Base_Bruta!I502),Base_Bruta!I502,IFERROR(_xlfn.NUMBERVALUE(TRIM(SUBSTITUTE(Base_Bruta!I502,"R$","")),",","."),0)))</f>
        <v>15</v>
      </c>
      <c r="J502" s="6" t="n">
        <f aca="false">IF($A502="","",H502*I502)</f>
        <v>15</v>
      </c>
      <c r="K502" s="4" t="str">
        <f aca="false">IF($A502="","",TRIM(Base_Bruta!J502))</f>
        <v>Bilheteria</v>
      </c>
      <c r="L502" s="4" t="str">
        <f aca="false">IF($A502="","",TRIM(Base_Bruta!K502))</f>
        <v>C00738</v>
      </c>
      <c r="M502" s="4" t="str">
        <f aca="false">IF($A502="","",_xlfn.XLOOKUP(LOWER(TRIM(Base_Bruta!L502)),DePara_Cidade!$A$2:$A$29,DePara_Cidade!$B$2:$B$29,"REVISAR"))</f>
        <v>São Paulo</v>
      </c>
      <c r="N502" s="4" t="str">
        <f aca="false">IF($A502="","",UPPER(TRIM(Base_Bruta!M502)))</f>
        <v>SP</v>
      </c>
      <c r="O502" s="4" t="str">
        <f aca="false">IF($A502="","",_xlfn.XLOOKUP(LOWER(TRIM(Base_Bruta!N502)),DePara_Pais!$A$2:$A$9,DePara_Pais!$B$2:$B$9,"REVISAR"))</f>
        <v>Brasil</v>
      </c>
      <c r="P502" s="4" t="str">
        <f aca="false">IF($A502="","",IF(O502&lt;&gt;"Brasil","Turista Internacional",IF(M502=F502,"Local","Turista Nacional")))</f>
        <v>Local</v>
      </c>
      <c r="Q502" s="7" t="n">
        <f aca="false">IF($A502="","",DATE(YEAR(B502),MONTH(B502),1))</f>
        <v>45992</v>
      </c>
      <c r="R502" s="4" t="str">
        <f aca="false">IF($A502="","",IF(COUNTIF($A$2:$A502,$A502)&gt;1,"Sim","Não"))</f>
        <v>Não</v>
      </c>
      <c r="S502" s="4" t="str">
        <f aca="false">IF(A502="","Descartar - Linha vazia",IF(R502="Sim","Descartar - Duplicado",IF(OR(H502&lt;=0,I502&lt;=0),"Descartar - Qtd/Valor inválido","OK")))</f>
        <v>OK</v>
      </c>
      <c r="T502" s="4" t="str">
        <f aca="false">Base_Bruta!P502</f>
        <v>vendas_SP.xlsx</v>
      </c>
    </row>
    <row r="503" customFormat="false" ht="15" hidden="false" customHeight="false" outlineLevel="0" collapsed="false">
      <c r="A503" s="4" t="str">
        <f aca="false">IF(Base_Bruta!A503="","",Base_Bruta!A503)</f>
        <v>SP-000763</v>
      </c>
      <c r="B503" s="5" t="n">
        <f aca="false">IF($A503="","",IF(ISNUMBER(Base_Bruta!B503),Base_Bruta!B503,IF(MID(Base_Bruta!B503,5,1)="-",DATE(VALUE(LEFT(Base_Bruta!B503,4)),VALUE(MID(Base_Bruta!B503,6,2)),VALUE(RIGHT(Base_Bruta!B503,2))),DATE(VALUE(RIGHT(Base_Bruta!B503,4)),VALUE(MID(Base_Bruta!B503,4,2)),VALUE(LEFT(Base_Bruta!B503,2))))))</f>
        <v>45995</v>
      </c>
      <c r="C503" s="5" t="n">
        <f aca="false">IF($A503="","",IF(ISNUMBER(Base_Bruta!C503),Base_Bruta!C503,IF(MID(Base_Bruta!C503,5,1)="-",DATE(VALUE(LEFT(Base_Bruta!C503,4)),VALUE(MID(Base_Bruta!C503,6,2)),VALUE(RIGHT(Base_Bruta!C503,2))),DATE(VALUE(RIGHT(Base_Bruta!C503,4)),VALUE(MID(Base_Bruta!C503,4,2)),VALUE(LEFT(Base_Bruta!C503,2))))))</f>
        <v>45997</v>
      </c>
      <c r="D503" s="4" t="str">
        <f aca="false">IF($A503="","",TRIM(Base_Bruta!D503))</f>
        <v>Cinema Paulista - Sessões</v>
      </c>
      <c r="E503" s="4" t="str">
        <f aca="false">IF($A503="","",_xlfn.XLOOKUP(LOWER(TRIM(Base_Bruta!E503)),DePara_Categoria!$A$2:$A$9,DePara_Categoria!$B$2:$B$9,"REVISAR"))</f>
        <v>Cinema</v>
      </c>
      <c r="F503" s="4" t="str">
        <f aca="false">IF($A503="","",_xlfn.XLOOKUP(LOWER(TRIM(Base_Bruta!F503)),DePara_Cidade!$A$2:$A$29,DePara_Cidade!$B$2:$B$29,"REVISAR"))</f>
        <v>São Paulo</v>
      </c>
      <c r="G503" s="4" t="str">
        <f aca="false">IF($A503="","",TRIM(Base_Bruta!G503))</f>
        <v>Inteira</v>
      </c>
      <c r="H503" s="4" t="n">
        <f aca="false">IF($A503="","",IF(ISNUMBER(Base_Bruta!H503),Base_Bruta!H503,IFERROR(_xlfn.NUMBERVALUE(TRIM(SUBSTITUTE(Base_Bruta!H503,"R$","")),",","."),0)))</f>
        <v>1</v>
      </c>
      <c r="I503" s="6" t="n">
        <f aca="false">IF($A503="","",IF(ISNUMBER(Base_Bruta!I503),Base_Bruta!I503,IFERROR(_xlfn.NUMBERVALUE(TRIM(SUBSTITUTE(Base_Bruta!I503,"R$","")),",","."),0)))</f>
        <v>45</v>
      </c>
      <c r="J503" s="6" t="n">
        <f aca="false">IF($A503="","",H503*I503)</f>
        <v>45</v>
      </c>
      <c r="K503" s="4" t="str">
        <f aca="false">IF($A503="","",TRIM(Base_Bruta!J503))</f>
        <v>Site</v>
      </c>
      <c r="L503" s="4" t="str">
        <f aca="false">IF($A503="","",TRIM(Base_Bruta!K503))</f>
        <v>C01748</v>
      </c>
      <c r="M503" s="4" t="str">
        <f aca="false">IF($A503="","",_xlfn.XLOOKUP(LOWER(TRIM(Base_Bruta!L503)),DePara_Cidade!$A$2:$A$29,DePara_Cidade!$B$2:$B$29,"REVISAR"))</f>
        <v>São Paulo</v>
      </c>
      <c r="N503" s="4" t="str">
        <f aca="false">IF($A503="","",UPPER(TRIM(Base_Bruta!M503)))</f>
        <v>SP</v>
      </c>
      <c r="O503" s="4" t="str">
        <f aca="false">IF($A503="","",_xlfn.XLOOKUP(LOWER(TRIM(Base_Bruta!N503)),DePara_Pais!$A$2:$A$9,DePara_Pais!$B$2:$B$9,"REVISAR"))</f>
        <v>Brasil</v>
      </c>
      <c r="P503" s="4" t="str">
        <f aca="false">IF($A503="","",IF(O503&lt;&gt;"Brasil","Turista Internacional",IF(M503=F503,"Local","Turista Nacional")))</f>
        <v>Local</v>
      </c>
      <c r="Q503" s="7" t="n">
        <f aca="false">IF($A503="","",DATE(YEAR(B503),MONTH(B503),1))</f>
        <v>45992</v>
      </c>
      <c r="R503" s="4" t="str">
        <f aca="false">IF($A503="","",IF(COUNTIF($A$2:$A503,$A503)&gt;1,"Sim","Não"))</f>
        <v>Não</v>
      </c>
      <c r="S503" s="4" t="str">
        <f aca="false">IF(A503="","Descartar - Linha vazia",IF(R503="Sim","Descartar - Duplicado",IF(OR(H503&lt;=0,I503&lt;=0),"Descartar - Qtd/Valor inválido","OK")))</f>
        <v>OK</v>
      </c>
      <c r="T503" s="4" t="str">
        <f aca="false">Base_Bruta!P503</f>
        <v>vendas_SP.xlsx</v>
      </c>
    </row>
    <row r="504" customFormat="false" ht="15" hidden="false" customHeight="false" outlineLevel="0" collapsed="false">
      <c r="A504" s="4" t="str">
        <f aca="false">IF(Base_Bruta!A504="","",Base_Bruta!A504)</f>
        <v>SP-000741</v>
      </c>
      <c r="B504" s="5" t="n">
        <f aca="false">IF($A504="","",IF(ISNUMBER(Base_Bruta!B504),Base_Bruta!B504,IF(MID(Base_Bruta!B504,5,1)="-",DATE(VALUE(LEFT(Base_Bruta!B504,4)),VALUE(MID(Base_Bruta!B504,6,2)),VALUE(RIGHT(Base_Bruta!B504,2))),DATE(VALUE(RIGHT(Base_Bruta!B504,4)),VALUE(MID(Base_Bruta!B504,4,2)),VALUE(LEFT(Base_Bruta!B504,2))))))</f>
        <v>45996</v>
      </c>
      <c r="C504" s="5" t="n">
        <f aca="false">IF($A504="","",IF(ISNUMBER(Base_Bruta!C504),Base_Bruta!C504,IF(MID(Base_Bruta!C504,5,1)="-",DATE(VALUE(LEFT(Base_Bruta!C504,4)),VALUE(MID(Base_Bruta!C504,6,2)),VALUE(RIGHT(Base_Bruta!C504,2))),DATE(VALUE(RIGHT(Base_Bruta!C504,4)),VALUE(MID(Base_Bruta!C504,4,2)),VALUE(LEFT(Base_Bruta!C504,2))))))</f>
        <v>45998</v>
      </c>
      <c r="D504" s="4" t="str">
        <f aca="false">IF($A504="","",TRIM(Base_Bruta!D504))</f>
        <v>Cinema Paulista - Sessões</v>
      </c>
      <c r="E504" s="4" t="str">
        <f aca="false">IF($A504="","",_xlfn.XLOOKUP(LOWER(TRIM(Base_Bruta!E504)),DePara_Categoria!$A$2:$A$9,DePara_Categoria!$B$2:$B$9,"REVISAR"))</f>
        <v>Cinema</v>
      </c>
      <c r="F504" s="4" t="str">
        <f aca="false">IF($A504="","",_xlfn.XLOOKUP(LOWER(TRIM(Base_Bruta!F504)),DePara_Cidade!$A$2:$A$29,DePara_Cidade!$B$2:$B$29,"REVISAR"))</f>
        <v>São Paulo</v>
      </c>
      <c r="G504" s="4" t="str">
        <f aca="false">IF($A504="","",TRIM(Base_Bruta!G504))</f>
        <v>Meia</v>
      </c>
      <c r="H504" s="4" t="n">
        <f aca="false">IF($A504="","",IF(ISNUMBER(Base_Bruta!H504),Base_Bruta!H504,IFERROR(_xlfn.NUMBERVALUE(TRIM(SUBSTITUTE(Base_Bruta!H504,"R$","")),",","."),0)))</f>
        <v>1</v>
      </c>
      <c r="I504" s="6" t="n">
        <f aca="false">IF($A504="","",IF(ISNUMBER(Base_Bruta!I504),Base_Bruta!I504,IFERROR(_xlfn.NUMBERVALUE(TRIM(SUBSTITUTE(Base_Bruta!I504,"R$","")),",","."),0)))</f>
        <v>20</v>
      </c>
      <c r="J504" s="6" t="n">
        <f aca="false">IF($A504="","",H504*I504)</f>
        <v>20</v>
      </c>
      <c r="K504" s="4" t="str">
        <f aca="false">IF($A504="","",TRIM(Base_Bruta!J504))</f>
        <v>Parceiro</v>
      </c>
      <c r="L504" s="4" t="str">
        <f aca="false">IF($A504="","",TRIM(Base_Bruta!K504))</f>
        <v>C01708</v>
      </c>
      <c r="M504" s="4" t="str">
        <f aca="false">IF($A504="","",_xlfn.XLOOKUP(LOWER(TRIM(Base_Bruta!L504)),DePara_Cidade!$A$2:$A$29,DePara_Cidade!$B$2:$B$29,"REVISAR"))</f>
        <v>São Paulo</v>
      </c>
      <c r="N504" s="4" t="str">
        <f aca="false">IF($A504="","",UPPER(TRIM(Base_Bruta!M504)))</f>
        <v>SP</v>
      </c>
      <c r="O504" s="4" t="str">
        <f aca="false">IF($A504="","",_xlfn.XLOOKUP(LOWER(TRIM(Base_Bruta!N504)),DePara_Pais!$A$2:$A$9,DePara_Pais!$B$2:$B$9,"REVISAR"))</f>
        <v>Brasil</v>
      </c>
      <c r="P504" s="4" t="str">
        <f aca="false">IF($A504="","",IF(O504&lt;&gt;"Brasil","Turista Internacional",IF(M504=F504,"Local","Turista Nacional")))</f>
        <v>Local</v>
      </c>
      <c r="Q504" s="7" t="n">
        <f aca="false">IF($A504="","",DATE(YEAR(B504),MONTH(B504),1))</f>
        <v>45992</v>
      </c>
      <c r="R504" s="4" t="str">
        <f aca="false">IF($A504="","",IF(COUNTIF($A$2:$A504,$A504)&gt;1,"Sim","Não"))</f>
        <v>Não</v>
      </c>
      <c r="S504" s="4" t="str">
        <f aca="false">IF(A504="","Descartar - Linha vazia",IF(R504="Sim","Descartar - Duplicado",IF(OR(H504&lt;=0,I504&lt;=0),"Descartar - Qtd/Valor inválido","OK")))</f>
        <v>OK</v>
      </c>
      <c r="T504" s="4" t="str">
        <f aca="false">Base_Bruta!P504</f>
        <v>vendas_SP.xlsx</v>
      </c>
    </row>
    <row r="505" customFormat="false" ht="15" hidden="false" customHeight="false" outlineLevel="0" collapsed="false">
      <c r="A505" s="4" t="str">
        <f aca="false">IF(Base_Bruta!A505="","",Base_Bruta!A505)</f>
        <v>SP-000709</v>
      </c>
      <c r="B505" s="5" t="n">
        <f aca="false">IF($A505="","",IF(ISNUMBER(Base_Bruta!B505),Base_Bruta!B505,IF(MID(Base_Bruta!B505,5,1)="-",DATE(VALUE(LEFT(Base_Bruta!B505,4)),VALUE(MID(Base_Bruta!B505,6,2)),VALUE(RIGHT(Base_Bruta!B505,2))),DATE(VALUE(RIGHT(Base_Bruta!B505,4)),VALUE(MID(Base_Bruta!B505,4,2)),VALUE(LEFT(Base_Bruta!B505,2))))))</f>
        <v>45998</v>
      </c>
      <c r="C505" s="5" t="n">
        <f aca="false">IF($A505="","",IF(ISNUMBER(Base_Bruta!C505),Base_Bruta!C505,IF(MID(Base_Bruta!C505,5,1)="-",DATE(VALUE(LEFT(Base_Bruta!C505,4)),VALUE(MID(Base_Bruta!C505,6,2)),VALUE(RIGHT(Base_Bruta!C505,2))),DATE(VALUE(RIGHT(Base_Bruta!C505,4)),VALUE(MID(Base_Bruta!C505,4,2)),VALUE(LEFT(Base_Bruta!C505,2))))))</f>
        <v>45999</v>
      </c>
      <c r="D505" s="4" t="str">
        <f aca="false">IF($A505="","",TRIM(Base_Bruta!D505))</f>
        <v>Cinema Paulista - Sessões</v>
      </c>
      <c r="E505" s="4" t="str">
        <f aca="false">IF($A505="","",_xlfn.XLOOKUP(LOWER(TRIM(Base_Bruta!E505)),DePara_Categoria!$A$2:$A$9,DePara_Categoria!$B$2:$B$9,"REVISAR"))</f>
        <v>Cinema</v>
      </c>
      <c r="F505" s="4" t="str">
        <f aca="false">IF($A505="","",_xlfn.XLOOKUP(LOWER(TRIM(Base_Bruta!F505)),DePara_Cidade!$A$2:$A$29,DePara_Cidade!$B$2:$B$29,"REVISAR"))</f>
        <v>São Paulo</v>
      </c>
      <c r="G505" s="4" t="str">
        <f aca="false">IF($A505="","",TRIM(Base_Bruta!G505))</f>
        <v>Inteira</v>
      </c>
      <c r="H505" s="4" t="n">
        <f aca="false">IF($A505="","",IF(ISNUMBER(Base_Bruta!H505),Base_Bruta!H505,IFERROR(_xlfn.NUMBERVALUE(TRIM(SUBSTITUTE(Base_Bruta!H505,"R$","")),",","."),0)))</f>
        <v>2</v>
      </c>
      <c r="I505" s="6" t="n">
        <f aca="false">IF($A505="","",IF(ISNUMBER(Base_Bruta!I505),Base_Bruta!I505,IFERROR(_xlfn.NUMBERVALUE(TRIM(SUBSTITUTE(Base_Bruta!I505,"R$","")),",","."),0)))</f>
        <v>30</v>
      </c>
      <c r="J505" s="6" t="n">
        <f aca="false">IF($A505="","",H505*I505)</f>
        <v>60</v>
      </c>
      <c r="K505" s="4" t="str">
        <f aca="false">IF($A505="","",TRIM(Base_Bruta!J505))</f>
        <v>Site</v>
      </c>
      <c r="L505" s="4" t="str">
        <f aca="false">IF($A505="","",TRIM(Base_Bruta!K505))</f>
        <v>C00552</v>
      </c>
      <c r="M505" s="4" t="str">
        <f aca="false">IF($A505="","",_xlfn.XLOOKUP(LOWER(TRIM(Base_Bruta!L505)),DePara_Cidade!$A$2:$A$29,DePara_Cidade!$B$2:$B$29,"REVISAR"))</f>
        <v>São Paulo</v>
      </c>
      <c r="N505" s="4" t="str">
        <f aca="false">IF($A505="","",UPPER(TRIM(Base_Bruta!M505)))</f>
        <v>SP</v>
      </c>
      <c r="O505" s="4" t="str">
        <f aca="false">IF($A505="","",_xlfn.XLOOKUP(LOWER(TRIM(Base_Bruta!N505)),DePara_Pais!$A$2:$A$9,DePara_Pais!$B$2:$B$9,"REVISAR"))</f>
        <v>Brasil</v>
      </c>
      <c r="P505" s="4" t="str">
        <f aca="false">IF($A505="","",IF(O505&lt;&gt;"Brasil","Turista Internacional",IF(M505=F505,"Local","Turista Nacional")))</f>
        <v>Local</v>
      </c>
      <c r="Q505" s="7" t="n">
        <f aca="false">IF($A505="","",DATE(YEAR(B505),MONTH(B505),1))</f>
        <v>45992</v>
      </c>
      <c r="R505" s="4" t="str">
        <f aca="false">IF($A505="","",IF(COUNTIF($A$2:$A505,$A505)&gt;1,"Sim","Não"))</f>
        <v>Não</v>
      </c>
      <c r="S505" s="4" t="str">
        <f aca="false">IF(A505="","Descartar - Linha vazia",IF(R505="Sim","Descartar - Duplicado",IF(OR(H505&lt;=0,I505&lt;=0),"Descartar - Qtd/Valor inválido","OK")))</f>
        <v>OK</v>
      </c>
      <c r="T505" s="4" t="str">
        <f aca="false">Base_Bruta!P505</f>
        <v>vendas_SP.xlsx</v>
      </c>
    </row>
    <row r="506" customFormat="false" ht="15" hidden="false" customHeight="false" outlineLevel="0" collapsed="false">
      <c r="A506" s="4" t="str">
        <f aca="false">IF(Base_Bruta!A506="","",Base_Bruta!A506)</f>
        <v>SP-000660</v>
      </c>
      <c r="B506" s="5" t="n">
        <f aca="false">IF($A506="","",IF(ISNUMBER(Base_Bruta!B506),Base_Bruta!B506,IF(MID(Base_Bruta!B506,5,1)="-",DATE(VALUE(LEFT(Base_Bruta!B506,4)),VALUE(MID(Base_Bruta!B506,6,2)),VALUE(RIGHT(Base_Bruta!B506,2))),DATE(VALUE(RIGHT(Base_Bruta!B506,4)),VALUE(MID(Base_Bruta!B506,4,2)),VALUE(LEFT(Base_Bruta!B506,2))))))</f>
        <v>46004</v>
      </c>
      <c r="C506" s="5" t="n">
        <f aca="false">IF($A506="","",IF(ISNUMBER(Base_Bruta!C506),Base_Bruta!C506,IF(MID(Base_Bruta!C506,5,1)="-",DATE(VALUE(LEFT(Base_Bruta!C506,4)),VALUE(MID(Base_Bruta!C506,6,2)),VALUE(RIGHT(Base_Bruta!C506,2))),DATE(VALUE(RIGHT(Base_Bruta!C506,4)),VALUE(MID(Base_Bruta!C506,4,2)),VALUE(LEFT(Base_Bruta!C506,2))))))</f>
        <v>46007</v>
      </c>
      <c r="D506" s="4" t="str">
        <f aca="false">IF($A506="","",TRIM(Base_Bruta!D506))</f>
        <v>Cinema Paulista - Sessões</v>
      </c>
      <c r="E506" s="4" t="str">
        <f aca="false">IF($A506="","",_xlfn.XLOOKUP(LOWER(TRIM(Base_Bruta!E506)),DePara_Categoria!$A$2:$A$9,DePara_Categoria!$B$2:$B$9,"REVISAR"))</f>
        <v>Cinema</v>
      </c>
      <c r="F506" s="4" t="str">
        <f aca="false">IF($A506="","",_xlfn.XLOOKUP(LOWER(TRIM(Base_Bruta!F506)),DePara_Cidade!$A$2:$A$29,DePara_Cidade!$B$2:$B$29,"REVISAR"))</f>
        <v>São Paulo</v>
      </c>
      <c r="G506" s="4" t="str">
        <f aca="false">IF($A506="","",TRIM(Base_Bruta!G506))</f>
        <v>Inteira</v>
      </c>
      <c r="H506" s="4" t="n">
        <f aca="false">IF($A506="","",IF(ISNUMBER(Base_Bruta!H506),Base_Bruta!H506,IFERROR(_xlfn.NUMBERVALUE(TRIM(SUBSTITUTE(Base_Bruta!H506,"R$","")),",","."),0)))</f>
        <v>4</v>
      </c>
      <c r="I506" s="6" t="n">
        <f aca="false">IF($A506="","",IF(ISNUMBER(Base_Bruta!I506),Base_Bruta!I506,IFERROR(_xlfn.NUMBERVALUE(TRIM(SUBSTITUTE(Base_Bruta!I506,"R$","")),",","."),0)))</f>
        <v>35</v>
      </c>
      <c r="J506" s="6" t="n">
        <f aca="false">IF($A506="","",H506*I506)</f>
        <v>140</v>
      </c>
      <c r="K506" s="4" t="str">
        <f aca="false">IF($A506="","",TRIM(Base_Bruta!J506))</f>
        <v>Site</v>
      </c>
      <c r="L506" s="4" t="str">
        <f aca="false">IF($A506="","",TRIM(Base_Bruta!K506))</f>
        <v>C01761</v>
      </c>
      <c r="M506" s="4" t="str">
        <f aca="false">IF($A506="","",_xlfn.XLOOKUP(LOWER(TRIM(Base_Bruta!L506)),DePara_Cidade!$A$2:$A$29,DePara_Cidade!$B$2:$B$29,"REVISAR"))</f>
        <v>São Paulo</v>
      </c>
      <c r="N506" s="4" t="str">
        <f aca="false">IF($A506="","",UPPER(TRIM(Base_Bruta!M506)))</f>
        <v>SP</v>
      </c>
      <c r="O506" s="4" t="str">
        <f aca="false">IF($A506="","",_xlfn.XLOOKUP(LOWER(TRIM(Base_Bruta!N506)),DePara_Pais!$A$2:$A$9,DePara_Pais!$B$2:$B$9,"REVISAR"))</f>
        <v>Brasil</v>
      </c>
      <c r="P506" s="4" t="str">
        <f aca="false">IF($A506="","",IF(O506&lt;&gt;"Brasil","Turista Internacional",IF(M506=F506,"Local","Turista Nacional")))</f>
        <v>Local</v>
      </c>
      <c r="Q506" s="7" t="n">
        <f aca="false">IF($A506="","",DATE(YEAR(B506),MONTH(B506),1))</f>
        <v>45992</v>
      </c>
      <c r="R506" s="4" t="str">
        <f aca="false">IF($A506="","",IF(COUNTIF($A$2:$A506,$A506)&gt;1,"Sim","Não"))</f>
        <v>Não</v>
      </c>
      <c r="S506" s="4" t="str">
        <f aca="false">IF(A506="","Descartar - Linha vazia",IF(R506="Sim","Descartar - Duplicado",IF(OR(H506&lt;=0,I506&lt;=0),"Descartar - Qtd/Valor inválido","OK")))</f>
        <v>OK</v>
      </c>
      <c r="T506" s="4" t="str">
        <f aca="false">Base_Bruta!P506</f>
        <v>vendas_SP.xlsx</v>
      </c>
    </row>
    <row r="507" customFormat="false" ht="15" hidden="false" customHeight="false" outlineLevel="0" collapsed="false">
      <c r="A507" s="4" t="str">
        <f aca="false">IF(Base_Bruta!A507="","",Base_Bruta!A507)</f>
        <v>SP-000758</v>
      </c>
      <c r="B507" s="5" t="n">
        <f aca="false">IF($A507="","",IF(ISNUMBER(Base_Bruta!B507),Base_Bruta!B507,IF(MID(Base_Bruta!B507,5,1)="-",DATE(VALUE(LEFT(Base_Bruta!B507,4)),VALUE(MID(Base_Bruta!B507,6,2)),VALUE(RIGHT(Base_Bruta!B507,2))),DATE(VALUE(RIGHT(Base_Bruta!B507,4)),VALUE(MID(Base_Bruta!B507,4,2)),VALUE(LEFT(Base_Bruta!B507,2))))))</f>
        <v>46008</v>
      </c>
      <c r="C507" s="5" t="n">
        <f aca="false">IF($A507="","",IF(ISNUMBER(Base_Bruta!C507),Base_Bruta!C507,IF(MID(Base_Bruta!C507,5,1)="-",DATE(VALUE(LEFT(Base_Bruta!C507,4)),VALUE(MID(Base_Bruta!C507,6,2)),VALUE(RIGHT(Base_Bruta!C507,2))),DATE(VALUE(RIGHT(Base_Bruta!C507,4)),VALUE(MID(Base_Bruta!C507,4,2)),VALUE(LEFT(Base_Bruta!C507,2))))))</f>
        <v>46009</v>
      </c>
      <c r="D507" s="4" t="str">
        <f aca="false">IF($A507="","",TRIM(Base_Bruta!D507))</f>
        <v>Cinema Paulista - Sessões</v>
      </c>
      <c r="E507" s="4" t="str">
        <f aca="false">IF($A507="","",_xlfn.XLOOKUP(LOWER(TRIM(Base_Bruta!E507)),DePara_Categoria!$A$2:$A$9,DePara_Categoria!$B$2:$B$9,"REVISAR"))</f>
        <v>Cinema</v>
      </c>
      <c r="F507" s="4" t="str">
        <f aca="false">IF($A507="","",_xlfn.XLOOKUP(LOWER(TRIM(Base_Bruta!F507)),DePara_Cidade!$A$2:$A$29,DePara_Cidade!$B$2:$B$29,"REVISAR"))</f>
        <v>São Paulo</v>
      </c>
      <c r="G507" s="4" t="str">
        <f aca="false">IF($A507="","",TRIM(Base_Bruta!G507))</f>
        <v>Inteira</v>
      </c>
      <c r="H507" s="4" t="n">
        <f aca="false">IF($A507="","",IF(ISNUMBER(Base_Bruta!H507),Base_Bruta!H507,IFERROR(_xlfn.NUMBERVALUE(TRIM(SUBSTITUTE(Base_Bruta!H507,"R$","")),",","."),0)))</f>
        <v>4</v>
      </c>
      <c r="I507" s="6" t="n">
        <f aca="false">IF($A507="","",IF(ISNUMBER(Base_Bruta!I507),Base_Bruta!I507,IFERROR(_xlfn.NUMBERVALUE(TRIM(SUBSTITUTE(Base_Bruta!I507,"R$","")),",","."),0)))</f>
        <v>35</v>
      </c>
      <c r="J507" s="6" t="n">
        <f aca="false">IF($A507="","",H507*I507)</f>
        <v>140</v>
      </c>
      <c r="K507" s="4" t="str">
        <f aca="false">IF($A507="","",TRIM(Base_Bruta!J507))</f>
        <v>App</v>
      </c>
      <c r="L507" s="4" t="str">
        <f aca="false">IF($A507="","",TRIM(Base_Bruta!K507))</f>
        <v>C02308</v>
      </c>
      <c r="M507" s="4" t="str">
        <f aca="false">IF($A507="","",_xlfn.XLOOKUP(LOWER(TRIM(Base_Bruta!L507)),DePara_Cidade!$A$2:$A$29,DePara_Cidade!$B$2:$B$29,"REVISAR"))</f>
        <v>São Paulo</v>
      </c>
      <c r="N507" s="4" t="str">
        <f aca="false">IF($A507="","",UPPER(TRIM(Base_Bruta!M507)))</f>
        <v>SP</v>
      </c>
      <c r="O507" s="4" t="str">
        <f aca="false">IF($A507="","",_xlfn.XLOOKUP(LOWER(TRIM(Base_Bruta!N507)),DePara_Pais!$A$2:$A$9,DePara_Pais!$B$2:$B$9,"REVISAR"))</f>
        <v>Brasil</v>
      </c>
      <c r="P507" s="4" t="str">
        <f aca="false">IF($A507="","",IF(O507&lt;&gt;"Brasil","Turista Internacional",IF(M507=F507,"Local","Turista Nacional")))</f>
        <v>Local</v>
      </c>
      <c r="Q507" s="7" t="n">
        <f aca="false">IF($A507="","",DATE(YEAR(B507),MONTH(B507),1))</f>
        <v>45992</v>
      </c>
      <c r="R507" s="4" t="str">
        <f aca="false">IF($A507="","",IF(COUNTIF($A$2:$A507,$A507)&gt;1,"Sim","Não"))</f>
        <v>Não</v>
      </c>
      <c r="S507" s="4" t="str">
        <f aca="false">IF(A507="","Descartar - Linha vazia",IF(R507="Sim","Descartar - Duplicado",IF(OR(H507&lt;=0,I507&lt;=0),"Descartar - Qtd/Valor inválido","OK")))</f>
        <v>OK</v>
      </c>
      <c r="T507" s="4" t="str">
        <f aca="false">Base_Bruta!P507</f>
        <v>vendas_SP.xlsx</v>
      </c>
    </row>
    <row r="508" customFormat="false" ht="15" hidden="false" customHeight="false" outlineLevel="0" collapsed="false">
      <c r="A508" s="4" t="str">
        <f aca="false">IF(Base_Bruta!A508="","",Base_Bruta!A508)</f>
        <v>SP-000716</v>
      </c>
      <c r="B508" s="5" t="n">
        <f aca="false">IF($A508="","",IF(ISNUMBER(Base_Bruta!B508),Base_Bruta!B508,IF(MID(Base_Bruta!B508,5,1)="-",DATE(VALUE(LEFT(Base_Bruta!B508,4)),VALUE(MID(Base_Bruta!B508,6,2)),VALUE(RIGHT(Base_Bruta!B508,2))),DATE(VALUE(RIGHT(Base_Bruta!B508,4)),VALUE(MID(Base_Bruta!B508,4,2)),VALUE(LEFT(Base_Bruta!B508,2))))))</f>
        <v>46009</v>
      </c>
      <c r="C508" s="5" t="n">
        <f aca="false">IF($A508="","",IF(ISNUMBER(Base_Bruta!C508),Base_Bruta!C508,IF(MID(Base_Bruta!C508,5,1)="-",DATE(VALUE(LEFT(Base_Bruta!C508,4)),VALUE(MID(Base_Bruta!C508,6,2)),VALUE(RIGHT(Base_Bruta!C508,2))),DATE(VALUE(RIGHT(Base_Bruta!C508,4)),VALUE(MID(Base_Bruta!C508,4,2)),VALUE(LEFT(Base_Bruta!C508,2))))))</f>
        <v>46012</v>
      </c>
      <c r="D508" s="4" t="str">
        <f aca="false">IF($A508="","",TRIM(Base_Bruta!D508))</f>
        <v>Cinema Paulista - Sessões</v>
      </c>
      <c r="E508" s="4" t="str">
        <f aca="false">IF($A508="","",_xlfn.XLOOKUP(LOWER(TRIM(Base_Bruta!E508)),DePara_Categoria!$A$2:$A$9,DePara_Categoria!$B$2:$B$9,"REVISAR"))</f>
        <v>Cinema</v>
      </c>
      <c r="F508" s="4" t="str">
        <f aca="false">IF($A508="","",_xlfn.XLOOKUP(LOWER(TRIM(Base_Bruta!F508)),DePara_Cidade!$A$2:$A$29,DePara_Cidade!$B$2:$B$29,"REVISAR"))</f>
        <v>São Paulo</v>
      </c>
      <c r="G508" s="4" t="str">
        <f aca="false">IF($A508="","",TRIM(Base_Bruta!G508))</f>
        <v>Inteira</v>
      </c>
      <c r="H508" s="4" t="n">
        <f aca="false">IF($A508="","",IF(ISNUMBER(Base_Bruta!H508),Base_Bruta!H508,IFERROR(_xlfn.NUMBERVALUE(TRIM(SUBSTITUTE(Base_Bruta!H508,"R$","")),",","."),0)))</f>
        <v>2</v>
      </c>
      <c r="I508" s="6" t="n">
        <f aca="false">IF($A508="","",IF(ISNUMBER(Base_Bruta!I508),Base_Bruta!I508,IFERROR(_xlfn.NUMBERVALUE(TRIM(SUBSTITUTE(Base_Bruta!I508,"R$","")),",","."),0)))</f>
        <v>30</v>
      </c>
      <c r="J508" s="6" t="n">
        <f aca="false">IF($A508="","",H508*I508)</f>
        <v>60</v>
      </c>
      <c r="K508" s="4" t="str">
        <f aca="false">IF($A508="","",TRIM(Base_Bruta!J508))</f>
        <v>Site</v>
      </c>
      <c r="L508" s="4" t="str">
        <f aca="false">IF($A508="","",TRIM(Base_Bruta!K508))</f>
        <v>C00873</v>
      </c>
      <c r="M508" s="4" t="str">
        <f aca="false">IF($A508="","",_xlfn.XLOOKUP(LOWER(TRIM(Base_Bruta!L508)),DePara_Cidade!$A$2:$A$29,DePara_Cidade!$B$2:$B$29,"REVISAR"))</f>
        <v>São Paulo</v>
      </c>
      <c r="N508" s="4" t="str">
        <f aca="false">IF($A508="","",UPPER(TRIM(Base_Bruta!M508)))</f>
        <v>SP</v>
      </c>
      <c r="O508" s="4" t="str">
        <f aca="false">IF($A508="","",_xlfn.XLOOKUP(LOWER(TRIM(Base_Bruta!N508)),DePara_Pais!$A$2:$A$9,DePara_Pais!$B$2:$B$9,"REVISAR"))</f>
        <v>Brasil</v>
      </c>
      <c r="P508" s="4" t="str">
        <f aca="false">IF($A508="","",IF(O508&lt;&gt;"Brasil","Turista Internacional",IF(M508=F508,"Local","Turista Nacional")))</f>
        <v>Local</v>
      </c>
      <c r="Q508" s="7" t="n">
        <f aca="false">IF($A508="","",DATE(YEAR(B508),MONTH(B508),1))</f>
        <v>45992</v>
      </c>
      <c r="R508" s="4" t="str">
        <f aca="false">IF($A508="","",IF(COUNTIF($A$2:$A508,$A508)&gt;1,"Sim","Não"))</f>
        <v>Não</v>
      </c>
      <c r="S508" s="4" t="str">
        <f aca="false">IF(A508="","Descartar - Linha vazia",IF(R508="Sim","Descartar - Duplicado",IF(OR(H508&lt;=0,I508&lt;=0),"Descartar - Qtd/Valor inválido","OK")))</f>
        <v>OK</v>
      </c>
      <c r="T508" s="4" t="str">
        <f aca="false">Base_Bruta!P508</f>
        <v>vendas_SP.xlsx</v>
      </c>
    </row>
    <row r="509" customFormat="false" ht="15" hidden="false" customHeight="false" outlineLevel="0" collapsed="false">
      <c r="A509" s="4" t="str">
        <f aca="false">IF(Base_Bruta!A509="","",Base_Bruta!A509)</f>
        <v>SP-000279</v>
      </c>
      <c r="B509" s="5" t="n">
        <f aca="false">IF($A509="","",IF(ISNUMBER(Base_Bruta!B509),Base_Bruta!B509,IF(MID(Base_Bruta!B509,5,1)="-",DATE(VALUE(LEFT(Base_Bruta!B509,4)),VALUE(MID(Base_Bruta!B509,6,2)),VALUE(RIGHT(Base_Bruta!B509,2))),DATE(VALUE(RIGHT(Base_Bruta!B509,4)),VALUE(MID(Base_Bruta!B509,4,2)),VALUE(LEFT(Base_Bruta!B509,2))))))</f>
        <v>46010</v>
      </c>
      <c r="C509" s="5" t="n">
        <f aca="false">IF($A509="","",IF(ISNUMBER(Base_Bruta!C509),Base_Bruta!C509,IF(MID(Base_Bruta!C509,5,1)="-",DATE(VALUE(LEFT(Base_Bruta!C509,4)),VALUE(MID(Base_Bruta!C509,6,2)),VALUE(RIGHT(Base_Bruta!C509,2))),DATE(VALUE(RIGHT(Base_Bruta!C509,4)),VALUE(MID(Base_Bruta!C509,4,2)),VALUE(LEFT(Base_Bruta!C509,2))))))</f>
        <v>46130</v>
      </c>
      <c r="D509" s="4" t="str">
        <f aca="false">IF($A509="","",TRIM(Base_Bruta!D509))</f>
        <v>Festival Sonora SP 2026</v>
      </c>
      <c r="E509" s="4" t="str">
        <f aca="false">IF($A509="","",_xlfn.XLOOKUP(LOWER(TRIM(Base_Bruta!E509)),DePara_Categoria!$A$2:$A$9,DePara_Categoria!$B$2:$B$9,"REVISAR"))</f>
        <v>Festival</v>
      </c>
      <c r="F509" s="4" t="str">
        <f aca="false">IF($A509="","",_xlfn.XLOOKUP(LOWER(TRIM(Base_Bruta!F509)),DePara_Cidade!$A$2:$A$29,DePara_Cidade!$B$2:$B$29,"REVISAR"))</f>
        <v>São Paulo</v>
      </c>
      <c r="G509" s="4" t="str">
        <f aca="false">IF($A509="","",TRIM(Base_Bruta!G509))</f>
        <v>Meia</v>
      </c>
      <c r="H509" s="4" t="n">
        <f aca="false">IF($A509="","",IF(ISNUMBER(Base_Bruta!H509),Base_Bruta!H509,IFERROR(_xlfn.NUMBERVALUE(TRIM(SUBSTITUTE(Base_Bruta!H509,"R$","")),",","."),0)))</f>
        <v>4</v>
      </c>
      <c r="I509" s="6" t="n">
        <f aca="false">IF($A509="","",IF(ISNUMBER(Base_Bruta!I509),Base_Bruta!I509,IFERROR(_xlfn.NUMBERVALUE(TRIM(SUBSTITUTE(Base_Bruta!I509,"R$","")),",","."),0)))</f>
        <v>480</v>
      </c>
      <c r="J509" s="6" t="n">
        <f aca="false">IF($A509="","",H509*I509)</f>
        <v>1920</v>
      </c>
      <c r="K509" s="4" t="str">
        <f aca="false">IF($A509="","",TRIM(Base_Bruta!J509))</f>
        <v>App</v>
      </c>
      <c r="L509" s="4" t="str">
        <f aca="false">IF($A509="","",TRIM(Base_Bruta!K509))</f>
        <v>C02063</v>
      </c>
      <c r="M509" s="4" t="str">
        <f aca="false">IF($A509="","",_xlfn.XLOOKUP(LOWER(TRIM(Base_Bruta!L509)),DePara_Cidade!$A$2:$A$29,DePara_Cidade!$B$2:$B$29,"REVISAR"))</f>
        <v>São Paulo</v>
      </c>
      <c r="N509" s="4" t="str">
        <f aca="false">IF($A509="","",UPPER(TRIM(Base_Bruta!M509)))</f>
        <v>SP</v>
      </c>
      <c r="O509" s="4" t="str">
        <f aca="false">IF($A509="","",_xlfn.XLOOKUP(LOWER(TRIM(Base_Bruta!N509)),DePara_Pais!$A$2:$A$9,DePara_Pais!$B$2:$B$9,"REVISAR"))</f>
        <v>Brasil</v>
      </c>
      <c r="P509" s="4" t="str">
        <f aca="false">IF($A509="","",IF(O509&lt;&gt;"Brasil","Turista Internacional",IF(M509=F509,"Local","Turista Nacional")))</f>
        <v>Local</v>
      </c>
      <c r="Q509" s="7" t="n">
        <f aca="false">IF($A509="","",DATE(YEAR(B509),MONTH(B509),1))</f>
        <v>45992</v>
      </c>
      <c r="R509" s="4" t="str">
        <f aca="false">IF($A509="","",IF(COUNTIF($A$2:$A509,$A509)&gt;1,"Sim","Não"))</f>
        <v>Não</v>
      </c>
      <c r="S509" s="4" t="str">
        <f aca="false">IF(A509="","Descartar - Linha vazia",IF(R509="Sim","Descartar - Duplicado",IF(OR(H509&lt;=0,I509&lt;=0),"Descartar - Qtd/Valor inválido","OK")))</f>
        <v>OK</v>
      </c>
      <c r="T509" s="4" t="str">
        <f aca="false">Base_Bruta!P509</f>
        <v>vendas_SP.xlsx</v>
      </c>
    </row>
    <row r="510" customFormat="false" ht="15" hidden="false" customHeight="false" outlineLevel="0" collapsed="false">
      <c r="A510" s="4" t="str">
        <f aca="false">IF(Base_Bruta!A510="","",Base_Bruta!A510)</f>
        <v>SP-000343</v>
      </c>
      <c r="B510" s="5" t="n">
        <f aca="false">IF($A510="","",IF(ISNUMBER(Base_Bruta!B510),Base_Bruta!B510,IF(MID(Base_Bruta!B510,5,1)="-",DATE(VALUE(LEFT(Base_Bruta!B510,4)),VALUE(MID(Base_Bruta!B510,6,2)),VALUE(RIGHT(Base_Bruta!B510,2))),DATE(VALUE(RIGHT(Base_Bruta!B510,4)),VALUE(MID(Base_Bruta!B510,4,2)),VALUE(LEFT(Base_Bruta!B510,2))))))</f>
        <v>46010</v>
      </c>
      <c r="C510" s="5" t="n">
        <f aca="false">IF($A510="","",IF(ISNUMBER(Base_Bruta!C510),Base_Bruta!C510,IF(MID(Base_Bruta!C510,5,1)="-",DATE(VALUE(LEFT(Base_Bruta!C510,4)),VALUE(MID(Base_Bruta!C510,6,2)),VALUE(RIGHT(Base_Bruta!C510,2))),DATE(VALUE(RIGHT(Base_Bruta!C510,4)),VALUE(MID(Base_Bruta!C510,4,2)),VALUE(LEFT(Base_Bruta!C510,2))))))</f>
        <v>46130</v>
      </c>
      <c r="D510" s="4" t="str">
        <f aca="false">IF($A510="","",TRIM(Base_Bruta!D510))</f>
        <v>Festival Sonora SP 2026</v>
      </c>
      <c r="E510" s="4" t="str">
        <f aca="false">IF($A510="","",_xlfn.XLOOKUP(LOWER(TRIM(Base_Bruta!E510)),DePara_Categoria!$A$2:$A$9,DePara_Categoria!$B$2:$B$9,"REVISAR"))</f>
        <v>Festival</v>
      </c>
      <c r="F510" s="4" t="str">
        <f aca="false">IF($A510="","",_xlfn.XLOOKUP(LOWER(TRIM(Base_Bruta!F510)),DePara_Cidade!$A$2:$A$29,DePara_Cidade!$B$2:$B$29,"REVISAR"))</f>
        <v>São Paulo</v>
      </c>
      <c r="G510" s="4" t="str">
        <f aca="false">IF($A510="","",TRIM(Base_Bruta!G510))</f>
        <v>Inteira</v>
      </c>
      <c r="H510" s="4" t="n">
        <f aca="false">IF($A510="","",IF(ISNUMBER(Base_Bruta!H510),Base_Bruta!H510,IFERROR(_xlfn.NUMBERVALUE(TRIM(SUBSTITUTE(Base_Bruta!H510,"R$","")),",","."),0)))</f>
        <v>1</v>
      </c>
      <c r="I510" s="6" t="n">
        <f aca="false">IF($A510="","",IF(ISNUMBER(Base_Bruta!I510),Base_Bruta!I510,IFERROR(_xlfn.NUMBERVALUE(TRIM(SUBSTITUTE(Base_Bruta!I510,"R$","")),",","."),0)))</f>
        <v>665</v>
      </c>
      <c r="J510" s="6" t="n">
        <f aca="false">IF($A510="","",H510*I510)</f>
        <v>665</v>
      </c>
      <c r="K510" s="4" t="str">
        <f aca="false">IF($A510="","",TRIM(Base_Bruta!J510))</f>
        <v>App</v>
      </c>
      <c r="L510" s="4" t="str">
        <f aca="false">IF($A510="","",TRIM(Base_Bruta!K510))</f>
        <v>C00138</v>
      </c>
      <c r="M510" s="4" t="str">
        <f aca="false">IF($A510="","",_xlfn.XLOOKUP(LOWER(TRIM(Base_Bruta!L510)),DePara_Cidade!$A$2:$A$29,DePara_Cidade!$B$2:$B$29,"REVISAR"))</f>
        <v>Curitiba</v>
      </c>
      <c r="N510" s="4" t="str">
        <f aca="false">IF($A510="","",UPPER(TRIM(Base_Bruta!M510)))</f>
        <v>PR</v>
      </c>
      <c r="O510" s="4" t="str">
        <f aca="false">IF($A510="","",_xlfn.XLOOKUP(LOWER(TRIM(Base_Bruta!N510)),DePara_Pais!$A$2:$A$9,DePara_Pais!$B$2:$B$9,"REVISAR"))</f>
        <v>Brasil</v>
      </c>
      <c r="P510" s="4" t="str">
        <f aca="false">IF($A510="","",IF(O510&lt;&gt;"Brasil","Turista Internacional",IF(M510=F510,"Local","Turista Nacional")))</f>
        <v>Turista Nacional</v>
      </c>
      <c r="Q510" s="7" t="n">
        <f aca="false">IF($A510="","",DATE(YEAR(B510),MONTH(B510),1))</f>
        <v>45992</v>
      </c>
      <c r="R510" s="4" t="str">
        <f aca="false">IF($A510="","",IF(COUNTIF($A$2:$A510,$A510)&gt;1,"Sim","Não"))</f>
        <v>Não</v>
      </c>
      <c r="S510" s="4" t="str">
        <f aca="false">IF(A510="","Descartar - Linha vazia",IF(R510="Sim","Descartar - Duplicado",IF(OR(H510&lt;=0,I510&lt;=0),"Descartar - Qtd/Valor inválido","OK")))</f>
        <v>OK</v>
      </c>
      <c r="T510" s="4" t="str">
        <f aca="false">Base_Bruta!P510</f>
        <v>vendas_SP.xlsx</v>
      </c>
    </row>
    <row r="511" customFormat="false" ht="15" hidden="false" customHeight="false" outlineLevel="0" collapsed="false">
      <c r="A511" s="4" t="str">
        <f aca="false">IF(Base_Bruta!A511="","",Base_Bruta!A511)</f>
        <v>SP-000727</v>
      </c>
      <c r="B511" s="5" t="n">
        <f aca="false">IF($A511="","",IF(ISNUMBER(Base_Bruta!B511),Base_Bruta!B511,IF(MID(Base_Bruta!B511,5,1)="-",DATE(VALUE(LEFT(Base_Bruta!B511,4)),VALUE(MID(Base_Bruta!B511,6,2)),VALUE(RIGHT(Base_Bruta!B511,2))),DATE(VALUE(RIGHT(Base_Bruta!B511,4)),VALUE(MID(Base_Bruta!B511,4,2)),VALUE(LEFT(Base_Bruta!B511,2))))))</f>
        <v>46010</v>
      </c>
      <c r="C511" s="5" t="n">
        <f aca="false">IF($A511="","",IF(ISNUMBER(Base_Bruta!C511),Base_Bruta!C511,IF(MID(Base_Bruta!C511,5,1)="-",DATE(VALUE(LEFT(Base_Bruta!C511,4)),VALUE(MID(Base_Bruta!C511,6,2)),VALUE(RIGHT(Base_Bruta!C511,2))),DATE(VALUE(RIGHT(Base_Bruta!C511,4)),VALUE(MID(Base_Bruta!C511,4,2)),VALUE(LEFT(Base_Bruta!C511,2))))))</f>
        <v>46013</v>
      </c>
      <c r="D511" s="4" t="str">
        <f aca="false">IF($A511="","",TRIM(Base_Bruta!D511))</f>
        <v>Cinema Paulista - Sessões</v>
      </c>
      <c r="E511" s="4" t="str">
        <f aca="false">IF($A511="","",_xlfn.XLOOKUP(LOWER(TRIM(Base_Bruta!E511)),DePara_Categoria!$A$2:$A$9,DePara_Categoria!$B$2:$B$9,"REVISAR"))</f>
        <v>Cinema</v>
      </c>
      <c r="F511" s="4" t="str">
        <f aca="false">IF($A511="","",_xlfn.XLOOKUP(LOWER(TRIM(Base_Bruta!F511)),DePara_Cidade!$A$2:$A$29,DePara_Cidade!$B$2:$B$29,"REVISAR"))</f>
        <v>São Paulo</v>
      </c>
      <c r="G511" s="4" t="str">
        <f aca="false">IF($A511="","",TRIM(Base_Bruta!G511))</f>
        <v>Meia</v>
      </c>
      <c r="H511" s="4" t="n">
        <f aca="false">IF($A511="","",IF(ISNUMBER(Base_Bruta!H511),Base_Bruta!H511,IFERROR(_xlfn.NUMBERVALUE(TRIM(SUBSTITUTE(Base_Bruta!H511,"R$","")),",","."),0)))</f>
        <v>1</v>
      </c>
      <c r="I511" s="6" t="n">
        <f aca="false">IF($A511="","",IF(ISNUMBER(Base_Bruta!I511),Base_Bruta!I511,IFERROR(_xlfn.NUMBERVALUE(TRIM(SUBSTITUTE(Base_Bruta!I511,"R$","")),",","."),0)))</f>
        <v>22.5</v>
      </c>
      <c r="J511" s="6" t="n">
        <f aca="false">IF($A511="","",H511*I511)</f>
        <v>22.5</v>
      </c>
      <c r="K511" s="4" t="str">
        <f aca="false">IF($A511="","",TRIM(Base_Bruta!J511))</f>
        <v>Site</v>
      </c>
      <c r="L511" s="4" t="str">
        <f aca="false">IF($A511="","",TRIM(Base_Bruta!K511))</f>
        <v>C02465</v>
      </c>
      <c r="M511" s="4" t="str">
        <f aca="false">IF($A511="","",_xlfn.XLOOKUP(LOWER(TRIM(Base_Bruta!L511)),DePara_Cidade!$A$2:$A$29,DePara_Cidade!$B$2:$B$29,"REVISAR"))</f>
        <v>São Paulo</v>
      </c>
      <c r="N511" s="4" t="str">
        <f aca="false">IF($A511="","",UPPER(TRIM(Base_Bruta!M511)))</f>
        <v>SP</v>
      </c>
      <c r="O511" s="4" t="str">
        <f aca="false">IF($A511="","",_xlfn.XLOOKUP(LOWER(TRIM(Base_Bruta!N511)),DePara_Pais!$A$2:$A$9,DePara_Pais!$B$2:$B$9,"REVISAR"))</f>
        <v>Brasil</v>
      </c>
      <c r="P511" s="4" t="str">
        <f aca="false">IF($A511="","",IF(O511&lt;&gt;"Brasil","Turista Internacional",IF(M511=F511,"Local","Turista Nacional")))</f>
        <v>Local</v>
      </c>
      <c r="Q511" s="7" t="n">
        <f aca="false">IF($A511="","",DATE(YEAR(B511),MONTH(B511),1))</f>
        <v>45992</v>
      </c>
      <c r="R511" s="4" t="str">
        <f aca="false">IF($A511="","",IF(COUNTIF($A$2:$A511,$A511)&gt;1,"Sim","Não"))</f>
        <v>Não</v>
      </c>
      <c r="S511" s="4" t="str">
        <f aca="false">IF(A511="","Descartar - Linha vazia",IF(R511="Sim","Descartar - Duplicado",IF(OR(H511&lt;=0,I511&lt;=0),"Descartar - Qtd/Valor inválido","OK")))</f>
        <v>OK</v>
      </c>
      <c r="T511" s="4" t="str">
        <f aca="false">Base_Bruta!P511</f>
        <v>vendas_SP.xlsx</v>
      </c>
    </row>
    <row r="512" customFormat="false" ht="15" hidden="false" customHeight="false" outlineLevel="0" collapsed="false">
      <c r="A512" s="4" t="str">
        <f aca="false">IF(Base_Bruta!A512="","",Base_Bruta!A512)</f>
        <v>SP-000728</v>
      </c>
      <c r="B512" s="5" t="n">
        <f aca="false">IF($A512="","",IF(ISNUMBER(Base_Bruta!B512),Base_Bruta!B512,IF(MID(Base_Bruta!B512,5,1)="-",DATE(VALUE(LEFT(Base_Bruta!B512,4)),VALUE(MID(Base_Bruta!B512,6,2)),VALUE(RIGHT(Base_Bruta!B512,2))),DATE(VALUE(RIGHT(Base_Bruta!B512,4)),VALUE(MID(Base_Bruta!B512,4,2)),VALUE(LEFT(Base_Bruta!B512,2))))))</f>
        <v>46010</v>
      </c>
      <c r="C512" s="5" t="n">
        <f aca="false">IF($A512="","",IF(ISNUMBER(Base_Bruta!C512),Base_Bruta!C512,IF(MID(Base_Bruta!C512,5,1)="-",DATE(VALUE(LEFT(Base_Bruta!C512,4)),VALUE(MID(Base_Bruta!C512,6,2)),VALUE(RIGHT(Base_Bruta!C512,2))),DATE(VALUE(RIGHT(Base_Bruta!C512,4)),VALUE(MID(Base_Bruta!C512,4,2)),VALUE(LEFT(Base_Bruta!C512,2))))))</f>
        <v>46012</v>
      </c>
      <c r="D512" s="4" t="str">
        <f aca="false">IF($A512="","",TRIM(Base_Bruta!D512))</f>
        <v>Cinema Paulista - Sessões</v>
      </c>
      <c r="E512" s="4" t="str">
        <f aca="false">IF($A512="","",_xlfn.XLOOKUP(LOWER(TRIM(Base_Bruta!E512)),DePara_Categoria!$A$2:$A$9,DePara_Categoria!$B$2:$B$9,"REVISAR"))</f>
        <v>Cinema</v>
      </c>
      <c r="F512" s="4" t="str">
        <f aca="false">IF($A512="","",_xlfn.XLOOKUP(LOWER(TRIM(Base_Bruta!F512)),DePara_Cidade!$A$2:$A$29,DePara_Cidade!$B$2:$B$29,"REVISAR"))</f>
        <v>São Paulo</v>
      </c>
      <c r="G512" s="4" t="str">
        <f aca="false">IF($A512="","",TRIM(Base_Bruta!G512))</f>
        <v>Inteira</v>
      </c>
      <c r="H512" s="4" t="n">
        <f aca="false">IF($A512="","",IF(ISNUMBER(Base_Bruta!H512),Base_Bruta!H512,IFERROR(_xlfn.NUMBERVALUE(TRIM(SUBSTITUTE(Base_Bruta!H512,"R$","")),",","."),0)))</f>
        <v>4</v>
      </c>
      <c r="I512" s="6" t="n">
        <f aca="false">IF($A512="","",IF(ISNUMBER(Base_Bruta!I512),Base_Bruta!I512,IFERROR(_xlfn.NUMBERVALUE(TRIM(SUBSTITUTE(Base_Bruta!I512,"R$","")),",","."),0)))</f>
        <v>40</v>
      </c>
      <c r="J512" s="6" t="n">
        <f aca="false">IF($A512="","",H512*I512)</f>
        <v>160</v>
      </c>
      <c r="K512" s="4" t="str">
        <f aca="false">IF($A512="","",TRIM(Base_Bruta!J512))</f>
        <v>Bilheteria</v>
      </c>
      <c r="L512" s="4" t="str">
        <f aca="false">IF($A512="","",TRIM(Base_Bruta!K512))</f>
        <v>C01359</v>
      </c>
      <c r="M512" s="4" t="str">
        <f aca="false">IF($A512="","",_xlfn.XLOOKUP(LOWER(TRIM(Base_Bruta!L512)),DePara_Cidade!$A$2:$A$29,DePara_Cidade!$B$2:$B$29,"REVISAR"))</f>
        <v>Rio de Janeiro</v>
      </c>
      <c r="N512" s="4" t="str">
        <f aca="false">IF($A512="","",UPPER(TRIM(Base_Bruta!M512)))</f>
        <v>RJ</v>
      </c>
      <c r="O512" s="4" t="str">
        <f aca="false">IF($A512="","",_xlfn.XLOOKUP(LOWER(TRIM(Base_Bruta!N512)),DePara_Pais!$A$2:$A$9,DePara_Pais!$B$2:$B$9,"REVISAR"))</f>
        <v>Brasil</v>
      </c>
      <c r="P512" s="4" t="str">
        <f aca="false">IF($A512="","",IF(O512&lt;&gt;"Brasil","Turista Internacional",IF(M512=F512,"Local","Turista Nacional")))</f>
        <v>Turista Nacional</v>
      </c>
      <c r="Q512" s="7" t="n">
        <f aca="false">IF($A512="","",DATE(YEAR(B512),MONTH(B512),1))</f>
        <v>45992</v>
      </c>
      <c r="R512" s="4" t="str">
        <f aca="false">IF($A512="","",IF(COUNTIF($A$2:$A512,$A512)&gt;1,"Sim","Não"))</f>
        <v>Não</v>
      </c>
      <c r="S512" s="4" t="str">
        <f aca="false">IF(A512="","Descartar - Linha vazia",IF(R512="Sim","Descartar - Duplicado",IF(OR(H512&lt;=0,I512&lt;=0),"Descartar - Qtd/Valor inválido","OK")))</f>
        <v>OK</v>
      </c>
      <c r="T512" s="4" t="str">
        <f aca="false">Base_Bruta!P512</f>
        <v>vendas_SP.xlsx</v>
      </c>
    </row>
    <row r="513" customFormat="false" ht="15" hidden="false" customHeight="false" outlineLevel="0" collapsed="false">
      <c r="A513" s="4" t="str">
        <f aca="false">IF(Base_Bruta!A513="","",Base_Bruta!A513)</f>
        <v>SP-000234</v>
      </c>
      <c r="B513" s="5" t="n">
        <f aca="false">IF($A513="","",IF(ISNUMBER(Base_Bruta!B513),Base_Bruta!B513,IF(MID(Base_Bruta!B513,5,1)="-",DATE(VALUE(LEFT(Base_Bruta!B513,4)),VALUE(MID(Base_Bruta!B513,6,2)),VALUE(RIGHT(Base_Bruta!B513,2))),DATE(VALUE(RIGHT(Base_Bruta!B513,4)),VALUE(MID(Base_Bruta!B513,4,2)),VALUE(LEFT(Base_Bruta!B513,2))))))</f>
        <v>46011</v>
      </c>
      <c r="C513" s="5" t="n">
        <f aca="false">IF($A513="","",IF(ISNUMBER(Base_Bruta!C513),Base_Bruta!C513,IF(MID(Base_Bruta!C513,5,1)="-",DATE(VALUE(LEFT(Base_Bruta!C513,4)),VALUE(MID(Base_Bruta!C513,6,2)),VALUE(RIGHT(Base_Bruta!C513,2))),DATE(VALUE(RIGHT(Base_Bruta!C513,4)),VALUE(MID(Base_Bruta!C513,4,2)),VALUE(LEFT(Base_Bruta!C513,2))))))</f>
        <v>46130</v>
      </c>
      <c r="D513" s="4" t="str">
        <f aca="false">IF($A513="","",TRIM(Base_Bruta!D513))</f>
        <v>Festival Sonora SP 2026</v>
      </c>
      <c r="E513" s="4" t="str">
        <f aca="false">IF($A513="","",_xlfn.XLOOKUP(LOWER(TRIM(Base_Bruta!E513)),DePara_Categoria!$A$2:$A$9,DePara_Categoria!$B$2:$B$9,"REVISAR"))</f>
        <v>Festival</v>
      </c>
      <c r="F513" s="4" t="str">
        <f aca="false">IF($A513="","",_xlfn.XLOOKUP(LOWER(TRIM(Base_Bruta!F513)),DePara_Cidade!$A$2:$A$29,DePara_Cidade!$B$2:$B$29,"REVISAR"))</f>
        <v>São Paulo</v>
      </c>
      <c r="G513" s="4" t="str">
        <f aca="false">IF($A513="","",TRIM(Base_Bruta!G513))</f>
        <v>Inteira</v>
      </c>
      <c r="H513" s="4" t="n">
        <f aca="false">IF($A513="","",IF(ISNUMBER(Base_Bruta!H513),Base_Bruta!H513,IFERROR(_xlfn.NUMBERVALUE(TRIM(SUBSTITUTE(Base_Bruta!H513,"R$","")),",","."),0)))</f>
        <v>1</v>
      </c>
      <c r="I513" s="6" t="n">
        <f aca="false">IF($A513="","",IF(ISNUMBER(Base_Bruta!I513),Base_Bruta!I513,IFERROR(_xlfn.NUMBERVALUE(TRIM(SUBSTITUTE(Base_Bruta!I513,"R$","")),",","."),0)))</f>
        <v>745</v>
      </c>
      <c r="J513" s="6" t="n">
        <f aca="false">IF($A513="","",H513*I513)</f>
        <v>745</v>
      </c>
      <c r="K513" s="4" t="str">
        <f aca="false">IF($A513="","",TRIM(Base_Bruta!J513))</f>
        <v>Bilheteria</v>
      </c>
      <c r="L513" s="4" t="str">
        <f aca="false">IF($A513="","",TRIM(Base_Bruta!K513))</f>
        <v>C00567</v>
      </c>
      <c r="M513" s="4" t="str">
        <f aca="false">IF($A513="","",_xlfn.XLOOKUP(LOWER(TRIM(Base_Bruta!L513)),DePara_Cidade!$A$2:$A$29,DePara_Cidade!$B$2:$B$29,"REVISAR"))</f>
        <v>Florianópolis</v>
      </c>
      <c r="N513" s="4" t="str">
        <f aca="false">IF($A513="","",UPPER(TRIM(Base_Bruta!M513)))</f>
        <v>SC</v>
      </c>
      <c r="O513" s="4" t="str">
        <f aca="false">IF($A513="","",_xlfn.XLOOKUP(LOWER(TRIM(Base_Bruta!N513)),DePara_Pais!$A$2:$A$9,DePara_Pais!$B$2:$B$9,"REVISAR"))</f>
        <v>Brasil</v>
      </c>
      <c r="P513" s="4" t="str">
        <f aca="false">IF($A513="","",IF(O513&lt;&gt;"Brasil","Turista Internacional",IF(M513=F513,"Local","Turista Nacional")))</f>
        <v>Turista Nacional</v>
      </c>
      <c r="Q513" s="7" t="n">
        <f aca="false">IF($A513="","",DATE(YEAR(B513),MONTH(B513),1))</f>
        <v>45992</v>
      </c>
      <c r="R513" s="4" t="str">
        <f aca="false">IF($A513="","",IF(COUNTIF($A$2:$A513,$A513)&gt;1,"Sim","Não"))</f>
        <v>Não</v>
      </c>
      <c r="S513" s="4" t="str">
        <f aca="false">IF(A513="","Descartar - Linha vazia",IF(R513="Sim","Descartar - Duplicado",IF(OR(H513&lt;=0,I513&lt;=0),"Descartar - Qtd/Valor inválido","OK")))</f>
        <v>OK</v>
      </c>
      <c r="T513" s="4" t="str">
        <f aca="false">Base_Bruta!P513</f>
        <v>vendas_SP.xlsx</v>
      </c>
    </row>
    <row r="514" customFormat="false" ht="15" hidden="false" customHeight="false" outlineLevel="0" collapsed="false">
      <c r="A514" s="4" t="str">
        <f aca="false">IF(Base_Bruta!A514="","",Base_Bruta!A514)</f>
        <v>SP-000288</v>
      </c>
      <c r="B514" s="5" t="n">
        <f aca="false">IF($A514="","",IF(ISNUMBER(Base_Bruta!B514),Base_Bruta!B514,IF(MID(Base_Bruta!B514,5,1)="-",DATE(VALUE(LEFT(Base_Bruta!B514,4)),VALUE(MID(Base_Bruta!B514,6,2)),VALUE(RIGHT(Base_Bruta!B514,2))),DATE(VALUE(RIGHT(Base_Bruta!B514,4)),VALUE(MID(Base_Bruta!B514,4,2)),VALUE(LEFT(Base_Bruta!B514,2))))))</f>
        <v>46011</v>
      </c>
      <c r="C514" s="5" t="n">
        <f aca="false">IF($A514="","",IF(ISNUMBER(Base_Bruta!C514),Base_Bruta!C514,IF(MID(Base_Bruta!C514,5,1)="-",DATE(VALUE(LEFT(Base_Bruta!C514,4)),VALUE(MID(Base_Bruta!C514,6,2)),VALUE(RIGHT(Base_Bruta!C514,2))),DATE(VALUE(RIGHT(Base_Bruta!C514,4)),VALUE(MID(Base_Bruta!C514,4,2)),VALUE(LEFT(Base_Bruta!C514,2))))))</f>
        <v>46130</v>
      </c>
      <c r="D514" s="4" t="str">
        <f aca="false">IF($A514="","",TRIM(Base_Bruta!D514))</f>
        <v>Festival Sonora SP 2026</v>
      </c>
      <c r="E514" s="4" t="str">
        <f aca="false">IF($A514="","",_xlfn.XLOOKUP(LOWER(TRIM(Base_Bruta!E514)),DePara_Categoria!$A$2:$A$9,DePara_Categoria!$B$2:$B$9,"REVISAR"))</f>
        <v>Festival</v>
      </c>
      <c r="F514" s="4" t="str">
        <f aca="false">IF($A514="","",_xlfn.XLOOKUP(LOWER(TRIM(Base_Bruta!F514)),DePara_Cidade!$A$2:$A$29,DePara_Cidade!$B$2:$B$29,"REVISAR"))</f>
        <v>São Paulo</v>
      </c>
      <c r="G514" s="4" t="str">
        <f aca="false">IF($A514="","",TRIM(Base_Bruta!G514))</f>
        <v>Meia</v>
      </c>
      <c r="H514" s="4" t="n">
        <f aca="false">IF($A514="","",IF(ISNUMBER(Base_Bruta!H514),Base_Bruta!H514,IFERROR(_xlfn.NUMBERVALUE(TRIM(SUBSTITUTE(Base_Bruta!H514,"R$","")),",","."),0)))</f>
        <v>1</v>
      </c>
      <c r="I514" s="6" t="n">
        <f aca="false">IF($A514="","",IF(ISNUMBER(Base_Bruta!I514),Base_Bruta!I514,IFERROR(_xlfn.NUMBERVALUE(TRIM(SUBSTITUTE(Base_Bruta!I514,"R$","")),",","."),0)))</f>
        <v>530</v>
      </c>
      <c r="J514" s="6" t="n">
        <f aca="false">IF($A514="","",H514*I514)</f>
        <v>530</v>
      </c>
      <c r="K514" s="4" t="str">
        <f aca="false">IF($A514="","",TRIM(Base_Bruta!J514))</f>
        <v>Bilheteria</v>
      </c>
      <c r="L514" s="4" t="str">
        <f aca="false">IF($A514="","",TRIM(Base_Bruta!K514))</f>
        <v>C01435</v>
      </c>
      <c r="M514" s="4" t="str">
        <f aca="false">IF($A514="","",_xlfn.XLOOKUP(LOWER(TRIM(Base_Bruta!L514)),DePara_Cidade!$A$2:$A$29,DePara_Cidade!$B$2:$B$29,"REVISAR"))</f>
        <v>Santiago</v>
      </c>
      <c r="N514" s="4" t="str">
        <f aca="false">IF($A514="","",UPPER(TRIM(Base_Bruta!M514)))</f>
        <v>EX</v>
      </c>
      <c r="O514" s="4" t="str">
        <f aca="false">IF($A514="","",_xlfn.XLOOKUP(LOWER(TRIM(Base_Bruta!N514)),DePara_Pais!$A$2:$A$9,DePara_Pais!$B$2:$B$9,"REVISAR"))</f>
        <v>Chile</v>
      </c>
      <c r="P514" s="4" t="str">
        <f aca="false">IF($A514="","",IF(O514&lt;&gt;"Brasil","Turista Internacional",IF(M514=F514,"Local","Turista Nacional")))</f>
        <v>Turista Internacional</v>
      </c>
      <c r="Q514" s="7" t="n">
        <f aca="false">IF($A514="","",DATE(YEAR(B514),MONTH(B514),1))</f>
        <v>45992</v>
      </c>
      <c r="R514" s="4" t="str">
        <f aca="false">IF($A514="","",IF(COUNTIF($A$2:$A514,$A514)&gt;1,"Sim","Não"))</f>
        <v>Não</v>
      </c>
      <c r="S514" s="4" t="str">
        <f aca="false">IF(A514="","Descartar - Linha vazia",IF(R514="Sim","Descartar - Duplicado",IF(OR(H514&lt;=0,I514&lt;=0),"Descartar - Qtd/Valor inválido","OK")))</f>
        <v>OK</v>
      </c>
      <c r="T514" s="4" t="str">
        <f aca="false">Base_Bruta!P514</f>
        <v>vendas_SP.xlsx</v>
      </c>
    </row>
    <row r="515" customFormat="false" ht="15" hidden="false" customHeight="false" outlineLevel="0" collapsed="false">
      <c r="A515" s="4" t="str">
        <f aca="false">IF(Base_Bruta!A515="","",Base_Bruta!A515)</f>
        <v>SP-000341</v>
      </c>
      <c r="B515" s="5" t="n">
        <f aca="false">IF($A515="","",IF(ISNUMBER(Base_Bruta!B515),Base_Bruta!B515,IF(MID(Base_Bruta!B515,5,1)="-",DATE(VALUE(LEFT(Base_Bruta!B515,4)),VALUE(MID(Base_Bruta!B515,6,2)),VALUE(RIGHT(Base_Bruta!B515,2))),DATE(VALUE(RIGHT(Base_Bruta!B515,4)),VALUE(MID(Base_Bruta!B515,4,2)),VALUE(LEFT(Base_Bruta!B515,2))))))</f>
        <v>46011</v>
      </c>
      <c r="C515" s="5" t="n">
        <f aca="false">IF($A515="","",IF(ISNUMBER(Base_Bruta!C515),Base_Bruta!C515,IF(MID(Base_Bruta!C515,5,1)="-",DATE(VALUE(LEFT(Base_Bruta!C515,4)),VALUE(MID(Base_Bruta!C515,6,2)),VALUE(RIGHT(Base_Bruta!C515,2))),DATE(VALUE(RIGHT(Base_Bruta!C515,4)),VALUE(MID(Base_Bruta!C515,4,2)),VALUE(LEFT(Base_Bruta!C515,2))))))</f>
        <v>46130</v>
      </c>
      <c r="D515" s="4" t="str">
        <f aca="false">IF($A515="","",TRIM(Base_Bruta!D515))</f>
        <v>Festival Sonora SP 2026</v>
      </c>
      <c r="E515" s="4" t="str">
        <f aca="false">IF($A515="","",_xlfn.XLOOKUP(LOWER(TRIM(Base_Bruta!E515)),DePara_Categoria!$A$2:$A$9,DePara_Categoria!$B$2:$B$9,"REVISAR"))</f>
        <v>Festival</v>
      </c>
      <c r="F515" s="4" t="str">
        <f aca="false">IF($A515="","",_xlfn.XLOOKUP(LOWER(TRIM(Base_Bruta!F515)),DePara_Cidade!$A$2:$A$29,DePara_Cidade!$B$2:$B$29,"REVISAR"))</f>
        <v>São Paulo</v>
      </c>
      <c r="G515" s="4" t="str">
        <f aca="false">IF($A515="","",TRIM(Base_Bruta!G515))</f>
        <v>Inteira</v>
      </c>
      <c r="H515" s="4" t="n">
        <f aca="false">IF($A515="","",IF(ISNUMBER(Base_Bruta!H515),Base_Bruta!H515,IFERROR(_xlfn.NUMBERVALUE(TRIM(SUBSTITUTE(Base_Bruta!H515,"R$","")),",","."),0)))</f>
        <v>1</v>
      </c>
      <c r="I515" s="6" t="n">
        <f aca="false">IF($A515="","",IF(ISNUMBER(Base_Bruta!I515),Base_Bruta!I515,IFERROR(_xlfn.NUMBERVALUE(TRIM(SUBSTITUTE(Base_Bruta!I515,"R$","")),",","."),0)))</f>
        <v>740</v>
      </c>
      <c r="J515" s="6" t="n">
        <f aca="false">IF($A515="","",H515*I515)</f>
        <v>740</v>
      </c>
      <c r="K515" s="4" t="str">
        <f aca="false">IF($A515="","",TRIM(Base_Bruta!J515))</f>
        <v>Site</v>
      </c>
      <c r="L515" s="4" t="str">
        <f aca="false">IF($A515="","",TRIM(Base_Bruta!K515))</f>
        <v>C01493</v>
      </c>
      <c r="M515" s="4" t="str">
        <f aca="false">IF($A515="","",_xlfn.XLOOKUP(LOWER(TRIM(Base_Bruta!L515)),DePara_Cidade!$A$2:$A$29,DePara_Cidade!$B$2:$B$29,"REVISAR"))</f>
        <v>São Paulo</v>
      </c>
      <c r="N515" s="4" t="str">
        <f aca="false">IF($A515="","",UPPER(TRIM(Base_Bruta!M515)))</f>
        <v>SP</v>
      </c>
      <c r="O515" s="4" t="str">
        <f aca="false">IF($A515="","",_xlfn.XLOOKUP(LOWER(TRIM(Base_Bruta!N515)),DePara_Pais!$A$2:$A$9,DePara_Pais!$B$2:$B$9,"REVISAR"))</f>
        <v>Brasil</v>
      </c>
      <c r="P515" s="4" t="str">
        <f aca="false">IF($A515="","",IF(O515&lt;&gt;"Brasil","Turista Internacional",IF(M515=F515,"Local","Turista Nacional")))</f>
        <v>Local</v>
      </c>
      <c r="Q515" s="7" t="n">
        <f aca="false">IF($A515="","",DATE(YEAR(B515),MONTH(B515),1))</f>
        <v>45992</v>
      </c>
      <c r="R515" s="4" t="str">
        <f aca="false">IF($A515="","",IF(COUNTIF($A$2:$A515,$A515)&gt;1,"Sim","Não"))</f>
        <v>Não</v>
      </c>
      <c r="S515" s="4" t="str">
        <f aca="false">IF(A515="","Descartar - Linha vazia",IF(R515="Sim","Descartar - Duplicado",IF(OR(H515&lt;=0,I515&lt;=0),"Descartar - Qtd/Valor inválido","OK")))</f>
        <v>OK</v>
      </c>
      <c r="T515" s="4" t="str">
        <f aca="false">Base_Bruta!P515</f>
        <v>vendas_SP.xlsx</v>
      </c>
    </row>
    <row r="516" customFormat="false" ht="15" hidden="false" customHeight="false" outlineLevel="0" collapsed="false">
      <c r="A516" s="4" t="str">
        <f aca="false">IF(Base_Bruta!A516="","",Base_Bruta!A516)</f>
        <v>SP-000392</v>
      </c>
      <c r="B516" s="5" t="n">
        <f aca="false">IF($A516="","",IF(ISNUMBER(Base_Bruta!B516),Base_Bruta!B516,IF(MID(Base_Bruta!B516,5,1)="-",DATE(VALUE(LEFT(Base_Bruta!B516,4)),VALUE(MID(Base_Bruta!B516,6,2)),VALUE(RIGHT(Base_Bruta!B516,2))),DATE(VALUE(RIGHT(Base_Bruta!B516,4)),VALUE(MID(Base_Bruta!B516,4,2)),VALUE(LEFT(Base_Bruta!B516,2))))))</f>
        <v>46011</v>
      </c>
      <c r="C516" s="5" t="n">
        <f aca="false">IF($A516="","",IF(ISNUMBER(Base_Bruta!C516),Base_Bruta!C516,IF(MID(Base_Bruta!C516,5,1)="-",DATE(VALUE(LEFT(Base_Bruta!C516,4)),VALUE(MID(Base_Bruta!C516,6,2)),VALUE(RIGHT(Base_Bruta!C516,2))),DATE(VALUE(RIGHT(Base_Bruta!C516,4)),VALUE(MID(Base_Bruta!C516,4,2)),VALUE(LEFT(Base_Bruta!C516,2))))))</f>
        <v>46130</v>
      </c>
      <c r="D516" s="4" t="str">
        <f aca="false">IF($A516="","",TRIM(Base_Bruta!D516))</f>
        <v>Festival Sonora SP 2026</v>
      </c>
      <c r="E516" s="4" t="str">
        <f aca="false">IF($A516="","",_xlfn.XLOOKUP(LOWER(TRIM(Base_Bruta!E516)),DePara_Categoria!$A$2:$A$9,DePara_Categoria!$B$2:$B$9,"REVISAR"))</f>
        <v>Festival</v>
      </c>
      <c r="F516" s="4" t="str">
        <f aca="false">IF($A516="","",_xlfn.XLOOKUP(LOWER(TRIM(Base_Bruta!F516)),DePara_Cidade!$A$2:$A$29,DePara_Cidade!$B$2:$B$29,"REVISAR"))</f>
        <v>São Paulo</v>
      </c>
      <c r="G516" s="4" t="str">
        <f aca="false">IF($A516="","",TRIM(Base_Bruta!G516))</f>
        <v>Inteira</v>
      </c>
      <c r="H516" s="4" t="n">
        <f aca="false">IF($A516="","",IF(ISNUMBER(Base_Bruta!H516),Base_Bruta!H516,IFERROR(_xlfn.NUMBERVALUE(TRIM(SUBSTITUTE(Base_Bruta!H516,"R$","")),",","."),0)))</f>
        <v>2</v>
      </c>
      <c r="I516" s="6" t="n">
        <f aca="false">IF($A516="","",IF(ISNUMBER(Base_Bruta!I516),Base_Bruta!I516,IFERROR(_xlfn.NUMBERVALUE(TRIM(SUBSTITUTE(Base_Bruta!I516,"R$","")),",","."),0)))</f>
        <v>1040</v>
      </c>
      <c r="J516" s="6" t="n">
        <f aca="false">IF($A516="","",H516*I516)</f>
        <v>2080</v>
      </c>
      <c r="K516" s="4" t="str">
        <f aca="false">IF($A516="","",TRIM(Base_Bruta!J516))</f>
        <v>Site</v>
      </c>
      <c r="L516" s="4" t="str">
        <f aca="false">IF($A516="","",TRIM(Base_Bruta!K516))</f>
        <v>C01001</v>
      </c>
      <c r="M516" s="4" t="str">
        <f aca="false">IF($A516="","",_xlfn.XLOOKUP(LOWER(TRIM(Base_Bruta!L516)),DePara_Cidade!$A$2:$A$29,DePara_Cidade!$B$2:$B$29,"REVISAR"))</f>
        <v>São Paulo</v>
      </c>
      <c r="N516" s="4" t="str">
        <f aca="false">IF($A516="","",UPPER(TRIM(Base_Bruta!M516)))</f>
        <v>SP</v>
      </c>
      <c r="O516" s="4" t="str">
        <f aca="false">IF($A516="","",_xlfn.XLOOKUP(LOWER(TRIM(Base_Bruta!N516)),DePara_Pais!$A$2:$A$9,DePara_Pais!$B$2:$B$9,"REVISAR"))</f>
        <v>Brasil</v>
      </c>
      <c r="P516" s="4" t="str">
        <f aca="false">IF($A516="","",IF(O516&lt;&gt;"Brasil","Turista Internacional",IF(M516=F516,"Local","Turista Nacional")))</f>
        <v>Local</v>
      </c>
      <c r="Q516" s="7" t="n">
        <f aca="false">IF($A516="","",DATE(YEAR(B516),MONTH(B516),1))</f>
        <v>45992</v>
      </c>
      <c r="R516" s="4" t="str">
        <f aca="false">IF($A516="","",IF(COUNTIF($A$2:$A516,$A516)&gt;1,"Sim","Não"))</f>
        <v>Não</v>
      </c>
      <c r="S516" s="4" t="str">
        <f aca="false">IF(A516="","Descartar - Linha vazia",IF(R516="Sim","Descartar - Duplicado",IF(OR(H516&lt;=0,I516&lt;=0),"Descartar - Qtd/Valor inválido","OK")))</f>
        <v>OK</v>
      </c>
      <c r="T516" s="4" t="str">
        <f aca="false">Base_Bruta!P516</f>
        <v>vendas_SP.xlsx</v>
      </c>
    </row>
    <row r="517" customFormat="false" ht="15" hidden="false" customHeight="false" outlineLevel="0" collapsed="false">
      <c r="A517" s="4" t="str">
        <f aca="false">IF(Base_Bruta!A517="","",Base_Bruta!A517)</f>
        <v>SP-000405</v>
      </c>
      <c r="B517" s="5" t="n">
        <f aca="false">IF($A517="","",IF(ISNUMBER(Base_Bruta!B517),Base_Bruta!B517,IF(MID(Base_Bruta!B517,5,1)="-",DATE(VALUE(LEFT(Base_Bruta!B517,4)),VALUE(MID(Base_Bruta!B517,6,2)),VALUE(RIGHT(Base_Bruta!B517,2))),DATE(VALUE(RIGHT(Base_Bruta!B517,4)),VALUE(MID(Base_Bruta!B517,4,2)),VALUE(LEFT(Base_Bruta!B517,2))))))</f>
        <v>46011</v>
      </c>
      <c r="C517" s="5" t="n">
        <f aca="false">IF($A517="","",IF(ISNUMBER(Base_Bruta!C517),Base_Bruta!C517,IF(MID(Base_Bruta!C517,5,1)="-",DATE(VALUE(LEFT(Base_Bruta!C517,4)),VALUE(MID(Base_Bruta!C517,6,2)),VALUE(RIGHT(Base_Bruta!C517,2))),DATE(VALUE(RIGHT(Base_Bruta!C517,4)),VALUE(MID(Base_Bruta!C517,4,2)),VALUE(LEFT(Base_Bruta!C517,2))))))</f>
        <v>46130</v>
      </c>
      <c r="D517" s="4" t="str">
        <f aca="false">IF($A517="","",TRIM(Base_Bruta!D517))</f>
        <v>Festival Sonora SP 2026</v>
      </c>
      <c r="E517" s="4" t="str">
        <f aca="false">IF($A517="","",_xlfn.XLOOKUP(LOWER(TRIM(Base_Bruta!E517)),DePara_Categoria!$A$2:$A$9,DePara_Categoria!$B$2:$B$9,"REVISAR"))</f>
        <v>Festival</v>
      </c>
      <c r="F517" s="4" t="str">
        <f aca="false">IF($A517="","",_xlfn.XLOOKUP(LOWER(TRIM(Base_Bruta!F517)),DePara_Cidade!$A$2:$A$29,DePara_Cidade!$B$2:$B$29,"REVISAR"))</f>
        <v>São Paulo</v>
      </c>
      <c r="G517" s="4" t="str">
        <f aca="false">IF($A517="","",TRIM(Base_Bruta!G517))</f>
        <v>Inteira</v>
      </c>
      <c r="H517" s="4" t="n">
        <f aca="false">IF($A517="","",IF(ISNUMBER(Base_Bruta!H517),Base_Bruta!H517,IFERROR(_xlfn.NUMBERVALUE(TRIM(SUBSTITUTE(Base_Bruta!H517,"R$","")),",","."),0)))</f>
        <v>1</v>
      </c>
      <c r="I517" s="6" t="n">
        <f aca="false">IF($A517="","",IF(ISNUMBER(Base_Bruta!I517),Base_Bruta!I517,IFERROR(_xlfn.NUMBERVALUE(TRIM(SUBSTITUTE(Base_Bruta!I517,"R$","")),",","."),0)))</f>
        <v>1010</v>
      </c>
      <c r="J517" s="6" t="n">
        <f aca="false">IF($A517="","",H517*I517)</f>
        <v>1010</v>
      </c>
      <c r="K517" s="4" t="str">
        <f aca="false">IF($A517="","",TRIM(Base_Bruta!J517))</f>
        <v>Site</v>
      </c>
      <c r="L517" s="4" t="str">
        <f aca="false">IF($A517="","",TRIM(Base_Bruta!K517))</f>
        <v>C00822</v>
      </c>
      <c r="M517" s="4" t="str">
        <f aca="false">IF($A517="","",_xlfn.XLOOKUP(LOWER(TRIM(Base_Bruta!L517)),DePara_Cidade!$A$2:$A$29,DePara_Cidade!$B$2:$B$29,"REVISAR"))</f>
        <v>São Paulo</v>
      </c>
      <c r="N517" s="4" t="str">
        <f aca="false">IF($A517="","",UPPER(TRIM(Base_Bruta!M517)))</f>
        <v>SP</v>
      </c>
      <c r="O517" s="4" t="str">
        <f aca="false">IF($A517="","",_xlfn.XLOOKUP(LOWER(TRIM(Base_Bruta!N517)),DePara_Pais!$A$2:$A$9,DePara_Pais!$B$2:$B$9,"REVISAR"))</f>
        <v>Brasil</v>
      </c>
      <c r="P517" s="4" t="str">
        <f aca="false">IF($A517="","",IF(O517&lt;&gt;"Brasil","Turista Internacional",IF(M517=F517,"Local","Turista Nacional")))</f>
        <v>Local</v>
      </c>
      <c r="Q517" s="7" t="n">
        <f aca="false">IF($A517="","",DATE(YEAR(B517),MONTH(B517),1))</f>
        <v>45992</v>
      </c>
      <c r="R517" s="4" t="str">
        <f aca="false">IF($A517="","",IF(COUNTIF($A$2:$A517,$A517)&gt;1,"Sim","Não"))</f>
        <v>Não</v>
      </c>
      <c r="S517" s="4" t="str">
        <f aca="false">IF(A517="","Descartar - Linha vazia",IF(R517="Sim","Descartar - Duplicado",IF(OR(H517&lt;=0,I517&lt;=0),"Descartar - Qtd/Valor inválido","OK")))</f>
        <v>OK</v>
      </c>
      <c r="T517" s="4" t="str">
        <f aca="false">Base_Bruta!P517</f>
        <v>vendas_SP.xlsx</v>
      </c>
    </row>
    <row r="518" customFormat="false" ht="15" hidden="false" customHeight="false" outlineLevel="0" collapsed="false">
      <c r="A518" s="4" t="str">
        <f aca="false">IF(Base_Bruta!A518="","",Base_Bruta!A518)</f>
        <v>SP-000411</v>
      </c>
      <c r="B518" s="5" t="n">
        <f aca="false">IF($A518="","",IF(ISNUMBER(Base_Bruta!B518),Base_Bruta!B518,IF(MID(Base_Bruta!B518,5,1)="-",DATE(VALUE(LEFT(Base_Bruta!B518,4)),VALUE(MID(Base_Bruta!B518,6,2)),VALUE(RIGHT(Base_Bruta!B518,2))),DATE(VALUE(RIGHT(Base_Bruta!B518,4)),VALUE(MID(Base_Bruta!B518,4,2)),VALUE(LEFT(Base_Bruta!B518,2))))))</f>
        <v>46011</v>
      </c>
      <c r="C518" s="5" t="n">
        <f aca="false">IF($A518="","",IF(ISNUMBER(Base_Bruta!C518),Base_Bruta!C518,IF(MID(Base_Bruta!C518,5,1)="-",DATE(VALUE(LEFT(Base_Bruta!C518,4)),VALUE(MID(Base_Bruta!C518,6,2)),VALUE(RIGHT(Base_Bruta!C518,2))),DATE(VALUE(RIGHT(Base_Bruta!C518,4)),VALUE(MID(Base_Bruta!C518,4,2)),VALUE(LEFT(Base_Bruta!C518,2))))))</f>
        <v>46130</v>
      </c>
      <c r="D518" s="4" t="str">
        <f aca="false">IF($A518="","",TRIM(Base_Bruta!D518))</f>
        <v>Festival Sonora SP 2026</v>
      </c>
      <c r="E518" s="4" t="str">
        <f aca="false">IF($A518="","",_xlfn.XLOOKUP(LOWER(TRIM(Base_Bruta!E518)),DePara_Categoria!$A$2:$A$9,DePara_Categoria!$B$2:$B$9,"REVISAR"))</f>
        <v>Festival</v>
      </c>
      <c r="F518" s="4" t="str">
        <f aca="false">IF($A518="","",_xlfn.XLOOKUP(LOWER(TRIM(Base_Bruta!F518)),DePara_Cidade!$A$2:$A$29,DePara_Cidade!$B$2:$B$29,"REVISAR"))</f>
        <v>São Paulo</v>
      </c>
      <c r="G518" s="4" t="str">
        <f aca="false">IF($A518="","",TRIM(Base_Bruta!G518))</f>
        <v>VIP</v>
      </c>
      <c r="H518" s="4" t="n">
        <f aca="false">IF($A518="","",IF(ISNUMBER(Base_Bruta!H518),Base_Bruta!H518,IFERROR(_xlfn.NUMBERVALUE(TRIM(SUBSTITUTE(Base_Bruta!H518,"R$","")),",","."),0)))</f>
        <v>1</v>
      </c>
      <c r="I518" s="6" t="n">
        <f aca="false">IF($A518="","",IF(ISNUMBER(Base_Bruta!I518),Base_Bruta!I518,IFERROR(_xlfn.NUMBERVALUE(TRIM(SUBSTITUTE(Base_Bruta!I518,"R$","")),",","."),0)))</f>
        <v>1850</v>
      </c>
      <c r="J518" s="6" t="n">
        <f aca="false">IF($A518="","",H518*I518)</f>
        <v>1850</v>
      </c>
      <c r="K518" s="4" t="str">
        <f aca="false">IF($A518="","",TRIM(Base_Bruta!J518))</f>
        <v>App</v>
      </c>
      <c r="L518" s="4" t="str">
        <f aca="false">IF($A518="","",TRIM(Base_Bruta!K518))</f>
        <v>C01722</v>
      </c>
      <c r="M518" s="4" t="str">
        <f aca="false">IF($A518="","",_xlfn.XLOOKUP(LOWER(TRIM(Base_Bruta!L518)),DePara_Cidade!$A$2:$A$29,DePara_Cidade!$B$2:$B$29,"REVISAR"))</f>
        <v>São Paulo</v>
      </c>
      <c r="N518" s="4" t="str">
        <f aca="false">IF($A518="","",UPPER(TRIM(Base_Bruta!M518)))</f>
        <v>SP</v>
      </c>
      <c r="O518" s="4" t="str">
        <f aca="false">IF($A518="","",_xlfn.XLOOKUP(LOWER(TRIM(Base_Bruta!N518)),DePara_Pais!$A$2:$A$9,DePara_Pais!$B$2:$B$9,"REVISAR"))</f>
        <v>Brasil</v>
      </c>
      <c r="P518" s="4" t="str">
        <f aca="false">IF($A518="","",IF(O518&lt;&gt;"Brasil","Turista Internacional",IF(M518=F518,"Local","Turista Nacional")))</f>
        <v>Local</v>
      </c>
      <c r="Q518" s="7" t="n">
        <f aca="false">IF($A518="","",DATE(YEAR(B518),MONTH(B518),1))</f>
        <v>45992</v>
      </c>
      <c r="R518" s="4" t="str">
        <f aca="false">IF($A518="","",IF(COUNTIF($A$2:$A518,$A518)&gt;1,"Sim","Não"))</f>
        <v>Não</v>
      </c>
      <c r="S518" s="4" t="str">
        <f aca="false">IF(A518="","Descartar - Linha vazia",IF(R518="Sim","Descartar - Duplicado",IF(OR(H518&lt;=0,I518&lt;=0),"Descartar - Qtd/Valor inválido","OK")))</f>
        <v>OK</v>
      </c>
      <c r="T518" s="4" t="str">
        <f aca="false">Base_Bruta!P518</f>
        <v>vendas_SP.xlsx</v>
      </c>
    </row>
    <row r="519" customFormat="false" ht="15" hidden="false" customHeight="false" outlineLevel="0" collapsed="false">
      <c r="A519" s="4" t="str">
        <f aca="false">IF(Base_Bruta!A519="","",Base_Bruta!A519)</f>
        <v>SP-000274</v>
      </c>
      <c r="B519" s="5" t="n">
        <f aca="false">IF($A519="","",IF(ISNUMBER(Base_Bruta!B519),Base_Bruta!B519,IF(MID(Base_Bruta!B519,5,1)="-",DATE(VALUE(LEFT(Base_Bruta!B519,4)),VALUE(MID(Base_Bruta!B519,6,2)),VALUE(RIGHT(Base_Bruta!B519,2))),DATE(VALUE(RIGHT(Base_Bruta!B519,4)),VALUE(MID(Base_Bruta!B519,4,2)),VALUE(LEFT(Base_Bruta!B519,2))))))</f>
        <v>46012</v>
      </c>
      <c r="C519" s="5" t="n">
        <f aca="false">IF($A519="","",IF(ISNUMBER(Base_Bruta!C519),Base_Bruta!C519,IF(MID(Base_Bruta!C519,5,1)="-",DATE(VALUE(LEFT(Base_Bruta!C519,4)),VALUE(MID(Base_Bruta!C519,6,2)),VALUE(RIGHT(Base_Bruta!C519,2))),DATE(VALUE(RIGHT(Base_Bruta!C519,4)),VALUE(MID(Base_Bruta!C519,4,2)),VALUE(LEFT(Base_Bruta!C519,2))))))</f>
        <v>46130</v>
      </c>
      <c r="D519" s="4" t="str">
        <f aca="false">IF($A519="","",TRIM(Base_Bruta!D519))</f>
        <v>Festival Sonora SP 2026</v>
      </c>
      <c r="E519" s="4" t="str">
        <f aca="false">IF($A519="","",_xlfn.XLOOKUP(LOWER(TRIM(Base_Bruta!E519)),DePara_Categoria!$A$2:$A$9,DePara_Categoria!$B$2:$B$9,"REVISAR"))</f>
        <v>Festival</v>
      </c>
      <c r="F519" s="4" t="str">
        <f aca="false">IF($A519="","",_xlfn.XLOOKUP(LOWER(TRIM(Base_Bruta!F519)),DePara_Cidade!$A$2:$A$29,DePara_Cidade!$B$2:$B$29,"REVISAR"))</f>
        <v>São Paulo</v>
      </c>
      <c r="G519" s="4" t="str">
        <f aca="false">IF($A519="","",TRIM(Base_Bruta!G519))</f>
        <v>Meia</v>
      </c>
      <c r="H519" s="4" t="n">
        <f aca="false">IF($A519="","",IF(ISNUMBER(Base_Bruta!H519),Base_Bruta!H519,IFERROR(_xlfn.NUMBERVALUE(TRIM(SUBSTITUTE(Base_Bruta!H519,"R$","")),",","."),0)))</f>
        <v>2</v>
      </c>
      <c r="I519" s="6" t="n">
        <f aca="false">IF($A519="","",IF(ISNUMBER(Base_Bruta!I519),Base_Bruta!I519,IFERROR(_xlfn.NUMBERVALUE(TRIM(SUBSTITUTE(Base_Bruta!I519,"R$","")),",","."),0)))</f>
        <v>540</v>
      </c>
      <c r="J519" s="6" t="n">
        <f aca="false">IF($A519="","",H519*I519)</f>
        <v>1080</v>
      </c>
      <c r="K519" s="4" t="str">
        <f aca="false">IF($A519="","",TRIM(Base_Bruta!J519))</f>
        <v>Site</v>
      </c>
      <c r="L519" s="4" t="str">
        <f aca="false">IF($A519="","",TRIM(Base_Bruta!K519))</f>
        <v>C00391</v>
      </c>
      <c r="M519" s="4" t="str">
        <f aca="false">IF($A519="","",_xlfn.XLOOKUP(LOWER(TRIM(Base_Bruta!L519)),DePara_Cidade!$A$2:$A$29,DePara_Cidade!$B$2:$B$29,"REVISAR"))</f>
        <v>São Paulo</v>
      </c>
      <c r="N519" s="4" t="str">
        <f aca="false">IF($A519="","",UPPER(TRIM(Base_Bruta!M519)))</f>
        <v>SP</v>
      </c>
      <c r="O519" s="4" t="str">
        <f aca="false">IF($A519="","",_xlfn.XLOOKUP(LOWER(TRIM(Base_Bruta!N519)),DePara_Pais!$A$2:$A$9,DePara_Pais!$B$2:$B$9,"REVISAR"))</f>
        <v>Brasil</v>
      </c>
      <c r="P519" s="4" t="str">
        <f aca="false">IF($A519="","",IF(O519&lt;&gt;"Brasil","Turista Internacional",IF(M519=F519,"Local","Turista Nacional")))</f>
        <v>Local</v>
      </c>
      <c r="Q519" s="7" t="n">
        <f aca="false">IF($A519="","",DATE(YEAR(B519),MONTH(B519),1))</f>
        <v>45992</v>
      </c>
      <c r="R519" s="4" t="str">
        <f aca="false">IF($A519="","",IF(COUNTIF($A$2:$A519,$A519)&gt;1,"Sim","Não"))</f>
        <v>Não</v>
      </c>
      <c r="S519" s="4" t="str">
        <f aca="false">IF(A519="","Descartar - Linha vazia",IF(R519="Sim","Descartar - Duplicado",IF(OR(H519&lt;=0,I519&lt;=0),"Descartar - Qtd/Valor inválido","OK")))</f>
        <v>OK</v>
      </c>
      <c r="T519" s="4" t="str">
        <f aca="false">Base_Bruta!P519</f>
        <v>vendas_SP.xlsx</v>
      </c>
    </row>
    <row r="520" customFormat="false" ht="15" hidden="false" customHeight="false" outlineLevel="0" collapsed="false">
      <c r="A520" s="4" t="str">
        <f aca="false">IF(Base_Bruta!A520="","",Base_Bruta!A520)</f>
        <v>SP-000290</v>
      </c>
      <c r="B520" s="5" t="n">
        <f aca="false">IF($A520="","",IF(ISNUMBER(Base_Bruta!B520),Base_Bruta!B520,IF(MID(Base_Bruta!B520,5,1)="-",DATE(VALUE(LEFT(Base_Bruta!B520,4)),VALUE(MID(Base_Bruta!B520,6,2)),VALUE(RIGHT(Base_Bruta!B520,2))),DATE(VALUE(RIGHT(Base_Bruta!B520,4)),VALUE(MID(Base_Bruta!B520,4,2)),VALUE(LEFT(Base_Bruta!B520,2))))))</f>
        <v>46012</v>
      </c>
      <c r="C520" s="5" t="n">
        <f aca="false">IF($A520="","",IF(ISNUMBER(Base_Bruta!C520),Base_Bruta!C520,IF(MID(Base_Bruta!C520,5,1)="-",DATE(VALUE(LEFT(Base_Bruta!C520,4)),VALUE(MID(Base_Bruta!C520,6,2)),VALUE(RIGHT(Base_Bruta!C520,2))),DATE(VALUE(RIGHT(Base_Bruta!C520,4)),VALUE(MID(Base_Bruta!C520,4,2)),VALUE(LEFT(Base_Bruta!C520,2))))))</f>
        <v>46130</v>
      </c>
      <c r="D520" s="4" t="str">
        <f aca="false">IF($A520="","",TRIM(Base_Bruta!D520))</f>
        <v>Festival Sonora SP 2026</v>
      </c>
      <c r="E520" s="4" t="str">
        <f aca="false">IF($A520="","",_xlfn.XLOOKUP(LOWER(TRIM(Base_Bruta!E520)),DePara_Categoria!$A$2:$A$9,DePara_Categoria!$B$2:$B$9,"REVISAR"))</f>
        <v>Festival</v>
      </c>
      <c r="F520" s="4" t="str">
        <f aca="false">IF($A520="","",_xlfn.XLOOKUP(LOWER(TRIM(Base_Bruta!F520)),DePara_Cidade!$A$2:$A$29,DePara_Cidade!$B$2:$B$29,"REVISAR"))</f>
        <v>São Paulo</v>
      </c>
      <c r="G520" s="4" t="str">
        <f aca="false">IF($A520="","",TRIM(Base_Bruta!G520))</f>
        <v>Inteira</v>
      </c>
      <c r="H520" s="4" t="n">
        <f aca="false">IF($A520="","",IF(ISNUMBER(Base_Bruta!H520),Base_Bruta!H520,IFERROR(_xlfn.NUMBERVALUE(TRIM(SUBSTITUTE(Base_Bruta!H520,"R$","")),",","."),0)))</f>
        <v>2</v>
      </c>
      <c r="I520" s="6" t="n">
        <f aca="false">IF($A520="","",IF(ISNUMBER(Base_Bruta!I520),Base_Bruta!I520,IFERROR(_xlfn.NUMBERVALUE(TRIM(SUBSTITUTE(Base_Bruta!I520,"R$","")),",","."),0)))</f>
        <v>1085</v>
      </c>
      <c r="J520" s="6" t="n">
        <f aca="false">IF($A520="","",H520*I520)</f>
        <v>2170</v>
      </c>
      <c r="K520" s="4" t="str">
        <f aca="false">IF($A520="","",TRIM(Base_Bruta!J520))</f>
        <v>Site</v>
      </c>
      <c r="L520" s="4" t="str">
        <f aca="false">IF($A520="","",TRIM(Base_Bruta!K520))</f>
        <v>C01756</v>
      </c>
      <c r="M520" s="4" t="str">
        <f aca="false">IF($A520="","",_xlfn.XLOOKUP(LOWER(TRIM(Base_Bruta!L520)),DePara_Cidade!$A$2:$A$29,DePara_Cidade!$B$2:$B$29,"REVISAR"))</f>
        <v>São Paulo</v>
      </c>
      <c r="N520" s="4" t="str">
        <f aca="false">IF($A520="","",UPPER(TRIM(Base_Bruta!M520)))</f>
        <v>SP</v>
      </c>
      <c r="O520" s="4" t="str">
        <f aca="false">IF($A520="","",_xlfn.XLOOKUP(LOWER(TRIM(Base_Bruta!N520)),DePara_Pais!$A$2:$A$9,DePara_Pais!$B$2:$B$9,"REVISAR"))</f>
        <v>Brasil</v>
      </c>
      <c r="P520" s="4" t="str">
        <f aca="false">IF($A520="","",IF(O520&lt;&gt;"Brasil","Turista Internacional",IF(M520=F520,"Local","Turista Nacional")))</f>
        <v>Local</v>
      </c>
      <c r="Q520" s="7" t="n">
        <f aca="false">IF($A520="","",DATE(YEAR(B520),MONTH(B520),1))</f>
        <v>45992</v>
      </c>
      <c r="R520" s="4" t="str">
        <f aca="false">IF($A520="","",IF(COUNTIF($A$2:$A520,$A520)&gt;1,"Sim","Não"))</f>
        <v>Não</v>
      </c>
      <c r="S520" s="4" t="str">
        <f aca="false">IF(A520="","Descartar - Linha vazia",IF(R520="Sim","Descartar - Duplicado",IF(OR(H520&lt;=0,I520&lt;=0),"Descartar - Qtd/Valor inválido","OK")))</f>
        <v>OK</v>
      </c>
      <c r="T520" s="4" t="str">
        <f aca="false">Base_Bruta!P520</f>
        <v>vendas_SP.xlsx</v>
      </c>
    </row>
    <row r="521" customFormat="false" ht="15" hidden="false" customHeight="false" outlineLevel="0" collapsed="false">
      <c r="A521" s="4" t="str">
        <f aca="false">IF(Base_Bruta!A521="","",Base_Bruta!A521)</f>
        <v>SP-000296</v>
      </c>
      <c r="B521" s="5" t="n">
        <f aca="false">IF($A521="","",IF(ISNUMBER(Base_Bruta!B521),Base_Bruta!B521,IF(MID(Base_Bruta!B521,5,1)="-",DATE(VALUE(LEFT(Base_Bruta!B521,4)),VALUE(MID(Base_Bruta!B521,6,2)),VALUE(RIGHT(Base_Bruta!B521,2))),DATE(VALUE(RIGHT(Base_Bruta!B521,4)),VALUE(MID(Base_Bruta!B521,4,2)),VALUE(LEFT(Base_Bruta!B521,2))))))</f>
        <v>46012</v>
      </c>
      <c r="C521" s="5" t="n">
        <f aca="false">IF($A521="","",IF(ISNUMBER(Base_Bruta!C521),Base_Bruta!C521,IF(MID(Base_Bruta!C521,5,1)="-",DATE(VALUE(LEFT(Base_Bruta!C521,4)),VALUE(MID(Base_Bruta!C521,6,2)),VALUE(RIGHT(Base_Bruta!C521,2))),DATE(VALUE(RIGHT(Base_Bruta!C521,4)),VALUE(MID(Base_Bruta!C521,4,2)),VALUE(LEFT(Base_Bruta!C521,2))))))</f>
        <v>46130</v>
      </c>
      <c r="D521" s="4" t="str">
        <f aca="false">IF($A521="","",TRIM(Base_Bruta!D521))</f>
        <v>Festival Sonora SP 2026</v>
      </c>
      <c r="E521" s="4" t="str">
        <f aca="false">IF($A521="","",_xlfn.XLOOKUP(LOWER(TRIM(Base_Bruta!E521)),DePara_Categoria!$A$2:$A$9,DePara_Categoria!$B$2:$B$9,"REVISAR"))</f>
        <v>Festival</v>
      </c>
      <c r="F521" s="4" t="str">
        <f aca="false">IF($A521="","",_xlfn.XLOOKUP(LOWER(TRIM(Base_Bruta!F521)),DePara_Cidade!$A$2:$A$29,DePara_Cidade!$B$2:$B$29,"REVISAR"))</f>
        <v>São Paulo</v>
      </c>
      <c r="G521" s="4" t="str">
        <f aca="false">IF($A521="","",TRIM(Base_Bruta!G521))</f>
        <v>Meia</v>
      </c>
      <c r="H521" s="4" t="n">
        <f aca="false">IF($A521="","",IF(ISNUMBER(Base_Bruta!H521),Base_Bruta!H521,IFERROR(_xlfn.NUMBERVALUE(TRIM(SUBSTITUTE(Base_Bruta!H521,"R$","")),",","."),0)))</f>
        <v>3</v>
      </c>
      <c r="I521" s="6" t="n">
        <f aca="false">IF($A521="","",IF(ISNUMBER(Base_Bruta!I521),Base_Bruta!I521,IFERROR(_xlfn.NUMBERVALUE(TRIM(SUBSTITUTE(Base_Bruta!I521,"R$","")),",","."),0)))</f>
        <v>342.5</v>
      </c>
      <c r="J521" s="6" t="n">
        <f aca="false">IF($A521="","",H521*I521)</f>
        <v>1027.5</v>
      </c>
      <c r="K521" s="4" t="str">
        <f aca="false">IF($A521="","",TRIM(Base_Bruta!J521))</f>
        <v>App</v>
      </c>
      <c r="L521" s="4" t="str">
        <f aca="false">IF($A521="","",TRIM(Base_Bruta!K521))</f>
        <v>C01815</v>
      </c>
      <c r="M521" s="4" t="str">
        <f aca="false">IF($A521="","",_xlfn.XLOOKUP(LOWER(TRIM(Base_Bruta!L521)),DePara_Cidade!$A$2:$A$29,DePara_Cidade!$B$2:$B$29,"REVISAR"))</f>
        <v>Salvador</v>
      </c>
      <c r="N521" s="4" t="str">
        <f aca="false">IF($A521="","",UPPER(TRIM(Base_Bruta!M521)))</f>
        <v>BA</v>
      </c>
      <c r="O521" s="4" t="str">
        <f aca="false">IF($A521="","",_xlfn.XLOOKUP(LOWER(TRIM(Base_Bruta!N521)),DePara_Pais!$A$2:$A$9,DePara_Pais!$B$2:$B$9,"REVISAR"))</f>
        <v>Brasil</v>
      </c>
      <c r="P521" s="4" t="str">
        <f aca="false">IF($A521="","",IF(O521&lt;&gt;"Brasil","Turista Internacional",IF(M521=F521,"Local","Turista Nacional")))</f>
        <v>Turista Nacional</v>
      </c>
      <c r="Q521" s="7" t="n">
        <f aca="false">IF($A521="","",DATE(YEAR(B521),MONTH(B521),1))</f>
        <v>45992</v>
      </c>
      <c r="R521" s="4" t="str">
        <f aca="false">IF($A521="","",IF(COUNTIF($A$2:$A521,$A521)&gt;1,"Sim","Não"))</f>
        <v>Não</v>
      </c>
      <c r="S521" s="4" t="str">
        <f aca="false">IF(A521="","Descartar - Linha vazia",IF(R521="Sim","Descartar - Duplicado",IF(OR(H521&lt;=0,I521&lt;=0),"Descartar - Qtd/Valor inválido","OK")))</f>
        <v>OK</v>
      </c>
      <c r="T521" s="4" t="str">
        <f aca="false">Base_Bruta!P521</f>
        <v>vendas_SP.xlsx</v>
      </c>
    </row>
    <row r="522" customFormat="false" ht="15" hidden="false" customHeight="false" outlineLevel="0" collapsed="false">
      <c r="A522" s="4" t="str">
        <f aca="false">IF(Base_Bruta!A522="","",Base_Bruta!A522)</f>
        <v>SP-000319</v>
      </c>
      <c r="B522" s="5" t="n">
        <f aca="false">IF($A522="","",IF(ISNUMBER(Base_Bruta!B522),Base_Bruta!B522,IF(MID(Base_Bruta!B522,5,1)="-",DATE(VALUE(LEFT(Base_Bruta!B522,4)),VALUE(MID(Base_Bruta!B522,6,2)),VALUE(RIGHT(Base_Bruta!B522,2))),DATE(VALUE(RIGHT(Base_Bruta!B522,4)),VALUE(MID(Base_Bruta!B522,4,2)),VALUE(LEFT(Base_Bruta!B522,2))))))</f>
        <v>46012</v>
      </c>
      <c r="C522" s="5" t="n">
        <f aca="false">IF($A522="","",IF(ISNUMBER(Base_Bruta!C522),Base_Bruta!C522,IF(MID(Base_Bruta!C522,5,1)="-",DATE(VALUE(LEFT(Base_Bruta!C522,4)),VALUE(MID(Base_Bruta!C522,6,2)),VALUE(RIGHT(Base_Bruta!C522,2))),DATE(VALUE(RIGHT(Base_Bruta!C522,4)),VALUE(MID(Base_Bruta!C522,4,2)),VALUE(LEFT(Base_Bruta!C522,2))))))</f>
        <v>46130</v>
      </c>
      <c r="D522" s="4" t="str">
        <f aca="false">IF($A522="","",TRIM(Base_Bruta!D522))</f>
        <v>Festival Sonora SP 2026</v>
      </c>
      <c r="E522" s="4" t="str">
        <f aca="false">IF($A522="","",_xlfn.XLOOKUP(LOWER(TRIM(Base_Bruta!E522)),DePara_Categoria!$A$2:$A$9,DePara_Categoria!$B$2:$B$9,"REVISAR"))</f>
        <v>Festival</v>
      </c>
      <c r="F522" s="4" t="str">
        <f aca="false">IF($A522="","",_xlfn.XLOOKUP(LOWER(TRIM(Base_Bruta!F522)),DePara_Cidade!$A$2:$A$29,DePara_Cidade!$B$2:$B$29,"REVISAR"))</f>
        <v>São Paulo</v>
      </c>
      <c r="G522" s="4" t="str">
        <f aca="false">IF($A522="","",TRIM(Base_Bruta!G522))</f>
        <v>Inteira</v>
      </c>
      <c r="H522" s="4" t="n">
        <f aca="false">IF($A522="","",IF(ISNUMBER(Base_Bruta!H522),Base_Bruta!H522,IFERROR(_xlfn.NUMBERVALUE(TRIM(SUBSTITUTE(Base_Bruta!H522,"R$","")),",","."),0)))</f>
        <v>2</v>
      </c>
      <c r="I522" s="6" t="n">
        <f aca="false">IF($A522="","",IF(ISNUMBER(Base_Bruta!I522),Base_Bruta!I522,IFERROR(_xlfn.NUMBERVALUE(TRIM(SUBSTITUTE(Base_Bruta!I522,"R$","")),",","."),0)))</f>
        <v>910</v>
      </c>
      <c r="J522" s="6" t="n">
        <f aca="false">IF($A522="","",H522*I522)</f>
        <v>1820</v>
      </c>
      <c r="K522" s="4" t="str">
        <f aca="false">IF($A522="","",TRIM(Base_Bruta!J522))</f>
        <v>Site</v>
      </c>
      <c r="L522" s="4" t="str">
        <f aca="false">IF($A522="","",TRIM(Base_Bruta!K522))</f>
        <v>C02410</v>
      </c>
      <c r="M522" s="4" t="str">
        <f aca="false">IF($A522="","",_xlfn.XLOOKUP(LOWER(TRIM(Base_Bruta!L522)),DePara_Cidade!$A$2:$A$29,DePara_Cidade!$B$2:$B$29,"REVISAR"))</f>
        <v>São Paulo</v>
      </c>
      <c r="N522" s="4" t="str">
        <f aca="false">IF($A522="","",UPPER(TRIM(Base_Bruta!M522)))</f>
        <v>SP</v>
      </c>
      <c r="O522" s="4" t="str">
        <f aca="false">IF($A522="","",_xlfn.XLOOKUP(LOWER(TRIM(Base_Bruta!N522)),DePara_Pais!$A$2:$A$9,DePara_Pais!$B$2:$B$9,"REVISAR"))</f>
        <v>Brasil</v>
      </c>
      <c r="P522" s="4" t="str">
        <f aca="false">IF($A522="","",IF(O522&lt;&gt;"Brasil","Turista Internacional",IF(M522=F522,"Local","Turista Nacional")))</f>
        <v>Local</v>
      </c>
      <c r="Q522" s="7" t="n">
        <f aca="false">IF($A522="","",DATE(YEAR(B522),MONTH(B522),1))</f>
        <v>45992</v>
      </c>
      <c r="R522" s="4" t="str">
        <f aca="false">IF($A522="","",IF(COUNTIF($A$2:$A522,$A522)&gt;1,"Sim","Não"))</f>
        <v>Não</v>
      </c>
      <c r="S522" s="4" t="str">
        <f aca="false">IF(A522="","Descartar - Linha vazia",IF(R522="Sim","Descartar - Duplicado",IF(OR(H522&lt;=0,I522&lt;=0),"Descartar - Qtd/Valor inválido","OK")))</f>
        <v>OK</v>
      </c>
      <c r="T522" s="4" t="str">
        <f aca="false">Base_Bruta!P522</f>
        <v>vendas_SP.xlsx</v>
      </c>
    </row>
    <row r="523" customFormat="false" ht="15" hidden="false" customHeight="false" outlineLevel="0" collapsed="false">
      <c r="A523" s="4" t="str">
        <f aca="false">IF(Base_Bruta!A523="","",Base_Bruta!A523)</f>
        <v>SP-000406</v>
      </c>
      <c r="B523" s="5" t="n">
        <f aca="false">IF($A523="","",IF(ISNUMBER(Base_Bruta!B523),Base_Bruta!B523,IF(MID(Base_Bruta!B523,5,1)="-",DATE(VALUE(LEFT(Base_Bruta!B523,4)),VALUE(MID(Base_Bruta!B523,6,2)),VALUE(RIGHT(Base_Bruta!B523,2))),DATE(VALUE(RIGHT(Base_Bruta!B523,4)),VALUE(MID(Base_Bruta!B523,4,2)),VALUE(LEFT(Base_Bruta!B523,2))))))</f>
        <v>46012</v>
      </c>
      <c r="C523" s="5" t="n">
        <f aca="false">IF($A523="","",IF(ISNUMBER(Base_Bruta!C523),Base_Bruta!C523,IF(MID(Base_Bruta!C523,5,1)="-",DATE(VALUE(LEFT(Base_Bruta!C523,4)),VALUE(MID(Base_Bruta!C523,6,2)),VALUE(RIGHT(Base_Bruta!C523,2))),DATE(VALUE(RIGHT(Base_Bruta!C523,4)),VALUE(MID(Base_Bruta!C523,4,2)),VALUE(LEFT(Base_Bruta!C523,2))))))</f>
        <v>46130</v>
      </c>
      <c r="D523" s="4" t="str">
        <f aca="false">IF($A523="","",TRIM(Base_Bruta!D523))</f>
        <v>Festival Sonora SP 2026</v>
      </c>
      <c r="E523" s="4" t="str">
        <f aca="false">IF($A523="","",_xlfn.XLOOKUP(LOWER(TRIM(Base_Bruta!E523)),DePara_Categoria!$A$2:$A$9,DePara_Categoria!$B$2:$B$9,"REVISAR"))</f>
        <v>Festival</v>
      </c>
      <c r="F523" s="4" t="str">
        <f aca="false">IF($A523="","",_xlfn.XLOOKUP(LOWER(TRIM(Base_Bruta!F523)),DePara_Cidade!$A$2:$A$29,DePara_Cidade!$B$2:$B$29,"REVISAR"))</f>
        <v>São Paulo</v>
      </c>
      <c r="G523" s="4" t="str">
        <f aca="false">IF($A523="","",TRIM(Base_Bruta!G523))</f>
        <v>Meia</v>
      </c>
      <c r="H523" s="4" t="n">
        <f aca="false">IF($A523="","",IF(ISNUMBER(Base_Bruta!H523),Base_Bruta!H523,IFERROR(_xlfn.NUMBERVALUE(TRIM(SUBSTITUTE(Base_Bruta!H523,"R$","")),",","."),0)))</f>
        <v>3</v>
      </c>
      <c r="I523" s="6" t="n">
        <f aca="false">IF($A523="","",IF(ISNUMBER(Base_Bruta!I523),Base_Bruta!I523,IFERROR(_xlfn.NUMBERVALUE(TRIM(SUBSTITUTE(Base_Bruta!I523,"R$","")),",","."),0)))</f>
        <v>387.5</v>
      </c>
      <c r="J523" s="6" t="n">
        <f aca="false">IF($A523="","",H523*I523)</f>
        <v>1162.5</v>
      </c>
      <c r="K523" s="4" t="str">
        <f aca="false">IF($A523="","",TRIM(Base_Bruta!J523))</f>
        <v>Site</v>
      </c>
      <c r="L523" s="4" t="str">
        <f aca="false">IF($A523="","",TRIM(Base_Bruta!K523))</f>
        <v>C00223</v>
      </c>
      <c r="M523" s="4" t="str">
        <f aca="false">IF($A523="","",_xlfn.XLOOKUP(LOWER(TRIM(Base_Bruta!L523)),DePara_Cidade!$A$2:$A$29,DePara_Cidade!$B$2:$B$29,"REVISAR"))</f>
        <v>Santiago</v>
      </c>
      <c r="N523" s="4" t="str">
        <f aca="false">IF($A523="","",UPPER(TRIM(Base_Bruta!M523)))</f>
        <v>EX</v>
      </c>
      <c r="O523" s="4" t="str">
        <f aca="false">IF($A523="","",_xlfn.XLOOKUP(LOWER(TRIM(Base_Bruta!N523)),DePara_Pais!$A$2:$A$9,DePara_Pais!$B$2:$B$9,"REVISAR"))</f>
        <v>Chile</v>
      </c>
      <c r="P523" s="4" t="str">
        <f aca="false">IF($A523="","",IF(O523&lt;&gt;"Brasil","Turista Internacional",IF(M523=F523,"Local","Turista Nacional")))</f>
        <v>Turista Internacional</v>
      </c>
      <c r="Q523" s="7" t="n">
        <f aca="false">IF($A523="","",DATE(YEAR(B523),MONTH(B523),1))</f>
        <v>45992</v>
      </c>
      <c r="R523" s="4" t="str">
        <f aca="false">IF($A523="","",IF(COUNTIF($A$2:$A523,$A523)&gt;1,"Sim","Não"))</f>
        <v>Não</v>
      </c>
      <c r="S523" s="4" t="str">
        <f aca="false">IF(A523="","Descartar - Linha vazia",IF(R523="Sim","Descartar - Duplicado",IF(OR(H523&lt;=0,I523&lt;=0),"Descartar - Qtd/Valor inválido","OK")))</f>
        <v>OK</v>
      </c>
      <c r="T523" s="4" t="str">
        <f aca="false">Base_Bruta!P523</f>
        <v>vendas_SP.xlsx</v>
      </c>
    </row>
    <row r="524" customFormat="false" ht="15" hidden="false" customHeight="false" outlineLevel="0" collapsed="false">
      <c r="A524" s="4" t="str">
        <f aca="false">IF(Base_Bruta!A524="","",Base_Bruta!A524)</f>
        <v>SP-000434</v>
      </c>
      <c r="B524" s="5" t="n">
        <f aca="false">IF($A524="","",IF(ISNUMBER(Base_Bruta!B524),Base_Bruta!B524,IF(MID(Base_Bruta!B524,5,1)="-",DATE(VALUE(LEFT(Base_Bruta!B524,4)),VALUE(MID(Base_Bruta!B524,6,2)),VALUE(RIGHT(Base_Bruta!B524,2))),DATE(VALUE(RIGHT(Base_Bruta!B524,4)),VALUE(MID(Base_Bruta!B524,4,2)),VALUE(LEFT(Base_Bruta!B524,2))))))</f>
        <v>46012</v>
      </c>
      <c r="C524" s="5" t="n">
        <f aca="false">IF($A524="","",IF(ISNUMBER(Base_Bruta!C524),Base_Bruta!C524,IF(MID(Base_Bruta!C524,5,1)="-",DATE(VALUE(LEFT(Base_Bruta!C524,4)),VALUE(MID(Base_Bruta!C524,6,2)),VALUE(RIGHT(Base_Bruta!C524,2))),DATE(VALUE(RIGHT(Base_Bruta!C524,4)),VALUE(MID(Base_Bruta!C524,4,2)),VALUE(LEFT(Base_Bruta!C524,2))))))</f>
        <v>46130</v>
      </c>
      <c r="D524" s="4" t="str">
        <f aca="false">IF($A524="","",TRIM(Base_Bruta!D524))</f>
        <v>Festival Sonora SP 2026</v>
      </c>
      <c r="E524" s="4" t="str">
        <f aca="false">IF($A524="","",_xlfn.XLOOKUP(LOWER(TRIM(Base_Bruta!E524)),DePara_Categoria!$A$2:$A$9,DePara_Categoria!$B$2:$B$9,"REVISAR"))</f>
        <v>Festival</v>
      </c>
      <c r="F524" s="4" t="str">
        <f aca="false">IF($A524="","",_xlfn.XLOOKUP(LOWER(TRIM(Base_Bruta!F524)),DePara_Cidade!$A$2:$A$29,DePara_Cidade!$B$2:$B$29,"REVISAR"))</f>
        <v>São Paulo</v>
      </c>
      <c r="G524" s="4" t="str">
        <f aca="false">IF($A524="","",TRIM(Base_Bruta!G524))</f>
        <v>Inteira</v>
      </c>
      <c r="H524" s="4" t="n">
        <f aca="false">IF($A524="","",IF(ISNUMBER(Base_Bruta!H524),Base_Bruta!H524,IFERROR(_xlfn.NUMBERVALUE(TRIM(SUBSTITUTE(Base_Bruta!H524,"R$","")),",","."),0)))</f>
        <v>1</v>
      </c>
      <c r="I524" s="6" t="n">
        <f aca="false">IF($A524="","",IF(ISNUMBER(Base_Bruta!I524),Base_Bruta!I524,IFERROR(_xlfn.NUMBERVALUE(TRIM(SUBSTITUTE(Base_Bruta!I524,"R$","")),",","."),0)))</f>
        <v>785</v>
      </c>
      <c r="J524" s="6" t="n">
        <f aca="false">IF($A524="","",H524*I524)</f>
        <v>785</v>
      </c>
      <c r="K524" s="4" t="str">
        <f aca="false">IF($A524="","",TRIM(Base_Bruta!J524))</f>
        <v>App</v>
      </c>
      <c r="L524" s="4" t="str">
        <f aca="false">IF($A524="","",TRIM(Base_Bruta!K524))</f>
        <v>C01354</v>
      </c>
      <c r="M524" s="4" t="str">
        <f aca="false">IF($A524="","",_xlfn.XLOOKUP(LOWER(TRIM(Base_Bruta!L524)),DePara_Cidade!$A$2:$A$29,DePara_Cidade!$B$2:$B$29,"REVISAR"))</f>
        <v>Contagem</v>
      </c>
      <c r="N524" s="4" t="str">
        <f aca="false">IF($A524="","",UPPER(TRIM(Base_Bruta!M524)))</f>
        <v>MG</v>
      </c>
      <c r="O524" s="4" t="str">
        <f aca="false">IF($A524="","",_xlfn.XLOOKUP(LOWER(TRIM(Base_Bruta!N524)),DePara_Pais!$A$2:$A$9,DePara_Pais!$B$2:$B$9,"REVISAR"))</f>
        <v>Brasil</v>
      </c>
      <c r="P524" s="4" t="str">
        <f aca="false">IF($A524="","",IF(O524&lt;&gt;"Brasil","Turista Internacional",IF(M524=F524,"Local","Turista Nacional")))</f>
        <v>Turista Nacional</v>
      </c>
      <c r="Q524" s="7" t="n">
        <f aca="false">IF($A524="","",DATE(YEAR(B524),MONTH(B524),1))</f>
        <v>45992</v>
      </c>
      <c r="R524" s="4" t="str">
        <f aca="false">IF($A524="","",IF(COUNTIF($A$2:$A524,$A524)&gt;1,"Sim","Não"))</f>
        <v>Não</v>
      </c>
      <c r="S524" s="4" t="str">
        <f aca="false">IF(A524="","Descartar - Linha vazia",IF(R524="Sim","Descartar - Duplicado",IF(OR(H524&lt;=0,I524&lt;=0),"Descartar - Qtd/Valor inválido","OK")))</f>
        <v>OK</v>
      </c>
      <c r="T524" s="4" t="str">
        <f aca="false">Base_Bruta!P524</f>
        <v>vendas_SP.xlsx</v>
      </c>
    </row>
    <row r="525" customFormat="false" ht="15" hidden="false" customHeight="false" outlineLevel="0" collapsed="false">
      <c r="A525" s="4" t="str">
        <f aca="false">IF(Base_Bruta!A525="","",Base_Bruta!A525)</f>
        <v>SP-000459</v>
      </c>
      <c r="B525" s="5" t="n">
        <f aca="false">IF($A525="","",IF(ISNUMBER(Base_Bruta!B525),Base_Bruta!B525,IF(MID(Base_Bruta!B525,5,1)="-",DATE(VALUE(LEFT(Base_Bruta!B525,4)),VALUE(MID(Base_Bruta!B525,6,2)),VALUE(RIGHT(Base_Bruta!B525,2))),DATE(VALUE(RIGHT(Base_Bruta!B525,4)),VALUE(MID(Base_Bruta!B525,4,2)),VALUE(LEFT(Base_Bruta!B525,2))))))</f>
        <v>46012</v>
      </c>
      <c r="C525" s="5" t="n">
        <f aca="false">IF($A525="","",IF(ISNUMBER(Base_Bruta!C525),Base_Bruta!C525,IF(MID(Base_Bruta!C525,5,1)="-",DATE(VALUE(LEFT(Base_Bruta!C525,4)),VALUE(MID(Base_Bruta!C525,6,2)),VALUE(RIGHT(Base_Bruta!C525,2))),DATE(VALUE(RIGHT(Base_Bruta!C525,4)),VALUE(MID(Base_Bruta!C525,4,2)),VALUE(LEFT(Base_Bruta!C525,2))))))</f>
        <v>46130</v>
      </c>
      <c r="D525" s="4" t="str">
        <f aca="false">IF($A525="","",TRIM(Base_Bruta!D525))</f>
        <v>Festival Sonora SP 2026</v>
      </c>
      <c r="E525" s="4" t="str">
        <f aca="false">IF($A525="","",_xlfn.XLOOKUP(LOWER(TRIM(Base_Bruta!E525)),DePara_Categoria!$A$2:$A$9,DePara_Categoria!$B$2:$B$9,"REVISAR"))</f>
        <v>Festival</v>
      </c>
      <c r="F525" s="4" t="str">
        <f aca="false">IF($A525="","",_xlfn.XLOOKUP(LOWER(TRIM(Base_Bruta!F525)),DePara_Cidade!$A$2:$A$29,DePara_Cidade!$B$2:$B$29,"REVISAR"))</f>
        <v>São Paulo</v>
      </c>
      <c r="G525" s="4" t="str">
        <f aca="false">IF($A525="","",TRIM(Base_Bruta!G525))</f>
        <v>Meia</v>
      </c>
      <c r="H525" s="4" t="n">
        <f aca="false">IF($A525="","",IF(ISNUMBER(Base_Bruta!H525),Base_Bruta!H525,IFERROR(_xlfn.NUMBERVALUE(TRIM(SUBSTITUTE(Base_Bruta!H525,"R$","")),",","."),0)))</f>
        <v>2</v>
      </c>
      <c r="I525" s="6" t="n">
        <f aca="false">IF($A525="","",IF(ISNUMBER(Base_Bruta!I525),Base_Bruta!I525,IFERROR(_xlfn.NUMBERVALUE(TRIM(SUBSTITUTE(Base_Bruta!I525,"R$","")),",","."),0)))</f>
        <v>327.5</v>
      </c>
      <c r="J525" s="6" t="n">
        <f aca="false">IF($A525="","",H525*I525)</f>
        <v>655</v>
      </c>
      <c r="K525" s="4" t="str">
        <f aca="false">IF($A525="","",TRIM(Base_Bruta!J525))</f>
        <v>App</v>
      </c>
      <c r="L525" s="4" t="str">
        <f aca="false">IF($A525="","",TRIM(Base_Bruta!K525))</f>
        <v>C02030</v>
      </c>
      <c r="M525" s="4" t="str">
        <f aca="false">IF($A525="","",_xlfn.XLOOKUP(LOWER(TRIM(Base_Bruta!L525)),DePara_Cidade!$A$2:$A$29,DePara_Cidade!$B$2:$B$29,"REVISAR"))</f>
        <v>Vitória</v>
      </c>
      <c r="N525" s="4" t="str">
        <f aca="false">IF($A525="","",UPPER(TRIM(Base_Bruta!M525)))</f>
        <v>ES</v>
      </c>
      <c r="O525" s="4" t="str">
        <f aca="false">IF($A525="","",_xlfn.XLOOKUP(LOWER(TRIM(Base_Bruta!N525)),DePara_Pais!$A$2:$A$9,DePara_Pais!$B$2:$B$9,"REVISAR"))</f>
        <v>Brasil</v>
      </c>
      <c r="P525" s="4" t="str">
        <f aca="false">IF($A525="","",IF(O525&lt;&gt;"Brasil","Turista Internacional",IF(M525=F525,"Local","Turista Nacional")))</f>
        <v>Turista Nacional</v>
      </c>
      <c r="Q525" s="7" t="n">
        <f aca="false">IF($A525="","",DATE(YEAR(B525),MONTH(B525),1))</f>
        <v>45992</v>
      </c>
      <c r="R525" s="4" t="str">
        <f aca="false">IF($A525="","",IF(COUNTIF($A$2:$A525,$A525)&gt;1,"Sim","Não"))</f>
        <v>Não</v>
      </c>
      <c r="S525" s="4" t="str">
        <f aca="false">IF(A525="","Descartar - Linha vazia",IF(R525="Sim","Descartar - Duplicado",IF(OR(H525&lt;=0,I525&lt;=0),"Descartar - Qtd/Valor inválido","OK")))</f>
        <v>OK</v>
      </c>
      <c r="T525" s="4" t="str">
        <f aca="false">Base_Bruta!P525</f>
        <v>vendas_SP.xlsx</v>
      </c>
    </row>
    <row r="526" customFormat="false" ht="15" hidden="false" customHeight="false" outlineLevel="0" collapsed="false">
      <c r="A526" s="4" t="str">
        <f aca="false">IF(Base_Bruta!A526="","",Base_Bruta!A526)</f>
        <v>SP-000621</v>
      </c>
      <c r="B526" s="5" t="n">
        <f aca="false">IF($A526="","",IF(ISNUMBER(Base_Bruta!B526),Base_Bruta!B526,IF(MID(Base_Bruta!B526,5,1)="-",DATE(VALUE(LEFT(Base_Bruta!B526,4)),VALUE(MID(Base_Bruta!B526,6,2)),VALUE(RIGHT(Base_Bruta!B526,2))),DATE(VALUE(RIGHT(Base_Bruta!B526,4)),VALUE(MID(Base_Bruta!B526,4,2)),VALUE(LEFT(Base_Bruta!B526,2))))))</f>
        <v>46012</v>
      </c>
      <c r="C526" s="5" t="n">
        <f aca="false">IF($A526="","",IF(ISNUMBER(Base_Bruta!C526),Base_Bruta!C526,IF(MID(Base_Bruta!C526,5,1)="-",DATE(VALUE(LEFT(Base_Bruta!C526,4)),VALUE(MID(Base_Bruta!C526,6,2)),VALUE(RIGHT(Base_Bruta!C526,2))),DATE(VALUE(RIGHT(Base_Bruta!C526,4)),VALUE(MID(Base_Bruta!C526,4,2)),VALUE(LEFT(Base_Bruta!C526,2))))))</f>
        <v>46012</v>
      </c>
      <c r="D526" s="4" t="str">
        <f aca="false">IF($A526="","",TRIM(Base_Bruta!D526))</f>
        <v>Cinema Paulista - Sessões</v>
      </c>
      <c r="E526" s="4" t="str">
        <f aca="false">IF($A526="","",_xlfn.XLOOKUP(LOWER(TRIM(Base_Bruta!E526)),DePara_Categoria!$A$2:$A$9,DePara_Categoria!$B$2:$B$9,"REVISAR"))</f>
        <v>Cinema</v>
      </c>
      <c r="F526" s="4" t="str">
        <f aca="false">IF($A526="","",_xlfn.XLOOKUP(LOWER(TRIM(Base_Bruta!F526)),DePara_Cidade!$A$2:$A$29,DePara_Cidade!$B$2:$B$29,"REVISAR"))</f>
        <v>São Paulo</v>
      </c>
      <c r="G526" s="4" t="str">
        <f aca="false">IF($A526="","",TRIM(Base_Bruta!G526))</f>
        <v>Inteira</v>
      </c>
      <c r="H526" s="4" t="n">
        <f aca="false">IF($A526="","",IF(ISNUMBER(Base_Bruta!H526),Base_Bruta!H526,IFERROR(_xlfn.NUMBERVALUE(TRIM(SUBSTITUTE(Base_Bruta!H526,"R$","")),",","."),0)))</f>
        <v>2</v>
      </c>
      <c r="I526" s="6" t="n">
        <f aca="false">IF($A526="","",IF(ISNUMBER(Base_Bruta!I526),Base_Bruta!I526,IFERROR(_xlfn.NUMBERVALUE(TRIM(SUBSTITUTE(Base_Bruta!I526,"R$","")),",","."),0)))</f>
        <v>35</v>
      </c>
      <c r="J526" s="6" t="n">
        <f aca="false">IF($A526="","",H526*I526)</f>
        <v>70</v>
      </c>
      <c r="K526" s="4" t="str">
        <f aca="false">IF($A526="","",TRIM(Base_Bruta!J526))</f>
        <v>App</v>
      </c>
      <c r="L526" s="4" t="str">
        <f aca="false">IF($A526="","",TRIM(Base_Bruta!K526))</f>
        <v>C01827</v>
      </c>
      <c r="M526" s="4" t="str">
        <f aca="false">IF($A526="","",_xlfn.XLOOKUP(LOWER(TRIM(Base_Bruta!L526)),DePara_Cidade!$A$2:$A$29,DePara_Cidade!$B$2:$B$29,"REVISAR"))</f>
        <v>São Paulo</v>
      </c>
      <c r="N526" s="4" t="str">
        <f aca="false">IF($A526="","",UPPER(TRIM(Base_Bruta!M526)))</f>
        <v>SP</v>
      </c>
      <c r="O526" s="4" t="str">
        <f aca="false">IF($A526="","",_xlfn.XLOOKUP(LOWER(TRIM(Base_Bruta!N526)),DePara_Pais!$A$2:$A$9,DePara_Pais!$B$2:$B$9,"REVISAR"))</f>
        <v>Brasil</v>
      </c>
      <c r="P526" s="4" t="str">
        <f aca="false">IF($A526="","",IF(O526&lt;&gt;"Brasil","Turista Internacional",IF(M526=F526,"Local","Turista Nacional")))</f>
        <v>Local</v>
      </c>
      <c r="Q526" s="7" t="n">
        <f aca="false">IF($A526="","",DATE(YEAR(B526),MONTH(B526),1))</f>
        <v>45992</v>
      </c>
      <c r="R526" s="4" t="str">
        <f aca="false">IF($A526="","",IF(COUNTIF($A$2:$A526,$A526)&gt;1,"Sim","Não"))</f>
        <v>Não</v>
      </c>
      <c r="S526" s="4" t="str">
        <f aca="false">IF(A526="","Descartar - Linha vazia",IF(R526="Sim","Descartar - Duplicado",IF(OR(H526&lt;=0,I526&lt;=0),"Descartar - Qtd/Valor inválido","OK")))</f>
        <v>OK</v>
      </c>
      <c r="T526" s="4" t="str">
        <f aca="false">Base_Bruta!P526</f>
        <v>vendas_SP.xlsx</v>
      </c>
    </row>
    <row r="527" customFormat="false" ht="15" hidden="false" customHeight="false" outlineLevel="0" collapsed="false">
      <c r="A527" s="4" t="str">
        <f aca="false">IF(Base_Bruta!A527="","",Base_Bruta!A527)</f>
        <v>SP-000346</v>
      </c>
      <c r="B527" s="5" t="n">
        <f aca="false">IF($A527="","",IF(ISNUMBER(Base_Bruta!B527),Base_Bruta!B527,IF(MID(Base_Bruta!B527,5,1)="-",DATE(VALUE(LEFT(Base_Bruta!B527,4)),VALUE(MID(Base_Bruta!B527,6,2)),VALUE(RIGHT(Base_Bruta!B527,2))),DATE(VALUE(RIGHT(Base_Bruta!B527,4)),VALUE(MID(Base_Bruta!B527,4,2)),VALUE(LEFT(Base_Bruta!B527,2))))))</f>
        <v>46013</v>
      </c>
      <c r="C527" s="5" t="n">
        <f aca="false">IF($A527="","",IF(ISNUMBER(Base_Bruta!C527),Base_Bruta!C527,IF(MID(Base_Bruta!C527,5,1)="-",DATE(VALUE(LEFT(Base_Bruta!C527,4)),VALUE(MID(Base_Bruta!C527,6,2)),VALUE(RIGHT(Base_Bruta!C527,2))),DATE(VALUE(RIGHT(Base_Bruta!C527,4)),VALUE(MID(Base_Bruta!C527,4,2)),VALUE(LEFT(Base_Bruta!C527,2))))))</f>
        <v>46130</v>
      </c>
      <c r="D527" s="4" t="str">
        <f aca="false">IF($A527="","",TRIM(Base_Bruta!D527))</f>
        <v>Festival Sonora SP 2026</v>
      </c>
      <c r="E527" s="4" t="str">
        <f aca="false">IF($A527="","",_xlfn.XLOOKUP(LOWER(TRIM(Base_Bruta!E527)),DePara_Categoria!$A$2:$A$9,DePara_Categoria!$B$2:$B$9,"REVISAR"))</f>
        <v>Festival</v>
      </c>
      <c r="F527" s="4" t="str">
        <f aca="false">IF($A527="","",_xlfn.XLOOKUP(LOWER(TRIM(Base_Bruta!F527)),DePara_Cidade!$A$2:$A$29,DePara_Cidade!$B$2:$B$29,"REVISAR"))</f>
        <v>São Paulo</v>
      </c>
      <c r="G527" s="4" t="str">
        <f aca="false">IF($A527="","",TRIM(Base_Bruta!G527))</f>
        <v>Meia</v>
      </c>
      <c r="H527" s="4" t="n">
        <f aca="false">IF($A527="","",IF(ISNUMBER(Base_Bruta!H527),Base_Bruta!H527,IFERROR(_xlfn.NUMBERVALUE(TRIM(SUBSTITUTE(Base_Bruta!H527,"R$","")),",","."),0)))</f>
        <v>1</v>
      </c>
      <c r="I527" s="6" t="n">
        <f aca="false">IF($A527="","",IF(ISNUMBER(Base_Bruta!I527),Base_Bruta!I527,IFERROR(_xlfn.NUMBERVALUE(TRIM(SUBSTITUTE(Base_Bruta!I527,"R$","")),",","."),0)))</f>
        <v>360</v>
      </c>
      <c r="J527" s="6" t="n">
        <f aca="false">IF($A527="","",H527*I527)</f>
        <v>360</v>
      </c>
      <c r="K527" s="4" t="str">
        <f aca="false">IF($A527="","",TRIM(Base_Bruta!J527))</f>
        <v>Bilheteria</v>
      </c>
      <c r="L527" s="4" t="str">
        <f aca="false">IF($A527="","",TRIM(Base_Bruta!K527))</f>
        <v>C01879</v>
      </c>
      <c r="M527" s="4" t="str">
        <f aca="false">IF($A527="","",_xlfn.XLOOKUP(LOWER(TRIM(Base_Bruta!L527)),DePara_Cidade!$A$2:$A$29,DePara_Cidade!$B$2:$B$29,"REVISAR"))</f>
        <v>São Paulo</v>
      </c>
      <c r="N527" s="4" t="str">
        <f aca="false">IF($A527="","",UPPER(TRIM(Base_Bruta!M527)))</f>
        <v>SP</v>
      </c>
      <c r="O527" s="4" t="str">
        <f aca="false">IF($A527="","",_xlfn.XLOOKUP(LOWER(TRIM(Base_Bruta!N527)),DePara_Pais!$A$2:$A$9,DePara_Pais!$B$2:$B$9,"REVISAR"))</f>
        <v>Brasil</v>
      </c>
      <c r="P527" s="4" t="str">
        <f aca="false">IF($A527="","",IF(O527&lt;&gt;"Brasil","Turista Internacional",IF(M527=F527,"Local","Turista Nacional")))</f>
        <v>Local</v>
      </c>
      <c r="Q527" s="7" t="n">
        <f aca="false">IF($A527="","",DATE(YEAR(B527),MONTH(B527),1))</f>
        <v>45992</v>
      </c>
      <c r="R527" s="4" t="str">
        <f aca="false">IF($A527="","",IF(COUNTIF($A$2:$A527,$A527)&gt;1,"Sim","Não"))</f>
        <v>Não</v>
      </c>
      <c r="S527" s="4" t="str">
        <f aca="false">IF(A527="","Descartar - Linha vazia",IF(R527="Sim","Descartar - Duplicado",IF(OR(H527&lt;=0,I527&lt;=0),"Descartar - Qtd/Valor inválido","OK")))</f>
        <v>OK</v>
      </c>
      <c r="T527" s="4" t="str">
        <f aca="false">Base_Bruta!P527</f>
        <v>vendas_SP.xlsx</v>
      </c>
    </row>
    <row r="528" customFormat="false" ht="15" hidden="false" customHeight="false" outlineLevel="0" collapsed="false">
      <c r="A528" s="4" t="str">
        <f aca="false">IF(Base_Bruta!A528="","",Base_Bruta!A528)</f>
        <v>SP-000373</v>
      </c>
      <c r="B528" s="5" t="n">
        <f aca="false">IF($A528="","",IF(ISNUMBER(Base_Bruta!B528),Base_Bruta!B528,IF(MID(Base_Bruta!B528,5,1)="-",DATE(VALUE(LEFT(Base_Bruta!B528,4)),VALUE(MID(Base_Bruta!B528,6,2)),VALUE(RIGHT(Base_Bruta!B528,2))),DATE(VALUE(RIGHT(Base_Bruta!B528,4)),VALUE(MID(Base_Bruta!B528,4,2)),VALUE(LEFT(Base_Bruta!B528,2))))))</f>
        <v>46013</v>
      </c>
      <c r="C528" s="5" t="n">
        <f aca="false">IF($A528="","",IF(ISNUMBER(Base_Bruta!C528),Base_Bruta!C528,IF(MID(Base_Bruta!C528,5,1)="-",DATE(VALUE(LEFT(Base_Bruta!C528,4)),VALUE(MID(Base_Bruta!C528,6,2)),VALUE(RIGHT(Base_Bruta!C528,2))),DATE(VALUE(RIGHT(Base_Bruta!C528,4)),VALUE(MID(Base_Bruta!C528,4,2)),VALUE(LEFT(Base_Bruta!C528,2))))))</f>
        <v>46130</v>
      </c>
      <c r="D528" s="4" t="str">
        <f aca="false">IF($A528="","",TRIM(Base_Bruta!D528))</f>
        <v>Festival Sonora SP 2026</v>
      </c>
      <c r="E528" s="4" t="str">
        <f aca="false">IF($A528="","",_xlfn.XLOOKUP(LOWER(TRIM(Base_Bruta!E528)),DePara_Categoria!$A$2:$A$9,DePara_Categoria!$B$2:$B$9,"REVISAR"))</f>
        <v>Festival</v>
      </c>
      <c r="F528" s="4" t="str">
        <f aca="false">IF($A528="","",_xlfn.XLOOKUP(LOWER(TRIM(Base_Bruta!F528)),DePara_Cidade!$A$2:$A$29,DePara_Cidade!$B$2:$B$29,"REVISAR"))</f>
        <v>São Paulo</v>
      </c>
      <c r="G528" s="4" t="str">
        <f aca="false">IF($A528="","",TRIM(Base_Bruta!G528))</f>
        <v>Inteira</v>
      </c>
      <c r="H528" s="4" t="n">
        <f aca="false">IF($A528="","",IF(ISNUMBER(Base_Bruta!H528),Base_Bruta!H528,IFERROR(_xlfn.NUMBERVALUE(TRIM(SUBSTITUTE(Base_Bruta!H528,"R$","")),",","."),0)))</f>
        <v>2</v>
      </c>
      <c r="I528" s="6" t="n">
        <f aca="false">IF($A528="","",IF(ISNUMBER(Base_Bruta!I528),Base_Bruta!I528,IFERROR(_xlfn.NUMBERVALUE(TRIM(SUBSTITUTE(Base_Bruta!I528,"R$","")),",","."),0)))</f>
        <v>750</v>
      </c>
      <c r="J528" s="6" t="n">
        <f aca="false">IF($A528="","",H528*I528)</f>
        <v>1500</v>
      </c>
      <c r="K528" s="4" t="str">
        <f aca="false">IF($A528="","",TRIM(Base_Bruta!J528))</f>
        <v>Site</v>
      </c>
      <c r="L528" s="4" t="str">
        <f aca="false">IF($A528="","",TRIM(Base_Bruta!K528))</f>
        <v>C02298</v>
      </c>
      <c r="M528" s="4" t="str">
        <f aca="false">IF($A528="","",_xlfn.XLOOKUP(LOWER(TRIM(Base_Bruta!L528)),DePara_Cidade!$A$2:$A$29,DePara_Cidade!$B$2:$B$29,"REVISAR"))</f>
        <v>Florianópolis</v>
      </c>
      <c r="N528" s="4" t="str">
        <f aca="false">IF($A528="","",UPPER(TRIM(Base_Bruta!M528)))</f>
        <v>SC</v>
      </c>
      <c r="O528" s="4" t="str">
        <f aca="false">IF($A528="","",_xlfn.XLOOKUP(LOWER(TRIM(Base_Bruta!N528)),DePara_Pais!$A$2:$A$9,DePara_Pais!$B$2:$B$9,"REVISAR"))</f>
        <v>Brasil</v>
      </c>
      <c r="P528" s="4" t="str">
        <f aca="false">IF($A528="","",IF(O528&lt;&gt;"Brasil","Turista Internacional",IF(M528=F528,"Local","Turista Nacional")))</f>
        <v>Turista Nacional</v>
      </c>
      <c r="Q528" s="7" t="n">
        <f aca="false">IF($A528="","",DATE(YEAR(B528),MONTH(B528),1))</f>
        <v>45992</v>
      </c>
      <c r="R528" s="4" t="str">
        <f aca="false">IF($A528="","",IF(COUNTIF($A$2:$A528,$A528)&gt;1,"Sim","Não"))</f>
        <v>Não</v>
      </c>
      <c r="S528" s="4" t="str">
        <f aca="false">IF(A528="","Descartar - Linha vazia",IF(R528="Sim","Descartar - Duplicado",IF(OR(H528&lt;=0,I528&lt;=0),"Descartar - Qtd/Valor inválido","OK")))</f>
        <v>OK</v>
      </c>
      <c r="T528" s="4" t="str">
        <f aca="false">Base_Bruta!P528</f>
        <v>vendas_SP.xlsx</v>
      </c>
    </row>
    <row r="529" customFormat="false" ht="15" hidden="false" customHeight="false" outlineLevel="0" collapsed="false">
      <c r="A529" s="4" t="str">
        <f aca="false">IF(Base_Bruta!A529="","",Base_Bruta!A529)</f>
        <v>SP-000442</v>
      </c>
      <c r="B529" s="5" t="n">
        <f aca="false">IF($A529="","",IF(ISNUMBER(Base_Bruta!B529),Base_Bruta!B529,IF(MID(Base_Bruta!B529,5,1)="-",DATE(VALUE(LEFT(Base_Bruta!B529,4)),VALUE(MID(Base_Bruta!B529,6,2)),VALUE(RIGHT(Base_Bruta!B529,2))),DATE(VALUE(RIGHT(Base_Bruta!B529,4)),VALUE(MID(Base_Bruta!B529,4,2)),VALUE(LEFT(Base_Bruta!B529,2))))))</f>
        <v>46013</v>
      </c>
      <c r="C529" s="5" t="n">
        <f aca="false">IF($A529="","",IF(ISNUMBER(Base_Bruta!C529),Base_Bruta!C529,IF(MID(Base_Bruta!C529,5,1)="-",DATE(VALUE(LEFT(Base_Bruta!C529,4)),VALUE(MID(Base_Bruta!C529,6,2)),VALUE(RIGHT(Base_Bruta!C529,2))),DATE(VALUE(RIGHT(Base_Bruta!C529,4)),VALUE(MID(Base_Bruta!C529,4,2)),VALUE(LEFT(Base_Bruta!C529,2))))))</f>
        <v>46130</v>
      </c>
      <c r="D529" s="4" t="str">
        <f aca="false">IF($A529="","",TRIM(Base_Bruta!D529))</f>
        <v>Festival Sonora SP 2026</v>
      </c>
      <c r="E529" s="4" t="str">
        <f aca="false">IF($A529="","",_xlfn.XLOOKUP(LOWER(TRIM(Base_Bruta!E529)),DePara_Categoria!$A$2:$A$9,DePara_Categoria!$B$2:$B$9,"REVISAR"))</f>
        <v>Festival</v>
      </c>
      <c r="F529" s="4" t="str">
        <f aca="false">IF($A529="","",_xlfn.XLOOKUP(LOWER(TRIM(Base_Bruta!F529)),DePara_Cidade!$A$2:$A$29,DePara_Cidade!$B$2:$B$29,"REVISAR"))</f>
        <v>São Paulo</v>
      </c>
      <c r="G529" s="4" t="str">
        <f aca="false">IF($A529="","",TRIM(Base_Bruta!G529))</f>
        <v>Inteira</v>
      </c>
      <c r="H529" s="4" t="n">
        <f aca="false">IF($A529="","",IF(ISNUMBER(Base_Bruta!H529),Base_Bruta!H529,IFERROR(_xlfn.NUMBERVALUE(TRIM(SUBSTITUTE(Base_Bruta!H529,"R$","")),",","."),0)))</f>
        <v>2</v>
      </c>
      <c r="I529" s="6" t="n">
        <f aca="false">IF($A529="","",IF(ISNUMBER(Base_Bruta!I529),Base_Bruta!I529,IFERROR(_xlfn.NUMBERVALUE(TRIM(SUBSTITUTE(Base_Bruta!I529,"R$","")),",","."),0)))</f>
        <v>720</v>
      </c>
      <c r="J529" s="6" t="n">
        <f aca="false">IF($A529="","",H529*I529)</f>
        <v>1440</v>
      </c>
      <c r="K529" s="4" t="str">
        <f aca="false">IF($A529="","",TRIM(Base_Bruta!J529))</f>
        <v>Site</v>
      </c>
      <c r="L529" s="4" t="str">
        <f aca="false">IF($A529="","",TRIM(Base_Bruta!K529))</f>
        <v>C01611</v>
      </c>
      <c r="M529" s="4" t="str">
        <f aca="false">IF($A529="","",_xlfn.XLOOKUP(LOWER(TRIM(Base_Bruta!L529)),DePara_Cidade!$A$2:$A$29,DePara_Cidade!$B$2:$B$29,"REVISAR"))</f>
        <v>Contagem</v>
      </c>
      <c r="N529" s="4" t="str">
        <f aca="false">IF($A529="","",UPPER(TRIM(Base_Bruta!M529)))</f>
        <v>MG</v>
      </c>
      <c r="O529" s="4" t="str">
        <f aca="false">IF($A529="","",_xlfn.XLOOKUP(LOWER(TRIM(Base_Bruta!N529)),DePara_Pais!$A$2:$A$9,DePara_Pais!$B$2:$B$9,"REVISAR"))</f>
        <v>Brasil</v>
      </c>
      <c r="P529" s="4" t="str">
        <f aca="false">IF($A529="","",IF(O529&lt;&gt;"Brasil","Turista Internacional",IF(M529=F529,"Local","Turista Nacional")))</f>
        <v>Turista Nacional</v>
      </c>
      <c r="Q529" s="7" t="n">
        <f aca="false">IF($A529="","",DATE(YEAR(B529),MONTH(B529),1))</f>
        <v>45992</v>
      </c>
      <c r="R529" s="4" t="str">
        <f aca="false">IF($A529="","",IF(COUNTIF($A$2:$A529,$A529)&gt;1,"Sim","Não"))</f>
        <v>Não</v>
      </c>
      <c r="S529" s="4" t="str">
        <f aca="false">IF(A529="","Descartar - Linha vazia",IF(R529="Sim","Descartar - Duplicado",IF(OR(H529&lt;=0,I529&lt;=0),"Descartar - Qtd/Valor inválido","OK")))</f>
        <v>OK</v>
      </c>
      <c r="T529" s="4" t="str">
        <f aca="false">Base_Bruta!P529</f>
        <v>vendas_SP.xlsx</v>
      </c>
    </row>
    <row r="530" customFormat="false" ht="15" hidden="false" customHeight="false" outlineLevel="0" collapsed="false">
      <c r="A530" s="4" t="str">
        <f aca="false">IF(Base_Bruta!A530="","",Base_Bruta!A530)</f>
        <v>SP-000313</v>
      </c>
      <c r="B530" s="5" t="n">
        <f aca="false">IF($A530="","",IF(ISNUMBER(Base_Bruta!B530),Base_Bruta!B530,IF(MID(Base_Bruta!B530,5,1)="-",DATE(VALUE(LEFT(Base_Bruta!B530,4)),VALUE(MID(Base_Bruta!B530,6,2)),VALUE(RIGHT(Base_Bruta!B530,2))),DATE(VALUE(RIGHT(Base_Bruta!B530,4)),VALUE(MID(Base_Bruta!B530,4,2)),VALUE(LEFT(Base_Bruta!B530,2))))))</f>
        <v>46014</v>
      </c>
      <c r="C530" s="5" t="n">
        <f aca="false">IF($A530="","",IF(ISNUMBER(Base_Bruta!C530),Base_Bruta!C530,IF(MID(Base_Bruta!C530,5,1)="-",DATE(VALUE(LEFT(Base_Bruta!C530,4)),VALUE(MID(Base_Bruta!C530,6,2)),VALUE(RIGHT(Base_Bruta!C530,2))),DATE(VALUE(RIGHT(Base_Bruta!C530,4)),VALUE(MID(Base_Bruta!C530,4,2)),VALUE(LEFT(Base_Bruta!C530,2))))))</f>
        <v>46130</v>
      </c>
      <c r="D530" s="4" t="str">
        <f aca="false">IF($A530="","",TRIM(Base_Bruta!D530))</f>
        <v>Festival Sonora SP 2026</v>
      </c>
      <c r="E530" s="4" t="str">
        <f aca="false">IF($A530="","",_xlfn.XLOOKUP(LOWER(TRIM(Base_Bruta!E530)),DePara_Categoria!$A$2:$A$9,DePara_Categoria!$B$2:$B$9,"REVISAR"))</f>
        <v>Festival</v>
      </c>
      <c r="F530" s="4" t="str">
        <f aca="false">IF($A530="","",_xlfn.XLOOKUP(LOWER(TRIM(Base_Bruta!F530)),DePara_Cidade!$A$2:$A$29,DePara_Cidade!$B$2:$B$29,"REVISAR"))</f>
        <v>São Paulo</v>
      </c>
      <c r="G530" s="4" t="str">
        <f aca="false">IF($A530="","",TRIM(Base_Bruta!G530))</f>
        <v>Inteira</v>
      </c>
      <c r="H530" s="4" t="n">
        <f aca="false">IF($A530="","",IF(ISNUMBER(Base_Bruta!H530),Base_Bruta!H530,IFERROR(_xlfn.NUMBERVALUE(TRIM(SUBSTITUTE(Base_Bruta!H530,"R$","")),",","."),0)))</f>
        <v>1</v>
      </c>
      <c r="I530" s="6" t="n">
        <f aca="false">IF($A530="","",IF(ISNUMBER(Base_Bruta!I530),Base_Bruta!I530,IFERROR(_xlfn.NUMBERVALUE(TRIM(SUBSTITUTE(Base_Bruta!I530,"R$","")),",","."),0)))</f>
        <v>860</v>
      </c>
      <c r="J530" s="6" t="n">
        <f aca="false">IF($A530="","",H530*I530)</f>
        <v>860</v>
      </c>
      <c r="K530" s="4" t="str">
        <f aca="false">IF($A530="","",TRIM(Base_Bruta!J530))</f>
        <v>Site</v>
      </c>
      <c r="L530" s="4" t="str">
        <f aca="false">IF($A530="","",TRIM(Base_Bruta!K530))</f>
        <v>C00427</v>
      </c>
      <c r="M530" s="4" t="str">
        <f aca="false">IF($A530="","",_xlfn.XLOOKUP(LOWER(TRIM(Base_Bruta!L530)),DePara_Cidade!$A$2:$A$29,DePara_Cidade!$B$2:$B$29,"REVISAR"))</f>
        <v>São Paulo</v>
      </c>
      <c r="N530" s="4" t="str">
        <f aca="false">IF($A530="","",UPPER(TRIM(Base_Bruta!M530)))</f>
        <v>SP</v>
      </c>
      <c r="O530" s="4" t="str">
        <f aca="false">IF($A530="","",_xlfn.XLOOKUP(LOWER(TRIM(Base_Bruta!N530)),DePara_Pais!$A$2:$A$9,DePara_Pais!$B$2:$B$9,"REVISAR"))</f>
        <v>Brasil</v>
      </c>
      <c r="P530" s="4" t="str">
        <f aca="false">IF($A530="","",IF(O530&lt;&gt;"Brasil","Turista Internacional",IF(M530=F530,"Local","Turista Nacional")))</f>
        <v>Local</v>
      </c>
      <c r="Q530" s="7" t="n">
        <f aca="false">IF($A530="","",DATE(YEAR(B530),MONTH(B530),1))</f>
        <v>45992</v>
      </c>
      <c r="R530" s="4" t="str">
        <f aca="false">IF($A530="","",IF(COUNTIF($A$2:$A530,$A530)&gt;1,"Sim","Não"))</f>
        <v>Não</v>
      </c>
      <c r="S530" s="4" t="str">
        <f aca="false">IF(A530="","Descartar - Linha vazia",IF(R530="Sim","Descartar - Duplicado",IF(OR(H530&lt;=0,I530&lt;=0),"Descartar - Qtd/Valor inválido","OK")))</f>
        <v>OK</v>
      </c>
      <c r="T530" s="4" t="str">
        <f aca="false">Base_Bruta!P530</f>
        <v>vendas_SP.xlsx</v>
      </c>
    </row>
    <row r="531" customFormat="false" ht="15" hidden="false" customHeight="false" outlineLevel="0" collapsed="false">
      <c r="A531" s="4" t="str">
        <f aca="false">IF(Base_Bruta!A531="","",Base_Bruta!A531)</f>
        <v>SP-000237</v>
      </c>
      <c r="B531" s="5" t="n">
        <f aca="false">IF($A531="","",IF(ISNUMBER(Base_Bruta!B531),Base_Bruta!B531,IF(MID(Base_Bruta!B531,5,1)="-",DATE(VALUE(LEFT(Base_Bruta!B531,4)),VALUE(MID(Base_Bruta!B531,6,2)),VALUE(RIGHT(Base_Bruta!B531,2))),DATE(VALUE(RIGHT(Base_Bruta!B531,4)),VALUE(MID(Base_Bruta!B531,4,2)),VALUE(LEFT(Base_Bruta!B531,2))))))</f>
        <v>46015</v>
      </c>
      <c r="C531" s="5" t="n">
        <f aca="false">IF($A531="","",IF(ISNUMBER(Base_Bruta!C531),Base_Bruta!C531,IF(MID(Base_Bruta!C531,5,1)="-",DATE(VALUE(LEFT(Base_Bruta!C531,4)),VALUE(MID(Base_Bruta!C531,6,2)),VALUE(RIGHT(Base_Bruta!C531,2))),DATE(VALUE(RIGHT(Base_Bruta!C531,4)),VALUE(MID(Base_Bruta!C531,4,2)),VALUE(LEFT(Base_Bruta!C531,2))))))</f>
        <v>46130</v>
      </c>
      <c r="D531" s="4" t="str">
        <f aca="false">IF($A531="","",TRIM(Base_Bruta!D531))</f>
        <v>Festival Sonora SP 2026</v>
      </c>
      <c r="E531" s="4" t="str">
        <f aca="false">IF($A531="","",_xlfn.XLOOKUP(LOWER(TRIM(Base_Bruta!E531)),DePara_Categoria!$A$2:$A$9,DePara_Categoria!$B$2:$B$9,"REVISAR"))</f>
        <v>Festival</v>
      </c>
      <c r="F531" s="4" t="str">
        <f aca="false">IF($A531="","",_xlfn.XLOOKUP(LOWER(TRIM(Base_Bruta!F531)),DePara_Cidade!$A$2:$A$29,DePara_Cidade!$B$2:$B$29,"REVISAR"))</f>
        <v>São Paulo</v>
      </c>
      <c r="G531" s="4" t="str">
        <f aca="false">IF($A531="","",TRIM(Base_Bruta!G531))</f>
        <v>Inteira</v>
      </c>
      <c r="H531" s="4" t="n">
        <f aca="false">IF($A531="","",IF(ISNUMBER(Base_Bruta!H531),Base_Bruta!H531,IFERROR(_xlfn.NUMBERVALUE(TRIM(SUBSTITUTE(Base_Bruta!H531,"R$","")),",","."),0)))</f>
        <v>3</v>
      </c>
      <c r="I531" s="6" t="n">
        <f aca="false">IF($A531="","",IF(ISNUMBER(Base_Bruta!I531),Base_Bruta!I531,IFERROR(_xlfn.NUMBERVALUE(TRIM(SUBSTITUTE(Base_Bruta!I531,"R$","")),",","."),0)))</f>
        <v>945</v>
      </c>
      <c r="J531" s="6" t="n">
        <f aca="false">IF($A531="","",H531*I531)</f>
        <v>2835</v>
      </c>
      <c r="K531" s="4" t="str">
        <f aca="false">IF($A531="","",TRIM(Base_Bruta!J531))</f>
        <v>Bilheteria</v>
      </c>
      <c r="L531" s="4" t="str">
        <f aca="false">IF($A531="","",TRIM(Base_Bruta!K531))</f>
        <v>C01801</v>
      </c>
      <c r="M531" s="4" t="str">
        <f aca="false">IF($A531="","",_xlfn.XLOOKUP(LOWER(TRIM(Base_Bruta!L531)),DePara_Cidade!$A$2:$A$29,DePara_Cidade!$B$2:$B$29,"REVISAR"))</f>
        <v>Vitória</v>
      </c>
      <c r="N531" s="4" t="str">
        <f aca="false">IF($A531="","",UPPER(TRIM(Base_Bruta!M531)))</f>
        <v>ES</v>
      </c>
      <c r="O531" s="4" t="str">
        <f aca="false">IF($A531="","",_xlfn.XLOOKUP(LOWER(TRIM(Base_Bruta!N531)),DePara_Pais!$A$2:$A$9,DePara_Pais!$B$2:$B$9,"REVISAR"))</f>
        <v>Brasil</v>
      </c>
      <c r="P531" s="4" t="str">
        <f aca="false">IF($A531="","",IF(O531&lt;&gt;"Brasil","Turista Internacional",IF(M531=F531,"Local","Turista Nacional")))</f>
        <v>Turista Nacional</v>
      </c>
      <c r="Q531" s="7" t="n">
        <f aca="false">IF($A531="","",DATE(YEAR(B531),MONTH(B531),1))</f>
        <v>45992</v>
      </c>
      <c r="R531" s="4" t="str">
        <f aca="false">IF($A531="","",IF(COUNTIF($A$2:$A531,$A531)&gt;1,"Sim","Não"))</f>
        <v>Não</v>
      </c>
      <c r="S531" s="4" t="str">
        <f aca="false">IF(A531="","Descartar - Linha vazia",IF(R531="Sim","Descartar - Duplicado",IF(OR(H531&lt;=0,I531&lt;=0),"Descartar - Qtd/Valor inválido","OK")))</f>
        <v>OK</v>
      </c>
      <c r="T531" s="4" t="str">
        <f aca="false">Base_Bruta!P531</f>
        <v>vendas_SP.xlsx</v>
      </c>
    </row>
    <row r="532" customFormat="false" ht="15" hidden="false" customHeight="false" outlineLevel="0" collapsed="false">
      <c r="A532" s="4" t="str">
        <f aca="false">IF(Base_Bruta!A532="","",Base_Bruta!A532)</f>
        <v>SP-000252</v>
      </c>
      <c r="B532" s="5" t="n">
        <f aca="false">IF($A532="","",IF(ISNUMBER(Base_Bruta!B532),Base_Bruta!B532,IF(MID(Base_Bruta!B532,5,1)="-",DATE(VALUE(LEFT(Base_Bruta!B532,4)),VALUE(MID(Base_Bruta!B532,6,2)),VALUE(RIGHT(Base_Bruta!B532,2))),DATE(VALUE(RIGHT(Base_Bruta!B532,4)),VALUE(MID(Base_Bruta!B532,4,2)),VALUE(LEFT(Base_Bruta!B532,2))))))</f>
        <v>46015</v>
      </c>
      <c r="C532" s="5" t="n">
        <f aca="false">IF($A532="","",IF(ISNUMBER(Base_Bruta!C532),Base_Bruta!C532,IF(MID(Base_Bruta!C532,5,1)="-",DATE(VALUE(LEFT(Base_Bruta!C532,4)),VALUE(MID(Base_Bruta!C532,6,2)),VALUE(RIGHT(Base_Bruta!C532,2))),DATE(VALUE(RIGHT(Base_Bruta!C532,4)),VALUE(MID(Base_Bruta!C532,4,2)),VALUE(LEFT(Base_Bruta!C532,2))))))</f>
        <v>46130</v>
      </c>
      <c r="D532" s="4" t="str">
        <f aca="false">IF($A532="","",TRIM(Base_Bruta!D532))</f>
        <v>Festival Sonora SP 2026</v>
      </c>
      <c r="E532" s="4" t="str">
        <f aca="false">IF($A532="","",_xlfn.XLOOKUP(LOWER(TRIM(Base_Bruta!E532)),DePara_Categoria!$A$2:$A$9,DePara_Categoria!$B$2:$B$9,"REVISAR"))</f>
        <v>Festival</v>
      </c>
      <c r="F532" s="4" t="str">
        <f aca="false">IF($A532="","",_xlfn.XLOOKUP(LOWER(TRIM(Base_Bruta!F532)),DePara_Cidade!$A$2:$A$29,DePara_Cidade!$B$2:$B$29,"REVISAR"))</f>
        <v>São Paulo</v>
      </c>
      <c r="G532" s="4" t="str">
        <f aca="false">IF($A532="","",TRIM(Base_Bruta!G532))</f>
        <v>Inteira</v>
      </c>
      <c r="H532" s="4" t="n">
        <f aca="false">IF($A532="","",IF(ISNUMBER(Base_Bruta!H532),Base_Bruta!H532,IFERROR(_xlfn.NUMBERVALUE(TRIM(SUBSTITUTE(Base_Bruta!H532,"R$","")),",","."),0)))</f>
        <v>1</v>
      </c>
      <c r="I532" s="6" t="n">
        <f aca="false">IF($A532="","",IF(ISNUMBER(Base_Bruta!I532),Base_Bruta!I532,IFERROR(_xlfn.NUMBERVALUE(TRIM(SUBSTITUTE(Base_Bruta!I532,"R$","")),",","."),0)))</f>
        <v>1135</v>
      </c>
      <c r="J532" s="6" t="n">
        <f aca="false">IF($A532="","",H532*I532)</f>
        <v>1135</v>
      </c>
      <c r="K532" s="4" t="str">
        <f aca="false">IF($A532="","",TRIM(Base_Bruta!J532))</f>
        <v>App</v>
      </c>
      <c r="L532" s="4" t="str">
        <f aca="false">IF($A532="","",TRIM(Base_Bruta!K532))</f>
        <v>C01498</v>
      </c>
      <c r="M532" s="4" t="str">
        <f aca="false">IF($A532="","",_xlfn.XLOOKUP(LOWER(TRIM(Base_Bruta!L532)),DePara_Cidade!$A$2:$A$29,DePara_Cidade!$B$2:$B$29,"REVISAR"))</f>
        <v>São Paulo</v>
      </c>
      <c r="N532" s="4" t="str">
        <f aca="false">IF($A532="","",UPPER(TRIM(Base_Bruta!M532)))</f>
        <v>SP</v>
      </c>
      <c r="O532" s="4" t="str">
        <f aca="false">IF($A532="","",_xlfn.XLOOKUP(LOWER(TRIM(Base_Bruta!N532)),DePara_Pais!$A$2:$A$9,DePara_Pais!$B$2:$B$9,"REVISAR"))</f>
        <v>Brasil</v>
      </c>
      <c r="P532" s="4" t="str">
        <f aca="false">IF($A532="","",IF(O532&lt;&gt;"Brasil","Turista Internacional",IF(M532=F532,"Local","Turista Nacional")))</f>
        <v>Local</v>
      </c>
      <c r="Q532" s="7" t="n">
        <f aca="false">IF($A532="","",DATE(YEAR(B532),MONTH(B532),1))</f>
        <v>45992</v>
      </c>
      <c r="R532" s="4" t="str">
        <f aca="false">IF($A532="","",IF(COUNTIF($A$2:$A532,$A532)&gt;1,"Sim","Não"))</f>
        <v>Não</v>
      </c>
      <c r="S532" s="4" t="str">
        <f aca="false">IF(A532="","Descartar - Linha vazia",IF(R532="Sim","Descartar - Duplicado",IF(OR(H532&lt;=0,I532&lt;=0),"Descartar - Qtd/Valor inválido","OK")))</f>
        <v>OK</v>
      </c>
      <c r="T532" s="4" t="str">
        <f aca="false">Base_Bruta!P532</f>
        <v>vendas_SP.xlsx</v>
      </c>
    </row>
    <row r="533" customFormat="false" ht="15" hidden="false" customHeight="false" outlineLevel="0" collapsed="false">
      <c r="A533" s="4" t="str">
        <f aca="false">IF(Base_Bruta!A533="","",Base_Bruta!A533)</f>
        <v>SP-000336</v>
      </c>
      <c r="B533" s="5" t="n">
        <f aca="false">IF($A533="","",IF(ISNUMBER(Base_Bruta!B533),Base_Bruta!B533,IF(MID(Base_Bruta!B533,5,1)="-",DATE(VALUE(LEFT(Base_Bruta!B533,4)),VALUE(MID(Base_Bruta!B533,6,2)),VALUE(RIGHT(Base_Bruta!B533,2))),DATE(VALUE(RIGHT(Base_Bruta!B533,4)),VALUE(MID(Base_Bruta!B533,4,2)),VALUE(LEFT(Base_Bruta!B533,2))))))</f>
        <v>46015</v>
      </c>
      <c r="C533" s="5" t="n">
        <f aca="false">IF($A533="","",IF(ISNUMBER(Base_Bruta!C533),Base_Bruta!C533,IF(MID(Base_Bruta!C533,5,1)="-",DATE(VALUE(LEFT(Base_Bruta!C533,4)),VALUE(MID(Base_Bruta!C533,6,2)),VALUE(RIGHT(Base_Bruta!C533,2))),DATE(VALUE(RIGHT(Base_Bruta!C533,4)),VALUE(MID(Base_Bruta!C533,4,2)),VALUE(LEFT(Base_Bruta!C533,2))))))</f>
        <v>46130</v>
      </c>
      <c r="D533" s="4" t="str">
        <f aca="false">IF($A533="","",TRIM(Base_Bruta!D533))</f>
        <v>Festival Sonora SP 2026</v>
      </c>
      <c r="E533" s="4" t="str">
        <f aca="false">IF($A533="","",_xlfn.XLOOKUP(LOWER(TRIM(Base_Bruta!E533)),DePara_Categoria!$A$2:$A$9,DePara_Categoria!$B$2:$B$9,"REVISAR"))</f>
        <v>Festival</v>
      </c>
      <c r="F533" s="4" t="str">
        <f aca="false">IF($A533="","",_xlfn.XLOOKUP(LOWER(TRIM(Base_Bruta!F533)),DePara_Cidade!$A$2:$A$29,DePara_Cidade!$B$2:$B$29,"REVISAR"))</f>
        <v>São Paulo</v>
      </c>
      <c r="G533" s="4" t="str">
        <f aca="false">IF($A533="","",TRIM(Base_Bruta!G533))</f>
        <v>Meia</v>
      </c>
      <c r="H533" s="4" t="n">
        <f aca="false">IF($A533="","",IF(ISNUMBER(Base_Bruta!H533),Base_Bruta!H533,IFERROR(_xlfn.NUMBERVALUE(TRIM(SUBSTITUTE(Base_Bruta!H533,"R$","")),",","."),0)))</f>
        <v>1</v>
      </c>
      <c r="I533" s="6" t="n">
        <f aca="false">IF($A533="","",IF(ISNUMBER(Base_Bruta!I533),Base_Bruta!I533,IFERROR(_xlfn.NUMBERVALUE(TRIM(SUBSTITUTE(Base_Bruta!I533,"R$","")),",","."),0)))</f>
        <v>525</v>
      </c>
      <c r="J533" s="6" t="n">
        <f aca="false">IF($A533="","",H533*I533)</f>
        <v>525</v>
      </c>
      <c r="K533" s="4" t="str">
        <f aca="false">IF($A533="","",TRIM(Base_Bruta!J533))</f>
        <v>App</v>
      </c>
      <c r="L533" s="4" t="str">
        <f aca="false">IF($A533="","",TRIM(Base_Bruta!K533))</f>
        <v>C00748</v>
      </c>
      <c r="M533" s="4" t="str">
        <f aca="false">IF($A533="","",_xlfn.XLOOKUP(LOWER(TRIM(Base_Bruta!L533)),DePara_Cidade!$A$2:$A$29,DePara_Cidade!$B$2:$B$29,"REVISAR"))</f>
        <v>Miami</v>
      </c>
      <c r="N533" s="4" t="str">
        <f aca="false">IF($A533="","",UPPER(TRIM(Base_Bruta!M533)))</f>
        <v>EX</v>
      </c>
      <c r="O533" s="4" t="str">
        <f aca="false">IF($A533="","",_xlfn.XLOOKUP(LOWER(TRIM(Base_Bruta!N533)),DePara_Pais!$A$2:$A$9,DePara_Pais!$B$2:$B$9,"REVISAR"))</f>
        <v>EUA</v>
      </c>
      <c r="P533" s="4" t="str">
        <f aca="false">IF($A533="","",IF(O533&lt;&gt;"Brasil","Turista Internacional",IF(M533=F533,"Local","Turista Nacional")))</f>
        <v>Turista Internacional</v>
      </c>
      <c r="Q533" s="7" t="n">
        <f aca="false">IF($A533="","",DATE(YEAR(B533),MONTH(B533),1))</f>
        <v>45992</v>
      </c>
      <c r="R533" s="4" t="str">
        <f aca="false">IF($A533="","",IF(COUNTIF($A$2:$A533,$A533)&gt;1,"Sim","Não"))</f>
        <v>Não</v>
      </c>
      <c r="S533" s="4" t="str">
        <f aca="false">IF(A533="","Descartar - Linha vazia",IF(R533="Sim","Descartar - Duplicado",IF(OR(H533&lt;=0,I533&lt;=0),"Descartar - Qtd/Valor inválido","OK")))</f>
        <v>OK</v>
      </c>
      <c r="T533" s="4" t="str">
        <f aca="false">Base_Bruta!P533</f>
        <v>vendas_SP.xlsx</v>
      </c>
    </row>
    <row r="534" customFormat="false" ht="15" hidden="false" customHeight="false" outlineLevel="0" collapsed="false">
      <c r="A534" s="4" t="str">
        <f aca="false">IF(Base_Bruta!A534="","",Base_Bruta!A534)</f>
        <v>SP-000285</v>
      </c>
      <c r="B534" s="5" t="n">
        <f aca="false">IF($A534="","",IF(ISNUMBER(Base_Bruta!B534),Base_Bruta!B534,IF(MID(Base_Bruta!B534,5,1)="-",DATE(VALUE(LEFT(Base_Bruta!B534,4)),VALUE(MID(Base_Bruta!B534,6,2)),VALUE(RIGHT(Base_Bruta!B534,2))),DATE(VALUE(RIGHT(Base_Bruta!B534,4)),VALUE(MID(Base_Bruta!B534,4,2)),VALUE(LEFT(Base_Bruta!B534,2))))))</f>
        <v>46016</v>
      </c>
      <c r="C534" s="5" t="n">
        <f aca="false">IF($A534="","",IF(ISNUMBER(Base_Bruta!C534),Base_Bruta!C534,IF(MID(Base_Bruta!C534,5,1)="-",DATE(VALUE(LEFT(Base_Bruta!C534,4)),VALUE(MID(Base_Bruta!C534,6,2)),VALUE(RIGHT(Base_Bruta!C534,2))),DATE(VALUE(RIGHT(Base_Bruta!C534,4)),VALUE(MID(Base_Bruta!C534,4,2)),VALUE(LEFT(Base_Bruta!C534,2))))))</f>
        <v>46130</v>
      </c>
      <c r="D534" s="4" t="str">
        <f aca="false">IF($A534="","",TRIM(Base_Bruta!D534))</f>
        <v>Festival Sonora SP 2026</v>
      </c>
      <c r="E534" s="4" t="str">
        <f aca="false">IF($A534="","",_xlfn.XLOOKUP(LOWER(TRIM(Base_Bruta!E534)),DePara_Categoria!$A$2:$A$9,DePara_Categoria!$B$2:$B$9,"REVISAR"))</f>
        <v>Festival</v>
      </c>
      <c r="F534" s="4" t="str">
        <f aca="false">IF($A534="","",_xlfn.XLOOKUP(LOWER(TRIM(Base_Bruta!F534)),DePara_Cidade!$A$2:$A$29,DePara_Cidade!$B$2:$B$29,"REVISAR"))</f>
        <v>São Paulo</v>
      </c>
      <c r="G534" s="4" t="str">
        <f aca="false">IF($A534="","",TRIM(Base_Bruta!G534))</f>
        <v>Meia</v>
      </c>
      <c r="H534" s="4" t="n">
        <f aca="false">IF($A534="","",IF(ISNUMBER(Base_Bruta!H534),Base_Bruta!H534,IFERROR(_xlfn.NUMBERVALUE(TRIM(SUBSTITUTE(Base_Bruta!H534,"R$","")),",","."),0)))</f>
        <v>1</v>
      </c>
      <c r="I534" s="6" t="n">
        <f aca="false">IF($A534="","",IF(ISNUMBER(Base_Bruta!I534),Base_Bruta!I534,IFERROR(_xlfn.NUMBERVALUE(TRIM(SUBSTITUTE(Base_Bruta!I534,"R$","")),",","."),0)))</f>
        <v>520</v>
      </c>
      <c r="J534" s="6" t="n">
        <f aca="false">IF($A534="","",H534*I534)</f>
        <v>520</v>
      </c>
      <c r="K534" s="4" t="str">
        <f aca="false">IF($A534="","",TRIM(Base_Bruta!J534))</f>
        <v>Site</v>
      </c>
      <c r="L534" s="4" t="str">
        <f aca="false">IF($A534="","",TRIM(Base_Bruta!K534))</f>
        <v>C01761</v>
      </c>
      <c r="M534" s="4" t="str">
        <f aca="false">IF($A534="","",_xlfn.XLOOKUP(LOWER(TRIM(Base_Bruta!L534)),DePara_Cidade!$A$2:$A$29,DePara_Cidade!$B$2:$B$29,"REVISAR"))</f>
        <v>São Paulo</v>
      </c>
      <c r="N534" s="4" t="str">
        <f aca="false">IF($A534="","",UPPER(TRIM(Base_Bruta!M534)))</f>
        <v>SP</v>
      </c>
      <c r="O534" s="4" t="str">
        <f aca="false">IF($A534="","",_xlfn.XLOOKUP(LOWER(TRIM(Base_Bruta!N534)),DePara_Pais!$A$2:$A$9,DePara_Pais!$B$2:$B$9,"REVISAR"))</f>
        <v>Brasil</v>
      </c>
      <c r="P534" s="4" t="str">
        <f aca="false">IF($A534="","",IF(O534&lt;&gt;"Brasil","Turista Internacional",IF(M534=F534,"Local","Turista Nacional")))</f>
        <v>Local</v>
      </c>
      <c r="Q534" s="7" t="n">
        <f aca="false">IF($A534="","",DATE(YEAR(B534),MONTH(B534),1))</f>
        <v>45992</v>
      </c>
      <c r="R534" s="4" t="str">
        <f aca="false">IF($A534="","",IF(COUNTIF($A$2:$A534,$A534)&gt;1,"Sim","Não"))</f>
        <v>Não</v>
      </c>
      <c r="S534" s="4" t="str">
        <f aca="false">IF(A534="","Descartar - Linha vazia",IF(R534="Sim","Descartar - Duplicado",IF(OR(H534&lt;=0,I534&lt;=0),"Descartar - Qtd/Valor inválido","OK")))</f>
        <v>OK</v>
      </c>
      <c r="T534" s="4" t="str">
        <f aca="false">Base_Bruta!P534</f>
        <v>vendas_SP.xlsx</v>
      </c>
    </row>
    <row r="535" customFormat="false" ht="15" hidden="false" customHeight="false" outlineLevel="0" collapsed="false">
      <c r="A535" s="4" t="str">
        <f aca="false">IF(Base_Bruta!A535="","",Base_Bruta!A535)</f>
        <v>SP-000361</v>
      </c>
      <c r="B535" s="5" t="n">
        <f aca="false">IF($A535="","",IF(ISNUMBER(Base_Bruta!B535),Base_Bruta!B535,IF(MID(Base_Bruta!B535,5,1)="-",DATE(VALUE(LEFT(Base_Bruta!B535,4)),VALUE(MID(Base_Bruta!B535,6,2)),VALUE(RIGHT(Base_Bruta!B535,2))),DATE(VALUE(RIGHT(Base_Bruta!B535,4)),VALUE(MID(Base_Bruta!B535,4,2)),VALUE(LEFT(Base_Bruta!B535,2))))))</f>
        <v>46016</v>
      </c>
      <c r="C535" s="5" t="n">
        <f aca="false">IF($A535="","",IF(ISNUMBER(Base_Bruta!C535),Base_Bruta!C535,IF(MID(Base_Bruta!C535,5,1)="-",DATE(VALUE(LEFT(Base_Bruta!C535,4)),VALUE(MID(Base_Bruta!C535,6,2)),VALUE(RIGHT(Base_Bruta!C535,2))),DATE(VALUE(RIGHT(Base_Bruta!C535,4)),VALUE(MID(Base_Bruta!C535,4,2)),VALUE(LEFT(Base_Bruta!C535,2))))))</f>
        <v>46130</v>
      </c>
      <c r="D535" s="4" t="str">
        <f aca="false">IF($A535="","",TRIM(Base_Bruta!D535))</f>
        <v>Festival Sonora SP 2026</v>
      </c>
      <c r="E535" s="4" t="str">
        <f aca="false">IF($A535="","",_xlfn.XLOOKUP(LOWER(TRIM(Base_Bruta!E535)),DePara_Categoria!$A$2:$A$9,DePara_Categoria!$B$2:$B$9,"REVISAR"))</f>
        <v>Festival</v>
      </c>
      <c r="F535" s="4" t="str">
        <f aca="false">IF($A535="","",_xlfn.XLOOKUP(LOWER(TRIM(Base_Bruta!F535)),DePara_Cidade!$A$2:$A$29,DePara_Cidade!$B$2:$B$29,"REVISAR"))</f>
        <v>São Paulo</v>
      </c>
      <c r="G535" s="4" t="str">
        <f aca="false">IF($A535="","",TRIM(Base_Bruta!G535))</f>
        <v>Inteira</v>
      </c>
      <c r="H535" s="4" t="n">
        <f aca="false">IF($A535="","",IF(ISNUMBER(Base_Bruta!H535),Base_Bruta!H535,IFERROR(_xlfn.NUMBERVALUE(TRIM(SUBSTITUTE(Base_Bruta!H535,"R$","")),",","."),0)))</f>
        <v>2</v>
      </c>
      <c r="I535" s="6" t="n">
        <f aca="false">IF($A535="","",IF(ISNUMBER(Base_Bruta!I535),Base_Bruta!I535,IFERROR(_xlfn.NUMBERVALUE(TRIM(SUBSTITUTE(Base_Bruta!I535,"R$","")),",","."),0)))</f>
        <v>900</v>
      </c>
      <c r="J535" s="6" t="n">
        <f aca="false">IF($A535="","",H535*I535)</f>
        <v>1800</v>
      </c>
      <c r="K535" s="4" t="str">
        <f aca="false">IF($A535="","",TRIM(Base_Bruta!J535))</f>
        <v>App</v>
      </c>
      <c r="L535" s="4" t="str">
        <f aca="false">IF($A535="","",TRIM(Base_Bruta!K535))</f>
        <v>C01469</v>
      </c>
      <c r="M535" s="4" t="str">
        <f aca="false">IF($A535="","",_xlfn.XLOOKUP(LOWER(TRIM(Base_Bruta!L535)),DePara_Cidade!$A$2:$A$29,DePara_Cidade!$B$2:$B$29,"REVISAR"))</f>
        <v>São Paulo</v>
      </c>
      <c r="N535" s="4" t="str">
        <f aca="false">IF($A535="","",UPPER(TRIM(Base_Bruta!M535)))</f>
        <v>SP</v>
      </c>
      <c r="O535" s="4" t="str">
        <f aca="false">IF($A535="","",_xlfn.XLOOKUP(LOWER(TRIM(Base_Bruta!N535)),DePara_Pais!$A$2:$A$9,DePara_Pais!$B$2:$B$9,"REVISAR"))</f>
        <v>Brasil</v>
      </c>
      <c r="P535" s="4" t="str">
        <f aca="false">IF($A535="","",IF(O535&lt;&gt;"Brasil","Turista Internacional",IF(M535=F535,"Local","Turista Nacional")))</f>
        <v>Local</v>
      </c>
      <c r="Q535" s="7" t="n">
        <f aca="false">IF($A535="","",DATE(YEAR(B535),MONTH(B535),1))</f>
        <v>45992</v>
      </c>
      <c r="R535" s="4" t="str">
        <f aca="false">IF($A535="","",IF(COUNTIF($A$2:$A535,$A535)&gt;1,"Sim","Não"))</f>
        <v>Não</v>
      </c>
      <c r="S535" s="4" t="str">
        <f aca="false">IF(A535="","Descartar - Linha vazia",IF(R535="Sim","Descartar - Duplicado",IF(OR(H535&lt;=0,I535&lt;=0),"Descartar - Qtd/Valor inválido","OK")))</f>
        <v>OK</v>
      </c>
      <c r="T535" s="4" t="str">
        <f aca="false">Base_Bruta!P535</f>
        <v>vendas_SP.xlsx</v>
      </c>
    </row>
    <row r="536" customFormat="false" ht="15" hidden="false" customHeight="false" outlineLevel="0" collapsed="false">
      <c r="A536" s="4" t="str">
        <f aca="false">IF(Base_Bruta!A536="","",Base_Bruta!A536)</f>
        <v>SP-000383</v>
      </c>
      <c r="B536" s="5" t="n">
        <f aca="false">IF($A536="","",IF(ISNUMBER(Base_Bruta!B536),Base_Bruta!B536,IF(MID(Base_Bruta!B536,5,1)="-",DATE(VALUE(LEFT(Base_Bruta!B536,4)),VALUE(MID(Base_Bruta!B536,6,2)),VALUE(RIGHT(Base_Bruta!B536,2))),DATE(VALUE(RIGHT(Base_Bruta!B536,4)),VALUE(MID(Base_Bruta!B536,4,2)),VALUE(LEFT(Base_Bruta!B536,2))))))</f>
        <v>46016</v>
      </c>
      <c r="C536" s="5" t="n">
        <f aca="false">IF($A536="","",IF(ISNUMBER(Base_Bruta!C536),Base_Bruta!C536,IF(MID(Base_Bruta!C536,5,1)="-",DATE(VALUE(LEFT(Base_Bruta!C536,4)),VALUE(MID(Base_Bruta!C536,6,2)),VALUE(RIGHT(Base_Bruta!C536,2))),DATE(VALUE(RIGHT(Base_Bruta!C536,4)),VALUE(MID(Base_Bruta!C536,4,2)),VALUE(LEFT(Base_Bruta!C536,2))))))</f>
        <v>46130</v>
      </c>
      <c r="D536" s="4" t="str">
        <f aca="false">IF($A536="","",TRIM(Base_Bruta!D536))</f>
        <v>Festival Sonora SP 2026</v>
      </c>
      <c r="E536" s="4" t="str">
        <f aca="false">IF($A536="","",_xlfn.XLOOKUP(LOWER(TRIM(Base_Bruta!E536)),DePara_Categoria!$A$2:$A$9,DePara_Categoria!$B$2:$B$9,"REVISAR"))</f>
        <v>Festival</v>
      </c>
      <c r="F536" s="4" t="str">
        <f aca="false">IF($A536="","",_xlfn.XLOOKUP(LOWER(TRIM(Base_Bruta!F536)),DePara_Cidade!$A$2:$A$29,DePara_Cidade!$B$2:$B$29,"REVISAR"))</f>
        <v>São Paulo</v>
      </c>
      <c r="G536" s="4" t="str">
        <f aca="false">IF($A536="","",TRIM(Base_Bruta!G536))</f>
        <v>Inteira</v>
      </c>
      <c r="H536" s="4" t="n">
        <f aca="false">IF($A536="","",IF(ISNUMBER(Base_Bruta!H536),Base_Bruta!H536,IFERROR(_xlfn.NUMBERVALUE(TRIM(SUBSTITUTE(Base_Bruta!H536,"R$","")),",","."),0)))</f>
        <v>2</v>
      </c>
      <c r="I536" s="6" t="n">
        <f aca="false">IF($A536="","",IF(ISNUMBER(Base_Bruta!I536),Base_Bruta!I536,IFERROR(_xlfn.NUMBERVALUE(TRIM(SUBSTITUTE(Base_Bruta!I536,"R$","")),",","."),0)))</f>
        <v>1025</v>
      </c>
      <c r="J536" s="6" t="n">
        <f aca="false">IF($A536="","",H536*I536)</f>
        <v>2050</v>
      </c>
      <c r="K536" s="4" t="str">
        <f aca="false">IF($A536="","",TRIM(Base_Bruta!J536))</f>
        <v>Bilheteria</v>
      </c>
      <c r="L536" s="4" t="str">
        <f aca="false">IF($A536="","",TRIM(Base_Bruta!K536))</f>
        <v>C00670</v>
      </c>
      <c r="M536" s="4" t="str">
        <f aca="false">IF($A536="","",_xlfn.XLOOKUP(LOWER(TRIM(Base_Bruta!L536)),DePara_Cidade!$A$2:$A$29,DePara_Cidade!$B$2:$B$29,"REVISAR"))</f>
        <v>São Paulo</v>
      </c>
      <c r="N536" s="4" t="str">
        <f aca="false">IF($A536="","",UPPER(TRIM(Base_Bruta!M536)))</f>
        <v>SP</v>
      </c>
      <c r="O536" s="4" t="str">
        <f aca="false">IF($A536="","",_xlfn.XLOOKUP(LOWER(TRIM(Base_Bruta!N536)),DePara_Pais!$A$2:$A$9,DePara_Pais!$B$2:$B$9,"REVISAR"))</f>
        <v>Brasil</v>
      </c>
      <c r="P536" s="4" t="str">
        <f aca="false">IF($A536="","",IF(O536&lt;&gt;"Brasil","Turista Internacional",IF(M536=F536,"Local","Turista Nacional")))</f>
        <v>Local</v>
      </c>
      <c r="Q536" s="7" t="n">
        <f aca="false">IF($A536="","",DATE(YEAR(B536),MONTH(B536),1))</f>
        <v>45992</v>
      </c>
      <c r="R536" s="4" t="str">
        <f aca="false">IF($A536="","",IF(COUNTIF($A$2:$A536,$A536)&gt;1,"Sim","Não"))</f>
        <v>Não</v>
      </c>
      <c r="S536" s="4" t="str">
        <f aca="false">IF(A536="","Descartar - Linha vazia",IF(R536="Sim","Descartar - Duplicado",IF(OR(H536&lt;=0,I536&lt;=0),"Descartar - Qtd/Valor inválido","OK")))</f>
        <v>OK</v>
      </c>
      <c r="T536" s="4" t="str">
        <f aca="false">Base_Bruta!P536</f>
        <v>vendas_SP.xlsx</v>
      </c>
    </row>
    <row r="537" customFormat="false" ht="15" hidden="false" customHeight="false" outlineLevel="0" collapsed="false">
      <c r="A537" s="4" t="str">
        <f aca="false">IF(Base_Bruta!A537="","",Base_Bruta!A537)</f>
        <v>SP-000272</v>
      </c>
      <c r="B537" s="5" t="n">
        <f aca="false">IF($A537="","",IF(ISNUMBER(Base_Bruta!B537),Base_Bruta!B537,IF(MID(Base_Bruta!B537,5,1)="-",DATE(VALUE(LEFT(Base_Bruta!B537,4)),VALUE(MID(Base_Bruta!B537,6,2)),VALUE(RIGHT(Base_Bruta!B537,2))),DATE(VALUE(RIGHT(Base_Bruta!B537,4)),VALUE(MID(Base_Bruta!B537,4,2)),VALUE(LEFT(Base_Bruta!B537,2))))))</f>
        <v>46017</v>
      </c>
      <c r="C537" s="5" t="n">
        <f aca="false">IF($A537="","",IF(ISNUMBER(Base_Bruta!C537),Base_Bruta!C537,IF(MID(Base_Bruta!C537,5,1)="-",DATE(VALUE(LEFT(Base_Bruta!C537,4)),VALUE(MID(Base_Bruta!C537,6,2)),VALUE(RIGHT(Base_Bruta!C537,2))),DATE(VALUE(RIGHT(Base_Bruta!C537,4)),VALUE(MID(Base_Bruta!C537,4,2)),VALUE(LEFT(Base_Bruta!C537,2))))))</f>
        <v>46130</v>
      </c>
      <c r="D537" s="4" t="str">
        <f aca="false">IF($A537="","",TRIM(Base_Bruta!D537))</f>
        <v>Festival Sonora SP 2026</v>
      </c>
      <c r="E537" s="4" t="str">
        <f aca="false">IF($A537="","",_xlfn.XLOOKUP(LOWER(TRIM(Base_Bruta!E537)),DePara_Categoria!$A$2:$A$9,DePara_Categoria!$B$2:$B$9,"REVISAR"))</f>
        <v>Festival</v>
      </c>
      <c r="F537" s="4" t="str">
        <f aca="false">IF($A537="","",_xlfn.XLOOKUP(LOWER(TRIM(Base_Bruta!F537)),DePara_Cidade!$A$2:$A$29,DePara_Cidade!$B$2:$B$29,"REVISAR"))</f>
        <v>São Paulo</v>
      </c>
      <c r="G537" s="4" t="str">
        <f aca="false">IF($A537="","",TRIM(Base_Bruta!G537))</f>
        <v>Meia</v>
      </c>
      <c r="H537" s="4" t="n">
        <f aca="false">IF($A537="","",IF(ISNUMBER(Base_Bruta!H537),Base_Bruta!H537,IFERROR(_xlfn.NUMBERVALUE(TRIM(SUBSTITUTE(Base_Bruta!H537,"R$","")),",","."),0)))</f>
        <v>1</v>
      </c>
      <c r="I537" s="6" t="n">
        <f aca="false">IF($A537="","",IF(ISNUMBER(Base_Bruta!I537),Base_Bruta!I537,IFERROR(_xlfn.NUMBERVALUE(TRIM(SUBSTITUTE(Base_Bruta!I537,"R$","")),",","."),0)))</f>
        <v>407.5</v>
      </c>
      <c r="J537" s="6" t="n">
        <f aca="false">IF($A537="","",H537*I537)</f>
        <v>407.5</v>
      </c>
      <c r="K537" s="4" t="str">
        <f aca="false">IF($A537="","",TRIM(Base_Bruta!J537))</f>
        <v>App</v>
      </c>
      <c r="L537" s="4" t="str">
        <f aca="false">IF($A537="","",TRIM(Base_Bruta!K537))</f>
        <v>C00712</v>
      </c>
      <c r="M537" s="4" t="str">
        <f aca="false">IF($A537="","",_xlfn.XLOOKUP(LOWER(TRIM(Base_Bruta!L537)),DePara_Cidade!$A$2:$A$29,DePara_Cidade!$B$2:$B$29,"REVISAR"))</f>
        <v>Contagem</v>
      </c>
      <c r="N537" s="4" t="str">
        <f aca="false">IF($A537="","",UPPER(TRIM(Base_Bruta!M537)))</f>
        <v>MG</v>
      </c>
      <c r="O537" s="4" t="str">
        <f aca="false">IF($A537="","",_xlfn.XLOOKUP(LOWER(TRIM(Base_Bruta!N537)),DePara_Pais!$A$2:$A$9,DePara_Pais!$B$2:$B$9,"REVISAR"))</f>
        <v>Brasil</v>
      </c>
      <c r="P537" s="4" t="str">
        <f aca="false">IF($A537="","",IF(O537&lt;&gt;"Brasil","Turista Internacional",IF(M537=F537,"Local","Turista Nacional")))</f>
        <v>Turista Nacional</v>
      </c>
      <c r="Q537" s="7" t="n">
        <f aca="false">IF($A537="","",DATE(YEAR(B537),MONTH(B537),1))</f>
        <v>45992</v>
      </c>
      <c r="R537" s="4" t="str">
        <f aca="false">IF($A537="","",IF(COUNTIF($A$2:$A537,$A537)&gt;1,"Sim","Não"))</f>
        <v>Não</v>
      </c>
      <c r="S537" s="4" t="str">
        <f aca="false">IF(A537="","Descartar - Linha vazia",IF(R537="Sim","Descartar - Duplicado",IF(OR(H537&lt;=0,I537&lt;=0),"Descartar - Qtd/Valor inválido","OK")))</f>
        <v>OK</v>
      </c>
      <c r="T537" s="4" t="str">
        <f aca="false">Base_Bruta!P537</f>
        <v>vendas_SP.xlsx</v>
      </c>
    </row>
    <row r="538" customFormat="false" ht="15" hidden="false" customHeight="false" outlineLevel="0" collapsed="false">
      <c r="A538" s="4" t="str">
        <f aca="false">IF(Base_Bruta!A538="","",Base_Bruta!A538)</f>
        <v>SP-000389</v>
      </c>
      <c r="B538" s="5" t="n">
        <f aca="false">IF($A538="","",IF(ISNUMBER(Base_Bruta!B538),Base_Bruta!B538,IF(MID(Base_Bruta!B538,5,1)="-",DATE(VALUE(LEFT(Base_Bruta!B538,4)),VALUE(MID(Base_Bruta!B538,6,2)),VALUE(RIGHT(Base_Bruta!B538,2))),DATE(VALUE(RIGHT(Base_Bruta!B538,4)),VALUE(MID(Base_Bruta!B538,4,2)),VALUE(LEFT(Base_Bruta!B538,2))))))</f>
        <v>46017</v>
      </c>
      <c r="C538" s="5" t="n">
        <f aca="false">IF($A538="","",IF(ISNUMBER(Base_Bruta!C538),Base_Bruta!C538,IF(MID(Base_Bruta!C538,5,1)="-",DATE(VALUE(LEFT(Base_Bruta!C538,4)),VALUE(MID(Base_Bruta!C538,6,2)),VALUE(RIGHT(Base_Bruta!C538,2))),DATE(VALUE(RIGHT(Base_Bruta!C538,4)),VALUE(MID(Base_Bruta!C538,4,2)),VALUE(LEFT(Base_Bruta!C538,2))))))</f>
        <v>46130</v>
      </c>
      <c r="D538" s="4" t="str">
        <f aca="false">IF($A538="","",TRIM(Base_Bruta!D538))</f>
        <v>Festival Sonora SP 2026</v>
      </c>
      <c r="E538" s="4" t="str">
        <f aca="false">IF($A538="","",_xlfn.XLOOKUP(LOWER(TRIM(Base_Bruta!E538)),DePara_Categoria!$A$2:$A$9,DePara_Categoria!$B$2:$B$9,"REVISAR"))</f>
        <v>Festival</v>
      </c>
      <c r="F538" s="4" t="str">
        <f aca="false">IF($A538="","",_xlfn.XLOOKUP(LOWER(TRIM(Base_Bruta!F538)),DePara_Cidade!$A$2:$A$29,DePara_Cidade!$B$2:$B$29,"REVISAR"))</f>
        <v>São Paulo</v>
      </c>
      <c r="G538" s="4" t="str">
        <f aca="false">IF($A538="","",TRIM(Base_Bruta!G538))</f>
        <v>Meia</v>
      </c>
      <c r="H538" s="4" t="n">
        <f aca="false">IF($A538="","",IF(ISNUMBER(Base_Bruta!H538),Base_Bruta!H538,IFERROR(_xlfn.NUMBERVALUE(TRIM(SUBSTITUTE(Base_Bruta!H538,"R$","")),",","."),0)))</f>
        <v>2</v>
      </c>
      <c r="I538" s="6" t="n">
        <f aca="false">IF($A538="","",IF(ISNUMBER(Base_Bruta!I538),Base_Bruta!I538,IFERROR(_xlfn.NUMBERVALUE(TRIM(SUBSTITUTE(Base_Bruta!I538,"R$","")),",","."),0)))</f>
        <v>492.5</v>
      </c>
      <c r="J538" s="6" t="n">
        <f aca="false">IF($A538="","",H538*I538)</f>
        <v>985</v>
      </c>
      <c r="K538" s="4" t="str">
        <f aca="false">IF($A538="","",TRIM(Base_Bruta!J538))</f>
        <v>Bilheteria</v>
      </c>
      <c r="L538" s="4" t="str">
        <f aca="false">IF($A538="","",TRIM(Base_Bruta!K538))</f>
        <v>C01791</v>
      </c>
      <c r="M538" s="4" t="str">
        <f aca="false">IF($A538="","",_xlfn.XLOOKUP(LOWER(TRIM(Base_Bruta!L538)),DePara_Cidade!$A$2:$A$29,DePara_Cidade!$B$2:$B$29,"REVISAR"))</f>
        <v>Santiago</v>
      </c>
      <c r="N538" s="4" t="str">
        <f aca="false">IF($A538="","",UPPER(TRIM(Base_Bruta!M538)))</f>
        <v>EX</v>
      </c>
      <c r="O538" s="4" t="str">
        <f aca="false">IF($A538="","",_xlfn.XLOOKUP(LOWER(TRIM(Base_Bruta!N538)),DePara_Pais!$A$2:$A$9,DePara_Pais!$B$2:$B$9,"REVISAR"))</f>
        <v>Chile</v>
      </c>
      <c r="P538" s="4" t="str">
        <f aca="false">IF($A538="","",IF(O538&lt;&gt;"Brasil","Turista Internacional",IF(M538=F538,"Local","Turista Nacional")))</f>
        <v>Turista Internacional</v>
      </c>
      <c r="Q538" s="7" t="n">
        <f aca="false">IF($A538="","",DATE(YEAR(B538),MONTH(B538),1))</f>
        <v>45992</v>
      </c>
      <c r="R538" s="4" t="str">
        <f aca="false">IF($A538="","",IF(COUNTIF($A$2:$A538,$A538)&gt;1,"Sim","Não"))</f>
        <v>Não</v>
      </c>
      <c r="S538" s="4" t="str">
        <f aca="false">IF(A538="","Descartar - Linha vazia",IF(R538="Sim","Descartar - Duplicado",IF(OR(H538&lt;=0,I538&lt;=0),"Descartar - Qtd/Valor inválido","OK")))</f>
        <v>OK</v>
      </c>
      <c r="T538" s="4" t="str">
        <f aca="false">Base_Bruta!P538</f>
        <v>vendas_SP.xlsx</v>
      </c>
    </row>
    <row r="539" customFormat="false" ht="15" hidden="false" customHeight="false" outlineLevel="0" collapsed="false">
      <c r="A539" s="4" t="str">
        <f aca="false">IF(Base_Bruta!A539="","",Base_Bruta!A539)</f>
        <v>SP-000453</v>
      </c>
      <c r="B539" s="5" t="n">
        <f aca="false">IF($A539="","",IF(ISNUMBER(Base_Bruta!B539),Base_Bruta!B539,IF(MID(Base_Bruta!B539,5,1)="-",DATE(VALUE(LEFT(Base_Bruta!B539,4)),VALUE(MID(Base_Bruta!B539,6,2)),VALUE(RIGHT(Base_Bruta!B539,2))),DATE(VALUE(RIGHT(Base_Bruta!B539,4)),VALUE(MID(Base_Bruta!B539,4,2)),VALUE(LEFT(Base_Bruta!B539,2))))))</f>
        <v>46017</v>
      </c>
      <c r="C539" s="5" t="n">
        <f aca="false">IF($A539="","",IF(ISNUMBER(Base_Bruta!C539),Base_Bruta!C539,IF(MID(Base_Bruta!C539,5,1)="-",DATE(VALUE(LEFT(Base_Bruta!C539,4)),VALUE(MID(Base_Bruta!C539,6,2)),VALUE(RIGHT(Base_Bruta!C539,2))),DATE(VALUE(RIGHT(Base_Bruta!C539,4)),VALUE(MID(Base_Bruta!C539,4,2)),VALUE(LEFT(Base_Bruta!C539,2))))))</f>
        <v>46130</v>
      </c>
      <c r="D539" s="4" t="str">
        <f aca="false">IF($A539="","",TRIM(Base_Bruta!D539))</f>
        <v>Festival Sonora SP 2026</v>
      </c>
      <c r="E539" s="4" t="str">
        <f aca="false">IF($A539="","",_xlfn.XLOOKUP(LOWER(TRIM(Base_Bruta!E539)),DePara_Categoria!$A$2:$A$9,DePara_Categoria!$B$2:$B$9,"REVISAR"))</f>
        <v>Festival</v>
      </c>
      <c r="F539" s="4" t="str">
        <f aca="false">IF($A539="","",_xlfn.XLOOKUP(LOWER(TRIM(Base_Bruta!F539)),DePara_Cidade!$A$2:$A$29,DePara_Cidade!$B$2:$B$29,"REVISAR"))</f>
        <v>São Paulo</v>
      </c>
      <c r="G539" s="4" t="str">
        <f aca="false">IF($A539="","",TRIM(Base_Bruta!G539))</f>
        <v>Inteira</v>
      </c>
      <c r="H539" s="4" t="n">
        <f aca="false">IF($A539="","",IF(ISNUMBER(Base_Bruta!H539),Base_Bruta!H539,IFERROR(_xlfn.NUMBERVALUE(TRIM(SUBSTITUTE(Base_Bruta!H539,"R$","")),",","."),0)))</f>
        <v>2</v>
      </c>
      <c r="I539" s="6" t="n">
        <f aca="false">IF($A539="","",IF(ISNUMBER(Base_Bruta!I539),Base_Bruta!I539,IFERROR(_xlfn.NUMBERVALUE(TRIM(SUBSTITUTE(Base_Bruta!I539,"R$","")),",","."),0)))</f>
        <v>955</v>
      </c>
      <c r="J539" s="6" t="n">
        <f aca="false">IF($A539="","",H539*I539)</f>
        <v>1910</v>
      </c>
      <c r="K539" s="4" t="str">
        <f aca="false">IF($A539="","",TRIM(Base_Bruta!J539))</f>
        <v>Bilheteria</v>
      </c>
      <c r="L539" s="4" t="str">
        <f aca="false">IF($A539="","",TRIM(Base_Bruta!K539))</f>
        <v>C02410</v>
      </c>
      <c r="M539" s="4" t="str">
        <f aca="false">IF($A539="","",_xlfn.XLOOKUP(LOWER(TRIM(Base_Bruta!L539)),DePara_Cidade!$A$2:$A$29,DePara_Cidade!$B$2:$B$29,"REVISAR"))</f>
        <v>São Paulo</v>
      </c>
      <c r="N539" s="4" t="str">
        <f aca="false">IF($A539="","",UPPER(TRIM(Base_Bruta!M539)))</f>
        <v>SP</v>
      </c>
      <c r="O539" s="4" t="str">
        <f aca="false">IF($A539="","",_xlfn.XLOOKUP(LOWER(TRIM(Base_Bruta!N539)),DePara_Pais!$A$2:$A$9,DePara_Pais!$B$2:$B$9,"REVISAR"))</f>
        <v>Brasil</v>
      </c>
      <c r="P539" s="4" t="str">
        <f aca="false">IF($A539="","",IF(O539&lt;&gt;"Brasil","Turista Internacional",IF(M539=F539,"Local","Turista Nacional")))</f>
        <v>Local</v>
      </c>
      <c r="Q539" s="7" t="n">
        <f aca="false">IF($A539="","",DATE(YEAR(B539),MONTH(B539),1))</f>
        <v>45992</v>
      </c>
      <c r="R539" s="4" t="str">
        <f aca="false">IF($A539="","",IF(COUNTIF($A$2:$A539,$A539)&gt;1,"Sim","Não"))</f>
        <v>Não</v>
      </c>
      <c r="S539" s="4" t="str">
        <f aca="false">IF(A539="","Descartar - Linha vazia",IF(R539="Sim","Descartar - Duplicado",IF(OR(H539&lt;=0,I539&lt;=0),"Descartar - Qtd/Valor inválido","OK")))</f>
        <v>OK</v>
      </c>
      <c r="T539" s="4" t="str">
        <f aca="false">Base_Bruta!P539</f>
        <v>vendas_SP.xlsx</v>
      </c>
    </row>
    <row r="540" customFormat="false" ht="15" hidden="false" customHeight="false" outlineLevel="0" collapsed="false">
      <c r="A540" s="4" t="str">
        <f aca="false">IF(Base_Bruta!A540="","",Base_Bruta!A540)</f>
        <v>SP-000457</v>
      </c>
      <c r="B540" s="5" t="n">
        <f aca="false">IF($A540="","",IF(ISNUMBER(Base_Bruta!B540),Base_Bruta!B540,IF(MID(Base_Bruta!B540,5,1)="-",DATE(VALUE(LEFT(Base_Bruta!B540,4)),VALUE(MID(Base_Bruta!B540,6,2)),VALUE(RIGHT(Base_Bruta!B540,2))),DATE(VALUE(RIGHT(Base_Bruta!B540,4)),VALUE(MID(Base_Bruta!B540,4,2)),VALUE(LEFT(Base_Bruta!B540,2))))))</f>
        <v>46017</v>
      </c>
      <c r="C540" s="5" t="n">
        <f aca="false">IF($A540="","",IF(ISNUMBER(Base_Bruta!C540),Base_Bruta!C540,IF(MID(Base_Bruta!C540,5,1)="-",DATE(VALUE(LEFT(Base_Bruta!C540,4)),VALUE(MID(Base_Bruta!C540,6,2)),VALUE(RIGHT(Base_Bruta!C540,2))),DATE(VALUE(RIGHT(Base_Bruta!C540,4)),VALUE(MID(Base_Bruta!C540,4,2)),VALUE(LEFT(Base_Bruta!C540,2))))))</f>
        <v>46130</v>
      </c>
      <c r="D540" s="4" t="str">
        <f aca="false">IF($A540="","",TRIM(Base_Bruta!D540))</f>
        <v>Festival Sonora SP 2026</v>
      </c>
      <c r="E540" s="4" t="str">
        <f aca="false">IF($A540="","",_xlfn.XLOOKUP(LOWER(TRIM(Base_Bruta!E540)),DePara_Categoria!$A$2:$A$9,DePara_Categoria!$B$2:$B$9,"REVISAR"))</f>
        <v>Festival</v>
      </c>
      <c r="F540" s="4" t="str">
        <f aca="false">IF($A540="","",_xlfn.XLOOKUP(LOWER(TRIM(Base_Bruta!F540)),DePara_Cidade!$A$2:$A$29,DePara_Cidade!$B$2:$B$29,"REVISAR"))</f>
        <v>São Paulo</v>
      </c>
      <c r="G540" s="4" t="str">
        <f aca="false">IF($A540="","",TRIM(Base_Bruta!G540))</f>
        <v>Meia</v>
      </c>
      <c r="H540" s="4" t="n">
        <f aca="false">IF($A540="","",IF(ISNUMBER(Base_Bruta!H540),Base_Bruta!H540,IFERROR(_xlfn.NUMBERVALUE(TRIM(SUBSTITUTE(Base_Bruta!H540,"R$","")),",","."),0)))</f>
        <v>1</v>
      </c>
      <c r="I540" s="6" t="n">
        <f aca="false">IF($A540="","",IF(ISNUMBER(Base_Bruta!I540),Base_Bruta!I540,IFERROR(_xlfn.NUMBERVALUE(TRIM(SUBSTITUTE(Base_Bruta!I540,"R$","")),",","."),0)))</f>
        <v>415</v>
      </c>
      <c r="J540" s="6" t="n">
        <f aca="false">IF($A540="","",H540*I540)</f>
        <v>415</v>
      </c>
      <c r="K540" s="4" t="str">
        <f aca="false">IF($A540="","",TRIM(Base_Bruta!J540))</f>
        <v>Site</v>
      </c>
      <c r="L540" s="4" t="str">
        <f aca="false">IF($A540="","",TRIM(Base_Bruta!K540))</f>
        <v>C00890</v>
      </c>
      <c r="M540" s="4" t="str">
        <f aca="false">IF($A540="","",_xlfn.XLOOKUP(LOWER(TRIM(Base_Bruta!L540)),DePara_Cidade!$A$2:$A$29,DePara_Cidade!$B$2:$B$29,"REVISAR"))</f>
        <v>São Paulo</v>
      </c>
      <c r="N540" s="4" t="str">
        <f aca="false">IF($A540="","",UPPER(TRIM(Base_Bruta!M540)))</f>
        <v>SP</v>
      </c>
      <c r="O540" s="4" t="str">
        <f aca="false">IF($A540="","",_xlfn.XLOOKUP(LOWER(TRIM(Base_Bruta!N540)),DePara_Pais!$A$2:$A$9,DePara_Pais!$B$2:$B$9,"REVISAR"))</f>
        <v>Brasil</v>
      </c>
      <c r="P540" s="4" t="str">
        <f aca="false">IF($A540="","",IF(O540&lt;&gt;"Brasil","Turista Internacional",IF(M540=F540,"Local","Turista Nacional")))</f>
        <v>Local</v>
      </c>
      <c r="Q540" s="7" t="n">
        <f aca="false">IF($A540="","",DATE(YEAR(B540),MONTH(B540),1))</f>
        <v>45992</v>
      </c>
      <c r="R540" s="4" t="str">
        <f aca="false">IF($A540="","",IF(COUNTIF($A$2:$A540,$A540)&gt;1,"Sim","Não"))</f>
        <v>Não</v>
      </c>
      <c r="S540" s="4" t="str">
        <f aca="false">IF(A540="","Descartar - Linha vazia",IF(R540="Sim","Descartar - Duplicado",IF(OR(H540&lt;=0,I540&lt;=0),"Descartar - Qtd/Valor inválido","OK")))</f>
        <v>OK</v>
      </c>
      <c r="T540" s="4" t="str">
        <f aca="false">Base_Bruta!P540</f>
        <v>vendas_SP.xlsx</v>
      </c>
    </row>
    <row r="541" customFormat="false" ht="15" hidden="false" customHeight="false" outlineLevel="0" collapsed="false">
      <c r="A541" s="4" t="str">
        <f aca="false">IF(Base_Bruta!A541="","",Base_Bruta!A541)</f>
        <v>SP-000232</v>
      </c>
      <c r="B541" s="5" t="n">
        <f aca="false">IF($A541="","",IF(ISNUMBER(Base_Bruta!B541),Base_Bruta!B541,IF(MID(Base_Bruta!B541,5,1)="-",DATE(VALUE(LEFT(Base_Bruta!B541,4)),VALUE(MID(Base_Bruta!B541,6,2)),VALUE(RIGHT(Base_Bruta!B541,2))),DATE(VALUE(RIGHT(Base_Bruta!B541,4)),VALUE(MID(Base_Bruta!B541,4,2)),VALUE(LEFT(Base_Bruta!B541,2))))))</f>
        <v>46018</v>
      </c>
      <c r="C541" s="5" t="n">
        <f aca="false">IF($A541="","",IF(ISNUMBER(Base_Bruta!C541),Base_Bruta!C541,IF(MID(Base_Bruta!C541,5,1)="-",DATE(VALUE(LEFT(Base_Bruta!C541,4)),VALUE(MID(Base_Bruta!C541,6,2)),VALUE(RIGHT(Base_Bruta!C541,2))),DATE(VALUE(RIGHT(Base_Bruta!C541,4)),VALUE(MID(Base_Bruta!C541,4,2)),VALUE(LEFT(Base_Bruta!C541,2))))))</f>
        <v>46130</v>
      </c>
      <c r="D541" s="4" t="str">
        <f aca="false">IF($A541="","",TRIM(Base_Bruta!D541))</f>
        <v>Festival Sonora SP 2026</v>
      </c>
      <c r="E541" s="4" t="str">
        <f aca="false">IF($A541="","",_xlfn.XLOOKUP(LOWER(TRIM(Base_Bruta!E541)),DePara_Categoria!$A$2:$A$9,DePara_Categoria!$B$2:$B$9,"REVISAR"))</f>
        <v>Festival</v>
      </c>
      <c r="F541" s="4" t="str">
        <f aca="false">IF($A541="","",_xlfn.XLOOKUP(LOWER(TRIM(Base_Bruta!F541)),DePara_Cidade!$A$2:$A$29,DePara_Cidade!$B$2:$B$29,"REVISAR"))</f>
        <v>São Paulo</v>
      </c>
      <c r="G541" s="4" t="str">
        <f aca="false">IF($A541="","",TRIM(Base_Bruta!G541))</f>
        <v>Inteira</v>
      </c>
      <c r="H541" s="4" t="n">
        <f aca="false">IF($A541="","",IF(ISNUMBER(Base_Bruta!H541),Base_Bruta!H541,IFERROR(_xlfn.NUMBERVALUE(TRIM(SUBSTITUTE(Base_Bruta!H541,"R$","")),",","."),0)))</f>
        <v>2</v>
      </c>
      <c r="I541" s="6" t="n">
        <f aca="false">IF($A541="","",IF(ISNUMBER(Base_Bruta!I541),Base_Bruta!I541,IFERROR(_xlfn.NUMBERVALUE(TRIM(SUBSTITUTE(Base_Bruta!I541,"R$","")),",","."),0)))</f>
        <v>975</v>
      </c>
      <c r="J541" s="6" t="n">
        <f aca="false">IF($A541="","",H541*I541)</f>
        <v>1950</v>
      </c>
      <c r="K541" s="4" t="str">
        <f aca="false">IF($A541="","",TRIM(Base_Bruta!J541))</f>
        <v>App</v>
      </c>
      <c r="L541" s="4" t="str">
        <f aca="false">IF($A541="","",TRIM(Base_Bruta!K541))</f>
        <v>C01577</v>
      </c>
      <c r="M541" s="4" t="str">
        <f aca="false">IF($A541="","",_xlfn.XLOOKUP(LOWER(TRIM(Base_Bruta!L541)),DePara_Cidade!$A$2:$A$29,DePara_Cidade!$B$2:$B$29,"REVISAR"))</f>
        <v>Niterói</v>
      </c>
      <c r="N541" s="4" t="str">
        <f aca="false">IF($A541="","",UPPER(TRIM(Base_Bruta!M541)))</f>
        <v>RJ</v>
      </c>
      <c r="O541" s="4" t="str">
        <f aca="false">IF($A541="","",_xlfn.XLOOKUP(LOWER(TRIM(Base_Bruta!N541)),DePara_Pais!$A$2:$A$9,DePara_Pais!$B$2:$B$9,"REVISAR"))</f>
        <v>Brasil</v>
      </c>
      <c r="P541" s="4" t="str">
        <f aca="false">IF($A541="","",IF(O541&lt;&gt;"Brasil","Turista Internacional",IF(M541=F541,"Local","Turista Nacional")))</f>
        <v>Turista Nacional</v>
      </c>
      <c r="Q541" s="7" t="n">
        <f aca="false">IF($A541="","",DATE(YEAR(B541),MONTH(B541),1))</f>
        <v>45992</v>
      </c>
      <c r="R541" s="4" t="str">
        <f aca="false">IF($A541="","",IF(COUNTIF($A$2:$A541,$A541)&gt;1,"Sim","Não"))</f>
        <v>Não</v>
      </c>
      <c r="S541" s="4" t="str">
        <f aca="false">IF(A541="","Descartar - Linha vazia",IF(R541="Sim","Descartar - Duplicado",IF(OR(H541&lt;=0,I541&lt;=0),"Descartar - Qtd/Valor inválido","OK")))</f>
        <v>OK</v>
      </c>
      <c r="T541" s="4" t="str">
        <f aca="false">Base_Bruta!P541</f>
        <v>vendas_SP.xlsx</v>
      </c>
    </row>
    <row r="542" customFormat="false" ht="15" hidden="false" customHeight="false" outlineLevel="0" collapsed="false">
      <c r="A542" s="4" t="str">
        <f aca="false">IF(Base_Bruta!A542="","",Base_Bruta!A542)</f>
        <v>SP-000267</v>
      </c>
      <c r="B542" s="5" t="n">
        <f aca="false">IF($A542="","",IF(ISNUMBER(Base_Bruta!B542),Base_Bruta!B542,IF(MID(Base_Bruta!B542,5,1)="-",DATE(VALUE(LEFT(Base_Bruta!B542,4)),VALUE(MID(Base_Bruta!B542,6,2)),VALUE(RIGHT(Base_Bruta!B542,2))),DATE(VALUE(RIGHT(Base_Bruta!B542,4)),VALUE(MID(Base_Bruta!B542,4,2)),VALUE(LEFT(Base_Bruta!B542,2))))))</f>
        <v>46018</v>
      </c>
      <c r="C542" s="5" t="n">
        <f aca="false">IF($A542="","",IF(ISNUMBER(Base_Bruta!C542),Base_Bruta!C542,IF(MID(Base_Bruta!C542,5,1)="-",DATE(VALUE(LEFT(Base_Bruta!C542,4)),VALUE(MID(Base_Bruta!C542,6,2)),VALUE(RIGHT(Base_Bruta!C542,2))),DATE(VALUE(RIGHT(Base_Bruta!C542,4)),VALUE(MID(Base_Bruta!C542,4,2)),VALUE(LEFT(Base_Bruta!C542,2))))))</f>
        <v>46130</v>
      </c>
      <c r="D542" s="4" t="str">
        <f aca="false">IF($A542="","",TRIM(Base_Bruta!D542))</f>
        <v>Festival Sonora SP 2026</v>
      </c>
      <c r="E542" s="4" t="str">
        <f aca="false">IF($A542="","",_xlfn.XLOOKUP(LOWER(TRIM(Base_Bruta!E542)),DePara_Categoria!$A$2:$A$9,DePara_Categoria!$B$2:$B$9,"REVISAR"))</f>
        <v>Festival</v>
      </c>
      <c r="F542" s="4" t="str">
        <f aca="false">IF($A542="","",_xlfn.XLOOKUP(LOWER(TRIM(Base_Bruta!F542)),DePara_Cidade!$A$2:$A$29,DePara_Cidade!$B$2:$B$29,"REVISAR"))</f>
        <v>São Paulo</v>
      </c>
      <c r="G542" s="4" t="str">
        <f aca="false">IF($A542="","",TRIM(Base_Bruta!G542))</f>
        <v>Meia</v>
      </c>
      <c r="H542" s="4" t="n">
        <f aca="false">IF($A542="","",IF(ISNUMBER(Base_Bruta!H542),Base_Bruta!H542,IFERROR(_xlfn.NUMBERVALUE(TRIM(SUBSTITUTE(Base_Bruta!H542,"R$","")),",","."),0)))</f>
        <v>1</v>
      </c>
      <c r="I542" s="6" t="n">
        <f aca="false">IF($A542="","",IF(ISNUMBER(Base_Bruta!I542),Base_Bruta!I542,IFERROR(_xlfn.NUMBERVALUE(TRIM(SUBSTITUTE(Base_Bruta!I542,"R$","")),",","."),0)))</f>
        <v>385</v>
      </c>
      <c r="J542" s="6" t="n">
        <f aca="false">IF($A542="","",H542*I542)</f>
        <v>385</v>
      </c>
      <c r="K542" s="4" t="str">
        <f aca="false">IF($A542="","",TRIM(Base_Bruta!J542))</f>
        <v>Parceiro</v>
      </c>
      <c r="L542" s="4" t="str">
        <f aca="false">IF($A542="","",TRIM(Base_Bruta!K542))</f>
        <v>C00094</v>
      </c>
      <c r="M542" s="4" t="str">
        <f aca="false">IF($A542="","",_xlfn.XLOOKUP(LOWER(TRIM(Base_Bruta!L542)),DePara_Cidade!$A$2:$A$29,DePara_Cidade!$B$2:$B$29,"REVISAR"))</f>
        <v>Lisboa</v>
      </c>
      <c r="N542" s="4" t="str">
        <f aca="false">IF($A542="","",UPPER(TRIM(Base_Bruta!M542)))</f>
        <v>EX</v>
      </c>
      <c r="O542" s="4" t="str">
        <f aca="false">IF($A542="","",_xlfn.XLOOKUP(LOWER(TRIM(Base_Bruta!N542)),DePara_Pais!$A$2:$A$9,DePara_Pais!$B$2:$B$9,"REVISAR"))</f>
        <v>Portugal</v>
      </c>
      <c r="P542" s="4" t="str">
        <f aca="false">IF($A542="","",IF(O542&lt;&gt;"Brasil","Turista Internacional",IF(M542=F542,"Local","Turista Nacional")))</f>
        <v>Turista Internacional</v>
      </c>
      <c r="Q542" s="7" t="n">
        <f aca="false">IF($A542="","",DATE(YEAR(B542),MONTH(B542),1))</f>
        <v>45992</v>
      </c>
      <c r="R542" s="4" t="str">
        <f aca="false">IF($A542="","",IF(COUNTIF($A$2:$A542,$A542)&gt;1,"Sim","Não"))</f>
        <v>Não</v>
      </c>
      <c r="S542" s="4" t="str">
        <f aca="false">IF(A542="","Descartar - Linha vazia",IF(R542="Sim","Descartar - Duplicado",IF(OR(H542&lt;=0,I542&lt;=0),"Descartar - Qtd/Valor inválido","OK")))</f>
        <v>OK</v>
      </c>
      <c r="T542" s="4" t="str">
        <f aca="false">Base_Bruta!P542</f>
        <v>vendas_SP.xlsx</v>
      </c>
    </row>
    <row r="543" customFormat="false" ht="15" hidden="false" customHeight="false" outlineLevel="0" collapsed="false">
      <c r="A543" s="4" t="str">
        <f aca="false">IF(Base_Bruta!A543="","",Base_Bruta!A543)</f>
        <v>SP-000268</v>
      </c>
      <c r="B543" s="5" t="n">
        <f aca="false">IF($A543="","",IF(ISNUMBER(Base_Bruta!B543),Base_Bruta!B543,IF(MID(Base_Bruta!B543,5,1)="-",DATE(VALUE(LEFT(Base_Bruta!B543,4)),VALUE(MID(Base_Bruta!B543,6,2)),VALUE(RIGHT(Base_Bruta!B543,2))),DATE(VALUE(RIGHT(Base_Bruta!B543,4)),VALUE(MID(Base_Bruta!B543,4,2)),VALUE(LEFT(Base_Bruta!B543,2))))))</f>
        <v>46018</v>
      </c>
      <c r="C543" s="5" t="n">
        <f aca="false">IF($A543="","",IF(ISNUMBER(Base_Bruta!C543),Base_Bruta!C543,IF(MID(Base_Bruta!C543,5,1)="-",DATE(VALUE(LEFT(Base_Bruta!C543,4)),VALUE(MID(Base_Bruta!C543,6,2)),VALUE(RIGHT(Base_Bruta!C543,2))),DATE(VALUE(RIGHT(Base_Bruta!C543,4)),VALUE(MID(Base_Bruta!C543,4,2)),VALUE(LEFT(Base_Bruta!C543,2))))))</f>
        <v>46130</v>
      </c>
      <c r="D543" s="4" t="str">
        <f aca="false">IF($A543="","",TRIM(Base_Bruta!D543))</f>
        <v>Festival Sonora SP 2026</v>
      </c>
      <c r="E543" s="4" t="str">
        <f aca="false">IF($A543="","",_xlfn.XLOOKUP(LOWER(TRIM(Base_Bruta!E543)),DePara_Categoria!$A$2:$A$9,DePara_Categoria!$B$2:$B$9,"REVISAR"))</f>
        <v>Festival</v>
      </c>
      <c r="F543" s="4" t="str">
        <f aca="false">IF($A543="","",_xlfn.XLOOKUP(LOWER(TRIM(Base_Bruta!F543)),DePara_Cidade!$A$2:$A$29,DePara_Cidade!$B$2:$B$29,"REVISAR"))</f>
        <v>São Paulo</v>
      </c>
      <c r="G543" s="4" t="str">
        <f aca="false">IF($A543="","",TRIM(Base_Bruta!G543))</f>
        <v>Inteira</v>
      </c>
      <c r="H543" s="4" t="n">
        <f aca="false">IF($A543="","",IF(ISNUMBER(Base_Bruta!H543),Base_Bruta!H543,IFERROR(_xlfn.NUMBERVALUE(TRIM(SUBSTITUTE(Base_Bruta!H543,"R$","")),",","."),0)))</f>
        <v>2</v>
      </c>
      <c r="I543" s="6" t="n">
        <f aca="false">IF($A543="","",IF(ISNUMBER(Base_Bruta!I543),Base_Bruta!I543,IFERROR(_xlfn.NUMBERVALUE(TRIM(SUBSTITUTE(Base_Bruta!I543,"R$","")),",","."),0)))</f>
        <v>965</v>
      </c>
      <c r="J543" s="6" t="n">
        <f aca="false">IF($A543="","",H543*I543)</f>
        <v>1930</v>
      </c>
      <c r="K543" s="4" t="str">
        <f aca="false">IF($A543="","",TRIM(Base_Bruta!J543))</f>
        <v>Site</v>
      </c>
      <c r="L543" s="4" t="str">
        <f aca="false">IF($A543="","",TRIM(Base_Bruta!K543))</f>
        <v>C01861</v>
      </c>
      <c r="M543" s="4" t="str">
        <f aca="false">IF($A543="","",_xlfn.XLOOKUP(LOWER(TRIM(Base_Bruta!L543)),DePara_Cidade!$A$2:$A$29,DePara_Cidade!$B$2:$B$29,"REVISAR"))</f>
        <v>São Paulo</v>
      </c>
      <c r="N543" s="4" t="str">
        <f aca="false">IF($A543="","",UPPER(TRIM(Base_Bruta!M543)))</f>
        <v>SP</v>
      </c>
      <c r="O543" s="4" t="str">
        <f aca="false">IF($A543="","",_xlfn.XLOOKUP(LOWER(TRIM(Base_Bruta!N543)),DePara_Pais!$A$2:$A$9,DePara_Pais!$B$2:$B$9,"REVISAR"))</f>
        <v>Brasil</v>
      </c>
      <c r="P543" s="4" t="str">
        <f aca="false">IF($A543="","",IF(O543&lt;&gt;"Brasil","Turista Internacional",IF(M543=F543,"Local","Turista Nacional")))</f>
        <v>Local</v>
      </c>
      <c r="Q543" s="7" t="n">
        <f aca="false">IF($A543="","",DATE(YEAR(B543),MONTH(B543),1))</f>
        <v>45992</v>
      </c>
      <c r="R543" s="4" t="str">
        <f aca="false">IF($A543="","",IF(COUNTIF($A$2:$A543,$A543)&gt;1,"Sim","Não"))</f>
        <v>Não</v>
      </c>
      <c r="S543" s="4" t="str">
        <f aca="false">IF(A543="","Descartar - Linha vazia",IF(R543="Sim","Descartar - Duplicado",IF(OR(H543&lt;=0,I543&lt;=0),"Descartar - Qtd/Valor inválido","OK")))</f>
        <v>OK</v>
      </c>
      <c r="T543" s="4" t="str">
        <f aca="false">Base_Bruta!P543</f>
        <v>vendas_SP.xlsx</v>
      </c>
    </row>
    <row r="544" customFormat="false" ht="15" hidden="false" customHeight="false" outlineLevel="0" collapsed="false">
      <c r="A544" s="4" t="str">
        <f aca="false">IF(Base_Bruta!A544="","",Base_Bruta!A544)</f>
        <v>SP-000292</v>
      </c>
      <c r="B544" s="5" t="n">
        <f aca="false">IF($A544="","",IF(ISNUMBER(Base_Bruta!B544),Base_Bruta!B544,IF(MID(Base_Bruta!B544,5,1)="-",DATE(VALUE(LEFT(Base_Bruta!B544,4)),VALUE(MID(Base_Bruta!B544,6,2)),VALUE(RIGHT(Base_Bruta!B544,2))),DATE(VALUE(RIGHT(Base_Bruta!B544,4)),VALUE(MID(Base_Bruta!B544,4,2)),VALUE(LEFT(Base_Bruta!B544,2))))))</f>
        <v>46018</v>
      </c>
      <c r="C544" s="5" t="n">
        <f aca="false">IF($A544="","",IF(ISNUMBER(Base_Bruta!C544),Base_Bruta!C544,IF(MID(Base_Bruta!C544,5,1)="-",DATE(VALUE(LEFT(Base_Bruta!C544,4)),VALUE(MID(Base_Bruta!C544,6,2)),VALUE(RIGHT(Base_Bruta!C544,2))),DATE(VALUE(RIGHT(Base_Bruta!C544,4)),VALUE(MID(Base_Bruta!C544,4,2)),VALUE(LEFT(Base_Bruta!C544,2))))))</f>
        <v>46130</v>
      </c>
      <c r="D544" s="4" t="str">
        <f aca="false">IF($A544="","",TRIM(Base_Bruta!D544))</f>
        <v>Festival Sonora SP 2026</v>
      </c>
      <c r="E544" s="4" t="str">
        <f aca="false">IF($A544="","",_xlfn.XLOOKUP(LOWER(TRIM(Base_Bruta!E544)),DePara_Categoria!$A$2:$A$9,DePara_Categoria!$B$2:$B$9,"REVISAR"))</f>
        <v>Festival</v>
      </c>
      <c r="F544" s="4" t="str">
        <f aca="false">IF($A544="","",_xlfn.XLOOKUP(LOWER(TRIM(Base_Bruta!F544)),DePara_Cidade!$A$2:$A$29,DePara_Cidade!$B$2:$B$29,"REVISAR"))</f>
        <v>São Paulo</v>
      </c>
      <c r="G544" s="4" t="str">
        <f aca="false">IF($A544="","",TRIM(Base_Bruta!G544))</f>
        <v>Inteira</v>
      </c>
      <c r="H544" s="4" t="n">
        <f aca="false">IF($A544="","",IF(ISNUMBER(Base_Bruta!H544),Base_Bruta!H544,IFERROR(_xlfn.NUMBERVALUE(TRIM(SUBSTITUTE(Base_Bruta!H544,"R$","")),",","."),0)))</f>
        <v>2</v>
      </c>
      <c r="I544" s="6" t="n">
        <f aca="false">IF($A544="","",IF(ISNUMBER(Base_Bruta!I544),Base_Bruta!I544,IFERROR(_xlfn.NUMBERVALUE(TRIM(SUBSTITUTE(Base_Bruta!I544,"R$","")),",","."),0)))</f>
        <v>970</v>
      </c>
      <c r="J544" s="6" t="n">
        <f aca="false">IF($A544="","",H544*I544)</f>
        <v>1940</v>
      </c>
      <c r="K544" s="4" t="str">
        <f aca="false">IF($A544="","",TRIM(Base_Bruta!J544))</f>
        <v>App</v>
      </c>
      <c r="L544" s="4" t="str">
        <f aca="false">IF($A544="","",TRIM(Base_Bruta!K544))</f>
        <v>C01706</v>
      </c>
      <c r="M544" s="4" t="str">
        <f aca="false">IF($A544="","",_xlfn.XLOOKUP(LOWER(TRIM(Base_Bruta!L544)),DePara_Cidade!$A$2:$A$29,DePara_Cidade!$B$2:$B$29,"REVISAR"))</f>
        <v>Vitória</v>
      </c>
      <c r="N544" s="4" t="str">
        <f aca="false">IF($A544="","",UPPER(TRIM(Base_Bruta!M544)))</f>
        <v>ES</v>
      </c>
      <c r="O544" s="4" t="str">
        <f aca="false">IF($A544="","",_xlfn.XLOOKUP(LOWER(TRIM(Base_Bruta!N544)),DePara_Pais!$A$2:$A$9,DePara_Pais!$B$2:$B$9,"REVISAR"))</f>
        <v>Brasil</v>
      </c>
      <c r="P544" s="4" t="str">
        <f aca="false">IF($A544="","",IF(O544&lt;&gt;"Brasil","Turista Internacional",IF(M544=F544,"Local","Turista Nacional")))</f>
        <v>Turista Nacional</v>
      </c>
      <c r="Q544" s="7" t="n">
        <f aca="false">IF($A544="","",DATE(YEAR(B544),MONTH(B544),1))</f>
        <v>45992</v>
      </c>
      <c r="R544" s="4" t="str">
        <f aca="false">IF($A544="","",IF(COUNTIF($A$2:$A544,$A544)&gt;1,"Sim","Não"))</f>
        <v>Não</v>
      </c>
      <c r="S544" s="4" t="str">
        <f aca="false">IF(A544="","Descartar - Linha vazia",IF(R544="Sim","Descartar - Duplicado",IF(OR(H544&lt;=0,I544&lt;=0),"Descartar - Qtd/Valor inválido","OK")))</f>
        <v>OK</v>
      </c>
      <c r="T544" s="4" t="str">
        <f aca="false">Base_Bruta!P544</f>
        <v>vendas_SP.xlsx</v>
      </c>
    </row>
    <row r="545" customFormat="false" ht="15" hidden="false" customHeight="false" outlineLevel="0" collapsed="false">
      <c r="A545" s="4" t="str">
        <f aca="false">IF(Base_Bruta!A545="","",Base_Bruta!A545)</f>
        <v>SP-000330</v>
      </c>
      <c r="B545" s="5" t="n">
        <f aca="false">IF($A545="","",IF(ISNUMBER(Base_Bruta!B545),Base_Bruta!B545,IF(MID(Base_Bruta!B545,5,1)="-",DATE(VALUE(LEFT(Base_Bruta!B545,4)),VALUE(MID(Base_Bruta!B545,6,2)),VALUE(RIGHT(Base_Bruta!B545,2))),DATE(VALUE(RIGHT(Base_Bruta!B545,4)),VALUE(MID(Base_Bruta!B545,4,2)),VALUE(LEFT(Base_Bruta!B545,2))))))</f>
        <v>46018</v>
      </c>
      <c r="C545" s="5" t="n">
        <f aca="false">IF($A545="","",IF(ISNUMBER(Base_Bruta!C545),Base_Bruta!C545,IF(MID(Base_Bruta!C545,5,1)="-",DATE(VALUE(LEFT(Base_Bruta!C545,4)),VALUE(MID(Base_Bruta!C545,6,2)),VALUE(RIGHT(Base_Bruta!C545,2))),DATE(VALUE(RIGHT(Base_Bruta!C545,4)),VALUE(MID(Base_Bruta!C545,4,2)),VALUE(LEFT(Base_Bruta!C545,2))))))</f>
        <v>46130</v>
      </c>
      <c r="D545" s="4" t="str">
        <f aca="false">IF($A545="","",TRIM(Base_Bruta!D545))</f>
        <v>Festival Sonora SP 2026</v>
      </c>
      <c r="E545" s="4" t="str">
        <f aca="false">IF($A545="","",_xlfn.XLOOKUP(LOWER(TRIM(Base_Bruta!E545)),DePara_Categoria!$A$2:$A$9,DePara_Categoria!$B$2:$B$9,"REVISAR"))</f>
        <v>Festival</v>
      </c>
      <c r="F545" s="4" t="str">
        <f aca="false">IF($A545="","",_xlfn.XLOOKUP(LOWER(TRIM(Base_Bruta!F545)),DePara_Cidade!$A$2:$A$29,DePara_Cidade!$B$2:$B$29,"REVISAR"))</f>
        <v>São Paulo</v>
      </c>
      <c r="G545" s="4" t="str">
        <f aca="false">IF($A545="","",TRIM(Base_Bruta!G545))</f>
        <v>Inteira</v>
      </c>
      <c r="H545" s="4" t="n">
        <f aca="false">IF($A545="","",IF(ISNUMBER(Base_Bruta!H545),Base_Bruta!H545,IFERROR(_xlfn.NUMBERVALUE(TRIM(SUBSTITUTE(Base_Bruta!H545,"R$","")),",","."),0)))</f>
        <v>1</v>
      </c>
      <c r="I545" s="6" t="n">
        <f aca="false">IF($A545="","",IF(ISNUMBER(Base_Bruta!I545),Base_Bruta!I545,IFERROR(_xlfn.NUMBERVALUE(TRIM(SUBSTITUTE(Base_Bruta!I545,"R$","")),",","."),0)))</f>
        <v>1140</v>
      </c>
      <c r="J545" s="6" t="n">
        <f aca="false">IF($A545="","",H545*I545)</f>
        <v>1140</v>
      </c>
      <c r="K545" s="4" t="str">
        <f aca="false">IF($A545="","",TRIM(Base_Bruta!J545))</f>
        <v>Site</v>
      </c>
      <c r="L545" s="4" t="str">
        <f aca="false">IF($A545="","",TRIM(Base_Bruta!K545))</f>
        <v>C00478</v>
      </c>
      <c r="M545" s="4" t="str">
        <f aca="false">IF($A545="","",_xlfn.XLOOKUP(LOWER(TRIM(Base_Bruta!L545)),DePara_Cidade!$A$2:$A$29,DePara_Cidade!$B$2:$B$29,"REVISAR"))</f>
        <v>Campinas</v>
      </c>
      <c r="N545" s="4" t="str">
        <f aca="false">IF($A545="","",UPPER(TRIM(Base_Bruta!M545)))</f>
        <v>SP</v>
      </c>
      <c r="O545" s="4" t="str">
        <f aca="false">IF($A545="","",_xlfn.XLOOKUP(LOWER(TRIM(Base_Bruta!N545)),DePara_Pais!$A$2:$A$9,DePara_Pais!$B$2:$B$9,"REVISAR"))</f>
        <v>Brasil</v>
      </c>
      <c r="P545" s="4" t="str">
        <f aca="false">IF($A545="","",IF(O545&lt;&gt;"Brasil","Turista Internacional",IF(M545=F545,"Local","Turista Nacional")))</f>
        <v>Turista Nacional</v>
      </c>
      <c r="Q545" s="7" t="n">
        <f aca="false">IF($A545="","",DATE(YEAR(B545),MONTH(B545),1))</f>
        <v>45992</v>
      </c>
      <c r="R545" s="4" t="str">
        <f aca="false">IF($A545="","",IF(COUNTIF($A$2:$A545,$A545)&gt;1,"Sim","Não"))</f>
        <v>Não</v>
      </c>
      <c r="S545" s="4" t="str">
        <f aca="false">IF(A545="","Descartar - Linha vazia",IF(R545="Sim","Descartar - Duplicado",IF(OR(H545&lt;=0,I545&lt;=0),"Descartar - Qtd/Valor inválido","OK")))</f>
        <v>OK</v>
      </c>
      <c r="T545" s="4" t="str">
        <f aca="false">Base_Bruta!P545</f>
        <v>vendas_SP.xlsx</v>
      </c>
    </row>
    <row r="546" customFormat="false" ht="15" hidden="false" customHeight="false" outlineLevel="0" collapsed="false">
      <c r="A546" s="4" t="str">
        <f aca="false">IF(Base_Bruta!A546="","",Base_Bruta!A546)</f>
        <v>SP-000351</v>
      </c>
      <c r="B546" s="5" t="n">
        <f aca="false">IF($A546="","",IF(ISNUMBER(Base_Bruta!B546),Base_Bruta!B546,IF(MID(Base_Bruta!B546,5,1)="-",DATE(VALUE(LEFT(Base_Bruta!B546,4)),VALUE(MID(Base_Bruta!B546,6,2)),VALUE(RIGHT(Base_Bruta!B546,2))),DATE(VALUE(RIGHT(Base_Bruta!B546,4)),VALUE(MID(Base_Bruta!B546,4,2)),VALUE(LEFT(Base_Bruta!B546,2))))))</f>
        <v>46019</v>
      </c>
      <c r="C546" s="5" t="n">
        <f aca="false">IF($A546="","",IF(ISNUMBER(Base_Bruta!C546),Base_Bruta!C546,IF(MID(Base_Bruta!C546,5,1)="-",DATE(VALUE(LEFT(Base_Bruta!C546,4)),VALUE(MID(Base_Bruta!C546,6,2)),VALUE(RIGHT(Base_Bruta!C546,2))),DATE(VALUE(RIGHT(Base_Bruta!C546,4)),VALUE(MID(Base_Bruta!C546,4,2)),VALUE(LEFT(Base_Bruta!C546,2))))))</f>
        <v>46130</v>
      </c>
      <c r="D546" s="4" t="str">
        <f aca="false">IF($A546="","",TRIM(Base_Bruta!D546))</f>
        <v>Festival Sonora SP 2026</v>
      </c>
      <c r="E546" s="4" t="str">
        <f aca="false">IF($A546="","",_xlfn.XLOOKUP(LOWER(TRIM(Base_Bruta!E546)),DePara_Categoria!$A$2:$A$9,DePara_Categoria!$B$2:$B$9,"REVISAR"))</f>
        <v>Festival</v>
      </c>
      <c r="F546" s="4" t="str">
        <f aca="false">IF($A546="","",_xlfn.XLOOKUP(LOWER(TRIM(Base_Bruta!F546)),DePara_Cidade!$A$2:$A$29,DePara_Cidade!$B$2:$B$29,"REVISAR"))</f>
        <v>São Paulo</v>
      </c>
      <c r="G546" s="4" t="str">
        <f aca="false">IF($A546="","",TRIM(Base_Bruta!G546))</f>
        <v>VIP</v>
      </c>
      <c r="H546" s="4" t="n">
        <f aca="false">IF($A546="","",IF(ISNUMBER(Base_Bruta!H546),Base_Bruta!H546,IFERROR(_xlfn.NUMBERVALUE(TRIM(SUBSTITUTE(Base_Bruta!H546,"R$","")),",","."),0)))</f>
        <v>1</v>
      </c>
      <c r="I546" s="6" t="n">
        <f aca="false">IF($A546="","",IF(ISNUMBER(Base_Bruta!I546),Base_Bruta!I546,IFERROR(_xlfn.NUMBERVALUE(TRIM(SUBSTITUTE(Base_Bruta!I546,"R$","")),",","."),0)))</f>
        <v>1620</v>
      </c>
      <c r="J546" s="6" t="n">
        <f aca="false">IF($A546="","",H546*I546)</f>
        <v>1620</v>
      </c>
      <c r="K546" s="4" t="str">
        <f aca="false">IF($A546="","",TRIM(Base_Bruta!J546))</f>
        <v>App</v>
      </c>
      <c r="L546" s="4" t="str">
        <f aca="false">IF($A546="","",TRIM(Base_Bruta!K546))</f>
        <v>C01861</v>
      </c>
      <c r="M546" s="4" t="str">
        <f aca="false">IF($A546="","",_xlfn.XLOOKUP(LOWER(TRIM(Base_Bruta!L546)),DePara_Cidade!$A$2:$A$29,DePara_Cidade!$B$2:$B$29,"REVISAR"))</f>
        <v>São Paulo</v>
      </c>
      <c r="N546" s="4" t="str">
        <f aca="false">IF($A546="","",UPPER(TRIM(Base_Bruta!M546)))</f>
        <v>SP</v>
      </c>
      <c r="O546" s="4" t="str">
        <f aca="false">IF($A546="","",_xlfn.XLOOKUP(LOWER(TRIM(Base_Bruta!N546)),DePara_Pais!$A$2:$A$9,DePara_Pais!$B$2:$B$9,"REVISAR"))</f>
        <v>Brasil</v>
      </c>
      <c r="P546" s="4" t="str">
        <f aca="false">IF($A546="","",IF(O546&lt;&gt;"Brasil","Turista Internacional",IF(M546=F546,"Local","Turista Nacional")))</f>
        <v>Local</v>
      </c>
      <c r="Q546" s="7" t="n">
        <f aca="false">IF($A546="","",DATE(YEAR(B546),MONTH(B546),1))</f>
        <v>45992</v>
      </c>
      <c r="R546" s="4" t="str">
        <f aca="false">IF($A546="","",IF(COUNTIF($A$2:$A546,$A546)&gt;1,"Sim","Não"))</f>
        <v>Não</v>
      </c>
      <c r="S546" s="4" t="str">
        <f aca="false">IF(A546="","Descartar - Linha vazia",IF(R546="Sim","Descartar - Duplicado",IF(OR(H546&lt;=0,I546&lt;=0),"Descartar - Qtd/Valor inválido","OK")))</f>
        <v>OK</v>
      </c>
      <c r="T546" s="4" t="str">
        <f aca="false">Base_Bruta!P546</f>
        <v>vendas_SP.xlsx</v>
      </c>
    </row>
    <row r="547" customFormat="false" ht="15" hidden="false" customHeight="false" outlineLevel="0" collapsed="false">
      <c r="A547" s="4" t="str">
        <f aca="false">IF(Base_Bruta!A547="","",Base_Bruta!A547)</f>
        <v>SP-000398</v>
      </c>
      <c r="B547" s="5" t="n">
        <f aca="false">IF($A547="","",IF(ISNUMBER(Base_Bruta!B547),Base_Bruta!B547,IF(MID(Base_Bruta!B547,5,1)="-",DATE(VALUE(LEFT(Base_Bruta!B547,4)),VALUE(MID(Base_Bruta!B547,6,2)),VALUE(RIGHT(Base_Bruta!B547,2))),DATE(VALUE(RIGHT(Base_Bruta!B547,4)),VALUE(MID(Base_Bruta!B547,4,2)),VALUE(LEFT(Base_Bruta!B547,2))))))</f>
        <v>46019</v>
      </c>
      <c r="C547" s="5" t="n">
        <f aca="false">IF($A547="","",IF(ISNUMBER(Base_Bruta!C547),Base_Bruta!C547,IF(MID(Base_Bruta!C547,5,1)="-",DATE(VALUE(LEFT(Base_Bruta!C547,4)),VALUE(MID(Base_Bruta!C547,6,2)),VALUE(RIGHT(Base_Bruta!C547,2))),DATE(VALUE(RIGHT(Base_Bruta!C547,4)),VALUE(MID(Base_Bruta!C547,4,2)),VALUE(LEFT(Base_Bruta!C547,2))))))</f>
        <v>46130</v>
      </c>
      <c r="D547" s="4" t="str">
        <f aca="false">IF($A547="","",TRIM(Base_Bruta!D547))</f>
        <v>Festival Sonora SP 2026</v>
      </c>
      <c r="E547" s="4" t="str">
        <f aca="false">IF($A547="","",_xlfn.XLOOKUP(LOWER(TRIM(Base_Bruta!E547)),DePara_Categoria!$A$2:$A$9,DePara_Categoria!$B$2:$B$9,"REVISAR"))</f>
        <v>Festival</v>
      </c>
      <c r="F547" s="4" t="str">
        <f aca="false">IF($A547="","",_xlfn.XLOOKUP(LOWER(TRIM(Base_Bruta!F547)),DePara_Cidade!$A$2:$A$29,DePara_Cidade!$B$2:$B$29,"REVISAR"))</f>
        <v>São Paulo</v>
      </c>
      <c r="G547" s="4" t="str">
        <f aca="false">IF($A547="","",TRIM(Base_Bruta!G547))</f>
        <v>Inteira</v>
      </c>
      <c r="H547" s="4" t="n">
        <f aca="false">IF($A547="","",IF(ISNUMBER(Base_Bruta!H547),Base_Bruta!H547,IFERROR(_xlfn.NUMBERVALUE(TRIM(SUBSTITUTE(Base_Bruta!H547,"R$","")),",","."),0)))</f>
        <v>1</v>
      </c>
      <c r="I547" s="6" t="n">
        <f aca="false">IF($A547="","",IF(ISNUMBER(Base_Bruta!I547),Base_Bruta!I547,IFERROR(_xlfn.NUMBERVALUE(TRIM(SUBSTITUTE(Base_Bruta!I547,"R$","")),",","."),0)))</f>
        <v>1050</v>
      </c>
      <c r="J547" s="6" t="n">
        <f aca="false">IF($A547="","",H547*I547)</f>
        <v>1050</v>
      </c>
      <c r="K547" s="4" t="str">
        <f aca="false">IF($A547="","",TRIM(Base_Bruta!J547))</f>
        <v>Bilheteria</v>
      </c>
      <c r="L547" s="4" t="str">
        <f aca="false">IF($A547="","",TRIM(Base_Bruta!K547))</f>
        <v>C01799</v>
      </c>
      <c r="M547" s="4" t="str">
        <f aca="false">IF($A547="","",_xlfn.XLOOKUP(LOWER(TRIM(Base_Bruta!L547)),DePara_Cidade!$A$2:$A$29,DePara_Cidade!$B$2:$B$29,"REVISAR"))</f>
        <v>São Paulo</v>
      </c>
      <c r="N547" s="4" t="str">
        <f aca="false">IF($A547="","",UPPER(TRIM(Base_Bruta!M547)))</f>
        <v>SP</v>
      </c>
      <c r="O547" s="4" t="str">
        <f aca="false">IF($A547="","",_xlfn.XLOOKUP(LOWER(TRIM(Base_Bruta!N547)),DePara_Pais!$A$2:$A$9,DePara_Pais!$B$2:$B$9,"REVISAR"))</f>
        <v>Brasil</v>
      </c>
      <c r="P547" s="4" t="str">
        <f aca="false">IF($A547="","",IF(O547&lt;&gt;"Brasil","Turista Internacional",IF(M547=F547,"Local","Turista Nacional")))</f>
        <v>Local</v>
      </c>
      <c r="Q547" s="7" t="n">
        <f aca="false">IF($A547="","",DATE(YEAR(B547),MONTH(B547),1))</f>
        <v>45992</v>
      </c>
      <c r="R547" s="4" t="str">
        <f aca="false">IF($A547="","",IF(COUNTIF($A$2:$A547,$A547)&gt;1,"Sim","Não"))</f>
        <v>Não</v>
      </c>
      <c r="S547" s="4" t="str">
        <f aca="false">IF(A547="","Descartar - Linha vazia",IF(R547="Sim","Descartar - Duplicado",IF(OR(H547&lt;=0,I547&lt;=0),"Descartar - Qtd/Valor inválido","OK")))</f>
        <v>OK</v>
      </c>
      <c r="T547" s="4" t="str">
        <f aca="false">Base_Bruta!P547</f>
        <v>vendas_SP.xlsx</v>
      </c>
    </row>
    <row r="548" customFormat="false" ht="15" hidden="false" customHeight="false" outlineLevel="0" collapsed="false">
      <c r="A548" s="4" t="str">
        <f aca="false">IF(Base_Bruta!A548="","",Base_Bruta!A548)</f>
        <v>SP-000415</v>
      </c>
      <c r="B548" s="5" t="n">
        <f aca="false">IF($A548="","",IF(ISNUMBER(Base_Bruta!B548),Base_Bruta!B548,IF(MID(Base_Bruta!B548,5,1)="-",DATE(VALUE(LEFT(Base_Bruta!B548,4)),VALUE(MID(Base_Bruta!B548,6,2)),VALUE(RIGHT(Base_Bruta!B548,2))),DATE(VALUE(RIGHT(Base_Bruta!B548,4)),VALUE(MID(Base_Bruta!B548,4,2)),VALUE(LEFT(Base_Bruta!B548,2))))))</f>
        <v>46019</v>
      </c>
      <c r="C548" s="5" t="n">
        <f aca="false">IF($A548="","",IF(ISNUMBER(Base_Bruta!C548),Base_Bruta!C548,IF(MID(Base_Bruta!C548,5,1)="-",DATE(VALUE(LEFT(Base_Bruta!C548,4)),VALUE(MID(Base_Bruta!C548,6,2)),VALUE(RIGHT(Base_Bruta!C548,2))),DATE(VALUE(RIGHT(Base_Bruta!C548,4)),VALUE(MID(Base_Bruta!C548,4,2)),VALUE(LEFT(Base_Bruta!C548,2))))))</f>
        <v>46130</v>
      </c>
      <c r="D548" s="4" t="str">
        <f aca="false">IF($A548="","",TRIM(Base_Bruta!D548))</f>
        <v>Festival Sonora SP 2026</v>
      </c>
      <c r="E548" s="4" t="str">
        <f aca="false">IF($A548="","",_xlfn.XLOOKUP(LOWER(TRIM(Base_Bruta!E548)),DePara_Categoria!$A$2:$A$9,DePara_Categoria!$B$2:$B$9,"REVISAR"))</f>
        <v>Festival</v>
      </c>
      <c r="F548" s="4" t="str">
        <f aca="false">IF($A548="","",_xlfn.XLOOKUP(LOWER(TRIM(Base_Bruta!F548)),DePara_Cidade!$A$2:$A$29,DePara_Cidade!$B$2:$B$29,"REVISAR"))</f>
        <v>São Paulo</v>
      </c>
      <c r="G548" s="4" t="str">
        <f aca="false">IF($A548="","",TRIM(Base_Bruta!G548))</f>
        <v>Meia</v>
      </c>
      <c r="H548" s="4" t="n">
        <f aca="false">IF($A548="","",IF(ISNUMBER(Base_Bruta!H548),Base_Bruta!H548,IFERROR(_xlfn.NUMBERVALUE(TRIM(SUBSTITUTE(Base_Bruta!H548,"R$","")),",","."),0)))</f>
        <v>0</v>
      </c>
      <c r="I548" s="6" t="n">
        <f aca="false">IF($A548="","",IF(ISNUMBER(Base_Bruta!I548),Base_Bruta!I548,IFERROR(_xlfn.NUMBERVALUE(TRIM(SUBSTITUTE(Base_Bruta!I548,"R$","")),",","."),0)))</f>
        <v>480</v>
      </c>
      <c r="J548" s="6" t="n">
        <f aca="false">IF($A548="","",H548*I548)</f>
        <v>0</v>
      </c>
      <c r="K548" s="4" t="str">
        <f aca="false">IF($A548="","",TRIM(Base_Bruta!J548))</f>
        <v>Site</v>
      </c>
      <c r="L548" s="4" t="str">
        <f aca="false">IF($A548="","",TRIM(Base_Bruta!K548))</f>
        <v>C01965</v>
      </c>
      <c r="M548" s="4" t="str">
        <f aca="false">IF($A548="","",_xlfn.XLOOKUP(LOWER(TRIM(Base_Bruta!L548)),DePara_Cidade!$A$2:$A$29,DePara_Cidade!$B$2:$B$29,"REVISAR"))</f>
        <v>São Paulo</v>
      </c>
      <c r="N548" s="4" t="str">
        <f aca="false">IF($A548="","",UPPER(TRIM(Base_Bruta!M548)))</f>
        <v>SP</v>
      </c>
      <c r="O548" s="4" t="str">
        <f aca="false">IF($A548="","",_xlfn.XLOOKUP(LOWER(TRIM(Base_Bruta!N548)),DePara_Pais!$A$2:$A$9,DePara_Pais!$B$2:$B$9,"REVISAR"))</f>
        <v>Brasil</v>
      </c>
      <c r="P548" s="4" t="str">
        <f aca="false">IF($A548="","",IF(O548&lt;&gt;"Brasil","Turista Internacional",IF(M548=F548,"Local","Turista Nacional")))</f>
        <v>Local</v>
      </c>
      <c r="Q548" s="7" t="n">
        <f aca="false">IF($A548="","",DATE(YEAR(B548),MONTH(B548),1))</f>
        <v>45992</v>
      </c>
      <c r="R548" s="4" t="str">
        <f aca="false">IF($A548="","",IF(COUNTIF($A$2:$A548,$A548)&gt;1,"Sim","Não"))</f>
        <v>Não</v>
      </c>
      <c r="S548" s="4" t="str">
        <f aca="false">IF(A548="","Descartar - Linha vazia",IF(R548="Sim","Descartar - Duplicado",IF(OR(H548&lt;=0,I548&lt;=0),"Descartar - Qtd/Valor inválido","OK")))</f>
        <v>Descartar - Qtd/Valor inválido</v>
      </c>
      <c r="T548" s="4" t="str">
        <f aca="false">Base_Bruta!P548</f>
        <v>vendas_SP.xlsx</v>
      </c>
    </row>
    <row r="549" customFormat="false" ht="15" hidden="false" customHeight="false" outlineLevel="0" collapsed="false">
      <c r="A549" s="4" t="str">
        <f aca="false">IF(Base_Bruta!A549="","",Base_Bruta!A549)</f>
        <v>SP-000420</v>
      </c>
      <c r="B549" s="5" t="n">
        <f aca="false">IF($A549="","",IF(ISNUMBER(Base_Bruta!B549),Base_Bruta!B549,IF(MID(Base_Bruta!B549,5,1)="-",DATE(VALUE(LEFT(Base_Bruta!B549,4)),VALUE(MID(Base_Bruta!B549,6,2)),VALUE(RIGHT(Base_Bruta!B549,2))),DATE(VALUE(RIGHT(Base_Bruta!B549,4)),VALUE(MID(Base_Bruta!B549,4,2)),VALUE(LEFT(Base_Bruta!B549,2))))))</f>
        <v>46019</v>
      </c>
      <c r="C549" s="5" t="n">
        <f aca="false">IF($A549="","",IF(ISNUMBER(Base_Bruta!C549),Base_Bruta!C549,IF(MID(Base_Bruta!C549,5,1)="-",DATE(VALUE(LEFT(Base_Bruta!C549,4)),VALUE(MID(Base_Bruta!C549,6,2)),VALUE(RIGHT(Base_Bruta!C549,2))),DATE(VALUE(RIGHT(Base_Bruta!C549,4)),VALUE(MID(Base_Bruta!C549,4,2)),VALUE(LEFT(Base_Bruta!C549,2))))))</f>
        <v>46130</v>
      </c>
      <c r="D549" s="4" t="str">
        <f aca="false">IF($A549="","",TRIM(Base_Bruta!D549))</f>
        <v>Festival Sonora SP 2026</v>
      </c>
      <c r="E549" s="4" t="str">
        <f aca="false">IF($A549="","",_xlfn.XLOOKUP(LOWER(TRIM(Base_Bruta!E549)),DePara_Categoria!$A$2:$A$9,DePara_Categoria!$B$2:$B$9,"REVISAR"))</f>
        <v>Festival</v>
      </c>
      <c r="F549" s="4" t="str">
        <f aca="false">IF($A549="","",_xlfn.XLOOKUP(LOWER(TRIM(Base_Bruta!F549)),DePara_Cidade!$A$2:$A$29,DePara_Cidade!$B$2:$B$29,"REVISAR"))</f>
        <v>São Paulo</v>
      </c>
      <c r="G549" s="4" t="str">
        <f aca="false">IF($A549="","",TRIM(Base_Bruta!G549))</f>
        <v>Inteira</v>
      </c>
      <c r="H549" s="4" t="n">
        <f aca="false">IF($A549="","",IF(ISNUMBER(Base_Bruta!H549),Base_Bruta!H549,IFERROR(_xlfn.NUMBERVALUE(TRIM(SUBSTITUTE(Base_Bruta!H549,"R$","")),",","."),0)))</f>
        <v>2</v>
      </c>
      <c r="I549" s="6" t="n">
        <f aca="false">IF($A549="","",IF(ISNUMBER(Base_Bruta!I549),Base_Bruta!I549,IFERROR(_xlfn.NUMBERVALUE(TRIM(SUBSTITUTE(Base_Bruta!I549,"R$","")),",","."),0)))</f>
        <v>800</v>
      </c>
      <c r="J549" s="6" t="n">
        <f aca="false">IF($A549="","",H549*I549)</f>
        <v>1600</v>
      </c>
      <c r="K549" s="4" t="str">
        <f aca="false">IF($A549="","",TRIM(Base_Bruta!J549))</f>
        <v>Site</v>
      </c>
      <c r="L549" s="4" t="str">
        <f aca="false">IF($A549="","",TRIM(Base_Bruta!K549))</f>
        <v>C01768</v>
      </c>
      <c r="M549" s="4" t="str">
        <f aca="false">IF($A549="","",_xlfn.XLOOKUP(LOWER(TRIM(Base_Bruta!L549)),DePara_Cidade!$A$2:$A$29,DePara_Cidade!$B$2:$B$29,"REVISAR"))</f>
        <v>Santos</v>
      </c>
      <c r="N549" s="4" t="str">
        <f aca="false">IF($A549="","",UPPER(TRIM(Base_Bruta!M549)))</f>
        <v>SP</v>
      </c>
      <c r="O549" s="4" t="str">
        <f aca="false">IF($A549="","",_xlfn.XLOOKUP(LOWER(TRIM(Base_Bruta!N549)),DePara_Pais!$A$2:$A$9,DePara_Pais!$B$2:$B$9,"REVISAR"))</f>
        <v>Brasil</v>
      </c>
      <c r="P549" s="4" t="str">
        <f aca="false">IF($A549="","",IF(O549&lt;&gt;"Brasil","Turista Internacional",IF(M549=F549,"Local","Turista Nacional")))</f>
        <v>Turista Nacional</v>
      </c>
      <c r="Q549" s="7" t="n">
        <f aca="false">IF($A549="","",DATE(YEAR(B549),MONTH(B549),1))</f>
        <v>45992</v>
      </c>
      <c r="R549" s="4" t="str">
        <f aca="false">IF($A549="","",IF(COUNTIF($A$2:$A549,$A549)&gt;1,"Sim","Não"))</f>
        <v>Não</v>
      </c>
      <c r="S549" s="4" t="str">
        <f aca="false">IF(A549="","Descartar - Linha vazia",IF(R549="Sim","Descartar - Duplicado",IF(OR(H549&lt;=0,I549&lt;=0),"Descartar - Qtd/Valor inválido","OK")))</f>
        <v>OK</v>
      </c>
      <c r="T549" s="4" t="str">
        <f aca="false">Base_Bruta!P549</f>
        <v>vendas_SP.xlsx</v>
      </c>
    </row>
    <row r="550" customFormat="false" ht="15" hidden="false" customHeight="false" outlineLevel="0" collapsed="false">
      <c r="A550" s="4" t="str">
        <f aca="false">IF(Base_Bruta!A550="","",Base_Bruta!A550)</f>
        <v>SP-000702</v>
      </c>
      <c r="B550" s="5" t="n">
        <f aca="false">IF($A550="","",IF(ISNUMBER(Base_Bruta!B550),Base_Bruta!B550,IF(MID(Base_Bruta!B550,5,1)="-",DATE(VALUE(LEFT(Base_Bruta!B550,4)),VALUE(MID(Base_Bruta!B550,6,2)),VALUE(RIGHT(Base_Bruta!B550,2))),DATE(VALUE(RIGHT(Base_Bruta!B550,4)),VALUE(MID(Base_Bruta!B550,4,2)),VALUE(LEFT(Base_Bruta!B550,2))))))</f>
        <v>46019</v>
      </c>
      <c r="C550" s="5" t="n">
        <f aca="false">IF($A550="","",IF(ISNUMBER(Base_Bruta!C550),Base_Bruta!C550,IF(MID(Base_Bruta!C550,5,1)="-",DATE(VALUE(LEFT(Base_Bruta!C550,4)),VALUE(MID(Base_Bruta!C550,6,2)),VALUE(RIGHT(Base_Bruta!C550,2))),DATE(VALUE(RIGHT(Base_Bruta!C550,4)),VALUE(MID(Base_Bruta!C550,4,2)),VALUE(LEFT(Base_Bruta!C550,2))))))</f>
        <v>46020</v>
      </c>
      <c r="D550" s="4" t="str">
        <f aca="false">IF($A550="","",TRIM(Base_Bruta!D550))</f>
        <v>Cinema Paulista - Sessões</v>
      </c>
      <c r="E550" s="4" t="str">
        <f aca="false">IF($A550="","",_xlfn.XLOOKUP(LOWER(TRIM(Base_Bruta!E550)),DePara_Categoria!$A$2:$A$9,DePara_Categoria!$B$2:$B$9,"REVISAR"))</f>
        <v>Cinema</v>
      </c>
      <c r="F550" s="4" t="str">
        <f aca="false">IF($A550="","",_xlfn.XLOOKUP(LOWER(TRIM(Base_Bruta!F550)),DePara_Cidade!$A$2:$A$29,DePara_Cidade!$B$2:$B$29,"REVISAR"))</f>
        <v>São Paulo</v>
      </c>
      <c r="G550" s="4" t="str">
        <f aca="false">IF($A550="","",TRIM(Base_Bruta!G550))</f>
        <v>Inteira</v>
      </c>
      <c r="H550" s="4" t="n">
        <f aca="false">IF($A550="","",IF(ISNUMBER(Base_Bruta!H550),Base_Bruta!H550,IFERROR(_xlfn.NUMBERVALUE(TRIM(SUBSTITUTE(Base_Bruta!H550,"R$","")),",","."),0)))</f>
        <v>2</v>
      </c>
      <c r="I550" s="6" t="n">
        <f aca="false">IF($A550="","",IF(ISNUMBER(Base_Bruta!I550),Base_Bruta!I550,IFERROR(_xlfn.NUMBERVALUE(TRIM(SUBSTITUTE(Base_Bruta!I550,"R$","")),",","."),0)))</f>
        <v>35</v>
      </c>
      <c r="J550" s="6" t="n">
        <f aca="false">IF($A550="","",H550*I550)</f>
        <v>70</v>
      </c>
      <c r="K550" s="4" t="str">
        <f aca="false">IF($A550="","",TRIM(Base_Bruta!J550))</f>
        <v>Site</v>
      </c>
      <c r="L550" s="4" t="str">
        <f aca="false">IF($A550="","",TRIM(Base_Bruta!K550))</f>
        <v>C00334</v>
      </c>
      <c r="M550" s="4" t="str">
        <f aca="false">IF($A550="","",_xlfn.XLOOKUP(LOWER(TRIM(Base_Bruta!L550)),DePara_Cidade!$A$2:$A$29,DePara_Cidade!$B$2:$B$29,"REVISAR"))</f>
        <v>São Paulo</v>
      </c>
      <c r="N550" s="4" t="str">
        <f aca="false">IF($A550="","",UPPER(TRIM(Base_Bruta!M550)))</f>
        <v>SP</v>
      </c>
      <c r="O550" s="4" t="str">
        <f aca="false">IF($A550="","",_xlfn.XLOOKUP(LOWER(TRIM(Base_Bruta!N550)),DePara_Pais!$A$2:$A$9,DePara_Pais!$B$2:$B$9,"REVISAR"))</f>
        <v>Brasil</v>
      </c>
      <c r="P550" s="4" t="str">
        <f aca="false">IF($A550="","",IF(O550&lt;&gt;"Brasil","Turista Internacional",IF(M550=F550,"Local","Turista Nacional")))</f>
        <v>Local</v>
      </c>
      <c r="Q550" s="7" t="n">
        <f aca="false">IF($A550="","",DATE(YEAR(B550),MONTH(B550),1))</f>
        <v>45992</v>
      </c>
      <c r="R550" s="4" t="str">
        <f aca="false">IF($A550="","",IF(COUNTIF($A$2:$A550,$A550)&gt;1,"Sim","Não"))</f>
        <v>Não</v>
      </c>
      <c r="S550" s="4" t="str">
        <f aca="false">IF(A550="","Descartar - Linha vazia",IF(R550="Sim","Descartar - Duplicado",IF(OR(H550&lt;=0,I550&lt;=0),"Descartar - Qtd/Valor inválido","OK")))</f>
        <v>OK</v>
      </c>
      <c r="T550" s="4" t="str">
        <f aca="false">Base_Bruta!P550</f>
        <v>vendas_SP.xlsx</v>
      </c>
    </row>
    <row r="551" customFormat="false" ht="15" hidden="false" customHeight="false" outlineLevel="0" collapsed="false">
      <c r="A551" s="4" t="str">
        <f aca="false">IF(Base_Bruta!A551="","",Base_Bruta!A551)</f>
        <v>SP-000277</v>
      </c>
      <c r="B551" s="5" t="n">
        <f aca="false">IF($A551="","",IF(ISNUMBER(Base_Bruta!B551),Base_Bruta!B551,IF(MID(Base_Bruta!B551,5,1)="-",DATE(VALUE(LEFT(Base_Bruta!B551,4)),VALUE(MID(Base_Bruta!B551,6,2)),VALUE(RIGHT(Base_Bruta!B551,2))),DATE(VALUE(RIGHT(Base_Bruta!B551,4)),VALUE(MID(Base_Bruta!B551,4,2)),VALUE(LEFT(Base_Bruta!B551,2))))))</f>
        <v>46020</v>
      </c>
      <c r="C551" s="5" t="n">
        <f aca="false">IF($A551="","",IF(ISNUMBER(Base_Bruta!C551),Base_Bruta!C551,IF(MID(Base_Bruta!C551,5,1)="-",DATE(VALUE(LEFT(Base_Bruta!C551,4)),VALUE(MID(Base_Bruta!C551,6,2)),VALUE(RIGHT(Base_Bruta!C551,2))),DATE(VALUE(RIGHT(Base_Bruta!C551,4)),VALUE(MID(Base_Bruta!C551,4,2)),VALUE(LEFT(Base_Bruta!C551,2))))))</f>
        <v>46130</v>
      </c>
      <c r="D551" s="4" t="str">
        <f aca="false">IF($A551="","",TRIM(Base_Bruta!D551))</f>
        <v>Festival Sonora SP 2026</v>
      </c>
      <c r="E551" s="4" t="str">
        <f aca="false">IF($A551="","",_xlfn.XLOOKUP(LOWER(TRIM(Base_Bruta!E551)),DePara_Categoria!$A$2:$A$9,DePara_Categoria!$B$2:$B$9,"REVISAR"))</f>
        <v>Festival</v>
      </c>
      <c r="F551" s="4" t="str">
        <f aca="false">IF($A551="","",_xlfn.XLOOKUP(LOWER(TRIM(Base_Bruta!F551)),DePara_Cidade!$A$2:$A$29,DePara_Cidade!$B$2:$B$29,"REVISAR"))</f>
        <v>São Paulo</v>
      </c>
      <c r="G551" s="4" t="str">
        <f aca="false">IF($A551="","",TRIM(Base_Bruta!G551))</f>
        <v>Inteira</v>
      </c>
      <c r="H551" s="4" t="n">
        <f aca="false">IF($A551="","",IF(ISNUMBER(Base_Bruta!H551),Base_Bruta!H551,IFERROR(_xlfn.NUMBERVALUE(TRIM(SUBSTITUTE(Base_Bruta!H551,"R$","")),",","."),0)))</f>
        <v>1</v>
      </c>
      <c r="I551" s="6" t="n">
        <f aca="false">IF($A551="","",IF(ISNUMBER(Base_Bruta!I551),Base_Bruta!I551,IFERROR(_xlfn.NUMBERVALUE(TRIM(SUBSTITUTE(Base_Bruta!I551,"R$","")),",","."),0)))</f>
        <v>985</v>
      </c>
      <c r="J551" s="6" t="n">
        <f aca="false">IF($A551="","",H551*I551)</f>
        <v>985</v>
      </c>
      <c r="K551" s="4" t="str">
        <f aca="false">IF($A551="","",TRIM(Base_Bruta!J551))</f>
        <v>Site</v>
      </c>
      <c r="L551" s="4" t="str">
        <f aca="false">IF($A551="","",TRIM(Base_Bruta!K551))</f>
        <v>C00218</v>
      </c>
      <c r="M551" s="4" t="str">
        <f aca="false">IF($A551="","",_xlfn.XLOOKUP(LOWER(TRIM(Base_Bruta!L551)),DePara_Cidade!$A$2:$A$29,DePara_Cidade!$B$2:$B$29,"REVISAR"))</f>
        <v>Campinas</v>
      </c>
      <c r="N551" s="4" t="str">
        <f aca="false">IF($A551="","",UPPER(TRIM(Base_Bruta!M551)))</f>
        <v>SP</v>
      </c>
      <c r="O551" s="4" t="str">
        <f aca="false">IF($A551="","",_xlfn.XLOOKUP(LOWER(TRIM(Base_Bruta!N551)),DePara_Pais!$A$2:$A$9,DePara_Pais!$B$2:$B$9,"REVISAR"))</f>
        <v>Brasil</v>
      </c>
      <c r="P551" s="4" t="str">
        <f aca="false">IF($A551="","",IF(O551&lt;&gt;"Brasil","Turista Internacional",IF(M551=F551,"Local","Turista Nacional")))</f>
        <v>Turista Nacional</v>
      </c>
      <c r="Q551" s="7" t="n">
        <f aca="false">IF($A551="","",DATE(YEAR(B551),MONTH(B551),1))</f>
        <v>45992</v>
      </c>
      <c r="R551" s="4" t="str">
        <f aca="false">IF($A551="","",IF(COUNTIF($A$2:$A551,$A551)&gt;1,"Sim","Não"))</f>
        <v>Não</v>
      </c>
      <c r="S551" s="4" t="str">
        <f aca="false">IF(A551="","Descartar - Linha vazia",IF(R551="Sim","Descartar - Duplicado",IF(OR(H551&lt;=0,I551&lt;=0),"Descartar - Qtd/Valor inválido","OK")))</f>
        <v>OK</v>
      </c>
      <c r="T551" s="4" t="str">
        <f aca="false">Base_Bruta!P551</f>
        <v>vendas_SP.xlsx</v>
      </c>
    </row>
    <row r="552" customFormat="false" ht="15" hidden="false" customHeight="false" outlineLevel="0" collapsed="false">
      <c r="A552" s="4" t="str">
        <f aca="false">IF(Base_Bruta!A552="","",Base_Bruta!A552)</f>
        <v>SP-000401</v>
      </c>
      <c r="B552" s="5" t="n">
        <f aca="false">IF($A552="","",IF(ISNUMBER(Base_Bruta!B552),Base_Bruta!B552,IF(MID(Base_Bruta!B552,5,1)="-",DATE(VALUE(LEFT(Base_Bruta!B552,4)),VALUE(MID(Base_Bruta!B552,6,2)),VALUE(RIGHT(Base_Bruta!B552,2))),DATE(VALUE(RIGHT(Base_Bruta!B552,4)),VALUE(MID(Base_Bruta!B552,4,2)),VALUE(LEFT(Base_Bruta!B552,2))))))</f>
        <v>46020</v>
      </c>
      <c r="C552" s="5" t="n">
        <f aca="false">IF($A552="","",IF(ISNUMBER(Base_Bruta!C552),Base_Bruta!C552,IF(MID(Base_Bruta!C552,5,1)="-",DATE(VALUE(LEFT(Base_Bruta!C552,4)),VALUE(MID(Base_Bruta!C552,6,2)),VALUE(RIGHT(Base_Bruta!C552,2))),DATE(VALUE(RIGHT(Base_Bruta!C552,4)),VALUE(MID(Base_Bruta!C552,4,2)),VALUE(LEFT(Base_Bruta!C552,2))))))</f>
        <v>46130</v>
      </c>
      <c r="D552" s="4" t="str">
        <f aca="false">IF($A552="","",TRIM(Base_Bruta!D552))</f>
        <v>Festival Sonora SP 2026</v>
      </c>
      <c r="E552" s="4" t="str">
        <f aca="false">IF($A552="","",_xlfn.XLOOKUP(LOWER(TRIM(Base_Bruta!E552)),DePara_Categoria!$A$2:$A$9,DePara_Categoria!$B$2:$B$9,"REVISAR"))</f>
        <v>Festival</v>
      </c>
      <c r="F552" s="4" t="str">
        <f aca="false">IF($A552="","",_xlfn.XLOOKUP(LOWER(TRIM(Base_Bruta!F552)),DePara_Cidade!$A$2:$A$29,DePara_Cidade!$B$2:$B$29,"REVISAR"))</f>
        <v>São Paulo</v>
      </c>
      <c r="G552" s="4" t="str">
        <f aca="false">IF($A552="","",TRIM(Base_Bruta!G552))</f>
        <v>Inteira</v>
      </c>
      <c r="H552" s="4" t="n">
        <f aca="false">IF($A552="","",IF(ISNUMBER(Base_Bruta!H552),Base_Bruta!H552,IFERROR(_xlfn.NUMBERVALUE(TRIM(SUBSTITUTE(Base_Bruta!H552,"R$","")),",","."),0)))</f>
        <v>3</v>
      </c>
      <c r="I552" s="6" t="n">
        <f aca="false">IF($A552="","",IF(ISNUMBER(Base_Bruta!I552),Base_Bruta!I552,IFERROR(_xlfn.NUMBERVALUE(TRIM(SUBSTITUTE(Base_Bruta!I552,"R$","")),",","."),0)))</f>
        <v>685</v>
      </c>
      <c r="J552" s="6" t="n">
        <f aca="false">IF($A552="","",H552*I552)</f>
        <v>2055</v>
      </c>
      <c r="K552" s="4" t="str">
        <f aca="false">IF($A552="","",TRIM(Base_Bruta!J552))</f>
        <v>Parceiro</v>
      </c>
      <c r="L552" s="4" t="str">
        <f aca="false">IF($A552="","",TRIM(Base_Bruta!K552))</f>
        <v>C00670</v>
      </c>
      <c r="M552" s="4" t="str">
        <f aca="false">IF($A552="","",_xlfn.XLOOKUP(LOWER(TRIM(Base_Bruta!L552)),DePara_Cidade!$A$2:$A$29,DePara_Cidade!$B$2:$B$29,"REVISAR"))</f>
        <v>São Paulo</v>
      </c>
      <c r="N552" s="4" t="str">
        <f aca="false">IF($A552="","",UPPER(TRIM(Base_Bruta!M552)))</f>
        <v>SP</v>
      </c>
      <c r="O552" s="4" t="str">
        <f aca="false">IF($A552="","",_xlfn.XLOOKUP(LOWER(TRIM(Base_Bruta!N552)),DePara_Pais!$A$2:$A$9,DePara_Pais!$B$2:$B$9,"REVISAR"))</f>
        <v>Brasil</v>
      </c>
      <c r="P552" s="4" t="str">
        <f aca="false">IF($A552="","",IF(O552&lt;&gt;"Brasil","Turista Internacional",IF(M552=F552,"Local","Turista Nacional")))</f>
        <v>Local</v>
      </c>
      <c r="Q552" s="7" t="n">
        <f aca="false">IF($A552="","",DATE(YEAR(B552),MONTH(B552),1))</f>
        <v>45992</v>
      </c>
      <c r="R552" s="4" t="str">
        <f aca="false">IF($A552="","",IF(COUNTIF($A$2:$A552,$A552)&gt;1,"Sim","Não"))</f>
        <v>Não</v>
      </c>
      <c r="S552" s="4" t="str">
        <f aca="false">IF(A552="","Descartar - Linha vazia",IF(R552="Sim","Descartar - Duplicado",IF(OR(H552&lt;=0,I552&lt;=0),"Descartar - Qtd/Valor inválido","OK")))</f>
        <v>OK</v>
      </c>
      <c r="T552" s="4" t="str">
        <f aca="false">Base_Bruta!P552</f>
        <v>vendas_SP.xlsx</v>
      </c>
    </row>
    <row r="553" customFormat="false" ht="15" hidden="false" customHeight="false" outlineLevel="0" collapsed="false">
      <c r="A553" s="4" t="str">
        <f aca="false">IF(Base_Bruta!A553="","",Base_Bruta!A553)</f>
        <v>SP-000732</v>
      </c>
      <c r="B553" s="5" t="n">
        <f aca="false">IF($A553="","",IF(ISNUMBER(Base_Bruta!B553),Base_Bruta!B553,IF(MID(Base_Bruta!B553,5,1)="-",DATE(VALUE(LEFT(Base_Bruta!B553,4)),VALUE(MID(Base_Bruta!B553,6,2)),VALUE(RIGHT(Base_Bruta!B553,2))),DATE(VALUE(RIGHT(Base_Bruta!B553,4)),VALUE(MID(Base_Bruta!B553,4,2)),VALUE(LEFT(Base_Bruta!B553,2))))))</f>
        <v>46020</v>
      </c>
      <c r="C553" s="5" t="n">
        <f aca="false">IF($A553="","",IF(ISNUMBER(Base_Bruta!C553),Base_Bruta!C553,IF(MID(Base_Bruta!C553,5,1)="-",DATE(VALUE(LEFT(Base_Bruta!C553,4)),VALUE(MID(Base_Bruta!C553,6,2)),VALUE(RIGHT(Base_Bruta!C553,2))),DATE(VALUE(RIGHT(Base_Bruta!C553,4)),VALUE(MID(Base_Bruta!C553,4,2)),VALUE(LEFT(Base_Bruta!C553,2))))))</f>
        <v>46021</v>
      </c>
      <c r="D553" s="4" t="str">
        <f aca="false">IF($A553="","",TRIM(Base_Bruta!D553))</f>
        <v>Cinema Paulista - Sessões</v>
      </c>
      <c r="E553" s="4" t="str">
        <f aca="false">IF($A553="","",_xlfn.XLOOKUP(LOWER(TRIM(Base_Bruta!E553)),DePara_Categoria!$A$2:$A$9,DePara_Categoria!$B$2:$B$9,"REVISAR"))</f>
        <v>Cinema</v>
      </c>
      <c r="F553" s="4" t="str">
        <f aca="false">IF($A553="","",_xlfn.XLOOKUP(LOWER(TRIM(Base_Bruta!F553)),DePara_Cidade!$A$2:$A$29,DePara_Cidade!$B$2:$B$29,"REVISAR"))</f>
        <v>São Paulo</v>
      </c>
      <c r="G553" s="4" t="str">
        <f aca="false">IF($A553="","",TRIM(Base_Bruta!G553))</f>
        <v>Inteira</v>
      </c>
      <c r="H553" s="4" t="n">
        <f aca="false">IF($A553="","",IF(ISNUMBER(Base_Bruta!H553),Base_Bruta!H553,IFERROR(_xlfn.NUMBERVALUE(TRIM(SUBSTITUTE(Base_Bruta!H553,"R$","")),",","."),0)))</f>
        <v>2</v>
      </c>
      <c r="I553" s="6" t="n">
        <f aca="false">IF($A553="","",IF(ISNUMBER(Base_Bruta!I553),Base_Bruta!I553,IFERROR(_xlfn.NUMBERVALUE(TRIM(SUBSTITUTE(Base_Bruta!I553,"R$","")),",","."),0)))</f>
        <v>40</v>
      </c>
      <c r="J553" s="6" t="n">
        <f aca="false">IF($A553="","",H553*I553)</f>
        <v>80</v>
      </c>
      <c r="K553" s="4" t="str">
        <f aca="false">IF($A553="","",TRIM(Base_Bruta!J553))</f>
        <v>Site</v>
      </c>
      <c r="L553" s="4" t="str">
        <f aca="false">IF($A553="","",TRIM(Base_Bruta!K553))</f>
        <v>C00856</v>
      </c>
      <c r="M553" s="4" t="str">
        <f aca="false">IF($A553="","",_xlfn.XLOOKUP(LOWER(TRIM(Base_Bruta!L553)),DePara_Cidade!$A$2:$A$29,DePara_Cidade!$B$2:$B$29,"REVISAR"))</f>
        <v>São Paulo</v>
      </c>
      <c r="N553" s="4" t="str">
        <f aca="false">IF($A553="","",UPPER(TRIM(Base_Bruta!M553)))</f>
        <v>SP</v>
      </c>
      <c r="O553" s="4" t="str">
        <f aca="false">IF($A553="","",_xlfn.XLOOKUP(LOWER(TRIM(Base_Bruta!N553)),DePara_Pais!$A$2:$A$9,DePara_Pais!$B$2:$B$9,"REVISAR"))</f>
        <v>Brasil</v>
      </c>
      <c r="P553" s="4" t="str">
        <f aca="false">IF($A553="","",IF(O553&lt;&gt;"Brasil","Turista Internacional",IF(M553=F553,"Local","Turista Nacional")))</f>
        <v>Local</v>
      </c>
      <c r="Q553" s="7" t="n">
        <f aca="false">IF($A553="","",DATE(YEAR(B553),MONTH(B553),1))</f>
        <v>45992</v>
      </c>
      <c r="R553" s="4" t="str">
        <f aca="false">IF($A553="","",IF(COUNTIF($A$2:$A553,$A553)&gt;1,"Sim","Não"))</f>
        <v>Não</v>
      </c>
      <c r="S553" s="4" t="str">
        <f aca="false">IF(A553="","Descartar - Linha vazia",IF(R553="Sim","Descartar - Duplicado",IF(OR(H553&lt;=0,I553&lt;=0),"Descartar - Qtd/Valor inválido","OK")))</f>
        <v>OK</v>
      </c>
      <c r="T553" s="4" t="str">
        <f aca="false">Base_Bruta!P553</f>
        <v>vendas_SP.xlsx</v>
      </c>
    </row>
    <row r="554" customFormat="false" ht="15" hidden="false" customHeight="false" outlineLevel="0" collapsed="false">
      <c r="A554" s="4" t="str">
        <f aca="false">IF(Base_Bruta!A554="","",Base_Bruta!A554)</f>
        <v>SP-000306</v>
      </c>
      <c r="B554" s="5" t="n">
        <f aca="false">IF($A554="","",IF(ISNUMBER(Base_Bruta!B554),Base_Bruta!B554,IF(MID(Base_Bruta!B554,5,1)="-",DATE(VALUE(LEFT(Base_Bruta!B554,4)),VALUE(MID(Base_Bruta!B554,6,2)),VALUE(RIGHT(Base_Bruta!B554,2))),DATE(VALUE(RIGHT(Base_Bruta!B554,4)),VALUE(MID(Base_Bruta!B554,4,2)),VALUE(LEFT(Base_Bruta!B554,2))))))</f>
        <v>46021</v>
      </c>
      <c r="C554" s="5" t="n">
        <f aca="false">IF($A554="","",IF(ISNUMBER(Base_Bruta!C554),Base_Bruta!C554,IF(MID(Base_Bruta!C554,5,1)="-",DATE(VALUE(LEFT(Base_Bruta!C554,4)),VALUE(MID(Base_Bruta!C554,6,2)),VALUE(RIGHT(Base_Bruta!C554,2))),DATE(VALUE(RIGHT(Base_Bruta!C554,4)),VALUE(MID(Base_Bruta!C554,4,2)),VALUE(LEFT(Base_Bruta!C554,2))))))</f>
        <v>46130</v>
      </c>
      <c r="D554" s="4" t="str">
        <f aca="false">IF($A554="","",TRIM(Base_Bruta!D554))</f>
        <v>Festival Sonora SP 2026</v>
      </c>
      <c r="E554" s="4" t="str">
        <f aca="false">IF($A554="","",_xlfn.XLOOKUP(LOWER(TRIM(Base_Bruta!E554)),DePara_Categoria!$A$2:$A$9,DePara_Categoria!$B$2:$B$9,"REVISAR"))</f>
        <v>Festival</v>
      </c>
      <c r="F554" s="4" t="str">
        <f aca="false">IF($A554="","",_xlfn.XLOOKUP(LOWER(TRIM(Base_Bruta!F554)),DePara_Cidade!$A$2:$A$29,DePara_Cidade!$B$2:$B$29,"REVISAR"))</f>
        <v>São Paulo</v>
      </c>
      <c r="G554" s="4" t="str">
        <f aca="false">IF($A554="","",TRIM(Base_Bruta!G554))</f>
        <v>Inteira</v>
      </c>
      <c r="H554" s="4" t="n">
        <f aca="false">IF($A554="","",IF(ISNUMBER(Base_Bruta!H554),Base_Bruta!H554,IFERROR(_xlfn.NUMBERVALUE(TRIM(SUBSTITUTE(Base_Bruta!H554,"R$","")),",","."),0)))</f>
        <v>1</v>
      </c>
      <c r="I554" s="6" t="n">
        <f aca="false">IF($A554="","",IF(ISNUMBER(Base_Bruta!I554),Base_Bruta!I554,IFERROR(_xlfn.NUMBERVALUE(TRIM(SUBSTITUTE(Base_Bruta!I554,"R$","")),",","."),0)))</f>
        <v>1135</v>
      </c>
      <c r="J554" s="6" t="n">
        <f aca="false">IF($A554="","",H554*I554)</f>
        <v>1135</v>
      </c>
      <c r="K554" s="4" t="str">
        <f aca="false">IF($A554="","",TRIM(Base_Bruta!J554))</f>
        <v>App</v>
      </c>
      <c r="L554" s="4" t="str">
        <f aca="false">IF($A554="","",TRIM(Base_Bruta!K554))</f>
        <v>C00083</v>
      </c>
      <c r="M554" s="4" t="str">
        <f aca="false">IF($A554="","",_xlfn.XLOOKUP(LOWER(TRIM(Base_Bruta!L554)),DePara_Cidade!$A$2:$A$29,DePara_Cidade!$B$2:$B$29,"REVISAR"))</f>
        <v>São Paulo</v>
      </c>
      <c r="N554" s="4" t="str">
        <f aca="false">IF($A554="","",UPPER(TRIM(Base_Bruta!M554)))</f>
        <v>SP</v>
      </c>
      <c r="O554" s="4" t="str">
        <f aca="false">IF($A554="","",_xlfn.XLOOKUP(LOWER(TRIM(Base_Bruta!N554)),DePara_Pais!$A$2:$A$9,DePara_Pais!$B$2:$B$9,"REVISAR"))</f>
        <v>Brasil</v>
      </c>
      <c r="P554" s="4" t="str">
        <f aca="false">IF($A554="","",IF(O554&lt;&gt;"Brasil","Turista Internacional",IF(M554=F554,"Local","Turista Nacional")))</f>
        <v>Local</v>
      </c>
      <c r="Q554" s="7" t="n">
        <f aca="false">IF($A554="","",DATE(YEAR(B554),MONTH(B554),1))</f>
        <v>45992</v>
      </c>
      <c r="R554" s="4" t="str">
        <f aca="false">IF($A554="","",IF(COUNTIF($A$2:$A554,$A554)&gt;1,"Sim","Não"))</f>
        <v>Não</v>
      </c>
      <c r="S554" s="4" t="str">
        <f aca="false">IF(A554="","Descartar - Linha vazia",IF(R554="Sim","Descartar - Duplicado",IF(OR(H554&lt;=0,I554&lt;=0),"Descartar - Qtd/Valor inválido","OK")))</f>
        <v>OK</v>
      </c>
      <c r="T554" s="4" t="str">
        <f aca="false">Base_Bruta!P554</f>
        <v>vendas_SP.xlsx</v>
      </c>
    </row>
    <row r="555" customFormat="false" ht="15" hidden="false" customHeight="false" outlineLevel="0" collapsed="false">
      <c r="A555" s="4" t="str">
        <f aca="false">IF(Base_Bruta!A555="","",Base_Bruta!A555)</f>
        <v>SP-000333</v>
      </c>
      <c r="B555" s="5" t="n">
        <f aca="false">IF($A555="","",IF(ISNUMBER(Base_Bruta!B555),Base_Bruta!B555,IF(MID(Base_Bruta!B555,5,1)="-",DATE(VALUE(LEFT(Base_Bruta!B555,4)),VALUE(MID(Base_Bruta!B555,6,2)),VALUE(RIGHT(Base_Bruta!B555,2))),DATE(VALUE(RIGHT(Base_Bruta!B555,4)),VALUE(MID(Base_Bruta!B555,4,2)),VALUE(LEFT(Base_Bruta!B555,2))))))</f>
        <v>46021</v>
      </c>
      <c r="C555" s="5" t="n">
        <f aca="false">IF($A555="","",IF(ISNUMBER(Base_Bruta!C555),Base_Bruta!C555,IF(MID(Base_Bruta!C555,5,1)="-",DATE(VALUE(LEFT(Base_Bruta!C555,4)),VALUE(MID(Base_Bruta!C555,6,2)),VALUE(RIGHT(Base_Bruta!C555,2))),DATE(VALUE(RIGHT(Base_Bruta!C555,4)),VALUE(MID(Base_Bruta!C555,4,2)),VALUE(LEFT(Base_Bruta!C555,2))))))</f>
        <v>46130</v>
      </c>
      <c r="D555" s="4" t="str">
        <f aca="false">IF($A555="","",TRIM(Base_Bruta!D555))</f>
        <v>Festival Sonora SP 2026</v>
      </c>
      <c r="E555" s="4" t="str">
        <f aca="false">IF($A555="","",_xlfn.XLOOKUP(LOWER(TRIM(Base_Bruta!E555)),DePara_Categoria!$A$2:$A$9,DePara_Categoria!$B$2:$B$9,"REVISAR"))</f>
        <v>Festival</v>
      </c>
      <c r="F555" s="4" t="str">
        <f aca="false">IF($A555="","",_xlfn.XLOOKUP(LOWER(TRIM(Base_Bruta!F555)),DePara_Cidade!$A$2:$A$29,DePara_Cidade!$B$2:$B$29,"REVISAR"))</f>
        <v>São Paulo</v>
      </c>
      <c r="G555" s="4" t="str">
        <f aca="false">IF($A555="","",TRIM(Base_Bruta!G555))</f>
        <v>Inteira</v>
      </c>
      <c r="H555" s="4" t="n">
        <f aca="false">IF($A555="","",IF(ISNUMBER(Base_Bruta!H555),Base_Bruta!H555,IFERROR(_xlfn.NUMBERVALUE(TRIM(SUBSTITUTE(Base_Bruta!H555,"R$","")),",","."),0)))</f>
        <v>1</v>
      </c>
      <c r="I555" s="6" t="n">
        <f aca="false">IF($A555="","",IF(ISNUMBER(Base_Bruta!I555),Base_Bruta!I555,IFERROR(_xlfn.NUMBERVALUE(TRIM(SUBSTITUTE(Base_Bruta!I555,"R$","")),",","."),0)))</f>
        <v>705</v>
      </c>
      <c r="J555" s="6" t="n">
        <f aca="false">IF($A555="","",H555*I555)</f>
        <v>705</v>
      </c>
      <c r="K555" s="4" t="str">
        <f aca="false">IF($A555="","",TRIM(Base_Bruta!J555))</f>
        <v>App</v>
      </c>
      <c r="L555" s="4" t="str">
        <f aca="false">IF($A555="","",TRIM(Base_Bruta!K555))</f>
        <v>C02092</v>
      </c>
      <c r="M555" s="4" t="str">
        <f aca="false">IF($A555="","",_xlfn.XLOOKUP(LOWER(TRIM(Base_Bruta!L555)),DePara_Cidade!$A$2:$A$29,DePara_Cidade!$B$2:$B$29,"REVISAR"))</f>
        <v>Curitiba</v>
      </c>
      <c r="N555" s="4" t="str">
        <f aca="false">IF($A555="","",UPPER(TRIM(Base_Bruta!M555)))</f>
        <v>PR</v>
      </c>
      <c r="O555" s="4" t="str">
        <f aca="false">IF($A555="","",_xlfn.XLOOKUP(LOWER(TRIM(Base_Bruta!N555)),DePara_Pais!$A$2:$A$9,DePara_Pais!$B$2:$B$9,"REVISAR"))</f>
        <v>Brasil</v>
      </c>
      <c r="P555" s="4" t="str">
        <f aca="false">IF($A555="","",IF(O555&lt;&gt;"Brasil","Turista Internacional",IF(M555=F555,"Local","Turista Nacional")))</f>
        <v>Turista Nacional</v>
      </c>
      <c r="Q555" s="7" t="n">
        <f aca="false">IF($A555="","",DATE(YEAR(B555),MONTH(B555),1))</f>
        <v>45992</v>
      </c>
      <c r="R555" s="4" t="str">
        <f aca="false">IF($A555="","",IF(COUNTIF($A$2:$A555,$A555)&gt;1,"Sim","Não"))</f>
        <v>Não</v>
      </c>
      <c r="S555" s="4" t="str">
        <f aca="false">IF(A555="","Descartar - Linha vazia",IF(R555="Sim","Descartar - Duplicado",IF(OR(H555&lt;=0,I555&lt;=0),"Descartar - Qtd/Valor inválido","OK")))</f>
        <v>OK</v>
      </c>
      <c r="T555" s="4" t="str">
        <f aca="false">Base_Bruta!P555</f>
        <v>vendas_SP.xlsx</v>
      </c>
    </row>
    <row r="556" customFormat="false" ht="15" hidden="false" customHeight="false" outlineLevel="0" collapsed="false">
      <c r="A556" s="4" t="str">
        <f aca="false">IF(Base_Bruta!A556="","",Base_Bruta!A556)</f>
        <v>SP-000456</v>
      </c>
      <c r="B556" s="5" t="n">
        <f aca="false">IF($A556="","",IF(ISNUMBER(Base_Bruta!B556),Base_Bruta!B556,IF(MID(Base_Bruta!B556,5,1)="-",DATE(VALUE(LEFT(Base_Bruta!B556,4)),VALUE(MID(Base_Bruta!B556,6,2)),VALUE(RIGHT(Base_Bruta!B556,2))),DATE(VALUE(RIGHT(Base_Bruta!B556,4)),VALUE(MID(Base_Bruta!B556,4,2)),VALUE(LEFT(Base_Bruta!B556,2))))))</f>
        <v>46021</v>
      </c>
      <c r="C556" s="5" t="n">
        <f aca="false">IF($A556="","",IF(ISNUMBER(Base_Bruta!C556),Base_Bruta!C556,IF(MID(Base_Bruta!C556,5,1)="-",DATE(VALUE(LEFT(Base_Bruta!C556,4)),VALUE(MID(Base_Bruta!C556,6,2)),VALUE(RIGHT(Base_Bruta!C556,2))),DATE(VALUE(RIGHT(Base_Bruta!C556,4)),VALUE(MID(Base_Bruta!C556,4,2)),VALUE(LEFT(Base_Bruta!C556,2))))))</f>
        <v>46130</v>
      </c>
      <c r="D556" s="4" t="str">
        <f aca="false">IF($A556="","",TRIM(Base_Bruta!D556))</f>
        <v>Festival Sonora SP 2026</v>
      </c>
      <c r="E556" s="4" t="str">
        <f aca="false">IF($A556="","",_xlfn.XLOOKUP(LOWER(TRIM(Base_Bruta!E556)),DePara_Categoria!$A$2:$A$9,DePara_Categoria!$B$2:$B$9,"REVISAR"))</f>
        <v>Festival</v>
      </c>
      <c r="F556" s="4" t="str">
        <f aca="false">IF($A556="","",_xlfn.XLOOKUP(LOWER(TRIM(Base_Bruta!F556)),DePara_Cidade!$A$2:$A$29,DePara_Cidade!$B$2:$B$29,"REVISAR"))</f>
        <v>São Paulo</v>
      </c>
      <c r="G556" s="4" t="str">
        <f aca="false">IF($A556="","",TRIM(Base_Bruta!G556))</f>
        <v>VIP</v>
      </c>
      <c r="H556" s="4" t="n">
        <f aca="false">IF($A556="","",IF(ISNUMBER(Base_Bruta!H556),Base_Bruta!H556,IFERROR(_xlfn.NUMBERVALUE(TRIM(SUBSTITUTE(Base_Bruta!H556,"R$","")),",","."),0)))</f>
        <v>2</v>
      </c>
      <c r="I556" s="6" t="n">
        <f aca="false">IF($A556="","",IF(ISNUMBER(Base_Bruta!I556),Base_Bruta!I556,IFERROR(_xlfn.NUMBERVALUE(TRIM(SUBSTITUTE(Base_Bruta!I556,"R$","")),",","."),0)))</f>
        <v>1710</v>
      </c>
      <c r="J556" s="6" t="n">
        <f aca="false">IF($A556="","",H556*I556)</f>
        <v>3420</v>
      </c>
      <c r="K556" s="4" t="str">
        <f aca="false">IF($A556="","",TRIM(Base_Bruta!J556))</f>
        <v>App</v>
      </c>
      <c r="L556" s="4" t="str">
        <f aca="false">IF($A556="","",TRIM(Base_Bruta!K556))</f>
        <v>C01550</v>
      </c>
      <c r="M556" s="4" t="str">
        <f aca="false">IF($A556="","",_xlfn.XLOOKUP(LOWER(TRIM(Base_Bruta!L556)),DePara_Cidade!$A$2:$A$29,DePara_Cidade!$B$2:$B$29,"REVISAR"))</f>
        <v>São Paulo</v>
      </c>
      <c r="N556" s="4" t="str">
        <f aca="false">IF($A556="","",UPPER(TRIM(Base_Bruta!M556)))</f>
        <v>SP</v>
      </c>
      <c r="O556" s="4" t="str">
        <f aca="false">IF($A556="","",_xlfn.XLOOKUP(LOWER(TRIM(Base_Bruta!N556)),DePara_Pais!$A$2:$A$9,DePara_Pais!$B$2:$B$9,"REVISAR"))</f>
        <v>Brasil</v>
      </c>
      <c r="P556" s="4" t="str">
        <f aca="false">IF($A556="","",IF(O556&lt;&gt;"Brasil","Turista Internacional",IF(M556=F556,"Local","Turista Nacional")))</f>
        <v>Local</v>
      </c>
      <c r="Q556" s="7" t="n">
        <f aca="false">IF($A556="","",DATE(YEAR(B556),MONTH(B556),1))</f>
        <v>45992</v>
      </c>
      <c r="R556" s="4" t="str">
        <f aca="false">IF($A556="","",IF(COUNTIF($A$2:$A556,$A556)&gt;1,"Sim","Não"))</f>
        <v>Não</v>
      </c>
      <c r="S556" s="4" t="str">
        <f aca="false">IF(A556="","Descartar - Linha vazia",IF(R556="Sim","Descartar - Duplicado",IF(OR(H556&lt;=0,I556&lt;=0),"Descartar - Qtd/Valor inválido","OK")))</f>
        <v>OK</v>
      </c>
      <c r="T556" s="4" t="str">
        <f aca="false">Base_Bruta!P556</f>
        <v>vendas_SP.xlsx</v>
      </c>
    </row>
    <row r="557" customFormat="false" ht="15" hidden="false" customHeight="false" outlineLevel="0" collapsed="false">
      <c r="A557" s="4" t="str">
        <f aca="false">IF(Base_Bruta!A557="","",Base_Bruta!A557)</f>
        <v>SP-000241</v>
      </c>
      <c r="B557" s="5" t="n">
        <f aca="false">IF($A557="","",IF(ISNUMBER(Base_Bruta!B557),Base_Bruta!B557,IF(MID(Base_Bruta!B557,5,1)="-",DATE(VALUE(LEFT(Base_Bruta!B557,4)),VALUE(MID(Base_Bruta!B557,6,2)),VALUE(RIGHT(Base_Bruta!B557,2))),DATE(VALUE(RIGHT(Base_Bruta!B557,4)),VALUE(MID(Base_Bruta!B557,4,2)),VALUE(LEFT(Base_Bruta!B557,2))))))</f>
        <v>46022</v>
      </c>
      <c r="C557" s="5" t="n">
        <f aca="false">IF($A557="","",IF(ISNUMBER(Base_Bruta!C557),Base_Bruta!C557,IF(MID(Base_Bruta!C557,5,1)="-",DATE(VALUE(LEFT(Base_Bruta!C557,4)),VALUE(MID(Base_Bruta!C557,6,2)),VALUE(RIGHT(Base_Bruta!C557,2))),DATE(VALUE(RIGHT(Base_Bruta!C557,4)),VALUE(MID(Base_Bruta!C557,4,2)),VALUE(LEFT(Base_Bruta!C557,2))))))</f>
        <v>46130</v>
      </c>
      <c r="D557" s="4" t="str">
        <f aca="false">IF($A557="","",TRIM(Base_Bruta!D557))</f>
        <v>Festival Sonora SP 2026</v>
      </c>
      <c r="E557" s="4" t="str">
        <f aca="false">IF($A557="","",_xlfn.XLOOKUP(LOWER(TRIM(Base_Bruta!E557)),DePara_Categoria!$A$2:$A$9,DePara_Categoria!$B$2:$B$9,"REVISAR"))</f>
        <v>Festival</v>
      </c>
      <c r="F557" s="4" t="str">
        <f aca="false">IF($A557="","",_xlfn.XLOOKUP(LOWER(TRIM(Base_Bruta!F557)),DePara_Cidade!$A$2:$A$29,DePara_Cidade!$B$2:$B$29,"REVISAR"))</f>
        <v>São Paulo</v>
      </c>
      <c r="G557" s="4" t="str">
        <f aca="false">IF($A557="","",TRIM(Base_Bruta!G557))</f>
        <v>Meia</v>
      </c>
      <c r="H557" s="4" t="n">
        <f aca="false">IF($A557="","",IF(ISNUMBER(Base_Bruta!H557),Base_Bruta!H557,IFERROR(_xlfn.NUMBERVALUE(TRIM(SUBSTITUTE(Base_Bruta!H557,"R$","")),",","."),0)))</f>
        <v>2</v>
      </c>
      <c r="I557" s="6" t="n">
        <f aca="false">IF($A557="","",IF(ISNUMBER(Base_Bruta!I557),Base_Bruta!I557,IFERROR(_xlfn.NUMBERVALUE(TRIM(SUBSTITUTE(Base_Bruta!I557,"R$","")),",","."),0)))</f>
        <v>385</v>
      </c>
      <c r="J557" s="6" t="n">
        <f aca="false">IF($A557="","",H557*I557)</f>
        <v>770</v>
      </c>
      <c r="K557" s="4" t="str">
        <f aca="false">IF($A557="","",TRIM(Base_Bruta!J557))</f>
        <v>App</v>
      </c>
      <c r="L557" s="4" t="str">
        <f aca="false">IF($A557="","",TRIM(Base_Bruta!K557))</f>
        <v>C01891</v>
      </c>
      <c r="M557" s="4" t="str">
        <f aca="false">IF($A557="","",_xlfn.XLOOKUP(LOWER(TRIM(Base_Bruta!L557)),DePara_Cidade!$A$2:$A$29,DePara_Cidade!$B$2:$B$29,"REVISAR"))</f>
        <v>Porto Alegre</v>
      </c>
      <c r="N557" s="4" t="str">
        <f aca="false">IF($A557="","",UPPER(TRIM(Base_Bruta!M557)))</f>
        <v>RS</v>
      </c>
      <c r="O557" s="4" t="str">
        <f aca="false">IF($A557="","",_xlfn.XLOOKUP(LOWER(TRIM(Base_Bruta!N557)),DePara_Pais!$A$2:$A$9,DePara_Pais!$B$2:$B$9,"REVISAR"))</f>
        <v>Brasil</v>
      </c>
      <c r="P557" s="4" t="str">
        <f aca="false">IF($A557="","",IF(O557&lt;&gt;"Brasil","Turista Internacional",IF(M557=F557,"Local","Turista Nacional")))</f>
        <v>Turista Nacional</v>
      </c>
      <c r="Q557" s="7" t="n">
        <f aca="false">IF($A557="","",DATE(YEAR(B557),MONTH(B557),1))</f>
        <v>45992</v>
      </c>
      <c r="R557" s="4" t="str">
        <f aca="false">IF($A557="","",IF(COUNTIF($A$2:$A557,$A557)&gt;1,"Sim","Não"))</f>
        <v>Não</v>
      </c>
      <c r="S557" s="4" t="str">
        <f aca="false">IF(A557="","Descartar - Linha vazia",IF(R557="Sim","Descartar - Duplicado",IF(OR(H557&lt;=0,I557&lt;=0),"Descartar - Qtd/Valor inválido","OK")))</f>
        <v>OK</v>
      </c>
      <c r="T557" s="4" t="str">
        <f aca="false">Base_Bruta!P557</f>
        <v>vendas_SP.xlsx</v>
      </c>
    </row>
    <row r="558" customFormat="false" ht="15" hidden="false" customHeight="false" outlineLevel="0" collapsed="false">
      <c r="A558" s="4" t="str">
        <f aca="false">IF(Base_Bruta!A558="","",Base_Bruta!A558)</f>
        <v>SP-000247</v>
      </c>
      <c r="B558" s="5" t="n">
        <f aca="false">IF($A558="","",IF(ISNUMBER(Base_Bruta!B558),Base_Bruta!B558,IF(MID(Base_Bruta!B558,5,1)="-",DATE(VALUE(LEFT(Base_Bruta!B558,4)),VALUE(MID(Base_Bruta!B558,6,2)),VALUE(RIGHT(Base_Bruta!B558,2))),DATE(VALUE(RIGHT(Base_Bruta!B558,4)),VALUE(MID(Base_Bruta!B558,4,2)),VALUE(LEFT(Base_Bruta!B558,2))))))</f>
        <v>46022</v>
      </c>
      <c r="C558" s="5" t="n">
        <f aca="false">IF($A558="","",IF(ISNUMBER(Base_Bruta!C558),Base_Bruta!C558,IF(MID(Base_Bruta!C558,5,1)="-",DATE(VALUE(LEFT(Base_Bruta!C558,4)),VALUE(MID(Base_Bruta!C558,6,2)),VALUE(RIGHT(Base_Bruta!C558,2))),DATE(VALUE(RIGHT(Base_Bruta!C558,4)),VALUE(MID(Base_Bruta!C558,4,2)),VALUE(LEFT(Base_Bruta!C558,2))))))</f>
        <v>46130</v>
      </c>
      <c r="D558" s="4" t="str">
        <f aca="false">IF($A558="","",TRIM(Base_Bruta!D558))</f>
        <v>Festival Sonora SP 2026</v>
      </c>
      <c r="E558" s="4" t="str">
        <f aca="false">IF($A558="","",_xlfn.XLOOKUP(LOWER(TRIM(Base_Bruta!E558)),DePara_Categoria!$A$2:$A$9,DePara_Categoria!$B$2:$B$9,"REVISAR"))</f>
        <v>Festival</v>
      </c>
      <c r="F558" s="4" t="str">
        <f aca="false">IF($A558="","",_xlfn.XLOOKUP(LOWER(TRIM(Base_Bruta!F558)),DePara_Cidade!$A$2:$A$29,DePara_Cidade!$B$2:$B$29,"REVISAR"))</f>
        <v>São Paulo</v>
      </c>
      <c r="G558" s="4" t="str">
        <f aca="false">IF($A558="","",TRIM(Base_Bruta!G558))</f>
        <v>Inteira</v>
      </c>
      <c r="H558" s="4" t="n">
        <f aca="false">IF($A558="","",IF(ISNUMBER(Base_Bruta!H558),Base_Bruta!H558,IFERROR(_xlfn.NUMBERVALUE(TRIM(SUBSTITUTE(Base_Bruta!H558,"R$","")),",","."),0)))</f>
        <v>2</v>
      </c>
      <c r="I558" s="6" t="n">
        <f aca="false">IF($A558="","",IF(ISNUMBER(Base_Bruta!I558),Base_Bruta!I558,IFERROR(_xlfn.NUMBERVALUE(TRIM(SUBSTITUTE(Base_Bruta!I558,"R$","")),",","."),0)))</f>
        <v>780</v>
      </c>
      <c r="J558" s="6" t="n">
        <f aca="false">IF($A558="","",H558*I558)</f>
        <v>1560</v>
      </c>
      <c r="K558" s="4" t="str">
        <f aca="false">IF($A558="","",TRIM(Base_Bruta!J558))</f>
        <v>Site</v>
      </c>
      <c r="L558" s="4" t="str">
        <f aca="false">IF($A558="","",TRIM(Base_Bruta!K558))</f>
        <v>C00837</v>
      </c>
      <c r="M558" s="4" t="str">
        <f aca="false">IF($A558="","",_xlfn.XLOOKUP(LOWER(TRIM(Base_Bruta!L558)),DePara_Cidade!$A$2:$A$29,DePara_Cidade!$B$2:$B$29,"REVISAR"))</f>
        <v>São Paulo</v>
      </c>
      <c r="N558" s="4" t="str">
        <f aca="false">IF($A558="","",UPPER(TRIM(Base_Bruta!M558)))</f>
        <v>SP</v>
      </c>
      <c r="O558" s="4" t="str">
        <f aca="false">IF($A558="","",_xlfn.XLOOKUP(LOWER(TRIM(Base_Bruta!N558)),DePara_Pais!$A$2:$A$9,DePara_Pais!$B$2:$B$9,"REVISAR"))</f>
        <v>Brasil</v>
      </c>
      <c r="P558" s="4" t="str">
        <f aca="false">IF($A558="","",IF(O558&lt;&gt;"Brasil","Turista Internacional",IF(M558=F558,"Local","Turista Nacional")))</f>
        <v>Local</v>
      </c>
      <c r="Q558" s="7" t="n">
        <f aca="false">IF($A558="","",DATE(YEAR(B558),MONTH(B558),1))</f>
        <v>45992</v>
      </c>
      <c r="R558" s="4" t="str">
        <f aca="false">IF($A558="","",IF(COUNTIF($A$2:$A558,$A558)&gt;1,"Sim","Não"))</f>
        <v>Não</v>
      </c>
      <c r="S558" s="4" t="str">
        <f aca="false">IF(A558="","Descartar - Linha vazia",IF(R558="Sim","Descartar - Duplicado",IF(OR(H558&lt;=0,I558&lt;=0),"Descartar - Qtd/Valor inválido","OK")))</f>
        <v>OK</v>
      </c>
      <c r="T558" s="4" t="str">
        <f aca="false">Base_Bruta!P558</f>
        <v>vendas_SP.xlsx</v>
      </c>
    </row>
    <row r="559" customFormat="false" ht="15" hidden="false" customHeight="false" outlineLevel="0" collapsed="false">
      <c r="A559" s="4" t="str">
        <f aca="false">IF(Base_Bruta!A559="","",Base_Bruta!A559)</f>
        <v>SP-000417</v>
      </c>
      <c r="B559" s="5" t="n">
        <f aca="false">IF($A559="","",IF(ISNUMBER(Base_Bruta!B559),Base_Bruta!B559,IF(MID(Base_Bruta!B559,5,1)="-",DATE(VALUE(LEFT(Base_Bruta!B559,4)),VALUE(MID(Base_Bruta!B559,6,2)),VALUE(RIGHT(Base_Bruta!B559,2))),DATE(VALUE(RIGHT(Base_Bruta!B559,4)),VALUE(MID(Base_Bruta!B559,4,2)),VALUE(LEFT(Base_Bruta!B559,2))))))</f>
        <v>46022</v>
      </c>
      <c r="C559" s="5" t="n">
        <f aca="false">IF($A559="","",IF(ISNUMBER(Base_Bruta!C559),Base_Bruta!C559,IF(MID(Base_Bruta!C559,5,1)="-",DATE(VALUE(LEFT(Base_Bruta!C559,4)),VALUE(MID(Base_Bruta!C559,6,2)),VALUE(RIGHT(Base_Bruta!C559,2))),DATE(VALUE(RIGHT(Base_Bruta!C559,4)),VALUE(MID(Base_Bruta!C559,4,2)),VALUE(LEFT(Base_Bruta!C559,2))))))</f>
        <v>46130</v>
      </c>
      <c r="D559" s="4" t="str">
        <f aca="false">IF($A559="","",TRIM(Base_Bruta!D559))</f>
        <v>Festival Sonora SP 2026</v>
      </c>
      <c r="E559" s="4" t="str">
        <f aca="false">IF($A559="","",_xlfn.XLOOKUP(LOWER(TRIM(Base_Bruta!E559)),DePara_Categoria!$A$2:$A$9,DePara_Categoria!$B$2:$B$9,"REVISAR"))</f>
        <v>Festival</v>
      </c>
      <c r="F559" s="4" t="str">
        <f aca="false">IF($A559="","",_xlfn.XLOOKUP(LOWER(TRIM(Base_Bruta!F559)),DePara_Cidade!$A$2:$A$29,DePara_Cidade!$B$2:$B$29,"REVISAR"))</f>
        <v>São Paulo</v>
      </c>
      <c r="G559" s="4" t="str">
        <f aca="false">IF($A559="","",TRIM(Base_Bruta!G559))</f>
        <v>Meia</v>
      </c>
      <c r="H559" s="4" t="n">
        <f aca="false">IF($A559="","",IF(ISNUMBER(Base_Bruta!H559),Base_Bruta!H559,IFERROR(_xlfn.NUMBERVALUE(TRIM(SUBSTITUTE(Base_Bruta!H559,"R$","")),",","."),0)))</f>
        <v>2</v>
      </c>
      <c r="I559" s="6" t="n">
        <f aca="false">IF($A559="","",IF(ISNUMBER(Base_Bruta!I559),Base_Bruta!I559,IFERROR(_xlfn.NUMBERVALUE(TRIM(SUBSTITUTE(Base_Bruta!I559,"R$","")),",","."),0)))</f>
        <v>432.5</v>
      </c>
      <c r="J559" s="6" t="n">
        <f aca="false">IF($A559="","",H559*I559)</f>
        <v>865</v>
      </c>
      <c r="K559" s="4" t="str">
        <f aca="false">IF($A559="","",TRIM(Base_Bruta!J559))</f>
        <v>Bilheteria</v>
      </c>
      <c r="L559" s="4" t="str">
        <f aca="false">IF($A559="","",TRIM(Base_Bruta!K559))</f>
        <v>C02264</v>
      </c>
      <c r="M559" s="4" t="str">
        <f aca="false">IF($A559="","",_xlfn.XLOOKUP(LOWER(TRIM(Base_Bruta!L559)),DePara_Cidade!$A$2:$A$29,DePara_Cidade!$B$2:$B$29,"REVISAR"))</f>
        <v>São Paulo</v>
      </c>
      <c r="N559" s="4" t="str">
        <f aca="false">IF($A559="","",UPPER(TRIM(Base_Bruta!M559)))</f>
        <v>SP</v>
      </c>
      <c r="O559" s="4" t="str">
        <f aca="false">IF($A559="","",_xlfn.XLOOKUP(LOWER(TRIM(Base_Bruta!N559)),DePara_Pais!$A$2:$A$9,DePara_Pais!$B$2:$B$9,"REVISAR"))</f>
        <v>Brasil</v>
      </c>
      <c r="P559" s="4" t="str">
        <f aca="false">IF($A559="","",IF(O559&lt;&gt;"Brasil","Turista Internacional",IF(M559=F559,"Local","Turista Nacional")))</f>
        <v>Local</v>
      </c>
      <c r="Q559" s="7" t="n">
        <f aca="false">IF($A559="","",DATE(YEAR(B559),MONTH(B559),1))</f>
        <v>45992</v>
      </c>
      <c r="R559" s="4" t="str">
        <f aca="false">IF($A559="","",IF(COUNTIF($A$2:$A559,$A559)&gt;1,"Sim","Não"))</f>
        <v>Não</v>
      </c>
      <c r="S559" s="4" t="str">
        <f aca="false">IF(A559="","Descartar - Linha vazia",IF(R559="Sim","Descartar - Duplicado",IF(OR(H559&lt;=0,I559&lt;=0),"Descartar - Qtd/Valor inválido","OK")))</f>
        <v>OK</v>
      </c>
      <c r="T559" s="4" t="str">
        <f aca="false">Base_Bruta!P559</f>
        <v>vendas_SP.xlsx</v>
      </c>
    </row>
    <row r="560" customFormat="false" ht="15" hidden="false" customHeight="false" outlineLevel="0" collapsed="false">
      <c r="A560" s="4" t="str">
        <f aca="false">IF(Base_Bruta!A560="","",Base_Bruta!A560)</f>
        <v>SP-000447</v>
      </c>
      <c r="B560" s="5" t="n">
        <f aca="false">IF($A560="","",IF(ISNUMBER(Base_Bruta!B560),Base_Bruta!B560,IF(MID(Base_Bruta!B560,5,1)="-",DATE(VALUE(LEFT(Base_Bruta!B560,4)),VALUE(MID(Base_Bruta!B560,6,2)),VALUE(RIGHT(Base_Bruta!B560,2))),DATE(VALUE(RIGHT(Base_Bruta!B560,4)),VALUE(MID(Base_Bruta!B560,4,2)),VALUE(LEFT(Base_Bruta!B560,2))))))</f>
        <v>46022</v>
      </c>
      <c r="C560" s="5" t="n">
        <f aca="false">IF($A560="","",IF(ISNUMBER(Base_Bruta!C560),Base_Bruta!C560,IF(MID(Base_Bruta!C560,5,1)="-",DATE(VALUE(LEFT(Base_Bruta!C560,4)),VALUE(MID(Base_Bruta!C560,6,2)),VALUE(RIGHT(Base_Bruta!C560,2))),DATE(VALUE(RIGHT(Base_Bruta!C560,4)),VALUE(MID(Base_Bruta!C560,4,2)),VALUE(LEFT(Base_Bruta!C560,2))))))</f>
        <v>46130</v>
      </c>
      <c r="D560" s="4" t="str">
        <f aca="false">IF($A560="","",TRIM(Base_Bruta!D560))</f>
        <v>Festival Sonora SP 2026</v>
      </c>
      <c r="E560" s="4" t="str">
        <f aca="false">IF($A560="","",_xlfn.XLOOKUP(LOWER(TRIM(Base_Bruta!E560)),DePara_Categoria!$A$2:$A$9,DePara_Categoria!$B$2:$B$9,"REVISAR"))</f>
        <v>Festival</v>
      </c>
      <c r="F560" s="4" t="str">
        <f aca="false">IF($A560="","",_xlfn.XLOOKUP(LOWER(TRIM(Base_Bruta!F560)),DePara_Cidade!$A$2:$A$29,DePara_Cidade!$B$2:$B$29,"REVISAR"))</f>
        <v>São Paulo</v>
      </c>
      <c r="G560" s="4" t="str">
        <f aca="false">IF($A560="","",TRIM(Base_Bruta!G560))</f>
        <v>Meia</v>
      </c>
      <c r="H560" s="4" t="n">
        <f aca="false">IF($A560="","",IF(ISNUMBER(Base_Bruta!H560),Base_Bruta!H560,IFERROR(_xlfn.NUMBERVALUE(TRIM(SUBSTITUTE(Base_Bruta!H560,"R$","")),",","."),0)))</f>
        <v>2</v>
      </c>
      <c r="I560" s="6" t="n">
        <f aca="false">IF($A560="","",IF(ISNUMBER(Base_Bruta!I560),Base_Bruta!I560,IFERROR(_xlfn.NUMBERVALUE(TRIM(SUBSTITUTE(Base_Bruta!I560,"R$","")),",","."),0)))</f>
        <v>380</v>
      </c>
      <c r="J560" s="6" t="n">
        <f aca="false">IF($A560="","",H560*I560)</f>
        <v>760</v>
      </c>
      <c r="K560" s="4" t="str">
        <f aca="false">IF($A560="","",TRIM(Base_Bruta!J560))</f>
        <v>App</v>
      </c>
      <c r="L560" s="4" t="str">
        <f aca="false">IF($A560="","",TRIM(Base_Bruta!K560))</f>
        <v>C01802</v>
      </c>
      <c r="M560" s="4" t="str">
        <f aca="false">IF($A560="","",_xlfn.XLOOKUP(LOWER(TRIM(Base_Bruta!L560)),DePara_Cidade!$A$2:$A$29,DePara_Cidade!$B$2:$B$29,"REVISAR"))</f>
        <v>Santos</v>
      </c>
      <c r="N560" s="4" t="str">
        <f aca="false">IF($A560="","",UPPER(TRIM(Base_Bruta!M560)))</f>
        <v>SP</v>
      </c>
      <c r="O560" s="4" t="str">
        <f aca="false">IF($A560="","",_xlfn.XLOOKUP(LOWER(TRIM(Base_Bruta!N560)),DePara_Pais!$A$2:$A$9,DePara_Pais!$B$2:$B$9,"REVISAR"))</f>
        <v>Brasil</v>
      </c>
      <c r="P560" s="4" t="str">
        <f aca="false">IF($A560="","",IF(O560&lt;&gt;"Brasil","Turista Internacional",IF(M560=F560,"Local","Turista Nacional")))</f>
        <v>Turista Nacional</v>
      </c>
      <c r="Q560" s="7" t="n">
        <f aca="false">IF($A560="","",DATE(YEAR(B560),MONTH(B560),1))</f>
        <v>45992</v>
      </c>
      <c r="R560" s="4" t="str">
        <f aca="false">IF($A560="","",IF(COUNTIF($A$2:$A560,$A560)&gt;1,"Sim","Não"))</f>
        <v>Não</v>
      </c>
      <c r="S560" s="4" t="str">
        <f aca="false">IF(A560="","Descartar - Linha vazia",IF(R560="Sim","Descartar - Duplicado",IF(OR(H560&lt;=0,I560&lt;=0),"Descartar - Qtd/Valor inválido","OK")))</f>
        <v>OK</v>
      </c>
      <c r="T560" s="4" t="str">
        <f aca="false">Base_Bruta!P560</f>
        <v>vendas_SP.xlsx</v>
      </c>
    </row>
    <row r="561" customFormat="false" ht="15" hidden="false" customHeight="false" outlineLevel="0" collapsed="false">
      <c r="A561" s="4" t="str">
        <f aca="false">IF(Base_Bruta!A561="","",Base_Bruta!A561)</f>
        <v>SP-000235</v>
      </c>
      <c r="B561" s="5" t="n">
        <f aca="false">IF($A561="","",IF(ISNUMBER(Base_Bruta!B561),Base_Bruta!B561,IF(MID(Base_Bruta!B561,5,1)="-",DATE(VALUE(LEFT(Base_Bruta!B561,4)),VALUE(MID(Base_Bruta!B561,6,2)),VALUE(RIGHT(Base_Bruta!B561,2))),DATE(VALUE(RIGHT(Base_Bruta!B561,4)),VALUE(MID(Base_Bruta!B561,4,2)),VALUE(LEFT(Base_Bruta!B561,2))))))</f>
        <v>46023</v>
      </c>
      <c r="C561" s="5" t="n">
        <f aca="false">IF($A561="","",IF(ISNUMBER(Base_Bruta!C561),Base_Bruta!C561,IF(MID(Base_Bruta!C561,5,1)="-",DATE(VALUE(LEFT(Base_Bruta!C561,4)),VALUE(MID(Base_Bruta!C561,6,2)),VALUE(RIGHT(Base_Bruta!C561,2))),DATE(VALUE(RIGHT(Base_Bruta!C561,4)),VALUE(MID(Base_Bruta!C561,4,2)),VALUE(LEFT(Base_Bruta!C561,2))))))</f>
        <v>46130</v>
      </c>
      <c r="D561" s="4" t="str">
        <f aca="false">IF($A561="","",TRIM(Base_Bruta!D561))</f>
        <v>Festival Sonora SP 2026</v>
      </c>
      <c r="E561" s="4" t="str">
        <f aca="false">IF($A561="","",_xlfn.XLOOKUP(LOWER(TRIM(Base_Bruta!E561)),DePara_Categoria!$A$2:$A$9,DePara_Categoria!$B$2:$B$9,"REVISAR"))</f>
        <v>Festival</v>
      </c>
      <c r="F561" s="4" t="str">
        <f aca="false">IF($A561="","",_xlfn.XLOOKUP(LOWER(TRIM(Base_Bruta!F561)),DePara_Cidade!$A$2:$A$29,DePara_Cidade!$B$2:$B$29,"REVISAR"))</f>
        <v>São Paulo</v>
      </c>
      <c r="G561" s="4" t="str">
        <f aca="false">IF($A561="","",TRIM(Base_Bruta!G561))</f>
        <v>Inteira</v>
      </c>
      <c r="H561" s="4" t="n">
        <f aca="false">IF($A561="","",IF(ISNUMBER(Base_Bruta!H561),Base_Bruta!H561,IFERROR(_xlfn.NUMBERVALUE(TRIM(SUBSTITUTE(Base_Bruta!H561,"R$","")),",","."),0)))</f>
        <v>4</v>
      </c>
      <c r="I561" s="6" t="n">
        <f aca="false">IF($A561="","",IF(ISNUMBER(Base_Bruta!I561),Base_Bruta!I561,IFERROR(_xlfn.NUMBERVALUE(TRIM(SUBSTITUTE(Base_Bruta!I561,"R$","")),",","."),0)))</f>
        <v>1090</v>
      </c>
      <c r="J561" s="6" t="n">
        <f aca="false">IF($A561="","",H561*I561)</f>
        <v>4360</v>
      </c>
      <c r="K561" s="4" t="str">
        <f aca="false">IF($A561="","",TRIM(Base_Bruta!J561))</f>
        <v>Site</v>
      </c>
      <c r="L561" s="4" t="str">
        <f aca="false">IF($A561="","",TRIM(Base_Bruta!K561))</f>
        <v>C00324</v>
      </c>
      <c r="M561" s="4" t="str">
        <f aca="false">IF($A561="","",_xlfn.XLOOKUP(LOWER(TRIM(Base_Bruta!L561)),DePara_Cidade!$A$2:$A$29,DePara_Cidade!$B$2:$B$29,"REVISAR"))</f>
        <v>São Paulo</v>
      </c>
      <c r="N561" s="4" t="str">
        <f aca="false">IF($A561="","",UPPER(TRIM(Base_Bruta!M561)))</f>
        <v>SP</v>
      </c>
      <c r="O561" s="4" t="str">
        <f aca="false">IF($A561="","",_xlfn.XLOOKUP(LOWER(TRIM(Base_Bruta!N561)),DePara_Pais!$A$2:$A$9,DePara_Pais!$B$2:$B$9,"REVISAR"))</f>
        <v>Brasil</v>
      </c>
      <c r="P561" s="4" t="str">
        <f aca="false">IF($A561="","",IF(O561&lt;&gt;"Brasil","Turista Internacional",IF(M561=F561,"Local","Turista Nacional")))</f>
        <v>Local</v>
      </c>
      <c r="Q561" s="7" t="n">
        <f aca="false">IF($A561="","",DATE(YEAR(B561),MONTH(B561),1))</f>
        <v>46023</v>
      </c>
      <c r="R561" s="4" t="str">
        <f aca="false">IF($A561="","",IF(COUNTIF($A$2:$A561,$A561)&gt;1,"Sim","Não"))</f>
        <v>Não</v>
      </c>
      <c r="S561" s="4" t="str">
        <f aca="false">IF(A561="","Descartar - Linha vazia",IF(R561="Sim","Descartar - Duplicado",IF(OR(H561&lt;=0,I561&lt;=0),"Descartar - Qtd/Valor inválido","OK")))</f>
        <v>OK</v>
      </c>
      <c r="T561" s="4" t="str">
        <f aca="false">Base_Bruta!P561</f>
        <v>vendas_SP.xlsx</v>
      </c>
    </row>
    <row r="562" customFormat="false" ht="15" hidden="false" customHeight="false" outlineLevel="0" collapsed="false">
      <c r="A562" s="4" t="str">
        <f aca="false">IF(Base_Bruta!A562="","",Base_Bruta!A562)</f>
        <v>SP-000250</v>
      </c>
      <c r="B562" s="5" t="n">
        <f aca="false">IF($A562="","",IF(ISNUMBER(Base_Bruta!B562),Base_Bruta!B562,IF(MID(Base_Bruta!B562,5,1)="-",DATE(VALUE(LEFT(Base_Bruta!B562,4)),VALUE(MID(Base_Bruta!B562,6,2)),VALUE(RIGHT(Base_Bruta!B562,2))),DATE(VALUE(RIGHT(Base_Bruta!B562,4)),VALUE(MID(Base_Bruta!B562,4,2)),VALUE(LEFT(Base_Bruta!B562,2))))))</f>
        <v>46023</v>
      </c>
      <c r="C562" s="5" t="n">
        <f aca="false">IF($A562="","",IF(ISNUMBER(Base_Bruta!C562),Base_Bruta!C562,IF(MID(Base_Bruta!C562,5,1)="-",DATE(VALUE(LEFT(Base_Bruta!C562,4)),VALUE(MID(Base_Bruta!C562,6,2)),VALUE(RIGHT(Base_Bruta!C562,2))),DATE(VALUE(RIGHT(Base_Bruta!C562,4)),VALUE(MID(Base_Bruta!C562,4,2)),VALUE(LEFT(Base_Bruta!C562,2))))))</f>
        <v>46130</v>
      </c>
      <c r="D562" s="4" t="str">
        <f aca="false">IF($A562="","",TRIM(Base_Bruta!D562))</f>
        <v>Festival Sonora SP 2026</v>
      </c>
      <c r="E562" s="4" t="str">
        <f aca="false">IF($A562="","",_xlfn.XLOOKUP(LOWER(TRIM(Base_Bruta!E562)),DePara_Categoria!$A$2:$A$9,DePara_Categoria!$B$2:$B$9,"REVISAR"))</f>
        <v>Festival</v>
      </c>
      <c r="F562" s="4" t="str">
        <f aca="false">IF($A562="","",_xlfn.XLOOKUP(LOWER(TRIM(Base_Bruta!F562)),DePara_Cidade!$A$2:$A$29,DePara_Cidade!$B$2:$B$29,"REVISAR"))</f>
        <v>São Paulo</v>
      </c>
      <c r="G562" s="4" t="str">
        <f aca="false">IF($A562="","",TRIM(Base_Bruta!G562))</f>
        <v>Inteira</v>
      </c>
      <c r="H562" s="4" t="n">
        <f aca="false">IF($A562="","",IF(ISNUMBER(Base_Bruta!H562),Base_Bruta!H562,IFERROR(_xlfn.NUMBERVALUE(TRIM(SUBSTITUTE(Base_Bruta!H562,"R$","")),",","."),0)))</f>
        <v>1</v>
      </c>
      <c r="I562" s="6" t="n">
        <f aca="false">IF($A562="","",IF(ISNUMBER(Base_Bruta!I562),Base_Bruta!I562,IFERROR(_xlfn.NUMBERVALUE(TRIM(SUBSTITUTE(Base_Bruta!I562,"R$","")),",","."),0)))</f>
        <v>1075</v>
      </c>
      <c r="J562" s="6" t="n">
        <f aca="false">IF($A562="","",H562*I562)</f>
        <v>1075</v>
      </c>
      <c r="K562" s="4" t="str">
        <f aca="false">IF($A562="","",TRIM(Base_Bruta!J562))</f>
        <v>Site</v>
      </c>
      <c r="L562" s="4" t="str">
        <f aca="false">IF($A562="","",TRIM(Base_Bruta!K562))</f>
        <v>C01240</v>
      </c>
      <c r="M562" s="4" t="str">
        <f aca="false">IF($A562="","",_xlfn.XLOOKUP(LOWER(TRIM(Base_Bruta!L562)),DePara_Cidade!$A$2:$A$29,DePara_Cidade!$B$2:$B$29,"REVISAR"))</f>
        <v>Rio de Janeiro</v>
      </c>
      <c r="N562" s="4" t="str">
        <f aca="false">IF($A562="","",UPPER(TRIM(Base_Bruta!M562)))</f>
        <v>RJ</v>
      </c>
      <c r="O562" s="4" t="str">
        <f aca="false">IF($A562="","",_xlfn.XLOOKUP(LOWER(TRIM(Base_Bruta!N562)),DePara_Pais!$A$2:$A$9,DePara_Pais!$B$2:$B$9,"REVISAR"))</f>
        <v>Brasil</v>
      </c>
      <c r="P562" s="4" t="str">
        <f aca="false">IF($A562="","",IF(O562&lt;&gt;"Brasil","Turista Internacional",IF(M562=F562,"Local","Turista Nacional")))</f>
        <v>Turista Nacional</v>
      </c>
      <c r="Q562" s="7" t="n">
        <f aca="false">IF($A562="","",DATE(YEAR(B562),MONTH(B562),1))</f>
        <v>46023</v>
      </c>
      <c r="R562" s="4" t="str">
        <f aca="false">IF($A562="","",IF(COUNTIF($A$2:$A562,$A562)&gt;1,"Sim","Não"))</f>
        <v>Não</v>
      </c>
      <c r="S562" s="4" t="str">
        <f aca="false">IF(A562="","Descartar - Linha vazia",IF(R562="Sim","Descartar - Duplicado",IF(OR(H562&lt;=0,I562&lt;=0),"Descartar - Qtd/Valor inválido","OK")))</f>
        <v>OK</v>
      </c>
      <c r="T562" s="4" t="str">
        <f aca="false">Base_Bruta!P562</f>
        <v>vendas_SP.xlsx</v>
      </c>
    </row>
    <row r="563" customFormat="false" ht="15" hidden="false" customHeight="false" outlineLevel="0" collapsed="false">
      <c r="A563" s="4" t="str">
        <f aca="false">IF(Base_Bruta!A563="","",Base_Bruta!A563)</f>
        <v>SP-000287</v>
      </c>
      <c r="B563" s="5" t="n">
        <f aca="false">IF($A563="","",IF(ISNUMBER(Base_Bruta!B563),Base_Bruta!B563,IF(MID(Base_Bruta!B563,5,1)="-",DATE(VALUE(LEFT(Base_Bruta!B563,4)),VALUE(MID(Base_Bruta!B563,6,2)),VALUE(RIGHT(Base_Bruta!B563,2))),DATE(VALUE(RIGHT(Base_Bruta!B563,4)),VALUE(MID(Base_Bruta!B563,4,2)),VALUE(LEFT(Base_Bruta!B563,2))))))</f>
        <v>46023</v>
      </c>
      <c r="C563" s="5" t="n">
        <f aca="false">IF($A563="","",IF(ISNUMBER(Base_Bruta!C563),Base_Bruta!C563,IF(MID(Base_Bruta!C563,5,1)="-",DATE(VALUE(LEFT(Base_Bruta!C563,4)),VALUE(MID(Base_Bruta!C563,6,2)),VALUE(RIGHT(Base_Bruta!C563,2))),DATE(VALUE(RIGHT(Base_Bruta!C563,4)),VALUE(MID(Base_Bruta!C563,4,2)),VALUE(LEFT(Base_Bruta!C563,2))))))</f>
        <v>46130</v>
      </c>
      <c r="D563" s="4" t="str">
        <f aca="false">IF($A563="","",TRIM(Base_Bruta!D563))</f>
        <v>Festival Sonora SP 2026</v>
      </c>
      <c r="E563" s="4" t="str">
        <f aca="false">IF($A563="","",_xlfn.XLOOKUP(LOWER(TRIM(Base_Bruta!E563)),DePara_Categoria!$A$2:$A$9,DePara_Categoria!$B$2:$B$9,"REVISAR"))</f>
        <v>Festival</v>
      </c>
      <c r="F563" s="4" t="str">
        <f aca="false">IF($A563="","",_xlfn.XLOOKUP(LOWER(TRIM(Base_Bruta!F563)),DePara_Cidade!$A$2:$A$29,DePara_Cidade!$B$2:$B$29,"REVISAR"))</f>
        <v>São Paulo</v>
      </c>
      <c r="G563" s="4" t="str">
        <f aca="false">IF($A563="","",TRIM(Base_Bruta!G563))</f>
        <v>VIP</v>
      </c>
      <c r="H563" s="4" t="n">
        <f aca="false">IF($A563="","",IF(ISNUMBER(Base_Bruta!H563),Base_Bruta!H563,IFERROR(_xlfn.NUMBERVALUE(TRIM(SUBSTITUTE(Base_Bruta!H563,"R$","")),",","."),0)))</f>
        <v>2</v>
      </c>
      <c r="I563" s="6" t="n">
        <f aca="false">IF($A563="","",IF(ISNUMBER(Base_Bruta!I563),Base_Bruta!I563,IFERROR(_xlfn.NUMBERVALUE(TRIM(SUBSTITUTE(Base_Bruta!I563,"R$","")),",","."),0)))</f>
        <v>1860</v>
      </c>
      <c r="J563" s="6" t="n">
        <f aca="false">IF($A563="","",H563*I563)</f>
        <v>3720</v>
      </c>
      <c r="K563" s="4" t="str">
        <f aca="false">IF($A563="","",TRIM(Base_Bruta!J563))</f>
        <v>App</v>
      </c>
      <c r="L563" s="4" t="str">
        <f aca="false">IF($A563="","",TRIM(Base_Bruta!K563))</f>
        <v>C01651</v>
      </c>
      <c r="M563" s="4" t="str">
        <f aca="false">IF($A563="","",_xlfn.XLOOKUP(LOWER(TRIM(Base_Bruta!L563)),DePara_Cidade!$A$2:$A$29,DePara_Cidade!$B$2:$B$29,"REVISAR"))</f>
        <v>São Paulo</v>
      </c>
      <c r="N563" s="4" t="str">
        <f aca="false">IF($A563="","",UPPER(TRIM(Base_Bruta!M563)))</f>
        <v>SP</v>
      </c>
      <c r="O563" s="4" t="str">
        <f aca="false">IF($A563="","",_xlfn.XLOOKUP(LOWER(TRIM(Base_Bruta!N563)),DePara_Pais!$A$2:$A$9,DePara_Pais!$B$2:$B$9,"REVISAR"))</f>
        <v>Brasil</v>
      </c>
      <c r="P563" s="4" t="str">
        <f aca="false">IF($A563="","",IF(O563&lt;&gt;"Brasil","Turista Internacional",IF(M563=F563,"Local","Turista Nacional")))</f>
        <v>Local</v>
      </c>
      <c r="Q563" s="7" t="n">
        <f aca="false">IF($A563="","",DATE(YEAR(B563),MONTH(B563),1))</f>
        <v>46023</v>
      </c>
      <c r="R563" s="4" t="str">
        <f aca="false">IF($A563="","",IF(COUNTIF($A$2:$A563,$A563)&gt;1,"Sim","Não"))</f>
        <v>Não</v>
      </c>
      <c r="S563" s="4" t="str">
        <f aca="false">IF(A563="","Descartar - Linha vazia",IF(R563="Sim","Descartar - Duplicado",IF(OR(H563&lt;=0,I563&lt;=0),"Descartar - Qtd/Valor inválido","OK")))</f>
        <v>OK</v>
      </c>
      <c r="T563" s="4" t="str">
        <f aca="false">Base_Bruta!P563</f>
        <v>vendas_SP.xlsx</v>
      </c>
    </row>
    <row r="564" customFormat="false" ht="15" hidden="false" customHeight="false" outlineLevel="0" collapsed="false">
      <c r="A564" s="4" t="str">
        <f aca="false">IF(Base_Bruta!A564="","",Base_Bruta!A564)</f>
        <v>SP-000339</v>
      </c>
      <c r="B564" s="5" t="n">
        <f aca="false">IF($A564="","",IF(ISNUMBER(Base_Bruta!B564),Base_Bruta!B564,IF(MID(Base_Bruta!B564,5,1)="-",DATE(VALUE(LEFT(Base_Bruta!B564,4)),VALUE(MID(Base_Bruta!B564,6,2)),VALUE(RIGHT(Base_Bruta!B564,2))),DATE(VALUE(RIGHT(Base_Bruta!B564,4)),VALUE(MID(Base_Bruta!B564,4,2)),VALUE(LEFT(Base_Bruta!B564,2))))))</f>
        <v>46024</v>
      </c>
      <c r="C564" s="5" t="n">
        <f aca="false">IF($A564="","",IF(ISNUMBER(Base_Bruta!C564),Base_Bruta!C564,IF(MID(Base_Bruta!C564,5,1)="-",DATE(VALUE(LEFT(Base_Bruta!C564,4)),VALUE(MID(Base_Bruta!C564,6,2)),VALUE(RIGHT(Base_Bruta!C564,2))),DATE(VALUE(RIGHT(Base_Bruta!C564,4)),VALUE(MID(Base_Bruta!C564,4,2)),VALUE(LEFT(Base_Bruta!C564,2))))))</f>
        <v>46130</v>
      </c>
      <c r="D564" s="4" t="str">
        <f aca="false">IF($A564="","",TRIM(Base_Bruta!D564))</f>
        <v>Festival Sonora SP 2026</v>
      </c>
      <c r="E564" s="4" t="str">
        <f aca="false">IF($A564="","",_xlfn.XLOOKUP(LOWER(TRIM(Base_Bruta!E564)),DePara_Categoria!$A$2:$A$9,DePara_Categoria!$B$2:$B$9,"REVISAR"))</f>
        <v>Festival</v>
      </c>
      <c r="F564" s="4" t="str">
        <f aca="false">IF($A564="","",_xlfn.XLOOKUP(LOWER(TRIM(Base_Bruta!F564)),DePara_Cidade!$A$2:$A$29,DePara_Cidade!$B$2:$B$29,"REVISAR"))</f>
        <v>São Paulo</v>
      </c>
      <c r="G564" s="4" t="str">
        <f aca="false">IF($A564="","",TRIM(Base_Bruta!G564))</f>
        <v>Inteira</v>
      </c>
      <c r="H564" s="4" t="n">
        <f aca="false">IF($A564="","",IF(ISNUMBER(Base_Bruta!H564),Base_Bruta!H564,IFERROR(_xlfn.NUMBERVALUE(TRIM(SUBSTITUTE(Base_Bruta!H564,"R$","")),",","."),0)))</f>
        <v>2</v>
      </c>
      <c r="I564" s="6" t="n">
        <f aca="false">IF($A564="","",IF(ISNUMBER(Base_Bruta!I564),Base_Bruta!I564,IFERROR(_xlfn.NUMBERVALUE(TRIM(SUBSTITUTE(Base_Bruta!I564,"R$","")),",","."),0)))</f>
        <v>1040</v>
      </c>
      <c r="J564" s="6" t="n">
        <f aca="false">IF($A564="","",H564*I564)</f>
        <v>2080</v>
      </c>
      <c r="K564" s="4" t="str">
        <f aca="false">IF($A564="","",TRIM(Base_Bruta!J564))</f>
        <v>Bilheteria</v>
      </c>
      <c r="L564" s="4" t="str">
        <f aca="false">IF($A564="","",TRIM(Base_Bruta!K564))</f>
        <v>C00178</v>
      </c>
      <c r="M564" s="4" t="str">
        <f aca="false">IF($A564="","",_xlfn.XLOOKUP(LOWER(TRIM(Base_Bruta!L564)),DePara_Cidade!$A$2:$A$29,DePara_Cidade!$B$2:$B$29,"REVISAR"))</f>
        <v>Campinas</v>
      </c>
      <c r="N564" s="4" t="str">
        <f aca="false">IF($A564="","",UPPER(TRIM(Base_Bruta!M564)))</f>
        <v>SP</v>
      </c>
      <c r="O564" s="4" t="str">
        <f aca="false">IF($A564="","",_xlfn.XLOOKUP(LOWER(TRIM(Base_Bruta!N564)),DePara_Pais!$A$2:$A$9,DePara_Pais!$B$2:$B$9,"REVISAR"))</f>
        <v>Brasil</v>
      </c>
      <c r="P564" s="4" t="str">
        <f aca="false">IF($A564="","",IF(O564&lt;&gt;"Brasil","Turista Internacional",IF(M564=F564,"Local","Turista Nacional")))</f>
        <v>Turista Nacional</v>
      </c>
      <c r="Q564" s="7" t="n">
        <f aca="false">IF($A564="","",DATE(YEAR(B564),MONTH(B564),1))</f>
        <v>46023</v>
      </c>
      <c r="R564" s="4" t="str">
        <f aca="false">IF($A564="","",IF(COUNTIF($A$2:$A564,$A564)&gt;1,"Sim","Não"))</f>
        <v>Não</v>
      </c>
      <c r="S564" s="4" t="str">
        <f aca="false">IF(A564="","Descartar - Linha vazia",IF(R564="Sim","Descartar - Duplicado",IF(OR(H564&lt;=0,I564&lt;=0),"Descartar - Qtd/Valor inválido","OK")))</f>
        <v>OK</v>
      </c>
      <c r="T564" s="4" t="str">
        <f aca="false">Base_Bruta!P564</f>
        <v>vendas_SP.xlsx</v>
      </c>
    </row>
    <row r="565" customFormat="false" ht="15" hidden="false" customHeight="false" outlineLevel="0" collapsed="false">
      <c r="A565" s="4" t="str">
        <f aca="false">IF(Base_Bruta!A565="","",Base_Bruta!A565)</f>
        <v>SP-000369</v>
      </c>
      <c r="B565" s="5" t="n">
        <f aca="false">IF($A565="","",IF(ISNUMBER(Base_Bruta!B565),Base_Bruta!B565,IF(MID(Base_Bruta!B565,5,1)="-",DATE(VALUE(LEFT(Base_Bruta!B565,4)),VALUE(MID(Base_Bruta!B565,6,2)),VALUE(RIGHT(Base_Bruta!B565,2))),DATE(VALUE(RIGHT(Base_Bruta!B565,4)),VALUE(MID(Base_Bruta!B565,4,2)),VALUE(LEFT(Base_Bruta!B565,2))))))</f>
        <v>46024</v>
      </c>
      <c r="C565" s="5" t="n">
        <f aca="false">IF($A565="","",IF(ISNUMBER(Base_Bruta!C565),Base_Bruta!C565,IF(MID(Base_Bruta!C565,5,1)="-",DATE(VALUE(LEFT(Base_Bruta!C565,4)),VALUE(MID(Base_Bruta!C565,6,2)),VALUE(RIGHT(Base_Bruta!C565,2))),DATE(VALUE(RIGHT(Base_Bruta!C565,4)),VALUE(MID(Base_Bruta!C565,4,2)),VALUE(LEFT(Base_Bruta!C565,2))))))</f>
        <v>46130</v>
      </c>
      <c r="D565" s="4" t="str">
        <f aca="false">IF($A565="","",TRIM(Base_Bruta!D565))</f>
        <v>Festival Sonora SP 2026</v>
      </c>
      <c r="E565" s="4" t="str">
        <f aca="false">IF($A565="","",_xlfn.XLOOKUP(LOWER(TRIM(Base_Bruta!E565)),DePara_Categoria!$A$2:$A$9,DePara_Categoria!$B$2:$B$9,"REVISAR"))</f>
        <v>Festival</v>
      </c>
      <c r="F565" s="4" t="str">
        <f aca="false">IF($A565="","",_xlfn.XLOOKUP(LOWER(TRIM(Base_Bruta!F565)),DePara_Cidade!$A$2:$A$29,DePara_Cidade!$B$2:$B$29,"REVISAR"))</f>
        <v>São Paulo</v>
      </c>
      <c r="G565" s="4" t="str">
        <f aca="false">IF($A565="","",TRIM(Base_Bruta!G565))</f>
        <v>Meia</v>
      </c>
      <c r="H565" s="4" t="n">
        <f aca="false">IF($A565="","",IF(ISNUMBER(Base_Bruta!H565),Base_Bruta!H565,IFERROR(_xlfn.NUMBERVALUE(TRIM(SUBSTITUTE(Base_Bruta!H565,"R$","")),",","."),0)))</f>
        <v>2</v>
      </c>
      <c r="I565" s="6" t="n">
        <f aca="false">IF($A565="","",IF(ISNUMBER(Base_Bruta!I565),Base_Bruta!I565,IFERROR(_xlfn.NUMBERVALUE(TRIM(SUBSTITUTE(Base_Bruta!I565,"R$","")),",","."),0)))</f>
        <v>405</v>
      </c>
      <c r="J565" s="6" t="n">
        <f aca="false">IF($A565="","",H565*I565)</f>
        <v>810</v>
      </c>
      <c r="K565" s="4" t="str">
        <f aca="false">IF($A565="","",TRIM(Base_Bruta!J565))</f>
        <v>Site</v>
      </c>
      <c r="L565" s="4" t="str">
        <f aca="false">IF($A565="","",TRIM(Base_Bruta!K565))</f>
        <v>C00391</v>
      </c>
      <c r="M565" s="4" t="str">
        <f aca="false">IF($A565="","",_xlfn.XLOOKUP(LOWER(TRIM(Base_Bruta!L565)),DePara_Cidade!$A$2:$A$29,DePara_Cidade!$B$2:$B$29,"REVISAR"))</f>
        <v>São Paulo</v>
      </c>
      <c r="N565" s="4" t="str">
        <f aca="false">IF($A565="","",UPPER(TRIM(Base_Bruta!M565)))</f>
        <v>SP</v>
      </c>
      <c r="O565" s="4" t="str">
        <f aca="false">IF($A565="","",_xlfn.XLOOKUP(LOWER(TRIM(Base_Bruta!N565)),DePara_Pais!$A$2:$A$9,DePara_Pais!$B$2:$B$9,"REVISAR"))</f>
        <v>Brasil</v>
      </c>
      <c r="P565" s="4" t="str">
        <f aca="false">IF($A565="","",IF(O565&lt;&gt;"Brasil","Turista Internacional",IF(M565=F565,"Local","Turista Nacional")))</f>
        <v>Local</v>
      </c>
      <c r="Q565" s="7" t="n">
        <f aca="false">IF($A565="","",DATE(YEAR(B565),MONTH(B565),1))</f>
        <v>46023</v>
      </c>
      <c r="R565" s="4" t="str">
        <f aca="false">IF($A565="","",IF(COUNTIF($A$2:$A565,$A565)&gt;1,"Sim","Não"))</f>
        <v>Não</v>
      </c>
      <c r="S565" s="4" t="str">
        <f aca="false">IF(A565="","Descartar - Linha vazia",IF(R565="Sim","Descartar - Duplicado",IF(OR(H565&lt;=0,I565&lt;=0),"Descartar - Qtd/Valor inválido","OK")))</f>
        <v>OK</v>
      </c>
      <c r="T565" s="4" t="str">
        <f aca="false">Base_Bruta!P565</f>
        <v>vendas_SP.xlsx</v>
      </c>
    </row>
    <row r="566" customFormat="false" ht="15" hidden="false" customHeight="false" outlineLevel="0" collapsed="false">
      <c r="A566" s="4" t="str">
        <f aca="false">IF(Base_Bruta!A566="","",Base_Bruta!A566)</f>
        <v>SP-000385</v>
      </c>
      <c r="B566" s="5" t="n">
        <f aca="false">IF($A566="","",IF(ISNUMBER(Base_Bruta!B566),Base_Bruta!B566,IF(MID(Base_Bruta!B566,5,1)="-",DATE(VALUE(LEFT(Base_Bruta!B566,4)),VALUE(MID(Base_Bruta!B566,6,2)),VALUE(RIGHT(Base_Bruta!B566,2))),DATE(VALUE(RIGHT(Base_Bruta!B566,4)),VALUE(MID(Base_Bruta!B566,4,2)),VALUE(LEFT(Base_Bruta!B566,2))))))</f>
        <v>46024</v>
      </c>
      <c r="C566" s="5" t="n">
        <f aca="false">IF($A566="","",IF(ISNUMBER(Base_Bruta!C566),Base_Bruta!C566,IF(MID(Base_Bruta!C566,5,1)="-",DATE(VALUE(LEFT(Base_Bruta!C566,4)),VALUE(MID(Base_Bruta!C566,6,2)),VALUE(RIGHT(Base_Bruta!C566,2))),DATE(VALUE(RIGHT(Base_Bruta!C566,4)),VALUE(MID(Base_Bruta!C566,4,2)),VALUE(LEFT(Base_Bruta!C566,2))))))</f>
        <v>46130</v>
      </c>
      <c r="D566" s="4" t="str">
        <f aca="false">IF($A566="","",TRIM(Base_Bruta!D566))</f>
        <v>Festival Sonora SP 2026</v>
      </c>
      <c r="E566" s="4" t="str">
        <f aca="false">IF($A566="","",_xlfn.XLOOKUP(LOWER(TRIM(Base_Bruta!E566)),DePara_Categoria!$A$2:$A$9,DePara_Categoria!$B$2:$B$9,"REVISAR"))</f>
        <v>Festival</v>
      </c>
      <c r="F566" s="4" t="str">
        <f aca="false">IF($A566="","",_xlfn.XLOOKUP(LOWER(TRIM(Base_Bruta!F566)),DePara_Cidade!$A$2:$A$29,DePara_Cidade!$B$2:$B$29,"REVISAR"))</f>
        <v>São Paulo</v>
      </c>
      <c r="G566" s="4" t="str">
        <f aca="false">IF($A566="","",TRIM(Base_Bruta!G566))</f>
        <v>Inteira</v>
      </c>
      <c r="H566" s="4" t="n">
        <f aca="false">IF($A566="","",IF(ISNUMBER(Base_Bruta!H566),Base_Bruta!H566,IFERROR(_xlfn.NUMBERVALUE(TRIM(SUBSTITUTE(Base_Bruta!H566,"R$","")),",","."),0)))</f>
        <v>1</v>
      </c>
      <c r="I566" s="6" t="n">
        <f aca="false">IF($A566="","",IF(ISNUMBER(Base_Bruta!I566),Base_Bruta!I566,IFERROR(_xlfn.NUMBERVALUE(TRIM(SUBSTITUTE(Base_Bruta!I566,"R$","")),",","."),0)))</f>
        <v>950</v>
      </c>
      <c r="J566" s="6" t="n">
        <f aca="false">IF($A566="","",H566*I566)</f>
        <v>950</v>
      </c>
      <c r="K566" s="4" t="str">
        <f aca="false">IF($A566="","",TRIM(Base_Bruta!J566))</f>
        <v>App</v>
      </c>
      <c r="L566" s="4" t="str">
        <f aca="false">IF($A566="","",TRIM(Base_Bruta!K566))</f>
        <v>C01839</v>
      </c>
      <c r="M566" s="4" t="str">
        <f aca="false">IF($A566="","",_xlfn.XLOOKUP(LOWER(TRIM(Base_Bruta!L566)),DePara_Cidade!$A$2:$A$29,DePara_Cidade!$B$2:$B$29,"REVISAR"))</f>
        <v>Porto Alegre</v>
      </c>
      <c r="N566" s="4" t="str">
        <f aca="false">IF($A566="","",UPPER(TRIM(Base_Bruta!M566)))</f>
        <v>RS</v>
      </c>
      <c r="O566" s="4" t="str">
        <f aca="false">IF($A566="","",_xlfn.XLOOKUP(LOWER(TRIM(Base_Bruta!N566)),DePara_Pais!$A$2:$A$9,DePara_Pais!$B$2:$B$9,"REVISAR"))</f>
        <v>Brasil</v>
      </c>
      <c r="P566" s="4" t="str">
        <f aca="false">IF($A566="","",IF(O566&lt;&gt;"Brasil","Turista Internacional",IF(M566=F566,"Local","Turista Nacional")))</f>
        <v>Turista Nacional</v>
      </c>
      <c r="Q566" s="7" t="n">
        <f aca="false">IF($A566="","",DATE(YEAR(B566),MONTH(B566),1))</f>
        <v>46023</v>
      </c>
      <c r="R566" s="4" t="str">
        <f aca="false">IF($A566="","",IF(COUNTIF($A$2:$A566,$A566)&gt;1,"Sim","Não"))</f>
        <v>Não</v>
      </c>
      <c r="S566" s="4" t="str">
        <f aca="false">IF(A566="","Descartar - Linha vazia",IF(R566="Sim","Descartar - Duplicado",IF(OR(H566&lt;=0,I566&lt;=0),"Descartar - Qtd/Valor inválido","OK")))</f>
        <v>OK</v>
      </c>
      <c r="T566" s="4" t="str">
        <f aca="false">Base_Bruta!P566</f>
        <v>vendas_SP.xlsx</v>
      </c>
    </row>
    <row r="567" customFormat="false" ht="15" hidden="false" customHeight="false" outlineLevel="0" collapsed="false">
      <c r="A567" s="4" t="str">
        <f aca="false">IF(Base_Bruta!A567="","",Base_Bruta!A567)</f>
        <v>SP-000435</v>
      </c>
      <c r="B567" s="5" t="n">
        <f aca="false">IF($A567="","",IF(ISNUMBER(Base_Bruta!B567),Base_Bruta!B567,IF(MID(Base_Bruta!B567,5,1)="-",DATE(VALUE(LEFT(Base_Bruta!B567,4)),VALUE(MID(Base_Bruta!B567,6,2)),VALUE(RIGHT(Base_Bruta!B567,2))),DATE(VALUE(RIGHT(Base_Bruta!B567,4)),VALUE(MID(Base_Bruta!B567,4,2)),VALUE(LEFT(Base_Bruta!B567,2))))))</f>
        <v>46024</v>
      </c>
      <c r="C567" s="5" t="n">
        <f aca="false">IF($A567="","",IF(ISNUMBER(Base_Bruta!C567),Base_Bruta!C567,IF(MID(Base_Bruta!C567,5,1)="-",DATE(VALUE(LEFT(Base_Bruta!C567,4)),VALUE(MID(Base_Bruta!C567,6,2)),VALUE(RIGHT(Base_Bruta!C567,2))),DATE(VALUE(RIGHT(Base_Bruta!C567,4)),VALUE(MID(Base_Bruta!C567,4,2)),VALUE(LEFT(Base_Bruta!C567,2))))))</f>
        <v>46130</v>
      </c>
      <c r="D567" s="4" t="str">
        <f aca="false">IF($A567="","",TRIM(Base_Bruta!D567))</f>
        <v>Festival Sonora SP 2026</v>
      </c>
      <c r="E567" s="4" t="str">
        <f aca="false">IF($A567="","",_xlfn.XLOOKUP(LOWER(TRIM(Base_Bruta!E567)),DePara_Categoria!$A$2:$A$9,DePara_Categoria!$B$2:$B$9,"REVISAR"))</f>
        <v>Festival</v>
      </c>
      <c r="F567" s="4" t="str">
        <f aca="false">IF($A567="","",_xlfn.XLOOKUP(LOWER(TRIM(Base_Bruta!F567)),DePara_Cidade!$A$2:$A$29,DePara_Cidade!$B$2:$B$29,"REVISAR"))</f>
        <v>São Paulo</v>
      </c>
      <c r="G567" s="4" t="str">
        <f aca="false">IF($A567="","",TRIM(Base_Bruta!G567))</f>
        <v>Inteira</v>
      </c>
      <c r="H567" s="4" t="n">
        <f aca="false">IF($A567="","",IF(ISNUMBER(Base_Bruta!H567),Base_Bruta!H567,IFERROR(_xlfn.NUMBERVALUE(TRIM(SUBSTITUTE(Base_Bruta!H567,"R$","")),",","."),0)))</f>
        <v>2</v>
      </c>
      <c r="I567" s="6" t="n">
        <f aca="false">IF($A567="","",IF(ISNUMBER(Base_Bruta!I567),Base_Bruta!I567,IFERROR(_xlfn.NUMBERVALUE(TRIM(SUBSTITUTE(Base_Bruta!I567,"R$","")),",","."),0)))</f>
        <v>835</v>
      </c>
      <c r="J567" s="6" t="n">
        <f aca="false">IF($A567="","",H567*I567)</f>
        <v>1670</v>
      </c>
      <c r="K567" s="4" t="str">
        <f aca="false">IF($A567="","",TRIM(Base_Bruta!J567))</f>
        <v>Site</v>
      </c>
      <c r="L567" s="4" t="str">
        <f aca="false">IF($A567="","",TRIM(Base_Bruta!K567))</f>
        <v>C02361</v>
      </c>
      <c r="M567" s="4" t="str">
        <f aca="false">IF($A567="","",_xlfn.XLOOKUP(LOWER(TRIM(Base_Bruta!L567)),DePara_Cidade!$A$2:$A$29,DePara_Cidade!$B$2:$B$29,"REVISAR"))</f>
        <v>Santos</v>
      </c>
      <c r="N567" s="4" t="str">
        <f aca="false">IF($A567="","",UPPER(TRIM(Base_Bruta!M567)))</f>
        <v>SP</v>
      </c>
      <c r="O567" s="4" t="str">
        <f aca="false">IF($A567="","",_xlfn.XLOOKUP(LOWER(TRIM(Base_Bruta!N567)),DePara_Pais!$A$2:$A$9,DePara_Pais!$B$2:$B$9,"REVISAR"))</f>
        <v>Brasil</v>
      </c>
      <c r="P567" s="4" t="str">
        <f aca="false">IF($A567="","",IF(O567&lt;&gt;"Brasil","Turista Internacional",IF(M567=F567,"Local","Turista Nacional")))</f>
        <v>Turista Nacional</v>
      </c>
      <c r="Q567" s="7" t="n">
        <f aca="false">IF($A567="","",DATE(YEAR(B567),MONTH(B567),1))</f>
        <v>46023</v>
      </c>
      <c r="R567" s="4" t="str">
        <f aca="false">IF($A567="","",IF(COUNTIF($A$2:$A567,$A567)&gt;1,"Sim","Não"))</f>
        <v>Não</v>
      </c>
      <c r="S567" s="4" t="str">
        <f aca="false">IF(A567="","Descartar - Linha vazia",IF(R567="Sim","Descartar - Duplicado",IF(OR(H567&lt;=0,I567&lt;=0),"Descartar - Qtd/Valor inválido","OK")))</f>
        <v>OK</v>
      </c>
      <c r="T567" s="4" t="str">
        <f aca="false">Base_Bruta!P567</f>
        <v>vendas_SP.xlsx</v>
      </c>
    </row>
    <row r="568" customFormat="false" ht="15" hidden="false" customHeight="false" outlineLevel="0" collapsed="false">
      <c r="A568" s="4" t="str">
        <f aca="false">IF(Base_Bruta!A568="","",Base_Bruta!A568)</f>
        <v>SP-000371</v>
      </c>
      <c r="B568" s="5" t="n">
        <f aca="false">IF($A568="","",IF(ISNUMBER(Base_Bruta!B568),Base_Bruta!B568,IF(MID(Base_Bruta!B568,5,1)="-",DATE(VALUE(LEFT(Base_Bruta!B568,4)),VALUE(MID(Base_Bruta!B568,6,2)),VALUE(RIGHT(Base_Bruta!B568,2))),DATE(VALUE(RIGHT(Base_Bruta!B568,4)),VALUE(MID(Base_Bruta!B568,4,2)),VALUE(LEFT(Base_Bruta!B568,2))))))</f>
        <v>46025</v>
      </c>
      <c r="C568" s="5" t="n">
        <f aca="false">IF($A568="","",IF(ISNUMBER(Base_Bruta!C568),Base_Bruta!C568,IF(MID(Base_Bruta!C568,5,1)="-",DATE(VALUE(LEFT(Base_Bruta!C568,4)),VALUE(MID(Base_Bruta!C568,6,2)),VALUE(RIGHT(Base_Bruta!C568,2))),DATE(VALUE(RIGHT(Base_Bruta!C568,4)),VALUE(MID(Base_Bruta!C568,4,2)),VALUE(LEFT(Base_Bruta!C568,2))))))</f>
        <v>46130</v>
      </c>
      <c r="D568" s="4" t="str">
        <f aca="false">IF($A568="","",TRIM(Base_Bruta!D568))</f>
        <v>Festival Sonora SP 2026</v>
      </c>
      <c r="E568" s="4" t="str">
        <f aca="false">IF($A568="","",_xlfn.XLOOKUP(LOWER(TRIM(Base_Bruta!E568)),DePara_Categoria!$A$2:$A$9,DePara_Categoria!$B$2:$B$9,"REVISAR"))</f>
        <v>Festival</v>
      </c>
      <c r="F568" s="4" t="str">
        <f aca="false">IF($A568="","",_xlfn.XLOOKUP(LOWER(TRIM(Base_Bruta!F568)),DePara_Cidade!$A$2:$A$29,DePara_Cidade!$B$2:$B$29,"REVISAR"))</f>
        <v>São Paulo</v>
      </c>
      <c r="G568" s="4" t="str">
        <f aca="false">IF($A568="","",TRIM(Base_Bruta!G568))</f>
        <v>Inteira</v>
      </c>
      <c r="H568" s="4" t="n">
        <f aca="false">IF($A568="","",IF(ISNUMBER(Base_Bruta!H568),Base_Bruta!H568,IFERROR(_xlfn.NUMBERVALUE(TRIM(SUBSTITUTE(Base_Bruta!H568,"R$","")),",","."),0)))</f>
        <v>1</v>
      </c>
      <c r="I568" s="6" t="n">
        <f aca="false">IF($A568="","",IF(ISNUMBER(Base_Bruta!I568),Base_Bruta!I568,IFERROR(_xlfn.NUMBERVALUE(TRIM(SUBSTITUTE(Base_Bruta!I568,"R$","")),",","."),0)))</f>
        <v>975</v>
      </c>
      <c r="J568" s="6" t="n">
        <f aca="false">IF($A568="","",H568*I568)</f>
        <v>975</v>
      </c>
      <c r="K568" s="4" t="str">
        <f aca="false">IF($A568="","",TRIM(Base_Bruta!J568))</f>
        <v>App</v>
      </c>
      <c r="L568" s="4" t="str">
        <f aca="false">IF($A568="","",TRIM(Base_Bruta!K568))</f>
        <v>C01072</v>
      </c>
      <c r="M568" s="4" t="str">
        <f aca="false">IF($A568="","",_xlfn.XLOOKUP(LOWER(TRIM(Base_Bruta!L568)),DePara_Cidade!$A$2:$A$29,DePara_Cidade!$B$2:$B$29,"REVISAR"))</f>
        <v>São Paulo</v>
      </c>
      <c r="N568" s="4" t="str">
        <f aca="false">IF($A568="","",UPPER(TRIM(Base_Bruta!M568)))</f>
        <v>SP</v>
      </c>
      <c r="O568" s="4" t="str">
        <f aca="false">IF($A568="","",_xlfn.XLOOKUP(LOWER(TRIM(Base_Bruta!N568)),DePara_Pais!$A$2:$A$9,DePara_Pais!$B$2:$B$9,"REVISAR"))</f>
        <v>Brasil</v>
      </c>
      <c r="P568" s="4" t="str">
        <f aca="false">IF($A568="","",IF(O568&lt;&gt;"Brasil","Turista Internacional",IF(M568=F568,"Local","Turista Nacional")))</f>
        <v>Local</v>
      </c>
      <c r="Q568" s="7" t="n">
        <f aca="false">IF($A568="","",DATE(YEAR(B568),MONTH(B568),1))</f>
        <v>46023</v>
      </c>
      <c r="R568" s="4" t="str">
        <f aca="false">IF($A568="","",IF(COUNTIF($A$2:$A568,$A568)&gt;1,"Sim","Não"))</f>
        <v>Não</v>
      </c>
      <c r="S568" s="4" t="str">
        <f aca="false">IF(A568="","Descartar - Linha vazia",IF(R568="Sim","Descartar - Duplicado",IF(OR(H568&lt;=0,I568&lt;=0),"Descartar - Qtd/Valor inválido","OK")))</f>
        <v>OK</v>
      </c>
      <c r="T568" s="4" t="str">
        <f aca="false">Base_Bruta!P568</f>
        <v>vendas_SP.xlsx</v>
      </c>
    </row>
    <row r="569" customFormat="false" ht="15" hidden="false" customHeight="false" outlineLevel="0" collapsed="false">
      <c r="A569" s="4" t="str">
        <f aca="false">IF(Base_Bruta!A569="","",Base_Bruta!A569)</f>
        <v>SP-000451</v>
      </c>
      <c r="B569" s="5" t="n">
        <f aca="false">IF($A569="","",IF(ISNUMBER(Base_Bruta!B569),Base_Bruta!B569,IF(MID(Base_Bruta!B569,5,1)="-",DATE(VALUE(LEFT(Base_Bruta!B569,4)),VALUE(MID(Base_Bruta!B569,6,2)),VALUE(RIGHT(Base_Bruta!B569,2))),DATE(VALUE(RIGHT(Base_Bruta!B569,4)),VALUE(MID(Base_Bruta!B569,4,2)),VALUE(LEFT(Base_Bruta!B569,2))))))</f>
        <v>46025</v>
      </c>
      <c r="C569" s="5" t="n">
        <f aca="false">IF($A569="","",IF(ISNUMBER(Base_Bruta!C569),Base_Bruta!C569,IF(MID(Base_Bruta!C569,5,1)="-",DATE(VALUE(LEFT(Base_Bruta!C569,4)),VALUE(MID(Base_Bruta!C569,6,2)),VALUE(RIGHT(Base_Bruta!C569,2))),DATE(VALUE(RIGHT(Base_Bruta!C569,4)),VALUE(MID(Base_Bruta!C569,4,2)),VALUE(LEFT(Base_Bruta!C569,2))))))</f>
        <v>46130</v>
      </c>
      <c r="D569" s="4" t="str">
        <f aca="false">IF($A569="","",TRIM(Base_Bruta!D569))</f>
        <v>Festival Sonora SP 2026</v>
      </c>
      <c r="E569" s="4" t="str">
        <f aca="false">IF($A569="","",_xlfn.XLOOKUP(LOWER(TRIM(Base_Bruta!E569)),DePara_Categoria!$A$2:$A$9,DePara_Categoria!$B$2:$B$9,"REVISAR"))</f>
        <v>Festival</v>
      </c>
      <c r="F569" s="4" t="str">
        <f aca="false">IF($A569="","",_xlfn.XLOOKUP(LOWER(TRIM(Base_Bruta!F569)),DePara_Cidade!$A$2:$A$29,DePara_Cidade!$B$2:$B$29,"REVISAR"))</f>
        <v>São Paulo</v>
      </c>
      <c r="G569" s="4" t="str">
        <f aca="false">IF($A569="","",TRIM(Base_Bruta!G569))</f>
        <v>Meia</v>
      </c>
      <c r="H569" s="4" t="n">
        <f aca="false">IF($A569="","",IF(ISNUMBER(Base_Bruta!H569),Base_Bruta!H569,IFERROR(_xlfn.NUMBERVALUE(TRIM(SUBSTITUTE(Base_Bruta!H569,"R$","")),",","."),0)))</f>
        <v>3</v>
      </c>
      <c r="I569" s="6" t="n">
        <f aca="false">IF($A569="","",IF(ISNUMBER(Base_Bruta!I569),Base_Bruta!I569,IFERROR(_xlfn.NUMBERVALUE(TRIM(SUBSTITUTE(Base_Bruta!I569,"R$","")),",","."),0)))</f>
        <v>532.5</v>
      </c>
      <c r="J569" s="6" t="n">
        <f aca="false">IF($A569="","",H569*I569)</f>
        <v>1597.5</v>
      </c>
      <c r="K569" s="4" t="str">
        <f aca="false">IF($A569="","",TRIM(Base_Bruta!J569))</f>
        <v>Site</v>
      </c>
      <c r="L569" s="4" t="str">
        <f aca="false">IF($A569="","",TRIM(Base_Bruta!K569))</f>
        <v>C02151</v>
      </c>
      <c r="M569" s="4" t="str">
        <f aca="false">IF($A569="","",_xlfn.XLOOKUP(LOWER(TRIM(Base_Bruta!L569)),DePara_Cidade!$A$2:$A$29,DePara_Cidade!$B$2:$B$29,"REVISAR"))</f>
        <v>São Paulo</v>
      </c>
      <c r="N569" s="4" t="str">
        <f aca="false">IF($A569="","",UPPER(TRIM(Base_Bruta!M569)))</f>
        <v>SP</v>
      </c>
      <c r="O569" s="4" t="str">
        <f aca="false">IF($A569="","",_xlfn.XLOOKUP(LOWER(TRIM(Base_Bruta!N569)),DePara_Pais!$A$2:$A$9,DePara_Pais!$B$2:$B$9,"REVISAR"))</f>
        <v>Brasil</v>
      </c>
      <c r="P569" s="4" t="str">
        <f aca="false">IF($A569="","",IF(O569&lt;&gt;"Brasil","Turista Internacional",IF(M569=F569,"Local","Turista Nacional")))</f>
        <v>Local</v>
      </c>
      <c r="Q569" s="7" t="n">
        <f aca="false">IF($A569="","",DATE(YEAR(B569),MONTH(B569),1))</f>
        <v>46023</v>
      </c>
      <c r="R569" s="4" t="str">
        <f aca="false">IF($A569="","",IF(COUNTIF($A$2:$A569,$A569)&gt;1,"Sim","Não"))</f>
        <v>Não</v>
      </c>
      <c r="S569" s="4" t="str">
        <f aca="false">IF(A569="","Descartar - Linha vazia",IF(R569="Sim","Descartar - Duplicado",IF(OR(H569&lt;=0,I569&lt;=0),"Descartar - Qtd/Valor inválido","OK")))</f>
        <v>OK</v>
      </c>
      <c r="T569" s="4" t="str">
        <f aca="false">Base_Bruta!P569</f>
        <v>vendas_SP.xlsx</v>
      </c>
    </row>
    <row r="570" customFormat="false" ht="15" hidden="false" customHeight="false" outlineLevel="0" collapsed="false">
      <c r="A570" s="4" t="str">
        <f aca="false">IF(Base_Bruta!A570="","",Base_Bruta!A570)</f>
        <v>SP-000254</v>
      </c>
      <c r="B570" s="5" t="n">
        <f aca="false">IF($A570="","",IF(ISNUMBER(Base_Bruta!B570),Base_Bruta!B570,IF(MID(Base_Bruta!B570,5,1)="-",DATE(VALUE(LEFT(Base_Bruta!B570,4)),VALUE(MID(Base_Bruta!B570,6,2)),VALUE(RIGHT(Base_Bruta!B570,2))),DATE(VALUE(RIGHT(Base_Bruta!B570,4)),VALUE(MID(Base_Bruta!B570,4,2)),VALUE(LEFT(Base_Bruta!B570,2))))))</f>
        <v>46026</v>
      </c>
      <c r="C570" s="5" t="n">
        <f aca="false">IF($A570="","",IF(ISNUMBER(Base_Bruta!C570),Base_Bruta!C570,IF(MID(Base_Bruta!C570,5,1)="-",DATE(VALUE(LEFT(Base_Bruta!C570,4)),VALUE(MID(Base_Bruta!C570,6,2)),VALUE(RIGHT(Base_Bruta!C570,2))),DATE(VALUE(RIGHT(Base_Bruta!C570,4)),VALUE(MID(Base_Bruta!C570,4,2)),VALUE(LEFT(Base_Bruta!C570,2))))))</f>
        <v>46130</v>
      </c>
      <c r="D570" s="4" t="str">
        <f aca="false">IF($A570="","",TRIM(Base_Bruta!D570))</f>
        <v>Festival Sonora SP 2026</v>
      </c>
      <c r="E570" s="4" t="str">
        <f aca="false">IF($A570="","",_xlfn.XLOOKUP(LOWER(TRIM(Base_Bruta!E570)),DePara_Categoria!$A$2:$A$9,DePara_Categoria!$B$2:$B$9,"REVISAR"))</f>
        <v>Festival</v>
      </c>
      <c r="F570" s="4" t="str">
        <f aca="false">IF($A570="","",_xlfn.XLOOKUP(LOWER(TRIM(Base_Bruta!F570)),DePara_Cidade!$A$2:$A$29,DePara_Cidade!$B$2:$B$29,"REVISAR"))</f>
        <v>São Paulo</v>
      </c>
      <c r="G570" s="4" t="str">
        <f aca="false">IF($A570="","",TRIM(Base_Bruta!G570))</f>
        <v>VIP</v>
      </c>
      <c r="H570" s="4" t="n">
        <f aca="false">IF($A570="","",IF(ISNUMBER(Base_Bruta!H570),Base_Bruta!H570,IFERROR(_xlfn.NUMBERVALUE(TRIM(SUBSTITUTE(Base_Bruta!H570,"R$","")),",","."),0)))</f>
        <v>4</v>
      </c>
      <c r="I570" s="6" t="n">
        <f aca="false">IF($A570="","",IF(ISNUMBER(Base_Bruta!I570),Base_Bruta!I570,IFERROR(_xlfn.NUMBERVALUE(TRIM(SUBSTITUTE(Base_Bruta!I570,"R$","")),",","."),0)))</f>
        <v>2170</v>
      </c>
      <c r="J570" s="6" t="n">
        <f aca="false">IF($A570="","",H570*I570)</f>
        <v>8680</v>
      </c>
      <c r="K570" s="4" t="str">
        <f aca="false">IF($A570="","",TRIM(Base_Bruta!J570))</f>
        <v>Site</v>
      </c>
      <c r="L570" s="4" t="str">
        <f aca="false">IF($A570="","",TRIM(Base_Bruta!K570))</f>
        <v>C02308</v>
      </c>
      <c r="M570" s="4" t="str">
        <f aca="false">IF($A570="","",_xlfn.XLOOKUP(LOWER(TRIM(Base_Bruta!L570)),DePara_Cidade!$A$2:$A$29,DePara_Cidade!$B$2:$B$29,"REVISAR"))</f>
        <v>São Paulo</v>
      </c>
      <c r="N570" s="4" t="str">
        <f aca="false">IF($A570="","",UPPER(TRIM(Base_Bruta!M570)))</f>
        <v>SP</v>
      </c>
      <c r="O570" s="4" t="str">
        <f aca="false">IF($A570="","",_xlfn.XLOOKUP(LOWER(TRIM(Base_Bruta!N570)),DePara_Pais!$A$2:$A$9,DePara_Pais!$B$2:$B$9,"REVISAR"))</f>
        <v>Brasil</v>
      </c>
      <c r="P570" s="4" t="str">
        <f aca="false">IF($A570="","",IF(O570&lt;&gt;"Brasil","Turista Internacional",IF(M570=F570,"Local","Turista Nacional")))</f>
        <v>Local</v>
      </c>
      <c r="Q570" s="7" t="n">
        <f aca="false">IF($A570="","",DATE(YEAR(B570),MONTH(B570),1))</f>
        <v>46023</v>
      </c>
      <c r="R570" s="4" t="str">
        <f aca="false">IF($A570="","",IF(COUNTIF($A$2:$A570,$A570)&gt;1,"Sim","Não"))</f>
        <v>Não</v>
      </c>
      <c r="S570" s="4" t="str">
        <f aca="false">IF(A570="","Descartar - Linha vazia",IF(R570="Sim","Descartar - Duplicado",IF(OR(H570&lt;=0,I570&lt;=0),"Descartar - Qtd/Valor inválido","OK")))</f>
        <v>OK</v>
      </c>
      <c r="T570" s="4" t="str">
        <f aca="false">Base_Bruta!P570</f>
        <v>vendas_SP.xlsx</v>
      </c>
    </row>
    <row r="571" customFormat="false" ht="15" hidden="false" customHeight="false" outlineLevel="0" collapsed="false">
      <c r="A571" s="4" t="str">
        <f aca="false">IF(Base_Bruta!A571="","",Base_Bruta!A571)</f>
        <v>SP-000269</v>
      </c>
      <c r="B571" s="5" t="n">
        <f aca="false">IF($A571="","",IF(ISNUMBER(Base_Bruta!B571),Base_Bruta!B571,IF(MID(Base_Bruta!B571,5,1)="-",DATE(VALUE(LEFT(Base_Bruta!B571,4)),VALUE(MID(Base_Bruta!B571,6,2)),VALUE(RIGHT(Base_Bruta!B571,2))),DATE(VALUE(RIGHT(Base_Bruta!B571,4)),VALUE(MID(Base_Bruta!B571,4,2)),VALUE(LEFT(Base_Bruta!B571,2))))))</f>
        <v>46026</v>
      </c>
      <c r="C571" s="5" t="n">
        <f aca="false">IF($A571="","",IF(ISNUMBER(Base_Bruta!C571),Base_Bruta!C571,IF(MID(Base_Bruta!C571,5,1)="-",DATE(VALUE(LEFT(Base_Bruta!C571,4)),VALUE(MID(Base_Bruta!C571,6,2)),VALUE(RIGHT(Base_Bruta!C571,2))),DATE(VALUE(RIGHT(Base_Bruta!C571,4)),VALUE(MID(Base_Bruta!C571,4,2)),VALUE(LEFT(Base_Bruta!C571,2))))))</f>
        <v>46130</v>
      </c>
      <c r="D571" s="4" t="str">
        <f aca="false">IF($A571="","",TRIM(Base_Bruta!D571))</f>
        <v>Festival Sonora SP 2026</v>
      </c>
      <c r="E571" s="4" t="str">
        <f aca="false">IF($A571="","",_xlfn.XLOOKUP(LOWER(TRIM(Base_Bruta!E571)),DePara_Categoria!$A$2:$A$9,DePara_Categoria!$B$2:$B$9,"REVISAR"))</f>
        <v>Festival</v>
      </c>
      <c r="F571" s="4" t="str">
        <f aca="false">IF($A571="","",_xlfn.XLOOKUP(LOWER(TRIM(Base_Bruta!F571)),DePara_Cidade!$A$2:$A$29,DePara_Cidade!$B$2:$B$29,"REVISAR"))</f>
        <v>São Paulo</v>
      </c>
      <c r="G571" s="4" t="str">
        <f aca="false">IF($A571="","",TRIM(Base_Bruta!G571))</f>
        <v>Meia</v>
      </c>
      <c r="H571" s="4" t="n">
        <f aca="false">IF($A571="","",IF(ISNUMBER(Base_Bruta!H571),Base_Bruta!H571,IFERROR(_xlfn.NUMBERVALUE(TRIM(SUBSTITUTE(Base_Bruta!H571,"R$","")),",","."),0)))</f>
        <v>2</v>
      </c>
      <c r="I571" s="6" t="n">
        <f aca="false">IF($A571="","",IF(ISNUMBER(Base_Bruta!I571),Base_Bruta!I571,IFERROR(_xlfn.NUMBERVALUE(TRIM(SUBSTITUTE(Base_Bruta!I571,"R$","")),",","."),0)))</f>
        <v>467.5</v>
      </c>
      <c r="J571" s="6" t="n">
        <f aca="false">IF($A571="","",H571*I571)</f>
        <v>935</v>
      </c>
      <c r="K571" s="4" t="str">
        <f aca="false">IF($A571="","",TRIM(Base_Bruta!J571))</f>
        <v>Parceiro</v>
      </c>
      <c r="L571" s="4" t="str">
        <f aca="false">IF($A571="","",TRIM(Base_Bruta!K571))</f>
        <v>C00301</v>
      </c>
      <c r="M571" s="4" t="str">
        <f aca="false">IF($A571="","",_xlfn.XLOOKUP(LOWER(TRIM(Base_Bruta!L571)),DePara_Cidade!$A$2:$A$29,DePara_Cidade!$B$2:$B$29,"REVISAR"))</f>
        <v>São Paulo</v>
      </c>
      <c r="N571" s="4" t="str">
        <f aca="false">IF($A571="","",UPPER(TRIM(Base_Bruta!M571)))</f>
        <v>SP</v>
      </c>
      <c r="O571" s="4" t="str">
        <f aca="false">IF($A571="","",_xlfn.XLOOKUP(LOWER(TRIM(Base_Bruta!N571)),DePara_Pais!$A$2:$A$9,DePara_Pais!$B$2:$B$9,"REVISAR"))</f>
        <v>Brasil</v>
      </c>
      <c r="P571" s="4" t="str">
        <f aca="false">IF($A571="","",IF(O571&lt;&gt;"Brasil","Turista Internacional",IF(M571=F571,"Local","Turista Nacional")))</f>
        <v>Local</v>
      </c>
      <c r="Q571" s="7" t="n">
        <f aca="false">IF($A571="","",DATE(YEAR(B571),MONTH(B571),1))</f>
        <v>46023</v>
      </c>
      <c r="R571" s="4" t="str">
        <f aca="false">IF($A571="","",IF(COUNTIF($A$2:$A571,$A571)&gt;1,"Sim","Não"))</f>
        <v>Não</v>
      </c>
      <c r="S571" s="4" t="str">
        <f aca="false">IF(A571="","Descartar - Linha vazia",IF(R571="Sim","Descartar - Duplicado",IF(OR(H571&lt;=0,I571&lt;=0),"Descartar - Qtd/Valor inválido","OK")))</f>
        <v>OK</v>
      </c>
      <c r="T571" s="4" t="str">
        <f aca="false">Base_Bruta!P571</f>
        <v>vendas_SP.xlsx</v>
      </c>
    </row>
    <row r="572" customFormat="false" ht="15" hidden="false" customHeight="false" outlineLevel="0" collapsed="false">
      <c r="A572" s="4" t="str">
        <f aca="false">IF(Base_Bruta!A572="","",Base_Bruta!A572)</f>
        <v>SP-000338</v>
      </c>
      <c r="B572" s="5" t="n">
        <f aca="false">IF($A572="","",IF(ISNUMBER(Base_Bruta!B572),Base_Bruta!B572,IF(MID(Base_Bruta!B572,5,1)="-",DATE(VALUE(LEFT(Base_Bruta!B572,4)),VALUE(MID(Base_Bruta!B572,6,2)),VALUE(RIGHT(Base_Bruta!B572,2))),DATE(VALUE(RIGHT(Base_Bruta!B572,4)),VALUE(MID(Base_Bruta!B572,4,2)),VALUE(LEFT(Base_Bruta!B572,2))))))</f>
        <v>46026</v>
      </c>
      <c r="C572" s="5" t="n">
        <f aca="false">IF($A572="","",IF(ISNUMBER(Base_Bruta!C572),Base_Bruta!C572,IF(MID(Base_Bruta!C572,5,1)="-",DATE(VALUE(LEFT(Base_Bruta!C572,4)),VALUE(MID(Base_Bruta!C572,6,2)),VALUE(RIGHT(Base_Bruta!C572,2))),DATE(VALUE(RIGHT(Base_Bruta!C572,4)),VALUE(MID(Base_Bruta!C572,4,2)),VALUE(LEFT(Base_Bruta!C572,2))))))</f>
        <v>46130</v>
      </c>
      <c r="D572" s="4" t="str">
        <f aca="false">IF($A572="","",TRIM(Base_Bruta!D572))</f>
        <v>Festival Sonora SP 2026</v>
      </c>
      <c r="E572" s="4" t="str">
        <f aca="false">IF($A572="","",_xlfn.XLOOKUP(LOWER(TRIM(Base_Bruta!E572)),DePara_Categoria!$A$2:$A$9,DePara_Categoria!$B$2:$B$9,"REVISAR"))</f>
        <v>Festival</v>
      </c>
      <c r="F572" s="4" t="str">
        <f aca="false">IF($A572="","",_xlfn.XLOOKUP(LOWER(TRIM(Base_Bruta!F572)),DePara_Cidade!$A$2:$A$29,DePara_Cidade!$B$2:$B$29,"REVISAR"))</f>
        <v>São Paulo</v>
      </c>
      <c r="G572" s="4" t="str">
        <f aca="false">IF($A572="","",TRIM(Base_Bruta!G572))</f>
        <v>Inteira</v>
      </c>
      <c r="H572" s="4" t="n">
        <f aca="false">IF($A572="","",IF(ISNUMBER(Base_Bruta!H572),Base_Bruta!H572,IFERROR(_xlfn.NUMBERVALUE(TRIM(SUBSTITUTE(Base_Bruta!H572,"R$","")),",","."),0)))</f>
        <v>1</v>
      </c>
      <c r="I572" s="6" t="n">
        <f aca="false">IF($A572="","",IF(ISNUMBER(Base_Bruta!I572),Base_Bruta!I572,IFERROR(_xlfn.NUMBERVALUE(TRIM(SUBSTITUTE(Base_Bruta!I572,"R$","")),",","."),0)))</f>
        <v>1125</v>
      </c>
      <c r="J572" s="6" t="n">
        <f aca="false">IF($A572="","",H572*I572)</f>
        <v>1125</v>
      </c>
      <c r="K572" s="4" t="str">
        <f aca="false">IF($A572="","",TRIM(Base_Bruta!J572))</f>
        <v>Bilheteria</v>
      </c>
      <c r="L572" s="4" t="str">
        <f aca="false">IF($A572="","",TRIM(Base_Bruta!K572))</f>
        <v>C01768</v>
      </c>
      <c r="M572" s="4" t="str">
        <f aca="false">IF($A572="","",_xlfn.XLOOKUP(LOWER(TRIM(Base_Bruta!L572)),DePara_Cidade!$A$2:$A$29,DePara_Cidade!$B$2:$B$29,"REVISAR"))</f>
        <v>Santos</v>
      </c>
      <c r="N572" s="4" t="str">
        <f aca="false">IF($A572="","",UPPER(TRIM(Base_Bruta!M572)))</f>
        <v>SP</v>
      </c>
      <c r="O572" s="4" t="str">
        <f aca="false">IF($A572="","",_xlfn.XLOOKUP(LOWER(TRIM(Base_Bruta!N572)),DePara_Pais!$A$2:$A$9,DePara_Pais!$B$2:$B$9,"REVISAR"))</f>
        <v>Brasil</v>
      </c>
      <c r="P572" s="4" t="str">
        <f aca="false">IF($A572="","",IF(O572&lt;&gt;"Brasil","Turista Internacional",IF(M572=F572,"Local","Turista Nacional")))</f>
        <v>Turista Nacional</v>
      </c>
      <c r="Q572" s="7" t="n">
        <f aca="false">IF($A572="","",DATE(YEAR(B572),MONTH(B572),1))</f>
        <v>46023</v>
      </c>
      <c r="R572" s="4" t="str">
        <f aca="false">IF($A572="","",IF(COUNTIF($A$2:$A572,$A572)&gt;1,"Sim","Não"))</f>
        <v>Não</v>
      </c>
      <c r="S572" s="4" t="str">
        <f aca="false">IF(A572="","Descartar - Linha vazia",IF(R572="Sim","Descartar - Duplicado",IF(OR(H572&lt;=0,I572&lt;=0),"Descartar - Qtd/Valor inválido","OK")))</f>
        <v>OK</v>
      </c>
      <c r="T572" s="4" t="str">
        <f aca="false">Base_Bruta!P572</f>
        <v>vendas_SP.xlsx</v>
      </c>
    </row>
    <row r="573" customFormat="false" ht="15" hidden="false" customHeight="false" outlineLevel="0" collapsed="false">
      <c r="A573" s="4" t="str">
        <f aca="false">IF(Base_Bruta!A573="","",Base_Bruta!A573)</f>
        <v>SP-000348</v>
      </c>
      <c r="B573" s="5" t="n">
        <f aca="false">IF($A573="","",IF(ISNUMBER(Base_Bruta!B573),Base_Bruta!B573,IF(MID(Base_Bruta!B573,5,1)="-",DATE(VALUE(LEFT(Base_Bruta!B573,4)),VALUE(MID(Base_Bruta!B573,6,2)),VALUE(RIGHT(Base_Bruta!B573,2))),DATE(VALUE(RIGHT(Base_Bruta!B573,4)),VALUE(MID(Base_Bruta!B573,4,2)),VALUE(LEFT(Base_Bruta!B573,2))))))</f>
        <v>46026</v>
      </c>
      <c r="C573" s="5" t="n">
        <f aca="false">IF($A573="","",IF(ISNUMBER(Base_Bruta!C573),Base_Bruta!C573,IF(MID(Base_Bruta!C573,5,1)="-",DATE(VALUE(LEFT(Base_Bruta!C573,4)),VALUE(MID(Base_Bruta!C573,6,2)),VALUE(RIGHT(Base_Bruta!C573,2))),DATE(VALUE(RIGHT(Base_Bruta!C573,4)),VALUE(MID(Base_Bruta!C573,4,2)),VALUE(LEFT(Base_Bruta!C573,2))))))</f>
        <v>46130</v>
      </c>
      <c r="D573" s="4" t="str">
        <f aca="false">IF($A573="","",TRIM(Base_Bruta!D573))</f>
        <v>Festival Sonora SP 2026</v>
      </c>
      <c r="E573" s="4" t="str">
        <f aca="false">IF($A573="","",_xlfn.XLOOKUP(LOWER(TRIM(Base_Bruta!E573)),DePara_Categoria!$A$2:$A$9,DePara_Categoria!$B$2:$B$9,"REVISAR"))</f>
        <v>Festival</v>
      </c>
      <c r="F573" s="4" t="str">
        <f aca="false">IF($A573="","",_xlfn.XLOOKUP(LOWER(TRIM(Base_Bruta!F573)),DePara_Cidade!$A$2:$A$29,DePara_Cidade!$B$2:$B$29,"REVISAR"))</f>
        <v>São Paulo</v>
      </c>
      <c r="G573" s="4" t="str">
        <f aca="false">IF($A573="","",TRIM(Base_Bruta!G573))</f>
        <v>Meia</v>
      </c>
      <c r="H573" s="4" t="n">
        <f aca="false">IF($A573="","",IF(ISNUMBER(Base_Bruta!H573),Base_Bruta!H573,IFERROR(_xlfn.NUMBERVALUE(TRIM(SUBSTITUTE(Base_Bruta!H573,"R$","")),",","."),0)))</f>
        <v>3</v>
      </c>
      <c r="I573" s="6" t="n">
        <f aca="false">IF($A573="","",IF(ISNUMBER(Base_Bruta!I573),Base_Bruta!I573,IFERROR(_xlfn.NUMBERVALUE(TRIM(SUBSTITUTE(Base_Bruta!I573,"R$","")),",","."),0)))</f>
        <v>482.5</v>
      </c>
      <c r="J573" s="6" t="n">
        <f aca="false">IF($A573="","",H573*I573)</f>
        <v>1447.5</v>
      </c>
      <c r="K573" s="4" t="str">
        <f aca="false">IF($A573="","",TRIM(Base_Bruta!J573))</f>
        <v>Site</v>
      </c>
      <c r="L573" s="4" t="str">
        <f aca="false">IF($A573="","",TRIM(Base_Bruta!K573))</f>
        <v>C00890</v>
      </c>
      <c r="M573" s="4" t="str">
        <f aca="false">IF($A573="","",_xlfn.XLOOKUP(LOWER(TRIM(Base_Bruta!L573)),DePara_Cidade!$A$2:$A$29,DePara_Cidade!$B$2:$B$29,"REVISAR"))</f>
        <v>São Paulo</v>
      </c>
      <c r="N573" s="4" t="str">
        <f aca="false">IF($A573="","",UPPER(TRIM(Base_Bruta!M573)))</f>
        <v>SP</v>
      </c>
      <c r="O573" s="4" t="str">
        <f aca="false">IF($A573="","",_xlfn.XLOOKUP(LOWER(TRIM(Base_Bruta!N573)),DePara_Pais!$A$2:$A$9,DePara_Pais!$B$2:$B$9,"REVISAR"))</f>
        <v>Brasil</v>
      </c>
      <c r="P573" s="4" t="str">
        <f aca="false">IF($A573="","",IF(O573&lt;&gt;"Brasil","Turista Internacional",IF(M573=F573,"Local","Turista Nacional")))</f>
        <v>Local</v>
      </c>
      <c r="Q573" s="7" t="n">
        <f aca="false">IF($A573="","",DATE(YEAR(B573),MONTH(B573),1))</f>
        <v>46023</v>
      </c>
      <c r="R573" s="4" t="str">
        <f aca="false">IF($A573="","",IF(COUNTIF($A$2:$A573,$A573)&gt;1,"Sim","Não"))</f>
        <v>Não</v>
      </c>
      <c r="S573" s="4" t="str">
        <f aca="false">IF(A573="","Descartar - Linha vazia",IF(R573="Sim","Descartar - Duplicado",IF(OR(H573&lt;=0,I573&lt;=0),"Descartar - Qtd/Valor inválido","OK")))</f>
        <v>OK</v>
      </c>
      <c r="T573" s="4" t="str">
        <f aca="false">Base_Bruta!P573</f>
        <v>vendas_SP.xlsx</v>
      </c>
    </row>
    <row r="574" customFormat="false" ht="15" hidden="false" customHeight="false" outlineLevel="0" collapsed="false">
      <c r="A574" s="4" t="str">
        <f aca="false">IF(Base_Bruta!A574="","",Base_Bruta!A574)</f>
        <v>SP-000366</v>
      </c>
      <c r="B574" s="5" t="n">
        <f aca="false">IF($A574="","",IF(ISNUMBER(Base_Bruta!B574),Base_Bruta!B574,IF(MID(Base_Bruta!B574,5,1)="-",DATE(VALUE(LEFT(Base_Bruta!B574,4)),VALUE(MID(Base_Bruta!B574,6,2)),VALUE(RIGHT(Base_Bruta!B574,2))),DATE(VALUE(RIGHT(Base_Bruta!B574,4)),VALUE(MID(Base_Bruta!B574,4,2)),VALUE(LEFT(Base_Bruta!B574,2))))))</f>
        <v>46026</v>
      </c>
      <c r="C574" s="5" t="n">
        <f aca="false">IF($A574="","",IF(ISNUMBER(Base_Bruta!C574),Base_Bruta!C574,IF(MID(Base_Bruta!C574,5,1)="-",DATE(VALUE(LEFT(Base_Bruta!C574,4)),VALUE(MID(Base_Bruta!C574,6,2)),VALUE(RIGHT(Base_Bruta!C574,2))),DATE(VALUE(RIGHT(Base_Bruta!C574,4)),VALUE(MID(Base_Bruta!C574,4,2)),VALUE(LEFT(Base_Bruta!C574,2))))))</f>
        <v>46130</v>
      </c>
      <c r="D574" s="4" t="str">
        <f aca="false">IF($A574="","",TRIM(Base_Bruta!D574))</f>
        <v>Festival Sonora SP 2026</v>
      </c>
      <c r="E574" s="4" t="str">
        <f aca="false">IF($A574="","",_xlfn.XLOOKUP(LOWER(TRIM(Base_Bruta!E574)),DePara_Categoria!$A$2:$A$9,DePara_Categoria!$B$2:$B$9,"REVISAR"))</f>
        <v>Festival</v>
      </c>
      <c r="F574" s="4" t="str">
        <f aca="false">IF($A574="","",_xlfn.XLOOKUP(LOWER(TRIM(Base_Bruta!F574)),DePara_Cidade!$A$2:$A$29,DePara_Cidade!$B$2:$B$29,"REVISAR"))</f>
        <v>São Paulo</v>
      </c>
      <c r="G574" s="4" t="str">
        <f aca="false">IF($A574="","",TRIM(Base_Bruta!G574))</f>
        <v>Meia</v>
      </c>
      <c r="H574" s="4" t="n">
        <f aca="false">IF($A574="","",IF(ISNUMBER(Base_Bruta!H574),Base_Bruta!H574,IFERROR(_xlfn.NUMBERVALUE(TRIM(SUBSTITUTE(Base_Bruta!H574,"R$","")),",","."),0)))</f>
        <v>2</v>
      </c>
      <c r="I574" s="6" t="n">
        <f aca="false">IF($A574="","",IF(ISNUMBER(Base_Bruta!I574),Base_Bruta!I574,IFERROR(_xlfn.NUMBERVALUE(TRIM(SUBSTITUTE(Base_Bruta!I574,"R$","")),",","."),0)))</f>
        <v>377.5</v>
      </c>
      <c r="J574" s="6" t="n">
        <f aca="false">IF($A574="","",H574*I574)</f>
        <v>755</v>
      </c>
      <c r="K574" s="4" t="str">
        <f aca="false">IF($A574="","",TRIM(Base_Bruta!J574))</f>
        <v>Site</v>
      </c>
      <c r="L574" s="4" t="str">
        <f aca="false">IF($A574="","",TRIM(Base_Bruta!K574))</f>
        <v>C00015</v>
      </c>
      <c r="M574" s="4" t="str">
        <f aca="false">IF($A574="","",_xlfn.XLOOKUP(LOWER(TRIM(Base_Bruta!L574)),DePara_Cidade!$A$2:$A$29,DePara_Cidade!$B$2:$B$29,"REVISAR"))</f>
        <v>São Paulo</v>
      </c>
      <c r="N574" s="4" t="str">
        <f aca="false">IF($A574="","",UPPER(TRIM(Base_Bruta!M574)))</f>
        <v>SP</v>
      </c>
      <c r="O574" s="4" t="str">
        <f aca="false">IF($A574="","",_xlfn.XLOOKUP(LOWER(TRIM(Base_Bruta!N574)),DePara_Pais!$A$2:$A$9,DePara_Pais!$B$2:$B$9,"REVISAR"))</f>
        <v>Brasil</v>
      </c>
      <c r="P574" s="4" t="str">
        <f aca="false">IF($A574="","",IF(O574&lt;&gt;"Brasil","Turista Internacional",IF(M574=F574,"Local","Turista Nacional")))</f>
        <v>Local</v>
      </c>
      <c r="Q574" s="7" t="n">
        <f aca="false">IF($A574="","",DATE(YEAR(B574),MONTH(B574),1))</f>
        <v>46023</v>
      </c>
      <c r="R574" s="4" t="str">
        <f aca="false">IF($A574="","",IF(COUNTIF($A$2:$A574,$A574)&gt;1,"Sim","Não"))</f>
        <v>Não</v>
      </c>
      <c r="S574" s="4" t="str">
        <f aca="false">IF(A574="","Descartar - Linha vazia",IF(R574="Sim","Descartar - Duplicado",IF(OR(H574&lt;=0,I574&lt;=0),"Descartar - Qtd/Valor inválido","OK")))</f>
        <v>OK</v>
      </c>
      <c r="T574" s="4" t="str">
        <f aca="false">Base_Bruta!P574</f>
        <v>vendas_SP.xlsx</v>
      </c>
    </row>
    <row r="575" customFormat="false" ht="15" hidden="false" customHeight="false" outlineLevel="0" collapsed="false">
      <c r="A575" s="4" t="str">
        <f aca="false">IF(Base_Bruta!A575="","",Base_Bruta!A575)</f>
        <v>SP-000408</v>
      </c>
      <c r="B575" s="5" t="n">
        <f aca="false">IF($A575="","",IF(ISNUMBER(Base_Bruta!B575),Base_Bruta!B575,IF(MID(Base_Bruta!B575,5,1)="-",DATE(VALUE(LEFT(Base_Bruta!B575,4)),VALUE(MID(Base_Bruta!B575,6,2)),VALUE(RIGHT(Base_Bruta!B575,2))),DATE(VALUE(RIGHT(Base_Bruta!B575,4)),VALUE(MID(Base_Bruta!B575,4,2)),VALUE(LEFT(Base_Bruta!B575,2))))))</f>
        <v>46026</v>
      </c>
      <c r="C575" s="5" t="n">
        <f aca="false">IF($A575="","",IF(ISNUMBER(Base_Bruta!C575),Base_Bruta!C575,IF(MID(Base_Bruta!C575,5,1)="-",DATE(VALUE(LEFT(Base_Bruta!C575,4)),VALUE(MID(Base_Bruta!C575,6,2)),VALUE(RIGHT(Base_Bruta!C575,2))),DATE(VALUE(RIGHT(Base_Bruta!C575,4)),VALUE(MID(Base_Bruta!C575,4,2)),VALUE(LEFT(Base_Bruta!C575,2))))))</f>
        <v>46130</v>
      </c>
      <c r="D575" s="4" t="str">
        <f aca="false">IF($A575="","",TRIM(Base_Bruta!D575))</f>
        <v>Festival Sonora SP 2026</v>
      </c>
      <c r="E575" s="4" t="str">
        <f aca="false">IF($A575="","",_xlfn.XLOOKUP(LOWER(TRIM(Base_Bruta!E575)),DePara_Categoria!$A$2:$A$9,DePara_Categoria!$B$2:$B$9,"REVISAR"))</f>
        <v>Festival</v>
      </c>
      <c r="F575" s="4" t="str">
        <f aca="false">IF($A575="","",_xlfn.XLOOKUP(LOWER(TRIM(Base_Bruta!F575)),DePara_Cidade!$A$2:$A$29,DePara_Cidade!$B$2:$B$29,"REVISAR"))</f>
        <v>São Paulo</v>
      </c>
      <c r="G575" s="4" t="str">
        <f aca="false">IF($A575="","",TRIM(Base_Bruta!G575))</f>
        <v>VIP</v>
      </c>
      <c r="H575" s="4" t="n">
        <f aca="false">IF($A575="","",IF(ISNUMBER(Base_Bruta!H575),Base_Bruta!H575,IFERROR(_xlfn.NUMBERVALUE(TRIM(SUBSTITUTE(Base_Bruta!H575,"R$","")),",","."),0)))</f>
        <v>2</v>
      </c>
      <c r="I575" s="6" t="n">
        <f aca="false">IF($A575="","",IF(ISNUMBER(Base_Bruta!I575),Base_Bruta!I575,IFERROR(_xlfn.NUMBERVALUE(TRIM(SUBSTITUTE(Base_Bruta!I575,"R$","")),",","."),0)))</f>
        <v>1760</v>
      </c>
      <c r="J575" s="6" t="n">
        <f aca="false">IF($A575="","",H575*I575)</f>
        <v>3520</v>
      </c>
      <c r="K575" s="4" t="str">
        <f aca="false">IF($A575="","",TRIM(Base_Bruta!J575))</f>
        <v>App</v>
      </c>
      <c r="L575" s="4" t="str">
        <f aca="false">IF($A575="","",TRIM(Base_Bruta!K575))</f>
        <v>C02321</v>
      </c>
      <c r="M575" s="4" t="str">
        <f aca="false">IF($A575="","",_xlfn.XLOOKUP(LOWER(TRIM(Base_Bruta!L575)),DePara_Cidade!$A$2:$A$29,DePara_Cidade!$B$2:$B$29,"REVISAR"))</f>
        <v>Campinas</v>
      </c>
      <c r="N575" s="4" t="str">
        <f aca="false">IF($A575="","",UPPER(TRIM(Base_Bruta!M575)))</f>
        <v>SP</v>
      </c>
      <c r="O575" s="4" t="str">
        <f aca="false">IF($A575="","",_xlfn.XLOOKUP(LOWER(TRIM(Base_Bruta!N575)),DePara_Pais!$A$2:$A$9,DePara_Pais!$B$2:$B$9,"REVISAR"))</f>
        <v>Brasil</v>
      </c>
      <c r="P575" s="4" t="str">
        <f aca="false">IF($A575="","",IF(O575&lt;&gt;"Brasil","Turista Internacional",IF(M575=F575,"Local","Turista Nacional")))</f>
        <v>Turista Nacional</v>
      </c>
      <c r="Q575" s="7" t="n">
        <f aca="false">IF($A575="","",DATE(YEAR(B575),MONTH(B575),1))</f>
        <v>46023</v>
      </c>
      <c r="R575" s="4" t="str">
        <f aca="false">IF($A575="","",IF(COUNTIF($A$2:$A575,$A575)&gt;1,"Sim","Não"))</f>
        <v>Não</v>
      </c>
      <c r="S575" s="4" t="str">
        <f aca="false">IF(A575="","Descartar - Linha vazia",IF(R575="Sim","Descartar - Duplicado",IF(OR(H575&lt;=0,I575&lt;=0),"Descartar - Qtd/Valor inválido","OK")))</f>
        <v>OK</v>
      </c>
      <c r="T575" s="4" t="str">
        <f aca="false">Base_Bruta!P575</f>
        <v>vendas_SP.xlsx</v>
      </c>
    </row>
    <row r="576" customFormat="false" ht="15" hidden="false" customHeight="false" outlineLevel="0" collapsed="false">
      <c r="A576" s="4" t="str">
        <f aca="false">IF(Base_Bruta!A576="","",Base_Bruta!A576)</f>
        <v>SP-000410</v>
      </c>
      <c r="B576" s="5" t="n">
        <f aca="false">IF($A576="","",IF(ISNUMBER(Base_Bruta!B576),Base_Bruta!B576,IF(MID(Base_Bruta!B576,5,1)="-",DATE(VALUE(LEFT(Base_Bruta!B576,4)),VALUE(MID(Base_Bruta!B576,6,2)),VALUE(RIGHT(Base_Bruta!B576,2))),DATE(VALUE(RIGHT(Base_Bruta!B576,4)),VALUE(MID(Base_Bruta!B576,4,2)),VALUE(LEFT(Base_Bruta!B576,2))))))</f>
        <v>46026</v>
      </c>
      <c r="C576" s="5" t="n">
        <f aca="false">IF($A576="","",IF(ISNUMBER(Base_Bruta!C576),Base_Bruta!C576,IF(MID(Base_Bruta!C576,5,1)="-",DATE(VALUE(LEFT(Base_Bruta!C576,4)),VALUE(MID(Base_Bruta!C576,6,2)),VALUE(RIGHT(Base_Bruta!C576,2))),DATE(VALUE(RIGHT(Base_Bruta!C576,4)),VALUE(MID(Base_Bruta!C576,4,2)),VALUE(LEFT(Base_Bruta!C576,2))))))</f>
        <v>46130</v>
      </c>
      <c r="D576" s="4" t="str">
        <f aca="false">IF($A576="","",TRIM(Base_Bruta!D576))</f>
        <v>Festival Sonora SP 2026</v>
      </c>
      <c r="E576" s="4" t="str">
        <f aca="false">IF($A576="","",_xlfn.XLOOKUP(LOWER(TRIM(Base_Bruta!E576)),DePara_Categoria!$A$2:$A$9,DePara_Categoria!$B$2:$B$9,"REVISAR"))</f>
        <v>Festival</v>
      </c>
      <c r="F576" s="4" t="str">
        <f aca="false">IF($A576="","",_xlfn.XLOOKUP(LOWER(TRIM(Base_Bruta!F576)),DePara_Cidade!$A$2:$A$29,DePara_Cidade!$B$2:$B$29,"REVISAR"))</f>
        <v>São Paulo</v>
      </c>
      <c r="G576" s="4" t="str">
        <f aca="false">IF($A576="","",TRIM(Base_Bruta!G576))</f>
        <v>Inteira</v>
      </c>
      <c r="H576" s="4" t="n">
        <f aca="false">IF($A576="","",IF(ISNUMBER(Base_Bruta!H576),Base_Bruta!H576,IFERROR(_xlfn.NUMBERVALUE(TRIM(SUBSTITUTE(Base_Bruta!H576,"R$","")),",","."),0)))</f>
        <v>2</v>
      </c>
      <c r="I576" s="6" t="n">
        <f aca="false">IF($A576="","",IF(ISNUMBER(Base_Bruta!I576),Base_Bruta!I576,IFERROR(_xlfn.NUMBERVALUE(TRIM(SUBSTITUTE(Base_Bruta!I576,"R$","")),",","."),0)))</f>
        <v>840</v>
      </c>
      <c r="J576" s="6" t="n">
        <f aca="false">IF($A576="","",H576*I576)</f>
        <v>1680</v>
      </c>
      <c r="K576" s="4" t="str">
        <f aca="false">IF($A576="","",TRIM(Base_Bruta!J576))</f>
        <v>App</v>
      </c>
      <c r="L576" s="4" t="str">
        <f aca="false">IF($A576="","",TRIM(Base_Bruta!K576))</f>
        <v>C02264</v>
      </c>
      <c r="M576" s="4" t="str">
        <f aca="false">IF($A576="","",_xlfn.XLOOKUP(LOWER(TRIM(Base_Bruta!L576)),DePara_Cidade!$A$2:$A$29,DePara_Cidade!$B$2:$B$29,"REVISAR"))</f>
        <v>São Paulo</v>
      </c>
      <c r="N576" s="4" t="str">
        <f aca="false">IF($A576="","",UPPER(TRIM(Base_Bruta!M576)))</f>
        <v>SP</v>
      </c>
      <c r="O576" s="4" t="str">
        <f aca="false">IF($A576="","",_xlfn.XLOOKUP(LOWER(TRIM(Base_Bruta!N576)),DePara_Pais!$A$2:$A$9,DePara_Pais!$B$2:$B$9,"REVISAR"))</f>
        <v>Brasil</v>
      </c>
      <c r="P576" s="4" t="str">
        <f aca="false">IF($A576="","",IF(O576&lt;&gt;"Brasil","Turista Internacional",IF(M576=F576,"Local","Turista Nacional")))</f>
        <v>Local</v>
      </c>
      <c r="Q576" s="7" t="n">
        <f aca="false">IF($A576="","",DATE(YEAR(B576),MONTH(B576),1))</f>
        <v>46023</v>
      </c>
      <c r="R576" s="4" t="str">
        <f aca="false">IF($A576="","",IF(COUNTIF($A$2:$A576,$A576)&gt;1,"Sim","Não"))</f>
        <v>Não</v>
      </c>
      <c r="S576" s="4" t="str">
        <f aca="false">IF(A576="","Descartar - Linha vazia",IF(R576="Sim","Descartar - Duplicado",IF(OR(H576&lt;=0,I576&lt;=0),"Descartar - Qtd/Valor inválido","OK")))</f>
        <v>OK</v>
      </c>
      <c r="T576" s="4" t="str">
        <f aca="false">Base_Bruta!P576</f>
        <v>vendas_SP.xlsx</v>
      </c>
    </row>
    <row r="577" customFormat="false" ht="15" hidden="false" customHeight="false" outlineLevel="0" collapsed="false">
      <c r="A577" s="4" t="str">
        <f aca="false">IF(Base_Bruta!A577="","",Base_Bruta!A577)</f>
        <v>SP-000438</v>
      </c>
      <c r="B577" s="5" t="n">
        <f aca="false">IF($A577="","",IF(ISNUMBER(Base_Bruta!B577),Base_Bruta!B577,IF(MID(Base_Bruta!B577,5,1)="-",DATE(VALUE(LEFT(Base_Bruta!B577,4)),VALUE(MID(Base_Bruta!B577,6,2)),VALUE(RIGHT(Base_Bruta!B577,2))),DATE(VALUE(RIGHT(Base_Bruta!B577,4)),VALUE(MID(Base_Bruta!B577,4,2)),VALUE(LEFT(Base_Bruta!B577,2))))))</f>
        <v>46026</v>
      </c>
      <c r="C577" s="5" t="n">
        <f aca="false">IF($A577="","",IF(ISNUMBER(Base_Bruta!C577),Base_Bruta!C577,IF(MID(Base_Bruta!C577,5,1)="-",DATE(VALUE(LEFT(Base_Bruta!C577,4)),VALUE(MID(Base_Bruta!C577,6,2)),VALUE(RIGHT(Base_Bruta!C577,2))),DATE(VALUE(RIGHT(Base_Bruta!C577,4)),VALUE(MID(Base_Bruta!C577,4,2)),VALUE(LEFT(Base_Bruta!C577,2))))))</f>
        <v>46130</v>
      </c>
      <c r="D577" s="4" t="str">
        <f aca="false">IF($A577="","",TRIM(Base_Bruta!D577))</f>
        <v>Festival Sonora SP 2026</v>
      </c>
      <c r="E577" s="4" t="str">
        <f aca="false">IF($A577="","",_xlfn.XLOOKUP(LOWER(TRIM(Base_Bruta!E577)),DePara_Categoria!$A$2:$A$9,DePara_Categoria!$B$2:$B$9,"REVISAR"))</f>
        <v>Festival</v>
      </c>
      <c r="F577" s="4" t="str">
        <f aca="false">IF($A577="","",_xlfn.XLOOKUP(LOWER(TRIM(Base_Bruta!F577)),DePara_Cidade!$A$2:$A$29,DePara_Cidade!$B$2:$B$29,"REVISAR"))</f>
        <v>São Paulo</v>
      </c>
      <c r="G577" s="4" t="str">
        <f aca="false">IF($A577="","",TRIM(Base_Bruta!G577))</f>
        <v>Inteira</v>
      </c>
      <c r="H577" s="4" t="n">
        <f aca="false">IF($A577="","",IF(ISNUMBER(Base_Bruta!H577),Base_Bruta!H577,IFERROR(_xlfn.NUMBERVALUE(TRIM(SUBSTITUTE(Base_Bruta!H577,"R$","")),",","."),0)))</f>
        <v>3</v>
      </c>
      <c r="I577" s="6" t="n">
        <f aca="false">IF($A577="","",IF(ISNUMBER(Base_Bruta!I577),Base_Bruta!I577,IFERROR(_xlfn.NUMBERVALUE(TRIM(SUBSTITUTE(Base_Bruta!I577,"R$","")),",","."),0)))</f>
        <v>685</v>
      </c>
      <c r="J577" s="6" t="n">
        <f aca="false">IF($A577="","",H577*I577)</f>
        <v>2055</v>
      </c>
      <c r="K577" s="4" t="str">
        <f aca="false">IF($A577="","",TRIM(Base_Bruta!J577))</f>
        <v>App</v>
      </c>
      <c r="L577" s="4" t="str">
        <f aca="false">IF($A577="","",TRIM(Base_Bruta!K577))</f>
        <v>C01790</v>
      </c>
      <c r="M577" s="4" t="str">
        <f aca="false">IF($A577="","",_xlfn.XLOOKUP(LOWER(TRIM(Base_Bruta!L577)),DePara_Cidade!$A$2:$A$29,DePara_Cidade!$B$2:$B$29,"REVISAR"))</f>
        <v>Curitiba</v>
      </c>
      <c r="N577" s="4" t="str">
        <f aca="false">IF($A577="","",UPPER(TRIM(Base_Bruta!M577)))</f>
        <v>PR</v>
      </c>
      <c r="O577" s="4" t="str">
        <f aca="false">IF($A577="","",_xlfn.XLOOKUP(LOWER(TRIM(Base_Bruta!N577)),DePara_Pais!$A$2:$A$9,DePara_Pais!$B$2:$B$9,"REVISAR"))</f>
        <v>Brasil</v>
      </c>
      <c r="P577" s="4" t="str">
        <f aca="false">IF($A577="","",IF(O577&lt;&gt;"Brasil","Turista Internacional",IF(M577=F577,"Local","Turista Nacional")))</f>
        <v>Turista Nacional</v>
      </c>
      <c r="Q577" s="7" t="n">
        <f aca="false">IF($A577="","",DATE(YEAR(B577),MONTH(B577),1))</f>
        <v>46023</v>
      </c>
      <c r="R577" s="4" t="str">
        <f aca="false">IF($A577="","",IF(COUNTIF($A$2:$A577,$A577)&gt;1,"Sim","Não"))</f>
        <v>Não</v>
      </c>
      <c r="S577" s="4" t="str">
        <f aca="false">IF(A577="","Descartar - Linha vazia",IF(R577="Sim","Descartar - Duplicado",IF(OR(H577&lt;=0,I577&lt;=0),"Descartar - Qtd/Valor inválido","OK")))</f>
        <v>OK</v>
      </c>
      <c r="T577" s="4" t="str">
        <f aca="false">Base_Bruta!P577</f>
        <v>vendas_SP.xlsx</v>
      </c>
    </row>
    <row r="578" customFormat="false" ht="15" hidden="false" customHeight="false" outlineLevel="0" collapsed="false">
      <c r="A578" s="4" t="str">
        <f aca="false">IF(Base_Bruta!A578="","",Base_Bruta!A578)</f>
        <v>SP-000780</v>
      </c>
      <c r="B578" s="5" t="n">
        <f aca="false">IF($A578="","",IF(ISNUMBER(Base_Bruta!B578),Base_Bruta!B578,IF(MID(Base_Bruta!B578,5,1)="-",DATE(VALUE(LEFT(Base_Bruta!B578,4)),VALUE(MID(Base_Bruta!B578,6,2)),VALUE(RIGHT(Base_Bruta!B578,2))),DATE(VALUE(RIGHT(Base_Bruta!B578,4)),VALUE(MID(Base_Bruta!B578,4,2)),VALUE(LEFT(Base_Bruta!B578,2))))))</f>
        <v>46026</v>
      </c>
      <c r="C578" s="5" t="n">
        <f aca="false">IF($A578="","",IF(ISNUMBER(Base_Bruta!C578),Base_Bruta!C578,IF(MID(Base_Bruta!C578,5,1)="-",DATE(VALUE(LEFT(Base_Bruta!C578,4)),VALUE(MID(Base_Bruta!C578,6,2)),VALUE(RIGHT(Base_Bruta!C578,2))),DATE(VALUE(RIGHT(Base_Bruta!C578,4)),VALUE(MID(Base_Bruta!C578,4,2)),VALUE(LEFT(Base_Bruta!C578,2))))))</f>
        <v>46026</v>
      </c>
      <c r="D578" s="4" t="str">
        <f aca="false">IF($A578="","",TRIM(Base_Bruta!D578))</f>
        <v>Cinema Paulista - Sessões</v>
      </c>
      <c r="E578" s="4" t="str">
        <f aca="false">IF($A578="","",_xlfn.XLOOKUP(LOWER(TRIM(Base_Bruta!E578)),DePara_Categoria!$A$2:$A$9,DePara_Categoria!$B$2:$B$9,"REVISAR"))</f>
        <v>Cinema</v>
      </c>
      <c r="F578" s="4" t="str">
        <f aca="false">IF($A578="","",_xlfn.XLOOKUP(LOWER(TRIM(Base_Bruta!F578)),DePara_Cidade!$A$2:$A$29,DePara_Cidade!$B$2:$B$29,"REVISAR"))</f>
        <v>São Paulo</v>
      </c>
      <c r="G578" s="4" t="str">
        <f aca="false">IF($A578="","",TRIM(Base_Bruta!G578))</f>
        <v>Inteira</v>
      </c>
      <c r="H578" s="4" t="n">
        <f aca="false">IF($A578="","",IF(ISNUMBER(Base_Bruta!H578),Base_Bruta!H578,IFERROR(_xlfn.NUMBERVALUE(TRIM(SUBSTITUTE(Base_Bruta!H578,"R$","")),",","."),0)))</f>
        <v>3</v>
      </c>
      <c r="I578" s="6" t="n">
        <f aca="false">IF($A578="","",IF(ISNUMBER(Base_Bruta!I578),Base_Bruta!I578,IFERROR(_xlfn.NUMBERVALUE(TRIM(SUBSTITUTE(Base_Bruta!I578,"R$","")),",","."),0)))</f>
        <v>45</v>
      </c>
      <c r="J578" s="6" t="n">
        <f aca="false">IF($A578="","",H578*I578)</f>
        <v>135</v>
      </c>
      <c r="K578" s="4" t="str">
        <f aca="false">IF($A578="","",TRIM(Base_Bruta!J578))</f>
        <v>Parceiro</v>
      </c>
      <c r="L578" s="4" t="str">
        <f aca="false">IF($A578="","",TRIM(Base_Bruta!K578))</f>
        <v>C00116</v>
      </c>
      <c r="M578" s="4" t="str">
        <f aca="false">IF($A578="","",_xlfn.XLOOKUP(LOWER(TRIM(Base_Bruta!L578)),DePara_Cidade!$A$2:$A$29,DePara_Cidade!$B$2:$B$29,"REVISAR"))</f>
        <v>Campinas</v>
      </c>
      <c r="N578" s="4" t="str">
        <f aca="false">IF($A578="","",UPPER(TRIM(Base_Bruta!M578)))</f>
        <v>SP</v>
      </c>
      <c r="O578" s="4" t="str">
        <f aca="false">IF($A578="","",_xlfn.XLOOKUP(LOWER(TRIM(Base_Bruta!N578)),DePara_Pais!$A$2:$A$9,DePara_Pais!$B$2:$B$9,"REVISAR"))</f>
        <v>Brasil</v>
      </c>
      <c r="P578" s="4" t="str">
        <f aca="false">IF($A578="","",IF(O578&lt;&gt;"Brasil","Turista Internacional",IF(M578=F578,"Local","Turista Nacional")))</f>
        <v>Turista Nacional</v>
      </c>
      <c r="Q578" s="7" t="n">
        <f aca="false">IF($A578="","",DATE(YEAR(B578),MONTH(B578),1))</f>
        <v>46023</v>
      </c>
      <c r="R578" s="4" t="str">
        <f aca="false">IF($A578="","",IF(COUNTIF($A$2:$A578,$A578)&gt;1,"Sim","Não"))</f>
        <v>Não</v>
      </c>
      <c r="S578" s="4" t="str">
        <f aca="false">IF(A578="","Descartar - Linha vazia",IF(R578="Sim","Descartar - Duplicado",IF(OR(H578&lt;=0,I578&lt;=0),"Descartar - Qtd/Valor inválido","OK")))</f>
        <v>OK</v>
      </c>
      <c r="T578" s="4" t="str">
        <f aca="false">Base_Bruta!P578</f>
        <v>vendas_SP.xlsx</v>
      </c>
    </row>
    <row r="579" customFormat="false" ht="15" hidden="false" customHeight="false" outlineLevel="0" collapsed="false">
      <c r="A579" s="4" t="str">
        <f aca="false">IF(Base_Bruta!A579="","",Base_Bruta!A579)</f>
        <v>SP-000340</v>
      </c>
      <c r="B579" s="5" t="n">
        <f aca="false">IF($A579="","",IF(ISNUMBER(Base_Bruta!B579),Base_Bruta!B579,IF(MID(Base_Bruta!B579,5,1)="-",DATE(VALUE(LEFT(Base_Bruta!B579,4)),VALUE(MID(Base_Bruta!B579,6,2)),VALUE(RIGHT(Base_Bruta!B579,2))),DATE(VALUE(RIGHT(Base_Bruta!B579,4)),VALUE(MID(Base_Bruta!B579,4,2)),VALUE(LEFT(Base_Bruta!B579,2))))))</f>
        <v>46027</v>
      </c>
      <c r="C579" s="5" t="n">
        <f aca="false">IF($A579="","",IF(ISNUMBER(Base_Bruta!C579),Base_Bruta!C579,IF(MID(Base_Bruta!C579,5,1)="-",DATE(VALUE(LEFT(Base_Bruta!C579,4)),VALUE(MID(Base_Bruta!C579,6,2)),VALUE(RIGHT(Base_Bruta!C579,2))),DATE(VALUE(RIGHT(Base_Bruta!C579,4)),VALUE(MID(Base_Bruta!C579,4,2)),VALUE(LEFT(Base_Bruta!C579,2))))))</f>
        <v>46130</v>
      </c>
      <c r="D579" s="4" t="str">
        <f aca="false">IF($A579="","",TRIM(Base_Bruta!D579))</f>
        <v>Festival Sonora SP 2026</v>
      </c>
      <c r="E579" s="4" t="str">
        <f aca="false">IF($A579="","",_xlfn.XLOOKUP(LOWER(TRIM(Base_Bruta!E579)),DePara_Categoria!$A$2:$A$9,DePara_Categoria!$B$2:$B$9,"REVISAR"))</f>
        <v>Festival</v>
      </c>
      <c r="F579" s="4" t="str">
        <f aca="false">IF($A579="","",_xlfn.XLOOKUP(LOWER(TRIM(Base_Bruta!F579)),DePara_Cidade!$A$2:$A$29,DePara_Cidade!$B$2:$B$29,"REVISAR"))</f>
        <v>São Paulo</v>
      </c>
      <c r="G579" s="4" t="str">
        <f aca="false">IF($A579="","",TRIM(Base_Bruta!G579))</f>
        <v>Inteira</v>
      </c>
      <c r="H579" s="4" t="n">
        <f aca="false">IF($A579="","",IF(ISNUMBER(Base_Bruta!H579),Base_Bruta!H579,IFERROR(_xlfn.NUMBERVALUE(TRIM(SUBSTITUTE(Base_Bruta!H579,"R$","")),",","."),0)))</f>
        <v>1</v>
      </c>
      <c r="I579" s="6" t="n">
        <f aca="false">IF($A579="","",IF(ISNUMBER(Base_Bruta!I579),Base_Bruta!I579,IFERROR(_xlfn.NUMBERVALUE(TRIM(SUBSTITUTE(Base_Bruta!I579,"R$","")),",","."),0)))</f>
        <v>775</v>
      </c>
      <c r="J579" s="6" t="n">
        <f aca="false">IF($A579="","",H579*I579)</f>
        <v>775</v>
      </c>
      <c r="K579" s="4" t="str">
        <f aca="false">IF($A579="","",TRIM(Base_Bruta!J579))</f>
        <v>Parceiro</v>
      </c>
      <c r="L579" s="4" t="str">
        <f aca="false">IF($A579="","",TRIM(Base_Bruta!K579))</f>
        <v>C00738</v>
      </c>
      <c r="M579" s="4" t="str">
        <f aca="false">IF($A579="","",_xlfn.XLOOKUP(LOWER(TRIM(Base_Bruta!L579)),DePara_Cidade!$A$2:$A$29,DePara_Cidade!$B$2:$B$29,"REVISAR"))</f>
        <v>São Paulo</v>
      </c>
      <c r="N579" s="4" t="str">
        <f aca="false">IF($A579="","",UPPER(TRIM(Base_Bruta!M579)))</f>
        <v>SP</v>
      </c>
      <c r="O579" s="4" t="str">
        <f aca="false">IF($A579="","",_xlfn.XLOOKUP(LOWER(TRIM(Base_Bruta!N579)),DePara_Pais!$A$2:$A$9,DePara_Pais!$B$2:$B$9,"REVISAR"))</f>
        <v>Brasil</v>
      </c>
      <c r="P579" s="4" t="str">
        <f aca="false">IF($A579="","",IF(O579&lt;&gt;"Brasil","Turista Internacional",IF(M579=F579,"Local","Turista Nacional")))</f>
        <v>Local</v>
      </c>
      <c r="Q579" s="7" t="n">
        <f aca="false">IF($A579="","",DATE(YEAR(B579),MONTH(B579),1))</f>
        <v>46023</v>
      </c>
      <c r="R579" s="4" t="str">
        <f aca="false">IF($A579="","",IF(COUNTIF($A$2:$A579,$A579)&gt;1,"Sim","Não"))</f>
        <v>Não</v>
      </c>
      <c r="S579" s="4" t="str">
        <f aca="false">IF(A579="","Descartar - Linha vazia",IF(R579="Sim","Descartar - Duplicado",IF(OR(H579&lt;=0,I579&lt;=0),"Descartar - Qtd/Valor inválido","OK")))</f>
        <v>OK</v>
      </c>
      <c r="T579" s="4" t="str">
        <f aca="false">Base_Bruta!P579</f>
        <v>vendas_SP.xlsx</v>
      </c>
    </row>
    <row r="580" customFormat="false" ht="15" hidden="false" customHeight="false" outlineLevel="0" collapsed="false">
      <c r="A580" s="4" t="str">
        <f aca="false">IF(Base_Bruta!A580="","",Base_Bruta!A580)</f>
        <v>SP-000359</v>
      </c>
      <c r="B580" s="5" t="n">
        <f aca="false">IF($A580="","",IF(ISNUMBER(Base_Bruta!B580),Base_Bruta!B580,IF(MID(Base_Bruta!B580,5,1)="-",DATE(VALUE(LEFT(Base_Bruta!B580,4)),VALUE(MID(Base_Bruta!B580,6,2)),VALUE(RIGHT(Base_Bruta!B580,2))),DATE(VALUE(RIGHT(Base_Bruta!B580,4)),VALUE(MID(Base_Bruta!B580,4,2)),VALUE(LEFT(Base_Bruta!B580,2))))))</f>
        <v>46027</v>
      </c>
      <c r="C580" s="5" t="n">
        <f aca="false">IF($A580="","",IF(ISNUMBER(Base_Bruta!C580),Base_Bruta!C580,IF(MID(Base_Bruta!C580,5,1)="-",DATE(VALUE(LEFT(Base_Bruta!C580,4)),VALUE(MID(Base_Bruta!C580,6,2)),VALUE(RIGHT(Base_Bruta!C580,2))),DATE(VALUE(RIGHT(Base_Bruta!C580,4)),VALUE(MID(Base_Bruta!C580,4,2)),VALUE(LEFT(Base_Bruta!C580,2))))))</f>
        <v>46130</v>
      </c>
      <c r="D580" s="4" t="str">
        <f aca="false">IF($A580="","",TRIM(Base_Bruta!D580))</f>
        <v>Festival Sonora SP 2026</v>
      </c>
      <c r="E580" s="4" t="str">
        <f aca="false">IF($A580="","",_xlfn.XLOOKUP(LOWER(TRIM(Base_Bruta!E580)),DePara_Categoria!$A$2:$A$9,DePara_Categoria!$B$2:$B$9,"REVISAR"))</f>
        <v>Festival</v>
      </c>
      <c r="F580" s="4" t="str">
        <f aca="false">IF($A580="","",_xlfn.XLOOKUP(LOWER(TRIM(Base_Bruta!F580)),DePara_Cidade!$A$2:$A$29,DePara_Cidade!$B$2:$B$29,"REVISAR"))</f>
        <v>São Paulo</v>
      </c>
      <c r="G580" s="4" t="str">
        <f aca="false">IF($A580="","",TRIM(Base_Bruta!G580))</f>
        <v>Inteira</v>
      </c>
      <c r="H580" s="4" t="n">
        <f aca="false">IF($A580="","",IF(ISNUMBER(Base_Bruta!H580),Base_Bruta!H580,IFERROR(_xlfn.NUMBERVALUE(TRIM(SUBSTITUTE(Base_Bruta!H580,"R$","")),",","."),0)))</f>
        <v>1</v>
      </c>
      <c r="I580" s="6" t="n">
        <f aca="false">IF($A580="","",IF(ISNUMBER(Base_Bruta!I580),Base_Bruta!I580,IFERROR(_xlfn.NUMBERVALUE(TRIM(SUBSTITUTE(Base_Bruta!I580,"R$","")),",","."),0)))</f>
        <v>865</v>
      </c>
      <c r="J580" s="6" t="n">
        <f aca="false">IF($A580="","",H580*I580)</f>
        <v>865</v>
      </c>
      <c r="K580" s="4" t="str">
        <f aca="false">IF($A580="","",TRIM(Base_Bruta!J580))</f>
        <v>Site</v>
      </c>
      <c r="L580" s="4" t="str">
        <f aca="false">IF($A580="","",TRIM(Base_Bruta!K580))</f>
        <v>C01879</v>
      </c>
      <c r="M580" s="4" t="str">
        <f aca="false">IF($A580="","",_xlfn.XLOOKUP(LOWER(TRIM(Base_Bruta!L580)),DePara_Cidade!$A$2:$A$29,DePara_Cidade!$B$2:$B$29,"REVISAR"))</f>
        <v>São Paulo</v>
      </c>
      <c r="N580" s="4" t="str">
        <f aca="false">IF($A580="","",UPPER(TRIM(Base_Bruta!M580)))</f>
        <v>SP</v>
      </c>
      <c r="O580" s="4" t="str">
        <f aca="false">IF($A580="","",_xlfn.XLOOKUP(LOWER(TRIM(Base_Bruta!N580)),DePara_Pais!$A$2:$A$9,DePara_Pais!$B$2:$B$9,"REVISAR"))</f>
        <v>Brasil</v>
      </c>
      <c r="P580" s="4" t="str">
        <f aca="false">IF($A580="","",IF(O580&lt;&gt;"Brasil","Turista Internacional",IF(M580=F580,"Local","Turista Nacional")))</f>
        <v>Local</v>
      </c>
      <c r="Q580" s="7" t="n">
        <f aca="false">IF($A580="","",DATE(YEAR(B580),MONTH(B580),1))</f>
        <v>46023</v>
      </c>
      <c r="R580" s="4" t="str">
        <f aca="false">IF($A580="","",IF(COUNTIF($A$2:$A580,$A580)&gt;1,"Sim","Não"))</f>
        <v>Não</v>
      </c>
      <c r="S580" s="4" t="str">
        <f aca="false">IF(A580="","Descartar - Linha vazia",IF(R580="Sim","Descartar - Duplicado",IF(OR(H580&lt;=0,I580&lt;=0),"Descartar - Qtd/Valor inválido","OK")))</f>
        <v>OK</v>
      </c>
      <c r="T580" s="4" t="str">
        <f aca="false">Base_Bruta!P580</f>
        <v>vendas_SP.xlsx</v>
      </c>
    </row>
    <row r="581" customFormat="false" ht="15" hidden="false" customHeight="false" outlineLevel="0" collapsed="false">
      <c r="A581" s="4" t="str">
        <f aca="false">IF(Base_Bruta!A581="","",Base_Bruta!A581)</f>
        <v>SP-000248</v>
      </c>
      <c r="B581" s="5" t="n">
        <f aca="false">IF($A581="","",IF(ISNUMBER(Base_Bruta!B581),Base_Bruta!B581,IF(MID(Base_Bruta!B581,5,1)="-",DATE(VALUE(LEFT(Base_Bruta!B581,4)),VALUE(MID(Base_Bruta!B581,6,2)),VALUE(RIGHT(Base_Bruta!B581,2))),DATE(VALUE(RIGHT(Base_Bruta!B581,4)),VALUE(MID(Base_Bruta!B581,4,2)),VALUE(LEFT(Base_Bruta!B581,2))))))</f>
        <v>46028</v>
      </c>
      <c r="C581" s="5" t="n">
        <f aca="false">IF($A581="","",IF(ISNUMBER(Base_Bruta!C581),Base_Bruta!C581,IF(MID(Base_Bruta!C581,5,1)="-",DATE(VALUE(LEFT(Base_Bruta!C581,4)),VALUE(MID(Base_Bruta!C581,6,2)),VALUE(RIGHT(Base_Bruta!C581,2))),DATE(VALUE(RIGHT(Base_Bruta!C581,4)),VALUE(MID(Base_Bruta!C581,4,2)),VALUE(LEFT(Base_Bruta!C581,2))))))</f>
        <v>46130</v>
      </c>
      <c r="D581" s="4" t="str">
        <f aca="false">IF($A581="","",TRIM(Base_Bruta!D581))</f>
        <v>Festival Sonora SP 2026</v>
      </c>
      <c r="E581" s="4" t="str">
        <f aca="false">IF($A581="","",_xlfn.XLOOKUP(LOWER(TRIM(Base_Bruta!E581)),DePara_Categoria!$A$2:$A$9,DePara_Categoria!$B$2:$B$9,"REVISAR"))</f>
        <v>Festival</v>
      </c>
      <c r="F581" s="4" t="str">
        <f aca="false">IF($A581="","",_xlfn.XLOOKUP(LOWER(TRIM(Base_Bruta!F581)),DePara_Cidade!$A$2:$A$29,DePara_Cidade!$B$2:$B$29,"REVISAR"))</f>
        <v>São Paulo</v>
      </c>
      <c r="G581" s="4" t="str">
        <f aca="false">IF($A581="","",TRIM(Base_Bruta!G581))</f>
        <v>Meia</v>
      </c>
      <c r="H581" s="4" t="n">
        <f aca="false">IF($A581="","",IF(ISNUMBER(Base_Bruta!H581),Base_Bruta!H581,IFERROR(_xlfn.NUMBERVALUE(TRIM(SUBSTITUTE(Base_Bruta!H581,"R$","")),",","."),0)))</f>
        <v>2</v>
      </c>
      <c r="I581" s="6" t="n">
        <f aca="false">IF($A581="","",IF(ISNUMBER(Base_Bruta!I581),Base_Bruta!I581,IFERROR(_xlfn.NUMBERVALUE(TRIM(SUBSTITUTE(Base_Bruta!I581,"R$","")),",","."),0)))</f>
        <v>565</v>
      </c>
      <c r="J581" s="6" t="n">
        <f aca="false">IF($A581="","",H581*I581)</f>
        <v>1130</v>
      </c>
      <c r="K581" s="4" t="str">
        <f aca="false">IF($A581="","",TRIM(Base_Bruta!J581))</f>
        <v>Bilheteria</v>
      </c>
      <c r="L581" s="4" t="str">
        <f aca="false">IF($A581="","",TRIM(Base_Bruta!K581))</f>
        <v>C01289</v>
      </c>
      <c r="M581" s="4" t="str">
        <f aca="false">IF($A581="","",_xlfn.XLOOKUP(LOWER(TRIM(Base_Bruta!L581)),DePara_Cidade!$A$2:$A$29,DePara_Cidade!$B$2:$B$29,"REVISAR"))</f>
        <v>Santos</v>
      </c>
      <c r="N581" s="4" t="str">
        <f aca="false">IF($A581="","",UPPER(TRIM(Base_Bruta!M581)))</f>
        <v>SP</v>
      </c>
      <c r="O581" s="4" t="str">
        <f aca="false">IF($A581="","",_xlfn.XLOOKUP(LOWER(TRIM(Base_Bruta!N581)),DePara_Pais!$A$2:$A$9,DePara_Pais!$B$2:$B$9,"REVISAR"))</f>
        <v>Brasil</v>
      </c>
      <c r="P581" s="4" t="str">
        <f aca="false">IF($A581="","",IF(O581&lt;&gt;"Brasil","Turista Internacional",IF(M581=F581,"Local","Turista Nacional")))</f>
        <v>Turista Nacional</v>
      </c>
      <c r="Q581" s="7" t="n">
        <f aca="false">IF($A581="","",DATE(YEAR(B581),MONTH(B581),1))</f>
        <v>46023</v>
      </c>
      <c r="R581" s="4" t="str">
        <f aca="false">IF($A581="","",IF(COUNTIF($A$2:$A581,$A581)&gt;1,"Sim","Não"))</f>
        <v>Não</v>
      </c>
      <c r="S581" s="4" t="str">
        <f aca="false">IF(A581="","Descartar - Linha vazia",IF(R581="Sim","Descartar - Duplicado",IF(OR(H581&lt;=0,I581&lt;=0),"Descartar - Qtd/Valor inválido","OK")))</f>
        <v>OK</v>
      </c>
      <c r="T581" s="4" t="str">
        <f aca="false">Base_Bruta!P581</f>
        <v>vendas_SP.xlsx</v>
      </c>
    </row>
    <row r="582" customFormat="false" ht="15" hidden="false" customHeight="false" outlineLevel="0" collapsed="false">
      <c r="A582" s="4" t="str">
        <f aca="false">IF(Base_Bruta!A582="","",Base_Bruta!A582)</f>
        <v>SP-000304</v>
      </c>
      <c r="B582" s="5" t="n">
        <f aca="false">IF($A582="","",IF(ISNUMBER(Base_Bruta!B582),Base_Bruta!B582,IF(MID(Base_Bruta!B582,5,1)="-",DATE(VALUE(LEFT(Base_Bruta!B582,4)),VALUE(MID(Base_Bruta!B582,6,2)),VALUE(RIGHT(Base_Bruta!B582,2))),DATE(VALUE(RIGHT(Base_Bruta!B582,4)),VALUE(MID(Base_Bruta!B582,4,2)),VALUE(LEFT(Base_Bruta!B582,2))))))</f>
        <v>46028</v>
      </c>
      <c r="C582" s="5" t="n">
        <f aca="false">IF($A582="","",IF(ISNUMBER(Base_Bruta!C582),Base_Bruta!C582,IF(MID(Base_Bruta!C582,5,1)="-",DATE(VALUE(LEFT(Base_Bruta!C582,4)),VALUE(MID(Base_Bruta!C582,6,2)),VALUE(RIGHT(Base_Bruta!C582,2))),DATE(VALUE(RIGHT(Base_Bruta!C582,4)),VALUE(MID(Base_Bruta!C582,4,2)),VALUE(LEFT(Base_Bruta!C582,2))))))</f>
        <v>46130</v>
      </c>
      <c r="D582" s="4" t="str">
        <f aca="false">IF($A582="","",TRIM(Base_Bruta!D582))</f>
        <v>Festival Sonora SP 2026</v>
      </c>
      <c r="E582" s="4" t="str">
        <f aca="false">IF($A582="","",_xlfn.XLOOKUP(LOWER(TRIM(Base_Bruta!E582)),DePara_Categoria!$A$2:$A$9,DePara_Categoria!$B$2:$B$9,"REVISAR"))</f>
        <v>Festival</v>
      </c>
      <c r="F582" s="4" t="str">
        <f aca="false">IF($A582="","",_xlfn.XLOOKUP(LOWER(TRIM(Base_Bruta!F582)),DePara_Cidade!$A$2:$A$29,DePara_Cidade!$B$2:$B$29,"REVISAR"))</f>
        <v>São Paulo</v>
      </c>
      <c r="G582" s="4" t="str">
        <f aca="false">IF($A582="","",TRIM(Base_Bruta!G582))</f>
        <v>Inteira</v>
      </c>
      <c r="H582" s="4" t="n">
        <f aca="false">IF($A582="","",IF(ISNUMBER(Base_Bruta!H582),Base_Bruta!H582,IFERROR(_xlfn.NUMBERVALUE(TRIM(SUBSTITUTE(Base_Bruta!H582,"R$","")),",","."),0)))</f>
        <v>1</v>
      </c>
      <c r="I582" s="6" t="n">
        <f aca="false">IF($A582="","",IF(ISNUMBER(Base_Bruta!I582),Base_Bruta!I582,IFERROR(_xlfn.NUMBERVALUE(TRIM(SUBSTITUTE(Base_Bruta!I582,"R$","")),",","."),0)))</f>
        <v>675</v>
      </c>
      <c r="J582" s="6" t="n">
        <f aca="false">IF($A582="","",H582*I582)</f>
        <v>675</v>
      </c>
      <c r="K582" s="4" t="str">
        <f aca="false">IF($A582="","",TRIM(Base_Bruta!J582))</f>
        <v>Site</v>
      </c>
      <c r="L582" s="4" t="str">
        <f aca="false">IF($A582="","",TRIM(Base_Bruta!K582))</f>
        <v>C00447</v>
      </c>
      <c r="M582" s="4" t="str">
        <f aca="false">IF($A582="","",_xlfn.XLOOKUP(LOWER(TRIM(Base_Bruta!L582)),DePara_Cidade!$A$2:$A$29,DePara_Cidade!$B$2:$B$29,"REVISAR"))</f>
        <v>Santos</v>
      </c>
      <c r="N582" s="4" t="str">
        <f aca="false">IF($A582="","",UPPER(TRIM(Base_Bruta!M582)))</f>
        <v>SP</v>
      </c>
      <c r="O582" s="4" t="str">
        <f aca="false">IF($A582="","",_xlfn.XLOOKUP(LOWER(TRIM(Base_Bruta!N582)),DePara_Pais!$A$2:$A$9,DePara_Pais!$B$2:$B$9,"REVISAR"))</f>
        <v>Brasil</v>
      </c>
      <c r="P582" s="4" t="str">
        <f aca="false">IF($A582="","",IF(O582&lt;&gt;"Brasil","Turista Internacional",IF(M582=F582,"Local","Turista Nacional")))</f>
        <v>Turista Nacional</v>
      </c>
      <c r="Q582" s="7" t="n">
        <f aca="false">IF($A582="","",DATE(YEAR(B582),MONTH(B582),1))</f>
        <v>46023</v>
      </c>
      <c r="R582" s="4" t="str">
        <f aca="false">IF($A582="","",IF(COUNTIF($A$2:$A582,$A582)&gt;1,"Sim","Não"))</f>
        <v>Não</v>
      </c>
      <c r="S582" s="4" t="str">
        <f aca="false">IF(A582="","Descartar - Linha vazia",IF(R582="Sim","Descartar - Duplicado",IF(OR(H582&lt;=0,I582&lt;=0),"Descartar - Qtd/Valor inválido","OK")))</f>
        <v>OK</v>
      </c>
      <c r="T582" s="4" t="str">
        <f aca="false">Base_Bruta!P582</f>
        <v>vendas_SP.xlsx</v>
      </c>
    </row>
    <row r="583" customFormat="false" ht="15" hidden="false" customHeight="false" outlineLevel="0" collapsed="false">
      <c r="A583" s="4" t="str">
        <f aca="false">IF(Base_Bruta!A583="","",Base_Bruta!A583)</f>
        <v>SP-000315</v>
      </c>
      <c r="B583" s="5" t="n">
        <f aca="false">IF($A583="","",IF(ISNUMBER(Base_Bruta!B583),Base_Bruta!B583,IF(MID(Base_Bruta!B583,5,1)="-",DATE(VALUE(LEFT(Base_Bruta!B583,4)),VALUE(MID(Base_Bruta!B583,6,2)),VALUE(RIGHT(Base_Bruta!B583,2))),DATE(VALUE(RIGHT(Base_Bruta!B583,4)),VALUE(MID(Base_Bruta!B583,4,2)),VALUE(LEFT(Base_Bruta!B583,2))))))</f>
        <v>46028</v>
      </c>
      <c r="C583" s="5" t="n">
        <f aca="false">IF($A583="","",IF(ISNUMBER(Base_Bruta!C583),Base_Bruta!C583,IF(MID(Base_Bruta!C583,5,1)="-",DATE(VALUE(LEFT(Base_Bruta!C583,4)),VALUE(MID(Base_Bruta!C583,6,2)),VALUE(RIGHT(Base_Bruta!C583,2))),DATE(VALUE(RIGHT(Base_Bruta!C583,4)),VALUE(MID(Base_Bruta!C583,4,2)),VALUE(LEFT(Base_Bruta!C583,2))))))</f>
        <v>46130</v>
      </c>
      <c r="D583" s="4" t="str">
        <f aca="false">IF($A583="","",TRIM(Base_Bruta!D583))</f>
        <v>Festival Sonora SP 2026</v>
      </c>
      <c r="E583" s="4" t="str">
        <f aca="false">IF($A583="","",_xlfn.XLOOKUP(LOWER(TRIM(Base_Bruta!E583)),DePara_Categoria!$A$2:$A$9,DePara_Categoria!$B$2:$B$9,"REVISAR"))</f>
        <v>Festival</v>
      </c>
      <c r="F583" s="4" t="str">
        <f aca="false">IF($A583="","",_xlfn.XLOOKUP(LOWER(TRIM(Base_Bruta!F583)),DePara_Cidade!$A$2:$A$29,DePara_Cidade!$B$2:$B$29,"REVISAR"))</f>
        <v>São Paulo</v>
      </c>
      <c r="G583" s="4" t="str">
        <f aca="false">IF($A583="","",TRIM(Base_Bruta!G583))</f>
        <v>Inteira</v>
      </c>
      <c r="H583" s="4" t="n">
        <f aca="false">IF($A583="","",IF(ISNUMBER(Base_Bruta!H583),Base_Bruta!H583,IFERROR(_xlfn.NUMBERVALUE(TRIM(SUBSTITUTE(Base_Bruta!H583,"R$","")),",","."),0)))</f>
        <v>3</v>
      </c>
      <c r="I583" s="6" t="n">
        <f aca="false">IF($A583="","",IF(ISNUMBER(Base_Bruta!I583),Base_Bruta!I583,IFERROR(_xlfn.NUMBERVALUE(TRIM(SUBSTITUTE(Base_Bruta!I583,"R$","")),",","."),0)))</f>
        <v>1070</v>
      </c>
      <c r="J583" s="6" t="n">
        <f aca="false">IF($A583="","",H583*I583)</f>
        <v>3210</v>
      </c>
      <c r="K583" s="4" t="str">
        <f aca="false">IF($A583="","",TRIM(Base_Bruta!J583))</f>
        <v>App</v>
      </c>
      <c r="L583" s="4" t="str">
        <f aca="false">IF($A583="","",TRIM(Base_Bruta!K583))</f>
        <v>C00103</v>
      </c>
      <c r="M583" s="4" t="str">
        <f aca="false">IF($A583="","",_xlfn.XLOOKUP(LOWER(TRIM(Base_Bruta!L583)),DePara_Cidade!$A$2:$A$29,DePara_Cidade!$B$2:$B$29,"REVISAR"))</f>
        <v>Santos</v>
      </c>
      <c r="N583" s="4" t="str">
        <f aca="false">IF($A583="","",UPPER(TRIM(Base_Bruta!M583)))</f>
        <v>SP</v>
      </c>
      <c r="O583" s="4" t="str">
        <f aca="false">IF($A583="","",_xlfn.XLOOKUP(LOWER(TRIM(Base_Bruta!N583)),DePara_Pais!$A$2:$A$9,DePara_Pais!$B$2:$B$9,"REVISAR"))</f>
        <v>Brasil</v>
      </c>
      <c r="P583" s="4" t="str">
        <f aca="false">IF($A583="","",IF(O583&lt;&gt;"Brasil","Turista Internacional",IF(M583=F583,"Local","Turista Nacional")))</f>
        <v>Turista Nacional</v>
      </c>
      <c r="Q583" s="7" t="n">
        <f aca="false">IF($A583="","",DATE(YEAR(B583),MONTH(B583),1))</f>
        <v>46023</v>
      </c>
      <c r="R583" s="4" t="str">
        <f aca="false">IF($A583="","",IF(COUNTIF($A$2:$A583,$A583)&gt;1,"Sim","Não"))</f>
        <v>Não</v>
      </c>
      <c r="S583" s="4" t="str">
        <f aca="false">IF(A583="","Descartar - Linha vazia",IF(R583="Sim","Descartar - Duplicado",IF(OR(H583&lt;=0,I583&lt;=0),"Descartar - Qtd/Valor inválido","OK")))</f>
        <v>OK</v>
      </c>
      <c r="T583" s="4" t="str">
        <f aca="false">Base_Bruta!P583</f>
        <v>vendas_SP.xlsx</v>
      </c>
    </row>
    <row r="584" customFormat="false" ht="15" hidden="false" customHeight="false" outlineLevel="0" collapsed="false">
      <c r="A584" s="4" t="str">
        <f aca="false">IF(Base_Bruta!A584="","",Base_Bruta!A584)</f>
        <v>SP-000344</v>
      </c>
      <c r="B584" s="5" t="n">
        <f aca="false">IF($A584="","",IF(ISNUMBER(Base_Bruta!B584),Base_Bruta!B584,IF(MID(Base_Bruta!B584,5,1)="-",DATE(VALUE(LEFT(Base_Bruta!B584,4)),VALUE(MID(Base_Bruta!B584,6,2)),VALUE(RIGHT(Base_Bruta!B584,2))),DATE(VALUE(RIGHT(Base_Bruta!B584,4)),VALUE(MID(Base_Bruta!B584,4,2)),VALUE(LEFT(Base_Bruta!B584,2))))))</f>
        <v>46028</v>
      </c>
      <c r="C584" s="5" t="n">
        <f aca="false">IF($A584="","",IF(ISNUMBER(Base_Bruta!C584),Base_Bruta!C584,IF(MID(Base_Bruta!C584,5,1)="-",DATE(VALUE(LEFT(Base_Bruta!C584,4)),VALUE(MID(Base_Bruta!C584,6,2)),VALUE(RIGHT(Base_Bruta!C584,2))),DATE(VALUE(RIGHT(Base_Bruta!C584,4)),VALUE(MID(Base_Bruta!C584,4,2)),VALUE(LEFT(Base_Bruta!C584,2))))))</f>
        <v>46130</v>
      </c>
      <c r="D584" s="4" t="str">
        <f aca="false">IF($A584="","",TRIM(Base_Bruta!D584))</f>
        <v>Festival Sonora SP 2026</v>
      </c>
      <c r="E584" s="4" t="str">
        <f aca="false">IF($A584="","",_xlfn.XLOOKUP(LOWER(TRIM(Base_Bruta!E584)),DePara_Categoria!$A$2:$A$9,DePara_Categoria!$B$2:$B$9,"REVISAR"))</f>
        <v>Festival</v>
      </c>
      <c r="F584" s="4" t="str">
        <f aca="false">IF($A584="","",_xlfn.XLOOKUP(LOWER(TRIM(Base_Bruta!F584)),DePara_Cidade!$A$2:$A$29,DePara_Cidade!$B$2:$B$29,"REVISAR"))</f>
        <v>São Paulo</v>
      </c>
      <c r="G584" s="4" t="str">
        <f aca="false">IF($A584="","",TRIM(Base_Bruta!G584))</f>
        <v>Meia</v>
      </c>
      <c r="H584" s="4" t="n">
        <f aca="false">IF($A584="","",IF(ISNUMBER(Base_Bruta!H584),Base_Bruta!H584,IFERROR(_xlfn.NUMBERVALUE(TRIM(SUBSTITUTE(Base_Bruta!H584,"R$","")),",","."),0)))</f>
        <v>1</v>
      </c>
      <c r="I584" s="6" t="n">
        <f aca="false">IF($A584="","",IF(ISNUMBER(Base_Bruta!I584),Base_Bruta!I584,IFERROR(_xlfn.NUMBERVALUE(TRIM(SUBSTITUTE(Base_Bruta!I584,"R$","")),",","."),0)))</f>
        <v>422.5</v>
      </c>
      <c r="J584" s="6" t="n">
        <f aca="false">IF($A584="","",H584*I584)</f>
        <v>422.5</v>
      </c>
      <c r="K584" s="4" t="str">
        <f aca="false">IF($A584="","",TRIM(Base_Bruta!J584))</f>
        <v>Bilheteria</v>
      </c>
      <c r="L584" s="4" t="str">
        <f aca="false">IF($A584="","",TRIM(Base_Bruta!K584))</f>
        <v>C02244</v>
      </c>
      <c r="M584" s="4" t="str">
        <f aca="false">IF($A584="","",_xlfn.XLOOKUP(LOWER(TRIM(Base_Bruta!L584)),DePara_Cidade!$A$2:$A$29,DePara_Cidade!$B$2:$B$29,"REVISAR"))</f>
        <v>São Paulo</v>
      </c>
      <c r="N584" s="4" t="str">
        <f aca="false">IF($A584="","",UPPER(TRIM(Base_Bruta!M584)))</f>
        <v>SP</v>
      </c>
      <c r="O584" s="4" t="str">
        <f aca="false">IF($A584="","",_xlfn.XLOOKUP(LOWER(TRIM(Base_Bruta!N584)),DePara_Pais!$A$2:$A$9,DePara_Pais!$B$2:$B$9,"REVISAR"))</f>
        <v>Brasil</v>
      </c>
      <c r="P584" s="4" t="str">
        <f aca="false">IF($A584="","",IF(O584&lt;&gt;"Brasil","Turista Internacional",IF(M584=F584,"Local","Turista Nacional")))</f>
        <v>Local</v>
      </c>
      <c r="Q584" s="7" t="n">
        <f aca="false">IF($A584="","",DATE(YEAR(B584),MONTH(B584),1))</f>
        <v>46023</v>
      </c>
      <c r="R584" s="4" t="str">
        <f aca="false">IF($A584="","",IF(COUNTIF($A$2:$A584,$A584)&gt;1,"Sim","Não"))</f>
        <v>Não</v>
      </c>
      <c r="S584" s="4" t="str">
        <f aca="false">IF(A584="","Descartar - Linha vazia",IF(R584="Sim","Descartar - Duplicado",IF(OR(H584&lt;=0,I584&lt;=0),"Descartar - Qtd/Valor inválido","OK")))</f>
        <v>OK</v>
      </c>
      <c r="T584" s="4" t="str">
        <f aca="false">Base_Bruta!P584</f>
        <v>vendas_SP.xlsx</v>
      </c>
    </row>
    <row r="585" customFormat="false" ht="15" hidden="false" customHeight="false" outlineLevel="0" collapsed="false">
      <c r="A585" s="4" t="str">
        <f aca="false">IF(Base_Bruta!A585="","",Base_Bruta!A585)</f>
        <v>SP-000356</v>
      </c>
      <c r="B585" s="5" t="n">
        <f aca="false">IF($A585="","",IF(ISNUMBER(Base_Bruta!B585),Base_Bruta!B585,IF(MID(Base_Bruta!B585,5,1)="-",DATE(VALUE(LEFT(Base_Bruta!B585,4)),VALUE(MID(Base_Bruta!B585,6,2)),VALUE(RIGHT(Base_Bruta!B585,2))),DATE(VALUE(RIGHT(Base_Bruta!B585,4)),VALUE(MID(Base_Bruta!B585,4,2)),VALUE(LEFT(Base_Bruta!B585,2))))))</f>
        <v>46028</v>
      </c>
      <c r="C585" s="5" t="n">
        <f aca="false">IF($A585="","",IF(ISNUMBER(Base_Bruta!C585),Base_Bruta!C585,IF(MID(Base_Bruta!C585,5,1)="-",DATE(VALUE(LEFT(Base_Bruta!C585,4)),VALUE(MID(Base_Bruta!C585,6,2)),VALUE(RIGHT(Base_Bruta!C585,2))),DATE(VALUE(RIGHT(Base_Bruta!C585,4)),VALUE(MID(Base_Bruta!C585,4,2)),VALUE(LEFT(Base_Bruta!C585,2))))))</f>
        <v>46130</v>
      </c>
      <c r="D585" s="4" t="str">
        <f aca="false">IF($A585="","",TRIM(Base_Bruta!D585))</f>
        <v>Festival Sonora SP 2026</v>
      </c>
      <c r="E585" s="4" t="str">
        <f aca="false">IF($A585="","",_xlfn.XLOOKUP(LOWER(TRIM(Base_Bruta!E585)),DePara_Categoria!$A$2:$A$9,DePara_Categoria!$B$2:$B$9,"REVISAR"))</f>
        <v>Festival</v>
      </c>
      <c r="F585" s="4" t="str">
        <f aca="false">IF($A585="","",_xlfn.XLOOKUP(LOWER(TRIM(Base_Bruta!F585)),DePara_Cidade!$A$2:$A$29,DePara_Cidade!$B$2:$B$29,"REVISAR"))</f>
        <v>São Paulo</v>
      </c>
      <c r="G585" s="4" t="str">
        <f aca="false">IF($A585="","",TRIM(Base_Bruta!G585))</f>
        <v>Inteira</v>
      </c>
      <c r="H585" s="4" t="n">
        <f aca="false">IF($A585="","",IF(ISNUMBER(Base_Bruta!H585),Base_Bruta!H585,IFERROR(_xlfn.NUMBERVALUE(TRIM(SUBSTITUTE(Base_Bruta!H585,"R$","")),",","."),0)))</f>
        <v>2</v>
      </c>
      <c r="I585" s="6" t="n">
        <f aca="false">IF($A585="","",IF(ISNUMBER(Base_Bruta!I585),Base_Bruta!I585,IFERROR(_xlfn.NUMBERVALUE(TRIM(SUBSTITUTE(Base_Bruta!I585,"R$","")),",","."),0)))</f>
        <v>1095</v>
      </c>
      <c r="J585" s="6" t="n">
        <f aca="false">IF($A585="","",H585*I585)</f>
        <v>2190</v>
      </c>
      <c r="K585" s="4" t="str">
        <f aca="false">IF($A585="","",TRIM(Base_Bruta!J585))</f>
        <v>Site</v>
      </c>
      <c r="L585" s="4" t="str">
        <f aca="false">IF($A585="","",TRIM(Base_Bruta!K585))</f>
        <v>C00147</v>
      </c>
      <c r="M585" s="4" t="str">
        <f aca="false">IF($A585="","",_xlfn.XLOOKUP(LOWER(TRIM(Base_Bruta!L585)),DePara_Cidade!$A$2:$A$29,DePara_Cidade!$B$2:$B$29,"REVISAR"))</f>
        <v>São Paulo</v>
      </c>
      <c r="N585" s="4" t="str">
        <f aca="false">IF($A585="","",UPPER(TRIM(Base_Bruta!M585)))</f>
        <v>SP</v>
      </c>
      <c r="O585" s="4" t="str">
        <f aca="false">IF($A585="","",_xlfn.XLOOKUP(LOWER(TRIM(Base_Bruta!N585)),DePara_Pais!$A$2:$A$9,DePara_Pais!$B$2:$B$9,"REVISAR"))</f>
        <v>Brasil</v>
      </c>
      <c r="P585" s="4" t="str">
        <f aca="false">IF($A585="","",IF(O585&lt;&gt;"Brasil","Turista Internacional",IF(M585=F585,"Local","Turista Nacional")))</f>
        <v>Local</v>
      </c>
      <c r="Q585" s="7" t="n">
        <f aca="false">IF($A585="","",DATE(YEAR(B585),MONTH(B585),1))</f>
        <v>46023</v>
      </c>
      <c r="R585" s="4" t="str">
        <f aca="false">IF($A585="","",IF(COUNTIF($A$2:$A585,$A585)&gt;1,"Sim","Não"))</f>
        <v>Não</v>
      </c>
      <c r="S585" s="4" t="str">
        <f aca="false">IF(A585="","Descartar - Linha vazia",IF(R585="Sim","Descartar - Duplicado",IF(OR(H585&lt;=0,I585&lt;=0),"Descartar - Qtd/Valor inválido","OK")))</f>
        <v>OK</v>
      </c>
      <c r="T585" s="4" t="str">
        <f aca="false">Base_Bruta!P585</f>
        <v>vendas_SP.xlsx</v>
      </c>
    </row>
    <row r="586" customFormat="false" ht="15" hidden="false" customHeight="false" outlineLevel="0" collapsed="false">
      <c r="A586" s="4" t="str">
        <f aca="false">IF(Base_Bruta!A586="","",Base_Bruta!A586)</f>
        <v>SP-000403</v>
      </c>
      <c r="B586" s="5" t="n">
        <f aca="false">IF($A586="","",IF(ISNUMBER(Base_Bruta!B586),Base_Bruta!B586,IF(MID(Base_Bruta!B586,5,1)="-",DATE(VALUE(LEFT(Base_Bruta!B586,4)),VALUE(MID(Base_Bruta!B586,6,2)),VALUE(RIGHT(Base_Bruta!B586,2))),DATE(VALUE(RIGHT(Base_Bruta!B586,4)),VALUE(MID(Base_Bruta!B586,4,2)),VALUE(LEFT(Base_Bruta!B586,2))))))</f>
        <v>46028</v>
      </c>
      <c r="C586" s="5" t="n">
        <f aca="false">IF($A586="","",IF(ISNUMBER(Base_Bruta!C586),Base_Bruta!C586,IF(MID(Base_Bruta!C586,5,1)="-",DATE(VALUE(LEFT(Base_Bruta!C586,4)),VALUE(MID(Base_Bruta!C586,6,2)),VALUE(RIGHT(Base_Bruta!C586,2))),DATE(VALUE(RIGHT(Base_Bruta!C586,4)),VALUE(MID(Base_Bruta!C586,4,2)),VALUE(LEFT(Base_Bruta!C586,2))))))</f>
        <v>46130</v>
      </c>
      <c r="D586" s="4" t="str">
        <f aca="false">IF($A586="","",TRIM(Base_Bruta!D586))</f>
        <v>Festival Sonora SP 2026</v>
      </c>
      <c r="E586" s="4" t="str">
        <f aca="false">IF($A586="","",_xlfn.XLOOKUP(LOWER(TRIM(Base_Bruta!E586)),DePara_Categoria!$A$2:$A$9,DePara_Categoria!$B$2:$B$9,"REVISAR"))</f>
        <v>Festival</v>
      </c>
      <c r="F586" s="4" t="str">
        <f aca="false">IF($A586="","",_xlfn.XLOOKUP(LOWER(TRIM(Base_Bruta!F586)),DePara_Cidade!$A$2:$A$29,DePara_Cidade!$B$2:$B$29,"REVISAR"))</f>
        <v>São Paulo</v>
      </c>
      <c r="G586" s="4" t="str">
        <f aca="false">IF($A586="","",TRIM(Base_Bruta!G586))</f>
        <v>Inteira</v>
      </c>
      <c r="H586" s="4" t="n">
        <f aca="false">IF($A586="","",IF(ISNUMBER(Base_Bruta!H586),Base_Bruta!H586,IFERROR(_xlfn.NUMBERVALUE(TRIM(SUBSTITUTE(Base_Bruta!H586,"R$","")),",","."),0)))</f>
        <v>2</v>
      </c>
      <c r="I586" s="6" t="n">
        <f aca="false">IF($A586="","",IF(ISNUMBER(Base_Bruta!I586),Base_Bruta!I586,IFERROR(_xlfn.NUMBERVALUE(TRIM(SUBSTITUTE(Base_Bruta!I586,"R$","")),",","."),0)))</f>
        <v>720</v>
      </c>
      <c r="J586" s="6" t="n">
        <f aca="false">IF($A586="","",H586*I586)</f>
        <v>1440</v>
      </c>
      <c r="K586" s="4" t="str">
        <f aca="false">IF($A586="","",TRIM(Base_Bruta!J586))</f>
        <v>Site</v>
      </c>
      <c r="L586" s="4" t="str">
        <f aca="false">IF($A586="","",TRIM(Base_Bruta!K586))</f>
        <v>C01659</v>
      </c>
      <c r="M586" s="4" t="str">
        <f aca="false">IF($A586="","",_xlfn.XLOOKUP(LOWER(TRIM(Base_Bruta!L586)),DePara_Cidade!$A$2:$A$29,DePara_Cidade!$B$2:$B$29,"REVISAR"))</f>
        <v>São Paulo</v>
      </c>
      <c r="N586" s="4" t="str">
        <f aca="false">IF($A586="","",UPPER(TRIM(Base_Bruta!M586)))</f>
        <v>SP</v>
      </c>
      <c r="O586" s="4" t="str">
        <f aca="false">IF($A586="","",_xlfn.XLOOKUP(LOWER(TRIM(Base_Bruta!N586)),DePara_Pais!$A$2:$A$9,DePara_Pais!$B$2:$B$9,"REVISAR"))</f>
        <v>Brasil</v>
      </c>
      <c r="P586" s="4" t="str">
        <f aca="false">IF($A586="","",IF(O586&lt;&gt;"Brasil","Turista Internacional",IF(M586=F586,"Local","Turista Nacional")))</f>
        <v>Local</v>
      </c>
      <c r="Q586" s="7" t="n">
        <f aca="false">IF($A586="","",DATE(YEAR(B586),MONTH(B586),1))</f>
        <v>46023</v>
      </c>
      <c r="R586" s="4" t="str">
        <f aca="false">IF($A586="","",IF(COUNTIF($A$2:$A586,$A586)&gt;1,"Sim","Não"))</f>
        <v>Não</v>
      </c>
      <c r="S586" s="4" t="str">
        <f aca="false">IF(A586="","Descartar - Linha vazia",IF(R586="Sim","Descartar - Duplicado",IF(OR(H586&lt;=0,I586&lt;=0),"Descartar - Qtd/Valor inválido","OK")))</f>
        <v>OK</v>
      </c>
      <c r="T586" s="4" t="str">
        <f aca="false">Base_Bruta!P586</f>
        <v>vendas_SP.xlsx</v>
      </c>
    </row>
    <row r="587" customFormat="false" ht="15" hidden="false" customHeight="false" outlineLevel="0" collapsed="false">
      <c r="A587" s="4" t="str">
        <f aca="false">IF(Base_Bruta!A587="","",Base_Bruta!A587)</f>
        <v>SP-000311</v>
      </c>
      <c r="B587" s="5" t="n">
        <f aca="false">IF($A587="","",IF(ISNUMBER(Base_Bruta!B587),Base_Bruta!B587,IF(MID(Base_Bruta!B587,5,1)="-",DATE(VALUE(LEFT(Base_Bruta!B587,4)),VALUE(MID(Base_Bruta!B587,6,2)),VALUE(RIGHT(Base_Bruta!B587,2))),DATE(VALUE(RIGHT(Base_Bruta!B587,4)),VALUE(MID(Base_Bruta!B587,4,2)),VALUE(LEFT(Base_Bruta!B587,2))))))</f>
        <v>46029</v>
      </c>
      <c r="C587" s="5" t="n">
        <f aca="false">IF($A587="","",IF(ISNUMBER(Base_Bruta!C587),Base_Bruta!C587,IF(MID(Base_Bruta!C587,5,1)="-",DATE(VALUE(LEFT(Base_Bruta!C587,4)),VALUE(MID(Base_Bruta!C587,6,2)),VALUE(RIGHT(Base_Bruta!C587,2))),DATE(VALUE(RIGHT(Base_Bruta!C587,4)),VALUE(MID(Base_Bruta!C587,4,2)),VALUE(LEFT(Base_Bruta!C587,2))))))</f>
        <v>46130</v>
      </c>
      <c r="D587" s="4" t="str">
        <f aca="false">IF($A587="","",TRIM(Base_Bruta!D587))</f>
        <v>Festival Sonora SP 2026</v>
      </c>
      <c r="E587" s="4" t="str">
        <f aca="false">IF($A587="","",_xlfn.XLOOKUP(LOWER(TRIM(Base_Bruta!E587)),DePara_Categoria!$A$2:$A$9,DePara_Categoria!$B$2:$B$9,"REVISAR"))</f>
        <v>Festival</v>
      </c>
      <c r="F587" s="4" t="str">
        <f aca="false">IF($A587="","",_xlfn.XLOOKUP(LOWER(TRIM(Base_Bruta!F587)),DePara_Cidade!$A$2:$A$29,DePara_Cidade!$B$2:$B$29,"REVISAR"))</f>
        <v>São Paulo</v>
      </c>
      <c r="G587" s="4" t="str">
        <f aca="false">IF($A587="","",TRIM(Base_Bruta!G587))</f>
        <v>VIP</v>
      </c>
      <c r="H587" s="4" t="n">
        <f aca="false">IF($A587="","",IF(ISNUMBER(Base_Bruta!H587),Base_Bruta!H587,IFERROR(_xlfn.NUMBERVALUE(TRIM(SUBSTITUTE(Base_Bruta!H587,"R$","")),",","."),0)))</f>
        <v>1</v>
      </c>
      <c r="I587" s="6" t="n">
        <f aca="false">IF($A587="","",IF(ISNUMBER(Base_Bruta!I587),Base_Bruta!I587,IFERROR(_xlfn.NUMBERVALUE(TRIM(SUBSTITUTE(Base_Bruta!I587,"R$","")),",","."),0)))</f>
        <v>1320</v>
      </c>
      <c r="J587" s="6" t="n">
        <f aca="false">IF($A587="","",H587*I587)</f>
        <v>1320</v>
      </c>
      <c r="K587" s="4" t="str">
        <f aca="false">IF($A587="","",TRIM(Base_Bruta!J587))</f>
        <v>Site</v>
      </c>
      <c r="L587" s="4" t="str">
        <f aca="false">IF($A587="","",TRIM(Base_Bruta!K587))</f>
        <v>C00015</v>
      </c>
      <c r="M587" s="4" t="str">
        <f aca="false">IF($A587="","",_xlfn.XLOOKUP(LOWER(TRIM(Base_Bruta!L587)),DePara_Cidade!$A$2:$A$29,DePara_Cidade!$B$2:$B$29,"REVISAR"))</f>
        <v>São Paulo</v>
      </c>
      <c r="N587" s="4" t="str">
        <f aca="false">IF($A587="","",UPPER(TRIM(Base_Bruta!M587)))</f>
        <v>SP</v>
      </c>
      <c r="O587" s="4" t="str">
        <f aca="false">IF($A587="","",_xlfn.XLOOKUP(LOWER(TRIM(Base_Bruta!N587)),DePara_Pais!$A$2:$A$9,DePara_Pais!$B$2:$B$9,"REVISAR"))</f>
        <v>Brasil</v>
      </c>
      <c r="P587" s="4" t="str">
        <f aca="false">IF($A587="","",IF(O587&lt;&gt;"Brasil","Turista Internacional",IF(M587=F587,"Local","Turista Nacional")))</f>
        <v>Local</v>
      </c>
      <c r="Q587" s="7" t="n">
        <f aca="false">IF($A587="","",DATE(YEAR(B587),MONTH(B587),1))</f>
        <v>46023</v>
      </c>
      <c r="R587" s="4" t="str">
        <f aca="false">IF($A587="","",IF(COUNTIF($A$2:$A587,$A587)&gt;1,"Sim","Não"))</f>
        <v>Não</v>
      </c>
      <c r="S587" s="4" t="str">
        <f aca="false">IF(A587="","Descartar - Linha vazia",IF(R587="Sim","Descartar - Duplicado",IF(OR(H587&lt;=0,I587&lt;=0),"Descartar - Qtd/Valor inválido","OK")))</f>
        <v>OK</v>
      </c>
      <c r="T587" s="4" t="str">
        <f aca="false">Base_Bruta!P587</f>
        <v>vendas_SP.xlsx</v>
      </c>
    </row>
    <row r="588" customFormat="false" ht="15" hidden="false" customHeight="false" outlineLevel="0" collapsed="false">
      <c r="A588" s="4" t="str">
        <f aca="false">IF(Base_Bruta!A588="","",Base_Bruta!A588)</f>
        <v>SP-000324</v>
      </c>
      <c r="B588" s="5" t="n">
        <f aca="false">IF($A588="","",IF(ISNUMBER(Base_Bruta!B588),Base_Bruta!B588,IF(MID(Base_Bruta!B588,5,1)="-",DATE(VALUE(LEFT(Base_Bruta!B588,4)),VALUE(MID(Base_Bruta!B588,6,2)),VALUE(RIGHT(Base_Bruta!B588,2))),DATE(VALUE(RIGHT(Base_Bruta!B588,4)),VALUE(MID(Base_Bruta!B588,4,2)),VALUE(LEFT(Base_Bruta!B588,2))))))</f>
        <v>46029</v>
      </c>
      <c r="C588" s="5" t="n">
        <f aca="false">IF($A588="","",IF(ISNUMBER(Base_Bruta!C588),Base_Bruta!C588,IF(MID(Base_Bruta!C588,5,1)="-",DATE(VALUE(LEFT(Base_Bruta!C588,4)),VALUE(MID(Base_Bruta!C588,6,2)),VALUE(RIGHT(Base_Bruta!C588,2))),DATE(VALUE(RIGHT(Base_Bruta!C588,4)),VALUE(MID(Base_Bruta!C588,4,2)),VALUE(LEFT(Base_Bruta!C588,2))))))</f>
        <v>46130</v>
      </c>
      <c r="D588" s="4" t="str">
        <f aca="false">IF($A588="","",TRIM(Base_Bruta!D588))</f>
        <v>Festival Sonora SP 2026</v>
      </c>
      <c r="E588" s="4" t="str">
        <f aca="false">IF($A588="","",_xlfn.XLOOKUP(LOWER(TRIM(Base_Bruta!E588)),DePara_Categoria!$A$2:$A$9,DePara_Categoria!$B$2:$B$9,"REVISAR"))</f>
        <v>Festival</v>
      </c>
      <c r="F588" s="4" t="str">
        <f aca="false">IF($A588="","",_xlfn.XLOOKUP(LOWER(TRIM(Base_Bruta!F588)),DePara_Cidade!$A$2:$A$29,DePara_Cidade!$B$2:$B$29,"REVISAR"))</f>
        <v>São Paulo</v>
      </c>
      <c r="G588" s="4" t="str">
        <f aca="false">IF($A588="","",TRIM(Base_Bruta!G588))</f>
        <v>Inteira</v>
      </c>
      <c r="H588" s="4" t="n">
        <f aca="false">IF($A588="","",IF(ISNUMBER(Base_Bruta!H588),Base_Bruta!H588,IFERROR(_xlfn.NUMBERVALUE(TRIM(SUBSTITUTE(Base_Bruta!H588,"R$","")),",","."),0)))</f>
        <v>3</v>
      </c>
      <c r="I588" s="6" t="n">
        <f aca="false">IF($A588="","",IF(ISNUMBER(Base_Bruta!I588),Base_Bruta!I588,IFERROR(_xlfn.NUMBERVALUE(TRIM(SUBSTITUTE(Base_Bruta!I588,"R$","")),",","."),0)))</f>
        <v>900</v>
      </c>
      <c r="J588" s="6" t="n">
        <f aca="false">IF($A588="","",H588*I588)</f>
        <v>2700</v>
      </c>
      <c r="K588" s="4" t="str">
        <f aca="false">IF($A588="","",TRIM(Base_Bruta!J588))</f>
        <v>Parceiro</v>
      </c>
      <c r="L588" s="4" t="str">
        <f aca="false">IF($A588="","",TRIM(Base_Bruta!K588))</f>
        <v>C00871</v>
      </c>
      <c r="M588" s="4" t="str">
        <f aca="false">IF($A588="","",_xlfn.XLOOKUP(LOWER(TRIM(Base_Bruta!L588)),DePara_Cidade!$A$2:$A$29,DePara_Cidade!$B$2:$B$29,"REVISAR"))</f>
        <v>Salvador</v>
      </c>
      <c r="N588" s="4" t="str">
        <f aca="false">IF($A588="","",UPPER(TRIM(Base_Bruta!M588)))</f>
        <v>BA</v>
      </c>
      <c r="O588" s="4" t="str">
        <f aca="false">IF($A588="","",_xlfn.XLOOKUP(LOWER(TRIM(Base_Bruta!N588)),DePara_Pais!$A$2:$A$9,DePara_Pais!$B$2:$B$9,"REVISAR"))</f>
        <v>Brasil</v>
      </c>
      <c r="P588" s="4" t="str">
        <f aca="false">IF($A588="","",IF(O588&lt;&gt;"Brasil","Turista Internacional",IF(M588=F588,"Local","Turista Nacional")))</f>
        <v>Turista Nacional</v>
      </c>
      <c r="Q588" s="7" t="n">
        <f aca="false">IF($A588="","",DATE(YEAR(B588),MONTH(B588),1))</f>
        <v>46023</v>
      </c>
      <c r="R588" s="4" t="str">
        <f aca="false">IF($A588="","",IF(COUNTIF($A$2:$A588,$A588)&gt;1,"Sim","Não"))</f>
        <v>Não</v>
      </c>
      <c r="S588" s="4" t="str">
        <f aca="false">IF(A588="","Descartar - Linha vazia",IF(R588="Sim","Descartar - Duplicado",IF(OR(H588&lt;=0,I588&lt;=0),"Descartar - Qtd/Valor inválido","OK")))</f>
        <v>OK</v>
      </c>
      <c r="T588" s="4" t="str">
        <f aca="false">Base_Bruta!P588</f>
        <v>vendas_SP.xlsx</v>
      </c>
    </row>
    <row r="589" customFormat="false" ht="15" hidden="false" customHeight="false" outlineLevel="0" collapsed="false">
      <c r="A589" s="4" t="str">
        <f aca="false">IF(Base_Bruta!A589="","",Base_Bruta!A589)</f>
        <v>SP-000395</v>
      </c>
      <c r="B589" s="5" t="n">
        <f aca="false">IF($A589="","",IF(ISNUMBER(Base_Bruta!B589),Base_Bruta!B589,IF(MID(Base_Bruta!B589,5,1)="-",DATE(VALUE(LEFT(Base_Bruta!B589,4)),VALUE(MID(Base_Bruta!B589,6,2)),VALUE(RIGHT(Base_Bruta!B589,2))),DATE(VALUE(RIGHT(Base_Bruta!B589,4)),VALUE(MID(Base_Bruta!B589,4,2)),VALUE(LEFT(Base_Bruta!B589,2))))))</f>
        <v>46029</v>
      </c>
      <c r="C589" s="5" t="n">
        <f aca="false">IF($A589="","",IF(ISNUMBER(Base_Bruta!C589),Base_Bruta!C589,IF(MID(Base_Bruta!C589,5,1)="-",DATE(VALUE(LEFT(Base_Bruta!C589,4)),VALUE(MID(Base_Bruta!C589,6,2)),VALUE(RIGHT(Base_Bruta!C589,2))),DATE(VALUE(RIGHT(Base_Bruta!C589,4)),VALUE(MID(Base_Bruta!C589,4,2)),VALUE(LEFT(Base_Bruta!C589,2))))))</f>
        <v>46130</v>
      </c>
      <c r="D589" s="4" t="str">
        <f aca="false">IF($A589="","",TRIM(Base_Bruta!D589))</f>
        <v>Festival Sonora SP 2026</v>
      </c>
      <c r="E589" s="4" t="str">
        <f aca="false">IF($A589="","",_xlfn.XLOOKUP(LOWER(TRIM(Base_Bruta!E589)),DePara_Categoria!$A$2:$A$9,DePara_Categoria!$B$2:$B$9,"REVISAR"))</f>
        <v>Festival</v>
      </c>
      <c r="F589" s="4" t="str">
        <f aca="false">IF($A589="","",_xlfn.XLOOKUP(LOWER(TRIM(Base_Bruta!F589)),DePara_Cidade!$A$2:$A$29,DePara_Cidade!$B$2:$B$29,"REVISAR"))</f>
        <v>São Paulo</v>
      </c>
      <c r="G589" s="4" t="str">
        <f aca="false">IF($A589="","",TRIM(Base_Bruta!G589))</f>
        <v>Inteira</v>
      </c>
      <c r="H589" s="4" t="n">
        <f aca="false">IF($A589="","",IF(ISNUMBER(Base_Bruta!H589),Base_Bruta!H589,IFERROR(_xlfn.NUMBERVALUE(TRIM(SUBSTITUTE(Base_Bruta!H589,"R$","")),",","."),0)))</f>
        <v>3</v>
      </c>
      <c r="I589" s="6" t="n">
        <f aca="false">IF($A589="","",IF(ISNUMBER(Base_Bruta!I589),Base_Bruta!I589,IFERROR(_xlfn.NUMBERVALUE(TRIM(SUBSTITUTE(Base_Bruta!I589,"R$","")),",","."),0)))</f>
        <v>765</v>
      </c>
      <c r="J589" s="6" t="n">
        <f aca="false">IF($A589="","",H589*I589)</f>
        <v>2295</v>
      </c>
      <c r="K589" s="4" t="str">
        <f aca="false">IF($A589="","",TRIM(Base_Bruta!J589))</f>
        <v>Bilheteria</v>
      </c>
      <c r="L589" s="4" t="str">
        <f aca="false">IF($A589="","",TRIM(Base_Bruta!K589))</f>
        <v>C00213</v>
      </c>
      <c r="M589" s="4" t="str">
        <f aca="false">IF($A589="","",_xlfn.XLOOKUP(LOWER(TRIM(Base_Bruta!L589)),DePara_Cidade!$A$2:$A$29,DePara_Cidade!$B$2:$B$29,"REVISAR"))</f>
        <v>São Paulo</v>
      </c>
      <c r="N589" s="4" t="str">
        <f aca="false">IF($A589="","",UPPER(TRIM(Base_Bruta!M589)))</f>
        <v>SP</v>
      </c>
      <c r="O589" s="4" t="str">
        <f aca="false">IF($A589="","",_xlfn.XLOOKUP(LOWER(TRIM(Base_Bruta!N589)),DePara_Pais!$A$2:$A$9,DePara_Pais!$B$2:$B$9,"REVISAR"))</f>
        <v>Brasil</v>
      </c>
      <c r="P589" s="4" t="str">
        <f aca="false">IF($A589="","",IF(O589&lt;&gt;"Brasil","Turista Internacional",IF(M589=F589,"Local","Turista Nacional")))</f>
        <v>Local</v>
      </c>
      <c r="Q589" s="7" t="n">
        <f aca="false">IF($A589="","",DATE(YEAR(B589),MONTH(B589),1))</f>
        <v>46023</v>
      </c>
      <c r="R589" s="4" t="str">
        <f aca="false">IF($A589="","",IF(COUNTIF($A$2:$A589,$A589)&gt;1,"Sim","Não"))</f>
        <v>Não</v>
      </c>
      <c r="S589" s="4" t="str">
        <f aca="false">IF(A589="","Descartar - Linha vazia",IF(R589="Sim","Descartar - Duplicado",IF(OR(H589&lt;=0,I589&lt;=0),"Descartar - Qtd/Valor inválido","OK")))</f>
        <v>OK</v>
      </c>
      <c r="T589" s="4" t="str">
        <f aca="false">Base_Bruta!P589</f>
        <v>vendas_SP.xlsx</v>
      </c>
    </row>
    <row r="590" customFormat="false" ht="15" hidden="false" customHeight="false" outlineLevel="0" collapsed="false">
      <c r="A590" s="4" t="str">
        <f aca="false">IF(Base_Bruta!A590="","",Base_Bruta!A590)</f>
        <v>SP-000416</v>
      </c>
      <c r="B590" s="5" t="n">
        <f aca="false">IF($A590="","",IF(ISNUMBER(Base_Bruta!B590),Base_Bruta!B590,IF(MID(Base_Bruta!B590,5,1)="-",DATE(VALUE(LEFT(Base_Bruta!B590,4)),VALUE(MID(Base_Bruta!B590,6,2)),VALUE(RIGHT(Base_Bruta!B590,2))),DATE(VALUE(RIGHT(Base_Bruta!B590,4)),VALUE(MID(Base_Bruta!B590,4,2)),VALUE(LEFT(Base_Bruta!B590,2))))))</f>
        <v>46029</v>
      </c>
      <c r="C590" s="5" t="n">
        <f aca="false">IF($A590="","",IF(ISNUMBER(Base_Bruta!C590),Base_Bruta!C590,IF(MID(Base_Bruta!C590,5,1)="-",DATE(VALUE(LEFT(Base_Bruta!C590,4)),VALUE(MID(Base_Bruta!C590,6,2)),VALUE(RIGHT(Base_Bruta!C590,2))),DATE(VALUE(RIGHT(Base_Bruta!C590,4)),VALUE(MID(Base_Bruta!C590,4,2)),VALUE(LEFT(Base_Bruta!C590,2))))))</f>
        <v>46130</v>
      </c>
      <c r="D590" s="4" t="str">
        <f aca="false">IF($A590="","",TRIM(Base_Bruta!D590))</f>
        <v>Festival Sonora SP 2026</v>
      </c>
      <c r="E590" s="4" t="str">
        <f aca="false">IF($A590="","",_xlfn.XLOOKUP(LOWER(TRIM(Base_Bruta!E590)),DePara_Categoria!$A$2:$A$9,DePara_Categoria!$B$2:$B$9,"REVISAR"))</f>
        <v>Festival</v>
      </c>
      <c r="F590" s="4" t="str">
        <f aca="false">IF($A590="","",_xlfn.XLOOKUP(LOWER(TRIM(Base_Bruta!F590)),DePara_Cidade!$A$2:$A$29,DePara_Cidade!$B$2:$B$29,"REVISAR"))</f>
        <v>São Paulo</v>
      </c>
      <c r="G590" s="4" t="str">
        <f aca="false">IF($A590="","",TRIM(Base_Bruta!G590))</f>
        <v>Inteira</v>
      </c>
      <c r="H590" s="4" t="n">
        <f aca="false">IF($A590="","",IF(ISNUMBER(Base_Bruta!H590),Base_Bruta!H590,IFERROR(_xlfn.NUMBERVALUE(TRIM(SUBSTITUTE(Base_Bruta!H590,"R$","")),",","."),0)))</f>
        <v>1</v>
      </c>
      <c r="I590" s="6" t="n">
        <f aca="false">IF($A590="","",IF(ISNUMBER(Base_Bruta!I590),Base_Bruta!I590,IFERROR(_xlfn.NUMBERVALUE(TRIM(SUBSTITUTE(Base_Bruta!I590,"R$","")),",","."),0)))</f>
        <v>1055</v>
      </c>
      <c r="J590" s="6" t="n">
        <f aca="false">IF($A590="","",H590*I590)</f>
        <v>1055</v>
      </c>
      <c r="K590" s="4" t="str">
        <f aca="false">IF($A590="","",TRIM(Base_Bruta!J590))</f>
        <v>Bilheteria</v>
      </c>
      <c r="L590" s="4" t="str">
        <f aca="false">IF($A590="","",TRIM(Base_Bruta!K590))</f>
        <v>C00858</v>
      </c>
      <c r="M590" s="4" t="str">
        <f aca="false">IF($A590="","",_xlfn.XLOOKUP(LOWER(TRIM(Base_Bruta!L590)),DePara_Cidade!$A$2:$A$29,DePara_Cidade!$B$2:$B$29,"REVISAR"))</f>
        <v>São Paulo</v>
      </c>
      <c r="N590" s="4" t="str">
        <f aca="false">IF($A590="","",UPPER(TRIM(Base_Bruta!M590)))</f>
        <v>SP</v>
      </c>
      <c r="O590" s="4" t="str">
        <f aca="false">IF($A590="","",_xlfn.XLOOKUP(LOWER(TRIM(Base_Bruta!N590)),DePara_Pais!$A$2:$A$9,DePara_Pais!$B$2:$B$9,"REVISAR"))</f>
        <v>Brasil</v>
      </c>
      <c r="P590" s="4" t="str">
        <f aca="false">IF($A590="","",IF(O590&lt;&gt;"Brasil","Turista Internacional",IF(M590=F590,"Local","Turista Nacional")))</f>
        <v>Local</v>
      </c>
      <c r="Q590" s="7" t="n">
        <f aca="false">IF($A590="","",DATE(YEAR(B590),MONTH(B590),1))</f>
        <v>46023</v>
      </c>
      <c r="R590" s="4" t="str">
        <f aca="false">IF($A590="","",IF(COUNTIF($A$2:$A590,$A590)&gt;1,"Sim","Não"))</f>
        <v>Não</v>
      </c>
      <c r="S590" s="4" t="str">
        <f aca="false">IF(A590="","Descartar - Linha vazia",IF(R590="Sim","Descartar - Duplicado",IF(OR(H590&lt;=0,I590&lt;=0),"Descartar - Qtd/Valor inválido","OK")))</f>
        <v>OK</v>
      </c>
      <c r="T590" s="4" t="str">
        <f aca="false">Base_Bruta!P590</f>
        <v>vendas_SP.xlsx</v>
      </c>
    </row>
    <row r="591" customFormat="false" ht="15" hidden="false" customHeight="false" outlineLevel="0" collapsed="false">
      <c r="A591" s="4" t="str">
        <f aca="false">IF(Base_Bruta!A591="","",Base_Bruta!A591)</f>
        <v>SP-000291</v>
      </c>
      <c r="B591" s="5" t="n">
        <f aca="false">IF($A591="","",IF(ISNUMBER(Base_Bruta!B591),Base_Bruta!B591,IF(MID(Base_Bruta!B591,5,1)="-",DATE(VALUE(LEFT(Base_Bruta!B591,4)),VALUE(MID(Base_Bruta!B591,6,2)),VALUE(RIGHT(Base_Bruta!B591,2))),DATE(VALUE(RIGHT(Base_Bruta!B591,4)),VALUE(MID(Base_Bruta!B591,4,2)),VALUE(LEFT(Base_Bruta!B591,2))))))</f>
        <v>46030</v>
      </c>
      <c r="C591" s="5" t="n">
        <f aca="false">IF($A591="","",IF(ISNUMBER(Base_Bruta!C591),Base_Bruta!C591,IF(MID(Base_Bruta!C591,5,1)="-",DATE(VALUE(LEFT(Base_Bruta!C591,4)),VALUE(MID(Base_Bruta!C591,6,2)),VALUE(RIGHT(Base_Bruta!C591,2))),DATE(VALUE(RIGHT(Base_Bruta!C591,4)),VALUE(MID(Base_Bruta!C591,4,2)),VALUE(LEFT(Base_Bruta!C591,2))))))</f>
        <v>46130</v>
      </c>
      <c r="D591" s="4" t="str">
        <f aca="false">IF($A591="","",TRIM(Base_Bruta!D591))</f>
        <v>Festival Sonora SP 2026</v>
      </c>
      <c r="E591" s="4" t="str">
        <f aca="false">IF($A591="","",_xlfn.XLOOKUP(LOWER(TRIM(Base_Bruta!E591)),DePara_Categoria!$A$2:$A$9,DePara_Categoria!$B$2:$B$9,"REVISAR"))</f>
        <v>Festival</v>
      </c>
      <c r="F591" s="4" t="str">
        <f aca="false">IF($A591="","",_xlfn.XLOOKUP(LOWER(TRIM(Base_Bruta!F591)),DePara_Cidade!$A$2:$A$29,DePara_Cidade!$B$2:$B$29,"REVISAR"))</f>
        <v>São Paulo</v>
      </c>
      <c r="G591" s="4" t="str">
        <f aca="false">IF($A591="","",TRIM(Base_Bruta!G591))</f>
        <v>Inteira</v>
      </c>
      <c r="H591" s="4" t="n">
        <f aca="false">IF($A591="","",IF(ISNUMBER(Base_Bruta!H591),Base_Bruta!H591,IFERROR(_xlfn.NUMBERVALUE(TRIM(SUBSTITUTE(Base_Bruta!H591,"R$","")),",","."),0)))</f>
        <v>1</v>
      </c>
      <c r="I591" s="6" t="n">
        <f aca="false">IF($A591="","",IF(ISNUMBER(Base_Bruta!I591),Base_Bruta!I591,IFERROR(_xlfn.NUMBERVALUE(TRIM(SUBSTITUTE(Base_Bruta!I591,"R$","")),",","."),0)))</f>
        <v>800</v>
      </c>
      <c r="J591" s="6" t="n">
        <f aca="false">IF($A591="","",H591*I591)</f>
        <v>800</v>
      </c>
      <c r="K591" s="4" t="str">
        <f aca="false">IF($A591="","",TRIM(Base_Bruta!J591))</f>
        <v>Site</v>
      </c>
      <c r="L591" s="4" t="str">
        <f aca="false">IF($A591="","",TRIM(Base_Bruta!K591))</f>
        <v>C00822</v>
      </c>
      <c r="M591" s="4" t="str">
        <f aca="false">IF($A591="","",_xlfn.XLOOKUP(LOWER(TRIM(Base_Bruta!L591)),DePara_Cidade!$A$2:$A$29,DePara_Cidade!$B$2:$B$29,"REVISAR"))</f>
        <v>São Paulo</v>
      </c>
      <c r="N591" s="4" t="str">
        <f aca="false">IF($A591="","",UPPER(TRIM(Base_Bruta!M591)))</f>
        <v>SP</v>
      </c>
      <c r="O591" s="4" t="str">
        <f aca="false">IF($A591="","",_xlfn.XLOOKUP(LOWER(TRIM(Base_Bruta!N591)),DePara_Pais!$A$2:$A$9,DePara_Pais!$B$2:$B$9,"REVISAR"))</f>
        <v>Brasil</v>
      </c>
      <c r="P591" s="4" t="str">
        <f aca="false">IF($A591="","",IF(O591&lt;&gt;"Brasil","Turista Internacional",IF(M591=F591,"Local","Turista Nacional")))</f>
        <v>Local</v>
      </c>
      <c r="Q591" s="7" t="n">
        <f aca="false">IF($A591="","",DATE(YEAR(B591),MONTH(B591),1))</f>
        <v>46023</v>
      </c>
      <c r="R591" s="4" t="str">
        <f aca="false">IF($A591="","",IF(COUNTIF($A$2:$A591,$A591)&gt;1,"Sim","Não"))</f>
        <v>Não</v>
      </c>
      <c r="S591" s="4" t="str">
        <f aca="false">IF(A591="","Descartar - Linha vazia",IF(R591="Sim","Descartar - Duplicado",IF(OR(H591&lt;=0,I591&lt;=0),"Descartar - Qtd/Valor inválido","OK")))</f>
        <v>OK</v>
      </c>
      <c r="T591" s="4" t="str">
        <f aca="false">Base_Bruta!P591</f>
        <v>vendas_SP.xlsx</v>
      </c>
    </row>
    <row r="592" customFormat="false" ht="15" hidden="false" customHeight="false" outlineLevel="0" collapsed="false">
      <c r="A592" s="4" t="str">
        <f aca="false">IF(Base_Bruta!A592="","",Base_Bruta!A592)</f>
        <v>SP-000335</v>
      </c>
      <c r="B592" s="5" t="n">
        <f aca="false">IF($A592="","",IF(ISNUMBER(Base_Bruta!B592),Base_Bruta!B592,IF(MID(Base_Bruta!B592,5,1)="-",DATE(VALUE(LEFT(Base_Bruta!B592,4)),VALUE(MID(Base_Bruta!B592,6,2)),VALUE(RIGHT(Base_Bruta!B592,2))),DATE(VALUE(RIGHT(Base_Bruta!B592,4)),VALUE(MID(Base_Bruta!B592,4,2)),VALUE(LEFT(Base_Bruta!B592,2))))))</f>
        <v>46030</v>
      </c>
      <c r="C592" s="5" t="n">
        <f aca="false">IF($A592="","",IF(ISNUMBER(Base_Bruta!C592),Base_Bruta!C592,IF(MID(Base_Bruta!C592,5,1)="-",DATE(VALUE(LEFT(Base_Bruta!C592,4)),VALUE(MID(Base_Bruta!C592,6,2)),VALUE(RIGHT(Base_Bruta!C592,2))),DATE(VALUE(RIGHT(Base_Bruta!C592,4)),VALUE(MID(Base_Bruta!C592,4,2)),VALUE(LEFT(Base_Bruta!C592,2))))))</f>
        <v>46130</v>
      </c>
      <c r="D592" s="4" t="str">
        <f aca="false">IF($A592="","",TRIM(Base_Bruta!D592))</f>
        <v>Festival Sonora SP 2026</v>
      </c>
      <c r="E592" s="4" t="str">
        <f aca="false">IF($A592="","",_xlfn.XLOOKUP(LOWER(TRIM(Base_Bruta!E592)),DePara_Categoria!$A$2:$A$9,DePara_Categoria!$B$2:$B$9,"REVISAR"))</f>
        <v>Festival</v>
      </c>
      <c r="F592" s="4" t="str">
        <f aca="false">IF($A592="","",_xlfn.XLOOKUP(LOWER(TRIM(Base_Bruta!F592)),DePara_Cidade!$A$2:$A$29,DePara_Cidade!$B$2:$B$29,"REVISAR"))</f>
        <v>São Paulo</v>
      </c>
      <c r="G592" s="4" t="str">
        <f aca="false">IF($A592="","",TRIM(Base_Bruta!G592))</f>
        <v>Inteira</v>
      </c>
      <c r="H592" s="4" t="n">
        <f aca="false">IF($A592="","",IF(ISNUMBER(Base_Bruta!H592),Base_Bruta!H592,IFERROR(_xlfn.NUMBERVALUE(TRIM(SUBSTITUTE(Base_Bruta!H592,"R$","")),",","."),0)))</f>
        <v>1</v>
      </c>
      <c r="I592" s="6" t="n">
        <f aca="false">IF($A592="","",IF(ISNUMBER(Base_Bruta!I592),Base_Bruta!I592,IFERROR(_xlfn.NUMBERVALUE(TRIM(SUBSTITUTE(Base_Bruta!I592,"R$","")),",","."),0)))</f>
        <v>855</v>
      </c>
      <c r="J592" s="6" t="n">
        <f aca="false">IF($A592="","",H592*I592)</f>
        <v>855</v>
      </c>
      <c r="K592" s="4" t="str">
        <f aca="false">IF($A592="","",TRIM(Base_Bruta!J592))</f>
        <v>Bilheteria</v>
      </c>
      <c r="L592" s="4" t="str">
        <f aca="false">IF($A592="","",TRIM(Base_Bruta!K592))</f>
        <v>C02261</v>
      </c>
      <c r="M592" s="4" t="str">
        <f aca="false">IF($A592="","",_xlfn.XLOOKUP(LOWER(TRIM(Base_Bruta!L592)),DePara_Cidade!$A$2:$A$29,DePara_Cidade!$B$2:$B$29,"REVISAR"))</f>
        <v>São Paulo</v>
      </c>
      <c r="N592" s="4" t="str">
        <f aca="false">IF($A592="","",UPPER(TRIM(Base_Bruta!M592)))</f>
        <v>SP</v>
      </c>
      <c r="O592" s="4" t="str">
        <f aca="false">IF($A592="","",_xlfn.XLOOKUP(LOWER(TRIM(Base_Bruta!N592)),DePara_Pais!$A$2:$A$9,DePara_Pais!$B$2:$B$9,"REVISAR"))</f>
        <v>Brasil</v>
      </c>
      <c r="P592" s="4" t="str">
        <f aca="false">IF($A592="","",IF(O592&lt;&gt;"Brasil","Turista Internacional",IF(M592=F592,"Local","Turista Nacional")))</f>
        <v>Local</v>
      </c>
      <c r="Q592" s="7" t="n">
        <f aca="false">IF($A592="","",DATE(YEAR(B592),MONTH(B592),1))</f>
        <v>46023</v>
      </c>
      <c r="R592" s="4" t="str">
        <f aca="false">IF($A592="","",IF(COUNTIF($A$2:$A592,$A592)&gt;1,"Sim","Não"))</f>
        <v>Não</v>
      </c>
      <c r="S592" s="4" t="str">
        <f aca="false">IF(A592="","Descartar - Linha vazia",IF(R592="Sim","Descartar - Duplicado",IF(OR(H592&lt;=0,I592&lt;=0),"Descartar - Qtd/Valor inválido","OK")))</f>
        <v>OK</v>
      </c>
      <c r="T592" s="4" t="str">
        <f aca="false">Base_Bruta!P592</f>
        <v>vendas_SP.xlsx</v>
      </c>
    </row>
    <row r="593" customFormat="false" ht="15" hidden="false" customHeight="false" outlineLevel="0" collapsed="false">
      <c r="A593" s="4" t="str">
        <f aca="false">IF(Base_Bruta!A593="","",Base_Bruta!A593)</f>
        <v>SP-000337</v>
      </c>
      <c r="B593" s="5" t="n">
        <f aca="false">IF($A593="","",IF(ISNUMBER(Base_Bruta!B593),Base_Bruta!B593,IF(MID(Base_Bruta!B593,5,1)="-",DATE(VALUE(LEFT(Base_Bruta!B593,4)),VALUE(MID(Base_Bruta!B593,6,2)),VALUE(RIGHT(Base_Bruta!B593,2))),DATE(VALUE(RIGHT(Base_Bruta!B593,4)),VALUE(MID(Base_Bruta!B593,4,2)),VALUE(LEFT(Base_Bruta!B593,2))))))</f>
        <v>46030</v>
      </c>
      <c r="C593" s="5" t="n">
        <f aca="false">IF($A593="","",IF(ISNUMBER(Base_Bruta!C593),Base_Bruta!C593,IF(MID(Base_Bruta!C593,5,1)="-",DATE(VALUE(LEFT(Base_Bruta!C593,4)),VALUE(MID(Base_Bruta!C593,6,2)),VALUE(RIGHT(Base_Bruta!C593,2))),DATE(VALUE(RIGHT(Base_Bruta!C593,4)),VALUE(MID(Base_Bruta!C593,4,2)),VALUE(LEFT(Base_Bruta!C593,2))))))</f>
        <v>46130</v>
      </c>
      <c r="D593" s="4" t="str">
        <f aca="false">IF($A593="","",TRIM(Base_Bruta!D593))</f>
        <v>Festival Sonora SP 2026</v>
      </c>
      <c r="E593" s="4" t="str">
        <f aca="false">IF($A593="","",_xlfn.XLOOKUP(LOWER(TRIM(Base_Bruta!E593)),DePara_Categoria!$A$2:$A$9,DePara_Categoria!$B$2:$B$9,"REVISAR"))</f>
        <v>Festival</v>
      </c>
      <c r="F593" s="4" t="str">
        <f aca="false">IF($A593="","",_xlfn.XLOOKUP(LOWER(TRIM(Base_Bruta!F593)),DePara_Cidade!$A$2:$A$29,DePara_Cidade!$B$2:$B$29,"REVISAR"))</f>
        <v>São Paulo</v>
      </c>
      <c r="G593" s="4" t="str">
        <f aca="false">IF($A593="","",TRIM(Base_Bruta!G593))</f>
        <v>Inteira</v>
      </c>
      <c r="H593" s="4" t="n">
        <f aca="false">IF($A593="","",IF(ISNUMBER(Base_Bruta!H593),Base_Bruta!H593,IFERROR(_xlfn.NUMBERVALUE(TRIM(SUBSTITUTE(Base_Bruta!H593,"R$","")),",","."),0)))</f>
        <v>2</v>
      </c>
      <c r="I593" s="6" t="n">
        <f aca="false">IF($A593="","",IF(ISNUMBER(Base_Bruta!I593),Base_Bruta!I593,IFERROR(_xlfn.NUMBERVALUE(TRIM(SUBSTITUTE(Base_Bruta!I593,"R$","")),",","."),0)))</f>
        <v>1085</v>
      </c>
      <c r="J593" s="6" t="n">
        <f aca="false">IF($A593="","",H593*I593)</f>
        <v>2170</v>
      </c>
      <c r="K593" s="4" t="str">
        <f aca="false">IF($A593="","",TRIM(Base_Bruta!J593))</f>
        <v>Site</v>
      </c>
      <c r="L593" s="4" t="str">
        <f aca="false">IF($A593="","",TRIM(Base_Bruta!K593))</f>
        <v>C01365</v>
      </c>
      <c r="M593" s="4" t="str">
        <f aca="false">IF($A593="","",_xlfn.XLOOKUP(LOWER(TRIM(Base_Bruta!L593)),DePara_Cidade!$A$2:$A$29,DePara_Cidade!$B$2:$B$29,"REVISAR"))</f>
        <v>Niterói</v>
      </c>
      <c r="N593" s="4" t="str">
        <f aca="false">IF($A593="","",UPPER(TRIM(Base_Bruta!M593)))</f>
        <v>RJ</v>
      </c>
      <c r="O593" s="4" t="str">
        <f aca="false">IF($A593="","",_xlfn.XLOOKUP(LOWER(TRIM(Base_Bruta!N593)),DePara_Pais!$A$2:$A$9,DePara_Pais!$B$2:$B$9,"REVISAR"))</f>
        <v>Brasil</v>
      </c>
      <c r="P593" s="4" t="str">
        <f aca="false">IF($A593="","",IF(O593&lt;&gt;"Brasil","Turista Internacional",IF(M593=F593,"Local","Turista Nacional")))</f>
        <v>Turista Nacional</v>
      </c>
      <c r="Q593" s="7" t="n">
        <f aca="false">IF($A593="","",DATE(YEAR(B593),MONTH(B593),1))</f>
        <v>46023</v>
      </c>
      <c r="R593" s="4" t="str">
        <f aca="false">IF($A593="","",IF(COUNTIF($A$2:$A593,$A593)&gt;1,"Sim","Não"))</f>
        <v>Não</v>
      </c>
      <c r="S593" s="4" t="str">
        <f aca="false">IF(A593="","Descartar - Linha vazia",IF(R593="Sim","Descartar - Duplicado",IF(OR(H593&lt;=0,I593&lt;=0),"Descartar - Qtd/Valor inválido","OK")))</f>
        <v>OK</v>
      </c>
      <c r="T593" s="4" t="str">
        <f aca="false">Base_Bruta!P593</f>
        <v>vendas_SP.xlsx</v>
      </c>
    </row>
    <row r="594" customFormat="false" ht="15" hidden="false" customHeight="false" outlineLevel="0" collapsed="false">
      <c r="A594" s="4" t="str">
        <f aca="false">IF(Base_Bruta!A594="","",Base_Bruta!A594)</f>
        <v>SP-000364</v>
      </c>
      <c r="B594" s="5" t="n">
        <f aca="false">IF($A594="","",IF(ISNUMBER(Base_Bruta!B594),Base_Bruta!B594,IF(MID(Base_Bruta!B594,5,1)="-",DATE(VALUE(LEFT(Base_Bruta!B594,4)),VALUE(MID(Base_Bruta!B594,6,2)),VALUE(RIGHT(Base_Bruta!B594,2))),DATE(VALUE(RIGHT(Base_Bruta!B594,4)),VALUE(MID(Base_Bruta!B594,4,2)),VALUE(LEFT(Base_Bruta!B594,2))))))</f>
        <v>46030</v>
      </c>
      <c r="C594" s="5" t="n">
        <f aca="false">IF($A594="","",IF(ISNUMBER(Base_Bruta!C594),Base_Bruta!C594,IF(MID(Base_Bruta!C594,5,1)="-",DATE(VALUE(LEFT(Base_Bruta!C594,4)),VALUE(MID(Base_Bruta!C594,6,2)),VALUE(RIGHT(Base_Bruta!C594,2))),DATE(VALUE(RIGHT(Base_Bruta!C594,4)),VALUE(MID(Base_Bruta!C594,4,2)),VALUE(LEFT(Base_Bruta!C594,2))))))</f>
        <v>46130</v>
      </c>
      <c r="D594" s="4" t="str">
        <f aca="false">IF($A594="","",TRIM(Base_Bruta!D594))</f>
        <v>Festival Sonora SP 2026</v>
      </c>
      <c r="E594" s="4" t="str">
        <f aca="false">IF($A594="","",_xlfn.XLOOKUP(LOWER(TRIM(Base_Bruta!E594)),DePara_Categoria!$A$2:$A$9,DePara_Categoria!$B$2:$B$9,"REVISAR"))</f>
        <v>Festival</v>
      </c>
      <c r="F594" s="4" t="str">
        <f aca="false">IF($A594="","",_xlfn.XLOOKUP(LOWER(TRIM(Base_Bruta!F594)),DePara_Cidade!$A$2:$A$29,DePara_Cidade!$B$2:$B$29,"REVISAR"))</f>
        <v>São Paulo</v>
      </c>
      <c r="G594" s="4" t="str">
        <f aca="false">IF($A594="","",TRIM(Base_Bruta!G594))</f>
        <v>Meia</v>
      </c>
      <c r="H594" s="4" t="n">
        <f aca="false">IF($A594="","",IF(ISNUMBER(Base_Bruta!H594),Base_Bruta!H594,IFERROR(_xlfn.NUMBERVALUE(TRIM(SUBSTITUTE(Base_Bruta!H594,"R$","")),",","."),0)))</f>
        <v>4</v>
      </c>
      <c r="I594" s="6" t="n">
        <f aca="false">IF($A594="","",IF(ISNUMBER(Base_Bruta!I594),Base_Bruta!I594,IFERROR(_xlfn.NUMBERVALUE(TRIM(SUBSTITUTE(Base_Bruta!I594,"R$","")),",","."),0)))</f>
        <v>552.5</v>
      </c>
      <c r="J594" s="6" t="n">
        <f aca="false">IF($A594="","",H594*I594)</f>
        <v>2210</v>
      </c>
      <c r="K594" s="4" t="str">
        <f aca="false">IF($A594="","",TRIM(Base_Bruta!J594))</f>
        <v>App</v>
      </c>
      <c r="L594" s="4" t="str">
        <f aca="false">IF($A594="","",TRIM(Base_Bruta!K594))</f>
        <v>C00238</v>
      </c>
      <c r="M594" s="4" t="str">
        <f aca="false">IF($A594="","",_xlfn.XLOOKUP(LOWER(TRIM(Base_Bruta!L594)),DePara_Cidade!$A$2:$A$29,DePara_Cidade!$B$2:$B$29,"REVISAR"))</f>
        <v>Miami</v>
      </c>
      <c r="N594" s="4" t="str">
        <f aca="false">IF($A594="","",UPPER(TRIM(Base_Bruta!M594)))</f>
        <v>EX</v>
      </c>
      <c r="O594" s="4" t="str">
        <f aca="false">IF($A594="","",_xlfn.XLOOKUP(LOWER(TRIM(Base_Bruta!N594)),DePara_Pais!$A$2:$A$9,DePara_Pais!$B$2:$B$9,"REVISAR"))</f>
        <v>EUA</v>
      </c>
      <c r="P594" s="4" t="str">
        <f aca="false">IF($A594="","",IF(O594&lt;&gt;"Brasil","Turista Internacional",IF(M594=F594,"Local","Turista Nacional")))</f>
        <v>Turista Internacional</v>
      </c>
      <c r="Q594" s="7" t="n">
        <f aca="false">IF($A594="","",DATE(YEAR(B594),MONTH(B594),1))</f>
        <v>46023</v>
      </c>
      <c r="R594" s="4" t="str">
        <f aca="false">IF($A594="","",IF(COUNTIF($A$2:$A594,$A594)&gt;1,"Sim","Não"))</f>
        <v>Não</v>
      </c>
      <c r="S594" s="4" t="str">
        <f aca="false">IF(A594="","Descartar - Linha vazia",IF(R594="Sim","Descartar - Duplicado",IF(OR(H594&lt;=0,I594&lt;=0),"Descartar - Qtd/Valor inválido","OK")))</f>
        <v>OK</v>
      </c>
      <c r="T594" s="4" t="str">
        <f aca="false">Base_Bruta!P594</f>
        <v>vendas_SP.xlsx</v>
      </c>
    </row>
    <row r="595" customFormat="false" ht="15" hidden="false" customHeight="false" outlineLevel="0" collapsed="false">
      <c r="A595" s="4" t="str">
        <f aca="false">IF(Base_Bruta!A595="","",Base_Bruta!A595)</f>
        <v>SP-000382</v>
      </c>
      <c r="B595" s="5" t="n">
        <f aca="false">IF($A595="","",IF(ISNUMBER(Base_Bruta!B595),Base_Bruta!B595,IF(MID(Base_Bruta!B595,5,1)="-",DATE(VALUE(LEFT(Base_Bruta!B595,4)),VALUE(MID(Base_Bruta!B595,6,2)),VALUE(RIGHT(Base_Bruta!B595,2))),DATE(VALUE(RIGHT(Base_Bruta!B595,4)),VALUE(MID(Base_Bruta!B595,4,2)),VALUE(LEFT(Base_Bruta!B595,2))))))</f>
        <v>46030</v>
      </c>
      <c r="C595" s="5" t="n">
        <f aca="false">IF($A595="","",IF(ISNUMBER(Base_Bruta!C595),Base_Bruta!C595,IF(MID(Base_Bruta!C595,5,1)="-",DATE(VALUE(LEFT(Base_Bruta!C595,4)),VALUE(MID(Base_Bruta!C595,6,2)),VALUE(RIGHT(Base_Bruta!C595,2))),DATE(VALUE(RIGHT(Base_Bruta!C595,4)),VALUE(MID(Base_Bruta!C595,4,2)),VALUE(LEFT(Base_Bruta!C595,2))))))</f>
        <v>46130</v>
      </c>
      <c r="D595" s="4" t="str">
        <f aca="false">IF($A595="","",TRIM(Base_Bruta!D595))</f>
        <v>Festival Sonora SP 2026</v>
      </c>
      <c r="E595" s="4" t="str">
        <f aca="false">IF($A595="","",_xlfn.XLOOKUP(LOWER(TRIM(Base_Bruta!E595)),DePara_Categoria!$A$2:$A$9,DePara_Categoria!$B$2:$B$9,"REVISAR"))</f>
        <v>Festival</v>
      </c>
      <c r="F595" s="4" t="str">
        <f aca="false">IF($A595="","",_xlfn.XLOOKUP(LOWER(TRIM(Base_Bruta!F595)),DePara_Cidade!$A$2:$A$29,DePara_Cidade!$B$2:$B$29,"REVISAR"))</f>
        <v>São Paulo</v>
      </c>
      <c r="G595" s="4" t="str">
        <f aca="false">IF($A595="","",TRIM(Base_Bruta!G595))</f>
        <v>Inteira</v>
      </c>
      <c r="H595" s="4" t="n">
        <f aca="false">IF($A595="","",IF(ISNUMBER(Base_Bruta!H595),Base_Bruta!H595,IFERROR(_xlfn.NUMBERVALUE(TRIM(SUBSTITUTE(Base_Bruta!H595,"R$","")),",","."),0)))</f>
        <v>2</v>
      </c>
      <c r="I595" s="6" t="n">
        <f aca="false">IF($A595="","",IF(ISNUMBER(Base_Bruta!I595),Base_Bruta!I595,IFERROR(_xlfn.NUMBERVALUE(TRIM(SUBSTITUTE(Base_Bruta!I595,"R$","")),",","."),0)))</f>
        <v>670</v>
      </c>
      <c r="J595" s="6" t="n">
        <f aca="false">IF($A595="","",H595*I595)</f>
        <v>1340</v>
      </c>
      <c r="K595" s="4" t="str">
        <f aca="false">IF($A595="","",TRIM(Base_Bruta!J595))</f>
        <v>Bilheteria</v>
      </c>
      <c r="L595" s="4" t="str">
        <f aca="false">IF($A595="","",TRIM(Base_Bruta!K595))</f>
        <v>C01587</v>
      </c>
      <c r="M595" s="4" t="str">
        <f aca="false">IF($A595="","",_xlfn.XLOOKUP(LOWER(TRIM(Base_Bruta!L595)),DePara_Cidade!$A$2:$A$29,DePara_Cidade!$B$2:$B$29,"REVISAR"))</f>
        <v>Salvador</v>
      </c>
      <c r="N595" s="4" t="str">
        <f aca="false">IF($A595="","",UPPER(TRIM(Base_Bruta!M595)))</f>
        <v>BA</v>
      </c>
      <c r="O595" s="4" t="str">
        <f aca="false">IF($A595="","",_xlfn.XLOOKUP(LOWER(TRIM(Base_Bruta!N595)),DePara_Pais!$A$2:$A$9,DePara_Pais!$B$2:$B$9,"REVISAR"))</f>
        <v>Brasil</v>
      </c>
      <c r="P595" s="4" t="str">
        <f aca="false">IF($A595="","",IF(O595&lt;&gt;"Brasil","Turista Internacional",IF(M595=F595,"Local","Turista Nacional")))</f>
        <v>Turista Nacional</v>
      </c>
      <c r="Q595" s="7" t="n">
        <f aca="false">IF($A595="","",DATE(YEAR(B595),MONTH(B595),1))</f>
        <v>46023</v>
      </c>
      <c r="R595" s="4" t="str">
        <f aca="false">IF($A595="","",IF(COUNTIF($A$2:$A595,$A595)&gt;1,"Sim","Não"))</f>
        <v>Não</v>
      </c>
      <c r="S595" s="4" t="str">
        <f aca="false">IF(A595="","Descartar - Linha vazia",IF(R595="Sim","Descartar - Duplicado",IF(OR(H595&lt;=0,I595&lt;=0),"Descartar - Qtd/Valor inválido","OK")))</f>
        <v>OK</v>
      </c>
      <c r="T595" s="4" t="str">
        <f aca="false">Base_Bruta!P595</f>
        <v>vendas_SP.xlsx</v>
      </c>
    </row>
    <row r="596" customFormat="false" ht="15" hidden="false" customHeight="false" outlineLevel="0" collapsed="false">
      <c r="A596" s="4" t="str">
        <f aca="false">IF(Base_Bruta!A596="","",Base_Bruta!A596)</f>
        <v>SP-000429</v>
      </c>
      <c r="B596" s="5" t="n">
        <f aca="false">IF($A596="","",IF(ISNUMBER(Base_Bruta!B596),Base_Bruta!B596,IF(MID(Base_Bruta!B596,5,1)="-",DATE(VALUE(LEFT(Base_Bruta!B596,4)),VALUE(MID(Base_Bruta!B596,6,2)),VALUE(RIGHT(Base_Bruta!B596,2))),DATE(VALUE(RIGHT(Base_Bruta!B596,4)),VALUE(MID(Base_Bruta!B596,4,2)),VALUE(LEFT(Base_Bruta!B596,2))))))</f>
        <v>46030</v>
      </c>
      <c r="C596" s="5" t="n">
        <f aca="false">IF($A596="","",IF(ISNUMBER(Base_Bruta!C596),Base_Bruta!C596,IF(MID(Base_Bruta!C596,5,1)="-",DATE(VALUE(LEFT(Base_Bruta!C596,4)),VALUE(MID(Base_Bruta!C596,6,2)),VALUE(RIGHT(Base_Bruta!C596,2))),DATE(VALUE(RIGHT(Base_Bruta!C596,4)),VALUE(MID(Base_Bruta!C596,4,2)),VALUE(LEFT(Base_Bruta!C596,2))))))</f>
        <v>46130</v>
      </c>
      <c r="D596" s="4" t="str">
        <f aca="false">IF($A596="","",TRIM(Base_Bruta!D596))</f>
        <v>Festival Sonora SP 2026</v>
      </c>
      <c r="E596" s="4" t="str">
        <f aca="false">IF($A596="","",_xlfn.XLOOKUP(LOWER(TRIM(Base_Bruta!E596)),DePara_Categoria!$A$2:$A$9,DePara_Categoria!$B$2:$B$9,"REVISAR"))</f>
        <v>Festival</v>
      </c>
      <c r="F596" s="4" t="str">
        <f aca="false">IF($A596="","",_xlfn.XLOOKUP(LOWER(TRIM(Base_Bruta!F596)),DePara_Cidade!$A$2:$A$29,DePara_Cidade!$B$2:$B$29,"REVISAR"))</f>
        <v>São Paulo</v>
      </c>
      <c r="G596" s="4" t="str">
        <f aca="false">IF($A596="","",TRIM(Base_Bruta!G596))</f>
        <v>Inteira</v>
      </c>
      <c r="H596" s="4" t="n">
        <f aca="false">IF($A596="","",IF(ISNUMBER(Base_Bruta!H596),Base_Bruta!H596,IFERROR(_xlfn.NUMBERVALUE(TRIM(SUBSTITUTE(Base_Bruta!H596,"R$","")),",","."),0)))</f>
        <v>1</v>
      </c>
      <c r="I596" s="6" t="n">
        <f aca="false">IF($A596="","",IF(ISNUMBER(Base_Bruta!I596),Base_Bruta!I596,IFERROR(_xlfn.NUMBERVALUE(TRIM(SUBSTITUTE(Base_Bruta!I596,"R$","")),",","."),0)))</f>
        <v>740</v>
      </c>
      <c r="J596" s="6" t="n">
        <f aca="false">IF($A596="","",H596*I596)</f>
        <v>740</v>
      </c>
      <c r="K596" s="4" t="str">
        <f aca="false">IF($A596="","",TRIM(Base_Bruta!J596))</f>
        <v>App</v>
      </c>
      <c r="L596" s="4" t="str">
        <f aca="false">IF($A596="","",TRIM(Base_Bruta!K596))</f>
        <v>C01709</v>
      </c>
      <c r="M596" s="4" t="str">
        <f aca="false">IF($A596="","",_xlfn.XLOOKUP(LOWER(TRIM(Base_Bruta!L596)),DePara_Cidade!$A$2:$A$29,DePara_Cidade!$B$2:$B$29,"REVISAR"))</f>
        <v>Porto Alegre</v>
      </c>
      <c r="N596" s="4" t="str">
        <f aca="false">IF($A596="","",UPPER(TRIM(Base_Bruta!M596)))</f>
        <v>RS</v>
      </c>
      <c r="O596" s="4" t="str">
        <f aca="false">IF($A596="","",_xlfn.XLOOKUP(LOWER(TRIM(Base_Bruta!N596)),DePara_Pais!$A$2:$A$9,DePara_Pais!$B$2:$B$9,"REVISAR"))</f>
        <v>Brasil</v>
      </c>
      <c r="P596" s="4" t="str">
        <f aca="false">IF($A596="","",IF(O596&lt;&gt;"Brasil","Turista Internacional",IF(M596=F596,"Local","Turista Nacional")))</f>
        <v>Turista Nacional</v>
      </c>
      <c r="Q596" s="7" t="n">
        <f aca="false">IF($A596="","",DATE(YEAR(B596),MONTH(B596),1))</f>
        <v>46023</v>
      </c>
      <c r="R596" s="4" t="str">
        <f aca="false">IF($A596="","",IF(COUNTIF($A$2:$A596,$A596)&gt;1,"Sim","Não"))</f>
        <v>Não</v>
      </c>
      <c r="S596" s="4" t="str">
        <f aca="false">IF(A596="","Descartar - Linha vazia",IF(R596="Sim","Descartar - Duplicado",IF(OR(H596&lt;=0,I596&lt;=0),"Descartar - Qtd/Valor inválido","OK")))</f>
        <v>OK</v>
      </c>
      <c r="T596" s="4" t="str">
        <f aca="false">Base_Bruta!P596</f>
        <v>vendas_SP.xlsx</v>
      </c>
    </row>
    <row r="597" customFormat="false" ht="15" hidden="false" customHeight="false" outlineLevel="0" collapsed="false">
      <c r="A597" s="4" t="str">
        <f aca="false">IF(Base_Bruta!A597="","",Base_Bruta!A597)</f>
        <v>SP-000449</v>
      </c>
      <c r="B597" s="5" t="n">
        <f aca="false">IF($A597="","",IF(ISNUMBER(Base_Bruta!B597),Base_Bruta!B597,IF(MID(Base_Bruta!B597,5,1)="-",DATE(VALUE(LEFT(Base_Bruta!B597,4)),VALUE(MID(Base_Bruta!B597,6,2)),VALUE(RIGHT(Base_Bruta!B597,2))),DATE(VALUE(RIGHT(Base_Bruta!B597,4)),VALUE(MID(Base_Bruta!B597,4,2)),VALUE(LEFT(Base_Bruta!B597,2))))))</f>
        <v>46030</v>
      </c>
      <c r="C597" s="5" t="n">
        <f aca="false">IF($A597="","",IF(ISNUMBER(Base_Bruta!C597),Base_Bruta!C597,IF(MID(Base_Bruta!C597,5,1)="-",DATE(VALUE(LEFT(Base_Bruta!C597,4)),VALUE(MID(Base_Bruta!C597,6,2)),VALUE(RIGHT(Base_Bruta!C597,2))),DATE(VALUE(RIGHT(Base_Bruta!C597,4)),VALUE(MID(Base_Bruta!C597,4,2)),VALUE(LEFT(Base_Bruta!C597,2))))))</f>
        <v>46130</v>
      </c>
      <c r="D597" s="4" t="str">
        <f aca="false">IF($A597="","",TRIM(Base_Bruta!D597))</f>
        <v>Festival Sonora SP 2026</v>
      </c>
      <c r="E597" s="4" t="str">
        <f aca="false">IF($A597="","",_xlfn.XLOOKUP(LOWER(TRIM(Base_Bruta!E597)),DePara_Categoria!$A$2:$A$9,DePara_Categoria!$B$2:$B$9,"REVISAR"))</f>
        <v>Festival</v>
      </c>
      <c r="F597" s="4" t="str">
        <f aca="false">IF($A597="","",_xlfn.XLOOKUP(LOWER(TRIM(Base_Bruta!F597)),DePara_Cidade!$A$2:$A$29,DePara_Cidade!$B$2:$B$29,"REVISAR"))</f>
        <v>São Paulo</v>
      </c>
      <c r="G597" s="4" t="str">
        <f aca="false">IF($A597="","",TRIM(Base_Bruta!G597))</f>
        <v>Inteira</v>
      </c>
      <c r="H597" s="4" t="n">
        <f aca="false">IF($A597="","",IF(ISNUMBER(Base_Bruta!H597),Base_Bruta!H597,IFERROR(_xlfn.NUMBERVALUE(TRIM(SUBSTITUTE(Base_Bruta!H597,"R$","")),",","."),0)))</f>
        <v>2</v>
      </c>
      <c r="I597" s="6" t="n">
        <f aca="false">IF($A597="","",IF(ISNUMBER(Base_Bruta!I597),Base_Bruta!I597,IFERROR(_xlfn.NUMBERVALUE(TRIM(SUBSTITUTE(Base_Bruta!I597,"R$","")),",","."),0)))</f>
        <v>895</v>
      </c>
      <c r="J597" s="6" t="n">
        <f aca="false">IF($A597="","",H597*I597)</f>
        <v>1790</v>
      </c>
      <c r="K597" s="4" t="str">
        <f aca="false">IF($A597="","",TRIM(Base_Bruta!J597))</f>
        <v>Site</v>
      </c>
      <c r="L597" s="4" t="str">
        <f aca="false">IF($A597="","",TRIM(Base_Bruta!K597))</f>
        <v>C02379</v>
      </c>
      <c r="M597" s="4" t="str">
        <f aca="false">IF($A597="","",_xlfn.XLOOKUP(LOWER(TRIM(Base_Bruta!L597)),DePara_Cidade!$A$2:$A$29,DePara_Cidade!$B$2:$B$29,"REVISAR"))</f>
        <v>São Paulo</v>
      </c>
      <c r="N597" s="4" t="str">
        <f aca="false">IF($A597="","",UPPER(TRIM(Base_Bruta!M597)))</f>
        <v>SP</v>
      </c>
      <c r="O597" s="4" t="str">
        <f aca="false">IF($A597="","",_xlfn.XLOOKUP(LOWER(TRIM(Base_Bruta!N597)),DePara_Pais!$A$2:$A$9,DePara_Pais!$B$2:$B$9,"REVISAR"))</f>
        <v>Brasil</v>
      </c>
      <c r="P597" s="4" t="str">
        <f aca="false">IF($A597="","",IF(O597&lt;&gt;"Brasil","Turista Internacional",IF(M597=F597,"Local","Turista Nacional")))</f>
        <v>Local</v>
      </c>
      <c r="Q597" s="7" t="n">
        <f aca="false">IF($A597="","",DATE(YEAR(B597),MONTH(B597),1))</f>
        <v>46023</v>
      </c>
      <c r="R597" s="4" t="str">
        <f aca="false">IF($A597="","",IF(COUNTIF($A$2:$A597,$A597)&gt;1,"Sim","Não"))</f>
        <v>Não</v>
      </c>
      <c r="S597" s="4" t="str">
        <f aca="false">IF(A597="","Descartar - Linha vazia",IF(R597="Sim","Descartar - Duplicado",IF(OR(H597&lt;=0,I597&lt;=0),"Descartar - Qtd/Valor inválido","OK")))</f>
        <v>OK</v>
      </c>
      <c r="T597" s="4" t="str">
        <f aca="false">Base_Bruta!P597</f>
        <v>vendas_SP.xlsx</v>
      </c>
    </row>
    <row r="598" customFormat="false" ht="15" hidden="false" customHeight="false" outlineLevel="0" collapsed="false">
      <c r="A598" s="4" t="str">
        <f aca="false">IF(Base_Bruta!A598="","",Base_Bruta!A598)</f>
        <v>SP-000334</v>
      </c>
      <c r="B598" s="5" t="n">
        <f aca="false">IF($A598="","",IF(ISNUMBER(Base_Bruta!B598),Base_Bruta!B598,IF(MID(Base_Bruta!B598,5,1)="-",DATE(VALUE(LEFT(Base_Bruta!B598,4)),VALUE(MID(Base_Bruta!B598,6,2)),VALUE(RIGHT(Base_Bruta!B598,2))),DATE(VALUE(RIGHT(Base_Bruta!B598,4)),VALUE(MID(Base_Bruta!B598,4,2)),VALUE(LEFT(Base_Bruta!B598,2))))))</f>
        <v>46032</v>
      </c>
      <c r="C598" s="5" t="n">
        <f aca="false">IF($A598="","",IF(ISNUMBER(Base_Bruta!C598),Base_Bruta!C598,IF(MID(Base_Bruta!C598,5,1)="-",DATE(VALUE(LEFT(Base_Bruta!C598,4)),VALUE(MID(Base_Bruta!C598,6,2)),VALUE(RIGHT(Base_Bruta!C598,2))),DATE(VALUE(RIGHT(Base_Bruta!C598,4)),VALUE(MID(Base_Bruta!C598,4,2)),VALUE(LEFT(Base_Bruta!C598,2))))))</f>
        <v>46130</v>
      </c>
      <c r="D598" s="4" t="str">
        <f aca="false">IF($A598="","",TRIM(Base_Bruta!D598))</f>
        <v>Festival Sonora SP 2026</v>
      </c>
      <c r="E598" s="4" t="str">
        <f aca="false">IF($A598="","",_xlfn.XLOOKUP(LOWER(TRIM(Base_Bruta!E598)),DePara_Categoria!$A$2:$A$9,DePara_Categoria!$B$2:$B$9,"REVISAR"))</f>
        <v>Festival</v>
      </c>
      <c r="F598" s="4" t="str">
        <f aca="false">IF($A598="","",_xlfn.XLOOKUP(LOWER(TRIM(Base_Bruta!F598)),DePara_Cidade!$A$2:$A$29,DePara_Cidade!$B$2:$B$29,"REVISAR"))</f>
        <v>São Paulo</v>
      </c>
      <c r="G598" s="4" t="str">
        <f aca="false">IF($A598="","",TRIM(Base_Bruta!G598))</f>
        <v>Meia</v>
      </c>
      <c r="H598" s="4" t="n">
        <f aca="false">IF($A598="","",IF(ISNUMBER(Base_Bruta!H598),Base_Bruta!H598,IFERROR(_xlfn.NUMBERVALUE(TRIM(SUBSTITUTE(Base_Bruta!H598,"R$","")),",","."),0)))</f>
        <v>2</v>
      </c>
      <c r="I598" s="6" t="n">
        <f aca="false">IF($A598="","",IF(ISNUMBER(Base_Bruta!I598),Base_Bruta!I598,IFERROR(_xlfn.NUMBERVALUE(TRIM(SUBSTITUTE(Base_Bruta!I598,"R$","")),",","."),0)))</f>
        <v>397.5</v>
      </c>
      <c r="J598" s="6" t="n">
        <f aca="false">IF($A598="","",H598*I598)</f>
        <v>795</v>
      </c>
      <c r="K598" s="4" t="str">
        <f aca="false">IF($A598="","",TRIM(Base_Bruta!J598))</f>
        <v>App</v>
      </c>
      <c r="L598" s="4" t="str">
        <f aca="false">IF($A598="","",TRIM(Base_Bruta!K598))</f>
        <v>C00429</v>
      </c>
      <c r="M598" s="4" t="str">
        <f aca="false">IF($A598="","",_xlfn.XLOOKUP(LOWER(TRIM(Base_Bruta!L598)),DePara_Cidade!$A$2:$A$29,DePara_Cidade!$B$2:$B$29,"REVISAR"))</f>
        <v>São Paulo</v>
      </c>
      <c r="N598" s="4" t="str">
        <f aca="false">IF($A598="","",UPPER(TRIM(Base_Bruta!M598)))</f>
        <v>SP</v>
      </c>
      <c r="O598" s="4" t="str">
        <f aca="false">IF($A598="","",_xlfn.XLOOKUP(LOWER(TRIM(Base_Bruta!N598)),DePara_Pais!$A$2:$A$9,DePara_Pais!$B$2:$B$9,"REVISAR"))</f>
        <v>Brasil</v>
      </c>
      <c r="P598" s="4" t="str">
        <f aca="false">IF($A598="","",IF(O598&lt;&gt;"Brasil","Turista Internacional",IF(M598=F598,"Local","Turista Nacional")))</f>
        <v>Local</v>
      </c>
      <c r="Q598" s="7" t="n">
        <f aca="false">IF($A598="","",DATE(YEAR(B598),MONTH(B598),1))</f>
        <v>46023</v>
      </c>
      <c r="R598" s="4" t="str">
        <f aca="false">IF($A598="","",IF(COUNTIF($A$2:$A598,$A598)&gt;1,"Sim","Não"))</f>
        <v>Não</v>
      </c>
      <c r="S598" s="4" t="str">
        <f aca="false">IF(A598="","Descartar - Linha vazia",IF(R598="Sim","Descartar - Duplicado",IF(OR(H598&lt;=0,I598&lt;=0),"Descartar - Qtd/Valor inválido","OK")))</f>
        <v>OK</v>
      </c>
      <c r="T598" s="4" t="str">
        <f aca="false">Base_Bruta!P598</f>
        <v>vendas_SP.xlsx</v>
      </c>
    </row>
    <row r="599" customFormat="false" ht="15" hidden="false" customHeight="false" outlineLevel="0" collapsed="false">
      <c r="A599" s="4" t="str">
        <f aca="false">IF(Base_Bruta!A599="","",Base_Bruta!A599)</f>
        <v>SP-000750</v>
      </c>
      <c r="B599" s="5" t="n">
        <f aca="false">IF($A599="","",IF(ISNUMBER(Base_Bruta!B599),Base_Bruta!B599,IF(MID(Base_Bruta!B599,5,1)="-",DATE(VALUE(LEFT(Base_Bruta!B599,4)),VALUE(MID(Base_Bruta!B599,6,2)),VALUE(RIGHT(Base_Bruta!B599,2))),DATE(VALUE(RIGHT(Base_Bruta!B599,4)),VALUE(MID(Base_Bruta!B599,4,2)),VALUE(LEFT(Base_Bruta!B599,2))))))</f>
        <v>46035</v>
      </c>
      <c r="C599" s="5" t="n">
        <f aca="false">IF($A599="","",IF(ISNUMBER(Base_Bruta!C599),Base_Bruta!C599,IF(MID(Base_Bruta!C599,5,1)="-",DATE(VALUE(LEFT(Base_Bruta!C599,4)),VALUE(MID(Base_Bruta!C599,6,2)),VALUE(RIGHT(Base_Bruta!C599,2))),DATE(VALUE(RIGHT(Base_Bruta!C599,4)),VALUE(MID(Base_Bruta!C599,4,2)),VALUE(LEFT(Base_Bruta!C599,2))))))</f>
        <v>46036</v>
      </c>
      <c r="D599" s="4" t="str">
        <f aca="false">IF($A599="","",TRIM(Base_Bruta!D599))</f>
        <v>Cinema Paulista - Sessões</v>
      </c>
      <c r="E599" s="4" t="str">
        <f aca="false">IF($A599="","",_xlfn.XLOOKUP(LOWER(TRIM(Base_Bruta!E599)),DePara_Categoria!$A$2:$A$9,DePara_Categoria!$B$2:$B$9,"REVISAR"))</f>
        <v>Cinema</v>
      </c>
      <c r="F599" s="4" t="str">
        <f aca="false">IF($A599="","",_xlfn.XLOOKUP(LOWER(TRIM(Base_Bruta!F599)),DePara_Cidade!$A$2:$A$29,DePara_Cidade!$B$2:$B$29,"REVISAR"))</f>
        <v>São Paulo</v>
      </c>
      <c r="G599" s="4" t="str">
        <f aca="false">IF($A599="","",TRIM(Base_Bruta!G599))</f>
        <v>Meia</v>
      </c>
      <c r="H599" s="4" t="n">
        <f aca="false">IF($A599="","",IF(ISNUMBER(Base_Bruta!H599),Base_Bruta!H599,IFERROR(_xlfn.NUMBERVALUE(TRIM(SUBSTITUTE(Base_Bruta!H599,"R$","")),",","."),0)))</f>
        <v>2</v>
      </c>
      <c r="I599" s="6" t="n">
        <f aca="false">IF($A599="","",IF(ISNUMBER(Base_Bruta!I599),Base_Bruta!I599,IFERROR(_xlfn.NUMBERVALUE(TRIM(SUBSTITUTE(Base_Bruta!I599,"R$","")),",","."),0)))</f>
        <v>17.5</v>
      </c>
      <c r="J599" s="6" t="n">
        <f aca="false">IF($A599="","",H599*I599)</f>
        <v>35</v>
      </c>
      <c r="K599" s="4" t="str">
        <f aca="false">IF($A599="","",TRIM(Base_Bruta!J599))</f>
        <v>App</v>
      </c>
      <c r="L599" s="4" t="str">
        <f aca="false">IF($A599="","",TRIM(Base_Bruta!K599))</f>
        <v>C02239</v>
      </c>
      <c r="M599" s="4" t="str">
        <f aca="false">IF($A599="","",_xlfn.XLOOKUP(LOWER(TRIM(Base_Bruta!L599)),DePara_Cidade!$A$2:$A$29,DePara_Cidade!$B$2:$B$29,"REVISAR"))</f>
        <v>São Paulo</v>
      </c>
      <c r="N599" s="4" t="str">
        <f aca="false">IF($A599="","",UPPER(TRIM(Base_Bruta!M599)))</f>
        <v>SP</v>
      </c>
      <c r="O599" s="4" t="str">
        <f aca="false">IF($A599="","",_xlfn.XLOOKUP(LOWER(TRIM(Base_Bruta!N599)),DePara_Pais!$A$2:$A$9,DePara_Pais!$B$2:$B$9,"REVISAR"))</f>
        <v>Brasil</v>
      </c>
      <c r="P599" s="4" t="str">
        <f aca="false">IF($A599="","",IF(O599&lt;&gt;"Brasil","Turista Internacional",IF(M599=F599,"Local","Turista Nacional")))</f>
        <v>Local</v>
      </c>
      <c r="Q599" s="7" t="n">
        <f aca="false">IF($A599="","",DATE(YEAR(B599),MONTH(B599),1))</f>
        <v>46023</v>
      </c>
      <c r="R599" s="4" t="str">
        <f aca="false">IF($A599="","",IF(COUNTIF($A$2:$A599,$A599)&gt;1,"Sim","Não"))</f>
        <v>Não</v>
      </c>
      <c r="S599" s="4" t="str">
        <f aca="false">IF(A599="","Descartar - Linha vazia",IF(R599="Sim","Descartar - Duplicado",IF(OR(H599&lt;=0,I599&lt;=0),"Descartar - Qtd/Valor inválido","OK")))</f>
        <v>OK</v>
      </c>
      <c r="T599" s="4" t="str">
        <f aca="false">Base_Bruta!P599</f>
        <v>vendas_SP.xlsx</v>
      </c>
    </row>
    <row r="600" customFormat="false" ht="15" hidden="false" customHeight="false" outlineLevel="0" collapsed="false">
      <c r="A600" s="4" t="str">
        <f aca="false">IF(Base_Bruta!A600="","",Base_Bruta!A600)</f>
        <v>SP-000253</v>
      </c>
      <c r="B600" s="5" t="n">
        <f aca="false">IF($A600="","",IF(ISNUMBER(Base_Bruta!B600),Base_Bruta!B600,IF(MID(Base_Bruta!B600,5,1)="-",DATE(VALUE(LEFT(Base_Bruta!B600,4)),VALUE(MID(Base_Bruta!B600,6,2)),VALUE(RIGHT(Base_Bruta!B600,2))),DATE(VALUE(RIGHT(Base_Bruta!B600,4)),VALUE(MID(Base_Bruta!B600,4,2)),VALUE(LEFT(Base_Bruta!B600,2))))))</f>
        <v>46036</v>
      </c>
      <c r="C600" s="5" t="n">
        <f aca="false">IF($A600="","",IF(ISNUMBER(Base_Bruta!C600),Base_Bruta!C600,IF(MID(Base_Bruta!C600,5,1)="-",DATE(VALUE(LEFT(Base_Bruta!C600,4)),VALUE(MID(Base_Bruta!C600,6,2)),VALUE(RIGHT(Base_Bruta!C600,2))),DATE(VALUE(RIGHT(Base_Bruta!C600,4)),VALUE(MID(Base_Bruta!C600,4,2)),VALUE(LEFT(Base_Bruta!C600,2))))))</f>
        <v>46130</v>
      </c>
      <c r="D600" s="4" t="str">
        <f aca="false">IF($A600="","",TRIM(Base_Bruta!D600))</f>
        <v>Festival Sonora SP 2026</v>
      </c>
      <c r="E600" s="4" t="str">
        <f aca="false">IF($A600="","",_xlfn.XLOOKUP(LOWER(TRIM(Base_Bruta!E600)),DePara_Categoria!$A$2:$A$9,DePara_Categoria!$B$2:$B$9,"REVISAR"))</f>
        <v>Festival</v>
      </c>
      <c r="F600" s="4" t="str">
        <f aca="false">IF($A600="","",_xlfn.XLOOKUP(LOWER(TRIM(Base_Bruta!F600)),DePara_Cidade!$A$2:$A$29,DePara_Cidade!$B$2:$B$29,"REVISAR"))</f>
        <v>São Paulo</v>
      </c>
      <c r="G600" s="4" t="str">
        <f aca="false">IF($A600="","",TRIM(Base_Bruta!G600))</f>
        <v>Inteira</v>
      </c>
      <c r="H600" s="4" t="n">
        <f aca="false">IF($A600="","",IF(ISNUMBER(Base_Bruta!H600),Base_Bruta!H600,IFERROR(_xlfn.NUMBERVALUE(TRIM(SUBSTITUTE(Base_Bruta!H600,"R$","")),",","."),0)))</f>
        <v>2</v>
      </c>
      <c r="I600" s="6" t="n">
        <f aca="false">IF($A600="","",IF(ISNUMBER(Base_Bruta!I600),Base_Bruta!I600,IFERROR(_xlfn.NUMBERVALUE(TRIM(SUBSTITUTE(Base_Bruta!I600,"R$","")),",","."),0)))</f>
        <v>670</v>
      </c>
      <c r="J600" s="6" t="n">
        <f aca="false">IF($A600="","",H600*I600)</f>
        <v>1340</v>
      </c>
      <c r="K600" s="4" t="str">
        <f aca="false">IF($A600="","",TRIM(Base_Bruta!J600))</f>
        <v>App</v>
      </c>
      <c r="L600" s="4" t="str">
        <f aca="false">IF($A600="","",TRIM(Base_Bruta!K600))</f>
        <v>C01093</v>
      </c>
      <c r="M600" s="4" t="str">
        <f aca="false">IF($A600="","",_xlfn.XLOOKUP(LOWER(TRIM(Base_Bruta!L600)),DePara_Cidade!$A$2:$A$29,DePara_Cidade!$B$2:$B$29,"REVISAR"))</f>
        <v>São Paulo</v>
      </c>
      <c r="N600" s="4" t="str">
        <f aca="false">IF($A600="","",UPPER(TRIM(Base_Bruta!M600)))</f>
        <v>SP</v>
      </c>
      <c r="O600" s="4" t="str">
        <f aca="false">IF($A600="","",_xlfn.XLOOKUP(LOWER(TRIM(Base_Bruta!N600)),DePara_Pais!$A$2:$A$9,DePara_Pais!$B$2:$B$9,"REVISAR"))</f>
        <v>Brasil</v>
      </c>
      <c r="P600" s="4" t="str">
        <f aca="false">IF($A600="","",IF(O600&lt;&gt;"Brasil","Turista Internacional",IF(M600=F600,"Local","Turista Nacional")))</f>
        <v>Local</v>
      </c>
      <c r="Q600" s="7" t="n">
        <f aca="false">IF($A600="","",DATE(YEAR(B600),MONTH(B600),1))</f>
        <v>46023</v>
      </c>
      <c r="R600" s="4" t="str">
        <f aca="false">IF($A600="","",IF(COUNTIF($A$2:$A600,$A600)&gt;1,"Sim","Não"))</f>
        <v>Não</v>
      </c>
      <c r="S600" s="4" t="str">
        <f aca="false">IF(A600="","Descartar - Linha vazia",IF(R600="Sim","Descartar - Duplicado",IF(OR(H600&lt;=0,I600&lt;=0),"Descartar - Qtd/Valor inválido","OK")))</f>
        <v>OK</v>
      </c>
      <c r="T600" s="4" t="str">
        <f aca="false">Base_Bruta!P600</f>
        <v>vendas_SP.xlsx</v>
      </c>
    </row>
    <row r="601" customFormat="false" ht="15" hidden="false" customHeight="false" outlineLevel="0" collapsed="false">
      <c r="A601" s="4" t="str">
        <f aca="false">IF(Base_Bruta!A601="","",Base_Bruta!A601)</f>
        <v>SP-000295</v>
      </c>
      <c r="B601" s="5" t="n">
        <f aca="false">IF($A601="","",IF(ISNUMBER(Base_Bruta!B601),Base_Bruta!B601,IF(MID(Base_Bruta!B601,5,1)="-",DATE(VALUE(LEFT(Base_Bruta!B601,4)),VALUE(MID(Base_Bruta!B601,6,2)),VALUE(RIGHT(Base_Bruta!B601,2))),DATE(VALUE(RIGHT(Base_Bruta!B601,4)),VALUE(MID(Base_Bruta!B601,4,2)),VALUE(LEFT(Base_Bruta!B601,2))))))</f>
        <v>46036</v>
      </c>
      <c r="C601" s="5" t="n">
        <f aca="false">IF($A601="","",IF(ISNUMBER(Base_Bruta!C601),Base_Bruta!C601,IF(MID(Base_Bruta!C601,5,1)="-",DATE(VALUE(LEFT(Base_Bruta!C601,4)),VALUE(MID(Base_Bruta!C601,6,2)),VALUE(RIGHT(Base_Bruta!C601,2))),DATE(VALUE(RIGHT(Base_Bruta!C601,4)),VALUE(MID(Base_Bruta!C601,4,2)),VALUE(LEFT(Base_Bruta!C601,2))))))</f>
        <v>46130</v>
      </c>
      <c r="D601" s="4" t="str">
        <f aca="false">IF($A601="","",TRIM(Base_Bruta!D601))</f>
        <v>Festival Sonora SP 2026</v>
      </c>
      <c r="E601" s="4" t="str">
        <f aca="false">IF($A601="","",_xlfn.XLOOKUP(LOWER(TRIM(Base_Bruta!E601)),DePara_Categoria!$A$2:$A$9,DePara_Categoria!$B$2:$B$9,"REVISAR"))</f>
        <v>Festival</v>
      </c>
      <c r="F601" s="4" t="str">
        <f aca="false">IF($A601="","",_xlfn.XLOOKUP(LOWER(TRIM(Base_Bruta!F601)),DePara_Cidade!$A$2:$A$29,DePara_Cidade!$B$2:$B$29,"REVISAR"))</f>
        <v>São Paulo</v>
      </c>
      <c r="G601" s="4" t="str">
        <f aca="false">IF($A601="","",TRIM(Base_Bruta!G601))</f>
        <v>Meia</v>
      </c>
      <c r="H601" s="4" t="n">
        <f aca="false">IF($A601="","",IF(ISNUMBER(Base_Bruta!H601),Base_Bruta!H601,IFERROR(_xlfn.NUMBERVALUE(TRIM(SUBSTITUTE(Base_Bruta!H601,"R$","")),",","."),0)))</f>
        <v>2</v>
      </c>
      <c r="I601" s="6" t="n">
        <f aca="false">IF($A601="","",IF(ISNUMBER(Base_Bruta!I601),Base_Bruta!I601,IFERROR(_xlfn.NUMBERVALUE(TRIM(SUBSTITUTE(Base_Bruta!I601,"R$","")),",","."),0)))</f>
        <v>360</v>
      </c>
      <c r="J601" s="6" t="n">
        <f aca="false">IF($A601="","",H601*I601)</f>
        <v>720</v>
      </c>
      <c r="K601" s="4" t="str">
        <f aca="false">IF($A601="","",TRIM(Base_Bruta!J601))</f>
        <v>App</v>
      </c>
      <c r="L601" s="4" t="str">
        <f aca="false">IF($A601="","",TRIM(Base_Bruta!K601))</f>
        <v>C00720</v>
      </c>
      <c r="M601" s="4" t="str">
        <f aca="false">IF($A601="","",_xlfn.XLOOKUP(LOWER(TRIM(Base_Bruta!L601)),DePara_Cidade!$A$2:$A$29,DePara_Cidade!$B$2:$B$29,"REVISAR"))</f>
        <v>Campinas</v>
      </c>
      <c r="N601" s="4" t="str">
        <f aca="false">IF($A601="","",UPPER(TRIM(Base_Bruta!M601)))</f>
        <v>SP</v>
      </c>
      <c r="O601" s="4" t="str">
        <f aca="false">IF($A601="","",_xlfn.XLOOKUP(LOWER(TRIM(Base_Bruta!N601)),DePara_Pais!$A$2:$A$9,DePara_Pais!$B$2:$B$9,"REVISAR"))</f>
        <v>Brasil</v>
      </c>
      <c r="P601" s="4" t="str">
        <f aca="false">IF($A601="","",IF(O601&lt;&gt;"Brasil","Turista Internacional",IF(M601=F601,"Local","Turista Nacional")))</f>
        <v>Turista Nacional</v>
      </c>
      <c r="Q601" s="7" t="n">
        <f aca="false">IF($A601="","",DATE(YEAR(B601),MONTH(B601),1))</f>
        <v>46023</v>
      </c>
      <c r="R601" s="4" t="str">
        <f aca="false">IF($A601="","",IF(COUNTIF($A$2:$A601,$A601)&gt;1,"Sim","Não"))</f>
        <v>Não</v>
      </c>
      <c r="S601" s="4" t="str">
        <f aca="false">IF(A601="","Descartar - Linha vazia",IF(R601="Sim","Descartar - Duplicado",IF(OR(H601&lt;=0,I601&lt;=0),"Descartar - Qtd/Valor inválido","OK")))</f>
        <v>OK</v>
      </c>
      <c r="T601" s="4" t="str">
        <f aca="false">Base_Bruta!P601</f>
        <v>vendas_SP.xlsx</v>
      </c>
    </row>
    <row r="602" customFormat="false" ht="15" hidden="false" customHeight="false" outlineLevel="0" collapsed="false">
      <c r="A602" s="4" t="str">
        <f aca="false">IF(Base_Bruta!A602="","",Base_Bruta!A602)</f>
        <v>SP-000316</v>
      </c>
      <c r="B602" s="5" t="n">
        <f aca="false">IF($A602="","",IF(ISNUMBER(Base_Bruta!B602),Base_Bruta!B602,IF(MID(Base_Bruta!B602,5,1)="-",DATE(VALUE(LEFT(Base_Bruta!B602,4)),VALUE(MID(Base_Bruta!B602,6,2)),VALUE(RIGHT(Base_Bruta!B602,2))),DATE(VALUE(RIGHT(Base_Bruta!B602,4)),VALUE(MID(Base_Bruta!B602,4,2)),VALUE(LEFT(Base_Bruta!B602,2))))))</f>
        <v>46036</v>
      </c>
      <c r="C602" s="5" t="n">
        <f aca="false">IF($A602="","",IF(ISNUMBER(Base_Bruta!C602),Base_Bruta!C602,IF(MID(Base_Bruta!C602,5,1)="-",DATE(VALUE(LEFT(Base_Bruta!C602,4)),VALUE(MID(Base_Bruta!C602,6,2)),VALUE(RIGHT(Base_Bruta!C602,2))),DATE(VALUE(RIGHT(Base_Bruta!C602,4)),VALUE(MID(Base_Bruta!C602,4,2)),VALUE(LEFT(Base_Bruta!C602,2))))))</f>
        <v>46130</v>
      </c>
      <c r="D602" s="4" t="str">
        <f aca="false">IF($A602="","",TRIM(Base_Bruta!D602))</f>
        <v>Festival Sonora SP 2026</v>
      </c>
      <c r="E602" s="4" t="str">
        <f aca="false">IF($A602="","",_xlfn.XLOOKUP(LOWER(TRIM(Base_Bruta!E602)),DePara_Categoria!$A$2:$A$9,DePara_Categoria!$B$2:$B$9,"REVISAR"))</f>
        <v>Festival</v>
      </c>
      <c r="F602" s="4" t="str">
        <f aca="false">IF($A602="","",_xlfn.XLOOKUP(LOWER(TRIM(Base_Bruta!F602)),DePara_Cidade!$A$2:$A$29,DePara_Cidade!$B$2:$B$29,"REVISAR"))</f>
        <v>São Paulo</v>
      </c>
      <c r="G602" s="4" t="str">
        <f aca="false">IF($A602="","",TRIM(Base_Bruta!G602))</f>
        <v>Inteira</v>
      </c>
      <c r="H602" s="4" t="n">
        <f aca="false">IF($A602="","",IF(ISNUMBER(Base_Bruta!H602),Base_Bruta!H602,IFERROR(_xlfn.NUMBERVALUE(TRIM(SUBSTITUTE(Base_Bruta!H602,"R$","")),",","."),0)))</f>
        <v>1</v>
      </c>
      <c r="I602" s="6" t="n">
        <f aca="false">IF($A602="","",IF(ISNUMBER(Base_Bruta!I602),Base_Bruta!I602,IFERROR(_xlfn.NUMBERVALUE(TRIM(SUBSTITUTE(Base_Bruta!I602,"R$","")),",","."),0)))</f>
        <v>1125</v>
      </c>
      <c r="J602" s="6" t="n">
        <f aca="false">IF($A602="","",H602*I602)</f>
        <v>1125</v>
      </c>
      <c r="K602" s="4" t="str">
        <f aca="false">IF($A602="","",TRIM(Base_Bruta!J602))</f>
        <v>App</v>
      </c>
      <c r="L602" s="4" t="str">
        <f aca="false">IF($A602="","",TRIM(Base_Bruta!K602))</f>
        <v>C00429</v>
      </c>
      <c r="M602" s="4" t="str">
        <f aca="false">IF($A602="","",_xlfn.XLOOKUP(LOWER(TRIM(Base_Bruta!L602)),DePara_Cidade!$A$2:$A$29,DePara_Cidade!$B$2:$B$29,"REVISAR"))</f>
        <v>São Paulo</v>
      </c>
      <c r="N602" s="4" t="str">
        <f aca="false">IF($A602="","",UPPER(TRIM(Base_Bruta!M602)))</f>
        <v>SP</v>
      </c>
      <c r="O602" s="4" t="str">
        <f aca="false">IF($A602="","",_xlfn.XLOOKUP(LOWER(TRIM(Base_Bruta!N602)),DePara_Pais!$A$2:$A$9,DePara_Pais!$B$2:$B$9,"REVISAR"))</f>
        <v>Brasil</v>
      </c>
      <c r="P602" s="4" t="str">
        <f aca="false">IF($A602="","",IF(O602&lt;&gt;"Brasil","Turista Internacional",IF(M602=F602,"Local","Turista Nacional")))</f>
        <v>Local</v>
      </c>
      <c r="Q602" s="7" t="n">
        <f aca="false">IF($A602="","",DATE(YEAR(B602),MONTH(B602),1))</f>
        <v>46023</v>
      </c>
      <c r="R602" s="4" t="str">
        <f aca="false">IF($A602="","",IF(COUNTIF($A$2:$A602,$A602)&gt;1,"Sim","Não"))</f>
        <v>Não</v>
      </c>
      <c r="S602" s="4" t="str">
        <f aca="false">IF(A602="","Descartar - Linha vazia",IF(R602="Sim","Descartar - Duplicado",IF(OR(H602&lt;=0,I602&lt;=0),"Descartar - Qtd/Valor inválido","OK")))</f>
        <v>OK</v>
      </c>
      <c r="T602" s="4" t="str">
        <f aca="false">Base_Bruta!P602</f>
        <v>vendas_SP.xlsx</v>
      </c>
    </row>
    <row r="603" customFormat="false" ht="15" hidden="false" customHeight="false" outlineLevel="0" collapsed="false">
      <c r="A603" s="4" t="str">
        <f aca="false">IF(Base_Bruta!A603="","",Base_Bruta!A603)</f>
        <v>SP-000376</v>
      </c>
      <c r="B603" s="5" t="n">
        <f aca="false">IF($A603="","",IF(ISNUMBER(Base_Bruta!B603),Base_Bruta!B603,IF(MID(Base_Bruta!B603,5,1)="-",DATE(VALUE(LEFT(Base_Bruta!B603,4)),VALUE(MID(Base_Bruta!B603,6,2)),VALUE(RIGHT(Base_Bruta!B603,2))),DATE(VALUE(RIGHT(Base_Bruta!B603,4)),VALUE(MID(Base_Bruta!B603,4,2)),VALUE(LEFT(Base_Bruta!B603,2))))))</f>
        <v>46036</v>
      </c>
      <c r="C603" s="5" t="n">
        <f aca="false">IF($A603="","",IF(ISNUMBER(Base_Bruta!C603),Base_Bruta!C603,IF(MID(Base_Bruta!C603,5,1)="-",DATE(VALUE(LEFT(Base_Bruta!C603,4)),VALUE(MID(Base_Bruta!C603,6,2)),VALUE(RIGHT(Base_Bruta!C603,2))),DATE(VALUE(RIGHT(Base_Bruta!C603,4)),VALUE(MID(Base_Bruta!C603,4,2)),VALUE(LEFT(Base_Bruta!C603,2))))))</f>
        <v>46130</v>
      </c>
      <c r="D603" s="4" t="str">
        <f aca="false">IF($A603="","",TRIM(Base_Bruta!D603))</f>
        <v>Festival Sonora SP 2026</v>
      </c>
      <c r="E603" s="4" t="str">
        <f aca="false">IF($A603="","",_xlfn.XLOOKUP(LOWER(TRIM(Base_Bruta!E603)),DePara_Categoria!$A$2:$A$9,DePara_Categoria!$B$2:$B$9,"REVISAR"))</f>
        <v>Festival</v>
      </c>
      <c r="F603" s="4" t="str">
        <f aca="false">IF($A603="","",_xlfn.XLOOKUP(LOWER(TRIM(Base_Bruta!F603)),DePara_Cidade!$A$2:$A$29,DePara_Cidade!$B$2:$B$29,"REVISAR"))</f>
        <v>São Paulo</v>
      </c>
      <c r="G603" s="4" t="str">
        <f aca="false">IF($A603="","",TRIM(Base_Bruta!G603))</f>
        <v>Inteira</v>
      </c>
      <c r="H603" s="4" t="n">
        <f aca="false">IF($A603="","",IF(ISNUMBER(Base_Bruta!H603),Base_Bruta!H603,IFERROR(_xlfn.NUMBERVALUE(TRIM(SUBSTITUTE(Base_Bruta!H603,"R$","")),",","."),0)))</f>
        <v>1</v>
      </c>
      <c r="I603" s="6" t="n">
        <f aca="false">IF($A603="","",IF(ISNUMBER(Base_Bruta!I603),Base_Bruta!I603,IFERROR(_xlfn.NUMBERVALUE(TRIM(SUBSTITUTE(Base_Bruta!I603,"R$","")),",","."),0)))</f>
        <v>965</v>
      </c>
      <c r="J603" s="6" t="n">
        <f aca="false">IF($A603="","",H603*I603)</f>
        <v>965</v>
      </c>
      <c r="K603" s="4" t="str">
        <f aca="false">IF($A603="","",TRIM(Base_Bruta!J603))</f>
        <v>Parceiro</v>
      </c>
      <c r="L603" s="4" t="str">
        <f aca="false">IF($A603="","",TRIM(Base_Bruta!K603))</f>
        <v>C00875</v>
      </c>
      <c r="M603" s="4" t="str">
        <f aca="false">IF($A603="","",_xlfn.XLOOKUP(LOWER(TRIM(Base_Bruta!L603)),DePara_Cidade!$A$2:$A$29,DePara_Cidade!$B$2:$B$29,"REVISAR"))</f>
        <v>São Paulo</v>
      </c>
      <c r="N603" s="4" t="str">
        <f aca="false">IF($A603="","",UPPER(TRIM(Base_Bruta!M603)))</f>
        <v>SP</v>
      </c>
      <c r="O603" s="4" t="str">
        <f aca="false">IF($A603="","",_xlfn.XLOOKUP(LOWER(TRIM(Base_Bruta!N603)),DePara_Pais!$A$2:$A$9,DePara_Pais!$B$2:$B$9,"REVISAR"))</f>
        <v>Brasil</v>
      </c>
      <c r="P603" s="4" t="str">
        <f aca="false">IF($A603="","",IF(O603&lt;&gt;"Brasil","Turista Internacional",IF(M603=F603,"Local","Turista Nacional")))</f>
        <v>Local</v>
      </c>
      <c r="Q603" s="7" t="n">
        <f aca="false">IF($A603="","",DATE(YEAR(B603),MONTH(B603),1))</f>
        <v>46023</v>
      </c>
      <c r="R603" s="4" t="str">
        <f aca="false">IF($A603="","",IF(COUNTIF($A$2:$A603,$A603)&gt;1,"Sim","Não"))</f>
        <v>Não</v>
      </c>
      <c r="S603" s="4" t="str">
        <f aca="false">IF(A603="","Descartar - Linha vazia",IF(R603="Sim","Descartar - Duplicado",IF(OR(H603&lt;=0,I603&lt;=0),"Descartar - Qtd/Valor inválido","OK")))</f>
        <v>OK</v>
      </c>
      <c r="T603" s="4" t="str">
        <f aca="false">Base_Bruta!P603</f>
        <v>vendas_SP.xlsx</v>
      </c>
    </row>
    <row r="604" customFormat="false" ht="15" hidden="false" customHeight="false" outlineLevel="0" collapsed="false">
      <c r="A604" s="4" t="str">
        <f aca="false">IF(Base_Bruta!A604="","",Base_Bruta!A604)</f>
        <v>SP-000261</v>
      </c>
      <c r="B604" s="5" t="n">
        <f aca="false">IF($A604="","",IF(ISNUMBER(Base_Bruta!B604),Base_Bruta!B604,IF(MID(Base_Bruta!B604,5,1)="-",DATE(VALUE(LEFT(Base_Bruta!B604,4)),VALUE(MID(Base_Bruta!B604,6,2)),VALUE(RIGHT(Base_Bruta!B604,2))),DATE(VALUE(RIGHT(Base_Bruta!B604,4)),VALUE(MID(Base_Bruta!B604,4,2)),VALUE(LEFT(Base_Bruta!B604,2))))))</f>
        <v>46037</v>
      </c>
      <c r="C604" s="5" t="n">
        <f aca="false">IF($A604="","",IF(ISNUMBER(Base_Bruta!C604),Base_Bruta!C604,IF(MID(Base_Bruta!C604,5,1)="-",DATE(VALUE(LEFT(Base_Bruta!C604,4)),VALUE(MID(Base_Bruta!C604,6,2)),VALUE(RIGHT(Base_Bruta!C604,2))),DATE(VALUE(RIGHT(Base_Bruta!C604,4)),VALUE(MID(Base_Bruta!C604,4,2)),VALUE(LEFT(Base_Bruta!C604,2))))))</f>
        <v>46130</v>
      </c>
      <c r="D604" s="4" t="str">
        <f aca="false">IF($A604="","",TRIM(Base_Bruta!D604))</f>
        <v>Festival Sonora SP 2026</v>
      </c>
      <c r="E604" s="4" t="str">
        <f aca="false">IF($A604="","",_xlfn.XLOOKUP(LOWER(TRIM(Base_Bruta!E604)),DePara_Categoria!$A$2:$A$9,DePara_Categoria!$B$2:$B$9,"REVISAR"))</f>
        <v>Festival</v>
      </c>
      <c r="F604" s="4" t="str">
        <f aca="false">IF($A604="","",_xlfn.XLOOKUP(LOWER(TRIM(Base_Bruta!F604)),DePara_Cidade!$A$2:$A$29,DePara_Cidade!$B$2:$B$29,"REVISAR"))</f>
        <v>São Paulo</v>
      </c>
      <c r="G604" s="4" t="str">
        <f aca="false">IF($A604="","",TRIM(Base_Bruta!G604))</f>
        <v>Inteira</v>
      </c>
      <c r="H604" s="4" t="n">
        <f aca="false">IF($A604="","",IF(ISNUMBER(Base_Bruta!H604),Base_Bruta!H604,IFERROR(_xlfn.NUMBERVALUE(TRIM(SUBSTITUTE(Base_Bruta!H604,"R$","")),",","."),0)))</f>
        <v>3</v>
      </c>
      <c r="I604" s="6" t="n">
        <f aca="false">IF($A604="","",IF(ISNUMBER(Base_Bruta!I604),Base_Bruta!I604,IFERROR(_xlfn.NUMBERVALUE(TRIM(SUBSTITUTE(Base_Bruta!I604,"R$","")),",","."),0)))</f>
        <v>655</v>
      </c>
      <c r="J604" s="6" t="n">
        <f aca="false">IF($A604="","",H604*I604)</f>
        <v>1965</v>
      </c>
      <c r="K604" s="4" t="str">
        <f aca="false">IF($A604="","",TRIM(Base_Bruta!J604))</f>
        <v>Site</v>
      </c>
      <c r="L604" s="4" t="str">
        <f aca="false">IF($A604="","",TRIM(Base_Bruta!K604))</f>
        <v>C01219</v>
      </c>
      <c r="M604" s="4" t="str">
        <f aca="false">IF($A604="","",_xlfn.XLOOKUP(LOWER(TRIM(Base_Bruta!L604)),DePara_Cidade!$A$2:$A$29,DePara_Cidade!$B$2:$B$29,"REVISAR"))</f>
        <v>São Paulo</v>
      </c>
      <c r="N604" s="4" t="str">
        <f aca="false">IF($A604="","",UPPER(TRIM(Base_Bruta!M604)))</f>
        <v>SP</v>
      </c>
      <c r="O604" s="4" t="str">
        <f aca="false">IF($A604="","",_xlfn.XLOOKUP(LOWER(TRIM(Base_Bruta!N604)),DePara_Pais!$A$2:$A$9,DePara_Pais!$B$2:$B$9,"REVISAR"))</f>
        <v>Brasil</v>
      </c>
      <c r="P604" s="4" t="str">
        <f aca="false">IF($A604="","",IF(O604&lt;&gt;"Brasil","Turista Internacional",IF(M604=F604,"Local","Turista Nacional")))</f>
        <v>Local</v>
      </c>
      <c r="Q604" s="7" t="n">
        <f aca="false">IF($A604="","",DATE(YEAR(B604),MONTH(B604),1))</f>
        <v>46023</v>
      </c>
      <c r="R604" s="4" t="str">
        <f aca="false">IF($A604="","",IF(COUNTIF($A$2:$A604,$A604)&gt;1,"Sim","Não"))</f>
        <v>Não</v>
      </c>
      <c r="S604" s="4" t="str">
        <f aca="false">IF(A604="","Descartar - Linha vazia",IF(R604="Sim","Descartar - Duplicado",IF(OR(H604&lt;=0,I604&lt;=0),"Descartar - Qtd/Valor inválido","OK")))</f>
        <v>OK</v>
      </c>
      <c r="T604" s="4" t="str">
        <f aca="false">Base_Bruta!P604</f>
        <v>vendas_SP.xlsx</v>
      </c>
    </row>
    <row r="605" customFormat="false" ht="15" hidden="false" customHeight="false" outlineLevel="0" collapsed="false">
      <c r="A605" s="4" t="str">
        <f aca="false">IF(Base_Bruta!A605="","",Base_Bruta!A605)</f>
        <v>SP-000391</v>
      </c>
      <c r="B605" s="5" t="n">
        <f aca="false">IF($A605="","",IF(ISNUMBER(Base_Bruta!B605),Base_Bruta!B605,IF(MID(Base_Bruta!B605,5,1)="-",DATE(VALUE(LEFT(Base_Bruta!B605,4)),VALUE(MID(Base_Bruta!B605,6,2)),VALUE(RIGHT(Base_Bruta!B605,2))),DATE(VALUE(RIGHT(Base_Bruta!B605,4)),VALUE(MID(Base_Bruta!B605,4,2)),VALUE(LEFT(Base_Bruta!B605,2))))))</f>
        <v>46039</v>
      </c>
      <c r="C605" s="5" t="n">
        <f aca="false">IF($A605="","",IF(ISNUMBER(Base_Bruta!C605),Base_Bruta!C605,IF(MID(Base_Bruta!C605,5,1)="-",DATE(VALUE(LEFT(Base_Bruta!C605,4)),VALUE(MID(Base_Bruta!C605,6,2)),VALUE(RIGHT(Base_Bruta!C605,2))),DATE(VALUE(RIGHT(Base_Bruta!C605,4)),VALUE(MID(Base_Bruta!C605,4,2)),VALUE(LEFT(Base_Bruta!C605,2))))))</f>
        <v>46130</v>
      </c>
      <c r="D605" s="4" t="str">
        <f aca="false">IF($A605="","",TRIM(Base_Bruta!D605))</f>
        <v>Festival Sonora SP 2026</v>
      </c>
      <c r="E605" s="4" t="str">
        <f aca="false">IF($A605="","",_xlfn.XLOOKUP(LOWER(TRIM(Base_Bruta!E605)),DePara_Categoria!$A$2:$A$9,DePara_Categoria!$B$2:$B$9,"REVISAR"))</f>
        <v>Festival</v>
      </c>
      <c r="F605" s="4" t="str">
        <f aca="false">IF($A605="","",_xlfn.XLOOKUP(LOWER(TRIM(Base_Bruta!F605)),DePara_Cidade!$A$2:$A$29,DePara_Cidade!$B$2:$B$29,"REVISAR"))</f>
        <v>São Paulo</v>
      </c>
      <c r="G605" s="4" t="str">
        <f aca="false">IF($A605="","",TRIM(Base_Bruta!G605))</f>
        <v>VIP</v>
      </c>
      <c r="H605" s="4" t="n">
        <f aca="false">IF($A605="","",IF(ISNUMBER(Base_Bruta!H605),Base_Bruta!H605,IFERROR(_xlfn.NUMBERVALUE(TRIM(SUBSTITUTE(Base_Bruta!H605,"R$","")),",","."),0)))</f>
        <v>1</v>
      </c>
      <c r="I605" s="6" t="n">
        <f aca="false">IF($A605="","",IF(ISNUMBER(Base_Bruta!I605),Base_Bruta!I605,IFERROR(_xlfn.NUMBERVALUE(TRIM(SUBSTITUTE(Base_Bruta!I605,"R$","")),",","."),0)))</f>
        <v>1300</v>
      </c>
      <c r="J605" s="6" t="n">
        <f aca="false">IF($A605="","",H605*I605)</f>
        <v>1300</v>
      </c>
      <c r="K605" s="4" t="str">
        <f aca="false">IF($A605="","",TRIM(Base_Bruta!J605))</f>
        <v>Bilheteria</v>
      </c>
      <c r="L605" s="4" t="str">
        <f aca="false">IF($A605="","",TRIM(Base_Bruta!K605))</f>
        <v>C01935</v>
      </c>
      <c r="M605" s="4" t="str">
        <f aca="false">IF($A605="","",_xlfn.XLOOKUP(LOWER(TRIM(Base_Bruta!L605)),DePara_Cidade!$A$2:$A$29,DePara_Cidade!$B$2:$B$29,"REVISAR"))</f>
        <v>São Paulo</v>
      </c>
      <c r="N605" s="4" t="str">
        <f aca="false">IF($A605="","",UPPER(TRIM(Base_Bruta!M605)))</f>
        <v>SP</v>
      </c>
      <c r="O605" s="4" t="str">
        <f aca="false">IF($A605="","",_xlfn.XLOOKUP(LOWER(TRIM(Base_Bruta!N605)),DePara_Pais!$A$2:$A$9,DePara_Pais!$B$2:$B$9,"REVISAR"))</f>
        <v>Brasil</v>
      </c>
      <c r="P605" s="4" t="str">
        <f aca="false">IF($A605="","",IF(O605&lt;&gt;"Brasil","Turista Internacional",IF(M605=F605,"Local","Turista Nacional")))</f>
        <v>Local</v>
      </c>
      <c r="Q605" s="7" t="n">
        <f aca="false">IF($A605="","",DATE(YEAR(B605),MONTH(B605),1))</f>
        <v>46023</v>
      </c>
      <c r="R605" s="4" t="str">
        <f aca="false">IF($A605="","",IF(COUNTIF($A$2:$A605,$A605)&gt;1,"Sim","Não"))</f>
        <v>Não</v>
      </c>
      <c r="S605" s="4" t="str">
        <f aca="false">IF(A605="","Descartar - Linha vazia",IF(R605="Sim","Descartar - Duplicado",IF(OR(H605&lt;=0,I605&lt;=0),"Descartar - Qtd/Valor inválido","OK")))</f>
        <v>OK</v>
      </c>
      <c r="T605" s="4" t="str">
        <f aca="false">Base_Bruta!P605</f>
        <v>vendas_SP.xlsx</v>
      </c>
    </row>
    <row r="606" customFormat="false" ht="15" hidden="false" customHeight="false" outlineLevel="0" collapsed="false">
      <c r="A606" s="4" t="str">
        <f aca="false">IF(Base_Bruta!A606="","",Base_Bruta!A606)</f>
        <v>SP-000436</v>
      </c>
      <c r="B606" s="5" t="n">
        <f aca="false">IF($A606="","",IF(ISNUMBER(Base_Bruta!B606),Base_Bruta!B606,IF(MID(Base_Bruta!B606,5,1)="-",DATE(VALUE(LEFT(Base_Bruta!B606,4)),VALUE(MID(Base_Bruta!B606,6,2)),VALUE(RIGHT(Base_Bruta!B606,2))),DATE(VALUE(RIGHT(Base_Bruta!B606,4)),VALUE(MID(Base_Bruta!B606,4,2)),VALUE(LEFT(Base_Bruta!B606,2))))))</f>
        <v>46039</v>
      </c>
      <c r="C606" s="5" t="n">
        <f aca="false">IF($A606="","",IF(ISNUMBER(Base_Bruta!C606),Base_Bruta!C606,IF(MID(Base_Bruta!C606,5,1)="-",DATE(VALUE(LEFT(Base_Bruta!C606,4)),VALUE(MID(Base_Bruta!C606,6,2)),VALUE(RIGHT(Base_Bruta!C606,2))),DATE(VALUE(RIGHT(Base_Bruta!C606,4)),VALUE(MID(Base_Bruta!C606,4,2)),VALUE(LEFT(Base_Bruta!C606,2))))))</f>
        <v>46130</v>
      </c>
      <c r="D606" s="4" t="str">
        <f aca="false">IF($A606="","",TRIM(Base_Bruta!D606))</f>
        <v>Festival Sonora SP 2026</v>
      </c>
      <c r="E606" s="4" t="str">
        <f aca="false">IF($A606="","",_xlfn.XLOOKUP(LOWER(TRIM(Base_Bruta!E606)),DePara_Categoria!$A$2:$A$9,DePara_Categoria!$B$2:$B$9,"REVISAR"))</f>
        <v>Festival</v>
      </c>
      <c r="F606" s="4" t="str">
        <f aca="false">IF($A606="","",_xlfn.XLOOKUP(LOWER(TRIM(Base_Bruta!F606)),DePara_Cidade!$A$2:$A$29,DePara_Cidade!$B$2:$B$29,"REVISAR"))</f>
        <v>São Paulo</v>
      </c>
      <c r="G606" s="4" t="str">
        <f aca="false">IF($A606="","",TRIM(Base_Bruta!G606))</f>
        <v>Inteira</v>
      </c>
      <c r="H606" s="4" t="n">
        <f aca="false">IF($A606="","",IF(ISNUMBER(Base_Bruta!H606),Base_Bruta!H606,IFERROR(_xlfn.NUMBERVALUE(TRIM(SUBSTITUTE(Base_Bruta!H606,"R$","")),",","."),0)))</f>
        <v>2</v>
      </c>
      <c r="I606" s="6" t="n">
        <f aca="false">IF($A606="","",IF(ISNUMBER(Base_Bruta!I606),Base_Bruta!I606,IFERROR(_xlfn.NUMBERVALUE(TRIM(SUBSTITUTE(Base_Bruta!I606,"R$","")),",","."),0)))</f>
        <v>655</v>
      </c>
      <c r="J606" s="6" t="n">
        <f aca="false">IF($A606="","",H606*I606)</f>
        <v>1310</v>
      </c>
      <c r="K606" s="4" t="str">
        <f aca="false">IF($A606="","",TRIM(Base_Bruta!J606))</f>
        <v>Site</v>
      </c>
      <c r="L606" s="4" t="str">
        <f aca="false">IF($A606="","",TRIM(Base_Bruta!K606))</f>
        <v>C01017</v>
      </c>
      <c r="M606" s="4" t="str">
        <f aca="false">IF($A606="","",_xlfn.XLOOKUP(LOWER(TRIM(Base_Bruta!L606)),DePara_Cidade!$A$2:$A$29,DePara_Cidade!$B$2:$B$29,"REVISAR"))</f>
        <v>São Paulo</v>
      </c>
      <c r="N606" s="4" t="str">
        <f aca="false">IF($A606="","",UPPER(TRIM(Base_Bruta!M606)))</f>
        <v>SP</v>
      </c>
      <c r="O606" s="4" t="str">
        <f aca="false">IF($A606="","",_xlfn.XLOOKUP(LOWER(TRIM(Base_Bruta!N606)),DePara_Pais!$A$2:$A$9,DePara_Pais!$B$2:$B$9,"REVISAR"))</f>
        <v>Brasil</v>
      </c>
      <c r="P606" s="4" t="str">
        <f aca="false">IF($A606="","",IF(O606&lt;&gt;"Brasil","Turista Internacional",IF(M606=F606,"Local","Turista Nacional")))</f>
        <v>Local</v>
      </c>
      <c r="Q606" s="7" t="n">
        <f aca="false">IF($A606="","",DATE(YEAR(B606),MONTH(B606),1))</f>
        <v>46023</v>
      </c>
      <c r="R606" s="4" t="str">
        <f aca="false">IF($A606="","",IF(COUNTIF($A$2:$A606,$A606)&gt;1,"Sim","Não"))</f>
        <v>Não</v>
      </c>
      <c r="S606" s="4" t="str">
        <f aca="false">IF(A606="","Descartar - Linha vazia",IF(R606="Sim","Descartar - Duplicado",IF(OR(H606&lt;=0,I606&lt;=0),"Descartar - Qtd/Valor inválido","OK")))</f>
        <v>OK</v>
      </c>
      <c r="T606" s="4" t="str">
        <f aca="false">Base_Bruta!P606</f>
        <v>vendas_SP.xlsx</v>
      </c>
    </row>
    <row r="607" customFormat="false" ht="15" hidden="false" customHeight="false" outlineLevel="0" collapsed="false">
      <c r="A607" s="4" t="str">
        <f aca="false">IF(Base_Bruta!A607="","",Base_Bruta!A607)</f>
        <v>SP-000443</v>
      </c>
      <c r="B607" s="5" t="n">
        <f aca="false">IF($A607="","",IF(ISNUMBER(Base_Bruta!B607),Base_Bruta!B607,IF(MID(Base_Bruta!B607,5,1)="-",DATE(VALUE(LEFT(Base_Bruta!B607,4)),VALUE(MID(Base_Bruta!B607,6,2)),VALUE(RIGHT(Base_Bruta!B607,2))),DATE(VALUE(RIGHT(Base_Bruta!B607,4)),VALUE(MID(Base_Bruta!B607,4,2)),VALUE(LEFT(Base_Bruta!B607,2))))))</f>
        <v>46041</v>
      </c>
      <c r="C607" s="5" t="n">
        <f aca="false">IF($A607="","",IF(ISNUMBER(Base_Bruta!C607),Base_Bruta!C607,IF(MID(Base_Bruta!C607,5,1)="-",DATE(VALUE(LEFT(Base_Bruta!C607,4)),VALUE(MID(Base_Bruta!C607,6,2)),VALUE(RIGHT(Base_Bruta!C607,2))),DATE(VALUE(RIGHT(Base_Bruta!C607,4)),VALUE(MID(Base_Bruta!C607,4,2)),VALUE(LEFT(Base_Bruta!C607,2))))))</f>
        <v>46130</v>
      </c>
      <c r="D607" s="4" t="str">
        <f aca="false">IF($A607="","",TRIM(Base_Bruta!D607))</f>
        <v>Festival Sonora SP 2026</v>
      </c>
      <c r="E607" s="4" t="str">
        <f aca="false">IF($A607="","",_xlfn.XLOOKUP(LOWER(TRIM(Base_Bruta!E607)),DePara_Categoria!$A$2:$A$9,DePara_Categoria!$B$2:$B$9,"REVISAR"))</f>
        <v>Festival</v>
      </c>
      <c r="F607" s="4" t="str">
        <f aca="false">IF($A607="","",_xlfn.XLOOKUP(LOWER(TRIM(Base_Bruta!F607)),DePara_Cidade!$A$2:$A$29,DePara_Cidade!$B$2:$B$29,"REVISAR"))</f>
        <v>São Paulo</v>
      </c>
      <c r="G607" s="4" t="str">
        <f aca="false">IF($A607="","",TRIM(Base_Bruta!G607))</f>
        <v>Inteira</v>
      </c>
      <c r="H607" s="4" t="n">
        <f aca="false">IF($A607="","",IF(ISNUMBER(Base_Bruta!H607),Base_Bruta!H607,IFERROR(_xlfn.NUMBERVALUE(TRIM(SUBSTITUTE(Base_Bruta!H607,"R$","")),",","."),0)))</f>
        <v>3</v>
      </c>
      <c r="I607" s="6" t="n">
        <f aca="false">IF($A607="","",IF(ISNUMBER(Base_Bruta!I607),Base_Bruta!I607,IFERROR(_xlfn.NUMBERVALUE(TRIM(SUBSTITUTE(Base_Bruta!I607,"R$","")),",","."),0)))</f>
        <v>855</v>
      </c>
      <c r="J607" s="6" t="n">
        <f aca="false">IF($A607="","",H607*I607)</f>
        <v>2565</v>
      </c>
      <c r="K607" s="4" t="str">
        <f aca="false">IF($A607="","",TRIM(Base_Bruta!J607))</f>
        <v>App</v>
      </c>
      <c r="L607" s="4" t="str">
        <f aca="false">IF($A607="","",TRIM(Base_Bruta!K607))</f>
        <v>C01084</v>
      </c>
      <c r="M607" s="4" t="str">
        <f aca="false">IF($A607="","",_xlfn.XLOOKUP(LOWER(TRIM(Base_Bruta!L607)),DePara_Cidade!$A$2:$A$29,DePara_Cidade!$B$2:$B$29,"REVISAR"))</f>
        <v>São Paulo</v>
      </c>
      <c r="N607" s="4" t="str">
        <f aca="false">IF($A607="","",UPPER(TRIM(Base_Bruta!M607)))</f>
        <v>SP</v>
      </c>
      <c r="O607" s="4" t="str">
        <f aca="false">IF($A607="","",_xlfn.XLOOKUP(LOWER(TRIM(Base_Bruta!N607)),DePara_Pais!$A$2:$A$9,DePara_Pais!$B$2:$B$9,"REVISAR"))</f>
        <v>Brasil</v>
      </c>
      <c r="P607" s="4" t="str">
        <f aca="false">IF($A607="","",IF(O607&lt;&gt;"Brasil","Turista Internacional",IF(M607=F607,"Local","Turista Nacional")))</f>
        <v>Local</v>
      </c>
      <c r="Q607" s="7" t="n">
        <f aca="false">IF($A607="","",DATE(YEAR(B607),MONTH(B607),1))</f>
        <v>46023</v>
      </c>
      <c r="R607" s="4" t="str">
        <f aca="false">IF($A607="","",IF(COUNTIF($A$2:$A607,$A607)&gt;1,"Sim","Não"))</f>
        <v>Não</v>
      </c>
      <c r="S607" s="4" t="str">
        <f aca="false">IF(A607="","Descartar - Linha vazia",IF(R607="Sim","Descartar - Duplicado",IF(OR(H607&lt;=0,I607&lt;=0),"Descartar - Qtd/Valor inválido","OK")))</f>
        <v>OK</v>
      </c>
      <c r="T607" s="4" t="str">
        <f aca="false">Base_Bruta!P607</f>
        <v>vendas_SP.xlsx</v>
      </c>
    </row>
    <row r="608" customFormat="false" ht="15" hidden="false" customHeight="false" outlineLevel="0" collapsed="false">
      <c r="A608" s="4" t="str">
        <f aca="false">IF(Base_Bruta!A608="","",Base_Bruta!A608)</f>
        <v>SP-000772</v>
      </c>
      <c r="B608" s="5" t="n">
        <f aca="false">IF($A608="","",IF(ISNUMBER(Base_Bruta!B608),Base_Bruta!B608,IF(MID(Base_Bruta!B608,5,1)="-",DATE(VALUE(LEFT(Base_Bruta!B608,4)),VALUE(MID(Base_Bruta!B608,6,2)),VALUE(RIGHT(Base_Bruta!B608,2))),DATE(VALUE(RIGHT(Base_Bruta!B608,4)),VALUE(MID(Base_Bruta!B608,4,2)),VALUE(LEFT(Base_Bruta!B608,2))))))</f>
        <v>46041</v>
      </c>
      <c r="C608" s="5" t="n">
        <f aca="false">IF($A608="","",IF(ISNUMBER(Base_Bruta!C608),Base_Bruta!C608,IF(MID(Base_Bruta!C608,5,1)="-",DATE(VALUE(LEFT(Base_Bruta!C608,4)),VALUE(MID(Base_Bruta!C608,6,2)),VALUE(RIGHT(Base_Bruta!C608,2))),DATE(VALUE(RIGHT(Base_Bruta!C608,4)),VALUE(MID(Base_Bruta!C608,4,2)),VALUE(LEFT(Base_Bruta!C608,2))))))</f>
        <v>46044</v>
      </c>
      <c r="D608" s="4" t="str">
        <f aca="false">IF($A608="","",TRIM(Base_Bruta!D608))</f>
        <v>Cinema Paulista - Sessões</v>
      </c>
      <c r="E608" s="4" t="str">
        <f aca="false">IF($A608="","",_xlfn.XLOOKUP(LOWER(TRIM(Base_Bruta!E608)),DePara_Categoria!$A$2:$A$9,DePara_Categoria!$B$2:$B$9,"REVISAR"))</f>
        <v>Cinema</v>
      </c>
      <c r="F608" s="4" t="str">
        <f aca="false">IF($A608="","",_xlfn.XLOOKUP(LOWER(TRIM(Base_Bruta!F608)),DePara_Cidade!$A$2:$A$29,DePara_Cidade!$B$2:$B$29,"REVISAR"))</f>
        <v>São Paulo</v>
      </c>
      <c r="G608" s="4" t="str">
        <f aca="false">IF($A608="","",TRIM(Base_Bruta!G608))</f>
        <v>Meia</v>
      </c>
      <c r="H608" s="4" t="n">
        <f aca="false">IF($A608="","",IF(ISNUMBER(Base_Bruta!H608),Base_Bruta!H608,IFERROR(_xlfn.NUMBERVALUE(TRIM(SUBSTITUTE(Base_Bruta!H608,"R$","")),",","."),0)))</f>
        <v>1</v>
      </c>
      <c r="I608" s="6" t="n">
        <f aca="false">IF($A608="","",IF(ISNUMBER(Base_Bruta!I608),Base_Bruta!I608,IFERROR(_xlfn.NUMBERVALUE(TRIM(SUBSTITUTE(Base_Bruta!I608,"R$","")),",","."),0)))</f>
        <v>15</v>
      </c>
      <c r="J608" s="6" t="n">
        <f aca="false">IF($A608="","",H608*I608)</f>
        <v>15</v>
      </c>
      <c r="K608" s="4" t="str">
        <f aca="false">IF($A608="","",TRIM(Base_Bruta!J608))</f>
        <v>Bilheteria</v>
      </c>
      <c r="L608" s="4" t="str">
        <f aca="false">IF($A608="","",TRIM(Base_Bruta!K608))</f>
        <v>C02316</v>
      </c>
      <c r="M608" s="4" t="str">
        <f aca="false">IF($A608="","",_xlfn.XLOOKUP(LOWER(TRIM(Base_Bruta!L608)),DePara_Cidade!$A$2:$A$29,DePara_Cidade!$B$2:$B$29,"REVISAR"))</f>
        <v>São Paulo</v>
      </c>
      <c r="N608" s="4" t="str">
        <f aca="false">IF($A608="","",UPPER(TRIM(Base_Bruta!M608)))</f>
        <v>SP</v>
      </c>
      <c r="O608" s="4" t="str">
        <f aca="false">IF($A608="","",_xlfn.XLOOKUP(LOWER(TRIM(Base_Bruta!N608)),DePara_Pais!$A$2:$A$9,DePara_Pais!$B$2:$B$9,"REVISAR"))</f>
        <v>Brasil</v>
      </c>
      <c r="P608" s="4" t="str">
        <f aca="false">IF($A608="","",IF(O608&lt;&gt;"Brasil","Turista Internacional",IF(M608=F608,"Local","Turista Nacional")))</f>
        <v>Local</v>
      </c>
      <c r="Q608" s="7" t="n">
        <f aca="false">IF($A608="","",DATE(YEAR(B608),MONTH(B608),1))</f>
        <v>46023</v>
      </c>
      <c r="R608" s="4" t="str">
        <f aca="false">IF($A608="","",IF(COUNTIF($A$2:$A608,$A608)&gt;1,"Sim","Não"))</f>
        <v>Não</v>
      </c>
      <c r="S608" s="4" t="str">
        <f aca="false">IF(A608="","Descartar - Linha vazia",IF(R608="Sim","Descartar - Duplicado",IF(OR(H608&lt;=0,I608&lt;=0),"Descartar - Qtd/Valor inválido","OK")))</f>
        <v>OK</v>
      </c>
      <c r="T608" s="4" t="str">
        <f aca="false">Base_Bruta!P608</f>
        <v>vendas_SP.xlsx</v>
      </c>
    </row>
    <row r="609" customFormat="false" ht="15" hidden="false" customHeight="false" outlineLevel="0" collapsed="false">
      <c r="A609" s="4" t="str">
        <f aca="false">IF(Base_Bruta!A609="","",Base_Bruta!A609)</f>
        <v>SP-000390</v>
      </c>
      <c r="B609" s="5" t="n">
        <f aca="false">IF($A609="","",IF(ISNUMBER(Base_Bruta!B609),Base_Bruta!B609,IF(MID(Base_Bruta!B609,5,1)="-",DATE(VALUE(LEFT(Base_Bruta!B609,4)),VALUE(MID(Base_Bruta!B609,6,2)),VALUE(RIGHT(Base_Bruta!B609,2))),DATE(VALUE(RIGHT(Base_Bruta!B609,4)),VALUE(MID(Base_Bruta!B609,4,2)),VALUE(LEFT(Base_Bruta!B609,2))))))</f>
        <v>46042</v>
      </c>
      <c r="C609" s="5" t="n">
        <f aca="false">IF($A609="","",IF(ISNUMBER(Base_Bruta!C609),Base_Bruta!C609,IF(MID(Base_Bruta!C609,5,1)="-",DATE(VALUE(LEFT(Base_Bruta!C609,4)),VALUE(MID(Base_Bruta!C609,6,2)),VALUE(RIGHT(Base_Bruta!C609,2))),DATE(VALUE(RIGHT(Base_Bruta!C609,4)),VALUE(MID(Base_Bruta!C609,4,2)),VALUE(LEFT(Base_Bruta!C609,2))))))</f>
        <v>46130</v>
      </c>
      <c r="D609" s="4" t="str">
        <f aca="false">IF($A609="","",TRIM(Base_Bruta!D609))</f>
        <v>Festival Sonora SP 2026</v>
      </c>
      <c r="E609" s="4" t="str">
        <f aca="false">IF($A609="","",_xlfn.XLOOKUP(LOWER(TRIM(Base_Bruta!E609)),DePara_Categoria!$A$2:$A$9,DePara_Categoria!$B$2:$B$9,"REVISAR"))</f>
        <v>Festival</v>
      </c>
      <c r="F609" s="4" t="str">
        <f aca="false">IF($A609="","",_xlfn.XLOOKUP(LOWER(TRIM(Base_Bruta!F609)),DePara_Cidade!$A$2:$A$29,DePara_Cidade!$B$2:$B$29,"REVISAR"))</f>
        <v>São Paulo</v>
      </c>
      <c r="G609" s="4" t="str">
        <f aca="false">IF($A609="","",TRIM(Base_Bruta!G609))</f>
        <v>Meia</v>
      </c>
      <c r="H609" s="4" t="n">
        <f aca="false">IF($A609="","",IF(ISNUMBER(Base_Bruta!H609),Base_Bruta!H609,IFERROR(_xlfn.NUMBERVALUE(TRIM(SUBSTITUTE(Base_Bruta!H609,"R$","")),",","."),0)))</f>
        <v>1</v>
      </c>
      <c r="I609" s="6" t="n">
        <f aca="false">IF($A609="","",IF(ISNUMBER(Base_Bruta!I609),Base_Bruta!I609,IFERROR(_xlfn.NUMBERVALUE(TRIM(SUBSTITUTE(Base_Bruta!I609,"R$","")),",","."),0)))</f>
        <v>525</v>
      </c>
      <c r="J609" s="6" t="n">
        <f aca="false">IF($A609="","",H609*I609)</f>
        <v>525</v>
      </c>
      <c r="K609" s="4" t="str">
        <f aca="false">IF($A609="","",TRIM(Base_Bruta!J609))</f>
        <v>Site</v>
      </c>
      <c r="L609" s="4" t="str">
        <f aca="false">IF($A609="","",TRIM(Base_Bruta!K609))</f>
        <v>C02079</v>
      </c>
      <c r="M609" s="4" t="str">
        <f aca="false">IF($A609="","",_xlfn.XLOOKUP(LOWER(TRIM(Base_Bruta!L609)),DePara_Cidade!$A$2:$A$29,DePara_Cidade!$B$2:$B$29,"REVISAR"))</f>
        <v>São Paulo</v>
      </c>
      <c r="N609" s="4" t="str">
        <f aca="false">IF($A609="","",UPPER(TRIM(Base_Bruta!M609)))</f>
        <v>SP</v>
      </c>
      <c r="O609" s="4" t="str">
        <f aca="false">IF($A609="","",_xlfn.XLOOKUP(LOWER(TRIM(Base_Bruta!N609)),DePara_Pais!$A$2:$A$9,DePara_Pais!$B$2:$B$9,"REVISAR"))</f>
        <v>Brasil</v>
      </c>
      <c r="P609" s="4" t="str">
        <f aca="false">IF($A609="","",IF(O609&lt;&gt;"Brasil","Turista Internacional",IF(M609=F609,"Local","Turista Nacional")))</f>
        <v>Local</v>
      </c>
      <c r="Q609" s="7" t="n">
        <f aca="false">IF($A609="","",DATE(YEAR(B609),MONTH(B609),1))</f>
        <v>46023</v>
      </c>
      <c r="R609" s="4" t="str">
        <f aca="false">IF($A609="","",IF(COUNTIF($A$2:$A609,$A609)&gt;1,"Sim","Não"))</f>
        <v>Não</v>
      </c>
      <c r="S609" s="4" t="str">
        <f aca="false">IF(A609="","Descartar - Linha vazia",IF(R609="Sim","Descartar - Duplicado",IF(OR(H609&lt;=0,I609&lt;=0),"Descartar - Qtd/Valor inválido","OK")))</f>
        <v>OK</v>
      </c>
      <c r="T609" s="4" t="str">
        <f aca="false">Base_Bruta!P609</f>
        <v>vendas_SP.xlsx</v>
      </c>
    </row>
    <row r="610" customFormat="false" ht="15" hidden="false" customHeight="false" outlineLevel="0" collapsed="false">
      <c r="A610" s="4" t="str">
        <f aca="false">IF(Base_Bruta!A610="","",Base_Bruta!A610)</f>
        <v>SP-000394</v>
      </c>
      <c r="B610" s="5" t="n">
        <f aca="false">IF($A610="","",IF(ISNUMBER(Base_Bruta!B610),Base_Bruta!B610,IF(MID(Base_Bruta!B610,5,1)="-",DATE(VALUE(LEFT(Base_Bruta!B610,4)),VALUE(MID(Base_Bruta!B610,6,2)),VALUE(RIGHT(Base_Bruta!B610,2))),DATE(VALUE(RIGHT(Base_Bruta!B610,4)),VALUE(MID(Base_Bruta!B610,4,2)),VALUE(LEFT(Base_Bruta!B610,2))))))</f>
        <v>46042</v>
      </c>
      <c r="C610" s="5" t="n">
        <f aca="false">IF($A610="","",IF(ISNUMBER(Base_Bruta!C610),Base_Bruta!C610,IF(MID(Base_Bruta!C610,5,1)="-",DATE(VALUE(LEFT(Base_Bruta!C610,4)),VALUE(MID(Base_Bruta!C610,6,2)),VALUE(RIGHT(Base_Bruta!C610,2))),DATE(VALUE(RIGHT(Base_Bruta!C610,4)),VALUE(MID(Base_Bruta!C610,4,2)),VALUE(LEFT(Base_Bruta!C610,2))))))</f>
        <v>46130</v>
      </c>
      <c r="D610" s="4" t="str">
        <f aca="false">IF($A610="","",TRIM(Base_Bruta!D610))</f>
        <v>Festival Sonora SP 2026</v>
      </c>
      <c r="E610" s="4" t="str">
        <f aca="false">IF($A610="","",_xlfn.XLOOKUP(LOWER(TRIM(Base_Bruta!E610)),DePara_Categoria!$A$2:$A$9,DePara_Categoria!$B$2:$B$9,"REVISAR"))</f>
        <v>Festival</v>
      </c>
      <c r="F610" s="4" t="str">
        <f aca="false">IF($A610="","",_xlfn.XLOOKUP(LOWER(TRIM(Base_Bruta!F610)),DePara_Cidade!$A$2:$A$29,DePara_Cidade!$B$2:$B$29,"REVISAR"))</f>
        <v>São Paulo</v>
      </c>
      <c r="G610" s="4" t="str">
        <f aca="false">IF($A610="","",TRIM(Base_Bruta!G610))</f>
        <v>VIP</v>
      </c>
      <c r="H610" s="4" t="n">
        <f aca="false">IF($A610="","",IF(ISNUMBER(Base_Bruta!H610),Base_Bruta!H610,IFERROR(_xlfn.NUMBERVALUE(TRIM(SUBSTITUTE(Base_Bruta!H610,"R$","")),",","."),0)))</f>
        <v>1</v>
      </c>
      <c r="I610" s="6" t="n">
        <f aca="false">IF($A610="","",IF(ISNUMBER(Base_Bruta!I610),Base_Bruta!I610,IFERROR(_xlfn.NUMBERVALUE(TRIM(SUBSTITUTE(Base_Bruta!I610,"R$","")),",","."),0)))</f>
        <v>2020</v>
      </c>
      <c r="J610" s="6" t="n">
        <f aca="false">IF($A610="","",H610*I610)</f>
        <v>2020</v>
      </c>
      <c r="K610" s="4" t="str">
        <f aca="false">IF($A610="","",TRIM(Base_Bruta!J610))</f>
        <v>Site</v>
      </c>
      <c r="L610" s="4" t="str">
        <f aca="false">IF($A610="","",TRIM(Base_Bruta!K610))</f>
        <v>C01173</v>
      </c>
      <c r="M610" s="4" t="str">
        <f aca="false">IF($A610="","",_xlfn.XLOOKUP(LOWER(TRIM(Base_Bruta!L610)),DePara_Cidade!$A$2:$A$29,DePara_Cidade!$B$2:$B$29,"REVISAR"))</f>
        <v>Buenos Aires</v>
      </c>
      <c r="N610" s="4" t="str">
        <f aca="false">IF($A610="","",UPPER(TRIM(Base_Bruta!M610)))</f>
        <v>EX</v>
      </c>
      <c r="O610" s="4" t="str">
        <f aca="false">IF($A610="","",_xlfn.XLOOKUP(LOWER(TRIM(Base_Bruta!N610)),DePara_Pais!$A$2:$A$9,DePara_Pais!$B$2:$B$9,"REVISAR"))</f>
        <v>Argentina</v>
      </c>
      <c r="P610" s="4" t="str">
        <f aca="false">IF($A610="","",IF(O610&lt;&gt;"Brasil","Turista Internacional",IF(M610=F610,"Local","Turista Nacional")))</f>
        <v>Turista Internacional</v>
      </c>
      <c r="Q610" s="7" t="n">
        <f aca="false">IF($A610="","",DATE(YEAR(B610),MONTH(B610),1))</f>
        <v>46023</v>
      </c>
      <c r="R610" s="4" t="str">
        <f aca="false">IF($A610="","",IF(COUNTIF($A$2:$A610,$A610)&gt;1,"Sim","Não"))</f>
        <v>Não</v>
      </c>
      <c r="S610" s="4" t="str">
        <f aca="false">IF(A610="","Descartar - Linha vazia",IF(R610="Sim","Descartar - Duplicado",IF(OR(H610&lt;=0,I610&lt;=0),"Descartar - Qtd/Valor inválido","OK")))</f>
        <v>OK</v>
      </c>
      <c r="T610" s="4" t="str">
        <f aca="false">Base_Bruta!P610</f>
        <v>vendas_SP.xlsx</v>
      </c>
    </row>
    <row r="611" customFormat="false" ht="15" hidden="false" customHeight="false" outlineLevel="0" collapsed="false">
      <c r="A611" s="4" t="str">
        <f aca="false">IF(Base_Bruta!A611="","",Base_Bruta!A611)</f>
        <v>SP-000407</v>
      </c>
      <c r="B611" s="5" t="n">
        <f aca="false">IF($A611="","",IF(ISNUMBER(Base_Bruta!B611),Base_Bruta!B611,IF(MID(Base_Bruta!B611,5,1)="-",DATE(VALUE(LEFT(Base_Bruta!B611,4)),VALUE(MID(Base_Bruta!B611,6,2)),VALUE(RIGHT(Base_Bruta!B611,2))),DATE(VALUE(RIGHT(Base_Bruta!B611,4)),VALUE(MID(Base_Bruta!B611,4,2)),VALUE(LEFT(Base_Bruta!B611,2))))))</f>
        <v>46042</v>
      </c>
      <c r="C611" s="5" t="n">
        <f aca="false">IF($A611="","",IF(ISNUMBER(Base_Bruta!C611),Base_Bruta!C611,IF(MID(Base_Bruta!C611,5,1)="-",DATE(VALUE(LEFT(Base_Bruta!C611,4)),VALUE(MID(Base_Bruta!C611,6,2)),VALUE(RIGHT(Base_Bruta!C611,2))),DATE(VALUE(RIGHT(Base_Bruta!C611,4)),VALUE(MID(Base_Bruta!C611,4,2)),VALUE(LEFT(Base_Bruta!C611,2))))))</f>
        <v>46130</v>
      </c>
      <c r="D611" s="4" t="str">
        <f aca="false">IF($A611="","",TRIM(Base_Bruta!D611))</f>
        <v>Festival Sonora SP 2026</v>
      </c>
      <c r="E611" s="4" t="str">
        <f aca="false">IF($A611="","",_xlfn.XLOOKUP(LOWER(TRIM(Base_Bruta!E611)),DePara_Categoria!$A$2:$A$9,DePara_Categoria!$B$2:$B$9,"REVISAR"))</f>
        <v>Festival</v>
      </c>
      <c r="F611" s="4" t="str">
        <f aca="false">IF($A611="","",_xlfn.XLOOKUP(LOWER(TRIM(Base_Bruta!F611)),DePara_Cidade!$A$2:$A$29,DePara_Cidade!$B$2:$B$29,"REVISAR"))</f>
        <v>São Paulo</v>
      </c>
      <c r="G611" s="4" t="str">
        <f aca="false">IF($A611="","",TRIM(Base_Bruta!G611))</f>
        <v>Inteira</v>
      </c>
      <c r="H611" s="4" t="n">
        <f aca="false">IF($A611="","",IF(ISNUMBER(Base_Bruta!H611),Base_Bruta!H611,IFERROR(_xlfn.NUMBERVALUE(TRIM(SUBSTITUTE(Base_Bruta!H611,"R$","")),",","."),0)))</f>
        <v>2</v>
      </c>
      <c r="I611" s="6" t="n">
        <f aca="false">IF($A611="","",IF(ISNUMBER(Base_Bruta!I611),Base_Bruta!I611,IFERROR(_xlfn.NUMBERVALUE(TRIM(SUBSTITUTE(Base_Bruta!I611,"R$","")),",","."),0)))</f>
        <v>900</v>
      </c>
      <c r="J611" s="6" t="n">
        <f aca="false">IF($A611="","",H611*I611)</f>
        <v>1800</v>
      </c>
      <c r="K611" s="4" t="str">
        <f aca="false">IF($A611="","",TRIM(Base_Bruta!J611))</f>
        <v>Site</v>
      </c>
      <c r="L611" s="4" t="str">
        <f aca="false">IF($A611="","",TRIM(Base_Bruta!K611))</f>
        <v>C00429</v>
      </c>
      <c r="M611" s="4" t="str">
        <f aca="false">IF($A611="","",_xlfn.XLOOKUP(LOWER(TRIM(Base_Bruta!L611)),DePara_Cidade!$A$2:$A$29,DePara_Cidade!$B$2:$B$29,"REVISAR"))</f>
        <v>São Paulo</v>
      </c>
      <c r="N611" s="4" t="str">
        <f aca="false">IF($A611="","",UPPER(TRIM(Base_Bruta!M611)))</f>
        <v>SP</v>
      </c>
      <c r="O611" s="4" t="str">
        <f aca="false">IF($A611="","",_xlfn.XLOOKUP(LOWER(TRIM(Base_Bruta!N611)),DePara_Pais!$A$2:$A$9,DePara_Pais!$B$2:$B$9,"REVISAR"))</f>
        <v>Brasil</v>
      </c>
      <c r="P611" s="4" t="str">
        <f aca="false">IF($A611="","",IF(O611&lt;&gt;"Brasil","Turista Internacional",IF(M611=F611,"Local","Turista Nacional")))</f>
        <v>Local</v>
      </c>
      <c r="Q611" s="7" t="n">
        <f aca="false">IF($A611="","",DATE(YEAR(B611),MONTH(B611),1))</f>
        <v>46023</v>
      </c>
      <c r="R611" s="4" t="str">
        <f aca="false">IF($A611="","",IF(COUNTIF($A$2:$A611,$A611)&gt;1,"Sim","Não"))</f>
        <v>Não</v>
      </c>
      <c r="S611" s="4" t="str">
        <f aca="false">IF(A611="","Descartar - Linha vazia",IF(R611="Sim","Descartar - Duplicado",IF(OR(H611&lt;=0,I611&lt;=0),"Descartar - Qtd/Valor inválido","OK")))</f>
        <v>OK</v>
      </c>
      <c r="T611" s="4" t="str">
        <f aca="false">Base_Bruta!P611</f>
        <v>vendas_SP.xlsx</v>
      </c>
    </row>
    <row r="612" customFormat="false" ht="15" hidden="false" customHeight="false" outlineLevel="0" collapsed="false">
      <c r="A612" s="4" t="str">
        <f aca="false">IF(Base_Bruta!A612="","",Base_Bruta!A612)</f>
        <v>SP-000273</v>
      </c>
      <c r="B612" s="5" t="n">
        <f aca="false">IF($A612="","",IF(ISNUMBER(Base_Bruta!B612),Base_Bruta!B612,IF(MID(Base_Bruta!B612,5,1)="-",DATE(VALUE(LEFT(Base_Bruta!B612,4)),VALUE(MID(Base_Bruta!B612,6,2)),VALUE(RIGHT(Base_Bruta!B612,2))),DATE(VALUE(RIGHT(Base_Bruta!B612,4)),VALUE(MID(Base_Bruta!B612,4,2)),VALUE(LEFT(Base_Bruta!B612,2))))))</f>
        <v>46043</v>
      </c>
      <c r="C612" s="5" t="n">
        <f aca="false">IF($A612="","",IF(ISNUMBER(Base_Bruta!C612),Base_Bruta!C612,IF(MID(Base_Bruta!C612,5,1)="-",DATE(VALUE(LEFT(Base_Bruta!C612,4)),VALUE(MID(Base_Bruta!C612,6,2)),VALUE(RIGHT(Base_Bruta!C612,2))),DATE(VALUE(RIGHT(Base_Bruta!C612,4)),VALUE(MID(Base_Bruta!C612,4,2)),VALUE(LEFT(Base_Bruta!C612,2))))))</f>
        <v>46130</v>
      </c>
      <c r="D612" s="4" t="str">
        <f aca="false">IF($A612="","",TRIM(Base_Bruta!D612))</f>
        <v>Festival Sonora SP 2026</v>
      </c>
      <c r="E612" s="4" t="str">
        <f aca="false">IF($A612="","",_xlfn.XLOOKUP(LOWER(TRIM(Base_Bruta!E612)),DePara_Categoria!$A$2:$A$9,DePara_Categoria!$B$2:$B$9,"REVISAR"))</f>
        <v>Festival</v>
      </c>
      <c r="F612" s="4" t="str">
        <f aca="false">IF($A612="","",_xlfn.XLOOKUP(LOWER(TRIM(Base_Bruta!F612)),DePara_Cidade!$A$2:$A$29,DePara_Cidade!$B$2:$B$29,"REVISAR"))</f>
        <v>São Paulo</v>
      </c>
      <c r="G612" s="4" t="str">
        <f aca="false">IF($A612="","",TRIM(Base_Bruta!G612))</f>
        <v>Meia</v>
      </c>
      <c r="H612" s="4" t="n">
        <f aca="false">IF($A612="","",IF(ISNUMBER(Base_Bruta!H612),Base_Bruta!H612,IFERROR(_xlfn.NUMBERVALUE(TRIM(SUBSTITUTE(Base_Bruta!H612,"R$","")),",","."),0)))</f>
        <v>1</v>
      </c>
      <c r="I612" s="6" t="n">
        <f aca="false">IF($A612="","",IF(ISNUMBER(Base_Bruta!I612),Base_Bruta!I612,IFERROR(_xlfn.NUMBERVALUE(TRIM(SUBSTITUTE(Base_Bruta!I612,"R$","")),",","."),0)))</f>
        <v>480</v>
      </c>
      <c r="J612" s="6" t="n">
        <f aca="false">IF($A612="","",H612*I612)</f>
        <v>480</v>
      </c>
      <c r="K612" s="4" t="str">
        <f aca="false">IF($A612="","",TRIM(Base_Bruta!J612))</f>
        <v>Site</v>
      </c>
      <c r="L612" s="4" t="str">
        <f aca="false">IF($A612="","",TRIM(Base_Bruta!K612))</f>
        <v>C02487</v>
      </c>
      <c r="M612" s="4" t="str">
        <f aca="false">IF($A612="","",_xlfn.XLOOKUP(LOWER(TRIM(Base_Bruta!L612)),DePara_Cidade!$A$2:$A$29,DePara_Cidade!$B$2:$B$29,"REVISAR"))</f>
        <v>Santos</v>
      </c>
      <c r="N612" s="4" t="str">
        <f aca="false">IF($A612="","",UPPER(TRIM(Base_Bruta!M612)))</f>
        <v>SP</v>
      </c>
      <c r="O612" s="4" t="str">
        <f aca="false">IF($A612="","",_xlfn.XLOOKUP(LOWER(TRIM(Base_Bruta!N612)),DePara_Pais!$A$2:$A$9,DePara_Pais!$B$2:$B$9,"REVISAR"))</f>
        <v>Brasil</v>
      </c>
      <c r="P612" s="4" t="str">
        <f aca="false">IF($A612="","",IF(O612&lt;&gt;"Brasil","Turista Internacional",IF(M612=F612,"Local","Turista Nacional")))</f>
        <v>Turista Nacional</v>
      </c>
      <c r="Q612" s="7" t="n">
        <f aca="false">IF($A612="","",DATE(YEAR(B612),MONTH(B612),1))</f>
        <v>46023</v>
      </c>
      <c r="R612" s="4" t="str">
        <f aca="false">IF($A612="","",IF(COUNTIF($A$2:$A612,$A612)&gt;1,"Sim","Não"))</f>
        <v>Não</v>
      </c>
      <c r="S612" s="4" t="str">
        <f aca="false">IF(A612="","Descartar - Linha vazia",IF(R612="Sim","Descartar - Duplicado",IF(OR(H612&lt;=0,I612&lt;=0),"Descartar - Qtd/Valor inválido","OK")))</f>
        <v>OK</v>
      </c>
      <c r="T612" s="4" t="str">
        <f aca="false">Base_Bruta!P612</f>
        <v>vendas_SP.xlsx</v>
      </c>
    </row>
    <row r="613" customFormat="false" ht="15" hidden="false" customHeight="false" outlineLevel="0" collapsed="false">
      <c r="A613" s="4" t="str">
        <f aca="false">IF(Base_Bruta!A613="","",Base_Bruta!A613)</f>
        <v>SP-000391</v>
      </c>
      <c r="B613" s="5" t="n">
        <f aca="false">IF($A613="","",IF(ISNUMBER(Base_Bruta!B613),Base_Bruta!B613,IF(MID(Base_Bruta!B613,5,1)="-",DATE(VALUE(LEFT(Base_Bruta!B613,4)),VALUE(MID(Base_Bruta!B613,6,2)),VALUE(RIGHT(Base_Bruta!B613,2))),DATE(VALUE(RIGHT(Base_Bruta!B613,4)),VALUE(MID(Base_Bruta!B613,4,2)),VALUE(LEFT(Base_Bruta!B613,2))))))</f>
        <v>46039</v>
      </c>
      <c r="C613" s="5" t="n">
        <f aca="false">IF($A613="","",IF(ISNUMBER(Base_Bruta!C613),Base_Bruta!C613,IF(MID(Base_Bruta!C613,5,1)="-",DATE(VALUE(LEFT(Base_Bruta!C613,4)),VALUE(MID(Base_Bruta!C613,6,2)),VALUE(RIGHT(Base_Bruta!C613,2))),DATE(VALUE(RIGHT(Base_Bruta!C613,4)),VALUE(MID(Base_Bruta!C613,4,2)),VALUE(LEFT(Base_Bruta!C613,2))))))</f>
        <v>46130</v>
      </c>
      <c r="D613" s="4" t="str">
        <f aca="false">IF($A613="","",TRIM(Base_Bruta!D613))</f>
        <v>Festival Sonora SP 2026</v>
      </c>
      <c r="E613" s="4" t="str">
        <f aca="false">IF($A613="","",_xlfn.XLOOKUP(LOWER(TRIM(Base_Bruta!E613)),DePara_Categoria!$A$2:$A$9,DePara_Categoria!$B$2:$B$9,"REVISAR"))</f>
        <v>Festival</v>
      </c>
      <c r="F613" s="4" t="str">
        <f aca="false">IF($A613="","",_xlfn.XLOOKUP(LOWER(TRIM(Base_Bruta!F613)),DePara_Cidade!$A$2:$A$29,DePara_Cidade!$B$2:$B$29,"REVISAR"))</f>
        <v>São Paulo</v>
      </c>
      <c r="G613" s="4" t="str">
        <f aca="false">IF($A613="","",TRIM(Base_Bruta!G613))</f>
        <v>VIP</v>
      </c>
      <c r="H613" s="4" t="n">
        <f aca="false">IF($A613="","",IF(ISNUMBER(Base_Bruta!H613),Base_Bruta!H613,IFERROR(_xlfn.NUMBERVALUE(TRIM(SUBSTITUTE(Base_Bruta!H613,"R$","")),",","."),0)))</f>
        <v>1</v>
      </c>
      <c r="I613" s="6" t="n">
        <f aca="false">IF($A613="","",IF(ISNUMBER(Base_Bruta!I613),Base_Bruta!I613,IFERROR(_xlfn.NUMBERVALUE(TRIM(SUBSTITUTE(Base_Bruta!I613,"R$","")),",","."),0)))</f>
        <v>1300</v>
      </c>
      <c r="J613" s="6" t="n">
        <f aca="false">IF($A613="","",H613*I613)</f>
        <v>1300</v>
      </c>
      <c r="K613" s="4" t="str">
        <f aca="false">IF($A613="","",TRIM(Base_Bruta!J613))</f>
        <v>Bilheteria</v>
      </c>
      <c r="L613" s="4" t="str">
        <f aca="false">IF($A613="","",TRIM(Base_Bruta!K613))</f>
        <v>C01935</v>
      </c>
      <c r="M613" s="4" t="str">
        <f aca="false">IF($A613="","",_xlfn.XLOOKUP(LOWER(TRIM(Base_Bruta!L613)),DePara_Cidade!$A$2:$A$29,DePara_Cidade!$B$2:$B$29,"REVISAR"))</f>
        <v>São Paulo</v>
      </c>
      <c r="N613" s="4" t="str">
        <f aca="false">IF($A613="","",UPPER(TRIM(Base_Bruta!M613)))</f>
        <v>SP</v>
      </c>
      <c r="O613" s="4" t="str">
        <f aca="false">IF($A613="","",_xlfn.XLOOKUP(LOWER(TRIM(Base_Bruta!N613)),DePara_Pais!$A$2:$A$9,DePara_Pais!$B$2:$B$9,"REVISAR"))</f>
        <v>Brasil</v>
      </c>
      <c r="P613" s="4" t="str">
        <f aca="false">IF($A613="","",IF(O613&lt;&gt;"Brasil","Turista Internacional",IF(M613=F613,"Local","Turista Nacional")))</f>
        <v>Local</v>
      </c>
      <c r="Q613" s="7" t="n">
        <f aca="false">IF($A613="","",DATE(YEAR(B613),MONTH(B613),1))</f>
        <v>46023</v>
      </c>
      <c r="R613" s="4" t="str">
        <f aca="false">IF($A613="","",IF(COUNTIF($A$2:$A613,$A613)&gt;1,"Sim","Não"))</f>
        <v>Sim</v>
      </c>
      <c r="S613" s="4" t="str">
        <f aca="false">IF(A613="","Descartar - Linha vazia",IF(R613="Sim","Descartar - Duplicado",IF(OR(H613&lt;=0,I613&lt;=0),"Descartar - Qtd/Valor inválido","OK")))</f>
        <v>Descartar - Duplicado</v>
      </c>
      <c r="T613" s="4" t="str">
        <f aca="false">Base_Bruta!P613</f>
        <v>vendas_SP.xlsx</v>
      </c>
    </row>
    <row r="614" customFormat="false" ht="15" hidden="false" customHeight="false" outlineLevel="0" collapsed="false">
      <c r="A614" s="4" t="str">
        <f aca="false">IF(Base_Bruta!A614="","",Base_Bruta!A614)</f>
        <v>SP-000309</v>
      </c>
      <c r="B614" s="5" t="n">
        <f aca="false">IF($A614="","",IF(ISNUMBER(Base_Bruta!B614),Base_Bruta!B614,IF(MID(Base_Bruta!B614,5,1)="-",DATE(VALUE(LEFT(Base_Bruta!B614,4)),VALUE(MID(Base_Bruta!B614,6,2)),VALUE(RIGHT(Base_Bruta!B614,2))),DATE(VALUE(RIGHT(Base_Bruta!B614,4)),VALUE(MID(Base_Bruta!B614,4,2)),VALUE(LEFT(Base_Bruta!B614,2))))))</f>
        <v>46043</v>
      </c>
      <c r="C614" s="5" t="n">
        <f aca="false">IF($A614="","",IF(ISNUMBER(Base_Bruta!C614),Base_Bruta!C614,IF(MID(Base_Bruta!C614,5,1)="-",DATE(VALUE(LEFT(Base_Bruta!C614,4)),VALUE(MID(Base_Bruta!C614,6,2)),VALUE(RIGHT(Base_Bruta!C614,2))),DATE(VALUE(RIGHT(Base_Bruta!C614,4)),VALUE(MID(Base_Bruta!C614,4,2)),VALUE(LEFT(Base_Bruta!C614,2))))))</f>
        <v>46130</v>
      </c>
      <c r="D614" s="4" t="str">
        <f aca="false">IF($A614="","",TRIM(Base_Bruta!D614))</f>
        <v>Festival Sonora SP 2026</v>
      </c>
      <c r="E614" s="4" t="str">
        <f aca="false">IF($A614="","",_xlfn.XLOOKUP(LOWER(TRIM(Base_Bruta!E614)),DePara_Categoria!$A$2:$A$9,DePara_Categoria!$B$2:$B$9,"REVISAR"))</f>
        <v>Festival</v>
      </c>
      <c r="F614" s="4" t="str">
        <f aca="false">IF($A614="","",_xlfn.XLOOKUP(LOWER(TRIM(Base_Bruta!F614)),DePara_Cidade!$A$2:$A$29,DePara_Cidade!$B$2:$B$29,"REVISAR"))</f>
        <v>São Paulo</v>
      </c>
      <c r="G614" s="4" t="str">
        <f aca="false">IF($A614="","",TRIM(Base_Bruta!G614))</f>
        <v>Meia</v>
      </c>
      <c r="H614" s="4" t="n">
        <f aca="false">IF($A614="","",IF(ISNUMBER(Base_Bruta!H614),Base_Bruta!H614,IFERROR(_xlfn.NUMBERVALUE(TRIM(SUBSTITUTE(Base_Bruta!H614,"R$","")),",","."),0)))</f>
        <v>1</v>
      </c>
      <c r="I614" s="6" t="n">
        <f aca="false">IF($A614="","",IF(ISNUMBER(Base_Bruta!I614),Base_Bruta!I614,IFERROR(_xlfn.NUMBERVALUE(TRIM(SUBSTITUTE(Base_Bruta!I614,"R$","")),",","."),0)))</f>
        <v>382.5</v>
      </c>
      <c r="J614" s="6" t="n">
        <f aca="false">IF($A614="","",H614*I614)</f>
        <v>382.5</v>
      </c>
      <c r="K614" s="4" t="str">
        <f aca="false">IF($A614="","",TRIM(Base_Bruta!J614))</f>
        <v>App</v>
      </c>
      <c r="L614" s="4" t="str">
        <f aca="false">IF($A614="","",TRIM(Base_Bruta!K614))</f>
        <v>C02104</v>
      </c>
      <c r="M614" s="4" t="str">
        <f aca="false">IF($A614="","",_xlfn.XLOOKUP(LOWER(TRIM(Base_Bruta!L614)),DePara_Cidade!$A$2:$A$29,DePara_Cidade!$B$2:$B$29,"REVISAR"))</f>
        <v>São Paulo</v>
      </c>
      <c r="N614" s="4" t="str">
        <f aca="false">IF($A614="","",UPPER(TRIM(Base_Bruta!M614)))</f>
        <v>SP</v>
      </c>
      <c r="O614" s="4" t="str">
        <f aca="false">IF($A614="","",_xlfn.XLOOKUP(LOWER(TRIM(Base_Bruta!N614)),DePara_Pais!$A$2:$A$9,DePara_Pais!$B$2:$B$9,"REVISAR"))</f>
        <v>Brasil</v>
      </c>
      <c r="P614" s="4" t="str">
        <f aca="false">IF($A614="","",IF(O614&lt;&gt;"Brasil","Turista Internacional",IF(M614=F614,"Local","Turista Nacional")))</f>
        <v>Local</v>
      </c>
      <c r="Q614" s="7" t="n">
        <f aca="false">IF($A614="","",DATE(YEAR(B614),MONTH(B614),1))</f>
        <v>46023</v>
      </c>
      <c r="R614" s="4" t="str">
        <f aca="false">IF($A614="","",IF(COUNTIF($A$2:$A614,$A614)&gt;1,"Sim","Não"))</f>
        <v>Não</v>
      </c>
      <c r="S614" s="4" t="str">
        <f aca="false">IF(A614="","Descartar - Linha vazia",IF(R614="Sim","Descartar - Duplicado",IF(OR(H614&lt;=0,I614&lt;=0),"Descartar - Qtd/Valor inválido","OK")))</f>
        <v>OK</v>
      </c>
      <c r="T614" s="4" t="str">
        <f aca="false">Base_Bruta!P614</f>
        <v>vendas_SP.xlsx</v>
      </c>
    </row>
    <row r="615" customFormat="false" ht="15" hidden="false" customHeight="false" outlineLevel="0" collapsed="false">
      <c r="A615" s="4" t="str">
        <f aca="false">IF(Base_Bruta!A615="","",Base_Bruta!A615)</f>
        <v>SP-000363</v>
      </c>
      <c r="B615" s="5" t="n">
        <f aca="false">IF($A615="","",IF(ISNUMBER(Base_Bruta!B615),Base_Bruta!B615,IF(MID(Base_Bruta!B615,5,1)="-",DATE(VALUE(LEFT(Base_Bruta!B615,4)),VALUE(MID(Base_Bruta!B615,6,2)),VALUE(RIGHT(Base_Bruta!B615,2))),DATE(VALUE(RIGHT(Base_Bruta!B615,4)),VALUE(MID(Base_Bruta!B615,4,2)),VALUE(LEFT(Base_Bruta!B615,2))))))</f>
        <v>46043</v>
      </c>
      <c r="C615" s="5" t="n">
        <f aca="false">IF($A615="","",IF(ISNUMBER(Base_Bruta!C615),Base_Bruta!C615,IF(MID(Base_Bruta!C615,5,1)="-",DATE(VALUE(LEFT(Base_Bruta!C615,4)),VALUE(MID(Base_Bruta!C615,6,2)),VALUE(RIGHT(Base_Bruta!C615,2))),DATE(VALUE(RIGHT(Base_Bruta!C615,4)),VALUE(MID(Base_Bruta!C615,4,2)),VALUE(LEFT(Base_Bruta!C615,2))))))</f>
        <v>46130</v>
      </c>
      <c r="D615" s="4" t="str">
        <f aca="false">IF($A615="","",TRIM(Base_Bruta!D615))</f>
        <v>Festival Sonora SP 2026</v>
      </c>
      <c r="E615" s="4" t="str">
        <f aca="false">IF($A615="","",_xlfn.XLOOKUP(LOWER(TRIM(Base_Bruta!E615)),DePara_Categoria!$A$2:$A$9,DePara_Categoria!$B$2:$B$9,"REVISAR"))</f>
        <v>Festival</v>
      </c>
      <c r="F615" s="4" t="str">
        <f aca="false">IF($A615="","",_xlfn.XLOOKUP(LOWER(TRIM(Base_Bruta!F615)),DePara_Cidade!$A$2:$A$29,DePara_Cidade!$B$2:$B$29,"REVISAR"))</f>
        <v>São Paulo</v>
      </c>
      <c r="G615" s="4" t="str">
        <f aca="false">IF($A615="","",TRIM(Base_Bruta!G615))</f>
        <v>VIP</v>
      </c>
      <c r="H615" s="4" t="n">
        <f aca="false">IF($A615="","",IF(ISNUMBER(Base_Bruta!H615),Base_Bruta!H615,IFERROR(_xlfn.NUMBERVALUE(TRIM(SUBSTITUTE(Base_Bruta!H615,"R$","")),",","."),0)))</f>
        <v>1</v>
      </c>
      <c r="I615" s="6" t="n">
        <f aca="false">IF($A615="","",IF(ISNUMBER(Base_Bruta!I615),Base_Bruta!I615,IFERROR(_xlfn.NUMBERVALUE(TRIM(SUBSTITUTE(Base_Bruta!I615,"R$","")),",","."),0)))</f>
        <v>1740</v>
      </c>
      <c r="J615" s="6" t="n">
        <f aca="false">IF($A615="","",H615*I615)</f>
        <v>1740</v>
      </c>
      <c r="K615" s="4" t="str">
        <f aca="false">IF($A615="","",TRIM(Base_Bruta!J615))</f>
        <v>Site</v>
      </c>
      <c r="L615" s="4" t="str">
        <f aca="false">IF($A615="","",TRIM(Base_Bruta!K615))</f>
        <v>C01576</v>
      </c>
      <c r="M615" s="4" t="str">
        <f aca="false">IF($A615="","",_xlfn.XLOOKUP(LOWER(TRIM(Base_Bruta!L615)),DePara_Cidade!$A$2:$A$29,DePara_Cidade!$B$2:$B$29,"REVISAR"))</f>
        <v>Miami</v>
      </c>
      <c r="N615" s="4" t="str">
        <f aca="false">IF($A615="","",UPPER(TRIM(Base_Bruta!M615)))</f>
        <v>EX</v>
      </c>
      <c r="O615" s="4" t="str">
        <f aca="false">IF($A615="","",_xlfn.XLOOKUP(LOWER(TRIM(Base_Bruta!N615)),DePara_Pais!$A$2:$A$9,DePara_Pais!$B$2:$B$9,"REVISAR"))</f>
        <v>EUA</v>
      </c>
      <c r="P615" s="4" t="str">
        <f aca="false">IF($A615="","",IF(O615&lt;&gt;"Brasil","Turista Internacional",IF(M615=F615,"Local","Turista Nacional")))</f>
        <v>Turista Internacional</v>
      </c>
      <c r="Q615" s="7" t="n">
        <f aca="false">IF($A615="","",DATE(YEAR(B615),MONTH(B615),1))</f>
        <v>46023</v>
      </c>
      <c r="R615" s="4" t="str">
        <f aca="false">IF($A615="","",IF(COUNTIF($A$2:$A615,$A615)&gt;1,"Sim","Não"))</f>
        <v>Não</v>
      </c>
      <c r="S615" s="4" t="str">
        <f aca="false">IF(A615="","Descartar - Linha vazia",IF(R615="Sim","Descartar - Duplicado",IF(OR(H615&lt;=0,I615&lt;=0),"Descartar - Qtd/Valor inválido","OK")))</f>
        <v>OK</v>
      </c>
      <c r="T615" s="4" t="str">
        <f aca="false">Base_Bruta!P615</f>
        <v>vendas_SP.xlsx</v>
      </c>
    </row>
    <row r="616" customFormat="false" ht="15" hidden="false" customHeight="false" outlineLevel="0" collapsed="false">
      <c r="A616" s="4" t="str">
        <f aca="false">IF(Base_Bruta!A616="","",Base_Bruta!A616)</f>
        <v>SP-000428</v>
      </c>
      <c r="B616" s="5" t="n">
        <f aca="false">IF($A616="","",IF(ISNUMBER(Base_Bruta!B616),Base_Bruta!B616,IF(MID(Base_Bruta!B616,5,1)="-",DATE(VALUE(LEFT(Base_Bruta!B616,4)),VALUE(MID(Base_Bruta!B616,6,2)),VALUE(RIGHT(Base_Bruta!B616,2))),DATE(VALUE(RIGHT(Base_Bruta!B616,4)),VALUE(MID(Base_Bruta!B616,4,2)),VALUE(LEFT(Base_Bruta!B616,2))))))</f>
        <v>46043</v>
      </c>
      <c r="C616" s="5" t="n">
        <f aca="false">IF($A616="","",IF(ISNUMBER(Base_Bruta!C616),Base_Bruta!C616,IF(MID(Base_Bruta!C616,5,1)="-",DATE(VALUE(LEFT(Base_Bruta!C616,4)),VALUE(MID(Base_Bruta!C616,6,2)),VALUE(RIGHT(Base_Bruta!C616,2))),DATE(VALUE(RIGHT(Base_Bruta!C616,4)),VALUE(MID(Base_Bruta!C616,4,2)),VALUE(LEFT(Base_Bruta!C616,2))))))</f>
        <v>46130</v>
      </c>
      <c r="D616" s="4" t="str">
        <f aca="false">IF($A616="","",TRIM(Base_Bruta!D616))</f>
        <v>Festival Sonora SP 2026</v>
      </c>
      <c r="E616" s="4" t="str">
        <f aca="false">IF($A616="","",_xlfn.XLOOKUP(LOWER(TRIM(Base_Bruta!E616)),DePara_Categoria!$A$2:$A$9,DePara_Categoria!$B$2:$B$9,"REVISAR"))</f>
        <v>Festival</v>
      </c>
      <c r="F616" s="4" t="str">
        <f aca="false">IF($A616="","",_xlfn.XLOOKUP(LOWER(TRIM(Base_Bruta!F616)),DePara_Cidade!$A$2:$A$29,DePara_Cidade!$B$2:$B$29,"REVISAR"))</f>
        <v>São Paulo</v>
      </c>
      <c r="G616" s="4" t="str">
        <f aca="false">IF($A616="","",TRIM(Base_Bruta!G616))</f>
        <v>Meia</v>
      </c>
      <c r="H616" s="4" t="n">
        <f aca="false">IF($A616="","",IF(ISNUMBER(Base_Bruta!H616),Base_Bruta!H616,IFERROR(_xlfn.NUMBERVALUE(TRIM(SUBSTITUTE(Base_Bruta!H616,"R$","")),",","."),0)))</f>
        <v>1</v>
      </c>
      <c r="I616" s="6" t="n">
        <f aca="false">IF($A616="","",IF(ISNUMBER(Base_Bruta!I616),Base_Bruta!I616,IFERROR(_xlfn.NUMBERVALUE(TRIM(SUBSTITUTE(Base_Bruta!I616,"R$","")),",","."),0)))</f>
        <v>407.5</v>
      </c>
      <c r="J616" s="6" t="n">
        <f aca="false">IF($A616="","",H616*I616)</f>
        <v>407.5</v>
      </c>
      <c r="K616" s="4" t="str">
        <f aca="false">IF($A616="","",TRIM(Base_Bruta!J616))</f>
        <v>App</v>
      </c>
      <c r="L616" s="4" t="str">
        <f aca="false">IF($A616="","",TRIM(Base_Bruta!K616))</f>
        <v>C00709</v>
      </c>
      <c r="M616" s="4" t="str">
        <f aca="false">IF($A616="","",_xlfn.XLOOKUP(LOWER(TRIM(Base_Bruta!L616)),DePara_Cidade!$A$2:$A$29,DePara_Cidade!$B$2:$B$29,"REVISAR"))</f>
        <v>São Paulo</v>
      </c>
      <c r="N616" s="4" t="str">
        <f aca="false">IF($A616="","",UPPER(TRIM(Base_Bruta!M616)))</f>
        <v>SP</v>
      </c>
      <c r="O616" s="4" t="str">
        <f aca="false">IF($A616="","",_xlfn.XLOOKUP(LOWER(TRIM(Base_Bruta!N616)),DePara_Pais!$A$2:$A$9,DePara_Pais!$B$2:$B$9,"REVISAR"))</f>
        <v>Brasil</v>
      </c>
      <c r="P616" s="4" t="str">
        <f aca="false">IF($A616="","",IF(O616&lt;&gt;"Brasil","Turista Internacional",IF(M616=F616,"Local","Turista Nacional")))</f>
        <v>Local</v>
      </c>
      <c r="Q616" s="7" t="n">
        <f aca="false">IF($A616="","",DATE(YEAR(B616),MONTH(B616),1))</f>
        <v>46023</v>
      </c>
      <c r="R616" s="4" t="str">
        <f aca="false">IF($A616="","",IF(COUNTIF($A$2:$A616,$A616)&gt;1,"Sim","Não"))</f>
        <v>Não</v>
      </c>
      <c r="S616" s="4" t="str">
        <f aca="false">IF(A616="","Descartar - Linha vazia",IF(R616="Sim","Descartar - Duplicado",IF(OR(H616&lt;=0,I616&lt;=0),"Descartar - Qtd/Valor inválido","OK")))</f>
        <v>OK</v>
      </c>
      <c r="T616" s="4" t="str">
        <f aca="false">Base_Bruta!P616</f>
        <v>vendas_SP.xlsx</v>
      </c>
    </row>
    <row r="617" customFormat="false" ht="15" hidden="false" customHeight="false" outlineLevel="0" collapsed="false">
      <c r="A617" s="4" t="str">
        <f aca="false">IF(Base_Bruta!A617="","",Base_Bruta!A617)</f>
        <v>SP-000265</v>
      </c>
      <c r="B617" s="5" t="n">
        <f aca="false">IF($A617="","",IF(ISNUMBER(Base_Bruta!B617),Base_Bruta!B617,IF(MID(Base_Bruta!B617,5,1)="-",DATE(VALUE(LEFT(Base_Bruta!B617,4)),VALUE(MID(Base_Bruta!B617,6,2)),VALUE(RIGHT(Base_Bruta!B617,2))),DATE(VALUE(RIGHT(Base_Bruta!B617,4)),VALUE(MID(Base_Bruta!B617,4,2)),VALUE(LEFT(Base_Bruta!B617,2))))))</f>
        <v>46047</v>
      </c>
      <c r="C617" s="5" t="n">
        <f aca="false">IF($A617="","",IF(ISNUMBER(Base_Bruta!C617),Base_Bruta!C617,IF(MID(Base_Bruta!C617,5,1)="-",DATE(VALUE(LEFT(Base_Bruta!C617,4)),VALUE(MID(Base_Bruta!C617,6,2)),VALUE(RIGHT(Base_Bruta!C617,2))),DATE(VALUE(RIGHT(Base_Bruta!C617,4)),VALUE(MID(Base_Bruta!C617,4,2)),VALUE(LEFT(Base_Bruta!C617,2))))))</f>
        <v>46130</v>
      </c>
      <c r="D617" s="4" t="str">
        <f aca="false">IF($A617="","",TRIM(Base_Bruta!D617))</f>
        <v>Festival Sonora SP 2026</v>
      </c>
      <c r="E617" s="4" t="str">
        <f aca="false">IF($A617="","",_xlfn.XLOOKUP(LOWER(TRIM(Base_Bruta!E617)),DePara_Categoria!$A$2:$A$9,DePara_Categoria!$B$2:$B$9,"REVISAR"))</f>
        <v>Festival</v>
      </c>
      <c r="F617" s="4" t="str">
        <f aca="false">IF($A617="","",_xlfn.XLOOKUP(LOWER(TRIM(Base_Bruta!F617)),DePara_Cidade!$A$2:$A$29,DePara_Cidade!$B$2:$B$29,"REVISAR"))</f>
        <v>São Paulo</v>
      </c>
      <c r="G617" s="4" t="str">
        <f aca="false">IF($A617="","",TRIM(Base_Bruta!G617))</f>
        <v>Inteira</v>
      </c>
      <c r="H617" s="4" t="n">
        <f aca="false">IF($A617="","",IF(ISNUMBER(Base_Bruta!H617),Base_Bruta!H617,IFERROR(_xlfn.NUMBERVALUE(TRIM(SUBSTITUTE(Base_Bruta!H617,"R$","")),",","."),0)))</f>
        <v>1</v>
      </c>
      <c r="I617" s="6" t="n">
        <f aca="false">IF($A617="","",IF(ISNUMBER(Base_Bruta!I617),Base_Bruta!I617,IFERROR(_xlfn.NUMBERVALUE(TRIM(SUBSTITUTE(Base_Bruta!I617,"R$","")),",","."),0)))</f>
        <v>755</v>
      </c>
      <c r="J617" s="6" t="n">
        <f aca="false">IF($A617="","",H617*I617)</f>
        <v>755</v>
      </c>
      <c r="K617" s="4" t="str">
        <f aca="false">IF($A617="","",TRIM(Base_Bruta!J617))</f>
        <v>App</v>
      </c>
      <c r="L617" s="4" t="str">
        <f aca="false">IF($A617="","",TRIM(Base_Bruta!K617))</f>
        <v>C01112</v>
      </c>
      <c r="M617" s="4" t="str">
        <f aca="false">IF($A617="","",_xlfn.XLOOKUP(LOWER(TRIM(Base_Bruta!L617)),DePara_Cidade!$A$2:$A$29,DePara_Cidade!$B$2:$B$29,"REVISAR"))</f>
        <v>São Paulo</v>
      </c>
      <c r="N617" s="4" t="str">
        <f aca="false">IF($A617="","",UPPER(TRIM(Base_Bruta!M617)))</f>
        <v>SP</v>
      </c>
      <c r="O617" s="4" t="str">
        <f aca="false">IF($A617="","",_xlfn.XLOOKUP(LOWER(TRIM(Base_Bruta!N617)),DePara_Pais!$A$2:$A$9,DePara_Pais!$B$2:$B$9,"REVISAR"))</f>
        <v>Brasil</v>
      </c>
      <c r="P617" s="4" t="str">
        <f aca="false">IF($A617="","",IF(O617&lt;&gt;"Brasil","Turista Internacional",IF(M617=F617,"Local","Turista Nacional")))</f>
        <v>Local</v>
      </c>
      <c r="Q617" s="7" t="n">
        <f aca="false">IF($A617="","",DATE(YEAR(B617),MONTH(B617),1))</f>
        <v>46023</v>
      </c>
      <c r="R617" s="4" t="str">
        <f aca="false">IF($A617="","",IF(COUNTIF($A$2:$A617,$A617)&gt;1,"Sim","Não"))</f>
        <v>Não</v>
      </c>
      <c r="S617" s="4" t="str">
        <f aca="false">IF(A617="","Descartar - Linha vazia",IF(R617="Sim","Descartar - Duplicado",IF(OR(H617&lt;=0,I617&lt;=0),"Descartar - Qtd/Valor inválido","OK")))</f>
        <v>OK</v>
      </c>
      <c r="T617" s="4" t="str">
        <f aca="false">Base_Bruta!P617</f>
        <v>vendas_SP.xlsx</v>
      </c>
    </row>
    <row r="618" customFormat="false" ht="15" hidden="false" customHeight="false" outlineLevel="0" collapsed="false">
      <c r="A618" s="4" t="str">
        <f aca="false">IF(Base_Bruta!A618="","",Base_Bruta!A618)</f>
        <v>SP-000424</v>
      </c>
      <c r="B618" s="5" t="n">
        <f aca="false">IF($A618="","",IF(ISNUMBER(Base_Bruta!B618),Base_Bruta!B618,IF(MID(Base_Bruta!B618,5,1)="-",DATE(VALUE(LEFT(Base_Bruta!B618,4)),VALUE(MID(Base_Bruta!B618,6,2)),VALUE(RIGHT(Base_Bruta!B618,2))),DATE(VALUE(RIGHT(Base_Bruta!B618,4)),VALUE(MID(Base_Bruta!B618,4,2)),VALUE(LEFT(Base_Bruta!B618,2))))))</f>
        <v>46047</v>
      </c>
      <c r="C618" s="5" t="n">
        <f aca="false">IF($A618="","",IF(ISNUMBER(Base_Bruta!C618),Base_Bruta!C618,IF(MID(Base_Bruta!C618,5,1)="-",DATE(VALUE(LEFT(Base_Bruta!C618,4)),VALUE(MID(Base_Bruta!C618,6,2)),VALUE(RIGHT(Base_Bruta!C618,2))),DATE(VALUE(RIGHT(Base_Bruta!C618,4)),VALUE(MID(Base_Bruta!C618,4,2)),VALUE(LEFT(Base_Bruta!C618,2))))))</f>
        <v>46130</v>
      </c>
      <c r="D618" s="4" t="str">
        <f aca="false">IF($A618="","",TRIM(Base_Bruta!D618))</f>
        <v>Festival Sonora SP 2026</v>
      </c>
      <c r="E618" s="4" t="str">
        <f aca="false">IF($A618="","",_xlfn.XLOOKUP(LOWER(TRIM(Base_Bruta!E618)),DePara_Categoria!$A$2:$A$9,DePara_Categoria!$B$2:$B$9,"REVISAR"))</f>
        <v>Festival</v>
      </c>
      <c r="F618" s="4" t="str">
        <f aca="false">IF($A618="","",_xlfn.XLOOKUP(LOWER(TRIM(Base_Bruta!F618)),DePara_Cidade!$A$2:$A$29,DePara_Cidade!$B$2:$B$29,"REVISAR"))</f>
        <v>São Paulo</v>
      </c>
      <c r="G618" s="4" t="str">
        <f aca="false">IF($A618="","",TRIM(Base_Bruta!G618))</f>
        <v>Meia</v>
      </c>
      <c r="H618" s="4" t="n">
        <f aca="false">IF($A618="","",IF(ISNUMBER(Base_Bruta!H618),Base_Bruta!H618,IFERROR(_xlfn.NUMBERVALUE(TRIM(SUBSTITUTE(Base_Bruta!H618,"R$","")),",","."),0)))</f>
        <v>1</v>
      </c>
      <c r="I618" s="6" t="n">
        <f aca="false">IF($A618="","",IF(ISNUMBER(Base_Bruta!I618),Base_Bruta!I618,IFERROR(_xlfn.NUMBERVALUE(TRIM(SUBSTITUTE(Base_Bruta!I618,"R$","")),",","."),0)))</f>
        <v>490</v>
      </c>
      <c r="J618" s="6" t="n">
        <f aca="false">IF($A618="","",H618*I618)</f>
        <v>490</v>
      </c>
      <c r="K618" s="4" t="str">
        <f aca="false">IF($A618="","",TRIM(Base_Bruta!J618))</f>
        <v>Site</v>
      </c>
      <c r="L618" s="4" t="str">
        <f aca="false">IF($A618="","",TRIM(Base_Bruta!K618))</f>
        <v>C00875</v>
      </c>
      <c r="M618" s="4" t="str">
        <f aca="false">IF($A618="","",_xlfn.XLOOKUP(LOWER(TRIM(Base_Bruta!L618)),DePara_Cidade!$A$2:$A$29,DePara_Cidade!$B$2:$B$29,"REVISAR"))</f>
        <v>São Paulo</v>
      </c>
      <c r="N618" s="4" t="str">
        <f aca="false">IF($A618="","",UPPER(TRIM(Base_Bruta!M618)))</f>
        <v>SP</v>
      </c>
      <c r="O618" s="4" t="str">
        <f aca="false">IF($A618="","",_xlfn.XLOOKUP(LOWER(TRIM(Base_Bruta!N618)),DePara_Pais!$A$2:$A$9,DePara_Pais!$B$2:$B$9,"REVISAR"))</f>
        <v>Brasil</v>
      </c>
      <c r="P618" s="4" t="str">
        <f aca="false">IF($A618="","",IF(O618&lt;&gt;"Brasil","Turista Internacional",IF(M618=F618,"Local","Turista Nacional")))</f>
        <v>Local</v>
      </c>
      <c r="Q618" s="7" t="n">
        <f aca="false">IF($A618="","",DATE(YEAR(B618),MONTH(B618),1))</f>
        <v>46023</v>
      </c>
      <c r="R618" s="4" t="str">
        <f aca="false">IF($A618="","",IF(COUNTIF($A$2:$A618,$A618)&gt;1,"Sim","Não"))</f>
        <v>Não</v>
      </c>
      <c r="S618" s="4" t="str">
        <f aca="false">IF(A618="","Descartar - Linha vazia",IF(R618="Sim","Descartar - Duplicado",IF(OR(H618&lt;=0,I618&lt;=0),"Descartar - Qtd/Valor inválido","OK")))</f>
        <v>OK</v>
      </c>
      <c r="T618" s="4" t="str">
        <f aca="false">Base_Bruta!P618</f>
        <v>vendas_SP.xlsx</v>
      </c>
    </row>
    <row r="619" customFormat="false" ht="15" hidden="false" customHeight="false" outlineLevel="0" collapsed="false">
      <c r="A619" s="4" t="str">
        <f aca="false">IF(Base_Bruta!A619="","",Base_Bruta!A619)</f>
        <v>SP-000448</v>
      </c>
      <c r="B619" s="5" t="n">
        <f aca="false">IF($A619="","",IF(ISNUMBER(Base_Bruta!B619),Base_Bruta!B619,IF(MID(Base_Bruta!B619,5,1)="-",DATE(VALUE(LEFT(Base_Bruta!B619,4)),VALUE(MID(Base_Bruta!B619,6,2)),VALUE(RIGHT(Base_Bruta!B619,2))),DATE(VALUE(RIGHT(Base_Bruta!B619,4)),VALUE(MID(Base_Bruta!B619,4,2)),VALUE(LEFT(Base_Bruta!B619,2))))))</f>
        <v>46048</v>
      </c>
      <c r="C619" s="5" t="n">
        <f aca="false">IF($A619="","",IF(ISNUMBER(Base_Bruta!C619),Base_Bruta!C619,IF(MID(Base_Bruta!C619,5,1)="-",DATE(VALUE(LEFT(Base_Bruta!C619,4)),VALUE(MID(Base_Bruta!C619,6,2)),VALUE(RIGHT(Base_Bruta!C619,2))),DATE(VALUE(RIGHT(Base_Bruta!C619,4)),VALUE(MID(Base_Bruta!C619,4,2)),VALUE(LEFT(Base_Bruta!C619,2))))))</f>
        <v>46130</v>
      </c>
      <c r="D619" s="4" t="str">
        <f aca="false">IF($A619="","",TRIM(Base_Bruta!D619))</f>
        <v>Festival Sonora SP 2026</v>
      </c>
      <c r="E619" s="4" t="str">
        <f aca="false">IF($A619="","",_xlfn.XLOOKUP(LOWER(TRIM(Base_Bruta!E619)),DePara_Categoria!$A$2:$A$9,DePara_Categoria!$B$2:$B$9,"REVISAR"))</f>
        <v>Festival</v>
      </c>
      <c r="F619" s="4" t="str">
        <f aca="false">IF($A619="","",_xlfn.XLOOKUP(LOWER(TRIM(Base_Bruta!F619)),DePara_Cidade!$A$2:$A$29,DePara_Cidade!$B$2:$B$29,"REVISAR"))</f>
        <v>São Paulo</v>
      </c>
      <c r="G619" s="4" t="str">
        <f aca="false">IF($A619="","",TRIM(Base_Bruta!G619))</f>
        <v>Inteira</v>
      </c>
      <c r="H619" s="4" t="n">
        <f aca="false">IF($A619="","",IF(ISNUMBER(Base_Bruta!H619),Base_Bruta!H619,IFERROR(_xlfn.NUMBERVALUE(TRIM(SUBSTITUTE(Base_Bruta!H619,"R$","")),",","."),0)))</f>
        <v>2</v>
      </c>
      <c r="I619" s="6" t="n">
        <f aca="false">IF($A619="","",IF(ISNUMBER(Base_Bruta!I619),Base_Bruta!I619,IFERROR(_xlfn.NUMBERVALUE(TRIM(SUBSTITUTE(Base_Bruta!I619,"R$","")),",","."),0)))</f>
        <v>1055</v>
      </c>
      <c r="J619" s="6" t="n">
        <f aca="false">IF($A619="","",H619*I619)</f>
        <v>2110</v>
      </c>
      <c r="K619" s="4" t="str">
        <f aca="false">IF($A619="","",TRIM(Base_Bruta!J619))</f>
        <v>Parceiro</v>
      </c>
      <c r="L619" s="4" t="str">
        <f aca="false">IF($A619="","",TRIM(Base_Bruta!K619))</f>
        <v>C00219</v>
      </c>
      <c r="M619" s="4" t="str">
        <f aca="false">IF($A619="","",_xlfn.XLOOKUP(LOWER(TRIM(Base_Bruta!L619)),DePara_Cidade!$A$2:$A$29,DePara_Cidade!$B$2:$B$29,"REVISAR"))</f>
        <v>Vitória</v>
      </c>
      <c r="N619" s="4" t="str">
        <f aca="false">IF($A619="","",UPPER(TRIM(Base_Bruta!M619)))</f>
        <v>ES</v>
      </c>
      <c r="O619" s="4" t="str">
        <f aca="false">IF($A619="","",_xlfn.XLOOKUP(LOWER(TRIM(Base_Bruta!N619)),DePara_Pais!$A$2:$A$9,DePara_Pais!$B$2:$B$9,"REVISAR"))</f>
        <v>Brasil</v>
      </c>
      <c r="P619" s="4" t="str">
        <f aca="false">IF($A619="","",IF(O619&lt;&gt;"Brasil","Turista Internacional",IF(M619=F619,"Local","Turista Nacional")))</f>
        <v>Turista Nacional</v>
      </c>
      <c r="Q619" s="7" t="n">
        <f aca="false">IF($A619="","",DATE(YEAR(B619),MONTH(B619),1))</f>
        <v>46023</v>
      </c>
      <c r="R619" s="4" t="str">
        <f aca="false">IF($A619="","",IF(COUNTIF($A$2:$A619,$A619)&gt;1,"Sim","Não"))</f>
        <v>Não</v>
      </c>
      <c r="S619" s="4" t="str">
        <f aca="false">IF(A619="","Descartar - Linha vazia",IF(R619="Sim","Descartar - Duplicado",IF(OR(H619&lt;=0,I619&lt;=0),"Descartar - Qtd/Valor inválido","OK")))</f>
        <v>OK</v>
      </c>
      <c r="T619" s="4" t="str">
        <f aca="false">Base_Bruta!P619</f>
        <v>vendas_SP.xlsx</v>
      </c>
    </row>
    <row r="620" customFormat="false" ht="15" hidden="false" customHeight="false" outlineLevel="0" collapsed="false">
      <c r="A620" s="4" t="str">
        <f aca="false">IF(Base_Bruta!A620="","",Base_Bruta!A620)</f>
        <v>SP-000637</v>
      </c>
      <c r="B620" s="5" t="n">
        <f aca="false">IF($A620="","",IF(ISNUMBER(Base_Bruta!B620),Base_Bruta!B620,IF(MID(Base_Bruta!B620,5,1)="-",DATE(VALUE(LEFT(Base_Bruta!B620,4)),VALUE(MID(Base_Bruta!B620,6,2)),VALUE(RIGHT(Base_Bruta!B620,2))),DATE(VALUE(RIGHT(Base_Bruta!B620,4)),VALUE(MID(Base_Bruta!B620,4,2)),VALUE(LEFT(Base_Bruta!B620,2))))))</f>
        <v>46050</v>
      </c>
      <c r="C620" s="5" t="n">
        <f aca="false">IF($A620="","",IF(ISNUMBER(Base_Bruta!C620),Base_Bruta!C620,IF(MID(Base_Bruta!C620,5,1)="-",DATE(VALUE(LEFT(Base_Bruta!C620,4)),VALUE(MID(Base_Bruta!C620,6,2)),VALUE(RIGHT(Base_Bruta!C620,2))),DATE(VALUE(RIGHT(Base_Bruta!C620,4)),VALUE(MID(Base_Bruta!C620,4,2)),VALUE(LEFT(Base_Bruta!C620,2))))))</f>
        <v>46052</v>
      </c>
      <c r="D620" s="4" t="str">
        <f aca="false">IF($A620="","",TRIM(Base_Bruta!D620))</f>
        <v>Cinema Paulista - Sessões</v>
      </c>
      <c r="E620" s="4" t="str">
        <f aca="false">IF($A620="","",_xlfn.XLOOKUP(LOWER(TRIM(Base_Bruta!E620)),DePara_Categoria!$A$2:$A$9,DePara_Categoria!$B$2:$B$9,"REVISAR"))</f>
        <v>Cinema</v>
      </c>
      <c r="F620" s="4" t="str">
        <f aca="false">IF($A620="","",_xlfn.XLOOKUP(LOWER(TRIM(Base_Bruta!F620)),DePara_Cidade!$A$2:$A$29,DePara_Cidade!$B$2:$B$29,"REVISAR"))</f>
        <v>São Paulo</v>
      </c>
      <c r="G620" s="4" t="str">
        <f aca="false">IF($A620="","",TRIM(Base_Bruta!G620))</f>
        <v>Inteira</v>
      </c>
      <c r="H620" s="4" t="n">
        <f aca="false">IF($A620="","",IF(ISNUMBER(Base_Bruta!H620),Base_Bruta!H620,IFERROR(_xlfn.NUMBERVALUE(TRIM(SUBSTITUTE(Base_Bruta!H620,"R$","")),",","."),0)))</f>
        <v>1</v>
      </c>
      <c r="I620" s="6" t="n">
        <f aca="false">IF($A620="","",IF(ISNUMBER(Base_Bruta!I620),Base_Bruta!I620,IFERROR(_xlfn.NUMBERVALUE(TRIM(SUBSTITUTE(Base_Bruta!I620,"R$","")),",","."),0)))</f>
        <v>35</v>
      </c>
      <c r="J620" s="6" t="n">
        <f aca="false">IF($A620="","",H620*I620)</f>
        <v>35</v>
      </c>
      <c r="K620" s="4" t="str">
        <f aca="false">IF($A620="","",TRIM(Base_Bruta!J620))</f>
        <v>Site</v>
      </c>
      <c r="L620" s="4" t="str">
        <f aca="false">IF($A620="","",TRIM(Base_Bruta!K620))</f>
        <v>C02347</v>
      </c>
      <c r="M620" s="4" t="str">
        <f aca="false">IF($A620="","",_xlfn.XLOOKUP(LOWER(TRIM(Base_Bruta!L620)),DePara_Cidade!$A$2:$A$29,DePara_Cidade!$B$2:$B$29,"REVISAR"))</f>
        <v>São Paulo</v>
      </c>
      <c r="N620" s="4" t="str">
        <f aca="false">IF($A620="","",UPPER(TRIM(Base_Bruta!M620)))</f>
        <v>SP</v>
      </c>
      <c r="O620" s="4" t="str">
        <f aca="false">IF($A620="","",_xlfn.XLOOKUP(LOWER(TRIM(Base_Bruta!N620)),DePara_Pais!$A$2:$A$9,DePara_Pais!$B$2:$B$9,"REVISAR"))</f>
        <v>Brasil</v>
      </c>
      <c r="P620" s="4" t="str">
        <f aca="false">IF($A620="","",IF(O620&lt;&gt;"Brasil","Turista Internacional",IF(M620=F620,"Local","Turista Nacional")))</f>
        <v>Local</v>
      </c>
      <c r="Q620" s="7" t="n">
        <f aca="false">IF($A620="","",DATE(YEAR(B620),MONTH(B620),1))</f>
        <v>46023</v>
      </c>
      <c r="R620" s="4" t="str">
        <f aca="false">IF($A620="","",IF(COUNTIF($A$2:$A620,$A620)&gt;1,"Sim","Não"))</f>
        <v>Não</v>
      </c>
      <c r="S620" s="4" t="str">
        <f aca="false">IF(A620="","Descartar - Linha vazia",IF(R620="Sim","Descartar - Duplicado",IF(OR(H620&lt;=0,I620&lt;=0),"Descartar - Qtd/Valor inválido","OK")))</f>
        <v>OK</v>
      </c>
      <c r="T620" s="4" t="str">
        <f aca="false">Base_Bruta!P620</f>
        <v>vendas_SP.xlsx</v>
      </c>
    </row>
    <row r="621" customFormat="false" ht="15" hidden="false" customHeight="false" outlineLevel="0" collapsed="false">
      <c r="A621" s="4" t="str">
        <f aca="false">IF(Base_Bruta!A621="","",Base_Bruta!A621)</f>
        <v>SP-000676</v>
      </c>
      <c r="B621" s="5" t="n">
        <f aca="false">IF($A621="","",IF(ISNUMBER(Base_Bruta!B621),Base_Bruta!B621,IF(MID(Base_Bruta!B621,5,1)="-",DATE(VALUE(LEFT(Base_Bruta!B621,4)),VALUE(MID(Base_Bruta!B621,6,2)),VALUE(RIGHT(Base_Bruta!B621,2))),DATE(VALUE(RIGHT(Base_Bruta!B621,4)),VALUE(MID(Base_Bruta!B621,4,2)),VALUE(LEFT(Base_Bruta!B621,2))))))</f>
        <v>46050</v>
      </c>
      <c r="C621" s="5" t="n">
        <f aca="false">IF($A621="","",IF(ISNUMBER(Base_Bruta!C621),Base_Bruta!C621,IF(MID(Base_Bruta!C621,5,1)="-",DATE(VALUE(LEFT(Base_Bruta!C621,4)),VALUE(MID(Base_Bruta!C621,6,2)),VALUE(RIGHT(Base_Bruta!C621,2))),DATE(VALUE(RIGHT(Base_Bruta!C621,4)),VALUE(MID(Base_Bruta!C621,4,2)),VALUE(LEFT(Base_Bruta!C621,2))))))</f>
        <v>46052</v>
      </c>
      <c r="D621" s="4" t="str">
        <f aca="false">IF($A621="","",TRIM(Base_Bruta!D621))</f>
        <v>Cinema Paulista - Sessões</v>
      </c>
      <c r="E621" s="4" t="str">
        <f aca="false">IF($A621="","",_xlfn.XLOOKUP(LOWER(TRIM(Base_Bruta!E621)),DePara_Categoria!$A$2:$A$9,DePara_Categoria!$B$2:$B$9,"REVISAR"))</f>
        <v>Cinema</v>
      </c>
      <c r="F621" s="4" t="str">
        <f aca="false">IF($A621="","",_xlfn.XLOOKUP(LOWER(TRIM(Base_Bruta!F621)),DePara_Cidade!$A$2:$A$29,DePara_Cidade!$B$2:$B$29,"REVISAR"))</f>
        <v>São Paulo</v>
      </c>
      <c r="G621" s="4" t="str">
        <f aca="false">IF($A621="","",TRIM(Base_Bruta!G621))</f>
        <v>Meia</v>
      </c>
      <c r="H621" s="4" t="n">
        <f aca="false">IF($A621="","",IF(ISNUMBER(Base_Bruta!H621),Base_Bruta!H621,IFERROR(_xlfn.NUMBERVALUE(TRIM(SUBSTITUTE(Base_Bruta!H621,"R$","")),",","."),0)))</f>
        <v>1</v>
      </c>
      <c r="I621" s="6" t="n">
        <f aca="false">IF($A621="","",IF(ISNUMBER(Base_Bruta!I621),Base_Bruta!I621,IFERROR(_xlfn.NUMBERVALUE(TRIM(SUBSTITUTE(Base_Bruta!I621,"R$","")),",","."),0)))</f>
        <v>20</v>
      </c>
      <c r="J621" s="6" t="n">
        <f aca="false">IF($A621="","",H621*I621)</f>
        <v>20</v>
      </c>
      <c r="K621" s="4" t="str">
        <f aca="false">IF($A621="","",TRIM(Base_Bruta!J621))</f>
        <v>App</v>
      </c>
      <c r="L621" s="4" t="str">
        <f aca="false">IF($A621="","",TRIM(Base_Bruta!K621))</f>
        <v>C02098</v>
      </c>
      <c r="M621" s="4" t="str">
        <f aca="false">IF($A621="","",_xlfn.XLOOKUP(LOWER(TRIM(Base_Bruta!L621)),DePara_Cidade!$A$2:$A$29,DePara_Cidade!$B$2:$B$29,"REVISAR"))</f>
        <v>São Paulo</v>
      </c>
      <c r="N621" s="4" t="str">
        <f aca="false">IF($A621="","",UPPER(TRIM(Base_Bruta!M621)))</f>
        <v>SP</v>
      </c>
      <c r="O621" s="4" t="str">
        <f aca="false">IF($A621="","",_xlfn.XLOOKUP(LOWER(TRIM(Base_Bruta!N621)),DePara_Pais!$A$2:$A$9,DePara_Pais!$B$2:$B$9,"REVISAR"))</f>
        <v>Brasil</v>
      </c>
      <c r="P621" s="4" t="str">
        <f aca="false">IF($A621="","",IF(O621&lt;&gt;"Brasil","Turista Internacional",IF(M621=F621,"Local","Turista Nacional")))</f>
        <v>Local</v>
      </c>
      <c r="Q621" s="7" t="n">
        <f aca="false">IF($A621="","",DATE(YEAR(B621),MONTH(B621),1))</f>
        <v>46023</v>
      </c>
      <c r="R621" s="4" t="str">
        <f aca="false">IF($A621="","",IF(COUNTIF($A$2:$A621,$A621)&gt;1,"Sim","Não"))</f>
        <v>Não</v>
      </c>
      <c r="S621" s="4" t="str">
        <f aca="false">IF(A621="","Descartar - Linha vazia",IF(R621="Sim","Descartar - Duplicado",IF(OR(H621&lt;=0,I621&lt;=0),"Descartar - Qtd/Valor inválido","OK")))</f>
        <v>OK</v>
      </c>
      <c r="T621" s="4" t="str">
        <f aca="false">Base_Bruta!P621</f>
        <v>vendas_SP.xlsx</v>
      </c>
    </row>
    <row r="622" customFormat="false" ht="15" hidden="false" customHeight="false" outlineLevel="0" collapsed="false">
      <c r="A622" s="4" t="str">
        <f aca="false">IF(Base_Bruta!A622="","",Base_Bruta!A622)</f>
        <v>SP-000399</v>
      </c>
      <c r="B622" s="5" t="n">
        <f aca="false">IF($A622="","",IF(ISNUMBER(Base_Bruta!B622),Base_Bruta!B622,IF(MID(Base_Bruta!B622,5,1)="-",DATE(VALUE(LEFT(Base_Bruta!B622,4)),VALUE(MID(Base_Bruta!B622,6,2)),VALUE(RIGHT(Base_Bruta!B622,2))),DATE(VALUE(RIGHT(Base_Bruta!B622,4)),VALUE(MID(Base_Bruta!B622,4,2)),VALUE(LEFT(Base_Bruta!B622,2))))))</f>
        <v>46051</v>
      </c>
      <c r="C622" s="5" t="n">
        <f aca="false">IF($A622="","",IF(ISNUMBER(Base_Bruta!C622),Base_Bruta!C622,IF(MID(Base_Bruta!C622,5,1)="-",DATE(VALUE(LEFT(Base_Bruta!C622,4)),VALUE(MID(Base_Bruta!C622,6,2)),VALUE(RIGHT(Base_Bruta!C622,2))),DATE(VALUE(RIGHT(Base_Bruta!C622,4)),VALUE(MID(Base_Bruta!C622,4,2)),VALUE(LEFT(Base_Bruta!C622,2))))))</f>
        <v>46130</v>
      </c>
      <c r="D622" s="4" t="str">
        <f aca="false">IF($A622="","",TRIM(Base_Bruta!D622))</f>
        <v>Festival Sonora SP 2026</v>
      </c>
      <c r="E622" s="4" t="str">
        <f aca="false">IF($A622="","",_xlfn.XLOOKUP(LOWER(TRIM(Base_Bruta!E622)),DePara_Categoria!$A$2:$A$9,DePara_Categoria!$B$2:$B$9,"REVISAR"))</f>
        <v>Festival</v>
      </c>
      <c r="F622" s="4" t="str">
        <f aca="false">IF($A622="","",_xlfn.XLOOKUP(LOWER(TRIM(Base_Bruta!F622)),DePara_Cidade!$A$2:$A$29,DePara_Cidade!$B$2:$B$29,"REVISAR"))</f>
        <v>São Paulo</v>
      </c>
      <c r="G622" s="4" t="str">
        <f aca="false">IF($A622="","",TRIM(Base_Bruta!G622))</f>
        <v>Inteira</v>
      </c>
      <c r="H622" s="4" t="n">
        <f aca="false">IF($A622="","",IF(ISNUMBER(Base_Bruta!H622),Base_Bruta!H622,IFERROR(_xlfn.NUMBERVALUE(TRIM(SUBSTITUTE(Base_Bruta!H622,"R$","")),",","."),0)))</f>
        <v>2</v>
      </c>
      <c r="I622" s="6" t="n">
        <f aca="false">IF($A622="","",IF(ISNUMBER(Base_Bruta!I622),Base_Bruta!I622,IFERROR(_xlfn.NUMBERVALUE(TRIM(SUBSTITUTE(Base_Bruta!I622,"R$","")),",","."),0)))</f>
        <v>985</v>
      </c>
      <c r="J622" s="6" t="n">
        <f aca="false">IF($A622="","",H622*I622)</f>
        <v>1970</v>
      </c>
      <c r="K622" s="4" t="str">
        <f aca="false">IF($A622="","",TRIM(Base_Bruta!J622))</f>
        <v>Site</v>
      </c>
      <c r="L622" s="4" t="str">
        <f aca="false">IF($A622="","",TRIM(Base_Bruta!K622))</f>
        <v>C01626</v>
      </c>
      <c r="M622" s="4" t="str">
        <f aca="false">IF($A622="","",_xlfn.XLOOKUP(LOWER(TRIM(Base_Bruta!L622)),DePara_Cidade!$A$2:$A$29,DePara_Cidade!$B$2:$B$29,"REVISAR"))</f>
        <v>Belo Horizonte</v>
      </c>
      <c r="N622" s="4" t="str">
        <f aca="false">IF($A622="","",UPPER(TRIM(Base_Bruta!M622)))</f>
        <v>MG</v>
      </c>
      <c r="O622" s="4" t="str">
        <f aca="false">IF($A622="","",_xlfn.XLOOKUP(LOWER(TRIM(Base_Bruta!N622)),DePara_Pais!$A$2:$A$9,DePara_Pais!$B$2:$B$9,"REVISAR"))</f>
        <v>Brasil</v>
      </c>
      <c r="P622" s="4" t="str">
        <f aca="false">IF($A622="","",IF(O622&lt;&gt;"Brasil","Turista Internacional",IF(M622=F622,"Local","Turista Nacional")))</f>
        <v>Turista Nacional</v>
      </c>
      <c r="Q622" s="7" t="n">
        <f aca="false">IF($A622="","",DATE(YEAR(B622),MONTH(B622),1))</f>
        <v>46023</v>
      </c>
      <c r="R622" s="4" t="str">
        <f aca="false">IF($A622="","",IF(COUNTIF($A$2:$A622,$A622)&gt;1,"Sim","Não"))</f>
        <v>Não</v>
      </c>
      <c r="S622" s="4" t="str">
        <f aca="false">IF(A622="","Descartar - Linha vazia",IF(R622="Sim","Descartar - Duplicado",IF(OR(H622&lt;=0,I622&lt;=0),"Descartar - Qtd/Valor inválido","OK")))</f>
        <v>OK</v>
      </c>
      <c r="T622" s="4" t="str">
        <f aca="false">Base_Bruta!P622</f>
        <v>vendas_SP.xlsx</v>
      </c>
    </row>
    <row r="623" customFormat="false" ht="15" hidden="false" customHeight="false" outlineLevel="0" collapsed="false">
      <c r="A623" s="4" t="str">
        <f aca="false">IF(Base_Bruta!A623="","",Base_Bruta!A623)</f>
        <v>SP-000739</v>
      </c>
      <c r="B623" s="5" t="n">
        <f aca="false">IF($A623="","",IF(ISNUMBER(Base_Bruta!B623),Base_Bruta!B623,IF(MID(Base_Bruta!B623,5,1)="-",DATE(VALUE(LEFT(Base_Bruta!B623,4)),VALUE(MID(Base_Bruta!B623,6,2)),VALUE(RIGHT(Base_Bruta!B623,2))),DATE(VALUE(RIGHT(Base_Bruta!B623,4)),VALUE(MID(Base_Bruta!B623,4,2)),VALUE(LEFT(Base_Bruta!B623,2))))))</f>
        <v>46053</v>
      </c>
      <c r="C623" s="5" t="n">
        <f aca="false">IF($A623="","",IF(ISNUMBER(Base_Bruta!C623),Base_Bruta!C623,IF(MID(Base_Bruta!C623,5,1)="-",DATE(VALUE(LEFT(Base_Bruta!C623,4)),VALUE(MID(Base_Bruta!C623,6,2)),VALUE(RIGHT(Base_Bruta!C623,2))),DATE(VALUE(RIGHT(Base_Bruta!C623,4)),VALUE(MID(Base_Bruta!C623,4,2)),VALUE(LEFT(Base_Bruta!C623,2))))))</f>
        <v>46054</v>
      </c>
      <c r="D623" s="4" t="str">
        <f aca="false">IF($A623="","",TRIM(Base_Bruta!D623))</f>
        <v>Cinema Paulista - Sessões</v>
      </c>
      <c r="E623" s="4" t="str">
        <f aca="false">IF($A623="","",_xlfn.XLOOKUP(LOWER(TRIM(Base_Bruta!E623)),DePara_Categoria!$A$2:$A$9,DePara_Categoria!$B$2:$B$9,"REVISAR"))</f>
        <v>Cinema</v>
      </c>
      <c r="F623" s="4" t="str">
        <f aca="false">IF($A623="","",_xlfn.XLOOKUP(LOWER(TRIM(Base_Bruta!F623)),DePara_Cidade!$A$2:$A$29,DePara_Cidade!$B$2:$B$29,"REVISAR"))</f>
        <v>São Paulo</v>
      </c>
      <c r="G623" s="4" t="str">
        <f aca="false">IF($A623="","",TRIM(Base_Bruta!G623))</f>
        <v>Meia</v>
      </c>
      <c r="H623" s="4" t="n">
        <f aca="false">IF($A623="","",IF(ISNUMBER(Base_Bruta!H623),Base_Bruta!H623,IFERROR(_xlfn.NUMBERVALUE(TRIM(SUBSTITUTE(Base_Bruta!H623,"R$","")),",","."),0)))</f>
        <v>2</v>
      </c>
      <c r="I623" s="6" t="n">
        <f aca="false">IF($A623="","",IF(ISNUMBER(Base_Bruta!I623),Base_Bruta!I623,IFERROR(_xlfn.NUMBERVALUE(TRIM(SUBSTITUTE(Base_Bruta!I623,"R$","")),",","."),0)))</f>
        <v>22.5</v>
      </c>
      <c r="J623" s="6" t="n">
        <f aca="false">IF($A623="","",H623*I623)</f>
        <v>45</v>
      </c>
      <c r="K623" s="4" t="str">
        <f aca="false">IF($A623="","",TRIM(Base_Bruta!J623))</f>
        <v>Site</v>
      </c>
      <c r="L623" s="4" t="str">
        <f aca="false">IF($A623="","",TRIM(Base_Bruta!K623))</f>
        <v>C01659</v>
      </c>
      <c r="M623" s="4" t="str">
        <f aca="false">IF($A623="","",_xlfn.XLOOKUP(LOWER(TRIM(Base_Bruta!L623)),DePara_Cidade!$A$2:$A$29,DePara_Cidade!$B$2:$B$29,"REVISAR"))</f>
        <v>São Paulo</v>
      </c>
      <c r="N623" s="4" t="str">
        <f aca="false">IF($A623="","",UPPER(TRIM(Base_Bruta!M623)))</f>
        <v>SP</v>
      </c>
      <c r="O623" s="4" t="str">
        <f aca="false">IF($A623="","",_xlfn.XLOOKUP(LOWER(TRIM(Base_Bruta!N623)),DePara_Pais!$A$2:$A$9,DePara_Pais!$B$2:$B$9,"REVISAR"))</f>
        <v>Brasil</v>
      </c>
      <c r="P623" s="4" t="str">
        <f aca="false">IF($A623="","",IF(O623&lt;&gt;"Brasil","Turista Internacional",IF(M623=F623,"Local","Turista Nacional")))</f>
        <v>Local</v>
      </c>
      <c r="Q623" s="7" t="n">
        <f aca="false">IF($A623="","",DATE(YEAR(B623),MONTH(B623),1))</f>
        <v>46023</v>
      </c>
      <c r="R623" s="4" t="str">
        <f aca="false">IF($A623="","",IF(COUNTIF($A$2:$A623,$A623)&gt;1,"Sim","Não"))</f>
        <v>Não</v>
      </c>
      <c r="S623" s="4" t="str">
        <f aca="false">IF(A623="","Descartar - Linha vazia",IF(R623="Sim","Descartar - Duplicado",IF(OR(H623&lt;=0,I623&lt;=0),"Descartar - Qtd/Valor inválido","OK")))</f>
        <v>OK</v>
      </c>
      <c r="T623" s="4" t="str">
        <f aca="false">Base_Bruta!P623</f>
        <v>vendas_SP.xlsx</v>
      </c>
    </row>
    <row r="624" customFormat="false" ht="15" hidden="false" customHeight="false" outlineLevel="0" collapsed="false">
      <c r="A624" s="4" t="str">
        <f aca="false">IF(Base_Bruta!A624="","",Base_Bruta!A624)</f>
        <v>SP-000260</v>
      </c>
      <c r="B624" s="5" t="n">
        <f aca="false">IF($A624="","",IF(ISNUMBER(Base_Bruta!B624),Base_Bruta!B624,IF(MID(Base_Bruta!B624,5,1)="-",DATE(VALUE(LEFT(Base_Bruta!B624,4)),VALUE(MID(Base_Bruta!B624,6,2)),VALUE(RIGHT(Base_Bruta!B624,2))),DATE(VALUE(RIGHT(Base_Bruta!B624,4)),VALUE(MID(Base_Bruta!B624,4,2)),VALUE(LEFT(Base_Bruta!B624,2))))))</f>
        <v>46054</v>
      </c>
      <c r="C624" s="5" t="n">
        <f aca="false">IF($A624="","",IF(ISNUMBER(Base_Bruta!C624),Base_Bruta!C624,IF(MID(Base_Bruta!C624,5,1)="-",DATE(VALUE(LEFT(Base_Bruta!C624,4)),VALUE(MID(Base_Bruta!C624,6,2)),VALUE(RIGHT(Base_Bruta!C624,2))),DATE(VALUE(RIGHT(Base_Bruta!C624,4)),VALUE(MID(Base_Bruta!C624,4,2)),VALUE(LEFT(Base_Bruta!C624,2))))))</f>
        <v>46130</v>
      </c>
      <c r="D624" s="4" t="str">
        <f aca="false">IF($A624="","",TRIM(Base_Bruta!D624))</f>
        <v>Festival Sonora SP 2026</v>
      </c>
      <c r="E624" s="4" t="str">
        <f aca="false">IF($A624="","",_xlfn.XLOOKUP(LOWER(TRIM(Base_Bruta!E624)),DePara_Categoria!$A$2:$A$9,DePara_Categoria!$B$2:$B$9,"REVISAR"))</f>
        <v>Festival</v>
      </c>
      <c r="F624" s="4" t="str">
        <f aca="false">IF($A624="","",_xlfn.XLOOKUP(LOWER(TRIM(Base_Bruta!F624)),DePara_Cidade!$A$2:$A$29,DePara_Cidade!$B$2:$B$29,"REVISAR"))</f>
        <v>São Paulo</v>
      </c>
      <c r="G624" s="4" t="str">
        <f aca="false">IF($A624="","",TRIM(Base_Bruta!G624))</f>
        <v>Meia</v>
      </c>
      <c r="H624" s="4" t="n">
        <f aca="false">IF($A624="","",IF(ISNUMBER(Base_Bruta!H624),Base_Bruta!H624,IFERROR(_xlfn.NUMBERVALUE(TRIM(SUBSTITUTE(Base_Bruta!H624,"R$","")),",","."),0)))</f>
        <v>2</v>
      </c>
      <c r="I624" s="6" t="n">
        <f aca="false">IF($A624="","",IF(ISNUMBER(Base_Bruta!I624),Base_Bruta!I624,IFERROR(_xlfn.NUMBERVALUE(TRIM(SUBSTITUTE(Base_Bruta!I624,"R$","")),",","."),0)))</f>
        <v>357.5</v>
      </c>
      <c r="J624" s="6" t="n">
        <f aca="false">IF($A624="","",H624*I624)</f>
        <v>715</v>
      </c>
      <c r="K624" s="4" t="str">
        <f aca="false">IF($A624="","",TRIM(Base_Bruta!J624))</f>
        <v>App</v>
      </c>
      <c r="L624" s="4" t="str">
        <f aca="false">IF($A624="","",TRIM(Base_Bruta!K624))</f>
        <v>C00873</v>
      </c>
      <c r="M624" s="4" t="str">
        <f aca="false">IF($A624="","",_xlfn.XLOOKUP(LOWER(TRIM(Base_Bruta!L624)),DePara_Cidade!$A$2:$A$29,DePara_Cidade!$B$2:$B$29,"REVISAR"))</f>
        <v>São Paulo</v>
      </c>
      <c r="N624" s="4" t="str">
        <f aca="false">IF($A624="","",UPPER(TRIM(Base_Bruta!M624)))</f>
        <v>SP</v>
      </c>
      <c r="O624" s="4" t="str">
        <f aca="false">IF($A624="","",_xlfn.XLOOKUP(LOWER(TRIM(Base_Bruta!N624)),DePara_Pais!$A$2:$A$9,DePara_Pais!$B$2:$B$9,"REVISAR"))</f>
        <v>Brasil</v>
      </c>
      <c r="P624" s="4" t="str">
        <f aca="false">IF($A624="","",IF(O624&lt;&gt;"Brasil","Turista Internacional",IF(M624=F624,"Local","Turista Nacional")))</f>
        <v>Local</v>
      </c>
      <c r="Q624" s="7" t="n">
        <f aca="false">IF($A624="","",DATE(YEAR(B624),MONTH(B624),1))</f>
        <v>46054</v>
      </c>
      <c r="R624" s="4" t="str">
        <f aca="false">IF($A624="","",IF(COUNTIF($A$2:$A624,$A624)&gt;1,"Sim","Não"))</f>
        <v>Não</v>
      </c>
      <c r="S624" s="4" t="str">
        <f aca="false">IF(A624="","Descartar - Linha vazia",IF(R624="Sim","Descartar - Duplicado",IF(OR(H624&lt;=0,I624&lt;=0),"Descartar - Qtd/Valor inválido","OK")))</f>
        <v>OK</v>
      </c>
      <c r="T624" s="4" t="str">
        <f aca="false">Base_Bruta!P624</f>
        <v>vendas_SP.xlsx</v>
      </c>
    </row>
    <row r="625" customFormat="false" ht="15" hidden="false" customHeight="false" outlineLevel="0" collapsed="false">
      <c r="A625" s="4" t="str">
        <f aca="false">IF(Base_Bruta!A625="","",Base_Bruta!A625)</f>
        <v>SP-000686</v>
      </c>
      <c r="B625" s="5" t="n">
        <f aca="false">IF($A625="","",IF(ISNUMBER(Base_Bruta!B625),Base_Bruta!B625,IF(MID(Base_Bruta!B625,5,1)="-",DATE(VALUE(LEFT(Base_Bruta!B625,4)),VALUE(MID(Base_Bruta!B625,6,2)),VALUE(RIGHT(Base_Bruta!B625,2))),DATE(VALUE(RIGHT(Base_Bruta!B625,4)),VALUE(MID(Base_Bruta!B625,4,2)),VALUE(LEFT(Base_Bruta!B625,2))))))</f>
        <v>46054</v>
      </c>
      <c r="C625" s="5" t="n">
        <f aca="false">IF($A625="","",IF(ISNUMBER(Base_Bruta!C625),Base_Bruta!C625,IF(MID(Base_Bruta!C625,5,1)="-",DATE(VALUE(LEFT(Base_Bruta!C625,4)),VALUE(MID(Base_Bruta!C625,6,2)),VALUE(RIGHT(Base_Bruta!C625,2))),DATE(VALUE(RIGHT(Base_Bruta!C625,4)),VALUE(MID(Base_Bruta!C625,4,2)),VALUE(LEFT(Base_Bruta!C625,2))))))</f>
        <v>46055</v>
      </c>
      <c r="D625" s="4" t="str">
        <f aca="false">IF($A625="","",TRIM(Base_Bruta!D625))</f>
        <v>Cinema Paulista - Sessões</v>
      </c>
      <c r="E625" s="4" t="str">
        <f aca="false">IF($A625="","",_xlfn.XLOOKUP(LOWER(TRIM(Base_Bruta!E625)),DePara_Categoria!$A$2:$A$9,DePara_Categoria!$B$2:$B$9,"REVISAR"))</f>
        <v>Cinema</v>
      </c>
      <c r="F625" s="4" t="str">
        <f aca="false">IF($A625="","",_xlfn.XLOOKUP(LOWER(TRIM(Base_Bruta!F625)),DePara_Cidade!$A$2:$A$29,DePara_Cidade!$B$2:$B$29,"REVISAR"))</f>
        <v>São Paulo</v>
      </c>
      <c r="G625" s="4" t="str">
        <f aca="false">IF($A625="","",TRIM(Base_Bruta!G625))</f>
        <v>Inteira</v>
      </c>
      <c r="H625" s="4" t="n">
        <f aca="false">IF($A625="","",IF(ISNUMBER(Base_Bruta!H625),Base_Bruta!H625,IFERROR(_xlfn.NUMBERVALUE(TRIM(SUBSTITUTE(Base_Bruta!H625,"R$","")),",","."),0)))</f>
        <v>4</v>
      </c>
      <c r="I625" s="6" t="n">
        <f aca="false">IF($A625="","",IF(ISNUMBER(Base_Bruta!I625),Base_Bruta!I625,IFERROR(_xlfn.NUMBERVALUE(TRIM(SUBSTITUTE(Base_Bruta!I625,"R$","")),",","."),0)))</f>
        <v>35</v>
      </c>
      <c r="J625" s="6" t="n">
        <f aca="false">IF($A625="","",H625*I625)</f>
        <v>140</v>
      </c>
      <c r="K625" s="4" t="str">
        <f aca="false">IF($A625="","",TRIM(Base_Bruta!J625))</f>
        <v>Site</v>
      </c>
      <c r="L625" s="4" t="str">
        <f aca="false">IF($A625="","",TRIM(Base_Bruta!K625))</f>
        <v>C02236</v>
      </c>
      <c r="M625" s="4" t="str">
        <f aca="false">IF($A625="","",_xlfn.XLOOKUP(LOWER(TRIM(Base_Bruta!L625)),DePara_Cidade!$A$2:$A$29,DePara_Cidade!$B$2:$B$29,"REVISAR"))</f>
        <v>Niterói</v>
      </c>
      <c r="N625" s="4" t="str">
        <f aca="false">IF($A625="","",UPPER(TRIM(Base_Bruta!M625)))</f>
        <v>RJ</v>
      </c>
      <c r="O625" s="4" t="str">
        <f aca="false">IF($A625="","",_xlfn.XLOOKUP(LOWER(TRIM(Base_Bruta!N625)),DePara_Pais!$A$2:$A$9,DePara_Pais!$B$2:$B$9,"REVISAR"))</f>
        <v>Brasil</v>
      </c>
      <c r="P625" s="4" t="str">
        <f aca="false">IF($A625="","",IF(O625&lt;&gt;"Brasil","Turista Internacional",IF(M625=F625,"Local","Turista Nacional")))</f>
        <v>Turista Nacional</v>
      </c>
      <c r="Q625" s="7" t="n">
        <f aca="false">IF($A625="","",DATE(YEAR(B625),MONTH(B625),1))</f>
        <v>46054</v>
      </c>
      <c r="R625" s="4" t="str">
        <f aca="false">IF($A625="","",IF(COUNTIF($A$2:$A625,$A625)&gt;1,"Sim","Não"))</f>
        <v>Não</v>
      </c>
      <c r="S625" s="4" t="str">
        <f aca="false">IF(A625="","Descartar - Linha vazia",IF(R625="Sim","Descartar - Duplicado",IF(OR(H625&lt;=0,I625&lt;=0),"Descartar - Qtd/Valor inválido","OK")))</f>
        <v>OK</v>
      </c>
      <c r="T625" s="4" t="str">
        <f aca="false">Base_Bruta!P625</f>
        <v>vendas_SP.xlsx</v>
      </c>
    </row>
    <row r="626" customFormat="false" ht="15" hidden="false" customHeight="false" outlineLevel="0" collapsed="false">
      <c r="A626" s="4" t="str">
        <f aca="false">IF(Base_Bruta!A626="","",Base_Bruta!A626)</f>
        <v>SP-000404</v>
      </c>
      <c r="B626" s="5" t="n">
        <f aca="false">IF($A626="","",IF(ISNUMBER(Base_Bruta!B626),Base_Bruta!B626,IF(MID(Base_Bruta!B626,5,1)="-",DATE(VALUE(LEFT(Base_Bruta!B626,4)),VALUE(MID(Base_Bruta!B626,6,2)),VALUE(RIGHT(Base_Bruta!B626,2))),DATE(VALUE(RIGHT(Base_Bruta!B626,4)),VALUE(MID(Base_Bruta!B626,4,2)),VALUE(LEFT(Base_Bruta!B626,2))))))</f>
        <v>46055</v>
      </c>
      <c r="C626" s="5" t="n">
        <f aca="false">IF($A626="","",IF(ISNUMBER(Base_Bruta!C626),Base_Bruta!C626,IF(MID(Base_Bruta!C626,5,1)="-",DATE(VALUE(LEFT(Base_Bruta!C626,4)),VALUE(MID(Base_Bruta!C626,6,2)),VALUE(RIGHT(Base_Bruta!C626,2))),DATE(VALUE(RIGHT(Base_Bruta!C626,4)),VALUE(MID(Base_Bruta!C626,4,2)),VALUE(LEFT(Base_Bruta!C626,2))))))</f>
        <v>46130</v>
      </c>
      <c r="D626" s="4" t="str">
        <f aca="false">IF($A626="","",TRIM(Base_Bruta!D626))</f>
        <v>Festival Sonora SP 2026</v>
      </c>
      <c r="E626" s="4" t="str">
        <f aca="false">IF($A626="","",_xlfn.XLOOKUP(LOWER(TRIM(Base_Bruta!E626)),DePara_Categoria!$A$2:$A$9,DePara_Categoria!$B$2:$B$9,"REVISAR"))</f>
        <v>Festival</v>
      </c>
      <c r="F626" s="4" t="str">
        <f aca="false">IF($A626="","",_xlfn.XLOOKUP(LOWER(TRIM(Base_Bruta!F626)),DePara_Cidade!$A$2:$A$29,DePara_Cidade!$B$2:$B$29,"REVISAR"))</f>
        <v>São Paulo</v>
      </c>
      <c r="G626" s="4" t="str">
        <f aca="false">IF($A626="","",TRIM(Base_Bruta!G626))</f>
        <v>Inteira</v>
      </c>
      <c r="H626" s="4" t="n">
        <f aca="false">IF($A626="","",IF(ISNUMBER(Base_Bruta!H626),Base_Bruta!H626,IFERROR(_xlfn.NUMBERVALUE(TRIM(SUBSTITUTE(Base_Bruta!H626,"R$","")),",","."),0)))</f>
        <v>1</v>
      </c>
      <c r="I626" s="6" t="n">
        <f aca="false">IF($A626="","",IF(ISNUMBER(Base_Bruta!I626),Base_Bruta!I626,IFERROR(_xlfn.NUMBERVALUE(TRIM(SUBSTITUTE(Base_Bruta!I626,"R$","")),",","."),0)))</f>
        <v>1150</v>
      </c>
      <c r="J626" s="6" t="n">
        <f aca="false">IF($A626="","",H626*I626)</f>
        <v>1150</v>
      </c>
      <c r="K626" s="4" t="str">
        <f aca="false">IF($A626="","",TRIM(Base_Bruta!J626))</f>
        <v>App</v>
      </c>
      <c r="L626" s="4" t="str">
        <f aca="false">IF($A626="","",TRIM(Base_Bruta!K626))</f>
        <v>C01106</v>
      </c>
      <c r="M626" s="4" t="str">
        <f aca="false">IF($A626="","",_xlfn.XLOOKUP(LOWER(TRIM(Base_Bruta!L626)),DePara_Cidade!$A$2:$A$29,DePara_Cidade!$B$2:$B$29,"REVISAR"))</f>
        <v>São Paulo</v>
      </c>
      <c r="N626" s="4" t="str">
        <f aca="false">IF($A626="","",UPPER(TRIM(Base_Bruta!M626)))</f>
        <v>SP</v>
      </c>
      <c r="O626" s="4" t="str">
        <f aca="false">IF($A626="","",_xlfn.XLOOKUP(LOWER(TRIM(Base_Bruta!N626)),DePara_Pais!$A$2:$A$9,DePara_Pais!$B$2:$B$9,"REVISAR"))</f>
        <v>Brasil</v>
      </c>
      <c r="P626" s="4" t="str">
        <f aca="false">IF($A626="","",IF(O626&lt;&gt;"Brasil","Turista Internacional",IF(M626=F626,"Local","Turista Nacional")))</f>
        <v>Local</v>
      </c>
      <c r="Q626" s="7" t="n">
        <f aca="false">IF($A626="","",DATE(YEAR(B626),MONTH(B626),1))</f>
        <v>46054</v>
      </c>
      <c r="R626" s="4" t="str">
        <f aca="false">IF($A626="","",IF(COUNTIF($A$2:$A626,$A626)&gt;1,"Sim","Não"))</f>
        <v>Não</v>
      </c>
      <c r="S626" s="4" t="str">
        <f aca="false">IF(A626="","Descartar - Linha vazia",IF(R626="Sim","Descartar - Duplicado",IF(OR(H626&lt;=0,I626&lt;=0),"Descartar - Qtd/Valor inválido","OK")))</f>
        <v>OK</v>
      </c>
      <c r="T626" s="4" t="str">
        <f aca="false">Base_Bruta!P626</f>
        <v>vendas_SP.xlsx</v>
      </c>
    </row>
    <row r="627" customFormat="false" ht="15" hidden="false" customHeight="false" outlineLevel="0" collapsed="false">
      <c r="A627" s="4" t="str">
        <f aca="false">IF(Base_Bruta!A627="","",Base_Bruta!A627)</f>
        <v>SP-000270</v>
      </c>
      <c r="B627" s="5" t="n">
        <f aca="false">IF($A627="","",IF(ISNUMBER(Base_Bruta!B627),Base_Bruta!B627,IF(MID(Base_Bruta!B627,5,1)="-",DATE(VALUE(LEFT(Base_Bruta!B627,4)),VALUE(MID(Base_Bruta!B627,6,2)),VALUE(RIGHT(Base_Bruta!B627,2))),DATE(VALUE(RIGHT(Base_Bruta!B627,4)),VALUE(MID(Base_Bruta!B627,4,2)),VALUE(LEFT(Base_Bruta!B627,2))))))</f>
        <v>46056</v>
      </c>
      <c r="C627" s="5" t="n">
        <f aca="false">IF($A627="","",IF(ISNUMBER(Base_Bruta!C627),Base_Bruta!C627,IF(MID(Base_Bruta!C627,5,1)="-",DATE(VALUE(LEFT(Base_Bruta!C627,4)),VALUE(MID(Base_Bruta!C627,6,2)),VALUE(RIGHT(Base_Bruta!C627,2))),DATE(VALUE(RIGHT(Base_Bruta!C627,4)),VALUE(MID(Base_Bruta!C627,4,2)),VALUE(LEFT(Base_Bruta!C627,2))))))</f>
        <v>46130</v>
      </c>
      <c r="D627" s="4" t="str">
        <f aca="false">IF($A627="","",TRIM(Base_Bruta!D627))</f>
        <v>Festival Sonora SP 2026</v>
      </c>
      <c r="E627" s="4" t="str">
        <f aca="false">IF($A627="","",_xlfn.XLOOKUP(LOWER(TRIM(Base_Bruta!E627)),DePara_Categoria!$A$2:$A$9,DePara_Categoria!$B$2:$B$9,"REVISAR"))</f>
        <v>Festival</v>
      </c>
      <c r="F627" s="4" t="str">
        <f aca="false">IF($A627="","",_xlfn.XLOOKUP(LOWER(TRIM(Base_Bruta!F627)),DePara_Cidade!$A$2:$A$29,DePara_Cidade!$B$2:$B$29,"REVISAR"))</f>
        <v>São Paulo</v>
      </c>
      <c r="G627" s="4" t="str">
        <f aca="false">IF($A627="","",TRIM(Base_Bruta!G627))</f>
        <v>Inteira</v>
      </c>
      <c r="H627" s="4" t="n">
        <f aca="false">IF($A627="","",IF(ISNUMBER(Base_Bruta!H627),Base_Bruta!H627,IFERROR(_xlfn.NUMBERVALUE(TRIM(SUBSTITUTE(Base_Bruta!H627,"R$","")),",","."),0)))</f>
        <v>1</v>
      </c>
      <c r="I627" s="6" t="n">
        <f aca="false">IF($A627="","",IF(ISNUMBER(Base_Bruta!I627),Base_Bruta!I627,IFERROR(_xlfn.NUMBERVALUE(TRIM(SUBSTITUTE(Base_Bruta!I627,"R$","")),",","."),0)))</f>
        <v>1120</v>
      </c>
      <c r="J627" s="6" t="n">
        <f aca="false">IF($A627="","",H627*I627)</f>
        <v>1120</v>
      </c>
      <c r="K627" s="4" t="str">
        <f aca="false">IF($A627="","",TRIM(Base_Bruta!J627))</f>
        <v>App</v>
      </c>
      <c r="L627" s="4" t="str">
        <f aca="false">IF($A627="","",TRIM(Base_Bruta!K627))</f>
        <v>C02082</v>
      </c>
      <c r="M627" s="4" t="str">
        <f aca="false">IF($A627="","",_xlfn.XLOOKUP(LOWER(TRIM(Base_Bruta!L627)),DePara_Cidade!$A$2:$A$29,DePara_Cidade!$B$2:$B$29,"REVISAR"))</f>
        <v>Santos</v>
      </c>
      <c r="N627" s="4" t="str">
        <f aca="false">IF($A627="","",UPPER(TRIM(Base_Bruta!M627)))</f>
        <v>SP</v>
      </c>
      <c r="O627" s="4" t="str">
        <f aca="false">IF($A627="","",_xlfn.XLOOKUP(LOWER(TRIM(Base_Bruta!N627)),DePara_Pais!$A$2:$A$9,DePara_Pais!$B$2:$B$9,"REVISAR"))</f>
        <v>Brasil</v>
      </c>
      <c r="P627" s="4" t="str">
        <f aca="false">IF($A627="","",IF(O627&lt;&gt;"Brasil","Turista Internacional",IF(M627=F627,"Local","Turista Nacional")))</f>
        <v>Turista Nacional</v>
      </c>
      <c r="Q627" s="7" t="n">
        <f aca="false">IF($A627="","",DATE(YEAR(B627),MONTH(B627),1))</f>
        <v>46054</v>
      </c>
      <c r="R627" s="4" t="str">
        <f aca="false">IF($A627="","",IF(COUNTIF($A$2:$A627,$A627)&gt;1,"Sim","Não"))</f>
        <v>Não</v>
      </c>
      <c r="S627" s="4" t="str">
        <f aca="false">IF(A627="","Descartar - Linha vazia",IF(R627="Sim","Descartar - Duplicado",IF(OR(H627&lt;=0,I627&lt;=0),"Descartar - Qtd/Valor inválido","OK")))</f>
        <v>OK</v>
      </c>
      <c r="T627" s="4" t="str">
        <f aca="false">Base_Bruta!P627</f>
        <v>vendas_SP.xlsx</v>
      </c>
    </row>
    <row r="628" customFormat="false" ht="15" hidden="false" customHeight="false" outlineLevel="0" collapsed="false">
      <c r="A628" s="4" t="str">
        <f aca="false">IF(Base_Bruta!A628="","",Base_Bruta!A628)</f>
        <v>SP-000386</v>
      </c>
      <c r="B628" s="5" t="n">
        <f aca="false">IF($A628="","",IF(ISNUMBER(Base_Bruta!B628),Base_Bruta!B628,IF(MID(Base_Bruta!B628,5,1)="-",DATE(VALUE(LEFT(Base_Bruta!B628,4)),VALUE(MID(Base_Bruta!B628,6,2)),VALUE(RIGHT(Base_Bruta!B628,2))),DATE(VALUE(RIGHT(Base_Bruta!B628,4)),VALUE(MID(Base_Bruta!B628,4,2)),VALUE(LEFT(Base_Bruta!B628,2))))))</f>
        <v>46058</v>
      </c>
      <c r="C628" s="5" t="n">
        <f aca="false">IF($A628="","",IF(ISNUMBER(Base_Bruta!C628),Base_Bruta!C628,IF(MID(Base_Bruta!C628,5,1)="-",DATE(VALUE(LEFT(Base_Bruta!C628,4)),VALUE(MID(Base_Bruta!C628,6,2)),VALUE(RIGHT(Base_Bruta!C628,2))),DATE(VALUE(RIGHT(Base_Bruta!C628,4)),VALUE(MID(Base_Bruta!C628,4,2)),VALUE(LEFT(Base_Bruta!C628,2))))))</f>
        <v>46130</v>
      </c>
      <c r="D628" s="4" t="str">
        <f aca="false">IF($A628="","",TRIM(Base_Bruta!D628))</f>
        <v>Festival Sonora SP 2026</v>
      </c>
      <c r="E628" s="4" t="str">
        <f aca="false">IF($A628="","",_xlfn.XLOOKUP(LOWER(TRIM(Base_Bruta!E628)),DePara_Categoria!$A$2:$A$9,DePara_Categoria!$B$2:$B$9,"REVISAR"))</f>
        <v>Festival</v>
      </c>
      <c r="F628" s="4" t="str">
        <f aca="false">IF($A628="","",_xlfn.XLOOKUP(LOWER(TRIM(Base_Bruta!F628)),DePara_Cidade!$A$2:$A$29,DePara_Cidade!$B$2:$B$29,"REVISAR"))</f>
        <v>São Paulo</v>
      </c>
      <c r="G628" s="4" t="str">
        <f aca="false">IF($A628="","",TRIM(Base_Bruta!G628))</f>
        <v>Inteira</v>
      </c>
      <c r="H628" s="4" t="n">
        <f aca="false">IF($A628="","",IF(ISNUMBER(Base_Bruta!H628),Base_Bruta!H628,IFERROR(_xlfn.NUMBERVALUE(TRIM(SUBSTITUTE(Base_Bruta!H628,"R$","")),",","."),0)))</f>
        <v>1</v>
      </c>
      <c r="I628" s="6" t="n">
        <f aca="false">IF($A628="","",IF(ISNUMBER(Base_Bruta!I628),Base_Bruta!I628,IFERROR(_xlfn.NUMBERVALUE(TRIM(SUBSTITUTE(Base_Bruta!I628,"R$","")),",","."),0)))</f>
        <v>795</v>
      </c>
      <c r="J628" s="6" t="n">
        <f aca="false">IF($A628="","",H628*I628)</f>
        <v>795</v>
      </c>
      <c r="K628" s="4" t="str">
        <f aca="false">IF($A628="","",TRIM(Base_Bruta!J628))</f>
        <v>Site</v>
      </c>
      <c r="L628" s="4" t="str">
        <f aca="false">IF($A628="","",TRIM(Base_Bruta!K628))</f>
        <v>C01205</v>
      </c>
      <c r="M628" s="4" t="str">
        <f aca="false">IF($A628="","",_xlfn.XLOOKUP(LOWER(TRIM(Base_Bruta!L628)),DePara_Cidade!$A$2:$A$29,DePara_Cidade!$B$2:$B$29,"REVISAR"))</f>
        <v>São Paulo</v>
      </c>
      <c r="N628" s="4" t="str">
        <f aca="false">IF($A628="","",UPPER(TRIM(Base_Bruta!M628)))</f>
        <v>SP</v>
      </c>
      <c r="O628" s="4" t="str">
        <f aca="false">IF($A628="","",_xlfn.XLOOKUP(LOWER(TRIM(Base_Bruta!N628)),DePara_Pais!$A$2:$A$9,DePara_Pais!$B$2:$B$9,"REVISAR"))</f>
        <v>Brasil</v>
      </c>
      <c r="P628" s="4" t="str">
        <f aca="false">IF($A628="","",IF(O628&lt;&gt;"Brasil","Turista Internacional",IF(M628=F628,"Local","Turista Nacional")))</f>
        <v>Local</v>
      </c>
      <c r="Q628" s="7" t="n">
        <f aca="false">IF($A628="","",DATE(YEAR(B628),MONTH(B628),1))</f>
        <v>46054</v>
      </c>
      <c r="R628" s="4" t="str">
        <f aca="false">IF($A628="","",IF(COUNTIF($A$2:$A628,$A628)&gt;1,"Sim","Não"))</f>
        <v>Não</v>
      </c>
      <c r="S628" s="4" t="str">
        <f aca="false">IF(A628="","Descartar - Linha vazia",IF(R628="Sim","Descartar - Duplicado",IF(OR(H628&lt;=0,I628&lt;=0),"Descartar - Qtd/Valor inválido","OK")))</f>
        <v>OK</v>
      </c>
      <c r="T628" s="4" t="str">
        <f aca="false">Base_Bruta!P628</f>
        <v>vendas_SP.xlsx</v>
      </c>
    </row>
    <row r="629" customFormat="false" ht="15" hidden="false" customHeight="false" outlineLevel="0" collapsed="false">
      <c r="A629" s="4" t="str">
        <f aca="false">IF(Base_Bruta!A629="","",Base_Bruta!A629)</f>
        <v>SP-000454</v>
      </c>
      <c r="B629" s="5" t="n">
        <f aca="false">IF($A629="","",IF(ISNUMBER(Base_Bruta!B629),Base_Bruta!B629,IF(MID(Base_Bruta!B629,5,1)="-",DATE(VALUE(LEFT(Base_Bruta!B629,4)),VALUE(MID(Base_Bruta!B629,6,2)),VALUE(RIGHT(Base_Bruta!B629,2))),DATE(VALUE(RIGHT(Base_Bruta!B629,4)),VALUE(MID(Base_Bruta!B629,4,2)),VALUE(LEFT(Base_Bruta!B629,2))))))</f>
        <v>46058</v>
      </c>
      <c r="C629" s="5" t="n">
        <f aca="false">IF($A629="","",IF(ISNUMBER(Base_Bruta!C629),Base_Bruta!C629,IF(MID(Base_Bruta!C629,5,1)="-",DATE(VALUE(LEFT(Base_Bruta!C629,4)),VALUE(MID(Base_Bruta!C629,6,2)),VALUE(RIGHT(Base_Bruta!C629,2))),DATE(VALUE(RIGHT(Base_Bruta!C629,4)),VALUE(MID(Base_Bruta!C629,4,2)),VALUE(LEFT(Base_Bruta!C629,2))))))</f>
        <v>46130</v>
      </c>
      <c r="D629" s="4" t="str">
        <f aca="false">IF($A629="","",TRIM(Base_Bruta!D629))</f>
        <v>Festival Sonora SP 2026</v>
      </c>
      <c r="E629" s="4" t="str">
        <f aca="false">IF($A629="","",_xlfn.XLOOKUP(LOWER(TRIM(Base_Bruta!E629)),DePara_Categoria!$A$2:$A$9,DePara_Categoria!$B$2:$B$9,"REVISAR"))</f>
        <v>Festival</v>
      </c>
      <c r="F629" s="4" t="str">
        <f aca="false">IF($A629="","",_xlfn.XLOOKUP(LOWER(TRIM(Base_Bruta!F629)),DePara_Cidade!$A$2:$A$29,DePara_Cidade!$B$2:$B$29,"REVISAR"))</f>
        <v>São Paulo</v>
      </c>
      <c r="G629" s="4" t="str">
        <f aca="false">IF($A629="","",TRIM(Base_Bruta!G629))</f>
        <v>Meia</v>
      </c>
      <c r="H629" s="4" t="n">
        <f aca="false">IF($A629="","",IF(ISNUMBER(Base_Bruta!H629),Base_Bruta!H629,IFERROR(_xlfn.NUMBERVALUE(TRIM(SUBSTITUTE(Base_Bruta!H629,"R$","")),",","."),0)))</f>
        <v>1</v>
      </c>
      <c r="I629" s="6" t="n">
        <f aca="false">IF($A629="","",IF(ISNUMBER(Base_Bruta!I629),Base_Bruta!I629,IFERROR(_xlfn.NUMBERVALUE(TRIM(SUBSTITUTE(Base_Bruta!I629,"R$","")),",","."),0)))</f>
        <v>560</v>
      </c>
      <c r="J629" s="6" t="n">
        <f aca="false">IF($A629="","",H629*I629)</f>
        <v>560</v>
      </c>
      <c r="K629" s="4" t="str">
        <f aca="false">IF($A629="","",TRIM(Base_Bruta!J629))</f>
        <v>Bilheteria</v>
      </c>
      <c r="L629" s="4" t="str">
        <f aca="false">IF($A629="","",TRIM(Base_Bruta!K629))</f>
        <v>C00725</v>
      </c>
      <c r="M629" s="4" t="str">
        <f aca="false">IF($A629="","",_xlfn.XLOOKUP(LOWER(TRIM(Base_Bruta!L629)),DePara_Cidade!$A$2:$A$29,DePara_Cidade!$B$2:$B$29,"REVISAR"))</f>
        <v>Brasília</v>
      </c>
      <c r="N629" s="4" t="str">
        <f aca="false">IF($A629="","",UPPER(TRIM(Base_Bruta!M629)))</f>
        <v>DF</v>
      </c>
      <c r="O629" s="4" t="str">
        <f aca="false">IF($A629="","",_xlfn.XLOOKUP(LOWER(TRIM(Base_Bruta!N629)),DePara_Pais!$A$2:$A$9,DePara_Pais!$B$2:$B$9,"REVISAR"))</f>
        <v>Brasil</v>
      </c>
      <c r="P629" s="4" t="str">
        <f aca="false">IF($A629="","",IF(O629&lt;&gt;"Brasil","Turista Internacional",IF(M629=F629,"Local","Turista Nacional")))</f>
        <v>Turista Nacional</v>
      </c>
      <c r="Q629" s="7" t="n">
        <f aca="false">IF($A629="","",DATE(YEAR(B629),MONTH(B629),1))</f>
        <v>46054</v>
      </c>
      <c r="R629" s="4" t="str">
        <f aca="false">IF($A629="","",IF(COUNTIF($A$2:$A629,$A629)&gt;1,"Sim","Não"))</f>
        <v>Não</v>
      </c>
      <c r="S629" s="4" t="str">
        <f aca="false">IF(A629="","Descartar - Linha vazia",IF(R629="Sim","Descartar - Duplicado",IF(OR(H629&lt;=0,I629&lt;=0),"Descartar - Qtd/Valor inválido","OK")))</f>
        <v>OK</v>
      </c>
      <c r="T629" s="4" t="str">
        <f aca="false">Base_Bruta!P629</f>
        <v>vendas_SP.xlsx</v>
      </c>
    </row>
    <row r="630" customFormat="false" ht="15" hidden="false" customHeight="false" outlineLevel="0" collapsed="false">
      <c r="A630" s="4" t="str">
        <f aca="false">IF(Base_Bruta!A630="","",Base_Bruta!A630)</f>
        <v>SP-000355</v>
      </c>
      <c r="B630" s="5" t="n">
        <f aca="false">IF($A630="","",IF(ISNUMBER(Base_Bruta!B630),Base_Bruta!B630,IF(MID(Base_Bruta!B630,5,1)="-",DATE(VALUE(LEFT(Base_Bruta!B630,4)),VALUE(MID(Base_Bruta!B630,6,2)),VALUE(RIGHT(Base_Bruta!B630,2))),DATE(VALUE(RIGHT(Base_Bruta!B630,4)),VALUE(MID(Base_Bruta!B630,4,2)),VALUE(LEFT(Base_Bruta!B630,2))))))</f>
        <v>46059</v>
      </c>
      <c r="C630" s="5" t="n">
        <f aca="false">IF($A630="","",IF(ISNUMBER(Base_Bruta!C630),Base_Bruta!C630,IF(MID(Base_Bruta!C630,5,1)="-",DATE(VALUE(LEFT(Base_Bruta!C630,4)),VALUE(MID(Base_Bruta!C630,6,2)),VALUE(RIGHT(Base_Bruta!C630,2))),DATE(VALUE(RIGHT(Base_Bruta!C630,4)),VALUE(MID(Base_Bruta!C630,4,2)),VALUE(LEFT(Base_Bruta!C630,2))))))</f>
        <v>46130</v>
      </c>
      <c r="D630" s="4" t="str">
        <f aca="false">IF($A630="","",TRIM(Base_Bruta!D630))</f>
        <v>Festival Sonora SP 2026</v>
      </c>
      <c r="E630" s="4" t="str">
        <f aca="false">IF($A630="","",_xlfn.XLOOKUP(LOWER(TRIM(Base_Bruta!E630)),DePara_Categoria!$A$2:$A$9,DePara_Categoria!$B$2:$B$9,"REVISAR"))</f>
        <v>Festival</v>
      </c>
      <c r="F630" s="4" t="str">
        <f aca="false">IF($A630="","",_xlfn.XLOOKUP(LOWER(TRIM(Base_Bruta!F630)),DePara_Cidade!$A$2:$A$29,DePara_Cidade!$B$2:$B$29,"REVISAR"))</f>
        <v>São Paulo</v>
      </c>
      <c r="G630" s="4" t="str">
        <f aca="false">IF($A630="","",TRIM(Base_Bruta!G630))</f>
        <v>Inteira</v>
      </c>
      <c r="H630" s="4" t="n">
        <f aca="false">IF($A630="","",IF(ISNUMBER(Base_Bruta!H630),Base_Bruta!H630,IFERROR(_xlfn.NUMBERVALUE(TRIM(SUBSTITUTE(Base_Bruta!H630,"R$","")),",","."),0)))</f>
        <v>4</v>
      </c>
      <c r="I630" s="6" t="n">
        <f aca="false">IF($A630="","",IF(ISNUMBER(Base_Bruta!I630),Base_Bruta!I630,IFERROR(_xlfn.NUMBERVALUE(TRIM(SUBSTITUTE(Base_Bruta!I630,"R$","")),",","."),0)))</f>
        <v>805</v>
      </c>
      <c r="J630" s="6" t="n">
        <f aca="false">IF($A630="","",H630*I630)</f>
        <v>3220</v>
      </c>
      <c r="K630" s="4" t="str">
        <f aca="false">IF($A630="","",TRIM(Base_Bruta!J630))</f>
        <v>Site</v>
      </c>
      <c r="L630" s="4" t="str">
        <f aca="false">IF($A630="","",TRIM(Base_Bruta!K630))</f>
        <v>C02116</v>
      </c>
      <c r="M630" s="4" t="str">
        <f aca="false">IF($A630="","",_xlfn.XLOOKUP(LOWER(TRIM(Base_Bruta!L630)),DePara_Cidade!$A$2:$A$29,DePara_Cidade!$B$2:$B$29,"REVISAR"))</f>
        <v>Lisboa</v>
      </c>
      <c r="N630" s="4" t="str">
        <f aca="false">IF($A630="","",UPPER(TRIM(Base_Bruta!M630)))</f>
        <v>EX</v>
      </c>
      <c r="O630" s="4" t="str">
        <f aca="false">IF($A630="","",_xlfn.XLOOKUP(LOWER(TRIM(Base_Bruta!N630)),DePara_Pais!$A$2:$A$9,DePara_Pais!$B$2:$B$9,"REVISAR"))</f>
        <v>Portugal</v>
      </c>
      <c r="P630" s="4" t="str">
        <f aca="false">IF($A630="","",IF(O630&lt;&gt;"Brasil","Turista Internacional",IF(M630=F630,"Local","Turista Nacional")))</f>
        <v>Turista Internacional</v>
      </c>
      <c r="Q630" s="7" t="n">
        <f aca="false">IF($A630="","",DATE(YEAR(B630),MONTH(B630),1))</f>
        <v>46054</v>
      </c>
      <c r="R630" s="4" t="str">
        <f aca="false">IF($A630="","",IF(COUNTIF($A$2:$A630,$A630)&gt;1,"Sim","Não"))</f>
        <v>Não</v>
      </c>
      <c r="S630" s="4" t="str">
        <f aca="false">IF(A630="","Descartar - Linha vazia",IF(R630="Sim","Descartar - Duplicado",IF(OR(H630&lt;=0,I630&lt;=0),"Descartar - Qtd/Valor inválido","OK")))</f>
        <v>OK</v>
      </c>
      <c r="T630" s="4" t="str">
        <f aca="false">Base_Bruta!P630</f>
        <v>vendas_SP.xlsx</v>
      </c>
    </row>
    <row r="631" customFormat="false" ht="15" hidden="false" customHeight="false" outlineLevel="0" collapsed="false">
      <c r="A631" s="4" t="str">
        <f aca="false">IF(Base_Bruta!A631="","",Base_Bruta!A631)</f>
        <v>SP-000725</v>
      </c>
      <c r="B631" s="5" t="n">
        <f aca="false">IF($A631="","",IF(ISNUMBER(Base_Bruta!B631),Base_Bruta!B631,IF(MID(Base_Bruta!B631,5,1)="-",DATE(VALUE(LEFT(Base_Bruta!B631,4)),VALUE(MID(Base_Bruta!B631,6,2)),VALUE(RIGHT(Base_Bruta!B631,2))),DATE(VALUE(RIGHT(Base_Bruta!B631,4)),VALUE(MID(Base_Bruta!B631,4,2)),VALUE(LEFT(Base_Bruta!B631,2))))))</f>
        <v>46059</v>
      </c>
      <c r="C631" s="5" t="n">
        <f aca="false">IF($A631="","",IF(ISNUMBER(Base_Bruta!C631),Base_Bruta!C631,IF(MID(Base_Bruta!C631,5,1)="-",DATE(VALUE(LEFT(Base_Bruta!C631,4)),VALUE(MID(Base_Bruta!C631,6,2)),VALUE(RIGHT(Base_Bruta!C631,2))),DATE(VALUE(RIGHT(Base_Bruta!C631,4)),VALUE(MID(Base_Bruta!C631,4,2)),VALUE(LEFT(Base_Bruta!C631,2))))))</f>
        <v>46060</v>
      </c>
      <c r="D631" s="4" t="str">
        <f aca="false">IF($A631="","",TRIM(Base_Bruta!D631))</f>
        <v>Cinema Paulista - Sessões</v>
      </c>
      <c r="E631" s="4" t="str">
        <f aca="false">IF($A631="","",_xlfn.XLOOKUP(LOWER(TRIM(Base_Bruta!E631)),DePara_Categoria!$A$2:$A$9,DePara_Categoria!$B$2:$B$9,"REVISAR"))</f>
        <v>Cinema</v>
      </c>
      <c r="F631" s="4" t="str">
        <f aca="false">IF($A631="","",_xlfn.XLOOKUP(LOWER(TRIM(Base_Bruta!F631)),DePara_Cidade!$A$2:$A$29,DePara_Cidade!$B$2:$B$29,"REVISAR"))</f>
        <v>São Paulo</v>
      </c>
      <c r="G631" s="4" t="str">
        <f aca="false">IF($A631="","",TRIM(Base_Bruta!G631))</f>
        <v>Meia</v>
      </c>
      <c r="H631" s="4" t="n">
        <f aca="false">IF($A631="","",IF(ISNUMBER(Base_Bruta!H631),Base_Bruta!H631,IFERROR(_xlfn.NUMBERVALUE(TRIM(SUBSTITUTE(Base_Bruta!H631,"R$","")),",","."),0)))</f>
        <v>2</v>
      </c>
      <c r="I631" s="6" t="n">
        <f aca="false">IF($A631="","",IF(ISNUMBER(Base_Bruta!I631),Base_Bruta!I631,IFERROR(_xlfn.NUMBERVALUE(TRIM(SUBSTITUTE(Base_Bruta!I631,"R$","")),",","."),0)))</f>
        <v>17.5</v>
      </c>
      <c r="J631" s="6" t="n">
        <f aca="false">IF($A631="","",H631*I631)</f>
        <v>35</v>
      </c>
      <c r="K631" s="4" t="str">
        <f aca="false">IF($A631="","",TRIM(Base_Bruta!J631))</f>
        <v>App</v>
      </c>
      <c r="L631" s="4" t="str">
        <f aca="false">IF($A631="","",TRIM(Base_Bruta!K631))</f>
        <v>C02353</v>
      </c>
      <c r="M631" s="4" t="str">
        <f aca="false">IF($A631="","",_xlfn.XLOOKUP(LOWER(TRIM(Base_Bruta!L631)),DePara_Cidade!$A$2:$A$29,DePara_Cidade!$B$2:$B$29,"REVISAR"))</f>
        <v>São Paulo</v>
      </c>
      <c r="N631" s="4" t="str">
        <f aca="false">IF($A631="","",UPPER(TRIM(Base_Bruta!M631)))</f>
        <v>SP</v>
      </c>
      <c r="O631" s="4" t="str">
        <f aca="false">IF($A631="","",_xlfn.XLOOKUP(LOWER(TRIM(Base_Bruta!N631)),DePara_Pais!$A$2:$A$9,DePara_Pais!$B$2:$B$9,"REVISAR"))</f>
        <v>Brasil</v>
      </c>
      <c r="P631" s="4" t="str">
        <f aca="false">IF($A631="","",IF(O631&lt;&gt;"Brasil","Turista Internacional",IF(M631=F631,"Local","Turista Nacional")))</f>
        <v>Local</v>
      </c>
      <c r="Q631" s="7" t="n">
        <f aca="false">IF($A631="","",DATE(YEAR(B631),MONTH(B631),1))</f>
        <v>46054</v>
      </c>
      <c r="R631" s="4" t="str">
        <f aca="false">IF($A631="","",IF(COUNTIF($A$2:$A631,$A631)&gt;1,"Sim","Não"))</f>
        <v>Não</v>
      </c>
      <c r="S631" s="4" t="str">
        <f aca="false">IF(A631="","Descartar - Linha vazia",IF(R631="Sim","Descartar - Duplicado",IF(OR(H631&lt;=0,I631&lt;=0),"Descartar - Qtd/Valor inválido","OK")))</f>
        <v>OK</v>
      </c>
      <c r="T631" s="4" t="str">
        <f aca="false">Base_Bruta!P631</f>
        <v>vendas_SP.xlsx</v>
      </c>
    </row>
    <row r="632" customFormat="false" ht="15" hidden="false" customHeight="false" outlineLevel="0" collapsed="false">
      <c r="A632" s="4" t="str">
        <f aca="false">IF(Base_Bruta!A632="","",Base_Bruta!A632)</f>
        <v>SP-000329</v>
      </c>
      <c r="B632" s="5" t="n">
        <f aca="false">IF($A632="","",IF(ISNUMBER(Base_Bruta!B632),Base_Bruta!B632,IF(MID(Base_Bruta!B632,5,1)="-",DATE(VALUE(LEFT(Base_Bruta!B632,4)),VALUE(MID(Base_Bruta!B632,6,2)),VALUE(RIGHT(Base_Bruta!B632,2))),DATE(VALUE(RIGHT(Base_Bruta!B632,4)),VALUE(MID(Base_Bruta!B632,4,2)),VALUE(LEFT(Base_Bruta!B632,2))))))</f>
        <v>46061</v>
      </c>
      <c r="C632" s="5" t="n">
        <f aca="false">IF($A632="","",IF(ISNUMBER(Base_Bruta!C632),Base_Bruta!C632,IF(MID(Base_Bruta!C632,5,1)="-",DATE(VALUE(LEFT(Base_Bruta!C632,4)),VALUE(MID(Base_Bruta!C632,6,2)),VALUE(RIGHT(Base_Bruta!C632,2))),DATE(VALUE(RIGHT(Base_Bruta!C632,4)),VALUE(MID(Base_Bruta!C632,4,2)),VALUE(LEFT(Base_Bruta!C632,2))))))</f>
        <v>46130</v>
      </c>
      <c r="D632" s="4" t="str">
        <f aca="false">IF($A632="","",TRIM(Base_Bruta!D632))</f>
        <v>Festival Sonora SP 2026</v>
      </c>
      <c r="E632" s="4" t="str">
        <f aca="false">IF($A632="","",_xlfn.XLOOKUP(LOWER(TRIM(Base_Bruta!E632)),DePara_Categoria!$A$2:$A$9,DePara_Categoria!$B$2:$B$9,"REVISAR"))</f>
        <v>Festival</v>
      </c>
      <c r="F632" s="4" t="str">
        <f aca="false">IF($A632="","",_xlfn.XLOOKUP(LOWER(TRIM(Base_Bruta!F632)),DePara_Cidade!$A$2:$A$29,DePara_Cidade!$B$2:$B$29,"REVISAR"))</f>
        <v>São Paulo</v>
      </c>
      <c r="G632" s="4" t="str">
        <f aca="false">IF($A632="","",TRIM(Base_Bruta!G632))</f>
        <v>Inteira</v>
      </c>
      <c r="H632" s="4" t="n">
        <f aca="false">IF($A632="","",IF(ISNUMBER(Base_Bruta!H632),Base_Bruta!H632,IFERROR(_xlfn.NUMBERVALUE(TRIM(SUBSTITUTE(Base_Bruta!H632,"R$","")),",","."),0)))</f>
        <v>4</v>
      </c>
      <c r="I632" s="6" t="n">
        <f aca="false">IF($A632="","",IF(ISNUMBER(Base_Bruta!I632),Base_Bruta!I632,IFERROR(_xlfn.NUMBERVALUE(TRIM(SUBSTITUTE(Base_Bruta!I632,"R$","")),",","."),0)))</f>
        <v>1080</v>
      </c>
      <c r="J632" s="6" t="n">
        <f aca="false">IF($A632="","",H632*I632)</f>
        <v>4320</v>
      </c>
      <c r="K632" s="4" t="str">
        <f aca="false">IF($A632="","",TRIM(Base_Bruta!J632))</f>
        <v>Site</v>
      </c>
      <c r="L632" s="4" t="str">
        <f aca="false">IF($A632="","",TRIM(Base_Bruta!K632))</f>
        <v>C00495</v>
      </c>
      <c r="M632" s="4" t="str">
        <f aca="false">IF($A632="","",_xlfn.XLOOKUP(LOWER(TRIM(Base_Bruta!L632)),DePara_Cidade!$A$2:$A$29,DePara_Cidade!$B$2:$B$29,"REVISAR"))</f>
        <v>Campinas</v>
      </c>
      <c r="N632" s="4" t="str">
        <f aca="false">IF($A632="","",UPPER(TRIM(Base_Bruta!M632)))</f>
        <v>SP</v>
      </c>
      <c r="O632" s="4" t="str">
        <f aca="false">IF($A632="","",_xlfn.XLOOKUP(LOWER(TRIM(Base_Bruta!N632)),DePara_Pais!$A$2:$A$9,DePara_Pais!$B$2:$B$9,"REVISAR"))</f>
        <v>Brasil</v>
      </c>
      <c r="P632" s="4" t="str">
        <f aca="false">IF($A632="","",IF(O632&lt;&gt;"Brasil","Turista Internacional",IF(M632=F632,"Local","Turista Nacional")))</f>
        <v>Turista Nacional</v>
      </c>
      <c r="Q632" s="7" t="n">
        <f aca="false">IF($A632="","",DATE(YEAR(B632),MONTH(B632),1))</f>
        <v>46054</v>
      </c>
      <c r="R632" s="4" t="str">
        <f aca="false">IF($A632="","",IF(COUNTIF($A$2:$A632,$A632)&gt;1,"Sim","Não"))</f>
        <v>Não</v>
      </c>
      <c r="S632" s="4" t="str">
        <f aca="false">IF(A632="","Descartar - Linha vazia",IF(R632="Sim","Descartar - Duplicado",IF(OR(H632&lt;=0,I632&lt;=0),"Descartar - Qtd/Valor inválido","OK")))</f>
        <v>OK</v>
      </c>
      <c r="T632" s="4" t="str">
        <f aca="false">Base_Bruta!P632</f>
        <v>vendas_SP.xlsx</v>
      </c>
    </row>
    <row r="633" customFormat="false" ht="15" hidden="false" customHeight="false" outlineLevel="0" collapsed="false">
      <c r="A633" s="4" t="str">
        <f aca="false">IF(Base_Bruta!A633="","",Base_Bruta!A633)</f>
        <v>SP-000243</v>
      </c>
      <c r="B633" s="5" t="n">
        <f aca="false">IF($A633="","",IF(ISNUMBER(Base_Bruta!B633),Base_Bruta!B633,IF(MID(Base_Bruta!B633,5,1)="-",DATE(VALUE(LEFT(Base_Bruta!B633,4)),VALUE(MID(Base_Bruta!B633,6,2)),VALUE(RIGHT(Base_Bruta!B633,2))),DATE(VALUE(RIGHT(Base_Bruta!B633,4)),VALUE(MID(Base_Bruta!B633,4,2)),VALUE(LEFT(Base_Bruta!B633,2))))))</f>
        <v>46064</v>
      </c>
      <c r="C633" s="5" t="n">
        <f aca="false">IF($A633="","",IF(ISNUMBER(Base_Bruta!C633),Base_Bruta!C633,IF(MID(Base_Bruta!C633,5,1)="-",DATE(VALUE(LEFT(Base_Bruta!C633,4)),VALUE(MID(Base_Bruta!C633,6,2)),VALUE(RIGHT(Base_Bruta!C633,2))),DATE(VALUE(RIGHT(Base_Bruta!C633,4)),VALUE(MID(Base_Bruta!C633,4,2)),VALUE(LEFT(Base_Bruta!C633,2))))))</f>
        <v>46130</v>
      </c>
      <c r="D633" s="4" t="str">
        <f aca="false">IF($A633="","",TRIM(Base_Bruta!D633))</f>
        <v>Festival Sonora SP 2026</v>
      </c>
      <c r="E633" s="4" t="str">
        <f aca="false">IF($A633="","",_xlfn.XLOOKUP(LOWER(TRIM(Base_Bruta!E633)),DePara_Categoria!$A$2:$A$9,DePara_Categoria!$B$2:$B$9,"REVISAR"))</f>
        <v>Festival</v>
      </c>
      <c r="F633" s="4" t="str">
        <f aca="false">IF($A633="","",_xlfn.XLOOKUP(LOWER(TRIM(Base_Bruta!F633)),DePara_Cidade!$A$2:$A$29,DePara_Cidade!$B$2:$B$29,"REVISAR"))</f>
        <v>São Paulo</v>
      </c>
      <c r="G633" s="4" t="str">
        <f aca="false">IF($A633="","",TRIM(Base_Bruta!G633))</f>
        <v>Inteira</v>
      </c>
      <c r="H633" s="4" t="n">
        <f aca="false">IF($A633="","",IF(ISNUMBER(Base_Bruta!H633),Base_Bruta!H633,IFERROR(_xlfn.NUMBERVALUE(TRIM(SUBSTITUTE(Base_Bruta!H633,"R$","")),",","."),0)))</f>
        <v>1</v>
      </c>
      <c r="I633" s="6" t="n">
        <f aca="false">IF($A633="","",IF(ISNUMBER(Base_Bruta!I633),Base_Bruta!I633,IFERROR(_xlfn.NUMBERVALUE(TRIM(SUBSTITUTE(Base_Bruta!I633,"R$","")),",","."),0)))</f>
        <v>980</v>
      </c>
      <c r="J633" s="6" t="n">
        <f aca="false">IF($A633="","",H633*I633)</f>
        <v>980</v>
      </c>
      <c r="K633" s="4" t="str">
        <f aca="false">IF($A633="","",TRIM(Base_Bruta!J633))</f>
        <v>Bilheteria</v>
      </c>
      <c r="L633" s="4" t="str">
        <f aca="false">IF($A633="","",TRIM(Base_Bruta!K633))</f>
        <v>C02234</v>
      </c>
      <c r="M633" s="4" t="str">
        <f aca="false">IF($A633="","",_xlfn.XLOOKUP(LOWER(TRIM(Base_Bruta!L633)),DePara_Cidade!$A$2:$A$29,DePara_Cidade!$B$2:$B$29,"REVISAR"))</f>
        <v>Santos</v>
      </c>
      <c r="N633" s="4" t="str">
        <f aca="false">IF($A633="","",UPPER(TRIM(Base_Bruta!M633)))</f>
        <v>SP</v>
      </c>
      <c r="O633" s="4" t="str">
        <f aca="false">IF($A633="","",_xlfn.XLOOKUP(LOWER(TRIM(Base_Bruta!N633)),DePara_Pais!$A$2:$A$9,DePara_Pais!$B$2:$B$9,"REVISAR"))</f>
        <v>Brasil</v>
      </c>
      <c r="P633" s="4" t="str">
        <f aca="false">IF($A633="","",IF(O633&lt;&gt;"Brasil","Turista Internacional",IF(M633=F633,"Local","Turista Nacional")))</f>
        <v>Turista Nacional</v>
      </c>
      <c r="Q633" s="7" t="n">
        <f aca="false">IF($A633="","",DATE(YEAR(B633),MONTH(B633),1))</f>
        <v>46054</v>
      </c>
      <c r="R633" s="4" t="str">
        <f aca="false">IF($A633="","",IF(COUNTIF($A$2:$A633,$A633)&gt;1,"Sim","Não"))</f>
        <v>Não</v>
      </c>
      <c r="S633" s="4" t="str">
        <f aca="false">IF(A633="","Descartar - Linha vazia",IF(R633="Sim","Descartar - Duplicado",IF(OR(H633&lt;=0,I633&lt;=0),"Descartar - Qtd/Valor inválido","OK")))</f>
        <v>OK</v>
      </c>
      <c r="T633" s="4" t="str">
        <f aca="false">Base_Bruta!P633</f>
        <v>vendas_SP.xlsx</v>
      </c>
    </row>
    <row r="634" customFormat="false" ht="15" hidden="false" customHeight="false" outlineLevel="0" collapsed="false">
      <c r="A634" s="4" t="str">
        <f aca="false">IF(Base_Bruta!A634="","",Base_Bruta!A634)</f>
        <v>SP-000370</v>
      </c>
      <c r="B634" s="5" t="n">
        <f aca="false">IF($A634="","",IF(ISNUMBER(Base_Bruta!B634),Base_Bruta!B634,IF(MID(Base_Bruta!B634,5,1)="-",DATE(VALUE(LEFT(Base_Bruta!B634,4)),VALUE(MID(Base_Bruta!B634,6,2)),VALUE(RIGHT(Base_Bruta!B634,2))),DATE(VALUE(RIGHT(Base_Bruta!B634,4)),VALUE(MID(Base_Bruta!B634,4,2)),VALUE(LEFT(Base_Bruta!B634,2))))))</f>
        <v>46064</v>
      </c>
      <c r="C634" s="5" t="n">
        <f aca="false">IF($A634="","",IF(ISNUMBER(Base_Bruta!C634),Base_Bruta!C634,IF(MID(Base_Bruta!C634,5,1)="-",DATE(VALUE(LEFT(Base_Bruta!C634,4)),VALUE(MID(Base_Bruta!C634,6,2)),VALUE(RIGHT(Base_Bruta!C634,2))),DATE(VALUE(RIGHT(Base_Bruta!C634,4)),VALUE(MID(Base_Bruta!C634,4,2)),VALUE(LEFT(Base_Bruta!C634,2))))))</f>
        <v>46130</v>
      </c>
      <c r="D634" s="4" t="str">
        <f aca="false">IF($A634="","",TRIM(Base_Bruta!D634))</f>
        <v>Festival Sonora SP 2026</v>
      </c>
      <c r="E634" s="4" t="str">
        <f aca="false">IF($A634="","",_xlfn.XLOOKUP(LOWER(TRIM(Base_Bruta!E634)),DePara_Categoria!$A$2:$A$9,DePara_Categoria!$B$2:$B$9,"REVISAR"))</f>
        <v>Festival</v>
      </c>
      <c r="F634" s="4" t="str">
        <f aca="false">IF($A634="","",_xlfn.XLOOKUP(LOWER(TRIM(Base_Bruta!F634)),DePara_Cidade!$A$2:$A$29,DePara_Cidade!$B$2:$B$29,"REVISAR"))</f>
        <v>São Paulo</v>
      </c>
      <c r="G634" s="4" t="str">
        <f aca="false">IF($A634="","",TRIM(Base_Bruta!G634))</f>
        <v>Meia</v>
      </c>
      <c r="H634" s="4" t="n">
        <f aca="false">IF($A634="","",IF(ISNUMBER(Base_Bruta!H634),Base_Bruta!H634,IFERROR(_xlfn.NUMBERVALUE(TRIM(SUBSTITUTE(Base_Bruta!H634,"R$","")),",","."),0)))</f>
        <v>4</v>
      </c>
      <c r="I634" s="6" t="n">
        <f aca="false">IF($A634="","",IF(ISNUMBER(Base_Bruta!I634),Base_Bruta!I634,IFERROR(_xlfn.NUMBERVALUE(TRIM(SUBSTITUTE(Base_Bruta!I634,"R$","")),",","."),0)))</f>
        <v>327.5</v>
      </c>
      <c r="J634" s="6" t="n">
        <f aca="false">IF($A634="","",H634*I634)</f>
        <v>1310</v>
      </c>
      <c r="K634" s="4" t="str">
        <f aca="false">IF($A634="","",TRIM(Base_Bruta!J634))</f>
        <v>Bilheteria</v>
      </c>
      <c r="L634" s="4" t="str">
        <f aca="false">IF($A634="","",TRIM(Base_Bruta!K634))</f>
        <v>C01469</v>
      </c>
      <c r="M634" s="4" t="str">
        <f aca="false">IF($A634="","",_xlfn.XLOOKUP(LOWER(TRIM(Base_Bruta!L634)),DePara_Cidade!$A$2:$A$29,DePara_Cidade!$B$2:$B$29,"REVISAR"))</f>
        <v>São Paulo</v>
      </c>
      <c r="N634" s="4" t="str">
        <f aca="false">IF($A634="","",UPPER(TRIM(Base_Bruta!M634)))</f>
        <v>SP</v>
      </c>
      <c r="O634" s="4" t="str">
        <f aca="false">IF($A634="","",_xlfn.XLOOKUP(LOWER(TRIM(Base_Bruta!N634)),DePara_Pais!$A$2:$A$9,DePara_Pais!$B$2:$B$9,"REVISAR"))</f>
        <v>Brasil</v>
      </c>
      <c r="P634" s="4" t="str">
        <f aca="false">IF($A634="","",IF(O634&lt;&gt;"Brasil","Turista Internacional",IF(M634=F634,"Local","Turista Nacional")))</f>
        <v>Local</v>
      </c>
      <c r="Q634" s="7" t="n">
        <f aca="false">IF($A634="","",DATE(YEAR(B634),MONTH(B634),1))</f>
        <v>46054</v>
      </c>
      <c r="R634" s="4" t="str">
        <f aca="false">IF($A634="","",IF(COUNTIF($A$2:$A634,$A634)&gt;1,"Sim","Não"))</f>
        <v>Não</v>
      </c>
      <c r="S634" s="4" t="str">
        <f aca="false">IF(A634="","Descartar - Linha vazia",IF(R634="Sim","Descartar - Duplicado",IF(OR(H634&lt;=0,I634&lt;=0),"Descartar - Qtd/Valor inválido","OK")))</f>
        <v>OK</v>
      </c>
      <c r="T634" s="4" t="str">
        <f aca="false">Base_Bruta!P634</f>
        <v>vendas_SP.xlsx</v>
      </c>
    </row>
    <row r="635" customFormat="false" ht="15" hidden="false" customHeight="false" outlineLevel="0" collapsed="false">
      <c r="A635" s="4" t="str">
        <f aca="false">IF(Base_Bruta!A635="","",Base_Bruta!A635)</f>
        <v>SP-000301</v>
      </c>
      <c r="B635" s="5" t="n">
        <f aca="false">IF($A635="","",IF(ISNUMBER(Base_Bruta!B635),Base_Bruta!B635,IF(MID(Base_Bruta!B635,5,1)="-",DATE(VALUE(LEFT(Base_Bruta!B635,4)),VALUE(MID(Base_Bruta!B635,6,2)),VALUE(RIGHT(Base_Bruta!B635,2))),DATE(VALUE(RIGHT(Base_Bruta!B635,4)),VALUE(MID(Base_Bruta!B635,4,2)),VALUE(LEFT(Base_Bruta!B635,2))))))</f>
        <v>46066</v>
      </c>
      <c r="C635" s="5" t="n">
        <f aca="false">IF($A635="","",IF(ISNUMBER(Base_Bruta!C635),Base_Bruta!C635,IF(MID(Base_Bruta!C635,5,1)="-",DATE(VALUE(LEFT(Base_Bruta!C635,4)),VALUE(MID(Base_Bruta!C635,6,2)),VALUE(RIGHT(Base_Bruta!C635,2))),DATE(VALUE(RIGHT(Base_Bruta!C635,4)),VALUE(MID(Base_Bruta!C635,4,2)),VALUE(LEFT(Base_Bruta!C635,2))))))</f>
        <v>46130</v>
      </c>
      <c r="D635" s="4" t="str">
        <f aca="false">IF($A635="","",TRIM(Base_Bruta!D635))</f>
        <v>Festival Sonora SP 2026</v>
      </c>
      <c r="E635" s="4" t="str">
        <f aca="false">IF($A635="","",_xlfn.XLOOKUP(LOWER(TRIM(Base_Bruta!E635)),DePara_Categoria!$A$2:$A$9,DePara_Categoria!$B$2:$B$9,"REVISAR"))</f>
        <v>Festival</v>
      </c>
      <c r="F635" s="4" t="str">
        <f aca="false">IF($A635="","",_xlfn.XLOOKUP(LOWER(TRIM(Base_Bruta!F635)),DePara_Cidade!$A$2:$A$29,DePara_Cidade!$B$2:$B$29,"REVISAR"))</f>
        <v>São Paulo</v>
      </c>
      <c r="G635" s="4" t="str">
        <f aca="false">IF($A635="","",TRIM(Base_Bruta!G635))</f>
        <v>Meia</v>
      </c>
      <c r="H635" s="4" t="n">
        <f aca="false">IF($A635="","",IF(ISNUMBER(Base_Bruta!H635),Base_Bruta!H635,IFERROR(_xlfn.NUMBERVALUE(TRIM(SUBSTITUTE(Base_Bruta!H635,"R$","")),",","."),0)))</f>
        <v>3</v>
      </c>
      <c r="I635" s="6" t="n">
        <f aca="false">IF($A635="","",IF(ISNUMBER(Base_Bruta!I635),Base_Bruta!I635,IFERROR(_xlfn.NUMBERVALUE(TRIM(SUBSTITUTE(Base_Bruta!I635,"R$","")),",","."),0)))</f>
        <v>500</v>
      </c>
      <c r="J635" s="6" t="n">
        <f aca="false">IF($A635="","",H635*I635)</f>
        <v>1500</v>
      </c>
      <c r="K635" s="4" t="str">
        <f aca="false">IF($A635="","",TRIM(Base_Bruta!J635))</f>
        <v>Parceiro</v>
      </c>
      <c r="L635" s="4" t="str">
        <f aca="false">IF($A635="","",TRIM(Base_Bruta!K635))</f>
        <v>C01207</v>
      </c>
      <c r="M635" s="4" t="str">
        <f aca="false">IF($A635="","",_xlfn.XLOOKUP(LOWER(TRIM(Base_Bruta!L635)),DePara_Cidade!$A$2:$A$29,DePara_Cidade!$B$2:$B$29,"REVISAR"))</f>
        <v>São Paulo</v>
      </c>
      <c r="N635" s="4" t="str">
        <f aca="false">IF($A635="","",UPPER(TRIM(Base_Bruta!M635)))</f>
        <v>SP</v>
      </c>
      <c r="O635" s="4" t="str">
        <f aca="false">IF($A635="","",_xlfn.XLOOKUP(LOWER(TRIM(Base_Bruta!N635)),DePara_Pais!$A$2:$A$9,DePara_Pais!$B$2:$B$9,"REVISAR"))</f>
        <v>Brasil</v>
      </c>
      <c r="P635" s="4" t="str">
        <f aca="false">IF($A635="","",IF(O635&lt;&gt;"Brasil","Turista Internacional",IF(M635=F635,"Local","Turista Nacional")))</f>
        <v>Local</v>
      </c>
      <c r="Q635" s="7" t="n">
        <f aca="false">IF($A635="","",DATE(YEAR(B635),MONTH(B635),1))</f>
        <v>46054</v>
      </c>
      <c r="R635" s="4" t="str">
        <f aca="false">IF($A635="","",IF(COUNTIF($A$2:$A635,$A635)&gt;1,"Sim","Não"))</f>
        <v>Não</v>
      </c>
      <c r="S635" s="4" t="str">
        <f aca="false">IF(A635="","Descartar - Linha vazia",IF(R635="Sim","Descartar - Duplicado",IF(OR(H635&lt;=0,I635&lt;=0),"Descartar - Qtd/Valor inválido","OK")))</f>
        <v>OK</v>
      </c>
      <c r="T635" s="4" t="str">
        <f aca="false">Base_Bruta!P635</f>
        <v>vendas_SP.xlsx</v>
      </c>
    </row>
    <row r="636" customFormat="false" ht="15" hidden="false" customHeight="false" outlineLevel="0" collapsed="false">
      <c r="A636" s="4" t="str">
        <f aca="false">IF(Base_Bruta!A636="","",Base_Bruta!A636)</f>
        <v>SP-000368</v>
      </c>
      <c r="B636" s="5" t="n">
        <f aca="false">IF($A636="","",IF(ISNUMBER(Base_Bruta!B636),Base_Bruta!B636,IF(MID(Base_Bruta!B636,5,1)="-",DATE(VALUE(LEFT(Base_Bruta!B636,4)),VALUE(MID(Base_Bruta!B636,6,2)),VALUE(RIGHT(Base_Bruta!B636,2))),DATE(VALUE(RIGHT(Base_Bruta!B636,4)),VALUE(MID(Base_Bruta!B636,4,2)),VALUE(LEFT(Base_Bruta!B636,2))))))</f>
        <v>46068</v>
      </c>
      <c r="C636" s="5" t="n">
        <f aca="false">IF($A636="","",IF(ISNUMBER(Base_Bruta!C636),Base_Bruta!C636,IF(MID(Base_Bruta!C636,5,1)="-",DATE(VALUE(LEFT(Base_Bruta!C636,4)),VALUE(MID(Base_Bruta!C636,6,2)),VALUE(RIGHT(Base_Bruta!C636,2))),DATE(VALUE(RIGHT(Base_Bruta!C636,4)),VALUE(MID(Base_Bruta!C636,4,2)),VALUE(LEFT(Base_Bruta!C636,2))))))</f>
        <v>46130</v>
      </c>
      <c r="D636" s="4" t="str">
        <f aca="false">IF($A636="","",TRIM(Base_Bruta!D636))</f>
        <v>Festival Sonora SP 2026</v>
      </c>
      <c r="E636" s="4" t="str">
        <f aca="false">IF($A636="","",_xlfn.XLOOKUP(LOWER(TRIM(Base_Bruta!E636)),DePara_Categoria!$A$2:$A$9,DePara_Categoria!$B$2:$B$9,"REVISAR"))</f>
        <v>Festival</v>
      </c>
      <c r="F636" s="4" t="str">
        <f aca="false">IF($A636="","",_xlfn.XLOOKUP(LOWER(TRIM(Base_Bruta!F636)),DePara_Cidade!$A$2:$A$29,DePara_Cidade!$B$2:$B$29,"REVISAR"))</f>
        <v>São Paulo</v>
      </c>
      <c r="G636" s="4" t="str">
        <f aca="false">IF($A636="","",TRIM(Base_Bruta!G636))</f>
        <v>Inteira</v>
      </c>
      <c r="H636" s="4" t="n">
        <f aca="false">IF($A636="","",IF(ISNUMBER(Base_Bruta!H636),Base_Bruta!H636,IFERROR(_xlfn.NUMBERVALUE(TRIM(SUBSTITUTE(Base_Bruta!H636,"R$","")),",","."),0)))</f>
        <v>1</v>
      </c>
      <c r="I636" s="6" t="n">
        <f aca="false">IF($A636="","",IF(ISNUMBER(Base_Bruta!I636),Base_Bruta!I636,IFERROR(_xlfn.NUMBERVALUE(TRIM(SUBSTITUTE(Base_Bruta!I636,"R$","")),",","."),0)))</f>
        <v>860</v>
      </c>
      <c r="J636" s="6" t="n">
        <f aca="false">IF($A636="","",H636*I636)</f>
        <v>860</v>
      </c>
      <c r="K636" s="4" t="str">
        <f aca="false">IF($A636="","",TRIM(Base_Bruta!J636))</f>
        <v>Bilheteria</v>
      </c>
      <c r="L636" s="4" t="str">
        <f aca="false">IF($A636="","",TRIM(Base_Bruta!K636))</f>
        <v>C01551</v>
      </c>
      <c r="M636" s="4" t="str">
        <f aca="false">IF($A636="","",_xlfn.XLOOKUP(LOWER(TRIM(Base_Bruta!L636)),DePara_Cidade!$A$2:$A$29,DePara_Cidade!$B$2:$B$29,"REVISAR"))</f>
        <v>Florianópolis</v>
      </c>
      <c r="N636" s="4" t="str">
        <f aca="false">IF($A636="","",UPPER(TRIM(Base_Bruta!M636)))</f>
        <v>SC</v>
      </c>
      <c r="O636" s="4" t="str">
        <f aca="false">IF($A636="","",_xlfn.XLOOKUP(LOWER(TRIM(Base_Bruta!N636)),DePara_Pais!$A$2:$A$9,DePara_Pais!$B$2:$B$9,"REVISAR"))</f>
        <v>Brasil</v>
      </c>
      <c r="P636" s="4" t="str">
        <f aca="false">IF($A636="","",IF(O636&lt;&gt;"Brasil","Turista Internacional",IF(M636=F636,"Local","Turista Nacional")))</f>
        <v>Turista Nacional</v>
      </c>
      <c r="Q636" s="7" t="n">
        <f aca="false">IF($A636="","",DATE(YEAR(B636),MONTH(B636),1))</f>
        <v>46054</v>
      </c>
      <c r="R636" s="4" t="str">
        <f aca="false">IF($A636="","",IF(COUNTIF($A$2:$A636,$A636)&gt;1,"Sim","Não"))</f>
        <v>Não</v>
      </c>
      <c r="S636" s="4" t="str">
        <f aca="false">IF(A636="","Descartar - Linha vazia",IF(R636="Sim","Descartar - Duplicado",IF(OR(H636&lt;=0,I636&lt;=0),"Descartar - Qtd/Valor inválido","OK")))</f>
        <v>OK</v>
      </c>
      <c r="T636" s="4" t="str">
        <f aca="false">Base_Bruta!P636</f>
        <v>vendas_SP.xlsx</v>
      </c>
    </row>
    <row r="637" customFormat="false" ht="15" hidden="false" customHeight="false" outlineLevel="0" collapsed="false">
      <c r="A637" s="4" t="str">
        <f aca="false">IF(Base_Bruta!A637="","",Base_Bruta!A637)</f>
        <v>SP-000688</v>
      </c>
      <c r="B637" s="5" t="n">
        <f aca="false">IF($A637="","",IF(ISNUMBER(Base_Bruta!B637),Base_Bruta!B637,IF(MID(Base_Bruta!B637,5,1)="-",DATE(VALUE(LEFT(Base_Bruta!B637,4)),VALUE(MID(Base_Bruta!B637,6,2)),VALUE(RIGHT(Base_Bruta!B637,2))),DATE(VALUE(RIGHT(Base_Bruta!B637,4)),VALUE(MID(Base_Bruta!B637,4,2)),VALUE(LEFT(Base_Bruta!B637,2))))))</f>
        <v>46068</v>
      </c>
      <c r="C637" s="5" t="n">
        <f aca="false">IF($A637="","",IF(ISNUMBER(Base_Bruta!C637),Base_Bruta!C637,IF(MID(Base_Bruta!C637,5,1)="-",DATE(VALUE(LEFT(Base_Bruta!C637,4)),VALUE(MID(Base_Bruta!C637,6,2)),VALUE(RIGHT(Base_Bruta!C637,2))),DATE(VALUE(RIGHT(Base_Bruta!C637,4)),VALUE(MID(Base_Bruta!C637,4,2)),VALUE(LEFT(Base_Bruta!C637,2))))))</f>
        <v>46068</v>
      </c>
      <c r="D637" s="4" t="str">
        <f aca="false">IF($A637="","",TRIM(Base_Bruta!D637))</f>
        <v>Cinema Paulista - Sessões</v>
      </c>
      <c r="E637" s="4" t="str">
        <f aca="false">IF($A637="","",_xlfn.XLOOKUP(LOWER(TRIM(Base_Bruta!E637)),DePara_Categoria!$A$2:$A$9,DePara_Categoria!$B$2:$B$9,"REVISAR"))</f>
        <v>Cinema</v>
      </c>
      <c r="F637" s="4" t="str">
        <f aca="false">IF($A637="","",_xlfn.XLOOKUP(LOWER(TRIM(Base_Bruta!F637)),DePara_Cidade!$A$2:$A$29,DePara_Cidade!$B$2:$B$29,"REVISAR"))</f>
        <v>São Paulo</v>
      </c>
      <c r="G637" s="4" t="str">
        <f aca="false">IF($A637="","",TRIM(Base_Bruta!G637))</f>
        <v>Inteira</v>
      </c>
      <c r="H637" s="4" t="n">
        <f aca="false">IF($A637="","",IF(ISNUMBER(Base_Bruta!H637),Base_Bruta!H637,IFERROR(_xlfn.NUMBERVALUE(TRIM(SUBSTITUTE(Base_Bruta!H637,"R$","")),",","."),0)))</f>
        <v>2</v>
      </c>
      <c r="I637" s="6" t="n">
        <f aca="false">IF($A637="","",IF(ISNUMBER(Base_Bruta!I637),Base_Bruta!I637,IFERROR(_xlfn.NUMBERVALUE(TRIM(SUBSTITUTE(Base_Bruta!I637,"R$","")),",","."),0)))</f>
        <v>35</v>
      </c>
      <c r="J637" s="6" t="n">
        <f aca="false">IF($A637="","",H637*I637)</f>
        <v>70</v>
      </c>
      <c r="K637" s="4" t="str">
        <f aca="false">IF($A637="","",TRIM(Base_Bruta!J637))</f>
        <v>Site</v>
      </c>
      <c r="L637" s="4" t="str">
        <f aca="false">IF($A637="","",TRIM(Base_Bruta!K637))</f>
        <v>C00447</v>
      </c>
      <c r="M637" s="4" t="str">
        <f aca="false">IF($A637="","",_xlfn.XLOOKUP(LOWER(TRIM(Base_Bruta!L637)),DePara_Cidade!$A$2:$A$29,DePara_Cidade!$B$2:$B$29,"REVISAR"))</f>
        <v>Santos</v>
      </c>
      <c r="N637" s="4" t="str">
        <f aca="false">IF($A637="","",UPPER(TRIM(Base_Bruta!M637)))</f>
        <v>SP</v>
      </c>
      <c r="O637" s="4" t="str">
        <f aca="false">IF($A637="","",_xlfn.XLOOKUP(LOWER(TRIM(Base_Bruta!N637)),DePara_Pais!$A$2:$A$9,DePara_Pais!$B$2:$B$9,"REVISAR"))</f>
        <v>Brasil</v>
      </c>
      <c r="P637" s="4" t="str">
        <f aca="false">IF($A637="","",IF(O637&lt;&gt;"Brasil","Turista Internacional",IF(M637=F637,"Local","Turista Nacional")))</f>
        <v>Turista Nacional</v>
      </c>
      <c r="Q637" s="7" t="n">
        <f aca="false">IF($A637="","",DATE(YEAR(B637),MONTH(B637),1))</f>
        <v>46054</v>
      </c>
      <c r="R637" s="4" t="str">
        <f aca="false">IF($A637="","",IF(COUNTIF($A$2:$A637,$A637)&gt;1,"Sim","Não"))</f>
        <v>Não</v>
      </c>
      <c r="S637" s="4" t="str">
        <f aca="false">IF(A637="","Descartar - Linha vazia",IF(R637="Sim","Descartar - Duplicado",IF(OR(H637&lt;=0,I637&lt;=0),"Descartar - Qtd/Valor inválido","OK")))</f>
        <v>OK</v>
      </c>
      <c r="T637" s="4" t="str">
        <f aca="false">Base_Bruta!P637</f>
        <v>vendas_SP.xlsx</v>
      </c>
    </row>
    <row r="638" customFormat="false" ht="15" hidden="false" customHeight="false" outlineLevel="0" collapsed="false">
      <c r="A638" s="4" t="str">
        <f aca="false">IF(Base_Bruta!A638="","",Base_Bruta!A638)</f>
        <v>SP-000293</v>
      </c>
      <c r="B638" s="5" t="n">
        <f aca="false">IF($A638="","",IF(ISNUMBER(Base_Bruta!B638),Base_Bruta!B638,IF(MID(Base_Bruta!B638,5,1)="-",DATE(VALUE(LEFT(Base_Bruta!B638,4)),VALUE(MID(Base_Bruta!B638,6,2)),VALUE(RIGHT(Base_Bruta!B638,2))),DATE(VALUE(RIGHT(Base_Bruta!B638,4)),VALUE(MID(Base_Bruta!B638,4,2)),VALUE(LEFT(Base_Bruta!B638,2))))))</f>
        <v>46069</v>
      </c>
      <c r="C638" s="5" t="n">
        <f aca="false">IF($A638="","",IF(ISNUMBER(Base_Bruta!C638),Base_Bruta!C638,IF(MID(Base_Bruta!C638,5,1)="-",DATE(VALUE(LEFT(Base_Bruta!C638,4)),VALUE(MID(Base_Bruta!C638,6,2)),VALUE(RIGHT(Base_Bruta!C638,2))),DATE(VALUE(RIGHT(Base_Bruta!C638,4)),VALUE(MID(Base_Bruta!C638,4,2)),VALUE(LEFT(Base_Bruta!C638,2))))))</f>
        <v>46130</v>
      </c>
      <c r="D638" s="4" t="str">
        <f aca="false">IF($A638="","",TRIM(Base_Bruta!D638))</f>
        <v>Festival Sonora SP 2026</v>
      </c>
      <c r="E638" s="4" t="str">
        <f aca="false">IF($A638="","",_xlfn.XLOOKUP(LOWER(TRIM(Base_Bruta!E638)),DePara_Categoria!$A$2:$A$9,DePara_Categoria!$B$2:$B$9,"REVISAR"))</f>
        <v>Festival</v>
      </c>
      <c r="F638" s="4" t="str">
        <f aca="false">IF($A638="","",_xlfn.XLOOKUP(LOWER(TRIM(Base_Bruta!F638)),DePara_Cidade!$A$2:$A$29,DePara_Cidade!$B$2:$B$29,"REVISAR"))</f>
        <v>São Paulo</v>
      </c>
      <c r="G638" s="4" t="str">
        <f aca="false">IF($A638="","",TRIM(Base_Bruta!G638))</f>
        <v>Meia</v>
      </c>
      <c r="H638" s="4" t="n">
        <f aca="false">IF($A638="","",IF(ISNUMBER(Base_Bruta!H638),Base_Bruta!H638,IFERROR(_xlfn.NUMBERVALUE(TRIM(SUBSTITUTE(Base_Bruta!H638,"R$","")),",","."),0)))</f>
        <v>2</v>
      </c>
      <c r="I638" s="6" t="n">
        <f aca="false">IF($A638="","",IF(ISNUMBER(Base_Bruta!I638),Base_Bruta!I638,IFERROR(_xlfn.NUMBERVALUE(TRIM(SUBSTITUTE(Base_Bruta!I638,"R$","")),",","."),0)))</f>
        <v>382.5</v>
      </c>
      <c r="J638" s="6" t="n">
        <f aca="false">IF($A638="","",H638*I638)</f>
        <v>765</v>
      </c>
      <c r="K638" s="4" t="str">
        <f aca="false">IF($A638="","",TRIM(Base_Bruta!J638))</f>
        <v>Parceiro</v>
      </c>
      <c r="L638" s="4" t="str">
        <f aca="false">IF($A638="","",TRIM(Base_Bruta!K638))</f>
        <v>C01879</v>
      </c>
      <c r="M638" s="4" t="str">
        <f aca="false">IF($A638="","",_xlfn.XLOOKUP(LOWER(TRIM(Base_Bruta!L638)),DePara_Cidade!$A$2:$A$29,DePara_Cidade!$B$2:$B$29,"REVISAR"))</f>
        <v>São Paulo</v>
      </c>
      <c r="N638" s="4" t="str">
        <f aca="false">IF($A638="","",UPPER(TRIM(Base_Bruta!M638)))</f>
        <v>SP</v>
      </c>
      <c r="O638" s="4" t="str">
        <f aca="false">IF($A638="","",_xlfn.XLOOKUP(LOWER(TRIM(Base_Bruta!N638)),DePara_Pais!$A$2:$A$9,DePara_Pais!$B$2:$B$9,"REVISAR"))</f>
        <v>Brasil</v>
      </c>
      <c r="P638" s="4" t="str">
        <f aca="false">IF($A638="","",IF(O638&lt;&gt;"Brasil","Turista Internacional",IF(M638=F638,"Local","Turista Nacional")))</f>
        <v>Local</v>
      </c>
      <c r="Q638" s="7" t="n">
        <f aca="false">IF($A638="","",DATE(YEAR(B638),MONTH(B638),1))</f>
        <v>46054</v>
      </c>
      <c r="R638" s="4" t="str">
        <f aca="false">IF($A638="","",IF(COUNTIF($A$2:$A638,$A638)&gt;1,"Sim","Não"))</f>
        <v>Não</v>
      </c>
      <c r="S638" s="4" t="str">
        <f aca="false">IF(A638="","Descartar - Linha vazia",IF(R638="Sim","Descartar - Duplicado",IF(OR(H638&lt;=0,I638&lt;=0),"Descartar - Qtd/Valor inválido","OK")))</f>
        <v>OK</v>
      </c>
      <c r="T638" s="4" t="str">
        <f aca="false">Base_Bruta!P638</f>
        <v>vendas_SP.xlsx</v>
      </c>
    </row>
    <row r="639" customFormat="false" ht="15" hidden="false" customHeight="false" outlineLevel="0" collapsed="false">
      <c r="A639" s="4" t="str">
        <f aca="false">IF(Base_Bruta!A639="","",Base_Bruta!A639)</f>
        <v>SP-000418</v>
      </c>
      <c r="B639" s="5" t="n">
        <f aca="false">IF($A639="","",IF(ISNUMBER(Base_Bruta!B639),Base_Bruta!B639,IF(MID(Base_Bruta!B639,5,1)="-",DATE(VALUE(LEFT(Base_Bruta!B639,4)),VALUE(MID(Base_Bruta!B639,6,2)),VALUE(RIGHT(Base_Bruta!B639,2))),DATE(VALUE(RIGHT(Base_Bruta!B639,4)),VALUE(MID(Base_Bruta!B639,4,2)),VALUE(LEFT(Base_Bruta!B639,2))))))</f>
        <v>46069</v>
      </c>
      <c r="C639" s="5" t="n">
        <f aca="false">IF($A639="","",IF(ISNUMBER(Base_Bruta!C639),Base_Bruta!C639,IF(MID(Base_Bruta!C639,5,1)="-",DATE(VALUE(LEFT(Base_Bruta!C639,4)),VALUE(MID(Base_Bruta!C639,6,2)),VALUE(RIGHT(Base_Bruta!C639,2))),DATE(VALUE(RIGHT(Base_Bruta!C639,4)),VALUE(MID(Base_Bruta!C639,4,2)),VALUE(LEFT(Base_Bruta!C639,2))))))</f>
        <v>46130</v>
      </c>
      <c r="D639" s="4" t="str">
        <f aca="false">IF($A639="","",TRIM(Base_Bruta!D639))</f>
        <v>Festival Sonora SP 2026</v>
      </c>
      <c r="E639" s="4" t="str">
        <f aca="false">IF($A639="","",_xlfn.XLOOKUP(LOWER(TRIM(Base_Bruta!E639)),DePara_Categoria!$A$2:$A$9,DePara_Categoria!$B$2:$B$9,"REVISAR"))</f>
        <v>Festival</v>
      </c>
      <c r="F639" s="4" t="str">
        <f aca="false">IF($A639="","",_xlfn.XLOOKUP(LOWER(TRIM(Base_Bruta!F639)),DePara_Cidade!$A$2:$A$29,DePara_Cidade!$B$2:$B$29,"REVISAR"))</f>
        <v>São Paulo</v>
      </c>
      <c r="G639" s="4" t="str">
        <f aca="false">IF($A639="","",TRIM(Base_Bruta!G639))</f>
        <v>Inteira</v>
      </c>
      <c r="H639" s="4" t="n">
        <f aca="false">IF($A639="","",IF(ISNUMBER(Base_Bruta!H639),Base_Bruta!H639,IFERROR(_xlfn.NUMBERVALUE(TRIM(SUBSTITUTE(Base_Bruta!H639,"R$","")),",","."),0)))</f>
        <v>4</v>
      </c>
      <c r="I639" s="6" t="n">
        <f aca="false">IF($A639="","",IF(ISNUMBER(Base_Bruta!I639),Base_Bruta!I639,IFERROR(_xlfn.NUMBERVALUE(TRIM(SUBSTITUTE(Base_Bruta!I639,"R$","")),",","."),0)))</f>
        <v>965</v>
      </c>
      <c r="J639" s="6" t="n">
        <f aca="false">IF($A639="","",H639*I639)</f>
        <v>3860</v>
      </c>
      <c r="K639" s="4" t="str">
        <f aca="false">IF($A639="","",TRIM(Base_Bruta!J639))</f>
        <v>App</v>
      </c>
      <c r="L639" s="4" t="str">
        <f aca="false">IF($A639="","",TRIM(Base_Bruta!K639))</f>
        <v>C02147</v>
      </c>
      <c r="M639" s="4" t="str">
        <f aca="false">IF($A639="","",_xlfn.XLOOKUP(LOWER(TRIM(Base_Bruta!L639)),DePara_Cidade!$A$2:$A$29,DePara_Cidade!$B$2:$B$29,"REVISAR"))</f>
        <v>São Paulo</v>
      </c>
      <c r="N639" s="4" t="str">
        <f aca="false">IF($A639="","",UPPER(TRIM(Base_Bruta!M639)))</f>
        <v>SP</v>
      </c>
      <c r="O639" s="4" t="str">
        <f aca="false">IF($A639="","",_xlfn.XLOOKUP(LOWER(TRIM(Base_Bruta!N639)),DePara_Pais!$A$2:$A$9,DePara_Pais!$B$2:$B$9,"REVISAR"))</f>
        <v>Brasil</v>
      </c>
      <c r="P639" s="4" t="str">
        <f aca="false">IF($A639="","",IF(O639&lt;&gt;"Brasil","Turista Internacional",IF(M639=F639,"Local","Turista Nacional")))</f>
        <v>Local</v>
      </c>
      <c r="Q639" s="7" t="n">
        <f aca="false">IF($A639="","",DATE(YEAR(B639),MONTH(B639),1))</f>
        <v>46054</v>
      </c>
      <c r="R639" s="4" t="str">
        <f aca="false">IF($A639="","",IF(COUNTIF($A$2:$A639,$A639)&gt;1,"Sim","Não"))</f>
        <v>Não</v>
      </c>
      <c r="S639" s="4" t="str">
        <f aca="false">IF(A639="","Descartar - Linha vazia",IF(R639="Sim","Descartar - Duplicado",IF(OR(H639&lt;=0,I639&lt;=0),"Descartar - Qtd/Valor inválido","OK")))</f>
        <v>OK</v>
      </c>
      <c r="T639" s="4" t="str">
        <f aca="false">Base_Bruta!P639</f>
        <v>vendas_SP.xlsx</v>
      </c>
    </row>
    <row r="640" customFormat="false" ht="15" hidden="false" customHeight="false" outlineLevel="0" collapsed="false">
      <c r="A640" s="4" t="str">
        <f aca="false">IF(Base_Bruta!A640="","",Base_Bruta!A640)</f>
        <v>SP-000323</v>
      </c>
      <c r="B640" s="5" t="n">
        <f aca="false">IF($A640="","",IF(ISNUMBER(Base_Bruta!B640),Base_Bruta!B640,IF(MID(Base_Bruta!B640,5,1)="-",DATE(VALUE(LEFT(Base_Bruta!B640,4)),VALUE(MID(Base_Bruta!B640,6,2)),VALUE(RIGHT(Base_Bruta!B640,2))),DATE(VALUE(RIGHT(Base_Bruta!B640,4)),VALUE(MID(Base_Bruta!B640,4,2)),VALUE(LEFT(Base_Bruta!B640,2))))))</f>
        <v>46072</v>
      </c>
      <c r="C640" s="5" t="n">
        <f aca="false">IF($A640="","",IF(ISNUMBER(Base_Bruta!C640),Base_Bruta!C640,IF(MID(Base_Bruta!C640,5,1)="-",DATE(VALUE(LEFT(Base_Bruta!C640,4)),VALUE(MID(Base_Bruta!C640,6,2)),VALUE(RIGHT(Base_Bruta!C640,2))),DATE(VALUE(RIGHT(Base_Bruta!C640,4)),VALUE(MID(Base_Bruta!C640,4,2)),VALUE(LEFT(Base_Bruta!C640,2))))))</f>
        <v>46130</v>
      </c>
      <c r="D640" s="4" t="str">
        <f aca="false">IF($A640="","",TRIM(Base_Bruta!D640))</f>
        <v>Festival Sonora SP 2026</v>
      </c>
      <c r="E640" s="4" t="str">
        <f aca="false">IF($A640="","",_xlfn.XLOOKUP(LOWER(TRIM(Base_Bruta!E640)),DePara_Categoria!$A$2:$A$9,DePara_Categoria!$B$2:$B$9,"REVISAR"))</f>
        <v>Festival</v>
      </c>
      <c r="F640" s="4" t="str">
        <f aca="false">IF($A640="","",_xlfn.XLOOKUP(LOWER(TRIM(Base_Bruta!F640)),DePara_Cidade!$A$2:$A$29,DePara_Cidade!$B$2:$B$29,"REVISAR"))</f>
        <v>São Paulo</v>
      </c>
      <c r="G640" s="4" t="str">
        <f aca="false">IF($A640="","",TRIM(Base_Bruta!G640))</f>
        <v>Inteira</v>
      </c>
      <c r="H640" s="4" t="n">
        <f aca="false">IF($A640="","",IF(ISNUMBER(Base_Bruta!H640),Base_Bruta!H640,IFERROR(_xlfn.NUMBERVALUE(TRIM(SUBSTITUTE(Base_Bruta!H640,"R$","")),",","."),0)))</f>
        <v>1</v>
      </c>
      <c r="I640" s="6" t="n">
        <f aca="false">IF($A640="","",IF(ISNUMBER(Base_Bruta!I640),Base_Bruta!I640,IFERROR(_xlfn.NUMBERVALUE(TRIM(SUBSTITUTE(Base_Bruta!I640,"R$","")),",","."),0)))</f>
        <v>1005</v>
      </c>
      <c r="J640" s="6" t="n">
        <f aca="false">IF($A640="","",H640*I640)</f>
        <v>1005</v>
      </c>
      <c r="K640" s="4" t="str">
        <f aca="false">IF($A640="","",TRIM(Base_Bruta!J640))</f>
        <v>App</v>
      </c>
      <c r="L640" s="4" t="str">
        <f aca="false">IF($A640="","",TRIM(Base_Bruta!K640))</f>
        <v>C00800</v>
      </c>
      <c r="M640" s="4" t="str">
        <f aca="false">IF($A640="","",_xlfn.XLOOKUP(LOWER(TRIM(Base_Bruta!L640)),DePara_Cidade!$A$2:$A$29,DePara_Cidade!$B$2:$B$29,"REVISAR"))</f>
        <v>São Paulo</v>
      </c>
      <c r="N640" s="4" t="str">
        <f aca="false">IF($A640="","",UPPER(TRIM(Base_Bruta!M640)))</f>
        <v>SP</v>
      </c>
      <c r="O640" s="4" t="str">
        <f aca="false">IF($A640="","",_xlfn.XLOOKUP(LOWER(TRIM(Base_Bruta!N640)),DePara_Pais!$A$2:$A$9,DePara_Pais!$B$2:$B$9,"REVISAR"))</f>
        <v>Brasil</v>
      </c>
      <c r="P640" s="4" t="str">
        <f aca="false">IF($A640="","",IF(O640&lt;&gt;"Brasil","Turista Internacional",IF(M640=F640,"Local","Turista Nacional")))</f>
        <v>Local</v>
      </c>
      <c r="Q640" s="7" t="n">
        <f aca="false">IF($A640="","",DATE(YEAR(B640),MONTH(B640),1))</f>
        <v>46054</v>
      </c>
      <c r="R640" s="4" t="str">
        <f aca="false">IF($A640="","",IF(COUNTIF($A$2:$A640,$A640)&gt;1,"Sim","Não"))</f>
        <v>Não</v>
      </c>
      <c r="S640" s="4" t="str">
        <f aca="false">IF(A640="","Descartar - Linha vazia",IF(R640="Sim","Descartar - Duplicado",IF(OR(H640&lt;=0,I640&lt;=0),"Descartar - Qtd/Valor inválido","OK")))</f>
        <v>OK</v>
      </c>
      <c r="T640" s="4" t="str">
        <f aca="false">Base_Bruta!P640</f>
        <v>vendas_SP.xlsx</v>
      </c>
    </row>
    <row r="641" customFormat="false" ht="15" hidden="false" customHeight="false" outlineLevel="0" collapsed="false">
      <c r="A641" s="4" t="str">
        <f aca="false">IF(Base_Bruta!A641="","",Base_Bruta!A641)</f>
        <v>SP-000650</v>
      </c>
      <c r="B641" s="5" t="n">
        <f aca="false">IF($A641="","",IF(ISNUMBER(Base_Bruta!B641),Base_Bruta!B641,IF(MID(Base_Bruta!B641,5,1)="-",DATE(VALUE(LEFT(Base_Bruta!B641,4)),VALUE(MID(Base_Bruta!B641,6,2)),VALUE(RIGHT(Base_Bruta!B641,2))),DATE(VALUE(RIGHT(Base_Bruta!B641,4)),VALUE(MID(Base_Bruta!B641,4,2)),VALUE(LEFT(Base_Bruta!B641,2))))))</f>
        <v>46072</v>
      </c>
      <c r="C641" s="5" t="n">
        <f aca="false">IF($A641="","",IF(ISNUMBER(Base_Bruta!C641),Base_Bruta!C641,IF(MID(Base_Bruta!C641,5,1)="-",DATE(VALUE(LEFT(Base_Bruta!C641,4)),VALUE(MID(Base_Bruta!C641,6,2)),VALUE(RIGHT(Base_Bruta!C641,2))),DATE(VALUE(RIGHT(Base_Bruta!C641,4)),VALUE(MID(Base_Bruta!C641,4,2)),VALUE(LEFT(Base_Bruta!C641,2))))))</f>
        <v>46073</v>
      </c>
      <c r="D641" s="4" t="str">
        <f aca="false">IF($A641="","",TRIM(Base_Bruta!D641))</f>
        <v>Cinema Paulista - Sessões</v>
      </c>
      <c r="E641" s="4" t="str">
        <f aca="false">IF($A641="","",_xlfn.XLOOKUP(LOWER(TRIM(Base_Bruta!E641)),DePara_Categoria!$A$2:$A$9,DePara_Categoria!$B$2:$B$9,"REVISAR"))</f>
        <v>Cinema</v>
      </c>
      <c r="F641" s="4" t="str">
        <f aca="false">IF($A641="","",_xlfn.XLOOKUP(LOWER(TRIM(Base_Bruta!F641)),DePara_Cidade!$A$2:$A$29,DePara_Cidade!$B$2:$B$29,"REVISAR"))</f>
        <v>São Paulo</v>
      </c>
      <c r="G641" s="4" t="str">
        <f aca="false">IF($A641="","",TRIM(Base_Bruta!G641))</f>
        <v>Meia</v>
      </c>
      <c r="H641" s="4" t="n">
        <f aca="false">IF($A641="","",IF(ISNUMBER(Base_Bruta!H641),Base_Bruta!H641,IFERROR(_xlfn.NUMBERVALUE(TRIM(SUBSTITUTE(Base_Bruta!H641,"R$","")),",","."),0)))</f>
        <v>2</v>
      </c>
      <c r="I641" s="6" t="n">
        <f aca="false">IF($A641="","",IF(ISNUMBER(Base_Bruta!I641),Base_Bruta!I641,IFERROR(_xlfn.NUMBERVALUE(TRIM(SUBSTITUTE(Base_Bruta!I641,"R$","")),",","."),0)))</f>
        <v>17.5</v>
      </c>
      <c r="J641" s="6" t="n">
        <f aca="false">IF($A641="","",H641*I641)</f>
        <v>35</v>
      </c>
      <c r="K641" s="4" t="str">
        <f aca="false">IF($A641="","",TRIM(Base_Bruta!J641))</f>
        <v>Site</v>
      </c>
      <c r="L641" s="4" t="str">
        <f aca="false">IF($A641="","",TRIM(Base_Bruta!K641))</f>
        <v>C00552</v>
      </c>
      <c r="M641" s="4" t="str">
        <f aca="false">IF($A641="","",_xlfn.XLOOKUP(LOWER(TRIM(Base_Bruta!L641)),DePara_Cidade!$A$2:$A$29,DePara_Cidade!$B$2:$B$29,"REVISAR"))</f>
        <v>São Paulo</v>
      </c>
      <c r="N641" s="4" t="str">
        <f aca="false">IF($A641="","",UPPER(TRIM(Base_Bruta!M641)))</f>
        <v>SP</v>
      </c>
      <c r="O641" s="4" t="str">
        <f aca="false">IF($A641="","",_xlfn.XLOOKUP(LOWER(TRIM(Base_Bruta!N641)),DePara_Pais!$A$2:$A$9,DePara_Pais!$B$2:$B$9,"REVISAR"))</f>
        <v>Brasil</v>
      </c>
      <c r="P641" s="4" t="str">
        <f aca="false">IF($A641="","",IF(O641&lt;&gt;"Brasil","Turista Internacional",IF(M641=F641,"Local","Turista Nacional")))</f>
        <v>Local</v>
      </c>
      <c r="Q641" s="7" t="n">
        <f aca="false">IF($A641="","",DATE(YEAR(B641),MONTH(B641),1))</f>
        <v>46054</v>
      </c>
      <c r="R641" s="4" t="str">
        <f aca="false">IF($A641="","",IF(COUNTIF($A$2:$A641,$A641)&gt;1,"Sim","Não"))</f>
        <v>Não</v>
      </c>
      <c r="S641" s="4" t="str">
        <f aca="false">IF(A641="","Descartar - Linha vazia",IF(R641="Sim","Descartar - Duplicado",IF(OR(H641&lt;=0,I641&lt;=0),"Descartar - Qtd/Valor inválido","OK")))</f>
        <v>OK</v>
      </c>
      <c r="T641" s="4" t="str">
        <f aca="false">Base_Bruta!P641</f>
        <v>vendas_SP.xlsx</v>
      </c>
    </row>
    <row r="642" customFormat="false" ht="15" hidden="false" customHeight="false" outlineLevel="0" collapsed="false">
      <c r="A642" s="4" t="str">
        <f aca="false">IF(Base_Bruta!A642="","",Base_Bruta!A642)</f>
        <v>SP-000460</v>
      </c>
      <c r="B642" s="5" t="n">
        <f aca="false">IF($A642="","",IF(ISNUMBER(Base_Bruta!B642),Base_Bruta!B642,IF(MID(Base_Bruta!B642,5,1)="-",DATE(VALUE(LEFT(Base_Bruta!B642,4)),VALUE(MID(Base_Bruta!B642,6,2)),VALUE(RIGHT(Base_Bruta!B642,2))),DATE(VALUE(RIGHT(Base_Bruta!B642,4)),VALUE(MID(Base_Bruta!B642,4,2)),VALUE(LEFT(Base_Bruta!B642,2))))))</f>
        <v>46073</v>
      </c>
      <c r="C642" s="5" t="n">
        <f aca="false">IF($A642="","",IF(ISNUMBER(Base_Bruta!C642),Base_Bruta!C642,IF(MID(Base_Bruta!C642,5,1)="-",DATE(VALUE(LEFT(Base_Bruta!C642,4)),VALUE(MID(Base_Bruta!C642,6,2)),VALUE(RIGHT(Base_Bruta!C642,2))),DATE(VALUE(RIGHT(Base_Bruta!C642,4)),VALUE(MID(Base_Bruta!C642,4,2)),VALUE(LEFT(Base_Bruta!C642,2))))))</f>
        <v>46130</v>
      </c>
      <c r="D642" s="4" t="str">
        <f aca="false">IF($A642="","",TRIM(Base_Bruta!D642))</f>
        <v>Festival Sonora SP 2026</v>
      </c>
      <c r="E642" s="4" t="str">
        <f aca="false">IF($A642="","",_xlfn.XLOOKUP(LOWER(TRIM(Base_Bruta!E642)),DePara_Categoria!$A$2:$A$9,DePara_Categoria!$B$2:$B$9,"REVISAR"))</f>
        <v>Festival</v>
      </c>
      <c r="F642" s="4" t="str">
        <f aca="false">IF($A642="","",_xlfn.XLOOKUP(LOWER(TRIM(Base_Bruta!F642)),DePara_Cidade!$A$2:$A$29,DePara_Cidade!$B$2:$B$29,"REVISAR"))</f>
        <v>São Paulo</v>
      </c>
      <c r="G642" s="4" t="str">
        <f aca="false">IF($A642="","",TRIM(Base_Bruta!G642))</f>
        <v>Inteira</v>
      </c>
      <c r="H642" s="4" t="n">
        <f aca="false">IF($A642="","",IF(ISNUMBER(Base_Bruta!H642),Base_Bruta!H642,IFERROR(_xlfn.NUMBERVALUE(TRIM(SUBSTITUTE(Base_Bruta!H642,"R$","")),",","."),0)))</f>
        <v>4</v>
      </c>
      <c r="I642" s="6" t="n">
        <f aca="false">IF($A642="","",IF(ISNUMBER(Base_Bruta!I642),Base_Bruta!I642,IFERROR(_xlfn.NUMBERVALUE(TRIM(SUBSTITUTE(Base_Bruta!I642,"R$","")),",","."),0)))</f>
        <v>930</v>
      </c>
      <c r="J642" s="6" t="n">
        <f aca="false">IF($A642="","",H642*I642)</f>
        <v>3720</v>
      </c>
      <c r="K642" s="4" t="str">
        <f aca="false">IF($A642="","",TRIM(Base_Bruta!J642))</f>
        <v>Site</v>
      </c>
      <c r="L642" s="4" t="str">
        <f aca="false">IF($A642="","",TRIM(Base_Bruta!K642))</f>
        <v>C00719</v>
      </c>
      <c r="M642" s="4" t="str">
        <f aca="false">IF($A642="","",_xlfn.XLOOKUP(LOWER(TRIM(Base_Bruta!L642)),DePara_Cidade!$A$2:$A$29,DePara_Cidade!$B$2:$B$29,"REVISAR"))</f>
        <v>São Paulo</v>
      </c>
      <c r="N642" s="4" t="str">
        <f aca="false">IF($A642="","",UPPER(TRIM(Base_Bruta!M642)))</f>
        <v>SP</v>
      </c>
      <c r="O642" s="4" t="str">
        <f aca="false">IF($A642="","",_xlfn.XLOOKUP(LOWER(TRIM(Base_Bruta!N642)),DePara_Pais!$A$2:$A$9,DePara_Pais!$B$2:$B$9,"REVISAR"))</f>
        <v>Brasil</v>
      </c>
      <c r="P642" s="4" t="str">
        <f aca="false">IF($A642="","",IF(O642&lt;&gt;"Brasil","Turista Internacional",IF(M642=F642,"Local","Turista Nacional")))</f>
        <v>Local</v>
      </c>
      <c r="Q642" s="7" t="n">
        <f aca="false">IF($A642="","",DATE(YEAR(B642),MONTH(B642),1))</f>
        <v>46054</v>
      </c>
      <c r="R642" s="4" t="str">
        <f aca="false">IF($A642="","",IF(COUNTIF($A$2:$A642,$A642)&gt;1,"Sim","Não"))</f>
        <v>Não</v>
      </c>
      <c r="S642" s="4" t="str">
        <f aca="false">IF(A642="","Descartar - Linha vazia",IF(R642="Sim","Descartar - Duplicado",IF(OR(H642&lt;=0,I642&lt;=0),"Descartar - Qtd/Valor inválido","OK")))</f>
        <v>OK</v>
      </c>
      <c r="T642" s="4" t="str">
        <f aca="false">Base_Bruta!P642</f>
        <v>vendas_SP.xlsx</v>
      </c>
    </row>
    <row r="643" customFormat="false" ht="15" hidden="false" customHeight="false" outlineLevel="0" collapsed="false">
      <c r="A643" s="4" t="str">
        <f aca="false">IF(Base_Bruta!A643="","",Base_Bruta!A643)</f>
        <v>SP-000642</v>
      </c>
      <c r="B643" s="5" t="n">
        <f aca="false">IF($A643="","",IF(ISNUMBER(Base_Bruta!B643),Base_Bruta!B643,IF(MID(Base_Bruta!B643,5,1)="-",DATE(VALUE(LEFT(Base_Bruta!B643,4)),VALUE(MID(Base_Bruta!B643,6,2)),VALUE(RIGHT(Base_Bruta!B643,2))),DATE(VALUE(RIGHT(Base_Bruta!B643,4)),VALUE(MID(Base_Bruta!B643,4,2)),VALUE(LEFT(Base_Bruta!B643,2))))))</f>
        <v>46073</v>
      </c>
      <c r="C643" s="5" t="n">
        <f aca="false">IF($A643="","",IF(ISNUMBER(Base_Bruta!C643),Base_Bruta!C643,IF(MID(Base_Bruta!C643,5,1)="-",DATE(VALUE(LEFT(Base_Bruta!C643,4)),VALUE(MID(Base_Bruta!C643,6,2)),VALUE(RIGHT(Base_Bruta!C643,2))),DATE(VALUE(RIGHT(Base_Bruta!C643,4)),VALUE(MID(Base_Bruta!C643,4,2)),VALUE(LEFT(Base_Bruta!C643,2))))))</f>
        <v>46074</v>
      </c>
      <c r="D643" s="4" t="str">
        <f aca="false">IF($A643="","",TRIM(Base_Bruta!D643))</f>
        <v>Cinema Paulista - Sessões</v>
      </c>
      <c r="E643" s="4" t="str">
        <f aca="false">IF($A643="","",_xlfn.XLOOKUP(LOWER(TRIM(Base_Bruta!E643)),DePara_Categoria!$A$2:$A$9,DePara_Categoria!$B$2:$B$9,"REVISAR"))</f>
        <v>Cinema</v>
      </c>
      <c r="F643" s="4" t="str">
        <f aca="false">IF($A643="","",_xlfn.XLOOKUP(LOWER(TRIM(Base_Bruta!F643)),DePara_Cidade!$A$2:$A$29,DePara_Cidade!$B$2:$B$29,"REVISAR"))</f>
        <v>São Paulo</v>
      </c>
      <c r="G643" s="4" t="str">
        <f aca="false">IF($A643="","",TRIM(Base_Bruta!G643))</f>
        <v>Meia</v>
      </c>
      <c r="H643" s="4" t="n">
        <f aca="false">IF($A643="","",IF(ISNUMBER(Base_Bruta!H643),Base_Bruta!H643,IFERROR(_xlfn.NUMBERVALUE(TRIM(SUBSTITUTE(Base_Bruta!H643,"R$","")),",","."),0)))</f>
        <v>2</v>
      </c>
      <c r="I643" s="6" t="n">
        <f aca="false">IF($A643="","",IF(ISNUMBER(Base_Bruta!I643),Base_Bruta!I643,IFERROR(_xlfn.NUMBERVALUE(TRIM(SUBSTITUTE(Base_Bruta!I643,"R$","")),",","."),0)))</f>
        <v>20</v>
      </c>
      <c r="J643" s="6" t="n">
        <f aca="false">IF($A643="","",H643*I643)</f>
        <v>40</v>
      </c>
      <c r="K643" s="4" t="str">
        <f aca="false">IF($A643="","",TRIM(Base_Bruta!J643))</f>
        <v>Bilheteria</v>
      </c>
      <c r="L643" s="4" t="str">
        <f aca="false">IF($A643="","",TRIM(Base_Bruta!K643))</f>
        <v>C02147</v>
      </c>
      <c r="M643" s="4" t="str">
        <f aca="false">IF($A643="","",_xlfn.XLOOKUP(LOWER(TRIM(Base_Bruta!L643)),DePara_Cidade!$A$2:$A$29,DePara_Cidade!$B$2:$B$29,"REVISAR"))</f>
        <v>São Paulo</v>
      </c>
      <c r="N643" s="4" t="str">
        <f aca="false">IF($A643="","",UPPER(TRIM(Base_Bruta!M643)))</f>
        <v>SP</v>
      </c>
      <c r="O643" s="4" t="str">
        <f aca="false">IF($A643="","",_xlfn.XLOOKUP(LOWER(TRIM(Base_Bruta!N643)),DePara_Pais!$A$2:$A$9,DePara_Pais!$B$2:$B$9,"REVISAR"))</f>
        <v>Brasil</v>
      </c>
      <c r="P643" s="4" t="str">
        <f aca="false">IF($A643="","",IF(O643&lt;&gt;"Brasil","Turista Internacional",IF(M643=F643,"Local","Turista Nacional")))</f>
        <v>Local</v>
      </c>
      <c r="Q643" s="7" t="n">
        <f aca="false">IF($A643="","",DATE(YEAR(B643),MONTH(B643),1))</f>
        <v>46054</v>
      </c>
      <c r="R643" s="4" t="str">
        <f aca="false">IF($A643="","",IF(COUNTIF($A$2:$A643,$A643)&gt;1,"Sim","Não"))</f>
        <v>Não</v>
      </c>
      <c r="S643" s="4" t="str">
        <f aca="false">IF(A643="","Descartar - Linha vazia",IF(R643="Sim","Descartar - Duplicado",IF(OR(H643&lt;=0,I643&lt;=0),"Descartar - Qtd/Valor inválido","OK")))</f>
        <v>OK</v>
      </c>
      <c r="T643" s="4" t="str">
        <f aca="false">Base_Bruta!P643</f>
        <v>vendas_SP.xlsx</v>
      </c>
    </row>
    <row r="644" customFormat="false" ht="15" hidden="false" customHeight="false" outlineLevel="0" collapsed="false">
      <c r="A644" s="4" t="str">
        <f aca="false">IF(Base_Bruta!A644="","",Base_Bruta!A644)</f>
        <v>SP-000379</v>
      </c>
      <c r="B644" s="5" t="n">
        <f aca="false">IF($A644="","",IF(ISNUMBER(Base_Bruta!B644),Base_Bruta!B644,IF(MID(Base_Bruta!B644,5,1)="-",DATE(VALUE(LEFT(Base_Bruta!B644,4)),VALUE(MID(Base_Bruta!B644,6,2)),VALUE(RIGHT(Base_Bruta!B644,2))),DATE(VALUE(RIGHT(Base_Bruta!B644,4)),VALUE(MID(Base_Bruta!B644,4,2)),VALUE(LEFT(Base_Bruta!B644,2))))))</f>
        <v>46074</v>
      </c>
      <c r="C644" s="5" t="n">
        <f aca="false">IF($A644="","",IF(ISNUMBER(Base_Bruta!C644),Base_Bruta!C644,IF(MID(Base_Bruta!C644,5,1)="-",DATE(VALUE(LEFT(Base_Bruta!C644,4)),VALUE(MID(Base_Bruta!C644,6,2)),VALUE(RIGHT(Base_Bruta!C644,2))),DATE(VALUE(RIGHT(Base_Bruta!C644,4)),VALUE(MID(Base_Bruta!C644,4,2)),VALUE(LEFT(Base_Bruta!C644,2))))))</f>
        <v>46130</v>
      </c>
      <c r="D644" s="4" t="str">
        <f aca="false">IF($A644="","",TRIM(Base_Bruta!D644))</f>
        <v>Festival Sonora SP 2026</v>
      </c>
      <c r="E644" s="4" t="str">
        <f aca="false">IF($A644="","",_xlfn.XLOOKUP(LOWER(TRIM(Base_Bruta!E644)),DePara_Categoria!$A$2:$A$9,DePara_Categoria!$B$2:$B$9,"REVISAR"))</f>
        <v>Festival</v>
      </c>
      <c r="F644" s="4" t="str">
        <f aca="false">IF($A644="","",_xlfn.XLOOKUP(LOWER(TRIM(Base_Bruta!F644)),DePara_Cidade!$A$2:$A$29,DePara_Cidade!$B$2:$B$29,"REVISAR"))</f>
        <v>São Paulo</v>
      </c>
      <c r="G644" s="4" t="str">
        <f aca="false">IF($A644="","",TRIM(Base_Bruta!G644))</f>
        <v>Inteira</v>
      </c>
      <c r="H644" s="4" t="n">
        <f aca="false">IF($A644="","",IF(ISNUMBER(Base_Bruta!H644),Base_Bruta!H644,IFERROR(_xlfn.NUMBERVALUE(TRIM(SUBSTITUTE(Base_Bruta!H644,"R$","")),",","."),0)))</f>
        <v>4</v>
      </c>
      <c r="I644" s="6" t="n">
        <f aca="false">IF($A644="","",IF(ISNUMBER(Base_Bruta!I644),Base_Bruta!I644,IFERROR(_xlfn.NUMBERVALUE(TRIM(SUBSTITUTE(Base_Bruta!I644,"R$","")),",","."),0)))</f>
        <v>905</v>
      </c>
      <c r="J644" s="6" t="n">
        <f aca="false">IF($A644="","",H644*I644)</f>
        <v>3620</v>
      </c>
      <c r="K644" s="4" t="str">
        <f aca="false">IF($A644="","",TRIM(Base_Bruta!J644))</f>
        <v>Site</v>
      </c>
      <c r="L644" s="4" t="str">
        <f aca="false">IF($A644="","",TRIM(Base_Bruta!K644))</f>
        <v>C01093</v>
      </c>
      <c r="M644" s="4" t="str">
        <f aca="false">IF($A644="","",_xlfn.XLOOKUP(LOWER(TRIM(Base_Bruta!L644)),DePara_Cidade!$A$2:$A$29,DePara_Cidade!$B$2:$B$29,"REVISAR"))</f>
        <v>São Paulo</v>
      </c>
      <c r="N644" s="4" t="str">
        <f aca="false">IF($A644="","",UPPER(TRIM(Base_Bruta!M644)))</f>
        <v>SP</v>
      </c>
      <c r="O644" s="4" t="str">
        <f aca="false">IF($A644="","",_xlfn.XLOOKUP(LOWER(TRIM(Base_Bruta!N644)),DePara_Pais!$A$2:$A$9,DePara_Pais!$B$2:$B$9,"REVISAR"))</f>
        <v>Brasil</v>
      </c>
      <c r="P644" s="4" t="str">
        <f aca="false">IF($A644="","",IF(O644&lt;&gt;"Brasil","Turista Internacional",IF(M644=F644,"Local","Turista Nacional")))</f>
        <v>Local</v>
      </c>
      <c r="Q644" s="7" t="n">
        <f aca="false">IF($A644="","",DATE(YEAR(B644),MONTH(B644),1))</f>
        <v>46054</v>
      </c>
      <c r="R644" s="4" t="str">
        <f aca="false">IF($A644="","",IF(COUNTIF($A$2:$A644,$A644)&gt;1,"Sim","Não"))</f>
        <v>Não</v>
      </c>
      <c r="S644" s="4" t="str">
        <f aca="false">IF(A644="","Descartar - Linha vazia",IF(R644="Sim","Descartar - Duplicado",IF(OR(H644&lt;=0,I644&lt;=0),"Descartar - Qtd/Valor inválido","OK")))</f>
        <v>OK</v>
      </c>
      <c r="T644" s="4" t="str">
        <f aca="false">Base_Bruta!P644</f>
        <v>vendas_SP.xlsx</v>
      </c>
    </row>
    <row r="645" customFormat="false" ht="15" hidden="false" customHeight="false" outlineLevel="0" collapsed="false">
      <c r="A645" s="4" t="str">
        <f aca="false">IF(Base_Bruta!A645="","",Base_Bruta!A645)</f>
        <v>SP-000396</v>
      </c>
      <c r="B645" s="5" t="n">
        <f aca="false">IF($A645="","",IF(ISNUMBER(Base_Bruta!B645),Base_Bruta!B645,IF(MID(Base_Bruta!B645,5,1)="-",DATE(VALUE(LEFT(Base_Bruta!B645,4)),VALUE(MID(Base_Bruta!B645,6,2)),VALUE(RIGHT(Base_Bruta!B645,2))),DATE(VALUE(RIGHT(Base_Bruta!B645,4)),VALUE(MID(Base_Bruta!B645,4,2)),VALUE(LEFT(Base_Bruta!B645,2))))))</f>
        <v>46074</v>
      </c>
      <c r="C645" s="5" t="n">
        <f aca="false">IF($A645="","",IF(ISNUMBER(Base_Bruta!C645),Base_Bruta!C645,IF(MID(Base_Bruta!C645,5,1)="-",DATE(VALUE(LEFT(Base_Bruta!C645,4)),VALUE(MID(Base_Bruta!C645,6,2)),VALUE(RIGHT(Base_Bruta!C645,2))),DATE(VALUE(RIGHT(Base_Bruta!C645,4)),VALUE(MID(Base_Bruta!C645,4,2)),VALUE(LEFT(Base_Bruta!C645,2))))))</f>
        <v>46130</v>
      </c>
      <c r="D645" s="4" t="str">
        <f aca="false">IF($A645="","",TRIM(Base_Bruta!D645))</f>
        <v>Festival Sonora SP 2026</v>
      </c>
      <c r="E645" s="4" t="str">
        <f aca="false">IF($A645="","",_xlfn.XLOOKUP(LOWER(TRIM(Base_Bruta!E645)),DePara_Categoria!$A$2:$A$9,DePara_Categoria!$B$2:$B$9,"REVISAR"))</f>
        <v>Festival</v>
      </c>
      <c r="F645" s="4" t="str">
        <f aca="false">IF($A645="","",_xlfn.XLOOKUP(LOWER(TRIM(Base_Bruta!F645)),DePara_Cidade!$A$2:$A$29,DePara_Cidade!$B$2:$B$29,"REVISAR"))</f>
        <v>São Paulo</v>
      </c>
      <c r="G645" s="4" t="str">
        <f aca="false">IF($A645="","",TRIM(Base_Bruta!G645))</f>
        <v>Meia</v>
      </c>
      <c r="H645" s="4" t="n">
        <f aca="false">IF($A645="","",IF(ISNUMBER(Base_Bruta!H645),Base_Bruta!H645,IFERROR(_xlfn.NUMBERVALUE(TRIM(SUBSTITUTE(Base_Bruta!H645,"R$","")),",","."),0)))</f>
        <v>3</v>
      </c>
      <c r="I645" s="6" t="n">
        <f aca="false">IF($A645="","",IF(ISNUMBER(Base_Bruta!I645),Base_Bruta!I645,IFERROR(_xlfn.NUMBERVALUE(TRIM(SUBSTITUTE(Base_Bruta!I645,"R$","")),",","."),0)))</f>
        <v>467.5</v>
      </c>
      <c r="J645" s="6" t="n">
        <f aca="false">IF($A645="","",H645*I645)</f>
        <v>1402.5</v>
      </c>
      <c r="K645" s="4" t="str">
        <f aca="false">IF($A645="","",TRIM(Base_Bruta!J645))</f>
        <v>Site</v>
      </c>
      <c r="L645" s="4" t="str">
        <f aca="false">IF($A645="","",TRIM(Base_Bruta!K645))</f>
        <v>C02460</v>
      </c>
      <c r="M645" s="4" t="str">
        <f aca="false">IF($A645="","",_xlfn.XLOOKUP(LOWER(TRIM(Base_Bruta!L645)),DePara_Cidade!$A$2:$A$29,DePara_Cidade!$B$2:$B$29,"REVISAR"))</f>
        <v>Contagem</v>
      </c>
      <c r="N645" s="4" t="str">
        <f aca="false">IF($A645="","",UPPER(TRIM(Base_Bruta!M645)))</f>
        <v>MG</v>
      </c>
      <c r="O645" s="4" t="str">
        <f aca="false">IF($A645="","",_xlfn.XLOOKUP(LOWER(TRIM(Base_Bruta!N645)),DePara_Pais!$A$2:$A$9,DePara_Pais!$B$2:$B$9,"REVISAR"))</f>
        <v>Brasil</v>
      </c>
      <c r="P645" s="4" t="str">
        <f aca="false">IF($A645="","",IF(O645&lt;&gt;"Brasil","Turista Internacional",IF(M645=F645,"Local","Turista Nacional")))</f>
        <v>Turista Nacional</v>
      </c>
      <c r="Q645" s="7" t="n">
        <f aca="false">IF($A645="","",DATE(YEAR(B645),MONTH(B645),1))</f>
        <v>46054</v>
      </c>
      <c r="R645" s="4" t="str">
        <f aca="false">IF($A645="","",IF(COUNTIF($A$2:$A645,$A645)&gt;1,"Sim","Não"))</f>
        <v>Não</v>
      </c>
      <c r="S645" s="4" t="str">
        <f aca="false">IF(A645="","Descartar - Linha vazia",IF(R645="Sim","Descartar - Duplicado",IF(OR(H645&lt;=0,I645&lt;=0),"Descartar - Qtd/Valor inválido","OK")))</f>
        <v>OK</v>
      </c>
      <c r="T645" s="4" t="str">
        <f aca="false">Base_Bruta!P645</f>
        <v>vendas_SP.xlsx</v>
      </c>
    </row>
    <row r="646" customFormat="false" ht="15" hidden="false" customHeight="false" outlineLevel="0" collapsed="false">
      <c r="A646" s="4" t="str">
        <f aca="false">IF(Base_Bruta!A646="","",Base_Bruta!A646)</f>
        <v>SP-000243</v>
      </c>
      <c r="B646" s="5" t="n">
        <f aca="false">IF($A646="","",IF(ISNUMBER(Base_Bruta!B646),Base_Bruta!B646,IF(MID(Base_Bruta!B646,5,1)="-",DATE(VALUE(LEFT(Base_Bruta!B646,4)),VALUE(MID(Base_Bruta!B646,6,2)),VALUE(RIGHT(Base_Bruta!B646,2))),DATE(VALUE(RIGHT(Base_Bruta!B646,4)),VALUE(MID(Base_Bruta!B646,4,2)),VALUE(LEFT(Base_Bruta!B646,2))))))</f>
        <v>46064</v>
      </c>
      <c r="C646" s="5" t="n">
        <f aca="false">IF($A646="","",IF(ISNUMBER(Base_Bruta!C646),Base_Bruta!C646,IF(MID(Base_Bruta!C646,5,1)="-",DATE(VALUE(LEFT(Base_Bruta!C646,4)),VALUE(MID(Base_Bruta!C646,6,2)),VALUE(RIGHT(Base_Bruta!C646,2))),DATE(VALUE(RIGHT(Base_Bruta!C646,4)),VALUE(MID(Base_Bruta!C646,4,2)),VALUE(LEFT(Base_Bruta!C646,2))))))</f>
        <v>46130</v>
      </c>
      <c r="D646" s="4" t="str">
        <f aca="false">IF($A646="","",TRIM(Base_Bruta!D646))</f>
        <v>Festival Sonora SP 2026</v>
      </c>
      <c r="E646" s="4" t="str">
        <f aca="false">IF($A646="","",_xlfn.XLOOKUP(LOWER(TRIM(Base_Bruta!E646)),DePara_Categoria!$A$2:$A$9,DePara_Categoria!$B$2:$B$9,"REVISAR"))</f>
        <v>Festival</v>
      </c>
      <c r="F646" s="4" t="str">
        <f aca="false">IF($A646="","",_xlfn.XLOOKUP(LOWER(TRIM(Base_Bruta!F646)),DePara_Cidade!$A$2:$A$29,DePara_Cidade!$B$2:$B$29,"REVISAR"))</f>
        <v>São Paulo</v>
      </c>
      <c r="G646" s="4" t="str">
        <f aca="false">IF($A646="","",TRIM(Base_Bruta!G646))</f>
        <v>Inteira</v>
      </c>
      <c r="H646" s="4" t="n">
        <f aca="false">IF($A646="","",IF(ISNUMBER(Base_Bruta!H646),Base_Bruta!H646,IFERROR(_xlfn.NUMBERVALUE(TRIM(SUBSTITUTE(Base_Bruta!H646,"R$","")),",","."),0)))</f>
        <v>1</v>
      </c>
      <c r="I646" s="6" t="n">
        <f aca="false">IF($A646="","",IF(ISNUMBER(Base_Bruta!I646),Base_Bruta!I646,IFERROR(_xlfn.NUMBERVALUE(TRIM(SUBSTITUTE(Base_Bruta!I646,"R$","")),",","."),0)))</f>
        <v>980</v>
      </c>
      <c r="J646" s="6" t="n">
        <f aca="false">IF($A646="","",H646*I646)</f>
        <v>980</v>
      </c>
      <c r="K646" s="4" t="str">
        <f aca="false">IF($A646="","",TRIM(Base_Bruta!J646))</f>
        <v>Bilheteria</v>
      </c>
      <c r="L646" s="4" t="str">
        <f aca="false">IF($A646="","",TRIM(Base_Bruta!K646))</f>
        <v>C02234</v>
      </c>
      <c r="M646" s="4" t="str">
        <f aca="false">IF($A646="","",_xlfn.XLOOKUP(LOWER(TRIM(Base_Bruta!L646)),DePara_Cidade!$A$2:$A$29,DePara_Cidade!$B$2:$B$29,"REVISAR"))</f>
        <v>Santos</v>
      </c>
      <c r="N646" s="4" t="str">
        <f aca="false">IF($A646="","",UPPER(TRIM(Base_Bruta!M646)))</f>
        <v>SP</v>
      </c>
      <c r="O646" s="4" t="str">
        <f aca="false">IF($A646="","",_xlfn.XLOOKUP(LOWER(TRIM(Base_Bruta!N646)),DePara_Pais!$A$2:$A$9,DePara_Pais!$B$2:$B$9,"REVISAR"))</f>
        <v>Brasil</v>
      </c>
      <c r="P646" s="4" t="str">
        <f aca="false">IF($A646="","",IF(O646&lt;&gt;"Brasil","Turista Internacional",IF(M646=F646,"Local","Turista Nacional")))</f>
        <v>Turista Nacional</v>
      </c>
      <c r="Q646" s="7" t="n">
        <f aca="false">IF($A646="","",DATE(YEAR(B646),MONTH(B646),1))</f>
        <v>46054</v>
      </c>
      <c r="R646" s="4" t="str">
        <f aca="false">IF($A646="","",IF(COUNTIF($A$2:$A646,$A646)&gt;1,"Sim","Não"))</f>
        <v>Sim</v>
      </c>
      <c r="S646" s="4" t="str">
        <f aca="false">IF(A646="","Descartar - Linha vazia",IF(R646="Sim","Descartar - Duplicado",IF(OR(H646&lt;=0,I646&lt;=0),"Descartar - Qtd/Valor inválido","OK")))</f>
        <v>Descartar - Duplicado</v>
      </c>
      <c r="T646" s="4" t="str">
        <f aca="false">Base_Bruta!P646</f>
        <v>vendas_SP.xlsx</v>
      </c>
    </row>
    <row r="647" customFormat="false" ht="15" hidden="false" customHeight="false" outlineLevel="0" collapsed="false">
      <c r="A647" s="4" t="str">
        <f aca="false">IF(Base_Bruta!A647="","",Base_Bruta!A647)</f>
        <v>SP-000271</v>
      </c>
      <c r="B647" s="5" t="n">
        <f aca="false">IF($A647="","",IF(ISNUMBER(Base_Bruta!B647),Base_Bruta!B647,IF(MID(Base_Bruta!B647,5,1)="-",DATE(VALUE(LEFT(Base_Bruta!B647,4)),VALUE(MID(Base_Bruta!B647,6,2)),VALUE(RIGHT(Base_Bruta!B647,2))),DATE(VALUE(RIGHT(Base_Bruta!B647,4)),VALUE(MID(Base_Bruta!B647,4,2)),VALUE(LEFT(Base_Bruta!B647,2))))))</f>
        <v>46075</v>
      </c>
      <c r="C647" s="5" t="n">
        <f aca="false">IF($A647="","",IF(ISNUMBER(Base_Bruta!C647),Base_Bruta!C647,IF(MID(Base_Bruta!C647,5,1)="-",DATE(VALUE(LEFT(Base_Bruta!C647,4)),VALUE(MID(Base_Bruta!C647,6,2)),VALUE(RIGHT(Base_Bruta!C647,2))),DATE(VALUE(RIGHT(Base_Bruta!C647,4)),VALUE(MID(Base_Bruta!C647,4,2)),VALUE(LEFT(Base_Bruta!C647,2))))))</f>
        <v>46130</v>
      </c>
      <c r="D647" s="4" t="str">
        <f aca="false">IF($A647="","",TRIM(Base_Bruta!D647))</f>
        <v>Festival Sonora SP 2026</v>
      </c>
      <c r="E647" s="4" t="str">
        <f aca="false">IF($A647="","",_xlfn.XLOOKUP(LOWER(TRIM(Base_Bruta!E647)),DePara_Categoria!$A$2:$A$9,DePara_Categoria!$B$2:$B$9,"REVISAR"))</f>
        <v>Festival</v>
      </c>
      <c r="F647" s="4" t="str">
        <f aca="false">IF($A647="","",_xlfn.XLOOKUP(LOWER(TRIM(Base_Bruta!F647)),DePara_Cidade!$A$2:$A$29,DePara_Cidade!$B$2:$B$29,"REVISAR"))</f>
        <v>São Paulo</v>
      </c>
      <c r="G647" s="4" t="str">
        <f aca="false">IF($A647="","",TRIM(Base_Bruta!G647))</f>
        <v>VIP</v>
      </c>
      <c r="H647" s="4" t="n">
        <f aca="false">IF($A647="","",IF(ISNUMBER(Base_Bruta!H647),Base_Bruta!H647,IFERROR(_xlfn.NUMBERVALUE(TRIM(SUBSTITUTE(Base_Bruta!H647,"R$","")),",","."),0)))</f>
        <v>1</v>
      </c>
      <c r="I647" s="6" t="n">
        <f aca="false">IF($A647="","",IF(ISNUMBER(Base_Bruta!I647),Base_Bruta!I647,IFERROR(_xlfn.NUMBERVALUE(TRIM(SUBSTITUTE(Base_Bruta!I647,"R$","")),",","."),0)))</f>
        <v>2080</v>
      </c>
      <c r="J647" s="6" t="n">
        <f aca="false">IF($A647="","",H647*I647)</f>
        <v>2080</v>
      </c>
      <c r="K647" s="4" t="str">
        <f aca="false">IF($A647="","",TRIM(Base_Bruta!J647))</f>
        <v>Site</v>
      </c>
      <c r="L647" s="4" t="str">
        <f aca="false">IF($A647="","",TRIM(Base_Bruta!K647))</f>
        <v>C00772</v>
      </c>
      <c r="M647" s="4" t="str">
        <f aca="false">IF($A647="","",_xlfn.XLOOKUP(LOWER(TRIM(Base_Bruta!L647)),DePara_Cidade!$A$2:$A$29,DePara_Cidade!$B$2:$B$29,"REVISAR"))</f>
        <v>São Paulo</v>
      </c>
      <c r="N647" s="4" t="str">
        <f aca="false">IF($A647="","",UPPER(TRIM(Base_Bruta!M647)))</f>
        <v>SP</v>
      </c>
      <c r="O647" s="4" t="str">
        <f aca="false">IF($A647="","",_xlfn.XLOOKUP(LOWER(TRIM(Base_Bruta!N647)),DePara_Pais!$A$2:$A$9,DePara_Pais!$B$2:$B$9,"REVISAR"))</f>
        <v>Brasil</v>
      </c>
      <c r="P647" s="4" t="str">
        <f aca="false">IF($A647="","",IF(O647&lt;&gt;"Brasil","Turista Internacional",IF(M647=F647,"Local","Turista Nacional")))</f>
        <v>Local</v>
      </c>
      <c r="Q647" s="7" t="n">
        <f aca="false">IF($A647="","",DATE(YEAR(B647),MONTH(B647),1))</f>
        <v>46054</v>
      </c>
      <c r="R647" s="4" t="str">
        <f aca="false">IF($A647="","",IF(COUNTIF($A$2:$A647,$A647)&gt;1,"Sim","Não"))</f>
        <v>Não</v>
      </c>
      <c r="S647" s="4" t="str">
        <f aca="false">IF(A647="","Descartar - Linha vazia",IF(R647="Sim","Descartar - Duplicado",IF(OR(H647&lt;=0,I647&lt;=0),"Descartar - Qtd/Valor inválido","OK")))</f>
        <v>OK</v>
      </c>
      <c r="T647" s="4" t="str">
        <f aca="false">Base_Bruta!P647</f>
        <v>vendas_SP.xlsx</v>
      </c>
    </row>
    <row r="648" customFormat="false" ht="15" hidden="false" customHeight="false" outlineLevel="0" collapsed="false">
      <c r="A648" s="4" t="str">
        <f aca="false">IF(Base_Bruta!A648="","",Base_Bruta!A648)</f>
        <v>SP-000298</v>
      </c>
      <c r="B648" s="5" t="n">
        <f aca="false">IF($A648="","",IF(ISNUMBER(Base_Bruta!B648),Base_Bruta!B648,IF(MID(Base_Bruta!B648,5,1)="-",DATE(VALUE(LEFT(Base_Bruta!B648,4)),VALUE(MID(Base_Bruta!B648,6,2)),VALUE(RIGHT(Base_Bruta!B648,2))),DATE(VALUE(RIGHT(Base_Bruta!B648,4)),VALUE(MID(Base_Bruta!B648,4,2)),VALUE(LEFT(Base_Bruta!B648,2))))))</f>
        <v>46075</v>
      </c>
      <c r="C648" s="5" t="n">
        <f aca="false">IF($A648="","",IF(ISNUMBER(Base_Bruta!C648),Base_Bruta!C648,IF(MID(Base_Bruta!C648,5,1)="-",DATE(VALUE(LEFT(Base_Bruta!C648,4)),VALUE(MID(Base_Bruta!C648,6,2)),VALUE(RIGHT(Base_Bruta!C648,2))),DATE(VALUE(RIGHT(Base_Bruta!C648,4)),VALUE(MID(Base_Bruta!C648,4,2)),VALUE(LEFT(Base_Bruta!C648,2))))))</f>
        <v>46130</v>
      </c>
      <c r="D648" s="4" t="str">
        <f aca="false">IF($A648="","",TRIM(Base_Bruta!D648))</f>
        <v>Festival Sonora SP 2026</v>
      </c>
      <c r="E648" s="4" t="str">
        <f aca="false">IF($A648="","",_xlfn.XLOOKUP(LOWER(TRIM(Base_Bruta!E648)),DePara_Categoria!$A$2:$A$9,DePara_Categoria!$B$2:$B$9,"REVISAR"))</f>
        <v>Festival</v>
      </c>
      <c r="F648" s="4" t="str">
        <f aca="false">IF($A648="","",_xlfn.XLOOKUP(LOWER(TRIM(Base_Bruta!F648)),DePara_Cidade!$A$2:$A$29,DePara_Cidade!$B$2:$B$29,"REVISAR"))</f>
        <v>São Paulo</v>
      </c>
      <c r="G648" s="4" t="str">
        <f aca="false">IF($A648="","",TRIM(Base_Bruta!G648))</f>
        <v>Inteira</v>
      </c>
      <c r="H648" s="4" t="n">
        <f aca="false">IF($A648="","",IF(ISNUMBER(Base_Bruta!H648),Base_Bruta!H648,IFERROR(_xlfn.NUMBERVALUE(TRIM(SUBSTITUTE(Base_Bruta!H648,"R$","")),",","."),0)))</f>
        <v>3</v>
      </c>
      <c r="I648" s="6" t="n">
        <f aca="false">IF($A648="","",IF(ISNUMBER(Base_Bruta!I648),Base_Bruta!I648,IFERROR(_xlfn.NUMBERVALUE(TRIM(SUBSTITUTE(Base_Bruta!I648,"R$","")),",","."),0)))</f>
        <v>1000</v>
      </c>
      <c r="J648" s="6" t="n">
        <f aca="false">IF($A648="","",H648*I648)</f>
        <v>3000</v>
      </c>
      <c r="K648" s="4" t="str">
        <f aca="false">IF($A648="","",TRIM(Base_Bruta!J648))</f>
        <v>Site</v>
      </c>
      <c r="L648" s="4" t="str">
        <f aca="false">IF($A648="","",TRIM(Base_Bruta!K648))</f>
        <v>C02417</v>
      </c>
      <c r="M648" s="4" t="str">
        <f aca="false">IF($A648="","",_xlfn.XLOOKUP(LOWER(TRIM(Base_Bruta!L648)),DePara_Cidade!$A$2:$A$29,DePara_Cidade!$B$2:$B$29,"REVISAR"))</f>
        <v>Recife</v>
      </c>
      <c r="N648" s="4" t="str">
        <f aca="false">IF($A648="","",UPPER(TRIM(Base_Bruta!M648)))</f>
        <v>PE</v>
      </c>
      <c r="O648" s="4" t="str">
        <f aca="false">IF($A648="","",_xlfn.XLOOKUP(LOWER(TRIM(Base_Bruta!N648)),DePara_Pais!$A$2:$A$9,DePara_Pais!$B$2:$B$9,"REVISAR"))</f>
        <v>Brasil</v>
      </c>
      <c r="P648" s="4" t="str">
        <f aca="false">IF($A648="","",IF(O648&lt;&gt;"Brasil","Turista Internacional",IF(M648=F648,"Local","Turista Nacional")))</f>
        <v>Turista Nacional</v>
      </c>
      <c r="Q648" s="7" t="n">
        <f aca="false">IF($A648="","",DATE(YEAR(B648),MONTH(B648),1))</f>
        <v>46054</v>
      </c>
      <c r="R648" s="4" t="str">
        <f aca="false">IF($A648="","",IF(COUNTIF($A$2:$A648,$A648)&gt;1,"Sim","Não"))</f>
        <v>Não</v>
      </c>
      <c r="S648" s="4" t="str">
        <f aca="false">IF(A648="","Descartar - Linha vazia",IF(R648="Sim","Descartar - Duplicado",IF(OR(H648&lt;=0,I648&lt;=0),"Descartar - Qtd/Valor inválido","OK")))</f>
        <v>OK</v>
      </c>
      <c r="T648" s="4" t="str">
        <f aca="false">Base_Bruta!P648</f>
        <v>vendas_SP.xlsx</v>
      </c>
    </row>
    <row r="649" customFormat="false" ht="15" hidden="false" customHeight="false" outlineLevel="0" collapsed="false">
      <c r="A649" s="4" t="str">
        <f aca="false">IF(Base_Bruta!A649="","",Base_Bruta!A649)</f>
        <v>SP-000768</v>
      </c>
      <c r="B649" s="5" t="n">
        <f aca="false">IF($A649="","",IF(ISNUMBER(Base_Bruta!B649),Base_Bruta!B649,IF(MID(Base_Bruta!B649,5,1)="-",DATE(VALUE(LEFT(Base_Bruta!B649,4)),VALUE(MID(Base_Bruta!B649,6,2)),VALUE(RIGHT(Base_Bruta!B649,2))),DATE(VALUE(RIGHT(Base_Bruta!B649,4)),VALUE(MID(Base_Bruta!B649,4,2)),VALUE(LEFT(Base_Bruta!B649,2))))))</f>
        <v>46076</v>
      </c>
      <c r="C649" s="5" t="n">
        <f aca="false">IF($A649="","",IF(ISNUMBER(Base_Bruta!C649),Base_Bruta!C649,IF(MID(Base_Bruta!C649,5,1)="-",DATE(VALUE(LEFT(Base_Bruta!C649,4)),VALUE(MID(Base_Bruta!C649,6,2)),VALUE(RIGHT(Base_Bruta!C649,2))),DATE(VALUE(RIGHT(Base_Bruta!C649,4)),VALUE(MID(Base_Bruta!C649,4,2)),VALUE(LEFT(Base_Bruta!C649,2))))))</f>
        <v>46076</v>
      </c>
      <c r="D649" s="4" t="str">
        <f aca="false">IF($A649="","",TRIM(Base_Bruta!D649))</f>
        <v>Cinema Paulista - Sessões</v>
      </c>
      <c r="E649" s="4" t="str">
        <f aca="false">IF($A649="","",_xlfn.XLOOKUP(LOWER(TRIM(Base_Bruta!E649)),DePara_Categoria!$A$2:$A$9,DePara_Categoria!$B$2:$B$9,"REVISAR"))</f>
        <v>Cinema</v>
      </c>
      <c r="F649" s="4" t="str">
        <f aca="false">IF($A649="","",_xlfn.XLOOKUP(LOWER(TRIM(Base_Bruta!F649)),DePara_Cidade!$A$2:$A$29,DePara_Cidade!$B$2:$B$29,"REVISAR"))</f>
        <v>São Paulo</v>
      </c>
      <c r="G649" s="4" t="str">
        <f aca="false">IF($A649="","",TRIM(Base_Bruta!G649))</f>
        <v>Inteira</v>
      </c>
      <c r="H649" s="4" t="n">
        <f aca="false">IF($A649="","",IF(ISNUMBER(Base_Bruta!H649),Base_Bruta!H649,IFERROR(_xlfn.NUMBERVALUE(TRIM(SUBSTITUTE(Base_Bruta!H649,"R$","")),",","."),0)))</f>
        <v>1</v>
      </c>
      <c r="I649" s="6" t="n">
        <f aca="false">IF($A649="","",IF(ISNUMBER(Base_Bruta!I649),Base_Bruta!I649,IFERROR(_xlfn.NUMBERVALUE(TRIM(SUBSTITUTE(Base_Bruta!I649,"R$","")),",","."),0)))</f>
        <v>35</v>
      </c>
      <c r="J649" s="6" t="n">
        <f aca="false">IF($A649="","",H649*I649)</f>
        <v>35</v>
      </c>
      <c r="K649" s="4" t="str">
        <f aca="false">IF($A649="","",TRIM(Base_Bruta!J649))</f>
        <v>Site</v>
      </c>
      <c r="L649" s="4" t="str">
        <f aca="false">IF($A649="","",TRIM(Base_Bruta!K649))</f>
        <v>C01827</v>
      </c>
      <c r="M649" s="4" t="str">
        <f aca="false">IF($A649="","",_xlfn.XLOOKUP(LOWER(TRIM(Base_Bruta!L649)),DePara_Cidade!$A$2:$A$29,DePara_Cidade!$B$2:$B$29,"REVISAR"))</f>
        <v>São Paulo</v>
      </c>
      <c r="N649" s="4" t="str">
        <f aca="false">IF($A649="","",UPPER(TRIM(Base_Bruta!M649)))</f>
        <v>SP</v>
      </c>
      <c r="O649" s="4" t="str">
        <f aca="false">IF($A649="","",_xlfn.XLOOKUP(LOWER(TRIM(Base_Bruta!N649)),DePara_Pais!$A$2:$A$9,DePara_Pais!$B$2:$B$9,"REVISAR"))</f>
        <v>Brasil</v>
      </c>
      <c r="P649" s="4" t="str">
        <f aca="false">IF($A649="","",IF(O649&lt;&gt;"Brasil","Turista Internacional",IF(M649=F649,"Local","Turista Nacional")))</f>
        <v>Local</v>
      </c>
      <c r="Q649" s="7" t="n">
        <f aca="false">IF($A649="","",DATE(YEAR(B649),MONTH(B649),1))</f>
        <v>46054</v>
      </c>
      <c r="R649" s="4" t="str">
        <f aca="false">IF($A649="","",IF(COUNTIF($A$2:$A649,$A649)&gt;1,"Sim","Não"))</f>
        <v>Não</v>
      </c>
      <c r="S649" s="4" t="str">
        <f aca="false">IF(A649="","Descartar - Linha vazia",IF(R649="Sim","Descartar - Duplicado",IF(OR(H649&lt;=0,I649&lt;=0),"Descartar - Qtd/Valor inválido","OK")))</f>
        <v>OK</v>
      </c>
      <c r="T649" s="4" t="str">
        <f aca="false">Base_Bruta!P649</f>
        <v>vendas_SP.xlsx</v>
      </c>
    </row>
    <row r="650" customFormat="false" ht="15" hidden="false" customHeight="false" outlineLevel="0" collapsed="false">
      <c r="A650" s="4" t="str">
        <f aca="false">IF(Base_Bruta!A650="","",Base_Bruta!A650)</f>
        <v>SP-000231</v>
      </c>
      <c r="B650" s="5" t="n">
        <f aca="false">IF($A650="","",IF(ISNUMBER(Base_Bruta!B650),Base_Bruta!B650,IF(MID(Base_Bruta!B650,5,1)="-",DATE(VALUE(LEFT(Base_Bruta!B650,4)),VALUE(MID(Base_Bruta!B650,6,2)),VALUE(RIGHT(Base_Bruta!B650,2))),DATE(VALUE(RIGHT(Base_Bruta!B650,4)),VALUE(MID(Base_Bruta!B650,4,2)),VALUE(LEFT(Base_Bruta!B650,2))))))</f>
        <v>46077</v>
      </c>
      <c r="C650" s="5" t="n">
        <f aca="false">IF($A650="","",IF(ISNUMBER(Base_Bruta!C650),Base_Bruta!C650,IF(MID(Base_Bruta!C650,5,1)="-",DATE(VALUE(LEFT(Base_Bruta!C650,4)),VALUE(MID(Base_Bruta!C650,6,2)),VALUE(RIGHT(Base_Bruta!C650,2))),DATE(VALUE(RIGHT(Base_Bruta!C650,4)),VALUE(MID(Base_Bruta!C650,4,2)),VALUE(LEFT(Base_Bruta!C650,2))))))</f>
        <v>46130</v>
      </c>
      <c r="D650" s="4" t="str">
        <f aca="false">IF($A650="","",TRIM(Base_Bruta!D650))</f>
        <v>Festival Sonora SP 2026</v>
      </c>
      <c r="E650" s="4" t="str">
        <f aca="false">IF($A650="","",_xlfn.XLOOKUP(LOWER(TRIM(Base_Bruta!E650)),DePara_Categoria!$A$2:$A$9,DePara_Categoria!$B$2:$B$9,"REVISAR"))</f>
        <v>Festival</v>
      </c>
      <c r="F650" s="4" t="str">
        <f aca="false">IF($A650="","",_xlfn.XLOOKUP(LOWER(TRIM(Base_Bruta!F650)),DePara_Cidade!$A$2:$A$29,DePara_Cidade!$B$2:$B$29,"REVISAR"))</f>
        <v>São Paulo</v>
      </c>
      <c r="G650" s="4" t="str">
        <f aca="false">IF($A650="","",TRIM(Base_Bruta!G650))</f>
        <v>Inteira</v>
      </c>
      <c r="H650" s="4" t="n">
        <f aca="false">IF($A650="","",IF(ISNUMBER(Base_Bruta!H650),Base_Bruta!H650,IFERROR(_xlfn.NUMBERVALUE(TRIM(SUBSTITUTE(Base_Bruta!H650,"R$","")),",","."),0)))</f>
        <v>1</v>
      </c>
      <c r="I650" s="6" t="n">
        <f aca="false">IF($A650="","",IF(ISNUMBER(Base_Bruta!I650),Base_Bruta!I650,IFERROR(_xlfn.NUMBERVALUE(TRIM(SUBSTITUTE(Base_Bruta!I650,"R$","")),",","."),0)))</f>
        <v>1135</v>
      </c>
      <c r="J650" s="6" t="n">
        <f aca="false">IF($A650="","",H650*I650)</f>
        <v>1135</v>
      </c>
      <c r="K650" s="4" t="str">
        <f aca="false">IF($A650="","",TRIM(Base_Bruta!J650))</f>
        <v>Site</v>
      </c>
      <c r="L650" s="4" t="str">
        <f aca="false">IF($A650="","",TRIM(Base_Bruta!K650))</f>
        <v>C01493</v>
      </c>
      <c r="M650" s="4" t="str">
        <f aca="false">IF($A650="","",_xlfn.XLOOKUP(LOWER(TRIM(Base_Bruta!L650)),DePara_Cidade!$A$2:$A$29,DePara_Cidade!$B$2:$B$29,"REVISAR"))</f>
        <v>São Paulo</v>
      </c>
      <c r="N650" s="4" t="str">
        <f aca="false">IF($A650="","",UPPER(TRIM(Base_Bruta!M650)))</f>
        <v>SP</v>
      </c>
      <c r="O650" s="4" t="str">
        <f aca="false">IF($A650="","",_xlfn.XLOOKUP(LOWER(TRIM(Base_Bruta!N650)),DePara_Pais!$A$2:$A$9,DePara_Pais!$B$2:$B$9,"REVISAR"))</f>
        <v>Brasil</v>
      </c>
      <c r="P650" s="4" t="str">
        <f aca="false">IF($A650="","",IF(O650&lt;&gt;"Brasil","Turista Internacional",IF(M650=F650,"Local","Turista Nacional")))</f>
        <v>Local</v>
      </c>
      <c r="Q650" s="7" t="n">
        <f aca="false">IF($A650="","",DATE(YEAR(B650),MONTH(B650),1))</f>
        <v>46054</v>
      </c>
      <c r="R650" s="4" t="str">
        <f aca="false">IF($A650="","",IF(COUNTIF($A$2:$A650,$A650)&gt;1,"Sim","Não"))</f>
        <v>Não</v>
      </c>
      <c r="S650" s="4" t="str">
        <f aca="false">IF(A650="","Descartar - Linha vazia",IF(R650="Sim","Descartar - Duplicado",IF(OR(H650&lt;=0,I650&lt;=0),"Descartar - Qtd/Valor inválido","OK")))</f>
        <v>OK</v>
      </c>
      <c r="T650" s="4" t="str">
        <f aca="false">Base_Bruta!P650</f>
        <v>vendas_SP.xlsx</v>
      </c>
    </row>
    <row r="651" customFormat="false" ht="15" hidden="false" customHeight="false" outlineLevel="0" collapsed="false">
      <c r="A651" s="4" t="str">
        <f aca="false">IF(Base_Bruta!A651="","",Base_Bruta!A651)</f>
        <v>SP-000233</v>
      </c>
      <c r="B651" s="5" t="n">
        <f aca="false">IF($A651="","",IF(ISNUMBER(Base_Bruta!B651),Base_Bruta!B651,IF(MID(Base_Bruta!B651,5,1)="-",DATE(VALUE(LEFT(Base_Bruta!B651,4)),VALUE(MID(Base_Bruta!B651,6,2)),VALUE(RIGHT(Base_Bruta!B651,2))),DATE(VALUE(RIGHT(Base_Bruta!B651,4)),VALUE(MID(Base_Bruta!B651,4,2)),VALUE(LEFT(Base_Bruta!B651,2))))))</f>
        <v>46078</v>
      </c>
      <c r="C651" s="5" t="n">
        <f aca="false">IF($A651="","",IF(ISNUMBER(Base_Bruta!C651),Base_Bruta!C651,IF(MID(Base_Bruta!C651,5,1)="-",DATE(VALUE(LEFT(Base_Bruta!C651,4)),VALUE(MID(Base_Bruta!C651,6,2)),VALUE(RIGHT(Base_Bruta!C651,2))),DATE(VALUE(RIGHT(Base_Bruta!C651,4)),VALUE(MID(Base_Bruta!C651,4,2)),VALUE(LEFT(Base_Bruta!C651,2))))))</f>
        <v>46130</v>
      </c>
      <c r="D651" s="4" t="str">
        <f aca="false">IF($A651="","",TRIM(Base_Bruta!D651))</f>
        <v>Festival Sonora SP 2026</v>
      </c>
      <c r="E651" s="4" t="str">
        <f aca="false">IF($A651="","",_xlfn.XLOOKUP(LOWER(TRIM(Base_Bruta!E651)),DePara_Categoria!$A$2:$A$9,DePara_Categoria!$B$2:$B$9,"REVISAR"))</f>
        <v>Festival</v>
      </c>
      <c r="F651" s="4" t="str">
        <f aca="false">IF($A651="","",_xlfn.XLOOKUP(LOWER(TRIM(Base_Bruta!F651)),DePara_Cidade!$A$2:$A$29,DePara_Cidade!$B$2:$B$29,"REVISAR"))</f>
        <v>São Paulo</v>
      </c>
      <c r="G651" s="4" t="str">
        <f aca="false">IF($A651="","",TRIM(Base_Bruta!G651))</f>
        <v>VIP</v>
      </c>
      <c r="H651" s="4" t="n">
        <f aca="false">IF($A651="","",IF(ISNUMBER(Base_Bruta!H651),Base_Bruta!H651,IFERROR(_xlfn.NUMBERVALUE(TRIM(SUBSTITUTE(Base_Bruta!H651,"R$","")),",","."),0)))</f>
        <v>3</v>
      </c>
      <c r="I651" s="6" t="n">
        <f aca="false">IF($A651="","",IF(ISNUMBER(Base_Bruta!I651),Base_Bruta!I651,IFERROR(_xlfn.NUMBERVALUE(TRIM(SUBSTITUTE(Base_Bruta!I651,"R$","")),",","."),0)))</f>
        <v>1500</v>
      </c>
      <c r="J651" s="6" t="n">
        <f aca="false">IF($A651="","",H651*I651)</f>
        <v>4500</v>
      </c>
      <c r="K651" s="4" t="str">
        <f aca="false">IF($A651="","",TRIM(Base_Bruta!J651))</f>
        <v>Site</v>
      </c>
      <c r="L651" s="4" t="str">
        <f aca="false">IF($A651="","",TRIM(Base_Bruta!K651))</f>
        <v>C01410</v>
      </c>
      <c r="M651" s="4" t="str">
        <f aca="false">IF($A651="","",_xlfn.XLOOKUP(LOWER(TRIM(Base_Bruta!L651)),DePara_Cidade!$A$2:$A$29,DePara_Cidade!$B$2:$B$29,"REVISAR"))</f>
        <v>Goiânia</v>
      </c>
      <c r="N651" s="4" t="str">
        <f aca="false">IF($A651="","",UPPER(TRIM(Base_Bruta!M651)))</f>
        <v>GO</v>
      </c>
      <c r="O651" s="4" t="str">
        <f aca="false">IF($A651="","",_xlfn.XLOOKUP(LOWER(TRIM(Base_Bruta!N651)),DePara_Pais!$A$2:$A$9,DePara_Pais!$B$2:$B$9,"REVISAR"))</f>
        <v>Brasil</v>
      </c>
      <c r="P651" s="4" t="str">
        <f aca="false">IF($A651="","",IF(O651&lt;&gt;"Brasil","Turista Internacional",IF(M651=F651,"Local","Turista Nacional")))</f>
        <v>Turista Nacional</v>
      </c>
      <c r="Q651" s="7" t="n">
        <f aca="false">IF($A651="","",DATE(YEAR(B651),MONTH(B651),1))</f>
        <v>46054</v>
      </c>
      <c r="R651" s="4" t="str">
        <f aca="false">IF($A651="","",IF(COUNTIF($A$2:$A651,$A651)&gt;1,"Sim","Não"))</f>
        <v>Não</v>
      </c>
      <c r="S651" s="4" t="str">
        <f aca="false">IF(A651="","Descartar - Linha vazia",IF(R651="Sim","Descartar - Duplicado",IF(OR(H651&lt;=0,I651&lt;=0),"Descartar - Qtd/Valor inválido","OK")))</f>
        <v>OK</v>
      </c>
      <c r="T651" s="4" t="str">
        <f aca="false">Base_Bruta!P651</f>
        <v>vendas_SP.xlsx</v>
      </c>
    </row>
    <row r="652" customFormat="false" ht="15" hidden="false" customHeight="false" outlineLevel="0" collapsed="false">
      <c r="A652" s="4" t="str">
        <f aca="false">IF(Base_Bruta!A652="","",Base_Bruta!A652)</f>
        <v>SP-000342</v>
      </c>
      <c r="B652" s="5" t="n">
        <f aca="false">IF($A652="","",IF(ISNUMBER(Base_Bruta!B652),Base_Bruta!B652,IF(MID(Base_Bruta!B652,5,1)="-",DATE(VALUE(LEFT(Base_Bruta!B652,4)),VALUE(MID(Base_Bruta!B652,6,2)),VALUE(RIGHT(Base_Bruta!B652,2))),DATE(VALUE(RIGHT(Base_Bruta!B652,4)),VALUE(MID(Base_Bruta!B652,4,2)),VALUE(LEFT(Base_Bruta!B652,2))))))</f>
        <v>46080</v>
      </c>
      <c r="C652" s="5" t="n">
        <f aca="false">IF($A652="","",IF(ISNUMBER(Base_Bruta!C652),Base_Bruta!C652,IF(MID(Base_Bruta!C652,5,1)="-",DATE(VALUE(LEFT(Base_Bruta!C652,4)),VALUE(MID(Base_Bruta!C652,6,2)),VALUE(RIGHT(Base_Bruta!C652,2))),DATE(VALUE(RIGHT(Base_Bruta!C652,4)),VALUE(MID(Base_Bruta!C652,4,2)),VALUE(LEFT(Base_Bruta!C652,2))))))</f>
        <v>46130</v>
      </c>
      <c r="D652" s="4" t="str">
        <f aca="false">IF($A652="","",TRIM(Base_Bruta!D652))</f>
        <v>Festival Sonora SP 2026</v>
      </c>
      <c r="E652" s="4" t="str">
        <f aca="false">IF($A652="","",_xlfn.XLOOKUP(LOWER(TRIM(Base_Bruta!E652)),DePara_Categoria!$A$2:$A$9,DePara_Categoria!$B$2:$B$9,"REVISAR"))</f>
        <v>Festival</v>
      </c>
      <c r="F652" s="4" t="str">
        <f aca="false">IF($A652="","",_xlfn.XLOOKUP(LOWER(TRIM(Base_Bruta!F652)),DePara_Cidade!$A$2:$A$29,DePara_Cidade!$B$2:$B$29,"REVISAR"))</f>
        <v>São Paulo</v>
      </c>
      <c r="G652" s="4" t="str">
        <f aca="false">IF($A652="","",TRIM(Base_Bruta!G652))</f>
        <v>Meia</v>
      </c>
      <c r="H652" s="4" t="n">
        <f aca="false">IF($A652="","",IF(ISNUMBER(Base_Bruta!H652),Base_Bruta!H652,IFERROR(_xlfn.NUMBERVALUE(TRIM(SUBSTITUTE(Base_Bruta!H652,"R$","")),",","."),0)))</f>
        <v>1</v>
      </c>
      <c r="I652" s="6" t="n">
        <f aca="false">IF($A652="","",IF(ISNUMBER(Base_Bruta!I652),Base_Bruta!I652,IFERROR(_xlfn.NUMBERVALUE(TRIM(SUBSTITUTE(Base_Bruta!I652,"R$","")),",","."),0)))</f>
        <v>545</v>
      </c>
      <c r="J652" s="6" t="n">
        <f aca="false">IF($A652="","",H652*I652)</f>
        <v>545</v>
      </c>
      <c r="K652" s="4" t="str">
        <f aca="false">IF($A652="","",TRIM(Base_Bruta!J652))</f>
        <v>Site</v>
      </c>
      <c r="L652" s="4" t="str">
        <f aca="false">IF($A652="","",TRIM(Base_Bruta!K652))</f>
        <v>C02336</v>
      </c>
      <c r="M652" s="4" t="str">
        <f aca="false">IF($A652="","",_xlfn.XLOOKUP(LOWER(TRIM(Base_Bruta!L652)),DePara_Cidade!$A$2:$A$29,DePara_Cidade!$B$2:$B$29,"REVISAR"))</f>
        <v>São Paulo</v>
      </c>
      <c r="N652" s="4" t="str">
        <f aca="false">IF($A652="","",UPPER(TRIM(Base_Bruta!M652)))</f>
        <v>SP</v>
      </c>
      <c r="O652" s="4" t="str">
        <f aca="false">IF($A652="","",_xlfn.XLOOKUP(LOWER(TRIM(Base_Bruta!N652)),DePara_Pais!$A$2:$A$9,DePara_Pais!$B$2:$B$9,"REVISAR"))</f>
        <v>Brasil</v>
      </c>
      <c r="P652" s="4" t="str">
        <f aca="false">IF($A652="","",IF(O652&lt;&gt;"Brasil","Turista Internacional",IF(M652=F652,"Local","Turista Nacional")))</f>
        <v>Local</v>
      </c>
      <c r="Q652" s="7" t="n">
        <f aca="false">IF($A652="","",DATE(YEAR(B652),MONTH(B652),1))</f>
        <v>46054</v>
      </c>
      <c r="R652" s="4" t="str">
        <f aca="false">IF($A652="","",IF(COUNTIF($A$2:$A652,$A652)&gt;1,"Sim","Não"))</f>
        <v>Não</v>
      </c>
      <c r="S652" s="4" t="str">
        <f aca="false">IF(A652="","Descartar - Linha vazia",IF(R652="Sim","Descartar - Duplicado",IF(OR(H652&lt;=0,I652&lt;=0),"Descartar - Qtd/Valor inválido","OK")))</f>
        <v>OK</v>
      </c>
      <c r="T652" s="4" t="str">
        <f aca="false">Base_Bruta!P652</f>
        <v>vendas_SP.xlsx</v>
      </c>
    </row>
    <row r="653" customFormat="false" ht="15" hidden="false" customHeight="false" outlineLevel="0" collapsed="false">
      <c r="A653" s="4" t="str">
        <f aca="false">IF(Base_Bruta!A653="","",Base_Bruta!A653)</f>
        <v/>
      </c>
      <c r="B653" s="5" t="str">
        <f aca="false">IF($A653="","",IF(ISNUMBER(Base_Bruta!B653),Base_Bruta!B653,IF(MID(Base_Bruta!B653,5,1)="-",DATE(VALUE(LEFT(Base_Bruta!B653,4)),VALUE(MID(Base_Bruta!B653,6,2)),VALUE(RIGHT(Base_Bruta!B653,2))),DATE(VALUE(RIGHT(Base_Bruta!B653,4)),VALUE(MID(Base_Bruta!B653,4,2)),VALUE(LEFT(Base_Bruta!B653,2))))))</f>
        <v/>
      </c>
      <c r="C653" s="5" t="str">
        <f aca="false">IF($A653="","",IF(ISNUMBER(Base_Bruta!C653),Base_Bruta!C653,IF(MID(Base_Bruta!C653,5,1)="-",DATE(VALUE(LEFT(Base_Bruta!C653,4)),VALUE(MID(Base_Bruta!C653,6,2)),VALUE(RIGHT(Base_Bruta!C653,2))),DATE(VALUE(RIGHT(Base_Bruta!C653,4)),VALUE(MID(Base_Bruta!C653,4,2)),VALUE(LEFT(Base_Bruta!C653,2))))))</f>
        <v/>
      </c>
      <c r="D653" s="4" t="str">
        <f aca="false">IF($A653="","",TRIM(Base_Bruta!D653))</f>
        <v/>
      </c>
      <c r="E653" s="4" t="str">
        <f aca="false">IF($A653="","",_xlfn.XLOOKUP(LOWER(TRIM(Base_Bruta!E653)),DePara_Categoria!$A$2:$A$9,DePara_Categoria!$B$2:$B$9,"REVISAR"))</f>
        <v/>
      </c>
      <c r="F653" s="4" t="str">
        <f aca="false">IF($A653="","",_xlfn.XLOOKUP(LOWER(TRIM(Base_Bruta!F653)),DePara_Cidade!$A$2:$A$29,DePara_Cidade!$B$2:$B$29,"REVISAR"))</f>
        <v/>
      </c>
      <c r="G653" s="4" t="str">
        <f aca="false">IF($A653="","",TRIM(Base_Bruta!G653))</f>
        <v/>
      </c>
      <c r="H653" s="4" t="str">
        <f aca="false">IF($A653="","",IF(ISNUMBER(Base_Bruta!H653),Base_Bruta!H653,IFERROR(_xlfn.NUMBERVALUE(TRIM(SUBSTITUTE(Base_Bruta!H653,"R$","")),",","."),0)))</f>
        <v/>
      </c>
      <c r="I653" s="6" t="str">
        <f aca="false">IF($A653="","",IF(ISNUMBER(Base_Bruta!I653),Base_Bruta!I653,IFERROR(_xlfn.NUMBERVALUE(TRIM(SUBSTITUTE(Base_Bruta!I653,"R$","")),",","."),0)))</f>
        <v/>
      </c>
      <c r="J653" s="6" t="str">
        <f aca="false">IF($A653="","",H653*I653)</f>
        <v/>
      </c>
      <c r="K653" s="4" t="str">
        <f aca="false">IF($A653="","",TRIM(Base_Bruta!J653))</f>
        <v/>
      </c>
      <c r="L653" s="4" t="str">
        <f aca="false">IF($A653="","",TRIM(Base_Bruta!K653))</f>
        <v/>
      </c>
      <c r="M653" s="4" t="str">
        <f aca="false">IF($A653="","",_xlfn.XLOOKUP(LOWER(TRIM(Base_Bruta!L653)),DePara_Cidade!$A$2:$A$29,DePara_Cidade!$B$2:$B$29,"REVISAR"))</f>
        <v/>
      </c>
      <c r="N653" s="4" t="str">
        <f aca="false">IF($A653="","",UPPER(TRIM(Base_Bruta!M653)))</f>
        <v/>
      </c>
      <c r="O653" s="4" t="str">
        <f aca="false">IF($A653="","",_xlfn.XLOOKUP(LOWER(TRIM(Base_Bruta!N653)),DePara_Pais!$A$2:$A$9,DePara_Pais!$B$2:$B$9,"REVISAR"))</f>
        <v/>
      </c>
      <c r="P653" s="4" t="str">
        <f aca="false">IF($A653="","",IF(O653&lt;&gt;"Brasil","Turista Internacional",IF(M653=F653,"Local","Turista Nacional")))</f>
        <v/>
      </c>
      <c r="Q653" s="7" t="str">
        <f aca="false">IF($A653="","",DATE(YEAR(B653),MONTH(B653),1))</f>
        <v/>
      </c>
      <c r="R653" s="4" t="str">
        <f aca="false">IF($A653="","",IF(COUNTIF($A$2:$A653,$A653)&gt;1,"Sim","Não"))</f>
        <v/>
      </c>
      <c r="S653" s="4" t="str">
        <f aca="false">IF(A653="","Descartar - Linha vazia",IF(R653="Sim","Descartar - Duplicado",IF(OR(H653&lt;=0,I653&lt;=0),"Descartar - Qtd/Valor inválido","OK")))</f>
        <v>Descartar - Linha vazia</v>
      </c>
      <c r="T653" s="4" t="str">
        <f aca="false">Base_Bruta!P653</f>
        <v>vendas_SP.xlsx</v>
      </c>
    </row>
    <row r="654" customFormat="false" ht="15" hidden="false" customHeight="false" outlineLevel="0" collapsed="false">
      <c r="A654" s="4" t="str">
        <f aca="false">IF(Base_Bruta!A654="","",Base_Bruta!A654)</f>
        <v>SP-000360</v>
      </c>
      <c r="B654" s="5" t="n">
        <f aca="false">IF($A654="","",IF(ISNUMBER(Base_Bruta!B654),Base_Bruta!B654,IF(MID(Base_Bruta!B654,5,1)="-",DATE(VALUE(LEFT(Base_Bruta!B654,4)),VALUE(MID(Base_Bruta!B654,6,2)),VALUE(RIGHT(Base_Bruta!B654,2))),DATE(VALUE(RIGHT(Base_Bruta!B654,4)),VALUE(MID(Base_Bruta!B654,4,2)),VALUE(LEFT(Base_Bruta!B654,2))))))</f>
        <v>46080</v>
      </c>
      <c r="C654" s="5" t="n">
        <f aca="false">IF($A654="","",IF(ISNUMBER(Base_Bruta!C654),Base_Bruta!C654,IF(MID(Base_Bruta!C654,5,1)="-",DATE(VALUE(LEFT(Base_Bruta!C654,4)),VALUE(MID(Base_Bruta!C654,6,2)),VALUE(RIGHT(Base_Bruta!C654,2))),DATE(VALUE(RIGHT(Base_Bruta!C654,4)),VALUE(MID(Base_Bruta!C654,4,2)),VALUE(LEFT(Base_Bruta!C654,2))))))</f>
        <v>46130</v>
      </c>
      <c r="D654" s="4" t="str">
        <f aca="false">IF($A654="","",TRIM(Base_Bruta!D654))</f>
        <v>Festival Sonora SP 2026</v>
      </c>
      <c r="E654" s="4" t="str">
        <f aca="false">IF($A654="","",_xlfn.XLOOKUP(LOWER(TRIM(Base_Bruta!E654)),DePara_Categoria!$A$2:$A$9,DePara_Categoria!$B$2:$B$9,"REVISAR"))</f>
        <v>Festival</v>
      </c>
      <c r="F654" s="4" t="str">
        <f aca="false">IF($A654="","",_xlfn.XLOOKUP(LOWER(TRIM(Base_Bruta!F654)),DePara_Cidade!$A$2:$A$29,DePara_Cidade!$B$2:$B$29,"REVISAR"))</f>
        <v>São Paulo</v>
      </c>
      <c r="G654" s="4" t="str">
        <f aca="false">IF($A654="","",TRIM(Base_Bruta!G654))</f>
        <v>Inteira</v>
      </c>
      <c r="H654" s="4" t="n">
        <f aca="false">IF($A654="","",IF(ISNUMBER(Base_Bruta!H654),Base_Bruta!H654,IFERROR(_xlfn.NUMBERVALUE(TRIM(SUBSTITUTE(Base_Bruta!H654,"R$","")),",","."),0)))</f>
        <v>2</v>
      </c>
      <c r="I654" s="6" t="n">
        <f aca="false">IF($A654="","",IF(ISNUMBER(Base_Bruta!I654),Base_Bruta!I654,IFERROR(_xlfn.NUMBERVALUE(TRIM(SUBSTITUTE(Base_Bruta!I654,"R$","")),",","."),0)))</f>
        <v>895</v>
      </c>
      <c r="J654" s="6" t="n">
        <f aca="false">IF($A654="","",H654*I654)</f>
        <v>1790</v>
      </c>
      <c r="K654" s="4" t="str">
        <f aca="false">IF($A654="","",TRIM(Base_Bruta!J654))</f>
        <v>App</v>
      </c>
      <c r="L654" s="4" t="str">
        <f aca="false">IF($A654="","",TRIM(Base_Bruta!K654))</f>
        <v>C02452</v>
      </c>
      <c r="M654" s="4" t="str">
        <f aca="false">IF($A654="","",_xlfn.XLOOKUP(LOWER(TRIM(Base_Bruta!L654)),DePara_Cidade!$A$2:$A$29,DePara_Cidade!$B$2:$B$29,"REVISAR"))</f>
        <v>Campinas</v>
      </c>
      <c r="N654" s="4" t="str">
        <f aca="false">IF($A654="","",UPPER(TRIM(Base_Bruta!M654)))</f>
        <v>SP</v>
      </c>
      <c r="O654" s="4" t="str">
        <f aca="false">IF($A654="","",_xlfn.XLOOKUP(LOWER(TRIM(Base_Bruta!N654)),DePara_Pais!$A$2:$A$9,DePara_Pais!$B$2:$B$9,"REVISAR"))</f>
        <v>Brasil</v>
      </c>
      <c r="P654" s="4" t="str">
        <f aca="false">IF($A654="","",IF(O654&lt;&gt;"Brasil","Turista Internacional",IF(M654=F654,"Local","Turista Nacional")))</f>
        <v>Turista Nacional</v>
      </c>
      <c r="Q654" s="7" t="n">
        <f aca="false">IF($A654="","",DATE(YEAR(B654),MONTH(B654),1))</f>
        <v>46054</v>
      </c>
      <c r="R654" s="4" t="str">
        <f aca="false">IF($A654="","",IF(COUNTIF($A$2:$A654,$A654)&gt;1,"Sim","Não"))</f>
        <v>Não</v>
      </c>
      <c r="S654" s="4" t="str">
        <f aca="false">IF(A654="","Descartar - Linha vazia",IF(R654="Sim","Descartar - Duplicado",IF(OR(H654&lt;=0,I654&lt;=0),"Descartar - Qtd/Valor inválido","OK")))</f>
        <v>OK</v>
      </c>
      <c r="T654" s="4" t="str">
        <f aca="false">Base_Bruta!P654</f>
        <v>vendas_SP.xlsx</v>
      </c>
    </row>
    <row r="655" customFormat="false" ht="15" hidden="false" customHeight="false" outlineLevel="0" collapsed="false">
      <c r="A655" s="4" t="str">
        <f aca="false">IF(Base_Bruta!A655="","",Base_Bruta!A655)</f>
        <v>SP-000236</v>
      </c>
      <c r="B655" s="5" t="n">
        <f aca="false">IF($A655="","",IF(ISNUMBER(Base_Bruta!B655),Base_Bruta!B655,IF(MID(Base_Bruta!B655,5,1)="-",DATE(VALUE(LEFT(Base_Bruta!B655,4)),VALUE(MID(Base_Bruta!B655,6,2)),VALUE(RIGHT(Base_Bruta!B655,2))),DATE(VALUE(RIGHT(Base_Bruta!B655,4)),VALUE(MID(Base_Bruta!B655,4,2)),VALUE(LEFT(Base_Bruta!B655,2))))))</f>
        <v>46081</v>
      </c>
      <c r="C655" s="5" t="n">
        <f aca="false">IF($A655="","",IF(ISNUMBER(Base_Bruta!C655),Base_Bruta!C655,IF(MID(Base_Bruta!C655,5,1)="-",DATE(VALUE(LEFT(Base_Bruta!C655,4)),VALUE(MID(Base_Bruta!C655,6,2)),VALUE(RIGHT(Base_Bruta!C655,2))),DATE(VALUE(RIGHT(Base_Bruta!C655,4)),VALUE(MID(Base_Bruta!C655,4,2)),VALUE(LEFT(Base_Bruta!C655,2))))))</f>
        <v>46130</v>
      </c>
      <c r="D655" s="4" t="str">
        <f aca="false">IF($A655="","",TRIM(Base_Bruta!D655))</f>
        <v>Festival Sonora SP 2026</v>
      </c>
      <c r="E655" s="4" t="str">
        <f aca="false">IF($A655="","",_xlfn.XLOOKUP(LOWER(TRIM(Base_Bruta!E655)),DePara_Categoria!$A$2:$A$9,DePara_Categoria!$B$2:$B$9,"REVISAR"))</f>
        <v>Festival</v>
      </c>
      <c r="F655" s="4" t="str">
        <f aca="false">IF($A655="","",_xlfn.XLOOKUP(LOWER(TRIM(Base_Bruta!F655)),DePara_Cidade!$A$2:$A$29,DePara_Cidade!$B$2:$B$29,"REVISAR"))</f>
        <v>São Paulo</v>
      </c>
      <c r="G655" s="4" t="str">
        <f aca="false">IF($A655="","",TRIM(Base_Bruta!G655))</f>
        <v>Inteira</v>
      </c>
      <c r="H655" s="4" t="n">
        <f aca="false">IF($A655="","",IF(ISNUMBER(Base_Bruta!H655),Base_Bruta!H655,IFERROR(_xlfn.NUMBERVALUE(TRIM(SUBSTITUTE(Base_Bruta!H655,"R$","")),",","."),0)))</f>
        <v>1</v>
      </c>
      <c r="I655" s="6" t="n">
        <f aca="false">IF($A655="","",IF(ISNUMBER(Base_Bruta!I655),Base_Bruta!I655,IFERROR(_xlfn.NUMBERVALUE(TRIM(SUBSTITUTE(Base_Bruta!I655,"R$","")),",","."),0)))</f>
        <v>900</v>
      </c>
      <c r="J655" s="6" t="n">
        <f aca="false">IF($A655="","",H655*I655)</f>
        <v>900</v>
      </c>
      <c r="K655" s="4" t="str">
        <f aca="false">IF($A655="","",TRIM(Base_Bruta!J655))</f>
        <v>Parceiro</v>
      </c>
      <c r="L655" s="4" t="str">
        <f aca="false">IF($A655="","",TRIM(Base_Bruta!K655))</f>
        <v>C00233</v>
      </c>
      <c r="M655" s="4" t="str">
        <f aca="false">IF($A655="","",_xlfn.XLOOKUP(LOWER(TRIM(Base_Bruta!L655)),DePara_Cidade!$A$2:$A$29,DePara_Cidade!$B$2:$B$29,"REVISAR"))</f>
        <v>São Paulo</v>
      </c>
      <c r="N655" s="4" t="str">
        <f aca="false">IF($A655="","",UPPER(TRIM(Base_Bruta!M655)))</f>
        <v>SP</v>
      </c>
      <c r="O655" s="4" t="str">
        <f aca="false">IF($A655="","",_xlfn.XLOOKUP(LOWER(TRIM(Base_Bruta!N655)),DePara_Pais!$A$2:$A$9,DePara_Pais!$B$2:$B$9,"REVISAR"))</f>
        <v>Brasil</v>
      </c>
      <c r="P655" s="4" t="str">
        <f aca="false">IF($A655="","",IF(O655&lt;&gt;"Brasil","Turista Internacional",IF(M655=F655,"Local","Turista Nacional")))</f>
        <v>Local</v>
      </c>
      <c r="Q655" s="7" t="n">
        <f aca="false">IF($A655="","",DATE(YEAR(B655),MONTH(B655),1))</f>
        <v>46054</v>
      </c>
      <c r="R655" s="4" t="str">
        <f aca="false">IF($A655="","",IF(COUNTIF($A$2:$A655,$A655)&gt;1,"Sim","Não"))</f>
        <v>Não</v>
      </c>
      <c r="S655" s="4" t="str">
        <f aca="false">IF(A655="","Descartar - Linha vazia",IF(R655="Sim","Descartar - Duplicado",IF(OR(H655&lt;=0,I655&lt;=0),"Descartar - Qtd/Valor inválido","OK")))</f>
        <v>OK</v>
      </c>
      <c r="T655" s="4" t="str">
        <f aca="false">Base_Bruta!P655</f>
        <v>vendas_SP.xlsx</v>
      </c>
    </row>
    <row r="656" customFormat="false" ht="15" hidden="false" customHeight="false" outlineLevel="0" collapsed="false">
      <c r="A656" s="4" t="str">
        <f aca="false">IF(Base_Bruta!A656="","",Base_Bruta!A656)</f>
        <v>SP-000345</v>
      </c>
      <c r="B656" s="5" t="n">
        <f aca="false">IF($A656="","",IF(ISNUMBER(Base_Bruta!B656),Base_Bruta!B656,IF(MID(Base_Bruta!B656,5,1)="-",DATE(VALUE(LEFT(Base_Bruta!B656,4)),VALUE(MID(Base_Bruta!B656,6,2)),VALUE(RIGHT(Base_Bruta!B656,2))),DATE(VALUE(RIGHT(Base_Bruta!B656,4)),VALUE(MID(Base_Bruta!B656,4,2)),VALUE(LEFT(Base_Bruta!B656,2))))))</f>
        <v>46084</v>
      </c>
      <c r="C656" s="5" t="n">
        <f aca="false">IF($A656="","",IF(ISNUMBER(Base_Bruta!C656),Base_Bruta!C656,IF(MID(Base_Bruta!C656,5,1)="-",DATE(VALUE(LEFT(Base_Bruta!C656,4)),VALUE(MID(Base_Bruta!C656,6,2)),VALUE(RIGHT(Base_Bruta!C656,2))),DATE(VALUE(RIGHT(Base_Bruta!C656,4)),VALUE(MID(Base_Bruta!C656,4,2)),VALUE(LEFT(Base_Bruta!C656,2))))))</f>
        <v>46130</v>
      </c>
      <c r="D656" s="4" t="str">
        <f aca="false">IF($A656="","",TRIM(Base_Bruta!D656))</f>
        <v>Festival Sonora SP 2026</v>
      </c>
      <c r="E656" s="4" t="str">
        <f aca="false">IF($A656="","",_xlfn.XLOOKUP(LOWER(TRIM(Base_Bruta!E656)),DePara_Categoria!$A$2:$A$9,DePara_Categoria!$B$2:$B$9,"REVISAR"))</f>
        <v>Festival</v>
      </c>
      <c r="F656" s="4" t="str">
        <f aca="false">IF($A656="","",_xlfn.XLOOKUP(LOWER(TRIM(Base_Bruta!F656)),DePara_Cidade!$A$2:$A$29,DePara_Cidade!$B$2:$B$29,"REVISAR"))</f>
        <v>São Paulo</v>
      </c>
      <c r="G656" s="4" t="str">
        <f aca="false">IF($A656="","",TRIM(Base_Bruta!G656))</f>
        <v>Inteira</v>
      </c>
      <c r="H656" s="4" t="n">
        <f aca="false">IF($A656="","",IF(ISNUMBER(Base_Bruta!H656),Base_Bruta!H656,IFERROR(_xlfn.NUMBERVALUE(TRIM(SUBSTITUTE(Base_Bruta!H656,"R$","")),",","."),0)))</f>
        <v>2</v>
      </c>
      <c r="I656" s="6" t="n">
        <f aca="false">IF($A656="","",IF(ISNUMBER(Base_Bruta!I656),Base_Bruta!I656,IFERROR(_xlfn.NUMBERVALUE(TRIM(SUBSTITUTE(Base_Bruta!I656,"R$","")),",","."),0)))</f>
        <v>965</v>
      </c>
      <c r="J656" s="6" t="n">
        <f aca="false">IF($A656="","",H656*I656)</f>
        <v>1930</v>
      </c>
      <c r="K656" s="4" t="str">
        <f aca="false">IF($A656="","",TRIM(Base_Bruta!J656))</f>
        <v>Site</v>
      </c>
      <c r="L656" s="4" t="str">
        <f aca="false">IF($A656="","",TRIM(Base_Bruta!K656))</f>
        <v>C00334</v>
      </c>
      <c r="M656" s="4" t="str">
        <f aca="false">IF($A656="","",_xlfn.XLOOKUP(LOWER(TRIM(Base_Bruta!L656)),DePara_Cidade!$A$2:$A$29,DePara_Cidade!$B$2:$B$29,"REVISAR"))</f>
        <v>São Paulo</v>
      </c>
      <c r="N656" s="4" t="str">
        <f aca="false">IF($A656="","",UPPER(TRIM(Base_Bruta!M656)))</f>
        <v>SP</v>
      </c>
      <c r="O656" s="4" t="str">
        <f aca="false">IF($A656="","",_xlfn.XLOOKUP(LOWER(TRIM(Base_Bruta!N656)),DePara_Pais!$A$2:$A$9,DePara_Pais!$B$2:$B$9,"REVISAR"))</f>
        <v>Brasil</v>
      </c>
      <c r="P656" s="4" t="str">
        <f aca="false">IF($A656="","",IF(O656&lt;&gt;"Brasil","Turista Internacional",IF(M656=F656,"Local","Turista Nacional")))</f>
        <v>Local</v>
      </c>
      <c r="Q656" s="7" t="n">
        <f aca="false">IF($A656="","",DATE(YEAR(B656),MONTH(B656),1))</f>
        <v>46082</v>
      </c>
      <c r="R656" s="4" t="str">
        <f aca="false">IF($A656="","",IF(COUNTIF($A$2:$A656,$A656)&gt;1,"Sim","Não"))</f>
        <v>Não</v>
      </c>
      <c r="S656" s="4" t="str">
        <f aca="false">IF(A656="","Descartar - Linha vazia",IF(R656="Sim","Descartar - Duplicado",IF(OR(H656&lt;=0,I656&lt;=0),"Descartar - Qtd/Valor inválido","OK")))</f>
        <v>OK</v>
      </c>
      <c r="T656" s="4" t="str">
        <f aca="false">Base_Bruta!P656</f>
        <v>vendas_SP.xlsx</v>
      </c>
    </row>
    <row r="657" customFormat="false" ht="15" hidden="false" customHeight="false" outlineLevel="0" collapsed="false">
      <c r="A657" s="4" t="str">
        <f aca="false">IF(Base_Bruta!A657="","",Base_Bruta!A657)</f>
        <v>SP-000375</v>
      </c>
      <c r="B657" s="5" t="n">
        <f aca="false">IF($A657="","",IF(ISNUMBER(Base_Bruta!B657),Base_Bruta!B657,IF(MID(Base_Bruta!B657,5,1)="-",DATE(VALUE(LEFT(Base_Bruta!B657,4)),VALUE(MID(Base_Bruta!B657,6,2)),VALUE(RIGHT(Base_Bruta!B657,2))),DATE(VALUE(RIGHT(Base_Bruta!B657,4)),VALUE(MID(Base_Bruta!B657,4,2)),VALUE(LEFT(Base_Bruta!B657,2))))))</f>
        <v>46084</v>
      </c>
      <c r="C657" s="5" t="n">
        <f aca="false">IF($A657="","",IF(ISNUMBER(Base_Bruta!C657),Base_Bruta!C657,IF(MID(Base_Bruta!C657,5,1)="-",DATE(VALUE(LEFT(Base_Bruta!C657,4)),VALUE(MID(Base_Bruta!C657,6,2)),VALUE(RIGHT(Base_Bruta!C657,2))),DATE(VALUE(RIGHT(Base_Bruta!C657,4)),VALUE(MID(Base_Bruta!C657,4,2)),VALUE(LEFT(Base_Bruta!C657,2))))))</f>
        <v>46130</v>
      </c>
      <c r="D657" s="4" t="str">
        <f aca="false">IF($A657="","",TRIM(Base_Bruta!D657))</f>
        <v>Festival Sonora SP 2026</v>
      </c>
      <c r="E657" s="4" t="str">
        <f aca="false">IF($A657="","",_xlfn.XLOOKUP(LOWER(TRIM(Base_Bruta!E657)),DePara_Categoria!$A$2:$A$9,DePara_Categoria!$B$2:$B$9,"REVISAR"))</f>
        <v>Festival</v>
      </c>
      <c r="F657" s="4" t="str">
        <f aca="false">IF($A657="","",_xlfn.XLOOKUP(LOWER(TRIM(Base_Bruta!F657)),DePara_Cidade!$A$2:$A$29,DePara_Cidade!$B$2:$B$29,"REVISAR"))</f>
        <v>São Paulo</v>
      </c>
      <c r="G657" s="4" t="str">
        <f aca="false">IF($A657="","",TRIM(Base_Bruta!G657))</f>
        <v>Inteira</v>
      </c>
      <c r="H657" s="4" t="n">
        <f aca="false">IF($A657="","",IF(ISNUMBER(Base_Bruta!H657),Base_Bruta!H657,IFERROR(_xlfn.NUMBERVALUE(TRIM(SUBSTITUTE(Base_Bruta!H657,"R$","")),",","."),0)))</f>
        <v>2</v>
      </c>
      <c r="I657" s="6" t="n">
        <f aca="false">IF($A657="","",IF(ISNUMBER(Base_Bruta!I657),Base_Bruta!I657,IFERROR(_xlfn.NUMBERVALUE(TRIM(SUBSTITUTE(Base_Bruta!I657,"R$","")),",","."),0)))</f>
        <v>820</v>
      </c>
      <c r="J657" s="6" t="n">
        <f aca="false">IF($A657="","",H657*I657)</f>
        <v>1640</v>
      </c>
      <c r="K657" s="4" t="str">
        <f aca="false">IF($A657="","",TRIM(Base_Bruta!J657))</f>
        <v>Site</v>
      </c>
      <c r="L657" s="4" t="str">
        <f aca="false">IF($A657="","",TRIM(Base_Bruta!K657))</f>
        <v>C01445</v>
      </c>
      <c r="M657" s="4" t="str">
        <f aca="false">IF($A657="","",_xlfn.XLOOKUP(LOWER(TRIM(Base_Bruta!L657)),DePara_Cidade!$A$2:$A$29,DePara_Cidade!$B$2:$B$29,"REVISAR"))</f>
        <v>Santiago</v>
      </c>
      <c r="N657" s="4" t="str">
        <f aca="false">IF($A657="","",UPPER(TRIM(Base_Bruta!M657)))</f>
        <v>EX</v>
      </c>
      <c r="O657" s="4" t="str">
        <f aca="false">IF($A657="","",_xlfn.XLOOKUP(LOWER(TRIM(Base_Bruta!N657)),DePara_Pais!$A$2:$A$9,DePara_Pais!$B$2:$B$9,"REVISAR"))</f>
        <v>Chile</v>
      </c>
      <c r="P657" s="4" t="str">
        <f aca="false">IF($A657="","",IF(O657&lt;&gt;"Brasil","Turista Internacional",IF(M657=F657,"Local","Turista Nacional")))</f>
        <v>Turista Internacional</v>
      </c>
      <c r="Q657" s="7" t="n">
        <f aca="false">IF($A657="","",DATE(YEAR(B657),MONTH(B657),1))</f>
        <v>46082</v>
      </c>
      <c r="R657" s="4" t="str">
        <f aca="false">IF($A657="","",IF(COUNTIF($A$2:$A657,$A657)&gt;1,"Sim","Não"))</f>
        <v>Não</v>
      </c>
      <c r="S657" s="4" t="str">
        <f aca="false">IF(A657="","Descartar - Linha vazia",IF(R657="Sim","Descartar - Duplicado",IF(OR(H657&lt;=0,I657&lt;=0),"Descartar - Qtd/Valor inválido","OK")))</f>
        <v>OK</v>
      </c>
      <c r="T657" s="4" t="str">
        <f aca="false">Base_Bruta!P657</f>
        <v>vendas_SP.xlsx</v>
      </c>
    </row>
    <row r="658" customFormat="false" ht="15" hidden="false" customHeight="false" outlineLevel="0" collapsed="false">
      <c r="A658" s="4" t="str">
        <f aca="false">IF(Base_Bruta!A658="","",Base_Bruta!A658)</f>
        <v>SP-000380</v>
      </c>
      <c r="B658" s="5" t="n">
        <f aca="false">IF($A658="","",IF(ISNUMBER(Base_Bruta!B658),Base_Bruta!B658,IF(MID(Base_Bruta!B658,5,1)="-",DATE(VALUE(LEFT(Base_Bruta!B658,4)),VALUE(MID(Base_Bruta!B658,6,2)),VALUE(RIGHT(Base_Bruta!B658,2))),DATE(VALUE(RIGHT(Base_Bruta!B658,4)),VALUE(MID(Base_Bruta!B658,4,2)),VALUE(LEFT(Base_Bruta!B658,2))))))</f>
        <v>46084</v>
      </c>
      <c r="C658" s="5" t="n">
        <f aca="false">IF($A658="","",IF(ISNUMBER(Base_Bruta!C658),Base_Bruta!C658,IF(MID(Base_Bruta!C658,5,1)="-",DATE(VALUE(LEFT(Base_Bruta!C658,4)),VALUE(MID(Base_Bruta!C658,6,2)),VALUE(RIGHT(Base_Bruta!C658,2))),DATE(VALUE(RIGHT(Base_Bruta!C658,4)),VALUE(MID(Base_Bruta!C658,4,2)),VALUE(LEFT(Base_Bruta!C658,2))))))</f>
        <v>46130</v>
      </c>
      <c r="D658" s="4" t="str">
        <f aca="false">IF($A658="","",TRIM(Base_Bruta!D658))</f>
        <v>Festival Sonora SP 2026</v>
      </c>
      <c r="E658" s="4" t="str">
        <f aca="false">IF($A658="","",_xlfn.XLOOKUP(LOWER(TRIM(Base_Bruta!E658)),DePara_Categoria!$A$2:$A$9,DePara_Categoria!$B$2:$B$9,"REVISAR"))</f>
        <v>Festival</v>
      </c>
      <c r="F658" s="4" t="str">
        <f aca="false">IF($A658="","",_xlfn.XLOOKUP(LOWER(TRIM(Base_Bruta!F658)),DePara_Cidade!$A$2:$A$29,DePara_Cidade!$B$2:$B$29,"REVISAR"))</f>
        <v>São Paulo</v>
      </c>
      <c r="G658" s="4" t="str">
        <f aca="false">IF($A658="","",TRIM(Base_Bruta!G658))</f>
        <v>Inteira</v>
      </c>
      <c r="H658" s="4" t="n">
        <f aca="false">IF($A658="","",IF(ISNUMBER(Base_Bruta!H658),Base_Bruta!H658,IFERROR(_xlfn.NUMBERVALUE(TRIM(SUBSTITUTE(Base_Bruta!H658,"R$","")),",","."),0)))</f>
        <v>1</v>
      </c>
      <c r="I658" s="6" t="n">
        <f aca="false">IF($A658="","",IF(ISNUMBER(Base_Bruta!I658),Base_Bruta!I658,IFERROR(_xlfn.NUMBERVALUE(TRIM(SUBSTITUTE(Base_Bruta!I658,"R$","")),",","."),0)))</f>
        <v>1010</v>
      </c>
      <c r="J658" s="6" t="n">
        <f aca="false">IF($A658="","",H658*I658)</f>
        <v>1010</v>
      </c>
      <c r="K658" s="4" t="str">
        <f aca="false">IF($A658="","",TRIM(Base_Bruta!J658))</f>
        <v>Site</v>
      </c>
      <c r="L658" s="4" t="str">
        <f aca="false">IF($A658="","",TRIM(Base_Bruta!K658))</f>
        <v>C02072</v>
      </c>
      <c r="M658" s="4" t="str">
        <f aca="false">IF($A658="","",_xlfn.XLOOKUP(LOWER(TRIM(Base_Bruta!L658)),DePara_Cidade!$A$2:$A$29,DePara_Cidade!$B$2:$B$29,"REVISAR"))</f>
        <v>Santos</v>
      </c>
      <c r="N658" s="4" t="str">
        <f aca="false">IF($A658="","",UPPER(TRIM(Base_Bruta!M658)))</f>
        <v>SP</v>
      </c>
      <c r="O658" s="4" t="str">
        <f aca="false">IF($A658="","",_xlfn.XLOOKUP(LOWER(TRIM(Base_Bruta!N658)),DePara_Pais!$A$2:$A$9,DePara_Pais!$B$2:$B$9,"REVISAR"))</f>
        <v>Brasil</v>
      </c>
      <c r="P658" s="4" t="str">
        <f aca="false">IF($A658="","",IF(O658&lt;&gt;"Brasil","Turista Internacional",IF(M658=F658,"Local","Turista Nacional")))</f>
        <v>Turista Nacional</v>
      </c>
      <c r="Q658" s="7" t="n">
        <f aca="false">IF($A658="","",DATE(YEAR(B658),MONTH(B658),1))</f>
        <v>46082</v>
      </c>
      <c r="R658" s="4" t="str">
        <f aca="false">IF($A658="","",IF(COUNTIF($A$2:$A658,$A658)&gt;1,"Sim","Não"))</f>
        <v>Não</v>
      </c>
      <c r="S658" s="4" t="str">
        <f aca="false">IF(A658="","Descartar - Linha vazia",IF(R658="Sim","Descartar - Duplicado",IF(OR(H658&lt;=0,I658&lt;=0),"Descartar - Qtd/Valor inválido","OK")))</f>
        <v>OK</v>
      </c>
      <c r="T658" s="4" t="str">
        <f aca="false">Base_Bruta!P658</f>
        <v>vendas_SP.xlsx</v>
      </c>
    </row>
    <row r="659" customFormat="false" ht="15" hidden="false" customHeight="false" outlineLevel="0" collapsed="false">
      <c r="A659" s="4" t="str">
        <f aca="false">IF(Base_Bruta!A659="","",Base_Bruta!A659)</f>
        <v>SP-000439</v>
      </c>
      <c r="B659" s="5" t="n">
        <f aca="false">IF($A659="","",IF(ISNUMBER(Base_Bruta!B659),Base_Bruta!B659,IF(MID(Base_Bruta!B659,5,1)="-",DATE(VALUE(LEFT(Base_Bruta!B659,4)),VALUE(MID(Base_Bruta!B659,6,2)),VALUE(RIGHT(Base_Bruta!B659,2))),DATE(VALUE(RIGHT(Base_Bruta!B659,4)),VALUE(MID(Base_Bruta!B659,4,2)),VALUE(LEFT(Base_Bruta!B659,2))))))</f>
        <v>46084</v>
      </c>
      <c r="C659" s="5" t="n">
        <f aca="false">IF($A659="","",IF(ISNUMBER(Base_Bruta!C659),Base_Bruta!C659,IF(MID(Base_Bruta!C659,5,1)="-",DATE(VALUE(LEFT(Base_Bruta!C659,4)),VALUE(MID(Base_Bruta!C659,6,2)),VALUE(RIGHT(Base_Bruta!C659,2))),DATE(VALUE(RIGHT(Base_Bruta!C659,4)),VALUE(MID(Base_Bruta!C659,4,2)),VALUE(LEFT(Base_Bruta!C659,2))))))</f>
        <v>46130</v>
      </c>
      <c r="D659" s="4" t="str">
        <f aca="false">IF($A659="","",TRIM(Base_Bruta!D659))</f>
        <v>Festival Sonora SP 2026</v>
      </c>
      <c r="E659" s="4" t="str">
        <f aca="false">IF($A659="","",_xlfn.XLOOKUP(LOWER(TRIM(Base_Bruta!E659)),DePara_Categoria!$A$2:$A$9,DePara_Categoria!$B$2:$B$9,"REVISAR"))</f>
        <v>Festival</v>
      </c>
      <c r="F659" s="4" t="str">
        <f aca="false">IF($A659="","",_xlfn.XLOOKUP(LOWER(TRIM(Base_Bruta!F659)),DePara_Cidade!$A$2:$A$29,DePara_Cidade!$B$2:$B$29,"REVISAR"))</f>
        <v>São Paulo</v>
      </c>
      <c r="G659" s="4" t="str">
        <f aca="false">IF($A659="","",TRIM(Base_Bruta!G659))</f>
        <v>VIP</v>
      </c>
      <c r="H659" s="4" t="n">
        <f aca="false">IF($A659="","",IF(ISNUMBER(Base_Bruta!H659),Base_Bruta!H659,IFERROR(_xlfn.NUMBERVALUE(TRIM(SUBSTITUTE(Base_Bruta!H659,"R$","")),",","."),0)))</f>
        <v>1</v>
      </c>
      <c r="I659" s="6" t="n">
        <f aca="false">IF($A659="","",IF(ISNUMBER(Base_Bruta!I659),Base_Bruta!I659,IFERROR(_xlfn.NUMBERVALUE(TRIM(SUBSTITUTE(Base_Bruta!I659,"R$","")),",","."),0)))</f>
        <v>1990</v>
      </c>
      <c r="J659" s="6" t="n">
        <f aca="false">IF($A659="","",H659*I659)</f>
        <v>1990</v>
      </c>
      <c r="K659" s="4" t="str">
        <f aca="false">IF($A659="","",TRIM(Base_Bruta!J659))</f>
        <v>App</v>
      </c>
      <c r="L659" s="4" t="str">
        <f aca="false">IF($A659="","",TRIM(Base_Bruta!K659))</f>
        <v>C01087</v>
      </c>
      <c r="M659" s="4" t="str">
        <f aca="false">IF($A659="","",_xlfn.XLOOKUP(LOWER(TRIM(Base_Bruta!L659)),DePara_Cidade!$A$2:$A$29,DePara_Cidade!$B$2:$B$29,"REVISAR"))</f>
        <v>Recife</v>
      </c>
      <c r="N659" s="4" t="str">
        <f aca="false">IF($A659="","",UPPER(TRIM(Base_Bruta!M659)))</f>
        <v>PE</v>
      </c>
      <c r="O659" s="4" t="str">
        <f aca="false">IF($A659="","",_xlfn.XLOOKUP(LOWER(TRIM(Base_Bruta!N659)),DePara_Pais!$A$2:$A$9,DePara_Pais!$B$2:$B$9,"REVISAR"))</f>
        <v>Brasil</v>
      </c>
      <c r="P659" s="4" t="str">
        <f aca="false">IF($A659="","",IF(O659&lt;&gt;"Brasil","Turista Internacional",IF(M659=F659,"Local","Turista Nacional")))</f>
        <v>Turista Nacional</v>
      </c>
      <c r="Q659" s="7" t="n">
        <f aca="false">IF($A659="","",DATE(YEAR(B659),MONTH(B659),1))</f>
        <v>46082</v>
      </c>
      <c r="R659" s="4" t="str">
        <f aca="false">IF($A659="","",IF(COUNTIF($A$2:$A659,$A659)&gt;1,"Sim","Não"))</f>
        <v>Não</v>
      </c>
      <c r="S659" s="4" t="str">
        <f aca="false">IF(A659="","Descartar - Linha vazia",IF(R659="Sim","Descartar - Duplicado",IF(OR(H659&lt;=0,I659&lt;=0),"Descartar - Qtd/Valor inválido","OK")))</f>
        <v>OK</v>
      </c>
      <c r="T659" s="4" t="str">
        <f aca="false">Base_Bruta!P659</f>
        <v>vendas_SP.xlsx</v>
      </c>
    </row>
    <row r="660" customFormat="false" ht="15" hidden="false" customHeight="false" outlineLevel="0" collapsed="false">
      <c r="A660" s="4" t="str">
        <f aca="false">IF(Base_Bruta!A660="","",Base_Bruta!A660)</f>
        <v>SP-000318</v>
      </c>
      <c r="B660" s="5" t="n">
        <f aca="false">IF($A660="","",IF(ISNUMBER(Base_Bruta!B660),Base_Bruta!B660,IF(MID(Base_Bruta!B660,5,1)="-",DATE(VALUE(LEFT(Base_Bruta!B660,4)),VALUE(MID(Base_Bruta!B660,6,2)),VALUE(RIGHT(Base_Bruta!B660,2))),DATE(VALUE(RIGHT(Base_Bruta!B660,4)),VALUE(MID(Base_Bruta!B660,4,2)),VALUE(LEFT(Base_Bruta!B660,2))))))</f>
        <v>46085</v>
      </c>
      <c r="C660" s="5" t="n">
        <f aca="false">IF($A660="","",IF(ISNUMBER(Base_Bruta!C660),Base_Bruta!C660,IF(MID(Base_Bruta!C660,5,1)="-",DATE(VALUE(LEFT(Base_Bruta!C660,4)),VALUE(MID(Base_Bruta!C660,6,2)),VALUE(RIGHT(Base_Bruta!C660,2))),DATE(VALUE(RIGHT(Base_Bruta!C660,4)),VALUE(MID(Base_Bruta!C660,4,2)),VALUE(LEFT(Base_Bruta!C660,2))))))</f>
        <v>46130</v>
      </c>
      <c r="D660" s="4" t="str">
        <f aca="false">IF($A660="","",TRIM(Base_Bruta!D660))</f>
        <v>Festival Sonora SP 2026</v>
      </c>
      <c r="E660" s="4" t="str">
        <f aca="false">IF($A660="","",_xlfn.XLOOKUP(LOWER(TRIM(Base_Bruta!E660)),DePara_Categoria!$A$2:$A$9,DePara_Categoria!$B$2:$B$9,"REVISAR"))</f>
        <v>Festival</v>
      </c>
      <c r="F660" s="4" t="str">
        <f aca="false">IF($A660="","",_xlfn.XLOOKUP(LOWER(TRIM(Base_Bruta!F660)),DePara_Cidade!$A$2:$A$29,DePara_Cidade!$B$2:$B$29,"REVISAR"))</f>
        <v>São Paulo</v>
      </c>
      <c r="G660" s="4" t="str">
        <f aca="false">IF($A660="","",TRIM(Base_Bruta!G660))</f>
        <v>Inteira</v>
      </c>
      <c r="H660" s="4" t="n">
        <f aca="false">IF($A660="","",IF(ISNUMBER(Base_Bruta!H660),Base_Bruta!H660,IFERROR(_xlfn.NUMBERVALUE(TRIM(SUBSTITUTE(Base_Bruta!H660,"R$","")),",","."),0)))</f>
        <v>4</v>
      </c>
      <c r="I660" s="6" t="n">
        <f aca="false">IF($A660="","",IF(ISNUMBER(Base_Bruta!I660),Base_Bruta!I660,IFERROR(_xlfn.NUMBERVALUE(TRIM(SUBSTITUTE(Base_Bruta!I660,"R$","")),",","."),0)))</f>
        <v>1110</v>
      </c>
      <c r="J660" s="6" t="n">
        <f aca="false">IF($A660="","",H660*I660)</f>
        <v>4440</v>
      </c>
      <c r="K660" s="4" t="str">
        <f aca="false">IF($A660="","",TRIM(Base_Bruta!J660))</f>
        <v>Site</v>
      </c>
      <c r="L660" s="4" t="str">
        <f aca="false">IF($A660="","",TRIM(Base_Bruta!K660))</f>
        <v>C01939</v>
      </c>
      <c r="M660" s="4" t="str">
        <f aca="false">IF($A660="","",_xlfn.XLOOKUP(LOWER(TRIM(Base_Bruta!L660)),DePara_Cidade!$A$2:$A$29,DePara_Cidade!$B$2:$B$29,"REVISAR"))</f>
        <v>São Paulo</v>
      </c>
      <c r="N660" s="4" t="str">
        <f aca="false">IF($A660="","",UPPER(TRIM(Base_Bruta!M660)))</f>
        <v>SP</v>
      </c>
      <c r="O660" s="4" t="str">
        <f aca="false">IF($A660="","",_xlfn.XLOOKUP(LOWER(TRIM(Base_Bruta!N660)),DePara_Pais!$A$2:$A$9,DePara_Pais!$B$2:$B$9,"REVISAR"))</f>
        <v>Brasil</v>
      </c>
      <c r="P660" s="4" t="str">
        <f aca="false">IF($A660="","",IF(O660&lt;&gt;"Brasil","Turista Internacional",IF(M660=F660,"Local","Turista Nacional")))</f>
        <v>Local</v>
      </c>
      <c r="Q660" s="7" t="n">
        <f aca="false">IF($A660="","",DATE(YEAR(B660),MONTH(B660),1))</f>
        <v>46082</v>
      </c>
      <c r="R660" s="4" t="str">
        <f aca="false">IF($A660="","",IF(COUNTIF($A$2:$A660,$A660)&gt;1,"Sim","Não"))</f>
        <v>Não</v>
      </c>
      <c r="S660" s="4" t="str">
        <f aca="false">IF(A660="","Descartar - Linha vazia",IF(R660="Sim","Descartar - Duplicado",IF(OR(H660&lt;=0,I660&lt;=0),"Descartar - Qtd/Valor inválido","OK")))</f>
        <v>OK</v>
      </c>
      <c r="T660" s="4" t="str">
        <f aca="false">Base_Bruta!P660</f>
        <v>vendas_SP.xlsx</v>
      </c>
    </row>
    <row r="661" customFormat="false" ht="15" hidden="false" customHeight="false" outlineLevel="0" collapsed="false">
      <c r="A661" s="4" t="str">
        <f aca="false">IF(Base_Bruta!A661="","",Base_Bruta!A661)</f>
        <v>SP-000450</v>
      </c>
      <c r="B661" s="5" t="n">
        <f aca="false">IF($A661="","",IF(ISNUMBER(Base_Bruta!B661),Base_Bruta!B661,IF(MID(Base_Bruta!B661,5,1)="-",DATE(VALUE(LEFT(Base_Bruta!B661,4)),VALUE(MID(Base_Bruta!B661,6,2)),VALUE(RIGHT(Base_Bruta!B661,2))),DATE(VALUE(RIGHT(Base_Bruta!B661,4)),VALUE(MID(Base_Bruta!B661,4,2)),VALUE(LEFT(Base_Bruta!B661,2))))))</f>
        <v>46086</v>
      </c>
      <c r="C661" s="5" t="n">
        <f aca="false">IF($A661="","",IF(ISNUMBER(Base_Bruta!C661),Base_Bruta!C661,IF(MID(Base_Bruta!C661,5,1)="-",DATE(VALUE(LEFT(Base_Bruta!C661,4)),VALUE(MID(Base_Bruta!C661,6,2)),VALUE(RIGHT(Base_Bruta!C661,2))),DATE(VALUE(RIGHT(Base_Bruta!C661,4)),VALUE(MID(Base_Bruta!C661,4,2)),VALUE(LEFT(Base_Bruta!C661,2))))))</f>
        <v>46130</v>
      </c>
      <c r="D661" s="4" t="str">
        <f aca="false">IF($A661="","",TRIM(Base_Bruta!D661))</f>
        <v>Festival Sonora SP 2026</v>
      </c>
      <c r="E661" s="4" t="str">
        <f aca="false">IF($A661="","",_xlfn.XLOOKUP(LOWER(TRIM(Base_Bruta!E661)),DePara_Categoria!$A$2:$A$9,DePara_Categoria!$B$2:$B$9,"REVISAR"))</f>
        <v>Festival</v>
      </c>
      <c r="F661" s="4" t="str">
        <f aca="false">IF($A661="","",_xlfn.XLOOKUP(LOWER(TRIM(Base_Bruta!F661)),DePara_Cidade!$A$2:$A$29,DePara_Cidade!$B$2:$B$29,"REVISAR"))</f>
        <v>São Paulo</v>
      </c>
      <c r="G661" s="4" t="str">
        <f aca="false">IF($A661="","",TRIM(Base_Bruta!G661))</f>
        <v>Meia</v>
      </c>
      <c r="H661" s="4" t="n">
        <f aca="false">IF($A661="","",IF(ISNUMBER(Base_Bruta!H661),Base_Bruta!H661,IFERROR(_xlfn.NUMBERVALUE(TRIM(SUBSTITUTE(Base_Bruta!H661,"R$","")),",","."),0)))</f>
        <v>2</v>
      </c>
      <c r="I661" s="6" t="n">
        <f aca="false">IF($A661="","",IF(ISNUMBER(Base_Bruta!I661),Base_Bruta!I661,IFERROR(_xlfn.NUMBERVALUE(TRIM(SUBSTITUTE(Base_Bruta!I661,"R$","")),",","."),0)))</f>
        <v>370</v>
      </c>
      <c r="J661" s="6" t="n">
        <f aca="false">IF($A661="","",H661*I661)</f>
        <v>740</v>
      </c>
      <c r="K661" s="4" t="str">
        <f aca="false">IF($A661="","",TRIM(Base_Bruta!J661))</f>
        <v>Site</v>
      </c>
      <c r="L661" s="4" t="str">
        <f aca="false">IF($A661="","",TRIM(Base_Bruta!K661))</f>
        <v>C01315</v>
      </c>
      <c r="M661" s="4" t="str">
        <f aca="false">IF($A661="","",_xlfn.XLOOKUP(LOWER(TRIM(Base_Bruta!L661)),DePara_Cidade!$A$2:$A$29,DePara_Cidade!$B$2:$B$29,"REVISAR"))</f>
        <v>Lisboa</v>
      </c>
      <c r="N661" s="4" t="str">
        <f aca="false">IF($A661="","",UPPER(TRIM(Base_Bruta!M661)))</f>
        <v>EX</v>
      </c>
      <c r="O661" s="4" t="str">
        <f aca="false">IF($A661="","",_xlfn.XLOOKUP(LOWER(TRIM(Base_Bruta!N661)),DePara_Pais!$A$2:$A$9,DePara_Pais!$B$2:$B$9,"REVISAR"))</f>
        <v>Portugal</v>
      </c>
      <c r="P661" s="4" t="str">
        <f aca="false">IF($A661="","",IF(O661&lt;&gt;"Brasil","Turista Internacional",IF(M661=F661,"Local","Turista Nacional")))</f>
        <v>Turista Internacional</v>
      </c>
      <c r="Q661" s="7" t="n">
        <f aca="false">IF($A661="","",DATE(YEAR(B661),MONTH(B661),1))</f>
        <v>46082</v>
      </c>
      <c r="R661" s="4" t="str">
        <f aca="false">IF($A661="","",IF(COUNTIF($A$2:$A661,$A661)&gt;1,"Sim","Não"))</f>
        <v>Não</v>
      </c>
      <c r="S661" s="4" t="str">
        <f aca="false">IF(A661="","Descartar - Linha vazia",IF(R661="Sim","Descartar - Duplicado",IF(OR(H661&lt;=0,I661&lt;=0),"Descartar - Qtd/Valor inválido","OK")))</f>
        <v>OK</v>
      </c>
      <c r="T661" s="4" t="str">
        <f aca="false">Base_Bruta!P661</f>
        <v>vendas_SP.xlsx</v>
      </c>
    </row>
    <row r="662" customFormat="false" ht="15" hidden="false" customHeight="false" outlineLevel="0" collapsed="false">
      <c r="A662" s="4" t="str">
        <f aca="false">IF(Base_Bruta!A662="","",Base_Bruta!A662)</f>
        <v>SP-000377</v>
      </c>
      <c r="B662" s="5" t="n">
        <f aca="false">IF($A662="","",IF(ISNUMBER(Base_Bruta!B662),Base_Bruta!B662,IF(MID(Base_Bruta!B662,5,1)="-",DATE(VALUE(LEFT(Base_Bruta!B662,4)),VALUE(MID(Base_Bruta!B662,6,2)),VALUE(RIGHT(Base_Bruta!B662,2))),DATE(VALUE(RIGHT(Base_Bruta!B662,4)),VALUE(MID(Base_Bruta!B662,4,2)),VALUE(LEFT(Base_Bruta!B662,2))))))</f>
        <v>46087</v>
      </c>
      <c r="C662" s="5" t="n">
        <f aca="false">IF($A662="","",IF(ISNUMBER(Base_Bruta!C662),Base_Bruta!C662,IF(MID(Base_Bruta!C662,5,1)="-",DATE(VALUE(LEFT(Base_Bruta!C662,4)),VALUE(MID(Base_Bruta!C662,6,2)),VALUE(RIGHT(Base_Bruta!C662,2))),DATE(VALUE(RIGHT(Base_Bruta!C662,4)),VALUE(MID(Base_Bruta!C662,4,2)),VALUE(LEFT(Base_Bruta!C662,2))))))</f>
        <v>46130</v>
      </c>
      <c r="D662" s="4" t="str">
        <f aca="false">IF($A662="","",TRIM(Base_Bruta!D662))</f>
        <v>Festival Sonora SP 2026</v>
      </c>
      <c r="E662" s="4" t="str">
        <f aca="false">IF($A662="","",_xlfn.XLOOKUP(LOWER(TRIM(Base_Bruta!E662)),DePara_Categoria!$A$2:$A$9,DePara_Categoria!$B$2:$B$9,"REVISAR"))</f>
        <v>Festival</v>
      </c>
      <c r="F662" s="4" t="str">
        <f aca="false">IF($A662="","",_xlfn.XLOOKUP(LOWER(TRIM(Base_Bruta!F662)),DePara_Cidade!$A$2:$A$29,DePara_Cidade!$B$2:$B$29,"REVISAR"))</f>
        <v>São Paulo</v>
      </c>
      <c r="G662" s="4" t="str">
        <f aca="false">IF($A662="","",TRIM(Base_Bruta!G662))</f>
        <v>Inteira</v>
      </c>
      <c r="H662" s="4" t="n">
        <f aca="false">IF($A662="","",IF(ISNUMBER(Base_Bruta!H662),Base_Bruta!H662,IFERROR(_xlfn.NUMBERVALUE(TRIM(SUBSTITUTE(Base_Bruta!H662,"R$","")),",","."),0)))</f>
        <v>2</v>
      </c>
      <c r="I662" s="6" t="n">
        <f aca="false">IF($A662="","",IF(ISNUMBER(Base_Bruta!I662),Base_Bruta!I662,IFERROR(_xlfn.NUMBERVALUE(TRIM(SUBSTITUTE(Base_Bruta!I662,"R$","")),",","."),0)))</f>
        <v>1035</v>
      </c>
      <c r="J662" s="6" t="n">
        <f aca="false">IF($A662="","",H662*I662)</f>
        <v>2070</v>
      </c>
      <c r="K662" s="4" t="str">
        <f aca="false">IF($A662="","",TRIM(Base_Bruta!J662))</f>
        <v>App</v>
      </c>
      <c r="L662" s="4" t="str">
        <f aca="false">IF($A662="","",TRIM(Base_Bruta!K662))</f>
        <v>C02496</v>
      </c>
      <c r="M662" s="4" t="str">
        <f aca="false">IF($A662="","",_xlfn.XLOOKUP(LOWER(TRIM(Base_Bruta!L662)),DePara_Cidade!$A$2:$A$29,DePara_Cidade!$B$2:$B$29,"REVISAR"))</f>
        <v>Lisboa</v>
      </c>
      <c r="N662" s="4" t="str">
        <f aca="false">IF($A662="","",UPPER(TRIM(Base_Bruta!M662)))</f>
        <v>EX</v>
      </c>
      <c r="O662" s="4" t="str">
        <f aca="false">IF($A662="","",_xlfn.XLOOKUP(LOWER(TRIM(Base_Bruta!N662)),DePara_Pais!$A$2:$A$9,DePara_Pais!$B$2:$B$9,"REVISAR"))</f>
        <v>Portugal</v>
      </c>
      <c r="P662" s="4" t="str">
        <f aca="false">IF($A662="","",IF(O662&lt;&gt;"Brasil","Turista Internacional",IF(M662=F662,"Local","Turista Nacional")))</f>
        <v>Turista Internacional</v>
      </c>
      <c r="Q662" s="7" t="n">
        <f aca="false">IF($A662="","",DATE(YEAR(B662),MONTH(B662),1))</f>
        <v>46082</v>
      </c>
      <c r="R662" s="4" t="str">
        <f aca="false">IF($A662="","",IF(COUNTIF($A$2:$A662,$A662)&gt;1,"Sim","Não"))</f>
        <v>Não</v>
      </c>
      <c r="S662" s="4" t="str">
        <f aca="false">IF(A662="","Descartar - Linha vazia",IF(R662="Sim","Descartar - Duplicado",IF(OR(H662&lt;=0,I662&lt;=0),"Descartar - Qtd/Valor inválido","OK")))</f>
        <v>OK</v>
      </c>
      <c r="T662" s="4" t="str">
        <f aca="false">Base_Bruta!P662</f>
        <v>vendas_SP.xlsx</v>
      </c>
    </row>
    <row r="663" customFormat="false" ht="15" hidden="false" customHeight="false" outlineLevel="0" collapsed="false">
      <c r="A663" s="4" t="str">
        <f aca="false">IF(Base_Bruta!A663="","",Base_Bruta!A663)</f>
        <v>SP-000458</v>
      </c>
      <c r="B663" s="5" t="n">
        <f aca="false">IF($A663="","",IF(ISNUMBER(Base_Bruta!B663),Base_Bruta!B663,IF(MID(Base_Bruta!B663,5,1)="-",DATE(VALUE(LEFT(Base_Bruta!B663,4)),VALUE(MID(Base_Bruta!B663,6,2)),VALUE(RIGHT(Base_Bruta!B663,2))),DATE(VALUE(RIGHT(Base_Bruta!B663,4)),VALUE(MID(Base_Bruta!B663,4,2)),VALUE(LEFT(Base_Bruta!B663,2))))))</f>
        <v>46087</v>
      </c>
      <c r="C663" s="5" t="n">
        <f aca="false">IF($A663="","",IF(ISNUMBER(Base_Bruta!C663),Base_Bruta!C663,IF(MID(Base_Bruta!C663,5,1)="-",DATE(VALUE(LEFT(Base_Bruta!C663,4)),VALUE(MID(Base_Bruta!C663,6,2)),VALUE(RIGHT(Base_Bruta!C663,2))),DATE(VALUE(RIGHT(Base_Bruta!C663,4)),VALUE(MID(Base_Bruta!C663,4,2)),VALUE(LEFT(Base_Bruta!C663,2))))))</f>
        <v>46130</v>
      </c>
      <c r="D663" s="4" t="str">
        <f aca="false">IF($A663="","",TRIM(Base_Bruta!D663))</f>
        <v>Festival Sonora SP 2026</v>
      </c>
      <c r="E663" s="4" t="str">
        <f aca="false">IF($A663="","",_xlfn.XLOOKUP(LOWER(TRIM(Base_Bruta!E663)),DePara_Categoria!$A$2:$A$9,DePara_Categoria!$B$2:$B$9,"REVISAR"))</f>
        <v>Festival</v>
      </c>
      <c r="F663" s="4" t="str">
        <f aca="false">IF($A663="","",_xlfn.XLOOKUP(LOWER(TRIM(Base_Bruta!F663)),DePara_Cidade!$A$2:$A$29,DePara_Cidade!$B$2:$B$29,"REVISAR"))</f>
        <v>São Paulo</v>
      </c>
      <c r="G663" s="4" t="str">
        <f aca="false">IF($A663="","",TRIM(Base_Bruta!G663))</f>
        <v>Meia</v>
      </c>
      <c r="H663" s="4" t="n">
        <f aca="false">IF($A663="","",IF(ISNUMBER(Base_Bruta!H663),Base_Bruta!H663,IFERROR(_xlfn.NUMBERVALUE(TRIM(SUBSTITUTE(Base_Bruta!H663,"R$","")),",","."),0)))</f>
        <v>1</v>
      </c>
      <c r="I663" s="6" t="n">
        <f aca="false">IF($A663="","",IF(ISNUMBER(Base_Bruta!I663),Base_Bruta!I663,IFERROR(_xlfn.NUMBERVALUE(TRIM(SUBSTITUTE(Base_Bruta!I663,"R$","")),",","."),0)))</f>
        <v>552.5</v>
      </c>
      <c r="J663" s="6" t="n">
        <f aca="false">IF($A663="","",H663*I663)</f>
        <v>552.5</v>
      </c>
      <c r="K663" s="4" t="str">
        <f aca="false">IF($A663="","",TRIM(Base_Bruta!J663))</f>
        <v>Site</v>
      </c>
      <c r="L663" s="4" t="str">
        <f aca="false">IF($A663="","",TRIM(Base_Bruta!K663))</f>
        <v>C01602</v>
      </c>
      <c r="M663" s="4" t="str">
        <f aca="false">IF($A663="","",_xlfn.XLOOKUP(LOWER(TRIM(Base_Bruta!L663)),DePara_Cidade!$A$2:$A$29,DePara_Cidade!$B$2:$B$29,"REVISAR"))</f>
        <v>Rio de Janeiro</v>
      </c>
      <c r="N663" s="4" t="str">
        <f aca="false">IF($A663="","",UPPER(TRIM(Base_Bruta!M663)))</f>
        <v>RJ</v>
      </c>
      <c r="O663" s="4" t="str">
        <f aca="false">IF($A663="","",_xlfn.XLOOKUP(LOWER(TRIM(Base_Bruta!N663)),DePara_Pais!$A$2:$A$9,DePara_Pais!$B$2:$B$9,"REVISAR"))</f>
        <v>Brasil</v>
      </c>
      <c r="P663" s="4" t="str">
        <f aca="false">IF($A663="","",IF(O663&lt;&gt;"Brasil","Turista Internacional",IF(M663=F663,"Local","Turista Nacional")))</f>
        <v>Turista Nacional</v>
      </c>
      <c r="Q663" s="7" t="n">
        <f aca="false">IF($A663="","",DATE(YEAR(B663),MONTH(B663),1))</f>
        <v>46082</v>
      </c>
      <c r="R663" s="4" t="str">
        <f aca="false">IF($A663="","",IF(COUNTIF($A$2:$A663,$A663)&gt;1,"Sim","Não"))</f>
        <v>Não</v>
      </c>
      <c r="S663" s="4" t="str">
        <f aca="false">IF(A663="","Descartar - Linha vazia",IF(R663="Sim","Descartar - Duplicado",IF(OR(H663&lt;=0,I663&lt;=0),"Descartar - Qtd/Valor inválido","OK")))</f>
        <v>OK</v>
      </c>
      <c r="T663" s="4" t="str">
        <f aca="false">Base_Bruta!P663</f>
        <v>vendas_SP.xlsx</v>
      </c>
    </row>
    <row r="664" customFormat="false" ht="15" hidden="false" customHeight="false" outlineLevel="0" collapsed="false">
      <c r="A664" s="4" t="str">
        <f aca="false">IF(Base_Bruta!A664="","",Base_Bruta!A664)</f>
        <v>SP-000276</v>
      </c>
      <c r="B664" s="5" t="n">
        <f aca="false">IF($A664="","",IF(ISNUMBER(Base_Bruta!B664),Base_Bruta!B664,IF(MID(Base_Bruta!B664,5,1)="-",DATE(VALUE(LEFT(Base_Bruta!B664,4)),VALUE(MID(Base_Bruta!B664,6,2)),VALUE(RIGHT(Base_Bruta!B664,2))),DATE(VALUE(RIGHT(Base_Bruta!B664,4)),VALUE(MID(Base_Bruta!B664,4,2)),VALUE(LEFT(Base_Bruta!B664,2))))))</f>
        <v>46088</v>
      </c>
      <c r="C664" s="5" t="n">
        <f aca="false">IF($A664="","",IF(ISNUMBER(Base_Bruta!C664),Base_Bruta!C664,IF(MID(Base_Bruta!C664,5,1)="-",DATE(VALUE(LEFT(Base_Bruta!C664,4)),VALUE(MID(Base_Bruta!C664,6,2)),VALUE(RIGHT(Base_Bruta!C664,2))),DATE(VALUE(RIGHT(Base_Bruta!C664,4)),VALUE(MID(Base_Bruta!C664,4,2)),VALUE(LEFT(Base_Bruta!C664,2))))))</f>
        <v>46130</v>
      </c>
      <c r="D664" s="4" t="str">
        <f aca="false">IF($A664="","",TRIM(Base_Bruta!D664))</f>
        <v>Festival Sonora SP 2026</v>
      </c>
      <c r="E664" s="4" t="str">
        <f aca="false">IF($A664="","",_xlfn.XLOOKUP(LOWER(TRIM(Base_Bruta!E664)),DePara_Categoria!$A$2:$A$9,DePara_Categoria!$B$2:$B$9,"REVISAR"))</f>
        <v>Festival</v>
      </c>
      <c r="F664" s="4" t="str">
        <f aca="false">IF($A664="","",_xlfn.XLOOKUP(LOWER(TRIM(Base_Bruta!F664)),DePara_Cidade!$A$2:$A$29,DePara_Cidade!$B$2:$B$29,"REVISAR"))</f>
        <v>São Paulo</v>
      </c>
      <c r="G664" s="4" t="str">
        <f aca="false">IF($A664="","",TRIM(Base_Bruta!G664))</f>
        <v>Inteira</v>
      </c>
      <c r="H664" s="4" t="n">
        <f aca="false">IF($A664="","",IF(ISNUMBER(Base_Bruta!H664),Base_Bruta!H664,IFERROR(_xlfn.NUMBERVALUE(TRIM(SUBSTITUTE(Base_Bruta!H664,"R$","")),",","."),0)))</f>
        <v>2</v>
      </c>
      <c r="I664" s="6" t="n">
        <f aca="false">IF($A664="","",IF(ISNUMBER(Base_Bruta!I664),Base_Bruta!I664,IFERROR(_xlfn.NUMBERVALUE(TRIM(SUBSTITUTE(Base_Bruta!I664,"R$","")),",","."),0)))</f>
        <v>980</v>
      </c>
      <c r="J664" s="6" t="n">
        <f aca="false">IF($A664="","",H664*I664)</f>
        <v>1960</v>
      </c>
      <c r="K664" s="4" t="str">
        <f aca="false">IF($A664="","",TRIM(Base_Bruta!J664))</f>
        <v>App</v>
      </c>
      <c r="L664" s="4" t="str">
        <f aca="false">IF($A664="","",TRIM(Base_Bruta!K664))</f>
        <v>C00311</v>
      </c>
      <c r="M664" s="4" t="str">
        <f aca="false">IF($A664="","",_xlfn.XLOOKUP(LOWER(TRIM(Base_Bruta!L664)),DePara_Cidade!$A$2:$A$29,DePara_Cidade!$B$2:$B$29,"REVISAR"))</f>
        <v>São Paulo</v>
      </c>
      <c r="N664" s="4" t="str">
        <f aca="false">IF($A664="","",UPPER(TRIM(Base_Bruta!M664)))</f>
        <v>SP</v>
      </c>
      <c r="O664" s="4" t="str">
        <f aca="false">IF($A664="","",_xlfn.XLOOKUP(LOWER(TRIM(Base_Bruta!N664)),DePara_Pais!$A$2:$A$9,DePara_Pais!$B$2:$B$9,"REVISAR"))</f>
        <v>Brasil</v>
      </c>
      <c r="P664" s="4" t="str">
        <f aca="false">IF($A664="","",IF(O664&lt;&gt;"Brasil","Turista Internacional",IF(M664=F664,"Local","Turista Nacional")))</f>
        <v>Local</v>
      </c>
      <c r="Q664" s="7" t="n">
        <f aca="false">IF($A664="","",DATE(YEAR(B664),MONTH(B664),1))</f>
        <v>46082</v>
      </c>
      <c r="R664" s="4" t="str">
        <f aca="false">IF($A664="","",IF(COUNTIF($A$2:$A664,$A664)&gt;1,"Sim","Não"))</f>
        <v>Não</v>
      </c>
      <c r="S664" s="4" t="str">
        <f aca="false">IF(A664="","Descartar - Linha vazia",IF(R664="Sim","Descartar - Duplicado",IF(OR(H664&lt;=0,I664&lt;=0),"Descartar - Qtd/Valor inválido","OK")))</f>
        <v>OK</v>
      </c>
      <c r="T664" s="4" t="str">
        <f aca="false">Base_Bruta!P664</f>
        <v>vendas_SP.xlsx</v>
      </c>
    </row>
    <row r="665" customFormat="false" ht="15" hidden="false" customHeight="false" outlineLevel="0" collapsed="false">
      <c r="A665" s="4" t="str">
        <f aca="false">IF(Base_Bruta!A665="","",Base_Bruta!A665)</f>
        <v>SP-000720</v>
      </c>
      <c r="B665" s="5" t="n">
        <f aca="false">IF($A665="","",IF(ISNUMBER(Base_Bruta!B665),Base_Bruta!B665,IF(MID(Base_Bruta!B665,5,1)="-",DATE(VALUE(LEFT(Base_Bruta!B665,4)),VALUE(MID(Base_Bruta!B665,6,2)),VALUE(RIGHT(Base_Bruta!B665,2))),DATE(VALUE(RIGHT(Base_Bruta!B665,4)),VALUE(MID(Base_Bruta!B665,4,2)),VALUE(LEFT(Base_Bruta!B665,2))))))</f>
        <v>46088</v>
      </c>
      <c r="C665" s="5" t="n">
        <f aca="false">IF($A665="","",IF(ISNUMBER(Base_Bruta!C665),Base_Bruta!C665,IF(MID(Base_Bruta!C665,5,1)="-",DATE(VALUE(LEFT(Base_Bruta!C665,4)),VALUE(MID(Base_Bruta!C665,6,2)),VALUE(RIGHT(Base_Bruta!C665,2))),DATE(VALUE(RIGHT(Base_Bruta!C665,4)),VALUE(MID(Base_Bruta!C665,4,2)),VALUE(LEFT(Base_Bruta!C665,2))))))</f>
        <v>46091</v>
      </c>
      <c r="D665" s="4" t="str">
        <f aca="false">IF($A665="","",TRIM(Base_Bruta!D665))</f>
        <v>Cinema Paulista - Sessões</v>
      </c>
      <c r="E665" s="4" t="str">
        <f aca="false">IF($A665="","",_xlfn.XLOOKUP(LOWER(TRIM(Base_Bruta!E665)),DePara_Categoria!$A$2:$A$9,DePara_Categoria!$B$2:$B$9,"REVISAR"))</f>
        <v>Cinema</v>
      </c>
      <c r="F665" s="4" t="str">
        <f aca="false">IF($A665="","",_xlfn.XLOOKUP(LOWER(TRIM(Base_Bruta!F665)),DePara_Cidade!$A$2:$A$29,DePara_Cidade!$B$2:$B$29,"REVISAR"))</f>
        <v>São Paulo</v>
      </c>
      <c r="G665" s="4" t="str">
        <f aca="false">IF($A665="","",TRIM(Base_Bruta!G665))</f>
        <v>Meia</v>
      </c>
      <c r="H665" s="4" t="n">
        <f aca="false">IF($A665="","",IF(ISNUMBER(Base_Bruta!H665),Base_Bruta!H665,IFERROR(_xlfn.NUMBERVALUE(TRIM(SUBSTITUTE(Base_Bruta!H665,"R$","")),",","."),0)))</f>
        <v>2</v>
      </c>
      <c r="I665" s="6" t="n">
        <f aca="false">IF($A665="","",IF(ISNUMBER(Base_Bruta!I665),Base_Bruta!I665,IFERROR(_xlfn.NUMBERVALUE(TRIM(SUBSTITUTE(Base_Bruta!I665,"R$","")),",","."),0)))</f>
        <v>20</v>
      </c>
      <c r="J665" s="6" t="n">
        <f aca="false">IF($A665="","",H665*I665)</f>
        <v>40</v>
      </c>
      <c r="K665" s="4" t="str">
        <f aca="false">IF($A665="","",TRIM(Base_Bruta!J665))</f>
        <v>App</v>
      </c>
      <c r="L665" s="4" t="str">
        <f aca="false">IF($A665="","",TRIM(Base_Bruta!K665))</f>
        <v>C02383</v>
      </c>
      <c r="M665" s="4" t="str">
        <f aca="false">IF($A665="","",_xlfn.XLOOKUP(LOWER(TRIM(Base_Bruta!L665)),DePara_Cidade!$A$2:$A$29,DePara_Cidade!$B$2:$B$29,"REVISAR"))</f>
        <v>São Paulo</v>
      </c>
      <c r="N665" s="4" t="str">
        <f aca="false">IF($A665="","",UPPER(TRIM(Base_Bruta!M665)))</f>
        <v>SP</v>
      </c>
      <c r="O665" s="4" t="str">
        <f aca="false">IF($A665="","",_xlfn.XLOOKUP(LOWER(TRIM(Base_Bruta!N665)),DePara_Pais!$A$2:$A$9,DePara_Pais!$B$2:$B$9,"REVISAR"))</f>
        <v>Brasil</v>
      </c>
      <c r="P665" s="4" t="str">
        <f aca="false">IF($A665="","",IF(O665&lt;&gt;"Brasil","Turista Internacional",IF(M665=F665,"Local","Turista Nacional")))</f>
        <v>Local</v>
      </c>
      <c r="Q665" s="7" t="n">
        <f aca="false">IF($A665="","",DATE(YEAR(B665),MONTH(B665),1))</f>
        <v>46082</v>
      </c>
      <c r="R665" s="4" t="str">
        <f aca="false">IF($A665="","",IF(COUNTIF($A$2:$A665,$A665)&gt;1,"Sim","Não"))</f>
        <v>Não</v>
      </c>
      <c r="S665" s="4" t="str">
        <f aca="false">IF(A665="","Descartar - Linha vazia",IF(R665="Sim","Descartar - Duplicado",IF(OR(H665&lt;=0,I665&lt;=0),"Descartar - Qtd/Valor inválido","OK")))</f>
        <v>OK</v>
      </c>
      <c r="T665" s="4" t="str">
        <f aca="false">Base_Bruta!P665</f>
        <v>vendas_SP.xlsx</v>
      </c>
    </row>
    <row r="666" customFormat="false" ht="15" hidden="false" customHeight="false" outlineLevel="0" collapsed="false">
      <c r="A666" s="4" t="str">
        <f aca="false">IF(Base_Bruta!A666="","",Base_Bruta!A666)</f>
        <v>SP-000752</v>
      </c>
      <c r="B666" s="5" t="n">
        <f aca="false">IF($A666="","",IF(ISNUMBER(Base_Bruta!B666),Base_Bruta!B666,IF(MID(Base_Bruta!B666,5,1)="-",DATE(VALUE(LEFT(Base_Bruta!B666,4)),VALUE(MID(Base_Bruta!B666,6,2)),VALUE(RIGHT(Base_Bruta!B666,2))),DATE(VALUE(RIGHT(Base_Bruta!B666,4)),VALUE(MID(Base_Bruta!B666,4,2)),VALUE(LEFT(Base_Bruta!B666,2))))))</f>
        <v>46088</v>
      </c>
      <c r="C666" s="5" t="n">
        <f aca="false">IF($A666="","",IF(ISNUMBER(Base_Bruta!C666),Base_Bruta!C666,IF(MID(Base_Bruta!C666,5,1)="-",DATE(VALUE(LEFT(Base_Bruta!C666,4)),VALUE(MID(Base_Bruta!C666,6,2)),VALUE(RIGHT(Base_Bruta!C666,2))),DATE(VALUE(RIGHT(Base_Bruta!C666,4)),VALUE(MID(Base_Bruta!C666,4,2)),VALUE(LEFT(Base_Bruta!C666,2))))))</f>
        <v>46090</v>
      </c>
      <c r="D666" s="4" t="str">
        <f aca="false">IF($A666="","",TRIM(Base_Bruta!D666))</f>
        <v>Cinema Paulista - Sessões</v>
      </c>
      <c r="E666" s="4" t="str">
        <f aca="false">IF($A666="","",_xlfn.XLOOKUP(LOWER(TRIM(Base_Bruta!E666)),DePara_Categoria!$A$2:$A$9,DePara_Categoria!$B$2:$B$9,"REVISAR"))</f>
        <v>Cinema</v>
      </c>
      <c r="F666" s="4" t="str">
        <f aca="false">IF($A666="","",_xlfn.XLOOKUP(LOWER(TRIM(Base_Bruta!F666)),DePara_Cidade!$A$2:$A$29,DePara_Cidade!$B$2:$B$29,"REVISAR"))</f>
        <v>São Paulo</v>
      </c>
      <c r="G666" s="4" t="str">
        <f aca="false">IF($A666="","",TRIM(Base_Bruta!G666))</f>
        <v>Inteira</v>
      </c>
      <c r="H666" s="4" t="n">
        <f aca="false">IF($A666="","",IF(ISNUMBER(Base_Bruta!H666),Base_Bruta!H666,IFERROR(_xlfn.NUMBERVALUE(TRIM(SUBSTITUTE(Base_Bruta!H666,"R$","")),",","."),0)))</f>
        <v>1</v>
      </c>
      <c r="I666" s="6" t="n">
        <f aca="false">IF($A666="","",IF(ISNUMBER(Base_Bruta!I666),Base_Bruta!I666,IFERROR(_xlfn.NUMBERVALUE(TRIM(SUBSTITUTE(Base_Bruta!I666,"R$","")),",","."),0)))</f>
        <v>40</v>
      </c>
      <c r="J666" s="6" t="n">
        <f aca="false">IF($A666="","",H666*I666)</f>
        <v>40</v>
      </c>
      <c r="K666" s="4" t="str">
        <f aca="false">IF($A666="","",TRIM(Base_Bruta!J666))</f>
        <v>Site</v>
      </c>
      <c r="L666" s="4" t="str">
        <f aca="false">IF($A666="","",TRIM(Base_Bruta!K666))</f>
        <v>C00873</v>
      </c>
      <c r="M666" s="4" t="str">
        <f aca="false">IF($A666="","",_xlfn.XLOOKUP(LOWER(TRIM(Base_Bruta!L666)),DePara_Cidade!$A$2:$A$29,DePara_Cidade!$B$2:$B$29,"REVISAR"))</f>
        <v>São Paulo</v>
      </c>
      <c r="N666" s="4" t="str">
        <f aca="false">IF($A666="","",UPPER(TRIM(Base_Bruta!M666)))</f>
        <v>SP</v>
      </c>
      <c r="O666" s="4" t="str">
        <f aca="false">IF($A666="","",_xlfn.XLOOKUP(LOWER(TRIM(Base_Bruta!N666)),DePara_Pais!$A$2:$A$9,DePara_Pais!$B$2:$B$9,"REVISAR"))</f>
        <v>Brasil</v>
      </c>
      <c r="P666" s="4" t="str">
        <f aca="false">IF($A666="","",IF(O666&lt;&gt;"Brasil","Turista Internacional",IF(M666=F666,"Local","Turista Nacional")))</f>
        <v>Local</v>
      </c>
      <c r="Q666" s="7" t="n">
        <f aca="false">IF($A666="","",DATE(YEAR(B666),MONTH(B666),1))</f>
        <v>46082</v>
      </c>
      <c r="R666" s="4" t="str">
        <f aca="false">IF($A666="","",IF(COUNTIF($A$2:$A666,$A666)&gt;1,"Sim","Não"))</f>
        <v>Não</v>
      </c>
      <c r="S666" s="4" t="str">
        <f aca="false">IF(A666="","Descartar - Linha vazia",IF(R666="Sim","Descartar - Duplicado",IF(OR(H666&lt;=0,I666&lt;=0),"Descartar - Qtd/Valor inválido","OK")))</f>
        <v>OK</v>
      </c>
      <c r="T666" s="4" t="str">
        <f aca="false">Base_Bruta!P666</f>
        <v>vendas_SP.xlsx</v>
      </c>
    </row>
    <row r="667" customFormat="false" ht="15" hidden="false" customHeight="false" outlineLevel="0" collapsed="false">
      <c r="A667" s="4" t="str">
        <f aca="false">IF(Base_Bruta!A667="","",Base_Bruta!A667)</f>
        <v>SP-000312</v>
      </c>
      <c r="B667" s="5" t="n">
        <f aca="false">IF($A667="","",IF(ISNUMBER(Base_Bruta!B667),Base_Bruta!B667,IF(MID(Base_Bruta!B667,5,1)="-",DATE(VALUE(LEFT(Base_Bruta!B667,4)),VALUE(MID(Base_Bruta!B667,6,2)),VALUE(RIGHT(Base_Bruta!B667,2))),DATE(VALUE(RIGHT(Base_Bruta!B667,4)),VALUE(MID(Base_Bruta!B667,4,2)),VALUE(LEFT(Base_Bruta!B667,2))))))</f>
        <v>46090</v>
      </c>
      <c r="C667" s="5" t="n">
        <f aca="false">IF($A667="","",IF(ISNUMBER(Base_Bruta!C667),Base_Bruta!C667,IF(MID(Base_Bruta!C667,5,1)="-",DATE(VALUE(LEFT(Base_Bruta!C667,4)),VALUE(MID(Base_Bruta!C667,6,2)),VALUE(RIGHT(Base_Bruta!C667,2))),DATE(VALUE(RIGHT(Base_Bruta!C667,4)),VALUE(MID(Base_Bruta!C667,4,2)),VALUE(LEFT(Base_Bruta!C667,2))))))</f>
        <v>46130</v>
      </c>
      <c r="D667" s="4" t="str">
        <f aca="false">IF($A667="","",TRIM(Base_Bruta!D667))</f>
        <v>Festival Sonora SP 2026</v>
      </c>
      <c r="E667" s="4" t="str">
        <f aca="false">IF($A667="","",_xlfn.XLOOKUP(LOWER(TRIM(Base_Bruta!E667)),DePara_Categoria!$A$2:$A$9,DePara_Categoria!$B$2:$B$9,"REVISAR"))</f>
        <v>Festival</v>
      </c>
      <c r="F667" s="4" t="str">
        <f aca="false">IF($A667="","",_xlfn.XLOOKUP(LOWER(TRIM(Base_Bruta!F667)),DePara_Cidade!$A$2:$A$29,DePara_Cidade!$B$2:$B$29,"REVISAR"))</f>
        <v>São Paulo</v>
      </c>
      <c r="G667" s="4" t="str">
        <f aca="false">IF($A667="","",TRIM(Base_Bruta!G667))</f>
        <v>Meia</v>
      </c>
      <c r="H667" s="4" t="n">
        <f aca="false">IF($A667="","",IF(ISNUMBER(Base_Bruta!H667),Base_Bruta!H667,IFERROR(_xlfn.NUMBERVALUE(TRIM(SUBSTITUTE(Base_Bruta!H667,"R$","")),",","."),0)))</f>
        <v>4</v>
      </c>
      <c r="I667" s="6" t="n">
        <f aca="false">IF($A667="","",IF(ISNUMBER(Base_Bruta!I667),Base_Bruta!I667,IFERROR(_xlfn.NUMBERVALUE(TRIM(SUBSTITUTE(Base_Bruta!I667,"R$","")),",","."),0)))</f>
        <v>552.5</v>
      </c>
      <c r="J667" s="6" t="n">
        <f aca="false">IF($A667="","",H667*I667)</f>
        <v>2210</v>
      </c>
      <c r="K667" s="4" t="str">
        <f aca="false">IF($A667="","",TRIM(Base_Bruta!J667))</f>
        <v>Site</v>
      </c>
      <c r="L667" s="4" t="str">
        <f aca="false">IF($A667="","",TRIM(Base_Bruta!K667))</f>
        <v>C01861</v>
      </c>
      <c r="M667" s="4" t="str">
        <f aca="false">IF($A667="","",_xlfn.XLOOKUP(LOWER(TRIM(Base_Bruta!L667)),DePara_Cidade!$A$2:$A$29,DePara_Cidade!$B$2:$B$29,"REVISAR"))</f>
        <v>São Paulo</v>
      </c>
      <c r="N667" s="4" t="str">
        <f aca="false">IF($A667="","",UPPER(TRIM(Base_Bruta!M667)))</f>
        <v>SP</v>
      </c>
      <c r="O667" s="4" t="str">
        <f aca="false">IF($A667="","",_xlfn.XLOOKUP(LOWER(TRIM(Base_Bruta!N667)),DePara_Pais!$A$2:$A$9,DePara_Pais!$B$2:$B$9,"REVISAR"))</f>
        <v>Brasil</v>
      </c>
      <c r="P667" s="4" t="str">
        <f aca="false">IF($A667="","",IF(O667&lt;&gt;"Brasil","Turista Internacional",IF(M667=F667,"Local","Turista Nacional")))</f>
        <v>Local</v>
      </c>
      <c r="Q667" s="7" t="n">
        <f aca="false">IF($A667="","",DATE(YEAR(B667),MONTH(B667),1))</f>
        <v>46082</v>
      </c>
      <c r="R667" s="4" t="str">
        <f aca="false">IF($A667="","",IF(COUNTIF($A$2:$A667,$A667)&gt;1,"Sim","Não"))</f>
        <v>Não</v>
      </c>
      <c r="S667" s="4" t="str">
        <f aca="false">IF(A667="","Descartar - Linha vazia",IF(R667="Sim","Descartar - Duplicado",IF(OR(H667&lt;=0,I667&lt;=0),"Descartar - Qtd/Valor inválido","OK")))</f>
        <v>OK</v>
      </c>
      <c r="T667" s="4" t="str">
        <f aca="false">Base_Bruta!P667</f>
        <v>vendas_SP.xlsx</v>
      </c>
    </row>
    <row r="668" customFormat="false" ht="15" hidden="false" customHeight="false" outlineLevel="0" collapsed="false">
      <c r="A668" s="4" t="str">
        <f aca="false">IF(Base_Bruta!A668="","",Base_Bruta!A668)</f>
        <v>SP-000325</v>
      </c>
      <c r="B668" s="5" t="n">
        <f aca="false">IF($A668="","",IF(ISNUMBER(Base_Bruta!B668),Base_Bruta!B668,IF(MID(Base_Bruta!B668,5,1)="-",DATE(VALUE(LEFT(Base_Bruta!B668,4)),VALUE(MID(Base_Bruta!B668,6,2)),VALUE(RIGHT(Base_Bruta!B668,2))),DATE(VALUE(RIGHT(Base_Bruta!B668,4)),VALUE(MID(Base_Bruta!B668,4,2)),VALUE(LEFT(Base_Bruta!B668,2))))))</f>
        <v>46090</v>
      </c>
      <c r="C668" s="5" t="n">
        <f aca="false">IF($A668="","",IF(ISNUMBER(Base_Bruta!C668),Base_Bruta!C668,IF(MID(Base_Bruta!C668,5,1)="-",DATE(VALUE(LEFT(Base_Bruta!C668,4)),VALUE(MID(Base_Bruta!C668,6,2)),VALUE(RIGHT(Base_Bruta!C668,2))),DATE(VALUE(RIGHT(Base_Bruta!C668,4)),VALUE(MID(Base_Bruta!C668,4,2)),VALUE(LEFT(Base_Bruta!C668,2))))))</f>
        <v>46130</v>
      </c>
      <c r="D668" s="4" t="str">
        <f aca="false">IF($A668="","",TRIM(Base_Bruta!D668))</f>
        <v>Festival Sonora SP 2026</v>
      </c>
      <c r="E668" s="4" t="str">
        <f aca="false">IF($A668="","",_xlfn.XLOOKUP(LOWER(TRIM(Base_Bruta!E668)),DePara_Categoria!$A$2:$A$9,DePara_Categoria!$B$2:$B$9,"REVISAR"))</f>
        <v>Festival</v>
      </c>
      <c r="F668" s="4" t="str">
        <f aca="false">IF($A668="","",_xlfn.XLOOKUP(LOWER(TRIM(Base_Bruta!F668)),DePara_Cidade!$A$2:$A$29,DePara_Cidade!$B$2:$B$29,"REVISAR"))</f>
        <v>São Paulo</v>
      </c>
      <c r="G668" s="4" t="str">
        <f aca="false">IF($A668="","",TRIM(Base_Bruta!G668))</f>
        <v>Inteira</v>
      </c>
      <c r="H668" s="4" t="n">
        <f aca="false">IF($A668="","",IF(ISNUMBER(Base_Bruta!H668),Base_Bruta!H668,IFERROR(_xlfn.NUMBERVALUE(TRIM(SUBSTITUTE(Base_Bruta!H668,"R$","")),",","."),0)))</f>
        <v>3</v>
      </c>
      <c r="I668" s="6" t="n">
        <f aca="false">IF($A668="","",IF(ISNUMBER(Base_Bruta!I668),Base_Bruta!I668,IFERROR(_xlfn.NUMBERVALUE(TRIM(SUBSTITUTE(Base_Bruta!I668,"R$","")),",","."),0)))</f>
        <v>935</v>
      </c>
      <c r="J668" s="6" t="n">
        <f aca="false">IF($A668="","",H668*I668)</f>
        <v>2805</v>
      </c>
      <c r="K668" s="4" t="str">
        <f aca="false">IF($A668="","",TRIM(Base_Bruta!J668))</f>
        <v>Bilheteria</v>
      </c>
      <c r="L668" s="4" t="str">
        <f aca="false">IF($A668="","",TRIM(Base_Bruta!K668))</f>
        <v>C01408</v>
      </c>
      <c r="M668" s="4" t="str">
        <f aca="false">IF($A668="","",_xlfn.XLOOKUP(LOWER(TRIM(Base_Bruta!L668)),DePara_Cidade!$A$2:$A$29,DePara_Cidade!$B$2:$B$29,"REVISAR"))</f>
        <v>São Paulo</v>
      </c>
      <c r="N668" s="4" t="str">
        <f aca="false">IF($A668="","",UPPER(TRIM(Base_Bruta!M668)))</f>
        <v>SP</v>
      </c>
      <c r="O668" s="4" t="str">
        <f aca="false">IF($A668="","",_xlfn.XLOOKUP(LOWER(TRIM(Base_Bruta!N668)),DePara_Pais!$A$2:$A$9,DePara_Pais!$B$2:$B$9,"REVISAR"))</f>
        <v>Brasil</v>
      </c>
      <c r="P668" s="4" t="str">
        <f aca="false">IF($A668="","",IF(O668&lt;&gt;"Brasil","Turista Internacional",IF(M668=F668,"Local","Turista Nacional")))</f>
        <v>Local</v>
      </c>
      <c r="Q668" s="7" t="n">
        <f aca="false">IF($A668="","",DATE(YEAR(B668),MONTH(B668),1))</f>
        <v>46082</v>
      </c>
      <c r="R668" s="4" t="str">
        <f aca="false">IF($A668="","",IF(COUNTIF($A$2:$A668,$A668)&gt;1,"Sim","Não"))</f>
        <v>Não</v>
      </c>
      <c r="S668" s="4" t="str">
        <f aca="false">IF(A668="","Descartar - Linha vazia",IF(R668="Sim","Descartar - Duplicado",IF(OR(H668&lt;=0,I668&lt;=0),"Descartar - Qtd/Valor inválido","OK")))</f>
        <v>OK</v>
      </c>
      <c r="T668" s="4" t="str">
        <f aca="false">Base_Bruta!P668</f>
        <v>vendas_SP.xlsx</v>
      </c>
    </row>
    <row r="669" customFormat="false" ht="15" hidden="false" customHeight="false" outlineLevel="0" collapsed="false">
      <c r="A669" s="4" t="str">
        <f aca="false">IF(Base_Bruta!A669="","",Base_Bruta!A669)</f>
        <v>SP-000317</v>
      </c>
      <c r="B669" s="5" t="n">
        <f aca="false">IF($A669="","",IF(ISNUMBER(Base_Bruta!B669),Base_Bruta!B669,IF(MID(Base_Bruta!B669,5,1)="-",DATE(VALUE(LEFT(Base_Bruta!B669,4)),VALUE(MID(Base_Bruta!B669,6,2)),VALUE(RIGHT(Base_Bruta!B669,2))),DATE(VALUE(RIGHT(Base_Bruta!B669,4)),VALUE(MID(Base_Bruta!B669,4,2)),VALUE(LEFT(Base_Bruta!B669,2))))))</f>
        <v>46091</v>
      </c>
      <c r="C669" s="5" t="n">
        <f aca="false">IF($A669="","",IF(ISNUMBER(Base_Bruta!C669),Base_Bruta!C669,IF(MID(Base_Bruta!C669,5,1)="-",DATE(VALUE(LEFT(Base_Bruta!C669,4)),VALUE(MID(Base_Bruta!C669,6,2)),VALUE(RIGHT(Base_Bruta!C669,2))),DATE(VALUE(RIGHT(Base_Bruta!C669,4)),VALUE(MID(Base_Bruta!C669,4,2)),VALUE(LEFT(Base_Bruta!C669,2))))))</f>
        <v>46130</v>
      </c>
      <c r="D669" s="4" t="str">
        <f aca="false">IF($A669="","",TRIM(Base_Bruta!D669))</f>
        <v>Festival Sonora SP 2026</v>
      </c>
      <c r="E669" s="4" t="str">
        <f aca="false">IF($A669="","",_xlfn.XLOOKUP(LOWER(TRIM(Base_Bruta!E669)),DePara_Categoria!$A$2:$A$9,DePara_Categoria!$B$2:$B$9,"REVISAR"))</f>
        <v>Festival</v>
      </c>
      <c r="F669" s="4" t="str">
        <f aca="false">IF($A669="","",_xlfn.XLOOKUP(LOWER(TRIM(Base_Bruta!F669)),DePara_Cidade!$A$2:$A$29,DePara_Cidade!$B$2:$B$29,"REVISAR"))</f>
        <v>São Paulo</v>
      </c>
      <c r="G669" s="4" t="str">
        <f aca="false">IF($A669="","",TRIM(Base_Bruta!G669))</f>
        <v>Inteira</v>
      </c>
      <c r="H669" s="4" t="n">
        <f aca="false">IF($A669="","",IF(ISNUMBER(Base_Bruta!H669),Base_Bruta!H669,IFERROR(_xlfn.NUMBERVALUE(TRIM(SUBSTITUTE(Base_Bruta!H669,"R$","")),",","."),0)))</f>
        <v>2</v>
      </c>
      <c r="I669" s="6" t="n">
        <f aca="false">IF($A669="","",IF(ISNUMBER(Base_Bruta!I669),Base_Bruta!I669,IFERROR(_xlfn.NUMBERVALUE(TRIM(SUBSTITUTE(Base_Bruta!I669,"R$","")),",","."),0)))</f>
        <v>790</v>
      </c>
      <c r="J669" s="6" t="n">
        <f aca="false">IF($A669="","",H669*I669)</f>
        <v>1580</v>
      </c>
      <c r="K669" s="4" t="str">
        <f aca="false">IF($A669="","",TRIM(Base_Bruta!J669))</f>
        <v>Bilheteria</v>
      </c>
      <c r="L669" s="4" t="str">
        <f aca="false">IF($A669="","",TRIM(Base_Bruta!K669))</f>
        <v>C01001</v>
      </c>
      <c r="M669" s="4" t="str">
        <f aca="false">IF($A669="","",_xlfn.XLOOKUP(LOWER(TRIM(Base_Bruta!L669)),DePara_Cidade!$A$2:$A$29,DePara_Cidade!$B$2:$B$29,"REVISAR"))</f>
        <v>São Paulo</v>
      </c>
      <c r="N669" s="4" t="str">
        <f aca="false">IF($A669="","",UPPER(TRIM(Base_Bruta!M669)))</f>
        <v>SP</v>
      </c>
      <c r="O669" s="4" t="str">
        <f aca="false">IF($A669="","",_xlfn.XLOOKUP(LOWER(TRIM(Base_Bruta!N669)),DePara_Pais!$A$2:$A$9,DePara_Pais!$B$2:$B$9,"REVISAR"))</f>
        <v>Brasil</v>
      </c>
      <c r="P669" s="4" t="str">
        <f aca="false">IF($A669="","",IF(O669&lt;&gt;"Brasil","Turista Internacional",IF(M669=F669,"Local","Turista Nacional")))</f>
        <v>Local</v>
      </c>
      <c r="Q669" s="7" t="n">
        <f aca="false">IF($A669="","",DATE(YEAR(B669),MONTH(B669),1))</f>
        <v>46082</v>
      </c>
      <c r="R669" s="4" t="str">
        <f aca="false">IF($A669="","",IF(COUNTIF($A$2:$A669,$A669)&gt;1,"Sim","Não"))</f>
        <v>Não</v>
      </c>
      <c r="S669" s="4" t="str">
        <f aca="false">IF(A669="","Descartar - Linha vazia",IF(R669="Sim","Descartar - Duplicado",IF(OR(H669&lt;=0,I669&lt;=0),"Descartar - Qtd/Valor inválido","OK")))</f>
        <v>OK</v>
      </c>
      <c r="T669" s="4" t="str">
        <f aca="false">Base_Bruta!P669</f>
        <v>vendas_SP.xlsx</v>
      </c>
    </row>
    <row r="670" customFormat="false" ht="15" hidden="false" customHeight="false" outlineLevel="0" collapsed="false">
      <c r="A670" s="4" t="str">
        <f aca="false">IF(Base_Bruta!A670="","",Base_Bruta!A670)</f>
        <v>SP-000245</v>
      </c>
      <c r="B670" s="5" t="n">
        <f aca="false">IF($A670="","",IF(ISNUMBER(Base_Bruta!B670),Base_Bruta!B670,IF(MID(Base_Bruta!B670,5,1)="-",DATE(VALUE(LEFT(Base_Bruta!B670,4)),VALUE(MID(Base_Bruta!B670,6,2)),VALUE(RIGHT(Base_Bruta!B670,2))),DATE(VALUE(RIGHT(Base_Bruta!B670,4)),VALUE(MID(Base_Bruta!B670,4,2)),VALUE(LEFT(Base_Bruta!B670,2))))))</f>
        <v>46092</v>
      </c>
      <c r="C670" s="5" t="n">
        <f aca="false">IF($A670="","",IF(ISNUMBER(Base_Bruta!C670),Base_Bruta!C670,IF(MID(Base_Bruta!C670,5,1)="-",DATE(VALUE(LEFT(Base_Bruta!C670,4)),VALUE(MID(Base_Bruta!C670,6,2)),VALUE(RIGHT(Base_Bruta!C670,2))),DATE(VALUE(RIGHT(Base_Bruta!C670,4)),VALUE(MID(Base_Bruta!C670,4,2)),VALUE(LEFT(Base_Bruta!C670,2))))))</f>
        <v>46130</v>
      </c>
      <c r="D670" s="4" t="str">
        <f aca="false">IF($A670="","",TRIM(Base_Bruta!D670))</f>
        <v>Festival Sonora SP 2026</v>
      </c>
      <c r="E670" s="4" t="str">
        <f aca="false">IF($A670="","",_xlfn.XLOOKUP(LOWER(TRIM(Base_Bruta!E670)),DePara_Categoria!$A$2:$A$9,DePara_Categoria!$B$2:$B$9,"REVISAR"))</f>
        <v>Festival</v>
      </c>
      <c r="F670" s="4" t="str">
        <f aca="false">IF($A670="","",_xlfn.XLOOKUP(LOWER(TRIM(Base_Bruta!F670)),DePara_Cidade!$A$2:$A$29,DePara_Cidade!$B$2:$B$29,"REVISAR"))</f>
        <v>São Paulo</v>
      </c>
      <c r="G670" s="4" t="str">
        <f aca="false">IF($A670="","",TRIM(Base_Bruta!G670))</f>
        <v>Inteira</v>
      </c>
      <c r="H670" s="4" t="n">
        <f aca="false">IF($A670="","",IF(ISNUMBER(Base_Bruta!H670),Base_Bruta!H670,IFERROR(_xlfn.NUMBERVALUE(TRIM(SUBSTITUTE(Base_Bruta!H670,"R$","")),",","."),0)))</f>
        <v>2</v>
      </c>
      <c r="I670" s="6" t="n">
        <f aca="false">IF($A670="","",IF(ISNUMBER(Base_Bruta!I670),Base_Bruta!I670,IFERROR(_xlfn.NUMBERVALUE(TRIM(SUBSTITUTE(Base_Bruta!I670,"R$","")),",","."),0)))</f>
        <v>930</v>
      </c>
      <c r="J670" s="6" t="n">
        <f aca="false">IF($A670="","",H670*I670)</f>
        <v>1860</v>
      </c>
      <c r="K670" s="4" t="str">
        <f aca="false">IF($A670="","",TRIM(Base_Bruta!J670))</f>
        <v>Site</v>
      </c>
      <c r="L670" s="4" t="str">
        <f aca="false">IF($A670="","",TRIM(Base_Bruta!K670))</f>
        <v>C02023</v>
      </c>
      <c r="M670" s="4" t="str">
        <f aca="false">IF($A670="","",_xlfn.XLOOKUP(LOWER(TRIM(Base_Bruta!L670)),DePara_Cidade!$A$2:$A$29,DePara_Cidade!$B$2:$B$29,"REVISAR"))</f>
        <v>São Paulo</v>
      </c>
      <c r="N670" s="4" t="str">
        <f aca="false">IF($A670="","",UPPER(TRIM(Base_Bruta!M670)))</f>
        <v>SP</v>
      </c>
      <c r="O670" s="4" t="str">
        <f aca="false">IF($A670="","",_xlfn.XLOOKUP(LOWER(TRIM(Base_Bruta!N670)),DePara_Pais!$A$2:$A$9,DePara_Pais!$B$2:$B$9,"REVISAR"))</f>
        <v>Brasil</v>
      </c>
      <c r="P670" s="4" t="str">
        <f aca="false">IF($A670="","",IF(O670&lt;&gt;"Brasil","Turista Internacional",IF(M670=F670,"Local","Turista Nacional")))</f>
        <v>Local</v>
      </c>
      <c r="Q670" s="7" t="n">
        <f aca="false">IF($A670="","",DATE(YEAR(B670),MONTH(B670),1))</f>
        <v>46082</v>
      </c>
      <c r="R670" s="4" t="str">
        <f aca="false">IF($A670="","",IF(COUNTIF($A$2:$A670,$A670)&gt;1,"Sim","Não"))</f>
        <v>Não</v>
      </c>
      <c r="S670" s="4" t="str">
        <f aca="false">IF(A670="","Descartar - Linha vazia",IF(R670="Sim","Descartar - Duplicado",IF(OR(H670&lt;=0,I670&lt;=0),"Descartar - Qtd/Valor inválido","OK")))</f>
        <v>OK</v>
      </c>
      <c r="T670" s="4" t="str">
        <f aca="false">Base_Bruta!P670</f>
        <v>vendas_SP.xlsx</v>
      </c>
    </row>
    <row r="671" customFormat="false" ht="15" hidden="false" customHeight="false" outlineLevel="0" collapsed="false">
      <c r="A671" s="4" t="str">
        <f aca="false">IF(Base_Bruta!A671="","",Base_Bruta!A671)</f>
        <v>SP-000437</v>
      </c>
      <c r="B671" s="5" t="n">
        <f aca="false">IF($A671="","",IF(ISNUMBER(Base_Bruta!B671),Base_Bruta!B671,IF(MID(Base_Bruta!B671,5,1)="-",DATE(VALUE(LEFT(Base_Bruta!B671,4)),VALUE(MID(Base_Bruta!B671,6,2)),VALUE(RIGHT(Base_Bruta!B671,2))),DATE(VALUE(RIGHT(Base_Bruta!B671,4)),VALUE(MID(Base_Bruta!B671,4,2)),VALUE(LEFT(Base_Bruta!B671,2))))))</f>
        <v>46092</v>
      </c>
      <c r="C671" s="5" t="n">
        <f aca="false">IF($A671="","",IF(ISNUMBER(Base_Bruta!C671),Base_Bruta!C671,IF(MID(Base_Bruta!C671,5,1)="-",DATE(VALUE(LEFT(Base_Bruta!C671,4)),VALUE(MID(Base_Bruta!C671,6,2)),VALUE(RIGHT(Base_Bruta!C671,2))),DATE(VALUE(RIGHT(Base_Bruta!C671,4)),VALUE(MID(Base_Bruta!C671,4,2)),VALUE(LEFT(Base_Bruta!C671,2))))))</f>
        <v>46130</v>
      </c>
      <c r="D671" s="4" t="str">
        <f aca="false">IF($A671="","",TRIM(Base_Bruta!D671))</f>
        <v>Festival Sonora SP 2026</v>
      </c>
      <c r="E671" s="4" t="str">
        <f aca="false">IF($A671="","",_xlfn.XLOOKUP(LOWER(TRIM(Base_Bruta!E671)),DePara_Categoria!$A$2:$A$9,DePara_Categoria!$B$2:$B$9,"REVISAR"))</f>
        <v>Festival</v>
      </c>
      <c r="F671" s="4" t="str">
        <f aca="false">IF($A671="","",_xlfn.XLOOKUP(LOWER(TRIM(Base_Bruta!F671)),DePara_Cidade!$A$2:$A$29,DePara_Cidade!$B$2:$B$29,"REVISAR"))</f>
        <v>São Paulo</v>
      </c>
      <c r="G671" s="4" t="str">
        <f aca="false">IF($A671="","",TRIM(Base_Bruta!G671))</f>
        <v>Inteira</v>
      </c>
      <c r="H671" s="4" t="n">
        <f aca="false">IF($A671="","",IF(ISNUMBER(Base_Bruta!H671),Base_Bruta!H671,IFERROR(_xlfn.NUMBERVALUE(TRIM(SUBSTITUTE(Base_Bruta!H671,"R$","")),",","."),0)))</f>
        <v>4</v>
      </c>
      <c r="I671" s="6" t="n">
        <f aca="false">IF($A671="","",IF(ISNUMBER(Base_Bruta!I671),Base_Bruta!I671,IFERROR(_xlfn.NUMBERVALUE(TRIM(SUBSTITUTE(Base_Bruta!I671,"R$","")),",","."),0)))</f>
        <v>1065</v>
      </c>
      <c r="J671" s="6" t="n">
        <f aca="false">IF($A671="","",H671*I671)</f>
        <v>4260</v>
      </c>
      <c r="K671" s="4" t="str">
        <f aca="false">IF($A671="","",TRIM(Base_Bruta!J671))</f>
        <v>App</v>
      </c>
      <c r="L671" s="4" t="str">
        <f aca="false">IF($A671="","",TRIM(Base_Bruta!K671))</f>
        <v>C00434</v>
      </c>
      <c r="M671" s="4" t="str">
        <f aca="false">IF($A671="","",_xlfn.XLOOKUP(LOWER(TRIM(Base_Bruta!L671)),DePara_Cidade!$A$2:$A$29,DePara_Cidade!$B$2:$B$29,"REVISAR"))</f>
        <v>São Paulo</v>
      </c>
      <c r="N671" s="4" t="str">
        <f aca="false">IF($A671="","",UPPER(TRIM(Base_Bruta!M671)))</f>
        <v>SP</v>
      </c>
      <c r="O671" s="4" t="str">
        <f aca="false">IF($A671="","",_xlfn.XLOOKUP(LOWER(TRIM(Base_Bruta!N671)),DePara_Pais!$A$2:$A$9,DePara_Pais!$B$2:$B$9,"REVISAR"))</f>
        <v>Brasil</v>
      </c>
      <c r="P671" s="4" t="str">
        <f aca="false">IF($A671="","",IF(O671&lt;&gt;"Brasil","Turista Internacional",IF(M671=F671,"Local","Turista Nacional")))</f>
        <v>Local</v>
      </c>
      <c r="Q671" s="7" t="n">
        <f aca="false">IF($A671="","",DATE(YEAR(B671),MONTH(B671),1))</f>
        <v>46082</v>
      </c>
      <c r="R671" s="4" t="str">
        <f aca="false">IF($A671="","",IF(COUNTIF($A$2:$A671,$A671)&gt;1,"Sim","Não"))</f>
        <v>Não</v>
      </c>
      <c r="S671" s="4" t="str">
        <f aca="false">IF(A671="","Descartar - Linha vazia",IF(R671="Sim","Descartar - Duplicado",IF(OR(H671&lt;=0,I671&lt;=0),"Descartar - Qtd/Valor inválido","OK")))</f>
        <v>OK</v>
      </c>
      <c r="T671" s="4" t="str">
        <f aca="false">Base_Bruta!P671</f>
        <v>vendas_SP.xlsx</v>
      </c>
    </row>
    <row r="672" customFormat="false" ht="15" hidden="false" customHeight="false" outlineLevel="0" collapsed="false">
      <c r="A672" s="4" t="str">
        <f aca="false">IF(Base_Bruta!A672="","",Base_Bruta!A672)</f>
        <v>SP-000684</v>
      </c>
      <c r="B672" s="5" t="n">
        <f aca="false">IF($A672="","",IF(ISNUMBER(Base_Bruta!B672),Base_Bruta!B672,IF(MID(Base_Bruta!B672,5,1)="-",DATE(VALUE(LEFT(Base_Bruta!B672,4)),VALUE(MID(Base_Bruta!B672,6,2)),VALUE(RIGHT(Base_Bruta!B672,2))),DATE(VALUE(RIGHT(Base_Bruta!B672,4)),VALUE(MID(Base_Bruta!B672,4,2)),VALUE(LEFT(Base_Bruta!B672,2))))))</f>
        <v>46092</v>
      </c>
      <c r="C672" s="5" t="n">
        <f aca="false">IF($A672="","",IF(ISNUMBER(Base_Bruta!C672),Base_Bruta!C672,IF(MID(Base_Bruta!C672,5,1)="-",DATE(VALUE(LEFT(Base_Bruta!C672,4)),VALUE(MID(Base_Bruta!C672,6,2)),VALUE(RIGHT(Base_Bruta!C672,2))),DATE(VALUE(RIGHT(Base_Bruta!C672,4)),VALUE(MID(Base_Bruta!C672,4,2)),VALUE(LEFT(Base_Bruta!C672,2))))))</f>
        <v>46092</v>
      </c>
      <c r="D672" s="4" t="str">
        <f aca="false">IF($A672="","",TRIM(Base_Bruta!D672))</f>
        <v>Cinema Paulista - Sessões</v>
      </c>
      <c r="E672" s="4" t="str">
        <f aca="false">IF($A672="","",_xlfn.XLOOKUP(LOWER(TRIM(Base_Bruta!E672)),DePara_Categoria!$A$2:$A$9,DePara_Categoria!$B$2:$B$9,"REVISAR"))</f>
        <v>Cinema</v>
      </c>
      <c r="F672" s="4" t="str">
        <f aca="false">IF($A672="","",_xlfn.XLOOKUP(LOWER(TRIM(Base_Bruta!F672)),DePara_Cidade!$A$2:$A$29,DePara_Cidade!$B$2:$B$29,"REVISAR"))</f>
        <v>São Paulo</v>
      </c>
      <c r="G672" s="4" t="str">
        <f aca="false">IF($A672="","",TRIM(Base_Bruta!G672))</f>
        <v>Inteira</v>
      </c>
      <c r="H672" s="4" t="n">
        <f aca="false">IF($A672="","",IF(ISNUMBER(Base_Bruta!H672),Base_Bruta!H672,IFERROR(_xlfn.NUMBERVALUE(TRIM(SUBSTITUTE(Base_Bruta!H672,"R$","")),",","."),0)))</f>
        <v>2</v>
      </c>
      <c r="I672" s="6" t="n">
        <f aca="false">IF($A672="","",IF(ISNUMBER(Base_Bruta!I672),Base_Bruta!I672,IFERROR(_xlfn.NUMBERVALUE(TRIM(SUBSTITUTE(Base_Bruta!I672,"R$","")),",","."),0)))</f>
        <v>45</v>
      </c>
      <c r="J672" s="6" t="n">
        <f aca="false">IF($A672="","",H672*I672)</f>
        <v>90</v>
      </c>
      <c r="K672" s="4" t="str">
        <f aca="false">IF($A672="","",TRIM(Base_Bruta!J672))</f>
        <v>App</v>
      </c>
      <c r="L672" s="4" t="str">
        <f aca="false">IF($A672="","",TRIM(Base_Bruta!K672))</f>
        <v>C01686</v>
      </c>
      <c r="M672" s="4" t="str">
        <f aca="false">IF($A672="","",_xlfn.XLOOKUP(LOWER(TRIM(Base_Bruta!L672)),DePara_Cidade!$A$2:$A$29,DePara_Cidade!$B$2:$B$29,"REVISAR"))</f>
        <v>São Paulo</v>
      </c>
      <c r="N672" s="4" t="str">
        <f aca="false">IF($A672="","",UPPER(TRIM(Base_Bruta!M672)))</f>
        <v>SP</v>
      </c>
      <c r="O672" s="4" t="str">
        <f aca="false">IF($A672="","",_xlfn.XLOOKUP(LOWER(TRIM(Base_Bruta!N672)),DePara_Pais!$A$2:$A$9,DePara_Pais!$B$2:$B$9,"REVISAR"))</f>
        <v>Brasil</v>
      </c>
      <c r="P672" s="4" t="str">
        <f aca="false">IF($A672="","",IF(O672&lt;&gt;"Brasil","Turista Internacional",IF(M672=F672,"Local","Turista Nacional")))</f>
        <v>Local</v>
      </c>
      <c r="Q672" s="7" t="n">
        <f aca="false">IF($A672="","",DATE(YEAR(B672),MONTH(B672),1))</f>
        <v>46082</v>
      </c>
      <c r="R672" s="4" t="str">
        <f aca="false">IF($A672="","",IF(COUNTIF($A$2:$A672,$A672)&gt;1,"Sim","Não"))</f>
        <v>Não</v>
      </c>
      <c r="S672" s="4" t="str">
        <f aca="false">IF(A672="","Descartar - Linha vazia",IF(R672="Sim","Descartar - Duplicado",IF(OR(H672&lt;=0,I672&lt;=0),"Descartar - Qtd/Valor inválido","OK")))</f>
        <v>OK</v>
      </c>
      <c r="T672" s="4" t="str">
        <f aca="false">Base_Bruta!P672</f>
        <v>vendas_SP.xlsx</v>
      </c>
    </row>
    <row r="673" customFormat="false" ht="15" hidden="false" customHeight="false" outlineLevel="0" collapsed="false">
      <c r="A673" s="4" t="str">
        <f aca="false">IF(Base_Bruta!A673="","",Base_Bruta!A673)</f>
        <v>SP-000362</v>
      </c>
      <c r="B673" s="5" t="n">
        <f aca="false">IF($A673="","",IF(ISNUMBER(Base_Bruta!B673),Base_Bruta!B673,IF(MID(Base_Bruta!B673,5,1)="-",DATE(VALUE(LEFT(Base_Bruta!B673,4)),VALUE(MID(Base_Bruta!B673,6,2)),VALUE(RIGHT(Base_Bruta!B673,2))),DATE(VALUE(RIGHT(Base_Bruta!B673,4)),VALUE(MID(Base_Bruta!B673,4,2)),VALUE(LEFT(Base_Bruta!B673,2))))))</f>
        <v>46093</v>
      </c>
      <c r="C673" s="5" t="n">
        <f aca="false">IF($A673="","",IF(ISNUMBER(Base_Bruta!C673),Base_Bruta!C673,IF(MID(Base_Bruta!C673,5,1)="-",DATE(VALUE(LEFT(Base_Bruta!C673,4)),VALUE(MID(Base_Bruta!C673,6,2)),VALUE(RIGHT(Base_Bruta!C673,2))),DATE(VALUE(RIGHT(Base_Bruta!C673,4)),VALUE(MID(Base_Bruta!C673,4,2)),VALUE(LEFT(Base_Bruta!C673,2))))))</f>
        <v>46130</v>
      </c>
      <c r="D673" s="4" t="str">
        <f aca="false">IF($A673="","",TRIM(Base_Bruta!D673))</f>
        <v>Festival Sonora SP 2026</v>
      </c>
      <c r="E673" s="4" t="str">
        <f aca="false">IF($A673="","",_xlfn.XLOOKUP(LOWER(TRIM(Base_Bruta!E673)),DePara_Categoria!$A$2:$A$9,DePara_Categoria!$B$2:$B$9,"REVISAR"))</f>
        <v>Festival</v>
      </c>
      <c r="F673" s="4" t="str">
        <f aca="false">IF($A673="","",_xlfn.XLOOKUP(LOWER(TRIM(Base_Bruta!F673)),DePara_Cidade!$A$2:$A$29,DePara_Cidade!$B$2:$B$29,"REVISAR"))</f>
        <v>São Paulo</v>
      </c>
      <c r="G673" s="4" t="str">
        <f aca="false">IF($A673="","",TRIM(Base_Bruta!G673))</f>
        <v>Meia</v>
      </c>
      <c r="H673" s="4" t="n">
        <f aca="false">IF($A673="","",IF(ISNUMBER(Base_Bruta!H673),Base_Bruta!H673,IFERROR(_xlfn.NUMBERVALUE(TRIM(SUBSTITUTE(Base_Bruta!H673,"R$","")),",","."),0)))</f>
        <v>2</v>
      </c>
      <c r="I673" s="6" t="n">
        <f aca="false">IF($A673="","",IF(ISNUMBER(Base_Bruta!I673),Base_Bruta!I673,IFERROR(_xlfn.NUMBERVALUE(TRIM(SUBSTITUTE(Base_Bruta!I673,"R$","")),",","."),0)))</f>
        <v>405</v>
      </c>
      <c r="J673" s="6" t="n">
        <f aca="false">IF($A673="","",H673*I673)</f>
        <v>810</v>
      </c>
      <c r="K673" s="4" t="str">
        <f aca="false">IF($A673="","",TRIM(Base_Bruta!J673))</f>
        <v>App</v>
      </c>
      <c r="L673" s="4" t="str">
        <f aca="false">IF($A673="","",TRIM(Base_Bruta!K673))</f>
        <v>C01601</v>
      </c>
      <c r="M673" s="4" t="str">
        <f aca="false">IF($A673="","",_xlfn.XLOOKUP(LOWER(TRIM(Base_Bruta!L673)),DePara_Cidade!$A$2:$A$29,DePara_Cidade!$B$2:$B$29,"REVISAR"))</f>
        <v>Buenos Aires</v>
      </c>
      <c r="N673" s="4" t="str">
        <f aca="false">IF($A673="","",UPPER(TRIM(Base_Bruta!M673)))</f>
        <v>EX</v>
      </c>
      <c r="O673" s="4" t="str">
        <f aca="false">IF($A673="","",_xlfn.XLOOKUP(LOWER(TRIM(Base_Bruta!N673)),DePara_Pais!$A$2:$A$9,DePara_Pais!$B$2:$B$9,"REVISAR"))</f>
        <v>Argentina</v>
      </c>
      <c r="P673" s="4" t="str">
        <f aca="false">IF($A673="","",IF(O673&lt;&gt;"Brasil","Turista Internacional",IF(M673=F673,"Local","Turista Nacional")))</f>
        <v>Turista Internacional</v>
      </c>
      <c r="Q673" s="7" t="n">
        <f aca="false">IF($A673="","",DATE(YEAR(B673),MONTH(B673),1))</f>
        <v>46082</v>
      </c>
      <c r="R673" s="4" t="str">
        <f aca="false">IF($A673="","",IF(COUNTIF($A$2:$A673,$A673)&gt;1,"Sim","Não"))</f>
        <v>Não</v>
      </c>
      <c r="S673" s="4" t="str">
        <f aca="false">IF(A673="","Descartar - Linha vazia",IF(R673="Sim","Descartar - Duplicado",IF(OR(H673&lt;=0,I673&lt;=0),"Descartar - Qtd/Valor inválido","OK")))</f>
        <v>OK</v>
      </c>
      <c r="T673" s="4" t="str">
        <f aca="false">Base_Bruta!P673</f>
        <v>vendas_SP.xlsx</v>
      </c>
    </row>
    <row r="674" customFormat="false" ht="15" hidden="false" customHeight="false" outlineLevel="0" collapsed="false">
      <c r="A674" s="4" t="str">
        <f aca="false">IF(Base_Bruta!A674="","",Base_Bruta!A674)</f>
        <v>SP-000367</v>
      </c>
      <c r="B674" s="5" t="n">
        <f aca="false">IF($A674="","",IF(ISNUMBER(Base_Bruta!B674),Base_Bruta!B674,IF(MID(Base_Bruta!B674,5,1)="-",DATE(VALUE(LEFT(Base_Bruta!B674,4)),VALUE(MID(Base_Bruta!B674,6,2)),VALUE(RIGHT(Base_Bruta!B674,2))),DATE(VALUE(RIGHT(Base_Bruta!B674,4)),VALUE(MID(Base_Bruta!B674,4,2)),VALUE(LEFT(Base_Bruta!B674,2))))))</f>
        <v>46093</v>
      </c>
      <c r="C674" s="5" t="n">
        <f aca="false">IF($A674="","",IF(ISNUMBER(Base_Bruta!C674),Base_Bruta!C674,IF(MID(Base_Bruta!C674,5,1)="-",DATE(VALUE(LEFT(Base_Bruta!C674,4)),VALUE(MID(Base_Bruta!C674,6,2)),VALUE(RIGHT(Base_Bruta!C674,2))),DATE(VALUE(RIGHT(Base_Bruta!C674,4)),VALUE(MID(Base_Bruta!C674,4,2)),VALUE(LEFT(Base_Bruta!C674,2))))))</f>
        <v>46130</v>
      </c>
      <c r="D674" s="4" t="str">
        <f aca="false">IF($A674="","",TRIM(Base_Bruta!D674))</f>
        <v>Festival Sonora SP 2026</v>
      </c>
      <c r="E674" s="4" t="str">
        <f aca="false">IF($A674="","",_xlfn.XLOOKUP(LOWER(TRIM(Base_Bruta!E674)),DePara_Categoria!$A$2:$A$9,DePara_Categoria!$B$2:$B$9,"REVISAR"))</f>
        <v>Festival</v>
      </c>
      <c r="F674" s="4" t="str">
        <f aca="false">IF($A674="","",_xlfn.XLOOKUP(LOWER(TRIM(Base_Bruta!F674)),DePara_Cidade!$A$2:$A$29,DePara_Cidade!$B$2:$B$29,"REVISAR"))</f>
        <v>São Paulo</v>
      </c>
      <c r="G674" s="4" t="str">
        <f aca="false">IF($A674="","",TRIM(Base_Bruta!G674))</f>
        <v>Inteira</v>
      </c>
      <c r="H674" s="4" t="n">
        <f aca="false">IF($A674="","",IF(ISNUMBER(Base_Bruta!H674),Base_Bruta!H674,IFERROR(_xlfn.NUMBERVALUE(TRIM(SUBSTITUTE(Base_Bruta!H674,"R$","")),",","."),0)))</f>
        <v>2</v>
      </c>
      <c r="I674" s="6" t="n">
        <f aca="false">IF($A674="","",IF(ISNUMBER(Base_Bruta!I674),Base_Bruta!I674,IFERROR(_xlfn.NUMBERVALUE(TRIM(SUBSTITUTE(Base_Bruta!I674,"R$","")),",","."),0)))</f>
        <v>740</v>
      </c>
      <c r="J674" s="6" t="n">
        <f aca="false">IF($A674="","",H674*I674)</f>
        <v>1480</v>
      </c>
      <c r="K674" s="4" t="str">
        <f aca="false">IF($A674="","",TRIM(Base_Bruta!J674))</f>
        <v>App</v>
      </c>
      <c r="L674" s="4" t="str">
        <f aca="false">IF($A674="","",TRIM(Base_Bruta!K674))</f>
        <v>C01001</v>
      </c>
      <c r="M674" s="4" t="str">
        <f aca="false">IF($A674="","",_xlfn.XLOOKUP(LOWER(TRIM(Base_Bruta!L674)),DePara_Cidade!$A$2:$A$29,DePara_Cidade!$B$2:$B$29,"REVISAR"))</f>
        <v>São Paulo</v>
      </c>
      <c r="N674" s="4" t="str">
        <f aca="false">IF($A674="","",UPPER(TRIM(Base_Bruta!M674)))</f>
        <v>SP</v>
      </c>
      <c r="O674" s="4" t="str">
        <f aca="false">IF($A674="","",_xlfn.XLOOKUP(LOWER(TRIM(Base_Bruta!N674)),DePara_Pais!$A$2:$A$9,DePara_Pais!$B$2:$B$9,"REVISAR"))</f>
        <v>Brasil</v>
      </c>
      <c r="P674" s="4" t="str">
        <f aca="false">IF($A674="","",IF(O674&lt;&gt;"Brasil","Turista Internacional",IF(M674=F674,"Local","Turista Nacional")))</f>
        <v>Local</v>
      </c>
      <c r="Q674" s="7" t="n">
        <f aca="false">IF($A674="","",DATE(YEAR(B674),MONTH(B674),1))</f>
        <v>46082</v>
      </c>
      <c r="R674" s="4" t="str">
        <f aca="false">IF($A674="","",IF(COUNTIF($A$2:$A674,$A674)&gt;1,"Sim","Não"))</f>
        <v>Não</v>
      </c>
      <c r="S674" s="4" t="str">
        <f aca="false">IF(A674="","Descartar - Linha vazia",IF(R674="Sim","Descartar - Duplicado",IF(OR(H674&lt;=0,I674&lt;=0),"Descartar - Qtd/Valor inválido","OK")))</f>
        <v>OK</v>
      </c>
      <c r="T674" s="4" t="str">
        <f aca="false">Base_Bruta!P674</f>
        <v>vendas_SP.xlsx</v>
      </c>
    </row>
    <row r="675" customFormat="false" ht="15" hidden="false" customHeight="false" outlineLevel="0" collapsed="false">
      <c r="A675" s="4" t="str">
        <f aca="false">IF(Base_Bruta!A675="","",Base_Bruta!A675)</f>
        <v>SP-000432</v>
      </c>
      <c r="B675" s="5" t="n">
        <f aca="false">IF($A675="","",IF(ISNUMBER(Base_Bruta!B675),Base_Bruta!B675,IF(MID(Base_Bruta!B675,5,1)="-",DATE(VALUE(LEFT(Base_Bruta!B675,4)),VALUE(MID(Base_Bruta!B675,6,2)),VALUE(RIGHT(Base_Bruta!B675,2))),DATE(VALUE(RIGHT(Base_Bruta!B675,4)),VALUE(MID(Base_Bruta!B675,4,2)),VALUE(LEFT(Base_Bruta!B675,2))))))</f>
        <v>46093</v>
      </c>
      <c r="C675" s="5" t="n">
        <f aca="false">IF($A675="","",IF(ISNUMBER(Base_Bruta!C675),Base_Bruta!C675,IF(MID(Base_Bruta!C675,5,1)="-",DATE(VALUE(LEFT(Base_Bruta!C675,4)),VALUE(MID(Base_Bruta!C675,6,2)),VALUE(RIGHT(Base_Bruta!C675,2))),DATE(VALUE(RIGHT(Base_Bruta!C675,4)),VALUE(MID(Base_Bruta!C675,4,2)),VALUE(LEFT(Base_Bruta!C675,2))))))</f>
        <v>46130</v>
      </c>
      <c r="D675" s="4" t="str">
        <f aca="false">IF($A675="","",TRIM(Base_Bruta!D675))</f>
        <v>Festival Sonora SP 2026</v>
      </c>
      <c r="E675" s="4" t="str">
        <f aca="false">IF($A675="","",_xlfn.XLOOKUP(LOWER(TRIM(Base_Bruta!E675)),DePara_Categoria!$A$2:$A$9,DePara_Categoria!$B$2:$B$9,"REVISAR"))</f>
        <v>Festival</v>
      </c>
      <c r="F675" s="4" t="str">
        <f aca="false">IF($A675="","",_xlfn.XLOOKUP(LOWER(TRIM(Base_Bruta!F675)),DePara_Cidade!$A$2:$A$29,DePara_Cidade!$B$2:$B$29,"REVISAR"))</f>
        <v>São Paulo</v>
      </c>
      <c r="G675" s="4" t="str">
        <f aca="false">IF($A675="","",TRIM(Base_Bruta!G675))</f>
        <v>Inteira</v>
      </c>
      <c r="H675" s="4" t="n">
        <f aca="false">IF($A675="","",IF(ISNUMBER(Base_Bruta!H675),Base_Bruta!H675,IFERROR(_xlfn.NUMBERVALUE(TRIM(SUBSTITUTE(Base_Bruta!H675,"R$","")),",","."),0)))</f>
        <v>2</v>
      </c>
      <c r="I675" s="6" t="n">
        <f aca="false">IF($A675="","",IF(ISNUMBER(Base_Bruta!I675),Base_Bruta!I675,IFERROR(_xlfn.NUMBERVALUE(TRIM(SUBSTITUTE(Base_Bruta!I675,"R$","")),",","."),0)))</f>
        <v>740</v>
      </c>
      <c r="J675" s="6" t="n">
        <f aca="false">IF($A675="","",H675*I675)</f>
        <v>1480</v>
      </c>
      <c r="K675" s="4" t="str">
        <f aca="false">IF($A675="","",TRIM(Base_Bruta!J675))</f>
        <v>Site</v>
      </c>
      <c r="L675" s="4" t="str">
        <f aca="false">IF($A675="","",TRIM(Base_Bruta!K675))</f>
        <v>C02457</v>
      </c>
      <c r="M675" s="4" t="str">
        <f aca="false">IF($A675="","",_xlfn.XLOOKUP(LOWER(TRIM(Base_Bruta!L675)),DePara_Cidade!$A$2:$A$29,DePara_Cidade!$B$2:$B$29,"REVISAR"))</f>
        <v>Santos</v>
      </c>
      <c r="N675" s="4" t="str">
        <f aca="false">IF($A675="","",UPPER(TRIM(Base_Bruta!M675)))</f>
        <v>SP</v>
      </c>
      <c r="O675" s="4" t="str">
        <f aca="false">IF($A675="","",_xlfn.XLOOKUP(LOWER(TRIM(Base_Bruta!N675)),DePara_Pais!$A$2:$A$9,DePara_Pais!$B$2:$B$9,"REVISAR"))</f>
        <v>Brasil</v>
      </c>
      <c r="P675" s="4" t="str">
        <f aca="false">IF($A675="","",IF(O675&lt;&gt;"Brasil","Turista Internacional",IF(M675=F675,"Local","Turista Nacional")))</f>
        <v>Turista Nacional</v>
      </c>
      <c r="Q675" s="7" t="n">
        <f aca="false">IF($A675="","",DATE(YEAR(B675),MONTH(B675),1))</f>
        <v>46082</v>
      </c>
      <c r="R675" s="4" t="str">
        <f aca="false">IF($A675="","",IF(COUNTIF($A$2:$A675,$A675)&gt;1,"Sim","Não"))</f>
        <v>Não</v>
      </c>
      <c r="S675" s="4" t="str">
        <f aca="false">IF(A675="","Descartar - Linha vazia",IF(R675="Sim","Descartar - Duplicado",IF(OR(H675&lt;=0,I675&lt;=0),"Descartar - Qtd/Valor inválido","OK")))</f>
        <v>OK</v>
      </c>
      <c r="T675" s="4" t="str">
        <f aca="false">Base_Bruta!P675</f>
        <v>vendas_SP.xlsx</v>
      </c>
    </row>
    <row r="676" customFormat="false" ht="15" hidden="false" customHeight="false" outlineLevel="0" collapsed="false">
      <c r="A676" s="4" t="str">
        <f aca="false">IF(Base_Bruta!A676="","",Base_Bruta!A676)</f>
        <v>SP-000683</v>
      </c>
      <c r="B676" s="5" t="n">
        <f aca="false">IF($A676="","",IF(ISNUMBER(Base_Bruta!B676),Base_Bruta!B676,IF(MID(Base_Bruta!B676,5,1)="-",DATE(VALUE(LEFT(Base_Bruta!B676,4)),VALUE(MID(Base_Bruta!B676,6,2)),VALUE(RIGHT(Base_Bruta!B676,2))),DATE(VALUE(RIGHT(Base_Bruta!B676,4)),VALUE(MID(Base_Bruta!B676,4,2)),VALUE(LEFT(Base_Bruta!B676,2))))))</f>
        <v>46093</v>
      </c>
      <c r="C676" s="5" t="n">
        <f aca="false">IF($A676="","",IF(ISNUMBER(Base_Bruta!C676),Base_Bruta!C676,IF(MID(Base_Bruta!C676,5,1)="-",DATE(VALUE(LEFT(Base_Bruta!C676,4)),VALUE(MID(Base_Bruta!C676,6,2)),VALUE(RIGHT(Base_Bruta!C676,2))),DATE(VALUE(RIGHT(Base_Bruta!C676,4)),VALUE(MID(Base_Bruta!C676,4,2)),VALUE(LEFT(Base_Bruta!C676,2))))))</f>
        <v>46095</v>
      </c>
      <c r="D676" s="4" t="str">
        <f aca="false">IF($A676="","",TRIM(Base_Bruta!D676))</f>
        <v>Cinema Paulista - Sessões</v>
      </c>
      <c r="E676" s="4" t="str">
        <f aca="false">IF($A676="","",_xlfn.XLOOKUP(LOWER(TRIM(Base_Bruta!E676)),DePara_Categoria!$A$2:$A$9,DePara_Categoria!$B$2:$B$9,"REVISAR"))</f>
        <v>Cinema</v>
      </c>
      <c r="F676" s="4" t="str">
        <f aca="false">IF($A676="","",_xlfn.XLOOKUP(LOWER(TRIM(Base_Bruta!F676)),DePara_Cidade!$A$2:$A$29,DePara_Cidade!$B$2:$B$29,"REVISAR"))</f>
        <v>São Paulo</v>
      </c>
      <c r="G676" s="4" t="str">
        <f aca="false">IF($A676="","",TRIM(Base_Bruta!G676))</f>
        <v>Inteira</v>
      </c>
      <c r="H676" s="4" t="n">
        <f aca="false">IF($A676="","",IF(ISNUMBER(Base_Bruta!H676),Base_Bruta!H676,IFERROR(_xlfn.NUMBERVALUE(TRIM(SUBSTITUTE(Base_Bruta!H676,"R$","")),",","."),0)))</f>
        <v>1</v>
      </c>
      <c r="I676" s="6" t="n">
        <f aca="false">IF($A676="","",IF(ISNUMBER(Base_Bruta!I676),Base_Bruta!I676,IFERROR(_xlfn.NUMBERVALUE(TRIM(SUBSTITUTE(Base_Bruta!I676,"R$","")),",","."),0)))</f>
        <v>30</v>
      </c>
      <c r="J676" s="6" t="n">
        <f aca="false">IF($A676="","",H676*I676)</f>
        <v>30</v>
      </c>
      <c r="K676" s="4" t="str">
        <f aca="false">IF($A676="","",TRIM(Base_Bruta!J676))</f>
        <v>App</v>
      </c>
      <c r="L676" s="4" t="str">
        <f aca="false">IF($A676="","",TRIM(Base_Bruta!K676))</f>
        <v>C01186</v>
      </c>
      <c r="M676" s="4" t="str">
        <f aca="false">IF($A676="","",_xlfn.XLOOKUP(LOWER(TRIM(Base_Bruta!L676)),DePara_Cidade!$A$2:$A$29,DePara_Cidade!$B$2:$B$29,"REVISAR"))</f>
        <v>São Paulo</v>
      </c>
      <c r="N676" s="4" t="str">
        <f aca="false">IF($A676="","",UPPER(TRIM(Base_Bruta!M676)))</f>
        <v>SP</v>
      </c>
      <c r="O676" s="4" t="str">
        <f aca="false">IF($A676="","",_xlfn.XLOOKUP(LOWER(TRIM(Base_Bruta!N676)),DePara_Pais!$A$2:$A$9,DePara_Pais!$B$2:$B$9,"REVISAR"))</f>
        <v>Brasil</v>
      </c>
      <c r="P676" s="4" t="str">
        <f aca="false">IF($A676="","",IF(O676&lt;&gt;"Brasil","Turista Internacional",IF(M676=F676,"Local","Turista Nacional")))</f>
        <v>Local</v>
      </c>
      <c r="Q676" s="7" t="n">
        <f aca="false">IF($A676="","",DATE(YEAR(B676),MONTH(B676),1))</f>
        <v>46082</v>
      </c>
      <c r="R676" s="4" t="str">
        <f aca="false">IF($A676="","",IF(COUNTIF($A$2:$A676,$A676)&gt;1,"Sim","Não"))</f>
        <v>Não</v>
      </c>
      <c r="S676" s="4" t="str">
        <f aca="false">IF(A676="","Descartar - Linha vazia",IF(R676="Sim","Descartar - Duplicado",IF(OR(H676&lt;=0,I676&lt;=0),"Descartar - Qtd/Valor inválido","OK")))</f>
        <v>OK</v>
      </c>
      <c r="T676" s="4" t="str">
        <f aca="false">Base_Bruta!P676</f>
        <v>vendas_SP.xlsx</v>
      </c>
    </row>
    <row r="677" customFormat="false" ht="15" hidden="false" customHeight="false" outlineLevel="0" collapsed="false">
      <c r="A677" s="4" t="str">
        <f aca="false">IF(Base_Bruta!A677="","",Base_Bruta!A677)</f>
        <v>SP-000318</v>
      </c>
      <c r="B677" s="5" t="n">
        <f aca="false">IF($A677="","",IF(ISNUMBER(Base_Bruta!B677),Base_Bruta!B677,IF(MID(Base_Bruta!B677,5,1)="-",DATE(VALUE(LEFT(Base_Bruta!B677,4)),VALUE(MID(Base_Bruta!B677,6,2)),VALUE(RIGHT(Base_Bruta!B677,2))),DATE(VALUE(RIGHT(Base_Bruta!B677,4)),VALUE(MID(Base_Bruta!B677,4,2)),VALUE(LEFT(Base_Bruta!B677,2))))))</f>
        <v>46085</v>
      </c>
      <c r="C677" s="5" t="n">
        <f aca="false">IF($A677="","",IF(ISNUMBER(Base_Bruta!C677),Base_Bruta!C677,IF(MID(Base_Bruta!C677,5,1)="-",DATE(VALUE(LEFT(Base_Bruta!C677,4)),VALUE(MID(Base_Bruta!C677,6,2)),VALUE(RIGHT(Base_Bruta!C677,2))),DATE(VALUE(RIGHT(Base_Bruta!C677,4)),VALUE(MID(Base_Bruta!C677,4,2)),VALUE(LEFT(Base_Bruta!C677,2))))))</f>
        <v>46130</v>
      </c>
      <c r="D677" s="4" t="str">
        <f aca="false">IF($A677="","",TRIM(Base_Bruta!D677))</f>
        <v>Festival Sonora SP 2026</v>
      </c>
      <c r="E677" s="4" t="str">
        <f aca="false">IF($A677="","",_xlfn.XLOOKUP(LOWER(TRIM(Base_Bruta!E677)),DePara_Categoria!$A$2:$A$9,DePara_Categoria!$B$2:$B$9,"REVISAR"))</f>
        <v>Festival</v>
      </c>
      <c r="F677" s="4" t="str">
        <f aca="false">IF($A677="","",_xlfn.XLOOKUP(LOWER(TRIM(Base_Bruta!F677)),DePara_Cidade!$A$2:$A$29,DePara_Cidade!$B$2:$B$29,"REVISAR"))</f>
        <v>São Paulo</v>
      </c>
      <c r="G677" s="4" t="str">
        <f aca="false">IF($A677="","",TRIM(Base_Bruta!G677))</f>
        <v>Inteira</v>
      </c>
      <c r="H677" s="4" t="n">
        <f aca="false">IF($A677="","",IF(ISNUMBER(Base_Bruta!H677),Base_Bruta!H677,IFERROR(_xlfn.NUMBERVALUE(TRIM(SUBSTITUTE(Base_Bruta!H677,"R$","")),",","."),0)))</f>
        <v>4</v>
      </c>
      <c r="I677" s="6" t="n">
        <f aca="false">IF($A677="","",IF(ISNUMBER(Base_Bruta!I677),Base_Bruta!I677,IFERROR(_xlfn.NUMBERVALUE(TRIM(SUBSTITUTE(Base_Bruta!I677,"R$","")),",","."),0)))</f>
        <v>1110</v>
      </c>
      <c r="J677" s="6" t="n">
        <f aca="false">IF($A677="","",H677*I677)</f>
        <v>4440</v>
      </c>
      <c r="K677" s="4" t="str">
        <f aca="false">IF($A677="","",TRIM(Base_Bruta!J677))</f>
        <v>Site</v>
      </c>
      <c r="L677" s="4" t="str">
        <f aca="false">IF($A677="","",TRIM(Base_Bruta!K677))</f>
        <v>C01939</v>
      </c>
      <c r="M677" s="4" t="str">
        <f aca="false">IF($A677="","",_xlfn.XLOOKUP(LOWER(TRIM(Base_Bruta!L677)),DePara_Cidade!$A$2:$A$29,DePara_Cidade!$B$2:$B$29,"REVISAR"))</f>
        <v>São Paulo</v>
      </c>
      <c r="N677" s="4" t="str">
        <f aca="false">IF($A677="","",UPPER(TRIM(Base_Bruta!M677)))</f>
        <v>SP</v>
      </c>
      <c r="O677" s="4" t="str">
        <f aca="false">IF($A677="","",_xlfn.XLOOKUP(LOWER(TRIM(Base_Bruta!N677)),DePara_Pais!$A$2:$A$9,DePara_Pais!$B$2:$B$9,"REVISAR"))</f>
        <v>Brasil</v>
      </c>
      <c r="P677" s="4" t="str">
        <f aca="false">IF($A677="","",IF(O677&lt;&gt;"Brasil","Turista Internacional",IF(M677=F677,"Local","Turista Nacional")))</f>
        <v>Local</v>
      </c>
      <c r="Q677" s="7" t="n">
        <f aca="false">IF($A677="","",DATE(YEAR(B677),MONTH(B677),1))</f>
        <v>46082</v>
      </c>
      <c r="R677" s="4" t="str">
        <f aca="false">IF($A677="","",IF(COUNTIF($A$2:$A677,$A677)&gt;1,"Sim","Não"))</f>
        <v>Sim</v>
      </c>
      <c r="S677" s="4" t="str">
        <f aca="false">IF(A677="","Descartar - Linha vazia",IF(R677="Sim","Descartar - Duplicado",IF(OR(H677&lt;=0,I677&lt;=0),"Descartar - Qtd/Valor inválido","OK")))</f>
        <v>Descartar - Duplicado</v>
      </c>
      <c r="T677" s="4" t="str">
        <f aca="false">Base_Bruta!P677</f>
        <v>vendas_SP.xlsx</v>
      </c>
    </row>
    <row r="678" customFormat="false" ht="15" hidden="false" customHeight="false" outlineLevel="0" collapsed="false">
      <c r="A678" s="4" t="str">
        <f aca="false">IF(Base_Bruta!A678="","",Base_Bruta!A678)</f>
        <v>SP-000239</v>
      </c>
      <c r="B678" s="5" t="n">
        <f aca="false">IF($A678="","",IF(ISNUMBER(Base_Bruta!B678),Base_Bruta!B678,IF(MID(Base_Bruta!B678,5,1)="-",DATE(VALUE(LEFT(Base_Bruta!B678,4)),VALUE(MID(Base_Bruta!B678,6,2)),VALUE(RIGHT(Base_Bruta!B678,2))),DATE(VALUE(RIGHT(Base_Bruta!B678,4)),VALUE(MID(Base_Bruta!B678,4,2)),VALUE(LEFT(Base_Bruta!B678,2))))))</f>
        <v>46094</v>
      </c>
      <c r="C678" s="5" t="n">
        <f aca="false">IF($A678="","",IF(ISNUMBER(Base_Bruta!C678),Base_Bruta!C678,IF(MID(Base_Bruta!C678,5,1)="-",DATE(VALUE(LEFT(Base_Bruta!C678,4)),VALUE(MID(Base_Bruta!C678,6,2)),VALUE(RIGHT(Base_Bruta!C678,2))),DATE(VALUE(RIGHT(Base_Bruta!C678,4)),VALUE(MID(Base_Bruta!C678,4,2)),VALUE(LEFT(Base_Bruta!C678,2))))))</f>
        <v>46130</v>
      </c>
      <c r="D678" s="4" t="str">
        <f aca="false">IF($A678="","",TRIM(Base_Bruta!D678))</f>
        <v>Festival Sonora SP 2026</v>
      </c>
      <c r="E678" s="4" t="str">
        <f aca="false">IF($A678="","",_xlfn.XLOOKUP(LOWER(TRIM(Base_Bruta!E678)),DePara_Categoria!$A$2:$A$9,DePara_Categoria!$B$2:$B$9,"REVISAR"))</f>
        <v>Festival</v>
      </c>
      <c r="F678" s="4" t="str">
        <f aca="false">IF($A678="","",_xlfn.XLOOKUP(LOWER(TRIM(Base_Bruta!F678)),DePara_Cidade!$A$2:$A$29,DePara_Cidade!$B$2:$B$29,"REVISAR"))</f>
        <v>São Paulo</v>
      </c>
      <c r="G678" s="4" t="str">
        <f aca="false">IF($A678="","",TRIM(Base_Bruta!G678))</f>
        <v>Meia</v>
      </c>
      <c r="H678" s="4" t="n">
        <f aca="false">IF($A678="","",IF(ISNUMBER(Base_Bruta!H678),Base_Bruta!H678,IFERROR(_xlfn.NUMBERVALUE(TRIM(SUBSTITUTE(Base_Bruta!H678,"R$","")),",","."),0)))</f>
        <v>2</v>
      </c>
      <c r="I678" s="6" t="n">
        <f aca="false">IF($A678="","",IF(ISNUMBER(Base_Bruta!I678),Base_Bruta!I678,IFERROR(_xlfn.NUMBERVALUE(TRIM(SUBSTITUTE(Base_Bruta!I678,"R$","")),",","."),0)))</f>
        <v>542.5</v>
      </c>
      <c r="J678" s="6" t="n">
        <f aca="false">IF($A678="","",H678*I678)</f>
        <v>1085</v>
      </c>
      <c r="K678" s="4" t="str">
        <f aca="false">IF($A678="","",TRIM(Base_Bruta!J678))</f>
        <v>App</v>
      </c>
      <c r="L678" s="4" t="str">
        <f aca="false">IF($A678="","",TRIM(Base_Bruta!K678))</f>
        <v>C01096</v>
      </c>
      <c r="M678" s="4" t="str">
        <f aca="false">IF($A678="","",_xlfn.XLOOKUP(LOWER(TRIM(Base_Bruta!L678)),DePara_Cidade!$A$2:$A$29,DePara_Cidade!$B$2:$B$29,"REVISAR"))</f>
        <v>Campinas</v>
      </c>
      <c r="N678" s="4" t="str">
        <f aca="false">IF($A678="","",UPPER(TRIM(Base_Bruta!M678)))</f>
        <v>SP</v>
      </c>
      <c r="O678" s="4" t="str">
        <f aca="false">IF($A678="","",_xlfn.XLOOKUP(LOWER(TRIM(Base_Bruta!N678)),DePara_Pais!$A$2:$A$9,DePara_Pais!$B$2:$B$9,"REVISAR"))</f>
        <v>Brasil</v>
      </c>
      <c r="P678" s="4" t="str">
        <f aca="false">IF($A678="","",IF(O678&lt;&gt;"Brasil","Turista Internacional",IF(M678=F678,"Local","Turista Nacional")))</f>
        <v>Turista Nacional</v>
      </c>
      <c r="Q678" s="7" t="n">
        <f aca="false">IF($A678="","",DATE(YEAR(B678),MONTH(B678),1))</f>
        <v>46082</v>
      </c>
      <c r="R678" s="4" t="str">
        <f aca="false">IF($A678="","",IF(COUNTIF($A$2:$A678,$A678)&gt;1,"Sim","Não"))</f>
        <v>Não</v>
      </c>
      <c r="S678" s="4" t="str">
        <f aca="false">IF(A678="","Descartar - Linha vazia",IF(R678="Sim","Descartar - Duplicado",IF(OR(H678&lt;=0,I678&lt;=0),"Descartar - Qtd/Valor inválido","OK")))</f>
        <v>OK</v>
      </c>
      <c r="T678" s="4" t="str">
        <f aca="false">Base_Bruta!P678</f>
        <v>vendas_SP.xlsx</v>
      </c>
    </row>
    <row r="679" customFormat="false" ht="15" hidden="false" customHeight="false" outlineLevel="0" collapsed="false">
      <c r="A679" s="4" t="str">
        <f aca="false">IF(Base_Bruta!A679="","",Base_Bruta!A679)</f>
        <v>SP-000302</v>
      </c>
      <c r="B679" s="5" t="n">
        <f aca="false">IF($A679="","",IF(ISNUMBER(Base_Bruta!B679),Base_Bruta!B679,IF(MID(Base_Bruta!B679,5,1)="-",DATE(VALUE(LEFT(Base_Bruta!B679,4)),VALUE(MID(Base_Bruta!B679,6,2)),VALUE(RIGHT(Base_Bruta!B679,2))),DATE(VALUE(RIGHT(Base_Bruta!B679,4)),VALUE(MID(Base_Bruta!B679,4,2)),VALUE(LEFT(Base_Bruta!B679,2))))))</f>
        <v>46094</v>
      </c>
      <c r="C679" s="5" t="n">
        <f aca="false">IF($A679="","",IF(ISNUMBER(Base_Bruta!C679),Base_Bruta!C679,IF(MID(Base_Bruta!C679,5,1)="-",DATE(VALUE(LEFT(Base_Bruta!C679,4)),VALUE(MID(Base_Bruta!C679,6,2)),VALUE(RIGHT(Base_Bruta!C679,2))),DATE(VALUE(RIGHT(Base_Bruta!C679,4)),VALUE(MID(Base_Bruta!C679,4,2)),VALUE(LEFT(Base_Bruta!C679,2))))))</f>
        <v>46130</v>
      </c>
      <c r="D679" s="4" t="str">
        <f aca="false">IF($A679="","",TRIM(Base_Bruta!D679))</f>
        <v>Festival Sonora SP 2026</v>
      </c>
      <c r="E679" s="4" t="str">
        <f aca="false">IF($A679="","",_xlfn.XLOOKUP(LOWER(TRIM(Base_Bruta!E679)),DePara_Categoria!$A$2:$A$9,DePara_Categoria!$B$2:$B$9,"REVISAR"))</f>
        <v>Festival</v>
      </c>
      <c r="F679" s="4" t="str">
        <f aca="false">IF($A679="","",_xlfn.XLOOKUP(LOWER(TRIM(Base_Bruta!F679)),DePara_Cidade!$A$2:$A$29,DePara_Cidade!$B$2:$B$29,"REVISAR"))</f>
        <v>São Paulo</v>
      </c>
      <c r="G679" s="4" t="str">
        <f aca="false">IF($A679="","",TRIM(Base_Bruta!G679))</f>
        <v>VIP</v>
      </c>
      <c r="H679" s="4" t="n">
        <f aca="false">IF($A679="","",IF(ISNUMBER(Base_Bruta!H679),Base_Bruta!H679,IFERROR(_xlfn.NUMBERVALUE(TRIM(SUBSTITUTE(Base_Bruta!H679,"R$","")),",","."),0)))</f>
        <v>2</v>
      </c>
      <c r="I679" s="6" t="n">
        <f aca="false">IF($A679="","",IF(ISNUMBER(Base_Bruta!I679),Base_Bruta!I679,IFERROR(_xlfn.NUMBERVALUE(TRIM(SUBSTITUTE(Base_Bruta!I679,"R$","")),",","."),0)))</f>
        <v>1320</v>
      </c>
      <c r="J679" s="6" t="n">
        <f aca="false">IF($A679="","",H679*I679)</f>
        <v>2640</v>
      </c>
      <c r="K679" s="4" t="str">
        <f aca="false">IF($A679="","",TRIM(Base_Bruta!J679))</f>
        <v>Parceiro</v>
      </c>
      <c r="L679" s="4" t="str">
        <f aca="false">IF($A679="","",TRIM(Base_Bruta!K679))</f>
        <v>C00952</v>
      </c>
      <c r="M679" s="4" t="str">
        <f aca="false">IF($A679="","",_xlfn.XLOOKUP(LOWER(TRIM(Base_Bruta!L679)),DePara_Cidade!$A$2:$A$29,DePara_Cidade!$B$2:$B$29,"REVISAR"))</f>
        <v>São Paulo</v>
      </c>
      <c r="N679" s="4" t="str">
        <f aca="false">IF($A679="","",UPPER(TRIM(Base_Bruta!M679)))</f>
        <v>SP</v>
      </c>
      <c r="O679" s="4" t="str">
        <f aca="false">IF($A679="","",_xlfn.XLOOKUP(LOWER(TRIM(Base_Bruta!N679)),DePara_Pais!$A$2:$A$9,DePara_Pais!$B$2:$B$9,"REVISAR"))</f>
        <v>Brasil</v>
      </c>
      <c r="P679" s="4" t="str">
        <f aca="false">IF($A679="","",IF(O679&lt;&gt;"Brasil","Turista Internacional",IF(M679=F679,"Local","Turista Nacional")))</f>
        <v>Local</v>
      </c>
      <c r="Q679" s="7" t="n">
        <f aca="false">IF($A679="","",DATE(YEAR(B679),MONTH(B679),1))</f>
        <v>46082</v>
      </c>
      <c r="R679" s="4" t="str">
        <f aca="false">IF($A679="","",IF(COUNTIF($A$2:$A679,$A679)&gt;1,"Sim","Não"))</f>
        <v>Não</v>
      </c>
      <c r="S679" s="4" t="str">
        <f aca="false">IF(A679="","Descartar - Linha vazia",IF(R679="Sim","Descartar - Duplicado",IF(OR(H679&lt;=0,I679&lt;=0),"Descartar - Qtd/Valor inválido","OK")))</f>
        <v>OK</v>
      </c>
      <c r="T679" s="4" t="str">
        <f aca="false">Base_Bruta!P679</f>
        <v>vendas_SP.xlsx</v>
      </c>
    </row>
    <row r="680" customFormat="false" ht="15" hidden="false" customHeight="false" outlineLevel="0" collapsed="false">
      <c r="A680" s="4" t="str">
        <f aca="false">IF(Base_Bruta!A680="","",Base_Bruta!A680)</f>
        <v>SP-000349</v>
      </c>
      <c r="B680" s="5" t="n">
        <f aca="false">IF($A680="","",IF(ISNUMBER(Base_Bruta!B680),Base_Bruta!B680,IF(MID(Base_Bruta!B680,5,1)="-",DATE(VALUE(LEFT(Base_Bruta!B680,4)),VALUE(MID(Base_Bruta!B680,6,2)),VALUE(RIGHT(Base_Bruta!B680,2))),DATE(VALUE(RIGHT(Base_Bruta!B680,4)),VALUE(MID(Base_Bruta!B680,4,2)),VALUE(LEFT(Base_Bruta!B680,2))))))</f>
        <v>46094</v>
      </c>
      <c r="C680" s="5" t="n">
        <f aca="false">IF($A680="","",IF(ISNUMBER(Base_Bruta!C680),Base_Bruta!C680,IF(MID(Base_Bruta!C680,5,1)="-",DATE(VALUE(LEFT(Base_Bruta!C680,4)),VALUE(MID(Base_Bruta!C680,6,2)),VALUE(RIGHT(Base_Bruta!C680,2))),DATE(VALUE(RIGHT(Base_Bruta!C680,4)),VALUE(MID(Base_Bruta!C680,4,2)),VALUE(LEFT(Base_Bruta!C680,2))))))</f>
        <v>46130</v>
      </c>
      <c r="D680" s="4" t="str">
        <f aca="false">IF($A680="","",TRIM(Base_Bruta!D680))</f>
        <v>Festival Sonora SP 2026</v>
      </c>
      <c r="E680" s="4" t="str">
        <f aca="false">IF($A680="","",_xlfn.XLOOKUP(LOWER(TRIM(Base_Bruta!E680)),DePara_Categoria!$A$2:$A$9,DePara_Categoria!$B$2:$B$9,"REVISAR"))</f>
        <v>Festival</v>
      </c>
      <c r="F680" s="4" t="str">
        <f aca="false">IF($A680="","",_xlfn.XLOOKUP(LOWER(TRIM(Base_Bruta!F680)),DePara_Cidade!$A$2:$A$29,DePara_Cidade!$B$2:$B$29,"REVISAR"))</f>
        <v>São Paulo</v>
      </c>
      <c r="G680" s="4" t="str">
        <f aca="false">IF($A680="","",TRIM(Base_Bruta!G680))</f>
        <v>Inteira</v>
      </c>
      <c r="H680" s="4" t="n">
        <f aca="false">IF($A680="","",IF(ISNUMBER(Base_Bruta!H680),Base_Bruta!H680,IFERROR(_xlfn.NUMBERVALUE(TRIM(SUBSTITUTE(Base_Bruta!H680,"R$","")),",","."),0)))</f>
        <v>1</v>
      </c>
      <c r="I680" s="6" t="n">
        <f aca="false">IF($A680="","",IF(ISNUMBER(Base_Bruta!I680),Base_Bruta!I680,IFERROR(_xlfn.NUMBERVALUE(TRIM(SUBSTITUTE(Base_Bruta!I680,"R$","")),",","."),0)))</f>
        <v>955</v>
      </c>
      <c r="J680" s="6" t="n">
        <f aca="false">IF($A680="","",H680*I680)</f>
        <v>955</v>
      </c>
      <c r="K680" s="4" t="str">
        <f aca="false">IF($A680="","",TRIM(Base_Bruta!J680))</f>
        <v>Parceiro</v>
      </c>
      <c r="L680" s="4" t="str">
        <f aca="false">IF($A680="","",TRIM(Base_Bruta!K680))</f>
        <v>C01883</v>
      </c>
      <c r="M680" s="4" t="str">
        <f aca="false">IF($A680="","",_xlfn.XLOOKUP(LOWER(TRIM(Base_Bruta!L680)),DePara_Cidade!$A$2:$A$29,DePara_Cidade!$B$2:$B$29,"REVISAR"))</f>
        <v>Vitória</v>
      </c>
      <c r="N680" s="4" t="str">
        <f aca="false">IF($A680="","",UPPER(TRIM(Base_Bruta!M680)))</f>
        <v>ES</v>
      </c>
      <c r="O680" s="4" t="str">
        <f aca="false">IF($A680="","",_xlfn.XLOOKUP(LOWER(TRIM(Base_Bruta!N680)),DePara_Pais!$A$2:$A$9,DePara_Pais!$B$2:$B$9,"REVISAR"))</f>
        <v>Brasil</v>
      </c>
      <c r="P680" s="4" t="str">
        <f aca="false">IF($A680="","",IF(O680&lt;&gt;"Brasil","Turista Internacional",IF(M680=F680,"Local","Turista Nacional")))</f>
        <v>Turista Nacional</v>
      </c>
      <c r="Q680" s="7" t="n">
        <f aca="false">IF($A680="","",DATE(YEAR(B680),MONTH(B680),1))</f>
        <v>46082</v>
      </c>
      <c r="R680" s="4" t="str">
        <f aca="false">IF($A680="","",IF(COUNTIF($A$2:$A680,$A680)&gt;1,"Sim","Não"))</f>
        <v>Não</v>
      </c>
      <c r="S680" s="4" t="str">
        <f aca="false">IF(A680="","Descartar - Linha vazia",IF(R680="Sim","Descartar - Duplicado",IF(OR(H680&lt;=0,I680&lt;=0),"Descartar - Qtd/Valor inválido","OK")))</f>
        <v>OK</v>
      </c>
      <c r="T680" s="4" t="str">
        <f aca="false">Base_Bruta!P680</f>
        <v>vendas_SP.xlsx</v>
      </c>
    </row>
    <row r="681" customFormat="false" ht="15" hidden="false" customHeight="false" outlineLevel="0" collapsed="false">
      <c r="A681" s="4" t="str">
        <f aca="false">IF(Base_Bruta!A681="","",Base_Bruta!A681)</f>
        <v>SP-000441</v>
      </c>
      <c r="B681" s="5" t="n">
        <f aca="false">IF($A681="","",IF(ISNUMBER(Base_Bruta!B681),Base_Bruta!B681,IF(MID(Base_Bruta!B681,5,1)="-",DATE(VALUE(LEFT(Base_Bruta!B681,4)),VALUE(MID(Base_Bruta!B681,6,2)),VALUE(RIGHT(Base_Bruta!B681,2))),DATE(VALUE(RIGHT(Base_Bruta!B681,4)),VALUE(MID(Base_Bruta!B681,4,2)),VALUE(LEFT(Base_Bruta!B681,2))))))</f>
        <v>46095</v>
      </c>
      <c r="C681" s="5" t="n">
        <f aca="false">IF($A681="","",IF(ISNUMBER(Base_Bruta!C681),Base_Bruta!C681,IF(MID(Base_Bruta!C681,5,1)="-",DATE(VALUE(LEFT(Base_Bruta!C681,4)),VALUE(MID(Base_Bruta!C681,6,2)),VALUE(RIGHT(Base_Bruta!C681,2))),DATE(VALUE(RIGHT(Base_Bruta!C681,4)),VALUE(MID(Base_Bruta!C681,4,2)),VALUE(LEFT(Base_Bruta!C681,2))))))</f>
        <v>46130</v>
      </c>
      <c r="D681" s="4" t="str">
        <f aca="false">IF($A681="","",TRIM(Base_Bruta!D681))</f>
        <v>Festival Sonora SP 2026</v>
      </c>
      <c r="E681" s="4" t="str">
        <f aca="false">IF($A681="","",_xlfn.XLOOKUP(LOWER(TRIM(Base_Bruta!E681)),DePara_Categoria!$A$2:$A$9,DePara_Categoria!$B$2:$B$9,"REVISAR"))</f>
        <v>Festival</v>
      </c>
      <c r="F681" s="4" t="str">
        <f aca="false">IF($A681="","",_xlfn.XLOOKUP(LOWER(TRIM(Base_Bruta!F681)),DePara_Cidade!$A$2:$A$29,DePara_Cidade!$B$2:$B$29,"REVISAR"))</f>
        <v>São Paulo</v>
      </c>
      <c r="G681" s="4" t="str">
        <f aca="false">IF($A681="","",TRIM(Base_Bruta!G681))</f>
        <v>Inteira</v>
      </c>
      <c r="H681" s="4" t="n">
        <f aca="false">IF($A681="","",IF(ISNUMBER(Base_Bruta!H681),Base_Bruta!H681,IFERROR(_xlfn.NUMBERVALUE(TRIM(SUBSTITUTE(Base_Bruta!H681,"R$","")),",","."),0)))</f>
        <v>1</v>
      </c>
      <c r="I681" s="6" t="n">
        <f aca="false">IF($A681="","",IF(ISNUMBER(Base_Bruta!I681),Base_Bruta!I681,IFERROR(_xlfn.NUMBERVALUE(TRIM(SUBSTITUTE(Base_Bruta!I681,"R$","")),",","."),0)))</f>
        <v>685</v>
      </c>
      <c r="J681" s="6" t="n">
        <f aca="false">IF($A681="","",H681*I681)</f>
        <v>685</v>
      </c>
      <c r="K681" s="4" t="str">
        <f aca="false">IF($A681="","",TRIM(Base_Bruta!J681))</f>
        <v>App</v>
      </c>
      <c r="L681" s="4" t="str">
        <f aca="false">IF($A681="","",TRIM(Base_Bruta!K681))</f>
        <v>C01954</v>
      </c>
      <c r="M681" s="4" t="str">
        <f aca="false">IF($A681="","",_xlfn.XLOOKUP(LOWER(TRIM(Base_Bruta!L681)),DePara_Cidade!$A$2:$A$29,DePara_Cidade!$B$2:$B$29,"REVISAR"))</f>
        <v>Campinas</v>
      </c>
      <c r="N681" s="4" t="str">
        <f aca="false">IF($A681="","",UPPER(TRIM(Base_Bruta!M681)))</f>
        <v>SP</v>
      </c>
      <c r="O681" s="4" t="str">
        <f aca="false">IF($A681="","",_xlfn.XLOOKUP(LOWER(TRIM(Base_Bruta!N681)),DePara_Pais!$A$2:$A$9,DePara_Pais!$B$2:$B$9,"REVISAR"))</f>
        <v>Brasil</v>
      </c>
      <c r="P681" s="4" t="str">
        <f aca="false">IF($A681="","",IF(O681&lt;&gt;"Brasil","Turista Internacional",IF(M681=F681,"Local","Turista Nacional")))</f>
        <v>Turista Nacional</v>
      </c>
      <c r="Q681" s="7" t="n">
        <f aca="false">IF($A681="","",DATE(YEAR(B681),MONTH(B681),1))</f>
        <v>46082</v>
      </c>
      <c r="R681" s="4" t="str">
        <f aca="false">IF($A681="","",IF(COUNTIF($A$2:$A681,$A681)&gt;1,"Sim","Não"))</f>
        <v>Não</v>
      </c>
      <c r="S681" s="4" t="str">
        <f aca="false">IF(A681="","Descartar - Linha vazia",IF(R681="Sim","Descartar - Duplicado",IF(OR(H681&lt;=0,I681&lt;=0),"Descartar - Qtd/Valor inválido","OK")))</f>
        <v>OK</v>
      </c>
      <c r="T681" s="4" t="str">
        <f aca="false">Base_Bruta!P681</f>
        <v>vendas_SP.xlsx</v>
      </c>
    </row>
    <row r="682" customFormat="false" ht="15" hidden="false" customHeight="false" outlineLevel="0" collapsed="false">
      <c r="A682" s="4" t="str">
        <f aca="false">IF(Base_Bruta!A682="","",Base_Bruta!A682)</f>
        <v>SP-000303</v>
      </c>
      <c r="B682" s="5" t="n">
        <f aca="false">IF($A682="","",IF(ISNUMBER(Base_Bruta!B682),Base_Bruta!B682,IF(MID(Base_Bruta!B682,5,1)="-",DATE(VALUE(LEFT(Base_Bruta!B682,4)),VALUE(MID(Base_Bruta!B682,6,2)),VALUE(RIGHT(Base_Bruta!B682,2))),DATE(VALUE(RIGHT(Base_Bruta!B682,4)),VALUE(MID(Base_Bruta!B682,4,2)),VALUE(LEFT(Base_Bruta!B682,2))))))</f>
        <v>46096</v>
      </c>
      <c r="C682" s="5" t="n">
        <f aca="false">IF($A682="","",IF(ISNUMBER(Base_Bruta!C682),Base_Bruta!C682,IF(MID(Base_Bruta!C682,5,1)="-",DATE(VALUE(LEFT(Base_Bruta!C682,4)),VALUE(MID(Base_Bruta!C682,6,2)),VALUE(RIGHT(Base_Bruta!C682,2))),DATE(VALUE(RIGHT(Base_Bruta!C682,4)),VALUE(MID(Base_Bruta!C682,4,2)),VALUE(LEFT(Base_Bruta!C682,2))))))</f>
        <v>46130</v>
      </c>
      <c r="D682" s="4" t="str">
        <f aca="false">IF($A682="","",TRIM(Base_Bruta!D682))</f>
        <v>Festival Sonora SP 2026</v>
      </c>
      <c r="E682" s="4" t="str">
        <f aca="false">IF($A682="","",_xlfn.XLOOKUP(LOWER(TRIM(Base_Bruta!E682)),DePara_Categoria!$A$2:$A$9,DePara_Categoria!$B$2:$B$9,"REVISAR"))</f>
        <v>Festival</v>
      </c>
      <c r="F682" s="4" t="str">
        <f aca="false">IF($A682="","",_xlfn.XLOOKUP(LOWER(TRIM(Base_Bruta!F682)),DePara_Cidade!$A$2:$A$29,DePara_Cidade!$B$2:$B$29,"REVISAR"))</f>
        <v>São Paulo</v>
      </c>
      <c r="G682" s="4" t="str">
        <f aca="false">IF($A682="","",TRIM(Base_Bruta!G682))</f>
        <v>Meia</v>
      </c>
      <c r="H682" s="4" t="n">
        <f aca="false">IF($A682="","",IF(ISNUMBER(Base_Bruta!H682),Base_Bruta!H682,IFERROR(_xlfn.NUMBERVALUE(TRIM(SUBSTITUTE(Base_Bruta!H682,"R$","")),",","."),0)))</f>
        <v>1</v>
      </c>
      <c r="I682" s="6" t="n">
        <f aca="false">IF($A682="","",IF(ISNUMBER(Base_Bruta!I682),Base_Bruta!I682,IFERROR(_xlfn.NUMBERVALUE(TRIM(SUBSTITUTE(Base_Bruta!I682,"R$","")),",","."),0)))</f>
        <v>420</v>
      </c>
      <c r="J682" s="6" t="n">
        <f aca="false">IF($A682="","",H682*I682)</f>
        <v>420</v>
      </c>
      <c r="K682" s="4" t="str">
        <f aca="false">IF($A682="","",TRIM(Base_Bruta!J682))</f>
        <v>App</v>
      </c>
      <c r="L682" s="4" t="str">
        <f aca="false">IF($A682="","",TRIM(Base_Bruta!K682))</f>
        <v>C00840</v>
      </c>
      <c r="M682" s="4" t="str">
        <f aca="false">IF($A682="","",_xlfn.XLOOKUP(LOWER(TRIM(Base_Bruta!L682)),DePara_Cidade!$A$2:$A$29,DePara_Cidade!$B$2:$B$29,"REVISAR"))</f>
        <v>São Paulo</v>
      </c>
      <c r="N682" s="4" t="str">
        <f aca="false">IF($A682="","",UPPER(TRIM(Base_Bruta!M682)))</f>
        <v>SP</v>
      </c>
      <c r="O682" s="4" t="str">
        <f aca="false">IF($A682="","",_xlfn.XLOOKUP(LOWER(TRIM(Base_Bruta!N682)),DePara_Pais!$A$2:$A$9,DePara_Pais!$B$2:$B$9,"REVISAR"))</f>
        <v>Brasil</v>
      </c>
      <c r="P682" s="4" t="str">
        <f aca="false">IF($A682="","",IF(O682&lt;&gt;"Brasil","Turista Internacional",IF(M682=F682,"Local","Turista Nacional")))</f>
        <v>Local</v>
      </c>
      <c r="Q682" s="7" t="n">
        <f aca="false">IF($A682="","",DATE(YEAR(B682),MONTH(B682),1))</f>
        <v>46082</v>
      </c>
      <c r="R682" s="4" t="str">
        <f aca="false">IF($A682="","",IF(COUNTIF($A$2:$A682,$A682)&gt;1,"Sim","Não"))</f>
        <v>Não</v>
      </c>
      <c r="S682" s="4" t="str">
        <f aca="false">IF(A682="","Descartar - Linha vazia",IF(R682="Sim","Descartar - Duplicado",IF(OR(H682&lt;=0,I682&lt;=0),"Descartar - Qtd/Valor inválido","OK")))</f>
        <v>OK</v>
      </c>
      <c r="T682" s="4" t="str">
        <f aca="false">Base_Bruta!P682</f>
        <v>vendas_SP.xlsx</v>
      </c>
    </row>
    <row r="683" customFormat="false" ht="15" hidden="false" customHeight="false" outlineLevel="0" collapsed="false">
      <c r="A683" s="4" t="str">
        <f aca="false">IF(Base_Bruta!A683="","",Base_Bruta!A683)</f>
        <v>SP-000663</v>
      </c>
      <c r="B683" s="5" t="n">
        <f aca="false">IF($A683="","",IF(ISNUMBER(Base_Bruta!B683),Base_Bruta!B683,IF(MID(Base_Bruta!B683,5,1)="-",DATE(VALUE(LEFT(Base_Bruta!B683,4)),VALUE(MID(Base_Bruta!B683,6,2)),VALUE(RIGHT(Base_Bruta!B683,2))),DATE(VALUE(RIGHT(Base_Bruta!B683,4)),VALUE(MID(Base_Bruta!B683,4,2)),VALUE(LEFT(Base_Bruta!B683,2))))))</f>
        <v>46099</v>
      </c>
      <c r="C683" s="5" t="n">
        <f aca="false">IF($A683="","",IF(ISNUMBER(Base_Bruta!C683),Base_Bruta!C683,IF(MID(Base_Bruta!C683,5,1)="-",DATE(VALUE(LEFT(Base_Bruta!C683,4)),VALUE(MID(Base_Bruta!C683,6,2)),VALUE(RIGHT(Base_Bruta!C683,2))),DATE(VALUE(RIGHT(Base_Bruta!C683,4)),VALUE(MID(Base_Bruta!C683,4,2)),VALUE(LEFT(Base_Bruta!C683,2))))))</f>
        <v>46099</v>
      </c>
      <c r="D683" s="4" t="str">
        <f aca="false">IF($A683="","",TRIM(Base_Bruta!D683))</f>
        <v>Cinema Paulista - Sessões</v>
      </c>
      <c r="E683" s="4" t="str">
        <f aca="false">IF($A683="","",_xlfn.XLOOKUP(LOWER(TRIM(Base_Bruta!E683)),DePara_Categoria!$A$2:$A$9,DePara_Categoria!$B$2:$B$9,"REVISAR"))</f>
        <v>Cinema</v>
      </c>
      <c r="F683" s="4" t="str">
        <f aca="false">IF($A683="","",_xlfn.XLOOKUP(LOWER(TRIM(Base_Bruta!F683)),DePara_Cidade!$A$2:$A$29,DePara_Cidade!$B$2:$B$29,"REVISAR"))</f>
        <v>São Paulo</v>
      </c>
      <c r="G683" s="4" t="str">
        <f aca="false">IF($A683="","",TRIM(Base_Bruta!G683))</f>
        <v>Meia</v>
      </c>
      <c r="H683" s="4" t="n">
        <f aca="false">IF($A683="","",IF(ISNUMBER(Base_Bruta!H683),Base_Bruta!H683,IFERROR(_xlfn.NUMBERVALUE(TRIM(SUBSTITUTE(Base_Bruta!H683,"R$","")),",","."),0)))</f>
        <v>1</v>
      </c>
      <c r="I683" s="6" t="n">
        <f aca="false">IF($A683="","",IF(ISNUMBER(Base_Bruta!I683),Base_Bruta!I683,IFERROR(_xlfn.NUMBERVALUE(TRIM(SUBSTITUTE(Base_Bruta!I683,"R$","")),",","."),0)))</f>
        <v>22.5</v>
      </c>
      <c r="J683" s="6" t="n">
        <f aca="false">IF($A683="","",H683*I683)</f>
        <v>22.5</v>
      </c>
      <c r="K683" s="4" t="str">
        <f aca="false">IF($A683="","",TRIM(Base_Bruta!J683))</f>
        <v>App</v>
      </c>
      <c r="L683" s="4" t="str">
        <f aca="false">IF($A683="","",TRIM(Base_Bruta!K683))</f>
        <v>C00311</v>
      </c>
      <c r="M683" s="4" t="str">
        <f aca="false">IF($A683="","",_xlfn.XLOOKUP(LOWER(TRIM(Base_Bruta!L683)),DePara_Cidade!$A$2:$A$29,DePara_Cidade!$B$2:$B$29,"REVISAR"))</f>
        <v>São Paulo</v>
      </c>
      <c r="N683" s="4" t="str">
        <f aca="false">IF($A683="","",UPPER(TRIM(Base_Bruta!M683)))</f>
        <v>SP</v>
      </c>
      <c r="O683" s="4" t="str">
        <f aca="false">IF($A683="","",_xlfn.XLOOKUP(LOWER(TRIM(Base_Bruta!N683)),DePara_Pais!$A$2:$A$9,DePara_Pais!$B$2:$B$9,"REVISAR"))</f>
        <v>Brasil</v>
      </c>
      <c r="P683" s="4" t="str">
        <f aca="false">IF($A683="","",IF(O683&lt;&gt;"Brasil","Turista Internacional",IF(M683=F683,"Local","Turista Nacional")))</f>
        <v>Local</v>
      </c>
      <c r="Q683" s="7" t="n">
        <f aca="false">IF($A683="","",DATE(YEAR(B683),MONTH(B683),1))</f>
        <v>46082</v>
      </c>
      <c r="R683" s="4" t="str">
        <f aca="false">IF($A683="","",IF(COUNTIF($A$2:$A683,$A683)&gt;1,"Sim","Não"))</f>
        <v>Não</v>
      </c>
      <c r="S683" s="4" t="str">
        <f aca="false">IF(A683="","Descartar - Linha vazia",IF(R683="Sim","Descartar - Duplicado",IF(OR(H683&lt;=0,I683&lt;=0),"Descartar - Qtd/Valor inválido","OK")))</f>
        <v>OK</v>
      </c>
      <c r="T683" s="4" t="str">
        <f aca="false">Base_Bruta!P683</f>
        <v>vendas_SP.xlsx</v>
      </c>
    </row>
    <row r="684" customFormat="false" ht="15" hidden="false" customHeight="false" outlineLevel="0" collapsed="false">
      <c r="A684" s="4" t="str">
        <f aca="false">IF(Base_Bruta!A684="","",Base_Bruta!A684)</f>
        <v>SP-000652</v>
      </c>
      <c r="B684" s="5" t="n">
        <f aca="false">IF($A684="","",IF(ISNUMBER(Base_Bruta!B684),Base_Bruta!B684,IF(MID(Base_Bruta!B684,5,1)="-",DATE(VALUE(LEFT(Base_Bruta!B684,4)),VALUE(MID(Base_Bruta!B684,6,2)),VALUE(RIGHT(Base_Bruta!B684,2))),DATE(VALUE(RIGHT(Base_Bruta!B684,4)),VALUE(MID(Base_Bruta!B684,4,2)),VALUE(LEFT(Base_Bruta!B684,2))))))</f>
        <v>46100</v>
      </c>
      <c r="C684" s="5" t="n">
        <f aca="false">IF($A684="","",IF(ISNUMBER(Base_Bruta!C684),Base_Bruta!C684,IF(MID(Base_Bruta!C684,5,1)="-",DATE(VALUE(LEFT(Base_Bruta!C684,4)),VALUE(MID(Base_Bruta!C684,6,2)),VALUE(RIGHT(Base_Bruta!C684,2))),DATE(VALUE(RIGHT(Base_Bruta!C684,4)),VALUE(MID(Base_Bruta!C684,4,2)),VALUE(LEFT(Base_Bruta!C684,2))))))</f>
        <v>46103</v>
      </c>
      <c r="D684" s="4" t="str">
        <f aca="false">IF($A684="","",TRIM(Base_Bruta!D684))</f>
        <v>Cinema Paulista - Sessões</v>
      </c>
      <c r="E684" s="4" t="str">
        <f aca="false">IF($A684="","",_xlfn.XLOOKUP(LOWER(TRIM(Base_Bruta!E684)),DePara_Categoria!$A$2:$A$9,DePara_Categoria!$B$2:$B$9,"REVISAR"))</f>
        <v>Cinema</v>
      </c>
      <c r="F684" s="4" t="str">
        <f aca="false">IF($A684="","",_xlfn.XLOOKUP(LOWER(TRIM(Base_Bruta!F684)),DePara_Cidade!$A$2:$A$29,DePara_Cidade!$B$2:$B$29,"REVISAR"))</f>
        <v>São Paulo</v>
      </c>
      <c r="G684" s="4" t="str">
        <f aca="false">IF($A684="","",TRIM(Base_Bruta!G684))</f>
        <v>Inteira</v>
      </c>
      <c r="H684" s="4" t="n">
        <f aca="false">IF($A684="","",IF(ISNUMBER(Base_Bruta!H684),Base_Bruta!H684,IFERROR(_xlfn.NUMBERVALUE(TRIM(SUBSTITUTE(Base_Bruta!H684,"R$","")),",","."),0)))</f>
        <v>1</v>
      </c>
      <c r="I684" s="6" t="n">
        <f aca="false">IF($A684="","",IF(ISNUMBER(Base_Bruta!I684),Base_Bruta!I684,IFERROR(_xlfn.NUMBERVALUE(TRIM(SUBSTITUTE(Base_Bruta!I684,"R$","")),",","."),0)))</f>
        <v>30</v>
      </c>
      <c r="J684" s="6" t="n">
        <f aca="false">IF($A684="","",H684*I684)</f>
        <v>30</v>
      </c>
      <c r="K684" s="4" t="str">
        <f aca="false">IF($A684="","",TRIM(Base_Bruta!J684))</f>
        <v>Site</v>
      </c>
      <c r="L684" s="4" t="str">
        <f aca="false">IF($A684="","",TRIM(Base_Bruta!K684))</f>
        <v>C00560</v>
      </c>
      <c r="M684" s="4" t="str">
        <f aca="false">IF($A684="","",_xlfn.XLOOKUP(LOWER(TRIM(Base_Bruta!L684)),DePara_Cidade!$A$2:$A$29,DePara_Cidade!$B$2:$B$29,"REVISAR"))</f>
        <v>São Paulo</v>
      </c>
      <c r="N684" s="4" t="str">
        <f aca="false">IF($A684="","",UPPER(TRIM(Base_Bruta!M684)))</f>
        <v>SP</v>
      </c>
      <c r="O684" s="4" t="str">
        <f aca="false">IF($A684="","",_xlfn.XLOOKUP(LOWER(TRIM(Base_Bruta!N684)),DePara_Pais!$A$2:$A$9,DePara_Pais!$B$2:$B$9,"REVISAR"))</f>
        <v>Brasil</v>
      </c>
      <c r="P684" s="4" t="str">
        <f aca="false">IF($A684="","",IF(O684&lt;&gt;"Brasil","Turista Internacional",IF(M684=F684,"Local","Turista Nacional")))</f>
        <v>Local</v>
      </c>
      <c r="Q684" s="7" t="n">
        <f aca="false">IF($A684="","",DATE(YEAR(B684),MONTH(B684),1))</f>
        <v>46082</v>
      </c>
      <c r="R684" s="4" t="str">
        <f aca="false">IF($A684="","",IF(COUNTIF($A$2:$A684,$A684)&gt;1,"Sim","Não"))</f>
        <v>Não</v>
      </c>
      <c r="S684" s="4" t="str">
        <f aca="false">IF(A684="","Descartar - Linha vazia",IF(R684="Sim","Descartar - Duplicado",IF(OR(H684&lt;=0,I684&lt;=0),"Descartar - Qtd/Valor inválido","OK")))</f>
        <v>OK</v>
      </c>
      <c r="T684" s="4" t="str">
        <f aca="false">Base_Bruta!P684</f>
        <v>vendas_SP.xlsx</v>
      </c>
    </row>
    <row r="685" customFormat="false" ht="15" hidden="false" customHeight="false" outlineLevel="0" collapsed="false">
      <c r="A685" s="4" t="str">
        <f aca="false">IF(Base_Bruta!A685="","",Base_Bruta!A685)</f>
        <v>SP-000307</v>
      </c>
      <c r="B685" s="5" t="n">
        <f aca="false">IF($A685="","",IF(ISNUMBER(Base_Bruta!B685),Base_Bruta!B685,IF(MID(Base_Bruta!B685,5,1)="-",DATE(VALUE(LEFT(Base_Bruta!B685,4)),VALUE(MID(Base_Bruta!B685,6,2)),VALUE(RIGHT(Base_Bruta!B685,2))),DATE(VALUE(RIGHT(Base_Bruta!B685,4)),VALUE(MID(Base_Bruta!B685,4,2)),VALUE(LEFT(Base_Bruta!B685,2))))))</f>
        <v>46103</v>
      </c>
      <c r="C685" s="5" t="n">
        <f aca="false">IF($A685="","",IF(ISNUMBER(Base_Bruta!C685),Base_Bruta!C685,IF(MID(Base_Bruta!C685,5,1)="-",DATE(VALUE(LEFT(Base_Bruta!C685,4)),VALUE(MID(Base_Bruta!C685,6,2)),VALUE(RIGHT(Base_Bruta!C685,2))),DATE(VALUE(RIGHT(Base_Bruta!C685,4)),VALUE(MID(Base_Bruta!C685,4,2)),VALUE(LEFT(Base_Bruta!C685,2))))))</f>
        <v>46130</v>
      </c>
      <c r="D685" s="4" t="str">
        <f aca="false">IF($A685="","",TRIM(Base_Bruta!D685))</f>
        <v>Festival Sonora SP 2026</v>
      </c>
      <c r="E685" s="4" t="str">
        <f aca="false">IF($A685="","",_xlfn.XLOOKUP(LOWER(TRIM(Base_Bruta!E685)),DePara_Categoria!$A$2:$A$9,DePara_Categoria!$B$2:$B$9,"REVISAR"))</f>
        <v>Festival</v>
      </c>
      <c r="F685" s="4" t="str">
        <f aca="false">IF($A685="","",_xlfn.XLOOKUP(LOWER(TRIM(Base_Bruta!F685)),DePara_Cidade!$A$2:$A$29,DePara_Cidade!$B$2:$B$29,"REVISAR"))</f>
        <v>São Paulo</v>
      </c>
      <c r="G685" s="4" t="str">
        <f aca="false">IF($A685="","",TRIM(Base_Bruta!G685))</f>
        <v>Meia</v>
      </c>
      <c r="H685" s="4" t="n">
        <f aca="false">IF($A685="","",IF(ISNUMBER(Base_Bruta!H685),Base_Bruta!H685,IFERROR(_xlfn.NUMBERVALUE(TRIM(SUBSTITUTE(Base_Bruta!H685,"R$","")),",","."),0)))</f>
        <v>1</v>
      </c>
      <c r="I685" s="6" t="n">
        <f aca="false">IF($A685="","",IF(ISNUMBER(Base_Bruta!I685),Base_Bruta!I685,IFERROR(_xlfn.NUMBERVALUE(TRIM(SUBSTITUTE(Base_Bruta!I685,"R$","")),",","."),0)))</f>
        <v>392.5</v>
      </c>
      <c r="J685" s="6" t="n">
        <f aca="false">IF($A685="","",H685*I685)</f>
        <v>392.5</v>
      </c>
      <c r="K685" s="4" t="str">
        <f aca="false">IF($A685="","",TRIM(Base_Bruta!J685))</f>
        <v>Site</v>
      </c>
      <c r="L685" s="4" t="str">
        <f aca="false">IF($A685="","",TRIM(Base_Bruta!K685))</f>
        <v>C02261</v>
      </c>
      <c r="M685" s="4" t="str">
        <f aca="false">IF($A685="","",_xlfn.XLOOKUP(LOWER(TRIM(Base_Bruta!L685)),DePara_Cidade!$A$2:$A$29,DePara_Cidade!$B$2:$B$29,"REVISAR"))</f>
        <v>São Paulo</v>
      </c>
      <c r="N685" s="4" t="str">
        <f aca="false">IF($A685="","",UPPER(TRIM(Base_Bruta!M685)))</f>
        <v>SP</v>
      </c>
      <c r="O685" s="4" t="str">
        <f aca="false">IF($A685="","",_xlfn.XLOOKUP(LOWER(TRIM(Base_Bruta!N685)),DePara_Pais!$A$2:$A$9,DePara_Pais!$B$2:$B$9,"REVISAR"))</f>
        <v>Brasil</v>
      </c>
      <c r="P685" s="4" t="str">
        <f aca="false">IF($A685="","",IF(O685&lt;&gt;"Brasil","Turista Internacional",IF(M685=F685,"Local","Turista Nacional")))</f>
        <v>Local</v>
      </c>
      <c r="Q685" s="7" t="n">
        <f aca="false">IF($A685="","",DATE(YEAR(B685),MONTH(B685),1))</f>
        <v>46082</v>
      </c>
      <c r="R685" s="4" t="str">
        <f aca="false">IF($A685="","",IF(COUNTIF($A$2:$A685,$A685)&gt;1,"Sim","Não"))</f>
        <v>Não</v>
      </c>
      <c r="S685" s="4" t="str">
        <f aca="false">IF(A685="","Descartar - Linha vazia",IF(R685="Sim","Descartar - Duplicado",IF(OR(H685&lt;=0,I685&lt;=0),"Descartar - Qtd/Valor inválido","OK")))</f>
        <v>OK</v>
      </c>
      <c r="T685" s="4" t="str">
        <f aca="false">Base_Bruta!P685</f>
        <v>vendas_SP.xlsx</v>
      </c>
    </row>
    <row r="686" customFormat="false" ht="15" hidden="false" customHeight="false" outlineLevel="0" collapsed="false">
      <c r="A686" s="4" t="str">
        <f aca="false">IF(Base_Bruta!A686="","",Base_Bruta!A686)</f>
        <v>SP-000444</v>
      </c>
      <c r="B686" s="5" t="n">
        <f aca="false">IF($A686="","",IF(ISNUMBER(Base_Bruta!B686),Base_Bruta!B686,IF(MID(Base_Bruta!B686,5,1)="-",DATE(VALUE(LEFT(Base_Bruta!B686,4)),VALUE(MID(Base_Bruta!B686,6,2)),VALUE(RIGHT(Base_Bruta!B686,2))),DATE(VALUE(RIGHT(Base_Bruta!B686,4)),VALUE(MID(Base_Bruta!B686,4,2)),VALUE(LEFT(Base_Bruta!B686,2))))))</f>
        <v>46105</v>
      </c>
      <c r="C686" s="5" t="n">
        <f aca="false">IF($A686="","",IF(ISNUMBER(Base_Bruta!C686),Base_Bruta!C686,IF(MID(Base_Bruta!C686,5,1)="-",DATE(VALUE(LEFT(Base_Bruta!C686,4)),VALUE(MID(Base_Bruta!C686,6,2)),VALUE(RIGHT(Base_Bruta!C686,2))),DATE(VALUE(RIGHT(Base_Bruta!C686,4)),VALUE(MID(Base_Bruta!C686,4,2)),VALUE(LEFT(Base_Bruta!C686,2))))))</f>
        <v>46130</v>
      </c>
      <c r="D686" s="4" t="str">
        <f aca="false">IF($A686="","",TRIM(Base_Bruta!D686))</f>
        <v>Festival Sonora SP 2026</v>
      </c>
      <c r="E686" s="4" t="str">
        <f aca="false">IF($A686="","",_xlfn.XLOOKUP(LOWER(TRIM(Base_Bruta!E686)),DePara_Categoria!$A$2:$A$9,DePara_Categoria!$B$2:$B$9,"REVISAR"))</f>
        <v>Festival</v>
      </c>
      <c r="F686" s="4" t="str">
        <f aca="false">IF($A686="","",_xlfn.XLOOKUP(LOWER(TRIM(Base_Bruta!F686)),DePara_Cidade!$A$2:$A$29,DePara_Cidade!$B$2:$B$29,"REVISAR"))</f>
        <v>São Paulo</v>
      </c>
      <c r="G686" s="4" t="str">
        <f aca="false">IF($A686="","",TRIM(Base_Bruta!G686))</f>
        <v>Inteira</v>
      </c>
      <c r="H686" s="4" t="n">
        <f aca="false">IF($A686="","",IF(ISNUMBER(Base_Bruta!H686),Base_Bruta!H686,IFERROR(_xlfn.NUMBERVALUE(TRIM(SUBSTITUTE(Base_Bruta!H686,"R$","")),",","."),0)))</f>
        <v>4</v>
      </c>
      <c r="I686" s="6" t="n">
        <f aca="false">IF($A686="","",IF(ISNUMBER(Base_Bruta!I686),Base_Bruta!I686,IFERROR(_xlfn.NUMBERVALUE(TRIM(SUBSTITUTE(Base_Bruta!I686,"R$","")),",","."),0)))</f>
        <v>875</v>
      </c>
      <c r="J686" s="6" t="n">
        <f aca="false">IF($A686="","",H686*I686)</f>
        <v>3500</v>
      </c>
      <c r="K686" s="4" t="str">
        <f aca="false">IF($A686="","",TRIM(Base_Bruta!J686))</f>
        <v>App</v>
      </c>
      <c r="L686" s="4" t="str">
        <f aca="false">IF($A686="","",TRIM(Base_Bruta!K686))</f>
        <v>C01916</v>
      </c>
      <c r="M686" s="4" t="str">
        <f aca="false">IF($A686="","",_xlfn.XLOOKUP(LOWER(TRIM(Base_Bruta!L686)),DePara_Cidade!$A$2:$A$29,DePara_Cidade!$B$2:$B$29,"REVISAR"))</f>
        <v>São Paulo</v>
      </c>
      <c r="N686" s="4" t="str">
        <f aca="false">IF($A686="","",UPPER(TRIM(Base_Bruta!M686)))</f>
        <v>SP</v>
      </c>
      <c r="O686" s="4" t="str">
        <f aca="false">IF($A686="","",_xlfn.XLOOKUP(LOWER(TRIM(Base_Bruta!N686)),DePara_Pais!$A$2:$A$9,DePara_Pais!$B$2:$B$9,"REVISAR"))</f>
        <v>Brasil</v>
      </c>
      <c r="P686" s="4" t="str">
        <f aca="false">IF($A686="","",IF(O686&lt;&gt;"Brasil","Turista Internacional",IF(M686=F686,"Local","Turista Nacional")))</f>
        <v>Local</v>
      </c>
      <c r="Q686" s="7" t="n">
        <f aca="false">IF($A686="","",DATE(YEAR(B686),MONTH(B686),1))</f>
        <v>46082</v>
      </c>
      <c r="R686" s="4" t="str">
        <f aca="false">IF($A686="","",IF(COUNTIF($A$2:$A686,$A686)&gt;1,"Sim","Não"))</f>
        <v>Não</v>
      </c>
      <c r="S686" s="4" t="str">
        <f aca="false">IF(A686="","Descartar - Linha vazia",IF(R686="Sim","Descartar - Duplicado",IF(OR(H686&lt;=0,I686&lt;=0),"Descartar - Qtd/Valor inválido","OK")))</f>
        <v>OK</v>
      </c>
      <c r="T686" s="4" t="str">
        <f aca="false">Base_Bruta!P686</f>
        <v>vendas_SP.xlsx</v>
      </c>
    </row>
    <row r="687" customFormat="false" ht="15" hidden="false" customHeight="false" outlineLevel="0" collapsed="false">
      <c r="A687" s="4" t="str">
        <f aca="false">IF(Base_Bruta!A687="","",Base_Bruta!A687)</f>
        <v>SP-000350</v>
      </c>
      <c r="B687" s="5" t="n">
        <f aca="false">IF($A687="","",IF(ISNUMBER(Base_Bruta!B687),Base_Bruta!B687,IF(MID(Base_Bruta!B687,5,1)="-",DATE(VALUE(LEFT(Base_Bruta!B687,4)),VALUE(MID(Base_Bruta!B687,6,2)),VALUE(RIGHT(Base_Bruta!B687,2))),DATE(VALUE(RIGHT(Base_Bruta!B687,4)),VALUE(MID(Base_Bruta!B687,4,2)),VALUE(LEFT(Base_Bruta!B687,2))))))</f>
        <v>46106</v>
      </c>
      <c r="C687" s="5" t="n">
        <f aca="false">IF($A687="","",IF(ISNUMBER(Base_Bruta!C687),Base_Bruta!C687,IF(MID(Base_Bruta!C687,5,1)="-",DATE(VALUE(LEFT(Base_Bruta!C687,4)),VALUE(MID(Base_Bruta!C687,6,2)),VALUE(RIGHT(Base_Bruta!C687,2))),DATE(VALUE(RIGHT(Base_Bruta!C687,4)),VALUE(MID(Base_Bruta!C687,4,2)),VALUE(LEFT(Base_Bruta!C687,2))))))</f>
        <v>46130</v>
      </c>
      <c r="D687" s="4" t="str">
        <f aca="false">IF($A687="","",TRIM(Base_Bruta!D687))</f>
        <v>Festival Sonora SP 2026</v>
      </c>
      <c r="E687" s="4" t="str">
        <f aca="false">IF($A687="","",_xlfn.XLOOKUP(LOWER(TRIM(Base_Bruta!E687)),DePara_Categoria!$A$2:$A$9,DePara_Categoria!$B$2:$B$9,"REVISAR"))</f>
        <v>Festival</v>
      </c>
      <c r="F687" s="4" t="str">
        <f aca="false">IF($A687="","",_xlfn.XLOOKUP(LOWER(TRIM(Base_Bruta!F687)),DePara_Cidade!$A$2:$A$29,DePara_Cidade!$B$2:$B$29,"REVISAR"))</f>
        <v>São Paulo</v>
      </c>
      <c r="G687" s="4" t="str">
        <f aca="false">IF($A687="","",TRIM(Base_Bruta!G687))</f>
        <v>Inteira</v>
      </c>
      <c r="H687" s="4" t="n">
        <f aca="false">IF($A687="","",IF(ISNUMBER(Base_Bruta!H687),Base_Bruta!H687,IFERROR(_xlfn.NUMBERVALUE(TRIM(SUBSTITUTE(Base_Bruta!H687,"R$","")),",","."),0)))</f>
        <v>4</v>
      </c>
      <c r="I687" s="6" t="n">
        <f aca="false">IF($A687="","",IF(ISNUMBER(Base_Bruta!I687),Base_Bruta!I687,IFERROR(_xlfn.NUMBERVALUE(TRIM(SUBSTITUTE(Base_Bruta!I687,"R$","")),",","."),0)))</f>
        <v>895</v>
      </c>
      <c r="J687" s="6" t="n">
        <f aca="false">IF($A687="","",H687*I687)</f>
        <v>3580</v>
      </c>
      <c r="K687" s="4" t="str">
        <f aca="false">IF($A687="","",TRIM(Base_Bruta!J687))</f>
        <v>Site</v>
      </c>
      <c r="L687" s="4" t="str">
        <f aca="false">IF($A687="","",TRIM(Base_Bruta!K687))</f>
        <v>C00891</v>
      </c>
      <c r="M687" s="4" t="str">
        <f aca="false">IF($A687="","",_xlfn.XLOOKUP(LOWER(TRIM(Base_Bruta!L687)),DePara_Cidade!$A$2:$A$29,DePara_Cidade!$B$2:$B$29,"REVISAR"))</f>
        <v>Recife</v>
      </c>
      <c r="N687" s="4" t="str">
        <f aca="false">IF($A687="","",UPPER(TRIM(Base_Bruta!M687)))</f>
        <v>PE</v>
      </c>
      <c r="O687" s="4" t="str">
        <f aca="false">IF($A687="","",_xlfn.XLOOKUP(LOWER(TRIM(Base_Bruta!N687)),DePara_Pais!$A$2:$A$9,DePara_Pais!$B$2:$B$9,"REVISAR"))</f>
        <v>Brasil</v>
      </c>
      <c r="P687" s="4" t="str">
        <f aca="false">IF($A687="","",IF(O687&lt;&gt;"Brasil","Turista Internacional",IF(M687=F687,"Local","Turista Nacional")))</f>
        <v>Turista Nacional</v>
      </c>
      <c r="Q687" s="7" t="n">
        <f aca="false">IF($A687="","",DATE(YEAR(B687),MONTH(B687),1))</f>
        <v>46082</v>
      </c>
      <c r="R687" s="4" t="str">
        <f aca="false">IF($A687="","",IF(COUNTIF($A$2:$A687,$A687)&gt;1,"Sim","Não"))</f>
        <v>Não</v>
      </c>
      <c r="S687" s="4" t="str">
        <f aca="false">IF(A687="","Descartar - Linha vazia",IF(R687="Sim","Descartar - Duplicado",IF(OR(H687&lt;=0,I687&lt;=0),"Descartar - Qtd/Valor inválido","OK")))</f>
        <v>OK</v>
      </c>
      <c r="T687" s="4" t="str">
        <f aca="false">Base_Bruta!P687</f>
        <v>vendas_SP.xlsx</v>
      </c>
    </row>
    <row r="688" customFormat="false" ht="15" hidden="false" customHeight="false" outlineLevel="0" collapsed="false">
      <c r="A688" s="4" t="str">
        <f aca="false">IF(Base_Bruta!A688="","",Base_Bruta!A688)</f>
        <v>SP-000735</v>
      </c>
      <c r="B688" s="5" t="n">
        <f aca="false">IF($A688="","",IF(ISNUMBER(Base_Bruta!B688),Base_Bruta!B688,IF(MID(Base_Bruta!B688,5,1)="-",DATE(VALUE(LEFT(Base_Bruta!B688,4)),VALUE(MID(Base_Bruta!B688,6,2)),VALUE(RIGHT(Base_Bruta!B688,2))),DATE(VALUE(RIGHT(Base_Bruta!B688,4)),VALUE(MID(Base_Bruta!B688,4,2)),VALUE(LEFT(Base_Bruta!B688,2))))))</f>
        <v>46106</v>
      </c>
      <c r="C688" s="5" t="n">
        <f aca="false">IF($A688="","",IF(ISNUMBER(Base_Bruta!C688),Base_Bruta!C688,IF(MID(Base_Bruta!C688,5,1)="-",DATE(VALUE(LEFT(Base_Bruta!C688,4)),VALUE(MID(Base_Bruta!C688,6,2)),VALUE(RIGHT(Base_Bruta!C688,2))),DATE(VALUE(RIGHT(Base_Bruta!C688,4)),VALUE(MID(Base_Bruta!C688,4,2)),VALUE(LEFT(Base_Bruta!C688,2))))))</f>
        <v>46107</v>
      </c>
      <c r="D688" s="4" t="str">
        <f aca="false">IF($A688="","",TRIM(Base_Bruta!D688))</f>
        <v>Cinema Paulista - Sessões</v>
      </c>
      <c r="E688" s="4" t="str">
        <f aca="false">IF($A688="","",_xlfn.XLOOKUP(LOWER(TRIM(Base_Bruta!E688)),DePara_Categoria!$A$2:$A$9,DePara_Categoria!$B$2:$B$9,"REVISAR"))</f>
        <v>Cinema</v>
      </c>
      <c r="F688" s="4" t="str">
        <f aca="false">IF($A688="","",_xlfn.XLOOKUP(LOWER(TRIM(Base_Bruta!F688)),DePara_Cidade!$A$2:$A$29,DePara_Cidade!$B$2:$B$29,"REVISAR"))</f>
        <v>São Paulo</v>
      </c>
      <c r="G688" s="4" t="str">
        <f aca="false">IF($A688="","",TRIM(Base_Bruta!G688))</f>
        <v>Meia</v>
      </c>
      <c r="H688" s="4" t="n">
        <f aca="false">IF($A688="","",IF(ISNUMBER(Base_Bruta!H688),Base_Bruta!H688,IFERROR(_xlfn.NUMBERVALUE(TRIM(SUBSTITUTE(Base_Bruta!H688,"R$","")),",","."),0)))</f>
        <v>3</v>
      </c>
      <c r="I688" s="6" t="n">
        <f aca="false">IF($A688="","",IF(ISNUMBER(Base_Bruta!I688),Base_Bruta!I688,IFERROR(_xlfn.NUMBERVALUE(TRIM(SUBSTITUTE(Base_Bruta!I688,"R$","")),",","."),0)))</f>
        <v>17.5</v>
      </c>
      <c r="J688" s="6" t="n">
        <f aca="false">IF($A688="","",H688*I688)</f>
        <v>52.5</v>
      </c>
      <c r="K688" s="4" t="str">
        <f aca="false">IF($A688="","",TRIM(Base_Bruta!J688))</f>
        <v>Site</v>
      </c>
      <c r="L688" s="4" t="str">
        <f aca="false">IF($A688="","",TRIM(Base_Bruta!K688))</f>
        <v>C00661</v>
      </c>
      <c r="M688" s="4" t="str">
        <f aca="false">IF($A688="","",_xlfn.XLOOKUP(LOWER(TRIM(Base_Bruta!L688)),DePara_Cidade!$A$2:$A$29,DePara_Cidade!$B$2:$B$29,"REVISAR"))</f>
        <v>Buenos Aires</v>
      </c>
      <c r="N688" s="4" t="str">
        <f aca="false">IF($A688="","",UPPER(TRIM(Base_Bruta!M688)))</f>
        <v>EX</v>
      </c>
      <c r="O688" s="4" t="str">
        <f aca="false">IF($A688="","",_xlfn.XLOOKUP(LOWER(TRIM(Base_Bruta!N688)),DePara_Pais!$A$2:$A$9,DePara_Pais!$B$2:$B$9,"REVISAR"))</f>
        <v>Argentina</v>
      </c>
      <c r="P688" s="4" t="str">
        <f aca="false">IF($A688="","",IF(O688&lt;&gt;"Brasil","Turista Internacional",IF(M688=F688,"Local","Turista Nacional")))</f>
        <v>Turista Internacional</v>
      </c>
      <c r="Q688" s="7" t="n">
        <f aca="false">IF($A688="","",DATE(YEAR(B688),MONTH(B688),1))</f>
        <v>46082</v>
      </c>
      <c r="R688" s="4" t="str">
        <f aca="false">IF($A688="","",IF(COUNTIF($A$2:$A688,$A688)&gt;1,"Sim","Não"))</f>
        <v>Não</v>
      </c>
      <c r="S688" s="4" t="str">
        <f aca="false">IF(A688="","Descartar - Linha vazia",IF(R688="Sim","Descartar - Duplicado",IF(OR(H688&lt;=0,I688&lt;=0),"Descartar - Qtd/Valor inválido","OK")))</f>
        <v>OK</v>
      </c>
      <c r="T688" s="4" t="str">
        <f aca="false">Base_Bruta!P688</f>
        <v>vendas_SP.xlsx</v>
      </c>
    </row>
    <row r="689" customFormat="false" ht="15" hidden="false" customHeight="false" outlineLevel="0" collapsed="false">
      <c r="A689" s="4" t="str">
        <f aca="false">IF(Base_Bruta!A689="","",Base_Bruta!A689)</f>
        <v>SP-000387</v>
      </c>
      <c r="B689" s="5" t="n">
        <f aca="false">IF($A689="","",IF(ISNUMBER(Base_Bruta!B689),Base_Bruta!B689,IF(MID(Base_Bruta!B689,5,1)="-",DATE(VALUE(LEFT(Base_Bruta!B689,4)),VALUE(MID(Base_Bruta!B689,6,2)),VALUE(RIGHT(Base_Bruta!B689,2))),DATE(VALUE(RIGHT(Base_Bruta!B689,4)),VALUE(MID(Base_Bruta!B689,4,2)),VALUE(LEFT(Base_Bruta!B689,2))))))</f>
        <v>46107</v>
      </c>
      <c r="C689" s="5" t="n">
        <f aca="false">IF($A689="","",IF(ISNUMBER(Base_Bruta!C689),Base_Bruta!C689,IF(MID(Base_Bruta!C689,5,1)="-",DATE(VALUE(LEFT(Base_Bruta!C689,4)),VALUE(MID(Base_Bruta!C689,6,2)),VALUE(RIGHT(Base_Bruta!C689,2))),DATE(VALUE(RIGHT(Base_Bruta!C689,4)),VALUE(MID(Base_Bruta!C689,4,2)),VALUE(LEFT(Base_Bruta!C689,2))))))</f>
        <v>46130</v>
      </c>
      <c r="D689" s="4" t="str">
        <f aca="false">IF($A689="","",TRIM(Base_Bruta!D689))</f>
        <v>Festival Sonora SP 2026</v>
      </c>
      <c r="E689" s="4" t="str">
        <f aca="false">IF($A689="","",_xlfn.XLOOKUP(LOWER(TRIM(Base_Bruta!E689)),DePara_Categoria!$A$2:$A$9,DePara_Categoria!$B$2:$B$9,"REVISAR"))</f>
        <v>Festival</v>
      </c>
      <c r="F689" s="4" t="str">
        <f aca="false">IF($A689="","",_xlfn.XLOOKUP(LOWER(TRIM(Base_Bruta!F689)),DePara_Cidade!$A$2:$A$29,DePara_Cidade!$B$2:$B$29,"REVISAR"))</f>
        <v>São Paulo</v>
      </c>
      <c r="G689" s="4" t="str">
        <f aca="false">IF($A689="","",TRIM(Base_Bruta!G689))</f>
        <v>Inteira</v>
      </c>
      <c r="H689" s="4" t="n">
        <f aca="false">IF($A689="","",IF(ISNUMBER(Base_Bruta!H689),Base_Bruta!H689,IFERROR(_xlfn.NUMBERVALUE(TRIM(SUBSTITUTE(Base_Bruta!H689,"R$","")),",","."),0)))</f>
        <v>4</v>
      </c>
      <c r="I689" s="6" t="n">
        <f aca="false">IF($A689="","",IF(ISNUMBER(Base_Bruta!I689),Base_Bruta!I689,IFERROR(_xlfn.NUMBERVALUE(TRIM(SUBSTITUTE(Base_Bruta!I689,"R$","")),",","."),0)))</f>
        <v>765</v>
      </c>
      <c r="J689" s="6" t="n">
        <f aca="false">IF($A689="","",H689*I689)</f>
        <v>3060</v>
      </c>
      <c r="K689" s="4" t="str">
        <f aca="false">IF($A689="","",TRIM(Base_Bruta!J689))</f>
        <v>App</v>
      </c>
      <c r="L689" s="4" t="str">
        <f aca="false">IF($A689="","",TRIM(Base_Bruta!K689))</f>
        <v>C00717</v>
      </c>
      <c r="M689" s="4" t="str">
        <f aca="false">IF($A689="","",_xlfn.XLOOKUP(LOWER(TRIM(Base_Bruta!L689)),DePara_Cidade!$A$2:$A$29,DePara_Cidade!$B$2:$B$29,"REVISAR"))</f>
        <v>Campinas</v>
      </c>
      <c r="N689" s="4" t="str">
        <f aca="false">IF($A689="","",UPPER(TRIM(Base_Bruta!M689)))</f>
        <v>SP</v>
      </c>
      <c r="O689" s="4" t="str">
        <f aca="false">IF($A689="","",_xlfn.XLOOKUP(LOWER(TRIM(Base_Bruta!N689)),DePara_Pais!$A$2:$A$9,DePara_Pais!$B$2:$B$9,"REVISAR"))</f>
        <v>Brasil</v>
      </c>
      <c r="P689" s="4" t="str">
        <f aca="false">IF($A689="","",IF(O689&lt;&gt;"Brasil","Turista Internacional",IF(M689=F689,"Local","Turista Nacional")))</f>
        <v>Turista Nacional</v>
      </c>
      <c r="Q689" s="7" t="n">
        <f aca="false">IF($A689="","",DATE(YEAR(B689),MONTH(B689),1))</f>
        <v>46082</v>
      </c>
      <c r="R689" s="4" t="str">
        <f aca="false">IF($A689="","",IF(COUNTIF($A$2:$A689,$A689)&gt;1,"Sim","Não"))</f>
        <v>Não</v>
      </c>
      <c r="S689" s="4" t="str">
        <f aca="false">IF(A689="","Descartar - Linha vazia",IF(R689="Sim","Descartar - Duplicado",IF(OR(H689&lt;=0,I689&lt;=0),"Descartar - Qtd/Valor inválido","OK")))</f>
        <v>OK</v>
      </c>
      <c r="T689" s="4" t="str">
        <f aca="false">Base_Bruta!P689</f>
        <v>vendas_SP.xlsx</v>
      </c>
    </row>
    <row r="690" customFormat="false" ht="15" hidden="false" customHeight="false" outlineLevel="0" collapsed="false">
      <c r="A690" s="4" t="str">
        <f aca="false">IF(Base_Bruta!A690="","",Base_Bruta!A690)</f>
        <v>SP-000412</v>
      </c>
      <c r="B690" s="5" t="n">
        <f aca="false">IF($A690="","",IF(ISNUMBER(Base_Bruta!B690),Base_Bruta!B690,IF(MID(Base_Bruta!B690,5,1)="-",DATE(VALUE(LEFT(Base_Bruta!B690,4)),VALUE(MID(Base_Bruta!B690,6,2)),VALUE(RIGHT(Base_Bruta!B690,2))),DATE(VALUE(RIGHT(Base_Bruta!B690,4)),VALUE(MID(Base_Bruta!B690,4,2)),VALUE(LEFT(Base_Bruta!B690,2))))))</f>
        <v>46107</v>
      </c>
      <c r="C690" s="5" t="n">
        <f aca="false">IF($A690="","",IF(ISNUMBER(Base_Bruta!C690),Base_Bruta!C690,IF(MID(Base_Bruta!C690,5,1)="-",DATE(VALUE(LEFT(Base_Bruta!C690,4)),VALUE(MID(Base_Bruta!C690,6,2)),VALUE(RIGHT(Base_Bruta!C690,2))),DATE(VALUE(RIGHT(Base_Bruta!C690,4)),VALUE(MID(Base_Bruta!C690,4,2)),VALUE(LEFT(Base_Bruta!C690,2))))))</f>
        <v>46130</v>
      </c>
      <c r="D690" s="4" t="str">
        <f aca="false">IF($A690="","",TRIM(Base_Bruta!D690))</f>
        <v>Festival Sonora SP 2026</v>
      </c>
      <c r="E690" s="4" t="str">
        <f aca="false">IF($A690="","",_xlfn.XLOOKUP(LOWER(TRIM(Base_Bruta!E690)),DePara_Categoria!$A$2:$A$9,DePara_Categoria!$B$2:$B$9,"REVISAR"))</f>
        <v>Festival</v>
      </c>
      <c r="F690" s="4" t="str">
        <f aca="false">IF($A690="","",_xlfn.XLOOKUP(LOWER(TRIM(Base_Bruta!F690)),DePara_Cidade!$A$2:$A$29,DePara_Cidade!$B$2:$B$29,"REVISAR"))</f>
        <v>São Paulo</v>
      </c>
      <c r="G690" s="4" t="str">
        <f aca="false">IF($A690="","",TRIM(Base_Bruta!G690))</f>
        <v>Inteira</v>
      </c>
      <c r="H690" s="4" t="n">
        <f aca="false">IF($A690="","",IF(ISNUMBER(Base_Bruta!H690),Base_Bruta!H690,IFERROR(_xlfn.NUMBERVALUE(TRIM(SUBSTITUTE(Base_Bruta!H690,"R$","")),",","."),0)))</f>
        <v>2</v>
      </c>
      <c r="I690" s="6" t="n">
        <f aca="false">IF($A690="","",IF(ISNUMBER(Base_Bruta!I690),Base_Bruta!I690,IFERROR(_xlfn.NUMBERVALUE(TRIM(SUBSTITUTE(Base_Bruta!I690,"R$","")),",","."),0)))</f>
        <v>655</v>
      </c>
      <c r="J690" s="6" t="n">
        <f aca="false">IF($A690="","",H690*I690)</f>
        <v>1310</v>
      </c>
      <c r="K690" s="4" t="str">
        <f aca="false">IF($A690="","",TRIM(Base_Bruta!J690))</f>
        <v>App</v>
      </c>
      <c r="L690" s="4" t="str">
        <f aca="false">IF($A690="","",TRIM(Base_Bruta!K690))</f>
        <v>C01965</v>
      </c>
      <c r="M690" s="4" t="str">
        <f aca="false">IF($A690="","",_xlfn.XLOOKUP(LOWER(TRIM(Base_Bruta!L690)),DePara_Cidade!$A$2:$A$29,DePara_Cidade!$B$2:$B$29,"REVISAR"))</f>
        <v>São Paulo</v>
      </c>
      <c r="N690" s="4" t="str">
        <f aca="false">IF($A690="","",UPPER(TRIM(Base_Bruta!M690)))</f>
        <v>SP</v>
      </c>
      <c r="O690" s="4" t="str">
        <f aca="false">IF($A690="","",_xlfn.XLOOKUP(LOWER(TRIM(Base_Bruta!N690)),DePara_Pais!$A$2:$A$9,DePara_Pais!$B$2:$B$9,"REVISAR"))</f>
        <v>Brasil</v>
      </c>
      <c r="P690" s="4" t="str">
        <f aca="false">IF($A690="","",IF(O690&lt;&gt;"Brasil","Turista Internacional",IF(M690=F690,"Local","Turista Nacional")))</f>
        <v>Local</v>
      </c>
      <c r="Q690" s="7" t="n">
        <f aca="false">IF($A690="","",DATE(YEAR(B690),MONTH(B690),1))</f>
        <v>46082</v>
      </c>
      <c r="R690" s="4" t="str">
        <f aca="false">IF($A690="","",IF(COUNTIF($A$2:$A690,$A690)&gt;1,"Sim","Não"))</f>
        <v>Não</v>
      </c>
      <c r="S690" s="4" t="str">
        <f aca="false">IF(A690="","Descartar - Linha vazia",IF(R690="Sim","Descartar - Duplicado",IF(OR(H690&lt;=0,I690&lt;=0),"Descartar - Qtd/Valor inválido","OK")))</f>
        <v>OK</v>
      </c>
      <c r="T690" s="4" t="str">
        <f aca="false">Base_Bruta!P690</f>
        <v>vendas_SP.xlsx</v>
      </c>
    </row>
    <row r="691" customFormat="false" ht="15" hidden="false" customHeight="false" outlineLevel="0" collapsed="false">
      <c r="A691" s="4" t="str">
        <f aca="false">IF(Base_Bruta!A691="","",Base_Bruta!A691)</f>
        <v>SP-000648</v>
      </c>
      <c r="B691" s="5" t="n">
        <f aca="false">IF($A691="","",IF(ISNUMBER(Base_Bruta!B691),Base_Bruta!B691,IF(MID(Base_Bruta!B691,5,1)="-",DATE(VALUE(LEFT(Base_Bruta!B691,4)),VALUE(MID(Base_Bruta!B691,6,2)),VALUE(RIGHT(Base_Bruta!B691,2))),DATE(VALUE(RIGHT(Base_Bruta!B691,4)),VALUE(MID(Base_Bruta!B691,4,2)),VALUE(LEFT(Base_Bruta!B691,2))))))</f>
        <v>46108</v>
      </c>
      <c r="C691" s="5" t="n">
        <f aca="false">IF($A691="","",IF(ISNUMBER(Base_Bruta!C691),Base_Bruta!C691,IF(MID(Base_Bruta!C691,5,1)="-",DATE(VALUE(LEFT(Base_Bruta!C691,4)),VALUE(MID(Base_Bruta!C691,6,2)),VALUE(RIGHT(Base_Bruta!C691,2))),DATE(VALUE(RIGHT(Base_Bruta!C691,4)),VALUE(MID(Base_Bruta!C691,4,2)),VALUE(LEFT(Base_Bruta!C691,2))))))</f>
        <v>46109</v>
      </c>
      <c r="D691" s="4" t="str">
        <f aca="false">IF($A691="","",TRIM(Base_Bruta!D691))</f>
        <v>Cinema Paulista - Sessões</v>
      </c>
      <c r="E691" s="4" t="str">
        <f aca="false">IF($A691="","",_xlfn.XLOOKUP(LOWER(TRIM(Base_Bruta!E691)),DePara_Categoria!$A$2:$A$9,DePara_Categoria!$B$2:$B$9,"REVISAR"))</f>
        <v>Cinema</v>
      </c>
      <c r="F691" s="4" t="str">
        <f aca="false">IF($A691="","",_xlfn.XLOOKUP(LOWER(TRIM(Base_Bruta!F691)),DePara_Cidade!$A$2:$A$29,DePara_Cidade!$B$2:$B$29,"REVISAR"))</f>
        <v>São Paulo</v>
      </c>
      <c r="G691" s="4" t="str">
        <f aca="false">IF($A691="","",TRIM(Base_Bruta!G691))</f>
        <v>Inteira</v>
      </c>
      <c r="H691" s="4" t="n">
        <f aca="false">IF($A691="","",IF(ISNUMBER(Base_Bruta!H691),Base_Bruta!H691,IFERROR(_xlfn.NUMBERVALUE(TRIM(SUBSTITUTE(Base_Bruta!H691,"R$","")),",","."),0)))</f>
        <v>2</v>
      </c>
      <c r="I691" s="6" t="n">
        <f aca="false">IF($A691="","",IF(ISNUMBER(Base_Bruta!I691),Base_Bruta!I691,IFERROR(_xlfn.NUMBERVALUE(TRIM(SUBSTITUTE(Base_Bruta!I691,"R$","")),",","."),0)))</f>
        <v>35</v>
      </c>
      <c r="J691" s="6" t="n">
        <f aca="false">IF($A691="","",H691*I691)</f>
        <v>70</v>
      </c>
      <c r="K691" s="4" t="str">
        <f aca="false">IF($A691="","",TRIM(Base_Bruta!J691))</f>
        <v>Site</v>
      </c>
      <c r="L691" s="4" t="str">
        <f aca="false">IF($A691="","",TRIM(Base_Bruta!K691))</f>
        <v>C02244</v>
      </c>
      <c r="M691" s="4" t="str">
        <f aca="false">IF($A691="","",_xlfn.XLOOKUP(LOWER(TRIM(Base_Bruta!L691)),DePara_Cidade!$A$2:$A$29,DePara_Cidade!$B$2:$B$29,"REVISAR"))</f>
        <v>São Paulo</v>
      </c>
      <c r="N691" s="4" t="str">
        <f aca="false">IF($A691="","",UPPER(TRIM(Base_Bruta!M691)))</f>
        <v>SP</v>
      </c>
      <c r="O691" s="4" t="str">
        <f aca="false">IF($A691="","",_xlfn.XLOOKUP(LOWER(TRIM(Base_Bruta!N691)),DePara_Pais!$A$2:$A$9,DePara_Pais!$B$2:$B$9,"REVISAR"))</f>
        <v>Brasil</v>
      </c>
      <c r="P691" s="4" t="str">
        <f aca="false">IF($A691="","",IF(O691&lt;&gt;"Brasil","Turista Internacional",IF(M691=F691,"Local","Turista Nacional")))</f>
        <v>Local</v>
      </c>
      <c r="Q691" s="7" t="n">
        <f aca="false">IF($A691="","",DATE(YEAR(B691),MONTH(B691),1))</f>
        <v>46082</v>
      </c>
      <c r="R691" s="4" t="str">
        <f aca="false">IF($A691="","",IF(COUNTIF($A$2:$A691,$A691)&gt;1,"Sim","Não"))</f>
        <v>Não</v>
      </c>
      <c r="S691" s="4" t="str">
        <f aca="false">IF(A691="","Descartar - Linha vazia",IF(R691="Sim","Descartar - Duplicado",IF(OR(H691&lt;=0,I691&lt;=0),"Descartar - Qtd/Valor inválido","OK")))</f>
        <v>OK</v>
      </c>
      <c r="T691" s="4" t="str">
        <f aca="false">Base_Bruta!P691</f>
        <v>vendas_SP.xlsx</v>
      </c>
    </row>
    <row r="692" customFormat="false" ht="15" hidden="false" customHeight="false" outlineLevel="0" collapsed="false">
      <c r="A692" s="4" t="str">
        <f aca="false">IF(Base_Bruta!A692="","",Base_Bruta!A692)</f>
        <v>SP-000266</v>
      </c>
      <c r="B692" s="5" t="n">
        <f aca="false">IF($A692="","",IF(ISNUMBER(Base_Bruta!B692),Base_Bruta!B692,IF(MID(Base_Bruta!B692,5,1)="-",DATE(VALUE(LEFT(Base_Bruta!B692,4)),VALUE(MID(Base_Bruta!B692,6,2)),VALUE(RIGHT(Base_Bruta!B692,2))),DATE(VALUE(RIGHT(Base_Bruta!B692,4)),VALUE(MID(Base_Bruta!B692,4,2)),VALUE(LEFT(Base_Bruta!B692,2))))))</f>
        <v>46109</v>
      </c>
      <c r="C692" s="5" t="n">
        <f aca="false">IF($A692="","",IF(ISNUMBER(Base_Bruta!C692),Base_Bruta!C692,IF(MID(Base_Bruta!C692,5,1)="-",DATE(VALUE(LEFT(Base_Bruta!C692,4)),VALUE(MID(Base_Bruta!C692,6,2)),VALUE(RIGHT(Base_Bruta!C692,2))),DATE(VALUE(RIGHT(Base_Bruta!C692,4)),VALUE(MID(Base_Bruta!C692,4,2)),VALUE(LEFT(Base_Bruta!C692,2))))))</f>
        <v>46130</v>
      </c>
      <c r="D692" s="4" t="str">
        <f aca="false">IF($A692="","",TRIM(Base_Bruta!D692))</f>
        <v>Festival Sonora SP 2026</v>
      </c>
      <c r="E692" s="4" t="str">
        <f aca="false">IF($A692="","",_xlfn.XLOOKUP(LOWER(TRIM(Base_Bruta!E692)),DePara_Categoria!$A$2:$A$9,DePara_Categoria!$B$2:$B$9,"REVISAR"))</f>
        <v>Festival</v>
      </c>
      <c r="F692" s="4" t="str">
        <f aca="false">IF($A692="","",_xlfn.XLOOKUP(LOWER(TRIM(Base_Bruta!F692)),DePara_Cidade!$A$2:$A$29,DePara_Cidade!$B$2:$B$29,"REVISAR"))</f>
        <v>São Paulo</v>
      </c>
      <c r="G692" s="4" t="str">
        <f aca="false">IF($A692="","",TRIM(Base_Bruta!G692))</f>
        <v>Inteira</v>
      </c>
      <c r="H692" s="4" t="n">
        <f aca="false">IF($A692="","",IF(ISNUMBER(Base_Bruta!H692),Base_Bruta!H692,IFERROR(_xlfn.NUMBERVALUE(TRIM(SUBSTITUTE(Base_Bruta!H692,"R$","")),",","."),0)))</f>
        <v>1</v>
      </c>
      <c r="I692" s="6" t="n">
        <f aca="false">IF($A692="","",IF(ISNUMBER(Base_Bruta!I692),Base_Bruta!I692,IFERROR(_xlfn.NUMBERVALUE(TRIM(SUBSTITUTE(Base_Bruta!I692,"R$","")),",","."),0)))</f>
        <v>745</v>
      </c>
      <c r="J692" s="6" t="n">
        <f aca="false">IF($A692="","",H692*I692)</f>
        <v>745</v>
      </c>
      <c r="K692" s="4" t="str">
        <f aca="false">IF($A692="","",TRIM(Base_Bruta!J692))</f>
        <v>Bilheteria</v>
      </c>
      <c r="L692" s="4" t="str">
        <f aca="false">IF($A692="","",TRIM(Base_Bruta!K692))</f>
        <v>C01868</v>
      </c>
      <c r="M692" s="4" t="str">
        <f aca="false">IF($A692="","",_xlfn.XLOOKUP(LOWER(TRIM(Base_Bruta!L692)),DePara_Cidade!$A$2:$A$29,DePara_Cidade!$B$2:$B$29,"REVISAR"))</f>
        <v>Curitiba</v>
      </c>
      <c r="N692" s="4" t="str">
        <f aca="false">IF($A692="","",UPPER(TRIM(Base_Bruta!M692)))</f>
        <v>PR</v>
      </c>
      <c r="O692" s="4" t="str">
        <f aca="false">IF($A692="","",_xlfn.XLOOKUP(LOWER(TRIM(Base_Bruta!N692)),DePara_Pais!$A$2:$A$9,DePara_Pais!$B$2:$B$9,"REVISAR"))</f>
        <v>Brasil</v>
      </c>
      <c r="P692" s="4" t="str">
        <f aca="false">IF($A692="","",IF(O692&lt;&gt;"Brasil","Turista Internacional",IF(M692=F692,"Local","Turista Nacional")))</f>
        <v>Turista Nacional</v>
      </c>
      <c r="Q692" s="7" t="n">
        <f aca="false">IF($A692="","",DATE(YEAR(B692),MONTH(B692),1))</f>
        <v>46082</v>
      </c>
      <c r="R692" s="4" t="str">
        <f aca="false">IF($A692="","",IF(COUNTIF($A$2:$A692,$A692)&gt;1,"Sim","Não"))</f>
        <v>Não</v>
      </c>
      <c r="S692" s="4" t="str">
        <f aca="false">IF(A692="","Descartar - Linha vazia",IF(R692="Sim","Descartar - Duplicado",IF(OR(H692&lt;=0,I692&lt;=0),"Descartar - Qtd/Valor inválido","OK")))</f>
        <v>OK</v>
      </c>
      <c r="T692" s="4" t="str">
        <f aca="false">Base_Bruta!P692</f>
        <v>vendas_SP.xlsx</v>
      </c>
    </row>
    <row r="693" customFormat="false" ht="15" hidden="false" customHeight="false" outlineLevel="0" collapsed="false">
      <c r="A693" s="4" t="str">
        <f aca="false">IF(Base_Bruta!A693="","",Base_Bruta!A693)</f>
        <v>SP-000666</v>
      </c>
      <c r="B693" s="5" t="n">
        <f aca="false">IF($A693="","",IF(ISNUMBER(Base_Bruta!B693),Base_Bruta!B693,IF(MID(Base_Bruta!B693,5,1)="-",DATE(VALUE(LEFT(Base_Bruta!B693,4)),VALUE(MID(Base_Bruta!B693,6,2)),VALUE(RIGHT(Base_Bruta!B693,2))),DATE(VALUE(RIGHT(Base_Bruta!B693,4)),VALUE(MID(Base_Bruta!B693,4,2)),VALUE(LEFT(Base_Bruta!B693,2))))))</f>
        <v>46111</v>
      </c>
      <c r="C693" s="5" t="n">
        <f aca="false">IF($A693="","",IF(ISNUMBER(Base_Bruta!C693),Base_Bruta!C693,IF(MID(Base_Bruta!C693,5,1)="-",DATE(VALUE(LEFT(Base_Bruta!C693,4)),VALUE(MID(Base_Bruta!C693,6,2)),VALUE(RIGHT(Base_Bruta!C693,2))),DATE(VALUE(RIGHT(Base_Bruta!C693,4)),VALUE(MID(Base_Bruta!C693,4,2)),VALUE(LEFT(Base_Bruta!C693,2))))))</f>
        <v>46111</v>
      </c>
      <c r="D693" s="4" t="str">
        <f aca="false">IF($A693="","",TRIM(Base_Bruta!D693))</f>
        <v>Cinema Paulista - Sessões</v>
      </c>
      <c r="E693" s="4" t="str">
        <f aca="false">IF($A693="","",_xlfn.XLOOKUP(LOWER(TRIM(Base_Bruta!E693)),DePara_Categoria!$A$2:$A$9,DePara_Categoria!$B$2:$B$9,"REVISAR"))</f>
        <v>Cinema</v>
      </c>
      <c r="F693" s="4" t="str">
        <f aca="false">IF($A693="","",_xlfn.XLOOKUP(LOWER(TRIM(Base_Bruta!F693)),DePara_Cidade!$A$2:$A$29,DePara_Cidade!$B$2:$B$29,"REVISAR"))</f>
        <v>São Paulo</v>
      </c>
      <c r="G693" s="4" t="str">
        <f aca="false">IF($A693="","",TRIM(Base_Bruta!G693))</f>
        <v>Meia</v>
      </c>
      <c r="H693" s="4" t="n">
        <f aca="false">IF($A693="","",IF(ISNUMBER(Base_Bruta!H693),Base_Bruta!H693,IFERROR(_xlfn.NUMBERVALUE(TRIM(SUBSTITUTE(Base_Bruta!H693,"R$","")),",","."),0)))</f>
        <v>1</v>
      </c>
      <c r="I693" s="6" t="n">
        <f aca="false">IF($A693="","",IF(ISNUMBER(Base_Bruta!I693),Base_Bruta!I693,IFERROR(_xlfn.NUMBERVALUE(TRIM(SUBSTITUTE(Base_Bruta!I693,"R$","")),",","."),0)))</f>
        <v>20</v>
      </c>
      <c r="J693" s="6" t="n">
        <f aca="false">IF($A693="","",H693*I693)</f>
        <v>20</v>
      </c>
      <c r="K693" s="4" t="str">
        <f aca="false">IF($A693="","",TRIM(Base_Bruta!J693))</f>
        <v>Site</v>
      </c>
      <c r="L693" s="4" t="str">
        <f aca="false">IF($A693="","",TRIM(Base_Bruta!K693))</f>
        <v>C01548</v>
      </c>
      <c r="M693" s="4" t="str">
        <f aca="false">IF($A693="","",_xlfn.XLOOKUP(LOWER(TRIM(Base_Bruta!L693)),DePara_Cidade!$A$2:$A$29,DePara_Cidade!$B$2:$B$29,"REVISAR"))</f>
        <v>São Paulo</v>
      </c>
      <c r="N693" s="4" t="str">
        <f aca="false">IF($A693="","",UPPER(TRIM(Base_Bruta!M693)))</f>
        <v>SP</v>
      </c>
      <c r="O693" s="4" t="str">
        <f aca="false">IF($A693="","",_xlfn.XLOOKUP(LOWER(TRIM(Base_Bruta!N693)),DePara_Pais!$A$2:$A$9,DePara_Pais!$B$2:$B$9,"REVISAR"))</f>
        <v>Brasil</v>
      </c>
      <c r="P693" s="4" t="str">
        <f aca="false">IF($A693="","",IF(O693&lt;&gt;"Brasil","Turista Internacional",IF(M693=F693,"Local","Turista Nacional")))</f>
        <v>Local</v>
      </c>
      <c r="Q693" s="7" t="n">
        <f aca="false">IF($A693="","",DATE(YEAR(B693),MONTH(B693),1))</f>
        <v>46082</v>
      </c>
      <c r="R693" s="4" t="str">
        <f aca="false">IF($A693="","",IF(COUNTIF($A$2:$A693,$A693)&gt;1,"Sim","Não"))</f>
        <v>Não</v>
      </c>
      <c r="S693" s="4" t="str">
        <f aca="false">IF(A693="","Descartar - Linha vazia",IF(R693="Sim","Descartar - Duplicado",IF(OR(H693&lt;=0,I693&lt;=0),"Descartar - Qtd/Valor inválido","OK")))</f>
        <v>OK</v>
      </c>
      <c r="T693" s="4" t="str">
        <f aca="false">Base_Bruta!P693</f>
        <v>vendas_SP.xlsx</v>
      </c>
    </row>
    <row r="694" customFormat="false" ht="15" hidden="false" customHeight="false" outlineLevel="0" collapsed="false">
      <c r="A694" s="4" t="str">
        <f aca="false">IF(Base_Bruta!A694="","",Base_Bruta!A694)</f>
        <v>SP-000667</v>
      </c>
      <c r="B694" s="5" t="n">
        <f aca="false">IF($A694="","",IF(ISNUMBER(Base_Bruta!B694),Base_Bruta!B694,IF(MID(Base_Bruta!B694,5,1)="-",DATE(VALUE(LEFT(Base_Bruta!B694,4)),VALUE(MID(Base_Bruta!B694,6,2)),VALUE(RIGHT(Base_Bruta!B694,2))),DATE(VALUE(RIGHT(Base_Bruta!B694,4)),VALUE(MID(Base_Bruta!B694,4,2)),VALUE(LEFT(Base_Bruta!B694,2))))))</f>
        <v>46113</v>
      </c>
      <c r="C694" s="5" t="n">
        <f aca="false">IF($A694="","",IF(ISNUMBER(Base_Bruta!C694),Base_Bruta!C694,IF(MID(Base_Bruta!C694,5,1)="-",DATE(VALUE(LEFT(Base_Bruta!C694,4)),VALUE(MID(Base_Bruta!C694,6,2)),VALUE(RIGHT(Base_Bruta!C694,2))),DATE(VALUE(RIGHT(Base_Bruta!C694,4)),VALUE(MID(Base_Bruta!C694,4,2)),VALUE(LEFT(Base_Bruta!C694,2))))))</f>
        <v>46114</v>
      </c>
      <c r="D694" s="4" t="str">
        <f aca="false">IF($A694="","",TRIM(Base_Bruta!D694))</f>
        <v>Cinema Paulista - Sessões</v>
      </c>
      <c r="E694" s="4" t="str">
        <f aca="false">IF($A694="","",_xlfn.XLOOKUP(LOWER(TRIM(Base_Bruta!E694)),DePara_Categoria!$A$2:$A$9,DePara_Categoria!$B$2:$B$9,"REVISAR"))</f>
        <v>Cinema</v>
      </c>
      <c r="F694" s="4" t="str">
        <f aca="false">IF($A694="","",_xlfn.XLOOKUP(LOWER(TRIM(Base_Bruta!F694)),DePara_Cidade!$A$2:$A$29,DePara_Cidade!$B$2:$B$29,"REVISAR"))</f>
        <v>São Paulo</v>
      </c>
      <c r="G694" s="4" t="str">
        <f aca="false">IF($A694="","",TRIM(Base_Bruta!G694))</f>
        <v>Inteira</v>
      </c>
      <c r="H694" s="4" t="n">
        <f aca="false">IF($A694="","",IF(ISNUMBER(Base_Bruta!H694),Base_Bruta!H694,IFERROR(_xlfn.NUMBERVALUE(TRIM(SUBSTITUTE(Base_Bruta!H694,"R$","")),",","."),0)))</f>
        <v>2</v>
      </c>
      <c r="I694" s="6" t="n">
        <f aca="false">IF($A694="","",IF(ISNUMBER(Base_Bruta!I694),Base_Bruta!I694,IFERROR(_xlfn.NUMBERVALUE(TRIM(SUBSTITUTE(Base_Bruta!I694,"R$","")),",","."),0)))</f>
        <v>0</v>
      </c>
      <c r="J694" s="6" t="n">
        <f aca="false">IF($A694="","",H694*I694)</f>
        <v>0</v>
      </c>
      <c r="K694" s="4" t="str">
        <f aca="false">IF($A694="","",TRIM(Base_Bruta!J694))</f>
        <v>Parceiro</v>
      </c>
      <c r="L694" s="4" t="str">
        <f aca="false">IF($A694="","",TRIM(Base_Bruta!K694))</f>
        <v>C02111</v>
      </c>
      <c r="M694" s="4" t="str">
        <f aca="false">IF($A694="","",_xlfn.XLOOKUP(LOWER(TRIM(Base_Bruta!L694)),DePara_Cidade!$A$2:$A$29,DePara_Cidade!$B$2:$B$29,"REVISAR"))</f>
        <v>São Paulo</v>
      </c>
      <c r="N694" s="4" t="str">
        <f aca="false">IF($A694="","",UPPER(TRIM(Base_Bruta!M694)))</f>
        <v>SP</v>
      </c>
      <c r="O694" s="4" t="str">
        <f aca="false">IF($A694="","",_xlfn.XLOOKUP(LOWER(TRIM(Base_Bruta!N694)),DePara_Pais!$A$2:$A$9,DePara_Pais!$B$2:$B$9,"REVISAR"))</f>
        <v>Brasil</v>
      </c>
      <c r="P694" s="4" t="str">
        <f aca="false">IF($A694="","",IF(O694&lt;&gt;"Brasil","Turista Internacional",IF(M694=F694,"Local","Turista Nacional")))</f>
        <v>Local</v>
      </c>
      <c r="Q694" s="7" t="n">
        <f aca="false">IF($A694="","",DATE(YEAR(B694),MONTH(B694),1))</f>
        <v>46113</v>
      </c>
      <c r="R694" s="4" t="str">
        <f aca="false">IF($A694="","",IF(COUNTIF($A$2:$A694,$A694)&gt;1,"Sim","Não"))</f>
        <v>Não</v>
      </c>
      <c r="S694" s="4" t="str">
        <f aca="false">IF(A694="","Descartar - Linha vazia",IF(R694="Sim","Descartar - Duplicado",IF(OR(H694&lt;=0,I694&lt;=0),"Descartar - Qtd/Valor inválido","OK")))</f>
        <v>Descartar - Qtd/Valor inválido</v>
      </c>
      <c r="T694" s="4" t="str">
        <f aca="false">Base_Bruta!P694</f>
        <v>vendas_SP.xlsx</v>
      </c>
    </row>
    <row r="695" customFormat="false" ht="15" hidden="false" customHeight="false" outlineLevel="0" collapsed="false">
      <c r="A695" s="4" t="str">
        <f aca="false">IF(Base_Bruta!A695="","",Base_Bruta!A695)</f>
        <v>SP-000255</v>
      </c>
      <c r="B695" s="5" t="n">
        <f aca="false">IF($A695="","",IF(ISNUMBER(Base_Bruta!B695),Base_Bruta!B695,IF(MID(Base_Bruta!B695,5,1)="-",DATE(VALUE(LEFT(Base_Bruta!B695,4)),VALUE(MID(Base_Bruta!B695,6,2)),VALUE(RIGHT(Base_Bruta!B695,2))),DATE(VALUE(RIGHT(Base_Bruta!B695,4)),VALUE(MID(Base_Bruta!B695,4,2)),VALUE(LEFT(Base_Bruta!B695,2))))))</f>
        <v>46114</v>
      </c>
      <c r="C695" s="5" t="n">
        <f aca="false">IF($A695="","",IF(ISNUMBER(Base_Bruta!C695),Base_Bruta!C695,IF(MID(Base_Bruta!C695,5,1)="-",DATE(VALUE(LEFT(Base_Bruta!C695,4)),VALUE(MID(Base_Bruta!C695,6,2)),VALUE(RIGHT(Base_Bruta!C695,2))),DATE(VALUE(RIGHT(Base_Bruta!C695,4)),VALUE(MID(Base_Bruta!C695,4,2)),VALUE(LEFT(Base_Bruta!C695,2))))))</f>
        <v>46130</v>
      </c>
      <c r="D695" s="4" t="str">
        <f aca="false">IF($A695="","",TRIM(Base_Bruta!D695))</f>
        <v>Festival Sonora SP 2026</v>
      </c>
      <c r="E695" s="4" t="str">
        <f aca="false">IF($A695="","",_xlfn.XLOOKUP(LOWER(TRIM(Base_Bruta!E695)),DePara_Categoria!$A$2:$A$9,DePara_Categoria!$B$2:$B$9,"REVISAR"))</f>
        <v>Festival</v>
      </c>
      <c r="F695" s="4" t="str">
        <f aca="false">IF($A695="","",_xlfn.XLOOKUP(LOWER(TRIM(Base_Bruta!F695)),DePara_Cidade!$A$2:$A$29,DePara_Cidade!$B$2:$B$29,"REVISAR"))</f>
        <v>São Paulo</v>
      </c>
      <c r="G695" s="4" t="str">
        <f aca="false">IF($A695="","",TRIM(Base_Bruta!G695))</f>
        <v>VIP</v>
      </c>
      <c r="H695" s="4" t="n">
        <f aca="false">IF($A695="","",IF(ISNUMBER(Base_Bruta!H695),Base_Bruta!H695,IFERROR(_xlfn.NUMBERVALUE(TRIM(SUBSTITUTE(Base_Bruta!H695,"R$","")),",","."),0)))</f>
        <v>1</v>
      </c>
      <c r="I695" s="6" t="n">
        <f aca="false">IF($A695="","",IF(ISNUMBER(Base_Bruta!I695),Base_Bruta!I695,IFERROR(_xlfn.NUMBERVALUE(TRIM(SUBSTITUTE(Base_Bruta!I695,"R$","")),",","."),0)))</f>
        <v>1820</v>
      </c>
      <c r="J695" s="6" t="n">
        <f aca="false">IF($A695="","",H695*I695)</f>
        <v>1820</v>
      </c>
      <c r="K695" s="4" t="str">
        <f aca="false">IF($A695="","",TRIM(Base_Bruta!J695))</f>
        <v>Site</v>
      </c>
      <c r="L695" s="4" t="str">
        <f aca="false">IF($A695="","",TRIM(Base_Bruta!K695))</f>
        <v>C01106</v>
      </c>
      <c r="M695" s="4" t="str">
        <f aca="false">IF($A695="","",_xlfn.XLOOKUP(LOWER(TRIM(Base_Bruta!L695)),DePara_Cidade!$A$2:$A$29,DePara_Cidade!$B$2:$B$29,"REVISAR"))</f>
        <v>São Paulo</v>
      </c>
      <c r="N695" s="4" t="str">
        <f aca="false">IF($A695="","",UPPER(TRIM(Base_Bruta!M695)))</f>
        <v>SP</v>
      </c>
      <c r="O695" s="4" t="str">
        <f aca="false">IF($A695="","",_xlfn.XLOOKUP(LOWER(TRIM(Base_Bruta!N695)),DePara_Pais!$A$2:$A$9,DePara_Pais!$B$2:$B$9,"REVISAR"))</f>
        <v>Brasil</v>
      </c>
      <c r="P695" s="4" t="str">
        <f aca="false">IF($A695="","",IF(O695&lt;&gt;"Brasil","Turista Internacional",IF(M695=F695,"Local","Turista Nacional")))</f>
        <v>Local</v>
      </c>
      <c r="Q695" s="7" t="n">
        <f aca="false">IF($A695="","",DATE(YEAR(B695),MONTH(B695),1))</f>
        <v>46113</v>
      </c>
      <c r="R695" s="4" t="str">
        <f aca="false">IF($A695="","",IF(COUNTIF($A$2:$A695,$A695)&gt;1,"Sim","Não"))</f>
        <v>Não</v>
      </c>
      <c r="S695" s="4" t="str">
        <f aca="false">IF(A695="","Descartar - Linha vazia",IF(R695="Sim","Descartar - Duplicado",IF(OR(H695&lt;=0,I695&lt;=0),"Descartar - Qtd/Valor inválido","OK")))</f>
        <v>OK</v>
      </c>
      <c r="T695" s="4" t="str">
        <f aca="false">Base_Bruta!P695</f>
        <v>vendas_SP.xlsx</v>
      </c>
    </row>
    <row r="696" customFormat="false" ht="15" hidden="false" customHeight="false" outlineLevel="0" collapsed="false">
      <c r="A696" s="4" t="str">
        <f aca="false">IF(Base_Bruta!A696="","",Base_Bruta!A696)</f>
        <v>SP-000381</v>
      </c>
      <c r="B696" s="5" t="n">
        <f aca="false">IF($A696="","",IF(ISNUMBER(Base_Bruta!B696),Base_Bruta!B696,IF(MID(Base_Bruta!B696,5,1)="-",DATE(VALUE(LEFT(Base_Bruta!B696,4)),VALUE(MID(Base_Bruta!B696,6,2)),VALUE(RIGHT(Base_Bruta!B696,2))),DATE(VALUE(RIGHT(Base_Bruta!B696,4)),VALUE(MID(Base_Bruta!B696,4,2)),VALUE(LEFT(Base_Bruta!B696,2))))))</f>
        <v>46115</v>
      </c>
      <c r="C696" s="5" t="n">
        <f aca="false">IF($A696="","",IF(ISNUMBER(Base_Bruta!C696),Base_Bruta!C696,IF(MID(Base_Bruta!C696,5,1)="-",DATE(VALUE(LEFT(Base_Bruta!C696,4)),VALUE(MID(Base_Bruta!C696,6,2)),VALUE(RIGHT(Base_Bruta!C696,2))),DATE(VALUE(RIGHT(Base_Bruta!C696,4)),VALUE(MID(Base_Bruta!C696,4,2)),VALUE(LEFT(Base_Bruta!C696,2))))))</f>
        <v>46130</v>
      </c>
      <c r="D696" s="4" t="str">
        <f aca="false">IF($A696="","",TRIM(Base_Bruta!D696))</f>
        <v>Festival Sonora SP 2026</v>
      </c>
      <c r="E696" s="4" t="str">
        <f aca="false">IF($A696="","",_xlfn.XLOOKUP(LOWER(TRIM(Base_Bruta!E696)),DePara_Categoria!$A$2:$A$9,DePara_Categoria!$B$2:$B$9,"REVISAR"))</f>
        <v>Festival</v>
      </c>
      <c r="F696" s="4" t="str">
        <f aca="false">IF($A696="","",_xlfn.XLOOKUP(LOWER(TRIM(Base_Bruta!F696)),DePara_Cidade!$A$2:$A$29,DePara_Cidade!$B$2:$B$29,"REVISAR"))</f>
        <v>São Paulo</v>
      </c>
      <c r="G696" s="4" t="str">
        <f aca="false">IF($A696="","",TRIM(Base_Bruta!G696))</f>
        <v>Inteira</v>
      </c>
      <c r="H696" s="4" t="n">
        <f aca="false">IF($A696="","",IF(ISNUMBER(Base_Bruta!H696),Base_Bruta!H696,IFERROR(_xlfn.NUMBERVALUE(TRIM(SUBSTITUTE(Base_Bruta!H696,"R$","")),",","."),0)))</f>
        <v>2</v>
      </c>
      <c r="I696" s="6" t="n">
        <f aca="false">IF($A696="","",IF(ISNUMBER(Base_Bruta!I696),Base_Bruta!I696,IFERROR(_xlfn.NUMBERVALUE(TRIM(SUBSTITUTE(Base_Bruta!I696,"R$","")),",","."),0)))</f>
        <v>680</v>
      </c>
      <c r="J696" s="6" t="n">
        <f aca="false">IF($A696="","",H696*I696)</f>
        <v>1360</v>
      </c>
      <c r="K696" s="4" t="str">
        <f aca="false">IF($A696="","",TRIM(Base_Bruta!J696))</f>
        <v>Site</v>
      </c>
      <c r="L696" s="4" t="str">
        <f aca="false">IF($A696="","",TRIM(Base_Bruta!K696))</f>
        <v>C02355</v>
      </c>
      <c r="M696" s="4" t="str">
        <f aca="false">IF($A696="","",_xlfn.XLOOKUP(LOWER(TRIM(Base_Bruta!L696)),DePara_Cidade!$A$2:$A$29,DePara_Cidade!$B$2:$B$29,"REVISAR"))</f>
        <v>Santiago</v>
      </c>
      <c r="N696" s="4" t="str">
        <f aca="false">IF($A696="","",UPPER(TRIM(Base_Bruta!M696)))</f>
        <v>EX</v>
      </c>
      <c r="O696" s="4" t="str">
        <f aca="false">IF($A696="","",_xlfn.XLOOKUP(LOWER(TRIM(Base_Bruta!N696)),DePara_Pais!$A$2:$A$9,DePara_Pais!$B$2:$B$9,"REVISAR"))</f>
        <v>Chile</v>
      </c>
      <c r="P696" s="4" t="str">
        <f aca="false">IF($A696="","",IF(O696&lt;&gt;"Brasil","Turista Internacional",IF(M696=F696,"Local","Turista Nacional")))</f>
        <v>Turista Internacional</v>
      </c>
      <c r="Q696" s="7" t="n">
        <f aca="false">IF($A696="","",DATE(YEAR(B696),MONTH(B696),1))</f>
        <v>46113</v>
      </c>
      <c r="R696" s="4" t="str">
        <f aca="false">IF($A696="","",IF(COUNTIF($A$2:$A696,$A696)&gt;1,"Sim","Não"))</f>
        <v>Não</v>
      </c>
      <c r="S696" s="4" t="str">
        <f aca="false">IF(A696="","Descartar - Linha vazia",IF(R696="Sim","Descartar - Duplicado",IF(OR(H696&lt;=0,I696&lt;=0),"Descartar - Qtd/Valor inválido","OK")))</f>
        <v>OK</v>
      </c>
      <c r="T696" s="4" t="str">
        <f aca="false">Base_Bruta!P696</f>
        <v>vendas_SP.xlsx</v>
      </c>
    </row>
    <row r="697" customFormat="false" ht="15" hidden="false" customHeight="false" outlineLevel="0" collapsed="false">
      <c r="A697" s="4" t="str">
        <f aca="false">IF(Base_Bruta!A697="","",Base_Bruta!A697)</f>
        <v>SP-000246</v>
      </c>
      <c r="B697" s="5" t="n">
        <f aca="false">IF($A697="","",IF(ISNUMBER(Base_Bruta!B697),Base_Bruta!B697,IF(MID(Base_Bruta!B697,5,1)="-",DATE(VALUE(LEFT(Base_Bruta!B697,4)),VALUE(MID(Base_Bruta!B697,6,2)),VALUE(RIGHT(Base_Bruta!B697,2))),DATE(VALUE(RIGHT(Base_Bruta!B697,4)),VALUE(MID(Base_Bruta!B697,4,2)),VALUE(LEFT(Base_Bruta!B697,2))))))</f>
        <v>46116</v>
      </c>
      <c r="C697" s="5" t="n">
        <f aca="false">IF($A697="","",IF(ISNUMBER(Base_Bruta!C697),Base_Bruta!C697,IF(MID(Base_Bruta!C697,5,1)="-",DATE(VALUE(LEFT(Base_Bruta!C697,4)),VALUE(MID(Base_Bruta!C697,6,2)),VALUE(RIGHT(Base_Bruta!C697,2))),DATE(VALUE(RIGHT(Base_Bruta!C697,4)),VALUE(MID(Base_Bruta!C697,4,2)),VALUE(LEFT(Base_Bruta!C697,2))))))</f>
        <v>46130</v>
      </c>
      <c r="D697" s="4" t="str">
        <f aca="false">IF($A697="","",TRIM(Base_Bruta!D697))</f>
        <v>Festival Sonora SP 2026</v>
      </c>
      <c r="E697" s="4" t="str">
        <f aca="false">IF($A697="","",_xlfn.XLOOKUP(LOWER(TRIM(Base_Bruta!E697)),DePara_Categoria!$A$2:$A$9,DePara_Categoria!$B$2:$B$9,"REVISAR"))</f>
        <v>Festival</v>
      </c>
      <c r="F697" s="4" t="str">
        <f aca="false">IF($A697="","",_xlfn.XLOOKUP(LOWER(TRIM(Base_Bruta!F697)),DePara_Cidade!$A$2:$A$29,DePara_Cidade!$B$2:$B$29,"REVISAR"))</f>
        <v>São Paulo</v>
      </c>
      <c r="G697" s="4" t="str">
        <f aca="false">IF($A697="","",TRIM(Base_Bruta!G697))</f>
        <v>Inteira</v>
      </c>
      <c r="H697" s="4" t="n">
        <f aca="false">IF($A697="","",IF(ISNUMBER(Base_Bruta!H697),Base_Bruta!H697,IFERROR(_xlfn.NUMBERVALUE(TRIM(SUBSTITUTE(Base_Bruta!H697,"R$","")),",","."),0)))</f>
        <v>3</v>
      </c>
      <c r="I697" s="6" t="n">
        <f aca="false">IF($A697="","",IF(ISNUMBER(Base_Bruta!I697),Base_Bruta!I697,IFERROR(_xlfn.NUMBERVALUE(TRIM(SUBSTITUTE(Base_Bruta!I697,"R$","")),",","."),0)))</f>
        <v>995</v>
      </c>
      <c r="J697" s="6" t="n">
        <f aca="false">IF($A697="","",H697*I697)</f>
        <v>2985</v>
      </c>
      <c r="K697" s="4" t="str">
        <f aca="false">IF($A697="","",TRIM(Base_Bruta!J697))</f>
        <v>Site</v>
      </c>
      <c r="L697" s="4" t="str">
        <f aca="false">IF($A697="","",TRIM(Base_Bruta!K697))</f>
        <v>C00387</v>
      </c>
      <c r="M697" s="4" t="str">
        <f aca="false">IF($A697="","",_xlfn.XLOOKUP(LOWER(TRIM(Base_Bruta!L697)),DePara_Cidade!$A$2:$A$29,DePara_Cidade!$B$2:$B$29,"REVISAR"))</f>
        <v>São Paulo</v>
      </c>
      <c r="N697" s="4" t="str">
        <f aca="false">IF($A697="","",UPPER(TRIM(Base_Bruta!M697)))</f>
        <v>SP</v>
      </c>
      <c r="O697" s="4" t="str">
        <f aca="false">IF($A697="","",_xlfn.XLOOKUP(LOWER(TRIM(Base_Bruta!N697)),DePara_Pais!$A$2:$A$9,DePara_Pais!$B$2:$B$9,"REVISAR"))</f>
        <v>Brasil</v>
      </c>
      <c r="P697" s="4" t="str">
        <f aca="false">IF($A697="","",IF(O697&lt;&gt;"Brasil","Turista Internacional",IF(M697=F697,"Local","Turista Nacional")))</f>
        <v>Local</v>
      </c>
      <c r="Q697" s="7" t="n">
        <f aca="false">IF($A697="","",DATE(YEAR(B697),MONTH(B697),1))</f>
        <v>46113</v>
      </c>
      <c r="R697" s="4" t="str">
        <f aca="false">IF($A697="","",IF(COUNTIF($A$2:$A697,$A697)&gt;1,"Sim","Não"))</f>
        <v>Não</v>
      </c>
      <c r="S697" s="4" t="str">
        <f aca="false">IF(A697="","Descartar - Linha vazia",IF(R697="Sim","Descartar - Duplicado",IF(OR(H697&lt;=0,I697&lt;=0),"Descartar - Qtd/Valor inválido","OK")))</f>
        <v>OK</v>
      </c>
      <c r="T697" s="4" t="str">
        <f aca="false">Base_Bruta!P697</f>
        <v>vendas_SP.xlsx</v>
      </c>
    </row>
    <row r="698" customFormat="false" ht="15" hidden="false" customHeight="false" outlineLevel="0" collapsed="false">
      <c r="A698" s="4" t="str">
        <f aca="false">IF(Base_Bruta!A698="","",Base_Bruta!A698)</f>
        <v>SP-000430</v>
      </c>
      <c r="B698" s="5" t="n">
        <f aca="false">IF($A698="","",IF(ISNUMBER(Base_Bruta!B698),Base_Bruta!B698,IF(MID(Base_Bruta!B698,5,1)="-",DATE(VALUE(LEFT(Base_Bruta!B698,4)),VALUE(MID(Base_Bruta!B698,6,2)),VALUE(RIGHT(Base_Bruta!B698,2))),DATE(VALUE(RIGHT(Base_Bruta!B698,4)),VALUE(MID(Base_Bruta!B698,4,2)),VALUE(LEFT(Base_Bruta!B698,2))))))</f>
        <v>46116</v>
      </c>
      <c r="C698" s="5" t="n">
        <f aca="false">IF($A698="","",IF(ISNUMBER(Base_Bruta!C698),Base_Bruta!C698,IF(MID(Base_Bruta!C698,5,1)="-",DATE(VALUE(LEFT(Base_Bruta!C698,4)),VALUE(MID(Base_Bruta!C698,6,2)),VALUE(RIGHT(Base_Bruta!C698,2))),DATE(VALUE(RIGHT(Base_Bruta!C698,4)),VALUE(MID(Base_Bruta!C698,4,2)),VALUE(LEFT(Base_Bruta!C698,2))))))</f>
        <v>46130</v>
      </c>
      <c r="D698" s="4" t="str">
        <f aca="false">IF($A698="","",TRIM(Base_Bruta!D698))</f>
        <v>Festival Sonora SP 2026</v>
      </c>
      <c r="E698" s="4" t="str">
        <f aca="false">IF($A698="","",_xlfn.XLOOKUP(LOWER(TRIM(Base_Bruta!E698)),DePara_Categoria!$A$2:$A$9,DePara_Categoria!$B$2:$B$9,"REVISAR"))</f>
        <v>Festival</v>
      </c>
      <c r="F698" s="4" t="str">
        <f aca="false">IF($A698="","",_xlfn.XLOOKUP(LOWER(TRIM(Base_Bruta!F698)),DePara_Cidade!$A$2:$A$29,DePara_Cidade!$B$2:$B$29,"REVISAR"))</f>
        <v>São Paulo</v>
      </c>
      <c r="G698" s="4" t="str">
        <f aca="false">IF($A698="","",TRIM(Base_Bruta!G698))</f>
        <v>Meia</v>
      </c>
      <c r="H698" s="4" t="n">
        <f aca="false">IF($A698="","",IF(ISNUMBER(Base_Bruta!H698),Base_Bruta!H698,IFERROR(_xlfn.NUMBERVALUE(TRIM(SUBSTITUTE(Base_Bruta!H698,"R$","")),",","."),0)))</f>
        <v>1</v>
      </c>
      <c r="I698" s="6" t="n">
        <f aca="false">IF($A698="","",IF(ISNUMBER(Base_Bruta!I698),Base_Bruta!I698,IFERROR(_xlfn.NUMBERVALUE(TRIM(SUBSTITUTE(Base_Bruta!I698,"R$","")),",","."),0)))</f>
        <v>565</v>
      </c>
      <c r="J698" s="6" t="n">
        <f aca="false">IF($A698="","",H698*I698)</f>
        <v>565</v>
      </c>
      <c r="K698" s="4" t="str">
        <f aca="false">IF($A698="","",TRIM(Base_Bruta!J698))</f>
        <v>Site</v>
      </c>
      <c r="L698" s="4" t="str">
        <f aca="false">IF($A698="","",TRIM(Base_Bruta!K698))</f>
        <v>C02244</v>
      </c>
      <c r="M698" s="4" t="str">
        <f aca="false">IF($A698="","",_xlfn.XLOOKUP(LOWER(TRIM(Base_Bruta!L698)),DePara_Cidade!$A$2:$A$29,DePara_Cidade!$B$2:$B$29,"REVISAR"))</f>
        <v>São Paulo</v>
      </c>
      <c r="N698" s="4" t="str">
        <f aca="false">IF($A698="","",UPPER(TRIM(Base_Bruta!M698)))</f>
        <v>SP</v>
      </c>
      <c r="O698" s="4" t="str">
        <f aca="false">IF($A698="","",_xlfn.XLOOKUP(LOWER(TRIM(Base_Bruta!N698)),DePara_Pais!$A$2:$A$9,DePara_Pais!$B$2:$B$9,"REVISAR"))</f>
        <v>Brasil</v>
      </c>
      <c r="P698" s="4" t="str">
        <f aca="false">IF($A698="","",IF(O698&lt;&gt;"Brasil","Turista Internacional",IF(M698=F698,"Local","Turista Nacional")))</f>
        <v>Local</v>
      </c>
      <c r="Q698" s="7" t="n">
        <f aca="false">IF($A698="","",DATE(YEAR(B698),MONTH(B698),1))</f>
        <v>46113</v>
      </c>
      <c r="R698" s="4" t="str">
        <f aca="false">IF($A698="","",IF(COUNTIF($A$2:$A698,$A698)&gt;1,"Sim","Não"))</f>
        <v>Não</v>
      </c>
      <c r="S698" s="4" t="str">
        <f aca="false">IF(A698="","Descartar - Linha vazia",IF(R698="Sim","Descartar - Duplicado",IF(OR(H698&lt;=0,I698&lt;=0),"Descartar - Qtd/Valor inválido","OK")))</f>
        <v>OK</v>
      </c>
      <c r="T698" s="4" t="str">
        <f aca="false">Base_Bruta!P698</f>
        <v>vendas_SP.xlsx</v>
      </c>
    </row>
    <row r="699" customFormat="false" ht="15" hidden="false" customHeight="false" outlineLevel="0" collapsed="false">
      <c r="A699" s="4" t="str">
        <f aca="false">IF(Base_Bruta!A699="","",Base_Bruta!A699)</f>
        <v>SP-000400</v>
      </c>
      <c r="B699" s="5" t="n">
        <f aca="false">IF($A699="","",IF(ISNUMBER(Base_Bruta!B699),Base_Bruta!B699,IF(MID(Base_Bruta!B699,5,1)="-",DATE(VALUE(LEFT(Base_Bruta!B699,4)),VALUE(MID(Base_Bruta!B699,6,2)),VALUE(RIGHT(Base_Bruta!B699,2))),DATE(VALUE(RIGHT(Base_Bruta!B699,4)),VALUE(MID(Base_Bruta!B699,4,2)),VALUE(LEFT(Base_Bruta!B699,2))))))</f>
        <v>46118</v>
      </c>
      <c r="C699" s="5" t="n">
        <f aca="false">IF($A699="","",IF(ISNUMBER(Base_Bruta!C699),Base_Bruta!C699,IF(MID(Base_Bruta!C699,5,1)="-",DATE(VALUE(LEFT(Base_Bruta!C699,4)),VALUE(MID(Base_Bruta!C699,6,2)),VALUE(RIGHT(Base_Bruta!C699,2))),DATE(VALUE(RIGHT(Base_Bruta!C699,4)),VALUE(MID(Base_Bruta!C699,4,2)),VALUE(LEFT(Base_Bruta!C699,2))))))</f>
        <v>46130</v>
      </c>
      <c r="D699" s="4" t="str">
        <f aca="false">IF($A699="","",TRIM(Base_Bruta!D699))</f>
        <v>Festival Sonora SP 2026</v>
      </c>
      <c r="E699" s="4" t="str">
        <f aca="false">IF($A699="","",_xlfn.XLOOKUP(LOWER(TRIM(Base_Bruta!E699)),DePara_Categoria!$A$2:$A$9,DePara_Categoria!$B$2:$B$9,"REVISAR"))</f>
        <v>Festival</v>
      </c>
      <c r="F699" s="4" t="str">
        <f aca="false">IF($A699="","",_xlfn.XLOOKUP(LOWER(TRIM(Base_Bruta!F699)),DePara_Cidade!$A$2:$A$29,DePara_Cidade!$B$2:$B$29,"REVISAR"))</f>
        <v>São Paulo</v>
      </c>
      <c r="G699" s="4" t="str">
        <f aca="false">IF($A699="","",TRIM(Base_Bruta!G699))</f>
        <v>Inteira</v>
      </c>
      <c r="H699" s="4" t="n">
        <f aca="false">IF($A699="","",IF(ISNUMBER(Base_Bruta!H699),Base_Bruta!H699,IFERROR(_xlfn.NUMBERVALUE(TRIM(SUBSTITUTE(Base_Bruta!H699,"R$","")),",","."),0)))</f>
        <v>2</v>
      </c>
      <c r="I699" s="6" t="n">
        <f aca="false">IF($A699="","",IF(ISNUMBER(Base_Bruta!I699),Base_Bruta!I699,IFERROR(_xlfn.NUMBERVALUE(TRIM(SUBSTITUTE(Base_Bruta!I699,"R$","")),",","."),0)))</f>
        <v>975</v>
      </c>
      <c r="J699" s="6" t="n">
        <f aca="false">IF($A699="","",H699*I699)</f>
        <v>1950</v>
      </c>
      <c r="K699" s="4" t="str">
        <f aca="false">IF($A699="","",TRIM(Base_Bruta!J699))</f>
        <v>App</v>
      </c>
      <c r="L699" s="4" t="str">
        <f aca="false">IF($A699="","",TRIM(Base_Bruta!K699))</f>
        <v>C01079</v>
      </c>
      <c r="M699" s="4" t="str">
        <f aca="false">IF($A699="","",_xlfn.XLOOKUP(LOWER(TRIM(Base_Bruta!L699)),DePara_Cidade!$A$2:$A$29,DePara_Cidade!$B$2:$B$29,"REVISAR"))</f>
        <v>Santos</v>
      </c>
      <c r="N699" s="4" t="str">
        <f aca="false">IF($A699="","",UPPER(TRIM(Base_Bruta!M699)))</f>
        <v>SP</v>
      </c>
      <c r="O699" s="4" t="str">
        <f aca="false">IF($A699="","",_xlfn.XLOOKUP(LOWER(TRIM(Base_Bruta!N699)),DePara_Pais!$A$2:$A$9,DePara_Pais!$B$2:$B$9,"REVISAR"))</f>
        <v>Brasil</v>
      </c>
      <c r="P699" s="4" t="str">
        <f aca="false">IF($A699="","",IF(O699&lt;&gt;"Brasil","Turista Internacional",IF(M699=F699,"Local","Turista Nacional")))</f>
        <v>Turista Nacional</v>
      </c>
      <c r="Q699" s="7" t="n">
        <f aca="false">IF($A699="","",DATE(YEAR(B699),MONTH(B699),1))</f>
        <v>46113</v>
      </c>
      <c r="R699" s="4" t="str">
        <f aca="false">IF($A699="","",IF(COUNTIF($A$2:$A699,$A699)&gt;1,"Sim","Não"))</f>
        <v>Não</v>
      </c>
      <c r="S699" s="4" t="str">
        <f aca="false">IF(A699="","Descartar - Linha vazia",IF(R699="Sim","Descartar - Duplicado",IF(OR(H699&lt;=0,I699&lt;=0),"Descartar - Qtd/Valor inválido","OK")))</f>
        <v>OK</v>
      </c>
      <c r="T699" s="4" t="str">
        <f aca="false">Base_Bruta!P699</f>
        <v>vendas_SP.xlsx</v>
      </c>
    </row>
    <row r="700" customFormat="false" ht="15" hidden="false" customHeight="false" outlineLevel="0" collapsed="false">
      <c r="A700" s="4" t="str">
        <f aca="false">IF(Base_Bruta!A700="","",Base_Bruta!A700)</f>
        <v>SP-000299</v>
      </c>
      <c r="B700" s="5" t="n">
        <f aca="false">IF($A700="","",IF(ISNUMBER(Base_Bruta!B700),Base_Bruta!B700,IF(MID(Base_Bruta!B700,5,1)="-",DATE(VALUE(LEFT(Base_Bruta!B700,4)),VALUE(MID(Base_Bruta!B700,6,2)),VALUE(RIGHT(Base_Bruta!B700,2))),DATE(VALUE(RIGHT(Base_Bruta!B700,4)),VALUE(MID(Base_Bruta!B700,4,2)),VALUE(LEFT(Base_Bruta!B700,2))))))</f>
        <v>46119</v>
      </c>
      <c r="C700" s="5" t="n">
        <f aca="false">IF($A700="","",IF(ISNUMBER(Base_Bruta!C700),Base_Bruta!C700,IF(MID(Base_Bruta!C700,5,1)="-",DATE(VALUE(LEFT(Base_Bruta!C700,4)),VALUE(MID(Base_Bruta!C700,6,2)),VALUE(RIGHT(Base_Bruta!C700,2))),DATE(VALUE(RIGHT(Base_Bruta!C700,4)),VALUE(MID(Base_Bruta!C700,4,2)),VALUE(LEFT(Base_Bruta!C700,2))))))</f>
        <v>46130</v>
      </c>
      <c r="D700" s="4" t="str">
        <f aca="false">IF($A700="","",TRIM(Base_Bruta!D700))</f>
        <v>Festival Sonora SP 2026</v>
      </c>
      <c r="E700" s="4" t="str">
        <f aca="false">IF($A700="","",_xlfn.XLOOKUP(LOWER(TRIM(Base_Bruta!E700)),DePara_Categoria!$A$2:$A$9,DePara_Categoria!$B$2:$B$9,"REVISAR"))</f>
        <v>Festival</v>
      </c>
      <c r="F700" s="4" t="str">
        <f aca="false">IF($A700="","",_xlfn.XLOOKUP(LOWER(TRIM(Base_Bruta!F700)),DePara_Cidade!$A$2:$A$29,DePara_Cidade!$B$2:$B$29,"REVISAR"))</f>
        <v>São Paulo</v>
      </c>
      <c r="G700" s="4" t="str">
        <f aca="false">IF($A700="","",TRIM(Base_Bruta!G700))</f>
        <v>Inteira</v>
      </c>
      <c r="H700" s="4" t="n">
        <f aca="false">IF($A700="","",IF(ISNUMBER(Base_Bruta!H700),Base_Bruta!H700,IFERROR(_xlfn.NUMBERVALUE(TRIM(SUBSTITUTE(Base_Bruta!H700,"R$","")),",","."),0)))</f>
        <v>2</v>
      </c>
      <c r="I700" s="6" t="n">
        <f aca="false">IF($A700="","",IF(ISNUMBER(Base_Bruta!I700),Base_Bruta!I700,IFERROR(_xlfn.NUMBERVALUE(TRIM(SUBSTITUTE(Base_Bruta!I700,"R$","")),",","."),0)))</f>
        <v>815</v>
      </c>
      <c r="J700" s="6" t="n">
        <f aca="false">IF($A700="","",H700*I700)</f>
        <v>1630</v>
      </c>
      <c r="K700" s="4" t="str">
        <f aca="false">IF($A700="","",TRIM(Base_Bruta!J700))</f>
        <v>Site</v>
      </c>
      <c r="L700" s="4" t="str">
        <f aca="false">IF($A700="","",TRIM(Base_Bruta!K700))</f>
        <v>C00534</v>
      </c>
      <c r="M700" s="4" t="str">
        <f aca="false">IF($A700="","",_xlfn.XLOOKUP(LOWER(TRIM(Base_Bruta!L700)),DePara_Cidade!$A$2:$A$29,DePara_Cidade!$B$2:$B$29,"REVISAR"))</f>
        <v>São Paulo</v>
      </c>
      <c r="N700" s="4" t="str">
        <f aca="false">IF($A700="","",UPPER(TRIM(Base_Bruta!M700)))</f>
        <v>SP</v>
      </c>
      <c r="O700" s="4" t="str">
        <f aca="false">IF($A700="","",_xlfn.XLOOKUP(LOWER(TRIM(Base_Bruta!N700)),DePara_Pais!$A$2:$A$9,DePara_Pais!$B$2:$B$9,"REVISAR"))</f>
        <v>Brasil</v>
      </c>
      <c r="P700" s="4" t="str">
        <f aca="false">IF($A700="","",IF(O700&lt;&gt;"Brasil","Turista Internacional",IF(M700=F700,"Local","Turista Nacional")))</f>
        <v>Local</v>
      </c>
      <c r="Q700" s="7" t="n">
        <f aca="false">IF($A700="","",DATE(YEAR(B700),MONTH(B700),1))</f>
        <v>46113</v>
      </c>
      <c r="R700" s="4" t="str">
        <f aca="false">IF($A700="","",IF(COUNTIF($A$2:$A700,$A700)&gt;1,"Sim","Não"))</f>
        <v>Não</v>
      </c>
      <c r="S700" s="4" t="str">
        <f aca="false">IF(A700="","Descartar - Linha vazia",IF(R700="Sim","Descartar - Duplicado",IF(OR(H700&lt;=0,I700&lt;=0),"Descartar - Qtd/Valor inválido","OK")))</f>
        <v>OK</v>
      </c>
      <c r="T700" s="4" t="str">
        <f aca="false">Base_Bruta!P700</f>
        <v>vendas_SP.xlsx</v>
      </c>
    </row>
    <row r="701" customFormat="false" ht="15" hidden="false" customHeight="false" outlineLevel="0" collapsed="false">
      <c r="A701" s="4" t="str">
        <f aca="false">IF(Base_Bruta!A701="","",Base_Bruta!A701)</f>
        <v>SP-000352</v>
      </c>
      <c r="B701" s="5" t="n">
        <f aca="false">IF($A701="","",IF(ISNUMBER(Base_Bruta!B701),Base_Bruta!B701,IF(MID(Base_Bruta!B701,5,1)="-",DATE(VALUE(LEFT(Base_Bruta!B701,4)),VALUE(MID(Base_Bruta!B701,6,2)),VALUE(RIGHT(Base_Bruta!B701,2))),DATE(VALUE(RIGHT(Base_Bruta!B701,4)),VALUE(MID(Base_Bruta!B701,4,2)),VALUE(LEFT(Base_Bruta!B701,2))))))</f>
        <v>46119</v>
      </c>
      <c r="C701" s="5" t="n">
        <f aca="false">IF($A701="","",IF(ISNUMBER(Base_Bruta!C701),Base_Bruta!C701,IF(MID(Base_Bruta!C701,5,1)="-",DATE(VALUE(LEFT(Base_Bruta!C701,4)),VALUE(MID(Base_Bruta!C701,6,2)),VALUE(RIGHT(Base_Bruta!C701,2))),DATE(VALUE(RIGHT(Base_Bruta!C701,4)),VALUE(MID(Base_Bruta!C701,4,2)),VALUE(LEFT(Base_Bruta!C701,2))))))</f>
        <v>46130</v>
      </c>
      <c r="D701" s="4" t="str">
        <f aca="false">IF($A701="","",TRIM(Base_Bruta!D701))</f>
        <v>Festival Sonora SP 2026</v>
      </c>
      <c r="E701" s="4" t="str">
        <f aca="false">IF($A701="","",_xlfn.XLOOKUP(LOWER(TRIM(Base_Bruta!E701)),DePara_Categoria!$A$2:$A$9,DePara_Categoria!$B$2:$B$9,"REVISAR"))</f>
        <v>Festival</v>
      </c>
      <c r="F701" s="4" t="str">
        <f aca="false">IF($A701="","",_xlfn.XLOOKUP(LOWER(TRIM(Base_Bruta!F701)),DePara_Cidade!$A$2:$A$29,DePara_Cidade!$B$2:$B$29,"REVISAR"))</f>
        <v>São Paulo</v>
      </c>
      <c r="G701" s="4" t="str">
        <f aca="false">IF($A701="","",TRIM(Base_Bruta!G701))</f>
        <v>Inteira</v>
      </c>
      <c r="H701" s="4" t="n">
        <f aca="false">IF($A701="","",IF(ISNUMBER(Base_Bruta!H701),Base_Bruta!H701,IFERROR(_xlfn.NUMBERVALUE(TRIM(SUBSTITUTE(Base_Bruta!H701,"R$","")),",","."),0)))</f>
        <v>4</v>
      </c>
      <c r="I701" s="6" t="n">
        <f aca="false">IF($A701="","",IF(ISNUMBER(Base_Bruta!I701),Base_Bruta!I701,IFERROR(_xlfn.NUMBERVALUE(TRIM(SUBSTITUTE(Base_Bruta!I701,"R$","")),",","."),0)))</f>
        <v>985</v>
      </c>
      <c r="J701" s="6" t="n">
        <f aca="false">IF($A701="","",H701*I701)</f>
        <v>3940</v>
      </c>
      <c r="K701" s="4" t="str">
        <f aca="false">IF($A701="","",TRIM(Base_Bruta!J701))</f>
        <v>App</v>
      </c>
      <c r="L701" s="4" t="str">
        <f aca="false">IF($A701="","",TRIM(Base_Bruta!K701))</f>
        <v>C02234</v>
      </c>
      <c r="M701" s="4" t="str">
        <f aca="false">IF($A701="","",_xlfn.XLOOKUP(LOWER(TRIM(Base_Bruta!L701)),DePara_Cidade!$A$2:$A$29,DePara_Cidade!$B$2:$B$29,"REVISAR"))</f>
        <v>Santos</v>
      </c>
      <c r="N701" s="4" t="str">
        <f aca="false">IF($A701="","",UPPER(TRIM(Base_Bruta!M701)))</f>
        <v>SP</v>
      </c>
      <c r="O701" s="4" t="str">
        <f aca="false">IF($A701="","",_xlfn.XLOOKUP(LOWER(TRIM(Base_Bruta!N701)),DePara_Pais!$A$2:$A$9,DePara_Pais!$B$2:$B$9,"REVISAR"))</f>
        <v>Brasil</v>
      </c>
      <c r="P701" s="4" t="str">
        <f aca="false">IF($A701="","",IF(O701&lt;&gt;"Brasil","Turista Internacional",IF(M701=F701,"Local","Turista Nacional")))</f>
        <v>Turista Nacional</v>
      </c>
      <c r="Q701" s="7" t="n">
        <f aca="false">IF($A701="","",DATE(YEAR(B701),MONTH(B701),1))</f>
        <v>46113</v>
      </c>
      <c r="R701" s="4" t="str">
        <f aca="false">IF($A701="","",IF(COUNTIF($A$2:$A701,$A701)&gt;1,"Sim","Não"))</f>
        <v>Não</v>
      </c>
      <c r="S701" s="4" t="str">
        <f aca="false">IF(A701="","Descartar - Linha vazia",IF(R701="Sim","Descartar - Duplicado",IF(OR(H701&lt;=0,I701&lt;=0),"Descartar - Qtd/Valor inválido","OK")))</f>
        <v>OK</v>
      </c>
      <c r="T701" s="4" t="str">
        <f aca="false">Base_Bruta!P701</f>
        <v>vendas_SP.xlsx</v>
      </c>
    </row>
    <row r="702" customFormat="false" ht="15" hidden="false" customHeight="false" outlineLevel="0" collapsed="false">
      <c r="A702" s="4" t="str">
        <f aca="false">IF(Base_Bruta!A702="","",Base_Bruta!A702)</f>
        <v>SP-000281</v>
      </c>
      <c r="B702" s="5" t="n">
        <f aca="false">IF($A702="","",IF(ISNUMBER(Base_Bruta!B702),Base_Bruta!B702,IF(MID(Base_Bruta!B702,5,1)="-",DATE(VALUE(LEFT(Base_Bruta!B702,4)),VALUE(MID(Base_Bruta!B702,6,2)),VALUE(RIGHT(Base_Bruta!B702,2))),DATE(VALUE(RIGHT(Base_Bruta!B702,4)),VALUE(MID(Base_Bruta!B702,4,2)),VALUE(LEFT(Base_Bruta!B702,2))))))</f>
        <v>46120</v>
      </c>
      <c r="C702" s="5" t="n">
        <f aca="false">IF($A702="","",IF(ISNUMBER(Base_Bruta!C702),Base_Bruta!C702,IF(MID(Base_Bruta!C702,5,1)="-",DATE(VALUE(LEFT(Base_Bruta!C702,4)),VALUE(MID(Base_Bruta!C702,6,2)),VALUE(RIGHT(Base_Bruta!C702,2))),DATE(VALUE(RIGHT(Base_Bruta!C702,4)),VALUE(MID(Base_Bruta!C702,4,2)),VALUE(LEFT(Base_Bruta!C702,2))))))</f>
        <v>46130</v>
      </c>
      <c r="D702" s="4" t="str">
        <f aca="false">IF($A702="","",TRIM(Base_Bruta!D702))</f>
        <v>Festival Sonora SP 2026</v>
      </c>
      <c r="E702" s="4" t="str">
        <f aca="false">IF($A702="","",_xlfn.XLOOKUP(LOWER(TRIM(Base_Bruta!E702)),DePara_Categoria!$A$2:$A$9,DePara_Categoria!$B$2:$B$9,"REVISAR"))</f>
        <v>Festival</v>
      </c>
      <c r="F702" s="4" t="str">
        <f aca="false">IF($A702="","",_xlfn.XLOOKUP(LOWER(TRIM(Base_Bruta!F702)),DePara_Cidade!$A$2:$A$29,DePara_Cidade!$B$2:$B$29,"REVISAR"))</f>
        <v>São Paulo</v>
      </c>
      <c r="G702" s="4" t="str">
        <f aca="false">IF($A702="","",TRIM(Base_Bruta!G702))</f>
        <v>Inteira</v>
      </c>
      <c r="H702" s="4" t="n">
        <f aca="false">IF($A702="","",IF(ISNUMBER(Base_Bruta!H702),Base_Bruta!H702,IFERROR(_xlfn.NUMBERVALUE(TRIM(SUBSTITUTE(Base_Bruta!H702,"R$","")),",","."),0)))</f>
        <v>1</v>
      </c>
      <c r="I702" s="6" t="n">
        <f aca="false">IF($A702="","",IF(ISNUMBER(Base_Bruta!I702),Base_Bruta!I702,IFERROR(_xlfn.NUMBERVALUE(TRIM(SUBSTITUTE(Base_Bruta!I702,"R$","")),",","."),0)))</f>
        <v>760</v>
      </c>
      <c r="J702" s="6" t="n">
        <f aca="false">IF($A702="","",H702*I702)</f>
        <v>760</v>
      </c>
      <c r="K702" s="4" t="str">
        <f aca="false">IF($A702="","",TRIM(Base_Bruta!J702))</f>
        <v>App</v>
      </c>
      <c r="L702" s="4" t="str">
        <f aca="false">IF($A702="","",TRIM(Base_Bruta!K702))</f>
        <v>C01008</v>
      </c>
      <c r="M702" s="4" t="str">
        <f aca="false">IF($A702="","",_xlfn.XLOOKUP(LOWER(TRIM(Base_Bruta!L702)),DePara_Cidade!$A$2:$A$29,DePara_Cidade!$B$2:$B$29,"REVISAR"))</f>
        <v>Campinas</v>
      </c>
      <c r="N702" s="4" t="str">
        <f aca="false">IF($A702="","",UPPER(TRIM(Base_Bruta!M702)))</f>
        <v>SP</v>
      </c>
      <c r="O702" s="4" t="str">
        <f aca="false">IF($A702="","",_xlfn.XLOOKUP(LOWER(TRIM(Base_Bruta!N702)),DePara_Pais!$A$2:$A$9,DePara_Pais!$B$2:$B$9,"REVISAR"))</f>
        <v>Brasil</v>
      </c>
      <c r="P702" s="4" t="str">
        <f aca="false">IF($A702="","",IF(O702&lt;&gt;"Brasil","Turista Internacional",IF(M702=F702,"Local","Turista Nacional")))</f>
        <v>Turista Nacional</v>
      </c>
      <c r="Q702" s="7" t="n">
        <f aca="false">IF($A702="","",DATE(YEAR(B702),MONTH(B702),1))</f>
        <v>46113</v>
      </c>
      <c r="R702" s="4" t="str">
        <f aca="false">IF($A702="","",IF(COUNTIF($A$2:$A702,$A702)&gt;1,"Sim","Não"))</f>
        <v>Não</v>
      </c>
      <c r="S702" s="4" t="str">
        <f aca="false">IF(A702="","Descartar - Linha vazia",IF(R702="Sim","Descartar - Duplicado",IF(OR(H702&lt;=0,I702&lt;=0),"Descartar - Qtd/Valor inválido","OK")))</f>
        <v>OK</v>
      </c>
      <c r="T702" s="4" t="str">
        <f aca="false">Base_Bruta!P702</f>
        <v>vendas_SP.xlsx</v>
      </c>
    </row>
    <row r="703" customFormat="false" ht="15" hidden="false" customHeight="false" outlineLevel="0" collapsed="false">
      <c r="A703" s="4" t="str">
        <f aca="false">IF(Base_Bruta!A703="","",Base_Bruta!A703)</f>
        <v>SP-000627</v>
      </c>
      <c r="B703" s="5" t="n">
        <f aca="false">IF($A703="","",IF(ISNUMBER(Base_Bruta!B703),Base_Bruta!B703,IF(MID(Base_Bruta!B703,5,1)="-",DATE(VALUE(LEFT(Base_Bruta!B703,4)),VALUE(MID(Base_Bruta!B703,6,2)),VALUE(RIGHT(Base_Bruta!B703,2))),DATE(VALUE(RIGHT(Base_Bruta!B703,4)),VALUE(MID(Base_Bruta!B703,4,2)),VALUE(LEFT(Base_Bruta!B703,2))))))</f>
        <v>46120</v>
      </c>
      <c r="C703" s="5" t="n">
        <f aca="false">IF($A703="","",IF(ISNUMBER(Base_Bruta!C703),Base_Bruta!C703,IF(MID(Base_Bruta!C703,5,1)="-",DATE(VALUE(LEFT(Base_Bruta!C703,4)),VALUE(MID(Base_Bruta!C703,6,2)),VALUE(RIGHT(Base_Bruta!C703,2))),DATE(VALUE(RIGHT(Base_Bruta!C703,4)),VALUE(MID(Base_Bruta!C703,4,2)),VALUE(LEFT(Base_Bruta!C703,2))))))</f>
        <v>46122</v>
      </c>
      <c r="D703" s="4" t="str">
        <f aca="false">IF($A703="","",TRIM(Base_Bruta!D703))</f>
        <v>Cinema Paulista - Sessões</v>
      </c>
      <c r="E703" s="4" t="str">
        <f aca="false">IF($A703="","",_xlfn.XLOOKUP(LOWER(TRIM(Base_Bruta!E703)),DePara_Categoria!$A$2:$A$9,DePara_Categoria!$B$2:$B$9,"REVISAR"))</f>
        <v>Cinema</v>
      </c>
      <c r="F703" s="4" t="str">
        <f aca="false">IF($A703="","",_xlfn.XLOOKUP(LOWER(TRIM(Base_Bruta!F703)),DePara_Cidade!$A$2:$A$29,DePara_Cidade!$B$2:$B$29,"REVISAR"))</f>
        <v>São Paulo</v>
      </c>
      <c r="G703" s="4" t="str">
        <f aca="false">IF($A703="","",TRIM(Base_Bruta!G703))</f>
        <v>Meia</v>
      </c>
      <c r="H703" s="4" t="n">
        <f aca="false">IF($A703="","",IF(ISNUMBER(Base_Bruta!H703),Base_Bruta!H703,IFERROR(_xlfn.NUMBERVALUE(TRIM(SUBSTITUTE(Base_Bruta!H703,"R$","")),",","."),0)))</f>
        <v>1</v>
      </c>
      <c r="I703" s="6" t="n">
        <f aca="false">IF($A703="","",IF(ISNUMBER(Base_Bruta!I703),Base_Bruta!I703,IFERROR(_xlfn.NUMBERVALUE(TRIM(SUBSTITUTE(Base_Bruta!I703,"R$","")),",","."),0)))</f>
        <v>20</v>
      </c>
      <c r="J703" s="6" t="n">
        <f aca="false">IF($A703="","",H703*I703)</f>
        <v>20</v>
      </c>
      <c r="K703" s="4" t="str">
        <f aca="false">IF($A703="","",TRIM(Base_Bruta!J703))</f>
        <v>Site</v>
      </c>
      <c r="L703" s="4" t="str">
        <f aca="false">IF($A703="","",TRIM(Base_Bruta!K703))</f>
        <v>C01810</v>
      </c>
      <c r="M703" s="4" t="str">
        <f aca="false">IF($A703="","",_xlfn.XLOOKUP(LOWER(TRIM(Base_Bruta!L703)),DePara_Cidade!$A$2:$A$29,DePara_Cidade!$B$2:$B$29,"REVISAR"))</f>
        <v>São Paulo</v>
      </c>
      <c r="N703" s="4" t="str">
        <f aca="false">IF($A703="","",UPPER(TRIM(Base_Bruta!M703)))</f>
        <v>SP</v>
      </c>
      <c r="O703" s="4" t="str">
        <f aca="false">IF($A703="","",_xlfn.XLOOKUP(LOWER(TRIM(Base_Bruta!N703)),DePara_Pais!$A$2:$A$9,DePara_Pais!$B$2:$B$9,"REVISAR"))</f>
        <v>Brasil</v>
      </c>
      <c r="P703" s="4" t="str">
        <f aca="false">IF($A703="","",IF(O703&lt;&gt;"Brasil","Turista Internacional",IF(M703=F703,"Local","Turista Nacional")))</f>
        <v>Local</v>
      </c>
      <c r="Q703" s="7" t="n">
        <f aca="false">IF($A703="","",DATE(YEAR(B703),MONTH(B703),1))</f>
        <v>46113</v>
      </c>
      <c r="R703" s="4" t="str">
        <f aca="false">IF($A703="","",IF(COUNTIF($A$2:$A703,$A703)&gt;1,"Sim","Não"))</f>
        <v>Não</v>
      </c>
      <c r="S703" s="4" t="str">
        <f aca="false">IF(A703="","Descartar - Linha vazia",IF(R703="Sim","Descartar - Duplicado",IF(OR(H703&lt;=0,I703&lt;=0),"Descartar - Qtd/Valor inválido","OK")))</f>
        <v>OK</v>
      </c>
      <c r="T703" s="4" t="str">
        <f aca="false">Base_Bruta!P703</f>
        <v>vendas_SP.xlsx</v>
      </c>
    </row>
    <row r="704" customFormat="false" ht="15" hidden="false" customHeight="false" outlineLevel="0" collapsed="false">
      <c r="A704" s="4" t="str">
        <f aca="false">IF(Base_Bruta!A704="","",Base_Bruta!A704)</f>
        <v>SP-000427</v>
      </c>
      <c r="B704" s="5" t="n">
        <f aca="false">IF($A704="","",IF(ISNUMBER(Base_Bruta!B704),Base_Bruta!B704,IF(MID(Base_Bruta!B704,5,1)="-",DATE(VALUE(LEFT(Base_Bruta!B704,4)),VALUE(MID(Base_Bruta!B704,6,2)),VALUE(RIGHT(Base_Bruta!B704,2))),DATE(VALUE(RIGHT(Base_Bruta!B704,4)),VALUE(MID(Base_Bruta!B704,4,2)),VALUE(LEFT(Base_Bruta!B704,2))))))</f>
        <v>46121</v>
      </c>
      <c r="C704" s="5" t="n">
        <f aca="false">IF($A704="","",IF(ISNUMBER(Base_Bruta!C704),Base_Bruta!C704,IF(MID(Base_Bruta!C704,5,1)="-",DATE(VALUE(LEFT(Base_Bruta!C704,4)),VALUE(MID(Base_Bruta!C704,6,2)),VALUE(RIGHT(Base_Bruta!C704,2))),DATE(VALUE(RIGHT(Base_Bruta!C704,4)),VALUE(MID(Base_Bruta!C704,4,2)),VALUE(LEFT(Base_Bruta!C704,2))))))</f>
        <v>46130</v>
      </c>
      <c r="D704" s="4" t="str">
        <f aca="false">IF($A704="","",TRIM(Base_Bruta!D704))</f>
        <v>Festival Sonora SP 2026</v>
      </c>
      <c r="E704" s="4" t="str">
        <f aca="false">IF($A704="","",_xlfn.XLOOKUP(LOWER(TRIM(Base_Bruta!E704)),DePara_Categoria!$A$2:$A$9,DePara_Categoria!$B$2:$B$9,"REVISAR"))</f>
        <v>Festival</v>
      </c>
      <c r="F704" s="4" t="str">
        <f aca="false">IF($A704="","",_xlfn.XLOOKUP(LOWER(TRIM(Base_Bruta!F704)),DePara_Cidade!$A$2:$A$29,DePara_Cidade!$B$2:$B$29,"REVISAR"))</f>
        <v>São Paulo</v>
      </c>
      <c r="G704" s="4" t="str">
        <f aca="false">IF($A704="","",TRIM(Base_Bruta!G704))</f>
        <v>Inteira</v>
      </c>
      <c r="H704" s="4" t="n">
        <f aca="false">IF($A704="","",IF(ISNUMBER(Base_Bruta!H704),Base_Bruta!H704,IFERROR(_xlfn.NUMBERVALUE(TRIM(SUBSTITUTE(Base_Bruta!H704,"R$","")),",","."),0)))</f>
        <v>0</v>
      </c>
      <c r="I704" s="6" t="n">
        <f aca="false">IF($A704="","",IF(ISNUMBER(Base_Bruta!I704),Base_Bruta!I704,IFERROR(_xlfn.NUMBERVALUE(TRIM(SUBSTITUTE(Base_Bruta!I704,"R$","")),",","."),0)))</f>
        <v>1080</v>
      </c>
      <c r="J704" s="6" t="n">
        <f aca="false">IF($A704="","",H704*I704)</f>
        <v>0</v>
      </c>
      <c r="K704" s="4" t="str">
        <f aca="false">IF($A704="","",TRIM(Base_Bruta!J704))</f>
        <v>Site</v>
      </c>
      <c r="L704" s="4" t="str">
        <f aca="false">IF($A704="","",TRIM(Base_Bruta!K704))</f>
        <v>C01559</v>
      </c>
      <c r="M704" s="4" t="str">
        <f aca="false">IF($A704="","",_xlfn.XLOOKUP(LOWER(TRIM(Base_Bruta!L704)),DePara_Cidade!$A$2:$A$29,DePara_Cidade!$B$2:$B$29,"REVISAR"))</f>
        <v>Porto Alegre</v>
      </c>
      <c r="N704" s="4" t="str">
        <f aca="false">IF($A704="","",UPPER(TRIM(Base_Bruta!M704)))</f>
        <v>RS</v>
      </c>
      <c r="O704" s="4" t="str">
        <f aca="false">IF($A704="","",_xlfn.XLOOKUP(LOWER(TRIM(Base_Bruta!N704)),DePara_Pais!$A$2:$A$9,DePara_Pais!$B$2:$B$9,"REVISAR"))</f>
        <v>Brasil</v>
      </c>
      <c r="P704" s="4" t="str">
        <f aca="false">IF($A704="","",IF(O704&lt;&gt;"Brasil","Turista Internacional",IF(M704=F704,"Local","Turista Nacional")))</f>
        <v>Turista Nacional</v>
      </c>
      <c r="Q704" s="7" t="n">
        <f aca="false">IF($A704="","",DATE(YEAR(B704),MONTH(B704),1))</f>
        <v>46113</v>
      </c>
      <c r="R704" s="4" t="str">
        <f aca="false">IF($A704="","",IF(COUNTIF($A$2:$A704,$A704)&gt;1,"Sim","Não"))</f>
        <v>Não</v>
      </c>
      <c r="S704" s="4" t="str">
        <f aca="false">IF(A704="","Descartar - Linha vazia",IF(R704="Sim","Descartar - Duplicado",IF(OR(H704&lt;=0,I704&lt;=0),"Descartar - Qtd/Valor inválido","OK")))</f>
        <v>Descartar - Qtd/Valor inválido</v>
      </c>
      <c r="T704" s="4" t="str">
        <f aca="false">Base_Bruta!P704</f>
        <v>vendas_SP.xlsx</v>
      </c>
    </row>
    <row r="705" customFormat="false" ht="15" hidden="false" customHeight="false" outlineLevel="0" collapsed="false">
      <c r="A705" s="4" t="str">
        <f aca="false">IF(Base_Bruta!A705="","",Base_Bruta!A705)</f>
        <v>SP-000712</v>
      </c>
      <c r="B705" s="5" t="n">
        <f aca="false">IF($A705="","",IF(ISNUMBER(Base_Bruta!B705),Base_Bruta!B705,IF(MID(Base_Bruta!B705,5,1)="-",DATE(VALUE(LEFT(Base_Bruta!B705,4)),VALUE(MID(Base_Bruta!B705,6,2)),VALUE(RIGHT(Base_Bruta!B705,2))),DATE(VALUE(RIGHT(Base_Bruta!B705,4)),VALUE(MID(Base_Bruta!B705,4,2)),VALUE(LEFT(Base_Bruta!B705,2))))))</f>
        <v>46122</v>
      </c>
      <c r="C705" s="5" t="n">
        <f aca="false">IF($A705="","",IF(ISNUMBER(Base_Bruta!C705),Base_Bruta!C705,IF(MID(Base_Bruta!C705,5,1)="-",DATE(VALUE(LEFT(Base_Bruta!C705,4)),VALUE(MID(Base_Bruta!C705,6,2)),VALUE(RIGHT(Base_Bruta!C705,2))),DATE(VALUE(RIGHT(Base_Bruta!C705,4)),VALUE(MID(Base_Bruta!C705,4,2)),VALUE(LEFT(Base_Bruta!C705,2))))))</f>
        <v>46125</v>
      </c>
      <c r="D705" s="4" t="str">
        <f aca="false">IF($A705="","",TRIM(Base_Bruta!D705))</f>
        <v>Cinema Paulista - Sessões</v>
      </c>
      <c r="E705" s="4" t="str">
        <f aca="false">IF($A705="","",_xlfn.XLOOKUP(LOWER(TRIM(Base_Bruta!E705)),DePara_Categoria!$A$2:$A$9,DePara_Categoria!$B$2:$B$9,"REVISAR"))</f>
        <v>Cinema</v>
      </c>
      <c r="F705" s="4" t="str">
        <f aca="false">IF($A705="","",_xlfn.XLOOKUP(LOWER(TRIM(Base_Bruta!F705)),DePara_Cidade!$A$2:$A$29,DePara_Cidade!$B$2:$B$29,"REVISAR"))</f>
        <v>São Paulo</v>
      </c>
      <c r="G705" s="4" t="str">
        <f aca="false">IF($A705="","",TRIM(Base_Bruta!G705))</f>
        <v>Inteira</v>
      </c>
      <c r="H705" s="4" t="n">
        <f aca="false">IF($A705="","",IF(ISNUMBER(Base_Bruta!H705),Base_Bruta!H705,IFERROR(_xlfn.NUMBERVALUE(TRIM(SUBSTITUTE(Base_Bruta!H705,"R$","")),",","."),0)))</f>
        <v>2</v>
      </c>
      <c r="I705" s="6" t="n">
        <f aca="false">IF($A705="","",IF(ISNUMBER(Base_Bruta!I705),Base_Bruta!I705,IFERROR(_xlfn.NUMBERVALUE(TRIM(SUBSTITUTE(Base_Bruta!I705,"R$","")),",","."),0)))</f>
        <v>30</v>
      </c>
      <c r="J705" s="6" t="n">
        <f aca="false">IF($A705="","",H705*I705)</f>
        <v>60</v>
      </c>
      <c r="K705" s="4" t="str">
        <f aca="false">IF($A705="","",TRIM(Base_Bruta!J705))</f>
        <v>Parceiro</v>
      </c>
      <c r="L705" s="4" t="str">
        <f aca="false">IF($A705="","",TRIM(Base_Bruta!K705))</f>
        <v>C00301</v>
      </c>
      <c r="M705" s="4" t="str">
        <f aca="false">IF($A705="","",_xlfn.XLOOKUP(LOWER(TRIM(Base_Bruta!L705)),DePara_Cidade!$A$2:$A$29,DePara_Cidade!$B$2:$B$29,"REVISAR"))</f>
        <v>São Paulo</v>
      </c>
      <c r="N705" s="4" t="str">
        <f aca="false">IF($A705="","",UPPER(TRIM(Base_Bruta!M705)))</f>
        <v>SP</v>
      </c>
      <c r="O705" s="4" t="str">
        <f aca="false">IF($A705="","",_xlfn.XLOOKUP(LOWER(TRIM(Base_Bruta!N705)),DePara_Pais!$A$2:$A$9,DePara_Pais!$B$2:$B$9,"REVISAR"))</f>
        <v>Brasil</v>
      </c>
      <c r="P705" s="4" t="str">
        <f aca="false">IF($A705="","",IF(O705&lt;&gt;"Brasil","Turista Internacional",IF(M705=F705,"Local","Turista Nacional")))</f>
        <v>Local</v>
      </c>
      <c r="Q705" s="7" t="n">
        <f aca="false">IF($A705="","",DATE(YEAR(B705),MONTH(B705),1))</f>
        <v>46113</v>
      </c>
      <c r="R705" s="4" t="str">
        <f aca="false">IF($A705="","",IF(COUNTIF($A$2:$A705,$A705)&gt;1,"Sim","Não"))</f>
        <v>Não</v>
      </c>
      <c r="S705" s="4" t="str">
        <f aca="false">IF(A705="","Descartar - Linha vazia",IF(R705="Sim","Descartar - Duplicado",IF(OR(H705&lt;=0,I705&lt;=0),"Descartar - Qtd/Valor inválido","OK")))</f>
        <v>OK</v>
      </c>
      <c r="T705" s="4" t="str">
        <f aca="false">Base_Bruta!P705</f>
        <v>vendas_SP.xlsx</v>
      </c>
    </row>
    <row r="706" customFormat="false" ht="15" hidden="false" customHeight="false" outlineLevel="0" collapsed="false">
      <c r="A706" s="4" t="str">
        <f aca="false">IF(Base_Bruta!A706="","",Base_Bruta!A706)</f>
        <v/>
      </c>
      <c r="B706" s="5" t="str">
        <f aca="false">IF($A706="","",IF(ISNUMBER(Base_Bruta!B706),Base_Bruta!B706,IF(MID(Base_Bruta!B706,5,1)="-",DATE(VALUE(LEFT(Base_Bruta!B706,4)),VALUE(MID(Base_Bruta!B706,6,2)),VALUE(RIGHT(Base_Bruta!B706,2))),DATE(VALUE(RIGHT(Base_Bruta!B706,4)),VALUE(MID(Base_Bruta!B706,4,2)),VALUE(LEFT(Base_Bruta!B706,2))))))</f>
        <v/>
      </c>
      <c r="C706" s="5" t="str">
        <f aca="false">IF($A706="","",IF(ISNUMBER(Base_Bruta!C706),Base_Bruta!C706,IF(MID(Base_Bruta!C706,5,1)="-",DATE(VALUE(LEFT(Base_Bruta!C706,4)),VALUE(MID(Base_Bruta!C706,6,2)),VALUE(RIGHT(Base_Bruta!C706,2))),DATE(VALUE(RIGHT(Base_Bruta!C706,4)),VALUE(MID(Base_Bruta!C706,4,2)),VALUE(LEFT(Base_Bruta!C706,2))))))</f>
        <v/>
      </c>
      <c r="D706" s="4" t="str">
        <f aca="false">IF($A706="","",TRIM(Base_Bruta!D706))</f>
        <v/>
      </c>
      <c r="E706" s="4" t="str">
        <f aca="false">IF($A706="","",_xlfn.XLOOKUP(LOWER(TRIM(Base_Bruta!E706)),DePara_Categoria!$A$2:$A$9,DePara_Categoria!$B$2:$B$9,"REVISAR"))</f>
        <v/>
      </c>
      <c r="F706" s="4" t="str">
        <f aca="false">IF($A706="","",_xlfn.XLOOKUP(LOWER(TRIM(Base_Bruta!F706)),DePara_Cidade!$A$2:$A$29,DePara_Cidade!$B$2:$B$29,"REVISAR"))</f>
        <v/>
      </c>
      <c r="G706" s="4" t="str">
        <f aca="false">IF($A706="","",TRIM(Base_Bruta!G706))</f>
        <v/>
      </c>
      <c r="H706" s="4" t="str">
        <f aca="false">IF($A706="","",IF(ISNUMBER(Base_Bruta!H706),Base_Bruta!H706,IFERROR(_xlfn.NUMBERVALUE(TRIM(SUBSTITUTE(Base_Bruta!H706,"R$","")),",","."),0)))</f>
        <v/>
      </c>
      <c r="I706" s="6" t="str">
        <f aca="false">IF($A706="","",IF(ISNUMBER(Base_Bruta!I706),Base_Bruta!I706,IFERROR(_xlfn.NUMBERVALUE(TRIM(SUBSTITUTE(Base_Bruta!I706,"R$","")),",","."),0)))</f>
        <v/>
      </c>
      <c r="J706" s="6" t="str">
        <f aca="false">IF($A706="","",H706*I706)</f>
        <v/>
      </c>
      <c r="K706" s="4" t="str">
        <f aca="false">IF($A706="","",TRIM(Base_Bruta!J706))</f>
        <v/>
      </c>
      <c r="L706" s="4" t="str">
        <f aca="false">IF($A706="","",TRIM(Base_Bruta!K706))</f>
        <v/>
      </c>
      <c r="M706" s="4" t="str">
        <f aca="false">IF($A706="","",_xlfn.XLOOKUP(LOWER(TRIM(Base_Bruta!L706)),DePara_Cidade!$A$2:$A$29,DePara_Cidade!$B$2:$B$29,"REVISAR"))</f>
        <v/>
      </c>
      <c r="N706" s="4" t="str">
        <f aca="false">IF($A706="","",UPPER(TRIM(Base_Bruta!M706)))</f>
        <v/>
      </c>
      <c r="O706" s="4" t="str">
        <f aca="false">IF($A706="","",_xlfn.XLOOKUP(LOWER(TRIM(Base_Bruta!N706)),DePara_Pais!$A$2:$A$9,DePara_Pais!$B$2:$B$9,"REVISAR"))</f>
        <v/>
      </c>
      <c r="P706" s="4" t="str">
        <f aca="false">IF($A706="","",IF(O706&lt;&gt;"Brasil","Turista Internacional",IF(M706=F706,"Local","Turista Nacional")))</f>
        <v/>
      </c>
      <c r="Q706" s="7" t="str">
        <f aca="false">IF($A706="","",DATE(YEAR(B706),MONTH(B706),1))</f>
        <v/>
      </c>
      <c r="R706" s="4" t="str">
        <f aca="false">IF($A706="","",IF(COUNTIF($A$2:$A706,$A706)&gt;1,"Sim","Não"))</f>
        <v/>
      </c>
      <c r="S706" s="4" t="str">
        <f aca="false">IF(A706="","Descartar - Linha vazia",IF(R706="Sim","Descartar - Duplicado",IF(OR(H706&lt;=0,I706&lt;=0),"Descartar - Qtd/Valor inválido","OK")))</f>
        <v>Descartar - Linha vazia</v>
      </c>
      <c r="T706" s="4" t="str">
        <f aca="false">Base_Bruta!P706</f>
        <v>vendas_SP.xlsx</v>
      </c>
    </row>
    <row r="707" customFormat="false" ht="15" hidden="false" customHeight="false" outlineLevel="0" collapsed="false">
      <c r="A707" s="4" t="str">
        <f aca="false">IF(Base_Bruta!A707="","",Base_Bruta!A707)</f>
        <v>SP-000242</v>
      </c>
      <c r="B707" s="5" t="n">
        <f aca="false">IF($A707="","",IF(ISNUMBER(Base_Bruta!B707),Base_Bruta!B707,IF(MID(Base_Bruta!B707,5,1)="-",DATE(VALUE(LEFT(Base_Bruta!B707,4)),VALUE(MID(Base_Bruta!B707,6,2)),VALUE(RIGHT(Base_Bruta!B707,2))),DATE(VALUE(RIGHT(Base_Bruta!B707,4)),VALUE(MID(Base_Bruta!B707,4,2)),VALUE(LEFT(Base_Bruta!B707,2))))))</f>
        <v>46123</v>
      </c>
      <c r="C707" s="5" t="n">
        <f aca="false">IF($A707="","",IF(ISNUMBER(Base_Bruta!C707),Base_Bruta!C707,IF(MID(Base_Bruta!C707,5,1)="-",DATE(VALUE(LEFT(Base_Bruta!C707,4)),VALUE(MID(Base_Bruta!C707,6,2)),VALUE(RIGHT(Base_Bruta!C707,2))),DATE(VALUE(RIGHT(Base_Bruta!C707,4)),VALUE(MID(Base_Bruta!C707,4,2)),VALUE(LEFT(Base_Bruta!C707,2))))))</f>
        <v>46130</v>
      </c>
      <c r="D707" s="4" t="str">
        <f aca="false">IF($A707="","",TRIM(Base_Bruta!D707))</f>
        <v>Festival Sonora SP 2026</v>
      </c>
      <c r="E707" s="4" t="str">
        <f aca="false">IF($A707="","",_xlfn.XLOOKUP(LOWER(TRIM(Base_Bruta!E707)),DePara_Categoria!$A$2:$A$9,DePara_Categoria!$B$2:$B$9,"REVISAR"))</f>
        <v>Festival</v>
      </c>
      <c r="F707" s="4" t="str">
        <f aca="false">IF($A707="","",_xlfn.XLOOKUP(LOWER(TRIM(Base_Bruta!F707)),DePara_Cidade!$A$2:$A$29,DePara_Cidade!$B$2:$B$29,"REVISAR"))</f>
        <v>São Paulo</v>
      </c>
      <c r="G707" s="4" t="str">
        <f aca="false">IF($A707="","",TRIM(Base_Bruta!G707))</f>
        <v>VIP</v>
      </c>
      <c r="H707" s="4" t="n">
        <f aca="false">IF($A707="","",IF(ISNUMBER(Base_Bruta!H707),Base_Bruta!H707,IFERROR(_xlfn.NUMBERVALUE(TRIM(SUBSTITUTE(Base_Bruta!H707,"R$","")),",","."),0)))</f>
        <v>2</v>
      </c>
      <c r="I707" s="6" t="n">
        <f aca="false">IF($A707="","",IF(ISNUMBER(Base_Bruta!I707),Base_Bruta!I707,IFERROR(_xlfn.NUMBERVALUE(TRIM(SUBSTITUTE(Base_Bruta!I707,"R$","")),",","."),0)))</f>
        <v>2240</v>
      </c>
      <c r="J707" s="6" t="n">
        <f aca="false">IF($A707="","",H707*I707)</f>
        <v>4480</v>
      </c>
      <c r="K707" s="4" t="str">
        <f aca="false">IF($A707="","",TRIM(Base_Bruta!J707))</f>
        <v>App</v>
      </c>
      <c r="L707" s="4" t="str">
        <f aca="false">IF($A707="","",TRIM(Base_Bruta!K707))</f>
        <v>C02261</v>
      </c>
      <c r="M707" s="4" t="str">
        <f aca="false">IF($A707="","",_xlfn.XLOOKUP(LOWER(TRIM(Base_Bruta!L707)),DePara_Cidade!$A$2:$A$29,DePara_Cidade!$B$2:$B$29,"REVISAR"))</f>
        <v>São Paulo</v>
      </c>
      <c r="N707" s="4" t="str">
        <f aca="false">IF($A707="","",UPPER(TRIM(Base_Bruta!M707)))</f>
        <v>SP</v>
      </c>
      <c r="O707" s="4" t="str">
        <f aca="false">IF($A707="","",_xlfn.XLOOKUP(LOWER(TRIM(Base_Bruta!N707)),DePara_Pais!$A$2:$A$9,DePara_Pais!$B$2:$B$9,"REVISAR"))</f>
        <v>Brasil</v>
      </c>
      <c r="P707" s="4" t="str">
        <f aca="false">IF($A707="","",IF(O707&lt;&gt;"Brasil","Turista Internacional",IF(M707=F707,"Local","Turista Nacional")))</f>
        <v>Local</v>
      </c>
      <c r="Q707" s="7" t="n">
        <f aca="false">IF($A707="","",DATE(YEAR(B707),MONTH(B707),1))</f>
        <v>46113</v>
      </c>
      <c r="R707" s="4" t="str">
        <f aca="false">IF($A707="","",IF(COUNTIF($A$2:$A707,$A707)&gt;1,"Sim","Não"))</f>
        <v>Não</v>
      </c>
      <c r="S707" s="4" t="str">
        <f aca="false">IF(A707="","Descartar - Linha vazia",IF(R707="Sim","Descartar - Duplicado",IF(OR(H707&lt;=0,I707&lt;=0),"Descartar - Qtd/Valor inválido","OK")))</f>
        <v>OK</v>
      </c>
      <c r="T707" s="4" t="str">
        <f aca="false">Base_Bruta!P707</f>
        <v>vendas_SP.xlsx</v>
      </c>
    </row>
    <row r="708" customFormat="false" ht="15" hidden="false" customHeight="false" outlineLevel="0" collapsed="false">
      <c r="A708" s="4" t="str">
        <f aca="false">IF(Base_Bruta!A708="","",Base_Bruta!A708)</f>
        <v>SP-000258</v>
      </c>
      <c r="B708" s="5" t="n">
        <f aca="false">IF($A708="","",IF(ISNUMBER(Base_Bruta!B708),Base_Bruta!B708,IF(MID(Base_Bruta!B708,5,1)="-",DATE(VALUE(LEFT(Base_Bruta!B708,4)),VALUE(MID(Base_Bruta!B708,6,2)),VALUE(RIGHT(Base_Bruta!B708,2))),DATE(VALUE(RIGHT(Base_Bruta!B708,4)),VALUE(MID(Base_Bruta!B708,4,2)),VALUE(LEFT(Base_Bruta!B708,2))))))</f>
        <v>46123</v>
      </c>
      <c r="C708" s="5" t="n">
        <f aca="false">IF($A708="","",IF(ISNUMBER(Base_Bruta!C708),Base_Bruta!C708,IF(MID(Base_Bruta!C708,5,1)="-",DATE(VALUE(LEFT(Base_Bruta!C708,4)),VALUE(MID(Base_Bruta!C708,6,2)),VALUE(RIGHT(Base_Bruta!C708,2))),DATE(VALUE(RIGHT(Base_Bruta!C708,4)),VALUE(MID(Base_Bruta!C708,4,2)),VALUE(LEFT(Base_Bruta!C708,2))))))</f>
        <v>46130</v>
      </c>
      <c r="D708" s="4" t="str">
        <f aca="false">IF($A708="","",TRIM(Base_Bruta!D708))</f>
        <v>Festival Sonora SP 2026</v>
      </c>
      <c r="E708" s="4" t="str">
        <f aca="false">IF($A708="","",_xlfn.XLOOKUP(LOWER(TRIM(Base_Bruta!E708)),DePara_Categoria!$A$2:$A$9,DePara_Categoria!$B$2:$B$9,"REVISAR"))</f>
        <v>Festival</v>
      </c>
      <c r="F708" s="4" t="str">
        <f aca="false">IF($A708="","",_xlfn.XLOOKUP(LOWER(TRIM(Base_Bruta!F708)),DePara_Cidade!$A$2:$A$29,DePara_Cidade!$B$2:$B$29,"REVISAR"))</f>
        <v>São Paulo</v>
      </c>
      <c r="G708" s="4" t="str">
        <f aca="false">IF($A708="","",TRIM(Base_Bruta!G708))</f>
        <v>Meia</v>
      </c>
      <c r="H708" s="4" t="n">
        <f aca="false">IF($A708="","",IF(ISNUMBER(Base_Bruta!H708),Base_Bruta!H708,IFERROR(_xlfn.NUMBERVALUE(TRIM(SUBSTITUTE(Base_Bruta!H708,"R$","")),",","."),0)))</f>
        <v>1</v>
      </c>
      <c r="I708" s="6" t="n">
        <f aca="false">IF($A708="","",IF(ISNUMBER(Base_Bruta!I708),Base_Bruta!I708,IFERROR(_xlfn.NUMBERVALUE(TRIM(SUBSTITUTE(Base_Bruta!I708,"R$","")),",","."),0)))</f>
        <v>390</v>
      </c>
      <c r="J708" s="6" t="n">
        <f aca="false">IF($A708="","",H708*I708)</f>
        <v>390</v>
      </c>
      <c r="K708" s="4" t="str">
        <f aca="false">IF($A708="","",TRIM(Base_Bruta!J708))</f>
        <v>App</v>
      </c>
      <c r="L708" s="4" t="str">
        <f aca="false">IF($A708="","",TRIM(Base_Bruta!K708))</f>
        <v>C01233</v>
      </c>
      <c r="M708" s="4" t="str">
        <f aca="false">IF($A708="","",_xlfn.XLOOKUP(LOWER(TRIM(Base_Bruta!L708)),DePara_Cidade!$A$2:$A$29,DePara_Cidade!$B$2:$B$29,"REVISAR"))</f>
        <v>Contagem</v>
      </c>
      <c r="N708" s="4" t="str">
        <f aca="false">IF($A708="","",UPPER(TRIM(Base_Bruta!M708)))</f>
        <v>MG</v>
      </c>
      <c r="O708" s="4" t="str">
        <f aca="false">IF($A708="","",_xlfn.XLOOKUP(LOWER(TRIM(Base_Bruta!N708)),DePara_Pais!$A$2:$A$9,DePara_Pais!$B$2:$B$9,"REVISAR"))</f>
        <v>Brasil</v>
      </c>
      <c r="P708" s="4" t="str">
        <f aca="false">IF($A708="","",IF(O708&lt;&gt;"Brasil","Turista Internacional",IF(M708=F708,"Local","Turista Nacional")))</f>
        <v>Turista Nacional</v>
      </c>
      <c r="Q708" s="7" t="n">
        <f aca="false">IF($A708="","",DATE(YEAR(B708),MONTH(B708),1))</f>
        <v>46113</v>
      </c>
      <c r="R708" s="4" t="str">
        <f aca="false">IF($A708="","",IF(COUNTIF($A$2:$A708,$A708)&gt;1,"Sim","Não"))</f>
        <v>Não</v>
      </c>
      <c r="S708" s="4" t="str">
        <f aca="false">IF(A708="","Descartar - Linha vazia",IF(R708="Sim","Descartar - Duplicado",IF(OR(H708&lt;=0,I708&lt;=0),"Descartar - Qtd/Valor inválido","OK")))</f>
        <v>OK</v>
      </c>
      <c r="T708" s="4" t="str">
        <f aca="false">Base_Bruta!P708</f>
        <v>vendas_SP.xlsx</v>
      </c>
    </row>
    <row r="709" customFormat="false" ht="15" hidden="false" customHeight="false" outlineLevel="0" collapsed="false">
      <c r="A709" s="4" t="str">
        <f aca="false">IF(Base_Bruta!A709="","",Base_Bruta!A709)</f>
        <v>SP-000259</v>
      </c>
      <c r="B709" s="5" t="n">
        <f aca="false">IF($A709="","",IF(ISNUMBER(Base_Bruta!B709),Base_Bruta!B709,IF(MID(Base_Bruta!B709,5,1)="-",DATE(VALUE(LEFT(Base_Bruta!B709,4)),VALUE(MID(Base_Bruta!B709,6,2)),VALUE(RIGHT(Base_Bruta!B709,2))),DATE(VALUE(RIGHT(Base_Bruta!B709,4)),VALUE(MID(Base_Bruta!B709,4,2)),VALUE(LEFT(Base_Bruta!B709,2))))))</f>
        <v>46123</v>
      </c>
      <c r="C709" s="5" t="n">
        <f aca="false">IF($A709="","",IF(ISNUMBER(Base_Bruta!C709),Base_Bruta!C709,IF(MID(Base_Bruta!C709,5,1)="-",DATE(VALUE(LEFT(Base_Bruta!C709,4)),VALUE(MID(Base_Bruta!C709,6,2)),VALUE(RIGHT(Base_Bruta!C709,2))),DATE(VALUE(RIGHT(Base_Bruta!C709,4)),VALUE(MID(Base_Bruta!C709,4,2)),VALUE(LEFT(Base_Bruta!C709,2))))))</f>
        <v>46130</v>
      </c>
      <c r="D709" s="4" t="str">
        <f aca="false">IF($A709="","",TRIM(Base_Bruta!D709))</f>
        <v>Festival Sonora SP 2026</v>
      </c>
      <c r="E709" s="4" t="str">
        <f aca="false">IF($A709="","",_xlfn.XLOOKUP(LOWER(TRIM(Base_Bruta!E709)),DePara_Categoria!$A$2:$A$9,DePara_Categoria!$B$2:$B$9,"REVISAR"))</f>
        <v>Festival</v>
      </c>
      <c r="F709" s="4" t="str">
        <f aca="false">IF($A709="","",_xlfn.XLOOKUP(LOWER(TRIM(Base_Bruta!F709)),DePara_Cidade!$A$2:$A$29,DePara_Cidade!$B$2:$B$29,"REVISAR"))</f>
        <v>São Paulo</v>
      </c>
      <c r="G709" s="4" t="str">
        <f aca="false">IF($A709="","",TRIM(Base_Bruta!G709))</f>
        <v>Inteira</v>
      </c>
      <c r="H709" s="4" t="n">
        <f aca="false">IF($A709="","",IF(ISNUMBER(Base_Bruta!H709),Base_Bruta!H709,IFERROR(_xlfn.NUMBERVALUE(TRIM(SUBSTITUTE(Base_Bruta!H709,"R$","")),",","."),0)))</f>
        <v>2</v>
      </c>
      <c r="I709" s="6" t="n">
        <f aca="false">IF($A709="","",IF(ISNUMBER(Base_Bruta!I709),Base_Bruta!I709,IFERROR(_xlfn.NUMBERVALUE(TRIM(SUBSTITUTE(Base_Bruta!I709,"R$","")),",","."),0)))</f>
        <v>1085</v>
      </c>
      <c r="J709" s="6" t="n">
        <f aca="false">IF($A709="","",H709*I709)</f>
        <v>2170</v>
      </c>
      <c r="K709" s="4" t="str">
        <f aca="false">IF($A709="","",TRIM(Base_Bruta!J709))</f>
        <v>Site</v>
      </c>
      <c r="L709" s="4" t="str">
        <f aca="false">IF($A709="","",TRIM(Base_Bruta!K709))</f>
        <v>C01264</v>
      </c>
      <c r="M709" s="4" t="str">
        <f aca="false">IF($A709="","",_xlfn.XLOOKUP(LOWER(TRIM(Base_Bruta!L709)),DePara_Cidade!$A$2:$A$29,DePara_Cidade!$B$2:$B$29,"REVISAR"))</f>
        <v>Brasília</v>
      </c>
      <c r="N709" s="4" t="str">
        <f aca="false">IF($A709="","",UPPER(TRIM(Base_Bruta!M709)))</f>
        <v>DF</v>
      </c>
      <c r="O709" s="4" t="str">
        <f aca="false">IF($A709="","",_xlfn.XLOOKUP(LOWER(TRIM(Base_Bruta!N709)),DePara_Pais!$A$2:$A$9,DePara_Pais!$B$2:$B$9,"REVISAR"))</f>
        <v>Brasil</v>
      </c>
      <c r="P709" s="4" t="str">
        <f aca="false">IF($A709="","",IF(O709&lt;&gt;"Brasil","Turista Internacional",IF(M709=F709,"Local","Turista Nacional")))</f>
        <v>Turista Nacional</v>
      </c>
      <c r="Q709" s="7" t="n">
        <f aca="false">IF($A709="","",DATE(YEAR(B709),MONTH(B709),1))</f>
        <v>46113</v>
      </c>
      <c r="R709" s="4" t="str">
        <f aca="false">IF($A709="","",IF(COUNTIF($A$2:$A709,$A709)&gt;1,"Sim","Não"))</f>
        <v>Não</v>
      </c>
      <c r="S709" s="4" t="str">
        <f aca="false">IF(A709="","Descartar - Linha vazia",IF(R709="Sim","Descartar - Duplicado",IF(OR(H709&lt;=0,I709&lt;=0),"Descartar - Qtd/Valor inválido","OK")))</f>
        <v>OK</v>
      </c>
      <c r="T709" s="4" t="str">
        <f aca="false">Base_Bruta!P709</f>
        <v>vendas_SP.xlsx</v>
      </c>
    </row>
    <row r="710" customFormat="false" ht="15" hidden="false" customHeight="false" outlineLevel="0" collapsed="false">
      <c r="A710" s="4" t="str">
        <f aca="false">IF(Base_Bruta!A710="","",Base_Bruta!A710)</f>
        <v>SP-000308</v>
      </c>
      <c r="B710" s="5" t="n">
        <f aca="false">IF($A710="","",IF(ISNUMBER(Base_Bruta!B710),Base_Bruta!B710,IF(MID(Base_Bruta!B710,5,1)="-",DATE(VALUE(LEFT(Base_Bruta!B710,4)),VALUE(MID(Base_Bruta!B710,6,2)),VALUE(RIGHT(Base_Bruta!B710,2))),DATE(VALUE(RIGHT(Base_Bruta!B710,4)),VALUE(MID(Base_Bruta!B710,4,2)),VALUE(LEFT(Base_Bruta!B710,2))))))</f>
        <v>46123</v>
      </c>
      <c r="C710" s="5" t="n">
        <f aca="false">IF($A710="","",IF(ISNUMBER(Base_Bruta!C710),Base_Bruta!C710,IF(MID(Base_Bruta!C710,5,1)="-",DATE(VALUE(LEFT(Base_Bruta!C710,4)),VALUE(MID(Base_Bruta!C710,6,2)),VALUE(RIGHT(Base_Bruta!C710,2))),DATE(VALUE(RIGHT(Base_Bruta!C710,4)),VALUE(MID(Base_Bruta!C710,4,2)),VALUE(LEFT(Base_Bruta!C710,2))))))</f>
        <v>46130</v>
      </c>
      <c r="D710" s="4" t="str">
        <f aca="false">IF($A710="","",TRIM(Base_Bruta!D710))</f>
        <v>Festival Sonora SP 2026</v>
      </c>
      <c r="E710" s="4" t="str">
        <f aca="false">IF($A710="","",_xlfn.XLOOKUP(LOWER(TRIM(Base_Bruta!E710)),DePara_Categoria!$A$2:$A$9,DePara_Categoria!$B$2:$B$9,"REVISAR"))</f>
        <v>Festival</v>
      </c>
      <c r="F710" s="4" t="str">
        <f aca="false">IF($A710="","",_xlfn.XLOOKUP(LOWER(TRIM(Base_Bruta!F710)),DePara_Cidade!$A$2:$A$29,DePara_Cidade!$B$2:$B$29,"REVISAR"))</f>
        <v>São Paulo</v>
      </c>
      <c r="G710" s="4" t="str">
        <f aca="false">IF($A710="","",TRIM(Base_Bruta!G710))</f>
        <v>Meia</v>
      </c>
      <c r="H710" s="4" t="n">
        <f aca="false">IF($A710="","",IF(ISNUMBER(Base_Bruta!H710),Base_Bruta!H710,IFERROR(_xlfn.NUMBERVALUE(TRIM(SUBSTITUTE(Base_Bruta!H710,"R$","")),",","."),0)))</f>
        <v>1</v>
      </c>
      <c r="I710" s="6" t="n">
        <f aca="false">IF($A710="","",IF(ISNUMBER(Base_Bruta!I710),Base_Bruta!I710,IFERROR(_xlfn.NUMBERVALUE(TRIM(SUBSTITUTE(Base_Bruta!I710,"R$","")),",","."),0)))</f>
        <v>370</v>
      </c>
      <c r="J710" s="6" t="n">
        <f aca="false">IF($A710="","",H710*I710)</f>
        <v>370</v>
      </c>
      <c r="K710" s="4" t="str">
        <f aca="false">IF($A710="","",TRIM(Base_Bruta!J710))</f>
        <v>Parceiro</v>
      </c>
      <c r="L710" s="4" t="str">
        <f aca="false">IF($A710="","",TRIM(Base_Bruta!K710))</f>
        <v>C01473</v>
      </c>
      <c r="M710" s="4" t="str">
        <f aca="false">IF($A710="","",_xlfn.XLOOKUP(LOWER(TRIM(Base_Bruta!L710)),DePara_Cidade!$A$2:$A$29,DePara_Cidade!$B$2:$B$29,"REVISAR"))</f>
        <v>São Paulo</v>
      </c>
      <c r="N710" s="4" t="str">
        <f aca="false">IF($A710="","",UPPER(TRIM(Base_Bruta!M710)))</f>
        <v>SP</v>
      </c>
      <c r="O710" s="4" t="str">
        <f aca="false">IF($A710="","",_xlfn.XLOOKUP(LOWER(TRIM(Base_Bruta!N710)),DePara_Pais!$A$2:$A$9,DePara_Pais!$B$2:$B$9,"REVISAR"))</f>
        <v>Brasil</v>
      </c>
      <c r="P710" s="4" t="str">
        <f aca="false">IF($A710="","",IF(O710&lt;&gt;"Brasil","Turista Internacional",IF(M710=F710,"Local","Turista Nacional")))</f>
        <v>Local</v>
      </c>
      <c r="Q710" s="7" t="n">
        <f aca="false">IF($A710="","",DATE(YEAR(B710),MONTH(B710),1))</f>
        <v>46113</v>
      </c>
      <c r="R710" s="4" t="str">
        <f aca="false">IF($A710="","",IF(COUNTIF($A$2:$A710,$A710)&gt;1,"Sim","Não"))</f>
        <v>Não</v>
      </c>
      <c r="S710" s="4" t="str">
        <f aca="false">IF(A710="","Descartar - Linha vazia",IF(R710="Sim","Descartar - Duplicado",IF(OR(H710&lt;=0,I710&lt;=0),"Descartar - Qtd/Valor inválido","OK")))</f>
        <v>OK</v>
      </c>
      <c r="T710" s="4" t="str">
        <f aca="false">Base_Bruta!P710</f>
        <v>vendas_SP.xlsx</v>
      </c>
    </row>
    <row r="711" customFormat="false" ht="15" hidden="false" customHeight="false" outlineLevel="0" collapsed="false">
      <c r="A711" s="4" t="str">
        <f aca="false">IF(Base_Bruta!A711="","",Base_Bruta!A711)</f>
        <v>SP-000353</v>
      </c>
      <c r="B711" s="5" t="n">
        <f aca="false">IF($A711="","",IF(ISNUMBER(Base_Bruta!B711),Base_Bruta!B711,IF(MID(Base_Bruta!B711,5,1)="-",DATE(VALUE(LEFT(Base_Bruta!B711,4)),VALUE(MID(Base_Bruta!B711,6,2)),VALUE(RIGHT(Base_Bruta!B711,2))),DATE(VALUE(RIGHT(Base_Bruta!B711,4)),VALUE(MID(Base_Bruta!B711,4,2)),VALUE(LEFT(Base_Bruta!B711,2))))))</f>
        <v>46123</v>
      </c>
      <c r="C711" s="5" t="n">
        <f aca="false">IF($A711="","",IF(ISNUMBER(Base_Bruta!C711),Base_Bruta!C711,IF(MID(Base_Bruta!C711,5,1)="-",DATE(VALUE(LEFT(Base_Bruta!C711,4)),VALUE(MID(Base_Bruta!C711,6,2)),VALUE(RIGHT(Base_Bruta!C711,2))),DATE(VALUE(RIGHT(Base_Bruta!C711,4)),VALUE(MID(Base_Bruta!C711,4,2)),VALUE(LEFT(Base_Bruta!C711,2))))))</f>
        <v>46130</v>
      </c>
      <c r="D711" s="4" t="str">
        <f aca="false">IF($A711="","",TRIM(Base_Bruta!D711))</f>
        <v>Festival Sonora SP 2026</v>
      </c>
      <c r="E711" s="4" t="str">
        <f aca="false">IF($A711="","",_xlfn.XLOOKUP(LOWER(TRIM(Base_Bruta!E711)),DePara_Categoria!$A$2:$A$9,DePara_Categoria!$B$2:$B$9,"REVISAR"))</f>
        <v>Festival</v>
      </c>
      <c r="F711" s="4" t="str">
        <f aca="false">IF($A711="","",_xlfn.XLOOKUP(LOWER(TRIM(Base_Bruta!F711)),DePara_Cidade!$A$2:$A$29,DePara_Cidade!$B$2:$B$29,"REVISAR"))</f>
        <v>São Paulo</v>
      </c>
      <c r="G711" s="4" t="str">
        <f aca="false">IF($A711="","",TRIM(Base_Bruta!G711))</f>
        <v>Meia</v>
      </c>
      <c r="H711" s="4" t="n">
        <f aca="false">IF($A711="","",IF(ISNUMBER(Base_Bruta!H711),Base_Bruta!H711,IFERROR(_xlfn.NUMBERVALUE(TRIM(SUBSTITUTE(Base_Bruta!H711,"R$","")),",","."),0)))</f>
        <v>2</v>
      </c>
      <c r="I711" s="6" t="n">
        <f aca="false">IF($A711="","",IF(ISNUMBER(Base_Bruta!I711),Base_Bruta!I711,IFERROR(_xlfn.NUMBERVALUE(TRIM(SUBSTITUTE(Base_Bruta!I711,"R$","")),",","."),0)))</f>
        <v>360</v>
      </c>
      <c r="J711" s="6" t="n">
        <f aca="false">IF($A711="","",H711*I711)</f>
        <v>720</v>
      </c>
      <c r="K711" s="4" t="str">
        <f aca="false">IF($A711="","",TRIM(Base_Bruta!J711))</f>
        <v>Site</v>
      </c>
      <c r="L711" s="4" t="str">
        <f aca="false">IF($A711="","",TRIM(Base_Bruta!K711))</f>
        <v>C02089</v>
      </c>
      <c r="M711" s="4" t="str">
        <f aca="false">IF($A711="","",_xlfn.XLOOKUP(LOWER(TRIM(Base_Bruta!L711)),DePara_Cidade!$A$2:$A$29,DePara_Cidade!$B$2:$B$29,"REVISAR"))</f>
        <v>Campinas</v>
      </c>
      <c r="N711" s="4" t="str">
        <f aca="false">IF($A711="","",UPPER(TRIM(Base_Bruta!M711)))</f>
        <v>SP</v>
      </c>
      <c r="O711" s="4" t="str">
        <f aca="false">IF($A711="","",_xlfn.XLOOKUP(LOWER(TRIM(Base_Bruta!N711)),DePara_Pais!$A$2:$A$9,DePara_Pais!$B$2:$B$9,"REVISAR"))</f>
        <v>Brasil</v>
      </c>
      <c r="P711" s="4" t="str">
        <f aca="false">IF($A711="","",IF(O711&lt;&gt;"Brasil","Turista Internacional",IF(M711=F711,"Local","Turista Nacional")))</f>
        <v>Turista Nacional</v>
      </c>
      <c r="Q711" s="7" t="n">
        <f aca="false">IF($A711="","",DATE(YEAR(B711),MONTH(B711),1))</f>
        <v>46113</v>
      </c>
      <c r="R711" s="4" t="str">
        <f aca="false">IF($A711="","",IF(COUNTIF($A$2:$A711,$A711)&gt;1,"Sim","Não"))</f>
        <v>Não</v>
      </c>
      <c r="S711" s="4" t="str">
        <f aca="false">IF(A711="","Descartar - Linha vazia",IF(R711="Sim","Descartar - Duplicado",IF(OR(H711&lt;=0,I711&lt;=0),"Descartar - Qtd/Valor inválido","OK")))</f>
        <v>OK</v>
      </c>
      <c r="T711" s="4" t="str">
        <f aca="false">Base_Bruta!P711</f>
        <v>vendas_SP.xlsx</v>
      </c>
    </row>
    <row r="712" customFormat="false" ht="15" hidden="false" customHeight="false" outlineLevel="0" collapsed="false">
      <c r="A712" s="4" t="str">
        <f aca="false">IF(Base_Bruta!A712="","",Base_Bruta!A712)</f>
        <v>SP-000372</v>
      </c>
      <c r="B712" s="5" t="n">
        <f aca="false">IF($A712="","",IF(ISNUMBER(Base_Bruta!B712),Base_Bruta!B712,IF(MID(Base_Bruta!B712,5,1)="-",DATE(VALUE(LEFT(Base_Bruta!B712,4)),VALUE(MID(Base_Bruta!B712,6,2)),VALUE(RIGHT(Base_Bruta!B712,2))),DATE(VALUE(RIGHT(Base_Bruta!B712,4)),VALUE(MID(Base_Bruta!B712,4,2)),VALUE(LEFT(Base_Bruta!B712,2))))))</f>
        <v>46123</v>
      </c>
      <c r="C712" s="5" t="n">
        <f aca="false">IF($A712="","",IF(ISNUMBER(Base_Bruta!C712),Base_Bruta!C712,IF(MID(Base_Bruta!C712,5,1)="-",DATE(VALUE(LEFT(Base_Bruta!C712,4)),VALUE(MID(Base_Bruta!C712,6,2)),VALUE(RIGHT(Base_Bruta!C712,2))),DATE(VALUE(RIGHT(Base_Bruta!C712,4)),VALUE(MID(Base_Bruta!C712,4,2)),VALUE(LEFT(Base_Bruta!C712,2))))))</f>
        <v>46130</v>
      </c>
      <c r="D712" s="4" t="str">
        <f aca="false">IF($A712="","",TRIM(Base_Bruta!D712))</f>
        <v>Festival Sonora SP 2026</v>
      </c>
      <c r="E712" s="4" t="str">
        <f aca="false">IF($A712="","",_xlfn.XLOOKUP(LOWER(TRIM(Base_Bruta!E712)),DePara_Categoria!$A$2:$A$9,DePara_Categoria!$B$2:$B$9,"REVISAR"))</f>
        <v>Festival</v>
      </c>
      <c r="F712" s="4" t="str">
        <f aca="false">IF($A712="","",_xlfn.XLOOKUP(LOWER(TRIM(Base_Bruta!F712)),DePara_Cidade!$A$2:$A$29,DePara_Cidade!$B$2:$B$29,"REVISAR"))</f>
        <v>São Paulo</v>
      </c>
      <c r="G712" s="4" t="str">
        <f aca="false">IF($A712="","",TRIM(Base_Bruta!G712))</f>
        <v>Inteira</v>
      </c>
      <c r="H712" s="4" t="n">
        <f aca="false">IF($A712="","",IF(ISNUMBER(Base_Bruta!H712),Base_Bruta!H712,IFERROR(_xlfn.NUMBERVALUE(TRIM(SUBSTITUTE(Base_Bruta!H712,"R$","")),",","."),0)))</f>
        <v>2</v>
      </c>
      <c r="I712" s="6" t="n">
        <f aca="false">IF($A712="","",IF(ISNUMBER(Base_Bruta!I712),Base_Bruta!I712,IFERROR(_xlfn.NUMBERVALUE(TRIM(SUBSTITUTE(Base_Bruta!I712,"R$","")),",","."),0)))</f>
        <v>900</v>
      </c>
      <c r="J712" s="6" t="n">
        <f aca="false">IF($A712="","",H712*I712)</f>
        <v>1800</v>
      </c>
      <c r="K712" s="4" t="str">
        <f aca="false">IF($A712="","",TRIM(Base_Bruta!J712))</f>
        <v>App</v>
      </c>
      <c r="L712" s="4" t="str">
        <f aca="false">IF($A712="","",TRIM(Base_Bruta!K712))</f>
        <v>C01183</v>
      </c>
      <c r="M712" s="4" t="str">
        <f aca="false">IF($A712="","",_xlfn.XLOOKUP(LOWER(TRIM(Base_Bruta!L712)),DePara_Cidade!$A$2:$A$29,DePara_Cidade!$B$2:$B$29,"REVISAR"))</f>
        <v>Campinas</v>
      </c>
      <c r="N712" s="4" t="str">
        <f aca="false">IF($A712="","",UPPER(TRIM(Base_Bruta!M712)))</f>
        <v>SP</v>
      </c>
      <c r="O712" s="4" t="str">
        <f aca="false">IF($A712="","",_xlfn.XLOOKUP(LOWER(TRIM(Base_Bruta!N712)),DePara_Pais!$A$2:$A$9,DePara_Pais!$B$2:$B$9,"REVISAR"))</f>
        <v>Brasil</v>
      </c>
      <c r="P712" s="4" t="str">
        <f aca="false">IF($A712="","",IF(O712&lt;&gt;"Brasil","Turista Internacional",IF(M712=F712,"Local","Turista Nacional")))</f>
        <v>Turista Nacional</v>
      </c>
      <c r="Q712" s="7" t="n">
        <f aca="false">IF($A712="","",DATE(YEAR(B712),MONTH(B712),1))</f>
        <v>46113</v>
      </c>
      <c r="R712" s="4" t="str">
        <f aca="false">IF($A712="","",IF(COUNTIF($A$2:$A712,$A712)&gt;1,"Sim","Não"))</f>
        <v>Não</v>
      </c>
      <c r="S712" s="4" t="str">
        <f aca="false">IF(A712="","Descartar - Linha vazia",IF(R712="Sim","Descartar - Duplicado",IF(OR(H712&lt;=0,I712&lt;=0),"Descartar - Qtd/Valor inválido","OK")))</f>
        <v>OK</v>
      </c>
      <c r="T712" s="4" t="str">
        <f aca="false">Base_Bruta!P712</f>
        <v>vendas_SP.xlsx</v>
      </c>
    </row>
    <row r="713" customFormat="false" ht="15" hidden="false" customHeight="false" outlineLevel="0" collapsed="false">
      <c r="A713" s="4" t="str">
        <f aca="false">IF(Base_Bruta!A713="","",Base_Bruta!A713)</f>
        <v>SP-000374</v>
      </c>
      <c r="B713" s="5" t="n">
        <f aca="false">IF($A713="","",IF(ISNUMBER(Base_Bruta!B713),Base_Bruta!B713,IF(MID(Base_Bruta!B713,5,1)="-",DATE(VALUE(LEFT(Base_Bruta!B713,4)),VALUE(MID(Base_Bruta!B713,6,2)),VALUE(RIGHT(Base_Bruta!B713,2))),DATE(VALUE(RIGHT(Base_Bruta!B713,4)),VALUE(MID(Base_Bruta!B713,4,2)),VALUE(LEFT(Base_Bruta!B713,2))))))</f>
        <v>46123</v>
      </c>
      <c r="C713" s="5" t="n">
        <f aca="false">IF($A713="","",IF(ISNUMBER(Base_Bruta!C713),Base_Bruta!C713,IF(MID(Base_Bruta!C713,5,1)="-",DATE(VALUE(LEFT(Base_Bruta!C713,4)),VALUE(MID(Base_Bruta!C713,6,2)),VALUE(RIGHT(Base_Bruta!C713,2))),DATE(VALUE(RIGHT(Base_Bruta!C713,4)),VALUE(MID(Base_Bruta!C713,4,2)),VALUE(LEFT(Base_Bruta!C713,2))))))</f>
        <v>46130</v>
      </c>
      <c r="D713" s="4" t="str">
        <f aca="false">IF($A713="","",TRIM(Base_Bruta!D713))</f>
        <v>Festival Sonora SP 2026</v>
      </c>
      <c r="E713" s="4" t="str">
        <f aca="false">IF($A713="","",_xlfn.XLOOKUP(LOWER(TRIM(Base_Bruta!E713)),DePara_Categoria!$A$2:$A$9,DePara_Categoria!$B$2:$B$9,"REVISAR"))</f>
        <v>Festival</v>
      </c>
      <c r="F713" s="4" t="str">
        <f aca="false">IF($A713="","",_xlfn.XLOOKUP(LOWER(TRIM(Base_Bruta!F713)),DePara_Cidade!$A$2:$A$29,DePara_Cidade!$B$2:$B$29,"REVISAR"))</f>
        <v>São Paulo</v>
      </c>
      <c r="G713" s="4" t="str">
        <f aca="false">IF($A713="","",TRIM(Base_Bruta!G713))</f>
        <v>Meia</v>
      </c>
      <c r="H713" s="4" t="n">
        <f aca="false">IF($A713="","",IF(ISNUMBER(Base_Bruta!H713),Base_Bruta!H713,IFERROR(_xlfn.NUMBERVALUE(TRIM(SUBSTITUTE(Base_Bruta!H713,"R$","")),",","."),0)))</f>
        <v>0</v>
      </c>
      <c r="I713" s="6" t="n">
        <f aca="false">IF($A713="","",IF(ISNUMBER(Base_Bruta!I713),Base_Bruta!I713,IFERROR(_xlfn.NUMBERVALUE(TRIM(SUBSTITUTE(Base_Bruta!I713,"R$","")),",","."),0)))</f>
        <v>400</v>
      </c>
      <c r="J713" s="6" t="n">
        <f aca="false">IF($A713="","",H713*I713)</f>
        <v>0</v>
      </c>
      <c r="K713" s="4" t="str">
        <f aca="false">IF($A713="","",TRIM(Base_Bruta!J713))</f>
        <v>App</v>
      </c>
      <c r="L713" s="4" t="str">
        <f aca="false">IF($A713="","",TRIM(Base_Bruta!K713))</f>
        <v>C00743</v>
      </c>
      <c r="M713" s="4" t="str">
        <f aca="false">IF($A713="","",_xlfn.XLOOKUP(LOWER(TRIM(Base_Bruta!L713)),DePara_Cidade!$A$2:$A$29,DePara_Cidade!$B$2:$B$29,"REVISAR"))</f>
        <v>São Paulo</v>
      </c>
      <c r="N713" s="4" t="str">
        <f aca="false">IF($A713="","",UPPER(TRIM(Base_Bruta!M713)))</f>
        <v>SP</v>
      </c>
      <c r="O713" s="4" t="str">
        <f aca="false">IF($A713="","",_xlfn.XLOOKUP(LOWER(TRIM(Base_Bruta!N713)),DePara_Pais!$A$2:$A$9,DePara_Pais!$B$2:$B$9,"REVISAR"))</f>
        <v>Brasil</v>
      </c>
      <c r="P713" s="4" t="str">
        <f aca="false">IF($A713="","",IF(O713&lt;&gt;"Brasil","Turista Internacional",IF(M713=F713,"Local","Turista Nacional")))</f>
        <v>Local</v>
      </c>
      <c r="Q713" s="7" t="n">
        <f aca="false">IF($A713="","",DATE(YEAR(B713),MONTH(B713),1))</f>
        <v>46113</v>
      </c>
      <c r="R713" s="4" t="str">
        <f aca="false">IF($A713="","",IF(COUNTIF($A$2:$A713,$A713)&gt;1,"Sim","Não"))</f>
        <v>Não</v>
      </c>
      <c r="S713" s="4" t="str">
        <f aca="false">IF(A713="","Descartar - Linha vazia",IF(R713="Sim","Descartar - Duplicado",IF(OR(H713&lt;=0,I713&lt;=0),"Descartar - Qtd/Valor inválido","OK")))</f>
        <v>Descartar - Qtd/Valor inválido</v>
      </c>
      <c r="T713" s="4" t="str">
        <f aca="false">Base_Bruta!P713</f>
        <v>vendas_SP.xlsx</v>
      </c>
    </row>
    <row r="714" customFormat="false" ht="15" hidden="false" customHeight="false" outlineLevel="0" collapsed="false">
      <c r="A714" s="4" t="str">
        <f aca="false">IF(Base_Bruta!A714="","",Base_Bruta!A714)</f>
        <v>SP-000423</v>
      </c>
      <c r="B714" s="5" t="n">
        <f aca="false">IF($A714="","",IF(ISNUMBER(Base_Bruta!B714),Base_Bruta!B714,IF(MID(Base_Bruta!B714,5,1)="-",DATE(VALUE(LEFT(Base_Bruta!B714,4)),VALUE(MID(Base_Bruta!B714,6,2)),VALUE(RIGHT(Base_Bruta!B714,2))),DATE(VALUE(RIGHT(Base_Bruta!B714,4)),VALUE(MID(Base_Bruta!B714,4,2)),VALUE(LEFT(Base_Bruta!B714,2))))))</f>
        <v>46123</v>
      </c>
      <c r="C714" s="5" t="n">
        <f aca="false">IF($A714="","",IF(ISNUMBER(Base_Bruta!C714),Base_Bruta!C714,IF(MID(Base_Bruta!C714,5,1)="-",DATE(VALUE(LEFT(Base_Bruta!C714,4)),VALUE(MID(Base_Bruta!C714,6,2)),VALUE(RIGHT(Base_Bruta!C714,2))),DATE(VALUE(RIGHT(Base_Bruta!C714,4)),VALUE(MID(Base_Bruta!C714,4,2)),VALUE(LEFT(Base_Bruta!C714,2))))))</f>
        <v>46130</v>
      </c>
      <c r="D714" s="4" t="str">
        <f aca="false">IF($A714="","",TRIM(Base_Bruta!D714))</f>
        <v>Festival Sonora SP 2026</v>
      </c>
      <c r="E714" s="4" t="str">
        <f aca="false">IF($A714="","",_xlfn.XLOOKUP(LOWER(TRIM(Base_Bruta!E714)),DePara_Categoria!$A$2:$A$9,DePara_Categoria!$B$2:$B$9,"REVISAR"))</f>
        <v>Festival</v>
      </c>
      <c r="F714" s="4" t="str">
        <f aca="false">IF($A714="","",_xlfn.XLOOKUP(LOWER(TRIM(Base_Bruta!F714)),DePara_Cidade!$A$2:$A$29,DePara_Cidade!$B$2:$B$29,"REVISAR"))</f>
        <v>São Paulo</v>
      </c>
      <c r="G714" s="4" t="str">
        <f aca="false">IF($A714="","",TRIM(Base_Bruta!G714))</f>
        <v>Inteira</v>
      </c>
      <c r="H714" s="4" t="n">
        <f aca="false">IF($A714="","",IF(ISNUMBER(Base_Bruta!H714),Base_Bruta!H714,IFERROR(_xlfn.NUMBERVALUE(TRIM(SUBSTITUTE(Base_Bruta!H714,"R$","")),",","."),0)))</f>
        <v>1</v>
      </c>
      <c r="I714" s="6" t="n">
        <f aca="false">IF($A714="","",IF(ISNUMBER(Base_Bruta!I714),Base_Bruta!I714,IFERROR(_xlfn.NUMBERVALUE(TRIM(SUBSTITUTE(Base_Bruta!I714,"R$","")),",","."),0)))</f>
        <v>1025</v>
      </c>
      <c r="J714" s="6" t="n">
        <f aca="false">IF($A714="","",H714*I714)</f>
        <v>1025</v>
      </c>
      <c r="K714" s="4" t="str">
        <f aca="false">IF($A714="","",TRIM(Base_Bruta!J714))</f>
        <v>Site</v>
      </c>
      <c r="L714" s="4" t="str">
        <f aca="false">IF($A714="","",TRIM(Base_Bruta!K714))</f>
        <v>C01197</v>
      </c>
      <c r="M714" s="4" t="str">
        <f aca="false">IF($A714="","",_xlfn.XLOOKUP(LOWER(TRIM(Base_Bruta!L714)),DePara_Cidade!$A$2:$A$29,DePara_Cidade!$B$2:$B$29,"REVISAR"))</f>
        <v>São Paulo</v>
      </c>
      <c r="N714" s="4" t="str">
        <f aca="false">IF($A714="","",UPPER(TRIM(Base_Bruta!M714)))</f>
        <v>SP</v>
      </c>
      <c r="O714" s="4" t="str">
        <f aca="false">IF($A714="","",_xlfn.XLOOKUP(LOWER(TRIM(Base_Bruta!N714)),DePara_Pais!$A$2:$A$9,DePara_Pais!$B$2:$B$9,"REVISAR"))</f>
        <v>Brasil</v>
      </c>
      <c r="P714" s="4" t="str">
        <f aca="false">IF($A714="","",IF(O714&lt;&gt;"Brasil","Turista Internacional",IF(M714=F714,"Local","Turista Nacional")))</f>
        <v>Local</v>
      </c>
      <c r="Q714" s="7" t="n">
        <f aca="false">IF($A714="","",DATE(YEAR(B714),MONTH(B714),1))</f>
        <v>46113</v>
      </c>
      <c r="R714" s="4" t="str">
        <f aca="false">IF($A714="","",IF(COUNTIF($A$2:$A714,$A714)&gt;1,"Sim","Não"))</f>
        <v>Não</v>
      </c>
      <c r="S714" s="4" t="str">
        <f aca="false">IF(A714="","Descartar - Linha vazia",IF(R714="Sim","Descartar - Duplicado",IF(OR(H714&lt;=0,I714&lt;=0),"Descartar - Qtd/Valor inválido","OK")))</f>
        <v>OK</v>
      </c>
      <c r="T714" s="4" t="str">
        <f aca="false">Base_Bruta!P714</f>
        <v>vendas_SP.xlsx</v>
      </c>
    </row>
    <row r="715" customFormat="false" ht="15" hidden="false" customHeight="false" outlineLevel="0" collapsed="false">
      <c r="A715" s="4" t="str">
        <f aca="false">IF(Base_Bruta!A715="","",Base_Bruta!A715)</f>
        <v>SP-000282</v>
      </c>
      <c r="B715" s="5" t="n">
        <f aca="false">IF($A715="","",IF(ISNUMBER(Base_Bruta!B715),Base_Bruta!B715,IF(MID(Base_Bruta!B715,5,1)="-",DATE(VALUE(LEFT(Base_Bruta!B715,4)),VALUE(MID(Base_Bruta!B715,6,2)),VALUE(RIGHT(Base_Bruta!B715,2))),DATE(VALUE(RIGHT(Base_Bruta!B715,4)),VALUE(MID(Base_Bruta!B715,4,2)),VALUE(LEFT(Base_Bruta!B715,2))))))</f>
        <v>46124</v>
      </c>
      <c r="C715" s="5" t="n">
        <f aca="false">IF($A715="","",IF(ISNUMBER(Base_Bruta!C715),Base_Bruta!C715,IF(MID(Base_Bruta!C715,5,1)="-",DATE(VALUE(LEFT(Base_Bruta!C715,4)),VALUE(MID(Base_Bruta!C715,6,2)),VALUE(RIGHT(Base_Bruta!C715,2))),DATE(VALUE(RIGHT(Base_Bruta!C715,4)),VALUE(MID(Base_Bruta!C715,4,2)),VALUE(LEFT(Base_Bruta!C715,2))))))</f>
        <v>46130</v>
      </c>
      <c r="D715" s="4" t="str">
        <f aca="false">IF($A715="","",TRIM(Base_Bruta!D715))</f>
        <v>Festival Sonora SP 2026</v>
      </c>
      <c r="E715" s="4" t="str">
        <f aca="false">IF($A715="","",_xlfn.XLOOKUP(LOWER(TRIM(Base_Bruta!E715)),DePara_Categoria!$A$2:$A$9,DePara_Categoria!$B$2:$B$9,"REVISAR"))</f>
        <v>Festival</v>
      </c>
      <c r="F715" s="4" t="str">
        <f aca="false">IF($A715="","",_xlfn.XLOOKUP(LOWER(TRIM(Base_Bruta!F715)),DePara_Cidade!$A$2:$A$29,DePara_Cidade!$B$2:$B$29,"REVISAR"))</f>
        <v>São Paulo</v>
      </c>
      <c r="G715" s="4" t="str">
        <f aca="false">IF($A715="","",TRIM(Base_Bruta!G715))</f>
        <v>Meia</v>
      </c>
      <c r="H715" s="4" t="n">
        <f aca="false">IF($A715="","",IF(ISNUMBER(Base_Bruta!H715),Base_Bruta!H715,IFERROR(_xlfn.NUMBERVALUE(TRIM(SUBSTITUTE(Base_Bruta!H715,"R$","")),",","."),0)))</f>
        <v>2</v>
      </c>
      <c r="I715" s="6" t="n">
        <f aca="false">IF($A715="","",IF(ISNUMBER(Base_Bruta!I715),Base_Bruta!I715,IFERROR(_xlfn.NUMBERVALUE(TRIM(SUBSTITUTE(Base_Bruta!I715,"R$","")),",","."),0)))</f>
        <v>550</v>
      </c>
      <c r="J715" s="6" t="n">
        <f aca="false">IF($A715="","",H715*I715)</f>
        <v>1100</v>
      </c>
      <c r="K715" s="4" t="str">
        <f aca="false">IF($A715="","",TRIM(Base_Bruta!J715))</f>
        <v>App</v>
      </c>
      <c r="L715" s="4" t="str">
        <f aca="false">IF($A715="","",TRIM(Base_Bruta!K715))</f>
        <v>C01712</v>
      </c>
      <c r="M715" s="4" t="str">
        <f aca="false">IF($A715="","",_xlfn.XLOOKUP(LOWER(TRIM(Base_Bruta!L715)),DePara_Cidade!$A$2:$A$29,DePara_Cidade!$B$2:$B$29,"REVISAR"))</f>
        <v>Santos</v>
      </c>
      <c r="N715" s="4" t="str">
        <f aca="false">IF($A715="","",UPPER(TRIM(Base_Bruta!M715)))</f>
        <v>SP</v>
      </c>
      <c r="O715" s="4" t="str">
        <f aca="false">IF($A715="","",_xlfn.XLOOKUP(LOWER(TRIM(Base_Bruta!N715)),DePara_Pais!$A$2:$A$9,DePara_Pais!$B$2:$B$9,"REVISAR"))</f>
        <v>Brasil</v>
      </c>
      <c r="P715" s="4" t="str">
        <f aca="false">IF($A715="","",IF(O715&lt;&gt;"Brasil","Turista Internacional",IF(M715=F715,"Local","Turista Nacional")))</f>
        <v>Turista Nacional</v>
      </c>
      <c r="Q715" s="7" t="n">
        <f aca="false">IF($A715="","",DATE(YEAR(B715),MONTH(B715),1))</f>
        <v>46113</v>
      </c>
      <c r="R715" s="4" t="str">
        <f aca="false">IF($A715="","",IF(COUNTIF($A$2:$A715,$A715)&gt;1,"Sim","Não"))</f>
        <v>Não</v>
      </c>
      <c r="S715" s="4" t="str">
        <f aca="false">IF(A715="","Descartar - Linha vazia",IF(R715="Sim","Descartar - Duplicado",IF(OR(H715&lt;=0,I715&lt;=0),"Descartar - Qtd/Valor inválido","OK")))</f>
        <v>OK</v>
      </c>
      <c r="T715" s="4" t="str">
        <f aca="false">Base_Bruta!P715</f>
        <v>vendas_SP.xlsx</v>
      </c>
    </row>
    <row r="716" customFormat="false" ht="15" hidden="false" customHeight="false" outlineLevel="0" collapsed="false">
      <c r="A716" s="4" t="str">
        <f aca="false">IF(Base_Bruta!A716="","",Base_Bruta!A716)</f>
        <v>SP-000284</v>
      </c>
      <c r="B716" s="5" t="n">
        <f aca="false">IF($A716="","",IF(ISNUMBER(Base_Bruta!B716),Base_Bruta!B716,IF(MID(Base_Bruta!B716,5,1)="-",DATE(VALUE(LEFT(Base_Bruta!B716,4)),VALUE(MID(Base_Bruta!B716,6,2)),VALUE(RIGHT(Base_Bruta!B716,2))),DATE(VALUE(RIGHT(Base_Bruta!B716,4)),VALUE(MID(Base_Bruta!B716,4,2)),VALUE(LEFT(Base_Bruta!B716,2))))))</f>
        <v>46124</v>
      </c>
      <c r="C716" s="5" t="n">
        <f aca="false">IF($A716="","",IF(ISNUMBER(Base_Bruta!C716),Base_Bruta!C716,IF(MID(Base_Bruta!C716,5,1)="-",DATE(VALUE(LEFT(Base_Bruta!C716,4)),VALUE(MID(Base_Bruta!C716,6,2)),VALUE(RIGHT(Base_Bruta!C716,2))),DATE(VALUE(RIGHT(Base_Bruta!C716,4)),VALUE(MID(Base_Bruta!C716,4,2)),VALUE(LEFT(Base_Bruta!C716,2))))))</f>
        <v>46130</v>
      </c>
      <c r="D716" s="4" t="str">
        <f aca="false">IF($A716="","",TRIM(Base_Bruta!D716))</f>
        <v>Festival Sonora SP 2026</v>
      </c>
      <c r="E716" s="4" t="str">
        <f aca="false">IF($A716="","",_xlfn.XLOOKUP(LOWER(TRIM(Base_Bruta!E716)),DePara_Categoria!$A$2:$A$9,DePara_Categoria!$B$2:$B$9,"REVISAR"))</f>
        <v>Festival</v>
      </c>
      <c r="F716" s="4" t="str">
        <f aca="false">IF($A716="","",_xlfn.XLOOKUP(LOWER(TRIM(Base_Bruta!F716)),DePara_Cidade!$A$2:$A$29,DePara_Cidade!$B$2:$B$29,"REVISAR"))</f>
        <v>São Paulo</v>
      </c>
      <c r="G716" s="4" t="str">
        <f aca="false">IF($A716="","",TRIM(Base_Bruta!G716))</f>
        <v>Meia</v>
      </c>
      <c r="H716" s="4" t="n">
        <f aca="false">IF($A716="","",IF(ISNUMBER(Base_Bruta!H716),Base_Bruta!H716,IFERROR(_xlfn.NUMBERVALUE(TRIM(SUBSTITUTE(Base_Bruta!H716,"R$","")),",","."),0)))</f>
        <v>2</v>
      </c>
      <c r="I716" s="6" t="n">
        <f aca="false">IF($A716="","",IF(ISNUMBER(Base_Bruta!I716),Base_Bruta!I716,IFERROR(_xlfn.NUMBERVALUE(TRIM(SUBSTITUTE(Base_Bruta!I716,"R$","")),",","."),0)))</f>
        <v>420</v>
      </c>
      <c r="J716" s="6" t="n">
        <f aca="false">IF($A716="","",H716*I716)</f>
        <v>840</v>
      </c>
      <c r="K716" s="4" t="str">
        <f aca="false">IF($A716="","",TRIM(Base_Bruta!J716))</f>
        <v>Bilheteria</v>
      </c>
      <c r="L716" s="4" t="str">
        <f aca="false">IF($A716="","",TRIM(Base_Bruta!K716))</f>
        <v>C01302</v>
      </c>
      <c r="M716" s="4" t="str">
        <f aca="false">IF($A716="","",_xlfn.XLOOKUP(LOWER(TRIM(Base_Bruta!L716)),DePara_Cidade!$A$2:$A$29,DePara_Cidade!$B$2:$B$29,"REVISAR"))</f>
        <v>Porto Alegre</v>
      </c>
      <c r="N716" s="4" t="str">
        <f aca="false">IF($A716="","",UPPER(TRIM(Base_Bruta!M716)))</f>
        <v>RS</v>
      </c>
      <c r="O716" s="4" t="str">
        <f aca="false">IF($A716="","",_xlfn.XLOOKUP(LOWER(TRIM(Base_Bruta!N716)),DePara_Pais!$A$2:$A$9,DePara_Pais!$B$2:$B$9,"REVISAR"))</f>
        <v>Brasil</v>
      </c>
      <c r="P716" s="4" t="str">
        <f aca="false">IF($A716="","",IF(O716&lt;&gt;"Brasil","Turista Internacional",IF(M716=F716,"Local","Turista Nacional")))</f>
        <v>Turista Nacional</v>
      </c>
      <c r="Q716" s="7" t="n">
        <f aca="false">IF($A716="","",DATE(YEAR(B716),MONTH(B716),1))</f>
        <v>46113</v>
      </c>
      <c r="R716" s="4" t="str">
        <f aca="false">IF($A716="","",IF(COUNTIF($A$2:$A716,$A716)&gt;1,"Sim","Não"))</f>
        <v>Não</v>
      </c>
      <c r="S716" s="4" t="str">
        <f aca="false">IF(A716="","Descartar - Linha vazia",IF(R716="Sim","Descartar - Duplicado",IF(OR(H716&lt;=0,I716&lt;=0),"Descartar - Qtd/Valor inválido","OK")))</f>
        <v>OK</v>
      </c>
      <c r="T716" s="4" t="str">
        <f aca="false">Base_Bruta!P716</f>
        <v>vendas_SP.xlsx</v>
      </c>
    </row>
    <row r="717" customFormat="false" ht="15" hidden="false" customHeight="false" outlineLevel="0" collapsed="false">
      <c r="A717" s="4" t="str">
        <f aca="false">IF(Base_Bruta!A717="","",Base_Bruta!A717)</f>
        <v>SP-000294</v>
      </c>
      <c r="B717" s="5" t="n">
        <f aca="false">IF($A717="","",IF(ISNUMBER(Base_Bruta!B717),Base_Bruta!B717,IF(MID(Base_Bruta!B717,5,1)="-",DATE(VALUE(LEFT(Base_Bruta!B717,4)),VALUE(MID(Base_Bruta!B717,6,2)),VALUE(RIGHT(Base_Bruta!B717,2))),DATE(VALUE(RIGHT(Base_Bruta!B717,4)),VALUE(MID(Base_Bruta!B717,4,2)),VALUE(LEFT(Base_Bruta!B717,2))))))</f>
        <v>46124</v>
      </c>
      <c r="C717" s="5" t="n">
        <f aca="false">IF($A717="","",IF(ISNUMBER(Base_Bruta!C717),Base_Bruta!C717,IF(MID(Base_Bruta!C717,5,1)="-",DATE(VALUE(LEFT(Base_Bruta!C717,4)),VALUE(MID(Base_Bruta!C717,6,2)),VALUE(RIGHT(Base_Bruta!C717,2))),DATE(VALUE(RIGHT(Base_Bruta!C717,4)),VALUE(MID(Base_Bruta!C717,4,2)),VALUE(LEFT(Base_Bruta!C717,2))))))</f>
        <v>46130</v>
      </c>
      <c r="D717" s="4" t="str">
        <f aca="false">IF($A717="","",TRIM(Base_Bruta!D717))</f>
        <v>Festival Sonora SP 2026</v>
      </c>
      <c r="E717" s="4" t="str">
        <f aca="false">IF($A717="","",_xlfn.XLOOKUP(LOWER(TRIM(Base_Bruta!E717)),DePara_Categoria!$A$2:$A$9,DePara_Categoria!$B$2:$B$9,"REVISAR"))</f>
        <v>Festival</v>
      </c>
      <c r="F717" s="4" t="str">
        <f aca="false">IF($A717="","",_xlfn.XLOOKUP(LOWER(TRIM(Base_Bruta!F717)),DePara_Cidade!$A$2:$A$29,DePara_Cidade!$B$2:$B$29,"REVISAR"))</f>
        <v>São Paulo</v>
      </c>
      <c r="G717" s="4" t="str">
        <f aca="false">IF($A717="","",TRIM(Base_Bruta!G717))</f>
        <v>Meia</v>
      </c>
      <c r="H717" s="4" t="n">
        <f aca="false">IF($A717="","",IF(ISNUMBER(Base_Bruta!H717),Base_Bruta!H717,IFERROR(_xlfn.NUMBERVALUE(TRIM(SUBSTITUTE(Base_Bruta!H717,"R$","")),",","."),0)))</f>
        <v>2</v>
      </c>
      <c r="I717" s="6" t="n">
        <f aca="false">IF($A717="","",IF(ISNUMBER(Base_Bruta!I717),Base_Bruta!I717,IFERROR(_xlfn.NUMBERVALUE(TRIM(SUBSTITUTE(Base_Bruta!I717,"R$","")),",","."),0)))</f>
        <v>357.5</v>
      </c>
      <c r="J717" s="6" t="n">
        <f aca="false">IF($A717="","",H717*I717)</f>
        <v>715</v>
      </c>
      <c r="K717" s="4" t="str">
        <f aca="false">IF($A717="","",TRIM(Base_Bruta!J717))</f>
        <v>App</v>
      </c>
      <c r="L717" s="4" t="str">
        <f aca="false">IF($A717="","",TRIM(Base_Bruta!K717))</f>
        <v>C00250</v>
      </c>
      <c r="M717" s="4" t="str">
        <f aca="false">IF($A717="","",_xlfn.XLOOKUP(LOWER(TRIM(Base_Bruta!L717)),DePara_Cidade!$A$2:$A$29,DePara_Cidade!$B$2:$B$29,"REVISAR"))</f>
        <v>Santos</v>
      </c>
      <c r="N717" s="4" t="str">
        <f aca="false">IF($A717="","",UPPER(TRIM(Base_Bruta!M717)))</f>
        <v>SP</v>
      </c>
      <c r="O717" s="4" t="str">
        <f aca="false">IF($A717="","",_xlfn.XLOOKUP(LOWER(TRIM(Base_Bruta!N717)),DePara_Pais!$A$2:$A$9,DePara_Pais!$B$2:$B$9,"REVISAR"))</f>
        <v>Brasil</v>
      </c>
      <c r="P717" s="4" t="str">
        <f aca="false">IF($A717="","",IF(O717&lt;&gt;"Brasil","Turista Internacional",IF(M717=F717,"Local","Turista Nacional")))</f>
        <v>Turista Nacional</v>
      </c>
      <c r="Q717" s="7" t="n">
        <f aca="false">IF($A717="","",DATE(YEAR(B717),MONTH(B717),1))</f>
        <v>46113</v>
      </c>
      <c r="R717" s="4" t="str">
        <f aca="false">IF($A717="","",IF(COUNTIF($A$2:$A717,$A717)&gt;1,"Sim","Não"))</f>
        <v>Não</v>
      </c>
      <c r="S717" s="4" t="str">
        <f aca="false">IF(A717="","Descartar - Linha vazia",IF(R717="Sim","Descartar - Duplicado",IF(OR(H717&lt;=0,I717&lt;=0),"Descartar - Qtd/Valor inválido","OK")))</f>
        <v>OK</v>
      </c>
      <c r="T717" s="4" t="str">
        <f aca="false">Base_Bruta!P717</f>
        <v>vendas_SP.xlsx</v>
      </c>
    </row>
    <row r="718" customFormat="false" ht="15" hidden="false" customHeight="false" outlineLevel="0" collapsed="false">
      <c r="A718" s="4" t="str">
        <f aca="false">IF(Base_Bruta!A718="","",Base_Bruta!A718)</f>
        <v>SP-000297</v>
      </c>
      <c r="B718" s="5" t="n">
        <f aca="false">IF($A718="","",IF(ISNUMBER(Base_Bruta!B718),Base_Bruta!B718,IF(MID(Base_Bruta!B718,5,1)="-",DATE(VALUE(LEFT(Base_Bruta!B718,4)),VALUE(MID(Base_Bruta!B718,6,2)),VALUE(RIGHT(Base_Bruta!B718,2))),DATE(VALUE(RIGHT(Base_Bruta!B718,4)),VALUE(MID(Base_Bruta!B718,4,2)),VALUE(LEFT(Base_Bruta!B718,2))))))</f>
        <v>46124</v>
      </c>
      <c r="C718" s="5" t="n">
        <f aca="false">IF($A718="","",IF(ISNUMBER(Base_Bruta!C718),Base_Bruta!C718,IF(MID(Base_Bruta!C718,5,1)="-",DATE(VALUE(LEFT(Base_Bruta!C718,4)),VALUE(MID(Base_Bruta!C718,6,2)),VALUE(RIGHT(Base_Bruta!C718,2))),DATE(VALUE(RIGHT(Base_Bruta!C718,4)),VALUE(MID(Base_Bruta!C718,4,2)),VALUE(LEFT(Base_Bruta!C718,2))))))</f>
        <v>46130</v>
      </c>
      <c r="D718" s="4" t="str">
        <f aca="false">IF($A718="","",TRIM(Base_Bruta!D718))</f>
        <v>Festival Sonora SP 2026</v>
      </c>
      <c r="E718" s="4" t="str">
        <f aca="false">IF($A718="","",_xlfn.XLOOKUP(LOWER(TRIM(Base_Bruta!E718)),DePara_Categoria!$A$2:$A$9,DePara_Categoria!$B$2:$B$9,"REVISAR"))</f>
        <v>Festival</v>
      </c>
      <c r="F718" s="4" t="str">
        <f aca="false">IF($A718="","",_xlfn.XLOOKUP(LOWER(TRIM(Base_Bruta!F718)),DePara_Cidade!$A$2:$A$29,DePara_Cidade!$B$2:$B$29,"REVISAR"))</f>
        <v>São Paulo</v>
      </c>
      <c r="G718" s="4" t="str">
        <f aca="false">IF($A718="","",TRIM(Base_Bruta!G718))</f>
        <v>Inteira</v>
      </c>
      <c r="H718" s="4" t="n">
        <f aca="false">IF($A718="","",IF(ISNUMBER(Base_Bruta!H718),Base_Bruta!H718,IFERROR(_xlfn.NUMBERVALUE(TRIM(SUBSTITUTE(Base_Bruta!H718,"R$","")),",","."),0)))</f>
        <v>2</v>
      </c>
      <c r="I718" s="6" t="n">
        <f aca="false">IF($A718="","",IF(ISNUMBER(Base_Bruta!I718),Base_Bruta!I718,IFERROR(_xlfn.NUMBERVALUE(TRIM(SUBSTITUTE(Base_Bruta!I718,"R$","")),",","."),0)))</f>
        <v>920</v>
      </c>
      <c r="J718" s="6" t="n">
        <f aca="false">IF($A718="","",H718*I718)</f>
        <v>1840</v>
      </c>
      <c r="K718" s="4" t="str">
        <f aca="false">IF($A718="","",TRIM(Base_Bruta!J718))</f>
        <v>App</v>
      </c>
      <c r="L718" s="4" t="str">
        <f aca="false">IF($A718="","",TRIM(Base_Bruta!K718))</f>
        <v>C01459</v>
      </c>
      <c r="M718" s="4" t="str">
        <f aca="false">IF($A718="","",_xlfn.XLOOKUP(LOWER(TRIM(Base_Bruta!L718)),DePara_Cidade!$A$2:$A$29,DePara_Cidade!$B$2:$B$29,"REVISAR"))</f>
        <v>Contagem</v>
      </c>
      <c r="N718" s="4" t="str">
        <f aca="false">IF($A718="","",UPPER(TRIM(Base_Bruta!M718)))</f>
        <v>MG</v>
      </c>
      <c r="O718" s="4" t="str">
        <f aca="false">IF($A718="","",_xlfn.XLOOKUP(LOWER(TRIM(Base_Bruta!N718)),DePara_Pais!$A$2:$A$9,DePara_Pais!$B$2:$B$9,"REVISAR"))</f>
        <v>Brasil</v>
      </c>
      <c r="P718" s="4" t="str">
        <f aca="false">IF($A718="","",IF(O718&lt;&gt;"Brasil","Turista Internacional",IF(M718=F718,"Local","Turista Nacional")))</f>
        <v>Turista Nacional</v>
      </c>
      <c r="Q718" s="7" t="n">
        <f aca="false">IF($A718="","",DATE(YEAR(B718),MONTH(B718),1))</f>
        <v>46113</v>
      </c>
      <c r="R718" s="4" t="str">
        <f aca="false">IF($A718="","",IF(COUNTIF($A$2:$A718,$A718)&gt;1,"Sim","Não"))</f>
        <v>Não</v>
      </c>
      <c r="S718" s="4" t="str">
        <f aca="false">IF(A718="","Descartar - Linha vazia",IF(R718="Sim","Descartar - Duplicado",IF(OR(H718&lt;=0,I718&lt;=0),"Descartar - Qtd/Valor inválido","OK")))</f>
        <v>OK</v>
      </c>
      <c r="T718" s="4" t="str">
        <f aca="false">Base_Bruta!P718</f>
        <v>vendas_SP.xlsx</v>
      </c>
    </row>
    <row r="719" customFormat="false" ht="15" hidden="false" customHeight="false" outlineLevel="0" collapsed="false">
      <c r="A719" s="4" t="str">
        <f aca="false">IF(Base_Bruta!A719="","",Base_Bruta!A719)</f>
        <v>SP-000365</v>
      </c>
      <c r="B719" s="5" t="n">
        <f aca="false">IF($A719="","",IF(ISNUMBER(Base_Bruta!B719),Base_Bruta!B719,IF(MID(Base_Bruta!B719,5,1)="-",DATE(VALUE(LEFT(Base_Bruta!B719,4)),VALUE(MID(Base_Bruta!B719,6,2)),VALUE(RIGHT(Base_Bruta!B719,2))),DATE(VALUE(RIGHT(Base_Bruta!B719,4)),VALUE(MID(Base_Bruta!B719,4,2)),VALUE(LEFT(Base_Bruta!B719,2))))))</f>
        <v>46124</v>
      </c>
      <c r="C719" s="5" t="n">
        <f aca="false">IF($A719="","",IF(ISNUMBER(Base_Bruta!C719),Base_Bruta!C719,IF(MID(Base_Bruta!C719,5,1)="-",DATE(VALUE(LEFT(Base_Bruta!C719,4)),VALUE(MID(Base_Bruta!C719,6,2)),VALUE(RIGHT(Base_Bruta!C719,2))),DATE(VALUE(RIGHT(Base_Bruta!C719,4)),VALUE(MID(Base_Bruta!C719,4,2)),VALUE(LEFT(Base_Bruta!C719,2))))))</f>
        <v>46130</v>
      </c>
      <c r="D719" s="4" t="str">
        <f aca="false">IF($A719="","",TRIM(Base_Bruta!D719))</f>
        <v>Festival Sonora SP 2026</v>
      </c>
      <c r="E719" s="4" t="str">
        <f aca="false">IF($A719="","",_xlfn.XLOOKUP(LOWER(TRIM(Base_Bruta!E719)),DePara_Categoria!$A$2:$A$9,DePara_Categoria!$B$2:$B$9,"REVISAR"))</f>
        <v>Festival</v>
      </c>
      <c r="F719" s="4" t="str">
        <f aca="false">IF($A719="","",_xlfn.XLOOKUP(LOWER(TRIM(Base_Bruta!F719)),DePara_Cidade!$A$2:$A$29,DePara_Cidade!$B$2:$B$29,"REVISAR"))</f>
        <v>São Paulo</v>
      </c>
      <c r="G719" s="4" t="str">
        <f aca="false">IF($A719="","",TRIM(Base_Bruta!G719))</f>
        <v>VIP</v>
      </c>
      <c r="H719" s="4" t="n">
        <f aca="false">IF($A719="","",IF(ISNUMBER(Base_Bruta!H719),Base_Bruta!H719,IFERROR(_xlfn.NUMBERVALUE(TRIM(SUBSTITUTE(Base_Bruta!H719,"R$","")),",","."),0)))</f>
        <v>1</v>
      </c>
      <c r="I719" s="6" t="n">
        <f aca="false">IF($A719="","",IF(ISNUMBER(Base_Bruta!I719),Base_Bruta!I719,IFERROR(_xlfn.NUMBERVALUE(TRIM(SUBSTITUTE(Base_Bruta!I719,"R$","")),",","."),0)))</f>
        <v>2060</v>
      </c>
      <c r="J719" s="6" t="n">
        <f aca="false">IF($A719="","",H719*I719)</f>
        <v>2060</v>
      </c>
      <c r="K719" s="4" t="str">
        <f aca="false">IF($A719="","",TRIM(Base_Bruta!J719))</f>
        <v>Bilheteria</v>
      </c>
      <c r="L719" s="4" t="str">
        <f aca="false">IF($A719="","",TRIM(Base_Bruta!K719))</f>
        <v>C01722</v>
      </c>
      <c r="M719" s="4" t="str">
        <f aca="false">IF($A719="","",_xlfn.XLOOKUP(LOWER(TRIM(Base_Bruta!L719)),DePara_Cidade!$A$2:$A$29,DePara_Cidade!$B$2:$B$29,"REVISAR"))</f>
        <v>São Paulo</v>
      </c>
      <c r="N719" s="4" t="str">
        <f aca="false">IF($A719="","",UPPER(TRIM(Base_Bruta!M719)))</f>
        <v>SP</v>
      </c>
      <c r="O719" s="4" t="str">
        <f aca="false">IF($A719="","",_xlfn.XLOOKUP(LOWER(TRIM(Base_Bruta!N719)),DePara_Pais!$A$2:$A$9,DePara_Pais!$B$2:$B$9,"REVISAR"))</f>
        <v>Brasil</v>
      </c>
      <c r="P719" s="4" t="str">
        <f aca="false">IF($A719="","",IF(O719&lt;&gt;"Brasil","Turista Internacional",IF(M719=F719,"Local","Turista Nacional")))</f>
        <v>Local</v>
      </c>
      <c r="Q719" s="7" t="n">
        <f aca="false">IF($A719="","",DATE(YEAR(B719),MONTH(B719),1))</f>
        <v>46113</v>
      </c>
      <c r="R719" s="4" t="str">
        <f aca="false">IF($A719="","",IF(COUNTIF($A$2:$A719,$A719)&gt;1,"Sim","Não"))</f>
        <v>Não</v>
      </c>
      <c r="S719" s="4" t="str">
        <f aca="false">IF(A719="","Descartar - Linha vazia",IF(R719="Sim","Descartar - Duplicado",IF(OR(H719&lt;=0,I719&lt;=0),"Descartar - Qtd/Valor inválido","OK")))</f>
        <v>OK</v>
      </c>
      <c r="T719" s="4" t="str">
        <f aca="false">Base_Bruta!P719</f>
        <v>vendas_SP.xlsx</v>
      </c>
    </row>
    <row r="720" customFormat="false" ht="15" hidden="false" customHeight="false" outlineLevel="0" collapsed="false">
      <c r="A720" s="4" t="str">
        <f aca="false">IF(Base_Bruta!A720="","",Base_Bruta!A720)</f>
        <v>SP-000440</v>
      </c>
      <c r="B720" s="5" t="n">
        <f aca="false">IF($A720="","",IF(ISNUMBER(Base_Bruta!B720),Base_Bruta!B720,IF(MID(Base_Bruta!B720,5,1)="-",DATE(VALUE(LEFT(Base_Bruta!B720,4)),VALUE(MID(Base_Bruta!B720,6,2)),VALUE(RIGHT(Base_Bruta!B720,2))),DATE(VALUE(RIGHT(Base_Bruta!B720,4)),VALUE(MID(Base_Bruta!B720,4,2)),VALUE(LEFT(Base_Bruta!B720,2))))))</f>
        <v>46124</v>
      </c>
      <c r="C720" s="5" t="n">
        <f aca="false">IF($A720="","",IF(ISNUMBER(Base_Bruta!C720),Base_Bruta!C720,IF(MID(Base_Bruta!C720,5,1)="-",DATE(VALUE(LEFT(Base_Bruta!C720,4)),VALUE(MID(Base_Bruta!C720,6,2)),VALUE(RIGHT(Base_Bruta!C720,2))),DATE(VALUE(RIGHT(Base_Bruta!C720,4)),VALUE(MID(Base_Bruta!C720,4,2)),VALUE(LEFT(Base_Bruta!C720,2))))))</f>
        <v>46130</v>
      </c>
      <c r="D720" s="4" t="str">
        <f aca="false">IF($A720="","",TRIM(Base_Bruta!D720))</f>
        <v>Festival Sonora SP 2026</v>
      </c>
      <c r="E720" s="4" t="str">
        <f aca="false">IF($A720="","",_xlfn.XLOOKUP(LOWER(TRIM(Base_Bruta!E720)),DePara_Categoria!$A$2:$A$9,DePara_Categoria!$B$2:$B$9,"REVISAR"))</f>
        <v>Festival</v>
      </c>
      <c r="F720" s="4" t="str">
        <f aca="false">IF($A720="","",_xlfn.XLOOKUP(LOWER(TRIM(Base_Bruta!F720)),DePara_Cidade!$A$2:$A$29,DePara_Cidade!$B$2:$B$29,"REVISAR"))</f>
        <v>São Paulo</v>
      </c>
      <c r="G720" s="4" t="str">
        <f aca="false">IF($A720="","",TRIM(Base_Bruta!G720))</f>
        <v>Meia</v>
      </c>
      <c r="H720" s="4" t="n">
        <f aca="false">IF($A720="","",IF(ISNUMBER(Base_Bruta!H720),Base_Bruta!H720,IFERROR(_xlfn.NUMBERVALUE(TRIM(SUBSTITUTE(Base_Bruta!H720,"R$","")),",","."),0)))</f>
        <v>2</v>
      </c>
      <c r="I720" s="6" t="n">
        <f aca="false">IF($A720="","",IF(ISNUMBER(Base_Bruta!I720),Base_Bruta!I720,IFERROR(_xlfn.NUMBERVALUE(TRIM(SUBSTITUTE(Base_Bruta!I720,"R$","")),",","."),0)))</f>
        <v>537.5</v>
      </c>
      <c r="J720" s="6" t="n">
        <f aca="false">IF($A720="","",H720*I720)</f>
        <v>1075</v>
      </c>
      <c r="K720" s="4" t="str">
        <f aca="false">IF($A720="","",TRIM(Base_Bruta!J720))</f>
        <v>App</v>
      </c>
      <c r="L720" s="4" t="str">
        <f aca="false">IF($A720="","",TRIM(Base_Bruta!K720))</f>
        <v>C00387</v>
      </c>
      <c r="M720" s="4" t="str">
        <f aca="false">IF($A720="","",_xlfn.XLOOKUP(LOWER(TRIM(Base_Bruta!L720)),DePara_Cidade!$A$2:$A$29,DePara_Cidade!$B$2:$B$29,"REVISAR"))</f>
        <v>São Paulo</v>
      </c>
      <c r="N720" s="4" t="str">
        <f aca="false">IF($A720="","",UPPER(TRIM(Base_Bruta!M720)))</f>
        <v>SP</v>
      </c>
      <c r="O720" s="4" t="str">
        <f aca="false">IF($A720="","",_xlfn.XLOOKUP(LOWER(TRIM(Base_Bruta!N720)),DePara_Pais!$A$2:$A$9,DePara_Pais!$B$2:$B$9,"REVISAR"))</f>
        <v>Brasil</v>
      </c>
      <c r="P720" s="4" t="str">
        <f aca="false">IF($A720="","",IF(O720&lt;&gt;"Brasil","Turista Internacional",IF(M720=F720,"Local","Turista Nacional")))</f>
        <v>Local</v>
      </c>
      <c r="Q720" s="7" t="n">
        <f aca="false">IF($A720="","",DATE(YEAR(B720),MONTH(B720),1))</f>
        <v>46113</v>
      </c>
      <c r="R720" s="4" t="str">
        <f aca="false">IF($A720="","",IF(COUNTIF($A$2:$A720,$A720)&gt;1,"Sim","Não"))</f>
        <v>Não</v>
      </c>
      <c r="S720" s="4" t="str">
        <f aca="false">IF(A720="","Descartar - Linha vazia",IF(R720="Sim","Descartar - Duplicado",IF(OR(H720&lt;=0,I720&lt;=0),"Descartar - Qtd/Valor inválido","OK")))</f>
        <v>OK</v>
      </c>
      <c r="T720" s="4" t="str">
        <f aca="false">Base_Bruta!P720</f>
        <v>vendas_SP.xlsx</v>
      </c>
    </row>
    <row r="721" customFormat="false" ht="15" hidden="false" customHeight="false" outlineLevel="0" collapsed="false">
      <c r="A721" s="4" t="str">
        <f aca="false">IF(Base_Bruta!A721="","",Base_Bruta!A721)</f>
        <v>SP-000612</v>
      </c>
      <c r="B721" s="5" t="n">
        <f aca="false">IF($A721="","",IF(ISNUMBER(Base_Bruta!B721),Base_Bruta!B721,IF(MID(Base_Bruta!B721,5,1)="-",DATE(VALUE(LEFT(Base_Bruta!B721,4)),VALUE(MID(Base_Bruta!B721,6,2)),VALUE(RIGHT(Base_Bruta!B721,2))),DATE(VALUE(RIGHT(Base_Bruta!B721,4)),VALUE(MID(Base_Bruta!B721,4,2)),VALUE(LEFT(Base_Bruta!B721,2))))))</f>
        <v>46124</v>
      </c>
      <c r="C721" s="5" t="n">
        <f aca="false">IF($A721="","",IF(ISNUMBER(Base_Bruta!C721),Base_Bruta!C721,IF(MID(Base_Bruta!C721,5,1)="-",DATE(VALUE(LEFT(Base_Bruta!C721,4)),VALUE(MID(Base_Bruta!C721,6,2)),VALUE(RIGHT(Base_Bruta!C721,2))),DATE(VALUE(RIGHT(Base_Bruta!C721,4)),VALUE(MID(Base_Bruta!C721,4,2)),VALUE(LEFT(Base_Bruta!C721,2))))))</f>
        <v>46126</v>
      </c>
      <c r="D721" s="4" t="str">
        <f aca="false">IF($A721="","",TRIM(Base_Bruta!D721))</f>
        <v>Cinema Paulista - Sessões</v>
      </c>
      <c r="E721" s="4" t="str">
        <f aca="false">IF($A721="","",_xlfn.XLOOKUP(LOWER(TRIM(Base_Bruta!E721)),DePara_Categoria!$A$2:$A$9,DePara_Categoria!$B$2:$B$9,"REVISAR"))</f>
        <v>Cinema</v>
      </c>
      <c r="F721" s="4" t="str">
        <f aca="false">IF($A721="","",_xlfn.XLOOKUP(LOWER(TRIM(Base_Bruta!F721)),DePara_Cidade!$A$2:$A$29,DePara_Cidade!$B$2:$B$29,"REVISAR"))</f>
        <v>São Paulo</v>
      </c>
      <c r="G721" s="4" t="str">
        <f aca="false">IF($A721="","",TRIM(Base_Bruta!G721))</f>
        <v>Inteira</v>
      </c>
      <c r="H721" s="4" t="n">
        <f aca="false">IF($A721="","",IF(ISNUMBER(Base_Bruta!H721),Base_Bruta!H721,IFERROR(_xlfn.NUMBERVALUE(TRIM(SUBSTITUTE(Base_Bruta!H721,"R$","")),",","."),0)))</f>
        <v>1</v>
      </c>
      <c r="I721" s="6" t="n">
        <f aca="false">IF($A721="","",IF(ISNUMBER(Base_Bruta!I721),Base_Bruta!I721,IFERROR(_xlfn.NUMBERVALUE(TRIM(SUBSTITUTE(Base_Bruta!I721,"R$","")),",","."),0)))</f>
        <v>30</v>
      </c>
      <c r="J721" s="6" t="n">
        <f aca="false">IF($A721="","",H721*I721)</f>
        <v>30</v>
      </c>
      <c r="K721" s="4" t="str">
        <f aca="false">IF($A721="","",TRIM(Base_Bruta!J721))</f>
        <v>Bilheteria</v>
      </c>
      <c r="L721" s="4" t="str">
        <f aca="false">IF($A721="","",TRIM(Base_Bruta!K721))</f>
        <v>C00883</v>
      </c>
      <c r="M721" s="4" t="str">
        <f aca="false">IF($A721="","",_xlfn.XLOOKUP(LOWER(TRIM(Base_Bruta!L721)),DePara_Cidade!$A$2:$A$29,DePara_Cidade!$B$2:$B$29,"REVISAR"))</f>
        <v>São Paulo</v>
      </c>
      <c r="N721" s="4" t="str">
        <f aca="false">IF($A721="","",UPPER(TRIM(Base_Bruta!M721)))</f>
        <v>SP</v>
      </c>
      <c r="O721" s="4" t="str">
        <f aca="false">IF($A721="","",_xlfn.XLOOKUP(LOWER(TRIM(Base_Bruta!N721)),DePara_Pais!$A$2:$A$9,DePara_Pais!$B$2:$B$9,"REVISAR"))</f>
        <v>Brasil</v>
      </c>
      <c r="P721" s="4" t="str">
        <f aca="false">IF($A721="","",IF(O721&lt;&gt;"Brasil","Turista Internacional",IF(M721=F721,"Local","Turista Nacional")))</f>
        <v>Local</v>
      </c>
      <c r="Q721" s="7" t="n">
        <f aca="false">IF($A721="","",DATE(YEAR(B721),MONTH(B721),1))</f>
        <v>46113</v>
      </c>
      <c r="R721" s="4" t="str">
        <f aca="false">IF($A721="","",IF(COUNTIF($A$2:$A721,$A721)&gt;1,"Sim","Não"))</f>
        <v>Não</v>
      </c>
      <c r="S721" s="4" t="str">
        <f aca="false">IF(A721="","Descartar - Linha vazia",IF(R721="Sim","Descartar - Duplicado",IF(OR(H721&lt;=0,I721&lt;=0),"Descartar - Qtd/Valor inválido","OK")))</f>
        <v>OK</v>
      </c>
      <c r="T721" s="4" t="str">
        <f aca="false">Base_Bruta!P721</f>
        <v>vendas_SP.xlsx</v>
      </c>
    </row>
    <row r="722" customFormat="false" ht="15" hidden="false" customHeight="false" outlineLevel="0" collapsed="false">
      <c r="A722" s="4" t="str">
        <f aca="false">IF(Base_Bruta!A722="","",Base_Bruta!A722)</f>
        <v>SP-000626</v>
      </c>
      <c r="B722" s="5" t="n">
        <f aca="false">IF($A722="","",IF(ISNUMBER(Base_Bruta!B722),Base_Bruta!B722,IF(MID(Base_Bruta!B722,5,1)="-",DATE(VALUE(LEFT(Base_Bruta!B722,4)),VALUE(MID(Base_Bruta!B722,6,2)),VALUE(RIGHT(Base_Bruta!B722,2))),DATE(VALUE(RIGHT(Base_Bruta!B722,4)),VALUE(MID(Base_Bruta!B722,4,2)),VALUE(LEFT(Base_Bruta!B722,2))))))</f>
        <v>46124</v>
      </c>
      <c r="C722" s="5" t="n">
        <f aca="false">IF($A722="","",IF(ISNUMBER(Base_Bruta!C722),Base_Bruta!C722,IF(MID(Base_Bruta!C722,5,1)="-",DATE(VALUE(LEFT(Base_Bruta!C722,4)),VALUE(MID(Base_Bruta!C722,6,2)),VALUE(RIGHT(Base_Bruta!C722,2))),DATE(VALUE(RIGHT(Base_Bruta!C722,4)),VALUE(MID(Base_Bruta!C722,4,2)),VALUE(LEFT(Base_Bruta!C722,2))))))</f>
        <v>46127</v>
      </c>
      <c r="D722" s="4" t="str">
        <f aca="false">IF($A722="","",TRIM(Base_Bruta!D722))</f>
        <v>Cinema Paulista - Sessões</v>
      </c>
      <c r="E722" s="4" t="str">
        <f aca="false">IF($A722="","",_xlfn.XLOOKUP(LOWER(TRIM(Base_Bruta!E722)),DePara_Categoria!$A$2:$A$9,DePara_Categoria!$B$2:$B$9,"REVISAR"))</f>
        <v>Cinema</v>
      </c>
      <c r="F722" s="4" t="str">
        <f aca="false">IF($A722="","",_xlfn.XLOOKUP(LOWER(TRIM(Base_Bruta!F722)),DePara_Cidade!$A$2:$A$29,DePara_Cidade!$B$2:$B$29,"REVISAR"))</f>
        <v>São Paulo</v>
      </c>
      <c r="G722" s="4" t="str">
        <f aca="false">IF($A722="","",TRIM(Base_Bruta!G722))</f>
        <v>Inteira</v>
      </c>
      <c r="H722" s="4" t="n">
        <f aca="false">IF($A722="","",IF(ISNUMBER(Base_Bruta!H722),Base_Bruta!H722,IFERROR(_xlfn.NUMBERVALUE(TRIM(SUBSTITUTE(Base_Bruta!H722,"R$","")),",","."),0)))</f>
        <v>1</v>
      </c>
      <c r="I722" s="6" t="n">
        <f aca="false">IF($A722="","",IF(ISNUMBER(Base_Bruta!I722),Base_Bruta!I722,IFERROR(_xlfn.NUMBERVALUE(TRIM(SUBSTITUTE(Base_Bruta!I722,"R$","")),",","."),0)))</f>
        <v>30</v>
      </c>
      <c r="J722" s="6" t="n">
        <f aca="false">IF($A722="","",H722*I722)</f>
        <v>30</v>
      </c>
      <c r="K722" s="4" t="str">
        <f aca="false">IF($A722="","",TRIM(Base_Bruta!J722))</f>
        <v>App</v>
      </c>
      <c r="L722" s="4" t="str">
        <f aca="false">IF($A722="","",TRIM(Base_Bruta!K722))</f>
        <v>C01207</v>
      </c>
      <c r="M722" s="4" t="str">
        <f aca="false">IF($A722="","",_xlfn.XLOOKUP(LOWER(TRIM(Base_Bruta!L722)),DePara_Cidade!$A$2:$A$29,DePara_Cidade!$B$2:$B$29,"REVISAR"))</f>
        <v>São Paulo</v>
      </c>
      <c r="N722" s="4" t="str">
        <f aca="false">IF($A722="","",UPPER(TRIM(Base_Bruta!M722)))</f>
        <v>SP</v>
      </c>
      <c r="O722" s="4" t="str">
        <f aca="false">IF($A722="","",_xlfn.XLOOKUP(LOWER(TRIM(Base_Bruta!N722)),DePara_Pais!$A$2:$A$9,DePara_Pais!$B$2:$B$9,"REVISAR"))</f>
        <v>Brasil</v>
      </c>
      <c r="P722" s="4" t="str">
        <f aca="false">IF($A722="","",IF(O722&lt;&gt;"Brasil","Turista Internacional",IF(M722=F722,"Local","Turista Nacional")))</f>
        <v>Local</v>
      </c>
      <c r="Q722" s="7" t="n">
        <f aca="false">IF($A722="","",DATE(YEAR(B722),MONTH(B722),1))</f>
        <v>46113</v>
      </c>
      <c r="R722" s="4" t="str">
        <f aca="false">IF($A722="","",IF(COUNTIF($A$2:$A722,$A722)&gt;1,"Sim","Não"))</f>
        <v>Não</v>
      </c>
      <c r="S722" s="4" t="str">
        <f aca="false">IF(A722="","Descartar - Linha vazia",IF(R722="Sim","Descartar - Duplicado",IF(OR(H722&lt;=0,I722&lt;=0),"Descartar - Qtd/Valor inválido","OK")))</f>
        <v>OK</v>
      </c>
      <c r="T722" s="4" t="str">
        <f aca="false">Base_Bruta!P722</f>
        <v>vendas_SP.xlsx</v>
      </c>
    </row>
    <row r="723" customFormat="false" ht="15" hidden="false" customHeight="false" outlineLevel="0" collapsed="false">
      <c r="A723" s="4" t="str">
        <f aca="false">IF(Base_Bruta!A723="","",Base_Bruta!A723)</f>
        <v>SP-000753</v>
      </c>
      <c r="B723" s="5" t="n">
        <f aca="false">IF($A723="","",IF(ISNUMBER(Base_Bruta!B723),Base_Bruta!B723,IF(MID(Base_Bruta!B723,5,1)="-",DATE(VALUE(LEFT(Base_Bruta!B723,4)),VALUE(MID(Base_Bruta!B723,6,2)),VALUE(RIGHT(Base_Bruta!B723,2))),DATE(VALUE(RIGHT(Base_Bruta!B723,4)),VALUE(MID(Base_Bruta!B723,4,2)),VALUE(LEFT(Base_Bruta!B723,2))))))</f>
        <v>46124</v>
      </c>
      <c r="C723" s="5" t="n">
        <f aca="false">IF($A723="","",IF(ISNUMBER(Base_Bruta!C723),Base_Bruta!C723,IF(MID(Base_Bruta!C723,5,1)="-",DATE(VALUE(LEFT(Base_Bruta!C723,4)),VALUE(MID(Base_Bruta!C723,6,2)),VALUE(RIGHT(Base_Bruta!C723,2))),DATE(VALUE(RIGHT(Base_Bruta!C723,4)),VALUE(MID(Base_Bruta!C723,4,2)),VALUE(LEFT(Base_Bruta!C723,2))))))</f>
        <v>46127</v>
      </c>
      <c r="D723" s="4" t="str">
        <f aca="false">IF($A723="","",TRIM(Base_Bruta!D723))</f>
        <v>Cinema Paulista - Sessões</v>
      </c>
      <c r="E723" s="4" t="str">
        <f aca="false">IF($A723="","",_xlfn.XLOOKUP(LOWER(TRIM(Base_Bruta!E723)),DePara_Categoria!$A$2:$A$9,DePara_Categoria!$B$2:$B$9,"REVISAR"))</f>
        <v>Cinema</v>
      </c>
      <c r="F723" s="4" t="str">
        <f aca="false">IF($A723="","",_xlfn.XLOOKUP(LOWER(TRIM(Base_Bruta!F723)),DePara_Cidade!$A$2:$A$29,DePara_Cidade!$B$2:$B$29,"REVISAR"))</f>
        <v>São Paulo</v>
      </c>
      <c r="G723" s="4" t="str">
        <f aca="false">IF($A723="","",TRIM(Base_Bruta!G723))</f>
        <v>Inteira</v>
      </c>
      <c r="H723" s="4" t="n">
        <f aca="false">IF($A723="","",IF(ISNUMBER(Base_Bruta!H723),Base_Bruta!H723,IFERROR(_xlfn.NUMBERVALUE(TRIM(SUBSTITUTE(Base_Bruta!H723,"R$","")),",","."),0)))</f>
        <v>2</v>
      </c>
      <c r="I723" s="6" t="n">
        <f aca="false">IF($A723="","",IF(ISNUMBER(Base_Bruta!I723),Base_Bruta!I723,IFERROR(_xlfn.NUMBERVALUE(TRIM(SUBSTITUTE(Base_Bruta!I723,"R$","")),",","."),0)))</f>
        <v>35</v>
      </c>
      <c r="J723" s="6" t="n">
        <f aca="false">IF($A723="","",H723*I723)</f>
        <v>70</v>
      </c>
      <c r="K723" s="4" t="str">
        <f aca="false">IF($A723="","",TRIM(Base_Bruta!J723))</f>
        <v>Site</v>
      </c>
      <c r="L723" s="4" t="str">
        <f aca="false">IF($A723="","",TRIM(Base_Bruta!K723))</f>
        <v>C02307</v>
      </c>
      <c r="M723" s="4" t="str">
        <f aca="false">IF($A723="","",_xlfn.XLOOKUP(LOWER(TRIM(Base_Bruta!L723)),DePara_Cidade!$A$2:$A$29,DePara_Cidade!$B$2:$B$29,"REVISAR"))</f>
        <v>Santiago</v>
      </c>
      <c r="N723" s="4" t="str">
        <f aca="false">IF($A723="","",UPPER(TRIM(Base_Bruta!M723)))</f>
        <v>EX</v>
      </c>
      <c r="O723" s="4" t="str">
        <f aca="false">IF($A723="","",_xlfn.XLOOKUP(LOWER(TRIM(Base_Bruta!N723)),DePara_Pais!$A$2:$A$9,DePara_Pais!$B$2:$B$9,"REVISAR"))</f>
        <v>Chile</v>
      </c>
      <c r="P723" s="4" t="str">
        <f aca="false">IF($A723="","",IF(O723&lt;&gt;"Brasil","Turista Internacional",IF(M723=F723,"Local","Turista Nacional")))</f>
        <v>Turista Internacional</v>
      </c>
      <c r="Q723" s="7" t="n">
        <f aca="false">IF($A723="","",DATE(YEAR(B723),MONTH(B723),1))</f>
        <v>46113</v>
      </c>
      <c r="R723" s="4" t="str">
        <f aca="false">IF($A723="","",IF(COUNTIF($A$2:$A723,$A723)&gt;1,"Sim","Não"))</f>
        <v>Não</v>
      </c>
      <c r="S723" s="4" t="str">
        <f aca="false">IF(A723="","Descartar - Linha vazia",IF(R723="Sim","Descartar - Duplicado",IF(OR(H723&lt;=0,I723&lt;=0),"Descartar - Qtd/Valor inválido","OK")))</f>
        <v>OK</v>
      </c>
      <c r="T723" s="4" t="str">
        <f aca="false">Base_Bruta!P723</f>
        <v>vendas_SP.xlsx</v>
      </c>
    </row>
    <row r="724" customFormat="false" ht="15" hidden="false" customHeight="false" outlineLevel="0" collapsed="false">
      <c r="A724" s="4" t="str">
        <f aca="false">IF(Base_Bruta!A724="","",Base_Bruta!A724)</f>
        <v>SP-000238</v>
      </c>
      <c r="B724" s="5" t="n">
        <f aca="false">IF($A724="","",IF(ISNUMBER(Base_Bruta!B724),Base_Bruta!B724,IF(MID(Base_Bruta!B724,5,1)="-",DATE(VALUE(LEFT(Base_Bruta!B724,4)),VALUE(MID(Base_Bruta!B724,6,2)),VALUE(RIGHT(Base_Bruta!B724,2))),DATE(VALUE(RIGHT(Base_Bruta!B724,4)),VALUE(MID(Base_Bruta!B724,4,2)),VALUE(LEFT(Base_Bruta!B724,2))))))</f>
        <v>46125</v>
      </c>
      <c r="C724" s="5" t="n">
        <f aca="false">IF($A724="","",IF(ISNUMBER(Base_Bruta!C724),Base_Bruta!C724,IF(MID(Base_Bruta!C724,5,1)="-",DATE(VALUE(LEFT(Base_Bruta!C724,4)),VALUE(MID(Base_Bruta!C724,6,2)),VALUE(RIGHT(Base_Bruta!C724,2))),DATE(VALUE(RIGHT(Base_Bruta!C724,4)),VALUE(MID(Base_Bruta!C724,4,2)),VALUE(LEFT(Base_Bruta!C724,2))))))</f>
        <v>46130</v>
      </c>
      <c r="D724" s="4" t="str">
        <f aca="false">IF($A724="","",TRIM(Base_Bruta!D724))</f>
        <v>Festival Sonora SP 2026</v>
      </c>
      <c r="E724" s="4" t="str">
        <f aca="false">IF($A724="","",_xlfn.XLOOKUP(LOWER(TRIM(Base_Bruta!E724)),DePara_Categoria!$A$2:$A$9,DePara_Categoria!$B$2:$B$9,"REVISAR"))</f>
        <v>Festival</v>
      </c>
      <c r="F724" s="4" t="str">
        <f aca="false">IF($A724="","",_xlfn.XLOOKUP(LOWER(TRIM(Base_Bruta!F724)),DePara_Cidade!$A$2:$A$29,DePara_Cidade!$B$2:$B$29,"REVISAR"))</f>
        <v>São Paulo</v>
      </c>
      <c r="G724" s="4" t="str">
        <f aca="false">IF($A724="","",TRIM(Base_Bruta!G724))</f>
        <v>Inteira</v>
      </c>
      <c r="H724" s="4" t="n">
        <f aca="false">IF($A724="","",IF(ISNUMBER(Base_Bruta!H724),Base_Bruta!H724,IFERROR(_xlfn.NUMBERVALUE(TRIM(SUBSTITUTE(Base_Bruta!H724,"R$","")),",","."),0)))</f>
        <v>4</v>
      </c>
      <c r="I724" s="6" t="n">
        <f aca="false">IF($A724="","",IF(ISNUMBER(Base_Bruta!I724),Base_Bruta!I724,IFERROR(_xlfn.NUMBERVALUE(TRIM(SUBSTITUTE(Base_Bruta!I724,"R$","")),",","."),0)))</f>
        <v>675</v>
      </c>
      <c r="J724" s="6" t="n">
        <f aca="false">IF($A724="","",H724*I724)</f>
        <v>2700</v>
      </c>
      <c r="K724" s="4" t="str">
        <f aca="false">IF($A724="","",TRIM(Base_Bruta!J724))</f>
        <v>App</v>
      </c>
      <c r="L724" s="4" t="str">
        <f aca="false">IF($A724="","",TRIM(Base_Bruta!K724))</f>
        <v>C01686</v>
      </c>
      <c r="M724" s="4" t="str">
        <f aca="false">IF($A724="","",_xlfn.XLOOKUP(LOWER(TRIM(Base_Bruta!L724)),DePara_Cidade!$A$2:$A$29,DePara_Cidade!$B$2:$B$29,"REVISAR"))</f>
        <v>São Paulo</v>
      </c>
      <c r="N724" s="4" t="str">
        <f aca="false">IF($A724="","",UPPER(TRIM(Base_Bruta!M724)))</f>
        <v>SP</v>
      </c>
      <c r="O724" s="4" t="str">
        <f aca="false">IF($A724="","",_xlfn.XLOOKUP(LOWER(TRIM(Base_Bruta!N724)),DePara_Pais!$A$2:$A$9,DePara_Pais!$B$2:$B$9,"REVISAR"))</f>
        <v>Brasil</v>
      </c>
      <c r="P724" s="4" t="str">
        <f aca="false">IF($A724="","",IF(O724&lt;&gt;"Brasil","Turista Internacional",IF(M724=F724,"Local","Turista Nacional")))</f>
        <v>Local</v>
      </c>
      <c r="Q724" s="7" t="n">
        <f aca="false">IF($A724="","",DATE(YEAR(B724),MONTH(B724),1))</f>
        <v>46113</v>
      </c>
      <c r="R724" s="4" t="str">
        <f aca="false">IF($A724="","",IF(COUNTIF($A$2:$A724,$A724)&gt;1,"Sim","Não"))</f>
        <v>Não</v>
      </c>
      <c r="S724" s="4" t="str">
        <f aca="false">IF(A724="","Descartar - Linha vazia",IF(R724="Sim","Descartar - Duplicado",IF(OR(H724&lt;=0,I724&lt;=0),"Descartar - Qtd/Valor inválido","OK")))</f>
        <v>OK</v>
      </c>
      <c r="T724" s="4" t="str">
        <f aca="false">Base_Bruta!P724</f>
        <v>vendas_SP.xlsx</v>
      </c>
    </row>
    <row r="725" customFormat="false" ht="15" hidden="false" customHeight="false" outlineLevel="0" collapsed="false">
      <c r="A725" s="4" t="str">
        <f aca="false">IF(Base_Bruta!A725="","",Base_Bruta!A725)</f>
        <v>SP-000240</v>
      </c>
      <c r="B725" s="5" t="n">
        <f aca="false">IF($A725="","",IF(ISNUMBER(Base_Bruta!B725),Base_Bruta!B725,IF(MID(Base_Bruta!B725,5,1)="-",DATE(VALUE(LEFT(Base_Bruta!B725,4)),VALUE(MID(Base_Bruta!B725,6,2)),VALUE(RIGHT(Base_Bruta!B725,2))),DATE(VALUE(RIGHT(Base_Bruta!B725,4)),VALUE(MID(Base_Bruta!B725,4,2)),VALUE(LEFT(Base_Bruta!B725,2))))))</f>
        <v>46125</v>
      </c>
      <c r="C725" s="5" t="n">
        <f aca="false">IF($A725="","",IF(ISNUMBER(Base_Bruta!C725),Base_Bruta!C725,IF(MID(Base_Bruta!C725,5,1)="-",DATE(VALUE(LEFT(Base_Bruta!C725,4)),VALUE(MID(Base_Bruta!C725,6,2)),VALUE(RIGHT(Base_Bruta!C725,2))),DATE(VALUE(RIGHT(Base_Bruta!C725,4)),VALUE(MID(Base_Bruta!C725,4,2)),VALUE(LEFT(Base_Bruta!C725,2))))))</f>
        <v>46130</v>
      </c>
      <c r="D725" s="4" t="str">
        <f aca="false">IF($A725="","",TRIM(Base_Bruta!D725))</f>
        <v>Festival Sonora SP 2026</v>
      </c>
      <c r="E725" s="4" t="str">
        <f aca="false">IF($A725="","",_xlfn.XLOOKUP(LOWER(TRIM(Base_Bruta!E725)),DePara_Categoria!$A$2:$A$9,DePara_Categoria!$B$2:$B$9,"REVISAR"))</f>
        <v>Festival</v>
      </c>
      <c r="F725" s="4" t="str">
        <f aca="false">IF($A725="","",_xlfn.XLOOKUP(LOWER(TRIM(Base_Bruta!F725)),DePara_Cidade!$A$2:$A$29,DePara_Cidade!$B$2:$B$29,"REVISAR"))</f>
        <v>São Paulo</v>
      </c>
      <c r="G725" s="4" t="str">
        <f aca="false">IF($A725="","",TRIM(Base_Bruta!G725))</f>
        <v>Inteira</v>
      </c>
      <c r="H725" s="4" t="n">
        <f aca="false">IF($A725="","",IF(ISNUMBER(Base_Bruta!H725),Base_Bruta!H725,IFERROR(_xlfn.NUMBERVALUE(TRIM(SUBSTITUTE(Base_Bruta!H725,"R$","")),",","."),0)))</f>
        <v>2</v>
      </c>
      <c r="I725" s="6" t="n">
        <f aca="false">IF($A725="","",IF(ISNUMBER(Base_Bruta!I725),Base_Bruta!I725,IFERROR(_xlfn.NUMBERVALUE(TRIM(SUBSTITUTE(Base_Bruta!I725,"R$","")),",","."),0)))</f>
        <v>1100</v>
      </c>
      <c r="J725" s="6" t="n">
        <f aca="false">IF($A725="","",H725*I725)</f>
        <v>2200</v>
      </c>
      <c r="K725" s="4" t="str">
        <f aca="false">IF($A725="","",TRIM(Base_Bruta!J725))</f>
        <v>App</v>
      </c>
      <c r="L725" s="4" t="str">
        <f aca="false">IF($A725="","",TRIM(Base_Bruta!K725))</f>
        <v>C00325</v>
      </c>
      <c r="M725" s="4" t="str">
        <f aca="false">IF($A725="","",_xlfn.XLOOKUP(LOWER(TRIM(Base_Bruta!L725)),DePara_Cidade!$A$2:$A$29,DePara_Cidade!$B$2:$B$29,"REVISAR"))</f>
        <v>Campinas</v>
      </c>
      <c r="N725" s="4" t="str">
        <f aca="false">IF($A725="","",UPPER(TRIM(Base_Bruta!M725)))</f>
        <v>SP</v>
      </c>
      <c r="O725" s="4" t="str">
        <f aca="false">IF($A725="","",_xlfn.XLOOKUP(LOWER(TRIM(Base_Bruta!N725)),DePara_Pais!$A$2:$A$9,DePara_Pais!$B$2:$B$9,"REVISAR"))</f>
        <v>Brasil</v>
      </c>
      <c r="P725" s="4" t="str">
        <f aca="false">IF($A725="","",IF(O725&lt;&gt;"Brasil","Turista Internacional",IF(M725=F725,"Local","Turista Nacional")))</f>
        <v>Turista Nacional</v>
      </c>
      <c r="Q725" s="7" t="n">
        <f aca="false">IF($A725="","",DATE(YEAR(B725),MONTH(B725),1))</f>
        <v>46113</v>
      </c>
      <c r="R725" s="4" t="str">
        <f aca="false">IF($A725="","",IF(COUNTIF($A$2:$A725,$A725)&gt;1,"Sim","Não"))</f>
        <v>Não</v>
      </c>
      <c r="S725" s="4" t="str">
        <f aca="false">IF(A725="","Descartar - Linha vazia",IF(R725="Sim","Descartar - Duplicado",IF(OR(H725&lt;=0,I725&lt;=0),"Descartar - Qtd/Valor inválido","OK")))</f>
        <v>OK</v>
      </c>
      <c r="T725" s="4" t="str">
        <f aca="false">Base_Bruta!P725</f>
        <v>vendas_SP.xlsx</v>
      </c>
    </row>
    <row r="726" customFormat="false" ht="15" hidden="false" customHeight="false" outlineLevel="0" collapsed="false">
      <c r="A726" s="4" t="str">
        <f aca="false">IF(Base_Bruta!A726="","",Base_Bruta!A726)</f>
        <v>SP-000283</v>
      </c>
      <c r="B726" s="5" t="n">
        <f aca="false">IF($A726="","",IF(ISNUMBER(Base_Bruta!B726),Base_Bruta!B726,IF(MID(Base_Bruta!B726,5,1)="-",DATE(VALUE(LEFT(Base_Bruta!B726,4)),VALUE(MID(Base_Bruta!B726,6,2)),VALUE(RIGHT(Base_Bruta!B726,2))),DATE(VALUE(RIGHT(Base_Bruta!B726,4)),VALUE(MID(Base_Bruta!B726,4,2)),VALUE(LEFT(Base_Bruta!B726,2))))))</f>
        <v>46125</v>
      </c>
      <c r="C726" s="5" t="n">
        <f aca="false">IF($A726="","",IF(ISNUMBER(Base_Bruta!C726),Base_Bruta!C726,IF(MID(Base_Bruta!C726,5,1)="-",DATE(VALUE(LEFT(Base_Bruta!C726,4)),VALUE(MID(Base_Bruta!C726,6,2)),VALUE(RIGHT(Base_Bruta!C726,2))),DATE(VALUE(RIGHT(Base_Bruta!C726,4)),VALUE(MID(Base_Bruta!C726,4,2)),VALUE(LEFT(Base_Bruta!C726,2))))))</f>
        <v>46130</v>
      </c>
      <c r="D726" s="4" t="str">
        <f aca="false">IF($A726="","",TRIM(Base_Bruta!D726))</f>
        <v>Festival Sonora SP 2026</v>
      </c>
      <c r="E726" s="4" t="str">
        <f aca="false">IF($A726="","",_xlfn.XLOOKUP(LOWER(TRIM(Base_Bruta!E726)),DePara_Categoria!$A$2:$A$9,DePara_Categoria!$B$2:$B$9,"REVISAR"))</f>
        <v>Festival</v>
      </c>
      <c r="F726" s="4" t="str">
        <f aca="false">IF($A726="","",_xlfn.XLOOKUP(LOWER(TRIM(Base_Bruta!F726)),DePara_Cidade!$A$2:$A$29,DePara_Cidade!$B$2:$B$29,"REVISAR"))</f>
        <v>São Paulo</v>
      </c>
      <c r="G726" s="4" t="str">
        <f aca="false">IF($A726="","",TRIM(Base_Bruta!G726))</f>
        <v>Inteira</v>
      </c>
      <c r="H726" s="4" t="n">
        <f aca="false">IF($A726="","",IF(ISNUMBER(Base_Bruta!H726),Base_Bruta!H726,IFERROR(_xlfn.NUMBERVALUE(TRIM(SUBSTITUTE(Base_Bruta!H726,"R$","")),",","."),0)))</f>
        <v>3</v>
      </c>
      <c r="I726" s="6" t="n">
        <f aca="false">IF($A726="","",IF(ISNUMBER(Base_Bruta!I726),Base_Bruta!I726,IFERROR(_xlfn.NUMBERVALUE(TRIM(SUBSTITUTE(Base_Bruta!I726,"R$","")),",","."),0)))</f>
        <v>755</v>
      </c>
      <c r="J726" s="6" t="n">
        <f aca="false">IF($A726="","",H726*I726)</f>
        <v>2265</v>
      </c>
      <c r="K726" s="4" t="str">
        <f aca="false">IF($A726="","",TRIM(Base_Bruta!J726))</f>
        <v>Site</v>
      </c>
      <c r="L726" s="4" t="str">
        <f aca="false">IF($A726="","",TRIM(Base_Bruta!K726))</f>
        <v>C01186</v>
      </c>
      <c r="M726" s="4" t="str">
        <f aca="false">IF($A726="","",_xlfn.XLOOKUP(LOWER(TRIM(Base_Bruta!L726)),DePara_Cidade!$A$2:$A$29,DePara_Cidade!$B$2:$B$29,"REVISAR"))</f>
        <v>São Paulo</v>
      </c>
      <c r="N726" s="4" t="str">
        <f aca="false">IF($A726="","",UPPER(TRIM(Base_Bruta!M726)))</f>
        <v>SP</v>
      </c>
      <c r="O726" s="4" t="str">
        <f aca="false">IF($A726="","",_xlfn.XLOOKUP(LOWER(TRIM(Base_Bruta!N726)),DePara_Pais!$A$2:$A$9,DePara_Pais!$B$2:$B$9,"REVISAR"))</f>
        <v>Brasil</v>
      </c>
      <c r="P726" s="4" t="str">
        <f aca="false">IF($A726="","",IF(O726&lt;&gt;"Brasil","Turista Internacional",IF(M726=F726,"Local","Turista Nacional")))</f>
        <v>Local</v>
      </c>
      <c r="Q726" s="7" t="n">
        <f aca="false">IF($A726="","",DATE(YEAR(B726),MONTH(B726),1))</f>
        <v>46113</v>
      </c>
      <c r="R726" s="4" t="str">
        <f aca="false">IF($A726="","",IF(COUNTIF($A$2:$A726,$A726)&gt;1,"Sim","Não"))</f>
        <v>Não</v>
      </c>
      <c r="S726" s="4" t="str">
        <f aca="false">IF(A726="","Descartar - Linha vazia",IF(R726="Sim","Descartar - Duplicado",IF(OR(H726&lt;=0,I726&lt;=0),"Descartar - Qtd/Valor inválido","OK")))</f>
        <v>OK</v>
      </c>
      <c r="T726" s="4" t="str">
        <f aca="false">Base_Bruta!P726</f>
        <v>vendas_SP.xlsx</v>
      </c>
    </row>
    <row r="727" customFormat="false" ht="15" hidden="false" customHeight="false" outlineLevel="0" collapsed="false">
      <c r="A727" s="4" t="str">
        <f aca="false">IF(Base_Bruta!A727="","",Base_Bruta!A727)</f>
        <v>SP-000289</v>
      </c>
      <c r="B727" s="5" t="n">
        <f aca="false">IF($A727="","",IF(ISNUMBER(Base_Bruta!B727),Base_Bruta!B727,IF(MID(Base_Bruta!B727,5,1)="-",DATE(VALUE(LEFT(Base_Bruta!B727,4)),VALUE(MID(Base_Bruta!B727,6,2)),VALUE(RIGHT(Base_Bruta!B727,2))),DATE(VALUE(RIGHT(Base_Bruta!B727,4)),VALUE(MID(Base_Bruta!B727,4,2)),VALUE(LEFT(Base_Bruta!B727,2))))))</f>
        <v>46125</v>
      </c>
      <c r="C727" s="5" t="n">
        <f aca="false">IF($A727="","",IF(ISNUMBER(Base_Bruta!C727),Base_Bruta!C727,IF(MID(Base_Bruta!C727,5,1)="-",DATE(VALUE(LEFT(Base_Bruta!C727,4)),VALUE(MID(Base_Bruta!C727,6,2)),VALUE(RIGHT(Base_Bruta!C727,2))),DATE(VALUE(RIGHT(Base_Bruta!C727,4)),VALUE(MID(Base_Bruta!C727,4,2)),VALUE(LEFT(Base_Bruta!C727,2))))))</f>
        <v>46130</v>
      </c>
      <c r="D727" s="4" t="str">
        <f aca="false">IF($A727="","",TRIM(Base_Bruta!D727))</f>
        <v>Festival Sonora SP 2026</v>
      </c>
      <c r="E727" s="4" t="str">
        <f aca="false">IF($A727="","",_xlfn.XLOOKUP(LOWER(TRIM(Base_Bruta!E727)),DePara_Categoria!$A$2:$A$9,DePara_Categoria!$B$2:$B$9,"REVISAR"))</f>
        <v>Festival</v>
      </c>
      <c r="F727" s="4" t="str">
        <f aca="false">IF($A727="","",_xlfn.XLOOKUP(LOWER(TRIM(Base_Bruta!F727)),DePara_Cidade!$A$2:$A$29,DePara_Cidade!$B$2:$B$29,"REVISAR"))</f>
        <v>São Paulo</v>
      </c>
      <c r="G727" s="4" t="str">
        <f aca="false">IF($A727="","",TRIM(Base_Bruta!G727))</f>
        <v>Meia</v>
      </c>
      <c r="H727" s="4" t="n">
        <f aca="false">IF($A727="","",IF(ISNUMBER(Base_Bruta!H727),Base_Bruta!H727,IFERROR(_xlfn.NUMBERVALUE(TRIM(SUBSTITUTE(Base_Bruta!H727,"R$","")),",","."),0)))</f>
        <v>1</v>
      </c>
      <c r="I727" s="6" t="n">
        <f aca="false">IF($A727="","",IF(ISNUMBER(Base_Bruta!I727),Base_Bruta!I727,IFERROR(_xlfn.NUMBERVALUE(TRIM(SUBSTITUTE(Base_Bruta!I727,"R$","")),",","."),0)))</f>
        <v>555</v>
      </c>
      <c r="J727" s="6" t="n">
        <f aca="false">IF($A727="","",H727*I727)</f>
        <v>555</v>
      </c>
      <c r="K727" s="4" t="str">
        <f aca="false">IF($A727="","",TRIM(Base_Bruta!J727))</f>
        <v>Site</v>
      </c>
      <c r="L727" s="4" t="str">
        <f aca="false">IF($A727="","",TRIM(Base_Bruta!K727))</f>
        <v>C01541</v>
      </c>
      <c r="M727" s="4" t="str">
        <f aca="false">IF($A727="","",_xlfn.XLOOKUP(LOWER(TRIM(Base_Bruta!L727)),DePara_Cidade!$A$2:$A$29,DePara_Cidade!$B$2:$B$29,"REVISAR"))</f>
        <v>Lisboa</v>
      </c>
      <c r="N727" s="4" t="str">
        <f aca="false">IF($A727="","",UPPER(TRIM(Base_Bruta!M727)))</f>
        <v>EX</v>
      </c>
      <c r="O727" s="4" t="str">
        <f aca="false">IF($A727="","",_xlfn.XLOOKUP(LOWER(TRIM(Base_Bruta!N727)),DePara_Pais!$A$2:$A$9,DePara_Pais!$B$2:$B$9,"REVISAR"))</f>
        <v>Portugal</v>
      </c>
      <c r="P727" s="4" t="str">
        <f aca="false">IF($A727="","",IF(O727&lt;&gt;"Brasil","Turista Internacional",IF(M727=F727,"Local","Turista Nacional")))</f>
        <v>Turista Internacional</v>
      </c>
      <c r="Q727" s="7" t="n">
        <f aca="false">IF($A727="","",DATE(YEAR(B727),MONTH(B727),1))</f>
        <v>46113</v>
      </c>
      <c r="R727" s="4" t="str">
        <f aca="false">IF($A727="","",IF(COUNTIF($A$2:$A727,$A727)&gt;1,"Sim","Não"))</f>
        <v>Não</v>
      </c>
      <c r="S727" s="4" t="str">
        <f aca="false">IF(A727="","Descartar - Linha vazia",IF(R727="Sim","Descartar - Duplicado",IF(OR(H727&lt;=0,I727&lt;=0),"Descartar - Qtd/Valor inválido","OK")))</f>
        <v>OK</v>
      </c>
      <c r="T727" s="4" t="str">
        <f aca="false">Base_Bruta!P727</f>
        <v>vendas_SP.xlsx</v>
      </c>
    </row>
    <row r="728" customFormat="false" ht="15" hidden="false" customHeight="false" outlineLevel="0" collapsed="false">
      <c r="A728" s="4" t="str">
        <f aca="false">IF(Base_Bruta!A728="","",Base_Bruta!A728)</f>
        <v>SP-000378</v>
      </c>
      <c r="B728" s="5" t="n">
        <f aca="false">IF($A728="","",IF(ISNUMBER(Base_Bruta!B728),Base_Bruta!B728,IF(MID(Base_Bruta!B728,5,1)="-",DATE(VALUE(LEFT(Base_Bruta!B728,4)),VALUE(MID(Base_Bruta!B728,6,2)),VALUE(RIGHT(Base_Bruta!B728,2))),DATE(VALUE(RIGHT(Base_Bruta!B728,4)),VALUE(MID(Base_Bruta!B728,4,2)),VALUE(LEFT(Base_Bruta!B728,2))))))</f>
        <v>46125</v>
      </c>
      <c r="C728" s="5" t="n">
        <f aca="false">IF($A728="","",IF(ISNUMBER(Base_Bruta!C728),Base_Bruta!C728,IF(MID(Base_Bruta!C728,5,1)="-",DATE(VALUE(LEFT(Base_Bruta!C728,4)),VALUE(MID(Base_Bruta!C728,6,2)),VALUE(RIGHT(Base_Bruta!C728,2))),DATE(VALUE(RIGHT(Base_Bruta!C728,4)),VALUE(MID(Base_Bruta!C728,4,2)),VALUE(LEFT(Base_Bruta!C728,2))))))</f>
        <v>46130</v>
      </c>
      <c r="D728" s="4" t="str">
        <f aca="false">IF($A728="","",TRIM(Base_Bruta!D728))</f>
        <v>Festival Sonora SP 2026</v>
      </c>
      <c r="E728" s="4" t="str">
        <f aca="false">IF($A728="","",_xlfn.XLOOKUP(LOWER(TRIM(Base_Bruta!E728)),DePara_Categoria!$A$2:$A$9,DePara_Categoria!$B$2:$B$9,"REVISAR"))</f>
        <v>Festival</v>
      </c>
      <c r="F728" s="4" t="str">
        <f aca="false">IF($A728="","",_xlfn.XLOOKUP(LOWER(TRIM(Base_Bruta!F728)),DePara_Cidade!$A$2:$A$29,DePara_Cidade!$B$2:$B$29,"REVISAR"))</f>
        <v>São Paulo</v>
      </c>
      <c r="G728" s="4" t="str">
        <f aca="false">IF($A728="","",TRIM(Base_Bruta!G728))</f>
        <v>Inteira</v>
      </c>
      <c r="H728" s="4" t="n">
        <f aca="false">IF($A728="","",IF(ISNUMBER(Base_Bruta!H728),Base_Bruta!H728,IFERROR(_xlfn.NUMBERVALUE(TRIM(SUBSTITUTE(Base_Bruta!H728,"R$","")),",","."),0)))</f>
        <v>3</v>
      </c>
      <c r="I728" s="6" t="n">
        <f aca="false">IF($A728="","",IF(ISNUMBER(Base_Bruta!I728),Base_Bruta!I728,IFERROR(_xlfn.NUMBERVALUE(TRIM(SUBSTITUTE(Base_Bruta!I728,"R$","")),",","."),0)))</f>
        <v>850</v>
      </c>
      <c r="J728" s="6" t="n">
        <f aca="false">IF($A728="","",H728*I728)</f>
        <v>2550</v>
      </c>
      <c r="K728" s="4" t="str">
        <f aca="false">IF($A728="","",TRIM(Base_Bruta!J728))</f>
        <v>App</v>
      </c>
      <c r="L728" s="4" t="str">
        <f aca="false">IF($A728="","",TRIM(Base_Bruta!K728))</f>
        <v>C00964</v>
      </c>
      <c r="M728" s="4" t="str">
        <f aca="false">IF($A728="","",_xlfn.XLOOKUP(LOWER(TRIM(Base_Bruta!L728)),DePara_Cidade!$A$2:$A$29,DePara_Cidade!$B$2:$B$29,"REVISAR"))</f>
        <v>São Paulo</v>
      </c>
      <c r="N728" s="4" t="str">
        <f aca="false">IF($A728="","",UPPER(TRIM(Base_Bruta!M728)))</f>
        <v>SP</v>
      </c>
      <c r="O728" s="4" t="str">
        <f aca="false">IF($A728="","",_xlfn.XLOOKUP(LOWER(TRIM(Base_Bruta!N728)),DePara_Pais!$A$2:$A$9,DePara_Pais!$B$2:$B$9,"REVISAR"))</f>
        <v>Brasil</v>
      </c>
      <c r="P728" s="4" t="str">
        <f aca="false">IF($A728="","",IF(O728&lt;&gt;"Brasil","Turista Internacional",IF(M728=F728,"Local","Turista Nacional")))</f>
        <v>Local</v>
      </c>
      <c r="Q728" s="7" t="n">
        <f aca="false">IF($A728="","",DATE(YEAR(B728),MONTH(B728),1))</f>
        <v>46113</v>
      </c>
      <c r="R728" s="4" t="str">
        <f aca="false">IF($A728="","",IF(COUNTIF($A$2:$A728,$A728)&gt;1,"Sim","Não"))</f>
        <v>Não</v>
      </c>
      <c r="S728" s="4" t="str">
        <f aca="false">IF(A728="","Descartar - Linha vazia",IF(R728="Sim","Descartar - Duplicado",IF(OR(H728&lt;=0,I728&lt;=0),"Descartar - Qtd/Valor inválido","OK")))</f>
        <v>OK</v>
      </c>
      <c r="T728" s="4" t="str">
        <f aca="false">Base_Bruta!P728</f>
        <v>vendas_SP.xlsx</v>
      </c>
    </row>
    <row r="729" customFormat="false" ht="15" hidden="false" customHeight="false" outlineLevel="0" collapsed="false">
      <c r="A729" s="4" t="str">
        <f aca="false">IF(Base_Bruta!A729="","",Base_Bruta!A729)</f>
        <v>SP-000397</v>
      </c>
      <c r="B729" s="5" t="n">
        <f aca="false">IF($A729="","",IF(ISNUMBER(Base_Bruta!B729),Base_Bruta!B729,IF(MID(Base_Bruta!B729,5,1)="-",DATE(VALUE(LEFT(Base_Bruta!B729,4)),VALUE(MID(Base_Bruta!B729,6,2)),VALUE(RIGHT(Base_Bruta!B729,2))),DATE(VALUE(RIGHT(Base_Bruta!B729,4)),VALUE(MID(Base_Bruta!B729,4,2)),VALUE(LEFT(Base_Bruta!B729,2))))))</f>
        <v>46125</v>
      </c>
      <c r="C729" s="5" t="n">
        <f aca="false">IF($A729="","",IF(ISNUMBER(Base_Bruta!C729),Base_Bruta!C729,IF(MID(Base_Bruta!C729,5,1)="-",DATE(VALUE(LEFT(Base_Bruta!C729,4)),VALUE(MID(Base_Bruta!C729,6,2)),VALUE(RIGHT(Base_Bruta!C729,2))),DATE(VALUE(RIGHT(Base_Bruta!C729,4)),VALUE(MID(Base_Bruta!C729,4,2)),VALUE(LEFT(Base_Bruta!C729,2))))))</f>
        <v>46130</v>
      </c>
      <c r="D729" s="4" t="str">
        <f aca="false">IF($A729="","",TRIM(Base_Bruta!D729))</f>
        <v>Festival Sonora SP 2026</v>
      </c>
      <c r="E729" s="4" t="str">
        <f aca="false">IF($A729="","",_xlfn.XLOOKUP(LOWER(TRIM(Base_Bruta!E729)),DePara_Categoria!$A$2:$A$9,DePara_Categoria!$B$2:$B$9,"REVISAR"))</f>
        <v>Festival</v>
      </c>
      <c r="F729" s="4" t="str">
        <f aca="false">IF($A729="","",_xlfn.XLOOKUP(LOWER(TRIM(Base_Bruta!F729)),DePara_Cidade!$A$2:$A$29,DePara_Cidade!$B$2:$B$29,"REVISAR"))</f>
        <v>São Paulo</v>
      </c>
      <c r="G729" s="4" t="str">
        <f aca="false">IF($A729="","",TRIM(Base_Bruta!G729))</f>
        <v>Meia</v>
      </c>
      <c r="H729" s="4" t="n">
        <f aca="false">IF($A729="","",IF(ISNUMBER(Base_Bruta!H729),Base_Bruta!H729,IFERROR(_xlfn.NUMBERVALUE(TRIM(SUBSTITUTE(Base_Bruta!H729,"R$","")),",","."),0)))</f>
        <v>4</v>
      </c>
      <c r="I729" s="6" t="n">
        <f aca="false">IF($A729="","",IF(ISNUMBER(Base_Bruta!I729),Base_Bruta!I729,IFERROR(_xlfn.NUMBERVALUE(TRIM(SUBSTITUTE(Base_Bruta!I729,"R$","")),",","."),0)))</f>
        <v>502.5</v>
      </c>
      <c r="J729" s="6" t="n">
        <f aca="false">IF($A729="","",H729*I729)</f>
        <v>2010</v>
      </c>
      <c r="K729" s="4" t="str">
        <f aca="false">IF($A729="","",TRIM(Base_Bruta!J729))</f>
        <v>App</v>
      </c>
      <c r="L729" s="4" t="str">
        <f aca="false">IF($A729="","",TRIM(Base_Bruta!K729))</f>
        <v>C01063</v>
      </c>
      <c r="M729" s="4" t="str">
        <f aca="false">IF($A729="","",_xlfn.XLOOKUP(LOWER(TRIM(Base_Bruta!L729)),DePara_Cidade!$A$2:$A$29,DePara_Cidade!$B$2:$B$29,"REVISAR"))</f>
        <v>Goiânia</v>
      </c>
      <c r="N729" s="4" t="str">
        <f aca="false">IF($A729="","",UPPER(TRIM(Base_Bruta!M729)))</f>
        <v>GO</v>
      </c>
      <c r="O729" s="4" t="str">
        <f aca="false">IF($A729="","",_xlfn.XLOOKUP(LOWER(TRIM(Base_Bruta!N729)),DePara_Pais!$A$2:$A$9,DePara_Pais!$B$2:$B$9,"REVISAR"))</f>
        <v>Brasil</v>
      </c>
      <c r="P729" s="4" t="str">
        <f aca="false">IF($A729="","",IF(O729&lt;&gt;"Brasil","Turista Internacional",IF(M729=F729,"Local","Turista Nacional")))</f>
        <v>Turista Nacional</v>
      </c>
      <c r="Q729" s="7" t="n">
        <f aca="false">IF($A729="","",DATE(YEAR(B729),MONTH(B729),1))</f>
        <v>46113</v>
      </c>
      <c r="R729" s="4" t="str">
        <f aca="false">IF($A729="","",IF(COUNTIF($A$2:$A729,$A729)&gt;1,"Sim","Não"))</f>
        <v>Não</v>
      </c>
      <c r="S729" s="4" t="str">
        <f aca="false">IF(A729="","Descartar - Linha vazia",IF(R729="Sim","Descartar - Duplicado",IF(OR(H729&lt;=0,I729&lt;=0),"Descartar - Qtd/Valor inválido","OK")))</f>
        <v>OK</v>
      </c>
      <c r="T729" s="4" t="str">
        <f aca="false">Base_Bruta!P729</f>
        <v>vendas_SP.xlsx</v>
      </c>
    </row>
    <row r="730" customFormat="false" ht="15" hidden="false" customHeight="false" outlineLevel="0" collapsed="false">
      <c r="A730" s="4" t="str">
        <f aca="false">IF(Base_Bruta!A730="","",Base_Bruta!A730)</f>
        <v>SP-000413</v>
      </c>
      <c r="B730" s="5" t="n">
        <f aca="false">IF($A730="","",IF(ISNUMBER(Base_Bruta!B730),Base_Bruta!B730,IF(MID(Base_Bruta!B730,5,1)="-",DATE(VALUE(LEFT(Base_Bruta!B730,4)),VALUE(MID(Base_Bruta!B730,6,2)),VALUE(RIGHT(Base_Bruta!B730,2))),DATE(VALUE(RIGHT(Base_Bruta!B730,4)),VALUE(MID(Base_Bruta!B730,4,2)),VALUE(LEFT(Base_Bruta!B730,2))))))</f>
        <v>46125</v>
      </c>
      <c r="C730" s="5" t="n">
        <f aca="false">IF($A730="","",IF(ISNUMBER(Base_Bruta!C730),Base_Bruta!C730,IF(MID(Base_Bruta!C730,5,1)="-",DATE(VALUE(LEFT(Base_Bruta!C730,4)),VALUE(MID(Base_Bruta!C730,6,2)),VALUE(RIGHT(Base_Bruta!C730,2))),DATE(VALUE(RIGHT(Base_Bruta!C730,4)),VALUE(MID(Base_Bruta!C730,4,2)),VALUE(LEFT(Base_Bruta!C730,2))))))</f>
        <v>46130</v>
      </c>
      <c r="D730" s="4" t="str">
        <f aca="false">IF($A730="","",TRIM(Base_Bruta!D730))</f>
        <v>Festival Sonora SP 2026</v>
      </c>
      <c r="E730" s="4" t="str">
        <f aca="false">IF($A730="","",_xlfn.XLOOKUP(LOWER(TRIM(Base_Bruta!E730)),DePara_Categoria!$A$2:$A$9,DePara_Categoria!$B$2:$B$9,"REVISAR"))</f>
        <v>Festival</v>
      </c>
      <c r="F730" s="4" t="str">
        <f aca="false">IF($A730="","",_xlfn.XLOOKUP(LOWER(TRIM(Base_Bruta!F730)),DePara_Cidade!$A$2:$A$29,DePara_Cidade!$B$2:$B$29,"REVISAR"))</f>
        <v>São Paulo</v>
      </c>
      <c r="G730" s="4" t="str">
        <f aca="false">IF($A730="","",TRIM(Base_Bruta!G730))</f>
        <v>Meia</v>
      </c>
      <c r="H730" s="4" t="n">
        <f aca="false">IF($A730="","",IF(ISNUMBER(Base_Bruta!H730),Base_Bruta!H730,IFERROR(_xlfn.NUMBERVALUE(TRIM(SUBSTITUTE(Base_Bruta!H730,"R$","")),",","."),0)))</f>
        <v>1</v>
      </c>
      <c r="I730" s="6" t="n">
        <f aca="false">IF($A730="","",IF(ISNUMBER(Base_Bruta!I730),Base_Bruta!I730,IFERROR(_xlfn.NUMBERVALUE(TRIM(SUBSTITUTE(Base_Bruta!I730,"R$","")),",","."),0)))</f>
        <v>537.5</v>
      </c>
      <c r="J730" s="6" t="n">
        <f aca="false">IF($A730="","",H730*I730)</f>
        <v>537.5</v>
      </c>
      <c r="K730" s="4" t="str">
        <f aca="false">IF($A730="","",TRIM(Base_Bruta!J730))</f>
        <v>Site</v>
      </c>
      <c r="L730" s="4" t="str">
        <f aca="false">IF($A730="","",TRIM(Base_Bruta!K730))</f>
        <v>C00670</v>
      </c>
      <c r="M730" s="4" t="str">
        <f aca="false">IF($A730="","",_xlfn.XLOOKUP(LOWER(TRIM(Base_Bruta!L730)),DePara_Cidade!$A$2:$A$29,DePara_Cidade!$B$2:$B$29,"REVISAR"))</f>
        <v>São Paulo</v>
      </c>
      <c r="N730" s="4" t="str">
        <f aca="false">IF($A730="","",UPPER(TRIM(Base_Bruta!M730)))</f>
        <v>SP</v>
      </c>
      <c r="O730" s="4" t="str">
        <f aca="false">IF($A730="","",_xlfn.XLOOKUP(LOWER(TRIM(Base_Bruta!N730)),DePara_Pais!$A$2:$A$9,DePara_Pais!$B$2:$B$9,"REVISAR"))</f>
        <v>Brasil</v>
      </c>
      <c r="P730" s="4" t="str">
        <f aca="false">IF($A730="","",IF(O730&lt;&gt;"Brasil","Turista Internacional",IF(M730=F730,"Local","Turista Nacional")))</f>
        <v>Local</v>
      </c>
      <c r="Q730" s="7" t="n">
        <f aca="false">IF($A730="","",DATE(YEAR(B730),MONTH(B730),1))</f>
        <v>46113</v>
      </c>
      <c r="R730" s="4" t="str">
        <f aca="false">IF($A730="","",IF(COUNTIF($A$2:$A730,$A730)&gt;1,"Sim","Não"))</f>
        <v>Não</v>
      </c>
      <c r="S730" s="4" t="str">
        <f aca="false">IF(A730="","Descartar - Linha vazia",IF(R730="Sim","Descartar - Duplicado",IF(OR(H730&lt;=0,I730&lt;=0),"Descartar - Qtd/Valor inválido","OK")))</f>
        <v>OK</v>
      </c>
      <c r="T730" s="4" t="str">
        <f aca="false">Base_Bruta!P730</f>
        <v>vendas_SP.xlsx</v>
      </c>
    </row>
    <row r="731" customFormat="false" ht="15" hidden="false" customHeight="false" outlineLevel="0" collapsed="false">
      <c r="A731" s="4" t="str">
        <f aca="false">IF(Base_Bruta!A731="","",Base_Bruta!A731)</f>
        <v/>
      </c>
      <c r="B731" s="5" t="str">
        <f aca="false">IF($A731="","",IF(ISNUMBER(Base_Bruta!B731),Base_Bruta!B731,IF(MID(Base_Bruta!B731,5,1)="-",DATE(VALUE(LEFT(Base_Bruta!B731,4)),VALUE(MID(Base_Bruta!B731,6,2)),VALUE(RIGHT(Base_Bruta!B731,2))),DATE(VALUE(RIGHT(Base_Bruta!B731,4)),VALUE(MID(Base_Bruta!B731,4,2)),VALUE(LEFT(Base_Bruta!B731,2))))))</f>
        <v/>
      </c>
      <c r="C731" s="5" t="str">
        <f aca="false">IF($A731="","",IF(ISNUMBER(Base_Bruta!C731),Base_Bruta!C731,IF(MID(Base_Bruta!C731,5,1)="-",DATE(VALUE(LEFT(Base_Bruta!C731,4)),VALUE(MID(Base_Bruta!C731,6,2)),VALUE(RIGHT(Base_Bruta!C731,2))),DATE(VALUE(RIGHT(Base_Bruta!C731,4)),VALUE(MID(Base_Bruta!C731,4,2)),VALUE(LEFT(Base_Bruta!C731,2))))))</f>
        <v/>
      </c>
      <c r="D731" s="4" t="str">
        <f aca="false">IF($A731="","",TRIM(Base_Bruta!D731))</f>
        <v/>
      </c>
      <c r="E731" s="4" t="str">
        <f aca="false">IF($A731="","",_xlfn.XLOOKUP(LOWER(TRIM(Base_Bruta!E731)),DePara_Categoria!$A$2:$A$9,DePara_Categoria!$B$2:$B$9,"REVISAR"))</f>
        <v/>
      </c>
      <c r="F731" s="4" t="str">
        <f aca="false">IF($A731="","",_xlfn.XLOOKUP(LOWER(TRIM(Base_Bruta!F731)),DePara_Cidade!$A$2:$A$29,DePara_Cidade!$B$2:$B$29,"REVISAR"))</f>
        <v/>
      </c>
      <c r="G731" s="4" t="str">
        <f aca="false">IF($A731="","",TRIM(Base_Bruta!G731))</f>
        <v/>
      </c>
      <c r="H731" s="4" t="str">
        <f aca="false">IF($A731="","",IF(ISNUMBER(Base_Bruta!H731),Base_Bruta!H731,IFERROR(_xlfn.NUMBERVALUE(TRIM(SUBSTITUTE(Base_Bruta!H731,"R$","")),",","."),0)))</f>
        <v/>
      </c>
      <c r="I731" s="6" t="str">
        <f aca="false">IF($A731="","",IF(ISNUMBER(Base_Bruta!I731),Base_Bruta!I731,IFERROR(_xlfn.NUMBERVALUE(TRIM(SUBSTITUTE(Base_Bruta!I731,"R$","")),",","."),0)))</f>
        <v/>
      </c>
      <c r="J731" s="6" t="str">
        <f aca="false">IF($A731="","",H731*I731)</f>
        <v/>
      </c>
      <c r="K731" s="4" t="str">
        <f aca="false">IF($A731="","",TRIM(Base_Bruta!J731))</f>
        <v/>
      </c>
      <c r="L731" s="4" t="str">
        <f aca="false">IF($A731="","",TRIM(Base_Bruta!K731))</f>
        <v/>
      </c>
      <c r="M731" s="4" t="str">
        <f aca="false">IF($A731="","",_xlfn.XLOOKUP(LOWER(TRIM(Base_Bruta!L731)),DePara_Cidade!$A$2:$A$29,DePara_Cidade!$B$2:$B$29,"REVISAR"))</f>
        <v/>
      </c>
      <c r="N731" s="4" t="str">
        <f aca="false">IF($A731="","",UPPER(TRIM(Base_Bruta!M731)))</f>
        <v/>
      </c>
      <c r="O731" s="4" t="str">
        <f aca="false">IF($A731="","",_xlfn.XLOOKUP(LOWER(TRIM(Base_Bruta!N731)),DePara_Pais!$A$2:$A$9,DePara_Pais!$B$2:$B$9,"REVISAR"))</f>
        <v/>
      </c>
      <c r="P731" s="4" t="str">
        <f aca="false">IF($A731="","",IF(O731&lt;&gt;"Brasil","Turista Internacional",IF(M731=F731,"Local","Turista Nacional")))</f>
        <v/>
      </c>
      <c r="Q731" s="7" t="str">
        <f aca="false">IF($A731="","",DATE(YEAR(B731),MONTH(B731),1))</f>
        <v/>
      </c>
      <c r="R731" s="4" t="str">
        <f aca="false">IF($A731="","",IF(COUNTIF($A$2:$A731,$A731)&gt;1,"Sim","Não"))</f>
        <v/>
      </c>
      <c r="S731" s="4" t="str">
        <f aca="false">IF(A731="","Descartar - Linha vazia",IF(R731="Sim","Descartar - Duplicado",IF(OR(H731&lt;=0,I731&lt;=0),"Descartar - Qtd/Valor inválido","OK")))</f>
        <v>Descartar - Linha vazia</v>
      </c>
      <c r="T731" s="4" t="str">
        <f aca="false">Base_Bruta!P731</f>
        <v>vendas_SP.xlsx</v>
      </c>
    </row>
    <row r="732" customFormat="false" ht="15" hidden="false" customHeight="false" outlineLevel="0" collapsed="false">
      <c r="A732" s="4" t="str">
        <f aca="false">IF(Base_Bruta!A732="","",Base_Bruta!A732)</f>
        <v>SP-000419</v>
      </c>
      <c r="B732" s="5" t="n">
        <f aca="false">IF($A732="","",IF(ISNUMBER(Base_Bruta!B732),Base_Bruta!B732,IF(MID(Base_Bruta!B732,5,1)="-",DATE(VALUE(LEFT(Base_Bruta!B732,4)),VALUE(MID(Base_Bruta!B732,6,2)),VALUE(RIGHT(Base_Bruta!B732,2))),DATE(VALUE(RIGHT(Base_Bruta!B732,4)),VALUE(MID(Base_Bruta!B732,4,2)),VALUE(LEFT(Base_Bruta!B732,2))))))</f>
        <v>46125</v>
      </c>
      <c r="C732" s="5" t="n">
        <f aca="false">IF($A732="","",IF(ISNUMBER(Base_Bruta!C732),Base_Bruta!C732,IF(MID(Base_Bruta!C732,5,1)="-",DATE(VALUE(LEFT(Base_Bruta!C732,4)),VALUE(MID(Base_Bruta!C732,6,2)),VALUE(RIGHT(Base_Bruta!C732,2))),DATE(VALUE(RIGHT(Base_Bruta!C732,4)),VALUE(MID(Base_Bruta!C732,4,2)),VALUE(LEFT(Base_Bruta!C732,2))))))</f>
        <v>46130</v>
      </c>
      <c r="D732" s="4" t="str">
        <f aca="false">IF($A732="","",TRIM(Base_Bruta!D732))</f>
        <v>Festival Sonora SP 2026</v>
      </c>
      <c r="E732" s="4" t="str">
        <f aca="false">IF($A732="","",_xlfn.XLOOKUP(LOWER(TRIM(Base_Bruta!E732)),DePara_Categoria!$A$2:$A$9,DePara_Categoria!$B$2:$B$9,"REVISAR"))</f>
        <v>Festival</v>
      </c>
      <c r="F732" s="4" t="str">
        <f aca="false">IF($A732="","",_xlfn.XLOOKUP(LOWER(TRIM(Base_Bruta!F732)),DePara_Cidade!$A$2:$A$29,DePara_Cidade!$B$2:$B$29,"REVISAR"))</f>
        <v>São Paulo</v>
      </c>
      <c r="G732" s="4" t="str">
        <f aca="false">IF($A732="","",TRIM(Base_Bruta!G732))</f>
        <v>Inteira</v>
      </c>
      <c r="H732" s="4" t="n">
        <f aca="false">IF($A732="","",IF(ISNUMBER(Base_Bruta!H732),Base_Bruta!H732,IFERROR(_xlfn.NUMBERVALUE(TRIM(SUBSTITUTE(Base_Bruta!H732,"R$","")),",","."),0)))</f>
        <v>2</v>
      </c>
      <c r="I732" s="6" t="n">
        <f aca="false">IF($A732="","",IF(ISNUMBER(Base_Bruta!I732),Base_Bruta!I732,IFERROR(_xlfn.NUMBERVALUE(TRIM(SUBSTITUTE(Base_Bruta!I732,"R$","")),",","."),0)))</f>
        <v>855</v>
      </c>
      <c r="J732" s="6" t="n">
        <f aca="false">IF($A732="","",H732*I732)</f>
        <v>1710</v>
      </c>
      <c r="K732" s="4" t="str">
        <f aca="false">IF($A732="","",TRIM(Base_Bruta!J732))</f>
        <v>App</v>
      </c>
      <c r="L732" s="4" t="str">
        <f aca="false">IF($A732="","",TRIM(Base_Bruta!K732))</f>
        <v>C00997</v>
      </c>
      <c r="M732" s="4" t="str">
        <f aca="false">IF($A732="","",_xlfn.XLOOKUP(LOWER(TRIM(Base_Bruta!L732)),DePara_Cidade!$A$2:$A$29,DePara_Cidade!$B$2:$B$29,"REVISAR"))</f>
        <v>Curitiba</v>
      </c>
      <c r="N732" s="4" t="str">
        <f aca="false">IF($A732="","",UPPER(TRIM(Base_Bruta!M732)))</f>
        <v>PR</v>
      </c>
      <c r="O732" s="4" t="str">
        <f aca="false">IF($A732="","",_xlfn.XLOOKUP(LOWER(TRIM(Base_Bruta!N732)),DePara_Pais!$A$2:$A$9,DePara_Pais!$B$2:$B$9,"REVISAR"))</f>
        <v>Brasil</v>
      </c>
      <c r="P732" s="4" t="str">
        <f aca="false">IF($A732="","",IF(O732&lt;&gt;"Brasil","Turista Internacional",IF(M732=F732,"Local","Turista Nacional")))</f>
        <v>Turista Nacional</v>
      </c>
      <c r="Q732" s="7" t="n">
        <f aca="false">IF($A732="","",DATE(YEAR(B732),MONTH(B732),1))</f>
        <v>46113</v>
      </c>
      <c r="R732" s="4" t="str">
        <f aca="false">IF($A732="","",IF(COUNTIF($A$2:$A732,$A732)&gt;1,"Sim","Não"))</f>
        <v>Não</v>
      </c>
      <c r="S732" s="4" t="str">
        <f aca="false">IF(A732="","Descartar - Linha vazia",IF(R732="Sim","Descartar - Duplicado",IF(OR(H732&lt;=0,I732&lt;=0),"Descartar - Qtd/Valor inválido","OK")))</f>
        <v>OK</v>
      </c>
      <c r="T732" s="4" t="str">
        <f aca="false">Base_Bruta!P732</f>
        <v>vendas_SP.xlsx</v>
      </c>
    </row>
    <row r="733" customFormat="false" ht="15" hidden="false" customHeight="false" outlineLevel="0" collapsed="false">
      <c r="A733" s="4" t="str">
        <f aca="false">IF(Base_Bruta!A733="","",Base_Bruta!A733)</f>
        <v>SP-000433</v>
      </c>
      <c r="B733" s="5" t="n">
        <f aca="false">IF($A733="","",IF(ISNUMBER(Base_Bruta!B733),Base_Bruta!B733,IF(MID(Base_Bruta!B733,5,1)="-",DATE(VALUE(LEFT(Base_Bruta!B733,4)),VALUE(MID(Base_Bruta!B733,6,2)),VALUE(RIGHT(Base_Bruta!B733,2))),DATE(VALUE(RIGHT(Base_Bruta!B733,4)),VALUE(MID(Base_Bruta!B733,4,2)),VALUE(LEFT(Base_Bruta!B733,2))))))</f>
        <v>46125</v>
      </c>
      <c r="C733" s="5" t="n">
        <f aca="false">IF($A733="","",IF(ISNUMBER(Base_Bruta!C733),Base_Bruta!C733,IF(MID(Base_Bruta!C733,5,1)="-",DATE(VALUE(LEFT(Base_Bruta!C733,4)),VALUE(MID(Base_Bruta!C733,6,2)),VALUE(RIGHT(Base_Bruta!C733,2))),DATE(VALUE(RIGHT(Base_Bruta!C733,4)),VALUE(MID(Base_Bruta!C733,4,2)),VALUE(LEFT(Base_Bruta!C733,2))))))</f>
        <v>46130</v>
      </c>
      <c r="D733" s="4" t="str">
        <f aca="false">IF($A733="","",TRIM(Base_Bruta!D733))</f>
        <v>Festival Sonora SP 2026</v>
      </c>
      <c r="E733" s="4" t="str">
        <f aca="false">IF($A733="","",_xlfn.XLOOKUP(LOWER(TRIM(Base_Bruta!E733)),DePara_Categoria!$A$2:$A$9,DePara_Categoria!$B$2:$B$9,"REVISAR"))</f>
        <v>Festival</v>
      </c>
      <c r="F733" s="4" t="str">
        <f aca="false">IF($A733="","",_xlfn.XLOOKUP(LOWER(TRIM(Base_Bruta!F733)),DePara_Cidade!$A$2:$A$29,DePara_Cidade!$B$2:$B$29,"REVISAR"))</f>
        <v>São Paulo</v>
      </c>
      <c r="G733" s="4" t="str">
        <f aca="false">IF($A733="","",TRIM(Base_Bruta!G733))</f>
        <v>Inteira</v>
      </c>
      <c r="H733" s="4" t="n">
        <f aca="false">IF($A733="","",IF(ISNUMBER(Base_Bruta!H733),Base_Bruta!H733,IFERROR(_xlfn.NUMBERVALUE(TRIM(SUBSTITUTE(Base_Bruta!H733,"R$","")),",","."),0)))</f>
        <v>2</v>
      </c>
      <c r="I733" s="6" t="n">
        <f aca="false">IF($A733="","",IF(ISNUMBER(Base_Bruta!I733),Base_Bruta!I733,IFERROR(_xlfn.NUMBERVALUE(TRIM(SUBSTITUTE(Base_Bruta!I733,"R$","")),",","."),0)))</f>
        <v>900</v>
      </c>
      <c r="J733" s="6" t="n">
        <f aca="false">IF($A733="","",H733*I733)</f>
        <v>1800</v>
      </c>
      <c r="K733" s="4" t="str">
        <f aca="false">IF($A733="","",TRIM(Base_Bruta!J733))</f>
        <v>Site</v>
      </c>
      <c r="L733" s="4" t="str">
        <f aca="false">IF($A733="","",TRIM(Base_Bruta!K733))</f>
        <v>C00837</v>
      </c>
      <c r="M733" s="4" t="str">
        <f aca="false">IF($A733="","",_xlfn.XLOOKUP(LOWER(TRIM(Base_Bruta!L733)),DePara_Cidade!$A$2:$A$29,DePara_Cidade!$B$2:$B$29,"REVISAR"))</f>
        <v>São Paulo</v>
      </c>
      <c r="N733" s="4" t="str">
        <f aca="false">IF($A733="","",UPPER(TRIM(Base_Bruta!M733)))</f>
        <v>SP</v>
      </c>
      <c r="O733" s="4" t="str">
        <f aca="false">IF($A733="","",_xlfn.XLOOKUP(LOWER(TRIM(Base_Bruta!N733)),DePara_Pais!$A$2:$A$9,DePara_Pais!$B$2:$B$9,"REVISAR"))</f>
        <v>Brasil</v>
      </c>
      <c r="P733" s="4" t="str">
        <f aca="false">IF($A733="","",IF(O733&lt;&gt;"Brasil","Turista Internacional",IF(M733=F733,"Local","Turista Nacional")))</f>
        <v>Local</v>
      </c>
      <c r="Q733" s="7" t="n">
        <f aca="false">IF($A733="","",DATE(YEAR(B733),MONTH(B733),1))</f>
        <v>46113</v>
      </c>
      <c r="R733" s="4" t="str">
        <f aca="false">IF($A733="","",IF(COUNTIF($A$2:$A733,$A733)&gt;1,"Sim","Não"))</f>
        <v>Não</v>
      </c>
      <c r="S733" s="4" t="str">
        <f aca="false">IF(A733="","Descartar - Linha vazia",IF(R733="Sim","Descartar - Duplicado",IF(OR(H733&lt;=0,I733&lt;=0),"Descartar - Qtd/Valor inválido","OK")))</f>
        <v>OK</v>
      </c>
      <c r="T733" s="4" t="str">
        <f aca="false">Base_Bruta!P733</f>
        <v>vendas_SP.xlsx</v>
      </c>
    </row>
    <row r="734" customFormat="false" ht="15" hidden="false" customHeight="false" outlineLevel="0" collapsed="false">
      <c r="A734" s="4" t="str">
        <f aca="false">IF(Base_Bruta!A734="","",Base_Bruta!A734)</f>
        <v>SP-000446</v>
      </c>
      <c r="B734" s="5" t="n">
        <f aca="false">IF($A734="","",IF(ISNUMBER(Base_Bruta!B734),Base_Bruta!B734,IF(MID(Base_Bruta!B734,5,1)="-",DATE(VALUE(LEFT(Base_Bruta!B734,4)),VALUE(MID(Base_Bruta!B734,6,2)),VALUE(RIGHT(Base_Bruta!B734,2))),DATE(VALUE(RIGHT(Base_Bruta!B734,4)),VALUE(MID(Base_Bruta!B734,4,2)),VALUE(LEFT(Base_Bruta!B734,2))))))</f>
        <v>46125</v>
      </c>
      <c r="C734" s="5" t="n">
        <f aca="false">IF($A734="","",IF(ISNUMBER(Base_Bruta!C734),Base_Bruta!C734,IF(MID(Base_Bruta!C734,5,1)="-",DATE(VALUE(LEFT(Base_Bruta!C734,4)),VALUE(MID(Base_Bruta!C734,6,2)),VALUE(RIGHT(Base_Bruta!C734,2))),DATE(VALUE(RIGHT(Base_Bruta!C734,4)),VALUE(MID(Base_Bruta!C734,4,2)),VALUE(LEFT(Base_Bruta!C734,2))))))</f>
        <v>46130</v>
      </c>
      <c r="D734" s="4" t="str">
        <f aca="false">IF($A734="","",TRIM(Base_Bruta!D734))</f>
        <v>Festival Sonora SP 2026</v>
      </c>
      <c r="E734" s="4" t="str">
        <f aca="false">IF($A734="","",_xlfn.XLOOKUP(LOWER(TRIM(Base_Bruta!E734)),DePara_Categoria!$A$2:$A$9,DePara_Categoria!$B$2:$B$9,"REVISAR"))</f>
        <v>Festival</v>
      </c>
      <c r="F734" s="4" t="str">
        <f aca="false">IF($A734="","",_xlfn.XLOOKUP(LOWER(TRIM(Base_Bruta!F734)),DePara_Cidade!$A$2:$A$29,DePara_Cidade!$B$2:$B$29,"REVISAR"))</f>
        <v>São Paulo</v>
      </c>
      <c r="G734" s="4" t="str">
        <f aca="false">IF($A734="","",TRIM(Base_Bruta!G734))</f>
        <v>Meia</v>
      </c>
      <c r="H734" s="4" t="n">
        <f aca="false">IF($A734="","",IF(ISNUMBER(Base_Bruta!H734),Base_Bruta!H734,IFERROR(_xlfn.NUMBERVALUE(TRIM(SUBSTITUTE(Base_Bruta!H734,"R$","")),",","."),0)))</f>
        <v>1</v>
      </c>
      <c r="I734" s="6" t="n">
        <f aca="false">IF($A734="","",IF(ISNUMBER(Base_Bruta!I734),Base_Bruta!I734,IFERROR(_xlfn.NUMBERVALUE(TRIM(SUBSTITUTE(Base_Bruta!I734,"R$","")),",","."),0)))</f>
        <v>330</v>
      </c>
      <c r="J734" s="6" t="n">
        <f aca="false">IF($A734="","",H734*I734)</f>
        <v>330</v>
      </c>
      <c r="K734" s="4" t="str">
        <f aca="false">IF($A734="","",TRIM(Base_Bruta!J734))</f>
        <v>Bilheteria</v>
      </c>
      <c r="L734" s="4" t="str">
        <f aca="false">IF($A734="","",TRIM(Base_Bruta!K734))</f>
        <v>C01246</v>
      </c>
      <c r="M734" s="4" t="str">
        <f aca="false">IF($A734="","",_xlfn.XLOOKUP(LOWER(TRIM(Base_Bruta!L734)),DePara_Cidade!$A$2:$A$29,DePara_Cidade!$B$2:$B$29,"REVISAR"))</f>
        <v>São Paulo</v>
      </c>
      <c r="N734" s="4" t="str">
        <f aca="false">IF($A734="","",UPPER(TRIM(Base_Bruta!M734)))</f>
        <v>SP</v>
      </c>
      <c r="O734" s="4" t="str">
        <f aca="false">IF($A734="","",_xlfn.XLOOKUP(LOWER(TRIM(Base_Bruta!N734)),DePara_Pais!$A$2:$A$9,DePara_Pais!$B$2:$B$9,"REVISAR"))</f>
        <v>Brasil</v>
      </c>
      <c r="P734" s="4" t="str">
        <f aca="false">IF($A734="","",IF(O734&lt;&gt;"Brasil","Turista Internacional",IF(M734=F734,"Local","Turista Nacional")))</f>
        <v>Local</v>
      </c>
      <c r="Q734" s="7" t="n">
        <f aca="false">IF($A734="","",DATE(YEAR(B734),MONTH(B734),1))</f>
        <v>46113</v>
      </c>
      <c r="R734" s="4" t="str">
        <f aca="false">IF($A734="","",IF(COUNTIF($A$2:$A734,$A734)&gt;1,"Sim","Não"))</f>
        <v>Não</v>
      </c>
      <c r="S734" s="4" t="str">
        <f aca="false">IF(A734="","Descartar - Linha vazia",IF(R734="Sim","Descartar - Duplicado",IF(OR(H734&lt;=0,I734&lt;=0),"Descartar - Qtd/Valor inválido","OK")))</f>
        <v>OK</v>
      </c>
      <c r="T734" s="4" t="str">
        <f aca="false">Base_Bruta!P734</f>
        <v>vendas_SP.xlsx</v>
      </c>
    </row>
    <row r="735" customFormat="false" ht="15" hidden="false" customHeight="false" outlineLevel="0" collapsed="false">
      <c r="A735" s="4" t="str">
        <f aca="false">IF(Base_Bruta!A735="","",Base_Bruta!A735)</f>
        <v>SP-000249</v>
      </c>
      <c r="B735" s="5" t="n">
        <f aca="false">IF($A735="","",IF(ISNUMBER(Base_Bruta!B735),Base_Bruta!B735,IF(MID(Base_Bruta!B735,5,1)="-",DATE(VALUE(LEFT(Base_Bruta!B735,4)),VALUE(MID(Base_Bruta!B735,6,2)),VALUE(RIGHT(Base_Bruta!B735,2))),DATE(VALUE(RIGHT(Base_Bruta!B735,4)),VALUE(MID(Base_Bruta!B735,4,2)),VALUE(LEFT(Base_Bruta!B735,2))))))</f>
        <v>46126</v>
      </c>
      <c r="C735" s="5" t="n">
        <f aca="false">IF($A735="","",IF(ISNUMBER(Base_Bruta!C735),Base_Bruta!C735,IF(MID(Base_Bruta!C735,5,1)="-",DATE(VALUE(LEFT(Base_Bruta!C735,4)),VALUE(MID(Base_Bruta!C735,6,2)),VALUE(RIGHT(Base_Bruta!C735,2))),DATE(VALUE(RIGHT(Base_Bruta!C735,4)),VALUE(MID(Base_Bruta!C735,4,2)),VALUE(LEFT(Base_Bruta!C735,2))))))</f>
        <v>46130</v>
      </c>
      <c r="D735" s="4" t="str">
        <f aca="false">IF($A735="","",TRIM(Base_Bruta!D735))</f>
        <v>Festival Sonora SP 2026</v>
      </c>
      <c r="E735" s="4" t="str">
        <f aca="false">IF($A735="","",_xlfn.XLOOKUP(LOWER(TRIM(Base_Bruta!E735)),DePara_Categoria!$A$2:$A$9,DePara_Categoria!$B$2:$B$9,"REVISAR"))</f>
        <v>Festival</v>
      </c>
      <c r="F735" s="4" t="str">
        <f aca="false">IF($A735="","",_xlfn.XLOOKUP(LOWER(TRIM(Base_Bruta!F735)),DePara_Cidade!$A$2:$A$29,DePara_Cidade!$B$2:$B$29,"REVISAR"))</f>
        <v>São Paulo</v>
      </c>
      <c r="G735" s="4" t="str">
        <f aca="false">IF($A735="","",TRIM(Base_Bruta!G735))</f>
        <v>Meia</v>
      </c>
      <c r="H735" s="4" t="n">
        <f aca="false">IF($A735="","",IF(ISNUMBER(Base_Bruta!H735),Base_Bruta!H735,IFERROR(_xlfn.NUMBERVALUE(TRIM(SUBSTITUTE(Base_Bruta!H735,"R$","")),",","."),0)))</f>
        <v>2</v>
      </c>
      <c r="I735" s="6" t="n">
        <f aca="false">IF($A735="","",IF(ISNUMBER(Base_Bruta!I735),Base_Bruta!I735,IFERROR(_xlfn.NUMBERVALUE(TRIM(SUBSTITUTE(Base_Bruta!I735,"R$","")),",","."),0)))</f>
        <v>397.5</v>
      </c>
      <c r="J735" s="6" t="n">
        <f aca="false">IF($A735="","",H735*I735)</f>
        <v>795</v>
      </c>
      <c r="K735" s="4" t="str">
        <f aca="false">IF($A735="","",TRIM(Base_Bruta!J735))</f>
        <v>App</v>
      </c>
      <c r="L735" s="4" t="str">
        <f aca="false">IF($A735="","",TRIM(Base_Bruta!K735))</f>
        <v>C01824</v>
      </c>
      <c r="M735" s="4" t="str">
        <f aca="false">IF($A735="","",_xlfn.XLOOKUP(LOWER(TRIM(Base_Bruta!L735)),DePara_Cidade!$A$2:$A$29,DePara_Cidade!$B$2:$B$29,"REVISAR"))</f>
        <v>Santos</v>
      </c>
      <c r="N735" s="4" t="str">
        <f aca="false">IF($A735="","",UPPER(TRIM(Base_Bruta!M735)))</f>
        <v>SP</v>
      </c>
      <c r="O735" s="4" t="str">
        <f aca="false">IF($A735="","",_xlfn.XLOOKUP(LOWER(TRIM(Base_Bruta!N735)),DePara_Pais!$A$2:$A$9,DePara_Pais!$B$2:$B$9,"REVISAR"))</f>
        <v>Brasil</v>
      </c>
      <c r="P735" s="4" t="str">
        <f aca="false">IF($A735="","",IF(O735&lt;&gt;"Brasil","Turista Internacional",IF(M735=F735,"Local","Turista Nacional")))</f>
        <v>Turista Nacional</v>
      </c>
      <c r="Q735" s="7" t="n">
        <f aca="false">IF($A735="","",DATE(YEAR(B735),MONTH(B735),1))</f>
        <v>46113</v>
      </c>
      <c r="R735" s="4" t="str">
        <f aca="false">IF($A735="","",IF(COUNTIF($A$2:$A735,$A735)&gt;1,"Sim","Não"))</f>
        <v>Não</v>
      </c>
      <c r="S735" s="4" t="str">
        <f aca="false">IF(A735="","Descartar - Linha vazia",IF(R735="Sim","Descartar - Duplicado",IF(OR(H735&lt;=0,I735&lt;=0),"Descartar - Qtd/Valor inválido","OK")))</f>
        <v>OK</v>
      </c>
      <c r="T735" s="4" t="str">
        <f aca="false">Base_Bruta!P735</f>
        <v>vendas_SP.xlsx</v>
      </c>
    </row>
    <row r="736" customFormat="false" ht="15" hidden="false" customHeight="false" outlineLevel="0" collapsed="false">
      <c r="A736" s="4" t="str">
        <f aca="false">IF(Base_Bruta!A736="","",Base_Bruta!A736)</f>
        <v>SP-000251</v>
      </c>
      <c r="B736" s="5" t="n">
        <f aca="false">IF($A736="","",IF(ISNUMBER(Base_Bruta!B736),Base_Bruta!B736,IF(MID(Base_Bruta!B736,5,1)="-",DATE(VALUE(LEFT(Base_Bruta!B736,4)),VALUE(MID(Base_Bruta!B736,6,2)),VALUE(RIGHT(Base_Bruta!B736,2))),DATE(VALUE(RIGHT(Base_Bruta!B736,4)),VALUE(MID(Base_Bruta!B736,4,2)),VALUE(LEFT(Base_Bruta!B736,2))))))</f>
        <v>46126</v>
      </c>
      <c r="C736" s="5" t="n">
        <f aca="false">IF($A736="","",IF(ISNUMBER(Base_Bruta!C736),Base_Bruta!C736,IF(MID(Base_Bruta!C736,5,1)="-",DATE(VALUE(LEFT(Base_Bruta!C736,4)),VALUE(MID(Base_Bruta!C736,6,2)),VALUE(RIGHT(Base_Bruta!C736,2))),DATE(VALUE(RIGHT(Base_Bruta!C736,4)),VALUE(MID(Base_Bruta!C736,4,2)),VALUE(LEFT(Base_Bruta!C736,2))))))</f>
        <v>46130</v>
      </c>
      <c r="D736" s="4" t="str">
        <f aca="false">IF($A736="","",TRIM(Base_Bruta!D736))</f>
        <v>Festival Sonora SP 2026</v>
      </c>
      <c r="E736" s="4" t="str">
        <f aca="false">IF($A736="","",_xlfn.XLOOKUP(LOWER(TRIM(Base_Bruta!E736)),DePara_Categoria!$A$2:$A$9,DePara_Categoria!$B$2:$B$9,"REVISAR"))</f>
        <v>Festival</v>
      </c>
      <c r="F736" s="4" t="str">
        <f aca="false">IF($A736="","",_xlfn.XLOOKUP(LOWER(TRIM(Base_Bruta!F736)),DePara_Cidade!$A$2:$A$29,DePara_Cidade!$B$2:$B$29,"REVISAR"))</f>
        <v>São Paulo</v>
      </c>
      <c r="G736" s="4" t="str">
        <f aca="false">IF($A736="","",TRIM(Base_Bruta!G736))</f>
        <v>Inteira</v>
      </c>
      <c r="H736" s="4" t="n">
        <f aca="false">IF($A736="","",IF(ISNUMBER(Base_Bruta!H736),Base_Bruta!H736,IFERROR(_xlfn.NUMBERVALUE(TRIM(SUBSTITUTE(Base_Bruta!H736,"R$","")),",","."),0)))</f>
        <v>2</v>
      </c>
      <c r="I736" s="6" t="n">
        <f aca="false">IF($A736="","",IF(ISNUMBER(Base_Bruta!I736),Base_Bruta!I736,IFERROR(_xlfn.NUMBERVALUE(TRIM(SUBSTITUTE(Base_Bruta!I736,"R$","")),",","."),0)))</f>
        <v>920</v>
      </c>
      <c r="J736" s="6" t="n">
        <f aca="false">IF($A736="","",H736*I736)</f>
        <v>1840</v>
      </c>
      <c r="K736" s="4" t="str">
        <f aca="false">IF($A736="","",TRIM(Base_Bruta!J736))</f>
        <v>Bilheteria</v>
      </c>
      <c r="L736" s="4" t="str">
        <f aca="false">IF($A736="","",TRIM(Base_Bruta!K736))</f>
        <v>C00686</v>
      </c>
      <c r="M736" s="4" t="str">
        <f aca="false">IF($A736="","",_xlfn.XLOOKUP(LOWER(TRIM(Base_Bruta!L736)),DePara_Cidade!$A$2:$A$29,DePara_Cidade!$B$2:$B$29,"REVISAR"))</f>
        <v>Belo Horizonte</v>
      </c>
      <c r="N736" s="4" t="str">
        <f aca="false">IF($A736="","",UPPER(TRIM(Base_Bruta!M736)))</f>
        <v>MG</v>
      </c>
      <c r="O736" s="4" t="str">
        <f aca="false">IF($A736="","",_xlfn.XLOOKUP(LOWER(TRIM(Base_Bruta!N736)),DePara_Pais!$A$2:$A$9,DePara_Pais!$B$2:$B$9,"REVISAR"))</f>
        <v>Brasil</v>
      </c>
      <c r="P736" s="4" t="str">
        <f aca="false">IF($A736="","",IF(O736&lt;&gt;"Brasil","Turista Internacional",IF(M736=F736,"Local","Turista Nacional")))</f>
        <v>Turista Nacional</v>
      </c>
      <c r="Q736" s="7" t="n">
        <f aca="false">IF($A736="","",DATE(YEAR(B736),MONTH(B736),1))</f>
        <v>46113</v>
      </c>
      <c r="R736" s="4" t="str">
        <f aca="false">IF($A736="","",IF(COUNTIF($A$2:$A736,$A736)&gt;1,"Sim","Não"))</f>
        <v>Não</v>
      </c>
      <c r="S736" s="4" t="str">
        <f aca="false">IF(A736="","Descartar - Linha vazia",IF(R736="Sim","Descartar - Duplicado",IF(OR(H736&lt;=0,I736&lt;=0),"Descartar - Qtd/Valor inválido","OK")))</f>
        <v>OK</v>
      </c>
      <c r="T736" s="4" t="str">
        <f aca="false">Base_Bruta!P736</f>
        <v>vendas_SP.xlsx</v>
      </c>
    </row>
    <row r="737" customFormat="false" ht="15" hidden="false" customHeight="false" outlineLevel="0" collapsed="false">
      <c r="A737" s="4" t="str">
        <f aca="false">IF(Base_Bruta!A737="","",Base_Bruta!A737)</f>
        <v>SP-000264</v>
      </c>
      <c r="B737" s="5" t="n">
        <f aca="false">IF($A737="","",IF(ISNUMBER(Base_Bruta!B737),Base_Bruta!B737,IF(MID(Base_Bruta!B737,5,1)="-",DATE(VALUE(LEFT(Base_Bruta!B737,4)),VALUE(MID(Base_Bruta!B737,6,2)),VALUE(RIGHT(Base_Bruta!B737,2))),DATE(VALUE(RIGHT(Base_Bruta!B737,4)),VALUE(MID(Base_Bruta!B737,4,2)),VALUE(LEFT(Base_Bruta!B737,2))))))</f>
        <v>46126</v>
      </c>
      <c r="C737" s="5" t="n">
        <f aca="false">IF($A737="","",IF(ISNUMBER(Base_Bruta!C737),Base_Bruta!C737,IF(MID(Base_Bruta!C737,5,1)="-",DATE(VALUE(LEFT(Base_Bruta!C737,4)),VALUE(MID(Base_Bruta!C737,6,2)),VALUE(RIGHT(Base_Bruta!C737,2))),DATE(VALUE(RIGHT(Base_Bruta!C737,4)),VALUE(MID(Base_Bruta!C737,4,2)),VALUE(LEFT(Base_Bruta!C737,2))))))</f>
        <v>46130</v>
      </c>
      <c r="D737" s="4" t="str">
        <f aca="false">IF($A737="","",TRIM(Base_Bruta!D737))</f>
        <v>Festival Sonora SP 2026</v>
      </c>
      <c r="E737" s="4" t="str">
        <f aca="false">IF($A737="","",_xlfn.XLOOKUP(LOWER(TRIM(Base_Bruta!E737)),DePara_Categoria!$A$2:$A$9,DePara_Categoria!$B$2:$B$9,"REVISAR"))</f>
        <v>Festival</v>
      </c>
      <c r="F737" s="4" t="str">
        <f aca="false">IF($A737="","",_xlfn.XLOOKUP(LOWER(TRIM(Base_Bruta!F737)),DePara_Cidade!$A$2:$A$29,DePara_Cidade!$B$2:$B$29,"REVISAR"))</f>
        <v>São Paulo</v>
      </c>
      <c r="G737" s="4" t="str">
        <f aca="false">IF($A737="","",TRIM(Base_Bruta!G737))</f>
        <v>Meia</v>
      </c>
      <c r="H737" s="4" t="n">
        <f aca="false">IF($A737="","",IF(ISNUMBER(Base_Bruta!H737),Base_Bruta!H737,IFERROR(_xlfn.NUMBERVALUE(TRIM(SUBSTITUTE(Base_Bruta!H737,"R$","")),",","."),0)))</f>
        <v>1</v>
      </c>
      <c r="I737" s="6" t="n">
        <f aca="false">IF($A737="","",IF(ISNUMBER(Base_Bruta!I737),Base_Bruta!I737,IFERROR(_xlfn.NUMBERVALUE(TRIM(SUBSTITUTE(Base_Bruta!I737,"R$","")),",","."),0)))</f>
        <v>530</v>
      </c>
      <c r="J737" s="6" t="n">
        <f aca="false">IF($A737="","",H737*I737)</f>
        <v>530</v>
      </c>
      <c r="K737" s="4" t="str">
        <f aca="false">IF($A737="","",TRIM(Base_Bruta!J737))</f>
        <v>Site</v>
      </c>
      <c r="L737" s="4" t="str">
        <f aca="false">IF($A737="","",TRIM(Base_Bruta!K737))</f>
        <v>C01278</v>
      </c>
      <c r="M737" s="4" t="str">
        <f aca="false">IF($A737="","",_xlfn.XLOOKUP(LOWER(TRIM(Base_Bruta!L737)),DePara_Cidade!$A$2:$A$29,DePara_Cidade!$B$2:$B$29,"REVISAR"))</f>
        <v>São Paulo</v>
      </c>
      <c r="N737" s="4" t="str">
        <f aca="false">IF($A737="","",UPPER(TRIM(Base_Bruta!M737)))</f>
        <v>SP</v>
      </c>
      <c r="O737" s="4" t="str">
        <f aca="false">IF($A737="","",_xlfn.XLOOKUP(LOWER(TRIM(Base_Bruta!N737)),DePara_Pais!$A$2:$A$9,DePara_Pais!$B$2:$B$9,"REVISAR"))</f>
        <v>Brasil</v>
      </c>
      <c r="P737" s="4" t="str">
        <f aca="false">IF($A737="","",IF(O737&lt;&gt;"Brasil","Turista Internacional",IF(M737=F737,"Local","Turista Nacional")))</f>
        <v>Local</v>
      </c>
      <c r="Q737" s="7" t="n">
        <f aca="false">IF($A737="","",DATE(YEAR(B737),MONTH(B737),1))</f>
        <v>46113</v>
      </c>
      <c r="R737" s="4" t="str">
        <f aca="false">IF($A737="","",IF(COUNTIF($A$2:$A737,$A737)&gt;1,"Sim","Não"))</f>
        <v>Não</v>
      </c>
      <c r="S737" s="4" t="str">
        <f aca="false">IF(A737="","Descartar - Linha vazia",IF(R737="Sim","Descartar - Duplicado",IF(OR(H737&lt;=0,I737&lt;=0),"Descartar - Qtd/Valor inválido","OK")))</f>
        <v>OK</v>
      </c>
      <c r="T737" s="4" t="str">
        <f aca="false">Base_Bruta!P737</f>
        <v>vendas_SP.xlsx</v>
      </c>
    </row>
    <row r="738" customFormat="false" ht="15" hidden="false" customHeight="false" outlineLevel="0" collapsed="false">
      <c r="A738" s="4" t="str">
        <f aca="false">IF(Base_Bruta!A738="","",Base_Bruta!A738)</f>
        <v>SP-000314</v>
      </c>
      <c r="B738" s="5" t="n">
        <f aca="false">IF($A738="","",IF(ISNUMBER(Base_Bruta!B738),Base_Bruta!B738,IF(MID(Base_Bruta!B738,5,1)="-",DATE(VALUE(LEFT(Base_Bruta!B738,4)),VALUE(MID(Base_Bruta!B738,6,2)),VALUE(RIGHT(Base_Bruta!B738,2))),DATE(VALUE(RIGHT(Base_Bruta!B738,4)),VALUE(MID(Base_Bruta!B738,4,2)),VALUE(LEFT(Base_Bruta!B738,2))))))</f>
        <v>46126</v>
      </c>
      <c r="C738" s="5" t="n">
        <f aca="false">IF($A738="","",IF(ISNUMBER(Base_Bruta!C738),Base_Bruta!C738,IF(MID(Base_Bruta!C738,5,1)="-",DATE(VALUE(LEFT(Base_Bruta!C738,4)),VALUE(MID(Base_Bruta!C738,6,2)),VALUE(RIGHT(Base_Bruta!C738,2))),DATE(VALUE(RIGHT(Base_Bruta!C738,4)),VALUE(MID(Base_Bruta!C738,4,2)),VALUE(LEFT(Base_Bruta!C738,2))))))</f>
        <v>46130</v>
      </c>
      <c r="D738" s="4" t="str">
        <f aca="false">IF($A738="","",TRIM(Base_Bruta!D738))</f>
        <v>Festival Sonora SP 2026</v>
      </c>
      <c r="E738" s="4" t="str">
        <f aca="false">IF($A738="","",_xlfn.XLOOKUP(LOWER(TRIM(Base_Bruta!E738)),DePara_Categoria!$A$2:$A$9,DePara_Categoria!$B$2:$B$9,"REVISAR"))</f>
        <v>Festival</v>
      </c>
      <c r="F738" s="4" t="str">
        <f aca="false">IF($A738="","",_xlfn.XLOOKUP(LOWER(TRIM(Base_Bruta!F738)),DePara_Cidade!$A$2:$A$29,DePara_Cidade!$B$2:$B$29,"REVISAR"))</f>
        <v>São Paulo</v>
      </c>
      <c r="G738" s="4" t="str">
        <f aca="false">IF($A738="","",TRIM(Base_Bruta!G738))</f>
        <v>Meia</v>
      </c>
      <c r="H738" s="4" t="n">
        <f aca="false">IF($A738="","",IF(ISNUMBER(Base_Bruta!H738),Base_Bruta!H738,IFERROR(_xlfn.NUMBERVALUE(TRIM(SUBSTITUTE(Base_Bruta!H738,"R$","")),",","."),0)))</f>
        <v>1</v>
      </c>
      <c r="I738" s="6" t="n">
        <f aca="false">IF($A738="","",IF(ISNUMBER(Base_Bruta!I738),Base_Bruta!I738,IFERROR(_xlfn.NUMBERVALUE(TRIM(SUBSTITUTE(Base_Bruta!I738,"R$","")),",","."),0)))</f>
        <v>522.5</v>
      </c>
      <c r="J738" s="6" t="n">
        <f aca="false">IF($A738="","",H738*I738)</f>
        <v>522.5</v>
      </c>
      <c r="K738" s="4" t="str">
        <f aca="false">IF($A738="","",TRIM(Base_Bruta!J738))</f>
        <v>Site</v>
      </c>
      <c r="L738" s="4" t="str">
        <f aca="false">IF($A738="","",TRIM(Base_Bruta!K738))</f>
        <v>C00016</v>
      </c>
      <c r="M738" s="4" t="str">
        <f aca="false">IF($A738="","",_xlfn.XLOOKUP(LOWER(TRIM(Base_Bruta!L738)),DePara_Cidade!$A$2:$A$29,DePara_Cidade!$B$2:$B$29,"REVISAR"))</f>
        <v>Santos</v>
      </c>
      <c r="N738" s="4" t="str">
        <f aca="false">IF($A738="","",UPPER(TRIM(Base_Bruta!M738)))</f>
        <v>SP</v>
      </c>
      <c r="O738" s="4" t="str">
        <f aca="false">IF($A738="","",_xlfn.XLOOKUP(LOWER(TRIM(Base_Bruta!N738)),DePara_Pais!$A$2:$A$9,DePara_Pais!$B$2:$B$9,"REVISAR"))</f>
        <v>Brasil</v>
      </c>
      <c r="P738" s="4" t="str">
        <f aca="false">IF($A738="","",IF(O738&lt;&gt;"Brasil","Turista Internacional",IF(M738=F738,"Local","Turista Nacional")))</f>
        <v>Turista Nacional</v>
      </c>
      <c r="Q738" s="7" t="n">
        <f aca="false">IF($A738="","",DATE(YEAR(B738),MONTH(B738),1))</f>
        <v>46113</v>
      </c>
      <c r="R738" s="4" t="str">
        <f aca="false">IF($A738="","",IF(COUNTIF($A$2:$A738,$A738)&gt;1,"Sim","Não"))</f>
        <v>Não</v>
      </c>
      <c r="S738" s="4" t="str">
        <f aca="false">IF(A738="","Descartar - Linha vazia",IF(R738="Sim","Descartar - Duplicado",IF(OR(H738&lt;=0,I738&lt;=0),"Descartar - Qtd/Valor inválido","OK")))</f>
        <v>OK</v>
      </c>
      <c r="T738" s="4" t="str">
        <f aca="false">Base_Bruta!P738</f>
        <v>vendas_SP.xlsx</v>
      </c>
    </row>
    <row r="739" customFormat="false" ht="15" hidden="false" customHeight="false" outlineLevel="0" collapsed="false">
      <c r="A739" s="4" t="str">
        <f aca="false">IF(Base_Bruta!A739="","",Base_Bruta!A739)</f>
        <v>SP-000320</v>
      </c>
      <c r="B739" s="5" t="n">
        <f aca="false">IF($A739="","",IF(ISNUMBER(Base_Bruta!B739),Base_Bruta!B739,IF(MID(Base_Bruta!B739,5,1)="-",DATE(VALUE(LEFT(Base_Bruta!B739,4)),VALUE(MID(Base_Bruta!B739,6,2)),VALUE(RIGHT(Base_Bruta!B739,2))),DATE(VALUE(RIGHT(Base_Bruta!B739,4)),VALUE(MID(Base_Bruta!B739,4,2)),VALUE(LEFT(Base_Bruta!B739,2))))))</f>
        <v>46126</v>
      </c>
      <c r="C739" s="5" t="n">
        <f aca="false">IF($A739="","",IF(ISNUMBER(Base_Bruta!C739),Base_Bruta!C739,IF(MID(Base_Bruta!C739,5,1)="-",DATE(VALUE(LEFT(Base_Bruta!C739,4)),VALUE(MID(Base_Bruta!C739,6,2)),VALUE(RIGHT(Base_Bruta!C739,2))),DATE(VALUE(RIGHT(Base_Bruta!C739,4)),VALUE(MID(Base_Bruta!C739,4,2)),VALUE(LEFT(Base_Bruta!C739,2))))))</f>
        <v>46130</v>
      </c>
      <c r="D739" s="4" t="str">
        <f aca="false">IF($A739="","",TRIM(Base_Bruta!D739))</f>
        <v>Festival Sonora SP 2026</v>
      </c>
      <c r="E739" s="4" t="str">
        <f aca="false">IF($A739="","",_xlfn.XLOOKUP(LOWER(TRIM(Base_Bruta!E739)),DePara_Categoria!$A$2:$A$9,DePara_Categoria!$B$2:$B$9,"REVISAR"))</f>
        <v>Festival</v>
      </c>
      <c r="F739" s="4" t="str">
        <f aca="false">IF($A739="","",_xlfn.XLOOKUP(LOWER(TRIM(Base_Bruta!F739)),DePara_Cidade!$A$2:$A$29,DePara_Cidade!$B$2:$B$29,"REVISAR"))</f>
        <v>São Paulo</v>
      </c>
      <c r="G739" s="4" t="str">
        <f aca="false">IF($A739="","",TRIM(Base_Bruta!G739))</f>
        <v>Inteira</v>
      </c>
      <c r="H739" s="4" t="n">
        <f aca="false">IF($A739="","",IF(ISNUMBER(Base_Bruta!H739),Base_Bruta!H739,IFERROR(_xlfn.NUMBERVALUE(TRIM(SUBSTITUTE(Base_Bruta!H739,"R$","")),",","."),0)))</f>
        <v>1</v>
      </c>
      <c r="I739" s="6" t="n">
        <f aca="false">IF($A739="","",IF(ISNUMBER(Base_Bruta!I739),Base_Bruta!I739,IFERROR(_xlfn.NUMBERVALUE(TRIM(SUBSTITUTE(Base_Bruta!I739,"R$","")),",","."),0)))</f>
        <v>975</v>
      </c>
      <c r="J739" s="6" t="n">
        <f aca="false">IF($A739="","",H739*I739)</f>
        <v>975</v>
      </c>
      <c r="K739" s="4" t="str">
        <f aca="false">IF($A739="","",TRIM(Base_Bruta!J739))</f>
        <v>Site</v>
      </c>
      <c r="L739" s="4" t="str">
        <f aca="false">IF($A739="","",TRIM(Base_Bruta!K739))</f>
        <v>C00873</v>
      </c>
      <c r="M739" s="4" t="str">
        <f aca="false">IF($A739="","",_xlfn.XLOOKUP(LOWER(TRIM(Base_Bruta!L739)),DePara_Cidade!$A$2:$A$29,DePara_Cidade!$B$2:$B$29,"REVISAR"))</f>
        <v>São Paulo</v>
      </c>
      <c r="N739" s="4" t="str">
        <f aca="false">IF($A739="","",UPPER(TRIM(Base_Bruta!M739)))</f>
        <v>SP</v>
      </c>
      <c r="O739" s="4" t="str">
        <f aca="false">IF($A739="","",_xlfn.XLOOKUP(LOWER(TRIM(Base_Bruta!N739)),DePara_Pais!$A$2:$A$9,DePara_Pais!$B$2:$B$9,"REVISAR"))</f>
        <v>Brasil</v>
      </c>
      <c r="P739" s="4" t="str">
        <f aca="false">IF($A739="","",IF(O739&lt;&gt;"Brasil","Turista Internacional",IF(M739=F739,"Local","Turista Nacional")))</f>
        <v>Local</v>
      </c>
      <c r="Q739" s="7" t="n">
        <f aca="false">IF($A739="","",DATE(YEAR(B739),MONTH(B739),1))</f>
        <v>46113</v>
      </c>
      <c r="R739" s="4" t="str">
        <f aca="false">IF($A739="","",IF(COUNTIF($A$2:$A739,$A739)&gt;1,"Sim","Não"))</f>
        <v>Não</v>
      </c>
      <c r="S739" s="4" t="str">
        <f aca="false">IF(A739="","Descartar - Linha vazia",IF(R739="Sim","Descartar - Duplicado",IF(OR(H739&lt;=0,I739&lt;=0),"Descartar - Qtd/Valor inválido","OK")))</f>
        <v>OK</v>
      </c>
      <c r="T739" s="4" t="str">
        <f aca="false">Base_Bruta!P739</f>
        <v>vendas_SP.xlsx</v>
      </c>
    </row>
    <row r="740" customFormat="false" ht="15" hidden="false" customHeight="false" outlineLevel="0" collapsed="false">
      <c r="A740" s="4" t="str">
        <f aca="false">IF(Base_Bruta!A740="","",Base_Bruta!A740)</f>
        <v>SP-000321</v>
      </c>
      <c r="B740" s="5" t="n">
        <f aca="false">IF($A740="","",IF(ISNUMBER(Base_Bruta!B740),Base_Bruta!B740,IF(MID(Base_Bruta!B740,5,1)="-",DATE(VALUE(LEFT(Base_Bruta!B740,4)),VALUE(MID(Base_Bruta!B740,6,2)),VALUE(RIGHT(Base_Bruta!B740,2))),DATE(VALUE(RIGHT(Base_Bruta!B740,4)),VALUE(MID(Base_Bruta!B740,4,2)),VALUE(LEFT(Base_Bruta!B740,2))))))</f>
        <v>46126</v>
      </c>
      <c r="C740" s="5" t="n">
        <f aca="false">IF($A740="","",IF(ISNUMBER(Base_Bruta!C740),Base_Bruta!C740,IF(MID(Base_Bruta!C740,5,1)="-",DATE(VALUE(LEFT(Base_Bruta!C740,4)),VALUE(MID(Base_Bruta!C740,6,2)),VALUE(RIGHT(Base_Bruta!C740,2))),DATE(VALUE(RIGHT(Base_Bruta!C740,4)),VALUE(MID(Base_Bruta!C740,4,2)),VALUE(LEFT(Base_Bruta!C740,2))))))</f>
        <v>46130</v>
      </c>
      <c r="D740" s="4" t="str">
        <f aca="false">IF($A740="","",TRIM(Base_Bruta!D740))</f>
        <v>Festival Sonora SP 2026</v>
      </c>
      <c r="E740" s="4" t="str">
        <f aca="false">IF($A740="","",_xlfn.XLOOKUP(LOWER(TRIM(Base_Bruta!E740)),DePara_Categoria!$A$2:$A$9,DePara_Categoria!$B$2:$B$9,"REVISAR"))</f>
        <v>Festival</v>
      </c>
      <c r="F740" s="4" t="str">
        <f aca="false">IF($A740="","",_xlfn.XLOOKUP(LOWER(TRIM(Base_Bruta!F740)),DePara_Cidade!$A$2:$A$29,DePara_Cidade!$B$2:$B$29,"REVISAR"))</f>
        <v>São Paulo</v>
      </c>
      <c r="G740" s="4" t="str">
        <f aca="false">IF($A740="","",TRIM(Base_Bruta!G740))</f>
        <v>Inteira</v>
      </c>
      <c r="H740" s="4" t="n">
        <f aca="false">IF($A740="","",IF(ISNUMBER(Base_Bruta!H740),Base_Bruta!H740,IFERROR(_xlfn.NUMBERVALUE(TRIM(SUBSTITUTE(Base_Bruta!H740,"R$","")),",","."),0)))</f>
        <v>1</v>
      </c>
      <c r="I740" s="6" t="n">
        <f aca="false">IF($A740="","",IF(ISNUMBER(Base_Bruta!I740),Base_Bruta!I740,IFERROR(_xlfn.NUMBERVALUE(TRIM(SUBSTITUTE(Base_Bruta!I740,"R$","")),",","."),0)))</f>
        <v>820</v>
      </c>
      <c r="J740" s="6" t="n">
        <f aca="false">IF($A740="","",H740*I740)</f>
        <v>820</v>
      </c>
      <c r="K740" s="4" t="str">
        <f aca="false">IF($A740="","",TRIM(Base_Bruta!J740))</f>
        <v>App</v>
      </c>
      <c r="L740" s="4" t="str">
        <f aca="false">IF($A740="","",TRIM(Base_Bruta!K740))</f>
        <v>C02294</v>
      </c>
      <c r="M740" s="4" t="str">
        <f aca="false">IF($A740="","",_xlfn.XLOOKUP(LOWER(TRIM(Base_Bruta!L740)),DePara_Cidade!$A$2:$A$29,DePara_Cidade!$B$2:$B$29,"REVISAR"))</f>
        <v>São Paulo</v>
      </c>
      <c r="N740" s="4" t="str">
        <f aca="false">IF($A740="","",UPPER(TRIM(Base_Bruta!M740)))</f>
        <v>SP</v>
      </c>
      <c r="O740" s="4" t="str">
        <f aca="false">IF($A740="","",_xlfn.XLOOKUP(LOWER(TRIM(Base_Bruta!N740)),DePara_Pais!$A$2:$A$9,DePara_Pais!$B$2:$B$9,"REVISAR"))</f>
        <v>Brasil</v>
      </c>
      <c r="P740" s="4" t="str">
        <f aca="false">IF($A740="","",IF(O740&lt;&gt;"Brasil","Turista Internacional",IF(M740=F740,"Local","Turista Nacional")))</f>
        <v>Local</v>
      </c>
      <c r="Q740" s="7" t="n">
        <f aca="false">IF($A740="","",DATE(YEAR(B740),MONTH(B740),1))</f>
        <v>46113</v>
      </c>
      <c r="R740" s="4" t="str">
        <f aca="false">IF($A740="","",IF(COUNTIF($A$2:$A740,$A740)&gt;1,"Sim","Não"))</f>
        <v>Não</v>
      </c>
      <c r="S740" s="4" t="str">
        <f aca="false">IF(A740="","Descartar - Linha vazia",IF(R740="Sim","Descartar - Duplicado",IF(OR(H740&lt;=0,I740&lt;=0),"Descartar - Qtd/Valor inválido","OK")))</f>
        <v>OK</v>
      </c>
      <c r="T740" s="4" t="str">
        <f aca="false">Base_Bruta!P740</f>
        <v>vendas_SP.xlsx</v>
      </c>
    </row>
    <row r="741" customFormat="false" ht="15" hidden="false" customHeight="false" outlineLevel="0" collapsed="false">
      <c r="A741" s="4" t="str">
        <f aca="false">IF(Base_Bruta!A741="","",Base_Bruta!A741)</f>
        <v>SP-000326</v>
      </c>
      <c r="B741" s="5" t="n">
        <f aca="false">IF($A741="","",IF(ISNUMBER(Base_Bruta!B741),Base_Bruta!B741,IF(MID(Base_Bruta!B741,5,1)="-",DATE(VALUE(LEFT(Base_Bruta!B741,4)),VALUE(MID(Base_Bruta!B741,6,2)),VALUE(RIGHT(Base_Bruta!B741,2))),DATE(VALUE(RIGHT(Base_Bruta!B741,4)),VALUE(MID(Base_Bruta!B741,4,2)),VALUE(LEFT(Base_Bruta!B741,2))))))</f>
        <v>46126</v>
      </c>
      <c r="C741" s="5" t="n">
        <f aca="false">IF($A741="","",IF(ISNUMBER(Base_Bruta!C741),Base_Bruta!C741,IF(MID(Base_Bruta!C741,5,1)="-",DATE(VALUE(LEFT(Base_Bruta!C741,4)),VALUE(MID(Base_Bruta!C741,6,2)),VALUE(RIGHT(Base_Bruta!C741,2))),DATE(VALUE(RIGHT(Base_Bruta!C741,4)),VALUE(MID(Base_Bruta!C741,4,2)),VALUE(LEFT(Base_Bruta!C741,2))))))</f>
        <v>46130</v>
      </c>
      <c r="D741" s="4" t="str">
        <f aca="false">IF($A741="","",TRIM(Base_Bruta!D741))</f>
        <v>Festival Sonora SP 2026</v>
      </c>
      <c r="E741" s="4" t="str">
        <f aca="false">IF($A741="","",_xlfn.XLOOKUP(LOWER(TRIM(Base_Bruta!E741)),DePara_Categoria!$A$2:$A$9,DePara_Categoria!$B$2:$B$9,"REVISAR"))</f>
        <v>Festival</v>
      </c>
      <c r="F741" s="4" t="str">
        <f aca="false">IF($A741="","",_xlfn.XLOOKUP(LOWER(TRIM(Base_Bruta!F741)),DePara_Cidade!$A$2:$A$29,DePara_Cidade!$B$2:$B$29,"REVISAR"))</f>
        <v>São Paulo</v>
      </c>
      <c r="G741" s="4" t="str">
        <f aca="false">IF($A741="","",TRIM(Base_Bruta!G741))</f>
        <v>Meia</v>
      </c>
      <c r="H741" s="4" t="n">
        <f aca="false">IF($A741="","",IF(ISNUMBER(Base_Bruta!H741),Base_Bruta!H741,IFERROR(_xlfn.NUMBERVALUE(TRIM(SUBSTITUTE(Base_Bruta!H741,"R$","")),",","."),0)))</f>
        <v>2</v>
      </c>
      <c r="I741" s="6" t="n">
        <f aca="false">IF($A741="","",IF(ISNUMBER(Base_Bruta!I741),Base_Bruta!I741,IFERROR(_xlfn.NUMBERVALUE(TRIM(SUBSTITUTE(Base_Bruta!I741,"R$","")),",","."),0)))</f>
        <v>410</v>
      </c>
      <c r="J741" s="6" t="n">
        <f aca="false">IF($A741="","",H741*I741)</f>
        <v>820</v>
      </c>
      <c r="K741" s="4" t="str">
        <f aca="false">IF($A741="","",TRIM(Base_Bruta!J741))</f>
        <v>Site</v>
      </c>
      <c r="L741" s="4" t="str">
        <f aca="false">IF($A741="","",TRIM(Base_Bruta!K741))</f>
        <v>C01879</v>
      </c>
      <c r="M741" s="4" t="str">
        <f aca="false">IF($A741="","",_xlfn.XLOOKUP(LOWER(TRIM(Base_Bruta!L741)),DePara_Cidade!$A$2:$A$29,DePara_Cidade!$B$2:$B$29,"REVISAR"))</f>
        <v>São Paulo</v>
      </c>
      <c r="N741" s="4" t="str">
        <f aca="false">IF($A741="","",UPPER(TRIM(Base_Bruta!M741)))</f>
        <v>SP</v>
      </c>
      <c r="O741" s="4" t="str">
        <f aca="false">IF($A741="","",_xlfn.XLOOKUP(LOWER(TRIM(Base_Bruta!N741)),DePara_Pais!$A$2:$A$9,DePara_Pais!$B$2:$B$9,"REVISAR"))</f>
        <v>Brasil</v>
      </c>
      <c r="P741" s="4" t="str">
        <f aca="false">IF($A741="","",IF(O741&lt;&gt;"Brasil","Turista Internacional",IF(M741=F741,"Local","Turista Nacional")))</f>
        <v>Local</v>
      </c>
      <c r="Q741" s="7" t="n">
        <f aca="false">IF($A741="","",DATE(YEAR(B741),MONTH(B741),1))</f>
        <v>46113</v>
      </c>
      <c r="R741" s="4" t="str">
        <f aca="false">IF($A741="","",IF(COUNTIF($A$2:$A741,$A741)&gt;1,"Sim","Não"))</f>
        <v>Não</v>
      </c>
      <c r="S741" s="4" t="str">
        <f aca="false">IF(A741="","Descartar - Linha vazia",IF(R741="Sim","Descartar - Duplicado",IF(OR(H741&lt;=0,I741&lt;=0),"Descartar - Qtd/Valor inválido","OK")))</f>
        <v>OK</v>
      </c>
      <c r="T741" s="4" t="str">
        <f aca="false">Base_Bruta!P741</f>
        <v>vendas_SP.xlsx</v>
      </c>
    </row>
    <row r="742" customFormat="false" ht="15" hidden="false" customHeight="false" outlineLevel="0" collapsed="false">
      <c r="A742" s="4" t="str">
        <f aca="false">IF(Base_Bruta!A742="","",Base_Bruta!A742)</f>
        <v>SP-000357</v>
      </c>
      <c r="B742" s="5" t="n">
        <f aca="false">IF($A742="","",IF(ISNUMBER(Base_Bruta!B742),Base_Bruta!B742,IF(MID(Base_Bruta!B742,5,1)="-",DATE(VALUE(LEFT(Base_Bruta!B742,4)),VALUE(MID(Base_Bruta!B742,6,2)),VALUE(RIGHT(Base_Bruta!B742,2))),DATE(VALUE(RIGHT(Base_Bruta!B742,4)),VALUE(MID(Base_Bruta!B742,4,2)),VALUE(LEFT(Base_Bruta!B742,2))))))</f>
        <v>46126</v>
      </c>
      <c r="C742" s="5" t="n">
        <f aca="false">IF($A742="","",IF(ISNUMBER(Base_Bruta!C742),Base_Bruta!C742,IF(MID(Base_Bruta!C742,5,1)="-",DATE(VALUE(LEFT(Base_Bruta!C742,4)),VALUE(MID(Base_Bruta!C742,6,2)),VALUE(RIGHT(Base_Bruta!C742,2))),DATE(VALUE(RIGHT(Base_Bruta!C742,4)),VALUE(MID(Base_Bruta!C742,4,2)),VALUE(LEFT(Base_Bruta!C742,2))))))</f>
        <v>46130</v>
      </c>
      <c r="D742" s="4" t="str">
        <f aca="false">IF($A742="","",TRIM(Base_Bruta!D742))</f>
        <v>Festival Sonora SP 2026</v>
      </c>
      <c r="E742" s="4" t="str">
        <f aca="false">IF($A742="","",_xlfn.XLOOKUP(LOWER(TRIM(Base_Bruta!E742)),DePara_Categoria!$A$2:$A$9,DePara_Categoria!$B$2:$B$9,"REVISAR"))</f>
        <v>Festival</v>
      </c>
      <c r="F742" s="4" t="str">
        <f aca="false">IF($A742="","",_xlfn.XLOOKUP(LOWER(TRIM(Base_Bruta!F742)),DePara_Cidade!$A$2:$A$29,DePara_Cidade!$B$2:$B$29,"REVISAR"))</f>
        <v>São Paulo</v>
      </c>
      <c r="G742" s="4" t="str">
        <f aca="false">IF($A742="","",TRIM(Base_Bruta!G742))</f>
        <v>Meia</v>
      </c>
      <c r="H742" s="4" t="n">
        <f aca="false">IF($A742="","",IF(ISNUMBER(Base_Bruta!H742),Base_Bruta!H742,IFERROR(_xlfn.NUMBERVALUE(TRIM(SUBSTITUTE(Base_Bruta!H742,"R$","")),",","."),0)))</f>
        <v>3</v>
      </c>
      <c r="I742" s="6" t="n">
        <f aca="false">IF($A742="","",IF(ISNUMBER(Base_Bruta!I742),Base_Bruta!I742,IFERROR(_xlfn.NUMBERVALUE(TRIM(SUBSTITUTE(Base_Bruta!I742,"R$","")),",","."),0)))</f>
        <v>540</v>
      </c>
      <c r="J742" s="6" t="n">
        <f aca="false">IF($A742="","",H742*I742)</f>
        <v>1620</v>
      </c>
      <c r="K742" s="4" t="str">
        <f aca="false">IF($A742="","",TRIM(Base_Bruta!J742))</f>
        <v>App</v>
      </c>
      <c r="L742" s="4" t="str">
        <f aca="false">IF($A742="","",TRIM(Base_Bruta!K742))</f>
        <v>C02313</v>
      </c>
      <c r="M742" s="4" t="str">
        <f aca="false">IF($A742="","",_xlfn.XLOOKUP(LOWER(TRIM(Base_Bruta!L742)),DePara_Cidade!$A$2:$A$29,DePara_Cidade!$B$2:$B$29,"REVISAR"))</f>
        <v>Curitiba</v>
      </c>
      <c r="N742" s="4" t="str">
        <f aca="false">IF($A742="","",UPPER(TRIM(Base_Bruta!M742)))</f>
        <v>PR</v>
      </c>
      <c r="O742" s="4" t="str">
        <f aca="false">IF($A742="","",_xlfn.XLOOKUP(LOWER(TRIM(Base_Bruta!N742)),DePara_Pais!$A$2:$A$9,DePara_Pais!$B$2:$B$9,"REVISAR"))</f>
        <v>Brasil</v>
      </c>
      <c r="P742" s="4" t="str">
        <f aca="false">IF($A742="","",IF(O742&lt;&gt;"Brasil","Turista Internacional",IF(M742=F742,"Local","Turista Nacional")))</f>
        <v>Turista Nacional</v>
      </c>
      <c r="Q742" s="7" t="n">
        <f aca="false">IF($A742="","",DATE(YEAR(B742),MONTH(B742),1))</f>
        <v>46113</v>
      </c>
      <c r="R742" s="4" t="str">
        <f aca="false">IF($A742="","",IF(COUNTIF($A$2:$A742,$A742)&gt;1,"Sim","Não"))</f>
        <v>Não</v>
      </c>
      <c r="S742" s="4" t="str">
        <f aca="false">IF(A742="","Descartar - Linha vazia",IF(R742="Sim","Descartar - Duplicado",IF(OR(H742&lt;=0,I742&lt;=0),"Descartar - Qtd/Valor inválido","OK")))</f>
        <v>OK</v>
      </c>
      <c r="T742" s="4" t="str">
        <f aca="false">Base_Bruta!P742</f>
        <v>vendas_SP.xlsx</v>
      </c>
    </row>
    <row r="743" customFormat="false" ht="15" hidden="false" customHeight="false" outlineLevel="0" collapsed="false">
      <c r="A743" s="4" t="str">
        <f aca="false">IF(Base_Bruta!A743="","",Base_Bruta!A743)</f>
        <v>SP-000388</v>
      </c>
      <c r="B743" s="5" t="n">
        <f aca="false">IF($A743="","",IF(ISNUMBER(Base_Bruta!B743),Base_Bruta!B743,IF(MID(Base_Bruta!B743,5,1)="-",DATE(VALUE(LEFT(Base_Bruta!B743,4)),VALUE(MID(Base_Bruta!B743,6,2)),VALUE(RIGHT(Base_Bruta!B743,2))),DATE(VALUE(RIGHT(Base_Bruta!B743,4)),VALUE(MID(Base_Bruta!B743,4,2)),VALUE(LEFT(Base_Bruta!B743,2))))))</f>
        <v>46126</v>
      </c>
      <c r="C743" s="5" t="n">
        <f aca="false">IF($A743="","",IF(ISNUMBER(Base_Bruta!C743),Base_Bruta!C743,IF(MID(Base_Bruta!C743,5,1)="-",DATE(VALUE(LEFT(Base_Bruta!C743,4)),VALUE(MID(Base_Bruta!C743,6,2)),VALUE(RIGHT(Base_Bruta!C743,2))),DATE(VALUE(RIGHT(Base_Bruta!C743,4)),VALUE(MID(Base_Bruta!C743,4,2)),VALUE(LEFT(Base_Bruta!C743,2))))))</f>
        <v>46130</v>
      </c>
      <c r="D743" s="4" t="str">
        <f aca="false">IF($A743="","",TRIM(Base_Bruta!D743))</f>
        <v>Festival Sonora SP 2026</v>
      </c>
      <c r="E743" s="4" t="str">
        <f aca="false">IF($A743="","",_xlfn.XLOOKUP(LOWER(TRIM(Base_Bruta!E743)),DePara_Categoria!$A$2:$A$9,DePara_Categoria!$B$2:$B$9,"REVISAR"))</f>
        <v>Festival</v>
      </c>
      <c r="F743" s="4" t="str">
        <f aca="false">IF($A743="","",_xlfn.XLOOKUP(LOWER(TRIM(Base_Bruta!F743)),DePara_Cidade!$A$2:$A$29,DePara_Cidade!$B$2:$B$29,"REVISAR"))</f>
        <v>São Paulo</v>
      </c>
      <c r="G743" s="4" t="str">
        <f aca="false">IF($A743="","",TRIM(Base_Bruta!G743))</f>
        <v>Inteira</v>
      </c>
      <c r="H743" s="4" t="n">
        <f aca="false">IF($A743="","",IF(ISNUMBER(Base_Bruta!H743),Base_Bruta!H743,IFERROR(_xlfn.NUMBERVALUE(TRIM(SUBSTITUTE(Base_Bruta!H743,"R$","")),",","."),0)))</f>
        <v>1</v>
      </c>
      <c r="I743" s="6" t="n">
        <f aca="false">IF($A743="","",IF(ISNUMBER(Base_Bruta!I743),Base_Bruta!I743,IFERROR(_xlfn.NUMBERVALUE(TRIM(SUBSTITUTE(Base_Bruta!I743,"R$","")),",","."),0)))</f>
        <v>655</v>
      </c>
      <c r="J743" s="6" t="n">
        <f aca="false">IF($A743="","",H743*I743)</f>
        <v>655</v>
      </c>
      <c r="K743" s="4" t="str">
        <f aca="false">IF($A743="","",TRIM(Base_Bruta!J743))</f>
        <v>App</v>
      </c>
      <c r="L743" s="4" t="str">
        <f aca="false">IF($A743="","",TRIM(Base_Bruta!K743))</f>
        <v>C01088</v>
      </c>
      <c r="M743" s="4" t="str">
        <f aca="false">IF($A743="","",_xlfn.XLOOKUP(LOWER(TRIM(Base_Bruta!L743)),DePara_Cidade!$A$2:$A$29,DePara_Cidade!$B$2:$B$29,"REVISAR"))</f>
        <v>São Paulo</v>
      </c>
      <c r="N743" s="4" t="str">
        <f aca="false">IF($A743="","",UPPER(TRIM(Base_Bruta!M743)))</f>
        <v>SP</v>
      </c>
      <c r="O743" s="4" t="str">
        <f aca="false">IF($A743="","",_xlfn.XLOOKUP(LOWER(TRIM(Base_Bruta!N743)),DePara_Pais!$A$2:$A$9,DePara_Pais!$B$2:$B$9,"REVISAR"))</f>
        <v>Brasil</v>
      </c>
      <c r="P743" s="4" t="str">
        <f aca="false">IF($A743="","",IF(O743&lt;&gt;"Brasil","Turista Internacional",IF(M743=F743,"Local","Turista Nacional")))</f>
        <v>Local</v>
      </c>
      <c r="Q743" s="7" t="n">
        <f aca="false">IF($A743="","",DATE(YEAR(B743),MONTH(B743),1))</f>
        <v>46113</v>
      </c>
      <c r="R743" s="4" t="str">
        <f aca="false">IF($A743="","",IF(COUNTIF($A$2:$A743,$A743)&gt;1,"Sim","Não"))</f>
        <v>Não</v>
      </c>
      <c r="S743" s="4" t="str">
        <f aca="false">IF(A743="","Descartar - Linha vazia",IF(R743="Sim","Descartar - Duplicado",IF(OR(H743&lt;=0,I743&lt;=0),"Descartar - Qtd/Valor inválido","OK")))</f>
        <v>OK</v>
      </c>
      <c r="T743" s="4" t="str">
        <f aca="false">Base_Bruta!P743</f>
        <v>vendas_SP.xlsx</v>
      </c>
    </row>
    <row r="744" customFormat="false" ht="15" hidden="false" customHeight="false" outlineLevel="0" collapsed="false">
      <c r="A744" s="4" t="str">
        <f aca="false">IF(Base_Bruta!A744="","",Base_Bruta!A744)</f>
        <v>SP-000455</v>
      </c>
      <c r="B744" s="5" t="n">
        <f aca="false">IF($A744="","",IF(ISNUMBER(Base_Bruta!B744),Base_Bruta!B744,IF(MID(Base_Bruta!B744,5,1)="-",DATE(VALUE(LEFT(Base_Bruta!B744,4)),VALUE(MID(Base_Bruta!B744,6,2)),VALUE(RIGHT(Base_Bruta!B744,2))),DATE(VALUE(RIGHT(Base_Bruta!B744,4)),VALUE(MID(Base_Bruta!B744,4,2)),VALUE(LEFT(Base_Bruta!B744,2))))))</f>
        <v>46126</v>
      </c>
      <c r="C744" s="5" t="n">
        <f aca="false">IF($A744="","",IF(ISNUMBER(Base_Bruta!C744),Base_Bruta!C744,IF(MID(Base_Bruta!C744,5,1)="-",DATE(VALUE(LEFT(Base_Bruta!C744,4)),VALUE(MID(Base_Bruta!C744,6,2)),VALUE(RIGHT(Base_Bruta!C744,2))),DATE(VALUE(RIGHT(Base_Bruta!C744,4)),VALUE(MID(Base_Bruta!C744,4,2)),VALUE(LEFT(Base_Bruta!C744,2))))))</f>
        <v>46130</v>
      </c>
      <c r="D744" s="4" t="str">
        <f aca="false">IF($A744="","",TRIM(Base_Bruta!D744))</f>
        <v>Festival Sonora SP 2026</v>
      </c>
      <c r="E744" s="4" t="str">
        <f aca="false">IF($A744="","",_xlfn.XLOOKUP(LOWER(TRIM(Base_Bruta!E744)),DePara_Categoria!$A$2:$A$9,DePara_Categoria!$B$2:$B$9,"REVISAR"))</f>
        <v>Festival</v>
      </c>
      <c r="F744" s="4" t="str">
        <f aca="false">IF($A744="","",_xlfn.XLOOKUP(LOWER(TRIM(Base_Bruta!F744)),DePara_Cidade!$A$2:$A$29,DePara_Cidade!$B$2:$B$29,"REVISAR"))</f>
        <v>São Paulo</v>
      </c>
      <c r="G744" s="4" t="str">
        <f aca="false">IF($A744="","",TRIM(Base_Bruta!G744))</f>
        <v>VIP</v>
      </c>
      <c r="H744" s="4" t="n">
        <f aca="false">IF($A744="","",IF(ISNUMBER(Base_Bruta!H744),Base_Bruta!H744,IFERROR(_xlfn.NUMBERVALUE(TRIM(SUBSTITUTE(Base_Bruta!H744,"R$","")),",","."),0)))</f>
        <v>1</v>
      </c>
      <c r="I744" s="6" t="n">
        <f aca="false">IF($A744="","",IF(ISNUMBER(Base_Bruta!I744),Base_Bruta!I744,IFERROR(_xlfn.NUMBERVALUE(TRIM(SUBSTITUTE(Base_Bruta!I744,"R$","")),",","."),0)))</f>
        <v>1420</v>
      </c>
      <c r="J744" s="6" t="n">
        <f aca="false">IF($A744="","",H744*I744)</f>
        <v>1420</v>
      </c>
      <c r="K744" s="4" t="str">
        <f aca="false">IF($A744="","",TRIM(Base_Bruta!J744))</f>
        <v>Parceiro</v>
      </c>
      <c r="L744" s="4" t="str">
        <f aca="false">IF($A744="","",TRIM(Base_Bruta!K744))</f>
        <v>C00797</v>
      </c>
      <c r="M744" s="4" t="str">
        <f aca="false">IF($A744="","",_xlfn.XLOOKUP(LOWER(TRIM(Base_Bruta!L744)),DePara_Cidade!$A$2:$A$29,DePara_Cidade!$B$2:$B$29,"REVISAR"))</f>
        <v>Niterói</v>
      </c>
      <c r="N744" s="4" t="str">
        <f aca="false">IF($A744="","",UPPER(TRIM(Base_Bruta!M744)))</f>
        <v>RJ</v>
      </c>
      <c r="O744" s="4" t="str">
        <f aca="false">IF($A744="","",_xlfn.XLOOKUP(LOWER(TRIM(Base_Bruta!N744)),DePara_Pais!$A$2:$A$9,DePara_Pais!$B$2:$B$9,"REVISAR"))</f>
        <v>Brasil</v>
      </c>
      <c r="P744" s="4" t="str">
        <f aca="false">IF($A744="","",IF(O744&lt;&gt;"Brasil","Turista Internacional",IF(M744=F744,"Local","Turista Nacional")))</f>
        <v>Turista Nacional</v>
      </c>
      <c r="Q744" s="7" t="n">
        <f aca="false">IF($A744="","",DATE(YEAR(B744),MONTH(B744),1))</f>
        <v>46113</v>
      </c>
      <c r="R744" s="4" t="str">
        <f aca="false">IF($A744="","",IF(COUNTIF($A$2:$A744,$A744)&gt;1,"Sim","Não"))</f>
        <v>Não</v>
      </c>
      <c r="S744" s="4" t="str">
        <f aca="false">IF(A744="","Descartar - Linha vazia",IF(R744="Sim","Descartar - Duplicado",IF(OR(H744&lt;=0,I744&lt;=0),"Descartar - Qtd/Valor inválido","OK")))</f>
        <v>OK</v>
      </c>
      <c r="T744" s="4" t="str">
        <f aca="false">Base_Bruta!P744</f>
        <v>vendas_SP.xlsx</v>
      </c>
    </row>
    <row r="745" customFormat="false" ht="15" hidden="false" customHeight="false" outlineLevel="0" collapsed="false">
      <c r="A745" s="4" t="str">
        <f aca="false">IF(Base_Bruta!A745="","",Base_Bruta!A745)</f>
        <v>SP-000244</v>
      </c>
      <c r="B745" s="5" t="n">
        <f aca="false">IF($A745="","",IF(ISNUMBER(Base_Bruta!B745),Base_Bruta!B745,IF(MID(Base_Bruta!B745,5,1)="-",DATE(VALUE(LEFT(Base_Bruta!B745,4)),VALUE(MID(Base_Bruta!B745,6,2)),VALUE(RIGHT(Base_Bruta!B745,2))),DATE(VALUE(RIGHT(Base_Bruta!B745,4)),VALUE(MID(Base_Bruta!B745,4,2)),VALUE(LEFT(Base_Bruta!B745,2))))))</f>
        <v>46127</v>
      </c>
      <c r="C745" s="5" t="n">
        <f aca="false">IF($A745="","",IF(ISNUMBER(Base_Bruta!C745),Base_Bruta!C745,IF(MID(Base_Bruta!C745,5,1)="-",DATE(VALUE(LEFT(Base_Bruta!C745,4)),VALUE(MID(Base_Bruta!C745,6,2)),VALUE(RIGHT(Base_Bruta!C745,2))),DATE(VALUE(RIGHT(Base_Bruta!C745,4)),VALUE(MID(Base_Bruta!C745,4,2)),VALUE(LEFT(Base_Bruta!C745,2))))))</f>
        <v>46130</v>
      </c>
      <c r="D745" s="4" t="str">
        <f aca="false">IF($A745="","",TRIM(Base_Bruta!D745))</f>
        <v>Festival Sonora SP 2026</v>
      </c>
      <c r="E745" s="4" t="str">
        <f aca="false">IF($A745="","",_xlfn.XLOOKUP(LOWER(TRIM(Base_Bruta!E745)),DePara_Categoria!$A$2:$A$9,DePara_Categoria!$B$2:$B$9,"REVISAR"))</f>
        <v>Festival</v>
      </c>
      <c r="F745" s="4" t="str">
        <f aca="false">IF($A745="","",_xlfn.XLOOKUP(LOWER(TRIM(Base_Bruta!F745)),DePara_Cidade!$A$2:$A$29,DePara_Cidade!$B$2:$B$29,"REVISAR"))</f>
        <v>São Paulo</v>
      </c>
      <c r="G745" s="4" t="str">
        <f aca="false">IF($A745="","",TRIM(Base_Bruta!G745))</f>
        <v>Inteira</v>
      </c>
      <c r="H745" s="4" t="n">
        <f aca="false">IF($A745="","",IF(ISNUMBER(Base_Bruta!H745),Base_Bruta!H745,IFERROR(_xlfn.NUMBERVALUE(TRIM(SUBSTITUTE(Base_Bruta!H745,"R$","")),",","."),0)))</f>
        <v>1</v>
      </c>
      <c r="I745" s="6" t="n">
        <f aca="false">IF($A745="","",IF(ISNUMBER(Base_Bruta!I745),Base_Bruta!I745,IFERROR(_xlfn.NUMBERVALUE(TRIM(SUBSTITUTE(Base_Bruta!I745,"R$","")),",","."),0)))</f>
        <v>1050</v>
      </c>
      <c r="J745" s="6" t="n">
        <f aca="false">IF($A745="","",H745*I745)</f>
        <v>1050</v>
      </c>
      <c r="K745" s="4" t="str">
        <f aca="false">IF($A745="","",TRIM(Base_Bruta!J745))</f>
        <v>Site</v>
      </c>
      <c r="L745" s="4" t="str">
        <f aca="false">IF($A745="","",TRIM(Base_Bruta!K745))</f>
        <v>C02360</v>
      </c>
      <c r="M745" s="4" t="str">
        <f aca="false">IF($A745="","",_xlfn.XLOOKUP(LOWER(TRIM(Base_Bruta!L745)),DePara_Cidade!$A$2:$A$29,DePara_Cidade!$B$2:$B$29,"REVISAR"))</f>
        <v>Miami</v>
      </c>
      <c r="N745" s="4" t="str">
        <f aca="false">IF($A745="","",UPPER(TRIM(Base_Bruta!M745)))</f>
        <v>EX</v>
      </c>
      <c r="O745" s="4" t="str">
        <f aca="false">IF($A745="","",_xlfn.XLOOKUP(LOWER(TRIM(Base_Bruta!N745)),DePara_Pais!$A$2:$A$9,DePara_Pais!$B$2:$B$9,"REVISAR"))</f>
        <v>EUA</v>
      </c>
      <c r="P745" s="4" t="str">
        <f aca="false">IF($A745="","",IF(O745&lt;&gt;"Brasil","Turista Internacional",IF(M745=F745,"Local","Turista Nacional")))</f>
        <v>Turista Internacional</v>
      </c>
      <c r="Q745" s="7" t="n">
        <f aca="false">IF($A745="","",DATE(YEAR(B745),MONTH(B745),1))</f>
        <v>46113</v>
      </c>
      <c r="R745" s="4" t="str">
        <f aca="false">IF($A745="","",IF(COUNTIF($A$2:$A745,$A745)&gt;1,"Sim","Não"))</f>
        <v>Não</v>
      </c>
      <c r="S745" s="4" t="str">
        <f aca="false">IF(A745="","Descartar - Linha vazia",IF(R745="Sim","Descartar - Duplicado",IF(OR(H745&lt;=0,I745&lt;=0),"Descartar - Qtd/Valor inválido","OK")))</f>
        <v>OK</v>
      </c>
      <c r="T745" s="4" t="str">
        <f aca="false">Base_Bruta!P745</f>
        <v>vendas_SP.xlsx</v>
      </c>
    </row>
    <row r="746" customFormat="false" ht="15" hidden="false" customHeight="false" outlineLevel="0" collapsed="false">
      <c r="A746" s="4" t="str">
        <f aca="false">IF(Base_Bruta!A746="","",Base_Bruta!A746)</f>
        <v>SP-000263</v>
      </c>
      <c r="B746" s="5" t="n">
        <f aca="false">IF($A746="","",IF(ISNUMBER(Base_Bruta!B746),Base_Bruta!B746,IF(MID(Base_Bruta!B746,5,1)="-",DATE(VALUE(LEFT(Base_Bruta!B746,4)),VALUE(MID(Base_Bruta!B746,6,2)),VALUE(RIGHT(Base_Bruta!B746,2))),DATE(VALUE(RIGHT(Base_Bruta!B746,4)),VALUE(MID(Base_Bruta!B746,4,2)),VALUE(LEFT(Base_Bruta!B746,2))))))</f>
        <v>46127</v>
      </c>
      <c r="C746" s="5" t="n">
        <f aca="false">IF($A746="","",IF(ISNUMBER(Base_Bruta!C746),Base_Bruta!C746,IF(MID(Base_Bruta!C746,5,1)="-",DATE(VALUE(LEFT(Base_Bruta!C746,4)),VALUE(MID(Base_Bruta!C746,6,2)),VALUE(RIGHT(Base_Bruta!C746,2))),DATE(VALUE(RIGHT(Base_Bruta!C746,4)),VALUE(MID(Base_Bruta!C746,4,2)),VALUE(LEFT(Base_Bruta!C746,2))))))</f>
        <v>46130</v>
      </c>
      <c r="D746" s="4" t="str">
        <f aca="false">IF($A746="","",TRIM(Base_Bruta!D746))</f>
        <v>Festival Sonora SP 2026</v>
      </c>
      <c r="E746" s="4" t="str">
        <f aca="false">IF($A746="","",_xlfn.XLOOKUP(LOWER(TRIM(Base_Bruta!E746)),DePara_Categoria!$A$2:$A$9,DePara_Categoria!$B$2:$B$9,"REVISAR"))</f>
        <v>Festival</v>
      </c>
      <c r="F746" s="4" t="str">
        <f aca="false">IF($A746="","",_xlfn.XLOOKUP(LOWER(TRIM(Base_Bruta!F746)),DePara_Cidade!$A$2:$A$29,DePara_Cidade!$B$2:$B$29,"REVISAR"))</f>
        <v>São Paulo</v>
      </c>
      <c r="G746" s="4" t="str">
        <f aca="false">IF($A746="","",TRIM(Base_Bruta!G746))</f>
        <v>Inteira</v>
      </c>
      <c r="H746" s="4" t="n">
        <f aca="false">IF($A746="","",IF(ISNUMBER(Base_Bruta!H746),Base_Bruta!H746,IFERROR(_xlfn.NUMBERVALUE(TRIM(SUBSTITUTE(Base_Bruta!H746,"R$","")),",","."),0)))</f>
        <v>1</v>
      </c>
      <c r="I746" s="6" t="n">
        <f aca="false">IF($A746="","",IF(ISNUMBER(Base_Bruta!I746),Base_Bruta!I746,IFERROR(_xlfn.NUMBERVALUE(TRIM(SUBSTITUTE(Base_Bruta!I746,"R$","")),",","."),0)))</f>
        <v>705</v>
      </c>
      <c r="J746" s="6" t="n">
        <f aca="false">IF($A746="","",H746*I746)</f>
        <v>705</v>
      </c>
      <c r="K746" s="4" t="str">
        <f aca="false">IF($A746="","",TRIM(Base_Bruta!J746))</f>
        <v>Site</v>
      </c>
      <c r="L746" s="4" t="str">
        <f aca="false">IF($A746="","",TRIM(Base_Bruta!K746))</f>
        <v>C01660</v>
      </c>
      <c r="M746" s="4" t="str">
        <f aca="false">IF($A746="","",_xlfn.XLOOKUP(LOWER(TRIM(Base_Bruta!L746)),DePara_Cidade!$A$2:$A$29,DePara_Cidade!$B$2:$B$29,"REVISAR"))</f>
        <v>Brasília</v>
      </c>
      <c r="N746" s="4" t="str">
        <f aca="false">IF($A746="","",UPPER(TRIM(Base_Bruta!M746)))</f>
        <v>DF</v>
      </c>
      <c r="O746" s="4" t="str">
        <f aca="false">IF($A746="","",_xlfn.XLOOKUP(LOWER(TRIM(Base_Bruta!N746)),DePara_Pais!$A$2:$A$9,DePara_Pais!$B$2:$B$9,"REVISAR"))</f>
        <v>Brasil</v>
      </c>
      <c r="P746" s="4" t="str">
        <f aca="false">IF($A746="","",IF(O746&lt;&gt;"Brasil","Turista Internacional",IF(M746=F746,"Local","Turista Nacional")))</f>
        <v>Turista Nacional</v>
      </c>
      <c r="Q746" s="7" t="n">
        <f aca="false">IF($A746="","",DATE(YEAR(B746),MONTH(B746),1))</f>
        <v>46113</v>
      </c>
      <c r="R746" s="4" t="str">
        <f aca="false">IF($A746="","",IF(COUNTIF($A$2:$A746,$A746)&gt;1,"Sim","Não"))</f>
        <v>Não</v>
      </c>
      <c r="S746" s="4" t="str">
        <f aca="false">IF(A746="","Descartar - Linha vazia",IF(R746="Sim","Descartar - Duplicado",IF(OR(H746&lt;=0,I746&lt;=0),"Descartar - Qtd/Valor inválido","OK")))</f>
        <v>OK</v>
      </c>
      <c r="T746" s="4" t="str">
        <f aca="false">Base_Bruta!P746</f>
        <v>vendas_SP.xlsx</v>
      </c>
    </row>
    <row r="747" customFormat="false" ht="15" hidden="false" customHeight="false" outlineLevel="0" collapsed="false">
      <c r="A747" s="4" t="str">
        <f aca="false">IF(Base_Bruta!A747="","",Base_Bruta!A747)</f>
        <v>SP-000310</v>
      </c>
      <c r="B747" s="5" t="n">
        <f aca="false">IF($A747="","",IF(ISNUMBER(Base_Bruta!B747),Base_Bruta!B747,IF(MID(Base_Bruta!B747,5,1)="-",DATE(VALUE(LEFT(Base_Bruta!B747,4)),VALUE(MID(Base_Bruta!B747,6,2)),VALUE(RIGHT(Base_Bruta!B747,2))),DATE(VALUE(RIGHT(Base_Bruta!B747,4)),VALUE(MID(Base_Bruta!B747,4,2)),VALUE(LEFT(Base_Bruta!B747,2))))))</f>
        <v>46127</v>
      </c>
      <c r="C747" s="5" t="n">
        <f aca="false">IF($A747="","",IF(ISNUMBER(Base_Bruta!C747),Base_Bruta!C747,IF(MID(Base_Bruta!C747,5,1)="-",DATE(VALUE(LEFT(Base_Bruta!C747,4)),VALUE(MID(Base_Bruta!C747,6,2)),VALUE(RIGHT(Base_Bruta!C747,2))),DATE(VALUE(RIGHT(Base_Bruta!C747,4)),VALUE(MID(Base_Bruta!C747,4,2)),VALUE(LEFT(Base_Bruta!C747,2))))))</f>
        <v>46130</v>
      </c>
      <c r="D747" s="4" t="str">
        <f aca="false">IF($A747="","",TRIM(Base_Bruta!D747))</f>
        <v>Festival Sonora SP 2026</v>
      </c>
      <c r="E747" s="4" t="str">
        <f aca="false">IF($A747="","",_xlfn.XLOOKUP(LOWER(TRIM(Base_Bruta!E747)),DePara_Categoria!$A$2:$A$9,DePara_Categoria!$B$2:$B$9,"REVISAR"))</f>
        <v>Festival</v>
      </c>
      <c r="F747" s="4" t="str">
        <f aca="false">IF($A747="","",_xlfn.XLOOKUP(LOWER(TRIM(Base_Bruta!F747)),DePara_Cidade!$A$2:$A$29,DePara_Cidade!$B$2:$B$29,"REVISAR"))</f>
        <v>São Paulo</v>
      </c>
      <c r="G747" s="4" t="str">
        <f aca="false">IF($A747="","",TRIM(Base_Bruta!G747))</f>
        <v>Inteira</v>
      </c>
      <c r="H747" s="4" t="n">
        <f aca="false">IF($A747="","",IF(ISNUMBER(Base_Bruta!H747),Base_Bruta!H747,IFERROR(_xlfn.NUMBERVALUE(TRIM(SUBSTITUTE(Base_Bruta!H747,"R$","")),",","."),0)))</f>
        <v>1</v>
      </c>
      <c r="I747" s="6" t="n">
        <f aca="false">IF($A747="","",IF(ISNUMBER(Base_Bruta!I747),Base_Bruta!I747,IFERROR(_xlfn.NUMBERVALUE(TRIM(SUBSTITUTE(Base_Bruta!I747,"R$","")),",","."),0)))</f>
        <v>1105</v>
      </c>
      <c r="J747" s="6" t="n">
        <f aca="false">IF($A747="","",H747*I747)</f>
        <v>1105</v>
      </c>
      <c r="K747" s="4" t="str">
        <f aca="false">IF($A747="","",TRIM(Base_Bruta!J747))</f>
        <v>Parceiro</v>
      </c>
      <c r="L747" s="4" t="str">
        <f aca="false">IF($A747="","",TRIM(Base_Bruta!K747))</f>
        <v>C00590</v>
      </c>
      <c r="M747" s="4" t="str">
        <f aca="false">IF($A747="","",_xlfn.XLOOKUP(LOWER(TRIM(Base_Bruta!L747)),DePara_Cidade!$A$2:$A$29,DePara_Cidade!$B$2:$B$29,"REVISAR"))</f>
        <v>Buenos Aires</v>
      </c>
      <c r="N747" s="4" t="str">
        <f aca="false">IF($A747="","",UPPER(TRIM(Base_Bruta!M747)))</f>
        <v>EX</v>
      </c>
      <c r="O747" s="4" t="str">
        <f aca="false">IF($A747="","",_xlfn.XLOOKUP(LOWER(TRIM(Base_Bruta!N747)),DePara_Pais!$A$2:$A$9,DePara_Pais!$B$2:$B$9,"REVISAR"))</f>
        <v>Argentina</v>
      </c>
      <c r="P747" s="4" t="str">
        <f aca="false">IF($A747="","",IF(O747&lt;&gt;"Brasil","Turista Internacional",IF(M747=F747,"Local","Turista Nacional")))</f>
        <v>Turista Internacional</v>
      </c>
      <c r="Q747" s="7" t="n">
        <f aca="false">IF($A747="","",DATE(YEAR(B747),MONTH(B747),1))</f>
        <v>46113</v>
      </c>
      <c r="R747" s="4" t="str">
        <f aca="false">IF($A747="","",IF(COUNTIF($A$2:$A747,$A747)&gt;1,"Sim","Não"))</f>
        <v>Não</v>
      </c>
      <c r="S747" s="4" t="str">
        <f aca="false">IF(A747="","Descartar - Linha vazia",IF(R747="Sim","Descartar - Duplicado",IF(OR(H747&lt;=0,I747&lt;=0),"Descartar - Qtd/Valor inválido","OK")))</f>
        <v>OK</v>
      </c>
      <c r="T747" s="4" t="str">
        <f aca="false">Base_Bruta!P747</f>
        <v>vendas_SP.xlsx</v>
      </c>
    </row>
    <row r="748" customFormat="false" ht="15" hidden="false" customHeight="false" outlineLevel="0" collapsed="false">
      <c r="A748" s="4" t="str">
        <f aca="false">IF(Base_Bruta!A748="","",Base_Bruta!A748)</f>
        <v>SP-000328</v>
      </c>
      <c r="B748" s="5" t="n">
        <f aca="false">IF($A748="","",IF(ISNUMBER(Base_Bruta!B748),Base_Bruta!B748,IF(MID(Base_Bruta!B748,5,1)="-",DATE(VALUE(LEFT(Base_Bruta!B748,4)),VALUE(MID(Base_Bruta!B748,6,2)),VALUE(RIGHT(Base_Bruta!B748,2))),DATE(VALUE(RIGHT(Base_Bruta!B748,4)),VALUE(MID(Base_Bruta!B748,4,2)),VALUE(LEFT(Base_Bruta!B748,2))))))</f>
        <v>46127</v>
      </c>
      <c r="C748" s="5" t="n">
        <f aca="false">IF($A748="","",IF(ISNUMBER(Base_Bruta!C748),Base_Bruta!C748,IF(MID(Base_Bruta!C748,5,1)="-",DATE(VALUE(LEFT(Base_Bruta!C748,4)),VALUE(MID(Base_Bruta!C748,6,2)),VALUE(RIGHT(Base_Bruta!C748,2))),DATE(VALUE(RIGHT(Base_Bruta!C748,4)),VALUE(MID(Base_Bruta!C748,4,2)),VALUE(LEFT(Base_Bruta!C748,2))))))</f>
        <v>46130</v>
      </c>
      <c r="D748" s="4" t="str">
        <f aca="false">IF($A748="","",TRIM(Base_Bruta!D748))</f>
        <v>Festival Sonora SP 2026</v>
      </c>
      <c r="E748" s="4" t="str">
        <f aca="false">IF($A748="","",_xlfn.XLOOKUP(LOWER(TRIM(Base_Bruta!E748)),DePara_Categoria!$A$2:$A$9,DePara_Categoria!$B$2:$B$9,"REVISAR"))</f>
        <v>Festival</v>
      </c>
      <c r="F748" s="4" t="str">
        <f aca="false">IF($A748="","",_xlfn.XLOOKUP(LOWER(TRIM(Base_Bruta!F748)),DePara_Cidade!$A$2:$A$29,DePara_Cidade!$B$2:$B$29,"REVISAR"))</f>
        <v>São Paulo</v>
      </c>
      <c r="G748" s="4" t="str">
        <f aca="false">IF($A748="","",TRIM(Base_Bruta!G748))</f>
        <v>Meia</v>
      </c>
      <c r="H748" s="4" t="n">
        <f aca="false">IF($A748="","",IF(ISNUMBER(Base_Bruta!H748),Base_Bruta!H748,IFERROR(_xlfn.NUMBERVALUE(TRIM(SUBSTITUTE(Base_Bruta!H748,"R$","")),",","."),0)))</f>
        <v>2</v>
      </c>
      <c r="I748" s="6" t="n">
        <f aca="false">IF($A748="","",IF(ISNUMBER(Base_Bruta!I748),Base_Bruta!I748,IFERROR(_xlfn.NUMBERVALUE(TRIM(SUBSTITUTE(Base_Bruta!I748,"R$","")),",","."),0)))</f>
        <v>515</v>
      </c>
      <c r="J748" s="6" t="n">
        <f aca="false">IF($A748="","",H748*I748)</f>
        <v>1030</v>
      </c>
      <c r="K748" s="4" t="str">
        <f aca="false">IF($A748="","",TRIM(Base_Bruta!J748))</f>
        <v>App</v>
      </c>
      <c r="L748" s="4" t="str">
        <f aca="false">IF($A748="","",TRIM(Base_Bruta!K748))</f>
        <v>C00743</v>
      </c>
      <c r="M748" s="4" t="str">
        <f aca="false">IF($A748="","",_xlfn.XLOOKUP(LOWER(TRIM(Base_Bruta!L748)),DePara_Cidade!$A$2:$A$29,DePara_Cidade!$B$2:$B$29,"REVISAR"))</f>
        <v>São Paulo</v>
      </c>
      <c r="N748" s="4" t="str">
        <f aca="false">IF($A748="","",UPPER(TRIM(Base_Bruta!M748)))</f>
        <v>SP</v>
      </c>
      <c r="O748" s="4" t="str">
        <f aca="false">IF($A748="","",_xlfn.XLOOKUP(LOWER(TRIM(Base_Bruta!N748)),DePara_Pais!$A$2:$A$9,DePara_Pais!$B$2:$B$9,"REVISAR"))</f>
        <v>Brasil</v>
      </c>
      <c r="P748" s="4" t="str">
        <f aca="false">IF($A748="","",IF(O748&lt;&gt;"Brasil","Turista Internacional",IF(M748=F748,"Local","Turista Nacional")))</f>
        <v>Local</v>
      </c>
      <c r="Q748" s="7" t="n">
        <f aca="false">IF($A748="","",DATE(YEAR(B748),MONTH(B748),1))</f>
        <v>46113</v>
      </c>
      <c r="R748" s="4" t="str">
        <f aca="false">IF($A748="","",IF(COUNTIF($A$2:$A748,$A748)&gt;1,"Sim","Não"))</f>
        <v>Não</v>
      </c>
      <c r="S748" s="4" t="str">
        <f aca="false">IF(A748="","Descartar - Linha vazia",IF(R748="Sim","Descartar - Duplicado",IF(OR(H748&lt;=0,I748&lt;=0),"Descartar - Qtd/Valor inválido","OK")))</f>
        <v>OK</v>
      </c>
      <c r="T748" s="4" t="str">
        <f aca="false">Base_Bruta!P748</f>
        <v>vendas_SP.xlsx</v>
      </c>
    </row>
    <row r="749" customFormat="false" ht="15" hidden="false" customHeight="false" outlineLevel="0" collapsed="false">
      <c r="A749" s="4" t="str">
        <f aca="false">IF(Base_Bruta!A749="","",Base_Bruta!A749)</f>
        <v>SP-000331</v>
      </c>
      <c r="B749" s="5" t="n">
        <f aca="false">IF($A749="","",IF(ISNUMBER(Base_Bruta!B749),Base_Bruta!B749,IF(MID(Base_Bruta!B749,5,1)="-",DATE(VALUE(LEFT(Base_Bruta!B749,4)),VALUE(MID(Base_Bruta!B749,6,2)),VALUE(RIGHT(Base_Bruta!B749,2))),DATE(VALUE(RIGHT(Base_Bruta!B749,4)),VALUE(MID(Base_Bruta!B749,4,2)),VALUE(LEFT(Base_Bruta!B749,2))))))</f>
        <v>46127</v>
      </c>
      <c r="C749" s="5" t="n">
        <f aca="false">IF($A749="","",IF(ISNUMBER(Base_Bruta!C749),Base_Bruta!C749,IF(MID(Base_Bruta!C749,5,1)="-",DATE(VALUE(LEFT(Base_Bruta!C749,4)),VALUE(MID(Base_Bruta!C749,6,2)),VALUE(RIGHT(Base_Bruta!C749,2))),DATE(VALUE(RIGHT(Base_Bruta!C749,4)),VALUE(MID(Base_Bruta!C749,4,2)),VALUE(LEFT(Base_Bruta!C749,2))))))</f>
        <v>46130</v>
      </c>
      <c r="D749" s="4" t="str">
        <f aca="false">IF($A749="","",TRIM(Base_Bruta!D749))</f>
        <v>Festival Sonora SP 2026</v>
      </c>
      <c r="E749" s="4" t="str">
        <f aca="false">IF($A749="","",_xlfn.XLOOKUP(LOWER(TRIM(Base_Bruta!E749)),DePara_Categoria!$A$2:$A$9,DePara_Categoria!$B$2:$B$9,"REVISAR"))</f>
        <v>Festival</v>
      </c>
      <c r="F749" s="4" t="str">
        <f aca="false">IF($A749="","",_xlfn.XLOOKUP(LOWER(TRIM(Base_Bruta!F749)),DePara_Cidade!$A$2:$A$29,DePara_Cidade!$B$2:$B$29,"REVISAR"))</f>
        <v>São Paulo</v>
      </c>
      <c r="G749" s="4" t="str">
        <f aca="false">IF($A749="","",TRIM(Base_Bruta!G749))</f>
        <v>Meia</v>
      </c>
      <c r="H749" s="4" t="n">
        <f aca="false">IF($A749="","",IF(ISNUMBER(Base_Bruta!H749),Base_Bruta!H749,IFERROR(_xlfn.NUMBERVALUE(TRIM(SUBSTITUTE(Base_Bruta!H749,"R$","")),",","."),0)))</f>
        <v>2</v>
      </c>
      <c r="I749" s="6" t="n">
        <f aca="false">IF($A749="","",IF(ISNUMBER(Base_Bruta!I749),Base_Bruta!I749,IFERROR(_xlfn.NUMBERVALUE(TRIM(SUBSTITUTE(Base_Bruta!I749,"R$","")),",","."),0)))</f>
        <v>457.5</v>
      </c>
      <c r="J749" s="6" t="n">
        <f aca="false">IF($A749="","",H749*I749)</f>
        <v>915</v>
      </c>
      <c r="K749" s="4" t="str">
        <f aca="false">IF($A749="","",TRIM(Base_Bruta!J749))</f>
        <v>Site</v>
      </c>
      <c r="L749" s="4" t="str">
        <f aca="false">IF($A749="","",TRIM(Base_Bruta!K749))</f>
        <v>C02038</v>
      </c>
      <c r="M749" s="4" t="str">
        <f aca="false">IF($A749="","",_xlfn.XLOOKUP(LOWER(TRIM(Base_Bruta!L749)),DePara_Cidade!$A$2:$A$29,DePara_Cidade!$B$2:$B$29,"REVISAR"))</f>
        <v>Belo Horizonte</v>
      </c>
      <c r="N749" s="4" t="str">
        <f aca="false">IF($A749="","",UPPER(TRIM(Base_Bruta!M749)))</f>
        <v>MG</v>
      </c>
      <c r="O749" s="4" t="str">
        <f aca="false">IF($A749="","",_xlfn.XLOOKUP(LOWER(TRIM(Base_Bruta!N749)),DePara_Pais!$A$2:$A$9,DePara_Pais!$B$2:$B$9,"REVISAR"))</f>
        <v>Brasil</v>
      </c>
      <c r="P749" s="4" t="str">
        <f aca="false">IF($A749="","",IF(O749&lt;&gt;"Brasil","Turista Internacional",IF(M749=F749,"Local","Turista Nacional")))</f>
        <v>Turista Nacional</v>
      </c>
      <c r="Q749" s="7" t="n">
        <f aca="false">IF($A749="","",DATE(YEAR(B749),MONTH(B749),1))</f>
        <v>46113</v>
      </c>
      <c r="R749" s="4" t="str">
        <f aca="false">IF($A749="","",IF(COUNTIF($A$2:$A749,$A749)&gt;1,"Sim","Não"))</f>
        <v>Não</v>
      </c>
      <c r="S749" s="4" t="str">
        <f aca="false">IF(A749="","Descartar - Linha vazia",IF(R749="Sim","Descartar - Duplicado",IF(OR(H749&lt;=0,I749&lt;=0),"Descartar - Qtd/Valor inválido","OK")))</f>
        <v>OK</v>
      </c>
      <c r="T749" s="4" t="str">
        <f aca="false">Base_Bruta!P749</f>
        <v>vendas_SP.xlsx</v>
      </c>
    </row>
    <row r="750" customFormat="false" ht="15" hidden="false" customHeight="false" outlineLevel="0" collapsed="false">
      <c r="A750" s="4" t="str">
        <f aca="false">IF(Base_Bruta!A750="","",Base_Bruta!A750)</f>
        <v>SP-000425</v>
      </c>
      <c r="B750" s="5" t="n">
        <f aca="false">IF($A750="","",IF(ISNUMBER(Base_Bruta!B750),Base_Bruta!B750,IF(MID(Base_Bruta!B750,5,1)="-",DATE(VALUE(LEFT(Base_Bruta!B750,4)),VALUE(MID(Base_Bruta!B750,6,2)),VALUE(RIGHT(Base_Bruta!B750,2))),DATE(VALUE(RIGHT(Base_Bruta!B750,4)),VALUE(MID(Base_Bruta!B750,4,2)),VALUE(LEFT(Base_Bruta!B750,2))))))</f>
        <v>46127</v>
      </c>
      <c r="C750" s="5" t="n">
        <f aca="false">IF($A750="","",IF(ISNUMBER(Base_Bruta!C750),Base_Bruta!C750,IF(MID(Base_Bruta!C750,5,1)="-",DATE(VALUE(LEFT(Base_Bruta!C750,4)),VALUE(MID(Base_Bruta!C750,6,2)),VALUE(RIGHT(Base_Bruta!C750,2))),DATE(VALUE(RIGHT(Base_Bruta!C750,4)),VALUE(MID(Base_Bruta!C750,4,2)),VALUE(LEFT(Base_Bruta!C750,2))))))</f>
        <v>46130</v>
      </c>
      <c r="D750" s="4" t="str">
        <f aca="false">IF($A750="","",TRIM(Base_Bruta!D750))</f>
        <v>Festival Sonora SP 2026</v>
      </c>
      <c r="E750" s="4" t="str">
        <f aca="false">IF($A750="","",_xlfn.XLOOKUP(LOWER(TRIM(Base_Bruta!E750)),DePara_Categoria!$A$2:$A$9,DePara_Categoria!$B$2:$B$9,"REVISAR"))</f>
        <v>Festival</v>
      </c>
      <c r="F750" s="4" t="str">
        <f aca="false">IF($A750="","",_xlfn.XLOOKUP(LOWER(TRIM(Base_Bruta!F750)),DePara_Cidade!$A$2:$A$29,DePara_Cidade!$B$2:$B$29,"REVISAR"))</f>
        <v>São Paulo</v>
      </c>
      <c r="G750" s="4" t="str">
        <f aca="false">IF($A750="","",TRIM(Base_Bruta!G750))</f>
        <v>Meia</v>
      </c>
      <c r="H750" s="4" t="n">
        <f aca="false">IF($A750="","",IF(ISNUMBER(Base_Bruta!H750),Base_Bruta!H750,IFERROR(_xlfn.NUMBERVALUE(TRIM(SUBSTITUTE(Base_Bruta!H750,"R$","")),",","."),0)))</f>
        <v>1</v>
      </c>
      <c r="I750" s="6" t="n">
        <f aca="false">IF($A750="","",IF(ISNUMBER(Base_Bruta!I750),Base_Bruta!I750,IFERROR(_xlfn.NUMBERVALUE(TRIM(SUBSTITUTE(Base_Bruta!I750,"R$","")),",","."),0)))</f>
        <v>352.5</v>
      </c>
      <c r="J750" s="6" t="n">
        <f aca="false">IF($A750="","",H750*I750)</f>
        <v>352.5</v>
      </c>
      <c r="K750" s="4" t="str">
        <f aca="false">IF($A750="","",TRIM(Base_Bruta!J750))</f>
        <v>Site</v>
      </c>
      <c r="L750" s="4" t="str">
        <f aca="false">IF($A750="","",TRIM(Base_Bruta!K750))</f>
        <v>C00178</v>
      </c>
      <c r="M750" s="4" t="str">
        <f aca="false">IF($A750="","",_xlfn.XLOOKUP(LOWER(TRIM(Base_Bruta!L750)),DePara_Cidade!$A$2:$A$29,DePara_Cidade!$B$2:$B$29,"REVISAR"))</f>
        <v>Campinas</v>
      </c>
      <c r="N750" s="4" t="str">
        <f aca="false">IF($A750="","",UPPER(TRIM(Base_Bruta!M750)))</f>
        <v>SP</v>
      </c>
      <c r="O750" s="4" t="str">
        <f aca="false">IF($A750="","",_xlfn.XLOOKUP(LOWER(TRIM(Base_Bruta!N750)),DePara_Pais!$A$2:$A$9,DePara_Pais!$B$2:$B$9,"REVISAR"))</f>
        <v>Brasil</v>
      </c>
      <c r="P750" s="4" t="str">
        <f aca="false">IF($A750="","",IF(O750&lt;&gt;"Brasil","Turista Internacional",IF(M750=F750,"Local","Turista Nacional")))</f>
        <v>Turista Nacional</v>
      </c>
      <c r="Q750" s="7" t="n">
        <f aca="false">IF($A750="","",DATE(YEAR(B750),MONTH(B750),1))</f>
        <v>46113</v>
      </c>
      <c r="R750" s="4" t="str">
        <f aca="false">IF($A750="","",IF(COUNTIF($A$2:$A750,$A750)&gt;1,"Sim","Não"))</f>
        <v>Não</v>
      </c>
      <c r="S750" s="4" t="str">
        <f aca="false">IF(A750="","Descartar - Linha vazia",IF(R750="Sim","Descartar - Duplicado",IF(OR(H750&lt;=0,I750&lt;=0),"Descartar - Qtd/Valor inválido","OK")))</f>
        <v>OK</v>
      </c>
      <c r="T750" s="4" t="str">
        <f aca="false">Base_Bruta!P750</f>
        <v>vendas_SP.xlsx</v>
      </c>
    </row>
    <row r="751" customFormat="false" ht="15" hidden="false" customHeight="false" outlineLevel="0" collapsed="false">
      <c r="A751" s="4" t="str">
        <f aca="false">IF(Base_Bruta!A751="","",Base_Bruta!A751)</f>
        <v>SP-000622</v>
      </c>
      <c r="B751" s="5" t="n">
        <f aca="false">IF($A751="","",IF(ISNUMBER(Base_Bruta!B751),Base_Bruta!B751,IF(MID(Base_Bruta!B751,5,1)="-",DATE(VALUE(LEFT(Base_Bruta!B751,4)),VALUE(MID(Base_Bruta!B751,6,2)),VALUE(RIGHT(Base_Bruta!B751,2))),DATE(VALUE(RIGHT(Base_Bruta!B751,4)),VALUE(MID(Base_Bruta!B751,4,2)),VALUE(LEFT(Base_Bruta!B751,2))))))</f>
        <v>46127</v>
      </c>
      <c r="C751" s="5" t="n">
        <f aca="false">IF($A751="","",IF(ISNUMBER(Base_Bruta!C751),Base_Bruta!C751,IF(MID(Base_Bruta!C751,5,1)="-",DATE(VALUE(LEFT(Base_Bruta!C751,4)),VALUE(MID(Base_Bruta!C751,6,2)),VALUE(RIGHT(Base_Bruta!C751,2))),DATE(VALUE(RIGHT(Base_Bruta!C751,4)),VALUE(MID(Base_Bruta!C751,4,2)),VALUE(LEFT(Base_Bruta!C751,2))))))</f>
        <v>46128</v>
      </c>
      <c r="D751" s="4" t="str">
        <f aca="false">IF($A751="","",TRIM(Base_Bruta!D751))</f>
        <v>Cinema Paulista - Sessões</v>
      </c>
      <c r="E751" s="4" t="str">
        <f aca="false">IF($A751="","",_xlfn.XLOOKUP(LOWER(TRIM(Base_Bruta!E751)),DePara_Categoria!$A$2:$A$9,DePara_Categoria!$B$2:$B$9,"REVISAR"))</f>
        <v>Cinema</v>
      </c>
      <c r="F751" s="4" t="str">
        <f aca="false">IF($A751="","",_xlfn.XLOOKUP(LOWER(TRIM(Base_Bruta!F751)),DePara_Cidade!$A$2:$A$29,DePara_Cidade!$B$2:$B$29,"REVISAR"))</f>
        <v>São Paulo</v>
      </c>
      <c r="G751" s="4" t="str">
        <f aca="false">IF($A751="","",TRIM(Base_Bruta!G751))</f>
        <v>Inteira</v>
      </c>
      <c r="H751" s="4" t="n">
        <f aca="false">IF($A751="","",IF(ISNUMBER(Base_Bruta!H751),Base_Bruta!H751,IFERROR(_xlfn.NUMBERVALUE(TRIM(SUBSTITUTE(Base_Bruta!H751,"R$","")),",","."),0)))</f>
        <v>1</v>
      </c>
      <c r="I751" s="6" t="n">
        <f aca="false">IF($A751="","",IF(ISNUMBER(Base_Bruta!I751),Base_Bruta!I751,IFERROR(_xlfn.NUMBERVALUE(TRIM(SUBSTITUTE(Base_Bruta!I751,"R$","")),",","."),0)))</f>
        <v>35</v>
      </c>
      <c r="J751" s="6" t="n">
        <f aca="false">IF($A751="","",H751*I751)</f>
        <v>35</v>
      </c>
      <c r="K751" s="4" t="str">
        <f aca="false">IF($A751="","",TRIM(Base_Bruta!J751))</f>
        <v>Parceiro</v>
      </c>
      <c r="L751" s="4" t="str">
        <f aca="false">IF($A751="","",TRIM(Base_Bruta!K751))</f>
        <v>C00858</v>
      </c>
      <c r="M751" s="4" t="str">
        <f aca="false">IF($A751="","",_xlfn.XLOOKUP(LOWER(TRIM(Base_Bruta!L751)),DePara_Cidade!$A$2:$A$29,DePara_Cidade!$B$2:$B$29,"REVISAR"))</f>
        <v>São Paulo</v>
      </c>
      <c r="N751" s="4" t="str">
        <f aca="false">IF($A751="","",UPPER(TRIM(Base_Bruta!M751)))</f>
        <v>SP</v>
      </c>
      <c r="O751" s="4" t="str">
        <f aca="false">IF($A751="","",_xlfn.XLOOKUP(LOWER(TRIM(Base_Bruta!N751)),DePara_Pais!$A$2:$A$9,DePara_Pais!$B$2:$B$9,"REVISAR"))</f>
        <v>Brasil</v>
      </c>
      <c r="P751" s="4" t="str">
        <f aca="false">IF($A751="","",IF(O751&lt;&gt;"Brasil","Turista Internacional",IF(M751=F751,"Local","Turista Nacional")))</f>
        <v>Local</v>
      </c>
      <c r="Q751" s="7" t="n">
        <f aca="false">IF($A751="","",DATE(YEAR(B751),MONTH(B751),1))</f>
        <v>46113</v>
      </c>
      <c r="R751" s="4" t="str">
        <f aca="false">IF($A751="","",IF(COUNTIF($A$2:$A751,$A751)&gt;1,"Sim","Não"))</f>
        <v>Não</v>
      </c>
      <c r="S751" s="4" t="str">
        <f aca="false">IF(A751="","Descartar - Linha vazia",IF(R751="Sim","Descartar - Duplicado",IF(OR(H751&lt;=0,I751&lt;=0),"Descartar - Qtd/Valor inválido","OK")))</f>
        <v>OK</v>
      </c>
      <c r="T751" s="4" t="str">
        <f aca="false">Base_Bruta!P751</f>
        <v>vendas_SP.xlsx</v>
      </c>
    </row>
    <row r="752" customFormat="false" ht="15" hidden="false" customHeight="false" outlineLevel="0" collapsed="false">
      <c r="A752" s="4" t="str">
        <f aca="false">IF(Base_Bruta!A752="","",Base_Bruta!A752)</f>
        <v>SP-000240</v>
      </c>
      <c r="B752" s="5" t="n">
        <f aca="false">IF($A752="","",IF(ISNUMBER(Base_Bruta!B752),Base_Bruta!B752,IF(MID(Base_Bruta!B752,5,1)="-",DATE(VALUE(LEFT(Base_Bruta!B752,4)),VALUE(MID(Base_Bruta!B752,6,2)),VALUE(RIGHT(Base_Bruta!B752,2))),DATE(VALUE(RIGHT(Base_Bruta!B752,4)),VALUE(MID(Base_Bruta!B752,4,2)),VALUE(LEFT(Base_Bruta!B752,2))))))</f>
        <v>46125</v>
      </c>
      <c r="C752" s="5" t="n">
        <f aca="false">IF($A752="","",IF(ISNUMBER(Base_Bruta!C752),Base_Bruta!C752,IF(MID(Base_Bruta!C752,5,1)="-",DATE(VALUE(LEFT(Base_Bruta!C752,4)),VALUE(MID(Base_Bruta!C752,6,2)),VALUE(RIGHT(Base_Bruta!C752,2))),DATE(VALUE(RIGHT(Base_Bruta!C752,4)),VALUE(MID(Base_Bruta!C752,4,2)),VALUE(LEFT(Base_Bruta!C752,2))))))</f>
        <v>46130</v>
      </c>
      <c r="D752" s="4" t="str">
        <f aca="false">IF($A752="","",TRIM(Base_Bruta!D752))</f>
        <v>Festival Sonora SP 2026</v>
      </c>
      <c r="E752" s="4" t="str">
        <f aca="false">IF($A752="","",_xlfn.XLOOKUP(LOWER(TRIM(Base_Bruta!E752)),DePara_Categoria!$A$2:$A$9,DePara_Categoria!$B$2:$B$9,"REVISAR"))</f>
        <v>Festival</v>
      </c>
      <c r="F752" s="4" t="str">
        <f aca="false">IF($A752="","",_xlfn.XLOOKUP(LOWER(TRIM(Base_Bruta!F752)),DePara_Cidade!$A$2:$A$29,DePara_Cidade!$B$2:$B$29,"REVISAR"))</f>
        <v>São Paulo</v>
      </c>
      <c r="G752" s="4" t="str">
        <f aca="false">IF($A752="","",TRIM(Base_Bruta!G752))</f>
        <v>Inteira</v>
      </c>
      <c r="H752" s="4" t="n">
        <f aca="false">IF($A752="","",IF(ISNUMBER(Base_Bruta!H752),Base_Bruta!H752,IFERROR(_xlfn.NUMBERVALUE(TRIM(SUBSTITUTE(Base_Bruta!H752,"R$","")),",","."),0)))</f>
        <v>2</v>
      </c>
      <c r="I752" s="6" t="n">
        <f aca="false">IF($A752="","",IF(ISNUMBER(Base_Bruta!I752),Base_Bruta!I752,IFERROR(_xlfn.NUMBERVALUE(TRIM(SUBSTITUTE(Base_Bruta!I752,"R$","")),",","."),0)))</f>
        <v>1100</v>
      </c>
      <c r="J752" s="6" t="n">
        <f aca="false">IF($A752="","",H752*I752)</f>
        <v>2200</v>
      </c>
      <c r="K752" s="4" t="str">
        <f aca="false">IF($A752="","",TRIM(Base_Bruta!J752))</f>
        <v>App</v>
      </c>
      <c r="L752" s="4" t="str">
        <f aca="false">IF($A752="","",TRIM(Base_Bruta!K752))</f>
        <v>C00325</v>
      </c>
      <c r="M752" s="4" t="str">
        <f aca="false">IF($A752="","",_xlfn.XLOOKUP(LOWER(TRIM(Base_Bruta!L752)),DePara_Cidade!$A$2:$A$29,DePara_Cidade!$B$2:$B$29,"REVISAR"))</f>
        <v>Campinas</v>
      </c>
      <c r="N752" s="4" t="str">
        <f aca="false">IF($A752="","",UPPER(TRIM(Base_Bruta!M752)))</f>
        <v>SP</v>
      </c>
      <c r="O752" s="4" t="str">
        <f aca="false">IF($A752="","",_xlfn.XLOOKUP(LOWER(TRIM(Base_Bruta!N752)),DePara_Pais!$A$2:$A$9,DePara_Pais!$B$2:$B$9,"REVISAR"))</f>
        <v>Brasil</v>
      </c>
      <c r="P752" s="4" t="str">
        <f aca="false">IF($A752="","",IF(O752&lt;&gt;"Brasil","Turista Internacional",IF(M752=F752,"Local","Turista Nacional")))</f>
        <v>Turista Nacional</v>
      </c>
      <c r="Q752" s="7" t="n">
        <f aca="false">IF($A752="","",DATE(YEAR(B752),MONTH(B752),1))</f>
        <v>46113</v>
      </c>
      <c r="R752" s="4" t="str">
        <f aca="false">IF($A752="","",IF(COUNTIF($A$2:$A752,$A752)&gt;1,"Sim","Não"))</f>
        <v>Sim</v>
      </c>
      <c r="S752" s="4" t="str">
        <f aca="false">IF(A752="","Descartar - Linha vazia",IF(R752="Sim","Descartar - Duplicado",IF(OR(H752&lt;=0,I752&lt;=0),"Descartar - Qtd/Valor inválido","OK")))</f>
        <v>Descartar - Duplicado</v>
      </c>
      <c r="T752" s="4" t="str">
        <f aca="false">Base_Bruta!P752</f>
        <v>vendas_SP.xlsx</v>
      </c>
    </row>
    <row r="753" customFormat="false" ht="15" hidden="false" customHeight="false" outlineLevel="0" collapsed="false">
      <c r="A753" s="4" t="str">
        <f aca="false">IF(Base_Bruta!A753="","",Base_Bruta!A753)</f>
        <v>SP-000275</v>
      </c>
      <c r="B753" s="5" t="n">
        <f aca="false">IF($A753="","",IF(ISNUMBER(Base_Bruta!B753),Base_Bruta!B753,IF(MID(Base_Bruta!B753,5,1)="-",DATE(VALUE(LEFT(Base_Bruta!B753,4)),VALUE(MID(Base_Bruta!B753,6,2)),VALUE(RIGHT(Base_Bruta!B753,2))),DATE(VALUE(RIGHT(Base_Bruta!B753,4)),VALUE(MID(Base_Bruta!B753,4,2)),VALUE(LEFT(Base_Bruta!B753,2))))))</f>
        <v>46128</v>
      </c>
      <c r="C753" s="5" t="n">
        <f aca="false">IF($A753="","",IF(ISNUMBER(Base_Bruta!C753),Base_Bruta!C753,IF(MID(Base_Bruta!C753,5,1)="-",DATE(VALUE(LEFT(Base_Bruta!C753,4)),VALUE(MID(Base_Bruta!C753,6,2)),VALUE(RIGHT(Base_Bruta!C753,2))),DATE(VALUE(RIGHT(Base_Bruta!C753,4)),VALUE(MID(Base_Bruta!C753,4,2)),VALUE(LEFT(Base_Bruta!C753,2))))))</f>
        <v>46130</v>
      </c>
      <c r="D753" s="4" t="str">
        <f aca="false">IF($A753="","",TRIM(Base_Bruta!D753))</f>
        <v>Festival Sonora SP 2026</v>
      </c>
      <c r="E753" s="4" t="str">
        <f aca="false">IF($A753="","",_xlfn.XLOOKUP(LOWER(TRIM(Base_Bruta!E753)),DePara_Categoria!$A$2:$A$9,DePara_Categoria!$B$2:$B$9,"REVISAR"))</f>
        <v>Festival</v>
      </c>
      <c r="F753" s="4" t="str">
        <f aca="false">IF($A753="","",_xlfn.XLOOKUP(LOWER(TRIM(Base_Bruta!F753)),DePara_Cidade!$A$2:$A$29,DePara_Cidade!$B$2:$B$29,"REVISAR"))</f>
        <v>São Paulo</v>
      </c>
      <c r="G753" s="4" t="str">
        <f aca="false">IF($A753="","",TRIM(Base_Bruta!G753))</f>
        <v>Inteira</v>
      </c>
      <c r="H753" s="4" t="n">
        <f aca="false">IF($A753="","",IF(ISNUMBER(Base_Bruta!H753),Base_Bruta!H753,IFERROR(_xlfn.NUMBERVALUE(TRIM(SUBSTITUTE(Base_Bruta!H753,"R$","")),",","."),0)))</f>
        <v>1</v>
      </c>
      <c r="I753" s="6" t="n">
        <f aca="false">IF($A753="","",IF(ISNUMBER(Base_Bruta!I753),Base_Bruta!I753,IFERROR(_xlfn.NUMBERVALUE(TRIM(SUBSTITUTE(Base_Bruta!I753,"R$","")),",","."),0)))</f>
        <v>855</v>
      </c>
      <c r="J753" s="6" t="n">
        <f aca="false">IF($A753="","",H753*I753)</f>
        <v>855</v>
      </c>
      <c r="K753" s="4" t="str">
        <f aca="false">IF($A753="","",TRIM(Base_Bruta!J753))</f>
        <v>Parceiro</v>
      </c>
      <c r="L753" s="4" t="str">
        <f aca="false">IF($A753="","",TRIM(Base_Bruta!K753))</f>
        <v>C01084</v>
      </c>
      <c r="M753" s="4" t="str">
        <f aca="false">IF($A753="","",_xlfn.XLOOKUP(LOWER(TRIM(Base_Bruta!L753)),DePara_Cidade!$A$2:$A$29,DePara_Cidade!$B$2:$B$29,"REVISAR"))</f>
        <v>São Paulo</v>
      </c>
      <c r="N753" s="4" t="str">
        <f aca="false">IF($A753="","",UPPER(TRIM(Base_Bruta!M753)))</f>
        <v>SP</v>
      </c>
      <c r="O753" s="4" t="str">
        <f aca="false">IF($A753="","",_xlfn.XLOOKUP(LOWER(TRIM(Base_Bruta!N753)),DePara_Pais!$A$2:$A$9,DePara_Pais!$B$2:$B$9,"REVISAR"))</f>
        <v>Brasil</v>
      </c>
      <c r="P753" s="4" t="str">
        <f aca="false">IF($A753="","",IF(O753&lt;&gt;"Brasil","Turista Internacional",IF(M753=F753,"Local","Turista Nacional")))</f>
        <v>Local</v>
      </c>
      <c r="Q753" s="7" t="n">
        <f aca="false">IF($A753="","",DATE(YEAR(B753),MONTH(B753),1))</f>
        <v>46113</v>
      </c>
      <c r="R753" s="4" t="str">
        <f aca="false">IF($A753="","",IF(COUNTIF($A$2:$A753,$A753)&gt;1,"Sim","Não"))</f>
        <v>Não</v>
      </c>
      <c r="S753" s="4" t="str">
        <f aca="false">IF(A753="","Descartar - Linha vazia",IF(R753="Sim","Descartar - Duplicado",IF(OR(H753&lt;=0,I753&lt;=0),"Descartar - Qtd/Valor inválido","OK")))</f>
        <v>OK</v>
      </c>
      <c r="T753" s="4" t="str">
        <f aca="false">Base_Bruta!P753</f>
        <v>vendas_SP.xlsx</v>
      </c>
    </row>
    <row r="754" customFormat="false" ht="15" hidden="false" customHeight="false" outlineLevel="0" collapsed="false">
      <c r="A754" s="4" t="str">
        <f aca="false">IF(Base_Bruta!A754="","",Base_Bruta!A754)</f>
        <v>SP-000305</v>
      </c>
      <c r="B754" s="5" t="n">
        <f aca="false">IF($A754="","",IF(ISNUMBER(Base_Bruta!B754),Base_Bruta!B754,IF(MID(Base_Bruta!B754,5,1)="-",DATE(VALUE(LEFT(Base_Bruta!B754,4)),VALUE(MID(Base_Bruta!B754,6,2)),VALUE(RIGHT(Base_Bruta!B754,2))),DATE(VALUE(RIGHT(Base_Bruta!B754,4)),VALUE(MID(Base_Bruta!B754,4,2)),VALUE(LEFT(Base_Bruta!B754,2))))))</f>
        <v>46128</v>
      </c>
      <c r="C754" s="5" t="n">
        <f aca="false">IF($A754="","",IF(ISNUMBER(Base_Bruta!C754),Base_Bruta!C754,IF(MID(Base_Bruta!C754,5,1)="-",DATE(VALUE(LEFT(Base_Bruta!C754,4)),VALUE(MID(Base_Bruta!C754,6,2)),VALUE(RIGHT(Base_Bruta!C754,2))),DATE(VALUE(RIGHT(Base_Bruta!C754,4)),VALUE(MID(Base_Bruta!C754,4,2)),VALUE(LEFT(Base_Bruta!C754,2))))))</f>
        <v>46130</v>
      </c>
      <c r="D754" s="4" t="str">
        <f aca="false">IF($A754="","",TRIM(Base_Bruta!D754))</f>
        <v>Festival Sonora SP 2026</v>
      </c>
      <c r="E754" s="4" t="str">
        <f aca="false">IF($A754="","",_xlfn.XLOOKUP(LOWER(TRIM(Base_Bruta!E754)),DePara_Categoria!$A$2:$A$9,DePara_Categoria!$B$2:$B$9,"REVISAR"))</f>
        <v>Festival</v>
      </c>
      <c r="F754" s="4" t="str">
        <f aca="false">IF($A754="","",_xlfn.XLOOKUP(LOWER(TRIM(Base_Bruta!F754)),DePara_Cidade!$A$2:$A$29,DePara_Cidade!$B$2:$B$29,"REVISAR"))</f>
        <v>São Paulo</v>
      </c>
      <c r="G754" s="4" t="str">
        <f aca="false">IF($A754="","",TRIM(Base_Bruta!G754))</f>
        <v>Inteira</v>
      </c>
      <c r="H754" s="4" t="n">
        <f aca="false">IF($A754="","",IF(ISNUMBER(Base_Bruta!H754),Base_Bruta!H754,IFERROR(_xlfn.NUMBERVALUE(TRIM(SUBSTITUTE(Base_Bruta!H754,"R$","")),",","."),0)))</f>
        <v>2</v>
      </c>
      <c r="I754" s="6" t="n">
        <f aca="false">IF($A754="","",IF(ISNUMBER(Base_Bruta!I754),Base_Bruta!I754,IFERROR(_xlfn.NUMBERVALUE(TRIM(SUBSTITUTE(Base_Bruta!I754,"R$","")),",","."),0)))</f>
        <v>710</v>
      </c>
      <c r="J754" s="6" t="n">
        <f aca="false">IF($A754="","",H754*I754)</f>
        <v>1420</v>
      </c>
      <c r="K754" s="4" t="str">
        <f aca="false">IF($A754="","",TRIM(Base_Bruta!J754))</f>
        <v>Site</v>
      </c>
      <c r="L754" s="4" t="str">
        <f aca="false">IF($A754="","",TRIM(Base_Bruta!K754))</f>
        <v>C01469</v>
      </c>
      <c r="M754" s="4" t="str">
        <f aca="false">IF($A754="","",_xlfn.XLOOKUP(LOWER(TRIM(Base_Bruta!L754)),DePara_Cidade!$A$2:$A$29,DePara_Cidade!$B$2:$B$29,"REVISAR"))</f>
        <v>São Paulo</v>
      </c>
      <c r="N754" s="4" t="str">
        <f aca="false">IF($A754="","",UPPER(TRIM(Base_Bruta!M754)))</f>
        <v>SP</v>
      </c>
      <c r="O754" s="4" t="str">
        <f aca="false">IF($A754="","",_xlfn.XLOOKUP(LOWER(TRIM(Base_Bruta!N754)),DePara_Pais!$A$2:$A$9,DePara_Pais!$B$2:$B$9,"REVISAR"))</f>
        <v>Brasil</v>
      </c>
      <c r="P754" s="4" t="str">
        <f aca="false">IF($A754="","",IF(O754&lt;&gt;"Brasil","Turista Internacional",IF(M754=F754,"Local","Turista Nacional")))</f>
        <v>Local</v>
      </c>
      <c r="Q754" s="7" t="n">
        <f aca="false">IF($A754="","",DATE(YEAR(B754),MONTH(B754),1))</f>
        <v>46113</v>
      </c>
      <c r="R754" s="4" t="str">
        <f aca="false">IF($A754="","",IF(COUNTIF($A$2:$A754,$A754)&gt;1,"Sim","Não"))</f>
        <v>Não</v>
      </c>
      <c r="S754" s="4" t="str">
        <f aca="false">IF(A754="","Descartar - Linha vazia",IF(R754="Sim","Descartar - Duplicado",IF(OR(H754&lt;=0,I754&lt;=0),"Descartar - Qtd/Valor inválido","OK")))</f>
        <v>OK</v>
      </c>
      <c r="T754" s="4" t="str">
        <f aca="false">Base_Bruta!P754</f>
        <v>vendas_SP.xlsx</v>
      </c>
    </row>
    <row r="755" customFormat="false" ht="15" hidden="false" customHeight="false" outlineLevel="0" collapsed="false">
      <c r="A755" s="4" t="str">
        <f aca="false">IF(Base_Bruta!A755="","",Base_Bruta!A755)</f>
        <v>SP-000327</v>
      </c>
      <c r="B755" s="5" t="n">
        <f aca="false">IF($A755="","",IF(ISNUMBER(Base_Bruta!B755),Base_Bruta!B755,IF(MID(Base_Bruta!B755,5,1)="-",DATE(VALUE(LEFT(Base_Bruta!B755,4)),VALUE(MID(Base_Bruta!B755,6,2)),VALUE(RIGHT(Base_Bruta!B755,2))),DATE(VALUE(RIGHT(Base_Bruta!B755,4)),VALUE(MID(Base_Bruta!B755,4,2)),VALUE(LEFT(Base_Bruta!B755,2))))))</f>
        <v>46128</v>
      </c>
      <c r="C755" s="5" t="n">
        <f aca="false">IF($A755="","",IF(ISNUMBER(Base_Bruta!C755),Base_Bruta!C755,IF(MID(Base_Bruta!C755,5,1)="-",DATE(VALUE(LEFT(Base_Bruta!C755,4)),VALUE(MID(Base_Bruta!C755,6,2)),VALUE(RIGHT(Base_Bruta!C755,2))),DATE(VALUE(RIGHT(Base_Bruta!C755,4)),VALUE(MID(Base_Bruta!C755,4,2)),VALUE(LEFT(Base_Bruta!C755,2))))))</f>
        <v>46130</v>
      </c>
      <c r="D755" s="4" t="str">
        <f aca="false">IF($A755="","",TRIM(Base_Bruta!D755))</f>
        <v>Festival Sonora SP 2026</v>
      </c>
      <c r="E755" s="4" t="str">
        <f aca="false">IF($A755="","",_xlfn.XLOOKUP(LOWER(TRIM(Base_Bruta!E755)),DePara_Categoria!$A$2:$A$9,DePara_Categoria!$B$2:$B$9,"REVISAR"))</f>
        <v>Festival</v>
      </c>
      <c r="F755" s="4" t="str">
        <f aca="false">IF($A755="","",_xlfn.XLOOKUP(LOWER(TRIM(Base_Bruta!F755)),DePara_Cidade!$A$2:$A$29,DePara_Cidade!$B$2:$B$29,"REVISAR"))</f>
        <v>São Paulo</v>
      </c>
      <c r="G755" s="4" t="str">
        <f aca="false">IF($A755="","",TRIM(Base_Bruta!G755))</f>
        <v>VIP</v>
      </c>
      <c r="H755" s="4" t="n">
        <f aca="false">IF($A755="","",IF(ISNUMBER(Base_Bruta!H755),Base_Bruta!H755,IFERROR(_xlfn.NUMBERVALUE(TRIM(SUBSTITUTE(Base_Bruta!H755,"R$","")),",","."),0)))</f>
        <v>4</v>
      </c>
      <c r="I755" s="6" t="n">
        <f aca="false">IF($A755="","",IF(ISNUMBER(Base_Bruta!I755),Base_Bruta!I755,IFERROR(_xlfn.NUMBERVALUE(TRIM(SUBSTITUTE(Base_Bruta!I755,"R$","")),",","."),0)))</f>
        <v>1360</v>
      </c>
      <c r="J755" s="6" t="n">
        <f aca="false">IF($A755="","",H755*I755)</f>
        <v>5440</v>
      </c>
      <c r="K755" s="4" t="str">
        <f aca="false">IF($A755="","",TRIM(Base_Bruta!J755))</f>
        <v>Site</v>
      </c>
      <c r="L755" s="4" t="str">
        <f aca="false">IF($A755="","",TRIM(Base_Bruta!K755))</f>
        <v>C01656</v>
      </c>
      <c r="M755" s="4" t="str">
        <f aca="false">IF($A755="","",_xlfn.XLOOKUP(LOWER(TRIM(Base_Bruta!L755)),DePara_Cidade!$A$2:$A$29,DePara_Cidade!$B$2:$B$29,"REVISAR"))</f>
        <v>Recife</v>
      </c>
      <c r="N755" s="4" t="str">
        <f aca="false">IF($A755="","",UPPER(TRIM(Base_Bruta!M755)))</f>
        <v>PE</v>
      </c>
      <c r="O755" s="4" t="str">
        <f aca="false">IF($A755="","",_xlfn.XLOOKUP(LOWER(TRIM(Base_Bruta!N755)),DePara_Pais!$A$2:$A$9,DePara_Pais!$B$2:$B$9,"REVISAR"))</f>
        <v>Brasil</v>
      </c>
      <c r="P755" s="4" t="str">
        <f aca="false">IF($A755="","",IF(O755&lt;&gt;"Brasil","Turista Internacional",IF(M755=F755,"Local","Turista Nacional")))</f>
        <v>Turista Nacional</v>
      </c>
      <c r="Q755" s="7" t="n">
        <f aca="false">IF($A755="","",DATE(YEAR(B755),MONTH(B755),1))</f>
        <v>46113</v>
      </c>
      <c r="R755" s="4" t="str">
        <f aca="false">IF($A755="","",IF(COUNTIF($A$2:$A755,$A755)&gt;1,"Sim","Não"))</f>
        <v>Não</v>
      </c>
      <c r="S755" s="4" t="str">
        <f aca="false">IF(A755="","Descartar - Linha vazia",IF(R755="Sim","Descartar - Duplicado",IF(OR(H755&lt;=0,I755&lt;=0),"Descartar - Qtd/Valor inválido","OK")))</f>
        <v>OK</v>
      </c>
      <c r="T755" s="4" t="str">
        <f aca="false">Base_Bruta!P755</f>
        <v>vendas_SP.xlsx</v>
      </c>
    </row>
    <row r="756" customFormat="false" ht="15" hidden="false" customHeight="false" outlineLevel="0" collapsed="false">
      <c r="A756" s="4" t="str">
        <f aca="false">IF(Base_Bruta!A756="","",Base_Bruta!A756)</f>
        <v>SP-000354</v>
      </c>
      <c r="B756" s="5" t="n">
        <f aca="false">IF($A756="","",IF(ISNUMBER(Base_Bruta!B756),Base_Bruta!B756,IF(MID(Base_Bruta!B756,5,1)="-",DATE(VALUE(LEFT(Base_Bruta!B756,4)),VALUE(MID(Base_Bruta!B756,6,2)),VALUE(RIGHT(Base_Bruta!B756,2))),DATE(VALUE(RIGHT(Base_Bruta!B756,4)),VALUE(MID(Base_Bruta!B756,4,2)),VALUE(LEFT(Base_Bruta!B756,2))))))</f>
        <v>46128</v>
      </c>
      <c r="C756" s="5" t="n">
        <f aca="false">IF($A756="","",IF(ISNUMBER(Base_Bruta!C756),Base_Bruta!C756,IF(MID(Base_Bruta!C756,5,1)="-",DATE(VALUE(LEFT(Base_Bruta!C756,4)),VALUE(MID(Base_Bruta!C756,6,2)),VALUE(RIGHT(Base_Bruta!C756,2))),DATE(VALUE(RIGHT(Base_Bruta!C756,4)),VALUE(MID(Base_Bruta!C756,4,2)),VALUE(LEFT(Base_Bruta!C756,2))))))</f>
        <v>46130</v>
      </c>
      <c r="D756" s="4" t="str">
        <f aca="false">IF($A756="","",TRIM(Base_Bruta!D756))</f>
        <v>Festival Sonora SP 2026</v>
      </c>
      <c r="E756" s="4" t="str">
        <f aca="false">IF($A756="","",_xlfn.XLOOKUP(LOWER(TRIM(Base_Bruta!E756)),DePara_Categoria!$A$2:$A$9,DePara_Categoria!$B$2:$B$9,"REVISAR"))</f>
        <v>Festival</v>
      </c>
      <c r="F756" s="4" t="str">
        <f aca="false">IF($A756="","",_xlfn.XLOOKUP(LOWER(TRIM(Base_Bruta!F756)),DePara_Cidade!$A$2:$A$29,DePara_Cidade!$B$2:$B$29,"REVISAR"))</f>
        <v>São Paulo</v>
      </c>
      <c r="G756" s="4" t="str">
        <f aca="false">IF($A756="","",TRIM(Base_Bruta!G756))</f>
        <v>Inteira</v>
      </c>
      <c r="H756" s="4" t="n">
        <f aca="false">IF($A756="","",IF(ISNUMBER(Base_Bruta!H756),Base_Bruta!H756,IFERROR(_xlfn.NUMBERVALUE(TRIM(SUBSTITUTE(Base_Bruta!H756,"R$","")),",","."),0)))</f>
        <v>2</v>
      </c>
      <c r="I756" s="6" t="n">
        <f aca="false">IF($A756="","",IF(ISNUMBER(Base_Bruta!I756),Base_Bruta!I756,IFERROR(_xlfn.NUMBERVALUE(TRIM(SUBSTITUTE(Base_Bruta!I756,"R$","")),",","."),0)))</f>
        <v>910</v>
      </c>
      <c r="J756" s="6" t="n">
        <f aca="false">IF($A756="","",H756*I756)</f>
        <v>1820</v>
      </c>
      <c r="K756" s="4" t="str">
        <f aca="false">IF($A756="","",TRIM(Base_Bruta!J756))</f>
        <v>Site</v>
      </c>
      <c r="L756" s="4" t="str">
        <f aca="false">IF($A756="","",TRIM(Base_Bruta!K756))</f>
        <v>C01624</v>
      </c>
      <c r="M756" s="4" t="str">
        <f aca="false">IF($A756="","",_xlfn.XLOOKUP(LOWER(TRIM(Base_Bruta!L756)),DePara_Cidade!$A$2:$A$29,DePara_Cidade!$B$2:$B$29,"REVISAR"))</f>
        <v>Campinas</v>
      </c>
      <c r="N756" s="4" t="str">
        <f aca="false">IF($A756="","",UPPER(TRIM(Base_Bruta!M756)))</f>
        <v>SP</v>
      </c>
      <c r="O756" s="4" t="str">
        <f aca="false">IF($A756="","",_xlfn.XLOOKUP(LOWER(TRIM(Base_Bruta!N756)),DePara_Pais!$A$2:$A$9,DePara_Pais!$B$2:$B$9,"REVISAR"))</f>
        <v>Brasil</v>
      </c>
      <c r="P756" s="4" t="str">
        <f aca="false">IF($A756="","",IF(O756&lt;&gt;"Brasil","Turista Internacional",IF(M756=F756,"Local","Turista Nacional")))</f>
        <v>Turista Nacional</v>
      </c>
      <c r="Q756" s="7" t="n">
        <f aca="false">IF($A756="","",DATE(YEAR(B756),MONTH(B756),1))</f>
        <v>46113</v>
      </c>
      <c r="R756" s="4" t="str">
        <f aca="false">IF($A756="","",IF(COUNTIF($A$2:$A756,$A756)&gt;1,"Sim","Não"))</f>
        <v>Não</v>
      </c>
      <c r="S756" s="4" t="str">
        <f aca="false">IF(A756="","Descartar - Linha vazia",IF(R756="Sim","Descartar - Duplicado",IF(OR(H756&lt;=0,I756&lt;=0),"Descartar - Qtd/Valor inválido","OK")))</f>
        <v>OK</v>
      </c>
      <c r="T756" s="4" t="str">
        <f aca="false">Base_Bruta!P756</f>
        <v>vendas_SP.xlsx</v>
      </c>
    </row>
    <row r="757" customFormat="false" ht="15" hidden="false" customHeight="false" outlineLevel="0" collapsed="false">
      <c r="A757" s="4" t="str">
        <f aca="false">IF(Base_Bruta!A757="","",Base_Bruta!A757)</f>
        <v>SP-000358</v>
      </c>
      <c r="B757" s="5" t="n">
        <f aca="false">IF($A757="","",IF(ISNUMBER(Base_Bruta!B757),Base_Bruta!B757,IF(MID(Base_Bruta!B757,5,1)="-",DATE(VALUE(LEFT(Base_Bruta!B757,4)),VALUE(MID(Base_Bruta!B757,6,2)),VALUE(RIGHT(Base_Bruta!B757,2))),DATE(VALUE(RIGHT(Base_Bruta!B757,4)),VALUE(MID(Base_Bruta!B757,4,2)),VALUE(LEFT(Base_Bruta!B757,2))))))</f>
        <v>46128</v>
      </c>
      <c r="C757" s="5" t="n">
        <f aca="false">IF($A757="","",IF(ISNUMBER(Base_Bruta!C757),Base_Bruta!C757,IF(MID(Base_Bruta!C757,5,1)="-",DATE(VALUE(LEFT(Base_Bruta!C757,4)),VALUE(MID(Base_Bruta!C757,6,2)),VALUE(RIGHT(Base_Bruta!C757,2))),DATE(VALUE(RIGHT(Base_Bruta!C757,4)),VALUE(MID(Base_Bruta!C757,4,2)),VALUE(LEFT(Base_Bruta!C757,2))))))</f>
        <v>46130</v>
      </c>
      <c r="D757" s="4" t="str">
        <f aca="false">IF($A757="","",TRIM(Base_Bruta!D757))</f>
        <v>Festival Sonora SP 2026</v>
      </c>
      <c r="E757" s="4" t="str">
        <f aca="false">IF($A757="","",_xlfn.XLOOKUP(LOWER(TRIM(Base_Bruta!E757)),DePara_Categoria!$A$2:$A$9,DePara_Categoria!$B$2:$B$9,"REVISAR"))</f>
        <v>Festival</v>
      </c>
      <c r="F757" s="4" t="str">
        <f aca="false">IF($A757="","",_xlfn.XLOOKUP(LOWER(TRIM(Base_Bruta!F757)),DePara_Cidade!$A$2:$A$29,DePara_Cidade!$B$2:$B$29,"REVISAR"))</f>
        <v>São Paulo</v>
      </c>
      <c r="G757" s="4" t="str">
        <f aca="false">IF($A757="","",TRIM(Base_Bruta!G757))</f>
        <v>Meia</v>
      </c>
      <c r="H757" s="4" t="n">
        <f aca="false">IF($A757="","",IF(ISNUMBER(Base_Bruta!H757),Base_Bruta!H757,IFERROR(_xlfn.NUMBERVALUE(TRIM(SUBSTITUTE(Base_Bruta!H757,"R$","")),",","."),0)))</f>
        <v>2</v>
      </c>
      <c r="I757" s="6" t="n">
        <f aca="false">IF($A757="","",IF(ISNUMBER(Base_Bruta!I757),Base_Bruta!I757,IFERROR(_xlfn.NUMBERVALUE(TRIM(SUBSTITUTE(Base_Bruta!I757,"R$","")),",","."),0)))</f>
        <v>512.5</v>
      </c>
      <c r="J757" s="6" t="n">
        <f aca="false">IF($A757="","",H757*I757)</f>
        <v>1025</v>
      </c>
      <c r="K757" s="4" t="str">
        <f aca="false">IF($A757="","",TRIM(Base_Bruta!J757))</f>
        <v>App</v>
      </c>
      <c r="L757" s="4" t="str">
        <f aca="false">IF($A757="","",TRIM(Base_Bruta!K757))</f>
        <v>C00909</v>
      </c>
      <c r="M757" s="4" t="str">
        <f aca="false">IF($A757="","",_xlfn.XLOOKUP(LOWER(TRIM(Base_Bruta!L757)),DePara_Cidade!$A$2:$A$29,DePara_Cidade!$B$2:$B$29,"REVISAR"))</f>
        <v>Vitória</v>
      </c>
      <c r="N757" s="4" t="str">
        <f aca="false">IF($A757="","",UPPER(TRIM(Base_Bruta!M757)))</f>
        <v>ES</v>
      </c>
      <c r="O757" s="4" t="str">
        <f aca="false">IF($A757="","",_xlfn.XLOOKUP(LOWER(TRIM(Base_Bruta!N757)),DePara_Pais!$A$2:$A$9,DePara_Pais!$B$2:$B$9,"REVISAR"))</f>
        <v>Brasil</v>
      </c>
      <c r="P757" s="4" t="str">
        <f aca="false">IF($A757="","",IF(O757&lt;&gt;"Brasil","Turista Internacional",IF(M757=F757,"Local","Turista Nacional")))</f>
        <v>Turista Nacional</v>
      </c>
      <c r="Q757" s="7" t="n">
        <f aca="false">IF($A757="","",DATE(YEAR(B757),MONTH(B757),1))</f>
        <v>46113</v>
      </c>
      <c r="R757" s="4" t="str">
        <f aca="false">IF($A757="","",IF(COUNTIF($A$2:$A757,$A757)&gt;1,"Sim","Não"))</f>
        <v>Não</v>
      </c>
      <c r="S757" s="4" t="str">
        <f aca="false">IF(A757="","Descartar - Linha vazia",IF(R757="Sim","Descartar - Duplicado",IF(OR(H757&lt;=0,I757&lt;=0),"Descartar - Qtd/Valor inválido","OK")))</f>
        <v>OK</v>
      </c>
      <c r="T757" s="4" t="str">
        <f aca="false">Base_Bruta!P757</f>
        <v>vendas_SP.xlsx</v>
      </c>
    </row>
    <row r="758" customFormat="false" ht="15" hidden="false" customHeight="false" outlineLevel="0" collapsed="false">
      <c r="A758" s="4" t="str">
        <f aca="false">IF(Base_Bruta!A758="","",Base_Bruta!A758)</f>
        <v>SP-000305</v>
      </c>
      <c r="B758" s="5" t="n">
        <f aca="false">IF($A758="","",IF(ISNUMBER(Base_Bruta!B758),Base_Bruta!B758,IF(MID(Base_Bruta!B758,5,1)="-",DATE(VALUE(LEFT(Base_Bruta!B758,4)),VALUE(MID(Base_Bruta!B758,6,2)),VALUE(RIGHT(Base_Bruta!B758,2))),DATE(VALUE(RIGHT(Base_Bruta!B758,4)),VALUE(MID(Base_Bruta!B758,4,2)),VALUE(LEFT(Base_Bruta!B758,2))))))</f>
        <v>46128</v>
      </c>
      <c r="C758" s="5" t="n">
        <f aca="false">IF($A758="","",IF(ISNUMBER(Base_Bruta!C758),Base_Bruta!C758,IF(MID(Base_Bruta!C758,5,1)="-",DATE(VALUE(LEFT(Base_Bruta!C758,4)),VALUE(MID(Base_Bruta!C758,6,2)),VALUE(RIGHT(Base_Bruta!C758,2))),DATE(VALUE(RIGHT(Base_Bruta!C758,4)),VALUE(MID(Base_Bruta!C758,4,2)),VALUE(LEFT(Base_Bruta!C758,2))))))</f>
        <v>46130</v>
      </c>
      <c r="D758" s="4" t="str">
        <f aca="false">IF($A758="","",TRIM(Base_Bruta!D758))</f>
        <v>Festival Sonora SP 2026</v>
      </c>
      <c r="E758" s="4" t="str">
        <f aca="false">IF($A758="","",_xlfn.XLOOKUP(LOWER(TRIM(Base_Bruta!E758)),DePara_Categoria!$A$2:$A$9,DePara_Categoria!$B$2:$B$9,"REVISAR"))</f>
        <v>Festival</v>
      </c>
      <c r="F758" s="4" t="str">
        <f aca="false">IF($A758="","",_xlfn.XLOOKUP(LOWER(TRIM(Base_Bruta!F758)),DePara_Cidade!$A$2:$A$29,DePara_Cidade!$B$2:$B$29,"REVISAR"))</f>
        <v>São Paulo</v>
      </c>
      <c r="G758" s="4" t="str">
        <f aca="false">IF($A758="","",TRIM(Base_Bruta!G758))</f>
        <v>Inteira</v>
      </c>
      <c r="H758" s="4" t="n">
        <f aca="false">IF($A758="","",IF(ISNUMBER(Base_Bruta!H758),Base_Bruta!H758,IFERROR(_xlfn.NUMBERVALUE(TRIM(SUBSTITUTE(Base_Bruta!H758,"R$","")),",","."),0)))</f>
        <v>2</v>
      </c>
      <c r="I758" s="6" t="n">
        <f aca="false">IF($A758="","",IF(ISNUMBER(Base_Bruta!I758),Base_Bruta!I758,IFERROR(_xlfn.NUMBERVALUE(TRIM(SUBSTITUTE(Base_Bruta!I758,"R$","")),",","."),0)))</f>
        <v>710</v>
      </c>
      <c r="J758" s="6" t="n">
        <f aca="false">IF($A758="","",H758*I758)</f>
        <v>1420</v>
      </c>
      <c r="K758" s="4" t="str">
        <f aca="false">IF($A758="","",TRIM(Base_Bruta!J758))</f>
        <v>Site</v>
      </c>
      <c r="L758" s="4" t="str">
        <f aca="false">IF($A758="","",TRIM(Base_Bruta!K758))</f>
        <v>C01469</v>
      </c>
      <c r="M758" s="4" t="str">
        <f aca="false">IF($A758="","",_xlfn.XLOOKUP(LOWER(TRIM(Base_Bruta!L758)),DePara_Cidade!$A$2:$A$29,DePara_Cidade!$B$2:$B$29,"REVISAR"))</f>
        <v>São Paulo</v>
      </c>
      <c r="N758" s="4" t="str">
        <f aca="false">IF($A758="","",UPPER(TRIM(Base_Bruta!M758)))</f>
        <v>SP</v>
      </c>
      <c r="O758" s="4" t="str">
        <f aca="false">IF($A758="","",_xlfn.XLOOKUP(LOWER(TRIM(Base_Bruta!N758)),DePara_Pais!$A$2:$A$9,DePara_Pais!$B$2:$B$9,"REVISAR"))</f>
        <v>Brasil</v>
      </c>
      <c r="P758" s="4" t="str">
        <f aca="false">IF($A758="","",IF(O758&lt;&gt;"Brasil","Turista Internacional",IF(M758=F758,"Local","Turista Nacional")))</f>
        <v>Local</v>
      </c>
      <c r="Q758" s="7" t="n">
        <f aca="false">IF($A758="","",DATE(YEAR(B758),MONTH(B758),1))</f>
        <v>46113</v>
      </c>
      <c r="R758" s="4" t="str">
        <f aca="false">IF($A758="","",IF(COUNTIF($A$2:$A758,$A758)&gt;1,"Sim","Não"))</f>
        <v>Sim</v>
      </c>
      <c r="S758" s="4" t="str">
        <f aca="false">IF(A758="","Descartar - Linha vazia",IF(R758="Sim","Descartar - Duplicado",IF(OR(H758&lt;=0,I758&lt;=0),"Descartar - Qtd/Valor inválido","OK")))</f>
        <v>Descartar - Duplicado</v>
      </c>
      <c r="T758" s="4" t="str">
        <f aca="false">Base_Bruta!P758</f>
        <v>vendas_SP.xlsx</v>
      </c>
    </row>
    <row r="759" customFormat="false" ht="15" hidden="false" customHeight="false" outlineLevel="0" collapsed="false">
      <c r="A759" s="4" t="str">
        <f aca="false">IF(Base_Bruta!A759="","",Base_Bruta!A759)</f>
        <v>SP-000422</v>
      </c>
      <c r="B759" s="5" t="n">
        <f aca="false">IF($A759="","",IF(ISNUMBER(Base_Bruta!B759),Base_Bruta!B759,IF(MID(Base_Bruta!B759,5,1)="-",DATE(VALUE(LEFT(Base_Bruta!B759,4)),VALUE(MID(Base_Bruta!B759,6,2)),VALUE(RIGHT(Base_Bruta!B759,2))),DATE(VALUE(RIGHT(Base_Bruta!B759,4)),VALUE(MID(Base_Bruta!B759,4,2)),VALUE(LEFT(Base_Bruta!B759,2))))))</f>
        <v>46128</v>
      </c>
      <c r="C759" s="5" t="n">
        <f aca="false">IF($A759="","",IF(ISNUMBER(Base_Bruta!C759),Base_Bruta!C759,IF(MID(Base_Bruta!C759,5,1)="-",DATE(VALUE(LEFT(Base_Bruta!C759,4)),VALUE(MID(Base_Bruta!C759,6,2)),VALUE(RIGHT(Base_Bruta!C759,2))),DATE(VALUE(RIGHT(Base_Bruta!C759,4)),VALUE(MID(Base_Bruta!C759,4,2)),VALUE(LEFT(Base_Bruta!C759,2))))))</f>
        <v>46130</v>
      </c>
      <c r="D759" s="4" t="str">
        <f aca="false">IF($A759="","",TRIM(Base_Bruta!D759))</f>
        <v>Festival Sonora SP 2026</v>
      </c>
      <c r="E759" s="4" t="str">
        <f aca="false">IF($A759="","",_xlfn.XLOOKUP(LOWER(TRIM(Base_Bruta!E759)),DePara_Categoria!$A$2:$A$9,DePara_Categoria!$B$2:$B$9,"REVISAR"))</f>
        <v>Festival</v>
      </c>
      <c r="F759" s="4" t="str">
        <f aca="false">IF($A759="","",_xlfn.XLOOKUP(LOWER(TRIM(Base_Bruta!F759)),DePara_Cidade!$A$2:$A$29,DePara_Cidade!$B$2:$B$29,"REVISAR"))</f>
        <v>São Paulo</v>
      </c>
      <c r="G759" s="4" t="str">
        <f aca="false">IF($A759="","",TRIM(Base_Bruta!G759))</f>
        <v>Inteira</v>
      </c>
      <c r="H759" s="4" t="n">
        <f aca="false">IF($A759="","",IF(ISNUMBER(Base_Bruta!H759),Base_Bruta!H759,IFERROR(_xlfn.NUMBERVALUE(TRIM(SUBSTITUTE(Base_Bruta!H759,"R$","")),",","."),0)))</f>
        <v>1</v>
      </c>
      <c r="I759" s="6" t="n">
        <f aca="false">IF($A759="","",IF(ISNUMBER(Base_Bruta!I759),Base_Bruta!I759,IFERROR(_xlfn.NUMBERVALUE(TRIM(SUBSTITUTE(Base_Bruta!I759,"R$","")),",","."),0)))</f>
        <v>1120</v>
      </c>
      <c r="J759" s="6" t="n">
        <f aca="false">IF($A759="","",H759*I759)</f>
        <v>1120</v>
      </c>
      <c r="K759" s="4" t="str">
        <f aca="false">IF($A759="","",TRIM(Base_Bruta!J759))</f>
        <v>Bilheteria</v>
      </c>
      <c r="L759" s="4" t="str">
        <f aca="false">IF($A759="","",TRIM(Base_Bruta!K759))</f>
        <v>C00663</v>
      </c>
      <c r="M759" s="4" t="str">
        <f aca="false">IF($A759="","",_xlfn.XLOOKUP(LOWER(TRIM(Base_Bruta!L759)),DePara_Cidade!$A$2:$A$29,DePara_Cidade!$B$2:$B$29,"REVISAR"))</f>
        <v>Porto Alegre</v>
      </c>
      <c r="N759" s="4" t="str">
        <f aca="false">IF($A759="","",UPPER(TRIM(Base_Bruta!M759)))</f>
        <v>RS</v>
      </c>
      <c r="O759" s="4" t="str">
        <f aca="false">IF($A759="","",_xlfn.XLOOKUP(LOWER(TRIM(Base_Bruta!N759)),DePara_Pais!$A$2:$A$9,DePara_Pais!$B$2:$B$9,"REVISAR"))</f>
        <v>Brasil</v>
      </c>
      <c r="P759" s="4" t="str">
        <f aca="false">IF($A759="","",IF(O759&lt;&gt;"Brasil","Turista Internacional",IF(M759=F759,"Local","Turista Nacional")))</f>
        <v>Turista Nacional</v>
      </c>
      <c r="Q759" s="7" t="n">
        <f aca="false">IF($A759="","",DATE(YEAR(B759),MONTH(B759),1))</f>
        <v>46113</v>
      </c>
      <c r="R759" s="4" t="str">
        <f aca="false">IF($A759="","",IF(COUNTIF($A$2:$A759,$A759)&gt;1,"Sim","Não"))</f>
        <v>Não</v>
      </c>
      <c r="S759" s="4" t="str">
        <f aca="false">IF(A759="","Descartar - Linha vazia",IF(R759="Sim","Descartar - Duplicado",IF(OR(H759&lt;=0,I759&lt;=0),"Descartar - Qtd/Valor inválido","OK")))</f>
        <v>OK</v>
      </c>
      <c r="T759" s="4" t="str">
        <f aca="false">Base_Bruta!P759</f>
        <v>vendas_SP.xlsx</v>
      </c>
    </row>
    <row r="760" customFormat="false" ht="15" hidden="false" customHeight="false" outlineLevel="0" collapsed="false">
      <c r="A760" s="4" t="str">
        <f aca="false">IF(Base_Bruta!A760="","",Base_Bruta!A760)</f>
        <v>SP-000426</v>
      </c>
      <c r="B760" s="5" t="n">
        <f aca="false">IF($A760="","",IF(ISNUMBER(Base_Bruta!B760),Base_Bruta!B760,IF(MID(Base_Bruta!B760,5,1)="-",DATE(VALUE(LEFT(Base_Bruta!B760,4)),VALUE(MID(Base_Bruta!B760,6,2)),VALUE(RIGHT(Base_Bruta!B760,2))),DATE(VALUE(RIGHT(Base_Bruta!B760,4)),VALUE(MID(Base_Bruta!B760,4,2)),VALUE(LEFT(Base_Bruta!B760,2))))))</f>
        <v>46128</v>
      </c>
      <c r="C760" s="5" t="n">
        <f aca="false">IF($A760="","",IF(ISNUMBER(Base_Bruta!C760),Base_Bruta!C760,IF(MID(Base_Bruta!C760,5,1)="-",DATE(VALUE(LEFT(Base_Bruta!C760,4)),VALUE(MID(Base_Bruta!C760,6,2)),VALUE(RIGHT(Base_Bruta!C760,2))),DATE(VALUE(RIGHT(Base_Bruta!C760,4)),VALUE(MID(Base_Bruta!C760,4,2)),VALUE(LEFT(Base_Bruta!C760,2))))))</f>
        <v>46130</v>
      </c>
      <c r="D760" s="4" t="str">
        <f aca="false">IF($A760="","",TRIM(Base_Bruta!D760))</f>
        <v>Festival Sonora SP 2026</v>
      </c>
      <c r="E760" s="4" t="str">
        <f aca="false">IF($A760="","",_xlfn.XLOOKUP(LOWER(TRIM(Base_Bruta!E760)),DePara_Categoria!$A$2:$A$9,DePara_Categoria!$B$2:$B$9,"REVISAR"))</f>
        <v>Festival</v>
      </c>
      <c r="F760" s="4" t="str">
        <f aca="false">IF($A760="","",_xlfn.XLOOKUP(LOWER(TRIM(Base_Bruta!F760)),DePara_Cidade!$A$2:$A$29,DePara_Cidade!$B$2:$B$29,"REVISAR"))</f>
        <v>São Paulo</v>
      </c>
      <c r="G760" s="4" t="str">
        <f aca="false">IF($A760="","",TRIM(Base_Bruta!G760))</f>
        <v>Meia</v>
      </c>
      <c r="H760" s="4" t="n">
        <f aca="false">IF($A760="","",IF(ISNUMBER(Base_Bruta!H760),Base_Bruta!H760,IFERROR(_xlfn.NUMBERVALUE(TRIM(SUBSTITUTE(Base_Bruta!H760,"R$","")),",","."),0)))</f>
        <v>1</v>
      </c>
      <c r="I760" s="6" t="n">
        <f aca="false">IF($A760="","",IF(ISNUMBER(Base_Bruta!I760),Base_Bruta!I760,IFERROR(_xlfn.NUMBERVALUE(TRIM(SUBSTITUTE(Base_Bruta!I760,"R$","")),",","."),0)))</f>
        <v>362.5</v>
      </c>
      <c r="J760" s="6" t="n">
        <f aca="false">IF($A760="","",H760*I760)</f>
        <v>362.5</v>
      </c>
      <c r="K760" s="4" t="str">
        <f aca="false">IF($A760="","",TRIM(Base_Bruta!J760))</f>
        <v>Site</v>
      </c>
      <c r="L760" s="4" t="str">
        <f aca="false">IF($A760="","",TRIM(Base_Bruta!K760))</f>
        <v>C01319</v>
      </c>
      <c r="M760" s="4" t="str">
        <f aca="false">IF($A760="","",_xlfn.XLOOKUP(LOWER(TRIM(Base_Bruta!L760)),DePara_Cidade!$A$2:$A$29,DePara_Cidade!$B$2:$B$29,"REVISAR"))</f>
        <v>São Paulo</v>
      </c>
      <c r="N760" s="4" t="str">
        <f aca="false">IF($A760="","",UPPER(TRIM(Base_Bruta!M760)))</f>
        <v>SP</v>
      </c>
      <c r="O760" s="4" t="str">
        <f aca="false">IF($A760="","",_xlfn.XLOOKUP(LOWER(TRIM(Base_Bruta!N760)),DePara_Pais!$A$2:$A$9,DePara_Pais!$B$2:$B$9,"REVISAR"))</f>
        <v>Brasil</v>
      </c>
      <c r="P760" s="4" t="str">
        <f aca="false">IF($A760="","",IF(O760&lt;&gt;"Brasil","Turista Internacional",IF(M760=F760,"Local","Turista Nacional")))</f>
        <v>Local</v>
      </c>
      <c r="Q760" s="7" t="n">
        <f aca="false">IF($A760="","",DATE(YEAR(B760),MONTH(B760),1))</f>
        <v>46113</v>
      </c>
      <c r="R760" s="4" t="str">
        <f aca="false">IF($A760="","",IF(COUNTIF($A$2:$A760,$A760)&gt;1,"Sim","Não"))</f>
        <v>Não</v>
      </c>
      <c r="S760" s="4" t="str">
        <f aca="false">IF(A760="","Descartar - Linha vazia",IF(R760="Sim","Descartar - Duplicado",IF(OR(H760&lt;=0,I760&lt;=0),"Descartar - Qtd/Valor inválido","OK")))</f>
        <v>OK</v>
      </c>
      <c r="T760" s="4" t="str">
        <f aca="false">Base_Bruta!P760</f>
        <v>vendas_SP.xlsx</v>
      </c>
    </row>
    <row r="761" customFormat="false" ht="15" hidden="false" customHeight="false" outlineLevel="0" collapsed="false">
      <c r="A761" s="4" t="str">
        <f aca="false">IF(Base_Bruta!A761="","",Base_Bruta!A761)</f>
        <v>SP-000445</v>
      </c>
      <c r="B761" s="5" t="n">
        <f aca="false">IF($A761="","",IF(ISNUMBER(Base_Bruta!B761),Base_Bruta!B761,IF(MID(Base_Bruta!B761,5,1)="-",DATE(VALUE(LEFT(Base_Bruta!B761,4)),VALUE(MID(Base_Bruta!B761,6,2)),VALUE(RIGHT(Base_Bruta!B761,2))),DATE(VALUE(RIGHT(Base_Bruta!B761,4)),VALUE(MID(Base_Bruta!B761,4,2)),VALUE(LEFT(Base_Bruta!B761,2))))))</f>
        <v>46128</v>
      </c>
      <c r="C761" s="5" t="n">
        <f aca="false">IF($A761="","",IF(ISNUMBER(Base_Bruta!C761),Base_Bruta!C761,IF(MID(Base_Bruta!C761,5,1)="-",DATE(VALUE(LEFT(Base_Bruta!C761,4)),VALUE(MID(Base_Bruta!C761,6,2)),VALUE(RIGHT(Base_Bruta!C761,2))),DATE(VALUE(RIGHT(Base_Bruta!C761,4)),VALUE(MID(Base_Bruta!C761,4,2)),VALUE(LEFT(Base_Bruta!C761,2))))))</f>
        <v>46130</v>
      </c>
      <c r="D761" s="4" t="str">
        <f aca="false">IF($A761="","",TRIM(Base_Bruta!D761))</f>
        <v>Festival Sonora SP 2026</v>
      </c>
      <c r="E761" s="4" t="str">
        <f aca="false">IF($A761="","",_xlfn.XLOOKUP(LOWER(TRIM(Base_Bruta!E761)),DePara_Categoria!$A$2:$A$9,DePara_Categoria!$B$2:$B$9,"REVISAR"))</f>
        <v>Festival</v>
      </c>
      <c r="F761" s="4" t="str">
        <f aca="false">IF($A761="","",_xlfn.XLOOKUP(LOWER(TRIM(Base_Bruta!F761)),DePara_Cidade!$A$2:$A$29,DePara_Cidade!$B$2:$B$29,"REVISAR"))</f>
        <v>São Paulo</v>
      </c>
      <c r="G761" s="4" t="str">
        <f aca="false">IF($A761="","",TRIM(Base_Bruta!G761))</f>
        <v>Inteira</v>
      </c>
      <c r="H761" s="4" t="n">
        <f aca="false">IF($A761="","",IF(ISNUMBER(Base_Bruta!H761),Base_Bruta!H761,IFERROR(_xlfn.NUMBERVALUE(TRIM(SUBSTITUTE(Base_Bruta!H761,"R$","")),",","."),0)))</f>
        <v>2</v>
      </c>
      <c r="I761" s="6" t="n">
        <f aca="false">IF($A761="","",IF(ISNUMBER(Base_Bruta!I761),Base_Bruta!I761,IFERROR(_xlfn.NUMBERVALUE(TRIM(SUBSTITUTE(Base_Bruta!I761,"R$","")),",","."),0)))</f>
        <v>1075</v>
      </c>
      <c r="J761" s="6" t="n">
        <f aca="false">IF($A761="","",H761*I761)</f>
        <v>2150</v>
      </c>
      <c r="K761" s="4" t="str">
        <f aca="false">IF($A761="","",TRIM(Base_Bruta!J761))</f>
        <v>App</v>
      </c>
      <c r="L761" s="4" t="str">
        <f aca="false">IF($A761="","",TRIM(Base_Bruta!K761))</f>
        <v>C01623</v>
      </c>
      <c r="M761" s="4" t="str">
        <f aca="false">IF($A761="","",_xlfn.XLOOKUP(LOWER(TRIM(Base_Bruta!L761)),DePara_Cidade!$A$2:$A$29,DePara_Cidade!$B$2:$B$29,"REVISAR"))</f>
        <v>Florianópolis</v>
      </c>
      <c r="N761" s="4" t="str">
        <f aca="false">IF($A761="","",UPPER(TRIM(Base_Bruta!M761)))</f>
        <v>SC</v>
      </c>
      <c r="O761" s="4" t="str">
        <f aca="false">IF($A761="","",_xlfn.XLOOKUP(LOWER(TRIM(Base_Bruta!N761)),DePara_Pais!$A$2:$A$9,DePara_Pais!$B$2:$B$9,"REVISAR"))</f>
        <v>Brasil</v>
      </c>
      <c r="P761" s="4" t="str">
        <f aca="false">IF($A761="","",IF(O761&lt;&gt;"Brasil","Turista Internacional",IF(M761=F761,"Local","Turista Nacional")))</f>
        <v>Turista Nacional</v>
      </c>
      <c r="Q761" s="7" t="n">
        <f aca="false">IF($A761="","",DATE(YEAR(B761),MONTH(B761),1))</f>
        <v>46113</v>
      </c>
      <c r="R761" s="4" t="str">
        <f aca="false">IF($A761="","",IF(COUNTIF($A$2:$A761,$A761)&gt;1,"Sim","Não"))</f>
        <v>Não</v>
      </c>
      <c r="S761" s="4" t="str">
        <f aca="false">IF(A761="","Descartar - Linha vazia",IF(R761="Sim","Descartar - Duplicado",IF(OR(H761&lt;=0,I761&lt;=0),"Descartar - Qtd/Valor inválido","OK")))</f>
        <v>OK</v>
      </c>
      <c r="T761" s="4" t="str">
        <f aca="false">Base_Bruta!P761</f>
        <v>vendas_SP.xlsx</v>
      </c>
    </row>
    <row r="762" customFormat="false" ht="15" hidden="false" customHeight="false" outlineLevel="0" collapsed="false">
      <c r="A762" s="4" t="str">
        <f aca="false">IF(Base_Bruta!A762="","",Base_Bruta!A762)</f>
        <v>SP-000452</v>
      </c>
      <c r="B762" s="5" t="n">
        <f aca="false">IF($A762="","",IF(ISNUMBER(Base_Bruta!B762),Base_Bruta!B762,IF(MID(Base_Bruta!B762,5,1)="-",DATE(VALUE(LEFT(Base_Bruta!B762,4)),VALUE(MID(Base_Bruta!B762,6,2)),VALUE(RIGHT(Base_Bruta!B762,2))),DATE(VALUE(RIGHT(Base_Bruta!B762,4)),VALUE(MID(Base_Bruta!B762,4,2)),VALUE(LEFT(Base_Bruta!B762,2))))))</f>
        <v>46128</v>
      </c>
      <c r="C762" s="5" t="n">
        <f aca="false">IF($A762="","",IF(ISNUMBER(Base_Bruta!C762),Base_Bruta!C762,IF(MID(Base_Bruta!C762,5,1)="-",DATE(VALUE(LEFT(Base_Bruta!C762,4)),VALUE(MID(Base_Bruta!C762,6,2)),VALUE(RIGHT(Base_Bruta!C762,2))),DATE(VALUE(RIGHT(Base_Bruta!C762,4)),VALUE(MID(Base_Bruta!C762,4,2)),VALUE(LEFT(Base_Bruta!C762,2))))))</f>
        <v>46130</v>
      </c>
      <c r="D762" s="4" t="str">
        <f aca="false">IF($A762="","",TRIM(Base_Bruta!D762))</f>
        <v>Festival Sonora SP 2026</v>
      </c>
      <c r="E762" s="4" t="str">
        <f aca="false">IF($A762="","",_xlfn.XLOOKUP(LOWER(TRIM(Base_Bruta!E762)),DePara_Categoria!$A$2:$A$9,DePara_Categoria!$B$2:$B$9,"REVISAR"))</f>
        <v>Festival</v>
      </c>
      <c r="F762" s="4" t="str">
        <f aca="false">IF($A762="","",_xlfn.XLOOKUP(LOWER(TRIM(Base_Bruta!F762)),DePara_Cidade!$A$2:$A$29,DePara_Cidade!$B$2:$B$29,"REVISAR"))</f>
        <v>São Paulo</v>
      </c>
      <c r="G762" s="4" t="str">
        <f aca="false">IF($A762="","",TRIM(Base_Bruta!G762))</f>
        <v>Inteira</v>
      </c>
      <c r="H762" s="4" t="n">
        <f aca="false">IF($A762="","",IF(ISNUMBER(Base_Bruta!H762),Base_Bruta!H762,IFERROR(_xlfn.NUMBERVALUE(TRIM(SUBSTITUTE(Base_Bruta!H762,"R$","")),",","."),0)))</f>
        <v>1</v>
      </c>
      <c r="I762" s="6" t="n">
        <f aca="false">IF($A762="","",IF(ISNUMBER(Base_Bruta!I762),Base_Bruta!I762,IFERROR(_xlfn.NUMBERVALUE(TRIM(SUBSTITUTE(Base_Bruta!I762,"R$","")),",","."),0)))</f>
        <v>1015</v>
      </c>
      <c r="J762" s="6" t="n">
        <f aca="false">IF($A762="","",H762*I762)</f>
        <v>1015</v>
      </c>
      <c r="K762" s="4" t="str">
        <f aca="false">IF($A762="","",TRIM(Base_Bruta!J762))</f>
        <v>Parceiro</v>
      </c>
      <c r="L762" s="4" t="str">
        <f aca="false">IF($A762="","",TRIM(Base_Bruta!K762))</f>
        <v>C00858</v>
      </c>
      <c r="M762" s="4" t="str">
        <f aca="false">IF($A762="","",_xlfn.XLOOKUP(LOWER(TRIM(Base_Bruta!L762)),DePara_Cidade!$A$2:$A$29,DePara_Cidade!$B$2:$B$29,"REVISAR"))</f>
        <v>São Paulo</v>
      </c>
      <c r="N762" s="4" t="str">
        <f aca="false">IF($A762="","",UPPER(TRIM(Base_Bruta!M762)))</f>
        <v>SP</v>
      </c>
      <c r="O762" s="4" t="str">
        <f aca="false">IF($A762="","",_xlfn.XLOOKUP(LOWER(TRIM(Base_Bruta!N762)),DePara_Pais!$A$2:$A$9,DePara_Pais!$B$2:$B$9,"REVISAR"))</f>
        <v>Brasil</v>
      </c>
      <c r="P762" s="4" t="str">
        <f aca="false">IF($A762="","",IF(O762&lt;&gt;"Brasil","Turista Internacional",IF(M762=F762,"Local","Turista Nacional")))</f>
        <v>Local</v>
      </c>
      <c r="Q762" s="7" t="n">
        <f aca="false">IF($A762="","",DATE(YEAR(B762),MONTH(B762),1))</f>
        <v>46113</v>
      </c>
      <c r="R762" s="4" t="str">
        <f aca="false">IF($A762="","",IF(COUNTIF($A$2:$A762,$A762)&gt;1,"Sim","Não"))</f>
        <v>Não</v>
      </c>
      <c r="S762" s="4" t="str">
        <f aca="false">IF(A762="","Descartar - Linha vazia",IF(R762="Sim","Descartar - Duplicado",IF(OR(H762&lt;=0,I762&lt;=0),"Descartar - Qtd/Valor inválido","OK")))</f>
        <v>OK</v>
      </c>
      <c r="T762" s="4" t="str">
        <f aca="false">Base_Bruta!P762</f>
        <v>vendas_SP.xlsx</v>
      </c>
    </row>
    <row r="763" customFormat="false" ht="15" hidden="false" customHeight="false" outlineLevel="0" collapsed="false">
      <c r="A763" s="4" t="str">
        <f aca="false">IF(Base_Bruta!A763="","",Base_Bruta!A763)</f>
        <v>SP-000280</v>
      </c>
      <c r="B763" s="5" t="n">
        <f aca="false">IF($A763="","",IF(ISNUMBER(Base_Bruta!B763),Base_Bruta!B763,IF(MID(Base_Bruta!B763,5,1)="-",DATE(VALUE(LEFT(Base_Bruta!B763,4)),VALUE(MID(Base_Bruta!B763,6,2)),VALUE(RIGHT(Base_Bruta!B763,2))),DATE(VALUE(RIGHT(Base_Bruta!B763,4)),VALUE(MID(Base_Bruta!B763,4,2)),VALUE(LEFT(Base_Bruta!B763,2))))))</f>
        <v>46129</v>
      </c>
      <c r="C763" s="5" t="n">
        <f aca="false">IF($A763="","",IF(ISNUMBER(Base_Bruta!C763),Base_Bruta!C763,IF(MID(Base_Bruta!C763,5,1)="-",DATE(VALUE(LEFT(Base_Bruta!C763,4)),VALUE(MID(Base_Bruta!C763,6,2)),VALUE(RIGHT(Base_Bruta!C763,2))),DATE(VALUE(RIGHT(Base_Bruta!C763,4)),VALUE(MID(Base_Bruta!C763,4,2)),VALUE(LEFT(Base_Bruta!C763,2))))))</f>
        <v>46130</v>
      </c>
      <c r="D763" s="4" t="str">
        <f aca="false">IF($A763="","",TRIM(Base_Bruta!D763))</f>
        <v>Festival Sonora SP 2026</v>
      </c>
      <c r="E763" s="4" t="str">
        <f aca="false">IF($A763="","",_xlfn.XLOOKUP(LOWER(TRIM(Base_Bruta!E763)),DePara_Categoria!$A$2:$A$9,DePara_Categoria!$B$2:$B$9,"REVISAR"))</f>
        <v>Festival</v>
      </c>
      <c r="F763" s="4" t="str">
        <f aca="false">IF($A763="","",_xlfn.XLOOKUP(LOWER(TRIM(Base_Bruta!F763)),DePara_Cidade!$A$2:$A$29,DePara_Cidade!$B$2:$B$29,"REVISAR"))</f>
        <v>São Paulo</v>
      </c>
      <c r="G763" s="4" t="str">
        <f aca="false">IF($A763="","",TRIM(Base_Bruta!G763))</f>
        <v>Meia</v>
      </c>
      <c r="H763" s="4" t="n">
        <f aca="false">IF($A763="","",IF(ISNUMBER(Base_Bruta!H763),Base_Bruta!H763,IFERROR(_xlfn.NUMBERVALUE(TRIM(SUBSTITUTE(Base_Bruta!H763,"R$","")),",","."),0)))</f>
        <v>1</v>
      </c>
      <c r="I763" s="6" t="n">
        <f aca="false">IF($A763="","",IF(ISNUMBER(Base_Bruta!I763),Base_Bruta!I763,IFERROR(_xlfn.NUMBERVALUE(TRIM(SUBSTITUTE(Base_Bruta!I763,"R$","")),",","."),0)))</f>
        <v>362.5</v>
      </c>
      <c r="J763" s="6" t="n">
        <f aca="false">IF($A763="","",H763*I763)</f>
        <v>362.5</v>
      </c>
      <c r="K763" s="4" t="str">
        <f aca="false">IF($A763="","",TRIM(Base_Bruta!J763))</f>
        <v>App</v>
      </c>
      <c r="L763" s="4" t="str">
        <f aca="false">IF($A763="","",TRIM(Base_Bruta!K763))</f>
        <v>C00279</v>
      </c>
      <c r="M763" s="4" t="str">
        <f aca="false">IF($A763="","",_xlfn.XLOOKUP(LOWER(TRIM(Base_Bruta!L763)),DePara_Cidade!$A$2:$A$29,DePara_Cidade!$B$2:$B$29,"REVISAR"))</f>
        <v>Lisboa</v>
      </c>
      <c r="N763" s="4" t="str">
        <f aca="false">IF($A763="","",UPPER(TRIM(Base_Bruta!M763)))</f>
        <v>EX</v>
      </c>
      <c r="O763" s="4" t="str">
        <f aca="false">IF($A763="","",_xlfn.XLOOKUP(LOWER(TRIM(Base_Bruta!N763)),DePara_Pais!$A$2:$A$9,DePara_Pais!$B$2:$B$9,"REVISAR"))</f>
        <v>Portugal</v>
      </c>
      <c r="P763" s="4" t="str">
        <f aca="false">IF($A763="","",IF(O763&lt;&gt;"Brasil","Turista Internacional",IF(M763=F763,"Local","Turista Nacional")))</f>
        <v>Turista Internacional</v>
      </c>
      <c r="Q763" s="7" t="n">
        <f aca="false">IF($A763="","",DATE(YEAR(B763),MONTH(B763),1))</f>
        <v>46113</v>
      </c>
      <c r="R763" s="4" t="str">
        <f aca="false">IF($A763="","",IF(COUNTIF($A$2:$A763,$A763)&gt;1,"Sim","Não"))</f>
        <v>Não</v>
      </c>
      <c r="S763" s="4" t="str">
        <f aca="false">IF(A763="","Descartar - Linha vazia",IF(R763="Sim","Descartar - Duplicado",IF(OR(H763&lt;=0,I763&lt;=0),"Descartar - Qtd/Valor inválido","OK")))</f>
        <v>OK</v>
      </c>
      <c r="T763" s="4" t="str">
        <f aca="false">Base_Bruta!P763</f>
        <v>vendas_SP.xlsx</v>
      </c>
    </row>
    <row r="764" customFormat="false" ht="15" hidden="false" customHeight="false" outlineLevel="0" collapsed="false">
      <c r="A764" s="4" t="str">
        <f aca="false">IF(Base_Bruta!A764="","",Base_Bruta!A764)</f>
        <v>SP-000286</v>
      </c>
      <c r="B764" s="5" t="n">
        <f aca="false">IF($A764="","",IF(ISNUMBER(Base_Bruta!B764),Base_Bruta!B764,IF(MID(Base_Bruta!B764,5,1)="-",DATE(VALUE(LEFT(Base_Bruta!B764,4)),VALUE(MID(Base_Bruta!B764,6,2)),VALUE(RIGHT(Base_Bruta!B764,2))),DATE(VALUE(RIGHT(Base_Bruta!B764,4)),VALUE(MID(Base_Bruta!B764,4,2)),VALUE(LEFT(Base_Bruta!B764,2))))))</f>
        <v>46129</v>
      </c>
      <c r="C764" s="5" t="n">
        <f aca="false">IF($A764="","",IF(ISNUMBER(Base_Bruta!C764),Base_Bruta!C764,IF(MID(Base_Bruta!C764,5,1)="-",DATE(VALUE(LEFT(Base_Bruta!C764,4)),VALUE(MID(Base_Bruta!C764,6,2)),VALUE(RIGHT(Base_Bruta!C764,2))),DATE(VALUE(RIGHT(Base_Bruta!C764,4)),VALUE(MID(Base_Bruta!C764,4,2)),VALUE(LEFT(Base_Bruta!C764,2))))))</f>
        <v>46130</v>
      </c>
      <c r="D764" s="4" t="str">
        <f aca="false">IF($A764="","",TRIM(Base_Bruta!D764))</f>
        <v>Festival Sonora SP 2026</v>
      </c>
      <c r="E764" s="4" t="str">
        <f aca="false">IF($A764="","",_xlfn.XLOOKUP(LOWER(TRIM(Base_Bruta!E764)),DePara_Categoria!$A$2:$A$9,DePara_Categoria!$B$2:$B$9,"REVISAR"))</f>
        <v>Festival</v>
      </c>
      <c r="F764" s="4" t="str">
        <f aca="false">IF($A764="","",_xlfn.XLOOKUP(LOWER(TRIM(Base_Bruta!F764)),DePara_Cidade!$A$2:$A$29,DePara_Cidade!$B$2:$B$29,"REVISAR"))</f>
        <v>São Paulo</v>
      </c>
      <c r="G764" s="4" t="str">
        <f aca="false">IF($A764="","",TRIM(Base_Bruta!G764))</f>
        <v>Inteira</v>
      </c>
      <c r="H764" s="4" t="n">
        <f aca="false">IF($A764="","",IF(ISNUMBER(Base_Bruta!H764),Base_Bruta!H764,IFERROR(_xlfn.NUMBERVALUE(TRIM(SUBSTITUTE(Base_Bruta!H764,"R$","")),",","."),0)))</f>
        <v>2</v>
      </c>
      <c r="I764" s="6" t="n">
        <f aca="false">IF($A764="","",IF(ISNUMBER(Base_Bruta!I764),Base_Bruta!I764,IFERROR(_xlfn.NUMBERVALUE(TRIM(SUBSTITUTE(Base_Bruta!I764,"R$","")),",","."),0)))</f>
        <v>750</v>
      </c>
      <c r="J764" s="6" t="n">
        <f aca="false">IF($A764="","",H764*I764)</f>
        <v>1500</v>
      </c>
      <c r="K764" s="4" t="str">
        <f aca="false">IF($A764="","",TRIM(Base_Bruta!J764))</f>
        <v>App</v>
      </c>
      <c r="L764" s="4" t="str">
        <f aca="false">IF($A764="","",TRIM(Base_Bruta!K764))</f>
        <v>C00213</v>
      </c>
      <c r="M764" s="4" t="str">
        <f aca="false">IF($A764="","",_xlfn.XLOOKUP(LOWER(TRIM(Base_Bruta!L764)),DePara_Cidade!$A$2:$A$29,DePara_Cidade!$B$2:$B$29,"REVISAR"))</f>
        <v>São Paulo</v>
      </c>
      <c r="N764" s="4" t="str">
        <f aca="false">IF($A764="","",UPPER(TRIM(Base_Bruta!M764)))</f>
        <v>SP</v>
      </c>
      <c r="O764" s="4" t="str">
        <f aca="false">IF($A764="","",_xlfn.XLOOKUP(LOWER(TRIM(Base_Bruta!N764)),DePara_Pais!$A$2:$A$9,DePara_Pais!$B$2:$B$9,"REVISAR"))</f>
        <v>Brasil</v>
      </c>
      <c r="P764" s="4" t="str">
        <f aca="false">IF($A764="","",IF(O764&lt;&gt;"Brasil","Turista Internacional",IF(M764=F764,"Local","Turista Nacional")))</f>
        <v>Local</v>
      </c>
      <c r="Q764" s="7" t="n">
        <f aca="false">IF($A764="","",DATE(YEAR(B764),MONTH(B764),1))</f>
        <v>46113</v>
      </c>
      <c r="R764" s="4" t="str">
        <f aca="false">IF($A764="","",IF(COUNTIF($A$2:$A764,$A764)&gt;1,"Sim","Não"))</f>
        <v>Não</v>
      </c>
      <c r="S764" s="4" t="str">
        <f aca="false">IF(A764="","Descartar - Linha vazia",IF(R764="Sim","Descartar - Duplicado",IF(OR(H764&lt;=0,I764&lt;=0),"Descartar - Qtd/Valor inválido","OK")))</f>
        <v>OK</v>
      </c>
      <c r="T764" s="4" t="str">
        <f aca="false">Base_Bruta!P764</f>
        <v>vendas_SP.xlsx</v>
      </c>
    </row>
    <row r="765" customFormat="false" ht="15" hidden="false" customHeight="false" outlineLevel="0" collapsed="false">
      <c r="A765" s="4" t="str">
        <f aca="false">IF(Base_Bruta!A765="","",Base_Bruta!A765)</f>
        <v>SP-000300</v>
      </c>
      <c r="B765" s="5" t="n">
        <f aca="false">IF($A765="","",IF(ISNUMBER(Base_Bruta!B765),Base_Bruta!B765,IF(MID(Base_Bruta!B765,5,1)="-",DATE(VALUE(LEFT(Base_Bruta!B765,4)),VALUE(MID(Base_Bruta!B765,6,2)),VALUE(RIGHT(Base_Bruta!B765,2))),DATE(VALUE(RIGHT(Base_Bruta!B765,4)),VALUE(MID(Base_Bruta!B765,4,2)),VALUE(LEFT(Base_Bruta!B765,2))))))</f>
        <v>46129</v>
      </c>
      <c r="C765" s="5" t="n">
        <f aca="false">IF($A765="","",IF(ISNUMBER(Base_Bruta!C765),Base_Bruta!C765,IF(MID(Base_Bruta!C765,5,1)="-",DATE(VALUE(LEFT(Base_Bruta!C765,4)),VALUE(MID(Base_Bruta!C765,6,2)),VALUE(RIGHT(Base_Bruta!C765,2))),DATE(VALUE(RIGHT(Base_Bruta!C765,4)),VALUE(MID(Base_Bruta!C765,4,2)),VALUE(LEFT(Base_Bruta!C765,2))))))</f>
        <v>46130</v>
      </c>
      <c r="D765" s="4" t="str">
        <f aca="false">IF($A765="","",TRIM(Base_Bruta!D765))</f>
        <v>Festival Sonora SP 2026</v>
      </c>
      <c r="E765" s="4" t="str">
        <f aca="false">IF($A765="","",_xlfn.XLOOKUP(LOWER(TRIM(Base_Bruta!E765)),DePara_Categoria!$A$2:$A$9,DePara_Categoria!$B$2:$B$9,"REVISAR"))</f>
        <v>Festival</v>
      </c>
      <c r="F765" s="4" t="str">
        <f aca="false">IF($A765="","",_xlfn.XLOOKUP(LOWER(TRIM(Base_Bruta!F765)),DePara_Cidade!$A$2:$A$29,DePara_Cidade!$B$2:$B$29,"REVISAR"))</f>
        <v>São Paulo</v>
      </c>
      <c r="G765" s="4" t="str">
        <f aca="false">IF($A765="","",TRIM(Base_Bruta!G765))</f>
        <v>Inteira</v>
      </c>
      <c r="H765" s="4" t="n">
        <f aca="false">IF($A765="","",IF(ISNUMBER(Base_Bruta!H765),Base_Bruta!H765,IFERROR(_xlfn.NUMBERVALUE(TRIM(SUBSTITUTE(Base_Bruta!H765,"R$","")),",","."),0)))</f>
        <v>1</v>
      </c>
      <c r="I765" s="6" t="n">
        <f aca="false">IF($A765="","",IF(ISNUMBER(Base_Bruta!I765),Base_Bruta!I765,IFERROR(_xlfn.NUMBERVALUE(TRIM(SUBSTITUTE(Base_Bruta!I765,"R$","")),",","."),0)))</f>
        <v>700</v>
      </c>
      <c r="J765" s="6" t="n">
        <f aca="false">IF($A765="","",H765*I765)</f>
        <v>700</v>
      </c>
      <c r="K765" s="4" t="str">
        <f aca="false">IF($A765="","",TRIM(Base_Bruta!J765))</f>
        <v>App</v>
      </c>
      <c r="L765" s="4" t="str">
        <f aca="false">IF($A765="","",TRIM(Base_Bruta!K765))</f>
        <v>C00853</v>
      </c>
      <c r="M765" s="4" t="str">
        <f aca="false">IF($A765="","",_xlfn.XLOOKUP(LOWER(TRIM(Base_Bruta!L765)),DePara_Cidade!$A$2:$A$29,DePara_Cidade!$B$2:$B$29,"REVISAR"))</f>
        <v>São Paulo</v>
      </c>
      <c r="N765" s="4" t="str">
        <f aca="false">IF($A765="","",UPPER(TRIM(Base_Bruta!M765)))</f>
        <v>SP</v>
      </c>
      <c r="O765" s="4" t="str">
        <f aca="false">IF($A765="","",_xlfn.XLOOKUP(LOWER(TRIM(Base_Bruta!N765)),DePara_Pais!$A$2:$A$9,DePara_Pais!$B$2:$B$9,"REVISAR"))</f>
        <v>Brasil</v>
      </c>
      <c r="P765" s="4" t="str">
        <f aca="false">IF($A765="","",IF(O765&lt;&gt;"Brasil","Turista Internacional",IF(M765=F765,"Local","Turista Nacional")))</f>
        <v>Local</v>
      </c>
      <c r="Q765" s="7" t="n">
        <f aca="false">IF($A765="","",DATE(YEAR(B765),MONTH(B765),1))</f>
        <v>46113</v>
      </c>
      <c r="R765" s="4" t="str">
        <f aca="false">IF($A765="","",IF(COUNTIF($A$2:$A765,$A765)&gt;1,"Sim","Não"))</f>
        <v>Não</v>
      </c>
      <c r="S765" s="4" t="str">
        <f aca="false">IF(A765="","Descartar - Linha vazia",IF(R765="Sim","Descartar - Duplicado",IF(OR(H765&lt;=0,I765&lt;=0),"Descartar - Qtd/Valor inválido","OK")))</f>
        <v>OK</v>
      </c>
      <c r="T765" s="4" t="str">
        <f aca="false">Base_Bruta!P765</f>
        <v>vendas_SP.xlsx</v>
      </c>
    </row>
    <row r="766" customFormat="false" ht="15" hidden="false" customHeight="false" outlineLevel="0" collapsed="false">
      <c r="A766" s="4" t="str">
        <f aca="false">IF(Base_Bruta!A766="","",Base_Bruta!A766)</f>
        <v>SP-000322</v>
      </c>
      <c r="B766" s="5" t="n">
        <f aca="false">IF($A766="","",IF(ISNUMBER(Base_Bruta!B766),Base_Bruta!B766,IF(MID(Base_Bruta!B766,5,1)="-",DATE(VALUE(LEFT(Base_Bruta!B766,4)),VALUE(MID(Base_Bruta!B766,6,2)),VALUE(RIGHT(Base_Bruta!B766,2))),DATE(VALUE(RIGHT(Base_Bruta!B766,4)),VALUE(MID(Base_Bruta!B766,4,2)),VALUE(LEFT(Base_Bruta!B766,2))))))</f>
        <v>46129</v>
      </c>
      <c r="C766" s="5" t="n">
        <f aca="false">IF($A766="","",IF(ISNUMBER(Base_Bruta!C766),Base_Bruta!C766,IF(MID(Base_Bruta!C766,5,1)="-",DATE(VALUE(LEFT(Base_Bruta!C766,4)),VALUE(MID(Base_Bruta!C766,6,2)),VALUE(RIGHT(Base_Bruta!C766,2))),DATE(VALUE(RIGHT(Base_Bruta!C766,4)),VALUE(MID(Base_Bruta!C766,4,2)),VALUE(LEFT(Base_Bruta!C766,2))))))</f>
        <v>46130</v>
      </c>
      <c r="D766" s="4" t="str">
        <f aca="false">IF($A766="","",TRIM(Base_Bruta!D766))</f>
        <v>Festival Sonora SP 2026</v>
      </c>
      <c r="E766" s="4" t="str">
        <f aca="false">IF($A766="","",_xlfn.XLOOKUP(LOWER(TRIM(Base_Bruta!E766)),DePara_Categoria!$A$2:$A$9,DePara_Categoria!$B$2:$B$9,"REVISAR"))</f>
        <v>Festival</v>
      </c>
      <c r="F766" s="4" t="str">
        <f aca="false">IF($A766="","",_xlfn.XLOOKUP(LOWER(TRIM(Base_Bruta!F766)),DePara_Cidade!$A$2:$A$29,DePara_Cidade!$B$2:$B$29,"REVISAR"))</f>
        <v>São Paulo</v>
      </c>
      <c r="G766" s="4" t="str">
        <f aca="false">IF($A766="","",TRIM(Base_Bruta!G766))</f>
        <v>Inteira</v>
      </c>
      <c r="H766" s="4" t="n">
        <f aca="false">IF($A766="","",IF(ISNUMBER(Base_Bruta!H766),Base_Bruta!H766,IFERROR(_xlfn.NUMBERVALUE(TRIM(SUBSTITUTE(Base_Bruta!H766,"R$","")),",","."),0)))</f>
        <v>1</v>
      </c>
      <c r="I766" s="6" t="n">
        <f aca="false">IF($A766="","",IF(ISNUMBER(Base_Bruta!I766),Base_Bruta!I766,IFERROR(_xlfn.NUMBERVALUE(TRIM(SUBSTITUTE(Base_Bruta!I766,"R$","")),",","."),0)))</f>
        <v>980</v>
      </c>
      <c r="J766" s="6" t="n">
        <f aca="false">IF($A766="","",H766*I766)</f>
        <v>980</v>
      </c>
      <c r="K766" s="4" t="str">
        <f aca="false">IF($A766="","",TRIM(Base_Bruta!J766))</f>
        <v>App</v>
      </c>
      <c r="L766" s="4" t="str">
        <f aca="false">IF($A766="","",TRIM(Base_Bruta!K766))</f>
        <v>C02018</v>
      </c>
      <c r="M766" s="4" t="str">
        <f aca="false">IF($A766="","",_xlfn.XLOOKUP(LOWER(TRIM(Base_Bruta!L766)),DePara_Cidade!$A$2:$A$29,DePara_Cidade!$B$2:$B$29,"REVISAR"))</f>
        <v>Lisboa</v>
      </c>
      <c r="N766" s="4" t="str">
        <f aca="false">IF($A766="","",UPPER(TRIM(Base_Bruta!M766)))</f>
        <v>EX</v>
      </c>
      <c r="O766" s="4" t="str">
        <f aca="false">IF($A766="","",_xlfn.XLOOKUP(LOWER(TRIM(Base_Bruta!N766)),DePara_Pais!$A$2:$A$9,DePara_Pais!$B$2:$B$9,"REVISAR"))</f>
        <v>Portugal</v>
      </c>
      <c r="P766" s="4" t="str">
        <f aca="false">IF($A766="","",IF(O766&lt;&gt;"Brasil","Turista Internacional",IF(M766=F766,"Local","Turista Nacional")))</f>
        <v>Turista Internacional</v>
      </c>
      <c r="Q766" s="7" t="n">
        <f aca="false">IF($A766="","",DATE(YEAR(B766),MONTH(B766),1))</f>
        <v>46113</v>
      </c>
      <c r="R766" s="4" t="str">
        <f aca="false">IF($A766="","",IF(COUNTIF($A$2:$A766,$A766)&gt;1,"Sim","Não"))</f>
        <v>Não</v>
      </c>
      <c r="S766" s="4" t="str">
        <f aca="false">IF(A766="","Descartar - Linha vazia",IF(R766="Sim","Descartar - Duplicado",IF(OR(H766&lt;=0,I766&lt;=0),"Descartar - Qtd/Valor inválido","OK")))</f>
        <v>OK</v>
      </c>
      <c r="T766" s="4" t="str">
        <f aca="false">Base_Bruta!P766</f>
        <v>vendas_SP.xlsx</v>
      </c>
    </row>
    <row r="767" customFormat="false" ht="15" hidden="false" customHeight="false" outlineLevel="0" collapsed="false">
      <c r="A767" s="4" t="str">
        <f aca="false">IF(Base_Bruta!A767="","",Base_Bruta!A767)</f>
        <v>SP-000347</v>
      </c>
      <c r="B767" s="5" t="n">
        <f aca="false">IF($A767="","",IF(ISNUMBER(Base_Bruta!B767),Base_Bruta!B767,IF(MID(Base_Bruta!B767,5,1)="-",DATE(VALUE(LEFT(Base_Bruta!B767,4)),VALUE(MID(Base_Bruta!B767,6,2)),VALUE(RIGHT(Base_Bruta!B767,2))),DATE(VALUE(RIGHT(Base_Bruta!B767,4)),VALUE(MID(Base_Bruta!B767,4,2)),VALUE(LEFT(Base_Bruta!B767,2))))))</f>
        <v>46129</v>
      </c>
      <c r="C767" s="5" t="n">
        <f aca="false">IF($A767="","",IF(ISNUMBER(Base_Bruta!C767),Base_Bruta!C767,IF(MID(Base_Bruta!C767,5,1)="-",DATE(VALUE(LEFT(Base_Bruta!C767,4)),VALUE(MID(Base_Bruta!C767,6,2)),VALUE(RIGHT(Base_Bruta!C767,2))),DATE(VALUE(RIGHT(Base_Bruta!C767,4)),VALUE(MID(Base_Bruta!C767,4,2)),VALUE(LEFT(Base_Bruta!C767,2))))))</f>
        <v>46130</v>
      </c>
      <c r="D767" s="4" t="str">
        <f aca="false">IF($A767="","",TRIM(Base_Bruta!D767))</f>
        <v>Festival Sonora SP 2026</v>
      </c>
      <c r="E767" s="4" t="str">
        <f aca="false">IF($A767="","",_xlfn.XLOOKUP(LOWER(TRIM(Base_Bruta!E767)),DePara_Categoria!$A$2:$A$9,DePara_Categoria!$B$2:$B$9,"REVISAR"))</f>
        <v>Festival</v>
      </c>
      <c r="F767" s="4" t="str">
        <f aca="false">IF($A767="","",_xlfn.XLOOKUP(LOWER(TRIM(Base_Bruta!F767)),DePara_Cidade!$A$2:$A$29,DePara_Cidade!$B$2:$B$29,"REVISAR"))</f>
        <v>São Paulo</v>
      </c>
      <c r="G767" s="4" t="str">
        <f aca="false">IF($A767="","",TRIM(Base_Bruta!G767))</f>
        <v>Inteira</v>
      </c>
      <c r="H767" s="4" t="n">
        <f aca="false">IF($A767="","",IF(ISNUMBER(Base_Bruta!H767),Base_Bruta!H767,IFERROR(_xlfn.NUMBERVALUE(TRIM(SUBSTITUTE(Base_Bruta!H767,"R$","")),",","."),0)))</f>
        <v>1</v>
      </c>
      <c r="I767" s="6" t="n">
        <f aca="false">IF($A767="","",IF(ISNUMBER(Base_Bruta!I767),Base_Bruta!I767,IFERROR(_xlfn.NUMBERVALUE(TRIM(SUBSTITUTE(Base_Bruta!I767,"R$","")),",","."),0)))</f>
        <v>695</v>
      </c>
      <c r="J767" s="6" t="n">
        <f aca="false">IF($A767="","",H767*I767)</f>
        <v>695</v>
      </c>
      <c r="K767" s="4" t="str">
        <f aca="false">IF($A767="","",TRIM(Base_Bruta!J767))</f>
        <v>App</v>
      </c>
      <c r="L767" s="4" t="str">
        <f aca="false">IF($A767="","",TRIM(Base_Bruta!K767))</f>
        <v>C02063</v>
      </c>
      <c r="M767" s="4" t="str">
        <f aca="false">IF($A767="","",_xlfn.XLOOKUP(LOWER(TRIM(Base_Bruta!L767)),DePara_Cidade!$A$2:$A$29,DePara_Cidade!$B$2:$B$29,"REVISAR"))</f>
        <v>São Paulo</v>
      </c>
      <c r="N767" s="4" t="str">
        <f aca="false">IF($A767="","",UPPER(TRIM(Base_Bruta!M767)))</f>
        <v>SP</v>
      </c>
      <c r="O767" s="4" t="str">
        <f aca="false">IF($A767="","",_xlfn.XLOOKUP(LOWER(TRIM(Base_Bruta!N767)),DePara_Pais!$A$2:$A$9,DePara_Pais!$B$2:$B$9,"REVISAR"))</f>
        <v>Brasil</v>
      </c>
      <c r="P767" s="4" t="str">
        <f aca="false">IF($A767="","",IF(O767&lt;&gt;"Brasil","Turista Internacional",IF(M767=F767,"Local","Turista Nacional")))</f>
        <v>Local</v>
      </c>
      <c r="Q767" s="7" t="n">
        <f aca="false">IF($A767="","",DATE(YEAR(B767),MONTH(B767),1))</f>
        <v>46113</v>
      </c>
      <c r="R767" s="4" t="str">
        <f aca="false">IF($A767="","",IF(COUNTIF($A$2:$A767,$A767)&gt;1,"Sim","Não"))</f>
        <v>Não</v>
      </c>
      <c r="S767" s="4" t="str">
        <f aca="false">IF(A767="","Descartar - Linha vazia",IF(R767="Sim","Descartar - Duplicado",IF(OR(H767&lt;=0,I767&lt;=0),"Descartar - Qtd/Valor inválido","OK")))</f>
        <v>OK</v>
      </c>
      <c r="T767" s="4" t="str">
        <f aca="false">Base_Bruta!P767</f>
        <v>vendas_SP.xlsx</v>
      </c>
    </row>
    <row r="768" customFormat="false" ht="15" hidden="false" customHeight="false" outlineLevel="0" collapsed="false">
      <c r="A768" s="4" t="str">
        <f aca="false">IF(Base_Bruta!A768="","",Base_Bruta!A768)</f>
        <v>SP-000384</v>
      </c>
      <c r="B768" s="5" t="n">
        <f aca="false">IF($A768="","",IF(ISNUMBER(Base_Bruta!B768),Base_Bruta!B768,IF(MID(Base_Bruta!B768,5,1)="-",DATE(VALUE(LEFT(Base_Bruta!B768,4)),VALUE(MID(Base_Bruta!B768,6,2)),VALUE(RIGHT(Base_Bruta!B768,2))),DATE(VALUE(RIGHT(Base_Bruta!B768,4)),VALUE(MID(Base_Bruta!B768,4,2)),VALUE(LEFT(Base_Bruta!B768,2))))))</f>
        <v>46129</v>
      </c>
      <c r="C768" s="5" t="n">
        <f aca="false">IF($A768="","",IF(ISNUMBER(Base_Bruta!C768),Base_Bruta!C768,IF(MID(Base_Bruta!C768,5,1)="-",DATE(VALUE(LEFT(Base_Bruta!C768,4)),VALUE(MID(Base_Bruta!C768,6,2)),VALUE(RIGHT(Base_Bruta!C768,2))),DATE(VALUE(RIGHT(Base_Bruta!C768,4)),VALUE(MID(Base_Bruta!C768,4,2)),VALUE(LEFT(Base_Bruta!C768,2))))))</f>
        <v>46130</v>
      </c>
      <c r="D768" s="4" t="str">
        <f aca="false">IF($A768="","",TRIM(Base_Bruta!D768))</f>
        <v>Festival Sonora SP 2026</v>
      </c>
      <c r="E768" s="4" t="str">
        <f aca="false">IF($A768="","",_xlfn.XLOOKUP(LOWER(TRIM(Base_Bruta!E768)),DePara_Categoria!$A$2:$A$9,DePara_Categoria!$B$2:$B$9,"REVISAR"))</f>
        <v>Festival</v>
      </c>
      <c r="F768" s="4" t="str">
        <f aca="false">IF($A768="","",_xlfn.XLOOKUP(LOWER(TRIM(Base_Bruta!F768)),DePara_Cidade!$A$2:$A$29,DePara_Cidade!$B$2:$B$29,"REVISAR"))</f>
        <v>São Paulo</v>
      </c>
      <c r="G768" s="4" t="str">
        <f aca="false">IF($A768="","",TRIM(Base_Bruta!G768))</f>
        <v>Meia</v>
      </c>
      <c r="H768" s="4" t="n">
        <f aca="false">IF($A768="","",IF(ISNUMBER(Base_Bruta!H768),Base_Bruta!H768,IFERROR(_xlfn.NUMBERVALUE(TRIM(SUBSTITUTE(Base_Bruta!H768,"R$","")),",","."),0)))</f>
        <v>2</v>
      </c>
      <c r="I768" s="6" t="n">
        <f aca="false">IF($A768="","",IF(ISNUMBER(Base_Bruta!I768),Base_Bruta!I768,IFERROR(_xlfn.NUMBERVALUE(TRIM(SUBSTITUTE(Base_Bruta!I768,"R$","")),",","."),0)))</f>
        <v>392.5</v>
      </c>
      <c r="J768" s="6" t="n">
        <f aca="false">IF($A768="","",H768*I768)</f>
        <v>785</v>
      </c>
      <c r="K768" s="4" t="str">
        <f aca="false">IF($A768="","",TRIM(Base_Bruta!J768))</f>
        <v>Site</v>
      </c>
      <c r="L768" s="4" t="str">
        <f aca="false">IF($A768="","",TRIM(Base_Bruta!K768))</f>
        <v>C00572</v>
      </c>
      <c r="M768" s="4" t="str">
        <f aca="false">IF($A768="","",_xlfn.XLOOKUP(LOWER(TRIM(Base_Bruta!L768)),DePara_Cidade!$A$2:$A$29,DePara_Cidade!$B$2:$B$29,"REVISAR"))</f>
        <v>Salvador</v>
      </c>
      <c r="N768" s="4" t="str">
        <f aca="false">IF($A768="","",UPPER(TRIM(Base_Bruta!M768)))</f>
        <v>BA</v>
      </c>
      <c r="O768" s="4" t="str">
        <f aca="false">IF($A768="","",_xlfn.XLOOKUP(LOWER(TRIM(Base_Bruta!N768)),DePara_Pais!$A$2:$A$9,DePara_Pais!$B$2:$B$9,"REVISAR"))</f>
        <v>Brasil</v>
      </c>
      <c r="P768" s="4" t="str">
        <f aca="false">IF($A768="","",IF(O768&lt;&gt;"Brasil","Turista Internacional",IF(M768=F768,"Local","Turista Nacional")))</f>
        <v>Turista Nacional</v>
      </c>
      <c r="Q768" s="7" t="n">
        <f aca="false">IF($A768="","",DATE(YEAR(B768),MONTH(B768),1))</f>
        <v>46113</v>
      </c>
      <c r="R768" s="4" t="str">
        <f aca="false">IF($A768="","",IF(COUNTIF($A$2:$A768,$A768)&gt;1,"Sim","Não"))</f>
        <v>Não</v>
      </c>
      <c r="S768" s="4" t="str">
        <f aca="false">IF(A768="","Descartar - Linha vazia",IF(R768="Sim","Descartar - Duplicado",IF(OR(H768&lt;=0,I768&lt;=0),"Descartar - Qtd/Valor inválido","OK")))</f>
        <v>OK</v>
      </c>
      <c r="T768" s="4" t="str">
        <f aca="false">Base_Bruta!P768</f>
        <v>vendas_SP.xlsx</v>
      </c>
    </row>
    <row r="769" customFormat="false" ht="15" hidden="false" customHeight="false" outlineLevel="0" collapsed="false">
      <c r="A769" s="4" t="str">
        <f aca="false">IF(Base_Bruta!A769="","",Base_Bruta!A769)</f>
        <v>SP-000402</v>
      </c>
      <c r="B769" s="5" t="n">
        <f aca="false">IF($A769="","",IF(ISNUMBER(Base_Bruta!B769),Base_Bruta!B769,IF(MID(Base_Bruta!B769,5,1)="-",DATE(VALUE(LEFT(Base_Bruta!B769,4)),VALUE(MID(Base_Bruta!B769,6,2)),VALUE(RIGHT(Base_Bruta!B769,2))),DATE(VALUE(RIGHT(Base_Bruta!B769,4)),VALUE(MID(Base_Bruta!B769,4,2)),VALUE(LEFT(Base_Bruta!B769,2))))))</f>
        <v>46129</v>
      </c>
      <c r="C769" s="5" t="n">
        <f aca="false">IF($A769="","",IF(ISNUMBER(Base_Bruta!C769),Base_Bruta!C769,IF(MID(Base_Bruta!C769,5,1)="-",DATE(VALUE(LEFT(Base_Bruta!C769,4)),VALUE(MID(Base_Bruta!C769,6,2)),VALUE(RIGHT(Base_Bruta!C769,2))),DATE(VALUE(RIGHT(Base_Bruta!C769,4)),VALUE(MID(Base_Bruta!C769,4,2)),VALUE(LEFT(Base_Bruta!C769,2))))))</f>
        <v>46130</v>
      </c>
      <c r="D769" s="4" t="str">
        <f aca="false">IF($A769="","",TRIM(Base_Bruta!D769))</f>
        <v>Festival Sonora SP 2026</v>
      </c>
      <c r="E769" s="4" t="str">
        <f aca="false">IF($A769="","",_xlfn.XLOOKUP(LOWER(TRIM(Base_Bruta!E769)),DePara_Categoria!$A$2:$A$9,DePara_Categoria!$B$2:$B$9,"REVISAR"))</f>
        <v>Festival</v>
      </c>
      <c r="F769" s="4" t="str">
        <f aca="false">IF($A769="","",_xlfn.XLOOKUP(LOWER(TRIM(Base_Bruta!F769)),DePara_Cidade!$A$2:$A$29,DePara_Cidade!$B$2:$B$29,"REVISAR"))</f>
        <v>São Paulo</v>
      </c>
      <c r="G769" s="4" t="str">
        <f aca="false">IF($A769="","",TRIM(Base_Bruta!G769))</f>
        <v>Inteira</v>
      </c>
      <c r="H769" s="4" t="n">
        <f aca="false">IF($A769="","",IF(ISNUMBER(Base_Bruta!H769),Base_Bruta!H769,IFERROR(_xlfn.NUMBERVALUE(TRIM(SUBSTITUTE(Base_Bruta!H769,"R$","")),",","."),0)))</f>
        <v>4</v>
      </c>
      <c r="I769" s="6" t="n">
        <f aca="false">IF($A769="","",IF(ISNUMBER(Base_Bruta!I769),Base_Bruta!I769,IFERROR(_xlfn.NUMBERVALUE(TRIM(SUBSTITUTE(Base_Bruta!I769,"R$","")),",","."),0)))</f>
        <v>740</v>
      </c>
      <c r="J769" s="6" t="n">
        <f aca="false">IF($A769="","",H769*I769)</f>
        <v>2960</v>
      </c>
      <c r="K769" s="4" t="str">
        <f aca="false">IF($A769="","",TRIM(Base_Bruta!J769))</f>
        <v>Bilheteria</v>
      </c>
      <c r="L769" s="4" t="str">
        <f aca="false">IF($A769="","",TRIM(Base_Bruta!K769))</f>
        <v>C02294</v>
      </c>
      <c r="M769" s="4" t="str">
        <f aca="false">IF($A769="","",_xlfn.XLOOKUP(LOWER(TRIM(Base_Bruta!L769)),DePara_Cidade!$A$2:$A$29,DePara_Cidade!$B$2:$B$29,"REVISAR"))</f>
        <v>São Paulo</v>
      </c>
      <c r="N769" s="4" t="str">
        <f aca="false">IF($A769="","",UPPER(TRIM(Base_Bruta!M769)))</f>
        <v>SP</v>
      </c>
      <c r="O769" s="4" t="str">
        <f aca="false">IF($A769="","",_xlfn.XLOOKUP(LOWER(TRIM(Base_Bruta!N769)),DePara_Pais!$A$2:$A$9,DePara_Pais!$B$2:$B$9,"REVISAR"))</f>
        <v>Brasil</v>
      </c>
      <c r="P769" s="4" t="str">
        <f aca="false">IF($A769="","",IF(O769&lt;&gt;"Brasil","Turista Internacional",IF(M769=F769,"Local","Turista Nacional")))</f>
        <v>Local</v>
      </c>
      <c r="Q769" s="7" t="n">
        <f aca="false">IF($A769="","",DATE(YEAR(B769),MONTH(B769),1))</f>
        <v>46113</v>
      </c>
      <c r="R769" s="4" t="str">
        <f aca="false">IF($A769="","",IF(COUNTIF($A$2:$A769,$A769)&gt;1,"Sim","Não"))</f>
        <v>Não</v>
      </c>
      <c r="S769" s="4" t="str">
        <f aca="false">IF(A769="","Descartar - Linha vazia",IF(R769="Sim","Descartar - Duplicado",IF(OR(H769&lt;=0,I769&lt;=0),"Descartar - Qtd/Valor inválido","OK")))</f>
        <v>OK</v>
      </c>
      <c r="T769" s="4" t="str">
        <f aca="false">Base_Bruta!P769</f>
        <v>vendas_SP.xlsx</v>
      </c>
    </row>
    <row r="770" customFormat="false" ht="15" hidden="false" customHeight="false" outlineLevel="0" collapsed="false">
      <c r="A770" s="4" t="str">
        <f aca="false">IF(Base_Bruta!A770="","",Base_Bruta!A770)</f>
        <v>SP-000431</v>
      </c>
      <c r="B770" s="5" t="n">
        <f aca="false">IF($A770="","",IF(ISNUMBER(Base_Bruta!B770),Base_Bruta!B770,IF(MID(Base_Bruta!B770,5,1)="-",DATE(VALUE(LEFT(Base_Bruta!B770,4)),VALUE(MID(Base_Bruta!B770,6,2)),VALUE(RIGHT(Base_Bruta!B770,2))),DATE(VALUE(RIGHT(Base_Bruta!B770,4)),VALUE(MID(Base_Bruta!B770,4,2)),VALUE(LEFT(Base_Bruta!B770,2))))))</f>
        <v>46129</v>
      </c>
      <c r="C770" s="5" t="n">
        <f aca="false">IF($A770="","",IF(ISNUMBER(Base_Bruta!C770),Base_Bruta!C770,IF(MID(Base_Bruta!C770,5,1)="-",DATE(VALUE(LEFT(Base_Bruta!C770,4)),VALUE(MID(Base_Bruta!C770,6,2)),VALUE(RIGHT(Base_Bruta!C770,2))),DATE(VALUE(RIGHT(Base_Bruta!C770,4)),VALUE(MID(Base_Bruta!C770,4,2)),VALUE(LEFT(Base_Bruta!C770,2))))))</f>
        <v>46130</v>
      </c>
      <c r="D770" s="4" t="str">
        <f aca="false">IF($A770="","",TRIM(Base_Bruta!D770))</f>
        <v>Festival Sonora SP 2026</v>
      </c>
      <c r="E770" s="4" t="str">
        <f aca="false">IF($A770="","",_xlfn.XLOOKUP(LOWER(TRIM(Base_Bruta!E770)),DePara_Categoria!$A$2:$A$9,DePara_Categoria!$B$2:$B$9,"REVISAR"))</f>
        <v>Festival</v>
      </c>
      <c r="F770" s="4" t="str">
        <f aca="false">IF($A770="","",_xlfn.XLOOKUP(LOWER(TRIM(Base_Bruta!F770)),DePara_Cidade!$A$2:$A$29,DePara_Cidade!$B$2:$B$29,"REVISAR"))</f>
        <v>São Paulo</v>
      </c>
      <c r="G770" s="4" t="str">
        <f aca="false">IF($A770="","",TRIM(Base_Bruta!G770))</f>
        <v>Inteira</v>
      </c>
      <c r="H770" s="4" t="n">
        <f aca="false">IF($A770="","",IF(ISNUMBER(Base_Bruta!H770),Base_Bruta!H770,IFERROR(_xlfn.NUMBERVALUE(TRIM(SUBSTITUTE(Base_Bruta!H770,"R$","")),",","."),0)))</f>
        <v>1</v>
      </c>
      <c r="I770" s="6" t="n">
        <f aca="false">IF($A770="","",IF(ISNUMBER(Base_Bruta!I770),Base_Bruta!I770,IFERROR(_xlfn.NUMBERVALUE(TRIM(SUBSTITUTE(Base_Bruta!I770,"R$","")),",","."),0)))</f>
        <v>850</v>
      </c>
      <c r="J770" s="6" t="n">
        <f aca="false">IF($A770="","",H770*I770)</f>
        <v>850</v>
      </c>
      <c r="K770" s="4" t="str">
        <f aca="false">IF($A770="","",TRIM(Base_Bruta!J770))</f>
        <v>Site</v>
      </c>
      <c r="L770" s="4" t="str">
        <f aca="false">IF($A770="","",TRIM(Base_Bruta!K770))</f>
        <v>C01106</v>
      </c>
      <c r="M770" s="4" t="str">
        <f aca="false">IF($A770="","",_xlfn.XLOOKUP(LOWER(TRIM(Base_Bruta!L770)),DePara_Cidade!$A$2:$A$29,DePara_Cidade!$B$2:$B$29,"REVISAR"))</f>
        <v>São Paulo</v>
      </c>
      <c r="N770" s="4" t="str">
        <f aca="false">IF($A770="","",UPPER(TRIM(Base_Bruta!M770)))</f>
        <v>SP</v>
      </c>
      <c r="O770" s="4" t="str">
        <f aca="false">IF($A770="","",_xlfn.XLOOKUP(LOWER(TRIM(Base_Bruta!N770)),DePara_Pais!$A$2:$A$9,DePara_Pais!$B$2:$B$9,"REVISAR"))</f>
        <v>Brasil</v>
      </c>
      <c r="P770" s="4" t="str">
        <f aca="false">IF($A770="","",IF(O770&lt;&gt;"Brasil","Turista Internacional",IF(M770=F770,"Local","Turista Nacional")))</f>
        <v>Local</v>
      </c>
      <c r="Q770" s="7" t="n">
        <f aca="false">IF($A770="","",DATE(YEAR(B770),MONTH(B770),1))</f>
        <v>46113</v>
      </c>
      <c r="R770" s="4" t="str">
        <f aca="false">IF($A770="","",IF(COUNTIF($A$2:$A770,$A770)&gt;1,"Sim","Não"))</f>
        <v>Não</v>
      </c>
      <c r="S770" s="4" t="str">
        <f aca="false">IF(A770="","Descartar - Linha vazia",IF(R770="Sim","Descartar - Duplicado",IF(OR(H770&lt;=0,I770&lt;=0),"Descartar - Qtd/Valor inválido","OK")))</f>
        <v>OK</v>
      </c>
      <c r="T770" s="4" t="str">
        <f aca="false">Base_Bruta!P770</f>
        <v>vendas_SP.xlsx</v>
      </c>
    </row>
    <row r="771" customFormat="false" ht="15" hidden="false" customHeight="false" outlineLevel="0" collapsed="false">
      <c r="A771" s="4" t="str">
        <f aca="false">IF(Base_Bruta!A771="","",Base_Bruta!A771)</f>
        <v>SP-000674</v>
      </c>
      <c r="B771" s="5" t="n">
        <f aca="false">IF($A771="","",IF(ISNUMBER(Base_Bruta!B771),Base_Bruta!B771,IF(MID(Base_Bruta!B771,5,1)="-",DATE(VALUE(LEFT(Base_Bruta!B771,4)),VALUE(MID(Base_Bruta!B771,6,2)),VALUE(RIGHT(Base_Bruta!B771,2))),DATE(VALUE(RIGHT(Base_Bruta!B771,4)),VALUE(MID(Base_Bruta!B771,4,2)),VALUE(LEFT(Base_Bruta!B771,2))))))</f>
        <v>46129</v>
      </c>
      <c r="C771" s="5" t="n">
        <f aca="false">IF($A771="","",IF(ISNUMBER(Base_Bruta!C771),Base_Bruta!C771,IF(MID(Base_Bruta!C771,5,1)="-",DATE(VALUE(LEFT(Base_Bruta!C771,4)),VALUE(MID(Base_Bruta!C771,6,2)),VALUE(RIGHT(Base_Bruta!C771,2))),DATE(VALUE(RIGHT(Base_Bruta!C771,4)),VALUE(MID(Base_Bruta!C771,4,2)),VALUE(LEFT(Base_Bruta!C771,2))))))</f>
        <v>46132</v>
      </c>
      <c r="D771" s="4" t="str">
        <f aca="false">IF($A771="","",TRIM(Base_Bruta!D771))</f>
        <v>Cinema Paulista - Sessões</v>
      </c>
      <c r="E771" s="4" t="str">
        <f aca="false">IF($A771="","",_xlfn.XLOOKUP(LOWER(TRIM(Base_Bruta!E771)),DePara_Categoria!$A$2:$A$9,DePara_Categoria!$B$2:$B$9,"REVISAR"))</f>
        <v>Cinema</v>
      </c>
      <c r="F771" s="4" t="str">
        <f aca="false">IF($A771="","",_xlfn.XLOOKUP(LOWER(TRIM(Base_Bruta!F771)),DePara_Cidade!$A$2:$A$29,DePara_Cidade!$B$2:$B$29,"REVISAR"))</f>
        <v>São Paulo</v>
      </c>
      <c r="G771" s="4" t="str">
        <f aca="false">IF($A771="","",TRIM(Base_Bruta!G771))</f>
        <v>Meia</v>
      </c>
      <c r="H771" s="4" t="n">
        <f aca="false">IF($A771="","",IF(ISNUMBER(Base_Bruta!H771),Base_Bruta!H771,IFERROR(_xlfn.NUMBERVALUE(TRIM(SUBSTITUTE(Base_Bruta!H771,"R$","")),",","."),0)))</f>
        <v>1</v>
      </c>
      <c r="I771" s="6" t="n">
        <f aca="false">IF($A771="","",IF(ISNUMBER(Base_Bruta!I771),Base_Bruta!I771,IFERROR(_xlfn.NUMBERVALUE(TRIM(SUBSTITUTE(Base_Bruta!I771,"R$","")),",","."),0)))</f>
        <v>22.5</v>
      </c>
      <c r="J771" s="6" t="n">
        <f aca="false">IF($A771="","",H771*I771)</f>
        <v>22.5</v>
      </c>
      <c r="K771" s="4" t="str">
        <f aca="false">IF($A771="","",TRIM(Base_Bruta!J771))</f>
        <v>App</v>
      </c>
      <c r="L771" s="4" t="str">
        <f aca="false">IF($A771="","",TRIM(Base_Bruta!K771))</f>
        <v>C02365</v>
      </c>
      <c r="M771" s="4" t="str">
        <f aca="false">IF($A771="","",_xlfn.XLOOKUP(LOWER(TRIM(Base_Bruta!L771)),DePara_Cidade!$A$2:$A$29,DePara_Cidade!$B$2:$B$29,"REVISAR"))</f>
        <v>São Paulo</v>
      </c>
      <c r="N771" s="4" t="str">
        <f aca="false">IF($A771="","",UPPER(TRIM(Base_Bruta!M771)))</f>
        <v>SP</v>
      </c>
      <c r="O771" s="4" t="str">
        <f aca="false">IF($A771="","",_xlfn.XLOOKUP(LOWER(TRIM(Base_Bruta!N771)),DePara_Pais!$A$2:$A$9,DePara_Pais!$B$2:$B$9,"REVISAR"))</f>
        <v>Brasil</v>
      </c>
      <c r="P771" s="4" t="str">
        <f aca="false">IF($A771="","",IF(O771&lt;&gt;"Brasil","Turista Internacional",IF(M771=F771,"Local","Turista Nacional")))</f>
        <v>Local</v>
      </c>
      <c r="Q771" s="7" t="n">
        <f aca="false">IF($A771="","",DATE(YEAR(B771),MONTH(B771),1))</f>
        <v>46113</v>
      </c>
      <c r="R771" s="4" t="str">
        <f aca="false">IF($A771="","",IF(COUNTIF($A$2:$A771,$A771)&gt;1,"Sim","Não"))</f>
        <v>Não</v>
      </c>
      <c r="S771" s="4" t="str">
        <f aca="false">IF(A771="","Descartar - Linha vazia",IF(R771="Sim","Descartar - Duplicado",IF(OR(H771&lt;=0,I771&lt;=0),"Descartar - Qtd/Valor inválido","OK")))</f>
        <v>OK</v>
      </c>
      <c r="T771" s="4" t="str">
        <f aca="false">Base_Bruta!P771</f>
        <v>vendas_SP.xlsx</v>
      </c>
    </row>
    <row r="772" customFormat="false" ht="15" hidden="false" customHeight="false" outlineLevel="0" collapsed="false">
      <c r="A772" s="4" t="str">
        <f aca="false">IF(Base_Bruta!A772="","",Base_Bruta!A772)</f>
        <v>SP-000256</v>
      </c>
      <c r="B772" s="5" t="n">
        <f aca="false">IF($A772="","",IF(ISNUMBER(Base_Bruta!B772),Base_Bruta!B772,IF(MID(Base_Bruta!B772,5,1)="-",DATE(VALUE(LEFT(Base_Bruta!B772,4)),VALUE(MID(Base_Bruta!B772,6,2)),VALUE(RIGHT(Base_Bruta!B772,2))),DATE(VALUE(RIGHT(Base_Bruta!B772,4)),VALUE(MID(Base_Bruta!B772,4,2)),VALUE(LEFT(Base_Bruta!B772,2))))))</f>
        <v>46130</v>
      </c>
      <c r="C772" s="5" t="n">
        <f aca="false">IF($A772="","",IF(ISNUMBER(Base_Bruta!C772),Base_Bruta!C772,IF(MID(Base_Bruta!C772,5,1)="-",DATE(VALUE(LEFT(Base_Bruta!C772,4)),VALUE(MID(Base_Bruta!C772,6,2)),VALUE(RIGHT(Base_Bruta!C772,2))),DATE(VALUE(RIGHT(Base_Bruta!C772,4)),VALUE(MID(Base_Bruta!C772,4,2)),VALUE(LEFT(Base_Bruta!C772,2))))))</f>
        <v>46130</v>
      </c>
      <c r="D772" s="4" t="str">
        <f aca="false">IF($A772="","",TRIM(Base_Bruta!D772))</f>
        <v>Festival Sonora SP 2026</v>
      </c>
      <c r="E772" s="4" t="str">
        <f aca="false">IF($A772="","",_xlfn.XLOOKUP(LOWER(TRIM(Base_Bruta!E772)),DePara_Categoria!$A$2:$A$9,DePara_Categoria!$B$2:$B$9,"REVISAR"))</f>
        <v>Festival</v>
      </c>
      <c r="F772" s="4" t="str">
        <f aca="false">IF($A772="","",_xlfn.XLOOKUP(LOWER(TRIM(Base_Bruta!F772)),DePara_Cidade!$A$2:$A$29,DePara_Cidade!$B$2:$B$29,"REVISAR"))</f>
        <v>São Paulo</v>
      </c>
      <c r="G772" s="4" t="str">
        <f aca="false">IF($A772="","",TRIM(Base_Bruta!G772))</f>
        <v>Inteira</v>
      </c>
      <c r="H772" s="4" t="n">
        <f aca="false">IF($A772="","",IF(ISNUMBER(Base_Bruta!H772),Base_Bruta!H772,IFERROR(_xlfn.NUMBERVALUE(TRIM(SUBSTITUTE(Base_Bruta!H772,"R$","")),",","."),0)))</f>
        <v>2</v>
      </c>
      <c r="I772" s="6" t="n">
        <f aca="false">IF($A772="","",IF(ISNUMBER(Base_Bruta!I772),Base_Bruta!I772,IFERROR(_xlfn.NUMBERVALUE(TRIM(SUBSTITUTE(Base_Bruta!I772,"R$","")),",","."),0)))</f>
        <v>835</v>
      </c>
      <c r="J772" s="6" t="n">
        <f aca="false">IF($A772="","",H772*I772)</f>
        <v>1670</v>
      </c>
      <c r="K772" s="4" t="str">
        <f aca="false">IF($A772="","",TRIM(Base_Bruta!J772))</f>
        <v>App</v>
      </c>
      <c r="L772" s="4" t="str">
        <f aca="false">IF($A772="","",TRIM(Base_Bruta!K772))</f>
        <v>C01501</v>
      </c>
      <c r="M772" s="4" t="str">
        <f aca="false">IF($A772="","",_xlfn.XLOOKUP(LOWER(TRIM(Base_Bruta!L772)),DePara_Cidade!$A$2:$A$29,DePara_Cidade!$B$2:$B$29,"REVISAR"))</f>
        <v>São Paulo</v>
      </c>
      <c r="N772" s="4" t="str">
        <f aca="false">IF($A772="","",UPPER(TRIM(Base_Bruta!M772)))</f>
        <v>SP</v>
      </c>
      <c r="O772" s="4" t="str">
        <f aca="false">IF($A772="","",_xlfn.XLOOKUP(LOWER(TRIM(Base_Bruta!N772)),DePara_Pais!$A$2:$A$9,DePara_Pais!$B$2:$B$9,"REVISAR"))</f>
        <v>Brasil</v>
      </c>
      <c r="P772" s="4" t="str">
        <f aca="false">IF($A772="","",IF(O772&lt;&gt;"Brasil","Turista Internacional",IF(M772=F772,"Local","Turista Nacional")))</f>
        <v>Local</v>
      </c>
      <c r="Q772" s="7" t="n">
        <f aca="false">IF($A772="","",DATE(YEAR(B772),MONTH(B772),1))</f>
        <v>46113</v>
      </c>
      <c r="R772" s="4" t="str">
        <f aca="false">IF($A772="","",IF(COUNTIF($A$2:$A772,$A772)&gt;1,"Sim","Não"))</f>
        <v>Não</v>
      </c>
      <c r="S772" s="4" t="str">
        <f aca="false">IF(A772="","Descartar - Linha vazia",IF(R772="Sim","Descartar - Duplicado",IF(OR(H772&lt;=0,I772&lt;=0),"Descartar - Qtd/Valor inválido","OK")))</f>
        <v>OK</v>
      </c>
      <c r="T772" s="4" t="str">
        <f aca="false">Base_Bruta!P772</f>
        <v>vendas_SP.xlsx</v>
      </c>
    </row>
    <row r="773" customFormat="false" ht="15" hidden="false" customHeight="false" outlineLevel="0" collapsed="false">
      <c r="A773" s="4" t="str">
        <f aca="false">IF(Base_Bruta!A773="","",Base_Bruta!A773)</f>
        <v>SP-000257</v>
      </c>
      <c r="B773" s="5" t="n">
        <f aca="false">IF($A773="","",IF(ISNUMBER(Base_Bruta!B773),Base_Bruta!B773,IF(MID(Base_Bruta!B773,5,1)="-",DATE(VALUE(LEFT(Base_Bruta!B773,4)),VALUE(MID(Base_Bruta!B773,6,2)),VALUE(RIGHT(Base_Bruta!B773,2))),DATE(VALUE(RIGHT(Base_Bruta!B773,4)),VALUE(MID(Base_Bruta!B773,4,2)),VALUE(LEFT(Base_Bruta!B773,2))))))</f>
        <v>46130</v>
      </c>
      <c r="C773" s="5" t="n">
        <f aca="false">IF($A773="","",IF(ISNUMBER(Base_Bruta!C773),Base_Bruta!C773,IF(MID(Base_Bruta!C773,5,1)="-",DATE(VALUE(LEFT(Base_Bruta!C773,4)),VALUE(MID(Base_Bruta!C773,6,2)),VALUE(RIGHT(Base_Bruta!C773,2))),DATE(VALUE(RIGHT(Base_Bruta!C773,4)),VALUE(MID(Base_Bruta!C773,4,2)),VALUE(LEFT(Base_Bruta!C773,2))))))</f>
        <v>46130</v>
      </c>
      <c r="D773" s="4" t="str">
        <f aca="false">IF($A773="","",TRIM(Base_Bruta!D773))</f>
        <v>Festival Sonora SP 2026</v>
      </c>
      <c r="E773" s="4" t="str">
        <f aca="false">IF($A773="","",_xlfn.XLOOKUP(LOWER(TRIM(Base_Bruta!E773)),DePara_Categoria!$A$2:$A$9,DePara_Categoria!$B$2:$B$9,"REVISAR"))</f>
        <v>Festival</v>
      </c>
      <c r="F773" s="4" t="str">
        <f aca="false">IF($A773="","",_xlfn.XLOOKUP(LOWER(TRIM(Base_Bruta!F773)),DePara_Cidade!$A$2:$A$29,DePara_Cidade!$B$2:$B$29,"REVISAR"))</f>
        <v>São Paulo</v>
      </c>
      <c r="G773" s="4" t="str">
        <f aca="false">IF($A773="","",TRIM(Base_Bruta!G773))</f>
        <v>Meia</v>
      </c>
      <c r="H773" s="4" t="n">
        <f aca="false">IF($A773="","",IF(ISNUMBER(Base_Bruta!H773),Base_Bruta!H773,IFERROR(_xlfn.NUMBERVALUE(TRIM(SUBSTITUTE(Base_Bruta!H773,"R$","")),",","."),0)))</f>
        <v>1</v>
      </c>
      <c r="I773" s="6" t="n">
        <f aca="false">IF($A773="","",IF(ISNUMBER(Base_Bruta!I773),Base_Bruta!I773,IFERROR(_xlfn.NUMBERVALUE(TRIM(SUBSTITUTE(Base_Bruta!I773,"R$","")),",","."),0)))</f>
        <v>432.5</v>
      </c>
      <c r="J773" s="6" t="n">
        <f aca="false">IF($A773="","",H773*I773)</f>
        <v>432.5</v>
      </c>
      <c r="K773" s="4" t="str">
        <f aca="false">IF($A773="","",TRIM(Base_Bruta!J773))</f>
        <v>App</v>
      </c>
      <c r="L773" s="4" t="str">
        <f aca="false">IF($A773="","",TRIM(Base_Bruta!K773))</f>
        <v>C01422</v>
      </c>
      <c r="M773" s="4" t="str">
        <f aca="false">IF($A773="","",_xlfn.XLOOKUP(LOWER(TRIM(Base_Bruta!L773)),DePara_Cidade!$A$2:$A$29,DePara_Cidade!$B$2:$B$29,"REVISAR"))</f>
        <v>São Paulo</v>
      </c>
      <c r="N773" s="4" t="str">
        <f aca="false">IF($A773="","",UPPER(TRIM(Base_Bruta!M773)))</f>
        <v>SP</v>
      </c>
      <c r="O773" s="4" t="str">
        <f aca="false">IF($A773="","",_xlfn.XLOOKUP(LOWER(TRIM(Base_Bruta!N773)),DePara_Pais!$A$2:$A$9,DePara_Pais!$B$2:$B$9,"REVISAR"))</f>
        <v>Brasil</v>
      </c>
      <c r="P773" s="4" t="str">
        <f aca="false">IF($A773="","",IF(O773&lt;&gt;"Brasil","Turista Internacional",IF(M773=F773,"Local","Turista Nacional")))</f>
        <v>Local</v>
      </c>
      <c r="Q773" s="7" t="n">
        <f aca="false">IF($A773="","",DATE(YEAR(B773),MONTH(B773),1))</f>
        <v>46113</v>
      </c>
      <c r="R773" s="4" t="str">
        <f aca="false">IF($A773="","",IF(COUNTIF($A$2:$A773,$A773)&gt;1,"Sim","Não"))</f>
        <v>Não</v>
      </c>
      <c r="S773" s="4" t="str">
        <f aca="false">IF(A773="","Descartar - Linha vazia",IF(R773="Sim","Descartar - Duplicado",IF(OR(H773&lt;=0,I773&lt;=0),"Descartar - Qtd/Valor inválido","OK")))</f>
        <v>OK</v>
      </c>
      <c r="T773" s="4" t="str">
        <f aca="false">Base_Bruta!P773</f>
        <v>vendas_SP.xlsx</v>
      </c>
    </row>
    <row r="774" customFormat="false" ht="15" hidden="false" customHeight="false" outlineLevel="0" collapsed="false">
      <c r="A774" s="4" t="str">
        <f aca="false">IF(Base_Bruta!A774="","",Base_Bruta!A774)</f>
        <v>SP-000262</v>
      </c>
      <c r="B774" s="5" t="n">
        <f aca="false">IF($A774="","",IF(ISNUMBER(Base_Bruta!B774),Base_Bruta!B774,IF(MID(Base_Bruta!B774,5,1)="-",DATE(VALUE(LEFT(Base_Bruta!B774,4)),VALUE(MID(Base_Bruta!B774,6,2)),VALUE(RIGHT(Base_Bruta!B774,2))),DATE(VALUE(RIGHT(Base_Bruta!B774,4)),VALUE(MID(Base_Bruta!B774,4,2)),VALUE(LEFT(Base_Bruta!B774,2))))))</f>
        <v>46130</v>
      </c>
      <c r="C774" s="5" t="n">
        <f aca="false">IF($A774="","",IF(ISNUMBER(Base_Bruta!C774),Base_Bruta!C774,IF(MID(Base_Bruta!C774,5,1)="-",DATE(VALUE(LEFT(Base_Bruta!C774,4)),VALUE(MID(Base_Bruta!C774,6,2)),VALUE(RIGHT(Base_Bruta!C774,2))),DATE(VALUE(RIGHT(Base_Bruta!C774,4)),VALUE(MID(Base_Bruta!C774,4,2)),VALUE(LEFT(Base_Bruta!C774,2))))))</f>
        <v>46130</v>
      </c>
      <c r="D774" s="4" t="str">
        <f aca="false">IF($A774="","",TRIM(Base_Bruta!D774))</f>
        <v>Festival Sonora SP 2026</v>
      </c>
      <c r="E774" s="4" t="str">
        <f aca="false">IF($A774="","",_xlfn.XLOOKUP(LOWER(TRIM(Base_Bruta!E774)),DePara_Categoria!$A$2:$A$9,DePara_Categoria!$B$2:$B$9,"REVISAR"))</f>
        <v>Festival</v>
      </c>
      <c r="F774" s="4" t="str">
        <f aca="false">IF($A774="","",_xlfn.XLOOKUP(LOWER(TRIM(Base_Bruta!F774)),DePara_Cidade!$A$2:$A$29,DePara_Cidade!$B$2:$B$29,"REVISAR"))</f>
        <v>São Paulo</v>
      </c>
      <c r="G774" s="4" t="str">
        <f aca="false">IF($A774="","",TRIM(Base_Bruta!G774))</f>
        <v>Inteira</v>
      </c>
      <c r="H774" s="4" t="n">
        <f aca="false">IF($A774="","",IF(ISNUMBER(Base_Bruta!H774),Base_Bruta!H774,IFERROR(_xlfn.NUMBERVALUE(TRIM(SUBSTITUTE(Base_Bruta!H774,"R$","")),",","."),0)))</f>
        <v>1</v>
      </c>
      <c r="I774" s="6" t="n">
        <f aca="false">IF($A774="","",IF(ISNUMBER(Base_Bruta!I774),Base_Bruta!I774,IFERROR(_xlfn.NUMBERVALUE(TRIM(SUBSTITUTE(Base_Bruta!I774,"R$","")),",","."),0)))</f>
        <v>705</v>
      </c>
      <c r="J774" s="6" t="n">
        <f aca="false">IF($A774="","",H774*I774)</f>
        <v>705</v>
      </c>
      <c r="K774" s="4" t="str">
        <f aca="false">IF($A774="","",TRIM(Base_Bruta!J774))</f>
        <v>App</v>
      </c>
      <c r="L774" s="4" t="str">
        <f aca="false">IF($A774="","",TRIM(Base_Bruta!K774))</f>
        <v>C01748</v>
      </c>
      <c r="M774" s="4" t="str">
        <f aca="false">IF($A774="","",_xlfn.XLOOKUP(LOWER(TRIM(Base_Bruta!L774)),DePara_Cidade!$A$2:$A$29,DePara_Cidade!$B$2:$B$29,"REVISAR"))</f>
        <v>São Paulo</v>
      </c>
      <c r="N774" s="4" t="str">
        <f aca="false">IF($A774="","",UPPER(TRIM(Base_Bruta!M774)))</f>
        <v>SP</v>
      </c>
      <c r="O774" s="4" t="str">
        <f aca="false">IF($A774="","",_xlfn.XLOOKUP(LOWER(TRIM(Base_Bruta!N774)),DePara_Pais!$A$2:$A$9,DePara_Pais!$B$2:$B$9,"REVISAR"))</f>
        <v>Brasil</v>
      </c>
      <c r="P774" s="4" t="str">
        <f aca="false">IF($A774="","",IF(O774&lt;&gt;"Brasil","Turista Internacional",IF(M774=F774,"Local","Turista Nacional")))</f>
        <v>Local</v>
      </c>
      <c r="Q774" s="7" t="n">
        <f aca="false">IF($A774="","",DATE(YEAR(B774),MONTH(B774),1))</f>
        <v>46113</v>
      </c>
      <c r="R774" s="4" t="str">
        <f aca="false">IF($A774="","",IF(COUNTIF($A$2:$A774,$A774)&gt;1,"Sim","Não"))</f>
        <v>Não</v>
      </c>
      <c r="S774" s="4" t="str">
        <f aca="false">IF(A774="","Descartar - Linha vazia",IF(R774="Sim","Descartar - Duplicado",IF(OR(H774&lt;=0,I774&lt;=0),"Descartar - Qtd/Valor inválido","OK")))</f>
        <v>OK</v>
      </c>
      <c r="T774" s="4" t="str">
        <f aca="false">Base_Bruta!P774</f>
        <v>vendas_SP.xlsx</v>
      </c>
    </row>
    <row r="775" customFormat="false" ht="15" hidden="false" customHeight="false" outlineLevel="0" collapsed="false">
      <c r="A775" s="4" t="str">
        <f aca="false">IF(Base_Bruta!A775="","",Base_Bruta!A775)</f>
        <v>SP-000278</v>
      </c>
      <c r="B775" s="5" t="n">
        <f aca="false">IF($A775="","",IF(ISNUMBER(Base_Bruta!B775),Base_Bruta!B775,IF(MID(Base_Bruta!B775,5,1)="-",DATE(VALUE(LEFT(Base_Bruta!B775,4)),VALUE(MID(Base_Bruta!B775,6,2)),VALUE(RIGHT(Base_Bruta!B775,2))),DATE(VALUE(RIGHT(Base_Bruta!B775,4)),VALUE(MID(Base_Bruta!B775,4,2)),VALUE(LEFT(Base_Bruta!B775,2))))))</f>
        <v>46130</v>
      </c>
      <c r="C775" s="5" t="n">
        <f aca="false">IF($A775="","",IF(ISNUMBER(Base_Bruta!C775),Base_Bruta!C775,IF(MID(Base_Bruta!C775,5,1)="-",DATE(VALUE(LEFT(Base_Bruta!C775,4)),VALUE(MID(Base_Bruta!C775,6,2)),VALUE(RIGHT(Base_Bruta!C775,2))),DATE(VALUE(RIGHT(Base_Bruta!C775,4)),VALUE(MID(Base_Bruta!C775,4,2)),VALUE(LEFT(Base_Bruta!C775,2))))))</f>
        <v>46130</v>
      </c>
      <c r="D775" s="4" t="str">
        <f aca="false">IF($A775="","",TRIM(Base_Bruta!D775))</f>
        <v>Festival Sonora SP 2026</v>
      </c>
      <c r="E775" s="4" t="str">
        <f aca="false">IF($A775="","",_xlfn.XLOOKUP(LOWER(TRIM(Base_Bruta!E775)),DePara_Categoria!$A$2:$A$9,DePara_Categoria!$B$2:$B$9,"REVISAR"))</f>
        <v>Festival</v>
      </c>
      <c r="F775" s="4" t="str">
        <f aca="false">IF($A775="","",_xlfn.XLOOKUP(LOWER(TRIM(Base_Bruta!F775)),DePara_Cidade!$A$2:$A$29,DePara_Cidade!$B$2:$B$29,"REVISAR"))</f>
        <v>São Paulo</v>
      </c>
      <c r="G775" s="4" t="str">
        <f aca="false">IF($A775="","",TRIM(Base_Bruta!G775))</f>
        <v>VIP</v>
      </c>
      <c r="H775" s="4" t="n">
        <f aca="false">IF($A775="","",IF(ISNUMBER(Base_Bruta!H775),Base_Bruta!H775,IFERROR(_xlfn.NUMBERVALUE(TRIM(SUBSTITUTE(Base_Bruta!H775,"R$","")),",","."),0)))</f>
        <v>4</v>
      </c>
      <c r="I775" s="6" t="n">
        <f aca="false">IF($A775="","",IF(ISNUMBER(Base_Bruta!I775),Base_Bruta!I775,IFERROR(_xlfn.NUMBERVALUE(TRIM(SUBSTITUTE(Base_Bruta!I775,"R$","")),",","."),0)))</f>
        <v>1410</v>
      </c>
      <c r="J775" s="6" t="n">
        <f aca="false">IF($A775="","",H775*I775)</f>
        <v>5640</v>
      </c>
      <c r="K775" s="4" t="str">
        <f aca="false">IF($A775="","",TRIM(Base_Bruta!J775))</f>
        <v>App</v>
      </c>
      <c r="L775" s="4" t="str">
        <f aca="false">IF($A775="","",TRIM(Base_Bruta!K775))</f>
        <v>C00233</v>
      </c>
      <c r="M775" s="4" t="str">
        <f aca="false">IF($A775="","",_xlfn.XLOOKUP(LOWER(TRIM(Base_Bruta!L775)),DePara_Cidade!$A$2:$A$29,DePara_Cidade!$B$2:$B$29,"REVISAR"))</f>
        <v>São Paulo</v>
      </c>
      <c r="N775" s="4" t="str">
        <f aca="false">IF($A775="","",UPPER(TRIM(Base_Bruta!M775)))</f>
        <v>SP</v>
      </c>
      <c r="O775" s="4" t="str">
        <f aca="false">IF($A775="","",_xlfn.XLOOKUP(LOWER(TRIM(Base_Bruta!N775)),DePara_Pais!$A$2:$A$9,DePara_Pais!$B$2:$B$9,"REVISAR"))</f>
        <v>Brasil</v>
      </c>
      <c r="P775" s="4" t="str">
        <f aca="false">IF($A775="","",IF(O775&lt;&gt;"Brasil","Turista Internacional",IF(M775=F775,"Local","Turista Nacional")))</f>
        <v>Local</v>
      </c>
      <c r="Q775" s="7" t="n">
        <f aca="false">IF($A775="","",DATE(YEAR(B775),MONTH(B775),1))</f>
        <v>46113</v>
      </c>
      <c r="R775" s="4" t="str">
        <f aca="false">IF($A775="","",IF(COUNTIF($A$2:$A775,$A775)&gt;1,"Sim","Não"))</f>
        <v>Não</v>
      </c>
      <c r="S775" s="4" t="str">
        <f aca="false">IF(A775="","Descartar - Linha vazia",IF(R775="Sim","Descartar - Duplicado",IF(OR(H775&lt;=0,I775&lt;=0),"Descartar - Qtd/Valor inválido","OK")))</f>
        <v>OK</v>
      </c>
      <c r="T775" s="4" t="str">
        <f aca="false">Base_Bruta!P775</f>
        <v>vendas_SP.xlsx</v>
      </c>
    </row>
    <row r="776" customFormat="false" ht="15" hidden="false" customHeight="false" outlineLevel="0" collapsed="false">
      <c r="A776" s="4" t="str">
        <f aca="false">IF(Base_Bruta!A776="","",Base_Bruta!A776)</f>
        <v>SP-000332</v>
      </c>
      <c r="B776" s="5" t="n">
        <f aca="false">IF($A776="","",IF(ISNUMBER(Base_Bruta!B776),Base_Bruta!B776,IF(MID(Base_Bruta!B776,5,1)="-",DATE(VALUE(LEFT(Base_Bruta!B776,4)),VALUE(MID(Base_Bruta!B776,6,2)),VALUE(RIGHT(Base_Bruta!B776,2))),DATE(VALUE(RIGHT(Base_Bruta!B776,4)),VALUE(MID(Base_Bruta!B776,4,2)),VALUE(LEFT(Base_Bruta!B776,2))))))</f>
        <v>46130</v>
      </c>
      <c r="C776" s="5" t="n">
        <f aca="false">IF($A776="","",IF(ISNUMBER(Base_Bruta!C776),Base_Bruta!C776,IF(MID(Base_Bruta!C776,5,1)="-",DATE(VALUE(LEFT(Base_Bruta!C776,4)),VALUE(MID(Base_Bruta!C776,6,2)),VALUE(RIGHT(Base_Bruta!C776,2))),DATE(VALUE(RIGHT(Base_Bruta!C776,4)),VALUE(MID(Base_Bruta!C776,4,2)),VALUE(LEFT(Base_Bruta!C776,2))))))</f>
        <v>46130</v>
      </c>
      <c r="D776" s="4" t="str">
        <f aca="false">IF($A776="","",TRIM(Base_Bruta!D776))</f>
        <v>Festival Sonora SP 2026</v>
      </c>
      <c r="E776" s="4" t="str">
        <f aca="false">IF($A776="","",_xlfn.XLOOKUP(LOWER(TRIM(Base_Bruta!E776)),DePara_Categoria!$A$2:$A$9,DePara_Categoria!$B$2:$B$9,"REVISAR"))</f>
        <v>Festival</v>
      </c>
      <c r="F776" s="4" t="str">
        <f aca="false">IF($A776="","",_xlfn.XLOOKUP(LOWER(TRIM(Base_Bruta!F776)),DePara_Cidade!$A$2:$A$29,DePara_Cidade!$B$2:$B$29,"REVISAR"))</f>
        <v>São Paulo</v>
      </c>
      <c r="G776" s="4" t="str">
        <f aca="false">IF($A776="","",TRIM(Base_Bruta!G776))</f>
        <v>Meia</v>
      </c>
      <c r="H776" s="4" t="n">
        <f aca="false">IF($A776="","",IF(ISNUMBER(Base_Bruta!H776),Base_Bruta!H776,IFERROR(_xlfn.NUMBERVALUE(TRIM(SUBSTITUTE(Base_Bruta!H776,"R$","")),",","."),0)))</f>
        <v>2</v>
      </c>
      <c r="I776" s="6" t="n">
        <f aca="false">IF($A776="","",IF(ISNUMBER(Base_Bruta!I776),Base_Bruta!I776,IFERROR(_xlfn.NUMBERVALUE(TRIM(SUBSTITUTE(Base_Bruta!I776,"R$","")),",","."),0)))</f>
        <v>472.5</v>
      </c>
      <c r="J776" s="6" t="n">
        <f aca="false">IF($A776="","",H776*I776)</f>
        <v>945</v>
      </c>
      <c r="K776" s="4" t="str">
        <f aca="false">IF($A776="","",TRIM(Base_Bruta!J776))</f>
        <v>App</v>
      </c>
      <c r="L776" s="4" t="str">
        <f aca="false">IF($A776="","",TRIM(Base_Bruta!K776))</f>
        <v>C00324</v>
      </c>
      <c r="M776" s="4" t="str">
        <f aca="false">IF($A776="","",_xlfn.XLOOKUP(LOWER(TRIM(Base_Bruta!L776)),DePara_Cidade!$A$2:$A$29,DePara_Cidade!$B$2:$B$29,"REVISAR"))</f>
        <v>São Paulo</v>
      </c>
      <c r="N776" s="4" t="str">
        <f aca="false">IF($A776="","",UPPER(TRIM(Base_Bruta!M776)))</f>
        <v>SP</v>
      </c>
      <c r="O776" s="4" t="str">
        <f aca="false">IF($A776="","",_xlfn.XLOOKUP(LOWER(TRIM(Base_Bruta!N776)),DePara_Pais!$A$2:$A$9,DePara_Pais!$B$2:$B$9,"REVISAR"))</f>
        <v>Brasil</v>
      </c>
      <c r="P776" s="4" t="str">
        <f aca="false">IF($A776="","",IF(O776&lt;&gt;"Brasil","Turista Internacional",IF(M776=F776,"Local","Turista Nacional")))</f>
        <v>Local</v>
      </c>
      <c r="Q776" s="7" t="n">
        <f aca="false">IF($A776="","",DATE(YEAR(B776),MONTH(B776),1))</f>
        <v>46113</v>
      </c>
      <c r="R776" s="4" t="str">
        <f aca="false">IF($A776="","",IF(COUNTIF($A$2:$A776,$A776)&gt;1,"Sim","Não"))</f>
        <v>Não</v>
      </c>
      <c r="S776" s="4" t="str">
        <f aca="false">IF(A776="","Descartar - Linha vazia",IF(R776="Sim","Descartar - Duplicado",IF(OR(H776&lt;=0,I776&lt;=0),"Descartar - Qtd/Valor inválido","OK")))</f>
        <v>OK</v>
      </c>
      <c r="T776" s="4" t="str">
        <f aca="false">Base_Bruta!P776</f>
        <v>vendas_SP.xlsx</v>
      </c>
    </row>
    <row r="777" customFormat="false" ht="15" hidden="false" customHeight="false" outlineLevel="0" collapsed="false">
      <c r="A777" s="4" t="str">
        <f aca="false">IF(Base_Bruta!A777="","",Base_Bruta!A777)</f>
        <v>SP-000393</v>
      </c>
      <c r="B777" s="5" t="n">
        <f aca="false">IF($A777="","",IF(ISNUMBER(Base_Bruta!B777),Base_Bruta!B777,IF(MID(Base_Bruta!B777,5,1)="-",DATE(VALUE(LEFT(Base_Bruta!B777,4)),VALUE(MID(Base_Bruta!B777,6,2)),VALUE(RIGHT(Base_Bruta!B777,2))),DATE(VALUE(RIGHT(Base_Bruta!B777,4)),VALUE(MID(Base_Bruta!B777,4,2)),VALUE(LEFT(Base_Bruta!B777,2))))))</f>
        <v>46130</v>
      </c>
      <c r="C777" s="5" t="n">
        <f aca="false">IF($A777="","",IF(ISNUMBER(Base_Bruta!C777),Base_Bruta!C777,IF(MID(Base_Bruta!C777,5,1)="-",DATE(VALUE(LEFT(Base_Bruta!C777,4)),VALUE(MID(Base_Bruta!C777,6,2)),VALUE(RIGHT(Base_Bruta!C777,2))),DATE(VALUE(RIGHT(Base_Bruta!C777,4)),VALUE(MID(Base_Bruta!C777,4,2)),VALUE(LEFT(Base_Bruta!C777,2))))))</f>
        <v>46130</v>
      </c>
      <c r="D777" s="4" t="str">
        <f aca="false">IF($A777="","",TRIM(Base_Bruta!D777))</f>
        <v>Festival Sonora SP 2026</v>
      </c>
      <c r="E777" s="4" t="str">
        <f aca="false">IF($A777="","",_xlfn.XLOOKUP(LOWER(TRIM(Base_Bruta!E777)),DePara_Categoria!$A$2:$A$9,DePara_Categoria!$B$2:$B$9,"REVISAR"))</f>
        <v>Festival</v>
      </c>
      <c r="F777" s="4" t="str">
        <f aca="false">IF($A777="","",_xlfn.XLOOKUP(LOWER(TRIM(Base_Bruta!F777)),DePara_Cidade!$A$2:$A$29,DePara_Cidade!$B$2:$B$29,"REVISAR"))</f>
        <v>São Paulo</v>
      </c>
      <c r="G777" s="4" t="str">
        <f aca="false">IF($A777="","",TRIM(Base_Bruta!G777))</f>
        <v>Inteira</v>
      </c>
      <c r="H777" s="4" t="n">
        <f aca="false">IF($A777="","",IF(ISNUMBER(Base_Bruta!H777),Base_Bruta!H777,IFERROR(_xlfn.NUMBERVALUE(TRIM(SUBSTITUTE(Base_Bruta!H777,"R$","")),",","."),0)))</f>
        <v>0</v>
      </c>
      <c r="I777" s="6" t="n">
        <f aca="false">IF($A777="","",IF(ISNUMBER(Base_Bruta!I777),Base_Bruta!I777,IFERROR(_xlfn.NUMBERVALUE(TRIM(SUBSTITUTE(Base_Bruta!I777,"R$","")),",","."),0)))</f>
        <v>685</v>
      </c>
      <c r="J777" s="6" t="n">
        <f aca="false">IF($A777="","",H777*I777)</f>
        <v>0</v>
      </c>
      <c r="K777" s="4" t="str">
        <f aca="false">IF($A777="","",TRIM(Base_Bruta!J777))</f>
        <v>Parceiro</v>
      </c>
      <c r="L777" s="4" t="str">
        <f aca="false">IF($A777="","",TRIM(Base_Bruta!K777))</f>
        <v>C00738</v>
      </c>
      <c r="M777" s="4" t="str">
        <f aca="false">IF($A777="","",_xlfn.XLOOKUP(LOWER(TRIM(Base_Bruta!L777)),DePara_Cidade!$A$2:$A$29,DePara_Cidade!$B$2:$B$29,"REVISAR"))</f>
        <v>São Paulo</v>
      </c>
      <c r="N777" s="4" t="str">
        <f aca="false">IF($A777="","",UPPER(TRIM(Base_Bruta!M777)))</f>
        <v>SP</v>
      </c>
      <c r="O777" s="4" t="str">
        <f aca="false">IF($A777="","",_xlfn.XLOOKUP(LOWER(TRIM(Base_Bruta!N777)),DePara_Pais!$A$2:$A$9,DePara_Pais!$B$2:$B$9,"REVISAR"))</f>
        <v>Brasil</v>
      </c>
      <c r="P777" s="4" t="str">
        <f aca="false">IF($A777="","",IF(O777&lt;&gt;"Brasil","Turista Internacional",IF(M777=F777,"Local","Turista Nacional")))</f>
        <v>Local</v>
      </c>
      <c r="Q777" s="7" t="n">
        <f aca="false">IF($A777="","",DATE(YEAR(B777),MONTH(B777),1))</f>
        <v>46113</v>
      </c>
      <c r="R777" s="4" t="str">
        <f aca="false">IF($A777="","",IF(COUNTIF($A$2:$A777,$A777)&gt;1,"Sim","Não"))</f>
        <v>Não</v>
      </c>
      <c r="S777" s="4" t="str">
        <f aca="false">IF(A777="","Descartar - Linha vazia",IF(R777="Sim","Descartar - Duplicado",IF(OR(H777&lt;=0,I777&lt;=0),"Descartar - Qtd/Valor inválido","OK")))</f>
        <v>Descartar - Qtd/Valor inválido</v>
      </c>
      <c r="T777" s="4" t="str">
        <f aca="false">Base_Bruta!P777</f>
        <v>vendas_SP.xlsx</v>
      </c>
    </row>
    <row r="778" customFormat="false" ht="15" hidden="false" customHeight="false" outlineLevel="0" collapsed="false">
      <c r="A778" s="4" t="str">
        <f aca="false">IF(Base_Bruta!A778="","",Base_Bruta!A778)</f>
        <v>SP-000409</v>
      </c>
      <c r="B778" s="5" t="n">
        <f aca="false">IF($A778="","",IF(ISNUMBER(Base_Bruta!B778),Base_Bruta!B778,IF(MID(Base_Bruta!B778,5,1)="-",DATE(VALUE(LEFT(Base_Bruta!B778,4)),VALUE(MID(Base_Bruta!B778,6,2)),VALUE(RIGHT(Base_Bruta!B778,2))),DATE(VALUE(RIGHT(Base_Bruta!B778,4)),VALUE(MID(Base_Bruta!B778,4,2)),VALUE(LEFT(Base_Bruta!B778,2))))))</f>
        <v>46130</v>
      </c>
      <c r="C778" s="5" t="n">
        <f aca="false">IF($A778="","",IF(ISNUMBER(Base_Bruta!C778),Base_Bruta!C778,IF(MID(Base_Bruta!C778,5,1)="-",DATE(VALUE(LEFT(Base_Bruta!C778,4)),VALUE(MID(Base_Bruta!C778,6,2)),VALUE(RIGHT(Base_Bruta!C778,2))),DATE(VALUE(RIGHT(Base_Bruta!C778,4)),VALUE(MID(Base_Bruta!C778,4,2)),VALUE(LEFT(Base_Bruta!C778,2))))))</f>
        <v>46130</v>
      </c>
      <c r="D778" s="4" t="str">
        <f aca="false">IF($A778="","",TRIM(Base_Bruta!D778))</f>
        <v>Festival Sonora SP 2026</v>
      </c>
      <c r="E778" s="4" t="str">
        <f aca="false">IF($A778="","",_xlfn.XLOOKUP(LOWER(TRIM(Base_Bruta!E778)),DePara_Categoria!$A$2:$A$9,DePara_Categoria!$B$2:$B$9,"REVISAR"))</f>
        <v>Festival</v>
      </c>
      <c r="F778" s="4" t="str">
        <f aca="false">IF($A778="","",_xlfn.XLOOKUP(LOWER(TRIM(Base_Bruta!F778)),DePara_Cidade!$A$2:$A$29,DePara_Cidade!$B$2:$B$29,"REVISAR"))</f>
        <v>São Paulo</v>
      </c>
      <c r="G778" s="4" t="str">
        <f aca="false">IF($A778="","",TRIM(Base_Bruta!G778))</f>
        <v>Inteira</v>
      </c>
      <c r="H778" s="4" t="n">
        <f aca="false">IF($A778="","",IF(ISNUMBER(Base_Bruta!H778),Base_Bruta!H778,IFERROR(_xlfn.NUMBERVALUE(TRIM(SUBSTITUTE(Base_Bruta!H778,"R$","")),",","."),0)))</f>
        <v>1</v>
      </c>
      <c r="I778" s="6" t="n">
        <f aca="false">IF($A778="","",IF(ISNUMBER(Base_Bruta!I778),Base_Bruta!I778,IFERROR(_xlfn.NUMBERVALUE(TRIM(SUBSTITUTE(Base_Bruta!I778,"R$","")),",","."),0)))</f>
        <v>1065</v>
      </c>
      <c r="J778" s="6" t="n">
        <f aca="false">IF($A778="","",H778*I778)</f>
        <v>1065</v>
      </c>
      <c r="K778" s="4" t="str">
        <f aca="false">IF($A778="","",TRIM(Base_Bruta!J778))</f>
        <v>App</v>
      </c>
      <c r="L778" s="4" t="str">
        <f aca="false">IF($A778="","",TRIM(Base_Bruta!K778))</f>
        <v>C01186</v>
      </c>
      <c r="M778" s="4" t="str">
        <f aca="false">IF($A778="","",_xlfn.XLOOKUP(LOWER(TRIM(Base_Bruta!L778)),DePara_Cidade!$A$2:$A$29,DePara_Cidade!$B$2:$B$29,"REVISAR"))</f>
        <v>São Paulo</v>
      </c>
      <c r="N778" s="4" t="str">
        <f aca="false">IF($A778="","",UPPER(TRIM(Base_Bruta!M778)))</f>
        <v>SP</v>
      </c>
      <c r="O778" s="4" t="str">
        <f aca="false">IF($A778="","",_xlfn.XLOOKUP(LOWER(TRIM(Base_Bruta!N778)),DePara_Pais!$A$2:$A$9,DePara_Pais!$B$2:$B$9,"REVISAR"))</f>
        <v>Brasil</v>
      </c>
      <c r="P778" s="4" t="str">
        <f aca="false">IF($A778="","",IF(O778&lt;&gt;"Brasil","Turista Internacional",IF(M778=F778,"Local","Turista Nacional")))</f>
        <v>Local</v>
      </c>
      <c r="Q778" s="7" t="n">
        <f aca="false">IF($A778="","",DATE(YEAR(B778),MONTH(B778),1))</f>
        <v>46113</v>
      </c>
      <c r="R778" s="4" t="str">
        <f aca="false">IF($A778="","",IF(COUNTIF($A$2:$A778,$A778)&gt;1,"Sim","Não"))</f>
        <v>Não</v>
      </c>
      <c r="S778" s="4" t="str">
        <f aca="false">IF(A778="","Descartar - Linha vazia",IF(R778="Sim","Descartar - Duplicado",IF(OR(H778&lt;=0,I778&lt;=0),"Descartar - Qtd/Valor inválido","OK")))</f>
        <v>OK</v>
      </c>
      <c r="T778" s="4" t="str">
        <f aca="false">Base_Bruta!P778</f>
        <v>vendas_SP.xlsx</v>
      </c>
    </row>
    <row r="779" customFormat="false" ht="15" hidden="false" customHeight="false" outlineLevel="0" collapsed="false">
      <c r="A779" s="4" t="str">
        <f aca="false">IF(Base_Bruta!A779="","",Base_Bruta!A779)</f>
        <v>SP-000414</v>
      </c>
      <c r="B779" s="5" t="n">
        <f aca="false">IF($A779="","",IF(ISNUMBER(Base_Bruta!B779),Base_Bruta!B779,IF(MID(Base_Bruta!B779,5,1)="-",DATE(VALUE(LEFT(Base_Bruta!B779,4)),VALUE(MID(Base_Bruta!B779,6,2)),VALUE(RIGHT(Base_Bruta!B779,2))),DATE(VALUE(RIGHT(Base_Bruta!B779,4)),VALUE(MID(Base_Bruta!B779,4,2)),VALUE(LEFT(Base_Bruta!B779,2))))))</f>
        <v>46130</v>
      </c>
      <c r="C779" s="5" t="n">
        <f aca="false">IF($A779="","",IF(ISNUMBER(Base_Bruta!C779),Base_Bruta!C779,IF(MID(Base_Bruta!C779,5,1)="-",DATE(VALUE(LEFT(Base_Bruta!C779,4)),VALUE(MID(Base_Bruta!C779,6,2)),VALUE(RIGHT(Base_Bruta!C779,2))),DATE(VALUE(RIGHT(Base_Bruta!C779,4)),VALUE(MID(Base_Bruta!C779,4,2)),VALUE(LEFT(Base_Bruta!C779,2))))))</f>
        <v>46130</v>
      </c>
      <c r="D779" s="4" t="str">
        <f aca="false">IF($A779="","",TRIM(Base_Bruta!D779))</f>
        <v>Festival Sonora SP 2026</v>
      </c>
      <c r="E779" s="4" t="str">
        <f aca="false">IF($A779="","",_xlfn.XLOOKUP(LOWER(TRIM(Base_Bruta!E779)),DePara_Categoria!$A$2:$A$9,DePara_Categoria!$B$2:$B$9,"REVISAR"))</f>
        <v>Festival</v>
      </c>
      <c r="F779" s="4" t="str">
        <f aca="false">IF($A779="","",_xlfn.XLOOKUP(LOWER(TRIM(Base_Bruta!F779)),DePara_Cidade!$A$2:$A$29,DePara_Cidade!$B$2:$B$29,"REVISAR"))</f>
        <v>São Paulo</v>
      </c>
      <c r="G779" s="4" t="str">
        <f aca="false">IF($A779="","",TRIM(Base_Bruta!G779))</f>
        <v>Inteira</v>
      </c>
      <c r="H779" s="4" t="n">
        <f aca="false">IF($A779="","",IF(ISNUMBER(Base_Bruta!H779),Base_Bruta!H779,IFERROR(_xlfn.NUMBERVALUE(TRIM(SUBSTITUTE(Base_Bruta!H779,"R$","")),",","."),0)))</f>
        <v>2</v>
      </c>
      <c r="I779" s="6" t="n">
        <f aca="false">IF($A779="","",IF(ISNUMBER(Base_Bruta!I779),Base_Bruta!I779,IFERROR(_xlfn.NUMBERVALUE(TRIM(SUBSTITUTE(Base_Bruta!I779,"R$","")),",","."),0)))</f>
        <v>920</v>
      </c>
      <c r="J779" s="6" t="n">
        <f aca="false">IF($A779="","",H779*I779)</f>
        <v>1840</v>
      </c>
      <c r="K779" s="4" t="str">
        <f aca="false">IF($A779="","",TRIM(Base_Bruta!J779))</f>
        <v>App</v>
      </c>
      <c r="L779" s="4" t="str">
        <f aca="false">IF($A779="","",TRIM(Base_Bruta!K779))</f>
        <v>C00480</v>
      </c>
      <c r="M779" s="4" t="str">
        <f aca="false">IF($A779="","",_xlfn.XLOOKUP(LOWER(TRIM(Base_Bruta!L779)),DePara_Cidade!$A$2:$A$29,DePara_Cidade!$B$2:$B$29,"REVISAR"))</f>
        <v>Belo Horizonte</v>
      </c>
      <c r="N779" s="4" t="str">
        <f aca="false">IF($A779="","",UPPER(TRIM(Base_Bruta!M779)))</f>
        <v>MG</v>
      </c>
      <c r="O779" s="4" t="str">
        <f aca="false">IF($A779="","",_xlfn.XLOOKUP(LOWER(TRIM(Base_Bruta!N779)),DePara_Pais!$A$2:$A$9,DePara_Pais!$B$2:$B$9,"REVISAR"))</f>
        <v>Brasil</v>
      </c>
      <c r="P779" s="4" t="str">
        <f aca="false">IF($A779="","",IF(O779&lt;&gt;"Brasil","Turista Internacional",IF(M779=F779,"Local","Turista Nacional")))</f>
        <v>Turista Nacional</v>
      </c>
      <c r="Q779" s="7" t="n">
        <f aca="false">IF($A779="","",DATE(YEAR(B779),MONTH(B779),1))</f>
        <v>46113</v>
      </c>
      <c r="R779" s="4" t="str">
        <f aca="false">IF($A779="","",IF(COUNTIF($A$2:$A779,$A779)&gt;1,"Sim","Não"))</f>
        <v>Não</v>
      </c>
      <c r="S779" s="4" t="str">
        <f aca="false">IF(A779="","Descartar - Linha vazia",IF(R779="Sim","Descartar - Duplicado",IF(OR(H779&lt;=0,I779&lt;=0),"Descartar - Qtd/Valor inválido","OK")))</f>
        <v>OK</v>
      </c>
      <c r="T779" s="4" t="str">
        <f aca="false">Base_Bruta!P779</f>
        <v>vendas_SP.xlsx</v>
      </c>
    </row>
    <row r="780" customFormat="false" ht="15" hidden="false" customHeight="false" outlineLevel="0" collapsed="false">
      <c r="A780" s="4" t="str">
        <f aca="false">IF(Base_Bruta!A780="","",Base_Bruta!A780)</f>
        <v>SP-000421</v>
      </c>
      <c r="B780" s="5" t="n">
        <f aca="false">IF($A780="","",IF(ISNUMBER(Base_Bruta!B780),Base_Bruta!B780,IF(MID(Base_Bruta!B780,5,1)="-",DATE(VALUE(LEFT(Base_Bruta!B780,4)),VALUE(MID(Base_Bruta!B780,6,2)),VALUE(RIGHT(Base_Bruta!B780,2))),DATE(VALUE(RIGHT(Base_Bruta!B780,4)),VALUE(MID(Base_Bruta!B780,4,2)),VALUE(LEFT(Base_Bruta!B780,2))))))</f>
        <v>46130</v>
      </c>
      <c r="C780" s="5" t="n">
        <f aca="false">IF($A780="","",IF(ISNUMBER(Base_Bruta!C780),Base_Bruta!C780,IF(MID(Base_Bruta!C780,5,1)="-",DATE(VALUE(LEFT(Base_Bruta!C780,4)),VALUE(MID(Base_Bruta!C780,6,2)),VALUE(RIGHT(Base_Bruta!C780,2))),DATE(VALUE(RIGHT(Base_Bruta!C780,4)),VALUE(MID(Base_Bruta!C780,4,2)),VALUE(LEFT(Base_Bruta!C780,2))))))</f>
        <v>46130</v>
      </c>
      <c r="D780" s="4" t="str">
        <f aca="false">IF($A780="","",TRIM(Base_Bruta!D780))</f>
        <v>Festival Sonora SP 2026</v>
      </c>
      <c r="E780" s="4" t="str">
        <f aca="false">IF($A780="","",_xlfn.XLOOKUP(LOWER(TRIM(Base_Bruta!E780)),DePara_Categoria!$A$2:$A$9,DePara_Categoria!$B$2:$B$9,"REVISAR"))</f>
        <v>Festival</v>
      </c>
      <c r="F780" s="4" t="str">
        <f aca="false">IF($A780="","",_xlfn.XLOOKUP(LOWER(TRIM(Base_Bruta!F780)),DePara_Cidade!$A$2:$A$29,DePara_Cidade!$B$2:$B$29,"REVISAR"))</f>
        <v>São Paulo</v>
      </c>
      <c r="G780" s="4" t="str">
        <f aca="false">IF($A780="","",TRIM(Base_Bruta!G780))</f>
        <v>Inteira</v>
      </c>
      <c r="H780" s="4" t="n">
        <f aca="false">IF($A780="","",IF(ISNUMBER(Base_Bruta!H780),Base_Bruta!H780,IFERROR(_xlfn.NUMBERVALUE(TRIM(SUBSTITUTE(Base_Bruta!H780,"R$","")),",","."),0)))</f>
        <v>2</v>
      </c>
      <c r="I780" s="6" t="n">
        <f aca="false">IF($A780="","",IF(ISNUMBER(Base_Bruta!I780),Base_Bruta!I780,IFERROR(_xlfn.NUMBERVALUE(TRIM(SUBSTITUTE(Base_Bruta!I780,"R$","")),",","."),0)))</f>
        <v>920</v>
      </c>
      <c r="J780" s="6" t="n">
        <f aca="false">IF($A780="","",H780*I780)</f>
        <v>1840</v>
      </c>
      <c r="K780" s="4" t="str">
        <f aca="false">IF($A780="","",TRIM(Base_Bruta!J780))</f>
        <v>App</v>
      </c>
      <c r="L780" s="4" t="str">
        <f aca="false">IF($A780="","",TRIM(Base_Bruta!K780))</f>
        <v>C01290</v>
      </c>
      <c r="M780" s="4" t="str">
        <f aca="false">IF($A780="","",_xlfn.XLOOKUP(LOWER(TRIM(Base_Bruta!L780)),DePara_Cidade!$A$2:$A$29,DePara_Cidade!$B$2:$B$29,"REVISAR"))</f>
        <v>Miami</v>
      </c>
      <c r="N780" s="4" t="str">
        <f aca="false">IF($A780="","",UPPER(TRIM(Base_Bruta!M780)))</f>
        <v>EX</v>
      </c>
      <c r="O780" s="4" t="str">
        <f aca="false">IF($A780="","",_xlfn.XLOOKUP(LOWER(TRIM(Base_Bruta!N780)),DePara_Pais!$A$2:$A$9,DePara_Pais!$B$2:$B$9,"REVISAR"))</f>
        <v>EUA</v>
      </c>
      <c r="P780" s="4" t="str">
        <f aca="false">IF($A780="","",IF(O780&lt;&gt;"Brasil","Turista Internacional",IF(M780=F780,"Local","Turista Nacional")))</f>
        <v>Turista Internacional</v>
      </c>
      <c r="Q780" s="7" t="n">
        <f aca="false">IF($A780="","",DATE(YEAR(B780),MONTH(B780),1))</f>
        <v>46113</v>
      </c>
      <c r="R780" s="4" t="str">
        <f aca="false">IF($A780="","",IF(COUNTIF($A$2:$A780,$A780)&gt;1,"Sim","Não"))</f>
        <v>Não</v>
      </c>
      <c r="S780" s="4" t="str">
        <f aca="false">IF(A780="","Descartar - Linha vazia",IF(R780="Sim","Descartar - Duplicado",IF(OR(H780&lt;=0,I780&lt;=0),"Descartar - Qtd/Valor inválido","OK")))</f>
        <v>OK</v>
      </c>
      <c r="T780" s="4" t="str">
        <f aca="false">Base_Bruta!P780</f>
        <v>vendas_SP.xlsx</v>
      </c>
    </row>
    <row r="781" customFormat="false" ht="15" hidden="false" customHeight="false" outlineLevel="0" collapsed="false">
      <c r="A781" s="4" t="str">
        <f aca="false">IF(Base_Bruta!A781="","",Base_Bruta!A781)</f>
        <v>SP-000614</v>
      </c>
      <c r="B781" s="5" t="n">
        <f aca="false">IF($A781="","",IF(ISNUMBER(Base_Bruta!B781),Base_Bruta!B781,IF(MID(Base_Bruta!B781,5,1)="-",DATE(VALUE(LEFT(Base_Bruta!B781,4)),VALUE(MID(Base_Bruta!B781,6,2)),VALUE(RIGHT(Base_Bruta!B781,2))),DATE(VALUE(RIGHT(Base_Bruta!B781,4)),VALUE(MID(Base_Bruta!B781,4,2)),VALUE(LEFT(Base_Bruta!B781,2))))))</f>
        <v>46130</v>
      </c>
      <c r="C781" s="5" t="n">
        <f aca="false">IF($A781="","",IF(ISNUMBER(Base_Bruta!C781),Base_Bruta!C781,IF(MID(Base_Bruta!C781,5,1)="-",DATE(VALUE(LEFT(Base_Bruta!C781,4)),VALUE(MID(Base_Bruta!C781,6,2)),VALUE(RIGHT(Base_Bruta!C781,2))),DATE(VALUE(RIGHT(Base_Bruta!C781,4)),VALUE(MID(Base_Bruta!C781,4,2)),VALUE(LEFT(Base_Bruta!C781,2))))))</f>
        <v>46130</v>
      </c>
      <c r="D781" s="4" t="str">
        <f aca="false">IF($A781="","",TRIM(Base_Bruta!D781))</f>
        <v>Cinema Paulista - Sessões</v>
      </c>
      <c r="E781" s="4" t="str">
        <f aca="false">IF($A781="","",_xlfn.XLOOKUP(LOWER(TRIM(Base_Bruta!E781)),DePara_Categoria!$A$2:$A$9,DePara_Categoria!$B$2:$B$9,"REVISAR"))</f>
        <v>Cinema</v>
      </c>
      <c r="F781" s="4" t="str">
        <f aca="false">IF($A781="","",_xlfn.XLOOKUP(LOWER(TRIM(Base_Bruta!F781)),DePara_Cidade!$A$2:$A$29,DePara_Cidade!$B$2:$B$29,"REVISAR"))</f>
        <v>São Paulo</v>
      </c>
      <c r="G781" s="4" t="str">
        <f aca="false">IF($A781="","",TRIM(Base_Bruta!G781))</f>
        <v>Inteira</v>
      </c>
      <c r="H781" s="4" t="n">
        <f aca="false">IF($A781="","",IF(ISNUMBER(Base_Bruta!H781),Base_Bruta!H781,IFERROR(_xlfn.NUMBERVALUE(TRIM(SUBSTITUTE(Base_Bruta!H781,"R$","")),",","."),0)))</f>
        <v>1</v>
      </c>
      <c r="I781" s="6" t="n">
        <f aca="false">IF($A781="","",IF(ISNUMBER(Base_Bruta!I781),Base_Bruta!I781,IFERROR(_xlfn.NUMBERVALUE(TRIM(SUBSTITUTE(Base_Bruta!I781,"R$","")),",","."),0)))</f>
        <v>45</v>
      </c>
      <c r="J781" s="6" t="n">
        <f aca="false">IF($A781="","",H781*I781)</f>
        <v>45</v>
      </c>
      <c r="K781" s="4" t="str">
        <f aca="false">IF($A781="","",TRIM(Base_Bruta!J781))</f>
        <v>App</v>
      </c>
      <c r="L781" s="4" t="str">
        <f aca="false">IF($A781="","",TRIM(Base_Bruta!K781))</f>
        <v>C02365</v>
      </c>
      <c r="M781" s="4" t="str">
        <f aca="false">IF($A781="","",_xlfn.XLOOKUP(LOWER(TRIM(Base_Bruta!L781)),DePara_Cidade!$A$2:$A$29,DePara_Cidade!$B$2:$B$29,"REVISAR"))</f>
        <v>São Paulo</v>
      </c>
      <c r="N781" s="4" t="str">
        <f aca="false">IF($A781="","",UPPER(TRIM(Base_Bruta!M781)))</f>
        <v>SP</v>
      </c>
      <c r="O781" s="4" t="str">
        <f aca="false">IF($A781="","",_xlfn.XLOOKUP(LOWER(TRIM(Base_Bruta!N781)),DePara_Pais!$A$2:$A$9,DePara_Pais!$B$2:$B$9,"REVISAR"))</f>
        <v>Brasil</v>
      </c>
      <c r="P781" s="4" t="str">
        <f aca="false">IF($A781="","",IF(O781&lt;&gt;"Brasil","Turista Internacional",IF(M781=F781,"Local","Turista Nacional")))</f>
        <v>Local</v>
      </c>
      <c r="Q781" s="7" t="n">
        <f aca="false">IF($A781="","",DATE(YEAR(B781),MONTH(B781),1))</f>
        <v>46113</v>
      </c>
      <c r="R781" s="4" t="str">
        <f aca="false">IF($A781="","",IF(COUNTIF($A$2:$A781,$A781)&gt;1,"Sim","Não"))</f>
        <v>Não</v>
      </c>
      <c r="S781" s="4" t="str">
        <f aca="false">IF(A781="","Descartar - Linha vazia",IF(R781="Sim","Descartar - Duplicado",IF(OR(H781&lt;=0,I781&lt;=0),"Descartar - Qtd/Valor inválido","OK")))</f>
        <v>OK</v>
      </c>
      <c r="T781" s="4" t="str">
        <f aca="false">Base_Bruta!P781</f>
        <v>vendas_SP.xlsx</v>
      </c>
    </row>
    <row r="782" customFormat="false" ht="15" hidden="false" customHeight="false" outlineLevel="0" collapsed="false">
      <c r="A782" s="4" t="str">
        <f aca="false">IF(Base_Bruta!A782="","",Base_Bruta!A782)</f>
        <v>SP-000771</v>
      </c>
      <c r="B782" s="5" t="n">
        <f aca="false">IF($A782="","",IF(ISNUMBER(Base_Bruta!B782),Base_Bruta!B782,IF(MID(Base_Bruta!B782,5,1)="-",DATE(VALUE(LEFT(Base_Bruta!B782,4)),VALUE(MID(Base_Bruta!B782,6,2)),VALUE(RIGHT(Base_Bruta!B782,2))),DATE(VALUE(RIGHT(Base_Bruta!B782,4)),VALUE(MID(Base_Bruta!B782,4,2)),VALUE(LEFT(Base_Bruta!B782,2))))))</f>
        <v>46132</v>
      </c>
      <c r="C782" s="5" t="n">
        <f aca="false">IF($A782="","",IF(ISNUMBER(Base_Bruta!C782),Base_Bruta!C782,IF(MID(Base_Bruta!C782,5,1)="-",DATE(VALUE(LEFT(Base_Bruta!C782,4)),VALUE(MID(Base_Bruta!C782,6,2)),VALUE(RIGHT(Base_Bruta!C782,2))),DATE(VALUE(RIGHT(Base_Bruta!C782,4)),VALUE(MID(Base_Bruta!C782,4,2)),VALUE(LEFT(Base_Bruta!C782,2))))))</f>
        <v>46132</v>
      </c>
      <c r="D782" s="4" t="str">
        <f aca="false">IF($A782="","",TRIM(Base_Bruta!D782))</f>
        <v>Cinema Paulista - Sessões</v>
      </c>
      <c r="E782" s="4" t="str">
        <f aca="false">IF($A782="","",_xlfn.XLOOKUP(LOWER(TRIM(Base_Bruta!E782)),DePara_Categoria!$A$2:$A$9,DePara_Categoria!$B$2:$B$9,"REVISAR"))</f>
        <v>Cinema</v>
      </c>
      <c r="F782" s="4" t="str">
        <f aca="false">IF($A782="","",_xlfn.XLOOKUP(LOWER(TRIM(Base_Bruta!F782)),DePara_Cidade!$A$2:$A$29,DePara_Cidade!$B$2:$B$29,"REVISAR"))</f>
        <v>São Paulo</v>
      </c>
      <c r="G782" s="4" t="str">
        <f aca="false">IF($A782="","",TRIM(Base_Bruta!G782))</f>
        <v>Meia</v>
      </c>
      <c r="H782" s="4" t="n">
        <f aca="false">IF($A782="","",IF(ISNUMBER(Base_Bruta!H782),Base_Bruta!H782,IFERROR(_xlfn.NUMBERVALUE(TRIM(SUBSTITUTE(Base_Bruta!H782,"R$","")),",","."),0)))</f>
        <v>1</v>
      </c>
      <c r="I782" s="6" t="n">
        <f aca="false">IF($A782="","",IF(ISNUMBER(Base_Bruta!I782),Base_Bruta!I782,IFERROR(_xlfn.NUMBERVALUE(TRIM(SUBSTITUTE(Base_Bruta!I782,"R$","")),",","."),0)))</f>
        <v>17.5</v>
      </c>
      <c r="J782" s="6" t="n">
        <f aca="false">IF($A782="","",H782*I782)</f>
        <v>17.5</v>
      </c>
      <c r="K782" s="4" t="str">
        <f aca="false">IF($A782="","",TRIM(Base_Bruta!J782))</f>
        <v>App</v>
      </c>
      <c r="L782" s="4" t="str">
        <f aca="false">IF($A782="","",TRIM(Base_Bruta!K782))</f>
        <v>C00790</v>
      </c>
      <c r="M782" s="4" t="str">
        <f aca="false">IF($A782="","",_xlfn.XLOOKUP(LOWER(TRIM(Base_Bruta!L782)),DePara_Cidade!$A$2:$A$29,DePara_Cidade!$B$2:$B$29,"REVISAR"))</f>
        <v>São Paulo</v>
      </c>
      <c r="N782" s="4" t="str">
        <f aca="false">IF($A782="","",UPPER(TRIM(Base_Bruta!M782)))</f>
        <v>SP</v>
      </c>
      <c r="O782" s="4" t="str">
        <f aca="false">IF($A782="","",_xlfn.XLOOKUP(LOWER(TRIM(Base_Bruta!N782)),DePara_Pais!$A$2:$A$9,DePara_Pais!$B$2:$B$9,"REVISAR"))</f>
        <v>Brasil</v>
      </c>
      <c r="P782" s="4" t="str">
        <f aca="false">IF($A782="","",IF(O782&lt;&gt;"Brasil","Turista Internacional",IF(M782=F782,"Local","Turista Nacional")))</f>
        <v>Local</v>
      </c>
      <c r="Q782" s="7" t="n">
        <f aca="false">IF($A782="","",DATE(YEAR(B782),MONTH(B782),1))</f>
        <v>46113</v>
      </c>
      <c r="R782" s="4" t="str">
        <f aca="false">IF($A782="","",IF(COUNTIF($A$2:$A782,$A782)&gt;1,"Sim","Não"))</f>
        <v>Não</v>
      </c>
      <c r="S782" s="4" t="str">
        <f aca="false">IF(A782="","Descartar - Linha vazia",IF(R782="Sim","Descartar - Duplicado",IF(OR(H782&lt;=0,I782&lt;=0),"Descartar - Qtd/Valor inválido","OK")))</f>
        <v>OK</v>
      </c>
      <c r="T782" s="4" t="str">
        <f aca="false">Base_Bruta!P782</f>
        <v>vendas_SP.xlsx</v>
      </c>
    </row>
    <row r="783" customFormat="false" ht="15" hidden="false" customHeight="false" outlineLevel="0" collapsed="false">
      <c r="A783" s="4" t="str">
        <f aca="false">IF(Base_Bruta!A783="","",Base_Bruta!A783)</f>
        <v>SP-000633</v>
      </c>
      <c r="B783" s="5" t="n">
        <f aca="false">IF($A783="","",IF(ISNUMBER(Base_Bruta!B783),Base_Bruta!B783,IF(MID(Base_Bruta!B783,5,1)="-",DATE(VALUE(LEFT(Base_Bruta!B783,4)),VALUE(MID(Base_Bruta!B783,6,2)),VALUE(RIGHT(Base_Bruta!B783,2))),DATE(VALUE(RIGHT(Base_Bruta!B783,4)),VALUE(MID(Base_Bruta!B783,4,2)),VALUE(LEFT(Base_Bruta!B783,2))))))</f>
        <v>46136</v>
      </c>
      <c r="C783" s="5" t="n">
        <f aca="false">IF($A783="","",IF(ISNUMBER(Base_Bruta!C783),Base_Bruta!C783,IF(MID(Base_Bruta!C783,5,1)="-",DATE(VALUE(LEFT(Base_Bruta!C783,4)),VALUE(MID(Base_Bruta!C783,6,2)),VALUE(RIGHT(Base_Bruta!C783,2))),DATE(VALUE(RIGHT(Base_Bruta!C783,4)),VALUE(MID(Base_Bruta!C783,4,2)),VALUE(LEFT(Base_Bruta!C783,2))))))</f>
        <v>46136</v>
      </c>
      <c r="D783" s="4" t="str">
        <f aca="false">IF($A783="","",TRIM(Base_Bruta!D783))</f>
        <v>Cinema Paulista - Sessões</v>
      </c>
      <c r="E783" s="4" t="str">
        <f aca="false">IF($A783="","",_xlfn.XLOOKUP(LOWER(TRIM(Base_Bruta!E783)),DePara_Categoria!$A$2:$A$9,DePara_Categoria!$B$2:$B$9,"REVISAR"))</f>
        <v>Cinema</v>
      </c>
      <c r="F783" s="4" t="str">
        <f aca="false">IF($A783="","",_xlfn.XLOOKUP(LOWER(TRIM(Base_Bruta!F783)),DePara_Cidade!$A$2:$A$29,DePara_Cidade!$B$2:$B$29,"REVISAR"))</f>
        <v>São Paulo</v>
      </c>
      <c r="G783" s="4" t="str">
        <f aca="false">IF($A783="","",TRIM(Base_Bruta!G783))</f>
        <v>Inteira</v>
      </c>
      <c r="H783" s="4" t="n">
        <f aca="false">IF($A783="","",IF(ISNUMBER(Base_Bruta!H783),Base_Bruta!H783,IFERROR(_xlfn.NUMBERVALUE(TRIM(SUBSTITUTE(Base_Bruta!H783,"R$","")),",","."),0)))</f>
        <v>1</v>
      </c>
      <c r="I783" s="6" t="n">
        <f aca="false">IF($A783="","",IF(ISNUMBER(Base_Bruta!I783),Base_Bruta!I783,IFERROR(_xlfn.NUMBERVALUE(TRIM(SUBSTITUTE(Base_Bruta!I783,"R$","")),",","."),0)))</f>
        <v>35</v>
      </c>
      <c r="J783" s="6" t="n">
        <f aca="false">IF($A783="","",H783*I783)</f>
        <v>35</v>
      </c>
      <c r="K783" s="4" t="str">
        <f aca="false">IF($A783="","",TRIM(Base_Bruta!J783))</f>
        <v>App</v>
      </c>
      <c r="L783" s="4" t="str">
        <f aca="false">IF($A783="","",TRIM(Base_Bruta!K783))</f>
        <v>C00486</v>
      </c>
      <c r="M783" s="4" t="str">
        <f aca="false">IF($A783="","",_xlfn.XLOOKUP(LOWER(TRIM(Base_Bruta!L783)),DePara_Cidade!$A$2:$A$29,DePara_Cidade!$B$2:$B$29,"REVISAR"))</f>
        <v>São Paulo</v>
      </c>
      <c r="N783" s="4" t="str">
        <f aca="false">IF($A783="","",UPPER(TRIM(Base_Bruta!M783)))</f>
        <v>SP</v>
      </c>
      <c r="O783" s="4" t="str">
        <f aca="false">IF($A783="","",_xlfn.XLOOKUP(LOWER(TRIM(Base_Bruta!N783)),DePara_Pais!$A$2:$A$9,DePara_Pais!$B$2:$B$9,"REVISAR"))</f>
        <v>Brasil</v>
      </c>
      <c r="P783" s="4" t="str">
        <f aca="false">IF($A783="","",IF(O783&lt;&gt;"Brasil","Turista Internacional",IF(M783=F783,"Local","Turista Nacional")))</f>
        <v>Local</v>
      </c>
      <c r="Q783" s="7" t="n">
        <f aca="false">IF($A783="","",DATE(YEAR(B783),MONTH(B783),1))</f>
        <v>46113</v>
      </c>
      <c r="R783" s="4" t="str">
        <f aca="false">IF($A783="","",IF(COUNTIF($A$2:$A783,$A783)&gt;1,"Sim","Não"))</f>
        <v>Não</v>
      </c>
      <c r="S783" s="4" t="str">
        <f aca="false">IF(A783="","Descartar - Linha vazia",IF(R783="Sim","Descartar - Duplicado",IF(OR(H783&lt;=0,I783&lt;=0),"Descartar - Qtd/Valor inválido","OK")))</f>
        <v>OK</v>
      </c>
      <c r="T783" s="4" t="str">
        <f aca="false">Base_Bruta!P783</f>
        <v>vendas_SP.xlsx</v>
      </c>
    </row>
    <row r="784" customFormat="false" ht="15" hidden="false" customHeight="false" outlineLevel="0" collapsed="false">
      <c r="A784" s="4" t="str">
        <f aca="false">IF(Base_Bruta!A784="","",Base_Bruta!A784)</f>
        <v>SP-000677</v>
      </c>
      <c r="B784" s="5" t="n">
        <f aca="false">IF($A784="","",IF(ISNUMBER(Base_Bruta!B784),Base_Bruta!B784,IF(MID(Base_Bruta!B784,5,1)="-",DATE(VALUE(LEFT(Base_Bruta!B784,4)),VALUE(MID(Base_Bruta!B784,6,2)),VALUE(RIGHT(Base_Bruta!B784,2))),DATE(VALUE(RIGHT(Base_Bruta!B784,4)),VALUE(MID(Base_Bruta!B784,4,2)),VALUE(LEFT(Base_Bruta!B784,2))))))</f>
        <v>46136</v>
      </c>
      <c r="C784" s="5" t="n">
        <f aca="false">IF($A784="","",IF(ISNUMBER(Base_Bruta!C784),Base_Bruta!C784,IF(MID(Base_Bruta!C784,5,1)="-",DATE(VALUE(LEFT(Base_Bruta!C784,4)),VALUE(MID(Base_Bruta!C784,6,2)),VALUE(RIGHT(Base_Bruta!C784,2))),DATE(VALUE(RIGHT(Base_Bruta!C784,4)),VALUE(MID(Base_Bruta!C784,4,2)),VALUE(LEFT(Base_Bruta!C784,2))))))</f>
        <v>46137</v>
      </c>
      <c r="D784" s="4" t="str">
        <f aca="false">IF($A784="","",TRIM(Base_Bruta!D784))</f>
        <v>Cinema Paulista - Sessões</v>
      </c>
      <c r="E784" s="4" t="str">
        <f aca="false">IF($A784="","",_xlfn.XLOOKUP(LOWER(TRIM(Base_Bruta!E784)),DePara_Categoria!$A$2:$A$9,DePara_Categoria!$B$2:$B$9,"REVISAR"))</f>
        <v>Cinema</v>
      </c>
      <c r="F784" s="4" t="str">
        <f aca="false">IF($A784="","",_xlfn.XLOOKUP(LOWER(TRIM(Base_Bruta!F784)),DePara_Cidade!$A$2:$A$29,DePara_Cidade!$B$2:$B$29,"REVISAR"))</f>
        <v>São Paulo</v>
      </c>
      <c r="G784" s="4" t="str">
        <f aca="false">IF($A784="","",TRIM(Base_Bruta!G784))</f>
        <v>Inteira</v>
      </c>
      <c r="H784" s="4" t="n">
        <f aca="false">IF($A784="","",IF(ISNUMBER(Base_Bruta!H784),Base_Bruta!H784,IFERROR(_xlfn.NUMBERVALUE(TRIM(SUBSTITUTE(Base_Bruta!H784,"R$","")),",","."),0)))</f>
        <v>1</v>
      </c>
      <c r="I784" s="6" t="n">
        <f aca="false">IF($A784="","",IF(ISNUMBER(Base_Bruta!I784),Base_Bruta!I784,IFERROR(_xlfn.NUMBERVALUE(TRIM(SUBSTITUTE(Base_Bruta!I784,"R$","")),",","."),0)))</f>
        <v>35</v>
      </c>
      <c r="J784" s="6" t="n">
        <f aca="false">IF($A784="","",H784*I784)</f>
        <v>35</v>
      </c>
      <c r="K784" s="4" t="str">
        <f aca="false">IF($A784="","",TRIM(Base_Bruta!J784))</f>
        <v>App</v>
      </c>
      <c r="L784" s="4" t="str">
        <f aca="false">IF($A784="","",TRIM(Base_Bruta!K784))</f>
        <v>C01319</v>
      </c>
      <c r="M784" s="4" t="str">
        <f aca="false">IF($A784="","",_xlfn.XLOOKUP(LOWER(TRIM(Base_Bruta!L784)),DePara_Cidade!$A$2:$A$29,DePara_Cidade!$B$2:$B$29,"REVISAR"))</f>
        <v>São Paulo</v>
      </c>
      <c r="N784" s="4" t="str">
        <f aca="false">IF($A784="","",UPPER(TRIM(Base_Bruta!M784)))</f>
        <v>SP</v>
      </c>
      <c r="O784" s="4" t="str">
        <f aca="false">IF($A784="","",_xlfn.XLOOKUP(LOWER(TRIM(Base_Bruta!N784)),DePara_Pais!$A$2:$A$9,DePara_Pais!$B$2:$B$9,"REVISAR"))</f>
        <v>Brasil</v>
      </c>
      <c r="P784" s="4" t="str">
        <f aca="false">IF($A784="","",IF(O784&lt;&gt;"Brasil","Turista Internacional",IF(M784=F784,"Local","Turista Nacional")))</f>
        <v>Local</v>
      </c>
      <c r="Q784" s="7" t="n">
        <f aca="false">IF($A784="","",DATE(YEAR(B784),MONTH(B784),1))</f>
        <v>46113</v>
      </c>
      <c r="R784" s="4" t="str">
        <f aca="false">IF($A784="","",IF(COUNTIF($A$2:$A784,$A784)&gt;1,"Sim","Não"))</f>
        <v>Não</v>
      </c>
      <c r="S784" s="4" t="str">
        <f aca="false">IF(A784="","Descartar - Linha vazia",IF(R784="Sim","Descartar - Duplicado",IF(OR(H784&lt;=0,I784&lt;=0),"Descartar - Qtd/Valor inválido","OK")))</f>
        <v>OK</v>
      </c>
      <c r="T784" s="4" t="str">
        <f aca="false">Base_Bruta!P784</f>
        <v>vendas_SP.xlsx</v>
      </c>
    </row>
    <row r="785" customFormat="false" ht="15" hidden="false" customHeight="false" outlineLevel="0" collapsed="false">
      <c r="A785" s="4" t="str">
        <f aca="false">IF(Base_Bruta!A785="","",Base_Bruta!A785)</f>
        <v>SP-000651</v>
      </c>
      <c r="B785" s="5" t="n">
        <f aca="false">IF($A785="","",IF(ISNUMBER(Base_Bruta!B785),Base_Bruta!B785,IF(MID(Base_Bruta!B785,5,1)="-",DATE(VALUE(LEFT(Base_Bruta!B785,4)),VALUE(MID(Base_Bruta!B785,6,2)),VALUE(RIGHT(Base_Bruta!B785,2))),DATE(VALUE(RIGHT(Base_Bruta!B785,4)),VALUE(MID(Base_Bruta!B785,4,2)),VALUE(LEFT(Base_Bruta!B785,2))))))</f>
        <v>46138</v>
      </c>
      <c r="C785" s="5" t="n">
        <f aca="false">IF($A785="","",IF(ISNUMBER(Base_Bruta!C785),Base_Bruta!C785,IF(MID(Base_Bruta!C785,5,1)="-",DATE(VALUE(LEFT(Base_Bruta!C785,4)),VALUE(MID(Base_Bruta!C785,6,2)),VALUE(RIGHT(Base_Bruta!C785,2))),DATE(VALUE(RIGHT(Base_Bruta!C785,4)),VALUE(MID(Base_Bruta!C785,4,2)),VALUE(LEFT(Base_Bruta!C785,2))))))</f>
        <v>46141</v>
      </c>
      <c r="D785" s="4" t="str">
        <f aca="false">IF($A785="","",TRIM(Base_Bruta!D785))</f>
        <v>Cinema Paulista - Sessões</v>
      </c>
      <c r="E785" s="4" t="str">
        <f aca="false">IF($A785="","",_xlfn.XLOOKUP(LOWER(TRIM(Base_Bruta!E785)),DePara_Categoria!$A$2:$A$9,DePara_Categoria!$B$2:$B$9,"REVISAR"))</f>
        <v>Cinema</v>
      </c>
      <c r="F785" s="4" t="str">
        <f aca="false">IF($A785="","",_xlfn.XLOOKUP(LOWER(TRIM(Base_Bruta!F785)),DePara_Cidade!$A$2:$A$29,DePara_Cidade!$B$2:$B$29,"REVISAR"))</f>
        <v>São Paulo</v>
      </c>
      <c r="G785" s="4" t="str">
        <f aca="false">IF($A785="","",TRIM(Base_Bruta!G785))</f>
        <v>Inteira</v>
      </c>
      <c r="H785" s="4" t="n">
        <f aca="false">IF($A785="","",IF(ISNUMBER(Base_Bruta!H785),Base_Bruta!H785,IFERROR(_xlfn.NUMBERVALUE(TRIM(SUBSTITUTE(Base_Bruta!H785,"R$","")),",","."),0)))</f>
        <v>2</v>
      </c>
      <c r="I785" s="6" t="n">
        <f aca="false">IF($A785="","",IF(ISNUMBER(Base_Bruta!I785),Base_Bruta!I785,IFERROR(_xlfn.NUMBERVALUE(TRIM(SUBSTITUTE(Base_Bruta!I785,"R$","")),",","."),0)))</f>
        <v>40</v>
      </c>
      <c r="J785" s="6" t="n">
        <f aca="false">IF($A785="","",H785*I785)</f>
        <v>80</v>
      </c>
      <c r="K785" s="4" t="str">
        <f aca="false">IF($A785="","",TRIM(Base_Bruta!J785))</f>
        <v>App</v>
      </c>
      <c r="L785" s="4" t="str">
        <f aca="false">IF($A785="","",TRIM(Base_Bruta!K785))</f>
        <v>C02294</v>
      </c>
      <c r="M785" s="4" t="str">
        <f aca="false">IF($A785="","",_xlfn.XLOOKUP(LOWER(TRIM(Base_Bruta!L785)),DePara_Cidade!$A$2:$A$29,DePara_Cidade!$B$2:$B$29,"REVISAR"))</f>
        <v>São Paulo</v>
      </c>
      <c r="N785" s="4" t="str">
        <f aca="false">IF($A785="","",UPPER(TRIM(Base_Bruta!M785)))</f>
        <v>SP</v>
      </c>
      <c r="O785" s="4" t="str">
        <f aca="false">IF($A785="","",_xlfn.XLOOKUP(LOWER(TRIM(Base_Bruta!N785)),DePara_Pais!$A$2:$A$9,DePara_Pais!$B$2:$B$9,"REVISAR"))</f>
        <v>Brasil</v>
      </c>
      <c r="P785" s="4" t="str">
        <f aca="false">IF($A785="","",IF(O785&lt;&gt;"Brasil","Turista Internacional",IF(M785=F785,"Local","Turista Nacional")))</f>
        <v>Local</v>
      </c>
      <c r="Q785" s="7" t="n">
        <f aca="false">IF($A785="","",DATE(YEAR(B785),MONTH(B785),1))</f>
        <v>46113</v>
      </c>
      <c r="R785" s="4" t="str">
        <f aca="false">IF($A785="","",IF(COUNTIF($A$2:$A785,$A785)&gt;1,"Sim","Não"))</f>
        <v>Não</v>
      </c>
      <c r="S785" s="4" t="str">
        <f aca="false">IF(A785="","Descartar - Linha vazia",IF(R785="Sim","Descartar - Duplicado",IF(OR(H785&lt;=0,I785&lt;=0),"Descartar - Qtd/Valor inválido","OK")))</f>
        <v>OK</v>
      </c>
      <c r="T785" s="4" t="str">
        <f aca="false">Base_Bruta!P785</f>
        <v>vendas_SP.xlsx</v>
      </c>
    </row>
    <row r="786" customFormat="false" ht="15" hidden="false" customHeight="false" outlineLevel="0" collapsed="false">
      <c r="A786" s="4" t="str">
        <f aca="false">IF(Base_Bruta!A786="","",Base_Bruta!A786)</f>
        <v>SP-000629</v>
      </c>
      <c r="B786" s="5" t="n">
        <f aca="false">IF($A786="","",IF(ISNUMBER(Base_Bruta!B786),Base_Bruta!B786,IF(MID(Base_Bruta!B786,5,1)="-",DATE(VALUE(LEFT(Base_Bruta!B786,4)),VALUE(MID(Base_Bruta!B786,6,2)),VALUE(RIGHT(Base_Bruta!B786,2))),DATE(VALUE(RIGHT(Base_Bruta!B786,4)),VALUE(MID(Base_Bruta!B786,4,2)),VALUE(LEFT(Base_Bruta!B786,2))))))</f>
        <v>46140</v>
      </c>
      <c r="C786" s="5" t="n">
        <f aca="false">IF($A786="","",IF(ISNUMBER(Base_Bruta!C786),Base_Bruta!C786,IF(MID(Base_Bruta!C786,5,1)="-",DATE(VALUE(LEFT(Base_Bruta!C786,4)),VALUE(MID(Base_Bruta!C786,6,2)),VALUE(RIGHT(Base_Bruta!C786,2))),DATE(VALUE(RIGHT(Base_Bruta!C786,4)),VALUE(MID(Base_Bruta!C786,4,2)),VALUE(LEFT(Base_Bruta!C786,2))))))</f>
        <v>46142</v>
      </c>
      <c r="D786" s="4" t="str">
        <f aca="false">IF($A786="","",TRIM(Base_Bruta!D786))</f>
        <v>Cinema Paulista - Sessões</v>
      </c>
      <c r="E786" s="4" t="str">
        <f aca="false">IF($A786="","",_xlfn.XLOOKUP(LOWER(TRIM(Base_Bruta!E786)),DePara_Categoria!$A$2:$A$9,DePara_Categoria!$B$2:$B$9,"REVISAR"))</f>
        <v>Cinema</v>
      </c>
      <c r="F786" s="4" t="str">
        <f aca="false">IF($A786="","",_xlfn.XLOOKUP(LOWER(TRIM(Base_Bruta!F786)),DePara_Cidade!$A$2:$A$29,DePara_Cidade!$B$2:$B$29,"REVISAR"))</f>
        <v>São Paulo</v>
      </c>
      <c r="G786" s="4" t="str">
        <f aca="false">IF($A786="","",TRIM(Base_Bruta!G786))</f>
        <v>Inteira</v>
      </c>
      <c r="H786" s="4" t="n">
        <f aca="false">IF($A786="","",IF(ISNUMBER(Base_Bruta!H786),Base_Bruta!H786,IFERROR(_xlfn.NUMBERVALUE(TRIM(SUBSTITUTE(Base_Bruta!H786,"R$","")),",","."),0)))</f>
        <v>1</v>
      </c>
      <c r="I786" s="6" t="n">
        <f aca="false">IF($A786="","",IF(ISNUMBER(Base_Bruta!I786),Base_Bruta!I786,IFERROR(_xlfn.NUMBERVALUE(TRIM(SUBSTITUTE(Base_Bruta!I786,"R$","")),",","."),0)))</f>
        <v>40</v>
      </c>
      <c r="J786" s="6" t="n">
        <f aca="false">IF($A786="","",H786*I786)</f>
        <v>40</v>
      </c>
      <c r="K786" s="4" t="str">
        <f aca="false">IF($A786="","",TRIM(Base_Bruta!J786))</f>
        <v>App</v>
      </c>
      <c r="L786" s="4" t="str">
        <f aca="false">IF($A786="","",TRIM(Base_Bruta!K786))</f>
        <v>C00890</v>
      </c>
      <c r="M786" s="4" t="str">
        <f aca="false">IF($A786="","",_xlfn.XLOOKUP(LOWER(TRIM(Base_Bruta!L786)),DePara_Cidade!$A$2:$A$29,DePara_Cidade!$B$2:$B$29,"REVISAR"))</f>
        <v>São Paulo</v>
      </c>
      <c r="N786" s="4" t="str">
        <f aca="false">IF($A786="","",UPPER(TRIM(Base_Bruta!M786)))</f>
        <v>SP</v>
      </c>
      <c r="O786" s="4" t="str">
        <f aca="false">IF($A786="","",_xlfn.XLOOKUP(LOWER(TRIM(Base_Bruta!N786)),DePara_Pais!$A$2:$A$9,DePara_Pais!$B$2:$B$9,"REVISAR"))</f>
        <v>Brasil</v>
      </c>
      <c r="P786" s="4" t="str">
        <f aca="false">IF($A786="","",IF(O786&lt;&gt;"Brasil","Turista Internacional",IF(M786=F786,"Local","Turista Nacional")))</f>
        <v>Local</v>
      </c>
      <c r="Q786" s="7" t="n">
        <f aca="false">IF($A786="","",DATE(YEAR(B786),MONTH(B786),1))</f>
        <v>46113</v>
      </c>
      <c r="R786" s="4" t="str">
        <f aca="false">IF($A786="","",IF(COUNTIF($A$2:$A786,$A786)&gt;1,"Sim","Não"))</f>
        <v>Não</v>
      </c>
      <c r="S786" s="4" t="str">
        <f aca="false">IF(A786="","Descartar - Linha vazia",IF(R786="Sim","Descartar - Duplicado",IF(OR(H786&lt;=0,I786&lt;=0),"Descartar - Qtd/Valor inválido","OK")))</f>
        <v>OK</v>
      </c>
      <c r="T786" s="4" t="str">
        <f aca="false">Base_Bruta!P786</f>
        <v>vendas_SP.xlsx</v>
      </c>
    </row>
    <row r="787" customFormat="false" ht="15" hidden="false" customHeight="false" outlineLevel="0" collapsed="false">
      <c r="A787" s="4" t="str">
        <f aca="false">IF(Base_Bruta!A787="","",Base_Bruta!A787)</f>
        <v>SP-000766</v>
      </c>
      <c r="B787" s="5" t="n">
        <f aca="false">IF($A787="","",IF(ISNUMBER(Base_Bruta!B787),Base_Bruta!B787,IF(MID(Base_Bruta!B787,5,1)="-",DATE(VALUE(LEFT(Base_Bruta!B787,4)),VALUE(MID(Base_Bruta!B787,6,2)),VALUE(RIGHT(Base_Bruta!B787,2))),DATE(VALUE(RIGHT(Base_Bruta!B787,4)),VALUE(MID(Base_Bruta!B787,4,2)),VALUE(LEFT(Base_Bruta!B787,2))))))</f>
        <v>46141</v>
      </c>
      <c r="C787" s="5" t="n">
        <f aca="false">IF($A787="","",IF(ISNUMBER(Base_Bruta!C787),Base_Bruta!C787,IF(MID(Base_Bruta!C787,5,1)="-",DATE(VALUE(LEFT(Base_Bruta!C787,4)),VALUE(MID(Base_Bruta!C787,6,2)),VALUE(RIGHT(Base_Bruta!C787,2))),DATE(VALUE(RIGHT(Base_Bruta!C787,4)),VALUE(MID(Base_Bruta!C787,4,2)),VALUE(LEFT(Base_Bruta!C787,2))))))</f>
        <v>46142</v>
      </c>
      <c r="D787" s="4" t="str">
        <f aca="false">IF($A787="","",TRIM(Base_Bruta!D787))</f>
        <v>Cinema Paulista - Sessões</v>
      </c>
      <c r="E787" s="4" t="str">
        <f aca="false">IF($A787="","",_xlfn.XLOOKUP(LOWER(TRIM(Base_Bruta!E787)),DePara_Categoria!$A$2:$A$9,DePara_Categoria!$B$2:$B$9,"REVISAR"))</f>
        <v>Cinema</v>
      </c>
      <c r="F787" s="4" t="str">
        <f aca="false">IF($A787="","",_xlfn.XLOOKUP(LOWER(TRIM(Base_Bruta!F787)),DePara_Cidade!$A$2:$A$29,DePara_Cidade!$B$2:$B$29,"REVISAR"))</f>
        <v>São Paulo</v>
      </c>
      <c r="G787" s="4" t="str">
        <f aca="false">IF($A787="","",TRIM(Base_Bruta!G787))</f>
        <v>Inteira</v>
      </c>
      <c r="H787" s="4" t="n">
        <f aca="false">IF($A787="","",IF(ISNUMBER(Base_Bruta!H787),Base_Bruta!H787,IFERROR(_xlfn.NUMBERVALUE(TRIM(SUBSTITUTE(Base_Bruta!H787,"R$","")),",","."),0)))</f>
        <v>4</v>
      </c>
      <c r="I787" s="6" t="n">
        <f aca="false">IF($A787="","",IF(ISNUMBER(Base_Bruta!I787),Base_Bruta!I787,IFERROR(_xlfn.NUMBERVALUE(TRIM(SUBSTITUTE(Base_Bruta!I787,"R$","")),",","."),0)))</f>
        <v>30</v>
      </c>
      <c r="J787" s="6" t="n">
        <f aca="false">IF($A787="","",H787*I787)</f>
        <v>120</v>
      </c>
      <c r="K787" s="4" t="str">
        <f aca="false">IF($A787="","",TRIM(Base_Bruta!J787))</f>
        <v>App</v>
      </c>
      <c r="L787" s="4" t="str">
        <f aca="false">IF($A787="","",TRIM(Base_Bruta!K787))</f>
        <v>C02353</v>
      </c>
      <c r="M787" s="4" t="str">
        <f aca="false">IF($A787="","",_xlfn.XLOOKUP(LOWER(TRIM(Base_Bruta!L787)),DePara_Cidade!$A$2:$A$29,DePara_Cidade!$B$2:$B$29,"REVISAR"))</f>
        <v>São Paulo</v>
      </c>
      <c r="N787" s="4" t="str">
        <f aca="false">IF($A787="","",UPPER(TRIM(Base_Bruta!M787)))</f>
        <v>SP</v>
      </c>
      <c r="O787" s="4" t="str">
        <f aca="false">IF($A787="","",_xlfn.XLOOKUP(LOWER(TRIM(Base_Bruta!N787)),DePara_Pais!$A$2:$A$9,DePara_Pais!$B$2:$B$9,"REVISAR"))</f>
        <v>Brasil</v>
      </c>
      <c r="P787" s="4" t="str">
        <f aca="false">IF($A787="","",IF(O787&lt;&gt;"Brasil","Turista Internacional",IF(M787=F787,"Local","Turista Nacional")))</f>
        <v>Local</v>
      </c>
      <c r="Q787" s="7" t="n">
        <f aca="false">IF($A787="","",DATE(YEAR(B787),MONTH(B787),1))</f>
        <v>46113</v>
      </c>
      <c r="R787" s="4" t="str">
        <f aca="false">IF($A787="","",IF(COUNTIF($A$2:$A787,$A787)&gt;1,"Sim","Não"))</f>
        <v>Não</v>
      </c>
      <c r="S787" s="4" t="str">
        <f aca="false">IF(A787="","Descartar - Linha vazia",IF(R787="Sim","Descartar - Duplicado",IF(OR(H787&lt;=0,I787&lt;=0),"Descartar - Qtd/Valor inválido","OK")))</f>
        <v>OK</v>
      </c>
      <c r="T787" s="4" t="str">
        <f aca="false">Base_Bruta!P787</f>
        <v>vendas_SP.xlsx</v>
      </c>
    </row>
    <row r="788" customFormat="false" ht="15" hidden="false" customHeight="false" outlineLevel="0" collapsed="false">
      <c r="A788" s="4" t="str">
        <f aca="false">IF(Base_Bruta!A788="","",Base_Bruta!A788)</f>
        <v>SP-000616</v>
      </c>
      <c r="B788" s="5" t="n">
        <f aca="false">IF($A788="","",IF(ISNUMBER(Base_Bruta!B788),Base_Bruta!B788,IF(MID(Base_Bruta!B788,5,1)="-",DATE(VALUE(LEFT(Base_Bruta!B788,4)),VALUE(MID(Base_Bruta!B788,6,2)),VALUE(RIGHT(Base_Bruta!B788,2))),DATE(VALUE(RIGHT(Base_Bruta!B788,4)),VALUE(MID(Base_Bruta!B788,4,2)),VALUE(LEFT(Base_Bruta!B788,2))))))</f>
        <v>46143</v>
      </c>
      <c r="C788" s="5" t="n">
        <f aca="false">IF($A788="","",IF(ISNUMBER(Base_Bruta!C788),Base_Bruta!C788,IF(MID(Base_Bruta!C788,5,1)="-",DATE(VALUE(LEFT(Base_Bruta!C788,4)),VALUE(MID(Base_Bruta!C788,6,2)),VALUE(RIGHT(Base_Bruta!C788,2))),DATE(VALUE(RIGHT(Base_Bruta!C788,4)),VALUE(MID(Base_Bruta!C788,4,2)),VALUE(LEFT(Base_Bruta!C788,2))))))</f>
        <v>46145</v>
      </c>
      <c r="D788" s="4" t="str">
        <f aca="false">IF($A788="","",TRIM(Base_Bruta!D788))</f>
        <v>Cinema Paulista - Sessões</v>
      </c>
      <c r="E788" s="4" t="str">
        <f aca="false">IF($A788="","",_xlfn.XLOOKUP(LOWER(TRIM(Base_Bruta!E788)),DePara_Categoria!$A$2:$A$9,DePara_Categoria!$B$2:$B$9,"REVISAR"))</f>
        <v>Cinema</v>
      </c>
      <c r="F788" s="4" t="str">
        <f aca="false">IF($A788="","",_xlfn.XLOOKUP(LOWER(TRIM(Base_Bruta!F788)),DePara_Cidade!$A$2:$A$29,DePara_Cidade!$B$2:$B$29,"REVISAR"))</f>
        <v>São Paulo</v>
      </c>
      <c r="G788" s="4" t="str">
        <f aca="false">IF($A788="","",TRIM(Base_Bruta!G788))</f>
        <v>Inteira</v>
      </c>
      <c r="H788" s="4" t="n">
        <f aca="false">IF($A788="","",IF(ISNUMBER(Base_Bruta!H788),Base_Bruta!H788,IFERROR(_xlfn.NUMBERVALUE(TRIM(SUBSTITUTE(Base_Bruta!H788,"R$","")),",","."),0)))</f>
        <v>2</v>
      </c>
      <c r="I788" s="6" t="n">
        <f aca="false">IF($A788="","",IF(ISNUMBER(Base_Bruta!I788),Base_Bruta!I788,IFERROR(_xlfn.NUMBERVALUE(TRIM(SUBSTITUTE(Base_Bruta!I788,"R$","")),",","."),0)))</f>
        <v>45</v>
      </c>
      <c r="J788" s="6" t="n">
        <f aca="false">IF($A788="","",H788*I788)</f>
        <v>90</v>
      </c>
      <c r="K788" s="4" t="str">
        <f aca="false">IF($A788="","",TRIM(Base_Bruta!J788))</f>
        <v>Bilheteria</v>
      </c>
      <c r="L788" s="4" t="str">
        <f aca="false">IF($A788="","",TRIM(Base_Bruta!K788))</f>
        <v>C00751</v>
      </c>
      <c r="M788" s="4" t="str">
        <f aca="false">IF($A788="","",_xlfn.XLOOKUP(LOWER(TRIM(Base_Bruta!L788)),DePara_Cidade!$A$2:$A$29,DePara_Cidade!$B$2:$B$29,"REVISAR"))</f>
        <v>São Paulo</v>
      </c>
      <c r="N788" s="4" t="str">
        <f aca="false">IF($A788="","",UPPER(TRIM(Base_Bruta!M788)))</f>
        <v>SP</v>
      </c>
      <c r="O788" s="4" t="str">
        <f aca="false">IF($A788="","",_xlfn.XLOOKUP(LOWER(TRIM(Base_Bruta!N788)),DePara_Pais!$A$2:$A$9,DePara_Pais!$B$2:$B$9,"REVISAR"))</f>
        <v>Brasil</v>
      </c>
      <c r="P788" s="4" t="str">
        <f aca="false">IF($A788="","",IF(O788&lt;&gt;"Brasil","Turista Internacional",IF(M788=F788,"Local","Turista Nacional")))</f>
        <v>Local</v>
      </c>
      <c r="Q788" s="7" t="n">
        <f aca="false">IF($A788="","",DATE(YEAR(B788),MONTH(B788),1))</f>
        <v>46143</v>
      </c>
      <c r="R788" s="4" t="str">
        <f aca="false">IF($A788="","",IF(COUNTIF($A$2:$A788,$A788)&gt;1,"Sim","Não"))</f>
        <v>Não</v>
      </c>
      <c r="S788" s="4" t="str">
        <f aca="false">IF(A788="","Descartar - Linha vazia",IF(R788="Sim","Descartar - Duplicado",IF(OR(H788&lt;=0,I788&lt;=0),"Descartar - Qtd/Valor inválido","OK")))</f>
        <v>OK</v>
      </c>
      <c r="T788" s="4" t="str">
        <f aca="false">Base_Bruta!P788</f>
        <v>vendas_SP.xlsx</v>
      </c>
    </row>
    <row r="789" customFormat="false" ht="15" hidden="false" customHeight="false" outlineLevel="0" collapsed="false">
      <c r="A789" s="4" t="str">
        <f aca="false">IF(Base_Bruta!A789="","",Base_Bruta!A789)</f>
        <v>SP-000710</v>
      </c>
      <c r="B789" s="5" t="n">
        <f aca="false">IF($A789="","",IF(ISNUMBER(Base_Bruta!B789),Base_Bruta!B789,IF(MID(Base_Bruta!B789,5,1)="-",DATE(VALUE(LEFT(Base_Bruta!B789,4)),VALUE(MID(Base_Bruta!B789,6,2)),VALUE(RIGHT(Base_Bruta!B789,2))),DATE(VALUE(RIGHT(Base_Bruta!B789,4)),VALUE(MID(Base_Bruta!B789,4,2)),VALUE(LEFT(Base_Bruta!B789,2))))))</f>
        <v>46144</v>
      </c>
      <c r="C789" s="5" t="n">
        <f aca="false">IF($A789="","",IF(ISNUMBER(Base_Bruta!C789),Base_Bruta!C789,IF(MID(Base_Bruta!C789,5,1)="-",DATE(VALUE(LEFT(Base_Bruta!C789,4)),VALUE(MID(Base_Bruta!C789,6,2)),VALUE(RIGHT(Base_Bruta!C789,2))),DATE(VALUE(RIGHT(Base_Bruta!C789,4)),VALUE(MID(Base_Bruta!C789,4,2)),VALUE(LEFT(Base_Bruta!C789,2))))))</f>
        <v>46144</v>
      </c>
      <c r="D789" s="4" t="str">
        <f aca="false">IF($A789="","",TRIM(Base_Bruta!D789))</f>
        <v>Cinema Paulista - Sessões</v>
      </c>
      <c r="E789" s="4" t="str">
        <f aca="false">IF($A789="","",_xlfn.XLOOKUP(LOWER(TRIM(Base_Bruta!E789)),DePara_Categoria!$A$2:$A$9,DePara_Categoria!$B$2:$B$9,"REVISAR"))</f>
        <v>Cinema</v>
      </c>
      <c r="F789" s="4" t="str">
        <f aca="false">IF($A789="","",_xlfn.XLOOKUP(LOWER(TRIM(Base_Bruta!F789)),DePara_Cidade!$A$2:$A$29,DePara_Cidade!$B$2:$B$29,"REVISAR"))</f>
        <v>São Paulo</v>
      </c>
      <c r="G789" s="4" t="str">
        <f aca="false">IF($A789="","",TRIM(Base_Bruta!G789))</f>
        <v>Meia</v>
      </c>
      <c r="H789" s="4" t="n">
        <f aca="false">IF($A789="","",IF(ISNUMBER(Base_Bruta!H789),Base_Bruta!H789,IFERROR(_xlfn.NUMBERVALUE(TRIM(SUBSTITUTE(Base_Bruta!H789,"R$","")),",","."),0)))</f>
        <v>3</v>
      </c>
      <c r="I789" s="6" t="n">
        <f aca="false">IF($A789="","",IF(ISNUMBER(Base_Bruta!I789),Base_Bruta!I789,IFERROR(_xlfn.NUMBERVALUE(TRIM(SUBSTITUTE(Base_Bruta!I789,"R$","")),",","."),0)))</f>
        <v>22.5</v>
      </c>
      <c r="J789" s="6" t="n">
        <f aca="false">IF($A789="","",H789*I789)</f>
        <v>67.5</v>
      </c>
      <c r="K789" s="4" t="str">
        <f aca="false">IF($A789="","",TRIM(Base_Bruta!J789))</f>
        <v>Site</v>
      </c>
      <c r="L789" s="4" t="str">
        <f aca="false">IF($A789="","",TRIM(Base_Bruta!K789))</f>
        <v>C00685</v>
      </c>
      <c r="M789" s="4" t="str">
        <f aca="false">IF($A789="","",_xlfn.XLOOKUP(LOWER(TRIM(Base_Bruta!L789)),DePara_Cidade!$A$2:$A$29,DePara_Cidade!$B$2:$B$29,"REVISAR"))</f>
        <v>São Paulo</v>
      </c>
      <c r="N789" s="4" t="str">
        <f aca="false">IF($A789="","",UPPER(TRIM(Base_Bruta!M789)))</f>
        <v>SP</v>
      </c>
      <c r="O789" s="4" t="str">
        <f aca="false">IF($A789="","",_xlfn.XLOOKUP(LOWER(TRIM(Base_Bruta!N789)),DePara_Pais!$A$2:$A$9,DePara_Pais!$B$2:$B$9,"REVISAR"))</f>
        <v>Brasil</v>
      </c>
      <c r="P789" s="4" t="str">
        <f aca="false">IF($A789="","",IF(O789&lt;&gt;"Brasil","Turista Internacional",IF(M789=F789,"Local","Turista Nacional")))</f>
        <v>Local</v>
      </c>
      <c r="Q789" s="7" t="n">
        <f aca="false">IF($A789="","",DATE(YEAR(B789),MONTH(B789),1))</f>
        <v>46143</v>
      </c>
      <c r="R789" s="4" t="str">
        <f aca="false">IF($A789="","",IF(COUNTIF($A$2:$A789,$A789)&gt;1,"Sim","Não"))</f>
        <v>Não</v>
      </c>
      <c r="S789" s="4" t="str">
        <f aca="false">IF(A789="","Descartar - Linha vazia",IF(R789="Sim","Descartar - Duplicado",IF(OR(H789&lt;=0,I789&lt;=0),"Descartar - Qtd/Valor inválido","OK")))</f>
        <v>OK</v>
      </c>
      <c r="T789" s="4" t="str">
        <f aca="false">Base_Bruta!P789</f>
        <v>vendas_SP.xlsx</v>
      </c>
    </row>
    <row r="790" customFormat="false" ht="15" hidden="false" customHeight="false" outlineLevel="0" collapsed="false">
      <c r="A790" s="4" t="str">
        <f aca="false">IF(Base_Bruta!A790="","",Base_Bruta!A790)</f>
        <v>SP-000643</v>
      </c>
      <c r="B790" s="5" t="n">
        <f aca="false">IF($A790="","",IF(ISNUMBER(Base_Bruta!B790),Base_Bruta!B790,IF(MID(Base_Bruta!B790,5,1)="-",DATE(VALUE(LEFT(Base_Bruta!B790,4)),VALUE(MID(Base_Bruta!B790,6,2)),VALUE(RIGHT(Base_Bruta!B790,2))),DATE(VALUE(RIGHT(Base_Bruta!B790,4)),VALUE(MID(Base_Bruta!B790,4,2)),VALUE(LEFT(Base_Bruta!B790,2))))))</f>
        <v>46145</v>
      </c>
      <c r="C790" s="5" t="n">
        <f aca="false">IF($A790="","",IF(ISNUMBER(Base_Bruta!C790),Base_Bruta!C790,IF(MID(Base_Bruta!C790,5,1)="-",DATE(VALUE(LEFT(Base_Bruta!C790,4)),VALUE(MID(Base_Bruta!C790,6,2)),VALUE(RIGHT(Base_Bruta!C790,2))),DATE(VALUE(RIGHT(Base_Bruta!C790,4)),VALUE(MID(Base_Bruta!C790,4,2)),VALUE(LEFT(Base_Bruta!C790,2))))))</f>
        <v>46147</v>
      </c>
      <c r="D790" s="4" t="str">
        <f aca="false">IF($A790="","",TRIM(Base_Bruta!D790))</f>
        <v>Cinema Paulista - Sessões</v>
      </c>
      <c r="E790" s="4" t="str">
        <f aca="false">IF($A790="","",_xlfn.XLOOKUP(LOWER(TRIM(Base_Bruta!E790)),DePara_Categoria!$A$2:$A$9,DePara_Categoria!$B$2:$B$9,"REVISAR"))</f>
        <v>Cinema</v>
      </c>
      <c r="F790" s="4" t="str">
        <f aca="false">IF($A790="","",_xlfn.XLOOKUP(LOWER(TRIM(Base_Bruta!F790)),DePara_Cidade!$A$2:$A$29,DePara_Cidade!$B$2:$B$29,"REVISAR"))</f>
        <v>São Paulo</v>
      </c>
      <c r="G790" s="4" t="str">
        <f aca="false">IF($A790="","",TRIM(Base_Bruta!G790))</f>
        <v>Meia</v>
      </c>
      <c r="H790" s="4" t="n">
        <f aca="false">IF($A790="","",IF(ISNUMBER(Base_Bruta!H790),Base_Bruta!H790,IFERROR(_xlfn.NUMBERVALUE(TRIM(SUBSTITUTE(Base_Bruta!H790,"R$","")),",","."),0)))</f>
        <v>3</v>
      </c>
      <c r="I790" s="6" t="n">
        <f aca="false">IF($A790="","",IF(ISNUMBER(Base_Bruta!I790),Base_Bruta!I790,IFERROR(_xlfn.NUMBERVALUE(TRIM(SUBSTITUTE(Base_Bruta!I790,"R$","")),",","."),0)))</f>
        <v>17.5</v>
      </c>
      <c r="J790" s="6" t="n">
        <f aca="false">IF($A790="","",H790*I790)</f>
        <v>52.5</v>
      </c>
      <c r="K790" s="4" t="str">
        <f aca="false">IF($A790="","",TRIM(Base_Bruta!J790))</f>
        <v>App</v>
      </c>
      <c r="L790" s="4" t="str">
        <f aca="false">IF($A790="","",TRIM(Base_Bruta!K790))</f>
        <v>C02338</v>
      </c>
      <c r="M790" s="4" t="str">
        <f aca="false">IF($A790="","",_xlfn.XLOOKUP(LOWER(TRIM(Base_Bruta!L790)),DePara_Cidade!$A$2:$A$29,DePara_Cidade!$B$2:$B$29,"REVISAR"))</f>
        <v>São Paulo</v>
      </c>
      <c r="N790" s="4" t="str">
        <f aca="false">IF($A790="","",UPPER(TRIM(Base_Bruta!M790)))</f>
        <v>SP</v>
      </c>
      <c r="O790" s="4" t="str">
        <f aca="false">IF($A790="","",_xlfn.XLOOKUP(LOWER(TRIM(Base_Bruta!N790)),DePara_Pais!$A$2:$A$9,DePara_Pais!$B$2:$B$9,"REVISAR"))</f>
        <v>Brasil</v>
      </c>
      <c r="P790" s="4" t="str">
        <f aca="false">IF($A790="","",IF(O790&lt;&gt;"Brasil","Turista Internacional",IF(M790=F790,"Local","Turista Nacional")))</f>
        <v>Local</v>
      </c>
      <c r="Q790" s="7" t="n">
        <f aca="false">IF($A790="","",DATE(YEAR(B790),MONTH(B790),1))</f>
        <v>46143</v>
      </c>
      <c r="R790" s="4" t="str">
        <f aca="false">IF($A790="","",IF(COUNTIF($A$2:$A790,$A790)&gt;1,"Sim","Não"))</f>
        <v>Não</v>
      </c>
      <c r="S790" s="4" t="str">
        <f aca="false">IF(A790="","Descartar - Linha vazia",IF(R790="Sim","Descartar - Duplicado",IF(OR(H790&lt;=0,I790&lt;=0),"Descartar - Qtd/Valor inválido","OK")))</f>
        <v>OK</v>
      </c>
      <c r="T790" s="4" t="str">
        <f aca="false">Base_Bruta!P790</f>
        <v>vendas_SP.xlsx</v>
      </c>
    </row>
    <row r="791" customFormat="false" ht="15" hidden="false" customHeight="false" outlineLevel="0" collapsed="false">
      <c r="A791" s="4" t="str">
        <f aca="false">IF(Base_Bruta!A791="","",Base_Bruta!A791)</f>
        <v>SP-000611</v>
      </c>
      <c r="B791" s="5" t="n">
        <f aca="false">IF($A791="","",IF(ISNUMBER(Base_Bruta!B791),Base_Bruta!B791,IF(MID(Base_Bruta!B791,5,1)="-",DATE(VALUE(LEFT(Base_Bruta!B791,4)),VALUE(MID(Base_Bruta!B791,6,2)),VALUE(RIGHT(Base_Bruta!B791,2))),DATE(VALUE(RIGHT(Base_Bruta!B791,4)),VALUE(MID(Base_Bruta!B791,4,2)),VALUE(LEFT(Base_Bruta!B791,2))))))</f>
        <v>46150</v>
      </c>
      <c r="C791" s="5" t="n">
        <f aca="false">IF($A791="","",IF(ISNUMBER(Base_Bruta!C791),Base_Bruta!C791,IF(MID(Base_Bruta!C791,5,1)="-",DATE(VALUE(LEFT(Base_Bruta!C791,4)),VALUE(MID(Base_Bruta!C791,6,2)),VALUE(RIGHT(Base_Bruta!C791,2))),DATE(VALUE(RIGHT(Base_Bruta!C791,4)),VALUE(MID(Base_Bruta!C791,4,2)),VALUE(LEFT(Base_Bruta!C791,2))))))</f>
        <v>46150</v>
      </c>
      <c r="D791" s="4" t="str">
        <f aca="false">IF($A791="","",TRIM(Base_Bruta!D791))</f>
        <v>Cinema Paulista - Sessões</v>
      </c>
      <c r="E791" s="4" t="str">
        <f aca="false">IF($A791="","",_xlfn.XLOOKUP(LOWER(TRIM(Base_Bruta!E791)),DePara_Categoria!$A$2:$A$9,DePara_Categoria!$B$2:$B$9,"REVISAR"))</f>
        <v>Cinema</v>
      </c>
      <c r="F791" s="4" t="str">
        <f aca="false">IF($A791="","",_xlfn.XLOOKUP(LOWER(TRIM(Base_Bruta!F791)),DePara_Cidade!$A$2:$A$29,DePara_Cidade!$B$2:$B$29,"REVISAR"))</f>
        <v>São Paulo</v>
      </c>
      <c r="G791" s="4" t="str">
        <f aca="false">IF($A791="","",TRIM(Base_Bruta!G791))</f>
        <v>Inteira</v>
      </c>
      <c r="H791" s="4" t="n">
        <f aca="false">IF($A791="","",IF(ISNUMBER(Base_Bruta!H791),Base_Bruta!H791,IFERROR(_xlfn.NUMBERVALUE(TRIM(SUBSTITUTE(Base_Bruta!H791,"R$","")),",","."),0)))</f>
        <v>4</v>
      </c>
      <c r="I791" s="6" t="n">
        <f aca="false">IF($A791="","",IF(ISNUMBER(Base_Bruta!I791),Base_Bruta!I791,IFERROR(_xlfn.NUMBERVALUE(TRIM(SUBSTITUTE(Base_Bruta!I791,"R$","")),",","."),0)))</f>
        <v>35</v>
      </c>
      <c r="J791" s="6" t="n">
        <f aca="false">IF($A791="","",H791*I791)</f>
        <v>140</v>
      </c>
      <c r="K791" s="4" t="str">
        <f aca="false">IF($A791="","",TRIM(Base_Bruta!J791))</f>
        <v>Site</v>
      </c>
      <c r="L791" s="4" t="str">
        <f aca="false">IF($A791="","",TRIM(Base_Bruta!K791))</f>
        <v>C00858</v>
      </c>
      <c r="M791" s="4" t="str">
        <f aca="false">IF($A791="","",_xlfn.XLOOKUP(LOWER(TRIM(Base_Bruta!L791)),DePara_Cidade!$A$2:$A$29,DePara_Cidade!$B$2:$B$29,"REVISAR"))</f>
        <v>São Paulo</v>
      </c>
      <c r="N791" s="4" t="str">
        <f aca="false">IF($A791="","",UPPER(TRIM(Base_Bruta!M791)))</f>
        <v>SP</v>
      </c>
      <c r="O791" s="4" t="str">
        <f aca="false">IF($A791="","",_xlfn.XLOOKUP(LOWER(TRIM(Base_Bruta!N791)),DePara_Pais!$A$2:$A$9,DePara_Pais!$B$2:$B$9,"REVISAR"))</f>
        <v>Brasil</v>
      </c>
      <c r="P791" s="4" t="str">
        <f aca="false">IF($A791="","",IF(O791&lt;&gt;"Brasil","Turista Internacional",IF(M791=F791,"Local","Turista Nacional")))</f>
        <v>Local</v>
      </c>
      <c r="Q791" s="7" t="n">
        <f aca="false">IF($A791="","",DATE(YEAR(B791),MONTH(B791),1))</f>
        <v>46143</v>
      </c>
      <c r="R791" s="4" t="str">
        <f aca="false">IF($A791="","",IF(COUNTIF($A$2:$A791,$A791)&gt;1,"Sim","Não"))</f>
        <v>Não</v>
      </c>
      <c r="S791" s="4" t="str">
        <f aca="false">IF(A791="","Descartar - Linha vazia",IF(R791="Sim","Descartar - Duplicado",IF(OR(H791&lt;=0,I791&lt;=0),"Descartar - Qtd/Valor inválido","OK")))</f>
        <v>OK</v>
      </c>
      <c r="T791" s="4" t="str">
        <f aca="false">Base_Bruta!P791</f>
        <v>vendas_SP.xlsx</v>
      </c>
    </row>
    <row r="792" customFormat="false" ht="15" hidden="false" customHeight="false" outlineLevel="0" collapsed="false">
      <c r="A792" s="4" t="str">
        <f aca="false">IF(Base_Bruta!A792="","",Base_Bruta!A792)</f>
        <v>SP-000779</v>
      </c>
      <c r="B792" s="5" t="n">
        <f aca="false">IF($A792="","",IF(ISNUMBER(Base_Bruta!B792),Base_Bruta!B792,IF(MID(Base_Bruta!B792,5,1)="-",DATE(VALUE(LEFT(Base_Bruta!B792,4)),VALUE(MID(Base_Bruta!B792,6,2)),VALUE(RIGHT(Base_Bruta!B792,2))),DATE(VALUE(RIGHT(Base_Bruta!B792,4)),VALUE(MID(Base_Bruta!B792,4,2)),VALUE(LEFT(Base_Bruta!B792,2))))))</f>
        <v>46152</v>
      </c>
      <c r="C792" s="5" t="n">
        <f aca="false">IF($A792="","",IF(ISNUMBER(Base_Bruta!C792),Base_Bruta!C792,IF(MID(Base_Bruta!C792,5,1)="-",DATE(VALUE(LEFT(Base_Bruta!C792,4)),VALUE(MID(Base_Bruta!C792,6,2)),VALUE(RIGHT(Base_Bruta!C792,2))),DATE(VALUE(RIGHT(Base_Bruta!C792,4)),VALUE(MID(Base_Bruta!C792,4,2)),VALUE(LEFT(Base_Bruta!C792,2))))))</f>
        <v>46152</v>
      </c>
      <c r="D792" s="4" t="str">
        <f aca="false">IF($A792="","",TRIM(Base_Bruta!D792))</f>
        <v>Cinema Paulista - Sessões</v>
      </c>
      <c r="E792" s="4" t="str">
        <f aca="false">IF($A792="","",_xlfn.XLOOKUP(LOWER(TRIM(Base_Bruta!E792)),DePara_Categoria!$A$2:$A$9,DePara_Categoria!$B$2:$B$9,"REVISAR"))</f>
        <v>Cinema</v>
      </c>
      <c r="F792" s="4" t="str">
        <f aca="false">IF($A792="","",_xlfn.XLOOKUP(LOWER(TRIM(Base_Bruta!F792)),DePara_Cidade!$A$2:$A$29,DePara_Cidade!$B$2:$B$29,"REVISAR"))</f>
        <v>São Paulo</v>
      </c>
      <c r="G792" s="4" t="str">
        <f aca="false">IF($A792="","",TRIM(Base_Bruta!G792))</f>
        <v>Meia</v>
      </c>
      <c r="H792" s="4" t="n">
        <f aca="false">IF($A792="","",IF(ISNUMBER(Base_Bruta!H792),Base_Bruta!H792,IFERROR(_xlfn.NUMBERVALUE(TRIM(SUBSTITUTE(Base_Bruta!H792,"R$","")),",","."),0)))</f>
        <v>2</v>
      </c>
      <c r="I792" s="6" t="n">
        <f aca="false">IF($A792="","",IF(ISNUMBER(Base_Bruta!I792),Base_Bruta!I792,IFERROR(_xlfn.NUMBERVALUE(TRIM(SUBSTITUTE(Base_Bruta!I792,"R$","")),",","."),0)))</f>
        <v>25</v>
      </c>
      <c r="J792" s="6" t="n">
        <f aca="false">IF($A792="","",H792*I792)</f>
        <v>50</v>
      </c>
      <c r="K792" s="4" t="str">
        <f aca="false">IF($A792="","",TRIM(Base_Bruta!J792))</f>
        <v>Site</v>
      </c>
      <c r="L792" s="4" t="str">
        <f aca="false">IF($A792="","",TRIM(Base_Bruta!K792))</f>
        <v>C00147</v>
      </c>
      <c r="M792" s="4" t="str">
        <f aca="false">IF($A792="","",_xlfn.XLOOKUP(LOWER(TRIM(Base_Bruta!L792)),DePara_Cidade!$A$2:$A$29,DePara_Cidade!$B$2:$B$29,"REVISAR"))</f>
        <v>São Paulo</v>
      </c>
      <c r="N792" s="4" t="str">
        <f aca="false">IF($A792="","",UPPER(TRIM(Base_Bruta!M792)))</f>
        <v>SP</v>
      </c>
      <c r="O792" s="4" t="str">
        <f aca="false">IF($A792="","",_xlfn.XLOOKUP(LOWER(TRIM(Base_Bruta!N792)),DePara_Pais!$A$2:$A$9,DePara_Pais!$B$2:$B$9,"REVISAR"))</f>
        <v>Brasil</v>
      </c>
      <c r="P792" s="4" t="str">
        <f aca="false">IF($A792="","",IF(O792&lt;&gt;"Brasil","Turista Internacional",IF(M792=F792,"Local","Turista Nacional")))</f>
        <v>Local</v>
      </c>
      <c r="Q792" s="7" t="n">
        <f aca="false">IF($A792="","",DATE(YEAR(B792),MONTH(B792),1))</f>
        <v>46143</v>
      </c>
      <c r="R792" s="4" t="str">
        <f aca="false">IF($A792="","",IF(COUNTIF($A$2:$A792,$A792)&gt;1,"Sim","Não"))</f>
        <v>Não</v>
      </c>
      <c r="S792" s="4" t="str">
        <f aca="false">IF(A792="","Descartar - Linha vazia",IF(R792="Sim","Descartar - Duplicado",IF(OR(H792&lt;=0,I792&lt;=0),"Descartar - Qtd/Valor inválido","OK")))</f>
        <v>OK</v>
      </c>
      <c r="T792" s="4" t="str">
        <f aca="false">Base_Bruta!P792</f>
        <v>vendas_SP.xlsx</v>
      </c>
    </row>
    <row r="793" customFormat="false" ht="15" hidden="false" customHeight="false" outlineLevel="0" collapsed="false">
      <c r="A793" s="4" t="str">
        <f aca="false">IF(Base_Bruta!A793="","",Base_Bruta!A793)</f>
        <v>SP-000730</v>
      </c>
      <c r="B793" s="5" t="n">
        <f aca="false">IF($A793="","",IF(ISNUMBER(Base_Bruta!B793),Base_Bruta!B793,IF(MID(Base_Bruta!B793,5,1)="-",DATE(VALUE(LEFT(Base_Bruta!B793,4)),VALUE(MID(Base_Bruta!B793,6,2)),VALUE(RIGHT(Base_Bruta!B793,2))),DATE(VALUE(RIGHT(Base_Bruta!B793,4)),VALUE(MID(Base_Bruta!B793,4,2)),VALUE(LEFT(Base_Bruta!B793,2))))))</f>
        <v>46164</v>
      </c>
      <c r="C793" s="5" t="n">
        <f aca="false">IF($A793="","",IF(ISNUMBER(Base_Bruta!C793),Base_Bruta!C793,IF(MID(Base_Bruta!C793,5,1)="-",DATE(VALUE(LEFT(Base_Bruta!C793,4)),VALUE(MID(Base_Bruta!C793,6,2)),VALUE(RIGHT(Base_Bruta!C793,2))),DATE(VALUE(RIGHT(Base_Bruta!C793,4)),VALUE(MID(Base_Bruta!C793,4,2)),VALUE(LEFT(Base_Bruta!C793,2))))))</f>
        <v>46165</v>
      </c>
      <c r="D793" s="4" t="str">
        <f aca="false">IF($A793="","",TRIM(Base_Bruta!D793))</f>
        <v>Cinema Paulista - Sessões</v>
      </c>
      <c r="E793" s="4" t="str">
        <f aca="false">IF($A793="","",_xlfn.XLOOKUP(LOWER(TRIM(Base_Bruta!E793)),DePara_Categoria!$A$2:$A$9,DePara_Categoria!$B$2:$B$9,"REVISAR"))</f>
        <v>Cinema</v>
      </c>
      <c r="F793" s="4" t="str">
        <f aca="false">IF($A793="","",_xlfn.XLOOKUP(LOWER(TRIM(Base_Bruta!F793)),DePara_Cidade!$A$2:$A$29,DePara_Cidade!$B$2:$B$29,"REVISAR"))</f>
        <v>São Paulo</v>
      </c>
      <c r="G793" s="4" t="str">
        <f aca="false">IF($A793="","",TRIM(Base_Bruta!G793))</f>
        <v>Inteira</v>
      </c>
      <c r="H793" s="4" t="n">
        <f aca="false">IF($A793="","",IF(ISNUMBER(Base_Bruta!H793),Base_Bruta!H793,IFERROR(_xlfn.NUMBERVALUE(TRIM(SUBSTITUTE(Base_Bruta!H793,"R$","")),",","."),0)))</f>
        <v>1</v>
      </c>
      <c r="I793" s="6" t="n">
        <f aca="false">IF($A793="","",IF(ISNUMBER(Base_Bruta!I793),Base_Bruta!I793,IFERROR(_xlfn.NUMBERVALUE(TRIM(SUBSTITUTE(Base_Bruta!I793,"R$","")),",","."),0)))</f>
        <v>40</v>
      </c>
      <c r="J793" s="6" t="n">
        <f aca="false">IF($A793="","",H793*I793)</f>
        <v>40</v>
      </c>
      <c r="K793" s="4" t="str">
        <f aca="false">IF($A793="","",TRIM(Base_Bruta!J793))</f>
        <v>App</v>
      </c>
      <c r="L793" s="4" t="str">
        <f aca="false">IF($A793="","",TRIM(Base_Bruta!K793))</f>
        <v>C02058</v>
      </c>
      <c r="M793" s="4" t="str">
        <f aca="false">IF($A793="","",_xlfn.XLOOKUP(LOWER(TRIM(Base_Bruta!L793)),DePara_Cidade!$A$2:$A$29,DePara_Cidade!$B$2:$B$29,"REVISAR"))</f>
        <v>São Paulo</v>
      </c>
      <c r="N793" s="4" t="str">
        <f aca="false">IF($A793="","",UPPER(TRIM(Base_Bruta!M793)))</f>
        <v>SP</v>
      </c>
      <c r="O793" s="4" t="str">
        <f aca="false">IF($A793="","",_xlfn.XLOOKUP(LOWER(TRIM(Base_Bruta!N793)),DePara_Pais!$A$2:$A$9,DePara_Pais!$B$2:$B$9,"REVISAR"))</f>
        <v>Brasil</v>
      </c>
      <c r="P793" s="4" t="str">
        <f aca="false">IF($A793="","",IF(O793&lt;&gt;"Brasil","Turista Internacional",IF(M793=F793,"Local","Turista Nacional")))</f>
        <v>Local</v>
      </c>
      <c r="Q793" s="7" t="n">
        <f aca="false">IF($A793="","",DATE(YEAR(B793),MONTH(B793),1))</f>
        <v>46143</v>
      </c>
      <c r="R793" s="4" t="str">
        <f aca="false">IF($A793="","",IF(COUNTIF($A$2:$A793,$A793)&gt;1,"Sim","Não"))</f>
        <v>Não</v>
      </c>
      <c r="S793" s="4" t="str">
        <f aca="false">IF(A793="","Descartar - Linha vazia",IF(R793="Sim","Descartar - Duplicado",IF(OR(H793&lt;=0,I793&lt;=0),"Descartar - Qtd/Valor inválido","OK")))</f>
        <v>OK</v>
      </c>
      <c r="T793" s="4" t="str">
        <f aca="false">Base_Bruta!P793</f>
        <v>vendas_SP.xlsx</v>
      </c>
    </row>
    <row r="794" customFormat="false" ht="15" hidden="false" customHeight="false" outlineLevel="0" collapsed="false">
      <c r="A794" s="4" t="str">
        <f aca="false">IF(Base_Bruta!A794="","",Base_Bruta!A794)</f>
        <v>SP-000706</v>
      </c>
      <c r="B794" s="5" t="n">
        <f aca="false">IF($A794="","",IF(ISNUMBER(Base_Bruta!B794),Base_Bruta!B794,IF(MID(Base_Bruta!B794,5,1)="-",DATE(VALUE(LEFT(Base_Bruta!B794,4)),VALUE(MID(Base_Bruta!B794,6,2)),VALUE(RIGHT(Base_Bruta!B794,2))),DATE(VALUE(RIGHT(Base_Bruta!B794,4)),VALUE(MID(Base_Bruta!B794,4,2)),VALUE(LEFT(Base_Bruta!B794,2))))))</f>
        <v>46170</v>
      </c>
      <c r="C794" s="5" t="n">
        <f aca="false">IF($A794="","",IF(ISNUMBER(Base_Bruta!C794),Base_Bruta!C794,IF(MID(Base_Bruta!C794,5,1)="-",DATE(VALUE(LEFT(Base_Bruta!C794,4)),VALUE(MID(Base_Bruta!C794,6,2)),VALUE(RIGHT(Base_Bruta!C794,2))),DATE(VALUE(RIGHT(Base_Bruta!C794,4)),VALUE(MID(Base_Bruta!C794,4,2)),VALUE(LEFT(Base_Bruta!C794,2))))))</f>
        <v>46171</v>
      </c>
      <c r="D794" s="4" t="str">
        <f aca="false">IF($A794="","",TRIM(Base_Bruta!D794))</f>
        <v>Cinema Paulista - Sessões</v>
      </c>
      <c r="E794" s="4" t="str">
        <f aca="false">IF($A794="","",_xlfn.XLOOKUP(LOWER(TRIM(Base_Bruta!E794)),DePara_Categoria!$A$2:$A$9,DePara_Categoria!$B$2:$B$9,"REVISAR"))</f>
        <v>Cinema</v>
      </c>
      <c r="F794" s="4" t="str">
        <f aca="false">IF($A794="","",_xlfn.XLOOKUP(LOWER(TRIM(Base_Bruta!F794)),DePara_Cidade!$A$2:$A$29,DePara_Cidade!$B$2:$B$29,"REVISAR"))</f>
        <v>São Paulo</v>
      </c>
      <c r="G794" s="4" t="str">
        <f aca="false">IF($A794="","",TRIM(Base_Bruta!G794))</f>
        <v>Meia</v>
      </c>
      <c r="H794" s="4" t="n">
        <f aca="false">IF($A794="","",IF(ISNUMBER(Base_Bruta!H794),Base_Bruta!H794,IFERROR(_xlfn.NUMBERVALUE(TRIM(SUBSTITUTE(Base_Bruta!H794,"R$","")),",","."),0)))</f>
        <v>1</v>
      </c>
      <c r="I794" s="6" t="n">
        <f aca="false">IF($A794="","",IF(ISNUMBER(Base_Bruta!I794),Base_Bruta!I794,IFERROR(_xlfn.NUMBERVALUE(TRIM(SUBSTITUTE(Base_Bruta!I794,"R$","")),",","."),0)))</f>
        <v>17.5</v>
      </c>
      <c r="J794" s="6" t="n">
        <f aca="false">IF($A794="","",H794*I794)</f>
        <v>17.5</v>
      </c>
      <c r="K794" s="4" t="str">
        <f aca="false">IF($A794="","",TRIM(Base_Bruta!J794))</f>
        <v>App</v>
      </c>
      <c r="L794" s="4" t="str">
        <f aca="false">IF($A794="","",TRIM(Base_Bruta!K794))</f>
        <v>C02204</v>
      </c>
      <c r="M794" s="4" t="str">
        <f aca="false">IF($A794="","",_xlfn.XLOOKUP(LOWER(TRIM(Base_Bruta!L794)),DePara_Cidade!$A$2:$A$29,DePara_Cidade!$B$2:$B$29,"REVISAR"))</f>
        <v>São Paulo</v>
      </c>
      <c r="N794" s="4" t="str">
        <f aca="false">IF($A794="","",UPPER(TRIM(Base_Bruta!M794)))</f>
        <v>SP</v>
      </c>
      <c r="O794" s="4" t="str">
        <f aca="false">IF($A794="","",_xlfn.XLOOKUP(LOWER(TRIM(Base_Bruta!N794)),DePara_Pais!$A$2:$A$9,DePara_Pais!$B$2:$B$9,"REVISAR"))</f>
        <v>Brasil</v>
      </c>
      <c r="P794" s="4" t="str">
        <f aca="false">IF($A794="","",IF(O794&lt;&gt;"Brasil","Turista Internacional",IF(M794=F794,"Local","Turista Nacional")))</f>
        <v>Local</v>
      </c>
      <c r="Q794" s="7" t="n">
        <f aca="false">IF($A794="","",DATE(YEAR(B794),MONTH(B794),1))</f>
        <v>46143</v>
      </c>
      <c r="R794" s="4" t="str">
        <f aca="false">IF($A794="","",IF(COUNTIF($A$2:$A794,$A794)&gt;1,"Sim","Não"))</f>
        <v>Não</v>
      </c>
      <c r="S794" s="4" t="str">
        <f aca="false">IF(A794="","Descartar - Linha vazia",IF(R794="Sim","Descartar - Duplicado",IF(OR(H794&lt;=0,I794&lt;=0),"Descartar - Qtd/Valor inválido","OK")))</f>
        <v>OK</v>
      </c>
      <c r="T794" s="4" t="str">
        <f aca="false">Base_Bruta!P794</f>
        <v>vendas_SP.xlsx</v>
      </c>
    </row>
    <row r="795" customFormat="false" ht="15" hidden="false" customHeight="false" outlineLevel="0" collapsed="false">
      <c r="A795" s="4" t="str">
        <f aca="false">IF(Base_Bruta!A795="","",Base_Bruta!A795)</f>
        <v>SP-000669</v>
      </c>
      <c r="B795" s="5" t="n">
        <f aca="false">IF($A795="","",IF(ISNUMBER(Base_Bruta!B795),Base_Bruta!B795,IF(MID(Base_Bruta!B795,5,1)="-",DATE(VALUE(LEFT(Base_Bruta!B795,4)),VALUE(MID(Base_Bruta!B795,6,2)),VALUE(RIGHT(Base_Bruta!B795,2))),DATE(VALUE(RIGHT(Base_Bruta!B795,4)),VALUE(MID(Base_Bruta!B795,4,2)),VALUE(LEFT(Base_Bruta!B795,2))))))</f>
        <v>46174</v>
      </c>
      <c r="C795" s="5" t="n">
        <f aca="false">IF($A795="","",IF(ISNUMBER(Base_Bruta!C795),Base_Bruta!C795,IF(MID(Base_Bruta!C795,5,1)="-",DATE(VALUE(LEFT(Base_Bruta!C795,4)),VALUE(MID(Base_Bruta!C795,6,2)),VALUE(RIGHT(Base_Bruta!C795,2))),DATE(VALUE(RIGHT(Base_Bruta!C795,4)),VALUE(MID(Base_Bruta!C795,4,2)),VALUE(LEFT(Base_Bruta!C795,2))))))</f>
        <v>46175</v>
      </c>
      <c r="D795" s="4" t="str">
        <f aca="false">IF($A795="","",TRIM(Base_Bruta!D795))</f>
        <v>Cinema Paulista - Sessões</v>
      </c>
      <c r="E795" s="4" t="str">
        <f aca="false">IF($A795="","",_xlfn.XLOOKUP(LOWER(TRIM(Base_Bruta!E795)),DePara_Categoria!$A$2:$A$9,DePara_Categoria!$B$2:$B$9,"REVISAR"))</f>
        <v>Cinema</v>
      </c>
      <c r="F795" s="4" t="str">
        <f aca="false">IF($A795="","",_xlfn.XLOOKUP(LOWER(TRIM(Base_Bruta!F795)),DePara_Cidade!$A$2:$A$29,DePara_Cidade!$B$2:$B$29,"REVISAR"))</f>
        <v>São Paulo</v>
      </c>
      <c r="G795" s="4" t="str">
        <f aca="false">IF($A795="","",TRIM(Base_Bruta!G795))</f>
        <v>Inteira</v>
      </c>
      <c r="H795" s="4" t="n">
        <f aca="false">IF($A795="","",IF(ISNUMBER(Base_Bruta!H795),Base_Bruta!H795,IFERROR(_xlfn.NUMBERVALUE(TRIM(SUBSTITUTE(Base_Bruta!H795,"R$","")),",","."),0)))</f>
        <v>2</v>
      </c>
      <c r="I795" s="6" t="n">
        <f aca="false">IF($A795="","",IF(ISNUMBER(Base_Bruta!I795),Base_Bruta!I795,IFERROR(_xlfn.NUMBERVALUE(TRIM(SUBSTITUTE(Base_Bruta!I795,"R$","")),",","."),0)))</f>
        <v>45</v>
      </c>
      <c r="J795" s="6" t="n">
        <f aca="false">IF($A795="","",H795*I795)</f>
        <v>90</v>
      </c>
      <c r="K795" s="4" t="str">
        <f aca="false">IF($A795="","",TRIM(Base_Bruta!J795))</f>
        <v>Site</v>
      </c>
      <c r="L795" s="4" t="str">
        <f aca="false">IF($A795="","",TRIM(Base_Bruta!K795))</f>
        <v>C00890</v>
      </c>
      <c r="M795" s="4" t="str">
        <f aca="false">IF($A795="","",_xlfn.XLOOKUP(LOWER(TRIM(Base_Bruta!L795)),DePara_Cidade!$A$2:$A$29,DePara_Cidade!$B$2:$B$29,"REVISAR"))</f>
        <v>São Paulo</v>
      </c>
      <c r="N795" s="4" t="str">
        <f aca="false">IF($A795="","",UPPER(TRIM(Base_Bruta!M795)))</f>
        <v>SP</v>
      </c>
      <c r="O795" s="4" t="str">
        <f aca="false">IF($A795="","",_xlfn.XLOOKUP(LOWER(TRIM(Base_Bruta!N795)),DePara_Pais!$A$2:$A$9,DePara_Pais!$B$2:$B$9,"REVISAR"))</f>
        <v>Brasil</v>
      </c>
      <c r="P795" s="4" t="str">
        <f aca="false">IF($A795="","",IF(O795&lt;&gt;"Brasil","Turista Internacional",IF(M795=F795,"Local","Turista Nacional")))</f>
        <v>Local</v>
      </c>
      <c r="Q795" s="7" t="n">
        <f aca="false">IF($A795="","",DATE(YEAR(B795),MONTH(B795),1))</f>
        <v>46174</v>
      </c>
      <c r="R795" s="4" t="str">
        <f aca="false">IF($A795="","",IF(COUNTIF($A$2:$A795,$A795)&gt;1,"Sim","Não"))</f>
        <v>Não</v>
      </c>
      <c r="S795" s="4" t="str">
        <f aca="false">IF(A795="","Descartar - Linha vazia",IF(R795="Sim","Descartar - Duplicado",IF(OR(H795&lt;=0,I795&lt;=0),"Descartar - Qtd/Valor inválido","OK")))</f>
        <v>OK</v>
      </c>
      <c r="T795" s="4" t="str">
        <f aca="false">Base_Bruta!P795</f>
        <v>vendas_SP.xlsx</v>
      </c>
    </row>
    <row r="796" customFormat="false" ht="15" hidden="false" customHeight="false" outlineLevel="0" collapsed="false">
      <c r="A796" s="4" t="str">
        <f aca="false">IF(Base_Bruta!A796="","",Base_Bruta!A796)</f>
        <v>SP-000737</v>
      </c>
      <c r="B796" s="5" t="n">
        <f aca="false">IF($A796="","",IF(ISNUMBER(Base_Bruta!B796),Base_Bruta!B796,IF(MID(Base_Bruta!B796,5,1)="-",DATE(VALUE(LEFT(Base_Bruta!B796,4)),VALUE(MID(Base_Bruta!B796,6,2)),VALUE(RIGHT(Base_Bruta!B796,2))),DATE(VALUE(RIGHT(Base_Bruta!B796,4)),VALUE(MID(Base_Bruta!B796,4,2)),VALUE(LEFT(Base_Bruta!B796,2))))))</f>
        <v>46176</v>
      </c>
      <c r="C796" s="5" t="n">
        <f aca="false">IF($A796="","",IF(ISNUMBER(Base_Bruta!C796),Base_Bruta!C796,IF(MID(Base_Bruta!C796,5,1)="-",DATE(VALUE(LEFT(Base_Bruta!C796,4)),VALUE(MID(Base_Bruta!C796,6,2)),VALUE(RIGHT(Base_Bruta!C796,2))),DATE(VALUE(RIGHT(Base_Bruta!C796,4)),VALUE(MID(Base_Bruta!C796,4,2)),VALUE(LEFT(Base_Bruta!C796,2))))))</f>
        <v>46178</v>
      </c>
      <c r="D796" s="4" t="str">
        <f aca="false">IF($A796="","",TRIM(Base_Bruta!D796))</f>
        <v>Cinema Paulista - Sessões</v>
      </c>
      <c r="E796" s="4" t="str">
        <f aca="false">IF($A796="","",_xlfn.XLOOKUP(LOWER(TRIM(Base_Bruta!E796)),DePara_Categoria!$A$2:$A$9,DePara_Categoria!$B$2:$B$9,"REVISAR"))</f>
        <v>Cinema</v>
      </c>
      <c r="F796" s="4" t="str">
        <f aca="false">IF($A796="","",_xlfn.XLOOKUP(LOWER(TRIM(Base_Bruta!F796)),DePara_Cidade!$A$2:$A$29,DePara_Cidade!$B$2:$B$29,"REVISAR"))</f>
        <v>São Paulo</v>
      </c>
      <c r="G796" s="4" t="str">
        <f aca="false">IF($A796="","",TRIM(Base_Bruta!G796))</f>
        <v>Inteira</v>
      </c>
      <c r="H796" s="4" t="n">
        <f aca="false">IF($A796="","",IF(ISNUMBER(Base_Bruta!H796),Base_Bruta!H796,IFERROR(_xlfn.NUMBERVALUE(TRIM(SUBSTITUTE(Base_Bruta!H796,"R$","")),",","."),0)))</f>
        <v>1</v>
      </c>
      <c r="I796" s="6" t="n">
        <f aca="false">IF($A796="","",IF(ISNUMBER(Base_Bruta!I796),Base_Bruta!I796,IFERROR(_xlfn.NUMBERVALUE(TRIM(SUBSTITUTE(Base_Bruta!I796,"R$","")),",","."),0)))</f>
        <v>45</v>
      </c>
      <c r="J796" s="6" t="n">
        <f aca="false">IF($A796="","",H796*I796)</f>
        <v>45</v>
      </c>
      <c r="K796" s="4" t="str">
        <f aca="false">IF($A796="","",TRIM(Base_Bruta!J796))</f>
        <v>Site</v>
      </c>
      <c r="L796" s="4" t="str">
        <f aca="false">IF($A796="","",TRIM(Base_Bruta!K796))</f>
        <v>C00083</v>
      </c>
      <c r="M796" s="4" t="str">
        <f aca="false">IF($A796="","",_xlfn.XLOOKUP(LOWER(TRIM(Base_Bruta!L796)),DePara_Cidade!$A$2:$A$29,DePara_Cidade!$B$2:$B$29,"REVISAR"))</f>
        <v>São Paulo</v>
      </c>
      <c r="N796" s="4" t="str">
        <f aca="false">IF($A796="","",UPPER(TRIM(Base_Bruta!M796)))</f>
        <v>SP</v>
      </c>
      <c r="O796" s="4" t="str">
        <f aca="false">IF($A796="","",_xlfn.XLOOKUP(LOWER(TRIM(Base_Bruta!N796)),DePara_Pais!$A$2:$A$9,DePara_Pais!$B$2:$B$9,"REVISAR"))</f>
        <v>Brasil</v>
      </c>
      <c r="P796" s="4" t="str">
        <f aca="false">IF($A796="","",IF(O796&lt;&gt;"Brasil","Turista Internacional",IF(M796=F796,"Local","Turista Nacional")))</f>
        <v>Local</v>
      </c>
      <c r="Q796" s="7" t="n">
        <f aca="false">IF($A796="","",DATE(YEAR(B796),MONTH(B796),1))</f>
        <v>46174</v>
      </c>
      <c r="R796" s="4" t="str">
        <f aca="false">IF($A796="","",IF(COUNTIF($A$2:$A796,$A796)&gt;1,"Sim","Não"))</f>
        <v>Não</v>
      </c>
      <c r="S796" s="4" t="str">
        <f aca="false">IF(A796="","Descartar - Linha vazia",IF(R796="Sim","Descartar - Duplicado",IF(OR(H796&lt;=0,I796&lt;=0),"Descartar - Qtd/Valor inválido","OK")))</f>
        <v>OK</v>
      </c>
      <c r="T796" s="4" t="str">
        <f aca="false">Base_Bruta!P796</f>
        <v>vendas_SP.xlsx</v>
      </c>
    </row>
    <row r="797" customFormat="false" ht="15" hidden="false" customHeight="false" outlineLevel="0" collapsed="false">
      <c r="A797" s="4" t="str">
        <f aca="false">IF(Base_Bruta!A797="","",Base_Bruta!A797)</f>
        <v>SP-000646</v>
      </c>
      <c r="B797" s="5" t="n">
        <f aca="false">IF($A797="","",IF(ISNUMBER(Base_Bruta!B797),Base_Bruta!B797,IF(MID(Base_Bruta!B797,5,1)="-",DATE(VALUE(LEFT(Base_Bruta!B797,4)),VALUE(MID(Base_Bruta!B797,6,2)),VALUE(RIGHT(Base_Bruta!B797,2))),DATE(VALUE(RIGHT(Base_Bruta!B797,4)),VALUE(MID(Base_Bruta!B797,4,2)),VALUE(LEFT(Base_Bruta!B797,2))))))</f>
        <v>46180</v>
      </c>
      <c r="C797" s="5" t="n">
        <f aca="false">IF($A797="","",IF(ISNUMBER(Base_Bruta!C797),Base_Bruta!C797,IF(MID(Base_Bruta!C797,5,1)="-",DATE(VALUE(LEFT(Base_Bruta!C797,4)),VALUE(MID(Base_Bruta!C797,6,2)),VALUE(RIGHT(Base_Bruta!C797,2))),DATE(VALUE(RIGHT(Base_Bruta!C797,4)),VALUE(MID(Base_Bruta!C797,4,2)),VALUE(LEFT(Base_Bruta!C797,2))))))</f>
        <v>46183</v>
      </c>
      <c r="D797" s="4" t="str">
        <f aca="false">IF($A797="","",TRIM(Base_Bruta!D797))</f>
        <v>Cinema Paulista - Sessões</v>
      </c>
      <c r="E797" s="4" t="str">
        <f aca="false">IF($A797="","",_xlfn.XLOOKUP(LOWER(TRIM(Base_Bruta!E797)),DePara_Categoria!$A$2:$A$9,DePara_Categoria!$B$2:$B$9,"REVISAR"))</f>
        <v>Cinema</v>
      </c>
      <c r="F797" s="4" t="str">
        <f aca="false">IF($A797="","",_xlfn.XLOOKUP(LOWER(TRIM(Base_Bruta!F797)),DePara_Cidade!$A$2:$A$29,DePara_Cidade!$B$2:$B$29,"REVISAR"))</f>
        <v>São Paulo</v>
      </c>
      <c r="G797" s="4" t="str">
        <f aca="false">IF($A797="","",TRIM(Base_Bruta!G797))</f>
        <v>Inteira</v>
      </c>
      <c r="H797" s="4" t="n">
        <f aca="false">IF($A797="","",IF(ISNUMBER(Base_Bruta!H797),Base_Bruta!H797,IFERROR(_xlfn.NUMBERVALUE(TRIM(SUBSTITUTE(Base_Bruta!H797,"R$","")),",","."),0)))</f>
        <v>3</v>
      </c>
      <c r="I797" s="6" t="n">
        <f aca="false">IF($A797="","",IF(ISNUMBER(Base_Bruta!I797),Base_Bruta!I797,IFERROR(_xlfn.NUMBERVALUE(TRIM(SUBSTITUTE(Base_Bruta!I797,"R$","")),",","."),0)))</f>
        <v>45</v>
      </c>
      <c r="J797" s="6" t="n">
        <f aca="false">IF($A797="","",H797*I797)</f>
        <v>135</v>
      </c>
      <c r="K797" s="4" t="str">
        <f aca="false">IF($A797="","",TRIM(Base_Bruta!J797))</f>
        <v>Site</v>
      </c>
      <c r="L797" s="4" t="str">
        <f aca="false">IF($A797="","",TRIM(Base_Bruta!K797))</f>
        <v>C01935</v>
      </c>
      <c r="M797" s="4" t="str">
        <f aca="false">IF($A797="","",_xlfn.XLOOKUP(LOWER(TRIM(Base_Bruta!L797)),DePara_Cidade!$A$2:$A$29,DePara_Cidade!$B$2:$B$29,"REVISAR"))</f>
        <v>São Paulo</v>
      </c>
      <c r="N797" s="4" t="str">
        <f aca="false">IF($A797="","",UPPER(TRIM(Base_Bruta!M797)))</f>
        <v>SP</v>
      </c>
      <c r="O797" s="4" t="str">
        <f aca="false">IF($A797="","",_xlfn.XLOOKUP(LOWER(TRIM(Base_Bruta!N797)),DePara_Pais!$A$2:$A$9,DePara_Pais!$B$2:$B$9,"REVISAR"))</f>
        <v>Brasil</v>
      </c>
      <c r="P797" s="4" t="str">
        <f aca="false">IF($A797="","",IF(O797&lt;&gt;"Brasil","Turista Internacional",IF(M797=F797,"Local","Turista Nacional")))</f>
        <v>Local</v>
      </c>
      <c r="Q797" s="7" t="n">
        <f aca="false">IF($A797="","",DATE(YEAR(B797),MONTH(B797),1))</f>
        <v>46174</v>
      </c>
      <c r="R797" s="4" t="str">
        <f aca="false">IF($A797="","",IF(COUNTIF($A$2:$A797,$A797)&gt;1,"Sim","Não"))</f>
        <v>Não</v>
      </c>
      <c r="S797" s="4" t="str">
        <f aca="false">IF(A797="","Descartar - Linha vazia",IF(R797="Sim","Descartar - Duplicado",IF(OR(H797&lt;=0,I797&lt;=0),"Descartar - Qtd/Valor inválido","OK")))</f>
        <v>OK</v>
      </c>
      <c r="T797" s="4" t="str">
        <f aca="false">Base_Bruta!P797</f>
        <v>vendas_SP.xlsx</v>
      </c>
    </row>
    <row r="798" customFormat="false" ht="15" hidden="false" customHeight="false" outlineLevel="0" collapsed="false">
      <c r="A798" s="4" t="str">
        <f aca="false">IF(Base_Bruta!A798="","",Base_Bruta!A798)</f>
        <v>SP-000724</v>
      </c>
      <c r="B798" s="5" t="n">
        <f aca="false">IF($A798="","",IF(ISNUMBER(Base_Bruta!B798),Base_Bruta!B798,IF(MID(Base_Bruta!B798,5,1)="-",DATE(VALUE(LEFT(Base_Bruta!B798,4)),VALUE(MID(Base_Bruta!B798,6,2)),VALUE(RIGHT(Base_Bruta!B798,2))),DATE(VALUE(RIGHT(Base_Bruta!B798,4)),VALUE(MID(Base_Bruta!B798,4,2)),VALUE(LEFT(Base_Bruta!B798,2))))))</f>
        <v>46181</v>
      </c>
      <c r="C798" s="5" t="n">
        <f aca="false">IF($A798="","",IF(ISNUMBER(Base_Bruta!C798),Base_Bruta!C798,IF(MID(Base_Bruta!C798,5,1)="-",DATE(VALUE(LEFT(Base_Bruta!C798,4)),VALUE(MID(Base_Bruta!C798,6,2)),VALUE(RIGHT(Base_Bruta!C798,2))),DATE(VALUE(RIGHT(Base_Bruta!C798,4)),VALUE(MID(Base_Bruta!C798,4,2)),VALUE(LEFT(Base_Bruta!C798,2))))))</f>
        <v>46182</v>
      </c>
      <c r="D798" s="4" t="str">
        <f aca="false">IF($A798="","",TRIM(Base_Bruta!D798))</f>
        <v>Cinema Paulista - Sessões</v>
      </c>
      <c r="E798" s="4" t="str">
        <f aca="false">IF($A798="","",_xlfn.XLOOKUP(LOWER(TRIM(Base_Bruta!E798)),DePara_Categoria!$A$2:$A$9,DePara_Categoria!$B$2:$B$9,"REVISAR"))</f>
        <v>Cinema</v>
      </c>
      <c r="F798" s="4" t="str">
        <f aca="false">IF($A798="","",_xlfn.XLOOKUP(LOWER(TRIM(Base_Bruta!F798)),DePara_Cidade!$A$2:$A$29,DePara_Cidade!$B$2:$B$29,"REVISAR"))</f>
        <v>São Paulo</v>
      </c>
      <c r="G798" s="4" t="str">
        <f aca="false">IF($A798="","",TRIM(Base_Bruta!G798))</f>
        <v>Inteira</v>
      </c>
      <c r="H798" s="4" t="n">
        <f aca="false">IF($A798="","",IF(ISNUMBER(Base_Bruta!H798),Base_Bruta!H798,IFERROR(_xlfn.NUMBERVALUE(TRIM(SUBSTITUTE(Base_Bruta!H798,"R$","")),",","."),0)))</f>
        <v>1</v>
      </c>
      <c r="I798" s="6" t="n">
        <f aca="false">IF($A798="","",IF(ISNUMBER(Base_Bruta!I798),Base_Bruta!I798,IFERROR(_xlfn.NUMBERVALUE(TRIM(SUBSTITUTE(Base_Bruta!I798,"R$","")),",","."),0)))</f>
        <v>30</v>
      </c>
      <c r="J798" s="6" t="n">
        <f aca="false">IF($A798="","",H798*I798)</f>
        <v>30</v>
      </c>
      <c r="K798" s="4" t="str">
        <f aca="false">IF($A798="","",TRIM(Base_Bruta!J798))</f>
        <v>App</v>
      </c>
      <c r="L798" s="4" t="str">
        <f aca="false">IF($A798="","",TRIM(Base_Bruta!K798))</f>
        <v>C00772</v>
      </c>
      <c r="M798" s="4" t="str">
        <f aca="false">IF($A798="","",_xlfn.XLOOKUP(LOWER(TRIM(Base_Bruta!L798)),DePara_Cidade!$A$2:$A$29,DePara_Cidade!$B$2:$B$29,"REVISAR"))</f>
        <v>São Paulo</v>
      </c>
      <c r="N798" s="4" t="str">
        <f aca="false">IF($A798="","",UPPER(TRIM(Base_Bruta!M798)))</f>
        <v>SP</v>
      </c>
      <c r="O798" s="4" t="str">
        <f aca="false">IF($A798="","",_xlfn.XLOOKUP(LOWER(TRIM(Base_Bruta!N798)),DePara_Pais!$A$2:$A$9,DePara_Pais!$B$2:$B$9,"REVISAR"))</f>
        <v>Brasil</v>
      </c>
      <c r="P798" s="4" t="str">
        <f aca="false">IF($A798="","",IF(O798&lt;&gt;"Brasil","Turista Internacional",IF(M798=F798,"Local","Turista Nacional")))</f>
        <v>Local</v>
      </c>
      <c r="Q798" s="7" t="n">
        <f aca="false">IF($A798="","",DATE(YEAR(B798),MONTH(B798),1))</f>
        <v>46174</v>
      </c>
      <c r="R798" s="4" t="str">
        <f aca="false">IF($A798="","",IF(COUNTIF($A$2:$A798,$A798)&gt;1,"Sim","Não"))</f>
        <v>Não</v>
      </c>
      <c r="S798" s="4" t="str">
        <f aca="false">IF(A798="","Descartar - Linha vazia",IF(R798="Sim","Descartar - Duplicado",IF(OR(H798&lt;=0,I798&lt;=0),"Descartar - Qtd/Valor inválido","OK")))</f>
        <v>OK</v>
      </c>
      <c r="T798" s="4" t="str">
        <f aca="false">Base_Bruta!P798</f>
        <v>vendas_SP.xlsx</v>
      </c>
    </row>
    <row r="799" customFormat="false" ht="15" hidden="false" customHeight="false" outlineLevel="0" collapsed="false">
      <c r="A799" s="4" t="str">
        <f aca="false">IF(Base_Bruta!A799="","",Base_Bruta!A799)</f>
        <v>SP-000724</v>
      </c>
      <c r="B799" s="5" t="n">
        <f aca="false">IF($A799="","",IF(ISNUMBER(Base_Bruta!B799),Base_Bruta!B799,IF(MID(Base_Bruta!B799,5,1)="-",DATE(VALUE(LEFT(Base_Bruta!B799,4)),VALUE(MID(Base_Bruta!B799,6,2)),VALUE(RIGHT(Base_Bruta!B799,2))),DATE(VALUE(RIGHT(Base_Bruta!B799,4)),VALUE(MID(Base_Bruta!B799,4,2)),VALUE(LEFT(Base_Bruta!B799,2))))))</f>
        <v>46181</v>
      </c>
      <c r="C799" s="5" t="n">
        <f aca="false">IF($A799="","",IF(ISNUMBER(Base_Bruta!C799),Base_Bruta!C799,IF(MID(Base_Bruta!C799,5,1)="-",DATE(VALUE(LEFT(Base_Bruta!C799,4)),VALUE(MID(Base_Bruta!C799,6,2)),VALUE(RIGHT(Base_Bruta!C799,2))),DATE(VALUE(RIGHT(Base_Bruta!C799,4)),VALUE(MID(Base_Bruta!C799,4,2)),VALUE(LEFT(Base_Bruta!C799,2))))))</f>
        <v>46182</v>
      </c>
      <c r="D799" s="4" t="str">
        <f aca="false">IF($A799="","",TRIM(Base_Bruta!D799))</f>
        <v>Cinema Paulista - Sessões</v>
      </c>
      <c r="E799" s="4" t="str">
        <f aca="false">IF($A799="","",_xlfn.XLOOKUP(LOWER(TRIM(Base_Bruta!E799)),DePara_Categoria!$A$2:$A$9,DePara_Categoria!$B$2:$B$9,"REVISAR"))</f>
        <v>Cinema</v>
      </c>
      <c r="F799" s="4" t="str">
        <f aca="false">IF($A799="","",_xlfn.XLOOKUP(LOWER(TRIM(Base_Bruta!F799)),DePara_Cidade!$A$2:$A$29,DePara_Cidade!$B$2:$B$29,"REVISAR"))</f>
        <v>São Paulo</v>
      </c>
      <c r="G799" s="4" t="str">
        <f aca="false">IF($A799="","",TRIM(Base_Bruta!G799))</f>
        <v>Inteira</v>
      </c>
      <c r="H799" s="4" t="n">
        <f aca="false">IF($A799="","",IF(ISNUMBER(Base_Bruta!H799),Base_Bruta!H799,IFERROR(_xlfn.NUMBERVALUE(TRIM(SUBSTITUTE(Base_Bruta!H799,"R$","")),",","."),0)))</f>
        <v>1</v>
      </c>
      <c r="I799" s="6" t="n">
        <f aca="false">IF($A799="","",IF(ISNUMBER(Base_Bruta!I799),Base_Bruta!I799,IFERROR(_xlfn.NUMBERVALUE(TRIM(SUBSTITUTE(Base_Bruta!I799,"R$","")),",","."),0)))</f>
        <v>30</v>
      </c>
      <c r="J799" s="6" t="n">
        <f aca="false">IF($A799="","",H799*I799)</f>
        <v>30</v>
      </c>
      <c r="K799" s="4" t="str">
        <f aca="false">IF($A799="","",TRIM(Base_Bruta!J799))</f>
        <v>App</v>
      </c>
      <c r="L799" s="4" t="str">
        <f aca="false">IF($A799="","",TRIM(Base_Bruta!K799))</f>
        <v>C00772</v>
      </c>
      <c r="M799" s="4" t="str">
        <f aca="false">IF($A799="","",_xlfn.XLOOKUP(LOWER(TRIM(Base_Bruta!L799)),DePara_Cidade!$A$2:$A$29,DePara_Cidade!$B$2:$B$29,"REVISAR"))</f>
        <v>São Paulo</v>
      </c>
      <c r="N799" s="4" t="str">
        <f aca="false">IF($A799="","",UPPER(TRIM(Base_Bruta!M799)))</f>
        <v>SP</v>
      </c>
      <c r="O799" s="4" t="str">
        <f aca="false">IF($A799="","",_xlfn.XLOOKUP(LOWER(TRIM(Base_Bruta!N799)),DePara_Pais!$A$2:$A$9,DePara_Pais!$B$2:$B$9,"REVISAR"))</f>
        <v>Brasil</v>
      </c>
      <c r="P799" s="4" t="str">
        <f aca="false">IF($A799="","",IF(O799&lt;&gt;"Brasil","Turista Internacional",IF(M799=F799,"Local","Turista Nacional")))</f>
        <v>Local</v>
      </c>
      <c r="Q799" s="7" t="n">
        <f aca="false">IF($A799="","",DATE(YEAR(B799),MONTH(B799),1))</f>
        <v>46174</v>
      </c>
      <c r="R799" s="4" t="str">
        <f aca="false">IF($A799="","",IF(COUNTIF($A$2:$A799,$A799)&gt;1,"Sim","Não"))</f>
        <v>Sim</v>
      </c>
      <c r="S799" s="4" t="str">
        <f aca="false">IF(A799="","Descartar - Linha vazia",IF(R799="Sim","Descartar - Duplicado",IF(OR(H799&lt;=0,I799&lt;=0),"Descartar - Qtd/Valor inválido","OK")))</f>
        <v>Descartar - Duplicado</v>
      </c>
      <c r="T799" s="4" t="str">
        <f aca="false">Base_Bruta!P799</f>
        <v>vendas_SP.xlsx</v>
      </c>
    </row>
    <row r="800" customFormat="false" ht="15" hidden="false" customHeight="false" outlineLevel="0" collapsed="false">
      <c r="A800" s="4" t="str">
        <f aca="false">IF(Base_Bruta!A800="","",Base_Bruta!A800)</f>
        <v>SP-000773</v>
      </c>
      <c r="B800" s="5" t="n">
        <f aca="false">IF($A800="","",IF(ISNUMBER(Base_Bruta!B800),Base_Bruta!B800,IF(MID(Base_Bruta!B800,5,1)="-",DATE(VALUE(LEFT(Base_Bruta!B800,4)),VALUE(MID(Base_Bruta!B800,6,2)),VALUE(RIGHT(Base_Bruta!B800,2))),DATE(VALUE(RIGHT(Base_Bruta!B800,4)),VALUE(MID(Base_Bruta!B800,4,2)),VALUE(LEFT(Base_Bruta!B800,2))))))</f>
        <v>46181</v>
      </c>
      <c r="C800" s="5" t="n">
        <f aca="false">IF($A800="","",IF(ISNUMBER(Base_Bruta!C800),Base_Bruta!C800,IF(MID(Base_Bruta!C800,5,1)="-",DATE(VALUE(LEFT(Base_Bruta!C800,4)),VALUE(MID(Base_Bruta!C800,6,2)),VALUE(RIGHT(Base_Bruta!C800,2))),DATE(VALUE(RIGHT(Base_Bruta!C800,4)),VALUE(MID(Base_Bruta!C800,4,2)),VALUE(LEFT(Base_Bruta!C800,2))))))</f>
        <v>46182</v>
      </c>
      <c r="D800" s="4" t="str">
        <f aca="false">IF($A800="","",TRIM(Base_Bruta!D800))</f>
        <v>Cinema Paulista - Sessões</v>
      </c>
      <c r="E800" s="4" t="str">
        <f aca="false">IF($A800="","",_xlfn.XLOOKUP(LOWER(TRIM(Base_Bruta!E800)),DePara_Categoria!$A$2:$A$9,DePara_Categoria!$B$2:$B$9,"REVISAR"))</f>
        <v>Cinema</v>
      </c>
      <c r="F800" s="4" t="str">
        <f aca="false">IF($A800="","",_xlfn.XLOOKUP(LOWER(TRIM(Base_Bruta!F800)),DePara_Cidade!$A$2:$A$29,DePara_Cidade!$B$2:$B$29,"REVISAR"))</f>
        <v>São Paulo</v>
      </c>
      <c r="G800" s="4" t="str">
        <f aca="false">IF($A800="","",TRIM(Base_Bruta!G800))</f>
        <v>Inteira</v>
      </c>
      <c r="H800" s="4" t="n">
        <f aca="false">IF($A800="","",IF(ISNUMBER(Base_Bruta!H800),Base_Bruta!H800,IFERROR(_xlfn.NUMBERVALUE(TRIM(SUBSTITUTE(Base_Bruta!H800,"R$","")),",","."),0)))</f>
        <v>1</v>
      </c>
      <c r="I800" s="6" t="n">
        <f aca="false">IF($A800="","",IF(ISNUMBER(Base_Bruta!I800),Base_Bruta!I800,IFERROR(_xlfn.NUMBERVALUE(TRIM(SUBSTITUTE(Base_Bruta!I800,"R$","")),",","."),0)))</f>
        <v>40</v>
      </c>
      <c r="J800" s="6" t="n">
        <f aca="false">IF($A800="","",H800*I800)</f>
        <v>40</v>
      </c>
      <c r="K800" s="4" t="str">
        <f aca="false">IF($A800="","",TRIM(Base_Bruta!J800))</f>
        <v>Site</v>
      </c>
      <c r="L800" s="4" t="str">
        <f aca="false">IF($A800="","",TRIM(Base_Bruta!K800))</f>
        <v>C00434</v>
      </c>
      <c r="M800" s="4" t="str">
        <f aca="false">IF($A800="","",_xlfn.XLOOKUP(LOWER(TRIM(Base_Bruta!L800)),DePara_Cidade!$A$2:$A$29,DePara_Cidade!$B$2:$B$29,"REVISAR"))</f>
        <v>São Paulo</v>
      </c>
      <c r="N800" s="4" t="str">
        <f aca="false">IF($A800="","",UPPER(TRIM(Base_Bruta!M800)))</f>
        <v>SP</v>
      </c>
      <c r="O800" s="4" t="str">
        <f aca="false">IF($A800="","",_xlfn.XLOOKUP(LOWER(TRIM(Base_Bruta!N800)),DePara_Pais!$A$2:$A$9,DePara_Pais!$B$2:$B$9,"REVISAR"))</f>
        <v>Brasil</v>
      </c>
      <c r="P800" s="4" t="str">
        <f aca="false">IF($A800="","",IF(O800&lt;&gt;"Brasil","Turista Internacional",IF(M800=F800,"Local","Turista Nacional")))</f>
        <v>Local</v>
      </c>
      <c r="Q800" s="7" t="n">
        <f aca="false">IF($A800="","",DATE(YEAR(B800),MONTH(B800),1))</f>
        <v>46174</v>
      </c>
      <c r="R800" s="4" t="str">
        <f aca="false">IF($A800="","",IF(COUNTIF($A$2:$A800,$A800)&gt;1,"Sim","Não"))</f>
        <v>Não</v>
      </c>
      <c r="S800" s="4" t="str">
        <f aca="false">IF(A800="","Descartar - Linha vazia",IF(R800="Sim","Descartar - Duplicado",IF(OR(H800&lt;=0,I800&lt;=0),"Descartar - Qtd/Valor inválido","OK")))</f>
        <v>OK</v>
      </c>
      <c r="T800" s="4" t="str">
        <f aca="false">Base_Bruta!P800</f>
        <v>vendas_SP.xlsx</v>
      </c>
    </row>
    <row r="801" customFormat="false" ht="15" hidden="false" customHeight="false" outlineLevel="0" collapsed="false">
      <c r="A801" s="4" t="str">
        <f aca="false">IF(Base_Bruta!A801="","",Base_Bruta!A801)</f>
        <v>SP-000756</v>
      </c>
      <c r="B801" s="5" t="n">
        <f aca="false">IF($A801="","",IF(ISNUMBER(Base_Bruta!B801),Base_Bruta!B801,IF(MID(Base_Bruta!B801,5,1)="-",DATE(VALUE(LEFT(Base_Bruta!B801,4)),VALUE(MID(Base_Bruta!B801,6,2)),VALUE(RIGHT(Base_Bruta!B801,2))),DATE(VALUE(RIGHT(Base_Bruta!B801,4)),VALUE(MID(Base_Bruta!B801,4,2)),VALUE(LEFT(Base_Bruta!B801,2))))))</f>
        <v>46191</v>
      </c>
      <c r="C801" s="5" t="n">
        <f aca="false">IF($A801="","",IF(ISNUMBER(Base_Bruta!C801),Base_Bruta!C801,IF(MID(Base_Bruta!C801,5,1)="-",DATE(VALUE(LEFT(Base_Bruta!C801,4)),VALUE(MID(Base_Bruta!C801,6,2)),VALUE(RIGHT(Base_Bruta!C801,2))),DATE(VALUE(RIGHT(Base_Bruta!C801,4)),VALUE(MID(Base_Bruta!C801,4,2)),VALUE(LEFT(Base_Bruta!C801,2))))))</f>
        <v>46193</v>
      </c>
      <c r="D801" s="4" t="str">
        <f aca="false">IF($A801="","",TRIM(Base_Bruta!D801))</f>
        <v>Cinema Paulista - Sessões</v>
      </c>
      <c r="E801" s="4" t="str">
        <f aca="false">IF($A801="","",_xlfn.XLOOKUP(LOWER(TRIM(Base_Bruta!E801)),DePara_Categoria!$A$2:$A$9,DePara_Categoria!$B$2:$B$9,"REVISAR"))</f>
        <v>Cinema</v>
      </c>
      <c r="F801" s="4" t="str">
        <f aca="false">IF($A801="","",_xlfn.XLOOKUP(LOWER(TRIM(Base_Bruta!F801)),DePara_Cidade!$A$2:$A$29,DePara_Cidade!$B$2:$B$29,"REVISAR"))</f>
        <v>São Paulo</v>
      </c>
      <c r="G801" s="4" t="str">
        <f aca="false">IF($A801="","",TRIM(Base_Bruta!G801))</f>
        <v>Meia</v>
      </c>
      <c r="H801" s="4" t="n">
        <f aca="false">IF($A801="","",IF(ISNUMBER(Base_Bruta!H801),Base_Bruta!H801,IFERROR(_xlfn.NUMBERVALUE(TRIM(SUBSTITUTE(Base_Bruta!H801,"R$","")),",","."),0)))</f>
        <v>1</v>
      </c>
      <c r="I801" s="6" t="n">
        <f aca="false">IF($A801="","",IF(ISNUMBER(Base_Bruta!I801),Base_Bruta!I801,IFERROR(_xlfn.NUMBERVALUE(TRIM(SUBSTITUTE(Base_Bruta!I801,"R$","")),",","."),0)))</f>
        <v>20</v>
      </c>
      <c r="J801" s="6" t="n">
        <f aca="false">IF($A801="","",H801*I801)</f>
        <v>20</v>
      </c>
      <c r="K801" s="4" t="str">
        <f aca="false">IF($A801="","",TRIM(Base_Bruta!J801))</f>
        <v>Bilheteria</v>
      </c>
      <c r="L801" s="4" t="str">
        <f aca="false">IF($A801="","",TRIM(Base_Bruta!K801))</f>
        <v>C01548</v>
      </c>
      <c r="M801" s="4" t="str">
        <f aca="false">IF($A801="","",_xlfn.XLOOKUP(LOWER(TRIM(Base_Bruta!L801)),DePara_Cidade!$A$2:$A$29,DePara_Cidade!$B$2:$B$29,"REVISAR"))</f>
        <v>São Paulo</v>
      </c>
      <c r="N801" s="4" t="str">
        <f aca="false">IF($A801="","",UPPER(TRIM(Base_Bruta!M801)))</f>
        <v>SP</v>
      </c>
      <c r="O801" s="4" t="str">
        <f aca="false">IF($A801="","",_xlfn.XLOOKUP(LOWER(TRIM(Base_Bruta!N801)),DePara_Pais!$A$2:$A$9,DePara_Pais!$B$2:$B$9,"REVISAR"))</f>
        <v>Brasil</v>
      </c>
      <c r="P801" s="4" t="str">
        <f aca="false">IF($A801="","",IF(O801&lt;&gt;"Brasil","Turista Internacional",IF(M801=F801,"Local","Turista Nacional")))</f>
        <v>Local</v>
      </c>
      <c r="Q801" s="7" t="n">
        <f aca="false">IF($A801="","",DATE(YEAR(B801),MONTH(B801),1))</f>
        <v>46174</v>
      </c>
      <c r="R801" s="4" t="str">
        <f aca="false">IF($A801="","",IF(COUNTIF($A$2:$A801,$A801)&gt;1,"Sim","Não"))</f>
        <v>Não</v>
      </c>
      <c r="S801" s="4" t="str">
        <f aca="false">IF(A801="","Descartar - Linha vazia",IF(R801="Sim","Descartar - Duplicado",IF(OR(H801&lt;=0,I801&lt;=0),"Descartar - Qtd/Valor inválido","OK")))</f>
        <v>OK</v>
      </c>
      <c r="T801" s="4" t="str">
        <f aca="false">Base_Bruta!P801</f>
        <v>vendas_SP.xlsx</v>
      </c>
    </row>
    <row r="802" customFormat="false" ht="15" hidden="false" customHeight="false" outlineLevel="0" collapsed="false">
      <c r="A802" s="4" t="str">
        <f aca="false">IF(Base_Bruta!A802="","",Base_Bruta!A802)</f>
        <v>SP-000675</v>
      </c>
      <c r="B802" s="5" t="n">
        <f aca="false">IF($A802="","",IF(ISNUMBER(Base_Bruta!B802),Base_Bruta!B802,IF(MID(Base_Bruta!B802,5,1)="-",DATE(VALUE(LEFT(Base_Bruta!B802,4)),VALUE(MID(Base_Bruta!B802,6,2)),VALUE(RIGHT(Base_Bruta!B802,2))),DATE(VALUE(RIGHT(Base_Bruta!B802,4)),VALUE(MID(Base_Bruta!B802,4,2)),VALUE(LEFT(Base_Bruta!B802,2))))))</f>
        <v>46195</v>
      </c>
      <c r="C802" s="5" t="n">
        <f aca="false">IF($A802="","",IF(ISNUMBER(Base_Bruta!C802),Base_Bruta!C802,IF(MID(Base_Bruta!C802,5,1)="-",DATE(VALUE(LEFT(Base_Bruta!C802,4)),VALUE(MID(Base_Bruta!C802,6,2)),VALUE(RIGHT(Base_Bruta!C802,2))),DATE(VALUE(RIGHT(Base_Bruta!C802,4)),VALUE(MID(Base_Bruta!C802,4,2)),VALUE(LEFT(Base_Bruta!C802,2))))))</f>
        <v>46197</v>
      </c>
      <c r="D802" s="4" t="str">
        <f aca="false">IF($A802="","",TRIM(Base_Bruta!D802))</f>
        <v>Cinema Paulista - Sessões</v>
      </c>
      <c r="E802" s="4" t="str">
        <f aca="false">IF($A802="","",_xlfn.XLOOKUP(LOWER(TRIM(Base_Bruta!E802)),DePara_Categoria!$A$2:$A$9,DePara_Categoria!$B$2:$B$9,"REVISAR"))</f>
        <v>Cinema</v>
      </c>
      <c r="F802" s="4" t="str">
        <f aca="false">IF($A802="","",_xlfn.XLOOKUP(LOWER(TRIM(Base_Bruta!F802)),DePara_Cidade!$A$2:$A$29,DePara_Cidade!$B$2:$B$29,"REVISAR"))</f>
        <v>São Paulo</v>
      </c>
      <c r="G802" s="4" t="str">
        <f aca="false">IF($A802="","",TRIM(Base_Bruta!G802))</f>
        <v>Meia</v>
      </c>
      <c r="H802" s="4" t="n">
        <f aca="false">IF($A802="","",IF(ISNUMBER(Base_Bruta!H802),Base_Bruta!H802,IFERROR(_xlfn.NUMBERVALUE(TRIM(SUBSTITUTE(Base_Bruta!H802,"R$","")),",","."),0)))</f>
        <v>3</v>
      </c>
      <c r="I802" s="6" t="n">
        <f aca="false">IF($A802="","",IF(ISNUMBER(Base_Bruta!I802),Base_Bruta!I802,IFERROR(_xlfn.NUMBERVALUE(TRIM(SUBSTITUTE(Base_Bruta!I802,"R$","")),",","."),0)))</f>
        <v>22.5</v>
      </c>
      <c r="J802" s="6" t="n">
        <f aca="false">IF($A802="","",H802*I802)</f>
        <v>67.5</v>
      </c>
      <c r="K802" s="4" t="str">
        <f aca="false">IF($A802="","",TRIM(Base_Bruta!J802))</f>
        <v>Site</v>
      </c>
      <c r="L802" s="4" t="str">
        <f aca="false">IF($A802="","",TRIM(Base_Bruta!K802))</f>
        <v>C02010</v>
      </c>
      <c r="M802" s="4" t="str">
        <f aca="false">IF($A802="","",_xlfn.XLOOKUP(LOWER(TRIM(Base_Bruta!L802)),DePara_Cidade!$A$2:$A$29,DePara_Cidade!$B$2:$B$29,"REVISAR"))</f>
        <v>São Paulo</v>
      </c>
      <c r="N802" s="4" t="str">
        <f aca="false">IF($A802="","",UPPER(TRIM(Base_Bruta!M802)))</f>
        <v>SP</v>
      </c>
      <c r="O802" s="4" t="str">
        <f aca="false">IF($A802="","",_xlfn.XLOOKUP(LOWER(TRIM(Base_Bruta!N802)),DePara_Pais!$A$2:$A$9,DePara_Pais!$B$2:$B$9,"REVISAR"))</f>
        <v>Brasil</v>
      </c>
      <c r="P802" s="4" t="str">
        <f aca="false">IF($A802="","",IF(O802&lt;&gt;"Brasil","Turista Internacional",IF(M802=F802,"Local","Turista Nacional")))</f>
        <v>Local</v>
      </c>
      <c r="Q802" s="7" t="n">
        <f aca="false">IF($A802="","",DATE(YEAR(B802),MONTH(B802),1))</f>
        <v>46174</v>
      </c>
      <c r="R802" s="4" t="str">
        <f aca="false">IF($A802="","",IF(COUNTIF($A$2:$A802,$A802)&gt;1,"Sim","Não"))</f>
        <v>Não</v>
      </c>
      <c r="S802" s="4" t="str">
        <f aca="false">IF(A802="","Descartar - Linha vazia",IF(R802="Sim","Descartar - Duplicado",IF(OR(H802&lt;=0,I802&lt;=0),"Descartar - Qtd/Valor inválido","OK")))</f>
        <v>OK</v>
      </c>
      <c r="T802" s="4" t="str">
        <f aca="false">Base_Bruta!P802</f>
        <v>vendas_SP.xlsx</v>
      </c>
    </row>
    <row r="803" customFormat="false" ht="15" hidden="false" customHeight="false" outlineLevel="0" collapsed="false">
      <c r="A803" s="4" t="str">
        <f aca="false">IF(Base_Bruta!A803="","",Base_Bruta!A803)</f>
        <v>SP-000762</v>
      </c>
      <c r="B803" s="5" t="n">
        <f aca="false">IF($A803="","",IF(ISNUMBER(Base_Bruta!B803),Base_Bruta!B803,IF(MID(Base_Bruta!B803,5,1)="-",DATE(VALUE(LEFT(Base_Bruta!B803,4)),VALUE(MID(Base_Bruta!B803,6,2)),VALUE(RIGHT(Base_Bruta!B803,2))),DATE(VALUE(RIGHT(Base_Bruta!B803,4)),VALUE(MID(Base_Bruta!B803,4,2)),VALUE(LEFT(Base_Bruta!B803,2))))))</f>
        <v>46196</v>
      </c>
      <c r="C803" s="5" t="n">
        <f aca="false">IF($A803="","",IF(ISNUMBER(Base_Bruta!C803),Base_Bruta!C803,IF(MID(Base_Bruta!C803,5,1)="-",DATE(VALUE(LEFT(Base_Bruta!C803,4)),VALUE(MID(Base_Bruta!C803,6,2)),VALUE(RIGHT(Base_Bruta!C803,2))),DATE(VALUE(RIGHT(Base_Bruta!C803,4)),VALUE(MID(Base_Bruta!C803,4,2)),VALUE(LEFT(Base_Bruta!C803,2))))))</f>
        <v>46197</v>
      </c>
      <c r="D803" s="4" t="str">
        <f aca="false">IF($A803="","",TRIM(Base_Bruta!D803))</f>
        <v>Cinema Paulista - Sessões</v>
      </c>
      <c r="E803" s="4" t="str">
        <f aca="false">IF($A803="","",_xlfn.XLOOKUP(LOWER(TRIM(Base_Bruta!E803)),DePara_Categoria!$A$2:$A$9,DePara_Categoria!$B$2:$B$9,"REVISAR"))</f>
        <v>Cinema</v>
      </c>
      <c r="F803" s="4" t="str">
        <f aca="false">IF($A803="","",_xlfn.XLOOKUP(LOWER(TRIM(Base_Bruta!F803)),DePara_Cidade!$A$2:$A$29,DePara_Cidade!$B$2:$B$29,"REVISAR"))</f>
        <v>São Paulo</v>
      </c>
      <c r="G803" s="4" t="str">
        <f aca="false">IF($A803="","",TRIM(Base_Bruta!G803))</f>
        <v>Meia</v>
      </c>
      <c r="H803" s="4" t="n">
        <f aca="false">IF($A803="","",IF(ISNUMBER(Base_Bruta!H803),Base_Bruta!H803,IFERROR(_xlfn.NUMBERVALUE(TRIM(SUBSTITUTE(Base_Bruta!H803,"R$","")),",","."),0)))</f>
        <v>2</v>
      </c>
      <c r="I803" s="6" t="n">
        <f aca="false">IF($A803="","",IF(ISNUMBER(Base_Bruta!I803),Base_Bruta!I803,IFERROR(_xlfn.NUMBERVALUE(TRIM(SUBSTITUTE(Base_Bruta!I803,"R$","")),",","."),0)))</f>
        <v>22.5</v>
      </c>
      <c r="J803" s="6" t="n">
        <f aca="false">IF($A803="","",H803*I803)</f>
        <v>45</v>
      </c>
      <c r="K803" s="4" t="str">
        <f aca="false">IF($A803="","",TRIM(Base_Bruta!J803))</f>
        <v>Site</v>
      </c>
      <c r="L803" s="4" t="str">
        <f aca="false">IF($A803="","",TRIM(Base_Bruta!K803))</f>
        <v>C01827</v>
      </c>
      <c r="M803" s="4" t="str">
        <f aca="false">IF($A803="","",_xlfn.XLOOKUP(LOWER(TRIM(Base_Bruta!L803)),DePara_Cidade!$A$2:$A$29,DePara_Cidade!$B$2:$B$29,"REVISAR"))</f>
        <v>São Paulo</v>
      </c>
      <c r="N803" s="4" t="str">
        <f aca="false">IF($A803="","",UPPER(TRIM(Base_Bruta!M803)))</f>
        <v>SP</v>
      </c>
      <c r="O803" s="4" t="str">
        <f aca="false">IF($A803="","",_xlfn.XLOOKUP(LOWER(TRIM(Base_Bruta!N803)),DePara_Pais!$A$2:$A$9,DePara_Pais!$B$2:$B$9,"REVISAR"))</f>
        <v>Brasil</v>
      </c>
      <c r="P803" s="4" t="str">
        <f aca="false">IF($A803="","",IF(O803&lt;&gt;"Brasil","Turista Internacional",IF(M803=F803,"Local","Turista Nacional")))</f>
        <v>Local</v>
      </c>
      <c r="Q803" s="7" t="n">
        <f aca="false">IF($A803="","",DATE(YEAR(B803),MONTH(B803),1))</f>
        <v>46174</v>
      </c>
      <c r="R803" s="4" t="str">
        <f aca="false">IF($A803="","",IF(COUNTIF($A$2:$A803,$A803)&gt;1,"Sim","Não"))</f>
        <v>Não</v>
      </c>
      <c r="S803" s="4" t="str">
        <f aca="false">IF(A803="","Descartar - Linha vazia",IF(R803="Sim","Descartar - Duplicado",IF(OR(H803&lt;=0,I803&lt;=0),"Descartar - Qtd/Valor inválido","OK")))</f>
        <v>OK</v>
      </c>
      <c r="T803" s="4" t="str">
        <f aca="false">Base_Bruta!P803</f>
        <v>vendas_SP.xlsx</v>
      </c>
    </row>
    <row r="804" customFormat="false" ht="15" hidden="false" customHeight="false" outlineLevel="0" collapsed="false">
      <c r="A804" s="4" t="str">
        <f aca="false">IF(Base_Bruta!A804="","",Base_Bruta!A804)</f>
        <v>SP-000723</v>
      </c>
      <c r="B804" s="5" t="n">
        <f aca="false">IF($A804="","",IF(ISNUMBER(Base_Bruta!B804),Base_Bruta!B804,IF(MID(Base_Bruta!B804,5,1)="-",DATE(VALUE(LEFT(Base_Bruta!B804,4)),VALUE(MID(Base_Bruta!B804,6,2)),VALUE(RIGHT(Base_Bruta!B804,2))),DATE(VALUE(RIGHT(Base_Bruta!B804,4)),VALUE(MID(Base_Bruta!B804,4,2)),VALUE(LEFT(Base_Bruta!B804,2))))))</f>
        <v>46199</v>
      </c>
      <c r="C804" s="5" t="n">
        <f aca="false">IF($A804="","",IF(ISNUMBER(Base_Bruta!C804),Base_Bruta!C804,IF(MID(Base_Bruta!C804,5,1)="-",DATE(VALUE(LEFT(Base_Bruta!C804,4)),VALUE(MID(Base_Bruta!C804,6,2)),VALUE(RIGHT(Base_Bruta!C804,2))),DATE(VALUE(RIGHT(Base_Bruta!C804,4)),VALUE(MID(Base_Bruta!C804,4,2)),VALUE(LEFT(Base_Bruta!C804,2))))))</f>
        <v>46202</v>
      </c>
      <c r="D804" s="4" t="str">
        <f aca="false">IF($A804="","",TRIM(Base_Bruta!D804))</f>
        <v>Cinema Paulista - Sessões</v>
      </c>
      <c r="E804" s="4" t="str">
        <f aca="false">IF($A804="","",_xlfn.XLOOKUP(LOWER(TRIM(Base_Bruta!E804)),DePara_Categoria!$A$2:$A$9,DePara_Categoria!$B$2:$B$9,"REVISAR"))</f>
        <v>Cinema</v>
      </c>
      <c r="F804" s="4" t="str">
        <f aca="false">IF($A804="","",_xlfn.XLOOKUP(LOWER(TRIM(Base_Bruta!F804)),DePara_Cidade!$A$2:$A$29,DePara_Cidade!$B$2:$B$29,"REVISAR"))</f>
        <v>São Paulo</v>
      </c>
      <c r="G804" s="4" t="str">
        <f aca="false">IF($A804="","",TRIM(Base_Bruta!G804))</f>
        <v>Inteira</v>
      </c>
      <c r="H804" s="4" t="n">
        <f aca="false">IF($A804="","",IF(ISNUMBER(Base_Bruta!H804),Base_Bruta!H804,IFERROR(_xlfn.NUMBERVALUE(TRIM(SUBSTITUTE(Base_Bruta!H804,"R$","")),",","."),0)))</f>
        <v>4</v>
      </c>
      <c r="I804" s="6" t="n">
        <f aca="false">IF($A804="","",IF(ISNUMBER(Base_Bruta!I804),Base_Bruta!I804,IFERROR(_xlfn.NUMBERVALUE(TRIM(SUBSTITUTE(Base_Bruta!I804,"R$","")),",","."),0)))</f>
        <v>30</v>
      </c>
      <c r="J804" s="6" t="n">
        <f aca="false">IF($A804="","",H804*I804)</f>
        <v>120</v>
      </c>
      <c r="K804" s="4" t="str">
        <f aca="false">IF($A804="","",TRIM(Base_Bruta!J804))</f>
        <v>App</v>
      </c>
      <c r="L804" s="4" t="str">
        <f aca="false">IF($A804="","",TRIM(Base_Bruta!K804))</f>
        <v>C02138</v>
      </c>
      <c r="M804" s="4" t="str">
        <f aca="false">IF($A804="","",_xlfn.XLOOKUP(LOWER(TRIM(Base_Bruta!L804)),DePara_Cidade!$A$2:$A$29,DePara_Cidade!$B$2:$B$29,"REVISAR"))</f>
        <v>São Paulo</v>
      </c>
      <c r="N804" s="4" t="str">
        <f aca="false">IF($A804="","",UPPER(TRIM(Base_Bruta!M804)))</f>
        <v>SP</v>
      </c>
      <c r="O804" s="4" t="str">
        <f aca="false">IF($A804="","",_xlfn.XLOOKUP(LOWER(TRIM(Base_Bruta!N804)),DePara_Pais!$A$2:$A$9,DePara_Pais!$B$2:$B$9,"REVISAR"))</f>
        <v>Brasil</v>
      </c>
      <c r="P804" s="4" t="str">
        <f aca="false">IF($A804="","",IF(O804&lt;&gt;"Brasil","Turista Internacional",IF(M804=F804,"Local","Turista Nacional")))</f>
        <v>Local</v>
      </c>
      <c r="Q804" s="7" t="n">
        <f aca="false">IF($A804="","",DATE(YEAR(B804),MONTH(B804),1))</f>
        <v>46174</v>
      </c>
      <c r="R804" s="4" t="str">
        <f aca="false">IF($A804="","",IF(COUNTIF($A$2:$A804,$A804)&gt;1,"Sim","Não"))</f>
        <v>Não</v>
      </c>
      <c r="S804" s="4" t="str">
        <f aca="false">IF(A804="","Descartar - Linha vazia",IF(R804="Sim","Descartar - Duplicado",IF(OR(H804&lt;=0,I804&lt;=0),"Descartar - Qtd/Valor inválido","OK")))</f>
        <v>OK</v>
      </c>
      <c r="T804" s="4" t="str">
        <f aca="false">Base_Bruta!P804</f>
        <v>vendas_SP.xlsx</v>
      </c>
    </row>
    <row r="805" customFormat="false" ht="15" hidden="false" customHeight="false" outlineLevel="0" collapsed="false">
      <c r="A805" s="4" t="str">
        <f aca="false">IF(Base_Bruta!A805="","",Base_Bruta!A805)</f>
        <v>RJ-000627</v>
      </c>
      <c r="B805" s="5" t="n">
        <f aca="false">IF($A805="","",IF(ISNUMBER(Base_Bruta!B805),Base_Bruta!B805,IF(MID(Base_Bruta!B805,5,1)="-",DATE(VALUE(LEFT(Base_Bruta!B805,4)),VALUE(MID(Base_Bruta!B805,6,2)),VALUE(RIGHT(Base_Bruta!B805,2))),DATE(VALUE(RIGHT(Base_Bruta!B805,4)),VALUE(MID(Base_Bruta!B805,4,2)),VALUE(LEFT(Base_Bruta!B805,2))))))</f>
        <v>45659</v>
      </c>
      <c r="C805" s="5" t="n">
        <f aca="false">IF($A805="","",IF(ISNUMBER(Base_Bruta!C805),Base_Bruta!C805,IF(MID(Base_Bruta!C805,5,1)="-",DATE(VALUE(LEFT(Base_Bruta!C805,4)),VALUE(MID(Base_Bruta!C805,6,2)),VALUE(RIGHT(Base_Bruta!C805,2))),DATE(VALUE(RIGHT(Base_Bruta!C805,4)),VALUE(MID(Base_Bruta!C805,4,2)),VALUE(LEFT(Base_Bruta!C805,2))))))</f>
        <v>45662</v>
      </c>
      <c r="D805" s="4" t="str">
        <f aca="false">IF($A805="","",TRIM(Base_Bruta!D805))</f>
        <v>Cinema Barra - Sessões</v>
      </c>
      <c r="E805" s="4" t="str">
        <f aca="false">IF($A805="","",_xlfn.XLOOKUP(LOWER(TRIM(Base_Bruta!E805)),DePara_Categoria!$A$2:$A$9,DePara_Categoria!$B$2:$B$9,"REVISAR"))</f>
        <v>Cinema</v>
      </c>
      <c r="F805" s="4" t="str">
        <f aca="false">IF($A805="","",_xlfn.XLOOKUP(LOWER(TRIM(Base_Bruta!F805)),DePara_Cidade!$A$2:$A$29,DePara_Cidade!$B$2:$B$29,"REVISAR"))</f>
        <v>Rio de Janeiro</v>
      </c>
      <c r="G805" s="4" t="str">
        <f aca="false">IF($A805="","",TRIM(Base_Bruta!G805))</f>
        <v>Meia</v>
      </c>
      <c r="H805" s="4" t="n">
        <f aca="false">IF($A805="","",IF(ISNUMBER(Base_Bruta!H805),Base_Bruta!H805,IFERROR(_xlfn.NUMBERVALUE(TRIM(SUBSTITUTE(Base_Bruta!H805,"R$","")),",","."),0)))</f>
        <v>1</v>
      </c>
      <c r="I805" s="6" t="n">
        <f aca="false">IF($A805="","",IF(ISNUMBER(Base_Bruta!I805),Base_Bruta!I805,IFERROR(_xlfn.NUMBERVALUE(TRIM(SUBSTITUTE(Base_Bruta!I805,"R$","")),",","."),0)))</f>
        <v>22.5</v>
      </c>
      <c r="J805" s="6" t="n">
        <f aca="false">IF($A805="","",H805*I805)</f>
        <v>22.5</v>
      </c>
      <c r="K805" s="4" t="str">
        <f aca="false">IF($A805="","",TRIM(Base_Bruta!J805))</f>
        <v>Site</v>
      </c>
      <c r="L805" s="4" t="str">
        <f aca="false">IF($A805="","",TRIM(Base_Bruta!K805))</f>
        <v>C02405</v>
      </c>
      <c r="M805" s="4" t="str">
        <f aca="false">IF($A805="","",_xlfn.XLOOKUP(LOWER(TRIM(Base_Bruta!L805)),DePara_Cidade!$A$2:$A$29,DePara_Cidade!$B$2:$B$29,"REVISAR"))</f>
        <v>Rio de Janeiro</v>
      </c>
      <c r="N805" s="4" t="str">
        <f aca="false">IF($A805="","",UPPER(TRIM(Base_Bruta!M805)))</f>
        <v>RJ</v>
      </c>
      <c r="O805" s="4" t="str">
        <f aca="false">IF($A805="","",_xlfn.XLOOKUP(LOWER(TRIM(Base_Bruta!N805)),DePara_Pais!$A$2:$A$9,DePara_Pais!$B$2:$B$9,"REVISAR"))</f>
        <v>Brasil</v>
      </c>
      <c r="P805" s="4" t="str">
        <f aca="false">IF($A805="","",IF(O805&lt;&gt;"Brasil","Turista Internacional",IF(M805=F805,"Local","Turista Nacional")))</f>
        <v>Local</v>
      </c>
      <c r="Q805" s="7" t="n">
        <f aca="false">IF($A805="","",DATE(YEAR(B805),MONTH(B805),1))</f>
        <v>45658</v>
      </c>
      <c r="R805" s="4" t="str">
        <f aca="false">IF($A805="","",IF(COUNTIF($A$2:$A805,$A805)&gt;1,"Sim","Não"))</f>
        <v>Não</v>
      </c>
      <c r="S805" s="4" t="str">
        <f aca="false">IF(A805="","Descartar - Linha vazia",IF(R805="Sim","Descartar - Duplicado",IF(OR(H805&lt;=0,I805&lt;=0),"Descartar - Qtd/Valor inválido","OK")))</f>
        <v>OK</v>
      </c>
      <c r="T805" s="4" t="str">
        <f aca="false">Base_Bruta!P805</f>
        <v>vendas_RJ.xlsx</v>
      </c>
    </row>
    <row r="806" customFormat="false" ht="15" hidden="false" customHeight="false" outlineLevel="0" collapsed="false">
      <c r="A806" s="4" t="str">
        <f aca="false">IF(Base_Bruta!A806="","",Base_Bruta!A806)</f>
        <v>RJ-000654</v>
      </c>
      <c r="B806" s="5" t="n">
        <f aca="false">IF($A806="","",IF(ISNUMBER(Base_Bruta!B806),Base_Bruta!B806,IF(MID(Base_Bruta!B806,5,1)="-",DATE(VALUE(LEFT(Base_Bruta!B806,4)),VALUE(MID(Base_Bruta!B806,6,2)),VALUE(RIGHT(Base_Bruta!B806,2))),DATE(VALUE(RIGHT(Base_Bruta!B806,4)),VALUE(MID(Base_Bruta!B806,4,2)),VALUE(LEFT(Base_Bruta!B806,2))))))</f>
        <v>45663</v>
      </c>
      <c r="C806" s="5" t="n">
        <f aca="false">IF($A806="","",IF(ISNUMBER(Base_Bruta!C806),Base_Bruta!C806,IF(MID(Base_Bruta!C806,5,1)="-",DATE(VALUE(LEFT(Base_Bruta!C806,4)),VALUE(MID(Base_Bruta!C806,6,2)),VALUE(RIGHT(Base_Bruta!C806,2))),DATE(VALUE(RIGHT(Base_Bruta!C806,4)),VALUE(MID(Base_Bruta!C806,4,2)),VALUE(LEFT(Base_Bruta!C806,2))))))</f>
        <v>45665</v>
      </c>
      <c r="D806" s="4" t="str">
        <f aca="false">IF($A806="","",TRIM(Base_Bruta!D806))</f>
        <v>Cinema Barra - Sessões</v>
      </c>
      <c r="E806" s="4" t="str">
        <f aca="false">IF($A806="","",_xlfn.XLOOKUP(LOWER(TRIM(Base_Bruta!E806)),DePara_Categoria!$A$2:$A$9,DePara_Categoria!$B$2:$B$9,"REVISAR"))</f>
        <v>Cinema</v>
      </c>
      <c r="F806" s="4" t="str">
        <f aca="false">IF($A806="","",_xlfn.XLOOKUP(LOWER(TRIM(Base_Bruta!F806)),DePara_Cidade!$A$2:$A$29,DePara_Cidade!$B$2:$B$29,"REVISAR"))</f>
        <v>Rio de Janeiro</v>
      </c>
      <c r="G806" s="4" t="str">
        <f aca="false">IF($A806="","",TRIM(Base_Bruta!G806))</f>
        <v>Inteira</v>
      </c>
      <c r="H806" s="4" t="n">
        <f aca="false">IF($A806="","",IF(ISNUMBER(Base_Bruta!H806),Base_Bruta!H806,IFERROR(_xlfn.NUMBERVALUE(TRIM(SUBSTITUTE(Base_Bruta!H806,"R$","")),",","."),0)))</f>
        <v>4</v>
      </c>
      <c r="I806" s="6" t="n">
        <f aca="false">IF($A806="","",IF(ISNUMBER(Base_Bruta!I806),Base_Bruta!I806,IFERROR(_xlfn.NUMBERVALUE(TRIM(SUBSTITUTE(Base_Bruta!I806,"R$","")),",","."),0)))</f>
        <v>30</v>
      </c>
      <c r="J806" s="6" t="n">
        <f aca="false">IF($A806="","",H806*I806)</f>
        <v>120</v>
      </c>
      <c r="K806" s="4" t="str">
        <f aca="false">IF($A806="","",TRIM(Base_Bruta!J806))</f>
        <v>Site</v>
      </c>
      <c r="L806" s="4" t="str">
        <f aca="false">IF($A806="","",TRIM(Base_Bruta!K806))</f>
        <v>C00044</v>
      </c>
      <c r="M806" s="4" t="str">
        <f aca="false">IF($A806="","",_xlfn.XLOOKUP(LOWER(TRIM(Base_Bruta!L806)),DePara_Cidade!$A$2:$A$29,DePara_Cidade!$B$2:$B$29,"REVISAR"))</f>
        <v>Rio de Janeiro</v>
      </c>
      <c r="N806" s="4" t="str">
        <f aca="false">IF($A806="","",UPPER(TRIM(Base_Bruta!M806)))</f>
        <v>RJ</v>
      </c>
      <c r="O806" s="4" t="str">
        <f aca="false">IF($A806="","",_xlfn.XLOOKUP(LOWER(TRIM(Base_Bruta!N806)),DePara_Pais!$A$2:$A$9,DePara_Pais!$B$2:$B$9,"REVISAR"))</f>
        <v>Brasil</v>
      </c>
      <c r="P806" s="4" t="str">
        <f aca="false">IF($A806="","",IF(O806&lt;&gt;"Brasil","Turista Internacional",IF(M806=F806,"Local","Turista Nacional")))</f>
        <v>Local</v>
      </c>
      <c r="Q806" s="7" t="n">
        <f aca="false">IF($A806="","",DATE(YEAR(B806),MONTH(B806),1))</f>
        <v>45658</v>
      </c>
      <c r="R806" s="4" t="str">
        <f aca="false">IF($A806="","",IF(COUNTIF($A$2:$A806,$A806)&gt;1,"Sim","Não"))</f>
        <v>Não</v>
      </c>
      <c r="S806" s="4" t="str">
        <f aca="false">IF(A806="","Descartar - Linha vazia",IF(R806="Sim","Descartar - Duplicado",IF(OR(H806&lt;=0,I806&lt;=0),"Descartar - Qtd/Valor inválido","OK")))</f>
        <v>OK</v>
      </c>
      <c r="T806" s="4" t="str">
        <f aca="false">Base_Bruta!P806</f>
        <v>vendas_RJ.xlsx</v>
      </c>
    </row>
    <row r="807" customFormat="false" ht="15" hidden="false" customHeight="false" outlineLevel="0" collapsed="false">
      <c r="A807" s="4" t="str">
        <f aca="false">IF(Base_Bruta!A807="","",Base_Bruta!A807)</f>
        <v>RJ-000678</v>
      </c>
      <c r="B807" s="5" t="n">
        <f aca="false">IF($A807="","",IF(ISNUMBER(Base_Bruta!B807),Base_Bruta!B807,IF(MID(Base_Bruta!B807,5,1)="-",DATE(VALUE(LEFT(Base_Bruta!B807,4)),VALUE(MID(Base_Bruta!B807,6,2)),VALUE(RIGHT(Base_Bruta!B807,2))),DATE(VALUE(RIGHT(Base_Bruta!B807,4)),VALUE(MID(Base_Bruta!B807,4,2)),VALUE(LEFT(Base_Bruta!B807,2))))))</f>
        <v>45664</v>
      </c>
      <c r="C807" s="5" t="n">
        <f aca="false">IF($A807="","",IF(ISNUMBER(Base_Bruta!C807),Base_Bruta!C807,IF(MID(Base_Bruta!C807,5,1)="-",DATE(VALUE(LEFT(Base_Bruta!C807,4)),VALUE(MID(Base_Bruta!C807,6,2)),VALUE(RIGHT(Base_Bruta!C807,2))),DATE(VALUE(RIGHT(Base_Bruta!C807,4)),VALUE(MID(Base_Bruta!C807,4,2)),VALUE(LEFT(Base_Bruta!C807,2))))))</f>
        <v>45665</v>
      </c>
      <c r="D807" s="4" t="str">
        <f aca="false">IF($A807="","",TRIM(Base_Bruta!D807))</f>
        <v>Cinema Barra - Sessões</v>
      </c>
      <c r="E807" s="4" t="str">
        <f aca="false">IF($A807="","",_xlfn.XLOOKUP(LOWER(TRIM(Base_Bruta!E807)),DePara_Categoria!$A$2:$A$9,DePara_Categoria!$B$2:$B$9,"REVISAR"))</f>
        <v>Cinema</v>
      </c>
      <c r="F807" s="4" t="str">
        <f aca="false">IF($A807="","",_xlfn.XLOOKUP(LOWER(TRIM(Base_Bruta!F807)),DePara_Cidade!$A$2:$A$29,DePara_Cidade!$B$2:$B$29,"REVISAR"))</f>
        <v>Rio de Janeiro</v>
      </c>
      <c r="G807" s="4" t="str">
        <f aca="false">IF($A807="","",TRIM(Base_Bruta!G807))</f>
        <v>Inteira</v>
      </c>
      <c r="H807" s="4" t="n">
        <f aca="false">IF($A807="","",IF(ISNUMBER(Base_Bruta!H807),Base_Bruta!H807,IFERROR(_xlfn.NUMBERVALUE(TRIM(SUBSTITUTE(Base_Bruta!H807,"R$","")),",","."),0)))</f>
        <v>2</v>
      </c>
      <c r="I807" s="6" t="n">
        <f aca="false">IF($A807="","",IF(ISNUMBER(Base_Bruta!I807),Base_Bruta!I807,IFERROR(_xlfn.NUMBERVALUE(TRIM(SUBSTITUTE(Base_Bruta!I807,"R$","")),",","."),0)))</f>
        <v>45</v>
      </c>
      <c r="J807" s="6" t="n">
        <f aca="false">IF($A807="","",H807*I807)</f>
        <v>90</v>
      </c>
      <c r="K807" s="4" t="str">
        <f aca="false">IF($A807="","",TRIM(Base_Bruta!J807))</f>
        <v>Site</v>
      </c>
      <c r="L807" s="4" t="str">
        <f aca="false">IF($A807="","",TRIM(Base_Bruta!K807))</f>
        <v>C01359</v>
      </c>
      <c r="M807" s="4" t="str">
        <f aca="false">IF($A807="","",_xlfn.XLOOKUP(LOWER(TRIM(Base_Bruta!L807)),DePara_Cidade!$A$2:$A$29,DePara_Cidade!$B$2:$B$29,"REVISAR"))</f>
        <v>Rio de Janeiro</v>
      </c>
      <c r="N807" s="4" t="str">
        <f aca="false">IF($A807="","",UPPER(TRIM(Base_Bruta!M807)))</f>
        <v>RJ</v>
      </c>
      <c r="O807" s="4" t="str">
        <f aca="false">IF($A807="","",_xlfn.XLOOKUP(LOWER(TRIM(Base_Bruta!N807)),DePara_Pais!$A$2:$A$9,DePara_Pais!$B$2:$B$9,"REVISAR"))</f>
        <v>Brasil</v>
      </c>
      <c r="P807" s="4" t="str">
        <f aca="false">IF($A807="","",IF(O807&lt;&gt;"Brasil","Turista Internacional",IF(M807=F807,"Local","Turista Nacional")))</f>
        <v>Local</v>
      </c>
      <c r="Q807" s="7" t="n">
        <f aca="false">IF($A807="","",DATE(YEAR(B807),MONTH(B807),1))</f>
        <v>45658</v>
      </c>
      <c r="R807" s="4" t="str">
        <f aca="false">IF($A807="","",IF(COUNTIF($A$2:$A807,$A807)&gt;1,"Sim","Não"))</f>
        <v>Não</v>
      </c>
      <c r="S807" s="4" t="str">
        <f aca="false">IF(A807="","Descartar - Linha vazia",IF(R807="Sim","Descartar - Duplicado",IF(OR(H807&lt;=0,I807&lt;=0),"Descartar - Qtd/Valor inválido","OK")))</f>
        <v>OK</v>
      </c>
      <c r="T807" s="4" t="str">
        <f aca="false">Base_Bruta!P807</f>
        <v>vendas_RJ.xlsx</v>
      </c>
    </row>
    <row r="808" customFormat="false" ht="15" hidden="false" customHeight="false" outlineLevel="0" collapsed="false">
      <c r="A808" s="4" t="str">
        <f aca="false">IF(Base_Bruta!A808="","",Base_Bruta!A808)</f>
        <v>RJ-000579</v>
      </c>
      <c r="B808" s="5" t="n">
        <f aca="false">IF($A808="","",IF(ISNUMBER(Base_Bruta!B808),Base_Bruta!B808,IF(MID(Base_Bruta!B808,5,1)="-",DATE(VALUE(LEFT(Base_Bruta!B808,4)),VALUE(MID(Base_Bruta!B808,6,2)),VALUE(RIGHT(Base_Bruta!B808,2))),DATE(VALUE(RIGHT(Base_Bruta!B808,4)),VALUE(MID(Base_Bruta!B808,4,2)),VALUE(LEFT(Base_Bruta!B808,2))))))</f>
        <v>45665</v>
      </c>
      <c r="C808" s="5" t="n">
        <f aca="false">IF($A808="","",IF(ISNUMBER(Base_Bruta!C808),Base_Bruta!C808,IF(MID(Base_Bruta!C808,5,1)="-",DATE(VALUE(LEFT(Base_Bruta!C808,4)),VALUE(MID(Base_Bruta!C808,6,2)),VALUE(RIGHT(Base_Bruta!C808,2))),DATE(VALUE(RIGHT(Base_Bruta!C808,4)),VALUE(MID(Base_Bruta!C808,4,2)),VALUE(LEFT(Base_Bruta!C808,2))))))</f>
        <v>45666</v>
      </c>
      <c r="D808" s="4" t="str">
        <f aca="false">IF($A808="","",TRIM(Base_Bruta!D808))</f>
        <v>Cinema Barra - Sessões</v>
      </c>
      <c r="E808" s="4" t="str">
        <f aca="false">IF($A808="","",_xlfn.XLOOKUP(LOWER(TRIM(Base_Bruta!E808)),DePara_Categoria!$A$2:$A$9,DePara_Categoria!$B$2:$B$9,"REVISAR"))</f>
        <v>Cinema</v>
      </c>
      <c r="F808" s="4" t="str">
        <f aca="false">IF($A808="","",_xlfn.XLOOKUP(LOWER(TRIM(Base_Bruta!F808)),DePara_Cidade!$A$2:$A$29,DePara_Cidade!$B$2:$B$29,"REVISAR"))</f>
        <v>Rio de Janeiro</v>
      </c>
      <c r="G808" s="4" t="str">
        <f aca="false">IF($A808="","",TRIM(Base_Bruta!G808))</f>
        <v>Inteira</v>
      </c>
      <c r="H808" s="4" t="n">
        <f aca="false">IF($A808="","",IF(ISNUMBER(Base_Bruta!H808),Base_Bruta!H808,IFERROR(_xlfn.NUMBERVALUE(TRIM(SUBSTITUTE(Base_Bruta!H808,"R$","")),",","."),0)))</f>
        <v>1</v>
      </c>
      <c r="I808" s="6" t="n">
        <f aca="false">IF($A808="","",IF(ISNUMBER(Base_Bruta!I808),Base_Bruta!I808,IFERROR(_xlfn.NUMBERVALUE(TRIM(SUBSTITUTE(Base_Bruta!I808,"R$","")),",","."),0)))</f>
        <v>45</v>
      </c>
      <c r="J808" s="6" t="n">
        <f aca="false">IF($A808="","",H808*I808)</f>
        <v>45</v>
      </c>
      <c r="K808" s="4" t="str">
        <f aca="false">IF($A808="","",TRIM(Base_Bruta!J808))</f>
        <v>Site</v>
      </c>
      <c r="L808" s="4" t="str">
        <f aca="false">IF($A808="","",TRIM(Base_Bruta!K808))</f>
        <v>C02372</v>
      </c>
      <c r="M808" s="4" t="str">
        <f aca="false">IF($A808="","",_xlfn.XLOOKUP(LOWER(TRIM(Base_Bruta!L808)),DePara_Cidade!$A$2:$A$29,DePara_Cidade!$B$2:$B$29,"REVISAR"))</f>
        <v>Rio de Janeiro</v>
      </c>
      <c r="N808" s="4" t="str">
        <f aca="false">IF($A808="","",UPPER(TRIM(Base_Bruta!M808)))</f>
        <v>RJ</v>
      </c>
      <c r="O808" s="4" t="str">
        <f aca="false">IF($A808="","",_xlfn.XLOOKUP(LOWER(TRIM(Base_Bruta!N808)),DePara_Pais!$A$2:$A$9,DePara_Pais!$B$2:$B$9,"REVISAR"))</f>
        <v>Brasil</v>
      </c>
      <c r="P808" s="4" t="str">
        <f aca="false">IF($A808="","",IF(O808&lt;&gt;"Brasil","Turista Internacional",IF(M808=F808,"Local","Turista Nacional")))</f>
        <v>Local</v>
      </c>
      <c r="Q808" s="7" t="n">
        <f aca="false">IF($A808="","",DATE(YEAR(B808),MONTH(B808),1))</f>
        <v>45658</v>
      </c>
      <c r="R808" s="4" t="str">
        <f aca="false">IF($A808="","",IF(COUNTIF($A$2:$A808,$A808)&gt;1,"Sim","Não"))</f>
        <v>Não</v>
      </c>
      <c r="S808" s="4" t="str">
        <f aca="false">IF(A808="","Descartar - Linha vazia",IF(R808="Sim","Descartar - Duplicado",IF(OR(H808&lt;=0,I808&lt;=0),"Descartar - Qtd/Valor inválido","OK")))</f>
        <v>OK</v>
      </c>
      <c r="T808" s="4" t="str">
        <f aca="false">Base_Bruta!P808</f>
        <v>vendas_RJ.xlsx</v>
      </c>
    </row>
    <row r="809" customFormat="false" ht="15" hidden="false" customHeight="false" outlineLevel="0" collapsed="false">
      <c r="A809" s="4" t="str">
        <f aca="false">IF(Base_Bruta!A809="","",Base_Bruta!A809)</f>
        <v>RJ-000683</v>
      </c>
      <c r="B809" s="5" t="n">
        <f aca="false">IF($A809="","",IF(ISNUMBER(Base_Bruta!B809),Base_Bruta!B809,IF(MID(Base_Bruta!B809,5,1)="-",DATE(VALUE(LEFT(Base_Bruta!B809,4)),VALUE(MID(Base_Bruta!B809,6,2)),VALUE(RIGHT(Base_Bruta!B809,2))),DATE(VALUE(RIGHT(Base_Bruta!B809,4)),VALUE(MID(Base_Bruta!B809,4,2)),VALUE(LEFT(Base_Bruta!B809,2))))))</f>
        <v>45668</v>
      </c>
      <c r="C809" s="5" t="n">
        <f aca="false">IF($A809="","",IF(ISNUMBER(Base_Bruta!C809),Base_Bruta!C809,IF(MID(Base_Bruta!C809,5,1)="-",DATE(VALUE(LEFT(Base_Bruta!C809,4)),VALUE(MID(Base_Bruta!C809,6,2)),VALUE(RIGHT(Base_Bruta!C809,2))),DATE(VALUE(RIGHT(Base_Bruta!C809,4)),VALUE(MID(Base_Bruta!C809,4,2)),VALUE(LEFT(Base_Bruta!C809,2))))))</f>
        <v>45669</v>
      </c>
      <c r="D809" s="4" t="str">
        <f aca="false">IF($A809="","",TRIM(Base_Bruta!D809))</f>
        <v>Cinema Barra - Sessões</v>
      </c>
      <c r="E809" s="4" t="str">
        <f aca="false">IF($A809="","",_xlfn.XLOOKUP(LOWER(TRIM(Base_Bruta!E809)),DePara_Categoria!$A$2:$A$9,DePara_Categoria!$B$2:$B$9,"REVISAR"))</f>
        <v>Cinema</v>
      </c>
      <c r="F809" s="4" t="str">
        <f aca="false">IF($A809="","",_xlfn.XLOOKUP(LOWER(TRIM(Base_Bruta!F809)),DePara_Cidade!$A$2:$A$29,DePara_Cidade!$B$2:$B$29,"REVISAR"))</f>
        <v>Rio de Janeiro</v>
      </c>
      <c r="G809" s="4" t="str">
        <f aca="false">IF($A809="","",TRIM(Base_Bruta!G809))</f>
        <v>Inteira</v>
      </c>
      <c r="H809" s="4" t="n">
        <f aca="false">IF($A809="","",IF(ISNUMBER(Base_Bruta!H809),Base_Bruta!H809,IFERROR(_xlfn.NUMBERVALUE(TRIM(SUBSTITUTE(Base_Bruta!H809,"R$","")),",","."),0)))</f>
        <v>1</v>
      </c>
      <c r="I809" s="6" t="n">
        <f aca="false">IF($A809="","",IF(ISNUMBER(Base_Bruta!I809),Base_Bruta!I809,IFERROR(_xlfn.NUMBERVALUE(TRIM(SUBSTITUTE(Base_Bruta!I809,"R$","")),",","."),0)))</f>
        <v>30</v>
      </c>
      <c r="J809" s="6" t="n">
        <f aca="false">IF($A809="","",H809*I809)</f>
        <v>30</v>
      </c>
      <c r="K809" s="4" t="str">
        <f aca="false">IF($A809="","",TRIM(Base_Bruta!J809))</f>
        <v>Site</v>
      </c>
      <c r="L809" s="4" t="str">
        <f aca="false">IF($A809="","",TRIM(Base_Bruta!K809))</f>
        <v>C00312</v>
      </c>
      <c r="M809" s="4" t="str">
        <f aca="false">IF($A809="","",_xlfn.XLOOKUP(LOWER(TRIM(Base_Bruta!L809)),DePara_Cidade!$A$2:$A$29,DePara_Cidade!$B$2:$B$29,"REVISAR"))</f>
        <v>Rio de Janeiro</v>
      </c>
      <c r="N809" s="4" t="str">
        <f aca="false">IF($A809="","",UPPER(TRIM(Base_Bruta!M809)))</f>
        <v>RJ</v>
      </c>
      <c r="O809" s="4" t="str">
        <f aca="false">IF($A809="","",_xlfn.XLOOKUP(LOWER(TRIM(Base_Bruta!N809)),DePara_Pais!$A$2:$A$9,DePara_Pais!$B$2:$B$9,"REVISAR"))</f>
        <v>Brasil</v>
      </c>
      <c r="P809" s="4" t="str">
        <f aca="false">IF($A809="","",IF(O809&lt;&gt;"Brasil","Turista Internacional",IF(M809=F809,"Local","Turista Nacional")))</f>
        <v>Local</v>
      </c>
      <c r="Q809" s="7" t="n">
        <f aca="false">IF($A809="","",DATE(YEAR(B809),MONTH(B809),1))</f>
        <v>45658</v>
      </c>
      <c r="R809" s="4" t="str">
        <f aca="false">IF($A809="","",IF(COUNTIF($A$2:$A809,$A809)&gt;1,"Sim","Não"))</f>
        <v>Não</v>
      </c>
      <c r="S809" s="4" t="str">
        <f aca="false">IF(A809="","Descartar - Linha vazia",IF(R809="Sim","Descartar - Duplicado",IF(OR(H809&lt;=0,I809&lt;=0),"Descartar - Qtd/Valor inválido","OK")))</f>
        <v>OK</v>
      </c>
      <c r="T809" s="4" t="str">
        <f aca="false">Base_Bruta!P809</f>
        <v>vendas_RJ.xlsx</v>
      </c>
    </row>
    <row r="810" customFormat="false" ht="15" hidden="false" customHeight="false" outlineLevel="0" collapsed="false">
      <c r="A810" s="4" t="str">
        <f aca="false">IF(Base_Bruta!A810="","",Base_Bruta!A810)</f>
        <v>RJ-000652</v>
      </c>
      <c r="B810" s="5" t="n">
        <f aca="false">IF($A810="","",IF(ISNUMBER(Base_Bruta!B810),Base_Bruta!B810,IF(MID(Base_Bruta!B810,5,1)="-",DATE(VALUE(LEFT(Base_Bruta!B810,4)),VALUE(MID(Base_Bruta!B810,6,2)),VALUE(RIGHT(Base_Bruta!B810,2))),DATE(VALUE(RIGHT(Base_Bruta!B810,4)),VALUE(MID(Base_Bruta!B810,4,2)),VALUE(LEFT(Base_Bruta!B810,2))))))</f>
        <v>45670</v>
      </c>
      <c r="C810" s="5" t="n">
        <f aca="false">IF($A810="","",IF(ISNUMBER(Base_Bruta!C810),Base_Bruta!C810,IF(MID(Base_Bruta!C810,5,1)="-",DATE(VALUE(LEFT(Base_Bruta!C810,4)),VALUE(MID(Base_Bruta!C810,6,2)),VALUE(RIGHT(Base_Bruta!C810,2))),DATE(VALUE(RIGHT(Base_Bruta!C810,4)),VALUE(MID(Base_Bruta!C810,4,2)),VALUE(LEFT(Base_Bruta!C810,2))))))</f>
        <v>45670</v>
      </c>
      <c r="D810" s="4" t="str">
        <f aca="false">IF($A810="","",TRIM(Base_Bruta!D810))</f>
        <v>Cinema Barra - Sessões</v>
      </c>
      <c r="E810" s="4" t="str">
        <f aca="false">IF($A810="","",_xlfn.XLOOKUP(LOWER(TRIM(Base_Bruta!E810)),DePara_Categoria!$A$2:$A$9,DePara_Categoria!$B$2:$B$9,"REVISAR"))</f>
        <v>Cinema</v>
      </c>
      <c r="F810" s="4" t="str">
        <f aca="false">IF($A810="","",_xlfn.XLOOKUP(LOWER(TRIM(Base_Bruta!F810)),DePara_Cidade!$A$2:$A$29,DePara_Cidade!$B$2:$B$29,"REVISAR"))</f>
        <v>Rio de Janeiro</v>
      </c>
      <c r="G810" s="4" t="str">
        <f aca="false">IF($A810="","",TRIM(Base_Bruta!G810))</f>
        <v>Inteira</v>
      </c>
      <c r="H810" s="4" t="n">
        <f aca="false">IF($A810="","",IF(ISNUMBER(Base_Bruta!H810),Base_Bruta!H810,IFERROR(_xlfn.NUMBERVALUE(TRIM(SUBSTITUTE(Base_Bruta!H810,"R$","")),",","."),0)))</f>
        <v>2</v>
      </c>
      <c r="I810" s="6" t="n">
        <f aca="false">IF($A810="","",IF(ISNUMBER(Base_Bruta!I810),Base_Bruta!I810,IFERROR(_xlfn.NUMBERVALUE(TRIM(SUBSTITUTE(Base_Bruta!I810,"R$","")),",","."),0)))</f>
        <v>35</v>
      </c>
      <c r="J810" s="6" t="n">
        <f aca="false">IF($A810="","",H810*I810)</f>
        <v>70</v>
      </c>
      <c r="K810" s="4" t="str">
        <f aca="false">IF($A810="","",TRIM(Base_Bruta!J810))</f>
        <v>Site</v>
      </c>
      <c r="L810" s="4" t="str">
        <f aca="false">IF($A810="","",TRIM(Base_Bruta!K810))</f>
        <v>C00902</v>
      </c>
      <c r="M810" s="4" t="str">
        <f aca="false">IF($A810="","",_xlfn.XLOOKUP(LOWER(TRIM(Base_Bruta!L810)),DePara_Cidade!$A$2:$A$29,DePara_Cidade!$B$2:$B$29,"REVISAR"))</f>
        <v>Rio de Janeiro</v>
      </c>
      <c r="N810" s="4" t="str">
        <f aca="false">IF($A810="","",UPPER(TRIM(Base_Bruta!M810)))</f>
        <v>RJ</v>
      </c>
      <c r="O810" s="4" t="str">
        <f aca="false">IF($A810="","",_xlfn.XLOOKUP(LOWER(TRIM(Base_Bruta!N810)),DePara_Pais!$A$2:$A$9,DePara_Pais!$B$2:$B$9,"REVISAR"))</f>
        <v>Brasil</v>
      </c>
      <c r="P810" s="4" t="str">
        <f aca="false">IF($A810="","",IF(O810&lt;&gt;"Brasil","Turista Internacional",IF(M810=F810,"Local","Turista Nacional")))</f>
        <v>Local</v>
      </c>
      <c r="Q810" s="7" t="n">
        <f aca="false">IF($A810="","",DATE(YEAR(B810),MONTH(B810),1))</f>
        <v>45658</v>
      </c>
      <c r="R810" s="4" t="str">
        <f aca="false">IF($A810="","",IF(COUNTIF($A$2:$A810,$A810)&gt;1,"Sim","Não"))</f>
        <v>Não</v>
      </c>
      <c r="S810" s="4" t="str">
        <f aca="false">IF(A810="","Descartar - Linha vazia",IF(R810="Sim","Descartar - Duplicado",IF(OR(H810&lt;=0,I810&lt;=0),"Descartar - Qtd/Valor inválido","OK")))</f>
        <v>OK</v>
      </c>
      <c r="T810" s="4" t="str">
        <f aca="false">Base_Bruta!P810</f>
        <v>vendas_RJ.xlsx</v>
      </c>
    </row>
    <row r="811" customFormat="false" ht="15" hidden="false" customHeight="false" outlineLevel="0" collapsed="false">
      <c r="A811" s="4" t="str">
        <f aca="false">IF(Base_Bruta!A811="","",Base_Bruta!A811)</f>
        <v>RJ-000672</v>
      </c>
      <c r="B811" s="5" t="n">
        <f aca="false">IF($A811="","",IF(ISNUMBER(Base_Bruta!B811),Base_Bruta!B811,IF(MID(Base_Bruta!B811,5,1)="-",DATE(VALUE(LEFT(Base_Bruta!B811,4)),VALUE(MID(Base_Bruta!B811,6,2)),VALUE(RIGHT(Base_Bruta!B811,2))),DATE(VALUE(RIGHT(Base_Bruta!B811,4)),VALUE(MID(Base_Bruta!B811,4,2)),VALUE(LEFT(Base_Bruta!B811,2))))))</f>
        <v>45670</v>
      </c>
      <c r="C811" s="5" t="n">
        <f aca="false">IF($A811="","",IF(ISNUMBER(Base_Bruta!C811),Base_Bruta!C811,IF(MID(Base_Bruta!C811,5,1)="-",DATE(VALUE(LEFT(Base_Bruta!C811,4)),VALUE(MID(Base_Bruta!C811,6,2)),VALUE(RIGHT(Base_Bruta!C811,2))),DATE(VALUE(RIGHT(Base_Bruta!C811,4)),VALUE(MID(Base_Bruta!C811,4,2)),VALUE(LEFT(Base_Bruta!C811,2))))))</f>
        <v>45673</v>
      </c>
      <c r="D811" s="4" t="str">
        <f aca="false">IF($A811="","",TRIM(Base_Bruta!D811))</f>
        <v>Cinema Barra - Sessões</v>
      </c>
      <c r="E811" s="4" t="str">
        <f aca="false">IF($A811="","",_xlfn.XLOOKUP(LOWER(TRIM(Base_Bruta!E811)),DePara_Categoria!$A$2:$A$9,DePara_Categoria!$B$2:$B$9,"REVISAR"))</f>
        <v>Cinema</v>
      </c>
      <c r="F811" s="4" t="str">
        <f aca="false">IF($A811="","",_xlfn.XLOOKUP(LOWER(TRIM(Base_Bruta!F811)),DePara_Cidade!$A$2:$A$29,DePara_Cidade!$B$2:$B$29,"REVISAR"))</f>
        <v>Rio de Janeiro</v>
      </c>
      <c r="G811" s="4" t="str">
        <f aca="false">IF($A811="","",TRIM(Base_Bruta!G811))</f>
        <v>Inteira</v>
      </c>
      <c r="H811" s="4" t="n">
        <f aca="false">IF($A811="","",IF(ISNUMBER(Base_Bruta!H811),Base_Bruta!H811,IFERROR(_xlfn.NUMBERVALUE(TRIM(SUBSTITUTE(Base_Bruta!H811,"R$","")),",","."),0)))</f>
        <v>1</v>
      </c>
      <c r="I811" s="6" t="n">
        <f aca="false">IF($A811="","",IF(ISNUMBER(Base_Bruta!I811),Base_Bruta!I811,IFERROR(_xlfn.NUMBERVALUE(TRIM(SUBSTITUTE(Base_Bruta!I811,"R$","")),",","."),0)))</f>
        <v>40</v>
      </c>
      <c r="J811" s="6" t="n">
        <f aca="false">IF($A811="","",H811*I811)</f>
        <v>40</v>
      </c>
      <c r="K811" s="4" t="str">
        <f aca="false">IF($A811="","",TRIM(Base_Bruta!J811))</f>
        <v>Site</v>
      </c>
      <c r="L811" s="4" t="str">
        <f aca="false">IF($A811="","",TRIM(Base_Bruta!K811))</f>
        <v>C00006</v>
      </c>
      <c r="M811" s="4" t="str">
        <f aca="false">IF($A811="","",_xlfn.XLOOKUP(LOWER(TRIM(Base_Bruta!L811)),DePara_Cidade!$A$2:$A$29,DePara_Cidade!$B$2:$B$29,"REVISAR"))</f>
        <v>Rio de Janeiro</v>
      </c>
      <c r="N811" s="4" t="str">
        <f aca="false">IF($A811="","",UPPER(TRIM(Base_Bruta!M811)))</f>
        <v>RJ</v>
      </c>
      <c r="O811" s="4" t="str">
        <f aca="false">IF($A811="","",_xlfn.XLOOKUP(LOWER(TRIM(Base_Bruta!N811)),DePara_Pais!$A$2:$A$9,DePara_Pais!$B$2:$B$9,"REVISAR"))</f>
        <v>Brasil</v>
      </c>
      <c r="P811" s="4" t="str">
        <f aca="false">IF($A811="","",IF(O811&lt;&gt;"Brasil","Turista Internacional",IF(M811=F811,"Local","Turista Nacional")))</f>
        <v>Local</v>
      </c>
      <c r="Q811" s="7" t="n">
        <f aca="false">IF($A811="","",DATE(YEAR(B811),MONTH(B811),1))</f>
        <v>45658</v>
      </c>
      <c r="R811" s="4" t="str">
        <f aca="false">IF($A811="","",IF(COUNTIF($A$2:$A811,$A811)&gt;1,"Sim","Não"))</f>
        <v>Não</v>
      </c>
      <c r="S811" s="4" t="str">
        <f aca="false">IF(A811="","Descartar - Linha vazia",IF(R811="Sim","Descartar - Duplicado",IF(OR(H811&lt;=0,I811&lt;=0),"Descartar - Qtd/Valor inválido","OK")))</f>
        <v>OK</v>
      </c>
      <c r="T811" s="4" t="str">
        <f aca="false">Base_Bruta!P811</f>
        <v>vendas_RJ.xlsx</v>
      </c>
    </row>
    <row r="812" customFormat="false" ht="15" hidden="false" customHeight="false" outlineLevel="0" collapsed="false">
      <c r="A812" s="4" t="str">
        <f aca="false">IF(Base_Bruta!A812="","",Base_Bruta!A812)</f>
        <v>RJ-000557</v>
      </c>
      <c r="B812" s="5" t="n">
        <f aca="false">IF($A812="","",IF(ISNUMBER(Base_Bruta!B812),Base_Bruta!B812,IF(MID(Base_Bruta!B812,5,1)="-",DATE(VALUE(LEFT(Base_Bruta!B812,4)),VALUE(MID(Base_Bruta!B812,6,2)),VALUE(RIGHT(Base_Bruta!B812,2))),DATE(VALUE(RIGHT(Base_Bruta!B812,4)),VALUE(MID(Base_Bruta!B812,4,2)),VALUE(LEFT(Base_Bruta!B812,2))))))</f>
        <v>45673</v>
      </c>
      <c r="C812" s="5" t="n">
        <f aca="false">IF($A812="","",IF(ISNUMBER(Base_Bruta!C812),Base_Bruta!C812,IF(MID(Base_Bruta!C812,5,1)="-",DATE(VALUE(LEFT(Base_Bruta!C812,4)),VALUE(MID(Base_Bruta!C812,6,2)),VALUE(RIGHT(Base_Bruta!C812,2))),DATE(VALUE(RIGHT(Base_Bruta!C812,4)),VALUE(MID(Base_Bruta!C812,4,2)),VALUE(LEFT(Base_Bruta!C812,2))))))</f>
        <v>45675</v>
      </c>
      <c r="D812" s="4" t="str">
        <f aca="false">IF($A812="","",TRIM(Base_Bruta!D812))</f>
        <v>Cinema Barra - Sessões</v>
      </c>
      <c r="E812" s="4" t="str">
        <f aca="false">IF($A812="","",_xlfn.XLOOKUP(LOWER(TRIM(Base_Bruta!E812)),DePara_Categoria!$A$2:$A$9,DePara_Categoria!$B$2:$B$9,"REVISAR"))</f>
        <v>Cinema</v>
      </c>
      <c r="F812" s="4" t="str">
        <f aca="false">IF($A812="","",_xlfn.XLOOKUP(LOWER(TRIM(Base_Bruta!F812)),DePara_Cidade!$A$2:$A$29,DePara_Cidade!$B$2:$B$29,"REVISAR"))</f>
        <v>Rio de Janeiro</v>
      </c>
      <c r="G812" s="4" t="str">
        <f aca="false">IF($A812="","",TRIM(Base_Bruta!G812))</f>
        <v>Meia</v>
      </c>
      <c r="H812" s="4" t="n">
        <f aca="false">IF($A812="","",IF(ISNUMBER(Base_Bruta!H812),Base_Bruta!H812,IFERROR(_xlfn.NUMBERVALUE(TRIM(SUBSTITUTE(Base_Bruta!H812,"R$","")),",","."),0)))</f>
        <v>3</v>
      </c>
      <c r="I812" s="6" t="n">
        <f aca="false">IF($A812="","",IF(ISNUMBER(Base_Bruta!I812),Base_Bruta!I812,IFERROR(_xlfn.NUMBERVALUE(TRIM(SUBSTITUTE(Base_Bruta!I812,"R$","")),",","."),0)))</f>
        <v>17.5</v>
      </c>
      <c r="J812" s="6" t="n">
        <f aca="false">IF($A812="","",H812*I812)</f>
        <v>52.5</v>
      </c>
      <c r="K812" s="4" t="str">
        <f aca="false">IF($A812="","",TRIM(Base_Bruta!J812))</f>
        <v>App</v>
      </c>
      <c r="L812" s="4" t="str">
        <f aca="false">IF($A812="","",TRIM(Base_Bruta!K812))</f>
        <v>C01976</v>
      </c>
      <c r="M812" s="4" t="str">
        <f aca="false">IF($A812="","",_xlfn.XLOOKUP(LOWER(TRIM(Base_Bruta!L812)),DePara_Cidade!$A$2:$A$29,DePara_Cidade!$B$2:$B$29,"REVISAR"))</f>
        <v>Rio de Janeiro</v>
      </c>
      <c r="N812" s="4" t="str">
        <f aca="false">IF($A812="","",UPPER(TRIM(Base_Bruta!M812)))</f>
        <v>RJ</v>
      </c>
      <c r="O812" s="4" t="str">
        <f aca="false">IF($A812="","",_xlfn.XLOOKUP(LOWER(TRIM(Base_Bruta!N812)),DePara_Pais!$A$2:$A$9,DePara_Pais!$B$2:$B$9,"REVISAR"))</f>
        <v>Brasil</v>
      </c>
      <c r="P812" s="4" t="str">
        <f aca="false">IF($A812="","",IF(O812&lt;&gt;"Brasil","Turista Internacional",IF(M812=F812,"Local","Turista Nacional")))</f>
        <v>Local</v>
      </c>
      <c r="Q812" s="7" t="n">
        <f aca="false">IF($A812="","",DATE(YEAR(B812),MONTH(B812),1))</f>
        <v>45658</v>
      </c>
      <c r="R812" s="4" t="str">
        <f aca="false">IF($A812="","",IF(COUNTIF($A$2:$A812,$A812)&gt;1,"Sim","Não"))</f>
        <v>Não</v>
      </c>
      <c r="S812" s="4" t="str">
        <f aca="false">IF(A812="","Descartar - Linha vazia",IF(R812="Sim","Descartar - Duplicado",IF(OR(H812&lt;=0,I812&lt;=0),"Descartar - Qtd/Valor inválido","OK")))</f>
        <v>OK</v>
      </c>
      <c r="T812" s="4" t="str">
        <f aca="false">Base_Bruta!P812</f>
        <v>vendas_RJ.xlsx</v>
      </c>
    </row>
    <row r="813" customFormat="false" ht="15" hidden="false" customHeight="false" outlineLevel="0" collapsed="false">
      <c r="A813" s="4" t="str">
        <f aca="false">IF(Base_Bruta!A813="","",Base_Bruta!A813)</f>
        <v>RJ-000638</v>
      </c>
      <c r="B813" s="5" t="n">
        <f aca="false">IF($A813="","",IF(ISNUMBER(Base_Bruta!B813),Base_Bruta!B813,IF(MID(Base_Bruta!B813,5,1)="-",DATE(VALUE(LEFT(Base_Bruta!B813,4)),VALUE(MID(Base_Bruta!B813,6,2)),VALUE(RIGHT(Base_Bruta!B813,2))),DATE(VALUE(RIGHT(Base_Bruta!B813,4)),VALUE(MID(Base_Bruta!B813,4,2)),VALUE(LEFT(Base_Bruta!B813,2))))))</f>
        <v>45676</v>
      </c>
      <c r="C813" s="5" t="n">
        <f aca="false">IF($A813="","",IF(ISNUMBER(Base_Bruta!C813),Base_Bruta!C813,IF(MID(Base_Bruta!C813,5,1)="-",DATE(VALUE(LEFT(Base_Bruta!C813,4)),VALUE(MID(Base_Bruta!C813,6,2)),VALUE(RIGHT(Base_Bruta!C813,2))),DATE(VALUE(RIGHT(Base_Bruta!C813,4)),VALUE(MID(Base_Bruta!C813,4,2)),VALUE(LEFT(Base_Bruta!C813,2))))))</f>
        <v>45678</v>
      </c>
      <c r="D813" s="4" t="str">
        <f aca="false">IF($A813="","",TRIM(Base_Bruta!D813))</f>
        <v>Cinema Barra - Sessões</v>
      </c>
      <c r="E813" s="4" t="str">
        <f aca="false">IF($A813="","",_xlfn.XLOOKUP(LOWER(TRIM(Base_Bruta!E813)),DePara_Categoria!$A$2:$A$9,DePara_Categoria!$B$2:$B$9,"REVISAR"))</f>
        <v>Cinema</v>
      </c>
      <c r="F813" s="4" t="str">
        <f aca="false">IF($A813="","",_xlfn.XLOOKUP(LOWER(TRIM(Base_Bruta!F813)),DePara_Cidade!$A$2:$A$29,DePara_Cidade!$B$2:$B$29,"REVISAR"))</f>
        <v>Rio de Janeiro</v>
      </c>
      <c r="G813" s="4" t="str">
        <f aca="false">IF($A813="","",TRIM(Base_Bruta!G813))</f>
        <v>Inteira</v>
      </c>
      <c r="H813" s="4" t="n">
        <f aca="false">IF($A813="","",IF(ISNUMBER(Base_Bruta!H813),Base_Bruta!H813,IFERROR(_xlfn.NUMBERVALUE(TRIM(SUBSTITUTE(Base_Bruta!H813,"R$","")),",","."),0)))</f>
        <v>2</v>
      </c>
      <c r="I813" s="6" t="n">
        <f aca="false">IF($A813="","",IF(ISNUMBER(Base_Bruta!I813),Base_Bruta!I813,IFERROR(_xlfn.NUMBERVALUE(TRIM(SUBSTITUTE(Base_Bruta!I813,"R$","")),",","."),0)))</f>
        <v>30</v>
      </c>
      <c r="J813" s="6" t="n">
        <f aca="false">IF($A813="","",H813*I813)</f>
        <v>60</v>
      </c>
      <c r="K813" s="4" t="str">
        <f aca="false">IF($A813="","",TRIM(Base_Bruta!J813))</f>
        <v>Site</v>
      </c>
      <c r="L813" s="4" t="str">
        <f aca="false">IF($A813="","",TRIM(Base_Bruta!K813))</f>
        <v>C01689</v>
      </c>
      <c r="M813" s="4" t="str">
        <f aca="false">IF($A813="","",_xlfn.XLOOKUP(LOWER(TRIM(Base_Bruta!L813)),DePara_Cidade!$A$2:$A$29,DePara_Cidade!$B$2:$B$29,"REVISAR"))</f>
        <v>Rio de Janeiro</v>
      </c>
      <c r="N813" s="4" t="str">
        <f aca="false">IF($A813="","",UPPER(TRIM(Base_Bruta!M813)))</f>
        <v>RJ</v>
      </c>
      <c r="O813" s="4" t="str">
        <f aca="false">IF($A813="","",_xlfn.XLOOKUP(LOWER(TRIM(Base_Bruta!N813)),DePara_Pais!$A$2:$A$9,DePara_Pais!$B$2:$B$9,"REVISAR"))</f>
        <v>Brasil</v>
      </c>
      <c r="P813" s="4" t="str">
        <f aca="false">IF($A813="","",IF(O813&lt;&gt;"Brasil","Turista Internacional",IF(M813=F813,"Local","Turista Nacional")))</f>
        <v>Local</v>
      </c>
      <c r="Q813" s="7" t="n">
        <f aca="false">IF($A813="","",DATE(YEAR(B813),MONTH(B813),1))</f>
        <v>45658</v>
      </c>
      <c r="R813" s="4" t="str">
        <f aca="false">IF($A813="","",IF(COUNTIF($A$2:$A813,$A813)&gt;1,"Sim","Não"))</f>
        <v>Não</v>
      </c>
      <c r="S813" s="4" t="str">
        <f aca="false">IF(A813="","Descartar - Linha vazia",IF(R813="Sim","Descartar - Duplicado",IF(OR(H813&lt;=0,I813&lt;=0),"Descartar - Qtd/Valor inválido","OK")))</f>
        <v>OK</v>
      </c>
      <c r="T813" s="4" t="str">
        <f aca="false">Base_Bruta!P813</f>
        <v>vendas_RJ.xlsx</v>
      </c>
    </row>
    <row r="814" customFormat="false" ht="15" hidden="false" customHeight="false" outlineLevel="0" collapsed="false">
      <c r="A814" s="4" t="str">
        <f aca="false">IF(Base_Bruta!A814="","",Base_Bruta!A814)</f>
        <v>RJ-000552</v>
      </c>
      <c r="B814" s="5" t="n">
        <f aca="false">IF($A814="","",IF(ISNUMBER(Base_Bruta!B814),Base_Bruta!B814,IF(MID(Base_Bruta!B814,5,1)="-",DATE(VALUE(LEFT(Base_Bruta!B814,4)),VALUE(MID(Base_Bruta!B814,6,2)),VALUE(RIGHT(Base_Bruta!B814,2))),DATE(VALUE(RIGHT(Base_Bruta!B814,4)),VALUE(MID(Base_Bruta!B814,4,2)),VALUE(LEFT(Base_Bruta!B814,2))))))</f>
        <v>45680</v>
      </c>
      <c r="C814" s="5" t="n">
        <f aca="false">IF($A814="","",IF(ISNUMBER(Base_Bruta!C814),Base_Bruta!C814,IF(MID(Base_Bruta!C814,5,1)="-",DATE(VALUE(LEFT(Base_Bruta!C814,4)),VALUE(MID(Base_Bruta!C814,6,2)),VALUE(RIGHT(Base_Bruta!C814,2))),DATE(VALUE(RIGHT(Base_Bruta!C814,4)),VALUE(MID(Base_Bruta!C814,4,2)),VALUE(LEFT(Base_Bruta!C814,2))))))</f>
        <v>45682</v>
      </c>
      <c r="D814" s="4" t="str">
        <f aca="false">IF($A814="","",TRIM(Base_Bruta!D814))</f>
        <v>Cinema Barra - Sessões</v>
      </c>
      <c r="E814" s="4" t="str">
        <f aca="false">IF($A814="","",_xlfn.XLOOKUP(LOWER(TRIM(Base_Bruta!E814)),DePara_Categoria!$A$2:$A$9,DePara_Categoria!$B$2:$B$9,"REVISAR"))</f>
        <v>Cinema</v>
      </c>
      <c r="F814" s="4" t="str">
        <f aca="false">IF($A814="","",_xlfn.XLOOKUP(LOWER(TRIM(Base_Bruta!F814)),DePara_Cidade!$A$2:$A$29,DePara_Cidade!$B$2:$B$29,"REVISAR"))</f>
        <v>Rio de Janeiro</v>
      </c>
      <c r="G814" s="4" t="str">
        <f aca="false">IF($A814="","",TRIM(Base_Bruta!G814))</f>
        <v>Inteira</v>
      </c>
      <c r="H814" s="4" t="n">
        <f aca="false">IF($A814="","",IF(ISNUMBER(Base_Bruta!H814),Base_Bruta!H814,IFERROR(_xlfn.NUMBERVALUE(TRIM(SUBSTITUTE(Base_Bruta!H814,"R$","")),",","."),0)))</f>
        <v>1</v>
      </c>
      <c r="I814" s="6" t="n">
        <f aca="false">IF($A814="","",IF(ISNUMBER(Base_Bruta!I814),Base_Bruta!I814,IFERROR(_xlfn.NUMBERVALUE(TRIM(SUBSTITUTE(Base_Bruta!I814,"R$","")),",","."),0)))</f>
        <v>35</v>
      </c>
      <c r="J814" s="6" t="n">
        <f aca="false">IF($A814="","",H814*I814)</f>
        <v>35</v>
      </c>
      <c r="K814" s="4" t="str">
        <f aca="false">IF($A814="","",TRIM(Base_Bruta!J814))</f>
        <v>App</v>
      </c>
      <c r="L814" s="4" t="str">
        <f aca="false">IF($A814="","",TRIM(Base_Bruta!K814))</f>
        <v>C01646</v>
      </c>
      <c r="M814" s="4" t="str">
        <f aca="false">IF($A814="","",_xlfn.XLOOKUP(LOWER(TRIM(Base_Bruta!L814)),DePara_Cidade!$A$2:$A$29,DePara_Cidade!$B$2:$B$29,"REVISAR"))</f>
        <v>Rio de Janeiro</v>
      </c>
      <c r="N814" s="4" t="str">
        <f aca="false">IF($A814="","",UPPER(TRIM(Base_Bruta!M814)))</f>
        <v>RJ</v>
      </c>
      <c r="O814" s="4" t="str">
        <f aca="false">IF($A814="","",_xlfn.XLOOKUP(LOWER(TRIM(Base_Bruta!N814)),DePara_Pais!$A$2:$A$9,DePara_Pais!$B$2:$B$9,"REVISAR"))</f>
        <v>Brasil</v>
      </c>
      <c r="P814" s="4" t="str">
        <f aca="false">IF($A814="","",IF(O814&lt;&gt;"Brasil","Turista Internacional",IF(M814=F814,"Local","Turista Nacional")))</f>
        <v>Local</v>
      </c>
      <c r="Q814" s="7" t="n">
        <f aca="false">IF($A814="","",DATE(YEAR(B814),MONTH(B814),1))</f>
        <v>45658</v>
      </c>
      <c r="R814" s="4" t="str">
        <f aca="false">IF($A814="","",IF(COUNTIF($A$2:$A814,$A814)&gt;1,"Sim","Não"))</f>
        <v>Não</v>
      </c>
      <c r="S814" s="4" t="str">
        <f aca="false">IF(A814="","Descartar - Linha vazia",IF(R814="Sim","Descartar - Duplicado",IF(OR(H814&lt;=0,I814&lt;=0),"Descartar - Qtd/Valor inválido","OK")))</f>
        <v>OK</v>
      </c>
      <c r="T814" s="4" t="str">
        <f aca="false">Base_Bruta!P814</f>
        <v>vendas_RJ.xlsx</v>
      </c>
    </row>
    <row r="815" customFormat="false" ht="15" hidden="false" customHeight="false" outlineLevel="0" collapsed="false">
      <c r="A815" s="4" t="str">
        <f aca="false">IF(Base_Bruta!A815="","",Base_Bruta!A815)</f>
        <v>RJ-000609</v>
      </c>
      <c r="B815" s="5" t="n">
        <f aca="false">IF($A815="","",IF(ISNUMBER(Base_Bruta!B815),Base_Bruta!B815,IF(MID(Base_Bruta!B815,5,1)="-",DATE(VALUE(LEFT(Base_Bruta!B815,4)),VALUE(MID(Base_Bruta!B815,6,2)),VALUE(RIGHT(Base_Bruta!B815,2))),DATE(VALUE(RIGHT(Base_Bruta!B815,4)),VALUE(MID(Base_Bruta!B815,4,2)),VALUE(LEFT(Base_Bruta!B815,2))))))</f>
        <v>45686</v>
      </c>
      <c r="C815" s="5" t="n">
        <f aca="false">IF($A815="","",IF(ISNUMBER(Base_Bruta!C815),Base_Bruta!C815,IF(MID(Base_Bruta!C815,5,1)="-",DATE(VALUE(LEFT(Base_Bruta!C815,4)),VALUE(MID(Base_Bruta!C815,6,2)),VALUE(RIGHT(Base_Bruta!C815,2))),DATE(VALUE(RIGHT(Base_Bruta!C815,4)),VALUE(MID(Base_Bruta!C815,4,2)),VALUE(LEFT(Base_Bruta!C815,2))))))</f>
        <v>45686</v>
      </c>
      <c r="D815" s="4" t="str">
        <f aca="false">IF($A815="","",TRIM(Base_Bruta!D815))</f>
        <v>Cinema Barra - Sessões</v>
      </c>
      <c r="E815" s="4" t="str">
        <f aca="false">IF($A815="","",_xlfn.XLOOKUP(LOWER(TRIM(Base_Bruta!E815)),DePara_Categoria!$A$2:$A$9,DePara_Categoria!$B$2:$B$9,"REVISAR"))</f>
        <v>Cinema</v>
      </c>
      <c r="F815" s="4" t="str">
        <f aca="false">IF($A815="","",_xlfn.XLOOKUP(LOWER(TRIM(Base_Bruta!F815)),DePara_Cidade!$A$2:$A$29,DePara_Cidade!$B$2:$B$29,"REVISAR"))</f>
        <v>Rio de Janeiro</v>
      </c>
      <c r="G815" s="4" t="str">
        <f aca="false">IF($A815="","",TRIM(Base_Bruta!G815))</f>
        <v>Meia</v>
      </c>
      <c r="H815" s="4" t="n">
        <f aca="false">IF($A815="","",IF(ISNUMBER(Base_Bruta!H815),Base_Bruta!H815,IFERROR(_xlfn.NUMBERVALUE(TRIM(SUBSTITUTE(Base_Bruta!H815,"R$","")),",","."),0)))</f>
        <v>1</v>
      </c>
      <c r="I815" s="6" t="n">
        <f aca="false">IF($A815="","",IF(ISNUMBER(Base_Bruta!I815),Base_Bruta!I815,IFERROR(_xlfn.NUMBERVALUE(TRIM(SUBSTITUTE(Base_Bruta!I815,"R$","")),",","."),0)))</f>
        <v>20</v>
      </c>
      <c r="J815" s="6" t="n">
        <f aca="false">IF($A815="","",H815*I815)</f>
        <v>20</v>
      </c>
      <c r="K815" s="4" t="str">
        <f aca="false">IF($A815="","",TRIM(Base_Bruta!J815))</f>
        <v>Site</v>
      </c>
      <c r="L815" s="4" t="str">
        <f aca="false">IF($A815="","",TRIM(Base_Bruta!K815))</f>
        <v>C01597</v>
      </c>
      <c r="M815" s="4" t="str">
        <f aca="false">IF($A815="","",_xlfn.XLOOKUP(LOWER(TRIM(Base_Bruta!L815)),DePara_Cidade!$A$2:$A$29,DePara_Cidade!$B$2:$B$29,"REVISAR"))</f>
        <v>Rio de Janeiro</v>
      </c>
      <c r="N815" s="4" t="str">
        <f aca="false">IF($A815="","",UPPER(TRIM(Base_Bruta!M815)))</f>
        <v>RJ</v>
      </c>
      <c r="O815" s="4" t="str">
        <f aca="false">IF($A815="","",_xlfn.XLOOKUP(LOWER(TRIM(Base_Bruta!N815)),DePara_Pais!$A$2:$A$9,DePara_Pais!$B$2:$B$9,"REVISAR"))</f>
        <v>Brasil</v>
      </c>
      <c r="P815" s="4" t="str">
        <f aca="false">IF($A815="","",IF(O815&lt;&gt;"Brasil","Turista Internacional",IF(M815=F815,"Local","Turista Nacional")))</f>
        <v>Local</v>
      </c>
      <c r="Q815" s="7" t="n">
        <f aca="false">IF($A815="","",DATE(YEAR(B815),MONTH(B815),1))</f>
        <v>45658</v>
      </c>
      <c r="R815" s="4" t="str">
        <f aca="false">IF($A815="","",IF(COUNTIF($A$2:$A815,$A815)&gt;1,"Sim","Não"))</f>
        <v>Não</v>
      </c>
      <c r="S815" s="4" t="str">
        <f aca="false">IF(A815="","Descartar - Linha vazia",IF(R815="Sim","Descartar - Duplicado",IF(OR(H815&lt;=0,I815&lt;=0),"Descartar - Qtd/Valor inválido","OK")))</f>
        <v>OK</v>
      </c>
      <c r="T815" s="4" t="str">
        <f aca="false">Base_Bruta!P815</f>
        <v>vendas_RJ.xlsx</v>
      </c>
    </row>
    <row r="816" customFormat="false" ht="15" hidden="false" customHeight="false" outlineLevel="0" collapsed="false">
      <c r="A816" s="4" t="str">
        <f aca="false">IF(Base_Bruta!A816="","",Base_Bruta!A816)</f>
        <v>RJ-000591</v>
      </c>
      <c r="B816" s="5" t="n">
        <f aca="false">IF($A816="","",IF(ISNUMBER(Base_Bruta!B816),Base_Bruta!B816,IF(MID(Base_Bruta!B816,5,1)="-",DATE(VALUE(LEFT(Base_Bruta!B816,4)),VALUE(MID(Base_Bruta!B816,6,2)),VALUE(RIGHT(Base_Bruta!B816,2))),DATE(VALUE(RIGHT(Base_Bruta!B816,4)),VALUE(MID(Base_Bruta!B816,4,2)),VALUE(LEFT(Base_Bruta!B816,2))))))</f>
        <v>45690</v>
      </c>
      <c r="C816" s="5" t="n">
        <f aca="false">IF($A816="","",IF(ISNUMBER(Base_Bruta!C816),Base_Bruta!C816,IF(MID(Base_Bruta!C816,5,1)="-",DATE(VALUE(LEFT(Base_Bruta!C816,4)),VALUE(MID(Base_Bruta!C816,6,2)),VALUE(RIGHT(Base_Bruta!C816,2))),DATE(VALUE(RIGHT(Base_Bruta!C816,4)),VALUE(MID(Base_Bruta!C816,4,2)),VALUE(LEFT(Base_Bruta!C816,2))))))</f>
        <v>45693</v>
      </c>
      <c r="D816" s="4" t="str">
        <f aca="false">IF($A816="","",TRIM(Base_Bruta!D816))</f>
        <v>Cinema Barra - Sessões</v>
      </c>
      <c r="E816" s="4" t="str">
        <f aca="false">IF($A816="","",_xlfn.XLOOKUP(LOWER(TRIM(Base_Bruta!E816)),DePara_Categoria!$A$2:$A$9,DePara_Categoria!$B$2:$B$9,"REVISAR"))</f>
        <v>Cinema</v>
      </c>
      <c r="F816" s="4" t="str">
        <f aca="false">IF($A816="","",_xlfn.XLOOKUP(LOWER(TRIM(Base_Bruta!F816)),DePara_Cidade!$A$2:$A$29,DePara_Cidade!$B$2:$B$29,"REVISAR"))</f>
        <v>Rio de Janeiro</v>
      </c>
      <c r="G816" s="4" t="str">
        <f aca="false">IF($A816="","",TRIM(Base_Bruta!G816))</f>
        <v>Meia</v>
      </c>
      <c r="H816" s="4" t="n">
        <f aca="false">IF($A816="","",IF(ISNUMBER(Base_Bruta!H816),Base_Bruta!H816,IFERROR(_xlfn.NUMBERVALUE(TRIM(SUBSTITUTE(Base_Bruta!H816,"R$","")),",","."),0)))</f>
        <v>1</v>
      </c>
      <c r="I816" s="6" t="n">
        <f aca="false">IF($A816="","",IF(ISNUMBER(Base_Bruta!I816),Base_Bruta!I816,IFERROR(_xlfn.NUMBERVALUE(TRIM(SUBSTITUTE(Base_Bruta!I816,"R$","")),",","."),0)))</f>
        <v>20</v>
      </c>
      <c r="J816" s="6" t="n">
        <f aca="false">IF($A816="","",H816*I816)</f>
        <v>20</v>
      </c>
      <c r="K816" s="4" t="str">
        <f aca="false">IF($A816="","",TRIM(Base_Bruta!J816))</f>
        <v>Site</v>
      </c>
      <c r="L816" s="4" t="str">
        <f aca="false">IF($A816="","",TRIM(Base_Bruta!K816))</f>
        <v>C01635</v>
      </c>
      <c r="M816" s="4" t="str">
        <f aca="false">IF($A816="","",_xlfn.XLOOKUP(LOWER(TRIM(Base_Bruta!L816)),DePara_Cidade!$A$2:$A$29,DePara_Cidade!$B$2:$B$29,"REVISAR"))</f>
        <v>Rio de Janeiro</v>
      </c>
      <c r="N816" s="4" t="str">
        <f aca="false">IF($A816="","",UPPER(TRIM(Base_Bruta!M816)))</f>
        <v>RJ</v>
      </c>
      <c r="O816" s="4" t="str">
        <f aca="false">IF($A816="","",_xlfn.XLOOKUP(LOWER(TRIM(Base_Bruta!N816)),DePara_Pais!$A$2:$A$9,DePara_Pais!$B$2:$B$9,"REVISAR"))</f>
        <v>Brasil</v>
      </c>
      <c r="P816" s="4" t="str">
        <f aca="false">IF($A816="","",IF(O816&lt;&gt;"Brasil","Turista Internacional",IF(M816=F816,"Local","Turista Nacional")))</f>
        <v>Local</v>
      </c>
      <c r="Q816" s="7" t="n">
        <f aca="false">IF($A816="","",DATE(YEAR(B816),MONTH(B816),1))</f>
        <v>45689</v>
      </c>
      <c r="R816" s="4" t="str">
        <f aca="false">IF($A816="","",IF(COUNTIF($A$2:$A816,$A816)&gt;1,"Sim","Não"))</f>
        <v>Não</v>
      </c>
      <c r="S816" s="4" t="str">
        <f aca="false">IF(A816="","Descartar - Linha vazia",IF(R816="Sim","Descartar - Duplicado",IF(OR(H816&lt;=0,I816&lt;=0),"Descartar - Qtd/Valor inválido","OK")))</f>
        <v>OK</v>
      </c>
      <c r="T816" s="4" t="str">
        <f aca="false">Base_Bruta!P816</f>
        <v>vendas_RJ.xlsx</v>
      </c>
    </row>
    <row r="817" customFormat="false" ht="15" hidden="false" customHeight="false" outlineLevel="0" collapsed="false">
      <c r="A817" s="4" t="str">
        <f aca="false">IF(Base_Bruta!A817="","",Base_Bruta!A817)</f>
        <v>RJ-000622</v>
      </c>
      <c r="B817" s="5" t="n">
        <f aca="false">IF($A817="","",IF(ISNUMBER(Base_Bruta!B817),Base_Bruta!B817,IF(MID(Base_Bruta!B817,5,1)="-",DATE(VALUE(LEFT(Base_Bruta!B817,4)),VALUE(MID(Base_Bruta!B817,6,2)),VALUE(RIGHT(Base_Bruta!B817,2))),DATE(VALUE(RIGHT(Base_Bruta!B817,4)),VALUE(MID(Base_Bruta!B817,4,2)),VALUE(LEFT(Base_Bruta!B817,2))))))</f>
        <v>45690</v>
      </c>
      <c r="C817" s="5" t="n">
        <f aca="false">IF($A817="","",IF(ISNUMBER(Base_Bruta!C817),Base_Bruta!C817,IF(MID(Base_Bruta!C817,5,1)="-",DATE(VALUE(LEFT(Base_Bruta!C817,4)),VALUE(MID(Base_Bruta!C817,6,2)),VALUE(RIGHT(Base_Bruta!C817,2))),DATE(VALUE(RIGHT(Base_Bruta!C817,4)),VALUE(MID(Base_Bruta!C817,4,2)),VALUE(LEFT(Base_Bruta!C817,2))))))</f>
        <v>45691</v>
      </c>
      <c r="D817" s="4" t="str">
        <f aca="false">IF($A817="","",TRIM(Base_Bruta!D817))</f>
        <v>Cinema Barra - Sessões</v>
      </c>
      <c r="E817" s="4" t="str">
        <f aca="false">IF($A817="","",_xlfn.XLOOKUP(LOWER(TRIM(Base_Bruta!E817)),DePara_Categoria!$A$2:$A$9,DePara_Categoria!$B$2:$B$9,"REVISAR"))</f>
        <v>Cinema</v>
      </c>
      <c r="F817" s="4" t="str">
        <f aca="false">IF($A817="","",_xlfn.XLOOKUP(LOWER(TRIM(Base_Bruta!F817)),DePara_Cidade!$A$2:$A$29,DePara_Cidade!$B$2:$B$29,"REVISAR"))</f>
        <v>Rio de Janeiro</v>
      </c>
      <c r="G817" s="4" t="str">
        <f aca="false">IF($A817="","",TRIM(Base_Bruta!G817))</f>
        <v>Inteira</v>
      </c>
      <c r="H817" s="4" t="n">
        <f aca="false">IF($A817="","",IF(ISNUMBER(Base_Bruta!H817),Base_Bruta!H817,IFERROR(_xlfn.NUMBERVALUE(TRIM(SUBSTITUTE(Base_Bruta!H817,"R$","")),",","."),0)))</f>
        <v>2</v>
      </c>
      <c r="I817" s="6" t="n">
        <f aca="false">IF($A817="","",IF(ISNUMBER(Base_Bruta!I817),Base_Bruta!I817,IFERROR(_xlfn.NUMBERVALUE(TRIM(SUBSTITUTE(Base_Bruta!I817,"R$","")),",","."),0)))</f>
        <v>40</v>
      </c>
      <c r="J817" s="6" t="n">
        <f aca="false">IF($A817="","",H817*I817)</f>
        <v>80</v>
      </c>
      <c r="K817" s="4" t="str">
        <f aca="false">IF($A817="","",TRIM(Base_Bruta!J817))</f>
        <v>App</v>
      </c>
      <c r="L817" s="4" t="str">
        <f aca="false">IF($A817="","",TRIM(Base_Bruta!K817))</f>
        <v>C01982</v>
      </c>
      <c r="M817" s="4" t="str">
        <f aca="false">IF($A817="","",_xlfn.XLOOKUP(LOWER(TRIM(Base_Bruta!L817)),DePara_Cidade!$A$2:$A$29,DePara_Cidade!$B$2:$B$29,"REVISAR"))</f>
        <v>Rio de Janeiro</v>
      </c>
      <c r="N817" s="4" t="str">
        <f aca="false">IF($A817="","",UPPER(TRIM(Base_Bruta!M817)))</f>
        <v>RJ</v>
      </c>
      <c r="O817" s="4" t="str">
        <f aca="false">IF($A817="","",_xlfn.XLOOKUP(LOWER(TRIM(Base_Bruta!N817)),DePara_Pais!$A$2:$A$9,DePara_Pais!$B$2:$B$9,"REVISAR"))</f>
        <v>Brasil</v>
      </c>
      <c r="P817" s="4" t="str">
        <f aca="false">IF($A817="","",IF(O817&lt;&gt;"Brasil","Turista Internacional",IF(M817=F817,"Local","Turista Nacional")))</f>
        <v>Local</v>
      </c>
      <c r="Q817" s="7" t="n">
        <f aca="false">IF($A817="","",DATE(YEAR(B817),MONTH(B817),1))</f>
        <v>45689</v>
      </c>
      <c r="R817" s="4" t="str">
        <f aca="false">IF($A817="","",IF(COUNTIF($A$2:$A817,$A817)&gt;1,"Sim","Não"))</f>
        <v>Não</v>
      </c>
      <c r="S817" s="4" t="str">
        <f aca="false">IF(A817="","Descartar - Linha vazia",IF(R817="Sim","Descartar - Duplicado",IF(OR(H817&lt;=0,I817&lt;=0),"Descartar - Qtd/Valor inválido","OK")))</f>
        <v>OK</v>
      </c>
      <c r="T817" s="4" t="str">
        <f aca="false">Base_Bruta!P817</f>
        <v>vendas_RJ.xlsx</v>
      </c>
    </row>
    <row r="818" customFormat="false" ht="15" hidden="false" customHeight="false" outlineLevel="0" collapsed="false">
      <c r="A818" s="4" t="str">
        <f aca="false">IF(Base_Bruta!A818="","",Base_Bruta!A818)</f>
        <v>RJ-000689</v>
      </c>
      <c r="B818" s="5" t="n">
        <f aca="false">IF($A818="","",IF(ISNUMBER(Base_Bruta!B818),Base_Bruta!B818,IF(MID(Base_Bruta!B818,5,1)="-",DATE(VALUE(LEFT(Base_Bruta!B818,4)),VALUE(MID(Base_Bruta!B818,6,2)),VALUE(RIGHT(Base_Bruta!B818,2))),DATE(VALUE(RIGHT(Base_Bruta!B818,4)),VALUE(MID(Base_Bruta!B818,4,2)),VALUE(LEFT(Base_Bruta!B818,2))))))</f>
        <v>45690</v>
      </c>
      <c r="C818" s="5" t="n">
        <f aca="false">IF($A818="","",IF(ISNUMBER(Base_Bruta!C818),Base_Bruta!C818,IF(MID(Base_Bruta!C818,5,1)="-",DATE(VALUE(LEFT(Base_Bruta!C818,4)),VALUE(MID(Base_Bruta!C818,6,2)),VALUE(RIGHT(Base_Bruta!C818,2))),DATE(VALUE(RIGHT(Base_Bruta!C818,4)),VALUE(MID(Base_Bruta!C818,4,2)),VALUE(LEFT(Base_Bruta!C818,2))))))</f>
        <v>45691</v>
      </c>
      <c r="D818" s="4" t="str">
        <f aca="false">IF($A818="","",TRIM(Base_Bruta!D818))</f>
        <v>Cinema Barra - Sessões</v>
      </c>
      <c r="E818" s="4" t="str">
        <f aca="false">IF($A818="","",_xlfn.XLOOKUP(LOWER(TRIM(Base_Bruta!E818)),DePara_Categoria!$A$2:$A$9,DePara_Categoria!$B$2:$B$9,"REVISAR"))</f>
        <v>Cinema</v>
      </c>
      <c r="F818" s="4" t="str">
        <f aca="false">IF($A818="","",_xlfn.XLOOKUP(LOWER(TRIM(Base_Bruta!F818)),DePara_Cidade!$A$2:$A$29,DePara_Cidade!$B$2:$B$29,"REVISAR"))</f>
        <v>Rio de Janeiro</v>
      </c>
      <c r="G818" s="4" t="str">
        <f aca="false">IF($A818="","",TRIM(Base_Bruta!G818))</f>
        <v>Meia</v>
      </c>
      <c r="H818" s="4" t="n">
        <f aca="false">IF($A818="","",IF(ISNUMBER(Base_Bruta!H818),Base_Bruta!H818,IFERROR(_xlfn.NUMBERVALUE(TRIM(SUBSTITUTE(Base_Bruta!H818,"R$","")),",","."),0)))</f>
        <v>3</v>
      </c>
      <c r="I818" s="6" t="n">
        <f aca="false">IF($A818="","",IF(ISNUMBER(Base_Bruta!I818),Base_Bruta!I818,IFERROR(_xlfn.NUMBERVALUE(TRIM(SUBSTITUTE(Base_Bruta!I818,"R$","")),",","."),0)))</f>
        <v>20</v>
      </c>
      <c r="J818" s="6" t="n">
        <f aca="false">IF($A818="","",H818*I818)</f>
        <v>60</v>
      </c>
      <c r="K818" s="4" t="str">
        <f aca="false">IF($A818="","",TRIM(Base_Bruta!J818))</f>
        <v>Site</v>
      </c>
      <c r="L818" s="4" t="str">
        <f aca="false">IF($A818="","",TRIM(Base_Bruta!K818))</f>
        <v>C02213</v>
      </c>
      <c r="M818" s="4" t="str">
        <f aca="false">IF($A818="","",_xlfn.XLOOKUP(LOWER(TRIM(Base_Bruta!L818)),DePara_Cidade!$A$2:$A$29,DePara_Cidade!$B$2:$B$29,"REVISAR"))</f>
        <v>Rio de Janeiro</v>
      </c>
      <c r="N818" s="4" t="str">
        <f aca="false">IF($A818="","",UPPER(TRIM(Base_Bruta!M818)))</f>
        <v>RJ</v>
      </c>
      <c r="O818" s="4" t="str">
        <f aca="false">IF($A818="","",_xlfn.XLOOKUP(LOWER(TRIM(Base_Bruta!N818)),DePara_Pais!$A$2:$A$9,DePara_Pais!$B$2:$B$9,"REVISAR"))</f>
        <v>Brasil</v>
      </c>
      <c r="P818" s="4" t="str">
        <f aca="false">IF($A818="","",IF(O818&lt;&gt;"Brasil","Turista Internacional",IF(M818=F818,"Local","Turista Nacional")))</f>
        <v>Local</v>
      </c>
      <c r="Q818" s="7" t="n">
        <f aca="false">IF($A818="","",DATE(YEAR(B818),MONTH(B818),1))</f>
        <v>45689</v>
      </c>
      <c r="R818" s="4" t="str">
        <f aca="false">IF($A818="","",IF(COUNTIF($A$2:$A818,$A818)&gt;1,"Sim","Não"))</f>
        <v>Não</v>
      </c>
      <c r="S818" s="4" t="str">
        <f aca="false">IF(A818="","Descartar - Linha vazia",IF(R818="Sim","Descartar - Duplicado",IF(OR(H818&lt;=0,I818&lt;=0),"Descartar - Qtd/Valor inválido","OK")))</f>
        <v>OK</v>
      </c>
      <c r="T818" s="4" t="str">
        <f aca="false">Base_Bruta!P818</f>
        <v>vendas_RJ.xlsx</v>
      </c>
    </row>
    <row r="819" customFormat="false" ht="15" hidden="false" customHeight="false" outlineLevel="0" collapsed="false">
      <c r="A819" s="4" t="str">
        <f aca="false">IF(Base_Bruta!A819="","",Base_Bruta!A819)</f>
        <v>RJ-000531</v>
      </c>
      <c r="B819" s="5" t="n">
        <f aca="false">IF($A819="","",IF(ISNUMBER(Base_Bruta!B819),Base_Bruta!B819,IF(MID(Base_Bruta!B819,5,1)="-",DATE(VALUE(LEFT(Base_Bruta!B819,4)),VALUE(MID(Base_Bruta!B819,6,2)),VALUE(RIGHT(Base_Bruta!B819,2))),DATE(VALUE(RIGHT(Base_Bruta!B819,4)),VALUE(MID(Base_Bruta!B819,4,2)),VALUE(LEFT(Base_Bruta!B819,2))))))</f>
        <v>45695</v>
      </c>
      <c r="C819" s="5" t="n">
        <f aca="false">IF($A819="","",IF(ISNUMBER(Base_Bruta!C819),Base_Bruta!C819,IF(MID(Base_Bruta!C819,5,1)="-",DATE(VALUE(LEFT(Base_Bruta!C819,4)),VALUE(MID(Base_Bruta!C819,6,2)),VALUE(RIGHT(Base_Bruta!C819,2))),DATE(VALUE(RIGHT(Base_Bruta!C819,4)),VALUE(MID(Base_Bruta!C819,4,2)),VALUE(LEFT(Base_Bruta!C819,2))))))</f>
        <v>45698</v>
      </c>
      <c r="D819" s="4" t="str">
        <f aca="false">IF($A819="","",TRIM(Base_Bruta!D819))</f>
        <v>Cinema Barra - Sessões</v>
      </c>
      <c r="E819" s="4" t="str">
        <f aca="false">IF($A819="","",_xlfn.XLOOKUP(LOWER(TRIM(Base_Bruta!E819)),DePara_Categoria!$A$2:$A$9,DePara_Categoria!$B$2:$B$9,"REVISAR"))</f>
        <v>Cinema</v>
      </c>
      <c r="F819" s="4" t="str">
        <f aca="false">IF($A819="","",_xlfn.XLOOKUP(LOWER(TRIM(Base_Bruta!F819)),DePara_Cidade!$A$2:$A$29,DePara_Cidade!$B$2:$B$29,"REVISAR"))</f>
        <v>Rio de Janeiro</v>
      </c>
      <c r="G819" s="4" t="str">
        <f aca="false">IF($A819="","",TRIM(Base_Bruta!G819))</f>
        <v>Meia</v>
      </c>
      <c r="H819" s="4" t="n">
        <f aca="false">IF($A819="","",IF(ISNUMBER(Base_Bruta!H819),Base_Bruta!H819,IFERROR(_xlfn.NUMBERVALUE(TRIM(SUBSTITUTE(Base_Bruta!H819,"R$","")),",","."),0)))</f>
        <v>3</v>
      </c>
      <c r="I819" s="6" t="n">
        <f aca="false">IF($A819="","",IF(ISNUMBER(Base_Bruta!I819),Base_Bruta!I819,IFERROR(_xlfn.NUMBERVALUE(TRIM(SUBSTITUTE(Base_Bruta!I819,"R$","")),",","."),0)))</f>
        <v>22.5</v>
      </c>
      <c r="J819" s="6" t="n">
        <f aca="false">IF($A819="","",H819*I819)</f>
        <v>67.5</v>
      </c>
      <c r="K819" s="4" t="str">
        <f aca="false">IF($A819="","",TRIM(Base_Bruta!J819))</f>
        <v>App</v>
      </c>
      <c r="L819" s="4" t="str">
        <f aca="false">IF($A819="","",TRIM(Base_Bruta!K819))</f>
        <v>C01038</v>
      </c>
      <c r="M819" s="4" t="str">
        <f aca="false">IF($A819="","",_xlfn.XLOOKUP(LOWER(TRIM(Base_Bruta!L819)),DePara_Cidade!$A$2:$A$29,DePara_Cidade!$B$2:$B$29,"REVISAR"))</f>
        <v>Rio de Janeiro</v>
      </c>
      <c r="N819" s="4" t="str">
        <f aca="false">IF($A819="","",UPPER(TRIM(Base_Bruta!M819)))</f>
        <v>RJ</v>
      </c>
      <c r="O819" s="4" t="str">
        <f aca="false">IF($A819="","",_xlfn.XLOOKUP(LOWER(TRIM(Base_Bruta!N819)),DePara_Pais!$A$2:$A$9,DePara_Pais!$B$2:$B$9,"REVISAR"))</f>
        <v>Brasil</v>
      </c>
      <c r="P819" s="4" t="str">
        <f aca="false">IF($A819="","",IF(O819&lt;&gt;"Brasil","Turista Internacional",IF(M819=F819,"Local","Turista Nacional")))</f>
        <v>Local</v>
      </c>
      <c r="Q819" s="7" t="n">
        <f aca="false">IF($A819="","",DATE(YEAR(B819),MONTH(B819),1))</f>
        <v>45689</v>
      </c>
      <c r="R819" s="4" t="str">
        <f aca="false">IF($A819="","",IF(COUNTIF($A$2:$A819,$A819)&gt;1,"Sim","Não"))</f>
        <v>Não</v>
      </c>
      <c r="S819" s="4" t="str">
        <f aca="false">IF(A819="","Descartar - Linha vazia",IF(R819="Sim","Descartar - Duplicado",IF(OR(H819&lt;=0,I819&lt;=0),"Descartar - Qtd/Valor inválido","OK")))</f>
        <v>OK</v>
      </c>
      <c r="T819" s="4" t="str">
        <f aca="false">Base_Bruta!P819</f>
        <v>vendas_RJ.xlsx</v>
      </c>
    </row>
    <row r="820" customFormat="false" ht="15" hidden="false" customHeight="false" outlineLevel="0" collapsed="false">
      <c r="A820" s="4" t="str">
        <f aca="false">IF(Base_Bruta!A820="","",Base_Bruta!A820)</f>
        <v>RJ-000560</v>
      </c>
      <c r="B820" s="5" t="n">
        <f aca="false">IF($A820="","",IF(ISNUMBER(Base_Bruta!B820),Base_Bruta!B820,IF(MID(Base_Bruta!B820,5,1)="-",DATE(VALUE(LEFT(Base_Bruta!B820,4)),VALUE(MID(Base_Bruta!B820,6,2)),VALUE(RIGHT(Base_Bruta!B820,2))),DATE(VALUE(RIGHT(Base_Bruta!B820,4)),VALUE(MID(Base_Bruta!B820,4,2)),VALUE(LEFT(Base_Bruta!B820,2))))))</f>
        <v>45698</v>
      </c>
      <c r="C820" s="5" t="n">
        <f aca="false">IF($A820="","",IF(ISNUMBER(Base_Bruta!C820),Base_Bruta!C820,IF(MID(Base_Bruta!C820,5,1)="-",DATE(VALUE(LEFT(Base_Bruta!C820,4)),VALUE(MID(Base_Bruta!C820,6,2)),VALUE(RIGHT(Base_Bruta!C820,2))),DATE(VALUE(RIGHT(Base_Bruta!C820,4)),VALUE(MID(Base_Bruta!C820,4,2)),VALUE(LEFT(Base_Bruta!C820,2))))))</f>
        <v>45700</v>
      </c>
      <c r="D820" s="4" t="str">
        <f aca="false">IF($A820="","",TRIM(Base_Bruta!D820))</f>
        <v>Cinema Barra - Sessões</v>
      </c>
      <c r="E820" s="4" t="str">
        <f aca="false">IF($A820="","",_xlfn.XLOOKUP(LOWER(TRIM(Base_Bruta!E820)),DePara_Categoria!$A$2:$A$9,DePara_Categoria!$B$2:$B$9,"REVISAR"))</f>
        <v>Cinema</v>
      </c>
      <c r="F820" s="4" t="str">
        <f aca="false">IF($A820="","",_xlfn.XLOOKUP(LOWER(TRIM(Base_Bruta!F820)),DePara_Cidade!$A$2:$A$29,DePara_Cidade!$B$2:$B$29,"REVISAR"))</f>
        <v>Rio de Janeiro</v>
      </c>
      <c r="G820" s="4" t="str">
        <f aca="false">IF($A820="","",TRIM(Base_Bruta!G820))</f>
        <v>Meia</v>
      </c>
      <c r="H820" s="4" t="n">
        <f aca="false">IF($A820="","",IF(ISNUMBER(Base_Bruta!H820),Base_Bruta!H820,IFERROR(_xlfn.NUMBERVALUE(TRIM(SUBSTITUTE(Base_Bruta!H820,"R$","")),",","."),0)))</f>
        <v>1</v>
      </c>
      <c r="I820" s="6" t="n">
        <f aca="false">IF($A820="","",IF(ISNUMBER(Base_Bruta!I820),Base_Bruta!I820,IFERROR(_xlfn.NUMBERVALUE(TRIM(SUBSTITUTE(Base_Bruta!I820,"R$","")),",","."),0)))</f>
        <v>20</v>
      </c>
      <c r="J820" s="6" t="n">
        <f aca="false">IF($A820="","",H820*I820)</f>
        <v>20</v>
      </c>
      <c r="K820" s="4" t="str">
        <f aca="false">IF($A820="","",TRIM(Base_Bruta!J820))</f>
        <v>App</v>
      </c>
      <c r="L820" s="4" t="str">
        <f aca="false">IF($A820="","",TRIM(Base_Bruta!K820))</f>
        <v>C02135</v>
      </c>
      <c r="M820" s="4" t="str">
        <f aca="false">IF($A820="","",_xlfn.XLOOKUP(LOWER(TRIM(Base_Bruta!L820)),DePara_Cidade!$A$2:$A$29,DePara_Cidade!$B$2:$B$29,"REVISAR"))</f>
        <v>Rio de Janeiro</v>
      </c>
      <c r="N820" s="4" t="str">
        <f aca="false">IF($A820="","",UPPER(TRIM(Base_Bruta!M820)))</f>
        <v>RJ</v>
      </c>
      <c r="O820" s="4" t="str">
        <f aca="false">IF($A820="","",_xlfn.XLOOKUP(LOWER(TRIM(Base_Bruta!N820)),DePara_Pais!$A$2:$A$9,DePara_Pais!$B$2:$B$9,"REVISAR"))</f>
        <v>Brasil</v>
      </c>
      <c r="P820" s="4" t="str">
        <f aca="false">IF($A820="","",IF(O820&lt;&gt;"Brasil","Turista Internacional",IF(M820=F820,"Local","Turista Nacional")))</f>
        <v>Local</v>
      </c>
      <c r="Q820" s="7" t="n">
        <f aca="false">IF($A820="","",DATE(YEAR(B820),MONTH(B820),1))</f>
        <v>45689</v>
      </c>
      <c r="R820" s="4" t="str">
        <f aca="false">IF($A820="","",IF(COUNTIF($A$2:$A820,$A820)&gt;1,"Sim","Não"))</f>
        <v>Não</v>
      </c>
      <c r="S820" s="4" t="str">
        <f aca="false">IF(A820="","Descartar - Linha vazia",IF(R820="Sim","Descartar - Duplicado",IF(OR(H820&lt;=0,I820&lt;=0),"Descartar - Qtd/Valor inválido","OK")))</f>
        <v>OK</v>
      </c>
      <c r="T820" s="4" t="str">
        <f aca="false">Base_Bruta!P820</f>
        <v>vendas_RJ.xlsx</v>
      </c>
    </row>
    <row r="821" customFormat="false" ht="15" hidden="false" customHeight="false" outlineLevel="0" collapsed="false">
      <c r="A821" s="4" t="str">
        <f aca="false">IF(Base_Bruta!A821="","",Base_Bruta!A821)</f>
        <v>RJ-000636</v>
      </c>
      <c r="B821" s="5" t="n">
        <f aca="false">IF($A821="","",IF(ISNUMBER(Base_Bruta!B821),Base_Bruta!B821,IF(MID(Base_Bruta!B821,5,1)="-",DATE(VALUE(LEFT(Base_Bruta!B821,4)),VALUE(MID(Base_Bruta!B821,6,2)),VALUE(RIGHT(Base_Bruta!B821,2))),DATE(VALUE(RIGHT(Base_Bruta!B821,4)),VALUE(MID(Base_Bruta!B821,4,2)),VALUE(LEFT(Base_Bruta!B821,2))))))</f>
        <v>45701</v>
      </c>
      <c r="C821" s="5" t="n">
        <f aca="false">IF($A821="","",IF(ISNUMBER(Base_Bruta!C821),Base_Bruta!C821,IF(MID(Base_Bruta!C821,5,1)="-",DATE(VALUE(LEFT(Base_Bruta!C821,4)),VALUE(MID(Base_Bruta!C821,6,2)),VALUE(RIGHT(Base_Bruta!C821,2))),DATE(VALUE(RIGHT(Base_Bruta!C821,4)),VALUE(MID(Base_Bruta!C821,4,2)),VALUE(LEFT(Base_Bruta!C821,2))))))</f>
        <v>45703</v>
      </c>
      <c r="D821" s="4" t="str">
        <f aca="false">IF($A821="","",TRIM(Base_Bruta!D821))</f>
        <v>Cinema Barra - Sessões</v>
      </c>
      <c r="E821" s="4" t="str">
        <f aca="false">IF($A821="","",_xlfn.XLOOKUP(LOWER(TRIM(Base_Bruta!E821)),DePara_Categoria!$A$2:$A$9,DePara_Categoria!$B$2:$B$9,"REVISAR"))</f>
        <v>Cinema</v>
      </c>
      <c r="F821" s="4" t="str">
        <f aca="false">IF($A821="","",_xlfn.XLOOKUP(LOWER(TRIM(Base_Bruta!F821)),DePara_Cidade!$A$2:$A$29,DePara_Cidade!$B$2:$B$29,"REVISAR"))</f>
        <v>Rio de Janeiro</v>
      </c>
      <c r="G821" s="4" t="str">
        <f aca="false">IF($A821="","",TRIM(Base_Bruta!G821))</f>
        <v>Meia</v>
      </c>
      <c r="H821" s="4" t="n">
        <f aca="false">IF($A821="","",IF(ISNUMBER(Base_Bruta!H821),Base_Bruta!H821,IFERROR(_xlfn.NUMBERVALUE(TRIM(SUBSTITUTE(Base_Bruta!H821,"R$","")),",","."),0)))</f>
        <v>4</v>
      </c>
      <c r="I821" s="6" t="n">
        <f aca="false">IF($A821="","",IF(ISNUMBER(Base_Bruta!I821),Base_Bruta!I821,IFERROR(_xlfn.NUMBERVALUE(TRIM(SUBSTITUTE(Base_Bruta!I821,"R$","")),",","."),0)))</f>
        <v>20</v>
      </c>
      <c r="J821" s="6" t="n">
        <f aca="false">IF($A821="","",H821*I821)</f>
        <v>80</v>
      </c>
      <c r="K821" s="4" t="str">
        <f aca="false">IF($A821="","",TRIM(Base_Bruta!J821))</f>
        <v>Bilheteria</v>
      </c>
      <c r="L821" s="4" t="str">
        <f aca="false">IF($A821="","",TRIM(Base_Bruta!K821))</f>
        <v>C01735</v>
      </c>
      <c r="M821" s="4" t="str">
        <f aca="false">IF($A821="","",_xlfn.XLOOKUP(LOWER(TRIM(Base_Bruta!L821)),DePara_Cidade!$A$2:$A$29,DePara_Cidade!$B$2:$B$29,"REVISAR"))</f>
        <v>Rio de Janeiro</v>
      </c>
      <c r="N821" s="4" t="str">
        <f aca="false">IF($A821="","",UPPER(TRIM(Base_Bruta!M821)))</f>
        <v>RJ</v>
      </c>
      <c r="O821" s="4" t="str">
        <f aca="false">IF($A821="","",_xlfn.XLOOKUP(LOWER(TRIM(Base_Bruta!N821)),DePara_Pais!$A$2:$A$9,DePara_Pais!$B$2:$B$9,"REVISAR"))</f>
        <v>Brasil</v>
      </c>
      <c r="P821" s="4" t="str">
        <f aca="false">IF($A821="","",IF(O821&lt;&gt;"Brasil","Turista Internacional",IF(M821=F821,"Local","Turista Nacional")))</f>
        <v>Local</v>
      </c>
      <c r="Q821" s="7" t="n">
        <f aca="false">IF($A821="","",DATE(YEAR(B821),MONTH(B821),1))</f>
        <v>45689</v>
      </c>
      <c r="R821" s="4" t="str">
        <f aca="false">IF($A821="","",IF(COUNTIF($A$2:$A821,$A821)&gt;1,"Sim","Não"))</f>
        <v>Não</v>
      </c>
      <c r="S821" s="4" t="str">
        <f aca="false">IF(A821="","Descartar - Linha vazia",IF(R821="Sim","Descartar - Duplicado",IF(OR(H821&lt;=0,I821&lt;=0),"Descartar - Qtd/Valor inválido","OK")))</f>
        <v>OK</v>
      </c>
      <c r="T821" s="4" t="str">
        <f aca="false">Base_Bruta!P821</f>
        <v>vendas_RJ.xlsx</v>
      </c>
    </row>
    <row r="822" customFormat="false" ht="15" hidden="false" customHeight="false" outlineLevel="0" collapsed="false">
      <c r="A822" s="4" t="str">
        <f aca="false">IF(Base_Bruta!A822="","",Base_Bruta!A822)</f>
        <v>RJ-000280</v>
      </c>
      <c r="B822" s="5" t="n">
        <f aca="false">IF($A822="","",IF(ISNUMBER(Base_Bruta!B822),Base_Bruta!B822,IF(MID(Base_Bruta!B822,5,1)="-",DATE(VALUE(LEFT(Base_Bruta!B822,4)),VALUE(MID(Base_Bruta!B822,6,2)),VALUE(RIGHT(Base_Bruta!B822,2))),DATE(VALUE(RIGHT(Base_Bruta!B822,4)),VALUE(MID(Base_Bruta!B822,4,2)),VALUE(LEFT(Base_Bruta!B822,2))))))</f>
        <v>45702</v>
      </c>
      <c r="C822" s="5" t="n">
        <f aca="false">IF($A822="","",IF(ISNUMBER(Base_Bruta!C822),Base_Bruta!C822,IF(MID(Base_Bruta!C822,5,1)="-",DATE(VALUE(LEFT(Base_Bruta!C822,4)),VALUE(MID(Base_Bruta!C822,6,2)),VALUE(RIGHT(Base_Bruta!C822,2))),DATE(VALUE(RIGHT(Base_Bruta!C822,4)),VALUE(MID(Base_Bruta!C822,4,2)),VALUE(LEFT(Base_Bruta!C822,2))))))</f>
        <v>45822</v>
      </c>
      <c r="D822" s="4" t="str">
        <f aca="false">IF($A822="","",TRIM(Base_Bruta!D822))</f>
        <v>Show Nacional MPB - Rio</v>
      </c>
      <c r="E822" s="4" t="str">
        <f aca="false">IF($A822="","",_xlfn.XLOOKUP(LOWER(TRIM(Base_Bruta!E822)),DePara_Categoria!$A$2:$A$9,DePara_Categoria!$B$2:$B$9,"REVISAR"))</f>
        <v>Show</v>
      </c>
      <c r="F822" s="4" t="str">
        <f aca="false">IF($A822="","",_xlfn.XLOOKUP(LOWER(TRIM(Base_Bruta!F822)),DePara_Cidade!$A$2:$A$29,DePara_Cidade!$B$2:$B$29,"REVISAR"))</f>
        <v>Rio de Janeiro</v>
      </c>
      <c r="G822" s="4" t="str">
        <f aca="false">IF($A822="","",TRIM(Base_Bruta!G822))</f>
        <v>Meia</v>
      </c>
      <c r="H822" s="4" t="n">
        <f aca="false">IF($A822="","",IF(ISNUMBER(Base_Bruta!H822),Base_Bruta!H822,IFERROR(_xlfn.NUMBERVALUE(TRIM(SUBSTITUTE(Base_Bruta!H822,"R$","")),",","."),0)))</f>
        <v>2</v>
      </c>
      <c r="I822" s="6" t="n">
        <f aca="false">IF($A822="","",IF(ISNUMBER(Base_Bruta!I822),Base_Bruta!I822,IFERROR(_xlfn.NUMBERVALUE(TRIM(SUBSTITUTE(Base_Bruta!I822,"R$","")),",","."),0)))</f>
        <v>215</v>
      </c>
      <c r="J822" s="6" t="n">
        <f aca="false">IF($A822="","",H822*I822)</f>
        <v>430</v>
      </c>
      <c r="K822" s="4" t="str">
        <f aca="false">IF($A822="","",TRIM(Base_Bruta!J822))</f>
        <v>Site</v>
      </c>
      <c r="L822" s="4" t="str">
        <f aca="false">IF($A822="","",TRIM(Base_Bruta!K822))</f>
        <v>C01931</v>
      </c>
      <c r="M822" s="4" t="str">
        <f aca="false">IF($A822="","",_xlfn.XLOOKUP(LOWER(TRIM(Base_Bruta!L822)),DePara_Cidade!$A$2:$A$29,DePara_Cidade!$B$2:$B$29,"REVISAR"))</f>
        <v>Rio de Janeiro</v>
      </c>
      <c r="N822" s="4" t="str">
        <f aca="false">IF($A822="","",UPPER(TRIM(Base_Bruta!M822)))</f>
        <v>RJ</v>
      </c>
      <c r="O822" s="4" t="str">
        <f aca="false">IF($A822="","",_xlfn.XLOOKUP(LOWER(TRIM(Base_Bruta!N822)),DePara_Pais!$A$2:$A$9,DePara_Pais!$B$2:$B$9,"REVISAR"))</f>
        <v>Brasil</v>
      </c>
      <c r="P822" s="4" t="str">
        <f aca="false">IF($A822="","",IF(O822&lt;&gt;"Brasil","Turista Internacional",IF(M822=F822,"Local","Turista Nacional")))</f>
        <v>Local</v>
      </c>
      <c r="Q822" s="7" t="n">
        <f aca="false">IF($A822="","",DATE(YEAR(B822),MONTH(B822),1))</f>
        <v>45689</v>
      </c>
      <c r="R822" s="4" t="str">
        <f aca="false">IF($A822="","",IF(COUNTIF($A$2:$A822,$A822)&gt;1,"Sim","Não"))</f>
        <v>Não</v>
      </c>
      <c r="S822" s="4" t="str">
        <f aca="false">IF(A822="","Descartar - Linha vazia",IF(R822="Sim","Descartar - Duplicado",IF(OR(H822&lt;=0,I822&lt;=0),"Descartar - Qtd/Valor inválido","OK")))</f>
        <v>OK</v>
      </c>
      <c r="T822" s="4" t="str">
        <f aca="false">Base_Bruta!P822</f>
        <v>vendas_RJ.xlsx</v>
      </c>
    </row>
    <row r="823" customFormat="false" ht="15" hidden="false" customHeight="false" outlineLevel="0" collapsed="false">
      <c r="A823" s="4" t="str">
        <f aca="false">IF(Base_Bruta!A823="","",Base_Bruta!A823)</f>
        <v>RJ-000243</v>
      </c>
      <c r="B823" s="5" t="n">
        <f aca="false">IF($A823="","",IF(ISNUMBER(Base_Bruta!B823),Base_Bruta!B823,IF(MID(Base_Bruta!B823,5,1)="-",DATE(VALUE(LEFT(Base_Bruta!B823,4)),VALUE(MID(Base_Bruta!B823,6,2)),VALUE(RIGHT(Base_Bruta!B823,2))),DATE(VALUE(RIGHT(Base_Bruta!B823,4)),VALUE(MID(Base_Bruta!B823,4,2)),VALUE(LEFT(Base_Bruta!B823,2))))))</f>
        <v>45703</v>
      </c>
      <c r="C823" s="5" t="n">
        <f aca="false">IF($A823="","",IF(ISNUMBER(Base_Bruta!C823),Base_Bruta!C823,IF(MID(Base_Bruta!C823,5,1)="-",DATE(VALUE(LEFT(Base_Bruta!C823,4)),VALUE(MID(Base_Bruta!C823,6,2)),VALUE(RIGHT(Base_Bruta!C823,2))),DATE(VALUE(RIGHT(Base_Bruta!C823,4)),VALUE(MID(Base_Bruta!C823,4,2)),VALUE(LEFT(Base_Bruta!C823,2))))))</f>
        <v>45822</v>
      </c>
      <c r="D823" s="4" t="str">
        <f aca="false">IF($A823="","",TRIM(Base_Bruta!D823))</f>
        <v>Show Nacional MPB - Rio</v>
      </c>
      <c r="E823" s="4" t="str">
        <f aca="false">IF($A823="","",_xlfn.XLOOKUP(LOWER(TRIM(Base_Bruta!E823)),DePara_Categoria!$A$2:$A$9,DePara_Categoria!$B$2:$B$9,"REVISAR"))</f>
        <v>Show</v>
      </c>
      <c r="F823" s="4" t="str">
        <f aca="false">IF($A823="","",_xlfn.XLOOKUP(LOWER(TRIM(Base_Bruta!F823)),DePara_Cidade!$A$2:$A$29,DePara_Cidade!$B$2:$B$29,"REVISAR"))</f>
        <v>Rio de Janeiro</v>
      </c>
      <c r="G823" s="4" t="str">
        <f aca="false">IF($A823="","",TRIM(Base_Bruta!G823))</f>
        <v>Inteira</v>
      </c>
      <c r="H823" s="4" t="n">
        <f aca="false">IF($A823="","",IF(ISNUMBER(Base_Bruta!H823),Base_Bruta!H823,IFERROR(_xlfn.NUMBERVALUE(TRIM(SUBSTITUTE(Base_Bruta!H823,"R$","")),",","."),0)))</f>
        <v>1</v>
      </c>
      <c r="I823" s="6" t="n">
        <f aca="false">IF($A823="","",IF(ISNUMBER(Base_Bruta!I823),Base_Bruta!I823,IFERROR(_xlfn.NUMBERVALUE(TRIM(SUBSTITUTE(Base_Bruta!I823,"R$","")),",","."),0)))</f>
        <v>265</v>
      </c>
      <c r="J823" s="6" t="n">
        <f aca="false">IF($A823="","",H823*I823)</f>
        <v>265</v>
      </c>
      <c r="K823" s="4" t="str">
        <f aca="false">IF($A823="","",TRIM(Base_Bruta!J823))</f>
        <v>Bilheteria</v>
      </c>
      <c r="L823" s="4" t="str">
        <f aca="false">IF($A823="","",TRIM(Base_Bruta!K823))</f>
        <v>C01647</v>
      </c>
      <c r="M823" s="4" t="str">
        <f aca="false">IF($A823="","",_xlfn.XLOOKUP(LOWER(TRIM(Base_Bruta!L823)),DePara_Cidade!$A$2:$A$29,DePara_Cidade!$B$2:$B$29,"REVISAR"))</f>
        <v>Rio de Janeiro</v>
      </c>
      <c r="N823" s="4" t="str">
        <f aca="false">IF($A823="","",UPPER(TRIM(Base_Bruta!M823)))</f>
        <v>RJ</v>
      </c>
      <c r="O823" s="4" t="str">
        <f aca="false">IF($A823="","",_xlfn.XLOOKUP(LOWER(TRIM(Base_Bruta!N823)),DePara_Pais!$A$2:$A$9,DePara_Pais!$B$2:$B$9,"REVISAR"))</f>
        <v>Brasil</v>
      </c>
      <c r="P823" s="4" t="str">
        <f aca="false">IF($A823="","",IF(O823&lt;&gt;"Brasil","Turista Internacional",IF(M823=F823,"Local","Turista Nacional")))</f>
        <v>Local</v>
      </c>
      <c r="Q823" s="7" t="n">
        <f aca="false">IF($A823="","",DATE(YEAR(B823),MONTH(B823),1))</f>
        <v>45689</v>
      </c>
      <c r="R823" s="4" t="str">
        <f aca="false">IF($A823="","",IF(COUNTIF($A$2:$A823,$A823)&gt;1,"Sim","Não"))</f>
        <v>Não</v>
      </c>
      <c r="S823" s="4" t="str">
        <f aca="false">IF(A823="","Descartar - Linha vazia",IF(R823="Sim","Descartar - Duplicado",IF(OR(H823&lt;=0,I823&lt;=0),"Descartar - Qtd/Valor inválido","OK")))</f>
        <v>OK</v>
      </c>
      <c r="T823" s="4" t="str">
        <f aca="false">Base_Bruta!P823</f>
        <v>vendas_RJ.xlsx</v>
      </c>
    </row>
    <row r="824" customFormat="false" ht="15" hidden="false" customHeight="false" outlineLevel="0" collapsed="false">
      <c r="A824" s="4" t="str">
        <f aca="false">IF(Base_Bruta!A824="","",Base_Bruta!A824)</f>
        <v>RJ-000268</v>
      </c>
      <c r="B824" s="5" t="n">
        <f aca="false">IF($A824="","",IF(ISNUMBER(Base_Bruta!B824),Base_Bruta!B824,IF(MID(Base_Bruta!B824,5,1)="-",DATE(VALUE(LEFT(Base_Bruta!B824,4)),VALUE(MID(Base_Bruta!B824,6,2)),VALUE(RIGHT(Base_Bruta!B824,2))),DATE(VALUE(RIGHT(Base_Bruta!B824,4)),VALUE(MID(Base_Bruta!B824,4,2)),VALUE(LEFT(Base_Bruta!B824,2))))))</f>
        <v>45703</v>
      </c>
      <c r="C824" s="5" t="n">
        <f aca="false">IF($A824="","",IF(ISNUMBER(Base_Bruta!C824),Base_Bruta!C824,IF(MID(Base_Bruta!C824,5,1)="-",DATE(VALUE(LEFT(Base_Bruta!C824,4)),VALUE(MID(Base_Bruta!C824,6,2)),VALUE(RIGHT(Base_Bruta!C824,2))),DATE(VALUE(RIGHT(Base_Bruta!C824,4)),VALUE(MID(Base_Bruta!C824,4,2)),VALUE(LEFT(Base_Bruta!C824,2))))))</f>
        <v>45822</v>
      </c>
      <c r="D824" s="4" t="str">
        <f aca="false">IF($A824="","",TRIM(Base_Bruta!D824))</f>
        <v>Show Nacional MPB - Rio</v>
      </c>
      <c r="E824" s="4" t="str">
        <f aca="false">IF($A824="","",_xlfn.XLOOKUP(LOWER(TRIM(Base_Bruta!E824)),DePara_Categoria!$A$2:$A$9,DePara_Categoria!$B$2:$B$9,"REVISAR"))</f>
        <v>Show</v>
      </c>
      <c r="F824" s="4" t="str">
        <f aca="false">IF($A824="","",_xlfn.XLOOKUP(LOWER(TRIM(Base_Bruta!F824)),DePara_Cidade!$A$2:$A$29,DePara_Cidade!$B$2:$B$29,"REVISAR"))</f>
        <v>Rio de Janeiro</v>
      </c>
      <c r="G824" s="4" t="str">
        <f aca="false">IF($A824="","",TRIM(Base_Bruta!G824))</f>
        <v>Meia</v>
      </c>
      <c r="H824" s="4" t="n">
        <f aca="false">IF($A824="","",IF(ISNUMBER(Base_Bruta!H824),Base_Bruta!H824,IFERROR(_xlfn.NUMBERVALUE(TRIM(SUBSTITUTE(Base_Bruta!H824,"R$","")),",","."),0)))</f>
        <v>2</v>
      </c>
      <c r="I824" s="6" t="n">
        <f aca="false">IF($A824="","",IF(ISNUMBER(Base_Bruta!I824),Base_Bruta!I824,IFERROR(_xlfn.NUMBERVALUE(TRIM(SUBSTITUTE(Base_Bruta!I824,"R$","")),",","."),0)))</f>
        <v>290</v>
      </c>
      <c r="J824" s="6" t="n">
        <f aca="false">IF($A824="","",H824*I824)</f>
        <v>580</v>
      </c>
      <c r="K824" s="4" t="str">
        <f aca="false">IF($A824="","",TRIM(Base_Bruta!J824))</f>
        <v>App</v>
      </c>
      <c r="L824" s="4" t="str">
        <f aca="false">IF($A824="","",TRIM(Base_Bruta!K824))</f>
        <v>C00093</v>
      </c>
      <c r="M824" s="4" t="str">
        <f aca="false">IF($A824="","",_xlfn.XLOOKUP(LOWER(TRIM(Base_Bruta!L824)),DePara_Cidade!$A$2:$A$29,DePara_Cidade!$B$2:$B$29,"REVISAR"))</f>
        <v>Lisboa</v>
      </c>
      <c r="N824" s="4" t="str">
        <f aca="false">IF($A824="","",UPPER(TRIM(Base_Bruta!M824)))</f>
        <v>EX</v>
      </c>
      <c r="O824" s="4" t="str">
        <f aca="false">IF($A824="","",_xlfn.XLOOKUP(LOWER(TRIM(Base_Bruta!N824)),DePara_Pais!$A$2:$A$9,DePara_Pais!$B$2:$B$9,"REVISAR"))</f>
        <v>Portugal</v>
      </c>
      <c r="P824" s="4" t="str">
        <f aca="false">IF($A824="","",IF(O824&lt;&gt;"Brasil","Turista Internacional",IF(M824=F824,"Local","Turista Nacional")))</f>
        <v>Turista Internacional</v>
      </c>
      <c r="Q824" s="7" t="n">
        <f aca="false">IF($A824="","",DATE(YEAR(B824),MONTH(B824),1))</f>
        <v>45689</v>
      </c>
      <c r="R824" s="4" t="str">
        <f aca="false">IF($A824="","",IF(COUNTIF($A$2:$A824,$A824)&gt;1,"Sim","Não"))</f>
        <v>Não</v>
      </c>
      <c r="S824" s="4" t="str">
        <f aca="false">IF(A824="","Descartar - Linha vazia",IF(R824="Sim","Descartar - Duplicado",IF(OR(H824&lt;=0,I824&lt;=0),"Descartar - Qtd/Valor inválido","OK")))</f>
        <v>OK</v>
      </c>
      <c r="T824" s="4" t="str">
        <f aca="false">Base_Bruta!P824</f>
        <v>vendas_RJ.xlsx</v>
      </c>
    </row>
    <row r="825" customFormat="false" ht="15" hidden="false" customHeight="false" outlineLevel="0" collapsed="false">
      <c r="A825" s="4" t="str">
        <f aca="false">IF(Base_Bruta!A825="","",Base_Bruta!A825)</f>
        <v>RJ-000363</v>
      </c>
      <c r="B825" s="5" t="n">
        <f aca="false">IF($A825="","",IF(ISNUMBER(Base_Bruta!B825),Base_Bruta!B825,IF(MID(Base_Bruta!B825,5,1)="-",DATE(VALUE(LEFT(Base_Bruta!B825,4)),VALUE(MID(Base_Bruta!B825,6,2)),VALUE(RIGHT(Base_Bruta!B825,2))),DATE(VALUE(RIGHT(Base_Bruta!B825,4)),VALUE(MID(Base_Bruta!B825,4,2)),VALUE(LEFT(Base_Bruta!B825,2))))))</f>
        <v>45703</v>
      </c>
      <c r="C825" s="5" t="n">
        <f aca="false">IF($A825="","",IF(ISNUMBER(Base_Bruta!C825),Base_Bruta!C825,IF(MID(Base_Bruta!C825,5,1)="-",DATE(VALUE(LEFT(Base_Bruta!C825,4)),VALUE(MID(Base_Bruta!C825,6,2)),VALUE(RIGHT(Base_Bruta!C825,2))),DATE(VALUE(RIGHT(Base_Bruta!C825,4)),VALUE(MID(Base_Bruta!C825,4,2)),VALUE(LEFT(Base_Bruta!C825,2))))))</f>
        <v>45822</v>
      </c>
      <c r="D825" s="4" t="str">
        <f aca="false">IF($A825="","",TRIM(Base_Bruta!D825))</f>
        <v>Show Nacional MPB - Rio</v>
      </c>
      <c r="E825" s="4" t="str">
        <f aca="false">IF($A825="","",_xlfn.XLOOKUP(LOWER(TRIM(Base_Bruta!E825)),DePara_Categoria!$A$2:$A$9,DePara_Categoria!$B$2:$B$9,"REVISAR"))</f>
        <v>Show</v>
      </c>
      <c r="F825" s="4" t="str">
        <f aca="false">IF($A825="","",_xlfn.XLOOKUP(LOWER(TRIM(Base_Bruta!F825)),DePara_Cidade!$A$2:$A$29,DePara_Cidade!$B$2:$B$29,"REVISAR"))</f>
        <v>Rio de Janeiro</v>
      </c>
      <c r="G825" s="4" t="str">
        <f aca="false">IF($A825="","",TRIM(Base_Bruta!G825))</f>
        <v>Inteira</v>
      </c>
      <c r="H825" s="4" t="n">
        <f aca="false">IF($A825="","",IF(ISNUMBER(Base_Bruta!H825),Base_Bruta!H825,IFERROR(_xlfn.NUMBERVALUE(TRIM(SUBSTITUTE(Base_Bruta!H825,"R$","")),",","."),0)))</f>
        <v>2</v>
      </c>
      <c r="I825" s="6" t="n">
        <f aca="false">IF($A825="","",IF(ISNUMBER(Base_Bruta!I825),Base_Bruta!I825,IFERROR(_xlfn.NUMBERVALUE(TRIM(SUBSTITUTE(Base_Bruta!I825,"R$","")),",","."),0)))</f>
        <v>380</v>
      </c>
      <c r="J825" s="6" t="n">
        <f aca="false">IF($A825="","",H825*I825)</f>
        <v>760</v>
      </c>
      <c r="K825" s="4" t="str">
        <f aca="false">IF($A825="","",TRIM(Base_Bruta!J825))</f>
        <v>Site</v>
      </c>
      <c r="L825" s="4" t="str">
        <f aca="false">IF($A825="","",TRIM(Base_Bruta!K825))</f>
        <v>C00071</v>
      </c>
      <c r="M825" s="4" t="str">
        <f aca="false">IF($A825="","",_xlfn.XLOOKUP(LOWER(TRIM(Base_Bruta!L825)),DePara_Cidade!$A$2:$A$29,DePara_Cidade!$B$2:$B$29,"REVISAR"))</f>
        <v>Rio de Janeiro</v>
      </c>
      <c r="N825" s="4" t="str">
        <f aca="false">IF($A825="","",UPPER(TRIM(Base_Bruta!M825)))</f>
        <v>RJ</v>
      </c>
      <c r="O825" s="4" t="str">
        <f aca="false">IF($A825="","",_xlfn.XLOOKUP(LOWER(TRIM(Base_Bruta!N825)),DePara_Pais!$A$2:$A$9,DePara_Pais!$B$2:$B$9,"REVISAR"))</f>
        <v>Brasil</v>
      </c>
      <c r="P825" s="4" t="str">
        <f aca="false">IF($A825="","",IF(O825&lt;&gt;"Brasil","Turista Internacional",IF(M825=F825,"Local","Turista Nacional")))</f>
        <v>Local</v>
      </c>
      <c r="Q825" s="7" t="n">
        <f aca="false">IF($A825="","",DATE(YEAR(B825),MONTH(B825),1))</f>
        <v>45689</v>
      </c>
      <c r="R825" s="4" t="str">
        <f aca="false">IF($A825="","",IF(COUNTIF($A$2:$A825,$A825)&gt;1,"Sim","Não"))</f>
        <v>Não</v>
      </c>
      <c r="S825" s="4" t="str">
        <f aca="false">IF(A825="","Descartar - Linha vazia",IF(R825="Sim","Descartar - Duplicado",IF(OR(H825&lt;=0,I825&lt;=0),"Descartar - Qtd/Valor inválido","OK")))</f>
        <v>OK</v>
      </c>
      <c r="T825" s="4" t="str">
        <f aca="false">Base_Bruta!P825</f>
        <v>vendas_RJ.xlsx</v>
      </c>
    </row>
    <row r="826" customFormat="false" ht="15" hidden="false" customHeight="false" outlineLevel="0" collapsed="false">
      <c r="A826" s="4" t="str">
        <f aca="false">IF(Base_Bruta!A826="","",Base_Bruta!A826)</f>
        <v>RJ-000279</v>
      </c>
      <c r="B826" s="5" t="n">
        <f aca="false">IF($A826="","",IF(ISNUMBER(Base_Bruta!B826),Base_Bruta!B826,IF(MID(Base_Bruta!B826,5,1)="-",DATE(VALUE(LEFT(Base_Bruta!B826,4)),VALUE(MID(Base_Bruta!B826,6,2)),VALUE(RIGHT(Base_Bruta!B826,2))),DATE(VALUE(RIGHT(Base_Bruta!B826,4)),VALUE(MID(Base_Bruta!B826,4,2)),VALUE(LEFT(Base_Bruta!B826,2))))))</f>
        <v>45704</v>
      </c>
      <c r="C826" s="5" t="n">
        <f aca="false">IF($A826="","",IF(ISNUMBER(Base_Bruta!C826),Base_Bruta!C826,IF(MID(Base_Bruta!C826,5,1)="-",DATE(VALUE(LEFT(Base_Bruta!C826,4)),VALUE(MID(Base_Bruta!C826,6,2)),VALUE(RIGHT(Base_Bruta!C826,2))),DATE(VALUE(RIGHT(Base_Bruta!C826,4)),VALUE(MID(Base_Bruta!C826,4,2)),VALUE(LEFT(Base_Bruta!C826,2))))))</f>
        <v>45822</v>
      </c>
      <c r="D826" s="4" t="str">
        <f aca="false">IF($A826="","",TRIM(Base_Bruta!D826))</f>
        <v>Show Nacional MPB - Rio</v>
      </c>
      <c r="E826" s="4" t="str">
        <f aca="false">IF($A826="","",_xlfn.XLOOKUP(LOWER(TRIM(Base_Bruta!E826)),DePara_Categoria!$A$2:$A$9,DePara_Categoria!$B$2:$B$9,"REVISAR"))</f>
        <v>Show</v>
      </c>
      <c r="F826" s="4" t="str">
        <f aca="false">IF($A826="","",_xlfn.XLOOKUP(LOWER(TRIM(Base_Bruta!F826)),DePara_Cidade!$A$2:$A$29,DePara_Cidade!$B$2:$B$29,"REVISAR"))</f>
        <v>Rio de Janeiro</v>
      </c>
      <c r="G826" s="4" t="str">
        <f aca="false">IF($A826="","",TRIM(Base_Bruta!G826))</f>
        <v>Inteira</v>
      </c>
      <c r="H826" s="4" t="n">
        <f aca="false">IF($A826="","",IF(ISNUMBER(Base_Bruta!H826),Base_Bruta!H826,IFERROR(_xlfn.NUMBERVALUE(TRIM(SUBSTITUTE(Base_Bruta!H826,"R$","")),",","."),0)))</f>
        <v>0</v>
      </c>
      <c r="I826" s="6" t="n">
        <f aca="false">IF($A826="","",IF(ISNUMBER(Base_Bruta!I826),Base_Bruta!I826,IFERROR(_xlfn.NUMBERVALUE(TRIM(SUBSTITUTE(Base_Bruta!I826,"R$","")),",","."),0)))</f>
        <v>360</v>
      </c>
      <c r="J826" s="6" t="n">
        <f aca="false">IF($A826="","",H826*I826)</f>
        <v>0</v>
      </c>
      <c r="K826" s="4" t="str">
        <f aca="false">IF($A826="","",TRIM(Base_Bruta!J826))</f>
        <v>Site</v>
      </c>
      <c r="L826" s="4" t="str">
        <f aca="false">IF($A826="","",TRIM(Base_Bruta!K826))</f>
        <v>C01635</v>
      </c>
      <c r="M826" s="4" t="str">
        <f aca="false">IF($A826="","",_xlfn.XLOOKUP(LOWER(TRIM(Base_Bruta!L826)),DePara_Cidade!$A$2:$A$29,DePara_Cidade!$B$2:$B$29,"REVISAR"))</f>
        <v>Rio de Janeiro</v>
      </c>
      <c r="N826" s="4" t="str">
        <f aca="false">IF($A826="","",UPPER(TRIM(Base_Bruta!M826)))</f>
        <v>RJ</v>
      </c>
      <c r="O826" s="4" t="str">
        <f aca="false">IF($A826="","",_xlfn.XLOOKUP(LOWER(TRIM(Base_Bruta!N826)),DePara_Pais!$A$2:$A$9,DePara_Pais!$B$2:$B$9,"REVISAR"))</f>
        <v>Brasil</v>
      </c>
      <c r="P826" s="4" t="str">
        <f aca="false">IF($A826="","",IF(O826&lt;&gt;"Brasil","Turista Internacional",IF(M826=F826,"Local","Turista Nacional")))</f>
        <v>Local</v>
      </c>
      <c r="Q826" s="7" t="n">
        <f aca="false">IF($A826="","",DATE(YEAR(B826),MONTH(B826),1))</f>
        <v>45689</v>
      </c>
      <c r="R826" s="4" t="str">
        <f aca="false">IF($A826="","",IF(COUNTIF($A$2:$A826,$A826)&gt;1,"Sim","Não"))</f>
        <v>Não</v>
      </c>
      <c r="S826" s="4" t="str">
        <f aca="false">IF(A826="","Descartar - Linha vazia",IF(R826="Sim","Descartar - Duplicado",IF(OR(H826&lt;=0,I826&lt;=0),"Descartar - Qtd/Valor inválido","OK")))</f>
        <v>Descartar - Qtd/Valor inválido</v>
      </c>
      <c r="T826" s="4" t="str">
        <f aca="false">Base_Bruta!P826</f>
        <v>vendas_RJ.xlsx</v>
      </c>
    </row>
    <row r="827" customFormat="false" ht="15" hidden="false" customHeight="false" outlineLevel="0" collapsed="false">
      <c r="A827" s="4" t="str">
        <f aca="false">IF(Base_Bruta!A827="","",Base_Bruta!A827)</f>
        <v>RJ-000332</v>
      </c>
      <c r="B827" s="5" t="n">
        <f aca="false">IF($A827="","",IF(ISNUMBER(Base_Bruta!B827),Base_Bruta!B827,IF(MID(Base_Bruta!B827,5,1)="-",DATE(VALUE(LEFT(Base_Bruta!B827,4)),VALUE(MID(Base_Bruta!B827,6,2)),VALUE(RIGHT(Base_Bruta!B827,2))),DATE(VALUE(RIGHT(Base_Bruta!B827,4)),VALUE(MID(Base_Bruta!B827,4,2)),VALUE(LEFT(Base_Bruta!B827,2))))))</f>
        <v>45704</v>
      </c>
      <c r="C827" s="5" t="n">
        <f aca="false">IF($A827="","",IF(ISNUMBER(Base_Bruta!C827),Base_Bruta!C827,IF(MID(Base_Bruta!C827,5,1)="-",DATE(VALUE(LEFT(Base_Bruta!C827,4)),VALUE(MID(Base_Bruta!C827,6,2)),VALUE(RIGHT(Base_Bruta!C827,2))),DATE(VALUE(RIGHT(Base_Bruta!C827,4)),VALUE(MID(Base_Bruta!C827,4,2)),VALUE(LEFT(Base_Bruta!C827,2))))))</f>
        <v>45822</v>
      </c>
      <c r="D827" s="4" t="str">
        <f aca="false">IF($A827="","",TRIM(Base_Bruta!D827))</f>
        <v>Show Nacional MPB - Rio</v>
      </c>
      <c r="E827" s="4" t="str">
        <f aca="false">IF($A827="","",_xlfn.XLOOKUP(LOWER(TRIM(Base_Bruta!E827)),DePara_Categoria!$A$2:$A$9,DePara_Categoria!$B$2:$B$9,"REVISAR"))</f>
        <v>Show</v>
      </c>
      <c r="F827" s="4" t="str">
        <f aca="false">IF($A827="","",_xlfn.XLOOKUP(LOWER(TRIM(Base_Bruta!F827)),DePara_Cidade!$A$2:$A$29,DePara_Cidade!$B$2:$B$29,"REVISAR"))</f>
        <v>Rio de Janeiro</v>
      </c>
      <c r="G827" s="4" t="str">
        <f aca="false">IF($A827="","",TRIM(Base_Bruta!G827))</f>
        <v>VIP</v>
      </c>
      <c r="H827" s="4" t="n">
        <f aca="false">IF($A827="","",IF(ISNUMBER(Base_Bruta!H827),Base_Bruta!H827,IFERROR(_xlfn.NUMBERVALUE(TRIM(SUBSTITUTE(Base_Bruta!H827,"R$","")),",","."),0)))</f>
        <v>1</v>
      </c>
      <c r="I827" s="6" t="n">
        <f aca="false">IF($A827="","",IF(ISNUMBER(Base_Bruta!I827),Base_Bruta!I827,IFERROR(_xlfn.NUMBERVALUE(TRIM(SUBSTITUTE(Base_Bruta!I827,"R$","")),",","."),0)))</f>
        <v>1450</v>
      </c>
      <c r="J827" s="6" t="n">
        <f aca="false">IF($A827="","",H827*I827)</f>
        <v>1450</v>
      </c>
      <c r="K827" s="4" t="str">
        <f aca="false">IF($A827="","",TRIM(Base_Bruta!J827))</f>
        <v>Site</v>
      </c>
      <c r="L827" s="4" t="str">
        <f aca="false">IF($A827="","",TRIM(Base_Bruta!K827))</f>
        <v>C02011</v>
      </c>
      <c r="M827" s="4" t="str">
        <f aca="false">IF($A827="","",_xlfn.XLOOKUP(LOWER(TRIM(Base_Bruta!L827)),DePara_Cidade!$A$2:$A$29,DePara_Cidade!$B$2:$B$29,"REVISAR"))</f>
        <v>Rio de Janeiro</v>
      </c>
      <c r="N827" s="4" t="str">
        <f aca="false">IF($A827="","",UPPER(TRIM(Base_Bruta!M827)))</f>
        <v>RJ</v>
      </c>
      <c r="O827" s="4" t="str">
        <f aca="false">IF($A827="","",_xlfn.XLOOKUP(LOWER(TRIM(Base_Bruta!N827)),DePara_Pais!$A$2:$A$9,DePara_Pais!$B$2:$B$9,"REVISAR"))</f>
        <v>Brasil</v>
      </c>
      <c r="P827" s="4" t="str">
        <f aca="false">IF($A827="","",IF(O827&lt;&gt;"Brasil","Turista Internacional",IF(M827=F827,"Local","Turista Nacional")))</f>
        <v>Local</v>
      </c>
      <c r="Q827" s="7" t="n">
        <f aca="false">IF($A827="","",DATE(YEAR(B827),MONTH(B827),1))</f>
        <v>45689</v>
      </c>
      <c r="R827" s="4" t="str">
        <f aca="false">IF($A827="","",IF(COUNTIF($A$2:$A827,$A827)&gt;1,"Sim","Não"))</f>
        <v>Não</v>
      </c>
      <c r="S827" s="4" t="str">
        <f aca="false">IF(A827="","Descartar - Linha vazia",IF(R827="Sim","Descartar - Duplicado",IF(OR(H827&lt;=0,I827&lt;=0),"Descartar - Qtd/Valor inválido","OK")))</f>
        <v>OK</v>
      </c>
      <c r="T827" s="4" t="str">
        <f aca="false">Base_Bruta!P827</f>
        <v>vendas_RJ.xlsx</v>
      </c>
    </row>
    <row r="828" customFormat="false" ht="15" hidden="false" customHeight="false" outlineLevel="0" collapsed="false">
      <c r="A828" s="4" t="str">
        <f aca="false">IF(Base_Bruta!A828="","",Base_Bruta!A828)</f>
        <v>RJ-000369</v>
      </c>
      <c r="B828" s="5" t="n">
        <f aca="false">IF($A828="","",IF(ISNUMBER(Base_Bruta!B828),Base_Bruta!B828,IF(MID(Base_Bruta!B828,5,1)="-",DATE(VALUE(LEFT(Base_Bruta!B828,4)),VALUE(MID(Base_Bruta!B828,6,2)),VALUE(RIGHT(Base_Bruta!B828,2))),DATE(VALUE(RIGHT(Base_Bruta!B828,4)),VALUE(MID(Base_Bruta!B828,4,2)),VALUE(LEFT(Base_Bruta!B828,2))))))</f>
        <v>45704</v>
      </c>
      <c r="C828" s="5" t="n">
        <f aca="false">IF($A828="","",IF(ISNUMBER(Base_Bruta!C828),Base_Bruta!C828,IF(MID(Base_Bruta!C828,5,1)="-",DATE(VALUE(LEFT(Base_Bruta!C828,4)),VALUE(MID(Base_Bruta!C828,6,2)),VALUE(RIGHT(Base_Bruta!C828,2))),DATE(VALUE(RIGHT(Base_Bruta!C828,4)),VALUE(MID(Base_Bruta!C828,4,2)),VALUE(LEFT(Base_Bruta!C828,2))))))</f>
        <v>45822</v>
      </c>
      <c r="D828" s="4" t="str">
        <f aca="false">IF($A828="","",TRIM(Base_Bruta!D828))</f>
        <v>Show Nacional MPB - Rio</v>
      </c>
      <c r="E828" s="4" t="str">
        <f aca="false">IF($A828="","",_xlfn.XLOOKUP(LOWER(TRIM(Base_Bruta!E828)),DePara_Categoria!$A$2:$A$9,DePara_Categoria!$B$2:$B$9,"REVISAR"))</f>
        <v>Show</v>
      </c>
      <c r="F828" s="4" t="str">
        <f aca="false">IF($A828="","",_xlfn.XLOOKUP(LOWER(TRIM(Base_Bruta!F828)),DePara_Cidade!$A$2:$A$29,DePara_Cidade!$B$2:$B$29,"REVISAR"))</f>
        <v>Rio de Janeiro</v>
      </c>
      <c r="G828" s="4" t="str">
        <f aca="false">IF($A828="","",TRIM(Base_Bruta!G828))</f>
        <v>Meia</v>
      </c>
      <c r="H828" s="4" t="n">
        <f aca="false">IF($A828="","",IF(ISNUMBER(Base_Bruta!H828),Base_Bruta!H828,IFERROR(_xlfn.NUMBERVALUE(TRIM(SUBSTITUTE(Base_Bruta!H828,"R$","")),",","."),0)))</f>
        <v>2</v>
      </c>
      <c r="I828" s="6" t="n">
        <f aca="false">IF($A828="","",IF(ISNUMBER(Base_Bruta!I828),Base_Bruta!I828,IFERROR(_xlfn.NUMBERVALUE(TRIM(SUBSTITUTE(Base_Bruta!I828,"R$","")),",","."),0)))</f>
        <v>322.5</v>
      </c>
      <c r="J828" s="6" t="n">
        <f aca="false">IF($A828="","",H828*I828)</f>
        <v>645</v>
      </c>
      <c r="K828" s="4" t="str">
        <f aca="false">IF($A828="","",TRIM(Base_Bruta!J828))</f>
        <v>App</v>
      </c>
      <c r="L828" s="4" t="str">
        <f aca="false">IF($A828="","",TRIM(Base_Bruta!K828))</f>
        <v>C00681</v>
      </c>
      <c r="M828" s="4" t="str">
        <f aca="false">IF($A828="","",_xlfn.XLOOKUP(LOWER(TRIM(Base_Bruta!L828)),DePara_Cidade!$A$2:$A$29,DePara_Cidade!$B$2:$B$29,"REVISAR"))</f>
        <v>Rio de Janeiro</v>
      </c>
      <c r="N828" s="4" t="str">
        <f aca="false">IF($A828="","",UPPER(TRIM(Base_Bruta!M828)))</f>
        <v>RJ</v>
      </c>
      <c r="O828" s="4" t="str">
        <f aca="false">IF($A828="","",_xlfn.XLOOKUP(LOWER(TRIM(Base_Bruta!N828)),DePara_Pais!$A$2:$A$9,DePara_Pais!$B$2:$B$9,"REVISAR"))</f>
        <v>Brasil</v>
      </c>
      <c r="P828" s="4" t="str">
        <f aca="false">IF($A828="","",IF(O828&lt;&gt;"Brasil","Turista Internacional",IF(M828=F828,"Local","Turista Nacional")))</f>
        <v>Local</v>
      </c>
      <c r="Q828" s="7" t="n">
        <f aca="false">IF($A828="","",DATE(YEAR(B828),MONTH(B828),1))</f>
        <v>45689</v>
      </c>
      <c r="R828" s="4" t="str">
        <f aca="false">IF($A828="","",IF(COUNTIF($A$2:$A828,$A828)&gt;1,"Sim","Não"))</f>
        <v>Não</v>
      </c>
      <c r="S828" s="4" t="str">
        <f aca="false">IF(A828="","Descartar - Linha vazia",IF(R828="Sim","Descartar - Duplicado",IF(OR(H828&lt;=0,I828&lt;=0),"Descartar - Qtd/Valor inválido","OK")))</f>
        <v>OK</v>
      </c>
      <c r="T828" s="4" t="str">
        <f aca="false">Base_Bruta!P828</f>
        <v>vendas_RJ.xlsx</v>
      </c>
    </row>
    <row r="829" customFormat="false" ht="15" hidden="false" customHeight="false" outlineLevel="0" collapsed="false">
      <c r="A829" s="4" t="str">
        <f aca="false">IF(Base_Bruta!A829="","",Base_Bruta!A829)</f>
        <v>RJ-000233</v>
      </c>
      <c r="B829" s="5" t="n">
        <f aca="false">IF($A829="","",IF(ISNUMBER(Base_Bruta!B829),Base_Bruta!B829,IF(MID(Base_Bruta!B829,5,1)="-",DATE(VALUE(LEFT(Base_Bruta!B829,4)),VALUE(MID(Base_Bruta!B829,6,2)),VALUE(RIGHT(Base_Bruta!B829,2))),DATE(VALUE(RIGHT(Base_Bruta!B829,4)),VALUE(MID(Base_Bruta!B829,4,2)),VALUE(LEFT(Base_Bruta!B829,2))))))</f>
        <v>45705</v>
      </c>
      <c r="C829" s="5" t="n">
        <f aca="false">IF($A829="","",IF(ISNUMBER(Base_Bruta!C829),Base_Bruta!C829,IF(MID(Base_Bruta!C829,5,1)="-",DATE(VALUE(LEFT(Base_Bruta!C829,4)),VALUE(MID(Base_Bruta!C829,6,2)),VALUE(RIGHT(Base_Bruta!C829,2))),DATE(VALUE(RIGHT(Base_Bruta!C829,4)),VALUE(MID(Base_Bruta!C829,4,2)),VALUE(LEFT(Base_Bruta!C829,2))))))</f>
        <v>45822</v>
      </c>
      <c r="D829" s="4" t="str">
        <f aca="false">IF($A829="","",TRIM(Base_Bruta!D829))</f>
        <v>Show Nacional MPB - Rio</v>
      </c>
      <c r="E829" s="4" t="str">
        <f aca="false">IF($A829="","",_xlfn.XLOOKUP(LOWER(TRIM(Base_Bruta!E829)),DePara_Categoria!$A$2:$A$9,DePara_Categoria!$B$2:$B$9,"REVISAR"))</f>
        <v>Show</v>
      </c>
      <c r="F829" s="4" t="str">
        <f aca="false">IF($A829="","",_xlfn.XLOOKUP(LOWER(TRIM(Base_Bruta!F829)),DePara_Cidade!$A$2:$A$29,DePara_Cidade!$B$2:$B$29,"REVISAR"))</f>
        <v>Rio de Janeiro</v>
      </c>
      <c r="G829" s="4" t="str">
        <f aca="false">IF($A829="","",TRIM(Base_Bruta!G829))</f>
        <v>Inteira</v>
      </c>
      <c r="H829" s="4" t="n">
        <f aca="false">IF($A829="","",IF(ISNUMBER(Base_Bruta!H829),Base_Bruta!H829,IFERROR(_xlfn.NUMBERVALUE(TRIM(SUBSTITUTE(Base_Bruta!H829,"R$","")),",","."),0)))</f>
        <v>4</v>
      </c>
      <c r="I829" s="6" t="n">
        <f aca="false">IF($A829="","",IF(ISNUMBER(Base_Bruta!I829),Base_Bruta!I829,IFERROR(_xlfn.NUMBERVALUE(TRIM(SUBSTITUTE(Base_Bruta!I829,"R$","")),",","."),0)))</f>
        <v>470</v>
      </c>
      <c r="J829" s="6" t="n">
        <f aca="false">IF($A829="","",H829*I829)</f>
        <v>1880</v>
      </c>
      <c r="K829" s="4" t="str">
        <f aca="false">IF($A829="","",TRIM(Base_Bruta!J829))</f>
        <v>Site</v>
      </c>
      <c r="L829" s="4" t="str">
        <f aca="false">IF($A829="","",TRIM(Base_Bruta!K829))</f>
        <v>C01093</v>
      </c>
      <c r="M829" s="4" t="str">
        <f aca="false">IF($A829="","",_xlfn.XLOOKUP(LOWER(TRIM(Base_Bruta!L829)),DePara_Cidade!$A$2:$A$29,DePara_Cidade!$B$2:$B$29,"REVISAR"))</f>
        <v>São Paulo</v>
      </c>
      <c r="N829" s="4" t="str">
        <f aca="false">IF($A829="","",UPPER(TRIM(Base_Bruta!M829)))</f>
        <v>SP</v>
      </c>
      <c r="O829" s="4" t="str">
        <f aca="false">IF($A829="","",_xlfn.XLOOKUP(LOWER(TRIM(Base_Bruta!N829)),DePara_Pais!$A$2:$A$9,DePara_Pais!$B$2:$B$9,"REVISAR"))</f>
        <v>Brasil</v>
      </c>
      <c r="P829" s="4" t="str">
        <f aca="false">IF($A829="","",IF(O829&lt;&gt;"Brasil","Turista Internacional",IF(M829=F829,"Local","Turista Nacional")))</f>
        <v>Turista Nacional</v>
      </c>
      <c r="Q829" s="7" t="n">
        <f aca="false">IF($A829="","",DATE(YEAR(B829),MONTH(B829),1))</f>
        <v>45689</v>
      </c>
      <c r="R829" s="4" t="str">
        <f aca="false">IF($A829="","",IF(COUNTIF($A$2:$A829,$A829)&gt;1,"Sim","Não"))</f>
        <v>Não</v>
      </c>
      <c r="S829" s="4" t="str">
        <f aca="false">IF(A829="","Descartar - Linha vazia",IF(R829="Sim","Descartar - Duplicado",IF(OR(H829&lt;=0,I829&lt;=0),"Descartar - Qtd/Valor inválido","OK")))</f>
        <v>OK</v>
      </c>
      <c r="T829" s="4" t="str">
        <f aca="false">Base_Bruta!P829</f>
        <v>vendas_RJ.xlsx</v>
      </c>
    </row>
    <row r="830" customFormat="false" ht="15" hidden="false" customHeight="false" outlineLevel="0" collapsed="false">
      <c r="A830" s="4" t="str">
        <f aca="false">IF(Base_Bruta!A830="","",Base_Bruta!A830)</f>
        <v>RJ-000254</v>
      </c>
      <c r="B830" s="5" t="n">
        <f aca="false">IF($A830="","",IF(ISNUMBER(Base_Bruta!B830),Base_Bruta!B830,IF(MID(Base_Bruta!B830,5,1)="-",DATE(VALUE(LEFT(Base_Bruta!B830,4)),VALUE(MID(Base_Bruta!B830,6,2)),VALUE(RIGHT(Base_Bruta!B830,2))),DATE(VALUE(RIGHT(Base_Bruta!B830,4)),VALUE(MID(Base_Bruta!B830,4,2)),VALUE(LEFT(Base_Bruta!B830,2))))))</f>
        <v>45705</v>
      </c>
      <c r="C830" s="5" t="n">
        <f aca="false">IF($A830="","",IF(ISNUMBER(Base_Bruta!C830),Base_Bruta!C830,IF(MID(Base_Bruta!C830,5,1)="-",DATE(VALUE(LEFT(Base_Bruta!C830,4)),VALUE(MID(Base_Bruta!C830,6,2)),VALUE(RIGHT(Base_Bruta!C830,2))),DATE(VALUE(RIGHT(Base_Bruta!C830,4)),VALUE(MID(Base_Bruta!C830,4,2)),VALUE(LEFT(Base_Bruta!C830,2))))))</f>
        <v>45822</v>
      </c>
      <c r="D830" s="4" t="str">
        <f aca="false">IF($A830="","",TRIM(Base_Bruta!D830))</f>
        <v>Show Nacional MPB - Rio</v>
      </c>
      <c r="E830" s="4" t="str">
        <f aca="false">IF($A830="","",_xlfn.XLOOKUP(LOWER(TRIM(Base_Bruta!E830)),DePara_Categoria!$A$2:$A$9,DePara_Categoria!$B$2:$B$9,"REVISAR"))</f>
        <v>Show</v>
      </c>
      <c r="F830" s="4" t="str">
        <f aca="false">IF($A830="","",_xlfn.XLOOKUP(LOWER(TRIM(Base_Bruta!F830)),DePara_Cidade!$A$2:$A$29,DePara_Cidade!$B$2:$B$29,"REVISAR"))</f>
        <v>Rio de Janeiro</v>
      </c>
      <c r="G830" s="4" t="str">
        <f aca="false">IF($A830="","",TRIM(Base_Bruta!G830))</f>
        <v>Meia</v>
      </c>
      <c r="H830" s="4" t="n">
        <f aca="false">IF($A830="","",IF(ISNUMBER(Base_Bruta!H830),Base_Bruta!H830,IFERROR(_xlfn.NUMBERVALUE(TRIM(SUBSTITUTE(Base_Bruta!H830,"R$","")),",","."),0)))</f>
        <v>2</v>
      </c>
      <c r="I830" s="6" t="n">
        <f aca="false">IF($A830="","",IF(ISNUMBER(Base_Bruta!I830),Base_Bruta!I830,IFERROR(_xlfn.NUMBERVALUE(TRIM(SUBSTITUTE(Base_Bruta!I830,"R$","")),",","."),0)))</f>
        <v>232.5</v>
      </c>
      <c r="J830" s="6" t="n">
        <f aca="false">IF($A830="","",H830*I830)</f>
        <v>465</v>
      </c>
      <c r="K830" s="4" t="str">
        <f aca="false">IF($A830="","",TRIM(Base_Bruta!J830))</f>
        <v>Site</v>
      </c>
      <c r="L830" s="4" t="str">
        <f aca="false">IF($A830="","",TRIM(Base_Bruta!K830))</f>
        <v>C01383</v>
      </c>
      <c r="M830" s="4" t="str">
        <f aca="false">IF($A830="","",_xlfn.XLOOKUP(LOWER(TRIM(Base_Bruta!L830)),DePara_Cidade!$A$2:$A$29,DePara_Cidade!$B$2:$B$29,"REVISAR"))</f>
        <v>Recife</v>
      </c>
      <c r="N830" s="4" t="str">
        <f aca="false">IF($A830="","",UPPER(TRIM(Base_Bruta!M830)))</f>
        <v>PE</v>
      </c>
      <c r="O830" s="4" t="str">
        <f aca="false">IF($A830="","",_xlfn.XLOOKUP(LOWER(TRIM(Base_Bruta!N830)),DePara_Pais!$A$2:$A$9,DePara_Pais!$B$2:$B$9,"REVISAR"))</f>
        <v>Brasil</v>
      </c>
      <c r="P830" s="4" t="str">
        <f aca="false">IF($A830="","",IF(O830&lt;&gt;"Brasil","Turista Internacional",IF(M830=F830,"Local","Turista Nacional")))</f>
        <v>Turista Nacional</v>
      </c>
      <c r="Q830" s="7" t="n">
        <f aca="false">IF($A830="","",DATE(YEAR(B830),MONTH(B830),1))</f>
        <v>45689</v>
      </c>
      <c r="R830" s="4" t="str">
        <f aca="false">IF($A830="","",IF(COUNTIF($A$2:$A830,$A830)&gt;1,"Sim","Não"))</f>
        <v>Não</v>
      </c>
      <c r="S830" s="4" t="str">
        <f aca="false">IF(A830="","Descartar - Linha vazia",IF(R830="Sim","Descartar - Duplicado",IF(OR(H830&lt;=0,I830&lt;=0),"Descartar - Qtd/Valor inválido","OK")))</f>
        <v>OK</v>
      </c>
      <c r="T830" s="4" t="str">
        <f aca="false">Base_Bruta!P830</f>
        <v>vendas_RJ.xlsx</v>
      </c>
    </row>
    <row r="831" customFormat="false" ht="15" hidden="false" customHeight="false" outlineLevel="0" collapsed="false">
      <c r="A831" s="4" t="str">
        <f aca="false">IF(Base_Bruta!A831="","",Base_Bruta!A831)</f>
        <v>RJ-000240</v>
      </c>
      <c r="B831" s="5" t="n">
        <f aca="false">IF($A831="","",IF(ISNUMBER(Base_Bruta!B831),Base_Bruta!B831,IF(MID(Base_Bruta!B831,5,1)="-",DATE(VALUE(LEFT(Base_Bruta!B831,4)),VALUE(MID(Base_Bruta!B831,6,2)),VALUE(RIGHT(Base_Bruta!B831,2))),DATE(VALUE(RIGHT(Base_Bruta!B831,4)),VALUE(MID(Base_Bruta!B831,4,2)),VALUE(LEFT(Base_Bruta!B831,2))))))</f>
        <v>45706</v>
      </c>
      <c r="C831" s="5" t="n">
        <f aca="false">IF($A831="","",IF(ISNUMBER(Base_Bruta!C831),Base_Bruta!C831,IF(MID(Base_Bruta!C831,5,1)="-",DATE(VALUE(LEFT(Base_Bruta!C831,4)),VALUE(MID(Base_Bruta!C831,6,2)),VALUE(RIGHT(Base_Bruta!C831,2))),DATE(VALUE(RIGHT(Base_Bruta!C831,4)),VALUE(MID(Base_Bruta!C831,4,2)),VALUE(LEFT(Base_Bruta!C831,2))))))</f>
        <v>45822</v>
      </c>
      <c r="D831" s="4" t="str">
        <f aca="false">IF($A831="","",TRIM(Base_Bruta!D831))</f>
        <v>Show Nacional MPB - Rio</v>
      </c>
      <c r="E831" s="4" t="str">
        <f aca="false">IF($A831="","",_xlfn.XLOOKUP(LOWER(TRIM(Base_Bruta!E831)),DePara_Categoria!$A$2:$A$9,DePara_Categoria!$B$2:$B$9,"REVISAR"))</f>
        <v>Show</v>
      </c>
      <c r="F831" s="4" t="str">
        <f aca="false">IF($A831="","",_xlfn.XLOOKUP(LOWER(TRIM(Base_Bruta!F831)),DePara_Cidade!$A$2:$A$29,DePara_Cidade!$B$2:$B$29,"REVISAR"))</f>
        <v>Rio de Janeiro</v>
      </c>
      <c r="G831" s="4" t="str">
        <f aca="false">IF($A831="","",TRIM(Base_Bruta!G831))</f>
        <v>Meia</v>
      </c>
      <c r="H831" s="4" t="n">
        <f aca="false">IF($A831="","",IF(ISNUMBER(Base_Bruta!H831),Base_Bruta!H831,IFERROR(_xlfn.NUMBERVALUE(TRIM(SUBSTITUTE(Base_Bruta!H831,"R$","")),",","."),0)))</f>
        <v>2</v>
      </c>
      <c r="I831" s="6" t="n">
        <f aca="false">IF($A831="","",IF(ISNUMBER(Base_Bruta!I831),Base_Bruta!I831,IFERROR(_xlfn.NUMBERVALUE(TRIM(SUBSTITUTE(Base_Bruta!I831,"R$","")),",","."),0)))</f>
        <v>185</v>
      </c>
      <c r="J831" s="6" t="n">
        <f aca="false">IF($A831="","",H831*I831)</f>
        <v>370</v>
      </c>
      <c r="K831" s="4" t="str">
        <f aca="false">IF($A831="","",TRIM(Base_Bruta!J831))</f>
        <v>App</v>
      </c>
      <c r="L831" s="4" t="str">
        <f aca="false">IF($A831="","",TRIM(Base_Bruta!K831))</f>
        <v>C01635</v>
      </c>
      <c r="M831" s="4" t="str">
        <f aca="false">IF($A831="","",_xlfn.XLOOKUP(LOWER(TRIM(Base_Bruta!L831)),DePara_Cidade!$A$2:$A$29,DePara_Cidade!$B$2:$B$29,"REVISAR"))</f>
        <v>Rio de Janeiro</v>
      </c>
      <c r="N831" s="4" t="str">
        <f aca="false">IF($A831="","",UPPER(TRIM(Base_Bruta!M831)))</f>
        <v>RJ</v>
      </c>
      <c r="O831" s="4" t="str">
        <f aca="false">IF($A831="","",_xlfn.XLOOKUP(LOWER(TRIM(Base_Bruta!N831)),DePara_Pais!$A$2:$A$9,DePara_Pais!$B$2:$B$9,"REVISAR"))</f>
        <v>Brasil</v>
      </c>
      <c r="P831" s="4" t="str">
        <f aca="false">IF($A831="","",IF(O831&lt;&gt;"Brasil","Turista Internacional",IF(M831=F831,"Local","Turista Nacional")))</f>
        <v>Local</v>
      </c>
      <c r="Q831" s="7" t="n">
        <f aca="false">IF($A831="","",DATE(YEAR(B831),MONTH(B831),1))</f>
        <v>45689</v>
      </c>
      <c r="R831" s="4" t="str">
        <f aca="false">IF($A831="","",IF(COUNTIF($A$2:$A831,$A831)&gt;1,"Sim","Não"))</f>
        <v>Não</v>
      </c>
      <c r="S831" s="4" t="str">
        <f aca="false">IF(A831="","Descartar - Linha vazia",IF(R831="Sim","Descartar - Duplicado",IF(OR(H831&lt;=0,I831&lt;=0),"Descartar - Qtd/Valor inválido","OK")))</f>
        <v>OK</v>
      </c>
      <c r="T831" s="4" t="str">
        <f aca="false">Base_Bruta!P831</f>
        <v>vendas_RJ.xlsx</v>
      </c>
    </row>
    <row r="832" customFormat="false" ht="15" hidden="false" customHeight="false" outlineLevel="0" collapsed="false">
      <c r="A832" s="4" t="str">
        <f aca="false">IF(Base_Bruta!A832="","",Base_Bruta!A832)</f>
        <v>RJ-000300</v>
      </c>
      <c r="B832" s="5" t="n">
        <f aca="false">IF($A832="","",IF(ISNUMBER(Base_Bruta!B832),Base_Bruta!B832,IF(MID(Base_Bruta!B832,5,1)="-",DATE(VALUE(LEFT(Base_Bruta!B832,4)),VALUE(MID(Base_Bruta!B832,6,2)),VALUE(RIGHT(Base_Bruta!B832,2))),DATE(VALUE(RIGHT(Base_Bruta!B832,4)),VALUE(MID(Base_Bruta!B832,4,2)),VALUE(LEFT(Base_Bruta!B832,2))))))</f>
        <v>45706</v>
      </c>
      <c r="C832" s="5" t="n">
        <f aca="false">IF($A832="","",IF(ISNUMBER(Base_Bruta!C832),Base_Bruta!C832,IF(MID(Base_Bruta!C832,5,1)="-",DATE(VALUE(LEFT(Base_Bruta!C832,4)),VALUE(MID(Base_Bruta!C832,6,2)),VALUE(RIGHT(Base_Bruta!C832,2))),DATE(VALUE(RIGHT(Base_Bruta!C832,4)),VALUE(MID(Base_Bruta!C832,4,2)),VALUE(LEFT(Base_Bruta!C832,2))))))</f>
        <v>45822</v>
      </c>
      <c r="D832" s="4" t="str">
        <f aca="false">IF($A832="","",TRIM(Base_Bruta!D832))</f>
        <v>Show Nacional MPB - Rio</v>
      </c>
      <c r="E832" s="4" t="str">
        <f aca="false">IF($A832="","",_xlfn.XLOOKUP(LOWER(TRIM(Base_Bruta!E832)),DePara_Categoria!$A$2:$A$9,DePara_Categoria!$B$2:$B$9,"REVISAR"))</f>
        <v>Show</v>
      </c>
      <c r="F832" s="4" t="str">
        <f aca="false">IF($A832="","",_xlfn.XLOOKUP(LOWER(TRIM(Base_Bruta!F832)),DePara_Cidade!$A$2:$A$29,DePara_Cidade!$B$2:$B$29,"REVISAR"))</f>
        <v>Rio de Janeiro</v>
      </c>
      <c r="G832" s="4" t="str">
        <f aca="false">IF($A832="","",TRIM(Base_Bruta!G832))</f>
        <v>VIP</v>
      </c>
      <c r="H832" s="4" t="n">
        <f aca="false">IF($A832="","",IF(ISNUMBER(Base_Bruta!H832),Base_Bruta!H832,IFERROR(_xlfn.NUMBERVALUE(TRIM(SUBSTITUTE(Base_Bruta!H832,"R$","")),",","."),0)))</f>
        <v>2</v>
      </c>
      <c r="I832" s="6" t="n">
        <f aca="false">IF($A832="","",IF(ISNUMBER(Base_Bruta!I832),Base_Bruta!I832,IFERROR(_xlfn.NUMBERVALUE(TRIM(SUBSTITUTE(Base_Bruta!I832,"R$","")),",","."),0)))</f>
        <v>490</v>
      </c>
      <c r="J832" s="6" t="n">
        <f aca="false">IF($A832="","",H832*I832)</f>
        <v>980</v>
      </c>
      <c r="K832" s="4" t="str">
        <f aca="false">IF($A832="","",TRIM(Base_Bruta!J832))</f>
        <v>Site</v>
      </c>
      <c r="L832" s="4" t="str">
        <f aca="false">IF($A832="","",TRIM(Base_Bruta!K832))</f>
        <v>C02161</v>
      </c>
      <c r="M832" s="4" t="str">
        <f aca="false">IF($A832="","",_xlfn.XLOOKUP(LOWER(TRIM(Base_Bruta!L832)),DePara_Cidade!$A$2:$A$29,DePara_Cidade!$B$2:$B$29,"REVISAR"))</f>
        <v>Rio de Janeiro</v>
      </c>
      <c r="N832" s="4" t="str">
        <f aca="false">IF($A832="","",UPPER(TRIM(Base_Bruta!M832)))</f>
        <v>RJ</v>
      </c>
      <c r="O832" s="4" t="str">
        <f aca="false">IF($A832="","",_xlfn.XLOOKUP(LOWER(TRIM(Base_Bruta!N832)),DePara_Pais!$A$2:$A$9,DePara_Pais!$B$2:$B$9,"REVISAR"))</f>
        <v>Brasil</v>
      </c>
      <c r="P832" s="4" t="str">
        <f aca="false">IF($A832="","",IF(O832&lt;&gt;"Brasil","Turista Internacional",IF(M832=F832,"Local","Turista Nacional")))</f>
        <v>Local</v>
      </c>
      <c r="Q832" s="7" t="n">
        <f aca="false">IF($A832="","",DATE(YEAR(B832),MONTH(B832),1))</f>
        <v>45689</v>
      </c>
      <c r="R832" s="4" t="str">
        <f aca="false">IF($A832="","",IF(COUNTIF($A$2:$A832,$A832)&gt;1,"Sim","Não"))</f>
        <v>Não</v>
      </c>
      <c r="S832" s="4" t="str">
        <f aca="false">IF(A832="","Descartar - Linha vazia",IF(R832="Sim","Descartar - Duplicado",IF(OR(H832&lt;=0,I832&lt;=0),"Descartar - Qtd/Valor inválido","OK")))</f>
        <v>OK</v>
      </c>
      <c r="T832" s="4" t="str">
        <f aca="false">Base_Bruta!P832</f>
        <v>vendas_RJ.xlsx</v>
      </c>
    </row>
    <row r="833" customFormat="false" ht="15" hidden="false" customHeight="false" outlineLevel="0" collapsed="false">
      <c r="A833" s="4" t="str">
        <f aca="false">IF(Base_Bruta!A833="","",Base_Bruta!A833)</f>
        <v>RJ-000583</v>
      </c>
      <c r="B833" s="5" t="n">
        <f aca="false">IF($A833="","",IF(ISNUMBER(Base_Bruta!B833),Base_Bruta!B833,IF(MID(Base_Bruta!B833,5,1)="-",DATE(VALUE(LEFT(Base_Bruta!B833,4)),VALUE(MID(Base_Bruta!B833,6,2)),VALUE(RIGHT(Base_Bruta!B833,2))),DATE(VALUE(RIGHT(Base_Bruta!B833,4)),VALUE(MID(Base_Bruta!B833,4,2)),VALUE(LEFT(Base_Bruta!B833,2))))))</f>
        <v>45706</v>
      </c>
      <c r="C833" s="5" t="n">
        <f aca="false">IF($A833="","",IF(ISNUMBER(Base_Bruta!C833),Base_Bruta!C833,IF(MID(Base_Bruta!C833,5,1)="-",DATE(VALUE(LEFT(Base_Bruta!C833,4)),VALUE(MID(Base_Bruta!C833,6,2)),VALUE(RIGHT(Base_Bruta!C833,2))),DATE(VALUE(RIGHT(Base_Bruta!C833,4)),VALUE(MID(Base_Bruta!C833,4,2)),VALUE(LEFT(Base_Bruta!C833,2))))))</f>
        <v>45706</v>
      </c>
      <c r="D833" s="4" t="str">
        <f aca="false">IF($A833="","",TRIM(Base_Bruta!D833))</f>
        <v>Cinema Barra - Sessões</v>
      </c>
      <c r="E833" s="4" t="str">
        <f aca="false">IF($A833="","",_xlfn.XLOOKUP(LOWER(TRIM(Base_Bruta!E833)),DePara_Categoria!$A$2:$A$9,DePara_Categoria!$B$2:$B$9,"REVISAR"))</f>
        <v>Cinema</v>
      </c>
      <c r="F833" s="4" t="str">
        <f aca="false">IF($A833="","",_xlfn.XLOOKUP(LOWER(TRIM(Base_Bruta!F833)),DePara_Cidade!$A$2:$A$29,DePara_Cidade!$B$2:$B$29,"REVISAR"))</f>
        <v>Rio de Janeiro</v>
      </c>
      <c r="G833" s="4" t="str">
        <f aca="false">IF($A833="","",TRIM(Base_Bruta!G833))</f>
        <v>Meia</v>
      </c>
      <c r="H833" s="4" t="n">
        <f aca="false">IF($A833="","",IF(ISNUMBER(Base_Bruta!H833),Base_Bruta!H833,IFERROR(_xlfn.NUMBERVALUE(TRIM(SUBSTITUTE(Base_Bruta!H833,"R$","")),",","."),0)))</f>
        <v>3</v>
      </c>
      <c r="I833" s="6" t="n">
        <f aca="false">IF($A833="","",IF(ISNUMBER(Base_Bruta!I833),Base_Bruta!I833,IFERROR(_xlfn.NUMBERVALUE(TRIM(SUBSTITUTE(Base_Bruta!I833,"R$","")),",","."),0)))</f>
        <v>15</v>
      </c>
      <c r="J833" s="6" t="n">
        <f aca="false">IF($A833="","",H833*I833)</f>
        <v>45</v>
      </c>
      <c r="K833" s="4" t="str">
        <f aca="false">IF($A833="","",TRIM(Base_Bruta!J833))</f>
        <v>App</v>
      </c>
      <c r="L833" s="4" t="str">
        <f aca="false">IF($A833="","",TRIM(Base_Bruta!K833))</f>
        <v>C01497</v>
      </c>
      <c r="M833" s="4" t="str">
        <f aca="false">IF($A833="","",_xlfn.XLOOKUP(LOWER(TRIM(Base_Bruta!L833)),DePara_Cidade!$A$2:$A$29,DePara_Cidade!$B$2:$B$29,"REVISAR"))</f>
        <v>Rio de Janeiro</v>
      </c>
      <c r="N833" s="4" t="str">
        <f aca="false">IF($A833="","",UPPER(TRIM(Base_Bruta!M833)))</f>
        <v>RJ</v>
      </c>
      <c r="O833" s="4" t="str">
        <f aca="false">IF($A833="","",_xlfn.XLOOKUP(LOWER(TRIM(Base_Bruta!N833)),DePara_Pais!$A$2:$A$9,DePara_Pais!$B$2:$B$9,"REVISAR"))</f>
        <v>Brasil</v>
      </c>
      <c r="P833" s="4" t="str">
        <f aca="false">IF($A833="","",IF(O833&lt;&gt;"Brasil","Turista Internacional",IF(M833=F833,"Local","Turista Nacional")))</f>
        <v>Local</v>
      </c>
      <c r="Q833" s="7" t="n">
        <f aca="false">IF($A833="","",DATE(YEAR(B833),MONTH(B833),1))</f>
        <v>45689</v>
      </c>
      <c r="R833" s="4" t="str">
        <f aca="false">IF($A833="","",IF(COUNTIF($A$2:$A833,$A833)&gt;1,"Sim","Não"))</f>
        <v>Não</v>
      </c>
      <c r="S833" s="4" t="str">
        <f aca="false">IF(A833="","Descartar - Linha vazia",IF(R833="Sim","Descartar - Duplicado",IF(OR(H833&lt;=0,I833&lt;=0),"Descartar - Qtd/Valor inválido","OK")))</f>
        <v>OK</v>
      </c>
      <c r="T833" s="4" t="str">
        <f aca="false">Base_Bruta!P833</f>
        <v>vendas_RJ.xlsx</v>
      </c>
    </row>
    <row r="834" customFormat="false" ht="15" hidden="false" customHeight="false" outlineLevel="0" collapsed="false">
      <c r="A834" s="4" t="str">
        <f aca="false">IF(Base_Bruta!A834="","",Base_Bruta!A834)</f>
        <v>RJ-000612</v>
      </c>
      <c r="B834" s="5" t="n">
        <f aca="false">IF($A834="","",IF(ISNUMBER(Base_Bruta!B834),Base_Bruta!B834,IF(MID(Base_Bruta!B834,5,1)="-",DATE(VALUE(LEFT(Base_Bruta!B834,4)),VALUE(MID(Base_Bruta!B834,6,2)),VALUE(RIGHT(Base_Bruta!B834,2))),DATE(VALUE(RIGHT(Base_Bruta!B834,4)),VALUE(MID(Base_Bruta!B834,4,2)),VALUE(LEFT(Base_Bruta!B834,2))))))</f>
        <v>45706</v>
      </c>
      <c r="C834" s="5" t="n">
        <f aca="false">IF($A834="","",IF(ISNUMBER(Base_Bruta!C834),Base_Bruta!C834,IF(MID(Base_Bruta!C834,5,1)="-",DATE(VALUE(LEFT(Base_Bruta!C834,4)),VALUE(MID(Base_Bruta!C834,6,2)),VALUE(RIGHT(Base_Bruta!C834,2))),DATE(VALUE(RIGHT(Base_Bruta!C834,4)),VALUE(MID(Base_Bruta!C834,4,2)),VALUE(LEFT(Base_Bruta!C834,2))))))</f>
        <v>45709</v>
      </c>
      <c r="D834" s="4" t="str">
        <f aca="false">IF($A834="","",TRIM(Base_Bruta!D834))</f>
        <v>Cinema Barra - Sessões</v>
      </c>
      <c r="E834" s="4" t="str">
        <f aca="false">IF($A834="","",_xlfn.XLOOKUP(LOWER(TRIM(Base_Bruta!E834)),DePara_Categoria!$A$2:$A$9,DePara_Categoria!$B$2:$B$9,"REVISAR"))</f>
        <v>Cinema</v>
      </c>
      <c r="F834" s="4" t="str">
        <f aca="false">IF($A834="","",_xlfn.XLOOKUP(LOWER(TRIM(Base_Bruta!F834)),DePara_Cidade!$A$2:$A$29,DePara_Cidade!$B$2:$B$29,"REVISAR"))</f>
        <v>Rio de Janeiro</v>
      </c>
      <c r="G834" s="4" t="str">
        <f aca="false">IF($A834="","",TRIM(Base_Bruta!G834))</f>
        <v>Inteira</v>
      </c>
      <c r="H834" s="4" t="n">
        <f aca="false">IF($A834="","",IF(ISNUMBER(Base_Bruta!H834),Base_Bruta!H834,IFERROR(_xlfn.NUMBERVALUE(TRIM(SUBSTITUTE(Base_Bruta!H834,"R$","")),",","."),0)))</f>
        <v>1</v>
      </c>
      <c r="I834" s="6" t="n">
        <f aca="false">IF($A834="","",IF(ISNUMBER(Base_Bruta!I834),Base_Bruta!I834,IFERROR(_xlfn.NUMBERVALUE(TRIM(SUBSTITUTE(Base_Bruta!I834,"R$","")),",","."),0)))</f>
        <v>35</v>
      </c>
      <c r="J834" s="6" t="n">
        <f aca="false">IF($A834="","",H834*I834)</f>
        <v>35</v>
      </c>
      <c r="K834" s="4" t="str">
        <f aca="false">IF($A834="","",TRIM(Base_Bruta!J834))</f>
        <v>Site</v>
      </c>
      <c r="L834" s="4" t="str">
        <f aca="false">IF($A834="","",TRIM(Base_Bruta!K834))</f>
        <v>C01872</v>
      </c>
      <c r="M834" s="4" t="str">
        <f aca="false">IF($A834="","",_xlfn.XLOOKUP(LOWER(TRIM(Base_Bruta!L834)),DePara_Cidade!$A$2:$A$29,DePara_Cidade!$B$2:$B$29,"REVISAR"))</f>
        <v>Rio de Janeiro</v>
      </c>
      <c r="N834" s="4" t="str">
        <f aca="false">IF($A834="","",UPPER(TRIM(Base_Bruta!M834)))</f>
        <v>RJ</v>
      </c>
      <c r="O834" s="4" t="str">
        <f aca="false">IF($A834="","",_xlfn.XLOOKUP(LOWER(TRIM(Base_Bruta!N834)),DePara_Pais!$A$2:$A$9,DePara_Pais!$B$2:$B$9,"REVISAR"))</f>
        <v>Brasil</v>
      </c>
      <c r="P834" s="4" t="str">
        <f aca="false">IF($A834="","",IF(O834&lt;&gt;"Brasil","Turista Internacional",IF(M834=F834,"Local","Turista Nacional")))</f>
        <v>Local</v>
      </c>
      <c r="Q834" s="7" t="n">
        <f aca="false">IF($A834="","",DATE(YEAR(B834),MONTH(B834),1))</f>
        <v>45689</v>
      </c>
      <c r="R834" s="4" t="str">
        <f aca="false">IF($A834="","",IF(COUNTIF($A$2:$A834,$A834)&gt;1,"Sim","Não"))</f>
        <v>Não</v>
      </c>
      <c r="S834" s="4" t="str">
        <f aca="false">IF(A834="","Descartar - Linha vazia",IF(R834="Sim","Descartar - Duplicado",IF(OR(H834&lt;=0,I834&lt;=0),"Descartar - Qtd/Valor inválido","OK")))</f>
        <v>OK</v>
      </c>
      <c r="T834" s="4" t="str">
        <f aca="false">Base_Bruta!P834</f>
        <v>vendas_RJ.xlsx</v>
      </c>
    </row>
    <row r="835" customFormat="false" ht="15" hidden="false" customHeight="false" outlineLevel="0" collapsed="false">
      <c r="A835" s="4" t="str">
        <f aca="false">IF(Base_Bruta!A835="","",Base_Bruta!A835)</f>
        <v>RJ-000619</v>
      </c>
      <c r="B835" s="5" t="n">
        <f aca="false">IF($A835="","",IF(ISNUMBER(Base_Bruta!B835),Base_Bruta!B835,IF(MID(Base_Bruta!B835,5,1)="-",DATE(VALUE(LEFT(Base_Bruta!B835,4)),VALUE(MID(Base_Bruta!B835,6,2)),VALUE(RIGHT(Base_Bruta!B835,2))),DATE(VALUE(RIGHT(Base_Bruta!B835,4)),VALUE(MID(Base_Bruta!B835,4,2)),VALUE(LEFT(Base_Bruta!B835,2))))))</f>
        <v>45706</v>
      </c>
      <c r="C835" s="5" t="n">
        <f aca="false">IF($A835="","",IF(ISNUMBER(Base_Bruta!C835),Base_Bruta!C835,IF(MID(Base_Bruta!C835,5,1)="-",DATE(VALUE(LEFT(Base_Bruta!C835,4)),VALUE(MID(Base_Bruta!C835,6,2)),VALUE(RIGHT(Base_Bruta!C835,2))),DATE(VALUE(RIGHT(Base_Bruta!C835,4)),VALUE(MID(Base_Bruta!C835,4,2)),VALUE(LEFT(Base_Bruta!C835,2))))))</f>
        <v>45708</v>
      </c>
      <c r="D835" s="4" t="str">
        <f aca="false">IF($A835="","",TRIM(Base_Bruta!D835))</f>
        <v>Cinema Barra - Sessões</v>
      </c>
      <c r="E835" s="4" t="str">
        <f aca="false">IF($A835="","",_xlfn.XLOOKUP(LOWER(TRIM(Base_Bruta!E835)),DePara_Categoria!$A$2:$A$9,DePara_Categoria!$B$2:$B$9,"REVISAR"))</f>
        <v>Cinema</v>
      </c>
      <c r="F835" s="4" t="str">
        <f aca="false">IF($A835="","",_xlfn.XLOOKUP(LOWER(TRIM(Base_Bruta!F835)),DePara_Cidade!$A$2:$A$29,DePara_Cidade!$B$2:$B$29,"REVISAR"))</f>
        <v>Rio de Janeiro</v>
      </c>
      <c r="G835" s="4" t="str">
        <f aca="false">IF($A835="","",TRIM(Base_Bruta!G835))</f>
        <v>Meia</v>
      </c>
      <c r="H835" s="4" t="n">
        <f aca="false">IF($A835="","",IF(ISNUMBER(Base_Bruta!H835),Base_Bruta!H835,IFERROR(_xlfn.NUMBERVALUE(TRIM(SUBSTITUTE(Base_Bruta!H835,"R$","")),",","."),0)))</f>
        <v>1</v>
      </c>
      <c r="I835" s="6" t="n">
        <f aca="false">IF($A835="","",IF(ISNUMBER(Base_Bruta!I835),Base_Bruta!I835,IFERROR(_xlfn.NUMBERVALUE(TRIM(SUBSTITUTE(Base_Bruta!I835,"R$","")),",","."),0)))</f>
        <v>15</v>
      </c>
      <c r="J835" s="6" t="n">
        <f aca="false">IF($A835="","",H835*I835)</f>
        <v>15</v>
      </c>
      <c r="K835" s="4" t="str">
        <f aca="false">IF($A835="","",TRIM(Base_Bruta!J835))</f>
        <v>App</v>
      </c>
      <c r="L835" s="4" t="str">
        <f aca="false">IF($A835="","",TRIM(Base_Bruta!K835))</f>
        <v>C00546</v>
      </c>
      <c r="M835" s="4" t="str">
        <f aca="false">IF($A835="","",_xlfn.XLOOKUP(LOWER(TRIM(Base_Bruta!L835)),DePara_Cidade!$A$2:$A$29,DePara_Cidade!$B$2:$B$29,"REVISAR"))</f>
        <v>Rio de Janeiro</v>
      </c>
      <c r="N835" s="4" t="str">
        <f aca="false">IF($A835="","",UPPER(TRIM(Base_Bruta!M835)))</f>
        <v>RJ</v>
      </c>
      <c r="O835" s="4" t="str">
        <f aca="false">IF($A835="","",_xlfn.XLOOKUP(LOWER(TRIM(Base_Bruta!N835)),DePara_Pais!$A$2:$A$9,DePara_Pais!$B$2:$B$9,"REVISAR"))</f>
        <v>Brasil</v>
      </c>
      <c r="P835" s="4" t="str">
        <f aca="false">IF($A835="","",IF(O835&lt;&gt;"Brasil","Turista Internacional",IF(M835=F835,"Local","Turista Nacional")))</f>
        <v>Local</v>
      </c>
      <c r="Q835" s="7" t="n">
        <f aca="false">IF($A835="","",DATE(YEAR(B835),MONTH(B835),1))</f>
        <v>45689</v>
      </c>
      <c r="R835" s="4" t="str">
        <f aca="false">IF($A835="","",IF(COUNTIF($A$2:$A835,$A835)&gt;1,"Sim","Não"))</f>
        <v>Não</v>
      </c>
      <c r="S835" s="4" t="str">
        <f aca="false">IF(A835="","Descartar - Linha vazia",IF(R835="Sim","Descartar - Duplicado",IF(OR(H835&lt;=0,I835&lt;=0),"Descartar - Qtd/Valor inválido","OK")))</f>
        <v>OK</v>
      </c>
      <c r="T835" s="4" t="str">
        <f aca="false">Base_Bruta!P835</f>
        <v>vendas_RJ.xlsx</v>
      </c>
    </row>
    <row r="836" customFormat="false" ht="15" hidden="false" customHeight="false" outlineLevel="0" collapsed="false">
      <c r="A836" s="4" t="str">
        <f aca="false">IF(Base_Bruta!A836="","",Base_Bruta!A836)</f>
        <v>RJ-000330</v>
      </c>
      <c r="B836" s="5" t="n">
        <f aca="false">IF($A836="","",IF(ISNUMBER(Base_Bruta!B836),Base_Bruta!B836,IF(MID(Base_Bruta!B836,5,1)="-",DATE(VALUE(LEFT(Base_Bruta!B836,4)),VALUE(MID(Base_Bruta!B836,6,2)),VALUE(RIGHT(Base_Bruta!B836,2))),DATE(VALUE(RIGHT(Base_Bruta!B836,4)),VALUE(MID(Base_Bruta!B836,4,2)),VALUE(LEFT(Base_Bruta!B836,2))))))</f>
        <v>45708</v>
      </c>
      <c r="C836" s="5" t="n">
        <f aca="false">IF($A836="","",IF(ISNUMBER(Base_Bruta!C836),Base_Bruta!C836,IF(MID(Base_Bruta!C836,5,1)="-",DATE(VALUE(LEFT(Base_Bruta!C836,4)),VALUE(MID(Base_Bruta!C836,6,2)),VALUE(RIGHT(Base_Bruta!C836,2))),DATE(VALUE(RIGHT(Base_Bruta!C836,4)),VALUE(MID(Base_Bruta!C836,4,2)),VALUE(LEFT(Base_Bruta!C836,2))))))</f>
        <v>45822</v>
      </c>
      <c r="D836" s="4" t="str">
        <f aca="false">IF($A836="","",TRIM(Base_Bruta!D836))</f>
        <v>Show Nacional MPB - Rio</v>
      </c>
      <c r="E836" s="4" t="str">
        <f aca="false">IF($A836="","",_xlfn.XLOOKUP(LOWER(TRIM(Base_Bruta!E836)),DePara_Categoria!$A$2:$A$9,DePara_Categoria!$B$2:$B$9,"REVISAR"))</f>
        <v>Show</v>
      </c>
      <c r="F836" s="4" t="str">
        <f aca="false">IF($A836="","",_xlfn.XLOOKUP(LOWER(TRIM(Base_Bruta!F836)),DePara_Cidade!$A$2:$A$29,DePara_Cidade!$B$2:$B$29,"REVISAR"))</f>
        <v>Rio de Janeiro</v>
      </c>
      <c r="G836" s="4" t="str">
        <f aca="false">IF($A836="","",TRIM(Base_Bruta!G836))</f>
        <v>Inteira</v>
      </c>
      <c r="H836" s="4" t="n">
        <f aca="false">IF($A836="","",IF(ISNUMBER(Base_Bruta!H836),Base_Bruta!H836,IFERROR(_xlfn.NUMBERVALUE(TRIM(SUBSTITUTE(Base_Bruta!H836,"R$","")),",","."),0)))</f>
        <v>1</v>
      </c>
      <c r="I836" s="6" t="n">
        <f aca="false">IF($A836="","",IF(ISNUMBER(Base_Bruta!I836),Base_Bruta!I836,IFERROR(_xlfn.NUMBERVALUE(TRIM(SUBSTITUTE(Base_Bruta!I836,"R$","")),",","."),0)))</f>
        <v>475</v>
      </c>
      <c r="J836" s="6" t="n">
        <f aca="false">IF($A836="","",H836*I836)</f>
        <v>475</v>
      </c>
      <c r="K836" s="4" t="str">
        <f aca="false">IF($A836="","",TRIM(Base_Bruta!J836))</f>
        <v>App</v>
      </c>
      <c r="L836" s="4" t="str">
        <f aca="false">IF($A836="","",TRIM(Base_Bruta!K836))</f>
        <v>C01935</v>
      </c>
      <c r="M836" s="4" t="str">
        <f aca="false">IF($A836="","",_xlfn.XLOOKUP(LOWER(TRIM(Base_Bruta!L836)),DePara_Cidade!$A$2:$A$29,DePara_Cidade!$B$2:$B$29,"REVISAR"))</f>
        <v>São Paulo</v>
      </c>
      <c r="N836" s="4" t="str">
        <f aca="false">IF($A836="","",UPPER(TRIM(Base_Bruta!M836)))</f>
        <v>SP</v>
      </c>
      <c r="O836" s="4" t="str">
        <f aca="false">IF($A836="","",_xlfn.XLOOKUP(LOWER(TRIM(Base_Bruta!N836)),DePara_Pais!$A$2:$A$9,DePara_Pais!$B$2:$B$9,"REVISAR"))</f>
        <v>Brasil</v>
      </c>
      <c r="P836" s="4" t="str">
        <f aca="false">IF($A836="","",IF(O836&lt;&gt;"Brasil","Turista Internacional",IF(M836=F836,"Local","Turista Nacional")))</f>
        <v>Turista Nacional</v>
      </c>
      <c r="Q836" s="7" t="n">
        <f aca="false">IF($A836="","",DATE(YEAR(B836),MONTH(B836),1))</f>
        <v>45689</v>
      </c>
      <c r="R836" s="4" t="str">
        <f aca="false">IF($A836="","",IF(COUNTIF($A$2:$A836,$A836)&gt;1,"Sim","Não"))</f>
        <v>Não</v>
      </c>
      <c r="S836" s="4" t="str">
        <f aca="false">IF(A836="","Descartar - Linha vazia",IF(R836="Sim","Descartar - Duplicado",IF(OR(H836&lt;=0,I836&lt;=0),"Descartar - Qtd/Valor inválido","OK")))</f>
        <v>OK</v>
      </c>
      <c r="T836" s="4" t="str">
        <f aca="false">Base_Bruta!P836</f>
        <v>vendas_RJ.xlsx</v>
      </c>
    </row>
    <row r="837" customFormat="false" ht="15" hidden="false" customHeight="false" outlineLevel="0" collapsed="false">
      <c r="A837" s="4" t="str">
        <f aca="false">IF(Base_Bruta!A837="","",Base_Bruta!A837)</f>
        <v>RJ-000354</v>
      </c>
      <c r="B837" s="5" t="n">
        <f aca="false">IF($A837="","",IF(ISNUMBER(Base_Bruta!B837),Base_Bruta!B837,IF(MID(Base_Bruta!B837,5,1)="-",DATE(VALUE(LEFT(Base_Bruta!B837,4)),VALUE(MID(Base_Bruta!B837,6,2)),VALUE(RIGHT(Base_Bruta!B837,2))),DATE(VALUE(RIGHT(Base_Bruta!B837,4)),VALUE(MID(Base_Bruta!B837,4,2)),VALUE(LEFT(Base_Bruta!B837,2))))))</f>
        <v>45708</v>
      </c>
      <c r="C837" s="5" t="n">
        <f aca="false">IF($A837="","",IF(ISNUMBER(Base_Bruta!C837),Base_Bruta!C837,IF(MID(Base_Bruta!C837,5,1)="-",DATE(VALUE(LEFT(Base_Bruta!C837,4)),VALUE(MID(Base_Bruta!C837,6,2)),VALUE(RIGHT(Base_Bruta!C837,2))),DATE(VALUE(RIGHT(Base_Bruta!C837,4)),VALUE(MID(Base_Bruta!C837,4,2)),VALUE(LEFT(Base_Bruta!C837,2))))))</f>
        <v>45822</v>
      </c>
      <c r="D837" s="4" t="str">
        <f aca="false">IF($A837="","",TRIM(Base_Bruta!D837))</f>
        <v>Show Nacional MPB - Rio</v>
      </c>
      <c r="E837" s="4" t="str">
        <f aca="false">IF($A837="","",_xlfn.XLOOKUP(LOWER(TRIM(Base_Bruta!E837)),DePara_Categoria!$A$2:$A$9,DePara_Categoria!$B$2:$B$9,"REVISAR"))</f>
        <v>Show</v>
      </c>
      <c r="F837" s="4" t="str">
        <f aca="false">IF($A837="","",_xlfn.XLOOKUP(LOWER(TRIM(Base_Bruta!F837)),DePara_Cidade!$A$2:$A$29,DePara_Cidade!$B$2:$B$29,"REVISAR"))</f>
        <v>Rio de Janeiro</v>
      </c>
      <c r="G837" s="4" t="str">
        <f aca="false">IF($A837="","",TRIM(Base_Bruta!G837))</f>
        <v>Inteira</v>
      </c>
      <c r="H837" s="4" t="n">
        <f aca="false">IF($A837="","",IF(ISNUMBER(Base_Bruta!H837),Base_Bruta!H837,IFERROR(_xlfn.NUMBERVALUE(TRIM(SUBSTITUTE(Base_Bruta!H837,"R$","")),",","."),0)))</f>
        <v>4</v>
      </c>
      <c r="I837" s="6" t="n">
        <f aca="false">IF($A837="","",IF(ISNUMBER(Base_Bruta!I837),Base_Bruta!I837,IFERROR(_xlfn.NUMBERVALUE(TRIM(SUBSTITUTE(Base_Bruta!I837,"R$","")),",","."),0)))</f>
        <v>300</v>
      </c>
      <c r="J837" s="6" t="n">
        <f aca="false">IF($A837="","",H837*I837)</f>
        <v>1200</v>
      </c>
      <c r="K837" s="4" t="str">
        <f aca="false">IF($A837="","",TRIM(Base_Bruta!J837))</f>
        <v>Bilheteria</v>
      </c>
      <c r="L837" s="4" t="str">
        <f aca="false">IF($A837="","",TRIM(Base_Bruta!K837))</f>
        <v>C01621</v>
      </c>
      <c r="M837" s="4" t="str">
        <f aca="false">IF($A837="","",_xlfn.XLOOKUP(LOWER(TRIM(Base_Bruta!L837)),DePara_Cidade!$A$2:$A$29,DePara_Cidade!$B$2:$B$29,"REVISAR"))</f>
        <v>Rio de Janeiro</v>
      </c>
      <c r="N837" s="4" t="str">
        <f aca="false">IF($A837="","",UPPER(TRIM(Base_Bruta!M837)))</f>
        <v>RJ</v>
      </c>
      <c r="O837" s="4" t="str">
        <f aca="false">IF($A837="","",_xlfn.XLOOKUP(LOWER(TRIM(Base_Bruta!N837)),DePara_Pais!$A$2:$A$9,DePara_Pais!$B$2:$B$9,"REVISAR"))</f>
        <v>Brasil</v>
      </c>
      <c r="P837" s="4" t="str">
        <f aca="false">IF($A837="","",IF(O837&lt;&gt;"Brasil","Turista Internacional",IF(M837=F837,"Local","Turista Nacional")))</f>
        <v>Local</v>
      </c>
      <c r="Q837" s="7" t="n">
        <f aca="false">IF($A837="","",DATE(YEAR(B837),MONTH(B837),1))</f>
        <v>45689</v>
      </c>
      <c r="R837" s="4" t="str">
        <f aca="false">IF($A837="","",IF(COUNTIF($A$2:$A837,$A837)&gt;1,"Sim","Não"))</f>
        <v>Não</v>
      </c>
      <c r="S837" s="4" t="str">
        <f aca="false">IF(A837="","Descartar - Linha vazia",IF(R837="Sim","Descartar - Duplicado",IF(OR(H837&lt;=0,I837&lt;=0),"Descartar - Qtd/Valor inválido","OK")))</f>
        <v>OK</v>
      </c>
      <c r="T837" s="4" t="str">
        <f aca="false">Base_Bruta!P837</f>
        <v>vendas_RJ.xlsx</v>
      </c>
    </row>
    <row r="838" customFormat="false" ht="15" hidden="false" customHeight="false" outlineLevel="0" collapsed="false">
      <c r="A838" s="4" t="str">
        <f aca="false">IF(Base_Bruta!A838="","",Base_Bruta!A838)</f>
        <v>RJ-000373</v>
      </c>
      <c r="B838" s="5" t="n">
        <f aca="false">IF($A838="","",IF(ISNUMBER(Base_Bruta!B838),Base_Bruta!B838,IF(MID(Base_Bruta!B838,5,1)="-",DATE(VALUE(LEFT(Base_Bruta!B838,4)),VALUE(MID(Base_Bruta!B838,6,2)),VALUE(RIGHT(Base_Bruta!B838,2))),DATE(VALUE(RIGHT(Base_Bruta!B838,4)),VALUE(MID(Base_Bruta!B838,4,2)),VALUE(LEFT(Base_Bruta!B838,2))))))</f>
        <v>45708</v>
      </c>
      <c r="C838" s="5" t="n">
        <f aca="false">IF($A838="","",IF(ISNUMBER(Base_Bruta!C838),Base_Bruta!C838,IF(MID(Base_Bruta!C838,5,1)="-",DATE(VALUE(LEFT(Base_Bruta!C838,4)),VALUE(MID(Base_Bruta!C838,6,2)),VALUE(RIGHT(Base_Bruta!C838,2))),DATE(VALUE(RIGHT(Base_Bruta!C838,4)),VALUE(MID(Base_Bruta!C838,4,2)),VALUE(LEFT(Base_Bruta!C838,2))))))</f>
        <v>45822</v>
      </c>
      <c r="D838" s="4" t="str">
        <f aca="false">IF($A838="","",TRIM(Base_Bruta!D838))</f>
        <v>Show Nacional MPB - Rio</v>
      </c>
      <c r="E838" s="4" t="str">
        <f aca="false">IF($A838="","",_xlfn.XLOOKUP(LOWER(TRIM(Base_Bruta!E838)),DePara_Categoria!$A$2:$A$9,DePara_Categoria!$B$2:$B$9,"REVISAR"))</f>
        <v>Show</v>
      </c>
      <c r="F838" s="4" t="str">
        <f aca="false">IF($A838="","",_xlfn.XLOOKUP(LOWER(TRIM(Base_Bruta!F838)),DePara_Cidade!$A$2:$A$29,DePara_Cidade!$B$2:$B$29,"REVISAR"))</f>
        <v>Rio de Janeiro</v>
      </c>
      <c r="G838" s="4" t="str">
        <f aca="false">IF($A838="","",TRIM(Base_Bruta!G838))</f>
        <v>Meia</v>
      </c>
      <c r="H838" s="4" t="n">
        <f aca="false">IF($A838="","",IF(ISNUMBER(Base_Bruta!H838),Base_Bruta!H838,IFERROR(_xlfn.NUMBERVALUE(TRIM(SUBSTITUTE(Base_Bruta!H838,"R$","")),",","."),0)))</f>
        <v>2</v>
      </c>
      <c r="I838" s="6" t="n">
        <f aca="false">IF($A838="","",IF(ISNUMBER(Base_Bruta!I838),Base_Bruta!I838,IFERROR(_xlfn.NUMBERVALUE(TRIM(SUBSTITUTE(Base_Bruta!I838,"R$","")),",","."),0)))</f>
        <v>185</v>
      </c>
      <c r="J838" s="6" t="n">
        <f aca="false">IF($A838="","",H838*I838)</f>
        <v>370</v>
      </c>
      <c r="K838" s="4" t="str">
        <f aca="false">IF($A838="","",TRIM(Base_Bruta!J838))</f>
        <v>Bilheteria</v>
      </c>
      <c r="L838" s="4" t="str">
        <f aca="false">IF($A838="","",TRIM(Base_Bruta!K838))</f>
        <v>C00731</v>
      </c>
      <c r="M838" s="4" t="str">
        <f aca="false">IF($A838="","",_xlfn.XLOOKUP(LOWER(TRIM(Base_Bruta!L838)),DePara_Cidade!$A$2:$A$29,DePara_Cidade!$B$2:$B$29,"REVISAR"))</f>
        <v>Niterói</v>
      </c>
      <c r="N838" s="4" t="str">
        <f aca="false">IF($A838="","",UPPER(TRIM(Base_Bruta!M838)))</f>
        <v>RJ</v>
      </c>
      <c r="O838" s="4" t="str">
        <f aca="false">IF($A838="","",_xlfn.XLOOKUP(LOWER(TRIM(Base_Bruta!N838)),DePara_Pais!$A$2:$A$9,DePara_Pais!$B$2:$B$9,"REVISAR"))</f>
        <v>Brasil</v>
      </c>
      <c r="P838" s="4" t="str">
        <f aca="false">IF($A838="","",IF(O838&lt;&gt;"Brasil","Turista Internacional",IF(M838=F838,"Local","Turista Nacional")))</f>
        <v>Turista Nacional</v>
      </c>
      <c r="Q838" s="7" t="n">
        <f aca="false">IF($A838="","",DATE(YEAR(B838),MONTH(B838),1))</f>
        <v>45689</v>
      </c>
      <c r="R838" s="4" t="str">
        <f aca="false">IF($A838="","",IF(COUNTIF($A$2:$A838,$A838)&gt;1,"Sim","Não"))</f>
        <v>Não</v>
      </c>
      <c r="S838" s="4" t="str">
        <f aca="false">IF(A838="","Descartar - Linha vazia",IF(R838="Sim","Descartar - Duplicado",IF(OR(H838&lt;=0,I838&lt;=0),"Descartar - Qtd/Valor inválido","OK")))</f>
        <v>OK</v>
      </c>
      <c r="T838" s="4" t="str">
        <f aca="false">Base_Bruta!P838</f>
        <v>vendas_RJ.xlsx</v>
      </c>
    </row>
    <row r="839" customFormat="false" ht="15" hidden="false" customHeight="false" outlineLevel="0" collapsed="false">
      <c r="A839" s="4" t="str">
        <f aca="false">IF(Base_Bruta!A839="","",Base_Bruta!A839)</f>
        <v>RJ-000360</v>
      </c>
      <c r="B839" s="5" t="n">
        <f aca="false">IF($A839="","",IF(ISNUMBER(Base_Bruta!B839),Base_Bruta!B839,IF(MID(Base_Bruta!B839,5,1)="-",DATE(VALUE(LEFT(Base_Bruta!B839,4)),VALUE(MID(Base_Bruta!B839,6,2)),VALUE(RIGHT(Base_Bruta!B839,2))),DATE(VALUE(RIGHT(Base_Bruta!B839,4)),VALUE(MID(Base_Bruta!B839,4,2)),VALUE(LEFT(Base_Bruta!B839,2))))))</f>
        <v>45709</v>
      </c>
      <c r="C839" s="5" t="n">
        <f aca="false">IF($A839="","",IF(ISNUMBER(Base_Bruta!C839),Base_Bruta!C839,IF(MID(Base_Bruta!C839,5,1)="-",DATE(VALUE(LEFT(Base_Bruta!C839,4)),VALUE(MID(Base_Bruta!C839,6,2)),VALUE(RIGHT(Base_Bruta!C839,2))),DATE(VALUE(RIGHT(Base_Bruta!C839,4)),VALUE(MID(Base_Bruta!C839,4,2)),VALUE(LEFT(Base_Bruta!C839,2))))))</f>
        <v>45822</v>
      </c>
      <c r="D839" s="4" t="str">
        <f aca="false">IF($A839="","",TRIM(Base_Bruta!D839))</f>
        <v>Show Nacional MPB - Rio</v>
      </c>
      <c r="E839" s="4" t="str">
        <f aca="false">IF($A839="","",_xlfn.XLOOKUP(LOWER(TRIM(Base_Bruta!E839)),DePara_Categoria!$A$2:$A$9,DePara_Categoria!$B$2:$B$9,"REVISAR"))</f>
        <v>Show</v>
      </c>
      <c r="F839" s="4" t="str">
        <f aca="false">IF($A839="","",_xlfn.XLOOKUP(LOWER(TRIM(Base_Bruta!F839)),DePara_Cidade!$A$2:$A$29,DePara_Cidade!$B$2:$B$29,"REVISAR"))</f>
        <v>Rio de Janeiro</v>
      </c>
      <c r="G839" s="4" t="str">
        <f aca="false">IF($A839="","",TRIM(Base_Bruta!G839))</f>
        <v>Inteira</v>
      </c>
      <c r="H839" s="4" t="n">
        <f aca="false">IF($A839="","",IF(ISNUMBER(Base_Bruta!H839),Base_Bruta!H839,IFERROR(_xlfn.NUMBERVALUE(TRIM(SUBSTITUTE(Base_Bruta!H839,"R$","")),",","."),0)))</f>
        <v>1</v>
      </c>
      <c r="I839" s="6" t="n">
        <f aca="false">IF($A839="","",IF(ISNUMBER(Base_Bruta!I839),Base_Bruta!I839,IFERROR(_xlfn.NUMBERVALUE(TRIM(SUBSTITUTE(Base_Bruta!I839,"R$","")),",","."),0)))</f>
        <v>600</v>
      </c>
      <c r="J839" s="6" t="n">
        <f aca="false">IF($A839="","",H839*I839)</f>
        <v>600</v>
      </c>
      <c r="K839" s="4" t="str">
        <f aca="false">IF($A839="","",TRIM(Base_Bruta!J839))</f>
        <v>Site</v>
      </c>
      <c r="L839" s="4" t="str">
        <f aca="false">IF($A839="","",TRIM(Base_Bruta!K839))</f>
        <v>C01437</v>
      </c>
      <c r="M839" s="4" t="str">
        <f aca="false">IF($A839="","",_xlfn.XLOOKUP(LOWER(TRIM(Base_Bruta!L839)),DePara_Cidade!$A$2:$A$29,DePara_Cidade!$B$2:$B$29,"REVISAR"))</f>
        <v>Rio de Janeiro</v>
      </c>
      <c r="N839" s="4" t="str">
        <f aca="false">IF($A839="","",UPPER(TRIM(Base_Bruta!M839)))</f>
        <v>RJ</v>
      </c>
      <c r="O839" s="4" t="str">
        <f aca="false">IF($A839="","",_xlfn.XLOOKUP(LOWER(TRIM(Base_Bruta!N839)),DePara_Pais!$A$2:$A$9,DePara_Pais!$B$2:$B$9,"REVISAR"))</f>
        <v>Brasil</v>
      </c>
      <c r="P839" s="4" t="str">
        <f aca="false">IF($A839="","",IF(O839&lt;&gt;"Brasil","Turista Internacional",IF(M839=F839,"Local","Turista Nacional")))</f>
        <v>Local</v>
      </c>
      <c r="Q839" s="7" t="n">
        <f aca="false">IF($A839="","",DATE(YEAR(B839),MONTH(B839),1))</f>
        <v>45689</v>
      </c>
      <c r="R839" s="4" t="str">
        <f aca="false">IF($A839="","",IF(COUNTIF($A$2:$A839,$A839)&gt;1,"Sim","Não"))</f>
        <v>Não</v>
      </c>
      <c r="S839" s="4" t="str">
        <f aca="false">IF(A839="","Descartar - Linha vazia",IF(R839="Sim","Descartar - Duplicado",IF(OR(H839&lt;=0,I839&lt;=0),"Descartar - Qtd/Valor inválido","OK")))</f>
        <v>OK</v>
      </c>
      <c r="T839" s="4" t="str">
        <f aca="false">Base_Bruta!P839</f>
        <v>vendas_RJ.xlsx</v>
      </c>
    </row>
    <row r="840" customFormat="false" ht="15" hidden="false" customHeight="false" outlineLevel="0" collapsed="false">
      <c r="A840" s="4" t="str">
        <f aca="false">IF(Base_Bruta!A840="","",Base_Bruta!A840)</f>
        <v>RJ-000247</v>
      </c>
      <c r="B840" s="5" t="n">
        <f aca="false">IF($A840="","",IF(ISNUMBER(Base_Bruta!B840),Base_Bruta!B840,IF(MID(Base_Bruta!B840,5,1)="-",DATE(VALUE(LEFT(Base_Bruta!B840,4)),VALUE(MID(Base_Bruta!B840,6,2)),VALUE(RIGHT(Base_Bruta!B840,2))),DATE(VALUE(RIGHT(Base_Bruta!B840,4)),VALUE(MID(Base_Bruta!B840,4,2)),VALUE(LEFT(Base_Bruta!B840,2))))))</f>
        <v>45710</v>
      </c>
      <c r="C840" s="5" t="n">
        <f aca="false">IF($A840="","",IF(ISNUMBER(Base_Bruta!C840),Base_Bruta!C840,IF(MID(Base_Bruta!C840,5,1)="-",DATE(VALUE(LEFT(Base_Bruta!C840,4)),VALUE(MID(Base_Bruta!C840,6,2)),VALUE(RIGHT(Base_Bruta!C840,2))),DATE(VALUE(RIGHT(Base_Bruta!C840,4)),VALUE(MID(Base_Bruta!C840,4,2)),VALUE(LEFT(Base_Bruta!C840,2))))))</f>
        <v>45822</v>
      </c>
      <c r="D840" s="4" t="str">
        <f aca="false">IF($A840="","",TRIM(Base_Bruta!D840))</f>
        <v>Show Nacional MPB - Rio</v>
      </c>
      <c r="E840" s="4" t="str">
        <f aca="false">IF($A840="","",_xlfn.XLOOKUP(LOWER(TRIM(Base_Bruta!E840)),DePara_Categoria!$A$2:$A$9,DePara_Categoria!$B$2:$B$9,"REVISAR"))</f>
        <v>Show</v>
      </c>
      <c r="F840" s="4" t="str">
        <f aca="false">IF($A840="","",_xlfn.XLOOKUP(LOWER(TRIM(Base_Bruta!F840)),DePara_Cidade!$A$2:$A$29,DePara_Cidade!$B$2:$B$29,"REVISAR"))</f>
        <v>Rio de Janeiro</v>
      </c>
      <c r="G840" s="4" t="str">
        <f aca="false">IF($A840="","",TRIM(Base_Bruta!G840))</f>
        <v>Inteira</v>
      </c>
      <c r="H840" s="4" t="n">
        <f aca="false">IF($A840="","",IF(ISNUMBER(Base_Bruta!H840),Base_Bruta!H840,IFERROR(_xlfn.NUMBERVALUE(TRIM(SUBSTITUTE(Base_Bruta!H840,"R$","")),",","."),0)))</f>
        <v>1</v>
      </c>
      <c r="I840" s="6" t="n">
        <f aca="false">IF($A840="","",IF(ISNUMBER(Base_Bruta!I840),Base_Bruta!I840,IFERROR(_xlfn.NUMBERVALUE(TRIM(SUBSTITUTE(Base_Bruta!I840,"R$","")),",","."),0)))</f>
        <v>240</v>
      </c>
      <c r="J840" s="6" t="n">
        <f aca="false">IF($A840="","",H840*I840)</f>
        <v>240</v>
      </c>
      <c r="K840" s="4" t="str">
        <f aca="false">IF($A840="","",TRIM(Base_Bruta!J840))</f>
        <v>App</v>
      </c>
      <c r="L840" s="4" t="str">
        <f aca="false">IF($A840="","",TRIM(Base_Bruta!K840))</f>
        <v>C01526</v>
      </c>
      <c r="M840" s="4" t="str">
        <f aca="false">IF($A840="","",_xlfn.XLOOKUP(LOWER(TRIM(Base_Bruta!L840)),DePara_Cidade!$A$2:$A$29,DePara_Cidade!$B$2:$B$29,"REVISAR"))</f>
        <v>Rio de Janeiro</v>
      </c>
      <c r="N840" s="4" t="str">
        <f aca="false">IF($A840="","",UPPER(TRIM(Base_Bruta!M840)))</f>
        <v>RJ</v>
      </c>
      <c r="O840" s="4" t="str">
        <f aca="false">IF($A840="","",_xlfn.XLOOKUP(LOWER(TRIM(Base_Bruta!N840)),DePara_Pais!$A$2:$A$9,DePara_Pais!$B$2:$B$9,"REVISAR"))</f>
        <v>Brasil</v>
      </c>
      <c r="P840" s="4" t="str">
        <f aca="false">IF($A840="","",IF(O840&lt;&gt;"Brasil","Turista Internacional",IF(M840=F840,"Local","Turista Nacional")))</f>
        <v>Local</v>
      </c>
      <c r="Q840" s="7" t="n">
        <f aca="false">IF($A840="","",DATE(YEAR(B840),MONTH(B840),1))</f>
        <v>45689</v>
      </c>
      <c r="R840" s="4" t="str">
        <f aca="false">IF($A840="","",IF(COUNTIF($A$2:$A840,$A840)&gt;1,"Sim","Não"))</f>
        <v>Não</v>
      </c>
      <c r="S840" s="4" t="str">
        <f aca="false">IF(A840="","Descartar - Linha vazia",IF(R840="Sim","Descartar - Duplicado",IF(OR(H840&lt;=0,I840&lt;=0),"Descartar - Qtd/Valor inválido","OK")))</f>
        <v>OK</v>
      </c>
      <c r="T840" s="4" t="str">
        <f aca="false">Base_Bruta!P840</f>
        <v>vendas_RJ.xlsx</v>
      </c>
    </row>
    <row r="841" customFormat="false" ht="15" hidden="false" customHeight="false" outlineLevel="0" collapsed="false">
      <c r="A841" s="4" t="str">
        <f aca="false">IF(Base_Bruta!A841="","",Base_Bruta!A841)</f>
        <v>RJ-000338</v>
      </c>
      <c r="B841" s="5" t="n">
        <f aca="false">IF($A841="","",IF(ISNUMBER(Base_Bruta!B841),Base_Bruta!B841,IF(MID(Base_Bruta!B841,5,1)="-",DATE(VALUE(LEFT(Base_Bruta!B841,4)),VALUE(MID(Base_Bruta!B841,6,2)),VALUE(RIGHT(Base_Bruta!B841,2))),DATE(VALUE(RIGHT(Base_Bruta!B841,4)),VALUE(MID(Base_Bruta!B841,4,2)),VALUE(LEFT(Base_Bruta!B841,2))))))</f>
        <v>45710</v>
      </c>
      <c r="C841" s="5" t="n">
        <f aca="false">IF($A841="","",IF(ISNUMBER(Base_Bruta!C841),Base_Bruta!C841,IF(MID(Base_Bruta!C841,5,1)="-",DATE(VALUE(LEFT(Base_Bruta!C841,4)),VALUE(MID(Base_Bruta!C841,6,2)),VALUE(RIGHT(Base_Bruta!C841,2))),DATE(VALUE(RIGHT(Base_Bruta!C841,4)),VALUE(MID(Base_Bruta!C841,4,2)),VALUE(LEFT(Base_Bruta!C841,2))))))</f>
        <v>45822</v>
      </c>
      <c r="D841" s="4" t="str">
        <f aca="false">IF($A841="","",TRIM(Base_Bruta!D841))</f>
        <v>Show Nacional MPB - Rio</v>
      </c>
      <c r="E841" s="4" t="str">
        <f aca="false">IF($A841="","",_xlfn.XLOOKUP(LOWER(TRIM(Base_Bruta!E841)),DePara_Categoria!$A$2:$A$9,DePara_Categoria!$B$2:$B$9,"REVISAR"))</f>
        <v>Show</v>
      </c>
      <c r="F841" s="4" t="str">
        <f aca="false">IF($A841="","",_xlfn.XLOOKUP(LOWER(TRIM(Base_Bruta!F841)),DePara_Cidade!$A$2:$A$29,DePara_Cidade!$B$2:$B$29,"REVISAR"))</f>
        <v>Rio de Janeiro</v>
      </c>
      <c r="G841" s="4" t="str">
        <f aca="false">IF($A841="","",TRIM(Base_Bruta!G841))</f>
        <v>Inteira</v>
      </c>
      <c r="H841" s="4" t="n">
        <f aca="false">IF($A841="","",IF(ISNUMBER(Base_Bruta!H841),Base_Bruta!H841,IFERROR(_xlfn.NUMBERVALUE(TRIM(SUBSTITUTE(Base_Bruta!H841,"R$","")),",","."),0)))</f>
        <v>0</v>
      </c>
      <c r="I841" s="6" t="n">
        <f aca="false">IF($A841="","",IF(ISNUMBER(Base_Bruta!I841),Base_Bruta!I841,IFERROR(_xlfn.NUMBERVALUE(TRIM(SUBSTITUTE(Base_Bruta!I841,"R$","")),",","."),0)))</f>
        <v>675</v>
      </c>
      <c r="J841" s="6" t="n">
        <f aca="false">IF($A841="","",H841*I841)</f>
        <v>0</v>
      </c>
      <c r="K841" s="4" t="str">
        <f aca="false">IF($A841="","",TRIM(Base_Bruta!J841))</f>
        <v>Site</v>
      </c>
      <c r="L841" s="4" t="str">
        <f aca="false">IF($A841="","",TRIM(Base_Bruta!K841))</f>
        <v>C01260</v>
      </c>
      <c r="M841" s="4" t="str">
        <f aca="false">IF($A841="","",_xlfn.XLOOKUP(LOWER(TRIM(Base_Bruta!L841)),DePara_Cidade!$A$2:$A$29,DePara_Cidade!$B$2:$B$29,"REVISAR"))</f>
        <v>Florianópolis</v>
      </c>
      <c r="N841" s="4" t="str">
        <f aca="false">IF($A841="","",UPPER(TRIM(Base_Bruta!M841)))</f>
        <v>SC</v>
      </c>
      <c r="O841" s="4" t="str">
        <f aca="false">IF($A841="","",_xlfn.XLOOKUP(LOWER(TRIM(Base_Bruta!N841)),DePara_Pais!$A$2:$A$9,DePara_Pais!$B$2:$B$9,"REVISAR"))</f>
        <v>Brasil</v>
      </c>
      <c r="P841" s="4" t="str">
        <f aca="false">IF($A841="","",IF(O841&lt;&gt;"Brasil","Turista Internacional",IF(M841=F841,"Local","Turista Nacional")))</f>
        <v>Turista Nacional</v>
      </c>
      <c r="Q841" s="7" t="n">
        <f aca="false">IF($A841="","",DATE(YEAR(B841),MONTH(B841),1))</f>
        <v>45689</v>
      </c>
      <c r="R841" s="4" t="str">
        <f aca="false">IF($A841="","",IF(COUNTIF($A$2:$A841,$A841)&gt;1,"Sim","Não"))</f>
        <v>Não</v>
      </c>
      <c r="S841" s="4" t="str">
        <f aca="false">IF(A841="","Descartar - Linha vazia",IF(R841="Sim","Descartar - Duplicado",IF(OR(H841&lt;=0,I841&lt;=0),"Descartar - Qtd/Valor inválido","OK")))</f>
        <v>Descartar - Qtd/Valor inválido</v>
      </c>
      <c r="T841" s="4" t="str">
        <f aca="false">Base_Bruta!P841</f>
        <v>vendas_RJ.xlsx</v>
      </c>
    </row>
    <row r="842" customFormat="false" ht="15" hidden="false" customHeight="false" outlineLevel="0" collapsed="false">
      <c r="A842" s="4" t="str">
        <f aca="false">IF(Base_Bruta!A842="","",Base_Bruta!A842)</f>
        <v>RJ-000357</v>
      </c>
      <c r="B842" s="5" t="n">
        <f aca="false">IF($A842="","",IF(ISNUMBER(Base_Bruta!B842),Base_Bruta!B842,IF(MID(Base_Bruta!B842,5,1)="-",DATE(VALUE(LEFT(Base_Bruta!B842,4)),VALUE(MID(Base_Bruta!B842,6,2)),VALUE(RIGHT(Base_Bruta!B842,2))),DATE(VALUE(RIGHT(Base_Bruta!B842,4)),VALUE(MID(Base_Bruta!B842,4,2)),VALUE(LEFT(Base_Bruta!B842,2))))))</f>
        <v>45710</v>
      </c>
      <c r="C842" s="5" t="n">
        <f aca="false">IF($A842="","",IF(ISNUMBER(Base_Bruta!C842),Base_Bruta!C842,IF(MID(Base_Bruta!C842,5,1)="-",DATE(VALUE(LEFT(Base_Bruta!C842,4)),VALUE(MID(Base_Bruta!C842,6,2)),VALUE(RIGHT(Base_Bruta!C842,2))),DATE(VALUE(RIGHT(Base_Bruta!C842,4)),VALUE(MID(Base_Bruta!C842,4,2)),VALUE(LEFT(Base_Bruta!C842,2))))))</f>
        <v>45822</v>
      </c>
      <c r="D842" s="4" t="str">
        <f aca="false">IF($A842="","",TRIM(Base_Bruta!D842))</f>
        <v>Show Nacional MPB - Rio</v>
      </c>
      <c r="E842" s="4" t="str">
        <f aca="false">IF($A842="","",_xlfn.XLOOKUP(LOWER(TRIM(Base_Bruta!E842)),DePara_Categoria!$A$2:$A$9,DePara_Categoria!$B$2:$B$9,"REVISAR"))</f>
        <v>Show</v>
      </c>
      <c r="F842" s="4" t="str">
        <f aca="false">IF($A842="","",_xlfn.XLOOKUP(LOWER(TRIM(Base_Bruta!F842)),DePara_Cidade!$A$2:$A$29,DePara_Cidade!$B$2:$B$29,"REVISAR"))</f>
        <v>Rio de Janeiro</v>
      </c>
      <c r="G842" s="4" t="str">
        <f aca="false">IF($A842="","",TRIM(Base_Bruta!G842))</f>
        <v>Inteira</v>
      </c>
      <c r="H842" s="4" t="n">
        <f aca="false">IF($A842="","",IF(ISNUMBER(Base_Bruta!H842),Base_Bruta!H842,IFERROR(_xlfn.NUMBERVALUE(TRIM(SUBSTITUTE(Base_Bruta!H842,"R$","")),",","."),0)))</f>
        <v>3</v>
      </c>
      <c r="I842" s="6" t="n">
        <f aca="false">IF($A842="","",IF(ISNUMBER(Base_Bruta!I842),Base_Bruta!I842,IFERROR(_xlfn.NUMBERVALUE(TRIM(SUBSTITUTE(Base_Bruta!I842,"R$","")),",","."),0)))</f>
        <v>305</v>
      </c>
      <c r="J842" s="6" t="n">
        <f aca="false">IF($A842="","",H842*I842)</f>
        <v>915</v>
      </c>
      <c r="K842" s="4" t="str">
        <f aca="false">IF($A842="","",TRIM(Base_Bruta!J842))</f>
        <v>Site</v>
      </c>
      <c r="L842" s="4" t="str">
        <f aca="false">IF($A842="","",TRIM(Base_Bruta!K842))</f>
        <v>C01107</v>
      </c>
      <c r="M842" s="4" t="str">
        <f aca="false">IF($A842="","",_xlfn.XLOOKUP(LOWER(TRIM(Base_Bruta!L842)),DePara_Cidade!$A$2:$A$29,DePara_Cidade!$B$2:$B$29,"REVISAR"))</f>
        <v>Santos</v>
      </c>
      <c r="N842" s="4" t="str">
        <f aca="false">IF($A842="","",UPPER(TRIM(Base_Bruta!M842)))</f>
        <v>SP</v>
      </c>
      <c r="O842" s="4" t="str">
        <f aca="false">IF($A842="","",_xlfn.XLOOKUP(LOWER(TRIM(Base_Bruta!N842)),DePara_Pais!$A$2:$A$9,DePara_Pais!$B$2:$B$9,"REVISAR"))</f>
        <v>Brasil</v>
      </c>
      <c r="P842" s="4" t="str">
        <f aca="false">IF($A842="","",IF(O842&lt;&gt;"Brasil","Turista Internacional",IF(M842=F842,"Local","Turista Nacional")))</f>
        <v>Turista Nacional</v>
      </c>
      <c r="Q842" s="7" t="n">
        <f aca="false">IF($A842="","",DATE(YEAR(B842),MONTH(B842),1))</f>
        <v>45689</v>
      </c>
      <c r="R842" s="4" t="str">
        <f aca="false">IF($A842="","",IF(COUNTIF($A$2:$A842,$A842)&gt;1,"Sim","Não"))</f>
        <v>Não</v>
      </c>
      <c r="S842" s="4" t="str">
        <f aca="false">IF(A842="","Descartar - Linha vazia",IF(R842="Sim","Descartar - Duplicado",IF(OR(H842&lt;=0,I842&lt;=0),"Descartar - Qtd/Valor inválido","OK")))</f>
        <v>OK</v>
      </c>
      <c r="T842" s="4" t="str">
        <f aca="false">Base_Bruta!P842</f>
        <v>vendas_RJ.xlsx</v>
      </c>
    </row>
    <row r="843" customFormat="false" ht="15" hidden="false" customHeight="false" outlineLevel="0" collapsed="false">
      <c r="A843" s="4" t="str">
        <f aca="false">IF(Base_Bruta!A843="","",Base_Bruta!A843)</f>
        <v>RJ-000317</v>
      </c>
      <c r="B843" s="5" t="n">
        <f aca="false">IF($A843="","",IF(ISNUMBER(Base_Bruta!B843),Base_Bruta!B843,IF(MID(Base_Bruta!B843,5,1)="-",DATE(VALUE(LEFT(Base_Bruta!B843,4)),VALUE(MID(Base_Bruta!B843,6,2)),VALUE(RIGHT(Base_Bruta!B843,2))),DATE(VALUE(RIGHT(Base_Bruta!B843,4)),VALUE(MID(Base_Bruta!B843,4,2)),VALUE(LEFT(Base_Bruta!B843,2))))))</f>
        <v>45711</v>
      </c>
      <c r="C843" s="5" t="n">
        <f aca="false">IF($A843="","",IF(ISNUMBER(Base_Bruta!C843),Base_Bruta!C843,IF(MID(Base_Bruta!C843,5,1)="-",DATE(VALUE(LEFT(Base_Bruta!C843,4)),VALUE(MID(Base_Bruta!C843,6,2)),VALUE(RIGHT(Base_Bruta!C843,2))),DATE(VALUE(RIGHT(Base_Bruta!C843,4)),VALUE(MID(Base_Bruta!C843,4,2)),VALUE(LEFT(Base_Bruta!C843,2))))))</f>
        <v>45822</v>
      </c>
      <c r="D843" s="4" t="str">
        <f aca="false">IF($A843="","",TRIM(Base_Bruta!D843))</f>
        <v>Show Nacional MPB - Rio</v>
      </c>
      <c r="E843" s="4" t="str">
        <f aca="false">IF($A843="","",_xlfn.XLOOKUP(LOWER(TRIM(Base_Bruta!E843)),DePara_Categoria!$A$2:$A$9,DePara_Categoria!$B$2:$B$9,"REVISAR"))</f>
        <v>Show</v>
      </c>
      <c r="F843" s="4" t="str">
        <f aca="false">IF($A843="","",_xlfn.XLOOKUP(LOWER(TRIM(Base_Bruta!F843)),DePara_Cidade!$A$2:$A$29,DePara_Cidade!$B$2:$B$29,"REVISAR"))</f>
        <v>Rio de Janeiro</v>
      </c>
      <c r="G843" s="4" t="str">
        <f aca="false">IF($A843="","",TRIM(Base_Bruta!G843))</f>
        <v>Inteira</v>
      </c>
      <c r="H843" s="4" t="n">
        <f aca="false">IF($A843="","",IF(ISNUMBER(Base_Bruta!H843),Base_Bruta!H843,IFERROR(_xlfn.NUMBERVALUE(TRIM(SUBSTITUTE(Base_Bruta!H843,"R$","")),",","."),0)))</f>
        <v>2</v>
      </c>
      <c r="I843" s="6" t="n">
        <f aca="false">IF($A843="","",IF(ISNUMBER(Base_Bruta!I843),Base_Bruta!I843,IFERROR(_xlfn.NUMBERVALUE(TRIM(SUBSTITUTE(Base_Bruta!I843,"R$","")),",","."),0)))</f>
        <v>455</v>
      </c>
      <c r="J843" s="6" t="n">
        <f aca="false">IF($A843="","",H843*I843)</f>
        <v>910</v>
      </c>
      <c r="K843" s="4" t="str">
        <f aca="false">IF($A843="","",TRIM(Base_Bruta!J843))</f>
        <v>App</v>
      </c>
      <c r="L843" s="4" t="str">
        <f aca="false">IF($A843="","",TRIM(Base_Bruta!K843))</f>
        <v>C00291</v>
      </c>
      <c r="M843" s="4" t="str">
        <f aca="false">IF($A843="","",_xlfn.XLOOKUP(LOWER(TRIM(Base_Bruta!L843)),DePara_Cidade!$A$2:$A$29,DePara_Cidade!$B$2:$B$29,"REVISAR"))</f>
        <v>Rio de Janeiro</v>
      </c>
      <c r="N843" s="4" t="str">
        <f aca="false">IF($A843="","",UPPER(TRIM(Base_Bruta!M843)))</f>
        <v>RJ</v>
      </c>
      <c r="O843" s="4" t="str">
        <f aca="false">IF($A843="","",_xlfn.XLOOKUP(LOWER(TRIM(Base_Bruta!N843)),DePara_Pais!$A$2:$A$9,DePara_Pais!$B$2:$B$9,"REVISAR"))</f>
        <v>Brasil</v>
      </c>
      <c r="P843" s="4" t="str">
        <f aca="false">IF($A843="","",IF(O843&lt;&gt;"Brasil","Turista Internacional",IF(M843=F843,"Local","Turista Nacional")))</f>
        <v>Local</v>
      </c>
      <c r="Q843" s="7" t="n">
        <f aca="false">IF($A843="","",DATE(YEAR(B843),MONTH(B843),1))</f>
        <v>45689</v>
      </c>
      <c r="R843" s="4" t="str">
        <f aca="false">IF($A843="","",IF(COUNTIF($A$2:$A843,$A843)&gt;1,"Sim","Não"))</f>
        <v>Não</v>
      </c>
      <c r="S843" s="4" t="str">
        <f aca="false">IF(A843="","Descartar - Linha vazia",IF(R843="Sim","Descartar - Duplicado",IF(OR(H843&lt;=0,I843&lt;=0),"Descartar - Qtd/Valor inválido","OK")))</f>
        <v>OK</v>
      </c>
      <c r="T843" s="4" t="str">
        <f aca="false">Base_Bruta!P843</f>
        <v>vendas_RJ.xlsx</v>
      </c>
    </row>
    <row r="844" customFormat="false" ht="15" hidden="false" customHeight="false" outlineLevel="0" collapsed="false">
      <c r="A844" s="4" t="str">
        <f aca="false">IF(Base_Bruta!A844="","",Base_Bruta!A844)</f>
        <v>RJ-000642</v>
      </c>
      <c r="B844" s="5" t="n">
        <f aca="false">IF($A844="","",IF(ISNUMBER(Base_Bruta!B844),Base_Bruta!B844,IF(MID(Base_Bruta!B844,5,1)="-",DATE(VALUE(LEFT(Base_Bruta!B844,4)),VALUE(MID(Base_Bruta!B844,6,2)),VALUE(RIGHT(Base_Bruta!B844,2))),DATE(VALUE(RIGHT(Base_Bruta!B844,4)),VALUE(MID(Base_Bruta!B844,4,2)),VALUE(LEFT(Base_Bruta!B844,2))))))</f>
        <v>45711</v>
      </c>
      <c r="C844" s="5" t="n">
        <f aca="false">IF($A844="","",IF(ISNUMBER(Base_Bruta!C844),Base_Bruta!C844,IF(MID(Base_Bruta!C844,5,1)="-",DATE(VALUE(LEFT(Base_Bruta!C844,4)),VALUE(MID(Base_Bruta!C844,6,2)),VALUE(RIGHT(Base_Bruta!C844,2))),DATE(VALUE(RIGHT(Base_Bruta!C844,4)),VALUE(MID(Base_Bruta!C844,4,2)),VALUE(LEFT(Base_Bruta!C844,2))))))</f>
        <v>45714</v>
      </c>
      <c r="D844" s="4" t="str">
        <f aca="false">IF($A844="","",TRIM(Base_Bruta!D844))</f>
        <v>Cinema Barra - Sessões</v>
      </c>
      <c r="E844" s="4" t="str">
        <f aca="false">IF($A844="","",_xlfn.XLOOKUP(LOWER(TRIM(Base_Bruta!E844)),DePara_Categoria!$A$2:$A$9,DePara_Categoria!$B$2:$B$9,"REVISAR"))</f>
        <v>Cinema</v>
      </c>
      <c r="F844" s="4" t="str">
        <f aca="false">IF($A844="","",_xlfn.XLOOKUP(LOWER(TRIM(Base_Bruta!F844)),DePara_Cidade!$A$2:$A$29,DePara_Cidade!$B$2:$B$29,"REVISAR"))</f>
        <v>Rio de Janeiro</v>
      </c>
      <c r="G844" s="4" t="str">
        <f aca="false">IF($A844="","",TRIM(Base_Bruta!G844))</f>
        <v>Inteira</v>
      </c>
      <c r="H844" s="4" t="n">
        <f aca="false">IF($A844="","",IF(ISNUMBER(Base_Bruta!H844),Base_Bruta!H844,IFERROR(_xlfn.NUMBERVALUE(TRIM(SUBSTITUTE(Base_Bruta!H844,"R$","")),",","."),0)))</f>
        <v>1</v>
      </c>
      <c r="I844" s="6" t="n">
        <f aca="false">IF($A844="","",IF(ISNUMBER(Base_Bruta!I844),Base_Bruta!I844,IFERROR(_xlfn.NUMBERVALUE(TRIM(SUBSTITUTE(Base_Bruta!I844,"R$","")),",","."),0)))</f>
        <v>40</v>
      </c>
      <c r="J844" s="6" t="n">
        <f aca="false">IF($A844="","",H844*I844)</f>
        <v>40</v>
      </c>
      <c r="K844" s="4" t="str">
        <f aca="false">IF($A844="","",TRIM(Base_Bruta!J844))</f>
        <v>App</v>
      </c>
      <c r="L844" s="4" t="str">
        <f aca="false">IF($A844="","",TRIM(Base_Bruta!K844))</f>
        <v>C02254</v>
      </c>
      <c r="M844" s="4" t="str">
        <f aca="false">IF($A844="","",_xlfn.XLOOKUP(LOWER(TRIM(Base_Bruta!L844)),DePara_Cidade!$A$2:$A$29,DePara_Cidade!$B$2:$B$29,"REVISAR"))</f>
        <v>Rio de Janeiro</v>
      </c>
      <c r="N844" s="4" t="str">
        <f aca="false">IF($A844="","",UPPER(TRIM(Base_Bruta!M844)))</f>
        <v>RJ</v>
      </c>
      <c r="O844" s="4" t="str">
        <f aca="false">IF($A844="","",_xlfn.XLOOKUP(LOWER(TRIM(Base_Bruta!N844)),DePara_Pais!$A$2:$A$9,DePara_Pais!$B$2:$B$9,"REVISAR"))</f>
        <v>Brasil</v>
      </c>
      <c r="P844" s="4" t="str">
        <f aca="false">IF($A844="","",IF(O844&lt;&gt;"Brasil","Turista Internacional",IF(M844=F844,"Local","Turista Nacional")))</f>
        <v>Local</v>
      </c>
      <c r="Q844" s="7" t="n">
        <f aca="false">IF($A844="","",DATE(YEAR(B844),MONTH(B844),1))</f>
        <v>45689</v>
      </c>
      <c r="R844" s="4" t="str">
        <f aca="false">IF($A844="","",IF(COUNTIF($A$2:$A844,$A844)&gt;1,"Sim","Não"))</f>
        <v>Não</v>
      </c>
      <c r="S844" s="4" t="str">
        <f aca="false">IF(A844="","Descartar - Linha vazia",IF(R844="Sim","Descartar - Duplicado",IF(OR(H844&lt;=0,I844&lt;=0),"Descartar - Qtd/Valor inválido","OK")))</f>
        <v>OK</v>
      </c>
      <c r="T844" s="4" t="str">
        <f aca="false">Base_Bruta!P844</f>
        <v>vendas_RJ.xlsx</v>
      </c>
    </row>
    <row r="845" customFormat="false" ht="15" hidden="false" customHeight="false" outlineLevel="0" collapsed="false">
      <c r="A845" s="4" t="str">
        <f aca="false">IF(Base_Bruta!A845="","",Base_Bruta!A845)</f>
        <v>RJ-000262</v>
      </c>
      <c r="B845" s="5" t="n">
        <f aca="false">IF($A845="","",IF(ISNUMBER(Base_Bruta!B845),Base_Bruta!B845,IF(MID(Base_Bruta!B845,5,1)="-",DATE(VALUE(LEFT(Base_Bruta!B845,4)),VALUE(MID(Base_Bruta!B845,6,2)),VALUE(RIGHT(Base_Bruta!B845,2))),DATE(VALUE(RIGHT(Base_Bruta!B845,4)),VALUE(MID(Base_Bruta!B845,4,2)),VALUE(LEFT(Base_Bruta!B845,2))))))</f>
        <v>45712</v>
      </c>
      <c r="C845" s="5" t="n">
        <f aca="false">IF($A845="","",IF(ISNUMBER(Base_Bruta!C845),Base_Bruta!C845,IF(MID(Base_Bruta!C845,5,1)="-",DATE(VALUE(LEFT(Base_Bruta!C845,4)),VALUE(MID(Base_Bruta!C845,6,2)),VALUE(RIGHT(Base_Bruta!C845,2))),DATE(VALUE(RIGHT(Base_Bruta!C845,4)),VALUE(MID(Base_Bruta!C845,4,2)),VALUE(LEFT(Base_Bruta!C845,2))))))</f>
        <v>45822</v>
      </c>
      <c r="D845" s="4" t="str">
        <f aca="false">IF($A845="","",TRIM(Base_Bruta!D845))</f>
        <v>Show Nacional MPB - Rio</v>
      </c>
      <c r="E845" s="4" t="str">
        <f aca="false">IF($A845="","",_xlfn.XLOOKUP(LOWER(TRIM(Base_Bruta!E845)),DePara_Categoria!$A$2:$A$9,DePara_Categoria!$B$2:$B$9,"REVISAR"))</f>
        <v>Show</v>
      </c>
      <c r="F845" s="4" t="str">
        <f aca="false">IF($A845="","",_xlfn.XLOOKUP(LOWER(TRIM(Base_Bruta!F845)),DePara_Cidade!$A$2:$A$29,DePara_Cidade!$B$2:$B$29,"REVISAR"))</f>
        <v>Rio de Janeiro</v>
      </c>
      <c r="G845" s="4" t="str">
        <f aca="false">IF($A845="","",TRIM(Base_Bruta!G845))</f>
        <v>VIP</v>
      </c>
      <c r="H845" s="4" t="n">
        <f aca="false">IF($A845="","",IF(ISNUMBER(Base_Bruta!H845),Base_Bruta!H845,IFERROR(_xlfn.NUMBERVALUE(TRIM(SUBSTITUTE(Base_Bruta!H845,"R$","")),",","."),0)))</f>
        <v>2</v>
      </c>
      <c r="I845" s="6" t="n">
        <f aca="false">IF($A845="","",IF(ISNUMBER(Base_Bruta!I845),Base_Bruta!I845,IFERROR(_xlfn.NUMBERVALUE(TRIM(SUBSTITUTE(Base_Bruta!I845,"R$","")),",","."),0)))</f>
        <v>950</v>
      </c>
      <c r="J845" s="6" t="n">
        <f aca="false">IF($A845="","",H845*I845)</f>
        <v>1900</v>
      </c>
      <c r="K845" s="4" t="str">
        <f aca="false">IF($A845="","",TRIM(Base_Bruta!J845))</f>
        <v>Parceiro</v>
      </c>
      <c r="L845" s="4" t="str">
        <f aca="false">IF($A845="","",TRIM(Base_Bruta!K845))</f>
        <v>C01647</v>
      </c>
      <c r="M845" s="4" t="str">
        <f aca="false">IF($A845="","",_xlfn.XLOOKUP(LOWER(TRIM(Base_Bruta!L845)),DePara_Cidade!$A$2:$A$29,DePara_Cidade!$B$2:$B$29,"REVISAR"))</f>
        <v>Rio de Janeiro</v>
      </c>
      <c r="N845" s="4" t="str">
        <f aca="false">IF($A845="","",UPPER(TRIM(Base_Bruta!M845)))</f>
        <v>RJ</v>
      </c>
      <c r="O845" s="4" t="str">
        <f aca="false">IF($A845="","",_xlfn.XLOOKUP(LOWER(TRIM(Base_Bruta!N845)),DePara_Pais!$A$2:$A$9,DePara_Pais!$B$2:$B$9,"REVISAR"))</f>
        <v>Brasil</v>
      </c>
      <c r="P845" s="4" t="str">
        <f aca="false">IF($A845="","",IF(O845&lt;&gt;"Brasil","Turista Internacional",IF(M845=F845,"Local","Turista Nacional")))</f>
        <v>Local</v>
      </c>
      <c r="Q845" s="7" t="n">
        <f aca="false">IF($A845="","",DATE(YEAR(B845),MONTH(B845),1))</f>
        <v>45689</v>
      </c>
      <c r="R845" s="4" t="str">
        <f aca="false">IF($A845="","",IF(COUNTIF($A$2:$A845,$A845)&gt;1,"Sim","Não"))</f>
        <v>Não</v>
      </c>
      <c r="S845" s="4" t="str">
        <f aca="false">IF(A845="","Descartar - Linha vazia",IF(R845="Sim","Descartar - Duplicado",IF(OR(H845&lt;=0,I845&lt;=0),"Descartar - Qtd/Valor inválido","OK")))</f>
        <v>OK</v>
      </c>
      <c r="T845" s="4" t="str">
        <f aca="false">Base_Bruta!P845</f>
        <v>vendas_RJ.xlsx</v>
      </c>
    </row>
    <row r="846" customFormat="false" ht="15" hidden="false" customHeight="false" outlineLevel="0" collapsed="false">
      <c r="A846" s="4" t="str">
        <f aca="false">IF(Base_Bruta!A846="","",Base_Bruta!A846)</f>
        <v>RJ-000617</v>
      </c>
      <c r="B846" s="5" t="n">
        <f aca="false">IF($A846="","",IF(ISNUMBER(Base_Bruta!B846),Base_Bruta!B846,IF(MID(Base_Bruta!B846,5,1)="-",DATE(VALUE(LEFT(Base_Bruta!B846,4)),VALUE(MID(Base_Bruta!B846,6,2)),VALUE(RIGHT(Base_Bruta!B846,2))),DATE(VALUE(RIGHT(Base_Bruta!B846,4)),VALUE(MID(Base_Bruta!B846,4,2)),VALUE(LEFT(Base_Bruta!B846,2))))))</f>
        <v>45712</v>
      </c>
      <c r="C846" s="5" t="n">
        <f aca="false">IF($A846="","",IF(ISNUMBER(Base_Bruta!C846),Base_Bruta!C846,IF(MID(Base_Bruta!C846,5,1)="-",DATE(VALUE(LEFT(Base_Bruta!C846,4)),VALUE(MID(Base_Bruta!C846,6,2)),VALUE(RIGHT(Base_Bruta!C846,2))),DATE(VALUE(RIGHT(Base_Bruta!C846,4)),VALUE(MID(Base_Bruta!C846,4,2)),VALUE(LEFT(Base_Bruta!C846,2))))))</f>
        <v>45712</v>
      </c>
      <c r="D846" s="4" t="str">
        <f aca="false">IF($A846="","",TRIM(Base_Bruta!D846))</f>
        <v>Cinema Barra - Sessões</v>
      </c>
      <c r="E846" s="4" t="str">
        <f aca="false">IF($A846="","",_xlfn.XLOOKUP(LOWER(TRIM(Base_Bruta!E846)),DePara_Categoria!$A$2:$A$9,DePara_Categoria!$B$2:$B$9,"REVISAR"))</f>
        <v>Cinema</v>
      </c>
      <c r="F846" s="4" t="str">
        <f aca="false">IF($A846="","",_xlfn.XLOOKUP(LOWER(TRIM(Base_Bruta!F846)),DePara_Cidade!$A$2:$A$29,DePara_Cidade!$B$2:$B$29,"REVISAR"))</f>
        <v>Rio de Janeiro</v>
      </c>
      <c r="G846" s="4" t="str">
        <f aca="false">IF($A846="","",TRIM(Base_Bruta!G846))</f>
        <v>Meia</v>
      </c>
      <c r="H846" s="4" t="n">
        <f aca="false">IF($A846="","",IF(ISNUMBER(Base_Bruta!H846),Base_Bruta!H846,IFERROR(_xlfn.NUMBERVALUE(TRIM(SUBSTITUTE(Base_Bruta!H846,"R$","")),",","."),0)))</f>
        <v>1</v>
      </c>
      <c r="I846" s="6" t="n">
        <f aca="false">IF($A846="","",IF(ISNUMBER(Base_Bruta!I846),Base_Bruta!I846,IFERROR(_xlfn.NUMBERVALUE(TRIM(SUBSTITUTE(Base_Bruta!I846,"R$","")),",","."),0)))</f>
        <v>17.5</v>
      </c>
      <c r="J846" s="6" t="n">
        <f aca="false">IF($A846="","",H846*I846)</f>
        <v>17.5</v>
      </c>
      <c r="K846" s="4" t="str">
        <f aca="false">IF($A846="","",TRIM(Base_Bruta!J846))</f>
        <v>App</v>
      </c>
      <c r="L846" s="4" t="str">
        <f aca="false">IF($A846="","",TRIM(Base_Bruta!K846))</f>
        <v>C00347</v>
      </c>
      <c r="M846" s="4" t="str">
        <f aca="false">IF($A846="","",_xlfn.XLOOKUP(LOWER(TRIM(Base_Bruta!L846)),DePara_Cidade!$A$2:$A$29,DePara_Cidade!$B$2:$B$29,"REVISAR"))</f>
        <v>Rio de Janeiro</v>
      </c>
      <c r="N846" s="4" t="str">
        <f aca="false">IF($A846="","",UPPER(TRIM(Base_Bruta!M846)))</f>
        <v>RJ</v>
      </c>
      <c r="O846" s="4" t="str">
        <f aca="false">IF($A846="","",_xlfn.XLOOKUP(LOWER(TRIM(Base_Bruta!N846)),DePara_Pais!$A$2:$A$9,DePara_Pais!$B$2:$B$9,"REVISAR"))</f>
        <v>Brasil</v>
      </c>
      <c r="P846" s="4" t="str">
        <f aca="false">IF($A846="","",IF(O846&lt;&gt;"Brasil","Turista Internacional",IF(M846=F846,"Local","Turista Nacional")))</f>
        <v>Local</v>
      </c>
      <c r="Q846" s="7" t="n">
        <f aca="false">IF($A846="","",DATE(YEAR(B846),MONTH(B846),1))</f>
        <v>45689</v>
      </c>
      <c r="R846" s="4" t="str">
        <f aca="false">IF($A846="","",IF(COUNTIF($A$2:$A846,$A846)&gt;1,"Sim","Não"))</f>
        <v>Não</v>
      </c>
      <c r="S846" s="4" t="str">
        <f aca="false">IF(A846="","Descartar - Linha vazia",IF(R846="Sim","Descartar - Duplicado",IF(OR(H846&lt;=0,I846&lt;=0),"Descartar - Qtd/Valor inválido","OK")))</f>
        <v>OK</v>
      </c>
      <c r="T846" s="4" t="str">
        <f aca="false">Base_Bruta!P846</f>
        <v>vendas_RJ.xlsx</v>
      </c>
    </row>
    <row r="847" customFormat="false" ht="15" hidden="false" customHeight="false" outlineLevel="0" collapsed="false">
      <c r="A847" s="4" t="str">
        <f aca="false">IF(Base_Bruta!A847="","",Base_Bruta!A847)</f>
        <v>RJ-000292</v>
      </c>
      <c r="B847" s="5" t="n">
        <f aca="false">IF($A847="","",IF(ISNUMBER(Base_Bruta!B847),Base_Bruta!B847,IF(MID(Base_Bruta!B847,5,1)="-",DATE(VALUE(LEFT(Base_Bruta!B847,4)),VALUE(MID(Base_Bruta!B847,6,2)),VALUE(RIGHT(Base_Bruta!B847,2))),DATE(VALUE(RIGHT(Base_Bruta!B847,4)),VALUE(MID(Base_Bruta!B847,4,2)),VALUE(LEFT(Base_Bruta!B847,2))))))</f>
        <v>45713</v>
      </c>
      <c r="C847" s="5" t="n">
        <f aca="false">IF($A847="","",IF(ISNUMBER(Base_Bruta!C847),Base_Bruta!C847,IF(MID(Base_Bruta!C847,5,1)="-",DATE(VALUE(LEFT(Base_Bruta!C847,4)),VALUE(MID(Base_Bruta!C847,6,2)),VALUE(RIGHT(Base_Bruta!C847,2))),DATE(VALUE(RIGHT(Base_Bruta!C847,4)),VALUE(MID(Base_Bruta!C847,4,2)),VALUE(LEFT(Base_Bruta!C847,2))))))</f>
        <v>45822</v>
      </c>
      <c r="D847" s="4" t="str">
        <f aca="false">IF($A847="","",TRIM(Base_Bruta!D847))</f>
        <v>Show Nacional MPB - Rio</v>
      </c>
      <c r="E847" s="4" t="str">
        <f aca="false">IF($A847="","",_xlfn.XLOOKUP(LOWER(TRIM(Base_Bruta!E847)),DePara_Categoria!$A$2:$A$9,DePara_Categoria!$B$2:$B$9,"REVISAR"))</f>
        <v>Show</v>
      </c>
      <c r="F847" s="4" t="str">
        <f aca="false">IF($A847="","",_xlfn.XLOOKUP(LOWER(TRIM(Base_Bruta!F847)),DePara_Cidade!$A$2:$A$29,DePara_Cidade!$B$2:$B$29,"REVISAR"))</f>
        <v>Rio de Janeiro</v>
      </c>
      <c r="G847" s="4" t="str">
        <f aca="false">IF($A847="","",TRIM(Base_Bruta!G847))</f>
        <v>Inteira</v>
      </c>
      <c r="H847" s="4" t="n">
        <f aca="false">IF($A847="","",IF(ISNUMBER(Base_Bruta!H847),Base_Bruta!H847,IFERROR(_xlfn.NUMBERVALUE(TRIM(SUBSTITUTE(Base_Bruta!H847,"R$","")),",","."),0)))</f>
        <v>1</v>
      </c>
      <c r="I847" s="6" t="n">
        <f aca="false">IF($A847="","",IF(ISNUMBER(Base_Bruta!I847),Base_Bruta!I847,IFERROR(_xlfn.NUMBERVALUE(TRIM(SUBSTITUTE(Base_Bruta!I847,"R$","")),",","."),0)))</f>
        <v>760</v>
      </c>
      <c r="J847" s="6" t="n">
        <f aca="false">IF($A847="","",H847*I847)</f>
        <v>760</v>
      </c>
      <c r="K847" s="4" t="str">
        <f aca="false">IF($A847="","",TRIM(Base_Bruta!J847))</f>
        <v>Site</v>
      </c>
      <c r="L847" s="4" t="str">
        <f aca="false">IF($A847="","",TRIM(Base_Bruta!K847))</f>
        <v>C01483</v>
      </c>
      <c r="M847" s="4" t="str">
        <f aca="false">IF($A847="","",_xlfn.XLOOKUP(LOWER(TRIM(Base_Bruta!L847)),DePara_Cidade!$A$2:$A$29,DePara_Cidade!$B$2:$B$29,"REVISAR"))</f>
        <v>Rio de Janeiro</v>
      </c>
      <c r="N847" s="4" t="str">
        <f aca="false">IF($A847="","",UPPER(TRIM(Base_Bruta!M847)))</f>
        <v>RJ</v>
      </c>
      <c r="O847" s="4" t="str">
        <f aca="false">IF($A847="","",_xlfn.XLOOKUP(LOWER(TRIM(Base_Bruta!N847)),DePara_Pais!$A$2:$A$9,DePara_Pais!$B$2:$B$9,"REVISAR"))</f>
        <v>Brasil</v>
      </c>
      <c r="P847" s="4" t="str">
        <f aca="false">IF($A847="","",IF(O847&lt;&gt;"Brasil","Turista Internacional",IF(M847=F847,"Local","Turista Nacional")))</f>
        <v>Local</v>
      </c>
      <c r="Q847" s="7" t="n">
        <f aca="false">IF($A847="","",DATE(YEAR(B847),MONTH(B847),1))</f>
        <v>45689</v>
      </c>
      <c r="R847" s="4" t="str">
        <f aca="false">IF($A847="","",IF(COUNTIF($A$2:$A847,$A847)&gt;1,"Sim","Não"))</f>
        <v>Não</v>
      </c>
      <c r="S847" s="4" t="str">
        <f aca="false">IF(A847="","Descartar - Linha vazia",IF(R847="Sim","Descartar - Duplicado",IF(OR(H847&lt;=0,I847&lt;=0),"Descartar - Qtd/Valor inválido","OK")))</f>
        <v>OK</v>
      </c>
      <c r="T847" s="4" t="str">
        <f aca="false">Base_Bruta!P847</f>
        <v>vendas_RJ.xlsx</v>
      </c>
    </row>
    <row r="848" customFormat="false" ht="15" hidden="false" customHeight="false" outlineLevel="0" collapsed="false">
      <c r="A848" s="4" t="str">
        <f aca="false">IF(Base_Bruta!A848="","",Base_Bruta!A848)</f>
        <v>RJ-000376</v>
      </c>
      <c r="B848" s="5" t="n">
        <f aca="false">IF($A848="","",IF(ISNUMBER(Base_Bruta!B848),Base_Bruta!B848,IF(MID(Base_Bruta!B848,5,1)="-",DATE(VALUE(LEFT(Base_Bruta!B848,4)),VALUE(MID(Base_Bruta!B848,6,2)),VALUE(RIGHT(Base_Bruta!B848,2))),DATE(VALUE(RIGHT(Base_Bruta!B848,4)),VALUE(MID(Base_Bruta!B848,4,2)),VALUE(LEFT(Base_Bruta!B848,2))))))</f>
        <v>45713</v>
      </c>
      <c r="C848" s="5" t="n">
        <f aca="false">IF($A848="","",IF(ISNUMBER(Base_Bruta!C848),Base_Bruta!C848,IF(MID(Base_Bruta!C848,5,1)="-",DATE(VALUE(LEFT(Base_Bruta!C848,4)),VALUE(MID(Base_Bruta!C848,6,2)),VALUE(RIGHT(Base_Bruta!C848,2))),DATE(VALUE(RIGHT(Base_Bruta!C848,4)),VALUE(MID(Base_Bruta!C848,4,2)),VALUE(LEFT(Base_Bruta!C848,2))))))</f>
        <v>45822</v>
      </c>
      <c r="D848" s="4" t="str">
        <f aca="false">IF($A848="","",TRIM(Base_Bruta!D848))</f>
        <v>Show Nacional MPB - Rio</v>
      </c>
      <c r="E848" s="4" t="str">
        <f aca="false">IF($A848="","",_xlfn.XLOOKUP(LOWER(TRIM(Base_Bruta!E848)),DePara_Categoria!$A$2:$A$9,DePara_Categoria!$B$2:$B$9,"REVISAR"))</f>
        <v>Show</v>
      </c>
      <c r="F848" s="4" t="str">
        <f aca="false">IF($A848="","",_xlfn.XLOOKUP(LOWER(TRIM(Base_Bruta!F848)),DePara_Cidade!$A$2:$A$29,DePara_Cidade!$B$2:$B$29,"REVISAR"))</f>
        <v>Rio de Janeiro</v>
      </c>
      <c r="G848" s="4" t="str">
        <f aca="false">IF($A848="","",TRIM(Base_Bruta!G848))</f>
        <v>Inteira</v>
      </c>
      <c r="H848" s="4" t="n">
        <f aca="false">IF($A848="","",IF(ISNUMBER(Base_Bruta!H848),Base_Bruta!H848,IFERROR(_xlfn.NUMBERVALUE(TRIM(SUBSTITUTE(Base_Bruta!H848,"R$","")),",","."),0)))</f>
        <v>3</v>
      </c>
      <c r="I848" s="6" t="n">
        <f aca="false">IF($A848="","",IF(ISNUMBER(Base_Bruta!I848),Base_Bruta!I848,IFERROR(_xlfn.NUMBERVALUE(TRIM(SUBSTITUTE(Base_Bruta!I848,"R$","")),",","."),0)))</f>
        <v>275</v>
      </c>
      <c r="J848" s="6" t="n">
        <f aca="false">IF($A848="","",H848*I848)</f>
        <v>825</v>
      </c>
      <c r="K848" s="4" t="str">
        <f aca="false">IF($A848="","",TRIM(Base_Bruta!J848))</f>
        <v>Bilheteria</v>
      </c>
      <c r="L848" s="4" t="str">
        <f aca="false">IF($A848="","",TRIM(Base_Bruta!K848))</f>
        <v>C01940</v>
      </c>
      <c r="M848" s="4" t="str">
        <f aca="false">IF($A848="","",_xlfn.XLOOKUP(LOWER(TRIM(Base_Bruta!L848)),DePara_Cidade!$A$2:$A$29,DePara_Cidade!$B$2:$B$29,"REVISAR"))</f>
        <v>Niterói</v>
      </c>
      <c r="N848" s="4" t="str">
        <f aca="false">IF($A848="","",UPPER(TRIM(Base_Bruta!M848)))</f>
        <v>RJ</v>
      </c>
      <c r="O848" s="4" t="str">
        <f aca="false">IF($A848="","",_xlfn.XLOOKUP(LOWER(TRIM(Base_Bruta!N848)),DePara_Pais!$A$2:$A$9,DePara_Pais!$B$2:$B$9,"REVISAR"))</f>
        <v>Brasil</v>
      </c>
      <c r="P848" s="4" t="str">
        <f aca="false">IF($A848="","",IF(O848&lt;&gt;"Brasil","Turista Internacional",IF(M848=F848,"Local","Turista Nacional")))</f>
        <v>Turista Nacional</v>
      </c>
      <c r="Q848" s="7" t="n">
        <f aca="false">IF($A848="","",DATE(YEAR(B848),MONTH(B848),1))</f>
        <v>45689</v>
      </c>
      <c r="R848" s="4" t="str">
        <f aca="false">IF($A848="","",IF(COUNTIF($A$2:$A848,$A848)&gt;1,"Sim","Não"))</f>
        <v>Não</v>
      </c>
      <c r="S848" s="4" t="str">
        <f aca="false">IF(A848="","Descartar - Linha vazia",IF(R848="Sim","Descartar - Duplicado",IF(OR(H848&lt;=0,I848&lt;=0),"Descartar - Qtd/Valor inválido","OK")))</f>
        <v>OK</v>
      </c>
      <c r="T848" s="4" t="str">
        <f aca="false">Base_Bruta!P848</f>
        <v>vendas_RJ.xlsx</v>
      </c>
    </row>
    <row r="849" customFormat="false" ht="15" hidden="false" customHeight="false" outlineLevel="0" collapsed="false">
      <c r="A849" s="4" t="str">
        <f aca="false">IF(Base_Bruta!A849="","",Base_Bruta!A849)</f>
        <v>RJ-000629</v>
      </c>
      <c r="B849" s="5" t="n">
        <f aca="false">IF($A849="","",IF(ISNUMBER(Base_Bruta!B849),Base_Bruta!B849,IF(MID(Base_Bruta!B849,5,1)="-",DATE(VALUE(LEFT(Base_Bruta!B849,4)),VALUE(MID(Base_Bruta!B849,6,2)),VALUE(RIGHT(Base_Bruta!B849,2))),DATE(VALUE(RIGHT(Base_Bruta!B849,4)),VALUE(MID(Base_Bruta!B849,4,2)),VALUE(LEFT(Base_Bruta!B849,2))))))</f>
        <v>45713</v>
      </c>
      <c r="C849" s="5" t="n">
        <f aca="false">IF($A849="","",IF(ISNUMBER(Base_Bruta!C849),Base_Bruta!C849,IF(MID(Base_Bruta!C849,5,1)="-",DATE(VALUE(LEFT(Base_Bruta!C849,4)),VALUE(MID(Base_Bruta!C849,6,2)),VALUE(RIGHT(Base_Bruta!C849,2))),DATE(VALUE(RIGHT(Base_Bruta!C849,4)),VALUE(MID(Base_Bruta!C849,4,2)),VALUE(LEFT(Base_Bruta!C849,2))))))</f>
        <v>45715</v>
      </c>
      <c r="D849" s="4" t="str">
        <f aca="false">IF($A849="","",TRIM(Base_Bruta!D849))</f>
        <v>Cinema Barra - Sessões</v>
      </c>
      <c r="E849" s="4" t="str">
        <f aca="false">IF($A849="","",_xlfn.XLOOKUP(LOWER(TRIM(Base_Bruta!E849)),DePara_Categoria!$A$2:$A$9,DePara_Categoria!$B$2:$B$9,"REVISAR"))</f>
        <v>Cinema</v>
      </c>
      <c r="F849" s="4" t="str">
        <f aca="false">IF($A849="","",_xlfn.XLOOKUP(LOWER(TRIM(Base_Bruta!F849)),DePara_Cidade!$A$2:$A$29,DePara_Cidade!$B$2:$B$29,"REVISAR"))</f>
        <v>Rio de Janeiro</v>
      </c>
      <c r="G849" s="4" t="str">
        <f aca="false">IF($A849="","",TRIM(Base_Bruta!G849))</f>
        <v>Meia</v>
      </c>
      <c r="H849" s="4" t="n">
        <f aca="false">IF($A849="","",IF(ISNUMBER(Base_Bruta!H849),Base_Bruta!H849,IFERROR(_xlfn.NUMBERVALUE(TRIM(SUBSTITUTE(Base_Bruta!H849,"R$","")),",","."),0)))</f>
        <v>2</v>
      </c>
      <c r="I849" s="6" t="n">
        <f aca="false">IF($A849="","",IF(ISNUMBER(Base_Bruta!I849),Base_Bruta!I849,IFERROR(_xlfn.NUMBERVALUE(TRIM(SUBSTITUTE(Base_Bruta!I849,"R$","")),",","."),0)))</f>
        <v>22.5</v>
      </c>
      <c r="J849" s="6" t="n">
        <f aca="false">IF($A849="","",H849*I849)</f>
        <v>45</v>
      </c>
      <c r="K849" s="4" t="str">
        <f aca="false">IF($A849="","",TRIM(Base_Bruta!J849))</f>
        <v>Site</v>
      </c>
      <c r="L849" s="4" t="str">
        <f aca="false">IF($A849="","",TRIM(Base_Bruta!K849))</f>
        <v>C01960</v>
      </c>
      <c r="M849" s="4" t="str">
        <f aca="false">IF($A849="","",_xlfn.XLOOKUP(LOWER(TRIM(Base_Bruta!L849)),DePara_Cidade!$A$2:$A$29,DePara_Cidade!$B$2:$B$29,"REVISAR"))</f>
        <v>Rio de Janeiro</v>
      </c>
      <c r="N849" s="4" t="str">
        <f aca="false">IF($A849="","",UPPER(TRIM(Base_Bruta!M849)))</f>
        <v>RJ</v>
      </c>
      <c r="O849" s="4" t="str">
        <f aca="false">IF($A849="","",_xlfn.XLOOKUP(LOWER(TRIM(Base_Bruta!N849)),DePara_Pais!$A$2:$A$9,DePara_Pais!$B$2:$B$9,"REVISAR"))</f>
        <v>Brasil</v>
      </c>
      <c r="P849" s="4" t="str">
        <f aca="false">IF($A849="","",IF(O849&lt;&gt;"Brasil","Turista Internacional",IF(M849=F849,"Local","Turista Nacional")))</f>
        <v>Local</v>
      </c>
      <c r="Q849" s="7" t="n">
        <f aca="false">IF($A849="","",DATE(YEAR(B849),MONTH(B849),1))</f>
        <v>45689</v>
      </c>
      <c r="R849" s="4" t="str">
        <f aca="false">IF($A849="","",IF(COUNTIF($A$2:$A849,$A849)&gt;1,"Sim","Não"))</f>
        <v>Não</v>
      </c>
      <c r="S849" s="4" t="str">
        <f aca="false">IF(A849="","Descartar - Linha vazia",IF(R849="Sim","Descartar - Duplicado",IF(OR(H849&lt;=0,I849&lt;=0),"Descartar - Qtd/Valor inválido","OK")))</f>
        <v>OK</v>
      </c>
      <c r="T849" s="4" t="str">
        <f aca="false">Base_Bruta!P849</f>
        <v>vendas_RJ.xlsx</v>
      </c>
    </row>
    <row r="850" customFormat="false" ht="15" hidden="false" customHeight="false" outlineLevel="0" collapsed="false">
      <c r="A850" s="4" t="str">
        <f aca="false">IF(Base_Bruta!A850="","",Base_Bruta!A850)</f>
        <v>RJ-000264</v>
      </c>
      <c r="B850" s="5" t="n">
        <f aca="false">IF($A850="","",IF(ISNUMBER(Base_Bruta!B850),Base_Bruta!B850,IF(MID(Base_Bruta!B850,5,1)="-",DATE(VALUE(LEFT(Base_Bruta!B850,4)),VALUE(MID(Base_Bruta!B850,6,2)),VALUE(RIGHT(Base_Bruta!B850,2))),DATE(VALUE(RIGHT(Base_Bruta!B850,4)),VALUE(MID(Base_Bruta!B850,4,2)),VALUE(LEFT(Base_Bruta!B850,2))))))</f>
        <v>45714</v>
      </c>
      <c r="C850" s="5" t="n">
        <f aca="false">IF($A850="","",IF(ISNUMBER(Base_Bruta!C850),Base_Bruta!C850,IF(MID(Base_Bruta!C850,5,1)="-",DATE(VALUE(LEFT(Base_Bruta!C850,4)),VALUE(MID(Base_Bruta!C850,6,2)),VALUE(RIGHT(Base_Bruta!C850,2))),DATE(VALUE(RIGHT(Base_Bruta!C850,4)),VALUE(MID(Base_Bruta!C850,4,2)),VALUE(LEFT(Base_Bruta!C850,2))))))</f>
        <v>45822</v>
      </c>
      <c r="D850" s="4" t="str">
        <f aca="false">IF($A850="","",TRIM(Base_Bruta!D850))</f>
        <v>Show Nacional MPB - Rio</v>
      </c>
      <c r="E850" s="4" t="str">
        <f aca="false">IF($A850="","",_xlfn.XLOOKUP(LOWER(TRIM(Base_Bruta!E850)),DePara_Categoria!$A$2:$A$9,DePara_Categoria!$B$2:$B$9,"REVISAR"))</f>
        <v>Show</v>
      </c>
      <c r="F850" s="4" t="str">
        <f aca="false">IF($A850="","",_xlfn.XLOOKUP(LOWER(TRIM(Base_Bruta!F850)),DePara_Cidade!$A$2:$A$29,DePara_Cidade!$B$2:$B$29,"REVISAR"))</f>
        <v>Rio de Janeiro</v>
      </c>
      <c r="G850" s="4" t="str">
        <f aca="false">IF($A850="","",TRIM(Base_Bruta!G850))</f>
        <v>VIP</v>
      </c>
      <c r="H850" s="4" t="n">
        <f aca="false">IF($A850="","",IF(ISNUMBER(Base_Bruta!H850),Base_Bruta!H850,IFERROR(_xlfn.NUMBERVALUE(TRIM(SUBSTITUTE(Base_Bruta!H850,"R$","")),",","."),0)))</f>
        <v>1</v>
      </c>
      <c r="I850" s="6" t="n">
        <f aca="false">IF($A850="","",IF(ISNUMBER(Base_Bruta!I850),Base_Bruta!I850,IFERROR(_xlfn.NUMBERVALUE(TRIM(SUBSTITUTE(Base_Bruta!I850,"R$","")),",","."),0)))</f>
        <v>1170</v>
      </c>
      <c r="J850" s="6" t="n">
        <f aca="false">IF($A850="","",H850*I850)</f>
        <v>1170</v>
      </c>
      <c r="K850" s="4" t="str">
        <f aca="false">IF($A850="","",TRIM(Base_Bruta!J850))</f>
        <v>Site</v>
      </c>
      <c r="L850" s="4" t="str">
        <f aca="false">IF($A850="","",TRIM(Base_Bruta!K850))</f>
        <v>C00948</v>
      </c>
      <c r="M850" s="4" t="str">
        <f aca="false">IF($A850="","",_xlfn.XLOOKUP(LOWER(TRIM(Base_Bruta!L850)),DePara_Cidade!$A$2:$A$29,DePara_Cidade!$B$2:$B$29,"REVISAR"))</f>
        <v>Rio de Janeiro</v>
      </c>
      <c r="N850" s="4" t="str">
        <f aca="false">IF($A850="","",UPPER(TRIM(Base_Bruta!M850)))</f>
        <v>RJ</v>
      </c>
      <c r="O850" s="4" t="str">
        <f aca="false">IF($A850="","",_xlfn.XLOOKUP(LOWER(TRIM(Base_Bruta!N850)),DePara_Pais!$A$2:$A$9,DePara_Pais!$B$2:$B$9,"REVISAR"))</f>
        <v>Brasil</v>
      </c>
      <c r="P850" s="4" t="str">
        <f aca="false">IF($A850="","",IF(O850&lt;&gt;"Brasil","Turista Internacional",IF(M850=F850,"Local","Turista Nacional")))</f>
        <v>Local</v>
      </c>
      <c r="Q850" s="7" t="n">
        <f aca="false">IF($A850="","",DATE(YEAR(B850),MONTH(B850),1))</f>
        <v>45689</v>
      </c>
      <c r="R850" s="4" t="str">
        <f aca="false">IF($A850="","",IF(COUNTIF($A$2:$A850,$A850)&gt;1,"Sim","Não"))</f>
        <v>Não</v>
      </c>
      <c r="S850" s="4" t="str">
        <f aca="false">IF(A850="","Descartar - Linha vazia",IF(R850="Sim","Descartar - Duplicado",IF(OR(H850&lt;=0,I850&lt;=0),"Descartar - Qtd/Valor inválido","OK")))</f>
        <v>OK</v>
      </c>
      <c r="T850" s="4" t="str">
        <f aca="false">Base_Bruta!P850</f>
        <v>vendas_RJ.xlsx</v>
      </c>
    </row>
    <row r="851" customFormat="false" ht="15" hidden="false" customHeight="false" outlineLevel="0" collapsed="false">
      <c r="A851" s="4" t="str">
        <f aca="false">IF(Base_Bruta!A851="","",Base_Bruta!A851)</f>
        <v>RJ-000270</v>
      </c>
      <c r="B851" s="5" t="n">
        <f aca="false">IF($A851="","",IF(ISNUMBER(Base_Bruta!B851),Base_Bruta!B851,IF(MID(Base_Bruta!B851,5,1)="-",DATE(VALUE(LEFT(Base_Bruta!B851,4)),VALUE(MID(Base_Bruta!B851,6,2)),VALUE(RIGHT(Base_Bruta!B851,2))),DATE(VALUE(RIGHT(Base_Bruta!B851,4)),VALUE(MID(Base_Bruta!B851,4,2)),VALUE(LEFT(Base_Bruta!B851,2))))))</f>
        <v>45714</v>
      </c>
      <c r="C851" s="5" t="n">
        <f aca="false">IF($A851="","",IF(ISNUMBER(Base_Bruta!C851),Base_Bruta!C851,IF(MID(Base_Bruta!C851,5,1)="-",DATE(VALUE(LEFT(Base_Bruta!C851,4)),VALUE(MID(Base_Bruta!C851,6,2)),VALUE(RIGHT(Base_Bruta!C851,2))),DATE(VALUE(RIGHT(Base_Bruta!C851,4)),VALUE(MID(Base_Bruta!C851,4,2)),VALUE(LEFT(Base_Bruta!C851,2))))))</f>
        <v>45822</v>
      </c>
      <c r="D851" s="4" t="str">
        <f aca="false">IF($A851="","",TRIM(Base_Bruta!D851))</f>
        <v>Show Nacional MPB - Rio</v>
      </c>
      <c r="E851" s="4" t="str">
        <f aca="false">IF($A851="","",_xlfn.XLOOKUP(LOWER(TRIM(Base_Bruta!E851)),DePara_Categoria!$A$2:$A$9,DePara_Categoria!$B$2:$B$9,"REVISAR"))</f>
        <v>Show</v>
      </c>
      <c r="F851" s="4" t="str">
        <f aca="false">IF($A851="","",_xlfn.XLOOKUP(LOWER(TRIM(Base_Bruta!F851)),DePara_Cidade!$A$2:$A$29,DePara_Cidade!$B$2:$B$29,"REVISAR"))</f>
        <v>Rio de Janeiro</v>
      </c>
      <c r="G851" s="4" t="str">
        <f aca="false">IF($A851="","",TRIM(Base_Bruta!G851))</f>
        <v>Inteira</v>
      </c>
      <c r="H851" s="4" t="n">
        <f aca="false">IF($A851="","",IF(ISNUMBER(Base_Bruta!H851),Base_Bruta!H851,IFERROR(_xlfn.NUMBERVALUE(TRIM(SUBSTITUTE(Base_Bruta!H851,"R$","")),",","."),0)))</f>
        <v>1</v>
      </c>
      <c r="I851" s="6" t="n">
        <f aca="false">IF($A851="","",IF(ISNUMBER(Base_Bruta!I851),Base_Bruta!I851,IFERROR(_xlfn.NUMBERVALUE(TRIM(SUBSTITUTE(Base_Bruta!I851,"R$","")),",","."),0)))</f>
        <v>670</v>
      </c>
      <c r="J851" s="6" t="n">
        <f aca="false">IF($A851="","",H851*I851)</f>
        <v>670</v>
      </c>
      <c r="K851" s="4" t="str">
        <f aca="false">IF($A851="","",TRIM(Base_Bruta!J851))</f>
        <v>Bilheteria</v>
      </c>
      <c r="L851" s="4" t="str">
        <f aca="false">IF($A851="","",TRIM(Base_Bruta!K851))</f>
        <v>C00170</v>
      </c>
      <c r="M851" s="4" t="str">
        <f aca="false">IF($A851="","",_xlfn.XLOOKUP(LOWER(TRIM(Base_Bruta!L851)),DePara_Cidade!$A$2:$A$29,DePara_Cidade!$B$2:$B$29,"REVISAR"))</f>
        <v>Curitiba</v>
      </c>
      <c r="N851" s="4" t="str">
        <f aca="false">IF($A851="","",UPPER(TRIM(Base_Bruta!M851)))</f>
        <v>PR</v>
      </c>
      <c r="O851" s="4" t="str">
        <f aca="false">IF($A851="","",_xlfn.XLOOKUP(LOWER(TRIM(Base_Bruta!N851)),DePara_Pais!$A$2:$A$9,DePara_Pais!$B$2:$B$9,"REVISAR"))</f>
        <v>Brasil</v>
      </c>
      <c r="P851" s="4" t="str">
        <f aca="false">IF($A851="","",IF(O851&lt;&gt;"Brasil","Turista Internacional",IF(M851=F851,"Local","Turista Nacional")))</f>
        <v>Turista Nacional</v>
      </c>
      <c r="Q851" s="7" t="n">
        <f aca="false">IF($A851="","",DATE(YEAR(B851),MONTH(B851),1))</f>
        <v>45689</v>
      </c>
      <c r="R851" s="4" t="str">
        <f aca="false">IF($A851="","",IF(COUNTIF($A$2:$A851,$A851)&gt;1,"Sim","Não"))</f>
        <v>Não</v>
      </c>
      <c r="S851" s="4" t="str">
        <f aca="false">IF(A851="","Descartar - Linha vazia",IF(R851="Sim","Descartar - Duplicado",IF(OR(H851&lt;=0,I851&lt;=0),"Descartar - Qtd/Valor inválido","OK")))</f>
        <v>OK</v>
      </c>
      <c r="T851" s="4" t="str">
        <f aca="false">Base_Bruta!P851</f>
        <v>vendas_RJ.xlsx</v>
      </c>
    </row>
    <row r="852" customFormat="false" ht="15" hidden="false" customHeight="false" outlineLevel="0" collapsed="false">
      <c r="A852" s="4" t="str">
        <f aca="false">IF(Base_Bruta!A852="","",Base_Bruta!A852)</f>
        <v>RJ-000301</v>
      </c>
      <c r="B852" s="5" t="n">
        <f aca="false">IF($A852="","",IF(ISNUMBER(Base_Bruta!B852),Base_Bruta!B852,IF(MID(Base_Bruta!B852,5,1)="-",DATE(VALUE(LEFT(Base_Bruta!B852,4)),VALUE(MID(Base_Bruta!B852,6,2)),VALUE(RIGHT(Base_Bruta!B852,2))),DATE(VALUE(RIGHT(Base_Bruta!B852,4)),VALUE(MID(Base_Bruta!B852,4,2)),VALUE(LEFT(Base_Bruta!B852,2))))))</f>
        <v>45714</v>
      </c>
      <c r="C852" s="5" t="n">
        <f aca="false">IF($A852="","",IF(ISNUMBER(Base_Bruta!C852),Base_Bruta!C852,IF(MID(Base_Bruta!C852,5,1)="-",DATE(VALUE(LEFT(Base_Bruta!C852,4)),VALUE(MID(Base_Bruta!C852,6,2)),VALUE(RIGHT(Base_Bruta!C852,2))),DATE(VALUE(RIGHT(Base_Bruta!C852,4)),VALUE(MID(Base_Bruta!C852,4,2)),VALUE(LEFT(Base_Bruta!C852,2))))))</f>
        <v>45822</v>
      </c>
      <c r="D852" s="4" t="str">
        <f aca="false">IF($A852="","",TRIM(Base_Bruta!D852))</f>
        <v>Show Nacional MPB - Rio</v>
      </c>
      <c r="E852" s="4" t="str">
        <f aca="false">IF($A852="","",_xlfn.XLOOKUP(LOWER(TRIM(Base_Bruta!E852)),DePara_Categoria!$A$2:$A$9,DePara_Categoria!$B$2:$B$9,"REVISAR"))</f>
        <v>Show</v>
      </c>
      <c r="F852" s="4" t="str">
        <f aca="false">IF($A852="","",_xlfn.XLOOKUP(LOWER(TRIM(Base_Bruta!F852)),DePara_Cidade!$A$2:$A$29,DePara_Cidade!$B$2:$B$29,"REVISAR"))</f>
        <v>Rio de Janeiro</v>
      </c>
      <c r="G852" s="4" t="str">
        <f aca="false">IF($A852="","",TRIM(Base_Bruta!G852))</f>
        <v>Inteira</v>
      </c>
      <c r="H852" s="4" t="n">
        <f aca="false">IF($A852="","",IF(ISNUMBER(Base_Bruta!H852),Base_Bruta!H852,IFERROR(_xlfn.NUMBERVALUE(TRIM(SUBSTITUTE(Base_Bruta!H852,"R$","")),",","."),0)))</f>
        <v>1</v>
      </c>
      <c r="I852" s="6" t="n">
        <f aca="false">IF($A852="","",IF(ISNUMBER(Base_Bruta!I852),Base_Bruta!I852,IFERROR(_xlfn.NUMBERVALUE(TRIM(SUBSTITUTE(Base_Bruta!I852,"R$","")),",","."),0)))</f>
        <v>260</v>
      </c>
      <c r="J852" s="6" t="n">
        <f aca="false">IF($A852="","",H852*I852)</f>
        <v>260</v>
      </c>
      <c r="K852" s="4" t="str">
        <f aca="false">IF($A852="","",TRIM(Base_Bruta!J852))</f>
        <v>App</v>
      </c>
      <c r="L852" s="4" t="str">
        <f aca="false">IF($A852="","",TRIM(Base_Bruta!K852))</f>
        <v>C01460</v>
      </c>
      <c r="M852" s="4" t="str">
        <f aca="false">IF($A852="","",_xlfn.XLOOKUP(LOWER(TRIM(Base_Bruta!L852)),DePara_Cidade!$A$2:$A$29,DePara_Cidade!$B$2:$B$29,"REVISAR"))</f>
        <v>Rio de Janeiro</v>
      </c>
      <c r="N852" s="4" t="str">
        <f aca="false">IF($A852="","",UPPER(TRIM(Base_Bruta!M852)))</f>
        <v>RJ</v>
      </c>
      <c r="O852" s="4" t="str">
        <f aca="false">IF($A852="","",_xlfn.XLOOKUP(LOWER(TRIM(Base_Bruta!N852)),DePara_Pais!$A$2:$A$9,DePara_Pais!$B$2:$B$9,"REVISAR"))</f>
        <v>Brasil</v>
      </c>
      <c r="P852" s="4" t="str">
        <f aca="false">IF($A852="","",IF(O852&lt;&gt;"Brasil","Turista Internacional",IF(M852=F852,"Local","Turista Nacional")))</f>
        <v>Local</v>
      </c>
      <c r="Q852" s="7" t="n">
        <f aca="false">IF($A852="","",DATE(YEAR(B852),MONTH(B852),1))</f>
        <v>45689</v>
      </c>
      <c r="R852" s="4" t="str">
        <f aca="false">IF($A852="","",IF(COUNTIF($A$2:$A852,$A852)&gt;1,"Sim","Não"))</f>
        <v>Não</v>
      </c>
      <c r="S852" s="4" t="str">
        <f aca="false">IF(A852="","Descartar - Linha vazia",IF(R852="Sim","Descartar - Duplicado",IF(OR(H852&lt;=0,I852&lt;=0),"Descartar - Qtd/Valor inválido","OK")))</f>
        <v>OK</v>
      </c>
      <c r="T852" s="4" t="str">
        <f aca="false">Base_Bruta!P852</f>
        <v>vendas_RJ.xlsx</v>
      </c>
    </row>
    <row r="853" customFormat="false" ht="15" hidden="false" customHeight="false" outlineLevel="0" collapsed="false">
      <c r="A853" s="4" t="str">
        <f aca="false">IF(Base_Bruta!A853="","",Base_Bruta!A853)</f>
        <v>RJ-000250</v>
      </c>
      <c r="B853" s="5" t="n">
        <f aca="false">IF($A853="","",IF(ISNUMBER(Base_Bruta!B853),Base_Bruta!B853,IF(MID(Base_Bruta!B853,5,1)="-",DATE(VALUE(LEFT(Base_Bruta!B853,4)),VALUE(MID(Base_Bruta!B853,6,2)),VALUE(RIGHT(Base_Bruta!B853,2))),DATE(VALUE(RIGHT(Base_Bruta!B853,4)),VALUE(MID(Base_Bruta!B853,4,2)),VALUE(LEFT(Base_Bruta!B853,2))))))</f>
        <v>45715</v>
      </c>
      <c r="C853" s="5" t="n">
        <f aca="false">IF($A853="","",IF(ISNUMBER(Base_Bruta!C853),Base_Bruta!C853,IF(MID(Base_Bruta!C853,5,1)="-",DATE(VALUE(LEFT(Base_Bruta!C853,4)),VALUE(MID(Base_Bruta!C853,6,2)),VALUE(RIGHT(Base_Bruta!C853,2))),DATE(VALUE(RIGHT(Base_Bruta!C853,4)),VALUE(MID(Base_Bruta!C853,4,2)),VALUE(LEFT(Base_Bruta!C853,2))))))</f>
        <v>45822</v>
      </c>
      <c r="D853" s="4" t="str">
        <f aca="false">IF($A853="","",TRIM(Base_Bruta!D853))</f>
        <v>Show Nacional MPB - Rio</v>
      </c>
      <c r="E853" s="4" t="str">
        <f aca="false">IF($A853="","",_xlfn.XLOOKUP(LOWER(TRIM(Base_Bruta!E853)),DePara_Categoria!$A$2:$A$9,DePara_Categoria!$B$2:$B$9,"REVISAR"))</f>
        <v>Show</v>
      </c>
      <c r="F853" s="4" t="str">
        <f aca="false">IF($A853="","",_xlfn.XLOOKUP(LOWER(TRIM(Base_Bruta!F853)),DePara_Cidade!$A$2:$A$29,DePara_Cidade!$B$2:$B$29,"REVISAR"))</f>
        <v>Rio de Janeiro</v>
      </c>
      <c r="G853" s="4" t="str">
        <f aca="false">IF($A853="","",TRIM(Base_Bruta!G853))</f>
        <v>Meia</v>
      </c>
      <c r="H853" s="4" t="n">
        <f aca="false">IF($A853="","",IF(ISNUMBER(Base_Bruta!H853),Base_Bruta!H853,IFERROR(_xlfn.NUMBERVALUE(TRIM(SUBSTITUTE(Base_Bruta!H853,"R$","")),",","."),0)))</f>
        <v>2</v>
      </c>
      <c r="I853" s="6" t="n">
        <f aca="false">IF($A853="","",IF(ISNUMBER(Base_Bruta!I853),Base_Bruta!I853,IFERROR(_xlfn.NUMBERVALUE(TRIM(SUBSTITUTE(Base_Bruta!I853,"R$","")),",","."),0)))</f>
        <v>335</v>
      </c>
      <c r="J853" s="6" t="n">
        <f aca="false">IF($A853="","",H853*I853)</f>
        <v>670</v>
      </c>
      <c r="K853" s="4" t="str">
        <f aca="false">IF($A853="","",TRIM(Base_Bruta!J853))</f>
        <v>App</v>
      </c>
      <c r="L853" s="4" t="str">
        <f aca="false">IF($A853="","",TRIM(Base_Bruta!K853))</f>
        <v>C02048</v>
      </c>
      <c r="M853" s="4" t="str">
        <f aca="false">IF($A853="","",_xlfn.XLOOKUP(LOWER(TRIM(Base_Bruta!L853)),DePara_Cidade!$A$2:$A$29,DePara_Cidade!$B$2:$B$29,"REVISAR"))</f>
        <v>Belo Horizonte</v>
      </c>
      <c r="N853" s="4" t="str">
        <f aca="false">IF($A853="","",UPPER(TRIM(Base_Bruta!M853)))</f>
        <v>MG</v>
      </c>
      <c r="O853" s="4" t="str">
        <f aca="false">IF($A853="","",_xlfn.XLOOKUP(LOWER(TRIM(Base_Bruta!N853)),DePara_Pais!$A$2:$A$9,DePara_Pais!$B$2:$B$9,"REVISAR"))</f>
        <v>Brasil</v>
      </c>
      <c r="P853" s="4" t="str">
        <f aca="false">IF($A853="","",IF(O853&lt;&gt;"Brasil","Turista Internacional",IF(M853=F853,"Local","Turista Nacional")))</f>
        <v>Turista Nacional</v>
      </c>
      <c r="Q853" s="7" t="n">
        <f aca="false">IF($A853="","",DATE(YEAR(B853),MONTH(B853),1))</f>
        <v>45689</v>
      </c>
      <c r="R853" s="4" t="str">
        <f aca="false">IF($A853="","",IF(COUNTIF($A$2:$A853,$A853)&gt;1,"Sim","Não"))</f>
        <v>Não</v>
      </c>
      <c r="S853" s="4" t="str">
        <f aca="false">IF(A853="","Descartar - Linha vazia",IF(R853="Sim","Descartar - Duplicado",IF(OR(H853&lt;=0,I853&lt;=0),"Descartar - Qtd/Valor inválido","OK")))</f>
        <v>OK</v>
      </c>
      <c r="T853" s="4" t="str">
        <f aca="false">Base_Bruta!P853</f>
        <v>vendas_RJ.xlsx</v>
      </c>
    </row>
    <row r="854" customFormat="false" ht="15" hidden="false" customHeight="false" outlineLevel="0" collapsed="false">
      <c r="A854" s="4" t="str">
        <f aca="false">IF(Base_Bruta!A854="","",Base_Bruta!A854)</f>
        <v>RJ-000298</v>
      </c>
      <c r="B854" s="5" t="n">
        <f aca="false">IF($A854="","",IF(ISNUMBER(Base_Bruta!B854),Base_Bruta!B854,IF(MID(Base_Bruta!B854,5,1)="-",DATE(VALUE(LEFT(Base_Bruta!B854,4)),VALUE(MID(Base_Bruta!B854,6,2)),VALUE(RIGHT(Base_Bruta!B854,2))),DATE(VALUE(RIGHT(Base_Bruta!B854,4)),VALUE(MID(Base_Bruta!B854,4,2)),VALUE(LEFT(Base_Bruta!B854,2))))))</f>
        <v>45715</v>
      </c>
      <c r="C854" s="5" t="n">
        <f aca="false">IF($A854="","",IF(ISNUMBER(Base_Bruta!C854),Base_Bruta!C854,IF(MID(Base_Bruta!C854,5,1)="-",DATE(VALUE(LEFT(Base_Bruta!C854,4)),VALUE(MID(Base_Bruta!C854,6,2)),VALUE(RIGHT(Base_Bruta!C854,2))),DATE(VALUE(RIGHT(Base_Bruta!C854,4)),VALUE(MID(Base_Bruta!C854,4,2)),VALUE(LEFT(Base_Bruta!C854,2))))))</f>
        <v>45822</v>
      </c>
      <c r="D854" s="4" t="str">
        <f aca="false">IF($A854="","",TRIM(Base_Bruta!D854))</f>
        <v>Show Nacional MPB - Rio</v>
      </c>
      <c r="E854" s="4" t="str">
        <f aca="false">IF($A854="","",_xlfn.XLOOKUP(LOWER(TRIM(Base_Bruta!E854)),DePara_Categoria!$A$2:$A$9,DePara_Categoria!$B$2:$B$9,"REVISAR"))</f>
        <v>Show</v>
      </c>
      <c r="F854" s="4" t="str">
        <f aca="false">IF($A854="","",_xlfn.XLOOKUP(LOWER(TRIM(Base_Bruta!F854)),DePara_Cidade!$A$2:$A$29,DePara_Cidade!$B$2:$B$29,"REVISAR"))</f>
        <v>Rio de Janeiro</v>
      </c>
      <c r="G854" s="4" t="str">
        <f aca="false">IF($A854="","",TRIM(Base_Bruta!G854))</f>
        <v>Meia</v>
      </c>
      <c r="H854" s="4" t="n">
        <f aca="false">IF($A854="","",IF(ISNUMBER(Base_Bruta!H854),Base_Bruta!H854,IFERROR(_xlfn.NUMBERVALUE(TRIM(SUBSTITUTE(Base_Bruta!H854,"R$","")),",","."),0)))</f>
        <v>1</v>
      </c>
      <c r="I854" s="6" t="n">
        <f aca="false">IF($A854="","",IF(ISNUMBER(Base_Bruta!I854),Base_Bruta!I854,IFERROR(_xlfn.NUMBERVALUE(TRIM(SUBSTITUTE(Base_Bruta!I854,"R$","")),",","."),0)))</f>
        <v>370</v>
      </c>
      <c r="J854" s="6" t="n">
        <f aca="false">IF($A854="","",H854*I854)</f>
        <v>370</v>
      </c>
      <c r="K854" s="4" t="str">
        <f aca="false">IF($A854="","",TRIM(Base_Bruta!J854))</f>
        <v>App</v>
      </c>
      <c r="L854" s="4" t="str">
        <f aca="false">IF($A854="","",TRIM(Base_Bruta!K854))</f>
        <v>C00171</v>
      </c>
      <c r="M854" s="4" t="str">
        <f aca="false">IF($A854="","",_xlfn.XLOOKUP(LOWER(TRIM(Base_Bruta!L854)),DePara_Cidade!$A$2:$A$29,DePara_Cidade!$B$2:$B$29,"REVISAR"))</f>
        <v>Rio de Janeiro</v>
      </c>
      <c r="N854" s="4" t="str">
        <f aca="false">IF($A854="","",UPPER(TRIM(Base_Bruta!M854)))</f>
        <v>RJ</v>
      </c>
      <c r="O854" s="4" t="str">
        <f aca="false">IF($A854="","",_xlfn.XLOOKUP(LOWER(TRIM(Base_Bruta!N854)),DePara_Pais!$A$2:$A$9,DePara_Pais!$B$2:$B$9,"REVISAR"))</f>
        <v>Brasil</v>
      </c>
      <c r="P854" s="4" t="str">
        <f aca="false">IF($A854="","",IF(O854&lt;&gt;"Brasil","Turista Internacional",IF(M854=F854,"Local","Turista Nacional")))</f>
        <v>Local</v>
      </c>
      <c r="Q854" s="7" t="n">
        <f aca="false">IF($A854="","",DATE(YEAR(B854),MONTH(B854),1))</f>
        <v>45689</v>
      </c>
      <c r="R854" s="4" t="str">
        <f aca="false">IF($A854="","",IF(COUNTIF($A$2:$A854,$A854)&gt;1,"Sim","Não"))</f>
        <v>Não</v>
      </c>
      <c r="S854" s="4" t="str">
        <f aca="false">IF(A854="","Descartar - Linha vazia",IF(R854="Sim","Descartar - Duplicado",IF(OR(H854&lt;=0,I854&lt;=0),"Descartar - Qtd/Valor inválido","OK")))</f>
        <v>OK</v>
      </c>
      <c r="T854" s="4" t="str">
        <f aca="false">Base_Bruta!P854</f>
        <v>vendas_RJ.xlsx</v>
      </c>
    </row>
    <row r="855" customFormat="false" ht="15" hidden="false" customHeight="false" outlineLevel="0" collapsed="false">
      <c r="A855" s="4" t="str">
        <f aca="false">IF(Base_Bruta!A855="","",Base_Bruta!A855)</f>
        <v>RJ-000251</v>
      </c>
      <c r="B855" s="5" t="n">
        <f aca="false">IF($A855="","",IF(ISNUMBER(Base_Bruta!B855),Base_Bruta!B855,IF(MID(Base_Bruta!B855,5,1)="-",DATE(VALUE(LEFT(Base_Bruta!B855,4)),VALUE(MID(Base_Bruta!B855,6,2)),VALUE(RIGHT(Base_Bruta!B855,2))),DATE(VALUE(RIGHT(Base_Bruta!B855,4)),VALUE(MID(Base_Bruta!B855,4,2)),VALUE(LEFT(Base_Bruta!B855,2))))))</f>
        <v>45716</v>
      </c>
      <c r="C855" s="5" t="n">
        <f aca="false">IF($A855="","",IF(ISNUMBER(Base_Bruta!C855),Base_Bruta!C855,IF(MID(Base_Bruta!C855,5,1)="-",DATE(VALUE(LEFT(Base_Bruta!C855,4)),VALUE(MID(Base_Bruta!C855,6,2)),VALUE(RIGHT(Base_Bruta!C855,2))),DATE(VALUE(RIGHT(Base_Bruta!C855,4)),VALUE(MID(Base_Bruta!C855,4,2)),VALUE(LEFT(Base_Bruta!C855,2))))))</f>
        <v>45822</v>
      </c>
      <c r="D855" s="4" t="str">
        <f aca="false">IF($A855="","",TRIM(Base_Bruta!D855))</f>
        <v>Show Nacional MPB - Rio</v>
      </c>
      <c r="E855" s="4" t="str">
        <f aca="false">IF($A855="","",_xlfn.XLOOKUP(LOWER(TRIM(Base_Bruta!E855)),DePara_Categoria!$A$2:$A$9,DePara_Categoria!$B$2:$B$9,"REVISAR"))</f>
        <v>Show</v>
      </c>
      <c r="F855" s="4" t="str">
        <f aca="false">IF($A855="","",_xlfn.XLOOKUP(LOWER(TRIM(Base_Bruta!F855)),DePara_Cidade!$A$2:$A$29,DePara_Cidade!$B$2:$B$29,"REVISAR"))</f>
        <v>Rio de Janeiro</v>
      </c>
      <c r="G855" s="4" t="str">
        <f aca="false">IF($A855="","",TRIM(Base_Bruta!G855))</f>
        <v>Inteira</v>
      </c>
      <c r="H855" s="4" t="n">
        <f aca="false">IF($A855="","",IF(ISNUMBER(Base_Bruta!H855),Base_Bruta!H855,IFERROR(_xlfn.NUMBERVALUE(TRIM(SUBSTITUTE(Base_Bruta!H855,"R$","")),",","."),0)))</f>
        <v>2</v>
      </c>
      <c r="I855" s="6" t="n">
        <f aca="false">IF($A855="","",IF(ISNUMBER(Base_Bruta!I855),Base_Bruta!I855,IFERROR(_xlfn.NUMBERVALUE(TRIM(SUBSTITUTE(Base_Bruta!I855,"R$","")),",","."),0)))</f>
        <v>690</v>
      </c>
      <c r="J855" s="6" t="n">
        <f aca="false">IF($A855="","",H855*I855)</f>
        <v>1380</v>
      </c>
      <c r="K855" s="4" t="str">
        <f aca="false">IF($A855="","",TRIM(Base_Bruta!J855))</f>
        <v>Site</v>
      </c>
      <c r="L855" s="4" t="str">
        <f aca="false">IF($A855="","",TRIM(Base_Bruta!K855))</f>
        <v>C00443</v>
      </c>
      <c r="M855" s="4" t="str">
        <f aca="false">IF($A855="","",_xlfn.XLOOKUP(LOWER(TRIM(Base_Bruta!L855)),DePara_Cidade!$A$2:$A$29,DePara_Cidade!$B$2:$B$29,"REVISAR"))</f>
        <v>Brasília</v>
      </c>
      <c r="N855" s="4" t="str">
        <f aca="false">IF($A855="","",UPPER(TRIM(Base_Bruta!M855)))</f>
        <v>DF</v>
      </c>
      <c r="O855" s="4" t="str">
        <f aca="false">IF($A855="","",_xlfn.XLOOKUP(LOWER(TRIM(Base_Bruta!N855)),DePara_Pais!$A$2:$A$9,DePara_Pais!$B$2:$B$9,"REVISAR"))</f>
        <v>Brasil</v>
      </c>
      <c r="P855" s="4" t="str">
        <f aca="false">IF($A855="","",IF(O855&lt;&gt;"Brasil","Turista Internacional",IF(M855=F855,"Local","Turista Nacional")))</f>
        <v>Turista Nacional</v>
      </c>
      <c r="Q855" s="7" t="n">
        <f aca="false">IF($A855="","",DATE(YEAR(B855),MONTH(B855),1))</f>
        <v>45689</v>
      </c>
      <c r="R855" s="4" t="str">
        <f aca="false">IF($A855="","",IF(COUNTIF($A$2:$A855,$A855)&gt;1,"Sim","Não"))</f>
        <v>Não</v>
      </c>
      <c r="S855" s="4" t="str">
        <f aca="false">IF(A855="","Descartar - Linha vazia",IF(R855="Sim","Descartar - Duplicado",IF(OR(H855&lt;=0,I855&lt;=0),"Descartar - Qtd/Valor inválido","OK")))</f>
        <v>OK</v>
      </c>
      <c r="T855" s="4" t="str">
        <f aca="false">Base_Bruta!P855</f>
        <v>vendas_RJ.xlsx</v>
      </c>
    </row>
    <row r="856" customFormat="false" ht="15" hidden="false" customHeight="false" outlineLevel="0" collapsed="false">
      <c r="A856" s="4" t="str">
        <f aca="false">IF(Base_Bruta!A856="","",Base_Bruta!A856)</f>
        <v>RJ-000285</v>
      </c>
      <c r="B856" s="5" t="n">
        <f aca="false">IF($A856="","",IF(ISNUMBER(Base_Bruta!B856),Base_Bruta!B856,IF(MID(Base_Bruta!B856,5,1)="-",DATE(VALUE(LEFT(Base_Bruta!B856,4)),VALUE(MID(Base_Bruta!B856,6,2)),VALUE(RIGHT(Base_Bruta!B856,2))),DATE(VALUE(RIGHT(Base_Bruta!B856,4)),VALUE(MID(Base_Bruta!B856,4,2)),VALUE(LEFT(Base_Bruta!B856,2))))))</f>
        <v>45716</v>
      </c>
      <c r="C856" s="5" t="n">
        <f aca="false">IF($A856="","",IF(ISNUMBER(Base_Bruta!C856),Base_Bruta!C856,IF(MID(Base_Bruta!C856,5,1)="-",DATE(VALUE(LEFT(Base_Bruta!C856,4)),VALUE(MID(Base_Bruta!C856,6,2)),VALUE(RIGHT(Base_Bruta!C856,2))),DATE(VALUE(RIGHT(Base_Bruta!C856,4)),VALUE(MID(Base_Bruta!C856,4,2)),VALUE(LEFT(Base_Bruta!C856,2))))))</f>
        <v>45822</v>
      </c>
      <c r="D856" s="4" t="str">
        <f aca="false">IF($A856="","",TRIM(Base_Bruta!D856))</f>
        <v>Show Nacional MPB - Rio</v>
      </c>
      <c r="E856" s="4" t="str">
        <f aca="false">IF($A856="","",_xlfn.XLOOKUP(LOWER(TRIM(Base_Bruta!E856)),DePara_Categoria!$A$2:$A$9,DePara_Categoria!$B$2:$B$9,"REVISAR"))</f>
        <v>Show</v>
      </c>
      <c r="F856" s="4" t="str">
        <f aca="false">IF($A856="","",_xlfn.XLOOKUP(LOWER(TRIM(Base_Bruta!F856)),DePara_Cidade!$A$2:$A$29,DePara_Cidade!$B$2:$B$29,"REVISAR"))</f>
        <v>Rio de Janeiro</v>
      </c>
      <c r="G856" s="4" t="str">
        <f aca="false">IF($A856="","",TRIM(Base_Bruta!G856))</f>
        <v>Inteira</v>
      </c>
      <c r="H856" s="4" t="n">
        <f aca="false">IF($A856="","",IF(ISNUMBER(Base_Bruta!H856),Base_Bruta!H856,IFERROR(_xlfn.NUMBERVALUE(TRIM(SUBSTITUTE(Base_Bruta!H856,"R$","")),",","."),0)))</f>
        <v>1</v>
      </c>
      <c r="I856" s="6" t="n">
        <f aca="false">IF($A856="","",IF(ISNUMBER(Base_Bruta!I856),Base_Bruta!I856,IFERROR(_xlfn.NUMBERVALUE(TRIM(SUBSTITUTE(Base_Bruta!I856,"R$","")),",","."),0)))</f>
        <v>370</v>
      </c>
      <c r="J856" s="6" t="n">
        <f aca="false">IF($A856="","",H856*I856)</f>
        <v>370</v>
      </c>
      <c r="K856" s="4" t="str">
        <f aca="false">IF($A856="","",TRIM(Base_Bruta!J856))</f>
        <v>Parceiro</v>
      </c>
      <c r="L856" s="4" t="str">
        <f aca="false">IF($A856="","",TRIM(Base_Bruta!K856))</f>
        <v>C00595</v>
      </c>
      <c r="M856" s="4" t="str">
        <f aca="false">IF($A856="","",_xlfn.XLOOKUP(LOWER(TRIM(Base_Bruta!L856)),DePara_Cidade!$A$2:$A$29,DePara_Cidade!$B$2:$B$29,"REVISAR"))</f>
        <v>Porto Alegre</v>
      </c>
      <c r="N856" s="4" t="str">
        <f aca="false">IF($A856="","",UPPER(TRIM(Base_Bruta!M856)))</f>
        <v>RS</v>
      </c>
      <c r="O856" s="4" t="str">
        <f aca="false">IF($A856="","",_xlfn.XLOOKUP(LOWER(TRIM(Base_Bruta!N856)),DePara_Pais!$A$2:$A$9,DePara_Pais!$B$2:$B$9,"REVISAR"))</f>
        <v>Brasil</v>
      </c>
      <c r="P856" s="4" t="str">
        <f aca="false">IF($A856="","",IF(O856&lt;&gt;"Brasil","Turista Internacional",IF(M856=F856,"Local","Turista Nacional")))</f>
        <v>Turista Nacional</v>
      </c>
      <c r="Q856" s="7" t="n">
        <f aca="false">IF($A856="","",DATE(YEAR(B856),MONTH(B856),1))</f>
        <v>45689</v>
      </c>
      <c r="R856" s="4" t="str">
        <f aca="false">IF($A856="","",IF(COUNTIF($A$2:$A856,$A856)&gt;1,"Sim","Não"))</f>
        <v>Não</v>
      </c>
      <c r="S856" s="4" t="str">
        <f aca="false">IF(A856="","Descartar - Linha vazia",IF(R856="Sim","Descartar - Duplicado",IF(OR(H856&lt;=0,I856&lt;=0),"Descartar - Qtd/Valor inválido","OK")))</f>
        <v>OK</v>
      </c>
      <c r="T856" s="4" t="str">
        <f aca="false">Base_Bruta!P856</f>
        <v>vendas_RJ.xlsx</v>
      </c>
    </row>
    <row r="857" customFormat="false" ht="15" hidden="false" customHeight="false" outlineLevel="0" collapsed="false">
      <c r="A857" s="4" t="str">
        <f aca="false">IF(Base_Bruta!A857="","",Base_Bruta!A857)</f>
        <v>RJ-000299</v>
      </c>
      <c r="B857" s="5" t="n">
        <f aca="false">IF($A857="","",IF(ISNUMBER(Base_Bruta!B857),Base_Bruta!B857,IF(MID(Base_Bruta!B857,5,1)="-",DATE(VALUE(LEFT(Base_Bruta!B857,4)),VALUE(MID(Base_Bruta!B857,6,2)),VALUE(RIGHT(Base_Bruta!B857,2))),DATE(VALUE(RIGHT(Base_Bruta!B857,4)),VALUE(MID(Base_Bruta!B857,4,2)),VALUE(LEFT(Base_Bruta!B857,2))))))</f>
        <v>45716</v>
      </c>
      <c r="C857" s="5" t="n">
        <f aca="false">IF($A857="","",IF(ISNUMBER(Base_Bruta!C857),Base_Bruta!C857,IF(MID(Base_Bruta!C857,5,1)="-",DATE(VALUE(LEFT(Base_Bruta!C857,4)),VALUE(MID(Base_Bruta!C857,6,2)),VALUE(RIGHT(Base_Bruta!C857,2))),DATE(VALUE(RIGHT(Base_Bruta!C857,4)),VALUE(MID(Base_Bruta!C857,4,2)),VALUE(LEFT(Base_Bruta!C857,2))))))</f>
        <v>45822</v>
      </c>
      <c r="D857" s="4" t="str">
        <f aca="false">IF($A857="","",TRIM(Base_Bruta!D857))</f>
        <v>Show Nacional MPB - Rio</v>
      </c>
      <c r="E857" s="4" t="str">
        <f aca="false">IF($A857="","",_xlfn.XLOOKUP(LOWER(TRIM(Base_Bruta!E857)),DePara_Categoria!$A$2:$A$9,DePara_Categoria!$B$2:$B$9,"REVISAR"))</f>
        <v>Show</v>
      </c>
      <c r="F857" s="4" t="str">
        <f aca="false">IF($A857="","",_xlfn.XLOOKUP(LOWER(TRIM(Base_Bruta!F857)),DePara_Cidade!$A$2:$A$29,DePara_Cidade!$B$2:$B$29,"REVISAR"))</f>
        <v>Rio de Janeiro</v>
      </c>
      <c r="G857" s="4" t="str">
        <f aca="false">IF($A857="","",TRIM(Base_Bruta!G857))</f>
        <v>Meia</v>
      </c>
      <c r="H857" s="4" t="n">
        <f aca="false">IF($A857="","",IF(ISNUMBER(Base_Bruta!H857),Base_Bruta!H857,IFERROR(_xlfn.NUMBERVALUE(TRIM(SUBSTITUTE(Base_Bruta!H857,"R$","")),",","."),0)))</f>
        <v>1</v>
      </c>
      <c r="I857" s="6" t="n">
        <f aca="false">IF($A857="","",IF(ISNUMBER(Base_Bruta!I857),Base_Bruta!I857,IFERROR(_xlfn.NUMBERVALUE(TRIM(SUBSTITUTE(Base_Bruta!I857,"R$","")),",","."),0)))</f>
        <v>140</v>
      </c>
      <c r="J857" s="6" t="n">
        <f aca="false">IF($A857="","",H857*I857)</f>
        <v>140</v>
      </c>
      <c r="K857" s="4" t="str">
        <f aca="false">IF($A857="","",TRIM(Base_Bruta!J857))</f>
        <v>Site</v>
      </c>
      <c r="L857" s="4" t="str">
        <f aca="false">IF($A857="","",TRIM(Base_Bruta!K857))</f>
        <v>C01872</v>
      </c>
      <c r="M857" s="4" t="str">
        <f aca="false">IF($A857="","",_xlfn.XLOOKUP(LOWER(TRIM(Base_Bruta!L857)),DePara_Cidade!$A$2:$A$29,DePara_Cidade!$B$2:$B$29,"REVISAR"))</f>
        <v>Rio de Janeiro</v>
      </c>
      <c r="N857" s="4" t="str">
        <f aca="false">IF($A857="","",UPPER(TRIM(Base_Bruta!M857)))</f>
        <v>RJ</v>
      </c>
      <c r="O857" s="4" t="str">
        <f aca="false">IF($A857="","",_xlfn.XLOOKUP(LOWER(TRIM(Base_Bruta!N857)),DePara_Pais!$A$2:$A$9,DePara_Pais!$B$2:$B$9,"REVISAR"))</f>
        <v>Brasil</v>
      </c>
      <c r="P857" s="4" t="str">
        <f aca="false">IF($A857="","",IF(O857&lt;&gt;"Brasil","Turista Internacional",IF(M857=F857,"Local","Turista Nacional")))</f>
        <v>Local</v>
      </c>
      <c r="Q857" s="7" t="n">
        <f aca="false">IF($A857="","",DATE(YEAR(B857),MONTH(B857),1))</f>
        <v>45689</v>
      </c>
      <c r="R857" s="4" t="str">
        <f aca="false">IF($A857="","",IF(COUNTIF($A$2:$A857,$A857)&gt;1,"Sim","Não"))</f>
        <v>Não</v>
      </c>
      <c r="S857" s="4" t="str">
        <f aca="false">IF(A857="","Descartar - Linha vazia",IF(R857="Sim","Descartar - Duplicado",IF(OR(H857&lt;=0,I857&lt;=0),"Descartar - Qtd/Valor inválido","OK")))</f>
        <v>OK</v>
      </c>
      <c r="T857" s="4" t="str">
        <f aca="false">Base_Bruta!P857</f>
        <v>vendas_RJ.xlsx</v>
      </c>
    </row>
    <row r="858" customFormat="false" ht="15" hidden="false" customHeight="false" outlineLevel="0" collapsed="false">
      <c r="A858" s="4" t="str">
        <f aca="false">IF(Base_Bruta!A858="","",Base_Bruta!A858)</f>
        <v>RJ-000612</v>
      </c>
      <c r="B858" s="5" t="n">
        <f aca="false">IF($A858="","",IF(ISNUMBER(Base_Bruta!B858),Base_Bruta!B858,IF(MID(Base_Bruta!B858,5,1)="-",DATE(VALUE(LEFT(Base_Bruta!B858,4)),VALUE(MID(Base_Bruta!B858,6,2)),VALUE(RIGHT(Base_Bruta!B858,2))),DATE(VALUE(RIGHT(Base_Bruta!B858,4)),VALUE(MID(Base_Bruta!B858,4,2)),VALUE(LEFT(Base_Bruta!B858,2))))))</f>
        <v>45706</v>
      </c>
      <c r="C858" s="5" t="n">
        <f aca="false">IF($A858="","",IF(ISNUMBER(Base_Bruta!C858),Base_Bruta!C858,IF(MID(Base_Bruta!C858,5,1)="-",DATE(VALUE(LEFT(Base_Bruta!C858,4)),VALUE(MID(Base_Bruta!C858,6,2)),VALUE(RIGHT(Base_Bruta!C858,2))),DATE(VALUE(RIGHT(Base_Bruta!C858,4)),VALUE(MID(Base_Bruta!C858,4,2)),VALUE(LEFT(Base_Bruta!C858,2))))))</f>
        <v>45709</v>
      </c>
      <c r="D858" s="4" t="str">
        <f aca="false">IF($A858="","",TRIM(Base_Bruta!D858))</f>
        <v>Cinema Barra - Sessões</v>
      </c>
      <c r="E858" s="4" t="str">
        <f aca="false">IF($A858="","",_xlfn.XLOOKUP(LOWER(TRIM(Base_Bruta!E858)),DePara_Categoria!$A$2:$A$9,DePara_Categoria!$B$2:$B$9,"REVISAR"))</f>
        <v>Cinema</v>
      </c>
      <c r="F858" s="4" t="str">
        <f aca="false">IF($A858="","",_xlfn.XLOOKUP(LOWER(TRIM(Base_Bruta!F858)),DePara_Cidade!$A$2:$A$29,DePara_Cidade!$B$2:$B$29,"REVISAR"))</f>
        <v>Rio de Janeiro</v>
      </c>
      <c r="G858" s="4" t="str">
        <f aca="false">IF($A858="","",TRIM(Base_Bruta!G858))</f>
        <v>Inteira</v>
      </c>
      <c r="H858" s="4" t="n">
        <f aca="false">IF($A858="","",IF(ISNUMBER(Base_Bruta!H858),Base_Bruta!H858,IFERROR(_xlfn.NUMBERVALUE(TRIM(SUBSTITUTE(Base_Bruta!H858,"R$","")),",","."),0)))</f>
        <v>1</v>
      </c>
      <c r="I858" s="6" t="n">
        <f aca="false">IF($A858="","",IF(ISNUMBER(Base_Bruta!I858),Base_Bruta!I858,IFERROR(_xlfn.NUMBERVALUE(TRIM(SUBSTITUTE(Base_Bruta!I858,"R$","")),",","."),0)))</f>
        <v>35</v>
      </c>
      <c r="J858" s="6" t="n">
        <f aca="false">IF($A858="","",H858*I858)</f>
        <v>35</v>
      </c>
      <c r="K858" s="4" t="str">
        <f aca="false">IF($A858="","",TRIM(Base_Bruta!J858))</f>
        <v>Site</v>
      </c>
      <c r="L858" s="4" t="str">
        <f aca="false">IF($A858="","",TRIM(Base_Bruta!K858))</f>
        <v>C01872</v>
      </c>
      <c r="M858" s="4" t="str">
        <f aca="false">IF($A858="","",_xlfn.XLOOKUP(LOWER(TRIM(Base_Bruta!L858)),DePara_Cidade!$A$2:$A$29,DePara_Cidade!$B$2:$B$29,"REVISAR"))</f>
        <v>Rio de Janeiro</v>
      </c>
      <c r="N858" s="4" t="str">
        <f aca="false">IF($A858="","",UPPER(TRIM(Base_Bruta!M858)))</f>
        <v>RJ</v>
      </c>
      <c r="O858" s="4" t="str">
        <f aca="false">IF($A858="","",_xlfn.XLOOKUP(LOWER(TRIM(Base_Bruta!N858)),DePara_Pais!$A$2:$A$9,DePara_Pais!$B$2:$B$9,"REVISAR"))</f>
        <v>Brasil</v>
      </c>
      <c r="P858" s="4" t="str">
        <f aca="false">IF($A858="","",IF(O858&lt;&gt;"Brasil","Turista Internacional",IF(M858=F858,"Local","Turista Nacional")))</f>
        <v>Local</v>
      </c>
      <c r="Q858" s="7" t="n">
        <f aca="false">IF($A858="","",DATE(YEAR(B858),MONTH(B858),1))</f>
        <v>45689</v>
      </c>
      <c r="R858" s="4" t="str">
        <f aca="false">IF($A858="","",IF(COUNTIF($A$2:$A858,$A858)&gt;1,"Sim","Não"))</f>
        <v>Sim</v>
      </c>
      <c r="S858" s="4" t="str">
        <f aca="false">IF(A858="","Descartar - Linha vazia",IF(R858="Sim","Descartar - Duplicado",IF(OR(H858&lt;=0,I858&lt;=0),"Descartar - Qtd/Valor inválido","OK")))</f>
        <v>Descartar - Duplicado</v>
      </c>
      <c r="T858" s="4" t="str">
        <f aca="false">Base_Bruta!P858</f>
        <v>vendas_RJ.xlsx</v>
      </c>
    </row>
    <row r="859" customFormat="false" ht="15" hidden="false" customHeight="false" outlineLevel="0" collapsed="false">
      <c r="A859" s="4" t="str">
        <f aca="false">IF(Base_Bruta!A859="","",Base_Bruta!A859)</f>
        <v>RJ-000323</v>
      </c>
      <c r="B859" s="5" t="n">
        <f aca="false">IF($A859="","",IF(ISNUMBER(Base_Bruta!B859),Base_Bruta!B859,IF(MID(Base_Bruta!B859,5,1)="-",DATE(VALUE(LEFT(Base_Bruta!B859,4)),VALUE(MID(Base_Bruta!B859,6,2)),VALUE(RIGHT(Base_Bruta!B859,2))),DATE(VALUE(RIGHT(Base_Bruta!B859,4)),VALUE(MID(Base_Bruta!B859,4,2)),VALUE(LEFT(Base_Bruta!B859,2))))))</f>
        <v>45716</v>
      </c>
      <c r="C859" s="5" t="n">
        <f aca="false">IF($A859="","",IF(ISNUMBER(Base_Bruta!C859),Base_Bruta!C859,IF(MID(Base_Bruta!C859,5,1)="-",DATE(VALUE(LEFT(Base_Bruta!C859,4)),VALUE(MID(Base_Bruta!C859,6,2)),VALUE(RIGHT(Base_Bruta!C859,2))),DATE(VALUE(RIGHT(Base_Bruta!C859,4)),VALUE(MID(Base_Bruta!C859,4,2)),VALUE(LEFT(Base_Bruta!C859,2))))))</f>
        <v>45822</v>
      </c>
      <c r="D859" s="4" t="str">
        <f aca="false">IF($A859="","",TRIM(Base_Bruta!D859))</f>
        <v>Show Nacional MPB - Rio</v>
      </c>
      <c r="E859" s="4" t="str">
        <f aca="false">IF($A859="","",_xlfn.XLOOKUP(LOWER(TRIM(Base_Bruta!E859)),DePara_Categoria!$A$2:$A$9,DePara_Categoria!$B$2:$B$9,"REVISAR"))</f>
        <v>Show</v>
      </c>
      <c r="F859" s="4" t="str">
        <f aca="false">IF($A859="","",_xlfn.XLOOKUP(LOWER(TRIM(Base_Bruta!F859)),DePara_Cidade!$A$2:$A$29,DePara_Cidade!$B$2:$B$29,"REVISAR"))</f>
        <v>Rio de Janeiro</v>
      </c>
      <c r="G859" s="4" t="str">
        <f aca="false">IF($A859="","",TRIM(Base_Bruta!G859))</f>
        <v>Meia</v>
      </c>
      <c r="H859" s="4" t="n">
        <f aca="false">IF($A859="","",IF(ISNUMBER(Base_Bruta!H859),Base_Bruta!H859,IFERROR(_xlfn.NUMBERVALUE(TRIM(SUBSTITUTE(Base_Bruta!H859,"R$","")),",","."),0)))</f>
        <v>2</v>
      </c>
      <c r="I859" s="6" t="n">
        <f aca="false">IF($A859="","",IF(ISNUMBER(Base_Bruta!I859),Base_Bruta!I859,IFERROR(_xlfn.NUMBERVALUE(TRIM(SUBSTITUTE(Base_Bruta!I859,"R$","")),",","."),0)))</f>
        <v>312.5</v>
      </c>
      <c r="J859" s="6" t="n">
        <f aca="false">IF($A859="","",H859*I859)</f>
        <v>625</v>
      </c>
      <c r="K859" s="4" t="str">
        <f aca="false">IF($A859="","",TRIM(Base_Bruta!J859))</f>
        <v>Site</v>
      </c>
      <c r="L859" s="4" t="str">
        <f aca="false">IF($A859="","",TRIM(Base_Bruta!K859))</f>
        <v>C02314</v>
      </c>
      <c r="M859" s="4" t="str">
        <f aca="false">IF($A859="","",_xlfn.XLOOKUP(LOWER(TRIM(Base_Bruta!L859)),DePara_Cidade!$A$2:$A$29,DePara_Cidade!$B$2:$B$29,"REVISAR"))</f>
        <v>Rio de Janeiro</v>
      </c>
      <c r="N859" s="4" t="str">
        <f aca="false">IF($A859="","",UPPER(TRIM(Base_Bruta!M859)))</f>
        <v>RJ</v>
      </c>
      <c r="O859" s="4" t="str">
        <f aca="false">IF($A859="","",_xlfn.XLOOKUP(LOWER(TRIM(Base_Bruta!N859)),DePara_Pais!$A$2:$A$9,DePara_Pais!$B$2:$B$9,"REVISAR"))</f>
        <v>Brasil</v>
      </c>
      <c r="P859" s="4" t="str">
        <f aca="false">IF($A859="","",IF(O859&lt;&gt;"Brasil","Turista Internacional",IF(M859=F859,"Local","Turista Nacional")))</f>
        <v>Local</v>
      </c>
      <c r="Q859" s="7" t="n">
        <f aca="false">IF($A859="","",DATE(YEAR(B859),MONTH(B859),1))</f>
        <v>45689</v>
      </c>
      <c r="R859" s="4" t="str">
        <f aca="false">IF($A859="","",IF(COUNTIF($A$2:$A859,$A859)&gt;1,"Sim","Não"))</f>
        <v>Não</v>
      </c>
      <c r="S859" s="4" t="str">
        <f aca="false">IF(A859="","Descartar - Linha vazia",IF(R859="Sim","Descartar - Duplicado",IF(OR(H859&lt;=0,I859&lt;=0),"Descartar - Qtd/Valor inválido","OK")))</f>
        <v>OK</v>
      </c>
      <c r="T859" s="4" t="str">
        <f aca="false">Base_Bruta!P859</f>
        <v>vendas_RJ.xlsx</v>
      </c>
    </row>
    <row r="860" customFormat="false" ht="15" hidden="false" customHeight="false" outlineLevel="0" collapsed="false">
      <c r="A860" s="4" t="str">
        <f aca="false">IF(Base_Bruta!A860="","",Base_Bruta!A860)</f>
        <v>RJ-000308</v>
      </c>
      <c r="B860" s="5" t="n">
        <f aca="false">IF($A860="","",IF(ISNUMBER(Base_Bruta!B860),Base_Bruta!B860,IF(MID(Base_Bruta!B860,5,1)="-",DATE(VALUE(LEFT(Base_Bruta!B860,4)),VALUE(MID(Base_Bruta!B860,6,2)),VALUE(RIGHT(Base_Bruta!B860,2))),DATE(VALUE(RIGHT(Base_Bruta!B860,4)),VALUE(MID(Base_Bruta!B860,4,2)),VALUE(LEFT(Base_Bruta!B860,2))))))</f>
        <v>45717</v>
      </c>
      <c r="C860" s="5" t="n">
        <f aca="false">IF($A860="","",IF(ISNUMBER(Base_Bruta!C860),Base_Bruta!C860,IF(MID(Base_Bruta!C860,5,1)="-",DATE(VALUE(LEFT(Base_Bruta!C860,4)),VALUE(MID(Base_Bruta!C860,6,2)),VALUE(RIGHT(Base_Bruta!C860,2))),DATE(VALUE(RIGHT(Base_Bruta!C860,4)),VALUE(MID(Base_Bruta!C860,4,2)),VALUE(LEFT(Base_Bruta!C860,2))))))</f>
        <v>45822</v>
      </c>
      <c r="D860" s="4" t="str">
        <f aca="false">IF($A860="","",TRIM(Base_Bruta!D860))</f>
        <v>Show Nacional MPB - Rio</v>
      </c>
      <c r="E860" s="4" t="str">
        <f aca="false">IF($A860="","",_xlfn.XLOOKUP(LOWER(TRIM(Base_Bruta!E860)),DePara_Categoria!$A$2:$A$9,DePara_Categoria!$B$2:$B$9,"REVISAR"))</f>
        <v>Show</v>
      </c>
      <c r="F860" s="4" t="str">
        <f aca="false">IF($A860="","",_xlfn.XLOOKUP(LOWER(TRIM(Base_Bruta!F860)),DePara_Cidade!$A$2:$A$29,DePara_Cidade!$B$2:$B$29,"REVISAR"))</f>
        <v>Rio de Janeiro</v>
      </c>
      <c r="G860" s="4" t="str">
        <f aca="false">IF($A860="","",TRIM(Base_Bruta!G860))</f>
        <v>Inteira</v>
      </c>
      <c r="H860" s="4" t="n">
        <f aca="false">IF($A860="","",IF(ISNUMBER(Base_Bruta!H860),Base_Bruta!H860,IFERROR(_xlfn.NUMBERVALUE(TRIM(SUBSTITUTE(Base_Bruta!H860,"R$","")),",","."),0)))</f>
        <v>2</v>
      </c>
      <c r="I860" s="6" t="n">
        <f aca="false">IF($A860="","",IF(ISNUMBER(Base_Bruta!I860),Base_Bruta!I860,IFERROR(_xlfn.NUMBERVALUE(TRIM(SUBSTITUTE(Base_Bruta!I860,"R$","")),",","."),0)))</f>
        <v>255</v>
      </c>
      <c r="J860" s="6" t="n">
        <f aca="false">IF($A860="","",H860*I860)</f>
        <v>510</v>
      </c>
      <c r="K860" s="4" t="str">
        <f aca="false">IF($A860="","",TRIM(Base_Bruta!J860))</f>
        <v>Parceiro</v>
      </c>
      <c r="L860" s="4" t="str">
        <f aca="false">IF($A860="","",TRIM(Base_Bruta!K860))</f>
        <v>C00667</v>
      </c>
      <c r="M860" s="4" t="str">
        <f aca="false">IF($A860="","",_xlfn.XLOOKUP(LOWER(TRIM(Base_Bruta!L860)),DePara_Cidade!$A$2:$A$29,DePara_Cidade!$B$2:$B$29,"REVISAR"))</f>
        <v>Brasília</v>
      </c>
      <c r="N860" s="4" t="str">
        <f aca="false">IF($A860="","",UPPER(TRIM(Base_Bruta!M860)))</f>
        <v>DF</v>
      </c>
      <c r="O860" s="4" t="str">
        <f aca="false">IF($A860="","",_xlfn.XLOOKUP(LOWER(TRIM(Base_Bruta!N860)),DePara_Pais!$A$2:$A$9,DePara_Pais!$B$2:$B$9,"REVISAR"))</f>
        <v>Brasil</v>
      </c>
      <c r="P860" s="4" t="str">
        <f aca="false">IF($A860="","",IF(O860&lt;&gt;"Brasil","Turista Internacional",IF(M860=F860,"Local","Turista Nacional")))</f>
        <v>Turista Nacional</v>
      </c>
      <c r="Q860" s="7" t="n">
        <f aca="false">IF($A860="","",DATE(YEAR(B860),MONTH(B860),1))</f>
        <v>45717</v>
      </c>
      <c r="R860" s="4" t="str">
        <f aca="false">IF($A860="","",IF(COUNTIF($A$2:$A860,$A860)&gt;1,"Sim","Não"))</f>
        <v>Não</v>
      </c>
      <c r="S860" s="4" t="str">
        <f aca="false">IF(A860="","Descartar - Linha vazia",IF(R860="Sim","Descartar - Duplicado",IF(OR(H860&lt;=0,I860&lt;=0),"Descartar - Qtd/Valor inválido","OK")))</f>
        <v>OK</v>
      </c>
      <c r="T860" s="4" t="str">
        <f aca="false">Base_Bruta!P860</f>
        <v>vendas_RJ.xlsx</v>
      </c>
    </row>
    <row r="861" customFormat="false" ht="15" hidden="false" customHeight="false" outlineLevel="0" collapsed="false">
      <c r="A861" s="4" t="str">
        <f aca="false">IF(Base_Bruta!A861="","",Base_Bruta!A861)</f>
        <v>RJ-000314</v>
      </c>
      <c r="B861" s="5" t="n">
        <f aca="false">IF($A861="","",IF(ISNUMBER(Base_Bruta!B861),Base_Bruta!B861,IF(MID(Base_Bruta!B861,5,1)="-",DATE(VALUE(LEFT(Base_Bruta!B861,4)),VALUE(MID(Base_Bruta!B861,6,2)),VALUE(RIGHT(Base_Bruta!B861,2))),DATE(VALUE(RIGHT(Base_Bruta!B861,4)),VALUE(MID(Base_Bruta!B861,4,2)),VALUE(LEFT(Base_Bruta!B861,2))))))</f>
        <v>45717</v>
      </c>
      <c r="C861" s="5" t="n">
        <f aca="false">IF($A861="","",IF(ISNUMBER(Base_Bruta!C861),Base_Bruta!C861,IF(MID(Base_Bruta!C861,5,1)="-",DATE(VALUE(LEFT(Base_Bruta!C861,4)),VALUE(MID(Base_Bruta!C861,6,2)),VALUE(RIGHT(Base_Bruta!C861,2))),DATE(VALUE(RIGHT(Base_Bruta!C861,4)),VALUE(MID(Base_Bruta!C861,4,2)),VALUE(LEFT(Base_Bruta!C861,2))))))</f>
        <v>45822</v>
      </c>
      <c r="D861" s="4" t="str">
        <f aca="false">IF($A861="","",TRIM(Base_Bruta!D861))</f>
        <v>Show Nacional MPB - Rio</v>
      </c>
      <c r="E861" s="4" t="str">
        <f aca="false">IF($A861="","",_xlfn.XLOOKUP(LOWER(TRIM(Base_Bruta!E861)),DePara_Categoria!$A$2:$A$9,DePara_Categoria!$B$2:$B$9,"REVISAR"))</f>
        <v>Show</v>
      </c>
      <c r="F861" s="4" t="str">
        <f aca="false">IF($A861="","",_xlfn.XLOOKUP(LOWER(TRIM(Base_Bruta!F861)),DePara_Cidade!$A$2:$A$29,DePara_Cidade!$B$2:$B$29,"REVISAR"))</f>
        <v>Rio de Janeiro</v>
      </c>
      <c r="G861" s="4" t="str">
        <f aca="false">IF($A861="","",TRIM(Base_Bruta!G861))</f>
        <v>Inteira</v>
      </c>
      <c r="H861" s="4" t="n">
        <f aca="false">IF($A861="","",IF(ISNUMBER(Base_Bruta!H861),Base_Bruta!H861,IFERROR(_xlfn.NUMBERVALUE(TRIM(SUBSTITUTE(Base_Bruta!H861,"R$","")),",","."),0)))</f>
        <v>1</v>
      </c>
      <c r="I861" s="6" t="n">
        <f aca="false">IF($A861="","",IF(ISNUMBER(Base_Bruta!I861),Base_Bruta!I861,IFERROR(_xlfn.NUMBERVALUE(TRIM(SUBSTITUTE(Base_Bruta!I861,"R$","")),",","."),0)))</f>
        <v>275</v>
      </c>
      <c r="J861" s="6" t="n">
        <f aca="false">IF($A861="","",H861*I861)</f>
        <v>275</v>
      </c>
      <c r="K861" s="4" t="str">
        <f aca="false">IF($A861="","",TRIM(Base_Bruta!J861))</f>
        <v>Site</v>
      </c>
      <c r="L861" s="4" t="str">
        <f aca="false">IF($A861="","",TRIM(Base_Bruta!K861))</f>
        <v>C01872</v>
      </c>
      <c r="M861" s="4" t="str">
        <f aca="false">IF($A861="","",_xlfn.XLOOKUP(LOWER(TRIM(Base_Bruta!L861)),DePara_Cidade!$A$2:$A$29,DePara_Cidade!$B$2:$B$29,"REVISAR"))</f>
        <v>Rio de Janeiro</v>
      </c>
      <c r="N861" s="4" t="str">
        <f aca="false">IF($A861="","",UPPER(TRIM(Base_Bruta!M861)))</f>
        <v>RJ</v>
      </c>
      <c r="O861" s="4" t="str">
        <f aca="false">IF($A861="","",_xlfn.XLOOKUP(LOWER(TRIM(Base_Bruta!N861)),DePara_Pais!$A$2:$A$9,DePara_Pais!$B$2:$B$9,"REVISAR"))</f>
        <v>Brasil</v>
      </c>
      <c r="P861" s="4" t="str">
        <f aca="false">IF($A861="","",IF(O861&lt;&gt;"Brasil","Turista Internacional",IF(M861=F861,"Local","Turista Nacional")))</f>
        <v>Local</v>
      </c>
      <c r="Q861" s="7" t="n">
        <f aca="false">IF($A861="","",DATE(YEAR(B861),MONTH(B861),1))</f>
        <v>45717</v>
      </c>
      <c r="R861" s="4" t="str">
        <f aca="false">IF($A861="","",IF(COUNTIF($A$2:$A861,$A861)&gt;1,"Sim","Não"))</f>
        <v>Não</v>
      </c>
      <c r="S861" s="4" t="str">
        <f aca="false">IF(A861="","Descartar - Linha vazia",IF(R861="Sim","Descartar - Duplicado",IF(OR(H861&lt;=0,I861&lt;=0),"Descartar - Qtd/Valor inválido","OK")))</f>
        <v>OK</v>
      </c>
      <c r="T861" s="4" t="str">
        <f aca="false">Base_Bruta!P861</f>
        <v>vendas_RJ.xlsx</v>
      </c>
    </row>
    <row r="862" customFormat="false" ht="15" hidden="false" customHeight="false" outlineLevel="0" collapsed="false">
      <c r="A862" s="4" t="str">
        <f aca="false">IF(Base_Bruta!A862="","",Base_Bruta!A862)</f>
        <v>RJ-000324</v>
      </c>
      <c r="B862" s="5" t="n">
        <f aca="false">IF($A862="","",IF(ISNUMBER(Base_Bruta!B862),Base_Bruta!B862,IF(MID(Base_Bruta!B862,5,1)="-",DATE(VALUE(LEFT(Base_Bruta!B862,4)),VALUE(MID(Base_Bruta!B862,6,2)),VALUE(RIGHT(Base_Bruta!B862,2))),DATE(VALUE(RIGHT(Base_Bruta!B862,4)),VALUE(MID(Base_Bruta!B862,4,2)),VALUE(LEFT(Base_Bruta!B862,2))))))</f>
        <v>45717</v>
      </c>
      <c r="C862" s="5" t="n">
        <f aca="false">IF($A862="","",IF(ISNUMBER(Base_Bruta!C862),Base_Bruta!C862,IF(MID(Base_Bruta!C862,5,1)="-",DATE(VALUE(LEFT(Base_Bruta!C862,4)),VALUE(MID(Base_Bruta!C862,6,2)),VALUE(RIGHT(Base_Bruta!C862,2))),DATE(VALUE(RIGHT(Base_Bruta!C862,4)),VALUE(MID(Base_Bruta!C862,4,2)),VALUE(LEFT(Base_Bruta!C862,2))))))</f>
        <v>45822</v>
      </c>
      <c r="D862" s="4" t="str">
        <f aca="false">IF($A862="","",TRIM(Base_Bruta!D862))</f>
        <v>Show Nacional MPB - Rio</v>
      </c>
      <c r="E862" s="4" t="str">
        <f aca="false">IF($A862="","",_xlfn.XLOOKUP(LOWER(TRIM(Base_Bruta!E862)),DePara_Categoria!$A$2:$A$9,DePara_Categoria!$B$2:$B$9,"REVISAR"))</f>
        <v>Show</v>
      </c>
      <c r="F862" s="4" t="str">
        <f aca="false">IF($A862="","",_xlfn.XLOOKUP(LOWER(TRIM(Base_Bruta!F862)),DePara_Cidade!$A$2:$A$29,DePara_Cidade!$B$2:$B$29,"REVISAR"))</f>
        <v>Rio de Janeiro</v>
      </c>
      <c r="G862" s="4" t="str">
        <f aca="false">IF($A862="","",TRIM(Base_Bruta!G862))</f>
        <v>Inteira</v>
      </c>
      <c r="H862" s="4" t="n">
        <f aca="false">IF($A862="","",IF(ISNUMBER(Base_Bruta!H862),Base_Bruta!H862,IFERROR(_xlfn.NUMBERVALUE(TRIM(SUBSTITUTE(Base_Bruta!H862,"R$","")),",","."),0)))</f>
        <v>4</v>
      </c>
      <c r="I862" s="6" t="n">
        <f aca="false">IF($A862="","",IF(ISNUMBER(Base_Bruta!I862),Base_Bruta!I862,IFERROR(_xlfn.NUMBERVALUE(TRIM(SUBSTITUTE(Base_Bruta!I862,"R$","")),",","."),0)))</f>
        <v>400</v>
      </c>
      <c r="J862" s="6" t="n">
        <f aca="false">IF($A862="","",H862*I862)</f>
        <v>1600</v>
      </c>
      <c r="K862" s="4" t="str">
        <f aca="false">IF($A862="","",TRIM(Base_Bruta!J862))</f>
        <v>App</v>
      </c>
      <c r="L862" s="4" t="str">
        <f aca="false">IF($A862="","",TRIM(Base_Bruta!K862))</f>
        <v>C02314</v>
      </c>
      <c r="M862" s="4" t="str">
        <f aca="false">IF($A862="","",_xlfn.XLOOKUP(LOWER(TRIM(Base_Bruta!L862)),DePara_Cidade!$A$2:$A$29,DePara_Cidade!$B$2:$B$29,"REVISAR"))</f>
        <v>Rio de Janeiro</v>
      </c>
      <c r="N862" s="4" t="str">
        <f aca="false">IF($A862="","",UPPER(TRIM(Base_Bruta!M862)))</f>
        <v>RJ</v>
      </c>
      <c r="O862" s="4" t="str">
        <f aca="false">IF($A862="","",_xlfn.XLOOKUP(LOWER(TRIM(Base_Bruta!N862)),DePara_Pais!$A$2:$A$9,DePara_Pais!$B$2:$B$9,"REVISAR"))</f>
        <v>Brasil</v>
      </c>
      <c r="P862" s="4" t="str">
        <f aca="false">IF($A862="","",IF(O862&lt;&gt;"Brasil","Turista Internacional",IF(M862=F862,"Local","Turista Nacional")))</f>
        <v>Local</v>
      </c>
      <c r="Q862" s="7" t="n">
        <f aca="false">IF($A862="","",DATE(YEAR(B862),MONTH(B862),1))</f>
        <v>45717</v>
      </c>
      <c r="R862" s="4" t="str">
        <f aca="false">IF($A862="","",IF(COUNTIF($A$2:$A862,$A862)&gt;1,"Sim","Não"))</f>
        <v>Não</v>
      </c>
      <c r="S862" s="4" t="str">
        <f aca="false">IF(A862="","Descartar - Linha vazia",IF(R862="Sim","Descartar - Duplicado",IF(OR(H862&lt;=0,I862&lt;=0),"Descartar - Qtd/Valor inválido","OK")))</f>
        <v>OK</v>
      </c>
      <c r="T862" s="4" t="str">
        <f aca="false">Base_Bruta!P862</f>
        <v>vendas_RJ.xlsx</v>
      </c>
    </row>
    <row r="863" customFormat="false" ht="15" hidden="false" customHeight="false" outlineLevel="0" collapsed="false">
      <c r="A863" s="4" t="str">
        <f aca="false">IF(Base_Bruta!A863="","",Base_Bruta!A863)</f>
        <v>RJ-000336</v>
      </c>
      <c r="B863" s="5" t="n">
        <f aca="false">IF($A863="","",IF(ISNUMBER(Base_Bruta!B863),Base_Bruta!B863,IF(MID(Base_Bruta!B863,5,1)="-",DATE(VALUE(LEFT(Base_Bruta!B863,4)),VALUE(MID(Base_Bruta!B863,6,2)),VALUE(RIGHT(Base_Bruta!B863,2))),DATE(VALUE(RIGHT(Base_Bruta!B863,4)),VALUE(MID(Base_Bruta!B863,4,2)),VALUE(LEFT(Base_Bruta!B863,2))))))</f>
        <v>45717</v>
      </c>
      <c r="C863" s="5" t="n">
        <f aca="false">IF($A863="","",IF(ISNUMBER(Base_Bruta!C863),Base_Bruta!C863,IF(MID(Base_Bruta!C863,5,1)="-",DATE(VALUE(LEFT(Base_Bruta!C863,4)),VALUE(MID(Base_Bruta!C863,6,2)),VALUE(RIGHT(Base_Bruta!C863,2))),DATE(VALUE(RIGHT(Base_Bruta!C863,4)),VALUE(MID(Base_Bruta!C863,4,2)),VALUE(LEFT(Base_Bruta!C863,2))))))</f>
        <v>45822</v>
      </c>
      <c r="D863" s="4" t="str">
        <f aca="false">IF($A863="","",TRIM(Base_Bruta!D863))</f>
        <v>Show Nacional MPB - Rio</v>
      </c>
      <c r="E863" s="4" t="str">
        <f aca="false">IF($A863="","",_xlfn.XLOOKUP(LOWER(TRIM(Base_Bruta!E863)),DePara_Categoria!$A$2:$A$9,DePara_Categoria!$B$2:$B$9,"REVISAR"))</f>
        <v>Show</v>
      </c>
      <c r="F863" s="4" t="str">
        <f aca="false">IF($A863="","",_xlfn.XLOOKUP(LOWER(TRIM(Base_Bruta!F863)),DePara_Cidade!$A$2:$A$29,DePara_Cidade!$B$2:$B$29,"REVISAR"))</f>
        <v>Rio de Janeiro</v>
      </c>
      <c r="G863" s="4" t="str">
        <f aca="false">IF($A863="","",TRIM(Base_Bruta!G863))</f>
        <v>Inteira</v>
      </c>
      <c r="H863" s="4" t="n">
        <f aca="false">IF($A863="","",IF(ISNUMBER(Base_Bruta!H863),Base_Bruta!H863,IFERROR(_xlfn.NUMBERVALUE(TRIM(SUBSTITUTE(Base_Bruta!H863,"R$","")),",","."),0)))</f>
        <v>1</v>
      </c>
      <c r="I863" s="6" t="n">
        <f aca="false">IF($A863="","",IF(ISNUMBER(Base_Bruta!I863),Base_Bruta!I863,IFERROR(_xlfn.NUMBERVALUE(TRIM(SUBSTITUTE(Base_Bruta!I863,"R$","")),",","."),0)))</f>
        <v>365</v>
      </c>
      <c r="J863" s="6" t="n">
        <f aca="false">IF($A863="","",H863*I863)</f>
        <v>365</v>
      </c>
      <c r="K863" s="4" t="str">
        <f aca="false">IF($A863="","",TRIM(Base_Bruta!J863))</f>
        <v>Site</v>
      </c>
      <c r="L863" s="4" t="str">
        <f aca="false">IF($A863="","",TRIM(Base_Bruta!K863))</f>
        <v>C00697</v>
      </c>
      <c r="M863" s="4" t="str">
        <f aca="false">IF($A863="","",_xlfn.XLOOKUP(LOWER(TRIM(Base_Bruta!L863)),DePara_Cidade!$A$2:$A$29,DePara_Cidade!$B$2:$B$29,"REVISAR"))</f>
        <v>Rio de Janeiro</v>
      </c>
      <c r="N863" s="4" t="str">
        <f aca="false">IF($A863="","",UPPER(TRIM(Base_Bruta!M863)))</f>
        <v>RJ</v>
      </c>
      <c r="O863" s="4" t="str">
        <f aca="false">IF($A863="","",_xlfn.XLOOKUP(LOWER(TRIM(Base_Bruta!N863)),DePara_Pais!$A$2:$A$9,DePara_Pais!$B$2:$B$9,"REVISAR"))</f>
        <v>Brasil</v>
      </c>
      <c r="P863" s="4" t="str">
        <f aca="false">IF($A863="","",IF(O863&lt;&gt;"Brasil","Turista Internacional",IF(M863=F863,"Local","Turista Nacional")))</f>
        <v>Local</v>
      </c>
      <c r="Q863" s="7" t="n">
        <f aca="false">IF($A863="","",DATE(YEAR(B863),MONTH(B863),1))</f>
        <v>45717</v>
      </c>
      <c r="R863" s="4" t="str">
        <f aca="false">IF($A863="","",IF(COUNTIF($A$2:$A863,$A863)&gt;1,"Sim","Não"))</f>
        <v>Não</v>
      </c>
      <c r="S863" s="4" t="str">
        <f aca="false">IF(A863="","Descartar - Linha vazia",IF(R863="Sim","Descartar - Duplicado",IF(OR(H863&lt;=0,I863&lt;=0),"Descartar - Qtd/Valor inválido","OK")))</f>
        <v>OK</v>
      </c>
      <c r="T863" s="4" t="str">
        <f aca="false">Base_Bruta!P863</f>
        <v>vendas_RJ.xlsx</v>
      </c>
    </row>
    <row r="864" customFormat="false" ht="15" hidden="false" customHeight="false" outlineLevel="0" collapsed="false">
      <c r="A864" s="4" t="str">
        <f aca="false">IF(Base_Bruta!A864="","",Base_Bruta!A864)</f>
        <v>RJ-000259</v>
      </c>
      <c r="B864" s="5" t="n">
        <f aca="false">IF($A864="","",IF(ISNUMBER(Base_Bruta!B864),Base_Bruta!B864,IF(MID(Base_Bruta!B864,5,1)="-",DATE(VALUE(LEFT(Base_Bruta!B864,4)),VALUE(MID(Base_Bruta!B864,6,2)),VALUE(RIGHT(Base_Bruta!B864,2))),DATE(VALUE(RIGHT(Base_Bruta!B864,4)),VALUE(MID(Base_Bruta!B864,4,2)),VALUE(LEFT(Base_Bruta!B864,2))))))</f>
        <v>45718</v>
      </c>
      <c r="C864" s="5" t="n">
        <f aca="false">IF($A864="","",IF(ISNUMBER(Base_Bruta!C864),Base_Bruta!C864,IF(MID(Base_Bruta!C864,5,1)="-",DATE(VALUE(LEFT(Base_Bruta!C864,4)),VALUE(MID(Base_Bruta!C864,6,2)),VALUE(RIGHT(Base_Bruta!C864,2))),DATE(VALUE(RIGHT(Base_Bruta!C864,4)),VALUE(MID(Base_Bruta!C864,4,2)),VALUE(LEFT(Base_Bruta!C864,2))))))</f>
        <v>45822</v>
      </c>
      <c r="D864" s="4" t="str">
        <f aca="false">IF($A864="","",TRIM(Base_Bruta!D864))</f>
        <v>Show Nacional MPB - Rio</v>
      </c>
      <c r="E864" s="4" t="str">
        <f aca="false">IF($A864="","",_xlfn.XLOOKUP(LOWER(TRIM(Base_Bruta!E864)),DePara_Categoria!$A$2:$A$9,DePara_Categoria!$B$2:$B$9,"REVISAR"))</f>
        <v>Show</v>
      </c>
      <c r="F864" s="4" t="str">
        <f aca="false">IF($A864="","",_xlfn.XLOOKUP(LOWER(TRIM(Base_Bruta!F864)),DePara_Cidade!$A$2:$A$29,DePara_Cidade!$B$2:$B$29,"REVISAR"))</f>
        <v>Rio de Janeiro</v>
      </c>
      <c r="G864" s="4" t="str">
        <f aca="false">IF($A864="","",TRIM(Base_Bruta!G864))</f>
        <v>Inteira</v>
      </c>
      <c r="H864" s="4" t="n">
        <f aca="false">IF($A864="","",IF(ISNUMBER(Base_Bruta!H864),Base_Bruta!H864,IFERROR(_xlfn.NUMBERVALUE(TRIM(SUBSTITUTE(Base_Bruta!H864,"R$","")),",","."),0)))</f>
        <v>1</v>
      </c>
      <c r="I864" s="6" t="n">
        <f aca="false">IF($A864="","",IF(ISNUMBER(Base_Bruta!I864),Base_Bruta!I864,IFERROR(_xlfn.NUMBERVALUE(TRIM(SUBSTITUTE(Base_Bruta!I864,"R$","")),",","."),0)))</f>
        <v>360</v>
      </c>
      <c r="J864" s="6" t="n">
        <f aca="false">IF($A864="","",H864*I864)</f>
        <v>360</v>
      </c>
      <c r="K864" s="4" t="str">
        <f aca="false">IF($A864="","",TRIM(Base_Bruta!J864))</f>
        <v>Site</v>
      </c>
      <c r="L864" s="4" t="str">
        <f aca="false">IF($A864="","",TRIM(Base_Bruta!K864))</f>
        <v>C01203</v>
      </c>
      <c r="M864" s="4" t="str">
        <f aca="false">IF($A864="","",_xlfn.XLOOKUP(LOWER(TRIM(Base_Bruta!L864)),DePara_Cidade!$A$2:$A$29,DePara_Cidade!$B$2:$B$29,"REVISAR"))</f>
        <v>Contagem</v>
      </c>
      <c r="N864" s="4" t="str">
        <f aca="false">IF($A864="","",UPPER(TRIM(Base_Bruta!M864)))</f>
        <v>MG</v>
      </c>
      <c r="O864" s="4" t="str">
        <f aca="false">IF($A864="","",_xlfn.XLOOKUP(LOWER(TRIM(Base_Bruta!N864)),DePara_Pais!$A$2:$A$9,DePara_Pais!$B$2:$B$9,"REVISAR"))</f>
        <v>Brasil</v>
      </c>
      <c r="P864" s="4" t="str">
        <f aca="false">IF($A864="","",IF(O864&lt;&gt;"Brasil","Turista Internacional",IF(M864=F864,"Local","Turista Nacional")))</f>
        <v>Turista Nacional</v>
      </c>
      <c r="Q864" s="7" t="n">
        <f aca="false">IF($A864="","",DATE(YEAR(B864),MONTH(B864),1))</f>
        <v>45717</v>
      </c>
      <c r="R864" s="4" t="str">
        <f aca="false">IF($A864="","",IF(COUNTIF($A$2:$A864,$A864)&gt;1,"Sim","Não"))</f>
        <v>Não</v>
      </c>
      <c r="S864" s="4" t="str">
        <f aca="false">IF(A864="","Descartar - Linha vazia",IF(R864="Sim","Descartar - Duplicado",IF(OR(H864&lt;=0,I864&lt;=0),"Descartar - Qtd/Valor inválido","OK")))</f>
        <v>OK</v>
      </c>
      <c r="T864" s="4" t="str">
        <f aca="false">Base_Bruta!P864</f>
        <v>vendas_RJ.xlsx</v>
      </c>
    </row>
    <row r="865" customFormat="false" ht="15" hidden="false" customHeight="false" outlineLevel="0" collapsed="false">
      <c r="A865" s="4" t="str">
        <f aca="false">IF(Base_Bruta!A865="","",Base_Bruta!A865)</f>
        <v>RJ-000295</v>
      </c>
      <c r="B865" s="5" t="n">
        <f aca="false">IF($A865="","",IF(ISNUMBER(Base_Bruta!B865),Base_Bruta!B865,IF(MID(Base_Bruta!B865,5,1)="-",DATE(VALUE(LEFT(Base_Bruta!B865,4)),VALUE(MID(Base_Bruta!B865,6,2)),VALUE(RIGHT(Base_Bruta!B865,2))),DATE(VALUE(RIGHT(Base_Bruta!B865,4)),VALUE(MID(Base_Bruta!B865,4,2)),VALUE(LEFT(Base_Bruta!B865,2))))))</f>
        <v>45718</v>
      </c>
      <c r="C865" s="5" t="n">
        <f aca="false">IF($A865="","",IF(ISNUMBER(Base_Bruta!C865),Base_Bruta!C865,IF(MID(Base_Bruta!C865,5,1)="-",DATE(VALUE(LEFT(Base_Bruta!C865,4)),VALUE(MID(Base_Bruta!C865,6,2)),VALUE(RIGHT(Base_Bruta!C865,2))),DATE(VALUE(RIGHT(Base_Bruta!C865,4)),VALUE(MID(Base_Bruta!C865,4,2)),VALUE(LEFT(Base_Bruta!C865,2))))))</f>
        <v>45822</v>
      </c>
      <c r="D865" s="4" t="str">
        <f aca="false">IF($A865="","",TRIM(Base_Bruta!D865))</f>
        <v>Show Nacional MPB - Rio</v>
      </c>
      <c r="E865" s="4" t="str">
        <f aca="false">IF($A865="","",_xlfn.XLOOKUP(LOWER(TRIM(Base_Bruta!E865)),DePara_Categoria!$A$2:$A$9,DePara_Categoria!$B$2:$B$9,"REVISAR"))</f>
        <v>Show</v>
      </c>
      <c r="F865" s="4" t="str">
        <f aca="false">IF($A865="","",_xlfn.XLOOKUP(LOWER(TRIM(Base_Bruta!F865)),DePara_Cidade!$A$2:$A$29,DePara_Cidade!$B$2:$B$29,"REVISAR"))</f>
        <v>Rio de Janeiro</v>
      </c>
      <c r="G865" s="4" t="str">
        <f aca="false">IF($A865="","",TRIM(Base_Bruta!G865))</f>
        <v>Inteira</v>
      </c>
      <c r="H865" s="4" t="n">
        <f aca="false">IF($A865="","",IF(ISNUMBER(Base_Bruta!H865),Base_Bruta!H865,IFERROR(_xlfn.NUMBERVALUE(TRIM(SUBSTITUTE(Base_Bruta!H865,"R$","")),",","."),0)))</f>
        <v>2</v>
      </c>
      <c r="I865" s="6" t="n">
        <f aca="false">IF($A865="","",IF(ISNUMBER(Base_Bruta!I865),Base_Bruta!I865,IFERROR(_xlfn.NUMBERVALUE(TRIM(SUBSTITUTE(Base_Bruta!I865,"R$","")),",","."),0)))</f>
        <v>495</v>
      </c>
      <c r="J865" s="6" t="n">
        <f aca="false">IF($A865="","",H865*I865)</f>
        <v>990</v>
      </c>
      <c r="K865" s="4" t="str">
        <f aca="false">IF($A865="","",TRIM(Base_Bruta!J865))</f>
        <v>Site</v>
      </c>
      <c r="L865" s="4" t="str">
        <f aca="false">IF($A865="","",TRIM(Base_Bruta!K865))</f>
        <v>C01179</v>
      </c>
      <c r="M865" s="4" t="str">
        <f aca="false">IF($A865="","",_xlfn.XLOOKUP(LOWER(TRIM(Base_Bruta!L865)),DePara_Cidade!$A$2:$A$29,DePara_Cidade!$B$2:$B$29,"REVISAR"))</f>
        <v>Rio de Janeiro</v>
      </c>
      <c r="N865" s="4" t="str">
        <f aca="false">IF($A865="","",UPPER(TRIM(Base_Bruta!M865)))</f>
        <v>RJ</v>
      </c>
      <c r="O865" s="4" t="str">
        <f aca="false">IF($A865="","",_xlfn.XLOOKUP(LOWER(TRIM(Base_Bruta!N865)),DePara_Pais!$A$2:$A$9,DePara_Pais!$B$2:$B$9,"REVISAR"))</f>
        <v>Brasil</v>
      </c>
      <c r="P865" s="4" t="str">
        <f aca="false">IF($A865="","",IF(O865&lt;&gt;"Brasil","Turista Internacional",IF(M865=F865,"Local","Turista Nacional")))</f>
        <v>Local</v>
      </c>
      <c r="Q865" s="7" t="n">
        <f aca="false">IF($A865="","",DATE(YEAR(B865),MONTH(B865),1))</f>
        <v>45717</v>
      </c>
      <c r="R865" s="4" t="str">
        <f aca="false">IF($A865="","",IF(COUNTIF($A$2:$A865,$A865)&gt;1,"Sim","Não"))</f>
        <v>Não</v>
      </c>
      <c r="S865" s="4" t="str">
        <f aca="false">IF(A865="","Descartar - Linha vazia",IF(R865="Sim","Descartar - Duplicado",IF(OR(H865&lt;=0,I865&lt;=0),"Descartar - Qtd/Valor inválido","OK")))</f>
        <v>OK</v>
      </c>
      <c r="T865" s="4" t="str">
        <f aca="false">Base_Bruta!P865</f>
        <v>vendas_RJ.xlsx</v>
      </c>
    </row>
    <row r="866" customFormat="false" ht="15" hidden="false" customHeight="false" outlineLevel="0" collapsed="false">
      <c r="A866" s="4" t="str">
        <f aca="false">IF(Base_Bruta!A866="","",Base_Bruta!A866)</f>
        <v/>
      </c>
      <c r="B866" s="5" t="str">
        <f aca="false">IF($A866="","",IF(ISNUMBER(Base_Bruta!B866),Base_Bruta!B866,IF(MID(Base_Bruta!B866,5,1)="-",DATE(VALUE(LEFT(Base_Bruta!B866,4)),VALUE(MID(Base_Bruta!B866,6,2)),VALUE(RIGHT(Base_Bruta!B866,2))),DATE(VALUE(RIGHT(Base_Bruta!B866,4)),VALUE(MID(Base_Bruta!B866,4,2)),VALUE(LEFT(Base_Bruta!B866,2))))))</f>
        <v/>
      </c>
      <c r="C866" s="5" t="str">
        <f aca="false">IF($A866="","",IF(ISNUMBER(Base_Bruta!C866),Base_Bruta!C866,IF(MID(Base_Bruta!C866,5,1)="-",DATE(VALUE(LEFT(Base_Bruta!C866,4)),VALUE(MID(Base_Bruta!C866,6,2)),VALUE(RIGHT(Base_Bruta!C866,2))),DATE(VALUE(RIGHT(Base_Bruta!C866,4)),VALUE(MID(Base_Bruta!C866,4,2)),VALUE(LEFT(Base_Bruta!C866,2))))))</f>
        <v/>
      </c>
      <c r="D866" s="4" t="str">
        <f aca="false">IF($A866="","",TRIM(Base_Bruta!D866))</f>
        <v/>
      </c>
      <c r="E866" s="4" t="str">
        <f aca="false">IF($A866="","",_xlfn.XLOOKUP(LOWER(TRIM(Base_Bruta!E866)),DePara_Categoria!$A$2:$A$9,DePara_Categoria!$B$2:$B$9,"REVISAR"))</f>
        <v/>
      </c>
      <c r="F866" s="4" t="str">
        <f aca="false">IF($A866="","",_xlfn.XLOOKUP(LOWER(TRIM(Base_Bruta!F866)),DePara_Cidade!$A$2:$A$29,DePara_Cidade!$B$2:$B$29,"REVISAR"))</f>
        <v/>
      </c>
      <c r="G866" s="4" t="str">
        <f aca="false">IF($A866="","",TRIM(Base_Bruta!G866))</f>
        <v/>
      </c>
      <c r="H866" s="4" t="str">
        <f aca="false">IF($A866="","",IF(ISNUMBER(Base_Bruta!H866),Base_Bruta!H866,IFERROR(_xlfn.NUMBERVALUE(TRIM(SUBSTITUTE(Base_Bruta!H866,"R$","")),",","."),0)))</f>
        <v/>
      </c>
      <c r="I866" s="6" t="str">
        <f aca="false">IF($A866="","",IF(ISNUMBER(Base_Bruta!I866),Base_Bruta!I866,IFERROR(_xlfn.NUMBERVALUE(TRIM(SUBSTITUTE(Base_Bruta!I866,"R$","")),",","."),0)))</f>
        <v/>
      </c>
      <c r="J866" s="6" t="str">
        <f aca="false">IF($A866="","",H866*I866)</f>
        <v/>
      </c>
      <c r="K866" s="4" t="str">
        <f aca="false">IF($A866="","",TRIM(Base_Bruta!J866))</f>
        <v/>
      </c>
      <c r="L866" s="4" t="str">
        <f aca="false">IF($A866="","",TRIM(Base_Bruta!K866))</f>
        <v/>
      </c>
      <c r="M866" s="4" t="str">
        <f aca="false">IF($A866="","",_xlfn.XLOOKUP(LOWER(TRIM(Base_Bruta!L866)),DePara_Cidade!$A$2:$A$29,DePara_Cidade!$B$2:$B$29,"REVISAR"))</f>
        <v/>
      </c>
      <c r="N866" s="4" t="str">
        <f aca="false">IF($A866="","",UPPER(TRIM(Base_Bruta!M866)))</f>
        <v/>
      </c>
      <c r="O866" s="4" t="str">
        <f aca="false">IF($A866="","",_xlfn.XLOOKUP(LOWER(TRIM(Base_Bruta!N866)),DePara_Pais!$A$2:$A$9,DePara_Pais!$B$2:$B$9,"REVISAR"))</f>
        <v/>
      </c>
      <c r="P866" s="4" t="str">
        <f aca="false">IF($A866="","",IF(O866&lt;&gt;"Brasil","Turista Internacional",IF(M866=F866,"Local","Turista Nacional")))</f>
        <v/>
      </c>
      <c r="Q866" s="7" t="str">
        <f aca="false">IF($A866="","",DATE(YEAR(B866),MONTH(B866),1))</f>
        <v/>
      </c>
      <c r="R866" s="4" t="str">
        <f aca="false">IF($A866="","",IF(COUNTIF($A$2:$A866,$A866)&gt;1,"Sim","Não"))</f>
        <v/>
      </c>
      <c r="S866" s="4" t="str">
        <f aca="false">IF(A866="","Descartar - Linha vazia",IF(R866="Sim","Descartar - Duplicado",IF(OR(H866&lt;=0,I866&lt;=0),"Descartar - Qtd/Valor inválido","OK")))</f>
        <v>Descartar - Linha vazia</v>
      </c>
      <c r="T866" s="4" t="str">
        <f aca="false">Base_Bruta!P866</f>
        <v>vendas_RJ.xlsx</v>
      </c>
    </row>
    <row r="867" customFormat="false" ht="15" hidden="false" customHeight="false" outlineLevel="0" collapsed="false">
      <c r="A867" s="4" t="str">
        <f aca="false">IF(Base_Bruta!A867="","",Base_Bruta!A867)</f>
        <v>RJ-000316</v>
      </c>
      <c r="B867" s="5" t="n">
        <f aca="false">IF($A867="","",IF(ISNUMBER(Base_Bruta!B867),Base_Bruta!B867,IF(MID(Base_Bruta!B867,5,1)="-",DATE(VALUE(LEFT(Base_Bruta!B867,4)),VALUE(MID(Base_Bruta!B867,6,2)),VALUE(RIGHT(Base_Bruta!B867,2))),DATE(VALUE(RIGHT(Base_Bruta!B867,4)),VALUE(MID(Base_Bruta!B867,4,2)),VALUE(LEFT(Base_Bruta!B867,2))))))</f>
        <v>45718</v>
      </c>
      <c r="C867" s="5" t="n">
        <f aca="false">IF($A867="","",IF(ISNUMBER(Base_Bruta!C867),Base_Bruta!C867,IF(MID(Base_Bruta!C867,5,1)="-",DATE(VALUE(LEFT(Base_Bruta!C867,4)),VALUE(MID(Base_Bruta!C867,6,2)),VALUE(RIGHT(Base_Bruta!C867,2))),DATE(VALUE(RIGHT(Base_Bruta!C867,4)),VALUE(MID(Base_Bruta!C867,4,2)),VALUE(LEFT(Base_Bruta!C867,2))))))</f>
        <v>45822</v>
      </c>
      <c r="D867" s="4" t="str">
        <f aca="false">IF($A867="","",TRIM(Base_Bruta!D867))</f>
        <v>Show Nacional MPB - Rio</v>
      </c>
      <c r="E867" s="4" t="str">
        <f aca="false">IF($A867="","",_xlfn.XLOOKUP(LOWER(TRIM(Base_Bruta!E867)),DePara_Categoria!$A$2:$A$9,DePara_Categoria!$B$2:$B$9,"REVISAR"))</f>
        <v>Show</v>
      </c>
      <c r="F867" s="4" t="str">
        <f aca="false">IF($A867="","",_xlfn.XLOOKUP(LOWER(TRIM(Base_Bruta!F867)),DePara_Cidade!$A$2:$A$29,DePara_Cidade!$B$2:$B$29,"REVISAR"))</f>
        <v>Rio de Janeiro</v>
      </c>
      <c r="G867" s="4" t="str">
        <f aca="false">IF($A867="","",TRIM(Base_Bruta!G867))</f>
        <v>Meia</v>
      </c>
      <c r="H867" s="4" t="n">
        <f aca="false">IF($A867="","",IF(ISNUMBER(Base_Bruta!H867),Base_Bruta!H867,IFERROR(_xlfn.NUMBERVALUE(TRIM(SUBSTITUTE(Base_Bruta!H867,"R$","")),",","."),0)))</f>
        <v>2</v>
      </c>
      <c r="I867" s="6" t="n">
        <f aca="false">IF($A867="","",IF(ISNUMBER(Base_Bruta!I867),Base_Bruta!I867,IFERROR(_xlfn.NUMBERVALUE(TRIM(SUBSTITUTE(Base_Bruta!I867,"R$","")),",","."),0)))</f>
        <v>382.5</v>
      </c>
      <c r="J867" s="6" t="n">
        <f aca="false">IF($A867="","",H867*I867)</f>
        <v>765</v>
      </c>
      <c r="K867" s="4" t="str">
        <f aca="false">IF($A867="","",TRIM(Base_Bruta!J867))</f>
        <v>Site</v>
      </c>
      <c r="L867" s="4" t="str">
        <f aca="false">IF($A867="","",TRIM(Base_Bruta!K867))</f>
        <v>C00007</v>
      </c>
      <c r="M867" s="4" t="str">
        <f aca="false">IF($A867="","",_xlfn.XLOOKUP(LOWER(TRIM(Base_Bruta!L867)),DePara_Cidade!$A$2:$A$29,DePara_Cidade!$B$2:$B$29,"REVISAR"))</f>
        <v>Santos</v>
      </c>
      <c r="N867" s="4" t="str">
        <f aca="false">IF($A867="","",UPPER(TRIM(Base_Bruta!M867)))</f>
        <v>SP</v>
      </c>
      <c r="O867" s="4" t="str">
        <f aca="false">IF($A867="","",_xlfn.XLOOKUP(LOWER(TRIM(Base_Bruta!N867)),DePara_Pais!$A$2:$A$9,DePara_Pais!$B$2:$B$9,"REVISAR"))</f>
        <v>Brasil</v>
      </c>
      <c r="P867" s="4" t="str">
        <f aca="false">IF($A867="","",IF(O867&lt;&gt;"Brasil","Turista Internacional",IF(M867=F867,"Local","Turista Nacional")))</f>
        <v>Turista Nacional</v>
      </c>
      <c r="Q867" s="7" t="n">
        <f aca="false">IF($A867="","",DATE(YEAR(B867),MONTH(B867),1))</f>
        <v>45717</v>
      </c>
      <c r="R867" s="4" t="str">
        <f aca="false">IF($A867="","",IF(COUNTIF($A$2:$A867,$A867)&gt;1,"Sim","Não"))</f>
        <v>Não</v>
      </c>
      <c r="S867" s="4" t="str">
        <f aca="false">IF(A867="","Descartar - Linha vazia",IF(R867="Sim","Descartar - Duplicado",IF(OR(H867&lt;=0,I867&lt;=0),"Descartar - Qtd/Valor inválido","OK")))</f>
        <v>OK</v>
      </c>
      <c r="T867" s="4" t="str">
        <f aca="false">Base_Bruta!P867</f>
        <v>vendas_RJ.xlsx</v>
      </c>
    </row>
    <row r="868" customFormat="false" ht="15" hidden="false" customHeight="false" outlineLevel="0" collapsed="false">
      <c r="A868" s="4" t="str">
        <f aca="false">IF(Base_Bruta!A868="","",Base_Bruta!A868)</f>
        <v>RJ-000364</v>
      </c>
      <c r="B868" s="5" t="n">
        <f aca="false">IF($A868="","",IF(ISNUMBER(Base_Bruta!B868),Base_Bruta!B868,IF(MID(Base_Bruta!B868,5,1)="-",DATE(VALUE(LEFT(Base_Bruta!B868,4)),VALUE(MID(Base_Bruta!B868,6,2)),VALUE(RIGHT(Base_Bruta!B868,2))),DATE(VALUE(RIGHT(Base_Bruta!B868,4)),VALUE(MID(Base_Bruta!B868,4,2)),VALUE(LEFT(Base_Bruta!B868,2))))))</f>
        <v>45718</v>
      </c>
      <c r="C868" s="5" t="n">
        <f aca="false">IF($A868="","",IF(ISNUMBER(Base_Bruta!C868),Base_Bruta!C868,IF(MID(Base_Bruta!C868,5,1)="-",DATE(VALUE(LEFT(Base_Bruta!C868,4)),VALUE(MID(Base_Bruta!C868,6,2)),VALUE(RIGHT(Base_Bruta!C868,2))),DATE(VALUE(RIGHT(Base_Bruta!C868,4)),VALUE(MID(Base_Bruta!C868,4,2)),VALUE(LEFT(Base_Bruta!C868,2))))))</f>
        <v>45822</v>
      </c>
      <c r="D868" s="4" t="str">
        <f aca="false">IF($A868="","",TRIM(Base_Bruta!D868))</f>
        <v>Show Nacional MPB - Rio</v>
      </c>
      <c r="E868" s="4" t="str">
        <f aca="false">IF($A868="","",_xlfn.XLOOKUP(LOWER(TRIM(Base_Bruta!E868)),DePara_Categoria!$A$2:$A$9,DePara_Categoria!$B$2:$B$9,"REVISAR"))</f>
        <v>Show</v>
      </c>
      <c r="F868" s="4" t="str">
        <f aca="false">IF($A868="","",_xlfn.XLOOKUP(LOWER(TRIM(Base_Bruta!F868)),DePara_Cidade!$A$2:$A$29,DePara_Cidade!$B$2:$B$29,"REVISAR"))</f>
        <v>Rio de Janeiro</v>
      </c>
      <c r="G868" s="4" t="str">
        <f aca="false">IF($A868="","",TRIM(Base_Bruta!G868))</f>
        <v>Inteira</v>
      </c>
      <c r="H868" s="4" t="n">
        <f aca="false">IF($A868="","",IF(ISNUMBER(Base_Bruta!H868),Base_Bruta!H868,IFERROR(_xlfn.NUMBERVALUE(TRIM(SUBSTITUTE(Base_Bruta!H868,"R$","")),",","."),0)))</f>
        <v>2</v>
      </c>
      <c r="I868" s="6" t="n">
        <f aca="false">IF($A868="","",IF(ISNUMBER(Base_Bruta!I868),Base_Bruta!I868,IFERROR(_xlfn.NUMBERVALUE(TRIM(SUBSTITUTE(Base_Bruta!I868,"R$","")),",","."),0)))</f>
        <v>620</v>
      </c>
      <c r="J868" s="6" t="n">
        <f aca="false">IF($A868="","",H868*I868)</f>
        <v>1240</v>
      </c>
      <c r="K868" s="4" t="str">
        <f aca="false">IF($A868="","",TRIM(Base_Bruta!J868))</f>
        <v>Bilheteria</v>
      </c>
      <c r="L868" s="4" t="str">
        <f aca="false">IF($A868="","",TRIM(Base_Bruta!K868))</f>
        <v>C01525</v>
      </c>
      <c r="M868" s="4" t="str">
        <f aca="false">IF($A868="","",_xlfn.XLOOKUP(LOWER(TRIM(Base_Bruta!L868)),DePara_Cidade!$A$2:$A$29,DePara_Cidade!$B$2:$B$29,"REVISAR"))</f>
        <v>Salvador</v>
      </c>
      <c r="N868" s="4" t="str">
        <f aca="false">IF($A868="","",UPPER(TRIM(Base_Bruta!M868)))</f>
        <v>BA</v>
      </c>
      <c r="O868" s="4" t="str">
        <f aca="false">IF($A868="","",_xlfn.XLOOKUP(LOWER(TRIM(Base_Bruta!N868)),DePara_Pais!$A$2:$A$9,DePara_Pais!$B$2:$B$9,"REVISAR"))</f>
        <v>Brasil</v>
      </c>
      <c r="P868" s="4" t="str">
        <f aca="false">IF($A868="","",IF(O868&lt;&gt;"Brasil","Turista Internacional",IF(M868=F868,"Local","Turista Nacional")))</f>
        <v>Turista Nacional</v>
      </c>
      <c r="Q868" s="7" t="n">
        <f aca="false">IF($A868="","",DATE(YEAR(B868),MONTH(B868),1))</f>
        <v>45717</v>
      </c>
      <c r="R868" s="4" t="str">
        <f aca="false">IF($A868="","",IF(COUNTIF($A$2:$A868,$A868)&gt;1,"Sim","Não"))</f>
        <v>Não</v>
      </c>
      <c r="S868" s="4" t="str">
        <f aca="false">IF(A868="","Descartar - Linha vazia",IF(R868="Sim","Descartar - Duplicado",IF(OR(H868&lt;=0,I868&lt;=0),"Descartar - Qtd/Valor inválido","OK")))</f>
        <v>OK</v>
      </c>
      <c r="T868" s="4" t="str">
        <f aca="false">Base_Bruta!P868</f>
        <v>vendas_RJ.xlsx</v>
      </c>
    </row>
    <row r="869" customFormat="false" ht="15" hidden="false" customHeight="false" outlineLevel="0" collapsed="false">
      <c r="A869" s="4" t="str">
        <f aca="false">IF(Base_Bruta!A869="","",Base_Bruta!A869)</f>
        <v>RJ-000375</v>
      </c>
      <c r="B869" s="5" t="n">
        <f aca="false">IF($A869="","",IF(ISNUMBER(Base_Bruta!B869),Base_Bruta!B869,IF(MID(Base_Bruta!B869,5,1)="-",DATE(VALUE(LEFT(Base_Bruta!B869,4)),VALUE(MID(Base_Bruta!B869,6,2)),VALUE(RIGHT(Base_Bruta!B869,2))),DATE(VALUE(RIGHT(Base_Bruta!B869,4)),VALUE(MID(Base_Bruta!B869,4,2)),VALUE(LEFT(Base_Bruta!B869,2))))))</f>
        <v>45718</v>
      </c>
      <c r="C869" s="5" t="n">
        <f aca="false">IF($A869="","",IF(ISNUMBER(Base_Bruta!C869),Base_Bruta!C869,IF(MID(Base_Bruta!C869,5,1)="-",DATE(VALUE(LEFT(Base_Bruta!C869,4)),VALUE(MID(Base_Bruta!C869,6,2)),VALUE(RIGHT(Base_Bruta!C869,2))),DATE(VALUE(RIGHT(Base_Bruta!C869,4)),VALUE(MID(Base_Bruta!C869,4,2)),VALUE(LEFT(Base_Bruta!C869,2))))))</f>
        <v>45822</v>
      </c>
      <c r="D869" s="4" t="str">
        <f aca="false">IF($A869="","",TRIM(Base_Bruta!D869))</f>
        <v>Show Nacional MPB - Rio</v>
      </c>
      <c r="E869" s="4" t="str">
        <f aca="false">IF($A869="","",_xlfn.XLOOKUP(LOWER(TRIM(Base_Bruta!E869)),DePara_Categoria!$A$2:$A$9,DePara_Categoria!$B$2:$B$9,"REVISAR"))</f>
        <v>Show</v>
      </c>
      <c r="F869" s="4" t="str">
        <f aca="false">IF($A869="","",_xlfn.XLOOKUP(LOWER(TRIM(Base_Bruta!F869)),DePara_Cidade!$A$2:$A$29,DePara_Cidade!$B$2:$B$29,"REVISAR"))</f>
        <v>Rio de Janeiro</v>
      </c>
      <c r="G869" s="4" t="str">
        <f aca="false">IF($A869="","",TRIM(Base_Bruta!G869))</f>
        <v>Meia</v>
      </c>
      <c r="H869" s="4" t="n">
        <f aca="false">IF($A869="","",IF(ISNUMBER(Base_Bruta!H869),Base_Bruta!H869,IFERROR(_xlfn.NUMBERVALUE(TRIM(SUBSTITUTE(Base_Bruta!H869,"R$","")),",","."),0)))</f>
        <v>2</v>
      </c>
      <c r="I869" s="6" t="n">
        <f aca="false">IF($A869="","",IF(ISNUMBER(Base_Bruta!I869),Base_Bruta!I869,IFERROR(_xlfn.NUMBERVALUE(TRIM(SUBSTITUTE(Base_Bruta!I869,"R$","")),",","."),0)))</f>
        <v>252.5</v>
      </c>
      <c r="J869" s="6" t="n">
        <f aca="false">IF($A869="","",H869*I869)</f>
        <v>505</v>
      </c>
      <c r="K869" s="4" t="str">
        <f aca="false">IF($A869="","",TRIM(Base_Bruta!J869))</f>
        <v>App</v>
      </c>
      <c r="L869" s="4" t="str">
        <f aca="false">IF($A869="","",TRIM(Base_Bruta!K869))</f>
        <v>C00948</v>
      </c>
      <c r="M869" s="4" t="str">
        <f aca="false">IF($A869="","",_xlfn.XLOOKUP(LOWER(TRIM(Base_Bruta!L869)),DePara_Cidade!$A$2:$A$29,DePara_Cidade!$B$2:$B$29,"REVISAR"))</f>
        <v>Rio de Janeiro</v>
      </c>
      <c r="N869" s="4" t="str">
        <f aca="false">IF($A869="","",UPPER(TRIM(Base_Bruta!M869)))</f>
        <v>RJ</v>
      </c>
      <c r="O869" s="4" t="str">
        <f aca="false">IF($A869="","",_xlfn.XLOOKUP(LOWER(TRIM(Base_Bruta!N869)),DePara_Pais!$A$2:$A$9,DePara_Pais!$B$2:$B$9,"REVISAR"))</f>
        <v>Brasil</v>
      </c>
      <c r="P869" s="4" t="str">
        <f aca="false">IF($A869="","",IF(O869&lt;&gt;"Brasil","Turista Internacional",IF(M869=F869,"Local","Turista Nacional")))</f>
        <v>Local</v>
      </c>
      <c r="Q869" s="7" t="n">
        <f aca="false">IF($A869="","",DATE(YEAR(B869),MONTH(B869),1))</f>
        <v>45717</v>
      </c>
      <c r="R869" s="4" t="str">
        <f aca="false">IF($A869="","",IF(COUNTIF($A$2:$A869,$A869)&gt;1,"Sim","Não"))</f>
        <v>Não</v>
      </c>
      <c r="S869" s="4" t="str">
        <f aca="false">IF(A869="","Descartar - Linha vazia",IF(R869="Sim","Descartar - Duplicado",IF(OR(H869&lt;=0,I869&lt;=0),"Descartar - Qtd/Valor inválido","OK")))</f>
        <v>OK</v>
      </c>
      <c r="T869" s="4" t="str">
        <f aca="false">Base_Bruta!P869</f>
        <v>vendas_RJ.xlsx</v>
      </c>
    </row>
    <row r="870" customFormat="false" ht="15" hidden="false" customHeight="false" outlineLevel="0" collapsed="false">
      <c r="A870" s="4" t="str">
        <f aca="false">IF(Base_Bruta!A870="","",Base_Bruta!A870)</f>
        <v>RJ-000342</v>
      </c>
      <c r="B870" s="5" t="n">
        <f aca="false">IF($A870="","",IF(ISNUMBER(Base_Bruta!B870),Base_Bruta!B870,IF(MID(Base_Bruta!B870,5,1)="-",DATE(VALUE(LEFT(Base_Bruta!B870,4)),VALUE(MID(Base_Bruta!B870,6,2)),VALUE(RIGHT(Base_Bruta!B870,2))),DATE(VALUE(RIGHT(Base_Bruta!B870,4)),VALUE(MID(Base_Bruta!B870,4,2)),VALUE(LEFT(Base_Bruta!B870,2))))))</f>
        <v>45719</v>
      </c>
      <c r="C870" s="5" t="n">
        <f aca="false">IF($A870="","",IF(ISNUMBER(Base_Bruta!C870),Base_Bruta!C870,IF(MID(Base_Bruta!C870,5,1)="-",DATE(VALUE(LEFT(Base_Bruta!C870,4)),VALUE(MID(Base_Bruta!C870,6,2)),VALUE(RIGHT(Base_Bruta!C870,2))),DATE(VALUE(RIGHT(Base_Bruta!C870,4)),VALUE(MID(Base_Bruta!C870,4,2)),VALUE(LEFT(Base_Bruta!C870,2))))))</f>
        <v>45822</v>
      </c>
      <c r="D870" s="4" t="str">
        <f aca="false">IF($A870="","",TRIM(Base_Bruta!D870))</f>
        <v>Show Nacional MPB - Rio</v>
      </c>
      <c r="E870" s="4" t="str">
        <f aca="false">IF($A870="","",_xlfn.XLOOKUP(LOWER(TRIM(Base_Bruta!E870)),DePara_Categoria!$A$2:$A$9,DePara_Categoria!$B$2:$B$9,"REVISAR"))</f>
        <v>Show</v>
      </c>
      <c r="F870" s="4" t="str">
        <f aca="false">IF($A870="","",_xlfn.XLOOKUP(LOWER(TRIM(Base_Bruta!F870)),DePara_Cidade!$A$2:$A$29,DePara_Cidade!$B$2:$B$29,"REVISAR"))</f>
        <v>Rio de Janeiro</v>
      </c>
      <c r="G870" s="4" t="str">
        <f aca="false">IF($A870="","",TRIM(Base_Bruta!G870))</f>
        <v>Meia</v>
      </c>
      <c r="H870" s="4" t="n">
        <f aca="false">IF($A870="","",IF(ISNUMBER(Base_Bruta!H870),Base_Bruta!H870,IFERROR(_xlfn.NUMBERVALUE(TRIM(SUBSTITUTE(Base_Bruta!H870,"R$","")),",","."),0)))</f>
        <v>2</v>
      </c>
      <c r="I870" s="6" t="n">
        <f aca="false">IF($A870="","",IF(ISNUMBER(Base_Bruta!I870),Base_Bruta!I870,IFERROR(_xlfn.NUMBERVALUE(TRIM(SUBSTITUTE(Base_Bruta!I870,"R$","")),",","."),0)))</f>
        <v>220</v>
      </c>
      <c r="J870" s="6" t="n">
        <f aca="false">IF($A870="","",H870*I870)</f>
        <v>440</v>
      </c>
      <c r="K870" s="4" t="str">
        <f aca="false">IF($A870="","",TRIM(Base_Bruta!J870))</f>
        <v>Bilheteria</v>
      </c>
      <c r="L870" s="4" t="str">
        <f aca="false">IF($A870="","",TRIM(Base_Bruta!K870))</f>
        <v>C00105</v>
      </c>
      <c r="M870" s="4" t="str">
        <f aca="false">IF($A870="","",_xlfn.XLOOKUP(LOWER(TRIM(Base_Bruta!L870)),DePara_Cidade!$A$2:$A$29,DePara_Cidade!$B$2:$B$29,"REVISAR"))</f>
        <v>Rio de Janeiro</v>
      </c>
      <c r="N870" s="4" t="str">
        <f aca="false">IF($A870="","",UPPER(TRIM(Base_Bruta!M870)))</f>
        <v>RJ</v>
      </c>
      <c r="O870" s="4" t="str">
        <f aca="false">IF($A870="","",_xlfn.XLOOKUP(LOWER(TRIM(Base_Bruta!N870)),DePara_Pais!$A$2:$A$9,DePara_Pais!$B$2:$B$9,"REVISAR"))</f>
        <v>Brasil</v>
      </c>
      <c r="P870" s="4" t="str">
        <f aca="false">IF($A870="","",IF(O870&lt;&gt;"Brasil","Turista Internacional",IF(M870=F870,"Local","Turista Nacional")))</f>
        <v>Local</v>
      </c>
      <c r="Q870" s="7" t="n">
        <f aca="false">IF($A870="","",DATE(YEAR(B870),MONTH(B870),1))</f>
        <v>45717</v>
      </c>
      <c r="R870" s="4" t="str">
        <f aca="false">IF($A870="","",IF(COUNTIF($A$2:$A870,$A870)&gt;1,"Sim","Não"))</f>
        <v>Não</v>
      </c>
      <c r="S870" s="4" t="str">
        <f aca="false">IF(A870="","Descartar - Linha vazia",IF(R870="Sim","Descartar - Duplicado",IF(OR(H870&lt;=0,I870&lt;=0),"Descartar - Qtd/Valor inválido","OK")))</f>
        <v>OK</v>
      </c>
      <c r="T870" s="4" t="str">
        <f aca="false">Base_Bruta!P870</f>
        <v>vendas_RJ.xlsx</v>
      </c>
    </row>
    <row r="871" customFormat="false" ht="15" hidden="false" customHeight="false" outlineLevel="0" collapsed="false">
      <c r="A871" s="4" t="str">
        <f aca="false">IF(Base_Bruta!A871="","",Base_Bruta!A871)</f>
        <v>RJ-000284</v>
      </c>
      <c r="B871" s="5" t="n">
        <f aca="false">IF($A871="","",IF(ISNUMBER(Base_Bruta!B871),Base_Bruta!B871,IF(MID(Base_Bruta!B871,5,1)="-",DATE(VALUE(LEFT(Base_Bruta!B871,4)),VALUE(MID(Base_Bruta!B871,6,2)),VALUE(RIGHT(Base_Bruta!B871,2))),DATE(VALUE(RIGHT(Base_Bruta!B871,4)),VALUE(MID(Base_Bruta!B871,4,2)),VALUE(LEFT(Base_Bruta!B871,2))))))</f>
        <v>45720</v>
      </c>
      <c r="C871" s="5" t="n">
        <f aca="false">IF($A871="","",IF(ISNUMBER(Base_Bruta!C871),Base_Bruta!C871,IF(MID(Base_Bruta!C871,5,1)="-",DATE(VALUE(LEFT(Base_Bruta!C871,4)),VALUE(MID(Base_Bruta!C871,6,2)),VALUE(RIGHT(Base_Bruta!C871,2))),DATE(VALUE(RIGHT(Base_Bruta!C871,4)),VALUE(MID(Base_Bruta!C871,4,2)),VALUE(LEFT(Base_Bruta!C871,2))))))</f>
        <v>45822</v>
      </c>
      <c r="D871" s="4" t="str">
        <f aca="false">IF($A871="","",TRIM(Base_Bruta!D871))</f>
        <v>Show Nacional MPB - Rio</v>
      </c>
      <c r="E871" s="4" t="str">
        <f aca="false">IF($A871="","",_xlfn.XLOOKUP(LOWER(TRIM(Base_Bruta!E871)),DePara_Categoria!$A$2:$A$9,DePara_Categoria!$B$2:$B$9,"REVISAR"))</f>
        <v>Show</v>
      </c>
      <c r="F871" s="4" t="str">
        <f aca="false">IF($A871="","",_xlfn.XLOOKUP(LOWER(TRIM(Base_Bruta!F871)),DePara_Cidade!$A$2:$A$29,DePara_Cidade!$B$2:$B$29,"REVISAR"))</f>
        <v>Rio de Janeiro</v>
      </c>
      <c r="G871" s="4" t="str">
        <f aca="false">IF($A871="","",TRIM(Base_Bruta!G871))</f>
        <v>Meia</v>
      </c>
      <c r="H871" s="4" t="n">
        <f aca="false">IF($A871="","",IF(ISNUMBER(Base_Bruta!H871),Base_Bruta!H871,IFERROR(_xlfn.NUMBERVALUE(TRIM(SUBSTITUTE(Base_Bruta!H871,"R$","")),",","."),0)))</f>
        <v>2</v>
      </c>
      <c r="I871" s="6" t="n">
        <f aca="false">IF($A871="","",IF(ISNUMBER(Base_Bruta!I871),Base_Bruta!I871,IFERROR(_xlfn.NUMBERVALUE(TRIM(SUBSTITUTE(Base_Bruta!I871,"R$","")),",","."),0)))</f>
        <v>252.5</v>
      </c>
      <c r="J871" s="6" t="n">
        <f aca="false">IF($A871="","",H871*I871)</f>
        <v>505</v>
      </c>
      <c r="K871" s="4" t="str">
        <f aca="false">IF($A871="","",TRIM(Base_Bruta!J871))</f>
        <v>Site</v>
      </c>
      <c r="L871" s="4" t="str">
        <f aca="false">IF($A871="","",TRIM(Base_Bruta!K871))</f>
        <v>C01205</v>
      </c>
      <c r="M871" s="4" t="str">
        <f aca="false">IF($A871="","",_xlfn.XLOOKUP(LOWER(TRIM(Base_Bruta!L871)),DePara_Cidade!$A$2:$A$29,DePara_Cidade!$B$2:$B$29,"REVISAR"))</f>
        <v>São Paulo</v>
      </c>
      <c r="N871" s="4" t="str">
        <f aca="false">IF($A871="","",UPPER(TRIM(Base_Bruta!M871)))</f>
        <v>SP</v>
      </c>
      <c r="O871" s="4" t="str">
        <f aca="false">IF($A871="","",_xlfn.XLOOKUP(LOWER(TRIM(Base_Bruta!N871)),DePara_Pais!$A$2:$A$9,DePara_Pais!$B$2:$B$9,"REVISAR"))</f>
        <v>Brasil</v>
      </c>
      <c r="P871" s="4" t="str">
        <f aca="false">IF($A871="","",IF(O871&lt;&gt;"Brasil","Turista Internacional",IF(M871=F871,"Local","Turista Nacional")))</f>
        <v>Turista Nacional</v>
      </c>
      <c r="Q871" s="7" t="n">
        <f aca="false">IF($A871="","",DATE(YEAR(B871),MONTH(B871),1))</f>
        <v>45717</v>
      </c>
      <c r="R871" s="4" t="str">
        <f aca="false">IF($A871="","",IF(COUNTIF($A$2:$A871,$A871)&gt;1,"Sim","Não"))</f>
        <v>Não</v>
      </c>
      <c r="S871" s="4" t="str">
        <f aca="false">IF(A871="","Descartar - Linha vazia",IF(R871="Sim","Descartar - Duplicado",IF(OR(H871&lt;=0,I871&lt;=0),"Descartar - Qtd/Valor inválido","OK")))</f>
        <v>OK</v>
      </c>
      <c r="T871" s="4" t="str">
        <f aca="false">Base_Bruta!P871</f>
        <v>vendas_RJ.xlsx</v>
      </c>
    </row>
    <row r="872" customFormat="false" ht="15" hidden="false" customHeight="false" outlineLevel="0" collapsed="false">
      <c r="A872" s="4" t="str">
        <f aca="false">IF(Base_Bruta!A872="","",Base_Bruta!A872)</f>
        <v>RJ-000293</v>
      </c>
      <c r="B872" s="5" t="n">
        <f aca="false">IF($A872="","",IF(ISNUMBER(Base_Bruta!B872),Base_Bruta!B872,IF(MID(Base_Bruta!B872,5,1)="-",DATE(VALUE(LEFT(Base_Bruta!B872,4)),VALUE(MID(Base_Bruta!B872,6,2)),VALUE(RIGHT(Base_Bruta!B872,2))),DATE(VALUE(RIGHT(Base_Bruta!B872,4)),VALUE(MID(Base_Bruta!B872,4,2)),VALUE(LEFT(Base_Bruta!B872,2))))))</f>
        <v>45720</v>
      </c>
      <c r="C872" s="5" t="n">
        <f aca="false">IF($A872="","",IF(ISNUMBER(Base_Bruta!C872),Base_Bruta!C872,IF(MID(Base_Bruta!C872,5,1)="-",DATE(VALUE(LEFT(Base_Bruta!C872,4)),VALUE(MID(Base_Bruta!C872,6,2)),VALUE(RIGHT(Base_Bruta!C872,2))),DATE(VALUE(RIGHT(Base_Bruta!C872,4)),VALUE(MID(Base_Bruta!C872,4,2)),VALUE(LEFT(Base_Bruta!C872,2))))))</f>
        <v>45822</v>
      </c>
      <c r="D872" s="4" t="str">
        <f aca="false">IF($A872="","",TRIM(Base_Bruta!D872))</f>
        <v>Show Nacional MPB - Rio</v>
      </c>
      <c r="E872" s="4" t="str">
        <f aca="false">IF($A872="","",_xlfn.XLOOKUP(LOWER(TRIM(Base_Bruta!E872)),DePara_Categoria!$A$2:$A$9,DePara_Categoria!$B$2:$B$9,"REVISAR"))</f>
        <v>Show</v>
      </c>
      <c r="F872" s="4" t="str">
        <f aca="false">IF($A872="","",_xlfn.XLOOKUP(LOWER(TRIM(Base_Bruta!F872)),DePara_Cidade!$A$2:$A$29,DePara_Cidade!$B$2:$B$29,"REVISAR"))</f>
        <v>Rio de Janeiro</v>
      </c>
      <c r="G872" s="4" t="str">
        <f aca="false">IF($A872="","",TRIM(Base_Bruta!G872))</f>
        <v>Meia</v>
      </c>
      <c r="H872" s="4" t="n">
        <f aca="false">IF($A872="","",IF(ISNUMBER(Base_Bruta!H872),Base_Bruta!H872,IFERROR(_xlfn.NUMBERVALUE(TRIM(SUBSTITUTE(Base_Bruta!H872,"R$","")),",","."),0)))</f>
        <v>4</v>
      </c>
      <c r="I872" s="6" t="n">
        <f aca="false">IF($A872="","",IF(ISNUMBER(Base_Bruta!I872),Base_Bruta!I872,IFERROR(_xlfn.NUMBERVALUE(TRIM(SUBSTITUTE(Base_Bruta!I872,"R$","")),",","."),0)))</f>
        <v>335</v>
      </c>
      <c r="J872" s="6" t="n">
        <f aca="false">IF($A872="","",H872*I872)</f>
        <v>1340</v>
      </c>
      <c r="K872" s="4" t="str">
        <f aca="false">IF($A872="","",TRIM(Base_Bruta!J872))</f>
        <v>App</v>
      </c>
      <c r="L872" s="4" t="str">
        <f aca="false">IF($A872="","",TRIM(Base_Bruta!K872))</f>
        <v>C01099</v>
      </c>
      <c r="M872" s="4" t="str">
        <f aca="false">IF($A872="","",_xlfn.XLOOKUP(LOWER(TRIM(Base_Bruta!L872)),DePara_Cidade!$A$2:$A$29,DePara_Cidade!$B$2:$B$29,"REVISAR"))</f>
        <v>Rio de Janeiro</v>
      </c>
      <c r="N872" s="4" t="str">
        <f aca="false">IF($A872="","",UPPER(TRIM(Base_Bruta!M872)))</f>
        <v>RJ</v>
      </c>
      <c r="O872" s="4" t="str">
        <f aca="false">IF($A872="","",_xlfn.XLOOKUP(LOWER(TRIM(Base_Bruta!N872)),DePara_Pais!$A$2:$A$9,DePara_Pais!$B$2:$B$9,"REVISAR"))</f>
        <v>Brasil</v>
      </c>
      <c r="P872" s="4" t="str">
        <f aca="false">IF($A872="","",IF(O872&lt;&gt;"Brasil","Turista Internacional",IF(M872=F872,"Local","Turista Nacional")))</f>
        <v>Local</v>
      </c>
      <c r="Q872" s="7" t="n">
        <f aca="false">IF($A872="","",DATE(YEAR(B872),MONTH(B872),1))</f>
        <v>45717</v>
      </c>
      <c r="R872" s="4" t="str">
        <f aca="false">IF($A872="","",IF(COUNTIF($A$2:$A872,$A872)&gt;1,"Sim","Não"))</f>
        <v>Não</v>
      </c>
      <c r="S872" s="4" t="str">
        <f aca="false">IF(A872="","Descartar - Linha vazia",IF(R872="Sim","Descartar - Duplicado",IF(OR(H872&lt;=0,I872&lt;=0),"Descartar - Qtd/Valor inválido","OK")))</f>
        <v>OK</v>
      </c>
      <c r="T872" s="4" t="str">
        <f aca="false">Base_Bruta!P872</f>
        <v>vendas_RJ.xlsx</v>
      </c>
    </row>
    <row r="873" customFormat="false" ht="15" hidden="false" customHeight="false" outlineLevel="0" collapsed="false">
      <c r="A873" s="4" t="str">
        <f aca="false">IF(Base_Bruta!A873="","",Base_Bruta!A873)</f>
        <v>RJ-000260</v>
      </c>
      <c r="B873" s="5" t="n">
        <f aca="false">IF($A873="","",IF(ISNUMBER(Base_Bruta!B873),Base_Bruta!B873,IF(MID(Base_Bruta!B873,5,1)="-",DATE(VALUE(LEFT(Base_Bruta!B873,4)),VALUE(MID(Base_Bruta!B873,6,2)),VALUE(RIGHT(Base_Bruta!B873,2))),DATE(VALUE(RIGHT(Base_Bruta!B873,4)),VALUE(MID(Base_Bruta!B873,4,2)),VALUE(LEFT(Base_Bruta!B873,2))))))</f>
        <v>45721</v>
      </c>
      <c r="C873" s="5" t="n">
        <f aca="false">IF($A873="","",IF(ISNUMBER(Base_Bruta!C873),Base_Bruta!C873,IF(MID(Base_Bruta!C873,5,1)="-",DATE(VALUE(LEFT(Base_Bruta!C873,4)),VALUE(MID(Base_Bruta!C873,6,2)),VALUE(RIGHT(Base_Bruta!C873,2))),DATE(VALUE(RIGHT(Base_Bruta!C873,4)),VALUE(MID(Base_Bruta!C873,4,2)),VALUE(LEFT(Base_Bruta!C873,2))))))</f>
        <v>45822</v>
      </c>
      <c r="D873" s="4" t="str">
        <f aca="false">IF($A873="","",TRIM(Base_Bruta!D873))</f>
        <v>Show Nacional MPB - Rio</v>
      </c>
      <c r="E873" s="4" t="str">
        <f aca="false">IF($A873="","",_xlfn.XLOOKUP(LOWER(TRIM(Base_Bruta!E873)),DePara_Categoria!$A$2:$A$9,DePara_Categoria!$B$2:$B$9,"REVISAR"))</f>
        <v>Show</v>
      </c>
      <c r="F873" s="4" t="str">
        <f aca="false">IF($A873="","",_xlfn.XLOOKUP(LOWER(TRIM(Base_Bruta!F873)),DePara_Cidade!$A$2:$A$29,DePara_Cidade!$B$2:$B$29,"REVISAR"))</f>
        <v>Rio de Janeiro</v>
      </c>
      <c r="G873" s="4" t="str">
        <f aca="false">IF($A873="","",TRIM(Base_Bruta!G873))</f>
        <v>VIP</v>
      </c>
      <c r="H873" s="4" t="n">
        <f aca="false">IF($A873="","",IF(ISNUMBER(Base_Bruta!H873),Base_Bruta!H873,IFERROR(_xlfn.NUMBERVALUE(TRIM(SUBSTITUTE(Base_Bruta!H873,"R$","")),",","."),0)))</f>
        <v>2</v>
      </c>
      <c r="I873" s="6" t="n">
        <f aca="false">IF($A873="","",IF(ISNUMBER(Base_Bruta!I873),Base_Bruta!I873,IFERROR(_xlfn.NUMBERVALUE(TRIM(SUBSTITUTE(Base_Bruta!I873,"R$","")),",","."),0)))</f>
        <v>1450</v>
      </c>
      <c r="J873" s="6" t="n">
        <f aca="false">IF($A873="","",H873*I873)</f>
        <v>2900</v>
      </c>
      <c r="K873" s="4" t="str">
        <f aca="false">IF($A873="","",TRIM(Base_Bruta!J873))</f>
        <v>Site</v>
      </c>
      <c r="L873" s="4" t="str">
        <f aca="false">IF($A873="","",TRIM(Base_Bruta!K873))</f>
        <v>C00973</v>
      </c>
      <c r="M873" s="4" t="str">
        <f aca="false">IF($A873="","",_xlfn.XLOOKUP(LOWER(TRIM(Base_Bruta!L873)),DePara_Cidade!$A$2:$A$29,DePara_Cidade!$B$2:$B$29,"REVISAR"))</f>
        <v>Niterói</v>
      </c>
      <c r="N873" s="4" t="str">
        <f aca="false">IF($A873="","",UPPER(TRIM(Base_Bruta!M873)))</f>
        <v>RJ</v>
      </c>
      <c r="O873" s="4" t="str">
        <f aca="false">IF($A873="","",_xlfn.XLOOKUP(LOWER(TRIM(Base_Bruta!N873)),DePara_Pais!$A$2:$A$9,DePara_Pais!$B$2:$B$9,"REVISAR"))</f>
        <v>Brasil</v>
      </c>
      <c r="P873" s="4" t="str">
        <f aca="false">IF($A873="","",IF(O873&lt;&gt;"Brasil","Turista Internacional",IF(M873=F873,"Local","Turista Nacional")))</f>
        <v>Turista Nacional</v>
      </c>
      <c r="Q873" s="7" t="n">
        <f aca="false">IF($A873="","",DATE(YEAR(B873),MONTH(B873),1))</f>
        <v>45717</v>
      </c>
      <c r="R873" s="4" t="str">
        <f aca="false">IF($A873="","",IF(COUNTIF($A$2:$A873,$A873)&gt;1,"Sim","Não"))</f>
        <v>Não</v>
      </c>
      <c r="S873" s="4" t="str">
        <f aca="false">IF(A873="","Descartar - Linha vazia",IF(R873="Sim","Descartar - Duplicado",IF(OR(H873&lt;=0,I873&lt;=0),"Descartar - Qtd/Valor inválido","OK")))</f>
        <v>OK</v>
      </c>
      <c r="T873" s="4" t="str">
        <f aca="false">Base_Bruta!P873</f>
        <v>vendas_RJ.xlsx</v>
      </c>
    </row>
    <row r="874" customFormat="false" ht="15" hidden="false" customHeight="false" outlineLevel="0" collapsed="false">
      <c r="A874" s="4" t="str">
        <f aca="false">IF(Base_Bruta!A874="","",Base_Bruta!A874)</f>
        <v>RJ-000272</v>
      </c>
      <c r="B874" s="5" t="n">
        <f aca="false">IF($A874="","",IF(ISNUMBER(Base_Bruta!B874),Base_Bruta!B874,IF(MID(Base_Bruta!B874,5,1)="-",DATE(VALUE(LEFT(Base_Bruta!B874,4)),VALUE(MID(Base_Bruta!B874,6,2)),VALUE(RIGHT(Base_Bruta!B874,2))),DATE(VALUE(RIGHT(Base_Bruta!B874,4)),VALUE(MID(Base_Bruta!B874,4,2)),VALUE(LEFT(Base_Bruta!B874,2))))))</f>
        <v>45721</v>
      </c>
      <c r="C874" s="5" t="n">
        <f aca="false">IF($A874="","",IF(ISNUMBER(Base_Bruta!C874),Base_Bruta!C874,IF(MID(Base_Bruta!C874,5,1)="-",DATE(VALUE(LEFT(Base_Bruta!C874,4)),VALUE(MID(Base_Bruta!C874,6,2)),VALUE(RIGHT(Base_Bruta!C874,2))),DATE(VALUE(RIGHT(Base_Bruta!C874,4)),VALUE(MID(Base_Bruta!C874,4,2)),VALUE(LEFT(Base_Bruta!C874,2))))))</f>
        <v>45822</v>
      </c>
      <c r="D874" s="4" t="str">
        <f aca="false">IF($A874="","",TRIM(Base_Bruta!D874))</f>
        <v>Show Nacional MPB - Rio</v>
      </c>
      <c r="E874" s="4" t="str">
        <f aca="false">IF($A874="","",_xlfn.XLOOKUP(LOWER(TRIM(Base_Bruta!E874)),DePara_Categoria!$A$2:$A$9,DePara_Categoria!$B$2:$B$9,"REVISAR"))</f>
        <v>Show</v>
      </c>
      <c r="F874" s="4" t="str">
        <f aca="false">IF($A874="","",_xlfn.XLOOKUP(LOWER(TRIM(Base_Bruta!F874)),DePara_Cidade!$A$2:$A$29,DePara_Cidade!$B$2:$B$29,"REVISAR"))</f>
        <v>Rio de Janeiro</v>
      </c>
      <c r="G874" s="4" t="str">
        <f aca="false">IF($A874="","",TRIM(Base_Bruta!G874))</f>
        <v>Inteira</v>
      </c>
      <c r="H874" s="4" t="n">
        <f aca="false">IF($A874="","",IF(ISNUMBER(Base_Bruta!H874),Base_Bruta!H874,IFERROR(_xlfn.NUMBERVALUE(TRIM(SUBSTITUTE(Base_Bruta!H874,"R$","")),",","."),0)))</f>
        <v>1</v>
      </c>
      <c r="I874" s="6" t="n">
        <f aca="false">IF($A874="","",IF(ISNUMBER(Base_Bruta!I874),Base_Bruta!I874,IFERROR(_xlfn.NUMBERVALUE(TRIM(SUBSTITUTE(Base_Bruta!I874,"R$","")),",","."),0)))</f>
        <v>710</v>
      </c>
      <c r="J874" s="6" t="n">
        <f aca="false">IF($A874="","",H874*I874)</f>
        <v>710</v>
      </c>
      <c r="K874" s="4" t="str">
        <f aca="false">IF($A874="","",TRIM(Base_Bruta!J874))</f>
        <v>App</v>
      </c>
      <c r="L874" s="4" t="str">
        <f aca="false">IF($A874="","",TRIM(Base_Bruta!K874))</f>
        <v>C01765</v>
      </c>
      <c r="M874" s="4" t="str">
        <f aca="false">IF($A874="","",_xlfn.XLOOKUP(LOWER(TRIM(Base_Bruta!L874)),DePara_Cidade!$A$2:$A$29,DePara_Cidade!$B$2:$B$29,"REVISAR"))</f>
        <v>Niterói</v>
      </c>
      <c r="N874" s="4" t="str">
        <f aca="false">IF($A874="","",UPPER(TRIM(Base_Bruta!M874)))</f>
        <v>RJ</v>
      </c>
      <c r="O874" s="4" t="str">
        <f aca="false">IF($A874="","",_xlfn.XLOOKUP(LOWER(TRIM(Base_Bruta!N874)),DePara_Pais!$A$2:$A$9,DePara_Pais!$B$2:$B$9,"REVISAR"))</f>
        <v>Brasil</v>
      </c>
      <c r="P874" s="4" t="str">
        <f aca="false">IF($A874="","",IF(O874&lt;&gt;"Brasil","Turista Internacional",IF(M874=F874,"Local","Turista Nacional")))</f>
        <v>Turista Nacional</v>
      </c>
      <c r="Q874" s="7" t="n">
        <f aca="false">IF($A874="","",DATE(YEAR(B874),MONTH(B874),1))</f>
        <v>45717</v>
      </c>
      <c r="R874" s="4" t="str">
        <f aca="false">IF($A874="","",IF(COUNTIF($A$2:$A874,$A874)&gt;1,"Sim","Não"))</f>
        <v>Não</v>
      </c>
      <c r="S874" s="4" t="str">
        <f aca="false">IF(A874="","Descartar - Linha vazia",IF(R874="Sim","Descartar - Duplicado",IF(OR(H874&lt;=0,I874&lt;=0),"Descartar - Qtd/Valor inválido","OK")))</f>
        <v>OK</v>
      </c>
      <c r="T874" s="4" t="str">
        <f aca="false">Base_Bruta!P874</f>
        <v>vendas_RJ.xlsx</v>
      </c>
    </row>
    <row r="875" customFormat="false" ht="15" hidden="false" customHeight="false" outlineLevel="0" collapsed="false">
      <c r="A875" s="4" t="str">
        <f aca="false">IF(Base_Bruta!A875="","",Base_Bruta!A875)</f>
        <v>RJ-000236</v>
      </c>
      <c r="B875" s="5" t="n">
        <f aca="false">IF($A875="","",IF(ISNUMBER(Base_Bruta!B875),Base_Bruta!B875,IF(MID(Base_Bruta!B875,5,1)="-",DATE(VALUE(LEFT(Base_Bruta!B875,4)),VALUE(MID(Base_Bruta!B875,6,2)),VALUE(RIGHT(Base_Bruta!B875,2))),DATE(VALUE(RIGHT(Base_Bruta!B875,4)),VALUE(MID(Base_Bruta!B875,4,2)),VALUE(LEFT(Base_Bruta!B875,2))))))</f>
        <v>45722</v>
      </c>
      <c r="C875" s="5" t="n">
        <f aca="false">IF($A875="","",IF(ISNUMBER(Base_Bruta!C875),Base_Bruta!C875,IF(MID(Base_Bruta!C875,5,1)="-",DATE(VALUE(LEFT(Base_Bruta!C875,4)),VALUE(MID(Base_Bruta!C875,6,2)),VALUE(RIGHT(Base_Bruta!C875,2))),DATE(VALUE(RIGHT(Base_Bruta!C875,4)),VALUE(MID(Base_Bruta!C875,4,2)),VALUE(LEFT(Base_Bruta!C875,2))))))</f>
        <v>45822</v>
      </c>
      <c r="D875" s="4" t="str">
        <f aca="false">IF($A875="","",TRIM(Base_Bruta!D875))</f>
        <v>Show Nacional MPB - Rio</v>
      </c>
      <c r="E875" s="4" t="str">
        <f aca="false">IF($A875="","",_xlfn.XLOOKUP(LOWER(TRIM(Base_Bruta!E875)),DePara_Categoria!$A$2:$A$9,DePara_Categoria!$B$2:$B$9,"REVISAR"))</f>
        <v>Show</v>
      </c>
      <c r="F875" s="4" t="str">
        <f aca="false">IF($A875="","",_xlfn.XLOOKUP(LOWER(TRIM(Base_Bruta!F875)),DePara_Cidade!$A$2:$A$29,DePara_Cidade!$B$2:$B$29,"REVISAR"))</f>
        <v>Rio de Janeiro</v>
      </c>
      <c r="G875" s="4" t="str">
        <f aca="false">IF($A875="","",TRIM(Base_Bruta!G875))</f>
        <v>Inteira</v>
      </c>
      <c r="H875" s="4" t="n">
        <f aca="false">IF($A875="","",IF(ISNUMBER(Base_Bruta!H875),Base_Bruta!H875,IFERROR(_xlfn.NUMBERVALUE(TRIM(SUBSTITUTE(Base_Bruta!H875,"R$","")),",","."),0)))</f>
        <v>4</v>
      </c>
      <c r="I875" s="6" t="n">
        <f aca="false">IF($A875="","",IF(ISNUMBER(Base_Bruta!I875),Base_Bruta!I875,IFERROR(_xlfn.NUMBERVALUE(TRIM(SUBSTITUTE(Base_Bruta!I875,"R$","")),",","."),0)))</f>
        <v>665</v>
      </c>
      <c r="J875" s="6" t="n">
        <f aca="false">IF($A875="","",H875*I875)</f>
        <v>2660</v>
      </c>
      <c r="K875" s="4" t="str">
        <f aca="false">IF($A875="","",TRIM(Base_Bruta!J875))</f>
        <v>App</v>
      </c>
      <c r="L875" s="4" t="str">
        <f aca="false">IF($A875="","",TRIM(Base_Bruta!K875))</f>
        <v>C01960</v>
      </c>
      <c r="M875" s="4" t="str">
        <f aca="false">IF($A875="","",_xlfn.XLOOKUP(LOWER(TRIM(Base_Bruta!L875)),DePara_Cidade!$A$2:$A$29,DePara_Cidade!$B$2:$B$29,"REVISAR"))</f>
        <v>Rio de Janeiro</v>
      </c>
      <c r="N875" s="4" t="str">
        <f aca="false">IF($A875="","",UPPER(TRIM(Base_Bruta!M875)))</f>
        <v>RJ</v>
      </c>
      <c r="O875" s="4" t="str">
        <f aca="false">IF($A875="","",_xlfn.XLOOKUP(LOWER(TRIM(Base_Bruta!N875)),DePara_Pais!$A$2:$A$9,DePara_Pais!$B$2:$B$9,"REVISAR"))</f>
        <v>Brasil</v>
      </c>
      <c r="P875" s="4" t="str">
        <f aca="false">IF($A875="","",IF(O875&lt;&gt;"Brasil","Turista Internacional",IF(M875=F875,"Local","Turista Nacional")))</f>
        <v>Local</v>
      </c>
      <c r="Q875" s="7" t="n">
        <f aca="false">IF($A875="","",DATE(YEAR(B875),MONTH(B875),1))</f>
        <v>45717</v>
      </c>
      <c r="R875" s="4" t="str">
        <f aca="false">IF($A875="","",IF(COUNTIF($A$2:$A875,$A875)&gt;1,"Sim","Não"))</f>
        <v>Não</v>
      </c>
      <c r="S875" s="4" t="str">
        <f aca="false">IF(A875="","Descartar - Linha vazia",IF(R875="Sim","Descartar - Duplicado",IF(OR(H875&lt;=0,I875&lt;=0),"Descartar - Qtd/Valor inválido","OK")))</f>
        <v>OK</v>
      </c>
      <c r="T875" s="4" t="str">
        <f aca="false">Base_Bruta!P875</f>
        <v>vendas_RJ.xlsx</v>
      </c>
    </row>
    <row r="876" customFormat="false" ht="15" hidden="false" customHeight="false" outlineLevel="0" collapsed="false">
      <c r="A876" s="4" t="str">
        <f aca="false">IF(Base_Bruta!A876="","",Base_Bruta!A876)</f>
        <v>RJ-000282</v>
      </c>
      <c r="B876" s="5" t="n">
        <f aca="false">IF($A876="","",IF(ISNUMBER(Base_Bruta!B876),Base_Bruta!B876,IF(MID(Base_Bruta!B876,5,1)="-",DATE(VALUE(LEFT(Base_Bruta!B876,4)),VALUE(MID(Base_Bruta!B876,6,2)),VALUE(RIGHT(Base_Bruta!B876,2))),DATE(VALUE(RIGHT(Base_Bruta!B876,4)),VALUE(MID(Base_Bruta!B876,4,2)),VALUE(LEFT(Base_Bruta!B876,2))))))</f>
        <v>45722</v>
      </c>
      <c r="C876" s="5" t="n">
        <f aca="false">IF($A876="","",IF(ISNUMBER(Base_Bruta!C876),Base_Bruta!C876,IF(MID(Base_Bruta!C876,5,1)="-",DATE(VALUE(LEFT(Base_Bruta!C876,4)),VALUE(MID(Base_Bruta!C876,6,2)),VALUE(RIGHT(Base_Bruta!C876,2))),DATE(VALUE(RIGHT(Base_Bruta!C876,4)),VALUE(MID(Base_Bruta!C876,4,2)),VALUE(LEFT(Base_Bruta!C876,2))))))</f>
        <v>45822</v>
      </c>
      <c r="D876" s="4" t="str">
        <f aca="false">IF($A876="","",TRIM(Base_Bruta!D876))</f>
        <v>Show Nacional MPB - Rio</v>
      </c>
      <c r="E876" s="4" t="str">
        <f aca="false">IF($A876="","",_xlfn.XLOOKUP(LOWER(TRIM(Base_Bruta!E876)),DePara_Categoria!$A$2:$A$9,DePara_Categoria!$B$2:$B$9,"REVISAR"))</f>
        <v>Show</v>
      </c>
      <c r="F876" s="4" t="str">
        <f aca="false">IF($A876="","",_xlfn.XLOOKUP(LOWER(TRIM(Base_Bruta!F876)),DePara_Cidade!$A$2:$A$29,DePara_Cidade!$B$2:$B$29,"REVISAR"))</f>
        <v>Rio de Janeiro</v>
      </c>
      <c r="G876" s="4" t="str">
        <f aca="false">IF($A876="","",TRIM(Base_Bruta!G876))</f>
        <v>Inteira</v>
      </c>
      <c r="H876" s="4" t="n">
        <f aca="false">IF($A876="","",IF(ISNUMBER(Base_Bruta!H876),Base_Bruta!H876,IFERROR(_xlfn.NUMBERVALUE(TRIM(SUBSTITUTE(Base_Bruta!H876,"R$","")),",","."),0)))</f>
        <v>2</v>
      </c>
      <c r="I876" s="6" t="n">
        <f aca="false">IF($A876="","",IF(ISNUMBER(Base_Bruta!I876),Base_Bruta!I876,IFERROR(_xlfn.NUMBERVALUE(TRIM(SUBSTITUTE(Base_Bruta!I876,"R$","")),",","."),0)))</f>
        <v>745</v>
      </c>
      <c r="J876" s="6" t="n">
        <f aca="false">IF($A876="","",H876*I876)</f>
        <v>1490</v>
      </c>
      <c r="K876" s="4" t="str">
        <f aca="false">IF($A876="","",TRIM(Base_Bruta!J876))</f>
        <v>Site</v>
      </c>
      <c r="L876" s="4" t="str">
        <f aca="false">IF($A876="","",TRIM(Base_Bruta!K876))</f>
        <v>C00071</v>
      </c>
      <c r="M876" s="4" t="str">
        <f aca="false">IF($A876="","",_xlfn.XLOOKUP(LOWER(TRIM(Base_Bruta!L876)),DePara_Cidade!$A$2:$A$29,DePara_Cidade!$B$2:$B$29,"REVISAR"))</f>
        <v>Rio de Janeiro</v>
      </c>
      <c r="N876" s="4" t="str">
        <f aca="false">IF($A876="","",UPPER(TRIM(Base_Bruta!M876)))</f>
        <v>RJ</v>
      </c>
      <c r="O876" s="4" t="str">
        <f aca="false">IF($A876="","",_xlfn.XLOOKUP(LOWER(TRIM(Base_Bruta!N876)),DePara_Pais!$A$2:$A$9,DePara_Pais!$B$2:$B$9,"REVISAR"))</f>
        <v>Brasil</v>
      </c>
      <c r="P876" s="4" t="str">
        <f aca="false">IF($A876="","",IF(O876&lt;&gt;"Brasil","Turista Internacional",IF(M876=F876,"Local","Turista Nacional")))</f>
        <v>Local</v>
      </c>
      <c r="Q876" s="7" t="n">
        <f aca="false">IF($A876="","",DATE(YEAR(B876),MONTH(B876),1))</f>
        <v>45717</v>
      </c>
      <c r="R876" s="4" t="str">
        <f aca="false">IF($A876="","",IF(COUNTIF($A$2:$A876,$A876)&gt;1,"Sim","Não"))</f>
        <v>Não</v>
      </c>
      <c r="S876" s="4" t="str">
        <f aca="false">IF(A876="","Descartar - Linha vazia",IF(R876="Sim","Descartar - Duplicado",IF(OR(H876&lt;=0,I876&lt;=0),"Descartar - Qtd/Valor inválido","OK")))</f>
        <v>OK</v>
      </c>
      <c r="T876" s="4" t="str">
        <f aca="false">Base_Bruta!P876</f>
        <v>vendas_RJ.xlsx</v>
      </c>
    </row>
    <row r="877" customFormat="false" ht="15" hidden="false" customHeight="false" outlineLevel="0" collapsed="false">
      <c r="A877" s="4" t="str">
        <f aca="false">IF(Base_Bruta!A877="","",Base_Bruta!A877)</f>
        <v>RJ-000309</v>
      </c>
      <c r="B877" s="5" t="n">
        <f aca="false">IF($A877="","",IF(ISNUMBER(Base_Bruta!B877),Base_Bruta!B877,IF(MID(Base_Bruta!B877,5,1)="-",DATE(VALUE(LEFT(Base_Bruta!B877,4)),VALUE(MID(Base_Bruta!B877,6,2)),VALUE(RIGHT(Base_Bruta!B877,2))),DATE(VALUE(RIGHT(Base_Bruta!B877,4)),VALUE(MID(Base_Bruta!B877,4,2)),VALUE(LEFT(Base_Bruta!B877,2))))))</f>
        <v>45722</v>
      </c>
      <c r="C877" s="5" t="n">
        <f aca="false">IF($A877="","",IF(ISNUMBER(Base_Bruta!C877),Base_Bruta!C877,IF(MID(Base_Bruta!C877,5,1)="-",DATE(VALUE(LEFT(Base_Bruta!C877,4)),VALUE(MID(Base_Bruta!C877,6,2)),VALUE(RIGHT(Base_Bruta!C877,2))),DATE(VALUE(RIGHT(Base_Bruta!C877,4)),VALUE(MID(Base_Bruta!C877,4,2)),VALUE(LEFT(Base_Bruta!C877,2))))))</f>
        <v>45822</v>
      </c>
      <c r="D877" s="4" t="str">
        <f aca="false">IF($A877="","",TRIM(Base_Bruta!D877))</f>
        <v>Show Nacional MPB - Rio</v>
      </c>
      <c r="E877" s="4" t="str">
        <f aca="false">IF($A877="","",_xlfn.XLOOKUP(LOWER(TRIM(Base_Bruta!E877)),DePara_Categoria!$A$2:$A$9,DePara_Categoria!$B$2:$B$9,"REVISAR"))</f>
        <v>Show</v>
      </c>
      <c r="F877" s="4" t="str">
        <f aca="false">IF($A877="","",_xlfn.XLOOKUP(LOWER(TRIM(Base_Bruta!F877)),DePara_Cidade!$A$2:$A$29,DePara_Cidade!$B$2:$B$29,"REVISAR"))</f>
        <v>Rio de Janeiro</v>
      </c>
      <c r="G877" s="4" t="str">
        <f aca="false">IF($A877="","",TRIM(Base_Bruta!G877))</f>
        <v>Meia</v>
      </c>
      <c r="H877" s="4" t="n">
        <f aca="false">IF($A877="","",IF(ISNUMBER(Base_Bruta!H877),Base_Bruta!H877,IFERROR(_xlfn.NUMBERVALUE(TRIM(SUBSTITUTE(Base_Bruta!H877,"R$","")),",","."),0)))</f>
        <v>2</v>
      </c>
      <c r="I877" s="6" t="n">
        <f aca="false">IF($A877="","",IF(ISNUMBER(Base_Bruta!I877),Base_Bruta!I877,IFERROR(_xlfn.NUMBERVALUE(TRIM(SUBSTITUTE(Base_Bruta!I877,"R$","")),",","."),0)))</f>
        <v>137.5</v>
      </c>
      <c r="J877" s="6" t="n">
        <f aca="false">IF($A877="","",H877*I877)</f>
        <v>275</v>
      </c>
      <c r="K877" s="4" t="str">
        <f aca="false">IF($A877="","",TRIM(Base_Bruta!J877))</f>
        <v>Site</v>
      </c>
      <c r="L877" s="4" t="str">
        <f aca="false">IF($A877="","",TRIM(Base_Bruta!K877))</f>
        <v>C00548</v>
      </c>
      <c r="M877" s="4" t="str">
        <f aca="false">IF($A877="","",_xlfn.XLOOKUP(LOWER(TRIM(Base_Bruta!L877)),DePara_Cidade!$A$2:$A$29,DePara_Cidade!$B$2:$B$29,"REVISAR"))</f>
        <v>Porto Alegre</v>
      </c>
      <c r="N877" s="4" t="str">
        <f aca="false">IF($A877="","",UPPER(TRIM(Base_Bruta!M877)))</f>
        <v>RS</v>
      </c>
      <c r="O877" s="4" t="str">
        <f aca="false">IF($A877="","",_xlfn.XLOOKUP(LOWER(TRIM(Base_Bruta!N877)),DePara_Pais!$A$2:$A$9,DePara_Pais!$B$2:$B$9,"REVISAR"))</f>
        <v>Brasil</v>
      </c>
      <c r="P877" s="4" t="str">
        <f aca="false">IF($A877="","",IF(O877&lt;&gt;"Brasil","Turista Internacional",IF(M877=F877,"Local","Turista Nacional")))</f>
        <v>Turista Nacional</v>
      </c>
      <c r="Q877" s="7" t="n">
        <f aca="false">IF($A877="","",DATE(YEAR(B877),MONTH(B877),1))</f>
        <v>45717</v>
      </c>
      <c r="R877" s="4" t="str">
        <f aca="false">IF($A877="","",IF(COUNTIF($A$2:$A877,$A877)&gt;1,"Sim","Não"))</f>
        <v>Não</v>
      </c>
      <c r="S877" s="4" t="str">
        <f aca="false">IF(A877="","Descartar - Linha vazia",IF(R877="Sim","Descartar - Duplicado",IF(OR(H877&lt;=0,I877&lt;=0),"Descartar - Qtd/Valor inválido","OK")))</f>
        <v>OK</v>
      </c>
      <c r="T877" s="4" t="str">
        <f aca="false">Base_Bruta!P877</f>
        <v>vendas_RJ.xlsx</v>
      </c>
    </row>
    <row r="878" customFormat="false" ht="15" hidden="false" customHeight="false" outlineLevel="0" collapsed="false">
      <c r="A878" s="4" t="str">
        <f aca="false">IF(Base_Bruta!A878="","",Base_Bruta!A878)</f>
        <v>RJ-000356</v>
      </c>
      <c r="B878" s="5" t="n">
        <f aca="false">IF($A878="","",IF(ISNUMBER(Base_Bruta!B878),Base_Bruta!B878,IF(MID(Base_Bruta!B878,5,1)="-",DATE(VALUE(LEFT(Base_Bruta!B878,4)),VALUE(MID(Base_Bruta!B878,6,2)),VALUE(RIGHT(Base_Bruta!B878,2))),DATE(VALUE(RIGHT(Base_Bruta!B878,4)),VALUE(MID(Base_Bruta!B878,4,2)),VALUE(LEFT(Base_Bruta!B878,2))))))</f>
        <v>45722</v>
      </c>
      <c r="C878" s="5" t="n">
        <f aca="false">IF($A878="","",IF(ISNUMBER(Base_Bruta!C878),Base_Bruta!C878,IF(MID(Base_Bruta!C878,5,1)="-",DATE(VALUE(LEFT(Base_Bruta!C878,4)),VALUE(MID(Base_Bruta!C878,6,2)),VALUE(RIGHT(Base_Bruta!C878,2))),DATE(VALUE(RIGHT(Base_Bruta!C878,4)),VALUE(MID(Base_Bruta!C878,4,2)),VALUE(LEFT(Base_Bruta!C878,2))))))</f>
        <v>45822</v>
      </c>
      <c r="D878" s="4" t="str">
        <f aca="false">IF($A878="","",TRIM(Base_Bruta!D878))</f>
        <v>Show Nacional MPB - Rio</v>
      </c>
      <c r="E878" s="4" t="str">
        <f aca="false">IF($A878="","",_xlfn.XLOOKUP(LOWER(TRIM(Base_Bruta!E878)),DePara_Categoria!$A$2:$A$9,DePara_Categoria!$B$2:$B$9,"REVISAR"))</f>
        <v>Show</v>
      </c>
      <c r="F878" s="4" t="str">
        <f aca="false">IF($A878="","",_xlfn.XLOOKUP(LOWER(TRIM(Base_Bruta!F878)),DePara_Cidade!$A$2:$A$29,DePara_Cidade!$B$2:$B$29,"REVISAR"))</f>
        <v>Rio de Janeiro</v>
      </c>
      <c r="G878" s="4" t="str">
        <f aca="false">IF($A878="","",TRIM(Base_Bruta!G878))</f>
        <v>Meia</v>
      </c>
      <c r="H878" s="4" t="n">
        <f aca="false">IF($A878="","",IF(ISNUMBER(Base_Bruta!H878),Base_Bruta!H878,IFERROR(_xlfn.NUMBERVALUE(TRIM(SUBSTITUTE(Base_Bruta!H878,"R$","")),",","."),0)))</f>
        <v>1</v>
      </c>
      <c r="I878" s="6" t="n">
        <f aca="false">IF($A878="","",IF(ISNUMBER(Base_Bruta!I878),Base_Bruta!I878,IFERROR(_xlfn.NUMBERVALUE(TRIM(SUBSTITUTE(Base_Bruta!I878,"R$","")),",","."),0)))</f>
        <v>292.5</v>
      </c>
      <c r="J878" s="6" t="n">
        <f aca="false">IF($A878="","",H878*I878)</f>
        <v>292.5</v>
      </c>
      <c r="K878" s="4" t="str">
        <f aca="false">IF($A878="","",TRIM(Base_Bruta!J878))</f>
        <v>Bilheteria</v>
      </c>
      <c r="L878" s="4" t="str">
        <f aca="false">IF($A878="","",TRIM(Base_Bruta!K878))</f>
        <v>C02167</v>
      </c>
      <c r="M878" s="4" t="str">
        <f aca="false">IF($A878="","",_xlfn.XLOOKUP(LOWER(TRIM(Base_Bruta!L878)),DePara_Cidade!$A$2:$A$29,DePara_Cidade!$B$2:$B$29,"REVISAR"))</f>
        <v>Niterói</v>
      </c>
      <c r="N878" s="4" t="str">
        <f aca="false">IF($A878="","",UPPER(TRIM(Base_Bruta!M878)))</f>
        <v>RJ</v>
      </c>
      <c r="O878" s="4" t="str">
        <f aca="false">IF($A878="","",_xlfn.XLOOKUP(LOWER(TRIM(Base_Bruta!N878)),DePara_Pais!$A$2:$A$9,DePara_Pais!$B$2:$B$9,"REVISAR"))</f>
        <v>Brasil</v>
      </c>
      <c r="P878" s="4" t="str">
        <f aca="false">IF($A878="","",IF(O878&lt;&gt;"Brasil","Turista Internacional",IF(M878=F878,"Local","Turista Nacional")))</f>
        <v>Turista Nacional</v>
      </c>
      <c r="Q878" s="7" t="n">
        <f aca="false">IF($A878="","",DATE(YEAR(B878),MONTH(B878),1))</f>
        <v>45717</v>
      </c>
      <c r="R878" s="4" t="str">
        <f aca="false">IF($A878="","",IF(COUNTIF($A$2:$A878,$A878)&gt;1,"Sim","Não"))</f>
        <v>Não</v>
      </c>
      <c r="S878" s="4" t="str">
        <f aca="false">IF(A878="","Descartar - Linha vazia",IF(R878="Sim","Descartar - Duplicado",IF(OR(H878&lt;=0,I878&lt;=0),"Descartar - Qtd/Valor inválido","OK")))</f>
        <v>OK</v>
      </c>
      <c r="T878" s="4" t="str">
        <f aca="false">Base_Bruta!P878</f>
        <v>vendas_RJ.xlsx</v>
      </c>
    </row>
    <row r="879" customFormat="false" ht="15" hidden="false" customHeight="false" outlineLevel="0" collapsed="false">
      <c r="A879" s="4" t="str">
        <f aca="false">IF(Base_Bruta!A879="","",Base_Bruta!A879)</f>
        <v>RJ-000349</v>
      </c>
      <c r="B879" s="5" t="n">
        <f aca="false">IF($A879="","",IF(ISNUMBER(Base_Bruta!B879),Base_Bruta!B879,IF(MID(Base_Bruta!B879,5,1)="-",DATE(VALUE(LEFT(Base_Bruta!B879,4)),VALUE(MID(Base_Bruta!B879,6,2)),VALUE(RIGHT(Base_Bruta!B879,2))),DATE(VALUE(RIGHT(Base_Bruta!B879,4)),VALUE(MID(Base_Bruta!B879,4,2)),VALUE(LEFT(Base_Bruta!B879,2))))))</f>
        <v>45728</v>
      </c>
      <c r="C879" s="5" t="n">
        <f aca="false">IF($A879="","",IF(ISNUMBER(Base_Bruta!C879),Base_Bruta!C879,IF(MID(Base_Bruta!C879,5,1)="-",DATE(VALUE(LEFT(Base_Bruta!C879,4)),VALUE(MID(Base_Bruta!C879,6,2)),VALUE(RIGHT(Base_Bruta!C879,2))),DATE(VALUE(RIGHT(Base_Bruta!C879,4)),VALUE(MID(Base_Bruta!C879,4,2)),VALUE(LEFT(Base_Bruta!C879,2))))))</f>
        <v>45822</v>
      </c>
      <c r="D879" s="4" t="str">
        <f aca="false">IF($A879="","",TRIM(Base_Bruta!D879))</f>
        <v>Show Nacional MPB - Rio</v>
      </c>
      <c r="E879" s="4" t="str">
        <f aca="false">IF($A879="","",_xlfn.XLOOKUP(LOWER(TRIM(Base_Bruta!E879)),DePara_Categoria!$A$2:$A$9,DePara_Categoria!$B$2:$B$9,"REVISAR"))</f>
        <v>Show</v>
      </c>
      <c r="F879" s="4" t="str">
        <f aca="false">IF($A879="","",_xlfn.XLOOKUP(LOWER(TRIM(Base_Bruta!F879)),DePara_Cidade!$A$2:$A$29,DePara_Cidade!$B$2:$B$29,"REVISAR"))</f>
        <v>Rio de Janeiro</v>
      </c>
      <c r="G879" s="4" t="str">
        <f aca="false">IF($A879="","",TRIM(Base_Bruta!G879))</f>
        <v>Inteira</v>
      </c>
      <c r="H879" s="4" t="n">
        <f aca="false">IF($A879="","",IF(ISNUMBER(Base_Bruta!H879),Base_Bruta!H879,IFERROR(_xlfn.NUMBERVALUE(TRIM(SUBSTITUTE(Base_Bruta!H879,"R$","")),",","."),0)))</f>
        <v>3</v>
      </c>
      <c r="I879" s="6" t="n">
        <f aca="false">IF($A879="","",IF(ISNUMBER(Base_Bruta!I879),Base_Bruta!I879,IFERROR(_xlfn.NUMBERVALUE(TRIM(SUBSTITUTE(Base_Bruta!I879,"R$","")),",","."),0)))</f>
        <v>365</v>
      </c>
      <c r="J879" s="6" t="n">
        <f aca="false">IF($A879="","",H879*I879)</f>
        <v>1095</v>
      </c>
      <c r="K879" s="4" t="str">
        <f aca="false">IF($A879="","",TRIM(Base_Bruta!J879))</f>
        <v>Site</v>
      </c>
      <c r="L879" s="4" t="str">
        <f aca="false">IF($A879="","",TRIM(Base_Bruta!K879))</f>
        <v>C00764</v>
      </c>
      <c r="M879" s="4" t="str">
        <f aca="false">IF($A879="","",_xlfn.XLOOKUP(LOWER(TRIM(Base_Bruta!L879)),DePara_Cidade!$A$2:$A$29,DePara_Cidade!$B$2:$B$29,"REVISAR"))</f>
        <v>Niterói</v>
      </c>
      <c r="N879" s="4" t="str">
        <f aca="false">IF($A879="","",UPPER(TRIM(Base_Bruta!M879)))</f>
        <v>RJ</v>
      </c>
      <c r="O879" s="4" t="str">
        <f aca="false">IF($A879="","",_xlfn.XLOOKUP(LOWER(TRIM(Base_Bruta!N879)),DePara_Pais!$A$2:$A$9,DePara_Pais!$B$2:$B$9,"REVISAR"))</f>
        <v>Brasil</v>
      </c>
      <c r="P879" s="4" t="str">
        <f aca="false">IF($A879="","",IF(O879&lt;&gt;"Brasil","Turista Internacional",IF(M879=F879,"Local","Turista Nacional")))</f>
        <v>Turista Nacional</v>
      </c>
      <c r="Q879" s="7" t="n">
        <f aca="false">IF($A879="","",DATE(YEAR(B879),MONTH(B879),1))</f>
        <v>45717</v>
      </c>
      <c r="R879" s="4" t="str">
        <f aca="false">IF($A879="","",IF(COUNTIF($A$2:$A879,$A879)&gt;1,"Sim","Não"))</f>
        <v>Não</v>
      </c>
      <c r="S879" s="4" t="str">
        <f aca="false">IF(A879="","Descartar - Linha vazia",IF(R879="Sim","Descartar - Duplicado",IF(OR(H879&lt;=0,I879&lt;=0),"Descartar - Qtd/Valor inválido","OK")))</f>
        <v>OK</v>
      </c>
      <c r="T879" s="4" t="str">
        <f aca="false">Base_Bruta!P879</f>
        <v>vendas_RJ.xlsx</v>
      </c>
    </row>
    <row r="880" customFormat="false" ht="15" hidden="false" customHeight="false" outlineLevel="0" collapsed="false">
      <c r="A880" s="4" t="str">
        <f aca="false">IF(Base_Bruta!A880="","",Base_Bruta!A880)</f>
        <v>RJ-000351</v>
      </c>
      <c r="B880" s="5" t="n">
        <f aca="false">IF($A880="","",IF(ISNUMBER(Base_Bruta!B880),Base_Bruta!B880,IF(MID(Base_Bruta!B880,5,1)="-",DATE(VALUE(LEFT(Base_Bruta!B880,4)),VALUE(MID(Base_Bruta!B880,6,2)),VALUE(RIGHT(Base_Bruta!B880,2))),DATE(VALUE(RIGHT(Base_Bruta!B880,4)),VALUE(MID(Base_Bruta!B880,4,2)),VALUE(LEFT(Base_Bruta!B880,2))))))</f>
        <v>45728</v>
      </c>
      <c r="C880" s="5" t="n">
        <f aca="false">IF($A880="","",IF(ISNUMBER(Base_Bruta!C880),Base_Bruta!C880,IF(MID(Base_Bruta!C880,5,1)="-",DATE(VALUE(LEFT(Base_Bruta!C880,4)),VALUE(MID(Base_Bruta!C880,6,2)),VALUE(RIGHT(Base_Bruta!C880,2))),DATE(VALUE(RIGHT(Base_Bruta!C880,4)),VALUE(MID(Base_Bruta!C880,4,2)),VALUE(LEFT(Base_Bruta!C880,2))))))</f>
        <v>45822</v>
      </c>
      <c r="D880" s="4" t="str">
        <f aca="false">IF($A880="","",TRIM(Base_Bruta!D880))</f>
        <v>Show Nacional MPB - Rio</v>
      </c>
      <c r="E880" s="4" t="str">
        <f aca="false">IF($A880="","",_xlfn.XLOOKUP(LOWER(TRIM(Base_Bruta!E880)),DePara_Categoria!$A$2:$A$9,DePara_Categoria!$B$2:$B$9,"REVISAR"))</f>
        <v>Show</v>
      </c>
      <c r="F880" s="4" t="str">
        <f aca="false">IF($A880="","",_xlfn.XLOOKUP(LOWER(TRIM(Base_Bruta!F880)),DePara_Cidade!$A$2:$A$29,DePara_Cidade!$B$2:$B$29,"REVISAR"))</f>
        <v>Rio de Janeiro</v>
      </c>
      <c r="G880" s="4" t="str">
        <f aca="false">IF($A880="","",TRIM(Base_Bruta!G880))</f>
        <v>VIP</v>
      </c>
      <c r="H880" s="4" t="n">
        <f aca="false">IF($A880="","",IF(ISNUMBER(Base_Bruta!H880),Base_Bruta!H880,IFERROR(_xlfn.NUMBERVALUE(TRIM(SUBSTITUTE(Base_Bruta!H880,"R$","")),",","."),0)))</f>
        <v>2</v>
      </c>
      <c r="I880" s="6" t="n">
        <f aca="false">IF($A880="","",IF(ISNUMBER(Base_Bruta!I880),Base_Bruta!I880,IFERROR(_xlfn.NUMBERVALUE(TRIM(SUBSTITUTE(Base_Bruta!I880,"R$","")),",","."),0)))</f>
        <v>810</v>
      </c>
      <c r="J880" s="6" t="n">
        <f aca="false">IF($A880="","",H880*I880)</f>
        <v>1620</v>
      </c>
      <c r="K880" s="4" t="str">
        <f aca="false">IF($A880="","",TRIM(Base_Bruta!J880))</f>
        <v>Site</v>
      </c>
      <c r="L880" s="4" t="str">
        <f aca="false">IF($A880="","",TRIM(Base_Bruta!K880))</f>
        <v>C02401</v>
      </c>
      <c r="M880" s="4" t="str">
        <f aca="false">IF($A880="","",_xlfn.XLOOKUP(LOWER(TRIM(Base_Bruta!L880)),DePara_Cidade!$A$2:$A$29,DePara_Cidade!$B$2:$B$29,"REVISAR"))</f>
        <v>Niterói</v>
      </c>
      <c r="N880" s="4" t="str">
        <f aca="false">IF($A880="","",UPPER(TRIM(Base_Bruta!M880)))</f>
        <v>RJ</v>
      </c>
      <c r="O880" s="4" t="str">
        <f aca="false">IF($A880="","",_xlfn.XLOOKUP(LOWER(TRIM(Base_Bruta!N880)),DePara_Pais!$A$2:$A$9,DePara_Pais!$B$2:$B$9,"REVISAR"))</f>
        <v>Brasil</v>
      </c>
      <c r="P880" s="4" t="str">
        <f aca="false">IF($A880="","",IF(O880&lt;&gt;"Brasil","Turista Internacional",IF(M880=F880,"Local","Turista Nacional")))</f>
        <v>Turista Nacional</v>
      </c>
      <c r="Q880" s="7" t="n">
        <f aca="false">IF($A880="","",DATE(YEAR(B880),MONTH(B880),1))</f>
        <v>45717</v>
      </c>
      <c r="R880" s="4" t="str">
        <f aca="false">IF($A880="","",IF(COUNTIF($A$2:$A880,$A880)&gt;1,"Sim","Não"))</f>
        <v>Não</v>
      </c>
      <c r="S880" s="4" t="str">
        <f aca="false">IF(A880="","Descartar - Linha vazia",IF(R880="Sim","Descartar - Duplicado",IF(OR(H880&lt;=0,I880&lt;=0),"Descartar - Qtd/Valor inválido","OK")))</f>
        <v>OK</v>
      </c>
      <c r="T880" s="4" t="str">
        <f aca="false">Base_Bruta!P880</f>
        <v>vendas_RJ.xlsx</v>
      </c>
    </row>
    <row r="881" customFormat="false" ht="15" hidden="false" customHeight="false" outlineLevel="0" collapsed="false">
      <c r="A881" s="4" t="str">
        <f aca="false">IF(Base_Bruta!A881="","",Base_Bruta!A881)</f>
        <v>RJ-000668</v>
      </c>
      <c r="B881" s="5" t="n">
        <f aca="false">IF($A881="","",IF(ISNUMBER(Base_Bruta!B881),Base_Bruta!B881,IF(MID(Base_Bruta!B881,5,1)="-",DATE(VALUE(LEFT(Base_Bruta!B881,4)),VALUE(MID(Base_Bruta!B881,6,2)),VALUE(RIGHT(Base_Bruta!B881,2))),DATE(VALUE(RIGHT(Base_Bruta!B881,4)),VALUE(MID(Base_Bruta!B881,4,2)),VALUE(LEFT(Base_Bruta!B881,2))))))</f>
        <v>45728</v>
      </c>
      <c r="C881" s="5" t="n">
        <f aca="false">IF($A881="","",IF(ISNUMBER(Base_Bruta!C881),Base_Bruta!C881,IF(MID(Base_Bruta!C881,5,1)="-",DATE(VALUE(LEFT(Base_Bruta!C881,4)),VALUE(MID(Base_Bruta!C881,6,2)),VALUE(RIGHT(Base_Bruta!C881,2))),DATE(VALUE(RIGHT(Base_Bruta!C881,4)),VALUE(MID(Base_Bruta!C881,4,2)),VALUE(LEFT(Base_Bruta!C881,2))))))</f>
        <v>45728</v>
      </c>
      <c r="D881" s="4" t="str">
        <f aca="false">IF($A881="","",TRIM(Base_Bruta!D881))</f>
        <v>Cinema Barra - Sessões</v>
      </c>
      <c r="E881" s="4" t="str">
        <f aca="false">IF($A881="","",_xlfn.XLOOKUP(LOWER(TRIM(Base_Bruta!E881)),DePara_Categoria!$A$2:$A$9,DePara_Categoria!$B$2:$B$9,"REVISAR"))</f>
        <v>Cinema</v>
      </c>
      <c r="F881" s="4" t="str">
        <f aca="false">IF($A881="","",_xlfn.XLOOKUP(LOWER(TRIM(Base_Bruta!F881)),DePara_Cidade!$A$2:$A$29,DePara_Cidade!$B$2:$B$29,"REVISAR"))</f>
        <v>Rio de Janeiro</v>
      </c>
      <c r="G881" s="4" t="str">
        <f aca="false">IF($A881="","",TRIM(Base_Bruta!G881))</f>
        <v>Inteira</v>
      </c>
      <c r="H881" s="4" t="n">
        <f aca="false">IF($A881="","",IF(ISNUMBER(Base_Bruta!H881),Base_Bruta!H881,IFERROR(_xlfn.NUMBERVALUE(TRIM(SUBSTITUTE(Base_Bruta!H881,"R$","")),",","."),0)))</f>
        <v>1</v>
      </c>
      <c r="I881" s="6" t="n">
        <f aca="false">IF($A881="","",IF(ISNUMBER(Base_Bruta!I881),Base_Bruta!I881,IFERROR(_xlfn.NUMBERVALUE(TRIM(SUBSTITUTE(Base_Bruta!I881,"R$","")),",","."),0)))</f>
        <v>40</v>
      </c>
      <c r="J881" s="6" t="n">
        <f aca="false">IF($A881="","",H881*I881)</f>
        <v>40</v>
      </c>
      <c r="K881" s="4" t="str">
        <f aca="false">IF($A881="","",TRIM(Base_Bruta!J881))</f>
        <v>Site</v>
      </c>
      <c r="L881" s="4" t="str">
        <f aca="false">IF($A881="","",TRIM(Base_Bruta!K881))</f>
        <v>C02067</v>
      </c>
      <c r="M881" s="4" t="str">
        <f aca="false">IF($A881="","",_xlfn.XLOOKUP(LOWER(TRIM(Base_Bruta!L881)),DePara_Cidade!$A$2:$A$29,DePara_Cidade!$B$2:$B$29,"REVISAR"))</f>
        <v>Rio de Janeiro</v>
      </c>
      <c r="N881" s="4" t="str">
        <f aca="false">IF($A881="","",UPPER(TRIM(Base_Bruta!M881)))</f>
        <v>RJ</v>
      </c>
      <c r="O881" s="4" t="str">
        <f aca="false">IF($A881="","",_xlfn.XLOOKUP(LOWER(TRIM(Base_Bruta!N881)),DePara_Pais!$A$2:$A$9,DePara_Pais!$B$2:$B$9,"REVISAR"))</f>
        <v>Brasil</v>
      </c>
      <c r="P881" s="4" t="str">
        <f aca="false">IF($A881="","",IF(O881&lt;&gt;"Brasil","Turista Internacional",IF(M881=F881,"Local","Turista Nacional")))</f>
        <v>Local</v>
      </c>
      <c r="Q881" s="7" t="n">
        <f aca="false">IF($A881="","",DATE(YEAR(B881),MONTH(B881),1))</f>
        <v>45717</v>
      </c>
      <c r="R881" s="4" t="str">
        <f aca="false">IF($A881="","",IF(COUNTIF($A$2:$A881,$A881)&gt;1,"Sim","Não"))</f>
        <v>Não</v>
      </c>
      <c r="S881" s="4" t="str">
        <f aca="false">IF(A881="","Descartar - Linha vazia",IF(R881="Sim","Descartar - Duplicado",IF(OR(H881&lt;=0,I881&lt;=0),"Descartar - Qtd/Valor inválido","OK")))</f>
        <v>OK</v>
      </c>
      <c r="T881" s="4" t="str">
        <f aca="false">Base_Bruta!P881</f>
        <v>vendas_RJ.xlsx</v>
      </c>
    </row>
    <row r="882" customFormat="false" ht="15" hidden="false" customHeight="false" outlineLevel="0" collapsed="false">
      <c r="A882" s="4" t="str">
        <f aca="false">IF(Base_Bruta!A882="","",Base_Bruta!A882)</f>
        <v>RJ-000593</v>
      </c>
      <c r="B882" s="5" t="n">
        <f aca="false">IF($A882="","",IF(ISNUMBER(Base_Bruta!B882),Base_Bruta!B882,IF(MID(Base_Bruta!B882,5,1)="-",DATE(VALUE(LEFT(Base_Bruta!B882,4)),VALUE(MID(Base_Bruta!B882,6,2)),VALUE(RIGHT(Base_Bruta!B882,2))),DATE(VALUE(RIGHT(Base_Bruta!B882,4)),VALUE(MID(Base_Bruta!B882,4,2)),VALUE(LEFT(Base_Bruta!B882,2))))))</f>
        <v>45730</v>
      </c>
      <c r="C882" s="5" t="n">
        <f aca="false">IF($A882="","",IF(ISNUMBER(Base_Bruta!C882),Base_Bruta!C882,IF(MID(Base_Bruta!C882,5,1)="-",DATE(VALUE(LEFT(Base_Bruta!C882,4)),VALUE(MID(Base_Bruta!C882,6,2)),VALUE(RIGHT(Base_Bruta!C882,2))),DATE(VALUE(RIGHT(Base_Bruta!C882,4)),VALUE(MID(Base_Bruta!C882,4,2)),VALUE(LEFT(Base_Bruta!C882,2))))))</f>
        <v>45730</v>
      </c>
      <c r="D882" s="4" t="str">
        <f aca="false">IF($A882="","",TRIM(Base_Bruta!D882))</f>
        <v>Cinema Barra - Sessões</v>
      </c>
      <c r="E882" s="4" t="str">
        <f aca="false">IF($A882="","",_xlfn.XLOOKUP(LOWER(TRIM(Base_Bruta!E882)),DePara_Categoria!$A$2:$A$9,DePara_Categoria!$B$2:$B$9,"REVISAR"))</f>
        <v>Cinema</v>
      </c>
      <c r="F882" s="4" t="str">
        <f aca="false">IF($A882="","",_xlfn.XLOOKUP(LOWER(TRIM(Base_Bruta!F882)),DePara_Cidade!$A$2:$A$29,DePara_Cidade!$B$2:$B$29,"REVISAR"))</f>
        <v>Rio de Janeiro</v>
      </c>
      <c r="G882" s="4" t="str">
        <f aca="false">IF($A882="","",TRIM(Base_Bruta!G882))</f>
        <v>Inteira</v>
      </c>
      <c r="H882" s="4" t="n">
        <f aca="false">IF($A882="","",IF(ISNUMBER(Base_Bruta!H882),Base_Bruta!H882,IFERROR(_xlfn.NUMBERVALUE(TRIM(SUBSTITUTE(Base_Bruta!H882,"R$","")),",","."),0)))</f>
        <v>2</v>
      </c>
      <c r="I882" s="6" t="n">
        <f aca="false">IF($A882="","",IF(ISNUMBER(Base_Bruta!I882),Base_Bruta!I882,IFERROR(_xlfn.NUMBERVALUE(TRIM(SUBSTITUTE(Base_Bruta!I882,"R$","")),",","."),0)))</f>
        <v>45</v>
      </c>
      <c r="J882" s="6" t="n">
        <f aca="false">IF($A882="","",H882*I882)</f>
        <v>90</v>
      </c>
      <c r="K882" s="4" t="str">
        <f aca="false">IF($A882="","",TRIM(Base_Bruta!J882))</f>
        <v>Parceiro</v>
      </c>
      <c r="L882" s="4" t="str">
        <f aca="false">IF($A882="","",TRIM(Base_Bruta!K882))</f>
        <v>C00902</v>
      </c>
      <c r="M882" s="4" t="str">
        <f aca="false">IF($A882="","",_xlfn.XLOOKUP(LOWER(TRIM(Base_Bruta!L882)),DePara_Cidade!$A$2:$A$29,DePara_Cidade!$B$2:$B$29,"REVISAR"))</f>
        <v>Rio de Janeiro</v>
      </c>
      <c r="N882" s="4" t="str">
        <f aca="false">IF($A882="","",UPPER(TRIM(Base_Bruta!M882)))</f>
        <v>RJ</v>
      </c>
      <c r="O882" s="4" t="str">
        <f aca="false">IF($A882="","",_xlfn.XLOOKUP(LOWER(TRIM(Base_Bruta!N882)),DePara_Pais!$A$2:$A$9,DePara_Pais!$B$2:$B$9,"REVISAR"))</f>
        <v>Brasil</v>
      </c>
      <c r="P882" s="4" t="str">
        <f aca="false">IF($A882="","",IF(O882&lt;&gt;"Brasil","Turista Internacional",IF(M882=F882,"Local","Turista Nacional")))</f>
        <v>Local</v>
      </c>
      <c r="Q882" s="7" t="n">
        <f aca="false">IF($A882="","",DATE(YEAR(B882),MONTH(B882),1))</f>
        <v>45717</v>
      </c>
      <c r="R882" s="4" t="str">
        <f aca="false">IF($A882="","",IF(COUNTIF($A$2:$A882,$A882)&gt;1,"Sim","Não"))</f>
        <v>Não</v>
      </c>
      <c r="S882" s="4" t="str">
        <f aca="false">IF(A882="","Descartar - Linha vazia",IF(R882="Sim","Descartar - Duplicado",IF(OR(H882&lt;=0,I882&lt;=0),"Descartar - Qtd/Valor inválido","OK")))</f>
        <v>OK</v>
      </c>
      <c r="T882" s="4" t="str">
        <f aca="false">Base_Bruta!P882</f>
        <v>vendas_RJ.xlsx</v>
      </c>
    </row>
    <row r="883" customFormat="false" ht="15" hidden="false" customHeight="false" outlineLevel="0" collapsed="false">
      <c r="A883" s="4" t="str">
        <f aca="false">IF(Base_Bruta!A883="","",Base_Bruta!A883)</f>
        <v>RJ-000645</v>
      </c>
      <c r="B883" s="5" t="n">
        <f aca="false">IF($A883="","",IF(ISNUMBER(Base_Bruta!B883),Base_Bruta!B883,IF(MID(Base_Bruta!B883,5,1)="-",DATE(VALUE(LEFT(Base_Bruta!B883,4)),VALUE(MID(Base_Bruta!B883,6,2)),VALUE(RIGHT(Base_Bruta!B883,2))),DATE(VALUE(RIGHT(Base_Bruta!B883,4)),VALUE(MID(Base_Bruta!B883,4,2)),VALUE(LEFT(Base_Bruta!B883,2))))))</f>
        <v>45732</v>
      </c>
      <c r="C883" s="5" t="n">
        <f aca="false">IF($A883="","",IF(ISNUMBER(Base_Bruta!C883),Base_Bruta!C883,IF(MID(Base_Bruta!C883,5,1)="-",DATE(VALUE(LEFT(Base_Bruta!C883,4)),VALUE(MID(Base_Bruta!C883,6,2)),VALUE(RIGHT(Base_Bruta!C883,2))),DATE(VALUE(RIGHT(Base_Bruta!C883,4)),VALUE(MID(Base_Bruta!C883,4,2)),VALUE(LEFT(Base_Bruta!C883,2))))))</f>
        <v>45734</v>
      </c>
      <c r="D883" s="4" t="str">
        <f aca="false">IF($A883="","",TRIM(Base_Bruta!D883))</f>
        <v>Cinema Barra - Sessões</v>
      </c>
      <c r="E883" s="4" t="str">
        <f aca="false">IF($A883="","",_xlfn.XLOOKUP(LOWER(TRIM(Base_Bruta!E883)),DePara_Categoria!$A$2:$A$9,DePara_Categoria!$B$2:$B$9,"REVISAR"))</f>
        <v>Cinema</v>
      </c>
      <c r="F883" s="4" t="str">
        <f aca="false">IF($A883="","",_xlfn.XLOOKUP(LOWER(TRIM(Base_Bruta!F883)),DePara_Cidade!$A$2:$A$29,DePara_Cidade!$B$2:$B$29,"REVISAR"))</f>
        <v>Rio de Janeiro</v>
      </c>
      <c r="G883" s="4" t="str">
        <f aca="false">IF($A883="","",TRIM(Base_Bruta!G883))</f>
        <v>Inteira</v>
      </c>
      <c r="H883" s="4" t="n">
        <f aca="false">IF($A883="","",IF(ISNUMBER(Base_Bruta!H883),Base_Bruta!H883,IFERROR(_xlfn.NUMBERVALUE(TRIM(SUBSTITUTE(Base_Bruta!H883,"R$","")),",","."),0)))</f>
        <v>3</v>
      </c>
      <c r="I883" s="6" t="n">
        <f aca="false">IF($A883="","",IF(ISNUMBER(Base_Bruta!I883),Base_Bruta!I883,IFERROR(_xlfn.NUMBERVALUE(TRIM(SUBSTITUTE(Base_Bruta!I883,"R$","")),",","."),0)))</f>
        <v>30</v>
      </c>
      <c r="J883" s="6" t="n">
        <f aca="false">IF($A883="","",H883*I883)</f>
        <v>90</v>
      </c>
      <c r="K883" s="4" t="str">
        <f aca="false">IF($A883="","",TRIM(Base_Bruta!J883))</f>
        <v>App</v>
      </c>
      <c r="L883" s="4" t="str">
        <f aca="false">IF($A883="","",TRIM(Base_Bruta!K883))</f>
        <v>C02405</v>
      </c>
      <c r="M883" s="4" t="str">
        <f aca="false">IF($A883="","",_xlfn.XLOOKUP(LOWER(TRIM(Base_Bruta!L883)),DePara_Cidade!$A$2:$A$29,DePara_Cidade!$B$2:$B$29,"REVISAR"))</f>
        <v>Rio de Janeiro</v>
      </c>
      <c r="N883" s="4" t="str">
        <f aca="false">IF($A883="","",UPPER(TRIM(Base_Bruta!M883)))</f>
        <v>RJ</v>
      </c>
      <c r="O883" s="4" t="str">
        <f aca="false">IF($A883="","",_xlfn.XLOOKUP(LOWER(TRIM(Base_Bruta!N883)),DePara_Pais!$A$2:$A$9,DePara_Pais!$B$2:$B$9,"REVISAR"))</f>
        <v>Brasil</v>
      </c>
      <c r="P883" s="4" t="str">
        <f aca="false">IF($A883="","",IF(O883&lt;&gt;"Brasil","Turista Internacional",IF(M883=F883,"Local","Turista Nacional")))</f>
        <v>Local</v>
      </c>
      <c r="Q883" s="7" t="n">
        <f aca="false">IF($A883="","",DATE(YEAR(B883),MONTH(B883),1))</f>
        <v>45717</v>
      </c>
      <c r="R883" s="4" t="str">
        <f aca="false">IF($A883="","",IF(COUNTIF($A$2:$A883,$A883)&gt;1,"Sim","Não"))</f>
        <v>Não</v>
      </c>
      <c r="S883" s="4" t="str">
        <f aca="false">IF(A883="","Descartar - Linha vazia",IF(R883="Sim","Descartar - Duplicado",IF(OR(H883&lt;=0,I883&lt;=0),"Descartar - Qtd/Valor inválido","OK")))</f>
        <v>OK</v>
      </c>
      <c r="T883" s="4" t="str">
        <f aca="false">Base_Bruta!P883</f>
        <v>vendas_RJ.xlsx</v>
      </c>
    </row>
    <row r="884" customFormat="false" ht="15" hidden="false" customHeight="false" outlineLevel="0" collapsed="false">
      <c r="A884" s="4" t="str">
        <f aca="false">IF(Base_Bruta!A884="","",Base_Bruta!A884)</f>
        <v>RJ-000255</v>
      </c>
      <c r="B884" s="5" t="n">
        <f aca="false">IF($A884="","",IF(ISNUMBER(Base_Bruta!B884),Base_Bruta!B884,IF(MID(Base_Bruta!B884,5,1)="-",DATE(VALUE(LEFT(Base_Bruta!B884,4)),VALUE(MID(Base_Bruta!B884,6,2)),VALUE(RIGHT(Base_Bruta!B884,2))),DATE(VALUE(RIGHT(Base_Bruta!B884,4)),VALUE(MID(Base_Bruta!B884,4,2)),VALUE(LEFT(Base_Bruta!B884,2))))))</f>
        <v>45736</v>
      </c>
      <c r="C884" s="5" t="n">
        <f aca="false">IF($A884="","",IF(ISNUMBER(Base_Bruta!C884),Base_Bruta!C884,IF(MID(Base_Bruta!C884,5,1)="-",DATE(VALUE(LEFT(Base_Bruta!C884,4)),VALUE(MID(Base_Bruta!C884,6,2)),VALUE(RIGHT(Base_Bruta!C884,2))),DATE(VALUE(RIGHT(Base_Bruta!C884,4)),VALUE(MID(Base_Bruta!C884,4,2)),VALUE(LEFT(Base_Bruta!C884,2))))))</f>
        <v>45822</v>
      </c>
      <c r="D884" s="4" t="str">
        <f aca="false">IF($A884="","",TRIM(Base_Bruta!D884))</f>
        <v>Show Nacional MPB - Rio</v>
      </c>
      <c r="E884" s="4" t="str">
        <f aca="false">IF($A884="","",_xlfn.XLOOKUP(LOWER(TRIM(Base_Bruta!E884)),DePara_Categoria!$A$2:$A$9,DePara_Categoria!$B$2:$B$9,"REVISAR"))</f>
        <v>Show</v>
      </c>
      <c r="F884" s="4" t="str">
        <f aca="false">IF($A884="","",_xlfn.XLOOKUP(LOWER(TRIM(Base_Bruta!F884)),DePara_Cidade!$A$2:$A$29,DePara_Cidade!$B$2:$B$29,"REVISAR"))</f>
        <v>Rio de Janeiro</v>
      </c>
      <c r="G884" s="4" t="str">
        <f aca="false">IF($A884="","",TRIM(Base_Bruta!G884))</f>
        <v>Inteira</v>
      </c>
      <c r="H884" s="4" t="n">
        <f aca="false">IF($A884="","",IF(ISNUMBER(Base_Bruta!H884),Base_Bruta!H884,IFERROR(_xlfn.NUMBERVALUE(TRIM(SUBSTITUTE(Base_Bruta!H884,"R$","")),",","."),0)))</f>
        <v>1</v>
      </c>
      <c r="I884" s="6" t="n">
        <f aca="false">IF($A884="","",IF(ISNUMBER(Base_Bruta!I884),Base_Bruta!I884,IFERROR(_xlfn.NUMBERVALUE(TRIM(SUBSTITUTE(Base_Bruta!I884,"R$","")),",","."),0)))</f>
        <v>420</v>
      </c>
      <c r="J884" s="6" t="n">
        <f aca="false">IF($A884="","",H884*I884)</f>
        <v>420</v>
      </c>
      <c r="K884" s="4" t="str">
        <f aca="false">IF($A884="","",TRIM(Base_Bruta!J884))</f>
        <v>Site</v>
      </c>
      <c r="L884" s="4" t="str">
        <f aca="false">IF($A884="","",TRIM(Base_Bruta!K884))</f>
        <v>C01834</v>
      </c>
      <c r="M884" s="4" t="str">
        <f aca="false">IF($A884="","",_xlfn.XLOOKUP(LOWER(TRIM(Base_Bruta!L884)),DePara_Cidade!$A$2:$A$29,DePara_Cidade!$B$2:$B$29,"REVISAR"))</f>
        <v>Rio de Janeiro</v>
      </c>
      <c r="N884" s="4" t="str">
        <f aca="false">IF($A884="","",UPPER(TRIM(Base_Bruta!M884)))</f>
        <v>RJ</v>
      </c>
      <c r="O884" s="4" t="str">
        <f aca="false">IF($A884="","",_xlfn.XLOOKUP(LOWER(TRIM(Base_Bruta!N884)),DePara_Pais!$A$2:$A$9,DePara_Pais!$B$2:$B$9,"REVISAR"))</f>
        <v>Brasil</v>
      </c>
      <c r="P884" s="4" t="str">
        <f aca="false">IF($A884="","",IF(O884&lt;&gt;"Brasil","Turista Internacional",IF(M884=F884,"Local","Turista Nacional")))</f>
        <v>Local</v>
      </c>
      <c r="Q884" s="7" t="n">
        <f aca="false">IF($A884="","",DATE(YEAR(B884),MONTH(B884),1))</f>
        <v>45717</v>
      </c>
      <c r="R884" s="4" t="str">
        <f aca="false">IF($A884="","",IF(COUNTIF($A$2:$A884,$A884)&gt;1,"Sim","Não"))</f>
        <v>Não</v>
      </c>
      <c r="S884" s="4" t="str">
        <f aca="false">IF(A884="","Descartar - Linha vazia",IF(R884="Sim","Descartar - Duplicado",IF(OR(H884&lt;=0,I884&lt;=0),"Descartar - Qtd/Valor inválido","OK")))</f>
        <v>OK</v>
      </c>
      <c r="T884" s="4" t="str">
        <f aca="false">Base_Bruta!P884</f>
        <v>vendas_RJ.xlsx</v>
      </c>
    </row>
    <row r="885" customFormat="false" ht="15" hidden="false" customHeight="false" outlineLevel="0" collapsed="false">
      <c r="A885" s="4" t="str">
        <f aca="false">IF(Base_Bruta!A885="","",Base_Bruta!A885)</f>
        <v>RJ-000614</v>
      </c>
      <c r="B885" s="5" t="n">
        <f aca="false">IF($A885="","",IF(ISNUMBER(Base_Bruta!B885),Base_Bruta!B885,IF(MID(Base_Bruta!B885,5,1)="-",DATE(VALUE(LEFT(Base_Bruta!B885,4)),VALUE(MID(Base_Bruta!B885,6,2)),VALUE(RIGHT(Base_Bruta!B885,2))),DATE(VALUE(RIGHT(Base_Bruta!B885,4)),VALUE(MID(Base_Bruta!B885,4,2)),VALUE(LEFT(Base_Bruta!B885,2))))))</f>
        <v>45737</v>
      </c>
      <c r="C885" s="5" t="n">
        <f aca="false">IF($A885="","",IF(ISNUMBER(Base_Bruta!C885),Base_Bruta!C885,IF(MID(Base_Bruta!C885,5,1)="-",DATE(VALUE(LEFT(Base_Bruta!C885,4)),VALUE(MID(Base_Bruta!C885,6,2)),VALUE(RIGHT(Base_Bruta!C885,2))),DATE(VALUE(RIGHT(Base_Bruta!C885,4)),VALUE(MID(Base_Bruta!C885,4,2)),VALUE(LEFT(Base_Bruta!C885,2))))))</f>
        <v>45737</v>
      </c>
      <c r="D885" s="4" t="str">
        <f aca="false">IF($A885="","",TRIM(Base_Bruta!D885))</f>
        <v>Cinema Barra - Sessões</v>
      </c>
      <c r="E885" s="4" t="str">
        <f aca="false">IF($A885="","",_xlfn.XLOOKUP(LOWER(TRIM(Base_Bruta!E885)),DePara_Categoria!$A$2:$A$9,DePara_Categoria!$B$2:$B$9,"REVISAR"))</f>
        <v>Cinema</v>
      </c>
      <c r="F885" s="4" t="str">
        <f aca="false">IF($A885="","",_xlfn.XLOOKUP(LOWER(TRIM(Base_Bruta!F885)),DePara_Cidade!$A$2:$A$29,DePara_Cidade!$B$2:$B$29,"REVISAR"))</f>
        <v>Rio de Janeiro</v>
      </c>
      <c r="G885" s="4" t="str">
        <f aca="false">IF($A885="","",TRIM(Base_Bruta!G885))</f>
        <v>Meia</v>
      </c>
      <c r="H885" s="4" t="n">
        <f aca="false">IF($A885="","",IF(ISNUMBER(Base_Bruta!H885),Base_Bruta!H885,IFERROR(_xlfn.NUMBERVALUE(TRIM(SUBSTITUTE(Base_Bruta!H885,"R$","")),",","."),0)))</f>
        <v>1</v>
      </c>
      <c r="I885" s="6" t="n">
        <f aca="false">IF($A885="","",IF(ISNUMBER(Base_Bruta!I885),Base_Bruta!I885,IFERROR(_xlfn.NUMBERVALUE(TRIM(SUBSTITUTE(Base_Bruta!I885,"R$","")),",","."),0)))</f>
        <v>15</v>
      </c>
      <c r="J885" s="6" t="n">
        <f aca="false">IF($A885="","",H885*I885)</f>
        <v>15</v>
      </c>
      <c r="K885" s="4" t="str">
        <f aca="false">IF($A885="","",TRIM(Base_Bruta!J885))</f>
        <v>Site</v>
      </c>
      <c r="L885" s="4" t="str">
        <f aca="false">IF($A885="","",TRIM(Base_Bruta!K885))</f>
        <v>C02372</v>
      </c>
      <c r="M885" s="4" t="str">
        <f aca="false">IF($A885="","",_xlfn.XLOOKUP(LOWER(TRIM(Base_Bruta!L885)),DePara_Cidade!$A$2:$A$29,DePara_Cidade!$B$2:$B$29,"REVISAR"))</f>
        <v>Rio de Janeiro</v>
      </c>
      <c r="N885" s="4" t="str">
        <f aca="false">IF($A885="","",UPPER(TRIM(Base_Bruta!M885)))</f>
        <v>RJ</v>
      </c>
      <c r="O885" s="4" t="str">
        <f aca="false">IF($A885="","",_xlfn.XLOOKUP(LOWER(TRIM(Base_Bruta!N885)),DePara_Pais!$A$2:$A$9,DePara_Pais!$B$2:$B$9,"REVISAR"))</f>
        <v>Brasil</v>
      </c>
      <c r="P885" s="4" t="str">
        <f aca="false">IF($A885="","",IF(O885&lt;&gt;"Brasil","Turista Internacional",IF(M885=F885,"Local","Turista Nacional")))</f>
        <v>Local</v>
      </c>
      <c r="Q885" s="7" t="n">
        <f aca="false">IF($A885="","",DATE(YEAR(B885),MONTH(B885),1))</f>
        <v>45717</v>
      </c>
      <c r="R885" s="4" t="str">
        <f aca="false">IF($A885="","",IF(COUNTIF($A$2:$A885,$A885)&gt;1,"Sim","Não"))</f>
        <v>Não</v>
      </c>
      <c r="S885" s="4" t="str">
        <f aca="false">IF(A885="","Descartar - Linha vazia",IF(R885="Sim","Descartar - Duplicado",IF(OR(H885&lt;=0,I885&lt;=0),"Descartar - Qtd/Valor inválido","OK")))</f>
        <v>OK</v>
      </c>
      <c r="T885" s="4" t="str">
        <f aca="false">Base_Bruta!P885</f>
        <v>vendas_RJ.xlsx</v>
      </c>
    </row>
    <row r="886" customFormat="false" ht="15" hidden="false" customHeight="false" outlineLevel="0" collapsed="false">
      <c r="A886" s="4" t="str">
        <f aca="false">IF(Base_Bruta!A886="","",Base_Bruta!A886)</f>
        <v>RJ-000320</v>
      </c>
      <c r="B886" s="5" t="n">
        <f aca="false">IF($A886="","",IF(ISNUMBER(Base_Bruta!B886),Base_Bruta!B886,IF(MID(Base_Bruta!B886,5,1)="-",DATE(VALUE(LEFT(Base_Bruta!B886,4)),VALUE(MID(Base_Bruta!B886,6,2)),VALUE(RIGHT(Base_Bruta!B886,2))),DATE(VALUE(RIGHT(Base_Bruta!B886,4)),VALUE(MID(Base_Bruta!B886,4,2)),VALUE(LEFT(Base_Bruta!B886,2))))))</f>
        <v>45738</v>
      </c>
      <c r="C886" s="5" t="n">
        <f aca="false">IF($A886="","",IF(ISNUMBER(Base_Bruta!C886),Base_Bruta!C886,IF(MID(Base_Bruta!C886,5,1)="-",DATE(VALUE(LEFT(Base_Bruta!C886,4)),VALUE(MID(Base_Bruta!C886,6,2)),VALUE(RIGHT(Base_Bruta!C886,2))),DATE(VALUE(RIGHT(Base_Bruta!C886,4)),VALUE(MID(Base_Bruta!C886,4,2)),VALUE(LEFT(Base_Bruta!C886,2))))))</f>
        <v>45822</v>
      </c>
      <c r="D886" s="4" t="str">
        <f aca="false">IF($A886="","",TRIM(Base_Bruta!D886))</f>
        <v>Show Nacional MPB - Rio</v>
      </c>
      <c r="E886" s="4" t="str">
        <f aca="false">IF($A886="","",_xlfn.XLOOKUP(LOWER(TRIM(Base_Bruta!E886)),DePara_Categoria!$A$2:$A$9,DePara_Categoria!$B$2:$B$9,"REVISAR"))</f>
        <v>Show</v>
      </c>
      <c r="F886" s="4" t="str">
        <f aca="false">IF($A886="","",_xlfn.XLOOKUP(LOWER(TRIM(Base_Bruta!F886)),DePara_Cidade!$A$2:$A$29,DePara_Cidade!$B$2:$B$29,"REVISAR"))</f>
        <v>Rio de Janeiro</v>
      </c>
      <c r="G886" s="4" t="str">
        <f aca="false">IF($A886="","",TRIM(Base_Bruta!G886))</f>
        <v>Inteira</v>
      </c>
      <c r="H886" s="4" t="n">
        <f aca="false">IF($A886="","",IF(ISNUMBER(Base_Bruta!H886),Base_Bruta!H886,IFERROR(_xlfn.NUMBERVALUE(TRIM(SUBSTITUTE(Base_Bruta!H886,"R$","")),",","."),0)))</f>
        <v>1</v>
      </c>
      <c r="I886" s="6" t="n">
        <f aca="false">IF($A886="","",IF(ISNUMBER(Base_Bruta!I886),Base_Bruta!I886,IFERROR(_xlfn.NUMBERVALUE(TRIM(SUBSTITUTE(Base_Bruta!I886,"R$","")),",","."),0)))</f>
        <v>630</v>
      </c>
      <c r="J886" s="6" t="n">
        <f aca="false">IF($A886="","",H886*I886)</f>
        <v>630</v>
      </c>
      <c r="K886" s="4" t="str">
        <f aca="false">IF($A886="","",TRIM(Base_Bruta!J886))</f>
        <v>Site</v>
      </c>
      <c r="L886" s="4" t="str">
        <f aca="false">IF($A886="","",TRIM(Base_Bruta!K886))</f>
        <v>C00050</v>
      </c>
      <c r="M886" s="4" t="str">
        <f aca="false">IF($A886="","",_xlfn.XLOOKUP(LOWER(TRIM(Base_Bruta!L886)),DePara_Cidade!$A$2:$A$29,DePara_Cidade!$B$2:$B$29,"REVISAR"))</f>
        <v>Niterói</v>
      </c>
      <c r="N886" s="4" t="str">
        <f aca="false">IF($A886="","",UPPER(TRIM(Base_Bruta!M886)))</f>
        <v>RJ</v>
      </c>
      <c r="O886" s="4" t="str">
        <f aca="false">IF($A886="","",_xlfn.XLOOKUP(LOWER(TRIM(Base_Bruta!N886)),DePara_Pais!$A$2:$A$9,DePara_Pais!$B$2:$B$9,"REVISAR"))</f>
        <v>Brasil</v>
      </c>
      <c r="P886" s="4" t="str">
        <f aca="false">IF($A886="","",IF(O886&lt;&gt;"Brasil","Turista Internacional",IF(M886=F886,"Local","Turista Nacional")))</f>
        <v>Turista Nacional</v>
      </c>
      <c r="Q886" s="7" t="n">
        <f aca="false">IF($A886="","",DATE(YEAR(B886),MONTH(B886),1))</f>
        <v>45717</v>
      </c>
      <c r="R886" s="4" t="str">
        <f aca="false">IF($A886="","",IF(COUNTIF($A$2:$A886,$A886)&gt;1,"Sim","Não"))</f>
        <v>Não</v>
      </c>
      <c r="S886" s="4" t="str">
        <f aca="false">IF(A886="","Descartar - Linha vazia",IF(R886="Sim","Descartar - Duplicado",IF(OR(H886&lt;=0,I886&lt;=0),"Descartar - Qtd/Valor inválido","OK")))</f>
        <v>OK</v>
      </c>
      <c r="T886" s="4" t="str">
        <f aca="false">Base_Bruta!P886</f>
        <v>vendas_RJ.xlsx</v>
      </c>
    </row>
    <row r="887" customFormat="false" ht="15" hidden="false" customHeight="false" outlineLevel="0" collapsed="false">
      <c r="A887" s="4" t="str">
        <f aca="false">IF(Base_Bruta!A887="","",Base_Bruta!A887)</f>
        <v>RJ-000350</v>
      </c>
      <c r="B887" s="5" t="n">
        <f aca="false">IF($A887="","",IF(ISNUMBER(Base_Bruta!B887),Base_Bruta!B887,IF(MID(Base_Bruta!B887,5,1)="-",DATE(VALUE(LEFT(Base_Bruta!B887,4)),VALUE(MID(Base_Bruta!B887,6,2)),VALUE(RIGHT(Base_Bruta!B887,2))),DATE(VALUE(RIGHT(Base_Bruta!B887,4)),VALUE(MID(Base_Bruta!B887,4,2)),VALUE(LEFT(Base_Bruta!B887,2))))))</f>
        <v>45738</v>
      </c>
      <c r="C887" s="5" t="n">
        <f aca="false">IF($A887="","",IF(ISNUMBER(Base_Bruta!C887),Base_Bruta!C887,IF(MID(Base_Bruta!C887,5,1)="-",DATE(VALUE(LEFT(Base_Bruta!C887,4)),VALUE(MID(Base_Bruta!C887,6,2)),VALUE(RIGHT(Base_Bruta!C887,2))),DATE(VALUE(RIGHT(Base_Bruta!C887,4)),VALUE(MID(Base_Bruta!C887,4,2)),VALUE(LEFT(Base_Bruta!C887,2))))))</f>
        <v>45822</v>
      </c>
      <c r="D887" s="4" t="str">
        <f aca="false">IF($A887="","",TRIM(Base_Bruta!D887))</f>
        <v>Show Nacional MPB - Rio</v>
      </c>
      <c r="E887" s="4" t="str">
        <f aca="false">IF($A887="","",_xlfn.XLOOKUP(LOWER(TRIM(Base_Bruta!E887)),DePara_Categoria!$A$2:$A$9,DePara_Categoria!$B$2:$B$9,"REVISAR"))</f>
        <v>Show</v>
      </c>
      <c r="F887" s="4" t="str">
        <f aca="false">IF($A887="","",_xlfn.XLOOKUP(LOWER(TRIM(Base_Bruta!F887)),DePara_Cidade!$A$2:$A$29,DePara_Cidade!$B$2:$B$29,"REVISAR"))</f>
        <v>Rio de Janeiro</v>
      </c>
      <c r="G887" s="4" t="str">
        <f aca="false">IF($A887="","",TRIM(Base_Bruta!G887))</f>
        <v>Inteira</v>
      </c>
      <c r="H887" s="4" t="n">
        <f aca="false">IF($A887="","",IF(ISNUMBER(Base_Bruta!H887),Base_Bruta!H887,IFERROR(_xlfn.NUMBERVALUE(TRIM(SUBSTITUTE(Base_Bruta!H887,"R$","")),",","."),0)))</f>
        <v>1</v>
      </c>
      <c r="I887" s="6" t="n">
        <f aca="false">IF($A887="","",IF(ISNUMBER(Base_Bruta!I887),Base_Bruta!I887,IFERROR(_xlfn.NUMBERVALUE(TRIM(SUBSTITUTE(Base_Bruta!I887,"R$","")),",","."),0)))</f>
        <v>680</v>
      </c>
      <c r="J887" s="6" t="n">
        <f aca="false">IF($A887="","",H887*I887)</f>
        <v>680</v>
      </c>
      <c r="K887" s="4" t="str">
        <f aca="false">IF($A887="","",TRIM(Base_Bruta!J887))</f>
        <v>Parceiro</v>
      </c>
      <c r="L887" s="4" t="str">
        <f aca="false">IF($A887="","",TRIM(Base_Bruta!K887))</f>
        <v>C02090</v>
      </c>
      <c r="M887" s="4" t="str">
        <f aca="false">IF($A887="","",_xlfn.XLOOKUP(LOWER(TRIM(Base_Bruta!L887)),DePara_Cidade!$A$2:$A$29,DePara_Cidade!$B$2:$B$29,"REVISAR"))</f>
        <v>Rio de Janeiro</v>
      </c>
      <c r="N887" s="4" t="str">
        <f aca="false">IF($A887="","",UPPER(TRIM(Base_Bruta!M887)))</f>
        <v>RJ</v>
      </c>
      <c r="O887" s="4" t="str">
        <f aca="false">IF($A887="","",_xlfn.XLOOKUP(LOWER(TRIM(Base_Bruta!N887)),DePara_Pais!$A$2:$A$9,DePara_Pais!$B$2:$B$9,"REVISAR"))</f>
        <v>Brasil</v>
      </c>
      <c r="P887" s="4" t="str">
        <f aca="false">IF($A887="","",IF(O887&lt;&gt;"Brasil","Turista Internacional",IF(M887=F887,"Local","Turista Nacional")))</f>
        <v>Local</v>
      </c>
      <c r="Q887" s="7" t="n">
        <f aca="false">IF($A887="","",DATE(YEAR(B887),MONTH(B887),1))</f>
        <v>45717</v>
      </c>
      <c r="R887" s="4" t="str">
        <f aca="false">IF($A887="","",IF(COUNTIF($A$2:$A887,$A887)&gt;1,"Sim","Não"))</f>
        <v>Não</v>
      </c>
      <c r="S887" s="4" t="str">
        <f aca="false">IF(A887="","Descartar - Linha vazia",IF(R887="Sim","Descartar - Duplicado",IF(OR(H887&lt;=0,I887&lt;=0),"Descartar - Qtd/Valor inválido","OK")))</f>
        <v>OK</v>
      </c>
      <c r="T887" s="4" t="str">
        <f aca="false">Base_Bruta!P887</f>
        <v>vendas_RJ.xlsx</v>
      </c>
    </row>
    <row r="888" customFormat="false" ht="15" hidden="false" customHeight="false" outlineLevel="0" collapsed="false">
      <c r="A888" s="4" t="str">
        <f aca="false">IF(Base_Bruta!A888="","",Base_Bruta!A888)</f>
        <v>RJ-000341</v>
      </c>
      <c r="B888" s="5" t="n">
        <f aca="false">IF($A888="","",IF(ISNUMBER(Base_Bruta!B888),Base_Bruta!B888,IF(MID(Base_Bruta!B888,5,1)="-",DATE(VALUE(LEFT(Base_Bruta!B888,4)),VALUE(MID(Base_Bruta!B888,6,2)),VALUE(RIGHT(Base_Bruta!B888,2))),DATE(VALUE(RIGHT(Base_Bruta!B888,4)),VALUE(MID(Base_Bruta!B888,4,2)),VALUE(LEFT(Base_Bruta!B888,2))))))</f>
        <v>45739</v>
      </c>
      <c r="C888" s="5" t="n">
        <f aca="false">IF($A888="","",IF(ISNUMBER(Base_Bruta!C888),Base_Bruta!C888,IF(MID(Base_Bruta!C888,5,1)="-",DATE(VALUE(LEFT(Base_Bruta!C888,4)),VALUE(MID(Base_Bruta!C888,6,2)),VALUE(RIGHT(Base_Bruta!C888,2))),DATE(VALUE(RIGHT(Base_Bruta!C888,4)),VALUE(MID(Base_Bruta!C888,4,2)),VALUE(LEFT(Base_Bruta!C888,2))))))</f>
        <v>45822</v>
      </c>
      <c r="D888" s="4" t="str">
        <f aca="false">IF($A888="","",TRIM(Base_Bruta!D888))</f>
        <v>Show Nacional MPB - Rio</v>
      </c>
      <c r="E888" s="4" t="str">
        <f aca="false">IF($A888="","",_xlfn.XLOOKUP(LOWER(TRIM(Base_Bruta!E888)),DePara_Categoria!$A$2:$A$9,DePara_Categoria!$B$2:$B$9,"REVISAR"))</f>
        <v>Show</v>
      </c>
      <c r="F888" s="4" t="str">
        <f aca="false">IF($A888="","",_xlfn.XLOOKUP(LOWER(TRIM(Base_Bruta!F888)),DePara_Cidade!$A$2:$A$29,DePara_Cidade!$B$2:$B$29,"REVISAR"))</f>
        <v>Rio de Janeiro</v>
      </c>
      <c r="G888" s="4" t="str">
        <f aca="false">IF($A888="","",TRIM(Base_Bruta!G888))</f>
        <v>Inteira</v>
      </c>
      <c r="H888" s="4" t="n">
        <f aca="false">IF($A888="","",IF(ISNUMBER(Base_Bruta!H888),Base_Bruta!H888,IFERROR(_xlfn.NUMBERVALUE(TRIM(SUBSTITUTE(Base_Bruta!H888,"R$","")),",","."),0)))</f>
        <v>4</v>
      </c>
      <c r="I888" s="6" t="n">
        <f aca="false">IF($A888="","",IF(ISNUMBER(Base_Bruta!I888),Base_Bruta!I888,IFERROR(_xlfn.NUMBERVALUE(TRIM(SUBSTITUTE(Base_Bruta!I888,"R$","")),",","."),0)))</f>
        <v>720</v>
      </c>
      <c r="J888" s="6" t="n">
        <f aca="false">IF($A888="","",H888*I888)</f>
        <v>2880</v>
      </c>
      <c r="K888" s="4" t="str">
        <f aca="false">IF($A888="","",TRIM(Base_Bruta!J888))</f>
        <v>App</v>
      </c>
      <c r="L888" s="4" t="str">
        <f aca="false">IF($A888="","",TRIM(Base_Bruta!K888))</f>
        <v>C00412</v>
      </c>
      <c r="M888" s="4" t="str">
        <f aca="false">IF($A888="","",_xlfn.XLOOKUP(LOWER(TRIM(Base_Bruta!L888)),DePara_Cidade!$A$2:$A$29,DePara_Cidade!$B$2:$B$29,"REVISAR"))</f>
        <v>Rio de Janeiro</v>
      </c>
      <c r="N888" s="4" t="str">
        <f aca="false">IF($A888="","",UPPER(TRIM(Base_Bruta!M888)))</f>
        <v>RJ</v>
      </c>
      <c r="O888" s="4" t="str">
        <f aca="false">IF($A888="","",_xlfn.XLOOKUP(LOWER(TRIM(Base_Bruta!N888)),DePara_Pais!$A$2:$A$9,DePara_Pais!$B$2:$B$9,"REVISAR"))</f>
        <v>Brasil</v>
      </c>
      <c r="P888" s="4" t="str">
        <f aca="false">IF($A888="","",IF(O888&lt;&gt;"Brasil","Turista Internacional",IF(M888=F888,"Local","Turista Nacional")))</f>
        <v>Local</v>
      </c>
      <c r="Q888" s="7" t="n">
        <f aca="false">IF($A888="","",DATE(YEAR(B888),MONTH(B888),1))</f>
        <v>45717</v>
      </c>
      <c r="R888" s="4" t="str">
        <f aca="false">IF($A888="","",IF(COUNTIF($A$2:$A888,$A888)&gt;1,"Sim","Não"))</f>
        <v>Não</v>
      </c>
      <c r="S888" s="4" t="str">
        <f aca="false">IF(A888="","Descartar - Linha vazia",IF(R888="Sim","Descartar - Duplicado",IF(OR(H888&lt;=0,I888&lt;=0),"Descartar - Qtd/Valor inválido","OK")))</f>
        <v>OK</v>
      </c>
      <c r="T888" s="4" t="str">
        <f aca="false">Base_Bruta!P888</f>
        <v>vendas_RJ.xlsx</v>
      </c>
    </row>
    <row r="889" customFormat="false" ht="15" hidden="false" customHeight="false" outlineLevel="0" collapsed="false">
      <c r="A889" s="4" t="str">
        <f aca="false">IF(Base_Bruta!A889="","",Base_Bruta!A889)</f>
        <v>RJ-000370</v>
      </c>
      <c r="B889" s="5" t="n">
        <f aca="false">IF($A889="","",IF(ISNUMBER(Base_Bruta!B889),Base_Bruta!B889,IF(MID(Base_Bruta!B889,5,1)="-",DATE(VALUE(LEFT(Base_Bruta!B889,4)),VALUE(MID(Base_Bruta!B889,6,2)),VALUE(RIGHT(Base_Bruta!B889,2))),DATE(VALUE(RIGHT(Base_Bruta!B889,4)),VALUE(MID(Base_Bruta!B889,4,2)),VALUE(LEFT(Base_Bruta!B889,2))))))</f>
        <v>45740</v>
      </c>
      <c r="C889" s="5" t="n">
        <f aca="false">IF($A889="","",IF(ISNUMBER(Base_Bruta!C889),Base_Bruta!C889,IF(MID(Base_Bruta!C889,5,1)="-",DATE(VALUE(LEFT(Base_Bruta!C889,4)),VALUE(MID(Base_Bruta!C889,6,2)),VALUE(RIGHT(Base_Bruta!C889,2))),DATE(VALUE(RIGHT(Base_Bruta!C889,4)),VALUE(MID(Base_Bruta!C889,4,2)),VALUE(LEFT(Base_Bruta!C889,2))))))</f>
        <v>45822</v>
      </c>
      <c r="D889" s="4" t="str">
        <f aca="false">IF($A889="","",TRIM(Base_Bruta!D889))</f>
        <v>Show Nacional MPB - Rio</v>
      </c>
      <c r="E889" s="4" t="str">
        <f aca="false">IF($A889="","",_xlfn.XLOOKUP(LOWER(TRIM(Base_Bruta!E889)),DePara_Categoria!$A$2:$A$9,DePara_Categoria!$B$2:$B$9,"REVISAR"))</f>
        <v>Show</v>
      </c>
      <c r="F889" s="4" t="str">
        <f aca="false">IF($A889="","",_xlfn.XLOOKUP(LOWER(TRIM(Base_Bruta!F889)),DePara_Cidade!$A$2:$A$29,DePara_Cidade!$B$2:$B$29,"REVISAR"))</f>
        <v>Rio de Janeiro</v>
      </c>
      <c r="G889" s="4" t="str">
        <f aca="false">IF($A889="","",TRIM(Base_Bruta!G889))</f>
        <v>Inteira</v>
      </c>
      <c r="H889" s="4" t="n">
        <f aca="false">IF($A889="","",IF(ISNUMBER(Base_Bruta!H889),Base_Bruta!H889,IFERROR(_xlfn.NUMBERVALUE(TRIM(SUBSTITUTE(Base_Bruta!H889,"R$","")),",","."),0)))</f>
        <v>1</v>
      </c>
      <c r="I889" s="6" t="n">
        <f aca="false">IF($A889="","",IF(ISNUMBER(Base_Bruta!I889),Base_Bruta!I889,IFERROR(_xlfn.NUMBERVALUE(TRIM(SUBSTITUTE(Base_Bruta!I889,"R$","")),",","."),0)))</f>
        <v>715</v>
      </c>
      <c r="J889" s="6" t="n">
        <f aca="false">IF($A889="","",H889*I889)</f>
        <v>715</v>
      </c>
      <c r="K889" s="4" t="str">
        <f aca="false">IF($A889="","",TRIM(Base_Bruta!J889))</f>
        <v>Bilheteria</v>
      </c>
      <c r="L889" s="4" t="str">
        <f aca="false">IF($A889="","",TRIM(Base_Bruta!K889))</f>
        <v>C00788</v>
      </c>
      <c r="M889" s="4" t="str">
        <f aca="false">IF($A889="","",_xlfn.XLOOKUP(LOWER(TRIM(Base_Bruta!L889)),DePara_Cidade!$A$2:$A$29,DePara_Cidade!$B$2:$B$29,"REVISAR"))</f>
        <v>Santiago</v>
      </c>
      <c r="N889" s="4" t="str">
        <f aca="false">IF($A889="","",UPPER(TRIM(Base_Bruta!M889)))</f>
        <v>EX</v>
      </c>
      <c r="O889" s="4" t="str">
        <f aca="false">IF($A889="","",_xlfn.XLOOKUP(LOWER(TRIM(Base_Bruta!N889)),DePara_Pais!$A$2:$A$9,DePara_Pais!$B$2:$B$9,"REVISAR"))</f>
        <v>Chile</v>
      </c>
      <c r="P889" s="4" t="str">
        <f aca="false">IF($A889="","",IF(O889&lt;&gt;"Brasil","Turista Internacional",IF(M889=F889,"Local","Turista Nacional")))</f>
        <v>Turista Internacional</v>
      </c>
      <c r="Q889" s="7" t="n">
        <f aca="false">IF($A889="","",DATE(YEAR(B889),MONTH(B889),1))</f>
        <v>45717</v>
      </c>
      <c r="R889" s="4" t="str">
        <f aca="false">IF($A889="","",IF(COUNTIF($A$2:$A889,$A889)&gt;1,"Sim","Não"))</f>
        <v>Não</v>
      </c>
      <c r="S889" s="4" t="str">
        <f aca="false">IF(A889="","Descartar - Linha vazia",IF(R889="Sim","Descartar - Duplicado",IF(OR(H889&lt;=0,I889&lt;=0),"Descartar - Qtd/Valor inválido","OK")))</f>
        <v>OK</v>
      </c>
      <c r="T889" s="4" t="str">
        <f aca="false">Base_Bruta!P889</f>
        <v>vendas_RJ.xlsx</v>
      </c>
    </row>
    <row r="890" customFormat="false" ht="15" hidden="false" customHeight="false" outlineLevel="0" collapsed="false">
      <c r="A890" s="4" t="str">
        <f aca="false">IF(Base_Bruta!A890="","",Base_Bruta!A890)</f>
        <v>RJ-000628</v>
      </c>
      <c r="B890" s="5" t="n">
        <f aca="false">IF($A890="","",IF(ISNUMBER(Base_Bruta!B890),Base_Bruta!B890,IF(MID(Base_Bruta!B890,5,1)="-",DATE(VALUE(LEFT(Base_Bruta!B890,4)),VALUE(MID(Base_Bruta!B890,6,2)),VALUE(RIGHT(Base_Bruta!B890,2))),DATE(VALUE(RIGHT(Base_Bruta!B890,4)),VALUE(MID(Base_Bruta!B890,4,2)),VALUE(LEFT(Base_Bruta!B890,2))))))</f>
        <v>45740</v>
      </c>
      <c r="C890" s="5" t="n">
        <f aca="false">IF($A890="","",IF(ISNUMBER(Base_Bruta!C890),Base_Bruta!C890,IF(MID(Base_Bruta!C890,5,1)="-",DATE(VALUE(LEFT(Base_Bruta!C890,4)),VALUE(MID(Base_Bruta!C890,6,2)),VALUE(RIGHT(Base_Bruta!C890,2))),DATE(VALUE(RIGHT(Base_Bruta!C890,4)),VALUE(MID(Base_Bruta!C890,4,2)),VALUE(LEFT(Base_Bruta!C890,2))))))</f>
        <v>45740</v>
      </c>
      <c r="D890" s="4" t="str">
        <f aca="false">IF($A890="","",TRIM(Base_Bruta!D890))</f>
        <v>Cinema Barra - Sessões</v>
      </c>
      <c r="E890" s="4" t="str">
        <f aca="false">IF($A890="","",_xlfn.XLOOKUP(LOWER(TRIM(Base_Bruta!E890)),DePara_Categoria!$A$2:$A$9,DePara_Categoria!$B$2:$B$9,"REVISAR"))</f>
        <v>Cinema</v>
      </c>
      <c r="F890" s="4" t="str">
        <f aca="false">IF($A890="","",_xlfn.XLOOKUP(LOWER(TRIM(Base_Bruta!F890)),DePara_Cidade!$A$2:$A$29,DePara_Cidade!$B$2:$B$29,"REVISAR"))</f>
        <v>Rio de Janeiro</v>
      </c>
      <c r="G890" s="4" t="str">
        <f aca="false">IF($A890="","",TRIM(Base_Bruta!G890))</f>
        <v>Inteira</v>
      </c>
      <c r="H890" s="4" t="n">
        <f aca="false">IF($A890="","",IF(ISNUMBER(Base_Bruta!H890),Base_Bruta!H890,IFERROR(_xlfn.NUMBERVALUE(TRIM(SUBSTITUTE(Base_Bruta!H890,"R$","")),",","."),0)))</f>
        <v>1</v>
      </c>
      <c r="I890" s="6" t="n">
        <f aca="false">IF($A890="","",IF(ISNUMBER(Base_Bruta!I890),Base_Bruta!I890,IFERROR(_xlfn.NUMBERVALUE(TRIM(SUBSTITUTE(Base_Bruta!I890,"R$","")),",","."),0)))</f>
        <v>40</v>
      </c>
      <c r="J890" s="6" t="n">
        <f aca="false">IF($A890="","",H890*I890)</f>
        <v>40</v>
      </c>
      <c r="K890" s="4" t="str">
        <f aca="false">IF($A890="","",TRIM(Base_Bruta!J890))</f>
        <v>Site</v>
      </c>
      <c r="L890" s="4" t="str">
        <f aca="false">IF($A890="","",TRIM(Base_Bruta!K890))</f>
        <v>C01145</v>
      </c>
      <c r="M890" s="4" t="str">
        <f aca="false">IF($A890="","",_xlfn.XLOOKUP(LOWER(TRIM(Base_Bruta!L890)),DePara_Cidade!$A$2:$A$29,DePara_Cidade!$B$2:$B$29,"REVISAR"))</f>
        <v>Rio de Janeiro</v>
      </c>
      <c r="N890" s="4" t="str">
        <f aca="false">IF($A890="","",UPPER(TRIM(Base_Bruta!M890)))</f>
        <v>RJ</v>
      </c>
      <c r="O890" s="4" t="str">
        <f aca="false">IF($A890="","",_xlfn.XLOOKUP(LOWER(TRIM(Base_Bruta!N890)),DePara_Pais!$A$2:$A$9,DePara_Pais!$B$2:$B$9,"REVISAR"))</f>
        <v>Brasil</v>
      </c>
      <c r="P890" s="4" t="str">
        <f aca="false">IF($A890="","",IF(O890&lt;&gt;"Brasil","Turista Internacional",IF(M890=F890,"Local","Turista Nacional")))</f>
        <v>Local</v>
      </c>
      <c r="Q890" s="7" t="n">
        <f aca="false">IF($A890="","",DATE(YEAR(B890),MONTH(B890),1))</f>
        <v>45717</v>
      </c>
      <c r="R890" s="4" t="str">
        <f aca="false">IF($A890="","",IF(COUNTIF($A$2:$A890,$A890)&gt;1,"Sim","Não"))</f>
        <v>Não</v>
      </c>
      <c r="S890" s="4" t="str">
        <f aca="false">IF(A890="","Descartar - Linha vazia",IF(R890="Sim","Descartar - Duplicado",IF(OR(H890&lt;=0,I890&lt;=0),"Descartar - Qtd/Valor inválido","OK")))</f>
        <v>OK</v>
      </c>
      <c r="T890" s="4" t="str">
        <f aca="false">Base_Bruta!P890</f>
        <v>vendas_RJ.xlsx</v>
      </c>
    </row>
    <row r="891" customFormat="false" ht="15" hidden="false" customHeight="false" outlineLevel="0" collapsed="false">
      <c r="A891" s="4" t="str">
        <f aca="false">IF(Base_Bruta!A891="","",Base_Bruta!A891)</f>
        <v>RJ-000348</v>
      </c>
      <c r="B891" s="5" t="n">
        <f aca="false">IF($A891="","",IF(ISNUMBER(Base_Bruta!B891),Base_Bruta!B891,IF(MID(Base_Bruta!B891,5,1)="-",DATE(VALUE(LEFT(Base_Bruta!B891,4)),VALUE(MID(Base_Bruta!B891,6,2)),VALUE(RIGHT(Base_Bruta!B891,2))),DATE(VALUE(RIGHT(Base_Bruta!B891,4)),VALUE(MID(Base_Bruta!B891,4,2)),VALUE(LEFT(Base_Bruta!B891,2))))))</f>
        <v>45741</v>
      </c>
      <c r="C891" s="5" t="n">
        <f aca="false">IF($A891="","",IF(ISNUMBER(Base_Bruta!C891),Base_Bruta!C891,IF(MID(Base_Bruta!C891,5,1)="-",DATE(VALUE(LEFT(Base_Bruta!C891,4)),VALUE(MID(Base_Bruta!C891,6,2)),VALUE(RIGHT(Base_Bruta!C891,2))),DATE(VALUE(RIGHT(Base_Bruta!C891,4)),VALUE(MID(Base_Bruta!C891,4,2)),VALUE(LEFT(Base_Bruta!C891,2))))))</f>
        <v>45822</v>
      </c>
      <c r="D891" s="4" t="str">
        <f aca="false">IF($A891="","",TRIM(Base_Bruta!D891))</f>
        <v>Show Nacional MPB - Rio</v>
      </c>
      <c r="E891" s="4" t="str">
        <f aca="false">IF($A891="","",_xlfn.XLOOKUP(LOWER(TRIM(Base_Bruta!E891)),DePara_Categoria!$A$2:$A$9,DePara_Categoria!$B$2:$B$9,"REVISAR"))</f>
        <v>Show</v>
      </c>
      <c r="F891" s="4" t="str">
        <f aca="false">IF($A891="","",_xlfn.XLOOKUP(LOWER(TRIM(Base_Bruta!F891)),DePara_Cidade!$A$2:$A$29,DePara_Cidade!$B$2:$B$29,"REVISAR"))</f>
        <v>Rio de Janeiro</v>
      </c>
      <c r="G891" s="4" t="str">
        <f aca="false">IF($A891="","",TRIM(Base_Bruta!G891))</f>
        <v>Meia</v>
      </c>
      <c r="H891" s="4" t="n">
        <f aca="false">IF($A891="","",IF(ISNUMBER(Base_Bruta!H891),Base_Bruta!H891,IFERROR(_xlfn.NUMBERVALUE(TRIM(SUBSTITUTE(Base_Bruta!H891,"R$","")),",","."),0)))</f>
        <v>3</v>
      </c>
      <c r="I891" s="6" t="n">
        <f aca="false">IF($A891="","",IF(ISNUMBER(Base_Bruta!I891),Base_Bruta!I891,IFERROR(_xlfn.NUMBERVALUE(TRIM(SUBSTITUTE(Base_Bruta!I891,"R$","")),",","."),0)))</f>
        <v>205</v>
      </c>
      <c r="J891" s="6" t="n">
        <f aca="false">IF($A891="","",H891*I891)</f>
        <v>615</v>
      </c>
      <c r="K891" s="4" t="str">
        <f aca="false">IF($A891="","",TRIM(Base_Bruta!J891))</f>
        <v>App</v>
      </c>
      <c r="L891" s="4" t="str">
        <f aca="false">IF($A891="","",TRIM(Base_Bruta!K891))</f>
        <v>C02314</v>
      </c>
      <c r="M891" s="4" t="str">
        <f aca="false">IF($A891="","",_xlfn.XLOOKUP(LOWER(TRIM(Base_Bruta!L891)),DePara_Cidade!$A$2:$A$29,DePara_Cidade!$B$2:$B$29,"REVISAR"))</f>
        <v>Rio de Janeiro</v>
      </c>
      <c r="N891" s="4" t="str">
        <f aca="false">IF($A891="","",UPPER(TRIM(Base_Bruta!M891)))</f>
        <v>RJ</v>
      </c>
      <c r="O891" s="4" t="str">
        <f aca="false">IF($A891="","",_xlfn.XLOOKUP(LOWER(TRIM(Base_Bruta!N891)),DePara_Pais!$A$2:$A$9,DePara_Pais!$B$2:$B$9,"REVISAR"))</f>
        <v>Brasil</v>
      </c>
      <c r="P891" s="4" t="str">
        <f aca="false">IF($A891="","",IF(O891&lt;&gt;"Brasil","Turista Internacional",IF(M891=F891,"Local","Turista Nacional")))</f>
        <v>Local</v>
      </c>
      <c r="Q891" s="7" t="n">
        <f aca="false">IF($A891="","",DATE(YEAR(B891),MONTH(B891),1))</f>
        <v>45717</v>
      </c>
      <c r="R891" s="4" t="str">
        <f aca="false">IF($A891="","",IF(COUNTIF($A$2:$A891,$A891)&gt;1,"Sim","Não"))</f>
        <v>Não</v>
      </c>
      <c r="S891" s="4" t="str">
        <f aca="false">IF(A891="","Descartar - Linha vazia",IF(R891="Sim","Descartar - Duplicado",IF(OR(H891&lt;=0,I891&lt;=0),"Descartar - Qtd/Valor inválido","OK")))</f>
        <v>OK</v>
      </c>
      <c r="T891" s="4" t="str">
        <f aca="false">Base_Bruta!P891</f>
        <v>vendas_RJ.xlsx</v>
      </c>
    </row>
    <row r="892" customFormat="false" ht="15" hidden="false" customHeight="false" outlineLevel="0" collapsed="false">
      <c r="A892" s="4" t="str">
        <f aca="false">IF(Base_Bruta!A892="","",Base_Bruta!A892)</f>
        <v>RJ-000366</v>
      </c>
      <c r="B892" s="5" t="n">
        <f aca="false">IF($A892="","",IF(ISNUMBER(Base_Bruta!B892),Base_Bruta!B892,IF(MID(Base_Bruta!B892,5,1)="-",DATE(VALUE(LEFT(Base_Bruta!B892,4)),VALUE(MID(Base_Bruta!B892,6,2)),VALUE(RIGHT(Base_Bruta!B892,2))),DATE(VALUE(RIGHT(Base_Bruta!B892,4)),VALUE(MID(Base_Bruta!B892,4,2)),VALUE(LEFT(Base_Bruta!B892,2))))))</f>
        <v>45743</v>
      </c>
      <c r="C892" s="5" t="n">
        <f aca="false">IF($A892="","",IF(ISNUMBER(Base_Bruta!C892),Base_Bruta!C892,IF(MID(Base_Bruta!C892,5,1)="-",DATE(VALUE(LEFT(Base_Bruta!C892,4)),VALUE(MID(Base_Bruta!C892,6,2)),VALUE(RIGHT(Base_Bruta!C892,2))),DATE(VALUE(RIGHT(Base_Bruta!C892,4)),VALUE(MID(Base_Bruta!C892,4,2)),VALUE(LEFT(Base_Bruta!C892,2))))))</f>
        <v>45822</v>
      </c>
      <c r="D892" s="4" t="str">
        <f aca="false">IF($A892="","",TRIM(Base_Bruta!D892))</f>
        <v>Show Nacional MPB - Rio</v>
      </c>
      <c r="E892" s="4" t="str">
        <f aca="false">IF($A892="","",_xlfn.XLOOKUP(LOWER(TRIM(Base_Bruta!E892)),DePara_Categoria!$A$2:$A$9,DePara_Categoria!$B$2:$B$9,"REVISAR"))</f>
        <v>Show</v>
      </c>
      <c r="F892" s="4" t="str">
        <f aca="false">IF($A892="","",_xlfn.XLOOKUP(LOWER(TRIM(Base_Bruta!F892)),DePara_Cidade!$A$2:$A$29,DePara_Cidade!$B$2:$B$29,"REVISAR"))</f>
        <v>Rio de Janeiro</v>
      </c>
      <c r="G892" s="4" t="str">
        <f aca="false">IF($A892="","",TRIM(Base_Bruta!G892))</f>
        <v>VIP</v>
      </c>
      <c r="H892" s="4" t="n">
        <f aca="false">IF($A892="","",IF(ISNUMBER(Base_Bruta!H892),Base_Bruta!H892,IFERROR(_xlfn.NUMBERVALUE(TRIM(SUBSTITUTE(Base_Bruta!H892,"R$","")),",","."),0)))</f>
        <v>1</v>
      </c>
      <c r="I892" s="6" t="n">
        <f aca="false">IF($A892="","",IF(ISNUMBER(Base_Bruta!I892),Base_Bruta!I892,IFERROR(_xlfn.NUMBERVALUE(TRIM(SUBSTITUTE(Base_Bruta!I892,"R$","")),",","."),0)))</f>
        <v>1080</v>
      </c>
      <c r="J892" s="6" t="n">
        <f aca="false">IF($A892="","",H892*I892)</f>
        <v>1080</v>
      </c>
      <c r="K892" s="4" t="str">
        <f aca="false">IF($A892="","",TRIM(Base_Bruta!J892))</f>
        <v>Bilheteria</v>
      </c>
      <c r="L892" s="4" t="str">
        <f aca="false">IF($A892="","",TRIM(Base_Bruta!K892))</f>
        <v>C00782</v>
      </c>
      <c r="M892" s="4" t="str">
        <f aca="false">IF($A892="","",_xlfn.XLOOKUP(LOWER(TRIM(Base_Bruta!L892)),DePara_Cidade!$A$2:$A$29,DePara_Cidade!$B$2:$B$29,"REVISAR"))</f>
        <v>Rio de Janeiro</v>
      </c>
      <c r="N892" s="4" t="str">
        <f aca="false">IF($A892="","",UPPER(TRIM(Base_Bruta!M892)))</f>
        <v>RJ</v>
      </c>
      <c r="O892" s="4" t="str">
        <f aca="false">IF($A892="","",_xlfn.XLOOKUP(LOWER(TRIM(Base_Bruta!N892)),DePara_Pais!$A$2:$A$9,DePara_Pais!$B$2:$B$9,"REVISAR"))</f>
        <v>Brasil</v>
      </c>
      <c r="P892" s="4" t="str">
        <f aca="false">IF($A892="","",IF(O892&lt;&gt;"Brasil","Turista Internacional",IF(M892=F892,"Local","Turista Nacional")))</f>
        <v>Local</v>
      </c>
      <c r="Q892" s="7" t="n">
        <f aca="false">IF($A892="","",DATE(YEAR(B892),MONTH(B892),1))</f>
        <v>45717</v>
      </c>
      <c r="R892" s="4" t="str">
        <f aca="false">IF($A892="","",IF(COUNTIF($A$2:$A892,$A892)&gt;1,"Sim","Não"))</f>
        <v>Não</v>
      </c>
      <c r="S892" s="4" t="str">
        <f aca="false">IF(A892="","Descartar - Linha vazia",IF(R892="Sim","Descartar - Duplicado",IF(OR(H892&lt;=0,I892&lt;=0),"Descartar - Qtd/Valor inválido","OK")))</f>
        <v>OK</v>
      </c>
      <c r="T892" s="4" t="str">
        <f aca="false">Base_Bruta!P892</f>
        <v>vendas_RJ.xlsx</v>
      </c>
    </row>
    <row r="893" customFormat="false" ht="15" hidden="false" customHeight="false" outlineLevel="0" collapsed="false">
      <c r="A893" s="4" t="str">
        <f aca="false">IF(Base_Bruta!A893="","",Base_Bruta!A893)</f>
        <v>RJ-000367</v>
      </c>
      <c r="B893" s="5" t="n">
        <f aca="false">IF($A893="","",IF(ISNUMBER(Base_Bruta!B893),Base_Bruta!B893,IF(MID(Base_Bruta!B893,5,1)="-",DATE(VALUE(LEFT(Base_Bruta!B893,4)),VALUE(MID(Base_Bruta!B893,6,2)),VALUE(RIGHT(Base_Bruta!B893,2))),DATE(VALUE(RIGHT(Base_Bruta!B893,4)),VALUE(MID(Base_Bruta!B893,4,2)),VALUE(LEFT(Base_Bruta!B893,2))))))</f>
        <v>45743</v>
      </c>
      <c r="C893" s="5" t="n">
        <f aca="false">IF($A893="","",IF(ISNUMBER(Base_Bruta!C893),Base_Bruta!C893,IF(MID(Base_Bruta!C893,5,1)="-",DATE(VALUE(LEFT(Base_Bruta!C893,4)),VALUE(MID(Base_Bruta!C893,6,2)),VALUE(RIGHT(Base_Bruta!C893,2))),DATE(VALUE(RIGHT(Base_Bruta!C893,4)),VALUE(MID(Base_Bruta!C893,4,2)),VALUE(LEFT(Base_Bruta!C893,2))))))</f>
        <v>45822</v>
      </c>
      <c r="D893" s="4" t="str">
        <f aca="false">IF($A893="","",TRIM(Base_Bruta!D893))</f>
        <v>Show Nacional MPB - Rio</v>
      </c>
      <c r="E893" s="4" t="str">
        <f aca="false">IF($A893="","",_xlfn.XLOOKUP(LOWER(TRIM(Base_Bruta!E893)),DePara_Categoria!$A$2:$A$9,DePara_Categoria!$B$2:$B$9,"REVISAR"))</f>
        <v>Show</v>
      </c>
      <c r="F893" s="4" t="str">
        <f aca="false">IF($A893="","",_xlfn.XLOOKUP(LOWER(TRIM(Base_Bruta!F893)),DePara_Cidade!$A$2:$A$29,DePara_Cidade!$B$2:$B$29,"REVISAR"))</f>
        <v>Rio de Janeiro</v>
      </c>
      <c r="G893" s="4" t="str">
        <f aca="false">IF($A893="","",TRIM(Base_Bruta!G893))</f>
        <v>Inteira</v>
      </c>
      <c r="H893" s="4" t="n">
        <f aca="false">IF($A893="","",IF(ISNUMBER(Base_Bruta!H893),Base_Bruta!H893,IFERROR(_xlfn.NUMBERVALUE(TRIM(SUBSTITUTE(Base_Bruta!H893,"R$","")),",","."),0)))</f>
        <v>2</v>
      </c>
      <c r="I893" s="6" t="n">
        <f aca="false">IF($A893="","",IF(ISNUMBER(Base_Bruta!I893),Base_Bruta!I893,IFERROR(_xlfn.NUMBERVALUE(TRIM(SUBSTITUTE(Base_Bruta!I893,"R$","")),",","."),0)))</f>
        <v>485</v>
      </c>
      <c r="J893" s="6" t="n">
        <f aca="false">IF($A893="","",H893*I893)</f>
        <v>970</v>
      </c>
      <c r="K893" s="4" t="str">
        <f aca="false">IF($A893="","",TRIM(Base_Bruta!J893))</f>
        <v>Bilheteria</v>
      </c>
      <c r="L893" s="4" t="str">
        <f aca="false">IF($A893="","",TRIM(Base_Bruta!K893))</f>
        <v>C01646</v>
      </c>
      <c r="M893" s="4" t="str">
        <f aca="false">IF($A893="","",_xlfn.XLOOKUP(LOWER(TRIM(Base_Bruta!L893)),DePara_Cidade!$A$2:$A$29,DePara_Cidade!$B$2:$B$29,"REVISAR"))</f>
        <v>Rio de Janeiro</v>
      </c>
      <c r="N893" s="4" t="str">
        <f aca="false">IF($A893="","",UPPER(TRIM(Base_Bruta!M893)))</f>
        <v>RJ</v>
      </c>
      <c r="O893" s="4" t="str">
        <f aca="false">IF($A893="","",_xlfn.XLOOKUP(LOWER(TRIM(Base_Bruta!N893)),DePara_Pais!$A$2:$A$9,DePara_Pais!$B$2:$B$9,"REVISAR"))</f>
        <v>Brasil</v>
      </c>
      <c r="P893" s="4" t="str">
        <f aca="false">IF($A893="","",IF(O893&lt;&gt;"Brasil","Turista Internacional",IF(M893=F893,"Local","Turista Nacional")))</f>
        <v>Local</v>
      </c>
      <c r="Q893" s="7" t="n">
        <f aca="false">IF($A893="","",DATE(YEAR(B893),MONTH(B893),1))</f>
        <v>45717</v>
      </c>
      <c r="R893" s="4" t="str">
        <f aca="false">IF($A893="","",IF(COUNTIF($A$2:$A893,$A893)&gt;1,"Sim","Não"))</f>
        <v>Não</v>
      </c>
      <c r="S893" s="4" t="str">
        <f aca="false">IF(A893="","Descartar - Linha vazia",IF(R893="Sim","Descartar - Duplicado",IF(OR(H893&lt;=0,I893&lt;=0),"Descartar - Qtd/Valor inválido","OK")))</f>
        <v>OK</v>
      </c>
      <c r="T893" s="4" t="str">
        <f aca="false">Base_Bruta!P893</f>
        <v>vendas_RJ.xlsx</v>
      </c>
    </row>
    <row r="894" customFormat="false" ht="15" hidden="false" customHeight="false" outlineLevel="0" collapsed="false">
      <c r="A894" s="4" t="str">
        <f aca="false">IF(Base_Bruta!A894="","",Base_Bruta!A894)</f>
        <v>RJ-000245</v>
      </c>
      <c r="B894" s="5" t="n">
        <f aca="false">IF($A894="","",IF(ISNUMBER(Base_Bruta!B894),Base_Bruta!B894,IF(MID(Base_Bruta!B894,5,1)="-",DATE(VALUE(LEFT(Base_Bruta!B894,4)),VALUE(MID(Base_Bruta!B894,6,2)),VALUE(RIGHT(Base_Bruta!B894,2))),DATE(VALUE(RIGHT(Base_Bruta!B894,4)),VALUE(MID(Base_Bruta!B894,4,2)),VALUE(LEFT(Base_Bruta!B894,2))))))</f>
        <v>45744</v>
      </c>
      <c r="C894" s="5" t="n">
        <f aca="false">IF($A894="","",IF(ISNUMBER(Base_Bruta!C894),Base_Bruta!C894,IF(MID(Base_Bruta!C894,5,1)="-",DATE(VALUE(LEFT(Base_Bruta!C894,4)),VALUE(MID(Base_Bruta!C894,6,2)),VALUE(RIGHT(Base_Bruta!C894,2))),DATE(VALUE(RIGHT(Base_Bruta!C894,4)),VALUE(MID(Base_Bruta!C894,4,2)),VALUE(LEFT(Base_Bruta!C894,2))))))</f>
        <v>45822</v>
      </c>
      <c r="D894" s="4" t="str">
        <f aca="false">IF($A894="","",TRIM(Base_Bruta!D894))</f>
        <v>Show Nacional MPB - Rio</v>
      </c>
      <c r="E894" s="4" t="str">
        <f aca="false">IF($A894="","",_xlfn.XLOOKUP(LOWER(TRIM(Base_Bruta!E894)),DePara_Categoria!$A$2:$A$9,DePara_Categoria!$B$2:$B$9,"REVISAR"))</f>
        <v>Show</v>
      </c>
      <c r="F894" s="4" t="str">
        <f aca="false">IF($A894="","",_xlfn.XLOOKUP(LOWER(TRIM(Base_Bruta!F894)),DePara_Cidade!$A$2:$A$29,DePara_Cidade!$B$2:$B$29,"REVISAR"))</f>
        <v>Rio de Janeiro</v>
      </c>
      <c r="G894" s="4" t="str">
        <f aca="false">IF($A894="","",TRIM(Base_Bruta!G894))</f>
        <v>Meia</v>
      </c>
      <c r="H894" s="4" t="n">
        <f aca="false">IF($A894="","",IF(ISNUMBER(Base_Bruta!H894),Base_Bruta!H894,IFERROR(_xlfn.NUMBERVALUE(TRIM(SUBSTITUTE(Base_Bruta!H894,"R$","")),",","."),0)))</f>
        <v>2</v>
      </c>
      <c r="I894" s="6" t="n">
        <f aca="false">IF($A894="","",IF(ISNUMBER(Base_Bruta!I894),Base_Bruta!I894,IFERROR(_xlfn.NUMBERVALUE(TRIM(SUBSTITUTE(Base_Bruta!I894,"R$","")),",","."),0)))</f>
        <v>370</v>
      </c>
      <c r="J894" s="6" t="n">
        <f aca="false">IF($A894="","",H894*I894)</f>
        <v>740</v>
      </c>
      <c r="K894" s="4" t="str">
        <f aca="false">IF($A894="","",TRIM(Base_Bruta!J894))</f>
        <v>Site</v>
      </c>
      <c r="L894" s="4" t="str">
        <f aca="false">IF($A894="","",TRIM(Base_Bruta!K894))</f>
        <v>C02303</v>
      </c>
      <c r="M894" s="4" t="str">
        <f aca="false">IF($A894="","",_xlfn.XLOOKUP(LOWER(TRIM(Base_Bruta!L894)),DePara_Cidade!$A$2:$A$29,DePara_Cidade!$B$2:$B$29,"REVISAR"))</f>
        <v>Belo Horizonte</v>
      </c>
      <c r="N894" s="4" t="str">
        <f aca="false">IF($A894="","",UPPER(TRIM(Base_Bruta!M894)))</f>
        <v>MG</v>
      </c>
      <c r="O894" s="4" t="str">
        <f aca="false">IF($A894="","",_xlfn.XLOOKUP(LOWER(TRIM(Base_Bruta!N894)),DePara_Pais!$A$2:$A$9,DePara_Pais!$B$2:$B$9,"REVISAR"))</f>
        <v>Brasil</v>
      </c>
      <c r="P894" s="4" t="str">
        <f aca="false">IF($A894="","",IF(O894&lt;&gt;"Brasil","Turista Internacional",IF(M894=F894,"Local","Turista Nacional")))</f>
        <v>Turista Nacional</v>
      </c>
      <c r="Q894" s="7" t="n">
        <f aca="false">IF($A894="","",DATE(YEAR(B894),MONTH(B894),1))</f>
        <v>45717</v>
      </c>
      <c r="R894" s="4" t="str">
        <f aca="false">IF($A894="","",IF(COUNTIF($A$2:$A894,$A894)&gt;1,"Sim","Não"))</f>
        <v>Não</v>
      </c>
      <c r="S894" s="4" t="str">
        <f aca="false">IF(A894="","Descartar - Linha vazia",IF(R894="Sim","Descartar - Duplicado",IF(OR(H894&lt;=0,I894&lt;=0),"Descartar - Qtd/Valor inválido","OK")))</f>
        <v>OK</v>
      </c>
      <c r="T894" s="4" t="str">
        <f aca="false">Base_Bruta!P894</f>
        <v>vendas_RJ.xlsx</v>
      </c>
    </row>
    <row r="895" customFormat="false" ht="15" hidden="false" customHeight="false" outlineLevel="0" collapsed="false">
      <c r="A895" s="4" t="str">
        <f aca="false">IF(Base_Bruta!A895="","",Base_Bruta!A895)</f>
        <v>RJ-000297</v>
      </c>
      <c r="B895" s="5" t="n">
        <f aca="false">IF($A895="","",IF(ISNUMBER(Base_Bruta!B895),Base_Bruta!B895,IF(MID(Base_Bruta!B895,5,1)="-",DATE(VALUE(LEFT(Base_Bruta!B895,4)),VALUE(MID(Base_Bruta!B895,6,2)),VALUE(RIGHT(Base_Bruta!B895,2))),DATE(VALUE(RIGHT(Base_Bruta!B895,4)),VALUE(MID(Base_Bruta!B895,4,2)),VALUE(LEFT(Base_Bruta!B895,2))))))</f>
        <v>45747</v>
      </c>
      <c r="C895" s="5" t="n">
        <f aca="false">IF($A895="","",IF(ISNUMBER(Base_Bruta!C895),Base_Bruta!C895,IF(MID(Base_Bruta!C895,5,1)="-",DATE(VALUE(LEFT(Base_Bruta!C895,4)),VALUE(MID(Base_Bruta!C895,6,2)),VALUE(RIGHT(Base_Bruta!C895,2))),DATE(VALUE(RIGHT(Base_Bruta!C895,4)),VALUE(MID(Base_Bruta!C895,4,2)),VALUE(LEFT(Base_Bruta!C895,2))))))</f>
        <v>45822</v>
      </c>
      <c r="D895" s="4" t="str">
        <f aca="false">IF($A895="","",TRIM(Base_Bruta!D895))</f>
        <v>Show Nacional MPB - Rio</v>
      </c>
      <c r="E895" s="4" t="str">
        <f aca="false">IF($A895="","",_xlfn.XLOOKUP(LOWER(TRIM(Base_Bruta!E895)),DePara_Categoria!$A$2:$A$9,DePara_Categoria!$B$2:$B$9,"REVISAR"))</f>
        <v>Show</v>
      </c>
      <c r="F895" s="4" t="str">
        <f aca="false">IF($A895="","",_xlfn.XLOOKUP(LOWER(TRIM(Base_Bruta!F895)),DePara_Cidade!$A$2:$A$29,DePara_Cidade!$B$2:$B$29,"REVISAR"))</f>
        <v>Rio de Janeiro</v>
      </c>
      <c r="G895" s="4" t="str">
        <f aca="false">IF($A895="","",TRIM(Base_Bruta!G895))</f>
        <v>Meia</v>
      </c>
      <c r="H895" s="4" t="n">
        <f aca="false">IF($A895="","",IF(ISNUMBER(Base_Bruta!H895),Base_Bruta!H895,IFERROR(_xlfn.NUMBERVALUE(TRIM(SUBSTITUTE(Base_Bruta!H895,"R$","")),",","."),0)))</f>
        <v>1</v>
      </c>
      <c r="I895" s="6" t="n">
        <f aca="false">IF($A895="","",IF(ISNUMBER(Base_Bruta!I895),Base_Bruta!I895,IFERROR(_xlfn.NUMBERVALUE(TRIM(SUBSTITUTE(Base_Bruta!I895,"R$","")),",","."),0)))</f>
        <v>235</v>
      </c>
      <c r="J895" s="6" t="n">
        <f aca="false">IF($A895="","",H895*I895)</f>
        <v>235</v>
      </c>
      <c r="K895" s="4" t="str">
        <f aca="false">IF($A895="","",TRIM(Base_Bruta!J895))</f>
        <v>Site</v>
      </c>
      <c r="L895" s="4" t="str">
        <f aca="false">IF($A895="","",TRIM(Base_Bruta!K895))</f>
        <v>C02090</v>
      </c>
      <c r="M895" s="4" t="str">
        <f aca="false">IF($A895="","",_xlfn.XLOOKUP(LOWER(TRIM(Base_Bruta!L895)),DePara_Cidade!$A$2:$A$29,DePara_Cidade!$B$2:$B$29,"REVISAR"))</f>
        <v>Rio de Janeiro</v>
      </c>
      <c r="N895" s="4" t="str">
        <f aca="false">IF($A895="","",UPPER(TRIM(Base_Bruta!M895)))</f>
        <v>RJ</v>
      </c>
      <c r="O895" s="4" t="str">
        <f aca="false">IF($A895="","",_xlfn.XLOOKUP(LOWER(TRIM(Base_Bruta!N895)),DePara_Pais!$A$2:$A$9,DePara_Pais!$B$2:$B$9,"REVISAR"))</f>
        <v>Brasil</v>
      </c>
      <c r="P895" s="4" t="str">
        <f aca="false">IF($A895="","",IF(O895&lt;&gt;"Brasil","Turista Internacional",IF(M895=F895,"Local","Turista Nacional")))</f>
        <v>Local</v>
      </c>
      <c r="Q895" s="7" t="n">
        <f aca="false">IF($A895="","",DATE(YEAR(B895),MONTH(B895),1))</f>
        <v>45717</v>
      </c>
      <c r="R895" s="4" t="str">
        <f aca="false">IF($A895="","",IF(COUNTIF($A$2:$A895,$A895)&gt;1,"Sim","Não"))</f>
        <v>Não</v>
      </c>
      <c r="S895" s="4" t="str">
        <f aca="false">IF(A895="","Descartar - Linha vazia",IF(R895="Sim","Descartar - Duplicado",IF(OR(H895&lt;=0,I895&lt;=0),"Descartar - Qtd/Valor inválido","OK")))</f>
        <v>OK</v>
      </c>
      <c r="T895" s="4" t="str">
        <f aca="false">Base_Bruta!P895</f>
        <v>vendas_RJ.xlsx</v>
      </c>
    </row>
    <row r="896" customFormat="false" ht="15" hidden="false" customHeight="false" outlineLevel="0" collapsed="false">
      <c r="A896" s="4" t="str">
        <f aca="false">IF(Base_Bruta!A896="","",Base_Bruta!A896)</f>
        <v>RJ-000303</v>
      </c>
      <c r="B896" s="5" t="n">
        <f aca="false">IF($A896="","",IF(ISNUMBER(Base_Bruta!B896),Base_Bruta!B896,IF(MID(Base_Bruta!B896,5,1)="-",DATE(VALUE(LEFT(Base_Bruta!B896,4)),VALUE(MID(Base_Bruta!B896,6,2)),VALUE(RIGHT(Base_Bruta!B896,2))),DATE(VALUE(RIGHT(Base_Bruta!B896,4)),VALUE(MID(Base_Bruta!B896,4,2)),VALUE(LEFT(Base_Bruta!B896,2))))))</f>
        <v>45747</v>
      </c>
      <c r="C896" s="5" t="n">
        <f aca="false">IF($A896="","",IF(ISNUMBER(Base_Bruta!C896),Base_Bruta!C896,IF(MID(Base_Bruta!C896,5,1)="-",DATE(VALUE(LEFT(Base_Bruta!C896,4)),VALUE(MID(Base_Bruta!C896,6,2)),VALUE(RIGHT(Base_Bruta!C896,2))),DATE(VALUE(RIGHT(Base_Bruta!C896,4)),VALUE(MID(Base_Bruta!C896,4,2)),VALUE(LEFT(Base_Bruta!C896,2))))))</f>
        <v>45822</v>
      </c>
      <c r="D896" s="4" t="str">
        <f aca="false">IF($A896="","",TRIM(Base_Bruta!D896))</f>
        <v>Show Nacional MPB - Rio</v>
      </c>
      <c r="E896" s="4" t="str">
        <f aca="false">IF($A896="","",_xlfn.XLOOKUP(LOWER(TRIM(Base_Bruta!E896)),DePara_Categoria!$A$2:$A$9,DePara_Categoria!$B$2:$B$9,"REVISAR"))</f>
        <v>Show</v>
      </c>
      <c r="F896" s="4" t="str">
        <f aca="false">IF($A896="","",_xlfn.XLOOKUP(LOWER(TRIM(Base_Bruta!F896)),DePara_Cidade!$A$2:$A$29,DePara_Cidade!$B$2:$B$29,"REVISAR"))</f>
        <v>Rio de Janeiro</v>
      </c>
      <c r="G896" s="4" t="str">
        <f aca="false">IF($A896="","",TRIM(Base_Bruta!G896))</f>
        <v>Inteira</v>
      </c>
      <c r="H896" s="4" t="n">
        <f aca="false">IF($A896="","",IF(ISNUMBER(Base_Bruta!H896),Base_Bruta!H896,IFERROR(_xlfn.NUMBERVALUE(TRIM(SUBSTITUTE(Base_Bruta!H896,"R$","")),",","."),0)))</f>
        <v>1</v>
      </c>
      <c r="I896" s="6" t="n">
        <f aca="false">IF($A896="","",IF(ISNUMBER(Base_Bruta!I896),Base_Bruta!I896,IFERROR(_xlfn.NUMBERVALUE(TRIM(SUBSTITUTE(Base_Bruta!I896,"R$","")),",","."),0)))</f>
        <v>765</v>
      </c>
      <c r="J896" s="6" t="n">
        <f aca="false">IF($A896="","",H896*I896)</f>
        <v>765</v>
      </c>
      <c r="K896" s="4" t="str">
        <f aca="false">IF($A896="","",TRIM(Base_Bruta!J896))</f>
        <v>App</v>
      </c>
      <c r="L896" s="4" t="str">
        <f aca="false">IF($A896="","",TRIM(Base_Bruta!K896))</f>
        <v>C02241</v>
      </c>
      <c r="M896" s="4" t="str">
        <f aca="false">IF($A896="","",_xlfn.XLOOKUP(LOWER(TRIM(Base_Bruta!L896)),DePara_Cidade!$A$2:$A$29,DePara_Cidade!$B$2:$B$29,"REVISAR"))</f>
        <v>Rio de Janeiro</v>
      </c>
      <c r="N896" s="4" t="str">
        <f aca="false">IF($A896="","",UPPER(TRIM(Base_Bruta!M896)))</f>
        <v>RJ</v>
      </c>
      <c r="O896" s="4" t="str">
        <f aca="false">IF($A896="","",_xlfn.XLOOKUP(LOWER(TRIM(Base_Bruta!N896)),DePara_Pais!$A$2:$A$9,DePara_Pais!$B$2:$B$9,"REVISAR"))</f>
        <v>Brasil</v>
      </c>
      <c r="P896" s="4" t="str">
        <f aca="false">IF($A896="","",IF(O896&lt;&gt;"Brasil","Turista Internacional",IF(M896=F896,"Local","Turista Nacional")))</f>
        <v>Local</v>
      </c>
      <c r="Q896" s="7" t="n">
        <f aca="false">IF($A896="","",DATE(YEAR(B896),MONTH(B896),1))</f>
        <v>45717</v>
      </c>
      <c r="R896" s="4" t="str">
        <f aca="false">IF($A896="","",IF(COUNTIF($A$2:$A896,$A896)&gt;1,"Sim","Não"))</f>
        <v>Não</v>
      </c>
      <c r="S896" s="4" t="str">
        <f aca="false">IF(A896="","Descartar - Linha vazia",IF(R896="Sim","Descartar - Duplicado",IF(OR(H896&lt;=0,I896&lt;=0),"Descartar - Qtd/Valor inválido","OK")))</f>
        <v>OK</v>
      </c>
      <c r="T896" s="4" t="str">
        <f aca="false">Base_Bruta!P896</f>
        <v>vendas_RJ.xlsx</v>
      </c>
    </row>
    <row r="897" customFormat="false" ht="15" hidden="false" customHeight="false" outlineLevel="0" collapsed="false">
      <c r="A897" s="4" t="str">
        <f aca="false">IF(Base_Bruta!A897="","",Base_Bruta!A897)</f>
        <v>RJ-000329</v>
      </c>
      <c r="B897" s="5" t="n">
        <f aca="false">IF($A897="","",IF(ISNUMBER(Base_Bruta!B897),Base_Bruta!B897,IF(MID(Base_Bruta!B897,5,1)="-",DATE(VALUE(LEFT(Base_Bruta!B897,4)),VALUE(MID(Base_Bruta!B897,6,2)),VALUE(RIGHT(Base_Bruta!B897,2))),DATE(VALUE(RIGHT(Base_Bruta!B897,4)),VALUE(MID(Base_Bruta!B897,4,2)),VALUE(LEFT(Base_Bruta!B897,2))))))</f>
        <v>45749</v>
      </c>
      <c r="C897" s="5" t="n">
        <f aca="false">IF($A897="","",IF(ISNUMBER(Base_Bruta!C897),Base_Bruta!C897,IF(MID(Base_Bruta!C897,5,1)="-",DATE(VALUE(LEFT(Base_Bruta!C897,4)),VALUE(MID(Base_Bruta!C897,6,2)),VALUE(RIGHT(Base_Bruta!C897,2))),DATE(VALUE(RIGHT(Base_Bruta!C897,4)),VALUE(MID(Base_Bruta!C897,4,2)),VALUE(LEFT(Base_Bruta!C897,2))))))</f>
        <v>45822</v>
      </c>
      <c r="D897" s="4" t="str">
        <f aca="false">IF($A897="","",TRIM(Base_Bruta!D897))</f>
        <v>Show Nacional MPB - Rio</v>
      </c>
      <c r="E897" s="4" t="str">
        <f aca="false">IF($A897="","",_xlfn.XLOOKUP(LOWER(TRIM(Base_Bruta!E897)),DePara_Categoria!$A$2:$A$9,DePara_Categoria!$B$2:$B$9,"REVISAR"))</f>
        <v>Show</v>
      </c>
      <c r="F897" s="4" t="str">
        <f aca="false">IF($A897="","",_xlfn.XLOOKUP(LOWER(TRIM(Base_Bruta!F897)),DePara_Cidade!$A$2:$A$29,DePara_Cidade!$B$2:$B$29,"REVISAR"))</f>
        <v>Rio de Janeiro</v>
      </c>
      <c r="G897" s="4" t="str">
        <f aca="false">IF($A897="","",TRIM(Base_Bruta!G897))</f>
        <v>Inteira</v>
      </c>
      <c r="H897" s="4" t="n">
        <f aca="false">IF($A897="","",IF(ISNUMBER(Base_Bruta!H897),Base_Bruta!H897,IFERROR(_xlfn.NUMBERVALUE(TRIM(SUBSTITUTE(Base_Bruta!H897,"R$","")),",","."),0)))</f>
        <v>1</v>
      </c>
      <c r="I897" s="6" t="n">
        <f aca="false">IF($A897="","",IF(ISNUMBER(Base_Bruta!I897),Base_Bruta!I897,IFERROR(_xlfn.NUMBERVALUE(TRIM(SUBSTITUTE(Base_Bruta!I897,"R$","")),",","."),0)))</f>
        <v>490</v>
      </c>
      <c r="J897" s="6" t="n">
        <f aca="false">IF($A897="","",H897*I897)</f>
        <v>490</v>
      </c>
      <c r="K897" s="4" t="str">
        <f aca="false">IF($A897="","",TRIM(Base_Bruta!J897))</f>
        <v>Site</v>
      </c>
      <c r="L897" s="4" t="str">
        <f aca="false">IF($A897="","",TRIM(Base_Bruta!K897))</f>
        <v>C01245</v>
      </c>
      <c r="M897" s="4" t="str">
        <f aca="false">IF($A897="","",_xlfn.XLOOKUP(LOWER(TRIM(Base_Bruta!L897)),DePara_Cidade!$A$2:$A$29,DePara_Cidade!$B$2:$B$29,"REVISAR"))</f>
        <v>Rio de Janeiro</v>
      </c>
      <c r="N897" s="4" t="str">
        <f aca="false">IF($A897="","",UPPER(TRIM(Base_Bruta!M897)))</f>
        <v>RJ</v>
      </c>
      <c r="O897" s="4" t="str">
        <f aca="false">IF($A897="","",_xlfn.XLOOKUP(LOWER(TRIM(Base_Bruta!N897)),DePara_Pais!$A$2:$A$9,DePara_Pais!$B$2:$B$9,"REVISAR"))</f>
        <v>Brasil</v>
      </c>
      <c r="P897" s="4" t="str">
        <f aca="false">IF($A897="","",IF(O897&lt;&gt;"Brasil","Turista Internacional",IF(M897=F897,"Local","Turista Nacional")))</f>
        <v>Local</v>
      </c>
      <c r="Q897" s="7" t="n">
        <f aca="false">IF($A897="","",DATE(YEAR(B897),MONTH(B897),1))</f>
        <v>45748</v>
      </c>
      <c r="R897" s="4" t="str">
        <f aca="false">IF($A897="","",IF(COUNTIF($A$2:$A897,$A897)&gt;1,"Sim","Não"))</f>
        <v>Não</v>
      </c>
      <c r="S897" s="4" t="str">
        <f aca="false">IF(A897="","Descartar - Linha vazia",IF(R897="Sim","Descartar - Duplicado",IF(OR(H897&lt;=0,I897&lt;=0),"Descartar - Qtd/Valor inválido","OK")))</f>
        <v>OK</v>
      </c>
      <c r="T897" s="4" t="str">
        <f aca="false">Base_Bruta!P897</f>
        <v>vendas_RJ.xlsx</v>
      </c>
    </row>
    <row r="898" customFormat="false" ht="15" hidden="false" customHeight="false" outlineLevel="0" collapsed="false">
      <c r="A898" s="4" t="str">
        <f aca="false">IF(Base_Bruta!A898="","",Base_Bruta!A898)</f>
        <v>RJ-000659</v>
      </c>
      <c r="B898" s="5" t="n">
        <f aca="false">IF($A898="","",IF(ISNUMBER(Base_Bruta!B898),Base_Bruta!B898,IF(MID(Base_Bruta!B898,5,1)="-",DATE(VALUE(LEFT(Base_Bruta!B898,4)),VALUE(MID(Base_Bruta!B898,6,2)),VALUE(RIGHT(Base_Bruta!B898,2))),DATE(VALUE(RIGHT(Base_Bruta!B898,4)),VALUE(MID(Base_Bruta!B898,4,2)),VALUE(LEFT(Base_Bruta!B898,2))))))</f>
        <v>45750</v>
      </c>
      <c r="C898" s="5" t="n">
        <f aca="false">IF($A898="","",IF(ISNUMBER(Base_Bruta!C898),Base_Bruta!C898,IF(MID(Base_Bruta!C898,5,1)="-",DATE(VALUE(LEFT(Base_Bruta!C898,4)),VALUE(MID(Base_Bruta!C898,6,2)),VALUE(RIGHT(Base_Bruta!C898,2))),DATE(VALUE(RIGHT(Base_Bruta!C898,4)),VALUE(MID(Base_Bruta!C898,4,2)),VALUE(LEFT(Base_Bruta!C898,2))))))</f>
        <v>45751</v>
      </c>
      <c r="D898" s="4" t="str">
        <f aca="false">IF($A898="","",TRIM(Base_Bruta!D898))</f>
        <v>Cinema Barra - Sessões</v>
      </c>
      <c r="E898" s="4" t="str">
        <f aca="false">IF($A898="","",_xlfn.XLOOKUP(LOWER(TRIM(Base_Bruta!E898)),DePara_Categoria!$A$2:$A$9,DePara_Categoria!$B$2:$B$9,"REVISAR"))</f>
        <v>Cinema</v>
      </c>
      <c r="F898" s="4" t="str">
        <f aca="false">IF($A898="","",_xlfn.XLOOKUP(LOWER(TRIM(Base_Bruta!F898)),DePara_Cidade!$A$2:$A$29,DePara_Cidade!$B$2:$B$29,"REVISAR"))</f>
        <v>Rio de Janeiro</v>
      </c>
      <c r="G898" s="4" t="str">
        <f aca="false">IF($A898="","",TRIM(Base_Bruta!G898))</f>
        <v>Meia</v>
      </c>
      <c r="H898" s="4" t="n">
        <f aca="false">IF($A898="","",IF(ISNUMBER(Base_Bruta!H898),Base_Bruta!H898,IFERROR(_xlfn.NUMBERVALUE(TRIM(SUBSTITUTE(Base_Bruta!H898,"R$","")),",","."),0)))</f>
        <v>4</v>
      </c>
      <c r="I898" s="6" t="n">
        <f aca="false">IF($A898="","",IF(ISNUMBER(Base_Bruta!I898),Base_Bruta!I898,IFERROR(_xlfn.NUMBERVALUE(TRIM(SUBSTITUTE(Base_Bruta!I898,"R$","")),",","."),0)))</f>
        <v>22.5</v>
      </c>
      <c r="J898" s="6" t="n">
        <f aca="false">IF($A898="","",H898*I898)</f>
        <v>90</v>
      </c>
      <c r="K898" s="4" t="str">
        <f aca="false">IF($A898="","",TRIM(Base_Bruta!J898))</f>
        <v>Parceiro</v>
      </c>
      <c r="L898" s="4" t="str">
        <f aca="false">IF($A898="","",TRIM(Base_Bruta!K898))</f>
        <v>C01647</v>
      </c>
      <c r="M898" s="4" t="str">
        <f aca="false">IF($A898="","",_xlfn.XLOOKUP(LOWER(TRIM(Base_Bruta!L898)),DePara_Cidade!$A$2:$A$29,DePara_Cidade!$B$2:$B$29,"REVISAR"))</f>
        <v>Rio de Janeiro</v>
      </c>
      <c r="N898" s="4" t="str">
        <f aca="false">IF($A898="","",UPPER(TRIM(Base_Bruta!M898)))</f>
        <v>RJ</v>
      </c>
      <c r="O898" s="4" t="str">
        <f aca="false">IF($A898="","",_xlfn.XLOOKUP(LOWER(TRIM(Base_Bruta!N898)),DePara_Pais!$A$2:$A$9,DePara_Pais!$B$2:$B$9,"REVISAR"))</f>
        <v>Brasil</v>
      </c>
      <c r="P898" s="4" t="str">
        <f aca="false">IF($A898="","",IF(O898&lt;&gt;"Brasil","Turista Internacional",IF(M898=F898,"Local","Turista Nacional")))</f>
        <v>Local</v>
      </c>
      <c r="Q898" s="7" t="n">
        <f aca="false">IF($A898="","",DATE(YEAR(B898),MONTH(B898),1))</f>
        <v>45748</v>
      </c>
      <c r="R898" s="4" t="str">
        <f aca="false">IF($A898="","",IF(COUNTIF($A$2:$A898,$A898)&gt;1,"Sim","Não"))</f>
        <v>Não</v>
      </c>
      <c r="S898" s="4" t="str">
        <f aca="false">IF(A898="","Descartar - Linha vazia",IF(R898="Sim","Descartar - Duplicado",IF(OR(H898&lt;=0,I898&lt;=0),"Descartar - Qtd/Valor inválido","OK")))</f>
        <v>OK</v>
      </c>
      <c r="T898" s="4" t="str">
        <f aca="false">Base_Bruta!P898</f>
        <v>vendas_RJ.xlsx</v>
      </c>
    </row>
    <row r="899" customFormat="false" ht="15" hidden="false" customHeight="false" outlineLevel="0" collapsed="false">
      <c r="A899" s="4" t="str">
        <f aca="false">IF(Base_Bruta!A899="","",Base_Bruta!A899)</f>
        <v>RJ-000341</v>
      </c>
      <c r="B899" s="5" t="n">
        <f aca="false">IF($A899="","",IF(ISNUMBER(Base_Bruta!B899),Base_Bruta!B899,IF(MID(Base_Bruta!B899,5,1)="-",DATE(VALUE(LEFT(Base_Bruta!B899,4)),VALUE(MID(Base_Bruta!B899,6,2)),VALUE(RIGHT(Base_Bruta!B899,2))),DATE(VALUE(RIGHT(Base_Bruta!B899,4)),VALUE(MID(Base_Bruta!B899,4,2)),VALUE(LEFT(Base_Bruta!B899,2))))))</f>
        <v>45739</v>
      </c>
      <c r="C899" s="5" t="n">
        <f aca="false">IF($A899="","",IF(ISNUMBER(Base_Bruta!C899),Base_Bruta!C899,IF(MID(Base_Bruta!C899,5,1)="-",DATE(VALUE(LEFT(Base_Bruta!C899,4)),VALUE(MID(Base_Bruta!C899,6,2)),VALUE(RIGHT(Base_Bruta!C899,2))),DATE(VALUE(RIGHT(Base_Bruta!C899,4)),VALUE(MID(Base_Bruta!C899,4,2)),VALUE(LEFT(Base_Bruta!C899,2))))))</f>
        <v>45822</v>
      </c>
      <c r="D899" s="4" t="str">
        <f aca="false">IF($A899="","",TRIM(Base_Bruta!D899))</f>
        <v>Show Nacional MPB - Rio</v>
      </c>
      <c r="E899" s="4" t="str">
        <f aca="false">IF($A899="","",_xlfn.XLOOKUP(LOWER(TRIM(Base_Bruta!E899)),DePara_Categoria!$A$2:$A$9,DePara_Categoria!$B$2:$B$9,"REVISAR"))</f>
        <v>Show</v>
      </c>
      <c r="F899" s="4" t="str">
        <f aca="false">IF($A899="","",_xlfn.XLOOKUP(LOWER(TRIM(Base_Bruta!F899)),DePara_Cidade!$A$2:$A$29,DePara_Cidade!$B$2:$B$29,"REVISAR"))</f>
        <v>Rio de Janeiro</v>
      </c>
      <c r="G899" s="4" t="str">
        <f aca="false">IF($A899="","",TRIM(Base_Bruta!G899))</f>
        <v>Inteira</v>
      </c>
      <c r="H899" s="4" t="n">
        <f aca="false">IF($A899="","",IF(ISNUMBER(Base_Bruta!H899),Base_Bruta!H899,IFERROR(_xlfn.NUMBERVALUE(TRIM(SUBSTITUTE(Base_Bruta!H899,"R$","")),",","."),0)))</f>
        <v>4</v>
      </c>
      <c r="I899" s="6" t="n">
        <f aca="false">IF($A899="","",IF(ISNUMBER(Base_Bruta!I899),Base_Bruta!I899,IFERROR(_xlfn.NUMBERVALUE(TRIM(SUBSTITUTE(Base_Bruta!I899,"R$","")),",","."),0)))</f>
        <v>720</v>
      </c>
      <c r="J899" s="6" t="n">
        <f aca="false">IF($A899="","",H899*I899)</f>
        <v>2880</v>
      </c>
      <c r="K899" s="4" t="str">
        <f aca="false">IF($A899="","",TRIM(Base_Bruta!J899))</f>
        <v>App</v>
      </c>
      <c r="L899" s="4" t="str">
        <f aca="false">IF($A899="","",TRIM(Base_Bruta!K899))</f>
        <v>C00412</v>
      </c>
      <c r="M899" s="4" t="str">
        <f aca="false">IF($A899="","",_xlfn.XLOOKUP(LOWER(TRIM(Base_Bruta!L899)),DePara_Cidade!$A$2:$A$29,DePara_Cidade!$B$2:$B$29,"REVISAR"))</f>
        <v>Rio de Janeiro</v>
      </c>
      <c r="N899" s="4" t="str">
        <f aca="false">IF($A899="","",UPPER(TRIM(Base_Bruta!M899)))</f>
        <v>RJ</v>
      </c>
      <c r="O899" s="4" t="str">
        <f aca="false">IF($A899="","",_xlfn.XLOOKUP(LOWER(TRIM(Base_Bruta!N899)),DePara_Pais!$A$2:$A$9,DePara_Pais!$B$2:$B$9,"REVISAR"))</f>
        <v>Brasil</v>
      </c>
      <c r="P899" s="4" t="str">
        <f aca="false">IF($A899="","",IF(O899&lt;&gt;"Brasil","Turista Internacional",IF(M899=F899,"Local","Turista Nacional")))</f>
        <v>Local</v>
      </c>
      <c r="Q899" s="7" t="n">
        <f aca="false">IF($A899="","",DATE(YEAR(B899),MONTH(B899),1))</f>
        <v>45717</v>
      </c>
      <c r="R899" s="4" t="str">
        <f aca="false">IF($A899="","",IF(COUNTIF($A$2:$A899,$A899)&gt;1,"Sim","Não"))</f>
        <v>Sim</v>
      </c>
      <c r="S899" s="4" t="str">
        <f aca="false">IF(A899="","Descartar - Linha vazia",IF(R899="Sim","Descartar - Duplicado",IF(OR(H899&lt;=0,I899&lt;=0),"Descartar - Qtd/Valor inválido","OK")))</f>
        <v>Descartar - Duplicado</v>
      </c>
      <c r="T899" s="4" t="str">
        <f aca="false">Base_Bruta!P899</f>
        <v>vendas_RJ.xlsx</v>
      </c>
    </row>
    <row r="900" customFormat="false" ht="15" hidden="false" customHeight="false" outlineLevel="0" collapsed="false">
      <c r="A900" s="4" t="str">
        <f aca="false">IF(Base_Bruta!A900="","",Base_Bruta!A900)</f>
        <v>RJ-000333</v>
      </c>
      <c r="B900" s="5" t="n">
        <f aca="false">IF($A900="","",IF(ISNUMBER(Base_Bruta!B900),Base_Bruta!B900,IF(MID(Base_Bruta!B900,5,1)="-",DATE(VALUE(LEFT(Base_Bruta!B900,4)),VALUE(MID(Base_Bruta!B900,6,2)),VALUE(RIGHT(Base_Bruta!B900,2))),DATE(VALUE(RIGHT(Base_Bruta!B900,4)),VALUE(MID(Base_Bruta!B900,4,2)),VALUE(LEFT(Base_Bruta!B900,2))))))</f>
        <v>45751</v>
      </c>
      <c r="C900" s="5" t="n">
        <f aca="false">IF($A900="","",IF(ISNUMBER(Base_Bruta!C900),Base_Bruta!C900,IF(MID(Base_Bruta!C900,5,1)="-",DATE(VALUE(LEFT(Base_Bruta!C900,4)),VALUE(MID(Base_Bruta!C900,6,2)),VALUE(RIGHT(Base_Bruta!C900,2))),DATE(VALUE(RIGHT(Base_Bruta!C900,4)),VALUE(MID(Base_Bruta!C900,4,2)),VALUE(LEFT(Base_Bruta!C900,2))))))</f>
        <v>45822</v>
      </c>
      <c r="D900" s="4" t="str">
        <f aca="false">IF($A900="","",TRIM(Base_Bruta!D900))</f>
        <v>Show Nacional MPB - Rio</v>
      </c>
      <c r="E900" s="4" t="str">
        <f aca="false">IF($A900="","",_xlfn.XLOOKUP(LOWER(TRIM(Base_Bruta!E900)),DePara_Categoria!$A$2:$A$9,DePara_Categoria!$B$2:$B$9,"REVISAR"))</f>
        <v>Show</v>
      </c>
      <c r="F900" s="4" t="str">
        <f aca="false">IF($A900="","",_xlfn.XLOOKUP(LOWER(TRIM(Base_Bruta!F900)),DePara_Cidade!$A$2:$A$29,DePara_Cidade!$B$2:$B$29,"REVISAR"))</f>
        <v>Rio de Janeiro</v>
      </c>
      <c r="G900" s="4" t="str">
        <f aca="false">IF($A900="","",TRIM(Base_Bruta!G900))</f>
        <v>VIP</v>
      </c>
      <c r="H900" s="4" t="n">
        <f aca="false">IF($A900="","",IF(ISNUMBER(Base_Bruta!H900),Base_Bruta!H900,IFERROR(_xlfn.NUMBERVALUE(TRIM(SUBSTITUTE(Base_Bruta!H900,"R$","")),",","."),0)))</f>
        <v>2</v>
      </c>
      <c r="I900" s="6" t="n">
        <f aca="false">IF($A900="","",IF(ISNUMBER(Base_Bruta!I900),Base_Bruta!I900,IFERROR(_xlfn.NUMBERVALUE(TRIM(SUBSTITUTE(Base_Bruta!I900,"R$","")),",","."),0)))</f>
        <v>1340</v>
      </c>
      <c r="J900" s="6" t="n">
        <f aca="false">IF($A900="","",H900*I900)</f>
        <v>2680</v>
      </c>
      <c r="K900" s="4" t="str">
        <f aca="false">IF($A900="","",TRIM(Base_Bruta!J900))</f>
        <v>Site</v>
      </c>
      <c r="L900" s="4" t="str">
        <f aca="false">IF($A900="","",TRIM(Base_Bruta!K900))</f>
        <v>C01243</v>
      </c>
      <c r="M900" s="4" t="str">
        <f aca="false">IF($A900="","",_xlfn.XLOOKUP(LOWER(TRIM(Base_Bruta!L900)),DePara_Cidade!$A$2:$A$29,DePara_Cidade!$B$2:$B$29,"REVISAR"))</f>
        <v>Niterói</v>
      </c>
      <c r="N900" s="4" t="str">
        <f aca="false">IF($A900="","",UPPER(TRIM(Base_Bruta!M900)))</f>
        <v>RJ</v>
      </c>
      <c r="O900" s="4" t="str">
        <f aca="false">IF($A900="","",_xlfn.XLOOKUP(LOWER(TRIM(Base_Bruta!N900)),DePara_Pais!$A$2:$A$9,DePara_Pais!$B$2:$B$9,"REVISAR"))</f>
        <v>Brasil</v>
      </c>
      <c r="P900" s="4" t="str">
        <f aca="false">IF($A900="","",IF(O900&lt;&gt;"Brasil","Turista Internacional",IF(M900=F900,"Local","Turista Nacional")))</f>
        <v>Turista Nacional</v>
      </c>
      <c r="Q900" s="7" t="n">
        <f aca="false">IF($A900="","",DATE(YEAR(B900),MONTH(B900),1))</f>
        <v>45748</v>
      </c>
      <c r="R900" s="4" t="str">
        <f aca="false">IF($A900="","",IF(COUNTIF($A$2:$A900,$A900)&gt;1,"Sim","Não"))</f>
        <v>Não</v>
      </c>
      <c r="S900" s="4" t="str">
        <f aca="false">IF(A900="","Descartar - Linha vazia",IF(R900="Sim","Descartar - Duplicado",IF(OR(H900&lt;=0,I900&lt;=0),"Descartar - Qtd/Valor inválido","OK")))</f>
        <v>OK</v>
      </c>
      <c r="T900" s="4" t="str">
        <f aca="false">Base_Bruta!P900</f>
        <v>vendas_RJ.xlsx</v>
      </c>
    </row>
    <row r="901" customFormat="false" ht="15" hidden="false" customHeight="false" outlineLevel="0" collapsed="false">
      <c r="A901" s="4" t="str">
        <f aca="false">IF(Base_Bruta!A901="","",Base_Bruta!A901)</f>
        <v>RJ-000669</v>
      </c>
      <c r="B901" s="5" t="n">
        <f aca="false">IF($A901="","",IF(ISNUMBER(Base_Bruta!B901),Base_Bruta!B901,IF(MID(Base_Bruta!B901,5,1)="-",DATE(VALUE(LEFT(Base_Bruta!B901,4)),VALUE(MID(Base_Bruta!B901,6,2)),VALUE(RIGHT(Base_Bruta!B901,2))),DATE(VALUE(RIGHT(Base_Bruta!B901,4)),VALUE(MID(Base_Bruta!B901,4,2)),VALUE(LEFT(Base_Bruta!B901,2))))))</f>
        <v>45751</v>
      </c>
      <c r="C901" s="5" t="n">
        <f aca="false">IF($A901="","",IF(ISNUMBER(Base_Bruta!C901),Base_Bruta!C901,IF(MID(Base_Bruta!C901,5,1)="-",DATE(VALUE(LEFT(Base_Bruta!C901,4)),VALUE(MID(Base_Bruta!C901,6,2)),VALUE(RIGHT(Base_Bruta!C901,2))),DATE(VALUE(RIGHT(Base_Bruta!C901,4)),VALUE(MID(Base_Bruta!C901,4,2)),VALUE(LEFT(Base_Bruta!C901,2))))))</f>
        <v>45752</v>
      </c>
      <c r="D901" s="4" t="str">
        <f aca="false">IF($A901="","",TRIM(Base_Bruta!D901))</f>
        <v>Cinema Barra - Sessões</v>
      </c>
      <c r="E901" s="4" t="str">
        <f aca="false">IF($A901="","",_xlfn.XLOOKUP(LOWER(TRIM(Base_Bruta!E901)),DePara_Categoria!$A$2:$A$9,DePara_Categoria!$B$2:$B$9,"REVISAR"))</f>
        <v>Cinema</v>
      </c>
      <c r="F901" s="4" t="str">
        <f aca="false">IF($A901="","",_xlfn.XLOOKUP(LOWER(TRIM(Base_Bruta!F901)),DePara_Cidade!$A$2:$A$29,DePara_Cidade!$B$2:$B$29,"REVISAR"))</f>
        <v>Rio de Janeiro</v>
      </c>
      <c r="G901" s="4" t="str">
        <f aca="false">IF($A901="","",TRIM(Base_Bruta!G901))</f>
        <v>Meia</v>
      </c>
      <c r="H901" s="4" t="n">
        <f aca="false">IF($A901="","",IF(ISNUMBER(Base_Bruta!H901),Base_Bruta!H901,IFERROR(_xlfn.NUMBERVALUE(TRIM(SUBSTITUTE(Base_Bruta!H901,"R$","")),",","."),0)))</f>
        <v>2</v>
      </c>
      <c r="I901" s="6" t="n">
        <f aca="false">IF($A901="","",IF(ISNUMBER(Base_Bruta!I901),Base_Bruta!I901,IFERROR(_xlfn.NUMBERVALUE(TRIM(SUBSTITUTE(Base_Bruta!I901,"R$","")),",","."),0)))</f>
        <v>22.5</v>
      </c>
      <c r="J901" s="6" t="n">
        <f aca="false">IF($A901="","",H901*I901)</f>
        <v>45</v>
      </c>
      <c r="K901" s="4" t="str">
        <f aca="false">IF($A901="","",TRIM(Base_Bruta!J901))</f>
        <v>App</v>
      </c>
      <c r="L901" s="4" t="str">
        <f aca="false">IF($A901="","",TRIM(Base_Bruta!K901))</f>
        <v>C00253</v>
      </c>
      <c r="M901" s="4" t="str">
        <f aca="false">IF($A901="","",_xlfn.XLOOKUP(LOWER(TRIM(Base_Bruta!L901)),DePara_Cidade!$A$2:$A$29,DePara_Cidade!$B$2:$B$29,"REVISAR"))</f>
        <v>Rio de Janeiro</v>
      </c>
      <c r="N901" s="4" t="str">
        <f aca="false">IF($A901="","",UPPER(TRIM(Base_Bruta!M901)))</f>
        <v>RJ</v>
      </c>
      <c r="O901" s="4" t="str">
        <f aca="false">IF($A901="","",_xlfn.XLOOKUP(LOWER(TRIM(Base_Bruta!N901)),DePara_Pais!$A$2:$A$9,DePara_Pais!$B$2:$B$9,"REVISAR"))</f>
        <v>Brasil</v>
      </c>
      <c r="P901" s="4" t="str">
        <f aca="false">IF($A901="","",IF(O901&lt;&gt;"Brasil","Turista Internacional",IF(M901=F901,"Local","Turista Nacional")))</f>
        <v>Local</v>
      </c>
      <c r="Q901" s="7" t="n">
        <f aca="false">IF($A901="","",DATE(YEAR(B901),MONTH(B901),1))</f>
        <v>45748</v>
      </c>
      <c r="R901" s="4" t="str">
        <f aca="false">IF($A901="","",IF(COUNTIF($A$2:$A901,$A901)&gt;1,"Sim","Não"))</f>
        <v>Não</v>
      </c>
      <c r="S901" s="4" t="str">
        <f aca="false">IF(A901="","Descartar - Linha vazia",IF(R901="Sim","Descartar - Duplicado",IF(OR(H901&lt;=0,I901&lt;=0),"Descartar - Qtd/Valor inválido","OK")))</f>
        <v>OK</v>
      </c>
      <c r="T901" s="4" t="str">
        <f aca="false">Base_Bruta!P901</f>
        <v>vendas_RJ.xlsx</v>
      </c>
    </row>
    <row r="902" customFormat="false" ht="15" hidden="false" customHeight="false" outlineLevel="0" collapsed="false">
      <c r="A902" s="4" t="str">
        <f aca="false">IF(Base_Bruta!A902="","",Base_Bruta!A902)</f>
        <v>RJ-000278</v>
      </c>
      <c r="B902" s="5" t="n">
        <f aca="false">IF($A902="","",IF(ISNUMBER(Base_Bruta!B902),Base_Bruta!B902,IF(MID(Base_Bruta!B902,5,1)="-",DATE(VALUE(LEFT(Base_Bruta!B902,4)),VALUE(MID(Base_Bruta!B902,6,2)),VALUE(RIGHT(Base_Bruta!B902,2))),DATE(VALUE(RIGHT(Base_Bruta!B902,4)),VALUE(MID(Base_Bruta!B902,4,2)),VALUE(LEFT(Base_Bruta!B902,2))))))</f>
        <v>45752</v>
      </c>
      <c r="C902" s="5" t="n">
        <f aca="false">IF($A902="","",IF(ISNUMBER(Base_Bruta!C902),Base_Bruta!C902,IF(MID(Base_Bruta!C902,5,1)="-",DATE(VALUE(LEFT(Base_Bruta!C902,4)),VALUE(MID(Base_Bruta!C902,6,2)),VALUE(RIGHT(Base_Bruta!C902,2))),DATE(VALUE(RIGHT(Base_Bruta!C902,4)),VALUE(MID(Base_Bruta!C902,4,2)),VALUE(LEFT(Base_Bruta!C902,2))))))</f>
        <v>45822</v>
      </c>
      <c r="D902" s="4" t="str">
        <f aca="false">IF($A902="","",TRIM(Base_Bruta!D902))</f>
        <v>Show Nacional MPB - Rio</v>
      </c>
      <c r="E902" s="4" t="str">
        <f aca="false">IF($A902="","",_xlfn.XLOOKUP(LOWER(TRIM(Base_Bruta!E902)),DePara_Categoria!$A$2:$A$9,DePara_Categoria!$B$2:$B$9,"REVISAR"))</f>
        <v>Show</v>
      </c>
      <c r="F902" s="4" t="str">
        <f aca="false">IF($A902="","",_xlfn.XLOOKUP(LOWER(TRIM(Base_Bruta!F902)),DePara_Cidade!$A$2:$A$29,DePara_Cidade!$B$2:$B$29,"REVISAR"))</f>
        <v>Rio de Janeiro</v>
      </c>
      <c r="G902" s="4" t="str">
        <f aca="false">IF($A902="","",TRIM(Base_Bruta!G902))</f>
        <v>Inteira</v>
      </c>
      <c r="H902" s="4" t="n">
        <f aca="false">IF($A902="","",IF(ISNUMBER(Base_Bruta!H902),Base_Bruta!H902,IFERROR(_xlfn.NUMBERVALUE(TRIM(SUBSTITUTE(Base_Bruta!H902,"R$","")),",","."),0)))</f>
        <v>2</v>
      </c>
      <c r="I902" s="6" t="n">
        <f aca="false">IF($A902="","",IF(ISNUMBER(Base_Bruta!I902),Base_Bruta!I902,IFERROR(_xlfn.NUMBERVALUE(TRIM(SUBSTITUTE(Base_Bruta!I902,"R$","")),",","."),0)))</f>
        <v>420</v>
      </c>
      <c r="J902" s="6" t="n">
        <f aca="false">IF($A902="","",H902*I902)</f>
        <v>840</v>
      </c>
      <c r="K902" s="4" t="str">
        <f aca="false">IF($A902="","",TRIM(Base_Bruta!J902))</f>
        <v>Site</v>
      </c>
      <c r="L902" s="4" t="str">
        <f aca="false">IF($A902="","",TRIM(Base_Bruta!K902))</f>
        <v>C01579</v>
      </c>
      <c r="M902" s="4" t="str">
        <f aca="false">IF($A902="","",_xlfn.XLOOKUP(LOWER(TRIM(Base_Bruta!L902)),DePara_Cidade!$A$2:$A$29,DePara_Cidade!$B$2:$B$29,"REVISAR"))</f>
        <v>Florianópolis</v>
      </c>
      <c r="N902" s="4" t="str">
        <f aca="false">IF($A902="","",UPPER(TRIM(Base_Bruta!M902)))</f>
        <v>SC</v>
      </c>
      <c r="O902" s="4" t="str">
        <f aca="false">IF($A902="","",_xlfn.XLOOKUP(LOWER(TRIM(Base_Bruta!N902)),DePara_Pais!$A$2:$A$9,DePara_Pais!$B$2:$B$9,"REVISAR"))</f>
        <v>Brasil</v>
      </c>
      <c r="P902" s="4" t="str">
        <f aca="false">IF($A902="","",IF(O902&lt;&gt;"Brasil","Turista Internacional",IF(M902=F902,"Local","Turista Nacional")))</f>
        <v>Turista Nacional</v>
      </c>
      <c r="Q902" s="7" t="n">
        <f aca="false">IF($A902="","",DATE(YEAR(B902),MONTH(B902),1))</f>
        <v>45748</v>
      </c>
      <c r="R902" s="4" t="str">
        <f aca="false">IF($A902="","",IF(COUNTIF($A$2:$A902,$A902)&gt;1,"Sim","Não"))</f>
        <v>Não</v>
      </c>
      <c r="S902" s="4" t="str">
        <f aca="false">IF(A902="","Descartar - Linha vazia",IF(R902="Sim","Descartar - Duplicado",IF(OR(H902&lt;=0,I902&lt;=0),"Descartar - Qtd/Valor inválido","OK")))</f>
        <v>OK</v>
      </c>
      <c r="T902" s="4" t="str">
        <f aca="false">Base_Bruta!P902</f>
        <v>vendas_RJ.xlsx</v>
      </c>
    </row>
    <row r="903" customFormat="false" ht="15" hidden="false" customHeight="false" outlineLevel="0" collapsed="false">
      <c r="A903" s="4" t="str">
        <f aca="false">IF(Base_Bruta!A903="","",Base_Bruta!A903)</f>
        <v>RJ-000572</v>
      </c>
      <c r="B903" s="5" t="n">
        <f aca="false">IF($A903="","",IF(ISNUMBER(Base_Bruta!B903),Base_Bruta!B903,IF(MID(Base_Bruta!B903,5,1)="-",DATE(VALUE(LEFT(Base_Bruta!B903,4)),VALUE(MID(Base_Bruta!B903,6,2)),VALUE(RIGHT(Base_Bruta!B903,2))),DATE(VALUE(RIGHT(Base_Bruta!B903,4)),VALUE(MID(Base_Bruta!B903,4,2)),VALUE(LEFT(Base_Bruta!B903,2))))))</f>
        <v>45753</v>
      </c>
      <c r="C903" s="5" t="n">
        <f aca="false">IF($A903="","",IF(ISNUMBER(Base_Bruta!C903),Base_Bruta!C903,IF(MID(Base_Bruta!C903,5,1)="-",DATE(VALUE(LEFT(Base_Bruta!C903,4)),VALUE(MID(Base_Bruta!C903,6,2)),VALUE(RIGHT(Base_Bruta!C903,2))),DATE(VALUE(RIGHT(Base_Bruta!C903,4)),VALUE(MID(Base_Bruta!C903,4,2)),VALUE(LEFT(Base_Bruta!C903,2))))))</f>
        <v>45755</v>
      </c>
      <c r="D903" s="4" t="str">
        <f aca="false">IF($A903="","",TRIM(Base_Bruta!D903))</f>
        <v>Cinema Barra - Sessões</v>
      </c>
      <c r="E903" s="4" t="str">
        <f aca="false">IF($A903="","",_xlfn.XLOOKUP(LOWER(TRIM(Base_Bruta!E903)),DePara_Categoria!$A$2:$A$9,DePara_Categoria!$B$2:$B$9,"REVISAR"))</f>
        <v>Cinema</v>
      </c>
      <c r="F903" s="4" t="str">
        <f aca="false">IF($A903="","",_xlfn.XLOOKUP(LOWER(TRIM(Base_Bruta!F903)),DePara_Cidade!$A$2:$A$29,DePara_Cidade!$B$2:$B$29,"REVISAR"))</f>
        <v>Rio de Janeiro</v>
      </c>
      <c r="G903" s="4" t="str">
        <f aca="false">IF($A903="","",TRIM(Base_Bruta!G903))</f>
        <v>Inteira</v>
      </c>
      <c r="H903" s="4" t="n">
        <f aca="false">IF($A903="","",IF(ISNUMBER(Base_Bruta!H903),Base_Bruta!H903,IFERROR(_xlfn.NUMBERVALUE(TRIM(SUBSTITUTE(Base_Bruta!H903,"R$","")),",","."),0)))</f>
        <v>2</v>
      </c>
      <c r="I903" s="6" t="n">
        <f aca="false">IF($A903="","",IF(ISNUMBER(Base_Bruta!I903),Base_Bruta!I903,IFERROR(_xlfn.NUMBERVALUE(TRIM(SUBSTITUTE(Base_Bruta!I903,"R$","")),",","."),0)))</f>
        <v>40</v>
      </c>
      <c r="J903" s="6" t="n">
        <f aca="false">IF($A903="","",H903*I903)</f>
        <v>80</v>
      </c>
      <c r="K903" s="4" t="str">
        <f aca="false">IF($A903="","",TRIM(Base_Bruta!J903))</f>
        <v>Site</v>
      </c>
      <c r="L903" s="4" t="str">
        <f aca="false">IF($A903="","",TRIM(Base_Bruta!K903))</f>
        <v>C01907</v>
      </c>
      <c r="M903" s="4" t="str">
        <f aca="false">IF($A903="","",_xlfn.XLOOKUP(LOWER(TRIM(Base_Bruta!L903)),DePara_Cidade!$A$2:$A$29,DePara_Cidade!$B$2:$B$29,"REVISAR"))</f>
        <v>Rio de Janeiro</v>
      </c>
      <c r="N903" s="4" t="str">
        <f aca="false">IF($A903="","",UPPER(TRIM(Base_Bruta!M903)))</f>
        <v>RJ</v>
      </c>
      <c r="O903" s="4" t="str">
        <f aca="false">IF($A903="","",_xlfn.XLOOKUP(LOWER(TRIM(Base_Bruta!N903)),DePara_Pais!$A$2:$A$9,DePara_Pais!$B$2:$B$9,"REVISAR"))</f>
        <v>Brasil</v>
      </c>
      <c r="P903" s="4" t="str">
        <f aca="false">IF($A903="","",IF(O903&lt;&gt;"Brasil","Turista Internacional",IF(M903=F903,"Local","Turista Nacional")))</f>
        <v>Local</v>
      </c>
      <c r="Q903" s="7" t="n">
        <f aca="false">IF($A903="","",DATE(YEAR(B903),MONTH(B903),1))</f>
        <v>45748</v>
      </c>
      <c r="R903" s="4" t="str">
        <f aca="false">IF($A903="","",IF(COUNTIF($A$2:$A903,$A903)&gt;1,"Sim","Não"))</f>
        <v>Não</v>
      </c>
      <c r="S903" s="4" t="str">
        <f aca="false">IF(A903="","Descartar - Linha vazia",IF(R903="Sim","Descartar - Duplicado",IF(OR(H903&lt;=0,I903&lt;=0),"Descartar - Qtd/Valor inválido","OK")))</f>
        <v>OK</v>
      </c>
      <c r="T903" s="4" t="str">
        <f aca="false">Base_Bruta!P903</f>
        <v>vendas_RJ.xlsx</v>
      </c>
    </row>
    <row r="904" customFormat="false" ht="15" hidden="false" customHeight="false" outlineLevel="0" collapsed="false">
      <c r="A904" s="4" t="str">
        <f aca="false">IF(Base_Bruta!A904="","",Base_Bruta!A904)</f>
        <v>RJ-000287</v>
      </c>
      <c r="B904" s="5" t="n">
        <f aca="false">IF($A904="","",IF(ISNUMBER(Base_Bruta!B904),Base_Bruta!B904,IF(MID(Base_Bruta!B904,5,1)="-",DATE(VALUE(LEFT(Base_Bruta!B904,4)),VALUE(MID(Base_Bruta!B904,6,2)),VALUE(RIGHT(Base_Bruta!B904,2))),DATE(VALUE(RIGHT(Base_Bruta!B904,4)),VALUE(MID(Base_Bruta!B904,4,2)),VALUE(LEFT(Base_Bruta!B904,2))))))</f>
        <v>45754</v>
      </c>
      <c r="C904" s="5" t="n">
        <f aca="false">IF($A904="","",IF(ISNUMBER(Base_Bruta!C904),Base_Bruta!C904,IF(MID(Base_Bruta!C904,5,1)="-",DATE(VALUE(LEFT(Base_Bruta!C904,4)),VALUE(MID(Base_Bruta!C904,6,2)),VALUE(RIGHT(Base_Bruta!C904,2))),DATE(VALUE(RIGHT(Base_Bruta!C904,4)),VALUE(MID(Base_Bruta!C904,4,2)),VALUE(LEFT(Base_Bruta!C904,2))))))</f>
        <v>45822</v>
      </c>
      <c r="D904" s="4" t="str">
        <f aca="false">IF($A904="","",TRIM(Base_Bruta!D904))</f>
        <v>Show Nacional MPB - Rio</v>
      </c>
      <c r="E904" s="4" t="str">
        <f aca="false">IF($A904="","",_xlfn.XLOOKUP(LOWER(TRIM(Base_Bruta!E904)),DePara_Categoria!$A$2:$A$9,DePara_Categoria!$B$2:$B$9,"REVISAR"))</f>
        <v>Show</v>
      </c>
      <c r="F904" s="4" t="str">
        <f aca="false">IF($A904="","",_xlfn.XLOOKUP(LOWER(TRIM(Base_Bruta!F904)),DePara_Cidade!$A$2:$A$29,DePara_Cidade!$B$2:$B$29,"REVISAR"))</f>
        <v>Rio de Janeiro</v>
      </c>
      <c r="G904" s="4" t="str">
        <f aca="false">IF($A904="","",TRIM(Base_Bruta!G904))</f>
        <v>Inteira</v>
      </c>
      <c r="H904" s="4" t="n">
        <f aca="false">IF($A904="","",IF(ISNUMBER(Base_Bruta!H904),Base_Bruta!H904,IFERROR(_xlfn.NUMBERVALUE(TRIM(SUBSTITUTE(Base_Bruta!H904,"R$","")),",","."),0)))</f>
        <v>2</v>
      </c>
      <c r="I904" s="6" t="n">
        <f aca="false">IF($A904="","",IF(ISNUMBER(Base_Bruta!I904),Base_Bruta!I904,IFERROR(_xlfn.NUMBERVALUE(TRIM(SUBSTITUTE(Base_Bruta!I904,"R$","")),",","."),0)))</f>
        <v>655</v>
      </c>
      <c r="J904" s="6" t="n">
        <f aca="false">IF($A904="","",H904*I904)</f>
        <v>1310</v>
      </c>
      <c r="K904" s="4" t="str">
        <f aca="false">IF($A904="","",TRIM(Base_Bruta!J904))</f>
        <v>App</v>
      </c>
      <c r="L904" s="4" t="str">
        <f aca="false">IF($A904="","",TRIM(Base_Bruta!K904))</f>
        <v>C00816</v>
      </c>
      <c r="M904" s="4" t="str">
        <f aca="false">IF($A904="","",_xlfn.XLOOKUP(LOWER(TRIM(Base_Bruta!L904)),DePara_Cidade!$A$2:$A$29,DePara_Cidade!$B$2:$B$29,"REVISAR"))</f>
        <v>Rio de Janeiro</v>
      </c>
      <c r="N904" s="4" t="str">
        <f aca="false">IF($A904="","",UPPER(TRIM(Base_Bruta!M904)))</f>
        <v>RJ</v>
      </c>
      <c r="O904" s="4" t="str">
        <f aca="false">IF($A904="","",_xlfn.XLOOKUP(LOWER(TRIM(Base_Bruta!N904)),DePara_Pais!$A$2:$A$9,DePara_Pais!$B$2:$B$9,"REVISAR"))</f>
        <v>Brasil</v>
      </c>
      <c r="P904" s="4" t="str">
        <f aca="false">IF($A904="","",IF(O904&lt;&gt;"Brasil","Turista Internacional",IF(M904=F904,"Local","Turista Nacional")))</f>
        <v>Local</v>
      </c>
      <c r="Q904" s="7" t="n">
        <f aca="false">IF($A904="","",DATE(YEAR(B904),MONTH(B904),1))</f>
        <v>45748</v>
      </c>
      <c r="R904" s="4" t="str">
        <f aca="false">IF($A904="","",IF(COUNTIF($A$2:$A904,$A904)&gt;1,"Sim","Não"))</f>
        <v>Não</v>
      </c>
      <c r="S904" s="4" t="str">
        <f aca="false">IF(A904="","Descartar - Linha vazia",IF(R904="Sim","Descartar - Duplicado",IF(OR(H904&lt;=0,I904&lt;=0),"Descartar - Qtd/Valor inválido","OK")))</f>
        <v>OK</v>
      </c>
      <c r="T904" s="4" t="str">
        <f aca="false">Base_Bruta!P904</f>
        <v>vendas_RJ.xlsx</v>
      </c>
    </row>
    <row r="905" customFormat="false" ht="15" hidden="false" customHeight="false" outlineLevel="0" collapsed="false">
      <c r="A905" s="4" t="str">
        <f aca="false">IF(Base_Bruta!A905="","",Base_Bruta!A905)</f>
        <v>RJ-000675</v>
      </c>
      <c r="B905" s="5" t="n">
        <f aca="false">IF($A905="","",IF(ISNUMBER(Base_Bruta!B905),Base_Bruta!B905,IF(MID(Base_Bruta!B905,5,1)="-",DATE(VALUE(LEFT(Base_Bruta!B905,4)),VALUE(MID(Base_Bruta!B905,6,2)),VALUE(RIGHT(Base_Bruta!B905,2))),DATE(VALUE(RIGHT(Base_Bruta!B905,4)),VALUE(MID(Base_Bruta!B905,4,2)),VALUE(LEFT(Base_Bruta!B905,2))))))</f>
        <v>45756</v>
      </c>
      <c r="C905" s="5" t="n">
        <f aca="false">IF($A905="","",IF(ISNUMBER(Base_Bruta!C905),Base_Bruta!C905,IF(MID(Base_Bruta!C905,5,1)="-",DATE(VALUE(LEFT(Base_Bruta!C905,4)),VALUE(MID(Base_Bruta!C905,6,2)),VALUE(RIGHT(Base_Bruta!C905,2))),DATE(VALUE(RIGHT(Base_Bruta!C905,4)),VALUE(MID(Base_Bruta!C905,4,2)),VALUE(LEFT(Base_Bruta!C905,2))))))</f>
        <v>45758</v>
      </c>
      <c r="D905" s="4" t="str">
        <f aca="false">IF($A905="","",TRIM(Base_Bruta!D905))</f>
        <v>Cinema Barra - Sessões</v>
      </c>
      <c r="E905" s="4" t="str">
        <f aca="false">IF($A905="","",_xlfn.XLOOKUP(LOWER(TRIM(Base_Bruta!E905)),DePara_Categoria!$A$2:$A$9,DePara_Categoria!$B$2:$B$9,"REVISAR"))</f>
        <v>Cinema</v>
      </c>
      <c r="F905" s="4" t="str">
        <f aca="false">IF($A905="","",_xlfn.XLOOKUP(LOWER(TRIM(Base_Bruta!F905)),DePara_Cidade!$A$2:$A$29,DePara_Cidade!$B$2:$B$29,"REVISAR"))</f>
        <v>Rio de Janeiro</v>
      </c>
      <c r="G905" s="4" t="str">
        <f aca="false">IF($A905="","",TRIM(Base_Bruta!G905))</f>
        <v>Inteira</v>
      </c>
      <c r="H905" s="4" t="n">
        <f aca="false">IF($A905="","",IF(ISNUMBER(Base_Bruta!H905),Base_Bruta!H905,IFERROR(_xlfn.NUMBERVALUE(TRIM(SUBSTITUTE(Base_Bruta!H905,"R$","")),",","."),0)))</f>
        <v>3</v>
      </c>
      <c r="I905" s="6" t="n">
        <f aca="false">IF($A905="","",IF(ISNUMBER(Base_Bruta!I905),Base_Bruta!I905,IFERROR(_xlfn.NUMBERVALUE(TRIM(SUBSTITUTE(Base_Bruta!I905,"R$","")),",","."),0)))</f>
        <v>40</v>
      </c>
      <c r="J905" s="6" t="n">
        <f aca="false">IF($A905="","",H905*I905)</f>
        <v>120</v>
      </c>
      <c r="K905" s="4" t="str">
        <f aca="false">IF($A905="","",TRIM(Base_Bruta!J905))</f>
        <v>Site</v>
      </c>
      <c r="L905" s="4" t="str">
        <f aca="false">IF($A905="","",TRIM(Base_Bruta!K905))</f>
        <v>C00541</v>
      </c>
      <c r="M905" s="4" t="str">
        <f aca="false">IF($A905="","",_xlfn.XLOOKUP(LOWER(TRIM(Base_Bruta!L905)),DePara_Cidade!$A$2:$A$29,DePara_Cidade!$B$2:$B$29,"REVISAR"))</f>
        <v>Rio de Janeiro</v>
      </c>
      <c r="N905" s="4" t="str">
        <f aca="false">IF($A905="","",UPPER(TRIM(Base_Bruta!M905)))</f>
        <v>RJ</v>
      </c>
      <c r="O905" s="4" t="str">
        <f aca="false">IF($A905="","",_xlfn.XLOOKUP(LOWER(TRIM(Base_Bruta!N905)),DePara_Pais!$A$2:$A$9,DePara_Pais!$B$2:$B$9,"REVISAR"))</f>
        <v>Brasil</v>
      </c>
      <c r="P905" s="4" t="str">
        <f aca="false">IF($A905="","",IF(O905&lt;&gt;"Brasil","Turista Internacional",IF(M905=F905,"Local","Turista Nacional")))</f>
        <v>Local</v>
      </c>
      <c r="Q905" s="7" t="n">
        <f aca="false">IF($A905="","",DATE(YEAR(B905),MONTH(B905),1))</f>
        <v>45748</v>
      </c>
      <c r="R905" s="4" t="str">
        <f aca="false">IF($A905="","",IF(COUNTIF($A$2:$A905,$A905)&gt;1,"Sim","Não"))</f>
        <v>Não</v>
      </c>
      <c r="S905" s="4" t="str">
        <f aca="false">IF(A905="","Descartar - Linha vazia",IF(R905="Sim","Descartar - Duplicado",IF(OR(H905&lt;=0,I905&lt;=0),"Descartar - Qtd/Valor inválido","OK")))</f>
        <v>OK</v>
      </c>
      <c r="T905" s="4" t="str">
        <f aca="false">Base_Bruta!P905</f>
        <v>vendas_RJ.xlsx</v>
      </c>
    </row>
    <row r="906" customFormat="false" ht="15" hidden="false" customHeight="false" outlineLevel="0" collapsed="false">
      <c r="A906" s="4" t="str">
        <f aca="false">IF(Base_Bruta!A906="","",Base_Bruta!A906)</f>
        <v>RJ-000257</v>
      </c>
      <c r="B906" s="5" t="n">
        <f aca="false">IF($A906="","",IF(ISNUMBER(Base_Bruta!B906),Base_Bruta!B906,IF(MID(Base_Bruta!B906,5,1)="-",DATE(VALUE(LEFT(Base_Bruta!B906,4)),VALUE(MID(Base_Bruta!B906,6,2)),VALUE(RIGHT(Base_Bruta!B906,2))),DATE(VALUE(RIGHT(Base_Bruta!B906,4)),VALUE(MID(Base_Bruta!B906,4,2)),VALUE(LEFT(Base_Bruta!B906,2))))))</f>
        <v>45758</v>
      </c>
      <c r="C906" s="5" t="n">
        <f aca="false">IF($A906="","",IF(ISNUMBER(Base_Bruta!C906),Base_Bruta!C906,IF(MID(Base_Bruta!C906,5,1)="-",DATE(VALUE(LEFT(Base_Bruta!C906,4)),VALUE(MID(Base_Bruta!C906,6,2)),VALUE(RIGHT(Base_Bruta!C906,2))),DATE(VALUE(RIGHT(Base_Bruta!C906,4)),VALUE(MID(Base_Bruta!C906,4,2)),VALUE(LEFT(Base_Bruta!C906,2))))))</f>
        <v>45822</v>
      </c>
      <c r="D906" s="4" t="str">
        <f aca="false">IF($A906="","",TRIM(Base_Bruta!D906))</f>
        <v>Show Nacional MPB - Rio</v>
      </c>
      <c r="E906" s="4" t="str">
        <f aca="false">IF($A906="","",_xlfn.XLOOKUP(LOWER(TRIM(Base_Bruta!E906)),DePara_Categoria!$A$2:$A$9,DePara_Categoria!$B$2:$B$9,"REVISAR"))</f>
        <v>Show</v>
      </c>
      <c r="F906" s="4" t="str">
        <f aca="false">IF($A906="","",_xlfn.XLOOKUP(LOWER(TRIM(Base_Bruta!F906)),DePara_Cidade!$A$2:$A$29,DePara_Cidade!$B$2:$B$29,"REVISAR"))</f>
        <v>Rio de Janeiro</v>
      </c>
      <c r="G906" s="4" t="str">
        <f aca="false">IF($A906="","",TRIM(Base_Bruta!G906))</f>
        <v>Inteira</v>
      </c>
      <c r="H906" s="4" t="n">
        <f aca="false">IF($A906="","",IF(ISNUMBER(Base_Bruta!H906),Base_Bruta!H906,IFERROR(_xlfn.NUMBERVALUE(TRIM(SUBSTITUTE(Base_Bruta!H906,"R$","")),",","."),0)))</f>
        <v>4</v>
      </c>
      <c r="I906" s="6" t="n">
        <f aca="false">IF($A906="","",IF(ISNUMBER(Base_Bruta!I906),Base_Bruta!I906,IFERROR(_xlfn.NUMBERVALUE(TRIM(SUBSTITUTE(Base_Bruta!I906,"R$","")),",","."),0)))</f>
        <v>240</v>
      </c>
      <c r="J906" s="6" t="n">
        <f aca="false">IF($A906="","",H906*I906)</f>
        <v>960</v>
      </c>
      <c r="K906" s="4" t="str">
        <f aca="false">IF($A906="","",TRIM(Base_Bruta!J906))</f>
        <v>App</v>
      </c>
      <c r="L906" s="4" t="str">
        <f aca="false">IF($A906="","",TRIM(Base_Bruta!K906))</f>
        <v>C00008</v>
      </c>
      <c r="M906" s="4" t="str">
        <f aca="false">IF($A906="","",_xlfn.XLOOKUP(LOWER(TRIM(Base_Bruta!L906)),DePara_Cidade!$A$2:$A$29,DePara_Cidade!$B$2:$B$29,"REVISAR"))</f>
        <v>Rio de Janeiro</v>
      </c>
      <c r="N906" s="4" t="str">
        <f aca="false">IF($A906="","",UPPER(TRIM(Base_Bruta!M906)))</f>
        <v>RJ</v>
      </c>
      <c r="O906" s="4" t="str">
        <f aca="false">IF($A906="","",_xlfn.XLOOKUP(LOWER(TRIM(Base_Bruta!N906)),DePara_Pais!$A$2:$A$9,DePara_Pais!$B$2:$B$9,"REVISAR"))</f>
        <v>Brasil</v>
      </c>
      <c r="P906" s="4" t="str">
        <f aca="false">IF($A906="","",IF(O906&lt;&gt;"Brasil","Turista Internacional",IF(M906=F906,"Local","Turista Nacional")))</f>
        <v>Local</v>
      </c>
      <c r="Q906" s="7" t="n">
        <f aca="false">IF($A906="","",DATE(YEAR(B906),MONTH(B906),1))</f>
        <v>45748</v>
      </c>
      <c r="R906" s="4" t="str">
        <f aca="false">IF($A906="","",IF(COUNTIF($A$2:$A906,$A906)&gt;1,"Sim","Não"))</f>
        <v>Não</v>
      </c>
      <c r="S906" s="4" t="str">
        <f aca="false">IF(A906="","Descartar - Linha vazia",IF(R906="Sim","Descartar - Duplicado",IF(OR(H906&lt;=0,I906&lt;=0),"Descartar - Qtd/Valor inválido","OK")))</f>
        <v>OK</v>
      </c>
      <c r="T906" s="4" t="str">
        <f aca="false">Base_Bruta!P906</f>
        <v>vendas_RJ.xlsx</v>
      </c>
    </row>
    <row r="907" customFormat="false" ht="15" hidden="false" customHeight="false" outlineLevel="0" collapsed="false">
      <c r="A907" s="4" t="str">
        <f aca="false">IF(Base_Bruta!A907="","",Base_Bruta!A907)</f>
        <v>RJ-000283</v>
      </c>
      <c r="B907" s="5" t="n">
        <f aca="false">IF($A907="","",IF(ISNUMBER(Base_Bruta!B907),Base_Bruta!B907,IF(MID(Base_Bruta!B907,5,1)="-",DATE(VALUE(LEFT(Base_Bruta!B907,4)),VALUE(MID(Base_Bruta!B907,6,2)),VALUE(RIGHT(Base_Bruta!B907,2))),DATE(VALUE(RIGHT(Base_Bruta!B907,4)),VALUE(MID(Base_Bruta!B907,4,2)),VALUE(LEFT(Base_Bruta!B907,2))))))</f>
        <v>45759</v>
      </c>
      <c r="C907" s="5" t="n">
        <f aca="false">IF($A907="","",IF(ISNUMBER(Base_Bruta!C907),Base_Bruta!C907,IF(MID(Base_Bruta!C907,5,1)="-",DATE(VALUE(LEFT(Base_Bruta!C907,4)),VALUE(MID(Base_Bruta!C907,6,2)),VALUE(RIGHT(Base_Bruta!C907,2))),DATE(VALUE(RIGHT(Base_Bruta!C907,4)),VALUE(MID(Base_Bruta!C907,4,2)),VALUE(LEFT(Base_Bruta!C907,2))))))</f>
        <v>45822</v>
      </c>
      <c r="D907" s="4" t="str">
        <f aca="false">IF($A907="","",TRIM(Base_Bruta!D907))</f>
        <v>Show Nacional MPB - Rio</v>
      </c>
      <c r="E907" s="4" t="str">
        <f aca="false">IF($A907="","",_xlfn.XLOOKUP(LOWER(TRIM(Base_Bruta!E907)),DePara_Categoria!$A$2:$A$9,DePara_Categoria!$B$2:$B$9,"REVISAR"))</f>
        <v>Show</v>
      </c>
      <c r="F907" s="4" t="str">
        <f aca="false">IF($A907="","",_xlfn.XLOOKUP(LOWER(TRIM(Base_Bruta!F907)),DePara_Cidade!$A$2:$A$29,DePara_Cidade!$B$2:$B$29,"REVISAR"))</f>
        <v>Rio de Janeiro</v>
      </c>
      <c r="G907" s="4" t="str">
        <f aca="false">IF($A907="","",TRIM(Base_Bruta!G907))</f>
        <v>Meia</v>
      </c>
      <c r="H907" s="4" t="n">
        <f aca="false">IF($A907="","",IF(ISNUMBER(Base_Bruta!H907),Base_Bruta!H907,IFERROR(_xlfn.NUMBERVALUE(TRIM(SUBSTITUTE(Base_Bruta!H907,"R$","")),",","."),0)))</f>
        <v>2</v>
      </c>
      <c r="I907" s="6" t="n">
        <f aca="false">IF($A907="","",IF(ISNUMBER(Base_Bruta!I907),Base_Bruta!I907,IFERROR(_xlfn.NUMBERVALUE(TRIM(SUBSTITUTE(Base_Bruta!I907,"R$","")),",","."),0)))</f>
        <v>232.5</v>
      </c>
      <c r="J907" s="6" t="n">
        <f aca="false">IF($A907="","",H907*I907)</f>
        <v>465</v>
      </c>
      <c r="K907" s="4" t="str">
        <f aca="false">IF($A907="","",TRIM(Base_Bruta!J907))</f>
        <v>Site</v>
      </c>
      <c r="L907" s="4" t="str">
        <f aca="false">IF($A907="","",TRIM(Base_Bruta!K907))</f>
        <v>C00999</v>
      </c>
      <c r="M907" s="4" t="str">
        <f aca="false">IF($A907="","",_xlfn.XLOOKUP(LOWER(TRIM(Base_Bruta!L907)),DePara_Cidade!$A$2:$A$29,DePara_Cidade!$B$2:$B$29,"REVISAR"))</f>
        <v>Rio de Janeiro</v>
      </c>
      <c r="N907" s="4" t="str">
        <f aca="false">IF($A907="","",UPPER(TRIM(Base_Bruta!M907)))</f>
        <v>RJ</v>
      </c>
      <c r="O907" s="4" t="str">
        <f aca="false">IF($A907="","",_xlfn.XLOOKUP(LOWER(TRIM(Base_Bruta!N907)),DePara_Pais!$A$2:$A$9,DePara_Pais!$B$2:$B$9,"REVISAR"))</f>
        <v>Brasil</v>
      </c>
      <c r="P907" s="4" t="str">
        <f aca="false">IF($A907="","",IF(O907&lt;&gt;"Brasil","Turista Internacional",IF(M907=F907,"Local","Turista Nacional")))</f>
        <v>Local</v>
      </c>
      <c r="Q907" s="7" t="n">
        <f aca="false">IF($A907="","",DATE(YEAR(B907),MONTH(B907),1))</f>
        <v>45748</v>
      </c>
      <c r="R907" s="4" t="str">
        <f aca="false">IF($A907="","",IF(COUNTIF($A$2:$A907,$A907)&gt;1,"Sim","Não"))</f>
        <v>Não</v>
      </c>
      <c r="S907" s="4" t="str">
        <f aca="false">IF(A907="","Descartar - Linha vazia",IF(R907="Sim","Descartar - Duplicado",IF(OR(H907&lt;=0,I907&lt;=0),"Descartar - Qtd/Valor inválido","OK")))</f>
        <v>OK</v>
      </c>
      <c r="T907" s="4" t="str">
        <f aca="false">Base_Bruta!P907</f>
        <v>vendas_RJ.xlsx</v>
      </c>
    </row>
    <row r="908" customFormat="false" ht="15" hidden="false" customHeight="false" outlineLevel="0" collapsed="false">
      <c r="A908" s="4" t="str">
        <f aca="false">IF(Base_Bruta!A908="","",Base_Bruta!A908)</f>
        <v>RJ-000559</v>
      </c>
      <c r="B908" s="5" t="n">
        <f aca="false">IF($A908="","",IF(ISNUMBER(Base_Bruta!B908),Base_Bruta!B908,IF(MID(Base_Bruta!B908,5,1)="-",DATE(VALUE(LEFT(Base_Bruta!B908,4)),VALUE(MID(Base_Bruta!B908,6,2)),VALUE(RIGHT(Base_Bruta!B908,2))),DATE(VALUE(RIGHT(Base_Bruta!B908,4)),VALUE(MID(Base_Bruta!B908,4,2)),VALUE(LEFT(Base_Bruta!B908,2))))))</f>
        <v>45760</v>
      </c>
      <c r="C908" s="5" t="n">
        <f aca="false">IF($A908="","",IF(ISNUMBER(Base_Bruta!C908),Base_Bruta!C908,IF(MID(Base_Bruta!C908,5,1)="-",DATE(VALUE(LEFT(Base_Bruta!C908,4)),VALUE(MID(Base_Bruta!C908,6,2)),VALUE(RIGHT(Base_Bruta!C908,2))),DATE(VALUE(RIGHT(Base_Bruta!C908,4)),VALUE(MID(Base_Bruta!C908,4,2)),VALUE(LEFT(Base_Bruta!C908,2))))))</f>
        <v>45760</v>
      </c>
      <c r="D908" s="4" t="str">
        <f aca="false">IF($A908="","",TRIM(Base_Bruta!D908))</f>
        <v>Cinema Barra - Sessões</v>
      </c>
      <c r="E908" s="4" t="str">
        <f aca="false">IF($A908="","",_xlfn.XLOOKUP(LOWER(TRIM(Base_Bruta!E908)),DePara_Categoria!$A$2:$A$9,DePara_Categoria!$B$2:$B$9,"REVISAR"))</f>
        <v>Cinema</v>
      </c>
      <c r="F908" s="4" t="str">
        <f aca="false">IF($A908="","",_xlfn.XLOOKUP(LOWER(TRIM(Base_Bruta!F908)),DePara_Cidade!$A$2:$A$29,DePara_Cidade!$B$2:$B$29,"REVISAR"))</f>
        <v>Rio de Janeiro</v>
      </c>
      <c r="G908" s="4" t="str">
        <f aca="false">IF($A908="","",TRIM(Base_Bruta!G908))</f>
        <v>Inteira</v>
      </c>
      <c r="H908" s="4" t="n">
        <f aca="false">IF($A908="","",IF(ISNUMBER(Base_Bruta!H908),Base_Bruta!H908,IFERROR(_xlfn.NUMBERVALUE(TRIM(SUBSTITUTE(Base_Bruta!H908,"R$","")),",","."),0)))</f>
        <v>2</v>
      </c>
      <c r="I908" s="6" t="n">
        <f aca="false">IF($A908="","",IF(ISNUMBER(Base_Bruta!I908),Base_Bruta!I908,IFERROR(_xlfn.NUMBERVALUE(TRIM(SUBSTITUTE(Base_Bruta!I908,"R$","")),",","."),0)))</f>
        <v>35</v>
      </c>
      <c r="J908" s="6" t="n">
        <f aca="false">IF($A908="","",H908*I908)</f>
        <v>70</v>
      </c>
      <c r="K908" s="4" t="str">
        <f aca="false">IF($A908="","",TRIM(Base_Bruta!J908))</f>
        <v>App</v>
      </c>
      <c r="L908" s="4" t="str">
        <f aca="false">IF($A908="","",TRIM(Base_Bruta!K908))</f>
        <v>C01597</v>
      </c>
      <c r="M908" s="4" t="str">
        <f aca="false">IF($A908="","",_xlfn.XLOOKUP(LOWER(TRIM(Base_Bruta!L908)),DePara_Cidade!$A$2:$A$29,DePara_Cidade!$B$2:$B$29,"REVISAR"))</f>
        <v>Rio de Janeiro</v>
      </c>
      <c r="N908" s="4" t="str">
        <f aca="false">IF($A908="","",UPPER(TRIM(Base_Bruta!M908)))</f>
        <v>RJ</v>
      </c>
      <c r="O908" s="4" t="str">
        <f aca="false">IF($A908="","",_xlfn.XLOOKUP(LOWER(TRIM(Base_Bruta!N908)),DePara_Pais!$A$2:$A$9,DePara_Pais!$B$2:$B$9,"REVISAR"))</f>
        <v>Brasil</v>
      </c>
      <c r="P908" s="4" t="str">
        <f aca="false">IF($A908="","",IF(O908&lt;&gt;"Brasil","Turista Internacional",IF(M908=F908,"Local","Turista Nacional")))</f>
        <v>Local</v>
      </c>
      <c r="Q908" s="7" t="n">
        <f aca="false">IF($A908="","",DATE(YEAR(B908),MONTH(B908),1))</f>
        <v>45748</v>
      </c>
      <c r="R908" s="4" t="str">
        <f aca="false">IF($A908="","",IF(COUNTIF($A$2:$A908,$A908)&gt;1,"Sim","Não"))</f>
        <v>Não</v>
      </c>
      <c r="S908" s="4" t="str">
        <f aca="false">IF(A908="","Descartar - Linha vazia",IF(R908="Sim","Descartar - Duplicado",IF(OR(H908&lt;=0,I908&lt;=0),"Descartar - Qtd/Valor inválido","OK")))</f>
        <v>OK</v>
      </c>
      <c r="T908" s="4" t="str">
        <f aca="false">Base_Bruta!P908</f>
        <v>vendas_RJ.xlsx</v>
      </c>
    </row>
    <row r="909" customFormat="false" ht="15" hidden="false" customHeight="false" outlineLevel="0" collapsed="false">
      <c r="A909" s="4" t="str">
        <f aca="false">IF(Base_Bruta!A909="","",Base_Bruta!A909)</f>
        <v>RJ-000265</v>
      </c>
      <c r="B909" s="5" t="n">
        <f aca="false">IF($A909="","",IF(ISNUMBER(Base_Bruta!B909),Base_Bruta!B909,IF(MID(Base_Bruta!B909,5,1)="-",DATE(VALUE(LEFT(Base_Bruta!B909,4)),VALUE(MID(Base_Bruta!B909,6,2)),VALUE(RIGHT(Base_Bruta!B909,2))),DATE(VALUE(RIGHT(Base_Bruta!B909,4)),VALUE(MID(Base_Bruta!B909,4,2)),VALUE(LEFT(Base_Bruta!B909,2))))))</f>
        <v>45761</v>
      </c>
      <c r="C909" s="5" t="n">
        <f aca="false">IF($A909="","",IF(ISNUMBER(Base_Bruta!C909),Base_Bruta!C909,IF(MID(Base_Bruta!C909,5,1)="-",DATE(VALUE(LEFT(Base_Bruta!C909,4)),VALUE(MID(Base_Bruta!C909,6,2)),VALUE(RIGHT(Base_Bruta!C909,2))),DATE(VALUE(RIGHT(Base_Bruta!C909,4)),VALUE(MID(Base_Bruta!C909,4,2)),VALUE(LEFT(Base_Bruta!C909,2))))))</f>
        <v>45822</v>
      </c>
      <c r="D909" s="4" t="str">
        <f aca="false">IF($A909="","",TRIM(Base_Bruta!D909))</f>
        <v>Show Nacional MPB - Rio</v>
      </c>
      <c r="E909" s="4" t="str">
        <f aca="false">IF($A909="","",_xlfn.XLOOKUP(LOWER(TRIM(Base_Bruta!E909)),DePara_Categoria!$A$2:$A$9,DePara_Categoria!$B$2:$B$9,"REVISAR"))</f>
        <v>Show</v>
      </c>
      <c r="F909" s="4" t="str">
        <f aca="false">IF($A909="","",_xlfn.XLOOKUP(LOWER(TRIM(Base_Bruta!F909)),DePara_Cidade!$A$2:$A$29,DePara_Cidade!$B$2:$B$29,"REVISAR"))</f>
        <v>Rio de Janeiro</v>
      </c>
      <c r="G909" s="4" t="str">
        <f aca="false">IF($A909="","",TRIM(Base_Bruta!G909))</f>
        <v>Meia</v>
      </c>
      <c r="H909" s="4" t="n">
        <f aca="false">IF($A909="","",IF(ISNUMBER(Base_Bruta!H909),Base_Bruta!H909,IFERROR(_xlfn.NUMBERVALUE(TRIM(SUBSTITUTE(Base_Bruta!H909,"R$","")),",","."),0)))</f>
        <v>2</v>
      </c>
      <c r="I909" s="6" t="n">
        <f aca="false">IF($A909="","",IF(ISNUMBER(Base_Bruta!I909),Base_Bruta!I909,IFERROR(_xlfn.NUMBERVALUE(TRIM(SUBSTITUTE(Base_Bruta!I909,"R$","")),",","."),0)))</f>
        <v>350</v>
      </c>
      <c r="J909" s="6" t="n">
        <f aca="false">IF($A909="","",H909*I909)</f>
        <v>700</v>
      </c>
      <c r="K909" s="4" t="str">
        <f aca="false">IF($A909="","",TRIM(Base_Bruta!J909))</f>
        <v>App</v>
      </c>
      <c r="L909" s="4" t="str">
        <f aca="false">IF($A909="","",TRIM(Base_Bruta!K909))</f>
        <v>C01143</v>
      </c>
      <c r="M909" s="4" t="str">
        <f aca="false">IF($A909="","",_xlfn.XLOOKUP(LOWER(TRIM(Base_Bruta!L909)),DePara_Cidade!$A$2:$A$29,DePara_Cidade!$B$2:$B$29,"REVISAR"))</f>
        <v>Rio de Janeiro</v>
      </c>
      <c r="N909" s="4" t="str">
        <f aca="false">IF($A909="","",UPPER(TRIM(Base_Bruta!M909)))</f>
        <v>RJ</v>
      </c>
      <c r="O909" s="4" t="str">
        <f aca="false">IF($A909="","",_xlfn.XLOOKUP(LOWER(TRIM(Base_Bruta!N909)),DePara_Pais!$A$2:$A$9,DePara_Pais!$B$2:$B$9,"REVISAR"))</f>
        <v>Brasil</v>
      </c>
      <c r="P909" s="4" t="str">
        <f aca="false">IF($A909="","",IF(O909&lt;&gt;"Brasil","Turista Internacional",IF(M909=F909,"Local","Turista Nacional")))</f>
        <v>Local</v>
      </c>
      <c r="Q909" s="7" t="n">
        <f aca="false">IF($A909="","",DATE(YEAR(B909),MONTH(B909),1))</f>
        <v>45748</v>
      </c>
      <c r="R909" s="4" t="str">
        <f aca="false">IF($A909="","",IF(COUNTIF($A$2:$A909,$A909)&gt;1,"Sim","Não"))</f>
        <v>Não</v>
      </c>
      <c r="S909" s="4" t="str">
        <f aca="false">IF(A909="","Descartar - Linha vazia",IF(R909="Sim","Descartar - Duplicado",IF(OR(H909&lt;=0,I909&lt;=0),"Descartar - Qtd/Valor inválido","OK")))</f>
        <v>OK</v>
      </c>
      <c r="T909" s="4" t="str">
        <f aca="false">Base_Bruta!P909</f>
        <v>vendas_RJ.xlsx</v>
      </c>
    </row>
    <row r="910" customFormat="false" ht="15" hidden="false" customHeight="false" outlineLevel="0" collapsed="false">
      <c r="A910" s="4" t="str">
        <f aca="false">IF(Base_Bruta!A910="","",Base_Bruta!A910)</f>
        <v>RJ-000248</v>
      </c>
      <c r="B910" s="5" t="n">
        <f aca="false">IF($A910="","",IF(ISNUMBER(Base_Bruta!B910),Base_Bruta!B910,IF(MID(Base_Bruta!B910,5,1)="-",DATE(VALUE(LEFT(Base_Bruta!B910,4)),VALUE(MID(Base_Bruta!B910,6,2)),VALUE(RIGHT(Base_Bruta!B910,2))),DATE(VALUE(RIGHT(Base_Bruta!B910,4)),VALUE(MID(Base_Bruta!B910,4,2)),VALUE(LEFT(Base_Bruta!B910,2))))))</f>
        <v>45763</v>
      </c>
      <c r="C910" s="5" t="n">
        <f aca="false">IF($A910="","",IF(ISNUMBER(Base_Bruta!C910),Base_Bruta!C910,IF(MID(Base_Bruta!C910,5,1)="-",DATE(VALUE(LEFT(Base_Bruta!C910,4)),VALUE(MID(Base_Bruta!C910,6,2)),VALUE(RIGHT(Base_Bruta!C910,2))),DATE(VALUE(RIGHT(Base_Bruta!C910,4)),VALUE(MID(Base_Bruta!C910,4,2)),VALUE(LEFT(Base_Bruta!C910,2))))))</f>
        <v>45822</v>
      </c>
      <c r="D910" s="4" t="str">
        <f aca="false">IF($A910="","",TRIM(Base_Bruta!D910))</f>
        <v>Show Nacional MPB - Rio</v>
      </c>
      <c r="E910" s="4" t="str">
        <f aca="false">IF($A910="","",_xlfn.XLOOKUP(LOWER(TRIM(Base_Bruta!E910)),DePara_Categoria!$A$2:$A$9,DePara_Categoria!$B$2:$B$9,"REVISAR"))</f>
        <v>Show</v>
      </c>
      <c r="F910" s="4" t="str">
        <f aca="false">IF($A910="","",_xlfn.XLOOKUP(LOWER(TRIM(Base_Bruta!F910)),DePara_Cidade!$A$2:$A$29,DePara_Cidade!$B$2:$B$29,"REVISAR"))</f>
        <v>Rio de Janeiro</v>
      </c>
      <c r="G910" s="4" t="str">
        <f aca="false">IF($A910="","",TRIM(Base_Bruta!G910))</f>
        <v>Meia</v>
      </c>
      <c r="H910" s="4" t="n">
        <f aca="false">IF($A910="","",IF(ISNUMBER(Base_Bruta!H910),Base_Bruta!H910,IFERROR(_xlfn.NUMBERVALUE(TRIM(SUBSTITUTE(Base_Bruta!H910,"R$","")),",","."),0)))</f>
        <v>1</v>
      </c>
      <c r="I910" s="6" t="n">
        <f aca="false">IF($A910="","",IF(ISNUMBER(Base_Bruta!I910),Base_Bruta!I910,IFERROR(_xlfn.NUMBERVALUE(TRIM(SUBSTITUTE(Base_Bruta!I910,"R$","")),",","."),0)))</f>
        <v>270</v>
      </c>
      <c r="J910" s="6" t="n">
        <f aca="false">IF($A910="","",H910*I910)</f>
        <v>270</v>
      </c>
      <c r="K910" s="4" t="str">
        <f aca="false">IF($A910="","",TRIM(Base_Bruta!J910))</f>
        <v>Site</v>
      </c>
      <c r="L910" s="4" t="str">
        <f aca="false">IF($A910="","",TRIM(Base_Bruta!K910))</f>
        <v>C01999</v>
      </c>
      <c r="M910" s="4" t="str">
        <f aca="false">IF($A910="","",_xlfn.XLOOKUP(LOWER(TRIM(Base_Bruta!L910)),DePara_Cidade!$A$2:$A$29,DePara_Cidade!$B$2:$B$29,"REVISAR"))</f>
        <v>Rio de Janeiro</v>
      </c>
      <c r="N910" s="4" t="str">
        <f aca="false">IF($A910="","",UPPER(TRIM(Base_Bruta!M910)))</f>
        <v>RJ</v>
      </c>
      <c r="O910" s="4" t="str">
        <f aca="false">IF($A910="","",_xlfn.XLOOKUP(LOWER(TRIM(Base_Bruta!N910)),DePara_Pais!$A$2:$A$9,DePara_Pais!$B$2:$B$9,"REVISAR"))</f>
        <v>Brasil</v>
      </c>
      <c r="P910" s="4" t="str">
        <f aca="false">IF($A910="","",IF(O910&lt;&gt;"Brasil","Turista Internacional",IF(M910=F910,"Local","Turista Nacional")))</f>
        <v>Local</v>
      </c>
      <c r="Q910" s="7" t="n">
        <f aca="false">IF($A910="","",DATE(YEAR(B910),MONTH(B910),1))</f>
        <v>45748</v>
      </c>
      <c r="R910" s="4" t="str">
        <f aca="false">IF($A910="","",IF(COUNTIF($A$2:$A910,$A910)&gt;1,"Sim","Não"))</f>
        <v>Não</v>
      </c>
      <c r="S910" s="4" t="str">
        <f aca="false">IF(A910="","Descartar - Linha vazia",IF(R910="Sim","Descartar - Duplicado",IF(OR(H910&lt;=0,I910&lt;=0),"Descartar - Qtd/Valor inválido","OK")))</f>
        <v>OK</v>
      </c>
      <c r="T910" s="4" t="str">
        <f aca="false">Base_Bruta!P910</f>
        <v>vendas_RJ.xlsx</v>
      </c>
    </row>
    <row r="911" customFormat="false" ht="15" hidden="false" customHeight="false" outlineLevel="0" collapsed="false">
      <c r="A911" s="4" t="str">
        <f aca="false">IF(Base_Bruta!A911="","",Base_Bruta!A911)</f>
        <v>RJ-000256</v>
      </c>
      <c r="B911" s="5" t="n">
        <f aca="false">IF($A911="","",IF(ISNUMBER(Base_Bruta!B911),Base_Bruta!B911,IF(MID(Base_Bruta!B911,5,1)="-",DATE(VALUE(LEFT(Base_Bruta!B911,4)),VALUE(MID(Base_Bruta!B911,6,2)),VALUE(RIGHT(Base_Bruta!B911,2))),DATE(VALUE(RIGHT(Base_Bruta!B911,4)),VALUE(MID(Base_Bruta!B911,4,2)),VALUE(LEFT(Base_Bruta!B911,2))))))</f>
        <v>45763</v>
      </c>
      <c r="C911" s="5" t="n">
        <f aca="false">IF($A911="","",IF(ISNUMBER(Base_Bruta!C911),Base_Bruta!C911,IF(MID(Base_Bruta!C911,5,1)="-",DATE(VALUE(LEFT(Base_Bruta!C911,4)),VALUE(MID(Base_Bruta!C911,6,2)),VALUE(RIGHT(Base_Bruta!C911,2))),DATE(VALUE(RIGHT(Base_Bruta!C911,4)),VALUE(MID(Base_Bruta!C911,4,2)),VALUE(LEFT(Base_Bruta!C911,2))))))</f>
        <v>45822</v>
      </c>
      <c r="D911" s="4" t="str">
        <f aca="false">IF($A911="","",TRIM(Base_Bruta!D911))</f>
        <v>Show Nacional MPB - Rio</v>
      </c>
      <c r="E911" s="4" t="str">
        <f aca="false">IF($A911="","",_xlfn.XLOOKUP(LOWER(TRIM(Base_Bruta!E911)),DePara_Categoria!$A$2:$A$9,DePara_Categoria!$B$2:$B$9,"REVISAR"))</f>
        <v>Show</v>
      </c>
      <c r="F911" s="4" t="str">
        <f aca="false">IF($A911="","",_xlfn.XLOOKUP(LOWER(TRIM(Base_Bruta!F911)),DePara_Cidade!$A$2:$A$29,DePara_Cidade!$B$2:$B$29,"REVISAR"))</f>
        <v>Rio de Janeiro</v>
      </c>
      <c r="G911" s="4" t="str">
        <f aca="false">IF($A911="","",TRIM(Base_Bruta!G911))</f>
        <v>Meia</v>
      </c>
      <c r="H911" s="4" t="n">
        <f aca="false">IF($A911="","",IF(ISNUMBER(Base_Bruta!H911),Base_Bruta!H911,IFERROR(_xlfn.NUMBERVALUE(TRIM(SUBSTITUTE(Base_Bruta!H911,"R$","")),",","."),0)))</f>
        <v>1</v>
      </c>
      <c r="I911" s="6" t="n">
        <f aca="false">IF($A911="","",IF(ISNUMBER(Base_Bruta!I911),Base_Bruta!I911,IFERROR(_xlfn.NUMBERVALUE(TRIM(SUBSTITUTE(Base_Bruta!I911,"R$","")),",","."),0)))</f>
        <v>330</v>
      </c>
      <c r="J911" s="6" t="n">
        <f aca="false">IF($A911="","",H911*I911)</f>
        <v>330</v>
      </c>
      <c r="K911" s="4" t="str">
        <f aca="false">IF($A911="","",TRIM(Base_Bruta!J911))</f>
        <v>Parceiro</v>
      </c>
      <c r="L911" s="4" t="str">
        <f aca="false">IF($A911="","",TRIM(Base_Bruta!K911))</f>
        <v>C01994</v>
      </c>
      <c r="M911" s="4" t="str">
        <f aca="false">IF($A911="","",_xlfn.XLOOKUP(LOWER(TRIM(Base_Bruta!L911)),DePara_Cidade!$A$2:$A$29,DePara_Cidade!$B$2:$B$29,"REVISAR"))</f>
        <v>Rio de Janeiro</v>
      </c>
      <c r="N911" s="4" t="str">
        <f aca="false">IF($A911="","",UPPER(TRIM(Base_Bruta!M911)))</f>
        <v>RJ</v>
      </c>
      <c r="O911" s="4" t="str">
        <f aca="false">IF($A911="","",_xlfn.XLOOKUP(LOWER(TRIM(Base_Bruta!N911)),DePara_Pais!$A$2:$A$9,DePara_Pais!$B$2:$B$9,"REVISAR"))</f>
        <v>Brasil</v>
      </c>
      <c r="P911" s="4" t="str">
        <f aca="false">IF($A911="","",IF(O911&lt;&gt;"Brasil","Turista Internacional",IF(M911=F911,"Local","Turista Nacional")))</f>
        <v>Local</v>
      </c>
      <c r="Q911" s="7" t="n">
        <f aca="false">IF($A911="","",DATE(YEAR(B911),MONTH(B911),1))</f>
        <v>45748</v>
      </c>
      <c r="R911" s="4" t="str">
        <f aca="false">IF($A911="","",IF(COUNTIF($A$2:$A911,$A911)&gt;1,"Sim","Não"))</f>
        <v>Não</v>
      </c>
      <c r="S911" s="4" t="str">
        <f aca="false">IF(A911="","Descartar - Linha vazia",IF(R911="Sim","Descartar - Duplicado",IF(OR(H911&lt;=0,I911&lt;=0),"Descartar - Qtd/Valor inválido","OK")))</f>
        <v>OK</v>
      </c>
      <c r="T911" s="4" t="str">
        <f aca="false">Base_Bruta!P911</f>
        <v>vendas_RJ.xlsx</v>
      </c>
    </row>
    <row r="912" customFormat="false" ht="15" hidden="false" customHeight="false" outlineLevel="0" collapsed="false">
      <c r="A912" s="4" t="str">
        <f aca="false">IF(Base_Bruta!A912="","",Base_Bruta!A912)</f>
        <v>RJ-000289</v>
      </c>
      <c r="B912" s="5" t="n">
        <f aca="false">IF($A912="","",IF(ISNUMBER(Base_Bruta!B912),Base_Bruta!B912,IF(MID(Base_Bruta!B912,5,1)="-",DATE(VALUE(LEFT(Base_Bruta!B912,4)),VALUE(MID(Base_Bruta!B912,6,2)),VALUE(RIGHT(Base_Bruta!B912,2))),DATE(VALUE(RIGHT(Base_Bruta!B912,4)),VALUE(MID(Base_Bruta!B912,4,2)),VALUE(LEFT(Base_Bruta!B912,2))))))</f>
        <v>45764</v>
      </c>
      <c r="C912" s="5" t="n">
        <f aca="false">IF($A912="","",IF(ISNUMBER(Base_Bruta!C912),Base_Bruta!C912,IF(MID(Base_Bruta!C912,5,1)="-",DATE(VALUE(LEFT(Base_Bruta!C912,4)),VALUE(MID(Base_Bruta!C912,6,2)),VALUE(RIGHT(Base_Bruta!C912,2))),DATE(VALUE(RIGHT(Base_Bruta!C912,4)),VALUE(MID(Base_Bruta!C912,4,2)),VALUE(LEFT(Base_Bruta!C912,2))))))</f>
        <v>45822</v>
      </c>
      <c r="D912" s="4" t="str">
        <f aca="false">IF($A912="","",TRIM(Base_Bruta!D912))</f>
        <v>Show Nacional MPB - Rio</v>
      </c>
      <c r="E912" s="4" t="str">
        <f aca="false">IF($A912="","",_xlfn.XLOOKUP(LOWER(TRIM(Base_Bruta!E912)),DePara_Categoria!$A$2:$A$9,DePara_Categoria!$B$2:$B$9,"REVISAR"))</f>
        <v>Show</v>
      </c>
      <c r="F912" s="4" t="str">
        <f aca="false">IF($A912="","",_xlfn.XLOOKUP(LOWER(TRIM(Base_Bruta!F912)),DePara_Cidade!$A$2:$A$29,DePara_Cidade!$B$2:$B$29,"REVISAR"))</f>
        <v>Rio de Janeiro</v>
      </c>
      <c r="G912" s="4" t="str">
        <f aca="false">IF($A912="","",TRIM(Base_Bruta!G912))</f>
        <v>Inteira</v>
      </c>
      <c r="H912" s="4" t="n">
        <f aca="false">IF($A912="","",IF(ISNUMBER(Base_Bruta!H912),Base_Bruta!H912,IFERROR(_xlfn.NUMBERVALUE(TRIM(SUBSTITUTE(Base_Bruta!H912,"R$","")),",","."),0)))</f>
        <v>3</v>
      </c>
      <c r="I912" s="6" t="n">
        <f aca="false">IF($A912="","",IF(ISNUMBER(Base_Bruta!I912),Base_Bruta!I912,IFERROR(_xlfn.NUMBERVALUE(TRIM(SUBSTITUTE(Base_Bruta!I912,"R$","")),",","."),0)))</f>
        <v>310</v>
      </c>
      <c r="J912" s="6" t="n">
        <f aca="false">IF($A912="","",H912*I912)</f>
        <v>930</v>
      </c>
      <c r="K912" s="4" t="str">
        <f aca="false">IF($A912="","",TRIM(Base_Bruta!J912))</f>
        <v>Site</v>
      </c>
      <c r="L912" s="4" t="str">
        <f aca="false">IF($A912="","",TRIM(Base_Bruta!K912))</f>
        <v>C02131</v>
      </c>
      <c r="M912" s="4" t="str">
        <f aca="false">IF($A912="","",_xlfn.XLOOKUP(LOWER(TRIM(Base_Bruta!L912)),DePara_Cidade!$A$2:$A$29,DePara_Cidade!$B$2:$B$29,"REVISAR"))</f>
        <v>Brasília</v>
      </c>
      <c r="N912" s="4" t="str">
        <f aca="false">IF($A912="","",UPPER(TRIM(Base_Bruta!M912)))</f>
        <v>DF</v>
      </c>
      <c r="O912" s="4" t="str">
        <f aca="false">IF($A912="","",_xlfn.XLOOKUP(LOWER(TRIM(Base_Bruta!N912)),DePara_Pais!$A$2:$A$9,DePara_Pais!$B$2:$B$9,"REVISAR"))</f>
        <v>Brasil</v>
      </c>
      <c r="P912" s="4" t="str">
        <f aca="false">IF($A912="","",IF(O912&lt;&gt;"Brasil","Turista Internacional",IF(M912=F912,"Local","Turista Nacional")))</f>
        <v>Turista Nacional</v>
      </c>
      <c r="Q912" s="7" t="n">
        <f aca="false">IF($A912="","",DATE(YEAR(B912),MONTH(B912),1))</f>
        <v>45748</v>
      </c>
      <c r="R912" s="4" t="str">
        <f aca="false">IF($A912="","",IF(COUNTIF($A$2:$A912,$A912)&gt;1,"Sim","Não"))</f>
        <v>Não</v>
      </c>
      <c r="S912" s="4" t="str">
        <f aca="false">IF(A912="","Descartar - Linha vazia",IF(R912="Sim","Descartar - Duplicado",IF(OR(H912&lt;=0,I912&lt;=0),"Descartar - Qtd/Valor inválido","OK")))</f>
        <v>OK</v>
      </c>
      <c r="T912" s="4" t="str">
        <f aca="false">Base_Bruta!P912</f>
        <v>vendas_RJ.xlsx</v>
      </c>
    </row>
    <row r="913" customFormat="false" ht="15" hidden="false" customHeight="false" outlineLevel="0" collapsed="false">
      <c r="A913" s="4" t="str">
        <f aca="false">IF(Base_Bruta!A913="","",Base_Bruta!A913)</f>
        <v>RJ-000371</v>
      </c>
      <c r="B913" s="5" t="n">
        <f aca="false">IF($A913="","",IF(ISNUMBER(Base_Bruta!B913),Base_Bruta!B913,IF(MID(Base_Bruta!B913,5,1)="-",DATE(VALUE(LEFT(Base_Bruta!B913,4)),VALUE(MID(Base_Bruta!B913,6,2)),VALUE(RIGHT(Base_Bruta!B913,2))),DATE(VALUE(RIGHT(Base_Bruta!B913,4)),VALUE(MID(Base_Bruta!B913,4,2)),VALUE(LEFT(Base_Bruta!B913,2))))))</f>
        <v>45764</v>
      </c>
      <c r="C913" s="5" t="n">
        <f aca="false">IF($A913="","",IF(ISNUMBER(Base_Bruta!C913),Base_Bruta!C913,IF(MID(Base_Bruta!C913,5,1)="-",DATE(VALUE(LEFT(Base_Bruta!C913,4)),VALUE(MID(Base_Bruta!C913,6,2)),VALUE(RIGHT(Base_Bruta!C913,2))),DATE(VALUE(RIGHT(Base_Bruta!C913,4)),VALUE(MID(Base_Bruta!C913,4,2)),VALUE(LEFT(Base_Bruta!C913,2))))))</f>
        <v>45822</v>
      </c>
      <c r="D913" s="4" t="str">
        <f aca="false">IF($A913="","",TRIM(Base_Bruta!D913))</f>
        <v>Show Nacional MPB - Rio</v>
      </c>
      <c r="E913" s="4" t="str">
        <f aca="false">IF($A913="","",_xlfn.XLOOKUP(LOWER(TRIM(Base_Bruta!E913)),DePara_Categoria!$A$2:$A$9,DePara_Categoria!$B$2:$B$9,"REVISAR"))</f>
        <v>Show</v>
      </c>
      <c r="F913" s="4" t="str">
        <f aca="false">IF($A913="","",_xlfn.XLOOKUP(LOWER(TRIM(Base_Bruta!F913)),DePara_Cidade!$A$2:$A$29,DePara_Cidade!$B$2:$B$29,"REVISAR"))</f>
        <v>Rio de Janeiro</v>
      </c>
      <c r="G913" s="4" t="str">
        <f aca="false">IF($A913="","",TRIM(Base_Bruta!G913))</f>
        <v>Inteira</v>
      </c>
      <c r="H913" s="4" t="n">
        <f aca="false">IF($A913="","",IF(ISNUMBER(Base_Bruta!H913),Base_Bruta!H913,IFERROR(_xlfn.NUMBERVALUE(TRIM(SUBSTITUTE(Base_Bruta!H913,"R$","")),",","."),0)))</f>
        <v>2</v>
      </c>
      <c r="I913" s="6" t="n">
        <f aca="false">IF($A913="","",IF(ISNUMBER(Base_Bruta!I913),Base_Bruta!I913,IFERROR(_xlfn.NUMBERVALUE(TRIM(SUBSTITUTE(Base_Bruta!I913,"R$","")),",","."),0)))</f>
        <v>600</v>
      </c>
      <c r="J913" s="6" t="n">
        <f aca="false">IF($A913="","",H913*I913)</f>
        <v>1200</v>
      </c>
      <c r="K913" s="4" t="str">
        <f aca="false">IF($A913="","",TRIM(Base_Bruta!J913))</f>
        <v>Site</v>
      </c>
      <c r="L913" s="4" t="str">
        <f aca="false">IF($A913="","",TRIM(Base_Bruta!K913))</f>
        <v>C01145</v>
      </c>
      <c r="M913" s="4" t="str">
        <f aca="false">IF($A913="","",_xlfn.XLOOKUP(LOWER(TRIM(Base_Bruta!L913)),DePara_Cidade!$A$2:$A$29,DePara_Cidade!$B$2:$B$29,"REVISAR"))</f>
        <v>Rio de Janeiro</v>
      </c>
      <c r="N913" s="4" t="str">
        <f aca="false">IF($A913="","",UPPER(TRIM(Base_Bruta!M913)))</f>
        <v>RJ</v>
      </c>
      <c r="O913" s="4" t="str">
        <f aca="false">IF($A913="","",_xlfn.XLOOKUP(LOWER(TRIM(Base_Bruta!N913)),DePara_Pais!$A$2:$A$9,DePara_Pais!$B$2:$B$9,"REVISAR"))</f>
        <v>Brasil</v>
      </c>
      <c r="P913" s="4" t="str">
        <f aca="false">IF($A913="","",IF(O913&lt;&gt;"Brasil","Turista Internacional",IF(M913=F913,"Local","Turista Nacional")))</f>
        <v>Local</v>
      </c>
      <c r="Q913" s="7" t="n">
        <f aca="false">IF($A913="","",DATE(YEAR(B913),MONTH(B913),1))</f>
        <v>45748</v>
      </c>
      <c r="R913" s="4" t="str">
        <f aca="false">IF($A913="","",IF(COUNTIF($A$2:$A913,$A913)&gt;1,"Sim","Não"))</f>
        <v>Não</v>
      </c>
      <c r="S913" s="4" t="str">
        <f aca="false">IF(A913="","Descartar - Linha vazia",IF(R913="Sim","Descartar - Duplicado",IF(OR(H913&lt;=0,I913&lt;=0),"Descartar - Qtd/Valor inválido","OK")))</f>
        <v>OK</v>
      </c>
      <c r="T913" s="4" t="str">
        <f aca="false">Base_Bruta!P913</f>
        <v>vendas_RJ.xlsx</v>
      </c>
    </row>
    <row r="914" customFormat="false" ht="15" hidden="false" customHeight="false" outlineLevel="0" collapsed="false">
      <c r="A914" s="4" t="str">
        <f aca="false">IF(Base_Bruta!A914="","",Base_Bruta!A914)</f>
        <v>RJ-000561</v>
      </c>
      <c r="B914" s="5" t="n">
        <f aca="false">IF($A914="","",IF(ISNUMBER(Base_Bruta!B914),Base_Bruta!B914,IF(MID(Base_Bruta!B914,5,1)="-",DATE(VALUE(LEFT(Base_Bruta!B914,4)),VALUE(MID(Base_Bruta!B914,6,2)),VALUE(RIGHT(Base_Bruta!B914,2))),DATE(VALUE(RIGHT(Base_Bruta!B914,4)),VALUE(MID(Base_Bruta!B914,4,2)),VALUE(LEFT(Base_Bruta!B914,2))))))</f>
        <v>45764</v>
      </c>
      <c r="C914" s="5" t="n">
        <f aca="false">IF($A914="","",IF(ISNUMBER(Base_Bruta!C914),Base_Bruta!C914,IF(MID(Base_Bruta!C914,5,1)="-",DATE(VALUE(LEFT(Base_Bruta!C914,4)),VALUE(MID(Base_Bruta!C914,6,2)),VALUE(RIGHT(Base_Bruta!C914,2))),DATE(VALUE(RIGHT(Base_Bruta!C914,4)),VALUE(MID(Base_Bruta!C914,4,2)),VALUE(LEFT(Base_Bruta!C914,2))))))</f>
        <v>45767</v>
      </c>
      <c r="D914" s="4" t="str">
        <f aca="false">IF($A914="","",TRIM(Base_Bruta!D914))</f>
        <v>Cinema Barra - Sessões</v>
      </c>
      <c r="E914" s="4" t="str">
        <f aca="false">IF($A914="","",_xlfn.XLOOKUP(LOWER(TRIM(Base_Bruta!E914)),DePara_Categoria!$A$2:$A$9,DePara_Categoria!$B$2:$B$9,"REVISAR"))</f>
        <v>Cinema</v>
      </c>
      <c r="F914" s="4" t="str">
        <f aca="false">IF($A914="","",_xlfn.XLOOKUP(LOWER(TRIM(Base_Bruta!F914)),DePara_Cidade!$A$2:$A$29,DePara_Cidade!$B$2:$B$29,"REVISAR"))</f>
        <v>Rio de Janeiro</v>
      </c>
      <c r="G914" s="4" t="str">
        <f aca="false">IF($A914="","",TRIM(Base_Bruta!G914))</f>
        <v>Meia</v>
      </c>
      <c r="H914" s="4" t="n">
        <f aca="false">IF($A914="","",IF(ISNUMBER(Base_Bruta!H914),Base_Bruta!H914,IFERROR(_xlfn.NUMBERVALUE(TRIM(SUBSTITUTE(Base_Bruta!H914,"R$","")),",","."),0)))</f>
        <v>2</v>
      </c>
      <c r="I914" s="6" t="n">
        <f aca="false">IF($A914="","",IF(ISNUMBER(Base_Bruta!I914),Base_Bruta!I914,IFERROR(_xlfn.NUMBERVALUE(TRIM(SUBSTITUTE(Base_Bruta!I914,"R$","")),",","."),0)))</f>
        <v>15</v>
      </c>
      <c r="J914" s="6" t="n">
        <f aca="false">IF($A914="","",H914*I914)</f>
        <v>30</v>
      </c>
      <c r="K914" s="4" t="str">
        <f aca="false">IF($A914="","",TRIM(Base_Bruta!J914))</f>
        <v>App</v>
      </c>
      <c r="L914" s="4" t="str">
        <f aca="false">IF($A914="","",TRIM(Base_Bruta!K914))</f>
        <v>C00999</v>
      </c>
      <c r="M914" s="4" t="str">
        <f aca="false">IF($A914="","",_xlfn.XLOOKUP(LOWER(TRIM(Base_Bruta!L914)),DePara_Cidade!$A$2:$A$29,DePara_Cidade!$B$2:$B$29,"REVISAR"))</f>
        <v>Rio de Janeiro</v>
      </c>
      <c r="N914" s="4" t="str">
        <f aca="false">IF($A914="","",UPPER(TRIM(Base_Bruta!M914)))</f>
        <v>RJ</v>
      </c>
      <c r="O914" s="4" t="str">
        <f aca="false">IF($A914="","",_xlfn.XLOOKUP(LOWER(TRIM(Base_Bruta!N914)),DePara_Pais!$A$2:$A$9,DePara_Pais!$B$2:$B$9,"REVISAR"))</f>
        <v>Brasil</v>
      </c>
      <c r="P914" s="4" t="str">
        <f aca="false">IF($A914="","",IF(O914&lt;&gt;"Brasil","Turista Internacional",IF(M914=F914,"Local","Turista Nacional")))</f>
        <v>Local</v>
      </c>
      <c r="Q914" s="7" t="n">
        <f aca="false">IF($A914="","",DATE(YEAR(B914),MONTH(B914),1))</f>
        <v>45748</v>
      </c>
      <c r="R914" s="4" t="str">
        <f aca="false">IF($A914="","",IF(COUNTIF($A$2:$A914,$A914)&gt;1,"Sim","Não"))</f>
        <v>Não</v>
      </c>
      <c r="S914" s="4" t="str">
        <f aca="false">IF(A914="","Descartar - Linha vazia",IF(R914="Sim","Descartar - Duplicado",IF(OR(H914&lt;=0,I914&lt;=0),"Descartar - Qtd/Valor inválido","OK")))</f>
        <v>OK</v>
      </c>
      <c r="T914" s="4" t="str">
        <f aca="false">Base_Bruta!P914</f>
        <v>vendas_RJ.xlsx</v>
      </c>
    </row>
    <row r="915" customFormat="false" ht="15" hidden="false" customHeight="false" outlineLevel="0" collapsed="false">
      <c r="A915" s="4" t="str">
        <f aca="false">IF(Base_Bruta!A915="","",Base_Bruta!A915)</f>
        <v>RJ-000365</v>
      </c>
      <c r="B915" s="5" t="n">
        <f aca="false">IF($A915="","",IF(ISNUMBER(Base_Bruta!B915),Base_Bruta!B915,IF(MID(Base_Bruta!B915,5,1)="-",DATE(VALUE(LEFT(Base_Bruta!B915,4)),VALUE(MID(Base_Bruta!B915,6,2)),VALUE(RIGHT(Base_Bruta!B915,2))),DATE(VALUE(RIGHT(Base_Bruta!B915,4)),VALUE(MID(Base_Bruta!B915,4,2)),VALUE(LEFT(Base_Bruta!B915,2))))))</f>
        <v>45765</v>
      </c>
      <c r="C915" s="5" t="n">
        <f aca="false">IF($A915="","",IF(ISNUMBER(Base_Bruta!C915),Base_Bruta!C915,IF(MID(Base_Bruta!C915,5,1)="-",DATE(VALUE(LEFT(Base_Bruta!C915,4)),VALUE(MID(Base_Bruta!C915,6,2)),VALUE(RIGHT(Base_Bruta!C915,2))),DATE(VALUE(RIGHT(Base_Bruta!C915,4)),VALUE(MID(Base_Bruta!C915,4,2)),VALUE(LEFT(Base_Bruta!C915,2))))))</f>
        <v>45822</v>
      </c>
      <c r="D915" s="4" t="str">
        <f aca="false">IF($A915="","",TRIM(Base_Bruta!D915))</f>
        <v>Show Nacional MPB - Rio</v>
      </c>
      <c r="E915" s="4" t="str">
        <f aca="false">IF($A915="","",_xlfn.XLOOKUP(LOWER(TRIM(Base_Bruta!E915)),DePara_Categoria!$A$2:$A$9,DePara_Categoria!$B$2:$B$9,"REVISAR"))</f>
        <v>Show</v>
      </c>
      <c r="F915" s="4" t="str">
        <f aca="false">IF($A915="","",_xlfn.XLOOKUP(LOWER(TRIM(Base_Bruta!F915)),DePara_Cidade!$A$2:$A$29,DePara_Cidade!$B$2:$B$29,"REVISAR"))</f>
        <v>Rio de Janeiro</v>
      </c>
      <c r="G915" s="4" t="str">
        <f aca="false">IF($A915="","",TRIM(Base_Bruta!G915))</f>
        <v>Inteira</v>
      </c>
      <c r="H915" s="4" t="n">
        <f aca="false">IF($A915="","",IF(ISNUMBER(Base_Bruta!H915),Base_Bruta!H915,IFERROR(_xlfn.NUMBERVALUE(TRIM(SUBSTITUTE(Base_Bruta!H915,"R$","")),",","."),0)))</f>
        <v>1</v>
      </c>
      <c r="I915" s="6" t="n">
        <f aca="false">IF($A915="","",IF(ISNUMBER(Base_Bruta!I915),Base_Bruta!I915,IFERROR(_xlfn.NUMBERVALUE(TRIM(SUBSTITUTE(Base_Bruta!I915,"R$","")),",","."),0)))</f>
        <v>300</v>
      </c>
      <c r="J915" s="6" t="n">
        <f aca="false">IF($A915="","",H915*I915)</f>
        <v>300</v>
      </c>
      <c r="K915" s="4" t="str">
        <f aca="false">IF($A915="","",TRIM(Base_Bruta!J915))</f>
        <v>Bilheteria</v>
      </c>
      <c r="L915" s="4" t="str">
        <f aca="false">IF($A915="","",TRIM(Base_Bruta!K915))</f>
        <v>C01161</v>
      </c>
      <c r="M915" s="4" t="str">
        <f aca="false">IF($A915="","",_xlfn.XLOOKUP(LOWER(TRIM(Base_Bruta!L915)),DePara_Cidade!$A$2:$A$29,DePara_Cidade!$B$2:$B$29,"REVISAR"))</f>
        <v>Vitória</v>
      </c>
      <c r="N915" s="4" t="str">
        <f aca="false">IF($A915="","",UPPER(TRIM(Base_Bruta!M915)))</f>
        <v>ES</v>
      </c>
      <c r="O915" s="4" t="str">
        <f aca="false">IF($A915="","",_xlfn.XLOOKUP(LOWER(TRIM(Base_Bruta!N915)),DePara_Pais!$A$2:$A$9,DePara_Pais!$B$2:$B$9,"REVISAR"))</f>
        <v>Brasil</v>
      </c>
      <c r="P915" s="4" t="str">
        <f aca="false">IF($A915="","",IF(O915&lt;&gt;"Brasil","Turista Internacional",IF(M915=F915,"Local","Turista Nacional")))</f>
        <v>Turista Nacional</v>
      </c>
      <c r="Q915" s="7" t="n">
        <f aca="false">IF($A915="","",DATE(YEAR(B915),MONTH(B915),1))</f>
        <v>45748</v>
      </c>
      <c r="R915" s="4" t="str">
        <f aca="false">IF($A915="","",IF(COUNTIF($A$2:$A915,$A915)&gt;1,"Sim","Não"))</f>
        <v>Não</v>
      </c>
      <c r="S915" s="4" t="str">
        <f aca="false">IF(A915="","Descartar - Linha vazia",IF(R915="Sim","Descartar - Duplicado",IF(OR(H915&lt;=0,I915&lt;=0),"Descartar - Qtd/Valor inválido","OK")))</f>
        <v>OK</v>
      </c>
      <c r="T915" s="4" t="str">
        <f aca="false">Base_Bruta!P915</f>
        <v>vendas_RJ.xlsx</v>
      </c>
    </row>
    <row r="916" customFormat="false" ht="15" hidden="false" customHeight="false" outlineLevel="0" collapsed="false">
      <c r="A916" s="4" t="str">
        <f aca="false">IF(Base_Bruta!A916="","",Base_Bruta!A916)</f>
        <v>RJ-000555</v>
      </c>
      <c r="B916" s="5" t="n">
        <f aca="false">IF($A916="","",IF(ISNUMBER(Base_Bruta!B916),Base_Bruta!B916,IF(MID(Base_Bruta!B916,5,1)="-",DATE(VALUE(LEFT(Base_Bruta!B916,4)),VALUE(MID(Base_Bruta!B916,6,2)),VALUE(RIGHT(Base_Bruta!B916,2))),DATE(VALUE(RIGHT(Base_Bruta!B916,4)),VALUE(MID(Base_Bruta!B916,4,2)),VALUE(LEFT(Base_Bruta!B916,2))))))</f>
        <v>45765</v>
      </c>
      <c r="C916" s="5" t="n">
        <f aca="false">IF($A916="","",IF(ISNUMBER(Base_Bruta!C916),Base_Bruta!C916,IF(MID(Base_Bruta!C916,5,1)="-",DATE(VALUE(LEFT(Base_Bruta!C916,4)),VALUE(MID(Base_Bruta!C916,6,2)),VALUE(RIGHT(Base_Bruta!C916,2))),DATE(VALUE(RIGHT(Base_Bruta!C916,4)),VALUE(MID(Base_Bruta!C916,4,2)),VALUE(LEFT(Base_Bruta!C916,2))))))</f>
        <v>45768</v>
      </c>
      <c r="D916" s="4" t="str">
        <f aca="false">IF($A916="","",TRIM(Base_Bruta!D916))</f>
        <v>Cinema Barra - Sessões</v>
      </c>
      <c r="E916" s="4" t="str">
        <f aca="false">IF($A916="","",_xlfn.XLOOKUP(LOWER(TRIM(Base_Bruta!E916)),DePara_Categoria!$A$2:$A$9,DePara_Categoria!$B$2:$B$9,"REVISAR"))</f>
        <v>Cinema</v>
      </c>
      <c r="F916" s="4" t="str">
        <f aca="false">IF($A916="","",_xlfn.XLOOKUP(LOWER(TRIM(Base_Bruta!F916)),DePara_Cidade!$A$2:$A$29,DePara_Cidade!$B$2:$B$29,"REVISAR"))</f>
        <v>Rio de Janeiro</v>
      </c>
      <c r="G916" s="4" t="str">
        <f aca="false">IF($A916="","",TRIM(Base_Bruta!G916))</f>
        <v>Meia</v>
      </c>
      <c r="H916" s="4" t="n">
        <f aca="false">IF($A916="","",IF(ISNUMBER(Base_Bruta!H916),Base_Bruta!H916,IFERROR(_xlfn.NUMBERVALUE(TRIM(SUBSTITUTE(Base_Bruta!H916,"R$","")),",","."),0)))</f>
        <v>4</v>
      </c>
      <c r="I916" s="6" t="n">
        <f aca="false">IF($A916="","",IF(ISNUMBER(Base_Bruta!I916),Base_Bruta!I916,IFERROR(_xlfn.NUMBERVALUE(TRIM(SUBSTITUTE(Base_Bruta!I916,"R$","")),",","."),0)))</f>
        <v>15</v>
      </c>
      <c r="J916" s="6" t="n">
        <f aca="false">IF($A916="","",H916*I916)</f>
        <v>60</v>
      </c>
      <c r="K916" s="4" t="str">
        <f aca="false">IF($A916="","",TRIM(Base_Bruta!J916))</f>
        <v>App</v>
      </c>
      <c r="L916" s="4" t="str">
        <f aca="false">IF($A916="","",TRIM(Base_Bruta!K916))</f>
        <v>C00171</v>
      </c>
      <c r="M916" s="4" t="str">
        <f aca="false">IF($A916="","",_xlfn.XLOOKUP(LOWER(TRIM(Base_Bruta!L916)),DePara_Cidade!$A$2:$A$29,DePara_Cidade!$B$2:$B$29,"REVISAR"))</f>
        <v>Rio de Janeiro</v>
      </c>
      <c r="N916" s="4" t="str">
        <f aca="false">IF($A916="","",UPPER(TRIM(Base_Bruta!M916)))</f>
        <v>RJ</v>
      </c>
      <c r="O916" s="4" t="str">
        <f aca="false">IF($A916="","",_xlfn.XLOOKUP(LOWER(TRIM(Base_Bruta!N916)),DePara_Pais!$A$2:$A$9,DePara_Pais!$B$2:$B$9,"REVISAR"))</f>
        <v>Brasil</v>
      </c>
      <c r="P916" s="4" t="str">
        <f aca="false">IF($A916="","",IF(O916&lt;&gt;"Brasil","Turista Internacional",IF(M916=F916,"Local","Turista Nacional")))</f>
        <v>Local</v>
      </c>
      <c r="Q916" s="7" t="n">
        <f aca="false">IF($A916="","",DATE(YEAR(B916),MONTH(B916),1))</f>
        <v>45748</v>
      </c>
      <c r="R916" s="4" t="str">
        <f aca="false">IF($A916="","",IF(COUNTIF($A$2:$A916,$A916)&gt;1,"Sim","Não"))</f>
        <v>Não</v>
      </c>
      <c r="S916" s="4" t="str">
        <f aca="false">IF(A916="","Descartar - Linha vazia",IF(R916="Sim","Descartar - Duplicado",IF(OR(H916&lt;=0,I916&lt;=0),"Descartar - Qtd/Valor inválido","OK")))</f>
        <v>OK</v>
      </c>
      <c r="T916" s="4" t="str">
        <f aca="false">Base_Bruta!P916</f>
        <v>vendas_RJ.xlsx</v>
      </c>
    </row>
    <row r="917" customFormat="false" ht="15" hidden="false" customHeight="false" outlineLevel="0" collapsed="false">
      <c r="A917" s="4" t="str">
        <f aca="false">IF(Base_Bruta!A917="","",Base_Bruta!A917)</f>
        <v>RJ-000302</v>
      </c>
      <c r="B917" s="5" t="n">
        <f aca="false">IF($A917="","",IF(ISNUMBER(Base_Bruta!B917),Base_Bruta!B917,IF(MID(Base_Bruta!B917,5,1)="-",DATE(VALUE(LEFT(Base_Bruta!B917,4)),VALUE(MID(Base_Bruta!B917,6,2)),VALUE(RIGHT(Base_Bruta!B917,2))),DATE(VALUE(RIGHT(Base_Bruta!B917,4)),VALUE(MID(Base_Bruta!B917,4,2)),VALUE(LEFT(Base_Bruta!B917,2))))))</f>
        <v>45766</v>
      </c>
      <c r="C917" s="5" t="n">
        <f aca="false">IF($A917="","",IF(ISNUMBER(Base_Bruta!C917),Base_Bruta!C917,IF(MID(Base_Bruta!C917,5,1)="-",DATE(VALUE(LEFT(Base_Bruta!C917,4)),VALUE(MID(Base_Bruta!C917,6,2)),VALUE(RIGHT(Base_Bruta!C917,2))),DATE(VALUE(RIGHT(Base_Bruta!C917,4)),VALUE(MID(Base_Bruta!C917,4,2)),VALUE(LEFT(Base_Bruta!C917,2))))))</f>
        <v>45822</v>
      </c>
      <c r="D917" s="4" t="str">
        <f aca="false">IF($A917="","",TRIM(Base_Bruta!D917))</f>
        <v>Show Nacional MPB - Rio</v>
      </c>
      <c r="E917" s="4" t="str">
        <f aca="false">IF($A917="","",_xlfn.XLOOKUP(LOWER(TRIM(Base_Bruta!E917)),DePara_Categoria!$A$2:$A$9,DePara_Categoria!$B$2:$B$9,"REVISAR"))</f>
        <v>Show</v>
      </c>
      <c r="F917" s="4" t="str">
        <f aca="false">IF($A917="","",_xlfn.XLOOKUP(LOWER(TRIM(Base_Bruta!F917)),DePara_Cidade!$A$2:$A$29,DePara_Cidade!$B$2:$B$29,"REVISAR"))</f>
        <v>Rio de Janeiro</v>
      </c>
      <c r="G917" s="4" t="str">
        <f aca="false">IF($A917="","",TRIM(Base_Bruta!G917))</f>
        <v>Inteira</v>
      </c>
      <c r="H917" s="4" t="n">
        <f aca="false">IF($A917="","",IF(ISNUMBER(Base_Bruta!H917),Base_Bruta!H917,IFERROR(_xlfn.NUMBERVALUE(TRIM(SUBSTITUTE(Base_Bruta!H917,"R$","")),",","."),0)))</f>
        <v>1</v>
      </c>
      <c r="I917" s="6" t="n">
        <f aca="false">IF($A917="","",IF(ISNUMBER(Base_Bruta!I917),Base_Bruta!I917,IFERROR(_xlfn.NUMBERVALUE(TRIM(SUBSTITUTE(Base_Bruta!I917,"R$","")),",","."),0)))</f>
        <v>465</v>
      </c>
      <c r="J917" s="6" t="n">
        <f aca="false">IF($A917="","",H917*I917)</f>
        <v>465</v>
      </c>
      <c r="K917" s="4" t="str">
        <f aca="false">IF($A917="","",TRIM(Base_Bruta!J917))</f>
        <v>App</v>
      </c>
      <c r="L917" s="4" t="str">
        <f aca="false">IF($A917="","",TRIM(Base_Bruta!K917))</f>
        <v>C01826</v>
      </c>
      <c r="M917" s="4" t="str">
        <f aca="false">IF($A917="","",_xlfn.XLOOKUP(LOWER(TRIM(Base_Bruta!L917)),DePara_Cidade!$A$2:$A$29,DePara_Cidade!$B$2:$B$29,"REVISAR"))</f>
        <v>Rio de Janeiro</v>
      </c>
      <c r="N917" s="4" t="str">
        <f aca="false">IF($A917="","",UPPER(TRIM(Base_Bruta!M917)))</f>
        <v>RJ</v>
      </c>
      <c r="O917" s="4" t="str">
        <f aca="false">IF($A917="","",_xlfn.XLOOKUP(LOWER(TRIM(Base_Bruta!N917)),DePara_Pais!$A$2:$A$9,DePara_Pais!$B$2:$B$9,"REVISAR"))</f>
        <v>Brasil</v>
      </c>
      <c r="P917" s="4" t="str">
        <f aca="false">IF($A917="","",IF(O917&lt;&gt;"Brasil","Turista Internacional",IF(M917=F917,"Local","Turista Nacional")))</f>
        <v>Local</v>
      </c>
      <c r="Q917" s="7" t="n">
        <f aca="false">IF($A917="","",DATE(YEAR(B917),MONTH(B917),1))</f>
        <v>45748</v>
      </c>
      <c r="R917" s="4" t="str">
        <f aca="false">IF($A917="","",IF(COUNTIF($A$2:$A917,$A917)&gt;1,"Sim","Não"))</f>
        <v>Não</v>
      </c>
      <c r="S917" s="4" t="str">
        <f aca="false">IF(A917="","Descartar - Linha vazia",IF(R917="Sim","Descartar - Duplicado",IF(OR(H917&lt;=0,I917&lt;=0),"Descartar - Qtd/Valor inválido","OK")))</f>
        <v>OK</v>
      </c>
      <c r="T917" s="4" t="str">
        <f aca="false">Base_Bruta!P917</f>
        <v>vendas_RJ.xlsx</v>
      </c>
    </row>
    <row r="918" customFormat="false" ht="15" hidden="false" customHeight="false" outlineLevel="0" collapsed="false">
      <c r="A918" s="4" t="str">
        <f aca="false">IF(Base_Bruta!A918="","",Base_Bruta!A918)</f>
        <v>RJ-000665</v>
      </c>
      <c r="B918" s="5" t="n">
        <f aca="false">IF($A918="","",IF(ISNUMBER(Base_Bruta!B918),Base_Bruta!B918,IF(MID(Base_Bruta!B918,5,1)="-",DATE(VALUE(LEFT(Base_Bruta!B918,4)),VALUE(MID(Base_Bruta!B918,6,2)),VALUE(RIGHT(Base_Bruta!B918,2))),DATE(VALUE(RIGHT(Base_Bruta!B918,4)),VALUE(MID(Base_Bruta!B918,4,2)),VALUE(LEFT(Base_Bruta!B918,2))))))</f>
        <v>45766</v>
      </c>
      <c r="C918" s="5" t="n">
        <f aca="false">IF($A918="","",IF(ISNUMBER(Base_Bruta!C918),Base_Bruta!C918,IF(MID(Base_Bruta!C918,5,1)="-",DATE(VALUE(LEFT(Base_Bruta!C918,4)),VALUE(MID(Base_Bruta!C918,6,2)),VALUE(RIGHT(Base_Bruta!C918,2))),DATE(VALUE(RIGHT(Base_Bruta!C918,4)),VALUE(MID(Base_Bruta!C918,4,2)),VALUE(LEFT(Base_Bruta!C918,2))))))</f>
        <v>45766</v>
      </c>
      <c r="D918" s="4" t="str">
        <f aca="false">IF($A918="","",TRIM(Base_Bruta!D918))</f>
        <v>Cinema Barra - Sessões</v>
      </c>
      <c r="E918" s="4" t="str">
        <f aca="false">IF($A918="","",_xlfn.XLOOKUP(LOWER(TRIM(Base_Bruta!E918)),DePara_Categoria!$A$2:$A$9,DePara_Categoria!$B$2:$B$9,"REVISAR"))</f>
        <v>Cinema</v>
      </c>
      <c r="F918" s="4" t="str">
        <f aca="false">IF($A918="","",_xlfn.XLOOKUP(LOWER(TRIM(Base_Bruta!F918)),DePara_Cidade!$A$2:$A$29,DePara_Cidade!$B$2:$B$29,"REVISAR"))</f>
        <v>Rio de Janeiro</v>
      </c>
      <c r="G918" s="4" t="str">
        <f aca="false">IF($A918="","",TRIM(Base_Bruta!G918))</f>
        <v>Inteira</v>
      </c>
      <c r="H918" s="4" t="n">
        <f aca="false">IF($A918="","",IF(ISNUMBER(Base_Bruta!H918),Base_Bruta!H918,IFERROR(_xlfn.NUMBERVALUE(TRIM(SUBSTITUTE(Base_Bruta!H918,"R$","")),",","."),0)))</f>
        <v>1</v>
      </c>
      <c r="I918" s="6" t="n">
        <f aca="false">IF($A918="","",IF(ISNUMBER(Base_Bruta!I918),Base_Bruta!I918,IFERROR(_xlfn.NUMBERVALUE(TRIM(SUBSTITUTE(Base_Bruta!I918,"R$","")),",","."),0)))</f>
        <v>45</v>
      </c>
      <c r="J918" s="6" t="n">
        <f aca="false">IF($A918="","",H918*I918)</f>
        <v>45</v>
      </c>
      <c r="K918" s="4" t="str">
        <f aca="false">IF($A918="","",TRIM(Base_Bruta!J918))</f>
        <v>Bilheteria</v>
      </c>
      <c r="L918" s="4" t="str">
        <f aca="false">IF($A918="","",TRIM(Base_Bruta!K918))</f>
        <v>C00541</v>
      </c>
      <c r="M918" s="4" t="str">
        <f aca="false">IF($A918="","",_xlfn.XLOOKUP(LOWER(TRIM(Base_Bruta!L918)),DePara_Cidade!$A$2:$A$29,DePara_Cidade!$B$2:$B$29,"REVISAR"))</f>
        <v>Rio de Janeiro</v>
      </c>
      <c r="N918" s="4" t="str">
        <f aca="false">IF($A918="","",UPPER(TRIM(Base_Bruta!M918)))</f>
        <v>RJ</v>
      </c>
      <c r="O918" s="4" t="str">
        <f aca="false">IF($A918="","",_xlfn.XLOOKUP(LOWER(TRIM(Base_Bruta!N918)),DePara_Pais!$A$2:$A$9,DePara_Pais!$B$2:$B$9,"REVISAR"))</f>
        <v>Brasil</v>
      </c>
      <c r="P918" s="4" t="str">
        <f aca="false">IF($A918="","",IF(O918&lt;&gt;"Brasil","Turista Internacional",IF(M918=F918,"Local","Turista Nacional")))</f>
        <v>Local</v>
      </c>
      <c r="Q918" s="7" t="n">
        <f aca="false">IF($A918="","",DATE(YEAR(B918),MONTH(B918),1))</f>
        <v>45748</v>
      </c>
      <c r="R918" s="4" t="str">
        <f aca="false">IF($A918="","",IF(COUNTIF($A$2:$A918,$A918)&gt;1,"Sim","Não"))</f>
        <v>Não</v>
      </c>
      <c r="S918" s="4" t="str">
        <f aca="false">IF(A918="","Descartar - Linha vazia",IF(R918="Sim","Descartar - Duplicado",IF(OR(H918&lt;=0,I918&lt;=0),"Descartar - Qtd/Valor inválido","OK")))</f>
        <v>OK</v>
      </c>
      <c r="T918" s="4" t="str">
        <f aca="false">Base_Bruta!P918</f>
        <v>vendas_RJ.xlsx</v>
      </c>
    </row>
    <row r="919" customFormat="false" ht="15" hidden="false" customHeight="false" outlineLevel="0" collapsed="false">
      <c r="A919" s="4" t="str">
        <f aca="false">IF(Base_Bruta!A919="","",Base_Bruta!A919)</f>
        <v>RJ-000352</v>
      </c>
      <c r="B919" s="5" t="n">
        <f aca="false">IF($A919="","",IF(ISNUMBER(Base_Bruta!B919),Base_Bruta!B919,IF(MID(Base_Bruta!B919,5,1)="-",DATE(VALUE(LEFT(Base_Bruta!B919,4)),VALUE(MID(Base_Bruta!B919,6,2)),VALUE(RIGHT(Base_Bruta!B919,2))),DATE(VALUE(RIGHT(Base_Bruta!B919,4)),VALUE(MID(Base_Bruta!B919,4,2)),VALUE(LEFT(Base_Bruta!B919,2))))))</f>
        <v>45767</v>
      </c>
      <c r="C919" s="5" t="n">
        <f aca="false">IF($A919="","",IF(ISNUMBER(Base_Bruta!C919),Base_Bruta!C919,IF(MID(Base_Bruta!C919,5,1)="-",DATE(VALUE(LEFT(Base_Bruta!C919,4)),VALUE(MID(Base_Bruta!C919,6,2)),VALUE(RIGHT(Base_Bruta!C919,2))),DATE(VALUE(RIGHT(Base_Bruta!C919,4)),VALUE(MID(Base_Bruta!C919,4,2)),VALUE(LEFT(Base_Bruta!C919,2))))))</f>
        <v>45822</v>
      </c>
      <c r="D919" s="4" t="str">
        <f aca="false">IF($A919="","",TRIM(Base_Bruta!D919))</f>
        <v>Show Nacional MPB - Rio</v>
      </c>
      <c r="E919" s="4" t="str">
        <f aca="false">IF($A919="","",_xlfn.XLOOKUP(LOWER(TRIM(Base_Bruta!E919)),DePara_Categoria!$A$2:$A$9,DePara_Categoria!$B$2:$B$9,"REVISAR"))</f>
        <v>Show</v>
      </c>
      <c r="F919" s="4" t="str">
        <f aca="false">IF($A919="","",_xlfn.XLOOKUP(LOWER(TRIM(Base_Bruta!F919)),DePara_Cidade!$A$2:$A$29,DePara_Cidade!$B$2:$B$29,"REVISAR"))</f>
        <v>Rio de Janeiro</v>
      </c>
      <c r="G919" s="4" t="str">
        <f aca="false">IF($A919="","",TRIM(Base_Bruta!G919))</f>
        <v>Meia</v>
      </c>
      <c r="H919" s="4" t="n">
        <f aca="false">IF($A919="","",IF(ISNUMBER(Base_Bruta!H919),Base_Bruta!H919,IFERROR(_xlfn.NUMBERVALUE(TRIM(SUBSTITUTE(Base_Bruta!H919,"R$","")),",","."),0)))</f>
        <v>4</v>
      </c>
      <c r="I919" s="6" t="n">
        <f aca="false">IF($A919="","",IF(ISNUMBER(Base_Bruta!I919),Base_Bruta!I919,IFERROR(_xlfn.NUMBERVALUE(TRIM(SUBSTITUTE(Base_Bruta!I919,"R$","")),",","."),0)))</f>
        <v>175</v>
      </c>
      <c r="J919" s="6" t="n">
        <f aca="false">IF($A919="","",H919*I919)</f>
        <v>700</v>
      </c>
      <c r="K919" s="4" t="str">
        <f aca="false">IF($A919="","",TRIM(Base_Bruta!J919))</f>
        <v>Site</v>
      </c>
      <c r="L919" s="4" t="str">
        <f aca="false">IF($A919="","",TRIM(Base_Bruta!K919))</f>
        <v>C01404</v>
      </c>
      <c r="M919" s="4" t="str">
        <f aca="false">IF($A919="","",_xlfn.XLOOKUP(LOWER(TRIM(Base_Bruta!L919)),DePara_Cidade!$A$2:$A$29,DePara_Cidade!$B$2:$B$29,"REVISAR"))</f>
        <v>Rio de Janeiro</v>
      </c>
      <c r="N919" s="4" t="str">
        <f aca="false">IF($A919="","",UPPER(TRIM(Base_Bruta!M919)))</f>
        <v>RJ</v>
      </c>
      <c r="O919" s="4" t="str">
        <f aca="false">IF($A919="","",_xlfn.XLOOKUP(LOWER(TRIM(Base_Bruta!N919)),DePara_Pais!$A$2:$A$9,DePara_Pais!$B$2:$B$9,"REVISAR"))</f>
        <v>Brasil</v>
      </c>
      <c r="P919" s="4" t="str">
        <f aca="false">IF($A919="","",IF(O919&lt;&gt;"Brasil","Turista Internacional",IF(M919=F919,"Local","Turista Nacional")))</f>
        <v>Local</v>
      </c>
      <c r="Q919" s="7" t="n">
        <f aca="false">IF($A919="","",DATE(YEAR(B919),MONTH(B919),1))</f>
        <v>45748</v>
      </c>
      <c r="R919" s="4" t="str">
        <f aca="false">IF($A919="","",IF(COUNTIF($A$2:$A919,$A919)&gt;1,"Sim","Não"))</f>
        <v>Não</v>
      </c>
      <c r="S919" s="4" t="str">
        <f aca="false">IF(A919="","Descartar - Linha vazia",IF(R919="Sim","Descartar - Duplicado",IF(OR(H919&lt;=0,I919&lt;=0),"Descartar - Qtd/Valor inválido","OK")))</f>
        <v>OK</v>
      </c>
      <c r="T919" s="4" t="str">
        <f aca="false">Base_Bruta!P919</f>
        <v>vendas_RJ.xlsx</v>
      </c>
    </row>
    <row r="920" customFormat="false" ht="15" hidden="false" customHeight="false" outlineLevel="0" collapsed="false">
      <c r="A920" s="4" t="str">
        <f aca="false">IF(Base_Bruta!A920="","",Base_Bruta!A920)</f>
        <v>RJ-000693</v>
      </c>
      <c r="B920" s="5" t="n">
        <f aca="false">IF($A920="","",IF(ISNUMBER(Base_Bruta!B920),Base_Bruta!B920,IF(MID(Base_Bruta!B920,5,1)="-",DATE(VALUE(LEFT(Base_Bruta!B920,4)),VALUE(MID(Base_Bruta!B920,6,2)),VALUE(RIGHT(Base_Bruta!B920,2))),DATE(VALUE(RIGHT(Base_Bruta!B920,4)),VALUE(MID(Base_Bruta!B920,4,2)),VALUE(LEFT(Base_Bruta!B920,2))))))</f>
        <v>45770</v>
      </c>
      <c r="C920" s="5" t="n">
        <f aca="false">IF($A920="","",IF(ISNUMBER(Base_Bruta!C920),Base_Bruta!C920,IF(MID(Base_Bruta!C920,5,1)="-",DATE(VALUE(LEFT(Base_Bruta!C920,4)),VALUE(MID(Base_Bruta!C920,6,2)),VALUE(RIGHT(Base_Bruta!C920,2))),DATE(VALUE(RIGHT(Base_Bruta!C920,4)),VALUE(MID(Base_Bruta!C920,4,2)),VALUE(LEFT(Base_Bruta!C920,2))))))</f>
        <v>45772</v>
      </c>
      <c r="D920" s="4" t="str">
        <f aca="false">IF($A920="","",TRIM(Base_Bruta!D920))</f>
        <v>Cinema Barra - Sessões</v>
      </c>
      <c r="E920" s="4" t="str">
        <f aca="false">IF($A920="","",_xlfn.XLOOKUP(LOWER(TRIM(Base_Bruta!E920)),DePara_Categoria!$A$2:$A$9,DePara_Categoria!$B$2:$B$9,"REVISAR"))</f>
        <v>Cinema</v>
      </c>
      <c r="F920" s="4" t="str">
        <f aca="false">IF($A920="","",_xlfn.XLOOKUP(LOWER(TRIM(Base_Bruta!F920)),DePara_Cidade!$A$2:$A$29,DePara_Cidade!$B$2:$B$29,"REVISAR"))</f>
        <v>Rio de Janeiro</v>
      </c>
      <c r="G920" s="4" t="str">
        <f aca="false">IF($A920="","",TRIM(Base_Bruta!G920))</f>
        <v>Inteira</v>
      </c>
      <c r="H920" s="4" t="n">
        <f aca="false">IF($A920="","",IF(ISNUMBER(Base_Bruta!H920),Base_Bruta!H920,IFERROR(_xlfn.NUMBERVALUE(TRIM(SUBSTITUTE(Base_Bruta!H920,"R$","")),",","."),0)))</f>
        <v>2</v>
      </c>
      <c r="I920" s="6" t="n">
        <f aca="false">IF($A920="","",IF(ISNUMBER(Base_Bruta!I920),Base_Bruta!I920,IFERROR(_xlfn.NUMBERVALUE(TRIM(SUBSTITUTE(Base_Bruta!I920,"R$","")),",","."),0)))</f>
        <v>40</v>
      </c>
      <c r="J920" s="6" t="n">
        <f aca="false">IF($A920="","",H920*I920)</f>
        <v>80</v>
      </c>
      <c r="K920" s="4" t="str">
        <f aca="false">IF($A920="","",TRIM(Base_Bruta!J920))</f>
        <v>App</v>
      </c>
      <c r="L920" s="4" t="str">
        <f aca="false">IF($A920="","",TRIM(Base_Bruta!K920))</f>
        <v>C02011</v>
      </c>
      <c r="M920" s="4" t="str">
        <f aca="false">IF($A920="","",_xlfn.XLOOKUP(LOWER(TRIM(Base_Bruta!L920)),DePara_Cidade!$A$2:$A$29,DePara_Cidade!$B$2:$B$29,"REVISAR"))</f>
        <v>Rio de Janeiro</v>
      </c>
      <c r="N920" s="4" t="str">
        <f aca="false">IF($A920="","",UPPER(TRIM(Base_Bruta!M920)))</f>
        <v>RJ</v>
      </c>
      <c r="O920" s="4" t="str">
        <f aca="false">IF($A920="","",_xlfn.XLOOKUP(LOWER(TRIM(Base_Bruta!N920)),DePara_Pais!$A$2:$A$9,DePara_Pais!$B$2:$B$9,"REVISAR"))</f>
        <v>Brasil</v>
      </c>
      <c r="P920" s="4" t="str">
        <f aca="false">IF($A920="","",IF(O920&lt;&gt;"Brasil","Turista Internacional",IF(M920=F920,"Local","Turista Nacional")))</f>
        <v>Local</v>
      </c>
      <c r="Q920" s="7" t="n">
        <f aca="false">IF($A920="","",DATE(YEAR(B920),MONTH(B920),1))</f>
        <v>45748</v>
      </c>
      <c r="R920" s="4" t="str">
        <f aca="false">IF($A920="","",IF(COUNTIF($A$2:$A920,$A920)&gt;1,"Sim","Não"))</f>
        <v>Não</v>
      </c>
      <c r="S920" s="4" t="str">
        <f aca="false">IF(A920="","Descartar - Linha vazia",IF(R920="Sim","Descartar - Duplicado",IF(OR(H920&lt;=0,I920&lt;=0),"Descartar - Qtd/Valor inválido","OK")))</f>
        <v>OK</v>
      </c>
      <c r="T920" s="4" t="str">
        <f aca="false">Base_Bruta!P920</f>
        <v>vendas_RJ.xlsx</v>
      </c>
    </row>
    <row r="921" customFormat="false" ht="15" hidden="false" customHeight="false" outlineLevel="0" collapsed="false">
      <c r="A921" s="4" t="str">
        <f aca="false">IF(Base_Bruta!A921="","",Base_Bruta!A921)</f>
        <v>RJ-000635</v>
      </c>
      <c r="B921" s="5" t="n">
        <f aca="false">IF($A921="","",IF(ISNUMBER(Base_Bruta!B921),Base_Bruta!B921,IF(MID(Base_Bruta!B921,5,1)="-",DATE(VALUE(LEFT(Base_Bruta!B921,4)),VALUE(MID(Base_Bruta!B921,6,2)),VALUE(RIGHT(Base_Bruta!B921,2))),DATE(VALUE(RIGHT(Base_Bruta!B921,4)),VALUE(MID(Base_Bruta!B921,4,2)),VALUE(LEFT(Base_Bruta!B921,2))))))</f>
        <v>45772</v>
      </c>
      <c r="C921" s="5" t="n">
        <f aca="false">IF($A921="","",IF(ISNUMBER(Base_Bruta!C921),Base_Bruta!C921,IF(MID(Base_Bruta!C921,5,1)="-",DATE(VALUE(LEFT(Base_Bruta!C921,4)),VALUE(MID(Base_Bruta!C921,6,2)),VALUE(RIGHT(Base_Bruta!C921,2))),DATE(VALUE(RIGHT(Base_Bruta!C921,4)),VALUE(MID(Base_Bruta!C921,4,2)),VALUE(LEFT(Base_Bruta!C921,2))))))</f>
        <v>45773</v>
      </c>
      <c r="D921" s="4" t="str">
        <f aca="false">IF($A921="","",TRIM(Base_Bruta!D921))</f>
        <v>Cinema Barra - Sessões</v>
      </c>
      <c r="E921" s="4" t="str">
        <f aca="false">IF($A921="","",_xlfn.XLOOKUP(LOWER(TRIM(Base_Bruta!E921)),DePara_Categoria!$A$2:$A$9,DePara_Categoria!$B$2:$B$9,"REVISAR"))</f>
        <v>Cinema</v>
      </c>
      <c r="F921" s="4" t="str">
        <f aca="false">IF($A921="","",_xlfn.XLOOKUP(LOWER(TRIM(Base_Bruta!F921)),DePara_Cidade!$A$2:$A$29,DePara_Cidade!$B$2:$B$29,"REVISAR"))</f>
        <v>Rio de Janeiro</v>
      </c>
      <c r="G921" s="4" t="str">
        <f aca="false">IF($A921="","",TRIM(Base_Bruta!G921))</f>
        <v>Inteira</v>
      </c>
      <c r="H921" s="4" t="n">
        <f aca="false">IF($A921="","",IF(ISNUMBER(Base_Bruta!H921),Base_Bruta!H921,IFERROR(_xlfn.NUMBERVALUE(TRIM(SUBSTITUTE(Base_Bruta!H921,"R$","")),",","."),0)))</f>
        <v>2</v>
      </c>
      <c r="I921" s="6" t="n">
        <f aca="false">IF($A921="","",IF(ISNUMBER(Base_Bruta!I921),Base_Bruta!I921,IFERROR(_xlfn.NUMBERVALUE(TRIM(SUBSTITUTE(Base_Bruta!I921,"R$","")),",","."),0)))</f>
        <v>30</v>
      </c>
      <c r="J921" s="6" t="n">
        <f aca="false">IF($A921="","",H921*I921)</f>
        <v>60</v>
      </c>
      <c r="K921" s="4" t="str">
        <f aca="false">IF($A921="","",TRIM(Base_Bruta!J921))</f>
        <v>Site</v>
      </c>
      <c r="L921" s="4" t="str">
        <f aca="false">IF($A921="","",TRIM(Base_Bruta!K921))</f>
        <v>C00008</v>
      </c>
      <c r="M921" s="4" t="str">
        <f aca="false">IF($A921="","",_xlfn.XLOOKUP(LOWER(TRIM(Base_Bruta!L921)),DePara_Cidade!$A$2:$A$29,DePara_Cidade!$B$2:$B$29,"REVISAR"))</f>
        <v>Rio de Janeiro</v>
      </c>
      <c r="N921" s="4" t="str">
        <f aca="false">IF($A921="","",UPPER(TRIM(Base_Bruta!M921)))</f>
        <v>RJ</v>
      </c>
      <c r="O921" s="4" t="str">
        <f aca="false">IF($A921="","",_xlfn.XLOOKUP(LOWER(TRIM(Base_Bruta!N921)),DePara_Pais!$A$2:$A$9,DePara_Pais!$B$2:$B$9,"REVISAR"))</f>
        <v>Brasil</v>
      </c>
      <c r="P921" s="4" t="str">
        <f aca="false">IF($A921="","",IF(O921&lt;&gt;"Brasil","Turista Internacional",IF(M921=F921,"Local","Turista Nacional")))</f>
        <v>Local</v>
      </c>
      <c r="Q921" s="7" t="n">
        <f aca="false">IF($A921="","",DATE(YEAR(B921),MONTH(B921),1))</f>
        <v>45748</v>
      </c>
      <c r="R921" s="4" t="str">
        <f aca="false">IF($A921="","",IF(COUNTIF($A$2:$A921,$A921)&gt;1,"Sim","Não"))</f>
        <v>Não</v>
      </c>
      <c r="S921" s="4" t="str">
        <f aca="false">IF(A921="","Descartar - Linha vazia",IF(R921="Sim","Descartar - Duplicado",IF(OR(H921&lt;=0,I921&lt;=0),"Descartar - Qtd/Valor inválido","OK")))</f>
        <v>OK</v>
      </c>
      <c r="T921" s="4" t="str">
        <f aca="false">Base_Bruta!P921</f>
        <v>vendas_RJ.xlsx</v>
      </c>
    </row>
    <row r="922" customFormat="false" ht="15" hidden="false" customHeight="false" outlineLevel="0" collapsed="false">
      <c r="A922" s="4" t="str">
        <f aca="false">IF(Base_Bruta!A922="","",Base_Bruta!A922)</f>
        <v>RJ-000655</v>
      </c>
      <c r="B922" s="5" t="n">
        <f aca="false">IF($A922="","",IF(ISNUMBER(Base_Bruta!B922),Base_Bruta!B922,IF(MID(Base_Bruta!B922,5,1)="-",DATE(VALUE(LEFT(Base_Bruta!B922,4)),VALUE(MID(Base_Bruta!B922,6,2)),VALUE(RIGHT(Base_Bruta!B922,2))),DATE(VALUE(RIGHT(Base_Bruta!B922,4)),VALUE(MID(Base_Bruta!B922,4,2)),VALUE(LEFT(Base_Bruta!B922,2))))))</f>
        <v>45772</v>
      </c>
      <c r="C922" s="5" t="n">
        <f aca="false">IF($A922="","",IF(ISNUMBER(Base_Bruta!C922),Base_Bruta!C922,IF(MID(Base_Bruta!C922,5,1)="-",DATE(VALUE(LEFT(Base_Bruta!C922,4)),VALUE(MID(Base_Bruta!C922,6,2)),VALUE(RIGHT(Base_Bruta!C922,2))),DATE(VALUE(RIGHT(Base_Bruta!C922,4)),VALUE(MID(Base_Bruta!C922,4,2)),VALUE(LEFT(Base_Bruta!C922,2))))))</f>
        <v>45775</v>
      </c>
      <c r="D922" s="4" t="str">
        <f aca="false">IF($A922="","",TRIM(Base_Bruta!D922))</f>
        <v>Cinema Barra - Sessões</v>
      </c>
      <c r="E922" s="4" t="str">
        <f aca="false">IF($A922="","",_xlfn.XLOOKUP(LOWER(TRIM(Base_Bruta!E922)),DePara_Categoria!$A$2:$A$9,DePara_Categoria!$B$2:$B$9,"REVISAR"))</f>
        <v>Cinema</v>
      </c>
      <c r="F922" s="4" t="str">
        <f aca="false">IF($A922="","",_xlfn.XLOOKUP(LOWER(TRIM(Base_Bruta!F922)),DePara_Cidade!$A$2:$A$29,DePara_Cidade!$B$2:$B$29,"REVISAR"))</f>
        <v>Rio de Janeiro</v>
      </c>
      <c r="G922" s="4" t="str">
        <f aca="false">IF($A922="","",TRIM(Base_Bruta!G922))</f>
        <v>Meia</v>
      </c>
      <c r="H922" s="4" t="n">
        <f aca="false">IF($A922="","",IF(ISNUMBER(Base_Bruta!H922),Base_Bruta!H922,IFERROR(_xlfn.NUMBERVALUE(TRIM(SUBSTITUTE(Base_Bruta!H922,"R$","")),",","."),0)))</f>
        <v>1</v>
      </c>
      <c r="I922" s="6" t="n">
        <f aca="false">IF($A922="","",IF(ISNUMBER(Base_Bruta!I922),Base_Bruta!I922,IFERROR(_xlfn.NUMBERVALUE(TRIM(SUBSTITUTE(Base_Bruta!I922,"R$","")),",","."),0)))</f>
        <v>15</v>
      </c>
      <c r="J922" s="6" t="n">
        <f aca="false">IF($A922="","",H922*I922)</f>
        <v>15</v>
      </c>
      <c r="K922" s="4" t="str">
        <f aca="false">IF($A922="","",TRIM(Base_Bruta!J922))</f>
        <v>Site</v>
      </c>
      <c r="L922" s="4" t="str">
        <f aca="false">IF($A922="","",TRIM(Base_Bruta!K922))</f>
        <v>C01292</v>
      </c>
      <c r="M922" s="4" t="str">
        <f aca="false">IF($A922="","",_xlfn.XLOOKUP(LOWER(TRIM(Base_Bruta!L922)),DePara_Cidade!$A$2:$A$29,DePara_Cidade!$B$2:$B$29,"REVISAR"))</f>
        <v>Rio de Janeiro</v>
      </c>
      <c r="N922" s="4" t="str">
        <f aca="false">IF($A922="","",UPPER(TRIM(Base_Bruta!M922)))</f>
        <v>RJ</v>
      </c>
      <c r="O922" s="4" t="str">
        <f aca="false">IF($A922="","",_xlfn.XLOOKUP(LOWER(TRIM(Base_Bruta!N922)),DePara_Pais!$A$2:$A$9,DePara_Pais!$B$2:$B$9,"REVISAR"))</f>
        <v>Brasil</v>
      </c>
      <c r="P922" s="4" t="str">
        <f aca="false">IF($A922="","",IF(O922&lt;&gt;"Brasil","Turista Internacional",IF(M922=F922,"Local","Turista Nacional")))</f>
        <v>Local</v>
      </c>
      <c r="Q922" s="7" t="n">
        <f aca="false">IF($A922="","",DATE(YEAR(B922),MONTH(B922),1))</f>
        <v>45748</v>
      </c>
      <c r="R922" s="4" t="str">
        <f aca="false">IF($A922="","",IF(COUNTIF($A$2:$A922,$A922)&gt;1,"Sim","Não"))</f>
        <v>Não</v>
      </c>
      <c r="S922" s="4" t="str">
        <f aca="false">IF(A922="","Descartar - Linha vazia",IF(R922="Sim","Descartar - Duplicado",IF(OR(H922&lt;=0,I922&lt;=0),"Descartar - Qtd/Valor inválido","OK")))</f>
        <v>OK</v>
      </c>
      <c r="T922" s="4" t="str">
        <f aca="false">Base_Bruta!P922</f>
        <v>vendas_RJ.xlsx</v>
      </c>
    </row>
    <row r="923" customFormat="false" ht="15" hidden="false" customHeight="false" outlineLevel="0" collapsed="false">
      <c r="A923" s="4" t="str">
        <f aca="false">IF(Base_Bruta!A923="","",Base_Bruta!A923)</f>
        <v>RJ-000263</v>
      </c>
      <c r="B923" s="5" t="n">
        <f aca="false">IF($A923="","",IF(ISNUMBER(Base_Bruta!B923),Base_Bruta!B923,IF(MID(Base_Bruta!B923,5,1)="-",DATE(VALUE(LEFT(Base_Bruta!B923,4)),VALUE(MID(Base_Bruta!B923,6,2)),VALUE(RIGHT(Base_Bruta!B923,2))),DATE(VALUE(RIGHT(Base_Bruta!B923,4)),VALUE(MID(Base_Bruta!B923,4,2)),VALUE(LEFT(Base_Bruta!B923,2))))))</f>
        <v>45774</v>
      </c>
      <c r="C923" s="5" t="n">
        <f aca="false">IF($A923="","",IF(ISNUMBER(Base_Bruta!C923),Base_Bruta!C923,IF(MID(Base_Bruta!C923,5,1)="-",DATE(VALUE(LEFT(Base_Bruta!C923,4)),VALUE(MID(Base_Bruta!C923,6,2)),VALUE(RIGHT(Base_Bruta!C923,2))),DATE(VALUE(RIGHT(Base_Bruta!C923,4)),VALUE(MID(Base_Bruta!C923,4,2)),VALUE(LEFT(Base_Bruta!C923,2))))))</f>
        <v>45822</v>
      </c>
      <c r="D923" s="4" t="str">
        <f aca="false">IF($A923="","",TRIM(Base_Bruta!D923))</f>
        <v>Show Nacional MPB - Rio</v>
      </c>
      <c r="E923" s="4" t="str">
        <f aca="false">IF($A923="","",_xlfn.XLOOKUP(LOWER(TRIM(Base_Bruta!E923)),DePara_Categoria!$A$2:$A$9,DePara_Categoria!$B$2:$B$9,"REVISAR"))</f>
        <v>Show</v>
      </c>
      <c r="F923" s="4" t="str">
        <f aca="false">IF($A923="","",_xlfn.XLOOKUP(LOWER(TRIM(Base_Bruta!F923)),DePara_Cidade!$A$2:$A$29,DePara_Cidade!$B$2:$B$29,"REVISAR"))</f>
        <v>Rio de Janeiro</v>
      </c>
      <c r="G923" s="4" t="str">
        <f aca="false">IF($A923="","",TRIM(Base_Bruta!G923))</f>
        <v>Inteira</v>
      </c>
      <c r="H923" s="4" t="n">
        <f aca="false">IF($A923="","",IF(ISNUMBER(Base_Bruta!H923),Base_Bruta!H923,IFERROR(_xlfn.NUMBERVALUE(TRIM(SUBSTITUTE(Base_Bruta!H923,"R$","")),",","."),0)))</f>
        <v>2</v>
      </c>
      <c r="I923" s="6" t="n">
        <f aca="false">IF($A923="","",IF(ISNUMBER(Base_Bruta!I923),Base_Bruta!I923,IFERROR(_xlfn.NUMBERVALUE(TRIM(SUBSTITUTE(Base_Bruta!I923,"R$","")),",","."),0)))</f>
        <v>575</v>
      </c>
      <c r="J923" s="6" t="n">
        <f aca="false">IF($A923="","",H923*I923)</f>
        <v>1150</v>
      </c>
      <c r="K923" s="4" t="str">
        <f aca="false">IF($A923="","",TRIM(Base_Bruta!J923))</f>
        <v>Parceiro</v>
      </c>
      <c r="L923" s="4" t="str">
        <f aca="false">IF($A923="","",TRIM(Base_Bruta!K923))</f>
        <v>C02011</v>
      </c>
      <c r="M923" s="4" t="str">
        <f aca="false">IF($A923="","",_xlfn.XLOOKUP(LOWER(TRIM(Base_Bruta!L923)),DePara_Cidade!$A$2:$A$29,DePara_Cidade!$B$2:$B$29,"REVISAR"))</f>
        <v>Rio de Janeiro</v>
      </c>
      <c r="N923" s="4" t="str">
        <f aca="false">IF($A923="","",UPPER(TRIM(Base_Bruta!M923)))</f>
        <v>RJ</v>
      </c>
      <c r="O923" s="4" t="str">
        <f aca="false">IF($A923="","",_xlfn.XLOOKUP(LOWER(TRIM(Base_Bruta!N923)),DePara_Pais!$A$2:$A$9,DePara_Pais!$B$2:$B$9,"REVISAR"))</f>
        <v>Brasil</v>
      </c>
      <c r="P923" s="4" t="str">
        <f aca="false">IF($A923="","",IF(O923&lt;&gt;"Brasil","Turista Internacional",IF(M923=F923,"Local","Turista Nacional")))</f>
        <v>Local</v>
      </c>
      <c r="Q923" s="7" t="n">
        <f aca="false">IF($A923="","",DATE(YEAR(B923),MONTH(B923),1))</f>
        <v>45748</v>
      </c>
      <c r="R923" s="4" t="str">
        <f aca="false">IF($A923="","",IF(COUNTIF($A$2:$A923,$A923)&gt;1,"Sim","Não"))</f>
        <v>Não</v>
      </c>
      <c r="S923" s="4" t="str">
        <f aca="false">IF(A923="","Descartar - Linha vazia",IF(R923="Sim","Descartar - Duplicado",IF(OR(H923&lt;=0,I923&lt;=0),"Descartar - Qtd/Valor inválido","OK")))</f>
        <v>OK</v>
      </c>
      <c r="T923" s="4" t="str">
        <f aca="false">Base_Bruta!P923</f>
        <v>vendas_RJ.xlsx</v>
      </c>
    </row>
    <row r="924" customFormat="false" ht="15" hidden="false" customHeight="false" outlineLevel="0" collapsed="false">
      <c r="A924" s="4" t="str">
        <f aca="false">IF(Base_Bruta!A924="","",Base_Bruta!A924)</f>
        <v>RJ-000315</v>
      </c>
      <c r="B924" s="5" t="n">
        <f aca="false">IF($A924="","",IF(ISNUMBER(Base_Bruta!B924),Base_Bruta!B924,IF(MID(Base_Bruta!B924,5,1)="-",DATE(VALUE(LEFT(Base_Bruta!B924,4)),VALUE(MID(Base_Bruta!B924,6,2)),VALUE(RIGHT(Base_Bruta!B924,2))),DATE(VALUE(RIGHT(Base_Bruta!B924,4)),VALUE(MID(Base_Bruta!B924,4,2)),VALUE(LEFT(Base_Bruta!B924,2))))))</f>
        <v>45778</v>
      </c>
      <c r="C924" s="5" t="n">
        <f aca="false">IF($A924="","",IF(ISNUMBER(Base_Bruta!C924),Base_Bruta!C924,IF(MID(Base_Bruta!C924,5,1)="-",DATE(VALUE(LEFT(Base_Bruta!C924,4)),VALUE(MID(Base_Bruta!C924,6,2)),VALUE(RIGHT(Base_Bruta!C924,2))),DATE(VALUE(RIGHT(Base_Bruta!C924,4)),VALUE(MID(Base_Bruta!C924,4,2)),VALUE(LEFT(Base_Bruta!C924,2))))))</f>
        <v>45822</v>
      </c>
      <c r="D924" s="4" t="str">
        <f aca="false">IF($A924="","",TRIM(Base_Bruta!D924))</f>
        <v>Show Nacional MPB - Rio</v>
      </c>
      <c r="E924" s="4" t="str">
        <f aca="false">IF($A924="","",_xlfn.XLOOKUP(LOWER(TRIM(Base_Bruta!E924)),DePara_Categoria!$A$2:$A$9,DePara_Categoria!$B$2:$B$9,"REVISAR"))</f>
        <v>Show</v>
      </c>
      <c r="F924" s="4" t="str">
        <f aca="false">IF($A924="","",_xlfn.XLOOKUP(LOWER(TRIM(Base_Bruta!F924)),DePara_Cidade!$A$2:$A$29,DePara_Cidade!$B$2:$B$29,"REVISAR"))</f>
        <v>Rio de Janeiro</v>
      </c>
      <c r="G924" s="4" t="str">
        <f aca="false">IF($A924="","",TRIM(Base_Bruta!G924))</f>
        <v>Inteira</v>
      </c>
      <c r="H924" s="4" t="n">
        <f aca="false">IF($A924="","",IF(ISNUMBER(Base_Bruta!H924),Base_Bruta!H924,IFERROR(_xlfn.NUMBERVALUE(TRIM(SUBSTITUTE(Base_Bruta!H924,"R$","")),",","."),0)))</f>
        <v>4</v>
      </c>
      <c r="I924" s="6" t="n">
        <f aca="false">IF($A924="","",IF(ISNUMBER(Base_Bruta!I924),Base_Bruta!I924,IFERROR(_xlfn.NUMBERVALUE(TRIM(SUBSTITUTE(Base_Bruta!I924,"R$","")),",","."),0)))</f>
        <v>610</v>
      </c>
      <c r="J924" s="6" t="n">
        <f aca="false">IF($A924="","",H924*I924)</f>
        <v>2440</v>
      </c>
      <c r="K924" s="4" t="str">
        <f aca="false">IF($A924="","",TRIM(Base_Bruta!J924))</f>
        <v>Site</v>
      </c>
      <c r="L924" s="4" t="str">
        <f aca="false">IF($A924="","",TRIM(Base_Bruta!K924))</f>
        <v>C02497</v>
      </c>
      <c r="M924" s="4" t="str">
        <f aca="false">IF($A924="","",_xlfn.XLOOKUP(LOWER(TRIM(Base_Bruta!L924)),DePara_Cidade!$A$2:$A$29,DePara_Cidade!$B$2:$B$29,"REVISAR"))</f>
        <v>Rio de Janeiro</v>
      </c>
      <c r="N924" s="4" t="str">
        <f aca="false">IF($A924="","",UPPER(TRIM(Base_Bruta!M924)))</f>
        <v>RJ</v>
      </c>
      <c r="O924" s="4" t="str">
        <f aca="false">IF($A924="","",_xlfn.XLOOKUP(LOWER(TRIM(Base_Bruta!N924)),DePara_Pais!$A$2:$A$9,DePara_Pais!$B$2:$B$9,"REVISAR"))</f>
        <v>Brasil</v>
      </c>
      <c r="P924" s="4" t="str">
        <f aca="false">IF($A924="","",IF(O924&lt;&gt;"Brasil","Turista Internacional",IF(M924=F924,"Local","Turista Nacional")))</f>
        <v>Local</v>
      </c>
      <c r="Q924" s="7" t="n">
        <f aca="false">IF($A924="","",DATE(YEAR(B924),MONTH(B924),1))</f>
        <v>45778</v>
      </c>
      <c r="R924" s="4" t="str">
        <f aca="false">IF($A924="","",IF(COUNTIF($A$2:$A924,$A924)&gt;1,"Sim","Não"))</f>
        <v>Não</v>
      </c>
      <c r="S924" s="4" t="str">
        <f aca="false">IF(A924="","Descartar - Linha vazia",IF(R924="Sim","Descartar - Duplicado",IF(OR(H924&lt;=0,I924&lt;=0),"Descartar - Qtd/Valor inválido","OK")))</f>
        <v>OK</v>
      </c>
      <c r="T924" s="4" t="str">
        <f aca="false">Base_Bruta!P924</f>
        <v>vendas_RJ.xlsx</v>
      </c>
    </row>
    <row r="925" customFormat="false" ht="15" hidden="false" customHeight="false" outlineLevel="0" collapsed="false">
      <c r="A925" s="4" t="str">
        <f aca="false">IF(Base_Bruta!A925="","",Base_Bruta!A925)</f>
        <v>RJ-000312</v>
      </c>
      <c r="B925" s="5" t="n">
        <f aca="false">IF($A925="","",IF(ISNUMBER(Base_Bruta!B925),Base_Bruta!B925,IF(MID(Base_Bruta!B925,5,1)="-",DATE(VALUE(LEFT(Base_Bruta!B925,4)),VALUE(MID(Base_Bruta!B925,6,2)),VALUE(RIGHT(Base_Bruta!B925,2))),DATE(VALUE(RIGHT(Base_Bruta!B925,4)),VALUE(MID(Base_Bruta!B925,4,2)),VALUE(LEFT(Base_Bruta!B925,2))))))</f>
        <v>45780</v>
      </c>
      <c r="C925" s="5" t="n">
        <f aca="false">IF($A925="","",IF(ISNUMBER(Base_Bruta!C925),Base_Bruta!C925,IF(MID(Base_Bruta!C925,5,1)="-",DATE(VALUE(LEFT(Base_Bruta!C925,4)),VALUE(MID(Base_Bruta!C925,6,2)),VALUE(RIGHT(Base_Bruta!C925,2))),DATE(VALUE(RIGHT(Base_Bruta!C925,4)),VALUE(MID(Base_Bruta!C925,4,2)),VALUE(LEFT(Base_Bruta!C925,2))))))</f>
        <v>45822</v>
      </c>
      <c r="D925" s="4" t="str">
        <f aca="false">IF($A925="","",TRIM(Base_Bruta!D925))</f>
        <v>Show Nacional MPB - Rio</v>
      </c>
      <c r="E925" s="4" t="str">
        <f aca="false">IF($A925="","",_xlfn.XLOOKUP(LOWER(TRIM(Base_Bruta!E925)),DePara_Categoria!$A$2:$A$9,DePara_Categoria!$B$2:$B$9,"REVISAR"))</f>
        <v>Show</v>
      </c>
      <c r="F925" s="4" t="str">
        <f aca="false">IF($A925="","",_xlfn.XLOOKUP(LOWER(TRIM(Base_Bruta!F925)),DePara_Cidade!$A$2:$A$29,DePara_Cidade!$B$2:$B$29,"REVISAR"))</f>
        <v>Rio de Janeiro</v>
      </c>
      <c r="G925" s="4" t="str">
        <f aca="false">IF($A925="","",TRIM(Base_Bruta!G925))</f>
        <v>Inteira</v>
      </c>
      <c r="H925" s="4" t="n">
        <f aca="false">IF($A925="","",IF(ISNUMBER(Base_Bruta!H925),Base_Bruta!H925,IFERROR(_xlfn.NUMBERVALUE(TRIM(SUBSTITUTE(Base_Bruta!H925,"R$","")),",","."),0)))</f>
        <v>2</v>
      </c>
      <c r="I925" s="6" t="n">
        <f aca="false">IF($A925="","",IF(ISNUMBER(Base_Bruta!I925),Base_Bruta!I925,IFERROR(_xlfn.NUMBERVALUE(TRIM(SUBSTITUTE(Base_Bruta!I925,"R$","")),",","."),0)))</f>
        <v>565</v>
      </c>
      <c r="J925" s="6" t="n">
        <f aca="false">IF($A925="","",H925*I925)</f>
        <v>1130</v>
      </c>
      <c r="K925" s="4" t="str">
        <f aca="false">IF($A925="","",TRIM(Base_Bruta!J925))</f>
        <v>Site</v>
      </c>
      <c r="L925" s="4" t="str">
        <f aca="false">IF($A925="","",TRIM(Base_Bruta!K925))</f>
        <v>C02500</v>
      </c>
      <c r="M925" s="4" t="str">
        <f aca="false">IF($A925="","",_xlfn.XLOOKUP(LOWER(TRIM(Base_Bruta!L925)),DePara_Cidade!$A$2:$A$29,DePara_Cidade!$B$2:$B$29,"REVISAR"))</f>
        <v>Porto Alegre</v>
      </c>
      <c r="N925" s="4" t="str">
        <f aca="false">IF($A925="","",UPPER(TRIM(Base_Bruta!M925)))</f>
        <v>RS</v>
      </c>
      <c r="O925" s="4" t="str">
        <f aca="false">IF($A925="","",_xlfn.XLOOKUP(LOWER(TRIM(Base_Bruta!N925)),DePara_Pais!$A$2:$A$9,DePara_Pais!$B$2:$B$9,"REVISAR"))</f>
        <v>Brasil</v>
      </c>
      <c r="P925" s="4" t="str">
        <f aca="false">IF($A925="","",IF(O925&lt;&gt;"Brasil","Turista Internacional",IF(M925=F925,"Local","Turista Nacional")))</f>
        <v>Turista Nacional</v>
      </c>
      <c r="Q925" s="7" t="n">
        <f aca="false">IF($A925="","",DATE(YEAR(B925),MONTH(B925),1))</f>
        <v>45778</v>
      </c>
      <c r="R925" s="4" t="str">
        <f aca="false">IF($A925="","",IF(COUNTIF($A$2:$A925,$A925)&gt;1,"Sim","Não"))</f>
        <v>Não</v>
      </c>
      <c r="S925" s="4" t="str">
        <f aca="false">IF(A925="","Descartar - Linha vazia",IF(R925="Sim","Descartar - Duplicado",IF(OR(H925&lt;=0,I925&lt;=0),"Descartar - Qtd/Valor inválido","OK")))</f>
        <v>OK</v>
      </c>
      <c r="T925" s="4" t="str">
        <f aca="false">Base_Bruta!P925</f>
        <v>vendas_RJ.xlsx</v>
      </c>
    </row>
    <row r="926" customFormat="false" ht="15" hidden="false" customHeight="false" outlineLevel="0" collapsed="false">
      <c r="A926" s="4" t="str">
        <f aca="false">IF(Base_Bruta!A926="","",Base_Bruta!A926)</f>
        <v>RJ-000648</v>
      </c>
      <c r="B926" s="5" t="n">
        <f aca="false">IF($A926="","",IF(ISNUMBER(Base_Bruta!B926),Base_Bruta!B926,IF(MID(Base_Bruta!B926,5,1)="-",DATE(VALUE(LEFT(Base_Bruta!B926,4)),VALUE(MID(Base_Bruta!B926,6,2)),VALUE(RIGHT(Base_Bruta!B926,2))),DATE(VALUE(RIGHT(Base_Bruta!B926,4)),VALUE(MID(Base_Bruta!B926,4,2)),VALUE(LEFT(Base_Bruta!B926,2))))))</f>
        <v>45780</v>
      </c>
      <c r="C926" s="5" t="n">
        <f aca="false">IF($A926="","",IF(ISNUMBER(Base_Bruta!C926),Base_Bruta!C926,IF(MID(Base_Bruta!C926,5,1)="-",DATE(VALUE(LEFT(Base_Bruta!C926,4)),VALUE(MID(Base_Bruta!C926,6,2)),VALUE(RIGHT(Base_Bruta!C926,2))),DATE(VALUE(RIGHT(Base_Bruta!C926,4)),VALUE(MID(Base_Bruta!C926,4,2)),VALUE(LEFT(Base_Bruta!C926,2))))))</f>
        <v>45781</v>
      </c>
      <c r="D926" s="4" t="str">
        <f aca="false">IF($A926="","",TRIM(Base_Bruta!D926))</f>
        <v>Cinema Barra - Sessões</v>
      </c>
      <c r="E926" s="4" t="str">
        <f aca="false">IF($A926="","",_xlfn.XLOOKUP(LOWER(TRIM(Base_Bruta!E926)),DePara_Categoria!$A$2:$A$9,DePara_Categoria!$B$2:$B$9,"REVISAR"))</f>
        <v>Cinema</v>
      </c>
      <c r="F926" s="4" t="str">
        <f aca="false">IF($A926="","",_xlfn.XLOOKUP(LOWER(TRIM(Base_Bruta!F926)),DePara_Cidade!$A$2:$A$29,DePara_Cidade!$B$2:$B$29,"REVISAR"))</f>
        <v>Rio de Janeiro</v>
      </c>
      <c r="G926" s="4" t="str">
        <f aca="false">IF($A926="","",TRIM(Base_Bruta!G926))</f>
        <v>Meia</v>
      </c>
      <c r="H926" s="4" t="n">
        <f aca="false">IF($A926="","",IF(ISNUMBER(Base_Bruta!H926),Base_Bruta!H926,IFERROR(_xlfn.NUMBERVALUE(TRIM(SUBSTITUTE(Base_Bruta!H926,"R$","")),",","."),0)))</f>
        <v>1</v>
      </c>
      <c r="I926" s="6" t="n">
        <f aca="false">IF($A926="","",IF(ISNUMBER(Base_Bruta!I926),Base_Bruta!I926,IFERROR(_xlfn.NUMBERVALUE(TRIM(SUBSTITUTE(Base_Bruta!I926,"R$","")),",","."),0)))</f>
        <v>17.5</v>
      </c>
      <c r="J926" s="6" t="n">
        <f aca="false">IF($A926="","",H926*I926)</f>
        <v>17.5</v>
      </c>
      <c r="K926" s="4" t="str">
        <f aca="false">IF($A926="","",TRIM(Base_Bruta!J926))</f>
        <v>Site</v>
      </c>
      <c r="L926" s="4" t="str">
        <f aca="false">IF($A926="","",TRIM(Base_Bruta!K926))</f>
        <v>C01370</v>
      </c>
      <c r="M926" s="4" t="str">
        <f aca="false">IF($A926="","",_xlfn.XLOOKUP(LOWER(TRIM(Base_Bruta!L926)),DePara_Cidade!$A$2:$A$29,DePara_Cidade!$B$2:$B$29,"REVISAR"))</f>
        <v>Curitiba</v>
      </c>
      <c r="N926" s="4" t="str">
        <f aca="false">IF($A926="","",UPPER(TRIM(Base_Bruta!M926)))</f>
        <v>PR</v>
      </c>
      <c r="O926" s="4" t="str">
        <f aca="false">IF($A926="","",_xlfn.XLOOKUP(LOWER(TRIM(Base_Bruta!N926)),DePara_Pais!$A$2:$A$9,DePara_Pais!$B$2:$B$9,"REVISAR"))</f>
        <v>Brasil</v>
      </c>
      <c r="P926" s="4" t="str">
        <f aca="false">IF($A926="","",IF(O926&lt;&gt;"Brasil","Turista Internacional",IF(M926=F926,"Local","Turista Nacional")))</f>
        <v>Turista Nacional</v>
      </c>
      <c r="Q926" s="7" t="n">
        <f aca="false">IF($A926="","",DATE(YEAR(B926),MONTH(B926),1))</f>
        <v>45778</v>
      </c>
      <c r="R926" s="4" t="str">
        <f aca="false">IF($A926="","",IF(COUNTIF($A$2:$A926,$A926)&gt;1,"Sim","Não"))</f>
        <v>Não</v>
      </c>
      <c r="S926" s="4" t="str">
        <f aca="false">IF(A926="","Descartar - Linha vazia",IF(R926="Sim","Descartar - Duplicado",IF(OR(H926&lt;=0,I926&lt;=0),"Descartar - Qtd/Valor inválido","OK")))</f>
        <v>OK</v>
      </c>
      <c r="T926" s="4" t="str">
        <f aca="false">Base_Bruta!P926</f>
        <v>vendas_RJ.xlsx</v>
      </c>
    </row>
    <row r="927" customFormat="false" ht="15" hidden="false" customHeight="false" outlineLevel="0" collapsed="false">
      <c r="A927" s="4" t="str">
        <f aca="false">IF(Base_Bruta!A927="","",Base_Bruta!A927)</f>
        <v>RJ-000610</v>
      </c>
      <c r="B927" s="5" t="n">
        <f aca="false">IF($A927="","",IF(ISNUMBER(Base_Bruta!B927),Base_Bruta!B927,IF(MID(Base_Bruta!B927,5,1)="-",DATE(VALUE(LEFT(Base_Bruta!B927,4)),VALUE(MID(Base_Bruta!B927,6,2)),VALUE(RIGHT(Base_Bruta!B927,2))),DATE(VALUE(RIGHT(Base_Bruta!B927,4)),VALUE(MID(Base_Bruta!B927,4,2)),VALUE(LEFT(Base_Bruta!B927,2))))))</f>
        <v>45781</v>
      </c>
      <c r="C927" s="5" t="n">
        <f aca="false">IF($A927="","",IF(ISNUMBER(Base_Bruta!C927),Base_Bruta!C927,IF(MID(Base_Bruta!C927,5,1)="-",DATE(VALUE(LEFT(Base_Bruta!C927,4)),VALUE(MID(Base_Bruta!C927,6,2)),VALUE(RIGHT(Base_Bruta!C927,2))),DATE(VALUE(RIGHT(Base_Bruta!C927,4)),VALUE(MID(Base_Bruta!C927,4,2)),VALUE(LEFT(Base_Bruta!C927,2))))))</f>
        <v>45781</v>
      </c>
      <c r="D927" s="4" t="str">
        <f aca="false">IF($A927="","",TRIM(Base_Bruta!D927))</f>
        <v>Cinema Barra - Sessões</v>
      </c>
      <c r="E927" s="4" t="str">
        <f aca="false">IF($A927="","",_xlfn.XLOOKUP(LOWER(TRIM(Base_Bruta!E927)),DePara_Categoria!$A$2:$A$9,DePara_Categoria!$B$2:$B$9,"REVISAR"))</f>
        <v>Cinema</v>
      </c>
      <c r="F927" s="4" t="str">
        <f aca="false">IF($A927="","",_xlfn.XLOOKUP(LOWER(TRIM(Base_Bruta!F927)),DePara_Cidade!$A$2:$A$29,DePara_Cidade!$B$2:$B$29,"REVISAR"))</f>
        <v>Rio de Janeiro</v>
      </c>
      <c r="G927" s="4" t="str">
        <f aca="false">IF($A927="","",TRIM(Base_Bruta!G927))</f>
        <v>Meia</v>
      </c>
      <c r="H927" s="4" t="n">
        <f aca="false">IF($A927="","",IF(ISNUMBER(Base_Bruta!H927),Base_Bruta!H927,IFERROR(_xlfn.NUMBERVALUE(TRIM(SUBSTITUTE(Base_Bruta!H927,"R$","")),",","."),0)))</f>
        <v>2</v>
      </c>
      <c r="I927" s="6" t="n">
        <f aca="false">IF($A927="","",IF(ISNUMBER(Base_Bruta!I927),Base_Bruta!I927,IFERROR(_xlfn.NUMBERVALUE(TRIM(SUBSTITUTE(Base_Bruta!I927,"R$","")),",","."),0)))</f>
        <v>15</v>
      </c>
      <c r="J927" s="6" t="n">
        <f aca="false">IF($A927="","",H927*I927)</f>
        <v>30</v>
      </c>
      <c r="K927" s="4" t="str">
        <f aca="false">IF($A927="","",TRIM(Base_Bruta!J927))</f>
        <v>Site</v>
      </c>
      <c r="L927" s="4" t="str">
        <f aca="false">IF($A927="","",TRIM(Base_Bruta!K927))</f>
        <v>C00592</v>
      </c>
      <c r="M927" s="4" t="str">
        <f aca="false">IF($A927="","",_xlfn.XLOOKUP(LOWER(TRIM(Base_Bruta!L927)),DePara_Cidade!$A$2:$A$29,DePara_Cidade!$B$2:$B$29,"REVISAR"))</f>
        <v>Rio de Janeiro</v>
      </c>
      <c r="N927" s="4" t="str">
        <f aca="false">IF($A927="","",UPPER(TRIM(Base_Bruta!M927)))</f>
        <v>RJ</v>
      </c>
      <c r="O927" s="4" t="str">
        <f aca="false">IF($A927="","",_xlfn.XLOOKUP(LOWER(TRIM(Base_Bruta!N927)),DePara_Pais!$A$2:$A$9,DePara_Pais!$B$2:$B$9,"REVISAR"))</f>
        <v>Brasil</v>
      </c>
      <c r="P927" s="4" t="str">
        <f aca="false">IF($A927="","",IF(O927&lt;&gt;"Brasil","Turista Internacional",IF(M927=F927,"Local","Turista Nacional")))</f>
        <v>Local</v>
      </c>
      <c r="Q927" s="7" t="n">
        <f aca="false">IF($A927="","",DATE(YEAR(B927),MONTH(B927),1))</f>
        <v>45778</v>
      </c>
      <c r="R927" s="4" t="str">
        <f aca="false">IF($A927="","",IF(COUNTIF($A$2:$A927,$A927)&gt;1,"Sim","Não"))</f>
        <v>Não</v>
      </c>
      <c r="S927" s="4" t="str">
        <f aca="false">IF(A927="","Descartar - Linha vazia",IF(R927="Sim","Descartar - Duplicado",IF(OR(H927&lt;=0,I927&lt;=0),"Descartar - Qtd/Valor inválido","OK")))</f>
        <v>OK</v>
      </c>
      <c r="T927" s="4" t="str">
        <f aca="false">Base_Bruta!P927</f>
        <v>vendas_RJ.xlsx</v>
      </c>
    </row>
    <row r="928" customFormat="false" ht="15" hidden="false" customHeight="false" outlineLevel="0" collapsed="false">
      <c r="A928" s="4" t="str">
        <f aca="false">IF(Base_Bruta!A928="","",Base_Bruta!A928)</f>
        <v>RJ-000261</v>
      </c>
      <c r="B928" s="5" t="n">
        <f aca="false">IF($A928="","",IF(ISNUMBER(Base_Bruta!B928),Base_Bruta!B928,IF(MID(Base_Bruta!B928,5,1)="-",DATE(VALUE(LEFT(Base_Bruta!B928,4)),VALUE(MID(Base_Bruta!B928,6,2)),VALUE(RIGHT(Base_Bruta!B928,2))),DATE(VALUE(RIGHT(Base_Bruta!B928,4)),VALUE(MID(Base_Bruta!B928,4,2)),VALUE(LEFT(Base_Bruta!B928,2))))))</f>
        <v>45784</v>
      </c>
      <c r="C928" s="5" t="n">
        <f aca="false">IF($A928="","",IF(ISNUMBER(Base_Bruta!C928),Base_Bruta!C928,IF(MID(Base_Bruta!C928,5,1)="-",DATE(VALUE(LEFT(Base_Bruta!C928,4)),VALUE(MID(Base_Bruta!C928,6,2)),VALUE(RIGHT(Base_Bruta!C928,2))),DATE(VALUE(RIGHT(Base_Bruta!C928,4)),VALUE(MID(Base_Bruta!C928,4,2)),VALUE(LEFT(Base_Bruta!C928,2))))))</f>
        <v>45822</v>
      </c>
      <c r="D928" s="4" t="str">
        <f aca="false">IF($A928="","",TRIM(Base_Bruta!D928))</f>
        <v>Show Nacional MPB - Rio</v>
      </c>
      <c r="E928" s="4" t="str">
        <f aca="false">IF($A928="","",_xlfn.XLOOKUP(LOWER(TRIM(Base_Bruta!E928)),DePara_Categoria!$A$2:$A$9,DePara_Categoria!$B$2:$B$9,"REVISAR"))</f>
        <v>Show</v>
      </c>
      <c r="F928" s="4" t="str">
        <f aca="false">IF($A928="","",_xlfn.XLOOKUP(LOWER(TRIM(Base_Bruta!F928)),DePara_Cidade!$A$2:$A$29,DePara_Cidade!$B$2:$B$29,"REVISAR"))</f>
        <v>Rio de Janeiro</v>
      </c>
      <c r="G928" s="4" t="str">
        <f aca="false">IF($A928="","",TRIM(Base_Bruta!G928))</f>
        <v>Meia</v>
      </c>
      <c r="H928" s="4" t="n">
        <f aca="false">IF($A928="","",IF(ISNUMBER(Base_Bruta!H928),Base_Bruta!H928,IFERROR(_xlfn.NUMBERVALUE(TRIM(SUBSTITUTE(Base_Bruta!H928,"R$","")),",","."),0)))</f>
        <v>2</v>
      </c>
      <c r="I928" s="6" t="n">
        <f aca="false">IF($A928="","",IF(ISNUMBER(Base_Bruta!I928),Base_Bruta!I928,IFERROR(_xlfn.NUMBERVALUE(TRIM(SUBSTITUTE(Base_Bruta!I928,"R$","")),",","."),0)))</f>
        <v>162.5</v>
      </c>
      <c r="J928" s="6" t="n">
        <f aca="false">IF($A928="","",H928*I928)</f>
        <v>325</v>
      </c>
      <c r="K928" s="4" t="str">
        <f aca="false">IF($A928="","",TRIM(Base_Bruta!J928))</f>
        <v>Site</v>
      </c>
      <c r="L928" s="4" t="str">
        <f aca="false">IF($A928="","",TRIM(Base_Bruta!K928))</f>
        <v>C00253</v>
      </c>
      <c r="M928" s="4" t="str">
        <f aca="false">IF($A928="","",_xlfn.XLOOKUP(LOWER(TRIM(Base_Bruta!L928)),DePara_Cidade!$A$2:$A$29,DePara_Cidade!$B$2:$B$29,"REVISAR"))</f>
        <v>Rio de Janeiro</v>
      </c>
      <c r="N928" s="4" t="str">
        <f aca="false">IF($A928="","",UPPER(TRIM(Base_Bruta!M928)))</f>
        <v>RJ</v>
      </c>
      <c r="O928" s="4" t="str">
        <f aca="false">IF($A928="","",_xlfn.XLOOKUP(LOWER(TRIM(Base_Bruta!N928)),DePara_Pais!$A$2:$A$9,DePara_Pais!$B$2:$B$9,"REVISAR"))</f>
        <v>Brasil</v>
      </c>
      <c r="P928" s="4" t="str">
        <f aca="false">IF($A928="","",IF(O928&lt;&gt;"Brasil","Turista Internacional",IF(M928=F928,"Local","Turista Nacional")))</f>
        <v>Local</v>
      </c>
      <c r="Q928" s="7" t="n">
        <f aca="false">IF($A928="","",DATE(YEAR(B928),MONTH(B928),1))</f>
        <v>45778</v>
      </c>
      <c r="R928" s="4" t="str">
        <f aca="false">IF($A928="","",IF(COUNTIF($A$2:$A928,$A928)&gt;1,"Sim","Não"))</f>
        <v>Não</v>
      </c>
      <c r="S928" s="4" t="str">
        <f aca="false">IF(A928="","Descartar - Linha vazia",IF(R928="Sim","Descartar - Duplicado",IF(OR(H928&lt;=0,I928&lt;=0),"Descartar - Qtd/Valor inválido","OK")))</f>
        <v>OK</v>
      </c>
      <c r="T928" s="4" t="str">
        <f aca="false">Base_Bruta!P928</f>
        <v>vendas_RJ.xlsx</v>
      </c>
    </row>
    <row r="929" customFormat="false" ht="15" hidden="false" customHeight="false" outlineLevel="0" collapsed="false">
      <c r="A929" s="4" t="str">
        <f aca="false">IF(Base_Bruta!A929="","",Base_Bruta!A929)</f>
        <v>RJ-000307</v>
      </c>
      <c r="B929" s="5" t="n">
        <f aca="false">IF($A929="","",IF(ISNUMBER(Base_Bruta!B929),Base_Bruta!B929,IF(MID(Base_Bruta!B929,5,1)="-",DATE(VALUE(LEFT(Base_Bruta!B929,4)),VALUE(MID(Base_Bruta!B929,6,2)),VALUE(RIGHT(Base_Bruta!B929,2))),DATE(VALUE(RIGHT(Base_Bruta!B929,4)),VALUE(MID(Base_Bruta!B929,4,2)),VALUE(LEFT(Base_Bruta!B929,2))))))</f>
        <v>45784</v>
      </c>
      <c r="C929" s="5" t="n">
        <f aca="false">IF($A929="","",IF(ISNUMBER(Base_Bruta!C929),Base_Bruta!C929,IF(MID(Base_Bruta!C929,5,1)="-",DATE(VALUE(LEFT(Base_Bruta!C929,4)),VALUE(MID(Base_Bruta!C929,6,2)),VALUE(RIGHT(Base_Bruta!C929,2))),DATE(VALUE(RIGHT(Base_Bruta!C929,4)),VALUE(MID(Base_Bruta!C929,4,2)),VALUE(LEFT(Base_Bruta!C929,2))))))</f>
        <v>45822</v>
      </c>
      <c r="D929" s="4" t="str">
        <f aca="false">IF($A929="","",TRIM(Base_Bruta!D929))</f>
        <v>Show Nacional MPB - Rio</v>
      </c>
      <c r="E929" s="4" t="str">
        <f aca="false">IF($A929="","",_xlfn.XLOOKUP(LOWER(TRIM(Base_Bruta!E929)),DePara_Categoria!$A$2:$A$9,DePara_Categoria!$B$2:$B$9,"REVISAR"))</f>
        <v>Show</v>
      </c>
      <c r="F929" s="4" t="str">
        <f aca="false">IF($A929="","",_xlfn.XLOOKUP(LOWER(TRIM(Base_Bruta!F929)),DePara_Cidade!$A$2:$A$29,DePara_Cidade!$B$2:$B$29,"REVISAR"))</f>
        <v>Rio de Janeiro</v>
      </c>
      <c r="G929" s="4" t="str">
        <f aca="false">IF($A929="","",TRIM(Base_Bruta!G929))</f>
        <v>Meia</v>
      </c>
      <c r="H929" s="4" t="n">
        <f aca="false">IF($A929="","",IF(ISNUMBER(Base_Bruta!H929),Base_Bruta!H929,IFERROR(_xlfn.NUMBERVALUE(TRIM(SUBSTITUTE(Base_Bruta!H929,"R$","")),",","."),0)))</f>
        <v>2</v>
      </c>
      <c r="I929" s="6" t="n">
        <f aca="false">IF($A929="","",IF(ISNUMBER(Base_Bruta!I929),Base_Bruta!I929,IFERROR(_xlfn.NUMBERVALUE(TRIM(SUBSTITUTE(Base_Bruta!I929,"R$","")),",","."),0)))</f>
        <v>182.5</v>
      </c>
      <c r="J929" s="6" t="n">
        <f aca="false">IF($A929="","",H929*I929)</f>
        <v>365</v>
      </c>
      <c r="K929" s="4" t="str">
        <f aca="false">IF($A929="","",TRIM(Base_Bruta!J929))</f>
        <v>Site</v>
      </c>
      <c r="L929" s="4" t="str">
        <f aca="false">IF($A929="","",TRIM(Base_Bruta!K929))</f>
        <v>C01444</v>
      </c>
      <c r="M929" s="4" t="str">
        <f aca="false">IF($A929="","",_xlfn.XLOOKUP(LOWER(TRIM(Base_Bruta!L929)),DePara_Cidade!$A$2:$A$29,DePara_Cidade!$B$2:$B$29,"REVISAR"))</f>
        <v>Vitória</v>
      </c>
      <c r="N929" s="4" t="str">
        <f aca="false">IF($A929="","",UPPER(TRIM(Base_Bruta!M929)))</f>
        <v>ES</v>
      </c>
      <c r="O929" s="4" t="str">
        <f aca="false">IF($A929="","",_xlfn.XLOOKUP(LOWER(TRIM(Base_Bruta!N929)),DePara_Pais!$A$2:$A$9,DePara_Pais!$B$2:$B$9,"REVISAR"))</f>
        <v>Brasil</v>
      </c>
      <c r="P929" s="4" t="str">
        <f aca="false">IF($A929="","",IF(O929&lt;&gt;"Brasil","Turista Internacional",IF(M929=F929,"Local","Turista Nacional")))</f>
        <v>Turista Nacional</v>
      </c>
      <c r="Q929" s="7" t="n">
        <f aca="false">IF($A929="","",DATE(YEAR(B929),MONTH(B929),1))</f>
        <v>45778</v>
      </c>
      <c r="R929" s="4" t="str">
        <f aca="false">IF($A929="","",IF(COUNTIF($A$2:$A929,$A929)&gt;1,"Sim","Não"))</f>
        <v>Não</v>
      </c>
      <c r="S929" s="4" t="str">
        <f aca="false">IF(A929="","Descartar - Linha vazia",IF(R929="Sim","Descartar - Duplicado",IF(OR(H929&lt;=0,I929&lt;=0),"Descartar - Qtd/Valor inválido","OK")))</f>
        <v>OK</v>
      </c>
      <c r="T929" s="4" t="str">
        <f aca="false">Base_Bruta!P929</f>
        <v>vendas_RJ.xlsx</v>
      </c>
    </row>
    <row r="930" customFormat="false" ht="15" hidden="false" customHeight="false" outlineLevel="0" collapsed="false">
      <c r="A930" s="4" t="str">
        <f aca="false">IF(Base_Bruta!A930="","",Base_Bruta!A930)</f>
        <v>RJ-000368</v>
      </c>
      <c r="B930" s="5" t="n">
        <f aca="false">IF($A930="","",IF(ISNUMBER(Base_Bruta!B930),Base_Bruta!B930,IF(MID(Base_Bruta!B930,5,1)="-",DATE(VALUE(LEFT(Base_Bruta!B930,4)),VALUE(MID(Base_Bruta!B930,6,2)),VALUE(RIGHT(Base_Bruta!B930,2))),DATE(VALUE(RIGHT(Base_Bruta!B930,4)),VALUE(MID(Base_Bruta!B930,4,2)),VALUE(LEFT(Base_Bruta!B930,2))))))</f>
        <v>45784</v>
      </c>
      <c r="C930" s="5" t="n">
        <f aca="false">IF($A930="","",IF(ISNUMBER(Base_Bruta!C930),Base_Bruta!C930,IF(MID(Base_Bruta!C930,5,1)="-",DATE(VALUE(LEFT(Base_Bruta!C930,4)),VALUE(MID(Base_Bruta!C930,6,2)),VALUE(RIGHT(Base_Bruta!C930,2))),DATE(VALUE(RIGHT(Base_Bruta!C930,4)),VALUE(MID(Base_Bruta!C930,4,2)),VALUE(LEFT(Base_Bruta!C930,2))))))</f>
        <v>45822</v>
      </c>
      <c r="D930" s="4" t="str">
        <f aca="false">IF($A930="","",TRIM(Base_Bruta!D930))</f>
        <v>Show Nacional MPB - Rio</v>
      </c>
      <c r="E930" s="4" t="str">
        <f aca="false">IF($A930="","",_xlfn.XLOOKUP(LOWER(TRIM(Base_Bruta!E930)),DePara_Categoria!$A$2:$A$9,DePara_Categoria!$B$2:$B$9,"REVISAR"))</f>
        <v>Show</v>
      </c>
      <c r="F930" s="4" t="str">
        <f aca="false">IF($A930="","",_xlfn.XLOOKUP(LOWER(TRIM(Base_Bruta!F930)),DePara_Cidade!$A$2:$A$29,DePara_Cidade!$B$2:$B$29,"REVISAR"))</f>
        <v>Rio de Janeiro</v>
      </c>
      <c r="G930" s="4" t="str">
        <f aca="false">IF($A930="","",TRIM(Base_Bruta!G930))</f>
        <v>Inteira</v>
      </c>
      <c r="H930" s="4" t="n">
        <f aca="false">IF($A930="","",IF(ISNUMBER(Base_Bruta!H930),Base_Bruta!H930,IFERROR(_xlfn.NUMBERVALUE(TRIM(SUBSTITUTE(Base_Bruta!H930,"R$","")),",","."),0)))</f>
        <v>3</v>
      </c>
      <c r="I930" s="6" t="n">
        <f aca="false">IF($A930="","",IF(ISNUMBER(Base_Bruta!I930),Base_Bruta!I930,IFERROR(_xlfn.NUMBERVALUE(TRIM(SUBSTITUTE(Base_Bruta!I930,"R$","")),",","."),0)))</f>
        <v>650</v>
      </c>
      <c r="J930" s="6" t="n">
        <f aca="false">IF($A930="","",H930*I930)</f>
        <v>1950</v>
      </c>
      <c r="K930" s="4" t="str">
        <f aca="false">IF($A930="","",TRIM(Base_Bruta!J930))</f>
        <v>App</v>
      </c>
      <c r="L930" s="4" t="str">
        <f aca="false">IF($A930="","",TRIM(Base_Bruta!K930))</f>
        <v>C02495</v>
      </c>
      <c r="M930" s="4" t="str">
        <f aca="false">IF($A930="","",_xlfn.XLOOKUP(LOWER(TRIM(Base_Bruta!L930)),DePara_Cidade!$A$2:$A$29,DePara_Cidade!$B$2:$B$29,"REVISAR"))</f>
        <v>São Paulo</v>
      </c>
      <c r="N930" s="4" t="str">
        <f aca="false">IF($A930="","",UPPER(TRIM(Base_Bruta!M930)))</f>
        <v>SP</v>
      </c>
      <c r="O930" s="4" t="str">
        <f aca="false">IF($A930="","",_xlfn.XLOOKUP(LOWER(TRIM(Base_Bruta!N930)),DePara_Pais!$A$2:$A$9,DePara_Pais!$B$2:$B$9,"REVISAR"))</f>
        <v>Brasil</v>
      </c>
      <c r="P930" s="4" t="str">
        <f aca="false">IF($A930="","",IF(O930&lt;&gt;"Brasil","Turista Internacional",IF(M930=F930,"Local","Turista Nacional")))</f>
        <v>Turista Nacional</v>
      </c>
      <c r="Q930" s="7" t="n">
        <f aca="false">IF($A930="","",DATE(YEAR(B930),MONTH(B930),1))</f>
        <v>45778</v>
      </c>
      <c r="R930" s="4" t="str">
        <f aca="false">IF($A930="","",IF(COUNTIF($A$2:$A930,$A930)&gt;1,"Sim","Não"))</f>
        <v>Não</v>
      </c>
      <c r="S930" s="4" t="str">
        <f aca="false">IF(A930="","Descartar - Linha vazia",IF(R930="Sim","Descartar - Duplicado",IF(OR(H930&lt;=0,I930&lt;=0),"Descartar - Qtd/Valor inválido","OK")))</f>
        <v>OK</v>
      </c>
      <c r="T930" s="4" t="str">
        <f aca="false">Base_Bruta!P930</f>
        <v>vendas_RJ.xlsx</v>
      </c>
    </row>
    <row r="931" customFormat="false" ht="15" hidden="false" customHeight="false" outlineLevel="0" collapsed="false">
      <c r="A931" s="4" t="str">
        <f aca="false">IF(Base_Bruta!A931="","",Base_Bruta!A931)</f>
        <v>RJ-000306</v>
      </c>
      <c r="B931" s="5" t="n">
        <f aca="false">IF($A931="","",IF(ISNUMBER(Base_Bruta!B931),Base_Bruta!B931,IF(MID(Base_Bruta!B931,5,1)="-",DATE(VALUE(LEFT(Base_Bruta!B931,4)),VALUE(MID(Base_Bruta!B931,6,2)),VALUE(RIGHT(Base_Bruta!B931,2))),DATE(VALUE(RIGHT(Base_Bruta!B931,4)),VALUE(MID(Base_Bruta!B931,4,2)),VALUE(LEFT(Base_Bruta!B931,2))))))</f>
        <v>45785</v>
      </c>
      <c r="C931" s="5" t="n">
        <f aca="false">IF($A931="","",IF(ISNUMBER(Base_Bruta!C931),Base_Bruta!C931,IF(MID(Base_Bruta!C931,5,1)="-",DATE(VALUE(LEFT(Base_Bruta!C931,4)),VALUE(MID(Base_Bruta!C931,6,2)),VALUE(RIGHT(Base_Bruta!C931,2))),DATE(VALUE(RIGHT(Base_Bruta!C931,4)),VALUE(MID(Base_Bruta!C931,4,2)),VALUE(LEFT(Base_Bruta!C931,2))))))</f>
        <v>45822</v>
      </c>
      <c r="D931" s="4" t="str">
        <f aca="false">IF($A931="","",TRIM(Base_Bruta!D931))</f>
        <v>Show Nacional MPB - Rio</v>
      </c>
      <c r="E931" s="4" t="str">
        <f aca="false">IF($A931="","",_xlfn.XLOOKUP(LOWER(TRIM(Base_Bruta!E931)),DePara_Categoria!$A$2:$A$9,DePara_Categoria!$B$2:$B$9,"REVISAR"))</f>
        <v>Show</v>
      </c>
      <c r="F931" s="4" t="str">
        <f aca="false">IF($A931="","",_xlfn.XLOOKUP(LOWER(TRIM(Base_Bruta!F931)),DePara_Cidade!$A$2:$A$29,DePara_Cidade!$B$2:$B$29,"REVISAR"))</f>
        <v>Rio de Janeiro</v>
      </c>
      <c r="G931" s="4" t="str">
        <f aca="false">IF($A931="","",TRIM(Base_Bruta!G931))</f>
        <v>Meia</v>
      </c>
      <c r="H931" s="4" t="n">
        <f aca="false">IF($A931="","",IF(ISNUMBER(Base_Bruta!H931),Base_Bruta!H931,IFERROR(_xlfn.NUMBERVALUE(TRIM(SUBSTITUTE(Base_Bruta!H931,"R$","")),",","."),0)))</f>
        <v>2</v>
      </c>
      <c r="I931" s="6" t="n">
        <f aca="false">IF($A931="","",IF(ISNUMBER(Base_Bruta!I931),Base_Bruta!I931,IFERROR(_xlfn.NUMBERVALUE(TRIM(SUBSTITUTE(Base_Bruta!I931,"R$","")),",","."),0)))</f>
        <v>320</v>
      </c>
      <c r="J931" s="6" t="n">
        <f aca="false">IF($A931="","",H931*I931)</f>
        <v>640</v>
      </c>
      <c r="K931" s="4" t="str">
        <f aca="false">IF($A931="","",TRIM(Base_Bruta!J931))</f>
        <v>Bilheteria</v>
      </c>
      <c r="L931" s="4" t="str">
        <f aca="false">IF($A931="","",TRIM(Base_Bruta!K931))</f>
        <v>C01231</v>
      </c>
      <c r="M931" s="4" t="str">
        <f aca="false">IF($A931="","",_xlfn.XLOOKUP(LOWER(TRIM(Base_Bruta!L931)),DePara_Cidade!$A$2:$A$29,DePara_Cidade!$B$2:$B$29,"REVISAR"))</f>
        <v>Rio de Janeiro</v>
      </c>
      <c r="N931" s="4" t="str">
        <f aca="false">IF($A931="","",UPPER(TRIM(Base_Bruta!M931)))</f>
        <v>RJ</v>
      </c>
      <c r="O931" s="4" t="str">
        <f aca="false">IF($A931="","",_xlfn.XLOOKUP(LOWER(TRIM(Base_Bruta!N931)),DePara_Pais!$A$2:$A$9,DePara_Pais!$B$2:$B$9,"REVISAR"))</f>
        <v>Brasil</v>
      </c>
      <c r="P931" s="4" t="str">
        <f aca="false">IF($A931="","",IF(O931&lt;&gt;"Brasil","Turista Internacional",IF(M931=F931,"Local","Turista Nacional")))</f>
        <v>Local</v>
      </c>
      <c r="Q931" s="7" t="n">
        <f aca="false">IF($A931="","",DATE(YEAR(B931),MONTH(B931),1))</f>
        <v>45778</v>
      </c>
      <c r="R931" s="4" t="str">
        <f aca="false">IF($A931="","",IF(COUNTIF($A$2:$A931,$A931)&gt;1,"Sim","Não"))</f>
        <v>Não</v>
      </c>
      <c r="S931" s="4" t="str">
        <f aca="false">IF(A931="","Descartar - Linha vazia",IF(R931="Sim","Descartar - Duplicado",IF(OR(H931&lt;=0,I931&lt;=0),"Descartar - Qtd/Valor inválido","OK")))</f>
        <v>OK</v>
      </c>
      <c r="T931" s="4" t="str">
        <f aca="false">Base_Bruta!P931</f>
        <v>vendas_RJ.xlsx</v>
      </c>
    </row>
    <row r="932" customFormat="false" ht="15" hidden="false" customHeight="false" outlineLevel="0" collapsed="false">
      <c r="A932" s="4" t="str">
        <f aca="false">IF(Base_Bruta!A932="","",Base_Bruta!A932)</f>
        <v>RJ-000258</v>
      </c>
      <c r="B932" s="5" t="n">
        <f aca="false">IF($A932="","",IF(ISNUMBER(Base_Bruta!B932),Base_Bruta!B932,IF(MID(Base_Bruta!B932,5,1)="-",DATE(VALUE(LEFT(Base_Bruta!B932,4)),VALUE(MID(Base_Bruta!B932,6,2)),VALUE(RIGHT(Base_Bruta!B932,2))),DATE(VALUE(RIGHT(Base_Bruta!B932,4)),VALUE(MID(Base_Bruta!B932,4,2)),VALUE(LEFT(Base_Bruta!B932,2))))))</f>
        <v>45786</v>
      </c>
      <c r="C932" s="5" t="n">
        <f aca="false">IF($A932="","",IF(ISNUMBER(Base_Bruta!C932),Base_Bruta!C932,IF(MID(Base_Bruta!C932,5,1)="-",DATE(VALUE(LEFT(Base_Bruta!C932,4)),VALUE(MID(Base_Bruta!C932,6,2)),VALUE(RIGHT(Base_Bruta!C932,2))),DATE(VALUE(RIGHT(Base_Bruta!C932,4)),VALUE(MID(Base_Bruta!C932,4,2)),VALUE(LEFT(Base_Bruta!C932,2))))))</f>
        <v>45822</v>
      </c>
      <c r="D932" s="4" t="str">
        <f aca="false">IF($A932="","",TRIM(Base_Bruta!D932))</f>
        <v>Show Nacional MPB - Rio</v>
      </c>
      <c r="E932" s="4" t="str">
        <f aca="false">IF($A932="","",_xlfn.XLOOKUP(LOWER(TRIM(Base_Bruta!E932)),DePara_Categoria!$A$2:$A$9,DePara_Categoria!$B$2:$B$9,"REVISAR"))</f>
        <v>Show</v>
      </c>
      <c r="F932" s="4" t="str">
        <f aca="false">IF($A932="","",_xlfn.XLOOKUP(LOWER(TRIM(Base_Bruta!F932)),DePara_Cidade!$A$2:$A$29,DePara_Cidade!$B$2:$B$29,"REVISAR"))</f>
        <v>Rio de Janeiro</v>
      </c>
      <c r="G932" s="4" t="str">
        <f aca="false">IF($A932="","",TRIM(Base_Bruta!G932))</f>
        <v>Inteira</v>
      </c>
      <c r="H932" s="4" t="n">
        <f aca="false">IF($A932="","",IF(ISNUMBER(Base_Bruta!H932),Base_Bruta!H932,IFERROR(_xlfn.NUMBERVALUE(TRIM(SUBSTITUTE(Base_Bruta!H932,"R$","")),",","."),0)))</f>
        <v>2</v>
      </c>
      <c r="I932" s="6" t="n">
        <f aca="false">IF($A932="","",IF(ISNUMBER(Base_Bruta!I932),Base_Bruta!I932,IFERROR(_xlfn.NUMBERVALUE(TRIM(SUBSTITUTE(Base_Bruta!I932,"R$","")),",","."),0)))</f>
        <v>275</v>
      </c>
      <c r="J932" s="6" t="n">
        <f aca="false">IF($A932="","",H932*I932)</f>
        <v>550</v>
      </c>
      <c r="K932" s="4" t="str">
        <f aca="false">IF($A932="","",TRIM(Base_Bruta!J932))</f>
        <v>Site</v>
      </c>
      <c r="L932" s="4" t="str">
        <f aca="false">IF($A932="","",TRIM(Base_Bruta!K932))</f>
        <v>C02459</v>
      </c>
      <c r="M932" s="4" t="str">
        <f aca="false">IF($A932="","",_xlfn.XLOOKUP(LOWER(TRIM(Base_Bruta!L932)),DePara_Cidade!$A$2:$A$29,DePara_Cidade!$B$2:$B$29,"REVISAR"))</f>
        <v>Rio de Janeiro</v>
      </c>
      <c r="N932" s="4" t="str">
        <f aca="false">IF($A932="","",UPPER(TRIM(Base_Bruta!M932)))</f>
        <v>RJ</v>
      </c>
      <c r="O932" s="4" t="str">
        <f aca="false">IF($A932="","",_xlfn.XLOOKUP(LOWER(TRIM(Base_Bruta!N932)),DePara_Pais!$A$2:$A$9,DePara_Pais!$B$2:$B$9,"REVISAR"))</f>
        <v>Brasil</v>
      </c>
      <c r="P932" s="4" t="str">
        <f aca="false">IF($A932="","",IF(O932&lt;&gt;"Brasil","Turista Internacional",IF(M932=F932,"Local","Turista Nacional")))</f>
        <v>Local</v>
      </c>
      <c r="Q932" s="7" t="n">
        <f aca="false">IF($A932="","",DATE(YEAR(B932),MONTH(B932),1))</f>
        <v>45778</v>
      </c>
      <c r="R932" s="4" t="str">
        <f aca="false">IF($A932="","",IF(COUNTIF($A$2:$A932,$A932)&gt;1,"Sim","Não"))</f>
        <v>Não</v>
      </c>
      <c r="S932" s="4" t="str">
        <f aca="false">IF(A932="","Descartar - Linha vazia",IF(R932="Sim","Descartar - Duplicado",IF(OR(H932&lt;=0,I932&lt;=0),"Descartar - Qtd/Valor inválido","OK")))</f>
        <v>OK</v>
      </c>
      <c r="T932" s="4" t="str">
        <f aca="false">Base_Bruta!P932</f>
        <v>vendas_RJ.xlsx</v>
      </c>
    </row>
    <row r="933" customFormat="false" ht="15" hidden="false" customHeight="false" outlineLevel="0" collapsed="false">
      <c r="A933" s="4" t="str">
        <f aca="false">IF(Base_Bruta!A933="","",Base_Bruta!A933)</f>
        <v>RJ-000379</v>
      </c>
      <c r="B933" s="5" t="n">
        <f aca="false">IF($A933="","",IF(ISNUMBER(Base_Bruta!B933),Base_Bruta!B933,IF(MID(Base_Bruta!B933,5,1)="-",DATE(VALUE(LEFT(Base_Bruta!B933,4)),VALUE(MID(Base_Bruta!B933,6,2)),VALUE(RIGHT(Base_Bruta!B933,2))),DATE(VALUE(RIGHT(Base_Bruta!B933,4)),VALUE(MID(Base_Bruta!B933,4,2)),VALUE(LEFT(Base_Bruta!B933,2))))))</f>
        <v>45787</v>
      </c>
      <c r="C933" s="5" t="n">
        <f aca="false">IF($A933="","",IF(ISNUMBER(Base_Bruta!C933),Base_Bruta!C933,IF(MID(Base_Bruta!C933,5,1)="-",DATE(VALUE(LEFT(Base_Bruta!C933,4)),VALUE(MID(Base_Bruta!C933,6,2)),VALUE(RIGHT(Base_Bruta!C933,2))),DATE(VALUE(RIGHT(Base_Bruta!C933,4)),VALUE(MID(Base_Bruta!C933,4,2)),VALUE(LEFT(Base_Bruta!C933,2))))))</f>
        <v>45822</v>
      </c>
      <c r="D933" s="4" t="str">
        <f aca="false">IF($A933="","",TRIM(Base_Bruta!D933))</f>
        <v>Show Nacional MPB - Rio</v>
      </c>
      <c r="E933" s="4" t="str">
        <f aca="false">IF($A933="","",_xlfn.XLOOKUP(LOWER(TRIM(Base_Bruta!E933)),DePara_Categoria!$A$2:$A$9,DePara_Categoria!$B$2:$B$9,"REVISAR"))</f>
        <v>Show</v>
      </c>
      <c r="F933" s="4" t="str">
        <f aca="false">IF($A933="","",_xlfn.XLOOKUP(LOWER(TRIM(Base_Bruta!F933)),DePara_Cidade!$A$2:$A$29,DePara_Cidade!$B$2:$B$29,"REVISAR"))</f>
        <v>Rio de Janeiro</v>
      </c>
      <c r="G933" s="4" t="str">
        <f aca="false">IF($A933="","",TRIM(Base_Bruta!G933))</f>
        <v>Inteira</v>
      </c>
      <c r="H933" s="4" t="n">
        <f aca="false">IF($A933="","",IF(ISNUMBER(Base_Bruta!H933),Base_Bruta!H933,IFERROR(_xlfn.NUMBERVALUE(TRIM(SUBSTITUTE(Base_Bruta!H933,"R$","")),",","."),0)))</f>
        <v>2</v>
      </c>
      <c r="I933" s="6" t="n">
        <f aca="false">IF($A933="","",IF(ISNUMBER(Base_Bruta!I933),Base_Bruta!I933,IFERROR(_xlfn.NUMBERVALUE(TRIM(SUBSTITUTE(Base_Bruta!I933,"R$","")),",","."),0)))</f>
        <v>505</v>
      </c>
      <c r="J933" s="6" t="n">
        <f aca="false">IF($A933="","",H933*I933)</f>
        <v>1010</v>
      </c>
      <c r="K933" s="4" t="str">
        <f aca="false">IF($A933="","",TRIM(Base_Bruta!J933))</f>
        <v>Site</v>
      </c>
      <c r="L933" s="4" t="str">
        <f aca="false">IF($A933="","",TRIM(Base_Bruta!K933))</f>
        <v>C02399</v>
      </c>
      <c r="M933" s="4" t="str">
        <f aca="false">IF($A933="","",_xlfn.XLOOKUP(LOWER(TRIM(Base_Bruta!L933)),DePara_Cidade!$A$2:$A$29,DePara_Cidade!$B$2:$B$29,"REVISAR"))</f>
        <v>Rio de Janeiro</v>
      </c>
      <c r="N933" s="4" t="str">
        <f aca="false">IF($A933="","",UPPER(TRIM(Base_Bruta!M933)))</f>
        <v>RJ</v>
      </c>
      <c r="O933" s="4" t="str">
        <f aca="false">IF($A933="","",_xlfn.XLOOKUP(LOWER(TRIM(Base_Bruta!N933)),DePara_Pais!$A$2:$A$9,DePara_Pais!$B$2:$B$9,"REVISAR"))</f>
        <v>Brasil</v>
      </c>
      <c r="P933" s="4" t="str">
        <f aca="false">IF($A933="","",IF(O933&lt;&gt;"Brasil","Turista Internacional",IF(M933=F933,"Local","Turista Nacional")))</f>
        <v>Local</v>
      </c>
      <c r="Q933" s="7" t="n">
        <f aca="false">IF($A933="","",DATE(YEAR(B933),MONTH(B933),1))</f>
        <v>45778</v>
      </c>
      <c r="R933" s="4" t="str">
        <f aca="false">IF($A933="","",IF(COUNTIF($A$2:$A933,$A933)&gt;1,"Sim","Não"))</f>
        <v>Não</v>
      </c>
      <c r="S933" s="4" t="str">
        <f aca="false">IF(A933="","Descartar - Linha vazia",IF(R933="Sim","Descartar - Duplicado",IF(OR(H933&lt;=0,I933&lt;=0),"Descartar - Qtd/Valor inválido","OK")))</f>
        <v>OK</v>
      </c>
      <c r="T933" s="4" t="str">
        <f aca="false">Base_Bruta!P933</f>
        <v>vendas_RJ.xlsx</v>
      </c>
    </row>
    <row r="934" customFormat="false" ht="15" hidden="false" customHeight="false" outlineLevel="0" collapsed="false">
      <c r="A934" s="4" t="str">
        <f aca="false">IF(Base_Bruta!A934="","",Base_Bruta!A934)</f>
        <v>RJ-000266</v>
      </c>
      <c r="B934" s="5" t="n">
        <f aca="false">IF($A934="","",IF(ISNUMBER(Base_Bruta!B934),Base_Bruta!B934,IF(MID(Base_Bruta!B934,5,1)="-",DATE(VALUE(LEFT(Base_Bruta!B934,4)),VALUE(MID(Base_Bruta!B934,6,2)),VALUE(RIGHT(Base_Bruta!B934,2))),DATE(VALUE(RIGHT(Base_Bruta!B934,4)),VALUE(MID(Base_Bruta!B934,4,2)),VALUE(LEFT(Base_Bruta!B934,2))))))</f>
        <v>45789</v>
      </c>
      <c r="C934" s="5" t="n">
        <f aca="false">IF($A934="","",IF(ISNUMBER(Base_Bruta!C934),Base_Bruta!C934,IF(MID(Base_Bruta!C934,5,1)="-",DATE(VALUE(LEFT(Base_Bruta!C934,4)),VALUE(MID(Base_Bruta!C934,6,2)),VALUE(RIGHT(Base_Bruta!C934,2))),DATE(VALUE(RIGHT(Base_Bruta!C934,4)),VALUE(MID(Base_Bruta!C934,4,2)),VALUE(LEFT(Base_Bruta!C934,2))))))</f>
        <v>45822</v>
      </c>
      <c r="D934" s="4" t="str">
        <f aca="false">IF($A934="","",TRIM(Base_Bruta!D934))</f>
        <v>Show Nacional MPB - Rio</v>
      </c>
      <c r="E934" s="4" t="str">
        <f aca="false">IF($A934="","",_xlfn.XLOOKUP(LOWER(TRIM(Base_Bruta!E934)),DePara_Categoria!$A$2:$A$9,DePara_Categoria!$B$2:$B$9,"REVISAR"))</f>
        <v>Show</v>
      </c>
      <c r="F934" s="4" t="str">
        <f aca="false">IF($A934="","",_xlfn.XLOOKUP(LOWER(TRIM(Base_Bruta!F934)),DePara_Cidade!$A$2:$A$29,DePara_Cidade!$B$2:$B$29,"REVISAR"))</f>
        <v>Rio de Janeiro</v>
      </c>
      <c r="G934" s="4" t="str">
        <f aca="false">IF($A934="","",TRIM(Base_Bruta!G934))</f>
        <v>VIP</v>
      </c>
      <c r="H934" s="4" t="n">
        <f aca="false">IF($A934="","",IF(ISNUMBER(Base_Bruta!H934),Base_Bruta!H934,IFERROR(_xlfn.NUMBERVALUE(TRIM(SUBSTITUTE(Base_Bruta!H934,"R$","")),",","."),0)))</f>
        <v>3</v>
      </c>
      <c r="I934" s="6" t="n">
        <f aca="false">IF($A934="","",IF(ISNUMBER(Base_Bruta!I934),Base_Bruta!I934,IFERROR(_xlfn.NUMBERVALUE(TRIM(SUBSTITUTE(Base_Bruta!I934,"R$","")),",","."),0)))</f>
        <v>600</v>
      </c>
      <c r="J934" s="6" t="n">
        <f aca="false">IF($A934="","",H934*I934)</f>
        <v>1800</v>
      </c>
      <c r="K934" s="4" t="str">
        <f aca="false">IF($A934="","",TRIM(Base_Bruta!J934))</f>
        <v>Site</v>
      </c>
      <c r="L934" s="4" t="str">
        <f aca="false">IF($A934="","",TRIM(Base_Bruta!K934))</f>
        <v>C02241</v>
      </c>
      <c r="M934" s="4" t="str">
        <f aca="false">IF($A934="","",_xlfn.XLOOKUP(LOWER(TRIM(Base_Bruta!L934)),DePara_Cidade!$A$2:$A$29,DePara_Cidade!$B$2:$B$29,"REVISAR"))</f>
        <v>Rio de Janeiro</v>
      </c>
      <c r="N934" s="4" t="str">
        <f aca="false">IF($A934="","",UPPER(TRIM(Base_Bruta!M934)))</f>
        <v>RJ</v>
      </c>
      <c r="O934" s="4" t="str">
        <f aca="false">IF($A934="","",_xlfn.XLOOKUP(LOWER(TRIM(Base_Bruta!N934)),DePara_Pais!$A$2:$A$9,DePara_Pais!$B$2:$B$9,"REVISAR"))</f>
        <v>Brasil</v>
      </c>
      <c r="P934" s="4" t="str">
        <f aca="false">IF($A934="","",IF(O934&lt;&gt;"Brasil","Turista Internacional",IF(M934=F934,"Local","Turista Nacional")))</f>
        <v>Local</v>
      </c>
      <c r="Q934" s="7" t="n">
        <f aca="false">IF($A934="","",DATE(YEAR(B934),MONTH(B934),1))</f>
        <v>45778</v>
      </c>
      <c r="R934" s="4" t="str">
        <f aca="false">IF($A934="","",IF(COUNTIF($A$2:$A934,$A934)&gt;1,"Sim","Não"))</f>
        <v>Não</v>
      </c>
      <c r="S934" s="4" t="str">
        <f aca="false">IF(A934="","Descartar - Linha vazia",IF(R934="Sim","Descartar - Duplicado",IF(OR(H934&lt;=0,I934&lt;=0),"Descartar - Qtd/Valor inválido","OK")))</f>
        <v>OK</v>
      </c>
      <c r="T934" s="4" t="str">
        <f aca="false">Base_Bruta!P934</f>
        <v>vendas_RJ.xlsx</v>
      </c>
    </row>
    <row r="935" customFormat="false" ht="15" hidden="false" customHeight="false" outlineLevel="0" collapsed="false">
      <c r="A935" s="4" t="str">
        <f aca="false">IF(Base_Bruta!A935="","",Base_Bruta!A935)</f>
        <v>RJ-000346</v>
      </c>
      <c r="B935" s="5" t="n">
        <f aca="false">IF($A935="","",IF(ISNUMBER(Base_Bruta!B935),Base_Bruta!B935,IF(MID(Base_Bruta!B935,5,1)="-",DATE(VALUE(LEFT(Base_Bruta!B935,4)),VALUE(MID(Base_Bruta!B935,6,2)),VALUE(RIGHT(Base_Bruta!B935,2))),DATE(VALUE(RIGHT(Base_Bruta!B935,4)),VALUE(MID(Base_Bruta!B935,4,2)),VALUE(LEFT(Base_Bruta!B935,2))))))</f>
        <v>45789</v>
      </c>
      <c r="C935" s="5" t="n">
        <f aca="false">IF($A935="","",IF(ISNUMBER(Base_Bruta!C935),Base_Bruta!C935,IF(MID(Base_Bruta!C935,5,1)="-",DATE(VALUE(LEFT(Base_Bruta!C935,4)),VALUE(MID(Base_Bruta!C935,6,2)),VALUE(RIGHT(Base_Bruta!C935,2))),DATE(VALUE(RIGHT(Base_Bruta!C935,4)),VALUE(MID(Base_Bruta!C935,4,2)),VALUE(LEFT(Base_Bruta!C935,2))))))</f>
        <v>45822</v>
      </c>
      <c r="D935" s="4" t="str">
        <f aca="false">IF($A935="","",TRIM(Base_Bruta!D935))</f>
        <v>Show Nacional MPB - Rio</v>
      </c>
      <c r="E935" s="4" t="str">
        <f aca="false">IF($A935="","",_xlfn.XLOOKUP(LOWER(TRIM(Base_Bruta!E935)),DePara_Categoria!$A$2:$A$9,DePara_Categoria!$B$2:$B$9,"REVISAR"))</f>
        <v>Show</v>
      </c>
      <c r="F935" s="4" t="str">
        <f aca="false">IF($A935="","",_xlfn.XLOOKUP(LOWER(TRIM(Base_Bruta!F935)),DePara_Cidade!$A$2:$A$29,DePara_Cidade!$B$2:$B$29,"REVISAR"))</f>
        <v>Rio de Janeiro</v>
      </c>
      <c r="G935" s="4" t="str">
        <f aca="false">IF($A935="","",TRIM(Base_Bruta!G935))</f>
        <v>VIP</v>
      </c>
      <c r="H935" s="4" t="n">
        <f aca="false">IF($A935="","",IF(ISNUMBER(Base_Bruta!H935),Base_Bruta!H935,IFERROR(_xlfn.NUMBERVALUE(TRIM(SUBSTITUTE(Base_Bruta!H935,"R$","")),",","."),0)))</f>
        <v>1</v>
      </c>
      <c r="I935" s="6" t="n">
        <f aca="false">IF($A935="","",IF(ISNUMBER(Base_Bruta!I935),Base_Bruta!I935,IFERROR(_xlfn.NUMBERVALUE(TRIM(SUBSTITUTE(Base_Bruta!I935,"R$","")),",","."),0)))</f>
        <v>910</v>
      </c>
      <c r="J935" s="6" t="n">
        <f aca="false">IF($A935="","",H935*I935)</f>
        <v>910</v>
      </c>
      <c r="K935" s="4" t="str">
        <f aca="false">IF($A935="","",TRIM(Base_Bruta!J935))</f>
        <v>Site</v>
      </c>
      <c r="L935" s="4" t="str">
        <f aca="false">IF($A935="","",TRIM(Base_Bruta!K935))</f>
        <v>C00955</v>
      </c>
      <c r="M935" s="4" t="str">
        <f aca="false">IF($A935="","",_xlfn.XLOOKUP(LOWER(TRIM(Base_Bruta!L935)),DePara_Cidade!$A$2:$A$29,DePara_Cidade!$B$2:$B$29,"REVISAR"))</f>
        <v>Rio de Janeiro</v>
      </c>
      <c r="N935" s="4" t="str">
        <f aca="false">IF($A935="","",UPPER(TRIM(Base_Bruta!M935)))</f>
        <v>RJ</v>
      </c>
      <c r="O935" s="4" t="str">
        <f aca="false">IF($A935="","",_xlfn.XLOOKUP(LOWER(TRIM(Base_Bruta!N935)),DePara_Pais!$A$2:$A$9,DePara_Pais!$B$2:$B$9,"REVISAR"))</f>
        <v>Brasil</v>
      </c>
      <c r="P935" s="4" t="str">
        <f aca="false">IF($A935="","",IF(O935&lt;&gt;"Brasil","Turista Internacional",IF(M935=F935,"Local","Turista Nacional")))</f>
        <v>Local</v>
      </c>
      <c r="Q935" s="7" t="n">
        <f aca="false">IF($A935="","",DATE(YEAR(B935),MONTH(B935),1))</f>
        <v>45778</v>
      </c>
      <c r="R935" s="4" t="str">
        <f aca="false">IF($A935="","",IF(COUNTIF($A$2:$A935,$A935)&gt;1,"Sim","Não"))</f>
        <v>Não</v>
      </c>
      <c r="S935" s="4" t="str">
        <f aca="false">IF(A935="","Descartar - Linha vazia",IF(R935="Sim","Descartar - Duplicado",IF(OR(H935&lt;=0,I935&lt;=0),"Descartar - Qtd/Valor inválido","OK")))</f>
        <v>OK</v>
      </c>
      <c r="T935" s="4" t="str">
        <f aca="false">Base_Bruta!P935</f>
        <v>vendas_RJ.xlsx</v>
      </c>
    </row>
    <row r="936" customFormat="false" ht="15" hidden="false" customHeight="false" outlineLevel="0" collapsed="false">
      <c r="A936" s="4" t="str">
        <f aca="false">IF(Base_Bruta!A936="","",Base_Bruta!A936)</f>
        <v>RJ-000249</v>
      </c>
      <c r="B936" s="5" t="n">
        <f aca="false">IF($A936="","",IF(ISNUMBER(Base_Bruta!B936),Base_Bruta!B936,IF(MID(Base_Bruta!B936,5,1)="-",DATE(VALUE(LEFT(Base_Bruta!B936,4)),VALUE(MID(Base_Bruta!B936,6,2)),VALUE(RIGHT(Base_Bruta!B936,2))),DATE(VALUE(RIGHT(Base_Bruta!B936,4)),VALUE(MID(Base_Bruta!B936,4,2)),VALUE(LEFT(Base_Bruta!B936,2))))))</f>
        <v>45790</v>
      </c>
      <c r="C936" s="5" t="n">
        <f aca="false">IF($A936="","",IF(ISNUMBER(Base_Bruta!C936),Base_Bruta!C936,IF(MID(Base_Bruta!C936,5,1)="-",DATE(VALUE(LEFT(Base_Bruta!C936,4)),VALUE(MID(Base_Bruta!C936,6,2)),VALUE(RIGHT(Base_Bruta!C936,2))),DATE(VALUE(RIGHT(Base_Bruta!C936,4)),VALUE(MID(Base_Bruta!C936,4,2)),VALUE(LEFT(Base_Bruta!C936,2))))))</f>
        <v>45822</v>
      </c>
      <c r="D936" s="4" t="str">
        <f aca="false">IF($A936="","",TRIM(Base_Bruta!D936))</f>
        <v>Show Nacional MPB - Rio</v>
      </c>
      <c r="E936" s="4" t="str">
        <f aca="false">IF($A936="","",_xlfn.XLOOKUP(LOWER(TRIM(Base_Bruta!E936)),DePara_Categoria!$A$2:$A$9,DePara_Categoria!$B$2:$B$9,"REVISAR"))</f>
        <v>Show</v>
      </c>
      <c r="F936" s="4" t="str">
        <f aca="false">IF($A936="","",_xlfn.XLOOKUP(LOWER(TRIM(Base_Bruta!F936)),DePara_Cidade!$A$2:$A$29,DePara_Cidade!$B$2:$B$29,"REVISAR"))</f>
        <v>Rio de Janeiro</v>
      </c>
      <c r="G936" s="4" t="str">
        <f aca="false">IF($A936="","",TRIM(Base_Bruta!G936))</f>
        <v>Meia</v>
      </c>
      <c r="H936" s="4" t="n">
        <f aca="false">IF($A936="","",IF(ISNUMBER(Base_Bruta!H936),Base_Bruta!H936,IFERROR(_xlfn.NUMBERVALUE(TRIM(SUBSTITUTE(Base_Bruta!H936,"R$","")),",","."),0)))</f>
        <v>2</v>
      </c>
      <c r="I936" s="6" t="n">
        <f aca="false">IF($A936="","",IF(ISNUMBER(Base_Bruta!I936),Base_Bruta!I936,IFERROR(_xlfn.NUMBERVALUE(TRIM(SUBSTITUTE(Base_Bruta!I936,"R$","")),",","."),0)))</f>
        <v>305</v>
      </c>
      <c r="J936" s="6" t="n">
        <f aca="false">IF($A936="","",H936*I936)</f>
        <v>610</v>
      </c>
      <c r="K936" s="4" t="str">
        <f aca="false">IF($A936="","",TRIM(Base_Bruta!J936))</f>
        <v>Site</v>
      </c>
      <c r="L936" s="4" t="str">
        <f aca="false">IF($A936="","",TRIM(Base_Bruta!K936))</f>
        <v>C02256</v>
      </c>
      <c r="M936" s="4" t="str">
        <f aca="false">IF($A936="","",_xlfn.XLOOKUP(LOWER(TRIM(Base_Bruta!L936)),DePara_Cidade!$A$2:$A$29,DePara_Cidade!$B$2:$B$29,"REVISAR"))</f>
        <v>Rio de Janeiro</v>
      </c>
      <c r="N936" s="4" t="str">
        <f aca="false">IF($A936="","",UPPER(TRIM(Base_Bruta!M936)))</f>
        <v>RJ</v>
      </c>
      <c r="O936" s="4" t="str">
        <f aca="false">IF($A936="","",_xlfn.XLOOKUP(LOWER(TRIM(Base_Bruta!N936)),DePara_Pais!$A$2:$A$9,DePara_Pais!$B$2:$B$9,"REVISAR"))</f>
        <v>Brasil</v>
      </c>
      <c r="P936" s="4" t="str">
        <f aca="false">IF($A936="","",IF(O936&lt;&gt;"Brasil","Turista Internacional",IF(M936=F936,"Local","Turista Nacional")))</f>
        <v>Local</v>
      </c>
      <c r="Q936" s="7" t="n">
        <f aca="false">IF($A936="","",DATE(YEAR(B936),MONTH(B936),1))</f>
        <v>45778</v>
      </c>
      <c r="R936" s="4" t="str">
        <f aca="false">IF($A936="","",IF(COUNTIF($A$2:$A936,$A936)&gt;1,"Sim","Não"))</f>
        <v>Não</v>
      </c>
      <c r="S936" s="4" t="str">
        <f aca="false">IF(A936="","Descartar - Linha vazia",IF(R936="Sim","Descartar - Duplicado",IF(OR(H936&lt;=0,I936&lt;=0),"Descartar - Qtd/Valor inválido","OK")))</f>
        <v>OK</v>
      </c>
      <c r="T936" s="4" t="str">
        <f aca="false">Base_Bruta!P936</f>
        <v>vendas_RJ.xlsx</v>
      </c>
    </row>
    <row r="937" customFormat="false" ht="15" hidden="false" customHeight="false" outlineLevel="0" collapsed="false">
      <c r="A937" s="4" t="str">
        <f aca="false">IF(Base_Bruta!A937="","",Base_Bruta!A937)</f>
        <v>RJ-000378</v>
      </c>
      <c r="B937" s="5" t="n">
        <f aca="false">IF($A937="","",IF(ISNUMBER(Base_Bruta!B937),Base_Bruta!B937,IF(MID(Base_Bruta!B937,5,1)="-",DATE(VALUE(LEFT(Base_Bruta!B937,4)),VALUE(MID(Base_Bruta!B937,6,2)),VALUE(RIGHT(Base_Bruta!B937,2))),DATE(VALUE(RIGHT(Base_Bruta!B937,4)),VALUE(MID(Base_Bruta!B937,4,2)),VALUE(LEFT(Base_Bruta!B937,2))))))</f>
        <v>45791</v>
      </c>
      <c r="C937" s="5" t="n">
        <f aca="false">IF($A937="","",IF(ISNUMBER(Base_Bruta!C937),Base_Bruta!C937,IF(MID(Base_Bruta!C937,5,1)="-",DATE(VALUE(LEFT(Base_Bruta!C937,4)),VALUE(MID(Base_Bruta!C937,6,2)),VALUE(RIGHT(Base_Bruta!C937,2))),DATE(VALUE(RIGHT(Base_Bruta!C937,4)),VALUE(MID(Base_Bruta!C937,4,2)),VALUE(LEFT(Base_Bruta!C937,2))))))</f>
        <v>45822</v>
      </c>
      <c r="D937" s="4" t="str">
        <f aca="false">IF($A937="","",TRIM(Base_Bruta!D937))</f>
        <v>Show Nacional MPB - Rio</v>
      </c>
      <c r="E937" s="4" t="str">
        <f aca="false">IF($A937="","",_xlfn.XLOOKUP(LOWER(TRIM(Base_Bruta!E937)),DePara_Categoria!$A$2:$A$9,DePara_Categoria!$B$2:$B$9,"REVISAR"))</f>
        <v>Show</v>
      </c>
      <c r="F937" s="4" t="str">
        <f aca="false">IF($A937="","",_xlfn.XLOOKUP(LOWER(TRIM(Base_Bruta!F937)),DePara_Cidade!$A$2:$A$29,DePara_Cidade!$B$2:$B$29,"REVISAR"))</f>
        <v>Rio de Janeiro</v>
      </c>
      <c r="G937" s="4" t="str">
        <f aca="false">IF($A937="","",TRIM(Base_Bruta!G937))</f>
        <v>Inteira</v>
      </c>
      <c r="H937" s="4" t="n">
        <f aca="false">IF($A937="","",IF(ISNUMBER(Base_Bruta!H937),Base_Bruta!H937,IFERROR(_xlfn.NUMBERVALUE(TRIM(SUBSTITUTE(Base_Bruta!H937,"R$","")),",","."),0)))</f>
        <v>3</v>
      </c>
      <c r="I937" s="6" t="n">
        <f aca="false">IF($A937="","",IF(ISNUMBER(Base_Bruta!I937),Base_Bruta!I937,IFERROR(_xlfn.NUMBERVALUE(TRIM(SUBSTITUTE(Base_Bruta!I937,"R$","")),",","."),0)))</f>
        <v>325</v>
      </c>
      <c r="J937" s="6" t="n">
        <f aca="false">IF($A937="","",H937*I937)</f>
        <v>975</v>
      </c>
      <c r="K937" s="4" t="str">
        <f aca="false">IF($A937="","",TRIM(Base_Bruta!J937))</f>
        <v>Site</v>
      </c>
      <c r="L937" s="4" t="str">
        <f aca="false">IF($A937="","",TRIM(Base_Bruta!K937))</f>
        <v>C01231</v>
      </c>
      <c r="M937" s="4" t="str">
        <f aca="false">IF($A937="","",_xlfn.XLOOKUP(LOWER(TRIM(Base_Bruta!L937)),DePara_Cidade!$A$2:$A$29,DePara_Cidade!$B$2:$B$29,"REVISAR"))</f>
        <v>Rio de Janeiro</v>
      </c>
      <c r="N937" s="4" t="str">
        <f aca="false">IF($A937="","",UPPER(TRIM(Base_Bruta!M937)))</f>
        <v>RJ</v>
      </c>
      <c r="O937" s="4" t="str">
        <f aca="false">IF($A937="","",_xlfn.XLOOKUP(LOWER(TRIM(Base_Bruta!N937)),DePara_Pais!$A$2:$A$9,DePara_Pais!$B$2:$B$9,"REVISAR"))</f>
        <v>Brasil</v>
      </c>
      <c r="P937" s="4" t="str">
        <f aca="false">IF($A937="","",IF(O937&lt;&gt;"Brasil","Turista Internacional",IF(M937=F937,"Local","Turista Nacional")))</f>
        <v>Local</v>
      </c>
      <c r="Q937" s="7" t="n">
        <f aca="false">IF($A937="","",DATE(YEAR(B937),MONTH(B937),1))</f>
        <v>45778</v>
      </c>
      <c r="R937" s="4" t="str">
        <f aca="false">IF($A937="","",IF(COUNTIF($A$2:$A937,$A937)&gt;1,"Sim","Não"))</f>
        <v>Não</v>
      </c>
      <c r="S937" s="4" t="str">
        <f aca="false">IF(A937="","Descartar - Linha vazia",IF(R937="Sim","Descartar - Duplicado",IF(OR(H937&lt;=0,I937&lt;=0),"Descartar - Qtd/Valor inválido","OK")))</f>
        <v>OK</v>
      </c>
      <c r="T937" s="4" t="str">
        <f aca="false">Base_Bruta!P937</f>
        <v>vendas_RJ.xlsx</v>
      </c>
    </row>
    <row r="938" customFormat="false" ht="15" hidden="false" customHeight="false" outlineLevel="0" collapsed="false">
      <c r="A938" s="4" t="str">
        <f aca="false">IF(Base_Bruta!A938="","",Base_Bruta!A938)</f>
        <v>RJ-000576</v>
      </c>
      <c r="B938" s="5" t="n">
        <f aca="false">IF($A938="","",IF(ISNUMBER(Base_Bruta!B938),Base_Bruta!B938,IF(MID(Base_Bruta!B938,5,1)="-",DATE(VALUE(LEFT(Base_Bruta!B938,4)),VALUE(MID(Base_Bruta!B938,6,2)),VALUE(RIGHT(Base_Bruta!B938,2))),DATE(VALUE(RIGHT(Base_Bruta!B938,4)),VALUE(MID(Base_Bruta!B938,4,2)),VALUE(LEFT(Base_Bruta!B938,2))))))</f>
        <v>45793</v>
      </c>
      <c r="C938" s="5" t="n">
        <f aca="false">IF($A938="","",IF(ISNUMBER(Base_Bruta!C938),Base_Bruta!C938,IF(MID(Base_Bruta!C938,5,1)="-",DATE(VALUE(LEFT(Base_Bruta!C938,4)),VALUE(MID(Base_Bruta!C938,6,2)),VALUE(RIGHT(Base_Bruta!C938,2))),DATE(VALUE(RIGHT(Base_Bruta!C938,4)),VALUE(MID(Base_Bruta!C938,4,2)),VALUE(LEFT(Base_Bruta!C938,2))))))</f>
        <v>45794</v>
      </c>
      <c r="D938" s="4" t="str">
        <f aca="false">IF($A938="","",TRIM(Base_Bruta!D938))</f>
        <v>Cinema Barra - Sessões</v>
      </c>
      <c r="E938" s="4" t="str">
        <f aca="false">IF($A938="","",_xlfn.XLOOKUP(LOWER(TRIM(Base_Bruta!E938)),DePara_Categoria!$A$2:$A$9,DePara_Categoria!$B$2:$B$9,"REVISAR"))</f>
        <v>Cinema</v>
      </c>
      <c r="F938" s="4" t="str">
        <f aca="false">IF($A938="","",_xlfn.XLOOKUP(LOWER(TRIM(Base_Bruta!F938)),DePara_Cidade!$A$2:$A$29,DePara_Cidade!$B$2:$B$29,"REVISAR"))</f>
        <v>Rio de Janeiro</v>
      </c>
      <c r="G938" s="4" t="str">
        <f aca="false">IF($A938="","",TRIM(Base_Bruta!G938))</f>
        <v>Meia</v>
      </c>
      <c r="H938" s="4" t="n">
        <f aca="false">IF($A938="","",IF(ISNUMBER(Base_Bruta!H938),Base_Bruta!H938,IFERROR(_xlfn.NUMBERVALUE(TRIM(SUBSTITUTE(Base_Bruta!H938,"R$","")),",","."),0)))</f>
        <v>1</v>
      </c>
      <c r="I938" s="6" t="n">
        <f aca="false">IF($A938="","",IF(ISNUMBER(Base_Bruta!I938),Base_Bruta!I938,IFERROR(_xlfn.NUMBERVALUE(TRIM(SUBSTITUTE(Base_Bruta!I938,"R$","")),",","."),0)))</f>
        <v>20</v>
      </c>
      <c r="J938" s="6" t="n">
        <f aca="false">IF($A938="","",H938*I938)</f>
        <v>20</v>
      </c>
      <c r="K938" s="4" t="str">
        <f aca="false">IF($A938="","",TRIM(Base_Bruta!J938))</f>
        <v>Parceiro</v>
      </c>
      <c r="L938" s="4" t="str">
        <f aca="false">IF($A938="","",TRIM(Base_Bruta!K938))</f>
        <v>C00541</v>
      </c>
      <c r="M938" s="4" t="str">
        <f aca="false">IF($A938="","",_xlfn.XLOOKUP(LOWER(TRIM(Base_Bruta!L938)),DePara_Cidade!$A$2:$A$29,DePara_Cidade!$B$2:$B$29,"REVISAR"))</f>
        <v>Rio de Janeiro</v>
      </c>
      <c r="N938" s="4" t="str">
        <f aca="false">IF($A938="","",UPPER(TRIM(Base_Bruta!M938)))</f>
        <v>RJ</v>
      </c>
      <c r="O938" s="4" t="str">
        <f aca="false">IF($A938="","",_xlfn.XLOOKUP(LOWER(TRIM(Base_Bruta!N938)),DePara_Pais!$A$2:$A$9,DePara_Pais!$B$2:$B$9,"REVISAR"))</f>
        <v>Brasil</v>
      </c>
      <c r="P938" s="4" t="str">
        <f aca="false">IF($A938="","",IF(O938&lt;&gt;"Brasil","Turista Internacional",IF(M938=F938,"Local","Turista Nacional")))</f>
        <v>Local</v>
      </c>
      <c r="Q938" s="7" t="n">
        <f aca="false">IF($A938="","",DATE(YEAR(B938),MONTH(B938),1))</f>
        <v>45778</v>
      </c>
      <c r="R938" s="4" t="str">
        <f aca="false">IF($A938="","",IF(COUNTIF($A$2:$A938,$A938)&gt;1,"Sim","Não"))</f>
        <v>Não</v>
      </c>
      <c r="S938" s="4" t="str">
        <f aca="false">IF(A938="","Descartar - Linha vazia",IF(R938="Sim","Descartar - Duplicado",IF(OR(H938&lt;=0,I938&lt;=0),"Descartar - Qtd/Valor inválido","OK")))</f>
        <v>OK</v>
      </c>
      <c r="T938" s="4" t="str">
        <f aca="false">Base_Bruta!P938</f>
        <v>vendas_RJ.xlsx</v>
      </c>
    </row>
    <row r="939" customFormat="false" ht="15" hidden="false" customHeight="false" outlineLevel="0" collapsed="false">
      <c r="A939" s="4" t="str">
        <f aca="false">IF(Base_Bruta!A939="","",Base_Bruta!A939)</f>
        <v>RJ-000608</v>
      </c>
      <c r="B939" s="5" t="n">
        <f aca="false">IF($A939="","",IF(ISNUMBER(Base_Bruta!B939),Base_Bruta!B939,IF(MID(Base_Bruta!B939,5,1)="-",DATE(VALUE(LEFT(Base_Bruta!B939,4)),VALUE(MID(Base_Bruta!B939,6,2)),VALUE(RIGHT(Base_Bruta!B939,2))),DATE(VALUE(RIGHT(Base_Bruta!B939,4)),VALUE(MID(Base_Bruta!B939,4,2)),VALUE(LEFT(Base_Bruta!B939,2))))))</f>
        <v>45793</v>
      </c>
      <c r="C939" s="5" t="n">
        <f aca="false">IF($A939="","",IF(ISNUMBER(Base_Bruta!C939),Base_Bruta!C939,IF(MID(Base_Bruta!C939,5,1)="-",DATE(VALUE(LEFT(Base_Bruta!C939,4)),VALUE(MID(Base_Bruta!C939,6,2)),VALUE(RIGHT(Base_Bruta!C939,2))),DATE(VALUE(RIGHT(Base_Bruta!C939,4)),VALUE(MID(Base_Bruta!C939,4,2)),VALUE(LEFT(Base_Bruta!C939,2))))))</f>
        <v>45795</v>
      </c>
      <c r="D939" s="4" t="str">
        <f aca="false">IF($A939="","",TRIM(Base_Bruta!D939))</f>
        <v>Cinema Barra - Sessões</v>
      </c>
      <c r="E939" s="4" t="str">
        <f aca="false">IF($A939="","",_xlfn.XLOOKUP(LOWER(TRIM(Base_Bruta!E939)),DePara_Categoria!$A$2:$A$9,DePara_Categoria!$B$2:$B$9,"REVISAR"))</f>
        <v>Cinema</v>
      </c>
      <c r="F939" s="4" t="str">
        <f aca="false">IF($A939="","",_xlfn.XLOOKUP(LOWER(TRIM(Base_Bruta!F939)),DePara_Cidade!$A$2:$A$29,DePara_Cidade!$B$2:$B$29,"REVISAR"))</f>
        <v>Rio de Janeiro</v>
      </c>
      <c r="G939" s="4" t="str">
        <f aca="false">IF($A939="","",TRIM(Base_Bruta!G939))</f>
        <v>Inteira</v>
      </c>
      <c r="H939" s="4" t="n">
        <f aca="false">IF($A939="","",IF(ISNUMBER(Base_Bruta!H939),Base_Bruta!H939,IFERROR(_xlfn.NUMBERVALUE(TRIM(SUBSTITUTE(Base_Bruta!H939,"R$","")),",","."),0)))</f>
        <v>3</v>
      </c>
      <c r="I939" s="6" t="n">
        <f aca="false">IF($A939="","",IF(ISNUMBER(Base_Bruta!I939),Base_Bruta!I939,IFERROR(_xlfn.NUMBERVALUE(TRIM(SUBSTITUTE(Base_Bruta!I939,"R$","")),",","."),0)))</f>
        <v>30</v>
      </c>
      <c r="J939" s="6" t="n">
        <f aca="false">IF($A939="","",H939*I939)</f>
        <v>90</v>
      </c>
      <c r="K939" s="4" t="str">
        <f aca="false">IF($A939="","",TRIM(Base_Bruta!J939))</f>
        <v>App</v>
      </c>
      <c r="L939" s="4" t="str">
        <f aca="false">IF($A939="","",TRIM(Base_Bruta!K939))</f>
        <v>C01588</v>
      </c>
      <c r="M939" s="4" t="str">
        <f aca="false">IF($A939="","",_xlfn.XLOOKUP(LOWER(TRIM(Base_Bruta!L939)),DePara_Cidade!$A$2:$A$29,DePara_Cidade!$B$2:$B$29,"REVISAR"))</f>
        <v>Rio de Janeiro</v>
      </c>
      <c r="N939" s="4" t="str">
        <f aca="false">IF($A939="","",UPPER(TRIM(Base_Bruta!M939)))</f>
        <v>RJ</v>
      </c>
      <c r="O939" s="4" t="str">
        <f aca="false">IF($A939="","",_xlfn.XLOOKUP(LOWER(TRIM(Base_Bruta!N939)),DePara_Pais!$A$2:$A$9,DePara_Pais!$B$2:$B$9,"REVISAR"))</f>
        <v>Brasil</v>
      </c>
      <c r="P939" s="4" t="str">
        <f aca="false">IF($A939="","",IF(O939&lt;&gt;"Brasil","Turista Internacional",IF(M939=F939,"Local","Turista Nacional")))</f>
        <v>Local</v>
      </c>
      <c r="Q939" s="7" t="n">
        <f aca="false">IF($A939="","",DATE(YEAR(B939),MONTH(B939),1))</f>
        <v>45778</v>
      </c>
      <c r="R939" s="4" t="str">
        <f aca="false">IF($A939="","",IF(COUNTIF($A$2:$A939,$A939)&gt;1,"Sim","Não"))</f>
        <v>Não</v>
      </c>
      <c r="S939" s="4" t="str">
        <f aca="false">IF(A939="","Descartar - Linha vazia",IF(R939="Sim","Descartar - Duplicado",IF(OR(H939&lt;=0,I939&lt;=0),"Descartar - Qtd/Valor inválido","OK")))</f>
        <v>OK</v>
      </c>
      <c r="T939" s="4" t="str">
        <f aca="false">Base_Bruta!P939</f>
        <v>vendas_RJ.xlsx</v>
      </c>
    </row>
    <row r="940" customFormat="false" ht="15" hidden="false" customHeight="false" outlineLevel="0" collapsed="false">
      <c r="A940" s="4" t="str">
        <f aca="false">IF(Base_Bruta!A940="","",Base_Bruta!A940)</f>
        <v>RJ-000695</v>
      </c>
      <c r="B940" s="5" t="n">
        <f aca="false">IF($A940="","",IF(ISNUMBER(Base_Bruta!B940),Base_Bruta!B940,IF(MID(Base_Bruta!B940,5,1)="-",DATE(VALUE(LEFT(Base_Bruta!B940,4)),VALUE(MID(Base_Bruta!B940,6,2)),VALUE(RIGHT(Base_Bruta!B940,2))),DATE(VALUE(RIGHT(Base_Bruta!B940,4)),VALUE(MID(Base_Bruta!B940,4,2)),VALUE(LEFT(Base_Bruta!B940,2))))))</f>
        <v>45795</v>
      </c>
      <c r="C940" s="5" t="n">
        <f aca="false">IF($A940="","",IF(ISNUMBER(Base_Bruta!C940),Base_Bruta!C940,IF(MID(Base_Bruta!C940,5,1)="-",DATE(VALUE(LEFT(Base_Bruta!C940,4)),VALUE(MID(Base_Bruta!C940,6,2)),VALUE(RIGHT(Base_Bruta!C940,2))),DATE(VALUE(RIGHT(Base_Bruta!C940,4)),VALUE(MID(Base_Bruta!C940,4,2)),VALUE(LEFT(Base_Bruta!C940,2))))))</f>
        <v>45796</v>
      </c>
      <c r="D940" s="4" t="str">
        <f aca="false">IF($A940="","",TRIM(Base_Bruta!D940))</f>
        <v>Cinema Barra - Sessões</v>
      </c>
      <c r="E940" s="4" t="str">
        <f aca="false">IF($A940="","",_xlfn.XLOOKUP(LOWER(TRIM(Base_Bruta!E940)),DePara_Categoria!$A$2:$A$9,DePara_Categoria!$B$2:$B$9,"REVISAR"))</f>
        <v>Cinema</v>
      </c>
      <c r="F940" s="4" t="str">
        <f aca="false">IF($A940="","",_xlfn.XLOOKUP(LOWER(TRIM(Base_Bruta!F940)),DePara_Cidade!$A$2:$A$29,DePara_Cidade!$B$2:$B$29,"REVISAR"))</f>
        <v>Rio de Janeiro</v>
      </c>
      <c r="G940" s="4" t="str">
        <f aca="false">IF($A940="","",TRIM(Base_Bruta!G940))</f>
        <v>Meia</v>
      </c>
      <c r="H940" s="4" t="n">
        <f aca="false">IF($A940="","",IF(ISNUMBER(Base_Bruta!H940),Base_Bruta!H940,IFERROR(_xlfn.NUMBERVALUE(TRIM(SUBSTITUTE(Base_Bruta!H940,"R$","")),",","."),0)))</f>
        <v>2</v>
      </c>
      <c r="I940" s="6" t="n">
        <f aca="false">IF($A940="","",IF(ISNUMBER(Base_Bruta!I940),Base_Bruta!I940,IFERROR(_xlfn.NUMBERVALUE(TRIM(SUBSTITUTE(Base_Bruta!I940,"R$","")),",","."),0)))</f>
        <v>17.5</v>
      </c>
      <c r="J940" s="6" t="n">
        <f aca="false">IF($A940="","",H940*I940)</f>
        <v>35</v>
      </c>
      <c r="K940" s="4" t="str">
        <f aca="false">IF($A940="","",TRIM(Base_Bruta!J940))</f>
        <v>Parceiro</v>
      </c>
      <c r="L940" s="4" t="str">
        <f aca="false">IF($A940="","",TRIM(Base_Bruta!K940))</f>
        <v>C00621</v>
      </c>
      <c r="M940" s="4" t="str">
        <f aca="false">IF($A940="","",_xlfn.XLOOKUP(LOWER(TRIM(Base_Bruta!L940)),DePara_Cidade!$A$2:$A$29,DePara_Cidade!$B$2:$B$29,"REVISAR"))</f>
        <v>Salvador</v>
      </c>
      <c r="N940" s="4" t="str">
        <f aca="false">IF($A940="","",UPPER(TRIM(Base_Bruta!M940)))</f>
        <v>BA</v>
      </c>
      <c r="O940" s="4" t="str">
        <f aca="false">IF($A940="","",_xlfn.XLOOKUP(LOWER(TRIM(Base_Bruta!N940)),DePara_Pais!$A$2:$A$9,DePara_Pais!$B$2:$B$9,"REVISAR"))</f>
        <v>Brasil</v>
      </c>
      <c r="P940" s="4" t="str">
        <f aca="false">IF($A940="","",IF(O940&lt;&gt;"Brasil","Turista Internacional",IF(M940=F940,"Local","Turista Nacional")))</f>
        <v>Turista Nacional</v>
      </c>
      <c r="Q940" s="7" t="n">
        <f aca="false">IF($A940="","",DATE(YEAR(B940),MONTH(B940),1))</f>
        <v>45778</v>
      </c>
      <c r="R940" s="4" t="str">
        <f aca="false">IF($A940="","",IF(COUNTIF($A$2:$A940,$A940)&gt;1,"Sim","Não"))</f>
        <v>Não</v>
      </c>
      <c r="S940" s="4" t="str">
        <f aca="false">IF(A940="","Descartar - Linha vazia",IF(R940="Sim","Descartar - Duplicado",IF(OR(H940&lt;=0,I940&lt;=0),"Descartar - Qtd/Valor inválido","OK")))</f>
        <v>OK</v>
      </c>
      <c r="T940" s="4" t="str">
        <f aca="false">Base_Bruta!P940</f>
        <v>vendas_RJ.xlsx</v>
      </c>
    </row>
    <row r="941" customFormat="false" ht="15" hidden="false" customHeight="false" outlineLevel="0" collapsed="false">
      <c r="A941" s="4" t="str">
        <f aca="false">IF(Base_Bruta!A941="","",Base_Bruta!A941)</f>
        <v>RJ-000273</v>
      </c>
      <c r="B941" s="5" t="n">
        <f aca="false">IF($A941="","",IF(ISNUMBER(Base_Bruta!B941),Base_Bruta!B941,IF(MID(Base_Bruta!B941,5,1)="-",DATE(VALUE(LEFT(Base_Bruta!B941,4)),VALUE(MID(Base_Bruta!B941,6,2)),VALUE(RIGHT(Base_Bruta!B941,2))),DATE(VALUE(RIGHT(Base_Bruta!B941,4)),VALUE(MID(Base_Bruta!B941,4,2)),VALUE(LEFT(Base_Bruta!B941,2))))))</f>
        <v>45796</v>
      </c>
      <c r="C941" s="5" t="n">
        <f aca="false">IF($A941="","",IF(ISNUMBER(Base_Bruta!C941),Base_Bruta!C941,IF(MID(Base_Bruta!C941,5,1)="-",DATE(VALUE(LEFT(Base_Bruta!C941,4)),VALUE(MID(Base_Bruta!C941,6,2)),VALUE(RIGHT(Base_Bruta!C941,2))),DATE(VALUE(RIGHT(Base_Bruta!C941,4)),VALUE(MID(Base_Bruta!C941,4,2)),VALUE(LEFT(Base_Bruta!C941,2))))))</f>
        <v>45822</v>
      </c>
      <c r="D941" s="4" t="str">
        <f aca="false">IF($A941="","",TRIM(Base_Bruta!D941))</f>
        <v>Show Nacional MPB - Rio</v>
      </c>
      <c r="E941" s="4" t="str">
        <f aca="false">IF($A941="","",_xlfn.XLOOKUP(LOWER(TRIM(Base_Bruta!E941)),DePara_Categoria!$A$2:$A$9,DePara_Categoria!$B$2:$B$9,"REVISAR"))</f>
        <v>Show</v>
      </c>
      <c r="F941" s="4" t="str">
        <f aca="false">IF($A941="","",_xlfn.XLOOKUP(LOWER(TRIM(Base_Bruta!F941)),DePara_Cidade!$A$2:$A$29,DePara_Cidade!$B$2:$B$29,"REVISAR"))</f>
        <v>Rio de Janeiro</v>
      </c>
      <c r="G941" s="4" t="str">
        <f aca="false">IF($A941="","",TRIM(Base_Bruta!G941))</f>
        <v>Meia</v>
      </c>
      <c r="H941" s="4" t="n">
        <f aca="false">IF($A941="","",IF(ISNUMBER(Base_Bruta!H941),Base_Bruta!H941,IFERROR(_xlfn.NUMBERVALUE(TRIM(SUBSTITUTE(Base_Bruta!H941,"R$","")),",","."),0)))</f>
        <v>2</v>
      </c>
      <c r="I941" s="6" t="n">
        <f aca="false">IF($A941="","",IF(ISNUMBER(Base_Bruta!I941),Base_Bruta!I941,IFERROR(_xlfn.NUMBERVALUE(TRIM(SUBSTITUTE(Base_Bruta!I941,"R$","")),",","."),0)))</f>
        <v>152.5</v>
      </c>
      <c r="J941" s="6" t="n">
        <f aca="false">IF($A941="","",H941*I941)</f>
        <v>305</v>
      </c>
      <c r="K941" s="4" t="str">
        <f aca="false">IF($A941="","",TRIM(Base_Bruta!J941))</f>
        <v>Site</v>
      </c>
      <c r="L941" s="4" t="str">
        <f aca="false">IF($A941="","",TRIM(Base_Bruta!K941))</f>
        <v>C01698</v>
      </c>
      <c r="M941" s="4" t="str">
        <f aca="false">IF($A941="","",_xlfn.XLOOKUP(LOWER(TRIM(Base_Bruta!L941)),DePara_Cidade!$A$2:$A$29,DePara_Cidade!$B$2:$B$29,"REVISAR"))</f>
        <v>Rio de Janeiro</v>
      </c>
      <c r="N941" s="4" t="str">
        <f aca="false">IF($A941="","",UPPER(TRIM(Base_Bruta!M941)))</f>
        <v>RJ</v>
      </c>
      <c r="O941" s="4" t="str">
        <f aca="false">IF($A941="","",_xlfn.XLOOKUP(LOWER(TRIM(Base_Bruta!N941)),DePara_Pais!$A$2:$A$9,DePara_Pais!$B$2:$B$9,"REVISAR"))</f>
        <v>Brasil</v>
      </c>
      <c r="P941" s="4" t="str">
        <f aca="false">IF($A941="","",IF(O941&lt;&gt;"Brasil","Turista Internacional",IF(M941=F941,"Local","Turista Nacional")))</f>
        <v>Local</v>
      </c>
      <c r="Q941" s="7" t="n">
        <f aca="false">IF($A941="","",DATE(YEAR(B941),MONTH(B941),1))</f>
        <v>45778</v>
      </c>
      <c r="R941" s="4" t="str">
        <f aca="false">IF($A941="","",IF(COUNTIF($A$2:$A941,$A941)&gt;1,"Sim","Não"))</f>
        <v>Não</v>
      </c>
      <c r="S941" s="4" t="str">
        <f aca="false">IF(A941="","Descartar - Linha vazia",IF(R941="Sim","Descartar - Duplicado",IF(OR(H941&lt;=0,I941&lt;=0),"Descartar - Qtd/Valor inválido","OK")))</f>
        <v>OK</v>
      </c>
      <c r="T941" s="4" t="str">
        <f aca="false">Base_Bruta!P941</f>
        <v>vendas_RJ.xlsx</v>
      </c>
    </row>
    <row r="942" customFormat="false" ht="15" hidden="false" customHeight="false" outlineLevel="0" collapsed="false">
      <c r="A942" s="4" t="str">
        <f aca="false">IF(Base_Bruta!A942="","",Base_Bruta!A942)</f>
        <v>RJ-000232</v>
      </c>
      <c r="B942" s="5" t="n">
        <f aca="false">IF($A942="","",IF(ISNUMBER(Base_Bruta!B942),Base_Bruta!B942,IF(MID(Base_Bruta!B942,5,1)="-",DATE(VALUE(LEFT(Base_Bruta!B942,4)),VALUE(MID(Base_Bruta!B942,6,2)),VALUE(RIGHT(Base_Bruta!B942,2))),DATE(VALUE(RIGHT(Base_Bruta!B942,4)),VALUE(MID(Base_Bruta!B942,4,2)),VALUE(LEFT(Base_Bruta!B942,2))))))</f>
        <v>45797</v>
      </c>
      <c r="C942" s="5" t="n">
        <f aca="false">IF($A942="","",IF(ISNUMBER(Base_Bruta!C942),Base_Bruta!C942,IF(MID(Base_Bruta!C942,5,1)="-",DATE(VALUE(LEFT(Base_Bruta!C942,4)),VALUE(MID(Base_Bruta!C942,6,2)),VALUE(RIGHT(Base_Bruta!C942,2))),DATE(VALUE(RIGHT(Base_Bruta!C942,4)),VALUE(MID(Base_Bruta!C942,4,2)),VALUE(LEFT(Base_Bruta!C942,2))))))</f>
        <v>45822</v>
      </c>
      <c r="D942" s="4" t="str">
        <f aca="false">IF($A942="","",TRIM(Base_Bruta!D942))</f>
        <v>Show Nacional MPB - Rio</v>
      </c>
      <c r="E942" s="4" t="str">
        <f aca="false">IF($A942="","",_xlfn.XLOOKUP(LOWER(TRIM(Base_Bruta!E942)),DePara_Categoria!$A$2:$A$9,DePara_Categoria!$B$2:$B$9,"REVISAR"))</f>
        <v>Show</v>
      </c>
      <c r="F942" s="4" t="str">
        <f aca="false">IF($A942="","",_xlfn.XLOOKUP(LOWER(TRIM(Base_Bruta!F942)),DePara_Cidade!$A$2:$A$29,DePara_Cidade!$B$2:$B$29,"REVISAR"))</f>
        <v>Rio de Janeiro</v>
      </c>
      <c r="G942" s="4" t="str">
        <f aca="false">IF($A942="","",TRIM(Base_Bruta!G942))</f>
        <v>Meia</v>
      </c>
      <c r="H942" s="4" t="n">
        <f aca="false">IF($A942="","",IF(ISNUMBER(Base_Bruta!H942),Base_Bruta!H942,IFERROR(_xlfn.NUMBERVALUE(TRIM(SUBSTITUTE(Base_Bruta!H942,"R$","")),",","."),0)))</f>
        <v>4</v>
      </c>
      <c r="I942" s="6" t="n">
        <f aca="false">IF($A942="","",IF(ISNUMBER(Base_Bruta!I942),Base_Bruta!I942,IFERROR(_xlfn.NUMBERVALUE(TRIM(SUBSTITUTE(Base_Bruta!I942,"R$","")),",","."),0)))</f>
        <v>337.5</v>
      </c>
      <c r="J942" s="6" t="n">
        <f aca="false">IF($A942="","",H942*I942)</f>
        <v>1350</v>
      </c>
      <c r="K942" s="4" t="str">
        <f aca="false">IF($A942="","",TRIM(Base_Bruta!J942))</f>
        <v>App</v>
      </c>
      <c r="L942" s="4" t="str">
        <f aca="false">IF($A942="","",TRIM(Base_Bruta!K942))</f>
        <v>C02213</v>
      </c>
      <c r="M942" s="4" t="str">
        <f aca="false">IF($A942="","",_xlfn.XLOOKUP(LOWER(TRIM(Base_Bruta!L942)),DePara_Cidade!$A$2:$A$29,DePara_Cidade!$B$2:$B$29,"REVISAR"))</f>
        <v>Rio de Janeiro</v>
      </c>
      <c r="N942" s="4" t="str">
        <f aca="false">IF($A942="","",UPPER(TRIM(Base_Bruta!M942)))</f>
        <v>RJ</v>
      </c>
      <c r="O942" s="4" t="str">
        <f aca="false">IF($A942="","",_xlfn.XLOOKUP(LOWER(TRIM(Base_Bruta!N942)),DePara_Pais!$A$2:$A$9,DePara_Pais!$B$2:$B$9,"REVISAR"))</f>
        <v>Brasil</v>
      </c>
      <c r="P942" s="4" t="str">
        <f aca="false">IF($A942="","",IF(O942&lt;&gt;"Brasil","Turista Internacional",IF(M942=F942,"Local","Turista Nacional")))</f>
        <v>Local</v>
      </c>
      <c r="Q942" s="7" t="n">
        <f aca="false">IF($A942="","",DATE(YEAR(B942),MONTH(B942),1))</f>
        <v>45778</v>
      </c>
      <c r="R942" s="4" t="str">
        <f aca="false">IF($A942="","",IF(COUNTIF($A$2:$A942,$A942)&gt;1,"Sim","Não"))</f>
        <v>Não</v>
      </c>
      <c r="S942" s="4" t="str">
        <f aca="false">IF(A942="","Descartar - Linha vazia",IF(R942="Sim","Descartar - Duplicado",IF(OR(H942&lt;=0,I942&lt;=0),"Descartar - Qtd/Valor inválido","OK")))</f>
        <v>OK</v>
      </c>
      <c r="T942" s="4" t="str">
        <f aca="false">Base_Bruta!P942</f>
        <v>vendas_RJ.xlsx</v>
      </c>
    </row>
    <row r="943" customFormat="false" ht="15" hidden="false" customHeight="false" outlineLevel="0" collapsed="false">
      <c r="A943" s="4" t="str">
        <f aca="false">IF(Base_Bruta!A943="","",Base_Bruta!A943)</f>
        <v>RJ-000288</v>
      </c>
      <c r="B943" s="5" t="n">
        <f aca="false">IF($A943="","",IF(ISNUMBER(Base_Bruta!B943),Base_Bruta!B943,IF(MID(Base_Bruta!B943,5,1)="-",DATE(VALUE(LEFT(Base_Bruta!B943,4)),VALUE(MID(Base_Bruta!B943,6,2)),VALUE(RIGHT(Base_Bruta!B943,2))),DATE(VALUE(RIGHT(Base_Bruta!B943,4)),VALUE(MID(Base_Bruta!B943,4,2)),VALUE(LEFT(Base_Bruta!B943,2))))))</f>
        <v>45798</v>
      </c>
      <c r="C943" s="5" t="n">
        <f aca="false">IF($A943="","",IF(ISNUMBER(Base_Bruta!C943),Base_Bruta!C943,IF(MID(Base_Bruta!C943,5,1)="-",DATE(VALUE(LEFT(Base_Bruta!C943,4)),VALUE(MID(Base_Bruta!C943,6,2)),VALUE(RIGHT(Base_Bruta!C943,2))),DATE(VALUE(RIGHT(Base_Bruta!C943,4)),VALUE(MID(Base_Bruta!C943,4,2)),VALUE(LEFT(Base_Bruta!C943,2))))))</f>
        <v>45822</v>
      </c>
      <c r="D943" s="4" t="str">
        <f aca="false">IF($A943="","",TRIM(Base_Bruta!D943))</f>
        <v>Show Nacional MPB - Rio</v>
      </c>
      <c r="E943" s="4" t="str">
        <f aca="false">IF($A943="","",_xlfn.XLOOKUP(LOWER(TRIM(Base_Bruta!E943)),DePara_Categoria!$A$2:$A$9,DePara_Categoria!$B$2:$B$9,"REVISAR"))</f>
        <v>Show</v>
      </c>
      <c r="F943" s="4" t="str">
        <f aca="false">IF($A943="","",_xlfn.XLOOKUP(LOWER(TRIM(Base_Bruta!F943)),DePara_Cidade!$A$2:$A$29,DePara_Cidade!$B$2:$B$29,"REVISAR"))</f>
        <v>Rio de Janeiro</v>
      </c>
      <c r="G943" s="4" t="str">
        <f aca="false">IF($A943="","",TRIM(Base_Bruta!G943))</f>
        <v>Meia</v>
      </c>
      <c r="H943" s="4" t="n">
        <f aca="false">IF($A943="","",IF(ISNUMBER(Base_Bruta!H943),Base_Bruta!H943,IFERROR(_xlfn.NUMBERVALUE(TRIM(SUBSTITUTE(Base_Bruta!H943,"R$","")),",","."),0)))</f>
        <v>1</v>
      </c>
      <c r="I943" s="6" t="n">
        <f aca="false">IF($A943="","",IF(ISNUMBER(Base_Bruta!I943),Base_Bruta!I943,IFERROR(_xlfn.NUMBERVALUE(TRIM(SUBSTITUTE(Base_Bruta!I943,"R$","")),",","."),0)))</f>
        <v>257.5</v>
      </c>
      <c r="J943" s="6" t="n">
        <f aca="false">IF($A943="","",H943*I943)</f>
        <v>257.5</v>
      </c>
      <c r="K943" s="4" t="str">
        <f aca="false">IF($A943="","",TRIM(Base_Bruta!J943))</f>
        <v>Parceiro</v>
      </c>
      <c r="L943" s="4" t="str">
        <f aca="false">IF($A943="","",TRIM(Base_Bruta!K943))</f>
        <v>C00040</v>
      </c>
      <c r="M943" s="4" t="str">
        <f aca="false">IF($A943="","",_xlfn.XLOOKUP(LOWER(TRIM(Base_Bruta!L943)),DePara_Cidade!$A$2:$A$29,DePara_Cidade!$B$2:$B$29,"REVISAR"))</f>
        <v>Curitiba</v>
      </c>
      <c r="N943" s="4" t="str">
        <f aca="false">IF($A943="","",UPPER(TRIM(Base_Bruta!M943)))</f>
        <v>PR</v>
      </c>
      <c r="O943" s="4" t="str">
        <f aca="false">IF($A943="","",_xlfn.XLOOKUP(LOWER(TRIM(Base_Bruta!N943)),DePara_Pais!$A$2:$A$9,DePara_Pais!$B$2:$B$9,"REVISAR"))</f>
        <v>Brasil</v>
      </c>
      <c r="P943" s="4" t="str">
        <f aca="false">IF($A943="","",IF(O943&lt;&gt;"Brasil","Turista Internacional",IF(M943=F943,"Local","Turista Nacional")))</f>
        <v>Turista Nacional</v>
      </c>
      <c r="Q943" s="7" t="n">
        <f aca="false">IF($A943="","",DATE(YEAR(B943),MONTH(B943),1))</f>
        <v>45778</v>
      </c>
      <c r="R943" s="4" t="str">
        <f aca="false">IF($A943="","",IF(COUNTIF($A$2:$A943,$A943)&gt;1,"Sim","Não"))</f>
        <v>Não</v>
      </c>
      <c r="S943" s="4" t="str">
        <f aca="false">IF(A943="","Descartar - Linha vazia",IF(R943="Sim","Descartar - Duplicado",IF(OR(H943&lt;=0,I943&lt;=0),"Descartar - Qtd/Valor inválido","OK")))</f>
        <v>OK</v>
      </c>
      <c r="T943" s="4" t="str">
        <f aca="false">Base_Bruta!P943</f>
        <v>vendas_RJ.xlsx</v>
      </c>
    </row>
    <row r="944" customFormat="false" ht="15" hidden="false" customHeight="false" outlineLevel="0" collapsed="false">
      <c r="A944" s="4" t="str">
        <f aca="false">IF(Base_Bruta!A944="","",Base_Bruta!A944)</f>
        <v>RJ-000325</v>
      </c>
      <c r="B944" s="5" t="n">
        <f aca="false">IF($A944="","",IF(ISNUMBER(Base_Bruta!B944),Base_Bruta!B944,IF(MID(Base_Bruta!B944,5,1)="-",DATE(VALUE(LEFT(Base_Bruta!B944,4)),VALUE(MID(Base_Bruta!B944,6,2)),VALUE(RIGHT(Base_Bruta!B944,2))),DATE(VALUE(RIGHT(Base_Bruta!B944,4)),VALUE(MID(Base_Bruta!B944,4,2)),VALUE(LEFT(Base_Bruta!B944,2))))))</f>
        <v>45798</v>
      </c>
      <c r="C944" s="5" t="n">
        <f aca="false">IF($A944="","",IF(ISNUMBER(Base_Bruta!C944),Base_Bruta!C944,IF(MID(Base_Bruta!C944,5,1)="-",DATE(VALUE(LEFT(Base_Bruta!C944,4)),VALUE(MID(Base_Bruta!C944,6,2)),VALUE(RIGHT(Base_Bruta!C944,2))),DATE(VALUE(RIGHT(Base_Bruta!C944,4)),VALUE(MID(Base_Bruta!C944,4,2)),VALUE(LEFT(Base_Bruta!C944,2))))))</f>
        <v>45822</v>
      </c>
      <c r="D944" s="4" t="str">
        <f aca="false">IF($A944="","",TRIM(Base_Bruta!D944))</f>
        <v>Show Nacional MPB - Rio</v>
      </c>
      <c r="E944" s="4" t="str">
        <f aca="false">IF($A944="","",_xlfn.XLOOKUP(LOWER(TRIM(Base_Bruta!E944)),DePara_Categoria!$A$2:$A$9,DePara_Categoria!$B$2:$B$9,"REVISAR"))</f>
        <v>Show</v>
      </c>
      <c r="F944" s="4" t="str">
        <f aca="false">IF($A944="","",_xlfn.XLOOKUP(LOWER(TRIM(Base_Bruta!F944)),DePara_Cidade!$A$2:$A$29,DePara_Cidade!$B$2:$B$29,"REVISAR"))</f>
        <v>Rio de Janeiro</v>
      </c>
      <c r="G944" s="4" t="str">
        <f aca="false">IF($A944="","",TRIM(Base_Bruta!G944))</f>
        <v>Meia</v>
      </c>
      <c r="H944" s="4" t="n">
        <f aca="false">IF($A944="","",IF(ISNUMBER(Base_Bruta!H944),Base_Bruta!H944,IFERROR(_xlfn.NUMBERVALUE(TRIM(SUBSTITUTE(Base_Bruta!H944,"R$","")),",","."),0)))</f>
        <v>2</v>
      </c>
      <c r="I944" s="6" t="n">
        <f aca="false">IF($A944="","",IF(ISNUMBER(Base_Bruta!I944),Base_Bruta!I944,IFERROR(_xlfn.NUMBERVALUE(TRIM(SUBSTITUTE(Base_Bruta!I944,"R$","")),",","."),0)))</f>
        <v>315</v>
      </c>
      <c r="J944" s="6" t="n">
        <f aca="false">IF($A944="","",H944*I944)</f>
        <v>630</v>
      </c>
      <c r="K944" s="4" t="str">
        <f aca="false">IF($A944="","",TRIM(Base_Bruta!J944))</f>
        <v>Site</v>
      </c>
      <c r="L944" s="4" t="str">
        <f aca="false">IF($A944="","",TRIM(Base_Bruta!K944))</f>
        <v>C01825</v>
      </c>
      <c r="M944" s="4" t="str">
        <f aca="false">IF($A944="","",_xlfn.XLOOKUP(LOWER(TRIM(Base_Bruta!L944)),DePara_Cidade!$A$2:$A$29,DePara_Cidade!$B$2:$B$29,"REVISAR"))</f>
        <v>Santiago</v>
      </c>
      <c r="N944" s="4" t="str">
        <f aca="false">IF($A944="","",UPPER(TRIM(Base_Bruta!M944)))</f>
        <v>EX</v>
      </c>
      <c r="O944" s="4" t="str">
        <f aca="false">IF($A944="","",_xlfn.XLOOKUP(LOWER(TRIM(Base_Bruta!N944)),DePara_Pais!$A$2:$A$9,DePara_Pais!$B$2:$B$9,"REVISAR"))</f>
        <v>Chile</v>
      </c>
      <c r="P944" s="4" t="str">
        <f aca="false">IF($A944="","",IF(O944&lt;&gt;"Brasil","Turista Internacional",IF(M944=F944,"Local","Turista Nacional")))</f>
        <v>Turista Internacional</v>
      </c>
      <c r="Q944" s="7" t="n">
        <f aca="false">IF($A944="","",DATE(YEAR(B944),MONTH(B944),1))</f>
        <v>45778</v>
      </c>
      <c r="R944" s="4" t="str">
        <f aca="false">IF($A944="","",IF(COUNTIF($A$2:$A944,$A944)&gt;1,"Sim","Não"))</f>
        <v>Não</v>
      </c>
      <c r="S944" s="4" t="str">
        <f aca="false">IF(A944="","Descartar - Linha vazia",IF(R944="Sim","Descartar - Duplicado",IF(OR(H944&lt;=0,I944&lt;=0),"Descartar - Qtd/Valor inválido","OK")))</f>
        <v>OK</v>
      </c>
      <c r="T944" s="4" t="str">
        <f aca="false">Base_Bruta!P944</f>
        <v>vendas_RJ.xlsx</v>
      </c>
    </row>
    <row r="945" customFormat="false" ht="15" hidden="false" customHeight="false" outlineLevel="0" collapsed="false">
      <c r="A945" s="4" t="str">
        <f aca="false">IF(Base_Bruta!A945="","",Base_Bruta!A945)</f>
        <v>RJ-000326</v>
      </c>
      <c r="B945" s="5" t="n">
        <f aca="false">IF($A945="","",IF(ISNUMBER(Base_Bruta!B945),Base_Bruta!B945,IF(MID(Base_Bruta!B945,5,1)="-",DATE(VALUE(LEFT(Base_Bruta!B945,4)),VALUE(MID(Base_Bruta!B945,6,2)),VALUE(RIGHT(Base_Bruta!B945,2))),DATE(VALUE(RIGHT(Base_Bruta!B945,4)),VALUE(MID(Base_Bruta!B945,4,2)),VALUE(LEFT(Base_Bruta!B945,2))))))</f>
        <v>45798</v>
      </c>
      <c r="C945" s="5" t="n">
        <f aca="false">IF($A945="","",IF(ISNUMBER(Base_Bruta!C945),Base_Bruta!C945,IF(MID(Base_Bruta!C945,5,1)="-",DATE(VALUE(LEFT(Base_Bruta!C945,4)),VALUE(MID(Base_Bruta!C945,6,2)),VALUE(RIGHT(Base_Bruta!C945,2))),DATE(VALUE(RIGHT(Base_Bruta!C945,4)),VALUE(MID(Base_Bruta!C945,4,2)),VALUE(LEFT(Base_Bruta!C945,2))))))</f>
        <v>45822</v>
      </c>
      <c r="D945" s="4" t="str">
        <f aca="false">IF($A945="","",TRIM(Base_Bruta!D945))</f>
        <v>Show Nacional MPB - Rio</v>
      </c>
      <c r="E945" s="4" t="str">
        <f aca="false">IF($A945="","",_xlfn.XLOOKUP(LOWER(TRIM(Base_Bruta!E945)),DePara_Categoria!$A$2:$A$9,DePara_Categoria!$B$2:$B$9,"REVISAR"))</f>
        <v>Show</v>
      </c>
      <c r="F945" s="4" t="str">
        <f aca="false">IF($A945="","",_xlfn.XLOOKUP(LOWER(TRIM(Base_Bruta!F945)),DePara_Cidade!$A$2:$A$29,DePara_Cidade!$B$2:$B$29,"REVISAR"))</f>
        <v>Rio de Janeiro</v>
      </c>
      <c r="G945" s="4" t="str">
        <f aca="false">IF($A945="","",TRIM(Base_Bruta!G945))</f>
        <v>Meia</v>
      </c>
      <c r="H945" s="4" t="n">
        <f aca="false">IF($A945="","",IF(ISNUMBER(Base_Bruta!H945),Base_Bruta!H945,IFERROR(_xlfn.NUMBERVALUE(TRIM(SUBSTITUTE(Base_Bruta!H945,"R$","")),",","."),0)))</f>
        <v>2</v>
      </c>
      <c r="I945" s="6" t="n">
        <f aca="false">IF($A945="","",IF(ISNUMBER(Base_Bruta!I945),Base_Bruta!I945,IFERROR(_xlfn.NUMBERVALUE(TRIM(SUBSTITUTE(Base_Bruta!I945,"R$","")),",","."),0)))</f>
        <v>235</v>
      </c>
      <c r="J945" s="6" t="n">
        <f aca="false">IF($A945="","",H945*I945)</f>
        <v>470</v>
      </c>
      <c r="K945" s="4" t="str">
        <f aca="false">IF($A945="","",TRIM(Base_Bruta!J945))</f>
        <v>Site</v>
      </c>
      <c r="L945" s="4" t="str">
        <f aca="false">IF($A945="","",TRIM(Base_Bruta!K945))</f>
        <v>C00975</v>
      </c>
      <c r="M945" s="4" t="str">
        <f aca="false">IF($A945="","",_xlfn.XLOOKUP(LOWER(TRIM(Base_Bruta!L945)),DePara_Cidade!$A$2:$A$29,DePara_Cidade!$B$2:$B$29,"REVISAR"))</f>
        <v>Rio de Janeiro</v>
      </c>
      <c r="N945" s="4" t="str">
        <f aca="false">IF($A945="","",UPPER(TRIM(Base_Bruta!M945)))</f>
        <v>RJ</v>
      </c>
      <c r="O945" s="4" t="str">
        <f aca="false">IF($A945="","",_xlfn.XLOOKUP(LOWER(TRIM(Base_Bruta!N945)),DePara_Pais!$A$2:$A$9,DePara_Pais!$B$2:$B$9,"REVISAR"))</f>
        <v>Brasil</v>
      </c>
      <c r="P945" s="4" t="str">
        <f aca="false">IF($A945="","",IF(O945&lt;&gt;"Brasil","Turista Internacional",IF(M945=F945,"Local","Turista Nacional")))</f>
        <v>Local</v>
      </c>
      <c r="Q945" s="7" t="n">
        <f aca="false">IF($A945="","",DATE(YEAR(B945),MONTH(B945),1))</f>
        <v>45778</v>
      </c>
      <c r="R945" s="4" t="str">
        <f aca="false">IF($A945="","",IF(COUNTIF($A$2:$A945,$A945)&gt;1,"Sim","Não"))</f>
        <v>Não</v>
      </c>
      <c r="S945" s="4" t="str">
        <f aca="false">IF(A945="","Descartar - Linha vazia",IF(R945="Sim","Descartar - Duplicado",IF(OR(H945&lt;=0,I945&lt;=0),"Descartar - Qtd/Valor inválido","OK")))</f>
        <v>OK</v>
      </c>
      <c r="T945" s="4" t="str">
        <f aca="false">Base_Bruta!P945</f>
        <v>vendas_RJ.xlsx</v>
      </c>
    </row>
    <row r="946" customFormat="false" ht="15" hidden="false" customHeight="false" outlineLevel="0" collapsed="false">
      <c r="A946" s="4" t="str">
        <f aca="false">IF(Base_Bruta!A946="","",Base_Bruta!A946)</f>
        <v>RJ-000604</v>
      </c>
      <c r="B946" s="5" t="n">
        <f aca="false">IF($A946="","",IF(ISNUMBER(Base_Bruta!B946),Base_Bruta!B946,IF(MID(Base_Bruta!B946,5,1)="-",DATE(VALUE(LEFT(Base_Bruta!B946,4)),VALUE(MID(Base_Bruta!B946,6,2)),VALUE(RIGHT(Base_Bruta!B946,2))),DATE(VALUE(RIGHT(Base_Bruta!B946,4)),VALUE(MID(Base_Bruta!B946,4,2)),VALUE(LEFT(Base_Bruta!B946,2))))))</f>
        <v>45799</v>
      </c>
      <c r="C946" s="5" t="n">
        <f aca="false">IF($A946="","",IF(ISNUMBER(Base_Bruta!C946),Base_Bruta!C946,IF(MID(Base_Bruta!C946,5,1)="-",DATE(VALUE(LEFT(Base_Bruta!C946,4)),VALUE(MID(Base_Bruta!C946,6,2)),VALUE(RIGHT(Base_Bruta!C946,2))),DATE(VALUE(RIGHT(Base_Bruta!C946,4)),VALUE(MID(Base_Bruta!C946,4,2)),VALUE(LEFT(Base_Bruta!C946,2))))))</f>
        <v>45800</v>
      </c>
      <c r="D946" s="4" t="str">
        <f aca="false">IF($A946="","",TRIM(Base_Bruta!D946))</f>
        <v>Cinema Barra - Sessões</v>
      </c>
      <c r="E946" s="4" t="str">
        <f aca="false">IF($A946="","",_xlfn.XLOOKUP(LOWER(TRIM(Base_Bruta!E946)),DePara_Categoria!$A$2:$A$9,DePara_Categoria!$B$2:$B$9,"REVISAR"))</f>
        <v>Cinema</v>
      </c>
      <c r="F946" s="4" t="str">
        <f aca="false">IF($A946="","",_xlfn.XLOOKUP(LOWER(TRIM(Base_Bruta!F946)),DePara_Cidade!$A$2:$A$29,DePara_Cidade!$B$2:$B$29,"REVISAR"))</f>
        <v>Rio de Janeiro</v>
      </c>
      <c r="G946" s="4" t="str">
        <f aca="false">IF($A946="","",TRIM(Base_Bruta!G946))</f>
        <v>Inteira</v>
      </c>
      <c r="H946" s="4" t="n">
        <f aca="false">IF($A946="","",IF(ISNUMBER(Base_Bruta!H946),Base_Bruta!H946,IFERROR(_xlfn.NUMBERVALUE(TRIM(SUBSTITUTE(Base_Bruta!H946,"R$","")),",","."),0)))</f>
        <v>1</v>
      </c>
      <c r="I946" s="6" t="n">
        <f aca="false">IF($A946="","",IF(ISNUMBER(Base_Bruta!I946),Base_Bruta!I946,IFERROR(_xlfn.NUMBERVALUE(TRIM(SUBSTITUTE(Base_Bruta!I946,"R$","")),",","."),0)))</f>
        <v>35</v>
      </c>
      <c r="J946" s="6" t="n">
        <f aca="false">IF($A946="","",H946*I946)</f>
        <v>35</v>
      </c>
      <c r="K946" s="4" t="str">
        <f aca="false">IF($A946="","",TRIM(Base_Bruta!J946))</f>
        <v>App</v>
      </c>
      <c r="L946" s="4" t="str">
        <f aca="false">IF($A946="","",TRIM(Base_Bruta!K946))</f>
        <v>C00282</v>
      </c>
      <c r="M946" s="4" t="str">
        <f aca="false">IF($A946="","",_xlfn.XLOOKUP(LOWER(TRIM(Base_Bruta!L946)),DePara_Cidade!$A$2:$A$29,DePara_Cidade!$B$2:$B$29,"REVISAR"))</f>
        <v>Rio de Janeiro</v>
      </c>
      <c r="N946" s="4" t="str">
        <f aca="false">IF($A946="","",UPPER(TRIM(Base_Bruta!M946)))</f>
        <v>RJ</v>
      </c>
      <c r="O946" s="4" t="str">
        <f aca="false">IF($A946="","",_xlfn.XLOOKUP(LOWER(TRIM(Base_Bruta!N946)),DePara_Pais!$A$2:$A$9,DePara_Pais!$B$2:$B$9,"REVISAR"))</f>
        <v>Brasil</v>
      </c>
      <c r="P946" s="4" t="str">
        <f aca="false">IF($A946="","",IF(O946&lt;&gt;"Brasil","Turista Internacional",IF(M946=F946,"Local","Turista Nacional")))</f>
        <v>Local</v>
      </c>
      <c r="Q946" s="7" t="n">
        <f aca="false">IF($A946="","",DATE(YEAR(B946),MONTH(B946),1))</f>
        <v>45778</v>
      </c>
      <c r="R946" s="4" t="str">
        <f aca="false">IF($A946="","",IF(COUNTIF($A$2:$A946,$A946)&gt;1,"Sim","Não"))</f>
        <v>Não</v>
      </c>
      <c r="S946" s="4" t="str">
        <f aca="false">IF(A946="","Descartar - Linha vazia",IF(R946="Sim","Descartar - Duplicado",IF(OR(H946&lt;=0,I946&lt;=0),"Descartar - Qtd/Valor inválido","OK")))</f>
        <v>OK</v>
      </c>
      <c r="T946" s="4" t="str">
        <f aca="false">Base_Bruta!P946</f>
        <v>vendas_RJ.xlsx</v>
      </c>
    </row>
    <row r="947" customFormat="false" ht="15" hidden="false" customHeight="false" outlineLevel="0" collapsed="false">
      <c r="A947" s="4" t="str">
        <f aca="false">IF(Base_Bruta!A947="","",Base_Bruta!A947)</f>
        <v>RJ-000380</v>
      </c>
      <c r="B947" s="5" t="n">
        <f aca="false">IF($A947="","",IF(ISNUMBER(Base_Bruta!B947),Base_Bruta!B947,IF(MID(Base_Bruta!B947,5,1)="-",DATE(VALUE(LEFT(Base_Bruta!B947,4)),VALUE(MID(Base_Bruta!B947,6,2)),VALUE(RIGHT(Base_Bruta!B947,2))),DATE(VALUE(RIGHT(Base_Bruta!B947,4)),VALUE(MID(Base_Bruta!B947,4,2)),VALUE(LEFT(Base_Bruta!B947,2))))))</f>
        <v>45801</v>
      </c>
      <c r="C947" s="5" t="n">
        <f aca="false">IF($A947="","",IF(ISNUMBER(Base_Bruta!C947),Base_Bruta!C947,IF(MID(Base_Bruta!C947,5,1)="-",DATE(VALUE(LEFT(Base_Bruta!C947,4)),VALUE(MID(Base_Bruta!C947,6,2)),VALUE(RIGHT(Base_Bruta!C947,2))),DATE(VALUE(RIGHT(Base_Bruta!C947,4)),VALUE(MID(Base_Bruta!C947,4,2)),VALUE(LEFT(Base_Bruta!C947,2))))))</f>
        <v>45822</v>
      </c>
      <c r="D947" s="4" t="str">
        <f aca="false">IF($A947="","",TRIM(Base_Bruta!D947))</f>
        <v>Show Nacional MPB - Rio</v>
      </c>
      <c r="E947" s="4" t="str">
        <f aca="false">IF($A947="","",_xlfn.XLOOKUP(LOWER(TRIM(Base_Bruta!E947)),DePara_Categoria!$A$2:$A$9,DePara_Categoria!$B$2:$B$9,"REVISAR"))</f>
        <v>Show</v>
      </c>
      <c r="F947" s="4" t="str">
        <f aca="false">IF($A947="","",_xlfn.XLOOKUP(LOWER(TRIM(Base_Bruta!F947)),DePara_Cidade!$A$2:$A$29,DePara_Cidade!$B$2:$B$29,"REVISAR"))</f>
        <v>Rio de Janeiro</v>
      </c>
      <c r="G947" s="4" t="str">
        <f aca="false">IF($A947="","",TRIM(Base_Bruta!G947))</f>
        <v>Inteira</v>
      </c>
      <c r="H947" s="4" t="n">
        <f aca="false">IF($A947="","",IF(ISNUMBER(Base_Bruta!H947),Base_Bruta!H947,IFERROR(_xlfn.NUMBERVALUE(TRIM(SUBSTITUTE(Base_Bruta!H947,"R$","")),",","."),0)))</f>
        <v>1</v>
      </c>
      <c r="I947" s="6" t="n">
        <f aca="false">IF($A947="","",IF(ISNUMBER(Base_Bruta!I947),Base_Bruta!I947,IFERROR(_xlfn.NUMBERVALUE(TRIM(SUBSTITUTE(Base_Bruta!I947,"R$","")),",","."),0)))</f>
        <v>245</v>
      </c>
      <c r="J947" s="6" t="n">
        <f aca="false">IF($A947="","",H947*I947)</f>
        <v>245</v>
      </c>
      <c r="K947" s="4" t="str">
        <f aca="false">IF($A947="","",TRIM(Base_Bruta!J947))</f>
        <v>App</v>
      </c>
      <c r="L947" s="4" t="str">
        <f aca="false">IF($A947="","",TRIM(Base_Bruta!K947))</f>
        <v>C01915</v>
      </c>
      <c r="M947" s="4" t="str">
        <f aca="false">IF($A947="","",_xlfn.XLOOKUP(LOWER(TRIM(Base_Bruta!L947)),DePara_Cidade!$A$2:$A$29,DePara_Cidade!$B$2:$B$29,"REVISAR"))</f>
        <v>Niterói</v>
      </c>
      <c r="N947" s="4" t="str">
        <f aca="false">IF($A947="","",UPPER(TRIM(Base_Bruta!M947)))</f>
        <v>RJ</v>
      </c>
      <c r="O947" s="4" t="str">
        <f aca="false">IF($A947="","",_xlfn.XLOOKUP(LOWER(TRIM(Base_Bruta!N947)),DePara_Pais!$A$2:$A$9,DePara_Pais!$B$2:$B$9,"REVISAR"))</f>
        <v>Brasil</v>
      </c>
      <c r="P947" s="4" t="str">
        <f aca="false">IF($A947="","",IF(O947&lt;&gt;"Brasil","Turista Internacional",IF(M947=F947,"Local","Turista Nacional")))</f>
        <v>Turista Nacional</v>
      </c>
      <c r="Q947" s="7" t="n">
        <f aca="false">IF($A947="","",DATE(YEAR(B947),MONTH(B947),1))</f>
        <v>45778</v>
      </c>
      <c r="R947" s="4" t="str">
        <f aca="false">IF($A947="","",IF(COUNTIF($A$2:$A947,$A947)&gt;1,"Sim","Não"))</f>
        <v>Não</v>
      </c>
      <c r="S947" s="4" t="str">
        <f aca="false">IF(A947="","Descartar - Linha vazia",IF(R947="Sim","Descartar - Duplicado",IF(OR(H947&lt;=0,I947&lt;=0),"Descartar - Qtd/Valor inválido","OK")))</f>
        <v>OK</v>
      </c>
      <c r="T947" s="4" t="str">
        <f aca="false">Base_Bruta!P947</f>
        <v>vendas_RJ.xlsx</v>
      </c>
    </row>
    <row r="948" customFormat="false" ht="15" hidden="false" customHeight="false" outlineLevel="0" collapsed="false">
      <c r="A948" s="4" t="str">
        <f aca="false">IF(Base_Bruta!A948="","",Base_Bruta!A948)</f>
        <v>RJ-000275</v>
      </c>
      <c r="B948" s="5" t="n">
        <f aca="false">IF($A948="","",IF(ISNUMBER(Base_Bruta!B948),Base_Bruta!B948,IF(MID(Base_Bruta!B948,5,1)="-",DATE(VALUE(LEFT(Base_Bruta!B948,4)),VALUE(MID(Base_Bruta!B948,6,2)),VALUE(RIGHT(Base_Bruta!B948,2))),DATE(VALUE(RIGHT(Base_Bruta!B948,4)),VALUE(MID(Base_Bruta!B948,4,2)),VALUE(LEFT(Base_Bruta!B948,2))))))</f>
        <v>45803</v>
      </c>
      <c r="C948" s="5" t="n">
        <f aca="false">IF($A948="","",IF(ISNUMBER(Base_Bruta!C948),Base_Bruta!C948,IF(MID(Base_Bruta!C948,5,1)="-",DATE(VALUE(LEFT(Base_Bruta!C948,4)),VALUE(MID(Base_Bruta!C948,6,2)),VALUE(RIGHT(Base_Bruta!C948,2))),DATE(VALUE(RIGHT(Base_Bruta!C948,4)),VALUE(MID(Base_Bruta!C948,4,2)),VALUE(LEFT(Base_Bruta!C948,2))))))</f>
        <v>45822</v>
      </c>
      <c r="D948" s="4" t="str">
        <f aca="false">IF($A948="","",TRIM(Base_Bruta!D948))</f>
        <v>Show Nacional MPB - Rio</v>
      </c>
      <c r="E948" s="4" t="str">
        <f aca="false">IF($A948="","",_xlfn.XLOOKUP(LOWER(TRIM(Base_Bruta!E948)),DePara_Categoria!$A$2:$A$9,DePara_Categoria!$B$2:$B$9,"REVISAR"))</f>
        <v>Show</v>
      </c>
      <c r="F948" s="4" t="str">
        <f aca="false">IF($A948="","",_xlfn.XLOOKUP(LOWER(TRIM(Base_Bruta!F948)),DePara_Cidade!$A$2:$A$29,DePara_Cidade!$B$2:$B$29,"REVISAR"))</f>
        <v>Rio de Janeiro</v>
      </c>
      <c r="G948" s="4" t="str">
        <f aca="false">IF($A948="","",TRIM(Base_Bruta!G948))</f>
        <v>Inteira</v>
      </c>
      <c r="H948" s="4" t="n">
        <f aca="false">IF($A948="","",IF(ISNUMBER(Base_Bruta!H948),Base_Bruta!H948,IFERROR(_xlfn.NUMBERVALUE(TRIM(SUBSTITUTE(Base_Bruta!H948,"R$","")),",","."),0)))</f>
        <v>2</v>
      </c>
      <c r="I948" s="6" t="n">
        <f aca="false">IF($A948="","",IF(ISNUMBER(Base_Bruta!I948),Base_Bruta!I948,IFERROR(_xlfn.NUMBERVALUE(TRIM(SUBSTITUTE(Base_Bruta!I948,"R$","")),",","."),0)))</f>
        <v>605</v>
      </c>
      <c r="J948" s="6" t="n">
        <f aca="false">IF($A948="","",H948*I948)</f>
        <v>1210</v>
      </c>
      <c r="K948" s="4" t="str">
        <f aca="false">IF($A948="","",TRIM(Base_Bruta!J948))</f>
        <v>Site</v>
      </c>
      <c r="L948" s="4" t="str">
        <f aca="false">IF($A948="","",TRIM(Base_Bruta!K948))</f>
        <v>C01234</v>
      </c>
      <c r="M948" s="4" t="str">
        <f aca="false">IF($A948="","",_xlfn.XLOOKUP(LOWER(TRIM(Base_Bruta!L948)),DePara_Cidade!$A$2:$A$29,DePara_Cidade!$B$2:$B$29,"REVISAR"))</f>
        <v>Niterói</v>
      </c>
      <c r="N948" s="4" t="str">
        <f aca="false">IF($A948="","",UPPER(TRIM(Base_Bruta!M948)))</f>
        <v>RJ</v>
      </c>
      <c r="O948" s="4" t="str">
        <f aca="false">IF($A948="","",_xlfn.XLOOKUP(LOWER(TRIM(Base_Bruta!N948)),DePara_Pais!$A$2:$A$9,DePara_Pais!$B$2:$B$9,"REVISAR"))</f>
        <v>Brasil</v>
      </c>
      <c r="P948" s="4" t="str">
        <f aca="false">IF($A948="","",IF(O948&lt;&gt;"Brasil","Turista Internacional",IF(M948=F948,"Local","Turista Nacional")))</f>
        <v>Turista Nacional</v>
      </c>
      <c r="Q948" s="7" t="n">
        <f aca="false">IF($A948="","",DATE(YEAR(B948),MONTH(B948),1))</f>
        <v>45778</v>
      </c>
      <c r="R948" s="4" t="str">
        <f aca="false">IF($A948="","",IF(COUNTIF($A$2:$A948,$A948)&gt;1,"Sim","Não"))</f>
        <v>Não</v>
      </c>
      <c r="S948" s="4" t="str">
        <f aca="false">IF(A948="","Descartar - Linha vazia",IF(R948="Sim","Descartar - Duplicado",IF(OR(H948&lt;=0,I948&lt;=0),"Descartar - Qtd/Valor inválido","OK")))</f>
        <v>OK</v>
      </c>
      <c r="T948" s="4" t="str">
        <f aca="false">Base_Bruta!P948</f>
        <v>vendas_RJ.xlsx</v>
      </c>
    </row>
    <row r="949" customFormat="false" ht="15" hidden="false" customHeight="false" outlineLevel="0" collapsed="false">
      <c r="A949" s="4" t="str">
        <f aca="false">IF(Base_Bruta!A949="","",Base_Bruta!A949)</f>
        <v>RJ-000237</v>
      </c>
      <c r="B949" s="5" t="n">
        <f aca="false">IF($A949="","",IF(ISNUMBER(Base_Bruta!B949),Base_Bruta!B949,IF(MID(Base_Bruta!B949,5,1)="-",DATE(VALUE(LEFT(Base_Bruta!B949,4)),VALUE(MID(Base_Bruta!B949,6,2)),VALUE(RIGHT(Base_Bruta!B949,2))),DATE(VALUE(RIGHT(Base_Bruta!B949,4)),VALUE(MID(Base_Bruta!B949,4,2)),VALUE(LEFT(Base_Bruta!B949,2))))))</f>
        <v>45804</v>
      </c>
      <c r="C949" s="5" t="n">
        <f aca="false">IF($A949="","",IF(ISNUMBER(Base_Bruta!C949),Base_Bruta!C949,IF(MID(Base_Bruta!C949,5,1)="-",DATE(VALUE(LEFT(Base_Bruta!C949,4)),VALUE(MID(Base_Bruta!C949,6,2)),VALUE(RIGHT(Base_Bruta!C949,2))),DATE(VALUE(RIGHT(Base_Bruta!C949,4)),VALUE(MID(Base_Bruta!C949,4,2)),VALUE(LEFT(Base_Bruta!C949,2))))))</f>
        <v>45822</v>
      </c>
      <c r="D949" s="4" t="str">
        <f aca="false">IF($A949="","",TRIM(Base_Bruta!D949))</f>
        <v>Show Nacional MPB - Rio</v>
      </c>
      <c r="E949" s="4" t="str">
        <f aca="false">IF($A949="","",_xlfn.XLOOKUP(LOWER(TRIM(Base_Bruta!E949)),DePara_Categoria!$A$2:$A$9,DePara_Categoria!$B$2:$B$9,"REVISAR"))</f>
        <v>Show</v>
      </c>
      <c r="F949" s="4" t="str">
        <f aca="false">IF($A949="","",_xlfn.XLOOKUP(LOWER(TRIM(Base_Bruta!F949)),DePara_Cidade!$A$2:$A$29,DePara_Cidade!$B$2:$B$29,"REVISAR"))</f>
        <v>Rio de Janeiro</v>
      </c>
      <c r="G949" s="4" t="str">
        <f aca="false">IF($A949="","",TRIM(Base_Bruta!G949))</f>
        <v>Inteira</v>
      </c>
      <c r="H949" s="4" t="n">
        <f aca="false">IF($A949="","",IF(ISNUMBER(Base_Bruta!H949),Base_Bruta!H949,IFERROR(_xlfn.NUMBERVALUE(TRIM(SUBSTITUTE(Base_Bruta!H949,"R$","")),",","."),0)))</f>
        <v>4</v>
      </c>
      <c r="I949" s="6" t="n">
        <f aca="false">IF($A949="","",IF(ISNUMBER(Base_Bruta!I949),Base_Bruta!I949,IFERROR(_xlfn.NUMBERVALUE(TRIM(SUBSTITUTE(Base_Bruta!I949,"R$","")),",","."),0)))</f>
        <v>700</v>
      </c>
      <c r="J949" s="6" t="n">
        <f aca="false">IF($A949="","",H949*I949)</f>
        <v>2800</v>
      </c>
      <c r="K949" s="4" t="str">
        <f aca="false">IF($A949="","",TRIM(Base_Bruta!J949))</f>
        <v>App</v>
      </c>
      <c r="L949" s="4" t="str">
        <f aca="false">IF($A949="","",TRIM(Base_Bruta!K949))</f>
        <v>C00719</v>
      </c>
      <c r="M949" s="4" t="str">
        <f aca="false">IF($A949="","",_xlfn.XLOOKUP(LOWER(TRIM(Base_Bruta!L949)),DePara_Cidade!$A$2:$A$29,DePara_Cidade!$B$2:$B$29,"REVISAR"))</f>
        <v>São Paulo</v>
      </c>
      <c r="N949" s="4" t="str">
        <f aca="false">IF($A949="","",UPPER(TRIM(Base_Bruta!M949)))</f>
        <v>SP</v>
      </c>
      <c r="O949" s="4" t="str">
        <f aca="false">IF($A949="","",_xlfn.XLOOKUP(LOWER(TRIM(Base_Bruta!N949)),DePara_Pais!$A$2:$A$9,DePara_Pais!$B$2:$B$9,"REVISAR"))</f>
        <v>Brasil</v>
      </c>
      <c r="P949" s="4" t="str">
        <f aca="false">IF($A949="","",IF(O949&lt;&gt;"Brasil","Turista Internacional",IF(M949=F949,"Local","Turista Nacional")))</f>
        <v>Turista Nacional</v>
      </c>
      <c r="Q949" s="7" t="n">
        <f aca="false">IF($A949="","",DATE(YEAR(B949),MONTH(B949),1))</f>
        <v>45778</v>
      </c>
      <c r="R949" s="4" t="str">
        <f aca="false">IF($A949="","",IF(COUNTIF($A$2:$A949,$A949)&gt;1,"Sim","Não"))</f>
        <v>Não</v>
      </c>
      <c r="S949" s="4" t="str">
        <f aca="false">IF(A949="","Descartar - Linha vazia",IF(R949="Sim","Descartar - Duplicado",IF(OR(H949&lt;=0,I949&lt;=0),"Descartar - Qtd/Valor inválido","OK")))</f>
        <v>OK</v>
      </c>
      <c r="T949" s="4" t="str">
        <f aca="false">Base_Bruta!P949</f>
        <v>vendas_RJ.xlsx</v>
      </c>
    </row>
    <row r="950" customFormat="false" ht="15" hidden="false" customHeight="false" outlineLevel="0" collapsed="false">
      <c r="A950" s="4" t="str">
        <f aca="false">IF(Base_Bruta!A950="","",Base_Bruta!A950)</f>
        <v>RJ-000296</v>
      </c>
      <c r="B950" s="5" t="n">
        <f aca="false">IF($A950="","",IF(ISNUMBER(Base_Bruta!B950),Base_Bruta!B950,IF(MID(Base_Bruta!B950,5,1)="-",DATE(VALUE(LEFT(Base_Bruta!B950,4)),VALUE(MID(Base_Bruta!B950,6,2)),VALUE(RIGHT(Base_Bruta!B950,2))),DATE(VALUE(RIGHT(Base_Bruta!B950,4)),VALUE(MID(Base_Bruta!B950,4,2)),VALUE(LEFT(Base_Bruta!B950,2))))))</f>
        <v>45804</v>
      </c>
      <c r="C950" s="5" t="n">
        <f aca="false">IF($A950="","",IF(ISNUMBER(Base_Bruta!C950),Base_Bruta!C950,IF(MID(Base_Bruta!C950,5,1)="-",DATE(VALUE(LEFT(Base_Bruta!C950,4)),VALUE(MID(Base_Bruta!C950,6,2)),VALUE(RIGHT(Base_Bruta!C950,2))),DATE(VALUE(RIGHT(Base_Bruta!C950,4)),VALUE(MID(Base_Bruta!C950,4,2)),VALUE(LEFT(Base_Bruta!C950,2))))))</f>
        <v>45822</v>
      </c>
      <c r="D950" s="4" t="str">
        <f aca="false">IF($A950="","",TRIM(Base_Bruta!D950))</f>
        <v>Show Nacional MPB - Rio</v>
      </c>
      <c r="E950" s="4" t="str">
        <f aca="false">IF($A950="","",_xlfn.XLOOKUP(LOWER(TRIM(Base_Bruta!E950)),DePara_Categoria!$A$2:$A$9,DePara_Categoria!$B$2:$B$9,"REVISAR"))</f>
        <v>Show</v>
      </c>
      <c r="F950" s="4" t="str">
        <f aca="false">IF($A950="","",_xlfn.XLOOKUP(LOWER(TRIM(Base_Bruta!F950)),DePara_Cidade!$A$2:$A$29,DePara_Cidade!$B$2:$B$29,"REVISAR"))</f>
        <v>Rio de Janeiro</v>
      </c>
      <c r="G950" s="4" t="str">
        <f aca="false">IF($A950="","",TRIM(Base_Bruta!G950))</f>
        <v>Inteira</v>
      </c>
      <c r="H950" s="4" t="n">
        <f aca="false">IF($A950="","",IF(ISNUMBER(Base_Bruta!H950),Base_Bruta!H950,IFERROR(_xlfn.NUMBERVALUE(TRIM(SUBSTITUTE(Base_Bruta!H950,"R$","")),",","."),0)))</f>
        <v>3</v>
      </c>
      <c r="I950" s="6" t="n">
        <f aca="false">IF($A950="","",IF(ISNUMBER(Base_Bruta!I950),Base_Bruta!I950,IFERROR(_xlfn.NUMBERVALUE(TRIM(SUBSTITUTE(Base_Bruta!I950,"R$","")),",","."),0)))</f>
        <v>230</v>
      </c>
      <c r="J950" s="6" t="n">
        <f aca="false">IF($A950="","",H950*I950)</f>
        <v>690</v>
      </c>
      <c r="K950" s="4" t="str">
        <f aca="false">IF($A950="","",TRIM(Base_Bruta!J950))</f>
        <v>App</v>
      </c>
      <c r="L950" s="4" t="str">
        <f aca="false">IF($A950="","",TRIM(Base_Bruta!K950))</f>
        <v>C00697</v>
      </c>
      <c r="M950" s="4" t="str">
        <f aca="false">IF($A950="","",_xlfn.XLOOKUP(LOWER(TRIM(Base_Bruta!L950)),DePara_Cidade!$A$2:$A$29,DePara_Cidade!$B$2:$B$29,"REVISAR"))</f>
        <v>Rio de Janeiro</v>
      </c>
      <c r="N950" s="4" t="str">
        <f aca="false">IF($A950="","",UPPER(TRIM(Base_Bruta!M950)))</f>
        <v>RJ</v>
      </c>
      <c r="O950" s="4" t="str">
        <f aca="false">IF($A950="","",_xlfn.XLOOKUP(LOWER(TRIM(Base_Bruta!N950)),DePara_Pais!$A$2:$A$9,DePara_Pais!$B$2:$B$9,"REVISAR"))</f>
        <v>Brasil</v>
      </c>
      <c r="P950" s="4" t="str">
        <f aca="false">IF($A950="","",IF(O950&lt;&gt;"Brasil","Turista Internacional",IF(M950=F950,"Local","Turista Nacional")))</f>
        <v>Local</v>
      </c>
      <c r="Q950" s="7" t="n">
        <f aca="false">IF($A950="","",DATE(YEAR(B950),MONTH(B950),1))</f>
        <v>45778</v>
      </c>
      <c r="R950" s="4" t="str">
        <f aca="false">IF($A950="","",IF(COUNTIF($A$2:$A950,$A950)&gt;1,"Sim","Não"))</f>
        <v>Não</v>
      </c>
      <c r="S950" s="4" t="str">
        <f aca="false">IF(A950="","Descartar - Linha vazia",IF(R950="Sim","Descartar - Duplicado",IF(OR(H950&lt;=0,I950&lt;=0),"Descartar - Qtd/Valor inválido","OK")))</f>
        <v>OK</v>
      </c>
      <c r="T950" s="4" t="str">
        <f aca="false">Base_Bruta!P950</f>
        <v>vendas_RJ.xlsx</v>
      </c>
    </row>
    <row r="951" customFormat="false" ht="15" hidden="false" customHeight="false" outlineLevel="0" collapsed="false">
      <c r="A951" s="4" t="str">
        <f aca="false">IF(Base_Bruta!A951="","",Base_Bruta!A951)</f>
        <v>RJ-000331</v>
      </c>
      <c r="B951" s="5" t="n">
        <f aca="false">IF($A951="","",IF(ISNUMBER(Base_Bruta!B951),Base_Bruta!B951,IF(MID(Base_Bruta!B951,5,1)="-",DATE(VALUE(LEFT(Base_Bruta!B951,4)),VALUE(MID(Base_Bruta!B951,6,2)),VALUE(RIGHT(Base_Bruta!B951,2))),DATE(VALUE(RIGHT(Base_Bruta!B951,4)),VALUE(MID(Base_Bruta!B951,4,2)),VALUE(LEFT(Base_Bruta!B951,2))))))</f>
        <v>45805</v>
      </c>
      <c r="C951" s="5" t="n">
        <f aca="false">IF($A951="","",IF(ISNUMBER(Base_Bruta!C951),Base_Bruta!C951,IF(MID(Base_Bruta!C951,5,1)="-",DATE(VALUE(LEFT(Base_Bruta!C951,4)),VALUE(MID(Base_Bruta!C951,6,2)),VALUE(RIGHT(Base_Bruta!C951,2))),DATE(VALUE(RIGHT(Base_Bruta!C951,4)),VALUE(MID(Base_Bruta!C951,4,2)),VALUE(LEFT(Base_Bruta!C951,2))))))</f>
        <v>45822</v>
      </c>
      <c r="D951" s="4" t="str">
        <f aca="false">IF($A951="","",TRIM(Base_Bruta!D951))</f>
        <v>Show Nacional MPB - Rio</v>
      </c>
      <c r="E951" s="4" t="str">
        <f aca="false">IF($A951="","",_xlfn.XLOOKUP(LOWER(TRIM(Base_Bruta!E951)),DePara_Categoria!$A$2:$A$9,DePara_Categoria!$B$2:$B$9,"REVISAR"))</f>
        <v>Show</v>
      </c>
      <c r="F951" s="4" t="str">
        <f aca="false">IF($A951="","",_xlfn.XLOOKUP(LOWER(TRIM(Base_Bruta!F951)),DePara_Cidade!$A$2:$A$29,DePara_Cidade!$B$2:$B$29,"REVISAR"))</f>
        <v>Rio de Janeiro</v>
      </c>
      <c r="G951" s="4" t="str">
        <f aca="false">IF($A951="","",TRIM(Base_Bruta!G951))</f>
        <v>Inteira</v>
      </c>
      <c r="H951" s="4" t="n">
        <f aca="false">IF($A951="","",IF(ISNUMBER(Base_Bruta!H951),Base_Bruta!H951,IFERROR(_xlfn.NUMBERVALUE(TRIM(SUBSTITUTE(Base_Bruta!H951,"R$","")),",","."),0)))</f>
        <v>1</v>
      </c>
      <c r="I951" s="6" t="n">
        <f aca="false">IF($A951="","",IF(ISNUMBER(Base_Bruta!I951),Base_Bruta!I951,IFERROR(_xlfn.NUMBERVALUE(TRIM(SUBSTITUTE(Base_Bruta!I951,"R$","")),",","."),0)))</f>
        <v>600</v>
      </c>
      <c r="J951" s="6" t="n">
        <f aca="false">IF($A951="","",H951*I951)</f>
        <v>600</v>
      </c>
      <c r="K951" s="4" t="str">
        <f aca="false">IF($A951="","",TRIM(Base_Bruta!J951))</f>
        <v>Bilheteria</v>
      </c>
      <c r="L951" s="4" t="str">
        <f aca="false">IF($A951="","",TRIM(Base_Bruta!K951))</f>
        <v>C00904</v>
      </c>
      <c r="M951" s="4" t="str">
        <f aca="false">IF($A951="","",_xlfn.XLOOKUP(LOWER(TRIM(Base_Bruta!L951)),DePara_Cidade!$A$2:$A$29,DePara_Cidade!$B$2:$B$29,"REVISAR"))</f>
        <v>Curitiba</v>
      </c>
      <c r="N951" s="4" t="str">
        <f aca="false">IF($A951="","",UPPER(TRIM(Base_Bruta!M951)))</f>
        <v>PR</v>
      </c>
      <c r="O951" s="4" t="str">
        <f aca="false">IF($A951="","",_xlfn.XLOOKUP(LOWER(TRIM(Base_Bruta!N951)),DePara_Pais!$A$2:$A$9,DePara_Pais!$B$2:$B$9,"REVISAR"))</f>
        <v>Brasil</v>
      </c>
      <c r="P951" s="4" t="str">
        <f aca="false">IF($A951="","",IF(O951&lt;&gt;"Brasil","Turista Internacional",IF(M951=F951,"Local","Turista Nacional")))</f>
        <v>Turista Nacional</v>
      </c>
      <c r="Q951" s="7" t="n">
        <f aca="false">IF($A951="","",DATE(YEAR(B951),MONTH(B951),1))</f>
        <v>45778</v>
      </c>
      <c r="R951" s="4" t="str">
        <f aca="false">IF($A951="","",IF(COUNTIF($A$2:$A951,$A951)&gt;1,"Sim","Não"))</f>
        <v>Não</v>
      </c>
      <c r="S951" s="4" t="str">
        <f aca="false">IF(A951="","Descartar - Linha vazia",IF(R951="Sim","Descartar - Duplicado",IF(OR(H951&lt;=0,I951&lt;=0),"Descartar - Qtd/Valor inválido","OK")))</f>
        <v>OK</v>
      </c>
      <c r="T951" s="4" t="str">
        <f aca="false">Base_Bruta!P951</f>
        <v>vendas_RJ.xlsx</v>
      </c>
    </row>
    <row r="952" customFormat="false" ht="15" hidden="false" customHeight="false" outlineLevel="0" collapsed="false">
      <c r="A952" s="4" t="str">
        <f aca="false">IF(Base_Bruta!A952="","",Base_Bruta!A952)</f>
        <v>RJ-000271</v>
      </c>
      <c r="B952" s="5" t="n">
        <f aca="false">IF($A952="","",IF(ISNUMBER(Base_Bruta!B952),Base_Bruta!B952,IF(MID(Base_Bruta!B952,5,1)="-",DATE(VALUE(LEFT(Base_Bruta!B952,4)),VALUE(MID(Base_Bruta!B952,6,2)),VALUE(RIGHT(Base_Bruta!B952,2))),DATE(VALUE(RIGHT(Base_Bruta!B952,4)),VALUE(MID(Base_Bruta!B952,4,2)),VALUE(LEFT(Base_Bruta!B952,2))))))</f>
        <v>45806</v>
      </c>
      <c r="C952" s="5" t="n">
        <f aca="false">IF($A952="","",IF(ISNUMBER(Base_Bruta!C952),Base_Bruta!C952,IF(MID(Base_Bruta!C952,5,1)="-",DATE(VALUE(LEFT(Base_Bruta!C952,4)),VALUE(MID(Base_Bruta!C952,6,2)),VALUE(RIGHT(Base_Bruta!C952,2))),DATE(VALUE(RIGHT(Base_Bruta!C952,4)),VALUE(MID(Base_Bruta!C952,4,2)),VALUE(LEFT(Base_Bruta!C952,2))))))</f>
        <v>45822</v>
      </c>
      <c r="D952" s="4" t="str">
        <f aca="false">IF($A952="","",TRIM(Base_Bruta!D952))</f>
        <v>Show Nacional MPB - Rio</v>
      </c>
      <c r="E952" s="4" t="str">
        <f aca="false">IF($A952="","",_xlfn.XLOOKUP(LOWER(TRIM(Base_Bruta!E952)),DePara_Categoria!$A$2:$A$9,DePara_Categoria!$B$2:$B$9,"REVISAR"))</f>
        <v>Show</v>
      </c>
      <c r="F952" s="4" t="str">
        <f aca="false">IF($A952="","",_xlfn.XLOOKUP(LOWER(TRIM(Base_Bruta!F952)),DePara_Cidade!$A$2:$A$29,DePara_Cidade!$B$2:$B$29,"REVISAR"))</f>
        <v>Rio de Janeiro</v>
      </c>
      <c r="G952" s="4" t="str">
        <f aca="false">IF($A952="","",TRIM(Base_Bruta!G952))</f>
        <v>Inteira</v>
      </c>
      <c r="H952" s="4" t="n">
        <f aca="false">IF($A952="","",IF(ISNUMBER(Base_Bruta!H952),Base_Bruta!H952,IFERROR(_xlfn.NUMBERVALUE(TRIM(SUBSTITUTE(Base_Bruta!H952,"R$","")),",","."),0)))</f>
        <v>3</v>
      </c>
      <c r="I952" s="6" t="n">
        <f aca="false">IF($A952="","",IF(ISNUMBER(Base_Bruta!I952),Base_Bruta!I952,IFERROR(_xlfn.NUMBERVALUE(TRIM(SUBSTITUTE(Base_Bruta!I952,"R$","")),",","."),0)))</f>
        <v>560</v>
      </c>
      <c r="J952" s="6" t="n">
        <f aca="false">IF($A952="","",H952*I952)</f>
        <v>1680</v>
      </c>
      <c r="K952" s="4" t="str">
        <f aca="false">IF($A952="","",TRIM(Base_Bruta!J952))</f>
        <v>Bilheteria</v>
      </c>
      <c r="L952" s="4" t="str">
        <f aca="false">IF($A952="","",TRIM(Base_Bruta!K952))</f>
        <v>C01101</v>
      </c>
      <c r="M952" s="4" t="str">
        <f aca="false">IF($A952="","",_xlfn.XLOOKUP(LOWER(TRIM(Base_Bruta!L952)),DePara_Cidade!$A$2:$A$29,DePara_Cidade!$B$2:$B$29,"REVISAR"))</f>
        <v>Vitória</v>
      </c>
      <c r="N952" s="4" t="str">
        <f aca="false">IF($A952="","",UPPER(TRIM(Base_Bruta!M952)))</f>
        <v>ES</v>
      </c>
      <c r="O952" s="4" t="str">
        <f aca="false">IF($A952="","",_xlfn.XLOOKUP(LOWER(TRIM(Base_Bruta!N952)),DePara_Pais!$A$2:$A$9,DePara_Pais!$B$2:$B$9,"REVISAR"))</f>
        <v>Brasil</v>
      </c>
      <c r="P952" s="4" t="str">
        <f aca="false">IF($A952="","",IF(O952&lt;&gt;"Brasil","Turista Internacional",IF(M952=F952,"Local","Turista Nacional")))</f>
        <v>Turista Nacional</v>
      </c>
      <c r="Q952" s="7" t="n">
        <f aca="false">IF($A952="","",DATE(YEAR(B952),MONTH(B952),1))</f>
        <v>45778</v>
      </c>
      <c r="R952" s="4" t="str">
        <f aca="false">IF($A952="","",IF(COUNTIF($A$2:$A952,$A952)&gt;1,"Sim","Não"))</f>
        <v>Não</v>
      </c>
      <c r="S952" s="4" t="str">
        <f aca="false">IF(A952="","Descartar - Linha vazia",IF(R952="Sim","Descartar - Duplicado",IF(OR(H952&lt;=0,I952&lt;=0),"Descartar - Qtd/Valor inválido","OK")))</f>
        <v>OK</v>
      </c>
      <c r="T952" s="4" t="str">
        <f aca="false">Base_Bruta!P952</f>
        <v>vendas_RJ.xlsx</v>
      </c>
    </row>
    <row r="953" customFormat="false" ht="15" hidden="false" customHeight="false" outlineLevel="0" collapsed="false">
      <c r="A953" s="4" t="str">
        <f aca="false">IF(Base_Bruta!A953="","",Base_Bruta!A953)</f>
        <v>RJ-000551</v>
      </c>
      <c r="B953" s="5" t="n">
        <f aca="false">IF($A953="","",IF(ISNUMBER(Base_Bruta!B953),Base_Bruta!B953,IF(MID(Base_Bruta!B953,5,1)="-",DATE(VALUE(LEFT(Base_Bruta!B953,4)),VALUE(MID(Base_Bruta!B953,6,2)),VALUE(RIGHT(Base_Bruta!B953,2))),DATE(VALUE(RIGHT(Base_Bruta!B953,4)),VALUE(MID(Base_Bruta!B953,4,2)),VALUE(LEFT(Base_Bruta!B953,2))))))</f>
        <v>45806</v>
      </c>
      <c r="C953" s="5" t="n">
        <f aca="false">IF($A953="","",IF(ISNUMBER(Base_Bruta!C953),Base_Bruta!C953,IF(MID(Base_Bruta!C953,5,1)="-",DATE(VALUE(LEFT(Base_Bruta!C953,4)),VALUE(MID(Base_Bruta!C953,6,2)),VALUE(RIGHT(Base_Bruta!C953,2))),DATE(VALUE(RIGHT(Base_Bruta!C953,4)),VALUE(MID(Base_Bruta!C953,4,2)),VALUE(LEFT(Base_Bruta!C953,2))))))</f>
        <v>45809</v>
      </c>
      <c r="D953" s="4" t="str">
        <f aca="false">IF($A953="","",TRIM(Base_Bruta!D953))</f>
        <v>Cinema Barra - Sessões</v>
      </c>
      <c r="E953" s="4" t="str">
        <f aca="false">IF($A953="","",_xlfn.XLOOKUP(LOWER(TRIM(Base_Bruta!E953)),DePara_Categoria!$A$2:$A$9,DePara_Categoria!$B$2:$B$9,"REVISAR"))</f>
        <v>Cinema</v>
      </c>
      <c r="F953" s="4" t="str">
        <f aca="false">IF($A953="","",_xlfn.XLOOKUP(LOWER(TRIM(Base_Bruta!F953)),DePara_Cidade!$A$2:$A$29,DePara_Cidade!$B$2:$B$29,"REVISAR"))</f>
        <v>Rio de Janeiro</v>
      </c>
      <c r="G953" s="4" t="str">
        <f aca="false">IF($A953="","",TRIM(Base_Bruta!G953))</f>
        <v>Inteira</v>
      </c>
      <c r="H953" s="4" t="n">
        <f aca="false">IF($A953="","",IF(ISNUMBER(Base_Bruta!H953),Base_Bruta!H953,IFERROR(_xlfn.NUMBERVALUE(TRIM(SUBSTITUTE(Base_Bruta!H953,"R$","")),",","."),0)))</f>
        <v>2</v>
      </c>
      <c r="I953" s="6" t="n">
        <f aca="false">IF($A953="","",IF(ISNUMBER(Base_Bruta!I953),Base_Bruta!I953,IFERROR(_xlfn.NUMBERVALUE(TRIM(SUBSTITUTE(Base_Bruta!I953,"R$","")),",","."),0)))</f>
        <v>40</v>
      </c>
      <c r="J953" s="6" t="n">
        <f aca="false">IF($A953="","",H953*I953)</f>
        <v>80</v>
      </c>
      <c r="K953" s="4" t="str">
        <f aca="false">IF($A953="","",TRIM(Base_Bruta!J953))</f>
        <v>Site</v>
      </c>
      <c r="L953" s="4" t="str">
        <f aca="false">IF($A953="","",TRIM(Base_Bruta!K953))</f>
        <v>C00558</v>
      </c>
      <c r="M953" s="4" t="str">
        <f aca="false">IF($A953="","",_xlfn.XLOOKUP(LOWER(TRIM(Base_Bruta!L953)),DePara_Cidade!$A$2:$A$29,DePara_Cidade!$B$2:$B$29,"REVISAR"))</f>
        <v>Rio de Janeiro</v>
      </c>
      <c r="N953" s="4" t="str">
        <f aca="false">IF($A953="","",UPPER(TRIM(Base_Bruta!M953)))</f>
        <v>RJ</v>
      </c>
      <c r="O953" s="4" t="str">
        <f aca="false">IF($A953="","",_xlfn.XLOOKUP(LOWER(TRIM(Base_Bruta!N953)),DePara_Pais!$A$2:$A$9,DePara_Pais!$B$2:$B$9,"REVISAR"))</f>
        <v>Brasil</v>
      </c>
      <c r="P953" s="4" t="str">
        <f aca="false">IF($A953="","",IF(O953&lt;&gt;"Brasil","Turista Internacional",IF(M953=F953,"Local","Turista Nacional")))</f>
        <v>Local</v>
      </c>
      <c r="Q953" s="7" t="n">
        <f aca="false">IF($A953="","",DATE(YEAR(B953),MONTH(B953),1))</f>
        <v>45778</v>
      </c>
      <c r="R953" s="4" t="str">
        <f aca="false">IF($A953="","",IF(COUNTIF($A$2:$A953,$A953)&gt;1,"Sim","Não"))</f>
        <v>Não</v>
      </c>
      <c r="S953" s="4" t="str">
        <f aca="false">IF(A953="","Descartar - Linha vazia",IF(R953="Sim","Descartar - Duplicado",IF(OR(H953&lt;=0,I953&lt;=0),"Descartar - Qtd/Valor inválido","OK")))</f>
        <v>OK</v>
      </c>
      <c r="T953" s="4" t="str">
        <f aca="false">Base_Bruta!P953</f>
        <v>vendas_RJ.xlsx</v>
      </c>
    </row>
    <row r="954" customFormat="false" ht="15" hidden="false" customHeight="false" outlineLevel="0" collapsed="false">
      <c r="A954" s="4" t="str">
        <f aca="false">IF(Base_Bruta!A954="","",Base_Bruta!A954)</f>
        <v>RJ-000334</v>
      </c>
      <c r="B954" s="5" t="n">
        <f aca="false">IF($A954="","",IF(ISNUMBER(Base_Bruta!B954),Base_Bruta!B954,IF(MID(Base_Bruta!B954,5,1)="-",DATE(VALUE(LEFT(Base_Bruta!B954,4)),VALUE(MID(Base_Bruta!B954,6,2)),VALUE(RIGHT(Base_Bruta!B954,2))),DATE(VALUE(RIGHT(Base_Bruta!B954,4)),VALUE(MID(Base_Bruta!B954,4,2)),VALUE(LEFT(Base_Bruta!B954,2))))))</f>
        <v>45807</v>
      </c>
      <c r="C954" s="5" t="n">
        <f aca="false">IF($A954="","",IF(ISNUMBER(Base_Bruta!C954),Base_Bruta!C954,IF(MID(Base_Bruta!C954,5,1)="-",DATE(VALUE(LEFT(Base_Bruta!C954,4)),VALUE(MID(Base_Bruta!C954,6,2)),VALUE(RIGHT(Base_Bruta!C954,2))),DATE(VALUE(RIGHT(Base_Bruta!C954,4)),VALUE(MID(Base_Bruta!C954,4,2)),VALUE(LEFT(Base_Bruta!C954,2))))))</f>
        <v>45822</v>
      </c>
      <c r="D954" s="4" t="str">
        <f aca="false">IF($A954="","",TRIM(Base_Bruta!D954))</f>
        <v>Show Nacional MPB - Rio</v>
      </c>
      <c r="E954" s="4" t="str">
        <f aca="false">IF($A954="","",_xlfn.XLOOKUP(LOWER(TRIM(Base_Bruta!E954)),DePara_Categoria!$A$2:$A$9,DePara_Categoria!$B$2:$B$9,"REVISAR"))</f>
        <v>Show</v>
      </c>
      <c r="F954" s="4" t="str">
        <f aca="false">IF($A954="","",_xlfn.XLOOKUP(LOWER(TRIM(Base_Bruta!F954)),DePara_Cidade!$A$2:$A$29,DePara_Cidade!$B$2:$B$29,"REVISAR"))</f>
        <v>Rio de Janeiro</v>
      </c>
      <c r="G954" s="4" t="str">
        <f aca="false">IF($A954="","",TRIM(Base_Bruta!G954))</f>
        <v>Inteira</v>
      </c>
      <c r="H954" s="4" t="n">
        <f aca="false">IF($A954="","",IF(ISNUMBER(Base_Bruta!H954),Base_Bruta!H954,IFERROR(_xlfn.NUMBERVALUE(TRIM(SUBSTITUTE(Base_Bruta!H954,"R$","")),",","."),0)))</f>
        <v>1</v>
      </c>
      <c r="I954" s="6" t="n">
        <f aca="false">IF($A954="","",IF(ISNUMBER(Base_Bruta!I954),Base_Bruta!I954,IFERROR(_xlfn.NUMBERVALUE(TRIM(SUBSTITUTE(Base_Bruta!I954,"R$","")),",","."),0)))</f>
        <v>630</v>
      </c>
      <c r="J954" s="6" t="n">
        <f aca="false">IF($A954="","",H954*I954)</f>
        <v>630</v>
      </c>
      <c r="K954" s="4" t="str">
        <f aca="false">IF($A954="","",TRIM(Base_Bruta!J954))</f>
        <v>App</v>
      </c>
      <c r="L954" s="4" t="str">
        <f aca="false">IF($A954="","",TRIM(Base_Bruta!K954))</f>
        <v>C00737</v>
      </c>
      <c r="M954" s="4" t="str">
        <f aca="false">IF($A954="","",_xlfn.XLOOKUP(LOWER(TRIM(Base_Bruta!L954)),DePara_Cidade!$A$2:$A$29,DePara_Cidade!$B$2:$B$29,"REVISAR"))</f>
        <v>Rio de Janeiro</v>
      </c>
      <c r="N954" s="4" t="str">
        <f aca="false">IF($A954="","",UPPER(TRIM(Base_Bruta!M954)))</f>
        <v>RJ</v>
      </c>
      <c r="O954" s="4" t="str">
        <f aca="false">IF($A954="","",_xlfn.XLOOKUP(LOWER(TRIM(Base_Bruta!N954)),DePara_Pais!$A$2:$A$9,DePara_Pais!$B$2:$B$9,"REVISAR"))</f>
        <v>Brasil</v>
      </c>
      <c r="P954" s="4" t="str">
        <f aca="false">IF($A954="","",IF(O954&lt;&gt;"Brasil","Turista Internacional",IF(M954=F954,"Local","Turista Nacional")))</f>
        <v>Local</v>
      </c>
      <c r="Q954" s="7" t="n">
        <f aca="false">IF($A954="","",DATE(YEAR(B954),MONTH(B954),1))</f>
        <v>45778</v>
      </c>
      <c r="R954" s="4" t="str">
        <f aca="false">IF($A954="","",IF(COUNTIF($A$2:$A954,$A954)&gt;1,"Sim","Não"))</f>
        <v>Não</v>
      </c>
      <c r="S954" s="4" t="str">
        <f aca="false">IF(A954="","Descartar - Linha vazia",IF(R954="Sim","Descartar - Duplicado",IF(OR(H954&lt;=0,I954&lt;=0),"Descartar - Qtd/Valor inválido","OK")))</f>
        <v>OK</v>
      </c>
      <c r="T954" s="4" t="str">
        <f aca="false">Base_Bruta!P954</f>
        <v>vendas_RJ.xlsx</v>
      </c>
    </row>
    <row r="955" customFormat="false" ht="15" hidden="false" customHeight="false" outlineLevel="0" collapsed="false">
      <c r="A955" s="4" t="str">
        <f aca="false">IF(Base_Bruta!A955="","",Base_Bruta!A955)</f>
        <v>RJ-000355</v>
      </c>
      <c r="B955" s="5" t="n">
        <f aca="false">IF($A955="","",IF(ISNUMBER(Base_Bruta!B955),Base_Bruta!B955,IF(MID(Base_Bruta!B955,5,1)="-",DATE(VALUE(LEFT(Base_Bruta!B955,4)),VALUE(MID(Base_Bruta!B955,6,2)),VALUE(RIGHT(Base_Bruta!B955,2))),DATE(VALUE(RIGHT(Base_Bruta!B955,4)),VALUE(MID(Base_Bruta!B955,4,2)),VALUE(LEFT(Base_Bruta!B955,2))))))</f>
        <v>45807</v>
      </c>
      <c r="C955" s="5" t="n">
        <f aca="false">IF($A955="","",IF(ISNUMBER(Base_Bruta!C955),Base_Bruta!C955,IF(MID(Base_Bruta!C955,5,1)="-",DATE(VALUE(LEFT(Base_Bruta!C955,4)),VALUE(MID(Base_Bruta!C955,6,2)),VALUE(RIGHT(Base_Bruta!C955,2))),DATE(VALUE(RIGHT(Base_Bruta!C955,4)),VALUE(MID(Base_Bruta!C955,4,2)),VALUE(LEFT(Base_Bruta!C955,2))))))</f>
        <v>45822</v>
      </c>
      <c r="D955" s="4" t="str">
        <f aca="false">IF($A955="","",TRIM(Base_Bruta!D955))</f>
        <v>Show Nacional MPB - Rio</v>
      </c>
      <c r="E955" s="4" t="str">
        <f aca="false">IF($A955="","",_xlfn.XLOOKUP(LOWER(TRIM(Base_Bruta!E955)),DePara_Categoria!$A$2:$A$9,DePara_Categoria!$B$2:$B$9,"REVISAR"))</f>
        <v>Show</v>
      </c>
      <c r="F955" s="4" t="str">
        <f aca="false">IF($A955="","",_xlfn.XLOOKUP(LOWER(TRIM(Base_Bruta!F955)),DePara_Cidade!$A$2:$A$29,DePara_Cidade!$B$2:$B$29,"REVISAR"))</f>
        <v>Rio de Janeiro</v>
      </c>
      <c r="G955" s="4" t="str">
        <f aca="false">IF($A955="","",TRIM(Base_Bruta!G955))</f>
        <v>Inteira</v>
      </c>
      <c r="H955" s="4" t="n">
        <f aca="false">IF($A955="","",IF(ISNUMBER(Base_Bruta!H955),Base_Bruta!H955,IFERROR(_xlfn.NUMBERVALUE(TRIM(SUBSTITUTE(Base_Bruta!H955,"R$","")),",","."),0)))</f>
        <v>1</v>
      </c>
      <c r="I955" s="6" t="n">
        <f aca="false">IF($A955="","",IF(ISNUMBER(Base_Bruta!I955),Base_Bruta!I955,IFERROR(_xlfn.NUMBERVALUE(TRIM(SUBSTITUTE(Base_Bruta!I955,"R$","")),",","."),0)))</f>
        <v>270</v>
      </c>
      <c r="J955" s="6" t="n">
        <f aca="false">IF($A955="","",H955*I955)</f>
        <v>270</v>
      </c>
      <c r="K955" s="4" t="str">
        <f aca="false">IF($A955="","",TRIM(Base_Bruta!J955))</f>
        <v>App</v>
      </c>
      <c r="L955" s="4" t="str">
        <f aca="false">IF($A955="","",TRIM(Base_Bruta!K955))</f>
        <v>C02022</v>
      </c>
      <c r="M955" s="4" t="str">
        <f aca="false">IF($A955="","",_xlfn.XLOOKUP(LOWER(TRIM(Base_Bruta!L955)),DePara_Cidade!$A$2:$A$29,DePara_Cidade!$B$2:$B$29,"REVISAR"))</f>
        <v>Rio de Janeiro</v>
      </c>
      <c r="N955" s="4" t="str">
        <f aca="false">IF($A955="","",UPPER(TRIM(Base_Bruta!M955)))</f>
        <v>RJ</v>
      </c>
      <c r="O955" s="4" t="str">
        <f aca="false">IF($A955="","",_xlfn.XLOOKUP(LOWER(TRIM(Base_Bruta!N955)),DePara_Pais!$A$2:$A$9,DePara_Pais!$B$2:$B$9,"REVISAR"))</f>
        <v>Brasil</v>
      </c>
      <c r="P955" s="4" t="str">
        <f aca="false">IF($A955="","",IF(O955&lt;&gt;"Brasil","Turista Internacional",IF(M955=F955,"Local","Turista Nacional")))</f>
        <v>Local</v>
      </c>
      <c r="Q955" s="7" t="n">
        <f aca="false">IF($A955="","",DATE(YEAR(B955),MONTH(B955),1))</f>
        <v>45778</v>
      </c>
      <c r="R955" s="4" t="str">
        <f aca="false">IF($A955="","",IF(COUNTIF($A$2:$A955,$A955)&gt;1,"Sim","Não"))</f>
        <v>Não</v>
      </c>
      <c r="S955" s="4" t="str">
        <f aca="false">IF(A955="","Descartar - Linha vazia",IF(R955="Sim","Descartar - Duplicado",IF(OR(H955&lt;=0,I955&lt;=0),"Descartar - Qtd/Valor inválido","OK")))</f>
        <v>OK</v>
      </c>
      <c r="T955" s="4" t="str">
        <f aca="false">Base_Bruta!P955</f>
        <v>vendas_RJ.xlsx</v>
      </c>
    </row>
    <row r="956" customFormat="false" ht="15" hidden="false" customHeight="false" outlineLevel="0" collapsed="false">
      <c r="A956" s="4" t="str">
        <f aca="false">IF(Base_Bruta!A956="","",Base_Bruta!A956)</f>
        <v>RJ-000674</v>
      </c>
      <c r="B956" s="5" t="n">
        <f aca="false">IF($A956="","",IF(ISNUMBER(Base_Bruta!B956),Base_Bruta!B956,IF(MID(Base_Bruta!B956,5,1)="-",DATE(VALUE(LEFT(Base_Bruta!B956,4)),VALUE(MID(Base_Bruta!B956,6,2)),VALUE(RIGHT(Base_Bruta!B956,2))),DATE(VALUE(RIGHT(Base_Bruta!B956,4)),VALUE(MID(Base_Bruta!B956,4,2)),VALUE(LEFT(Base_Bruta!B956,2))))))</f>
        <v>45809</v>
      </c>
      <c r="C956" s="5" t="n">
        <f aca="false">IF($A956="","",IF(ISNUMBER(Base_Bruta!C956),Base_Bruta!C956,IF(MID(Base_Bruta!C956,5,1)="-",DATE(VALUE(LEFT(Base_Bruta!C956,4)),VALUE(MID(Base_Bruta!C956,6,2)),VALUE(RIGHT(Base_Bruta!C956,2))),DATE(VALUE(RIGHT(Base_Bruta!C956,4)),VALUE(MID(Base_Bruta!C956,4,2)),VALUE(LEFT(Base_Bruta!C956,2))))))</f>
        <v>45811</v>
      </c>
      <c r="D956" s="4" t="str">
        <f aca="false">IF($A956="","",TRIM(Base_Bruta!D956))</f>
        <v>Cinema Barra - Sessões</v>
      </c>
      <c r="E956" s="4" t="str">
        <f aca="false">IF($A956="","",_xlfn.XLOOKUP(LOWER(TRIM(Base_Bruta!E956)),DePara_Categoria!$A$2:$A$9,DePara_Categoria!$B$2:$B$9,"REVISAR"))</f>
        <v>Cinema</v>
      </c>
      <c r="F956" s="4" t="str">
        <f aca="false">IF($A956="","",_xlfn.XLOOKUP(LOWER(TRIM(Base_Bruta!F956)),DePara_Cidade!$A$2:$A$29,DePara_Cidade!$B$2:$B$29,"REVISAR"))</f>
        <v>Rio de Janeiro</v>
      </c>
      <c r="G956" s="4" t="str">
        <f aca="false">IF($A956="","",TRIM(Base_Bruta!G956))</f>
        <v>Inteira</v>
      </c>
      <c r="H956" s="4" t="n">
        <f aca="false">IF($A956="","",IF(ISNUMBER(Base_Bruta!H956),Base_Bruta!H956,IFERROR(_xlfn.NUMBERVALUE(TRIM(SUBSTITUTE(Base_Bruta!H956,"R$","")),",","."),0)))</f>
        <v>1</v>
      </c>
      <c r="I956" s="6" t="n">
        <f aca="false">IF($A956="","",IF(ISNUMBER(Base_Bruta!I956),Base_Bruta!I956,IFERROR(_xlfn.NUMBERVALUE(TRIM(SUBSTITUTE(Base_Bruta!I956,"R$","")),",","."),0)))</f>
        <v>40</v>
      </c>
      <c r="J956" s="6" t="n">
        <f aca="false">IF($A956="","",H956*I956)</f>
        <v>40</v>
      </c>
      <c r="K956" s="4" t="str">
        <f aca="false">IF($A956="","",TRIM(Base_Bruta!J956))</f>
        <v>App</v>
      </c>
      <c r="L956" s="4" t="str">
        <f aca="false">IF($A956="","",TRIM(Base_Bruta!K956))</f>
        <v>C01179</v>
      </c>
      <c r="M956" s="4" t="str">
        <f aca="false">IF($A956="","",_xlfn.XLOOKUP(LOWER(TRIM(Base_Bruta!L956)),DePara_Cidade!$A$2:$A$29,DePara_Cidade!$B$2:$B$29,"REVISAR"))</f>
        <v>Rio de Janeiro</v>
      </c>
      <c r="N956" s="4" t="str">
        <f aca="false">IF($A956="","",UPPER(TRIM(Base_Bruta!M956)))</f>
        <v>RJ</v>
      </c>
      <c r="O956" s="4" t="str">
        <f aca="false">IF($A956="","",_xlfn.XLOOKUP(LOWER(TRIM(Base_Bruta!N956)),DePara_Pais!$A$2:$A$9,DePara_Pais!$B$2:$B$9,"REVISAR"))</f>
        <v>Brasil</v>
      </c>
      <c r="P956" s="4" t="str">
        <f aca="false">IF($A956="","",IF(O956&lt;&gt;"Brasil","Turista Internacional",IF(M956=F956,"Local","Turista Nacional")))</f>
        <v>Local</v>
      </c>
      <c r="Q956" s="7" t="n">
        <f aca="false">IF($A956="","",DATE(YEAR(B956),MONTH(B956),1))</f>
        <v>45809</v>
      </c>
      <c r="R956" s="4" t="str">
        <f aca="false">IF($A956="","",IF(COUNTIF($A$2:$A956,$A956)&gt;1,"Sim","Não"))</f>
        <v>Não</v>
      </c>
      <c r="S956" s="4" t="str">
        <f aca="false">IF(A956="","Descartar - Linha vazia",IF(R956="Sim","Descartar - Duplicado",IF(OR(H956&lt;=0,I956&lt;=0),"Descartar - Qtd/Valor inválido","OK")))</f>
        <v>OK</v>
      </c>
      <c r="T956" s="4" t="str">
        <f aca="false">Base_Bruta!P956</f>
        <v>vendas_RJ.xlsx</v>
      </c>
    </row>
    <row r="957" customFormat="false" ht="15" hidden="false" customHeight="false" outlineLevel="0" collapsed="false">
      <c r="A957" s="4" t="str">
        <f aca="false">IF(Base_Bruta!A957="","",Base_Bruta!A957)</f>
        <v>RJ-000274</v>
      </c>
      <c r="B957" s="5" t="n">
        <f aca="false">IF($A957="","",IF(ISNUMBER(Base_Bruta!B957),Base_Bruta!B957,IF(MID(Base_Bruta!B957,5,1)="-",DATE(VALUE(LEFT(Base_Bruta!B957,4)),VALUE(MID(Base_Bruta!B957,6,2)),VALUE(RIGHT(Base_Bruta!B957,2))),DATE(VALUE(RIGHT(Base_Bruta!B957,4)),VALUE(MID(Base_Bruta!B957,4,2)),VALUE(LEFT(Base_Bruta!B957,2))))))</f>
        <v>45811</v>
      </c>
      <c r="C957" s="5" t="n">
        <f aca="false">IF($A957="","",IF(ISNUMBER(Base_Bruta!C957),Base_Bruta!C957,IF(MID(Base_Bruta!C957,5,1)="-",DATE(VALUE(LEFT(Base_Bruta!C957,4)),VALUE(MID(Base_Bruta!C957,6,2)),VALUE(RIGHT(Base_Bruta!C957,2))),DATE(VALUE(RIGHT(Base_Bruta!C957,4)),VALUE(MID(Base_Bruta!C957,4,2)),VALUE(LEFT(Base_Bruta!C957,2))))))</f>
        <v>45822</v>
      </c>
      <c r="D957" s="4" t="str">
        <f aca="false">IF($A957="","",TRIM(Base_Bruta!D957))</f>
        <v>Show Nacional MPB - Rio</v>
      </c>
      <c r="E957" s="4" t="str">
        <f aca="false">IF($A957="","",_xlfn.XLOOKUP(LOWER(TRIM(Base_Bruta!E957)),DePara_Categoria!$A$2:$A$9,DePara_Categoria!$B$2:$B$9,"REVISAR"))</f>
        <v>Show</v>
      </c>
      <c r="F957" s="4" t="str">
        <f aca="false">IF($A957="","",_xlfn.XLOOKUP(LOWER(TRIM(Base_Bruta!F957)),DePara_Cidade!$A$2:$A$29,DePara_Cidade!$B$2:$B$29,"REVISAR"))</f>
        <v>Rio de Janeiro</v>
      </c>
      <c r="G957" s="4" t="str">
        <f aca="false">IF($A957="","",TRIM(Base_Bruta!G957))</f>
        <v>Inteira</v>
      </c>
      <c r="H957" s="4" t="n">
        <f aca="false">IF($A957="","",IF(ISNUMBER(Base_Bruta!H957),Base_Bruta!H957,IFERROR(_xlfn.NUMBERVALUE(TRIM(SUBSTITUTE(Base_Bruta!H957,"R$","")),",","."),0)))</f>
        <v>2</v>
      </c>
      <c r="I957" s="6" t="n">
        <f aca="false">IF($A957="","",IF(ISNUMBER(Base_Bruta!I957),Base_Bruta!I957,IFERROR(_xlfn.NUMBERVALUE(TRIM(SUBSTITUTE(Base_Bruta!I957,"R$","")),",","."),0)))</f>
        <v>350</v>
      </c>
      <c r="J957" s="6" t="n">
        <f aca="false">IF($A957="","",H957*I957)</f>
        <v>700</v>
      </c>
      <c r="K957" s="4" t="str">
        <f aca="false">IF($A957="","",TRIM(Base_Bruta!J957))</f>
        <v>Site</v>
      </c>
      <c r="L957" s="4" t="str">
        <f aca="false">IF($A957="","",TRIM(Base_Bruta!K957))</f>
        <v>C01909</v>
      </c>
      <c r="M957" s="4" t="str">
        <f aca="false">IF($A957="","",_xlfn.XLOOKUP(LOWER(TRIM(Base_Bruta!L957)),DePara_Cidade!$A$2:$A$29,DePara_Cidade!$B$2:$B$29,"REVISAR"))</f>
        <v>Niterói</v>
      </c>
      <c r="N957" s="4" t="str">
        <f aca="false">IF($A957="","",UPPER(TRIM(Base_Bruta!M957)))</f>
        <v>RJ</v>
      </c>
      <c r="O957" s="4" t="str">
        <f aca="false">IF($A957="","",_xlfn.XLOOKUP(LOWER(TRIM(Base_Bruta!N957)),DePara_Pais!$A$2:$A$9,DePara_Pais!$B$2:$B$9,"REVISAR"))</f>
        <v>Brasil</v>
      </c>
      <c r="P957" s="4" t="str">
        <f aca="false">IF($A957="","",IF(O957&lt;&gt;"Brasil","Turista Internacional",IF(M957=F957,"Local","Turista Nacional")))</f>
        <v>Turista Nacional</v>
      </c>
      <c r="Q957" s="7" t="n">
        <f aca="false">IF($A957="","",DATE(YEAR(B957),MONTH(B957),1))</f>
        <v>45809</v>
      </c>
      <c r="R957" s="4" t="str">
        <f aca="false">IF($A957="","",IF(COUNTIF($A$2:$A957,$A957)&gt;1,"Sim","Não"))</f>
        <v>Não</v>
      </c>
      <c r="S957" s="4" t="str">
        <f aca="false">IF(A957="","Descartar - Linha vazia",IF(R957="Sim","Descartar - Duplicado",IF(OR(H957&lt;=0,I957&lt;=0),"Descartar - Qtd/Valor inválido","OK")))</f>
        <v>OK</v>
      </c>
      <c r="T957" s="4" t="str">
        <f aca="false">Base_Bruta!P957</f>
        <v>vendas_RJ.xlsx</v>
      </c>
    </row>
    <row r="958" customFormat="false" ht="15" hidden="false" customHeight="false" outlineLevel="0" collapsed="false">
      <c r="A958" s="4" t="str">
        <f aca="false">IF(Base_Bruta!A958="","",Base_Bruta!A958)</f>
        <v>RJ-000533</v>
      </c>
      <c r="B958" s="5" t="n">
        <f aca="false">IF($A958="","",IF(ISNUMBER(Base_Bruta!B958),Base_Bruta!B958,IF(MID(Base_Bruta!B958,5,1)="-",DATE(VALUE(LEFT(Base_Bruta!B958,4)),VALUE(MID(Base_Bruta!B958,6,2)),VALUE(RIGHT(Base_Bruta!B958,2))),DATE(VALUE(RIGHT(Base_Bruta!B958,4)),VALUE(MID(Base_Bruta!B958,4,2)),VALUE(LEFT(Base_Bruta!B958,2))))))</f>
        <v>45813</v>
      </c>
      <c r="C958" s="5" t="n">
        <f aca="false">IF($A958="","",IF(ISNUMBER(Base_Bruta!C958),Base_Bruta!C958,IF(MID(Base_Bruta!C958,5,1)="-",DATE(VALUE(LEFT(Base_Bruta!C958,4)),VALUE(MID(Base_Bruta!C958,6,2)),VALUE(RIGHT(Base_Bruta!C958,2))),DATE(VALUE(RIGHT(Base_Bruta!C958,4)),VALUE(MID(Base_Bruta!C958,4,2)),VALUE(LEFT(Base_Bruta!C958,2))))))</f>
        <v>45814</v>
      </c>
      <c r="D958" s="4" t="str">
        <f aca="false">IF($A958="","",TRIM(Base_Bruta!D958))</f>
        <v>Cinema Barra - Sessões</v>
      </c>
      <c r="E958" s="4" t="str">
        <f aca="false">IF($A958="","",_xlfn.XLOOKUP(LOWER(TRIM(Base_Bruta!E958)),DePara_Categoria!$A$2:$A$9,DePara_Categoria!$B$2:$B$9,"REVISAR"))</f>
        <v>Cinema</v>
      </c>
      <c r="F958" s="4" t="str">
        <f aca="false">IF($A958="","",_xlfn.XLOOKUP(LOWER(TRIM(Base_Bruta!F958)),DePara_Cidade!$A$2:$A$29,DePara_Cidade!$B$2:$B$29,"REVISAR"))</f>
        <v>Rio de Janeiro</v>
      </c>
      <c r="G958" s="4" t="str">
        <f aca="false">IF($A958="","",TRIM(Base_Bruta!G958))</f>
        <v>Inteira</v>
      </c>
      <c r="H958" s="4" t="n">
        <f aca="false">IF($A958="","",IF(ISNUMBER(Base_Bruta!H958),Base_Bruta!H958,IFERROR(_xlfn.NUMBERVALUE(TRIM(SUBSTITUTE(Base_Bruta!H958,"R$","")),",","."),0)))</f>
        <v>1</v>
      </c>
      <c r="I958" s="6" t="n">
        <f aca="false">IF($A958="","",IF(ISNUMBER(Base_Bruta!I958),Base_Bruta!I958,IFERROR(_xlfn.NUMBERVALUE(TRIM(SUBSTITUTE(Base_Bruta!I958,"R$","")),",","."),0)))</f>
        <v>45</v>
      </c>
      <c r="J958" s="6" t="n">
        <f aca="false">IF($A958="","",H958*I958)</f>
        <v>45</v>
      </c>
      <c r="K958" s="4" t="str">
        <f aca="false">IF($A958="","",TRIM(Base_Bruta!J958))</f>
        <v>Bilheteria</v>
      </c>
      <c r="L958" s="4" t="str">
        <f aca="false">IF($A958="","",TRIM(Base_Bruta!K958))</f>
        <v>C00033</v>
      </c>
      <c r="M958" s="4" t="str">
        <f aca="false">IF($A958="","",_xlfn.XLOOKUP(LOWER(TRIM(Base_Bruta!L958)),DePara_Cidade!$A$2:$A$29,DePara_Cidade!$B$2:$B$29,"REVISAR"))</f>
        <v>Rio de Janeiro</v>
      </c>
      <c r="N958" s="4" t="str">
        <f aca="false">IF($A958="","",UPPER(TRIM(Base_Bruta!M958)))</f>
        <v>RJ</v>
      </c>
      <c r="O958" s="4" t="str">
        <f aca="false">IF($A958="","",_xlfn.XLOOKUP(LOWER(TRIM(Base_Bruta!N958)),DePara_Pais!$A$2:$A$9,DePara_Pais!$B$2:$B$9,"REVISAR"))</f>
        <v>Brasil</v>
      </c>
      <c r="P958" s="4" t="str">
        <f aca="false">IF($A958="","",IF(O958&lt;&gt;"Brasil","Turista Internacional",IF(M958=F958,"Local","Turista Nacional")))</f>
        <v>Local</v>
      </c>
      <c r="Q958" s="7" t="n">
        <f aca="false">IF($A958="","",DATE(YEAR(B958),MONTH(B958),1))</f>
        <v>45809</v>
      </c>
      <c r="R958" s="4" t="str">
        <f aca="false">IF($A958="","",IF(COUNTIF($A$2:$A958,$A958)&gt;1,"Sim","Não"))</f>
        <v>Não</v>
      </c>
      <c r="S958" s="4" t="str">
        <f aca="false">IF(A958="","Descartar - Linha vazia",IF(R958="Sim","Descartar - Duplicado",IF(OR(H958&lt;=0,I958&lt;=0),"Descartar - Qtd/Valor inválido","OK")))</f>
        <v>OK</v>
      </c>
      <c r="T958" s="4" t="str">
        <f aca="false">Base_Bruta!P958</f>
        <v>vendas_RJ.xlsx</v>
      </c>
    </row>
    <row r="959" customFormat="false" ht="15" hidden="false" customHeight="false" outlineLevel="0" collapsed="false">
      <c r="A959" s="4" t="str">
        <f aca="false">IF(Base_Bruta!A959="","",Base_Bruta!A959)</f>
        <v>RJ-000595</v>
      </c>
      <c r="B959" s="5" t="n">
        <f aca="false">IF($A959="","",IF(ISNUMBER(Base_Bruta!B959),Base_Bruta!B959,IF(MID(Base_Bruta!B959,5,1)="-",DATE(VALUE(LEFT(Base_Bruta!B959,4)),VALUE(MID(Base_Bruta!B959,6,2)),VALUE(RIGHT(Base_Bruta!B959,2))),DATE(VALUE(RIGHT(Base_Bruta!B959,4)),VALUE(MID(Base_Bruta!B959,4,2)),VALUE(LEFT(Base_Bruta!B959,2))))))</f>
        <v>45813</v>
      </c>
      <c r="C959" s="5" t="n">
        <f aca="false">IF($A959="","",IF(ISNUMBER(Base_Bruta!C959),Base_Bruta!C959,IF(MID(Base_Bruta!C959,5,1)="-",DATE(VALUE(LEFT(Base_Bruta!C959,4)),VALUE(MID(Base_Bruta!C959,6,2)),VALUE(RIGHT(Base_Bruta!C959,2))),DATE(VALUE(RIGHT(Base_Bruta!C959,4)),VALUE(MID(Base_Bruta!C959,4,2)),VALUE(LEFT(Base_Bruta!C959,2))))))</f>
        <v>45815</v>
      </c>
      <c r="D959" s="4" t="str">
        <f aca="false">IF($A959="","",TRIM(Base_Bruta!D959))</f>
        <v>Cinema Barra - Sessões</v>
      </c>
      <c r="E959" s="4" t="str">
        <f aca="false">IF($A959="","",_xlfn.XLOOKUP(LOWER(TRIM(Base_Bruta!E959)),DePara_Categoria!$A$2:$A$9,DePara_Categoria!$B$2:$B$9,"REVISAR"))</f>
        <v>Cinema</v>
      </c>
      <c r="F959" s="4" t="str">
        <f aca="false">IF($A959="","",_xlfn.XLOOKUP(LOWER(TRIM(Base_Bruta!F959)),DePara_Cidade!$A$2:$A$29,DePara_Cidade!$B$2:$B$29,"REVISAR"))</f>
        <v>Rio de Janeiro</v>
      </c>
      <c r="G959" s="4" t="str">
        <f aca="false">IF($A959="","",TRIM(Base_Bruta!G959))</f>
        <v>Meia</v>
      </c>
      <c r="H959" s="4" t="n">
        <f aca="false">IF($A959="","",IF(ISNUMBER(Base_Bruta!H959),Base_Bruta!H959,IFERROR(_xlfn.NUMBERVALUE(TRIM(SUBSTITUTE(Base_Bruta!H959,"R$","")),",","."),0)))</f>
        <v>2</v>
      </c>
      <c r="I959" s="6" t="n">
        <f aca="false">IF($A959="","",IF(ISNUMBER(Base_Bruta!I959),Base_Bruta!I959,IFERROR(_xlfn.NUMBERVALUE(TRIM(SUBSTITUTE(Base_Bruta!I959,"R$","")),",","."),0)))</f>
        <v>22.5</v>
      </c>
      <c r="J959" s="6" t="n">
        <f aca="false">IF($A959="","",H959*I959)</f>
        <v>45</v>
      </c>
      <c r="K959" s="4" t="str">
        <f aca="false">IF($A959="","",TRIM(Base_Bruta!J959))</f>
        <v>App</v>
      </c>
      <c r="L959" s="4" t="str">
        <f aca="false">IF($A959="","",TRIM(Base_Bruta!K959))</f>
        <v>C01483</v>
      </c>
      <c r="M959" s="4" t="str">
        <f aca="false">IF($A959="","",_xlfn.XLOOKUP(LOWER(TRIM(Base_Bruta!L959)),DePara_Cidade!$A$2:$A$29,DePara_Cidade!$B$2:$B$29,"REVISAR"))</f>
        <v>Rio de Janeiro</v>
      </c>
      <c r="N959" s="4" t="str">
        <f aca="false">IF($A959="","",UPPER(TRIM(Base_Bruta!M959)))</f>
        <v>RJ</v>
      </c>
      <c r="O959" s="4" t="str">
        <f aca="false">IF($A959="","",_xlfn.XLOOKUP(LOWER(TRIM(Base_Bruta!N959)),DePara_Pais!$A$2:$A$9,DePara_Pais!$B$2:$B$9,"REVISAR"))</f>
        <v>Brasil</v>
      </c>
      <c r="P959" s="4" t="str">
        <f aca="false">IF($A959="","",IF(O959&lt;&gt;"Brasil","Turista Internacional",IF(M959=F959,"Local","Turista Nacional")))</f>
        <v>Local</v>
      </c>
      <c r="Q959" s="7" t="n">
        <f aca="false">IF($A959="","",DATE(YEAR(B959),MONTH(B959),1))</f>
        <v>45809</v>
      </c>
      <c r="R959" s="4" t="str">
        <f aca="false">IF($A959="","",IF(COUNTIF($A$2:$A959,$A959)&gt;1,"Sim","Não"))</f>
        <v>Não</v>
      </c>
      <c r="S959" s="4" t="str">
        <f aca="false">IF(A959="","Descartar - Linha vazia",IF(R959="Sim","Descartar - Duplicado",IF(OR(H959&lt;=0,I959&lt;=0),"Descartar - Qtd/Valor inválido","OK")))</f>
        <v>OK</v>
      </c>
      <c r="T959" s="4" t="str">
        <f aca="false">Base_Bruta!P959</f>
        <v>vendas_RJ.xlsx</v>
      </c>
    </row>
    <row r="960" customFormat="false" ht="15" hidden="false" customHeight="false" outlineLevel="0" collapsed="false">
      <c r="A960" s="4" t="str">
        <f aca="false">IF(Base_Bruta!A960="","",Base_Bruta!A960)</f>
        <v>RJ-000692</v>
      </c>
      <c r="B960" s="5" t="n">
        <f aca="false">IF($A960="","",IF(ISNUMBER(Base_Bruta!B960),Base_Bruta!B960,IF(MID(Base_Bruta!B960,5,1)="-",DATE(VALUE(LEFT(Base_Bruta!B960,4)),VALUE(MID(Base_Bruta!B960,6,2)),VALUE(RIGHT(Base_Bruta!B960,2))),DATE(VALUE(RIGHT(Base_Bruta!B960,4)),VALUE(MID(Base_Bruta!B960,4,2)),VALUE(LEFT(Base_Bruta!B960,2))))))</f>
        <v>45813</v>
      </c>
      <c r="C960" s="5" t="n">
        <f aca="false">IF($A960="","",IF(ISNUMBER(Base_Bruta!C960),Base_Bruta!C960,IF(MID(Base_Bruta!C960,5,1)="-",DATE(VALUE(LEFT(Base_Bruta!C960,4)),VALUE(MID(Base_Bruta!C960,6,2)),VALUE(RIGHT(Base_Bruta!C960,2))),DATE(VALUE(RIGHT(Base_Bruta!C960,4)),VALUE(MID(Base_Bruta!C960,4,2)),VALUE(LEFT(Base_Bruta!C960,2))))))</f>
        <v>45813</v>
      </c>
      <c r="D960" s="4" t="str">
        <f aca="false">IF($A960="","",TRIM(Base_Bruta!D960))</f>
        <v>Cinema Barra - Sessões</v>
      </c>
      <c r="E960" s="4" t="str">
        <f aca="false">IF($A960="","",_xlfn.XLOOKUP(LOWER(TRIM(Base_Bruta!E960)),DePara_Categoria!$A$2:$A$9,DePara_Categoria!$B$2:$B$9,"REVISAR"))</f>
        <v>Cinema</v>
      </c>
      <c r="F960" s="4" t="str">
        <f aca="false">IF($A960="","",_xlfn.XLOOKUP(LOWER(TRIM(Base_Bruta!F960)),DePara_Cidade!$A$2:$A$29,DePara_Cidade!$B$2:$B$29,"REVISAR"))</f>
        <v>Rio de Janeiro</v>
      </c>
      <c r="G960" s="4" t="str">
        <f aca="false">IF($A960="","",TRIM(Base_Bruta!G960))</f>
        <v>Meia</v>
      </c>
      <c r="H960" s="4" t="n">
        <f aca="false">IF($A960="","",IF(ISNUMBER(Base_Bruta!H960),Base_Bruta!H960,IFERROR(_xlfn.NUMBERVALUE(TRIM(SUBSTITUTE(Base_Bruta!H960,"R$","")),",","."),0)))</f>
        <v>2</v>
      </c>
      <c r="I960" s="6" t="n">
        <f aca="false">IF($A960="","",IF(ISNUMBER(Base_Bruta!I960),Base_Bruta!I960,IFERROR(_xlfn.NUMBERVALUE(TRIM(SUBSTITUTE(Base_Bruta!I960,"R$","")),",","."),0)))</f>
        <v>17.5</v>
      </c>
      <c r="J960" s="6" t="n">
        <f aca="false">IF($A960="","",H960*I960)</f>
        <v>35</v>
      </c>
      <c r="K960" s="4" t="str">
        <f aca="false">IF($A960="","",TRIM(Base_Bruta!J960))</f>
        <v>App</v>
      </c>
      <c r="L960" s="4" t="str">
        <f aca="false">IF($A960="","",TRIM(Base_Bruta!K960))</f>
        <v>C00558</v>
      </c>
      <c r="M960" s="4" t="str">
        <f aca="false">IF($A960="","",_xlfn.XLOOKUP(LOWER(TRIM(Base_Bruta!L960)),DePara_Cidade!$A$2:$A$29,DePara_Cidade!$B$2:$B$29,"REVISAR"))</f>
        <v>Rio de Janeiro</v>
      </c>
      <c r="N960" s="4" t="str">
        <f aca="false">IF($A960="","",UPPER(TRIM(Base_Bruta!M960)))</f>
        <v>RJ</v>
      </c>
      <c r="O960" s="4" t="str">
        <f aca="false">IF($A960="","",_xlfn.XLOOKUP(LOWER(TRIM(Base_Bruta!N960)),DePara_Pais!$A$2:$A$9,DePara_Pais!$B$2:$B$9,"REVISAR"))</f>
        <v>Brasil</v>
      </c>
      <c r="P960" s="4" t="str">
        <f aca="false">IF($A960="","",IF(O960&lt;&gt;"Brasil","Turista Internacional",IF(M960=F960,"Local","Turista Nacional")))</f>
        <v>Local</v>
      </c>
      <c r="Q960" s="7" t="n">
        <f aca="false">IF($A960="","",DATE(YEAR(B960),MONTH(B960),1))</f>
        <v>45809</v>
      </c>
      <c r="R960" s="4" t="str">
        <f aca="false">IF($A960="","",IF(COUNTIF($A$2:$A960,$A960)&gt;1,"Sim","Não"))</f>
        <v>Não</v>
      </c>
      <c r="S960" s="4" t="str">
        <f aca="false">IF(A960="","Descartar - Linha vazia",IF(R960="Sim","Descartar - Duplicado",IF(OR(H960&lt;=0,I960&lt;=0),"Descartar - Qtd/Valor inválido","OK")))</f>
        <v>OK</v>
      </c>
      <c r="T960" s="4" t="str">
        <f aca="false">Base_Bruta!P960</f>
        <v>vendas_RJ.xlsx</v>
      </c>
    </row>
    <row r="961" customFormat="false" ht="15" hidden="false" customHeight="false" outlineLevel="0" collapsed="false">
      <c r="A961" s="4" t="str">
        <f aca="false">IF(Base_Bruta!A961="","",Base_Bruta!A961)</f>
        <v>RJ-000246</v>
      </c>
      <c r="B961" s="5" t="n">
        <f aca="false">IF($A961="","",IF(ISNUMBER(Base_Bruta!B961),Base_Bruta!B961,IF(MID(Base_Bruta!B961,5,1)="-",DATE(VALUE(LEFT(Base_Bruta!B961,4)),VALUE(MID(Base_Bruta!B961,6,2)),VALUE(RIGHT(Base_Bruta!B961,2))),DATE(VALUE(RIGHT(Base_Bruta!B961,4)),VALUE(MID(Base_Bruta!B961,4,2)),VALUE(LEFT(Base_Bruta!B961,2))))))</f>
        <v>45814</v>
      </c>
      <c r="C961" s="5" t="n">
        <f aca="false">IF($A961="","",IF(ISNUMBER(Base_Bruta!C961),Base_Bruta!C961,IF(MID(Base_Bruta!C961,5,1)="-",DATE(VALUE(LEFT(Base_Bruta!C961,4)),VALUE(MID(Base_Bruta!C961,6,2)),VALUE(RIGHT(Base_Bruta!C961,2))),DATE(VALUE(RIGHT(Base_Bruta!C961,4)),VALUE(MID(Base_Bruta!C961,4,2)),VALUE(LEFT(Base_Bruta!C961,2))))))</f>
        <v>45822</v>
      </c>
      <c r="D961" s="4" t="str">
        <f aca="false">IF($A961="","",TRIM(Base_Bruta!D961))</f>
        <v>Show Nacional MPB - Rio</v>
      </c>
      <c r="E961" s="4" t="str">
        <f aca="false">IF($A961="","",_xlfn.XLOOKUP(LOWER(TRIM(Base_Bruta!E961)),DePara_Categoria!$A$2:$A$9,DePara_Categoria!$B$2:$B$9,"REVISAR"))</f>
        <v>Show</v>
      </c>
      <c r="F961" s="4" t="str">
        <f aca="false">IF($A961="","",_xlfn.XLOOKUP(LOWER(TRIM(Base_Bruta!F961)),DePara_Cidade!$A$2:$A$29,DePara_Cidade!$B$2:$B$29,"REVISAR"))</f>
        <v>Rio de Janeiro</v>
      </c>
      <c r="G961" s="4" t="str">
        <f aca="false">IF($A961="","",TRIM(Base_Bruta!G961))</f>
        <v>Inteira</v>
      </c>
      <c r="H961" s="4" t="n">
        <f aca="false">IF($A961="","",IF(ISNUMBER(Base_Bruta!H961),Base_Bruta!H961,IFERROR(_xlfn.NUMBERVALUE(TRIM(SUBSTITUTE(Base_Bruta!H961,"R$","")),",","."),0)))</f>
        <v>1</v>
      </c>
      <c r="I961" s="6" t="n">
        <f aca="false">IF($A961="","",IF(ISNUMBER(Base_Bruta!I961),Base_Bruta!I961,IFERROR(_xlfn.NUMBERVALUE(TRIM(SUBSTITUTE(Base_Bruta!I961,"R$","")),",","."),0)))</f>
        <v>315</v>
      </c>
      <c r="J961" s="6" t="n">
        <f aca="false">IF($A961="","",H961*I961)</f>
        <v>315</v>
      </c>
      <c r="K961" s="4" t="str">
        <f aca="false">IF($A961="","",TRIM(Base_Bruta!J961))</f>
        <v>Site</v>
      </c>
      <c r="L961" s="4" t="str">
        <f aca="false">IF($A961="","",TRIM(Base_Bruta!K961))</f>
        <v>C01994</v>
      </c>
      <c r="M961" s="4" t="str">
        <f aca="false">IF($A961="","",_xlfn.XLOOKUP(LOWER(TRIM(Base_Bruta!L961)),DePara_Cidade!$A$2:$A$29,DePara_Cidade!$B$2:$B$29,"REVISAR"))</f>
        <v>Rio de Janeiro</v>
      </c>
      <c r="N961" s="4" t="str">
        <f aca="false">IF($A961="","",UPPER(TRIM(Base_Bruta!M961)))</f>
        <v>RJ</v>
      </c>
      <c r="O961" s="4" t="str">
        <f aca="false">IF($A961="","",_xlfn.XLOOKUP(LOWER(TRIM(Base_Bruta!N961)),DePara_Pais!$A$2:$A$9,DePara_Pais!$B$2:$B$9,"REVISAR"))</f>
        <v>Brasil</v>
      </c>
      <c r="P961" s="4" t="str">
        <f aca="false">IF($A961="","",IF(O961&lt;&gt;"Brasil","Turista Internacional",IF(M961=F961,"Local","Turista Nacional")))</f>
        <v>Local</v>
      </c>
      <c r="Q961" s="7" t="n">
        <f aca="false">IF($A961="","",DATE(YEAR(B961),MONTH(B961),1))</f>
        <v>45809</v>
      </c>
      <c r="R961" s="4" t="str">
        <f aca="false">IF($A961="","",IF(COUNTIF($A$2:$A961,$A961)&gt;1,"Sim","Não"))</f>
        <v>Não</v>
      </c>
      <c r="S961" s="4" t="str">
        <f aca="false">IF(A961="","Descartar - Linha vazia",IF(R961="Sim","Descartar - Duplicado",IF(OR(H961&lt;=0,I961&lt;=0),"Descartar - Qtd/Valor inválido","OK")))</f>
        <v>OK</v>
      </c>
      <c r="T961" s="4" t="str">
        <f aca="false">Base_Bruta!P961</f>
        <v>vendas_RJ.xlsx</v>
      </c>
    </row>
    <row r="962" customFormat="false" ht="15" hidden="false" customHeight="false" outlineLevel="0" collapsed="false">
      <c r="A962" s="4" t="str">
        <f aca="false">IF(Base_Bruta!A962="","",Base_Bruta!A962)</f>
        <v>RJ-000244</v>
      </c>
      <c r="B962" s="5" t="n">
        <f aca="false">IF($A962="","",IF(ISNUMBER(Base_Bruta!B962),Base_Bruta!B962,IF(MID(Base_Bruta!B962,5,1)="-",DATE(VALUE(LEFT(Base_Bruta!B962,4)),VALUE(MID(Base_Bruta!B962,6,2)),VALUE(RIGHT(Base_Bruta!B962,2))),DATE(VALUE(RIGHT(Base_Bruta!B962,4)),VALUE(MID(Base_Bruta!B962,4,2)),VALUE(LEFT(Base_Bruta!B962,2))))))</f>
        <v>45815</v>
      </c>
      <c r="C962" s="5" t="n">
        <f aca="false">IF($A962="","",IF(ISNUMBER(Base_Bruta!C962),Base_Bruta!C962,IF(MID(Base_Bruta!C962,5,1)="-",DATE(VALUE(LEFT(Base_Bruta!C962,4)),VALUE(MID(Base_Bruta!C962,6,2)),VALUE(RIGHT(Base_Bruta!C962,2))),DATE(VALUE(RIGHT(Base_Bruta!C962,4)),VALUE(MID(Base_Bruta!C962,4,2)),VALUE(LEFT(Base_Bruta!C962,2))))))</f>
        <v>45822</v>
      </c>
      <c r="D962" s="4" t="str">
        <f aca="false">IF($A962="","",TRIM(Base_Bruta!D962))</f>
        <v>Show Nacional MPB - Rio</v>
      </c>
      <c r="E962" s="4" t="str">
        <f aca="false">IF($A962="","",_xlfn.XLOOKUP(LOWER(TRIM(Base_Bruta!E962)),DePara_Categoria!$A$2:$A$9,DePara_Categoria!$B$2:$B$9,"REVISAR"))</f>
        <v>Show</v>
      </c>
      <c r="F962" s="4" t="str">
        <f aca="false">IF($A962="","",_xlfn.XLOOKUP(LOWER(TRIM(Base_Bruta!F962)),DePara_Cidade!$A$2:$A$29,DePara_Cidade!$B$2:$B$29,"REVISAR"))</f>
        <v>Rio de Janeiro</v>
      </c>
      <c r="G962" s="4" t="str">
        <f aca="false">IF($A962="","",TRIM(Base_Bruta!G962))</f>
        <v>Inteira</v>
      </c>
      <c r="H962" s="4" t="n">
        <f aca="false">IF($A962="","",IF(ISNUMBER(Base_Bruta!H962),Base_Bruta!H962,IFERROR(_xlfn.NUMBERVALUE(TRIM(SUBSTITUTE(Base_Bruta!H962,"R$","")),",","."),0)))</f>
        <v>1</v>
      </c>
      <c r="I962" s="6" t="n">
        <f aca="false">IF($A962="","",IF(ISNUMBER(Base_Bruta!I962),Base_Bruta!I962,IFERROR(_xlfn.NUMBERVALUE(TRIM(SUBSTITUTE(Base_Bruta!I962,"R$","")),",","."),0)))</f>
        <v>405</v>
      </c>
      <c r="J962" s="6" t="n">
        <f aca="false">IF($A962="","",H962*I962)</f>
        <v>405</v>
      </c>
      <c r="K962" s="4" t="str">
        <f aca="false">IF($A962="","",TRIM(Base_Bruta!J962))</f>
        <v>App</v>
      </c>
      <c r="L962" s="4" t="str">
        <f aca="false">IF($A962="","",TRIM(Base_Bruta!K962))</f>
        <v>C00911</v>
      </c>
      <c r="M962" s="4" t="str">
        <f aca="false">IF($A962="","",_xlfn.XLOOKUP(LOWER(TRIM(Base_Bruta!L962)),DePara_Cidade!$A$2:$A$29,DePara_Cidade!$B$2:$B$29,"REVISAR"))</f>
        <v>Niterói</v>
      </c>
      <c r="N962" s="4" t="str">
        <f aca="false">IF($A962="","",UPPER(TRIM(Base_Bruta!M962)))</f>
        <v>RJ</v>
      </c>
      <c r="O962" s="4" t="str">
        <f aca="false">IF($A962="","",_xlfn.XLOOKUP(LOWER(TRIM(Base_Bruta!N962)),DePara_Pais!$A$2:$A$9,DePara_Pais!$B$2:$B$9,"REVISAR"))</f>
        <v>Brasil</v>
      </c>
      <c r="P962" s="4" t="str">
        <f aca="false">IF($A962="","",IF(O962&lt;&gt;"Brasil","Turista Internacional",IF(M962=F962,"Local","Turista Nacional")))</f>
        <v>Turista Nacional</v>
      </c>
      <c r="Q962" s="7" t="n">
        <f aca="false">IF($A962="","",DATE(YEAR(B962),MONTH(B962),1))</f>
        <v>45809</v>
      </c>
      <c r="R962" s="4" t="str">
        <f aca="false">IF($A962="","",IF(COUNTIF($A$2:$A962,$A962)&gt;1,"Sim","Não"))</f>
        <v>Não</v>
      </c>
      <c r="S962" s="4" t="str">
        <f aca="false">IF(A962="","Descartar - Linha vazia",IF(R962="Sim","Descartar - Duplicado",IF(OR(H962&lt;=0,I962&lt;=0),"Descartar - Qtd/Valor inválido","OK")))</f>
        <v>OK</v>
      </c>
      <c r="T962" s="4" t="str">
        <f aca="false">Base_Bruta!P962</f>
        <v>vendas_RJ.xlsx</v>
      </c>
    </row>
    <row r="963" customFormat="false" ht="15" hidden="false" customHeight="false" outlineLevel="0" collapsed="false">
      <c r="A963" s="4" t="str">
        <f aca="false">IF(Base_Bruta!A963="","",Base_Bruta!A963)</f>
        <v>RJ-000286</v>
      </c>
      <c r="B963" s="5" t="n">
        <f aca="false">IF($A963="","",IF(ISNUMBER(Base_Bruta!B963),Base_Bruta!B963,IF(MID(Base_Bruta!B963,5,1)="-",DATE(VALUE(LEFT(Base_Bruta!B963,4)),VALUE(MID(Base_Bruta!B963,6,2)),VALUE(RIGHT(Base_Bruta!B963,2))),DATE(VALUE(RIGHT(Base_Bruta!B963,4)),VALUE(MID(Base_Bruta!B963,4,2)),VALUE(LEFT(Base_Bruta!B963,2))))))</f>
        <v>45815</v>
      </c>
      <c r="C963" s="5" t="n">
        <f aca="false">IF($A963="","",IF(ISNUMBER(Base_Bruta!C963),Base_Bruta!C963,IF(MID(Base_Bruta!C963,5,1)="-",DATE(VALUE(LEFT(Base_Bruta!C963,4)),VALUE(MID(Base_Bruta!C963,6,2)),VALUE(RIGHT(Base_Bruta!C963,2))),DATE(VALUE(RIGHT(Base_Bruta!C963,4)),VALUE(MID(Base_Bruta!C963,4,2)),VALUE(LEFT(Base_Bruta!C963,2))))))</f>
        <v>45822</v>
      </c>
      <c r="D963" s="4" t="str">
        <f aca="false">IF($A963="","",TRIM(Base_Bruta!D963))</f>
        <v>Show Nacional MPB - Rio</v>
      </c>
      <c r="E963" s="4" t="str">
        <f aca="false">IF($A963="","",_xlfn.XLOOKUP(LOWER(TRIM(Base_Bruta!E963)),DePara_Categoria!$A$2:$A$9,DePara_Categoria!$B$2:$B$9,"REVISAR"))</f>
        <v>Show</v>
      </c>
      <c r="F963" s="4" t="str">
        <f aca="false">IF($A963="","",_xlfn.XLOOKUP(LOWER(TRIM(Base_Bruta!F963)),DePara_Cidade!$A$2:$A$29,DePara_Cidade!$B$2:$B$29,"REVISAR"))</f>
        <v>Rio de Janeiro</v>
      </c>
      <c r="G963" s="4" t="str">
        <f aca="false">IF($A963="","",TRIM(Base_Bruta!G963))</f>
        <v>Inteira</v>
      </c>
      <c r="H963" s="4" t="n">
        <f aca="false">IF($A963="","",IF(ISNUMBER(Base_Bruta!H963),Base_Bruta!H963,IFERROR(_xlfn.NUMBERVALUE(TRIM(SUBSTITUTE(Base_Bruta!H963,"R$","")),",","."),0)))</f>
        <v>1</v>
      </c>
      <c r="I963" s="6" t="n">
        <f aca="false">IF($A963="","",IF(ISNUMBER(Base_Bruta!I963),Base_Bruta!I963,IFERROR(_xlfn.NUMBERVALUE(TRIM(SUBSTITUTE(Base_Bruta!I963,"R$","")),",","."),0)))</f>
        <v>625</v>
      </c>
      <c r="J963" s="6" t="n">
        <f aca="false">IF($A963="","",H963*I963)</f>
        <v>625</v>
      </c>
      <c r="K963" s="4" t="str">
        <f aca="false">IF($A963="","",TRIM(Base_Bruta!J963))</f>
        <v>Site</v>
      </c>
      <c r="L963" s="4" t="str">
        <f aca="false">IF($A963="","",TRIM(Base_Bruta!K963))</f>
        <v>C00282</v>
      </c>
      <c r="M963" s="4" t="str">
        <f aca="false">IF($A963="","",_xlfn.XLOOKUP(LOWER(TRIM(Base_Bruta!L963)),DePara_Cidade!$A$2:$A$29,DePara_Cidade!$B$2:$B$29,"REVISAR"))</f>
        <v>Rio de Janeiro</v>
      </c>
      <c r="N963" s="4" t="str">
        <f aca="false">IF($A963="","",UPPER(TRIM(Base_Bruta!M963)))</f>
        <v>RJ</v>
      </c>
      <c r="O963" s="4" t="str">
        <f aca="false">IF($A963="","",_xlfn.XLOOKUP(LOWER(TRIM(Base_Bruta!N963)),DePara_Pais!$A$2:$A$9,DePara_Pais!$B$2:$B$9,"REVISAR"))</f>
        <v>Brasil</v>
      </c>
      <c r="P963" s="4" t="str">
        <f aca="false">IF($A963="","",IF(O963&lt;&gt;"Brasil","Turista Internacional",IF(M963=F963,"Local","Turista Nacional")))</f>
        <v>Local</v>
      </c>
      <c r="Q963" s="7" t="n">
        <f aca="false">IF($A963="","",DATE(YEAR(B963),MONTH(B963),1))</f>
        <v>45809</v>
      </c>
      <c r="R963" s="4" t="str">
        <f aca="false">IF($A963="","",IF(COUNTIF($A$2:$A963,$A963)&gt;1,"Sim","Não"))</f>
        <v>Não</v>
      </c>
      <c r="S963" s="4" t="str">
        <f aca="false">IF(A963="","Descartar - Linha vazia",IF(R963="Sim","Descartar - Duplicado",IF(OR(H963&lt;=0,I963&lt;=0),"Descartar - Qtd/Valor inválido","OK")))</f>
        <v>OK</v>
      </c>
      <c r="T963" s="4" t="str">
        <f aca="false">Base_Bruta!P963</f>
        <v>vendas_RJ.xlsx</v>
      </c>
    </row>
    <row r="964" customFormat="false" ht="15" hidden="false" customHeight="false" outlineLevel="0" collapsed="false">
      <c r="A964" s="4" t="str">
        <f aca="false">IF(Base_Bruta!A964="","",Base_Bruta!A964)</f>
        <v>RJ-000344</v>
      </c>
      <c r="B964" s="5" t="n">
        <f aca="false">IF($A964="","",IF(ISNUMBER(Base_Bruta!B964),Base_Bruta!B964,IF(MID(Base_Bruta!B964,5,1)="-",DATE(VALUE(LEFT(Base_Bruta!B964,4)),VALUE(MID(Base_Bruta!B964,6,2)),VALUE(RIGHT(Base_Bruta!B964,2))),DATE(VALUE(RIGHT(Base_Bruta!B964,4)),VALUE(MID(Base_Bruta!B964,4,2)),VALUE(LEFT(Base_Bruta!B964,2))))))</f>
        <v>45815</v>
      </c>
      <c r="C964" s="5" t="n">
        <f aca="false">IF($A964="","",IF(ISNUMBER(Base_Bruta!C964),Base_Bruta!C964,IF(MID(Base_Bruta!C964,5,1)="-",DATE(VALUE(LEFT(Base_Bruta!C964,4)),VALUE(MID(Base_Bruta!C964,6,2)),VALUE(RIGHT(Base_Bruta!C964,2))),DATE(VALUE(RIGHT(Base_Bruta!C964,4)),VALUE(MID(Base_Bruta!C964,4,2)),VALUE(LEFT(Base_Bruta!C964,2))))))</f>
        <v>45822</v>
      </c>
      <c r="D964" s="4" t="str">
        <f aca="false">IF($A964="","",TRIM(Base_Bruta!D964))</f>
        <v>Show Nacional MPB - Rio</v>
      </c>
      <c r="E964" s="4" t="str">
        <f aca="false">IF($A964="","",_xlfn.XLOOKUP(LOWER(TRIM(Base_Bruta!E964)),DePara_Categoria!$A$2:$A$9,DePara_Categoria!$B$2:$B$9,"REVISAR"))</f>
        <v>Show</v>
      </c>
      <c r="F964" s="4" t="str">
        <f aca="false">IF($A964="","",_xlfn.XLOOKUP(LOWER(TRIM(Base_Bruta!F964)),DePara_Cidade!$A$2:$A$29,DePara_Cidade!$B$2:$B$29,"REVISAR"))</f>
        <v>Rio de Janeiro</v>
      </c>
      <c r="G964" s="4" t="str">
        <f aca="false">IF($A964="","",TRIM(Base_Bruta!G964))</f>
        <v>Meia</v>
      </c>
      <c r="H964" s="4" t="n">
        <f aca="false">IF($A964="","",IF(ISNUMBER(Base_Bruta!H964),Base_Bruta!H964,IFERROR(_xlfn.NUMBERVALUE(TRIM(SUBSTITUTE(Base_Bruta!H964,"R$","")),",","."),0)))</f>
        <v>2</v>
      </c>
      <c r="I964" s="6" t="n">
        <f aca="false">IF($A964="","",IF(ISNUMBER(Base_Bruta!I964),Base_Bruta!I964,IFERROR(_xlfn.NUMBERVALUE(TRIM(SUBSTITUTE(Base_Bruta!I964,"R$","")),",","."),0)))</f>
        <v>272.5</v>
      </c>
      <c r="J964" s="6" t="n">
        <f aca="false">IF($A964="","",H964*I964)</f>
        <v>545</v>
      </c>
      <c r="K964" s="4" t="str">
        <f aca="false">IF($A964="","",TRIM(Base_Bruta!J964))</f>
        <v>Site</v>
      </c>
      <c r="L964" s="4" t="str">
        <f aca="false">IF($A964="","",TRIM(Base_Bruta!K964))</f>
        <v>C01290</v>
      </c>
      <c r="M964" s="4" t="str">
        <f aca="false">IF($A964="","",_xlfn.XLOOKUP(LOWER(TRIM(Base_Bruta!L964)),DePara_Cidade!$A$2:$A$29,DePara_Cidade!$B$2:$B$29,"REVISAR"))</f>
        <v>Miami</v>
      </c>
      <c r="N964" s="4" t="str">
        <f aca="false">IF($A964="","",UPPER(TRIM(Base_Bruta!M964)))</f>
        <v>EX</v>
      </c>
      <c r="O964" s="4" t="str">
        <f aca="false">IF($A964="","",_xlfn.XLOOKUP(LOWER(TRIM(Base_Bruta!N964)),DePara_Pais!$A$2:$A$9,DePara_Pais!$B$2:$B$9,"REVISAR"))</f>
        <v>EUA</v>
      </c>
      <c r="P964" s="4" t="str">
        <f aca="false">IF($A964="","",IF(O964&lt;&gt;"Brasil","Turista Internacional",IF(M964=F964,"Local","Turista Nacional")))</f>
        <v>Turista Internacional</v>
      </c>
      <c r="Q964" s="7" t="n">
        <f aca="false">IF($A964="","",DATE(YEAR(B964),MONTH(B964),1))</f>
        <v>45809</v>
      </c>
      <c r="R964" s="4" t="str">
        <f aca="false">IF($A964="","",IF(COUNTIF($A$2:$A964,$A964)&gt;1,"Sim","Não"))</f>
        <v>Não</v>
      </c>
      <c r="S964" s="4" t="str">
        <f aca="false">IF(A964="","Descartar - Linha vazia",IF(R964="Sim","Descartar - Duplicado",IF(OR(H964&lt;=0,I964&lt;=0),"Descartar - Qtd/Valor inválido","OK")))</f>
        <v>OK</v>
      </c>
      <c r="T964" s="4" t="str">
        <f aca="false">Base_Bruta!P964</f>
        <v>vendas_RJ.xlsx</v>
      </c>
    </row>
    <row r="965" customFormat="false" ht="15" hidden="false" customHeight="false" outlineLevel="0" collapsed="false">
      <c r="A965" s="4" t="str">
        <f aca="false">IF(Base_Bruta!A965="","",Base_Bruta!A965)</f>
        <v>RJ-000361</v>
      </c>
      <c r="B965" s="5" t="n">
        <f aca="false">IF($A965="","",IF(ISNUMBER(Base_Bruta!B965),Base_Bruta!B965,IF(MID(Base_Bruta!B965,5,1)="-",DATE(VALUE(LEFT(Base_Bruta!B965,4)),VALUE(MID(Base_Bruta!B965,6,2)),VALUE(RIGHT(Base_Bruta!B965,2))),DATE(VALUE(RIGHT(Base_Bruta!B965,4)),VALUE(MID(Base_Bruta!B965,4,2)),VALUE(LEFT(Base_Bruta!B965,2))))))</f>
        <v>45815</v>
      </c>
      <c r="C965" s="5" t="n">
        <f aca="false">IF($A965="","",IF(ISNUMBER(Base_Bruta!C965),Base_Bruta!C965,IF(MID(Base_Bruta!C965,5,1)="-",DATE(VALUE(LEFT(Base_Bruta!C965,4)),VALUE(MID(Base_Bruta!C965,6,2)),VALUE(RIGHT(Base_Bruta!C965,2))),DATE(VALUE(RIGHT(Base_Bruta!C965,4)),VALUE(MID(Base_Bruta!C965,4,2)),VALUE(LEFT(Base_Bruta!C965,2))))))</f>
        <v>45822</v>
      </c>
      <c r="D965" s="4" t="str">
        <f aca="false">IF($A965="","",TRIM(Base_Bruta!D965))</f>
        <v>Show Nacional MPB - Rio</v>
      </c>
      <c r="E965" s="4" t="str">
        <f aca="false">IF($A965="","",_xlfn.XLOOKUP(LOWER(TRIM(Base_Bruta!E965)),DePara_Categoria!$A$2:$A$9,DePara_Categoria!$B$2:$B$9,"REVISAR"))</f>
        <v>Show</v>
      </c>
      <c r="F965" s="4" t="str">
        <f aca="false">IF($A965="","",_xlfn.XLOOKUP(LOWER(TRIM(Base_Bruta!F965)),DePara_Cidade!$A$2:$A$29,DePara_Cidade!$B$2:$B$29,"REVISAR"))</f>
        <v>Rio de Janeiro</v>
      </c>
      <c r="G965" s="4" t="str">
        <f aca="false">IF($A965="","",TRIM(Base_Bruta!G965))</f>
        <v>Meia</v>
      </c>
      <c r="H965" s="4" t="n">
        <f aca="false">IF($A965="","",IF(ISNUMBER(Base_Bruta!H965),Base_Bruta!H965,IFERROR(_xlfn.NUMBERVALUE(TRIM(SUBSTITUTE(Base_Bruta!H965,"R$","")),",","."),0)))</f>
        <v>2</v>
      </c>
      <c r="I965" s="6" t="n">
        <f aca="false">IF($A965="","",IF(ISNUMBER(Base_Bruta!I965),Base_Bruta!I965,IFERROR(_xlfn.NUMBERVALUE(TRIM(SUBSTITUTE(Base_Bruta!I965,"R$","")),",","."),0)))</f>
        <v>157.5</v>
      </c>
      <c r="J965" s="6" t="n">
        <f aca="false">IF($A965="","",H965*I965)</f>
        <v>315</v>
      </c>
      <c r="K965" s="4" t="str">
        <f aca="false">IF($A965="","",TRIM(Base_Bruta!J965))</f>
        <v>Site</v>
      </c>
      <c r="L965" s="4" t="str">
        <f aca="false">IF($A965="","",TRIM(Base_Bruta!K965))</f>
        <v>C02161</v>
      </c>
      <c r="M965" s="4" t="str">
        <f aca="false">IF($A965="","",_xlfn.XLOOKUP(LOWER(TRIM(Base_Bruta!L965)),DePara_Cidade!$A$2:$A$29,DePara_Cidade!$B$2:$B$29,"REVISAR"))</f>
        <v>Rio de Janeiro</v>
      </c>
      <c r="N965" s="4" t="str">
        <f aca="false">IF($A965="","",UPPER(TRIM(Base_Bruta!M965)))</f>
        <v>RJ</v>
      </c>
      <c r="O965" s="4" t="str">
        <f aca="false">IF($A965="","",_xlfn.XLOOKUP(LOWER(TRIM(Base_Bruta!N965)),DePara_Pais!$A$2:$A$9,DePara_Pais!$B$2:$B$9,"REVISAR"))</f>
        <v>Brasil</v>
      </c>
      <c r="P965" s="4" t="str">
        <f aca="false">IF($A965="","",IF(O965&lt;&gt;"Brasil","Turista Internacional",IF(M965=F965,"Local","Turista Nacional")))</f>
        <v>Local</v>
      </c>
      <c r="Q965" s="7" t="n">
        <f aca="false">IF($A965="","",DATE(YEAR(B965),MONTH(B965),1))</f>
        <v>45809</v>
      </c>
      <c r="R965" s="4" t="str">
        <f aca="false">IF($A965="","",IF(COUNTIF($A$2:$A965,$A965)&gt;1,"Sim","Não"))</f>
        <v>Não</v>
      </c>
      <c r="S965" s="4" t="str">
        <f aca="false">IF(A965="","Descartar - Linha vazia",IF(R965="Sim","Descartar - Duplicado",IF(OR(H965&lt;=0,I965&lt;=0),"Descartar - Qtd/Valor inválido","OK")))</f>
        <v>OK</v>
      </c>
      <c r="T965" s="4" t="str">
        <f aca="false">Base_Bruta!P965</f>
        <v>vendas_RJ.xlsx</v>
      </c>
    </row>
    <row r="966" customFormat="false" ht="15" hidden="false" customHeight="false" outlineLevel="0" collapsed="false">
      <c r="A966" s="4" t="str">
        <f aca="false">IF(Base_Bruta!A966="","",Base_Bruta!A966)</f>
        <v>RJ-000276</v>
      </c>
      <c r="B966" s="5" t="n">
        <f aca="false">IF($A966="","",IF(ISNUMBER(Base_Bruta!B966),Base_Bruta!B966,IF(MID(Base_Bruta!B966,5,1)="-",DATE(VALUE(LEFT(Base_Bruta!B966,4)),VALUE(MID(Base_Bruta!B966,6,2)),VALUE(RIGHT(Base_Bruta!B966,2))),DATE(VALUE(RIGHT(Base_Bruta!B966,4)),VALUE(MID(Base_Bruta!B966,4,2)),VALUE(LEFT(Base_Bruta!B966,2))))))</f>
        <v>45816</v>
      </c>
      <c r="C966" s="5" t="n">
        <f aca="false">IF($A966="","",IF(ISNUMBER(Base_Bruta!C966),Base_Bruta!C966,IF(MID(Base_Bruta!C966,5,1)="-",DATE(VALUE(LEFT(Base_Bruta!C966,4)),VALUE(MID(Base_Bruta!C966,6,2)),VALUE(RIGHT(Base_Bruta!C966,2))),DATE(VALUE(RIGHT(Base_Bruta!C966,4)),VALUE(MID(Base_Bruta!C966,4,2)),VALUE(LEFT(Base_Bruta!C966,2))))))</f>
        <v>45822</v>
      </c>
      <c r="D966" s="4" t="str">
        <f aca="false">IF($A966="","",TRIM(Base_Bruta!D966))</f>
        <v>Show Nacional MPB - Rio</v>
      </c>
      <c r="E966" s="4" t="str">
        <f aca="false">IF($A966="","",_xlfn.XLOOKUP(LOWER(TRIM(Base_Bruta!E966)),DePara_Categoria!$A$2:$A$9,DePara_Categoria!$B$2:$B$9,"REVISAR"))</f>
        <v>Show</v>
      </c>
      <c r="F966" s="4" t="str">
        <f aca="false">IF($A966="","",_xlfn.XLOOKUP(LOWER(TRIM(Base_Bruta!F966)),DePara_Cidade!$A$2:$A$29,DePara_Cidade!$B$2:$B$29,"REVISAR"))</f>
        <v>Rio de Janeiro</v>
      </c>
      <c r="G966" s="4" t="str">
        <f aca="false">IF($A966="","",TRIM(Base_Bruta!G966))</f>
        <v>Inteira</v>
      </c>
      <c r="H966" s="4" t="n">
        <f aca="false">IF($A966="","",IF(ISNUMBER(Base_Bruta!H966),Base_Bruta!H966,IFERROR(_xlfn.NUMBERVALUE(TRIM(SUBSTITUTE(Base_Bruta!H966,"R$","")),",","."),0)))</f>
        <v>1</v>
      </c>
      <c r="I966" s="6" t="n">
        <f aca="false">IF($A966="","",IF(ISNUMBER(Base_Bruta!I966),Base_Bruta!I966,IFERROR(_xlfn.NUMBERVALUE(TRIM(SUBSTITUTE(Base_Bruta!I966,"R$","")),",","."),0)))</f>
        <v>700</v>
      </c>
      <c r="J966" s="6" t="n">
        <f aca="false">IF($A966="","",H966*I966)</f>
        <v>700</v>
      </c>
      <c r="K966" s="4" t="str">
        <f aca="false">IF($A966="","",TRIM(Base_Bruta!J966))</f>
        <v>App</v>
      </c>
      <c r="L966" s="4" t="str">
        <f aca="false">IF($A966="","",TRIM(Base_Bruta!K966))</f>
        <v>C01131</v>
      </c>
      <c r="M966" s="4" t="str">
        <f aca="false">IF($A966="","",_xlfn.XLOOKUP(LOWER(TRIM(Base_Bruta!L966)),DePara_Cidade!$A$2:$A$29,DePara_Cidade!$B$2:$B$29,"REVISAR"))</f>
        <v>Rio de Janeiro</v>
      </c>
      <c r="N966" s="4" t="str">
        <f aca="false">IF($A966="","",UPPER(TRIM(Base_Bruta!M966)))</f>
        <v>RJ</v>
      </c>
      <c r="O966" s="4" t="str">
        <f aca="false">IF($A966="","",_xlfn.XLOOKUP(LOWER(TRIM(Base_Bruta!N966)),DePara_Pais!$A$2:$A$9,DePara_Pais!$B$2:$B$9,"REVISAR"))</f>
        <v>Brasil</v>
      </c>
      <c r="P966" s="4" t="str">
        <f aca="false">IF($A966="","",IF(O966&lt;&gt;"Brasil","Turista Internacional",IF(M966=F966,"Local","Turista Nacional")))</f>
        <v>Local</v>
      </c>
      <c r="Q966" s="7" t="n">
        <f aca="false">IF($A966="","",DATE(YEAR(B966),MONTH(B966),1))</f>
        <v>45809</v>
      </c>
      <c r="R966" s="4" t="str">
        <f aca="false">IF($A966="","",IF(COUNTIF($A$2:$A966,$A966)&gt;1,"Sim","Não"))</f>
        <v>Não</v>
      </c>
      <c r="S966" s="4" t="str">
        <f aca="false">IF(A966="","Descartar - Linha vazia",IF(R966="Sim","Descartar - Duplicado",IF(OR(H966&lt;=0,I966&lt;=0),"Descartar - Qtd/Valor inválido","OK")))</f>
        <v>OK</v>
      </c>
      <c r="T966" s="4" t="str">
        <f aca="false">Base_Bruta!P966</f>
        <v>vendas_RJ.xlsx</v>
      </c>
    </row>
    <row r="967" customFormat="false" ht="15" hidden="false" customHeight="false" outlineLevel="0" collapsed="false">
      <c r="A967" s="4" t="str">
        <f aca="false">IF(Base_Bruta!A967="","",Base_Bruta!A967)</f>
        <v>RJ-000291</v>
      </c>
      <c r="B967" s="5" t="n">
        <f aca="false">IF($A967="","",IF(ISNUMBER(Base_Bruta!B967),Base_Bruta!B967,IF(MID(Base_Bruta!B967,5,1)="-",DATE(VALUE(LEFT(Base_Bruta!B967,4)),VALUE(MID(Base_Bruta!B967,6,2)),VALUE(RIGHT(Base_Bruta!B967,2))),DATE(VALUE(RIGHT(Base_Bruta!B967,4)),VALUE(MID(Base_Bruta!B967,4,2)),VALUE(LEFT(Base_Bruta!B967,2))))))</f>
        <v>45816</v>
      </c>
      <c r="C967" s="5" t="n">
        <f aca="false">IF($A967="","",IF(ISNUMBER(Base_Bruta!C967),Base_Bruta!C967,IF(MID(Base_Bruta!C967,5,1)="-",DATE(VALUE(LEFT(Base_Bruta!C967,4)),VALUE(MID(Base_Bruta!C967,6,2)),VALUE(RIGHT(Base_Bruta!C967,2))),DATE(VALUE(RIGHT(Base_Bruta!C967,4)),VALUE(MID(Base_Bruta!C967,4,2)),VALUE(LEFT(Base_Bruta!C967,2))))))</f>
        <v>45822</v>
      </c>
      <c r="D967" s="4" t="str">
        <f aca="false">IF($A967="","",TRIM(Base_Bruta!D967))</f>
        <v>Show Nacional MPB - Rio</v>
      </c>
      <c r="E967" s="4" t="str">
        <f aca="false">IF($A967="","",_xlfn.XLOOKUP(LOWER(TRIM(Base_Bruta!E967)),DePara_Categoria!$A$2:$A$9,DePara_Categoria!$B$2:$B$9,"REVISAR"))</f>
        <v>Show</v>
      </c>
      <c r="F967" s="4" t="str">
        <f aca="false">IF($A967="","",_xlfn.XLOOKUP(LOWER(TRIM(Base_Bruta!F967)),DePara_Cidade!$A$2:$A$29,DePara_Cidade!$B$2:$B$29,"REVISAR"))</f>
        <v>Rio de Janeiro</v>
      </c>
      <c r="G967" s="4" t="str">
        <f aca="false">IF($A967="","",TRIM(Base_Bruta!G967))</f>
        <v>Inteira</v>
      </c>
      <c r="H967" s="4" t="n">
        <f aca="false">IF($A967="","",IF(ISNUMBER(Base_Bruta!H967),Base_Bruta!H967,IFERROR(_xlfn.NUMBERVALUE(TRIM(SUBSTITUTE(Base_Bruta!H967,"R$","")),",","."),0)))</f>
        <v>2</v>
      </c>
      <c r="I967" s="6" t="n">
        <f aca="false">IF($A967="","",IF(ISNUMBER(Base_Bruta!I967),Base_Bruta!I967,IFERROR(_xlfn.NUMBERVALUE(TRIM(SUBSTITUTE(Base_Bruta!I967,"R$","")),",","."),0)))</f>
        <v>575</v>
      </c>
      <c r="J967" s="6" t="n">
        <f aca="false">IF($A967="","",H967*I967)</f>
        <v>1150</v>
      </c>
      <c r="K967" s="4" t="str">
        <f aca="false">IF($A967="","",TRIM(Base_Bruta!J967))</f>
        <v>Site</v>
      </c>
      <c r="L967" s="4" t="str">
        <f aca="false">IF($A967="","",TRIM(Base_Bruta!K967))</f>
        <v>C01907</v>
      </c>
      <c r="M967" s="4" t="str">
        <f aca="false">IF($A967="","",_xlfn.XLOOKUP(LOWER(TRIM(Base_Bruta!L967)),DePara_Cidade!$A$2:$A$29,DePara_Cidade!$B$2:$B$29,"REVISAR"))</f>
        <v>Rio de Janeiro</v>
      </c>
      <c r="N967" s="4" t="str">
        <f aca="false">IF($A967="","",UPPER(TRIM(Base_Bruta!M967)))</f>
        <v>RJ</v>
      </c>
      <c r="O967" s="4" t="str">
        <f aca="false">IF($A967="","",_xlfn.XLOOKUP(LOWER(TRIM(Base_Bruta!N967)),DePara_Pais!$A$2:$A$9,DePara_Pais!$B$2:$B$9,"REVISAR"))</f>
        <v>Brasil</v>
      </c>
      <c r="P967" s="4" t="str">
        <f aca="false">IF($A967="","",IF(O967&lt;&gt;"Brasil","Turista Internacional",IF(M967=F967,"Local","Turista Nacional")))</f>
        <v>Local</v>
      </c>
      <c r="Q967" s="7" t="n">
        <f aca="false">IF($A967="","",DATE(YEAR(B967),MONTH(B967),1))</f>
        <v>45809</v>
      </c>
      <c r="R967" s="4" t="str">
        <f aca="false">IF($A967="","",IF(COUNTIF($A$2:$A967,$A967)&gt;1,"Sim","Não"))</f>
        <v>Não</v>
      </c>
      <c r="S967" s="4" t="str">
        <f aca="false">IF(A967="","Descartar - Linha vazia",IF(R967="Sim","Descartar - Duplicado",IF(OR(H967&lt;=0,I967&lt;=0),"Descartar - Qtd/Valor inválido","OK")))</f>
        <v>OK</v>
      </c>
      <c r="T967" s="4" t="str">
        <f aca="false">Base_Bruta!P967</f>
        <v>vendas_RJ.xlsx</v>
      </c>
    </row>
    <row r="968" customFormat="false" ht="15" hidden="false" customHeight="false" outlineLevel="0" collapsed="false">
      <c r="A968" s="4" t="str">
        <f aca="false">IF(Base_Bruta!A968="","",Base_Bruta!A968)</f>
        <v>RJ-000311</v>
      </c>
      <c r="B968" s="5" t="n">
        <f aca="false">IF($A968="","",IF(ISNUMBER(Base_Bruta!B968),Base_Bruta!B968,IF(MID(Base_Bruta!B968,5,1)="-",DATE(VALUE(LEFT(Base_Bruta!B968,4)),VALUE(MID(Base_Bruta!B968,6,2)),VALUE(RIGHT(Base_Bruta!B968,2))),DATE(VALUE(RIGHT(Base_Bruta!B968,4)),VALUE(MID(Base_Bruta!B968,4,2)),VALUE(LEFT(Base_Bruta!B968,2))))))</f>
        <v>45816</v>
      </c>
      <c r="C968" s="5" t="n">
        <f aca="false">IF($A968="","",IF(ISNUMBER(Base_Bruta!C968),Base_Bruta!C968,IF(MID(Base_Bruta!C968,5,1)="-",DATE(VALUE(LEFT(Base_Bruta!C968,4)),VALUE(MID(Base_Bruta!C968,6,2)),VALUE(RIGHT(Base_Bruta!C968,2))),DATE(VALUE(RIGHT(Base_Bruta!C968,4)),VALUE(MID(Base_Bruta!C968,4,2)),VALUE(LEFT(Base_Bruta!C968,2))))))</f>
        <v>45822</v>
      </c>
      <c r="D968" s="4" t="str">
        <f aca="false">IF($A968="","",TRIM(Base_Bruta!D968))</f>
        <v>Show Nacional MPB - Rio</v>
      </c>
      <c r="E968" s="4" t="str">
        <f aca="false">IF($A968="","",_xlfn.XLOOKUP(LOWER(TRIM(Base_Bruta!E968)),DePara_Categoria!$A$2:$A$9,DePara_Categoria!$B$2:$B$9,"REVISAR"))</f>
        <v>Show</v>
      </c>
      <c r="F968" s="4" t="str">
        <f aca="false">IF($A968="","",_xlfn.XLOOKUP(LOWER(TRIM(Base_Bruta!F968)),DePara_Cidade!$A$2:$A$29,DePara_Cidade!$B$2:$B$29,"REVISAR"))</f>
        <v>Rio de Janeiro</v>
      </c>
      <c r="G968" s="4" t="str">
        <f aca="false">IF($A968="","",TRIM(Base_Bruta!G968))</f>
        <v>Meia</v>
      </c>
      <c r="H968" s="4" t="n">
        <f aca="false">IF($A968="","",IF(ISNUMBER(Base_Bruta!H968),Base_Bruta!H968,IFERROR(_xlfn.NUMBERVALUE(TRIM(SUBSTITUTE(Base_Bruta!H968,"R$","")),",","."),0)))</f>
        <v>2</v>
      </c>
      <c r="I968" s="6" t="n">
        <f aca="false">IF($A968="","",IF(ISNUMBER(Base_Bruta!I968),Base_Bruta!I968,IFERROR(_xlfn.NUMBERVALUE(TRIM(SUBSTITUTE(Base_Bruta!I968,"R$","")),",","."),0)))</f>
        <v>227.5</v>
      </c>
      <c r="J968" s="6" t="n">
        <f aca="false">IF($A968="","",H968*I968)</f>
        <v>455</v>
      </c>
      <c r="K968" s="4" t="str">
        <f aca="false">IF($A968="","",TRIM(Base_Bruta!J968))</f>
        <v>App</v>
      </c>
      <c r="L968" s="4" t="str">
        <f aca="false">IF($A968="","",TRIM(Base_Bruta!K968))</f>
        <v>C01526</v>
      </c>
      <c r="M968" s="4" t="str">
        <f aca="false">IF($A968="","",_xlfn.XLOOKUP(LOWER(TRIM(Base_Bruta!L968)),DePara_Cidade!$A$2:$A$29,DePara_Cidade!$B$2:$B$29,"REVISAR"))</f>
        <v>Rio de Janeiro</v>
      </c>
      <c r="N968" s="4" t="str">
        <f aca="false">IF($A968="","",UPPER(TRIM(Base_Bruta!M968)))</f>
        <v>RJ</v>
      </c>
      <c r="O968" s="4" t="str">
        <f aca="false">IF($A968="","",_xlfn.XLOOKUP(LOWER(TRIM(Base_Bruta!N968)),DePara_Pais!$A$2:$A$9,DePara_Pais!$B$2:$B$9,"REVISAR"))</f>
        <v>Brasil</v>
      </c>
      <c r="P968" s="4" t="str">
        <f aca="false">IF($A968="","",IF(O968&lt;&gt;"Brasil","Turista Internacional",IF(M968=F968,"Local","Turista Nacional")))</f>
        <v>Local</v>
      </c>
      <c r="Q968" s="7" t="n">
        <f aca="false">IF($A968="","",DATE(YEAR(B968),MONTH(B968),1))</f>
        <v>45809</v>
      </c>
      <c r="R968" s="4" t="str">
        <f aca="false">IF($A968="","",IF(COUNTIF($A$2:$A968,$A968)&gt;1,"Sim","Não"))</f>
        <v>Não</v>
      </c>
      <c r="S968" s="4" t="str">
        <f aca="false">IF(A968="","Descartar - Linha vazia",IF(R968="Sim","Descartar - Duplicado",IF(OR(H968&lt;=0,I968&lt;=0),"Descartar - Qtd/Valor inválido","OK")))</f>
        <v>OK</v>
      </c>
      <c r="T968" s="4" t="str">
        <f aca="false">Base_Bruta!P968</f>
        <v>vendas_RJ.xlsx</v>
      </c>
    </row>
    <row r="969" customFormat="false" ht="15" hidden="false" customHeight="false" outlineLevel="0" collapsed="false">
      <c r="A969" s="4" t="str">
        <f aca="false">IF(Base_Bruta!A969="","",Base_Bruta!A969)</f>
        <v>RJ-000327</v>
      </c>
      <c r="B969" s="5" t="n">
        <f aca="false">IF($A969="","",IF(ISNUMBER(Base_Bruta!B969),Base_Bruta!B969,IF(MID(Base_Bruta!B969,5,1)="-",DATE(VALUE(LEFT(Base_Bruta!B969,4)),VALUE(MID(Base_Bruta!B969,6,2)),VALUE(RIGHT(Base_Bruta!B969,2))),DATE(VALUE(RIGHT(Base_Bruta!B969,4)),VALUE(MID(Base_Bruta!B969,4,2)),VALUE(LEFT(Base_Bruta!B969,2))))))</f>
        <v>45816</v>
      </c>
      <c r="C969" s="5" t="n">
        <f aca="false">IF($A969="","",IF(ISNUMBER(Base_Bruta!C969),Base_Bruta!C969,IF(MID(Base_Bruta!C969,5,1)="-",DATE(VALUE(LEFT(Base_Bruta!C969,4)),VALUE(MID(Base_Bruta!C969,6,2)),VALUE(RIGHT(Base_Bruta!C969,2))),DATE(VALUE(RIGHT(Base_Bruta!C969,4)),VALUE(MID(Base_Bruta!C969,4,2)),VALUE(LEFT(Base_Bruta!C969,2))))))</f>
        <v>45822</v>
      </c>
      <c r="D969" s="4" t="str">
        <f aca="false">IF($A969="","",TRIM(Base_Bruta!D969))</f>
        <v>Show Nacional MPB - Rio</v>
      </c>
      <c r="E969" s="4" t="str">
        <f aca="false">IF($A969="","",_xlfn.XLOOKUP(LOWER(TRIM(Base_Bruta!E969)),DePara_Categoria!$A$2:$A$9,DePara_Categoria!$B$2:$B$9,"REVISAR"))</f>
        <v>Show</v>
      </c>
      <c r="F969" s="4" t="str">
        <f aca="false">IF($A969="","",_xlfn.XLOOKUP(LOWER(TRIM(Base_Bruta!F969)),DePara_Cidade!$A$2:$A$29,DePara_Cidade!$B$2:$B$29,"REVISAR"))</f>
        <v>Rio de Janeiro</v>
      </c>
      <c r="G969" s="4" t="str">
        <f aca="false">IF($A969="","",TRIM(Base_Bruta!G969))</f>
        <v>Meia</v>
      </c>
      <c r="H969" s="4" t="n">
        <f aca="false">IF($A969="","",IF(ISNUMBER(Base_Bruta!H969),Base_Bruta!H969,IFERROR(_xlfn.NUMBERVALUE(TRIM(SUBSTITUTE(Base_Bruta!H969,"R$","")),",","."),0)))</f>
        <v>4</v>
      </c>
      <c r="I969" s="6" t="n">
        <f aca="false">IF($A969="","",IF(ISNUMBER(Base_Bruta!I969),Base_Bruta!I969,IFERROR(_xlfn.NUMBERVALUE(TRIM(SUBSTITUTE(Base_Bruta!I969,"R$","")),",","."),0)))</f>
        <v>375</v>
      </c>
      <c r="J969" s="6" t="n">
        <f aca="false">IF($A969="","",H969*I969)</f>
        <v>1500</v>
      </c>
      <c r="K969" s="4" t="str">
        <f aca="false">IF($A969="","",TRIM(Base_Bruta!J969))</f>
        <v>Bilheteria</v>
      </c>
      <c r="L969" s="4" t="str">
        <f aca="false">IF($A969="","",TRIM(Base_Bruta!K969))</f>
        <v>C02497</v>
      </c>
      <c r="M969" s="4" t="str">
        <f aca="false">IF($A969="","",_xlfn.XLOOKUP(LOWER(TRIM(Base_Bruta!L969)),DePara_Cidade!$A$2:$A$29,DePara_Cidade!$B$2:$B$29,"REVISAR"))</f>
        <v>Rio de Janeiro</v>
      </c>
      <c r="N969" s="4" t="str">
        <f aca="false">IF($A969="","",UPPER(TRIM(Base_Bruta!M969)))</f>
        <v>RJ</v>
      </c>
      <c r="O969" s="4" t="str">
        <f aca="false">IF($A969="","",_xlfn.XLOOKUP(LOWER(TRIM(Base_Bruta!N969)),DePara_Pais!$A$2:$A$9,DePara_Pais!$B$2:$B$9,"REVISAR"))</f>
        <v>Brasil</v>
      </c>
      <c r="P969" s="4" t="str">
        <f aca="false">IF($A969="","",IF(O969&lt;&gt;"Brasil","Turista Internacional",IF(M969=F969,"Local","Turista Nacional")))</f>
        <v>Local</v>
      </c>
      <c r="Q969" s="7" t="n">
        <f aca="false">IF($A969="","",DATE(YEAR(B969),MONTH(B969),1))</f>
        <v>45809</v>
      </c>
      <c r="R969" s="4" t="str">
        <f aca="false">IF($A969="","",IF(COUNTIF($A$2:$A969,$A969)&gt;1,"Sim","Não"))</f>
        <v>Não</v>
      </c>
      <c r="S969" s="4" t="str">
        <f aca="false">IF(A969="","Descartar - Linha vazia",IF(R969="Sim","Descartar - Duplicado",IF(OR(H969&lt;=0,I969&lt;=0),"Descartar - Qtd/Valor inválido","OK")))</f>
        <v>OK</v>
      </c>
      <c r="T969" s="4" t="str">
        <f aca="false">Base_Bruta!P969</f>
        <v>vendas_RJ.xlsx</v>
      </c>
    </row>
    <row r="970" customFormat="false" ht="15" hidden="false" customHeight="false" outlineLevel="0" collapsed="false">
      <c r="A970" s="4" t="str">
        <f aca="false">IF(Base_Bruta!A970="","",Base_Bruta!A970)</f>
        <v>RJ-000335</v>
      </c>
      <c r="B970" s="5" t="n">
        <f aca="false">IF($A970="","",IF(ISNUMBER(Base_Bruta!B970),Base_Bruta!B970,IF(MID(Base_Bruta!B970,5,1)="-",DATE(VALUE(LEFT(Base_Bruta!B970,4)),VALUE(MID(Base_Bruta!B970,6,2)),VALUE(RIGHT(Base_Bruta!B970,2))),DATE(VALUE(RIGHT(Base_Bruta!B970,4)),VALUE(MID(Base_Bruta!B970,4,2)),VALUE(LEFT(Base_Bruta!B970,2))))))</f>
        <v>45816</v>
      </c>
      <c r="C970" s="5" t="n">
        <f aca="false">IF($A970="","",IF(ISNUMBER(Base_Bruta!C970),Base_Bruta!C970,IF(MID(Base_Bruta!C970,5,1)="-",DATE(VALUE(LEFT(Base_Bruta!C970,4)),VALUE(MID(Base_Bruta!C970,6,2)),VALUE(RIGHT(Base_Bruta!C970,2))),DATE(VALUE(RIGHT(Base_Bruta!C970,4)),VALUE(MID(Base_Bruta!C970,4,2)),VALUE(LEFT(Base_Bruta!C970,2))))))</f>
        <v>45822</v>
      </c>
      <c r="D970" s="4" t="str">
        <f aca="false">IF($A970="","",TRIM(Base_Bruta!D970))</f>
        <v>Show Nacional MPB - Rio</v>
      </c>
      <c r="E970" s="4" t="str">
        <f aca="false">IF($A970="","",_xlfn.XLOOKUP(LOWER(TRIM(Base_Bruta!E970)),DePara_Categoria!$A$2:$A$9,DePara_Categoria!$B$2:$B$9,"REVISAR"))</f>
        <v>Show</v>
      </c>
      <c r="F970" s="4" t="str">
        <f aca="false">IF($A970="","",_xlfn.XLOOKUP(LOWER(TRIM(Base_Bruta!F970)),DePara_Cidade!$A$2:$A$29,DePara_Cidade!$B$2:$B$29,"REVISAR"))</f>
        <v>Rio de Janeiro</v>
      </c>
      <c r="G970" s="4" t="str">
        <f aca="false">IF($A970="","",TRIM(Base_Bruta!G970))</f>
        <v>Meia</v>
      </c>
      <c r="H970" s="4" t="n">
        <f aca="false">IF($A970="","",IF(ISNUMBER(Base_Bruta!H970),Base_Bruta!H970,IFERROR(_xlfn.NUMBERVALUE(TRIM(SUBSTITUTE(Base_Bruta!H970,"R$","")),",","."),0)))</f>
        <v>1</v>
      </c>
      <c r="I970" s="6" t="n">
        <f aca="false">IF($A970="","",IF(ISNUMBER(Base_Bruta!I970),Base_Bruta!I970,IFERROR(_xlfn.NUMBERVALUE(TRIM(SUBSTITUTE(Base_Bruta!I970,"R$","")),",","."),0)))</f>
        <v>240</v>
      </c>
      <c r="J970" s="6" t="n">
        <f aca="false">IF($A970="","",H970*I970)</f>
        <v>240</v>
      </c>
      <c r="K970" s="4" t="str">
        <f aca="false">IF($A970="","",TRIM(Base_Bruta!J970))</f>
        <v>Site</v>
      </c>
      <c r="L970" s="4" t="str">
        <f aca="false">IF($A970="","",TRIM(Base_Bruta!K970))</f>
        <v>C01735</v>
      </c>
      <c r="M970" s="4" t="str">
        <f aca="false">IF($A970="","",_xlfn.XLOOKUP(LOWER(TRIM(Base_Bruta!L970)),DePara_Cidade!$A$2:$A$29,DePara_Cidade!$B$2:$B$29,"REVISAR"))</f>
        <v>Rio de Janeiro</v>
      </c>
      <c r="N970" s="4" t="str">
        <f aca="false">IF($A970="","",UPPER(TRIM(Base_Bruta!M970)))</f>
        <v>RJ</v>
      </c>
      <c r="O970" s="4" t="str">
        <f aca="false">IF($A970="","",_xlfn.XLOOKUP(LOWER(TRIM(Base_Bruta!N970)),DePara_Pais!$A$2:$A$9,DePara_Pais!$B$2:$B$9,"REVISAR"))</f>
        <v>Brasil</v>
      </c>
      <c r="P970" s="4" t="str">
        <f aca="false">IF($A970="","",IF(O970&lt;&gt;"Brasil","Turista Internacional",IF(M970=F970,"Local","Turista Nacional")))</f>
        <v>Local</v>
      </c>
      <c r="Q970" s="7" t="n">
        <f aca="false">IF($A970="","",DATE(YEAR(B970),MONTH(B970),1))</f>
        <v>45809</v>
      </c>
      <c r="R970" s="4" t="str">
        <f aca="false">IF($A970="","",IF(COUNTIF($A$2:$A970,$A970)&gt;1,"Sim","Não"))</f>
        <v>Não</v>
      </c>
      <c r="S970" s="4" t="str">
        <f aca="false">IF(A970="","Descartar - Linha vazia",IF(R970="Sim","Descartar - Duplicado",IF(OR(H970&lt;=0,I970&lt;=0),"Descartar - Qtd/Valor inválido","OK")))</f>
        <v>OK</v>
      </c>
      <c r="T970" s="4" t="str">
        <f aca="false">Base_Bruta!P970</f>
        <v>vendas_RJ.xlsx</v>
      </c>
    </row>
    <row r="971" customFormat="false" ht="15" hidden="false" customHeight="false" outlineLevel="0" collapsed="false">
      <c r="A971" s="4" t="str">
        <f aca="false">IF(Base_Bruta!A971="","",Base_Bruta!A971)</f>
        <v>RJ-000337</v>
      </c>
      <c r="B971" s="5" t="n">
        <f aca="false">IF($A971="","",IF(ISNUMBER(Base_Bruta!B971),Base_Bruta!B971,IF(MID(Base_Bruta!B971,5,1)="-",DATE(VALUE(LEFT(Base_Bruta!B971,4)),VALUE(MID(Base_Bruta!B971,6,2)),VALUE(RIGHT(Base_Bruta!B971,2))),DATE(VALUE(RIGHT(Base_Bruta!B971,4)),VALUE(MID(Base_Bruta!B971,4,2)),VALUE(LEFT(Base_Bruta!B971,2))))))</f>
        <v>45816</v>
      </c>
      <c r="C971" s="5" t="n">
        <f aca="false">IF($A971="","",IF(ISNUMBER(Base_Bruta!C971),Base_Bruta!C971,IF(MID(Base_Bruta!C971,5,1)="-",DATE(VALUE(LEFT(Base_Bruta!C971,4)),VALUE(MID(Base_Bruta!C971,6,2)),VALUE(RIGHT(Base_Bruta!C971,2))),DATE(VALUE(RIGHT(Base_Bruta!C971,4)),VALUE(MID(Base_Bruta!C971,4,2)),VALUE(LEFT(Base_Bruta!C971,2))))))</f>
        <v>45822</v>
      </c>
      <c r="D971" s="4" t="str">
        <f aca="false">IF($A971="","",TRIM(Base_Bruta!D971))</f>
        <v>Show Nacional MPB - Rio</v>
      </c>
      <c r="E971" s="4" t="str">
        <f aca="false">IF($A971="","",_xlfn.XLOOKUP(LOWER(TRIM(Base_Bruta!E971)),DePara_Categoria!$A$2:$A$9,DePara_Categoria!$B$2:$B$9,"REVISAR"))</f>
        <v>Show</v>
      </c>
      <c r="F971" s="4" t="str">
        <f aca="false">IF($A971="","",_xlfn.XLOOKUP(LOWER(TRIM(Base_Bruta!F971)),DePara_Cidade!$A$2:$A$29,DePara_Cidade!$B$2:$B$29,"REVISAR"))</f>
        <v>Rio de Janeiro</v>
      </c>
      <c r="G971" s="4" t="str">
        <f aca="false">IF($A971="","",TRIM(Base_Bruta!G971))</f>
        <v>Meia</v>
      </c>
      <c r="H971" s="4" t="n">
        <f aca="false">IF($A971="","",IF(ISNUMBER(Base_Bruta!H971),Base_Bruta!H971,IFERROR(_xlfn.NUMBERVALUE(TRIM(SUBSTITUTE(Base_Bruta!H971,"R$","")),",","."),0)))</f>
        <v>3</v>
      </c>
      <c r="I971" s="6" t="n">
        <f aca="false">IF($A971="","",IF(ISNUMBER(Base_Bruta!I971),Base_Bruta!I971,IFERROR(_xlfn.NUMBERVALUE(TRIM(SUBSTITUTE(Base_Bruta!I971,"R$","")),",","."),0)))</f>
        <v>245</v>
      </c>
      <c r="J971" s="6" t="n">
        <f aca="false">IF($A971="","",H971*I971)</f>
        <v>735</v>
      </c>
      <c r="K971" s="4" t="str">
        <f aca="false">IF($A971="","",TRIM(Base_Bruta!J971))</f>
        <v>App</v>
      </c>
      <c r="L971" s="4" t="str">
        <f aca="false">IF($A971="","",TRIM(Base_Bruta!K971))</f>
        <v>C00353</v>
      </c>
      <c r="M971" s="4" t="str">
        <f aca="false">IF($A971="","",_xlfn.XLOOKUP(LOWER(TRIM(Base_Bruta!L971)),DePara_Cidade!$A$2:$A$29,DePara_Cidade!$B$2:$B$29,"REVISAR"))</f>
        <v>Goiânia</v>
      </c>
      <c r="N971" s="4" t="str">
        <f aca="false">IF($A971="","",UPPER(TRIM(Base_Bruta!M971)))</f>
        <v>GO</v>
      </c>
      <c r="O971" s="4" t="str">
        <f aca="false">IF($A971="","",_xlfn.XLOOKUP(LOWER(TRIM(Base_Bruta!N971)),DePara_Pais!$A$2:$A$9,DePara_Pais!$B$2:$B$9,"REVISAR"))</f>
        <v>Brasil</v>
      </c>
      <c r="P971" s="4" t="str">
        <f aca="false">IF($A971="","",IF(O971&lt;&gt;"Brasil","Turista Internacional",IF(M971=F971,"Local","Turista Nacional")))</f>
        <v>Turista Nacional</v>
      </c>
      <c r="Q971" s="7" t="n">
        <f aca="false">IF($A971="","",DATE(YEAR(B971),MONTH(B971),1))</f>
        <v>45809</v>
      </c>
      <c r="R971" s="4" t="str">
        <f aca="false">IF($A971="","",IF(COUNTIF($A$2:$A971,$A971)&gt;1,"Sim","Não"))</f>
        <v>Não</v>
      </c>
      <c r="S971" s="4" t="str">
        <f aca="false">IF(A971="","Descartar - Linha vazia",IF(R971="Sim","Descartar - Duplicado",IF(OR(H971&lt;=0,I971&lt;=0),"Descartar - Qtd/Valor inválido","OK")))</f>
        <v>OK</v>
      </c>
      <c r="T971" s="4" t="str">
        <f aca="false">Base_Bruta!P971</f>
        <v>vendas_RJ.xlsx</v>
      </c>
    </row>
    <row r="972" customFormat="false" ht="15" hidden="false" customHeight="false" outlineLevel="0" collapsed="false">
      <c r="A972" s="4" t="str">
        <f aca="false">IF(Base_Bruta!A972="","",Base_Bruta!A972)</f>
        <v>RJ-000361</v>
      </c>
      <c r="B972" s="5" t="n">
        <f aca="false">IF($A972="","",IF(ISNUMBER(Base_Bruta!B972),Base_Bruta!B972,IF(MID(Base_Bruta!B972,5,1)="-",DATE(VALUE(LEFT(Base_Bruta!B972,4)),VALUE(MID(Base_Bruta!B972,6,2)),VALUE(RIGHT(Base_Bruta!B972,2))),DATE(VALUE(RIGHT(Base_Bruta!B972,4)),VALUE(MID(Base_Bruta!B972,4,2)),VALUE(LEFT(Base_Bruta!B972,2))))))</f>
        <v>45815</v>
      </c>
      <c r="C972" s="5" t="n">
        <f aca="false">IF($A972="","",IF(ISNUMBER(Base_Bruta!C972),Base_Bruta!C972,IF(MID(Base_Bruta!C972,5,1)="-",DATE(VALUE(LEFT(Base_Bruta!C972,4)),VALUE(MID(Base_Bruta!C972,6,2)),VALUE(RIGHT(Base_Bruta!C972,2))),DATE(VALUE(RIGHT(Base_Bruta!C972,4)),VALUE(MID(Base_Bruta!C972,4,2)),VALUE(LEFT(Base_Bruta!C972,2))))))</f>
        <v>45822</v>
      </c>
      <c r="D972" s="4" t="str">
        <f aca="false">IF($A972="","",TRIM(Base_Bruta!D972))</f>
        <v>Show Nacional MPB - Rio</v>
      </c>
      <c r="E972" s="4" t="str">
        <f aca="false">IF($A972="","",_xlfn.XLOOKUP(LOWER(TRIM(Base_Bruta!E972)),DePara_Categoria!$A$2:$A$9,DePara_Categoria!$B$2:$B$9,"REVISAR"))</f>
        <v>Show</v>
      </c>
      <c r="F972" s="4" t="str">
        <f aca="false">IF($A972="","",_xlfn.XLOOKUP(LOWER(TRIM(Base_Bruta!F972)),DePara_Cidade!$A$2:$A$29,DePara_Cidade!$B$2:$B$29,"REVISAR"))</f>
        <v>Rio de Janeiro</v>
      </c>
      <c r="G972" s="4" t="str">
        <f aca="false">IF($A972="","",TRIM(Base_Bruta!G972))</f>
        <v>Meia</v>
      </c>
      <c r="H972" s="4" t="n">
        <f aca="false">IF($A972="","",IF(ISNUMBER(Base_Bruta!H972),Base_Bruta!H972,IFERROR(_xlfn.NUMBERVALUE(TRIM(SUBSTITUTE(Base_Bruta!H972,"R$","")),",","."),0)))</f>
        <v>2</v>
      </c>
      <c r="I972" s="6" t="n">
        <f aca="false">IF($A972="","",IF(ISNUMBER(Base_Bruta!I972),Base_Bruta!I972,IFERROR(_xlfn.NUMBERVALUE(TRIM(SUBSTITUTE(Base_Bruta!I972,"R$","")),",","."),0)))</f>
        <v>157.5</v>
      </c>
      <c r="J972" s="6" t="n">
        <f aca="false">IF($A972="","",H972*I972)</f>
        <v>315</v>
      </c>
      <c r="K972" s="4" t="str">
        <f aca="false">IF($A972="","",TRIM(Base_Bruta!J972))</f>
        <v>Site</v>
      </c>
      <c r="L972" s="4" t="str">
        <f aca="false">IF($A972="","",TRIM(Base_Bruta!K972))</f>
        <v>C02161</v>
      </c>
      <c r="M972" s="4" t="str">
        <f aca="false">IF($A972="","",_xlfn.XLOOKUP(LOWER(TRIM(Base_Bruta!L972)),DePara_Cidade!$A$2:$A$29,DePara_Cidade!$B$2:$B$29,"REVISAR"))</f>
        <v>Rio de Janeiro</v>
      </c>
      <c r="N972" s="4" t="str">
        <f aca="false">IF($A972="","",UPPER(TRIM(Base_Bruta!M972)))</f>
        <v>RJ</v>
      </c>
      <c r="O972" s="4" t="str">
        <f aca="false">IF($A972="","",_xlfn.XLOOKUP(LOWER(TRIM(Base_Bruta!N972)),DePara_Pais!$A$2:$A$9,DePara_Pais!$B$2:$B$9,"REVISAR"))</f>
        <v>Brasil</v>
      </c>
      <c r="P972" s="4" t="str">
        <f aca="false">IF($A972="","",IF(O972&lt;&gt;"Brasil","Turista Internacional",IF(M972=F972,"Local","Turista Nacional")))</f>
        <v>Local</v>
      </c>
      <c r="Q972" s="7" t="n">
        <f aca="false">IF($A972="","",DATE(YEAR(B972),MONTH(B972),1))</f>
        <v>45809</v>
      </c>
      <c r="R972" s="4" t="str">
        <f aca="false">IF($A972="","",IF(COUNTIF($A$2:$A972,$A972)&gt;1,"Sim","Não"))</f>
        <v>Sim</v>
      </c>
      <c r="S972" s="4" t="str">
        <f aca="false">IF(A972="","Descartar - Linha vazia",IF(R972="Sim","Descartar - Duplicado",IF(OR(H972&lt;=0,I972&lt;=0),"Descartar - Qtd/Valor inválido","OK")))</f>
        <v>Descartar - Duplicado</v>
      </c>
      <c r="T972" s="4" t="str">
        <f aca="false">Base_Bruta!P972</f>
        <v>vendas_RJ.xlsx</v>
      </c>
    </row>
    <row r="973" customFormat="false" ht="15" hidden="false" customHeight="false" outlineLevel="0" collapsed="false">
      <c r="A973" s="4" t="str">
        <f aca="false">IF(Base_Bruta!A973="","",Base_Bruta!A973)</f>
        <v>RJ-000358</v>
      </c>
      <c r="B973" s="5" t="n">
        <f aca="false">IF($A973="","",IF(ISNUMBER(Base_Bruta!B973),Base_Bruta!B973,IF(MID(Base_Bruta!B973,5,1)="-",DATE(VALUE(LEFT(Base_Bruta!B973,4)),VALUE(MID(Base_Bruta!B973,6,2)),VALUE(RIGHT(Base_Bruta!B973,2))),DATE(VALUE(RIGHT(Base_Bruta!B973,4)),VALUE(MID(Base_Bruta!B973,4,2)),VALUE(LEFT(Base_Bruta!B973,2))))))</f>
        <v>45816</v>
      </c>
      <c r="C973" s="5" t="n">
        <f aca="false">IF($A973="","",IF(ISNUMBER(Base_Bruta!C973),Base_Bruta!C973,IF(MID(Base_Bruta!C973,5,1)="-",DATE(VALUE(LEFT(Base_Bruta!C973,4)),VALUE(MID(Base_Bruta!C973,6,2)),VALUE(RIGHT(Base_Bruta!C973,2))),DATE(VALUE(RIGHT(Base_Bruta!C973,4)),VALUE(MID(Base_Bruta!C973,4,2)),VALUE(LEFT(Base_Bruta!C973,2))))))</f>
        <v>45822</v>
      </c>
      <c r="D973" s="4" t="str">
        <f aca="false">IF($A973="","",TRIM(Base_Bruta!D973))</f>
        <v>Show Nacional MPB - Rio</v>
      </c>
      <c r="E973" s="4" t="str">
        <f aca="false">IF($A973="","",_xlfn.XLOOKUP(LOWER(TRIM(Base_Bruta!E973)),DePara_Categoria!$A$2:$A$9,DePara_Categoria!$B$2:$B$9,"REVISAR"))</f>
        <v>Show</v>
      </c>
      <c r="F973" s="4" t="str">
        <f aca="false">IF($A973="","",_xlfn.XLOOKUP(LOWER(TRIM(Base_Bruta!F973)),DePara_Cidade!$A$2:$A$29,DePara_Cidade!$B$2:$B$29,"REVISAR"))</f>
        <v>Rio de Janeiro</v>
      </c>
      <c r="G973" s="4" t="str">
        <f aca="false">IF($A973="","",TRIM(Base_Bruta!G973))</f>
        <v>VIP</v>
      </c>
      <c r="H973" s="4" t="n">
        <f aca="false">IF($A973="","",IF(ISNUMBER(Base_Bruta!H973),Base_Bruta!H973,IFERROR(_xlfn.NUMBERVALUE(TRIM(SUBSTITUTE(Base_Bruta!H973,"R$","")),",","."),0)))</f>
        <v>3</v>
      </c>
      <c r="I973" s="6" t="n">
        <f aca="false">IF($A973="","",IF(ISNUMBER(Base_Bruta!I973),Base_Bruta!I973,IFERROR(_xlfn.NUMBERVALUE(TRIM(SUBSTITUTE(Base_Bruta!I973,"R$","")),",","."),0)))</f>
        <v>660</v>
      </c>
      <c r="J973" s="6" t="n">
        <f aca="false">IF($A973="","",H973*I973)</f>
        <v>1980</v>
      </c>
      <c r="K973" s="4" t="str">
        <f aca="false">IF($A973="","",TRIM(Base_Bruta!J973))</f>
        <v>Site</v>
      </c>
      <c r="L973" s="4" t="str">
        <f aca="false">IF($A973="","",TRIM(Base_Bruta!K973))</f>
        <v>C01546</v>
      </c>
      <c r="M973" s="4" t="str">
        <f aca="false">IF($A973="","",_xlfn.XLOOKUP(LOWER(TRIM(Base_Bruta!L973)),DePara_Cidade!$A$2:$A$29,DePara_Cidade!$B$2:$B$29,"REVISAR"))</f>
        <v>Rio de Janeiro</v>
      </c>
      <c r="N973" s="4" t="str">
        <f aca="false">IF($A973="","",UPPER(TRIM(Base_Bruta!M973)))</f>
        <v>RJ</v>
      </c>
      <c r="O973" s="4" t="str">
        <f aca="false">IF($A973="","",_xlfn.XLOOKUP(LOWER(TRIM(Base_Bruta!N973)),DePara_Pais!$A$2:$A$9,DePara_Pais!$B$2:$B$9,"REVISAR"))</f>
        <v>Brasil</v>
      </c>
      <c r="P973" s="4" t="str">
        <f aca="false">IF($A973="","",IF(O973&lt;&gt;"Brasil","Turista Internacional",IF(M973=F973,"Local","Turista Nacional")))</f>
        <v>Local</v>
      </c>
      <c r="Q973" s="7" t="n">
        <f aca="false">IF($A973="","",DATE(YEAR(B973),MONTH(B973),1))</f>
        <v>45809</v>
      </c>
      <c r="R973" s="4" t="str">
        <f aca="false">IF($A973="","",IF(COUNTIF($A$2:$A973,$A973)&gt;1,"Sim","Não"))</f>
        <v>Não</v>
      </c>
      <c r="S973" s="4" t="str">
        <f aca="false">IF(A973="","Descartar - Linha vazia",IF(R973="Sim","Descartar - Duplicado",IF(OR(H973&lt;=0,I973&lt;=0),"Descartar - Qtd/Valor inválido","OK")))</f>
        <v>OK</v>
      </c>
      <c r="T973" s="4" t="str">
        <f aca="false">Base_Bruta!P973</f>
        <v>vendas_RJ.xlsx</v>
      </c>
    </row>
    <row r="974" customFormat="false" ht="15" hidden="false" customHeight="false" outlineLevel="0" collapsed="false">
      <c r="A974" s="4" t="str">
        <f aca="false">IF(Base_Bruta!A974="","",Base_Bruta!A974)</f>
        <v>RJ-000242</v>
      </c>
      <c r="B974" s="5" t="n">
        <f aca="false">IF($A974="","",IF(ISNUMBER(Base_Bruta!B974),Base_Bruta!B974,IF(MID(Base_Bruta!B974,5,1)="-",DATE(VALUE(LEFT(Base_Bruta!B974,4)),VALUE(MID(Base_Bruta!B974,6,2)),VALUE(RIGHT(Base_Bruta!B974,2))),DATE(VALUE(RIGHT(Base_Bruta!B974,4)),VALUE(MID(Base_Bruta!B974,4,2)),VALUE(LEFT(Base_Bruta!B974,2))))))</f>
        <v>45817</v>
      </c>
      <c r="C974" s="5" t="n">
        <f aca="false">IF($A974="","",IF(ISNUMBER(Base_Bruta!C974),Base_Bruta!C974,IF(MID(Base_Bruta!C974,5,1)="-",DATE(VALUE(LEFT(Base_Bruta!C974,4)),VALUE(MID(Base_Bruta!C974,6,2)),VALUE(RIGHT(Base_Bruta!C974,2))),DATE(VALUE(RIGHT(Base_Bruta!C974,4)),VALUE(MID(Base_Bruta!C974,4,2)),VALUE(LEFT(Base_Bruta!C974,2))))))</f>
        <v>45822</v>
      </c>
      <c r="D974" s="4" t="str">
        <f aca="false">IF($A974="","",TRIM(Base_Bruta!D974))</f>
        <v>Show Nacional MPB - Rio</v>
      </c>
      <c r="E974" s="4" t="str">
        <f aca="false">IF($A974="","",_xlfn.XLOOKUP(LOWER(TRIM(Base_Bruta!E974)),DePara_Categoria!$A$2:$A$9,DePara_Categoria!$B$2:$B$9,"REVISAR"))</f>
        <v>Show</v>
      </c>
      <c r="F974" s="4" t="str">
        <f aca="false">IF($A974="","",_xlfn.XLOOKUP(LOWER(TRIM(Base_Bruta!F974)),DePara_Cidade!$A$2:$A$29,DePara_Cidade!$B$2:$B$29,"REVISAR"))</f>
        <v>Rio de Janeiro</v>
      </c>
      <c r="G974" s="4" t="str">
        <f aca="false">IF($A974="","",TRIM(Base_Bruta!G974))</f>
        <v>Inteira</v>
      </c>
      <c r="H974" s="4" t="n">
        <f aca="false">IF($A974="","",IF(ISNUMBER(Base_Bruta!H974),Base_Bruta!H974,IFERROR(_xlfn.NUMBERVALUE(TRIM(SUBSTITUTE(Base_Bruta!H974,"R$","")),",","."),0)))</f>
        <v>2</v>
      </c>
      <c r="I974" s="6" t="n">
        <f aca="false">IF($A974="","",IF(ISNUMBER(Base_Bruta!I974),Base_Bruta!I974,IFERROR(_xlfn.NUMBERVALUE(TRIM(SUBSTITUTE(Base_Bruta!I974,"R$","")),",","."),0)))</f>
        <v>675</v>
      </c>
      <c r="J974" s="6" t="n">
        <f aca="false">IF($A974="","",H974*I974)</f>
        <v>1350</v>
      </c>
      <c r="K974" s="4" t="str">
        <f aca="false">IF($A974="","",TRIM(Base_Bruta!J974))</f>
        <v>Bilheteria</v>
      </c>
      <c r="L974" s="4" t="str">
        <f aca="false">IF($A974="","",TRIM(Base_Bruta!K974))</f>
        <v>C00386</v>
      </c>
      <c r="M974" s="4" t="str">
        <f aca="false">IF($A974="","",_xlfn.XLOOKUP(LOWER(TRIM(Base_Bruta!L974)),DePara_Cidade!$A$2:$A$29,DePara_Cidade!$B$2:$B$29,"REVISAR"))</f>
        <v>Porto Alegre</v>
      </c>
      <c r="N974" s="4" t="str">
        <f aca="false">IF($A974="","",UPPER(TRIM(Base_Bruta!M974)))</f>
        <v>RS</v>
      </c>
      <c r="O974" s="4" t="str">
        <f aca="false">IF($A974="","",_xlfn.XLOOKUP(LOWER(TRIM(Base_Bruta!N974)),DePara_Pais!$A$2:$A$9,DePara_Pais!$B$2:$B$9,"REVISAR"))</f>
        <v>Brasil</v>
      </c>
      <c r="P974" s="4" t="str">
        <f aca="false">IF($A974="","",IF(O974&lt;&gt;"Brasil","Turista Internacional",IF(M974=F974,"Local","Turista Nacional")))</f>
        <v>Turista Nacional</v>
      </c>
      <c r="Q974" s="7" t="n">
        <f aca="false">IF($A974="","",DATE(YEAR(B974),MONTH(B974),1))</f>
        <v>45809</v>
      </c>
      <c r="R974" s="4" t="str">
        <f aca="false">IF($A974="","",IF(COUNTIF($A$2:$A974,$A974)&gt;1,"Sim","Não"))</f>
        <v>Não</v>
      </c>
      <c r="S974" s="4" t="str">
        <f aca="false">IF(A974="","Descartar - Linha vazia",IF(R974="Sim","Descartar - Duplicado",IF(OR(H974&lt;=0,I974&lt;=0),"Descartar - Qtd/Valor inválido","OK")))</f>
        <v>OK</v>
      </c>
      <c r="T974" s="4" t="str">
        <f aca="false">Base_Bruta!P974</f>
        <v>vendas_RJ.xlsx</v>
      </c>
    </row>
    <row r="975" customFormat="false" ht="15" hidden="false" customHeight="false" outlineLevel="0" collapsed="false">
      <c r="A975" s="4" t="str">
        <f aca="false">IF(Base_Bruta!A975="","",Base_Bruta!A975)</f>
        <v>RJ-000340</v>
      </c>
      <c r="B975" s="5" t="n">
        <f aca="false">IF($A975="","",IF(ISNUMBER(Base_Bruta!B975),Base_Bruta!B975,IF(MID(Base_Bruta!B975,5,1)="-",DATE(VALUE(LEFT(Base_Bruta!B975,4)),VALUE(MID(Base_Bruta!B975,6,2)),VALUE(RIGHT(Base_Bruta!B975,2))),DATE(VALUE(RIGHT(Base_Bruta!B975,4)),VALUE(MID(Base_Bruta!B975,4,2)),VALUE(LEFT(Base_Bruta!B975,2))))))</f>
        <v>45817</v>
      </c>
      <c r="C975" s="5" t="n">
        <f aca="false">IF($A975="","",IF(ISNUMBER(Base_Bruta!C975),Base_Bruta!C975,IF(MID(Base_Bruta!C975,5,1)="-",DATE(VALUE(LEFT(Base_Bruta!C975,4)),VALUE(MID(Base_Bruta!C975,6,2)),VALUE(RIGHT(Base_Bruta!C975,2))),DATE(VALUE(RIGHT(Base_Bruta!C975,4)),VALUE(MID(Base_Bruta!C975,4,2)),VALUE(LEFT(Base_Bruta!C975,2))))))</f>
        <v>45822</v>
      </c>
      <c r="D975" s="4" t="str">
        <f aca="false">IF($A975="","",TRIM(Base_Bruta!D975))</f>
        <v>Show Nacional MPB - Rio</v>
      </c>
      <c r="E975" s="4" t="str">
        <f aca="false">IF($A975="","",_xlfn.XLOOKUP(LOWER(TRIM(Base_Bruta!E975)),DePara_Categoria!$A$2:$A$9,DePara_Categoria!$B$2:$B$9,"REVISAR"))</f>
        <v>Show</v>
      </c>
      <c r="F975" s="4" t="str">
        <f aca="false">IF($A975="","",_xlfn.XLOOKUP(LOWER(TRIM(Base_Bruta!F975)),DePara_Cidade!$A$2:$A$29,DePara_Cidade!$B$2:$B$29,"REVISAR"))</f>
        <v>Rio de Janeiro</v>
      </c>
      <c r="G975" s="4" t="str">
        <f aca="false">IF($A975="","",TRIM(Base_Bruta!G975))</f>
        <v>Inteira</v>
      </c>
      <c r="H975" s="4" t="n">
        <f aca="false">IF($A975="","",IF(ISNUMBER(Base_Bruta!H975),Base_Bruta!H975,IFERROR(_xlfn.NUMBERVALUE(TRIM(SUBSTITUTE(Base_Bruta!H975,"R$","")),",","."),0)))</f>
        <v>2</v>
      </c>
      <c r="I975" s="6" t="n">
        <f aca="false">IF($A975="","",IF(ISNUMBER(Base_Bruta!I975),Base_Bruta!I975,IFERROR(_xlfn.NUMBERVALUE(TRIM(SUBSTITUTE(Base_Bruta!I975,"R$","")),",","."),0)))</f>
        <v>705</v>
      </c>
      <c r="J975" s="6" t="n">
        <f aca="false">IF($A975="","",H975*I975)</f>
        <v>1410</v>
      </c>
      <c r="K975" s="4" t="str">
        <f aca="false">IF($A975="","",TRIM(Base_Bruta!J975))</f>
        <v>App</v>
      </c>
      <c r="L975" s="4" t="str">
        <f aca="false">IF($A975="","",TRIM(Base_Bruta!K975))</f>
        <v>C01717</v>
      </c>
      <c r="M975" s="4" t="str">
        <f aca="false">IF($A975="","",_xlfn.XLOOKUP(LOWER(TRIM(Base_Bruta!L975)),DePara_Cidade!$A$2:$A$29,DePara_Cidade!$B$2:$B$29,"REVISAR"))</f>
        <v>Rio de Janeiro</v>
      </c>
      <c r="N975" s="4" t="str">
        <f aca="false">IF($A975="","",UPPER(TRIM(Base_Bruta!M975)))</f>
        <v>RJ</v>
      </c>
      <c r="O975" s="4" t="str">
        <f aca="false">IF($A975="","",_xlfn.XLOOKUP(LOWER(TRIM(Base_Bruta!N975)),DePara_Pais!$A$2:$A$9,DePara_Pais!$B$2:$B$9,"REVISAR"))</f>
        <v>Brasil</v>
      </c>
      <c r="P975" s="4" t="str">
        <f aca="false">IF($A975="","",IF(O975&lt;&gt;"Brasil","Turista Internacional",IF(M975=F975,"Local","Turista Nacional")))</f>
        <v>Local</v>
      </c>
      <c r="Q975" s="7" t="n">
        <f aca="false">IF($A975="","",DATE(YEAR(B975),MONTH(B975),1))</f>
        <v>45809</v>
      </c>
      <c r="R975" s="4" t="str">
        <f aca="false">IF($A975="","",IF(COUNTIF($A$2:$A975,$A975)&gt;1,"Sim","Não"))</f>
        <v>Não</v>
      </c>
      <c r="S975" s="4" t="str">
        <f aca="false">IF(A975="","Descartar - Linha vazia",IF(R975="Sim","Descartar - Duplicado",IF(OR(H975&lt;=0,I975&lt;=0),"Descartar - Qtd/Valor inválido","OK")))</f>
        <v>OK</v>
      </c>
      <c r="T975" s="4" t="str">
        <f aca="false">Base_Bruta!P975</f>
        <v>vendas_RJ.xlsx</v>
      </c>
    </row>
    <row r="976" customFormat="false" ht="15" hidden="false" customHeight="false" outlineLevel="0" collapsed="false">
      <c r="A976" s="4" t="str">
        <f aca="false">IF(Base_Bruta!A976="","",Base_Bruta!A976)</f>
        <v>RJ-000232</v>
      </c>
      <c r="B976" s="5" t="n">
        <f aca="false">IF($A976="","",IF(ISNUMBER(Base_Bruta!B976),Base_Bruta!B976,IF(MID(Base_Bruta!B976,5,1)="-",DATE(VALUE(LEFT(Base_Bruta!B976,4)),VALUE(MID(Base_Bruta!B976,6,2)),VALUE(RIGHT(Base_Bruta!B976,2))),DATE(VALUE(RIGHT(Base_Bruta!B976,4)),VALUE(MID(Base_Bruta!B976,4,2)),VALUE(LEFT(Base_Bruta!B976,2))))))</f>
        <v>45797</v>
      </c>
      <c r="C976" s="5" t="n">
        <f aca="false">IF($A976="","",IF(ISNUMBER(Base_Bruta!C976),Base_Bruta!C976,IF(MID(Base_Bruta!C976,5,1)="-",DATE(VALUE(LEFT(Base_Bruta!C976,4)),VALUE(MID(Base_Bruta!C976,6,2)),VALUE(RIGHT(Base_Bruta!C976,2))),DATE(VALUE(RIGHT(Base_Bruta!C976,4)),VALUE(MID(Base_Bruta!C976,4,2)),VALUE(LEFT(Base_Bruta!C976,2))))))</f>
        <v>45822</v>
      </c>
      <c r="D976" s="4" t="str">
        <f aca="false">IF($A976="","",TRIM(Base_Bruta!D976))</f>
        <v>Show Nacional MPB - Rio</v>
      </c>
      <c r="E976" s="4" t="str">
        <f aca="false">IF($A976="","",_xlfn.XLOOKUP(LOWER(TRIM(Base_Bruta!E976)),DePara_Categoria!$A$2:$A$9,DePara_Categoria!$B$2:$B$9,"REVISAR"))</f>
        <v>Show</v>
      </c>
      <c r="F976" s="4" t="str">
        <f aca="false">IF($A976="","",_xlfn.XLOOKUP(LOWER(TRIM(Base_Bruta!F976)),DePara_Cidade!$A$2:$A$29,DePara_Cidade!$B$2:$B$29,"REVISAR"))</f>
        <v>Rio de Janeiro</v>
      </c>
      <c r="G976" s="4" t="str">
        <f aca="false">IF($A976="","",TRIM(Base_Bruta!G976))</f>
        <v>Meia</v>
      </c>
      <c r="H976" s="4" t="n">
        <f aca="false">IF($A976="","",IF(ISNUMBER(Base_Bruta!H976),Base_Bruta!H976,IFERROR(_xlfn.NUMBERVALUE(TRIM(SUBSTITUTE(Base_Bruta!H976,"R$","")),",","."),0)))</f>
        <v>4</v>
      </c>
      <c r="I976" s="6" t="n">
        <f aca="false">IF($A976="","",IF(ISNUMBER(Base_Bruta!I976),Base_Bruta!I976,IFERROR(_xlfn.NUMBERVALUE(TRIM(SUBSTITUTE(Base_Bruta!I976,"R$","")),",","."),0)))</f>
        <v>337.5</v>
      </c>
      <c r="J976" s="6" t="n">
        <f aca="false">IF($A976="","",H976*I976)</f>
        <v>1350</v>
      </c>
      <c r="K976" s="4" t="str">
        <f aca="false">IF($A976="","",TRIM(Base_Bruta!J976))</f>
        <v>App</v>
      </c>
      <c r="L976" s="4" t="str">
        <f aca="false">IF($A976="","",TRIM(Base_Bruta!K976))</f>
        <v>C02213</v>
      </c>
      <c r="M976" s="4" t="str">
        <f aca="false">IF($A976="","",_xlfn.XLOOKUP(LOWER(TRIM(Base_Bruta!L976)),DePara_Cidade!$A$2:$A$29,DePara_Cidade!$B$2:$B$29,"REVISAR"))</f>
        <v>Rio de Janeiro</v>
      </c>
      <c r="N976" s="4" t="str">
        <f aca="false">IF($A976="","",UPPER(TRIM(Base_Bruta!M976)))</f>
        <v>RJ</v>
      </c>
      <c r="O976" s="4" t="str">
        <f aca="false">IF($A976="","",_xlfn.XLOOKUP(LOWER(TRIM(Base_Bruta!N976)),DePara_Pais!$A$2:$A$9,DePara_Pais!$B$2:$B$9,"REVISAR"))</f>
        <v>Brasil</v>
      </c>
      <c r="P976" s="4" t="str">
        <f aca="false">IF($A976="","",IF(O976&lt;&gt;"Brasil","Turista Internacional",IF(M976=F976,"Local","Turista Nacional")))</f>
        <v>Local</v>
      </c>
      <c r="Q976" s="7" t="n">
        <f aca="false">IF($A976="","",DATE(YEAR(B976),MONTH(B976),1))</f>
        <v>45778</v>
      </c>
      <c r="R976" s="4" t="str">
        <f aca="false">IF($A976="","",IF(COUNTIF($A$2:$A976,$A976)&gt;1,"Sim","Não"))</f>
        <v>Sim</v>
      </c>
      <c r="S976" s="4" t="str">
        <f aca="false">IF(A976="","Descartar - Linha vazia",IF(R976="Sim","Descartar - Duplicado",IF(OR(H976&lt;=0,I976&lt;=0),"Descartar - Qtd/Valor inválido","OK")))</f>
        <v>Descartar - Duplicado</v>
      </c>
      <c r="T976" s="4" t="str">
        <f aca="false">Base_Bruta!P976</f>
        <v>vendas_RJ.xlsx</v>
      </c>
    </row>
    <row r="977" customFormat="false" ht="15" hidden="false" customHeight="false" outlineLevel="0" collapsed="false">
      <c r="A977" s="4" t="str">
        <f aca="false">IF(Base_Bruta!A977="","",Base_Bruta!A977)</f>
        <v>RJ-000234</v>
      </c>
      <c r="B977" s="5" t="n">
        <f aca="false">IF($A977="","",IF(ISNUMBER(Base_Bruta!B977),Base_Bruta!B977,IF(MID(Base_Bruta!B977,5,1)="-",DATE(VALUE(LEFT(Base_Bruta!B977,4)),VALUE(MID(Base_Bruta!B977,6,2)),VALUE(RIGHT(Base_Bruta!B977,2))),DATE(VALUE(RIGHT(Base_Bruta!B977,4)),VALUE(MID(Base_Bruta!B977,4,2)),VALUE(LEFT(Base_Bruta!B977,2))))))</f>
        <v>45818</v>
      </c>
      <c r="C977" s="5" t="n">
        <f aca="false">IF($A977="","",IF(ISNUMBER(Base_Bruta!C977),Base_Bruta!C977,IF(MID(Base_Bruta!C977,5,1)="-",DATE(VALUE(LEFT(Base_Bruta!C977,4)),VALUE(MID(Base_Bruta!C977,6,2)),VALUE(RIGHT(Base_Bruta!C977,2))),DATE(VALUE(RIGHT(Base_Bruta!C977,4)),VALUE(MID(Base_Bruta!C977,4,2)),VALUE(LEFT(Base_Bruta!C977,2))))))</f>
        <v>45822</v>
      </c>
      <c r="D977" s="4" t="str">
        <f aca="false">IF($A977="","",TRIM(Base_Bruta!D977))</f>
        <v>Show Nacional MPB - Rio</v>
      </c>
      <c r="E977" s="4" t="str">
        <f aca="false">IF($A977="","",_xlfn.XLOOKUP(LOWER(TRIM(Base_Bruta!E977)),DePara_Categoria!$A$2:$A$9,DePara_Categoria!$B$2:$B$9,"REVISAR"))</f>
        <v>Show</v>
      </c>
      <c r="F977" s="4" t="str">
        <f aca="false">IF($A977="","",_xlfn.XLOOKUP(LOWER(TRIM(Base_Bruta!F977)),DePara_Cidade!$A$2:$A$29,DePara_Cidade!$B$2:$B$29,"REVISAR"))</f>
        <v>Rio de Janeiro</v>
      </c>
      <c r="G977" s="4" t="str">
        <f aca="false">IF($A977="","",TRIM(Base_Bruta!G977))</f>
        <v>Inteira</v>
      </c>
      <c r="H977" s="4" t="n">
        <f aca="false">IF($A977="","",IF(ISNUMBER(Base_Bruta!H977),Base_Bruta!H977,IFERROR(_xlfn.NUMBERVALUE(TRIM(SUBSTITUTE(Base_Bruta!H977,"R$","")),",","."),0)))</f>
        <v>2</v>
      </c>
      <c r="I977" s="6" t="n">
        <f aca="false">IF($A977="","",IF(ISNUMBER(Base_Bruta!I977),Base_Bruta!I977,IFERROR(_xlfn.NUMBERVALUE(TRIM(SUBSTITUTE(Base_Bruta!I977,"R$","")),",","."),0)))</f>
        <v>605</v>
      </c>
      <c r="J977" s="6" t="n">
        <f aca="false">IF($A977="","",H977*I977)</f>
        <v>1210</v>
      </c>
      <c r="K977" s="4" t="str">
        <f aca="false">IF($A977="","",TRIM(Base_Bruta!J977))</f>
        <v>Bilheteria</v>
      </c>
      <c r="L977" s="4" t="str">
        <f aca="false">IF($A977="","",TRIM(Base_Bruta!K977))</f>
        <v>C00829</v>
      </c>
      <c r="M977" s="4" t="str">
        <f aca="false">IF($A977="","",_xlfn.XLOOKUP(LOWER(TRIM(Base_Bruta!L977)),DePara_Cidade!$A$2:$A$29,DePara_Cidade!$B$2:$B$29,"REVISAR"))</f>
        <v>Lisboa</v>
      </c>
      <c r="N977" s="4" t="str">
        <f aca="false">IF($A977="","",UPPER(TRIM(Base_Bruta!M977)))</f>
        <v>EX</v>
      </c>
      <c r="O977" s="4" t="str">
        <f aca="false">IF($A977="","",_xlfn.XLOOKUP(LOWER(TRIM(Base_Bruta!N977)),DePara_Pais!$A$2:$A$9,DePara_Pais!$B$2:$B$9,"REVISAR"))</f>
        <v>Portugal</v>
      </c>
      <c r="P977" s="4" t="str">
        <f aca="false">IF($A977="","",IF(O977&lt;&gt;"Brasil","Turista Internacional",IF(M977=F977,"Local","Turista Nacional")))</f>
        <v>Turista Internacional</v>
      </c>
      <c r="Q977" s="7" t="n">
        <f aca="false">IF($A977="","",DATE(YEAR(B977),MONTH(B977),1))</f>
        <v>45809</v>
      </c>
      <c r="R977" s="4" t="str">
        <f aca="false">IF($A977="","",IF(COUNTIF($A$2:$A977,$A977)&gt;1,"Sim","Não"))</f>
        <v>Não</v>
      </c>
      <c r="S977" s="4" t="str">
        <f aca="false">IF(A977="","Descartar - Linha vazia",IF(R977="Sim","Descartar - Duplicado",IF(OR(H977&lt;=0,I977&lt;=0),"Descartar - Qtd/Valor inválido","OK")))</f>
        <v>OK</v>
      </c>
      <c r="T977" s="4" t="str">
        <f aca="false">Base_Bruta!P977</f>
        <v>vendas_RJ.xlsx</v>
      </c>
    </row>
    <row r="978" customFormat="false" ht="15" hidden="false" customHeight="false" outlineLevel="0" collapsed="false">
      <c r="A978" s="4" t="str">
        <f aca="false">IF(Base_Bruta!A978="","",Base_Bruta!A978)</f>
        <v>RJ-000241</v>
      </c>
      <c r="B978" s="5" t="n">
        <f aca="false">IF($A978="","",IF(ISNUMBER(Base_Bruta!B978),Base_Bruta!B978,IF(MID(Base_Bruta!B978,5,1)="-",DATE(VALUE(LEFT(Base_Bruta!B978,4)),VALUE(MID(Base_Bruta!B978,6,2)),VALUE(RIGHT(Base_Bruta!B978,2))),DATE(VALUE(RIGHT(Base_Bruta!B978,4)),VALUE(MID(Base_Bruta!B978,4,2)),VALUE(LEFT(Base_Bruta!B978,2))))))</f>
        <v>45818</v>
      </c>
      <c r="C978" s="5" t="n">
        <f aca="false">IF($A978="","",IF(ISNUMBER(Base_Bruta!C978),Base_Bruta!C978,IF(MID(Base_Bruta!C978,5,1)="-",DATE(VALUE(LEFT(Base_Bruta!C978,4)),VALUE(MID(Base_Bruta!C978,6,2)),VALUE(RIGHT(Base_Bruta!C978,2))),DATE(VALUE(RIGHT(Base_Bruta!C978,4)),VALUE(MID(Base_Bruta!C978,4,2)),VALUE(LEFT(Base_Bruta!C978,2))))))</f>
        <v>45822</v>
      </c>
      <c r="D978" s="4" t="str">
        <f aca="false">IF($A978="","",TRIM(Base_Bruta!D978))</f>
        <v>Show Nacional MPB - Rio</v>
      </c>
      <c r="E978" s="4" t="str">
        <f aca="false">IF($A978="","",_xlfn.XLOOKUP(LOWER(TRIM(Base_Bruta!E978)),DePara_Categoria!$A$2:$A$9,DePara_Categoria!$B$2:$B$9,"REVISAR"))</f>
        <v>Show</v>
      </c>
      <c r="F978" s="4" t="str">
        <f aca="false">IF($A978="","",_xlfn.XLOOKUP(LOWER(TRIM(Base_Bruta!F978)),DePara_Cidade!$A$2:$A$29,DePara_Cidade!$B$2:$B$29,"REVISAR"))</f>
        <v>Rio de Janeiro</v>
      </c>
      <c r="G978" s="4" t="str">
        <f aca="false">IF($A978="","",TRIM(Base_Bruta!G978))</f>
        <v>Inteira</v>
      </c>
      <c r="H978" s="4" t="n">
        <f aca="false">IF($A978="","",IF(ISNUMBER(Base_Bruta!H978),Base_Bruta!H978,IFERROR(_xlfn.NUMBERVALUE(TRIM(SUBSTITUTE(Base_Bruta!H978,"R$","")),",","."),0)))</f>
        <v>3</v>
      </c>
      <c r="I978" s="6" t="n">
        <f aca="false">IF($A978="","",IF(ISNUMBER(Base_Bruta!I978),Base_Bruta!I978,IFERROR(_xlfn.NUMBERVALUE(TRIM(SUBSTITUTE(Base_Bruta!I978,"R$","")),",","."),0)))</f>
        <v>580</v>
      </c>
      <c r="J978" s="6" t="n">
        <f aca="false">IF($A978="","",H978*I978)</f>
        <v>1740</v>
      </c>
      <c r="K978" s="4" t="str">
        <f aca="false">IF($A978="","",TRIM(Base_Bruta!J978))</f>
        <v>Site</v>
      </c>
      <c r="L978" s="4" t="str">
        <f aca="false">IF($A978="","",TRIM(Base_Bruta!K978))</f>
        <v>C01802</v>
      </c>
      <c r="M978" s="4" t="str">
        <f aca="false">IF($A978="","",_xlfn.XLOOKUP(LOWER(TRIM(Base_Bruta!L978)),DePara_Cidade!$A$2:$A$29,DePara_Cidade!$B$2:$B$29,"REVISAR"))</f>
        <v>Santos</v>
      </c>
      <c r="N978" s="4" t="str">
        <f aca="false">IF($A978="","",UPPER(TRIM(Base_Bruta!M978)))</f>
        <v>SP</v>
      </c>
      <c r="O978" s="4" t="str">
        <f aca="false">IF($A978="","",_xlfn.XLOOKUP(LOWER(TRIM(Base_Bruta!N978)),DePara_Pais!$A$2:$A$9,DePara_Pais!$B$2:$B$9,"REVISAR"))</f>
        <v>Brasil</v>
      </c>
      <c r="P978" s="4" t="str">
        <f aca="false">IF($A978="","",IF(O978&lt;&gt;"Brasil","Turista Internacional",IF(M978=F978,"Local","Turista Nacional")))</f>
        <v>Turista Nacional</v>
      </c>
      <c r="Q978" s="7" t="n">
        <f aca="false">IF($A978="","",DATE(YEAR(B978),MONTH(B978),1))</f>
        <v>45809</v>
      </c>
      <c r="R978" s="4" t="str">
        <f aca="false">IF($A978="","",IF(COUNTIF($A$2:$A978,$A978)&gt;1,"Sim","Não"))</f>
        <v>Não</v>
      </c>
      <c r="S978" s="4" t="str">
        <f aca="false">IF(A978="","Descartar - Linha vazia",IF(R978="Sim","Descartar - Duplicado",IF(OR(H978&lt;=0,I978&lt;=0),"Descartar - Qtd/Valor inválido","OK")))</f>
        <v>OK</v>
      </c>
      <c r="T978" s="4" t="str">
        <f aca="false">Base_Bruta!P978</f>
        <v>vendas_RJ.xlsx</v>
      </c>
    </row>
    <row r="979" customFormat="false" ht="15" hidden="false" customHeight="false" outlineLevel="0" collapsed="false">
      <c r="A979" s="4" t="str">
        <f aca="false">IF(Base_Bruta!A979="","",Base_Bruta!A979)</f>
        <v>RJ-000253</v>
      </c>
      <c r="B979" s="5" t="n">
        <f aca="false">IF($A979="","",IF(ISNUMBER(Base_Bruta!B979),Base_Bruta!B979,IF(MID(Base_Bruta!B979,5,1)="-",DATE(VALUE(LEFT(Base_Bruta!B979,4)),VALUE(MID(Base_Bruta!B979,6,2)),VALUE(RIGHT(Base_Bruta!B979,2))),DATE(VALUE(RIGHT(Base_Bruta!B979,4)),VALUE(MID(Base_Bruta!B979,4,2)),VALUE(LEFT(Base_Bruta!B979,2))))))</f>
        <v>45818</v>
      </c>
      <c r="C979" s="5" t="n">
        <f aca="false">IF($A979="","",IF(ISNUMBER(Base_Bruta!C979),Base_Bruta!C979,IF(MID(Base_Bruta!C979,5,1)="-",DATE(VALUE(LEFT(Base_Bruta!C979,4)),VALUE(MID(Base_Bruta!C979,6,2)),VALUE(RIGHT(Base_Bruta!C979,2))),DATE(VALUE(RIGHT(Base_Bruta!C979,4)),VALUE(MID(Base_Bruta!C979,4,2)),VALUE(LEFT(Base_Bruta!C979,2))))))</f>
        <v>45822</v>
      </c>
      <c r="D979" s="4" t="str">
        <f aca="false">IF($A979="","",TRIM(Base_Bruta!D979))</f>
        <v>Show Nacional MPB - Rio</v>
      </c>
      <c r="E979" s="4" t="str">
        <f aca="false">IF($A979="","",_xlfn.XLOOKUP(LOWER(TRIM(Base_Bruta!E979)),DePara_Categoria!$A$2:$A$9,DePara_Categoria!$B$2:$B$9,"REVISAR"))</f>
        <v>Show</v>
      </c>
      <c r="F979" s="4" t="str">
        <f aca="false">IF($A979="","",_xlfn.XLOOKUP(LOWER(TRIM(Base_Bruta!F979)),DePara_Cidade!$A$2:$A$29,DePara_Cidade!$B$2:$B$29,"REVISAR"))</f>
        <v>Rio de Janeiro</v>
      </c>
      <c r="G979" s="4" t="str">
        <f aca="false">IF($A979="","",TRIM(Base_Bruta!G979))</f>
        <v>Inteira</v>
      </c>
      <c r="H979" s="4" t="n">
        <f aca="false">IF($A979="","",IF(ISNUMBER(Base_Bruta!H979),Base_Bruta!H979,IFERROR(_xlfn.NUMBERVALUE(TRIM(SUBSTITUTE(Base_Bruta!H979,"R$","")),",","."),0)))</f>
        <v>3</v>
      </c>
      <c r="I979" s="6" t="n">
        <f aca="false">IF($A979="","",IF(ISNUMBER(Base_Bruta!I979),Base_Bruta!I979,IFERROR(_xlfn.NUMBERVALUE(TRIM(SUBSTITUTE(Base_Bruta!I979,"R$","")),",","."),0)))</f>
        <v>575</v>
      </c>
      <c r="J979" s="6" t="n">
        <f aca="false">IF($A979="","",H979*I979)</f>
        <v>1725</v>
      </c>
      <c r="K979" s="4" t="str">
        <f aca="false">IF($A979="","",TRIM(Base_Bruta!J979))</f>
        <v>Site</v>
      </c>
      <c r="L979" s="4" t="str">
        <f aca="false">IF($A979="","",TRIM(Base_Bruta!K979))</f>
        <v>C02268</v>
      </c>
      <c r="M979" s="4" t="str">
        <f aca="false">IF($A979="","",_xlfn.XLOOKUP(LOWER(TRIM(Base_Bruta!L979)),DePara_Cidade!$A$2:$A$29,DePara_Cidade!$B$2:$B$29,"REVISAR"))</f>
        <v>Salvador</v>
      </c>
      <c r="N979" s="4" t="str">
        <f aca="false">IF($A979="","",UPPER(TRIM(Base_Bruta!M979)))</f>
        <v>BA</v>
      </c>
      <c r="O979" s="4" t="str">
        <f aca="false">IF($A979="","",_xlfn.XLOOKUP(LOWER(TRIM(Base_Bruta!N979)),DePara_Pais!$A$2:$A$9,DePara_Pais!$B$2:$B$9,"REVISAR"))</f>
        <v>Brasil</v>
      </c>
      <c r="P979" s="4" t="str">
        <f aca="false">IF($A979="","",IF(O979&lt;&gt;"Brasil","Turista Internacional",IF(M979=F979,"Local","Turista Nacional")))</f>
        <v>Turista Nacional</v>
      </c>
      <c r="Q979" s="7" t="n">
        <f aca="false">IF($A979="","",DATE(YEAR(B979),MONTH(B979),1))</f>
        <v>45809</v>
      </c>
      <c r="R979" s="4" t="str">
        <f aca="false">IF($A979="","",IF(COUNTIF($A$2:$A979,$A979)&gt;1,"Sim","Não"))</f>
        <v>Não</v>
      </c>
      <c r="S979" s="4" t="str">
        <f aca="false">IF(A979="","Descartar - Linha vazia",IF(R979="Sim","Descartar - Duplicado",IF(OR(H979&lt;=0,I979&lt;=0),"Descartar - Qtd/Valor inválido","OK")))</f>
        <v>OK</v>
      </c>
      <c r="T979" s="4" t="str">
        <f aca="false">Base_Bruta!P979</f>
        <v>vendas_RJ.xlsx</v>
      </c>
    </row>
    <row r="980" customFormat="false" ht="15" hidden="false" customHeight="false" outlineLevel="0" collapsed="false">
      <c r="A980" s="4" t="str">
        <f aca="false">IF(Base_Bruta!A980="","",Base_Bruta!A980)</f>
        <v>RJ-000267</v>
      </c>
      <c r="B980" s="5" t="n">
        <f aca="false">IF($A980="","",IF(ISNUMBER(Base_Bruta!B980),Base_Bruta!B980,IF(MID(Base_Bruta!B980,5,1)="-",DATE(VALUE(LEFT(Base_Bruta!B980,4)),VALUE(MID(Base_Bruta!B980,6,2)),VALUE(RIGHT(Base_Bruta!B980,2))),DATE(VALUE(RIGHT(Base_Bruta!B980,4)),VALUE(MID(Base_Bruta!B980,4,2)),VALUE(LEFT(Base_Bruta!B980,2))))))</f>
        <v>45818</v>
      </c>
      <c r="C980" s="5" t="n">
        <f aca="false">IF($A980="","",IF(ISNUMBER(Base_Bruta!C980),Base_Bruta!C980,IF(MID(Base_Bruta!C980,5,1)="-",DATE(VALUE(LEFT(Base_Bruta!C980,4)),VALUE(MID(Base_Bruta!C980,6,2)),VALUE(RIGHT(Base_Bruta!C980,2))),DATE(VALUE(RIGHT(Base_Bruta!C980,4)),VALUE(MID(Base_Bruta!C980,4,2)),VALUE(LEFT(Base_Bruta!C980,2))))))</f>
        <v>45822</v>
      </c>
      <c r="D980" s="4" t="str">
        <f aca="false">IF($A980="","",TRIM(Base_Bruta!D980))</f>
        <v>Show Nacional MPB - Rio</v>
      </c>
      <c r="E980" s="4" t="str">
        <f aca="false">IF($A980="","",_xlfn.XLOOKUP(LOWER(TRIM(Base_Bruta!E980)),DePara_Categoria!$A$2:$A$9,DePara_Categoria!$B$2:$B$9,"REVISAR"))</f>
        <v>Show</v>
      </c>
      <c r="F980" s="4" t="str">
        <f aca="false">IF($A980="","",_xlfn.XLOOKUP(LOWER(TRIM(Base_Bruta!F980)),DePara_Cidade!$A$2:$A$29,DePara_Cidade!$B$2:$B$29,"REVISAR"))</f>
        <v>Rio de Janeiro</v>
      </c>
      <c r="G980" s="4" t="str">
        <f aca="false">IF($A980="","",TRIM(Base_Bruta!G980))</f>
        <v>Meia</v>
      </c>
      <c r="H980" s="4" t="n">
        <f aca="false">IF($A980="","",IF(ISNUMBER(Base_Bruta!H980),Base_Bruta!H980,IFERROR(_xlfn.NUMBERVALUE(TRIM(SUBSTITUTE(Base_Bruta!H980,"R$","")),",","."),0)))</f>
        <v>2</v>
      </c>
      <c r="I980" s="6" t="n">
        <f aca="false">IF($A980="","",IF(ISNUMBER(Base_Bruta!I980),Base_Bruta!I980,IFERROR(_xlfn.NUMBERVALUE(TRIM(SUBSTITUTE(Base_Bruta!I980,"R$","")),",","."),0)))</f>
        <v>120</v>
      </c>
      <c r="J980" s="6" t="n">
        <f aca="false">IF($A980="","",H980*I980)</f>
        <v>240</v>
      </c>
      <c r="K980" s="4" t="str">
        <f aca="false">IF($A980="","",TRIM(Base_Bruta!J980))</f>
        <v>Site</v>
      </c>
      <c r="L980" s="4" t="str">
        <f aca="false">IF($A980="","",TRIM(Base_Bruta!K980))</f>
        <v>C02291</v>
      </c>
      <c r="M980" s="4" t="str">
        <f aca="false">IF($A980="","",_xlfn.XLOOKUP(LOWER(TRIM(Base_Bruta!L980)),DePara_Cidade!$A$2:$A$29,DePara_Cidade!$B$2:$B$29,"REVISAR"))</f>
        <v>Rio de Janeiro</v>
      </c>
      <c r="N980" s="4" t="str">
        <f aca="false">IF($A980="","",UPPER(TRIM(Base_Bruta!M980)))</f>
        <v>RJ</v>
      </c>
      <c r="O980" s="4" t="str">
        <f aca="false">IF($A980="","",_xlfn.XLOOKUP(LOWER(TRIM(Base_Bruta!N980)),DePara_Pais!$A$2:$A$9,DePara_Pais!$B$2:$B$9,"REVISAR"))</f>
        <v>Brasil</v>
      </c>
      <c r="P980" s="4" t="str">
        <f aca="false">IF($A980="","",IF(O980&lt;&gt;"Brasil","Turista Internacional",IF(M980=F980,"Local","Turista Nacional")))</f>
        <v>Local</v>
      </c>
      <c r="Q980" s="7" t="n">
        <f aca="false">IF($A980="","",DATE(YEAR(B980),MONTH(B980),1))</f>
        <v>45809</v>
      </c>
      <c r="R980" s="4" t="str">
        <f aca="false">IF($A980="","",IF(COUNTIF($A$2:$A980,$A980)&gt;1,"Sim","Não"))</f>
        <v>Não</v>
      </c>
      <c r="S980" s="4" t="str">
        <f aca="false">IF(A980="","Descartar - Linha vazia",IF(R980="Sim","Descartar - Duplicado",IF(OR(H980&lt;=0,I980&lt;=0),"Descartar - Qtd/Valor inválido","OK")))</f>
        <v>OK</v>
      </c>
      <c r="T980" s="4" t="str">
        <f aca="false">Base_Bruta!P980</f>
        <v>vendas_RJ.xlsx</v>
      </c>
    </row>
    <row r="981" customFormat="false" ht="15" hidden="false" customHeight="false" outlineLevel="0" collapsed="false">
      <c r="A981" s="4" t="str">
        <f aca="false">IF(Base_Bruta!A981="","",Base_Bruta!A981)</f>
        <v>RJ-000277</v>
      </c>
      <c r="B981" s="5" t="n">
        <f aca="false">IF($A981="","",IF(ISNUMBER(Base_Bruta!B981),Base_Bruta!B981,IF(MID(Base_Bruta!B981,5,1)="-",DATE(VALUE(LEFT(Base_Bruta!B981,4)),VALUE(MID(Base_Bruta!B981,6,2)),VALUE(RIGHT(Base_Bruta!B981,2))),DATE(VALUE(RIGHT(Base_Bruta!B981,4)),VALUE(MID(Base_Bruta!B981,4,2)),VALUE(LEFT(Base_Bruta!B981,2))))))</f>
        <v>45818</v>
      </c>
      <c r="C981" s="5" t="n">
        <f aca="false">IF($A981="","",IF(ISNUMBER(Base_Bruta!C981),Base_Bruta!C981,IF(MID(Base_Bruta!C981,5,1)="-",DATE(VALUE(LEFT(Base_Bruta!C981,4)),VALUE(MID(Base_Bruta!C981,6,2)),VALUE(RIGHT(Base_Bruta!C981,2))),DATE(VALUE(RIGHT(Base_Bruta!C981,4)),VALUE(MID(Base_Bruta!C981,4,2)),VALUE(LEFT(Base_Bruta!C981,2))))))</f>
        <v>45822</v>
      </c>
      <c r="D981" s="4" t="str">
        <f aca="false">IF($A981="","",TRIM(Base_Bruta!D981))</f>
        <v>Show Nacional MPB - Rio</v>
      </c>
      <c r="E981" s="4" t="str">
        <f aca="false">IF($A981="","",_xlfn.XLOOKUP(LOWER(TRIM(Base_Bruta!E981)),DePara_Categoria!$A$2:$A$9,DePara_Categoria!$B$2:$B$9,"REVISAR"))</f>
        <v>Show</v>
      </c>
      <c r="F981" s="4" t="str">
        <f aca="false">IF($A981="","",_xlfn.XLOOKUP(LOWER(TRIM(Base_Bruta!F981)),DePara_Cidade!$A$2:$A$29,DePara_Cidade!$B$2:$B$29,"REVISAR"))</f>
        <v>Rio de Janeiro</v>
      </c>
      <c r="G981" s="4" t="str">
        <f aca="false">IF($A981="","",TRIM(Base_Bruta!G981))</f>
        <v>Meia</v>
      </c>
      <c r="H981" s="4" t="n">
        <f aca="false">IF($A981="","",IF(ISNUMBER(Base_Bruta!H981),Base_Bruta!H981,IFERROR(_xlfn.NUMBERVALUE(TRIM(SUBSTITUTE(Base_Bruta!H981,"R$","")),",","."),0)))</f>
        <v>1</v>
      </c>
      <c r="I981" s="6" t="n">
        <f aca="false">IF($A981="","",IF(ISNUMBER(Base_Bruta!I981),Base_Bruta!I981,IFERROR(_xlfn.NUMBERVALUE(TRIM(SUBSTITUTE(Base_Bruta!I981,"R$","")),",","."),0)))</f>
        <v>207.5</v>
      </c>
      <c r="J981" s="6" t="n">
        <f aca="false">IF($A981="","",H981*I981)</f>
        <v>207.5</v>
      </c>
      <c r="K981" s="4" t="str">
        <f aca="false">IF($A981="","",TRIM(Base_Bruta!J981))</f>
        <v>Bilheteria</v>
      </c>
      <c r="L981" s="4" t="str">
        <f aca="false">IF($A981="","",TRIM(Base_Bruta!K981))</f>
        <v>C01655</v>
      </c>
      <c r="M981" s="4" t="str">
        <f aca="false">IF($A981="","",_xlfn.XLOOKUP(LOWER(TRIM(Base_Bruta!L981)),DePara_Cidade!$A$2:$A$29,DePara_Cidade!$B$2:$B$29,"REVISAR"))</f>
        <v>Buenos Aires</v>
      </c>
      <c r="N981" s="4" t="str">
        <f aca="false">IF($A981="","",UPPER(TRIM(Base_Bruta!M981)))</f>
        <v>EX</v>
      </c>
      <c r="O981" s="4" t="str">
        <f aca="false">IF($A981="","",_xlfn.XLOOKUP(LOWER(TRIM(Base_Bruta!N981)),DePara_Pais!$A$2:$A$9,DePara_Pais!$B$2:$B$9,"REVISAR"))</f>
        <v>Argentina</v>
      </c>
      <c r="P981" s="4" t="str">
        <f aca="false">IF($A981="","",IF(O981&lt;&gt;"Brasil","Turista Internacional",IF(M981=F981,"Local","Turista Nacional")))</f>
        <v>Turista Internacional</v>
      </c>
      <c r="Q981" s="7" t="n">
        <f aca="false">IF($A981="","",DATE(YEAR(B981),MONTH(B981),1))</f>
        <v>45809</v>
      </c>
      <c r="R981" s="4" t="str">
        <f aca="false">IF($A981="","",IF(COUNTIF($A$2:$A981,$A981)&gt;1,"Sim","Não"))</f>
        <v>Não</v>
      </c>
      <c r="S981" s="4" t="str">
        <f aca="false">IF(A981="","Descartar - Linha vazia",IF(R981="Sim","Descartar - Duplicado",IF(OR(H981&lt;=0,I981&lt;=0),"Descartar - Qtd/Valor inválido","OK")))</f>
        <v>OK</v>
      </c>
      <c r="T981" s="4" t="str">
        <f aca="false">Base_Bruta!P981</f>
        <v>vendas_RJ.xlsx</v>
      </c>
    </row>
    <row r="982" customFormat="false" ht="15" hidden="false" customHeight="false" outlineLevel="0" collapsed="false">
      <c r="A982" s="4" t="str">
        <f aca="false">IF(Base_Bruta!A982="","",Base_Bruta!A982)</f>
        <v>RJ-000304</v>
      </c>
      <c r="B982" s="5" t="n">
        <f aca="false">IF($A982="","",IF(ISNUMBER(Base_Bruta!B982),Base_Bruta!B982,IF(MID(Base_Bruta!B982,5,1)="-",DATE(VALUE(LEFT(Base_Bruta!B982,4)),VALUE(MID(Base_Bruta!B982,6,2)),VALUE(RIGHT(Base_Bruta!B982,2))),DATE(VALUE(RIGHT(Base_Bruta!B982,4)),VALUE(MID(Base_Bruta!B982,4,2)),VALUE(LEFT(Base_Bruta!B982,2))))))</f>
        <v>45818</v>
      </c>
      <c r="C982" s="5" t="n">
        <f aca="false">IF($A982="","",IF(ISNUMBER(Base_Bruta!C982),Base_Bruta!C982,IF(MID(Base_Bruta!C982,5,1)="-",DATE(VALUE(LEFT(Base_Bruta!C982,4)),VALUE(MID(Base_Bruta!C982,6,2)),VALUE(RIGHT(Base_Bruta!C982,2))),DATE(VALUE(RIGHT(Base_Bruta!C982,4)),VALUE(MID(Base_Bruta!C982,4,2)),VALUE(LEFT(Base_Bruta!C982,2))))))</f>
        <v>45822</v>
      </c>
      <c r="D982" s="4" t="str">
        <f aca="false">IF($A982="","",TRIM(Base_Bruta!D982))</f>
        <v>Show Nacional MPB - Rio</v>
      </c>
      <c r="E982" s="4" t="str">
        <f aca="false">IF($A982="","",_xlfn.XLOOKUP(LOWER(TRIM(Base_Bruta!E982)),DePara_Categoria!$A$2:$A$9,DePara_Categoria!$B$2:$B$9,"REVISAR"))</f>
        <v>Show</v>
      </c>
      <c r="F982" s="4" t="str">
        <f aca="false">IF($A982="","",_xlfn.XLOOKUP(LOWER(TRIM(Base_Bruta!F982)),DePara_Cidade!$A$2:$A$29,DePara_Cidade!$B$2:$B$29,"REVISAR"))</f>
        <v>Rio de Janeiro</v>
      </c>
      <c r="G982" s="4" t="str">
        <f aca="false">IF($A982="","",TRIM(Base_Bruta!G982))</f>
        <v>Inteira</v>
      </c>
      <c r="H982" s="4" t="n">
        <f aca="false">IF($A982="","",IF(ISNUMBER(Base_Bruta!H982),Base_Bruta!H982,IFERROR(_xlfn.NUMBERVALUE(TRIM(SUBSTITUTE(Base_Bruta!H982,"R$","")),",","."),0)))</f>
        <v>2</v>
      </c>
      <c r="I982" s="6" t="n">
        <f aca="false">IF($A982="","",IF(ISNUMBER(Base_Bruta!I982),Base_Bruta!I982,IFERROR(_xlfn.NUMBERVALUE(TRIM(SUBSTITUTE(Base_Bruta!I982,"R$","")),",","."),0)))</f>
        <v>640</v>
      </c>
      <c r="J982" s="6" t="n">
        <f aca="false">IF($A982="","",H982*I982)</f>
        <v>1280</v>
      </c>
      <c r="K982" s="4" t="str">
        <f aca="false">IF($A982="","",TRIM(Base_Bruta!J982))</f>
        <v>App</v>
      </c>
      <c r="L982" s="4" t="str">
        <f aca="false">IF($A982="","",TRIM(Base_Bruta!K982))</f>
        <v>C01946</v>
      </c>
      <c r="M982" s="4" t="str">
        <f aca="false">IF($A982="","",_xlfn.XLOOKUP(LOWER(TRIM(Base_Bruta!L982)),DePara_Cidade!$A$2:$A$29,DePara_Cidade!$B$2:$B$29,"REVISAR"))</f>
        <v>Rio de Janeiro</v>
      </c>
      <c r="N982" s="4" t="str">
        <f aca="false">IF($A982="","",UPPER(TRIM(Base_Bruta!M982)))</f>
        <v>RJ</v>
      </c>
      <c r="O982" s="4" t="str">
        <f aca="false">IF($A982="","",_xlfn.XLOOKUP(LOWER(TRIM(Base_Bruta!N982)),DePara_Pais!$A$2:$A$9,DePara_Pais!$B$2:$B$9,"REVISAR"))</f>
        <v>Brasil</v>
      </c>
      <c r="P982" s="4" t="str">
        <f aca="false">IF($A982="","",IF(O982&lt;&gt;"Brasil","Turista Internacional",IF(M982=F982,"Local","Turista Nacional")))</f>
        <v>Local</v>
      </c>
      <c r="Q982" s="7" t="n">
        <f aca="false">IF($A982="","",DATE(YEAR(B982),MONTH(B982),1))</f>
        <v>45809</v>
      </c>
      <c r="R982" s="4" t="str">
        <f aca="false">IF($A982="","",IF(COUNTIF($A$2:$A982,$A982)&gt;1,"Sim","Não"))</f>
        <v>Não</v>
      </c>
      <c r="S982" s="4" t="str">
        <f aca="false">IF(A982="","Descartar - Linha vazia",IF(R982="Sim","Descartar - Duplicado",IF(OR(H982&lt;=0,I982&lt;=0),"Descartar - Qtd/Valor inválido","OK")))</f>
        <v>OK</v>
      </c>
      <c r="T982" s="4" t="str">
        <f aca="false">Base_Bruta!P982</f>
        <v>vendas_RJ.xlsx</v>
      </c>
    </row>
    <row r="983" customFormat="false" ht="15" hidden="false" customHeight="false" outlineLevel="0" collapsed="false">
      <c r="A983" s="4" t="str">
        <f aca="false">IF(Base_Bruta!A983="","",Base_Bruta!A983)</f>
        <v>RJ-000322</v>
      </c>
      <c r="B983" s="5" t="n">
        <f aca="false">IF($A983="","",IF(ISNUMBER(Base_Bruta!B983),Base_Bruta!B983,IF(MID(Base_Bruta!B983,5,1)="-",DATE(VALUE(LEFT(Base_Bruta!B983,4)),VALUE(MID(Base_Bruta!B983,6,2)),VALUE(RIGHT(Base_Bruta!B983,2))),DATE(VALUE(RIGHT(Base_Bruta!B983,4)),VALUE(MID(Base_Bruta!B983,4,2)),VALUE(LEFT(Base_Bruta!B983,2))))))</f>
        <v>45818</v>
      </c>
      <c r="C983" s="5" t="n">
        <f aca="false">IF($A983="","",IF(ISNUMBER(Base_Bruta!C983),Base_Bruta!C983,IF(MID(Base_Bruta!C983,5,1)="-",DATE(VALUE(LEFT(Base_Bruta!C983,4)),VALUE(MID(Base_Bruta!C983,6,2)),VALUE(RIGHT(Base_Bruta!C983,2))),DATE(VALUE(RIGHT(Base_Bruta!C983,4)),VALUE(MID(Base_Bruta!C983,4,2)),VALUE(LEFT(Base_Bruta!C983,2))))))</f>
        <v>45822</v>
      </c>
      <c r="D983" s="4" t="str">
        <f aca="false">IF($A983="","",TRIM(Base_Bruta!D983))</f>
        <v>Show Nacional MPB - Rio</v>
      </c>
      <c r="E983" s="4" t="str">
        <f aca="false">IF($A983="","",_xlfn.XLOOKUP(LOWER(TRIM(Base_Bruta!E983)),DePara_Categoria!$A$2:$A$9,DePara_Categoria!$B$2:$B$9,"REVISAR"))</f>
        <v>Show</v>
      </c>
      <c r="F983" s="4" t="str">
        <f aca="false">IF($A983="","",_xlfn.XLOOKUP(LOWER(TRIM(Base_Bruta!F983)),DePara_Cidade!$A$2:$A$29,DePara_Cidade!$B$2:$B$29,"REVISAR"))</f>
        <v>Rio de Janeiro</v>
      </c>
      <c r="G983" s="4" t="str">
        <f aca="false">IF($A983="","",TRIM(Base_Bruta!G983))</f>
        <v>Inteira</v>
      </c>
      <c r="H983" s="4" t="n">
        <f aca="false">IF($A983="","",IF(ISNUMBER(Base_Bruta!H983),Base_Bruta!H983,IFERROR(_xlfn.NUMBERVALUE(TRIM(SUBSTITUTE(Base_Bruta!H983,"R$","")),",","."),0)))</f>
        <v>2</v>
      </c>
      <c r="I983" s="6" t="n">
        <f aca="false">IF($A983="","",IF(ISNUMBER(Base_Bruta!I983),Base_Bruta!I983,IFERROR(_xlfn.NUMBERVALUE(TRIM(SUBSTITUTE(Base_Bruta!I983,"R$","")),",","."),0)))</f>
        <v>620</v>
      </c>
      <c r="J983" s="6" t="n">
        <f aca="false">IF($A983="","",H983*I983)</f>
        <v>1240</v>
      </c>
      <c r="K983" s="4" t="str">
        <f aca="false">IF($A983="","",TRIM(Base_Bruta!J983))</f>
        <v>App</v>
      </c>
      <c r="L983" s="4" t="str">
        <f aca="false">IF($A983="","",TRIM(Base_Bruta!K983))</f>
        <v>C02152</v>
      </c>
      <c r="M983" s="4" t="str">
        <f aca="false">IF($A983="","",_xlfn.XLOOKUP(LOWER(TRIM(Base_Bruta!L983)),DePara_Cidade!$A$2:$A$29,DePara_Cidade!$B$2:$B$29,"REVISAR"))</f>
        <v>Rio de Janeiro</v>
      </c>
      <c r="N983" s="4" t="str">
        <f aca="false">IF($A983="","",UPPER(TRIM(Base_Bruta!M983)))</f>
        <v>RJ</v>
      </c>
      <c r="O983" s="4" t="str">
        <f aca="false">IF($A983="","",_xlfn.XLOOKUP(LOWER(TRIM(Base_Bruta!N983)),DePara_Pais!$A$2:$A$9,DePara_Pais!$B$2:$B$9,"REVISAR"))</f>
        <v>Brasil</v>
      </c>
      <c r="P983" s="4" t="str">
        <f aca="false">IF($A983="","",IF(O983&lt;&gt;"Brasil","Turista Internacional",IF(M983=F983,"Local","Turista Nacional")))</f>
        <v>Local</v>
      </c>
      <c r="Q983" s="7" t="n">
        <f aca="false">IF($A983="","",DATE(YEAR(B983),MONTH(B983),1))</f>
        <v>45809</v>
      </c>
      <c r="R983" s="4" t="str">
        <f aca="false">IF($A983="","",IF(COUNTIF($A$2:$A983,$A983)&gt;1,"Sim","Não"))</f>
        <v>Não</v>
      </c>
      <c r="S983" s="4" t="str">
        <f aca="false">IF(A983="","Descartar - Linha vazia",IF(R983="Sim","Descartar - Duplicado",IF(OR(H983&lt;=0,I983&lt;=0),"Descartar - Qtd/Valor inválido","OK")))</f>
        <v>OK</v>
      </c>
      <c r="T983" s="4" t="str">
        <f aca="false">Base_Bruta!P983</f>
        <v>vendas_RJ.xlsx</v>
      </c>
    </row>
    <row r="984" customFormat="false" ht="15" hidden="false" customHeight="false" outlineLevel="0" collapsed="false">
      <c r="A984" s="4" t="str">
        <f aca="false">IF(Base_Bruta!A984="","",Base_Bruta!A984)</f>
        <v>RJ-000238</v>
      </c>
      <c r="B984" s="5" t="n">
        <f aca="false">IF($A984="","",IF(ISNUMBER(Base_Bruta!B984),Base_Bruta!B984,IF(MID(Base_Bruta!B984,5,1)="-",DATE(VALUE(LEFT(Base_Bruta!B984,4)),VALUE(MID(Base_Bruta!B984,6,2)),VALUE(RIGHT(Base_Bruta!B984,2))),DATE(VALUE(RIGHT(Base_Bruta!B984,4)),VALUE(MID(Base_Bruta!B984,4,2)),VALUE(LEFT(Base_Bruta!B984,2))))))</f>
        <v>45819</v>
      </c>
      <c r="C984" s="5" t="n">
        <f aca="false">IF($A984="","",IF(ISNUMBER(Base_Bruta!C984),Base_Bruta!C984,IF(MID(Base_Bruta!C984,5,1)="-",DATE(VALUE(LEFT(Base_Bruta!C984,4)),VALUE(MID(Base_Bruta!C984,6,2)),VALUE(RIGHT(Base_Bruta!C984,2))),DATE(VALUE(RIGHT(Base_Bruta!C984,4)),VALUE(MID(Base_Bruta!C984,4,2)),VALUE(LEFT(Base_Bruta!C984,2))))))</f>
        <v>45822</v>
      </c>
      <c r="D984" s="4" t="str">
        <f aca="false">IF($A984="","",TRIM(Base_Bruta!D984))</f>
        <v>Show Nacional MPB - Rio</v>
      </c>
      <c r="E984" s="4" t="str">
        <f aca="false">IF($A984="","",_xlfn.XLOOKUP(LOWER(TRIM(Base_Bruta!E984)),DePara_Categoria!$A$2:$A$9,DePara_Categoria!$B$2:$B$9,"REVISAR"))</f>
        <v>Show</v>
      </c>
      <c r="F984" s="4" t="str">
        <f aca="false">IF($A984="","",_xlfn.XLOOKUP(LOWER(TRIM(Base_Bruta!F984)),DePara_Cidade!$A$2:$A$29,DePara_Cidade!$B$2:$B$29,"REVISAR"))</f>
        <v>Rio de Janeiro</v>
      </c>
      <c r="G984" s="4" t="str">
        <f aca="false">IF($A984="","",TRIM(Base_Bruta!G984))</f>
        <v>Meia</v>
      </c>
      <c r="H984" s="4" t="n">
        <f aca="false">IF($A984="","",IF(ISNUMBER(Base_Bruta!H984),Base_Bruta!H984,IFERROR(_xlfn.NUMBERVALUE(TRIM(SUBSTITUTE(Base_Bruta!H984,"R$","")),",","."),0)))</f>
        <v>2</v>
      </c>
      <c r="I984" s="6" t="n">
        <f aca="false">IF($A984="","",IF(ISNUMBER(Base_Bruta!I984),Base_Bruta!I984,IFERROR(_xlfn.NUMBERVALUE(TRIM(SUBSTITUTE(Base_Bruta!I984,"R$","")),",","."),0)))</f>
        <v>247.5</v>
      </c>
      <c r="J984" s="6" t="n">
        <f aca="false">IF($A984="","",H984*I984)</f>
        <v>495</v>
      </c>
      <c r="K984" s="4" t="str">
        <f aca="false">IF($A984="","",TRIM(Base_Bruta!J984))</f>
        <v>Site</v>
      </c>
      <c r="L984" s="4" t="str">
        <f aca="false">IF($A984="","",TRIM(Base_Bruta!K984))</f>
        <v>C00412</v>
      </c>
      <c r="M984" s="4" t="str">
        <f aca="false">IF($A984="","",_xlfn.XLOOKUP(LOWER(TRIM(Base_Bruta!L984)),DePara_Cidade!$A$2:$A$29,DePara_Cidade!$B$2:$B$29,"REVISAR"))</f>
        <v>Rio de Janeiro</v>
      </c>
      <c r="N984" s="4" t="str">
        <f aca="false">IF($A984="","",UPPER(TRIM(Base_Bruta!M984)))</f>
        <v>RJ</v>
      </c>
      <c r="O984" s="4" t="str">
        <f aca="false">IF($A984="","",_xlfn.XLOOKUP(LOWER(TRIM(Base_Bruta!N984)),DePara_Pais!$A$2:$A$9,DePara_Pais!$B$2:$B$9,"REVISAR"))</f>
        <v>Brasil</v>
      </c>
      <c r="P984" s="4" t="str">
        <f aca="false">IF($A984="","",IF(O984&lt;&gt;"Brasil","Turista Internacional",IF(M984=F984,"Local","Turista Nacional")))</f>
        <v>Local</v>
      </c>
      <c r="Q984" s="7" t="n">
        <f aca="false">IF($A984="","",DATE(YEAR(B984),MONTH(B984),1))</f>
        <v>45809</v>
      </c>
      <c r="R984" s="4" t="str">
        <f aca="false">IF($A984="","",IF(COUNTIF($A$2:$A984,$A984)&gt;1,"Sim","Não"))</f>
        <v>Não</v>
      </c>
      <c r="S984" s="4" t="str">
        <f aca="false">IF(A984="","Descartar - Linha vazia",IF(R984="Sim","Descartar - Duplicado",IF(OR(H984&lt;=0,I984&lt;=0),"Descartar - Qtd/Valor inválido","OK")))</f>
        <v>OK</v>
      </c>
      <c r="T984" s="4" t="str">
        <f aca="false">Base_Bruta!P984</f>
        <v>vendas_RJ.xlsx</v>
      </c>
    </row>
    <row r="985" customFormat="false" ht="15" hidden="false" customHeight="false" outlineLevel="0" collapsed="false">
      <c r="A985" s="4" t="str">
        <f aca="false">IF(Base_Bruta!A985="","",Base_Bruta!A985)</f>
        <v>RJ-000252</v>
      </c>
      <c r="B985" s="5" t="n">
        <f aca="false">IF($A985="","",IF(ISNUMBER(Base_Bruta!B985),Base_Bruta!B985,IF(MID(Base_Bruta!B985,5,1)="-",DATE(VALUE(LEFT(Base_Bruta!B985,4)),VALUE(MID(Base_Bruta!B985,6,2)),VALUE(RIGHT(Base_Bruta!B985,2))),DATE(VALUE(RIGHT(Base_Bruta!B985,4)),VALUE(MID(Base_Bruta!B985,4,2)),VALUE(LEFT(Base_Bruta!B985,2))))))</f>
        <v>45819</v>
      </c>
      <c r="C985" s="5" t="n">
        <f aca="false">IF($A985="","",IF(ISNUMBER(Base_Bruta!C985),Base_Bruta!C985,IF(MID(Base_Bruta!C985,5,1)="-",DATE(VALUE(LEFT(Base_Bruta!C985,4)),VALUE(MID(Base_Bruta!C985,6,2)),VALUE(RIGHT(Base_Bruta!C985,2))),DATE(VALUE(RIGHT(Base_Bruta!C985,4)),VALUE(MID(Base_Bruta!C985,4,2)),VALUE(LEFT(Base_Bruta!C985,2))))))</f>
        <v>45822</v>
      </c>
      <c r="D985" s="4" t="str">
        <f aca="false">IF($A985="","",TRIM(Base_Bruta!D985))</f>
        <v>Show Nacional MPB - Rio</v>
      </c>
      <c r="E985" s="4" t="str">
        <f aca="false">IF($A985="","",_xlfn.XLOOKUP(LOWER(TRIM(Base_Bruta!E985)),DePara_Categoria!$A$2:$A$9,DePara_Categoria!$B$2:$B$9,"REVISAR"))</f>
        <v>Show</v>
      </c>
      <c r="F985" s="4" t="str">
        <f aca="false">IF($A985="","",_xlfn.XLOOKUP(LOWER(TRIM(Base_Bruta!F985)),DePara_Cidade!$A$2:$A$29,DePara_Cidade!$B$2:$B$29,"REVISAR"))</f>
        <v>Rio de Janeiro</v>
      </c>
      <c r="G985" s="4" t="str">
        <f aca="false">IF($A985="","",TRIM(Base_Bruta!G985))</f>
        <v>Inteira</v>
      </c>
      <c r="H985" s="4" t="n">
        <f aca="false">IF($A985="","",IF(ISNUMBER(Base_Bruta!H985),Base_Bruta!H985,IFERROR(_xlfn.NUMBERVALUE(TRIM(SUBSTITUTE(Base_Bruta!H985,"R$","")),",","."),0)))</f>
        <v>3</v>
      </c>
      <c r="I985" s="6" t="n">
        <f aca="false">IF($A985="","",IF(ISNUMBER(Base_Bruta!I985),Base_Bruta!I985,IFERROR(_xlfn.NUMBERVALUE(TRIM(SUBSTITUTE(Base_Bruta!I985,"R$","")),",","."),0)))</f>
        <v>450</v>
      </c>
      <c r="J985" s="6" t="n">
        <f aca="false">IF($A985="","",H985*I985)</f>
        <v>1350</v>
      </c>
      <c r="K985" s="4" t="str">
        <f aca="false">IF($A985="","",TRIM(Base_Bruta!J985))</f>
        <v>Bilheteria</v>
      </c>
      <c r="L985" s="4" t="str">
        <f aca="false">IF($A985="","",TRIM(Base_Bruta!K985))</f>
        <v>C00163</v>
      </c>
      <c r="M985" s="4" t="str">
        <f aca="false">IF($A985="","",_xlfn.XLOOKUP(LOWER(TRIM(Base_Bruta!L985)),DePara_Cidade!$A$2:$A$29,DePara_Cidade!$B$2:$B$29,"REVISAR"))</f>
        <v>Vitória</v>
      </c>
      <c r="N985" s="4" t="str">
        <f aca="false">IF($A985="","",UPPER(TRIM(Base_Bruta!M985)))</f>
        <v>ES</v>
      </c>
      <c r="O985" s="4" t="str">
        <f aca="false">IF($A985="","",_xlfn.XLOOKUP(LOWER(TRIM(Base_Bruta!N985)),DePara_Pais!$A$2:$A$9,DePara_Pais!$B$2:$B$9,"REVISAR"))</f>
        <v>Brasil</v>
      </c>
      <c r="P985" s="4" t="str">
        <f aca="false">IF($A985="","",IF(O985&lt;&gt;"Brasil","Turista Internacional",IF(M985=F985,"Local","Turista Nacional")))</f>
        <v>Turista Nacional</v>
      </c>
      <c r="Q985" s="7" t="n">
        <f aca="false">IF($A985="","",DATE(YEAR(B985),MONTH(B985),1))</f>
        <v>45809</v>
      </c>
      <c r="R985" s="4" t="str">
        <f aca="false">IF($A985="","",IF(COUNTIF($A$2:$A985,$A985)&gt;1,"Sim","Não"))</f>
        <v>Não</v>
      </c>
      <c r="S985" s="4" t="str">
        <f aca="false">IF(A985="","Descartar - Linha vazia",IF(R985="Sim","Descartar - Duplicado",IF(OR(H985&lt;=0,I985&lt;=0),"Descartar - Qtd/Valor inválido","OK")))</f>
        <v>OK</v>
      </c>
      <c r="T985" s="4" t="str">
        <f aca="false">Base_Bruta!P985</f>
        <v>vendas_RJ.xlsx</v>
      </c>
    </row>
    <row r="986" customFormat="false" ht="15" hidden="false" customHeight="false" outlineLevel="0" collapsed="false">
      <c r="A986" s="4" t="str">
        <f aca="false">IF(Base_Bruta!A986="","",Base_Bruta!A986)</f>
        <v>RJ-000290</v>
      </c>
      <c r="B986" s="5" t="n">
        <f aca="false">IF($A986="","",IF(ISNUMBER(Base_Bruta!B986),Base_Bruta!B986,IF(MID(Base_Bruta!B986,5,1)="-",DATE(VALUE(LEFT(Base_Bruta!B986,4)),VALUE(MID(Base_Bruta!B986,6,2)),VALUE(RIGHT(Base_Bruta!B986,2))),DATE(VALUE(RIGHT(Base_Bruta!B986,4)),VALUE(MID(Base_Bruta!B986,4,2)),VALUE(LEFT(Base_Bruta!B986,2))))))</f>
        <v>45819</v>
      </c>
      <c r="C986" s="5" t="n">
        <f aca="false">IF($A986="","",IF(ISNUMBER(Base_Bruta!C986),Base_Bruta!C986,IF(MID(Base_Bruta!C986,5,1)="-",DATE(VALUE(LEFT(Base_Bruta!C986,4)),VALUE(MID(Base_Bruta!C986,6,2)),VALUE(RIGHT(Base_Bruta!C986,2))),DATE(VALUE(RIGHT(Base_Bruta!C986,4)),VALUE(MID(Base_Bruta!C986,4,2)),VALUE(LEFT(Base_Bruta!C986,2))))))</f>
        <v>45822</v>
      </c>
      <c r="D986" s="4" t="str">
        <f aca="false">IF($A986="","",TRIM(Base_Bruta!D986))</f>
        <v>Show Nacional MPB - Rio</v>
      </c>
      <c r="E986" s="4" t="str">
        <f aca="false">IF($A986="","",_xlfn.XLOOKUP(LOWER(TRIM(Base_Bruta!E986)),DePara_Categoria!$A$2:$A$9,DePara_Categoria!$B$2:$B$9,"REVISAR"))</f>
        <v>Show</v>
      </c>
      <c r="F986" s="4" t="str">
        <f aca="false">IF($A986="","",_xlfn.XLOOKUP(LOWER(TRIM(Base_Bruta!F986)),DePara_Cidade!$A$2:$A$29,DePara_Cidade!$B$2:$B$29,"REVISAR"))</f>
        <v>Rio de Janeiro</v>
      </c>
      <c r="G986" s="4" t="str">
        <f aca="false">IF($A986="","",TRIM(Base_Bruta!G986))</f>
        <v>Meia</v>
      </c>
      <c r="H986" s="4" t="n">
        <f aca="false">IF($A986="","",IF(ISNUMBER(Base_Bruta!H986),Base_Bruta!H986,IFERROR(_xlfn.NUMBERVALUE(TRIM(SUBSTITUTE(Base_Bruta!H986,"R$","")),",","."),0)))</f>
        <v>4</v>
      </c>
      <c r="I986" s="6" t="n">
        <f aca="false">IF($A986="","",IF(ISNUMBER(Base_Bruta!I986),Base_Bruta!I986,IFERROR(_xlfn.NUMBERVALUE(TRIM(SUBSTITUTE(Base_Bruta!I986,"R$","")),",","."),0)))</f>
        <v>282.5</v>
      </c>
      <c r="J986" s="6" t="n">
        <f aca="false">IF($A986="","",H986*I986)</f>
        <v>1130</v>
      </c>
      <c r="K986" s="4" t="str">
        <f aca="false">IF($A986="","",TRIM(Base_Bruta!J986))</f>
        <v>App</v>
      </c>
      <c r="L986" s="4" t="str">
        <f aca="false">IF($A986="","",TRIM(Base_Bruta!K986))</f>
        <v>C02063</v>
      </c>
      <c r="M986" s="4" t="str">
        <f aca="false">IF($A986="","",_xlfn.XLOOKUP(LOWER(TRIM(Base_Bruta!L986)),DePara_Cidade!$A$2:$A$29,DePara_Cidade!$B$2:$B$29,"REVISAR"))</f>
        <v>São Paulo</v>
      </c>
      <c r="N986" s="4" t="str">
        <f aca="false">IF($A986="","",UPPER(TRIM(Base_Bruta!M986)))</f>
        <v>SP</v>
      </c>
      <c r="O986" s="4" t="str">
        <f aca="false">IF($A986="","",_xlfn.XLOOKUP(LOWER(TRIM(Base_Bruta!N986)),DePara_Pais!$A$2:$A$9,DePara_Pais!$B$2:$B$9,"REVISAR"))</f>
        <v>Brasil</v>
      </c>
      <c r="P986" s="4" t="str">
        <f aca="false">IF($A986="","",IF(O986&lt;&gt;"Brasil","Turista Internacional",IF(M986=F986,"Local","Turista Nacional")))</f>
        <v>Turista Nacional</v>
      </c>
      <c r="Q986" s="7" t="n">
        <f aca="false">IF($A986="","",DATE(YEAR(B986),MONTH(B986),1))</f>
        <v>45809</v>
      </c>
      <c r="R986" s="4" t="str">
        <f aca="false">IF($A986="","",IF(COUNTIF($A$2:$A986,$A986)&gt;1,"Sim","Não"))</f>
        <v>Não</v>
      </c>
      <c r="S986" s="4" t="str">
        <f aca="false">IF(A986="","Descartar - Linha vazia",IF(R986="Sim","Descartar - Duplicado",IF(OR(H986&lt;=0,I986&lt;=0),"Descartar - Qtd/Valor inválido","OK")))</f>
        <v>OK</v>
      </c>
      <c r="T986" s="4" t="str">
        <f aca="false">Base_Bruta!P986</f>
        <v>vendas_RJ.xlsx</v>
      </c>
    </row>
    <row r="987" customFormat="false" ht="15" hidden="false" customHeight="false" outlineLevel="0" collapsed="false">
      <c r="A987" s="4" t="str">
        <f aca="false">IF(Base_Bruta!A987="","",Base_Bruta!A987)</f>
        <v>RJ-000319</v>
      </c>
      <c r="B987" s="5" t="n">
        <f aca="false">IF($A987="","",IF(ISNUMBER(Base_Bruta!B987),Base_Bruta!B987,IF(MID(Base_Bruta!B987,5,1)="-",DATE(VALUE(LEFT(Base_Bruta!B987,4)),VALUE(MID(Base_Bruta!B987,6,2)),VALUE(RIGHT(Base_Bruta!B987,2))),DATE(VALUE(RIGHT(Base_Bruta!B987,4)),VALUE(MID(Base_Bruta!B987,4,2)),VALUE(LEFT(Base_Bruta!B987,2))))))</f>
        <v>45819</v>
      </c>
      <c r="C987" s="5" t="n">
        <f aca="false">IF($A987="","",IF(ISNUMBER(Base_Bruta!C987),Base_Bruta!C987,IF(MID(Base_Bruta!C987,5,1)="-",DATE(VALUE(LEFT(Base_Bruta!C987,4)),VALUE(MID(Base_Bruta!C987,6,2)),VALUE(RIGHT(Base_Bruta!C987,2))),DATE(VALUE(RIGHT(Base_Bruta!C987,4)),VALUE(MID(Base_Bruta!C987,4,2)),VALUE(LEFT(Base_Bruta!C987,2))))))</f>
        <v>45822</v>
      </c>
      <c r="D987" s="4" t="str">
        <f aca="false">IF($A987="","",TRIM(Base_Bruta!D987))</f>
        <v>Show Nacional MPB - Rio</v>
      </c>
      <c r="E987" s="4" t="str">
        <f aca="false">IF($A987="","",_xlfn.XLOOKUP(LOWER(TRIM(Base_Bruta!E987)),DePara_Categoria!$A$2:$A$9,DePara_Categoria!$B$2:$B$9,"REVISAR"))</f>
        <v>Show</v>
      </c>
      <c r="F987" s="4" t="str">
        <f aca="false">IF($A987="","",_xlfn.XLOOKUP(LOWER(TRIM(Base_Bruta!F987)),DePara_Cidade!$A$2:$A$29,DePara_Cidade!$B$2:$B$29,"REVISAR"))</f>
        <v>Rio de Janeiro</v>
      </c>
      <c r="G987" s="4" t="str">
        <f aca="false">IF($A987="","",TRIM(Base_Bruta!G987))</f>
        <v>Inteira</v>
      </c>
      <c r="H987" s="4" t="n">
        <f aca="false">IF($A987="","",IF(ISNUMBER(Base_Bruta!H987),Base_Bruta!H987,IFERROR(_xlfn.NUMBERVALUE(TRIM(SUBSTITUTE(Base_Bruta!H987,"R$","")),",","."),0)))</f>
        <v>2</v>
      </c>
      <c r="I987" s="6" t="n">
        <f aca="false">IF($A987="","",IF(ISNUMBER(Base_Bruta!I987),Base_Bruta!I987,IFERROR(_xlfn.NUMBERVALUE(TRIM(SUBSTITUTE(Base_Bruta!I987,"R$","")),",","."),0)))</f>
        <v>605</v>
      </c>
      <c r="J987" s="6" t="n">
        <f aca="false">IF($A987="","",H987*I987)</f>
        <v>1210</v>
      </c>
      <c r="K987" s="4" t="str">
        <f aca="false">IF($A987="","",TRIM(Base_Bruta!J987))</f>
        <v>Bilheteria</v>
      </c>
      <c r="L987" s="4" t="str">
        <f aca="false">IF($A987="","",TRIM(Base_Bruta!K987))</f>
        <v>C02371</v>
      </c>
      <c r="M987" s="4" t="str">
        <f aca="false">IF($A987="","",_xlfn.XLOOKUP(LOWER(TRIM(Base_Bruta!L987)),DePara_Cidade!$A$2:$A$29,DePara_Cidade!$B$2:$B$29,"REVISAR"))</f>
        <v>Vitória</v>
      </c>
      <c r="N987" s="4" t="str">
        <f aca="false">IF($A987="","",UPPER(TRIM(Base_Bruta!M987)))</f>
        <v>ES</v>
      </c>
      <c r="O987" s="4" t="str">
        <f aca="false">IF($A987="","",_xlfn.XLOOKUP(LOWER(TRIM(Base_Bruta!N987)),DePara_Pais!$A$2:$A$9,DePara_Pais!$B$2:$B$9,"REVISAR"))</f>
        <v>Brasil</v>
      </c>
      <c r="P987" s="4" t="str">
        <f aca="false">IF($A987="","",IF(O987&lt;&gt;"Brasil","Turista Internacional",IF(M987=F987,"Local","Turista Nacional")))</f>
        <v>Turista Nacional</v>
      </c>
      <c r="Q987" s="7" t="n">
        <f aca="false">IF($A987="","",DATE(YEAR(B987),MONTH(B987),1))</f>
        <v>45809</v>
      </c>
      <c r="R987" s="4" t="str">
        <f aca="false">IF($A987="","",IF(COUNTIF($A$2:$A987,$A987)&gt;1,"Sim","Não"))</f>
        <v>Não</v>
      </c>
      <c r="S987" s="4" t="str">
        <f aca="false">IF(A987="","Descartar - Linha vazia",IF(R987="Sim","Descartar - Duplicado",IF(OR(H987&lt;=0,I987&lt;=0),"Descartar - Qtd/Valor inválido","OK")))</f>
        <v>OK</v>
      </c>
      <c r="T987" s="4" t="str">
        <f aca="false">Base_Bruta!P987</f>
        <v>vendas_RJ.xlsx</v>
      </c>
    </row>
    <row r="988" customFormat="false" ht="15" hidden="false" customHeight="false" outlineLevel="0" collapsed="false">
      <c r="A988" s="4" t="str">
        <f aca="false">IF(Base_Bruta!A988="","",Base_Bruta!A988)</f>
        <v>RJ-000347</v>
      </c>
      <c r="B988" s="5" t="n">
        <f aca="false">IF($A988="","",IF(ISNUMBER(Base_Bruta!B988),Base_Bruta!B988,IF(MID(Base_Bruta!B988,5,1)="-",DATE(VALUE(LEFT(Base_Bruta!B988,4)),VALUE(MID(Base_Bruta!B988,6,2)),VALUE(RIGHT(Base_Bruta!B988,2))),DATE(VALUE(RIGHT(Base_Bruta!B988,4)),VALUE(MID(Base_Bruta!B988,4,2)),VALUE(LEFT(Base_Bruta!B988,2))))))</f>
        <v>45819</v>
      </c>
      <c r="C988" s="5" t="n">
        <f aca="false">IF($A988="","",IF(ISNUMBER(Base_Bruta!C988),Base_Bruta!C988,IF(MID(Base_Bruta!C988,5,1)="-",DATE(VALUE(LEFT(Base_Bruta!C988,4)),VALUE(MID(Base_Bruta!C988,6,2)),VALUE(RIGHT(Base_Bruta!C988,2))),DATE(VALUE(RIGHT(Base_Bruta!C988,4)),VALUE(MID(Base_Bruta!C988,4,2)),VALUE(LEFT(Base_Bruta!C988,2))))))</f>
        <v>45822</v>
      </c>
      <c r="D988" s="4" t="str">
        <f aca="false">IF($A988="","",TRIM(Base_Bruta!D988))</f>
        <v>Show Nacional MPB - Rio</v>
      </c>
      <c r="E988" s="4" t="str">
        <f aca="false">IF($A988="","",_xlfn.XLOOKUP(LOWER(TRIM(Base_Bruta!E988)),DePara_Categoria!$A$2:$A$9,DePara_Categoria!$B$2:$B$9,"REVISAR"))</f>
        <v>Show</v>
      </c>
      <c r="F988" s="4" t="str">
        <f aca="false">IF($A988="","",_xlfn.XLOOKUP(LOWER(TRIM(Base_Bruta!F988)),DePara_Cidade!$A$2:$A$29,DePara_Cidade!$B$2:$B$29,"REVISAR"))</f>
        <v>Rio de Janeiro</v>
      </c>
      <c r="G988" s="4" t="str">
        <f aca="false">IF($A988="","",TRIM(Base_Bruta!G988))</f>
        <v>Inteira</v>
      </c>
      <c r="H988" s="4" t="n">
        <f aca="false">IF($A988="","",IF(ISNUMBER(Base_Bruta!H988),Base_Bruta!H988,IFERROR(_xlfn.NUMBERVALUE(TRIM(SUBSTITUTE(Base_Bruta!H988,"R$","")),",","."),0)))</f>
        <v>2</v>
      </c>
      <c r="I988" s="6" t="n">
        <f aca="false">IF($A988="","",IF(ISNUMBER(Base_Bruta!I988),Base_Bruta!I988,IFERROR(_xlfn.NUMBERVALUE(TRIM(SUBSTITUTE(Base_Bruta!I988,"R$","")),",","."),0)))</f>
        <v>275</v>
      </c>
      <c r="J988" s="6" t="n">
        <f aca="false">IF($A988="","",H988*I988)</f>
        <v>550</v>
      </c>
      <c r="K988" s="4" t="str">
        <f aca="false">IF($A988="","",TRIM(Base_Bruta!J988))</f>
        <v>Site</v>
      </c>
      <c r="L988" s="4" t="str">
        <f aca="false">IF($A988="","",TRIM(Base_Bruta!K988))</f>
        <v>C01241</v>
      </c>
      <c r="M988" s="4" t="str">
        <f aca="false">IF($A988="","",_xlfn.XLOOKUP(LOWER(TRIM(Base_Bruta!L988)),DePara_Cidade!$A$2:$A$29,DePara_Cidade!$B$2:$B$29,"REVISAR"))</f>
        <v>Recife</v>
      </c>
      <c r="N988" s="4" t="str">
        <f aca="false">IF($A988="","",UPPER(TRIM(Base_Bruta!M988)))</f>
        <v>PE</v>
      </c>
      <c r="O988" s="4" t="str">
        <f aca="false">IF($A988="","",_xlfn.XLOOKUP(LOWER(TRIM(Base_Bruta!N988)),DePara_Pais!$A$2:$A$9,DePara_Pais!$B$2:$B$9,"REVISAR"))</f>
        <v>Brasil</v>
      </c>
      <c r="P988" s="4" t="str">
        <f aca="false">IF($A988="","",IF(O988&lt;&gt;"Brasil","Turista Internacional",IF(M988=F988,"Local","Turista Nacional")))</f>
        <v>Turista Nacional</v>
      </c>
      <c r="Q988" s="7" t="n">
        <f aca="false">IF($A988="","",DATE(YEAR(B988),MONTH(B988),1))</f>
        <v>45809</v>
      </c>
      <c r="R988" s="4" t="str">
        <f aca="false">IF($A988="","",IF(COUNTIF($A$2:$A988,$A988)&gt;1,"Sim","Não"))</f>
        <v>Não</v>
      </c>
      <c r="S988" s="4" t="str">
        <f aca="false">IF(A988="","Descartar - Linha vazia",IF(R988="Sim","Descartar - Duplicado",IF(OR(H988&lt;=0,I988&lt;=0),"Descartar - Qtd/Valor inválido","OK")))</f>
        <v>OK</v>
      </c>
      <c r="T988" s="4" t="str">
        <f aca="false">Base_Bruta!P988</f>
        <v>vendas_RJ.xlsx</v>
      </c>
    </row>
    <row r="989" customFormat="false" ht="15" hidden="false" customHeight="false" outlineLevel="0" collapsed="false">
      <c r="A989" s="4" t="str">
        <f aca="false">IF(Base_Bruta!A989="","",Base_Bruta!A989)</f>
        <v>RJ-000353</v>
      </c>
      <c r="B989" s="5" t="n">
        <f aca="false">IF($A989="","",IF(ISNUMBER(Base_Bruta!B989),Base_Bruta!B989,IF(MID(Base_Bruta!B989,5,1)="-",DATE(VALUE(LEFT(Base_Bruta!B989,4)),VALUE(MID(Base_Bruta!B989,6,2)),VALUE(RIGHT(Base_Bruta!B989,2))),DATE(VALUE(RIGHT(Base_Bruta!B989,4)),VALUE(MID(Base_Bruta!B989,4,2)),VALUE(LEFT(Base_Bruta!B989,2))))))</f>
        <v>45819</v>
      </c>
      <c r="C989" s="5" t="n">
        <f aca="false">IF($A989="","",IF(ISNUMBER(Base_Bruta!C989),Base_Bruta!C989,IF(MID(Base_Bruta!C989,5,1)="-",DATE(VALUE(LEFT(Base_Bruta!C989,4)),VALUE(MID(Base_Bruta!C989,6,2)),VALUE(RIGHT(Base_Bruta!C989,2))),DATE(VALUE(RIGHT(Base_Bruta!C989,4)),VALUE(MID(Base_Bruta!C989,4,2)),VALUE(LEFT(Base_Bruta!C989,2))))))</f>
        <v>45822</v>
      </c>
      <c r="D989" s="4" t="str">
        <f aca="false">IF($A989="","",TRIM(Base_Bruta!D989))</f>
        <v>Show Nacional MPB - Rio</v>
      </c>
      <c r="E989" s="4" t="str">
        <f aca="false">IF($A989="","",_xlfn.XLOOKUP(LOWER(TRIM(Base_Bruta!E989)),DePara_Categoria!$A$2:$A$9,DePara_Categoria!$B$2:$B$9,"REVISAR"))</f>
        <v>Show</v>
      </c>
      <c r="F989" s="4" t="str">
        <f aca="false">IF($A989="","",_xlfn.XLOOKUP(LOWER(TRIM(Base_Bruta!F989)),DePara_Cidade!$A$2:$A$29,DePara_Cidade!$B$2:$B$29,"REVISAR"))</f>
        <v>Rio de Janeiro</v>
      </c>
      <c r="G989" s="4" t="str">
        <f aca="false">IF($A989="","",TRIM(Base_Bruta!G989))</f>
        <v>Meia</v>
      </c>
      <c r="H989" s="4" t="n">
        <f aca="false">IF($A989="","",IF(ISNUMBER(Base_Bruta!H989),Base_Bruta!H989,IFERROR(_xlfn.NUMBERVALUE(TRIM(SUBSTITUTE(Base_Bruta!H989,"R$","")),",","."),0)))</f>
        <v>2</v>
      </c>
      <c r="I989" s="6" t="n">
        <f aca="false">IF($A989="","",IF(ISNUMBER(Base_Bruta!I989),Base_Bruta!I989,IFERROR(_xlfn.NUMBERVALUE(TRIM(SUBSTITUTE(Base_Bruta!I989,"R$","")),",","."),0)))</f>
        <v>335</v>
      </c>
      <c r="J989" s="6" t="n">
        <f aca="false">IF($A989="","",H989*I989)</f>
        <v>670</v>
      </c>
      <c r="K989" s="4" t="str">
        <f aca="false">IF($A989="","",TRIM(Base_Bruta!J989))</f>
        <v>App</v>
      </c>
      <c r="L989" s="4" t="str">
        <f aca="false">IF($A989="","",TRIM(Base_Bruta!K989))</f>
        <v>C00916</v>
      </c>
      <c r="M989" s="4" t="str">
        <f aca="false">IF($A989="","",_xlfn.XLOOKUP(LOWER(TRIM(Base_Bruta!L989)),DePara_Cidade!$A$2:$A$29,DePara_Cidade!$B$2:$B$29,"REVISAR"))</f>
        <v>Rio de Janeiro</v>
      </c>
      <c r="N989" s="4" t="str">
        <f aca="false">IF($A989="","",UPPER(TRIM(Base_Bruta!M989)))</f>
        <v>RJ</v>
      </c>
      <c r="O989" s="4" t="str">
        <f aca="false">IF($A989="","",_xlfn.XLOOKUP(LOWER(TRIM(Base_Bruta!N989)),DePara_Pais!$A$2:$A$9,DePara_Pais!$B$2:$B$9,"REVISAR"))</f>
        <v>Brasil</v>
      </c>
      <c r="P989" s="4" t="str">
        <f aca="false">IF($A989="","",IF(O989&lt;&gt;"Brasil","Turista Internacional",IF(M989=F989,"Local","Turista Nacional")))</f>
        <v>Local</v>
      </c>
      <c r="Q989" s="7" t="n">
        <f aca="false">IF($A989="","",DATE(YEAR(B989),MONTH(B989),1))</f>
        <v>45809</v>
      </c>
      <c r="R989" s="4" t="str">
        <f aca="false">IF($A989="","",IF(COUNTIF($A$2:$A989,$A989)&gt;1,"Sim","Não"))</f>
        <v>Não</v>
      </c>
      <c r="S989" s="4" t="str">
        <f aca="false">IF(A989="","Descartar - Linha vazia",IF(R989="Sim","Descartar - Duplicado",IF(OR(H989&lt;=0,I989&lt;=0),"Descartar - Qtd/Valor inválido","OK")))</f>
        <v>OK</v>
      </c>
      <c r="T989" s="4" t="str">
        <f aca="false">Base_Bruta!P989</f>
        <v>vendas_RJ.xlsx</v>
      </c>
    </row>
    <row r="990" customFormat="false" ht="15" hidden="false" customHeight="false" outlineLevel="0" collapsed="false">
      <c r="A990" s="4" t="str">
        <f aca="false">IF(Base_Bruta!A990="","",Base_Bruta!A990)</f>
        <v>RJ-000291</v>
      </c>
      <c r="B990" s="5" t="n">
        <f aca="false">IF($A990="","",IF(ISNUMBER(Base_Bruta!B990),Base_Bruta!B990,IF(MID(Base_Bruta!B990,5,1)="-",DATE(VALUE(LEFT(Base_Bruta!B990,4)),VALUE(MID(Base_Bruta!B990,6,2)),VALUE(RIGHT(Base_Bruta!B990,2))),DATE(VALUE(RIGHT(Base_Bruta!B990,4)),VALUE(MID(Base_Bruta!B990,4,2)),VALUE(LEFT(Base_Bruta!B990,2))))))</f>
        <v>45816</v>
      </c>
      <c r="C990" s="5" t="n">
        <f aca="false">IF($A990="","",IF(ISNUMBER(Base_Bruta!C990),Base_Bruta!C990,IF(MID(Base_Bruta!C990,5,1)="-",DATE(VALUE(LEFT(Base_Bruta!C990,4)),VALUE(MID(Base_Bruta!C990,6,2)),VALUE(RIGHT(Base_Bruta!C990,2))),DATE(VALUE(RIGHT(Base_Bruta!C990,4)),VALUE(MID(Base_Bruta!C990,4,2)),VALUE(LEFT(Base_Bruta!C990,2))))))</f>
        <v>45822</v>
      </c>
      <c r="D990" s="4" t="str">
        <f aca="false">IF($A990="","",TRIM(Base_Bruta!D990))</f>
        <v>Show Nacional MPB - Rio</v>
      </c>
      <c r="E990" s="4" t="str">
        <f aca="false">IF($A990="","",_xlfn.XLOOKUP(LOWER(TRIM(Base_Bruta!E990)),DePara_Categoria!$A$2:$A$9,DePara_Categoria!$B$2:$B$9,"REVISAR"))</f>
        <v>Show</v>
      </c>
      <c r="F990" s="4" t="str">
        <f aca="false">IF($A990="","",_xlfn.XLOOKUP(LOWER(TRIM(Base_Bruta!F990)),DePara_Cidade!$A$2:$A$29,DePara_Cidade!$B$2:$B$29,"REVISAR"))</f>
        <v>Rio de Janeiro</v>
      </c>
      <c r="G990" s="4" t="str">
        <f aca="false">IF($A990="","",TRIM(Base_Bruta!G990))</f>
        <v>Inteira</v>
      </c>
      <c r="H990" s="4" t="n">
        <f aca="false">IF($A990="","",IF(ISNUMBER(Base_Bruta!H990),Base_Bruta!H990,IFERROR(_xlfn.NUMBERVALUE(TRIM(SUBSTITUTE(Base_Bruta!H990,"R$","")),",","."),0)))</f>
        <v>2</v>
      </c>
      <c r="I990" s="6" t="n">
        <f aca="false">IF($A990="","",IF(ISNUMBER(Base_Bruta!I990),Base_Bruta!I990,IFERROR(_xlfn.NUMBERVALUE(TRIM(SUBSTITUTE(Base_Bruta!I990,"R$","")),",","."),0)))</f>
        <v>575</v>
      </c>
      <c r="J990" s="6" t="n">
        <f aca="false">IF($A990="","",H990*I990)</f>
        <v>1150</v>
      </c>
      <c r="K990" s="4" t="str">
        <f aca="false">IF($A990="","",TRIM(Base_Bruta!J990))</f>
        <v>Site</v>
      </c>
      <c r="L990" s="4" t="str">
        <f aca="false">IF($A990="","",TRIM(Base_Bruta!K990))</f>
        <v>C01907</v>
      </c>
      <c r="M990" s="4" t="str">
        <f aca="false">IF($A990="","",_xlfn.XLOOKUP(LOWER(TRIM(Base_Bruta!L990)),DePara_Cidade!$A$2:$A$29,DePara_Cidade!$B$2:$B$29,"REVISAR"))</f>
        <v>Rio de Janeiro</v>
      </c>
      <c r="N990" s="4" t="str">
        <f aca="false">IF($A990="","",UPPER(TRIM(Base_Bruta!M990)))</f>
        <v>RJ</v>
      </c>
      <c r="O990" s="4" t="str">
        <f aca="false">IF($A990="","",_xlfn.XLOOKUP(LOWER(TRIM(Base_Bruta!N990)),DePara_Pais!$A$2:$A$9,DePara_Pais!$B$2:$B$9,"REVISAR"))</f>
        <v>Brasil</v>
      </c>
      <c r="P990" s="4" t="str">
        <f aca="false">IF($A990="","",IF(O990&lt;&gt;"Brasil","Turista Internacional",IF(M990=F990,"Local","Turista Nacional")))</f>
        <v>Local</v>
      </c>
      <c r="Q990" s="7" t="n">
        <f aca="false">IF($A990="","",DATE(YEAR(B990),MONTH(B990),1))</f>
        <v>45809</v>
      </c>
      <c r="R990" s="4" t="str">
        <f aca="false">IF($A990="","",IF(COUNTIF($A$2:$A990,$A990)&gt;1,"Sim","Não"))</f>
        <v>Sim</v>
      </c>
      <c r="S990" s="4" t="str">
        <f aca="false">IF(A990="","Descartar - Linha vazia",IF(R990="Sim","Descartar - Duplicado",IF(OR(H990&lt;=0,I990&lt;=0),"Descartar - Qtd/Valor inválido","OK")))</f>
        <v>Descartar - Duplicado</v>
      </c>
      <c r="T990" s="4" t="str">
        <f aca="false">Base_Bruta!P990</f>
        <v>vendas_RJ.xlsx</v>
      </c>
    </row>
    <row r="991" customFormat="false" ht="15" hidden="false" customHeight="false" outlineLevel="0" collapsed="false">
      <c r="A991" s="4" t="str">
        <f aca="false">IF(Base_Bruta!A991="","",Base_Bruta!A991)</f>
        <v>RJ-000362</v>
      </c>
      <c r="B991" s="5" t="n">
        <f aca="false">IF($A991="","",IF(ISNUMBER(Base_Bruta!B991),Base_Bruta!B991,IF(MID(Base_Bruta!B991,5,1)="-",DATE(VALUE(LEFT(Base_Bruta!B991,4)),VALUE(MID(Base_Bruta!B991,6,2)),VALUE(RIGHT(Base_Bruta!B991,2))),DATE(VALUE(RIGHT(Base_Bruta!B991,4)),VALUE(MID(Base_Bruta!B991,4,2)),VALUE(LEFT(Base_Bruta!B991,2))))))</f>
        <v>45819</v>
      </c>
      <c r="C991" s="5" t="n">
        <f aca="false">IF($A991="","",IF(ISNUMBER(Base_Bruta!C991),Base_Bruta!C991,IF(MID(Base_Bruta!C991,5,1)="-",DATE(VALUE(LEFT(Base_Bruta!C991,4)),VALUE(MID(Base_Bruta!C991,6,2)),VALUE(RIGHT(Base_Bruta!C991,2))),DATE(VALUE(RIGHT(Base_Bruta!C991,4)),VALUE(MID(Base_Bruta!C991,4,2)),VALUE(LEFT(Base_Bruta!C991,2))))))</f>
        <v>45822</v>
      </c>
      <c r="D991" s="4" t="str">
        <f aca="false">IF($A991="","",TRIM(Base_Bruta!D991))</f>
        <v>Show Nacional MPB - Rio</v>
      </c>
      <c r="E991" s="4" t="str">
        <f aca="false">IF($A991="","",_xlfn.XLOOKUP(LOWER(TRIM(Base_Bruta!E991)),DePara_Categoria!$A$2:$A$9,DePara_Categoria!$B$2:$B$9,"REVISAR"))</f>
        <v>Show</v>
      </c>
      <c r="F991" s="4" t="str">
        <f aca="false">IF($A991="","",_xlfn.XLOOKUP(LOWER(TRIM(Base_Bruta!F991)),DePara_Cidade!$A$2:$A$29,DePara_Cidade!$B$2:$B$29,"REVISAR"))</f>
        <v>Rio de Janeiro</v>
      </c>
      <c r="G991" s="4" t="str">
        <f aca="false">IF($A991="","",TRIM(Base_Bruta!G991))</f>
        <v>Inteira</v>
      </c>
      <c r="H991" s="4" t="n">
        <f aca="false">IF($A991="","",IF(ISNUMBER(Base_Bruta!H991),Base_Bruta!H991,IFERROR(_xlfn.NUMBERVALUE(TRIM(SUBSTITUTE(Base_Bruta!H991,"R$","")),",","."),0)))</f>
        <v>1</v>
      </c>
      <c r="I991" s="6" t="n">
        <f aca="false">IF($A991="","",IF(ISNUMBER(Base_Bruta!I991),Base_Bruta!I991,IFERROR(_xlfn.NUMBERVALUE(TRIM(SUBSTITUTE(Base_Bruta!I991,"R$","")),",","."),0)))</f>
        <v>750</v>
      </c>
      <c r="J991" s="6" t="n">
        <f aca="false">IF($A991="","",H991*I991)</f>
        <v>750</v>
      </c>
      <c r="K991" s="4" t="str">
        <f aca="false">IF($A991="","",TRIM(Base_Bruta!J991))</f>
        <v>Site</v>
      </c>
      <c r="L991" s="4" t="str">
        <f aca="false">IF($A991="","",TRIM(Base_Bruta!K991))</f>
        <v>C02496</v>
      </c>
      <c r="M991" s="4" t="str">
        <f aca="false">IF($A991="","",_xlfn.XLOOKUP(LOWER(TRIM(Base_Bruta!L991)),DePara_Cidade!$A$2:$A$29,DePara_Cidade!$B$2:$B$29,"REVISAR"))</f>
        <v>Lisboa</v>
      </c>
      <c r="N991" s="4" t="str">
        <f aca="false">IF($A991="","",UPPER(TRIM(Base_Bruta!M991)))</f>
        <v>EX</v>
      </c>
      <c r="O991" s="4" t="str">
        <f aca="false">IF($A991="","",_xlfn.XLOOKUP(LOWER(TRIM(Base_Bruta!N991)),DePara_Pais!$A$2:$A$9,DePara_Pais!$B$2:$B$9,"REVISAR"))</f>
        <v>Portugal</v>
      </c>
      <c r="P991" s="4" t="str">
        <f aca="false">IF($A991="","",IF(O991&lt;&gt;"Brasil","Turista Internacional",IF(M991=F991,"Local","Turista Nacional")))</f>
        <v>Turista Internacional</v>
      </c>
      <c r="Q991" s="7" t="n">
        <f aca="false">IF($A991="","",DATE(YEAR(B991),MONTH(B991),1))</f>
        <v>45809</v>
      </c>
      <c r="R991" s="4" t="str">
        <f aca="false">IF($A991="","",IF(COUNTIF($A$2:$A991,$A991)&gt;1,"Sim","Não"))</f>
        <v>Não</v>
      </c>
      <c r="S991" s="4" t="str">
        <f aca="false">IF(A991="","Descartar - Linha vazia",IF(R991="Sim","Descartar - Duplicado",IF(OR(H991&lt;=0,I991&lt;=0),"Descartar - Qtd/Valor inválido","OK")))</f>
        <v>OK</v>
      </c>
      <c r="T991" s="4" t="str">
        <f aca="false">Base_Bruta!P991</f>
        <v>vendas_RJ.xlsx</v>
      </c>
    </row>
    <row r="992" customFormat="false" ht="15" hidden="false" customHeight="false" outlineLevel="0" collapsed="false">
      <c r="A992" s="4" t="str">
        <f aca="false">IF(Base_Bruta!A992="","",Base_Bruta!A992)</f>
        <v>RJ-000269</v>
      </c>
      <c r="B992" s="5" t="n">
        <f aca="false">IF($A992="","",IF(ISNUMBER(Base_Bruta!B992),Base_Bruta!B992,IF(MID(Base_Bruta!B992,5,1)="-",DATE(VALUE(LEFT(Base_Bruta!B992,4)),VALUE(MID(Base_Bruta!B992,6,2)),VALUE(RIGHT(Base_Bruta!B992,2))),DATE(VALUE(RIGHT(Base_Bruta!B992,4)),VALUE(MID(Base_Bruta!B992,4,2)),VALUE(LEFT(Base_Bruta!B992,2))))))</f>
        <v>45820</v>
      </c>
      <c r="C992" s="5" t="n">
        <f aca="false">IF($A992="","",IF(ISNUMBER(Base_Bruta!C992),Base_Bruta!C992,IF(MID(Base_Bruta!C992,5,1)="-",DATE(VALUE(LEFT(Base_Bruta!C992,4)),VALUE(MID(Base_Bruta!C992,6,2)),VALUE(RIGHT(Base_Bruta!C992,2))),DATE(VALUE(RIGHT(Base_Bruta!C992,4)),VALUE(MID(Base_Bruta!C992,4,2)),VALUE(LEFT(Base_Bruta!C992,2))))))</f>
        <v>45822</v>
      </c>
      <c r="D992" s="4" t="str">
        <f aca="false">IF($A992="","",TRIM(Base_Bruta!D992))</f>
        <v>Show Nacional MPB - Rio</v>
      </c>
      <c r="E992" s="4" t="str">
        <f aca="false">IF($A992="","",_xlfn.XLOOKUP(LOWER(TRIM(Base_Bruta!E992)),DePara_Categoria!$A$2:$A$9,DePara_Categoria!$B$2:$B$9,"REVISAR"))</f>
        <v>Show</v>
      </c>
      <c r="F992" s="4" t="str">
        <f aca="false">IF($A992="","",_xlfn.XLOOKUP(LOWER(TRIM(Base_Bruta!F992)),DePara_Cidade!$A$2:$A$29,DePara_Cidade!$B$2:$B$29,"REVISAR"))</f>
        <v>Rio de Janeiro</v>
      </c>
      <c r="G992" s="4" t="str">
        <f aca="false">IF($A992="","",TRIM(Base_Bruta!G992))</f>
        <v>Inteira</v>
      </c>
      <c r="H992" s="4" t="n">
        <f aca="false">IF($A992="","",IF(ISNUMBER(Base_Bruta!H992),Base_Bruta!H992,IFERROR(_xlfn.NUMBERVALUE(TRIM(SUBSTITUTE(Base_Bruta!H992,"R$","")),",","."),0)))</f>
        <v>2</v>
      </c>
      <c r="I992" s="6" t="n">
        <f aca="false">IF($A992="","",IF(ISNUMBER(Base_Bruta!I992),Base_Bruta!I992,IFERROR(_xlfn.NUMBERVALUE(TRIM(SUBSTITUTE(Base_Bruta!I992,"R$","")),",","."),0)))</f>
        <v>510</v>
      </c>
      <c r="J992" s="6" t="n">
        <f aca="false">IF($A992="","",H992*I992)</f>
        <v>1020</v>
      </c>
      <c r="K992" s="4" t="str">
        <f aca="false">IF($A992="","",TRIM(Base_Bruta!J992))</f>
        <v>Site</v>
      </c>
      <c r="L992" s="4" t="str">
        <f aca="false">IF($A992="","",TRIM(Base_Bruta!K992))</f>
        <v>C00031</v>
      </c>
      <c r="M992" s="4" t="str">
        <f aca="false">IF($A992="","",_xlfn.XLOOKUP(LOWER(TRIM(Base_Bruta!L992)),DePara_Cidade!$A$2:$A$29,DePara_Cidade!$B$2:$B$29,"REVISAR"))</f>
        <v>Contagem</v>
      </c>
      <c r="N992" s="4" t="str">
        <f aca="false">IF($A992="","",UPPER(TRIM(Base_Bruta!M992)))</f>
        <v>MG</v>
      </c>
      <c r="O992" s="4" t="str">
        <f aca="false">IF($A992="","",_xlfn.XLOOKUP(LOWER(TRIM(Base_Bruta!N992)),DePara_Pais!$A$2:$A$9,DePara_Pais!$B$2:$B$9,"REVISAR"))</f>
        <v>Brasil</v>
      </c>
      <c r="P992" s="4" t="str">
        <f aca="false">IF($A992="","",IF(O992&lt;&gt;"Brasil","Turista Internacional",IF(M992=F992,"Local","Turista Nacional")))</f>
        <v>Turista Nacional</v>
      </c>
      <c r="Q992" s="7" t="n">
        <f aca="false">IF($A992="","",DATE(YEAR(B992),MONTH(B992),1))</f>
        <v>45809</v>
      </c>
      <c r="R992" s="4" t="str">
        <f aca="false">IF($A992="","",IF(COUNTIF($A$2:$A992,$A992)&gt;1,"Sim","Não"))</f>
        <v>Não</v>
      </c>
      <c r="S992" s="4" t="str">
        <f aca="false">IF(A992="","Descartar - Linha vazia",IF(R992="Sim","Descartar - Duplicado",IF(OR(H992&lt;=0,I992&lt;=0),"Descartar - Qtd/Valor inválido","OK")))</f>
        <v>OK</v>
      </c>
      <c r="T992" s="4" t="str">
        <f aca="false">Base_Bruta!P992</f>
        <v>vendas_RJ.xlsx</v>
      </c>
    </row>
    <row r="993" customFormat="false" ht="15" hidden="false" customHeight="false" outlineLevel="0" collapsed="false">
      <c r="A993" s="4" t="str">
        <f aca="false">IF(Base_Bruta!A993="","",Base_Bruta!A993)</f>
        <v>RJ-000281</v>
      </c>
      <c r="B993" s="5" t="n">
        <f aca="false">IF($A993="","",IF(ISNUMBER(Base_Bruta!B993),Base_Bruta!B993,IF(MID(Base_Bruta!B993,5,1)="-",DATE(VALUE(LEFT(Base_Bruta!B993,4)),VALUE(MID(Base_Bruta!B993,6,2)),VALUE(RIGHT(Base_Bruta!B993,2))),DATE(VALUE(RIGHT(Base_Bruta!B993,4)),VALUE(MID(Base_Bruta!B993,4,2)),VALUE(LEFT(Base_Bruta!B993,2))))))</f>
        <v>45820</v>
      </c>
      <c r="C993" s="5" t="n">
        <f aca="false">IF($A993="","",IF(ISNUMBER(Base_Bruta!C993),Base_Bruta!C993,IF(MID(Base_Bruta!C993,5,1)="-",DATE(VALUE(LEFT(Base_Bruta!C993,4)),VALUE(MID(Base_Bruta!C993,6,2)),VALUE(RIGHT(Base_Bruta!C993,2))),DATE(VALUE(RIGHT(Base_Bruta!C993,4)),VALUE(MID(Base_Bruta!C993,4,2)),VALUE(LEFT(Base_Bruta!C993,2))))))</f>
        <v>45822</v>
      </c>
      <c r="D993" s="4" t="str">
        <f aca="false">IF($A993="","",TRIM(Base_Bruta!D993))</f>
        <v>Show Nacional MPB - Rio</v>
      </c>
      <c r="E993" s="4" t="str">
        <f aca="false">IF($A993="","",_xlfn.XLOOKUP(LOWER(TRIM(Base_Bruta!E993)),DePara_Categoria!$A$2:$A$9,DePara_Categoria!$B$2:$B$9,"REVISAR"))</f>
        <v>Show</v>
      </c>
      <c r="F993" s="4" t="str">
        <f aca="false">IF($A993="","",_xlfn.XLOOKUP(LOWER(TRIM(Base_Bruta!F993)),DePara_Cidade!$A$2:$A$29,DePara_Cidade!$B$2:$B$29,"REVISAR"))</f>
        <v>Rio de Janeiro</v>
      </c>
      <c r="G993" s="4" t="str">
        <f aca="false">IF($A993="","",TRIM(Base_Bruta!G993))</f>
        <v>Inteira</v>
      </c>
      <c r="H993" s="4" t="n">
        <f aca="false">IF($A993="","",IF(ISNUMBER(Base_Bruta!H993),Base_Bruta!H993,IFERROR(_xlfn.NUMBERVALUE(TRIM(SUBSTITUTE(Base_Bruta!H993,"R$","")),",","."),0)))</f>
        <v>1</v>
      </c>
      <c r="I993" s="6" t="n">
        <f aca="false">IF($A993="","",IF(ISNUMBER(Base_Bruta!I993),Base_Bruta!I993,IFERROR(_xlfn.NUMBERVALUE(TRIM(SUBSTITUTE(Base_Bruta!I993,"R$","")),",","."),0)))</f>
        <v>600</v>
      </c>
      <c r="J993" s="6" t="n">
        <f aca="false">IF($A993="","",H993*I993)</f>
        <v>600</v>
      </c>
      <c r="K993" s="4" t="str">
        <f aca="false">IF($A993="","",TRIM(Base_Bruta!J993))</f>
        <v>Site</v>
      </c>
      <c r="L993" s="4" t="str">
        <f aca="false">IF($A993="","",TRIM(Base_Bruta!K993))</f>
        <v>C00412</v>
      </c>
      <c r="M993" s="4" t="str">
        <f aca="false">IF($A993="","",_xlfn.XLOOKUP(LOWER(TRIM(Base_Bruta!L993)),DePara_Cidade!$A$2:$A$29,DePara_Cidade!$B$2:$B$29,"REVISAR"))</f>
        <v>Rio de Janeiro</v>
      </c>
      <c r="N993" s="4" t="str">
        <f aca="false">IF($A993="","",UPPER(TRIM(Base_Bruta!M993)))</f>
        <v>RJ</v>
      </c>
      <c r="O993" s="4" t="str">
        <f aca="false">IF($A993="","",_xlfn.XLOOKUP(LOWER(TRIM(Base_Bruta!N993)),DePara_Pais!$A$2:$A$9,DePara_Pais!$B$2:$B$9,"REVISAR"))</f>
        <v>Brasil</v>
      </c>
      <c r="P993" s="4" t="str">
        <f aca="false">IF($A993="","",IF(O993&lt;&gt;"Brasil","Turista Internacional",IF(M993=F993,"Local","Turista Nacional")))</f>
        <v>Local</v>
      </c>
      <c r="Q993" s="7" t="n">
        <f aca="false">IF($A993="","",DATE(YEAR(B993),MONTH(B993),1))</f>
        <v>45809</v>
      </c>
      <c r="R993" s="4" t="str">
        <f aca="false">IF($A993="","",IF(COUNTIF($A$2:$A993,$A993)&gt;1,"Sim","Não"))</f>
        <v>Não</v>
      </c>
      <c r="S993" s="4" t="str">
        <f aca="false">IF(A993="","Descartar - Linha vazia",IF(R993="Sim","Descartar - Duplicado",IF(OR(H993&lt;=0,I993&lt;=0),"Descartar - Qtd/Valor inválido","OK")))</f>
        <v>OK</v>
      </c>
      <c r="T993" s="4" t="str">
        <f aca="false">Base_Bruta!P993</f>
        <v>vendas_RJ.xlsx</v>
      </c>
    </row>
    <row r="994" customFormat="false" ht="15" hidden="false" customHeight="false" outlineLevel="0" collapsed="false">
      <c r="A994" s="4" t="str">
        <f aca="false">IF(Base_Bruta!A994="","",Base_Bruta!A994)</f>
        <v>RJ-000318</v>
      </c>
      <c r="B994" s="5" t="n">
        <f aca="false">IF($A994="","",IF(ISNUMBER(Base_Bruta!B994),Base_Bruta!B994,IF(MID(Base_Bruta!B994,5,1)="-",DATE(VALUE(LEFT(Base_Bruta!B994,4)),VALUE(MID(Base_Bruta!B994,6,2)),VALUE(RIGHT(Base_Bruta!B994,2))),DATE(VALUE(RIGHT(Base_Bruta!B994,4)),VALUE(MID(Base_Bruta!B994,4,2)),VALUE(LEFT(Base_Bruta!B994,2))))))</f>
        <v>45820</v>
      </c>
      <c r="C994" s="5" t="n">
        <f aca="false">IF($A994="","",IF(ISNUMBER(Base_Bruta!C994),Base_Bruta!C994,IF(MID(Base_Bruta!C994,5,1)="-",DATE(VALUE(LEFT(Base_Bruta!C994,4)),VALUE(MID(Base_Bruta!C994,6,2)),VALUE(RIGHT(Base_Bruta!C994,2))),DATE(VALUE(RIGHT(Base_Bruta!C994,4)),VALUE(MID(Base_Bruta!C994,4,2)),VALUE(LEFT(Base_Bruta!C994,2))))))</f>
        <v>45822</v>
      </c>
      <c r="D994" s="4" t="str">
        <f aca="false">IF($A994="","",TRIM(Base_Bruta!D994))</f>
        <v>Show Nacional MPB - Rio</v>
      </c>
      <c r="E994" s="4" t="str">
        <f aca="false">IF($A994="","",_xlfn.XLOOKUP(LOWER(TRIM(Base_Bruta!E994)),DePara_Categoria!$A$2:$A$9,DePara_Categoria!$B$2:$B$9,"REVISAR"))</f>
        <v>Show</v>
      </c>
      <c r="F994" s="4" t="str">
        <f aca="false">IF($A994="","",_xlfn.XLOOKUP(LOWER(TRIM(Base_Bruta!F994)),DePara_Cidade!$A$2:$A$29,DePara_Cidade!$B$2:$B$29,"REVISAR"))</f>
        <v>Rio de Janeiro</v>
      </c>
      <c r="G994" s="4" t="str">
        <f aca="false">IF($A994="","",TRIM(Base_Bruta!G994))</f>
        <v>Meia</v>
      </c>
      <c r="H994" s="4" t="n">
        <f aca="false">IF($A994="","",IF(ISNUMBER(Base_Bruta!H994),Base_Bruta!H994,IFERROR(_xlfn.NUMBERVALUE(TRIM(SUBSTITUTE(Base_Bruta!H994,"R$","")),",","."),0)))</f>
        <v>1</v>
      </c>
      <c r="I994" s="6" t="n">
        <f aca="false">IF($A994="","",IF(ISNUMBER(Base_Bruta!I994),Base_Bruta!I994,IFERROR(_xlfn.NUMBERVALUE(TRIM(SUBSTITUTE(Base_Bruta!I994,"R$","")),",","."),0)))</f>
        <v>187.5</v>
      </c>
      <c r="J994" s="6" t="n">
        <f aca="false">IF($A994="","",H994*I994)</f>
        <v>187.5</v>
      </c>
      <c r="K994" s="4" t="str">
        <f aca="false">IF($A994="","",TRIM(Base_Bruta!J994))</f>
        <v>Site</v>
      </c>
      <c r="L994" s="4" t="str">
        <f aca="false">IF($A994="","",TRIM(Base_Bruta!K994))</f>
        <v>C00648</v>
      </c>
      <c r="M994" s="4" t="str">
        <f aca="false">IF($A994="","",_xlfn.XLOOKUP(LOWER(TRIM(Base_Bruta!L994)),DePara_Cidade!$A$2:$A$29,DePara_Cidade!$B$2:$B$29,"REVISAR"))</f>
        <v>Rio de Janeiro</v>
      </c>
      <c r="N994" s="4" t="str">
        <f aca="false">IF($A994="","",UPPER(TRIM(Base_Bruta!M994)))</f>
        <v>RJ</v>
      </c>
      <c r="O994" s="4" t="str">
        <f aca="false">IF($A994="","",_xlfn.XLOOKUP(LOWER(TRIM(Base_Bruta!N994)),DePara_Pais!$A$2:$A$9,DePara_Pais!$B$2:$B$9,"REVISAR"))</f>
        <v>Brasil</v>
      </c>
      <c r="P994" s="4" t="str">
        <f aca="false">IF($A994="","",IF(O994&lt;&gt;"Brasil","Turista Internacional",IF(M994=F994,"Local","Turista Nacional")))</f>
        <v>Local</v>
      </c>
      <c r="Q994" s="7" t="n">
        <f aca="false">IF($A994="","",DATE(YEAR(B994),MONTH(B994),1))</f>
        <v>45809</v>
      </c>
      <c r="R994" s="4" t="str">
        <f aca="false">IF($A994="","",IF(COUNTIF($A$2:$A994,$A994)&gt;1,"Sim","Não"))</f>
        <v>Não</v>
      </c>
      <c r="S994" s="4" t="str">
        <f aca="false">IF(A994="","Descartar - Linha vazia",IF(R994="Sim","Descartar - Duplicado",IF(OR(H994&lt;=0,I994&lt;=0),"Descartar - Qtd/Valor inválido","OK")))</f>
        <v>OK</v>
      </c>
      <c r="T994" s="4" t="str">
        <f aca="false">Base_Bruta!P994</f>
        <v>vendas_RJ.xlsx</v>
      </c>
    </row>
    <row r="995" customFormat="false" ht="15" hidden="false" customHeight="false" outlineLevel="0" collapsed="false">
      <c r="A995" s="4" t="str">
        <f aca="false">IF(Base_Bruta!A995="","",Base_Bruta!A995)</f>
        <v>RJ-000328</v>
      </c>
      <c r="B995" s="5" t="n">
        <f aca="false">IF($A995="","",IF(ISNUMBER(Base_Bruta!B995),Base_Bruta!B995,IF(MID(Base_Bruta!B995,5,1)="-",DATE(VALUE(LEFT(Base_Bruta!B995,4)),VALUE(MID(Base_Bruta!B995,6,2)),VALUE(RIGHT(Base_Bruta!B995,2))),DATE(VALUE(RIGHT(Base_Bruta!B995,4)),VALUE(MID(Base_Bruta!B995,4,2)),VALUE(LEFT(Base_Bruta!B995,2))))))</f>
        <v>45820</v>
      </c>
      <c r="C995" s="5" t="n">
        <f aca="false">IF($A995="","",IF(ISNUMBER(Base_Bruta!C995),Base_Bruta!C995,IF(MID(Base_Bruta!C995,5,1)="-",DATE(VALUE(LEFT(Base_Bruta!C995,4)),VALUE(MID(Base_Bruta!C995,6,2)),VALUE(RIGHT(Base_Bruta!C995,2))),DATE(VALUE(RIGHT(Base_Bruta!C995,4)),VALUE(MID(Base_Bruta!C995,4,2)),VALUE(LEFT(Base_Bruta!C995,2))))))</f>
        <v>45822</v>
      </c>
      <c r="D995" s="4" t="str">
        <f aca="false">IF($A995="","",TRIM(Base_Bruta!D995))</f>
        <v>Show Nacional MPB - Rio</v>
      </c>
      <c r="E995" s="4" t="str">
        <f aca="false">IF($A995="","",_xlfn.XLOOKUP(LOWER(TRIM(Base_Bruta!E995)),DePara_Categoria!$A$2:$A$9,DePara_Categoria!$B$2:$B$9,"REVISAR"))</f>
        <v>Show</v>
      </c>
      <c r="F995" s="4" t="str">
        <f aca="false">IF($A995="","",_xlfn.XLOOKUP(LOWER(TRIM(Base_Bruta!F995)),DePara_Cidade!$A$2:$A$29,DePara_Cidade!$B$2:$B$29,"REVISAR"))</f>
        <v>Rio de Janeiro</v>
      </c>
      <c r="G995" s="4" t="str">
        <f aca="false">IF($A995="","",TRIM(Base_Bruta!G995))</f>
        <v>Meia</v>
      </c>
      <c r="H995" s="4" t="n">
        <f aca="false">IF($A995="","",IF(ISNUMBER(Base_Bruta!H995),Base_Bruta!H995,IFERROR(_xlfn.NUMBERVALUE(TRIM(SUBSTITUTE(Base_Bruta!H995,"R$","")),",","."),0)))</f>
        <v>2</v>
      </c>
      <c r="I995" s="6" t="n">
        <f aca="false">IF($A995="","",IF(ISNUMBER(Base_Bruta!I995),Base_Bruta!I995,IFERROR(_xlfn.NUMBERVALUE(TRIM(SUBSTITUTE(Base_Bruta!I995,"R$","")),",","."),0)))</f>
        <v>387.5</v>
      </c>
      <c r="J995" s="6" t="n">
        <f aca="false">IF($A995="","",H995*I995)</f>
        <v>775</v>
      </c>
      <c r="K995" s="4" t="str">
        <f aca="false">IF($A995="","",TRIM(Base_Bruta!J995))</f>
        <v>Bilheteria</v>
      </c>
      <c r="L995" s="4" t="str">
        <f aca="false">IF($A995="","",TRIM(Base_Bruta!K995))</f>
        <v>C01826</v>
      </c>
      <c r="M995" s="4" t="str">
        <f aca="false">IF($A995="","",_xlfn.XLOOKUP(LOWER(TRIM(Base_Bruta!L995)),DePara_Cidade!$A$2:$A$29,DePara_Cidade!$B$2:$B$29,"REVISAR"))</f>
        <v>Rio de Janeiro</v>
      </c>
      <c r="N995" s="4" t="str">
        <f aca="false">IF($A995="","",UPPER(TRIM(Base_Bruta!M995)))</f>
        <v>RJ</v>
      </c>
      <c r="O995" s="4" t="str">
        <f aca="false">IF($A995="","",_xlfn.XLOOKUP(LOWER(TRIM(Base_Bruta!N995)),DePara_Pais!$A$2:$A$9,DePara_Pais!$B$2:$B$9,"REVISAR"))</f>
        <v>Brasil</v>
      </c>
      <c r="P995" s="4" t="str">
        <f aca="false">IF($A995="","",IF(O995&lt;&gt;"Brasil","Turista Internacional",IF(M995=F995,"Local","Turista Nacional")))</f>
        <v>Local</v>
      </c>
      <c r="Q995" s="7" t="n">
        <f aca="false">IF($A995="","",DATE(YEAR(B995),MONTH(B995),1))</f>
        <v>45809</v>
      </c>
      <c r="R995" s="4" t="str">
        <f aca="false">IF($A995="","",IF(COUNTIF($A$2:$A995,$A995)&gt;1,"Sim","Não"))</f>
        <v>Não</v>
      </c>
      <c r="S995" s="4" t="str">
        <f aca="false">IF(A995="","Descartar - Linha vazia",IF(R995="Sim","Descartar - Duplicado",IF(OR(H995&lt;=0,I995&lt;=0),"Descartar - Qtd/Valor inválido","OK")))</f>
        <v>OK</v>
      </c>
      <c r="T995" s="4" t="str">
        <f aca="false">Base_Bruta!P995</f>
        <v>vendas_RJ.xlsx</v>
      </c>
    </row>
    <row r="996" customFormat="false" ht="15" hidden="false" customHeight="false" outlineLevel="0" collapsed="false">
      <c r="A996" s="4" t="str">
        <f aca="false">IF(Base_Bruta!A996="","",Base_Bruta!A996)</f>
        <v>RJ-000339</v>
      </c>
      <c r="B996" s="5" t="n">
        <f aca="false">IF($A996="","",IF(ISNUMBER(Base_Bruta!B996),Base_Bruta!B996,IF(MID(Base_Bruta!B996,5,1)="-",DATE(VALUE(LEFT(Base_Bruta!B996,4)),VALUE(MID(Base_Bruta!B996,6,2)),VALUE(RIGHT(Base_Bruta!B996,2))),DATE(VALUE(RIGHT(Base_Bruta!B996,4)),VALUE(MID(Base_Bruta!B996,4,2)),VALUE(LEFT(Base_Bruta!B996,2))))))</f>
        <v>45820</v>
      </c>
      <c r="C996" s="5" t="n">
        <f aca="false">IF($A996="","",IF(ISNUMBER(Base_Bruta!C996),Base_Bruta!C996,IF(MID(Base_Bruta!C996,5,1)="-",DATE(VALUE(LEFT(Base_Bruta!C996,4)),VALUE(MID(Base_Bruta!C996,6,2)),VALUE(RIGHT(Base_Bruta!C996,2))),DATE(VALUE(RIGHT(Base_Bruta!C996,4)),VALUE(MID(Base_Bruta!C996,4,2)),VALUE(LEFT(Base_Bruta!C996,2))))))</f>
        <v>45822</v>
      </c>
      <c r="D996" s="4" t="str">
        <f aca="false">IF($A996="","",TRIM(Base_Bruta!D996))</f>
        <v>Show Nacional MPB - Rio</v>
      </c>
      <c r="E996" s="4" t="str">
        <f aca="false">IF($A996="","",_xlfn.XLOOKUP(LOWER(TRIM(Base_Bruta!E996)),DePara_Categoria!$A$2:$A$9,DePara_Categoria!$B$2:$B$9,"REVISAR"))</f>
        <v>Show</v>
      </c>
      <c r="F996" s="4" t="str">
        <f aca="false">IF($A996="","",_xlfn.XLOOKUP(LOWER(TRIM(Base_Bruta!F996)),DePara_Cidade!$A$2:$A$29,DePara_Cidade!$B$2:$B$29,"REVISAR"))</f>
        <v>Rio de Janeiro</v>
      </c>
      <c r="G996" s="4" t="str">
        <f aca="false">IF($A996="","",TRIM(Base_Bruta!G996))</f>
        <v>VIP</v>
      </c>
      <c r="H996" s="4" t="n">
        <f aca="false">IF($A996="","",IF(ISNUMBER(Base_Bruta!H996),Base_Bruta!H996,IFERROR(_xlfn.NUMBERVALUE(TRIM(SUBSTITUTE(Base_Bruta!H996,"R$","")),",","."),0)))</f>
        <v>4</v>
      </c>
      <c r="I996" s="6" t="n">
        <f aca="false">IF($A996="","",IF(ISNUMBER(Base_Bruta!I996),Base_Bruta!I996,IFERROR(_xlfn.NUMBERVALUE(TRIM(SUBSTITUTE(Base_Bruta!I996,"R$","")),",","."),0)))</f>
        <v>1390</v>
      </c>
      <c r="J996" s="6" t="n">
        <f aca="false">IF($A996="","",H996*I996)</f>
        <v>5560</v>
      </c>
      <c r="K996" s="4" t="str">
        <f aca="false">IF($A996="","",TRIM(Base_Bruta!J996))</f>
        <v>App</v>
      </c>
      <c r="L996" s="4" t="str">
        <f aca="false">IF($A996="","",TRIM(Base_Bruta!K996))</f>
        <v>C02497</v>
      </c>
      <c r="M996" s="4" t="str">
        <f aca="false">IF($A996="","",_xlfn.XLOOKUP(LOWER(TRIM(Base_Bruta!L996)),DePara_Cidade!$A$2:$A$29,DePara_Cidade!$B$2:$B$29,"REVISAR"))</f>
        <v>Rio de Janeiro</v>
      </c>
      <c r="N996" s="4" t="str">
        <f aca="false">IF($A996="","",UPPER(TRIM(Base_Bruta!M996)))</f>
        <v>RJ</v>
      </c>
      <c r="O996" s="4" t="str">
        <f aca="false">IF($A996="","",_xlfn.XLOOKUP(LOWER(TRIM(Base_Bruta!N996)),DePara_Pais!$A$2:$A$9,DePara_Pais!$B$2:$B$9,"REVISAR"))</f>
        <v>Brasil</v>
      </c>
      <c r="P996" s="4" t="str">
        <f aca="false">IF($A996="","",IF(O996&lt;&gt;"Brasil","Turista Internacional",IF(M996=F996,"Local","Turista Nacional")))</f>
        <v>Local</v>
      </c>
      <c r="Q996" s="7" t="n">
        <f aca="false">IF($A996="","",DATE(YEAR(B996),MONTH(B996),1))</f>
        <v>45809</v>
      </c>
      <c r="R996" s="4" t="str">
        <f aca="false">IF($A996="","",IF(COUNTIF($A$2:$A996,$A996)&gt;1,"Sim","Não"))</f>
        <v>Não</v>
      </c>
      <c r="S996" s="4" t="str">
        <f aca="false">IF(A996="","Descartar - Linha vazia",IF(R996="Sim","Descartar - Duplicado",IF(OR(H996&lt;=0,I996&lt;=0),"Descartar - Qtd/Valor inválido","OK")))</f>
        <v>OK</v>
      </c>
      <c r="T996" s="4" t="str">
        <f aca="false">Base_Bruta!P996</f>
        <v>vendas_RJ.xlsx</v>
      </c>
    </row>
    <row r="997" customFormat="false" ht="15" hidden="false" customHeight="false" outlineLevel="0" collapsed="false">
      <c r="A997" s="4" t="str">
        <f aca="false">IF(Base_Bruta!A997="","",Base_Bruta!A997)</f>
        <v>RJ-000343</v>
      </c>
      <c r="B997" s="5" t="n">
        <f aca="false">IF($A997="","",IF(ISNUMBER(Base_Bruta!B997),Base_Bruta!B997,IF(MID(Base_Bruta!B997,5,1)="-",DATE(VALUE(LEFT(Base_Bruta!B997,4)),VALUE(MID(Base_Bruta!B997,6,2)),VALUE(RIGHT(Base_Bruta!B997,2))),DATE(VALUE(RIGHT(Base_Bruta!B997,4)),VALUE(MID(Base_Bruta!B997,4,2)),VALUE(LEFT(Base_Bruta!B997,2))))))</f>
        <v>45820</v>
      </c>
      <c r="C997" s="5" t="n">
        <f aca="false">IF($A997="","",IF(ISNUMBER(Base_Bruta!C997),Base_Bruta!C997,IF(MID(Base_Bruta!C997,5,1)="-",DATE(VALUE(LEFT(Base_Bruta!C997,4)),VALUE(MID(Base_Bruta!C997,6,2)),VALUE(RIGHT(Base_Bruta!C997,2))),DATE(VALUE(RIGHT(Base_Bruta!C997,4)),VALUE(MID(Base_Bruta!C997,4,2)),VALUE(LEFT(Base_Bruta!C997,2))))))</f>
        <v>45822</v>
      </c>
      <c r="D997" s="4" t="str">
        <f aca="false">IF($A997="","",TRIM(Base_Bruta!D997))</f>
        <v>Show Nacional MPB - Rio</v>
      </c>
      <c r="E997" s="4" t="str">
        <f aca="false">IF($A997="","",_xlfn.XLOOKUP(LOWER(TRIM(Base_Bruta!E997)),DePara_Categoria!$A$2:$A$9,DePara_Categoria!$B$2:$B$9,"REVISAR"))</f>
        <v>Show</v>
      </c>
      <c r="F997" s="4" t="str">
        <f aca="false">IF($A997="","",_xlfn.XLOOKUP(LOWER(TRIM(Base_Bruta!F997)),DePara_Cidade!$A$2:$A$29,DePara_Cidade!$B$2:$B$29,"REVISAR"))</f>
        <v>Rio de Janeiro</v>
      </c>
      <c r="G997" s="4" t="str">
        <f aca="false">IF($A997="","",TRIM(Base_Bruta!G997))</f>
        <v>Meia</v>
      </c>
      <c r="H997" s="4" t="n">
        <f aca="false">IF($A997="","",IF(ISNUMBER(Base_Bruta!H997),Base_Bruta!H997,IFERROR(_xlfn.NUMBERVALUE(TRIM(SUBSTITUTE(Base_Bruta!H997,"R$","")),",","."),0)))</f>
        <v>4</v>
      </c>
      <c r="I997" s="6" t="n">
        <f aca="false">IF($A997="","",IF(ISNUMBER(Base_Bruta!I997),Base_Bruta!I997,IFERROR(_xlfn.NUMBERVALUE(TRIM(SUBSTITUTE(Base_Bruta!I997,"R$","")),",","."),0)))</f>
        <v>187.5</v>
      </c>
      <c r="J997" s="6" t="n">
        <f aca="false">IF($A997="","",H997*I997)</f>
        <v>750</v>
      </c>
      <c r="K997" s="4" t="str">
        <f aca="false">IF($A997="","",TRIM(Base_Bruta!J997))</f>
        <v>Site</v>
      </c>
      <c r="L997" s="4" t="str">
        <f aca="false">IF($A997="","",TRIM(Base_Bruta!K997))</f>
        <v>C01372</v>
      </c>
      <c r="M997" s="4" t="str">
        <f aca="false">IF($A997="","",_xlfn.XLOOKUP(LOWER(TRIM(Base_Bruta!L997)),DePara_Cidade!$A$2:$A$29,DePara_Cidade!$B$2:$B$29,"REVISAR"))</f>
        <v>Rio de Janeiro</v>
      </c>
      <c r="N997" s="4" t="str">
        <f aca="false">IF($A997="","",UPPER(TRIM(Base_Bruta!M997)))</f>
        <v>RJ</v>
      </c>
      <c r="O997" s="4" t="str">
        <f aca="false">IF($A997="","",_xlfn.XLOOKUP(LOWER(TRIM(Base_Bruta!N997)),DePara_Pais!$A$2:$A$9,DePara_Pais!$B$2:$B$9,"REVISAR"))</f>
        <v>Brasil</v>
      </c>
      <c r="P997" s="4" t="str">
        <f aca="false">IF($A997="","",IF(O997&lt;&gt;"Brasil","Turista Internacional",IF(M997=F997,"Local","Turista Nacional")))</f>
        <v>Local</v>
      </c>
      <c r="Q997" s="7" t="n">
        <f aca="false">IF($A997="","",DATE(YEAR(B997),MONTH(B997),1))</f>
        <v>45809</v>
      </c>
      <c r="R997" s="4" t="str">
        <f aca="false">IF($A997="","",IF(COUNTIF($A$2:$A997,$A997)&gt;1,"Sim","Não"))</f>
        <v>Não</v>
      </c>
      <c r="S997" s="4" t="str">
        <f aca="false">IF(A997="","Descartar - Linha vazia",IF(R997="Sim","Descartar - Duplicado",IF(OR(H997&lt;=0,I997&lt;=0),"Descartar - Qtd/Valor inválido","OK")))</f>
        <v>OK</v>
      </c>
      <c r="T997" s="4" t="str">
        <f aca="false">Base_Bruta!P997</f>
        <v>vendas_RJ.xlsx</v>
      </c>
    </row>
    <row r="998" customFormat="false" ht="15" hidden="false" customHeight="false" outlineLevel="0" collapsed="false">
      <c r="A998" s="4" t="str">
        <f aca="false">IF(Base_Bruta!A998="","",Base_Bruta!A998)</f>
        <v>RJ-000377</v>
      </c>
      <c r="B998" s="5" t="n">
        <f aca="false">IF($A998="","",IF(ISNUMBER(Base_Bruta!B998),Base_Bruta!B998,IF(MID(Base_Bruta!B998,5,1)="-",DATE(VALUE(LEFT(Base_Bruta!B998,4)),VALUE(MID(Base_Bruta!B998,6,2)),VALUE(RIGHT(Base_Bruta!B998,2))),DATE(VALUE(RIGHT(Base_Bruta!B998,4)),VALUE(MID(Base_Bruta!B998,4,2)),VALUE(LEFT(Base_Bruta!B998,2))))))</f>
        <v>45820</v>
      </c>
      <c r="C998" s="5" t="n">
        <f aca="false">IF($A998="","",IF(ISNUMBER(Base_Bruta!C998),Base_Bruta!C998,IF(MID(Base_Bruta!C998,5,1)="-",DATE(VALUE(LEFT(Base_Bruta!C998,4)),VALUE(MID(Base_Bruta!C998,6,2)),VALUE(RIGHT(Base_Bruta!C998,2))),DATE(VALUE(RIGHT(Base_Bruta!C998,4)),VALUE(MID(Base_Bruta!C998,4,2)),VALUE(LEFT(Base_Bruta!C998,2))))))</f>
        <v>45822</v>
      </c>
      <c r="D998" s="4" t="str">
        <f aca="false">IF($A998="","",TRIM(Base_Bruta!D998))</f>
        <v>Show Nacional MPB - Rio</v>
      </c>
      <c r="E998" s="4" t="str">
        <f aca="false">IF($A998="","",_xlfn.XLOOKUP(LOWER(TRIM(Base_Bruta!E998)),DePara_Categoria!$A$2:$A$9,DePara_Categoria!$B$2:$B$9,"REVISAR"))</f>
        <v>Show</v>
      </c>
      <c r="F998" s="4" t="str">
        <f aca="false">IF($A998="","",_xlfn.XLOOKUP(LOWER(TRIM(Base_Bruta!F998)),DePara_Cidade!$A$2:$A$29,DePara_Cidade!$B$2:$B$29,"REVISAR"))</f>
        <v>Rio de Janeiro</v>
      </c>
      <c r="G998" s="4" t="str">
        <f aca="false">IF($A998="","",TRIM(Base_Bruta!G998))</f>
        <v>Meia</v>
      </c>
      <c r="H998" s="4" t="n">
        <f aca="false">IF($A998="","",IF(ISNUMBER(Base_Bruta!H998),Base_Bruta!H998,IFERROR(_xlfn.NUMBERVALUE(TRIM(SUBSTITUTE(Base_Bruta!H998,"R$","")),",","."),0)))</f>
        <v>1</v>
      </c>
      <c r="I998" s="6" t="n">
        <f aca="false">IF($A998="","",IF(ISNUMBER(Base_Bruta!I998),Base_Bruta!I998,IFERROR(_xlfn.NUMBERVALUE(TRIM(SUBSTITUTE(Base_Bruta!I998,"R$","")),",","."),0)))</f>
        <v>122.5</v>
      </c>
      <c r="J998" s="6" t="n">
        <f aca="false">IF($A998="","",H998*I998)</f>
        <v>122.5</v>
      </c>
      <c r="K998" s="4" t="str">
        <f aca="false">IF($A998="","",TRIM(Base_Bruta!J998))</f>
        <v>App</v>
      </c>
      <c r="L998" s="4" t="str">
        <f aca="false">IF($A998="","",TRIM(Base_Bruta!K998))</f>
        <v>C01635</v>
      </c>
      <c r="M998" s="4" t="str">
        <f aca="false">IF($A998="","",_xlfn.XLOOKUP(LOWER(TRIM(Base_Bruta!L998)),DePara_Cidade!$A$2:$A$29,DePara_Cidade!$B$2:$B$29,"REVISAR"))</f>
        <v>Rio de Janeiro</v>
      </c>
      <c r="N998" s="4" t="str">
        <f aca="false">IF($A998="","",UPPER(TRIM(Base_Bruta!M998)))</f>
        <v>RJ</v>
      </c>
      <c r="O998" s="4" t="str">
        <f aca="false">IF($A998="","",_xlfn.XLOOKUP(LOWER(TRIM(Base_Bruta!N998)),DePara_Pais!$A$2:$A$9,DePara_Pais!$B$2:$B$9,"REVISAR"))</f>
        <v>Brasil</v>
      </c>
      <c r="P998" s="4" t="str">
        <f aca="false">IF($A998="","",IF(O998&lt;&gt;"Brasil","Turista Internacional",IF(M998=F998,"Local","Turista Nacional")))</f>
        <v>Local</v>
      </c>
      <c r="Q998" s="7" t="n">
        <f aca="false">IF($A998="","",DATE(YEAR(B998),MONTH(B998),1))</f>
        <v>45809</v>
      </c>
      <c r="R998" s="4" t="str">
        <f aca="false">IF($A998="","",IF(COUNTIF($A$2:$A998,$A998)&gt;1,"Sim","Não"))</f>
        <v>Não</v>
      </c>
      <c r="S998" s="4" t="str">
        <f aca="false">IF(A998="","Descartar - Linha vazia",IF(R998="Sim","Descartar - Duplicado",IF(OR(H998&lt;=0,I998&lt;=0),"Descartar - Qtd/Valor inválido","OK")))</f>
        <v>OK</v>
      </c>
      <c r="T998" s="4" t="str">
        <f aca="false">Base_Bruta!P998</f>
        <v>vendas_RJ.xlsx</v>
      </c>
    </row>
    <row r="999" customFormat="false" ht="15" hidden="false" customHeight="false" outlineLevel="0" collapsed="false">
      <c r="A999" s="4" t="str">
        <f aca="false">IF(Base_Bruta!A999="","",Base_Bruta!A999)</f>
        <v>RJ-000231</v>
      </c>
      <c r="B999" s="5" t="n">
        <f aca="false">IF($A999="","",IF(ISNUMBER(Base_Bruta!B999),Base_Bruta!B999,IF(MID(Base_Bruta!B999,5,1)="-",DATE(VALUE(LEFT(Base_Bruta!B999,4)),VALUE(MID(Base_Bruta!B999,6,2)),VALUE(RIGHT(Base_Bruta!B999,2))),DATE(VALUE(RIGHT(Base_Bruta!B999,4)),VALUE(MID(Base_Bruta!B999,4,2)),VALUE(LEFT(Base_Bruta!B999,2))))))</f>
        <v>45821</v>
      </c>
      <c r="C999" s="5" t="n">
        <f aca="false">IF($A999="","",IF(ISNUMBER(Base_Bruta!C999),Base_Bruta!C999,IF(MID(Base_Bruta!C999,5,1)="-",DATE(VALUE(LEFT(Base_Bruta!C999,4)),VALUE(MID(Base_Bruta!C999,6,2)),VALUE(RIGHT(Base_Bruta!C999,2))),DATE(VALUE(RIGHT(Base_Bruta!C999,4)),VALUE(MID(Base_Bruta!C999,4,2)),VALUE(LEFT(Base_Bruta!C999,2))))))</f>
        <v>45822</v>
      </c>
      <c r="D999" s="4" t="str">
        <f aca="false">IF($A999="","",TRIM(Base_Bruta!D999))</f>
        <v>Show Nacional MPB - Rio</v>
      </c>
      <c r="E999" s="4" t="str">
        <f aca="false">IF($A999="","",_xlfn.XLOOKUP(LOWER(TRIM(Base_Bruta!E999)),DePara_Categoria!$A$2:$A$9,DePara_Categoria!$B$2:$B$9,"REVISAR"))</f>
        <v>Show</v>
      </c>
      <c r="F999" s="4" t="str">
        <f aca="false">IF($A999="","",_xlfn.XLOOKUP(LOWER(TRIM(Base_Bruta!F999)),DePara_Cidade!$A$2:$A$29,DePara_Cidade!$B$2:$B$29,"REVISAR"))</f>
        <v>Rio de Janeiro</v>
      </c>
      <c r="G999" s="4" t="str">
        <f aca="false">IF($A999="","",TRIM(Base_Bruta!G999))</f>
        <v>Inteira</v>
      </c>
      <c r="H999" s="4" t="n">
        <f aca="false">IF($A999="","",IF(ISNUMBER(Base_Bruta!H999),Base_Bruta!H999,IFERROR(_xlfn.NUMBERVALUE(TRIM(SUBSTITUTE(Base_Bruta!H999,"R$","")),",","."),0)))</f>
        <v>3</v>
      </c>
      <c r="I999" s="6" t="n">
        <f aca="false">IF($A999="","",IF(ISNUMBER(Base_Bruta!I999),Base_Bruta!I999,IFERROR(_xlfn.NUMBERVALUE(TRIM(SUBSTITUTE(Base_Bruta!I999,"R$","")),",","."),0)))</f>
        <v>540</v>
      </c>
      <c r="J999" s="6" t="n">
        <f aca="false">IF($A999="","",H999*I999)</f>
        <v>1620</v>
      </c>
      <c r="K999" s="4" t="str">
        <f aca="false">IF($A999="","",TRIM(Base_Bruta!J999))</f>
        <v>Site</v>
      </c>
      <c r="L999" s="4" t="str">
        <f aca="false">IF($A999="","",TRIM(Base_Bruta!K999))</f>
        <v>C00405</v>
      </c>
      <c r="M999" s="4" t="str">
        <f aca="false">IF($A999="","",_xlfn.XLOOKUP(LOWER(TRIM(Base_Bruta!L999)),DePara_Cidade!$A$2:$A$29,DePara_Cidade!$B$2:$B$29,"REVISAR"))</f>
        <v>Rio de Janeiro</v>
      </c>
      <c r="N999" s="4" t="str">
        <f aca="false">IF($A999="","",UPPER(TRIM(Base_Bruta!M999)))</f>
        <v>RJ</v>
      </c>
      <c r="O999" s="4" t="str">
        <f aca="false">IF($A999="","",_xlfn.XLOOKUP(LOWER(TRIM(Base_Bruta!N999)),DePara_Pais!$A$2:$A$9,DePara_Pais!$B$2:$B$9,"REVISAR"))</f>
        <v>Brasil</v>
      </c>
      <c r="P999" s="4" t="str">
        <f aca="false">IF($A999="","",IF(O999&lt;&gt;"Brasil","Turista Internacional",IF(M999=F999,"Local","Turista Nacional")))</f>
        <v>Local</v>
      </c>
      <c r="Q999" s="7" t="n">
        <f aca="false">IF($A999="","",DATE(YEAR(B999),MONTH(B999),1))</f>
        <v>45809</v>
      </c>
      <c r="R999" s="4" t="str">
        <f aca="false">IF($A999="","",IF(COUNTIF($A$2:$A999,$A999)&gt;1,"Sim","Não"))</f>
        <v>Não</v>
      </c>
      <c r="S999" s="4" t="str">
        <f aca="false">IF(A999="","Descartar - Linha vazia",IF(R999="Sim","Descartar - Duplicado",IF(OR(H999&lt;=0,I999&lt;=0),"Descartar - Qtd/Valor inválido","OK")))</f>
        <v>OK</v>
      </c>
      <c r="T999" s="4" t="str">
        <f aca="false">Base_Bruta!P999</f>
        <v>vendas_RJ.xlsx</v>
      </c>
    </row>
    <row r="1000" customFormat="false" ht="15" hidden="false" customHeight="false" outlineLevel="0" collapsed="false">
      <c r="A1000" s="4" t="str">
        <f aca="false">IF(Base_Bruta!A1000="","",Base_Bruta!A1000)</f>
        <v>RJ-000235</v>
      </c>
      <c r="B1000" s="5" t="n">
        <f aca="false">IF($A1000="","",IF(ISNUMBER(Base_Bruta!B1000),Base_Bruta!B1000,IF(MID(Base_Bruta!B1000,5,1)="-",DATE(VALUE(LEFT(Base_Bruta!B1000,4)),VALUE(MID(Base_Bruta!B1000,6,2)),VALUE(RIGHT(Base_Bruta!B1000,2))),DATE(VALUE(RIGHT(Base_Bruta!B1000,4)),VALUE(MID(Base_Bruta!B1000,4,2)),VALUE(LEFT(Base_Bruta!B1000,2))))))</f>
        <v>45821</v>
      </c>
      <c r="C1000" s="5" t="n">
        <f aca="false">IF($A1000="","",IF(ISNUMBER(Base_Bruta!C1000),Base_Bruta!C1000,IF(MID(Base_Bruta!C1000,5,1)="-",DATE(VALUE(LEFT(Base_Bruta!C1000,4)),VALUE(MID(Base_Bruta!C1000,6,2)),VALUE(RIGHT(Base_Bruta!C1000,2))),DATE(VALUE(RIGHT(Base_Bruta!C1000,4)),VALUE(MID(Base_Bruta!C1000,4,2)),VALUE(LEFT(Base_Bruta!C1000,2))))))</f>
        <v>45822</v>
      </c>
      <c r="D1000" s="4" t="str">
        <f aca="false">IF($A1000="","",TRIM(Base_Bruta!D1000))</f>
        <v>Show Nacional MPB - Rio</v>
      </c>
      <c r="E1000" s="4" t="str">
        <f aca="false">IF($A1000="","",_xlfn.XLOOKUP(LOWER(TRIM(Base_Bruta!E1000)),DePara_Categoria!$A$2:$A$9,DePara_Categoria!$B$2:$B$9,"REVISAR"))</f>
        <v>Show</v>
      </c>
      <c r="F1000" s="4" t="str">
        <f aca="false">IF($A1000="","",_xlfn.XLOOKUP(LOWER(TRIM(Base_Bruta!F1000)),DePara_Cidade!$A$2:$A$29,DePara_Cidade!$B$2:$B$29,"REVISAR"))</f>
        <v>Rio de Janeiro</v>
      </c>
      <c r="G1000" s="4" t="str">
        <f aca="false">IF($A1000="","",TRIM(Base_Bruta!G1000))</f>
        <v>Inteira</v>
      </c>
      <c r="H1000" s="4" t="n">
        <f aca="false">IF($A1000="","",IF(ISNUMBER(Base_Bruta!H1000),Base_Bruta!H1000,IFERROR(_xlfn.NUMBERVALUE(TRIM(SUBSTITUTE(Base_Bruta!H1000,"R$","")),",","."),0)))</f>
        <v>2</v>
      </c>
      <c r="I1000" s="6" t="n">
        <f aca="false">IF($A1000="","",IF(ISNUMBER(Base_Bruta!I1000),Base_Bruta!I1000,IFERROR(_xlfn.NUMBERVALUE(TRIM(SUBSTITUTE(Base_Bruta!I1000,"R$","")),",","."),0)))</f>
        <v>630</v>
      </c>
      <c r="J1000" s="6" t="n">
        <f aca="false">IF($A1000="","",H1000*I1000)</f>
        <v>1260</v>
      </c>
      <c r="K1000" s="4" t="str">
        <f aca="false">IF($A1000="","",TRIM(Base_Bruta!J1000))</f>
        <v>Parceiro</v>
      </c>
      <c r="L1000" s="4" t="str">
        <f aca="false">IF($A1000="","",TRIM(Base_Bruta!K1000))</f>
        <v>C00282</v>
      </c>
      <c r="M1000" s="4" t="str">
        <f aca="false">IF($A1000="","",_xlfn.XLOOKUP(LOWER(TRIM(Base_Bruta!L1000)),DePara_Cidade!$A$2:$A$29,DePara_Cidade!$B$2:$B$29,"REVISAR"))</f>
        <v>Rio de Janeiro</v>
      </c>
      <c r="N1000" s="4" t="str">
        <f aca="false">IF($A1000="","",UPPER(TRIM(Base_Bruta!M1000)))</f>
        <v>RJ</v>
      </c>
      <c r="O1000" s="4" t="str">
        <f aca="false">IF($A1000="","",_xlfn.XLOOKUP(LOWER(TRIM(Base_Bruta!N1000)),DePara_Pais!$A$2:$A$9,DePara_Pais!$B$2:$B$9,"REVISAR"))</f>
        <v>Brasil</v>
      </c>
      <c r="P1000" s="4" t="str">
        <f aca="false">IF($A1000="","",IF(O1000&lt;&gt;"Brasil","Turista Internacional",IF(M1000=F1000,"Local","Turista Nacional")))</f>
        <v>Local</v>
      </c>
      <c r="Q1000" s="7" t="n">
        <f aca="false">IF($A1000="","",DATE(YEAR(B1000),MONTH(B1000),1))</f>
        <v>45809</v>
      </c>
      <c r="R1000" s="4" t="str">
        <f aca="false">IF($A1000="","",IF(COUNTIF($A$2:$A1000,$A1000)&gt;1,"Sim","Não"))</f>
        <v>Não</v>
      </c>
      <c r="S1000" s="4" t="str">
        <f aca="false">IF(A1000="","Descartar - Linha vazia",IF(R1000="Sim","Descartar - Duplicado",IF(OR(H1000&lt;=0,I1000&lt;=0),"Descartar - Qtd/Valor inválido","OK")))</f>
        <v>OK</v>
      </c>
      <c r="T1000" s="4" t="str">
        <f aca="false">Base_Bruta!P1000</f>
        <v>vendas_RJ.xlsx</v>
      </c>
    </row>
    <row r="1001" customFormat="false" ht="15" hidden="false" customHeight="false" outlineLevel="0" collapsed="false">
      <c r="A1001" s="4" t="str">
        <f aca="false">IF(Base_Bruta!A1001="","",Base_Bruta!A1001)</f>
        <v>RJ-000294</v>
      </c>
      <c r="B1001" s="5" t="n">
        <f aca="false">IF($A1001="","",IF(ISNUMBER(Base_Bruta!B1001),Base_Bruta!B1001,IF(MID(Base_Bruta!B1001,5,1)="-",DATE(VALUE(LEFT(Base_Bruta!B1001,4)),VALUE(MID(Base_Bruta!B1001,6,2)),VALUE(RIGHT(Base_Bruta!B1001,2))),DATE(VALUE(RIGHT(Base_Bruta!B1001,4)),VALUE(MID(Base_Bruta!B1001,4,2)),VALUE(LEFT(Base_Bruta!B1001,2))))))</f>
        <v>45821</v>
      </c>
      <c r="C1001" s="5" t="n">
        <f aca="false">IF($A1001="","",IF(ISNUMBER(Base_Bruta!C1001),Base_Bruta!C1001,IF(MID(Base_Bruta!C1001,5,1)="-",DATE(VALUE(LEFT(Base_Bruta!C1001,4)),VALUE(MID(Base_Bruta!C1001,6,2)),VALUE(RIGHT(Base_Bruta!C1001,2))),DATE(VALUE(RIGHT(Base_Bruta!C1001,4)),VALUE(MID(Base_Bruta!C1001,4,2)),VALUE(LEFT(Base_Bruta!C1001,2))))))</f>
        <v>45822</v>
      </c>
      <c r="D1001" s="4" t="str">
        <f aca="false">IF($A1001="","",TRIM(Base_Bruta!D1001))</f>
        <v>Show Nacional MPB - Rio</v>
      </c>
      <c r="E1001" s="4" t="str">
        <f aca="false">IF($A1001="","",_xlfn.XLOOKUP(LOWER(TRIM(Base_Bruta!E1001)),DePara_Categoria!$A$2:$A$9,DePara_Categoria!$B$2:$B$9,"REVISAR"))</f>
        <v>Show</v>
      </c>
      <c r="F1001" s="4" t="str">
        <f aca="false">IF($A1001="","",_xlfn.XLOOKUP(LOWER(TRIM(Base_Bruta!F1001)),DePara_Cidade!$A$2:$A$29,DePara_Cidade!$B$2:$B$29,"REVISAR"))</f>
        <v>Rio de Janeiro</v>
      </c>
      <c r="G1001" s="4" t="str">
        <f aca="false">IF($A1001="","",TRIM(Base_Bruta!G1001))</f>
        <v>Meia</v>
      </c>
      <c r="H1001" s="4" t="n">
        <f aca="false">IF($A1001="","",IF(ISNUMBER(Base_Bruta!H1001),Base_Bruta!H1001,IFERROR(_xlfn.NUMBERVALUE(TRIM(SUBSTITUTE(Base_Bruta!H1001,"R$","")),",","."),0)))</f>
        <v>1</v>
      </c>
      <c r="I1001" s="6" t="n">
        <f aca="false">IF($A1001="","",IF(ISNUMBER(Base_Bruta!I1001),Base_Bruta!I1001,IFERROR(_xlfn.NUMBERVALUE(TRIM(SUBSTITUTE(Base_Bruta!I1001,"R$","")),",","."),0)))</f>
        <v>380</v>
      </c>
      <c r="J1001" s="6" t="n">
        <f aca="false">IF($A1001="","",H1001*I1001)</f>
        <v>380</v>
      </c>
      <c r="K1001" s="4" t="str">
        <f aca="false">IF($A1001="","",TRIM(Base_Bruta!J1001))</f>
        <v>Bilheteria</v>
      </c>
      <c r="L1001" s="4" t="str">
        <f aca="false">IF($A1001="","",TRIM(Base_Bruta!K1001))</f>
        <v>C01597</v>
      </c>
      <c r="M1001" s="4" t="str">
        <f aca="false">IF($A1001="","",_xlfn.XLOOKUP(LOWER(TRIM(Base_Bruta!L1001)),DePara_Cidade!$A$2:$A$29,DePara_Cidade!$B$2:$B$29,"REVISAR"))</f>
        <v>Rio de Janeiro</v>
      </c>
      <c r="N1001" s="4" t="str">
        <f aca="false">IF($A1001="","",UPPER(TRIM(Base_Bruta!M1001)))</f>
        <v>RJ</v>
      </c>
      <c r="O1001" s="4" t="str">
        <f aca="false">IF($A1001="","",_xlfn.XLOOKUP(LOWER(TRIM(Base_Bruta!N1001)),DePara_Pais!$A$2:$A$9,DePara_Pais!$B$2:$B$9,"REVISAR"))</f>
        <v>Brasil</v>
      </c>
      <c r="P1001" s="4" t="str">
        <f aca="false">IF($A1001="","",IF(O1001&lt;&gt;"Brasil","Turista Internacional",IF(M1001=F1001,"Local","Turista Nacional")))</f>
        <v>Local</v>
      </c>
      <c r="Q1001" s="7" t="n">
        <f aca="false">IF($A1001="","",DATE(YEAR(B1001),MONTH(B1001),1))</f>
        <v>45809</v>
      </c>
      <c r="R1001" s="4" t="str">
        <f aca="false">IF($A1001="","",IF(COUNTIF($A$2:$A1001,$A1001)&gt;1,"Sim","Não"))</f>
        <v>Não</v>
      </c>
      <c r="S1001" s="4" t="str">
        <f aca="false">IF(A1001="","Descartar - Linha vazia",IF(R1001="Sim","Descartar - Duplicado",IF(OR(H1001&lt;=0,I1001&lt;=0),"Descartar - Qtd/Valor inválido","OK")))</f>
        <v>OK</v>
      </c>
      <c r="T1001" s="4" t="str">
        <f aca="false">Base_Bruta!P1001</f>
        <v>vendas_RJ.xlsx</v>
      </c>
    </row>
    <row r="1002" customFormat="false" ht="15" hidden="false" customHeight="false" outlineLevel="0" collapsed="false">
      <c r="A1002" s="4" t="str">
        <f aca="false">IF(Base_Bruta!A1002="","",Base_Bruta!A1002)</f>
        <v>RJ-000305</v>
      </c>
      <c r="B1002" s="5" t="n">
        <f aca="false">IF($A1002="","",IF(ISNUMBER(Base_Bruta!B1002),Base_Bruta!B1002,IF(MID(Base_Bruta!B1002,5,1)="-",DATE(VALUE(LEFT(Base_Bruta!B1002,4)),VALUE(MID(Base_Bruta!B1002,6,2)),VALUE(RIGHT(Base_Bruta!B1002,2))),DATE(VALUE(RIGHT(Base_Bruta!B1002,4)),VALUE(MID(Base_Bruta!B1002,4,2)),VALUE(LEFT(Base_Bruta!B1002,2))))))</f>
        <v>45821</v>
      </c>
      <c r="C1002" s="5" t="n">
        <f aca="false">IF($A1002="","",IF(ISNUMBER(Base_Bruta!C1002),Base_Bruta!C1002,IF(MID(Base_Bruta!C1002,5,1)="-",DATE(VALUE(LEFT(Base_Bruta!C1002,4)),VALUE(MID(Base_Bruta!C1002,6,2)),VALUE(RIGHT(Base_Bruta!C1002,2))),DATE(VALUE(RIGHT(Base_Bruta!C1002,4)),VALUE(MID(Base_Bruta!C1002,4,2)),VALUE(LEFT(Base_Bruta!C1002,2))))))</f>
        <v>45822</v>
      </c>
      <c r="D1002" s="4" t="str">
        <f aca="false">IF($A1002="","",TRIM(Base_Bruta!D1002))</f>
        <v>Show Nacional MPB - Rio</v>
      </c>
      <c r="E1002" s="4" t="str">
        <f aca="false">IF($A1002="","",_xlfn.XLOOKUP(LOWER(TRIM(Base_Bruta!E1002)),DePara_Categoria!$A$2:$A$9,DePara_Categoria!$B$2:$B$9,"REVISAR"))</f>
        <v>Show</v>
      </c>
      <c r="F1002" s="4" t="str">
        <f aca="false">IF($A1002="","",_xlfn.XLOOKUP(LOWER(TRIM(Base_Bruta!F1002)),DePara_Cidade!$A$2:$A$29,DePara_Cidade!$B$2:$B$29,"REVISAR"))</f>
        <v>Rio de Janeiro</v>
      </c>
      <c r="G1002" s="4" t="str">
        <f aca="false">IF($A1002="","",TRIM(Base_Bruta!G1002))</f>
        <v>Meia</v>
      </c>
      <c r="H1002" s="4" t="n">
        <f aca="false">IF($A1002="","",IF(ISNUMBER(Base_Bruta!H1002),Base_Bruta!H1002,IFERROR(_xlfn.NUMBERVALUE(TRIM(SUBSTITUTE(Base_Bruta!H1002,"R$","")),",","."),0)))</f>
        <v>2</v>
      </c>
      <c r="I1002" s="6" t="n">
        <f aca="false">IF($A1002="","",IF(ISNUMBER(Base_Bruta!I1002),Base_Bruta!I1002,IFERROR(_xlfn.NUMBERVALUE(TRIM(SUBSTITUTE(Base_Bruta!I1002,"R$","")),",","."),0)))</f>
        <v>287.5</v>
      </c>
      <c r="J1002" s="6" t="n">
        <f aca="false">IF($A1002="","",H1002*I1002)</f>
        <v>575</v>
      </c>
      <c r="K1002" s="4" t="str">
        <f aca="false">IF($A1002="","",TRIM(Base_Bruta!J1002))</f>
        <v>Parceiro</v>
      </c>
      <c r="L1002" s="4" t="str">
        <f aca="false">IF($A1002="","",TRIM(Base_Bruta!K1002))</f>
        <v>C00412</v>
      </c>
      <c r="M1002" s="4" t="str">
        <f aca="false">IF($A1002="","",_xlfn.XLOOKUP(LOWER(TRIM(Base_Bruta!L1002)),DePara_Cidade!$A$2:$A$29,DePara_Cidade!$B$2:$B$29,"REVISAR"))</f>
        <v>Rio de Janeiro</v>
      </c>
      <c r="N1002" s="4" t="str">
        <f aca="false">IF($A1002="","",UPPER(TRIM(Base_Bruta!M1002)))</f>
        <v>RJ</v>
      </c>
      <c r="O1002" s="4" t="str">
        <f aca="false">IF($A1002="","",_xlfn.XLOOKUP(LOWER(TRIM(Base_Bruta!N1002)),DePara_Pais!$A$2:$A$9,DePara_Pais!$B$2:$B$9,"REVISAR"))</f>
        <v>Brasil</v>
      </c>
      <c r="P1002" s="4" t="str">
        <f aca="false">IF($A1002="","",IF(O1002&lt;&gt;"Brasil","Turista Internacional",IF(M1002=F1002,"Local","Turista Nacional")))</f>
        <v>Local</v>
      </c>
      <c r="Q1002" s="7" t="n">
        <f aca="false">IF($A1002="","",DATE(YEAR(B1002),MONTH(B1002),1))</f>
        <v>45809</v>
      </c>
      <c r="R1002" s="4" t="str">
        <f aca="false">IF($A1002="","",IF(COUNTIF($A$2:$A1002,$A1002)&gt;1,"Sim","Não"))</f>
        <v>Não</v>
      </c>
      <c r="S1002" s="4" t="str">
        <f aca="false">IF(A1002="","Descartar - Linha vazia",IF(R1002="Sim","Descartar - Duplicado",IF(OR(H1002&lt;=0,I1002&lt;=0),"Descartar - Qtd/Valor inválido","OK")))</f>
        <v>OK</v>
      </c>
      <c r="T1002" s="4" t="str">
        <f aca="false">Base_Bruta!P1002</f>
        <v>vendas_RJ.xlsx</v>
      </c>
    </row>
    <row r="1003" customFormat="false" ht="15" hidden="false" customHeight="false" outlineLevel="0" collapsed="false">
      <c r="A1003" s="4" t="str">
        <f aca="false">IF(Base_Bruta!A1003="","",Base_Bruta!A1003)</f>
        <v>RJ-000310</v>
      </c>
      <c r="B1003" s="5" t="n">
        <f aca="false">IF($A1003="","",IF(ISNUMBER(Base_Bruta!B1003),Base_Bruta!B1003,IF(MID(Base_Bruta!B1003,5,1)="-",DATE(VALUE(LEFT(Base_Bruta!B1003,4)),VALUE(MID(Base_Bruta!B1003,6,2)),VALUE(RIGHT(Base_Bruta!B1003,2))),DATE(VALUE(RIGHT(Base_Bruta!B1003,4)),VALUE(MID(Base_Bruta!B1003,4,2)),VALUE(LEFT(Base_Bruta!B1003,2))))))</f>
        <v>45821</v>
      </c>
      <c r="C1003" s="5" t="n">
        <f aca="false">IF($A1003="","",IF(ISNUMBER(Base_Bruta!C1003),Base_Bruta!C1003,IF(MID(Base_Bruta!C1003,5,1)="-",DATE(VALUE(LEFT(Base_Bruta!C1003,4)),VALUE(MID(Base_Bruta!C1003,6,2)),VALUE(RIGHT(Base_Bruta!C1003,2))),DATE(VALUE(RIGHT(Base_Bruta!C1003,4)),VALUE(MID(Base_Bruta!C1003,4,2)),VALUE(LEFT(Base_Bruta!C1003,2))))))</f>
        <v>45822</v>
      </c>
      <c r="D1003" s="4" t="str">
        <f aca="false">IF($A1003="","",TRIM(Base_Bruta!D1003))</f>
        <v>Show Nacional MPB - Rio</v>
      </c>
      <c r="E1003" s="4" t="str">
        <f aca="false">IF($A1003="","",_xlfn.XLOOKUP(LOWER(TRIM(Base_Bruta!E1003)),DePara_Categoria!$A$2:$A$9,DePara_Categoria!$B$2:$B$9,"REVISAR"))</f>
        <v>Show</v>
      </c>
      <c r="F1003" s="4" t="str">
        <f aca="false">IF($A1003="","",_xlfn.XLOOKUP(LOWER(TRIM(Base_Bruta!F1003)),DePara_Cidade!$A$2:$A$29,DePara_Cidade!$B$2:$B$29,"REVISAR"))</f>
        <v>Rio de Janeiro</v>
      </c>
      <c r="G1003" s="4" t="str">
        <f aca="false">IF($A1003="","",TRIM(Base_Bruta!G1003))</f>
        <v>Meia</v>
      </c>
      <c r="H1003" s="4" t="n">
        <f aca="false">IF($A1003="","",IF(ISNUMBER(Base_Bruta!H1003),Base_Bruta!H1003,IFERROR(_xlfn.NUMBERVALUE(TRIM(SUBSTITUTE(Base_Bruta!H1003,"R$","")),",","."),0)))</f>
        <v>2</v>
      </c>
      <c r="I1003" s="6" t="n">
        <f aca="false">IF($A1003="","",IF(ISNUMBER(Base_Bruta!I1003),Base_Bruta!I1003,IFERROR(_xlfn.NUMBERVALUE(TRIM(SUBSTITUTE(Base_Bruta!I1003,"R$","")),",","."),0)))</f>
        <v>357.5</v>
      </c>
      <c r="J1003" s="6" t="n">
        <f aca="false">IF($A1003="","",H1003*I1003)</f>
        <v>715</v>
      </c>
      <c r="K1003" s="4" t="str">
        <f aca="false">IF($A1003="","",TRIM(Base_Bruta!J1003))</f>
        <v>Site</v>
      </c>
      <c r="L1003" s="4" t="str">
        <f aca="false">IF($A1003="","",TRIM(Base_Bruta!K1003))</f>
        <v>C01930</v>
      </c>
      <c r="M1003" s="4" t="str">
        <f aca="false">IF($A1003="","",_xlfn.XLOOKUP(LOWER(TRIM(Base_Bruta!L1003)),DePara_Cidade!$A$2:$A$29,DePara_Cidade!$B$2:$B$29,"REVISAR"))</f>
        <v>Rio de Janeiro</v>
      </c>
      <c r="N1003" s="4" t="str">
        <f aca="false">IF($A1003="","",UPPER(TRIM(Base_Bruta!M1003)))</f>
        <v>RJ</v>
      </c>
      <c r="O1003" s="4" t="str">
        <f aca="false">IF($A1003="","",_xlfn.XLOOKUP(LOWER(TRIM(Base_Bruta!N1003)),DePara_Pais!$A$2:$A$9,DePara_Pais!$B$2:$B$9,"REVISAR"))</f>
        <v>Brasil</v>
      </c>
      <c r="P1003" s="4" t="str">
        <f aca="false">IF($A1003="","",IF(O1003&lt;&gt;"Brasil","Turista Internacional",IF(M1003=F1003,"Local","Turista Nacional")))</f>
        <v>Local</v>
      </c>
      <c r="Q1003" s="7" t="n">
        <f aca="false">IF($A1003="","",DATE(YEAR(B1003),MONTH(B1003),1))</f>
        <v>45809</v>
      </c>
      <c r="R1003" s="4" t="str">
        <f aca="false">IF($A1003="","",IF(COUNTIF($A$2:$A1003,$A1003)&gt;1,"Sim","Não"))</f>
        <v>Não</v>
      </c>
      <c r="S1003" s="4" t="str">
        <f aca="false">IF(A1003="","Descartar - Linha vazia",IF(R1003="Sim","Descartar - Duplicado",IF(OR(H1003&lt;=0,I1003&lt;=0),"Descartar - Qtd/Valor inválido","OK")))</f>
        <v>OK</v>
      </c>
      <c r="T1003" s="4" t="str">
        <f aca="false">Base_Bruta!P1003</f>
        <v>vendas_RJ.xlsx</v>
      </c>
    </row>
    <row r="1004" customFormat="false" ht="15" hidden="false" customHeight="false" outlineLevel="0" collapsed="false">
      <c r="A1004" s="4" t="str">
        <f aca="false">IF(Base_Bruta!A1004="","",Base_Bruta!A1004)</f>
        <v>RJ-000321</v>
      </c>
      <c r="B1004" s="5" t="n">
        <f aca="false">IF($A1004="","",IF(ISNUMBER(Base_Bruta!B1004),Base_Bruta!B1004,IF(MID(Base_Bruta!B1004,5,1)="-",DATE(VALUE(LEFT(Base_Bruta!B1004,4)),VALUE(MID(Base_Bruta!B1004,6,2)),VALUE(RIGHT(Base_Bruta!B1004,2))),DATE(VALUE(RIGHT(Base_Bruta!B1004,4)),VALUE(MID(Base_Bruta!B1004,4,2)),VALUE(LEFT(Base_Bruta!B1004,2))))))</f>
        <v>45821</v>
      </c>
      <c r="C1004" s="5" t="n">
        <f aca="false">IF($A1004="","",IF(ISNUMBER(Base_Bruta!C1004),Base_Bruta!C1004,IF(MID(Base_Bruta!C1004,5,1)="-",DATE(VALUE(LEFT(Base_Bruta!C1004,4)),VALUE(MID(Base_Bruta!C1004,6,2)),VALUE(RIGHT(Base_Bruta!C1004,2))),DATE(VALUE(RIGHT(Base_Bruta!C1004,4)),VALUE(MID(Base_Bruta!C1004,4,2)),VALUE(LEFT(Base_Bruta!C1004,2))))))</f>
        <v>45822</v>
      </c>
      <c r="D1004" s="4" t="str">
        <f aca="false">IF($A1004="","",TRIM(Base_Bruta!D1004))</f>
        <v>Show Nacional MPB - Rio</v>
      </c>
      <c r="E1004" s="4" t="str">
        <f aca="false">IF($A1004="","",_xlfn.XLOOKUP(LOWER(TRIM(Base_Bruta!E1004)),DePara_Categoria!$A$2:$A$9,DePara_Categoria!$B$2:$B$9,"REVISAR"))</f>
        <v>Show</v>
      </c>
      <c r="F1004" s="4" t="str">
        <f aca="false">IF($A1004="","",_xlfn.XLOOKUP(LOWER(TRIM(Base_Bruta!F1004)),DePara_Cidade!$A$2:$A$29,DePara_Cidade!$B$2:$B$29,"REVISAR"))</f>
        <v>Rio de Janeiro</v>
      </c>
      <c r="G1004" s="4" t="str">
        <f aca="false">IF($A1004="","",TRIM(Base_Bruta!G1004))</f>
        <v>Inteira</v>
      </c>
      <c r="H1004" s="4" t="n">
        <f aca="false">IF($A1004="","",IF(ISNUMBER(Base_Bruta!H1004),Base_Bruta!H1004,IFERROR(_xlfn.NUMBERVALUE(TRIM(SUBSTITUTE(Base_Bruta!H1004,"R$","")),",","."),0)))</f>
        <v>1</v>
      </c>
      <c r="I1004" s="6" t="n">
        <f aca="false">IF($A1004="","",IF(ISNUMBER(Base_Bruta!I1004),Base_Bruta!I1004,IFERROR(_xlfn.NUMBERVALUE(TRIM(SUBSTITUTE(Base_Bruta!I1004,"R$","")),",","."),0)))</f>
        <v>670</v>
      </c>
      <c r="J1004" s="6" t="n">
        <f aca="false">IF($A1004="","",H1004*I1004)</f>
        <v>670</v>
      </c>
      <c r="K1004" s="4" t="str">
        <f aca="false">IF($A1004="","",TRIM(Base_Bruta!J1004))</f>
        <v>App</v>
      </c>
      <c r="L1004" s="4" t="str">
        <f aca="false">IF($A1004="","",TRIM(Base_Bruta!K1004))</f>
        <v>C01340</v>
      </c>
      <c r="M1004" s="4" t="str">
        <f aca="false">IF($A1004="","",_xlfn.XLOOKUP(LOWER(TRIM(Base_Bruta!L1004)),DePara_Cidade!$A$2:$A$29,DePara_Cidade!$B$2:$B$29,"REVISAR"))</f>
        <v>Buenos Aires</v>
      </c>
      <c r="N1004" s="4" t="str">
        <f aca="false">IF($A1004="","",UPPER(TRIM(Base_Bruta!M1004)))</f>
        <v>EX</v>
      </c>
      <c r="O1004" s="4" t="str">
        <f aca="false">IF($A1004="","",_xlfn.XLOOKUP(LOWER(TRIM(Base_Bruta!N1004)),DePara_Pais!$A$2:$A$9,DePara_Pais!$B$2:$B$9,"REVISAR"))</f>
        <v>Argentina</v>
      </c>
      <c r="P1004" s="4" t="str">
        <f aca="false">IF($A1004="","",IF(O1004&lt;&gt;"Brasil","Turista Internacional",IF(M1004=F1004,"Local","Turista Nacional")))</f>
        <v>Turista Internacional</v>
      </c>
      <c r="Q1004" s="7" t="n">
        <f aca="false">IF($A1004="","",DATE(YEAR(B1004),MONTH(B1004),1))</f>
        <v>45809</v>
      </c>
      <c r="R1004" s="4" t="str">
        <f aca="false">IF($A1004="","",IF(COUNTIF($A$2:$A1004,$A1004)&gt;1,"Sim","Não"))</f>
        <v>Não</v>
      </c>
      <c r="S1004" s="4" t="str">
        <f aca="false">IF(A1004="","Descartar - Linha vazia",IF(R1004="Sim","Descartar - Duplicado",IF(OR(H1004&lt;=0,I1004&lt;=0),"Descartar - Qtd/Valor inválido","OK")))</f>
        <v>OK</v>
      </c>
      <c r="T1004" s="4" t="str">
        <f aca="false">Base_Bruta!P1004</f>
        <v>vendas_RJ.xlsx</v>
      </c>
    </row>
    <row r="1005" customFormat="false" ht="15" hidden="false" customHeight="false" outlineLevel="0" collapsed="false">
      <c r="A1005" s="4" t="str">
        <f aca="false">IF(Base_Bruta!A1005="","",Base_Bruta!A1005)</f>
        <v>RJ-000345</v>
      </c>
      <c r="B1005" s="5" t="n">
        <f aca="false">IF($A1005="","",IF(ISNUMBER(Base_Bruta!B1005),Base_Bruta!B1005,IF(MID(Base_Bruta!B1005,5,1)="-",DATE(VALUE(LEFT(Base_Bruta!B1005,4)),VALUE(MID(Base_Bruta!B1005,6,2)),VALUE(RIGHT(Base_Bruta!B1005,2))),DATE(VALUE(RIGHT(Base_Bruta!B1005,4)),VALUE(MID(Base_Bruta!B1005,4,2)),VALUE(LEFT(Base_Bruta!B1005,2))))))</f>
        <v>45821</v>
      </c>
      <c r="C1005" s="5" t="n">
        <f aca="false">IF($A1005="","",IF(ISNUMBER(Base_Bruta!C1005),Base_Bruta!C1005,IF(MID(Base_Bruta!C1005,5,1)="-",DATE(VALUE(LEFT(Base_Bruta!C1005,4)),VALUE(MID(Base_Bruta!C1005,6,2)),VALUE(RIGHT(Base_Bruta!C1005,2))),DATE(VALUE(RIGHT(Base_Bruta!C1005,4)),VALUE(MID(Base_Bruta!C1005,4,2)),VALUE(LEFT(Base_Bruta!C1005,2))))))</f>
        <v>45822</v>
      </c>
      <c r="D1005" s="4" t="str">
        <f aca="false">IF($A1005="","",TRIM(Base_Bruta!D1005))</f>
        <v>Show Nacional MPB - Rio</v>
      </c>
      <c r="E1005" s="4" t="str">
        <f aca="false">IF($A1005="","",_xlfn.XLOOKUP(LOWER(TRIM(Base_Bruta!E1005)),DePara_Categoria!$A$2:$A$9,DePara_Categoria!$B$2:$B$9,"REVISAR"))</f>
        <v>Show</v>
      </c>
      <c r="F1005" s="4" t="str">
        <f aca="false">IF($A1005="","",_xlfn.XLOOKUP(LOWER(TRIM(Base_Bruta!F1005)),DePara_Cidade!$A$2:$A$29,DePara_Cidade!$B$2:$B$29,"REVISAR"))</f>
        <v>Rio de Janeiro</v>
      </c>
      <c r="G1005" s="4" t="str">
        <f aca="false">IF($A1005="","",TRIM(Base_Bruta!G1005))</f>
        <v>Meia</v>
      </c>
      <c r="H1005" s="4" t="n">
        <f aca="false">IF($A1005="","",IF(ISNUMBER(Base_Bruta!H1005),Base_Bruta!H1005,IFERROR(_xlfn.NUMBERVALUE(TRIM(SUBSTITUTE(Base_Bruta!H1005,"R$","")),",","."),0)))</f>
        <v>1</v>
      </c>
      <c r="I1005" s="6" t="n">
        <f aca="false">IF($A1005="","",IF(ISNUMBER(Base_Bruta!I1005),Base_Bruta!I1005,IFERROR(_xlfn.NUMBERVALUE(TRIM(SUBSTITUTE(Base_Bruta!I1005,"R$","")),",","."),0)))</f>
        <v>212.5</v>
      </c>
      <c r="J1005" s="6" t="n">
        <f aca="false">IF($A1005="","",H1005*I1005)</f>
        <v>212.5</v>
      </c>
      <c r="K1005" s="4" t="str">
        <f aca="false">IF($A1005="","",TRIM(Base_Bruta!J1005))</f>
        <v>App</v>
      </c>
      <c r="L1005" s="4" t="str">
        <f aca="false">IF($A1005="","",TRIM(Base_Bruta!K1005))</f>
        <v>C00955</v>
      </c>
      <c r="M1005" s="4" t="str">
        <f aca="false">IF($A1005="","",_xlfn.XLOOKUP(LOWER(TRIM(Base_Bruta!L1005)),DePara_Cidade!$A$2:$A$29,DePara_Cidade!$B$2:$B$29,"REVISAR"))</f>
        <v>Rio de Janeiro</v>
      </c>
      <c r="N1005" s="4" t="str">
        <f aca="false">IF($A1005="","",UPPER(TRIM(Base_Bruta!M1005)))</f>
        <v>RJ</v>
      </c>
      <c r="O1005" s="4" t="str">
        <f aca="false">IF($A1005="","",_xlfn.XLOOKUP(LOWER(TRIM(Base_Bruta!N1005)),DePara_Pais!$A$2:$A$9,DePara_Pais!$B$2:$B$9,"REVISAR"))</f>
        <v>Brasil</v>
      </c>
      <c r="P1005" s="4" t="str">
        <f aca="false">IF($A1005="","",IF(O1005&lt;&gt;"Brasil","Turista Internacional",IF(M1005=F1005,"Local","Turista Nacional")))</f>
        <v>Local</v>
      </c>
      <c r="Q1005" s="7" t="n">
        <f aca="false">IF($A1005="","",DATE(YEAR(B1005),MONTH(B1005),1))</f>
        <v>45809</v>
      </c>
      <c r="R1005" s="4" t="str">
        <f aca="false">IF($A1005="","",IF(COUNTIF($A$2:$A1005,$A1005)&gt;1,"Sim","Não"))</f>
        <v>Não</v>
      </c>
      <c r="S1005" s="4" t="str">
        <f aca="false">IF(A1005="","Descartar - Linha vazia",IF(R1005="Sim","Descartar - Duplicado",IF(OR(H1005&lt;=0,I1005&lt;=0),"Descartar - Qtd/Valor inválido","OK")))</f>
        <v>OK</v>
      </c>
      <c r="T1005" s="4" t="str">
        <f aca="false">Base_Bruta!P1005</f>
        <v>vendas_RJ.xlsx</v>
      </c>
    </row>
    <row r="1006" customFormat="false" ht="15" hidden="false" customHeight="false" outlineLevel="0" collapsed="false">
      <c r="A1006" s="4" t="str">
        <f aca="false">IF(Base_Bruta!A1006="","",Base_Bruta!A1006)</f>
        <v>RJ-000372</v>
      </c>
      <c r="B1006" s="5" t="n">
        <f aca="false">IF($A1006="","",IF(ISNUMBER(Base_Bruta!B1006),Base_Bruta!B1006,IF(MID(Base_Bruta!B1006,5,1)="-",DATE(VALUE(LEFT(Base_Bruta!B1006,4)),VALUE(MID(Base_Bruta!B1006,6,2)),VALUE(RIGHT(Base_Bruta!B1006,2))),DATE(VALUE(RIGHT(Base_Bruta!B1006,4)),VALUE(MID(Base_Bruta!B1006,4,2)),VALUE(LEFT(Base_Bruta!B1006,2))))))</f>
        <v>45821</v>
      </c>
      <c r="C1006" s="5" t="n">
        <f aca="false">IF($A1006="","",IF(ISNUMBER(Base_Bruta!C1006),Base_Bruta!C1006,IF(MID(Base_Bruta!C1006,5,1)="-",DATE(VALUE(LEFT(Base_Bruta!C1006,4)),VALUE(MID(Base_Bruta!C1006,6,2)),VALUE(RIGHT(Base_Bruta!C1006,2))),DATE(VALUE(RIGHT(Base_Bruta!C1006,4)),VALUE(MID(Base_Bruta!C1006,4,2)),VALUE(LEFT(Base_Bruta!C1006,2))))))</f>
        <v>45822</v>
      </c>
      <c r="D1006" s="4" t="str">
        <f aca="false">IF($A1006="","",TRIM(Base_Bruta!D1006))</f>
        <v>Show Nacional MPB - Rio</v>
      </c>
      <c r="E1006" s="4" t="str">
        <f aca="false">IF($A1006="","",_xlfn.XLOOKUP(LOWER(TRIM(Base_Bruta!E1006)),DePara_Categoria!$A$2:$A$9,DePara_Categoria!$B$2:$B$9,"REVISAR"))</f>
        <v>Show</v>
      </c>
      <c r="F1006" s="4" t="str">
        <f aca="false">IF($A1006="","",_xlfn.XLOOKUP(LOWER(TRIM(Base_Bruta!F1006)),DePara_Cidade!$A$2:$A$29,DePara_Cidade!$B$2:$B$29,"REVISAR"))</f>
        <v>Rio de Janeiro</v>
      </c>
      <c r="G1006" s="4" t="str">
        <f aca="false">IF($A1006="","",TRIM(Base_Bruta!G1006))</f>
        <v>Meia</v>
      </c>
      <c r="H1006" s="4" t="n">
        <f aca="false">IF($A1006="","",IF(ISNUMBER(Base_Bruta!H1006),Base_Bruta!H1006,IFERROR(_xlfn.NUMBERVALUE(TRIM(SUBSTITUTE(Base_Bruta!H1006,"R$","")),",","."),0)))</f>
        <v>2</v>
      </c>
      <c r="I1006" s="6" t="n">
        <f aca="false">IF($A1006="","",IF(ISNUMBER(Base_Bruta!I1006),Base_Bruta!I1006,IFERROR(_xlfn.NUMBERVALUE(TRIM(SUBSTITUTE(Base_Bruta!I1006,"R$","")),",","."),0)))</f>
        <v>205</v>
      </c>
      <c r="J1006" s="6" t="n">
        <f aca="false">IF($A1006="","",H1006*I1006)</f>
        <v>410</v>
      </c>
      <c r="K1006" s="4" t="str">
        <f aca="false">IF($A1006="","",TRIM(Base_Bruta!J1006))</f>
        <v>Parceiro</v>
      </c>
      <c r="L1006" s="4" t="str">
        <f aca="false">IF($A1006="","",TRIM(Base_Bruta!K1006))</f>
        <v>C00745</v>
      </c>
      <c r="M1006" s="4" t="str">
        <f aca="false">IF($A1006="","",_xlfn.XLOOKUP(LOWER(TRIM(Base_Bruta!L1006)),DePara_Cidade!$A$2:$A$29,DePara_Cidade!$B$2:$B$29,"REVISAR"))</f>
        <v>Miami</v>
      </c>
      <c r="N1006" s="4" t="str">
        <f aca="false">IF($A1006="","",UPPER(TRIM(Base_Bruta!M1006)))</f>
        <v>EX</v>
      </c>
      <c r="O1006" s="4" t="str">
        <f aca="false">IF($A1006="","",_xlfn.XLOOKUP(LOWER(TRIM(Base_Bruta!N1006)),DePara_Pais!$A$2:$A$9,DePara_Pais!$B$2:$B$9,"REVISAR"))</f>
        <v>EUA</v>
      </c>
      <c r="P1006" s="4" t="str">
        <f aca="false">IF($A1006="","",IF(O1006&lt;&gt;"Brasil","Turista Internacional",IF(M1006=F1006,"Local","Turista Nacional")))</f>
        <v>Turista Internacional</v>
      </c>
      <c r="Q1006" s="7" t="n">
        <f aca="false">IF($A1006="","",DATE(YEAR(B1006),MONTH(B1006),1))</f>
        <v>45809</v>
      </c>
      <c r="R1006" s="4" t="str">
        <f aca="false">IF($A1006="","",IF(COUNTIF($A$2:$A1006,$A1006)&gt;1,"Sim","Não"))</f>
        <v>Não</v>
      </c>
      <c r="S1006" s="4" t="str">
        <f aca="false">IF(A1006="","Descartar - Linha vazia",IF(R1006="Sim","Descartar - Duplicado",IF(OR(H1006&lt;=0,I1006&lt;=0),"Descartar - Qtd/Valor inválido","OK")))</f>
        <v>OK</v>
      </c>
      <c r="T1006" s="4" t="str">
        <f aca="false">Base_Bruta!P1006</f>
        <v>vendas_RJ.xlsx</v>
      </c>
    </row>
    <row r="1007" customFormat="false" ht="15" hidden="false" customHeight="false" outlineLevel="0" collapsed="false">
      <c r="A1007" s="4" t="str">
        <f aca="false">IF(Base_Bruta!A1007="","",Base_Bruta!A1007)</f>
        <v>RJ-000239</v>
      </c>
      <c r="B1007" s="5" t="n">
        <f aca="false">IF($A1007="","",IF(ISNUMBER(Base_Bruta!B1007),Base_Bruta!B1007,IF(MID(Base_Bruta!B1007,5,1)="-",DATE(VALUE(LEFT(Base_Bruta!B1007,4)),VALUE(MID(Base_Bruta!B1007,6,2)),VALUE(RIGHT(Base_Bruta!B1007,2))),DATE(VALUE(RIGHT(Base_Bruta!B1007,4)),VALUE(MID(Base_Bruta!B1007,4,2)),VALUE(LEFT(Base_Bruta!B1007,2))))))</f>
        <v>45822</v>
      </c>
      <c r="C1007" s="5" t="n">
        <f aca="false">IF($A1007="","",IF(ISNUMBER(Base_Bruta!C1007),Base_Bruta!C1007,IF(MID(Base_Bruta!C1007,5,1)="-",DATE(VALUE(LEFT(Base_Bruta!C1007,4)),VALUE(MID(Base_Bruta!C1007,6,2)),VALUE(RIGHT(Base_Bruta!C1007,2))),DATE(VALUE(RIGHT(Base_Bruta!C1007,4)),VALUE(MID(Base_Bruta!C1007,4,2)),VALUE(LEFT(Base_Bruta!C1007,2))))))</f>
        <v>45822</v>
      </c>
      <c r="D1007" s="4" t="str">
        <f aca="false">IF($A1007="","",TRIM(Base_Bruta!D1007))</f>
        <v>Show Nacional MPB - Rio</v>
      </c>
      <c r="E1007" s="4" t="str">
        <f aca="false">IF($A1007="","",_xlfn.XLOOKUP(LOWER(TRIM(Base_Bruta!E1007)),DePara_Categoria!$A$2:$A$9,DePara_Categoria!$B$2:$B$9,"REVISAR"))</f>
        <v>Show</v>
      </c>
      <c r="F1007" s="4" t="str">
        <f aca="false">IF($A1007="","",_xlfn.XLOOKUP(LOWER(TRIM(Base_Bruta!F1007)),DePara_Cidade!$A$2:$A$29,DePara_Cidade!$B$2:$B$29,"REVISAR"))</f>
        <v>Rio de Janeiro</v>
      </c>
      <c r="G1007" s="4" t="str">
        <f aca="false">IF($A1007="","",TRIM(Base_Bruta!G1007))</f>
        <v>Meia</v>
      </c>
      <c r="H1007" s="4" t="n">
        <f aca="false">IF($A1007="","",IF(ISNUMBER(Base_Bruta!H1007),Base_Bruta!H1007,IFERROR(_xlfn.NUMBERVALUE(TRIM(SUBSTITUTE(Base_Bruta!H1007,"R$","")),",","."),0)))</f>
        <v>1</v>
      </c>
      <c r="I1007" s="6" t="n">
        <f aca="false">IF($A1007="","",IF(ISNUMBER(Base_Bruta!I1007),Base_Bruta!I1007,IFERROR(_xlfn.NUMBERVALUE(TRIM(SUBSTITUTE(Base_Bruta!I1007,"R$","")),",","."),0)))</f>
        <v>207.5</v>
      </c>
      <c r="J1007" s="6" t="n">
        <f aca="false">IF($A1007="","",H1007*I1007)</f>
        <v>207.5</v>
      </c>
      <c r="K1007" s="4" t="str">
        <f aca="false">IF($A1007="","",TRIM(Base_Bruta!J1007))</f>
        <v>Site</v>
      </c>
      <c r="L1007" s="4" t="str">
        <f aca="false">IF($A1007="","",TRIM(Base_Bruta!K1007))</f>
        <v>C00117</v>
      </c>
      <c r="M1007" s="4" t="str">
        <f aca="false">IF($A1007="","",_xlfn.XLOOKUP(LOWER(TRIM(Base_Bruta!L1007)),DePara_Cidade!$A$2:$A$29,DePara_Cidade!$B$2:$B$29,"REVISAR"))</f>
        <v>Brasília</v>
      </c>
      <c r="N1007" s="4" t="str">
        <f aca="false">IF($A1007="","",UPPER(TRIM(Base_Bruta!M1007)))</f>
        <v>DF</v>
      </c>
      <c r="O1007" s="4" t="str">
        <f aca="false">IF($A1007="","",_xlfn.XLOOKUP(LOWER(TRIM(Base_Bruta!N1007)),DePara_Pais!$A$2:$A$9,DePara_Pais!$B$2:$B$9,"REVISAR"))</f>
        <v>Brasil</v>
      </c>
      <c r="P1007" s="4" t="str">
        <f aca="false">IF($A1007="","",IF(O1007&lt;&gt;"Brasil","Turista Internacional",IF(M1007=F1007,"Local","Turista Nacional")))</f>
        <v>Turista Nacional</v>
      </c>
      <c r="Q1007" s="7" t="n">
        <f aca="false">IF($A1007="","",DATE(YEAR(B1007),MONTH(B1007),1))</f>
        <v>45809</v>
      </c>
      <c r="R1007" s="4" t="str">
        <f aca="false">IF($A1007="","",IF(COUNTIF($A$2:$A1007,$A1007)&gt;1,"Sim","Não"))</f>
        <v>Não</v>
      </c>
      <c r="S1007" s="4" t="str">
        <f aca="false">IF(A1007="","Descartar - Linha vazia",IF(R1007="Sim","Descartar - Duplicado",IF(OR(H1007&lt;=0,I1007&lt;=0),"Descartar - Qtd/Valor inválido","OK")))</f>
        <v>OK</v>
      </c>
      <c r="T1007" s="4" t="str">
        <f aca="false">Base_Bruta!P1007</f>
        <v>vendas_RJ.xlsx</v>
      </c>
    </row>
    <row r="1008" customFormat="false" ht="15" hidden="false" customHeight="false" outlineLevel="0" collapsed="false">
      <c r="A1008" s="4" t="str">
        <f aca="false">IF(Base_Bruta!A1008="","",Base_Bruta!A1008)</f>
        <v>RJ-000313</v>
      </c>
      <c r="B1008" s="5" t="n">
        <f aca="false">IF($A1008="","",IF(ISNUMBER(Base_Bruta!B1008),Base_Bruta!B1008,IF(MID(Base_Bruta!B1008,5,1)="-",DATE(VALUE(LEFT(Base_Bruta!B1008,4)),VALUE(MID(Base_Bruta!B1008,6,2)),VALUE(RIGHT(Base_Bruta!B1008,2))),DATE(VALUE(RIGHT(Base_Bruta!B1008,4)),VALUE(MID(Base_Bruta!B1008,4,2)),VALUE(LEFT(Base_Bruta!B1008,2))))))</f>
        <v>45822</v>
      </c>
      <c r="C1008" s="5" t="n">
        <f aca="false">IF($A1008="","",IF(ISNUMBER(Base_Bruta!C1008),Base_Bruta!C1008,IF(MID(Base_Bruta!C1008,5,1)="-",DATE(VALUE(LEFT(Base_Bruta!C1008,4)),VALUE(MID(Base_Bruta!C1008,6,2)),VALUE(RIGHT(Base_Bruta!C1008,2))),DATE(VALUE(RIGHT(Base_Bruta!C1008,4)),VALUE(MID(Base_Bruta!C1008,4,2)),VALUE(LEFT(Base_Bruta!C1008,2))))))</f>
        <v>45822</v>
      </c>
      <c r="D1008" s="4" t="str">
        <f aca="false">IF($A1008="","",TRIM(Base_Bruta!D1008))</f>
        <v>Show Nacional MPB - Rio</v>
      </c>
      <c r="E1008" s="4" t="str">
        <f aca="false">IF($A1008="","",_xlfn.XLOOKUP(LOWER(TRIM(Base_Bruta!E1008)),DePara_Categoria!$A$2:$A$9,DePara_Categoria!$B$2:$B$9,"REVISAR"))</f>
        <v>Show</v>
      </c>
      <c r="F1008" s="4" t="str">
        <f aca="false">IF($A1008="","",_xlfn.XLOOKUP(LOWER(TRIM(Base_Bruta!F1008)),DePara_Cidade!$A$2:$A$29,DePara_Cidade!$B$2:$B$29,"REVISAR"))</f>
        <v>Rio de Janeiro</v>
      </c>
      <c r="G1008" s="4" t="str">
        <f aca="false">IF($A1008="","",TRIM(Base_Bruta!G1008))</f>
        <v>Inteira</v>
      </c>
      <c r="H1008" s="4" t="n">
        <f aca="false">IF($A1008="","",IF(ISNUMBER(Base_Bruta!H1008),Base_Bruta!H1008,IFERROR(_xlfn.NUMBERVALUE(TRIM(SUBSTITUTE(Base_Bruta!H1008,"R$","")),",","."),0)))</f>
        <v>2</v>
      </c>
      <c r="I1008" s="6" t="n">
        <f aca="false">IF($A1008="","",IF(ISNUMBER(Base_Bruta!I1008),Base_Bruta!I1008,IFERROR(_xlfn.NUMBERVALUE(TRIM(SUBSTITUTE(Base_Bruta!I1008,"R$","")),",","."),0)))</f>
        <v>240</v>
      </c>
      <c r="J1008" s="6" t="n">
        <f aca="false">IF($A1008="","",H1008*I1008)</f>
        <v>480</v>
      </c>
      <c r="K1008" s="4" t="str">
        <f aca="false">IF($A1008="","",TRIM(Base_Bruta!J1008))</f>
        <v>Site</v>
      </c>
      <c r="L1008" s="4" t="str">
        <f aca="false">IF($A1008="","",TRIM(Base_Bruta!K1008))</f>
        <v>C01572</v>
      </c>
      <c r="M1008" s="4" t="str">
        <f aca="false">IF($A1008="","",_xlfn.XLOOKUP(LOWER(TRIM(Base_Bruta!L1008)),DePara_Cidade!$A$2:$A$29,DePara_Cidade!$B$2:$B$29,"REVISAR"))</f>
        <v>Rio de Janeiro</v>
      </c>
      <c r="N1008" s="4" t="str">
        <f aca="false">IF($A1008="","",UPPER(TRIM(Base_Bruta!M1008)))</f>
        <v>RJ</v>
      </c>
      <c r="O1008" s="4" t="str">
        <f aca="false">IF($A1008="","",_xlfn.XLOOKUP(LOWER(TRIM(Base_Bruta!N1008)),DePara_Pais!$A$2:$A$9,DePara_Pais!$B$2:$B$9,"REVISAR"))</f>
        <v>Brasil</v>
      </c>
      <c r="P1008" s="4" t="str">
        <f aca="false">IF($A1008="","",IF(O1008&lt;&gt;"Brasil","Turista Internacional",IF(M1008=F1008,"Local","Turista Nacional")))</f>
        <v>Local</v>
      </c>
      <c r="Q1008" s="7" t="n">
        <f aca="false">IF($A1008="","",DATE(YEAR(B1008),MONTH(B1008),1))</f>
        <v>45809</v>
      </c>
      <c r="R1008" s="4" t="str">
        <f aca="false">IF($A1008="","",IF(COUNTIF($A$2:$A1008,$A1008)&gt;1,"Sim","Não"))</f>
        <v>Não</v>
      </c>
      <c r="S1008" s="4" t="str">
        <f aca="false">IF(A1008="","Descartar - Linha vazia",IF(R1008="Sim","Descartar - Duplicado",IF(OR(H1008&lt;=0,I1008&lt;=0),"Descartar - Qtd/Valor inválido","OK")))</f>
        <v>OK</v>
      </c>
      <c r="T1008" s="4" t="str">
        <f aca="false">Base_Bruta!P1008</f>
        <v>vendas_RJ.xlsx</v>
      </c>
    </row>
    <row r="1009" customFormat="false" ht="15" hidden="false" customHeight="false" outlineLevel="0" collapsed="false">
      <c r="A1009" s="4" t="str">
        <f aca="false">IF(Base_Bruta!A1009="","",Base_Bruta!A1009)</f>
        <v>RJ-000359</v>
      </c>
      <c r="B1009" s="5" t="n">
        <f aca="false">IF($A1009="","",IF(ISNUMBER(Base_Bruta!B1009),Base_Bruta!B1009,IF(MID(Base_Bruta!B1009,5,1)="-",DATE(VALUE(LEFT(Base_Bruta!B1009,4)),VALUE(MID(Base_Bruta!B1009,6,2)),VALUE(RIGHT(Base_Bruta!B1009,2))),DATE(VALUE(RIGHT(Base_Bruta!B1009,4)),VALUE(MID(Base_Bruta!B1009,4,2)),VALUE(LEFT(Base_Bruta!B1009,2))))))</f>
        <v>45822</v>
      </c>
      <c r="C1009" s="5" t="n">
        <f aca="false">IF($A1009="","",IF(ISNUMBER(Base_Bruta!C1009),Base_Bruta!C1009,IF(MID(Base_Bruta!C1009,5,1)="-",DATE(VALUE(LEFT(Base_Bruta!C1009,4)),VALUE(MID(Base_Bruta!C1009,6,2)),VALUE(RIGHT(Base_Bruta!C1009,2))),DATE(VALUE(RIGHT(Base_Bruta!C1009,4)),VALUE(MID(Base_Bruta!C1009,4,2)),VALUE(LEFT(Base_Bruta!C1009,2))))))</f>
        <v>45822</v>
      </c>
      <c r="D1009" s="4" t="str">
        <f aca="false">IF($A1009="","",TRIM(Base_Bruta!D1009))</f>
        <v>Show Nacional MPB - Rio</v>
      </c>
      <c r="E1009" s="4" t="str">
        <f aca="false">IF($A1009="","",_xlfn.XLOOKUP(LOWER(TRIM(Base_Bruta!E1009)),DePara_Categoria!$A$2:$A$9,DePara_Categoria!$B$2:$B$9,"REVISAR"))</f>
        <v>Show</v>
      </c>
      <c r="F1009" s="4" t="str">
        <f aca="false">IF($A1009="","",_xlfn.XLOOKUP(LOWER(TRIM(Base_Bruta!F1009)),DePara_Cidade!$A$2:$A$29,DePara_Cidade!$B$2:$B$29,"REVISAR"))</f>
        <v>Rio de Janeiro</v>
      </c>
      <c r="G1009" s="4" t="str">
        <f aca="false">IF($A1009="","",TRIM(Base_Bruta!G1009))</f>
        <v>Meia</v>
      </c>
      <c r="H1009" s="4" t="n">
        <f aca="false">IF($A1009="","",IF(ISNUMBER(Base_Bruta!H1009),Base_Bruta!H1009,IFERROR(_xlfn.NUMBERVALUE(TRIM(SUBSTITUTE(Base_Bruta!H1009,"R$","")),",","."),0)))</f>
        <v>3</v>
      </c>
      <c r="I1009" s="6" t="n">
        <f aca="false">IF($A1009="","",IF(ISNUMBER(Base_Bruta!I1009),Base_Bruta!I1009,IFERROR(_xlfn.NUMBERVALUE(TRIM(SUBSTITUTE(Base_Bruta!I1009,"R$","")),",","."),0)))</f>
        <v>205</v>
      </c>
      <c r="J1009" s="6" t="n">
        <f aca="false">IF($A1009="","",H1009*I1009)</f>
        <v>615</v>
      </c>
      <c r="K1009" s="4" t="str">
        <f aca="false">IF($A1009="","",TRIM(Base_Bruta!J1009))</f>
        <v>Bilheteria</v>
      </c>
      <c r="L1009" s="4" t="str">
        <f aca="false">IF($A1009="","",TRIM(Base_Bruta!K1009))</f>
        <v>C02405</v>
      </c>
      <c r="M1009" s="4" t="str">
        <f aca="false">IF($A1009="","",_xlfn.XLOOKUP(LOWER(TRIM(Base_Bruta!L1009)),DePara_Cidade!$A$2:$A$29,DePara_Cidade!$B$2:$B$29,"REVISAR"))</f>
        <v>Rio de Janeiro</v>
      </c>
      <c r="N1009" s="4" t="str">
        <f aca="false">IF($A1009="","",UPPER(TRIM(Base_Bruta!M1009)))</f>
        <v>RJ</v>
      </c>
      <c r="O1009" s="4" t="str">
        <f aca="false">IF($A1009="","",_xlfn.XLOOKUP(LOWER(TRIM(Base_Bruta!N1009)),DePara_Pais!$A$2:$A$9,DePara_Pais!$B$2:$B$9,"REVISAR"))</f>
        <v>Brasil</v>
      </c>
      <c r="P1009" s="4" t="str">
        <f aca="false">IF($A1009="","",IF(O1009&lt;&gt;"Brasil","Turista Internacional",IF(M1009=F1009,"Local","Turista Nacional")))</f>
        <v>Local</v>
      </c>
      <c r="Q1009" s="7" t="n">
        <f aca="false">IF($A1009="","",DATE(YEAR(B1009),MONTH(B1009),1))</f>
        <v>45809</v>
      </c>
      <c r="R1009" s="4" t="str">
        <f aca="false">IF($A1009="","",IF(COUNTIF($A$2:$A1009,$A1009)&gt;1,"Sim","Não"))</f>
        <v>Não</v>
      </c>
      <c r="S1009" s="4" t="str">
        <f aca="false">IF(A1009="","Descartar - Linha vazia",IF(R1009="Sim","Descartar - Duplicado",IF(OR(H1009&lt;=0,I1009&lt;=0),"Descartar - Qtd/Valor inválido","OK")))</f>
        <v>OK</v>
      </c>
      <c r="T1009" s="4" t="str">
        <f aca="false">Base_Bruta!P1009</f>
        <v>vendas_RJ.xlsx</v>
      </c>
    </row>
    <row r="1010" customFormat="false" ht="15" hidden="false" customHeight="false" outlineLevel="0" collapsed="false">
      <c r="A1010" s="4" t="str">
        <f aca="false">IF(Base_Bruta!A1010="","",Base_Bruta!A1010)</f>
        <v>RJ-000374</v>
      </c>
      <c r="B1010" s="5" t="n">
        <f aca="false">IF($A1010="","",IF(ISNUMBER(Base_Bruta!B1010),Base_Bruta!B1010,IF(MID(Base_Bruta!B1010,5,1)="-",DATE(VALUE(LEFT(Base_Bruta!B1010,4)),VALUE(MID(Base_Bruta!B1010,6,2)),VALUE(RIGHT(Base_Bruta!B1010,2))),DATE(VALUE(RIGHT(Base_Bruta!B1010,4)),VALUE(MID(Base_Bruta!B1010,4,2)),VALUE(LEFT(Base_Bruta!B1010,2))))))</f>
        <v>45822</v>
      </c>
      <c r="C1010" s="5" t="n">
        <f aca="false">IF($A1010="","",IF(ISNUMBER(Base_Bruta!C1010),Base_Bruta!C1010,IF(MID(Base_Bruta!C1010,5,1)="-",DATE(VALUE(LEFT(Base_Bruta!C1010,4)),VALUE(MID(Base_Bruta!C1010,6,2)),VALUE(RIGHT(Base_Bruta!C1010,2))),DATE(VALUE(RIGHT(Base_Bruta!C1010,4)),VALUE(MID(Base_Bruta!C1010,4,2)),VALUE(LEFT(Base_Bruta!C1010,2))))))</f>
        <v>45822</v>
      </c>
      <c r="D1010" s="4" t="str">
        <f aca="false">IF($A1010="","",TRIM(Base_Bruta!D1010))</f>
        <v>Show Nacional MPB - Rio</v>
      </c>
      <c r="E1010" s="4" t="str">
        <f aca="false">IF($A1010="","",_xlfn.XLOOKUP(LOWER(TRIM(Base_Bruta!E1010)),DePara_Categoria!$A$2:$A$9,DePara_Categoria!$B$2:$B$9,"REVISAR"))</f>
        <v>Show</v>
      </c>
      <c r="F1010" s="4" t="str">
        <f aca="false">IF($A1010="","",_xlfn.XLOOKUP(LOWER(TRIM(Base_Bruta!F1010)),DePara_Cidade!$A$2:$A$29,DePara_Cidade!$B$2:$B$29,"REVISAR"))</f>
        <v>Rio de Janeiro</v>
      </c>
      <c r="G1010" s="4" t="str">
        <f aca="false">IF($A1010="","",TRIM(Base_Bruta!G1010))</f>
        <v>Inteira</v>
      </c>
      <c r="H1010" s="4" t="n">
        <f aca="false">IF($A1010="","",IF(ISNUMBER(Base_Bruta!H1010),Base_Bruta!H1010,IFERROR(_xlfn.NUMBERVALUE(TRIM(SUBSTITUTE(Base_Bruta!H1010,"R$","")),",","."),0)))</f>
        <v>2</v>
      </c>
      <c r="I1010" s="6" t="n">
        <f aca="false">IF($A1010="","",IF(ISNUMBER(Base_Bruta!I1010),Base_Bruta!I1010,IFERROR(_xlfn.NUMBERVALUE(TRIM(SUBSTITUTE(Base_Bruta!I1010,"R$","")),",","."),0)))</f>
        <v>645</v>
      </c>
      <c r="J1010" s="6" t="n">
        <f aca="false">IF($A1010="","",H1010*I1010)</f>
        <v>1290</v>
      </c>
      <c r="K1010" s="4" t="str">
        <f aca="false">IF($A1010="","",TRIM(Base_Bruta!J1010))</f>
        <v>Parceiro</v>
      </c>
      <c r="L1010" s="4" t="str">
        <f aca="false">IF($A1010="","",TRIM(Base_Bruta!K1010))</f>
        <v>C01999</v>
      </c>
      <c r="M1010" s="4" t="str">
        <f aca="false">IF($A1010="","",_xlfn.XLOOKUP(LOWER(TRIM(Base_Bruta!L1010)),DePara_Cidade!$A$2:$A$29,DePara_Cidade!$B$2:$B$29,"REVISAR"))</f>
        <v>Rio de Janeiro</v>
      </c>
      <c r="N1010" s="4" t="str">
        <f aca="false">IF($A1010="","",UPPER(TRIM(Base_Bruta!M1010)))</f>
        <v>RJ</v>
      </c>
      <c r="O1010" s="4" t="str">
        <f aca="false">IF($A1010="","",_xlfn.XLOOKUP(LOWER(TRIM(Base_Bruta!N1010)),DePara_Pais!$A$2:$A$9,DePara_Pais!$B$2:$B$9,"REVISAR"))</f>
        <v>Brasil</v>
      </c>
      <c r="P1010" s="4" t="str">
        <f aca="false">IF($A1010="","",IF(O1010&lt;&gt;"Brasil","Turista Internacional",IF(M1010=F1010,"Local","Turista Nacional")))</f>
        <v>Local</v>
      </c>
      <c r="Q1010" s="7" t="n">
        <f aca="false">IF($A1010="","",DATE(YEAR(B1010),MONTH(B1010),1))</f>
        <v>45809</v>
      </c>
      <c r="R1010" s="4" t="str">
        <f aca="false">IF($A1010="","",IF(COUNTIF($A$2:$A1010,$A1010)&gt;1,"Sim","Não"))</f>
        <v>Não</v>
      </c>
      <c r="S1010" s="4" t="str">
        <f aca="false">IF(A1010="","Descartar - Linha vazia",IF(R1010="Sim","Descartar - Duplicado",IF(OR(H1010&lt;=0,I1010&lt;=0),"Descartar - Qtd/Valor inválido","OK")))</f>
        <v>OK</v>
      </c>
      <c r="T1010" s="4" t="str">
        <f aca="false">Base_Bruta!P1010</f>
        <v>vendas_RJ.xlsx</v>
      </c>
    </row>
    <row r="1011" customFormat="false" ht="15" hidden="false" customHeight="false" outlineLevel="0" collapsed="false">
      <c r="A1011" s="4" t="str">
        <f aca="false">IF(Base_Bruta!A1011="","",Base_Bruta!A1011)</f>
        <v>RJ-000602</v>
      </c>
      <c r="B1011" s="5" t="n">
        <f aca="false">IF($A1011="","",IF(ISNUMBER(Base_Bruta!B1011),Base_Bruta!B1011,IF(MID(Base_Bruta!B1011,5,1)="-",DATE(VALUE(LEFT(Base_Bruta!B1011,4)),VALUE(MID(Base_Bruta!B1011,6,2)),VALUE(RIGHT(Base_Bruta!B1011,2))),DATE(VALUE(RIGHT(Base_Bruta!B1011,4)),VALUE(MID(Base_Bruta!B1011,4,2)),VALUE(LEFT(Base_Bruta!B1011,2))))))</f>
        <v>45824</v>
      </c>
      <c r="C1011" s="5" t="n">
        <f aca="false">IF($A1011="","",IF(ISNUMBER(Base_Bruta!C1011),Base_Bruta!C1011,IF(MID(Base_Bruta!C1011,5,1)="-",DATE(VALUE(LEFT(Base_Bruta!C1011,4)),VALUE(MID(Base_Bruta!C1011,6,2)),VALUE(RIGHT(Base_Bruta!C1011,2))),DATE(VALUE(RIGHT(Base_Bruta!C1011,4)),VALUE(MID(Base_Bruta!C1011,4,2)),VALUE(LEFT(Base_Bruta!C1011,2))))))</f>
        <v>45827</v>
      </c>
      <c r="D1011" s="4" t="str">
        <f aca="false">IF($A1011="","",TRIM(Base_Bruta!D1011))</f>
        <v>Cinema Barra - Sessões</v>
      </c>
      <c r="E1011" s="4" t="str">
        <f aca="false">IF($A1011="","",_xlfn.XLOOKUP(LOWER(TRIM(Base_Bruta!E1011)),DePara_Categoria!$A$2:$A$9,DePara_Categoria!$B$2:$B$9,"REVISAR"))</f>
        <v>Cinema</v>
      </c>
      <c r="F1011" s="4" t="str">
        <f aca="false">IF($A1011="","",_xlfn.XLOOKUP(LOWER(TRIM(Base_Bruta!F1011)),DePara_Cidade!$A$2:$A$29,DePara_Cidade!$B$2:$B$29,"REVISAR"))</f>
        <v>Rio de Janeiro</v>
      </c>
      <c r="G1011" s="4" t="str">
        <f aca="false">IF($A1011="","",TRIM(Base_Bruta!G1011))</f>
        <v>Inteira</v>
      </c>
      <c r="H1011" s="4" t="n">
        <f aca="false">IF($A1011="","",IF(ISNUMBER(Base_Bruta!H1011),Base_Bruta!H1011,IFERROR(_xlfn.NUMBERVALUE(TRIM(SUBSTITUTE(Base_Bruta!H1011,"R$","")),",","."),0)))</f>
        <v>1</v>
      </c>
      <c r="I1011" s="6" t="n">
        <f aca="false">IF($A1011="","",IF(ISNUMBER(Base_Bruta!I1011),Base_Bruta!I1011,IFERROR(_xlfn.NUMBERVALUE(TRIM(SUBSTITUTE(Base_Bruta!I1011,"R$","")),",","."),0)))</f>
        <v>40</v>
      </c>
      <c r="J1011" s="6" t="n">
        <f aca="false">IF($A1011="","",H1011*I1011)</f>
        <v>40</v>
      </c>
      <c r="K1011" s="4" t="str">
        <f aca="false">IF($A1011="","",TRIM(Base_Bruta!J1011))</f>
        <v>Site</v>
      </c>
      <c r="L1011" s="4" t="str">
        <f aca="false">IF($A1011="","",TRIM(Base_Bruta!K1011))</f>
        <v>C00681</v>
      </c>
      <c r="M1011" s="4" t="str">
        <f aca="false">IF($A1011="","",_xlfn.XLOOKUP(LOWER(TRIM(Base_Bruta!L1011)),DePara_Cidade!$A$2:$A$29,DePara_Cidade!$B$2:$B$29,"REVISAR"))</f>
        <v>Rio de Janeiro</v>
      </c>
      <c r="N1011" s="4" t="str">
        <f aca="false">IF($A1011="","",UPPER(TRIM(Base_Bruta!M1011)))</f>
        <v>RJ</v>
      </c>
      <c r="O1011" s="4" t="str">
        <f aca="false">IF($A1011="","",_xlfn.XLOOKUP(LOWER(TRIM(Base_Bruta!N1011)),DePara_Pais!$A$2:$A$9,DePara_Pais!$B$2:$B$9,"REVISAR"))</f>
        <v>Brasil</v>
      </c>
      <c r="P1011" s="4" t="str">
        <f aca="false">IF($A1011="","",IF(O1011&lt;&gt;"Brasil","Turista Internacional",IF(M1011=F1011,"Local","Turista Nacional")))</f>
        <v>Local</v>
      </c>
      <c r="Q1011" s="7" t="n">
        <f aca="false">IF($A1011="","",DATE(YEAR(B1011),MONTH(B1011),1))</f>
        <v>45809</v>
      </c>
      <c r="R1011" s="4" t="str">
        <f aca="false">IF($A1011="","",IF(COUNTIF($A$2:$A1011,$A1011)&gt;1,"Sim","Não"))</f>
        <v>Não</v>
      </c>
      <c r="S1011" s="4" t="str">
        <f aca="false">IF(A1011="","Descartar - Linha vazia",IF(R1011="Sim","Descartar - Duplicado",IF(OR(H1011&lt;=0,I1011&lt;=0),"Descartar - Qtd/Valor inválido","OK")))</f>
        <v>OK</v>
      </c>
      <c r="T1011" s="4" t="str">
        <f aca="false">Base_Bruta!P1011</f>
        <v>vendas_RJ.xlsx</v>
      </c>
    </row>
    <row r="1012" customFormat="false" ht="15" hidden="false" customHeight="false" outlineLevel="0" collapsed="false">
      <c r="A1012" s="4" t="str">
        <f aca="false">IF(Base_Bruta!A1012="","",Base_Bruta!A1012)</f>
        <v>RJ-000538</v>
      </c>
      <c r="B1012" s="5" t="n">
        <f aca="false">IF($A1012="","",IF(ISNUMBER(Base_Bruta!B1012),Base_Bruta!B1012,IF(MID(Base_Bruta!B1012,5,1)="-",DATE(VALUE(LEFT(Base_Bruta!B1012,4)),VALUE(MID(Base_Bruta!B1012,6,2)),VALUE(RIGHT(Base_Bruta!B1012,2))),DATE(VALUE(RIGHT(Base_Bruta!B1012,4)),VALUE(MID(Base_Bruta!B1012,4,2)),VALUE(LEFT(Base_Bruta!B1012,2))))))</f>
        <v>45826</v>
      </c>
      <c r="C1012" s="5" t="n">
        <f aca="false">IF($A1012="","",IF(ISNUMBER(Base_Bruta!C1012),Base_Bruta!C1012,IF(MID(Base_Bruta!C1012,5,1)="-",DATE(VALUE(LEFT(Base_Bruta!C1012,4)),VALUE(MID(Base_Bruta!C1012,6,2)),VALUE(RIGHT(Base_Bruta!C1012,2))),DATE(VALUE(RIGHT(Base_Bruta!C1012,4)),VALUE(MID(Base_Bruta!C1012,4,2)),VALUE(LEFT(Base_Bruta!C1012,2))))))</f>
        <v>45828</v>
      </c>
      <c r="D1012" s="4" t="str">
        <f aca="false">IF($A1012="","",TRIM(Base_Bruta!D1012))</f>
        <v>Cinema Barra - Sessões</v>
      </c>
      <c r="E1012" s="4" t="str">
        <f aca="false">IF($A1012="","",_xlfn.XLOOKUP(LOWER(TRIM(Base_Bruta!E1012)),DePara_Categoria!$A$2:$A$9,DePara_Categoria!$B$2:$B$9,"REVISAR"))</f>
        <v>Cinema</v>
      </c>
      <c r="F1012" s="4" t="str">
        <f aca="false">IF($A1012="","",_xlfn.XLOOKUP(LOWER(TRIM(Base_Bruta!F1012)),DePara_Cidade!$A$2:$A$29,DePara_Cidade!$B$2:$B$29,"REVISAR"))</f>
        <v>Rio de Janeiro</v>
      </c>
      <c r="G1012" s="4" t="str">
        <f aca="false">IF($A1012="","",TRIM(Base_Bruta!G1012))</f>
        <v>Inteira</v>
      </c>
      <c r="H1012" s="4" t="n">
        <f aca="false">IF($A1012="","",IF(ISNUMBER(Base_Bruta!H1012),Base_Bruta!H1012,IFERROR(_xlfn.NUMBERVALUE(TRIM(SUBSTITUTE(Base_Bruta!H1012,"R$","")),",","."),0)))</f>
        <v>3</v>
      </c>
      <c r="I1012" s="6" t="n">
        <f aca="false">IF($A1012="","",IF(ISNUMBER(Base_Bruta!I1012),Base_Bruta!I1012,IFERROR(_xlfn.NUMBERVALUE(TRIM(SUBSTITUTE(Base_Bruta!I1012,"R$","")),",","."),0)))</f>
        <v>45</v>
      </c>
      <c r="J1012" s="6" t="n">
        <f aca="false">IF($A1012="","",H1012*I1012)</f>
        <v>135</v>
      </c>
      <c r="K1012" s="4" t="str">
        <f aca="false">IF($A1012="","",TRIM(Base_Bruta!J1012))</f>
        <v>Parceiro</v>
      </c>
      <c r="L1012" s="4" t="str">
        <f aca="false">IF($A1012="","",TRIM(Base_Bruta!K1012))</f>
        <v>C00092</v>
      </c>
      <c r="M1012" s="4" t="str">
        <f aca="false">IF($A1012="","",_xlfn.XLOOKUP(LOWER(TRIM(Base_Bruta!L1012)),DePara_Cidade!$A$2:$A$29,DePara_Cidade!$B$2:$B$29,"REVISAR"))</f>
        <v>Rio de Janeiro</v>
      </c>
      <c r="N1012" s="4" t="str">
        <f aca="false">IF($A1012="","",UPPER(TRIM(Base_Bruta!M1012)))</f>
        <v>RJ</v>
      </c>
      <c r="O1012" s="4" t="str">
        <f aca="false">IF($A1012="","",_xlfn.XLOOKUP(LOWER(TRIM(Base_Bruta!N1012)),DePara_Pais!$A$2:$A$9,DePara_Pais!$B$2:$B$9,"REVISAR"))</f>
        <v>Brasil</v>
      </c>
      <c r="P1012" s="4" t="str">
        <f aca="false">IF($A1012="","",IF(O1012&lt;&gt;"Brasil","Turista Internacional",IF(M1012=F1012,"Local","Turista Nacional")))</f>
        <v>Local</v>
      </c>
      <c r="Q1012" s="7" t="n">
        <f aca="false">IF($A1012="","",DATE(YEAR(B1012),MONTH(B1012),1))</f>
        <v>45809</v>
      </c>
      <c r="R1012" s="4" t="str">
        <f aca="false">IF($A1012="","",IF(COUNTIF($A$2:$A1012,$A1012)&gt;1,"Sim","Não"))</f>
        <v>Não</v>
      </c>
      <c r="S1012" s="4" t="str">
        <f aca="false">IF(A1012="","Descartar - Linha vazia",IF(R1012="Sim","Descartar - Duplicado",IF(OR(H1012&lt;=0,I1012&lt;=0),"Descartar - Qtd/Valor inválido","OK")))</f>
        <v>OK</v>
      </c>
      <c r="T1012" s="4" t="str">
        <f aca="false">Base_Bruta!P1012</f>
        <v>vendas_RJ.xlsx</v>
      </c>
    </row>
    <row r="1013" customFormat="false" ht="15" hidden="false" customHeight="false" outlineLevel="0" collapsed="false">
      <c r="A1013" s="4" t="str">
        <f aca="false">IF(Base_Bruta!A1013="","",Base_Bruta!A1013)</f>
        <v>RJ-000607</v>
      </c>
      <c r="B1013" s="5" t="n">
        <f aca="false">IF($A1013="","",IF(ISNUMBER(Base_Bruta!B1013),Base_Bruta!B1013,IF(MID(Base_Bruta!B1013,5,1)="-",DATE(VALUE(LEFT(Base_Bruta!B1013,4)),VALUE(MID(Base_Bruta!B1013,6,2)),VALUE(RIGHT(Base_Bruta!B1013,2))),DATE(VALUE(RIGHT(Base_Bruta!B1013,4)),VALUE(MID(Base_Bruta!B1013,4,2)),VALUE(LEFT(Base_Bruta!B1013,2))))))</f>
        <v>45828</v>
      </c>
      <c r="C1013" s="5" t="n">
        <f aca="false">IF($A1013="","",IF(ISNUMBER(Base_Bruta!C1013),Base_Bruta!C1013,IF(MID(Base_Bruta!C1013,5,1)="-",DATE(VALUE(LEFT(Base_Bruta!C1013,4)),VALUE(MID(Base_Bruta!C1013,6,2)),VALUE(RIGHT(Base_Bruta!C1013,2))),DATE(VALUE(RIGHT(Base_Bruta!C1013,4)),VALUE(MID(Base_Bruta!C1013,4,2)),VALUE(LEFT(Base_Bruta!C1013,2))))))</f>
        <v>45831</v>
      </c>
      <c r="D1013" s="4" t="str">
        <f aca="false">IF($A1013="","",TRIM(Base_Bruta!D1013))</f>
        <v>Cinema Barra - Sessões</v>
      </c>
      <c r="E1013" s="4" t="str">
        <f aca="false">IF($A1013="","",_xlfn.XLOOKUP(LOWER(TRIM(Base_Bruta!E1013)),DePara_Categoria!$A$2:$A$9,DePara_Categoria!$B$2:$B$9,"REVISAR"))</f>
        <v>Cinema</v>
      </c>
      <c r="F1013" s="4" t="str">
        <f aca="false">IF($A1013="","",_xlfn.XLOOKUP(LOWER(TRIM(Base_Bruta!F1013)),DePara_Cidade!$A$2:$A$29,DePara_Cidade!$B$2:$B$29,"REVISAR"))</f>
        <v>Rio de Janeiro</v>
      </c>
      <c r="G1013" s="4" t="str">
        <f aca="false">IF($A1013="","",TRIM(Base_Bruta!G1013))</f>
        <v>Inteira</v>
      </c>
      <c r="H1013" s="4" t="n">
        <f aca="false">IF($A1013="","",IF(ISNUMBER(Base_Bruta!H1013),Base_Bruta!H1013,IFERROR(_xlfn.NUMBERVALUE(TRIM(SUBSTITUTE(Base_Bruta!H1013,"R$","")),",","."),0)))</f>
        <v>1</v>
      </c>
      <c r="I1013" s="6" t="n">
        <f aca="false">IF($A1013="","",IF(ISNUMBER(Base_Bruta!I1013),Base_Bruta!I1013,IFERROR(_xlfn.NUMBERVALUE(TRIM(SUBSTITUTE(Base_Bruta!I1013,"R$","")),",","."),0)))</f>
        <v>35</v>
      </c>
      <c r="J1013" s="6" t="n">
        <f aca="false">IF($A1013="","",H1013*I1013)</f>
        <v>35</v>
      </c>
      <c r="K1013" s="4" t="str">
        <f aca="false">IF($A1013="","",TRIM(Base_Bruta!J1013))</f>
        <v>Site</v>
      </c>
      <c r="L1013" s="4" t="str">
        <f aca="false">IF($A1013="","",TRIM(Base_Bruta!K1013))</f>
        <v>C00541</v>
      </c>
      <c r="M1013" s="4" t="str">
        <f aca="false">IF($A1013="","",_xlfn.XLOOKUP(LOWER(TRIM(Base_Bruta!L1013)),DePara_Cidade!$A$2:$A$29,DePara_Cidade!$B$2:$B$29,"REVISAR"))</f>
        <v>Rio de Janeiro</v>
      </c>
      <c r="N1013" s="4" t="str">
        <f aca="false">IF($A1013="","",UPPER(TRIM(Base_Bruta!M1013)))</f>
        <v>RJ</v>
      </c>
      <c r="O1013" s="4" t="str">
        <f aca="false">IF($A1013="","",_xlfn.XLOOKUP(LOWER(TRIM(Base_Bruta!N1013)),DePara_Pais!$A$2:$A$9,DePara_Pais!$B$2:$B$9,"REVISAR"))</f>
        <v>Brasil</v>
      </c>
      <c r="P1013" s="4" t="str">
        <f aca="false">IF($A1013="","",IF(O1013&lt;&gt;"Brasil","Turista Internacional",IF(M1013=F1013,"Local","Turista Nacional")))</f>
        <v>Local</v>
      </c>
      <c r="Q1013" s="7" t="n">
        <f aca="false">IF($A1013="","",DATE(YEAR(B1013),MONTH(B1013),1))</f>
        <v>45809</v>
      </c>
      <c r="R1013" s="4" t="str">
        <f aca="false">IF($A1013="","",IF(COUNTIF($A$2:$A1013,$A1013)&gt;1,"Sim","Não"))</f>
        <v>Não</v>
      </c>
      <c r="S1013" s="4" t="str">
        <f aca="false">IF(A1013="","Descartar - Linha vazia",IF(R1013="Sim","Descartar - Duplicado",IF(OR(H1013&lt;=0,I1013&lt;=0),"Descartar - Qtd/Valor inválido","OK")))</f>
        <v>OK</v>
      </c>
      <c r="T1013" s="4" t="str">
        <f aca="false">Base_Bruta!P1013</f>
        <v>vendas_RJ.xlsx</v>
      </c>
    </row>
    <row r="1014" customFormat="false" ht="15" hidden="false" customHeight="false" outlineLevel="0" collapsed="false">
      <c r="A1014" s="4" t="str">
        <f aca="false">IF(Base_Bruta!A1014="","",Base_Bruta!A1014)</f>
        <v>RJ-000568</v>
      </c>
      <c r="B1014" s="5" t="n">
        <f aca="false">IF($A1014="","",IF(ISNUMBER(Base_Bruta!B1014),Base_Bruta!B1014,IF(MID(Base_Bruta!B1014,5,1)="-",DATE(VALUE(LEFT(Base_Bruta!B1014,4)),VALUE(MID(Base_Bruta!B1014,6,2)),VALUE(RIGHT(Base_Bruta!B1014,2))),DATE(VALUE(RIGHT(Base_Bruta!B1014,4)),VALUE(MID(Base_Bruta!B1014,4,2)),VALUE(LEFT(Base_Bruta!B1014,2))))))</f>
        <v>45831</v>
      </c>
      <c r="C1014" s="5" t="n">
        <f aca="false">IF($A1014="","",IF(ISNUMBER(Base_Bruta!C1014),Base_Bruta!C1014,IF(MID(Base_Bruta!C1014,5,1)="-",DATE(VALUE(LEFT(Base_Bruta!C1014,4)),VALUE(MID(Base_Bruta!C1014,6,2)),VALUE(RIGHT(Base_Bruta!C1014,2))),DATE(VALUE(RIGHT(Base_Bruta!C1014,4)),VALUE(MID(Base_Bruta!C1014,4,2)),VALUE(LEFT(Base_Bruta!C1014,2))))))</f>
        <v>45832</v>
      </c>
      <c r="D1014" s="4" t="str">
        <f aca="false">IF($A1014="","",TRIM(Base_Bruta!D1014))</f>
        <v>Cinema Barra - Sessões</v>
      </c>
      <c r="E1014" s="4" t="str">
        <f aca="false">IF($A1014="","",_xlfn.XLOOKUP(LOWER(TRIM(Base_Bruta!E1014)),DePara_Categoria!$A$2:$A$9,DePara_Categoria!$B$2:$B$9,"REVISAR"))</f>
        <v>Cinema</v>
      </c>
      <c r="F1014" s="4" t="str">
        <f aca="false">IF($A1014="","",_xlfn.XLOOKUP(LOWER(TRIM(Base_Bruta!F1014)),DePara_Cidade!$A$2:$A$29,DePara_Cidade!$B$2:$B$29,"REVISAR"))</f>
        <v>Rio de Janeiro</v>
      </c>
      <c r="G1014" s="4" t="str">
        <f aca="false">IF($A1014="","",TRIM(Base_Bruta!G1014))</f>
        <v>Meia</v>
      </c>
      <c r="H1014" s="4" t="n">
        <f aca="false">IF($A1014="","",IF(ISNUMBER(Base_Bruta!H1014),Base_Bruta!H1014,IFERROR(_xlfn.NUMBERVALUE(TRIM(SUBSTITUTE(Base_Bruta!H1014,"R$","")),",","."),0)))</f>
        <v>1</v>
      </c>
      <c r="I1014" s="6" t="n">
        <f aca="false">IF($A1014="","",IF(ISNUMBER(Base_Bruta!I1014),Base_Bruta!I1014,IFERROR(_xlfn.NUMBERVALUE(TRIM(SUBSTITUTE(Base_Bruta!I1014,"R$","")),",","."),0)))</f>
        <v>17.5</v>
      </c>
      <c r="J1014" s="6" t="n">
        <f aca="false">IF($A1014="","",H1014*I1014)</f>
        <v>17.5</v>
      </c>
      <c r="K1014" s="4" t="str">
        <f aca="false">IF($A1014="","",TRIM(Base_Bruta!J1014))</f>
        <v>Bilheteria</v>
      </c>
      <c r="L1014" s="4" t="str">
        <f aca="false">IF($A1014="","",TRIM(Base_Bruta!K1014))</f>
        <v>C00388</v>
      </c>
      <c r="M1014" s="4" t="str">
        <f aca="false">IF($A1014="","",_xlfn.XLOOKUP(LOWER(TRIM(Base_Bruta!L1014)),DePara_Cidade!$A$2:$A$29,DePara_Cidade!$B$2:$B$29,"REVISAR"))</f>
        <v>Rio de Janeiro</v>
      </c>
      <c r="N1014" s="4" t="str">
        <f aca="false">IF($A1014="","",UPPER(TRIM(Base_Bruta!M1014)))</f>
        <v>RJ</v>
      </c>
      <c r="O1014" s="4" t="str">
        <f aca="false">IF($A1014="","",_xlfn.XLOOKUP(LOWER(TRIM(Base_Bruta!N1014)),DePara_Pais!$A$2:$A$9,DePara_Pais!$B$2:$B$9,"REVISAR"))</f>
        <v>Brasil</v>
      </c>
      <c r="P1014" s="4" t="str">
        <f aca="false">IF($A1014="","",IF(O1014&lt;&gt;"Brasil","Turista Internacional",IF(M1014=F1014,"Local","Turista Nacional")))</f>
        <v>Local</v>
      </c>
      <c r="Q1014" s="7" t="n">
        <f aca="false">IF($A1014="","",DATE(YEAR(B1014),MONTH(B1014),1))</f>
        <v>45809</v>
      </c>
      <c r="R1014" s="4" t="str">
        <f aca="false">IF($A1014="","",IF(COUNTIF($A$2:$A1014,$A1014)&gt;1,"Sim","Não"))</f>
        <v>Não</v>
      </c>
      <c r="S1014" s="4" t="str">
        <f aca="false">IF(A1014="","Descartar - Linha vazia",IF(R1014="Sim","Descartar - Duplicado",IF(OR(H1014&lt;=0,I1014&lt;=0),"Descartar - Qtd/Valor inválido","OK")))</f>
        <v>OK</v>
      </c>
      <c r="T1014" s="4" t="str">
        <f aca="false">Base_Bruta!P1014</f>
        <v>vendas_RJ.xlsx</v>
      </c>
    </row>
    <row r="1015" customFormat="false" ht="15" hidden="false" customHeight="false" outlineLevel="0" collapsed="false">
      <c r="A1015" s="4" t="str">
        <f aca="false">IF(Base_Bruta!A1015="","",Base_Bruta!A1015)</f>
        <v>RJ-000658</v>
      </c>
      <c r="B1015" s="5" t="n">
        <f aca="false">IF($A1015="","",IF(ISNUMBER(Base_Bruta!B1015),Base_Bruta!B1015,IF(MID(Base_Bruta!B1015,5,1)="-",DATE(VALUE(LEFT(Base_Bruta!B1015,4)),VALUE(MID(Base_Bruta!B1015,6,2)),VALUE(RIGHT(Base_Bruta!B1015,2))),DATE(VALUE(RIGHT(Base_Bruta!B1015,4)),VALUE(MID(Base_Bruta!B1015,4,2)),VALUE(LEFT(Base_Bruta!B1015,2))))))</f>
        <v>45834</v>
      </c>
      <c r="C1015" s="5" t="n">
        <f aca="false">IF($A1015="","",IF(ISNUMBER(Base_Bruta!C1015),Base_Bruta!C1015,IF(MID(Base_Bruta!C1015,5,1)="-",DATE(VALUE(LEFT(Base_Bruta!C1015,4)),VALUE(MID(Base_Bruta!C1015,6,2)),VALUE(RIGHT(Base_Bruta!C1015,2))),DATE(VALUE(RIGHT(Base_Bruta!C1015,4)),VALUE(MID(Base_Bruta!C1015,4,2)),VALUE(LEFT(Base_Bruta!C1015,2))))))</f>
        <v>45835</v>
      </c>
      <c r="D1015" s="4" t="str">
        <f aca="false">IF($A1015="","",TRIM(Base_Bruta!D1015))</f>
        <v>Cinema Barra - Sessões</v>
      </c>
      <c r="E1015" s="4" t="str">
        <f aca="false">IF($A1015="","",_xlfn.XLOOKUP(LOWER(TRIM(Base_Bruta!E1015)),DePara_Categoria!$A$2:$A$9,DePara_Categoria!$B$2:$B$9,"REVISAR"))</f>
        <v>Cinema</v>
      </c>
      <c r="F1015" s="4" t="str">
        <f aca="false">IF($A1015="","",_xlfn.XLOOKUP(LOWER(TRIM(Base_Bruta!F1015)),DePara_Cidade!$A$2:$A$29,DePara_Cidade!$B$2:$B$29,"REVISAR"))</f>
        <v>Rio de Janeiro</v>
      </c>
      <c r="G1015" s="4" t="str">
        <f aca="false">IF($A1015="","",TRIM(Base_Bruta!G1015))</f>
        <v>Inteira</v>
      </c>
      <c r="H1015" s="4" t="n">
        <f aca="false">IF($A1015="","",IF(ISNUMBER(Base_Bruta!H1015),Base_Bruta!H1015,IFERROR(_xlfn.NUMBERVALUE(TRIM(SUBSTITUTE(Base_Bruta!H1015,"R$","")),",","."),0)))</f>
        <v>2</v>
      </c>
      <c r="I1015" s="6" t="n">
        <f aca="false">IF($A1015="","",IF(ISNUMBER(Base_Bruta!I1015),Base_Bruta!I1015,IFERROR(_xlfn.NUMBERVALUE(TRIM(SUBSTITUTE(Base_Bruta!I1015,"R$","")),",","."),0)))</f>
        <v>35</v>
      </c>
      <c r="J1015" s="6" t="n">
        <f aca="false">IF($A1015="","",H1015*I1015)</f>
        <v>70</v>
      </c>
      <c r="K1015" s="4" t="str">
        <f aca="false">IF($A1015="","",TRIM(Base_Bruta!J1015))</f>
        <v>Site</v>
      </c>
      <c r="L1015" s="4" t="str">
        <f aca="false">IF($A1015="","",TRIM(Base_Bruta!K1015))</f>
        <v>C00816</v>
      </c>
      <c r="M1015" s="4" t="str">
        <f aca="false">IF($A1015="","",_xlfn.XLOOKUP(LOWER(TRIM(Base_Bruta!L1015)),DePara_Cidade!$A$2:$A$29,DePara_Cidade!$B$2:$B$29,"REVISAR"))</f>
        <v>Rio de Janeiro</v>
      </c>
      <c r="N1015" s="4" t="str">
        <f aca="false">IF($A1015="","",UPPER(TRIM(Base_Bruta!M1015)))</f>
        <v>RJ</v>
      </c>
      <c r="O1015" s="4" t="str">
        <f aca="false">IF($A1015="","",_xlfn.XLOOKUP(LOWER(TRIM(Base_Bruta!N1015)),DePara_Pais!$A$2:$A$9,DePara_Pais!$B$2:$B$9,"REVISAR"))</f>
        <v>Brasil</v>
      </c>
      <c r="P1015" s="4" t="str">
        <f aca="false">IF($A1015="","",IF(O1015&lt;&gt;"Brasil","Turista Internacional",IF(M1015=F1015,"Local","Turista Nacional")))</f>
        <v>Local</v>
      </c>
      <c r="Q1015" s="7" t="n">
        <f aca="false">IF($A1015="","",DATE(YEAR(B1015),MONTH(B1015),1))</f>
        <v>45809</v>
      </c>
      <c r="R1015" s="4" t="str">
        <f aca="false">IF($A1015="","",IF(COUNTIF($A$2:$A1015,$A1015)&gt;1,"Sim","Não"))</f>
        <v>Não</v>
      </c>
      <c r="S1015" s="4" t="str">
        <f aca="false">IF(A1015="","Descartar - Linha vazia",IF(R1015="Sim","Descartar - Duplicado",IF(OR(H1015&lt;=0,I1015&lt;=0),"Descartar - Qtd/Valor inválido","OK")))</f>
        <v>OK</v>
      </c>
      <c r="T1015" s="4" t="str">
        <f aca="false">Base_Bruta!P1015</f>
        <v>vendas_RJ.xlsx</v>
      </c>
    </row>
    <row r="1016" customFormat="false" ht="15" hidden="false" customHeight="false" outlineLevel="0" collapsed="false">
      <c r="A1016" s="4" t="str">
        <f aca="false">IF(Base_Bruta!A1016="","",Base_Bruta!A1016)</f>
        <v>RJ-000691</v>
      </c>
      <c r="B1016" s="5" t="n">
        <f aca="false">IF($A1016="","",IF(ISNUMBER(Base_Bruta!B1016),Base_Bruta!B1016,IF(MID(Base_Bruta!B1016,5,1)="-",DATE(VALUE(LEFT(Base_Bruta!B1016,4)),VALUE(MID(Base_Bruta!B1016,6,2)),VALUE(RIGHT(Base_Bruta!B1016,2))),DATE(VALUE(RIGHT(Base_Bruta!B1016,4)),VALUE(MID(Base_Bruta!B1016,4,2)),VALUE(LEFT(Base_Bruta!B1016,2))))))</f>
        <v>45835</v>
      </c>
      <c r="C1016" s="5" t="n">
        <f aca="false">IF($A1016="","",IF(ISNUMBER(Base_Bruta!C1016),Base_Bruta!C1016,IF(MID(Base_Bruta!C1016,5,1)="-",DATE(VALUE(LEFT(Base_Bruta!C1016,4)),VALUE(MID(Base_Bruta!C1016,6,2)),VALUE(RIGHT(Base_Bruta!C1016,2))),DATE(VALUE(RIGHT(Base_Bruta!C1016,4)),VALUE(MID(Base_Bruta!C1016,4,2)),VALUE(LEFT(Base_Bruta!C1016,2))))))</f>
        <v>45837</v>
      </c>
      <c r="D1016" s="4" t="str">
        <f aca="false">IF($A1016="","",TRIM(Base_Bruta!D1016))</f>
        <v>Cinema Barra - Sessões</v>
      </c>
      <c r="E1016" s="4" t="str">
        <f aca="false">IF($A1016="","",_xlfn.XLOOKUP(LOWER(TRIM(Base_Bruta!E1016)),DePara_Categoria!$A$2:$A$9,DePara_Categoria!$B$2:$B$9,"REVISAR"))</f>
        <v>Cinema</v>
      </c>
      <c r="F1016" s="4" t="str">
        <f aca="false">IF($A1016="","",_xlfn.XLOOKUP(LOWER(TRIM(Base_Bruta!F1016)),DePara_Cidade!$A$2:$A$29,DePara_Cidade!$B$2:$B$29,"REVISAR"))</f>
        <v>Rio de Janeiro</v>
      </c>
      <c r="G1016" s="4" t="str">
        <f aca="false">IF($A1016="","",TRIM(Base_Bruta!G1016))</f>
        <v>Inteira</v>
      </c>
      <c r="H1016" s="4" t="n">
        <f aca="false">IF($A1016="","",IF(ISNUMBER(Base_Bruta!H1016),Base_Bruta!H1016,IFERROR(_xlfn.NUMBERVALUE(TRIM(SUBSTITUTE(Base_Bruta!H1016,"R$","")),",","."),0)))</f>
        <v>1</v>
      </c>
      <c r="I1016" s="6" t="n">
        <f aca="false">IF($A1016="","",IF(ISNUMBER(Base_Bruta!I1016),Base_Bruta!I1016,IFERROR(_xlfn.NUMBERVALUE(TRIM(SUBSTITUTE(Base_Bruta!I1016,"R$","")),",","."),0)))</f>
        <v>30</v>
      </c>
      <c r="J1016" s="6" t="n">
        <f aca="false">IF($A1016="","",H1016*I1016)</f>
        <v>30</v>
      </c>
      <c r="K1016" s="4" t="str">
        <f aca="false">IF($A1016="","",TRIM(Base_Bruta!J1016))</f>
        <v>App</v>
      </c>
      <c r="L1016" s="4" t="str">
        <f aca="false">IF($A1016="","",TRIM(Base_Bruta!K1016))</f>
        <v>C00546</v>
      </c>
      <c r="M1016" s="4" t="str">
        <f aca="false">IF($A1016="","",_xlfn.XLOOKUP(LOWER(TRIM(Base_Bruta!L1016)),DePara_Cidade!$A$2:$A$29,DePara_Cidade!$B$2:$B$29,"REVISAR"))</f>
        <v>Rio de Janeiro</v>
      </c>
      <c r="N1016" s="4" t="str">
        <f aca="false">IF($A1016="","",UPPER(TRIM(Base_Bruta!M1016)))</f>
        <v>RJ</v>
      </c>
      <c r="O1016" s="4" t="str">
        <f aca="false">IF($A1016="","",_xlfn.XLOOKUP(LOWER(TRIM(Base_Bruta!N1016)),DePara_Pais!$A$2:$A$9,DePara_Pais!$B$2:$B$9,"REVISAR"))</f>
        <v>Brasil</v>
      </c>
      <c r="P1016" s="4" t="str">
        <f aca="false">IF($A1016="","",IF(O1016&lt;&gt;"Brasil","Turista Internacional",IF(M1016=F1016,"Local","Turista Nacional")))</f>
        <v>Local</v>
      </c>
      <c r="Q1016" s="7" t="n">
        <f aca="false">IF($A1016="","",DATE(YEAR(B1016),MONTH(B1016),1))</f>
        <v>45809</v>
      </c>
      <c r="R1016" s="4" t="str">
        <f aca="false">IF($A1016="","",IF(COUNTIF($A$2:$A1016,$A1016)&gt;1,"Sim","Não"))</f>
        <v>Não</v>
      </c>
      <c r="S1016" s="4" t="str">
        <f aca="false">IF(A1016="","Descartar - Linha vazia",IF(R1016="Sim","Descartar - Duplicado",IF(OR(H1016&lt;=0,I1016&lt;=0),"Descartar - Qtd/Valor inválido","OK")))</f>
        <v>OK</v>
      </c>
      <c r="T1016" s="4" t="str">
        <f aca="false">Base_Bruta!P1016</f>
        <v>vendas_RJ.xlsx</v>
      </c>
    </row>
    <row r="1017" customFormat="false" ht="15" hidden="false" customHeight="false" outlineLevel="0" collapsed="false">
      <c r="A1017" s="4" t="str">
        <f aca="false">IF(Base_Bruta!A1017="","",Base_Bruta!A1017)</f>
        <v>RJ-000670</v>
      </c>
      <c r="B1017" s="5" t="n">
        <f aca="false">IF($A1017="","",IF(ISNUMBER(Base_Bruta!B1017),Base_Bruta!B1017,IF(MID(Base_Bruta!B1017,5,1)="-",DATE(VALUE(LEFT(Base_Bruta!B1017,4)),VALUE(MID(Base_Bruta!B1017,6,2)),VALUE(RIGHT(Base_Bruta!B1017,2))),DATE(VALUE(RIGHT(Base_Bruta!B1017,4)),VALUE(MID(Base_Bruta!B1017,4,2)),VALUE(LEFT(Base_Bruta!B1017,2))))))</f>
        <v>45837</v>
      </c>
      <c r="C1017" s="5" t="n">
        <f aca="false">IF($A1017="","",IF(ISNUMBER(Base_Bruta!C1017),Base_Bruta!C1017,IF(MID(Base_Bruta!C1017,5,1)="-",DATE(VALUE(LEFT(Base_Bruta!C1017,4)),VALUE(MID(Base_Bruta!C1017,6,2)),VALUE(RIGHT(Base_Bruta!C1017,2))),DATE(VALUE(RIGHT(Base_Bruta!C1017,4)),VALUE(MID(Base_Bruta!C1017,4,2)),VALUE(LEFT(Base_Bruta!C1017,2))))))</f>
        <v>45839</v>
      </c>
      <c r="D1017" s="4" t="str">
        <f aca="false">IF($A1017="","",TRIM(Base_Bruta!D1017))</f>
        <v>Cinema Barra - Sessões</v>
      </c>
      <c r="E1017" s="4" t="str">
        <f aca="false">IF($A1017="","",_xlfn.XLOOKUP(LOWER(TRIM(Base_Bruta!E1017)),DePara_Categoria!$A$2:$A$9,DePara_Categoria!$B$2:$B$9,"REVISAR"))</f>
        <v>Cinema</v>
      </c>
      <c r="F1017" s="4" t="str">
        <f aca="false">IF($A1017="","",_xlfn.XLOOKUP(LOWER(TRIM(Base_Bruta!F1017)),DePara_Cidade!$A$2:$A$29,DePara_Cidade!$B$2:$B$29,"REVISAR"))</f>
        <v>Rio de Janeiro</v>
      </c>
      <c r="G1017" s="4" t="str">
        <f aca="false">IF($A1017="","",TRIM(Base_Bruta!G1017))</f>
        <v>Inteira</v>
      </c>
      <c r="H1017" s="4" t="n">
        <f aca="false">IF($A1017="","",IF(ISNUMBER(Base_Bruta!H1017),Base_Bruta!H1017,IFERROR(_xlfn.NUMBERVALUE(TRIM(SUBSTITUTE(Base_Bruta!H1017,"R$","")),",","."),0)))</f>
        <v>0</v>
      </c>
      <c r="I1017" s="6" t="n">
        <f aca="false">IF($A1017="","",IF(ISNUMBER(Base_Bruta!I1017),Base_Bruta!I1017,IFERROR(_xlfn.NUMBERVALUE(TRIM(SUBSTITUTE(Base_Bruta!I1017,"R$","")),",","."),0)))</f>
        <v>35</v>
      </c>
      <c r="J1017" s="6" t="n">
        <f aca="false">IF($A1017="","",H1017*I1017)</f>
        <v>0</v>
      </c>
      <c r="K1017" s="4" t="str">
        <f aca="false">IF($A1017="","",TRIM(Base_Bruta!J1017))</f>
        <v>Site</v>
      </c>
      <c r="L1017" s="4" t="str">
        <f aca="false">IF($A1017="","",TRIM(Base_Bruta!K1017))</f>
        <v>C00999</v>
      </c>
      <c r="M1017" s="4" t="str">
        <f aca="false">IF($A1017="","",_xlfn.XLOOKUP(LOWER(TRIM(Base_Bruta!L1017)),DePara_Cidade!$A$2:$A$29,DePara_Cidade!$B$2:$B$29,"REVISAR"))</f>
        <v>Rio de Janeiro</v>
      </c>
      <c r="N1017" s="4" t="str">
        <f aca="false">IF($A1017="","",UPPER(TRIM(Base_Bruta!M1017)))</f>
        <v>RJ</v>
      </c>
      <c r="O1017" s="4" t="str">
        <f aca="false">IF($A1017="","",_xlfn.XLOOKUP(LOWER(TRIM(Base_Bruta!N1017)),DePara_Pais!$A$2:$A$9,DePara_Pais!$B$2:$B$9,"REVISAR"))</f>
        <v>Brasil</v>
      </c>
      <c r="P1017" s="4" t="str">
        <f aca="false">IF($A1017="","",IF(O1017&lt;&gt;"Brasil","Turista Internacional",IF(M1017=F1017,"Local","Turista Nacional")))</f>
        <v>Local</v>
      </c>
      <c r="Q1017" s="7" t="n">
        <f aca="false">IF($A1017="","",DATE(YEAR(B1017),MONTH(B1017),1))</f>
        <v>45809</v>
      </c>
      <c r="R1017" s="4" t="str">
        <f aca="false">IF($A1017="","",IF(COUNTIF($A$2:$A1017,$A1017)&gt;1,"Sim","Não"))</f>
        <v>Não</v>
      </c>
      <c r="S1017" s="4" t="str">
        <f aca="false">IF(A1017="","Descartar - Linha vazia",IF(R1017="Sim","Descartar - Duplicado",IF(OR(H1017&lt;=0,I1017&lt;=0),"Descartar - Qtd/Valor inválido","OK")))</f>
        <v>Descartar - Qtd/Valor inválido</v>
      </c>
      <c r="T1017" s="4" t="str">
        <f aca="false">Base_Bruta!P1017</f>
        <v>vendas_RJ.xlsx</v>
      </c>
    </row>
    <row r="1018" customFormat="false" ht="15" hidden="false" customHeight="false" outlineLevel="0" collapsed="false">
      <c r="A1018" s="4" t="str">
        <f aca="false">IF(Base_Bruta!A1018="","",Base_Bruta!A1018)</f>
        <v>RJ-000563</v>
      </c>
      <c r="B1018" s="5" t="n">
        <f aca="false">IF($A1018="","",IF(ISNUMBER(Base_Bruta!B1018),Base_Bruta!B1018,IF(MID(Base_Bruta!B1018,5,1)="-",DATE(VALUE(LEFT(Base_Bruta!B1018,4)),VALUE(MID(Base_Bruta!B1018,6,2)),VALUE(RIGHT(Base_Bruta!B1018,2))),DATE(VALUE(RIGHT(Base_Bruta!B1018,4)),VALUE(MID(Base_Bruta!B1018,4,2)),VALUE(LEFT(Base_Bruta!B1018,2))))))</f>
        <v>45839</v>
      </c>
      <c r="C1018" s="5" t="n">
        <f aca="false">IF($A1018="","",IF(ISNUMBER(Base_Bruta!C1018),Base_Bruta!C1018,IF(MID(Base_Bruta!C1018,5,1)="-",DATE(VALUE(LEFT(Base_Bruta!C1018,4)),VALUE(MID(Base_Bruta!C1018,6,2)),VALUE(RIGHT(Base_Bruta!C1018,2))),DATE(VALUE(RIGHT(Base_Bruta!C1018,4)),VALUE(MID(Base_Bruta!C1018,4,2)),VALUE(LEFT(Base_Bruta!C1018,2))))))</f>
        <v>45840</v>
      </c>
      <c r="D1018" s="4" t="str">
        <f aca="false">IF($A1018="","",TRIM(Base_Bruta!D1018))</f>
        <v>Cinema Barra - Sessões</v>
      </c>
      <c r="E1018" s="4" t="str">
        <f aca="false">IF($A1018="","",_xlfn.XLOOKUP(LOWER(TRIM(Base_Bruta!E1018)),DePara_Categoria!$A$2:$A$9,DePara_Categoria!$B$2:$B$9,"REVISAR"))</f>
        <v>Cinema</v>
      </c>
      <c r="F1018" s="4" t="str">
        <f aca="false">IF($A1018="","",_xlfn.XLOOKUP(LOWER(TRIM(Base_Bruta!F1018)),DePara_Cidade!$A$2:$A$29,DePara_Cidade!$B$2:$B$29,"REVISAR"))</f>
        <v>Rio de Janeiro</v>
      </c>
      <c r="G1018" s="4" t="str">
        <f aca="false">IF($A1018="","",TRIM(Base_Bruta!G1018))</f>
        <v>Inteira</v>
      </c>
      <c r="H1018" s="4" t="n">
        <f aca="false">IF($A1018="","",IF(ISNUMBER(Base_Bruta!H1018),Base_Bruta!H1018,IFERROR(_xlfn.NUMBERVALUE(TRIM(SUBSTITUTE(Base_Bruta!H1018,"R$","")),",","."),0)))</f>
        <v>4</v>
      </c>
      <c r="I1018" s="6" t="n">
        <f aca="false">IF($A1018="","",IF(ISNUMBER(Base_Bruta!I1018),Base_Bruta!I1018,IFERROR(_xlfn.NUMBERVALUE(TRIM(SUBSTITUTE(Base_Bruta!I1018,"R$","")),",","."),0)))</f>
        <v>35</v>
      </c>
      <c r="J1018" s="6" t="n">
        <f aca="false">IF($A1018="","",H1018*I1018)</f>
        <v>140</v>
      </c>
      <c r="K1018" s="4" t="str">
        <f aca="false">IF($A1018="","",TRIM(Base_Bruta!J1018))</f>
        <v>App</v>
      </c>
      <c r="L1018" s="4" t="str">
        <f aca="false">IF($A1018="","",TRIM(Base_Bruta!K1018))</f>
        <v>C00298</v>
      </c>
      <c r="M1018" s="4" t="str">
        <f aca="false">IF($A1018="","",_xlfn.XLOOKUP(LOWER(TRIM(Base_Bruta!L1018)),DePara_Cidade!$A$2:$A$29,DePara_Cidade!$B$2:$B$29,"REVISAR"))</f>
        <v>Rio de Janeiro</v>
      </c>
      <c r="N1018" s="4" t="str">
        <f aca="false">IF($A1018="","",UPPER(TRIM(Base_Bruta!M1018)))</f>
        <v>RJ</v>
      </c>
      <c r="O1018" s="4" t="str">
        <f aca="false">IF($A1018="","",_xlfn.XLOOKUP(LOWER(TRIM(Base_Bruta!N1018)),DePara_Pais!$A$2:$A$9,DePara_Pais!$B$2:$B$9,"REVISAR"))</f>
        <v>Brasil</v>
      </c>
      <c r="P1018" s="4" t="str">
        <f aca="false">IF($A1018="","",IF(O1018&lt;&gt;"Brasil","Turista Internacional",IF(M1018=F1018,"Local","Turista Nacional")))</f>
        <v>Local</v>
      </c>
      <c r="Q1018" s="7" t="n">
        <f aca="false">IF($A1018="","",DATE(YEAR(B1018),MONTH(B1018),1))</f>
        <v>45839</v>
      </c>
      <c r="R1018" s="4" t="str">
        <f aca="false">IF($A1018="","",IF(COUNTIF($A$2:$A1018,$A1018)&gt;1,"Sim","Não"))</f>
        <v>Não</v>
      </c>
      <c r="S1018" s="4" t="str">
        <f aca="false">IF(A1018="","Descartar - Linha vazia",IF(R1018="Sim","Descartar - Duplicado",IF(OR(H1018&lt;=0,I1018&lt;=0),"Descartar - Qtd/Valor inválido","OK")))</f>
        <v>OK</v>
      </c>
      <c r="T1018" s="4" t="str">
        <f aca="false">Base_Bruta!P1018</f>
        <v>vendas_RJ.xlsx</v>
      </c>
    </row>
    <row r="1019" customFormat="false" ht="15" hidden="false" customHeight="false" outlineLevel="0" collapsed="false">
      <c r="A1019" s="4" t="str">
        <f aca="false">IF(Base_Bruta!A1019="","",Base_Bruta!A1019)</f>
        <v>RJ-000544</v>
      </c>
      <c r="B1019" s="5" t="n">
        <f aca="false">IF($A1019="","",IF(ISNUMBER(Base_Bruta!B1019),Base_Bruta!B1019,IF(MID(Base_Bruta!B1019,5,1)="-",DATE(VALUE(LEFT(Base_Bruta!B1019,4)),VALUE(MID(Base_Bruta!B1019,6,2)),VALUE(RIGHT(Base_Bruta!B1019,2))),DATE(VALUE(RIGHT(Base_Bruta!B1019,4)),VALUE(MID(Base_Bruta!B1019,4,2)),VALUE(LEFT(Base_Bruta!B1019,2))))))</f>
        <v>45841</v>
      </c>
      <c r="C1019" s="5" t="n">
        <f aca="false">IF($A1019="","",IF(ISNUMBER(Base_Bruta!C1019),Base_Bruta!C1019,IF(MID(Base_Bruta!C1019,5,1)="-",DATE(VALUE(LEFT(Base_Bruta!C1019,4)),VALUE(MID(Base_Bruta!C1019,6,2)),VALUE(RIGHT(Base_Bruta!C1019,2))),DATE(VALUE(RIGHT(Base_Bruta!C1019,4)),VALUE(MID(Base_Bruta!C1019,4,2)),VALUE(LEFT(Base_Bruta!C1019,2))))))</f>
        <v>45841</v>
      </c>
      <c r="D1019" s="4" t="str">
        <f aca="false">IF($A1019="","",TRIM(Base_Bruta!D1019))</f>
        <v>Cinema Barra - Sessões</v>
      </c>
      <c r="E1019" s="4" t="str">
        <f aca="false">IF($A1019="","",_xlfn.XLOOKUP(LOWER(TRIM(Base_Bruta!E1019)),DePara_Categoria!$A$2:$A$9,DePara_Categoria!$B$2:$B$9,"REVISAR"))</f>
        <v>Cinema</v>
      </c>
      <c r="F1019" s="4" t="str">
        <f aca="false">IF($A1019="","",_xlfn.XLOOKUP(LOWER(TRIM(Base_Bruta!F1019)),DePara_Cidade!$A$2:$A$29,DePara_Cidade!$B$2:$B$29,"REVISAR"))</f>
        <v>Rio de Janeiro</v>
      </c>
      <c r="G1019" s="4" t="str">
        <f aca="false">IF($A1019="","",TRIM(Base_Bruta!G1019))</f>
        <v>Meia</v>
      </c>
      <c r="H1019" s="4" t="n">
        <f aca="false">IF($A1019="","",IF(ISNUMBER(Base_Bruta!H1019),Base_Bruta!H1019,IFERROR(_xlfn.NUMBERVALUE(TRIM(SUBSTITUTE(Base_Bruta!H1019,"R$","")),",","."),0)))</f>
        <v>2</v>
      </c>
      <c r="I1019" s="6" t="n">
        <f aca="false">IF($A1019="","",IF(ISNUMBER(Base_Bruta!I1019),Base_Bruta!I1019,IFERROR(_xlfn.NUMBERVALUE(TRIM(SUBSTITUTE(Base_Bruta!I1019,"R$","")),",","."),0)))</f>
        <v>22.5</v>
      </c>
      <c r="J1019" s="6" t="n">
        <f aca="false">IF($A1019="","",H1019*I1019)</f>
        <v>45</v>
      </c>
      <c r="K1019" s="4" t="str">
        <f aca="false">IF($A1019="","",TRIM(Base_Bruta!J1019))</f>
        <v>App</v>
      </c>
      <c r="L1019" s="4" t="str">
        <f aca="false">IF($A1019="","",TRIM(Base_Bruta!K1019))</f>
        <v>C01897</v>
      </c>
      <c r="M1019" s="4" t="str">
        <f aca="false">IF($A1019="","",_xlfn.XLOOKUP(LOWER(TRIM(Base_Bruta!L1019)),DePara_Cidade!$A$2:$A$29,DePara_Cidade!$B$2:$B$29,"REVISAR"))</f>
        <v>Rio de Janeiro</v>
      </c>
      <c r="N1019" s="4" t="str">
        <f aca="false">IF($A1019="","",UPPER(TRIM(Base_Bruta!M1019)))</f>
        <v>RJ</v>
      </c>
      <c r="O1019" s="4" t="str">
        <f aca="false">IF($A1019="","",_xlfn.XLOOKUP(LOWER(TRIM(Base_Bruta!N1019)),DePara_Pais!$A$2:$A$9,DePara_Pais!$B$2:$B$9,"REVISAR"))</f>
        <v>Brasil</v>
      </c>
      <c r="P1019" s="4" t="str">
        <f aca="false">IF($A1019="","",IF(O1019&lt;&gt;"Brasil","Turista Internacional",IF(M1019=F1019,"Local","Turista Nacional")))</f>
        <v>Local</v>
      </c>
      <c r="Q1019" s="7" t="n">
        <f aca="false">IF($A1019="","",DATE(YEAR(B1019),MONTH(B1019),1))</f>
        <v>45839</v>
      </c>
      <c r="R1019" s="4" t="str">
        <f aca="false">IF($A1019="","",IF(COUNTIF($A$2:$A1019,$A1019)&gt;1,"Sim","Não"))</f>
        <v>Não</v>
      </c>
      <c r="S1019" s="4" t="str">
        <f aca="false">IF(A1019="","Descartar - Linha vazia",IF(R1019="Sim","Descartar - Duplicado",IF(OR(H1019&lt;=0,I1019&lt;=0),"Descartar - Qtd/Valor inválido","OK")))</f>
        <v>OK</v>
      </c>
      <c r="T1019" s="4" t="str">
        <f aca="false">Base_Bruta!P1019</f>
        <v>vendas_RJ.xlsx</v>
      </c>
    </row>
    <row r="1020" customFormat="false" ht="15" hidden="false" customHeight="false" outlineLevel="0" collapsed="false">
      <c r="A1020" s="4" t="str">
        <f aca="false">IF(Base_Bruta!A1020="","",Base_Bruta!A1020)</f>
        <v>RJ-000588</v>
      </c>
      <c r="B1020" s="5" t="n">
        <f aca="false">IF($A1020="","",IF(ISNUMBER(Base_Bruta!B1020),Base_Bruta!B1020,IF(MID(Base_Bruta!B1020,5,1)="-",DATE(VALUE(LEFT(Base_Bruta!B1020,4)),VALUE(MID(Base_Bruta!B1020,6,2)),VALUE(RIGHT(Base_Bruta!B1020,2))),DATE(VALUE(RIGHT(Base_Bruta!B1020,4)),VALUE(MID(Base_Bruta!B1020,4,2)),VALUE(LEFT(Base_Bruta!B1020,2))))))</f>
        <v>45843</v>
      </c>
      <c r="C1020" s="5" t="n">
        <f aca="false">IF($A1020="","",IF(ISNUMBER(Base_Bruta!C1020),Base_Bruta!C1020,IF(MID(Base_Bruta!C1020,5,1)="-",DATE(VALUE(LEFT(Base_Bruta!C1020,4)),VALUE(MID(Base_Bruta!C1020,6,2)),VALUE(RIGHT(Base_Bruta!C1020,2))),DATE(VALUE(RIGHT(Base_Bruta!C1020,4)),VALUE(MID(Base_Bruta!C1020,4,2)),VALUE(LEFT(Base_Bruta!C1020,2))))))</f>
        <v>45843</v>
      </c>
      <c r="D1020" s="4" t="str">
        <f aca="false">IF($A1020="","",TRIM(Base_Bruta!D1020))</f>
        <v>Cinema Barra - Sessões</v>
      </c>
      <c r="E1020" s="4" t="str">
        <f aca="false">IF($A1020="","",_xlfn.XLOOKUP(LOWER(TRIM(Base_Bruta!E1020)),DePara_Categoria!$A$2:$A$9,DePara_Categoria!$B$2:$B$9,"REVISAR"))</f>
        <v>Cinema</v>
      </c>
      <c r="F1020" s="4" t="str">
        <f aca="false">IF($A1020="","",_xlfn.XLOOKUP(LOWER(TRIM(Base_Bruta!F1020)),DePara_Cidade!$A$2:$A$29,DePara_Cidade!$B$2:$B$29,"REVISAR"))</f>
        <v>Rio de Janeiro</v>
      </c>
      <c r="G1020" s="4" t="str">
        <f aca="false">IF($A1020="","",TRIM(Base_Bruta!G1020))</f>
        <v>Inteira</v>
      </c>
      <c r="H1020" s="4" t="n">
        <f aca="false">IF($A1020="","",IF(ISNUMBER(Base_Bruta!H1020),Base_Bruta!H1020,IFERROR(_xlfn.NUMBERVALUE(TRIM(SUBSTITUTE(Base_Bruta!H1020,"R$","")),",","."),0)))</f>
        <v>2</v>
      </c>
      <c r="I1020" s="6" t="n">
        <f aca="false">IF($A1020="","",IF(ISNUMBER(Base_Bruta!I1020),Base_Bruta!I1020,IFERROR(_xlfn.NUMBERVALUE(TRIM(SUBSTITUTE(Base_Bruta!I1020,"R$","")),",","."),0)))</f>
        <v>50</v>
      </c>
      <c r="J1020" s="6" t="n">
        <f aca="false">IF($A1020="","",H1020*I1020)</f>
        <v>100</v>
      </c>
      <c r="K1020" s="4" t="str">
        <f aca="false">IF($A1020="","",TRIM(Base_Bruta!J1020))</f>
        <v>App</v>
      </c>
      <c r="L1020" s="4" t="str">
        <f aca="false">IF($A1020="","",TRIM(Base_Bruta!K1020))</f>
        <v>C01292</v>
      </c>
      <c r="M1020" s="4" t="str">
        <f aca="false">IF($A1020="","",_xlfn.XLOOKUP(LOWER(TRIM(Base_Bruta!L1020)),DePara_Cidade!$A$2:$A$29,DePara_Cidade!$B$2:$B$29,"REVISAR"))</f>
        <v>Rio de Janeiro</v>
      </c>
      <c r="N1020" s="4" t="str">
        <f aca="false">IF($A1020="","",UPPER(TRIM(Base_Bruta!M1020)))</f>
        <v>RJ</v>
      </c>
      <c r="O1020" s="4" t="str">
        <f aca="false">IF($A1020="","",_xlfn.XLOOKUP(LOWER(TRIM(Base_Bruta!N1020)),DePara_Pais!$A$2:$A$9,DePara_Pais!$B$2:$B$9,"REVISAR"))</f>
        <v>Brasil</v>
      </c>
      <c r="P1020" s="4" t="str">
        <f aca="false">IF($A1020="","",IF(O1020&lt;&gt;"Brasil","Turista Internacional",IF(M1020=F1020,"Local","Turista Nacional")))</f>
        <v>Local</v>
      </c>
      <c r="Q1020" s="7" t="n">
        <f aca="false">IF($A1020="","",DATE(YEAR(B1020),MONTH(B1020),1))</f>
        <v>45839</v>
      </c>
      <c r="R1020" s="4" t="str">
        <f aca="false">IF($A1020="","",IF(COUNTIF($A$2:$A1020,$A1020)&gt;1,"Sim","Não"))</f>
        <v>Não</v>
      </c>
      <c r="S1020" s="4" t="str">
        <f aca="false">IF(A1020="","Descartar - Linha vazia",IF(R1020="Sim","Descartar - Duplicado",IF(OR(H1020&lt;=0,I1020&lt;=0),"Descartar - Qtd/Valor inválido","OK")))</f>
        <v>OK</v>
      </c>
      <c r="T1020" s="4" t="str">
        <f aca="false">Base_Bruta!P1020</f>
        <v>vendas_RJ.xlsx</v>
      </c>
    </row>
    <row r="1021" customFormat="false" ht="15" hidden="false" customHeight="false" outlineLevel="0" collapsed="false">
      <c r="A1021" s="4" t="str">
        <f aca="false">IF(Base_Bruta!A1021="","",Base_Bruta!A1021)</f>
        <v>RJ-000685</v>
      </c>
      <c r="B1021" s="5" t="n">
        <f aca="false">IF($A1021="","",IF(ISNUMBER(Base_Bruta!B1021),Base_Bruta!B1021,IF(MID(Base_Bruta!B1021,5,1)="-",DATE(VALUE(LEFT(Base_Bruta!B1021,4)),VALUE(MID(Base_Bruta!B1021,6,2)),VALUE(RIGHT(Base_Bruta!B1021,2))),DATE(VALUE(RIGHT(Base_Bruta!B1021,4)),VALUE(MID(Base_Bruta!B1021,4,2)),VALUE(LEFT(Base_Bruta!B1021,2))))))</f>
        <v>45844</v>
      </c>
      <c r="C1021" s="5" t="n">
        <f aca="false">IF($A1021="","",IF(ISNUMBER(Base_Bruta!C1021),Base_Bruta!C1021,IF(MID(Base_Bruta!C1021,5,1)="-",DATE(VALUE(LEFT(Base_Bruta!C1021,4)),VALUE(MID(Base_Bruta!C1021,6,2)),VALUE(RIGHT(Base_Bruta!C1021,2))),DATE(VALUE(RIGHT(Base_Bruta!C1021,4)),VALUE(MID(Base_Bruta!C1021,4,2)),VALUE(LEFT(Base_Bruta!C1021,2))))))</f>
        <v>45845</v>
      </c>
      <c r="D1021" s="4" t="str">
        <f aca="false">IF($A1021="","",TRIM(Base_Bruta!D1021))</f>
        <v>Cinema Barra - Sessões</v>
      </c>
      <c r="E1021" s="4" t="str">
        <f aca="false">IF($A1021="","",_xlfn.XLOOKUP(LOWER(TRIM(Base_Bruta!E1021)),DePara_Categoria!$A$2:$A$9,DePara_Categoria!$B$2:$B$9,"REVISAR"))</f>
        <v>Cinema</v>
      </c>
      <c r="F1021" s="4" t="str">
        <f aca="false">IF($A1021="","",_xlfn.XLOOKUP(LOWER(TRIM(Base_Bruta!F1021)),DePara_Cidade!$A$2:$A$29,DePara_Cidade!$B$2:$B$29,"REVISAR"))</f>
        <v>Rio de Janeiro</v>
      </c>
      <c r="G1021" s="4" t="str">
        <f aca="false">IF($A1021="","",TRIM(Base_Bruta!G1021))</f>
        <v>Meia</v>
      </c>
      <c r="H1021" s="4" t="n">
        <f aca="false">IF($A1021="","",IF(ISNUMBER(Base_Bruta!H1021),Base_Bruta!H1021,IFERROR(_xlfn.NUMBERVALUE(TRIM(SUBSTITUTE(Base_Bruta!H1021,"R$","")),",","."),0)))</f>
        <v>4</v>
      </c>
      <c r="I1021" s="6" t="n">
        <f aca="false">IF($A1021="","",IF(ISNUMBER(Base_Bruta!I1021),Base_Bruta!I1021,IFERROR(_xlfn.NUMBERVALUE(TRIM(SUBSTITUTE(Base_Bruta!I1021,"R$","")),",","."),0)))</f>
        <v>17.5</v>
      </c>
      <c r="J1021" s="6" t="n">
        <f aca="false">IF($A1021="","",H1021*I1021)</f>
        <v>70</v>
      </c>
      <c r="K1021" s="4" t="str">
        <f aca="false">IF($A1021="","",TRIM(Base_Bruta!J1021))</f>
        <v>Bilheteria</v>
      </c>
      <c r="L1021" s="4" t="str">
        <f aca="false">IF($A1021="","",TRIM(Base_Bruta!K1021))</f>
        <v>C01131</v>
      </c>
      <c r="M1021" s="4" t="str">
        <f aca="false">IF($A1021="","",_xlfn.XLOOKUP(LOWER(TRIM(Base_Bruta!L1021)),DePara_Cidade!$A$2:$A$29,DePara_Cidade!$B$2:$B$29,"REVISAR"))</f>
        <v>Rio de Janeiro</v>
      </c>
      <c r="N1021" s="4" t="str">
        <f aca="false">IF($A1021="","",UPPER(TRIM(Base_Bruta!M1021)))</f>
        <v>RJ</v>
      </c>
      <c r="O1021" s="4" t="str">
        <f aca="false">IF($A1021="","",_xlfn.XLOOKUP(LOWER(TRIM(Base_Bruta!N1021)),DePara_Pais!$A$2:$A$9,DePara_Pais!$B$2:$B$9,"REVISAR"))</f>
        <v>Brasil</v>
      </c>
      <c r="P1021" s="4" t="str">
        <f aca="false">IF($A1021="","",IF(O1021&lt;&gt;"Brasil","Turista Internacional",IF(M1021=F1021,"Local","Turista Nacional")))</f>
        <v>Local</v>
      </c>
      <c r="Q1021" s="7" t="n">
        <f aca="false">IF($A1021="","",DATE(YEAR(B1021),MONTH(B1021),1))</f>
        <v>45839</v>
      </c>
      <c r="R1021" s="4" t="str">
        <f aca="false">IF($A1021="","",IF(COUNTIF($A$2:$A1021,$A1021)&gt;1,"Sim","Não"))</f>
        <v>Não</v>
      </c>
      <c r="S1021" s="4" t="str">
        <f aca="false">IF(A1021="","Descartar - Linha vazia",IF(R1021="Sim","Descartar - Duplicado",IF(OR(H1021&lt;=0,I1021&lt;=0),"Descartar - Qtd/Valor inválido","OK")))</f>
        <v>OK</v>
      </c>
      <c r="T1021" s="4" t="str">
        <f aca="false">Base_Bruta!P1021</f>
        <v>vendas_RJ.xlsx</v>
      </c>
    </row>
    <row r="1022" customFormat="false" ht="15" hidden="false" customHeight="false" outlineLevel="0" collapsed="false">
      <c r="A1022" s="4" t="str">
        <f aca="false">IF(Base_Bruta!A1022="","",Base_Bruta!A1022)</f>
        <v>RJ-000650</v>
      </c>
      <c r="B1022" s="5" t="n">
        <f aca="false">IF($A1022="","",IF(ISNUMBER(Base_Bruta!B1022),Base_Bruta!B1022,IF(MID(Base_Bruta!B1022,5,1)="-",DATE(VALUE(LEFT(Base_Bruta!B1022,4)),VALUE(MID(Base_Bruta!B1022,6,2)),VALUE(RIGHT(Base_Bruta!B1022,2))),DATE(VALUE(RIGHT(Base_Bruta!B1022,4)),VALUE(MID(Base_Bruta!B1022,4,2)),VALUE(LEFT(Base_Bruta!B1022,2))))))</f>
        <v>45848</v>
      </c>
      <c r="C1022" s="5" t="n">
        <f aca="false">IF($A1022="","",IF(ISNUMBER(Base_Bruta!C1022),Base_Bruta!C1022,IF(MID(Base_Bruta!C1022,5,1)="-",DATE(VALUE(LEFT(Base_Bruta!C1022,4)),VALUE(MID(Base_Bruta!C1022,6,2)),VALUE(RIGHT(Base_Bruta!C1022,2))),DATE(VALUE(RIGHT(Base_Bruta!C1022,4)),VALUE(MID(Base_Bruta!C1022,4,2)),VALUE(LEFT(Base_Bruta!C1022,2))))))</f>
        <v>45848</v>
      </c>
      <c r="D1022" s="4" t="str">
        <f aca="false">IF($A1022="","",TRIM(Base_Bruta!D1022))</f>
        <v>Cinema Barra - Sessões</v>
      </c>
      <c r="E1022" s="4" t="str">
        <f aca="false">IF($A1022="","",_xlfn.XLOOKUP(LOWER(TRIM(Base_Bruta!E1022)),DePara_Categoria!$A$2:$A$9,DePara_Categoria!$B$2:$B$9,"REVISAR"))</f>
        <v>Cinema</v>
      </c>
      <c r="F1022" s="4" t="str">
        <f aca="false">IF($A1022="","",_xlfn.XLOOKUP(LOWER(TRIM(Base_Bruta!F1022)),DePara_Cidade!$A$2:$A$29,DePara_Cidade!$B$2:$B$29,"REVISAR"))</f>
        <v>Rio de Janeiro</v>
      </c>
      <c r="G1022" s="4" t="str">
        <f aca="false">IF($A1022="","",TRIM(Base_Bruta!G1022))</f>
        <v>Inteira</v>
      </c>
      <c r="H1022" s="4" t="n">
        <f aca="false">IF($A1022="","",IF(ISNUMBER(Base_Bruta!H1022),Base_Bruta!H1022,IFERROR(_xlfn.NUMBERVALUE(TRIM(SUBSTITUTE(Base_Bruta!H1022,"R$","")),",","."),0)))</f>
        <v>2</v>
      </c>
      <c r="I1022" s="6" t="n">
        <f aca="false">IF($A1022="","",IF(ISNUMBER(Base_Bruta!I1022),Base_Bruta!I1022,IFERROR(_xlfn.NUMBERVALUE(TRIM(SUBSTITUTE(Base_Bruta!I1022,"R$","")),",","."),0)))</f>
        <v>35</v>
      </c>
      <c r="J1022" s="6" t="n">
        <f aca="false">IF($A1022="","",H1022*I1022)</f>
        <v>70</v>
      </c>
      <c r="K1022" s="4" t="str">
        <f aca="false">IF($A1022="","",TRIM(Base_Bruta!J1022))</f>
        <v>Bilheteria</v>
      </c>
      <c r="L1022" s="4" t="str">
        <f aca="false">IF($A1022="","",TRIM(Base_Bruta!K1022))</f>
        <v>C00559</v>
      </c>
      <c r="M1022" s="4" t="str">
        <f aca="false">IF($A1022="","",_xlfn.XLOOKUP(LOWER(TRIM(Base_Bruta!L1022)),DePara_Cidade!$A$2:$A$29,DePara_Cidade!$B$2:$B$29,"REVISAR"))</f>
        <v>Rio de Janeiro</v>
      </c>
      <c r="N1022" s="4" t="str">
        <f aca="false">IF($A1022="","",UPPER(TRIM(Base_Bruta!M1022)))</f>
        <v>RJ</v>
      </c>
      <c r="O1022" s="4" t="str">
        <f aca="false">IF($A1022="","",_xlfn.XLOOKUP(LOWER(TRIM(Base_Bruta!N1022)),DePara_Pais!$A$2:$A$9,DePara_Pais!$B$2:$B$9,"REVISAR"))</f>
        <v>Brasil</v>
      </c>
      <c r="P1022" s="4" t="str">
        <f aca="false">IF($A1022="","",IF(O1022&lt;&gt;"Brasil","Turista Internacional",IF(M1022=F1022,"Local","Turista Nacional")))</f>
        <v>Local</v>
      </c>
      <c r="Q1022" s="7" t="n">
        <f aca="false">IF($A1022="","",DATE(YEAR(B1022),MONTH(B1022),1))</f>
        <v>45839</v>
      </c>
      <c r="R1022" s="4" t="str">
        <f aca="false">IF($A1022="","",IF(COUNTIF($A$2:$A1022,$A1022)&gt;1,"Sim","Não"))</f>
        <v>Não</v>
      </c>
      <c r="S1022" s="4" t="str">
        <f aca="false">IF(A1022="","Descartar - Linha vazia",IF(R1022="Sim","Descartar - Duplicado",IF(OR(H1022&lt;=0,I1022&lt;=0),"Descartar - Qtd/Valor inválido","OK")))</f>
        <v>OK</v>
      </c>
      <c r="T1022" s="4" t="str">
        <f aca="false">Base_Bruta!P1022</f>
        <v>vendas_RJ.xlsx</v>
      </c>
    </row>
    <row r="1023" customFormat="false" ht="15" hidden="false" customHeight="false" outlineLevel="0" collapsed="false">
      <c r="A1023" s="4" t="str">
        <f aca="false">IF(Base_Bruta!A1023="","",Base_Bruta!A1023)</f>
        <v>RJ-000587</v>
      </c>
      <c r="B1023" s="5" t="n">
        <f aca="false">IF($A1023="","",IF(ISNUMBER(Base_Bruta!B1023),Base_Bruta!B1023,IF(MID(Base_Bruta!B1023,5,1)="-",DATE(VALUE(LEFT(Base_Bruta!B1023,4)),VALUE(MID(Base_Bruta!B1023,6,2)),VALUE(RIGHT(Base_Bruta!B1023,2))),DATE(VALUE(RIGHT(Base_Bruta!B1023,4)),VALUE(MID(Base_Bruta!B1023,4,2)),VALUE(LEFT(Base_Bruta!B1023,2))))))</f>
        <v>45850</v>
      </c>
      <c r="C1023" s="5" t="n">
        <f aca="false">IF($A1023="","",IF(ISNUMBER(Base_Bruta!C1023),Base_Bruta!C1023,IF(MID(Base_Bruta!C1023,5,1)="-",DATE(VALUE(LEFT(Base_Bruta!C1023,4)),VALUE(MID(Base_Bruta!C1023,6,2)),VALUE(RIGHT(Base_Bruta!C1023,2))),DATE(VALUE(RIGHT(Base_Bruta!C1023,4)),VALUE(MID(Base_Bruta!C1023,4,2)),VALUE(LEFT(Base_Bruta!C1023,2))))))</f>
        <v>45850</v>
      </c>
      <c r="D1023" s="4" t="str">
        <f aca="false">IF($A1023="","",TRIM(Base_Bruta!D1023))</f>
        <v>Cinema Barra - Sessões</v>
      </c>
      <c r="E1023" s="4" t="str">
        <f aca="false">IF($A1023="","",_xlfn.XLOOKUP(LOWER(TRIM(Base_Bruta!E1023)),DePara_Categoria!$A$2:$A$9,DePara_Categoria!$B$2:$B$9,"REVISAR"))</f>
        <v>Cinema</v>
      </c>
      <c r="F1023" s="4" t="str">
        <f aca="false">IF($A1023="","",_xlfn.XLOOKUP(LOWER(TRIM(Base_Bruta!F1023)),DePara_Cidade!$A$2:$A$29,DePara_Cidade!$B$2:$B$29,"REVISAR"))</f>
        <v>Rio de Janeiro</v>
      </c>
      <c r="G1023" s="4" t="str">
        <f aca="false">IF($A1023="","",TRIM(Base_Bruta!G1023))</f>
        <v>Inteira</v>
      </c>
      <c r="H1023" s="4" t="n">
        <f aca="false">IF($A1023="","",IF(ISNUMBER(Base_Bruta!H1023),Base_Bruta!H1023,IFERROR(_xlfn.NUMBERVALUE(TRIM(SUBSTITUTE(Base_Bruta!H1023,"R$","")),",","."),0)))</f>
        <v>1</v>
      </c>
      <c r="I1023" s="6" t="n">
        <f aca="false">IF($A1023="","",IF(ISNUMBER(Base_Bruta!I1023),Base_Bruta!I1023,IFERROR(_xlfn.NUMBERVALUE(TRIM(SUBSTITUTE(Base_Bruta!I1023,"R$","")),",","."),0)))</f>
        <v>40</v>
      </c>
      <c r="J1023" s="6" t="n">
        <f aca="false">IF($A1023="","",H1023*I1023)</f>
        <v>40</v>
      </c>
      <c r="K1023" s="4" t="str">
        <f aca="false">IF($A1023="","",TRIM(Base_Bruta!J1023))</f>
        <v>App</v>
      </c>
      <c r="L1023" s="4" t="str">
        <f aca="false">IF($A1023="","",TRIM(Base_Bruta!K1023))</f>
        <v>C01767</v>
      </c>
      <c r="M1023" s="4" t="str">
        <f aca="false">IF($A1023="","",_xlfn.XLOOKUP(LOWER(TRIM(Base_Bruta!L1023)),DePara_Cidade!$A$2:$A$29,DePara_Cidade!$B$2:$B$29,"REVISAR"))</f>
        <v>Rio de Janeiro</v>
      </c>
      <c r="N1023" s="4" t="str">
        <f aca="false">IF($A1023="","",UPPER(TRIM(Base_Bruta!M1023)))</f>
        <v>RJ</v>
      </c>
      <c r="O1023" s="4" t="str">
        <f aca="false">IF($A1023="","",_xlfn.XLOOKUP(LOWER(TRIM(Base_Bruta!N1023)),DePara_Pais!$A$2:$A$9,DePara_Pais!$B$2:$B$9,"REVISAR"))</f>
        <v>Brasil</v>
      </c>
      <c r="P1023" s="4" t="str">
        <f aca="false">IF($A1023="","",IF(O1023&lt;&gt;"Brasil","Turista Internacional",IF(M1023=F1023,"Local","Turista Nacional")))</f>
        <v>Local</v>
      </c>
      <c r="Q1023" s="7" t="n">
        <f aca="false">IF($A1023="","",DATE(YEAR(B1023),MONTH(B1023),1))</f>
        <v>45839</v>
      </c>
      <c r="R1023" s="4" t="str">
        <f aca="false">IF($A1023="","",IF(COUNTIF($A$2:$A1023,$A1023)&gt;1,"Sim","Não"))</f>
        <v>Não</v>
      </c>
      <c r="S1023" s="4" t="str">
        <f aca="false">IF(A1023="","Descartar - Linha vazia",IF(R1023="Sim","Descartar - Duplicado",IF(OR(H1023&lt;=0,I1023&lt;=0),"Descartar - Qtd/Valor inválido","OK")))</f>
        <v>OK</v>
      </c>
      <c r="T1023" s="4" t="str">
        <f aca="false">Base_Bruta!P1023</f>
        <v>vendas_RJ.xlsx</v>
      </c>
    </row>
    <row r="1024" customFormat="false" ht="15" hidden="false" customHeight="false" outlineLevel="0" collapsed="false">
      <c r="A1024" s="4" t="str">
        <f aca="false">IF(Base_Bruta!A1024="","",Base_Bruta!A1024)</f>
        <v>RJ-000694</v>
      </c>
      <c r="B1024" s="5" t="n">
        <f aca="false">IF($A1024="","",IF(ISNUMBER(Base_Bruta!B1024),Base_Bruta!B1024,IF(MID(Base_Bruta!B1024,5,1)="-",DATE(VALUE(LEFT(Base_Bruta!B1024,4)),VALUE(MID(Base_Bruta!B1024,6,2)),VALUE(RIGHT(Base_Bruta!B1024,2))),DATE(VALUE(RIGHT(Base_Bruta!B1024,4)),VALUE(MID(Base_Bruta!B1024,4,2)),VALUE(LEFT(Base_Bruta!B1024,2))))))</f>
        <v>45851</v>
      </c>
      <c r="C1024" s="5" t="n">
        <f aca="false">IF($A1024="","",IF(ISNUMBER(Base_Bruta!C1024),Base_Bruta!C1024,IF(MID(Base_Bruta!C1024,5,1)="-",DATE(VALUE(LEFT(Base_Bruta!C1024,4)),VALUE(MID(Base_Bruta!C1024,6,2)),VALUE(RIGHT(Base_Bruta!C1024,2))),DATE(VALUE(RIGHT(Base_Bruta!C1024,4)),VALUE(MID(Base_Bruta!C1024,4,2)),VALUE(LEFT(Base_Bruta!C1024,2))))))</f>
        <v>45853</v>
      </c>
      <c r="D1024" s="4" t="str">
        <f aca="false">IF($A1024="","",TRIM(Base_Bruta!D1024))</f>
        <v>Cinema Barra - Sessões</v>
      </c>
      <c r="E1024" s="4" t="str">
        <f aca="false">IF($A1024="","",_xlfn.XLOOKUP(LOWER(TRIM(Base_Bruta!E1024)),DePara_Categoria!$A$2:$A$9,DePara_Categoria!$B$2:$B$9,"REVISAR"))</f>
        <v>Cinema</v>
      </c>
      <c r="F1024" s="4" t="str">
        <f aca="false">IF($A1024="","",_xlfn.XLOOKUP(LOWER(TRIM(Base_Bruta!F1024)),DePara_Cidade!$A$2:$A$29,DePara_Cidade!$B$2:$B$29,"REVISAR"))</f>
        <v>Rio de Janeiro</v>
      </c>
      <c r="G1024" s="4" t="str">
        <f aca="false">IF($A1024="","",TRIM(Base_Bruta!G1024))</f>
        <v>Inteira</v>
      </c>
      <c r="H1024" s="4" t="n">
        <f aca="false">IF($A1024="","",IF(ISNUMBER(Base_Bruta!H1024),Base_Bruta!H1024,IFERROR(_xlfn.NUMBERVALUE(TRIM(SUBSTITUTE(Base_Bruta!H1024,"R$","")),",","."),0)))</f>
        <v>4</v>
      </c>
      <c r="I1024" s="6" t="n">
        <f aca="false">IF($A1024="","",IF(ISNUMBER(Base_Bruta!I1024),Base_Bruta!I1024,IFERROR(_xlfn.NUMBERVALUE(TRIM(SUBSTITUTE(Base_Bruta!I1024,"R$","")),",","."),0)))</f>
        <v>30</v>
      </c>
      <c r="J1024" s="6" t="n">
        <f aca="false">IF($A1024="","",H1024*I1024)</f>
        <v>120</v>
      </c>
      <c r="K1024" s="4" t="str">
        <f aca="false">IF($A1024="","",TRIM(Base_Bruta!J1024))</f>
        <v>App</v>
      </c>
      <c r="L1024" s="4" t="str">
        <f aca="false">IF($A1024="","",TRIM(Base_Bruta!K1024))</f>
        <v>C02399</v>
      </c>
      <c r="M1024" s="4" t="str">
        <f aca="false">IF($A1024="","",_xlfn.XLOOKUP(LOWER(TRIM(Base_Bruta!L1024)),DePara_Cidade!$A$2:$A$29,DePara_Cidade!$B$2:$B$29,"REVISAR"))</f>
        <v>Rio de Janeiro</v>
      </c>
      <c r="N1024" s="4" t="str">
        <f aca="false">IF($A1024="","",UPPER(TRIM(Base_Bruta!M1024)))</f>
        <v>RJ</v>
      </c>
      <c r="O1024" s="4" t="str">
        <f aca="false">IF($A1024="","",_xlfn.XLOOKUP(LOWER(TRIM(Base_Bruta!N1024)),DePara_Pais!$A$2:$A$9,DePara_Pais!$B$2:$B$9,"REVISAR"))</f>
        <v>Brasil</v>
      </c>
      <c r="P1024" s="4" t="str">
        <f aca="false">IF($A1024="","",IF(O1024&lt;&gt;"Brasil","Turista Internacional",IF(M1024=F1024,"Local","Turista Nacional")))</f>
        <v>Local</v>
      </c>
      <c r="Q1024" s="7" t="n">
        <f aca="false">IF($A1024="","",DATE(YEAR(B1024),MONTH(B1024),1))</f>
        <v>45839</v>
      </c>
      <c r="R1024" s="4" t="str">
        <f aca="false">IF($A1024="","",IF(COUNTIF($A$2:$A1024,$A1024)&gt;1,"Sim","Não"))</f>
        <v>Não</v>
      </c>
      <c r="S1024" s="4" t="str">
        <f aca="false">IF(A1024="","Descartar - Linha vazia",IF(R1024="Sim","Descartar - Duplicado",IF(OR(H1024&lt;=0,I1024&lt;=0),"Descartar - Qtd/Valor inválido","OK")))</f>
        <v>OK</v>
      </c>
      <c r="T1024" s="4" t="str">
        <f aca="false">Base_Bruta!P1024</f>
        <v>vendas_RJ.xlsx</v>
      </c>
    </row>
    <row r="1025" customFormat="false" ht="15" hidden="false" customHeight="false" outlineLevel="0" collapsed="false">
      <c r="A1025" s="4" t="str">
        <f aca="false">IF(Base_Bruta!A1025="","",Base_Bruta!A1025)</f>
        <v>RJ-000620</v>
      </c>
      <c r="B1025" s="5" t="n">
        <f aca="false">IF($A1025="","",IF(ISNUMBER(Base_Bruta!B1025),Base_Bruta!B1025,IF(MID(Base_Bruta!B1025,5,1)="-",DATE(VALUE(LEFT(Base_Bruta!B1025,4)),VALUE(MID(Base_Bruta!B1025,6,2)),VALUE(RIGHT(Base_Bruta!B1025,2))),DATE(VALUE(RIGHT(Base_Bruta!B1025,4)),VALUE(MID(Base_Bruta!B1025,4,2)),VALUE(LEFT(Base_Bruta!B1025,2))))))</f>
        <v>45852</v>
      </c>
      <c r="C1025" s="5" t="n">
        <f aca="false">IF($A1025="","",IF(ISNUMBER(Base_Bruta!C1025),Base_Bruta!C1025,IF(MID(Base_Bruta!C1025,5,1)="-",DATE(VALUE(LEFT(Base_Bruta!C1025,4)),VALUE(MID(Base_Bruta!C1025,6,2)),VALUE(RIGHT(Base_Bruta!C1025,2))),DATE(VALUE(RIGHT(Base_Bruta!C1025,4)),VALUE(MID(Base_Bruta!C1025,4,2)),VALUE(LEFT(Base_Bruta!C1025,2))))))</f>
        <v>45855</v>
      </c>
      <c r="D1025" s="4" t="str">
        <f aca="false">IF($A1025="","",TRIM(Base_Bruta!D1025))</f>
        <v>Cinema Barra - Sessões</v>
      </c>
      <c r="E1025" s="4" t="str">
        <f aca="false">IF($A1025="","",_xlfn.XLOOKUP(LOWER(TRIM(Base_Bruta!E1025)),DePara_Categoria!$A$2:$A$9,DePara_Categoria!$B$2:$B$9,"REVISAR"))</f>
        <v>Cinema</v>
      </c>
      <c r="F1025" s="4" t="str">
        <f aca="false">IF($A1025="","",_xlfn.XLOOKUP(LOWER(TRIM(Base_Bruta!F1025)),DePara_Cidade!$A$2:$A$29,DePara_Cidade!$B$2:$B$29,"REVISAR"))</f>
        <v>Rio de Janeiro</v>
      </c>
      <c r="G1025" s="4" t="str">
        <f aca="false">IF($A1025="","",TRIM(Base_Bruta!G1025))</f>
        <v>Meia</v>
      </c>
      <c r="H1025" s="4" t="n">
        <f aca="false">IF($A1025="","",IF(ISNUMBER(Base_Bruta!H1025),Base_Bruta!H1025,IFERROR(_xlfn.NUMBERVALUE(TRIM(SUBSTITUTE(Base_Bruta!H1025,"R$","")),",","."),0)))</f>
        <v>2</v>
      </c>
      <c r="I1025" s="6" t="n">
        <f aca="false">IF($A1025="","",IF(ISNUMBER(Base_Bruta!I1025),Base_Bruta!I1025,IFERROR(_xlfn.NUMBERVALUE(TRIM(SUBSTITUTE(Base_Bruta!I1025,"R$","")),",","."),0)))</f>
        <v>17.5</v>
      </c>
      <c r="J1025" s="6" t="n">
        <f aca="false">IF($A1025="","",H1025*I1025)</f>
        <v>35</v>
      </c>
      <c r="K1025" s="4" t="str">
        <f aca="false">IF($A1025="","",TRIM(Base_Bruta!J1025))</f>
        <v>Site</v>
      </c>
      <c r="L1025" s="4" t="str">
        <f aca="false">IF($A1025="","",TRIM(Base_Bruta!K1025))</f>
        <v>C02372</v>
      </c>
      <c r="M1025" s="4" t="str">
        <f aca="false">IF($A1025="","",_xlfn.XLOOKUP(LOWER(TRIM(Base_Bruta!L1025)),DePara_Cidade!$A$2:$A$29,DePara_Cidade!$B$2:$B$29,"REVISAR"))</f>
        <v>Rio de Janeiro</v>
      </c>
      <c r="N1025" s="4" t="str">
        <f aca="false">IF($A1025="","",UPPER(TRIM(Base_Bruta!M1025)))</f>
        <v>RJ</v>
      </c>
      <c r="O1025" s="4" t="str">
        <f aca="false">IF($A1025="","",_xlfn.XLOOKUP(LOWER(TRIM(Base_Bruta!N1025)),DePara_Pais!$A$2:$A$9,DePara_Pais!$B$2:$B$9,"REVISAR"))</f>
        <v>Brasil</v>
      </c>
      <c r="P1025" s="4" t="str">
        <f aca="false">IF($A1025="","",IF(O1025&lt;&gt;"Brasil","Turista Internacional",IF(M1025=F1025,"Local","Turista Nacional")))</f>
        <v>Local</v>
      </c>
      <c r="Q1025" s="7" t="n">
        <f aca="false">IF($A1025="","",DATE(YEAR(B1025),MONTH(B1025),1))</f>
        <v>45839</v>
      </c>
      <c r="R1025" s="4" t="str">
        <f aca="false">IF($A1025="","",IF(COUNTIF($A$2:$A1025,$A1025)&gt;1,"Sim","Não"))</f>
        <v>Não</v>
      </c>
      <c r="S1025" s="4" t="str">
        <f aca="false">IF(A1025="","Descartar - Linha vazia",IF(R1025="Sim","Descartar - Duplicado",IF(OR(H1025&lt;=0,I1025&lt;=0),"Descartar - Qtd/Valor inválido","OK")))</f>
        <v>OK</v>
      </c>
      <c r="T1025" s="4" t="str">
        <f aca="false">Base_Bruta!P1025</f>
        <v>vendas_RJ.xlsx</v>
      </c>
    </row>
    <row r="1026" customFormat="false" ht="15" hidden="false" customHeight="false" outlineLevel="0" collapsed="false">
      <c r="A1026" s="4" t="str">
        <f aca="false">IF(Base_Bruta!A1026="","",Base_Bruta!A1026)</f>
        <v>RJ-000643</v>
      </c>
      <c r="B1026" s="5" t="n">
        <f aca="false">IF($A1026="","",IF(ISNUMBER(Base_Bruta!B1026),Base_Bruta!B1026,IF(MID(Base_Bruta!B1026,5,1)="-",DATE(VALUE(LEFT(Base_Bruta!B1026,4)),VALUE(MID(Base_Bruta!B1026,6,2)),VALUE(RIGHT(Base_Bruta!B1026,2))),DATE(VALUE(RIGHT(Base_Bruta!B1026,4)),VALUE(MID(Base_Bruta!B1026,4,2)),VALUE(LEFT(Base_Bruta!B1026,2))))))</f>
        <v>45852</v>
      </c>
      <c r="C1026" s="5" t="n">
        <f aca="false">IF($A1026="","",IF(ISNUMBER(Base_Bruta!C1026),Base_Bruta!C1026,IF(MID(Base_Bruta!C1026,5,1)="-",DATE(VALUE(LEFT(Base_Bruta!C1026,4)),VALUE(MID(Base_Bruta!C1026,6,2)),VALUE(RIGHT(Base_Bruta!C1026,2))),DATE(VALUE(RIGHT(Base_Bruta!C1026,4)),VALUE(MID(Base_Bruta!C1026,4,2)),VALUE(LEFT(Base_Bruta!C1026,2))))))</f>
        <v>45852</v>
      </c>
      <c r="D1026" s="4" t="str">
        <f aca="false">IF($A1026="","",TRIM(Base_Bruta!D1026))</f>
        <v>Cinema Barra - Sessões</v>
      </c>
      <c r="E1026" s="4" t="str">
        <f aca="false">IF($A1026="","",_xlfn.XLOOKUP(LOWER(TRIM(Base_Bruta!E1026)),DePara_Categoria!$A$2:$A$9,DePara_Categoria!$B$2:$B$9,"REVISAR"))</f>
        <v>Cinema</v>
      </c>
      <c r="F1026" s="4" t="str">
        <f aca="false">IF($A1026="","",_xlfn.XLOOKUP(LOWER(TRIM(Base_Bruta!F1026)),DePara_Cidade!$A$2:$A$29,DePara_Cidade!$B$2:$B$29,"REVISAR"))</f>
        <v>Rio de Janeiro</v>
      </c>
      <c r="G1026" s="4" t="str">
        <f aca="false">IF($A1026="","",TRIM(Base_Bruta!G1026))</f>
        <v>Inteira</v>
      </c>
      <c r="H1026" s="4" t="n">
        <f aca="false">IF($A1026="","",IF(ISNUMBER(Base_Bruta!H1026),Base_Bruta!H1026,IFERROR(_xlfn.NUMBERVALUE(TRIM(SUBSTITUTE(Base_Bruta!H1026,"R$","")),",","."),0)))</f>
        <v>1</v>
      </c>
      <c r="I1026" s="6" t="n">
        <f aca="false">IF($A1026="","",IF(ISNUMBER(Base_Bruta!I1026),Base_Bruta!I1026,IFERROR(_xlfn.NUMBERVALUE(TRIM(SUBSTITUTE(Base_Bruta!I1026,"R$","")),",","."),0)))</f>
        <v>40</v>
      </c>
      <c r="J1026" s="6" t="n">
        <f aca="false">IF($A1026="","",H1026*I1026)</f>
        <v>40</v>
      </c>
      <c r="K1026" s="4" t="str">
        <f aca="false">IF($A1026="","",TRIM(Base_Bruta!J1026))</f>
        <v>Parceiro</v>
      </c>
      <c r="L1026" s="4" t="str">
        <f aca="false">IF($A1026="","",TRIM(Base_Bruta!K1026))</f>
        <v>C00282</v>
      </c>
      <c r="M1026" s="4" t="str">
        <f aca="false">IF($A1026="","",_xlfn.XLOOKUP(LOWER(TRIM(Base_Bruta!L1026)),DePara_Cidade!$A$2:$A$29,DePara_Cidade!$B$2:$B$29,"REVISAR"))</f>
        <v>Rio de Janeiro</v>
      </c>
      <c r="N1026" s="4" t="str">
        <f aca="false">IF($A1026="","",UPPER(TRIM(Base_Bruta!M1026)))</f>
        <v>RJ</v>
      </c>
      <c r="O1026" s="4" t="str">
        <f aca="false">IF($A1026="","",_xlfn.XLOOKUP(LOWER(TRIM(Base_Bruta!N1026)),DePara_Pais!$A$2:$A$9,DePara_Pais!$B$2:$B$9,"REVISAR"))</f>
        <v>Brasil</v>
      </c>
      <c r="P1026" s="4" t="str">
        <f aca="false">IF($A1026="","",IF(O1026&lt;&gt;"Brasil","Turista Internacional",IF(M1026=F1026,"Local","Turista Nacional")))</f>
        <v>Local</v>
      </c>
      <c r="Q1026" s="7" t="n">
        <f aca="false">IF($A1026="","",DATE(YEAR(B1026),MONTH(B1026),1))</f>
        <v>45839</v>
      </c>
      <c r="R1026" s="4" t="str">
        <f aca="false">IF($A1026="","",IF(COUNTIF($A$2:$A1026,$A1026)&gt;1,"Sim","Não"))</f>
        <v>Não</v>
      </c>
      <c r="S1026" s="4" t="str">
        <f aca="false">IF(A1026="","Descartar - Linha vazia",IF(R1026="Sim","Descartar - Duplicado",IF(OR(H1026&lt;=0,I1026&lt;=0),"Descartar - Qtd/Valor inválido","OK")))</f>
        <v>OK</v>
      </c>
      <c r="T1026" s="4" t="str">
        <f aca="false">Base_Bruta!P1026</f>
        <v>vendas_RJ.xlsx</v>
      </c>
    </row>
    <row r="1027" customFormat="false" ht="15" hidden="false" customHeight="false" outlineLevel="0" collapsed="false">
      <c r="A1027" s="4" t="str">
        <f aca="false">IF(Base_Bruta!A1027="","",Base_Bruta!A1027)</f>
        <v>RJ-000631</v>
      </c>
      <c r="B1027" s="5" t="n">
        <f aca="false">IF($A1027="","",IF(ISNUMBER(Base_Bruta!B1027),Base_Bruta!B1027,IF(MID(Base_Bruta!B1027,5,1)="-",DATE(VALUE(LEFT(Base_Bruta!B1027,4)),VALUE(MID(Base_Bruta!B1027,6,2)),VALUE(RIGHT(Base_Bruta!B1027,2))),DATE(VALUE(RIGHT(Base_Bruta!B1027,4)),VALUE(MID(Base_Bruta!B1027,4,2)),VALUE(LEFT(Base_Bruta!B1027,2))))))</f>
        <v>45853</v>
      </c>
      <c r="C1027" s="5" t="n">
        <f aca="false">IF($A1027="","",IF(ISNUMBER(Base_Bruta!C1027),Base_Bruta!C1027,IF(MID(Base_Bruta!C1027,5,1)="-",DATE(VALUE(LEFT(Base_Bruta!C1027,4)),VALUE(MID(Base_Bruta!C1027,6,2)),VALUE(RIGHT(Base_Bruta!C1027,2))),DATE(VALUE(RIGHT(Base_Bruta!C1027,4)),VALUE(MID(Base_Bruta!C1027,4,2)),VALUE(LEFT(Base_Bruta!C1027,2))))))</f>
        <v>45853</v>
      </c>
      <c r="D1027" s="4" t="str">
        <f aca="false">IF($A1027="","",TRIM(Base_Bruta!D1027))</f>
        <v>Cinema Barra - Sessões</v>
      </c>
      <c r="E1027" s="4" t="str">
        <f aca="false">IF($A1027="","",_xlfn.XLOOKUP(LOWER(TRIM(Base_Bruta!E1027)),DePara_Categoria!$A$2:$A$9,DePara_Categoria!$B$2:$B$9,"REVISAR"))</f>
        <v>Cinema</v>
      </c>
      <c r="F1027" s="4" t="str">
        <f aca="false">IF($A1027="","",_xlfn.XLOOKUP(LOWER(TRIM(Base_Bruta!F1027)),DePara_Cidade!$A$2:$A$29,DePara_Cidade!$B$2:$B$29,"REVISAR"))</f>
        <v>Rio de Janeiro</v>
      </c>
      <c r="G1027" s="4" t="str">
        <f aca="false">IF($A1027="","",TRIM(Base_Bruta!G1027))</f>
        <v>Meia</v>
      </c>
      <c r="H1027" s="4" t="n">
        <f aca="false">IF($A1027="","",IF(ISNUMBER(Base_Bruta!H1027),Base_Bruta!H1027,IFERROR(_xlfn.NUMBERVALUE(TRIM(SUBSTITUTE(Base_Bruta!H1027,"R$","")),",","."),0)))</f>
        <v>2</v>
      </c>
      <c r="I1027" s="6" t="n">
        <f aca="false">IF($A1027="","",IF(ISNUMBER(Base_Bruta!I1027),Base_Bruta!I1027,IFERROR(_xlfn.NUMBERVALUE(TRIM(SUBSTITUTE(Base_Bruta!I1027,"R$","")),",","."),0)))</f>
        <v>15</v>
      </c>
      <c r="J1027" s="6" t="n">
        <f aca="false">IF($A1027="","",H1027*I1027)</f>
        <v>30</v>
      </c>
      <c r="K1027" s="4" t="str">
        <f aca="false">IF($A1027="","",TRIM(Base_Bruta!J1027))</f>
        <v>App</v>
      </c>
      <c r="L1027" s="4" t="str">
        <f aca="false">IF($A1027="","",TRIM(Base_Bruta!K1027))</f>
        <v>C01145</v>
      </c>
      <c r="M1027" s="4" t="str">
        <f aca="false">IF($A1027="","",_xlfn.XLOOKUP(LOWER(TRIM(Base_Bruta!L1027)),DePara_Cidade!$A$2:$A$29,DePara_Cidade!$B$2:$B$29,"REVISAR"))</f>
        <v>Rio de Janeiro</v>
      </c>
      <c r="N1027" s="4" t="str">
        <f aca="false">IF($A1027="","",UPPER(TRIM(Base_Bruta!M1027)))</f>
        <v>RJ</v>
      </c>
      <c r="O1027" s="4" t="str">
        <f aca="false">IF($A1027="","",_xlfn.XLOOKUP(LOWER(TRIM(Base_Bruta!N1027)),DePara_Pais!$A$2:$A$9,DePara_Pais!$B$2:$B$9,"REVISAR"))</f>
        <v>Brasil</v>
      </c>
      <c r="P1027" s="4" t="str">
        <f aca="false">IF($A1027="","",IF(O1027&lt;&gt;"Brasil","Turista Internacional",IF(M1027=F1027,"Local","Turista Nacional")))</f>
        <v>Local</v>
      </c>
      <c r="Q1027" s="7" t="n">
        <f aca="false">IF($A1027="","",DATE(YEAR(B1027),MONTH(B1027),1))</f>
        <v>45839</v>
      </c>
      <c r="R1027" s="4" t="str">
        <f aca="false">IF($A1027="","",IF(COUNTIF($A$2:$A1027,$A1027)&gt;1,"Sim","Não"))</f>
        <v>Não</v>
      </c>
      <c r="S1027" s="4" t="str">
        <f aca="false">IF(A1027="","Descartar - Linha vazia",IF(R1027="Sim","Descartar - Duplicado",IF(OR(H1027&lt;=0,I1027&lt;=0),"Descartar - Qtd/Valor inválido","OK")))</f>
        <v>OK</v>
      </c>
      <c r="T1027" s="4" t="str">
        <f aca="false">Base_Bruta!P1027</f>
        <v>vendas_RJ.xlsx</v>
      </c>
    </row>
    <row r="1028" customFormat="false" ht="15" hidden="false" customHeight="false" outlineLevel="0" collapsed="false">
      <c r="A1028" s="4" t="str">
        <f aca="false">IF(Base_Bruta!A1028="","",Base_Bruta!A1028)</f>
        <v>RJ-000682</v>
      </c>
      <c r="B1028" s="5" t="n">
        <f aca="false">IF($A1028="","",IF(ISNUMBER(Base_Bruta!B1028),Base_Bruta!B1028,IF(MID(Base_Bruta!B1028,5,1)="-",DATE(VALUE(LEFT(Base_Bruta!B1028,4)),VALUE(MID(Base_Bruta!B1028,6,2)),VALUE(RIGHT(Base_Bruta!B1028,2))),DATE(VALUE(RIGHT(Base_Bruta!B1028,4)),VALUE(MID(Base_Bruta!B1028,4,2)),VALUE(LEFT(Base_Bruta!B1028,2))))))</f>
        <v>45853</v>
      </c>
      <c r="C1028" s="5" t="n">
        <f aca="false">IF($A1028="","",IF(ISNUMBER(Base_Bruta!C1028),Base_Bruta!C1028,IF(MID(Base_Bruta!C1028,5,1)="-",DATE(VALUE(LEFT(Base_Bruta!C1028,4)),VALUE(MID(Base_Bruta!C1028,6,2)),VALUE(RIGHT(Base_Bruta!C1028,2))),DATE(VALUE(RIGHT(Base_Bruta!C1028,4)),VALUE(MID(Base_Bruta!C1028,4,2)),VALUE(LEFT(Base_Bruta!C1028,2))))))</f>
        <v>45855</v>
      </c>
      <c r="D1028" s="4" t="str">
        <f aca="false">IF($A1028="","",TRIM(Base_Bruta!D1028))</f>
        <v>Cinema Barra - Sessões</v>
      </c>
      <c r="E1028" s="4" t="str">
        <f aca="false">IF($A1028="","",_xlfn.XLOOKUP(LOWER(TRIM(Base_Bruta!E1028)),DePara_Categoria!$A$2:$A$9,DePara_Categoria!$B$2:$B$9,"REVISAR"))</f>
        <v>Cinema</v>
      </c>
      <c r="F1028" s="4" t="str">
        <f aca="false">IF($A1028="","",_xlfn.XLOOKUP(LOWER(TRIM(Base_Bruta!F1028)),DePara_Cidade!$A$2:$A$29,DePara_Cidade!$B$2:$B$29,"REVISAR"))</f>
        <v>Rio de Janeiro</v>
      </c>
      <c r="G1028" s="4" t="str">
        <f aca="false">IF($A1028="","",TRIM(Base_Bruta!G1028))</f>
        <v>Meia</v>
      </c>
      <c r="H1028" s="4" t="n">
        <f aca="false">IF($A1028="","",IF(ISNUMBER(Base_Bruta!H1028),Base_Bruta!H1028,IFERROR(_xlfn.NUMBERVALUE(TRIM(SUBSTITUTE(Base_Bruta!H1028,"R$","")),",","."),0)))</f>
        <v>2</v>
      </c>
      <c r="I1028" s="6" t="n">
        <f aca="false">IF($A1028="","",IF(ISNUMBER(Base_Bruta!I1028),Base_Bruta!I1028,IFERROR(_xlfn.NUMBERVALUE(TRIM(SUBSTITUTE(Base_Bruta!I1028,"R$","")),",","."),0)))</f>
        <v>22.5</v>
      </c>
      <c r="J1028" s="6" t="n">
        <f aca="false">IF($A1028="","",H1028*I1028)</f>
        <v>45</v>
      </c>
      <c r="K1028" s="4" t="str">
        <f aca="false">IF($A1028="","",TRIM(Base_Bruta!J1028))</f>
        <v>App</v>
      </c>
      <c r="L1028" s="4" t="str">
        <f aca="false">IF($A1028="","",TRIM(Base_Bruta!K1028))</f>
        <v>C00099</v>
      </c>
      <c r="M1028" s="4" t="str">
        <f aca="false">IF($A1028="","",_xlfn.XLOOKUP(LOWER(TRIM(Base_Bruta!L1028)),DePara_Cidade!$A$2:$A$29,DePara_Cidade!$B$2:$B$29,"REVISAR"))</f>
        <v>Rio de Janeiro</v>
      </c>
      <c r="N1028" s="4" t="str">
        <f aca="false">IF($A1028="","",UPPER(TRIM(Base_Bruta!M1028)))</f>
        <v>RJ</v>
      </c>
      <c r="O1028" s="4" t="str">
        <f aca="false">IF($A1028="","",_xlfn.XLOOKUP(LOWER(TRIM(Base_Bruta!N1028)),DePara_Pais!$A$2:$A$9,DePara_Pais!$B$2:$B$9,"REVISAR"))</f>
        <v>Brasil</v>
      </c>
      <c r="P1028" s="4" t="str">
        <f aca="false">IF($A1028="","",IF(O1028&lt;&gt;"Brasil","Turista Internacional",IF(M1028=F1028,"Local","Turista Nacional")))</f>
        <v>Local</v>
      </c>
      <c r="Q1028" s="7" t="n">
        <f aca="false">IF($A1028="","",DATE(YEAR(B1028),MONTH(B1028),1))</f>
        <v>45839</v>
      </c>
      <c r="R1028" s="4" t="str">
        <f aca="false">IF($A1028="","",IF(COUNTIF($A$2:$A1028,$A1028)&gt;1,"Sim","Não"))</f>
        <v>Não</v>
      </c>
      <c r="S1028" s="4" t="str">
        <f aca="false">IF(A1028="","Descartar - Linha vazia",IF(R1028="Sim","Descartar - Duplicado",IF(OR(H1028&lt;=0,I1028&lt;=0),"Descartar - Qtd/Valor inválido","OK")))</f>
        <v>OK</v>
      </c>
      <c r="T1028" s="4" t="str">
        <f aca="false">Base_Bruta!P1028</f>
        <v>vendas_RJ.xlsx</v>
      </c>
    </row>
    <row r="1029" customFormat="false" ht="15" hidden="false" customHeight="false" outlineLevel="0" collapsed="false">
      <c r="A1029" s="4" t="str">
        <f aca="false">IF(Base_Bruta!A1029="","",Base_Bruta!A1029)</f>
        <v>RJ-000621</v>
      </c>
      <c r="B1029" s="5" t="n">
        <f aca="false">IF($A1029="","",IF(ISNUMBER(Base_Bruta!B1029),Base_Bruta!B1029,IF(MID(Base_Bruta!B1029,5,1)="-",DATE(VALUE(LEFT(Base_Bruta!B1029,4)),VALUE(MID(Base_Bruta!B1029,6,2)),VALUE(RIGHT(Base_Bruta!B1029,2))),DATE(VALUE(RIGHT(Base_Bruta!B1029,4)),VALUE(MID(Base_Bruta!B1029,4,2)),VALUE(LEFT(Base_Bruta!B1029,2))))))</f>
        <v>45858</v>
      </c>
      <c r="C1029" s="5" t="n">
        <f aca="false">IF($A1029="","",IF(ISNUMBER(Base_Bruta!C1029),Base_Bruta!C1029,IF(MID(Base_Bruta!C1029,5,1)="-",DATE(VALUE(LEFT(Base_Bruta!C1029,4)),VALUE(MID(Base_Bruta!C1029,6,2)),VALUE(RIGHT(Base_Bruta!C1029,2))),DATE(VALUE(RIGHT(Base_Bruta!C1029,4)),VALUE(MID(Base_Bruta!C1029,4,2)),VALUE(LEFT(Base_Bruta!C1029,2))))))</f>
        <v>45860</v>
      </c>
      <c r="D1029" s="4" t="str">
        <f aca="false">IF($A1029="","",TRIM(Base_Bruta!D1029))</f>
        <v>Cinema Barra - Sessões</v>
      </c>
      <c r="E1029" s="4" t="str">
        <f aca="false">IF($A1029="","",_xlfn.XLOOKUP(LOWER(TRIM(Base_Bruta!E1029)),DePara_Categoria!$A$2:$A$9,DePara_Categoria!$B$2:$B$9,"REVISAR"))</f>
        <v>Cinema</v>
      </c>
      <c r="F1029" s="4" t="str">
        <f aca="false">IF($A1029="","",_xlfn.XLOOKUP(LOWER(TRIM(Base_Bruta!F1029)),DePara_Cidade!$A$2:$A$29,DePara_Cidade!$B$2:$B$29,"REVISAR"))</f>
        <v>Rio de Janeiro</v>
      </c>
      <c r="G1029" s="4" t="str">
        <f aca="false">IF($A1029="","",TRIM(Base_Bruta!G1029))</f>
        <v>Meia</v>
      </c>
      <c r="H1029" s="4" t="n">
        <f aca="false">IF($A1029="","",IF(ISNUMBER(Base_Bruta!H1029),Base_Bruta!H1029,IFERROR(_xlfn.NUMBERVALUE(TRIM(SUBSTITUTE(Base_Bruta!H1029,"R$","")),",","."),0)))</f>
        <v>3</v>
      </c>
      <c r="I1029" s="6" t="n">
        <f aca="false">IF($A1029="","",IF(ISNUMBER(Base_Bruta!I1029),Base_Bruta!I1029,IFERROR(_xlfn.NUMBERVALUE(TRIM(SUBSTITUTE(Base_Bruta!I1029,"R$","")),",","."),0)))</f>
        <v>20</v>
      </c>
      <c r="J1029" s="6" t="n">
        <f aca="false">IF($A1029="","",H1029*I1029)</f>
        <v>60</v>
      </c>
      <c r="K1029" s="4" t="str">
        <f aca="false">IF($A1029="","",TRIM(Base_Bruta!J1029))</f>
        <v>Site</v>
      </c>
      <c r="L1029" s="4" t="str">
        <f aca="false">IF($A1029="","",TRIM(Base_Bruta!K1029))</f>
        <v>C02022</v>
      </c>
      <c r="M1029" s="4" t="str">
        <f aca="false">IF($A1029="","",_xlfn.XLOOKUP(LOWER(TRIM(Base_Bruta!L1029)),DePara_Cidade!$A$2:$A$29,DePara_Cidade!$B$2:$B$29,"REVISAR"))</f>
        <v>Rio de Janeiro</v>
      </c>
      <c r="N1029" s="4" t="str">
        <f aca="false">IF($A1029="","",UPPER(TRIM(Base_Bruta!M1029)))</f>
        <v>RJ</v>
      </c>
      <c r="O1029" s="4" t="str">
        <f aca="false">IF($A1029="","",_xlfn.XLOOKUP(LOWER(TRIM(Base_Bruta!N1029)),DePara_Pais!$A$2:$A$9,DePara_Pais!$B$2:$B$9,"REVISAR"))</f>
        <v>Brasil</v>
      </c>
      <c r="P1029" s="4" t="str">
        <f aca="false">IF($A1029="","",IF(O1029&lt;&gt;"Brasil","Turista Internacional",IF(M1029=F1029,"Local","Turista Nacional")))</f>
        <v>Local</v>
      </c>
      <c r="Q1029" s="7" t="n">
        <f aca="false">IF($A1029="","",DATE(YEAR(B1029),MONTH(B1029),1))</f>
        <v>45839</v>
      </c>
      <c r="R1029" s="4" t="str">
        <f aca="false">IF($A1029="","",IF(COUNTIF($A$2:$A1029,$A1029)&gt;1,"Sim","Não"))</f>
        <v>Não</v>
      </c>
      <c r="S1029" s="4" t="str">
        <f aca="false">IF(A1029="","Descartar - Linha vazia",IF(R1029="Sim","Descartar - Duplicado",IF(OR(H1029&lt;=0,I1029&lt;=0),"Descartar - Qtd/Valor inválido","OK")))</f>
        <v>OK</v>
      </c>
      <c r="T1029" s="4" t="str">
        <f aca="false">Base_Bruta!P1029</f>
        <v>vendas_RJ.xlsx</v>
      </c>
    </row>
    <row r="1030" customFormat="false" ht="15" hidden="false" customHeight="false" outlineLevel="0" collapsed="false">
      <c r="A1030" s="4" t="str">
        <f aca="false">IF(Base_Bruta!A1030="","",Base_Bruta!A1030)</f>
        <v>RJ-000539</v>
      </c>
      <c r="B1030" s="5" t="n">
        <f aca="false">IF($A1030="","",IF(ISNUMBER(Base_Bruta!B1030),Base_Bruta!B1030,IF(MID(Base_Bruta!B1030,5,1)="-",DATE(VALUE(LEFT(Base_Bruta!B1030,4)),VALUE(MID(Base_Bruta!B1030,6,2)),VALUE(RIGHT(Base_Bruta!B1030,2))),DATE(VALUE(RIGHT(Base_Bruta!B1030,4)),VALUE(MID(Base_Bruta!B1030,4,2)),VALUE(LEFT(Base_Bruta!B1030,2))))))</f>
        <v>45870</v>
      </c>
      <c r="C1030" s="5" t="n">
        <f aca="false">IF($A1030="","",IF(ISNUMBER(Base_Bruta!C1030),Base_Bruta!C1030,IF(MID(Base_Bruta!C1030,5,1)="-",DATE(VALUE(LEFT(Base_Bruta!C1030,4)),VALUE(MID(Base_Bruta!C1030,6,2)),VALUE(RIGHT(Base_Bruta!C1030,2))),DATE(VALUE(RIGHT(Base_Bruta!C1030,4)),VALUE(MID(Base_Bruta!C1030,4,2)),VALUE(LEFT(Base_Bruta!C1030,2))))))</f>
        <v>45872</v>
      </c>
      <c r="D1030" s="4" t="str">
        <f aca="false">IF($A1030="","",TRIM(Base_Bruta!D1030))</f>
        <v>Cinema Barra - Sessões</v>
      </c>
      <c r="E1030" s="4" t="str">
        <f aca="false">IF($A1030="","",_xlfn.XLOOKUP(LOWER(TRIM(Base_Bruta!E1030)),DePara_Categoria!$A$2:$A$9,DePara_Categoria!$B$2:$B$9,"REVISAR"))</f>
        <v>Cinema</v>
      </c>
      <c r="F1030" s="4" t="str">
        <f aca="false">IF($A1030="","",_xlfn.XLOOKUP(LOWER(TRIM(Base_Bruta!F1030)),DePara_Cidade!$A$2:$A$29,DePara_Cidade!$B$2:$B$29,"REVISAR"))</f>
        <v>Rio de Janeiro</v>
      </c>
      <c r="G1030" s="4" t="str">
        <f aca="false">IF($A1030="","",TRIM(Base_Bruta!G1030))</f>
        <v>Meia</v>
      </c>
      <c r="H1030" s="4" t="n">
        <f aca="false">IF($A1030="","",IF(ISNUMBER(Base_Bruta!H1030),Base_Bruta!H1030,IFERROR(_xlfn.NUMBERVALUE(TRIM(SUBSTITUTE(Base_Bruta!H1030,"R$","")),",","."),0)))</f>
        <v>1</v>
      </c>
      <c r="I1030" s="6" t="n">
        <f aca="false">IF($A1030="","",IF(ISNUMBER(Base_Bruta!I1030),Base_Bruta!I1030,IFERROR(_xlfn.NUMBERVALUE(TRIM(SUBSTITUTE(Base_Bruta!I1030,"R$","")),",","."),0)))</f>
        <v>17.5</v>
      </c>
      <c r="J1030" s="6" t="n">
        <f aca="false">IF($A1030="","",H1030*I1030)</f>
        <v>17.5</v>
      </c>
      <c r="K1030" s="4" t="str">
        <f aca="false">IF($A1030="","",TRIM(Base_Bruta!J1030))</f>
        <v>App</v>
      </c>
      <c r="L1030" s="4" t="str">
        <f aca="false">IF($A1030="","",TRIM(Base_Bruta!K1030))</f>
        <v>C02241</v>
      </c>
      <c r="M1030" s="4" t="str">
        <f aca="false">IF($A1030="","",_xlfn.XLOOKUP(LOWER(TRIM(Base_Bruta!L1030)),DePara_Cidade!$A$2:$A$29,DePara_Cidade!$B$2:$B$29,"REVISAR"))</f>
        <v>Rio de Janeiro</v>
      </c>
      <c r="N1030" s="4" t="str">
        <f aca="false">IF($A1030="","",UPPER(TRIM(Base_Bruta!M1030)))</f>
        <v>RJ</v>
      </c>
      <c r="O1030" s="4" t="str">
        <f aca="false">IF($A1030="","",_xlfn.XLOOKUP(LOWER(TRIM(Base_Bruta!N1030)),DePara_Pais!$A$2:$A$9,DePara_Pais!$B$2:$B$9,"REVISAR"))</f>
        <v>Brasil</v>
      </c>
      <c r="P1030" s="4" t="str">
        <f aca="false">IF($A1030="","",IF(O1030&lt;&gt;"Brasil","Turista Internacional",IF(M1030=F1030,"Local","Turista Nacional")))</f>
        <v>Local</v>
      </c>
      <c r="Q1030" s="7" t="n">
        <f aca="false">IF($A1030="","",DATE(YEAR(B1030),MONTH(B1030),1))</f>
        <v>45870</v>
      </c>
      <c r="R1030" s="4" t="str">
        <f aca="false">IF($A1030="","",IF(COUNTIF($A$2:$A1030,$A1030)&gt;1,"Sim","Não"))</f>
        <v>Não</v>
      </c>
      <c r="S1030" s="4" t="str">
        <f aca="false">IF(A1030="","Descartar - Linha vazia",IF(R1030="Sim","Descartar - Duplicado",IF(OR(H1030&lt;=0,I1030&lt;=0),"Descartar - Qtd/Valor inválido","OK")))</f>
        <v>OK</v>
      </c>
      <c r="T1030" s="4" t="str">
        <f aca="false">Base_Bruta!P1030</f>
        <v>vendas_RJ.xlsx</v>
      </c>
    </row>
    <row r="1031" customFormat="false" ht="15" hidden="false" customHeight="false" outlineLevel="0" collapsed="false">
      <c r="A1031" s="4" t="str">
        <f aca="false">IF(Base_Bruta!A1031="","",Base_Bruta!A1031)</f>
        <v>RJ-000681</v>
      </c>
      <c r="B1031" s="5" t="n">
        <f aca="false">IF($A1031="","",IF(ISNUMBER(Base_Bruta!B1031),Base_Bruta!B1031,IF(MID(Base_Bruta!B1031,5,1)="-",DATE(VALUE(LEFT(Base_Bruta!B1031,4)),VALUE(MID(Base_Bruta!B1031,6,2)),VALUE(RIGHT(Base_Bruta!B1031,2))),DATE(VALUE(RIGHT(Base_Bruta!B1031,4)),VALUE(MID(Base_Bruta!B1031,4,2)),VALUE(LEFT(Base_Bruta!B1031,2))))))</f>
        <v>45871</v>
      </c>
      <c r="C1031" s="5" t="n">
        <f aca="false">IF($A1031="","",IF(ISNUMBER(Base_Bruta!C1031),Base_Bruta!C1031,IF(MID(Base_Bruta!C1031,5,1)="-",DATE(VALUE(LEFT(Base_Bruta!C1031,4)),VALUE(MID(Base_Bruta!C1031,6,2)),VALUE(RIGHT(Base_Bruta!C1031,2))),DATE(VALUE(RIGHT(Base_Bruta!C1031,4)),VALUE(MID(Base_Bruta!C1031,4,2)),VALUE(LEFT(Base_Bruta!C1031,2))))))</f>
        <v>45871</v>
      </c>
      <c r="D1031" s="4" t="str">
        <f aca="false">IF($A1031="","",TRIM(Base_Bruta!D1031))</f>
        <v>Cinema Barra - Sessões</v>
      </c>
      <c r="E1031" s="4" t="str">
        <f aca="false">IF($A1031="","",_xlfn.XLOOKUP(LOWER(TRIM(Base_Bruta!E1031)),DePara_Categoria!$A$2:$A$9,DePara_Categoria!$B$2:$B$9,"REVISAR"))</f>
        <v>Cinema</v>
      </c>
      <c r="F1031" s="4" t="str">
        <f aca="false">IF($A1031="","",_xlfn.XLOOKUP(LOWER(TRIM(Base_Bruta!F1031)),DePara_Cidade!$A$2:$A$29,DePara_Cidade!$B$2:$B$29,"REVISAR"))</f>
        <v>Rio de Janeiro</v>
      </c>
      <c r="G1031" s="4" t="str">
        <f aca="false">IF($A1031="","",TRIM(Base_Bruta!G1031))</f>
        <v>Inteira</v>
      </c>
      <c r="H1031" s="4" t="n">
        <f aca="false">IF($A1031="","",IF(ISNUMBER(Base_Bruta!H1031),Base_Bruta!H1031,IFERROR(_xlfn.NUMBERVALUE(TRIM(SUBSTITUTE(Base_Bruta!H1031,"R$","")),",","."),0)))</f>
        <v>2</v>
      </c>
      <c r="I1031" s="6" t="n">
        <f aca="false">IF($A1031="","",IF(ISNUMBER(Base_Bruta!I1031),Base_Bruta!I1031,IFERROR(_xlfn.NUMBERVALUE(TRIM(SUBSTITUTE(Base_Bruta!I1031,"R$","")),",","."),0)))</f>
        <v>30</v>
      </c>
      <c r="J1031" s="6" t="n">
        <f aca="false">IF($A1031="","",H1031*I1031)</f>
        <v>60</v>
      </c>
      <c r="K1031" s="4" t="str">
        <f aca="false">IF($A1031="","",TRIM(Base_Bruta!J1031))</f>
        <v>Site</v>
      </c>
      <c r="L1031" s="4" t="str">
        <f aca="false">IF($A1031="","",TRIM(Base_Bruta!K1031))</f>
        <v>C01872</v>
      </c>
      <c r="M1031" s="4" t="str">
        <f aca="false">IF($A1031="","",_xlfn.XLOOKUP(LOWER(TRIM(Base_Bruta!L1031)),DePara_Cidade!$A$2:$A$29,DePara_Cidade!$B$2:$B$29,"REVISAR"))</f>
        <v>Rio de Janeiro</v>
      </c>
      <c r="N1031" s="4" t="str">
        <f aca="false">IF($A1031="","",UPPER(TRIM(Base_Bruta!M1031)))</f>
        <v>RJ</v>
      </c>
      <c r="O1031" s="4" t="str">
        <f aca="false">IF($A1031="","",_xlfn.XLOOKUP(LOWER(TRIM(Base_Bruta!N1031)),DePara_Pais!$A$2:$A$9,DePara_Pais!$B$2:$B$9,"REVISAR"))</f>
        <v>Brasil</v>
      </c>
      <c r="P1031" s="4" t="str">
        <f aca="false">IF($A1031="","",IF(O1031&lt;&gt;"Brasil","Turista Internacional",IF(M1031=F1031,"Local","Turista Nacional")))</f>
        <v>Local</v>
      </c>
      <c r="Q1031" s="7" t="n">
        <f aca="false">IF($A1031="","",DATE(YEAR(B1031),MONTH(B1031),1))</f>
        <v>45870</v>
      </c>
      <c r="R1031" s="4" t="str">
        <f aca="false">IF($A1031="","",IF(COUNTIF($A$2:$A1031,$A1031)&gt;1,"Sim","Não"))</f>
        <v>Não</v>
      </c>
      <c r="S1031" s="4" t="str">
        <f aca="false">IF(A1031="","Descartar - Linha vazia",IF(R1031="Sim","Descartar - Duplicado",IF(OR(H1031&lt;=0,I1031&lt;=0),"Descartar - Qtd/Valor inválido","OK")))</f>
        <v>OK</v>
      </c>
      <c r="T1031" s="4" t="str">
        <f aca="false">Base_Bruta!P1031</f>
        <v>vendas_RJ.xlsx</v>
      </c>
    </row>
    <row r="1032" customFormat="false" ht="15" hidden="false" customHeight="false" outlineLevel="0" collapsed="false">
      <c r="A1032" s="4" t="str">
        <f aca="false">IF(Base_Bruta!A1032="","",Base_Bruta!A1032)</f>
        <v>RJ-000558</v>
      </c>
      <c r="B1032" s="5" t="n">
        <f aca="false">IF($A1032="","",IF(ISNUMBER(Base_Bruta!B1032),Base_Bruta!B1032,IF(MID(Base_Bruta!B1032,5,1)="-",DATE(VALUE(LEFT(Base_Bruta!B1032,4)),VALUE(MID(Base_Bruta!B1032,6,2)),VALUE(RIGHT(Base_Bruta!B1032,2))),DATE(VALUE(RIGHT(Base_Bruta!B1032,4)),VALUE(MID(Base_Bruta!B1032,4,2)),VALUE(LEFT(Base_Bruta!B1032,2))))))</f>
        <v>45872</v>
      </c>
      <c r="C1032" s="5" t="n">
        <f aca="false">IF($A1032="","",IF(ISNUMBER(Base_Bruta!C1032),Base_Bruta!C1032,IF(MID(Base_Bruta!C1032,5,1)="-",DATE(VALUE(LEFT(Base_Bruta!C1032,4)),VALUE(MID(Base_Bruta!C1032,6,2)),VALUE(RIGHT(Base_Bruta!C1032,2))),DATE(VALUE(RIGHT(Base_Bruta!C1032,4)),VALUE(MID(Base_Bruta!C1032,4,2)),VALUE(LEFT(Base_Bruta!C1032,2))))))</f>
        <v>45872</v>
      </c>
      <c r="D1032" s="4" t="str">
        <f aca="false">IF($A1032="","",TRIM(Base_Bruta!D1032))</f>
        <v>Cinema Barra - Sessões</v>
      </c>
      <c r="E1032" s="4" t="str">
        <f aca="false">IF($A1032="","",_xlfn.XLOOKUP(LOWER(TRIM(Base_Bruta!E1032)),DePara_Categoria!$A$2:$A$9,DePara_Categoria!$B$2:$B$9,"REVISAR"))</f>
        <v>Cinema</v>
      </c>
      <c r="F1032" s="4" t="str">
        <f aca="false">IF($A1032="","",_xlfn.XLOOKUP(LOWER(TRIM(Base_Bruta!F1032)),DePara_Cidade!$A$2:$A$29,DePara_Cidade!$B$2:$B$29,"REVISAR"))</f>
        <v>Rio de Janeiro</v>
      </c>
      <c r="G1032" s="4" t="str">
        <f aca="false">IF($A1032="","",TRIM(Base_Bruta!G1032))</f>
        <v>Inteira</v>
      </c>
      <c r="H1032" s="4" t="n">
        <f aca="false">IF($A1032="","",IF(ISNUMBER(Base_Bruta!H1032),Base_Bruta!H1032,IFERROR(_xlfn.NUMBERVALUE(TRIM(SUBSTITUTE(Base_Bruta!H1032,"R$","")),",","."),0)))</f>
        <v>1</v>
      </c>
      <c r="I1032" s="6" t="n">
        <f aca="false">IF($A1032="","",IF(ISNUMBER(Base_Bruta!I1032),Base_Bruta!I1032,IFERROR(_xlfn.NUMBERVALUE(TRIM(SUBSTITUTE(Base_Bruta!I1032,"R$","")),",","."),0)))</f>
        <v>40</v>
      </c>
      <c r="J1032" s="6" t="n">
        <f aca="false">IF($A1032="","",H1032*I1032)</f>
        <v>40</v>
      </c>
      <c r="K1032" s="4" t="str">
        <f aca="false">IF($A1032="","",TRIM(Base_Bruta!J1032))</f>
        <v>App</v>
      </c>
      <c r="L1032" s="4" t="str">
        <f aca="false">IF($A1032="","",TRIM(Base_Bruta!K1032))</f>
        <v>C01179</v>
      </c>
      <c r="M1032" s="4" t="str">
        <f aca="false">IF($A1032="","",_xlfn.XLOOKUP(LOWER(TRIM(Base_Bruta!L1032)),DePara_Cidade!$A$2:$A$29,DePara_Cidade!$B$2:$B$29,"REVISAR"))</f>
        <v>Rio de Janeiro</v>
      </c>
      <c r="N1032" s="4" t="str">
        <f aca="false">IF($A1032="","",UPPER(TRIM(Base_Bruta!M1032)))</f>
        <v>RJ</v>
      </c>
      <c r="O1032" s="4" t="str">
        <f aca="false">IF($A1032="","",_xlfn.XLOOKUP(LOWER(TRIM(Base_Bruta!N1032)),DePara_Pais!$A$2:$A$9,DePara_Pais!$B$2:$B$9,"REVISAR"))</f>
        <v>Brasil</v>
      </c>
      <c r="P1032" s="4" t="str">
        <f aca="false">IF($A1032="","",IF(O1032&lt;&gt;"Brasil","Turista Internacional",IF(M1032=F1032,"Local","Turista Nacional")))</f>
        <v>Local</v>
      </c>
      <c r="Q1032" s="7" t="n">
        <f aca="false">IF($A1032="","",DATE(YEAR(B1032),MONTH(B1032),1))</f>
        <v>45870</v>
      </c>
      <c r="R1032" s="4" t="str">
        <f aca="false">IF($A1032="","",IF(COUNTIF($A$2:$A1032,$A1032)&gt;1,"Sim","Não"))</f>
        <v>Não</v>
      </c>
      <c r="S1032" s="4" t="str">
        <f aca="false">IF(A1032="","Descartar - Linha vazia",IF(R1032="Sim","Descartar - Duplicado",IF(OR(H1032&lt;=0,I1032&lt;=0),"Descartar - Qtd/Valor inválido","OK")))</f>
        <v>OK</v>
      </c>
      <c r="T1032" s="4" t="str">
        <f aca="false">Base_Bruta!P1032</f>
        <v>vendas_RJ.xlsx</v>
      </c>
    </row>
    <row r="1033" customFormat="false" ht="15" hidden="false" customHeight="false" outlineLevel="0" collapsed="false">
      <c r="A1033" s="4" t="str">
        <f aca="false">IF(Base_Bruta!A1033="","",Base_Bruta!A1033)</f>
        <v>RJ-000566</v>
      </c>
      <c r="B1033" s="5" t="n">
        <f aca="false">IF($A1033="","",IF(ISNUMBER(Base_Bruta!B1033),Base_Bruta!B1033,IF(MID(Base_Bruta!B1033,5,1)="-",DATE(VALUE(LEFT(Base_Bruta!B1033,4)),VALUE(MID(Base_Bruta!B1033,6,2)),VALUE(RIGHT(Base_Bruta!B1033,2))),DATE(VALUE(RIGHT(Base_Bruta!B1033,4)),VALUE(MID(Base_Bruta!B1033,4,2)),VALUE(LEFT(Base_Bruta!B1033,2))))))</f>
        <v>45876</v>
      </c>
      <c r="C1033" s="5" t="n">
        <f aca="false">IF($A1033="","",IF(ISNUMBER(Base_Bruta!C1033),Base_Bruta!C1033,IF(MID(Base_Bruta!C1033,5,1)="-",DATE(VALUE(LEFT(Base_Bruta!C1033,4)),VALUE(MID(Base_Bruta!C1033,6,2)),VALUE(RIGHT(Base_Bruta!C1033,2))),DATE(VALUE(RIGHT(Base_Bruta!C1033,4)),VALUE(MID(Base_Bruta!C1033,4,2)),VALUE(LEFT(Base_Bruta!C1033,2))))))</f>
        <v>45877</v>
      </c>
      <c r="D1033" s="4" t="str">
        <f aca="false">IF($A1033="","",TRIM(Base_Bruta!D1033))</f>
        <v>Cinema Barra - Sessões</v>
      </c>
      <c r="E1033" s="4" t="str">
        <f aca="false">IF($A1033="","",_xlfn.XLOOKUP(LOWER(TRIM(Base_Bruta!E1033)),DePara_Categoria!$A$2:$A$9,DePara_Categoria!$B$2:$B$9,"REVISAR"))</f>
        <v>Cinema</v>
      </c>
      <c r="F1033" s="4" t="str">
        <f aca="false">IF($A1033="","",_xlfn.XLOOKUP(LOWER(TRIM(Base_Bruta!F1033)),DePara_Cidade!$A$2:$A$29,DePara_Cidade!$B$2:$B$29,"REVISAR"))</f>
        <v>Rio de Janeiro</v>
      </c>
      <c r="G1033" s="4" t="str">
        <f aca="false">IF($A1033="","",TRIM(Base_Bruta!G1033))</f>
        <v>Meia</v>
      </c>
      <c r="H1033" s="4" t="n">
        <f aca="false">IF($A1033="","",IF(ISNUMBER(Base_Bruta!H1033),Base_Bruta!H1033,IFERROR(_xlfn.NUMBERVALUE(TRIM(SUBSTITUTE(Base_Bruta!H1033,"R$","")),",","."),0)))</f>
        <v>1</v>
      </c>
      <c r="I1033" s="6" t="n">
        <f aca="false">IF($A1033="","",IF(ISNUMBER(Base_Bruta!I1033),Base_Bruta!I1033,IFERROR(_xlfn.NUMBERVALUE(TRIM(SUBSTITUTE(Base_Bruta!I1033,"R$","")),",","."),0)))</f>
        <v>22.5</v>
      </c>
      <c r="J1033" s="6" t="n">
        <f aca="false">IF($A1033="","",H1033*I1033)</f>
        <v>22.5</v>
      </c>
      <c r="K1033" s="4" t="str">
        <f aca="false">IF($A1033="","",TRIM(Base_Bruta!J1033))</f>
        <v>App</v>
      </c>
      <c r="L1033" s="4" t="str">
        <f aca="false">IF($A1033="","",TRIM(Base_Bruta!K1033))</f>
        <v>C01872</v>
      </c>
      <c r="M1033" s="4" t="str">
        <f aca="false">IF($A1033="","",_xlfn.XLOOKUP(LOWER(TRIM(Base_Bruta!L1033)),DePara_Cidade!$A$2:$A$29,DePara_Cidade!$B$2:$B$29,"REVISAR"))</f>
        <v>Rio de Janeiro</v>
      </c>
      <c r="N1033" s="4" t="str">
        <f aca="false">IF($A1033="","",UPPER(TRIM(Base_Bruta!M1033)))</f>
        <v>RJ</v>
      </c>
      <c r="O1033" s="4" t="str">
        <f aca="false">IF($A1033="","",_xlfn.XLOOKUP(LOWER(TRIM(Base_Bruta!N1033)),DePara_Pais!$A$2:$A$9,DePara_Pais!$B$2:$B$9,"REVISAR"))</f>
        <v>Brasil</v>
      </c>
      <c r="P1033" s="4" t="str">
        <f aca="false">IF($A1033="","",IF(O1033&lt;&gt;"Brasil","Turista Internacional",IF(M1033=F1033,"Local","Turista Nacional")))</f>
        <v>Local</v>
      </c>
      <c r="Q1033" s="7" t="n">
        <f aca="false">IF($A1033="","",DATE(YEAR(B1033),MONTH(B1033),1))</f>
        <v>45870</v>
      </c>
      <c r="R1033" s="4" t="str">
        <f aca="false">IF($A1033="","",IF(COUNTIF($A$2:$A1033,$A1033)&gt;1,"Sim","Não"))</f>
        <v>Não</v>
      </c>
      <c r="S1033" s="4" t="str">
        <f aca="false">IF(A1033="","Descartar - Linha vazia",IF(R1033="Sim","Descartar - Duplicado",IF(OR(H1033&lt;=0,I1033&lt;=0),"Descartar - Qtd/Valor inválido","OK")))</f>
        <v>OK</v>
      </c>
      <c r="T1033" s="4" t="str">
        <f aca="false">Base_Bruta!P1033</f>
        <v>vendas_RJ.xlsx</v>
      </c>
    </row>
    <row r="1034" customFormat="false" ht="15" hidden="false" customHeight="false" outlineLevel="0" collapsed="false">
      <c r="A1034" s="4" t="str">
        <f aca="false">IF(Base_Bruta!A1034="","",Base_Bruta!A1034)</f>
        <v>RJ-000547</v>
      </c>
      <c r="B1034" s="5" t="n">
        <f aca="false">IF($A1034="","",IF(ISNUMBER(Base_Bruta!B1034),Base_Bruta!B1034,IF(MID(Base_Bruta!B1034,5,1)="-",DATE(VALUE(LEFT(Base_Bruta!B1034,4)),VALUE(MID(Base_Bruta!B1034,6,2)),VALUE(RIGHT(Base_Bruta!B1034,2))),DATE(VALUE(RIGHT(Base_Bruta!B1034,4)),VALUE(MID(Base_Bruta!B1034,4,2)),VALUE(LEFT(Base_Bruta!B1034,2))))))</f>
        <v>45883</v>
      </c>
      <c r="C1034" s="5" t="n">
        <f aca="false">IF($A1034="","",IF(ISNUMBER(Base_Bruta!C1034),Base_Bruta!C1034,IF(MID(Base_Bruta!C1034,5,1)="-",DATE(VALUE(LEFT(Base_Bruta!C1034,4)),VALUE(MID(Base_Bruta!C1034,6,2)),VALUE(RIGHT(Base_Bruta!C1034,2))),DATE(VALUE(RIGHT(Base_Bruta!C1034,4)),VALUE(MID(Base_Bruta!C1034,4,2)),VALUE(LEFT(Base_Bruta!C1034,2))))))</f>
        <v>45886</v>
      </c>
      <c r="D1034" s="4" t="str">
        <f aca="false">IF($A1034="","",TRIM(Base_Bruta!D1034))</f>
        <v>Cinema Barra - Sessões</v>
      </c>
      <c r="E1034" s="4" t="str">
        <f aca="false">IF($A1034="","",_xlfn.XLOOKUP(LOWER(TRIM(Base_Bruta!E1034)),DePara_Categoria!$A$2:$A$9,DePara_Categoria!$B$2:$B$9,"REVISAR"))</f>
        <v>Cinema</v>
      </c>
      <c r="F1034" s="4" t="str">
        <f aca="false">IF($A1034="","",_xlfn.XLOOKUP(LOWER(TRIM(Base_Bruta!F1034)),DePara_Cidade!$A$2:$A$29,DePara_Cidade!$B$2:$B$29,"REVISAR"))</f>
        <v>Rio de Janeiro</v>
      </c>
      <c r="G1034" s="4" t="str">
        <f aca="false">IF($A1034="","",TRIM(Base_Bruta!G1034))</f>
        <v>Inteira</v>
      </c>
      <c r="H1034" s="4" t="n">
        <f aca="false">IF($A1034="","",IF(ISNUMBER(Base_Bruta!H1034),Base_Bruta!H1034,IFERROR(_xlfn.NUMBERVALUE(TRIM(SUBSTITUTE(Base_Bruta!H1034,"R$","")),",","."),0)))</f>
        <v>2</v>
      </c>
      <c r="I1034" s="6" t="n">
        <f aca="false">IF($A1034="","",IF(ISNUMBER(Base_Bruta!I1034),Base_Bruta!I1034,IFERROR(_xlfn.NUMBERVALUE(TRIM(SUBSTITUTE(Base_Bruta!I1034,"R$","")),",","."),0)))</f>
        <v>35</v>
      </c>
      <c r="J1034" s="6" t="n">
        <f aca="false">IF($A1034="","",H1034*I1034)</f>
        <v>70</v>
      </c>
      <c r="K1034" s="4" t="str">
        <f aca="false">IF($A1034="","",TRIM(Base_Bruta!J1034))</f>
        <v>Site</v>
      </c>
      <c r="L1034" s="4" t="str">
        <f aca="false">IF($A1034="","",TRIM(Base_Bruta!K1034))</f>
        <v>C02241</v>
      </c>
      <c r="M1034" s="4" t="str">
        <f aca="false">IF($A1034="","",_xlfn.XLOOKUP(LOWER(TRIM(Base_Bruta!L1034)),DePara_Cidade!$A$2:$A$29,DePara_Cidade!$B$2:$B$29,"REVISAR"))</f>
        <v>Rio de Janeiro</v>
      </c>
      <c r="N1034" s="4" t="str">
        <f aca="false">IF($A1034="","",UPPER(TRIM(Base_Bruta!M1034)))</f>
        <v>RJ</v>
      </c>
      <c r="O1034" s="4" t="str">
        <f aca="false">IF($A1034="","",_xlfn.XLOOKUP(LOWER(TRIM(Base_Bruta!N1034)),DePara_Pais!$A$2:$A$9,DePara_Pais!$B$2:$B$9,"REVISAR"))</f>
        <v>Brasil</v>
      </c>
      <c r="P1034" s="4" t="str">
        <f aca="false">IF($A1034="","",IF(O1034&lt;&gt;"Brasil","Turista Internacional",IF(M1034=F1034,"Local","Turista Nacional")))</f>
        <v>Local</v>
      </c>
      <c r="Q1034" s="7" t="n">
        <f aca="false">IF($A1034="","",DATE(YEAR(B1034),MONTH(B1034),1))</f>
        <v>45870</v>
      </c>
      <c r="R1034" s="4" t="str">
        <f aca="false">IF($A1034="","",IF(COUNTIF($A$2:$A1034,$A1034)&gt;1,"Sim","Não"))</f>
        <v>Não</v>
      </c>
      <c r="S1034" s="4" t="str">
        <f aca="false">IF(A1034="","Descartar - Linha vazia",IF(R1034="Sim","Descartar - Duplicado",IF(OR(H1034&lt;=0,I1034&lt;=0),"Descartar - Qtd/Valor inválido","OK")))</f>
        <v>OK</v>
      </c>
      <c r="T1034" s="4" t="str">
        <f aca="false">Base_Bruta!P1034</f>
        <v>vendas_RJ.xlsx</v>
      </c>
    </row>
    <row r="1035" customFormat="false" ht="15" hidden="false" customHeight="false" outlineLevel="0" collapsed="false">
      <c r="A1035" s="4" t="str">
        <f aca="false">IF(Base_Bruta!A1035="","",Base_Bruta!A1035)</f>
        <v>RJ-000577</v>
      </c>
      <c r="B1035" s="5" t="n">
        <f aca="false">IF($A1035="","",IF(ISNUMBER(Base_Bruta!B1035),Base_Bruta!B1035,IF(MID(Base_Bruta!B1035,5,1)="-",DATE(VALUE(LEFT(Base_Bruta!B1035,4)),VALUE(MID(Base_Bruta!B1035,6,2)),VALUE(RIGHT(Base_Bruta!B1035,2))),DATE(VALUE(RIGHT(Base_Bruta!B1035,4)),VALUE(MID(Base_Bruta!B1035,4,2)),VALUE(LEFT(Base_Bruta!B1035,2))))))</f>
        <v>45886</v>
      </c>
      <c r="C1035" s="5" t="n">
        <f aca="false">IF($A1035="","",IF(ISNUMBER(Base_Bruta!C1035),Base_Bruta!C1035,IF(MID(Base_Bruta!C1035,5,1)="-",DATE(VALUE(LEFT(Base_Bruta!C1035,4)),VALUE(MID(Base_Bruta!C1035,6,2)),VALUE(RIGHT(Base_Bruta!C1035,2))),DATE(VALUE(RIGHT(Base_Bruta!C1035,4)),VALUE(MID(Base_Bruta!C1035,4,2)),VALUE(LEFT(Base_Bruta!C1035,2))))))</f>
        <v>45887</v>
      </c>
      <c r="D1035" s="4" t="str">
        <f aca="false">IF($A1035="","",TRIM(Base_Bruta!D1035))</f>
        <v>Cinema Barra - Sessões</v>
      </c>
      <c r="E1035" s="4" t="str">
        <f aca="false">IF($A1035="","",_xlfn.XLOOKUP(LOWER(TRIM(Base_Bruta!E1035)),DePara_Categoria!$A$2:$A$9,DePara_Categoria!$B$2:$B$9,"REVISAR"))</f>
        <v>Cinema</v>
      </c>
      <c r="F1035" s="4" t="str">
        <f aca="false">IF($A1035="","",_xlfn.XLOOKUP(LOWER(TRIM(Base_Bruta!F1035)),DePara_Cidade!$A$2:$A$29,DePara_Cidade!$B$2:$B$29,"REVISAR"))</f>
        <v>Rio de Janeiro</v>
      </c>
      <c r="G1035" s="4" t="str">
        <f aca="false">IF($A1035="","",TRIM(Base_Bruta!G1035))</f>
        <v>Inteira</v>
      </c>
      <c r="H1035" s="4" t="n">
        <f aca="false">IF($A1035="","",IF(ISNUMBER(Base_Bruta!H1035),Base_Bruta!H1035,IFERROR(_xlfn.NUMBERVALUE(TRIM(SUBSTITUTE(Base_Bruta!H1035,"R$","")),",","."),0)))</f>
        <v>2</v>
      </c>
      <c r="I1035" s="6" t="n">
        <f aca="false">IF($A1035="","",IF(ISNUMBER(Base_Bruta!I1035),Base_Bruta!I1035,IFERROR(_xlfn.NUMBERVALUE(TRIM(SUBSTITUTE(Base_Bruta!I1035,"R$","")),",","."),0)))</f>
        <v>50</v>
      </c>
      <c r="J1035" s="6" t="n">
        <f aca="false">IF($A1035="","",H1035*I1035)</f>
        <v>100</v>
      </c>
      <c r="K1035" s="4" t="str">
        <f aca="false">IF($A1035="","",TRIM(Base_Bruta!J1035))</f>
        <v>Site</v>
      </c>
      <c r="L1035" s="4" t="str">
        <f aca="false">IF($A1035="","",TRIM(Base_Bruta!K1035))</f>
        <v>C02254</v>
      </c>
      <c r="M1035" s="4" t="str">
        <f aca="false">IF($A1035="","",_xlfn.XLOOKUP(LOWER(TRIM(Base_Bruta!L1035)),DePara_Cidade!$A$2:$A$29,DePara_Cidade!$B$2:$B$29,"REVISAR"))</f>
        <v>Rio de Janeiro</v>
      </c>
      <c r="N1035" s="4" t="str">
        <f aca="false">IF($A1035="","",UPPER(TRIM(Base_Bruta!M1035)))</f>
        <v>RJ</v>
      </c>
      <c r="O1035" s="4" t="str">
        <f aca="false">IF($A1035="","",_xlfn.XLOOKUP(LOWER(TRIM(Base_Bruta!N1035)),DePara_Pais!$A$2:$A$9,DePara_Pais!$B$2:$B$9,"REVISAR"))</f>
        <v>Brasil</v>
      </c>
      <c r="P1035" s="4" t="str">
        <f aca="false">IF($A1035="","",IF(O1035&lt;&gt;"Brasil","Turista Internacional",IF(M1035=F1035,"Local","Turista Nacional")))</f>
        <v>Local</v>
      </c>
      <c r="Q1035" s="7" t="n">
        <f aca="false">IF($A1035="","",DATE(YEAR(B1035),MONTH(B1035),1))</f>
        <v>45870</v>
      </c>
      <c r="R1035" s="4" t="str">
        <f aca="false">IF($A1035="","",IF(COUNTIF($A$2:$A1035,$A1035)&gt;1,"Sim","Não"))</f>
        <v>Não</v>
      </c>
      <c r="S1035" s="4" t="str">
        <f aca="false">IF(A1035="","Descartar - Linha vazia",IF(R1035="Sim","Descartar - Duplicado",IF(OR(H1035&lt;=0,I1035&lt;=0),"Descartar - Qtd/Valor inválido","OK")))</f>
        <v>OK</v>
      </c>
      <c r="T1035" s="4" t="str">
        <f aca="false">Base_Bruta!P1035</f>
        <v>vendas_RJ.xlsx</v>
      </c>
    </row>
    <row r="1036" customFormat="false" ht="15" hidden="false" customHeight="false" outlineLevel="0" collapsed="false">
      <c r="A1036" s="4" t="str">
        <f aca="false">IF(Base_Bruta!A1036="","",Base_Bruta!A1036)</f>
        <v>RJ-000632</v>
      </c>
      <c r="B1036" s="5" t="n">
        <f aca="false">IF($A1036="","",IF(ISNUMBER(Base_Bruta!B1036),Base_Bruta!B1036,IF(MID(Base_Bruta!B1036,5,1)="-",DATE(VALUE(LEFT(Base_Bruta!B1036,4)),VALUE(MID(Base_Bruta!B1036,6,2)),VALUE(RIGHT(Base_Bruta!B1036,2))),DATE(VALUE(RIGHT(Base_Bruta!B1036,4)),VALUE(MID(Base_Bruta!B1036,4,2)),VALUE(LEFT(Base_Bruta!B1036,2))))))</f>
        <v>45886</v>
      </c>
      <c r="C1036" s="5" t="n">
        <f aca="false">IF($A1036="","",IF(ISNUMBER(Base_Bruta!C1036),Base_Bruta!C1036,IF(MID(Base_Bruta!C1036,5,1)="-",DATE(VALUE(LEFT(Base_Bruta!C1036,4)),VALUE(MID(Base_Bruta!C1036,6,2)),VALUE(RIGHT(Base_Bruta!C1036,2))),DATE(VALUE(RIGHT(Base_Bruta!C1036,4)),VALUE(MID(Base_Bruta!C1036,4,2)),VALUE(LEFT(Base_Bruta!C1036,2))))))</f>
        <v>45886</v>
      </c>
      <c r="D1036" s="4" t="str">
        <f aca="false">IF($A1036="","",TRIM(Base_Bruta!D1036))</f>
        <v>Cinema Barra - Sessões</v>
      </c>
      <c r="E1036" s="4" t="str">
        <f aca="false">IF($A1036="","",_xlfn.XLOOKUP(LOWER(TRIM(Base_Bruta!E1036)),DePara_Categoria!$A$2:$A$9,DePara_Categoria!$B$2:$B$9,"REVISAR"))</f>
        <v>Cinema</v>
      </c>
      <c r="F1036" s="4" t="str">
        <f aca="false">IF($A1036="","",_xlfn.XLOOKUP(LOWER(TRIM(Base_Bruta!F1036)),DePara_Cidade!$A$2:$A$29,DePara_Cidade!$B$2:$B$29,"REVISAR"))</f>
        <v>Rio de Janeiro</v>
      </c>
      <c r="G1036" s="4" t="str">
        <f aca="false">IF($A1036="","",TRIM(Base_Bruta!G1036))</f>
        <v>Meia</v>
      </c>
      <c r="H1036" s="4" t="n">
        <f aca="false">IF($A1036="","",IF(ISNUMBER(Base_Bruta!H1036),Base_Bruta!H1036,IFERROR(_xlfn.NUMBERVALUE(TRIM(SUBSTITUTE(Base_Bruta!H1036,"R$","")),",","."),0)))</f>
        <v>3</v>
      </c>
      <c r="I1036" s="6" t="n">
        <f aca="false">IF($A1036="","",IF(ISNUMBER(Base_Bruta!I1036),Base_Bruta!I1036,IFERROR(_xlfn.NUMBERVALUE(TRIM(SUBSTITUTE(Base_Bruta!I1036,"R$","")),",","."),0)))</f>
        <v>20</v>
      </c>
      <c r="J1036" s="6" t="n">
        <f aca="false">IF($A1036="","",H1036*I1036)</f>
        <v>60</v>
      </c>
      <c r="K1036" s="4" t="str">
        <f aca="false">IF($A1036="","",TRIM(Base_Bruta!J1036))</f>
        <v>Site</v>
      </c>
      <c r="L1036" s="4" t="str">
        <f aca="false">IF($A1036="","",TRIM(Base_Bruta!K1036))</f>
        <v>C01323</v>
      </c>
      <c r="M1036" s="4" t="str">
        <f aca="false">IF($A1036="","",_xlfn.XLOOKUP(LOWER(TRIM(Base_Bruta!L1036)),DePara_Cidade!$A$2:$A$29,DePara_Cidade!$B$2:$B$29,"REVISAR"))</f>
        <v>Rio de Janeiro</v>
      </c>
      <c r="N1036" s="4" t="str">
        <f aca="false">IF($A1036="","",UPPER(TRIM(Base_Bruta!M1036)))</f>
        <v>RJ</v>
      </c>
      <c r="O1036" s="4" t="str">
        <f aca="false">IF($A1036="","",_xlfn.XLOOKUP(LOWER(TRIM(Base_Bruta!N1036)),DePara_Pais!$A$2:$A$9,DePara_Pais!$B$2:$B$9,"REVISAR"))</f>
        <v>Brasil</v>
      </c>
      <c r="P1036" s="4" t="str">
        <f aca="false">IF($A1036="","",IF(O1036&lt;&gt;"Brasil","Turista Internacional",IF(M1036=F1036,"Local","Turista Nacional")))</f>
        <v>Local</v>
      </c>
      <c r="Q1036" s="7" t="n">
        <f aca="false">IF($A1036="","",DATE(YEAR(B1036),MONTH(B1036),1))</f>
        <v>45870</v>
      </c>
      <c r="R1036" s="4" t="str">
        <f aca="false">IF($A1036="","",IF(COUNTIF($A$2:$A1036,$A1036)&gt;1,"Sim","Não"))</f>
        <v>Não</v>
      </c>
      <c r="S1036" s="4" t="str">
        <f aca="false">IF(A1036="","Descartar - Linha vazia",IF(R1036="Sim","Descartar - Duplicado",IF(OR(H1036&lt;=0,I1036&lt;=0),"Descartar - Qtd/Valor inválido","OK")))</f>
        <v>OK</v>
      </c>
      <c r="T1036" s="4" t="str">
        <f aca="false">Base_Bruta!P1036</f>
        <v>vendas_RJ.xlsx</v>
      </c>
    </row>
    <row r="1037" customFormat="false" ht="15" hidden="false" customHeight="false" outlineLevel="0" collapsed="false">
      <c r="A1037" s="4" t="str">
        <f aca="false">IF(Base_Bruta!A1037="","",Base_Bruta!A1037)</f>
        <v>RJ-000549</v>
      </c>
      <c r="B1037" s="5" t="n">
        <f aca="false">IF($A1037="","",IF(ISNUMBER(Base_Bruta!B1037),Base_Bruta!B1037,IF(MID(Base_Bruta!B1037,5,1)="-",DATE(VALUE(LEFT(Base_Bruta!B1037,4)),VALUE(MID(Base_Bruta!B1037,6,2)),VALUE(RIGHT(Base_Bruta!B1037,2))),DATE(VALUE(RIGHT(Base_Bruta!B1037,4)),VALUE(MID(Base_Bruta!B1037,4,2)),VALUE(LEFT(Base_Bruta!B1037,2))))))</f>
        <v>45891</v>
      </c>
      <c r="C1037" s="5" t="n">
        <f aca="false">IF($A1037="","",IF(ISNUMBER(Base_Bruta!C1037),Base_Bruta!C1037,IF(MID(Base_Bruta!C1037,5,1)="-",DATE(VALUE(LEFT(Base_Bruta!C1037,4)),VALUE(MID(Base_Bruta!C1037,6,2)),VALUE(RIGHT(Base_Bruta!C1037,2))),DATE(VALUE(RIGHT(Base_Bruta!C1037,4)),VALUE(MID(Base_Bruta!C1037,4,2)),VALUE(LEFT(Base_Bruta!C1037,2))))))</f>
        <v>45894</v>
      </c>
      <c r="D1037" s="4" t="str">
        <f aca="false">IF($A1037="","",TRIM(Base_Bruta!D1037))</f>
        <v>Cinema Barra - Sessões</v>
      </c>
      <c r="E1037" s="4" t="str">
        <f aca="false">IF($A1037="","",_xlfn.XLOOKUP(LOWER(TRIM(Base_Bruta!E1037)),DePara_Categoria!$A$2:$A$9,DePara_Categoria!$B$2:$B$9,"REVISAR"))</f>
        <v>Cinema</v>
      </c>
      <c r="F1037" s="4" t="str">
        <f aca="false">IF($A1037="","",_xlfn.XLOOKUP(LOWER(TRIM(Base_Bruta!F1037)),DePara_Cidade!$A$2:$A$29,DePara_Cidade!$B$2:$B$29,"REVISAR"))</f>
        <v>Rio de Janeiro</v>
      </c>
      <c r="G1037" s="4" t="str">
        <f aca="false">IF($A1037="","",TRIM(Base_Bruta!G1037))</f>
        <v>Meia</v>
      </c>
      <c r="H1037" s="4" t="n">
        <f aca="false">IF($A1037="","",IF(ISNUMBER(Base_Bruta!H1037),Base_Bruta!H1037,IFERROR(_xlfn.NUMBERVALUE(TRIM(SUBSTITUTE(Base_Bruta!H1037,"R$","")),",","."),0)))</f>
        <v>2</v>
      </c>
      <c r="I1037" s="6" t="n">
        <f aca="false">IF($A1037="","",IF(ISNUMBER(Base_Bruta!I1037),Base_Bruta!I1037,IFERROR(_xlfn.NUMBERVALUE(TRIM(SUBSTITUTE(Base_Bruta!I1037,"R$","")),",","."),0)))</f>
        <v>20</v>
      </c>
      <c r="J1037" s="6" t="n">
        <f aca="false">IF($A1037="","",H1037*I1037)</f>
        <v>40</v>
      </c>
      <c r="K1037" s="4" t="str">
        <f aca="false">IF($A1037="","",TRIM(Base_Bruta!J1037))</f>
        <v>Bilheteria</v>
      </c>
      <c r="L1037" s="4" t="str">
        <f aca="false">IF($A1037="","",TRIM(Base_Bruta!K1037))</f>
        <v>C00092</v>
      </c>
      <c r="M1037" s="4" t="str">
        <f aca="false">IF($A1037="","",_xlfn.XLOOKUP(LOWER(TRIM(Base_Bruta!L1037)),DePara_Cidade!$A$2:$A$29,DePara_Cidade!$B$2:$B$29,"REVISAR"))</f>
        <v>Rio de Janeiro</v>
      </c>
      <c r="N1037" s="4" t="str">
        <f aca="false">IF($A1037="","",UPPER(TRIM(Base_Bruta!M1037)))</f>
        <v>RJ</v>
      </c>
      <c r="O1037" s="4" t="str">
        <f aca="false">IF($A1037="","",_xlfn.XLOOKUP(LOWER(TRIM(Base_Bruta!N1037)),DePara_Pais!$A$2:$A$9,DePara_Pais!$B$2:$B$9,"REVISAR"))</f>
        <v>Brasil</v>
      </c>
      <c r="P1037" s="4" t="str">
        <f aca="false">IF($A1037="","",IF(O1037&lt;&gt;"Brasil","Turista Internacional",IF(M1037=F1037,"Local","Turista Nacional")))</f>
        <v>Local</v>
      </c>
      <c r="Q1037" s="7" t="n">
        <f aca="false">IF($A1037="","",DATE(YEAR(B1037),MONTH(B1037),1))</f>
        <v>45870</v>
      </c>
      <c r="R1037" s="4" t="str">
        <f aca="false">IF($A1037="","",IF(COUNTIF($A$2:$A1037,$A1037)&gt;1,"Sim","Não"))</f>
        <v>Não</v>
      </c>
      <c r="S1037" s="4" t="str">
        <f aca="false">IF(A1037="","Descartar - Linha vazia",IF(R1037="Sim","Descartar - Duplicado",IF(OR(H1037&lt;=0,I1037&lt;=0),"Descartar - Qtd/Valor inválido","OK")))</f>
        <v>OK</v>
      </c>
      <c r="T1037" s="4" t="str">
        <f aca="false">Base_Bruta!P1037</f>
        <v>vendas_RJ.xlsx</v>
      </c>
    </row>
    <row r="1038" customFormat="false" ht="15" hidden="false" customHeight="false" outlineLevel="0" collapsed="false">
      <c r="A1038" s="4" t="str">
        <f aca="false">IF(Base_Bruta!A1038="","",Base_Bruta!A1038)</f>
        <v>RJ-000541</v>
      </c>
      <c r="B1038" s="5" t="n">
        <f aca="false">IF($A1038="","",IF(ISNUMBER(Base_Bruta!B1038),Base_Bruta!B1038,IF(MID(Base_Bruta!B1038,5,1)="-",DATE(VALUE(LEFT(Base_Bruta!B1038,4)),VALUE(MID(Base_Bruta!B1038,6,2)),VALUE(RIGHT(Base_Bruta!B1038,2))),DATE(VALUE(RIGHT(Base_Bruta!B1038,4)),VALUE(MID(Base_Bruta!B1038,4,2)),VALUE(LEFT(Base_Bruta!B1038,2))))))</f>
        <v>45902</v>
      </c>
      <c r="C1038" s="5" t="n">
        <f aca="false">IF($A1038="","",IF(ISNUMBER(Base_Bruta!C1038),Base_Bruta!C1038,IF(MID(Base_Bruta!C1038,5,1)="-",DATE(VALUE(LEFT(Base_Bruta!C1038,4)),VALUE(MID(Base_Bruta!C1038,6,2)),VALUE(RIGHT(Base_Bruta!C1038,2))),DATE(VALUE(RIGHT(Base_Bruta!C1038,4)),VALUE(MID(Base_Bruta!C1038,4,2)),VALUE(LEFT(Base_Bruta!C1038,2))))))</f>
        <v>45905</v>
      </c>
      <c r="D1038" s="4" t="str">
        <f aca="false">IF($A1038="","",TRIM(Base_Bruta!D1038))</f>
        <v>Cinema Barra - Sessões</v>
      </c>
      <c r="E1038" s="4" t="str">
        <f aca="false">IF($A1038="","",_xlfn.XLOOKUP(LOWER(TRIM(Base_Bruta!E1038)),DePara_Categoria!$A$2:$A$9,DePara_Categoria!$B$2:$B$9,"REVISAR"))</f>
        <v>Cinema</v>
      </c>
      <c r="F1038" s="4" t="str">
        <f aca="false">IF($A1038="","",_xlfn.XLOOKUP(LOWER(TRIM(Base_Bruta!F1038)),DePara_Cidade!$A$2:$A$29,DePara_Cidade!$B$2:$B$29,"REVISAR"))</f>
        <v>Rio de Janeiro</v>
      </c>
      <c r="G1038" s="4" t="str">
        <f aca="false">IF($A1038="","",TRIM(Base_Bruta!G1038))</f>
        <v>Meia</v>
      </c>
      <c r="H1038" s="4" t="n">
        <f aca="false">IF($A1038="","",IF(ISNUMBER(Base_Bruta!H1038),Base_Bruta!H1038,IFERROR(_xlfn.NUMBERVALUE(TRIM(SUBSTITUTE(Base_Bruta!H1038,"R$","")),",","."),0)))</f>
        <v>3</v>
      </c>
      <c r="I1038" s="6" t="n">
        <f aca="false">IF($A1038="","",IF(ISNUMBER(Base_Bruta!I1038),Base_Bruta!I1038,IFERROR(_xlfn.NUMBERVALUE(TRIM(SUBSTITUTE(Base_Bruta!I1038,"R$","")),",","."),0)))</f>
        <v>25</v>
      </c>
      <c r="J1038" s="6" t="n">
        <f aca="false">IF($A1038="","",H1038*I1038)</f>
        <v>75</v>
      </c>
      <c r="K1038" s="4" t="str">
        <f aca="false">IF($A1038="","",TRIM(Base_Bruta!J1038))</f>
        <v>App</v>
      </c>
      <c r="L1038" s="4" t="str">
        <f aca="false">IF($A1038="","",TRIM(Base_Bruta!K1038))</f>
        <v>C01328</v>
      </c>
      <c r="M1038" s="4" t="str">
        <f aca="false">IF($A1038="","",_xlfn.XLOOKUP(LOWER(TRIM(Base_Bruta!L1038)),DePara_Cidade!$A$2:$A$29,DePara_Cidade!$B$2:$B$29,"REVISAR"))</f>
        <v>Rio de Janeiro</v>
      </c>
      <c r="N1038" s="4" t="str">
        <f aca="false">IF($A1038="","",UPPER(TRIM(Base_Bruta!M1038)))</f>
        <v>RJ</v>
      </c>
      <c r="O1038" s="4" t="str">
        <f aca="false">IF($A1038="","",_xlfn.XLOOKUP(LOWER(TRIM(Base_Bruta!N1038)),DePara_Pais!$A$2:$A$9,DePara_Pais!$B$2:$B$9,"REVISAR"))</f>
        <v>Brasil</v>
      </c>
      <c r="P1038" s="4" t="str">
        <f aca="false">IF($A1038="","",IF(O1038&lt;&gt;"Brasil","Turista Internacional",IF(M1038=F1038,"Local","Turista Nacional")))</f>
        <v>Local</v>
      </c>
      <c r="Q1038" s="7" t="n">
        <f aca="false">IF($A1038="","",DATE(YEAR(B1038),MONTH(B1038),1))</f>
        <v>45901</v>
      </c>
      <c r="R1038" s="4" t="str">
        <f aca="false">IF($A1038="","",IF(COUNTIF($A$2:$A1038,$A1038)&gt;1,"Sim","Não"))</f>
        <v>Não</v>
      </c>
      <c r="S1038" s="4" t="str">
        <f aca="false">IF(A1038="","Descartar - Linha vazia",IF(R1038="Sim","Descartar - Duplicado",IF(OR(H1038&lt;=0,I1038&lt;=0),"Descartar - Qtd/Valor inválido","OK")))</f>
        <v>OK</v>
      </c>
      <c r="T1038" s="4" t="str">
        <f aca="false">Base_Bruta!P1038</f>
        <v>vendas_RJ.xlsx</v>
      </c>
    </row>
    <row r="1039" customFormat="false" ht="15" hidden="false" customHeight="false" outlineLevel="0" collapsed="false">
      <c r="A1039" s="4" t="str">
        <f aca="false">IF(Base_Bruta!A1039="","",Base_Bruta!A1039)</f>
        <v>RJ-000580</v>
      </c>
      <c r="B1039" s="5" t="n">
        <f aca="false">IF($A1039="","",IF(ISNUMBER(Base_Bruta!B1039),Base_Bruta!B1039,IF(MID(Base_Bruta!B1039,5,1)="-",DATE(VALUE(LEFT(Base_Bruta!B1039,4)),VALUE(MID(Base_Bruta!B1039,6,2)),VALUE(RIGHT(Base_Bruta!B1039,2))),DATE(VALUE(RIGHT(Base_Bruta!B1039,4)),VALUE(MID(Base_Bruta!B1039,4,2)),VALUE(LEFT(Base_Bruta!B1039,2))))))</f>
        <v>45903</v>
      </c>
      <c r="C1039" s="5" t="n">
        <f aca="false">IF($A1039="","",IF(ISNUMBER(Base_Bruta!C1039),Base_Bruta!C1039,IF(MID(Base_Bruta!C1039,5,1)="-",DATE(VALUE(LEFT(Base_Bruta!C1039,4)),VALUE(MID(Base_Bruta!C1039,6,2)),VALUE(RIGHT(Base_Bruta!C1039,2))),DATE(VALUE(RIGHT(Base_Bruta!C1039,4)),VALUE(MID(Base_Bruta!C1039,4,2)),VALUE(LEFT(Base_Bruta!C1039,2))))))</f>
        <v>45903</v>
      </c>
      <c r="D1039" s="4" t="str">
        <f aca="false">IF($A1039="","",TRIM(Base_Bruta!D1039))</f>
        <v>Cinema Barra - Sessões</v>
      </c>
      <c r="E1039" s="4" t="str">
        <f aca="false">IF($A1039="","",_xlfn.XLOOKUP(LOWER(TRIM(Base_Bruta!E1039)),DePara_Categoria!$A$2:$A$9,DePara_Categoria!$B$2:$B$9,"REVISAR"))</f>
        <v>Cinema</v>
      </c>
      <c r="F1039" s="4" t="str">
        <f aca="false">IF($A1039="","",_xlfn.XLOOKUP(LOWER(TRIM(Base_Bruta!F1039)),DePara_Cidade!$A$2:$A$29,DePara_Cidade!$B$2:$B$29,"REVISAR"))</f>
        <v>Rio de Janeiro</v>
      </c>
      <c r="G1039" s="4" t="str">
        <f aca="false">IF($A1039="","",TRIM(Base_Bruta!G1039))</f>
        <v>Meia</v>
      </c>
      <c r="H1039" s="4" t="n">
        <f aca="false">IF($A1039="","",IF(ISNUMBER(Base_Bruta!H1039),Base_Bruta!H1039,IFERROR(_xlfn.NUMBERVALUE(TRIM(SUBSTITUTE(Base_Bruta!H1039,"R$","")),",","."),0)))</f>
        <v>4</v>
      </c>
      <c r="I1039" s="6" t="n">
        <f aca="false">IF($A1039="","",IF(ISNUMBER(Base_Bruta!I1039),Base_Bruta!I1039,IFERROR(_xlfn.NUMBERVALUE(TRIM(SUBSTITUTE(Base_Bruta!I1039,"R$","")),",","."),0)))</f>
        <v>22.5</v>
      </c>
      <c r="J1039" s="6" t="n">
        <f aca="false">IF($A1039="","",H1039*I1039)</f>
        <v>90</v>
      </c>
      <c r="K1039" s="4" t="str">
        <f aca="false">IF($A1039="","",TRIM(Base_Bruta!J1039))</f>
        <v>App</v>
      </c>
      <c r="L1039" s="4" t="str">
        <f aca="false">IF($A1039="","",TRIM(Base_Bruta!K1039))</f>
        <v>C01372</v>
      </c>
      <c r="M1039" s="4" t="str">
        <f aca="false">IF($A1039="","",_xlfn.XLOOKUP(LOWER(TRIM(Base_Bruta!L1039)),DePara_Cidade!$A$2:$A$29,DePara_Cidade!$B$2:$B$29,"REVISAR"))</f>
        <v>Rio de Janeiro</v>
      </c>
      <c r="N1039" s="4" t="str">
        <f aca="false">IF($A1039="","",UPPER(TRIM(Base_Bruta!M1039)))</f>
        <v>RJ</v>
      </c>
      <c r="O1039" s="4" t="str">
        <f aca="false">IF($A1039="","",_xlfn.XLOOKUP(LOWER(TRIM(Base_Bruta!N1039)),DePara_Pais!$A$2:$A$9,DePara_Pais!$B$2:$B$9,"REVISAR"))</f>
        <v>Brasil</v>
      </c>
      <c r="P1039" s="4" t="str">
        <f aca="false">IF($A1039="","",IF(O1039&lt;&gt;"Brasil","Turista Internacional",IF(M1039=F1039,"Local","Turista Nacional")))</f>
        <v>Local</v>
      </c>
      <c r="Q1039" s="7" t="n">
        <f aca="false">IF($A1039="","",DATE(YEAR(B1039),MONTH(B1039),1))</f>
        <v>45901</v>
      </c>
      <c r="R1039" s="4" t="str">
        <f aca="false">IF($A1039="","",IF(COUNTIF($A$2:$A1039,$A1039)&gt;1,"Sim","Não"))</f>
        <v>Não</v>
      </c>
      <c r="S1039" s="4" t="str">
        <f aca="false">IF(A1039="","Descartar - Linha vazia",IF(R1039="Sim","Descartar - Duplicado",IF(OR(H1039&lt;=0,I1039&lt;=0),"Descartar - Qtd/Valor inválido","OK")))</f>
        <v>OK</v>
      </c>
      <c r="T1039" s="4" t="str">
        <f aca="false">Base_Bruta!P1039</f>
        <v>vendas_RJ.xlsx</v>
      </c>
    </row>
    <row r="1040" customFormat="false" ht="15" hidden="false" customHeight="false" outlineLevel="0" collapsed="false">
      <c r="A1040" s="4" t="str">
        <f aca="false">IF(Base_Bruta!A1040="","",Base_Bruta!A1040)</f>
        <v>RJ-000540</v>
      </c>
      <c r="B1040" s="5" t="n">
        <f aca="false">IF($A1040="","",IF(ISNUMBER(Base_Bruta!B1040),Base_Bruta!B1040,IF(MID(Base_Bruta!B1040,5,1)="-",DATE(VALUE(LEFT(Base_Bruta!B1040,4)),VALUE(MID(Base_Bruta!B1040,6,2)),VALUE(RIGHT(Base_Bruta!B1040,2))),DATE(VALUE(RIGHT(Base_Bruta!B1040,4)),VALUE(MID(Base_Bruta!B1040,4,2)),VALUE(LEFT(Base_Bruta!B1040,2))))))</f>
        <v>45905</v>
      </c>
      <c r="C1040" s="5" t="n">
        <f aca="false">IF($A1040="","",IF(ISNUMBER(Base_Bruta!C1040),Base_Bruta!C1040,IF(MID(Base_Bruta!C1040,5,1)="-",DATE(VALUE(LEFT(Base_Bruta!C1040,4)),VALUE(MID(Base_Bruta!C1040,6,2)),VALUE(RIGHT(Base_Bruta!C1040,2))),DATE(VALUE(RIGHT(Base_Bruta!C1040,4)),VALUE(MID(Base_Bruta!C1040,4,2)),VALUE(LEFT(Base_Bruta!C1040,2))))))</f>
        <v>45905</v>
      </c>
      <c r="D1040" s="4" t="str">
        <f aca="false">IF($A1040="","",TRIM(Base_Bruta!D1040))</f>
        <v>Cinema Barra - Sessões</v>
      </c>
      <c r="E1040" s="4" t="str">
        <f aca="false">IF($A1040="","",_xlfn.XLOOKUP(LOWER(TRIM(Base_Bruta!E1040)),DePara_Categoria!$A$2:$A$9,DePara_Categoria!$B$2:$B$9,"REVISAR"))</f>
        <v>Cinema</v>
      </c>
      <c r="F1040" s="4" t="str">
        <f aca="false">IF($A1040="","",_xlfn.XLOOKUP(LOWER(TRIM(Base_Bruta!F1040)),DePara_Cidade!$A$2:$A$29,DePara_Cidade!$B$2:$B$29,"REVISAR"))</f>
        <v>Rio de Janeiro</v>
      </c>
      <c r="G1040" s="4" t="str">
        <f aca="false">IF($A1040="","",TRIM(Base_Bruta!G1040))</f>
        <v>Inteira</v>
      </c>
      <c r="H1040" s="4" t="n">
        <f aca="false">IF($A1040="","",IF(ISNUMBER(Base_Bruta!H1040),Base_Bruta!H1040,IFERROR(_xlfn.NUMBERVALUE(TRIM(SUBSTITUTE(Base_Bruta!H1040,"R$","")),",","."),0)))</f>
        <v>1</v>
      </c>
      <c r="I1040" s="6" t="n">
        <f aca="false">IF($A1040="","",IF(ISNUMBER(Base_Bruta!I1040),Base_Bruta!I1040,IFERROR(_xlfn.NUMBERVALUE(TRIM(SUBSTITUTE(Base_Bruta!I1040,"R$","")),",","."),0)))</f>
        <v>50</v>
      </c>
      <c r="J1040" s="6" t="n">
        <f aca="false">IF($A1040="","",H1040*I1040)</f>
        <v>50</v>
      </c>
      <c r="K1040" s="4" t="str">
        <f aca="false">IF($A1040="","",TRIM(Base_Bruta!J1040))</f>
        <v>App</v>
      </c>
      <c r="L1040" s="4" t="str">
        <f aca="false">IF($A1040="","",TRIM(Base_Bruta!K1040))</f>
        <v>C01994</v>
      </c>
      <c r="M1040" s="4" t="str">
        <f aca="false">IF($A1040="","",_xlfn.XLOOKUP(LOWER(TRIM(Base_Bruta!L1040)),DePara_Cidade!$A$2:$A$29,DePara_Cidade!$B$2:$B$29,"REVISAR"))</f>
        <v>Rio de Janeiro</v>
      </c>
      <c r="N1040" s="4" t="str">
        <f aca="false">IF($A1040="","",UPPER(TRIM(Base_Bruta!M1040)))</f>
        <v>RJ</v>
      </c>
      <c r="O1040" s="4" t="str">
        <f aca="false">IF($A1040="","",_xlfn.XLOOKUP(LOWER(TRIM(Base_Bruta!N1040)),DePara_Pais!$A$2:$A$9,DePara_Pais!$B$2:$B$9,"REVISAR"))</f>
        <v>Brasil</v>
      </c>
      <c r="P1040" s="4" t="str">
        <f aca="false">IF($A1040="","",IF(O1040&lt;&gt;"Brasil","Turista Internacional",IF(M1040=F1040,"Local","Turista Nacional")))</f>
        <v>Local</v>
      </c>
      <c r="Q1040" s="7" t="n">
        <f aca="false">IF($A1040="","",DATE(YEAR(B1040),MONTH(B1040),1))</f>
        <v>45901</v>
      </c>
      <c r="R1040" s="4" t="str">
        <f aca="false">IF($A1040="","",IF(COUNTIF($A$2:$A1040,$A1040)&gt;1,"Sim","Não"))</f>
        <v>Não</v>
      </c>
      <c r="S1040" s="4" t="str">
        <f aca="false">IF(A1040="","Descartar - Linha vazia",IF(R1040="Sim","Descartar - Duplicado",IF(OR(H1040&lt;=0,I1040&lt;=0),"Descartar - Qtd/Valor inválido","OK")))</f>
        <v>OK</v>
      </c>
      <c r="T1040" s="4" t="str">
        <f aca="false">Base_Bruta!P1040</f>
        <v>vendas_RJ.xlsx</v>
      </c>
    </row>
    <row r="1041" customFormat="false" ht="15" hidden="false" customHeight="false" outlineLevel="0" collapsed="false">
      <c r="A1041" s="4" t="str">
        <f aca="false">IF(Base_Bruta!A1041="","",Base_Bruta!A1041)</f>
        <v>RJ-000670</v>
      </c>
      <c r="B1041" s="5" t="n">
        <f aca="false">IF($A1041="","",IF(ISNUMBER(Base_Bruta!B1041),Base_Bruta!B1041,IF(MID(Base_Bruta!B1041,5,1)="-",DATE(VALUE(LEFT(Base_Bruta!B1041,4)),VALUE(MID(Base_Bruta!B1041,6,2)),VALUE(RIGHT(Base_Bruta!B1041,2))),DATE(VALUE(RIGHT(Base_Bruta!B1041,4)),VALUE(MID(Base_Bruta!B1041,4,2)),VALUE(LEFT(Base_Bruta!B1041,2))))))</f>
        <v>45837</v>
      </c>
      <c r="C1041" s="5" t="n">
        <f aca="false">IF($A1041="","",IF(ISNUMBER(Base_Bruta!C1041),Base_Bruta!C1041,IF(MID(Base_Bruta!C1041,5,1)="-",DATE(VALUE(LEFT(Base_Bruta!C1041,4)),VALUE(MID(Base_Bruta!C1041,6,2)),VALUE(RIGHT(Base_Bruta!C1041,2))),DATE(VALUE(RIGHT(Base_Bruta!C1041,4)),VALUE(MID(Base_Bruta!C1041,4,2)),VALUE(LEFT(Base_Bruta!C1041,2))))))</f>
        <v>45839</v>
      </c>
      <c r="D1041" s="4" t="str">
        <f aca="false">IF($A1041="","",TRIM(Base_Bruta!D1041))</f>
        <v>Cinema Barra - Sessões</v>
      </c>
      <c r="E1041" s="4" t="str">
        <f aca="false">IF($A1041="","",_xlfn.XLOOKUP(LOWER(TRIM(Base_Bruta!E1041)),DePara_Categoria!$A$2:$A$9,DePara_Categoria!$B$2:$B$9,"REVISAR"))</f>
        <v>Cinema</v>
      </c>
      <c r="F1041" s="4" t="str">
        <f aca="false">IF($A1041="","",_xlfn.XLOOKUP(LOWER(TRIM(Base_Bruta!F1041)),DePara_Cidade!$A$2:$A$29,DePara_Cidade!$B$2:$B$29,"REVISAR"))</f>
        <v>Rio de Janeiro</v>
      </c>
      <c r="G1041" s="4" t="str">
        <f aca="false">IF($A1041="","",TRIM(Base_Bruta!G1041))</f>
        <v>Inteira</v>
      </c>
      <c r="H1041" s="4" t="n">
        <f aca="false">IF($A1041="","",IF(ISNUMBER(Base_Bruta!H1041),Base_Bruta!H1041,IFERROR(_xlfn.NUMBERVALUE(TRIM(SUBSTITUTE(Base_Bruta!H1041,"R$","")),",","."),0)))</f>
        <v>0</v>
      </c>
      <c r="I1041" s="6" t="n">
        <f aca="false">IF($A1041="","",IF(ISNUMBER(Base_Bruta!I1041),Base_Bruta!I1041,IFERROR(_xlfn.NUMBERVALUE(TRIM(SUBSTITUTE(Base_Bruta!I1041,"R$","")),",","."),0)))</f>
        <v>35</v>
      </c>
      <c r="J1041" s="6" t="n">
        <f aca="false">IF($A1041="","",H1041*I1041)</f>
        <v>0</v>
      </c>
      <c r="K1041" s="4" t="str">
        <f aca="false">IF($A1041="","",TRIM(Base_Bruta!J1041))</f>
        <v>Site</v>
      </c>
      <c r="L1041" s="4" t="str">
        <f aca="false">IF($A1041="","",TRIM(Base_Bruta!K1041))</f>
        <v>C00999</v>
      </c>
      <c r="M1041" s="4" t="str">
        <f aca="false">IF($A1041="","",_xlfn.XLOOKUP(LOWER(TRIM(Base_Bruta!L1041)),DePara_Cidade!$A$2:$A$29,DePara_Cidade!$B$2:$B$29,"REVISAR"))</f>
        <v>Rio de Janeiro</v>
      </c>
      <c r="N1041" s="4" t="str">
        <f aca="false">IF($A1041="","",UPPER(TRIM(Base_Bruta!M1041)))</f>
        <v>RJ</v>
      </c>
      <c r="O1041" s="4" t="str">
        <f aca="false">IF($A1041="","",_xlfn.XLOOKUP(LOWER(TRIM(Base_Bruta!N1041)),DePara_Pais!$A$2:$A$9,DePara_Pais!$B$2:$B$9,"REVISAR"))</f>
        <v>Brasil</v>
      </c>
      <c r="P1041" s="4" t="str">
        <f aca="false">IF($A1041="","",IF(O1041&lt;&gt;"Brasil","Turista Internacional",IF(M1041=F1041,"Local","Turista Nacional")))</f>
        <v>Local</v>
      </c>
      <c r="Q1041" s="7" t="n">
        <f aca="false">IF($A1041="","",DATE(YEAR(B1041),MONTH(B1041),1))</f>
        <v>45809</v>
      </c>
      <c r="R1041" s="4" t="str">
        <f aca="false">IF($A1041="","",IF(COUNTIF($A$2:$A1041,$A1041)&gt;1,"Sim","Não"))</f>
        <v>Sim</v>
      </c>
      <c r="S1041" s="4" t="str">
        <f aca="false">IF(A1041="","Descartar - Linha vazia",IF(R1041="Sim","Descartar - Duplicado",IF(OR(H1041&lt;=0,I1041&lt;=0),"Descartar - Qtd/Valor inválido","OK")))</f>
        <v>Descartar - Duplicado</v>
      </c>
      <c r="T1041" s="4" t="str">
        <f aca="false">Base_Bruta!P1041</f>
        <v>vendas_RJ.xlsx</v>
      </c>
    </row>
    <row r="1042" customFormat="false" ht="15" hidden="false" customHeight="false" outlineLevel="0" collapsed="false">
      <c r="A1042" s="4" t="str">
        <f aca="false">IF(Base_Bruta!A1042="","",Base_Bruta!A1042)</f>
        <v>RJ-000601</v>
      </c>
      <c r="B1042" s="5" t="n">
        <f aca="false">IF($A1042="","",IF(ISNUMBER(Base_Bruta!B1042),Base_Bruta!B1042,IF(MID(Base_Bruta!B1042,5,1)="-",DATE(VALUE(LEFT(Base_Bruta!B1042,4)),VALUE(MID(Base_Bruta!B1042,6,2)),VALUE(RIGHT(Base_Bruta!B1042,2))),DATE(VALUE(RIGHT(Base_Bruta!B1042,4)),VALUE(MID(Base_Bruta!B1042,4,2)),VALUE(LEFT(Base_Bruta!B1042,2))))))</f>
        <v>45908</v>
      </c>
      <c r="C1042" s="5" t="n">
        <f aca="false">IF($A1042="","",IF(ISNUMBER(Base_Bruta!C1042),Base_Bruta!C1042,IF(MID(Base_Bruta!C1042,5,1)="-",DATE(VALUE(LEFT(Base_Bruta!C1042,4)),VALUE(MID(Base_Bruta!C1042,6,2)),VALUE(RIGHT(Base_Bruta!C1042,2))),DATE(VALUE(RIGHT(Base_Bruta!C1042,4)),VALUE(MID(Base_Bruta!C1042,4,2)),VALUE(LEFT(Base_Bruta!C1042,2))))))</f>
        <v>45908</v>
      </c>
      <c r="D1042" s="4" t="str">
        <f aca="false">IF($A1042="","",TRIM(Base_Bruta!D1042))</f>
        <v>Cinema Barra - Sessões</v>
      </c>
      <c r="E1042" s="4" t="str">
        <f aca="false">IF($A1042="","",_xlfn.XLOOKUP(LOWER(TRIM(Base_Bruta!E1042)),DePara_Categoria!$A$2:$A$9,DePara_Categoria!$B$2:$B$9,"REVISAR"))</f>
        <v>Cinema</v>
      </c>
      <c r="F1042" s="4" t="str">
        <f aca="false">IF($A1042="","",_xlfn.XLOOKUP(LOWER(TRIM(Base_Bruta!F1042)),DePara_Cidade!$A$2:$A$29,DePara_Cidade!$B$2:$B$29,"REVISAR"))</f>
        <v>Rio de Janeiro</v>
      </c>
      <c r="G1042" s="4" t="str">
        <f aca="false">IF($A1042="","",TRIM(Base_Bruta!G1042))</f>
        <v>Meia</v>
      </c>
      <c r="H1042" s="4" t="n">
        <f aca="false">IF($A1042="","",IF(ISNUMBER(Base_Bruta!H1042),Base_Bruta!H1042,IFERROR(_xlfn.NUMBERVALUE(TRIM(SUBSTITUTE(Base_Bruta!H1042,"R$","")),",","."),0)))</f>
        <v>2</v>
      </c>
      <c r="I1042" s="6" t="n">
        <f aca="false">IF($A1042="","",IF(ISNUMBER(Base_Bruta!I1042),Base_Bruta!I1042,IFERROR(_xlfn.NUMBERVALUE(TRIM(SUBSTITUTE(Base_Bruta!I1042,"R$","")),",","."),0)))</f>
        <v>22.5</v>
      </c>
      <c r="J1042" s="6" t="n">
        <f aca="false">IF($A1042="","",H1042*I1042)</f>
        <v>45</v>
      </c>
      <c r="K1042" s="4" t="str">
        <f aca="false">IF($A1042="","",TRIM(Base_Bruta!J1042))</f>
        <v>App</v>
      </c>
      <c r="L1042" s="4" t="str">
        <f aca="false">IF($A1042="","",TRIM(Base_Bruta!K1042))</f>
        <v>C01872</v>
      </c>
      <c r="M1042" s="4" t="str">
        <f aca="false">IF($A1042="","",_xlfn.XLOOKUP(LOWER(TRIM(Base_Bruta!L1042)),DePara_Cidade!$A$2:$A$29,DePara_Cidade!$B$2:$B$29,"REVISAR"))</f>
        <v>Rio de Janeiro</v>
      </c>
      <c r="N1042" s="4" t="str">
        <f aca="false">IF($A1042="","",UPPER(TRIM(Base_Bruta!M1042)))</f>
        <v>RJ</v>
      </c>
      <c r="O1042" s="4" t="str">
        <f aca="false">IF($A1042="","",_xlfn.XLOOKUP(LOWER(TRIM(Base_Bruta!N1042)),DePara_Pais!$A$2:$A$9,DePara_Pais!$B$2:$B$9,"REVISAR"))</f>
        <v>Brasil</v>
      </c>
      <c r="P1042" s="4" t="str">
        <f aca="false">IF($A1042="","",IF(O1042&lt;&gt;"Brasil","Turista Internacional",IF(M1042=F1042,"Local","Turista Nacional")))</f>
        <v>Local</v>
      </c>
      <c r="Q1042" s="7" t="n">
        <f aca="false">IF($A1042="","",DATE(YEAR(B1042),MONTH(B1042),1))</f>
        <v>45901</v>
      </c>
      <c r="R1042" s="4" t="str">
        <f aca="false">IF($A1042="","",IF(COUNTIF($A$2:$A1042,$A1042)&gt;1,"Sim","Não"))</f>
        <v>Não</v>
      </c>
      <c r="S1042" s="4" t="str">
        <f aca="false">IF(A1042="","Descartar - Linha vazia",IF(R1042="Sim","Descartar - Duplicado",IF(OR(H1042&lt;=0,I1042&lt;=0),"Descartar - Qtd/Valor inválido","OK")))</f>
        <v>OK</v>
      </c>
      <c r="T1042" s="4" t="str">
        <f aca="false">Base_Bruta!P1042</f>
        <v>vendas_RJ.xlsx</v>
      </c>
    </row>
    <row r="1043" customFormat="false" ht="15" hidden="false" customHeight="false" outlineLevel="0" collapsed="false">
      <c r="A1043" s="4" t="str">
        <f aca="false">IF(Base_Bruta!A1043="","",Base_Bruta!A1043)</f>
        <v>RJ-000603</v>
      </c>
      <c r="B1043" s="5" t="n">
        <f aca="false">IF($A1043="","",IF(ISNUMBER(Base_Bruta!B1043),Base_Bruta!B1043,IF(MID(Base_Bruta!B1043,5,1)="-",DATE(VALUE(LEFT(Base_Bruta!B1043,4)),VALUE(MID(Base_Bruta!B1043,6,2)),VALUE(RIGHT(Base_Bruta!B1043,2))),DATE(VALUE(RIGHT(Base_Bruta!B1043,4)),VALUE(MID(Base_Bruta!B1043,4,2)),VALUE(LEFT(Base_Bruta!B1043,2))))))</f>
        <v>45910</v>
      </c>
      <c r="C1043" s="5" t="n">
        <f aca="false">IF($A1043="","",IF(ISNUMBER(Base_Bruta!C1043),Base_Bruta!C1043,IF(MID(Base_Bruta!C1043,5,1)="-",DATE(VALUE(LEFT(Base_Bruta!C1043,4)),VALUE(MID(Base_Bruta!C1043,6,2)),VALUE(RIGHT(Base_Bruta!C1043,2))),DATE(VALUE(RIGHT(Base_Bruta!C1043,4)),VALUE(MID(Base_Bruta!C1043,4,2)),VALUE(LEFT(Base_Bruta!C1043,2))))))</f>
        <v>45913</v>
      </c>
      <c r="D1043" s="4" t="str">
        <f aca="false">IF($A1043="","",TRIM(Base_Bruta!D1043))</f>
        <v>Cinema Barra - Sessões</v>
      </c>
      <c r="E1043" s="4" t="str">
        <f aca="false">IF($A1043="","",_xlfn.XLOOKUP(LOWER(TRIM(Base_Bruta!E1043)),DePara_Categoria!$A$2:$A$9,DePara_Categoria!$B$2:$B$9,"REVISAR"))</f>
        <v>Cinema</v>
      </c>
      <c r="F1043" s="4" t="str">
        <f aca="false">IF($A1043="","",_xlfn.XLOOKUP(LOWER(TRIM(Base_Bruta!F1043)),DePara_Cidade!$A$2:$A$29,DePara_Cidade!$B$2:$B$29,"REVISAR"))</f>
        <v>Rio de Janeiro</v>
      </c>
      <c r="G1043" s="4" t="str">
        <f aca="false">IF($A1043="","",TRIM(Base_Bruta!G1043))</f>
        <v>Inteira</v>
      </c>
      <c r="H1043" s="4" t="n">
        <f aca="false">IF($A1043="","",IF(ISNUMBER(Base_Bruta!H1043),Base_Bruta!H1043,IFERROR(_xlfn.NUMBERVALUE(TRIM(SUBSTITUTE(Base_Bruta!H1043,"R$","")),",","."),0)))</f>
        <v>1</v>
      </c>
      <c r="I1043" s="6" t="n">
        <f aca="false">IF($A1043="","",IF(ISNUMBER(Base_Bruta!I1043),Base_Bruta!I1043,IFERROR(_xlfn.NUMBERVALUE(TRIM(SUBSTITUTE(Base_Bruta!I1043,"R$","")),",","."),0)))</f>
        <v>50</v>
      </c>
      <c r="J1043" s="6" t="n">
        <f aca="false">IF($A1043="","",H1043*I1043)</f>
        <v>50</v>
      </c>
      <c r="K1043" s="4" t="str">
        <f aca="false">IF($A1043="","",TRIM(Base_Bruta!J1043))</f>
        <v>App</v>
      </c>
      <c r="L1043" s="4" t="str">
        <f aca="false">IF($A1043="","",TRIM(Base_Bruta!K1043))</f>
        <v>C00412</v>
      </c>
      <c r="M1043" s="4" t="str">
        <f aca="false">IF($A1043="","",_xlfn.XLOOKUP(LOWER(TRIM(Base_Bruta!L1043)),DePara_Cidade!$A$2:$A$29,DePara_Cidade!$B$2:$B$29,"REVISAR"))</f>
        <v>Rio de Janeiro</v>
      </c>
      <c r="N1043" s="4" t="str">
        <f aca="false">IF($A1043="","",UPPER(TRIM(Base_Bruta!M1043)))</f>
        <v>RJ</v>
      </c>
      <c r="O1043" s="4" t="str">
        <f aca="false">IF($A1043="","",_xlfn.XLOOKUP(LOWER(TRIM(Base_Bruta!N1043)),DePara_Pais!$A$2:$A$9,DePara_Pais!$B$2:$B$9,"REVISAR"))</f>
        <v>Brasil</v>
      </c>
      <c r="P1043" s="4" t="str">
        <f aca="false">IF($A1043="","",IF(O1043&lt;&gt;"Brasil","Turista Internacional",IF(M1043=F1043,"Local","Turista Nacional")))</f>
        <v>Local</v>
      </c>
      <c r="Q1043" s="7" t="n">
        <f aca="false">IF($A1043="","",DATE(YEAR(B1043),MONTH(B1043),1))</f>
        <v>45901</v>
      </c>
      <c r="R1043" s="4" t="str">
        <f aca="false">IF($A1043="","",IF(COUNTIF($A$2:$A1043,$A1043)&gt;1,"Sim","Não"))</f>
        <v>Não</v>
      </c>
      <c r="S1043" s="4" t="str">
        <f aca="false">IF(A1043="","Descartar - Linha vazia",IF(R1043="Sim","Descartar - Duplicado",IF(OR(H1043&lt;=0,I1043&lt;=0),"Descartar - Qtd/Valor inválido","OK")))</f>
        <v>OK</v>
      </c>
      <c r="T1043" s="4" t="str">
        <f aca="false">Base_Bruta!P1043</f>
        <v>vendas_RJ.xlsx</v>
      </c>
    </row>
    <row r="1044" customFormat="false" ht="15" hidden="false" customHeight="false" outlineLevel="0" collapsed="false">
      <c r="A1044" s="4" t="str">
        <f aca="false">IF(Base_Bruta!A1044="","",Base_Bruta!A1044)</f>
        <v>RJ-000546</v>
      </c>
      <c r="B1044" s="5" t="n">
        <f aca="false">IF($A1044="","",IF(ISNUMBER(Base_Bruta!B1044),Base_Bruta!B1044,IF(MID(Base_Bruta!B1044,5,1)="-",DATE(VALUE(LEFT(Base_Bruta!B1044,4)),VALUE(MID(Base_Bruta!B1044,6,2)),VALUE(RIGHT(Base_Bruta!B1044,2))),DATE(VALUE(RIGHT(Base_Bruta!B1044,4)),VALUE(MID(Base_Bruta!B1044,4,2)),VALUE(LEFT(Base_Bruta!B1044,2))))))</f>
        <v>45911</v>
      </c>
      <c r="C1044" s="5" t="n">
        <f aca="false">IF($A1044="","",IF(ISNUMBER(Base_Bruta!C1044),Base_Bruta!C1044,IF(MID(Base_Bruta!C1044,5,1)="-",DATE(VALUE(LEFT(Base_Bruta!C1044,4)),VALUE(MID(Base_Bruta!C1044,6,2)),VALUE(RIGHT(Base_Bruta!C1044,2))),DATE(VALUE(RIGHT(Base_Bruta!C1044,4)),VALUE(MID(Base_Bruta!C1044,4,2)),VALUE(LEFT(Base_Bruta!C1044,2))))))</f>
        <v>45913</v>
      </c>
      <c r="D1044" s="4" t="str">
        <f aca="false">IF($A1044="","",TRIM(Base_Bruta!D1044))</f>
        <v>Cinema Barra - Sessões</v>
      </c>
      <c r="E1044" s="4" t="str">
        <f aca="false">IF($A1044="","",_xlfn.XLOOKUP(LOWER(TRIM(Base_Bruta!E1044)),DePara_Categoria!$A$2:$A$9,DePara_Categoria!$B$2:$B$9,"REVISAR"))</f>
        <v>Cinema</v>
      </c>
      <c r="F1044" s="4" t="str">
        <f aca="false">IF($A1044="","",_xlfn.XLOOKUP(LOWER(TRIM(Base_Bruta!F1044)),DePara_Cidade!$A$2:$A$29,DePara_Cidade!$B$2:$B$29,"REVISAR"))</f>
        <v>Rio de Janeiro</v>
      </c>
      <c r="G1044" s="4" t="str">
        <f aca="false">IF($A1044="","",TRIM(Base_Bruta!G1044))</f>
        <v>Inteira</v>
      </c>
      <c r="H1044" s="4" t="n">
        <f aca="false">IF($A1044="","",IF(ISNUMBER(Base_Bruta!H1044),Base_Bruta!H1044,IFERROR(_xlfn.NUMBERVALUE(TRIM(SUBSTITUTE(Base_Bruta!H1044,"R$","")),",","."),0)))</f>
        <v>2</v>
      </c>
      <c r="I1044" s="6" t="n">
        <f aca="false">IF($A1044="","",IF(ISNUMBER(Base_Bruta!I1044),Base_Bruta!I1044,IFERROR(_xlfn.NUMBERVALUE(TRIM(SUBSTITUTE(Base_Bruta!I1044,"R$","")),",","."),0)))</f>
        <v>40</v>
      </c>
      <c r="J1044" s="6" t="n">
        <f aca="false">IF($A1044="","",H1044*I1044)</f>
        <v>80</v>
      </c>
      <c r="K1044" s="4" t="str">
        <f aca="false">IF($A1044="","",TRIM(Base_Bruta!J1044))</f>
        <v>App</v>
      </c>
      <c r="L1044" s="4" t="str">
        <f aca="false">IF($A1044="","",TRIM(Base_Bruta!K1044))</f>
        <v>C01597</v>
      </c>
      <c r="M1044" s="4" t="str">
        <f aca="false">IF($A1044="","",_xlfn.XLOOKUP(LOWER(TRIM(Base_Bruta!L1044)),DePara_Cidade!$A$2:$A$29,DePara_Cidade!$B$2:$B$29,"REVISAR"))</f>
        <v>Rio de Janeiro</v>
      </c>
      <c r="N1044" s="4" t="str">
        <f aca="false">IF($A1044="","",UPPER(TRIM(Base_Bruta!M1044)))</f>
        <v>RJ</v>
      </c>
      <c r="O1044" s="4" t="str">
        <f aca="false">IF($A1044="","",_xlfn.XLOOKUP(LOWER(TRIM(Base_Bruta!N1044)),DePara_Pais!$A$2:$A$9,DePara_Pais!$B$2:$B$9,"REVISAR"))</f>
        <v>Brasil</v>
      </c>
      <c r="P1044" s="4" t="str">
        <f aca="false">IF($A1044="","",IF(O1044&lt;&gt;"Brasil","Turista Internacional",IF(M1044=F1044,"Local","Turista Nacional")))</f>
        <v>Local</v>
      </c>
      <c r="Q1044" s="7" t="n">
        <f aca="false">IF($A1044="","",DATE(YEAR(B1044),MONTH(B1044),1))</f>
        <v>45901</v>
      </c>
      <c r="R1044" s="4" t="str">
        <f aca="false">IF($A1044="","",IF(COUNTIF($A$2:$A1044,$A1044)&gt;1,"Sim","Não"))</f>
        <v>Não</v>
      </c>
      <c r="S1044" s="4" t="str">
        <f aca="false">IF(A1044="","Descartar - Linha vazia",IF(R1044="Sim","Descartar - Duplicado",IF(OR(H1044&lt;=0,I1044&lt;=0),"Descartar - Qtd/Valor inválido","OK")))</f>
        <v>OK</v>
      </c>
      <c r="T1044" s="4" t="str">
        <f aca="false">Base_Bruta!P1044</f>
        <v>vendas_RJ.xlsx</v>
      </c>
    </row>
    <row r="1045" customFormat="false" ht="15" hidden="false" customHeight="false" outlineLevel="0" collapsed="false">
      <c r="A1045" s="4" t="str">
        <f aca="false">IF(Base_Bruta!A1045="","",Base_Bruta!A1045)</f>
        <v>RJ-000686</v>
      </c>
      <c r="B1045" s="5" t="n">
        <f aca="false">IF($A1045="","",IF(ISNUMBER(Base_Bruta!B1045),Base_Bruta!B1045,IF(MID(Base_Bruta!B1045,5,1)="-",DATE(VALUE(LEFT(Base_Bruta!B1045,4)),VALUE(MID(Base_Bruta!B1045,6,2)),VALUE(RIGHT(Base_Bruta!B1045,2))),DATE(VALUE(RIGHT(Base_Bruta!B1045,4)),VALUE(MID(Base_Bruta!B1045,4,2)),VALUE(LEFT(Base_Bruta!B1045,2))))))</f>
        <v>45920</v>
      </c>
      <c r="C1045" s="5" t="n">
        <f aca="false">IF($A1045="","",IF(ISNUMBER(Base_Bruta!C1045),Base_Bruta!C1045,IF(MID(Base_Bruta!C1045,5,1)="-",DATE(VALUE(LEFT(Base_Bruta!C1045,4)),VALUE(MID(Base_Bruta!C1045,6,2)),VALUE(RIGHT(Base_Bruta!C1045,2))),DATE(VALUE(RIGHT(Base_Bruta!C1045,4)),VALUE(MID(Base_Bruta!C1045,4,2)),VALUE(LEFT(Base_Bruta!C1045,2))))))</f>
        <v>45922</v>
      </c>
      <c r="D1045" s="4" t="str">
        <f aca="false">IF($A1045="","",TRIM(Base_Bruta!D1045))</f>
        <v>Cinema Barra - Sessões</v>
      </c>
      <c r="E1045" s="4" t="str">
        <f aca="false">IF($A1045="","",_xlfn.XLOOKUP(LOWER(TRIM(Base_Bruta!E1045)),DePara_Categoria!$A$2:$A$9,DePara_Categoria!$B$2:$B$9,"REVISAR"))</f>
        <v>Cinema</v>
      </c>
      <c r="F1045" s="4" t="str">
        <f aca="false">IF($A1045="","",_xlfn.XLOOKUP(LOWER(TRIM(Base_Bruta!F1045)),DePara_Cidade!$A$2:$A$29,DePara_Cidade!$B$2:$B$29,"REVISAR"))</f>
        <v>Rio de Janeiro</v>
      </c>
      <c r="G1045" s="4" t="str">
        <f aca="false">IF($A1045="","",TRIM(Base_Bruta!G1045))</f>
        <v>Inteira</v>
      </c>
      <c r="H1045" s="4" t="n">
        <f aca="false">IF($A1045="","",IF(ISNUMBER(Base_Bruta!H1045),Base_Bruta!H1045,IFERROR(_xlfn.NUMBERVALUE(TRIM(SUBSTITUTE(Base_Bruta!H1045,"R$","")),",","."),0)))</f>
        <v>3</v>
      </c>
      <c r="I1045" s="6" t="n">
        <f aca="false">IF($A1045="","",IF(ISNUMBER(Base_Bruta!I1045),Base_Bruta!I1045,IFERROR(_xlfn.NUMBERVALUE(TRIM(SUBSTITUTE(Base_Bruta!I1045,"R$","")),",","."),0)))</f>
        <v>35</v>
      </c>
      <c r="J1045" s="6" t="n">
        <f aca="false">IF($A1045="","",H1045*I1045)</f>
        <v>105</v>
      </c>
      <c r="K1045" s="4" t="str">
        <f aca="false">IF($A1045="","",TRIM(Base_Bruta!J1045))</f>
        <v>Site</v>
      </c>
      <c r="L1045" s="4" t="str">
        <f aca="false">IF($A1045="","",TRIM(Base_Bruta!K1045))</f>
        <v>C00541</v>
      </c>
      <c r="M1045" s="4" t="str">
        <f aca="false">IF($A1045="","",_xlfn.XLOOKUP(LOWER(TRIM(Base_Bruta!L1045)),DePara_Cidade!$A$2:$A$29,DePara_Cidade!$B$2:$B$29,"REVISAR"))</f>
        <v>Rio de Janeiro</v>
      </c>
      <c r="N1045" s="4" t="str">
        <f aca="false">IF($A1045="","",UPPER(TRIM(Base_Bruta!M1045)))</f>
        <v>RJ</v>
      </c>
      <c r="O1045" s="4" t="str">
        <f aca="false">IF($A1045="","",_xlfn.XLOOKUP(LOWER(TRIM(Base_Bruta!N1045)),DePara_Pais!$A$2:$A$9,DePara_Pais!$B$2:$B$9,"REVISAR"))</f>
        <v>Brasil</v>
      </c>
      <c r="P1045" s="4" t="str">
        <f aca="false">IF($A1045="","",IF(O1045&lt;&gt;"Brasil","Turista Internacional",IF(M1045=F1045,"Local","Turista Nacional")))</f>
        <v>Local</v>
      </c>
      <c r="Q1045" s="7" t="n">
        <f aca="false">IF($A1045="","",DATE(YEAR(B1045),MONTH(B1045),1))</f>
        <v>45901</v>
      </c>
      <c r="R1045" s="4" t="str">
        <f aca="false">IF($A1045="","",IF(COUNTIF($A$2:$A1045,$A1045)&gt;1,"Sim","Não"))</f>
        <v>Não</v>
      </c>
      <c r="S1045" s="4" t="str">
        <f aca="false">IF(A1045="","Descartar - Linha vazia",IF(R1045="Sim","Descartar - Duplicado",IF(OR(H1045&lt;=0,I1045&lt;=0),"Descartar - Qtd/Valor inválido","OK")))</f>
        <v>OK</v>
      </c>
      <c r="T1045" s="4" t="str">
        <f aca="false">Base_Bruta!P1045</f>
        <v>vendas_RJ.xlsx</v>
      </c>
    </row>
    <row r="1046" customFormat="false" ht="15" hidden="false" customHeight="false" outlineLevel="0" collapsed="false">
      <c r="A1046" s="4" t="str">
        <f aca="false">IF(Base_Bruta!A1046="","",Base_Bruta!A1046)</f>
        <v>RJ-000084</v>
      </c>
      <c r="B1046" s="5" t="n">
        <f aca="false">IF($A1046="","",IF(ISNUMBER(Base_Bruta!B1046),Base_Bruta!B1046,IF(MID(Base_Bruta!B1046,5,1)="-",DATE(VALUE(LEFT(Base_Bruta!B1046,4)),VALUE(MID(Base_Bruta!B1046,6,2)),VALUE(RIGHT(Base_Bruta!B1046,2))),DATE(VALUE(RIGHT(Base_Bruta!B1046,4)),VALUE(MID(Base_Bruta!B1046,4,2)),VALUE(LEFT(Base_Bruta!B1046,2))))))</f>
        <v>45926</v>
      </c>
      <c r="C1046" s="5" t="n">
        <f aca="false">IF($A1046="","",IF(ISNUMBER(Base_Bruta!C1046),Base_Bruta!C1046,IF(MID(Base_Bruta!C1046,5,1)="-",DATE(VALUE(LEFT(Base_Bruta!C1046,4)),VALUE(MID(Base_Bruta!C1046,6,2)),VALUE(RIGHT(Base_Bruta!C1046,2))),DATE(VALUE(RIGHT(Base_Bruta!C1046,4)),VALUE(MID(Base_Bruta!C1046,4,2)),VALUE(LEFT(Base_Bruta!C1046,2))))))</f>
        <v>46046</v>
      </c>
      <c r="D1046" s="4" t="str">
        <f aca="false">IF($A1046="","",TRIM(Base_Bruta!D1046))</f>
        <v>Rio Beat Festival 2026</v>
      </c>
      <c r="E1046" s="4" t="str">
        <f aca="false">IF($A1046="","",_xlfn.XLOOKUP(LOWER(TRIM(Base_Bruta!E1046)),DePara_Categoria!$A$2:$A$9,DePara_Categoria!$B$2:$B$9,"REVISAR"))</f>
        <v>Festival</v>
      </c>
      <c r="F1046" s="4" t="str">
        <f aca="false">IF($A1046="","",_xlfn.XLOOKUP(LOWER(TRIM(Base_Bruta!F1046)),DePara_Cidade!$A$2:$A$29,DePara_Cidade!$B$2:$B$29,"REVISAR"))</f>
        <v>Rio de Janeiro</v>
      </c>
      <c r="G1046" s="4" t="str">
        <f aca="false">IF($A1046="","",TRIM(Base_Bruta!G1046))</f>
        <v>Inteira</v>
      </c>
      <c r="H1046" s="4" t="n">
        <f aca="false">IF($A1046="","",IF(ISNUMBER(Base_Bruta!H1046),Base_Bruta!H1046,IFERROR(_xlfn.NUMBERVALUE(TRIM(SUBSTITUTE(Base_Bruta!H1046,"R$","")),",","."),0)))</f>
        <v>1</v>
      </c>
      <c r="I1046" s="6" t="n">
        <f aca="false">IF($A1046="","",IF(ISNUMBER(Base_Bruta!I1046),Base_Bruta!I1046,IFERROR(_xlfn.NUMBERVALUE(TRIM(SUBSTITUTE(Base_Bruta!I1046,"R$","")),",","."),0)))</f>
        <v>670</v>
      </c>
      <c r="J1046" s="6" t="n">
        <f aca="false">IF($A1046="","",H1046*I1046)</f>
        <v>670</v>
      </c>
      <c r="K1046" s="4" t="str">
        <f aca="false">IF($A1046="","",TRIM(Base_Bruta!J1046))</f>
        <v>Parceiro</v>
      </c>
      <c r="L1046" s="4" t="str">
        <f aca="false">IF($A1046="","",TRIM(Base_Bruta!K1046))</f>
        <v>C01429</v>
      </c>
      <c r="M1046" s="4" t="str">
        <f aca="false">IF($A1046="","",_xlfn.XLOOKUP(LOWER(TRIM(Base_Bruta!L1046)),DePara_Cidade!$A$2:$A$29,DePara_Cidade!$B$2:$B$29,"REVISAR"))</f>
        <v>Curitiba</v>
      </c>
      <c r="N1046" s="4" t="str">
        <f aca="false">IF($A1046="","",UPPER(TRIM(Base_Bruta!M1046)))</f>
        <v>PR</v>
      </c>
      <c r="O1046" s="4" t="str">
        <f aca="false">IF($A1046="","",_xlfn.XLOOKUP(LOWER(TRIM(Base_Bruta!N1046)),DePara_Pais!$A$2:$A$9,DePara_Pais!$B$2:$B$9,"REVISAR"))</f>
        <v>Brasil</v>
      </c>
      <c r="P1046" s="4" t="str">
        <f aca="false">IF($A1046="","",IF(O1046&lt;&gt;"Brasil","Turista Internacional",IF(M1046=F1046,"Local","Turista Nacional")))</f>
        <v>Turista Nacional</v>
      </c>
      <c r="Q1046" s="7" t="n">
        <f aca="false">IF($A1046="","",DATE(YEAR(B1046),MONTH(B1046),1))</f>
        <v>45901</v>
      </c>
      <c r="R1046" s="4" t="str">
        <f aca="false">IF($A1046="","",IF(COUNTIF($A$2:$A1046,$A1046)&gt;1,"Sim","Não"))</f>
        <v>Não</v>
      </c>
      <c r="S1046" s="4" t="str">
        <f aca="false">IF(A1046="","Descartar - Linha vazia",IF(R1046="Sim","Descartar - Duplicado",IF(OR(H1046&lt;=0,I1046&lt;=0),"Descartar - Qtd/Valor inválido","OK")))</f>
        <v>OK</v>
      </c>
      <c r="T1046" s="4" t="str">
        <f aca="false">Base_Bruta!P1046</f>
        <v>vendas_RJ.xlsx</v>
      </c>
    </row>
    <row r="1047" customFormat="false" ht="15" hidden="false" customHeight="false" outlineLevel="0" collapsed="false">
      <c r="A1047" s="4" t="str">
        <f aca="false">IF(Base_Bruta!A1047="","",Base_Bruta!A1047)</f>
        <v>RJ-000188</v>
      </c>
      <c r="B1047" s="5" t="n">
        <f aca="false">IF($A1047="","",IF(ISNUMBER(Base_Bruta!B1047),Base_Bruta!B1047,IF(MID(Base_Bruta!B1047,5,1)="-",DATE(VALUE(LEFT(Base_Bruta!B1047,4)),VALUE(MID(Base_Bruta!B1047,6,2)),VALUE(RIGHT(Base_Bruta!B1047,2))),DATE(VALUE(RIGHT(Base_Bruta!B1047,4)),VALUE(MID(Base_Bruta!B1047,4,2)),VALUE(LEFT(Base_Bruta!B1047,2))))))</f>
        <v>45926</v>
      </c>
      <c r="C1047" s="5" t="n">
        <f aca="false">IF($A1047="","",IF(ISNUMBER(Base_Bruta!C1047),Base_Bruta!C1047,IF(MID(Base_Bruta!C1047,5,1)="-",DATE(VALUE(LEFT(Base_Bruta!C1047,4)),VALUE(MID(Base_Bruta!C1047,6,2)),VALUE(RIGHT(Base_Bruta!C1047,2))),DATE(VALUE(RIGHT(Base_Bruta!C1047,4)),VALUE(MID(Base_Bruta!C1047,4,2)),VALUE(LEFT(Base_Bruta!C1047,2))))))</f>
        <v>46046</v>
      </c>
      <c r="D1047" s="4" t="str">
        <f aca="false">IF($A1047="","",TRIM(Base_Bruta!D1047))</f>
        <v>Rio Beat Festival 2026</v>
      </c>
      <c r="E1047" s="4" t="str">
        <f aca="false">IF($A1047="","",_xlfn.XLOOKUP(LOWER(TRIM(Base_Bruta!E1047)),DePara_Categoria!$A$2:$A$9,DePara_Categoria!$B$2:$B$9,"REVISAR"))</f>
        <v>Festival</v>
      </c>
      <c r="F1047" s="4" t="str">
        <f aca="false">IF($A1047="","",_xlfn.XLOOKUP(LOWER(TRIM(Base_Bruta!F1047)),DePara_Cidade!$A$2:$A$29,DePara_Cidade!$B$2:$B$29,"REVISAR"))</f>
        <v>Rio de Janeiro</v>
      </c>
      <c r="G1047" s="4" t="str">
        <f aca="false">IF($A1047="","",TRIM(Base_Bruta!G1047))</f>
        <v>Inteira</v>
      </c>
      <c r="H1047" s="4" t="n">
        <f aca="false">IF($A1047="","",IF(ISNUMBER(Base_Bruta!H1047),Base_Bruta!H1047,IFERROR(_xlfn.NUMBERVALUE(TRIM(SUBSTITUTE(Base_Bruta!H1047,"R$","")),",","."),0)))</f>
        <v>2</v>
      </c>
      <c r="I1047" s="6" t="n">
        <f aca="false">IF($A1047="","",IF(ISNUMBER(Base_Bruta!I1047),Base_Bruta!I1047,IFERROR(_xlfn.NUMBERVALUE(TRIM(SUBSTITUTE(Base_Bruta!I1047,"R$","")),",","."),0)))</f>
        <v>865</v>
      </c>
      <c r="J1047" s="6" t="n">
        <f aca="false">IF($A1047="","",H1047*I1047)</f>
        <v>1730</v>
      </c>
      <c r="K1047" s="4" t="str">
        <f aca="false">IF($A1047="","",TRIM(Base_Bruta!J1047))</f>
        <v>Site</v>
      </c>
      <c r="L1047" s="4" t="str">
        <f aca="false">IF($A1047="","",TRIM(Base_Bruta!K1047))</f>
        <v>C01196</v>
      </c>
      <c r="M1047" s="4" t="str">
        <f aca="false">IF($A1047="","",_xlfn.XLOOKUP(LOWER(TRIM(Base_Bruta!L1047)),DePara_Cidade!$A$2:$A$29,DePara_Cidade!$B$2:$B$29,"REVISAR"))</f>
        <v>Rio de Janeiro</v>
      </c>
      <c r="N1047" s="4" t="str">
        <f aca="false">IF($A1047="","",UPPER(TRIM(Base_Bruta!M1047)))</f>
        <v>RJ</v>
      </c>
      <c r="O1047" s="4" t="str">
        <f aca="false">IF($A1047="","",_xlfn.XLOOKUP(LOWER(TRIM(Base_Bruta!N1047)),DePara_Pais!$A$2:$A$9,DePara_Pais!$B$2:$B$9,"REVISAR"))</f>
        <v>Brasil</v>
      </c>
      <c r="P1047" s="4" t="str">
        <f aca="false">IF($A1047="","",IF(O1047&lt;&gt;"Brasil","Turista Internacional",IF(M1047=F1047,"Local","Turista Nacional")))</f>
        <v>Local</v>
      </c>
      <c r="Q1047" s="7" t="n">
        <f aca="false">IF($A1047="","",DATE(YEAR(B1047),MONTH(B1047),1))</f>
        <v>45901</v>
      </c>
      <c r="R1047" s="4" t="str">
        <f aca="false">IF($A1047="","",IF(COUNTIF($A$2:$A1047,$A1047)&gt;1,"Sim","Não"))</f>
        <v>Não</v>
      </c>
      <c r="S1047" s="4" t="str">
        <f aca="false">IF(A1047="","Descartar - Linha vazia",IF(R1047="Sim","Descartar - Duplicado",IF(OR(H1047&lt;=0,I1047&lt;=0),"Descartar - Qtd/Valor inválido","OK")))</f>
        <v>OK</v>
      </c>
      <c r="T1047" s="4" t="str">
        <f aca="false">Base_Bruta!P1047</f>
        <v>vendas_RJ.xlsx</v>
      </c>
    </row>
    <row r="1048" customFormat="false" ht="15" hidden="false" customHeight="false" outlineLevel="0" collapsed="false">
      <c r="A1048" s="4" t="str">
        <f aca="false">IF(Base_Bruta!A1048="","",Base_Bruta!A1048)</f>
        <v>RJ-000199</v>
      </c>
      <c r="B1048" s="5" t="n">
        <f aca="false">IF($A1048="","",IF(ISNUMBER(Base_Bruta!B1048),Base_Bruta!B1048,IF(MID(Base_Bruta!B1048,5,1)="-",DATE(VALUE(LEFT(Base_Bruta!B1048,4)),VALUE(MID(Base_Bruta!B1048,6,2)),VALUE(RIGHT(Base_Bruta!B1048,2))),DATE(VALUE(RIGHT(Base_Bruta!B1048,4)),VALUE(MID(Base_Bruta!B1048,4,2)),VALUE(LEFT(Base_Bruta!B1048,2))))))</f>
        <v>45926</v>
      </c>
      <c r="C1048" s="5" t="n">
        <f aca="false">IF($A1048="","",IF(ISNUMBER(Base_Bruta!C1048),Base_Bruta!C1048,IF(MID(Base_Bruta!C1048,5,1)="-",DATE(VALUE(LEFT(Base_Bruta!C1048,4)),VALUE(MID(Base_Bruta!C1048,6,2)),VALUE(RIGHT(Base_Bruta!C1048,2))),DATE(VALUE(RIGHT(Base_Bruta!C1048,4)),VALUE(MID(Base_Bruta!C1048,4,2)),VALUE(LEFT(Base_Bruta!C1048,2))))))</f>
        <v>46046</v>
      </c>
      <c r="D1048" s="4" t="str">
        <f aca="false">IF($A1048="","",TRIM(Base_Bruta!D1048))</f>
        <v>Rio Beat Festival 2026</v>
      </c>
      <c r="E1048" s="4" t="str">
        <f aca="false">IF($A1048="","",_xlfn.XLOOKUP(LOWER(TRIM(Base_Bruta!E1048)),DePara_Categoria!$A$2:$A$9,DePara_Categoria!$B$2:$B$9,"REVISAR"))</f>
        <v>Festival</v>
      </c>
      <c r="F1048" s="4" t="str">
        <f aca="false">IF($A1048="","",_xlfn.XLOOKUP(LOWER(TRIM(Base_Bruta!F1048)),DePara_Cidade!$A$2:$A$29,DePara_Cidade!$B$2:$B$29,"REVISAR"))</f>
        <v>Rio de Janeiro</v>
      </c>
      <c r="G1048" s="4" t="str">
        <f aca="false">IF($A1048="","",TRIM(Base_Bruta!G1048))</f>
        <v>Inteira</v>
      </c>
      <c r="H1048" s="4" t="n">
        <f aca="false">IF($A1048="","",IF(ISNUMBER(Base_Bruta!H1048),Base_Bruta!H1048,IFERROR(_xlfn.NUMBERVALUE(TRIM(SUBSTITUTE(Base_Bruta!H1048,"R$","")),",","."),0)))</f>
        <v>1</v>
      </c>
      <c r="I1048" s="6" t="n">
        <f aca="false">IF($A1048="","",IF(ISNUMBER(Base_Bruta!I1048),Base_Bruta!I1048,IFERROR(_xlfn.NUMBERVALUE(TRIM(SUBSTITUTE(Base_Bruta!I1048,"R$","")),",","."),0)))</f>
        <v>810</v>
      </c>
      <c r="J1048" s="6" t="n">
        <f aca="false">IF($A1048="","",H1048*I1048)</f>
        <v>810</v>
      </c>
      <c r="K1048" s="4" t="str">
        <f aca="false">IF($A1048="","",TRIM(Base_Bruta!J1048))</f>
        <v>Site</v>
      </c>
      <c r="L1048" s="4" t="str">
        <f aca="false">IF($A1048="","",TRIM(Base_Bruta!K1048))</f>
        <v>C01717</v>
      </c>
      <c r="M1048" s="4" t="str">
        <f aca="false">IF($A1048="","",_xlfn.XLOOKUP(LOWER(TRIM(Base_Bruta!L1048)),DePara_Cidade!$A$2:$A$29,DePara_Cidade!$B$2:$B$29,"REVISAR"))</f>
        <v>Rio de Janeiro</v>
      </c>
      <c r="N1048" s="4" t="str">
        <f aca="false">IF($A1048="","",UPPER(TRIM(Base_Bruta!M1048)))</f>
        <v>RJ</v>
      </c>
      <c r="O1048" s="4" t="str">
        <f aca="false">IF($A1048="","",_xlfn.XLOOKUP(LOWER(TRIM(Base_Bruta!N1048)),DePara_Pais!$A$2:$A$9,DePara_Pais!$B$2:$B$9,"REVISAR"))</f>
        <v>Brasil</v>
      </c>
      <c r="P1048" s="4" t="str">
        <f aca="false">IF($A1048="","",IF(O1048&lt;&gt;"Brasil","Turista Internacional",IF(M1048=F1048,"Local","Turista Nacional")))</f>
        <v>Local</v>
      </c>
      <c r="Q1048" s="7" t="n">
        <f aca="false">IF($A1048="","",DATE(YEAR(B1048),MONTH(B1048),1))</f>
        <v>45901</v>
      </c>
      <c r="R1048" s="4" t="str">
        <f aca="false">IF($A1048="","",IF(COUNTIF($A$2:$A1048,$A1048)&gt;1,"Sim","Não"))</f>
        <v>Não</v>
      </c>
      <c r="S1048" s="4" t="str">
        <f aca="false">IF(A1048="","Descartar - Linha vazia",IF(R1048="Sim","Descartar - Duplicado",IF(OR(H1048&lt;=0,I1048&lt;=0),"Descartar - Qtd/Valor inválido","OK")))</f>
        <v>OK</v>
      </c>
      <c r="T1048" s="4" t="str">
        <f aca="false">Base_Bruta!P1048</f>
        <v>vendas_RJ.xlsx</v>
      </c>
    </row>
    <row r="1049" customFormat="false" ht="15" hidden="false" customHeight="false" outlineLevel="0" collapsed="false">
      <c r="A1049" s="4" t="str">
        <f aca="false">IF(Base_Bruta!A1049="","",Base_Bruta!A1049)</f>
        <v>RJ-000188</v>
      </c>
      <c r="B1049" s="5" t="n">
        <f aca="false">IF($A1049="","",IF(ISNUMBER(Base_Bruta!B1049),Base_Bruta!B1049,IF(MID(Base_Bruta!B1049,5,1)="-",DATE(VALUE(LEFT(Base_Bruta!B1049,4)),VALUE(MID(Base_Bruta!B1049,6,2)),VALUE(RIGHT(Base_Bruta!B1049,2))),DATE(VALUE(RIGHT(Base_Bruta!B1049,4)),VALUE(MID(Base_Bruta!B1049,4,2)),VALUE(LEFT(Base_Bruta!B1049,2))))))</f>
        <v>45926</v>
      </c>
      <c r="C1049" s="5" t="n">
        <f aca="false">IF($A1049="","",IF(ISNUMBER(Base_Bruta!C1049),Base_Bruta!C1049,IF(MID(Base_Bruta!C1049,5,1)="-",DATE(VALUE(LEFT(Base_Bruta!C1049,4)),VALUE(MID(Base_Bruta!C1049,6,2)),VALUE(RIGHT(Base_Bruta!C1049,2))),DATE(VALUE(RIGHT(Base_Bruta!C1049,4)),VALUE(MID(Base_Bruta!C1049,4,2)),VALUE(LEFT(Base_Bruta!C1049,2))))))</f>
        <v>46046</v>
      </c>
      <c r="D1049" s="4" t="str">
        <f aca="false">IF($A1049="","",TRIM(Base_Bruta!D1049))</f>
        <v>Rio Beat Festival 2026</v>
      </c>
      <c r="E1049" s="4" t="str">
        <f aca="false">IF($A1049="","",_xlfn.XLOOKUP(LOWER(TRIM(Base_Bruta!E1049)),DePara_Categoria!$A$2:$A$9,DePara_Categoria!$B$2:$B$9,"REVISAR"))</f>
        <v>Festival</v>
      </c>
      <c r="F1049" s="4" t="str">
        <f aca="false">IF($A1049="","",_xlfn.XLOOKUP(LOWER(TRIM(Base_Bruta!F1049)),DePara_Cidade!$A$2:$A$29,DePara_Cidade!$B$2:$B$29,"REVISAR"))</f>
        <v>Rio de Janeiro</v>
      </c>
      <c r="G1049" s="4" t="str">
        <f aca="false">IF($A1049="","",TRIM(Base_Bruta!G1049))</f>
        <v>Inteira</v>
      </c>
      <c r="H1049" s="4" t="n">
        <f aca="false">IF($A1049="","",IF(ISNUMBER(Base_Bruta!H1049),Base_Bruta!H1049,IFERROR(_xlfn.NUMBERVALUE(TRIM(SUBSTITUTE(Base_Bruta!H1049,"R$","")),",","."),0)))</f>
        <v>2</v>
      </c>
      <c r="I1049" s="6" t="n">
        <f aca="false">IF($A1049="","",IF(ISNUMBER(Base_Bruta!I1049),Base_Bruta!I1049,IFERROR(_xlfn.NUMBERVALUE(TRIM(SUBSTITUTE(Base_Bruta!I1049,"R$","")),",","."),0)))</f>
        <v>865</v>
      </c>
      <c r="J1049" s="6" t="n">
        <f aca="false">IF($A1049="","",H1049*I1049)</f>
        <v>1730</v>
      </c>
      <c r="K1049" s="4" t="str">
        <f aca="false">IF($A1049="","",TRIM(Base_Bruta!J1049))</f>
        <v>Site</v>
      </c>
      <c r="L1049" s="4" t="str">
        <f aca="false">IF($A1049="","",TRIM(Base_Bruta!K1049))</f>
        <v>C01196</v>
      </c>
      <c r="M1049" s="4" t="str">
        <f aca="false">IF($A1049="","",_xlfn.XLOOKUP(LOWER(TRIM(Base_Bruta!L1049)),DePara_Cidade!$A$2:$A$29,DePara_Cidade!$B$2:$B$29,"REVISAR"))</f>
        <v>Rio de Janeiro</v>
      </c>
      <c r="N1049" s="4" t="str">
        <f aca="false">IF($A1049="","",UPPER(TRIM(Base_Bruta!M1049)))</f>
        <v>RJ</v>
      </c>
      <c r="O1049" s="4" t="str">
        <f aca="false">IF($A1049="","",_xlfn.XLOOKUP(LOWER(TRIM(Base_Bruta!N1049)),DePara_Pais!$A$2:$A$9,DePara_Pais!$B$2:$B$9,"REVISAR"))</f>
        <v>Brasil</v>
      </c>
      <c r="P1049" s="4" t="str">
        <f aca="false">IF($A1049="","",IF(O1049&lt;&gt;"Brasil","Turista Internacional",IF(M1049=F1049,"Local","Turista Nacional")))</f>
        <v>Local</v>
      </c>
      <c r="Q1049" s="7" t="n">
        <f aca="false">IF($A1049="","",DATE(YEAR(B1049),MONTH(B1049),1))</f>
        <v>45901</v>
      </c>
      <c r="R1049" s="4" t="str">
        <f aca="false">IF($A1049="","",IF(COUNTIF($A$2:$A1049,$A1049)&gt;1,"Sim","Não"))</f>
        <v>Sim</v>
      </c>
      <c r="S1049" s="4" t="str">
        <f aca="false">IF(A1049="","Descartar - Linha vazia",IF(R1049="Sim","Descartar - Duplicado",IF(OR(H1049&lt;=0,I1049&lt;=0),"Descartar - Qtd/Valor inválido","OK")))</f>
        <v>Descartar - Duplicado</v>
      </c>
      <c r="T1049" s="4" t="str">
        <f aca="false">Base_Bruta!P1049</f>
        <v>vendas_RJ.xlsx</v>
      </c>
    </row>
    <row r="1050" customFormat="false" ht="15" hidden="false" customHeight="false" outlineLevel="0" collapsed="false">
      <c r="A1050" s="4" t="str">
        <f aca="false">IF(Base_Bruta!A1050="","",Base_Bruta!A1050)</f>
        <v>RJ-000013</v>
      </c>
      <c r="B1050" s="5" t="n">
        <f aca="false">IF($A1050="","",IF(ISNUMBER(Base_Bruta!B1050),Base_Bruta!B1050,IF(MID(Base_Bruta!B1050,5,1)="-",DATE(VALUE(LEFT(Base_Bruta!B1050,4)),VALUE(MID(Base_Bruta!B1050,6,2)),VALUE(RIGHT(Base_Bruta!B1050,2))),DATE(VALUE(RIGHT(Base_Bruta!B1050,4)),VALUE(MID(Base_Bruta!B1050,4,2)),VALUE(LEFT(Base_Bruta!B1050,2))))))</f>
        <v>45927</v>
      </c>
      <c r="C1050" s="5" t="n">
        <f aca="false">IF($A1050="","",IF(ISNUMBER(Base_Bruta!C1050),Base_Bruta!C1050,IF(MID(Base_Bruta!C1050,5,1)="-",DATE(VALUE(LEFT(Base_Bruta!C1050,4)),VALUE(MID(Base_Bruta!C1050,6,2)),VALUE(RIGHT(Base_Bruta!C1050,2))),DATE(VALUE(RIGHT(Base_Bruta!C1050,4)),VALUE(MID(Base_Bruta!C1050,4,2)),VALUE(LEFT(Base_Bruta!C1050,2))))))</f>
        <v>46046</v>
      </c>
      <c r="D1050" s="4" t="str">
        <f aca="false">IF($A1050="","",TRIM(Base_Bruta!D1050))</f>
        <v>Rio Beat Festival 2026</v>
      </c>
      <c r="E1050" s="4" t="str">
        <f aca="false">IF($A1050="","",_xlfn.XLOOKUP(LOWER(TRIM(Base_Bruta!E1050)),DePara_Categoria!$A$2:$A$9,DePara_Categoria!$B$2:$B$9,"REVISAR"))</f>
        <v>Festival</v>
      </c>
      <c r="F1050" s="4" t="str">
        <f aca="false">IF($A1050="","",_xlfn.XLOOKUP(LOWER(TRIM(Base_Bruta!F1050)),DePara_Cidade!$A$2:$A$29,DePara_Cidade!$B$2:$B$29,"REVISAR"))</f>
        <v>Rio de Janeiro</v>
      </c>
      <c r="G1050" s="4" t="str">
        <f aca="false">IF($A1050="","",TRIM(Base_Bruta!G1050))</f>
        <v>Inteira</v>
      </c>
      <c r="H1050" s="4" t="n">
        <f aca="false">IF($A1050="","",IF(ISNUMBER(Base_Bruta!H1050),Base_Bruta!H1050,IFERROR(_xlfn.NUMBERVALUE(TRIM(SUBSTITUTE(Base_Bruta!H1050,"R$","")),",","."),0)))</f>
        <v>2</v>
      </c>
      <c r="I1050" s="6" t="n">
        <f aca="false">IF($A1050="","",IF(ISNUMBER(Base_Bruta!I1050),Base_Bruta!I1050,IFERROR(_xlfn.NUMBERVALUE(TRIM(SUBSTITUTE(Base_Bruta!I1050,"R$","")),",","."),0)))</f>
        <v>980</v>
      </c>
      <c r="J1050" s="6" t="n">
        <f aca="false">IF($A1050="","",H1050*I1050)</f>
        <v>1960</v>
      </c>
      <c r="K1050" s="4" t="str">
        <f aca="false">IF($A1050="","",TRIM(Base_Bruta!J1050))</f>
        <v>Parceiro</v>
      </c>
      <c r="L1050" s="4" t="str">
        <f aca="false">IF($A1050="","",TRIM(Base_Bruta!K1050))</f>
        <v>C00697</v>
      </c>
      <c r="M1050" s="4" t="str">
        <f aca="false">IF($A1050="","",_xlfn.XLOOKUP(LOWER(TRIM(Base_Bruta!L1050)),DePara_Cidade!$A$2:$A$29,DePara_Cidade!$B$2:$B$29,"REVISAR"))</f>
        <v>Rio de Janeiro</v>
      </c>
      <c r="N1050" s="4" t="str">
        <f aca="false">IF($A1050="","",UPPER(TRIM(Base_Bruta!M1050)))</f>
        <v>RJ</v>
      </c>
      <c r="O1050" s="4" t="str">
        <f aca="false">IF($A1050="","",_xlfn.XLOOKUP(LOWER(TRIM(Base_Bruta!N1050)),DePara_Pais!$A$2:$A$9,DePara_Pais!$B$2:$B$9,"REVISAR"))</f>
        <v>Brasil</v>
      </c>
      <c r="P1050" s="4" t="str">
        <f aca="false">IF($A1050="","",IF(O1050&lt;&gt;"Brasil","Turista Internacional",IF(M1050=F1050,"Local","Turista Nacional")))</f>
        <v>Local</v>
      </c>
      <c r="Q1050" s="7" t="n">
        <f aca="false">IF($A1050="","",DATE(YEAR(B1050),MONTH(B1050),1))</f>
        <v>45901</v>
      </c>
      <c r="R1050" s="4" t="str">
        <f aca="false">IF($A1050="","",IF(COUNTIF($A$2:$A1050,$A1050)&gt;1,"Sim","Não"))</f>
        <v>Não</v>
      </c>
      <c r="S1050" s="4" t="str">
        <f aca="false">IF(A1050="","Descartar - Linha vazia",IF(R1050="Sim","Descartar - Duplicado",IF(OR(H1050&lt;=0,I1050&lt;=0),"Descartar - Qtd/Valor inválido","OK")))</f>
        <v>OK</v>
      </c>
      <c r="T1050" s="4" t="str">
        <f aca="false">Base_Bruta!P1050</f>
        <v>vendas_RJ.xlsx</v>
      </c>
    </row>
    <row r="1051" customFormat="false" ht="15" hidden="false" customHeight="false" outlineLevel="0" collapsed="false">
      <c r="A1051" s="4" t="str">
        <f aca="false">IF(Base_Bruta!A1051="","",Base_Bruta!A1051)</f>
        <v>RJ-000091</v>
      </c>
      <c r="B1051" s="5" t="n">
        <f aca="false">IF($A1051="","",IF(ISNUMBER(Base_Bruta!B1051),Base_Bruta!B1051,IF(MID(Base_Bruta!B1051,5,1)="-",DATE(VALUE(LEFT(Base_Bruta!B1051,4)),VALUE(MID(Base_Bruta!B1051,6,2)),VALUE(RIGHT(Base_Bruta!B1051,2))),DATE(VALUE(RIGHT(Base_Bruta!B1051,4)),VALUE(MID(Base_Bruta!B1051,4,2)),VALUE(LEFT(Base_Bruta!B1051,2))))))</f>
        <v>45927</v>
      </c>
      <c r="C1051" s="5" t="n">
        <f aca="false">IF($A1051="","",IF(ISNUMBER(Base_Bruta!C1051),Base_Bruta!C1051,IF(MID(Base_Bruta!C1051,5,1)="-",DATE(VALUE(LEFT(Base_Bruta!C1051,4)),VALUE(MID(Base_Bruta!C1051,6,2)),VALUE(RIGHT(Base_Bruta!C1051,2))),DATE(VALUE(RIGHT(Base_Bruta!C1051,4)),VALUE(MID(Base_Bruta!C1051,4,2)),VALUE(LEFT(Base_Bruta!C1051,2))))))</f>
        <v>46046</v>
      </c>
      <c r="D1051" s="4" t="str">
        <f aca="false">IF($A1051="","",TRIM(Base_Bruta!D1051))</f>
        <v>Rio Beat Festival 2026</v>
      </c>
      <c r="E1051" s="4" t="str">
        <f aca="false">IF($A1051="","",_xlfn.XLOOKUP(LOWER(TRIM(Base_Bruta!E1051)),DePara_Categoria!$A$2:$A$9,DePara_Categoria!$B$2:$B$9,"REVISAR"))</f>
        <v>Festival</v>
      </c>
      <c r="F1051" s="4" t="str">
        <f aca="false">IF($A1051="","",_xlfn.XLOOKUP(LOWER(TRIM(Base_Bruta!F1051)),DePara_Cidade!$A$2:$A$29,DePara_Cidade!$B$2:$B$29,"REVISAR"))</f>
        <v>Rio de Janeiro</v>
      </c>
      <c r="G1051" s="4" t="str">
        <f aca="false">IF($A1051="","",TRIM(Base_Bruta!G1051))</f>
        <v>Meia</v>
      </c>
      <c r="H1051" s="4" t="n">
        <f aca="false">IF($A1051="","",IF(ISNUMBER(Base_Bruta!H1051),Base_Bruta!H1051,IFERROR(_xlfn.NUMBERVALUE(TRIM(SUBSTITUTE(Base_Bruta!H1051,"R$","")),",","."),0)))</f>
        <v>1</v>
      </c>
      <c r="I1051" s="6" t="n">
        <f aca="false">IF($A1051="","",IF(ISNUMBER(Base_Bruta!I1051),Base_Bruta!I1051,IFERROR(_xlfn.NUMBERVALUE(TRIM(SUBSTITUTE(Base_Bruta!I1051,"R$","")),",","."),0)))</f>
        <v>415</v>
      </c>
      <c r="J1051" s="6" t="n">
        <f aca="false">IF($A1051="","",H1051*I1051)</f>
        <v>415</v>
      </c>
      <c r="K1051" s="4" t="str">
        <f aca="false">IF($A1051="","",TRIM(Base_Bruta!J1051))</f>
        <v>Bilheteria</v>
      </c>
      <c r="L1051" s="4" t="str">
        <f aca="false">IF($A1051="","",TRIM(Base_Bruta!K1051))</f>
        <v>C00963</v>
      </c>
      <c r="M1051" s="4" t="str">
        <f aca="false">IF($A1051="","",_xlfn.XLOOKUP(LOWER(TRIM(Base_Bruta!L1051)),DePara_Cidade!$A$2:$A$29,DePara_Cidade!$B$2:$B$29,"REVISAR"))</f>
        <v>Goiânia</v>
      </c>
      <c r="N1051" s="4" t="str">
        <f aca="false">IF($A1051="","",UPPER(TRIM(Base_Bruta!M1051)))</f>
        <v>GO</v>
      </c>
      <c r="O1051" s="4" t="str">
        <f aca="false">IF($A1051="","",_xlfn.XLOOKUP(LOWER(TRIM(Base_Bruta!N1051)),DePara_Pais!$A$2:$A$9,DePara_Pais!$B$2:$B$9,"REVISAR"))</f>
        <v>Brasil</v>
      </c>
      <c r="P1051" s="4" t="str">
        <f aca="false">IF($A1051="","",IF(O1051&lt;&gt;"Brasil","Turista Internacional",IF(M1051=F1051,"Local","Turista Nacional")))</f>
        <v>Turista Nacional</v>
      </c>
      <c r="Q1051" s="7" t="n">
        <f aca="false">IF($A1051="","",DATE(YEAR(B1051),MONTH(B1051),1))</f>
        <v>45901</v>
      </c>
      <c r="R1051" s="4" t="str">
        <f aca="false">IF($A1051="","",IF(COUNTIF($A$2:$A1051,$A1051)&gt;1,"Sim","Não"))</f>
        <v>Não</v>
      </c>
      <c r="S1051" s="4" t="str">
        <f aca="false">IF(A1051="","Descartar - Linha vazia",IF(R1051="Sim","Descartar - Duplicado",IF(OR(H1051&lt;=0,I1051&lt;=0),"Descartar - Qtd/Valor inválido","OK")))</f>
        <v>OK</v>
      </c>
      <c r="T1051" s="4" t="str">
        <f aca="false">Base_Bruta!P1051</f>
        <v>vendas_RJ.xlsx</v>
      </c>
    </row>
    <row r="1052" customFormat="false" ht="15" hidden="false" customHeight="false" outlineLevel="0" collapsed="false">
      <c r="A1052" s="4" t="str">
        <f aca="false">IF(Base_Bruta!A1052="","",Base_Bruta!A1052)</f>
        <v>RJ-000105</v>
      </c>
      <c r="B1052" s="5" t="n">
        <f aca="false">IF($A1052="","",IF(ISNUMBER(Base_Bruta!B1052),Base_Bruta!B1052,IF(MID(Base_Bruta!B1052,5,1)="-",DATE(VALUE(LEFT(Base_Bruta!B1052,4)),VALUE(MID(Base_Bruta!B1052,6,2)),VALUE(RIGHT(Base_Bruta!B1052,2))),DATE(VALUE(RIGHT(Base_Bruta!B1052,4)),VALUE(MID(Base_Bruta!B1052,4,2)),VALUE(LEFT(Base_Bruta!B1052,2))))))</f>
        <v>45927</v>
      </c>
      <c r="C1052" s="5" t="n">
        <f aca="false">IF($A1052="","",IF(ISNUMBER(Base_Bruta!C1052),Base_Bruta!C1052,IF(MID(Base_Bruta!C1052,5,1)="-",DATE(VALUE(LEFT(Base_Bruta!C1052,4)),VALUE(MID(Base_Bruta!C1052,6,2)),VALUE(RIGHT(Base_Bruta!C1052,2))),DATE(VALUE(RIGHT(Base_Bruta!C1052,4)),VALUE(MID(Base_Bruta!C1052,4,2)),VALUE(LEFT(Base_Bruta!C1052,2))))))</f>
        <v>46046</v>
      </c>
      <c r="D1052" s="4" t="str">
        <f aca="false">IF($A1052="","",TRIM(Base_Bruta!D1052))</f>
        <v>Rio Beat Festival 2026</v>
      </c>
      <c r="E1052" s="4" t="str">
        <f aca="false">IF($A1052="","",_xlfn.XLOOKUP(LOWER(TRIM(Base_Bruta!E1052)),DePara_Categoria!$A$2:$A$9,DePara_Categoria!$B$2:$B$9,"REVISAR"))</f>
        <v>Festival</v>
      </c>
      <c r="F1052" s="4" t="str">
        <f aca="false">IF($A1052="","",_xlfn.XLOOKUP(LOWER(TRIM(Base_Bruta!F1052)),DePara_Cidade!$A$2:$A$29,DePara_Cidade!$B$2:$B$29,"REVISAR"))</f>
        <v>Rio de Janeiro</v>
      </c>
      <c r="G1052" s="4" t="str">
        <f aca="false">IF($A1052="","",TRIM(Base_Bruta!G1052))</f>
        <v>Meia</v>
      </c>
      <c r="H1052" s="4" t="n">
        <f aca="false">IF($A1052="","",IF(ISNUMBER(Base_Bruta!H1052),Base_Bruta!H1052,IFERROR(_xlfn.NUMBERVALUE(TRIM(SUBSTITUTE(Base_Bruta!H1052,"R$","")),",","."),0)))</f>
        <v>4</v>
      </c>
      <c r="I1052" s="6" t="n">
        <f aca="false">IF($A1052="","",IF(ISNUMBER(Base_Bruta!I1052),Base_Bruta!I1052,IFERROR(_xlfn.NUMBERVALUE(TRIM(SUBSTITUTE(Base_Bruta!I1052,"R$","")),",","."),0)))</f>
        <v>500</v>
      </c>
      <c r="J1052" s="6" t="n">
        <f aca="false">IF($A1052="","",H1052*I1052)</f>
        <v>2000</v>
      </c>
      <c r="K1052" s="4" t="str">
        <f aca="false">IF($A1052="","",TRIM(Base_Bruta!J1052))</f>
        <v>Site</v>
      </c>
      <c r="L1052" s="4" t="str">
        <f aca="false">IF($A1052="","",TRIM(Base_Bruta!K1052))</f>
        <v>C00524</v>
      </c>
      <c r="M1052" s="4" t="str">
        <f aca="false">IF($A1052="","",_xlfn.XLOOKUP(LOWER(TRIM(Base_Bruta!L1052)),DePara_Cidade!$A$2:$A$29,DePara_Cidade!$B$2:$B$29,"REVISAR"))</f>
        <v>Santiago</v>
      </c>
      <c r="N1052" s="4" t="str">
        <f aca="false">IF($A1052="","",UPPER(TRIM(Base_Bruta!M1052)))</f>
        <v>EX</v>
      </c>
      <c r="O1052" s="4" t="str">
        <f aca="false">IF($A1052="","",_xlfn.XLOOKUP(LOWER(TRIM(Base_Bruta!N1052)),DePara_Pais!$A$2:$A$9,DePara_Pais!$B$2:$B$9,"REVISAR"))</f>
        <v>Chile</v>
      </c>
      <c r="P1052" s="4" t="str">
        <f aca="false">IF($A1052="","",IF(O1052&lt;&gt;"Brasil","Turista Internacional",IF(M1052=F1052,"Local","Turista Nacional")))</f>
        <v>Turista Internacional</v>
      </c>
      <c r="Q1052" s="7" t="n">
        <f aca="false">IF($A1052="","",DATE(YEAR(B1052),MONTH(B1052),1))</f>
        <v>45901</v>
      </c>
      <c r="R1052" s="4" t="str">
        <f aca="false">IF($A1052="","",IF(COUNTIF($A$2:$A1052,$A1052)&gt;1,"Sim","Não"))</f>
        <v>Não</v>
      </c>
      <c r="S1052" s="4" t="str">
        <f aca="false">IF(A1052="","Descartar - Linha vazia",IF(R1052="Sim","Descartar - Duplicado",IF(OR(H1052&lt;=0,I1052&lt;=0),"Descartar - Qtd/Valor inválido","OK")))</f>
        <v>OK</v>
      </c>
      <c r="T1052" s="4" t="str">
        <f aca="false">Base_Bruta!P1052</f>
        <v>vendas_RJ.xlsx</v>
      </c>
    </row>
    <row r="1053" customFormat="false" ht="15" hidden="false" customHeight="false" outlineLevel="0" collapsed="false">
      <c r="A1053" s="4" t="str">
        <f aca="false">IF(Base_Bruta!A1053="","",Base_Bruta!A1053)</f>
        <v>RJ-000162</v>
      </c>
      <c r="B1053" s="5" t="n">
        <f aca="false">IF($A1053="","",IF(ISNUMBER(Base_Bruta!B1053),Base_Bruta!B1053,IF(MID(Base_Bruta!B1053,5,1)="-",DATE(VALUE(LEFT(Base_Bruta!B1053,4)),VALUE(MID(Base_Bruta!B1053,6,2)),VALUE(RIGHT(Base_Bruta!B1053,2))),DATE(VALUE(RIGHT(Base_Bruta!B1053,4)),VALUE(MID(Base_Bruta!B1053,4,2)),VALUE(LEFT(Base_Bruta!B1053,2))))))</f>
        <v>45927</v>
      </c>
      <c r="C1053" s="5" t="n">
        <f aca="false">IF($A1053="","",IF(ISNUMBER(Base_Bruta!C1053),Base_Bruta!C1053,IF(MID(Base_Bruta!C1053,5,1)="-",DATE(VALUE(LEFT(Base_Bruta!C1053,4)),VALUE(MID(Base_Bruta!C1053,6,2)),VALUE(RIGHT(Base_Bruta!C1053,2))),DATE(VALUE(RIGHT(Base_Bruta!C1053,4)),VALUE(MID(Base_Bruta!C1053,4,2)),VALUE(LEFT(Base_Bruta!C1053,2))))))</f>
        <v>46046</v>
      </c>
      <c r="D1053" s="4" t="str">
        <f aca="false">IF($A1053="","",TRIM(Base_Bruta!D1053))</f>
        <v>Rio Beat Festival 2026</v>
      </c>
      <c r="E1053" s="4" t="str">
        <f aca="false">IF($A1053="","",_xlfn.XLOOKUP(LOWER(TRIM(Base_Bruta!E1053)),DePara_Categoria!$A$2:$A$9,DePara_Categoria!$B$2:$B$9,"REVISAR"))</f>
        <v>Festival</v>
      </c>
      <c r="F1053" s="4" t="str">
        <f aca="false">IF($A1053="","",_xlfn.XLOOKUP(LOWER(TRIM(Base_Bruta!F1053)),DePara_Cidade!$A$2:$A$29,DePara_Cidade!$B$2:$B$29,"REVISAR"))</f>
        <v>Rio de Janeiro</v>
      </c>
      <c r="G1053" s="4" t="str">
        <f aca="false">IF($A1053="","",TRIM(Base_Bruta!G1053))</f>
        <v>Meia</v>
      </c>
      <c r="H1053" s="4" t="n">
        <f aca="false">IF($A1053="","",IF(ISNUMBER(Base_Bruta!H1053),Base_Bruta!H1053,IFERROR(_xlfn.NUMBERVALUE(TRIM(SUBSTITUTE(Base_Bruta!H1053,"R$","")),",","."),0)))</f>
        <v>2</v>
      </c>
      <c r="I1053" s="6" t="n">
        <f aca="false">IF($A1053="","",IF(ISNUMBER(Base_Bruta!I1053),Base_Bruta!I1053,IFERROR(_xlfn.NUMBERVALUE(TRIM(SUBSTITUTE(Base_Bruta!I1053,"R$","")),",","."),0)))</f>
        <v>465</v>
      </c>
      <c r="J1053" s="6" t="n">
        <f aca="false">IF($A1053="","",H1053*I1053)</f>
        <v>930</v>
      </c>
      <c r="K1053" s="4" t="str">
        <f aca="false">IF($A1053="","",TRIM(Base_Bruta!J1053))</f>
        <v>App</v>
      </c>
      <c r="L1053" s="4" t="str">
        <f aca="false">IF($A1053="","",TRIM(Base_Bruta!K1053))</f>
        <v>C00253</v>
      </c>
      <c r="M1053" s="4" t="str">
        <f aca="false">IF($A1053="","",_xlfn.XLOOKUP(LOWER(TRIM(Base_Bruta!L1053)),DePara_Cidade!$A$2:$A$29,DePara_Cidade!$B$2:$B$29,"REVISAR"))</f>
        <v>Rio de Janeiro</v>
      </c>
      <c r="N1053" s="4" t="str">
        <f aca="false">IF($A1053="","",UPPER(TRIM(Base_Bruta!M1053)))</f>
        <v>RJ</v>
      </c>
      <c r="O1053" s="4" t="str">
        <f aca="false">IF($A1053="","",_xlfn.XLOOKUP(LOWER(TRIM(Base_Bruta!N1053)),DePara_Pais!$A$2:$A$9,DePara_Pais!$B$2:$B$9,"REVISAR"))</f>
        <v>Brasil</v>
      </c>
      <c r="P1053" s="4" t="str">
        <f aca="false">IF($A1053="","",IF(O1053&lt;&gt;"Brasil","Turista Internacional",IF(M1053=F1053,"Local","Turista Nacional")))</f>
        <v>Local</v>
      </c>
      <c r="Q1053" s="7" t="n">
        <f aca="false">IF($A1053="","",DATE(YEAR(B1053),MONTH(B1053),1))</f>
        <v>45901</v>
      </c>
      <c r="R1053" s="4" t="str">
        <f aca="false">IF($A1053="","",IF(COUNTIF($A$2:$A1053,$A1053)&gt;1,"Sim","Não"))</f>
        <v>Não</v>
      </c>
      <c r="S1053" s="4" t="str">
        <f aca="false">IF(A1053="","Descartar - Linha vazia",IF(R1053="Sim","Descartar - Duplicado",IF(OR(H1053&lt;=0,I1053&lt;=0),"Descartar - Qtd/Valor inválido","OK")))</f>
        <v>OK</v>
      </c>
      <c r="T1053" s="4" t="str">
        <f aca="false">Base_Bruta!P1053</f>
        <v>vendas_RJ.xlsx</v>
      </c>
    </row>
    <row r="1054" customFormat="false" ht="15" hidden="false" customHeight="false" outlineLevel="0" collapsed="false">
      <c r="A1054" s="4" t="str">
        <f aca="false">IF(Base_Bruta!A1054="","",Base_Bruta!A1054)</f>
        <v>RJ-000184</v>
      </c>
      <c r="B1054" s="5" t="n">
        <f aca="false">IF($A1054="","",IF(ISNUMBER(Base_Bruta!B1054),Base_Bruta!B1054,IF(MID(Base_Bruta!B1054,5,1)="-",DATE(VALUE(LEFT(Base_Bruta!B1054,4)),VALUE(MID(Base_Bruta!B1054,6,2)),VALUE(RIGHT(Base_Bruta!B1054,2))),DATE(VALUE(RIGHT(Base_Bruta!B1054,4)),VALUE(MID(Base_Bruta!B1054,4,2)),VALUE(LEFT(Base_Bruta!B1054,2))))))</f>
        <v>45927</v>
      </c>
      <c r="C1054" s="5" t="n">
        <f aca="false">IF($A1054="","",IF(ISNUMBER(Base_Bruta!C1054),Base_Bruta!C1054,IF(MID(Base_Bruta!C1054,5,1)="-",DATE(VALUE(LEFT(Base_Bruta!C1054,4)),VALUE(MID(Base_Bruta!C1054,6,2)),VALUE(RIGHT(Base_Bruta!C1054,2))),DATE(VALUE(RIGHT(Base_Bruta!C1054,4)),VALUE(MID(Base_Bruta!C1054,4,2)),VALUE(LEFT(Base_Bruta!C1054,2))))))</f>
        <v>46046</v>
      </c>
      <c r="D1054" s="4" t="str">
        <f aca="false">IF($A1054="","",TRIM(Base_Bruta!D1054))</f>
        <v>Rio Beat Festival 2026</v>
      </c>
      <c r="E1054" s="4" t="str">
        <f aca="false">IF($A1054="","",_xlfn.XLOOKUP(LOWER(TRIM(Base_Bruta!E1054)),DePara_Categoria!$A$2:$A$9,DePara_Categoria!$B$2:$B$9,"REVISAR"))</f>
        <v>Festival</v>
      </c>
      <c r="F1054" s="4" t="str">
        <f aca="false">IF($A1054="","",_xlfn.XLOOKUP(LOWER(TRIM(Base_Bruta!F1054)),DePara_Cidade!$A$2:$A$29,DePara_Cidade!$B$2:$B$29,"REVISAR"))</f>
        <v>Rio de Janeiro</v>
      </c>
      <c r="G1054" s="4" t="str">
        <f aca="false">IF($A1054="","",TRIM(Base_Bruta!G1054))</f>
        <v>Meia</v>
      </c>
      <c r="H1054" s="4" t="n">
        <f aca="false">IF($A1054="","",IF(ISNUMBER(Base_Bruta!H1054),Base_Bruta!H1054,IFERROR(_xlfn.NUMBERVALUE(TRIM(SUBSTITUTE(Base_Bruta!H1054,"R$","")),",","."),0)))</f>
        <v>1</v>
      </c>
      <c r="I1054" s="6" t="n">
        <f aca="false">IF($A1054="","",IF(ISNUMBER(Base_Bruta!I1054),Base_Bruta!I1054,IFERROR(_xlfn.NUMBERVALUE(TRIM(SUBSTITUTE(Base_Bruta!I1054,"R$","")),",","."),0)))</f>
        <v>427.5</v>
      </c>
      <c r="J1054" s="6" t="n">
        <f aca="false">IF($A1054="","",H1054*I1054)</f>
        <v>427.5</v>
      </c>
      <c r="K1054" s="4" t="str">
        <f aca="false">IF($A1054="","",TRIM(Base_Bruta!J1054))</f>
        <v>Site</v>
      </c>
      <c r="L1054" s="4" t="str">
        <f aca="false">IF($A1054="","",TRIM(Base_Bruta!K1054))</f>
        <v>C00992</v>
      </c>
      <c r="M1054" s="4" t="str">
        <f aca="false">IF($A1054="","",_xlfn.XLOOKUP(LOWER(TRIM(Base_Bruta!L1054)),DePara_Cidade!$A$2:$A$29,DePara_Cidade!$B$2:$B$29,"REVISAR"))</f>
        <v>Rio de Janeiro</v>
      </c>
      <c r="N1054" s="4" t="str">
        <f aca="false">IF($A1054="","",UPPER(TRIM(Base_Bruta!M1054)))</f>
        <v>RJ</v>
      </c>
      <c r="O1054" s="4" t="str">
        <f aca="false">IF($A1054="","",_xlfn.XLOOKUP(LOWER(TRIM(Base_Bruta!N1054)),DePara_Pais!$A$2:$A$9,DePara_Pais!$B$2:$B$9,"REVISAR"))</f>
        <v>Brasil</v>
      </c>
      <c r="P1054" s="4" t="str">
        <f aca="false">IF($A1054="","",IF(O1054&lt;&gt;"Brasil","Turista Internacional",IF(M1054=F1054,"Local","Turista Nacional")))</f>
        <v>Local</v>
      </c>
      <c r="Q1054" s="7" t="n">
        <f aca="false">IF($A1054="","",DATE(YEAR(B1054),MONTH(B1054),1))</f>
        <v>45901</v>
      </c>
      <c r="R1054" s="4" t="str">
        <f aca="false">IF($A1054="","",IF(COUNTIF($A$2:$A1054,$A1054)&gt;1,"Sim","Não"))</f>
        <v>Não</v>
      </c>
      <c r="S1054" s="4" t="str">
        <f aca="false">IF(A1054="","Descartar - Linha vazia",IF(R1054="Sim","Descartar - Duplicado",IF(OR(H1054&lt;=0,I1054&lt;=0),"Descartar - Qtd/Valor inválido","OK")))</f>
        <v>OK</v>
      </c>
      <c r="T1054" s="4" t="str">
        <f aca="false">Base_Bruta!P1054</f>
        <v>vendas_RJ.xlsx</v>
      </c>
    </row>
    <row r="1055" customFormat="false" ht="15" hidden="false" customHeight="false" outlineLevel="0" collapsed="false">
      <c r="A1055" s="4" t="str">
        <f aca="false">IF(Base_Bruta!A1055="","",Base_Bruta!A1055)</f>
        <v>RJ-000001</v>
      </c>
      <c r="B1055" s="5" t="n">
        <f aca="false">IF($A1055="","",IF(ISNUMBER(Base_Bruta!B1055),Base_Bruta!B1055,IF(MID(Base_Bruta!B1055,5,1)="-",DATE(VALUE(LEFT(Base_Bruta!B1055,4)),VALUE(MID(Base_Bruta!B1055,6,2)),VALUE(RIGHT(Base_Bruta!B1055,2))),DATE(VALUE(RIGHT(Base_Bruta!B1055,4)),VALUE(MID(Base_Bruta!B1055,4,2)),VALUE(LEFT(Base_Bruta!B1055,2))))))</f>
        <v>45928</v>
      </c>
      <c r="C1055" s="5" t="n">
        <f aca="false">IF($A1055="","",IF(ISNUMBER(Base_Bruta!C1055),Base_Bruta!C1055,IF(MID(Base_Bruta!C1055,5,1)="-",DATE(VALUE(LEFT(Base_Bruta!C1055,4)),VALUE(MID(Base_Bruta!C1055,6,2)),VALUE(RIGHT(Base_Bruta!C1055,2))),DATE(VALUE(RIGHT(Base_Bruta!C1055,4)),VALUE(MID(Base_Bruta!C1055,4,2)),VALUE(LEFT(Base_Bruta!C1055,2))))))</f>
        <v>46046</v>
      </c>
      <c r="D1055" s="4" t="str">
        <f aca="false">IF($A1055="","",TRIM(Base_Bruta!D1055))</f>
        <v>Rio Beat Festival 2026</v>
      </c>
      <c r="E1055" s="4" t="str">
        <f aca="false">IF($A1055="","",_xlfn.XLOOKUP(LOWER(TRIM(Base_Bruta!E1055)),DePara_Categoria!$A$2:$A$9,DePara_Categoria!$B$2:$B$9,"REVISAR"))</f>
        <v>Festival</v>
      </c>
      <c r="F1055" s="4" t="str">
        <f aca="false">IF($A1055="","",_xlfn.XLOOKUP(LOWER(TRIM(Base_Bruta!F1055)),DePara_Cidade!$A$2:$A$29,DePara_Cidade!$B$2:$B$29,"REVISAR"))</f>
        <v>Rio de Janeiro</v>
      </c>
      <c r="G1055" s="4" t="str">
        <f aca="false">IF($A1055="","",TRIM(Base_Bruta!G1055))</f>
        <v>Inteira</v>
      </c>
      <c r="H1055" s="4" t="n">
        <f aca="false">IF($A1055="","",IF(ISNUMBER(Base_Bruta!H1055),Base_Bruta!H1055,IFERROR(_xlfn.NUMBERVALUE(TRIM(SUBSTITUTE(Base_Bruta!H1055,"R$","")),",","."),0)))</f>
        <v>2</v>
      </c>
      <c r="I1055" s="6" t="n">
        <f aca="false">IF($A1055="","",IF(ISNUMBER(Base_Bruta!I1055),Base_Bruta!I1055,IFERROR(_xlfn.NUMBERVALUE(TRIM(SUBSTITUTE(Base_Bruta!I1055,"R$","")),",","."),0)))</f>
        <v>1150</v>
      </c>
      <c r="J1055" s="6" t="n">
        <f aca="false">IF($A1055="","",H1055*I1055)</f>
        <v>2300</v>
      </c>
      <c r="K1055" s="4" t="str">
        <f aca="false">IF($A1055="","",TRIM(Base_Bruta!J1055))</f>
        <v>Bilheteria</v>
      </c>
      <c r="L1055" s="4" t="str">
        <f aca="false">IF($A1055="","",TRIM(Base_Bruta!K1055))</f>
        <v>C01438</v>
      </c>
      <c r="M1055" s="4" t="str">
        <f aca="false">IF($A1055="","",_xlfn.XLOOKUP(LOWER(TRIM(Base_Bruta!L1055)),DePara_Cidade!$A$2:$A$29,DePara_Cidade!$B$2:$B$29,"REVISAR"))</f>
        <v>Rio de Janeiro</v>
      </c>
      <c r="N1055" s="4" t="str">
        <f aca="false">IF($A1055="","",UPPER(TRIM(Base_Bruta!M1055)))</f>
        <v>RJ</v>
      </c>
      <c r="O1055" s="4" t="str">
        <f aca="false">IF($A1055="","",_xlfn.XLOOKUP(LOWER(TRIM(Base_Bruta!N1055)),DePara_Pais!$A$2:$A$9,DePara_Pais!$B$2:$B$9,"REVISAR"))</f>
        <v>Brasil</v>
      </c>
      <c r="P1055" s="4" t="str">
        <f aca="false">IF($A1055="","",IF(O1055&lt;&gt;"Brasil","Turista Internacional",IF(M1055=F1055,"Local","Turista Nacional")))</f>
        <v>Local</v>
      </c>
      <c r="Q1055" s="7" t="n">
        <f aca="false">IF($A1055="","",DATE(YEAR(B1055),MONTH(B1055),1))</f>
        <v>45901</v>
      </c>
      <c r="R1055" s="4" t="str">
        <f aca="false">IF($A1055="","",IF(COUNTIF($A$2:$A1055,$A1055)&gt;1,"Sim","Não"))</f>
        <v>Não</v>
      </c>
      <c r="S1055" s="4" t="str">
        <f aca="false">IF(A1055="","Descartar - Linha vazia",IF(R1055="Sim","Descartar - Duplicado",IF(OR(H1055&lt;=0,I1055&lt;=0),"Descartar - Qtd/Valor inválido","OK")))</f>
        <v>OK</v>
      </c>
      <c r="T1055" s="4" t="str">
        <f aca="false">Base_Bruta!P1055</f>
        <v>vendas_RJ.xlsx</v>
      </c>
    </row>
    <row r="1056" customFormat="false" ht="15" hidden="false" customHeight="false" outlineLevel="0" collapsed="false">
      <c r="A1056" s="4" t="str">
        <f aca="false">IF(Base_Bruta!A1056="","",Base_Bruta!A1056)</f>
        <v>RJ-000049</v>
      </c>
      <c r="B1056" s="5" t="n">
        <f aca="false">IF($A1056="","",IF(ISNUMBER(Base_Bruta!B1056),Base_Bruta!B1056,IF(MID(Base_Bruta!B1056,5,1)="-",DATE(VALUE(LEFT(Base_Bruta!B1056,4)),VALUE(MID(Base_Bruta!B1056,6,2)),VALUE(RIGHT(Base_Bruta!B1056,2))),DATE(VALUE(RIGHT(Base_Bruta!B1056,4)),VALUE(MID(Base_Bruta!B1056,4,2)),VALUE(LEFT(Base_Bruta!B1056,2))))))</f>
        <v>45928</v>
      </c>
      <c r="C1056" s="5" t="n">
        <f aca="false">IF($A1056="","",IF(ISNUMBER(Base_Bruta!C1056),Base_Bruta!C1056,IF(MID(Base_Bruta!C1056,5,1)="-",DATE(VALUE(LEFT(Base_Bruta!C1056,4)),VALUE(MID(Base_Bruta!C1056,6,2)),VALUE(RIGHT(Base_Bruta!C1056,2))),DATE(VALUE(RIGHT(Base_Bruta!C1056,4)),VALUE(MID(Base_Bruta!C1056,4,2)),VALUE(LEFT(Base_Bruta!C1056,2))))))</f>
        <v>46046</v>
      </c>
      <c r="D1056" s="4" t="str">
        <f aca="false">IF($A1056="","",TRIM(Base_Bruta!D1056))</f>
        <v>Rio Beat Festival 2026</v>
      </c>
      <c r="E1056" s="4" t="str">
        <f aca="false">IF($A1056="","",_xlfn.XLOOKUP(LOWER(TRIM(Base_Bruta!E1056)),DePara_Categoria!$A$2:$A$9,DePara_Categoria!$B$2:$B$9,"REVISAR"))</f>
        <v>Festival</v>
      </c>
      <c r="F1056" s="4" t="str">
        <f aca="false">IF($A1056="","",_xlfn.XLOOKUP(LOWER(TRIM(Base_Bruta!F1056)),DePara_Cidade!$A$2:$A$29,DePara_Cidade!$B$2:$B$29,"REVISAR"))</f>
        <v>Rio de Janeiro</v>
      </c>
      <c r="G1056" s="4" t="str">
        <f aca="false">IF($A1056="","",TRIM(Base_Bruta!G1056))</f>
        <v>Meia</v>
      </c>
      <c r="H1056" s="4" t="n">
        <f aca="false">IF($A1056="","",IF(ISNUMBER(Base_Bruta!H1056),Base_Bruta!H1056,IFERROR(_xlfn.NUMBERVALUE(TRIM(SUBSTITUTE(Base_Bruta!H1056,"R$","")),",","."),0)))</f>
        <v>1</v>
      </c>
      <c r="I1056" s="6" t="n">
        <f aca="false">IF($A1056="","",IF(ISNUMBER(Base_Bruta!I1056),Base_Bruta!I1056,IFERROR(_xlfn.NUMBERVALUE(TRIM(SUBSTITUTE(Base_Bruta!I1056,"R$","")),",","."),0)))</f>
        <v>522.5</v>
      </c>
      <c r="J1056" s="6" t="n">
        <f aca="false">IF($A1056="","",H1056*I1056)</f>
        <v>522.5</v>
      </c>
      <c r="K1056" s="4" t="str">
        <f aca="false">IF($A1056="","",TRIM(Base_Bruta!J1056))</f>
        <v>App</v>
      </c>
      <c r="L1056" s="4" t="str">
        <f aca="false">IF($A1056="","",TRIM(Base_Bruta!K1056))</f>
        <v>C01909</v>
      </c>
      <c r="M1056" s="4" t="str">
        <f aca="false">IF($A1056="","",_xlfn.XLOOKUP(LOWER(TRIM(Base_Bruta!L1056)),DePara_Cidade!$A$2:$A$29,DePara_Cidade!$B$2:$B$29,"REVISAR"))</f>
        <v>Niterói</v>
      </c>
      <c r="N1056" s="4" t="str">
        <f aca="false">IF($A1056="","",UPPER(TRIM(Base_Bruta!M1056)))</f>
        <v>RJ</v>
      </c>
      <c r="O1056" s="4" t="str">
        <f aca="false">IF($A1056="","",_xlfn.XLOOKUP(LOWER(TRIM(Base_Bruta!N1056)),DePara_Pais!$A$2:$A$9,DePara_Pais!$B$2:$B$9,"REVISAR"))</f>
        <v>Brasil</v>
      </c>
      <c r="P1056" s="4" t="str">
        <f aca="false">IF($A1056="","",IF(O1056&lt;&gt;"Brasil","Turista Internacional",IF(M1056=F1056,"Local","Turista Nacional")))</f>
        <v>Turista Nacional</v>
      </c>
      <c r="Q1056" s="7" t="n">
        <f aca="false">IF($A1056="","",DATE(YEAR(B1056),MONTH(B1056),1))</f>
        <v>45901</v>
      </c>
      <c r="R1056" s="4" t="str">
        <f aca="false">IF($A1056="","",IF(COUNTIF($A$2:$A1056,$A1056)&gt;1,"Sim","Não"))</f>
        <v>Não</v>
      </c>
      <c r="S1056" s="4" t="str">
        <f aca="false">IF(A1056="","Descartar - Linha vazia",IF(R1056="Sim","Descartar - Duplicado",IF(OR(H1056&lt;=0,I1056&lt;=0),"Descartar - Qtd/Valor inválido","OK")))</f>
        <v>OK</v>
      </c>
      <c r="T1056" s="4" t="str">
        <f aca="false">Base_Bruta!P1056</f>
        <v>vendas_RJ.xlsx</v>
      </c>
    </row>
    <row r="1057" customFormat="false" ht="15" hidden="false" customHeight="false" outlineLevel="0" collapsed="false">
      <c r="A1057" s="4" t="str">
        <f aca="false">IF(Base_Bruta!A1057="","",Base_Bruta!A1057)</f>
        <v>RJ-000109</v>
      </c>
      <c r="B1057" s="5" t="n">
        <f aca="false">IF($A1057="","",IF(ISNUMBER(Base_Bruta!B1057),Base_Bruta!B1057,IF(MID(Base_Bruta!B1057,5,1)="-",DATE(VALUE(LEFT(Base_Bruta!B1057,4)),VALUE(MID(Base_Bruta!B1057,6,2)),VALUE(RIGHT(Base_Bruta!B1057,2))),DATE(VALUE(RIGHT(Base_Bruta!B1057,4)),VALUE(MID(Base_Bruta!B1057,4,2)),VALUE(LEFT(Base_Bruta!B1057,2))))))</f>
        <v>45928</v>
      </c>
      <c r="C1057" s="5" t="n">
        <f aca="false">IF($A1057="","",IF(ISNUMBER(Base_Bruta!C1057),Base_Bruta!C1057,IF(MID(Base_Bruta!C1057,5,1)="-",DATE(VALUE(LEFT(Base_Bruta!C1057,4)),VALUE(MID(Base_Bruta!C1057,6,2)),VALUE(RIGHT(Base_Bruta!C1057,2))),DATE(VALUE(RIGHT(Base_Bruta!C1057,4)),VALUE(MID(Base_Bruta!C1057,4,2)),VALUE(LEFT(Base_Bruta!C1057,2))))))</f>
        <v>46046</v>
      </c>
      <c r="D1057" s="4" t="str">
        <f aca="false">IF($A1057="","",TRIM(Base_Bruta!D1057))</f>
        <v>Rio Beat Festival 2026</v>
      </c>
      <c r="E1057" s="4" t="str">
        <f aca="false">IF($A1057="","",_xlfn.XLOOKUP(LOWER(TRIM(Base_Bruta!E1057)),DePara_Categoria!$A$2:$A$9,DePara_Categoria!$B$2:$B$9,"REVISAR"))</f>
        <v>Festival</v>
      </c>
      <c r="F1057" s="4" t="str">
        <f aca="false">IF($A1057="","",_xlfn.XLOOKUP(LOWER(TRIM(Base_Bruta!F1057)),DePara_Cidade!$A$2:$A$29,DePara_Cidade!$B$2:$B$29,"REVISAR"))</f>
        <v>Rio de Janeiro</v>
      </c>
      <c r="G1057" s="4" t="str">
        <f aca="false">IF($A1057="","",TRIM(Base_Bruta!G1057))</f>
        <v>Inteira</v>
      </c>
      <c r="H1057" s="4" t="n">
        <f aca="false">IF($A1057="","",IF(ISNUMBER(Base_Bruta!H1057),Base_Bruta!H1057,IFERROR(_xlfn.NUMBERVALUE(TRIM(SUBSTITUTE(Base_Bruta!H1057,"R$","")),",","."),0)))</f>
        <v>1</v>
      </c>
      <c r="I1057" s="6" t="n">
        <f aca="false">IF($A1057="","",IF(ISNUMBER(Base_Bruta!I1057),Base_Bruta!I1057,IFERROR(_xlfn.NUMBERVALUE(TRIM(SUBSTITUTE(Base_Bruta!I1057,"R$","")),",","."),0)))</f>
        <v>765</v>
      </c>
      <c r="J1057" s="6" t="n">
        <f aca="false">IF($A1057="","",H1057*I1057)</f>
        <v>765</v>
      </c>
      <c r="K1057" s="4" t="str">
        <f aca="false">IF($A1057="","",TRIM(Base_Bruta!J1057))</f>
        <v>Site</v>
      </c>
      <c r="L1057" s="4" t="str">
        <f aca="false">IF($A1057="","",TRIM(Base_Bruta!K1057))</f>
        <v>C00373</v>
      </c>
      <c r="M1057" s="4" t="str">
        <f aca="false">IF($A1057="","",_xlfn.XLOOKUP(LOWER(TRIM(Base_Bruta!L1057)),DePara_Cidade!$A$2:$A$29,DePara_Cidade!$B$2:$B$29,"REVISAR"))</f>
        <v>Santos</v>
      </c>
      <c r="N1057" s="4" t="str">
        <f aca="false">IF($A1057="","",UPPER(TRIM(Base_Bruta!M1057)))</f>
        <v>SP</v>
      </c>
      <c r="O1057" s="4" t="str">
        <f aca="false">IF($A1057="","",_xlfn.XLOOKUP(LOWER(TRIM(Base_Bruta!N1057)),DePara_Pais!$A$2:$A$9,DePara_Pais!$B$2:$B$9,"REVISAR"))</f>
        <v>Brasil</v>
      </c>
      <c r="P1057" s="4" t="str">
        <f aca="false">IF($A1057="","",IF(O1057&lt;&gt;"Brasil","Turista Internacional",IF(M1057=F1057,"Local","Turista Nacional")))</f>
        <v>Turista Nacional</v>
      </c>
      <c r="Q1057" s="7" t="n">
        <f aca="false">IF($A1057="","",DATE(YEAR(B1057),MONTH(B1057),1))</f>
        <v>45901</v>
      </c>
      <c r="R1057" s="4" t="str">
        <f aca="false">IF($A1057="","",IF(COUNTIF($A$2:$A1057,$A1057)&gt;1,"Sim","Não"))</f>
        <v>Não</v>
      </c>
      <c r="S1057" s="4" t="str">
        <f aca="false">IF(A1057="","Descartar - Linha vazia",IF(R1057="Sim","Descartar - Duplicado",IF(OR(H1057&lt;=0,I1057&lt;=0),"Descartar - Qtd/Valor inválido","OK")))</f>
        <v>OK</v>
      </c>
      <c r="T1057" s="4" t="str">
        <f aca="false">Base_Bruta!P1057</f>
        <v>vendas_RJ.xlsx</v>
      </c>
    </row>
    <row r="1058" customFormat="false" ht="15" hidden="false" customHeight="false" outlineLevel="0" collapsed="false">
      <c r="A1058" s="4" t="str">
        <f aca="false">IF(Base_Bruta!A1058="","",Base_Bruta!A1058)</f>
        <v>RJ-000157</v>
      </c>
      <c r="B1058" s="5" t="n">
        <f aca="false">IF($A1058="","",IF(ISNUMBER(Base_Bruta!B1058),Base_Bruta!B1058,IF(MID(Base_Bruta!B1058,5,1)="-",DATE(VALUE(LEFT(Base_Bruta!B1058,4)),VALUE(MID(Base_Bruta!B1058,6,2)),VALUE(RIGHT(Base_Bruta!B1058,2))),DATE(VALUE(RIGHT(Base_Bruta!B1058,4)),VALUE(MID(Base_Bruta!B1058,4,2)),VALUE(LEFT(Base_Bruta!B1058,2))))))</f>
        <v>45928</v>
      </c>
      <c r="C1058" s="5" t="n">
        <f aca="false">IF($A1058="","",IF(ISNUMBER(Base_Bruta!C1058),Base_Bruta!C1058,IF(MID(Base_Bruta!C1058,5,1)="-",DATE(VALUE(LEFT(Base_Bruta!C1058,4)),VALUE(MID(Base_Bruta!C1058,6,2)),VALUE(RIGHT(Base_Bruta!C1058,2))),DATE(VALUE(RIGHT(Base_Bruta!C1058,4)),VALUE(MID(Base_Bruta!C1058,4,2)),VALUE(LEFT(Base_Bruta!C1058,2))))))</f>
        <v>46046</v>
      </c>
      <c r="D1058" s="4" t="str">
        <f aca="false">IF($A1058="","",TRIM(Base_Bruta!D1058))</f>
        <v>Rio Beat Festival 2026</v>
      </c>
      <c r="E1058" s="4" t="str">
        <f aca="false">IF($A1058="","",_xlfn.XLOOKUP(LOWER(TRIM(Base_Bruta!E1058)),DePara_Categoria!$A$2:$A$9,DePara_Categoria!$B$2:$B$9,"REVISAR"))</f>
        <v>Festival</v>
      </c>
      <c r="F1058" s="4" t="str">
        <f aca="false">IF($A1058="","",_xlfn.XLOOKUP(LOWER(TRIM(Base_Bruta!F1058)),DePara_Cidade!$A$2:$A$29,DePara_Cidade!$B$2:$B$29,"REVISAR"))</f>
        <v>Rio de Janeiro</v>
      </c>
      <c r="G1058" s="4" t="str">
        <f aca="false">IF($A1058="","",TRIM(Base_Bruta!G1058))</f>
        <v>Meia</v>
      </c>
      <c r="H1058" s="4" t="n">
        <f aca="false">IF($A1058="","",IF(ISNUMBER(Base_Bruta!H1058),Base_Bruta!H1058,IFERROR(_xlfn.NUMBERVALUE(TRIM(SUBSTITUTE(Base_Bruta!H1058,"R$","")),",","."),0)))</f>
        <v>1</v>
      </c>
      <c r="I1058" s="6" t="n">
        <f aca="false">IF($A1058="","",IF(ISNUMBER(Base_Bruta!I1058),Base_Bruta!I1058,IFERROR(_xlfn.NUMBERVALUE(TRIM(SUBSTITUTE(Base_Bruta!I1058,"R$","")),",","."),0)))</f>
        <v>362.5</v>
      </c>
      <c r="J1058" s="6" t="n">
        <f aca="false">IF($A1058="","",H1058*I1058)</f>
        <v>362.5</v>
      </c>
      <c r="K1058" s="4" t="str">
        <f aca="false">IF($A1058="","",TRIM(Base_Bruta!J1058))</f>
        <v>Site</v>
      </c>
      <c r="L1058" s="4" t="str">
        <f aca="false">IF($A1058="","",TRIM(Base_Bruta!K1058))</f>
        <v>C01572</v>
      </c>
      <c r="M1058" s="4" t="str">
        <f aca="false">IF($A1058="","",_xlfn.XLOOKUP(LOWER(TRIM(Base_Bruta!L1058)),DePara_Cidade!$A$2:$A$29,DePara_Cidade!$B$2:$B$29,"REVISAR"))</f>
        <v>Rio de Janeiro</v>
      </c>
      <c r="N1058" s="4" t="str">
        <f aca="false">IF($A1058="","",UPPER(TRIM(Base_Bruta!M1058)))</f>
        <v>RJ</v>
      </c>
      <c r="O1058" s="4" t="str">
        <f aca="false">IF($A1058="","",_xlfn.XLOOKUP(LOWER(TRIM(Base_Bruta!N1058)),DePara_Pais!$A$2:$A$9,DePara_Pais!$B$2:$B$9,"REVISAR"))</f>
        <v>Brasil</v>
      </c>
      <c r="P1058" s="4" t="str">
        <f aca="false">IF($A1058="","",IF(O1058&lt;&gt;"Brasil","Turista Internacional",IF(M1058=F1058,"Local","Turista Nacional")))</f>
        <v>Local</v>
      </c>
      <c r="Q1058" s="7" t="n">
        <f aca="false">IF($A1058="","",DATE(YEAR(B1058),MONTH(B1058),1))</f>
        <v>45901</v>
      </c>
      <c r="R1058" s="4" t="str">
        <f aca="false">IF($A1058="","",IF(COUNTIF($A$2:$A1058,$A1058)&gt;1,"Sim","Não"))</f>
        <v>Não</v>
      </c>
      <c r="S1058" s="4" t="str">
        <f aca="false">IF(A1058="","Descartar - Linha vazia",IF(R1058="Sim","Descartar - Duplicado",IF(OR(H1058&lt;=0,I1058&lt;=0),"Descartar - Qtd/Valor inválido","OK")))</f>
        <v>OK</v>
      </c>
      <c r="T1058" s="4" t="str">
        <f aca="false">Base_Bruta!P1058</f>
        <v>vendas_RJ.xlsx</v>
      </c>
    </row>
    <row r="1059" customFormat="false" ht="15" hidden="false" customHeight="false" outlineLevel="0" collapsed="false">
      <c r="A1059" s="4" t="str">
        <f aca="false">IF(Base_Bruta!A1059="","",Base_Bruta!A1059)</f>
        <v>RJ-000168</v>
      </c>
      <c r="B1059" s="5" t="n">
        <f aca="false">IF($A1059="","",IF(ISNUMBER(Base_Bruta!B1059),Base_Bruta!B1059,IF(MID(Base_Bruta!B1059,5,1)="-",DATE(VALUE(LEFT(Base_Bruta!B1059,4)),VALUE(MID(Base_Bruta!B1059,6,2)),VALUE(RIGHT(Base_Bruta!B1059,2))),DATE(VALUE(RIGHT(Base_Bruta!B1059,4)),VALUE(MID(Base_Bruta!B1059,4,2)),VALUE(LEFT(Base_Bruta!B1059,2))))))</f>
        <v>45928</v>
      </c>
      <c r="C1059" s="5" t="n">
        <f aca="false">IF($A1059="","",IF(ISNUMBER(Base_Bruta!C1059),Base_Bruta!C1059,IF(MID(Base_Bruta!C1059,5,1)="-",DATE(VALUE(LEFT(Base_Bruta!C1059,4)),VALUE(MID(Base_Bruta!C1059,6,2)),VALUE(RIGHT(Base_Bruta!C1059,2))),DATE(VALUE(RIGHT(Base_Bruta!C1059,4)),VALUE(MID(Base_Bruta!C1059,4,2)),VALUE(LEFT(Base_Bruta!C1059,2))))))</f>
        <v>46046</v>
      </c>
      <c r="D1059" s="4" t="str">
        <f aca="false">IF($A1059="","",TRIM(Base_Bruta!D1059))</f>
        <v>Rio Beat Festival 2026</v>
      </c>
      <c r="E1059" s="4" t="str">
        <f aca="false">IF($A1059="","",_xlfn.XLOOKUP(LOWER(TRIM(Base_Bruta!E1059)),DePara_Categoria!$A$2:$A$9,DePara_Categoria!$B$2:$B$9,"REVISAR"))</f>
        <v>Festival</v>
      </c>
      <c r="F1059" s="4" t="str">
        <f aca="false">IF($A1059="","",_xlfn.XLOOKUP(LOWER(TRIM(Base_Bruta!F1059)),DePara_Cidade!$A$2:$A$29,DePara_Cidade!$B$2:$B$29,"REVISAR"))</f>
        <v>Rio de Janeiro</v>
      </c>
      <c r="G1059" s="4" t="str">
        <f aca="false">IF($A1059="","",TRIM(Base_Bruta!G1059))</f>
        <v>Inteira</v>
      </c>
      <c r="H1059" s="4" t="n">
        <f aca="false">IF($A1059="","",IF(ISNUMBER(Base_Bruta!H1059),Base_Bruta!H1059,IFERROR(_xlfn.NUMBERVALUE(TRIM(SUBSTITUTE(Base_Bruta!H1059,"R$","")),",","."),0)))</f>
        <v>4</v>
      </c>
      <c r="I1059" s="6" t="n">
        <f aca="false">IF($A1059="","",IF(ISNUMBER(Base_Bruta!I1059),Base_Bruta!I1059,IFERROR(_xlfn.NUMBERVALUE(TRIM(SUBSTITUTE(Base_Bruta!I1059,"R$","")),",","."),0)))</f>
        <v>670</v>
      </c>
      <c r="J1059" s="6" t="n">
        <f aca="false">IF($A1059="","",H1059*I1059)</f>
        <v>2680</v>
      </c>
      <c r="K1059" s="4" t="str">
        <f aca="false">IF($A1059="","",TRIM(Base_Bruta!J1059))</f>
        <v>Parceiro</v>
      </c>
      <c r="L1059" s="4" t="str">
        <f aca="false">IF($A1059="","",TRIM(Base_Bruta!K1059))</f>
        <v>C01017</v>
      </c>
      <c r="M1059" s="4" t="str">
        <f aca="false">IF($A1059="","",_xlfn.XLOOKUP(LOWER(TRIM(Base_Bruta!L1059)),DePara_Cidade!$A$2:$A$29,DePara_Cidade!$B$2:$B$29,"REVISAR"))</f>
        <v>São Paulo</v>
      </c>
      <c r="N1059" s="4" t="str">
        <f aca="false">IF($A1059="","",UPPER(TRIM(Base_Bruta!M1059)))</f>
        <v>SP</v>
      </c>
      <c r="O1059" s="4" t="str">
        <f aca="false">IF($A1059="","",_xlfn.XLOOKUP(LOWER(TRIM(Base_Bruta!N1059)),DePara_Pais!$A$2:$A$9,DePara_Pais!$B$2:$B$9,"REVISAR"))</f>
        <v>Brasil</v>
      </c>
      <c r="P1059" s="4" t="str">
        <f aca="false">IF($A1059="","",IF(O1059&lt;&gt;"Brasil","Turista Internacional",IF(M1059=F1059,"Local","Turista Nacional")))</f>
        <v>Turista Nacional</v>
      </c>
      <c r="Q1059" s="7" t="n">
        <f aca="false">IF($A1059="","",DATE(YEAR(B1059),MONTH(B1059),1))</f>
        <v>45901</v>
      </c>
      <c r="R1059" s="4" t="str">
        <f aca="false">IF($A1059="","",IF(COUNTIF($A$2:$A1059,$A1059)&gt;1,"Sim","Não"))</f>
        <v>Não</v>
      </c>
      <c r="S1059" s="4" t="str">
        <f aca="false">IF(A1059="","Descartar - Linha vazia",IF(R1059="Sim","Descartar - Duplicado",IF(OR(H1059&lt;=0,I1059&lt;=0),"Descartar - Qtd/Valor inválido","OK")))</f>
        <v>OK</v>
      </c>
      <c r="T1059" s="4" t="str">
        <f aca="false">Base_Bruta!P1059</f>
        <v>vendas_RJ.xlsx</v>
      </c>
    </row>
    <row r="1060" customFormat="false" ht="15" hidden="false" customHeight="false" outlineLevel="0" collapsed="false">
      <c r="A1060" s="4" t="str">
        <f aca="false">IF(Base_Bruta!A1060="","",Base_Bruta!A1060)</f>
        <v>RJ-000207</v>
      </c>
      <c r="B1060" s="5" t="n">
        <f aca="false">IF($A1060="","",IF(ISNUMBER(Base_Bruta!B1060),Base_Bruta!B1060,IF(MID(Base_Bruta!B1060,5,1)="-",DATE(VALUE(LEFT(Base_Bruta!B1060,4)),VALUE(MID(Base_Bruta!B1060,6,2)),VALUE(RIGHT(Base_Bruta!B1060,2))),DATE(VALUE(RIGHT(Base_Bruta!B1060,4)),VALUE(MID(Base_Bruta!B1060,4,2)),VALUE(LEFT(Base_Bruta!B1060,2))))))</f>
        <v>45928</v>
      </c>
      <c r="C1060" s="5" t="n">
        <f aca="false">IF($A1060="","",IF(ISNUMBER(Base_Bruta!C1060),Base_Bruta!C1060,IF(MID(Base_Bruta!C1060,5,1)="-",DATE(VALUE(LEFT(Base_Bruta!C1060,4)),VALUE(MID(Base_Bruta!C1060,6,2)),VALUE(RIGHT(Base_Bruta!C1060,2))),DATE(VALUE(RIGHT(Base_Bruta!C1060,4)),VALUE(MID(Base_Bruta!C1060,4,2)),VALUE(LEFT(Base_Bruta!C1060,2))))))</f>
        <v>46046</v>
      </c>
      <c r="D1060" s="4" t="str">
        <f aca="false">IF($A1060="","",TRIM(Base_Bruta!D1060))</f>
        <v>Rio Beat Festival 2026</v>
      </c>
      <c r="E1060" s="4" t="str">
        <f aca="false">IF($A1060="","",_xlfn.XLOOKUP(LOWER(TRIM(Base_Bruta!E1060)),DePara_Categoria!$A$2:$A$9,DePara_Categoria!$B$2:$B$9,"REVISAR"))</f>
        <v>Festival</v>
      </c>
      <c r="F1060" s="4" t="str">
        <f aca="false">IF($A1060="","",_xlfn.XLOOKUP(LOWER(TRIM(Base_Bruta!F1060)),DePara_Cidade!$A$2:$A$29,DePara_Cidade!$B$2:$B$29,"REVISAR"))</f>
        <v>Rio de Janeiro</v>
      </c>
      <c r="G1060" s="4" t="str">
        <f aca="false">IF($A1060="","",TRIM(Base_Bruta!G1060))</f>
        <v>VIP</v>
      </c>
      <c r="H1060" s="4" t="n">
        <f aca="false">IF($A1060="","",IF(ISNUMBER(Base_Bruta!H1060),Base_Bruta!H1060,IFERROR(_xlfn.NUMBERVALUE(TRIM(SUBSTITUTE(Base_Bruta!H1060,"R$","")),",","."),0)))</f>
        <v>1</v>
      </c>
      <c r="I1060" s="6" t="n">
        <f aca="false">IF($A1060="","",IF(ISNUMBER(Base_Bruta!I1060),Base_Bruta!I1060,IFERROR(_xlfn.NUMBERVALUE(TRIM(SUBSTITUTE(Base_Bruta!I1060,"R$","")),",","."),0)))</f>
        <v>1920</v>
      </c>
      <c r="J1060" s="6" t="n">
        <f aca="false">IF($A1060="","",H1060*I1060)</f>
        <v>1920</v>
      </c>
      <c r="K1060" s="4" t="str">
        <f aca="false">IF($A1060="","",TRIM(Base_Bruta!J1060))</f>
        <v>App</v>
      </c>
      <c r="L1060" s="4" t="str">
        <f aca="false">IF($A1060="","",TRIM(Base_Bruta!K1060))</f>
        <v>C00100</v>
      </c>
      <c r="M1060" s="4" t="str">
        <f aca="false">IF($A1060="","",_xlfn.XLOOKUP(LOWER(TRIM(Base_Bruta!L1060)),DePara_Cidade!$A$2:$A$29,DePara_Cidade!$B$2:$B$29,"REVISAR"))</f>
        <v>Rio de Janeiro</v>
      </c>
      <c r="N1060" s="4" t="str">
        <f aca="false">IF($A1060="","",UPPER(TRIM(Base_Bruta!M1060)))</f>
        <v>RJ</v>
      </c>
      <c r="O1060" s="4" t="str">
        <f aca="false">IF($A1060="","",_xlfn.XLOOKUP(LOWER(TRIM(Base_Bruta!N1060)),DePara_Pais!$A$2:$A$9,DePara_Pais!$B$2:$B$9,"REVISAR"))</f>
        <v>Brasil</v>
      </c>
      <c r="P1060" s="4" t="str">
        <f aca="false">IF($A1060="","",IF(O1060&lt;&gt;"Brasil","Turista Internacional",IF(M1060=F1060,"Local","Turista Nacional")))</f>
        <v>Local</v>
      </c>
      <c r="Q1060" s="7" t="n">
        <f aca="false">IF($A1060="","",DATE(YEAR(B1060),MONTH(B1060),1))</f>
        <v>45901</v>
      </c>
      <c r="R1060" s="4" t="str">
        <f aca="false">IF($A1060="","",IF(COUNTIF($A$2:$A1060,$A1060)&gt;1,"Sim","Não"))</f>
        <v>Não</v>
      </c>
      <c r="S1060" s="4" t="str">
        <f aca="false">IF(A1060="","Descartar - Linha vazia",IF(R1060="Sim","Descartar - Duplicado",IF(OR(H1060&lt;=0,I1060&lt;=0),"Descartar - Qtd/Valor inválido","OK")))</f>
        <v>OK</v>
      </c>
      <c r="T1060" s="4" t="str">
        <f aca="false">Base_Bruta!P1060</f>
        <v>vendas_RJ.xlsx</v>
      </c>
    </row>
    <row r="1061" customFormat="false" ht="15" hidden="false" customHeight="false" outlineLevel="0" collapsed="false">
      <c r="A1061" s="4" t="str">
        <f aca="false">IF(Base_Bruta!A1061="","",Base_Bruta!A1061)</f>
        <v>RJ-000558</v>
      </c>
      <c r="B1061" s="5" t="n">
        <f aca="false">IF($A1061="","",IF(ISNUMBER(Base_Bruta!B1061),Base_Bruta!B1061,IF(MID(Base_Bruta!B1061,5,1)="-",DATE(VALUE(LEFT(Base_Bruta!B1061,4)),VALUE(MID(Base_Bruta!B1061,6,2)),VALUE(RIGHT(Base_Bruta!B1061,2))),DATE(VALUE(RIGHT(Base_Bruta!B1061,4)),VALUE(MID(Base_Bruta!B1061,4,2)),VALUE(LEFT(Base_Bruta!B1061,2))))))</f>
        <v>45872</v>
      </c>
      <c r="C1061" s="5" t="n">
        <f aca="false">IF($A1061="","",IF(ISNUMBER(Base_Bruta!C1061),Base_Bruta!C1061,IF(MID(Base_Bruta!C1061,5,1)="-",DATE(VALUE(LEFT(Base_Bruta!C1061,4)),VALUE(MID(Base_Bruta!C1061,6,2)),VALUE(RIGHT(Base_Bruta!C1061,2))),DATE(VALUE(RIGHT(Base_Bruta!C1061,4)),VALUE(MID(Base_Bruta!C1061,4,2)),VALUE(LEFT(Base_Bruta!C1061,2))))))</f>
        <v>45872</v>
      </c>
      <c r="D1061" s="4" t="str">
        <f aca="false">IF($A1061="","",TRIM(Base_Bruta!D1061))</f>
        <v>Cinema Barra - Sessões</v>
      </c>
      <c r="E1061" s="4" t="str">
        <f aca="false">IF($A1061="","",_xlfn.XLOOKUP(LOWER(TRIM(Base_Bruta!E1061)),DePara_Categoria!$A$2:$A$9,DePara_Categoria!$B$2:$B$9,"REVISAR"))</f>
        <v>Cinema</v>
      </c>
      <c r="F1061" s="4" t="str">
        <f aca="false">IF($A1061="","",_xlfn.XLOOKUP(LOWER(TRIM(Base_Bruta!F1061)),DePara_Cidade!$A$2:$A$29,DePara_Cidade!$B$2:$B$29,"REVISAR"))</f>
        <v>Rio de Janeiro</v>
      </c>
      <c r="G1061" s="4" t="str">
        <f aca="false">IF($A1061="","",TRIM(Base_Bruta!G1061))</f>
        <v>Inteira</v>
      </c>
      <c r="H1061" s="4" t="n">
        <f aca="false">IF($A1061="","",IF(ISNUMBER(Base_Bruta!H1061),Base_Bruta!H1061,IFERROR(_xlfn.NUMBERVALUE(TRIM(SUBSTITUTE(Base_Bruta!H1061,"R$","")),",","."),0)))</f>
        <v>1</v>
      </c>
      <c r="I1061" s="6" t="n">
        <f aca="false">IF($A1061="","",IF(ISNUMBER(Base_Bruta!I1061),Base_Bruta!I1061,IFERROR(_xlfn.NUMBERVALUE(TRIM(SUBSTITUTE(Base_Bruta!I1061,"R$","")),",","."),0)))</f>
        <v>40</v>
      </c>
      <c r="J1061" s="6" t="n">
        <f aca="false">IF($A1061="","",H1061*I1061)</f>
        <v>40</v>
      </c>
      <c r="K1061" s="4" t="str">
        <f aca="false">IF($A1061="","",TRIM(Base_Bruta!J1061))</f>
        <v>App</v>
      </c>
      <c r="L1061" s="4" t="str">
        <f aca="false">IF($A1061="","",TRIM(Base_Bruta!K1061))</f>
        <v>C01179</v>
      </c>
      <c r="M1061" s="4" t="str">
        <f aca="false">IF($A1061="","",_xlfn.XLOOKUP(LOWER(TRIM(Base_Bruta!L1061)),DePara_Cidade!$A$2:$A$29,DePara_Cidade!$B$2:$B$29,"REVISAR"))</f>
        <v>Rio de Janeiro</v>
      </c>
      <c r="N1061" s="4" t="str">
        <f aca="false">IF($A1061="","",UPPER(TRIM(Base_Bruta!M1061)))</f>
        <v>RJ</v>
      </c>
      <c r="O1061" s="4" t="str">
        <f aca="false">IF($A1061="","",_xlfn.XLOOKUP(LOWER(TRIM(Base_Bruta!N1061)),DePara_Pais!$A$2:$A$9,DePara_Pais!$B$2:$B$9,"REVISAR"))</f>
        <v>Brasil</v>
      </c>
      <c r="P1061" s="4" t="str">
        <f aca="false">IF($A1061="","",IF(O1061&lt;&gt;"Brasil","Turista Internacional",IF(M1061=F1061,"Local","Turista Nacional")))</f>
        <v>Local</v>
      </c>
      <c r="Q1061" s="7" t="n">
        <f aca="false">IF($A1061="","",DATE(YEAR(B1061),MONTH(B1061),1))</f>
        <v>45870</v>
      </c>
      <c r="R1061" s="4" t="str">
        <f aca="false">IF($A1061="","",IF(COUNTIF($A$2:$A1061,$A1061)&gt;1,"Sim","Não"))</f>
        <v>Sim</v>
      </c>
      <c r="S1061" s="4" t="str">
        <f aca="false">IF(A1061="","Descartar - Linha vazia",IF(R1061="Sim","Descartar - Duplicado",IF(OR(H1061&lt;=0,I1061&lt;=0),"Descartar - Qtd/Valor inválido","OK")))</f>
        <v>Descartar - Duplicado</v>
      </c>
      <c r="T1061" s="4" t="str">
        <f aca="false">Base_Bruta!P1061</f>
        <v>vendas_RJ.xlsx</v>
      </c>
    </row>
    <row r="1062" customFormat="false" ht="15" hidden="false" customHeight="false" outlineLevel="0" collapsed="false">
      <c r="A1062" s="4" t="str">
        <f aca="false">IF(Base_Bruta!A1062="","",Base_Bruta!A1062)</f>
        <v>RJ-000008</v>
      </c>
      <c r="B1062" s="5" t="n">
        <f aca="false">IF($A1062="","",IF(ISNUMBER(Base_Bruta!B1062),Base_Bruta!B1062,IF(MID(Base_Bruta!B1062,5,1)="-",DATE(VALUE(LEFT(Base_Bruta!B1062,4)),VALUE(MID(Base_Bruta!B1062,6,2)),VALUE(RIGHT(Base_Bruta!B1062,2))),DATE(VALUE(RIGHT(Base_Bruta!B1062,4)),VALUE(MID(Base_Bruta!B1062,4,2)),VALUE(LEFT(Base_Bruta!B1062,2))))))</f>
        <v>45929</v>
      </c>
      <c r="C1062" s="5" t="n">
        <f aca="false">IF($A1062="","",IF(ISNUMBER(Base_Bruta!C1062),Base_Bruta!C1062,IF(MID(Base_Bruta!C1062,5,1)="-",DATE(VALUE(LEFT(Base_Bruta!C1062,4)),VALUE(MID(Base_Bruta!C1062,6,2)),VALUE(RIGHT(Base_Bruta!C1062,2))),DATE(VALUE(RIGHT(Base_Bruta!C1062,4)),VALUE(MID(Base_Bruta!C1062,4,2)),VALUE(LEFT(Base_Bruta!C1062,2))))))</f>
        <v>46046</v>
      </c>
      <c r="D1062" s="4" t="str">
        <f aca="false">IF($A1062="","",TRIM(Base_Bruta!D1062))</f>
        <v>Rio Beat Festival 2026</v>
      </c>
      <c r="E1062" s="4" t="str">
        <f aca="false">IF($A1062="","",_xlfn.XLOOKUP(LOWER(TRIM(Base_Bruta!E1062)),DePara_Categoria!$A$2:$A$9,DePara_Categoria!$B$2:$B$9,"REVISAR"))</f>
        <v>Festival</v>
      </c>
      <c r="F1062" s="4" t="str">
        <f aca="false">IF($A1062="","",_xlfn.XLOOKUP(LOWER(TRIM(Base_Bruta!F1062)),DePara_Cidade!$A$2:$A$29,DePara_Cidade!$B$2:$B$29,"REVISAR"))</f>
        <v>Rio de Janeiro</v>
      </c>
      <c r="G1062" s="4" t="str">
        <f aca="false">IF($A1062="","",TRIM(Base_Bruta!G1062))</f>
        <v>Inteira</v>
      </c>
      <c r="H1062" s="4" t="n">
        <f aca="false">IF($A1062="","",IF(ISNUMBER(Base_Bruta!H1062),Base_Bruta!H1062,IFERROR(_xlfn.NUMBERVALUE(TRIM(SUBSTITUTE(Base_Bruta!H1062,"R$","")),",","."),0)))</f>
        <v>1</v>
      </c>
      <c r="I1062" s="6" t="n">
        <f aca="false">IF($A1062="","",IF(ISNUMBER(Base_Bruta!I1062),Base_Bruta!I1062,IFERROR(_xlfn.NUMBERVALUE(TRIM(SUBSTITUTE(Base_Bruta!I1062,"R$","")),",","."),0)))</f>
        <v>685</v>
      </c>
      <c r="J1062" s="6" t="n">
        <f aca="false">IF($A1062="","",H1062*I1062)</f>
        <v>685</v>
      </c>
      <c r="K1062" s="4" t="str">
        <f aca="false">IF($A1062="","",TRIM(Base_Bruta!J1062))</f>
        <v>App</v>
      </c>
      <c r="L1062" s="4" t="str">
        <f aca="false">IF($A1062="","",TRIM(Base_Bruta!K1062))</f>
        <v>C02363</v>
      </c>
      <c r="M1062" s="4" t="str">
        <f aca="false">IF($A1062="","",_xlfn.XLOOKUP(LOWER(TRIM(Base_Bruta!L1062)),DePara_Cidade!$A$2:$A$29,DePara_Cidade!$B$2:$B$29,"REVISAR"))</f>
        <v>Niterói</v>
      </c>
      <c r="N1062" s="4" t="str">
        <f aca="false">IF($A1062="","",UPPER(TRIM(Base_Bruta!M1062)))</f>
        <v>RJ</v>
      </c>
      <c r="O1062" s="4" t="str">
        <f aca="false">IF($A1062="","",_xlfn.XLOOKUP(LOWER(TRIM(Base_Bruta!N1062)),DePara_Pais!$A$2:$A$9,DePara_Pais!$B$2:$B$9,"REVISAR"))</f>
        <v>Brasil</v>
      </c>
      <c r="P1062" s="4" t="str">
        <f aca="false">IF($A1062="","",IF(O1062&lt;&gt;"Brasil","Turista Internacional",IF(M1062=F1062,"Local","Turista Nacional")))</f>
        <v>Turista Nacional</v>
      </c>
      <c r="Q1062" s="7" t="n">
        <f aca="false">IF($A1062="","",DATE(YEAR(B1062),MONTH(B1062),1))</f>
        <v>45901</v>
      </c>
      <c r="R1062" s="4" t="str">
        <f aca="false">IF($A1062="","",IF(COUNTIF($A$2:$A1062,$A1062)&gt;1,"Sim","Não"))</f>
        <v>Não</v>
      </c>
      <c r="S1062" s="4" t="str">
        <f aca="false">IF(A1062="","Descartar - Linha vazia",IF(R1062="Sim","Descartar - Duplicado",IF(OR(H1062&lt;=0,I1062&lt;=0),"Descartar - Qtd/Valor inválido","OK")))</f>
        <v>OK</v>
      </c>
      <c r="T1062" s="4" t="str">
        <f aca="false">Base_Bruta!P1062</f>
        <v>vendas_RJ.xlsx</v>
      </c>
    </row>
    <row r="1063" customFormat="false" ht="15" hidden="false" customHeight="false" outlineLevel="0" collapsed="false">
      <c r="A1063" s="4" t="str">
        <f aca="false">IF(Base_Bruta!A1063="","",Base_Bruta!A1063)</f>
        <v>RJ-000183</v>
      </c>
      <c r="B1063" s="5" t="n">
        <f aca="false">IF($A1063="","",IF(ISNUMBER(Base_Bruta!B1063),Base_Bruta!B1063,IF(MID(Base_Bruta!B1063,5,1)="-",DATE(VALUE(LEFT(Base_Bruta!B1063,4)),VALUE(MID(Base_Bruta!B1063,6,2)),VALUE(RIGHT(Base_Bruta!B1063,2))),DATE(VALUE(RIGHT(Base_Bruta!B1063,4)),VALUE(MID(Base_Bruta!B1063,4,2)),VALUE(LEFT(Base_Bruta!B1063,2))))))</f>
        <v>45929</v>
      </c>
      <c r="C1063" s="5" t="n">
        <f aca="false">IF($A1063="","",IF(ISNUMBER(Base_Bruta!C1063),Base_Bruta!C1063,IF(MID(Base_Bruta!C1063,5,1)="-",DATE(VALUE(LEFT(Base_Bruta!C1063,4)),VALUE(MID(Base_Bruta!C1063,6,2)),VALUE(RIGHT(Base_Bruta!C1063,2))),DATE(VALUE(RIGHT(Base_Bruta!C1063,4)),VALUE(MID(Base_Bruta!C1063,4,2)),VALUE(LEFT(Base_Bruta!C1063,2))))))</f>
        <v>46046</v>
      </c>
      <c r="D1063" s="4" t="str">
        <f aca="false">IF($A1063="","",TRIM(Base_Bruta!D1063))</f>
        <v>Rio Beat Festival 2026</v>
      </c>
      <c r="E1063" s="4" t="str">
        <f aca="false">IF($A1063="","",_xlfn.XLOOKUP(LOWER(TRIM(Base_Bruta!E1063)),DePara_Categoria!$A$2:$A$9,DePara_Categoria!$B$2:$B$9,"REVISAR"))</f>
        <v>Festival</v>
      </c>
      <c r="F1063" s="4" t="str">
        <f aca="false">IF($A1063="","",_xlfn.XLOOKUP(LOWER(TRIM(Base_Bruta!F1063)),DePara_Cidade!$A$2:$A$29,DePara_Cidade!$B$2:$B$29,"REVISAR"))</f>
        <v>Rio de Janeiro</v>
      </c>
      <c r="G1063" s="4" t="str">
        <f aca="false">IF($A1063="","",TRIM(Base_Bruta!G1063))</f>
        <v>Inteira</v>
      </c>
      <c r="H1063" s="4" t="n">
        <f aca="false">IF($A1063="","",IF(ISNUMBER(Base_Bruta!H1063),Base_Bruta!H1063,IFERROR(_xlfn.NUMBERVALUE(TRIM(SUBSTITUTE(Base_Bruta!H1063,"R$","")),",","."),0)))</f>
        <v>1</v>
      </c>
      <c r="I1063" s="6" t="n">
        <f aca="false">IF($A1063="","",IF(ISNUMBER(Base_Bruta!I1063),Base_Bruta!I1063,IFERROR(_xlfn.NUMBERVALUE(TRIM(SUBSTITUTE(Base_Bruta!I1063,"R$","")),",","."),0)))</f>
        <v>935</v>
      </c>
      <c r="J1063" s="6" t="n">
        <f aca="false">IF($A1063="","",H1063*I1063)</f>
        <v>935</v>
      </c>
      <c r="K1063" s="4" t="str">
        <f aca="false">IF($A1063="","",TRIM(Base_Bruta!J1063))</f>
        <v>Site</v>
      </c>
      <c r="L1063" s="4" t="str">
        <f aca="false">IF($A1063="","",TRIM(Base_Bruta!K1063))</f>
        <v>C02022</v>
      </c>
      <c r="M1063" s="4" t="str">
        <f aca="false">IF($A1063="","",_xlfn.XLOOKUP(LOWER(TRIM(Base_Bruta!L1063)),DePara_Cidade!$A$2:$A$29,DePara_Cidade!$B$2:$B$29,"REVISAR"))</f>
        <v>Rio de Janeiro</v>
      </c>
      <c r="N1063" s="4" t="str">
        <f aca="false">IF($A1063="","",UPPER(TRIM(Base_Bruta!M1063)))</f>
        <v>RJ</v>
      </c>
      <c r="O1063" s="4" t="str">
        <f aca="false">IF($A1063="","",_xlfn.XLOOKUP(LOWER(TRIM(Base_Bruta!N1063)),DePara_Pais!$A$2:$A$9,DePara_Pais!$B$2:$B$9,"REVISAR"))</f>
        <v>Brasil</v>
      </c>
      <c r="P1063" s="4" t="str">
        <f aca="false">IF($A1063="","",IF(O1063&lt;&gt;"Brasil","Turista Internacional",IF(M1063=F1063,"Local","Turista Nacional")))</f>
        <v>Local</v>
      </c>
      <c r="Q1063" s="7" t="n">
        <f aca="false">IF($A1063="","",DATE(YEAR(B1063),MONTH(B1063),1))</f>
        <v>45901</v>
      </c>
      <c r="R1063" s="4" t="str">
        <f aca="false">IF($A1063="","",IF(COUNTIF($A$2:$A1063,$A1063)&gt;1,"Sim","Não"))</f>
        <v>Não</v>
      </c>
      <c r="S1063" s="4" t="str">
        <f aca="false">IF(A1063="","Descartar - Linha vazia",IF(R1063="Sim","Descartar - Duplicado",IF(OR(H1063&lt;=0,I1063&lt;=0),"Descartar - Qtd/Valor inválido","OK")))</f>
        <v>OK</v>
      </c>
      <c r="T1063" s="4" t="str">
        <f aca="false">Base_Bruta!P1063</f>
        <v>vendas_RJ.xlsx</v>
      </c>
    </row>
    <row r="1064" customFormat="false" ht="15" hidden="false" customHeight="false" outlineLevel="0" collapsed="false">
      <c r="A1064" s="4" t="str">
        <f aca="false">IF(Base_Bruta!A1064="","",Base_Bruta!A1064)</f>
        <v>RJ-000022</v>
      </c>
      <c r="B1064" s="5" t="n">
        <f aca="false">IF($A1064="","",IF(ISNUMBER(Base_Bruta!B1064),Base_Bruta!B1064,IF(MID(Base_Bruta!B1064,5,1)="-",DATE(VALUE(LEFT(Base_Bruta!B1064,4)),VALUE(MID(Base_Bruta!B1064,6,2)),VALUE(RIGHT(Base_Bruta!B1064,2))),DATE(VALUE(RIGHT(Base_Bruta!B1064,4)),VALUE(MID(Base_Bruta!B1064,4,2)),VALUE(LEFT(Base_Bruta!B1064,2))))))</f>
        <v>45930</v>
      </c>
      <c r="C1064" s="5" t="n">
        <f aca="false">IF($A1064="","",IF(ISNUMBER(Base_Bruta!C1064),Base_Bruta!C1064,IF(MID(Base_Bruta!C1064,5,1)="-",DATE(VALUE(LEFT(Base_Bruta!C1064,4)),VALUE(MID(Base_Bruta!C1064,6,2)),VALUE(RIGHT(Base_Bruta!C1064,2))),DATE(VALUE(RIGHT(Base_Bruta!C1064,4)),VALUE(MID(Base_Bruta!C1064,4,2)),VALUE(LEFT(Base_Bruta!C1064,2))))))</f>
        <v>46046</v>
      </c>
      <c r="D1064" s="4" t="str">
        <f aca="false">IF($A1064="","",TRIM(Base_Bruta!D1064))</f>
        <v>Rio Beat Festival 2026</v>
      </c>
      <c r="E1064" s="4" t="str">
        <f aca="false">IF($A1064="","",_xlfn.XLOOKUP(LOWER(TRIM(Base_Bruta!E1064)),DePara_Categoria!$A$2:$A$9,DePara_Categoria!$B$2:$B$9,"REVISAR"))</f>
        <v>Festival</v>
      </c>
      <c r="F1064" s="4" t="str">
        <f aca="false">IF($A1064="","",_xlfn.XLOOKUP(LOWER(TRIM(Base_Bruta!F1064)),DePara_Cidade!$A$2:$A$29,DePara_Cidade!$B$2:$B$29,"REVISAR"))</f>
        <v>Rio de Janeiro</v>
      </c>
      <c r="G1064" s="4" t="str">
        <f aca="false">IF($A1064="","",TRIM(Base_Bruta!G1064))</f>
        <v>Meia</v>
      </c>
      <c r="H1064" s="4" t="n">
        <f aca="false">IF($A1064="","",IF(ISNUMBER(Base_Bruta!H1064),Base_Bruta!H1064,IFERROR(_xlfn.NUMBERVALUE(TRIM(SUBSTITUTE(Base_Bruta!H1064,"R$","")),",","."),0)))</f>
        <v>2</v>
      </c>
      <c r="I1064" s="6" t="n">
        <f aca="false">IF($A1064="","",IF(ISNUMBER(Base_Bruta!I1064),Base_Bruta!I1064,IFERROR(_xlfn.NUMBERVALUE(TRIM(SUBSTITUTE(Base_Bruta!I1064,"R$","")),",","."),0)))</f>
        <v>370</v>
      </c>
      <c r="J1064" s="6" t="n">
        <f aca="false">IF($A1064="","",H1064*I1064)</f>
        <v>740</v>
      </c>
      <c r="K1064" s="4" t="str">
        <f aca="false">IF($A1064="","",TRIM(Base_Bruta!J1064))</f>
        <v>App</v>
      </c>
      <c r="L1064" s="4" t="str">
        <f aca="false">IF($A1064="","",TRIM(Base_Bruta!K1064))</f>
        <v>C02458</v>
      </c>
      <c r="M1064" s="4" t="str">
        <f aca="false">IF($A1064="","",_xlfn.XLOOKUP(LOWER(TRIM(Base_Bruta!L1064)),DePara_Cidade!$A$2:$A$29,DePara_Cidade!$B$2:$B$29,"REVISAR"))</f>
        <v>Rio de Janeiro</v>
      </c>
      <c r="N1064" s="4" t="str">
        <f aca="false">IF($A1064="","",UPPER(TRIM(Base_Bruta!M1064)))</f>
        <v>RJ</v>
      </c>
      <c r="O1064" s="4" t="str">
        <f aca="false">IF($A1064="","",_xlfn.XLOOKUP(LOWER(TRIM(Base_Bruta!N1064)),DePara_Pais!$A$2:$A$9,DePara_Pais!$B$2:$B$9,"REVISAR"))</f>
        <v>Brasil</v>
      </c>
      <c r="P1064" s="4" t="str">
        <f aca="false">IF($A1064="","",IF(O1064&lt;&gt;"Brasil","Turista Internacional",IF(M1064=F1064,"Local","Turista Nacional")))</f>
        <v>Local</v>
      </c>
      <c r="Q1064" s="7" t="n">
        <f aca="false">IF($A1064="","",DATE(YEAR(B1064),MONTH(B1064),1))</f>
        <v>45901</v>
      </c>
      <c r="R1064" s="4" t="str">
        <f aca="false">IF($A1064="","",IF(COUNTIF($A$2:$A1064,$A1064)&gt;1,"Sim","Não"))</f>
        <v>Não</v>
      </c>
      <c r="S1064" s="4" t="str">
        <f aca="false">IF(A1064="","Descartar - Linha vazia",IF(R1064="Sim","Descartar - Duplicado",IF(OR(H1064&lt;=0,I1064&lt;=0),"Descartar - Qtd/Valor inválido","OK")))</f>
        <v>OK</v>
      </c>
      <c r="T1064" s="4" t="str">
        <f aca="false">Base_Bruta!P1064</f>
        <v>vendas_RJ.xlsx</v>
      </c>
    </row>
    <row r="1065" customFormat="false" ht="15" hidden="false" customHeight="false" outlineLevel="0" collapsed="false">
      <c r="A1065" s="4" t="str">
        <f aca="false">IF(Base_Bruta!A1065="","",Base_Bruta!A1065)</f>
        <v>RJ-000189</v>
      </c>
      <c r="B1065" s="5" t="n">
        <f aca="false">IF($A1065="","",IF(ISNUMBER(Base_Bruta!B1065),Base_Bruta!B1065,IF(MID(Base_Bruta!B1065,5,1)="-",DATE(VALUE(LEFT(Base_Bruta!B1065,4)),VALUE(MID(Base_Bruta!B1065,6,2)),VALUE(RIGHT(Base_Bruta!B1065,2))),DATE(VALUE(RIGHT(Base_Bruta!B1065,4)),VALUE(MID(Base_Bruta!B1065,4,2)),VALUE(LEFT(Base_Bruta!B1065,2))))))</f>
        <v>45930</v>
      </c>
      <c r="C1065" s="5" t="n">
        <f aca="false">IF($A1065="","",IF(ISNUMBER(Base_Bruta!C1065),Base_Bruta!C1065,IF(MID(Base_Bruta!C1065,5,1)="-",DATE(VALUE(LEFT(Base_Bruta!C1065,4)),VALUE(MID(Base_Bruta!C1065,6,2)),VALUE(RIGHT(Base_Bruta!C1065,2))),DATE(VALUE(RIGHT(Base_Bruta!C1065,4)),VALUE(MID(Base_Bruta!C1065,4,2)),VALUE(LEFT(Base_Bruta!C1065,2))))))</f>
        <v>46046</v>
      </c>
      <c r="D1065" s="4" t="str">
        <f aca="false">IF($A1065="","",TRIM(Base_Bruta!D1065))</f>
        <v>Rio Beat Festival 2026</v>
      </c>
      <c r="E1065" s="4" t="str">
        <f aca="false">IF($A1065="","",_xlfn.XLOOKUP(LOWER(TRIM(Base_Bruta!E1065)),DePara_Categoria!$A$2:$A$9,DePara_Categoria!$B$2:$B$9,"REVISAR"))</f>
        <v>Festival</v>
      </c>
      <c r="F1065" s="4" t="str">
        <f aca="false">IF($A1065="","",_xlfn.XLOOKUP(LOWER(TRIM(Base_Bruta!F1065)),DePara_Cidade!$A$2:$A$29,DePara_Cidade!$B$2:$B$29,"REVISAR"))</f>
        <v>Rio de Janeiro</v>
      </c>
      <c r="G1065" s="4" t="str">
        <f aca="false">IF($A1065="","",TRIM(Base_Bruta!G1065))</f>
        <v>Inteira</v>
      </c>
      <c r="H1065" s="4" t="n">
        <f aca="false">IF($A1065="","",IF(ISNUMBER(Base_Bruta!H1065),Base_Bruta!H1065,IFERROR(_xlfn.NUMBERVALUE(TRIM(SUBSTITUTE(Base_Bruta!H1065,"R$","")),",","."),0)))</f>
        <v>3</v>
      </c>
      <c r="I1065" s="6" t="n">
        <f aca="false">IF($A1065="","",IF(ISNUMBER(Base_Bruta!I1065),Base_Bruta!I1065,IFERROR(_xlfn.NUMBERVALUE(TRIM(SUBSTITUTE(Base_Bruta!I1065,"R$","")),",","."),0)))</f>
        <v>760</v>
      </c>
      <c r="J1065" s="6" t="n">
        <f aca="false">IF($A1065="","",H1065*I1065)</f>
        <v>2280</v>
      </c>
      <c r="K1065" s="4" t="str">
        <f aca="false">IF($A1065="","",TRIM(Base_Bruta!J1065))</f>
        <v>Site</v>
      </c>
      <c r="L1065" s="4" t="str">
        <f aca="false">IF($A1065="","",TRIM(Base_Bruta!K1065))</f>
        <v>C01767</v>
      </c>
      <c r="M1065" s="4" t="str">
        <f aca="false">IF($A1065="","",_xlfn.XLOOKUP(LOWER(TRIM(Base_Bruta!L1065)),DePara_Cidade!$A$2:$A$29,DePara_Cidade!$B$2:$B$29,"REVISAR"))</f>
        <v>Rio de Janeiro</v>
      </c>
      <c r="N1065" s="4" t="str">
        <f aca="false">IF($A1065="","",UPPER(TRIM(Base_Bruta!M1065)))</f>
        <v>RJ</v>
      </c>
      <c r="O1065" s="4" t="str">
        <f aca="false">IF($A1065="","",_xlfn.XLOOKUP(LOWER(TRIM(Base_Bruta!N1065)),DePara_Pais!$A$2:$A$9,DePara_Pais!$B$2:$B$9,"REVISAR"))</f>
        <v>Brasil</v>
      </c>
      <c r="P1065" s="4" t="str">
        <f aca="false">IF($A1065="","",IF(O1065&lt;&gt;"Brasil","Turista Internacional",IF(M1065=F1065,"Local","Turista Nacional")))</f>
        <v>Local</v>
      </c>
      <c r="Q1065" s="7" t="n">
        <f aca="false">IF($A1065="","",DATE(YEAR(B1065),MONTH(B1065),1))</f>
        <v>45901</v>
      </c>
      <c r="R1065" s="4" t="str">
        <f aca="false">IF($A1065="","",IF(COUNTIF($A$2:$A1065,$A1065)&gt;1,"Sim","Não"))</f>
        <v>Não</v>
      </c>
      <c r="S1065" s="4" t="str">
        <f aca="false">IF(A1065="","Descartar - Linha vazia",IF(R1065="Sim","Descartar - Duplicado",IF(OR(H1065&lt;=0,I1065&lt;=0),"Descartar - Qtd/Valor inválido","OK")))</f>
        <v>OK</v>
      </c>
      <c r="T1065" s="4" t="str">
        <f aca="false">Base_Bruta!P1065</f>
        <v>vendas_RJ.xlsx</v>
      </c>
    </row>
    <row r="1066" customFormat="false" ht="15" hidden="false" customHeight="false" outlineLevel="0" collapsed="false">
      <c r="A1066" s="4" t="str">
        <f aca="false">IF(Base_Bruta!A1066="","",Base_Bruta!A1066)</f>
        <v>RJ-000676</v>
      </c>
      <c r="B1066" s="5" t="n">
        <f aca="false">IF($A1066="","",IF(ISNUMBER(Base_Bruta!B1066),Base_Bruta!B1066,IF(MID(Base_Bruta!B1066,5,1)="-",DATE(VALUE(LEFT(Base_Bruta!B1066,4)),VALUE(MID(Base_Bruta!B1066,6,2)),VALUE(RIGHT(Base_Bruta!B1066,2))),DATE(VALUE(RIGHT(Base_Bruta!B1066,4)),VALUE(MID(Base_Bruta!B1066,4,2)),VALUE(LEFT(Base_Bruta!B1066,2))))))</f>
        <v>45930</v>
      </c>
      <c r="C1066" s="5" t="n">
        <f aca="false">IF($A1066="","",IF(ISNUMBER(Base_Bruta!C1066),Base_Bruta!C1066,IF(MID(Base_Bruta!C1066,5,1)="-",DATE(VALUE(LEFT(Base_Bruta!C1066,4)),VALUE(MID(Base_Bruta!C1066,6,2)),VALUE(RIGHT(Base_Bruta!C1066,2))),DATE(VALUE(RIGHT(Base_Bruta!C1066,4)),VALUE(MID(Base_Bruta!C1066,4,2)),VALUE(LEFT(Base_Bruta!C1066,2))))))</f>
        <v>45932</v>
      </c>
      <c r="D1066" s="4" t="str">
        <f aca="false">IF($A1066="","",TRIM(Base_Bruta!D1066))</f>
        <v>Cinema Barra - Sessões</v>
      </c>
      <c r="E1066" s="4" t="str">
        <f aca="false">IF($A1066="","",_xlfn.XLOOKUP(LOWER(TRIM(Base_Bruta!E1066)),DePara_Categoria!$A$2:$A$9,DePara_Categoria!$B$2:$B$9,"REVISAR"))</f>
        <v>Cinema</v>
      </c>
      <c r="F1066" s="4" t="str">
        <f aca="false">IF($A1066="","",_xlfn.XLOOKUP(LOWER(TRIM(Base_Bruta!F1066)),DePara_Cidade!$A$2:$A$29,DePara_Cidade!$B$2:$B$29,"REVISAR"))</f>
        <v>Rio de Janeiro</v>
      </c>
      <c r="G1066" s="4" t="str">
        <f aca="false">IF($A1066="","",TRIM(Base_Bruta!G1066))</f>
        <v>Meia</v>
      </c>
      <c r="H1066" s="4" t="n">
        <f aca="false">IF($A1066="","",IF(ISNUMBER(Base_Bruta!H1066),Base_Bruta!H1066,IFERROR(_xlfn.NUMBERVALUE(TRIM(SUBSTITUTE(Base_Bruta!H1066,"R$","")),",","."),0)))</f>
        <v>2</v>
      </c>
      <c r="I1066" s="6" t="n">
        <f aca="false">IF($A1066="","",IF(ISNUMBER(Base_Bruta!I1066),Base_Bruta!I1066,IFERROR(_xlfn.NUMBERVALUE(TRIM(SUBSTITUTE(Base_Bruta!I1066,"R$","")),",","."),0)))</f>
        <v>15</v>
      </c>
      <c r="J1066" s="6" t="n">
        <f aca="false">IF($A1066="","",H1066*I1066)</f>
        <v>30</v>
      </c>
      <c r="K1066" s="4" t="str">
        <f aca="false">IF($A1066="","",TRIM(Base_Bruta!J1066))</f>
        <v>Site</v>
      </c>
      <c r="L1066" s="4" t="str">
        <f aca="false">IF($A1066="","",TRIM(Base_Bruta!K1066))</f>
        <v>C00541</v>
      </c>
      <c r="M1066" s="4" t="str">
        <f aca="false">IF($A1066="","",_xlfn.XLOOKUP(LOWER(TRIM(Base_Bruta!L1066)),DePara_Cidade!$A$2:$A$29,DePara_Cidade!$B$2:$B$29,"REVISAR"))</f>
        <v>Rio de Janeiro</v>
      </c>
      <c r="N1066" s="4" t="str">
        <f aca="false">IF($A1066="","",UPPER(TRIM(Base_Bruta!M1066)))</f>
        <v>RJ</v>
      </c>
      <c r="O1066" s="4" t="str">
        <f aca="false">IF($A1066="","",_xlfn.XLOOKUP(LOWER(TRIM(Base_Bruta!N1066)),DePara_Pais!$A$2:$A$9,DePara_Pais!$B$2:$B$9,"REVISAR"))</f>
        <v>Brasil</v>
      </c>
      <c r="P1066" s="4" t="str">
        <f aca="false">IF($A1066="","",IF(O1066&lt;&gt;"Brasil","Turista Internacional",IF(M1066=F1066,"Local","Turista Nacional")))</f>
        <v>Local</v>
      </c>
      <c r="Q1066" s="7" t="n">
        <f aca="false">IF($A1066="","",DATE(YEAR(B1066),MONTH(B1066),1))</f>
        <v>45901</v>
      </c>
      <c r="R1066" s="4" t="str">
        <f aca="false">IF($A1066="","",IF(COUNTIF($A$2:$A1066,$A1066)&gt;1,"Sim","Não"))</f>
        <v>Não</v>
      </c>
      <c r="S1066" s="4" t="str">
        <f aca="false">IF(A1066="","Descartar - Linha vazia",IF(R1066="Sim","Descartar - Duplicado",IF(OR(H1066&lt;=0,I1066&lt;=0),"Descartar - Qtd/Valor inválido","OK")))</f>
        <v>OK</v>
      </c>
      <c r="T1066" s="4" t="str">
        <f aca="false">Base_Bruta!P1066</f>
        <v>vendas_RJ.xlsx</v>
      </c>
    </row>
    <row r="1067" customFormat="false" ht="15" hidden="false" customHeight="false" outlineLevel="0" collapsed="false">
      <c r="A1067" s="4" t="str">
        <f aca="false">IF(Base_Bruta!A1067="","",Base_Bruta!A1067)</f>
        <v>RJ-000027</v>
      </c>
      <c r="B1067" s="5" t="n">
        <f aca="false">IF($A1067="","",IF(ISNUMBER(Base_Bruta!B1067),Base_Bruta!B1067,IF(MID(Base_Bruta!B1067,5,1)="-",DATE(VALUE(LEFT(Base_Bruta!B1067,4)),VALUE(MID(Base_Bruta!B1067,6,2)),VALUE(RIGHT(Base_Bruta!B1067,2))),DATE(VALUE(RIGHT(Base_Bruta!B1067,4)),VALUE(MID(Base_Bruta!B1067,4,2)),VALUE(LEFT(Base_Bruta!B1067,2))))))</f>
        <v>45931</v>
      </c>
      <c r="C1067" s="5" t="n">
        <f aca="false">IF($A1067="","",IF(ISNUMBER(Base_Bruta!C1067),Base_Bruta!C1067,IF(MID(Base_Bruta!C1067,5,1)="-",DATE(VALUE(LEFT(Base_Bruta!C1067,4)),VALUE(MID(Base_Bruta!C1067,6,2)),VALUE(RIGHT(Base_Bruta!C1067,2))),DATE(VALUE(RIGHT(Base_Bruta!C1067,4)),VALUE(MID(Base_Bruta!C1067,4,2)),VALUE(LEFT(Base_Bruta!C1067,2))))))</f>
        <v>46046</v>
      </c>
      <c r="D1067" s="4" t="str">
        <f aca="false">IF($A1067="","",TRIM(Base_Bruta!D1067))</f>
        <v>Rio Beat Festival 2026</v>
      </c>
      <c r="E1067" s="4" t="str">
        <f aca="false">IF($A1067="","",_xlfn.XLOOKUP(LOWER(TRIM(Base_Bruta!E1067)),DePara_Categoria!$A$2:$A$9,DePara_Categoria!$B$2:$B$9,"REVISAR"))</f>
        <v>Festival</v>
      </c>
      <c r="F1067" s="4" t="str">
        <f aca="false">IF($A1067="","",_xlfn.XLOOKUP(LOWER(TRIM(Base_Bruta!F1067)),DePara_Cidade!$A$2:$A$29,DePara_Cidade!$B$2:$B$29,"REVISAR"))</f>
        <v>Rio de Janeiro</v>
      </c>
      <c r="G1067" s="4" t="str">
        <f aca="false">IF($A1067="","",TRIM(Base_Bruta!G1067))</f>
        <v>Inteira</v>
      </c>
      <c r="H1067" s="4" t="n">
        <f aca="false">IF($A1067="","",IF(ISNUMBER(Base_Bruta!H1067),Base_Bruta!H1067,IFERROR(_xlfn.NUMBERVALUE(TRIM(SUBSTITUTE(Base_Bruta!H1067,"R$","")),",","."),0)))</f>
        <v>3</v>
      </c>
      <c r="I1067" s="6" t="n">
        <f aca="false">IF($A1067="","",IF(ISNUMBER(Base_Bruta!I1067),Base_Bruta!I1067,IFERROR(_xlfn.NUMBERVALUE(TRIM(SUBSTITUTE(Base_Bruta!I1067,"R$","")),",","."),0)))</f>
        <v>660</v>
      </c>
      <c r="J1067" s="6" t="n">
        <f aca="false">IF($A1067="","",H1067*I1067)</f>
        <v>1980</v>
      </c>
      <c r="K1067" s="4" t="str">
        <f aca="false">IF($A1067="","",TRIM(Base_Bruta!J1067))</f>
        <v>Site</v>
      </c>
      <c r="L1067" s="4" t="str">
        <f aca="false">IF($A1067="","",TRIM(Base_Bruta!K1067))</f>
        <v>C00613</v>
      </c>
      <c r="M1067" s="4" t="str">
        <f aca="false">IF($A1067="","",_xlfn.XLOOKUP(LOWER(TRIM(Base_Bruta!L1067)),DePara_Cidade!$A$2:$A$29,DePara_Cidade!$B$2:$B$29,"REVISAR"))</f>
        <v>Lisboa</v>
      </c>
      <c r="N1067" s="4" t="str">
        <f aca="false">IF($A1067="","",UPPER(TRIM(Base_Bruta!M1067)))</f>
        <v>EX</v>
      </c>
      <c r="O1067" s="4" t="str">
        <f aca="false">IF($A1067="","",_xlfn.XLOOKUP(LOWER(TRIM(Base_Bruta!N1067)),DePara_Pais!$A$2:$A$9,DePara_Pais!$B$2:$B$9,"REVISAR"))</f>
        <v>Portugal</v>
      </c>
      <c r="P1067" s="4" t="str">
        <f aca="false">IF($A1067="","",IF(O1067&lt;&gt;"Brasil","Turista Internacional",IF(M1067=F1067,"Local","Turista Nacional")))</f>
        <v>Turista Internacional</v>
      </c>
      <c r="Q1067" s="7" t="n">
        <f aca="false">IF($A1067="","",DATE(YEAR(B1067),MONTH(B1067),1))</f>
        <v>45931</v>
      </c>
      <c r="R1067" s="4" t="str">
        <f aca="false">IF($A1067="","",IF(COUNTIF($A$2:$A1067,$A1067)&gt;1,"Sim","Não"))</f>
        <v>Não</v>
      </c>
      <c r="S1067" s="4" t="str">
        <f aca="false">IF(A1067="","Descartar - Linha vazia",IF(R1067="Sim","Descartar - Duplicado",IF(OR(H1067&lt;=0,I1067&lt;=0),"Descartar - Qtd/Valor inválido","OK")))</f>
        <v>OK</v>
      </c>
      <c r="T1067" s="4" t="str">
        <f aca="false">Base_Bruta!P1067</f>
        <v>vendas_RJ.xlsx</v>
      </c>
    </row>
    <row r="1068" customFormat="false" ht="15" hidden="false" customHeight="false" outlineLevel="0" collapsed="false">
      <c r="A1068" s="4" t="str">
        <f aca="false">IF(Base_Bruta!A1068="","",Base_Bruta!A1068)</f>
        <v>RJ-000068</v>
      </c>
      <c r="B1068" s="5" t="n">
        <f aca="false">IF($A1068="","",IF(ISNUMBER(Base_Bruta!B1068),Base_Bruta!B1068,IF(MID(Base_Bruta!B1068,5,1)="-",DATE(VALUE(LEFT(Base_Bruta!B1068,4)),VALUE(MID(Base_Bruta!B1068,6,2)),VALUE(RIGHT(Base_Bruta!B1068,2))),DATE(VALUE(RIGHT(Base_Bruta!B1068,4)),VALUE(MID(Base_Bruta!B1068,4,2)),VALUE(LEFT(Base_Bruta!B1068,2))))))</f>
        <v>45931</v>
      </c>
      <c r="C1068" s="5" t="n">
        <f aca="false">IF($A1068="","",IF(ISNUMBER(Base_Bruta!C1068),Base_Bruta!C1068,IF(MID(Base_Bruta!C1068,5,1)="-",DATE(VALUE(LEFT(Base_Bruta!C1068,4)),VALUE(MID(Base_Bruta!C1068,6,2)),VALUE(RIGHT(Base_Bruta!C1068,2))),DATE(VALUE(RIGHT(Base_Bruta!C1068,4)),VALUE(MID(Base_Bruta!C1068,4,2)),VALUE(LEFT(Base_Bruta!C1068,2))))))</f>
        <v>46046</v>
      </c>
      <c r="D1068" s="4" t="str">
        <f aca="false">IF($A1068="","",TRIM(Base_Bruta!D1068))</f>
        <v>Rio Beat Festival 2026</v>
      </c>
      <c r="E1068" s="4" t="str">
        <f aca="false">IF($A1068="","",_xlfn.XLOOKUP(LOWER(TRIM(Base_Bruta!E1068)),DePara_Categoria!$A$2:$A$9,DePara_Categoria!$B$2:$B$9,"REVISAR"))</f>
        <v>Festival</v>
      </c>
      <c r="F1068" s="4" t="str">
        <f aca="false">IF($A1068="","",_xlfn.XLOOKUP(LOWER(TRIM(Base_Bruta!F1068)),DePara_Cidade!$A$2:$A$29,DePara_Cidade!$B$2:$B$29,"REVISAR"))</f>
        <v>Rio de Janeiro</v>
      </c>
      <c r="G1068" s="4" t="str">
        <f aca="false">IF($A1068="","",TRIM(Base_Bruta!G1068))</f>
        <v>Inteira</v>
      </c>
      <c r="H1068" s="4" t="n">
        <f aca="false">IF($A1068="","",IF(ISNUMBER(Base_Bruta!H1068),Base_Bruta!H1068,IFERROR(_xlfn.NUMBERVALUE(TRIM(SUBSTITUTE(Base_Bruta!H1068,"R$","")),",","."),0)))</f>
        <v>3</v>
      </c>
      <c r="I1068" s="6" t="n">
        <f aca="false">IF($A1068="","",IF(ISNUMBER(Base_Bruta!I1068),Base_Bruta!I1068,IFERROR(_xlfn.NUMBERVALUE(TRIM(SUBSTITUTE(Base_Bruta!I1068,"R$","")),",","."),0)))</f>
        <v>690</v>
      </c>
      <c r="J1068" s="6" t="n">
        <f aca="false">IF($A1068="","",H1068*I1068)</f>
        <v>2070</v>
      </c>
      <c r="K1068" s="4" t="str">
        <f aca="false">IF($A1068="","",TRIM(Base_Bruta!J1068))</f>
        <v>Site</v>
      </c>
      <c r="L1068" s="4" t="str">
        <f aca="false">IF($A1068="","",TRIM(Base_Bruta!K1068))</f>
        <v>C00405</v>
      </c>
      <c r="M1068" s="4" t="str">
        <f aca="false">IF($A1068="","",_xlfn.XLOOKUP(LOWER(TRIM(Base_Bruta!L1068)),DePara_Cidade!$A$2:$A$29,DePara_Cidade!$B$2:$B$29,"REVISAR"))</f>
        <v>Rio de Janeiro</v>
      </c>
      <c r="N1068" s="4" t="str">
        <f aca="false">IF($A1068="","",UPPER(TRIM(Base_Bruta!M1068)))</f>
        <v>RJ</v>
      </c>
      <c r="O1068" s="4" t="str">
        <f aca="false">IF($A1068="","",_xlfn.XLOOKUP(LOWER(TRIM(Base_Bruta!N1068)),DePara_Pais!$A$2:$A$9,DePara_Pais!$B$2:$B$9,"REVISAR"))</f>
        <v>Brasil</v>
      </c>
      <c r="P1068" s="4" t="str">
        <f aca="false">IF($A1068="","",IF(O1068&lt;&gt;"Brasil","Turista Internacional",IF(M1068=F1068,"Local","Turista Nacional")))</f>
        <v>Local</v>
      </c>
      <c r="Q1068" s="7" t="n">
        <f aca="false">IF($A1068="","",DATE(YEAR(B1068),MONTH(B1068),1))</f>
        <v>45931</v>
      </c>
      <c r="R1068" s="4" t="str">
        <f aca="false">IF($A1068="","",IF(COUNTIF($A$2:$A1068,$A1068)&gt;1,"Sim","Não"))</f>
        <v>Não</v>
      </c>
      <c r="S1068" s="4" t="str">
        <f aca="false">IF(A1068="","Descartar - Linha vazia",IF(R1068="Sim","Descartar - Duplicado",IF(OR(H1068&lt;=0,I1068&lt;=0),"Descartar - Qtd/Valor inválido","OK")))</f>
        <v>OK</v>
      </c>
      <c r="T1068" s="4" t="str">
        <f aca="false">Base_Bruta!P1068</f>
        <v>vendas_RJ.xlsx</v>
      </c>
    </row>
    <row r="1069" customFormat="false" ht="15" hidden="false" customHeight="false" outlineLevel="0" collapsed="false">
      <c r="A1069" s="4" t="str">
        <f aca="false">IF(Base_Bruta!A1069="","",Base_Bruta!A1069)</f>
        <v>RJ-000085</v>
      </c>
      <c r="B1069" s="5" t="n">
        <f aca="false">IF($A1069="","",IF(ISNUMBER(Base_Bruta!B1069),Base_Bruta!B1069,IF(MID(Base_Bruta!B1069,5,1)="-",DATE(VALUE(LEFT(Base_Bruta!B1069,4)),VALUE(MID(Base_Bruta!B1069,6,2)),VALUE(RIGHT(Base_Bruta!B1069,2))),DATE(VALUE(RIGHT(Base_Bruta!B1069,4)),VALUE(MID(Base_Bruta!B1069,4,2)),VALUE(LEFT(Base_Bruta!B1069,2))))))</f>
        <v>45931</v>
      </c>
      <c r="C1069" s="5" t="n">
        <f aca="false">IF($A1069="","",IF(ISNUMBER(Base_Bruta!C1069),Base_Bruta!C1069,IF(MID(Base_Bruta!C1069,5,1)="-",DATE(VALUE(LEFT(Base_Bruta!C1069,4)),VALUE(MID(Base_Bruta!C1069,6,2)),VALUE(RIGHT(Base_Bruta!C1069,2))),DATE(VALUE(RIGHT(Base_Bruta!C1069,4)),VALUE(MID(Base_Bruta!C1069,4,2)),VALUE(LEFT(Base_Bruta!C1069,2))))))</f>
        <v>46046</v>
      </c>
      <c r="D1069" s="4" t="str">
        <f aca="false">IF($A1069="","",TRIM(Base_Bruta!D1069))</f>
        <v>Rio Beat Festival 2026</v>
      </c>
      <c r="E1069" s="4" t="str">
        <f aca="false">IF($A1069="","",_xlfn.XLOOKUP(LOWER(TRIM(Base_Bruta!E1069)),DePara_Categoria!$A$2:$A$9,DePara_Categoria!$B$2:$B$9,"REVISAR"))</f>
        <v>Festival</v>
      </c>
      <c r="F1069" s="4" t="str">
        <f aca="false">IF($A1069="","",_xlfn.XLOOKUP(LOWER(TRIM(Base_Bruta!F1069)),DePara_Cidade!$A$2:$A$29,DePara_Cidade!$B$2:$B$29,"REVISAR"))</f>
        <v>Rio de Janeiro</v>
      </c>
      <c r="G1069" s="4" t="str">
        <f aca="false">IF($A1069="","",TRIM(Base_Bruta!G1069))</f>
        <v>Meia</v>
      </c>
      <c r="H1069" s="4" t="n">
        <f aca="false">IF($A1069="","",IF(ISNUMBER(Base_Bruta!H1069),Base_Bruta!H1069,IFERROR(_xlfn.NUMBERVALUE(TRIM(SUBSTITUTE(Base_Bruta!H1069,"R$","")),",","."),0)))</f>
        <v>2</v>
      </c>
      <c r="I1069" s="6" t="n">
        <f aca="false">IF($A1069="","",IF(ISNUMBER(Base_Bruta!I1069),Base_Bruta!I1069,IFERROR(_xlfn.NUMBERVALUE(TRIM(SUBSTITUTE(Base_Bruta!I1069,"R$","")),",","."),0)))</f>
        <v>490</v>
      </c>
      <c r="J1069" s="6" t="n">
        <f aca="false">IF($A1069="","",H1069*I1069)</f>
        <v>980</v>
      </c>
      <c r="K1069" s="4" t="str">
        <f aca="false">IF($A1069="","",TRIM(Base_Bruta!J1069))</f>
        <v>Parceiro</v>
      </c>
      <c r="L1069" s="4" t="str">
        <f aca="false">IF($A1069="","",TRIM(Base_Bruta!K1069))</f>
        <v>C01646</v>
      </c>
      <c r="M1069" s="4" t="str">
        <f aca="false">IF($A1069="","",_xlfn.XLOOKUP(LOWER(TRIM(Base_Bruta!L1069)),DePara_Cidade!$A$2:$A$29,DePara_Cidade!$B$2:$B$29,"REVISAR"))</f>
        <v>Rio de Janeiro</v>
      </c>
      <c r="N1069" s="4" t="str">
        <f aca="false">IF($A1069="","",UPPER(TRIM(Base_Bruta!M1069)))</f>
        <v>RJ</v>
      </c>
      <c r="O1069" s="4" t="str">
        <f aca="false">IF($A1069="","",_xlfn.XLOOKUP(LOWER(TRIM(Base_Bruta!N1069)),DePara_Pais!$A$2:$A$9,DePara_Pais!$B$2:$B$9,"REVISAR"))</f>
        <v>Brasil</v>
      </c>
      <c r="P1069" s="4" t="str">
        <f aca="false">IF($A1069="","",IF(O1069&lt;&gt;"Brasil","Turista Internacional",IF(M1069=F1069,"Local","Turista Nacional")))</f>
        <v>Local</v>
      </c>
      <c r="Q1069" s="7" t="n">
        <f aca="false">IF($A1069="","",DATE(YEAR(B1069),MONTH(B1069),1))</f>
        <v>45931</v>
      </c>
      <c r="R1069" s="4" t="str">
        <f aca="false">IF($A1069="","",IF(COUNTIF($A$2:$A1069,$A1069)&gt;1,"Sim","Não"))</f>
        <v>Não</v>
      </c>
      <c r="S1069" s="4" t="str">
        <f aca="false">IF(A1069="","Descartar - Linha vazia",IF(R1069="Sim","Descartar - Duplicado",IF(OR(H1069&lt;=0,I1069&lt;=0),"Descartar - Qtd/Valor inválido","OK")))</f>
        <v>OK</v>
      </c>
      <c r="T1069" s="4" t="str">
        <f aca="false">Base_Bruta!P1069</f>
        <v>vendas_RJ.xlsx</v>
      </c>
    </row>
    <row r="1070" customFormat="false" ht="15" hidden="false" customHeight="false" outlineLevel="0" collapsed="false">
      <c r="A1070" s="4" t="str">
        <f aca="false">IF(Base_Bruta!A1070="","",Base_Bruta!A1070)</f>
        <v>RJ-000118</v>
      </c>
      <c r="B1070" s="5" t="n">
        <f aca="false">IF($A1070="","",IF(ISNUMBER(Base_Bruta!B1070),Base_Bruta!B1070,IF(MID(Base_Bruta!B1070,5,1)="-",DATE(VALUE(LEFT(Base_Bruta!B1070,4)),VALUE(MID(Base_Bruta!B1070,6,2)),VALUE(RIGHT(Base_Bruta!B1070,2))),DATE(VALUE(RIGHT(Base_Bruta!B1070,4)),VALUE(MID(Base_Bruta!B1070,4,2)),VALUE(LEFT(Base_Bruta!B1070,2))))))</f>
        <v>45931</v>
      </c>
      <c r="C1070" s="5" t="n">
        <f aca="false">IF($A1070="","",IF(ISNUMBER(Base_Bruta!C1070),Base_Bruta!C1070,IF(MID(Base_Bruta!C1070,5,1)="-",DATE(VALUE(LEFT(Base_Bruta!C1070,4)),VALUE(MID(Base_Bruta!C1070,6,2)),VALUE(RIGHT(Base_Bruta!C1070,2))),DATE(VALUE(RIGHT(Base_Bruta!C1070,4)),VALUE(MID(Base_Bruta!C1070,4,2)),VALUE(LEFT(Base_Bruta!C1070,2))))))</f>
        <v>46046</v>
      </c>
      <c r="D1070" s="4" t="str">
        <f aca="false">IF($A1070="","",TRIM(Base_Bruta!D1070))</f>
        <v>Rio Beat Festival 2026</v>
      </c>
      <c r="E1070" s="4" t="str">
        <f aca="false">IF($A1070="","",_xlfn.XLOOKUP(LOWER(TRIM(Base_Bruta!E1070)),DePara_Categoria!$A$2:$A$9,DePara_Categoria!$B$2:$B$9,"REVISAR"))</f>
        <v>Festival</v>
      </c>
      <c r="F1070" s="4" t="str">
        <f aca="false">IF($A1070="","",_xlfn.XLOOKUP(LOWER(TRIM(Base_Bruta!F1070)),DePara_Cidade!$A$2:$A$29,DePara_Cidade!$B$2:$B$29,"REVISAR"))</f>
        <v>Rio de Janeiro</v>
      </c>
      <c r="G1070" s="4" t="str">
        <f aca="false">IF($A1070="","",TRIM(Base_Bruta!G1070))</f>
        <v>Inteira</v>
      </c>
      <c r="H1070" s="4" t="n">
        <f aca="false">IF($A1070="","",IF(ISNUMBER(Base_Bruta!H1070),Base_Bruta!H1070,IFERROR(_xlfn.NUMBERVALUE(TRIM(SUBSTITUTE(Base_Bruta!H1070,"R$","")),",","."),0)))</f>
        <v>2</v>
      </c>
      <c r="I1070" s="6" t="n">
        <f aca="false">IF($A1070="","",IF(ISNUMBER(Base_Bruta!I1070),Base_Bruta!I1070,IFERROR(_xlfn.NUMBERVALUE(TRIM(SUBSTITUTE(Base_Bruta!I1070,"R$","")),",","."),0)))</f>
        <v>900</v>
      </c>
      <c r="J1070" s="6" t="n">
        <f aca="false">IF($A1070="","",H1070*I1070)</f>
        <v>1800</v>
      </c>
      <c r="K1070" s="4" t="str">
        <f aca="false">IF($A1070="","",TRIM(Base_Bruta!J1070))</f>
        <v>Site</v>
      </c>
      <c r="L1070" s="4" t="str">
        <f aca="false">IF($A1070="","",TRIM(Base_Bruta!K1070))</f>
        <v>C00422</v>
      </c>
      <c r="M1070" s="4" t="str">
        <f aca="false">IF($A1070="","",_xlfn.XLOOKUP(LOWER(TRIM(Base_Bruta!L1070)),DePara_Cidade!$A$2:$A$29,DePara_Cidade!$B$2:$B$29,"REVISAR"))</f>
        <v>Salvador</v>
      </c>
      <c r="N1070" s="4" t="str">
        <f aca="false">IF($A1070="","",UPPER(TRIM(Base_Bruta!M1070)))</f>
        <v>BA</v>
      </c>
      <c r="O1070" s="4" t="str">
        <f aca="false">IF($A1070="","",_xlfn.XLOOKUP(LOWER(TRIM(Base_Bruta!N1070)),DePara_Pais!$A$2:$A$9,DePara_Pais!$B$2:$B$9,"REVISAR"))</f>
        <v>Brasil</v>
      </c>
      <c r="P1070" s="4" t="str">
        <f aca="false">IF($A1070="","",IF(O1070&lt;&gt;"Brasil","Turista Internacional",IF(M1070=F1070,"Local","Turista Nacional")))</f>
        <v>Turista Nacional</v>
      </c>
      <c r="Q1070" s="7" t="n">
        <f aca="false">IF($A1070="","",DATE(YEAR(B1070),MONTH(B1070),1))</f>
        <v>45931</v>
      </c>
      <c r="R1070" s="4" t="str">
        <f aca="false">IF($A1070="","",IF(COUNTIF($A$2:$A1070,$A1070)&gt;1,"Sim","Não"))</f>
        <v>Não</v>
      </c>
      <c r="S1070" s="4" t="str">
        <f aca="false">IF(A1070="","Descartar - Linha vazia",IF(R1070="Sim","Descartar - Duplicado",IF(OR(H1070&lt;=0,I1070&lt;=0),"Descartar - Qtd/Valor inválido","OK")))</f>
        <v>OK</v>
      </c>
      <c r="T1070" s="4" t="str">
        <f aca="false">Base_Bruta!P1070</f>
        <v>vendas_RJ.xlsx</v>
      </c>
    </row>
    <row r="1071" customFormat="false" ht="15" hidden="false" customHeight="false" outlineLevel="0" collapsed="false">
      <c r="A1071" s="4" t="str">
        <f aca="false">IF(Base_Bruta!A1071="","",Base_Bruta!A1071)</f>
        <v>RJ-000127</v>
      </c>
      <c r="B1071" s="5" t="n">
        <f aca="false">IF($A1071="","",IF(ISNUMBER(Base_Bruta!B1071),Base_Bruta!B1071,IF(MID(Base_Bruta!B1071,5,1)="-",DATE(VALUE(LEFT(Base_Bruta!B1071,4)),VALUE(MID(Base_Bruta!B1071,6,2)),VALUE(RIGHT(Base_Bruta!B1071,2))),DATE(VALUE(RIGHT(Base_Bruta!B1071,4)),VALUE(MID(Base_Bruta!B1071,4,2)),VALUE(LEFT(Base_Bruta!B1071,2))))))</f>
        <v>45931</v>
      </c>
      <c r="C1071" s="5" t="n">
        <f aca="false">IF($A1071="","",IF(ISNUMBER(Base_Bruta!C1071),Base_Bruta!C1071,IF(MID(Base_Bruta!C1071,5,1)="-",DATE(VALUE(LEFT(Base_Bruta!C1071,4)),VALUE(MID(Base_Bruta!C1071,6,2)),VALUE(RIGHT(Base_Bruta!C1071,2))),DATE(VALUE(RIGHT(Base_Bruta!C1071,4)),VALUE(MID(Base_Bruta!C1071,4,2)),VALUE(LEFT(Base_Bruta!C1071,2))))))</f>
        <v>46046</v>
      </c>
      <c r="D1071" s="4" t="str">
        <f aca="false">IF($A1071="","",TRIM(Base_Bruta!D1071))</f>
        <v>Rio Beat Festival 2026</v>
      </c>
      <c r="E1071" s="4" t="str">
        <f aca="false">IF($A1071="","",_xlfn.XLOOKUP(LOWER(TRIM(Base_Bruta!E1071)),DePara_Categoria!$A$2:$A$9,DePara_Categoria!$B$2:$B$9,"REVISAR"))</f>
        <v>Festival</v>
      </c>
      <c r="F1071" s="4" t="str">
        <f aca="false">IF($A1071="","",_xlfn.XLOOKUP(LOWER(TRIM(Base_Bruta!F1071)),DePara_Cidade!$A$2:$A$29,DePara_Cidade!$B$2:$B$29,"REVISAR"))</f>
        <v>Rio de Janeiro</v>
      </c>
      <c r="G1071" s="4" t="str">
        <f aca="false">IF($A1071="","",TRIM(Base_Bruta!G1071))</f>
        <v>Meia</v>
      </c>
      <c r="H1071" s="4" t="n">
        <f aca="false">IF($A1071="","",IF(ISNUMBER(Base_Bruta!H1071),Base_Bruta!H1071,IFERROR(_xlfn.NUMBERVALUE(TRIM(SUBSTITUTE(Base_Bruta!H1071,"R$","")),",","."),0)))</f>
        <v>2</v>
      </c>
      <c r="I1071" s="6" t="n">
        <f aca="false">IF($A1071="","",IF(ISNUMBER(Base_Bruta!I1071),Base_Bruta!I1071,IFERROR(_xlfn.NUMBERVALUE(TRIM(SUBSTITUTE(Base_Bruta!I1071,"R$","")),",","."),0)))</f>
        <v>382.5</v>
      </c>
      <c r="J1071" s="6" t="n">
        <f aca="false">IF($A1071="","",H1071*I1071)</f>
        <v>765</v>
      </c>
      <c r="K1071" s="4" t="str">
        <f aca="false">IF($A1071="","",TRIM(Base_Bruta!J1071))</f>
        <v>Site</v>
      </c>
      <c r="L1071" s="4" t="str">
        <f aca="false">IF($A1071="","",TRIM(Base_Bruta!K1071))</f>
        <v>C01833</v>
      </c>
      <c r="M1071" s="4" t="str">
        <f aca="false">IF($A1071="","",_xlfn.XLOOKUP(LOWER(TRIM(Base_Bruta!L1071)),DePara_Cidade!$A$2:$A$29,DePara_Cidade!$B$2:$B$29,"REVISAR"))</f>
        <v>Salvador</v>
      </c>
      <c r="N1071" s="4" t="str">
        <f aca="false">IF($A1071="","",UPPER(TRIM(Base_Bruta!M1071)))</f>
        <v>BA</v>
      </c>
      <c r="O1071" s="4" t="str">
        <f aca="false">IF($A1071="","",_xlfn.XLOOKUP(LOWER(TRIM(Base_Bruta!N1071)),DePara_Pais!$A$2:$A$9,DePara_Pais!$B$2:$B$9,"REVISAR"))</f>
        <v>Brasil</v>
      </c>
      <c r="P1071" s="4" t="str">
        <f aca="false">IF($A1071="","",IF(O1071&lt;&gt;"Brasil","Turista Internacional",IF(M1071=F1071,"Local","Turista Nacional")))</f>
        <v>Turista Nacional</v>
      </c>
      <c r="Q1071" s="7" t="n">
        <f aca="false">IF($A1071="","",DATE(YEAR(B1071),MONTH(B1071),1))</f>
        <v>45931</v>
      </c>
      <c r="R1071" s="4" t="str">
        <f aca="false">IF($A1071="","",IF(COUNTIF($A$2:$A1071,$A1071)&gt;1,"Sim","Não"))</f>
        <v>Não</v>
      </c>
      <c r="S1071" s="4" t="str">
        <f aca="false">IF(A1071="","Descartar - Linha vazia",IF(R1071="Sim","Descartar - Duplicado",IF(OR(H1071&lt;=0,I1071&lt;=0),"Descartar - Qtd/Valor inválido","OK")))</f>
        <v>OK</v>
      </c>
      <c r="T1071" s="4" t="str">
        <f aca="false">Base_Bruta!P1071</f>
        <v>vendas_RJ.xlsx</v>
      </c>
    </row>
    <row r="1072" customFormat="false" ht="15" hidden="false" customHeight="false" outlineLevel="0" collapsed="false">
      <c r="A1072" s="4" t="str">
        <f aca="false">IF(Base_Bruta!A1072="","",Base_Bruta!A1072)</f>
        <v>RJ-000015</v>
      </c>
      <c r="B1072" s="5" t="n">
        <f aca="false">IF($A1072="","",IF(ISNUMBER(Base_Bruta!B1072),Base_Bruta!B1072,IF(MID(Base_Bruta!B1072,5,1)="-",DATE(VALUE(LEFT(Base_Bruta!B1072,4)),VALUE(MID(Base_Bruta!B1072,6,2)),VALUE(RIGHT(Base_Bruta!B1072,2))),DATE(VALUE(RIGHT(Base_Bruta!B1072,4)),VALUE(MID(Base_Bruta!B1072,4,2)),VALUE(LEFT(Base_Bruta!B1072,2))))))</f>
        <v>45932</v>
      </c>
      <c r="C1072" s="5" t="n">
        <f aca="false">IF($A1072="","",IF(ISNUMBER(Base_Bruta!C1072),Base_Bruta!C1072,IF(MID(Base_Bruta!C1072,5,1)="-",DATE(VALUE(LEFT(Base_Bruta!C1072,4)),VALUE(MID(Base_Bruta!C1072,6,2)),VALUE(RIGHT(Base_Bruta!C1072,2))),DATE(VALUE(RIGHT(Base_Bruta!C1072,4)),VALUE(MID(Base_Bruta!C1072,4,2)),VALUE(LEFT(Base_Bruta!C1072,2))))))</f>
        <v>46046</v>
      </c>
      <c r="D1072" s="4" t="str">
        <f aca="false">IF($A1072="","",TRIM(Base_Bruta!D1072))</f>
        <v>Rio Beat Festival 2026</v>
      </c>
      <c r="E1072" s="4" t="str">
        <f aca="false">IF($A1072="","",_xlfn.XLOOKUP(LOWER(TRIM(Base_Bruta!E1072)),DePara_Categoria!$A$2:$A$9,DePara_Categoria!$B$2:$B$9,"REVISAR"))</f>
        <v>Festival</v>
      </c>
      <c r="F1072" s="4" t="str">
        <f aca="false">IF($A1072="","",_xlfn.XLOOKUP(LOWER(TRIM(Base_Bruta!F1072)),DePara_Cidade!$A$2:$A$29,DePara_Cidade!$B$2:$B$29,"REVISAR"))</f>
        <v>Rio de Janeiro</v>
      </c>
      <c r="G1072" s="4" t="str">
        <f aca="false">IF($A1072="","",TRIM(Base_Bruta!G1072))</f>
        <v>VIP</v>
      </c>
      <c r="H1072" s="4" t="n">
        <f aca="false">IF($A1072="","",IF(ISNUMBER(Base_Bruta!H1072),Base_Bruta!H1072,IFERROR(_xlfn.NUMBERVALUE(TRIM(SUBSTITUTE(Base_Bruta!H1072,"R$","")),",","."),0)))</f>
        <v>1</v>
      </c>
      <c r="I1072" s="6" t="n">
        <f aca="false">IF($A1072="","",IF(ISNUMBER(Base_Bruta!I1072),Base_Bruta!I1072,IFERROR(_xlfn.NUMBERVALUE(TRIM(SUBSTITUTE(Base_Bruta!I1072,"R$","")),",","."),0)))</f>
        <v>2220</v>
      </c>
      <c r="J1072" s="6" t="n">
        <f aca="false">IF($A1072="","",H1072*I1072)</f>
        <v>2220</v>
      </c>
      <c r="K1072" s="4" t="str">
        <f aca="false">IF($A1072="","",TRIM(Base_Bruta!J1072))</f>
        <v>Site</v>
      </c>
      <c r="L1072" s="4" t="str">
        <f aca="false">IF($A1072="","",TRIM(Base_Bruta!K1072))</f>
        <v>C02291</v>
      </c>
      <c r="M1072" s="4" t="str">
        <f aca="false">IF($A1072="","",_xlfn.XLOOKUP(LOWER(TRIM(Base_Bruta!L1072)),DePara_Cidade!$A$2:$A$29,DePara_Cidade!$B$2:$B$29,"REVISAR"))</f>
        <v>Rio de Janeiro</v>
      </c>
      <c r="N1072" s="4" t="str">
        <f aca="false">IF($A1072="","",UPPER(TRIM(Base_Bruta!M1072)))</f>
        <v>RJ</v>
      </c>
      <c r="O1072" s="4" t="str">
        <f aca="false">IF($A1072="","",_xlfn.XLOOKUP(LOWER(TRIM(Base_Bruta!N1072)),DePara_Pais!$A$2:$A$9,DePara_Pais!$B$2:$B$9,"REVISAR"))</f>
        <v>Brasil</v>
      </c>
      <c r="P1072" s="4" t="str">
        <f aca="false">IF($A1072="","",IF(O1072&lt;&gt;"Brasil","Turista Internacional",IF(M1072=F1072,"Local","Turista Nacional")))</f>
        <v>Local</v>
      </c>
      <c r="Q1072" s="7" t="n">
        <f aca="false">IF($A1072="","",DATE(YEAR(B1072),MONTH(B1072),1))</f>
        <v>45931</v>
      </c>
      <c r="R1072" s="4" t="str">
        <f aca="false">IF($A1072="","",IF(COUNTIF($A$2:$A1072,$A1072)&gt;1,"Sim","Não"))</f>
        <v>Não</v>
      </c>
      <c r="S1072" s="4" t="str">
        <f aca="false">IF(A1072="","Descartar - Linha vazia",IF(R1072="Sim","Descartar - Duplicado",IF(OR(H1072&lt;=0,I1072&lt;=0),"Descartar - Qtd/Valor inválido","OK")))</f>
        <v>OK</v>
      </c>
      <c r="T1072" s="4" t="str">
        <f aca="false">Base_Bruta!P1072</f>
        <v>vendas_RJ.xlsx</v>
      </c>
    </row>
    <row r="1073" customFormat="false" ht="15" hidden="false" customHeight="false" outlineLevel="0" collapsed="false">
      <c r="A1073" s="4" t="str">
        <f aca="false">IF(Base_Bruta!A1073="","",Base_Bruta!A1073)</f>
        <v>RJ-000158</v>
      </c>
      <c r="B1073" s="5" t="n">
        <f aca="false">IF($A1073="","",IF(ISNUMBER(Base_Bruta!B1073),Base_Bruta!B1073,IF(MID(Base_Bruta!B1073,5,1)="-",DATE(VALUE(LEFT(Base_Bruta!B1073,4)),VALUE(MID(Base_Bruta!B1073,6,2)),VALUE(RIGHT(Base_Bruta!B1073,2))),DATE(VALUE(RIGHT(Base_Bruta!B1073,4)),VALUE(MID(Base_Bruta!B1073,4,2)),VALUE(LEFT(Base_Bruta!B1073,2))))))</f>
        <v>45932</v>
      </c>
      <c r="C1073" s="5" t="n">
        <f aca="false">IF($A1073="","",IF(ISNUMBER(Base_Bruta!C1073),Base_Bruta!C1073,IF(MID(Base_Bruta!C1073,5,1)="-",DATE(VALUE(LEFT(Base_Bruta!C1073,4)),VALUE(MID(Base_Bruta!C1073,6,2)),VALUE(RIGHT(Base_Bruta!C1073,2))),DATE(VALUE(RIGHT(Base_Bruta!C1073,4)),VALUE(MID(Base_Bruta!C1073,4,2)),VALUE(LEFT(Base_Bruta!C1073,2))))))</f>
        <v>46046</v>
      </c>
      <c r="D1073" s="4" t="str">
        <f aca="false">IF($A1073="","",TRIM(Base_Bruta!D1073))</f>
        <v>Rio Beat Festival 2026</v>
      </c>
      <c r="E1073" s="4" t="str">
        <f aca="false">IF($A1073="","",_xlfn.XLOOKUP(LOWER(TRIM(Base_Bruta!E1073)),DePara_Categoria!$A$2:$A$9,DePara_Categoria!$B$2:$B$9,"REVISAR"))</f>
        <v>Festival</v>
      </c>
      <c r="F1073" s="4" t="str">
        <f aca="false">IF($A1073="","",_xlfn.XLOOKUP(LOWER(TRIM(Base_Bruta!F1073)),DePara_Cidade!$A$2:$A$29,DePara_Cidade!$B$2:$B$29,"REVISAR"))</f>
        <v>Rio de Janeiro</v>
      </c>
      <c r="G1073" s="4" t="str">
        <f aca="false">IF($A1073="","",TRIM(Base_Bruta!G1073))</f>
        <v>Inteira</v>
      </c>
      <c r="H1073" s="4" t="n">
        <f aca="false">IF($A1073="","",IF(ISNUMBER(Base_Bruta!H1073),Base_Bruta!H1073,IFERROR(_xlfn.NUMBERVALUE(TRIM(SUBSTITUTE(Base_Bruta!H1073,"R$","")),",","."),0)))</f>
        <v>1</v>
      </c>
      <c r="I1073" s="6" t="n">
        <f aca="false">IF($A1073="","",IF(ISNUMBER(Base_Bruta!I1073),Base_Bruta!I1073,IFERROR(_xlfn.NUMBERVALUE(TRIM(SUBSTITUTE(Base_Bruta!I1073,"R$","")),",","."),0)))</f>
        <v>715</v>
      </c>
      <c r="J1073" s="6" t="n">
        <f aca="false">IF($A1073="","",H1073*I1073)</f>
        <v>715</v>
      </c>
      <c r="K1073" s="4" t="str">
        <f aca="false">IF($A1073="","",TRIM(Base_Bruta!J1073))</f>
        <v>Site</v>
      </c>
      <c r="L1073" s="4" t="str">
        <f aca="false">IF($A1073="","",TRIM(Base_Bruta!K1073))</f>
        <v>C01717</v>
      </c>
      <c r="M1073" s="4" t="str">
        <f aca="false">IF($A1073="","",_xlfn.XLOOKUP(LOWER(TRIM(Base_Bruta!L1073)),DePara_Cidade!$A$2:$A$29,DePara_Cidade!$B$2:$B$29,"REVISAR"))</f>
        <v>Rio de Janeiro</v>
      </c>
      <c r="N1073" s="4" t="str">
        <f aca="false">IF($A1073="","",UPPER(TRIM(Base_Bruta!M1073)))</f>
        <v>RJ</v>
      </c>
      <c r="O1073" s="4" t="str">
        <f aca="false">IF($A1073="","",_xlfn.XLOOKUP(LOWER(TRIM(Base_Bruta!N1073)),DePara_Pais!$A$2:$A$9,DePara_Pais!$B$2:$B$9,"REVISAR"))</f>
        <v>Brasil</v>
      </c>
      <c r="P1073" s="4" t="str">
        <f aca="false">IF($A1073="","",IF(O1073&lt;&gt;"Brasil","Turista Internacional",IF(M1073=F1073,"Local","Turista Nacional")))</f>
        <v>Local</v>
      </c>
      <c r="Q1073" s="7" t="n">
        <f aca="false">IF($A1073="","",DATE(YEAR(B1073),MONTH(B1073),1))</f>
        <v>45931</v>
      </c>
      <c r="R1073" s="4" t="str">
        <f aca="false">IF($A1073="","",IF(COUNTIF($A$2:$A1073,$A1073)&gt;1,"Sim","Não"))</f>
        <v>Não</v>
      </c>
      <c r="S1073" s="4" t="str">
        <f aca="false">IF(A1073="","Descartar - Linha vazia",IF(R1073="Sim","Descartar - Duplicado",IF(OR(H1073&lt;=0,I1073&lt;=0),"Descartar - Qtd/Valor inválido","OK")))</f>
        <v>OK</v>
      </c>
      <c r="T1073" s="4" t="str">
        <f aca="false">Base_Bruta!P1073</f>
        <v>vendas_RJ.xlsx</v>
      </c>
    </row>
    <row r="1074" customFormat="false" ht="15" hidden="false" customHeight="false" outlineLevel="0" collapsed="false">
      <c r="A1074" s="4" t="str">
        <f aca="false">IF(Base_Bruta!A1074="","",Base_Bruta!A1074)</f>
        <v>RJ-000030</v>
      </c>
      <c r="B1074" s="5" t="n">
        <f aca="false">IF($A1074="","",IF(ISNUMBER(Base_Bruta!B1074),Base_Bruta!B1074,IF(MID(Base_Bruta!B1074,5,1)="-",DATE(VALUE(LEFT(Base_Bruta!B1074,4)),VALUE(MID(Base_Bruta!B1074,6,2)),VALUE(RIGHT(Base_Bruta!B1074,2))),DATE(VALUE(RIGHT(Base_Bruta!B1074,4)),VALUE(MID(Base_Bruta!B1074,4,2)),VALUE(LEFT(Base_Bruta!B1074,2))))))</f>
        <v>45933</v>
      </c>
      <c r="C1074" s="5" t="n">
        <f aca="false">IF($A1074="","",IF(ISNUMBER(Base_Bruta!C1074),Base_Bruta!C1074,IF(MID(Base_Bruta!C1074,5,1)="-",DATE(VALUE(LEFT(Base_Bruta!C1074,4)),VALUE(MID(Base_Bruta!C1074,6,2)),VALUE(RIGHT(Base_Bruta!C1074,2))),DATE(VALUE(RIGHT(Base_Bruta!C1074,4)),VALUE(MID(Base_Bruta!C1074,4,2)),VALUE(LEFT(Base_Bruta!C1074,2))))))</f>
        <v>46046</v>
      </c>
      <c r="D1074" s="4" t="str">
        <f aca="false">IF($A1074="","",TRIM(Base_Bruta!D1074))</f>
        <v>Rio Beat Festival 2026</v>
      </c>
      <c r="E1074" s="4" t="str">
        <f aca="false">IF($A1074="","",_xlfn.XLOOKUP(LOWER(TRIM(Base_Bruta!E1074)),DePara_Categoria!$A$2:$A$9,DePara_Categoria!$B$2:$B$9,"REVISAR"))</f>
        <v>Festival</v>
      </c>
      <c r="F1074" s="4" t="str">
        <f aca="false">IF($A1074="","",_xlfn.XLOOKUP(LOWER(TRIM(Base_Bruta!F1074)),DePara_Cidade!$A$2:$A$29,DePara_Cidade!$B$2:$B$29,"REVISAR"))</f>
        <v>Rio de Janeiro</v>
      </c>
      <c r="G1074" s="4" t="str">
        <f aca="false">IF($A1074="","",TRIM(Base_Bruta!G1074))</f>
        <v>Meia</v>
      </c>
      <c r="H1074" s="4" t="n">
        <f aca="false">IF($A1074="","",IF(ISNUMBER(Base_Bruta!H1074),Base_Bruta!H1074,IFERROR(_xlfn.NUMBERVALUE(TRIM(SUBSTITUTE(Base_Bruta!H1074,"R$","")),",","."),0)))</f>
        <v>2</v>
      </c>
      <c r="I1074" s="6" t="n">
        <f aca="false">IF($A1074="","",IF(ISNUMBER(Base_Bruta!I1074),Base_Bruta!I1074,IFERROR(_xlfn.NUMBERVALUE(TRIM(SUBSTITUTE(Base_Bruta!I1074,"R$","")),",","."),0)))</f>
        <v>385</v>
      </c>
      <c r="J1074" s="6" t="n">
        <f aca="false">IF($A1074="","",H1074*I1074)</f>
        <v>770</v>
      </c>
      <c r="K1074" s="4" t="str">
        <f aca="false">IF($A1074="","",TRIM(Base_Bruta!J1074))</f>
        <v>Site</v>
      </c>
      <c r="L1074" s="4" t="str">
        <f aca="false">IF($A1074="","",TRIM(Base_Bruta!K1074))</f>
        <v>C01304</v>
      </c>
      <c r="M1074" s="4" t="str">
        <f aca="false">IF($A1074="","",_xlfn.XLOOKUP(LOWER(TRIM(Base_Bruta!L1074)),DePara_Cidade!$A$2:$A$29,DePara_Cidade!$B$2:$B$29,"REVISAR"))</f>
        <v>Goiânia</v>
      </c>
      <c r="N1074" s="4" t="str">
        <f aca="false">IF($A1074="","",UPPER(TRIM(Base_Bruta!M1074)))</f>
        <v>GO</v>
      </c>
      <c r="O1074" s="4" t="str">
        <f aca="false">IF($A1074="","",_xlfn.XLOOKUP(LOWER(TRIM(Base_Bruta!N1074)),DePara_Pais!$A$2:$A$9,DePara_Pais!$B$2:$B$9,"REVISAR"))</f>
        <v>Brasil</v>
      </c>
      <c r="P1074" s="4" t="str">
        <f aca="false">IF($A1074="","",IF(O1074&lt;&gt;"Brasil","Turista Internacional",IF(M1074=F1074,"Local","Turista Nacional")))</f>
        <v>Turista Nacional</v>
      </c>
      <c r="Q1074" s="7" t="n">
        <f aca="false">IF($A1074="","",DATE(YEAR(B1074),MONTH(B1074),1))</f>
        <v>45931</v>
      </c>
      <c r="R1074" s="4" t="str">
        <f aca="false">IF($A1074="","",IF(COUNTIF($A$2:$A1074,$A1074)&gt;1,"Sim","Não"))</f>
        <v>Não</v>
      </c>
      <c r="S1074" s="4" t="str">
        <f aca="false">IF(A1074="","Descartar - Linha vazia",IF(R1074="Sim","Descartar - Duplicado",IF(OR(H1074&lt;=0,I1074&lt;=0),"Descartar - Qtd/Valor inválido","OK")))</f>
        <v>OK</v>
      </c>
      <c r="T1074" s="4" t="str">
        <f aca="false">Base_Bruta!P1074</f>
        <v>vendas_RJ.xlsx</v>
      </c>
    </row>
    <row r="1075" customFormat="false" ht="15" hidden="false" customHeight="false" outlineLevel="0" collapsed="false">
      <c r="A1075" s="4" t="str">
        <f aca="false">IF(Base_Bruta!A1075="","",Base_Bruta!A1075)</f>
        <v>RJ-000035</v>
      </c>
      <c r="B1075" s="5" t="n">
        <f aca="false">IF($A1075="","",IF(ISNUMBER(Base_Bruta!B1075),Base_Bruta!B1075,IF(MID(Base_Bruta!B1075,5,1)="-",DATE(VALUE(LEFT(Base_Bruta!B1075,4)),VALUE(MID(Base_Bruta!B1075,6,2)),VALUE(RIGHT(Base_Bruta!B1075,2))),DATE(VALUE(RIGHT(Base_Bruta!B1075,4)),VALUE(MID(Base_Bruta!B1075,4,2)),VALUE(LEFT(Base_Bruta!B1075,2))))))</f>
        <v>45933</v>
      </c>
      <c r="C1075" s="5" t="n">
        <f aca="false">IF($A1075="","",IF(ISNUMBER(Base_Bruta!C1075),Base_Bruta!C1075,IF(MID(Base_Bruta!C1075,5,1)="-",DATE(VALUE(LEFT(Base_Bruta!C1075,4)),VALUE(MID(Base_Bruta!C1075,6,2)),VALUE(RIGHT(Base_Bruta!C1075,2))),DATE(VALUE(RIGHT(Base_Bruta!C1075,4)),VALUE(MID(Base_Bruta!C1075,4,2)),VALUE(LEFT(Base_Bruta!C1075,2))))))</f>
        <v>46046</v>
      </c>
      <c r="D1075" s="4" t="str">
        <f aca="false">IF($A1075="","",TRIM(Base_Bruta!D1075))</f>
        <v>Rio Beat Festival 2026</v>
      </c>
      <c r="E1075" s="4" t="str">
        <f aca="false">IF($A1075="","",_xlfn.XLOOKUP(LOWER(TRIM(Base_Bruta!E1075)),DePara_Categoria!$A$2:$A$9,DePara_Categoria!$B$2:$B$9,"REVISAR"))</f>
        <v>Festival</v>
      </c>
      <c r="F1075" s="4" t="str">
        <f aca="false">IF($A1075="","",_xlfn.XLOOKUP(LOWER(TRIM(Base_Bruta!F1075)),DePara_Cidade!$A$2:$A$29,DePara_Cidade!$B$2:$B$29,"REVISAR"))</f>
        <v>Rio de Janeiro</v>
      </c>
      <c r="G1075" s="4" t="str">
        <f aca="false">IF($A1075="","",TRIM(Base_Bruta!G1075))</f>
        <v>Meia</v>
      </c>
      <c r="H1075" s="4" t="n">
        <f aca="false">IF($A1075="","",IF(ISNUMBER(Base_Bruta!H1075),Base_Bruta!H1075,IFERROR(_xlfn.NUMBERVALUE(TRIM(SUBSTITUTE(Base_Bruta!H1075,"R$","")),",","."),0)))</f>
        <v>1</v>
      </c>
      <c r="I1075" s="6" t="n">
        <f aca="false">IF($A1075="","",IF(ISNUMBER(Base_Bruta!I1075),Base_Bruta!I1075,IFERROR(_xlfn.NUMBERVALUE(TRIM(SUBSTITUTE(Base_Bruta!I1075,"R$","")),",","."),0)))</f>
        <v>327.5</v>
      </c>
      <c r="J1075" s="6" t="n">
        <f aca="false">IF($A1075="","",H1075*I1075)</f>
        <v>327.5</v>
      </c>
      <c r="K1075" s="4" t="str">
        <f aca="false">IF($A1075="","",TRIM(Base_Bruta!J1075))</f>
        <v>Site</v>
      </c>
      <c r="L1075" s="4" t="str">
        <f aca="false">IF($A1075="","",TRIM(Base_Bruta!K1075))</f>
        <v>C02249</v>
      </c>
      <c r="M1075" s="4" t="str">
        <f aca="false">IF($A1075="","",_xlfn.XLOOKUP(LOWER(TRIM(Base_Bruta!L1075)),DePara_Cidade!$A$2:$A$29,DePara_Cidade!$B$2:$B$29,"REVISAR"))</f>
        <v>Niterói</v>
      </c>
      <c r="N1075" s="4" t="str">
        <f aca="false">IF($A1075="","",UPPER(TRIM(Base_Bruta!M1075)))</f>
        <v>RJ</v>
      </c>
      <c r="O1075" s="4" t="str">
        <f aca="false">IF($A1075="","",_xlfn.XLOOKUP(LOWER(TRIM(Base_Bruta!N1075)),DePara_Pais!$A$2:$A$9,DePara_Pais!$B$2:$B$9,"REVISAR"))</f>
        <v>Brasil</v>
      </c>
      <c r="P1075" s="4" t="str">
        <f aca="false">IF($A1075="","",IF(O1075&lt;&gt;"Brasil","Turista Internacional",IF(M1075=F1075,"Local","Turista Nacional")))</f>
        <v>Turista Nacional</v>
      </c>
      <c r="Q1075" s="7" t="n">
        <f aca="false">IF($A1075="","",DATE(YEAR(B1075),MONTH(B1075),1))</f>
        <v>45931</v>
      </c>
      <c r="R1075" s="4" t="str">
        <f aca="false">IF($A1075="","",IF(COUNTIF($A$2:$A1075,$A1075)&gt;1,"Sim","Não"))</f>
        <v>Não</v>
      </c>
      <c r="S1075" s="4" t="str">
        <f aca="false">IF(A1075="","Descartar - Linha vazia",IF(R1075="Sim","Descartar - Duplicado",IF(OR(H1075&lt;=0,I1075&lt;=0),"Descartar - Qtd/Valor inválido","OK")))</f>
        <v>OK</v>
      </c>
      <c r="T1075" s="4" t="str">
        <f aca="false">Base_Bruta!P1075</f>
        <v>vendas_RJ.xlsx</v>
      </c>
    </row>
    <row r="1076" customFormat="false" ht="15" hidden="false" customHeight="false" outlineLevel="0" collapsed="false">
      <c r="A1076" s="4" t="str">
        <f aca="false">IF(Base_Bruta!A1076="","",Base_Bruta!A1076)</f>
        <v>RJ-000062</v>
      </c>
      <c r="B1076" s="5" t="n">
        <f aca="false">IF($A1076="","",IF(ISNUMBER(Base_Bruta!B1076),Base_Bruta!B1076,IF(MID(Base_Bruta!B1076,5,1)="-",DATE(VALUE(LEFT(Base_Bruta!B1076,4)),VALUE(MID(Base_Bruta!B1076,6,2)),VALUE(RIGHT(Base_Bruta!B1076,2))),DATE(VALUE(RIGHT(Base_Bruta!B1076,4)),VALUE(MID(Base_Bruta!B1076,4,2)),VALUE(LEFT(Base_Bruta!B1076,2))))))</f>
        <v>45933</v>
      </c>
      <c r="C1076" s="5" t="n">
        <f aca="false">IF($A1076="","",IF(ISNUMBER(Base_Bruta!C1076),Base_Bruta!C1076,IF(MID(Base_Bruta!C1076,5,1)="-",DATE(VALUE(LEFT(Base_Bruta!C1076,4)),VALUE(MID(Base_Bruta!C1076,6,2)),VALUE(RIGHT(Base_Bruta!C1076,2))),DATE(VALUE(RIGHT(Base_Bruta!C1076,4)),VALUE(MID(Base_Bruta!C1076,4,2)),VALUE(LEFT(Base_Bruta!C1076,2))))))</f>
        <v>46046</v>
      </c>
      <c r="D1076" s="4" t="str">
        <f aca="false">IF($A1076="","",TRIM(Base_Bruta!D1076))</f>
        <v>Rio Beat Festival 2026</v>
      </c>
      <c r="E1076" s="4" t="str">
        <f aca="false">IF($A1076="","",_xlfn.XLOOKUP(LOWER(TRIM(Base_Bruta!E1076)),DePara_Categoria!$A$2:$A$9,DePara_Categoria!$B$2:$B$9,"REVISAR"))</f>
        <v>Festival</v>
      </c>
      <c r="F1076" s="4" t="str">
        <f aca="false">IF($A1076="","",_xlfn.XLOOKUP(LOWER(TRIM(Base_Bruta!F1076)),DePara_Cidade!$A$2:$A$29,DePara_Cidade!$B$2:$B$29,"REVISAR"))</f>
        <v>Rio de Janeiro</v>
      </c>
      <c r="G1076" s="4" t="str">
        <f aca="false">IF($A1076="","",TRIM(Base_Bruta!G1076))</f>
        <v>Inteira</v>
      </c>
      <c r="H1076" s="4" t="n">
        <f aca="false">IF($A1076="","",IF(ISNUMBER(Base_Bruta!H1076),Base_Bruta!H1076,IFERROR(_xlfn.NUMBERVALUE(TRIM(SUBSTITUTE(Base_Bruta!H1076,"R$","")),",","."),0)))</f>
        <v>2</v>
      </c>
      <c r="I1076" s="6" t="n">
        <f aca="false">IF($A1076="","",IF(ISNUMBER(Base_Bruta!I1076),Base_Bruta!I1076,IFERROR(_xlfn.NUMBERVALUE(TRIM(SUBSTITUTE(Base_Bruta!I1076,"R$","")),",","."),0)))</f>
        <v>1095</v>
      </c>
      <c r="J1076" s="6" t="n">
        <f aca="false">IF($A1076="","",H1076*I1076)</f>
        <v>2190</v>
      </c>
      <c r="K1076" s="4" t="str">
        <f aca="false">IF($A1076="","",TRIM(Base_Bruta!J1076))</f>
        <v>Site</v>
      </c>
      <c r="L1076" s="4" t="str">
        <f aca="false">IF($A1076="","",TRIM(Base_Bruta!K1076))</f>
        <v>C01497</v>
      </c>
      <c r="M1076" s="4" t="str">
        <f aca="false">IF($A1076="","",_xlfn.XLOOKUP(LOWER(TRIM(Base_Bruta!L1076)),DePara_Cidade!$A$2:$A$29,DePara_Cidade!$B$2:$B$29,"REVISAR"))</f>
        <v>Rio de Janeiro</v>
      </c>
      <c r="N1076" s="4" t="str">
        <f aca="false">IF($A1076="","",UPPER(TRIM(Base_Bruta!M1076)))</f>
        <v>RJ</v>
      </c>
      <c r="O1076" s="4" t="str">
        <f aca="false">IF($A1076="","",_xlfn.XLOOKUP(LOWER(TRIM(Base_Bruta!N1076)),DePara_Pais!$A$2:$A$9,DePara_Pais!$B$2:$B$9,"REVISAR"))</f>
        <v>Brasil</v>
      </c>
      <c r="P1076" s="4" t="str">
        <f aca="false">IF($A1076="","",IF(O1076&lt;&gt;"Brasil","Turista Internacional",IF(M1076=F1076,"Local","Turista Nacional")))</f>
        <v>Local</v>
      </c>
      <c r="Q1076" s="7" t="n">
        <f aca="false">IF($A1076="","",DATE(YEAR(B1076),MONTH(B1076),1))</f>
        <v>45931</v>
      </c>
      <c r="R1076" s="4" t="str">
        <f aca="false">IF($A1076="","",IF(COUNTIF($A$2:$A1076,$A1076)&gt;1,"Sim","Não"))</f>
        <v>Não</v>
      </c>
      <c r="S1076" s="4" t="str">
        <f aca="false">IF(A1076="","Descartar - Linha vazia",IF(R1076="Sim","Descartar - Duplicado",IF(OR(H1076&lt;=0,I1076&lt;=0),"Descartar - Qtd/Valor inválido","OK")))</f>
        <v>OK</v>
      </c>
      <c r="T1076" s="4" t="str">
        <f aca="false">Base_Bruta!P1076</f>
        <v>vendas_RJ.xlsx</v>
      </c>
    </row>
    <row r="1077" customFormat="false" ht="15" hidden="false" customHeight="false" outlineLevel="0" collapsed="false">
      <c r="A1077" s="4" t="str">
        <f aca="false">IF(Base_Bruta!A1077="","",Base_Bruta!A1077)</f>
        <v>RJ-000123</v>
      </c>
      <c r="B1077" s="5" t="n">
        <f aca="false">IF($A1077="","",IF(ISNUMBER(Base_Bruta!B1077),Base_Bruta!B1077,IF(MID(Base_Bruta!B1077,5,1)="-",DATE(VALUE(LEFT(Base_Bruta!B1077,4)),VALUE(MID(Base_Bruta!B1077,6,2)),VALUE(RIGHT(Base_Bruta!B1077,2))),DATE(VALUE(RIGHT(Base_Bruta!B1077,4)),VALUE(MID(Base_Bruta!B1077,4,2)),VALUE(LEFT(Base_Bruta!B1077,2))))))</f>
        <v>45933</v>
      </c>
      <c r="C1077" s="5" t="n">
        <f aca="false">IF($A1077="","",IF(ISNUMBER(Base_Bruta!C1077),Base_Bruta!C1077,IF(MID(Base_Bruta!C1077,5,1)="-",DATE(VALUE(LEFT(Base_Bruta!C1077,4)),VALUE(MID(Base_Bruta!C1077,6,2)),VALUE(RIGHT(Base_Bruta!C1077,2))),DATE(VALUE(RIGHT(Base_Bruta!C1077,4)),VALUE(MID(Base_Bruta!C1077,4,2)),VALUE(LEFT(Base_Bruta!C1077,2))))))</f>
        <v>46046</v>
      </c>
      <c r="D1077" s="4" t="str">
        <f aca="false">IF($A1077="","",TRIM(Base_Bruta!D1077))</f>
        <v>Rio Beat Festival 2026</v>
      </c>
      <c r="E1077" s="4" t="str">
        <f aca="false">IF($A1077="","",_xlfn.XLOOKUP(LOWER(TRIM(Base_Bruta!E1077)),DePara_Categoria!$A$2:$A$9,DePara_Categoria!$B$2:$B$9,"REVISAR"))</f>
        <v>Festival</v>
      </c>
      <c r="F1077" s="4" t="str">
        <f aca="false">IF($A1077="","",_xlfn.XLOOKUP(LOWER(TRIM(Base_Bruta!F1077)),DePara_Cidade!$A$2:$A$29,DePara_Cidade!$B$2:$B$29,"REVISAR"))</f>
        <v>Rio de Janeiro</v>
      </c>
      <c r="G1077" s="4" t="str">
        <f aca="false">IF($A1077="","",TRIM(Base_Bruta!G1077))</f>
        <v>Inteira</v>
      </c>
      <c r="H1077" s="4" t="n">
        <f aca="false">IF($A1077="","",IF(ISNUMBER(Base_Bruta!H1077),Base_Bruta!H1077,IFERROR(_xlfn.NUMBERVALUE(TRIM(SUBSTITUTE(Base_Bruta!H1077,"R$","")),",","."),0)))</f>
        <v>2</v>
      </c>
      <c r="I1077" s="6" t="n">
        <f aca="false">IF($A1077="","",IF(ISNUMBER(Base_Bruta!I1077),Base_Bruta!I1077,IFERROR(_xlfn.NUMBERVALUE(TRIM(SUBSTITUTE(Base_Bruta!I1077,"R$","")),",","."),0)))</f>
        <v>860</v>
      </c>
      <c r="J1077" s="6" t="n">
        <f aca="false">IF($A1077="","",H1077*I1077)</f>
        <v>1720</v>
      </c>
      <c r="K1077" s="4" t="str">
        <f aca="false">IF($A1077="","",TRIM(Base_Bruta!J1077))</f>
        <v>Site</v>
      </c>
      <c r="L1077" s="4" t="str">
        <f aca="false">IF($A1077="","",TRIM(Base_Bruta!K1077))</f>
        <v>C01779</v>
      </c>
      <c r="M1077" s="4" t="str">
        <f aca="false">IF($A1077="","",_xlfn.XLOOKUP(LOWER(TRIM(Base_Bruta!L1077)),DePara_Cidade!$A$2:$A$29,DePara_Cidade!$B$2:$B$29,"REVISAR"))</f>
        <v>Miami</v>
      </c>
      <c r="N1077" s="4" t="str">
        <f aca="false">IF($A1077="","",UPPER(TRIM(Base_Bruta!M1077)))</f>
        <v>EX</v>
      </c>
      <c r="O1077" s="4" t="str">
        <f aca="false">IF($A1077="","",_xlfn.XLOOKUP(LOWER(TRIM(Base_Bruta!N1077)),DePara_Pais!$A$2:$A$9,DePara_Pais!$B$2:$B$9,"REVISAR"))</f>
        <v>EUA</v>
      </c>
      <c r="P1077" s="4" t="str">
        <f aca="false">IF($A1077="","",IF(O1077&lt;&gt;"Brasil","Turista Internacional",IF(M1077=F1077,"Local","Turista Nacional")))</f>
        <v>Turista Internacional</v>
      </c>
      <c r="Q1077" s="7" t="n">
        <f aca="false">IF($A1077="","",DATE(YEAR(B1077),MONTH(B1077),1))</f>
        <v>45931</v>
      </c>
      <c r="R1077" s="4" t="str">
        <f aca="false">IF($A1077="","",IF(COUNTIF($A$2:$A1077,$A1077)&gt;1,"Sim","Não"))</f>
        <v>Não</v>
      </c>
      <c r="S1077" s="4" t="str">
        <f aca="false">IF(A1077="","Descartar - Linha vazia",IF(R1077="Sim","Descartar - Duplicado",IF(OR(H1077&lt;=0,I1077&lt;=0),"Descartar - Qtd/Valor inválido","OK")))</f>
        <v>OK</v>
      </c>
      <c r="T1077" s="4" t="str">
        <f aca="false">Base_Bruta!P1077</f>
        <v>vendas_RJ.xlsx</v>
      </c>
    </row>
    <row r="1078" customFormat="false" ht="15" hidden="false" customHeight="false" outlineLevel="0" collapsed="false">
      <c r="A1078" s="4" t="str">
        <f aca="false">IF(Base_Bruta!A1078="","",Base_Bruta!A1078)</f>
        <v>RJ-000203</v>
      </c>
      <c r="B1078" s="5" t="n">
        <f aca="false">IF($A1078="","",IF(ISNUMBER(Base_Bruta!B1078),Base_Bruta!B1078,IF(MID(Base_Bruta!B1078,5,1)="-",DATE(VALUE(LEFT(Base_Bruta!B1078,4)),VALUE(MID(Base_Bruta!B1078,6,2)),VALUE(RIGHT(Base_Bruta!B1078,2))),DATE(VALUE(RIGHT(Base_Bruta!B1078,4)),VALUE(MID(Base_Bruta!B1078,4,2)),VALUE(LEFT(Base_Bruta!B1078,2))))))</f>
        <v>45933</v>
      </c>
      <c r="C1078" s="5" t="n">
        <f aca="false">IF($A1078="","",IF(ISNUMBER(Base_Bruta!C1078),Base_Bruta!C1078,IF(MID(Base_Bruta!C1078,5,1)="-",DATE(VALUE(LEFT(Base_Bruta!C1078,4)),VALUE(MID(Base_Bruta!C1078,6,2)),VALUE(RIGHT(Base_Bruta!C1078,2))),DATE(VALUE(RIGHT(Base_Bruta!C1078,4)),VALUE(MID(Base_Bruta!C1078,4,2)),VALUE(LEFT(Base_Bruta!C1078,2))))))</f>
        <v>46046</v>
      </c>
      <c r="D1078" s="4" t="str">
        <f aca="false">IF($A1078="","",TRIM(Base_Bruta!D1078))</f>
        <v>Rio Beat Festival 2026</v>
      </c>
      <c r="E1078" s="4" t="str">
        <f aca="false">IF($A1078="","",_xlfn.XLOOKUP(LOWER(TRIM(Base_Bruta!E1078)),DePara_Categoria!$A$2:$A$9,DePara_Categoria!$B$2:$B$9,"REVISAR"))</f>
        <v>Festival</v>
      </c>
      <c r="F1078" s="4" t="str">
        <f aca="false">IF($A1078="","",_xlfn.XLOOKUP(LOWER(TRIM(Base_Bruta!F1078)),DePara_Cidade!$A$2:$A$29,DePara_Cidade!$B$2:$B$29,"REVISAR"))</f>
        <v>Rio de Janeiro</v>
      </c>
      <c r="G1078" s="4" t="str">
        <f aca="false">IF($A1078="","",TRIM(Base_Bruta!G1078))</f>
        <v>Inteira</v>
      </c>
      <c r="H1078" s="4" t="n">
        <f aca="false">IF($A1078="","",IF(ISNUMBER(Base_Bruta!H1078),Base_Bruta!H1078,IFERROR(_xlfn.NUMBERVALUE(TRIM(SUBSTITUTE(Base_Bruta!H1078,"R$","")),",","."),0)))</f>
        <v>2</v>
      </c>
      <c r="I1078" s="6" t="n">
        <f aca="false">IF($A1078="","",IF(ISNUMBER(Base_Bruta!I1078),Base_Bruta!I1078,IFERROR(_xlfn.NUMBERVALUE(TRIM(SUBSTITUTE(Base_Bruta!I1078,"R$","")),",","."),0)))</f>
        <v>750</v>
      </c>
      <c r="J1078" s="6" t="n">
        <f aca="false">IF($A1078="","",H1078*I1078)</f>
        <v>1500</v>
      </c>
      <c r="K1078" s="4" t="str">
        <f aca="false">IF($A1078="","",TRIM(Base_Bruta!J1078))</f>
        <v>Parceiro</v>
      </c>
      <c r="L1078" s="4" t="str">
        <f aca="false">IF($A1078="","",TRIM(Base_Bruta!K1078))</f>
        <v>C01951</v>
      </c>
      <c r="M1078" s="4" t="str">
        <f aca="false">IF($A1078="","",_xlfn.XLOOKUP(LOWER(TRIM(Base_Bruta!L1078)),DePara_Cidade!$A$2:$A$29,DePara_Cidade!$B$2:$B$29,"REVISAR"))</f>
        <v>Salvador</v>
      </c>
      <c r="N1078" s="4" t="str">
        <f aca="false">IF($A1078="","",UPPER(TRIM(Base_Bruta!M1078)))</f>
        <v>BA</v>
      </c>
      <c r="O1078" s="4" t="str">
        <f aca="false">IF($A1078="","",_xlfn.XLOOKUP(LOWER(TRIM(Base_Bruta!N1078)),DePara_Pais!$A$2:$A$9,DePara_Pais!$B$2:$B$9,"REVISAR"))</f>
        <v>Brasil</v>
      </c>
      <c r="P1078" s="4" t="str">
        <f aca="false">IF($A1078="","",IF(O1078&lt;&gt;"Brasil","Turista Internacional",IF(M1078=F1078,"Local","Turista Nacional")))</f>
        <v>Turista Nacional</v>
      </c>
      <c r="Q1078" s="7" t="n">
        <f aca="false">IF($A1078="","",DATE(YEAR(B1078),MONTH(B1078),1))</f>
        <v>45931</v>
      </c>
      <c r="R1078" s="4" t="str">
        <f aca="false">IF($A1078="","",IF(COUNTIF($A$2:$A1078,$A1078)&gt;1,"Sim","Não"))</f>
        <v>Não</v>
      </c>
      <c r="S1078" s="4" t="str">
        <f aca="false">IF(A1078="","Descartar - Linha vazia",IF(R1078="Sim","Descartar - Duplicado",IF(OR(H1078&lt;=0,I1078&lt;=0),"Descartar - Qtd/Valor inválido","OK")))</f>
        <v>OK</v>
      </c>
      <c r="T1078" s="4" t="str">
        <f aca="false">Base_Bruta!P1078</f>
        <v>vendas_RJ.xlsx</v>
      </c>
    </row>
    <row r="1079" customFormat="false" ht="15" hidden="false" customHeight="false" outlineLevel="0" collapsed="false">
      <c r="A1079" s="4" t="str">
        <f aca="false">IF(Base_Bruta!A1079="","",Base_Bruta!A1079)</f>
        <v>RJ-000206</v>
      </c>
      <c r="B1079" s="5" t="n">
        <f aca="false">IF($A1079="","",IF(ISNUMBER(Base_Bruta!B1079),Base_Bruta!B1079,IF(MID(Base_Bruta!B1079,5,1)="-",DATE(VALUE(LEFT(Base_Bruta!B1079,4)),VALUE(MID(Base_Bruta!B1079,6,2)),VALUE(RIGHT(Base_Bruta!B1079,2))),DATE(VALUE(RIGHT(Base_Bruta!B1079,4)),VALUE(MID(Base_Bruta!B1079,4,2)),VALUE(LEFT(Base_Bruta!B1079,2))))))</f>
        <v>45933</v>
      </c>
      <c r="C1079" s="5" t="n">
        <f aca="false">IF($A1079="","",IF(ISNUMBER(Base_Bruta!C1079),Base_Bruta!C1079,IF(MID(Base_Bruta!C1079,5,1)="-",DATE(VALUE(LEFT(Base_Bruta!C1079,4)),VALUE(MID(Base_Bruta!C1079,6,2)),VALUE(RIGHT(Base_Bruta!C1079,2))),DATE(VALUE(RIGHT(Base_Bruta!C1079,4)),VALUE(MID(Base_Bruta!C1079,4,2)),VALUE(LEFT(Base_Bruta!C1079,2))))))</f>
        <v>46046</v>
      </c>
      <c r="D1079" s="4" t="str">
        <f aca="false">IF($A1079="","",TRIM(Base_Bruta!D1079))</f>
        <v>Rio Beat Festival 2026</v>
      </c>
      <c r="E1079" s="4" t="str">
        <f aca="false">IF($A1079="","",_xlfn.XLOOKUP(LOWER(TRIM(Base_Bruta!E1079)),DePara_Categoria!$A$2:$A$9,DePara_Categoria!$B$2:$B$9,"REVISAR"))</f>
        <v>Festival</v>
      </c>
      <c r="F1079" s="4" t="str">
        <f aca="false">IF($A1079="","",_xlfn.XLOOKUP(LOWER(TRIM(Base_Bruta!F1079)),DePara_Cidade!$A$2:$A$29,DePara_Cidade!$B$2:$B$29,"REVISAR"))</f>
        <v>Rio de Janeiro</v>
      </c>
      <c r="G1079" s="4" t="str">
        <f aca="false">IF($A1079="","",TRIM(Base_Bruta!G1079))</f>
        <v>Inteira</v>
      </c>
      <c r="H1079" s="4" t="n">
        <f aca="false">IF($A1079="","",IF(ISNUMBER(Base_Bruta!H1079),Base_Bruta!H1079,IFERROR(_xlfn.NUMBERVALUE(TRIM(SUBSTITUTE(Base_Bruta!H1079,"R$","")),",","."),0)))</f>
        <v>2</v>
      </c>
      <c r="I1079" s="6" t="n">
        <f aca="false">IF($A1079="","",IF(ISNUMBER(Base_Bruta!I1079),Base_Bruta!I1079,IFERROR(_xlfn.NUMBERVALUE(TRIM(SUBSTITUTE(Base_Bruta!I1079,"R$","")),",","."),0)))</f>
        <v>795</v>
      </c>
      <c r="J1079" s="6" t="n">
        <f aca="false">IF($A1079="","",H1079*I1079)</f>
        <v>1590</v>
      </c>
      <c r="K1079" s="4" t="str">
        <f aca="false">IF($A1079="","",TRIM(Base_Bruta!J1079))</f>
        <v>App</v>
      </c>
      <c r="L1079" s="4" t="str">
        <f aca="false">IF($A1079="","",TRIM(Base_Bruta!K1079))</f>
        <v>C02022</v>
      </c>
      <c r="M1079" s="4" t="str">
        <f aca="false">IF($A1079="","",_xlfn.XLOOKUP(LOWER(TRIM(Base_Bruta!L1079)),DePara_Cidade!$A$2:$A$29,DePara_Cidade!$B$2:$B$29,"REVISAR"))</f>
        <v>Rio de Janeiro</v>
      </c>
      <c r="N1079" s="4" t="str">
        <f aca="false">IF($A1079="","",UPPER(TRIM(Base_Bruta!M1079)))</f>
        <v>RJ</v>
      </c>
      <c r="O1079" s="4" t="str">
        <f aca="false">IF($A1079="","",_xlfn.XLOOKUP(LOWER(TRIM(Base_Bruta!N1079)),DePara_Pais!$A$2:$A$9,DePara_Pais!$B$2:$B$9,"REVISAR"))</f>
        <v>Brasil</v>
      </c>
      <c r="P1079" s="4" t="str">
        <f aca="false">IF($A1079="","",IF(O1079&lt;&gt;"Brasil","Turista Internacional",IF(M1079=F1079,"Local","Turista Nacional")))</f>
        <v>Local</v>
      </c>
      <c r="Q1079" s="7" t="n">
        <f aca="false">IF($A1079="","",DATE(YEAR(B1079),MONTH(B1079),1))</f>
        <v>45931</v>
      </c>
      <c r="R1079" s="4" t="str">
        <f aca="false">IF($A1079="","",IF(COUNTIF($A$2:$A1079,$A1079)&gt;1,"Sim","Não"))</f>
        <v>Não</v>
      </c>
      <c r="S1079" s="4" t="str">
        <f aca="false">IF(A1079="","Descartar - Linha vazia",IF(R1079="Sim","Descartar - Duplicado",IF(OR(H1079&lt;=0,I1079&lt;=0),"Descartar - Qtd/Valor inválido","OK")))</f>
        <v>OK</v>
      </c>
      <c r="T1079" s="4" t="str">
        <f aca="false">Base_Bruta!P1079</f>
        <v>vendas_RJ.xlsx</v>
      </c>
    </row>
    <row r="1080" customFormat="false" ht="15" hidden="false" customHeight="false" outlineLevel="0" collapsed="false">
      <c r="A1080" s="4" t="str">
        <f aca="false">IF(Base_Bruta!A1080="","",Base_Bruta!A1080)</f>
        <v>RJ-000213</v>
      </c>
      <c r="B1080" s="5" t="n">
        <f aca="false">IF($A1080="","",IF(ISNUMBER(Base_Bruta!B1080),Base_Bruta!B1080,IF(MID(Base_Bruta!B1080,5,1)="-",DATE(VALUE(LEFT(Base_Bruta!B1080,4)),VALUE(MID(Base_Bruta!B1080,6,2)),VALUE(RIGHT(Base_Bruta!B1080,2))),DATE(VALUE(RIGHT(Base_Bruta!B1080,4)),VALUE(MID(Base_Bruta!B1080,4,2)),VALUE(LEFT(Base_Bruta!B1080,2))))))</f>
        <v>45933</v>
      </c>
      <c r="C1080" s="5" t="n">
        <f aca="false">IF($A1080="","",IF(ISNUMBER(Base_Bruta!C1080),Base_Bruta!C1080,IF(MID(Base_Bruta!C1080,5,1)="-",DATE(VALUE(LEFT(Base_Bruta!C1080,4)),VALUE(MID(Base_Bruta!C1080,6,2)),VALUE(RIGHT(Base_Bruta!C1080,2))),DATE(VALUE(RIGHT(Base_Bruta!C1080,4)),VALUE(MID(Base_Bruta!C1080,4,2)),VALUE(LEFT(Base_Bruta!C1080,2))))))</f>
        <v>46046</v>
      </c>
      <c r="D1080" s="4" t="str">
        <f aca="false">IF($A1080="","",TRIM(Base_Bruta!D1080))</f>
        <v>Rio Beat Festival 2026</v>
      </c>
      <c r="E1080" s="4" t="str">
        <f aca="false">IF($A1080="","",_xlfn.XLOOKUP(LOWER(TRIM(Base_Bruta!E1080)),DePara_Categoria!$A$2:$A$9,DePara_Categoria!$B$2:$B$9,"REVISAR"))</f>
        <v>Festival</v>
      </c>
      <c r="F1080" s="4" t="str">
        <f aca="false">IF($A1080="","",_xlfn.XLOOKUP(LOWER(TRIM(Base_Bruta!F1080)),DePara_Cidade!$A$2:$A$29,DePara_Cidade!$B$2:$B$29,"REVISAR"))</f>
        <v>Rio de Janeiro</v>
      </c>
      <c r="G1080" s="4" t="str">
        <f aca="false">IF($A1080="","",TRIM(Base_Bruta!G1080))</f>
        <v>Inteira</v>
      </c>
      <c r="H1080" s="4" t="n">
        <f aca="false">IF($A1080="","",IF(ISNUMBER(Base_Bruta!H1080),Base_Bruta!H1080,IFERROR(_xlfn.NUMBERVALUE(TRIM(SUBSTITUTE(Base_Bruta!H1080,"R$","")),",","."),0)))</f>
        <v>1</v>
      </c>
      <c r="I1080" s="6" t="n">
        <f aca="false">IF($A1080="","",IF(ISNUMBER(Base_Bruta!I1080),Base_Bruta!I1080,IFERROR(_xlfn.NUMBERVALUE(TRIM(SUBSTITUTE(Base_Bruta!I1080,"R$","")),",","."),0)))</f>
        <v>1145</v>
      </c>
      <c r="J1080" s="6" t="n">
        <f aca="false">IF($A1080="","",H1080*I1080)</f>
        <v>1145</v>
      </c>
      <c r="K1080" s="4" t="str">
        <f aca="false">IF($A1080="","",TRIM(Base_Bruta!J1080))</f>
        <v>Site</v>
      </c>
      <c r="L1080" s="4" t="str">
        <f aca="false">IF($A1080="","",TRIM(Base_Bruta!K1080))</f>
        <v>C00990</v>
      </c>
      <c r="M1080" s="4" t="str">
        <f aca="false">IF($A1080="","",_xlfn.XLOOKUP(LOWER(TRIM(Base_Bruta!L1080)),DePara_Cidade!$A$2:$A$29,DePara_Cidade!$B$2:$B$29,"REVISAR"))</f>
        <v>Belo Horizonte</v>
      </c>
      <c r="N1080" s="4" t="str">
        <f aca="false">IF($A1080="","",UPPER(TRIM(Base_Bruta!M1080)))</f>
        <v>MG</v>
      </c>
      <c r="O1080" s="4" t="str">
        <f aca="false">IF($A1080="","",_xlfn.XLOOKUP(LOWER(TRIM(Base_Bruta!N1080)),DePara_Pais!$A$2:$A$9,DePara_Pais!$B$2:$B$9,"REVISAR"))</f>
        <v>Brasil</v>
      </c>
      <c r="P1080" s="4" t="str">
        <f aca="false">IF($A1080="","",IF(O1080&lt;&gt;"Brasil","Turista Internacional",IF(M1080=F1080,"Local","Turista Nacional")))</f>
        <v>Turista Nacional</v>
      </c>
      <c r="Q1080" s="7" t="n">
        <f aca="false">IF($A1080="","",DATE(YEAR(B1080),MONTH(B1080),1))</f>
        <v>45931</v>
      </c>
      <c r="R1080" s="4" t="str">
        <f aca="false">IF($A1080="","",IF(COUNTIF($A$2:$A1080,$A1080)&gt;1,"Sim","Não"))</f>
        <v>Não</v>
      </c>
      <c r="S1080" s="4" t="str">
        <f aca="false">IF(A1080="","Descartar - Linha vazia",IF(R1080="Sim","Descartar - Duplicado",IF(OR(H1080&lt;=0,I1080&lt;=0),"Descartar - Qtd/Valor inválido","OK")))</f>
        <v>OK</v>
      </c>
      <c r="T1080" s="4" t="str">
        <f aca="false">Base_Bruta!P1080</f>
        <v>vendas_RJ.xlsx</v>
      </c>
    </row>
    <row r="1081" customFormat="false" ht="15" hidden="false" customHeight="false" outlineLevel="0" collapsed="false">
      <c r="A1081" s="4" t="str">
        <f aca="false">IF(Base_Bruta!A1081="","",Base_Bruta!A1081)</f>
        <v>RJ-000034</v>
      </c>
      <c r="B1081" s="5" t="n">
        <f aca="false">IF($A1081="","",IF(ISNUMBER(Base_Bruta!B1081),Base_Bruta!B1081,IF(MID(Base_Bruta!B1081,5,1)="-",DATE(VALUE(LEFT(Base_Bruta!B1081,4)),VALUE(MID(Base_Bruta!B1081,6,2)),VALUE(RIGHT(Base_Bruta!B1081,2))),DATE(VALUE(RIGHT(Base_Bruta!B1081,4)),VALUE(MID(Base_Bruta!B1081,4,2)),VALUE(LEFT(Base_Bruta!B1081,2))))))</f>
        <v>45934</v>
      </c>
      <c r="C1081" s="5" t="n">
        <f aca="false">IF($A1081="","",IF(ISNUMBER(Base_Bruta!C1081),Base_Bruta!C1081,IF(MID(Base_Bruta!C1081,5,1)="-",DATE(VALUE(LEFT(Base_Bruta!C1081,4)),VALUE(MID(Base_Bruta!C1081,6,2)),VALUE(RIGHT(Base_Bruta!C1081,2))),DATE(VALUE(RIGHT(Base_Bruta!C1081,4)),VALUE(MID(Base_Bruta!C1081,4,2)),VALUE(LEFT(Base_Bruta!C1081,2))))))</f>
        <v>46046</v>
      </c>
      <c r="D1081" s="4" t="str">
        <f aca="false">IF($A1081="","",TRIM(Base_Bruta!D1081))</f>
        <v>Rio Beat Festival 2026</v>
      </c>
      <c r="E1081" s="4" t="str">
        <f aca="false">IF($A1081="","",_xlfn.XLOOKUP(LOWER(TRIM(Base_Bruta!E1081)),DePara_Categoria!$A$2:$A$9,DePara_Categoria!$B$2:$B$9,"REVISAR"))</f>
        <v>Festival</v>
      </c>
      <c r="F1081" s="4" t="str">
        <f aca="false">IF($A1081="","",_xlfn.XLOOKUP(LOWER(TRIM(Base_Bruta!F1081)),DePara_Cidade!$A$2:$A$29,DePara_Cidade!$B$2:$B$29,"REVISAR"))</f>
        <v>Rio de Janeiro</v>
      </c>
      <c r="G1081" s="4" t="str">
        <f aca="false">IF($A1081="","",TRIM(Base_Bruta!G1081))</f>
        <v>Meia</v>
      </c>
      <c r="H1081" s="4" t="n">
        <f aca="false">IF($A1081="","",IF(ISNUMBER(Base_Bruta!H1081),Base_Bruta!H1081,IFERROR(_xlfn.NUMBERVALUE(TRIM(SUBSTITUTE(Base_Bruta!H1081,"R$","")),",","."),0)))</f>
        <v>3</v>
      </c>
      <c r="I1081" s="6" t="n">
        <f aca="false">IF($A1081="","",IF(ISNUMBER(Base_Bruta!I1081),Base_Bruta!I1081,IFERROR(_xlfn.NUMBERVALUE(TRIM(SUBSTITUTE(Base_Bruta!I1081,"R$","")),",","."),0)))</f>
        <v>452.5</v>
      </c>
      <c r="J1081" s="6" t="n">
        <f aca="false">IF($A1081="","",H1081*I1081)</f>
        <v>1357.5</v>
      </c>
      <c r="K1081" s="4" t="str">
        <f aca="false">IF($A1081="","",TRIM(Base_Bruta!J1081))</f>
        <v>Site</v>
      </c>
      <c r="L1081" s="4" t="str">
        <f aca="false">IF($A1081="","",TRIM(Base_Bruta!K1081))</f>
        <v>C00092</v>
      </c>
      <c r="M1081" s="4" t="str">
        <f aca="false">IF($A1081="","",_xlfn.XLOOKUP(LOWER(TRIM(Base_Bruta!L1081)),DePara_Cidade!$A$2:$A$29,DePara_Cidade!$B$2:$B$29,"REVISAR"))</f>
        <v>Rio de Janeiro</v>
      </c>
      <c r="N1081" s="4" t="str">
        <f aca="false">IF($A1081="","",UPPER(TRIM(Base_Bruta!M1081)))</f>
        <v>RJ</v>
      </c>
      <c r="O1081" s="4" t="str">
        <f aca="false">IF($A1081="","",_xlfn.XLOOKUP(LOWER(TRIM(Base_Bruta!N1081)),DePara_Pais!$A$2:$A$9,DePara_Pais!$B$2:$B$9,"REVISAR"))</f>
        <v>Brasil</v>
      </c>
      <c r="P1081" s="4" t="str">
        <f aca="false">IF($A1081="","",IF(O1081&lt;&gt;"Brasil","Turista Internacional",IF(M1081=F1081,"Local","Turista Nacional")))</f>
        <v>Local</v>
      </c>
      <c r="Q1081" s="7" t="n">
        <f aca="false">IF($A1081="","",DATE(YEAR(B1081),MONTH(B1081),1))</f>
        <v>45931</v>
      </c>
      <c r="R1081" s="4" t="str">
        <f aca="false">IF($A1081="","",IF(COUNTIF($A$2:$A1081,$A1081)&gt;1,"Sim","Não"))</f>
        <v>Não</v>
      </c>
      <c r="S1081" s="4" t="str">
        <f aca="false">IF(A1081="","Descartar - Linha vazia",IF(R1081="Sim","Descartar - Duplicado",IF(OR(H1081&lt;=0,I1081&lt;=0),"Descartar - Qtd/Valor inválido","OK")))</f>
        <v>OK</v>
      </c>
      <c r="T1081" s="4" t="str">
        <f aca="false">Base_Bruta!P1081</f>
        <v>vendas_RJ.xlsx</v>
      </c>
    </row>
    <row r="1082" customFormat="false" ht="15" hidden="false" customHeight="false" outlineLevel="0" collapsed="false">
      <c r="A1082" s="4" t="str">
        <f aca="false">IF(Base_Bruta!A1082="","",Base_Bruta!A1082)</f>
        <v>RJ-000166</v>
      </c>
      <c r="B1082" s="5" t="n">
        <f aca="false">IF($A1082="","",IF(ISNUMBER(Base_Bruta!B1082),Base_Bruta!B1082,IF(MID(Base_Bruta!B1082,5,1)="-",DATE(VALUE(LEFT(Base_Bruta!B1082,4)),VALUE(MID(Base_Bruta!B1082,6,2)),VALUE(RIGHT(Base_Bruta!B1082,2))),DATE(VALUE(RIGHT(Base_Bruta!B1082,4)),VALUE(MID(Base_Bruta!B1082,4,2)),VALUE(LEFT(Base_Bruta!B1082,2))))))</f>
        <v>45934</v>
      </c>
      <c r="C1082" s="5" t="n">
        <f aca="false">IF($A1082="","",IF(ISNUMBER(Base_Bruta!C1082),Base_Bruta!C1082,IF(MID(Base_Bruta!C1082,5,1)="-",DATE(VALUE(LEFT(Base_Bruta!C1082,4)),VALUE(MID(Base_Bruta!C1082,6,2)),VALUE(RIGHT(Base_Bruta!C1082,2))),DATE(VALUE(RIGHT(Base_Bruta!C1082,4)),VALUE(MID(Base_Bruta!C1082,4,2)),VALUE(LEFT(Base_Bruta!C1082,2))))))</f>
        <v>46046</v>
      </c>
      <c r="D1082" s="4" t="str">
        <f aca="false">IF($A1082="","",TRIM(Base_Bruta!D1082))</f>
        <v>Rio Beat Festival 2026</v>
      </c>
      <c r="E1082" s="4" t="str">
        <f aca="false">IF($A1082="","",_xlfn.XLOOKUP(LOWER(TRIM(Base_Bruta!E1082)),DePara_Categoria!$A$2:$A$9,DePara_Categoria!$B$2:$B$9,"REVISAR"))</f>
        <v>Festival</v>
      </c>
      <c r="F1082" s="4" t="str">
        <f aca="false">IF($A1082="","",_xlfn.XLOOKUP(LOWER(TRIM(Base_Bruta!F1082)),DePara_Cidade!$A$2:$A$29,DePara_Cidade!$B$2:$B$29,"REVISAR"))</f>
        <v>Rio de Janeiro</v>
      </c>
      <c r="G1082" s="4" t="str">
        <f aca="false">IF($A1082="","",TRIM(Base_Bruta!G1082))</f>
        <v>VIP</v>
      </c>
      <c r="H1082" s="4" t="n">
        <f aca="false">IF($A1082="","",IF(ISNUMBER(Base_Bruta!H1082),Base_Bruta!H1082,IFERROR(_xlfn.NUMBERVALUE(TRIM(SUBSTITUTE(Base_Bruta!H1082,"R$","")),",","."),0)))</f>
        <v>2</v>
      </c>
      <c r="I1082" s="6" t="n">
        <f aca="false">IF($A1082="","",IF(ISNUMBER(Base_Bruta!I1082),Base_Bruta!I1082,IFERROR(_xlfn.NUMBERVALUE(TRIM(SUBSTITUTE(Base_Bruta!I1082,"R$","")),",","."),0)))</f>
        <v>1920</v>
      </c>
      <c r="J1082" s="6" t="n">
        <f aca="false">IF($A1082="","",H1082*I1082)</f>
        <v>3840</v>
      </c>
      <c r="K1082" s="4" t="str">
        <f aca="false">IF($A1082="","",TRIM(Base_Bruta!J1082))</f>
        <v>Site</v>
      </c>
      <c r="L1082" s="4" t="str">
        <f aca="false">IF($A1082="","",TRIM(Base_Bruta!K1082))</f>
        <v>C00622</v>
      </c>
      <c r="M1082" s="4" t="str">
        <f aca="false">IF($A1082="","",_xlfn.XLOOKUP(LOWER(TRIM(Base_Bruta!L1082)),DePara_Cidade!$A$2:$A$29,DePara_Cidade!$B$2:$B$29,"REVISAR"))</f>
        <v>Miami</v>
      </c>
      <c r="N1082" s="4" t="str">
        <f aca="false">IF($A1082="","",UPPER(TRIM(Base_Bruta!M1082)))</f>
        <v>EX</v>
      </c>
      <c r="O1082" s="4" t="str">
        <f aca="false">IF($A1082="","",_xlfn.XLOOKUP(LOWER(TRIM(Base_Bruta!N1082)),DePara_Pais!$A$2:$A$9,DePara_Pais!$B$2:$B$9,"REVISAR"))</f>
        <v>EUA</v>
      </c>
      <c r="P1082" s="4" t="str">
        <f aca="false">IF($A1082="","",IF(O1082&lt;&gt;"Brasil","Turista Internacional",IF(M1082=F1082,"Local","Turista Nacional")))</f>
        <v>Turista Internacional</v>
      </c>
      <c r="Q1082" s="7" t="n">
        <f aca="false">IF($A1082="","",DATE(YEAR(B1082),MONTH(B1082),1))</f>
        <v>45931</v>
      </c>
      <c r="R1082" s="4" t="str">
        <f aca="false">IF($A1082="","",IF(COUNTIF($A$2:$A1082,$A1082)&gt;1,"Sim","Não"))</f>
        <v>Não</v>
      </c>
      <c r="S1082" s="4" t="str">
        <f aca="false">IF(A1082="","Descartar - Linha vazia",IF(R1082="Sim","Descartar - Duplicado",IF(OR(H1082&lt;=0,I1082&lt;=0),"Descartar - Qtd/Valor inválido","OK")))</f>
        <v>OK</v>
      </c>
      <c r="T1082" s="4" t="str">
        <f aca="false">Base_Bruta!P1082</f>
        <v>vendas_RJ.xlsx</v>
      </c>
    </row>
    <row r="1083" customFormat="false" ht="15" hidden="false" customHeight="false" outlineLevel="0" collapsed="false">
      <c r="A1083" s="4" t="str">
        <f aca="false">IF(Base_Bruta!A1083="","",Base_Bruta!A1083)</f>
        <v>RJ-000011</v>
      </c>
      <c r="B1083" s="5" t="n">
        <f aca="false">IF($A1083="","",IF(ISNUMBER(Base_Bruta!B1083),Base_Bruta!B1083,IF(MID(Base_Bruta!B1083,5,1)="-",DATE(VALUE(LEFT(Base_Bruta!B1083,4)),VALUE(MID(Base_Bruta!B1083,6,2)),VALUE(RIGHT(Base_Bruta!B1083,2))),DATE(VALUE(RIGHT(Base_Bruta!B1083,4)),VALUE(MID(Base_Bruta!B1083,4,2)),VALUE(LEFT(Base_Bruta!B1083,2))))))</f>
        <v>45935</v>
      </c>
      <c r="C1083" s="5" t="n">
        <f aca="false">IF($A1083="","",IF(ISNUMBER(Base_Bruta!C1083),Base_Bruta!C1083,IF(MID(Base_Bruta!C1083,5,1)="-",DATE(VALUE(LEFT(Base_Bruta!C1083,4)),VALUE(MID(Base_Bruta!C1083,6,2)),VALUE(RIGHT(Base_Bruta!C1083,2))),DATE(VALUE(RIGHT(Base_Bruta!C1083,4)),VALUE(MID(Base_Bruta!C1083,4,2)),VALUE(LEFT(Base_Bruta!C1083,2))))))</f>
        <v>46046</v>
      </c>
      <c r="D1083" s="4" t="str">
        <f aca="false">IF($A1083="","",TRIM(Base_Bruta!D1083))</f>
        <v>Rio Beat Festival 2026</v>
      </c>
      <c r="E1083" s="4" t="str">
        <f aca="false">IF($A1083="","",_xlfn.XLOOKUP(LOWER(TRIM(Base_Bruta!E1083)),DePara_Categoria!$A$2:$A$9,DePara_Categoria!$B$2:$B$9,"REVISAR"))</f>
        <v>Festival</v>
      </c>
      <c r="F1083" s="4" t="str">
        <f aca="false">IF($A1083="","",_xlfn.XLOOKUP(LOWER(TRIM(Base_Bruta!F1083)),DePara_Cidade!$A$2:$A$29,DePara_Cidade!$B$2:$B$29,"REVISAR"))</f>
        <v>Rio de Janeiro</v>
      </c>
      <c r="G1083" s="4" t="str">
        <f aca="false">IF($A1083="","",TRIM(Base_Bruta!G1083))</f>
        <v>VIP</v>
      </c>
      <c r="H1083" s="4" t="n">
        <f aca="false">IF($A1083="","",IF(ISNUMBER(Base_Bruta!H1083),Base_Bruta!H1083,IFERROR(_xlfn.NUMBERVALUE(TRIM(SUBSTITUTE(Base_Bruta!H1083,"R$","")),",","."),0)))</f>
        <v>1</v>
      </c>
      <c r="I1083" s="6" t="n">
        <f aca="false">IF($A1083="","",IF(ISNUMBER(Base_Bruta!I1083),Base_Bruta!I1083,IFERROR(_xlfn.NUMBERVALUE(TRIM(SUBSTITUTE(Base_Bruta!I1083,"R$","")),",","."),0)))</f>
        <v>1790</v>
      </c>
      <c r="J1083" s="6" t="n">
        <f aca="false">IF($A1083="","",H1083*I1083)</f>
        <v>1790</v>
      </c>
      <c r="K1083" s="4" t="str">
        <f aca="false">IF($A1083="","",TRIM(Base_Bruta!J1083))</f>
        <v>Bilheteria</v>
      </c>
      <c r="L1083" s="4" t="str">
        <f aca="false">IF($A1083="","",TRIM(Base_Bruta!K1083))</f>
        <v>C02095</v>
      </c>
      <c r="M1083" s="4" t="str">
        <f aca="false">IF($A1083="","",_xlfn.XLOOKUP(LOWER(TRIM(Base_Bruta!L1083)),DePara_Cidade!$A$2:$A$29,DePara_Cidade!$B$2:$B$29,"REVISAR"))</f>
        <v>Rio de Janeiro</v>
      </c>
      <c r="N1083" s="4" t="str">
        <f aca="false">IF($A1083="","",UPPER(TRIM(Base_Bruta!M1083)))</f>
        <v>RJ</v>
      </c>
      <c r="O1083" s="4" t="str">
        <f aca="false">IF($A1083="","",_xlfn.XLOOKUP(LOWER(TRIM(Base_Bruta!N1083)),DePara_Pais!$A$2:$A$9,DePara_Pais!$B$2:$B$9,"REVISAR"))</f>
        <v>Brasil</v>
      </c>
      <c r="P1083" s="4" t="str">
        <f aca="false">IF($A1083="","",IF(O1083&lt;&gt;"Brasil","Turista Internacional",IF(M1083=F1083,"Local","Turista Nacional")))</f>
        <v>Local</v>
      </c>
      <c r="Q1083" s="7" t="n">
        <f aca="false">IF($A1083="","",DATE(YEAR(B1083),MONTH(B1083),1))</f>
        <v>45931</v>
      </c>
      <c r="R1083" s="4" t="str">
        <f aca="false">IF($A1083="","",IF(COUNTIF($A$2:$A1083,$A1083)&gt;1,"Sim","Não"))</f>
        <v>Não</v>
      </c>
      <c r="S1083" s="4" t="str">
        <f aca="false">IF(A1083="","Descartar - Linha vazia",IF(R1083="Sim","Descartar - Duplicado",IF(OR(H1083&lt;=0,I1083&lt;=0),"Descartar - Qtd/Valor inválido","OK")))</f>
        <v>OK</v>
      </c>
      <c r="T1083" s="4" t="str">
        <f aca="false">Base_Bruta!P1083</f>
        <v>vendas_RJ.xlsx</v>
      </c>
    </row>
    <row r="1084" customFormat="false" ht="15" hidden="false" customHeight="false" outlineLevel="0" collapsed="false">
      <c r="A1084" s="4" t="str">
        <f aca="false">IF(Base_Bruta!A1084="","",Base_Bruta!A1084)</f>
        <v>RJ-000100</v>
      </c>
      <c r="B1084" s="5" t="n">
        <f aca="false">IF($A1084="","",IF(ISNUMBER(Base_Bruta!B1084),Base_Bruta!B1084,IF(MID(Base_Bruta!B1084,5,1)="-",DATE(VALUE(LEFT(Base_Bruta!B1084,4)),VALUE(MID(Base_Bruta!B1084,6,2)),VALUE(RIGHT(Base_Bruta!B1084,2))),DATE(VALUE(RIGHT(Base_Bruta!B1084,4)),VALUE(MID(Base_Bruta!B1084,4,2)),VALUE(LEFT(Base_Bruta!B1084,2))))))</f>
        <v>45935</v>
      </c>
      <c r="C1084" s="5" t="n">
        <f aca="false">IF($A1084="","",IF(ISNUMBER(Base_Bruta!C1084),Base_Bruta!C1084,IF(MID(Base_Bruta!C1084,5,1)="-",DATE(VALUE(LEFT(Base_Bruta!C1084,4)),VALUE(MID(Base_Bruta!C1084,6,2)),VALUE(RIGHT(Base_Bruta!C1084,2))),DATE(VALUE(RIGHT(Base_Bruta!C1084,4)),VALUE(MID(Base_Bruta!C1084,4,2)),VALUE(LEFT(Base_Bruta!C1084,2))))))</f>
        <v>46046</v>
      </c>
      <c r="D1084" s="4" t="str">
        <f aca="false">IF($A1084="","",TRIM(Base_Bruta!D1084))</f>
        <v>Rio Beat Festival 2026</v>
      </c>
      <c r="E1084" s="4" t="str">
        <f aca="false">IF($A1084="","",_xlfn.XLOOKUP(LOWER(TRIM(Base_Bruta!E1084)),DePara_Categoria!$A$2:$A$9,DePara_Categoria!$B$2:$B$9,"REVISAR"))</f>
        <v>Festival</v>
      </c>
      <c r="F1084" s="4" t="str">
        <f aca="false">IF($A1084="","",_xlfn.XLOOKUP(LOWER(TRIM(Base_Bruta!F1084)),DePara_Cidade!$A$2:$A$29,DePara_Cidade!$B$2:$B$29,"REVISAR"))</f>
        <v>Rio de Janeiro</v>
      </c>
      <c r="G1084" s="4" t="str">
        <f aca="false">IF($A1084="","",TRIM(Base_Bruta!G1084))</f>
        <v>Meia</v>
      </c>
      <c r="H1084" s="4" t="n">
        <f aca="false">IF($A1084="","",IF(ISNUMBER(Base_Bruta!H1084),Base_Bruta!H1084,IFERROR(_xlfn.NUMBERVALUE(TRIM(SUBSTITUTE(Base_Bruta!H1084,"R$","")),",","."),0)))</f>
        <v>3</v>
      </c>
      <c r="I1084" s="6" t="n">
        <f aca="false">IF($A1084="","",IF(ISNUMBER(Base_Bruta!I1084),Base_Bruta!I1084,IFERROR(_xlfn.NUMBERVALUE(TRIM(SUBSTITUTE(Base_Bruta!I1084,"R$","")),",","."),0)))</f>
        <v>400</v>
      </c>
      <c r="J1084" s="6" t="n">
        <f aca="false">IF($A1084="","",H1084*I1084)</f>
        <v>1200</v>
      </c>
      <c r="K1084" s="4" t="str">
        <f aca="false">IF($A1084="","",TRIM(Base_Bruta!J1084))</f>
        <v>App</v>
      </c>
      <c r="L1084" s="4" t="str">
        <f aca="false">IF($A1084="","",TRIM(Base_Bruta!K1084))</f>
        <v>C00559</v>
      </c>
      <c r="M1084" s="4" t="str">
        <f aca="false">IF($A1084="","",_xlfn.XLOOKUP(LOWER(TRIM(Base_Bruta!L1084)),DePara_Cidade!$A$2:$A$29,DePara_Cidade!$B$2:$B$29,"REVISAR"))</f>
        <v>Rio de Janeiro</v>
      </c>
      <c r="N1084" s="4" t="str">
        <f aca="false">IF($A1084="","",UPPER(TRIM(Base_Bruta!M1084)))</f>
        <v>RJ</v>
      </c>
      <c r="O1084" s="4" t="str">
        <f aca="false">IF($A1084="","",_xlfn.XLOOKUP(LOWER(TRIM(Base_Bruta!N1084)),DePara_Pais!$A$2:$A$9,DePara_Pais!$B$2:$B$9,"REVISAR"))</f>
        <v>Brasil</v>
      </c>
      <c r="P1084" s="4" t="str">
        <f aca="false">IF($A1084="","",IF(O1084&lt;&gt;"Brasil","Turista Internacional",IF(M1084=F1084,"Local","Turista Nacional")))</f>
        <v>Local</v>
      </c>
      <c r="Q1084" s="7" t="n">
        <f aca="false">IF($A1084="","",DATE(YEAR(B1084),MONTH(B1084),1))</f>
        <v>45931</v>
      </c>
      <c r="R1084" s="4" t="str">
        <f aca="false">IF($A1084="","",IF(COUNTIF($A$2:$A1084,$A1084)&gt;1,"Sim","Não"))</f>
        <v>Não</v>
      </c>
      <c r="S1084" s="4" t="str">
        <f aca="false">IF(A1084="","Descartar - Linha vazia",IF(R1084="Sim","Descartar - Duplicado",IF(OR(H1084&lt;=0,I1084&lt;=0),"Descartar - Qtd/Valor inválido","OK")))</f>
        <v>OK</v>
      </c>
      <c r="T1084" s="4" t="str">
        <f aca="false">Base_Bruta!P1084</f>
        <v>vendas_RJ.xlsx</v>
      </c>
    </row>
    <row r="1085" customFormat="false" ht="15" hidden="false" customHeight="false" outlineLevel="0" collapsed="false">
      <c r="A1085" s="4" t="str">
        <f aca="false">IF(Base_Bruta!A1085="","",Base_Bruta!A1085)</f>
        <v>RJ-000146</v>
      </c>
      <c r="B1085" s="5" t="n">
        <f aca="false">IF($A1085="","",IF(ISNUMBER(Base_Bruta!B1085),Base_Bruta!B1085,IF(MID(Base_Bruta!B1085,5,1)="-",DATE(VALUE(LEFT(Base_Bruta!B1085,4)),VALUE(MID(Base_Bruta!B1085,6,2)),VALUE(RIGHT(Base_Bruta!B1085,2))),DATE(VALUE(RIGHT(Base_Bruta!B1085,4)),VALUE(MID(Base_Bruta!B1085,4,2)),VALUE(LEFT(Base_Bruta!B1085,2))))))</f>
        <v>45935</v>
      </c>
      <c r="C1085" s="5" t="n">
        <f aca="false">IF($A1085="","",IF(ISNUMBER(Base_Bruta!C1085),Base_Bruta!C1085,IF(MID(Base_Bruta!C1085,5,1)="-",DATE(VALUE(LEFT(Base_Bruta!C1085,4)),VALUE(MID(Base_Bruta!C1085,6,2)),VALUE(RIGHT(Base_Bruta!C1085,2))),DATE(VALUE(RIGHT(Base_Bruta!C1085,4)),VALUE(MID(Base_Bruta!C1085,4,2)),VALUE(LEFT(Base_Bruta!C1085,2))))))</f>
        <v>46046</v>
      </c>
      <c r="D1085" s="4" t="str">
        <f aca="false">IF($A1085="","",TRIM(Base_Bruta!D1085))</f>
        <v>Rio Beat Festival 2026</v>
      </c>
      <c r="E1085" s="4" t="str">
        <f aca="false">IF($A1085="","",_xlfn.XLOOKUP(LOWER(TRIM(Base_Bruta!E1085)),DePara_Categoria!$A$2:$A$9,DePara_Categoria!$B$2:$B$9,"REVISAR"))</f>
        <v>Festival</v>
      </c>
      <c r="F1085" s="4" t="str">
        <f aca="false">IF($A1085="","",_xlfn.XLOOKUP(LOWER(TRIM(Base_Bruta!F1085)),DePara_Cidade!$A$2:$A$29,DePara_Cidade!$B$2:$B$29,"REVISAR"))</f>
        <v>Rio de Janeiro</v>
      </c>
      <c r="G1085" s="4" t="str">
        <f aca="false">IF($A1085="","",TRIM(Base_Bruta!G1085))</f>
        <v>Inteira</v>
      </c>
      <c r="H1085" s="4" t="n">
        <f aca="false">IF($A1085="","",IF(ISNUMBER(Base_Bruta!H1085),Base_Bruta!H1085,IFERROR(_xlfn.NUMBERVALUE(TRIM(SUBSTITUTE(Base_Bruta!H1085,"R$","")),",","."),0)))</f>
        <v>1</v>
      </c>
      <c r="I1085" s="6" t="n">
        <f aca="false">IF($A1085="","",IF(ISNUMBER(Base_Bruta!I1085),Base_Bruta!I1085,IFERROR(_xlfn.NUMBERVALUE(TRIM(SUBSTITUTE(Base_Bruta!I1085,"R$","")),",","."),0)))</f>
        <v>890</v>
      </c>
      <c r="J1085" s="6" t="n">
        <f aca="false">IF($A1085="","",H1085*I1085)</f>
        <v>890</v>
      </c>
      <c r="K1085" s="4" t="str">
        <f aca="false">IF($A1085="","",TRIM(Base_Bruta!J1085))</f>
        <v>Site</v>
      </c>
      <c r="L1085" s="4" t="str">
        <f aca="false">IF($A1085="","",TRIM(Base_Bruta!K1085))</f>
        <v>C01794</v>
      </c>
      <c r="M1085" s="4" t="str">
        <f aca="false">IF($A1085="","",_xlfn.XLOOKUP(LOWER(TRIM(Base_Bruta!L1085)),DePara_Cidade!$A$2:$A$29,DePara_Cidade!$B$2:$B$29,"REVISAR"))</f>
        <v>Buenos Aires</v>
      </c>
      <c r="N1085" s="4" t="str">
        <f aca="false">IF($A1085="","",UPPER(TRIM(Base_Bruta!M1085)))</f>
        <v>EX</v>
      </c>
      <c r="O1085" s="4" t="str">
        <f aca="false">IF($A1085="","",_xlfn.XLOOKUP(LOWER(TRIM(Base_Bruta!N1085)),DePara_Pais!$A$2:$A$9,DePara_Pais!$B$2:$B$9,"REVISAR"))</f>
        <v>Argentina</v>
      </c>
      <c r="P1085" s="4" t="str">
        <f aca="false">IF($A1085="","",IF(O1085&lt;&gt;"Brasil","Turista Internacional",IF(M1085=F1085,"Local","Turista Nacional")))</f>
        <v>Turista Internacional</v>
      </c>
      <c r="Q1085" s="7" t="n">
        <f aca="false">IF($A1085="","",DATE(YEAR(B1085),MONTH(B1085),1))</f>
        <v>45931</v>
      </c>
      <c r="R1085" s="4" t="str">
        <f aca="false">IF($A1085="","",IF(COUNTIF($A$2:$A1085,$A1085)&gt;1,"Sim","Não"))</f>
        <v>Não</v>
      </c>
      <c r="S1085" s="4" t="str">
        <f aca="false">IF(A1085="","Descartar - Linha vazia",IF(R1085="Sim","Descartar - Duplicado",IF(OR(H1085&lt;=0,I1085&lt;=0),"Descartar - Qtd/Valor inválido","OK")))</f>
        <v>OK</v>
      </c>
      <c r="T1085" s="4" t="str">
        <f aca="false">Base_Bruta!P1085</f>
        <v>vendas_RJ.xlsx</v>
      </c>
    </row>
    <row r="1086" customFormat="false" ht="15" hidden="false" customHeight="false" outlineLevel="0" collapsed="false">
      <c r="A1086" s="4" t="str">
        <f aca="false">IF(Base_Bruta!A1086="","",Base_Bruta!A1086)</f>
        <v>RJ-000173</v>
      </c>
      <c r="B1086" s="5" t="n">
        <f aca="false">IF($A1086="","",IF(ISNUMBER(Base_Bruta!B1086),Base_Bruta!B1086,IF(MID(Base_Bruta!B1086,5,1)="-",DATE(VALUE(LEFT(Base_Bruta!B1086,4)),VALUE(MID(Base_Bruta!B1086,6,2)),VALUE(RIGHT(Base_Bruta!B1086,2))),DATE(VALUE(RIGHT(Base_Bruta!B1086,4)),VALUE(MID(Base_Bruta!B1086,4,2)),VALUE(LEFT(Base_Bruta!B1086,2))))))</f>
        <v>45935</v>
      </c>
      <c r="C1086" s="5" t="n">
        <f aca="false">IF($A1086="","",IF(ISNUMBER(Base_Bruta!C1086),Base_Bruta!C1086,IF(MID(Base_Bruta!C1086,5,1)="-",DATE(VALUE(LEFT(Base_Bruta!C1086,4)),VALUE(MID(Base_Bruta!C1086,6,2)),VALUE(RIGHT(Base_Bruta!C1086,2))),DATE(VALUE(RIGHT(Base_Bruta!C1086,4)),VALUE(MID(Base_Bruta!C1086,4,2)),VALUE(LEFT(Base_Bruta!C1086,2))))))</f>
        <v>46046</v>
      </c>
      <c r="D1086" s="4" t="str">
        <f aca="false">IF($A1086="","",TRIM(Base_Bruta!D1086))</f>
        <v>Rio Beat Festival 2026</v>
      </c>
      <c r="E1086" s="4" t="str">
        <f aca="false">IF($A1086="","",_xlfn.XLOOKUP(LOWER(TRIM(Base_Bruta!E1086)),DePara_Categoria!$A$2:$A$9,DePara_Categoria!$B$2:$B$9,"REVISAR"))</f>
        <v>Festival</v>
      </c>
      <c r="F1086" s="4" t="str">
        <f aca="false">IF($A1086="","",_xlfn.XLOOKUP(LOWER(TRIM(Base_Bruta!F1086)),DePara_Cidade!$A$2:$A$29,DePara_Cidade!$B$2:$B$29,"REVISAR"))</f>
        <v>Rio de Janeiro</v>
      </c>
      <c r="G1086" s="4" t="str">
        <f aca="false">IF($A1086="","",TRIM(Base_Bruta!G1086))</f>
        <v>Meia</v>
      </c>
      <c r="H1086" s="4" t="n">
        <f aca="false">IF($A1086="","",IF(ISNUMBER(Base_Bruta!H1086),Base_Bruta!H1086,IFERROR(_xlfn.NUMBERVALUE(TRIM(SUBSTITUTE(Base_Bruta!H1086,"R$","")),",","."),0)))</f>
        <v>2</v>
      </c>
      <c r="I1086" s="6" t="n">
        <f aca="false">IF($A1086="","",IF(ISNUMBER(Base_Bruta!I1086),Base_Bruta!I1086,IFERROR(_xlfn.NUMBERVALUE(TRIM(SUBSTITUTE(Base_Bruta!I1086,"R$","")),",","."),0)))</f>
        <v>515</v>
      </c>
      <c r="J1086" s="6" t="n">
        <f aca="false">IF($A1086="","",H1086*I1086)</f>
        <v>1030</v>
      </c>
      <c r="K1086" s="4" t="str">
        <f aca="false">IF($A1086="","",TRIM(Base_Bruta!J1086))</f>
        <v>Site</v>
      </c>
      <c r="L1086" s="4" t="str">
        <f aca="false">IF($A1086="","",TRIM(Base_Bruta!K1086))</f>
        <v>C01108</v>
      </c>
      <c r="M1086" s="4" t="str">
        <f aca="false">IF($A1086="","",_xlfn.XLOOKUP(LOWER(TRIM(Base_Bruta!L1086)),DePara_Cidade!$A$2:$A$29,DePara_Cidade!$B$2:$B$29,"REVISAR"))</f>
        <v>Santos</v>
      </c>
      <c r="N1086" s="4" t="str">
        <f aca="false">IF($A1086="","",UPPER(TRIM(Base_Bruta!M1086)))</f>
        <v>SP</v>
      </c>
      <c r="O1086" s="4" t="str">
        <f aca="false">IF($A1086="","",_xlfn.XLOOKUP(LOWER(TRIM(Base_Bruta!N1086)),DePara_Pais!$A$2:$A$9,DePara_Pais!$B$2:$B$9,"REVISAR"))</f>
        <v>Brasil</v>
      </c>
      <c r="P1086" s="4" t="str">
        <f aca="false">IF($A1086="","",IF(O1086&lt;&gt;"Brasil","Turista Internacional",IF(M1086=F1086,"Local","Turista Nacional")))</f>
        <v>Turista Nacional</v>
      </c>
      <c r="Q1086" s="7" t="n">
        <f aca="false">IF($A1086="","",DATE(YEAR(B1086),MONTH(B1086),1))</f>
        <v>45931</v>
      </c>
      <c r="R1086" s="4" t="str">
        <f aca="false">IF($A1086="","",IF(COUNTIF($A$2:$A1086,$A1086)&gt;1,"Sim","Não"))</f>
        <v>Não</v>
      </c>
      <c r="S1086" s="4" t="str">
        <f aca="false">IF(A1086="","Descartar - Linha vazia",IF(R1086="Sim","Descartar - Duplicado",IF(OR(H1086&lt;=0,I1086&lt;=0),"Descartar - Qtd/Valor inválido","OK")))</f>
        <v>OK</v>
      </c>
      <c r="T1086" s="4" t="str">
        <f aca="false">Base_Bruta!P1086</f>
        <v>vendas_RJ.xlsx</v>
      </c>
    </row>
    <row r="1087" customFormat="false" ht="15" hidden="false" customHeight="false" outlineLevel="0" collapsed="false">
      <c r="A1087" s="4" t="str">
        <f aca="false">IF(Base_Bruta!A1087="","",Base_Bruta!A1087)</f>
        <v>RJ-000010</v>
      </c>
      <c r="B1087" s="5" t="n">
        <f aca="false">IF($A1087="","",IF(ISNUMBER(Base_Bruta!B1087),Base_Bruta!B1087,IF(MID(Base_Bruta!B1087,5,1)="-",DATE(VALUE(LEFT(Base_Bruta!B1087,4)),VALUE(MID(Base_Bruta!B1087,6,2)),VALUE(RIGHT(Base_Bruta!B1087,2))),DATE(VALUE(RIGHT(Base_Bruta!B1087,4)),VALUE(MID(Base_Bruta!B1087,4,2)),VALUE(LEFT(Base_Bruta!B1087,2))))))</f>
        <v>45936</v>
      </c>
      <c r="C1087" s="5" t="n">
        <f aca="false">IF($A1087="","",IF(ISNUMBER(Base_Bruta!C1087),Base_Bruta!C1087,IF(MID(Base_Bruta!C1087,5,1)="-",DATE(VALUE(LEFT(Base_Bruta!C1087,4)),VALUE(MID(Base_Bruta!C1087,6,2)),VALUE(RIGHT(Base_Bruta!C1087,2))),DATE(VALUE(RIGHT(Base_Bruta!C1087,4)),VALUE(MID(Base_Bruta!C1087,4,2)),VALUE(LEFT(Base_Bruta!C1087,2))))))</f>
        <v>46046</v>
      </c>
      <c r="D1087" s="4" t="str">
        <f aca="false">IF($A1087="","",TRIM(Base_Bruta!D1087))</f>
        <v>Rio Beat Festival 2026</v>
      </c>
      <c r="E1087" s="4" t="str">
        <f aca="false">IF($A1087="","",_xlfn.XLOOKUP(LOWER(TRIM(Base_Bruta!E1087)),DePara_Categoria!$A$2:$A$9,DePara_Categoria!$B$2:$B$9,"REVISAR"))</f>
        <v>Festival</v>
      </c>
      <c r="F1087" s="4" t="str">
        <f aca="false">IF($A1087="","",_xlfn.XLOOKUP(LOWER(TRIM(Base_Bruta!F1087)),DePara_Cidade!$A$2:$A$29,DePara_Cidade!$B$2:$B$29,"REVISAR"))</f>
        <v>Rio de Janeiro</v>
      </c>
      <c r="G1087" s="4" t="str">
        <f aca="false">IF($A1087="","",TRIM(Base_Bruta!G1087))</f>
        <v>Meia</v>
      </c>
      <c r="H1087" s="4" t="n">
        <f aca="false">IF($A1087="","",IF(ISNUMBER(Base_Bruta!H1087),Base_Bruta!H1087,IFERROR(_xlfn.NUMBERVALUE(TRIM(SUBSTITUTE(Base_Bruta!H1087,"R$","")),",","."),0)))</f>
        <v>2</v>
      </c>
      <c r="I1087" s="6" t="n">
        <f aca="false">IF($A1087="","",IF(ISNUMBER(Base_Bruta!I1087),Base_Bruta!I1087,IFERROR(_xlfn.NUMBERVALUE(TRIM(SUBSTITUTE(Base_Bruta!I1087,"R$","")),",","."),0)))</f>
        <v>395</v>
      </c>
      <c r="J1087" s="6" t="n">
        <f aca="false">IF($A1087="","",H1087*I1087)</f>
        <v>790</v>
      </c>
      <c r="K1087" s="4" t="str">
        <f aca="false">IF($A1087="","",TRIM(Base_Bruta!J1087))</f>
        <v>App</v>
      </c>
      <c r="L1087" s="4" t="str">
        <f aca="false">IF($A1087="","",TRIM(Base_Bruta!K1087))</f>
        <v>C01992</v>
      </c>
      <c r="M1087" s="4" t="str">
        <f aca="false">IF($A1087="","",_xlfn.XLOOKUP(LOWER(TRIM(Base_Bruta!L1087)),DePara_Cidade!$A$2:$A$29,DePara_Cidade!$B$2:$B$29,"REVISAR"))</f>
        <v>Buenos Aires</v>
      </c>
      <c r="N1087" s="4" t="str">
        <f aca="false">IF($A1087="","",UPPER(TRIM(Base_Bruta!M1087)))</f>
        <v>EX</v>
      </c>
      <c r="O1087" s="4" t="str">
        <f aca="false">IF($A1087="","",_xlfn.XLOOKUP(LOWER(TRIM(Base_Bruta!N1087)),DePara_Pais!$A$2:$A$9,DePara_Pais!$B$2:$B$9,"REVISAR"))</f>
        <v>Argentina</v>
      </c>
      <c r="P1087" s="4" t="str">
        <f aca="false">IF($A1087="","",IF(O1087&lt;&gt;"Brasil","Turista Internacional",IF(M1087=F1087,"Local","Turista Nacional")))</f>
        <v>Turista Internacional</v>
      </c>
      <c r="Q1087" s="7" t="n">
        <f aca="false">IF($A1087="","",DATE(YEAR(B1087),MONTH(B1087),1))</f>
        <v>45931</v>
      </c>
      <c r="R1087" s="4" t="str">
        <f aca="false">IF($A1087="","",IF(COUNTIF($A$2:$A1087,$A1087)&gt;1,"Sim","Não"))</f>
        <v>Não</v>
      </c>
      <c r="S1087" s="4" t="str">
        <f aca="false">IF(A1087="","Descartar - Linha vazia",IF(R1087="Sim","Descartar - Duplicado",IF(OR(H1087&lt;=0,I1087&lt;=0),"Descartar - Qtd/Valor inválido","OK")))</f>
        <v>OK</v>
      </c>
      <c r="T1087" s="4" t="str">
        <f aca="false">Base_Bruta!P1087</f>
        <v>vendas_RJ.xlsx</v>
      </c>
    </row>
    <row r="1088" customFormat="false" ht="15" hidden="false" customHeight="false" outlineLevel="0" collapsed="false">
      <c r="A1088" s="4" t="str">
        <f aca="false">IF(Base_Bruta!A1088="","",Base_Bruta!A1088)</f>
        <v>RJ-000017</v>
      </c>
      <c r="B1088" s="5" t="n">
        <f aca="false">IF($A1088="","",IF(ISNUMBER(Base_Bruta!B1088),Base_Bruta!B1088,IF(MID(Base_Bruta!B1088,5,1)="-",DATE(VALUE(LEFT(Base_Bruta!B1088,4)),VALUE(MID(Base_Bruta!B1088,6,2)),VALUE(RIGHT(Base_Bruta!B1088,2))),DATE(VALUE(RIGHT(Base_Bruta!B1088,4)),VALUE(MID(Base_Bruta!B1088,4,2)),VALUE(LEFT(Base_Bruta!B1088,2))))))</f>
        <v>45936</v>
      </c>
      <c r="C1088" s="5" t="n">
        <f aca="false">IF($A1088="","",IF(ISNUMBER(Base_Bruta!C1088),Base_Bruta!C1088,IF(MID(Base_Bruta!C1088,5,1)="-",DATE(VALUE(LEFT(Base_Bruta!C1088,4)),VALUE(MID(Base_Bruta!C1088,6,2)),VALUE(RIGHT(Base_Bruta!C1088,2))),DATE(VALUE(RIGHT(Base_Bruta!C1088,4)),VALUE(MID(Base_Bruta!C1088,4,2)),VALUE(LEFT(Base_Bruta!C1088,2))))))</f>
        <v>46046</v>
      </c>
      <c r="D1088" s="4" t="str">
        <f aca="false">IF($A1088="","",TRIM(Base_Bruta!D1088))</f>
        <v>Rio Beat Festival 2026</v>
      </c>
      <c r="E1088" s="4" t="str">
        <f aca="false">IF($A1088="","",_xlfn.XLOOKUP(LOWER(TRIM(Base_Bruta!E1088)),DePara_Categoria!$A$2:$A$9,DePara_Categoria!$B$2:$B$9,"REVISAR"))</f>
        <v>Festival</v>
      </c>
      <c r="F1088" s="4" t="str">
        <f aca="false">IF($A1088="","",_xlfn.XLOOKUP(LOWER(TRIM(Base_Bruta!F1088)),DePara_Cidade!$A$2:$A$29,DePara_Cidade!$B$2:$B$29,"REVISAR"))</f>
        <v>Rio de Janeiro</v>
      </c>
      <c r="G1088" s="4" t="str">
        <f aca="false">IF($A1088="","",TRIM(Base_Bruta!G1088))</f>
        <v>Meia</v>
      </c>
      <c r="H1088" s="4" t="n">
        <f aca="false">IF($A1088="","",IF(ISNUMBER(Base_Bruta!H1088),Base_Bruta!H1088,IFERROR(_xlfn.NUMBERVALUE(TRIM(SUBSTITUTE(Base_Bruta!H1088,"R$","")),",","."),0)))</f>
        <v>2</v>
      </c>
      <c r="I1088" s="6" t="n">
        <f aca="false">IF($A1088="","",IF(ISNUMBER(Base_Bruta!I1088),Base_Bruta!I1088,IFERROR(_xlfn.NUMBERVALUE(TRIM(SUBSTITUTE(Base_Bruta!I1088,"R$","")),",","."),0)))</f>
        <v>390</v>
      </c>
      <c r="J1088" s="6" t="n">
        <f aca="false">IF($A1088="","",H1088*I1088)</f>
        <v>780</v>
      </c>
      <c r="K1088" s="4" t="str">
        <f aca="false">IF($A1088="","",TRIM(Base_Bruta!J1088))</f>
        <v>Site</v>
      </c>
      <c r="L1088" s="4" t="str">
        <f aca="false">IF($A1088="","",TRIM(Base_Bruta!K1088))</f>
        <v>C01073</v>
      </c>
      <c r="M1088" s="4" t="str">
        <f aca="false">IF($A1088="","",_xlfn.XLOOKUP(LOWER(TRIM(Base_Bruta!L1088)),DePara_Cidade!$A$2:$A$29,DePara_Cidade!$B$2:$B$29,"REVISAR"))</f>
        <v>Salvador</v>
      </c>
      <c r="N1088" s="4" t="str">
        <f aca="false">IF($A1088="","",UPPER(TRIM(Base_Bruta!M1088)))</f>
        <v>BA</v>
      </c>
      <c r="O1088" s="4" t="str">
        <f aca="false">IF($A1088="","",_xlfn.XLOOKUP(LOWER(TRIM(Base_Bruta!N1088)),DePara_Pais!$A$2:$A$9,DePara_Pais!$B$2:$B$9,"REVISAR"))</f>
        <v>Brasil</v>
      </c>
      <c r="P1088" s="4" t="str">
        <f aca="false">IF($A1088="","",IF(O1088&lt;&gt;"Brasil","Turista Internacional",IF(M1088=F1088,"Local","Turista Nacional")))</f>
        <v>Turista Nacional</v>
      </c>
      <c r="Q1088" s="7" t="n">
        <f aca="false">IF($A1088="","",DATE(YEAR(B1088),MONTH(B1088),1))</f>
        <v>45931</v>
      </c>
      <c r="R1088" s="4" t="str">
        <f aca="false">IF($A1088="","",IF(COUNTIF($A$2:$A1088,$A1088)&gt;1,"Sim","Não"))</f>
        <v>Não</v>
      </c>
      <c r="S1088" s="4" t="str">
        <f aca="false">IF(A1088="","Descartar - Linha vazia",IF(R1088="Sim","Descartar - Duplicado",IF(OR(H1088&lt;=0,I1088&lt;=0),"Descartar - Qtd/Valor inválido","OK")))</f>
        <v>OK</v>
      </c>
      <c r="T1088" s="4" t="str">
        <f aca="false">Base_Bruta!P1088</f>
        <v>vendas_RJ.xlsx</v>
      </c>
    </row>
    <row r="1089" customFormat="false" ht="15" hidden="false" customHeight="false" outlineLevel="0" collapsed="false">
      <c r="A1089" s="4" t="str">
        <f aca="false">IF(Base_Bruta!A1089="","",Base_Bruta!A1089)</f>
        <v>RJ-000051</v>
      </c>
      <c r="B1089" s="5" t="n">
        <f aca="false">IF($A1089="","",IF(ISNUMBER(Base_Bruta!B1089),Base_Bruta!B1089,IF(MID(Base_Bruta!B1089,5,1)="-",DATE(VALUE(LEFT(Base_Bruta!B1089,4)),VALUE(MID(Base_Bruta!B1089,6,2)),VALUE(RIGHT(Base_Bruta!B1089,2))),DATE(VALUE(RIGHT(Base_Bruta!B1089,4)),VALUE(MID(Base_Bruta!B1089,4,2)),VALUE(LEFT(Base_Bruta!B1089,2))))))</f>
        <v>45936</v>
      </c>
      <c r="C1089" s="5" t="n">
        <f aca="false">IF($A1089="","",IF(ISNUMBER(Base_Bruta!C1089),Base_Bruta!C1089,IF(MID(Base_Bruta!C1089,5,1)="-",DATE(VALUE(LEFT(Base_Bruta!C1089,4)),VALUE(MID(Base_Bruta!C1089,6,2)),VALUE(RIGHT(Base_Bruta!C1089,2))),DATE(VALUE(RIGHT(Base_Bruta!C1089,4)),VALUE(MID(Base_Bruta!C1089,4,2)),VALUE(LEFT(Base_Bruta!C1089,2))))))</f>
        <v>46046</v>
      </c>
      <c r="D1089" s="4" t="str">
        <f aca="false">IF($A1089="","",TRIM(Base_Bruta!D1089))</f>
        <v>Rio Beat Festival 2026</v>
      </c>
      <c r="E1089" s="4" t="str">
        <f aca="false">IF($A1089="","",_xlfn.XLOOKUP(LOWER(TRIM(Base_Bruta!E1089)),DePara_Categoria!$A$2:$A$9,DePara_Categoria!$B$2:$B$9,"REVISAR"))</f>
        <v>Festival</v>
      </c>
      <c r="F1089" s="4" t="str">
        <f aca="false">IF($A1089="","",_xlfn.XLOOKUP(LOWER(TRIM(Base_Bruta!F1089)),DePara_Cidade!$A$2:$A$29,DePara_Cidade!$B$2:$B$29,"REVISAR"))</f>
        <v>Rio de Janeiro</v>
      </c>
      <c r="G1089" s="4" t="str">
        <f aca="false">IF($A1089="","",TRIM(Base_Bruta!G1089))</f>
        <v>Meia</v>
      </c>
      <c r="H1089" s="4" t="n">
        <f aca="false">IF($A1089="","",IF(ISNUMBER(Base_Bruta!H1089),Base_Bruta!H1089,IFERROR(_xlfn.NUMBERVALUE(TRIM(SUBSTITUTE(Base_Bruta!H1089,"R$","")),",","."),0)))</f>
        <v>2</v>
      </c>
      <c r="I1089" s="6" t="n">
        <f aca="false">IF($A1089="","",IF(ISNUMBER(Base_Bruta!I1089),Base_Bruta!I1089,IFERROR(_xlfn.NUMBERVALUE(TRIM(SUBSTITUTE(Base_Bruta!I1089,"R$","")),",","."),0)))</f>
        <v>397.5</v>
      </c>
      <c r="J1089" s="6" t="n">
        <f aca="false">IF($A1089="","",H1089*I1089)</f>
        <v>795</v>
      </c>
      <c r="K1089" s="4" t="str">
        <f aca="false">IF($A1089="","",TRIM(Base_Bruta!J1089))</f>
        <v>App</v>
      </c>
      <c r="L1089" s="4" t="str">
        <f aca="false">IF($A1089="","",TRIM(Base_Bruta!K1089))</f>
        <v>C01647</v>
      </c>
      <c r="M1089" s="4" t="str">
        <f aca="false">IF($A1089="","",_xlfn.XLOOKUP(LOWER(TRIM(Base_Bruta!L1089)),DePara_Cidade!$A$2:$A$29,DePara_Cidade!$B$2:$B$29,"REVISAR"))</f>
        <v>Rio de Janeiro</v>
      </c>
      <c r="N1089" s="4" t="str">
        <f aca="false">IF($A1089="","",UPPER(TRIM(Base_Bruta!M1089)))</f>
        <v>RJ</v>
      </c>
      <c r="O1089" s="4" t="str">
        <f aca="false">IF($A1089="","",_xlfn.XLOOKUP(LOWER(TRIM(Base_Bruta!N1089)),DePara_Pais!$A$2:$A$9,DePara_Pais!$B$2:$B$9,"REVISAR"))</f>
        <v>Brasil</v>
      </c>
      <c r="P1089" s="4" t="str">
        <f aca="false">IF($A1089="","",IF(O1089&lt;&gt;"Brasil","Turista Internacional",IF(M1089=F1089,"Local","Turista Nacional")))</f>
        <v>Local</v>
      </c>
      <c r="Q1089" s="7" t="n">
        <f aca="false">IF($A1089="","",DATE(YEAR(B1089),MONTH(B1089),1))</f>
        <v>45931</v>
      </c>
      <c r="R1089" s="4" t="str">
        <f aca="false">IF($A1089="","",IF(COUNTIF($A$2:$A1089,$A1089)&gt;1,"Sim","Não"))</f>
        <v>Não</v>
      </c>
      <c r="S1089" s="4" t="str">
        <f aca="false">IF(A1089="","Descartar - Linha vazia",IF(R1089="Sim","Descartar - Duplicado",IF(OR(H1089&lt;=0,I1089&lt;=0),"Descartar - Qtd/Valor inválido","OK")))</f>
        <v>OK</v>
      </c>
      <c r="T1089" s="4" t="str">
        <f aca="false">Base_Bruta!P1089</f>
        <v>vendas_RJ.xlsx</v>
      </c>
    </row>
    <row r="1090" customFormat="false" ht="15" hidden="false" customHeight="false" outlineLevel="0" collapsed="false">
      <c r="A1090" s="4" t="str">
        <f aca="false">IF(Base_Bruta!A1090="","",Base_Bruta!A1090)</f>
        <v>RJ-000065</v>
      </c>
      <c r="B1090" s="5" t="n">
        <f aca="false">IF($A1090="","",IF(ISNUMBER(Base_Bruta!B1090),Base_Bruta!B1090,IF(MID(Base_Bruta!B1090,5,1)="-",DATE(VALUE(LEFT(Base_Bruta!B1090,4)),VALUE(MID(Base_Bruta!B1090,6,2)),VALUE(RIGHT(Base_Bruta!B1090,2))),DATE(VALUE(RIGHT(Base_Bruta!B1090,4)),VALUE(MID(Base_Bruta!B1090,4,2)),VALUE(LEFT(Base_Bruta!B1090,2))))))</f>
        <v>45936</v>
      </c>
      <c r="C1090" s="5" t="n">
        <f aca="false">IF($A1090="","",IF(ISNUMBER(Base_Bruta!C1090),Base_Bruta!C1090,IF(MID(Base_Bruta!C1090,5,1)="-",DATE(VALUE(LEFT(Base_Bruta!C1090,4)),VALUE(MID(Base_Bruta!C1090,6,2)),VALUE(RIGHT(Base_Bruta!C1090,2))),DATE(VALUE(RIGHT(Base_Bruta!C1090,4)),VALUE(MID(Base_Bruta!C1090,4,2)),VALUE(LEFT(Base_Bruta!C1090,2))))))</f>
        <v>46046</v>
      </c>
      <c r="D1090" s="4" t="str">
        <f aca="false">IF($A1090="","",TRIM(Base_Bruta!D1090))</f>
        <v>Rio Beat Festival 2026</v>
      </c>
      <c r="E1090" s="4" t="str">
        <f aca="false">IF($A1090="","",_xlfn.XLOOKUP(LOWER(TRIM(Base_Bruta!E1090)),DePara_Categoria!$A$2:$A$9,DePara_Categoria!$B$2:$B$9,"REVISAR"))</f>
        <v>Festival</v>
      </c>
      <c r="F1090" s="4" t="str">
        <f aca="false">IF($A1090="","",_xlfn.XLOOKUP(LOWER(TRIM(Base_Bruta!F1090)),DePara_Cidade!$A$2:$A$29,DePara_Cidade!$B$2:$B$29,"REVISAR"))</f>
        <v>Rio de Janeiro</v>
      </c>
      <c r="G1090" s="4" t="str">
        <f aca="false">IF($A1090="","",TRIM(Base_Bruta!G1090))</f>
        <v>Inteira</v>
      </c>
      <c r="H1090" s="4" t="n">
        <f aca="false">IF($A1090="","",IF(ISNUMBER(Base_Bruta!H1090),Base_Bruta!H1090,IFERROR(_xlfn.NUMBERVALUE(TRIM(SUBSTITUTE(Base_Bruta!H1090,"R$","")),",","."),0)))</f>
        <v>3</v>
      </c>
      <c r="I1090" s="6" t="n">
        <f aca="false">IF($A1090="","",IF(ISNUMBER(Base_Bruta!I1090),Base_Bruta!I1090,IFERROR(_xlfn.NUMBERVALUE(TRIM(SUBSTITUTE(Base_Bruta!I1090,"R$","")),",","."),0)))</f>
        <v>1100</v>
      </c>
      <c r="J1090" s="6" t="n">
        <f aca="false">IF($A1090="","",H1090*I1090)</f>
        <v>3300</v>
      </c>
      <c r="K1090" s="4" t="str">
        <f aca="false">IF($A1090="","",TRIM(Base_Bruta!J1090))</f>
        <v>App</v>
      </c>
      <c r="L1090" s="4" t="str">
        <f aca="false">IF($A1090="","",TRIM(Base_Bruta!K1090))</f>
        <v>C02001</v>
      </c>
      <c r="M1090" s="4" t="str">
        <f aca="false">IF($A1090="","",_xlfn.XLOOKUP(LOWER(TRIM(Base_Bruta!L1090)),DePara_Cidade!$A$2:$A$29,DePara_Cidade!$B$2:$B$29,"REVISAR"))</f>
        <v>Contagem</v>
      </c>
      <c r="N1090" s="4" t="str">
        <f aca="false">IF($A1090="","",UPPER(TRIM(Base_Bruta!M1090)))</f>
        <v>MG</v>
      </c>
      <c r="O1090" s="4" t="str">
        <f aca="false">IF($A1090="","",_xlfn.XLOOKUP(LOWER(TRIM(Base_Bruta!N1090)),DePara_Pais!$A$2:$A$9,DePara_Pais!$B$2:$B$9,"REVISAR"))</f>
        <v>Brasil</v>
      </c>
      <c r="P1090" s="4" t="str">
        <f aca="false">IF($A1090="","",IF(O1090&lt;&gt;"Brasil","Turista Internacional",IF(M1090=F1090,"Local","Turista Nacional")))</f>
        <v>Turista Nacional</v>
      </c>
      <c r="Q1090" s="7" t="n">
        <f aca="false">IF($A1090="","",DATE(YEAR(B1090),MONTH(B1090),1))</f>
        <v>45931</v>
      </c>
      <c r="R1090" s="4" t="str">
        <f aca="false">IF($A1090="","",IF(COUNTIF($A$2:$A1090,$A1090)&gt;1,"Sim","Não"))</f>
        <v>Não</v>
      </c>
      <c r="S1090" s="4" t="str">
        <f aca="false">IF(A1090="","Descartar - Linha vazia",IF(R1090="Sim","Descartar - Duplicado",IF(OR(H1090&lt;=0,I1090&lt;=0),"Descartar - Qtd/Valor inválido","OK")))</f>
        <v>OK</v>
      </c>
      <c r="T1090" s="4" t="str">
        <f aca="false">Base_Bruta!P1090</f>
        <v>vendas_RJ.xlsx</v>
      </c>
    </row>
    <row r="1091" customFormat="false" ht="15" hidden="false" customHeight="false" outlineLevel="0" collapsed="false">
      <c r="A1091" s="4" t="str">
        <f aca="false">IF(Base_Bruta!A1091="","",Base_Bruta!A1091)</f>
        <v>RJ-000099</v>
      </c>
      <c r="B1091" s="5" t="n">
        <f aca="false">IF($A1091="","",IF(ISNUMBER(Base_Bruta!B1091),Base_Bruta!B1091,IF(MID(Base_Bruta!B1091,5,1)="-",DATE(VALUE(LEFT(Base_Bruta!B1091,4)),VALUE(MID(Base_Bruta!B1091,6,2)),VALUE(RIGHT(Base_Bruta!B1091,2))),DATE(VALUE(RIGHT(Base_Bruta!B1091,4)),VALUE(MID(Base_Bruta!B1091,4,2)),VALUE(LEFT(Base_Bruta!B1091,2))))))</f>
        <v>45936</v>
      </c>
      <c r="C1091" s="5" t="n">
        <f aca="false">IF($A1091="","",IF(ISNUMBER(Base_Bruta!C1091),Base_Bruta!C1091,IF(MID(Base_Bruta!C1091,5,1)="-",DATE(VALUE(LEFT(Base_Bruta!C1091,4)),VALUE(MID(Base_Bruta!C1091,6,2)),VALUE(RIGHT(Base_Bruta!C1091,2))),DATE(VALUE(RIGHT(Base_Bruta!C1091,4)),VALUE(MID(Base_Bruta!C1091,4,2)),VALUE(LEFT(Base_Bruta!C1091,2))))))</f>
        <v>46046</v>
      </c>
      <c r="D1091" s="4" t="str">
        <f aca="false">IF($A1091="","",TRIM(Base_Bruta!D1091))</f>
        <v>Rio Beat Festival 2026</v>
      </c>
      <c r="E1091" s="4" t="str">
        <f aca="false">IF($A1091="","",_xlfn.XLOOKUP(LOWER(TRIM(Base_Bruta!E1091)),DePara_Categoria!$A$2:$A$9,DePara_Categoria!$B$2:$B$9,"REVISAR"))</f>
        <v>Festival</v>
      </c>
      <c r="F1091" s="4" t="str">
        <f aca="false">IF($A1091="","",_xlfn.XLOOKUP(LOWER(TRIM(Base_Bruta!F1091)),DePara_Cidade!$A$2:$A$29,DePara_Cidade!$B$2:$B$29,"REVISAR"))</f>
        <v>Rio de Janeiro</v>
      </c>
      <c r="G1091" s="4" t="str">
        <f aca="false">IF($A1091="","",TRIM(Base_Bruta!G1091))</f>
        <v>Inteira</v>
      </c>
      <c r="H1091" s="4" t="n">
        <f aca="false">IF($A1091="","",IF(ISNUMBER(Base_Bruta!H1091),Base_Bruta!H1091,IFERROR(_xlfn.NUMBERVALUE(TRIM(SUBSTITUTE(Base_Bruta!H1091,"R$","")),",","."),0)))</f>
        <v>2</v>
      </c>
      <c r="I1091" s="6" t="n">
        <f aca="false">IF($A1091="","",IF(ISNUMBER(Base_Bruta!I1091),Base_Bruta!I1091,IFERROR(_xlfn.NUMBERVALUE(TRIM(SUBSTITUTE(Base_Bruta!I1091,"R$","")),",","."),0)))</f>
        <v>995</v>
      </c>
      <c r="J1091" s="6" t="n">
        <f aca="false">IF($A1091="","",H1091*I1091)</f>
        <v>1990</v>
      </c>
      <c r="K1091" s="4" t="str">
        <f aca="false">IF($A1091="","",TRIM(Base_Bruta!J1091))</f>
        <v>Site</v>
      </c>
      <c r="L1091" s="4" t="str">
        <f aca="false">IF($A1091="","",TRIM(Base_Bruta!K1091))</f>
        <v>C01735</v>
      </c>
      <c r="M1091" s="4" t="str">
        <f aca="false">IF($A1091="","",_xlfn.XLOOKUP(LOWER(TRIM(Base_Bruta!L1091)),DePara_Cidade!$A$2:$A$29,DePara_Cidade!$B$2:$B$29,"REVISAR"))</f>
        <v>Rio de Janeiro</v>
      </c>
      <c r="N1091" s="4" t="str">
        <f aca="false">IF($A1091="","",UPPER(TRIM(Base_Bruta!M1091)))</f>
        <v>RJ</v>
      </c>
      <c r="O1091" s="4" t="str">
        <f aca="false">IF($A1091="","",_xlfn.XLOOKUP(LOWER(TRIM(Base_Bruta!N1091)),DePara_Pais!$A$2:$A$9,DePara_Pais!$B$2:$B$9,"REVISAR"))</f>
        <v>Brasil</v>
      </c>
      <c r="P1091" s="4" t="str">
        <f aca="false">IF($A1091="","",IF(O1091&lt;&gt;"Brasil","Turista Internacional",IF(M1091=F1091,"Local","Turista Nacional")))</f>
        <v>Local</v>
      </c>
      <c r="Q1091" s="7" t="n">
        <f aca="false">IF($A1091="","",DATE(YEAR(B1091),MONTH(B1091),1))</f>
        <v>45931</v>
      </c>
      <c r="R1091" s="4" t="str">
        <f aca="false">IF($A1091="","",IF(COUNTIF($A$2:$A1091,$A1091)&gt;1,"Sim","Não"))</f>
        <v>Não</v>
      </c>
      <c r="S1091" s="4" t="str">
        <f aca="false">IF(A1091="","Descartar - Linha vazia",IF(R1091="Sim","Descartar - Duplicado",IF(OR(H1091&lt;=0,I1091&lt;=0),"Descartar - Qtd/Valor inválido","OK")))</f>
        <v>OK</v>
      </c>
      <c r="T1091" s="4" t="str">
        <f aca="false">Base_Bruta!P1091</f>
        <v>vendas_RJ.xlsx</v>
      </c>
    </row>
    <row r="1092" customFormat="false" ht="15" hidden="false" customHeight="false" outlineLevel="0" collapsed="false">
      <c r="A1092" s="4" t="str">
        <f aca="false">IF(Base_Bruta!A1092="","",Base_Bruta!A1092)</f>
        <v>RJ-000114</v>
      </c>
      <c r="B1092" s="5" t="n">
        <f aca="false">IF($A1092="","",IF(ISNUMBER(Base_Bruta!B1092),Base_Bruta!B1092,IF(MID(Base_Bruta!B1092,5,1)="-",DATE(VALUE(LEFT(Base_Bruta!B1092,4)),VALUE(MID(Base_Bruta!B1092,6,2)),VALUE(RIGHT(Base_Bruta!B1092,2))),DATE(VALUE(RIGHT(Base_Bruta!B1092,4)),VALUE(MID(Base_Bruta!B1092,4,2)),VALUE(LEFT(Base_Bruta!B1092,2))))))</f>
        <v>45936</v>
      </c>
      <c r="C1092" s="5" t="n">
        <f aca="false">IF($A1092="","",IF(ISNUMBER(Base_Bruta!C1092),Base_Bruta!C1092,IF(MID(Base_Bruta!C1092,5,1)="-",DATE(VALUE(LEFT(Base_Bruta!C1092,4)),VALUE(MID(Base_Bruta!C1092,6,2)),VALUE(RIGHT(Base_Bruta!C1092,2))),DATE(VALUE(RIGHT(Base_Bruta!C1092,4)),VALUE(MID(Base_Bruta!C1092,4,2)),VALUE(LEFT(Base_Bruta!C1092,2))))))</f>
        <v>46046</v>
      </c>
      <c r="D1092" s="4" t="str">
        <f aca="false">IF($A1092="","",TRIM(Base_Bruta!D1092))</f>
        <v>Rio Beat Festival 2026</v>
      </c>
      <c r="E1092" s="4" t="str">
        <f aca="false">IF($A1092="","",_xlfn.XLOOKUP(LOWER(TRIM(Base_Bruta!E1092)),DePara_Categoria!$A$2:$A$9,DePara_Categoria!$B$2:$B$9,"REVISAR"))</f>
        <v>Festival</v>
      </c>
      <c r="F1092" s="4" t="str">
        <f aca="false">IF($A1092="","",_xlfn.XLOOKUP(LOWER(TRIM(Base_Bruta!F1092)),DePara_Cidade!$A$2:$A$29,DePara_Cidade!$B$2:$B$29,"REVISAR"))</f>
        <v>Rio de Janeiro</v>
      </c>
      <c r="G1092" s="4" t="str">
        <f aca="false">IF($A1092="","",TRIM(Base_Bruta!G1092))</f>
        <v>Inteira</v>
      </c>
      <c r="H1092" s="4" t="n">
        <f aca="false">IF($A1092="","",IF(ISNUMBER(Base_Bruta!H1092),Base_Bruta!H1092,IFERROR(_xlfn.NUMBERVALUE(TRIM(SUBSTITUTE(Base_Bruta!H1092,"R$","")),",","."),0)))</f>
        <v>1</v>
      </c>
      <c r="I1092" s="6" t="n">
        <f aca="false">IF($A1092="","",IF(ISNUMBER(Base_Bruta!I1092),Base_Bruta!I1092,IFERROR(_xlfn.NUMBERVALUE(TRIM(SUBSTITUTE(Base_Bruta!I1092,"R$","")),",","."),0)))</f>
        <v>1050</v>
      </c>
      <c r="J1092" s="6" t="n">
        <f aca="false">IF($A1092="","",H1092*I1092)</f>
        <v>1050</v>
      </c>
      <c r="K1092" s="4" t="str">
        <f aca="false">IF($A1092="","",TRIM(Base_Bruta!J1092))</f>
        <v>App</v>
      </c>
      <c r="L1092" s="4" t="str">
        <f aca="false">IF($A1092="","",TRIM(Base_Bruta!K1092))</f>
        <v>C01099</v>
      </c>
      <c r="M1092" s="4" t="str">
        <f aca="false">IF($A1092="","",_xlfn.XLOOKUP(LOWER(TRIM(Base_Bruta!L1092)),DePara_Cidade!$A$2:$A$29,DePara_Cidade!$B$2:$B$29,"REVISAR"))</f>
        <v>Rio de Janeiro</v>
      </c>
      <c r="N1092" s="4" t="str">
        <f aca="false">IF($A1092="","",UPPER(TRIM(Base_Bruta!M1092)))</f>
        <v>RJ</v>
      </c>
      <c r="O1092" s="4" t="str">
        <f aca="false">IF($A1092="","",_xlfn.XLOOKUP(LOWER(TRIM(Base_Bruta!N1092)),DePara_Pais!$A$2:$A$9,DePara_Pais!$B$2:$B$9,"REVISAR"))</f>
        <v>Brasil</v>
      </c>
      <c r="P1092" s="4" t="str">
        <f aca="false">IF($A1092="","",IF(O1092&lt;&gt;"Brasil","Turista Internacional",IF(M1092=F1092,"Local","Turista Nacional")))</f>
        <v>Local</v>
      </c>
      <c r="Q1092" s="7" t="n">
        <f aca="false">IF($A1092="","",DATE(YEAR(B1092),MONTH(B1092),1))</f>
        <v>45931</v>
      </c>
      <c r="R1092" s="4" t="str">
        <f aca="false">IF($A1092="","",IF(COUNTIF($A$2:$A1092,$A1092)&gt;1,"Sim","Não"))</f>
        <v>Não</v>
      </c>
      <c r="S1092" s="4" t="str">
        <f aca="false">IF(A1092="","Descartar - Linha vazia",IF(R1092="Sim","Descartar - Duplicado",IF(OR(H1092&lt;=0,I1092&lt;=0),"Descartar - Qtd/Valor inválido","OK")))</f>
        <v>OK</v>
      </c>
      <c r="T1092" s="4" t="str">
        <f aca="false">Base_Bruta!P1092</f>
        <v>vendas_RJ.xlsx</v>
      </c>
    </row>
    <row r="1093" customFormat="false" ht="15" hidden="false" customHeight="false" outlineLevel="0" collapsed="false">
      <c r="A1093" s="4" t="str">
        <f aca="false">IF(Base_Bruta!A1093="","",Base_Bruta!A1093)</f>
        <v>RJ-000119</v>
      </c>
      <c r="B1093" s="5" t="n">
        <f aca="false">IF($A1093="","",IF(ISNUMBER(Base_Bruta!B1093),Base_Bruta!B1093,IF(MID(Base_Bruta!B1093,5,1)="-",DATE(VALUE(LEFT(Base_Bruta!B1093,4)),VALUE(MID(Base_Bruta!B1093,6,2)),VALUE(RIGHT(Base_Bruta!B1093,2))),DATE(VALUE(RIGHT(Base_Bruta!B1093,4)),VALUE(MID(Base_Bruta!B1093,4,2)),VALUE(LEFT(Base_Bruta!B1093,2))))))</f>
        <v>45936</v>
      </c>
      <c r="C1093" s="5" t="n">
        <f aca="false">IF($A1093="","",IF(ISNUMBER(Base_Bruta!C1093),Base_Bruta!C1093,IF(MID(Base_Bruta!C1093,5,1)="-",DATE(VALUE(LEFT(Base_Bruta!C1093,4)),VALUE(MID(Base_Bruta!C1093,6,2)),VALUE(RIGHT(Base_Bruta!C1093,2))),DATE(VALUE(RIGHT(Base_Bruta!C1093,4)),VALUE(MID(Base_Bruta!C1093,4,2)),VALUE(LEFT(Base_Bruta!C1093,2))))))</f>
        <v>46046</v>
      </c>
      <c r="D1093" s="4" t="str">
        <f aca="false">IF($A1093="","",TRIM(Base_Bruta!D1093))</f>
        <v>Rio Beat Festival 2026</v>
      </c>
      <c r="E1093" s="4" t="str">
        <f aca="false">IF($A1093="","",_xlfn.XLOOKUP(LOWER(TRIM(Base_Bruta!E1093)),DePara_Categoria!$A$2:$A$9,DePara_Categoria!$B$2:$B$9,"REVISAR"))</f>
        <v>Festival</v>
      </c>
      <c r="F1093" s="4" t="str">
        <f aca="false">IF($A1093="","",_xlfn.XLOOKUP(LOWER(TRIM(Base_Bruta!F1093)),DePara_Cidade!$A$2:$A$29,DePara_Cidade!$B$2:$B$29,"REVISAR"))</f>
        <v>Rio de Janeiro</v>
      </c>
      <c r="G1093" s="4" t="str">
        <f aca="false">IF($A1093="","",TRIM(Base_Bruta!G1093))</f>
        <v>Inteira</v>
      </c>
      <c r="H1093" s="4" t="n">
        <f aca="false">IF($A1093="","",IF(ISNUMBER(Base_Bruta!H1093),Base_Bruta!H1093,IFERROR(_xlfn.NUMBERVALUE(TRIM(SUBSTITUTE(Base_Bruta!H1093,"R$","")),",","."),0)))</f>
        <v>2</v>
      </c>
      <c r="I1093" s="6" t="n">
        <f aca="false">IF($A1093="","",IF(ISNUMBER(Base_Bruta!I1093),Base_Bruta!I1093,IFERROR(_xlfn.NUMBERVALUE(TRIM(SUBSTITUTE(Base_Bruta!I1093,"R$","")),",","."),0)))</f>
        <v>745</v>
      </c>
      <c r="J1093" s="6" t="n">
        <f aca="false">IF($A1093="","",H1093*I1093)</f>
        <v>1490</v>
      </c>
      <c r="K1093" s="4" t="str">
        <f aca="false">IF($A1093="","",TRIM(Base_Bruta!J1093))</f>
        <v>Site</v>
      </c>
      <c r="L1093" s="4" t="str">
        <f aca="false">IF($A1093="","",TRIM(Base_Bruta!K1093))</f>
        <v>C00033</v>
      </c>
      <c r="M1093" s="4" t="str">
        <f aca="false">IF($A1093="","",_xlfn.XLOOKUP(LOWER(TRIM(Base_Bruta!L1093)),DePara_Cidade!$A$2:$A$29,DePara_Cidade!$B$2:$B$29,"REVISAR"))</f>
        <v>Rio de Janeiro</v>
      </c>
      <c r="N1093" s="4" t="str">
        <f aca="false">IF($A1093="","",UPPER(TRIM(Base_Bruta!M1093)))</f>
        <v>RJ</v>
      </c>
      <c r="O1093" s="4" t="str">
        <f aca="false">IF($A1093="","",_xlfn.XLOOKUP(LOWER(TRIM(Base_Bruta!N1093)),DePara_Pais!$A$2:$A$9,DePara_Pais!$B$2:$B$9,"REVISAR"))</f>
        <v>Brasil</v>
      </c>
      <c r="P1093" s="4" t="str">
        <f aca="false">IF($A1093="","",IF(O1093&lt;&gt;"Brasil","Turista Internacional",IF(M1093=F1093,"Local","Turista Nacional")))</f>
        <v>Local</v>
      </c>
      <c r="Q1093" s="7" t="n">
        <f aca="false">IF($A1093="","",DATE(YEAR(B1093),MONTH(B1093),1))</f>
        <v>45931</v>
      </c>
      <c r="R1093" s="4" t="str">
        <f aca="false">IF($A1093="","",IF(COUNTIF($A$2:$A1093,$A1093)&gt;1,"Sim","Não"))</f>
        <v>Não</v>
      </c>
      <c r="S1093" s="4" t="str">
        <f aca="false">IF(A1093="","Descartar - Linha vazia",IF(R1093="Sim","Descartar - Duplicado",IF(OR(H1093&lt;=0,I1093&lt;=0),"Descartar - Qtd/Valor inválido","OK")))</f>
        <v>OK</v>
      </c>
      <c r="T1093" s="4" t="str">
        <f aca="false">Base_Bruta!P1093</f>
        <v>vendas_RJ.xlsx</v>
      </c>
    </row>
    <row r="1094" customFormat="false" ht="15" hidden="false" customHeight="false" outlineLevel="0" collapsed="false">
      <c r="A1094" s="4" t="str">
        <f aca="false">IF(Base_Bruta!A1094="","",Base_Bruta!A1094)</f>
        <v>RJ-000142</v>
      </c>
      <c r="B1094" s="5" t="n">
        <f aca="false">IF($A1094="","",IF(ISNUMBER(Base_Bruta!B1094),Base_Bruta!B1094,IF(MID(Base_Bruta!B1094,5,1)="-",DATE(VALUE(LEFT(Base_Bruta!B1094,4)),VALUE(MID(Base_Bruta!B1094,6,2)),VALUE(RIGHT(Base_Bruta!B1094,2))),DATE(VALUE(RIGHT(Base_Bruta!B1094,4)),VALUE(MID(Base_Bruta!B1094,4,2)),VALUE(LEFT(Base_Bruta!B1094,2))))))</f>
        <v>45936</v>
      </c>
      <c r="C1094" s="5" t="n">
        <f aca="false">IF($A1094="","",IF(ISNUMBER(Base_Bruta!C1094),Base_Bruta!C1094,IF(MID(Base_Bruta!C1094,5,1)="-",DATE(VALUE(LEFT(Base_Bruta!C1094,4)),VALUE(MID(Base_Bruta!C1094,6,2)),VALUE(RIGHT(Base_Bruta!C1094,2))),DATE(VALUE(RIGHT(Base_Bruta!C1094,4)),VALUE(MID(Base_Bruta!C1094,4,2)),VALUE(LEFT(Base_Bruta!C1094,2))))))</f>
        <v>46046</v>
      </c>
      <c r="D1094" s="4" t="str">
        <f aca="false">IF($A1094="","",TRIM(Base_Bruta!D1094))</f>
        <v>Rio Beat Festival 2026</v>
      </c>
      <c r="E1094" s="4" t="str">
        <f aca="false">IF($A1094="","",_xlfn.XLOOKUP(LOWER(TRIM(Base_Bruta!E1094)),DePara_Categoria!$A$2:$A$9,DePara_Categoria!$B$2:$B$9,"REVISAR"))</f>
        <v>Festival</v>
      </c>
      <c r="F1094" s="4" t="str">
        <f aca="false">IF($A1094="","",_xlfn.XLOOKUP(LOWER(TRIM(Base_Bruta!F1094)),DePara_Cidade!$A$2:$A$29,DePara_Cidade!$B$2:$B$29,"REVISAR"))</f>
        <v>Rio de Janeiro</v>
      </c>
      <c r="G1094" s="4" t="str">
        <f aca="false">IF($A1094="","",TRIM(Base_Bruta!G1094))</f>
        <v>Inteira</v>
      </c>
      <c r="H1094" s="4" t="n">
        <f aca="false">IF($A1094="","",IF(ISNUMBER(Base_Bruta!H1094),Base_Bruta!H1094,IFERROR(_xlfn.NUMBERVALUE(TRIM(SUBSTITUTE(Base_Bruta!H1094,"R$","")),",","."),0)))</f>
        <v>2</v>
      </c>
      <c r="I1094" s="6" t="n">
        <f aca="false">IF($A1094="","",IF(ISNUMBER(Base_Bruta!I1094),Base_Bruta!I1094,IFERROR(_xlfn.NUMBERVALUE(TRIM(SUBSTITUTE(Base_Bruta!I1094,"R$","")),",","."),0)))</f>
        <v>795</v>
      </c>
      <c r="J1094" s="6" t="n">
        <f aca="false">IF($A1094="","",H1094*I1094)</f>
        <v>1590</v>
      </c>
      <c r="K1094" s="4" t="str">
        <f aca="false">IF($A1094="","",TRIM(Base_Bruta!J1094))</f>
        <v>App</v>
      </c>
      <c r="L1094" s="4" t="str">
        <f aca="false">IF($A1094="","",TRIM(Base_Bruta!K1094))</f>
        <v>C02067</v>
      </c>
      <c r="M1094" s="4" t="str">
        <f aca="false">IF($A1094="","",_xlfn.XLOOKUP(LOWER(TRIM(Base_Bruta!L1094)),DePara_Cidade!$A$2:$A$29,DePara_Cidade!$B$2:$B$29,"REVISAR"))</f>
        <v>Rio de Janeiro</v>
      </c>
      <c r="N1094" s="4" t="str">
        <f aca="false">IF($A1094="","",UPPER(TRIM(Base_Bruta!M1094)))</f>
        <v>RJ</v>
      </c>
      <c r="O1094" s="4" t="str">
        <f aca="false">IF($A1094="","",_xlfn.XLOOKUP(LOWER(TRIM(Base_Bruta!N1094)),DePara_Pais!$A$2:$A$9,DePara_Pais!$B$2:$B$9,"REVISAR"))</f>
        <v>Brasil</v>
      </c>
      <c r="P1094" s="4" t="str">
        <f aca="false">IF($A1094="","",IF(O1094&lt;&gt;"Brasil","Turista Internacional",IF(M1094=F1094,"Local","Turista Nacional")))</f>
        <v>Local</v>
      </c>
      <c r="Q1094" s="7" t="n">
        <f aca="false">IF($A1094="","",DATE(YEAR(B1094),MONTH(B1094),1))</f>
        <v>45931</v>
      </c>
      <c r="R1094" s="4" t="str">
        <f aca="false">IF($A1094="","",IF(COUNTIF($A$2:$A1094,$A1094)&gt;1,"Sim","Não"))</f>
        <v>Não</v>
      </c>
      <c r="S1094" s="4" t="str">
        <f aca="false">IF(A1094="","Descartar - Linha vazia",IF(R1094="Sim","Descartar - Duplicado",IF(OR(H1094&lt;=0,I1094&lt;=0),"Descartar - Qtd/Valor inválido","OK")))</f>
        <v>OK</v>
      </c>
      <c r="T1094" s="4" t="str">
        <f aca="false">Base_Bruta!P1094</f>
        <v>vendas_RJ.xlsx</v>
      </c>
    </row>
    <row r="1095" customFormat="false" ht="15" hidden="false" customHeight="false" outlineLevel="0" collapsed="false">
      <c r="A1095" s="4" t="str">
        <f aca="false">IF(Base_Bruta!A1095="","",Base_Bruta!A1095)</f>
        <v>RJ-000156</v>
      </c>
      <c r="B1095" s="5" t="n">
        <f aca="false">IF($A1095="","",IF(ISNUMBER(Base_Bruta!B1095),Base_Bruta!B1095,IF(MID(Base_Bruta!B1095,5,1)="-",DATE(VALUE(LEFT(Base_Bruta!B1095,4)),VALUE(MID(Base_Bruta!B1095,6,2)),VALUE(RIGHT(Base_Bruta!B1095,2))),DATE(VALUE(RIGHT(Base_Bruta!B1095,4)),VALUE(MID(Base_Bruta!B1095,4,2)),VALUE(LEFT(Base_Bruta!B1095,2))))))</f>
        <v>45936</v>
      </c>
      <c r="C1095" s="5" t="n">
        <f aca="false">IF($A1095="","",IF(ISNUMBER(Base_Bruta!C1095),Base_Bruta!C1095,IF(MID(Base_Bruta!C1095,5,1)="-",DATE(VALUE(LEFT(Base_Bruta!C1095,4)),VALUE(MID(Base_Bruta!C1095,6,2)),VALUE(RIGHT(Base_Bruta!C1095,2))),DATE(VALUE(RIGHT(Base_Bruta!C1095,4)),VALUE(MID(Base_Bruta!C1095,4,2)),VALUE(LEFT(Base_Bruta!C1095,2))))))</f>
        <v>46046</v>
      </c>
      <c r="D1095" s="4" t="str">
        <f aca="false">IF($A1095="","",TRIM(Base_Bruta!D1095))</f>
        <v>Rio Beat Festival 2026</v>
      </c>
      <c r="E1095" s="4" t="str">
        <f aca="false">IF($A1095="","",_xlfn.XLOOKUP(LOWER(TRIM(Base_Bruta!E1095)),DePara_Categoria!$A$2:$A$9,DePara_Categoria!$B$2:$B$9,"REVISAR"))</f>
        <v>Festival</v>
      </c>
      <c r="F1095" s="4" t="str">
        <f aca="false">IF($A1095="","",_xlfn.XLOOKUP(LOWER(TRIM(Base_Bruta!F1095)),DePara_Cidade!$A$2:$A$29,DePara_Cidade!$B$2:$B$29,"REVISAR"))</f>
        <v>Rio de Janeiro</v>
      </c>
      <c r="G1095" s="4" t="str">
        <f aca="false">IF($A1095="","",TRIM(Base_Bruta!G1095))</f>
        <v>Inteira</v>
      </c>
      <c r="H1095" s="4" t="n">
        <f aca="false">IF($A1095="","",IF(ISNUMBER(Base_Bruta!H1095),Base_Bruta!H1095,IFERROR(_xlfn.NUMBERVALUE(TRIM(SUBSTITUTE(Base_Bruta!H1095,"R$","")),",","."),0)))</f>
        <v>1</v>
      </c>
      <c r="I1095" s="6" t="n">
        <f aca="false">IF($A1095="","",IF(ISNUMBER(Base_Bruta!I1095),Base_Bruta!I1095,IFERROR(_xlfn.NUMBERVALUE(TRIM(SUBSTITUTE(Base_Bruta!I1095,"R$","")),",","."),0)))</f>
        <v>785</v>
      </c>
      <c r="J1095" s="6" t="n">
        <f aca="false">IF($A1095="","",H1095*I1095)</f>
        <v>785</v>
      </c>
      <c r="K1095" s="4" t="str">
        <f aca="false">IF($A1095="","",TRIM(Base_Bruta!J1095))</f>
        <v>Site</v>
      </c>
      <c r="L1095" s="4" t="str">
        <f aca="false">IF($A1095="","",TRIM(Base_Bruta!K1095))</f>
        <v>C00992</v>
      </c>
      <c r="M1095" s="4" t="str">
        <f aca="false">IF($A1095="","",_xlfn.XLOOKUP(LOWER(TRIM(Base_Bruta!L1095)),DePara_Cidade!$A$2:$A$29,DePara_Cidade!$B$2:$B$29,"REVISAR"))</f>
        <v>Rio de Janeiro</v>
      </c>
      <c r="N1095" s="4" t="str">
        <f aca="false">IF($A1095="","",UPPER(TRIM(Base_Bruta!M1095)))</f>
        <v>RJ</v>
      </c>
      <c r="O1095" s="4" t="str">
        <f aca="false">IF($A1095="","",_xlfn.XLOOKUP(LOWER(TRIM(Base_Bruta!N1095)),DePara_Pais!$A$2:$A$9,DePara_Pais!$B$2:$B$9,"REVISAR"))</f>
        <v>Brasil</v>
      </c>
      <c r="P1095" s="4" t="str">
        <f aca="false">IF($A1095="","",IF(O1095&lt;&gt;"Brasil","Turista Internacional",IF(M1095=F1095,"Local","Turista Nacional")))</f>
        <v>Local</v>
      </c>
      <c r="Q1095" s="7" t="n">
        <f aca="false">IF($A1095="","",DATE(YEAR(B1095),MONTH(B1095),1))</f>
        <v>45931</v>
      </c>
      <c r="R1095" s="4" t="str">
        <f aca="false">IF($A1095="","",IF(COUNTIF($A$2:$A1095,$A1095)&gt;1,"Sim","Não"))</f>
        <v>Não</v>
      </c>
      <c r="S1095" s="4" t="str">
        <f aca="false">IF(A1095="","Descartar - Linha vazia",IF(R1095="Sim","Descartar - Duplicado",IF(OR(H1095&lt;=0,I1095&lt;=0),"Descartar - Qtd/Valor inválido","OK")))</f>
        <v>OK</v>
      </c>
      <c r="T1095" s="4" t="str">
        <f aca="false">Base_Bruta!P1095</f>
        <v>vendas_RJ.xlsx</v>
      </c>
    </row>
    <row r="1096" customFormat="false" ht="15" hidden="false" customHeight="false" outlineLevel="0" collapsed="false">
      <c r="A1096" s="4" t="str">
        <f aca="false">IF(Base_Bruta!A1096="","",Base_Bruta!A1096)</f>
        <v>RJ-000171</v>
      </c>
      <c r="B1096" s="5" t="n">
        <f aca="false">IF($A1096="","",IF(ISNUMBER(Base_Bruta!B1096),Base_Bruta!B1096,IF(MID(Base_Bruta!B1096,5,1)="-",DATE(VALUE(LEFT(Base_Bruta!B1096,4)),VALUE(MID(Base_Bruta!B1096,6,2)),VALUE(RIGHT(Base_Bruta!B1096,2))),DATE(VALUE(RIGHT(Base_Bruta!B1096,4)),VALUE(MID(Base_Bruta!B1096,4,2)),VALUE(LEFT(Base_Bruta!B1096,2))))))</f>
        <v>45936</v>
      </c>
      <c r="C1096" s="5" t="n">
        <f aca="false">IF($A1096="","",IF(ISNUMBER(Base_Bruta!C1096),Base_Bruta!C1096,IF(MID(Base_Bruta!C1096,5,1)="-",DATE(VALUE(LEFT(Base_Bruta!C1096,4)),VALUE(MID(Base_Bruta!C1096,6,2)),VALUE(RIGHT(Base_Bruta!C1096,2))),DATE(VALUE(RIGHT(Base_Bruta!C1096,4)),VALUE(MID(Base_Bruta!C1096,4,2)),VALUE(LEFT(Base_Bruta!C1096,2))))))</f>
        <v>46046</v>
      </c>
      <c r="D1096" s="4" t="str">
        <f aca="false">IF($A1096="","",TRIM(Base_Bruta!D1096))</f>
        <v>Rio Beat Festival 2026</v>
      </c>
      <c r="E1096" s="4" t="str">
        <f aca="false">IF($A1096="","",_xlfn.XLOOKUP(LOWER(TRIM(Base_Bruta!E1096)),DePara_Categoria!$A$2:$A$9,DePara_Categoria!$B$2:$B$9,"REVISAR"))</f>
        <v>Festival</v>
      </c>
      <c r="F1096" s="4" t="str">
        <f aca="false">IF($A1096="","",_xlfn.XLOOKUP(LOWER(TRIM(Base_Bruta!F1096)),DePara_Cidade!$A$2:$A$29,DePara_Cidade!$B$2:$B$29,"REVISAR"))</f>
        <v>Rio de Janeiro</v>
      </c>
      <c r="G1096" s="4" t="str">
        <f aca="false">IF($A1096="","",TRIM(Base_Bruta!G1096))</f>
        <v>Inteira</v>
      </c>
      <c r="H1096" s="4" t="n">
        <f aca="false">IF($A1096="","",IF(ISNUMBER(Base_Bruta!H1096),Base_Bruta!H1096,IFERROR(_xlfn.NUMBERVALUE(TRIM(SUBSTITUTE(Base_Bruta!H1096,"R$","")),",","."),0)))</f>
        <v>1</v>
      </c>
      <c r="I1096" s="6" t="n">
        <f aca="false">IF($A1096="","",IF(ISNUMBER(Base_Bruta!I1096),Base_Bruta!I1096,IFERROR(_xlfn.NUMBERVALUE(TRIM(SUBSTITUTE(Base_Bruta!I1096,"R$","")),",","."),0)))</f>
        <v>745</v>
      </c>
      <c r="J1096" s="6" t="n">
        <f aca="false">IF($A1096="","",H1096*I1096)</f>
        <v>745</v>
      </c>
      <c r="K1096" s="4" t="str">
        <f aca="false">IF($A1096="","",TRIM(Base_Bruta!J1096))</f>
        <v>App</v>
      </c>
      <c r="L1096" s="4" t="str">
        <f aca="false">IF($A1096="","",TRIM(Base_Bruta!K1096))</f>
        <v>C00387</v>
      </c>
      <c r="M1096" s="4" t="str">
        <f aca="false">IF($A1096="","",_xlfn.XLOOKUP(LOWER(TRIM(Base_Bruta!L1096)),DePara_Cidade!$A$2:$A$29,DePara_Cidade!$B$2:$B$29,"REVISAR"))</f>
        <v>São Paulo</v>
      </c>
      <c r="N1096" s="4" t="str">
        <f aca="false">IF($A1096="","",UPPER(TRIM(Base_Bruta!M1096)))</f>
        <v>SP</v>
      </c>
      <c r="O1096" s="4" t="str">
        <f aca="false">IF($A1096="","",_xlfn.XLOOKUP(LOWER(TRIM(Base_Bruta!N1096)),DePara_Pais!$A$2:$A$9,DePara_Pais!$B$2:$B$9,"REVISAR"))</f>
        <v>Brasil</v>
      </c>
      <c r="P1096" s="4" t="str">
        <f aca="false">IF($A1096="","",IF(O1096&lt;&gt;"Brasil","Turista Internacional",IF(M1096=F1096,"Local","Turista Nacional")))</f>
        <v>Turista Nacional</v>
      </c>
      <c r="Q1096" s="7" t="n">
        <f aca="false">IF($A1096="","",DATE(YEAR(B1096),MONTH(B1096),1))</f>
        <v>45931</v>
      </c>
      <c r="R1096" s="4" t="str">
        <f aca="false">IF($A1096="","",IF(COUNTIF($A$2:$A1096,$A1096)&gt;1,"Sim","Não"))</f>
        <v>Não</v>
      </c>
      <c r="S1096" s="4" t="str">
        <f aca="false">IF(A1096="","Descartar - Linha vazia",IF(R1096="Sim","Descartar - Duplicado",IF(OR(H1096&lt;=0,I1096&lt;=0),"Descartar - Qtd/Valor inválido","OK")))</f>
        <v>OK</v>
      </c>
      <c r="T1096" s="4" t="str">
        <f aca="false">Base_Bruta!P1096</f>
        <v>vendas_RJ.xlsx</v>
      </c>
    </row>
    <row r="1097" customFormat="false" ht="15" hidden="false" customHeight="false" outlineLevel="0" collapsed="false">
      <c r="A1097" s="4" t="str">
        <f aca="false">IF(Base_Bruta!A1097="","",Base_Bruta!A1097)</f>
        <v>RJ-000172</v>
      </c>
      <c r="B1097" s="5" t="n">
        <f aca="false">IF($A1097="","",IF(ISNUMBER(Base_Bruta!B1097),Base_Bruta!B1097,IF(MID(Base_Bruta!B1097,5,1)="-",DATE(VALUE(LEFT(Base_Bruta!B1097,4)),VALUE(MID(Base_Bruta!B1097,6,2)),VALUE(RIGHT(Base_Bruta!B1097,2))),DATE(VALUE(RIGHT(Base_Bruta!B1097,4)),VALUE(MID(Base_Bruta!B1097,4,2)),VALUE(LEFT(Base_Bruta!B1097,2))))))</f>
        <v>45936</v>
      </c>
      <c r="C1097" s="5" t="n">
        <f aca="false">IF($A1097="","",IF(ISNUMBER(Base_Bruta!C1097),Base_Bruta!C1097,IF(MID(Base_Bruta!C1097,5,1)="-",DATE(VALUE(LEFT(Base_Bruta!C1097,4)),VALUE(MID(Base_Bruta!C1097,6,2)),VALUE(RIGHT(Base_Bruta!C1097,2))),DATE(VALUE(RIGHT(Base_Bruta!C1097,4)),VALUE(MID(Base_Bruta!C1097,4,2)),VALUE(LEFT(Base_Bruta!C1097,2))))))</f>
        <v>46046</v>
      </c>
      <c r="D1097" s="4" t="str">
        <f aca="false">IF($A1097="","",TRIM(Base_Bruta!D1097))</f>
        <v>Rio Beat Festival 2026</v>
      </c>
      <c r="E1097" s="4" t="str">
        <f aca="false">IF($A1097="","",_xlfn.XLOOKUP(LOWER(TRIM(Base_Bruta!E1097)),DePara_Categoria!$A$2:$A$9,DePara_Categoria!$B$2:$B$9,"REVISAR"))</f>
        <v>Festival</v>
      </c>
      <c r="F1097" s="4" t="str">
        <f aca="false">IF($A1097="","",_xlfn.XLOOKUP(LOWER(TRIM(Base_Bruta!F1097)),DePara_Cidade!$A$2:$A$29,DePara_Cidade!$B$2:$B$29,"REVISAR"))</f>
        <v>Rio de Janeiro</v>
      </c>
      <c r="G1097" s="4" t="str">
        <f aca="false">IF($A1097="","",TRIM(Base_Bruta!G1097))</f>
        <v>VIP</v>
      </c>
      <c r="H1097" s="4" t="n">
        <f aca="false">IF($A1097="","",IF(ISNUMBER(Base_Bruta!H1097),Base_Bruta!H1097,IFERROR(_xlfn.NUMBERVALUE(TRIM(SUBSTITUTE(Base_Bruta!H1097,"R$","")),",","."),0)))</f>
        <v>3</v>
      </c>
      <c r="I1097" s="6" t="n">
        <f aca="false">IF($A1097="","",IF(ISNUMBER(Base_Bruta!I1097),Base_Bruta!I1097,IFERROR(_xlfn.NUMBERVALUE(TRIM(SUBSTITUTE(Base_Bruta!I1097,"R$","")),",","."),0)))</f>
        <v>1580</v>
      </c>
      <c r="J1097" s="6" t="n">
        <f aca="false">IF($A1097="","",H1097*I1097)</f>
        <v>4740</v>
      </c>
      <c r="K1097" s="4" t="str">
        <f aca="false">IF($A1097="","",TRIM(Base_Bruta!J1097))</f>
        <v>Site</v>
      </c>
      <c r="L1097" s="4" t="str">
        <f aca="false">IF($A1097="","",TRIM(Base_Bruta!K1097))</f>
        <v>C01438</v>
      </c>
      <c r="M1097" s="4" t="str">
        <f aca="false">IF($A1097="","",_xlfn.XLOOKUP(LOWER(TRIM(Base_Bruta!L1097)),DePara_Cidade!$A$2:$A$29,DePara_Cidade!$B$2:$B$29,"REVISAR"))</f>
        <v>Rio de Janeiro</v>
      </c>
      <c r="N1097" s="4" t="str">
        <f aca="false">IF($A1097="","",UPPER(TRIM(Base_Bruta!M1097)))</f>
        <v>RJ</v>
      </c>
      <c r="O1097" s="4" t="str">
        <f aca="false">IF($A1097="","",_xlfn.XLOOKUP(LOWER(TRIM(Base_Bruta!N1097)),DePara_Pais!$A$2:$A$9,DePara_Pais!$B$2:$B$9,"REVISAR"))</f>
        <v>Brasil</v>
      </c>
      <c r="P1097" s="4" t="str">
        <f aca="false">IF($A1097="","",IF(O1097&lt;&gt;"Brasil","Turista Internacional",IF(M1097=F1097,"Local","Turista Nacional")))</f>
        <v>Local</v>
      </c>
      <c r="Q1097" s="7" t="n">
        <f aca="false">IF($A1097="","",DATE(YEAR(B1097),MONTH(B1097),1))</f>
        <v>45931</v>
      </c>
      <c r="R1097" s="4" t="str">
        <f aca="false">IF($A1097="","",IF(COUNTIF($A$2:$A1097,$A1097)&gt;1,"Sim","Não"))</f>
        <v>Não</v>
      </c>
      <c r="S1097" s="4" t="str">
        <f aca="false">IF(A1097="","Descartar - Linha vazia",IF(R1097="Sim","Descartar - Duplicado",IF(OR(H1097&lt;=0,I1097&lt;=0),"Descartar - Qtd/Valor inválido","OK")))</f>
        <v>OK</v>
      </c>
      <c r="T1097" s="4" t="str">
        <f aca="false">Base_Bruta!P1097</f>
        <v>vendas_RJ.xlsx</v>
      </c>
    </row>
    <row r="1098" customFormat="false" ht="15" hidden="false" customHeight="false" outlineLevel="0" collapsed="false">
      <c r="A1098" s="4" t="str">
        <f aca="false">IF(Base_Bruta!A1098="","",Base_Bruta!A1098)</f>
        <v>RJ-000198</v>
      </c>
      <c r="B1098" s="5" t="n">
        <f aca="false">IF($A1098="","",IF(ISNUMBER(Base_Bruta!B1098),Base_Bruta!B1098,IF(MID(Base_Bruta!B1098,5,1)="-",DATE(VALUE(LEFT(Base_Bruta!B1098,4)),VALUE(MID(Base_Bruta!B1098,6,2)),VALUE(RIGHT(Base_Bruta!B1098,2))),DATE(VALUE(RIGHT(Base_Bruta!B1098,4)),VALUE(MID(Base_Bruta!B1098,4,2)),VALUE(LEFT(Base_Bruta!B1098,2))))))</f>
        <v>45936</v>
      </c>
      <c r="C1098" s="5" t="n">
        <f aca="false">IF($A1098="","",IF(ISNUMBER(Base_Bruta!C1098),Base_Bruta!C1098,IF(MID(Base_Bruta!C1098,5,1)="-",DATE(VALUE(LEFT(Base_Bruta!C1098,4)),VALUE(MID(Base_Bruta!C1098,6,2)),VALUE(RIGHT(Base_Bruta!C1098,2))),DATE(VALUE(RIGHT(Base_Bruta!C1098,4)),VALUE(MID(Base_Bruta!C1098,4,2)),VALUE(LEFT(Base_Bruta!C1098,2))))))</f>
        <v>46046</v>
      </c>
      <c r="D1098" s="4" t="str">
        <f aca="false">IF($A1098="","",TRIM(Base_Bruta!D1098))</f>
        <v>Rio Beat Festival 2026</v>
      </c>
      <c r="E1098" s="4" t="str">
        <f aca="false">IF($A1098="","",_xlfn.XLOOKUP(LOWER(TRIM(Base_Bruta!E1098)),DePara_Categoria!$A$2:$A$9,DePara_Categoria!$B$2:$B$9,"REVISAR"))</f>
        <v>Festival</v>
      </c>
      <c r="F1098" s="4" t="str">
        <f aca="false">IF($A1098="","",_xlfn.XLOOKUP(LOWER(TRIM(Base_Bruta!F1098)),DePara_Cidade!$A$2:$A$29,DePara_Cidade!$B$2:$B$29,"REVISAR"))</f>
        <v>Rio de Janeiro</v>
      </c>
      <c r="G1098" s="4" t="str">
        <f aca="false">IF($A1098="","",TRIM(Base_Bruta!G1098))</f>
        <v>VIP</v>
      </c>
      <c r="H1098" s="4" t="n">
        <f aca="false">IF($A1098="","",IF(ISNUMBER(Base_Bruta!H1098),Base_Bruta!H1098,IFERROR(_xlfn.NUMBERVALUE(TRIM(SUBSTITUTE(Base_Bruta!H1098,"R$","")),",","."),0)))</f>
        <v>3</v>
      </c>
      <c r="I1098" s="6" t="n">
        <f aca="false">IF($A1098="","",IF(ISNUMBER(Base_Bruta!I1098),Base_Bruta!I1098,IFERROR(_xlfn.NUMBERVALUE(TRIM(SUBSTITUTE(Base_Bruta!I1098,"R$","")),",","."),0)))</f>
        <v>2250</v>
      </c>
      <c r="J1098" s="6" t="n">
        <f aca="false">IF($A1098="","",H1098*I1098)</f>
        <v>6750</v>
      </c>
      <c r="K1098" s="4" t="str">
        <f aca="false">IF($A1098="","",TRIM(Base_Bruta!J1098))</f>
        <v>App</v>
      </c>
      <c r="L1098" s="4" t="str">
        <f aca="false">IF($A1098="","",TRIM(Base_Bruta!K1098))</f>
        <v>C02256</v>
      </c>
      <c r="M1098" s="4" t="str">
        <f aca="false">IF($A1098="","",_xlfn.XLOOKUP(LOWER(TRIM(Base_Bruta!L1098)),DePara_Cidade!$A$2:$A$29,DePara_Cidade!$B$2:$B$29,"REVISAR"))</f>
        <v>Rio de Janeiro</v>
      </c>
      <c r="N1098" s="4" t="str">
        <f aca="false">IF($A1098="","",UPPER(TRIM(Base_Bruta!M1098)))</f>
        <v>RJ</v>
      </c>
      <c r="O1098" s="4" t="str">
        <f aca="false">IF($A1098="","",_xlfn.XLOOKUP(LOWER(TRIM(Base_Bruta!N1098)),DePara_Pais!$A$2:$A$9,DePara_Pais!$B$2:$B$9,"REVISAR"))</f>
        <v>Brasil</v>
      </c>
      <c r="P1098" s="4" t="str">
        <f aca="false">IF($A1098="","",IF(O1098&lt;&gt;"Brasil","Turista Internacional",IF(M1098=F1098,"Local","Turista Nacional")))</f>
        <v>Local</v>
      </c>
      <c r="Q1098" s="7" t="n">
        <f aca="false">IF($A1098="","",DATE(YEAR(B1098),MONTH(B1098),1))</f>
        <v>45931</v>
      </c>
      <c r="R1098" s="4" t="str">
        <f aca="false">IF($A1098="","",IF(COUNTIF($A$2:$A1098,$A1098)&gt;1,"Sim","Não"))</f>
        <v>Não</v>
      </c>
      <c r="S1098" s="4" t="str">
        <f aca="false">IF(A1098="","Descartar - Linha vazia",IF(R1098="Sim","Descartar - Duplicado",IF(OR(H1098&lt;=0,I1098&lt;=0),"Descartar - Qtd/Valor inválido","OK")))</f>
        <v>OK</v>
      </c>
      <c r="T1098" s="4" t="str">
        <f aca="false">Base_Bruta!P1098</f>
        <v>vendas_RJ.xlsx</v>
      </c>
    </row>
    <row r="1099" customFormat="false" ht="15" hidden="false" customHeight="false" outlineLevel="0" collapsed="false">
      <c r="A1099" s="4" t="str">
        <f aca="false">IF(Base_Bruta!A1099="","",Base_Bruta!A1099)</f>
        <v>RJ-000045</v>
      </c>
      <c r="B1099" s="5" t="n">
        <f aca="false">IF($A1099="","",IF(ISNUMBER(Base_Bruta!B1099),Base_Bruta!B1099,IF(MID(Base_Bruta!B1099,5,1)="-",DATE(VALUE(LEFT(Base_Bruta!B1099,4)),VALUE(MID(Base_Bruta!B1099,6,2)),VALUE(RIGHT(Base_Bruta!B1099,2))),DATE(VALUE(RIGHT(Base_Bruta!B1099,4)),VALUE(MID(Base_Bruta!B1099,4,2)),VALUE(LEFT(Base_Bruta!B1099,2))))))</f>
        <v>45937</v>
      </c>
      <c r="C1099" s="5" t="n">
        <f aca="false">IF($A1099="","",IF(ISNUMBER(Base_Bruta!C1099),Base_Bruta!C1099,IF(MID(Base_Bruta!C1099,5,1)="-",DATE(VALUE(LEFT(Base_Bruta!C1099,4)),VALUE(MID(Base_Bruta!C1099,6,2)),VALUE(RIGHT(Base_Bruta!C1099,2))),DATE(VALUE(RIGHT(Base_Bruta!C1099,4)),VALUE(MID(Base_Bruta!C1099,4,2)),VALUE(LEFT(Base_Bruta!C1099,2))))))</f>
        <v>46046</v>
      </c>
      <c r="D1099" s="4" t="str">
        <f aca="false">IF($A1099="","",TRIM(Base_Bruta!D1099))</f>
        <v>Rio Beat Festival 2026</v>
      </c>
      <c r="E1099" s="4" t="str">
        <f aca="false">IF($A1099="","",_xlfn.XLOOKUP(LOWER(TRIM(Base_Bruta!E1099)),DePara_Categoria!$A$2:$A$9,DePara_Categoria!$B$2:$B$9,"REVISAR"))</f>
        <v>Festival</v>
      </c>
      <c r="F1099" s="4" t="str">
        <f aca="false">IF($A1099="","",_xlfn.XLOOKUP(LOWER(TRIM(Base_Bruta!F1099)),DePara_Cidade!$A$2:$A$29,DePara_Cidade!$B$2:$B$29,"REVISAR"))</f>
        <v>Rio de Janeiro</v>
      </c>
      <c r="G1099" s="4" t="str">
        <f aca="false">IF($A1099="","",TRIM(Base_Bruta!G1099))</f>
        <v>Inteira</v>
      </c>
      <c r="H1099" s="4" t="n">
        <f aca="false">IF($A1099="","",IF(ISNUMBER(Base_Bruta!H1099),Base_Bruta!H1099,IFERROR(_xlfn.NUMBERVALUE(TRIM(SUBSTITUTE(Base_Bruta!H1099,"R$","")),",","."),0)))</f>
        <v>2</v>
      </c>
      <c r="I1099" s="6" t="n">
        <f aca="false">IF($A1099="","",IF(ISNUMBER(Base_Bruta!I1099),Base_Bruta!I1099,IFERROR(_xlfn.NUMBERVALUE(TRIM(SUBSTITUTE(Base_Bruta!I1099,"R$","")),",","."),0)))</f>
        <v>1150</v>
      </c>
      <c r="J1099" s="6" t="n">
        <f aca="false">IF($A1099="","",H1099*I1099)</f>
        <v>2300</v>
      </c>
      <c r="K1099" s="4" t="str">
        <f aca="false">IF($A1099="","",TRIM(Base_Bruta!J1099))</f>
        <v>App</v>
      </c>
      <c r="L1099" s="4" t="str">
        <f aca="false">IF($A1099="","",TRIM(Base_Bruta!K1099))</f>
        <v>C01820</v>
      </c>
      <c r="M1099" s="4" t="str">
        <f aca="false">IF($A1099="","",_xlfn.XLOOKUP(LOWER(TRIM(Base_Bruta!L1099)),DePara_Cidade!$A$2:$A$29,DePara_Cidade!$B$2:$B$29,"REVISAR"))</f>
        <v>Recife</v>
      </c>
      <c r="N1099" s="4" t="str">
        <f aca="false">IF($A1099="","",UPPER(TRIM(Base_Bruta!M1099)))</f>
        <v>PE</v>
      </c>
      <c r="O1099" s="4" t="str">
        <f aca="false">IF($A1099="","",_xlfn.XLOOKUP(LOWER(TRIM(Base_Bruta!N1099)),DePara_Pais!$A$2:$A$9,DePara_Pais!$B$2:$B$9,"REVISAR"))</f>
        <v>Brasil</v>
      </c>
      <c r="P1099" s="4" t="str">
        <f aca="false">IF($A1099="","",IF(O1099&lt;&gt;"Brasil","Turista Internacional",IF(M1099=F1099,"Local","Turista Nacional")))</f>
        <v>Turista Nacional</v>
      </c>
      <c r="Q1099" s="7" t="n">
        <f aca="false">IF($A1099="","",DATE(YEAR(B1099),MONTH(B1099),1))</f>
        <v>45931</v>
      </c>
      <c r="R1099" s="4" t="str">
        <f aca="false">IF($A1099="","",IF(COUNTIF($A$2:$A1099,$A1099)&gt;1,"Sim","Não"))</f>
        <v>Não</v>
      </c>
      <c r="S1099" s="4" t="str">
        <f aca="false">IF(A1099="","Descartar - Linha vazia",IF(R1099="Sim","Descartar - Duplicado",IF(OR(H1099&lt;=0,I1099&lt;=0),"Descartar - Qtd/Valor inválido","OK")))</f>
        <v>OK</v>
      </c>
      <c r="T1099" s="4" t="str">
        <f aca="false">Base_Bruta!P1099</f>
        <v>vendas_RJ.xlsx</v>
      </c>
    </row>
    <row r="1100" customFormat="false" ht="15" hidden="false" customHeight="false" outlineLevel="0" collapsed="false">
      <c r="A1100" s="4" t="str">
        <f aca="false">IF(Base_Bruta!A1100="","",Base_Bruta!A1100)</f>
        <v>RJ-000089</v>
      </c>
      <c r="B1100" s="5" t="n">
        <f aca="false">IF($A1100="","",IF(ISNUMBER(Base_Bruta!B1100),Base_Bruta!B1100,IF(MID(Base_Bruta!B1100,5,1)="-",DATE(VALUE(LEFT(Base_Bruta!B1100,4)),VALUE(MID(Base_Bruta!B1100,6,2)),VALUE(RIGHT(Base_Bruta!B1100,2))),DATE(VALUE(RIGHT(Base_Bruta!B1100,4)),VALUE(MID(Base_Bruta!B1100,4,2)),VALUE(LEFT(Base_Bruta!B1100,2))))))</f>
        <v>45937</v>
      </c>
      <c r="C1100" s="5" t="n">
        <f aca="false">IF($A1100="","",IF(ISNUMBER(Base_Bruta!C1100),Base_Bruta!C1100,IF(MID(Base_Bruta!C1100,5,1)="-",DATE(VALUE(LEFT(Base_Bruta!C1100,4)),VALUE(MID(Base_Bruta!C1100,6,2)),VALUE(RIGHT(Base_Bruta!C1100,2))),DATE(VALUE(RIGHT(Base_Bruta!C1100,4)),VALUE(MID(Base_Bruta!C1100,4,2)),VALUE(LEFT(Base_Bruta!C1100,2))))))</f>
        <v>46046</v>
      </c>
      <c r="D1100" s="4" t="str">
        <f aca="false">IF($A1100="","",TRIM(Base_Bruta!D1100))</f>
        <v>Rio Beat Festival 2026</v>
      </c>
      <c r="E1100" s="4" t="str">
        <f aca="false">IF($A1100="","",_xlfn.XLOOKUP(LOWER(TRIM(Base_Bruta!E1100)),DePara_Categoria!$A$2:$A$9,DePara_Categoria!$B$2:$B$9,"REVISAR"))</f>
        <v>Festival</v>
      </c>
      <c r="F1100" s="4" t="str">
        <f aca="false">IF($A1100="","",_xlfn.XLOOKUP(LOWER(TRIM(Base_Bruta!F1100)),DePara_Cidade!$A$2:$A$29,DePara_Cidade!$B$2:$B$29,"REVISAR"))</f>
        <v>Rio de Janeiro</v>
      </c>
      <c r="G1100" s="4" t="str">
        <f aca="false">IF($A1100="","",TRIM(Base_Bruta!G1100))</f>
        <v>Inteira</v>
      </c>
      <c r="H1100" s="4" t="n">
        <f aca="false">IF($A1100="","",IF(ISNUMBER(Base_Bruta!H1100),Base_Bruta!H1100,IFERROR(_xlfn.NUMBERVALUE(TRIM(SUBSTITUTE(Base_Bruta!H1100,"R$","")),",","."),0)))</f>
        <v>1</v>
      </c>
      <c r="I1100" s="6" t="n">
        <f aca="false">IF($A1100="","",IF(ISNUMBER(Base_Bruta!I1100),Base_Bruta!I1100,IFERROR(_xlfn.NUMBERVALUE(TRIM(SUBSTITUTE(Base_Bruta!I1100,"R$","")),",","."),0)))</f>
        <v>1100</v>
      </c>
      <c r="J1100" s="6" t="n">
        <f aca="false">IF($A1100="","",H1100*I1100)</f>
        <v>1100</v>
      </c>
      <c r="K1100" s="4" t="str">
        <f aca="false">IF($A1100="","",TRIM(Base_Bruta!J1100))</f>
        <v>App</v>
      </c>
      <c r="L1100" s="4" t="str">
        <f aca="false">IF($A1100="","",TRIM(Base_Bruta!K1100))</f>
        <v>C00759</v>
      </c>
      <c r="M1100" s="4" t="str">
        <f aca="false">IF($A1100="","",_xlfn.XLOOKUP(LOWER(TRIM(Base_Bruta!L1100)),DePara_Cidade!$A$2:$A$29,DePara_Cidade!$B$2:$B$29,"REVISAR"))</f>
        <v>Rio de Janeiro</v>
      </c>
      <c r="N1100" s="4" t="str">
        <f aca="false">IF($A1100="","",UPPER(TRIM(Base_Bruta!M1100)))</f>
        <v>RJ</v>
      </c>
      <c r="O1100" s="4" t="str">
        <f aca="false">IF($A1100="","",_xlfn.XLOOKUP(LOWER(TRIM(Base_Bruta!N1100)),DePara_Pais!$A$2:$A$9,DePara_Pais!$B$2:$B$9,"REVISAR"))</f>
        <v>Brasil</v>
      </c>
      <c r="P1100" s="4" t="str">
        <f aca="false">IF($A1100="","",IF(O1100&lt;&gt;"Brasil","Turista Internacional",IF(M1100=F1100,"Local","Turista Nacional")))</f>
        <v>Local</v>
      </c>
      <c r="Q1100" s="7" t="n">
        <f aca="false">IF($A1100="","",DATE(YEAR(B1100),MONTH(B1100),1))</f>
        <v>45931</v>
      </c>
      <c r="R1100" s="4" t="str">
        <f aca="false">IF($A1100="","",IF(COUNTIF($A$2:$A1100,$A1100)&gt;1,"Sim","Não"))</f>
        <v>Não</v>
      </c>
      <c r="S1100" s="4" t="str">
        <f aca="false">IF(A1100="","Descartar - Linha vazia",IF(R1100="Sim","Descartar - Duplicado",IF(OR(H1100&lt;=0,I1100&lt;=0),"Descartar - Qtd/Valor inválido","OK")))</f>
        <v>OK</v>
      </c>
      <c r="T1100" s="4" t="str">
        <f aca="false">Base_Bruta!P1100</f>
        <v>vendas_RJ.xlsx</v>
      </c>
    </row>
    <row r="1101" customFormat="false" ht="15" hidden="false" customHeight="false" outlineLevel="0" collapsed="false">
      <c r="A1101" s="4" t="str">
        <f aca="false">IF(Base_Bruta!A1101="","",Base_Bruta!A1101)</f>
        <v>RJ-000216</v>
      </c>
      <c r="B1101" s="5" t="n">
        <f aca="false">IF($A1101="","",IF(ISNUMBER(Base_Bruta!B1101),Base_Bruta!B1101,IF(MID(Base_Bruta!B1101,5,1)="-",DATE(VALUE(LEFT(Base_Bruta!B1101,4)),VALUE(MID(Base_Bruta!B1101,6,2)),VALUE(RIGHT(Base_Bruta!B1101,2))),DATE(VALUE(RIGHT(Base_Bruta!B1101,4)),VALUE(MID(Base_Bruta!B1101,4,2)),VALUE(LEFT(Base_Bruta!B1101,2))))))</f>
        <v>45937</v>
      </c>
      <c r="C1101" s="5" t="n">
        <f aca="false">IF($A1101="","",IF(ISNUMBER(Base_Bruta!C1101),Base_Bruta!C1101,IF(MID(Base_Bruta!C1101,5,1)="-",DATE(VALUE(LEFT(Base_Bruta!C1101,4)),VALUE(MID(Base_Bruta!C1101,6,2)),VALUE(RIGHT(Base_Bruta!C1101,2))),DATE(VALUE(RIGHT(Base_Bruta!C1101,4)),VALUE(MID(Base_Bruta!C1101,4,2)),VALUE(LEFT(Base_Bruta!C1101,2))))))</f>
        <v>46046</v>
      </c>
      <c r="D1101" s="4" t="str">
        <f aca="false">IF($A1101="","",TRIM(Base_Bruta!D1101))</f>
        <v>Rio Beat Festival 2026</v>
      </c>
      <c r="E1101" s="4" t="str">
        <f aca="false">IF($A1101="","",_xlfn.XLOOKUP(LOWER(TRIM(Base_Bruta!E1101)),DePara_Categoria!$A$2:$A$9,DePara_Categoria!$B$2:$B$9,"REVISAR"))</f>
        <v>Festival</v>
      </c>
      <c r="F1101" s="4" t="str">
        <f aca="false">IF($A1101="","",_xlfn.XLOOKUP(LOWER(TRIM(Base_Bruta!F1101)),DePara_Cidade!$A$2:$A$29,DePara_Cidade!$B$2:$B$29,"REVISAR"))</f>
        <v>Rio de Janeiro</v>
      </c>
      <c r="G1101" s="4" t="str">
        <f aca="false">IF($A1101="","",TRIM(Base_Bruta!G1101))</f>
        <v>Inteira</v>
      </c>
      <c r="H1101" s="4" t="n">
        <f aca="false">IF($A1101="","",IF(ISNUMBER(Base_Bruta!H1101),Base_Bruta!H1101,IFERROR(_xlfn.NUMBERVALUE(TRIM(SUBSTITUTE(Base_Bruta!H1101,"R$","")),",","."),0)))</f>
        <v>2</v>
      </c>
      <c r="I1101" s="6" t="n">
        <f aca="false">IF($A1101="","",IF(ISNUMBER(Base_Bruta!I1101),Base_Bruta!I1101,IFERROR(_xlfn.NUMBERVALUE(TRIM(SUBSTITUTE(Base_Bruta!I1101,"R$","")),",","."),0)))</f>
        <v>755</v>
      </c>
      <c r="J1101" s="6" t="n">
        <f aca="false">IF($A1101="","",H1101*I1101)</f>
        <v>1510</v>
      </c>
      <c r="K1101" s="4" t="str">
        <f aca="false">IF($A1101="","",TRIM(Base_Bruta!J1101))</f>
        <v>Site</v>
      </c>
      <c r="L1101" s="4" t="str">
        <f aca="false">IF($A1101="","",TRIM(Base_Bruta!K1101))</f>
        <v>C01225</v>
      </c>
      <c r="M1101" s="4" t="str">
        <f aca="false">IF($A1101="","",_xlfn.XLOOKUP(LOWER(TRIM(Base_Bruta!L1101)),DePara_Cidade!$A$2:$A$29,DePara_Cidade!$B$2:$B$29,"REVISAR"))</f>
        <v>Lisboa</v>
      </c>
      <c r="N1101" s="4" t="str">
        <f aca="false">IF($A1101="","",UPPER(TRIM(Base_Bruta!M1101)))</f>
        <v>EX</v>
      </c>
      <c r="O1101" s="4" t="str">
        <f aca="false">IF($A1101="","",_xlfn.XLOOKUP(LOWER(TRIM(Base_Bruta!N1101)),DePara_Pais!$A$2:$A$9,DePara_Pais!$B$2:$B$9,"REVISAR"))</f>
        <v>Portugal</v>
      </c>
      <c r="P1101" s="4" t="str">
        <f aca="false">IF($A1101="","",IF(O1101&lt;&gt;"Brasil","Turista Internacional",IF(M1101=F1101,"Local","Turista Nacional")))</f>
        <v>Turista Internacional</v>
      </c>
      <c r="Q1101" s="7" t="n">
        <f aca="false">IF($A1101="","",DATE(YEAR(B1101),MONTH(B1101),1))</f>
        <v>45931</v>
      </c>
      <c r="R1101" s="4" t="str">
        <f aca="false">IF($A1101="","",IF(COUNTIF($A$2:$A1101,$A1101)&gt;1,"Sim","Não"))</f>
        <v>Não</v>
      </c>
      <c r="S1101" s="4" t="str">
        <f aca="false">IF(A1101="","Descartar - Linha vazia",IF(R1101="Sim","Descartar - Duplicado",IF(OR(H1101&lt;=0,I1101&lt;=0),"Descartar - Qtd/Valor inválido","OK")))</f>
        <v>OK</v>
      </c>
      <c r="T1101" s="4" t="str">
        <f aca="false">Base_Bruta!P1101</f>
        <v>vendas_RJ.xlsx</v>
      </c>
    </row>
    <row r="1102" customFormat="false" ht="15" hidden="false" customHeight="false" outlineLevel="0" collapsed="false">
      <c r="A1102" s="4" t="str">
        <f aca="false">IF(Base_Bruta!A1102="","",Base_Bruta!A1102)</f>
        <v>RJ-000220</v>
      </c>
      <c r="B1102" s="5" t="n">
        <f aca="false">IF($A1102="","",IF(ISNUMBER(Base_Bruta!B1102),Base_Bruta!B1102,IF(MID(Base_Bruta!B1102,5,1)="-",DATE(VALUE(LEFT(Base_Bruta!B1102,4)),VALUE(MID(Base_Bruta!B1102,6,2)),VALUE(RIGHT(Base_Bruta!B1102,2))),DATE(VALUE(RIGHT(Base_Bruta!B1102,4)),VALUE(MID(Base_Bruta!B1102,4,2)),VALUE(LEFT(Base_Bruta!B1102,2))))))</f>
        <v>45937</v>
      </c>
      <c r="C1102" s="5" t="n">
        <f aca="false">IF($A1102="","",IF(ISNUMBER(Base_Bruta!C1102),Base_Bruta!C1102,IF(MID(Base_Bruta!C1102,5,1)="-",DATE(VALUE(LEFT(Base_Bruta!C1102,4)),VALUE(MID(Base_Bruta!C1102,6,2)),VALUE(RIGHT(Base_Bruta!C1102,2))),DATE(VALUE(RIGHT(Base_Bruta!C1102,4)),VALUE(MID(Base_Bruta!C1102,4,2)),VALUE(LEFT(Base_Bruta!C1102,2))))))</f>
        <v>46046</v>
      </c>
      <c r="D1102" s="4" t="str">
        <f aca="false">IF($A1102="","",TRIM(Base_Bruta!D1102))</f>
        <v>Rio Beat Festival 2026</v>
      </c>
      <c r="E1102" s="4" t="str">
        <f aca="false">IF($A1102="","",_xlfn.XLOOKUP(LOWER(TRIM(Base_Bruta!E1102)),DePara_Categoria!$A$2:$A$9,DePara_Categoria!$B$2:$B$9,"REVISAR"))</f>
        <v>Festival</v>
      </c>
      <c r="F1102" s="4" t="str">
        <f aca="false">IF($A1102="","",_xlfn.XLOOKUP(LOWER(TRIM(Base_Bruta!F1102)),DePara_Cidade!$A$2:$A$29,DePara_Cidade!$B$2:$B$29,"REVISAR"))</f>
        <v>Rio de Janeiro</v>
      </c>
      <c r="G1102" s="4" t="str">
        <f aca="false">IF($A1102="","",TRIM(Base_Bruta!G1102))</f>
        <v>Inteira</v>
      </c>
      <c r="H1102" s="4" t="n">
        <f aca="false">IF($A1102="","",IF(ISNUMBER(Base_Bruta!H1102),Base_Bruta!H1102,IFERROR(_xlfn.NUMBERVALUE(TRIM(SUBSTITUTE(Base_Bruta!H1102,"R$","")),",","."),0)))</f>
        <v>3</v>
      </c>
      <c r="I1102" s="6" t="n">
        <f aca="false">IF($A1102="","",IF(ISNUMBER(Base_Bruta!I1102),Base_Bruta!I1102,IFERROR(_xlfn.NUMBERVALUE(TRIM(SUBSTITUTE(Base_Bruta!I1102,"R$","")),",","."),0)))</f>
        <v>760</v>
      </c>
      <c r="J1102" s="6" t="n">
        <f aca="false">IF($A1102="","",H1102*I1102)</f>
        <v>2280</v>
      </c>
      <c r="K1102" s="4" t="str">
        <f aca="false">IF($A1102="","",TRIM(Base_Bruta!J1102))</f>
        <v>Site</v>
      </c>
      <c r="L1102" s="4" t="str">
        <f aca="false">IF($A1102="","",TRIM(Base_Bruta!K1102))</f>
        <v>C02254</v>
      </c>
      <c r="M1102" s="4" t="str">
        <f aca="false">IF($A1102="","",_xlfn.XLOOKUP(LOWER(TRIM(Base_Bruta!L1102)),DePara_Cidade!$A$2:$A$29,DePara_Cidade!$B$2:$B$29,"REVISAR"))</f>
        <v>Rio de Janeiro</v>
      </c>
      <c r="N1102" s="4" t="str">
        <f aca="false">IF($A1102="","",UPPER(TRIM(Base_Bruta!M1102)))</f>
        <v>RJ</v>
      </c>
      <c r="O1102" s="4" t="str">
        <f aca="false">IF($A1102="","",_xlfn.XLOOKUP(LOWER(TRIM(Base_Bruta!N1102)),DePara_Pais!$A$2:$A$9,DePara_Pais!$B$2:$B$9,"REVISAR"))</f>
        <v>Brasil</v>
      </c>
      <c r="P1102" s="4" t="str">
        <f aca="false">IF($A1102="","",IF(O1102&lt;&gt;"Brasil","Turista Internacional",IF(M1102=F1102,"Local","Turista Nacional")))</f>
        <v>Local</v>
      </c>
      <c r="Q1102" s="7" t="n">
        <f aca="false">IF($A1102="","",DATE(YEAR(B1102),MONTH(B1102),1))</f>
        <v>45931</v>
      </c>
      <c r="R1102" s="4" t="str">
        <f aca="false">IF($A1102="","",IF(COUNTIF($A$2:$A1102,$A1102)&gt;1,"Sim","Não"))</f>
        <v>Não</v>
      </c>
      <c r="S1102" s="4" t="str">
        <f aca="false">IF(A1102="","Descartar - Linha vazia",IF(R1102="Sim","Descartar - Duplicado",IF(OR(H1102&lt;=0,I1102&lt;=0),"Descartar - Qtd/Valor inválido","OK")))</f>
        <v>OK</v>
      </c>
      <c r="T1102" s="4" t="str">
        <f aca="false">Base_Bruta!P1102</f>
        <v>vendas_RJ.xlsx</v>
      </c>
    </row>
    <row r="1103" customFormat="false" ht="15" hidden="false" customHeight="false" outlineLevel="0" collapsed="false">
      <c r="A1103" s="4" t="str">
        <f aca="false">IF(Base_Bruta!A1103="","",Base_Bruta!A1103)</f>
        <v>RJ-000221</v>
      </c>
      <c r="B1103" s="5" t="n">
        <f aca="false">IF($A1103="","",IF(ISNUMBER(Base_Bruta!B1103),Base_Bruta!B1103,IF(MID(Base_Bruta!B1103,5,1)="-",DATE(VALUE(LEFT(Base_Bruta!B1103,4)),VALUE(MID(Base_Bruta!B1103,6,2)),VALUE(RIGHT(Base_Bruta!B1103,2))),DATE(VALUE(RIGHT(Base_Bruta!B1103,4)),VALUE(MID(Base_Bruta!B1103,4,2)),VALUE(LEFT(Base_Bruta!B1103,2))))))</f>
        <v>45937</v>
      </c>
      <c r="C1103" s="5" t="n">
        <f aca="false">IF($A1103="","",IF(ISNUMBER(Base_Bruta!C1103),Base_Bruta!C1103,IF(MID(Base_Bruta!C1103,5,1)="-",DATE(VALUE(LEFT(Base_Bruta!C1103,4)),VALUE(MID(Base_Bruta!C1103,6,2)),VALUE(RIGHT(Base_Bruta!C1103,2))),DATE(VALUE(RIGHT(Base_Bruta!C1103,4)),VALUE(MID(Base_Bruta!C1103,4,2)),VALUE(LEFT(Base_Bruta!C1103,2))))))</f>
        <v>46046</v>
      </c>
      <c r="D1103" s="4" t="str">
        <f aca="false">IF($A1103="","",TRIM(Base_Bruta!D1103))</f>
        <v>Rio Beat Festival 2026</v>
      </c>
      <c r="E1103" s="4" t="str">
        <f aca="false">IF($A1103="","",_xlfn.XLOOKUP(LOWER(TRIM(Base_Bruta!E1103)),DePara_Categoria!$A$2:$A$9,DePara_Categoria!$B$2:$B$9,"REVISAR"))</f>
        <v>Festival</v>
      </c>
      <c r="F1103" s="4" t="str">
        <f aca="false">IF($A1103="","",_xlfn.XLOOKUP(LOWER(TRIM(Base_Bruta!F1103)),DePara_Cidade!$A$2:$A$29,DePara_Cidade!$B$2:$B$29,"REVISAR"))</f>
        <v>Rio de Janeiro</v>
      </c>
      <c r="G1103" s="4" t="str">
        <f aca="false">IF($A1103="","",TRIM(Base_Bruta!G1103))</f>
        <v>Meia</v>
      </c>
      <c r="H1103" s="4" t="n">
        <f aca="false">IF($A1103="","",IF(ISNUMBER(Base_Bruta!H1103),Base_Bruta!H1103,IFERROR(_xlfn.NUMBERVALUE(TRIM(SUBSTITUTE(Base_Bruta!H1103,"R$","")),",","."),0)))</f>
        <v>1</v>
      </c>
      <c r="I1103" s="6" t="n">
        <f aca="false">IF($A1103="","",IF(ISNUMBER(Base_Bruta!I1103),Base_Bruta!I1103,IFERROR(_xlfn.NUMBERVALUE(TRIM(SUBSTITUTE(Base_Bruta!I1103,"R$","")),",","."),0)))</f>
        <v>387.5</v>
      </c>
      <c r="J1103" s="6" t="n">
        <f aca="false">IF($A1103="","",H1103*I1103)</f>
        <v>387.5</v>
      </c>
      <c r="K1103" s="4" t="str">
        <f aca="false">IF($A1103="","",TRIM(Base_Bruta!J1103))</f>
        <v>App</v>
      </c>
      <c r="L1103" s="4" t="str">
        <f aca="false">IF($A1103="","",TRIM(Base_Bruta!K1103))</f>
        <v>C00044</v>
      </c>
      <c r="M1103" s="4" t="str">
        <f aca="false">IF($A1103="","",_xlfn.XLOOKUP(LOWER(TRIM(Base_Bruta!L1103)),DePara_Cidade!$A$2:$A$29,DePara_Cidade!$B$2:$B$29,"REVISAR"))</f>
        <v>Rio de Janeiro</v>
      </c>
      <c r="N1103" s="4" t="str">
        <f aca="false">IF($A1103="","",UPPER(TRIM(Base_Bruta!M1103)))</f>
        <v>RJ</v>
      </c>
      <c r="O1103" s="4" t="str">
        <f aca="false">IF($A1103="","",_xlfn.XLOOKUP(LOWER(TRIM(Base_Bruta!N1103)),DePara_Pais!$A$2:$A$9,DePara_Pais!$B$2:$B$9,"REVISAR"))</f>
        <v>Brasil</v>
      </c>
      <c r="P1103" s="4" t="str">
        <f aca="false">IF($A1103="","",IF(O1103&lt;&gt;"Brasil","Turista Internacional",IF(M1103=F1103,"Local","Turista Nacional")))</f>
        <v>Local</v>
      </c>
      <c r="Q1103" s="7" t="n">
        <f aca="false">IF($A1103="","",DATE(YEAR(B1103),MONTH(B1103),1))</f>
        <v>45931</v>
      </c>
      <c r="R1103" s="4" t="str">
        <f aca="false">IF($A1103="","",IF(COUNTIF($A$2:$A1103,$A1103)&gt;1,"Sim","Não"))</f>
        <v>Não</v>
      </c>
      <c r="S1103" s="4" t="str">
        <f aca="false">IF(A1103="","Descartar - Linha vazia",IF(R1103="Sim","Descartar - Duplicado",IF(OR(H1103&lt;=0,I1103&lt;=0),"Descartar - Qtd/Valor inválido","OK")))</f>
        <v>OK</v>
      </c>
      <c r="T1103" s="4" t="str">
        <f aca="false">Base_Bruta!P1103</f>
        <v>vendas_RJ.xlsx</v>
      </c>
    </row>
    <row r="1104" customFormat="false" ht="15" hidden="false" customHeight="false" outlineLevel="0" collapsed="false">
      <c r="A1104" s="4" t="str">
        <f aca="false">IF(Base_Bruta!A1104="","",Base_Bruta!A1104)</f>
        <v>RJ-000072</v>
      </c>
      <c r="B1104" s="5" t="n">
        <f aca="false">IF($A1104="","",IF(ISNUMBER(Base_Bruta!B1104),Base_Bruta!B1104,IF(MID(Base_Bruta!B1104,5,1)="-",DATE(VALUE(LEFT(Base_Bruta!B1104,4)),VALUE(MID(Base_Bruta!B1104,6,2)),VALUE(RIGHT(Base_Bruta!B1104,2))),DATE(VALUE(RIGHT(Base_Bruta!B1104,4)),VALUE(MID(Base_Bruta!B1104,4,2)),VALUE(LEFT(Base_Bruta!B1104,2))))))</f>
        <v>45938</v>
      </c>
      <c r="C1104" s="5" t="n">
        <f aca="false">IF($A1104="","",IF(ISNUMBER(Base_Bruta!C1104),Base_Bruta!C1104,IF(MID(Base_Bruta!C1104,5,1)="-",DATE(VALUE(LEFT(Base_Bruta!C1104,4)),VALUE(MID(Base_Bruta!C1104,6,2)),VALUE(RIGHT(Base_Bruta!C1104,2))),DATE(VALUE(RIGHT(Base_Bruta!C1104,4)),VALUE(MID(Base_Bruta!C1104,4,2)),VALUE(LEFT(Base_Bruta!C1104,2))))))</f>
        <v>46046</v>
      </c>
      <c r="D1104" s="4" t="str">
        <f aca="false">IF($A1104="","",TRIM(Base_Bruta!D1104))</f>
        <v>Rio Beat Festival 2026</v>
      </c>
      <c r="E1104" s="4" t="str">
        <f aca="false">IF($A1104="","",_xlfn.XLOOKUP(LOWER(TRIM(Base_Bruta!E1104)),DePara_Categoria!$A$2:$A$9,DePara_Categoria!$B$2:$B$9,"REVISAR"))</f>
        <v>Festival</v>
      </c>
      <c r="F1104" s="4" t="str">
        <f aca="false">IF($A1104="","",_xlfn.XLOOKUP(LOWER(TRIM(Base_Bruta!F1104)),DePara_Cidade!$A$2:$A$29,DePara_Cidade!$B$2:$B$29,"REVISAR"))</f>
        <v>Rio de Janeiro</v>
      </c>
      <c r="G1104" s="4" t="str">
        <f aca="false">IF($A1104="","",TRIM(Base_Bruta!G1104))</f>
        <v>VIP</v>
      </c>
      <c r="H1104" s="4" t="n">
        <f aca="false">IF($A1104="","",IF(ISNUMBER(Base_Bruta!H1104),Base_Bruta!H1104,IFERROR(_xlfn.NUMBERVALUE(TRIM(SUBSTITUTE(Base_Bruta!H1104,"R$","")),",","."),0)))</f>
        <v>2</v>
      </c>
      <c r="I1104" s="6" t="n">
        <f aca="false">IF($A1104="","",IF(ISNUMBER(Base_Bruta!I1104),Base_Bruta!I1104,IFERROR(_xlfn.NUMBERVALUE(TRIM(SUBSTITUTE(Base_Bruta!I1104,"R$","")),",","."),0)))</f>
        <v>1300</v>
      </c>
      <c r="J1104" s="6" t="n">
        <f aca="false">IF($A1104="","",H1104*I1104)</f>
        <v>2600</v>
      </c>
      <c r="K1104" s="4" t="str">
        <f aca="false">IF($A1104="","",TRIM(Base_Bruta!J1104))</f>
        <v>Site</v>
      </c>
      <c r="L1104" s="4" t="str">
        <f aca="false">IF($A1104="","",TRIM(Base_Bruta!K1104))</f>
        <v>C00916</v>
      </c>
      <c r="M1104" s="4" t="str">
        <f aca="false">IF($A1104="","",_xlfn.XLOOKUP(LOWER(TRIM(Base_Bruta!L1104)),DePara_Cidade!$A$2:$A$29,DePara_Cidade!$B$2:$B$29,"REVISAR"))</f>
        <v>Rio de Janeiro</v>
      </c>
      <c r="N1104" s="4" t="str">
        <f aca="false">IF($A1104="","",UPPER(TRIM(Base_Bruta!M1104)))</f>
        <v>RJ</v>
      </c>
      <c r="O1104" s="4" t="str">
        <f aca="false">IF($A1104="","",_xlfn.XLOOKUP(LOWER(TRIM(Base_Bruta!N1104)),DePara_Pais!$A$2:$A$9,DePara_Pais!$B$2:$B$9,"REVISAR"))</f>
        <v>Brasil</v>
      </c>
      <c r="P1104" s="4" t="str">
        <f aca="false">IF($A1104="","",IF(O1104&lt;&gt;"Brasil","Turista Internacional",IF(M1104=F1104,"Local","Turista Nacional")))</f>
        <v>Local</v>
      </c>
      <c r="Q1104" s="7" t="n">
        <f aca="false">IF($A1104="","",DATE(YEAR(B1104),MONTH(B1104),1))</f>
        <v>45931</v>
      </c>
      <c r="R1104" s="4" t="str">
        <f aca="false">IF($A1104="","",IF(COUNTIF($A$2:$A1104,$A1104)&gt;1,"Sim","Não"))</f>
        <v>Não</v>
      </c>
      <c r="S1104" s="4" t="str">
        <f aca="false">IF(A1104="","Descartar - Linha vazia",IF(R1104="Sim","Descartar - Duplicado",IF(OR(H1104&lt;=0,I1104&lt;=0),"Descartar - Qtd/Valor inválido","OK")))</f>
        <v>OK</v>
      </c>
      <c r="T1104" s="4" t="str">
        <f aca="false">Base_Bruta!P1104</f>
        <v>vendas_RJ.xlsx</v>
      </c>
    </row>
    <row r="1105" customFormat="false" ht="15" hidden="false" customHeight="false" outlineLevel="0" collapsed="false">
      <c r="A1105" s="4" t="str">
        <f aca="false">IF(Base_Bruta!A1105="","",Base_Bruta!A1105)</f>
        <v>RJ-000097</v>
      </c>
      <c r="B1105" s="5" t="n">
        <f aca="false">IF($A1105="","",IF(ISNUMBER(Base_Bruta!B1105),Base_Bruta!B1105,IF(MID(Base_Bruta!B1105,5,1)="-",DATE(VALUE(LEFT(Base_Bruta!B1105,4)),VALUE(MID(Base_Bruta!B1105,6,2)),VALUE(RIGHT(Base_Bruta!B1105,2))),DATE(VALUE(RIGHT(Base_Bruta!B1105,4)),VALUE(MID(Base_Bruta!B1105,4,2)),VALUE(LEFT(Base_Bruta!B1105,2))))))</f>
        <v>45938</v>
      </c>
      <c r="C1105" s="5" t="n">
        <f aca="false">IF($A1105="","",IF(ISNUMBER(Base_Bruta!C1105),Base_Bruta!C1105,IF(MID(Base_Bruta!C1105,5,1)="-",DATE(VALUE(LEFT(Base_Bruta!C1105,4)),VALUE(MID(Base_Bruta!C1105,6,2)),VALUE(RIGHT(Base_Bruta!C1105,2))),DATE(VALUE(RIGHT(Base_Bruta!C1105,4)),VALUE(MID(Base_Bruta!C1105,4,2)),VALUE(LEFT(Base_Bruta!C1105,2))))))</f>
        <v>46046</v>
      </c>
      <c r="D1105" s="4" t="str">
        <f aca="false">IF($A1105="","",TRIM(Base_Bruta!D1105))</f>
        <v>Rio Beat Festival 2026</v>
      </c>
      <c r="E1105" s="4" t="str">
        <f aca="false">IF($A1105="","",_xlfn.XLOOKUP(LOWER(TRIM(Base_Bruta!E1105)),DePara_Categoria!$A$2:$A$9,DePara_Categoria!$B$2:$B$9,"REVISAR"))</f>
        <v>Festival</v>
      </c>
      <c r="F1105" s="4" t="str">
        <f aca="false">IF($A1105="","",_xlfn.XLOOKUP(LOWER(TRIM(Base_Bruta!F1105)),DePara_Cidade!$A$2:$A$29,DePara_Cidade!$B$2:$B$29,"REVISAR"))</f>
        <v>Rio de Janeiro</v>
      </c>
      <c r="G1105" s="4" t="str">
        <f aca="false">IF($A1105="","",TRIM(Base_Bruta!G1105))</f>
        <v>Inteira</v>
      </c>
      <c r="H1105" s="4" t="n">
        <f aca="false">IF($A1105="","",IF(ISNUMBER(Base_Bruta!H1105),Base_Bruta!H1105,IFERROR(_xlfn.NUMBERVALUE(TRIM(SUBSTITUTE(Base_Bruta!H1105,"R$","")),",","."),0)))</f>
        <v>1</v>
      </c>
      <c r="I1105" s="6" t="n">
        <f aca="false">IF($A1105="","",IF(ISNUMBER(Base_Bruta!I1105),Base_Bruta!I1105,IFERROR(_xlfn.NUMBERVALUE(TRIM(SUBSTITUTE(Base_Bruta!I1105,"R$","")),",","."),0)))</f>
        <v>675</v>
      </c>
      <c r="J1105" s="6" t="n">
        <f aca="false">IF($A1105="","",H1105*I1105)</f>
        <v>675</v>
      </c>
      <c r="K1105" s="4" t="str">
        <f aca="false">IF($A1105="","",TRIM(Base_Bruta!J1105))</f>
        <v>Parceiro</v>
      </c>
      <c r="L1105" s="4" t="str">
        <f aca="false">IF($A1105="","",TRIM(Base_Bruta!K1105))</f>
        <v>C01946</v>
      </c>
      <c r="M1105" s="4" t="str">
        <f aca="false">IF($A1105="","",_xlfn.XLOOKUP(LOWER(TRIM(Base_Bruta!L1105)),DePara_Cidade!$A$2:$A$29,DePara_Cidade!$B$2:$B$29,"REVISAR"))</f>
        <v>Rio de Janeiro</v>
      </c>
      <c r="N1105" s="4" t="str">
        <f aca="false">IF($A1105="","",UPPER(TRIM(Base_Bruta!M1105)))</f>
        <v>RJ</v>
      </c>
      <c r="O1105" s="4" t="str">
        <f aca="false">IF($A1105="","",_xlfn.XLOOKUP(LOWER(TRIM(Base_Bruta!N1105)),DePara_Pais!$A$2:$A$9,DePara_Pais!$B$2:$B$9,"REVISAR"))</f>
        <v>Brasil</v>
      </c>
      <c r="P1105" s="4" t="str">
        <f aca="false">IF($A1105="","",IF(O1105&lt;&gt;"Brasil","Turista Internacional",IF(M1105=F1105,"Local","Turista Nacional")))</f>
        <v>Local</v>
      </c>
      <c r="Q1105" s="7" t="n">
        <f aca="false">IF($A1105="","",DATE(YEAR(B1105),MONTH(B1105),1))</f>
        <v>45931</v>
      </c>
      <c r="R1105" s="4" t="str">
        <f aca="false">IF($A1105="","",IF(COUNTIF($A$2:$A1105,$A1105)&gt;1,"Sim","Não"))</f>
        <v>Não</v>
      </c>
      <c r="S1105" s="4" t="str">
        <f aca="false">IF(A1105="","Descartar - Linha vazia",IF(R1105="Sim","Descartar - Duplicado",IF(OR(H1105&lt;=0,I1105&lt;=0),"Descartar - Qtd/Valor inválido","OK")))</f>
        <v>OK</v>
      </c>
      <c r="T1105" s="4" t="str">
        <f aca="false">Base_Bruta!P1105</f>
        <v>vendas_RJ.xlsx</v>
      </c>
    </row>
    <row r="1106" customFormat="false" ht="15" hidden="false" customHeight="false" outlineLevel="0" collapsed="false">
      <c r="A1106" s="4" t="str">
        <f aca="false">IF(Base_Bruta!A1106="","",Base_Bruta!A1106)</f>
        <v>RJ-000153</v>
      </c>
      <c r="B1106" s="5" t="n">
        <f aca="false">IF($A1106="","",IF(ISNUMBER(Base_Bruta!B1106),Base_Bruta!B1106,IF(MID(Base_Bruta!B1106,5,1)="-",DATE(VALUE(LEFT(Base_Bruta!B1106,4)),VALUE(MID(Base_Bruta!B1106,6,2)),VALUE(RIGHT(Base_Bruta!B1106,2))),DATE(VALUE(RIGHT(Base_Bruta!B1106,4)),VALUE(MID(Base_Bruta!B1106,4,2)),VALUE(LEFT(Base_Bruta!B1106,2))))))</f>
        <v>45938</v>
      </c>
      <c r="C1106" s="5" t="n">
        <f aca="false">IF($A1106="","",IF(ISNUMBER(Base_Bruta!C1106),Base_Bruta!C1106,IF(MID(Base_Bruta!C1106,5,1)="-",DATE(VALUE(LEFT(Base_Bruta!C1106,4)),VALUE(MID(Base_Bruta!C1106,6,2)),VALUE(RIGHT(Base_Bruta!C1106,2))),DATE(VALUE(RIGHT(Base_Bruta!C1106,4)),VALUE(MID(Base_Bruta!C1106,4,2)),VALUE(LEFT(Base_Bruta!C1106,2))))))</f>
        <v>46046</v>
      </c>
      <c r="D1106" s="4" t="str">
        <f aca="false">IF($A1106="","",TRIM(Base_Bruta!D1106))</f>
        <v>Rio Beat Festival 2026</v>
      </c>
      <c r="E1106" s="4" t="str">
        <f aca="false">IF($A1106="","",_xlfn.XLOOKUP(LOWER(TRIM(Base_Bruta!E1106)),DePara_Categoria!$A$2:$A$9,DePara_Categoria!$B$2:$B$9,"REVISAR"))</f>
        <v>Festival</v>
      </c>
      <c r="F1106" s="4" t="str">
        <f aca="false">IF($A1106="","",_xlfn.XLOOKUP(LOWER(TRIM(Base_Bruta!F1106)),DePara_Cidade!$A$2:$A$29,DePara_Cidade!$B$2:$B$29,"REVISAR"))</f>
        <v>Rio de Janeiro</v>
      </c>
      <c r="G1106" s="4" t="str">
        <f aca="false">IF($A1106="","",TRIM(Base_Bruta!G1106))</f>
        <v>Inteira</v>
      </c>
      <c r="H1106" s="4" t="n">
        <f aca="false">IF($A1106="","",IF(ISNUMBER(Base_Bruta!H1106),Base_Bruta!H1106,IFERROR(_xlfn.NUMBERVALUE(TRIM(SUBSTITUTE(Base_Bruta!H1106,"R$","")),",","."),0)))</f>
        <v>2</v>
      </c>
      <c r="I1106" s="6" t="n">
        <f aca="false">IF($A1106="","",IF(ISNUMBER(Base_Bruta!I1106),Base_Bruta!I1106,IFERROR(_xlfn.NUMBERVALUE(TRIM(SUBSTITUTE(Base_Bruta!I1106,"R$","")),",","."),0)))</f>
        <v>915</v>
      </c>
      <c r="J1106" s="6" t="n">
        <f aca="false">IF($A1106="","",H1106*I1106)</f>
        <v>1830</v>
      </c>
      <c r="K1106" s="4" t="str">
        <f aca="false">IF($A1106="","",TRIM(Base_Bruta!J1106))</f>
        <v>App</v>
      </c>
      <c r="L1106" s="4" t="str">
        <f aca="false">IF($A1106="","",TRIM(Base_Bruta!K1106))</f>
        <v>C01201</v>
      </c>
      <c r="M1106" s="4" t="str">
        <f aca="false">IF($A1106="","",_xlfn.XLOOKUP(LOWER(TRIM(Base_Bruta!L1106)),DePara_Cidade!$A$2:$A$29,DePara_Cidade!$B$2:$B$29,"REVISAR"))</f>
        <v>Porto Alegre</v>
      </c>
      <c r="N1106" s="4" t="str">
        <f aca="false">IF($A1106="","",UPPER(TRIM(Base_Bruta!M1106)))</f>
        <v>RS</v>
      </c>
      <c r="O1106" s="4" t="str">
        <f aca="false">IF($A1106="","",_xlfn.XLOOKUP(LOWER(TRIM(Base_Bruta!N1106)),DePara_Pais!$A$2:$A$9,DePara_Pais!$B$2:$B$9,"REVISAR"))</f>
        <v>Brasil</v>
      </c>
      <c r="P1106" s="4" t="str">
        <f aca="false">IF($A1106="","",IF(O1106&lt;&gt;"Brasil","Turista Internacional",IF(M1106=F1106,"Local","Turista Nacional")))</f>
        <v>Turista Nacional</v>
      </c>
      <c r="Q1106" s="7" t="n">
        <f aca="false">IF($A1106="","",DATE(YEAR(B1106),MONTH(B1106),1))</f>
        <v>45931</v>
      </c>
      <c r="R1106" s="4" t="str">
        <f aca="false">IF($A1106="","",IF(COUNTIF($A$2:$A1106,$A1106)&gt;1,"Sim","Não"))</f>
        <v>Não</v>
      </c>
      <c r="S1106" s="4" t="str">
        <f aca="false">IF(A1106="","Descartar - Linha vazia",IF(R1106="Sim","Descartar - Duplicado",IF(OR(H1106&lt;=0,I1106&lt;=0),"Descartar - Qtd/Valor inválido","OK")))</f>
        <v>OK</v>
      </c>
      <c r="T1106" s="4" t="str">
        <f aca="false">Base_Bruta!P1106</f>
        <v>vendas_RJ.xlsx</v>
      </c>
    </row>
    <row r="1107" customFormat="false" ht="15" hidden="false" customHeight="false" outlineLevel="0" collapsed="false">
      <c r="A1107" s="4" t="str">
        <f aca="false">IF(Base_Bruta!A1107="","",Base_Bruta!A1107)</f>
        <v>RJ-000077</v>
      </c>
      <c r="B1107" s="5" t="n">
        <f aca="false">IF($A1107="","",IF(ISNUMBER(Base_Bruta!B1107),Base_Bruta!B1107,IF(MID(Base_Bruta!B1107,5,1)="-",DATE(VALUE(LEFT(Base_Bruta!B1107,4)),VALUE(MID(Base_Bruta!B1107,6,2)),VALUE(RIGHT(Base_Bruta!B1107,2))),DATE(VALUE(RIGHT(Base_Bruta!B1107,4)),VALUE(MID(Base_Bruta!B1107,4,2)),VALUE(LEFT(Base_Bruta!B1107,2))))))</f>
        <v>45939</v>
      </c>
      <c r="C1107" s="5" t="n">
        <f aca="false">IF($A1107="","",IF(ISNUMBER(Base_Bruta!C1107),Base_Bruta!C1107,IF(MID(Base_Bruta!C1107,5,1)="-",DATE(VALUE(LEFT(Base_Bruta!C1107,4)),VALUE(MID(Base_Bruta!C1107,6,2)),VALUE(RIGHT(Base_Bruta!C1107,2))),DATE(VALUE(RIGHT(Base_Bruta!C1107,4)),VALUE(MID(Base_Bruta!C1107,4,2)),VALUE(LEFT(Base_Bruta!C1107,2))))))</f>
        <v>46046</v>
      </c>
      <c r="D1107" s="4" t="str">
        <f aca="false">IF($A1107="","",TRIM(Base_Bruta!D1107))</f>
        <v>Rio Beat Festival 2026</v>
      </c>
      <c r="E1107" s="4" t="str">
        <f aca="false">IF($A1107="","",_xlfn.XLOOKUP(LOWER(TRIM(Base_Bruta!E1107)),DePara_Categoria!$A$2:$A$9,DePara_Categoria!$B$2:$B$9,"REVISAR"))</f>
        <v>Festival</v>
      </c>
      <c r="F1107" s="4" t="str">
        <f aca="false">IF($A1107="","",_xlfn.XLOOKUP(LOWER(TRIM(Base_Bruta!F1107)),DePara_Cidade!$A$2:$A$29,DePara_Cidade!$B$2:$B$29,"REVISAR"))</f>
        <v>Rio de Janeiro</v>
      </c>
      <c r="G1107" s="4" t="str">
        <f aca="false">IF($A1107="","",TRIM(Base_Bruta!G1107))</f>
        <v>Inteira</v>
      </c>
      <c r="H1107" s="4" t="n">
        <f aca="false">IF($A1107="","",IF(ISNUMBER(Base_Bruta!H1107),Base_Bruta!H1107,IFERROR(_xlfn.NUMBERVALUE(TRIM(SUBSTITUTE(Base_Bruta!H1107,"R$","")),",","."),0)))</f>
        <v>3</v>
      </c>
      <c r="I1107" s="6" t="n">
        <f aca="false">IF($A1107="","",IF(ISNUMBER(Base_Bruta!I1107),Base_Bruta!I1107,IFERROR(_xlfn.NUMBERVALUE(TRIM(SUBSTITUTE(Base_Bruta!I1107,"R$","")),",","."),0)))</f>
        <v>1055</v>
      </c>
      <c r="J1107" s="6" t="n">
        <f aca="false">IF($A1107="","",H1107*I1107)</f>
        <v>3165</v>
      </c>
      <c r="K1107" s="4" t="str">
        <f aca="false">IF($A1107="","",TRIM(Base_Bruta!J1107))</f>
        <v>Site</v>
      </c>
      <c r="L1107" s="4" t="str">
        <f aca="false">IF($A1107="","",TRIM(Base_Bruta!K1107))</f>
        <v>C01099</v>
      </c>
      <c r="M1107" s="4" t="str">
        <f aca="false">IF($A1107="","",_xlfn.XLOOKUP(LOWER(TRIM(Base_Bruta!L1107)),DePara_Cidade!$A$2:$A$29,DePara_Cidade!$B$2:$B$29,"REVISAR"))</f>
        <v>Rio de Janeiro</v>
      </c>
      <c r="N1107" s="4" t="str">
        <f aca="false">IF($A1107="","",UPPER(TRIM(Base_Bruta!M1107)))</f>
        <v>RJ</v>
      </c>
      <c r="O1107" s="4" t="str">
        <f aca="false">IF($A1107="","",_xlfn.XLOOKUP(LOWER(TRIM(Base_Bruta!N1107)),DePara_Pais!$A$2:$A$9,DePara_Pais!$B$2:$B$9,"REVISAR"))</f>
        <v>Brasil</v>
      </c>
      <c r="P1107" s="4" t="str">
        <f aca="false">IF($A1107="","",IF(O1107&lt;&gt;"Brasil","Turista Internacional",IF(M1107=F1107,"Local","Turista Nacional")))</f>
        <v>Local</v>
      </c>
      <c r="Q1107" s="7" t="n">
        <f aca="false">IF($A1107="","",DATE(YEAR(B1107),MONTH(B1107),1))</f>
        <v>45931</v>
      </c>
      <c r="R1107" s="4" t="str">
        <f aca="false">IF($A1107="","",IF(COUNTIF($A$2:$A1107,$A1107)&gt;1,"Sim","Não"))</f>
        <v>Não</v>
      </c>
      <c r="S1107" s="4" t="str">
        <f aca="false">IF(A1107="","Descartar - Linha vazia",IF(R1107="Sim","Descartar - Duplicado",IF(OR(H1107&lt;=0,I1107&lt;=0),"Descartar - Qtd/Valor inválido","OK")))</f>
        <v>OK</v>
      </c>
      <c r="T1107" s="4" t="str">
        <f aca="false">Base_Bruta!P1107</f>
        <v>vendas_RJ.xlsx</v>
      </c>
    </row>
    <row r="1108" customFormat="false" ht="15" hidden="false" customHeight="false" outlineLevel="0" collapsed="false">
      <c r="A1108" s="4" t="str">
        <f aca="false">IF(Base_Bruta!A1108="","",Base_Bruta!A1108)</f>
        <v>RJ-000096</v>
      </c>
      <c r="B1108" s="5" t="n">
        <f aca="false">IF($A1108="","",IF(ISNUMBER(Base_Bruta!B1108),Base_Bruta!B1108,IF(MID(Base_Bruta!B1108,5,1)="-",DATE(VALUE(LEFT(Base_Bruta!B1108,4)),VALUE(MID(Base_Bruta!B1108,6,2)),VALUE(RIGHT(Base_Bruta!B1108,2))),DATE(VALUE(RIGHT(Base_Bruta!B1108,4)),VALUE(MID(Base_Bruta!B1108,4,2)),VALUE(LEFT(Base_Bruta!B1108,2))))))</f>
        <v>45939</v>
      </c>
      <c r="C1108" s="5" t="n">
        <f aca="false">IF($A1108="","",IF(ISNUMBER(Base_Bruta!C1108),Base_Bruta!C1108,IF(MID(Base_Bruta!C1108,5,1)="-",DATE(VALUE(LEFT(Base_Bruta!C1108,4)),VALUE(MID(Base_Bruta!C1108,6,2)),VALUE(RIGHT(Base_Bruta!C1108,2))),DATE(VALUE(RIGHT(Base_Bruta!C1108,4)),VALUE(MID(Base_Bruta!C1108,4,2)),VALUE(LEFT(Base_Bruta!C1108,2))))))</f>
        <v>46046</v>
      </c>
      <c r="D1108" s="4" t="str">
        <f aca="false">IF($A1108="","",TRIM(Base_Bruta!D1108))</f>
        <v>Rio Beat Festival 2026</v>
      </c>
      <c r="E1108" s="4" t="str">
        <f aca="false">IF($A1108="","",_xlfn.XLOOKUP(LOWER(TRIM(Base_Bruta!E1108)),DePara_Categoria!$A$2:$A$9,DePara_Categoria!$B$2:$B$9,"REVISAR"))</f>
        <v>Festival</v>
      </c>
      <c r="F1108" s="4" t="str">
        <f aca="false">IF($A1108="","",_xlfn.XLOOKUP(LOWER(TRIM(Base_Bruta!F1108)),DePara_Cidade!$A$2:$A$29,DePara_Cidade!$B$2:$B$29,"REVISAR"))</f>
        <v>Rio de Janeiro</v>
      </c>
      <c r="G1108" s="4" t="str">
        <f aca="false">IF($A1108="","",TRIM(Base_Bruta!G1108))</f>
        <v>VIP</v>
      </c>
      <c r="H1108" s="4" t="n">
        <f aca="false">IF($A1108="","",IF(ISNUMBER(Base_Bruta!H1108),Base_Bruta!H1108,IFERROR(_xlfn.NUMBERVALUE(TRIM(SUBSTITUTE(Base_Bruta!H1108,"R$","")),",","."),0)))</f>
        <v>4</v>
      </c>
      <c r="I1108" s="6" t="n">
        <f aca="false">IF($A1108="","",IF(ISNUMBER(Base_Bruta!I1108),Base_Bruta!I1108,IFERROR(_xlfn.NUMBERVALUE(TRIM(SUBSTITUTE(Base_Bruta!I1108,"R$","")),",","."),0)))</f>
        <v>1520</v>
      </c>
      <c r="J1108" s="6" t="n">
        <f aca="false">IF($A1108="","",H1108*I1108)</f>
        <v>6080</v>
      </c>
      <c r="K1108" s="4" t="str">
        <f aca="false">IF($A1108="","",TRIM(Base_Bruta!J1108))</f>
        <v>App</v>
      </c>
      <c r="L1108" s="4" t="str">
        <f aca="false">IF($A1108="","",TRIM(Base_Bruta!K1108))</f>
        <v>C01460</v>
      </c>
      <c r="M1108" s="4" t="str">
        <f aca="false">IF($A1108="","",_xlfn.XLOOKUP(LOWER(TRIM(Base_Bruta!L1108)),DePara_Cidade!$A$2:$A$29,DePara_Cidade!$B$2:$B$29,"REVISAR"))</f>
        <v>Rio de Janeiro</v>
      </c>
      <c r="N1108" s="4" t="str">
        <f aca="false">IF($A1108="","",UPPER(TRIM(Base_Bruta!M1108)))</f>
        <v>RJ</v>
      </c>
      <c r="O1108" s="4" t="str">
        <f aca="false">IF($A1108="","",_xlfn.XLOOKUP(LOWER(TRIM(Base_Bruta!N1108)),DePara_Pais!$A$2:$A$9,DePara_Pais!$B$2:$B$9,"REVISAR"))</f>
        <v>Brasil</v>
      </c>
      <c r="P1108" s="4" t="str">
        <f aca="false">IF($A1108="","",IF(O1108&lt;&gt;"Brasil","Turista Internacional",IF(M1108=F1108,"Local","Turista Nacional")))</f>
        <v>Local</v>
      </c>
      <c r="Q1108" s="7" t="n">
        <f aca="false">IF($A1108="","",DATE(YEAR(B1108),MONTH(B1108),1))</f>
        <v>45931</v>
      </c>
      <c r="R1108" s="4" t="str">
        <f aca="false">IF($A1108="","",IF(COUNTIF($A$2:$A1108,$A1108)&gt;1,"Sim","Não"))</f>
        <v>Não</v>
      </c>
      <c r="S1108" s="4" t="str">
        <f aca="false">IF(A1108="","Descartar - Linha vazia",IF(R1108="Sim","Descartar - Duplicado",IF(OR(H1108&lt;=0,I1108&lt;=0),"Descartar - Qtd/Valor inválido","OK")))</f>
        <v>OK</v>
      </c>
      <c r="T1108" s="4" t="str">
        <f aca="false">Base_Bruta!P1108</f>
        <v>vendas_RJ.xlsx</v>
      </c>
    </row>
    <row r="1109" customFormat="false" ht="15" hidden="false" customHeight="false" outlineLevel="0" collapsed="false">
      <c r="A1109" s="4" t="str">
        <f aca="false">IF(Base_Bruta!A1109="","",Base_Bruta!A1109)</f>
        <v>RJ-000006</v>
      </c>
      <c r="B1109" s="5" t="n">
        <f aca="false">IF($A1109="","",IF(ISNUMBER(Base_Bruta!B1109),Base_Bruta!B1109,IF(MID(Base_Bruta!B1109,5,1)="-",DATE(VALUE(LEFT(Base_Bruta!B1109,4)),VALUE(MID(Base_Bruta!B1109,6,2)),VALUE(RIGHT(Base_Bruta!B1109,2))),DATE(VALUE(RIGHT(Base_Bruta!B1109,4)),VALUE(MID(Base_Bruta!B1109,4,2)),VALUE(LEFT(Base_Bruta!B1109,2))))))</f>
        <v>45940</v>
      </c>
      <c r="C1109" s="5" t="n">
        <f aca="false">IF($A1109="","",IF(ISNUMBER(Base_Bruta!C1109),Base_Bruta!C1109,IF(MID(Base_Bruta!C1109,5,1)="-",DATE(VALUE(LEFT(Base_Bruta!C1109,4)),VALUE(MID(Base_Bruta!C1109,6,2)),VALUE(RIGHT(Base_Bruta!C1109,2))),DATE(VALUE(RIGHT(Base_Bruta!C1109,4)),VALUE(MID(Base_Bruta!C1109,4,2)),VALUE(LEFT(Base_Bruta!C1109,2))))))</f>
        <v>46046</v>
      </c>
      <c r="D1109" s="4" t="str">
        <f aca="false">IF($A1109="","",TRIM(Base_Bruta!D1109))</f>
        <v>Rio Beat Festival 2026</v>
      </c>
      <c r="E1109" s="4" t="str">
        <f aca="false">IF($A1109="","",_xlfn.XLOOKUP(LOWER(TRIM(Base_Bruta!E1109)),DePara_Categoria!$A$2:$A$9,DePara_Categoria!$B$2:$B$9,"REVISAR"))</f>
        <v>Festival</v>
      </c>
      <c r="F1109" s="4" t="str">
        <f aca="false">IF($A1109="","",_xlfn.XLOOKUP(LOWER(TRIM(Base_Bruta!F1109)),DePara_Cidade!$A$2:$A$29,DePara_Cidade!$B$2:$B$29,"REVISAR"))</f>
        <v>Rio de Janeiro</v>
      </c>
      <c r="G1109" s="4" t="str">
        <f aca="false">IF($A1109="","",TRIM(Base_Bruta!G1109))</f>
        <v>Inteira</v>
      </c>
      <c r="H1109" s="4" t="n">
        <f aca="false">IF($A1109="","",IF(ISNUMBER(Base_Bruta!H1109),Base_Bruta!H1109,IFERROR(_xlfn.NUMBERVALUE(TRIM(SUBSTITUTE(Base_Bruta!H1109,"R$","")),",","."),0)))</f>
        <v>1</v>
      </c>
      <c r="I1109" s="6" t="n">
        <f aca="false">IF($A1109="","",IF(ISNUMBER(Base_Bruta!I1109),Base_Bruta!I1109,IFERROR(_xlfn.NUMBERVALUE(TRIM(SUBSTITUTE(Base_Bruta!I1109,"R$","")),",","."),0)))</f>
        <v>790</v>
      </c>
      <c r="J1109" s="6" t="n">
        <f aca="false">IF($A1109="","",H1109*I1109)</f>
        <v>790</v>
      </c>
      <c r="K1109" s="4" t="str">
        <f aca="false">IF($A1109="","",TRIM(Base_Bruta!J1109))</f>
        <v>Parceiro</v>
      </c>
      <c r="L1109" s="4" t="str">
        <f aca="false">IF($A1109="","",TRIM(Base_Bruta!K1109))</f>
        <v>C01082</v>
      </c>
      <c r="M1109" s="4" t="str">
        <f aca="false">IF($A1109="","",_xlfn.XLOOKUP(LOWER(TRIM(Base_Bruta!L1109)),DePara_Cidade!$A$2:$A$29,DePara_Cidade!$B$2:$B$29,"REVISAR"))</f>
        <v>Rio de Janeiro</v>
      </c>
      <c r="N1109" s="4" t="str">
        <f aca="false">IF($A1109="","",UPPER(TRIM(Base_Bruta!M1109)))</f>
        <v>RJ</v>
      </c>
      <c r="O1109" s="4" t="str">
        <f aca="false">IF($A1109="","",_xlfn.XLOOKUP(LOWER(TRIM(Base_Bruta!N1109)),DePara_Pais!$A$2:$A$9,DePara_Pais!$B$2:$B$9,"REVISAR"))</f>
        <v>Brasil</v>
      </c>
      <c r="P1109" s="4" t="str">
        <f aca="false">IF($A1109="","",IF(O1109&lt;&gt;"Brasil","Turista Internacional",IF(M1109=F1109,"Local","Turista Nacional")))</f>
        <v>Local</v>
      </c>
      <c r="Q1109" s="7" t="n">
        <f aca="false">IF($A1109="","",DATE(YEAR(B1109),MONTH(B1109),1))</f>
        <v>45931</v>
      </c>
      <c r="R1109" s="4" t="str">
        <f aca="false">IF($A1109="","",IF(COUNTIF($A$2:$A1109,$A1109)&gt;1,"Sim","Não"))</f>
        <v>Não</v>
      </c>
      <c r="S1109" s="4" t="str">
        <f aca="false">IF(A1109="","Descartar - Linha vazia",IF(R1109="Sim","Descartar - Duplicado",IF(OR(H1109&lt;=0,I1109&lt;=0),"Descartar - Qtd/Valor inválido","OK")))</f>
        <v>OK</v>
      </c>
      <c r="T1109" s="4" t="str">
        <f aca="false">Base_Bruta!P1109</f>
        <v>vendas_RJ.xlsx</v>
      </c>
    </row>
    <row r="1110" customFormat="false" ht="15" hidden="false" customHeight="false" outlineLevel="0" collapsed="false">
      <c r="A1110" s="4" t="str">
        <f aca="false">IF(Base_Bruta!A1110="","",Base_Bruta!A1110)</f>
        <v>RJ-000020</v>
      </c>
      <c r="B1110" s="5" t="n">
        <f aca="false">IF($A1110="","",IF(ISNUMBER(Base_Bruta!B1110),Base_Bruta!B1110,IF(MID(Base_Bruta!B1110,5,1)="-",DATE(VALUE(LEFT(Base_Bruta!B1110,4)),VALUE(MID(Base_Bruta!B1110,6,2)),VALUE(RIGHT(Base_Bruta!B1110,2))),DATE(VALUE(RIGHT(Base_Bruta!B1110,4)),VALUE(MID(Base_Bruta!B1110,4,2)),VALUE(LEFT(Base_Bruta!B1110,2))))))</f>
        <v>45940</v>
      </c>
      <c r="C1110" s="5" t="n">
        <f aca="false">IF($A1110="","",IF(ISNUMBER(Base_Bruta!C1110),Base_Bruta!C1110,IF(MID(Base_Bruta!C1110,5,1)="-",DATE(VALUE(LEFT(Base_Bruta!C1110,4)),VALUE(MID(Base_Bruta!C1110,6,2)),VALUE(RIGHT(Base_Bruta!C1110,2))),DATE(VALUE(RIGHT(Base_Bruta!C1110,4)),VALUE(MID(Base_Bruta!C1110,4,2)),VALUE(LEFT(Base_Bruta!C1110,2))))))</f>
        <v>46046</v>
      </c>
      <c r="D1110" s="4" t="str">
        <f aca="false">IF($A1110="","",TRIM(Base_Bruta!D1110))</f>
        <v>Rio Beat Festival 2026</v>
      </c>
      <c r="E1110" s="4" t="str">
        <f aca="false">IF($A1110="","",_xlfn.XLOOKUP(LOWER(TRIM(Base_Bruta!E1110)),DePara_Categoria!$A$2:$A$9,DePara_Categoria!$B$2:$B$9,"REVISAR"))</f>
        <v>Festival</v>
      </c>
      <c r="F1110" s="4" t="str">
        <f aca="false">IF($A1110="","",_xlfn.XLOOKUP(LOWER(TRIM(Base_Bruta!F1110)),DePara_Cidade!$A$2:$A$29,DePara_Cidade!$B$2:$B$29,"REVISAR"))</f>
        <v>Rio de Janeiro</v>
      </c>
      <c r="G1110" s="4" t="str">
        <f aca="false">IF($A1110="","",TRIM(Base_Bruta!G1110))</f>
        <v>Inteira</v>
      </c>
      <c r="H1110" s="4" t="n">
        <f aca="false">IF($A1110="","",IF(ISNUMBER(Base_Bruta!H1110),Base_Bruta!H1110,IFERROR(_xlfn.NUMBERVALUE(TRIM(SUBSTITUTE(Base_Bruta!H1110,"R$","")),",","."),0)))</f>
        <v>1</v>
      </c>
      <c r="I1110" s="6" t="n">
        <f aca="false">IF($A1110="","",IF(ISNUMBER(Base_Bruta!I1110),Base_Bruta!I1110,IFERROR(_xlfn.NUMBERVALUE(TRIM(SUBSTITUTE(Base_Bruta!I1110,"R$","")),",","."),0)))</f>
        <v>990</v>
      </c>
      <c r="J1110" s="6" t="n">
        <f aca="false">IF($A1110="","",H1110*I1110)</f>
        <v>990</v>
      </c>
      <c r="K1110" s="4" t="str">
        <f aca="false">IF($A1110="","",TRIM(Base_Bruta!J1110))</f>
        <v>App</v>
      </c>
      <c r="L1110" s="4" t="str">
        <f aca="false">IF($A1110="","",TRIM(Base_Bruta!K1110))</f>
        <v>C00144</v>
      </c>
      <c r="M1110" s="4" t="str">
        <f aca="false">IF($A1110="","",_xlfn.XLOOKUP(LOWER(TRIM(Base_Bruta!L1110)),DePara_Cidade!$A$2:$A$29,DePara_Cidade!$B$2:$B$29,"REVISAR"))</f>
        <v>Rio de Janeiro</v>
      </c>
      <c r="N1110" s="4" t="str">
        <f aca="false">IF($A1110="","",UPPER(TRIM(Base_Bruta!M1110)))</f>
        <v>RJ</v>
      </c>
      <c r="O1110" s="4" t="str">
        <f aca="false">IF($A1110="","",_xlfn.XLOOKUP(LOWER(TRIM(Base_Bruta!N1110)),DePara_Pais!$A$2:$A$9,DePara_Pais!$B$2:$B$9,"REVISAR"))</f>
        <v>Brasil</v>
      </c>
      <c r="P1110" s="4" t="str">
        <f aca="false">IF($A1110="","",IF(O1110&lt;&gt;"Brasil","Turista Internacional",IF(M1110=F1110,"Local","Turista Nacional")))</f>
        <v>Local</v>
      </c>
      <c r="Q1110" s="7" t="n">
        <f aca="false">IF($A1110="","",DATE(YEAR(B1110),MONTH(B1110),1))</f>
        <v>45931</v>
      </c>
      <c r="R1110" s="4" t="str">
        <f aca="false">IF($A1110="","",IF(COUNTIF($A$2:$A1110,$A1110)&gt;1,"Sim","Não"))</f>
        <v>Não</v>
      </c>
      <c r="S1110" s="4" t="str">
        <f aca="false">IF(A1110="","Descartar - Linha vazia",IF(R1110="Sim","Descartar - Duplicado",IF(OR(H1110&lt;=0,I1110&lt;=0),"Descartar - Qtd/Valor inválido","OK")))</f>
        <v>OK</v>
      </c>
      <c r="T1110" s="4" t="str">
        <f aca="false">Base_Bruta!P1110</f>
        <v>vendas_RJ.xlsx</v>
      </c>
    </row>
    <row r="1111" customFormat="false" ht="15" hidden="false" customHeight="false" outlineLevel="0" collapsed="false">
      <c r="A1111" s="4" t="str">
        <f aca="false">IF(Base_Bruta!A1111="","",Base_Bruta!A1111)</f>
        <v>RJ-000025</v>
      </c>
      <c r="B1111" s="5" t="n">
        <f aca="false">IF($A1111="","",IF(ISNUMBER(Base_Bruta!B1111),Base_Bruta!B1111,IF(MID(Base_Bruta!B1111,5,1)="-",DATE(VALUE(LEFT(Base_Bruta!B1111,4)),VALUE(MID(Base_Bruta!B1111,6,2)),VALUE(RIGHT(Base_Bruta!B1111,2))),DATE(VALUE(RIGHT(Base_Bruta!B1111,4)),VALUE(MID(Base_Bruta!B1111,4,2)),VALUE(LEFT(Base_Bruta!B1111,2))))))</f>
        <v>45940</v>
      </c>
      <c r="C1111" s="5" t="n">
        <f aca="false">IF($A1111="","",IF(ISNUMBER(Base_Bruta!C1111),Base_Bruta!C1111,IF(MID(Base_Bruta!C1111,5,1)="-",DATE(VALUE(LEFT(Base_Bruta!C1111,4)),VALUE(MID(Base_Bruta!C1111,6,2)),VALUE(RIGHT(Base_Bruta!C1111,2))),DATE(VALUE(RIGHT(Base_Bruta!C1111,4)),VALUE(MID(Base_Bruta!C1111,4,2)),VALUE(LEFT(Base_Bruta!C1111,2))))))</f>
        <v>46046</v>
      </c>
      <c r="D1111" s="4" t="str">
        <f aca="false">IF($A1111="","",TRIM(Base_Bruta!D1111))</f>
        <v>Rio Beat Festival 2026</v>
      </c>
      <c r="E1111" s="4" t="str">
        <f aca="false">IF($A1111="","",_xlfn.XLOOKUP(LOWER(TRIM(Base_Bruta!E1111)),DePara_Categoria!$A$2:$A$9,DePara_Categoria!$B$2:$B$9,"REVISAR"))</f>
        <v>Festival</v>
      </c>
      <c r="F1111" s="4" t="str">
        <f aca="false">IF($A1111="","",_xlfn.XLOOKUP(LOWER(TRIM(Base_Bruta!F1111)),DePara_Cidade!$A$2:$A$29,DePara_Cidade!$B$2:$B$29,"REVISAR"))</f>
        <v>Rio de Janeiro</v>
      </c>
      <c r="G1111" s="4" t="str">
        <f aca="false">IF($A1111="","",TRIM(Base_Bruta!G1111))</f>
        <v>Meia</v>
      </c>
      <c r="H1111" s="4" t="n">
        <f aca="false">IF($A1111="","",IF(ISNUMBER(Base_Bruta!H1111),Base_Bruta!H1111,IFERROR(_xlfn.NUMBERVALUE(TRIM(SUBSTITUTE(Base_Bruta!H1111,"R$","")),",","."),0)))</f>
        <v>2</v>
      </c>
      <c r="I1111" s="6" t="n">
        <f aca="false">IF($A1111="","",IF(ISNUMBER(Base_Bruta!I1111),Base_Bruta!I1111,IFERROR(_xlfn.NUMBERVALUE(TRIM(SUBSTITUTE(Base_Bruta!I1111,"R$","")),",","."),0)))</f>
        <v>337.5</v>
      </c>
      <c r="J1111" s="6" t="n">
        <f aca="false">IF($A1111="","",H1111*I1111)</f>
        <v>675</v>
      </c>
      <c r="K1111" s="4" t="str">
        <f aca="false">IF($A1111="","",TRIM(Base_Bruta!J1111))</f>
        <v>App</v>
      </c>
      <c r="L1111" s="4" t="str">
        <f aca="false">IF($A1111="","",TRIM(Base_Bruta!K1111))</f>
        <v>C00298</v>
      </c>
      <c r="M1111" s="4" t="str">
        <f aca="false">IF($A1111="","",_xlfn.XLOOKUP(LOWER(TRIM(Base_Bruta!L1111)),DePara_Cidade!$A$2:$A$29,DePara_Cidade!$B$2:$B$29,"REVISAR"))</f>
        <v>Rio de Janeiro</v>
      </c>
      <c r="N1111" s="4" t="str">
        <f aca="false">IF($A1111="","",UPPER(TRIM(Base_Bruta!M1111)))</f>
        <v>RJ</v>
      </c>
      <c r="O1111" s="4" t="str">
        <f aca="false">IF($A1111="","",_xlfn.XLOOKUP(LOWER(TRIM(Base_Bruta!N1111)),DePara_Pais!$A$2:$A$9,DePara_Pais!$B$2:$B$9,"REVISAR"))</f>
        <v>Brasil</v>
      </c>
      <c r="P1111" s="4" t="str">
        <f aca="false">IF($A1111="","",IF(O1111&lt;&gt;"Brasil","Turista Internacional",IF(M1111=F1111,"Local","Turista Nacional")))</f>
        <v>Local</v>
      </c>
      <c r="Q1111" s="7" t="n">
        <f aca="false">IF($A1111="","",DATE(YEAR(B1111),MONTH(B1111),1))</f>
        <v>45931</v>
      </c>
      <c r="R1111" s="4" t="str">
        <f aca="false">IF($A1111="","",IF(COUNTIF($A$2:$A1111,$A1111)&gt;1,"Sim","Não"))</f>
        <v>Não</v>
      </c>
      <c r="S1111" s="4" t="str">
        <f aca="false">IF(A1111="","Descartar - Linha vazia",IF(R1111="Sim","Descartar - Duplicado",IF(OR(H1111&lt;=0,I1111&lt;=0),"Descartar - Qtd/Valor inválido","OK")))</f>
        <v>OK</v>
      </c>
      <c r="T1111" s="4" t="str">
        <f aca="false">Base_Bruta!P1111</f>
        <v>vendas_RJ.xlsx</v>
      </c>
    </row>
    <row r="1112" customFormat="false" ht="15" hidden="false" customHeight="false" outlineLevel="0" collapsed="false">
      <c r="A1112" s="4" t="str">
        <f aca="false">IF(Base_Bruta!A1112="","",Base_Bruta!A1112)</f>
        <v>RJ-000036</v>
      </c>
      <c r="B1112" s="5" t="n">
        <f aca="false">IF($A1112="","",IF(ISNUMBER(Base_Bruta!B1112),Base_Bruta!B1112,IF(MID(Base_Bruta!B1112,5,1)="-",DATE(VALUE(LEFT(Base_Bruta!B1112,4)),VALUE(MID(Base_Bruta!B1112,6,2)),VALUE(RIGHT(Base_Bruta!B1112,2))),DATE(VALUE(RIGHT(Base_Bruta!B1112,4)),VALUE(MID(Base_Bruta!B1112,4,2)),VALUE(LEFT(Base_Bruta!B1112,2))))))</f>
        <v>45940</v>
      </c>
      <c r="C1112" s="5" t="n">
        <f aca="false">IF($A1112="","",IF(ISNUMBER(Base_Bruta!C1112),Base_Bruta!C1112,IF(MID(Base_Bruta!C1112,5,1)="-",DATE(VALUE(LEFT(Base_Bruta!C1112,4)),VALUE(MID(Base_Bruta!C1112,6,2)),VALUE(RIGHT(Base_Bruta!C1112,2))),DATE(VALUE(RIGHT(Base_Bruta!C1112,4)),VALUE(MID(Base_Bruta!C1112,4,2)),VALUE(LEFT(Base_Bruta!C1112,2))))))</f>
        <v>46046</v>
      </c>
      <c r="D1112" s="4" t="str">
        <f aca="false">IF($A1112="","",TRIM(Base_Bruta!D1112))</f>
        <v>Rio Beat Festival 2026</v>
      </c>
      <c r="E1112" s="4" t="str">
        <f aca="false">IF($A1112="","",_xlfn.XLOOKUP(LOWER(TRIM(Base_Bruta!E1112)),DePara_Categoria!$A$2:$A$9,DePara_Categoria!$B$2:$B$9,"REVISAR"))</f>
        <v>Festival</v>
      </c>
      <c r="F1112" s="4" t="str">
        <f aca="false">IF($A1112="","",_xlfn.XLOOKUP(LOWER(TRIM(Base_Bruta!F1112)),DePara_Cidade!$A$2:$A$29,DePara_Cidade!$B$2:$B$29,"REVISAR"))</f>
        <v>Rio de Janeiro</v>
      </c>
      <c r="G1112" s="4" t="str">
        <f aca="false">IF($A1112="","",TRIM(Base_Bruta!G1112))</f>
        <v>Inteira</v>
      </c>
      <c r="H1112" s="4" t="n">
        <f aca="false">IF($A1112="","",IF(ISNUMBER(Base_Bruta!H1112),Base_Bruta!H1112,IFERROR(_xlfn.NUMBERVALUE(TRIM(SUBSTITUTE(Base_Bruta!H1112,"R$","")),",","."),0)))</f>
        <v>0</v>
      </c>
      <c r="I1112" s="6" t="n">
        <f aca="false">IF($A1112="","",IF(ISNUMBER(Base_Bruta!I1112),Base_Bruta!I1112,IFERROR(_xlfn.NUMBERVALUE(TRIM(SUBSTITUTE(Base_Bruta!I1112,"R$","")),",","."),0)))</f>
        <v>715</v>
      </c>
      <c r="J1112" s="6" t="n">
        <f aca="false">IF($A1112="","",H1112*I1112)</f>
        <v>0</v>
      </c>
      <c r="K1112" s="4" t="str">
        <f aca="false">IF($A1112="","",TRIM(Base_Bruta!J1112))</f>
        <v>Site</v>
      </c>
      <c r="L1112" s="4" t="str">
        <f aca="false">IF($A1112="","",TRIM(Base_Bruta!K1112))</f>
        <v>C01388</v>
      </c>
      <c r="M1112" s="4" t="str">
        <f aca="false">IF($A1112="","",_xlfn.XLOOKUP(LOWER(TRIM(Base_Bruta!L1112)),DePara_Cidade!$A$2:$A$29,DePara_Cidade!$B$2:$B$29,"REVISAR"))</f>
        <v>Porto Alegre</v>
      </c>
      <c r="N1112" s="4" t="str">
        <f aca="false">IF($A1112="","",UPPER(TRIM(Base_Bruta!M1112)))</f>
        <v>RS</v>
      </c>
      <c r="O1112" s="4" t="str">
        <f aca="false">IF($A1112="","",_xlfn.XLOOKUP(LOWER(TRIM(Base_Bruta!N1112)),DePara_Pais!$A$2:$A$9,DePara_Pais!$B$2:$B$9,"REVISAR"))</f>
        <v>Brasil</v>
      </c>
      <c r="P1112" s="4" t="str">
        <f aca="false">IF($A1112="","",IF(O1112&lt;&gt;"Brasil","Turista Internacional",IF(M1112=F1112,"Local","Turista Nacional")))</f>
        <v>Turista Nacional</v>
      </c>
      <c r="Q1112" s="7" t="n">
        <f aca="false">IF($A1112="","",DATE(YEAR(B1112),MONTH(B1112),1))</f>
        <v>45931</v>
      </c>
      <c r="R1112" s="4" t="str">
        <f aca="false">IF($A1112="","",IF(COUNTIF($A$2:$A1112,$A1112)&gt;1,"Sim","Não"))</f>
        <v>Não</v>
      </c>
      <c r="S1112" s="4" t="str">
        <f aca="false">IF(A1112="","Descartar - Linha vazia",IF(R1112="Sim","Descartar - Duplicado",IF(OR(H1112&lt;=0,I1112&lt;=0),"Descartar - Qtd/Valor inválido","OK")))</f>
        <v>Descartar - Qtd/Valor inválido</v>
      </c>
      <c r="T1112" s="4" t="str">
        <f aca="false">Base_Bruta!P1112</f>
        <v>vendas_RJ.xlsx</v>
      </c>
    </row>
    <row r="1113" customFormat="false" ht="15" hidden="false" customHeight="false" outlineLevel="0" collapsed="false">
      <c r="A1113" s="4" t="str">
        <f aca="false">IF(Base_Bruta!A1113="","",Base_Bruta!A1113)</f>
        <v>RJ-000177</v>
      </c>
      <c r="B1113" s="5" t="n">
        <f aca="false">IF($A1113="","",IF(ISNUMBER(Base_Bruta!B1113),Base_Bruta!B1113,IF(MID(Base_Bruta!B1113,5,1)="-",DATE(VALUE(LEFT(Base_Bruta!B1113,4)),VALUE(MID(Base_Bruta!B1113,6,2)),VALUE(RIGHT(Base_Bruta!B1113,2))),DATE(VALUE(RIGHT(Base_Bruta!B1113,4)),VALUE(MID(Base_Bruta!B1113,4,2)),VALUE(LEFT(Base_Bruta!B1113,2))))))</f>
        <v>45940</v>
      </c>
      <c r="C1113" s="5" t="n">
        <f aca="false">IF($A1113="","",IF(ISNUMBER(Base_Bruta!C1113),Base_Bruta!C1113,IF(MID(Base_Bruta!C1113,5,1)="-",DATE(VALUE(LEFT(Base_Bruta!C1113,4)),VALUE(MID(Base_Bruta!C1113,6,2)),VALUE(RIGHT(Base_Bruta!C1113,2))),DATE(VALUE(RIGHT(Base_Bruta!C1113,4)),VALUE(MID(Base_Bruta!C1113,4,2)),VALUE(LEFT(Base_Bruta!C1113,2))))))</f>
        <v>46046</v>
      </c>
      <c r="D1113" s="4" t="str">
        <f aca="false">IF($A1113="","",TRIM(Base_Bruta!D1113))</f>
        <v>Rio Beat Festival 2026</v>
      </c>
      <c r="E1113" s="4" t="str">
        <f aca="false">IF($A1113="","",_xlfn.XLOOKUP(LOWER(TRIM(Base_Bruta!E1113)),DePara_Categoria!$A$2:$A$9,DePara_Categoria!$B$2:$B$9,"REVISAR"))</f>
        <v>Festival</v>
      </c>
      <c r="F1113" s="4" t="str">
        <f aca="false">IF($A1113="","",_xlfn.XLOOKUP(LOWER(TRIM(Base_Bruta!F1113)),DePara_Cidade!$A$2:$A$29,DePara_Cidade!$B$2:$B$29,"REVISAR"))</f>
        <v>Rio de Janeiro</v>
      </c>
      <c r="G1113" s="4" t="str">
        <f aca="false">IF($A1113="","",TRIM(Base_Bruta!G1113))</f>
        <v>Inteira</v>
      </c>
      <c r="H1113" s="4" t="n">
        <f aca="false">IF($A1113="","",IF(ISNUMBER(Base_Bruta!H1113),Base_Bruta!H1113,IFERROR(_xlfn.NUMBERVALUE(TRIM(SUBSTITUTE(Base_Bruta!H1113,"R$","")),",","."),0)))</f>
        <v>1</v>
      </c>
      <c r="I1113" s="6" t="n">
        <f aca="false">IF($A1113="","",IF(ISNUMBER(Base_Bruta!I1113),Base_Bruta!I1113,IFERROR(_xlfn.NUMBERVALUE(TRIM(SUBSTITUTE(Base_Bruta!I1113,"R$","")),",","."),0)))</f>
        <v>935</v>
      </c>
      <c r="J1113" s="6" t="n">
        <f aca="false">IF($A1113="","",H1113*I1113)</f>
        <v>935</v>
      </c>
      <c r="K1113" s="4" t="str">
        <f aca="false">IF($A1113="","",TRIM(Base_Bruta!J1113))</f>
        <v>Bilheteria</v>
      </c>
      <c r="L1113" s="4" t="str">
        <f aca="false">IF($A1113="","",TRIM(Base_Bruta!K1113))</f>
        <v>C02216</v>
      </c>
      <c r="M1113" s="4" t="str">
        <f aca="false">IF($A1113="","",_xlfn.XLOOKUP(LOWER(TRIM(Base_Bruta!L1113)),DePara_Cidade!$A$2:$A$29,DePara_Cidade!$B$2:$B$29,"REVISAR"))</f>
        <v>Rio de Janeiro</v>
      </c>
      <c r="N1113" s="4" t="str">
        <f aca="false">IF($A1113="","",UPPER(TRIM(Base_Bruta!M1113)))</f>
        <v>RJ</v>
      </c>
      <c r="O1113" s="4" t="str">
        <f aca="false">IF($A1113="","",_xlfn.XLOOKUP(LOWER(TRIM(Base_Bruta!N1113)),DePara_Pais!$A$2:$A$9,DePara_Pais!$B$2:$B$9,"REVISAR"))</f>
        <v>Brasil</v>
      </c>
      <c r="P1113" s="4" t="str">
        <f aca="false">IF($A1113="","",IF(O1113&lt;&gt;"Brasil","Turista Internacional",IF(M1113=F1113,"Local","Turista Nacional")))</f>
        <v>Local</v>
      </c>
      <c r="Q1113" s="7" t="n">
        <f aca="false">IF($A1113="","",DATE(YEAR(B1113),MONTH(B1113),1))</f>
        <v>45931</v>
      </c>
      <c r="R1113" s="4" t="str">
        <f aca="false">IF($A1113="","",IF(COUNTIF($A$2:$A1113,$A1113)&gt;1,"Sim","Não"))</f>
        <v>Não</v>
      </c>
      <c r="S1113" s="4" t="str">
        <f aca="false">IF(A1113="","Descartar - Linha vazia",IF(R1113="Sim","Descartar - Duplicado",IF(OR(H1113&lt;=0,I1113&lt;=0),"Descartar - Qtd/Valor inválido","OK")))</f>
        <v>OK</v>
      </c>
      <c r="T1113" s="4" t="str">
        <f aca="false">Base_Bruta!P1113</f>
        <v>vendas_RJ.xlsx</v>
      </c>
    </row>
    <row r="1114" customFormat="false" ht="15" hidden="false" customHeight="false" outlineLevel="0" collapsed="false">
      <c r="A1114" s="4" t="str">
        <f aca="false">IF(Base_Bruta!A1114="","",Base_Bruta!A1114)</f>
        <v>RJ-000179</v>
      </c>
      <c r="B1114" s="5" t="n">
        <f aca="false">IF($A1114="","",IF(ISNUMBER(Base_Bruta!B1114),Base_Bruta!B1114,IF(MID(Base_Bruta!B1114,5,1)="-",DATE(VALUE(LEFT(Base_Bruta!B1114,4)),VALUE(MID(Base_Bruta!B1114,6,2)),VALUE(RIGHT(Base_Bruta!B1114,2))),DATE(VALUE(RIGHT(Base_Bruta!B1114,4)),VALUE(MID(Base_Bruta!B1114,4,2)),VALUE(LEFT(Base_Bruta!B1114,2))))))</f>
        <v>45940</v>
      </c>
      <c r="C1114" s="5" t="n">
        <f aca="false">IF($A1114="","",IF(ISNUMBER(Base_Bruta!C1114),Base_Bruta!C1114,IF(MID(Base_Bruta!C1114,5,1)="-",DATE(VALUE(LEFT(Base_Bruta!C1114,4)),VALUE(MID(Base_Bruta!C1114,6,2)),VALUE(RIGHT(Base_Bruta!C1114,2))),DATE(VALUE(RIGHT(Base_Bruta!C1114,4)),VALUE(MID(Base_Bruta!C1114,4,2)),VALUE(LEFT(Base_Bruta!C1114,2))))))</f>
        <v>46046</v>
      </c>
      <c r="D1114" s="4" t="str">
        <f aca="false">IF($A1114="","",TRIM(Base_Bruta!D1114))</f>
        <v>Rio Beat Festival 2026</v>
      </c>
      <c r="E1114" s="4" t="str">
        <f aca="false">IF($A1114="","",_xlfn.XLOOKUP(LOWER(TRIM(Base_Bruta!E1114)),DePara_Categoria!$A$2:$A$9,DePara_Categoria!$B$2:$B$9,"REVISAR"))</f>
        <v>Festival</v>
      </c>
      <c r="F1114" s="4" t="str">
        <f aca="false">IF($A1114="","",_xlfn.XLOOKUP(LOWER(TRIM(Base_Bruta!F1114)),DePara_Cidade!$A$2:$A$29,DePara_Cidade!$B$2:$B$29,"REVISAR"))</f>
        <v>Rio de Janeiro</v>
      </c>
      <c r="G1114" s="4" t="str">
        <f aca="false">IF($A1114="","",TRIM(Base_Bruta!G1114))</f>
        <v>Inteira</v>
      </c>
      <c r="H1114" s="4" t="n">
        <f aca="false">IF($A1114="","",IF(ISNUMBER(Base_Bruta!H1114),Base_Bruta!H1114,IFERROR(_xlfn.NUMBERVALUE(TRIM(SUBSTITUTE(Base_Bruta!H1114,"R$","")),",","."),0)))</f>
        <v>1</v>
      </c>
      <c r="I1114" s="6" t="n">
        <f aca="false">IF($A1114="","",IF(ISNUMBER(Base_Bruta!I1114),Base_Bruta!I1114,IFERROR(_xlfn.NUMBERVALUE(TRIM(SUBSTITUTE(Base_Bruta!I1114,"R$","")),",","."),0)))</f>
        <v>1105</v>
      </c>
      <c r="J1114" s="6" t="n">
        <f aca="false">IF($A1114="","",H1114*I1114)</f>
        <v>1105</v>
      </c>
      <c r="K1114" s="4" t="str">
        <f aca="false">IF($A1114="","",TRIM(Base_Bruta!J1114))</f>
        <v>App</v>
      </c>
      <c r="L1114" s="4" t="str">
        <f aca="false">IF($A1114="","",TRIM(Base_Bruta!K1114))</f>
        <v>C01494</v>
      </c>
      <c r="M1114" s="4" t="str">
        <f aca="false">IF($A1114="","",_xlfn.XLOOKUP(LOWER(TRIM(Base_Bruta!L1114)),DePara_Cidade!$A$2:$A$29,DePara_Cidade!$B$2:$B$29,"REVISAR"))</f>
        <v>Florianópolis</v>
      </c>
      <c r="N1114" s="4" t="str">
        <f aca="false">IF($A1114="","",UPPER(TRIM(Base_Bruta!M1114)))</f>
        <v>SC</v>
      </c>
      <c r="O1114" s="4" t="str">
        <f aca="false">IF($A1114="","",_xlfn.XLOOKUP(LOWER(TRIM(Base_Bruta!N1114)),DePara_Pais!$A$2:$A$9,DePara_Pais!$B$2:$B$9,"REVISAR"))</f>
        <v>Brasil</v>
      </c>
      <c r="P1114" s="4" t="str">
        <f aca="false">IF($A1114="","",IF(O1114&lt;&gt;"Brasil","Turista Internacional",IF(M1114=F1114,"Local","Turista Nacional")))</f>
        <v>Turista Nacional</v>
      </c>
      <c r="Q1114" s="7" t="n">
        <f aca="false">IF($A1114="","",DATE(YEAR(B1114),MONTH(B1114),1))</f>
        <v>45931</v>
      </c>
      <c r="R1114" s="4" t="str">
        <f aca="false">IF($A1114="","",IF(COUNTIF($A$2:$A1114,$A1114)&gt;1,"Sim","Não"))</f>
        <v>Não</v>
      </c>
      <c r="S1114" s="4" t="str">
        <f aca="false">IF(A1114="","Descartar - Linha vazia",IF(R1114="Sim","Descartar - Duplicado",IF(OR(H1114&lt;=0,I1114&lt;=0),"Descartar - Qtd/Valor inválido","OK")))</f>
        <v>OK</v>
      </c>
      <c r="T1114" s="4" t="str">
        <f aca="false">Base_Bruta!P1114</f>
        <v>vendas_RJ.xlsx</v>
      </c>
    </row>
    <row r="1115" customFormat="false" ht="15" hidden="false" customHeight="false" outlineLevel="0" collapsed="false">
      <c r="A1115" s="4" t="str">
        <f aca="false">IF(Base_Bruta!A1115="","",Base_Bruta!A1115)</f>
        <v>RJ-000212</v>
      </c>
      <c r="B1115" s="5" t="n">
        <f aca="false">IF($A1115="","",IF(ISNUMBER(Base_Bruta!B1115),Base_Bruta!B1115,IF(MID(Base_Bruta!B1115,5,1)="-",DATE(VALUE(LEFT(Base_Bruta!B1115,4)),VALUE(MID(Base_Bruta!B1115,6,2)),VALUE(RIGHT(Base_Bruta!B1115,2))),DATE(VALUE(RIGHT(Base_Bruta!B1115,4)),VALUE(MID(Base_Bruta!B1115,4,2)),VALUE(LEFT(Base_Bruta!B1115,2))))))</f>
        <v>45940</v>
      </c>
      <c r="C1115" s="5" t="n">
        <f aca="false">IF($A1115="","",IF(ISNUMBER(Base_Bruta!C1115),Base_Bruta!C1115,IF(MID(Base_Bruta!C1115,5,1)="-",DATE(VALUE(LEFT(Base_Bruta!C1115,4)),VALUE(MID(Base_Bruta!C1115,6,2)),VALUE(RIGHT(Base_Bruta!C1115,2))),DATE(VALUE(RIGHT(Base_Bruta!C1115,4)),VALUE(MID(Base_Bruta!C1115,4,2)),VALUE(LEFT(Base_Bruta!C1115,2))))))</f>
        <v>46046</v>
      </c>
      <c r="D1115" s="4" t="str">
        <f aca="false">IF($A1115="","",TRIM(Base_Bruta!D1115))</f>
        <v>Rio Beat Festival 2026</v>
      </c>
      <c r="E1115" s="4" t="str">
        <f aca="false">IF($A1115="","",_xlfn.XLOOKUP(LOWER(TRIM(Base_Bruta!E1115)),DePara_Categoria!$A$2:$A$9,DePara_Categoria!$B$2:$B$9,"REVISAR"))</f>
        <v>Festival</v>
      </c>
      <c r="F1115" s="4" t="str">
        <f aca="false">IF($A1115="","",_xlfn.XLOOKUP(LOWER(TRIM(Base_Bruta!F1115)),DePara_Cidade!$A$2:$A$29,DePara_Cidade!$B$2:$B$29,"REVISAR"))</f>
        <v>Rio de Janeiro</v>
      </c>
      <c r="G1115" s="4" t="str">
        <f aca="false">IF($A1115="","",TRIM(Base_Bruta!G1115))</f>
        <v>Meia</v>
      </c>
      <c r="H1115" s="4" t="n">
        <f aca="false">IF($A1115="","",IF(ISNUMBER(Base_Bruta!H1115),Base_Bruta!H1115,IFERROR(_xlfn.NUMBERVALUE(TRIM(SUBSTITUTE(Base_Bruta!H1115,"R$","")),",","."),0)))</f>
        <v>4</v>
      </c>
      <c r="I1115" s="6" t="n">
        <f aca="false">IF($A1115="","",IF(ISNUMBER(Base_Bruta!I1115),Base_Bruta!I1115,IFERROR(_xlfn.NUMBERVALUE(TRIM(SUBSTITUTE(Base_Bruta!I1115,"R$","")),",","."),0)))</f>
        <v>0</v>
      </c>
      <c r="J1115" s="6" t="n">
        <f aca="false">IF($A1115="","",H1115*I1115)</f>
        <v>0</v>
      </c>
      <c r="K1115" s="4" t="str">
        <f aca="false">IF($A1115="","",TRIM(Base_Bruta!J1115))</f>
        <v>App</v>
      </c>
      <c r="L1115" s="4" t="str">
        <f aca="false">IF($A1115="","",TRIM(Base_Bruta!K1115))</f>
        <v>C00546</v>
      </c>
      <c r="M1115" s="4" t="str">
        <f aca="false">IF($A1115="","",_xlfn.XLOOKUP(LOWER(TRIM(Base_Bruta!L1115)),DePara_Cidade!$A$2:$A$29,DePara_Cidade!$B$2:$B$29,"REVISAR"))</f>
        <v>Rio de Janeiro</v>
      </c>
      <c r="N1115" s="4" t="str">
        <f aca="false">IF($A1115="","",UPPER(TRIM(Base_Bruta!M1115)))</f>
        <v>RJ</v>
      </c>
      <c r="O1115" s="4" t="str">
        <f aca="false">IF($A1115="","",_xlfn.XLOOKUP(LOWER(TRIM(Base_Bruta!N1115)),DePara_Pais!$A$2:$A$9,DePara_Pais!$B$2:$B$9,"REVISAR"))</f>
        <v>Brasil</v>
      </c>
      <c r="P1115" s="4" t="str">
        <f aca="false">IF($A1115="","",IF(O1115&lt;&gt;"Brasil","Turista Internacional",IF(M1115=F1115,"Local","Turista Nacional")))</f>
        <v>Local</v>
      </c>
      <c r="Q1115" s="7" t="n">
        <f aca="false">IF($A1115="","",DATE(YEAR(B1115),MONTH(B1115),1))</f>
        <v>45931</v>
      </c>
      <c r="R1115" s="4" t="str">
        <f aca="false">IF($A1115="","",IF(COUNTIF($A$2:$A1115,$A1115)&gt;1,"Sim","Não"))</f>
        <v>Não</v>
      </c>
      <c r="S1115" s="4" t="str">
        <f aca="false">IF(A1115="","Descartar - Linha vazia",IF(R1115="Sim","Descartar - Duplicado",IF(OR(H1115&lt;=0,I1115&lt;=0),"Descartar - Qtd/Valor inválido","OK")))</f>
        <v>Descartar - Qtd/Valor inválido</v>
      </c>
      <c r="T1115" s="4" t="str">
        <f aca="false">Base_Bruta!P1115</f>
        <v>vendas_RJ.xlsx</v>
      </c>
    </row>
    <row r="1116" customFormat="false" ht="15" hidden="false" customHeight="false" outlineLevel="0" collapsed="false">
      <c r="A1116" s="4" t="str">
        <f aca="false">IF(Base_Bruta!A1116="","",Base_Bruta!A1116)</f>
        <v>RJ-000624</v>
      </c>
      <c r="B1116" s="5" t="n">
        <f aca="false">IF($A1116="","",IF(ISNUMBER(Base_Bruta!B1116),Base_Bruta!B1116,IF(MID(Base_Bruta!B1116,5,1)="-",DATE(VALUE(LEFT(Base_Bruta!B1116,4)),VALUE(MID(Base_Bruta!B1116,6,2)),VALUE(RIGHT(Base_Bruta!B1116,2))),DATE(VALUE(RIGHT(Base_Bruta!B1116,4)),VALUE(MID(Base_Bruta!B1116,4,2)),VALUE(LEFT(Base_Bruta!B1116,2))))))</f>
        <v>45940</v>
      </c>
      <c r="C1116" s="5" t="n">
        <f aca="false">IF($A1116="","",IF(ISNUMBER(Base_Bruta!C1116),Base_Bruta!C1116,IF(MID(Base_Bruta!C1116,5,1)="-",DATE(VALUE(LEFT(Base_Bruta!C1116,4)),VALUE(MID(Base_Bruta!C1116,6,2)),VALUE(RIGHT(Base_Bruta!C1116,2))),DATE(VALUE(RIGHT(Base_Bruta!C1116,4)),VALUE(MID(Base_Bruta!C1116,4,2)),VALUE(LEFT(Base_Bruta!C1116,2))))))</f>
        <v>45942</v>
      </c>
      <c r="D1116" s="4" t="str">
        <f aca="false">IF($A1116="","",TRIM(Base_Bruta!D1116))</f>
        <v>Cinema Barra - Sessões</v>
      </c>
      <c r="E1116" s="4" t="str">
        <f aca="false">IF($A1116="","",_xlfn.XLOOKUP(LOWER(TRIM(Base_Bruta!E1116)),DePara_Categoria!$A$2:$A$9,DePara_Categoria!$B$2:$B$9,"REVISAR"))</f>
        <v>Cinema</v>
      </c>
      <c r="F1116" s="4" t="str">
        <f aca="false">IF($A1116="","",_xlfn.XLOOKUP(LOWER(TRIM(Base_Bruta!F1116)),DePara_Cidade!$A$2:$A$29,DePara_Cidade!$B$2:$B$29,"REVISAR"))</f>
        <v>Rio de Janeiro</v>
      </c>
      <c r="G1116" s="4" t="str">
        <f aca="false">IF($A1116="","",TRIM(Base_Bruta!G1116))</f>
        <v>Meia</v>
      </c>
      <c r="H1116" s="4" t="n">
        <f aca="false">IF($A1116="","",IF(ISNUMBER(Base_Bruta!H1116),Base_Bruta!H1116,IFERROR(_xlfn.NUMBERVALUE(TRIM(SUBSTITUTE(Base_Bruta!H1116,"R$","")),",","."),0)))</f>
        <v>2</v>
      </c>
      <c r="I1116" s="6" t="n">
        <f aca="false">IF($A1116="","",IF(ISNUMBER(Base_Bruta!I1116),Base_Bruta!I1116,IFERROR(_xlfn.NUMBERVALUE(TRIM(SUBSTITUTE(Base_Bruta!I1116,"R$","")),",","."),0)))</f>
        <v>15</v>
      </c>
      <c r="J1116" s="6" t="n">
        <f aca="false">IF($A1116="","",H1116*I1116)</f>
        <v>30</v>
      </c>
      <c r="K1116" s="4" t="str">
        <f aca="false">IF($A1116="","",TRIM(Base_Bruta!J1116))</f>
        <v>App</v>
      </c>
      <c r="L1116" s="4" t="str">
        <f aca="false">IF($A1116="","",TRIM(Base_Bruta!K1116))</f>
        <v>C02256</v>
      </c>
      <c r="M1116" s="4" t="str">
        <f aca="false">IF($A1116="","",_xlfn.XLOOKUP(LOWER(TRIM(Base_Bruta!L1116)),DePara_Cidade!$A$2:$A$29,DePara_Cidade!$B$2:$B$29,"REVISAR"))</f>
        <v>Rio de Janeiro</v>
      </c>
      <c r="N1116" s="4" t="str">
        <f aca="false">IF($A1116="","",UPPER(TRIM(Base_Bruta!M1116)))</f>
        <v>RJ</v>
      </c>
      <c r="O1116" s="4" t="str">
        <f aca="false">IF($A1116="","",_xlfn.XLOOKUP(LOWER(TRIM(Base_Bruta!N1116)),DePara_Pais!$A$2:$A$9,DePara_Pais!$B$2:$B$9,"REVISAR"))</f>
        <v>Brasil</v>
      </c>
      <c r="P1116" s="4" t="str">
        <f aca="false">IF($A1116="","",IF(O1116&lt;&gt;"Brasil","Turista Internacional",IF(M1116=F1116,"Local","Turista Nacional")))</f>
        <v>Local</v>
      </c>
      <c r="Q1116" s="7" t="n">
        <f aca="false">IF($A1116="","",DATE(YEAR(B1116),MONTH(B1116),1))</f>
        <v>45931</v>
      </c>
      <c r="R1116" s="4" t="str">
        <f aca="false">IF($A1116="","",IF(COUNTIF($A$2:$A1116,$A1116)&gt;1,"Sim","Não"))</f>
        <v>Não</v>
      </c>
      <c r="S1116" s="4" t="str">
        <f aca="false">IF(A1116="","Descartar - Linha vazia",IF(R1116="Sim","Descartar - Duplicado",IF(OR(H1116&lt;=0,I1116&lt;=0),"Descartar - Qtd/Valor inválido","OK")))</f>
        <v>OK</v>
      </c>
      <c r="T1116" s="4" t="str">
        <f aca="false">Base_Bruta!P1116</f>
        <v>vendas_RJ.xlsx</v>
      </c>
    </row>
    <row r="1117" customFormat="false" ht="15" hidden="false" customHeight="false" outlineLevel="0" collapsed="false">
      <c r="A1117" s="4" t="str">
        <f aca="false">IF(Base_Bruta!A1117="","",Base_Bruta!A1117)</f>
        <v>RJ-000223</v>
      </c>
      <c r="B1117" s="5" t="n">
        <f aca="false">IF($A1117="","",IF(ISNUMBER(Base_Bruta!B1117),Base_Bruta!B1117,IF(MID(Base_Bruta!B1117,5,1)="-",DATE(VALUE(LEFT(Base_Bruta!B1117,4)),VALUE(MID(Base_Bruta!B1117,6,2)),VALUE(RIGHT(Base_Bruta!B1117,2))),DATE(VALUE(RIGHT(Base_Bruta!B1117,4)),VALUE(MID(Base_Bruta!B1117,4,2)),VALUE(LEFT(Base_Bruta!B1117,2))))))</f>
        <v>45941</v>
      </c>
      <c r="C1117" s="5" t="n">
        <f aca="false">IF($A1117="","",IF(ISNUMBER(Base_Bruta!C1117),Base_Bruta!C1117,IF(MID(Base_Bruta!C1117,5,1)="-",DATE(VALUE(LEFT(Base_Bruta!C1117,4)),VALUE(MID(Base_Bruta!C1117,6,2)),VALUE(RIGHT(Base_Bruta!C1117,2))),DATE(VALUE(RIGHT(Base_Bruta!C1117,4)),VALUE(MID(Base_Bruta!C1117,4,2)),VALUE(LEFT(Base_Bruta!C1117,2))))))</f>
        <v>46046</v>
      </c>
      <c r="D1117" s="4" t="str">
        <f aca="false">IF($A1117="","",TRIM(Base_Bruta!D1117))</f>
        <v>Rio Beat Festival 2026</v>
      </c>
      <c r="E1117" s="4" t="str">
        <f aca="false">IF($A1117="","",_xlfn.XLOOKUP(LOWER(TRIM(Base_Bruta!E1117)),DePara_Categoria!$A$2:$A$9,DePara_Categoria!$B$2:$B$9,"REVISAR"))</f>
        <v>Festival</v>
      </c>
      <c r="F1117" s="4" t="str">
        <f aca="false">IF($A1117="","",_xlfn.XLOOKUP(LOWER(TRIM(Base_Bruta!F1117)),DePara_Cidade!$A$2:$A$29,DePara_Cidade!$B$2:$B$29,"REVISAR"))</f>
        <v>Rio de Janeiro</v>
      </c>
      <c r="G1117" s="4" t="str">
        <f aca="false">IF($A1117="","",TRIM(Base_Bruta!G1117))</f>
        <v>Meia</v>
      </c>
      <c r="H1117" s="4" t="n">
        <f aca="false">IF($A1117="","",IF(ISNUMBER(Base_Bruta!H1117),Base_Bruta!H1117,IFERROR(_xlfn.NUMBERVALUE(TRIM(SUBSTITUTE(Base_Bruta!H1117,"R$","")),",","."),0)))</f>
        <v>1</v>
      </c>
      <c r="I1117" s="6" t="n">
        <f aca="false">IF($A1117="","",IF(ISNUMBER(Base_Bruta!I1117),Base_Bruta!I1117,IFERROR(_xlfn.NUMBERVALUE(TRIM(SUBSTITUTE(Base_Bruta!I1117,"R$","")),",","."),0)))</f>
        <v>557.5</v>
      </c>
      <c r="J1117" s="6" t="n">
        <f aca="false">IF($A1117="","",H1117*I1117)</f>
        <v>557.5</v>
      </c>
      <c r="K1117" s="4" t="str">
        <f aca="false">IF($A1117="","",TRIM(Base_Bruta!J1117))</f>
        <v>App</v>
      </c>
      <c r="L1117" s="4" t="str">
        <f aca="false">IF($A1117="","",TRIM(Base_Bruta!K1117))</f>
        <v>C01372</v>
      </c>
      <c r="M1117" s="4" t="str">
        <f aca="false">IF($A1117="","",_xlfn.XLOOKUP(LOWER(TRIM(Base_Bruta!L1117)),DePara_Cidade!$A$2:$A$29,DePara_Cidade!$B$2:$B$29,"REVISAR"))</f>
        <v>Rio de Janeiro</v>
      </c>
      <c r="N1117" s="4" t="str">
        <f aca="false">IF($A1117="","",UPPER(TRIM(Base_Bruta!M1117)))</f>
        <v>RJ</v>
      </c>
      <c r="O1117" s="4" t="str">
        <f aca="false">IF($A1117="","",_xlfn.XLOOKUP(LOWER(TRIM(Base_Bruta!N1117)),DePara_Pais!$A$2:$A$9,DePara_Pais!$B$2:$B$9,"REVISAR"))</f>
        <v>Brasil</v>
      </c>
      <c r="P1117" s="4" t="str">
        <f aca="false">IF($A1117="","",IF(O1117&lt;&gt;"Brasil","Turista Internacional",IF(M1117=F1117,"Local","Turista Nacional")))</f>
        <v>Local</v>
      </c>
      <c r="Q1117" s="7" t="n">
        <f aca="false">IF($A1117="","",DATE(YEAR(B1117),MONTH(B1117),1))</f>
        <v>45931</v>
      </c>
      <c r="R1117" s="4" t="str">
        <f aca="false">IF($A1117="","",IF(COUNTIF($A$2:$A1117,$A1117)&gt;1,"Sim","Não"))</f>
        <v>Não</v>
      </c>
      <c r="S1117" s="4" t="str">
        <f aca="false">IF(A1117="","Descartar - Linha vazia",IF(R1117="Sim","Descartar - Duplicado",IF(OR(H1117&lt;=0,I1117&lt;=0),"Descartar - Qtd/Valor inválido","OK")))</f>
        <v>OK</v>
      </c>
      <c r="T1117" s="4" t="str">
        <f aca="false">Base_Bruta!P1117</f>
        <v>vendas_RJ.xlsx</v>
      </c>
    </row>
    <row r="1118" customFormat="false" ht="15" hidden="false" customHeight="false" outlineLevel="0" collapsed="false">
      <c r="A1118" s="4" t="str">
        <f aca="false">IF(Base_Bruta!A1118="","",Base_Bruta!A1118)</f>
        <v>RJ-000081</v>
      </c>
      <c r="B1118" s="5" t="n">
        <f aca="false">IF($A1118="","",IF(ISNUMBER(Base_Bruta!B1118),Base_Bruta!B1118,IF(MID(Base_Bruta!B1118,5,1)="-",DATE(VALUE(LEFT(Base_Bruta!B1118,4)),VALUE(MID(Base_Bruta!B1118,6,2)),VALUE(RIGHT(Base_Bruta!B1118,2))),DATE(VALUE(RIGHT(Base_Bruta!B1118,4)),VALUE(MID(Base_Bruta!B1118,4,2)),VALUE(LEFT(Base_Bruta!B1118,2))))))</f>
        <v>45942</v>
      </c>
      <c r="C1118" s="5" t="n">
        <f aca="false">IF($A1118="","",IF(ISNUMBER(Base_Bruta!C1118),Base_Bruta!C1118,IF(MID(Base_Bruta!C1118,5,1)="-",DATE(VALUE(LEFT(Base_Bruta!C1118,4)),VALUE(MID(Base_Bruta!C1118,6,2)),VALUE(RIGHT(Base_Bruta!C1118,2))),DATE(VALUE(RIGHT(Base_Bruta!C1118,4)),VALUE(MID(Base_Bruta!C1118,4,2)),VALUE(LEFT(Base_Bruta!C1118,2))))))</f>
        <v>46046</v>
      </c>
      <c r="D1118" s="4" t="str">
        <f aca="false">IF($A1118="","",TRIM(Base_Bruta!D1118))</f>
        <v>Rio Beat Festival 2026</v>
      </c>
      <c r="E1118" s="4" t="str">
        <f aca="false">IF($A1118="","",_xlfn.XLOOKUP(LOWER(TRIM(Base_Bruta!E1118)),DePara_Categoria!$A$2:$A$9,DePara_Categoria!$B$2:$B$9,"REVISAR"))</f>
        <v>Festival</v>
      </c>
      <c r="F1118" s="4" t="str">
        <f aca="false">IF($A1118="","",_xlfn.XLOOKUP(LOWER(TRIM(Base_Bruta!F1118)),DePara_Cidade!$A$2:$A$29,DePara_Cidade!$B$2:$B$29,"REVISAR"))</f>
        <v>Rio de Janeiro</v>
      </c>
      <c r="G1118" s="4" t="str">
        <f aca="false">IF($A1118="","",TRIM(Base_Bruta!G1118))</f>
        <v>VIP</v>
      </c>
      <c r="H1118" s="4" t="n">
        <f aca="false">IF($A1118="","",IF(ISNUMBER(Base_Bruta!H1118),Base_Bruta!H1118,IFERROR(_xlfn.NUMBERVALUE(TRIM(SUBSTITUTE(Base_Bruta!H1118,"R$","")),",","."),0)))</f>
        <v>2</v>
      </c>
      <c r="I1118" s="6" t="n">
        <f aca="false">IF($A1118="","",IF(ISNUMBER(Base_Bruta!I1118),Base_Bruta!I1118,IFERROR(_xlfn.NUMBERVALUE(TRIM(SUBSTITUTE(Base_Bruta!I1118,"R$","")),",","."),0)))</f>
        <v>1840</v>
      </c>
      <c r="J1118" s="6" t="n">
        <f aca="false">IF($A1118="","",H1118*I1118)</f>
        <v>3680</v>
      </c>
      <c r="K1118" s="4" t="str">
        <f aca="false">IF($A1118="","",TRIM(Base_Bruta!J1118))</f>
        <v>App</v>
      </c>
      <c r="L1118" s="4" t="str">
        <f aca="false">IF($A1118="","",TRIM(Base_Bruta!K1118))</f>
        <v>C02058</v>
      </c>
      <c r="M1118" s="4" t="str">
        <f aca="false">IF($A1118="","",_xlfn.XLOOKUP(LOWER(TRIM(Base_Bruta!L1118)),DePara_Cidade!$A$2:$A$29,DePara_Cidade!$B$2:$B$29,"REVISAR"))</f>
        <v>São Paulo</v>
      </c>
      <c r="N1118" s="4" t="str">
        <f aca="false">IF($A1118="","",UPPER(TRIM(Base_Bruta!M1118)))</f>
        <v>SP</v>
      </c>
      <c r="O1118" s="4" t="str">
        <f aca="false">IF($A1118="","",_xlfn.XLOOKUP(LOWER(TRIM(Base_Bruta!N1118)),DePara_Pais!$A$2:$A$9,DePara_Pais!$B$2:$B$9,"REVISAR"))</f>
        <v>Brasil</v>
      </c>
      <c r="P1118" s="4" t="str">
        <f aca="false">IF($A1118="","",IF(O1118&lt;&gt;"Brasil","Turista Internacional",IF(M1118=F1118,"Local","Turista Nacional")))</f>
        <v>Turista Nacional</v>
      </c>
      <c r="Q1118" s="7" t="n">
        <f aca="false">IF($A1118="","",DATE(YEAR(B1118),MONTH(B1118),1))</f>
        <v>45931</v>
      </c>
      <c r="R1118" s="4" t="str">
        <f aca="false">IF($A1118="","",IF(COUNTIF($A$2:$A1118,$A1118)&gt;1,"Sim","Não"))</f>
        <v>Não</v>
      </c>
      <c r="S1118" s="4" t="str">
        <f aca="false">IF(A1118="","Descartar - Linha vazia",IF(R1118="Sim","Descartar - Duplicado",IF(OR(H1118&lt;=0,I1118&lt;=0),"Descartar - Qtd/Valor inválido","OK")))</f>
        <v>OK</v>
      </c>
      <c r="T1118" s="4" t="str">
        <f aca="false">Base_Bruta!P1118</f>
        <v>vendas_RJ.xlsx</v>
      </c>
    </row>
    <row r="1119" customFormat="false" ht="15" hidden="false" customHeight="false" outlineLevel="0" collapsed="false">
      <c r="A1119" s="4" t="str">
        <f aca="false">IF(Base_Bruta!A1119="","",Base_Bruta!A1119)</f>
        <v>RJ-000230</v>
      </c>
      <c r="B1119" s="5" t="n">
        <f aca="false">IF($A1119="","",IF(ISNUMBER(Base_Bruta!B1119),Base_Bruta!B1119,IF(MID(Base_Bruta!B1119,5,1)="-",DATE(VALUE(LEFT(Base_Bruta!B1119,4)),VALUE(MID(Base_Bruta!B1119,6,2)),VALUE(RIGHT(Base_Bruta!B1119,2))),DATE(VALUE(RIGHT(Base_Bruta!B1119,4)),VALUE(MID(Base_Bruta!B1119,4,2)),VALUE(LEFT(Base_Bruta!B1119,2))))))</f>
        <v>45942</v>
      </c>
      <c r="C1119" s="5" t="n">
        <f aca="false">IF($A1119="","",IF(ISNUMBER(Base_Bruta!C1119),Base_Bruta!C1119,IF(MID(Base_Bruta!C1119,5,1)="-",DATE(VALUE(LEFT(Base_Bruta!C1119,4)),VALUE(MID(Base_Bruta!C1119,6,2)),VALUE(RIGHT(Base_Bruta!C1119,2))),DATE(VALUE(RIGHT(Base_Bruta!C1119,4)),VALUE(MID(Base_Bruta!C1119,4,2)),VALUE(LEFT(Base_Bruta!C1119,2))))))</f>
        <v>46046</v>
      </c>
      <c r="D1119" s="4" t="str">
        <f aca="false">IF($A1119="","",TRIM(Base_Bruta!D1119))</f>
        <v>Rio Beat Festival 2026</v>
      </c>
      <c r="E1119" s="4" t="str">
        <f aca="false">IF($A1119="","",_xlfn.XLOOKUP(LOWER(TRIM(Base_Bruta!E1119)),DePara_Categoria!$A$2:$A$9,DePara_Categoria!$B$2:$B$9,"REVISAR"))</f>
        <v>Festival</v>
      </c>
      <c r="F1119" s="4" t="str">
        <f aca="false">IF($A1119="","",_xlfn.XLOOKUP(LOWER(TRIM(Base_Bruta!F1119)),DePara_Cidade!$A$2:$A$29,DePara_Cidade!$B$2:$B$29,"REVISAR"))</f>
        <v>Rio de Janeiro</v>
      </c>
      <c r="G1119" s="4" t="str">
        <f aca="false">IF($A1119="","",TRIM(Base_Bruta!G1119))</f>
        <v>Inteira</v>
      </c>
      <c r="H1119" s="4" t="n">
        <f aca="false">IF($A1119="","",IF(ISNUMBER(Base_Bruta!H1119),Base_Bruta!H1119,IFERROR(_xlfn.NUMBERVALUE(TRIM(SUBSTITUTE(Base_Bruta!H1119,"R$","")),",","."),0)))</f>
        <v>3</v>
      </c>
      <c r="I1119" s="6" t="n">
        <f aca="false">IF($A1119="","",IF(ISNUMBER(Base_Bruta!I1119),Base_Bruta!I1119,IFERROR(_xlfn.NUMBERVALUE(TRIM(SUBSTITUTE(Base_Bruta!I1119,"R$","")),",","."),0)))</f>
        <v>710</v>
      </c>
      <c r="J1119" s="6" t="n">
        <f aca="false">IF($A1119="","",H1119*I1119)</f>
        <v>2130</v>
      </c>
      <c r="K1119" s="4" t="str">
        <f aca="false">IF($A1119="","",TRIM(Base_Bruta!J1119))</f>
        <v>Site</v>
      </c>
      <c r="L1119" s="4" t="str">
        <f aca="false">IF($A1119="","",TRIM(Base_Bruta!K1119))</f>
        <v>C01907</v>
      </c>
      <c r="M1119" s="4" t="str">
        <f aca="false">IF($A1119="","",_xlfn.XLOOKUP(LOWER(TRIM(Base_Bruta!L1119)),DePara_Cidade!$A$2:$A$29,DePara_Cidade!$B$2:$B$29,"REVISAR"))</f>
        <v>Rio de Janeiro</v>
      </c>
      <c r="N1119" s="4" t="str">
        <f aca="false">IF($A1119="","",UPPER(TRIM(Base_Bruta!M1119)))</f>
        <v>RJ</v>
      </c>
      <c r="O1119" s="4" t="str">
        <f aca="false">IF($A1119="","",_xlfn.XLOOKUP(LOWER(TRIM(Base_Bruta!N1119)),DePara_Pais!$A$2:$A$9,DePara_Pais!$B$2:$B$9,"REVISAR"))</f>
        <v>Brasil</v>
      </c>
      <c r="P1119" s="4" t="str">
        <f aca="false">IF($A1119="","",IF(O1119&lt;&gt;"Brasil","Turista Internacional",IF(M1119=F1119,"Local","Turista Nacional")))</f>
        <v>Local</v>
      </c>
      <c r="Q1119" s="7" t="n">
        <f aca="false">IF($A1119="","",DATE(YEAR(B1119),MONTH(B1119),1))</f>
        <v>45931</v>
      </c>
      <c r="R1119" s="4" t="str">
        <f aca="false">IF($A1119="","",IF(COUNTIF($A$2:$A1119,$A1119)&gt;1,"Sim","Não"))</f>
        <v>Não</v>
      </c>
      <c r="S1119" s="4" t="str">
        <f aca="false">IF(A1119="","Descartar - Linha vazia",IF(R1119="Sim","Descartar - Duplicado",IF(OR(H1119&lt;=0,I1119&lt;=0),"Descartar - Qtd/Valor inválido","OK")))</f>
        <v>OK</v>
      </c>
      <c r="T1119" s="4" t="str">
        <f aca="false">Base_Bruta!P1119</f>
        <v>vendas_RJ.xlsx</v>
      </c>
    </row>
    <row r="1120" customFormat="false" ht="15" hidden="false" customHeight="false" outlineLevel="0" collapsed="false">
      <c r="A1120" s="4" t="str">
        <f aca="false">IF(Base_Bruta!A1120="","",Base_Bruta!A1120)</f>
        <v>RJ-000029</v>
      </c>
      <c r="B1120" s="5" t="n">
        <f aca="false">IF($A1120="","",IF(ISNUMBER(Base_Bruta!B1120),Base_Bruta!B1120,IF(MID(Base_Bruta!B1120,5,1)="-",DATE(VALUE(LEFT(Base_Bruta!B1120,4)),VALUE(MID(Base_Bruta!B1120,6,2)),VALUE(RIGHT(Base_Bruta!B1120,2))),DATE(VALUE(RIGHT(Base_Bruta!B1120,4)),VALUE(MID(Base_Bruta!B1120,4,2)),VALUE(LEFT(Base_Bruta!B1120,2))))))</f>
        <v>45943</v>
      </c>
      <c r="C1120" s="5" t="n">
        <f aca="false">IF($A1120="","",IF(ISNUMBER(Base_Bruta!C1120),Base_Bruta!C1120,IF(MID(Base_Bruta!C1120,5,1)="-",DATE(VALUE(LEFT(Base_Bruta!C1120,4)),VALUE(MID(Base_Bruta!C1120,6,2)),VALUE(RIGHT(Base_Bruta!C1120,2))),DATE(VALUE(RIGHT(Base_Bruta!C1120,4)),VALUE(MID(Base_Bruta!C1120,4,2)),VALUE(LEFT(Base_Bruta!C1120,2))))))</f>
        <v>46046</v>
      </c>
      <c r="D1120" s="4" t="str">
        <f aca="false">IF($A1120="","",TRIM(Base_Bruta!D1120))</f>
        <v>Rio Beat Festival 2026</v>
      </c>
      <c r="E1120" s="4" t="str">
        <f aca="false">IF($A1120="","",_xlfn.XLOOKUP(LOWER(TRIM(Base_Bruta!E1120)),DePara_Categoria!$A$2:$A$9,DePara_Categoria!$B$2:$B$9,"REVISAR"))</f>
        <v>Festival</v>
      </c>
      <c r="F1120" s="4" t="str">
        <f aca="false">IF($A1120="","",_xlfn.XLOOKUP(LOWER(TRIM(Base_Bruta!F1120)),DePara_Cidade!$A$2:$A$29,DePara_Cidade!$B$2:$B$29,"REVISAR"))</f>
        <v>Rio de Janeiro</v>
      </c>
      <c r="G1120" s="4" t="str">
        <f aca="false">IF($A1120="","",TRIM(Base_Bruta!G1120))</f>
        <v>Inteira</v>
      </c>
      <c r="H1120" s="4" t="n">
        <f aca="false">IF($A1120="","",IF(ISNUMBER(Base_Bruta!H1120),Base_Bruta!H1120,IFERROR(_xlfn.NUMBERVALUE(TRIM(SUBSTITUTE(Base_Bruta!H1120,"R$","")),",","."),0)))</f>
        <v>2</v>
      </c>
      <c r="I1120" s="6" t="n">
        <f aca="false">IF($A1120="","",IF(ISNUMBER(Base_Bruta!I1120),Base_Bruta!I1120,IFERROR(_xlfn.NUMBERVALUE(TRIM(SUBSTITUTE(Base_Bruta!I1120,"R$","")),",","."),0)))</f>
        <v>765</v>
      </c>
      <c r="J1120" s="6" t="n">
        <f aca="false">IF($A1120="","",H1120*I1120)</f>
        <v>1530</v>
      </c>
      <c r="K1120" s="4" t="str">
        <f aca="false">IF($A1120="","",TRIM(Base_Bruta!J1120))</f>
        <v>Site</v>
      </c>
      <c r="L1120" s="4" t="str">
        <f aca="false">IF($A1120="","",TRIM(Base_Bruta!K1120))</f>
        <v>C01265</v>
      </c>
      <c r="M1120" s="4" t="str">
        <f aca="false">IF($A1120="","",_xlfn.XLOOKUP(LOWER(TRIM(Base_Bruta!L1120)),DePara_Cidade!$A$2:$A$29,DePara_Cidade!$B$2:$B$29,"REVISAR"))</f>
        <v>Vitória</v>
      </c>
      <c r="N1120" s="4" t="str">
        <f aca="false">IF($A1120="","",UPPER(TRIM(Base_Bruta!M1120)))</f>
        <v>ES</v>
      </c>
      <c r="O1120" s="4" t="str">
        <f aca="false">IF($A1120="","",_xlfn.XLOOKUP(LOWER(TRIM(Base_Bruta!N1120)),DePara_Pais!$A$2:$A$9,DePara_Pais!$B$2:$B$9,"REVISAR"))</f>
        <v>Brasil</v>
      </c>
      <c r="P1120" s="4" t="str">
        <f aca="false">IF($A1120="","",IF(O1120&lt;&gt;"Brasil","Turista Internacional",IF(M1120=F1120,"Local","Turista Nacional")))</f>
        <v>Turista Nacional</v>
      </c>
      <c r="Q1120" s="7" t="n">
        <f aca="false">IF($A1120="","",DATE(YEAR(B1120),MONTH(B1120),1))</f>
        <v>45931</v>
      </c>
      <c r="R1120" s="4" t="str">
        <f aca="false">IF($A1120="","",IF(COUNTIF($A$2:$A1120,$A1120)&gt;1,"Sim","Não"))</f>
        <v>Não</v>
      </c>
      <c r="S1120" s="4" t="str">
        <f aca="false">IF(A1120="","Descartar - Linha vazia",IF(R1120="Sim","Descartar - Duplicado",IF(OR(H1120&lt;=0,I1120&lt;=0),"Descartar - Qtd/Valor inválido","OK")))</f>
        <v>OK</v>
      </c>
      <c r="T1120" s="4" t="str">
        <f aca="false">Base_Bruta!P1120</f>
        <v>vendas_RJ.xlsx</v>
      </c>
    </row>
    <row r="1121" customFormat="false" ht="15" hidden="false" customHeight="false" outlineLevel="0" collapsed="false">
      <c r="A1121" s="4" t="str">
        <f aca="false">IF(Base_Bruta!A1121="","",Base_Bruta!A1121)</f>
        <v>RJ-000071</v>
      </c>
      <c r="B1121" s="5" t="n">
        <f aca="false">IF($A1121="","",IF(ISNUMBER(Base_Bruta!B1121),Base_Bruta!B1121,IF(MID(Base_Bruta!B1121,5,1)="-",DATE(VALUE(LEFT(Base_Bruta!B1121,4)),VALUE(MID(Base_Bruta!B1121,6,2)),VALUE(RIGHT(Base_Bruta!B1121,2))),DATE(VALUE(RIGHT(Base_Bruta!B1121,4)),VALUE(MID(Base_Bruta!B1121,4,2)),VALUE(LEFT(Base_Bruta!B1121,2))))))</f>
        <v>45944</v>
      </c>
      <c r="C1121" s="5" t="n">
        <f aca="false">IF($A1121="","",IF(ISNUMBER(Base_Bruta!C1121),Base_Bruta!C1121,IF(MID(Base_Bruta!C1121,5,1)="-",DATE(VALUE(LEFT(Base_Bruta!C1121,4)),VALUE(MID(Base_Bruta!C1121,6,2)),VALUE(RIGHT(Base_Bruta!C1121,2))),DATE(VALUE(RIGHT(Base_Bruta!C1121,4)),VALUE(MID(Base_Bruta!C1121,4,2)),VALUE(LEFT(Base_Bruta!C1121,2))))))</f>
        <v>46046</v>
      </c>
      <c r="D1121" s="4" t="str">
        <f aca="false">IF($A1121="","",TRIM(Base_Bruta!D1121))</f>
        <v>Rio Beat Festival 2026</v>
      </c>
      <c r="E1121" s="4" t="str">
        <f aca="false">IF($A1121="","",_xlfn.XLOOKUP(LOWER(TRIM(Base_Bruta!E1121)),DePara_Categoria!$A$2:$A$9,DePara_Categoria!$B$2:$B$9,"REVISAR"))</f>
        <v>Festival</v>
      </c>
      <c r="F1121" s="4" t="str">
        <f aca="false">IF($A1121="","",_xlfn.XLOOKUP(LOWER(TRIM(Base_Bruta!F1121)),DePara_Cidade!$A$2:$A$29,DePara_Cidade!$B$2:$B$29,"REVISAR"))</f>
        <v>Rio de Janeiro</v>
      </c>
      <c r="G1121" s="4" t="str">
        <f aca="false">IF($A1121="","",TRIM(Base_Bruta!G1121))</f>
        <v>Meia</v>
      </c>
      <c r="H1121" s="4" t="n">
        <f aca="false">IF($A1121="","",IF(ISNUMBER(Base_Bruta!H1121),Base_Bruta!H1121,IFERROR(_xlfn.NUMBERVALUE(TRIM(SUBSTITUTE(Base_Bruta!H1121,"R$","")),",","."),0)))</f>
        <v>2</v>
      </c>
      <c r="I1121" s="6" t="n">
        <f aca="false">IF($A1121="","",IF(ISNUMBER(Base_Bruta!I1121),Base_Bruta!I1121,IFERROR(_xlfn.NUMBERVALUE(TRIM(SUBSTITUTE(Base_Bruta!I1121,"R$","")),",","."),0)))</f>
        <v>542.5</v>
      </c>
      <c r="J1121" s="6" t="n">
        <f aca="false">IF($A1121="","",H1121*I1121)</f>
        <v>1085</v>
      </c>
      <c r="K1121" s="4" t="str">
        <f aca="false">IF($A1121="","",TRIM(Base_Bruta!J1121))</f>
        <v>App</v>
      </c>
      <c r="L1121" s="4" t="str">
        <f aca="false">IF($A1121="","",TRIM(Base_Bruta!K1121))</f>
        <v>C01355</v>
      </c>
      <c r="M1121" s="4" t="str">
        <f aca="false">IF($A1121="","",_xlfn.XLOOKUP(LOWER(TRIM(Base_Bruta!L1121)),DePara_Cidade!$A$2:$A$29,DePara_Cidade!$B$2:$B$29,"REVISAR"))</f>
        <v>Contagem</v>
      </c>
      <c r="N1121" s="4" t="str">
        <f aca="false">IF($A1121="","",UPPER(TRIM(Base_Bruta!M1121)))</f>
        <v>MG</v>
      </c>
      <c r="O1121" s="4" t="str">
        <f aca="false">IF($A1121="","",_xlfn.XLOOKUP(LOWER(TRIM(Base_Bruta!N1121)),DePara_Pais!$A$2:$A$9,DePara_Pais!$B$2:$B$9,"REVISAR"))</f>
        <v>Brasil</v>
      </c>
      <c r="P1121" s="4" t="str">
        <f aca="false">IF($A1121="","",IF(O1121&lt;&gt;"Brasil","Turista Internacional",IF(M1121=F1121,"Local","Turista Nacional")))</f>
        <v>Turista Nacional</v>
      </c>
      <c r="Q1121" s="7" t="n">
        <f aca="false">IF($A1121="","",DATE(YEAR(B1121),MONTH(B1121),1))</f>
        <v>45931</v>
      </c>
      <c r="R1121" s="4" t="str">
        <f aca="false">IF($A1121="","",IF(COUNTIF($A$2:$A1121,$A1121)&gt;1,"Sim","Não"))</f>
        <v>Não</v>
      </c>
      <c r="S1121" s="4" t="str">
        <f aca="false">IF(A1121="","Descartar - Linha vazia",IF(R1121="Sim","Descartar - Duplicado",IF(OR(H1121&lt;=0,I1121&lt;=0),"Descartar - Qtd/Valor inválido","OK")))</f>
        <v>OK</v>
      </c>
      <c r="T1121" s="4" t="str">
        <f aca="false">Base_Bruta!P1121</f>
        <v>vendas_RJ.xlsx</v>
      </c>
    </row>
    <row r="1122" customFormat="false" ht="15" hidden="false" customHeight="false" outlineLevel="0" collapsed="false">
      <c r="A1122" s="4" t="str">
        <f aca="false">IF(Base_Bruta!A1122="","",Base_Bruta!A1122)</f>
        <v>RJ-000082</v>
      </c>
      <c r="B1122" s="5" t="n">
        <f aca="false">IF($A1122="","",IF(ISNUMBER(Base_Bruta!B1122),Base_Bruta!B1122,IF(MID(Base_Bruta!B1122,5,1)="-",DATE(VALUE(LEFT(Base_Bruta!B1122,4)),VALUE(MID(Base_Bruta!B1122,6,2)),VALUE(RIGHT(Base_Bruta!B1122,2))),DATE(VALUE(RIGHT(Base_Bruta!B1122,4)),VALUE(MID(Base_Bruta!B1122,4,2)),VALUE(LEFT(Base_Bruta!B1122,2))))))</f>
        <v>45944</v>
      </c>
      <c r="C1122" s="5" t="n">
        <f aca="false">IF($A1122="","",IF(ISNUMBER(Base_Bruta!C1122),Base_Bruta!C1122,IF(MID(Base_Bruta!C1122,5,1)="-",DATE(VALUE(LEFT(Base_Bruta!C1122,4)),VALUE(MID(Base_Bruta!C1122,6,2)),VALUE(RIGHT(Base_Bruta!C1122,2))),DATE(VALUE(RIGHT(Base_Bruta!C1122,4)),VALUE(MID(Base_Bruta!C1122,4,2)),VALUE(LEFT(Base_Bruta!C1122,2))))))</f>
        <v>46046</v>
      </c>
      <c r="D1122" s="4" t="str">
        <f aca="false">IF($A1122="","",TRIM(Base_Bruta!D1122))</f>
        <v>Rio Beat Festival 2026</v>
      </c>
      <c r="E1122" s="4" t="str">
        <f aca="false">IF($A1122="","",_xlfn.XLOOKUP(LOWER(TRIM(Base_Bruta!E1122)),DePara_Categoria!$A$2:$A$9,DePara_Categoria!$B$2:$B$9,"REVISAR"))</f>
        <v>Festival</v>
      </c>
      <c r="F1122" s="4" t="str">
        <f aca="false">IF($A1122="","",_xlfn.XLOOKUP(LOWER(TRIM(Base_Bruta!F1122)),DePara_Cidade!$A$2:$A$29,DePara_Cidade!$B$2:$B$29,"REVISAR"))</f>
        <v>Rio de Janeiro</v>
      </c>
      <c r="G1122" s="4" t="str">
        <f aca="false">IF($A1122="","",TRIM(Base_Bruta!G1122))</f>
        <v>Inteira</v>
      </c>
      <c r="H1122" s="4" t="n">
        <f aca="false">IF($A1122="","",IF(ISNUMBER(Base_Bruta!H1122),Base_Bruta!H1122,IFERROR(_xlfn.NUMBERVALUE(TRIM(SUBSTITUTE(Base_Bruta!H1122,"R$","")),",","."),0)))</f>
        <v>1</v>
      </c>
      <c r="I1122" s="6" t="n">
        <f aca="false">IF($A1122="","",IF(ISNUMBER(Base_Bruta!I1122),Base_Bruta!I1122,IFERROR(_xlfn.NUMBERVALUE(TRIM(SUBSTITUTE(Base_Bruta!I1122,"R$","")),",","."),0)))</f>
        <v>1130</v>
      </c>
      <c r="J1122" s="6" t="n">
        <f aca="false">IF($A1122="","",H1122*I1122)</f>
        <v>1130</v>
      </c>
      <c r="K1122" s="4" t="str">
        <f aca="false">IF($A1122="","",TRIM(Base_Bruta!J1122))</f>
        <v>Parceiro</v>
      </c>
      <c r="L1122" s="4" t="str">
        <f aca="false">IF($A1122="","",TRIM(Base_Bruta!K1122))</f>
        <v>C01356</v>
      </c>
      <c r="M1122" s="4" t="str">
        <f aca="false">IF($A1122="","",_xlfn.XLOOKUP(LOWER(TRIM(Base_Bruta!L1122)),DePara_Cidade!$A$2:$A$29,DePara_Cidade!$B$2:$B$29,"REVISAR"))</f>
        <v>Rio de Janeiro</v>
      </c>
      <c r="N1122" s="4" t="str">
        <f aca="false">IF($A1122="","",UPPER(TRIM(Base_Bruta!M1122)))</f>
        <v>RJ</v>
      </c>
      <c r="O1122" s="4" t="str">
        <f aca="false">IF($A1122="","",_xlfn.XLOOKUP(LOWER(TRIM(Base_Bruta!N1122)),DePara_Pais!$A$2:$A$9,DePara_Pais!$B$2:$B$9,"REVISAR"))</f>
        <v>Brasil</v>
      </c>
      <c r="P1122" s="4" t="str">
        <f aca="false">IF($A1122="","",IF(O1122&lt;&gt;"Brasil","Turista Internacional",IF(M1122=F1122,"Local","Turista Nacional")))</f>
        <v>Local</v>
      </c>
      <c r="Q1122" s="7" t="n">
        <f aca="false">IF($A1122="","",DATE(YEAR(B1122),MONTH(B1122),1))</f>
        <v>45931</v>
      </c>
      <c r="R1122" s="4" t="str">
        <f aca="false">IF($A1122="","",IF(COUNTIF($A$2:$A1122,$A1122)&gt;1,"Sim","Não"))</f>
        <v>Não</v>
      </c>
      <c r="S1122" s="4" t="str">
        <f aca="false">IF(A1122="","Descartar - Linha vazia",IF(R1122="Sim","Descartar - Duplicado",IF(OR(H1122&lt;=0,I1122&lt;=0),"Descartar - Qtd/Valor inválido","OK")))</f>
        <v>OK</v>
      </c>
      <c r="T1122" s="4" t="str">
        <f aca="false">Base_Bruta!P1122</f>
        <v>vendas_RJ.xlsx</v>
      </c>
    </row>
    <row r="1123" customFormat="false" ht="15" hidden="false" customHeight="false" outlineLevel="0" collapsed="false">
      <c r="A1123" s="4" t="str">
        <f aca="false">IF(Base_Bruta!A1123="","",Base_Bruta!A1123)</f>
        <v>RJ-000111</v>
      </c>
      <c r="B1123" s="5" t="n">
        <f aca="false">IF($A1123="","",IF(ISNUMBER(Base_Bruta!B1123),Base_Bruta!B1123,IF(MID(Base_Bruta!B1123,5,1)="-",DATE(VALUE(LEFT(Base_Bruta!B1123,4)),VALUE(MID(Base_Bruta!B1123,6,2)),VALUE(RIGHT(Base_Bruta!B1123,2))),DATE(VALUE(RIGHT(Base_Bruta!B1123,4)),VALUE(MID(Base_Bruta!B1123,4,2)),VALUE(LEFT(Base_Bruta!B1123,2))))))</f>
        <v>45944</v>
      </c>
      <c r="C1123" s="5" t="n">
        <f aca="false">IF($A1123="","",IF(ISNUMBER(Base_Bruta!C1123),Base_Bruta!C1123,IF(MID(Base_Bruta!C1123,5,1)="-",DATE(VALUE(LEFT(Base_Bruta!C1123,4)),VALUE(MID(Base_Bruta!C1123,6,2)),VALUE(RIGHT(Base_Bruta!C1123,2))),DATE(VALUE(RIGHT(Base_Bruta!C1123,4)),VALUE(MID(Base_Bruta!C1123,4,2)),VALUE(LEFT(Base_Bruta!C1123,2))))))</f>
        <v>46046</v>
      </c>
      <c r="D1123" s="4" t="str">
        <f aca="false">IF($A1123="","",TRIM(Base_Bruta!D1123))</f>
        <v>Rio Beat Festival 2026</v>
      </c>
      <c r="E1123" s="4" t="str">
        <f aca="false">IF($A1123="","",_xlfn.XLOOKUP(LOWER(TRIM(Base_Bruta!E1123)),DePara_Categoria!$A$2:$A$9,DePara_Categoria!$B$2:$B$9,"REVISAR"))</f>
        <v>Festival</v>
      </c>
      <c r="F1123" s="4" t="str">
        <f aca="false">IF($A1123="","",_xlfn.XLOOKUP(LOWER(TRIM(Base_Bruta!F1123)),DePara_Cidade!$A$2:$A$29,DePara_Cidade!$B$2:$B$29,"REVISAR"))</f>
        <v>Rio de Janeiro</v>
      </c>
      <c r="G1123" s="4" t="str">
        <f aca="false">IF($A1123="","",TRIM(Base_Bruta!G1123))</f>
        <v>Meia</v>
      </c>
      <c r="H1123" s="4" t="n">
        <f aca="false">IF($A1123="","",IF(ISNUMBER(Base_Bruta!H1123),Base_Bruta!H1123,IFERROR(_xlfn.NUMBERVALUE(TRIM(SUBSTITUTE(Base_Bruta!H1123,"R$","")),",","."),0)))</f>
        <v>4</v>
      </c>
      <c r="I1123" s="6" t="n">
        <f aca="false">IF($A1123="","",IF(ISNUMBER(Base_Bruta!I1123),Base_Bruta!I1123,IFERROR(_xlfn.NUMBERVALUE(TRIM(SUBSTITUTE(Base_Bruta!I1123,"R$","")),",","."),0)))</f>
        <v>370</v>
      </c>
      <c r="J1123" s="6" t="n">
        <f aca="false">IF($A1123="","",H1123*I1123)</f>
        <v>1480</v>
      </c>
      <c r="K1123" s="4" t="str">
        <f aca="false">IF($A1123="","",TRIM(Base_Bruta!J1123))</f>
        <v>Bilheteria</v>
      </c>
      <c r="L1123" s="4" t="str">
        <f aca="false">IF($A1123="","",TRIM(Base_Bruta!K1123))</f>
        <v>C02022</v>
      </c>
      <c r="M1123" s="4" t="str">
        <f aca="false">IF($A1123="","",_xlfn.XLOOKUP(LOWER(TRIM(Base_Bruta!L1123)),DePara_Cidade!$A$2:$A$29,DePara_Cidade!$B$2:$B$29,"REVISAR"))</f>
        <v>Rio de Janeiro</v>
      </c>
      <c r="N1123" s="4" t="str">
        <f aca="false">IF($A1123="","",UPPER(TRIM(Base_Bruta!M1123)))</f>
        <v>RJ</v>
      </c>
      <c r="O1123" s="4" t="str">
        <f aca="false">IF($A1123="","",_xlfn.XLOOKUP(LOWER(TRIM(Base_Bruta!N1123)),DePara_Pais!$A$2:$A$9,DePara_Pais!$B$2:$B$9,"REVISAR"))</f>
        <v>Brasil</v>
      </c>
      <c r="P1123" s="4" t="str">
        <f aca="false">IF($A1123="","",IF(O1123&lt;&gt;"Brasil","Turista Internacional",IF(M1123=F1123,"Local","Turista Nacional")))</f>
        <v>Local</v>
      </c>
      <c r="Q1123" s="7" t="n">
        <f aca="false">IF($A1123="","",DATE(YEAR(B1123),MONTH(B1123),1))</f>
        <v>45931</v>
      </c>
      <c r="R1123" s="4" t="str">
        <f aca="false">IF($A1123="","",IF(COUNTIF($A$2:$A1123,$A1123)&gt;1,"Sim","Não"))</f>
        <v>Não</v>
      </c>
      <c r="S1123" s="4" t="str">
        <f aca="false">IF(A1123="","Descartar - Linha vazia",IF(R1123="Sim","Descartar - Duplicado",IF(OR(H1123&lt;=0,I1123&lt;=0),"Descartar - Qtd/Valor inválido","OK")))</f>
        <v>OK</v>
      </c>
      <c r="T1123" s="4" t="str">
        <f aca="false">Base_Bruta!P1123</f>
        <v>vendas_RJ.xlsx</v>
      </c>
    </row>
    <row r="1124" customFormat="false" ht="15" hidden="false" customHeight="false" outlineLevel="0" collapsed="false">
      <c r="A1124" s="4" t="str">
        <f aca="false">IF(Base_Bruta!A1124="","",Base_Bruta!A1124)</f>
        <v>RJ-000128</v>
      </c>
      <c r="B1124" s="5" t="n">
        <f aca="false">IF($A1124="","",IF(ISNUMBER(Base_Bruta!B1124),Base_Bruta!B1124,IF(MID(Base_Bruta!B1124,5,1)="-",DATE(VALUE(LEFT(Base_Bruta!B1124,4)),VALUE(MID(Base_Bruta!B1124,6,2)),VALUE(RIGHT(Base_Bruta!B1124,2))),DATE(VALUE(RIGHT(Base_Bruta!B1124,4)),VALUE(MID(Base_Bruta!B1124,4,2)),VALUE(LEFT(Base_Bruta!B1124,2))))))</f>
        <v>45944</v>
      </c>
      <c r="C1124" s="5" t="n">
        <f aca="false">IF($A1124="","",IF(ISNUMBER(Base_Bruta!C1124),Base_Bruta!C1124,IF(MID(Base_Bruta!C1124,5,1)="-",DATE(VALUE(LEFT(Base_Bruta!C1124,4)),VALUE(MID(Base_Bruta!C1124,6,2)),VALUE(RIGHT(Base_Bruta!C1124,2))),DATE(VALUE(RIGHT(Base_Bruta!C1124,4)),VALUE(MID(Base_Bruta!C1124,4,2)),VALUE(LEFT(Base_Bruta!C1124,2))))))</f>
        <v>46046</v>
      </c>
      <c r="D1124" s="4" t="str">
        <f aca="false">IF($A1124="","",TRIM(Base_Bruta!D1124))</f>
        <v>Rio Beat Festival 2026</v>
      </c>
      <c r="E1124" s="4" t="str">
        <f aca="false">IF($A1124="","",_xlfn.XLOOKUP(LOWER(TRIM(Base_Bruta!E1124)),DePara_Categoria!$A$2:$A$9,DePara_Categoria!$B$2:$B$9,"REVISAR"))</f>
        <v>Festival</v>
      </c>
      <c r="F1124" s="4" t="str">
        <f aca="false">IF($A1124="","",_xlfn.XLOOKUP(LOWER(TRIM(Base_Bruta!F1124)),DePara_Cidade!$A$2:$A$29,DePara_Cidade!$B$2:$B$29,"REVISAR"))</f>
        <v>Rio de Janeiro</v>
      </c>
      <c r="G1124" s="4" t="str">
        <f aca="false">IF($A1124="","",TRIM(Base_Bruta!G1124))</f>
        <v>Meia</v>
      </c>
      <c r="H1124" s="4" t="n">
        <f aca="false">IF($A1124="","",IF(ISNUMBER(Base_Bruta!H1124),Base_Bruta!H1124,IFERROR(_xlfn.NUMBERVALUE(TRIM(SUBSTITUTE(Base_Bruta!H1124,"R$","")),",","."),0)))</f>
        <v>2</v>
      </c>
      <c r="I1124" s="6" t="n">
        <f aca="false">IF($A1124="","",IF(ISNUMBER(Base_Bruta!I1124),Base_Bruta!I1124,IFERROR(_xlfn.NUMBERVALUE(TRIM(SUBSTITUTE(Base_Bruta!I1124,"R$","")),",","."),0)))</f>
        <v>400</v>
      </c>
      <c r="J1124" s="6" t="n">
        <f aca="false">IF($A1124="","",H1124*I1124)</f>
        <v>800</v>
      </c>
      <c r="K1124" s="4" t="str">
        <f aca="false">IF($A1124="","",TRIM(Base_Bruta!J1124))</f>
        <v>Parceiro</v>
      </c>
      <c r="L1124" s="4" t="str">
        <f aca="false">IF($A1124="","",TRIM(Base_Bruta!K1124))</f>
        <v>C01887</v>
      </c>
      <c r="M1124" s="4" t="str">
        <f aca="false">IF($A1124="","",_xlfn.XLOOKUP(LOWER(TRIM(Base_Bruta!L1124)),DePara_Cidade!$A$2:$A$29,DePara_Cidade!$B$2:$B$29,"REVISAR"))</f>
        <v>Santos</v>
      </c>
      <c r="N1124" s="4" t="str">
        <f aca="false">IF($A1124="","",UPPER(TRIM(Base_Bruta!M1124)))</f>
        <v>SP</v>
      </c>
      <c r="O1124" s="4" t="str">
        <f aca="false">IF($A1124="","",_xlfn.XLOOKUP(LOWER(TRIM(Base_Bruta!N1124)),DePara_Pais!$A$2:$A$9,DePara_Pais!$B$2:$B$9,"REVISAR"))</f>
        <v>Brasil</v>
      </c>
      <c r="P1124" s="4" t="str">
        <f aca="false">IF($A1124="","",IF(O1124&lt;&gt;"Brasil","Turista Internacional",IF(M1124=F1124,"Local","Turista Nacional")))</f>
        <v>Turista Nacional</v>
      </c>
      <c r="Q1124" s="7" t="n">
        <f aca="false">IF($A1124="","",DATE(YEAR(B1124),MONTH(B1124),1))</f>
        <v>45931</v>
      </c>
      <c r="R1124" s="4" t="str">
        <f aca="false">IF($A1124="","",IF(COUNTIF($A$2:$A1124,$A1124)&gt;1,"Sim","Não"))</f>
        <v>Não</v>
      </c>
      <c r="S1124" s="4" t="str">
        <f aca="false">IF(A1124="","Descartar - Linha vazia",IF(R1124="Sim","Descartar - Duplicado",IF(OR(H1124&lt;=0,I1124&lt;=0),"Descartar - Qtd/Valor inválido","OK")))</f>
        <v>OK</v>
      </c>
      <c r="T1124" s="4" t="str">
        <f aca="false">Base_Bruta!P1124</f>
        <v>vendas_RJ.xlsx</v>
      </c>
    </row>
    <row r="1125" customFormat="false" ht="15" hidden="false" customHeight="false" outlineLevel="0" collapsed="false">
      <c r="A1125" s="4" t="str">
        <f aca="false">IF(Base_Bruta!A1125="","",Base_Bruta!A1125)</f>
        <v>RJ-000159</v>
      </c>
      <c r="B1125" s="5" t="n">
        <f aca="false">IF($A1125="","",IF(ISNUMBER(Base_Bruta!B1125),Base_Bruta!B1125,IF(MID(Base_Bruta!B1125,5,1)="-",DATE(VALUE(LEFT(Base_Bruta!B1125,4)),VALUE(MID(Base_Bruta!B1125,6,2)),VALUE(RIGHT(Base_Bruta!B1125,2))),DATE(VALUE(RIGHT(Base_Bruta!B1125,4)),VALUE(MID(Base_Bruta!B1125,4,2)),VALUE(LEFT(Base_Bruta!B1125,2))))))</f>
        <v>45944</v>
      </c>
      <c r="C1125" s="5" t="n">
        <f aca="false">IF($A1125="","",IF(ISNUMBER(Base_Bruta!C1125),Base_Bruta!C1125,IF(MID(Base_Bruta!C1125,5,1)="-",DATE(VALUE(LEFT(Base_Bruta!C1125,4)),VALUE(MID(Base_Bruta!C1125,6,2)),VALUE(RIGHT(Base_Bruta!C1125,2))),DATE(VALUE(RIGHT(Base_Bruta!C1125,4)),VALUE(MID(Base_Bruta!C1125,4,2)),VALUE(LEFT(Base_Bruta!C1125,2))))))</f>
        <v>46046</v>
      </c>
      <c r="D1125" s="4" t="str">
        <f aca="false">IF($A1125="","",TRIM(Base_Bruta!D1125))</f>
        <v>Rio Beat Festival 2026</v>
      </c>
      <c r="E1125" s="4" t="str">
        <f aca="false">IF($A1125="","",_xlfn.XLOOKUP(LOWER(TRIM(Base_Bruta!E1125)),DePara_Categoria!$A$2:$A$9,DePara_Categoria!$B$2:$B$9,"REVISAR"))</f>
        <v>Festival</v>
      </c>
      <c r="F1125" s="4" t="str">
        <f aca="false">IF($A1125="","",_xlfn.XLOOKUP(LOWER(TRIM(Base_Bruta!F1125)),DePara_Cidade!$A$2:$A$29,DePara_Cidade!$B$2:$B$29,"REVISAR"))</f>
        <v>Rio de Janeiro</v>
      </c>
      <c r="G1125" s="4" t="str">
        <f aca="false">IF($A1125="","",TRIM(Base_Bruta!G1125))</f>
        <v>Inteira</v>
      </c>
      <c r="H1125" s="4" t="n">
        <f aca="false">IF($A1125="","",IF(ISNUMBER(Base_Bruta!H1125),Base_Bruta!H1125,IFERROR(_xlfn.NUMBERVALUE(TRIM(SUBSTITUTE(Base_Bruta!H1125,"R$","")),",","."),0)))</f>
        <v>1</v>
      </c>
      <c r="I1125" s="6" t="n">
        <f aca="false">IF($A1125="","",IF(ISNUMBER(Base_Bruta!I1125),Base_Bruta!I1125,IFERROR(_xlfn.NUMBERVALUE(TRIM(SUBSTITUTE(Base_Bruta!I1125,"R$","")),",","."),0)))</f>
        <v>840</v>
      </c>
      <c r="J1125" s="6" t="n">
        <f aca="false">IF($A1125="","",H1125*I1125)</f>
        <v>840</v>
      </c>
      <c r="K1125" s="4" t="str">
        <f aca="false">IF($A1125="","",TRIM(Base_Bruta!J1125))</f>
        <v>Bilheteria</v>
      </c>
      <c r="L1125" s="4" t="str">
        <f aca="false">IF($A1125="","",TRIM(Base_Bruta!K1125))</f>
        <v>C00559</v>
      </c>
      <c r="M1125" s="4" t="str">
        <f aca="false">IF($A1125="","",_xlfn.XLOOKUP(LOWER(TRIM(Base_Bruta!L1125)),DePara_Cidade!$A$2:$A$29,DePara_Cidade!$B$2:$B$29,"REVISAR"))</f>
        <v>Rio de Janeiro</v>
      </c>
      <c r="N1125" s="4" t="str">
        <f aca="false">IF($A1125="","",UPPER(TRIM(Base_Bruta!M1125)))</f>
        <v>RJ</v>
      </c>
      <c r="O1125" s="4" t="str">
        <f aca="false">IF($A1125="","",_xlfn.XLOOKUP(LOWER(TRIM(Base_Bruta!N1125)),DePara_Pais!$A$2:$A$9,DePara_Pais!$B$2:$B$9,"REVISAR"))</f>
        <v>Brasil</v>
      </c>
      <c r="P1125" s="4" t="str">
        <f aca="false">IF($A1125="","",IF(O1125&lt;&gt;"Brasil","Turista Internacional",IF(M1125=F1125,"Local","Turista Nacional")))</f>
        <v>Local</v>
      </c>
      <c r="Q1125" s="7" t="n">
        <f aca="false">IF($A1125="","",DATE(YEAR(B1125),MONTH(B1125),1))</f>
        <v>45931</v>
      </c>
      <c r="R1125" s="4" t="str">
        <f aca="false">IF($A1125="","",IF(COUNTIF($A$2:$A1125,$A1125)&gt;1,"Sim","Não"))</f>
        <v>Não</v>
      </c>
      <c r="S1125" s="4" t="str">
        <f aca="false">IF(A1125="","Descartar - Linha vazia",IF(R1125="Sim","Descartar - Duplicado",IF(OR(H1125&lt;=0,I1125&lt;=0),"Descartar - Qtd/Valor inválido","OK")))</f>
        <v>OK</v>
      </c>
      <c r="T1125" s="4" t="str">
        <f aca="false">Base_Bruta!P1125</f>
        <v>vendas_RJ.xlsx</v>
      </c>
    </row>
    <row r="1126" customFormat="false" ht="15" hidden="false" customHeight="false" outlineLevel="0" collapsed="false">
      <c r="A1126" s="4" t="str">
        <f aca="false">IF(Base_Bruta!A1126="","",Base_Bruta!A1126)</f>
        <v>RJ-000185</v>
      </c>
      <c r="B1126" s="5" t="n">
        <f aca="false">IF($A1126="","",IF(ISNUMBER(Base_Bruta!B1126),Base_Bruta!B1126,IF(MID(Base_Bruta!B1126,5,1)="-",DATE(VALUE(LEFT(Base_Bruta!B1126,4)),VALUE(MID(Base_Bruta!B1126,6,2)),VALUE(RIGHT(Base_Bruta!B1126,2))),DATE(VALUE(RIGHT(Base_Bruta!B1126,4)),VALUE(MID(Base_Bruta!B1126,4,2)),VALUE(LEFT(Base_Bruta!B1126,2))))))</f>
        <v>45944</v>
      </c>
      <c r="C1126" s="5" t="n">
        <f aca="false">IF($A1126="","",IF(ISNUMBER(Base_Bruta!C1126),Base_Bruta!C1126,IF(MID(Base_Bruta!C1126,5,1)="-",DATE(VALUE(LEFT(Base_Bruta!C1126,4)),VALUE(MID(Base_Bruta!C1126,6,2)),VALUE(RIGHT(Base_Bruta!C1126,2))),DATE(VALUE(RIGHT(Base_Bruta!C1126,4)),VALUE(MID(Base_Bruta!C1126,4,2)),VALUE(LEFT(Base_Bruta!C1126,2))))))</f>
        <v>46046</v>
      </c>
      <c r="D1126" s="4" t="str">
        <f aca="false">IF($A1126="","",TRIM(Base_Bruta!D1126))</f>
        <v>Rio Beat Festival 2026</v>
      </c>
      <c r="E1126" s="4" t="str">
        <f aca="false">IF($A1126="","",_xlfn.XLOOKUP(LOWER(TRIM(Base_Bruta!E1126)),DePara_Categoria!$A$2:$A$9,DePara_Categoria!$B$2:$B$9,"REVISAR"))</f>
        <v>Festival</v>
      </c>
      <c r="F1126" s="4" t="str">
        <f aca="false">IF($A1126="","",_xlfn.XLOOKUP(LOWER(TRIM(Base_Bruta!F1126)),DePara_Cidade!$A$2:$A$29,DePara_Cidade!$B$2:$B$29,"REVISAR"))</f>
        <v>Rio de Janeiro</v>
      </c>
      <c r="G1126" s="4" t="str">
        <f aca="false">IF($A1126="","",TRIM(Base_Bruta!G1126))</f>
        <v>Meia</v>
      </c>
      <c r="H1126" s="4" t="n">
        <f aca="false">IF($A1126="","",IF(ISNUMBER(Base_Bruta!H1126),Base_Bruta!H1126,IFERROR(_xlfn.NUMBERVALUE(TRIM(SUBSTITUTE(Base_Bruta!H1126,"R$","")),",","."),0)))</f>
        <v>2</v>
      </c>
      <c r="I1126" s="6" t="n">
        <f aca="false">IF($A1126="","",IF(ISNUMBER(Base_Bruta!I1126),Base_Bruta!I1126,IFERROR(_xlfn.NUMBERVALUE(TRIM(SUBSTITUTE(Base_Bruta!I1126,"R$","")),",","."),0)))</f>
        <v>435</v>
      </c>
      <c r="J1126" s="6" t="n">
        <f aca="false">IF($A1126="","",H1126*I1126)</f>
        <v>870</v>
      </c>
      <c r="K1126" s="4" t="str">
        <f aca="false">IF($A1126="","",TRIM(Base_Bruta!J1126))</f>
        <v>App</v>
      </c>
      <c r="L1126" s="4" t="str">
        <f aca="false">IF($A1126="","",TRIM(Base_Bruta!K1126))</f>
        <v>C01099</v>
      </c>
      <c r="M1126" s="4" t="str">
        <f aca="false">IF($A1126="","",_xlfn.XLOOKUP(LOWER(TRIM(Base_Bruta!L1126)),DePara_Cidade!$A$2:$A$29,DePara_Cidade!$B$2:$B$29,"REVISAR"))</f>
        <v>Rio de Janeiro</v>
      </c>
      <c r="N1126" s="4" t="str">
        <f aca="false">IF($A1126="","",UPPER(TRIM(Base_Bruta!M1126)))</f>
        <v>RJ</v>
      </c>
      <c r="O1126" s="4" t="str">
        <f aca="false">IF($A1126="","",_xlfn.XLOOKUP(LOWER(TRIM(Base_Bruta!N1126)),DePara_Pais!$A$2:$A$9,DePara_Pais!$B$2:$B$9,"REVISAR"))</f>
        <v>Brasil</v>
      </c>
      <c r="P1126" s="4" t="str">
        <f aca="false">IF($A1126="","",IF(O1126&lt;&gt;"Brasil","Turista Internacional",IF(M1126=F1126,"Local","Turista Nacional")))</f>
        <v>Local</v>
      </c>
      <c r="Q1126" s="7" t="n">
        <f aca="false">IF($A1126="","",DATE(YEAR(B1126),MONTH(B1126),1))</f>
        <v>45931</v>
      </c>
      <c r="R1126" s="4" t="str">
        <f aca="false">IF($A1126="","",IF(COUNTIF($A$2:$A1126,$A1126)&gt;1,"Sim","Não"))</f>
        <v>Não</v>
      </c>
      <c r="S1126" s="4" t="str">
        <f aca="false">IF(A1126="","Descartar - Linha vazia",IF(R1126="Sim","Descartar - Duplicado",IF(OR(H1126&lt;=0,I1126&lt;=0),"Descartar - Qtd/Valor inválido","OK")))</f>
        <v>OK</v>
      </c>
      <c r="T1126" s="4" t="str">
        <f aca="false">Base_Bruta!P1126</f>
        <v>vendas_RJ.xlsx</v>
      </c>
    </row>
    <row r="1127" customFormat="false" ht="15" hidden="false" customHeight="false" outlineLevel="0" collapsed="false">
      <c r="A1127" s="4" t="str">
        <f aca="false">IF(Base_Bruta!A1127="","",Base_Bruta!A1127)</f>
        <v>RJ-000186</v>
      </c>
      <c r="B1127" s="5" t="n">
        <f aca="false">IF($A1127="","",IF(ISNUMBER(Base_Bruta!B1127),Base_Bruta!B1127,IF(MID(Base_Bruta!B1127,5,1)="-",DATE(VALUE(LEFT(Base_Bruta!B1127,4)),VALUE(MID(Base_Bruta!B1127,6,2)),VALUE(RIGHT(Base_Bruta!B1127,2))),DATE(VALUE(RIGHT(Base_Bruta!B1127,4)),VALUE(MID(Base_Bruta!B1127,4,2)),VALUE(LEFT(Base_Bruta!B1127,2))))))</f>
        <v>45944</v>
      </c>
      <c r="C1127" s="5" t="n">
        <f aca="false">IF($A1127="","",IF(ISNUMBER(Base_Bruta!C1127),Base_Bruta!C1127,IF(MID(Base_Bruta!C1127,5,1)="-",DATE(VALUE(LEFT(Base_Bruta!C1127,4)),VALUE(MID(Base_Bruta!C1127,6,2)),VALUE(RIGHT(Base_Bruta!C1127,2))),DATE(VALUE(RIGHT(Base_Bruta!C1127,4)),VALUE(MID(Base_Bruta!C1127,4,2)),VALUE(LEFT(Base_Bruta!C1127,2))))))</f>
        <v>46046</v>
      </c>
      <c r="D1127" s="4" t="str">
        <f aca="false">IF($A1127="","",TRIM(Base_Bruta!D1127))</f>
        <v>Rio Beat Festival 2026</v>
      </c>
      <c r="E1127" s="4" t="str">
        <f aca="false">IF($A1127="","",_xlfn.XLOOKUP(LOWER(TRIM(Base_Bruta!E1127)),DePara_Categoria!$A$2:$A$9,DePara_Categoria!$B$2:$B$9,"REVISAR"))</f>
        <v>Festival</v>
      </c>
      <c r="F1127" s="4" t="str">
        <f aca="false">IF($A1127="","",_xlfn.XLOOKUP(LOWER(TRIM(Base_Bruta!F1127)),DePara_Cidade!$A$2:$A$29,DePara_Cidade!$B$2:$B$29,"REVISAR"))</f>
        <v>Rio de Janeiro</v>
      </c>
      <c r="G1127" s="4" t="str">
        <f aca="false">IF($A1127="","",TRIM(Base_Bruta!G1127))</f>
        <v>Inteira</v>
      </c>
      <c r="H1127" s="4" t="n">
        <f aca="false">IF($A1127="","",IF(ISNUMBER(Base_Bruta!H1127),Base_Bruta!H1127,IFERROR(_xlfn.NUMBERVALUE(TRIM(SUBSTITUTE(Base_Bruta!H1127,"R$","")),",","."),0)))</f>
        <v>4</v>
      </c>
      <c r="I1127" s="6" t="n">
        <f aca="false">IF($A1127="","",IF(ISNUMBER(Base_Bruta!I1127),Base_Bruta!I1127,IFERROR(_xlfn.NUMBERVALUE(TRIM(SUBSTITUTE(Base_Bruta!I1127,"R$","")),",","."),0)))</f>
        <v>740</v>
      </c>
      <c r="J1127" s="6" t="n">
        <f aca="false">IF($A1127="","",H1127*I1127)</f>
        <v>2960</v>
      </c>
      <c r="K1127" s="4" t="str">
        <f aca="false">IF($A1127="","",TRIM(Base_Bruta!J1127))</f>
        <v>Site</v>
      </c>
      <c r="L1127" s="4" t="str">
        <f aca="false">IF($A1127="","",TRIM(Base_Bruta!K1127))</f>
        <v>C01337</v>
      </c>
      <c r="M1127" s="4" t="str">
        <f aca="false">IF($A1127="","",_xlfn.XLOOKUP(LOWER(TRIM(Base_Bruta!L1127)),DePara_Cidade!$A$2:$A$29,DePara_Cidade!$B$2:$B$29,"REVISAR"))</f>
        <v>Niterói</v>
      </c>
      <c r="N1127" s="4" t="str">
        <f aca="false">IF($A1127="","",UPPER(TRIM(Base_Bruta!M1127)))</f>
        <v>RJ</v>
      </c>
      <c r="O1127" s="4" t="str">
        <f aca="false">IF($A1127="","",_xlfn.XLOOKUP(LOWER(TRIM(Base_Bruta!N1127)),DePara_Pais!$A$2:$A$9,DePara_Pais!$B$2:$B$9,"REVISAR"))</f>
        <v>Brasil</v>
      </c>
      <c r="P1127" s="4" t="str">
        <f aca="false">IF($A1127="","",IF(O1127&lt;&gt;"Brasil","Turista Internacional",IF(M1127=F1127,"Local","Turista Nacional")))</f>
        <v>Turista Nacional</v>
      </c>
      <c r="Q1127" s="7" t="n">
        <f aca="false">IF($A1127="","",DATE(YEAR(B1127),MONTH(B1127),1))</f>
        <v>45931</v>
      </c>
      <c r="R1127" s="4" t="str">
        <f aca="false">IF($A1127="","",IF(COUNTIF($A$2:$A1127,$A1127)&gt;1,"Sim","Não"))</f>
        <v>Não</v>
      </c>
      <c r="S1127" s="4" t="str">
        <f aca="false">IF(A1127="","Descartar - Linha vazia",IF(R1127="Sim","Descartar - Duplicado",IF(OR(H1127&lt;=0,I1127&lt;=0),"Descartar - Qtd/Valor inválido","OK")))</f>
        <v>OK</v>
      </c>
      <c r="T1127" s="4" t="str">
        <f aca="false">Base_Bruta!P1127</f>
        <v>vendas_RJ.xlsx</v>
      </c>
    </row>
    <row r="1128" customFormat="false" ht="15" hidden="false" customHeight="false" outlineLevel="0" collapsed="false">
      <c r="A1128" s="4" t="str">
        <f aca="false">IF(Base_Bruta!A1128="","",Base_Bruta!A1128)</f>
        <v>RJ-000218</v>
      </c>
      <c r="B1128" s="5" t="n">
        <f aca="false">IF($A1128="","",IF(ISNUMBER(Base_Bruta!B1128),Base_Bruta!B1128,IF(MID(Base_Bruta!B1128,5,1)="-",DATE(VALUE(LEFT(Base_Bruta!B1128,4)),VALUE(MID(Base_Bruta!B1128,6,2)),VALUE(RIGHT(Base_Bruta!B1128,2))),DATE(VALUE(RIGHT(Base_Bruta!B1128,4)),VALUE(MID(Base_Bruta!B1128,4,2)),VALUE(LEFT(Base_Bruta!B1128,2))))))</f>
        <v>45944</v>
      </c>
      <c r="C1128" s="5" t="n">
        <f aca="false">IF($A1128="","",IF(ISNUMBER(Base_Bruta!C1128),Base_Bruta!C1128,IF(MID(Base_Bruta!C1128,5,1)="-",DATE(VALUE(LEFT(Base_Bruta!C1128,4)),VALUE(MID(Base_Bruta!C1128,6,2)),VALUE(RIGHT(Base_Bruta!C1128,2))),DATE(VALUE(RIGHT(Base_Bruta!C1128,4)),VALUE(MID(Base_Bruta!C1128,4,2)),VALUE(LEFT(Base_Bruta!C1128,2))))))</f>
        <v>46046</v>
      </c>
      <c r="D1128" s="4" t="str">
        <f aca="false">IF($A1128="","",TRIM(Base_Bruta!D1128))</f>
        <v>Rio Beat Festival 2026</v>
      </c>
      <c r="E1128" s="4" t="str">
        <f aca="false">IF($A1128="","",_xlfn.XLOOKUP(LOWER(TRIM(Base_Bruta!E1128)),DePara_Categoria!$A$2:$A$9,DePara_Categoria!$B$2:$B$9,"REVISAR"))</f>
        <v>Festival</v>
      </c>
      <c r="F1128" s="4" t="str">
        <f aca="false">IF($A1128="","",_xlfn.XLOOKUP(LOWER(TRIM(Base_Bruta!F1128)),DePara_Cidade!$A$2:$A$29,DePara_Cidade!$B$2:$B$29,"REVISAR"))</f>
        <v>Rio de Janeiro</v>
      </c>
      <c r="G1128" s="4" t="str">
        <f aca="false">IF($A1128="","",TRIM(Base_Bruta!G1128))</f>
        <v>Inteira</v>
      </c>
      <c r="H1128" s="4" t="n">
        <f aca="false">IF($A1128="","",IF(ISNUMBER(Base_Bruta!H1128),Base_Bruta!H1128,IFERROR(_xlfn.NUMBERVALUE(TRIM(SUBSTITUTE(Base_Bruta!H1128,"R$","")),",","."),0)))</f>
        <v>3</v>
      </c>
      <c r="I1128" s="6" t="n">
        <f aca="false">IF($A1128="","",IF(ISNUMBER(Base_Bruta!I1128),Base_Bruta!I1128,IFERROR(_xlfn.NUMBERVALUE(TRIM(SUBSTITUTE(Base_Bruta!I1128,"R$","")),",","."),0)))</f>
        <v>830</v>
      </c>
      <c r="J1128" s="6" t="n">
        <f aca="false">IF($A1128="","",H1128*I1128)</f>
        <v>2490</v>
      </c>
      <c r="K1128" s="4" t="str">
        <f aca="false">IF($A1128="","",TRIM(Base_Bruta!J1128))</f>
        <v>Parceiro</v>
      </c>
      <c r="L1128" s="4" t="str">
        <f aca="false">IF($A1128="","",TRIM(Base_Bruta!K1128))</f>
        <v>C00418</v>
      </c>
      <c r="M1128" s="4" t="str">
        <f aca="false">IF($A1128="","",_xlfn.XLOOKUP(LOWER(TRIM(Base_Bruta!L1128)),DePara_Cidade!$A$2:$A$29,DePara_Cidade!$B$2:$B$29,"REVISAR"))</f>
        <v>Salvador</v>
      </c>
      <c r="N1128" s="4" t="str">
        <f aca="false">IF($A1128="","",UPPER(TRIM(Base_Bruta!M1128)))</f>
        <v>BA</v>
      </c>
      <c r="O1128" s="4" t="str">
        <f aca="false">IF($A1128="","",_xlfn.XLOOKUP(LOWER(TRIM(Base_Bruta!N1128)),DePara_Pais!$A$2:$A$9,DePara_Pais!$B$2:$B$9,"REVISAR"))</f>
        <v>Brasil</v>
      </c>
      <c r="P1128" s="4" t="str">
        <f aca="false">IF($A1128="","",IF(O1128&lt;&gt;"Brasil","Turista Internacional",IF(M1128=F1128,"Local","Turista Nacional")))</f>
        <v>Turista Nacional</v>
      </c>
      <c r="Q1128" s="7" t="n">
        <f aca="false">IF($A1128="","",DATE(YEAR(B1128),MONTH(B1128),1))</f>
        <v>45931</v>
      </c>
      <c r="R1128" s="4" t="str">
        <f aca="false">IF($A1128="","",IF(COUNTIF($A$2:$A1128,$A1128)&gt;1,"Sim","Não"))</f>
        <v>Não</v>
      </c>
      <c r="S1128" s="4" t="str">
        <f aca="false">IF(A1128="","Descartar - Linha vazia",IF(R1128="Sim","Descartar - Duplicado",IF(OR(H1128&lt;=0,I1128&lt;=0),"Descartar - Qtd/Valor inválido","OK")))</f>
        <v>OK</v>
      </c>
      <c r="T1128" s="4" t="str">
        <f aca="false">Base_Bruta!P1128</f>
        <v>vendas_RJ.xlsx</v>
      </c>
    </row>
    <row r="1129" customFormat="false" ht="15" hidden="false" customHeight="false" outlineLevel="0" collapsed="false">
      <c r="A1129" s="4" t="str">
        <f aca="false">IF(Base_Bruta!A1129="","",Base_Bruta!A1129)</f>
        <v>RJ-000229</v>
      </c>
      <c r="B1129" s="5" t="n">
        <f aca="false">IF($A1129="","",IF(ISNUMBER(Base_Bruta!B1129),Base_Bruta!B1129,IF(MID(Base_Bruta!B1129,5,1)="-",DATE(VALUE(LEFT(Base_Bruta!B1129,4)),VALUE(MID(Base_Bruta!B1129,6,2)),VALUE(RIGHT(Base_Bruta!B1129,2))),DATE(VALUE(RIGHT(Base_Bruta!B1129,4)),VALUE(MID(Base_Bruta!B1129,4,2)),VALUE(LEFT(Base_Bruta!B1129,2))))))</f>
        <v>45944</v>
      </c>
      <c r="C1129" s="5" t="n">
        <f aca="false">IF($A1129="","",IF(ISNUMBER(Base_Bruta!C1129),Base_Bruta!C1129,IF(MID(Base_Bruta!C1129,5,1)="-",DATE(VALUE(LEFT(Base_Bruta!C1129,4)),VALUE(MID(Base_Bruta!C1129,6,2)),VALUE(RIGHT(Base_Bruta!C1129,2))),DATE(VALUE(RIGHT(Base_Bruta!C1129,4)),VALUE(MID(Base_Bruta!C1129,4,2)),VALUE(LEFT(Base_Bruta!C1129,2))))))</f>
        <v>46046</v>
      </c>
      <c r="D1129" s="4" t="str">
        <f aca="false">IF($A1129="","",TRIM(Base_Bruta!D1129))</f>
        <v>Rio Beat Festival 2026</v>
      </c>
      <c r="E1129" s="4" t="str">
        <f aca="false">IF($A1129="","",_xlfn.XLOOKUP(LOWER(TRIM(Base_Bruta!E1129)),DePara_Categoria!$A$2:$A$9,DePara_Categoria!$B$2:$B$9,"REVISAR"))</f>
        <v>Festival</v>
      </c>
      <c r="F1129" s="4" t="str">
        <f aca="false">IF($A1129="","",_xlfn.XLOOKUP(LOWER(TRIM(Base_Bruta!F1129)),DePara_Cidade!$A$2:$A$29,DePara_Cidade!$B$2:$B$29,"REVISAR"))</f>
        <v>Rio de Janeiro</v>
      </c>
      <c r="G1129" s="4" t="str">
        <f aca="false">IF($A1129="","",TRIM(Base_Bruta!G1129))</f>
        <v>Meia</v>
      </c>
      <c r="H1129" s="4" t="n">
        <f aca="false">IF($A1129="","",IF(ISNUMBER(Base_Bruta!H1129),Base_Bruta!H1129,IFERROR(_xlfn.NUMBERVALUE(TRIM(SUBSTITUTE(Base_Bruta!H1129,"R$","")),",","."),0)))</f>
        <v>1</v>
      </c>
      <c r="I1129" s="6" t="n">
        <f aca="false">IF($A1129="","",IF(ISNUMBER(Base_Bruta!I1129),Base_Bruta!I1129,IFERROR(_xlfn.NUMBERVALUE(TRIM(SUBSTITUTE(Base_Bruta!I1129,"R$","")),",","."),0)))</f>
        <v>565</v>
      </c>
      <c r="J1129" s="6" t="n">
        <f aca="false">IF($A1129="","",H1129*I1129)</f>
        <v>565</v>
      </c>
      <c r="K1129" s="4" t="str">
        <f aca="false">IF($A1129="","",TRIM(Base_Bruta!J1129))</f>
        <v>Site</v>
      </c>
      <c r="L1129" s="4" t="str">
        <f aca="false">IF($A1129="","",TRIM(Base_Bruta!K1129))</f>
        <v>C01016</v>
      </c>
      <c r="M1129" s="4" t="str">
        <f aca="false">IF($A1129="","",_xlfn.XLOOKUP(LOWER(TRIM(Base_Bruta!L1129)),DePara_Cidade!$A$2:$A$29,DePara_Cidade!$B$2:$B$29,"REVISAR"))</f>
        <v>Santiago</v>
      </c>
      <c r="N1129" s="4" t="str">
        <f aca="false">IF($A1129="","",UPPER(TRIM(Base_Bruta!M1129)))</f>
        <v>EX</v>
      </c>
      <c r="O1129" s="4" t="str">
        <f aca="false">IF($A1129="","",_xlfn.XLOOKUP(LOWER(TRIM(Base_Bruta!N1129)),DePara_Pais!$A$2:$A$9,DePara_Pais!$B$2:$B$9,"REVISAR"))</f>
        <v>Chile</v>
      </c>
      <c r="P1129" s="4" t="str">
        <f aca="false">IF($A1129="","",IF(O1129&lt;&gt;"Brasil","Turista Internacional",IF(M1129=F1129,"Local","Turista Nacional")))</f>
        <v>Turista Internacional</v>
      </c>
      <c r="Q1129" s="7" t="n">
        <f aca="false">IF($A1129="","",DATE(YEAR(B1129),MONTH(B1129),1))</f>
        <v>45931</v>
      </c>
      <c r="R1129" s="4" t="str">
        <f aca="false">IF($A1129="","",IF(COUNTIF($A$2:$A1129,$A1129)&gt;1,"Sim","Não"))</f>
        <v>Não</v>
      </c>
      <c r="S1129" s="4" t="str">
        <f aca="false">IF(A1129="","Descartar - Linha vazia",IF(R1129="Sim","Descartar - Duplicado",IF(OR(H1129&lt;=0,I1129&lt;=0),"Descartar - Qtd/Valor inválido","OK")))</f>
        <v>OK</v>
      </c>
      <c r="T1129" s="4" t="str">
        <f aca="false">Base_Bruta!P1129</f>
        <v>vendas_RJ.xlsx</v>
      </c>
    </row>
    <row r="1130" customFormat="false" ht="15" hidden="false" customHeight="false" outlineLevel="0" collapsed="false">
      <c r="A1130" s="4" t="str">
        <f aca="false">IF(Base_Bruta!A1130="","",Base_Bruta!A1130)</f>
        <v>RJ-000076</v>
      </c>
      <c r="B1130" s="5" t="n">
        <f aca="false">IF($A1130="","",IF(ISNUMBER(Base_Bruta!B1130),Base_Bruta!B1130,IF(MID(Base_Bruta!B1130,5,1)="-",DATE(VALUE(LEFT(Base_Bruta!B1130,4)),VALUE(MID(Base_Bruta!B1130,6,2)),VALUE(RIGHT(Base_Bruta!B1130,2))),DATE(VALUE(RIGHT(Base_Bruta!B1130,4)),VALUE(MID(Base_Bruta!B1130,4,2)),VALUE(LEFT(Base_Bruta!B1130,2))))))</f>
        <v>45945</v>
      </c>
      <c r="C1130" s="5" t="n">
        <f aca="false">IF($A1130="","",IF(ISNUMBER(Base_Bruta!C1130),Base_Bruta!C1130,IF(MID(Base_Bruta!C1130,5,1)="-",DATE(VALUE(LEFT(Base_Bruta!C1130,4)),VALUE(MID(Base_Bruta!C1130,6,2)),VALUE(RIGHT(Base_Bruta!C1130,2))),DATE(VALUE(RIGHT(Base_Bruta!C1130,4)),VALUE(MID(Base_Bruta!C1130,4,2)),VALUE(LEFT(Base_Bruta!C1130,2))))))</f>
        <v>46046</v>
      </c>
      <c r="D1130" s="4" t="str">
        <f aca="false">IF($A1130="","",TRIM(Base_Bruta!D1130))</f>
        <v>Rio Beat Festival 2026</v>
      </c>
      <c r="E1130" s="4" t="str">
        <f aca="false">IF($A1130="","",_xlfn.XLOOKUP(LOWER(TRIM(Base_Bruta!E1130)),DePara_Categoria!$A$2:$A$9,DePara_Categoria!$B$2:$B$9,"REVISAR"))</f>
        <v>Festival</v>
      </c>
      <c r="F1130" s="4" t="str">
        <f aca="false">IF($A1130="","",_xlfn.XLOOKUP(LOWER(TRIM(Base_Bruta!F1130)),DePara_Cidade!$A$2:$A$29,DePara_Cidade!$B$2:$B$29,"REVISAR"))</f>
        <v>Rio de Janeiro</v>
      </c>
      <c r="G1130" s="4" t="str">
        <f aca="false">IF($A1130="","",TRIM(Base_Bruta!G1130))</f>
        <v>Inteira</v>
      </c>
      <c r="H1130" s="4" t="n">
        <f aca="false">IF($A1130="","",IF(ISNUMBER(Base_Bruta!H1130),Base_Bruta!H1130,IFERROR(_xlfn.NUMBERVALUE(TRIM(SUBSTITUTE(Base_Bruta!H1130,"R$","")),",","."),0)))</f>
        <v>1</v>
      </c>
      <c r="I1130" s="6" t="n">
        <f aca="false">IF($A1130="","",IF(ISNUMBER(Base_Bruta!I1130),Base_Bruta!I1130,IFERROR(_xlfn.NUMBERVALUE(TRIM(SUBSTITUTE(Base_Bruta!I1130,"R$","")),",","."),0)))</f>
        <v>1070</v>
      </c>
      <c r="J1130" s="6" t="n">
        <f aca="false">IF($A1130="","",H1130*I1130)</f>
        <v>1070</v>
      </c>
      <c r="K1130" s="4" t="str">
        <f aca="false">IF($A1130="","",TRIM(Base_Bruta!J1130))</f>
        <v>Site</v>
      </c>
      <c r="L1130" s="4" t="str">
        <f aca="false">IF($A1130="","",TRIM(Base_Bruta!K1130))</f>
        <v>C00648</v>
      </c>
      <c r="M1130" s="4" t="str">
        <f aca="false">IF($A1130="","",_xlfn.XLOOKUP(LOWER(TRIM(Base_Bruta!L1130)),DePara_Cidade!$A$2:$A$29,DePara_Cidade!$B$2:$B$29,"REVISAR"))</f>
        <v>Rio de Janeiro</v>
      </c>
      <c r="N1130" s="4" t="str">
        <f aca="false">IF($A1130="","",UPPER(TRIM(Base_Bruta!M1130)))</f>
        <v>RJ</v>
      </c>
      <c r="O1130" s="4" t="str">
        <f aca="false">IF($A1130="","",_xlfn.XLOOKUP(LOWER(TRIM(Base_Bruta!N1130)),DePara_Pais!$A$2:$A$9,DePara_Pais!$B$2:$B$9,"REVISAR"))</f>
        <v>Brasil</v>
      </c>
      <c r="P1130" s="4" t="str">
        <f aca="false">IF($A1130="","",IF(O1130&lt;&gt;"Brasil","Turista Internacional",IF(M1130=F1130,"Local","Turista Nacional")))</f>
        <v>Local</v>
      </c>
      <c r="Q1130" s="7" t="n">
        <f aca="false">IF($A1130="","",DATE(YEAR(B1130),MONTH(B1130),1))</f>
        <v>45931</v>
      </c>
      <c r="R1130" s="4" t="str">
        <f aca="false">IF($A1130="","",IF(COUNTIF($A$2:$A1130,$A1130)&gt;1,"Sim","Não"))</f>
        <v>Não</v>
      </c>
      <c r="S1130" s="4" t="str">
        <f aca="false">IF(A1130="","Descartar - Linha vazia",IF(R1130="Sim","Descartar - Duplicado",IF(OR(H1130&lt;=0,I1130&lt;=0),"Descartar - Qtd/Valor inválido","OK")))</f>
        <v>OK</v>
      </c>
      <c r="T1130" s="4" t="str">
        <f aca="false">Base_Bruta!P1130</f>
        <v>vendas_RJ.xlsx</v>
      </c>
    </row>
    <row r="1131" customFormat="false" ht="15" hidden="false" customHeight="false" outlineLevel="0" collapsed="false">
      <c r="A1131" s="4" t="str">
        <f aca="false">IF(Base_Bruta!A1131="","",Base_Bruta!A1131)</f>
        <v>RJ-000088</v>
      </c>
      <c r="B1131" s="5" t="n">
        <f aca="false">IF($A1131="","",IF(ISNUMBER(Base_Bruta!B1131),Base_Bruta!B1131,IF(MID(Base_Bruta!B1131,5,1)="-",DATE(VALUE(LEFT(Base_Bruta!B1131,4)),VALUE(MID(Base_Bruta!B1131,6,2)),VALUE(RIGHT(Base_Bruta!B1131,2))),DATE(VALUE(RIGHT(Base_Bruta!B1131,4)),VALUE(MID(Base_Bruta!B1131,4,2)),VALUE(LEFT(Base_Bruta!B1131,2))))))</f>
        <v>45945</v>
      </c>
      <c r="C1131" s="5" t="n">
        <f aca="false">IF($A1131="","",IF(ISNUMBER(Base_Bruta!C1131),Base_Bruta!C1131,IF(MID(Base_Bruta!C1131,5,1)="-",DATE(VALUE(LEFT(Base_Bruta!C1131,4)),VALUE(MID(Base_Bruta!C1131,6,2)),VALUE(RIGHT(Base_Bruta!C1131,2))),DATE(VALUE(RIGHT(Base_Bruta!C1131,4)),VALUE(MID(Base_Bruta!C1131,4,2)),VALUE(LEFT(Base_Bruta!C1131,2))))))</f>
        <v>46046</v>
      </c>
      <c r="D1131" s="4" t="str">
        <f aca="false">IF($A1131="","",TRIM(Base_Bruta!D1131))</f>
        <v>Rio Beat Festival 2026</v>
      </c>
      <c r="E1131" s="4" t="str">
        <f aca="false">IF($A1131="","",_xlfn.XLOOKUP(LOWER(TRIM(Base_Bruta!E1131)),DePara_Categoria!$A$2:$A$9,DePara_Categoria!$B$2:$B$9,"REVISAR"))</f>
        <v>Festival</v>
      </c>
      <c r="F1131" s="4" t="str">
        <f aca="false">IF($A1131="","",_xlfn.XLOOKUP(LOWER(TRIM(Base_Bruta!F1131)),DePara_Cidade!$A$2:$A$29,DePara_Cidade!$B$2:$B$29,"REVISAR"))</f>
        <v>Rio de Janeiro</v>
      </c>
      <c r="G1131" s="4" t="str">
        <f aca="false">IF($A1131="","",TRIM(Base_Bruta!G1131))</f>
        <v>Meia</v>
      </c>
      <c r="H1131" s="4" t="n">
        <f aca="false">IF($A1131="","",IF(ISNUMBER(Base_Bruta!H1131),Base_Bruta!H1131,IFERROR(_xlfn.NUMBERVALUE(TRIM(SUBSTITUTE(Base_Bruta!H1131,"R$","")),",","."),0)))</f>
        <v>1</v>
      </c>
      <c r="I1131" s="6" t="n">
        <f aca="false">IF($A1131="","",IF(ISNUMBER(Base_Bruta!I1131),Base_Bruta!I1131,IFERROR(_xlfn.NUMBERVALUE(TRIM(SUBSTITUTE(Base_Bruta!I1131,"R$","")),",","."),0)))</f>
        <v>325</v>
      </c>
      <c r="J1131" s="6" t="n">
        <f aca="false">IF($A1131="","",H1131*I1131)</f>
        <v>325</v>
      </c>
      <c r="K1131" s="4" t="str">
        <f aca="false">IF($A1131="","",TRIM(Base_Bruta!J1131))</f>
        <v>Site</v>
      </c>
      <c r="L1131" s="4" t="str">
        <f aca="false">IF($A1131="","",TRIM(Base_Bruta!K1131))</f>
        <v>C00092</v>
      </c>
      <c r="M1131" s="4" t="str">
        <f aca="false">IF($A1131="","",_xlfn.XLOOKUP(LOWER(TRIM(Base_Bruta!L1131)),DePara_Cidade!$A$2:$A$29,DePara_Cidade!$B$2:$B$29,"REVISAR"))</f>
        <v>Rio de Janeiro</v>
      </c>
      <c r="N1131" s="4" t="str">
        <f aca="false">IF($A1131="","",UPPER(TRIM(Base_Bruta!M1131)))</f>
        <v>RJ</v>
      </c>
      <c r="O1131" s="4" t="str">
        <f aca="false">IF($A1131="","",_xlfn.XLOOKUP(LOWER(TRIM(Base_Bruta!N1131)),DePara_Pais!$A$2:$A$9,DePara_Pais!$B$2:$B$9,"REVISAR"))</f>
        <v>Brasil</v>
      </c>
      <c r="P1131" s="4" t="str">
        <f aca="false">IF($A1131="","",IF(O1131&lt;&gt;"Brasil","Turista Internacional",IF(M1131=F1131,"Local","Turista Nacional")))</f>
        <v>Local</v>
      </c>
      <c r="Q1131" s="7" t="n">
        <f aca="false">IF($A1131="","",DATE(YEAR(B1131),MONTH(B1131),1))</f>
        <v>45931</v>
      </c>
      <c r="R1131" s="4" t="str">
        <f aca="false">IF($A1131="","",IF(COUNTIF($A$2:$A1131,$A1131)&gt;1,"Sim","Não"))</f>
        <v>Não</v>
      </c>
      <c r="S1131" s="4" t="str">
        <f aca="false">IF(A1131="","Descartar - Linha vazia",IF(R1131="Sim","Descartar - Duplicado",IF(OR(H1131&lt;=0,I1131&lt;=0),"Descartar - Qtd/Valor inválido","OK")))</f>
        <v>OK</v>
      </c>
      <c r="T1131" s="4" t="str">
        <f aca="false">Base_Bruta!P1131</f>
        <v>vendas_RJ.xlsx</v>
      </c>
    </row>
    <row r="1132" customFormat="false" ht="15" hidden="false" customHeight="false" outlineLevel="0" collapsed="false">
      <c r="A1132" s="4" t="str">
        <f aca="false">IF(Base_Bruta!A1132="","",Base_Bruta!A1132)</f>
        <v>RJ-000103</v>
      </c>
      <c r="B1132" s="5" t="n">
        <f aca="false">IF($A1132="","",IF(ISNUMBER(Base_Bruta!B1132),Base_Bruta!B1132,IF(MID(Base_Bruta!B1132,5,1)="-",DATE(VALUE(LEFT(Base_Bruta!B1132,4)),VALUE(MID(Base_Bruta!B1132,6,2)),VALUE(RIGHT(Base_Bruta!B1132,2))),DATE(VALUE(RIGHT(Base_Bruta!B1132,4)),VALUE(MID(Base_Bruta!B1132,4,2)),VALUE(LEFT(Base_Bruta!B1132,2))))))</f>
        <v>45945</v>
      </c>
      <c r="C1132" s="5" t="n">
        <f aca="false">IF($A1132="","",IF(ISNUMBER(Base_Bruta!C1132),Base_Bruta!C1132,IF(MID(Base_Bruta!C1132,5,1)="-",DATE(VALUE(LEFT(Base_Bruta!C1132,4)),VALUE(MID(Base_Bruta!C1132,6,2)),VALUE(RIGHT(Base_Bruta!C1132,2))),DATE(VALUE(RIGHT(Base_Bruta!C1132,4)),VALUE(MID(Base_Bruta!C1132,4,2)),VALUE(LEFT(Base_Bruta!C1132,2))))))</f>
        <v>46046</v>
      </c>
      <c r="D1132" s="4" t="str">
        <f aca="false">IF($A1132="","",TRIM(Base_Bruta!D1132))</f>
        <v>Rio Beat Festival 2026</v>
      </c>
      <c r="E1132" s="4" t="str">
        <f aca="false">IF($A1132="","",_xlfn.XLOOKUP(LOWER(TRIM(Base_Bruta!E1132)),DePara_Categoria!$A$2:$A$9,DePara_Categoria!$B$2:$B$9,"REVISAR"))</f>
        <v>Festival</v>
      </c>
      <c r="F1132" s="4" t="str">
        <f aca="false">IF($A1132="","",_xlfn.XLOOKUP(LOWER(TRIM(Base_Bruta!F1132)),DePara_Cidade!$A$2:$A$29,DePara_Cidade!$B$2:$B$29,"REVISAR"))</f>
        <v>Rio de Janeiro</v>
      </c>
      <c r="G1132" s="4" t="str">
        <f aca="false">IF($A1132="","",TRIM(Base_Bruta!G1132))</f>
        <v>Meia</v>
      </c>
      <c r="H1132" s="4" t="n">
        <f aca="false">IF($A1132="","",IF(ISNUMBER(Base_Bruta!H1132),Base_Bruta!H1132,IFERROR(_xlfn.NUMBERVALUE(TRIM(SUBSTITUTE(Base_Bruta!H1132,"R$","")),",","."),0)))</f>
        <v>1</v>
      </c>
      <c r="I1132" s="6" t="n">
        <f aca="false">IF($A1132="","",IF(ISNUMBER(Base_Bruta!I1132),Base_Bruta!I1132,IFERROR(_xlfn.NUMBERVALUE(TRIM(SUBSTITUTE(Base_Bruta!I1132,"R$","")),",","."),0)))</f>
        <v>450</v>
      </c>
      <c r="J1132" s="6" t="n">
        <f aca="false">IF($A1132="","",H1132*I1132)</f>
        <v>450</v>
      </c>
      <c r="K1132" s="4" t="str">
        <f aca="false">IF($A1132="","",TRIM(Base_Bruta!J1132))</f>
        <v>App</v>
      </c>
      <c r="L1132" s="4" t="str">
        <f aca="false">IF($A1132="","",TRIM(Base_Bruta!K1132))</f>
        <v>C02458</v>
      </c>
      <c r="M1132" s="4" t="str">
        <f aca="false">IF($A1132="","",_xlfn.XLOOKUP(LOWER(TRIM(Base_Bruta!L1132)),DePara_Cidade!$A$2:$A$29,DePara_Cidade!$B$2:$B$29,"REVISAR"))</f>
        <v>Rio de Janeiro</v>
      </c>
      <c r="N1132" s="4" t="str">
        <f aca="false">IF($A1132="","",UPPER(TRIM(Base_Bruta!M1132)))</f>
        <v>RJ</v>
      </c>
      <c r="O1132" s="4" t="str">
        <f aca="false">IF($A1132="","",_xlfn.XLOOKUP(LOWER(TRIM(Base_Bruta!N1132)),DePara_Pais!$A$2:$A$9,DePara_Pais!$B$2:$B$9,"REVISAR"))</f>
        <v>Brasil</v>
      </c>
      <c r="P1132" s="4" t="str">
        <f aca="false">IF($A1132="","",IF(O1132&lt;&gt;"Brasil","Turista Internacional",IF(M1132=F1132,"Local","Turista Nacional")))</f>
        <v>Local</v>
      </c>
      <c r="Q1132" s="7" t="n">
        <f aca="false">IF($A1132="","",DATE(YEAR(B1132),MONTH(B1132),1))</f>
        <v>45931</v>
      </c>
      <c r="R1132" s="4" t="str">
        <f aca="false">IF($A1132="","",IF(COUNTIF($A$2:$A1132,$A1132)&gt;1,"Sim","Não"))</f>
        <v>Não</v>
      </c>
      <c r="S1132" s="4" t="str">
        <f aca="false">IF(A1132="","Descartar - Linha vazia",IF(R1132="Sim","Descartar - Duplicado",IF(OR(H1132&lt;=0,I1132&lt;=0),"Descartar - Qtd/Valor inválido","OK")))</f>
        <v>OK</v>
      </c>
      <c r="T1132" s="4" t="str">
        <f aca="false">Base_Bruta!P1132</f>
        <v>vendas_RJ.xlsx</v>
      </c>
    </row>
    <row r="1133" customFormat="false" ht="15" hidden="false" customHeight="false" outlineLevel="0" collapsed="false">
      <c r="A1133" s="4" t="str">
        <f aca="false">IF(Base_Bruta!A1133="","",Base_Bruta!A1133)</f>
        <v>RJ-000056</v>
      </c>
      <c r="B1133" s="5" t="n">
        <f aca="false">IF($A1133="","",IF(ISNUMBER(Base_Bruta!B1133),Base_Bruta!B1133,IF(MID(Base_Bruta!B1133,5,1)="-",DATE(VALUE(LEFT(Base_Bruta!B1133,4)),VALUE(MID(Base_Bruta!B1133,6,2)),VALUE(RIGHT(Base_Bruta!B1133,2))),DATE(VALUE(RIGHT(Base_Bruta!B1133,4)),VALUE(MID(Base_Bruta!B1133,4,2)),VALUE(LEFT(Base_Bruta!B1133,2))))))</f>
        <v>45946</v>
      </c>
      <c r="C1133" s="5" t="n">
        <f aca="false">IF($A1133="","",IF(ISNUMBER(Base_Bruta!C1133),Base_Bruta!C1133,IF(MID(Base_Bruta!C1133,5,1)="-",DATE(VALUE(LEFT(Base_Bruta!C1133,4)),VALUE(MID(Base_Bruta!C1133,6,2)),VALUE(RIGHT(Base_Bruta!C1133,2))),DATE(VALUE(RIGHT(Base_Bruta!C1133,4)),VALUE(MID(Base_Bruta!C1133,4,2)),VALUE(LEFT(Base_Bruta!C1133,2))))))</f>
        <v>46046</v>
      </c>
      <c r="D1133" s="4" t="str">
        <f aca="false">IF($A1133="","",TRIM(Base_Bruta!D1133))</f>
        <v>Rio Beat Festival 2026</v>
      </c>
      <c r="E1133" s="4" t="str">
        <f aca="false">IF($A1133="","",_xlfn.XLOOKUP(LOWER(TRIM(Base_Bruta!E1133)),DePara_Categoria!$A$2:$A$9,DePara_Categoria!$B$2:$B$9,"REVISAR"))</f>
        <v>Festival</v>
      </c>
      <c r="F1133" s="4" t="str">
        <f aca="false">IF($A1133="","",_xlfn.XLOOKUP(LOWER(TRIM(Base_Bruta!F1133)),DePara_Cidade!$A$2:$A$29,DePara_Cidade!$B$2:$B$29,"REVISAR"))</f>
        <v>Rio de Janeiro</v>
      </c>
      <c r="G1133" s="4" t="str">
        <f aca="false">IF($A1133="","",TRIM(Base_Bruta!G1133))</f>
        <v>Meia</v>
      </c>
      <c r="H1133" s="4" t="n">
        <f aca="false">IF($A1133="","",IF(ISNUMBER(Base_Bruta!H1133),Base_Bruta!H1133,IFERROR(_xlfn.NUMBERVALUE(TRIM(SUBSTITUTE(Base_Bruta!H1133,"R$","")),",","."),0)))</f>
        <v>3</v>
      </c>
      <c r="I1133" s="6" t="n">
        <f aca="false">IF($A1133="","",IF(ISNUMBER(Base_Bruta!I1133),Base_Bruta!I1133,IFERROR(_xlfn.NUMBERVALUE(TRIM(SUBSTITUTE(Base_Bruta!I1133,"R$","")),",","."),0)))</f>
        <v>337.5</v>
      </c>
      <c r="J1133" s="6" t="n">
        <f aca="false">IF($A1133="","",H1133*I1133)</f>
        <v>1012.5</v>
      </c>
      <c r="K1133" s="4" t="str">
        <f aca="false">IF($A1133="","",TRIM(Base_Bruta!J1133))</f>
        <v>Bilheteria</v>
      </c>
      <c r="L1133" s="4" t="str">
        <f aca="false">IF($A1133="","",TRIM(Base_Bruta!K1133))</f>
        <v>C02114</v>
      </c>
      <c r="M1133" s="4" t="str">
        <f aca="false">IF($A1133="","",_xlfn.XLOOKUP(LOWER(TRIM(Base_Bruta!L1133)),DePara_Cidade!$A$2:$A$29,DePara_Cidade!$B$2:$B$29,"REVISAR"))</f>
        <v>Buenos Aires</v>
      </c>
      <c r="N1133" s="4" t="str">
        <f aca="false">IF($A1133="","",UPPER(TRIM(Base_Bruta!M1133)))</f>
        <v>EX</v>
      </c>
      <c r="O1133" s="4" t="str">
        <f aca="false">IF($A1133="","",_xlfn.XLOOKUP(LOWER(TRIM(Base_Bruta!N1133)),DePara_Pais!$A$2:$A$9,DePara_Pais!$B$2:$B$9,"REVISAR"))</f>
        <v>Argentina</v>
      </c>
      <c r="P1133" s="4" t="str">
        <f aca="false">IF($A1133="","",IF(O1133&lt;&gt;"Brasil","Turista Internacional",IF(M1133=F1133,"Local","Turista Nacional")))</f>
        <v>Turista Internacional</v>
      </c>
      <c r="Q1133" s="7" t="n">
        <f aca="false">IF($A1133="","",DATE(YEAR(B1133),MONTH(B1133),1))</f>
        <v>45931</v>
      </c>
      <c r="R1133" s="4" t="str">
        <f aca="false">IF($A1133="","",IF(COUNTIF($A$2:$A1133,$A1133)&gt;1,"Sim","Não"))</f>
        <v>Não</v>
      </c>
      <c r="S1133" s="4" t="str">
        <f aca="false">IF(A1133="","Descartar - Linha vazia",IF(R1133="Sim","Descartar - Duplicado",IF(OR(H1133&lt;=0,I1133&lt;=0),"Descartar - Qtd/Valor inválido","OK")))</f>
        <v>OK</v>
      </c>
      <c r="T1133" s="4" t="str">
        <f aca="false">Base_Bruta!P1133</f>
        <v>vendas_RJ.xlsx</v>
      </c>
    </row>
    <row r="1134" customFormat="false" ht="15" hidden="false" customHeight="false" outlineLevel="0" collapsed="false">
      <c r="A1134" s="4" t="str">
        <f aca="false">IF(Base_Bruta!A1134="","",Base_Bruta!A1134)</f>
        <v>RJ-000069</v>
      </c>
      <c r="B1134" s="5" t="n">
        <f aca="false">IF($A1134="","",IF(ISNUMBER(Base_Bruta!B1134),Base_Bruta!B1134,IF(MID(Base_Bruta!B1134,5,1)="-",DATE(VALUE(LEFT(Base_Bruta!B1134,4)),VALUE(MID(Base_Bruta!B1134,6,2)),VALUE(RIGHT(Base_Bruta!B1134,2))),DATE(VALUE(RIGHT(Base_Bruta!B1134,4)),VALUE(MID(Base_Bruta!B1134,4,2)),VALUE(LEFT(Base_Bruta!B1134,2))))))</f>
        <v>45946</v>
      </c>
      <c r="C1134" s="5" t="n">
        <f aca="false">IF($A1134="","",IF(ISNUMBER(Base_Bruta!C1134),Base_Bruta!C1134,IF(MID(Base_Bruta!C1134,5,1)="-",DATE(VALUE(LEFT(Base_Bruta!C1134,4)),VALUE(MID(Base_Bruta!C1134,6,2)),VALUE(RIGHT(Base_Bruta!C1134,2))),DATE(VALUE(RIGHT(Base_Bruta!C1134,4)),VALUE(MID(Base_Bruta!C1134,4,2)),VALUE(LEFT(Base_Bruta!C1134,2))))))</f>
        <v>46046</v>
      </c>
      <c r="D1134" s="4" t="str">
        <f aca="false">IF($A1134="","",TRIM(Base_Bruta!D1134))</f>
        <v>Rio Beat Festival 2026</v>
      </c>
      <c r="E1134" s="4" t="str">
        <f aca="false">IF($A1134="","",_xlfn.XLOOKUP(LOWER(TRIM(Base_Bruta!E1134)),DePara_Categoria!$A$2:$A$9,DePara_Categoria!$B$2:$B$9,"REVISAR"))</f>
        <v>Festival</v>
      </c>
      <c r="F1134" s="4" t="str">
        <f aca="false">IF($A1134="","",_xlfn.XLOOKUP(LOWER(TRIM(Base_Bruta!F1134)),DePara_Cidade!$A$2:$A$29,DePara_Cidade!$B$2:$B$29,"REVISAR"))</f>
        <v>Rio de Janeiro</v>
      </c>
      <c r="G1134" s="4" t="str">
        <f aca="false">IF($A1134="","",TRIM(Base_Bruta!G1134))</f>
        <v>Meia</v>
      </c>
      <c r="H1134" s="4" t="n">
        <f aca="false">IF($A1134="","",IF(ISNUMBER(Base_Bruta!H1134),Base_Bruta!H1134,IFERROR(_xlfn.NUMBERVALUE(TRIM(SUBSTITUTE(Base_Bruta!H1134,"R$","")),",","."),0)))</f>
        <v>2</v>
      </c>
      <c r="I1134" s="6" t="n">
        <f aca="false">IF($A1134="","",IF(ISNUMBER(Base_Bruta!I1134),Base_Bruta!I1134,IFERROR(_xlfn.NUMBERVALUE(TRIM(SUBSTITUTE(Base_Bruta!I1134,"R$","")),",","."),0)))</f>
        <v>340</v>
      </c>
      <c r="J1134" s="6" t="n">
        <f aca="false">IF($A1134="","",H1134*I1134)</f>
        <v>680</v>
      </c>
      <c r="K1134" s="4" t="str">
        <f aca="false">IF($A1134="","",TRIM(Base_Bruta!J1134))</f>
        <v>App</v>
      </c>
      <c r="L1134" s="4" t="str">
        <f aca="false">IF($A1134="","",TRIM(Base_Bruta!K1134))</f>
        <v>C00975</v>
      </c>
      <c r="M1134" s="4" t="str">
        <f aca="false">IF($A1134="","",_xlfn.XLOOKUP(LOWER(TRIM(Base_Bruta!L1134)),DePara_Cidade!$A$2:$A$29,DePara_Cidade!$B$2:$B$29,"REVISAR"))</f>
        <v>Rio de Janeiro</v>
      </c>
      <c r="N1134" s="4" t="str">
        <f aca="false">IF($A1134="","",UPPER(TRIM(Base_Bruta!M1134)))</f>
        <v>RJ</v>
      </c>
      <c r="O1134" s="4" t="str">
        <f aca="false">IF($A1134="","",_xlfn.XLOOKUP(LOWER(TRIM(Base_Bruta!N1134)),DePara_Pais!$A$2:$A$9,DePara_Pais!$B$2:$B$9,"REVISAR"))</f>
        <v>Brasil</v>
      </c>
      <c r="P1134" s="4" t="str">
        <f aca="false">IF($A1134="","",IF(O1134&lt;&gt;"Brasil","Turista Internacional",IF(M1134=F1134,"Local","Turista Nacional")))</f>
        <v>Local</v>
      </c>
      <c r="Q1134" s="7" t="n">
        <f aca="false">IF($A1134="","",DATE(YEAR(B1134),MONTH(B1134),1))</f>
        <v>45931</v>
      </c>
      <c r="R1134" s="4" t="str">
        <f aca="false">IF($A1134="","",IF(COUNTIF($A$2:$A1134,$A1134)&gt;1,"Sim","Não"))</f>
        <v>Não</v>
      </c>
      <c r="S1134" s="4" t="str">
        <f aca="false">IF(A1134="","Descartar - Linha vazia",IF(R1134="Sim","Descartar - Duplicado",IF(OR(H1134&lt;=0,I1134&lt;=0),"Descartar - Qtd/Valor inválido","OK")))</f>
        <v>OK</v>
      </c>
      <c r="T1134" s="4" t="str">
        <f aca="false">Base_Bruta!P1134</f>
        <v>vendas_RJ.xlsx</v>
      </c>
    </row>
    <row r="1135" customFormat="false" ht="15" hidden="false" customHeight="false" outlineLevel="0" collapsed="false">
      <c r="A1135" s="4" t="str">
        <f aca="false">IF(Base_Bruta!A1135="","",Base_Bruta!A1135)</f>
        <v>RJ-000124</v>
      </c>
      <c r="B1135" s="5" t="n">
        <f aca="false">IF($A1135="","",IF(ISNUMBER(Base_Bruta!B1135),Base_Bruta!B1135,IF(MID(Base_Bruta!B1135,5,1)="-",DATE(VALUE(LEFT(Base_Bruta!B1135,4)),VALUE(MID(Base_Bruta!B1135,6,2)),VALUE(RIGHT(Base_Bruta!B1135,2))),DATE(VALUE(RIGHT(Base_Bruta!B1135,4)),VALUE(MID(Base_Bruta!B1135,4,2)),VALUE(LEFT(Base_Bruta!B1135,2))))))</f>
        <v>45946</v>
      </c>
      <c r="C1135" s="5" t="n">
        <f aca="false">IF($A1135="","",IF(ISNUMBER(Base_Bruta!C1135),Base_Bruta!C1135,IF(MID(Base_Bruta!C1135,5,1)="-",DATE(VALUE(LEFT(Base_Bruta!C1135,4)),VALUE(MID(Base_Bruta!C1135,6,2)),VALUE(RIGHT(Base_Bruta!C1135,2))),DATE(VALUE(RIGHT(Base_Bruta!C1135,4)),VALUE(MID(Base_Bruta!C1135,4,2)),VALUE(LEFT(Base_Bruta!C1135,2))))))</f>
        <v>46046</v>
      </c>
      <c r="D1135" s="4" t="str">
        <f aca="false">IF($A1135="","",TRIM(Base_Bruta!D1135))</f>
        <v>Rio Beat Festival 2026</v>
      </c>
      <c r="E1135" s="4" t="str">
        <f aca="false">IF($A1135="","",_xlfn.XLOOKUP(LOWER(TRIM(Base_Bruta!E1135)),DePara_Categoria!$A$2:$A$9,DePara_Categoria!$B$2:$B$9,"REVISAR"))</f>
        <v>Festival</v>
      </c>
      <c r="F1135" s="4" t="str">
        <f aca="false">IF($A1135="","",_xlfn.XLOOKUP(LOWER(TRIM(Base_Bruta!F1135)),DePara_Cidade!$A$2:$A$29,DePara_Cidade!$B$2:$B$29,"REVISAR"))</f>
        <v>Rio de Janeiro</v>
      </c>
      <c r="G1135" s="4" t="str">
        <f aca="false">IF($A1135="","",TRIM(Base_Bruta!G1135))</f>
        <v>Inteira</v>
      </c>
      <c r="H1135" s="4" t="n">
        <f aca="false">IF($A1135="","",IF(ISNUMBER(Base_Bruta!H1135),Base_Bruta!H1135,IFERROR(_xlfn.NUMBERVALUE(TRIM(SUBSTITUTE(Base_Bruta!H1135,"R$","")),",","."),0)))</f>
        <v>1</v>
      </c>
      <c r="I1135" s="6" t="n">
        <f aca="false">IF($A1135="","",IF(ISNUMBER(Base_Bruta!I1135),Base_Bruta!I1135,IFERROR(_xlfn.NUMBERVALUE(TRIM(SUBSTITUTE(Base_Bruta!I1135,"R$","")),",","."),0)))</f>
        <v>705</v>
      </c>
      <c r="J1135" s="6" t="n">
        <f aca="false">IF($A1135="","",H1135*I1135)</f>
        <v>705</v>
      </c>
      <c r="K1135" s="4" t="str">
        <f aca="false">IF($A1135="","",TRIM(Base_Bruta!J1135))</f>
        <v>App</v>
      </c>
      <c r="L1135" s="4" t="str">
        <f aca="false">IF($A1135="","",TRIM(Base_Bruta!K1135))</f>
        <v>C02183</v>
      </c>
      <c r="M1135" s="4" t="str">
        <f aca="false">IF($A1135="","",_xlfn.XLOOKUP(LOWER(TRIM(Base_Bruta!L1135)),DePara_Cidade!$A$2:$A$29,DePara_Cidade!$B$2:$B$29,"REVISAR"))</f>
        <v>Buenos Aires</v>
      </c>
      <c r="N1135" s="4" t="str">
        <f aca="false">IF($A1135="","",UPPER(TRIM(Base_Bruta!M1135)))</f>
        <v>EX</v>
      </c>
      <c r="O1135" s="4" t="str">
        <f aca="false">IF($A1135="","",_xlfn.XLOOKUP(LOWER(TRIM(Base_Bruta!N1135)),DePara_Pais!$A$2:$A$9,DePara_Pais!$B$2:$B$9,"REVISAR"))</f>
        <v>Argentina</v>
      </c>
      <c r="P1135" s="4" t="str">
        <f aca="false">IF($A1135="","",IF(O1135&lt;&gt;"Brasil","Turista Internacional",IF(M1135=F1135,"Local","Turista Nacional")))</f>
        <v>Turista Internacional</v>
      </c>
      <c r="Q1135" s="7" t="n">
        <f aca="false">IF($A1135="","",DATE(YEAR(B1135),MONTH(B1135),1))</f>
        <v>45931</v>
      </c>
      <c r="R1135" s="4" t="str">
        <f aca="false">IF($A1135="","",IF(COUNTIF($A$2:$A1135,$A1135)&gt;1,"Sim","Não"))</f>
        <v>Não</v>
      </c>
      <c r="S1135" s="4" t="str">
        <f aca="false">IF(A1135="","Descartar - Linha vazia",IF(R1135="Sim","Descartar - Duplicado",IF(OR(H1135&lt;=0,I1135&lt;=0),"Descartar - Qtd/Valor inválido","OK")))</f>
        <v>OK</v>
      </c>
      <c r="T1135" s="4" t="str">
        <f aca="false">Base_Bruta!P1135</f>
        <v>vendas_RJ.xlsx</v>
      </c>
    </row>
    <row r="1136" customFormat="false" ht="15" hidden="false" customHeight="false" outlineLevel="0" collapsed="false">
      <c r="A1136" s="4" t="str">
        <f aca="false">IF(Base_Bruta!A1136="","",Base_Bruta!A1136)</f>
        <v>RJ-000155</v>
      </c>
      <c r="B1136" s="5" t="n">
        <f aca="false">IF($A1136="","",IF(ISNUMBER(Base_Bruta!B1136),Base_Bruta!B1136,IF(MID(Base_Bruta!B1136,5,1)="-",DATE(VALUE(LEFT(Base_Bruta!B1136,4)),VALUE(MID(Base_Bruta!B1136,6,2)),VALUE(RIGHT(Base_Bruta!B1136,2))),DATE(VALUE(RIGHT(Base_Bruta!B1136,4)),VALUE(MID(Base_Bruta!B1136,4,2)),VALUE(LEFT(Base_Bruta!B1136,2))))))</f>
        <v>45946</v>
      </c>
      <c r="C1136" s="5" t="n">
        <f aca="false">IF($A1136="","",IF(ISNUMBER(Base_Bruta!C1136),Base_Bruta!C1136,IF(MID(Base_Bruta!C1136,5,1)="-",DATE(VALUE(LEFT(Base_Bruta!C1136,4)),VALUE(MID(Base_Bruta!C1136,6,2)),VALUE(RIGHT(Base_Bruta!C1136,2))),DATE(VALUE(RIGHT(Base_Bruta!C1136,4)),VALUE(MID(Base_Bruta!C1136,4,2)),VALUE(LEFT(Base_Bruta!C1136,2))))))</f>
        <v>46046</v>
      </c>
      <c r="D1136" s="4" t="str">
        <f aca="false">IF($A1136="","",TRIM(Base_Bruta!D1136))</f>
        <v>Rio Beat Festival 2026</v>
      </c>
      <c r="E1136" s="4" t="str">
        <f aca="false">IF($A1136="","",_xlfn.XLOOKUP(LOWER(TRIM(Base_Bruta!E1136)),DePara_Categoria!$A$2:$A$9,DePara_Categoria!$B$2:$B$9,"REVISAR"))</f>
        <v>Festival</v>
      </c>
      <c r="F1136" s="4" t="str">
        <f aca="false">IF($A1136="","",_xlfn.XLOOKUP(LOWER(TRIM(Base_Bruta!F1136)),DePara_Cidade!$A$2:$A$29,DePara_Cidade!$B$2:$B$29,"REVISAR"))</f>
        <v>Rio de Janeiro</v>
      </c>
      <c r="G1136" s="4" t="str">
        <f aca="false">IF($A1136="","",TRIM(Base_Bruta!G1136))</f>
        <v>Meia</v>
      </c>
      <c r="H1136" s="4" t="n">
        <f aca="false">IF($A1136="","",IF(ISNUMBER(Base_Bruta!H1136),Base_Bruta!H1136,IFERROR(_xlfn.NUMBERVALUE(TRIM(SUBSTITUTE(Base_Bruta!H1136,"R$","")),",","."),0)))</f>
        <v>1</v>
      </c>
      <c r="I1136" s="6" t="n">
        <f aca="false">IF($A1136="","",IF(ISNUMBER(Base_Bruta!I1136),Base_Bruta!I1136,IFERROR(_xlfn.NUMBERVALUE(TRIM(SUBSTITUTE(Base_Bruta!I1136,"R$","")),",","."),0)))</f>
        <v>535</v>
      </c>
      <c r="J1136" s="6" t="n">
        <f aca="false">IF($A1136="","",H1136*I1136)</f>
        <v>535</v>
      </c>
      <c r="K1136" s="4" t="str">
        <f aca="false">IF($A1136="","",TRIM(Base_Bruta!J1136))</f>
        <v>Parceiro</v>
      </c>
      <c r="L1136" s="4" t="str">
        <f aca="false">IF($A1136="","",TRIM(Base_Bruta!K1136))</f>
        <v>C01420</v>
      </c>
      <c r="M1136" s="4" t="str">
        <f aca="false">IF($A1136="","",_xlfn.XLOOKUP(LOWER(TRIM(Base_Bruta!L1136)),DePara_Cidade!$A$2:$A$29,DePara_Cidade!$B$2:$B$29,"REVISAR"))</f>
        <v>Vitória</v>
      </c>
      <c r="N1136" s="4" t="str">
        <f aca="false">IF($A1136="","",UPPER(TRIM(Base_Bruta!M1136)))</f>
        <v>ES</v>
      </c>
      <c r="O1136" s="4" t="str">
        <f aca="false">IF($A1136="","",_xlfn.XLOOKUP(LOWER(TRIM(Base_Bruta!N1136)),DePara_Pais!$A$2:$A$9,DePara_Pais!$B$2:$B$9,"REVISAR"))</f>
        <v>Brasil</v>
      </c>
      <c r="P1136" s="4" t="str">
        <f aca="false">IF($A1136="","",IF(O1136&lt;&gt;"Brasil","Turista Internacional",IF(M1136=F1136,"Local","Turista Nacional")))</f>
        <v>Turista Nacional</v>
      </c>
      <c r="Q1136" s="7" t="n">
        <f aca="false">IF($A1136="","",DATE(YEAR(B1136),MONTH(B1136),1))</f>
        <v>45931</v>
      </c>
      <c r="R1136" s="4" t="str">
        <f aca="false">IF($A1136="","",IF(COUNTIF($A$2:$A1136,$A1136)&gt;1,"Sim","Não"))</f>
        <v>Não</v>
      </c>
      <c r="S1136" s="4" t="str">
        <f aca="false">IF(A1136="","Descartar - Linha vazia",IF(R1136="Sim","Descartar - Duplicado",IF(OR(H1136&lt;=0,I1136&lt;=0),"Descartar - Qtd/Valor inválido","OK")))</f>
        <v>OK</v>
      </c>
      <c r="T1136" s="4" t="str">
        <f aca="false">Base_Bruta!P1136</f>
        <v>vendas_RJ.xlsx</v>
      </c>
    </row>
    <row r="1137" customFormat="false" ht="15" hidden="false" customHeight="false" outlineLevel="0" collapsed="false">
      <c r="A1137" s="4" t="str">
        <f aca="false">IF(Base_Bruta!A1137="","",Base_Bruta!A1137)</f>
        <v>RJ-000201</v>
      </c>
      <c r="B1137" s="5" t="n">
        <f aca="false">IF($A1137="","",IF(ISNUMBER(Base_Bruta!B1137),Base_Bruta!B1137,IF(MID(Base_Bruta!B1137,5,1)="-",DATE(VALUE(LEFT(Base_Bruta!B1137,4)),VALUE(MID(Base_Bruta!B1137,6,2)),VALUE(RIGHT(Base_Bruta!B1137,2))),DATE(VALUE(RIGHT(Base_Bruta!B1137,4)),VALUE(MID(Base_Bruta!B1137,4,2)),VALUE(LEFT(Base_Bruta!B1137,2))))))</f>
        <v>45948</v>
      </c>
      <c r="C1137" s="5" t="n">
        <f aca="false">IF($A1137="","",IF(ISNUMBER(Base_Bruta!C1137),Base_Bruta!C1137,IF(MID(Base_Bruta!C1137,5,1)="-",DATE(VALUE(LEFT(Base_Bruta!C1137,4)),VALUE(MID(Base_Bruta!C1137,6,2)),VALUE(RIGHT(Base_Bruta!C1137,2))),DATE(VALUE(RIGHT(Base_Bruta!C1137,4)),VALUE(MID(Base_Bruta!C1137,4,2)),VALUE(LEFT(Base_Bruta!C1137,2))))))</f>
        <v>46046</v>
      </c>
      <c r="D1137" s="4" t="str">
        <f aca="false">IF($A1137="","",TRIM(Base_Bruta!D1137))</f>
        <v>Rio Beat Festival 2026</v>
      </c>
      <c r="E1137" s="4" t="str">
        <f aca="false">IF($A1137="","",_xlfn.XLOOKUP(LOWER(TRIM(Base_Bruta!E1137)),DePara_Categoria!$A$2:$A$9,DePara_Categoria!$B$2:$B$9,"REVISAR"))</f>
        <v>Festival</v>
      </c>
      <c r="F1137" s="4" t="str">
        <f aca="false">IF($A1137="","",_xlfn.XLOOKUP(LOWER(TRIM(Base_Bruta!F1137)),DePara_Cidade!$A$2:$A$29,DePara_Cidade!$B$2:$B$29,"REVISAR"))</f>
        <v>Rio de Janeiro</v>
      </c>
      <c r="G1137" s="4" t="str">
        <f aca="false">IF($A1137="","",TRIM(Base_Bruta!G1137))</f>
        <v>Meia</v>
      </c>
      <c r="H1137" s="4" t="n">
        <f aca="false">IF($A1137="","",IF(ISNUMBER(Base_Bruta!H1137),Base_Bruta!H1137,IFERROR(_xlfn.NUMBERVALUE(TRIM(SUBSTITUTE(Base_Bruta!H1137,"R$","")),",","."),0)))</f>
        <v>2</v>
      </c>
      <c r="I1137" s="6" t="n">
        <f aca="false">IF($A1137="","",IF(ISNUMBER(Base_Bruta!I1137),Base_Bruta!I1137,IFERROR(_xlfn.NUMBERVALUE(TRIM(SUBSTITUTE(Base_Bruta!I1137,"R$","")),",","."),0)))</f>
        <v>402.5</v>
      </c>
      <c r="J1137" s="6" t="n">
        <f aca="false">IF($A1137="","",H1137*I1137)</f>
        <v>805</v>
      </c>
      <c r="K1137" s="4" t="str">
        <f aca="false">IF($A1137="","",TRIM(Base_Bruta!J1137))</f>
        <v>Site</v>
      </c>
      <c r="L1137" s="4" t="str">
        <f aca="false">IF($A1137="","",TRIM(Base_Bruta!K1137))</f>
        <v>C01284</v>
      </c>
      <c r="M1137" s="4" t="str">
        <f aca="false">IF($A1137="","",_xlfn.XLOOKUP(LOWER(TRIM(Base_Bruta!L1137)),DePara_Cidade!$A$2:$A$29,DePara_Cidade!$B$2:$B$29,"REVISAR"))</f>
        <v>Rio de Janeiro</v>
      </c>
      <c r="N1137" s="4" t="str">
        <f aca="false">IF($A1137="","",UPPER(TRIM(Base_Bruta!M1137)))</f>
        <v>RJ</v>
      </c>
      <c r="O1137" s="4" t="str">
        <f aca="false">IF($A1137="","",_xlfn.XLOOKUP(LOWER(TRIM(Base_Bruta!N1137)),DePara_Pais!$A$2:$A$9,DePara_Pais!$B$2:$B$9,"REVISAR"))</f>
        <v>Brasil</v>
      </c>
      <c r="P1137" s="4" t="str">
        <f aca="false">IF($A1137="","",IF(O1137&lt;&gt;"Brasil","Turista Internacional",IF(M1137=F1137,"Local","Turista Nacional")))</f>
        <v>Local</v>
      </c>
      <c r="Q1137" s="7" t="n">
        <f aca="false">IF($A1137="","",DATE(YEAR(B1137),MONTH(B1137),1))</f>
        <v>45931</v>
      </c>
      <c r="R1137" s="4" t="str">
        <f aca="false">IF($A1137="","",IF(COUNTIF($A$2:$A1137,$A1137)&gt;1,"Sim","Não"))</f>
        <v>Não</v>
      </c>
      <c r="S1137" s="4" t="str">
        <f aca="false">IF(A1137="","Descartar - Linha vazia",IF(R1137="Sim","Descartar - Duplicado",IF(OR(H1137&lt;=0,I1137&lt;=0),"Descartar - Qtd/Valor inválido","OK")))</f>
        <v>OK</v>
      </c>
      <c r="T1137" s="4" t="str">
        <f aca="false">Base_Bruta!P1137</f>
        <v>vendas_RJ.xlsx</v>
      </c>
    </row>
    <row r="1138" customFormat="false" ht="15" hidden="false" customHeight="false" outlineLevel="0" collapsed="false">
      <c r="A1138" s="4" t="str">
        <f aca="false">IF(Base_Bruta!A1138="","",Base_Bruta!A1138)</f>
        <v>RJ-000542</v>
      </c>
      <c r="B1138" s="5" t="n">
        <f aca="false">IF($A1138="","",IF(ISNUMBER(Base_Bruta!B1138),Base_Bruta!B1138,IF(MID(Base_Bruta!B1138,5,1)="-",DATE(VALUE(LEFT(Base_Bruta!B1138,4)),VALUE(MID(Base_Bruta!B1138,6,2)),VALUE(RIGHT(Base_Bruta!B1138,2))),DATE(VALUE(RIGHT(Base_Bruta!B1138,4)),VALUE(MID(Base_Bruta!B1138,4,2)),VALUE(LEFT(Base_Bruta!B1138,2))))))</f>
        <v>45949</v>
      </c>
      <c r="C1138" s="5" t="n">
        <f aca="false">IF($A1138="","",IF(ISNUMBER(Base_Bruta!C1138),Base_Bruta!C1138,IF(MID(Base_Bruta!C1138,5,1)="-",DATE(VALUE(LEFT(Base_Bruta!C1138,4)),VALUE(MID(Base_Bruta!C1138,6,2)),VALUE(RIGHT(Base_Bruta!C1138,2))),DATE(VALUE(RIGHT(Base_Bruta!C1138,4)),VALUE(MID(Base_Bruta!C1138,4,2)),VALUE(LEFT(Base_Bruta!C1138,2))))))</f>
        <v>45951</v>
      </c>
      <c r="D1138" s="4" t="str">
        <f aca="false">IF($A1138="","",TRIM(Base_Bruta!D1138))</f>
        <v>Cinema Barra - Sessões</v>
      </c>
      <c r="E1138" s="4" t="str">
        <f aca="false">IF($A1138="","",_xlfn.XLOOKUP(LOWER(TRIM(Base_Bruta!E1138)),DePara_Categoria!$A$2:$A$9,DePara_Categoria!$B$2:$B$9,"REVISAR"))</f>
        <v>Cinema</v>
      </c>
      <c r="F1138" s="4" t="str">
        <f aca="false">IF($A1138="","",_xlfn.XLOOKUP(LOWER(TRIM(Base_Bruta!F1138)),DePara_Cidade!$A$2:$A$29,DePara_Cidade!$B$2:$B$29,"REVISAR"))</f>
        <v>Rio de Janeiro</v>
      </c>
      <c r="G1138" s="4" t="str">
        <f aca="false">IF($A1138="","",TRIM(Base_Bruta!G1138))</f>
        <v>Meia</v>
      </c>
      <c r="H1138" s="4" t="n">
        <f aca="false">IF($A1138="","",IF(ISNUMBER(Base_Bruta!H1138),Base_Bruta!H1138,IFERROR(_xlfn.NUMBERVALUE(TRIM(SUBSTITUTE(Base_Bruta!H1138,"R$","")),",","."),0)))</f>
        <v>0</v>
      </c>
      <c r="I1138" s="6" t="n">
        <f aca="false">IF($A1138="","",IF(ISNUMBER(Base_Bruta!I1138),Base_Bruta!I1138,IFERROR(_xlfn.NUMBERVALUE(TRIM(SUBSTITUTE(Base_Bruta!I1138,"R$","")),",","."),0)))</f>
        <v>15</v>
      </c>
      <c r="J1138" s="6" t="n">
        <f aca="false">IF($A1138="","",H1138*I1138)</f>
        <v>0</v>
      </c>
      <c r="K1138" s="4" t="str">
        <f aca="false">IF($A1138="","",TRIM(Base_Bruta!J1138))</f>
        <v>App</v>
      </c>
      <c r="L1138" s="4" t="str">
        <f aca="false">IF($A1138="","",TRIM(Base_Bruta!K1138))</f>
        <v>C01477</v>
      </c>
      <c r="M1138" s="4" t="str">
        <f aca="false">IF($A1138="","",_xlfn.XLOOKUP(LOWER(TRIM(Base_Bruta!L1138)),DePara_Cidade!$A$2:$A$29,DePara_Cidade!$B$2:$B$29,"REVISAR"))</f>
        <v>Rio de Janeiro</v>
      </c>
      <c r="N1138" s="4" t="str">
        <f aca="false">IF($A1138="","",UPPER(TRIM(Base_Bruta!M1138)))</f>
        <v>RJ</v>
      </c>
      <c r="O1138" s="4" t="str">
        <f aca="false">IF($A1138="","",_xlfn.XLOOKUP(LOWER(TRIM(Base_Bruta!N1138)),DePara_Pais!$A$2:$A$9,DePara_Pais!$B$2:$B$9,"REVISAR"))</f>
        <v>Brasil</v>
      </c>
      <c r="P1138" s="4" t="str">
        <f aca="false">IF($A1138="","",IF(O1138&lt;&gt;"Brasil","Turista Internacional",IF(M1138=F1138,"Local","Turista Nacional")))</f>
        <v>Local</v>
      </c>
      <c r="Q1138" s="7" t="n">
        <f aca="false">IF($A1138="","",DATE(YEAR(B1138),MONTH(B1138),1))</f>
        <v>45931</v>
      </c>
      <c r="R1138" s="4" t="str">
        <f aca="false">IF($A1138="","",IF(COUNTIF($A$2:$A1138,$A1138)&gt;1,"Sim","Não"))</f>
        <v>Não</v>
      </c>
      <c r="S1138" s="4" t="str">
        <f aca="false">IF(A1138="","Descartar - Linha vazia",IF(R1138="Sim","Descartar - Duplicado",IF(OR(H1138&lt;=0,I1138&lt;=0),"Descartar - Qtd/Valor inválido","OK")))</f>
        <v>Descartar - Qtd/Valor inválido</v>
      </c>
      <c r="T1138" s="4" t="str">
        <f aca="false">Base_Bruta!P1138</f>
        <v>vendas_RJ.xlsx</v>
      </c>
    </row>
    <row r="1139" customFormat="false" ht="15" hidden="false" customHeight="false" outlineLevel="0" collapsed="false">
      <c r="A1139" s="4" t="str">
        <f aca="false">IF(Base_Bruta!A1139="","",Base_Bruta!A1139)</f>
        <v>RJ-000592</v>
      </c>
      <c r="B1139" s="5" t="n">
        <f aca="false">IF($A1139="","",IF(ISNUMBER(Base_Bruta!B1139),Base_Bruta!B1139,IF(MID(Base_Bruta!B1139,5,1)="-",DATE(VALUE(LEFT(Base_Bruta!B1139,4)),VALUE(MID(Base_Bruta!B1139,6,2)),VALUE(RIGHT(Base_Bruta!B1139,2))),DATE(VALUE(RIGHT(Base_Bruta!B1139,4)),VALUE(MID(Base_Bruta!B1139,4,2)),VALUE(LEFT(Base_Bruta!B1139,2))))))</f>
        <v>45949</v>
      </c>
      <c r="C1139" s="5" t="n">
        <f aca="false">IF($A1139="","",IF(ISNUMBER(Base_Bruta!C1139),Base_Bruta!C1139,IF(MID(Base_Bruta!C1139,5,1)="-",DATE(VALUE(LEFT(Base_Bruta!C1139,4)),VALUE(MID(Base_Bruta!C1139,6,2)),VALUE(RIGHT(Base_Bruta!C1139,2))),DATE(VALUE(RIGHT(Base_Bruta!C1139,4)),VALUE(MID(Base_Bruta!C1139,4,2)),VALUE(LEFT(Base_Bruta!C1139,2))))))</f>
        <v>45951</v>
      </c>
      <c r="D1139" s="4" t="str">
        <f aca="false">IF($A1139="","",TRIM(Base_Bruta!D1139))</f>
        <v>Cinema Barra - Sessões</v>
      </c>
      <c r="E1139" s="4" t="str">
        <f aca="false">IF($A1139="","",_xlfn.XLOOKUP(LOWER(TRIM(Base_Bruta!E1139)),DePara_Categoria!$A$2:$A$9,DePara_Categoria!$B$2:$B$9,"REVISAR"))</f>
        <v>Cinema</v>
      </c>
      <c r="F1139" s="4" t="str">
        <f aca="false">IF($A1139="","",_xlfn.XLOOKUP(LOWER(TRIM(Base_Bruta!F1139)),DePara_Cidade!$A$2:$A$29,DePara_Cidade!$B$2:$B$29,"REVISAR"))</f>
        <v>Rio de Janeiro</v>
      </c>
      <c r="G1139" s="4" t="str">
        <f aca="false">IF($A1139="","",TRIM(Base_Bruta!G1139))</f>
        <v>Meia</v>
      </c>
      <c r="H1139" s="4" t="n">
        <f aca="false">IF($A1139="","",IF(ISNUMBER(Base_Bruta!H1139),Base_Bruta!H1139,IFERROR(_xlfn.NUMBERVALUE(TRIM(SUBSTITUTE(Base_Bruta!H1139,"R$","")),",","."),0)))</f>
        <v>2</v>
      </c>
      <c r="I1139" s="6" t="n">
        <f aca="false">IF($A1139="","",IF(ISNUMBER(Base_Bruta!I1139),Base_Bruta!I1139,IFERROR(_xlfn.NUMBERVALUE(TRIM(SUBSTITUTE(Base_Bruta!I1139,"R$","")),",","."),0)))</f>
        <v>22.5</v>
      </c>
      <c r="J1139" s="6" t="n">
        <f aca="false">IF($A1139="","",H1139*I1139)</f>
        <v>45</v>
      </c>
      <c r="K1139" s="4" t="str">
        <f aca="false">IF($A1139="","",TRIM(Base_Bruta!J1139))</f>
        <v>Site</v>
      </c>
      <c r="L1139" s="4" t="str">
        <f aca="false">IF($A1139="","",TRIM(Base_Bruta!K1139))</f>
        <v>C01588</v>
      </c>
      <c r="M1139" s="4" t="str">
        <f aca="false">IF($A1139="","",_xlfn.XLOOKUP(LOWER(TRIM(Base_Bruta!L1139)),DePara_Cidade!$A$2:$A$29,DePara_Cidade!$B$2:$B$29,"REVISAR"))</f>
        <v>Rio de Janeiro</v>
      </c>
      <c r="N1139" s="4" t="str">
        <f aca="false">IF($A1139="","",UPPER(TRIM(Base_Bruta!M1139)))</f>
        <v>RJ</v>
      </c>
      <c r="O1139" s="4" t="str">
        <f aca="false">IF($A1139="","",_xlfn.XLOOKUP(LOWER(TRIM(Base_Bruta!N1139)),DePara_Pais!$A$2:$A$9,DePara_Pais!$B$2:$B$9,"REVISAR"))</f>
        <v>Brasil</v>
      </c>
      <c r="P1139" s="4" t="str">
        <f aca="false">IF($A1139="","",IF(O1139&lt;&gt;"Brasil","Turista Internacional",IF(M1139=F1139,"Local","Turista Nacional")))</f>
        <v>Local</v>
      </c>
      <c r="Q1139" s="7" t="n">
        <f aca="false">IF($A1139="","",DATE(YEAR(B1139),MONTH(B1139),1))</f>
        <v>45931</v>
      </c>
      <c r="R1139" s="4" t="str">
        <f aca="false">IF($A1139="","",IF(COUNTIF($A$2:$A1139,$A1139)&gt;1,"Sim","Não"))</f>
        <v>Não</v>
      </c>
      <c r="S1139" s="4" t="str">
        <f aca="false">IF(A1139="","Descartar - Linha vazia",IF(R1139="Sim","Descartar - Duplicado",IF(OR(H1139&lt;=0,I1139&lt;=0),"Descartar - Qtd/Valor inválido","OK")))</f>
        <v>OK</v>
      </c>
      <c r="T1139" s="4" t="str">
        <f aca="false">Base_Bruta!P1139</f>
        <v>vendas_RJ.xlsx</v>
      </c>
    </row>
    <row r="1140" customFormat="false" ht="15" hidden="false" customHeight="false" outlineLevel="0" collapsed="false">
      <c r="A1140" s="4" t="str">
        <f aca="false">IF(Base_Bruta!A1140="","",Base_Bruta!A1140)</f>
        <v>RJ-000190</v>
      </c>
      <c r="B1140" s="5" t="n">
        <f aca="false">IF($A1140="","",IF(ISNUMBER(Base_Bruta!B1140),Base_Bruta!B1140,IF(MID(Base_Bruta!B1140,5,1)="-",DATE(VALUE(LEFT(Base_Bruta!B1140,4)),VALUE(MID(Base_Bruta!B1140,6,2)),VALUE(RIGHT(Base_Bruta!B1140,2))),DATE(VALUE(RIGHT(Base_Bruta!B1140,4)),VALUE(MID(Base_Bruta!B1140,4,2)),VALUE(LEFT(Base_Bruta!B1140,2))))))</f>
        <v>45950</v>
      </c>
      <c r="C1140" s="5" t="n">
        <f aca="false">IF($A1140="","",IF(ISNUMBER(Base_Bruta!C1140),Base_Bruta!C1140,IF(MID(Base_Bruta!C1140,5,1)="-",DATE(VALUE(LEFT(Base_Bruta!C1140,4)),VALUE(MID(Base_Bruta!C1140,6,2)),VALUE(RIGHT(Base_Bruta!C1140,2))),DATE(VALUE(RIGHT(Base_Bruta!C1140,4)),VALUE(MID(Base_Bruta!C1140,4,2)),VALUE(LEFT(Base_Bruta!C1140,2))))))</f>
        <v>46046</v>
      </c>
      <c r="D1140" s="4" t="str">
        <f aca="false">IF($A1140="","",TRIM(Base_Bruta!D1140))</f>
        <v>Rio Beat Festival 2026</v>
      </c>
      <c r="E1140" s="4" t="str">
        <f aca="false">IF($A1140="","",_xlfn.XLOOKUP(LOWER(TRIM(Base_Bruta!E1140)),DePara_Categoria!$A$2:$A$9,DePara_Categoria!$B$2:$B$9,"REVISAR"))</f>
        <v>Festival</v>
      </c>
      <c r="F1140" s="4" t="str">
        <f aca="false">IF($A1140="","",_xlfn.XLOOKUP(LOWER(TRIM(Base_Bruta!F1140)),DePara_Cidade!$A$2:$A$29,DePara_Cidade!$B$2:$B$29,"REVISAR"))</f>
        <v>Rio de Janeiro</v>
      </c>
      <c r="G1140" s="4" t="str">
        <f aca="false">IF($A1140="","",TRIM(Base_Bruta!G1140))</f>
        <v>Inteira</v>
      </c>
      <c r="H1140" s="4" t="n">
        <f aca="false">IF($A1140="","",IF(ISNUMBER(Base_Bruta!H1140),Base_Bruta!H1140,IFERROR(_xlfn.NUMBERVALUE(TRIM(SUBSTITUTE(Base_Bruta!H1140,"R$","")),",","."),0)))</f>
        <v>2</v>
      </c>
      <c r="I1140" s="6" t="n">
        <f aca="false">IF($A1140="","",IF(ISNUMBER(Base_Bruta!I1140),Base_Bruta!I1140,IFERROR(_xlfn.NUMBERVALUE(TRIM(SUBSTITUTE(Base_Bruta!I1140,"R$","")),",","."),0)))</f>
        <v>1135</v>
      </c>
      <c r="J1140" s="6" t="n">
        <f aca="false">IF($A1140="","",H1140*I1140)</f>
        <v>2270</v>
      </c>
      <c r="K1140" s="4" t="str">
        <f aca="false">IF($A1140="","",TRIM(Base_Bruta!J1140))</f>
        <v>Site</v>
      </c>
      <c r="L1140" s="4" t="str">
        <f aca="false">IF($A1140="","",TRIM(Base_Bruta!K1140))</f>
        <v>C00099</v>
      </c>
      <c r="M1140" s="4" t="str">
        <f aca="false">IF($A1140="","",_xlfn.XLOOKUP(LOWER(TRIM(Base_Bruta!L1140)),DePara_Cidade!$A$2:$A$29,DePara_Cidade!$B$2:$B$29,"REVISAR"))</f>
        <v>Rio de Janeiro</v>
      </c>
      <c r="N1140" s="4" t="str">
        <f aca="false">IF($A1140="","",UPPER(TRIM(Base_Bruta!M1140)))</f>
        <v>RJ</v>
      </c>
      <c r="O1140" s="4" t="str">
        <f aca="false">IF($A1140="","",_xlfn.XLOOKUP(LOWER(TRIM(Base_Bruta!N1140)),DePara_Pais!$A$2:$A$9,DePara_Pais!$B$2:$B$9,"REVISAR"))</f>
        <v>Brasil</v>
      </c>
      <c r="P1140" s="4" t="str">
        <f aca="false">IF($A1140="","",IF(O1140&lt;&gt;"Brasil","Turista Internacional",IF(M1140=F1140,"Local","Turista Nacional")))</f>
        <v>Local</v>
      </c>
      <c r="Q1140" s="7" t="n">
        <f aca="false">IF($A1140="","",DATE(YEAR(B1140),MONTH(B1140),1))</f>
        <v>45931</v>
      </c>
      <c r="R1140" s="4" t="str">
        <f aca="false">IF($A1140="","",IF(COUNTIF($A$2:$A1140,$A1140)&gt;1,"Sim","Não"))</f>
        <v>Não</v>
      </c>
      <c r="S1140" s="4" t="str">
        <f aca="false">IF(A1140="","Descartar - Linha vazia",IF(R1140="Sim","Descartar - Duplicado",IF(OR(H1140&lt;=0,I1140&lt;=0),"Descartar - Qtd/Valor inválido","OK")))</f>
        <v>OK</v>
      </c>
      <c r="T1140" s="4" t="str">
        <f aca="false">Base_Bruta!P1140</f>
        <v>vendas_RJ.xlsx</v>
      </c>
    </row>
    <row r="1141" customFormat="false" ht="15" hidden="false" customHeight="false" outlineLevel="0" collapsed="false">
      <c r="A1141" s="4" t="str">
        <f aca="false">IF(Base_Bruta!A1141="","",Base_Bruta!A1141)</f>
        <v>RJ-000660</v>
      </c>
      <c r="B1141" s="5" t="n">
        <f aca="false">IF($A1141="","",IF(ISNUMBER(Base_Bruta!B1141),Base_Bruta!B1141,IF(MID(Base_Bruta!B1141,5,1)="-",DATE(VALUE(LEFT(Base_Bruta!B1141,4)),VALUE(MID(Base_Bruta!B1141,6,2)),VALUE(RIGHT(Base_Bruta!B1141,2))),DATE(VALUE(RIGHT(Base_Bruta!B1141,4)),VALUE(MID(Base_Bruta!B1141,4,2)),VALUE(LEFT(Base_Bruta!B1141,2))))))</f>
        <v>45950</v>
      </c>
      <c r="C1141" s="5" t="n">
        <f aca="false">IF($A1141="","",IF(ISNUMBER(Base_Bruta!C1141),Base_Bruta!C1141,IF(MID(Base_Bruta!C1141,5,1)="-",DATE(VALUE(LEFT(Base_Bruta!C1141,4)),VALUE(MID(Base_Bruta!C1141,6,2)),VALUE(RIGHT(Base_Bruta!C1141,2))),DATE(VALUE(RIGHT(Base_Bruta!C1141,4)),VALUE(MID(Base_Bruta!C1141,4,2)),VALUE(LEFT(Base_Bruta!C1141,2))))))</f>
        <v>45950</v>
      </c>
      <c r="D1141" s="4" t="str">
        <f aca="false">IF($A1141="","",TRIM(Base_Bruta!D1141))</f>
        <v>Cinema Barra - Sessões</v>
      </c>
      <c r="E1141" s="4" t="str">
        <f aca="false">IF($A1141="","",_xlfn.XLOOKUP(LOWER(TRIM(Base_Bruta!E1141)),DePara_Categoria!$A$2:$A$9,DePara_Categoria!$B$2:$B$9,"REVISAR"))</f>
        <v>Cinema</v>
      </c>
      <c r="F1141" s="4" t="str">
        <f aca="false">IF($A1141="","",_xlfn.XLOOKUP(LOWER(TRIM(Base_Bruta!F1141)),DePara_Cidade!$A$2:$A$29,DePara_Cidade!$B$2:$B$29,"REVISAR"))</f>
        <v>Rio de Janeiro</v>
      </c>
      <c r="G1141" s="4" t="str">
        <f aca="false">IF($A1141="","",TRIM(Base_Bruta!G1141))</f>
        <v>Meia</v>
      </c>
      <c r="H1141" s="4" t="n">
        <f aca="false">IF($A1141="","",IF(ISNUMBER(Base_Bruta!H1141),Base_Bruta!H1141,IFERROR(_xlfn.NUMBERVALUE(TRIM(SUBSTITUTE(Base_Bruta!H1141,"R$","")),",","."),0)))</f>
        <v>2</v>
      </c>
      <c r="I1141" s="6" t="n">
        <f aca="false">IF($A1141="","",IF(ISNUMBER(Base_Bruta!I1141),Base_Bruta!I1141,IFERROR(_xlfn.NUMBERVALUE(TRIM(SUBSTITUTE(Base_Bruta!I1141,"R$","")),",","."),0)))</f>
        <v>15</v>
      </c>
      <c r="J1141" s="6" t="n">
        <f aca="false">IF($A1141="","",H1141*I1141)</f>
        <v>30</v>
      </c>
      <c r="K1141" s="4" t="str">
        <f aca="false">IF($A1141="","",TRIM(Base_Bruta!J1141))</f>
        <v>App</v>
      </c>
      <c r="L1141" s="4" t="str">
        <f aca="false">IF($A1141="","",TRIM(Base_Bruta!K1141))</f>
        <v>C01977</v>
      </c>
      <c r="M1141" s="4" t="str">
        <f aca="false">IF($A1141="","",_xlfn.XLOOKUP(LOWER(TRIM(Base_Bruta!L1141)),DePara_Cidade!$A$2:$A$29,DePara_Cidade!$B$2:$B$29,"REVISAR"))</f>
        <v>Niterói</v>
      </c>
      <c r="N1141" s="4" t="str">
        <f aca="false">IF($A1141="","",UPPER(TRIM(Base_Bruta!M1141)))</f>
        <v>RJ</v>
      </c>
      <c r="O1141" s="4" t="str">
        <f aca="false">IF($A1141="","",_xlfn.XLOOKUP(LOWER(TRIM(Base_Bruta!N1141)),DePara_Pais!$A$2:$A$9,DePara_Pais!$B$2:$B$9,"REVISAR"))</f>
        <v>Brasil</v>
      </c>
      <c r="P1141" s="4" t="str">
        <f aca="false">IF($A1141="","",IF(O1141&lt;&gt;"Brasil","Turista Internacional",IF(M1141=F1141,"Local","Turista Nacional")))</f>
        <v>Turista Nacional</v>
      </c>
      <c r="Q1141" s="7" t="n">
        <f aca="false">IF($A1141="","",DATE(YEAR(B1141),MONTH(B1141),1))</f>
        <v>45931</v>
      </c>
      <c r="R1141" s="4" t="str">
        <f aca="false">IF($A1141="","",IF(COUNTIF($A$2:$A1141,$A1141)&gt;1,"Sim","Não"))</f>
        <v>Não</v>
      </c>
      <c r="S1141" s="4" t="str">
        <f aca="false">IF(A1141="","Descartar - Linha vazia",IF(R1141="Sim","Descartar - Duplicado",IF(OR(H1141&lt;=0,I1141&lt;=0),"Descartar - Qtd/Valor inválido","OK")))</f>
        <v>OK</v>
      </c>
      <c r="T1141" s="4" t="str">
        <f aca="false">Base_Bruta!P1141</f>
        <v>vendas_RJ.xlsx</v>
      </c>
    </row>
    <row r="1142" customFormat="false" ht="15" hidden="false" customHeight="false" outlineLevel="0" collapsed="false">
      <c r="A1142" s="4" t="str">
        <f aca="false">IF(Base_Bruta!A1142="","",Base_Bruta!A1142)</f>
        <v>RJ-000042</v>
      </c>
      <c r="B1142" s="5" t="n">
        <f aca="false">IF($A1142="","",IF(ISNUMBER(Base_Bruta!B1142),Base_Bruta!B1142,IF(MID(Base_Bruta!B1142,5,1)="-",DATE(VALUE(LEFT(Base_Bruta!B1142,4)),VALUE(MID(Base_Bruta!B1142,6,2)),VALUE(RIGHT(Base_Bruta!B1142,2))),DATE(VALUE(RIGHT(Base_Bruta!B1142,4)),VALUE(MID(Base_Bruta!B1142,4,2)),VALUE(LEFT(Base_Bruta!B1142,2))))))</f>
        <v>45953</v>
      </c>
      <c r="C1142" s="5" t="n">
        <f aca="false">IF($A1142="","",IF(ISNUMBER(Base_Bruta!C1142),Base_Bruta!C1142,IF(MID(Base_Bruta!C1142,5,1)="-",DATE(VALUE(LEFT(Base_Bruta!C1142,4)),VALUE(MID(Base_Bruta!C1142,6,2)),VALUE(RIGHT(Base_Bruta!C1142,2))),DATE(VALUE(RIGHT(Base_Bruta!C1142,4)),VALUE(MID(Base_Bruta!C1142,4,2)),VALUE(LEFT(Base_Bruta!C1142,2))))))</f>
        <v>46046</v>
      </c>
      <c r="D1142" s="4" t="str">
        <f aca="false">IF($A1142="","",TRIM(Base_Bruta!D1142))</f>
        <v>Rio Beat Festival 2026</v>
      </c>
      <c r="E1142" s="4" t="str">
        <f aca="false">IF($A1142="","",_xlfn.XLOOKUP(LOWER(TRIM(Base_Bruta!E1142)),DePara_Categoria!$A$2:$A$9,DePara_Categoria!$B$2:$B$9,"REVISAR"))</f>
        <v>Festival</v>
      </c>
      <c r="F1142" s="4" t="str">
        <f aca="false">IF($A1142="","",_xlfn.XLOOKUP(LOWER(TRIM(Base_Bruta!F1142)),DePara_Cidade!$A$2:$A$29,DePara_Cidade!$B$2:$B$29,"REVISAR"))</f>
        <v>Rio de Janeiro</v>
      </c>
      <c r="G1142" s="4" t="str">
        <f aca="false">IF($A1142="","",TRIM(Base_Bruta!G1142))</f>
        <v>Inteira</v>
      </c>
      <c r="H1142" s="4" t="n">
        <f aca="false">IF($A1142="","",IF(ISNUMBER(Base_Bruta!H1142),Base_Bruta!H1142,IFERROR(_xlfn.NUMBERVALUE(TRIM(SUBSTITUTE(Base_Bruta!H1142,"R$","")),",","."),0)))</f>
        <v>1</v>
      </c>
      <c r="I1142" s="6" t="n">
        <f aca="false">IF($A1142="","",IF(ISNUMBER(Base_Bruta!I1142),Base_Bruta!I1142,IFERROR(_xlfn.NUMBERVALUE(TRIM(SUBSTITUTE(Base_Bruta!I1142,"R$","")),",","."),0)))</f>
        <v>975</v>
      </c>
      <c r="J1142" s="6" t="n">
        <f aca="false">IF($A1142="","",H1142*I1142)</f>
        <v>975</v>
      </c>
      <c r="K1142" s="4" t="str">
        <f aca="false">IF($A1142="","",TRIM(Base_Bruta!J1142))</f>
        <v>App</v>
      </c>
      <c r="L1142" s="4" t="str">
        <f aca="false">IF($A1142="","",TRIM(Base_Bruta!K1142))</f>
        <v>C01470</v>
      </c>
      <c r="M1142" s="4" t="str">
        <f aca="false">IF($A1142="","",_xlfn.XLOOKUP(LOWER(TRIM(Base_Bruta!L1142)),DePara_Cidade!$A$2:$A$29,DePara_Cidade!$B$2:$B$29,"REVISAR"))</f>
        <v>Recife</v>
      </c>
      <c r="N1142" s="4" t="str">
        <f aca="false">IF($A1142="","",UPPER(TRIM(Base_Bruta!M1142)))</f>
        <v>PE</v>
      </c>
      <c r="O1142" s="4" t="str">
        <f aca="false">IF($A1142="","",_xlfn.XLOOKUP(LOWER(TRIM(Base_Bruta!N1142)),DePara_Pais!$A$2:$A$9,DePara_Pais!$B$2:$B$9,"REVISAR"))</f>
        <v>Brasil</v>
      </c>
      <c r="P1142" s="4" t="str">
        <f aca="false">IF($A1142="","",IF(O1142&lt;&gt;"Brasil","Turista Internacional",IF(M1142=F1142,"Local","Turista Nacional")))</f>
        <v>Turista Nacional</v>
      </c>
      <c r="Q1142" s="7" t="n">
        <f aca="false">IF($A1142="","",DATE(YEAR(B1142),MONTH(B1142),1))</f>
        <v>45931</v>
      </c>
      <c r="R1142" s="4" t="str">
        <f aca="false">IF($A1142="","",IF(COUNTIF($A$2:$A1142,$A1142)&gt;1,"Sim","Não"))</f>
        <v>Não</v>
      </c>
      <c r="S1142" s="4" t="str">
        <f aca="false">IF(A1142="","Descartar - Linha vazia",IF(R1142="Sim","Descartar - Duplicado",IF(OR(H1142&lt;=0,I1142&lt;=0),"Descartar - Qtd/Valor inválido","OK")))</f>
        <v>OK</v>
      </c>
      <c r="T1142" s="4" t="str">
        <f aca="false">Base_Bruta!P1142</f>
        <v>vendas_RJ.xlsx</v>
      </c>
    </row>
    <row r="1143" customFormat="false" ht="15" hidden="false" customHeight="false" outlineLevel="0" collapsed="false">
      <c r="A1143" s="4" t="str">
        <f aca="false">IF(Base_Bruta!A1143="","",Base_Bruta!A1143)</f>
        <v>RJ-000600</v>
      </c>
      <c r="B1143" s="5" t="n">
        <f aca="false">IF($A1143="","",IF(ISNUMBER(Base_Bruta!B1143),Base_Bruta!B1143,IF(MID(Base_Bruta!B1143,5,1)="-",DATE(VALUE(LEFT(Base_Bruta!B1143,4)),VALUE(MID(Base_Bruta!B1143,6,2)),VALUE(RIGHT(Base_Bruta!B1143,2))),DATE(VALUE(RIGHT(Base_Bruta!B1143,4)),VALUE(MID(Base_Bruta!B1143,4,2)),VALUE(LEFT(Base_Bruta!B1143,2))))))</f>
        <v>45953</v>
      </c>
      <c r="C1143" s="5" t="n">
        <f aca="false">IF($A1143="","",IF(ISNUMBER(Base_Bruta!C1143),Base_Bruta!C1143,IF(MID(Base_Bruta!C1143,5,1)="-",DATE(VALUE(LEFT(Base_Bruta!C1143,4)),VALUE(MID(Base_Bruta!C1143,6,2)),VALUE(RIGHT(Base_Bruta!C1143,2))),DATE(VALUE(RIGHT(Base_Bruta!C1143,4)),VALUE(MID(Base_Bruta!C1143,4,2)),VALUE(LEFT(Base_Bruta!C1143,2))))))</f>
        <v>45956</v>
      </c>
      <c r="D1143" s="4" t="str">
        <f aca="false">IF($A1143="","",TRIM(Base_Bruta!D1143))</f>
        <v>Cinema Barra - Sessões</v>
      </c>
      <c r="E1143" s="4" t="str">
        <f aca="false">IF($A1143="","",_xlfn.XLOOKUP(LOWER(TRIM(Base_Bruta!E1143)),DePara_Categoria!$A$2:$A$9,DePara_Categoria!$B$2:$B$9,"REVISAR"))</f>
        <v>Cinema</v>
      </c>
      <c r="F1143" s="4" t="str">
        <f aca="false">IF($A1143="","",_xlfn.XLOOKUP(LOWER(TRIM(Base_Bruta!F1143)),DePara_Cidade!$A$2:$A$29,DePara_Cidade!$B$2:$B$29,"REVISAR"))</f>
        <v>Rio de Janeiro</v>
      </c>
      <c r="G1143" s="4" t="str">
        <f aca="false">IF($A1143="","",TRIM(Base_Bruta!G1143))</f>
        <v>Inteira</v>
      </c>
      <c r="H1143" s="4" t="n">
        <f aca="false">IF($A1143="","",IF(ISNUMBER(Base_Bruta!H1143),Base_Bruta!H1143,IFERROR(_xlfn.NUMBERVALUE(TRIM(SUBSTITUTE(Base_Bruta!H1143,"R$","")),",","."),0)))</f>
        <v>1</v>
      </c>
      <c r="I1143" s="6" t="n">
        <f aca="false">IF($A1143="","",IF(ISNUMBER(Base_Bruta!I1143),Base_Bruta!I1143,IFERROR(_xlfn.NUMBERVALUE(TRIM(SUBSTITUTE(Base_Bruta!I1143,"R$","")),",","."),0)))</f>
        <v>45</v>
      </c>
      <c r="J1143" s="6" t="n">
        <f aca="false">IF($A1143="","",H1143*I1143)</f>
        <v>45</v>
      </c>
      <c r="K1143" s="4" t="str">
        <f aca="false">IF($A1143="","",TRIM(Base_Bruta!J1143))</f>
        <v>Site</v>
      </c>
      <c r="L1143" s="4" t="str">
        <f aca="false">IF($A1143="","",TRIM(Base_Bruta!K1143))</f>
        <v>C00008</v>
      </c>
      <c r="M1143" s="4" t="str">
        <f aca="false">IF($A1143="","",_xlfn.XLOOKUP(LOWER(TRIM(Base_Bruta!L1143)),DePara_Cidade!$A$2:$A$29,DePara_Cidade!$B$2:$B$29,"REVISAR"))</f>
        <v>Rio de Janeiro</v>
      </c>
      <c r="N1143" s="4" t="str">
        <f aca="false">IF($A1143="","",UPPER(TRIM(Base_Bruta!M1143)))</f>
        <v>RJ</v>
      </c>
      <c r="O1143" s="4" t="str">
        <f aca="false">IF($A1143="","",_xlfn.XLOOKUP(LOWER(TRIM(Base_Bruta!N1143)),DePara_Pais!$A$2:$A$9,DePara_Pais!$B$2:$B$9,"REVISAR"))</f>
        <v>Brasil</v>
      </c>
      <c r="P1143" s="4" t="str">
        <f aca="false">IF($A1143="","",IF(O1143&lt;&gt;"Brasil","Turista Internacional",IF(M1143=F1143,"Local","Turista Nacional")))</f>
        <v>Local</v>
      </c>
      <c r="Q1143" s="7" t="n">
        <f aca="false">IF($A1143="","",DATE(YEAR(B1143),MONTH(B1143),1))</f>
        <v>45931</v>
      </c>
      <c r="R1143" s="4" t="str">
        <f aca="false">IF($A1143="","",IF(COUNTIF($A$2:$A1143,$A1143)&gt;1,"Sim","Não"))</f>
        <v>Não</v>
      </c>
      <c r="S1143" s="4" t="str">
        <f aca="false">IF(A1143="","Descartar - Linha vazia",IF(R1143="Sim","Descartar - Duplicado",IF(OR(H1143&lt;=0,I1143&lt;=0),"Descartar - Qtd/Valor inválido","OK")))</f>
        <v>OK</v>
      </c>
      <c r="T1143" s="4" t="str">
        <f aca="false">Base_Bruta!P1143</f>
        <v>vendas_RJ.xlsx</v>
      </c>
    </row>
    <row r="1144" customFormat="false" ht="15" hidden="false" customHeight="false" outlineLevel="0" collapsed="false">
      <c r="A1144" s="4" t="str">
        <f aca="false">IF(Base_Bruta!A1144="","",Base_Bruta!A1144)</f>
        <v>RJ-000178</v>
      </c>
      <c r="B1144" s="5" t="n">
        <f aca="false">IF($A1144="","",IF(ISNUMBER(Base_Bruta!B1144),Base_Bruta!B1144,IF(MID(Base_Bruta!B1144,5,1)="-",DATE(VALUE(LEFT(Base_Bruta!B1144,4)),VALUE(MID(Base_Bruta!B1144,6,2)),VALUE(RIGHT(Base_Bruta!B1144,2))),DATE(VALUE(RIGHT(Base_Bruta!B1144,4)),VALUE(MID(Base_Bruta!B1144,4,2)),VALUE(LEFT(Base_Bruta!B1144,2))))))</f>
        <v>45956</v>
      </c>
      <c r="C1144" s="5" t="n">
        <f aca="false">IF($A1144="","",IF(ISNUMBER(Base_Bruta!C1144),Base_Bruta!C1144,IF(MID(Base_Bruta!C1144,5,1)="-",DATE(VALUE(LEFT(Base_Bruta!C1144,4)),VALUE(MID(Base_Bruta!C1144,6,2)),VALUE(RIGHT(Base_Bruta!C1144,2))),DATE(VALUE(RIGHT(Base_Bruta!C1144,4)),VALUE(MID(Base_Bruta!C1144,4,2)),VALUE(LEFT(Base_Bruta!C1144,2))))))</f>
        <v>46046</v>
      </c>
      <c r="D1144" s="4" t="str">
        <f aca="false">IF($A1144="","",TRIM(Base_Bruta!D1144))</f>
        <v>Rio Beat Festival 2026</v>
      </c>
      <c r="E1144" s="4" t="str">
        <f aca="false">IF($A1144="","",_xlfn.XLOOKUP(LOWER(TRIM(Base_Bruta!E1144)),DePara_Categoria!$A$2:$A$9,DePara_Categoria!$B$2:$B$9,"REVISAR"))</f>
        <v>Festival</v>
      </c>
      <c r="F1144" s="4" t="str">
        <f aca="false">IF($A1144="","",_xlfn.XLOOKUP(LOWER(TRIM(Base_Bruta!F1144)),DePara_Cidade!$A$2:$A$29,DePara_Cidade!$B$2:$B$29,"REVISAR"))</f>
        <v>Rio de Janeiro</v>
      </c>
      <c r="G1144" s="4" t="str">
        <f aca="false">IF($A1144="","",TRIM(Base_Bruta!G1144))</f>
        <v>Inteira</v>
      </c>
      <c r="H1144" s="4" t="n">
        <f aca="false">IF($A1144="","",IF(ISNUMBER(Base_Bruta!H1144),Base_Bruta!H1144,IFERROR(_xlfn.NUMBERVALUE(TRIM(SUBSTITUTE(Base_Bruta!H1144,"R$","")),",","."),0)))</f>
        <v>2</v>
      </c>
      <c r="I1144" s="6" t="n">
        <f aca="false">IF($A1144="","",IF(ISNUMBER(Base_Bruta!I1144),Base_Bruta!I1144,IFERROR(_xlfn.NUMBERVALUE(TRIM(SUBSTITUTE(Base_Bruta!I1144,"R$","")),",","."),0)))</f>
        <v>860</v>
      </c>
      <c r="J1144" s="6" t="n">
        <f aca="false">IF($A1144="","",H1144*I1144)</f>
        <v>1720</v>
      </c>
      <c r="K1144" s="4" t="str">
        <f aca="false">IF($A1144="","",TRIM(Base_Bruta!J1144))</f>
        <v>Bilheteria</v>
      </c>
      <c r="L1144" s="4" t="str">
        <f aca="false">IF($A1144="","",TRIM(Base_Bruta!K1144))</f>
        <v>C02405</v>
      </c>
      <c r="M1144" s="4" t="str">
        <f aca="false">IF($A1144="","",_xlfn.XLOOKUP(LOWER(TRIM(Base_Bruta!L1144)),DePara_Cidade!$A$2:$A$29,DePara_Cidade!$B$2:$B$29,"REVISAR"))</f>
        <v>Rio de Janeiro</v>
      </c>
      <c r="N1144" s="4" t="str">
        <f aca="false">IF($A1144="","",UPPER(TRIM(Base_Bruta!M1144)))</f>
        <v>RJ</v>
      </c>
      <c r="O1144" s="4" t="str">
        <f aca="false">IF($A1144="","",_xlfn.XLOOKUP(LOWER(TRIM(Base_Bruta!N1144)),DePara_Pais!$A$2:$A$9,DePara_Pais!$B$2:$B$9,"REVISAR"))</f>
        <v>Brasil</v>
      </c>
      <c r="P1144" s="4" t="str">
        <f aca="false">IF($A1144="","",IF(O1144&lt;&gt;"Brasil","Turista Internacional",IF(M1144=F1144,"Local","Turista Nacional")))</f>
        <v>Local</v>
      </c>
      <c r="Q1144" s="7" t="n">
        <f aca="false">IF($A1144="","",DATE(YEAR(B1144),MONTH(B1144),1))</f>
        <v>45931</v>
      </c>
      <c r="R1144" s="4" t="str">
        <f aca="false">IF($A1144="","",IF(COUNTIF($A$2:$A1144,$A1144)&gt;1,"Sim","Não"))</f>
        <v>Não</v>
      </c>
      <c r="S1144" s="4" t="str">
        <f aca="false">IF(A1144="","Descartar - Linha vazia",IF(R1144="Sim","Descartar - Duplicado",IF(OR(H1144&lt;=0,I1144&lt;=0),"Descartar - Qtd/Valor inválido","OK")))</f>
        <v>OK</v>
      </c>
      <c r="T1144" s="4" t="str">
        <f aca="false">Base_Bruta!P1144</f>
        <v>vendas_RJ.xlsx</v>
      </c>
    </row>
    <row r="1145" customFormat="false" ht="15" hidden="false" customHeight="false" outlineLevel="0" collapsed="false">
      <c r="A1145" s="4" t="str">
        <f aca="false">IF(Base_Bruta!A1145="","",Base_Bruta!A1145)</f>
        <v>RJ-000210</v>
      </c>
      <c r="B1145" s="5" t="n">
        <f aca="false">IF($A1145="","",IF(ISNUMBER(Base_Bruta!B1145),Base_Bruta!B1145,IF(MID(Base_Bruta!B1145,5,1)="-",DATE(VALUE(LEFT(Base_Bruta!B1145,4)),VALUE(MID(Base_Bruta!B1145,6,2)),VALUE(RIGHT(Base_Bruta!B1145,2))),DATE(VALUE(RIGHT(Base_Bruta!B1145,4)),VALUE(MID(Base_Bruta!B1145,4,2)),VALUE(LEFT(Base_Bruta!B1145,2))))))</f>
        <v>45957</v>
      </c>
      <c r="C1145" s="5" t="n">
        <f aca="false">IF($A1145="","",IF(ISNUMBER(Base_Bruta!C1145),Base_Bruta!C1145,IF(MID(Base_Bruta!C1145,5,1)="-",DATE(VALUE(LEFT(Base_Bruta!C1145,4)),VALUE(MID(Base_Bruta!C1145,6,2)),VALUE(RIGHT(Base_Bruta!C1145,2))),DATE(VALUE(RIGHT(Base_Bruta!C1145,4)),VALUE(MID(Base_Bruta!C1145,4,2)),VALUE(LEFT(Base_Bruta!C1145,2))))))</f>
        <v>46046</v>
      </c>
      <c r="D1145" s="4" t="str">
        <f aca="false">IF($A1145="","",TRIM(Base_Bruta!D1145))</f>
        <v>Rio Beat Festival 2026</v>
      </c>
      <c r="E1145" s="4" t="str">
        <f aca="false">IF($A1145="","",_xlfn.XLOOKUP(LOWER(TRIM(Base_Bruta!E1145)),DePara_Categoria!$A$2:$A$9,DePara_Categoria!$B$2:$B$9,"REVISAR"))</f>
        <v>Festival</v>
      </c>
      <c r="F1145" s="4" t="str">
        <f aca="false">IF($A1145="","",_xlfn.XLOOKUP(LOWER(TRIM(Base_Bruta!F1145)),DePara_Cidade!$A$2:$A$29,DePara_Cidade!$B$2:$B$29,"REVISAR"))</f>
        <v>Rio de Janeiro</v>
      </c>
      <c r="G1145" s="4" t="str">
        <f aca="false">IF($A1145="","",TRIM(Base_Bruta!G1145))</f>
        <v>Inteira</v>
      </c>
      <c r="H1145" s="4" t="n">
        <f aca="false">IF($A1145="","",IF(ISNUMBER(Base_Bruta!H1145),Base_Bruta!H1145,IFERROR(_xlfn.NUMBERVALUE(TRIM(SUBSTITUTE(Base_Bruta!H1145,"R$","")),",","."),0)))</f>
        <v>2</v>
      </c>
      <c r="I1145" s="6" t="n">
        <f aca="false">IF($A1145="","",IF(ISNUMBER(Base_Bruta!I1145),Base_Bruta!I1145,IFERROR(_xlfn.NUMBERVALUE(TRIM(SUBSTITUTE(Base_Bruta!I1145,"R$","")),",","."),0)))</f>
        <v>875</v>
      </c>
      <c r="J1145" s="6" t="n">
        <f aca="false">IF($A1145="","",H1145*I1145)</f>
        <v>1750</v>
      </c>
      <c r="K1145" s="4" t="str">
        <f aca="false">IF($A1145="","",TRIM(Base_Bruta!J1145))</f>
        <v>App</v>
      </c>
      <c r="L1145" s="4" t="str">
        <f aca="false">IF($A1145="","",TRIM(Base_Bruta!K1145))</f>
        <v>C00043</v>
      </c>
      <c r="M1145" s="4" t="str">
        <f aca="false">IF($A1145="","",_xlfn.XLOOKUP(LOWER(TRIM(Base_Bruta!L1145)),DePara_Cidade!$A$2:$A$29,DePara_Cidade!$B$2:$B$29,"REVISAR"))</f>
        <v>Recife</v>
      </c>
      <c r="N1145" s="4" t="str">
        <f aca="false">IF($A1145="","",UPPER(TRIM(Base_Bruta!M1145)))</f>
        <v>PE</v>
      </c>
      <c r="O1145" s="4" t="str">
        <f aca="false">IF($A1145="","",_xlfn.XLOOKUP(LOWER(TRIM(Base_Bruta!N1145)),DePara_Pais!$A$2:$A$9,DePara_Pais!$B$2:$B$9,"REVISAR"))</f>
        <v>Brasil</v>
      </c>
      <c r="P1145" s="4" t="str">
        <f aca="false">IF($A1145="","",IF(O1145&lt;&gt;"Brasil","Turista Internacional",IF(M1145=F1145,"Local","Turista Nacional")))</f>
        <v>Turista Nacional</v>
      </c>
      <c r="Q1145" s="7" t="n">
        <f aca="false">IF($A1145="","",DATE(YEAR(B1145),MONTH(B1145),1))</f>
        <v>45931</v>
      </c>
      <c r="R1145" s="4" t="str">
        <f aca="false">IF($A1145="","",IF(COUNTIF($A$2:$A1145,$A1145)&gt;1,"Sim","Não"))</f>
        <v>Não</v>
      </c>
      <c r="S1145" s="4" t="str">
        <f aca="false">IF(A1145="","Descartar - Linha vazia",IF(R1145="Sim","Descartar - Duplicado",IF(OR(H1145&lt;=0,I1145&lt;=0),"Descartar - Qtd/Valor inválido","OK")))</f>
        <v>OK</v>
      </c>
      <c r="T1145" s="4" t="str">
        <f aca="false">Base_Bruta!P1145</f>
        <v>vendas_RJ.xlsx</v>
      </c>
    </row>
    <row r="1146" customFormat="false" ht="15" hidden="false" customHeight="false" outlineLevel="0" collapsed="false">
      <c r="A1146" s="4" t="str">
        <f aca="false">IF(Base_Bruta!A1146="","",Base_Bruta!A1146)</f>
        <v>RJ-000223</v>
      </c>
      <c r="B1146" s="5" t="n">
        <f aca="false">IF($A1146="","",IF(ISNUMBER(Base_Bruta!B1146),Base_Bruta!B1146,IF(MID(Base_Bruta!B1146,5,1)="-",DATE(VALUE(LEFT(Base_Bruta!B1146,4)),VALUE(MID(Base_Bruta!B1146,6,2)),VALUE(RIGHT(Base_Bruta!B1146,2))),DATE(VALUE(RIGHT(Base_Bruta!B1146,4)),VALUE(MID(Base_Bruta!B1146,4,2)),VALUE(LEFT(Base_Bruta!B1146,2))))))</f>
        <v>45941</v>
      </c>
      <c r="C1146" s="5" t="n">
        <f aca="false">IF($A1146="","",IF(ISNUMBER(Base_Bruta!C1146),Base_Bruta!C1146,IF(MID(Base_Bruta!C1146,5,1)="-",DATE(VALUE(LEFT(Base_Bruta!C1146,4)),VALUE(MID(Base_Bruta!C1146,6,2)),VALUE(RIGHT(Base_Bruta!C1146,2))),DATE(VALUE(RIGHT(Base_Bruta!C1146,4)),VALUE(MID(Base_Bruta!C1146,4,2)),VALUE(LEFT(Base_Bruta!C1146,2))))))</f>
        <v>46046</v>
      </c>
      <c r="D1146" s="4" t="str">
        <f aca="false">IF($A1146="","",TRIM(Base_Bruta!D1146))</f>
        <v>Rio Beat Festival 2026</v>
      </c>
      <c r="E1146" s="4" t="str">
        <f aca="false">IF($A1146="","",_xlfn.XLOOKUP(LOWER(TRIM(Base_Bruta!E1146)),DePara_Categoria!$A$2:$A$9,DePara_Categoria!$B$2:$B$9,"REVISAR"))</f>
        <v>Festival</v>
      </c>
      <c r="F1146" s="4" t="str">
        <f aca="false">IF($A1146="","",_xlfn.XLOOKUP(LOWER(TRIM(Base_Bruta!F1146)),DePara_Cidade!$A$2:$A$29,DePara_Cidade!$B$2:$B$29,"REVISAR"))</f>
        <v>Rio de Janeiro</v>
      </c>
      <c r="G1146" s="4" t="str">
        <f aca="false">IF($A1146="","",TRIM(Base_Bruta!G1146))</f>
        <v>Meia</v>
      </c>
      <c r="H1146" s="4" t="n">
        <f aca="false">IF($A1146="","",IF(ISNUMBER(Base_Bruta!H1146),Base_Bruta!H1146,IFERROR(_xlfn.NUMBERVALUE(TRIM(SUBSTITUTE(Base_Bruta!H1146,"R$","")),",","."),0)))</f>
        <v>1</v>
      </c>
      <c r="I1146" s="6" t="n">
        <f aca="false">IF($A1146="","",IF(ISNUMBER(Base_Bruta!I1146),Base_Bruta!I1146,IFERROR(_xlfn.NUMBERVALUE(TRIM(SUBSTITUTE(Base_Bruta!I1146,"R$","")),",","."),0)))</f>
        <v>557.5</v>
      </c>
      <c r="J1146" s="6" t="n">
        <f aca="false">IF($A1146="","",H1146*I1146)</f>
        <v>557.5</v>
      </c>
      <c r="K1146" s="4" t="str">
        <f aca="false">IF($A1146="","",TRIM(Base_Bruta!J1146))</f>
        <v>App</v>
      </c>
      <c r="L1146" s="4" t="str">
        <f aca="false">IF($A1146="","",TRIM(Base_Bruta!K1146))</f>
        <v>C01372</v>
      </c>
      <c r="M1146" s="4" t="str">
        <f aca="false">IF($A1146="","",_xlfn.XLOOKUP(LOWER(TRIM(Base_Bruta!L1146)),DePara_Cidade!$A$2:$A$29,DePara_Cidade!$B$2:$B$29,"REVISAR"))</f>
        <v>Rio de Janeiro</v>
      </c>
      <c r="N1146" s="4" t="str">
        <f aca="false">IF($A1146="","",UPPER(TRIM(Base_Bruta!M1146)))</f>
        <v>RJ</v>
      </c>
      <c r="O1146" s="4" t="str">
        <f aca="false">IF($A1146="","",_xlfn.XLOOKUP(LOWER(TRIM(Base_Bruta!N1146)),DePara_Pais!$A$2:$A$9,DePara_Pais!$B$2:$B$9,"REVISAR"))</f>
        <v>Brasil</v>
      </c>
      <c r="P1146" s="4" t="str">
        <f aca="false">IF($A1146="","",IF(O1146&lt;&gt;"Brasil","Turista Internacional",IF(M1146=F1146,"Local","Turista Nacional")))</f>
        <v>Local</v>
      </c>
      <c r="Q1146" s="7" t="n">
        <f aca="false">IF($A1146="","",DATE(YEAR(B1146),MONTH(B1146),1))</f>
        <v>45931</v>
      </c>
      <c r="R1146" s="4" t="str">
        <f aca="false">IF($A1146="","",IF(COUNTIF($A$2:$A1146,$A1146)&gt;1,"Sim","Não"))</f>
        <v>Sim</v>
      </c>
      <c r="S1146" s="4" t="str">
        <f aca="false">IF(A1146="","Descartar - Linha vazia",IF(R1146="Sim","Descartar - Duplicado",IF(OR(H1146&lt;=0,I1146&lt;=0),"Descartar - Qtd/Valor inválido","OK")))</f>
        <v>Descartar - Duplicado</v>
      </c>
      <c r="T1146" s="4" t="str">
        <f aca="false">Base_Bruta!P1146</f>
        <v>vendas_RJ.xlsx</v>
      </c>
    </row>
    <row r="1147" customFormat="false" ht="15" hidden="false" customHeight="false" outlineLevel="0" collapsed="false">
      <c r="A1147" s="4" t="str">
        <f aca="false">IF(Base_Bruta!A1147="","",Base_Bruta!A1147)</f>
        <v>RJ-000623</v>
      </c>
      <c r="B1147" s="5" t="n">
        <f aca="false">IF($A1147="","",IF(ISNUMBER(Base_Bruta!B1147),Base_Bruta!B1147,IF(MID(Base_Bruta!B1147,5,1)="-",DATE(VALUE(LEFT(Base_Bruta!B1147,4)),VALUE(MID(Base_Bruta!B1147,6,2)),VALUE(RIGHT(Base_Bruta!B1147,2))),DATE(VALUE(RIGHT(Base_Bruta!B1147,4)),VALUE(MID(Base_Bruta!B1147,4,2)),VALUE(LEFT(Base_Bruta!B1147,2))))))</f>
        <v>45957</v>
      </c>
      <c r="C1147" s="5" t="n">
        <f aca="false">IF($A1147="","",IF(ISNUMBER(Base_Bruta!C1147),Base_Bruta!C1147,IF(MID(Base_Bruta!C1147,5,1)="-",DATE(VALUE(LEFT(Base_Bruta!C1147,4)),VALUE(MID(Base_Bruta!C1147,6,2)),VALUE(RIGHT(Base_Bruta!C1147,2))),DATE(VALUE(RIGHT(Base_Bruta!C1147,4)),VALUE(MID(Base_Bruta!C1147,4,2)),VALUE(LEFT(Base_Bruta!C1147,2))))))</f>
        <v>45960</v>
      </c>
      <c r="D1147" s="4" t="str">
        <f aca="false">IF($A1147="","",TRIM(Base_Bruta!D1147))</f>
        <v>Cinema Barra - Sessões</v>
      </c>
      <c r="E1147" s="4" t="str">
        <f aca="false">IF($A1147="","",_xlfn.XLOOKUP(LOWER(TRIM(Base_Bruta!E1147)),DePara_Categoria!$A$2:$A$9,DePara_Categoria!$B$2:$B$9,"REVISAR"))</f>
        <v>Cinema</v>
      </c>
      <c r="F1147" s="4" t="str">
        <f aca="false">IF($A1147="","",_xlfn.XLOOKUP(LOWER(TRIM(Base_Bruta!F1147)),DePara_Cidade!$A$2:$A$29,DePara_Cidade!$B$2:$B$29,"REVISAR"))</f>
        <v>Rio de Janeiro</v>
      </c>
      <c r="G1147" s="4" t="str">
        <f aca="false">IF($A1147="","",TRIM(Base_Bruta!G1147))</f>
        <v>Meia</v>
      </c>
      <c r="H1147" s="4" t="n">
        <f aca="false">IF($A1147="","",IF(ISNUMBER(Base_Bruta!H1147),Base_Bruta!H1147,IFERROR(_xlfn.NUMBERVALUE(TRIM(SUBSTITUTE(Base_Bruta!H1147,"R$","")),",","."),0)))</f>
        <v>1</v>
      </c>
      <c r="I1147" s="6" t="n">
        <f aca="false">IF($A1147="","",IF(ISNUMBER(Base_Bruta!I1147),Base_Bruta!I1147,IFERROR(_xlfn.NUMBERVALUE(TRIM(SUBSTITUTE(Base_Bruta!I1147,"R$","")),",","."),0)))</f>
        <v>20</v>
      </c>
      <c r="J1147" s="6" t="n">
        <f aca="false">IF($A1147="","",H1147*I1147)</f>
        <v>20</v>
      </c>
      <c r="K1147" s="4" t="str">
        <f aca="false">IF($A1147="","",TRIM(Base_Bruta!J1147))</f>
        <v>Site</v>
      </c>
      <c r="L1147" s="4" t="str">
        <f aca="false">IF($A1147="","",TRIM(Base_Bruta!K1147))</f>
        <v>C01689</v>
      </c>
      <c r="M1147" s="4" t="str">
        <f aca="false">IF($A1147="","",_xlfn.XLOOKUP(LOWER(TRIM(Base_Bruta!L1147)),DePara_Cidade!$A$2:$A$29,DePara_Cidade!$B$2:$B$29,"REVISAR"))</f>
        <v>Rio de Janeiro</v>
      </c>
      <c r="N1147" s="4" t="str">
        <f aca="false">IF($A1147="","",UPPER(TRIM(Base_Bruta!M1147)))</f>
        <v>RJ</v>
      </c>
      <c r="O1147" s="4" t="str">
        <f aca="false">IF($A1147="","",_xlfn.XLOOKUP(LOWER(TRIM(Base_Bruta!N1147)),DePara_Pais!$A$2:$A$9,DePara_Pais!$B$2:$B$9,"REVISAR"))</f>
        <v>Brasil</v>
      </c>
      <c r="P1147" s="4" t="str">
        <f aca="false">IF($A1147="","",IF(O1147&lt;&gt;"Brasil","Turista Internacional",IF(M1147=F1147,"Local","Turista Nacional")))</f>
        <v>Local</v>
      </c>
      <c r="Q1147" s="7" t="n">
        <f aca="false">IF($A1147="","",DATE(YEAR(B1147),MONTH(B1147),1))</f>
        <v>45931</v>
      </c>
      <c r="R1147" s="4" t="str">
        <f aca="false">IF($A1147="","",IF(COUNTIF($A$2:$A1147,$A1147)&gt;1,"Sim","Não"))</f>
        <v>Não</v>
      </c>
      <c r="S1147" s="4" t="str">
        <f aca="false">IF(A1147="","Descartar - Linha vazia",IF(R1147="Sim","Descartar - Duplicado",IF(OR(H1147&lt;=0,I1147&lt;=0),"Descartar - Qtd/Valor inválido","OK")))</f>
        <v>OK</v>
      </c>
      <c r="T1147" s="4" t="str">
        <f aca="false">Base_Bruta!P1147</f>
        <v>vendas_RJ.xlsx</v>
      </c>
    </row>
    <row r="1148" customFormat="false" ht="15" hidden="false" customHeight="false" outlineLevel="0" collapsed="false">
      <c r="A1148" s="4" t="str">
        <f aca="false">IF(Base_Bruta!A1148="","",Base_Bruta!A1148)</f>
        <v>RJ-000125</v>
      </c>
      <c r="B1148" s="5" t="n">
        <f aca="false">IF($A1148="","",IF(ISNUMBER(Base_Bruta!B1148),Base_Bruta!B1148,IF(MID(Base_Bruta!B1148,5,1)="-",DATE(VALUE(LEFT(Base_Bruta!B1148,4)),VALUE(MID(Base_Bruta!B1148,6,2)),VALUE(RIGHT(Base_Bruta!B1148,2))),DATE(VALUE(RIGHT(Base_Bruta!B1148,4)),VALUE(MID(Base_Bruta!B1148,4,2)),VALUE(LEFT(Base_Bruta!B1148,2))))))</f>
        <v>45958</v>
      </c>
      <c r="C1148" s="5" t="n">
        <f aca="false">IF($A1148="","",IF(ISNUMBER(Base_Bruta!C1148),Base_Bruta!C1148,IF(MID(Base_Bruta!C1148,5,1)="-",DATE(VALUE(LEFT(Base_Bruta!C1148,4)),VALUE(MID(Base_Bruta!C1148,6,2)),VALUE(RIGHT(Base_Bruta!C1148,2))),DATE(VALUE(RIGHT(Base_Bruta!C1148,4)),VALUE(MID(Base_Bruta!C1148,4,2)),VALUE(LEFT(Base_Bruta!C1148,2))))))</f>
        <v>46046</v>
      </c>
      <c r="D1148" s="4" t="str">
        <f aca="false">IF($A1148="","",TRIM(Base_Bruta!D1148))</f>
        <v>Rio Beat Festival 2026</v>
      </c>
      <c r="E1148" s="4" t="str">
        <f aca="false">IF($A1148="","",_xlfn.XLOOKUP(LOWER(TRIM(Base_Bruta!E1148)),DePara_Categoria!$A$2:$A$9,DePara_Categoria!$B$2:$B$9,"REVISAR"))</f>
        <v>Festival</v>
      </c>
      <c r="F1148" s="4" t="str">
        <f aca="false">IF($A1148="","",_xlfn.XLOOKUP(LOWER(TRIM(Base_Bruta!F1148)),DePara_Cidade!$A$2:$A$29,DePara_Cidade!$B$2:$B$29,"REVISAR"))</f>
        <v>Rio de Janeiro</v>
      </c>
      <c r="G1148" s="4" t="str">
        <f aca="false">IF($A1148="","",TRIM(Base_Bruta!G1148))</f>
        <v>Inteira</v>
      </c>
      <c r="H1148" s="4" t="n">
        <f aca="false">IF($A1148="","",IF(ISNUMBER(Base_Bruta!H1148),Base_Bruta!H1148,IFERROR(_xlfn.NUMBERVALUE(TRIM(SUBSTITUTE(Base_Bruta!H1148,"R$","")),",","."),0)))</f>
        <v>1</v>
      </c>
      <c r="I1148" s="6" t="n">
        <f aca="false">IF($A1148="","",IF(ISNUMBER(Base_Bruta!I1148),Base_Bruta!I1148,IFERROR(_xlfn.NUMBERVALUE(TRIM(SUBSTITUTE(Base_Bruta!I1148,"R$","")),",","."),0)))</f>
        <v>1140</v>
      </c>
      <c r="J1148" s="6" t="n">
        <f aca="false">IF($A1148="","",H1148*I1148)</f>
        <v>1140</v>
      </c>
      <c r="K1148" s="4" t="str">
        <f aca="false">IF($A1148="","",TRIM(Base_Bruta!J1148))</f>
        <v>Site</v>
      </c>
      <c r="L1148" s="4" t="str">
        <f aca="false">IF($A1148="","",TRIM(Base_Bruta!K1148))</f>
        <v>C00726</v>
      </c>
      <c r="M1148" s="4" t="str">
        <f aca="false">IF($A1148="","",_xlfn.XLOOKUP(LOWER(TRIM(Base_Bruta!L1148)),DePara_Cidade!$A$2:$A$29,DePara_Cidade!$B$2:$B$29,"REVISAR"))</f>
        <v>Contagem</v>
      </c>
      <c r="N1148" s="4" t="str">
        <f aca="false">IF($A1148="","",UPPER(TRIM(Base_Bruta!M1148)))</f>
        <v>MG</v>
      </c>
      <c r="O1148" s="4" t="str">
        <f aca="false">IF($A1148="","",_xlfn.XLOOKUP(LOWER(TRIM(Base_Bruta!N1148)),DePara_Pais!$A$2:$A$9,DePara_Pais!$B$2:$B$9,"REVISAR"))</f>
        <v>Brasil</v>
      </c>
      <c r="P1148" s="4" t="str">
        <f aca="false">IF($A1148="","",IF(O1148&lt;&gt;"Brasil","Turista Internacional",IF(M1148=F1148,"Local","Turista Nacional")))</f>
        <v>Turista Nacional</v>
      </c>
      <c r="Q1148" s="7" t="n">
        <f aca="false">IF($A1148="","",DATE(YEAR(B1148),MONTH(B1148),1))</f>
        <v>45931</v>
      </c>
      <c r="R1148" s="4" t="str">
        <f aca="false">IF($A1148="","",IF(COUNTIF($A$2:$A1148,$A1148)&gt;1,"Sim","Não"))</f>
        <v>Não</v>
      </c>
      <c r="S1148" s="4" t="str">
        <f aca="false">IF(A1148="","Descartar - Linha vazia",IF(R1148="Sim","Descartar - Duplicado",IF(OR(H1148&lt;=0,I1148&lt;=0),"Descartar - Qtd/Valor inválido","OK")))</f>
        <v>OK</v>
      </c>
      <c r="T1148" s="4" t="str">
        <f aca="false">Base_Bruta!P1148</f>
        <v>vendas_RJ.xlsx</v>
      </c>
    </row>
    <row r="1149" customFormat="false" ht="15" hidden="false" customHeight="false" outlineLevel="0" collapsed="false">
      <c r="A1149" s="4" t="str">
        <f aca="false">IF(Base_Bruta!A1149="","",Base_Bruta!A1149)</f>
        <v>RJ-000149</v>
      </c>
      <c r="B1149" s="5" t="n">
        <f aca="false">IF($A1149="","",IF(ISNUMBER(Base_Bruta!B1149),Base_Bruta!B1149,IF(MID(Base_Bruta!B1149,5,1)="-",DATE(VALUE(LEFT(Base_Bruta!B1149,4)),VALUE(MID(Base_Bruta!B1149,6,2)),VALUE(RIGHT(Base_Bruta!B1149,2))),DATE(VALUE(RIGHT(Base_Bruta!B1149,4)),VALUE(MID(Base_Bruta!B1149,4,2)),VALUE(LEFT(Base_Bruta!B1149,2))))))</f>
        <v>45958</v>
      </c>
      <c r="C1149" s="5" t="n">
        <f aca="false">IF($A1149="","",IF(ISNUMBER(Base_Bruta!C1149),Base_Bruta!C1149,IF(MID(Base_Bruta!C1149,5,1)="-",DATE(VALUE(LEFT(Base_Bruta!C1149,4)),VALUE(MID(Base_Bruta!C1149,6,2)),VALUE(RIGHT(Base_Bruta!C1149,2))),DATE(VALUE(RIGHT(Base_Bruta!C1149,4)),VALUE(MID(Base_Bruta!C1149,4,2)),VALUE(LEFT(Base_Bruta!C1149,2))))))</f>
        <v>46046</v>
      </c>
      <c r="D1149" s="4" t="str">
        <f aca="false">IF($A1149="","",TRIM(Base_Bruta!D1149))</f>
        <v>Rio Beat Festival 2026</v>
      </c>
      <c r="E1149" s="4" t="str">
        <f aca="false">IF($A1149="","",_xlfn.XLOOKUP(LOWER(TRIM(Base_Bruta!E1149)),DePara_Categoria!$A$2:$A$9,DePara_Categoria!$B$2:$B$9,"REVISAR"))</f>
        <v>Festival</v>
      </c>
      <c r="F1149" s="4" t="str">
        <f aca="false">IF($A1149="","",_xlfn.XLOOKUP(LOWER(TRIM(Base_Bruta!F1149)),DePara_Cidade!$A$2:$A$29,DePara_Cidade!$B$2:$B$29,"REVISAR"))</f>
        <v>Rio de Janeiro</v>
      </c>
      <c r="G1149" s="4" t="str">
        <f aca="false">IF($A1149="","",TRIM(Base_Bruta!G1149))</f>
        <v>Inteira</v>
      </c>
      <c r="H1149" s="4" t="n">
        <f aca="false">IF($A1149="","",IF(ISNUMBER(Base_Bruta!H1149),Base_Bruta!H1149,IFERROR(_xlfn.NUMBERVALUE(TRIM(SUBSTITUTE(Base_Bruta!H1149,"R$","")),",","."),0)))</f>
        <v>3</v>
      </c>
      <c r="I1149" s="6" t="n">
        <f aca="false">IF($A1149="","",IF(ISNUMBER(Base_Bruta!I1149),Base_Bruta!I1149,IFERROR(_xlfn.NUMBERVALUE(TRIM(SUBSTITUTE(Base_Bruta!I1149,"R$","")),",","."),0)))</f>
        <v>710</v>
      </c>
      <c r="J1149" s="6" t="n">
        <f aca="false">IF($A1149="","",H1149*I1149)</f>
        <v>2130</v>
      </c>
      <c r="K1149" s="4" t="str">
        <f aca="false">IF($A1149="","",TRIM(Base_Bruta!J1149))</f>
        <v>Site</v>
      </c>
      <c r="L1149" s="4" t="str">
        <f aca="false">IF($A1149="","",TRIM(Base_Bruta!K1149))</f>
        <v>C00298</v>
      </c>
      <c r="M1149" s="4" t="str">
        <f aca="false">IF($A1149="","",_xlfn.XLOOKUP(LOWER(TRIM(Base_Bruta!L1149)),DePara_Cidade!$A$2:$A$29,DePara_Cidade!$B$2:$B$29,"REVISAR"))</f>
        <v>Rio de Janeiro</v>
      </c>
      <c r="N1149" s="4" t="str">
        <f aca="false">IF($A1149="","",UPPER(TRIM(Base_Bruta!M1149)))</f>
        <v>RJ</v>
      </c>
      <c r="O1149" s="4" t="str">
        <f aca="false">IF($A1149="","",_xlfn.XLOOKUP(LOWER(TRIM(Base_Bruta!N1149)),DePara_Pais!$A$2:$A$9,DePara_Pais!$B$2:$B$9,"REVISAR"))</f>
        <v>Brasil</v>
      </c>
      <c r="P1149" s="4" t="str">
        <f aca="false">IF($A1149="","",IF(O1149&lt;&gt;"Brasil","Turista Internacional",IF(M1149=F1149,"Local","Turista Nacional")))</f>
        <v>Local</v>
      </c>
      <c r="Q1149" s="7" t="n">
        <f aca="false">IF($A1149="","",DATE(YEAR(B1149),MONTH(B1149),1))</f>
        <v>45931</v>
      </c>
      <c r="R1149" s="4" t="str">
        <f aca="false">IF($A1149="","",IF(COUNTIF($A$2:$A1149,$A1149)&gt;1,"Sim","Não"))</f>
        <v>Não</v>
      </c>
      <c r="S1149" s="4" t="str">
        <f aca="false">IF(A1149="","Descartar - Linha vazia",IF(R1149="Sim","Descartar - Duplicado",IF(OR(H1149&lt;=0,I1149&lt;=0),"Descartar - Qtd/Valor inválido","OK")))</f>
        <v>OK</v>
      </c>
      <c r="T1149" s="4" t="str">
        <f aca="false">Base_Bruta!P1149</f>
        <v>vendas_RJ.xlsx</v>
      </c>
    </row>
    <row r="1150" customFormat="false" ht="15" hidden="false" customHeight="false" outlineLevel="0" collapsed="false">
      <c r="A1150" s="4" t="str">
        <f aca="false">IF(Base_Bruta!A1150="","",Base_Bruta!A1150)</f>
        <v>RJ-000673</v>
      </c>
      <c r="B1150" s="5" t="n">
        <f aca="false">IF($A1150="","",IF(ISNUMBER(Base_Bruta!B1150),Base_Bruta!B1150,IF(MID(Base_Bruta!B1150,5,1)="-",DATE(VALUE(LEFT(Base_Bruta!B1150,4)),VALUE(MID(Base_Bruta!B1150,6,2)),VALUE(RIGHT(Base_Bruta!B1150,2))),DATE(VALUE(RIGHT(Base_Bruta!B1150,4)),VALUE(MID(Base_Bruta!B1150,4,2)),VALUE(LEFT(Base_Bruta!B1150,2))))))</f>
        <v>45959</v>
      </c>
      <c r="C1150" s="5" t="n">
        <f aca="false">IF($A1150="","",IF(ISNUMBER(Base_Bruta!C1150),Base_Bruta!C1150,IF(MID(Base_Bruta!C1150,5,1)="-",DATE(VALUE(LEFT(Base_Bruta!C1150,4)),VALUE(MID(Base_Bruta!C1150,6,2)),VALUE(RIGHT(Base_Bruta!C1150,2))),DATE(VALUE(RIGHT(Base_Bruta!C1150,4)),VALUE(MID(Base_Bruta!C1150,4,2)),VALUE(LEFT(Base_Bruta!C1150,2))))))</f>
        <v>45959</v>
      </c>
      <c r="D1150" s="4" t="str">
        <f aca="false">IF($A1150="","",TRIM(Base_Bruta!D1150))</f>
        <v>Cinema Barra - Sessões</v>
      </c>
      <c r="E1150" s="4" t="str">
        <f aca="false">IF($A1150="","",_xlfn.XLOOKUP(LOWER(TRIM(Base_Bruta!E1150)),DePara_Categoria!$A$2:$A$9,DePara_Categoria!$B$2:$B$9,"REVISAR"))</f>
        <v>Cinema</v>
      </c>
      <c r="F1150" s="4" t="str">
        <f aca="false">IF($A1150="","",_xlfn.XLOOKUP(LOWER(TRIM(Base_Bruta!F1150)),DePara_Cidade!$A$2:$A$29,DePara_Cidade!$B$2:$B$29,"REVISAR"))</f>
        <v>Rio de Janeiro</v>
      </c>
      <c r="G1150" s="4" t="str">
        <f aca="false">IF($A1150="","",TRIM(Base_Bruta!G1150))</f>
        <v>Inteira</v>
      </c>
      <c r="H1150" s="4" t="n">
        <f aca="false">IF($A1150="","",IF(ISNUMBER(Base_Bruta!H1150),Base_Bruta!H1150,IFERROR(_xlfn.NUMBERVALUE(TRIM(SUBSTITUTE(Base_Bruta!H1150,"R$","")),",","."),0)))</f>
        <v>2</v>
      </c>
      <c r="I1150" s="6" t="n">
        <f aca="false">IF($A1150="","",IF(ISNUMBER(Base_Bruta!I1150),Base_Bruta!I1150,IFERROR(_xlfn.NUMBERVALUE(TRIM(SUBSTITUTE(Base_Bruta!I1150,"R$","")),",","."),0)))</f>
        <v>45</v>
      </c>
      <c r="J1150" s="6" t="n">
        <f aca="false">IF($A1150="","",H1150*I1150)</f>
        <v>90</v>
      </c>
      <c r="K1150" s="4" t="str">
        <f aca="false">IF($A1150="","",TRIM(Base_Bruta!J1150))</f>
        <v>App</v>
      </c>
      <c r="L1150" s="4" t="str">
        <f aca="false">IF($A1150="","",TRIM(Base_Bruta!K1150))</f>
        <v>C00697</v>
      </c>
      <c r="M1150" s="4" t="str">
        <f aca="false">IF($A1150="","",_xlfn.XLOOKUP(LOWER(TRIM(Base_Bruta!L1150)),DePara_Cidade!$A$2:$A$29,DePara_Cidade!$B$2:$B$29,"REVISAR"))</f>
        <v>Rio de Janeiro</v>
      </c>
      <c r="N1150" s="4" t="str">
        <f aca="false">IF($A1150="","",UPPER(TRIM(Base_Bruta!M1150)))</f>
        <v>RJ</v>
      </c>
      <c r="O1150" s="4" t="str">
        <f aca="false">IF($A1150="","",_xlfn.XLOOKUP(LOWER(TRIM(Base_Bruta!N1150)),DePara_Pais!$A$2:$A$9,DePara_Pais!$B$2:$B$9,"REVISAR"))</f>
        <v>Brasil</v>
      </c>
      <c r="P1150" s="4" t="str">
        <f aca="false">IF($A1150="","",IF(O1150&lt;&gt;"Brasil","Turista Internacional",IF(M1150=F1150,"Local","Turista Nacional")))</f>
        <v>Local</v>
      </c>
      <c r="Q1150" s="7" t="n">
        <f aca="false">IF($A1150="","",DATE(YEAR(B1150),MONTH(B1150),1))</f>
        <v>45931</v>
      </c>
      <c r="R1150" s="4" t="str">
        <f aca="false">IF($A1150="","",IF(COUNTIF($A$2:$A1150,$A1150)&gt;1,"Sim","Não"))</f>
        <v>Não</v>
      </c>
      <c r="S1150" s="4" t="str">
        <f aca="false">IF(A1150="","Descartar - Linha vazia",IF(R1150="Sim","Descartar - Duplicado",IF(OR(H1150&lt;=0,I1150&lt;=0),"Descartar - Qtd/Valor inválido","OK")))</f>
        <v>OK</v>
      </c>
      <c r="T1150" s="4" t="str">
        <f aca="false">Base_Bruta!P1150</f>
        <v>vendas_RJ.xlsx</v>
      </c>
    </row>
    <row r="1151" customFormat="false" ht="15" hidden="false" customHeight="false" outlineLevel="0" collapsed="false">
      <c r="A1151" s="4" t="str">
        <f aca="false">IF(Base_Bruta!A1151="","",Base_Bruta!A1151)</f>
        <v>RJ-000565</v>
      </c>
      <c r="B1151" s="5" t="n">
        <f aca="false">IF($A1151="","",IF(ISNUMBER(Base_Bruta!B1151),Base_Bruta!B1151,IF(MID(Base_Bruta!B1151,5,1)="-",DATE(VALUE(LEFT(Base_Bruta!B1151,4)),VALUE(MID(Base_Bruta!B1151,6,2)),VALUE(RIGHT(Base_Bruta!B1151,2))),DATE(VALUE(RIGHT(Base_Bruta!B1151,4)),VALUE(MID(Base_Bruta!B1151,4,2)),VALUE(LEFT(Base_Bruta!B1151,2))))))</f>
        <v>45960</v>
      </c>
      <c r="C1151" s="5" t="n">
        <f aca="false">IF($A1151="","",IF(ISNUMBER(Base_Bruta!C1151),Base_Bruta!C1151,IF(MID(Base_Bruta!C1151,5,1)="-",DATE(VALUE(LEFT(Base_Bruta!C1151,4)),VALUE(MID(Base_Bruta!C1151,6,2)),VALUE(RIGHT(Base_Bruta!C1151,2))),DATE(VALUE(RIGHT(Base_Bruta!C1151,4)),VALUE(MID(Base_Bruta!C1151,4,2)),VALUE(LEFT(Base_Bruta!C1151,2))))))</f>
        <v>45961</v>
      </c>
      <c r="D1151" s="4" t="str">
        <f aca="false">IF($A1151="","",TRIM(Base_Bruta!D1151))</f>
        <v>Cinema Barra - Sessões</v>
      </c>
      <c r="E1151" s="4" t="str">
        <f aca="false">IF($A1151="","",_xlfn.XLOOKUP(LOWER(TRIM(Base_Bruta!E1151)),DePara_Categoria!$A$2:$A$9,DePara_Categoria!$B$2:$B$9,"REVISAR"))</f>
        <v>Cinema</v>
      </c>
      <c r="F1151" s="4" t="str">
        <f aca="false">IF($A1151="","",_xlfn.XLOOKUP(LOWER(TRIM(Base_Bruta!F1151)),DePara_Cidade!$A$2:$A$29,DePara_Cidade!$B$2:$B$29,"REVISAR"))</f>
        <v>Rio de Janeiro</v>
      </c>
      <c r="G1151" s="4" t="str">
        <f aca="false">IF($A1151="","",TRIM(Base_Bruta!G1151))</f>
        <v>Inteira</v>
      </c>
      <c r="H1151" s="4" t="n">
        <f aca="false">IF($A1151="","",IF(ISNUMBER(Base_Bruta!H1151),Base_Bruta!H1151,IFERROR(_xlfn.NUMBERVALUE(TRIM(SUBSTITUTE(Base_Bruta!H1151,"R$","")),",","."),0)))</f>
        <v>3</v>
      </c>
      <c r="I1151" s="6" t="n">
        <f aca="false">IF($A1151="","",IF(ISNUMBER(Base_Bruta!I1151),Base_Bruta!I1151,IFERROR(_xlfn.NUMBERVALUE(TRIM(SUBSTITUTE(Base_Bruta!I1151,"R$","")),",","."),0)))</f>
        <v>45</v>
      </c>
      <c r="J1151" s="6" t="n">
        <f aca="false">IF($A1151="","",H1151*I1151)</f>
        <v>135</v>
      </c>
      <c r="K1151" s="4" t="str">
        <f aca="false">IF($A1151="","",TRIM(Base_Bruta!J1151))</f>
        <v>Site</v>
      </c>
      <c r="L1151" s="4" t="str">
        <f aca="false">IF($A1151="","",TRIM(Base_Bruta!K1151))</f>
        <v>C00467</v>
      </c>
      <c r="M1151" s="4" t="str">
        <f aca="false">IF($A1151="","",_xlfn.XLOOKUP(LOWER(TRIM(Base_Bruta!L1151)),DePara_Cidade!$A$2:$A$29,DePara_Cidade!$B$2:$B$29,"REVISAR"))</f>
        <v>Rio de Janeiro</v>
      </c>
      <c r="N1151" s="4" t="str">
        <f aca="false">IF($A1151="","",UPPER(TRIM(Base_Bruta!M1151)))</f>
        <v>RJ</v>
      </c>
      <c r="O1151" s="4" t="str">
        <f aca="false">IF($A1151="","",_xlfn.XLOOKUP(LOWER(TRIM(Base_Bruta!N1151)),DePara_Pais!$A$2:$A$9,DePara_Pais!$B$2:$B$9,"REVISAR"))</f>
        <v>Brasil</v>
      </c>
      <c r="P1151" s="4" t="str">
        <f aca="false">IF($A1151="","",IF(O1151&lt;&gt;"Brasil","Turista Internacional",IF(M1151=F1151,"Local","Turista Nacional")))</f>
        <v>Local</v>
      </c>
      <c r="Q1151" s="7" t="n">
        <f aca="false">IF($A1151="","",DATE(YEAR(B1151),MONTH(B1151),1))</f>
        <v>45931</v>
      </c>
      <c r="R1151" s="4" t="str">
        <f aca="false">IF($A1151="","",IF(COUNTIF($A$2:$A1151,$A1151)&gt;1,"Sim","Não"))</f>
        <v>Não</v>
      </c>
      <c r="S1151" s="4" t="str">
        <f aca="false">IF(A1151="","Descartar - Linha vazia",IF(R1151="Sim","Descartar - Duplicado",IF(OR(H1151&lt;=0,I1151&lt;=0),"Descartar - Qtd/Valor inválido","OK")))</f>
        <v>OK</v>
      </c>
      <c r="T1151" s="4" t="str">
        <f aca="false">Base_Bruta!P1151</f>
        <v>vendas_RJ.xlsx</v>
      </c>
    </row>
    <row r="1152" customFormat="false" ht="15" hidden="false" customHeight="false" outlineLevel="0" collapsed="false">
      <c r="A1152" s="4" t="str">
        <f aca="false">IF(Base_Bruta!A1152="","",Base_Bruta!A1152)</f>
        <v>RJ-000078</v>
      </c>
      <c r="B1152" s="5" t="n">
        <f aca="false">IF($A1152="","",IF(ISNUMBER(Base_Bruta!B1152),Base_Bruta!B1152,IF(MID(Base_Bruta!B1152,5,1)="-",DATE(VALUE(LEFT(Base_Bruta!B1152,4)),VALUE(MID(Base_Bruta!B1152,6,2)),VALUE(RIGHT(Base_Bruta!B1152,2))),DATE(VALUE(RIGHT(Base_Bruta!B1152,4)),VALUE(MID(Base_Bruta!B1152,4,2)),VALUE(LEFT(Base_Bruta!B1152,2))))))</f>
        <v>45963</v>
      </c>
      <c r="C1152" s="5" t="n">
        <f aca="false">IF($A1152="","",IF(ISNUMBER(Base_Bruta!C1152),Base_Bruta!C1152,IF(MID(Base_Bruta!C1152,5,1)="-",DATE(VALUE(LEFT(Base_Bruta!C1152,4)),VALUE(MID(Base_Bruta!C1152,6,2)),VALUE(RIGHT(Base_Bruta!C1152,2))),DATE(VALUE(RIGHT(Base_Bruta!C1152,4)),VALUE(MID(Base_Bruta!C1152,4,2)),VALUE(LEFT(Base_Bruta!C1152,2))))))</f>
        <v>46046</v>
      </c>
      <c r="D1152" s="4" t="str">
        <f aca="false">IF($A1152="","",TRIM(Base_Bruta!D1152))</f>
        <v>Rio Beat Festival 2026</v>
      </c>
      <c r="E1152" s="4" t="str">
        <f aca="false">IF($A1152="","",_xlfn.XLOOKUP(LOWER(TRIM(Base_Bruta!E1152)),DePara_Categoria!$A$2:$A$9,DePara_Categoria!$B$2:$B$9,"REVISAR"))</f>
        <v>Festival</v>
      </c>
      <c r="F1152" s="4" t="str">
        <f aca="false">IF($A1152="","",_xlfn.XLOOKUP(LOWER(TRIM(Base_Bruta!F1152)),DePara_Cidade!$A$2:$A$29,DePara_Cidade!$B$2:$B$29,"REVISAR"))</f>
        <v>Rio de Janeiro</v>
      </c>
      <c r="G1152" s="4" t="str">
        <f aca="false">IF($A1152="","",TRIM(Base_Bruta!G1152))</f>
        <v>Inteira</v>
      </c>
      <c r="H1152" s="4" t="n">
        <f aca="false">IF($A1152="","",IF(ISNUMBER(Base_Bruta!H1152),Base_Bruta!H1152,IFERROR(_xlfn.NUMBERVALUE(TRIM(SUBSTITUTE(Base_Bruta!H1152,"R$","")),",","."),0)))</f>
        <v>4</v>
      </c>
      <c r="I1152" s="6" t="n">
        <f aca="false">IF($A1152="","",IF(ISNUMBER(Base_Bruta!I1152),Base_Bruta!I1152,IFERROR(_xlfn.NUMBERVALUE(TRIM(SUBSTITUTE(Base_Bruta!I1152,"R$","")),",","."),0)))</f>
        <v>895</v>
      </c>
      <c r="J1152" s="6" t="n">
        <f aca="false">IF($A1152="","",H1152*I1152)</f>
        <v>3580</v>
      </c>
      <c r="K1152" s="4" t="str">
        <f aca="false">IF($A1152="","",TRIM(Base_Bruta!J1152))</f>
        <v>Parceiro</v>
      </c>
      <c r="L1152" s="4" t="str">
        <f aca="false">IF($A1152="","",TRIM(Base_Bruta!K1152))</f>
        <v>C01438</v>
      </c>
      <c r="M1152" s="4" t="str">
        <f aca="false">IF($A1152="","",_xlfn.XLOOKUP(LOWER(TRIM(Base_Bruta!L1152)),DePara_Cidade!$A$2:$A$29,DePara_Cidade!$B$2:$B$29,"REVISAR"))</f>
        <v>Rio de Janeiro</v>
      </c>
      <c r="N1152" s="4" t="str">
        <f aca="false">IF($A1152="","",UPPER(TRIM(Base_Bruta!M1152)))</f>
        <v>RJ</v>
      </c>
      <c r="O1152" s="4" t="str">
        <f aca="false">IF($A1152="","",_xlfn.XLOOKUP(LOWER(TRIM(Base_Bruta!N1152)),DePara_Pais!$A$2:$A$9,DePara_Pais!$B$2:$B$9,"REVISAR"))</f>
        <v>Brasil</v>
      </c>
      <c r="P1152" s="4" t="str">
        <f aca="false">IF($A1152="","",IF(O1152&lt;&gt;"Brasil","Turista Internacional",IF(M1152=F1152,"Local","Turista Nacional")))</f>
        <v>Local</v>
      </c>
      <c r="Q1152" s="7" t="n">
        <f aca="false">IF($A1152="","",DATE(YEAR(B1152),MONTH(B1152),1))</f>
        <v>45962</v>
      </c>
      <c r="R1152" s="4" t="str">
        <f aca="false">IF($A1152="","",IF(COUNTIF($A$2:$A1152,$A1152)&gt;1,"Sim","Não"))</f>
        <v>Não</v>
      </c>
      <c r="S1152" s="4" t="str">
        <f aca="false">IF(A1152="","Descartar - Linha vazia",IF(R1152="Sim","Descartar - Duplicado",IF(OR(H1152&lt;=0,I1152&lt;=0),"Descartar - Qtd/Valor inválido","OK")))</f>
        <v>OK</v>
      </c>
      <c r="T1152" s="4" t="str">
        <f aca="false">Base_Bruta!P1152</f>
        <v>vendas_RJ.xlsx</v>
      </c>
    </row>
    <row r="1153" customFormat="false" ht="15" hidden="false" customHeight="false" outlineLevel="0" collapsed="false">
      <c r="A1153" s="4" t="str">
        <f aca="false">IF(Base_Bruta!A1153="","",Base_Bruta!A1153)</f>
        <v>RJ-000209</v>
      </c>
      <c r="B1153" s="5" t="n">
        <f aca="false">IF($A1153="","",IF(ISNUMBER(Base_Bruta!B1153),Base_Bruta!B1153,IF(MID(Base_Bruta!B1153,5,1)="-",DATE(VALUE(LEFT(Base_Bruta!B1153,4)),VALUE(MID(Base_Bruta!B1153,6,2)),VALUE(RIGHT(Base_Bruta!B1153,2))),DATE(VALUE(RIGHT(Base_Bruta!B1153,4)),VALUE(MID(Base_Bruta!B1153,4,2)),VALUE(LEFT(Base_Bruta!B1153,2))))))</f>
        <v>45964</v>
      </c>
      <c r="C1153" s="5" t="n">
        <f aca="false">IF($A1153="","",IF(ISNUMBER(Base_Bruta!C1153),Base_Bruta!C1153,IF(MID(Base_Bruta!C1153,5,1)="-",DATE(VALUE(LEFT(Base_Bruta!C1153,4)),VALUE(MID(Base_Bruta!C1153,6,2)),VALUE(RIGHT(Base_Bruta!C1153,2))),DATE(VALUE(RIGHT(Base_Bruta!C1153,4)),VALUE(MID(Base_Bruta!C1153,4,2)),VALUE(LEFT(Base_Bruta!C1153,2))))))</f>
        <v>46046</v>
      </c>
      <c r="D1153" s="4" t="str">
        <f aca="false">IF($A1153="","",TRIM(Base_Bruta!D1153))</f>
        <v>Rio Beat Festival 2026</v>
      </c>
      <c r="E1153" s="4" t="str">
        <f aca="false">IF($A1153="","",_xlfn.XLOOKUP(LOWER(TRIM(Base_Bruta!E1153)),DePara_Categoria!$A$2:$A$9,DePara_Categoria!$B$2:$B$9,"REVISAR"))</f>
        <v>Festival</v>
      </c>
      <c r="F1153" s="4" t="str">
        <f aca="false">IF($A1153="","",_xlfn.XLOOKUP(LOWER(TRIM(Base_Bruta!F1153)),DePara_Cidade!$A$2:$A$29,DePara_Cidade!$B$2:$B$29,"REVISAR"))</f>
        <v>Rio de Janeiro</v>
      </c>
      <c r="G1153" s="4" t="str">
        <f aca="false">IF($A1153="","",TRIM(Base_Bruta!G1153))</f>
        <v>Inteira</v>
      </c>
      <c r="H1153" s="4" t="n">
        <f aca="false">IF($A1153="","",IF(ISNUMBER(Base_Bruta!H1153),Base_Bruta!H1153,IFERROR(_xlfn.NUMBERVALUE(TRIM(SUBSTITUTE(Base_Bruta!H1153,"R$","")),",","."),0)))</f>
        <v>2</v>
      </c>
      <c r="I1153" s="6" t="n">
        <f aca="false">IF($A1153="","",IF(ISNUMBER(Base_Bruta!I1153),Base_Bruta!I1153,IFERROR(_xlfn.NUMBERVALUE(TRIM(SUBSTITUTE(Base_Bruta!I1153,"R$","")),",","."),0)))</f>
        <v>820</v>
      </c>
      <c r="J1153" s="6" t="n">
        <f aca="false">IF($A1153="","",H1153*I1153)</f>
        <v>1640</v>
      </c>
      <c r="K1153" s="4" t="str">
        <f aca="false">IF($A1153="","",TRIM(Base_Bruta!J1153))</f>
        <v>App</v>
      </c>
      <c r="L1153" s="4" t="str">
        <f aca="false">IF($A1153="","",TRIM(Base_Bruta!K1153))</f>
        <v>C01723</v>
      </c>
      <c r="M1153" s="4" t="str">
        <f aca="false">IF($A1153="","",_xlfn.XLOOKUP(LOWER(TRIM(Base_Bruta!L1153)),DePara_Cidade!$A$2:$A$29,DePara_Cidade!$B$2:$B$29,"REVISAR"))</f>
        <v>Curitiba</v>
      </c>
      <c r="N1153" s="4" t="str">
        <f aca="false">IF($A1153="","",UPPER(TRIM(Base_Bruta!M1153)))</f>
        <v>PR</v>
      </c>
      <c r="O1153" s="4" t="str">
        <f aca="false">IF($A1153="","",_xlfn.XLOOKUP(LOWER(TRIM(Base_Bruta!N1153)),DePara_Pais!$A$2:$A$9,DePara_Pais!$B$2:$B$9,"REVISAR"))</f>
        <v>Brasil</v>
      </c>
      <c r="P1153" s="4" t="str">
        <f aca="false">IF($A1153="","",IF(O1153&lt;&gt;"Brasil","Turista Internacional",IF(M1153=F1153,"Local","Turista Nacional")))</f>
        <v>Turista Nacional</v>
      </c>
      <c r="Q1153" s="7" t="n">
        <f aca="false">IF($A1153="","",DATE(YEAR(B1153),MONTH(B1153),1))</f>
        <v>45962</v>
      </c>
      <c r="R1153" s="4" t="str">
        <f aca="false">IF($A1153="","",IF(COUNTIF($A$2:$A1153,$A1153)&gt;1,"Sim","Não"))</f>
        <v>Não</v>
      </c>
      <c r="S1153" s="4" t="str">
        <f aca="false">IF(A1153="","Descartar - Linha vazia",IF(R1153="Sim","Descartar - Duplicado",IF(OR(H1153&lt;=0,I1153&lt;=0),"Descartar - Qtd/Valor inválido","OK")))</f>
        <v>OK</v>
      </c>
      <c r="T1153" s="4" t="str">
        <f aca="false">Base_Bruta!P1153</f>
        <v>vendas_RJ.xlsx</v>
      </c>
    </row>
    <row r="1154" customFormat="false" ht="15" hidden="false" customHeight="false" outlineLevel="0" collapsed="false">
      <c r="A1154" s="4" t="str">
        <f aca="false">IF(Base_Bruta!A1154="","",Base_Bruta!A1154)</f>
        <v>RJ-000016</v>
      </c>
      <c r="B1154" s="5" t="n">
        <f aca="false">IF($A1154="","",IF(ISNUMBER(Base_Bruta!B1154),Base_Bruta!B1154,IF(MID(Base_Bruta!B1154,5,1)="-",DATE(VALUE(LEFT(Base_Bruta!B1154,4)),VALUE(MID(Base_Bruta!B1154,6,2)),VALUE(RIGHT(Base_Bruta!B1154,2))),DATE(VALUE(RIGHT(Base_Bruta!B1154,4)),VALUE(MID(Base_Bruta!B1154,4,2)),VALUE(LEFT(Base_Bruta!B1154,2))))))</f>
        <v>45965</v>
      </c>
      <c r="C1154" s="5" t="n">
        <f aca="false">IF($A1154="","",IF(ISNUMBER(Base_Bruta!C1154),Base_Bruta!C1154,IF(MID(Base_Bruta!C1154,5,1)="-",DATE(VALUE(LEFT(Base_Bruta!C1154,4)),VALUE(MID(Base_Bruta!C1154,6,2)),VALUE(RIGHT(Base_Bruta!C1154,2))),DATE(VALUE(RIGHT(Base_Bruta!C1154,4)),VALUE(MID(Base_Bruta!C1154,4,2)),VALUE(LEFT(Base_Bruta!C1154,2))))))</f>
        <v>46046</v>
      </c>
      <c r="D1154" s="4" t="str">
        <f aca="false">IF($A1154="","",TRIM(Base_Bruta!D1154))</f>
        <v>Rio Beat Festival 2026</v>
      </c>
      <c r="E1154" s="4" t="str">
        <f aca="false">IF($A1154="","",_xlfn.XLOOKUP(LOWER(TRIM(Base_Bruta!E1154)),DePara_Categoria!$A$2:$A$9,DePara_Categoria!$B$2:$B$9,"REVISAR"))</f>
        <v>Festival</v>
      </c>
      <c r="F1154" s="4" t="str">
        <f aca="false">IF($A1154="","",_xlfn.XLOOKUP(LOWER(TRIM(Base_Bruta!F1154)),DePara_Cidade!$A$2:$A$29,DePara_Cidade!$B$2:$B$29,"REVISAR"))</f>
        <v>Rio de Janeiro</v>
      </c>
      <c r="G1154" s="4" t="str">
        <f aca="false">IF($A1154="","",TRIM(Base_Bruta!G1154))</f>
        <v>VIP</v>
      </c>
      <c r="H1154" s="4" t="n">
        <f aca="false">IF($A1154="","",IF(ISNUMBER(Base_Bruta!H1154),Base_Bruta!H1154,IFERROR(_xlfn.NUMBERVALUE(TRIM(SUBSTITUTE(Base_Bruta!H1154,"R$","")),",","."),0)))</f>
        <v>4</v>
      </c>
      <c r="I1154" s="6" t="n">
        <f aca="false">IF($A1154="","",IF(ISNUMBER(Base_Bruta!I1154),Base_Bruta!I1154,IFERROR(_xlfn.NUMBERVALUE(TRIM(SUBSTITUTE(Base_Bruta!I1154,"R$","")),",","."),0)))</f>
        <v>1750</v>
      </c>
      <c r="J1154" s="6" t="n">
        <f aca="false">IF($A1154="","",H1154*I1154)</f>
        <v>7000</v>
      </c>
      <c r="K1154" s="4" t="str">
        <f aca="false">IF($A1154="","",TRIM(Base_Bruta!J1154))</f>
        <v>Site</v>
      </c>
      <c r="L1154" s="4" t="str">
        <f aca="false">IF($A1154="","",TRIM(Base_Bruta!K1154))</f>
        <v>C01485</v>
      </c>
      <c r="M1154" s="4" t="str">
        <f aca="false">IF($A1154="","",_xlfn.XLOOKUP(LOWER(TRIM(Base_Bruta!L1154)),DePara_Cidade!$A$2:$A$29,DePara_Cidade!$B$2:$B$29,"REVISAR"))</f>
        <v>Porto Alegre</v>
      </c>
      <c r="N1154" s="4" t="str">
        <f aca="false">IF($A1154="","",UPPER(TRIM(Base_Bruta!M1154)))</f>
        <v>RS</v>
      </c>
      <c r="O1154" s="4" t="str">
        <f aca="false">IF($A1154="","",_xlfn.XLOOKUP(LOWER(TRIM(Base_Bruta!N1154)),DePara_Pais!$A$2:$A$9,DePara_Pais!$B$2:$B$9,"REVISAR"))</f>
        <v>Brasil</v>
      </c>
      <c r="P1154" s="4" t="str">
        <f aca="false">IF($A1154="","",IF(O1154&lt;&gt;"Brasil","Turista Internacional",IF(M1154=F1154,"Local","Turista Nacional")))</f>
        <v>Turista Nacional</v>
      </c>
      <c r="Q1154" s="7" t="n">
        <f aca="false">IF($A1154="","",DATE(YEAR(B1154),MONTH(B1154),1))</f>
        <v>45962</v>
      </c>
      <c r="R1154" s="4" t="str">
        <f aca="false">IF($A1154="","",IF(COUNTIF($A$2:$A1154,$A1154)&gt;1,"Sim","Não"))</f>
        <v>Não</v>
      </c>
      <c r="S1154" s="4" t="str">
        <f aca="false">IF(A1154="","Descartar - Linha vazia",IF(R1154="Sim","Descartar - Duplicado",IF(OR(H1154&lt;=0,I1154&lt;=0),"Descartar - Qtd/Valor inválido","OK")))</f>
        <v>OK</v>
      </c>
      <c r="T1154" s="4" t="str">
        <f aca="false">Base_Bruta!P1154</f>
        <v>vendas_RJ.xlsx</v>
      </c>
    </row>
    <row r="1155" customFormat="false" ht="15" hidden="false" customHeight="false" outlineLevel="0" collapsed="false">
      <c r="A1155" s="4" t="str">
        <f aca="false">IF(Base_Bruta!A1155="","",Base_Bruta!A1155)</f>
        <v>RJ-000129</v>
      </c>
      <c r="B1155" s="5" t="n">
        <f aca="false">IF($A1155="","",IF(ISNUMBER(Base_Bruta!B1155),Base_Bruta!B1155,IF(MID(Base_Bruta!B1155,5,1)="-",DATE(VALUE(LEFT(Base_Bruta!B1155,4)),VALUE(MID(Base_Bruta!B1155,6,2)),VALUE(RIGHT(Base_Bruta!B1155,2))),DATE(VALUE(RIGHT(Base_Bruta!B1155,4)),VALUE(MID(Base_Bruta!B1155,4,2)),VALUE(LEFT(Base_Bruta!B1155,2))))))</f>
        <v>45965</v>
      </c>
      <c r="C1155" s="5" t="n">
        <f aca="false">IF($A1155="","",IF(ISNUMBER(Base_Bruta!C1155),Base_Bruta!C1155,IF(MID(Base_Bruta!C1155,5,1)="-",DATE(VALUE(LEFT(Base_Bruta!C1155,4)),VALUE(MID(Base_Bruta!C1155,6,2)),VALUE(RIGHT(Base_Bruta!C1155,2))),DATE(VALUE(RIGHT(Base_Bruta!C1155,4)),VALUE(MID(Base_Bruta!C1155,4,2)),VALUE(LEFT(Base_Bruta!C1155,2))))))</f>
        <v>46046</v>
      </c>
      <c r="D1155" s="4" t="str">
        <f aca="false">IF($A1155="","",TRIM(Base_Bruta!D1155))</f>
        <v>Rio Beat Festival 2026</v>
      </c>
      <c r="E1155" s="4" t="str">
        <f aca="false">IF($A1155="","",_xlfn.XLOOKUP(LOWER(TRIM(Base_Bruta!E1155)),DePara_Categoria!$A$2:$A$9,DePara_Categoria!$B$2:$B$9,"REVISAR"))</f>
        <v>Festival</v>
      </c>
      <c r="F1155" s="4" t="str">
        <f aca="false">IF($A1155="","",_xlfn.XLOOKUP(LOWER(TRIM(Base_Bruta!F1155)),DePara_Cidade!$A$2:$A$29,DePara_Cidade!$B$2:$B$29,"REVISAR"))</f>
        <v>Rio de Janeiro</v>
      </c>
      <c r="G1155" s="4" t="str">
        <f aca="false">IF($A1155="","",TRIM(Base_Bruta!G1155))</f>
        <v>Inteira</v>
      </c>
      <c r="H1155" s="4" t="n">
        <f aca="false">IF($A1155="","",IF(ISNUMBER(Base_Bruta!H1155),Base_Bruta!H1155,IFERROR(_xlfn.NUMBERVALUE(TRIM(SUBSTITUTE(Base_Bruta!H1155,"R$","")),",","."),0)))</f>
        <v>2</v>
      </c>
      <c r="I1155" s="6" t="n">
        <f aca="false">IF($A1155="","",IF(ISNUMBER(Base_Bruta!I1155),Base_Bruta!I1155,IFERROR(_xlfn.NUMBERVALUE(TRIM(SUBSTITUTE(Base_Bruta!I1155,"R$","")),",","."),0)))</f>
        <v>1130</v>
      </c>
      <c r="J1155" s="6" t="n">
        <f aca="false">IF($A1155="","",H1155*I1155)</f>
        <v>2260</v>
      </c>
      <c r="K1155" s="4" t="str">
        <f aca="false">IF($A1155="","",TRIM(Base_Bruta!J1155))</f>
        <v>App</v>
      </c>
      <c r="L1155" s="4" t="str">
        <f aca="false">IF($A1155="","",TRIM(Base_Bruta!K1155))</f>
        <v>C00758</v>
      </c>
      <c r="M1155" s="4" t="str">
        <f aca="false">IF($A1155="","",_xlfn.XLOOKUP(LOWER(TRIM(Base_Bruta!L1155)),DePara_Cidade!$A$2:$A$29,DePara_Cidade!$B$2:$B$29,"REVISAR"))</f>
        <v>Curitiba</v>
      </c>
      <c r="N1155" s="4" t="str">
        <f aca="false">IF($A1155="","",UPPER(TRIM(Base_Bruta!M1155)))</f>
        <v>PR</v>
      </c>
      <c r="O1155" s="4" t="str">
        <f aca="false">IF($A1155="","",_xlfn.XLOOKUP(LOWER(TRIM(Base_Bruta!N1155)),DePara_Pais!$A$2:$A$9,DePara_Pais!$B$2:$B$9,"REVISAR"))</f>
        <v>Brasil</v>
      </c>
      <c r="P1155" s="4" t="str">
        <f aca="false">IF($A1155="","",IF(O1155&lt;&gt;"Brasil","Turista Internacional",IF(M1155=F1155,"Local","Turista Nacional")))</f>
        <v>Turista Nacional</v>
      </c>
      <c r="Q1155" s="7" t="n">
        <f aca="false">IF($A1155="","",DATE(YEAR(B1155),MONTH(B1155),1))</f>
        <v>45962</v>
      </c>
      <c r="R1155" s="4" t="str">
        <f aca="false">IF($A1155="","",IF(COUNTIF($A$2:$A1155,$A1155)&gt;1,"Sim","Não"))</f>
        <v>Não</v>
      </c>
      <c r="S1155" s="4" t="str">
        <f aca="false">IF(A1155="","Descartar - Linha vazia",IF(R1155="Sim","Descartar - Duplicado",IF(OR(H1155&lt;=0,I1155&lt;=0),"Descartar - Qtd/Valor inválido","OK")))</f>
        <v>OK</v>
      </c>
      <c r="T1155" s="4" t="str">
        <f aca="false">Base_Bruta!P1155</f>
        <v>vendas_RJ.xlsx</v>
      </c>
    </row>
    <row r="1156" customFormat="false" ht="15" hidden="false" customHeight="false" outlineLevel="0" collapsed="false">
      <c r="A1156" s="4" t="str">
        <f aca="false">IF(Base_Bruta!A1156="","",Base_Bruta!A1156)</f>
        <v>RJ-000130</v>
      </c>
      <c r="B1156" s="5" t="n">
        <f aca="false">IF($A1156="","",IF(ISNUMBER(Base_Bruta!B1156),Base_Bruta!B1156,IF(MID(Base_Bruta!B1156,5,1)="-",DATE(VALUE(LEFT(Base_Bruta!B1156,4)),VALUE(MID(Base_Bruta!B1156,6,2)),VALUE(RIGHT(Base_Bruta!B1156,2))),DATE(VALUE(RIGHT(Base_Bruta!B1156,4)),VALUE(MID(Base_Bruta!B1156,4,2)),VALUE(LEFT(Base_Bruta!B1156,2))))))</f>
        <v>45966</v>
      </c>
      <c r="C1156" s="5" t="n">
        <f aca="false">IF($A1156="","",IF(ISNUMBER(Base_Bruta!C1156),Base_Bruta!C1156,IF(MID(Base_Bruta!C1156,5,1)="-",DATE(VALUE(LEFT(Base_Bruta!C1156,4)),VALUE(MID(Base_Bruta!C1156,6,2)),VALUE(RIGHT(Base_Bruta!C1156,2))),DATE(VALUE(RIGHT(Base_Bruta!C1156,4)),VALUE(MID(Base_Bruta!C1156,4,2)),VALUE(LEFT(Base_Bruta!C1156,2))))))</f>
        <v>46046</v>
      </c>
      <c r="D1156" s="4" t="str">
        <f aca="false">IF($A1156="","",TRIM(Base_Bruta!D1156))</f>
        <v>Rio Beat Festival 2026</v>
      </c>
      <c r="E1156" s="4" t="str">
        <f aca="false">IF($A1156="","",_xlfn.XLOOKUP(LOWER(TRIM(Base_Bruta!E1156)),DePara_Categoria!$A$2:$A$9,DePara_Categoria!$B$2:$B$9,"REVISAR"))</f>
        <v>Festival</v>
      </c>
      <c r="F1156" s="4" t="str">
        <f aca="false">IF($A1156="","",_xlfn.XLOOKUP(LOWER(TRIM(Base_Bruta!F1156)),DePara_Cidade!$A$2:$A$29,DePara_Cidade!$B$2:$B$29,"REVISAR"))</f>
        <v>Rio de Janeiro</v>
      </c>
      <c r="G1156" s="4" t="str">
        <f aca="false">IF($A1156="","",TRIM(Base_Bruta!G1156))</f>
        <v>Meia</v>
      </c>
      <c r="H1156" s="4" t="n">
        <f aca="false">IF($A1156="","",IF(ISNUMBER(Base_Bruta!H1156),Base_Bruta!H1156,IFERROR(_xlfn.NUMBERVALUE(TRIM(SUBSTITUTE(Base_Bruta!H1156,"R$","")),",","."),0)))</f>
        <v>2</v>
      </c>
      <c r="I1156" s="6" t="n">
        <f aca="false">IF($A1156="","",IF(ISNUMBER(Base_Bruta!I1156),Base_Bruta!I1156,IFERROR(_xlfn.NUMBERVALUE(TRIM(SUBSTITUTE(Base_Bruta!I1156,"R$","")),",","."),0)))</f>
        <v>567.5</v>
      </c>
      <c r="J1156" s="6" t="n">
        <f aca="false">IF($A1156="","",H1156*I1156)</f>
        <v>1135</v>
      </c>
      <c r="K1156" s="4" t="str">
        <f aca="false">IF($A1156="","",TRIM(Base_Bruta!J1156))</f>
        <v>Site</v>
      </c>
      <c r="L1156" s="4" t="str">
        <f aca="false">IF($A1156="","",TRIM(Base_Bruta!K1156))</f>
        <v>C00105</v>
      </c>
      <c r="M1156" s="4" t="str">
        <f aca="false">IF($A1156="","",_xlfn.XLOOKUP(LOWER(TRIM(Base_Bruta!L1156)),DePara_Cidade!$A$2:$A$29,DePara_Cidade!$B$2:$B$29,"REVISAR"))</f>
        <v>Rio de Janeiro</v>
      </c>
      <c r="N1156" s="4" t="str">
        <f aca="false">IF($A1156="","",UPPER(TRIM(Base_Bruta!M1156)))</f>
        <v>RJ</v>
      </c>
      <c r="O1156" s="4" t="str">
        <f aca="false">IF($A1156="","",_xlfn.XLOOKUP(LOWER(TRIM(Base_Bruta!N1156)),DePara_Pais!$A$2:$A$9,DePara_Pais!$B$2:$B$9,"REVISAR"))</f>
        <v>Brasil</v>
      </c>
      <c r="P1156" s="4" t="str">
        <f aca="false">IF($A1156="","",IF(O1156&lt;&gt;"Brasil","Turista Internacional",IF(M1156=F1156,"Local","Turista Nacional")))</f>
        <v>Local</v>
      </c>
      <c r="Q1156" s="7" t="n">
        <f aca="false">IF($A1156="","",DATE(YEAR(B1156),MONTH(B1156),1))</f>
        <v>45962</v>
      </c>
      <c r="R1156" s="4" t="str">
        <f aca="false">IF($A1156="","",IF(COUNTIF($A$2:$A1156,$A1156)&gt;1,"Sim","Não"))</f>
        <v>Não</v>
      </c>
      <c r="S1156" s="4" t="str">
        <f aca="false">IF(A1156="","Descartar - Linha vazia",IF(R1156="Sim","Descartar - Duplicado",IF(OR(H1156&lt;=0,I1156&lt;=0),"Descartar - Qtd/Valor inválido","OK")))</f>
        <v>OK</v>
      </c>
      <c r="T1156" s="4" t="str">
        <f aca="false">Base_Bruta!P1156</f>
        <v>vendas_RJ.xlsx</v>
      </c>
    </row>
    <row r="1157" customFormat="false" ht="15" hidden="false" customHeight="false" outlineLevel="0" collapsed="false">
      <c r="A1157" s="4" t="str">
        <f aca="false">IF(Base_Bruta!A1157="","",Base_Bruta!A1157)</f>
        <v>RJ-000574</v>
      </c>
      <c r="B1157" s="5" t="n">
        <f aca="false">IF($A1157="","",IF(ISNUMBER(Base_Bruta!B1157),Base_Bruta!B1157,IF(MID(Base_Bruta!B1157,5,1)="-",DATE(VALUE(LEFT(Base_Bruta!B1157,4)),VALUE(MID(Base_Bruta!B1157,6,2)),VALUE(RIGHT(Base_Bruta!B1157,2))),DATE(VALUE(RIGHT(Base_Bruta!B1157,4)),VALUE(MID(Base_Bruta!B1157,4,2)),VALUE(LEFT(Base_Bruta!B1157,2))))))</f>
        <v>45966</v>
      </c>
      <c r="C1157" s="5" t="n">
        <f aca="false">IF($A1157="","",IF(ISNUMBER(Base_Bruta!C1157),Base_Bruta!C1157,IF(MID(Base_Bruta!C1157,5,1)="-",DATE(VALUE(LEFT(Base_Bruta!C1157,4)),VALUE(MID(Base_Bruta!C1157,6,2)),VALUE(RIGHT(Base_Bruta!C1157,2))),DATE(VALUE(RIGHT(Base_Bruta!C1157,4)),VALUE(MID(Base_Bruta!C1157,4,2)),VALUE(LEFT(Base_Bruta!C1157,2))))))</f>
        <v>45969</v>
      </c>
      <c r="D1157" s="4" t="str">
        <f aca="false">IF($A1157="","",TRIM(Base_Bruta!D1157))</f>
        <v>Cinema Barra - Sessões</v>
      </c>
      <c r="E1157" s="4" t="str">
        <f aca="false">IF($A1157="","",_xlfn.XLOOKUP(LOWER(TRIM(Base_Bruta!E1157)),DePara_Categoria!$A$2:$A$9,DePara_Categoria!$B$2:$B$9,"REVISAR"))</f>
        <v>Cinema</v>
      </c>
      <c r="F1157" s="4" t="str">
        <f aca="false">IF($A1157="","",_xlfn.XLOOKUP(LOWER(TRIM(Base_Bruta!F1157)),DePara_Cidade!$A$2:$A$29,DePara_Cidade!$B$2:$B$29,"REVISAR"))</f>
        <v>Rio de Janeiro</v>
      </c>
      <c r="G1157" s="4" t="str">
        <f aca="false">IF($A1157="","",TRIM(Base_Bruta!G1157))</f>
        <v>Meia</v>
      </c>
      <c r="H1157" s="4" t="n">
        <f aca="false">IF($A1157="","",IF(ISNUMBER(Base_Bruta!H1157),Base_Bruta!H1157,IFERROR(_xlfn.NUMBERVALUE(TRIM(SUBSTITUTE(Base_Bruta!H1157,"R$","")),",","."),0)))</f>
        <v>2</v>
      </c>
      <c r="I1157" s="6" t="n">
        <f aca="false">IF($A1157="","",IF(ISNUMBER(Base_Bruta!I1157),Base_Bruta!I1157,IFERROR(_xlfn.NUMBERVALUE(TRIM(SUBSTITUTE(Base_Bruta!I1157,"R$","")),",","."),0)))</f>
        <v>22.5</v>
      </c>
      <c r="J1157" s="6" t="n">
        <f aca="false">IF($A1157="","",H1157*I1157)</f>
        <v>45</v>
      </c>
      <c r="K1157" s="4" t="str">
        <f aca="false">IF($A1157="","",TRIM(Base_Bruta!J1157))</f>
        <v>App</v>
      </c>
      <c r="L1157" s="4" t="str">
        <f aca="false">IF($A1157="","",TRIM(Base_Bruta!K1157))</f>
        <v>C00902</v>
      </c>
      <c r="M1157" s="4" t="str">
        <f aca="false">IF($A1157="","",_xlfn.XLOOKUP(LOWER(TRIM(Base_Bruta!L1157)),DePara_Cidade!$A$2:$A$29,DePara_Cidade!$B$2:$B$29,"REVISAR"))</f>
        <v>Rio de Janeiro</v>
      </c>
      <c r="N1157" s="4" t="str">
        <f aca="false">IF($A1157="","",UPPER(TRIM(Base_Bruta!M1157)))</f>
        <v>RJ</v>
      </c>
      <c r="O1157" s="4" t="str">
        <f aca="false">IF($A1157="","",_xlfn.XLOOKUP(LOWER(TRIM(Base_Bruta!N1157)),DePara_Pais!$A$2:$A$9,DePara_Pais!$B$2:$B$9,"REVISAR"))</f>
        <v>Brasil</v>
      </c>
      <c r="P1157" s="4" t="str">
        <f aca="false">IF($A1157="","",IF(O1157&lt;&gt;"Brasil","Turista Internacional",IF(M1157=F1157,"Local","Turista Nacional")))</f>
        <v>Local</v>
      </c>
      <c r="Q1157" s="7" t="n">
        <f aca="false">IF($A1157="","",DATE(YEAR(B1157),MONTH(B1157),1))</f>
        <v>45962</v>
      </c>
      <c r="R1157" s="4" t="str">
        <f aca="false">IF($A1157="","",IF(COUNTIF($A$2:$A1157,$A1157)&gt;1,"Sim","Não"))</f>
        <v>Não</v>
      </c>
      <c r="S1157" s="4" t="str">
        <f aca="false">IF(A1157="","Descartar - Linha vazia",IF(R1157="Sim","Descartar - Duplicado",IF(OR(H1157&lt;=0,I1157&lt;=0),"Descartar - Qtd/Valor inválido","OK")))</f>
        <v>OK</v>
      </c>
      <c r="T1157" s="4" t="str">
        <f aca="false">Base_Bruta!P1157</f>
        <v>vendas_RJ.xlsx</v>
      </c>
    </row>
    <row r="1158" customFormat="false" ht="15" hidden="false" customHeight="false" outlineLevel="0" collapsed="false">
      <c r="A1158" s="4" t="str">
        <f aca="false">IF(Base_Bruta!A1158="","",Base_Bruta!A1158)</f>
        <v>RJ-000615</v>
      </c>
      <c r="B1158" s="5" t="n">
        <f aca="false">IF($A1158="","",IF(ISNUMBER(Base_Bruta!B1158),Base_Bruta!B1158,IF(MID(Base_Bruta!B1158,5,1)="-",DATE(VALUE(LEFT(Base_Bruta!B1158,4)),VALUE(MID(Base_Bruta!B1158,6,2)),VALUE(RIGHT(Base_Bruta!B1158,2))),DATE(VALUE(RIGHT(Base_Bruta!B1158,4)),VALUE(MID(Base_Bruta!B1158,4,2)),VALUE(LEFT(Base_Bruta!B1158,2))))))</f>
        <v>45968</v>
      </c>
      <c r="C1158" s="5" t="n">
        <f aca="false">IF($A1158="","",IF(ISNUMBER(Base_Bruta!C1158),Base_Bruta!C1158,IF(MID(Base_Bruta!C1158,5,1)="-",DATE(VALUE(LEFT(Base_Bruta!C1158,4)),VALUE(MID(Base_Bruta!C1158,6,2)),VALUE(RIGHT(Base_Bruta!C1158,2))),DATE(VALUE(RIGHT(Base_Bruta!C1158,4)),VALUE(MID(Base_Bruta!C1158,4,2)),VALUE(LEFT(Base_Bruta!C1158,2))))))</f>
        <v>45968</v>
      </c>
      <c r="D1158" s="4" t="str">
        <f aca="false">IF($A1158="","",TRIM(Base_Bruta!D1158))</f>
        <v>Cinema Barra - Sessões</v>
      </c>
      <c r="E1158" s="4" t="str">
        <f aca="false">IF($A1158="","",_xlfn.XLOOKUP(LOWER(TRIM(Base_Bruta!E1158)),DePara_Categoria!$A$2:$A$9,DePara_Categoria!$B$2:$B$9,"REVISAR"))</f>
        <v>Cinema</v>
      </c>
      <c r="F1158" s="4" t="str">
        <f aca="false">IF($A1158="","",_xlfn.XLOOKUP(LOWER(TRIM(Base_Bruta!F1158)),DePara_Cidade!$A$2:$A$29,DePara_Cidade!$B$2:$B$29,"REVISAR"))</f>
        <v>Rio de Janeiro</v>
      </c>
      <c r="G1158" s="4" t="str">
        <f aca="false">IF($A1158="","",TRIM(Base_Bruta!G1158))</f>
        <v>Inteira</v>
      </c>
      <c r="H1158" s="4" t="n">
        <f aca="false">IF($A1158="","",IF(ISNUMBER(Base_Bruta!H1158),Base_Bruta!H1158,IFERROR(_xlfn.NUMBERVALUE(TRIM(SUBSTITUTE(Base_Bruta!H1158,"R$","")),",","."),0)))</f>
        <v>3</v>
      </c>
      <c r="I1158" s="6" t="n">
        <f aca="false">IF($A1158="","",IF(ISNUMBER(Base_Bruta!I1158),Base_Bruta!I1158,IFERROR(_xlfn.NUMBERVALUE(TRIM(SUBSTITUTE(Base_Bruta!I1158,"R$","")),",","."),0)))</f>
        <v>35</v>
      </c>
      <c r="J1158" s="6" t="n">
        <f aca="false">IF($A1158="","",H1158*I1158)</f>
        <v>105</v>
      </c>
      <c r="K1158" s="4" t="str">
        <f aca="false">IF($A1158="","",TRIM(Base_Bruta!J1158))</f>
        <v>App</v>
      </c>
      <c r="L1158" s="4" t="str">
        <f aca="false">IF($A1158="","",TRIM(Base_Bruta!K1158))</f>
        <v>C01870</v>
      </c>
      <c r="M1158" s="4" t="str">
        <f aca="false">IF($A1158="","",_xlfn.XLOOKUP(LOWER(TRIM(Base_Bruta!L1158)),DePara_Cidade!$A$2:$A$29,DePara_Cidade!$B$2:$B$29,"REVISAR"))</f>
        <v>Rio de Janeiro</v>
      </c>
      <c r="N1158" s="4" t="str">
        <f aca="false">IF($A1158="","",UPPER(TRIM(Base_Bruta!M1158)))</f>
        <v>RJ</v>
      </c>
      <c r="O1158" s="4" t="str">
        <f aca="false">IF($A1158="","",_xlfn.XLOOKUP(LOWER(TRIM(Base_Bruta!N1158)),DePara_Pais!$A$2:$A$9,DePara_Pais!$B$2:$B$9,"REVISAR"))</f>
        <v>Brasil</v>
      </c>
      <c r="P1158" s="4" t="str">
        <f aca="false">IF($A1158="","",IF(O1158&lt;&gt;"Brasil","Turista Internacional",IF(M1158=F1158,"Local","Turista Nacional")))</f>
        <v>Local</v>
      </c>
      <c r="Q1158" s="7" t="n">
        <f aca="false">IF($A1158="","",DATE(YEAR(B1158),MONTH(B1158),1))</f>
        <v>45962</v>
      </c>
      <c r="R1158" s="4" t="str">
        <f aca="false">IF($A1158="","",IF(COUNTIF($A$2:$A1158,$A1158)&gt;1,"Sim","Não"))</f>
        <v>Não</v>
      </c>
      <c r="S1158" s="4" t="str">
        <f aca="false">IF(A1158="","Descartar - Linha vazia",IF(R1158="Sim","Descartar - Duplicado",IF(OR(H1158&lt;=0,I1158&lt;=0),"Descartar - Qtd/Valor inválido","OK")))</f>
        <v>OK</v>
      </c>
      <c r="T1158" s="4" t="str">
        <f aca="false">Base_Bruta!P1158</f>
        <v>vendas_RJ.xlsx</v>
      </c>
    </row>
    <row r="1159" customFormat="false" ht="15" hidden="false" customHeight="false" outlineLevel="0" collapsed="false">
      <c r="A1159" s="4" t="str">
        <f aca="false">IF(Base_Bruta!A1159="","",Base_Bruta!A1159)</f>
        <v>RJ-000664</v>
      </c>
      <c r="B1159" s="5" t="n">
        <f aca="false">IF($A1159="","",IF(ISNUMBER(Base_Bruta!B1159),Base_Bruta!B1159,IF(MID(Base_Bruta!B1159,5,1)="-",DATE(VALUE(LEFT(Base_Bruta!B1159,4)),VALUE(MID(Base_Bruta!B1159,6,2)),VALUE(RIGHT(Base_Bruta!B1159,2))),DATE(VALUE(RIGHT(Base_Bruta!B1159,4)),VALUE(MID(Base_Bruta!B1159,4,2)),VALUE(LEFT(Base_Bruta!B1159,2))))))</f>
        <v>45968</v>
      </c>
      <c r="C1159" s="5" t="n">
        <f aca="false">IF($A1159="","",IF(ISNUMBER(Base_Bruta!C1159),Base_Bruta!C1159,IF(MID(Base_Bruta!C1159,5,1)="-",DATE(VALUE(LEFT(Base_Bruta!C1159,4)),VALUE(MID(Base_Bruta!C1159,6,2)),VALUE(RIGHT(Base_Bruta!C1159,2))),DATE(VALUE(RIGHT(Base_Bruta!C1159,4)),VALUE(MID(Base_Bruta!C1159,4,2)),VALUE(LEFT(Base_Bruta!C1159,2))))))</f>
        <v>45969</v>
      </c>
      <c r="D1159" s="4" t="str">
        <f aca="false">IF($A1159="","",TRIM(Base_Bruta!D1159))</f>
        <v>Cinema Barra - Sessões</v>
      </c>
      <c r="E1159" s="4" t="str">
        <f aca="false">IF($A1159="","",_xlfn.XLOOKUP(LOWER(TRIM(Base_Bruta!E1159)),DePara_Categoria!$A$2:$A$9,DePara_Categoria!$B$2:$B$9,"REVISAR"))</f>
        <v>Cinema</v>
      </c>
      <c r="F1159" s="4" t="str">
        <f aca="false">IF($A1159="","",_xlfn.XLOOKUP(LOWER(TRIM(Base_Bruta!F1159)),DePara_Cidade!$A$2:$A$29,DePara_Cidade!$B$2:$B$29,"REVISAR"))</f>
        <v>Rio de Janeiro</v>
      </c>
      <c r="G1159" s="4" t="str">
        <f aca="false">IF($A1159="","",TRIM(Base_Bruta!G1159))</f>
        <v>Meia</v>
      </c>
      <c r="H1159" s="4" t="n">
        <f aca="false">IF($A1159="","",IF(ISNUMBER(Base_Bruta!H1159),Base_Bruta!H1159,IFERROR(_xlfn.NUMBERVALUE(TRIM(SUBSTITUTE(Base_Bruta!H1159,"R$","")),",","."),0)))</f>
        <v>2</v>
      </c>
      <c r="I1159" s="6" t="n">
        <f aca="false">IF($A1159="","",IF(ISNUMBER(Base_Bruta!I1159),Base_Bruta!I1159,IFERROR(_xlfn.NUMBERVALUE(TRIM(SUBSTITUTE(Base_Bruta!I1159,"R$","")),",","."),0)))</f>
        <v>25</v>
      </c>
      <c r="J1159" s="6" t="n">
        <f aca="false">IF($A1159="","",H1159*I1159)</f>
        <v>50</v>
      </c>
      <c r="K1159" s="4" t="str">
        <f aca="false">IF($A1159="","",TRIM(Base_Bruta!J1159))</f>
        <v>Parceiro</v>
      </c>
      <c r="L1159" s="4" t="str">
        <f aca="false">IF($A1159="","",TRIM(Base_Bruta!K1159))</f>
        <v>C01976</v>
      </c>
      <c r="M1159" s="4" t="str">
        <f aca="false">IF($A1159="","",_xlfn.XLOOKUP(LOWER(TRIM(Base_Bruta!L1159)),DePara_Cidade!$A$2:$A$29,DePara_Cidade!$B$2:$B$29,"REVISAR"))</f>
        <v>Rio de Janeiro</v>
      </c>
      <c r="N1159" s="4" t="str">
        <f aca="false">IF($A1159="","",UPPER(TRIM(Base_Bruta!M1159)))</f>
        <v>RJ</v>
      </c>
      <c r="O1159" s="4" t="str">
        <f aca="false">IF($A1159="","",_xlfn.XLOOKUP(LOWER(TRIM(Base_Bruta!N1159)),DePara_Pais!$A$2:$A$9,DePara_Pais!$B$2:$B$9,"REVISAR"))</f>
        <v>Brasil</v>
      </c>
      <c r="P1159" s="4" t="str">
        <f aca="false">IF($A1159="","",IF(O1159&lt;&gt;"Brasil","Turista Internacional",IF(M1159=F1159,"Local","Turista Nacional")))</f>
        <v>Local</v>
      </c>
      <c r="Q1159" s="7" t="n">
        <f aca="false">IF($A1159="","",DATE(YEAR(B1159),MONTH(B1159),1))</f>
        <v>45962</v>
      </c>
      <c r="R1159" s="4" t="str">
        <f aca="false">IF($A1159="","",IF(COUNTIF($A$2:$A1159,$A1159)&gt;1,"Sim","Não"))</f>
        <v>Não</v>
      </c>
      <c r="S1159" s="4" t="str">
        <f aca="false">IF(A1159="","Descartar - Linha vazia",IF(R1159="Sim","Descartar - Duplicado",IF(OR(H1159&lt;=0,I1159&lt;=0),"Descartar - Qtd/Valor inválido","OK")))</f>
        <v>OK</v>
      </c>
      <c r="T1159" s="4" t="str">
        <f aca="false">Base_Bruta!P1159</f>
        <v>vendas_RJ.xlsx</v>
      </c>
    </row>
    <row r="1160" customFormat="false" ht="15" hidden="false" customHeight="false" outlineLevel="0" collapsed="false">
      <c r="A1160" s="4" t="str">
        <f aca="false">IF(Base_Bruta!A1160="","",Base_Bruta!A1160)</f>
        <v>RJ-000640</v>
      </c>
      <c r="B1160" s="5" t="n">
        <f aca="false">IF($A1160="","",IF(ISNUMBER(Base_Bruta!B1160),Base_Bruta!B1160,IF(MID(Base_Bruta!B1160,5,1)="-",DATE(VALUE(LEFT(Base_Bruta!B1160,4)),VALUE(MID(Base_Bruta!B1160,6,2)),VALUE(RIGHT(Base_Bruta!B1160,2))),DATE(VALUE(RIGHT(Base_Bruta!B1160,4)),VALUE(MID(Base_Bruta!B1160,4,2)),VALUE(LEFT(Base_Bruta!B1160,2))))))</f>
        <v>45969</v>
      </c>
      <c r="C1160" s="5" t="n">
        <f aca="false">IF($A1160="","",IF(ISNUMBER(Base_Bruta!C1160),Base_Bruta!C1160,IF(MID(Base_Bruta!C1160,5,1)="-",DATE(VALUE(LEFT(Base_Bruta!C1160,4)),VALUE(MID(Base_Bruta!C1160,6,2)),VALUE(RIGHT(Base_Bruta!C1160,2))),DATE(VALUE(RIGHT(Base_Bruta!C1160,4)),VALUE(MID(Base_Bruta!C1160,4,2)),VALUE(LEFT(Base_Bruta!C1160,2))))))</f>
        <v>45969</v>
      </c>
      <c r="D1160" s="4" t="str">
        <f aca="false">IF($A1160="","",TRIM(Base_Bruta!D1160))</f>
        <v>Cinema Barra - Sessões</v>
      </c>
      <c r="E1160" s="4" t="str">
        <f aca="false">IF($A1160="","",_xlfn.XLOOKUP(LOWER(TRIM(Base_Bruta!E1160)),DePara_Categoria!$A$2:$A$9,DePara_Categoria!$B$2:$B$9,"REVISAR"))</f>
        <v>Cinema</v>
      </c>
      <c r="F1160" s="4" t="str">
        <f aca="false">IF($A1160="","",_xlfn.XLOOKUP(LOWER(TRIM(Base_Bruta!F1160)),DePara_Cidade!$A$2:$A$29,DePara_Cidade!$B$2:$B$29,"REVISAR"))</f>
        <v>Rio de Janeiro</v>
      </c>
      <c r="G1160" s="4" t="str">
        <f aca="false">IF($A1160="","",TRIM(Base_Bruta!G1160))</f>
        <v>Inteira</v>
      </c>
      <c r="H1160" s="4" t="n">
        <f aca="false">IF($A1160="","",IF(ISNUMBER(Base_Bruta!H1160),Base_Bruta!H1160,IFERROR(_xlfn.NUMBERVALUE(TRIM(SUBSTITUTE(Base_Bruta!H1160,"R$","")),",","."),0)))</f>
        <v>1</v>
      </c>
      <c r="I1160" s="6" t="n">
        <f aca="false">IF($A1160="","",IF(ISNUMBER(Base_Bruta!I1160),Base_Bruta!I1160,IFERROR(_xlfn.NUMBERVALUE(TRIM(SUBSTITUTE(Base_Bruta!I1160,"R$","")),",","."),0)))</f>
        <v>35</v>
      </c>
      <c r="J1160" s="6" t="n">
        <f aca="false">IF($A1160="","",H1160*I1160)</f>
        <v>35</v>
      </c>
      <c r="K1160" s="4" t="str">
        <f aca="false">IF($A1160="","",TRIM(Base_Bruta!J1160))</f>
        <v>Bilheteria</v>
      </c>
      <c r="L1160" s="4" t="str">
        <f aca="false">IF($A1160="","",TRIM(Base_Bruta!K1160))</f>
        <v>C01602</v>
      </c>
      <c r="M1160" s="4" t="str">
        <f aca="false">IF($A1160="","",_xlfn.XLOOKUP(LOWER(TRIM(Base_Bruta!L1160)),DePara_Cidade!$A$2:$A$29,DePara_Cidade!$B$2:$B$29,"REVISAR"))</f>
        <v>Rio de Janeiro</v>
      </c>
      <c r="N1160" s="4" t="str">
        <f aca="false">IF($A1160="","",UPPER(TRIM(Base_Bruta!M1160)))</f>
        <v>RJ</v>
      </c>
      <c r="O1160" s="4" t="str">
        <f aca="false">IF($A1160="","",_xlfn.XLOOKUP(LOWER(TRIM(Base_Bruta!N1160)),DePara_Pais!$A$2:$A$9,DePara_Pais!$B$2:$B$9,"REVISAR"))</f>
        <v>Brasil</v>
      </c>
      <c r="P1160" s="4" t="str">
        <f aca="false">IF($A1160="","",IF(O1160&lt;&gt;"Brasil","Turista Internacional",IF(M1160=F1160,"Local","Turista Nacional")))</f>
        <v>Local</v>
      </c>
      <c r="Q1160" s="7" t="n">
        <f aca="false">IF($A1160="","",DATE(YEAR(B1160),MONTH(B1160),1))</f>
        <v>45962</v>
      </c>
      <c r="R1160" s="4" t="str">
        <f aca="false">IF($A1160="","",IF(COUNTIF($A$2:$A1160,$A1160)&gt;1,"Sim","Não"))</f>
        <v>Não</v>
      </c>
      <c r="S1160" s="4" t="str">
        <f aca="false">IF(A1160="","Descartar - Linha vazia",IF(R1160="Sim","Descartar - Duplicado",IF(OR(H1160&lt;=0,I1160&lt;=0),"Descartar - Qtd/Valor inválido","OK")))</f>
        <v>OK</v>
      </c>
      <c r="T1160" s="4" t="str">
        <f aca="false">Base_Bruta!P1160</f>
        <v>vendas_RJ.xlsx</v>
      </c>
    </row>
    <row r="1161" customFormat="false" ht="15" hidden="false" customHeight="false" outlineLevel="0" collapsed="false">
      <c r="A1161" s="4" t="str">
        <f aca="false">IF(Base_Bruta!A1161="","",Base_Bruta!A1161)</f>
        <v>RJ-000090</v>
      </c>
      <c r="B1161" s="5" t="n">
        <f aca="false">IF($A1161="","",IF(ISNUMBER(Base_Bruta!B1161),Base_Bruta!B1161,IF(MID(Base_Bruta!B1161,5,1)="-",DATE(VALUE(LEFT(Base_Bruta!B1161,4)),VALUE(MID(Base_Bruta!B1161,6,2)),VALUE(RIGHT(Base_Bruta!B1161,2))),DATE(VALUE(RIGHT(Base_Bruta!B1161,4)),VALUE(MID(Base_Bruta!B1161,4,2)),VALUE(LEFT(Base_Bruta!B1161,2))))))</f>
        <v>45971</v>
      </c>
      <c r="C1161" s="5" t="n">
        <f aca="false">IF($A1161="","",IF(ISNUMBER(Base_Bruta!C1161),Base_Bruta!C1161,IF(MID(Base_Bruta!C1161,5,1)="-",DATE(VALUE(LEFT(Base_Bruta!C1161,4)),VALUE(MID(Base_Bruta!C1161,6,2)),VALUE(RIGHT(Base_Bruta!C1161,2))),DATE(VALUE(RIGHT(Base_Bruta!C1161,4)),VALUE(MID(Base_Bruta!C1161,4,2)),VALUE(LEFT(Base_Bruta!C1161,2))))))</f>
        <v>46046</v>
      </c>
      <c r="D1161" s="4" t="str">
        <f aca="false">IF($A1161="","",TRIM(Base_Bruta!D1161))</f>
        <v>Rio Beat Festival 2026</v>
      </c>
      <c r="E1161" s="4" t="str">
        <f aca="false">IF($A1161="","",_xlfn.XLOOKUP(LOWER(TRIM(Base_Bruta!E1161)),DePara_Categoria!$A$2:$A$9,DePara_Categoria!$B$2:$B$9,"REVISAR"))</f>
        <v>Festival</v>
      </c>
      <c r="F1161" s="4" t="str">
        <f aca="false">IF($A1161="","",_xlfn.XLOOKUP(LOWER(TRIM(Base_Bruta!F1161)),DePara_Cidade!$A$2:$A$29,DePara_Cidade!$B$2:$B$29,"REVISAR"))</f>
        <v>Rio de Janeiro</v>
      </c>
      <c r="G1161" s="4" t="str">
        <f aca="false">IF($A1161="","",TRIM(Base_Bruta!G1161))</f>
        <v>Inteira</v>
      </c>
      <c r="H1161" s="4" t="n">
        <f aca="false">IF($A1161="","",IF(ISNUMBER(Base_Bruta!H1161),Base_Bruta!H1161,IFERROR(_xlfn.NUMBERVALUE(TRIM(SUBSTITUTE(Base_Bruta!H1161,"R$","")),",","."),0)))</f>
        <v>4</v>
      </c>
      <c r="I1161" s="6" t="n">
        <f aca="false">IF($A1161="","",IF(ISNUMBER(Base_Bruta!I1161),Base_Bruta!I1161,IFERROR(_xlfn.NUMBERVALUE(TRIM(SUBSTITUTE(Base_Bruta!I1161,"R$","")),",","."),0)))</f>
        <v>875</v>
      </c>
      <c r="J1161" s="6" t="n">
        <f aca="false">IF($A1161="","",H1161*I1161)</f>
        <v>3500</v>
      </c>
      <c r="K1161" s="4" t="str">
        <f aca="false">IF($A1161="","",TRIM(Base_Bruta!J1161))</f>
        <v>App</v>
      </c>
      <c r="L1161" s="4" t="str">
        <f aca="false">IF($A1161="","",TRIM(Base_Bruta!K1161))</f>
        <v>C01921</v>
      </c>
      <c r="M1161" s="4" t="str">
        <f aca="false">IF($A1161="","",_xlfn.XLOOKUP(LOWER(TRIM(Base_Bruta!L1161)),DePara_Cidade!$A$2:$A$29,DePara_Cidade!$B$2:$B$29,"REVISAR"))</f>
        <v>Recife</v>
      </c>
      <c r="N1161" s="4" t="str">
        <f aca="false">IF($A1161="","",UPPER(TRIM(Base_Bruta!M1161)))</f>
        <v>PE</v>
      </c>
      <c r="O1161" s="4" t="str">
        <f aca="false">IF($A1161="","",_xlfn.XLOOKUP(LOWER(TRIM(Base_Bruta!N1161)),DePara_Pais!$A$2:$A$9,DePara_Pais!$B$2:$B$9,"REVISAR"))</f>
        <v>Brasil</v>
      </c>
      <c r="P1161" s="4" t="str">
        <f aca="false">IF($A1161="","",IF(O1161&lt;&gt;"Brasil","Turista Internacional",IF(M1161=F1161,"Local","Turista Nacional")))</f>
        <v>Turista Nacional</v>
      </c>
      <c r="Q1161" s="7" t="n">
        <f aca="false">IF($A1161="","",DATE(YEAR(B1161),MONTH(B1161),1))</f>
        <v>45962</v>
      </c>
      <c r="R1161" s="4" t="str">
        <f aca="false">IF($A1161="","",IF(COUNTIF($A$2:$A1161,$A1161)&gt;1,"Sim","Não"))</f>
        <v>Não</v>
      </c>
      <c r="S1161" s="4" t="str">
        <f aca="false">IF(A1161="","Descartar - Linha vazia",IF(R1161="Sim","Descartar - Duplicado",IF(OR(H1161&lt;=0,I1161&lt;=0),"Descartar - Qtd/Valor inválido","OK")))</f>
        <v>OK</v>
      </c>
      <c r="T1161" s="4" t="str">
        <f aca="false">Base_Bruta!P1161</f>
        <v>vendas_RJ.xlsx</v>
      </c>
    </row>
    <row r="1162" customFormat="false" ht="15" hidden="false" customHeight="false" outlineLevel="0" collapsed="false">
      <c r="A1162" s="4" t="str">
        <f aca="false">IF(Base_Bruta!A1162="","",Base_Bruta!A1162)</f>
        <v>RJ-000110</v>
      </c>
      <c r="B1162" s="5" t="n">
        <f aca="false">IF($A1162="","",IF(ISNUMBER(Base_Bruta!B1162),Base_Bruta!B1162,IF(MID(Base_Bruta!B1162,5,1)="-",DATE(VALUE(LEFT(Base_Bruta!B1162,4)),VALUE(MID(Base_Bruta!B1162,6,2)),VALUE(RIGHT(Base_Bruta!B1162,2))),DATE(VALUE(RIGHT(Base_Bruta!B1162,4)),VALUE(MID(Base_Bruta!B1162,4,2)),VALUE(LEFT(Base_Bruta!B1162,2))))))</f>
        <v>45972</v>
      </c>
      <c r="C1162" s="5" t="n">
        <f aca="false">IF($A1162="","",IF(ISNUMBER(Base_Bruta!C1162),Base_Bruta!C1162,IF(MID(Base_Bruta!C1162,5,1)="-",DATE(VALUE(LEFT(Base_Bruta!C1162,4)),VALUE(MID(Base_Bruta!C1162,6,2)),VALUE(RIGHT(Base_Bruta!C1162,2))),DATE(VALUE(RIGHT(Base_Bruta!C1162,4)),VALUE(MID(Base_Bruta!C1162,4,2)),VALUE(LEFT(Base_Bruta!C1162,2))))))</f>
        <v>46046</v>
      </c>
      <c r="D1162" s="4" t="str">
        <f aca="false">IF($A1162="","",TRIM(Base_Bruta!D1162))</f>
        <v>Rio Beat Festival 2026</v>
      </c>
      <c r="E1162" s="4" t="str">
        <f aca="false">IF($A1162="","",_xlfn.XLOOKUP(LOWER(TRIM(Base_Bruta!E1162)),DePara_Categoria!$A$2:$A$9,DePara_Categoria!$B$2:$B$9,"REVISAR"))</f>
        <v>Festival</v>
      </c>
      <c r="F1162" s="4" t="str">
        <f aca="false">IF($A1162="","",_xlfn.XLOOKUP(LOWER(TRIM(Base_Bruta!F1162)),DePara_Cidade!$A$2:$A$29,DePara_Cidade!$B$2:$B$29,"REVISAR"))</f>
        <v>Rio de Janeiro</v>
      </c>
      <c r="G1162" s="4" t="str">
        <f aca="false">IF($A1162="","",TRIM(Base_Bruta!G1162))</f>
        <v>Inteira</v>
      </c>
      <c r="H1162" s="4" t="n">
        <f aca="false">IF($A1162="","",IF(ISNUMBER(Base_Bruta!H1162),Base_Bruta!H1162,IFERROR(_xlfn.NUMBERVALUE(TRIM(SUBSTITUTE(Base_Bruta!H1162,"R$","")),",","."),0)))</f>
        <v>2</v>
      </c>
      <c r="I1162" s="6" t="n">
        <f aca="false">IF($A1162="","",IF(ISNUMBER(Base_Bruta!I1162),Base_Bruta!I1162,IFERROR(_xlfn.NUMBERVALUE(TRIM(SUBSTITUTE(Base_Bruta!I1162,"R$","")),",","."),0)))</f>
        <v>845</v>
      </c>
      <c r="J1162" s="6" t="n">
        <f aca="false">IF($A1162="","",H1162*I1162)</f>
        <v>1690</v>
      </c>
      <c r="K1162" s="4" t="str">
        <f aca="false">IF($A1162="","",TRIM(Base_Bruta!J1162))</f>
        <v>Site</v>
      </c>
      <c r="L1162" s="4" t="str">
        <f aca="false">IF($A1162="","",TRIM(Base_Bruta!K1162))</f>
        <v>C01962</v>
      </c>
      <c r="M1162" s="4" t="str">
        <f aca="false">IF($A1162="","",_xlfn.XLOOKUP(LOWER(TRIM(Base_Bruta!L1162)),DePara_Cidade!$A$2:$A$29,DePara_Cidade!$B$2:$B$29,"REVISAR"))</f>
        <v>Belo Horizonte</v>
      </c>
      <c r="N1162" s="4" t="str">
        <f aca="false">IF($A1162="","",UPPER(TRIM(Base_Bruta!M1162)))</f>
        <v>MG</v>
      </c>
      <c r="O1162" s="4" t="str">
        <f aca="false">IF($A1162="","",_xlfn.XLOOKUP(LOWER(TRIM(Base_Bruta!N1162)),DePara_Pais!$A$2:$A$9,DePara_Pais!$B$2:$B$9,"REVISAR"))</f>
        <v>Brasil</v>
      </c>
      <c r="P1162" s="4" t="str">
        <f aca="false">IF($A1162="","",IF(O1162&lt;&gt;"Brasil","Turista Internacional",IF(M1162=F1162,"Local","Turista Nacional")))</f>
        <v>Turista Nacional</v>
      </c>
      <c r="Q1162" s="7" t="n">
        <f aca="false">IF($A1162="","",DATE(YEAR(B1162),MONTH(B1162),1))</f>
        <v>45962</v>
      </c>
      <c r="R1162" s="4" t="str">
        <f aca="false">IF($A1162="","",IF(COUNTIF($A$2:$A1162,$A1162)&gt;1,"Sim","Não"))</f>
        <v>Não</v>
      </c>
      <c r="S1162" s="4" t="str">
        <f aca="false">IF(A1162="","Descartar - Linha vazia",IF(R1162="Sim","Descartar - Duplicado",IF(OR(H1162&lt;=0,I1162&lt;=0),"Descartar - Qtd/Valor inválido","OK")))</f>
        <v>OK</v>
      </c>
      <c r="T1162" s="4" t="str">
        <f aca="false">Base_Bruta!P1162</f>
        <v>vendas_RJ.xlsx</v>
      </c>
    </row>
    <row r="1163" customFormat="false" ht="15" hidden="false" customHeight="false" outlineLevel="0" collapsed="false">
      <c r="A1163" s="4" t="str">
        <f aca="false">IF(Base_Bruta!A1163="","",Base_Bruta!A1163)</f>
        <v>RJ-000058</v>
      </c>
      <c r="B1163" s="5" t="n">
        <f aca="false">IF($A1163="","",IF(ISNUMBER(Base_Bruta!B1163),Base_Bruta!B1163,IF(MID(Base_Bruta!B1163,5,1)="-",DATE(VALUE(LEFT(Base_Bruta!B1163,4)),VALUE(MID(Base_Bruta!B1163,6,2)),VALUE(RIGHT(Base_Bruta!B1163,2))),DATE(VALUE(RIGHT(Base_Bruta!B1163,4)),VALUE(MID(Base_Bruta!B1163,4,2)),VALUE(LEFT(Base_Bruta!B1163,2))))))</f>
        <v>45973</v>
      </c>
      <c r="C1163" s="5" t="n">
        <f aca="false">IF($A1163="","",IF(ISNUMBER(Base_Bruta!C1163),Base_Bruta!C1163,IF(MID(Base_Bruta!C1163,5,1)="-",DATE(VALUE(LEFT(Base_Bruta!C1163,4)),VALUE(MID(Base_Bruta!C1163,6,2)),VALUE(RIGHT(Base_Bruta!C1163,2))),DATE(VALUE(RIGHT(Base_Bruta!C1163,4)),VALUE(MID(Base_Bruta!C1163,4,2)),VALUE(LEFT(Base_Bruta!C1163,2))))))</f>
        <v>46046</v>
      </c>
      <c r="D1163" s="4" t="str">
        <f aca="false">IF($A1163="","",TRIM(Base_Bruta!D1163))</f>
        <v>Rio Beat Festival 2026</v>
      </c>
      <c r="E1163" s="4" t="str">
        <f aca="false">IF($A1163="","",_xlfn.XLOOKUP(LOWER(TRIM(Base_Bruta!E1163)),DePara_Categoria!$A$2:$A$9,DePara_Categoria!$B$2:$B$9,"REVISAR"))</f>
        <v>Festival</v>
      </c>
      <c r="F1163" s="4" t="str">
        <f aca="false">IF($A1163="","",_xlfn.XLOOKUP(LOWER(TRIM(Base_Bruta!F1163)),DePara_Cidade!$A$2:$A$29,DePara_Cidade!$B$2:$B$29,"REVISAR"))</f>
        <v>Rio de Janeiro</v>
      </c>
      <c r="G1163" s="4" t="str">
        <f aca="false">IF($A1163="","",TRIM(Base_Bruta!G1163))</f>
        <v>Meia</v>
      </c>
      <c r="H1163" s="4" t="n">
        <f aca="false">IF($A1163="","",IF(ISNUMBER(Base_Bruta!H1163),Base_Bruta!H1163,IFERROR(_xlfn.NUMBERVALUE(TRIM(SUBSTITUTE(Base_Bruta!H1163,"R$","")),",","."),0)))</f>
        <v>1</v>
      </c>
      <c r="I1163" s="6" t="n">
        <f aca="false">IF($A1163="","",IF(ISNUMBER(Base_Bruta!I1163),Base_Bruta!I1163,IFERROR(_xlfn.NUMBERVALUE(TRIM(SUBSTITUTE(Base_Bruta!I1163,"R$","")),",","."),0)))</f>
        <v>410</v>
      </c>
      <c r="J1163" s="6" t="n">
        <f aca="false">IF($A1163="","",H1163*I1163)</f>
        <v>410</v>
      </c>
      <c r="K1163" s="4" t="str">
        <f aca="false">IF($A1163="","",TRIM(Base_Bruta!J1163))</f>
        <v>App</v>
      </c>
      <c r="L1163" s="4" t="str">
        <f aca="false">IF($A1163="","",TRIM(Base_Bruta!K1163))</f>
        <v>C00546</v>
      </c>
      <c r="M1163" s="4" t="str">
        <f aca="false">IF($A1163="","",_xlfn.XLOOKUP(LOWER(TRIM(Base_Bruta!L1163)),DePara_Cidade!$A$2:$A$29,DePara_Cidade!$B$2:$B$29,"REVISAR"))</f>
        <v>Rio de Janeiro</v>
      </c>
      <c r="N1163" s="4" t="str">
        <f aca="false">IF($A1163="","",UPPER(TRIM(Base_Bruta!M1163)))</f>
        <v>RJ</v>
      </c>
      <c r="O1163" s="4" t="str">
        <f aca="false">IF($A1163="","",_xlfn.XLOOKUP(LOWER(TRIM(Base_Bruta!N1163)),DePara_Pais!$A$2:$A$9,DePara_Pais!$B$2:$B$9,"REVISAR"))</f>
        <v>Brasil</v>
      </c>
      <c r="P1163" s="4" t="str">
        <f aca="false">IF($A1163="","",IF(O1163&lt;&gt;"Brasil","Turista Internacional",IF(M1163=F1163,"Local","Turista Nacional")))</f>
        <v>Local</v>
      </c>
      <c r="Q1163" s="7" t="n">
        <f aca="false">IF($A1163="","",DATE(YEAR(B1163),MONTH(B1163),1))</f>
        <v>45962</v>
      </c>
      <c r="R1163" s="4" t="str">
        <f aca="false">IF($A1163="","",IF(COUNTIF($A$2:$A1163,$A1163)&gt;1,"Sim","Não"))</f>
        <v>Não</v>
      </c>
      <c r="S1163" s="4" t="str">
        <f aca="false">IF(A1163="","Descartar - Linha vazia",IF(R1163="Sim","Descartar - Duplicado",IF(OR(H1163&lt;=0,I1163&lt;=0),"Descartar - Qtd/Valor inválido","OK")))</f>
        <v>OK</v>
      </c>
      <c r="T1163" s="4" t="str">
        <f aca="false">Base_Bruta!P1163</f>
        <v>vendas_RJ.xlsx</v>
      </c>
    </row>
    <row r="1164" customFormat="false" ht="15" hidden="false" customHeight="false" outlineLevel="0" collapsed="false">
      <c r="A1164" s="4" t="str">
        <f aca="false">IF(Base_Bruta!A1164="","",Base_Bruta!A1164)</f>
        <v>RJ-000094</v>
      </c>
      <c r="B1164" s="5" t="n">
        <f aca="false">IF($A1164="","",IF(ISNUMBER(Base_Bruta!B1164),Base_Bruta!B1164,IF(MID(Base_Bruta!B1164,5,1)="-",DATE(VALUE(LEFT(Base_Bruta!B1164,4)),VALUE(MID(Base_Bruta!B1164,6,2)),VALUE(RIGHT(Base_Bruta!B1164,2))),DATE(VALUE(RIGHT(Base_Bruta!B1164,4)),VALUE(MID(Base_Bruta!B1164,4,2)),VALUE(LEFT(Base_Bruta!B1164,2))))))</f>
        <v>45973</v>
      </c>
      <c r="C1164" s="5" t="n">
        <f aca="false">IF($A1164="","",IF(ISNUMBER(Base_Bruta!C1164),Base_Bruta!C1164,IF(MID(Base_Bruta!C1164,5,1)="-",DATE(VALUE(LEFT(Base_Bruta!C1164,4)),VALUE(MID(Base_Bruta!C1164,6,2)),VALUE(RIGHT(Base_Bruta!C1164,2))),DATE(VALUE(RIGHT(Base_Bruta!C1164,4)),VALUE(MID(Base_Bruta!C1164,4,2)),VALUE(LEFT(Base_Bruta!C1164,2))))))</f>
        <v>46046</v>
      </c>
      <c r="D1164" s="4" t="str">
        <f aca="false">IF($A1164="","",TRIM(Base_Bruta!D1164))</f>
        <v>Rio Beat Festival 2026</v>
      </c>
      <c r="E1164" s="4" t="str">
        <f aca="false">IF($A1164="","",_xlfn.XLOOKUP(LOWER(TRIM(Base_Bruta!E1164)),DePara_Categoria!$A$2:$A$9,DePara_Categoria!$B$2:$B$9,"REVISAR"))</f>
        <v>Festival</v>
      </c>
      <c r="F1164" s="4" t="str">
        <f aca="false">IF($A1164="","",_xlfn.XLOOKUP(LOWER(TRIM(Base_Bruta!F1164)),DePara_Cidade!$A$2:$A$29,DePara_Cidade!$B$2:$B$29,"REVISAR"))</f>
        <v>Rio de Janeiro</v>
      </c>
      <c r="G1164" s="4" t="str">
        <f aca="false">IF($A1164="","",TRIM(Base_Bruta!G1164))</f>
        <v>Inteira</v>
      </c>
      <c r="H1164" s="4" t="n">
        <f aca="false">IF($A1164="","",IF(ISNUMBER(Base_Bruta!H1164),Base_Bruta!H1164,IFERROR(_xlfn.NUMBERVALUE(TRIM(SUBSTITUTE(Base_Bruta!H1164,"R$","")),",","."),0)))</f>
        <v>2</v>
      </c>
      <c r="I1164" s="6" t="n">
        <f aca="false">IF($A1164="","",IF(ISNUMBER(Base_Bruta!I1164),Base_Bruta!I1164,IFERROR(_xlfn.NUMBERVALUE(TRIM(SUBSTITUTE(Base_Bruta!I1164,"R$","")),",","."),0)))</f>
        <v>880</v>
      </c>
      <c r="J1164" s="6" t="n">
        <f aca="false">IF($A1164="","",H1164*I1164)</f>
        <v>1760</v>
      </c>
      <c r="K1164" s="4" t="str">
        <f aca="false">IF($A1164="","",TRIM(Base_Bruta!J1164))</f>
        <v>App</v>
      </c>
      <c r="L1164" s="4" t="str">
        <f aca="false">IF($A1164="","",TRIM(Base_Bruta!K1164))</f>
        <v>C00291</v>
      </c>
      <c r="M1164" s="4" t="str">
        <f aca="false">IF($A1164="","",_xlfn.XLOOKUP(LOWER(TRIM(Base_Bruta!L1164)),DePara_Cidade!$A$2:$A$29,DePara_Cidade!$B$2:$B$29,"REVISAR"))</f>
        <v>Rio de Janeiro</v>
      </c>
      <c r="N1164" s="4" t="str">
        <f aca="false">IF($A1164="","",UPPER(TRIM(Base_Bruta!M1164)))</f>
        <v>RJ</v>
      </c>
      <c r="O1164" s="4" t="str">
        <f aca="false">IF($A1164="","",_xlfn.XLOOKUP(LOWER(TRIM(Base_Bruta!N1164)),DePara_Pais!$A$2:$A$9,DePara_Pais!$B$2:$B$9,"REVISAR"))</f>
        <v>Brasil</v>
      </c>
      <c r="P1164" s="4" t="str">
        <f aca="false">IF($A1164="","",IF(O1164&lt;&gt;"Brasil","Turista Internacional",IF(M1164=F1164,"Local","Turista Nacional")))</f>
        <v>Local</v>
      </c>
      <c r="Q1164" s="7" t="n">
        <f aca="false">IF($A1164="","",DATE(YEAR(B1164),MONTH(B1164),1))</f>
        <v>45962</v>
      </c>
      <c r="R1164" s="4" t="str">
        <f aca="false">IF($A1164="","",IF(COUNTIF($A$2:$A1164,$A1164)&gt;1,"Sim","Não"))</f>
        <v>Não</v>
      </c>
      <c r="S1164" s="4" t="str">
        <f aca="false">IF(A1164="","Descartar - Linha vazia",IF(R1164="Sim","Descartar - Duplicado",IF(OR(H1164&lt;=0,I1164&lt;=0),"Descartar - Qtd/Valor inválido","OK")))</f>
        <v>OK</v>
      </c>
      <c r="T1164" s="4" t="str">
        <f aca="false">Base_Bruta!P1164</f>
        <v>vendas_RJ.xlsx</v>
      </c>
    </row>
    <row r="1165" customFormat="false" ht="15" hidden="false" customHeight="false" outlineLevel="0" collapsed="false">
      <c r="A1165" s="4" t="str">
        <f aca="false">IF(Base_Bruta!A1165="","",Base_Bruta!A1165)</f>
        <v>RJ-000202</v>
      </c>
      <c r="B1165" s="5" t="n">
        <f aca="false">IF($A1165="","",IF(ISNUMBER(Base_Bruta!B1165),Base_Bruta!B1165,IF(MID(Base_Bruta!B1165,5,1)="-",DATE(VALUE(LEFT(Base_Bruta!B1165,4)),VALUE(MID(Base_Bruta!B1165,6,2)),VALUE(RIGHT(Base_Bruta!B1165,2))),DATE(VALUE(RIGHT(Base_Bruta!B1165,4)),VALUE(MID(Base_Bruta!B1165,4,2)),VALUE(LEFT(Base_Bruta!B1165,2))))))</f>
        <v>45973</v>
      </c>
      <c r="C1165" s="5" t="n">
        <f aca="false">IF($A1165="","",IF(ISNUMBER(Base_Bruta!C1165),Base_Bruta!C1165,IF(MID(Base_Bruta!C1165,5,1)="-",DATE(VALUE(LEFT(Base_Bruta!C1165,4)),VALUE(MID(Base_Bruta!C1165,6,2)),VALUE(RIGHT(Base_Bruta!C1165,2))),DATE(VALUE(RIGHT(Base_Bruta!C1165,4)),VALUE(MID(Base_Bruta!C1165,4,2)),VALUE(LEFT(Base_Bruta!C1165,2))))))</f>
        <v>46046</v>
      </c>
      <c r="D1165" s="4" t="str">
        <f aca="false">IF($A1165="","",TRIM(Base_Bruta!D1165))</f>
        <v>Rio Beat Festival 2026</v>
      </c>
      <c r="E1165" s="4" t="str">
        <f aca="false">IF($A1165="","",_xlfn.XLOOKUP(LOWER(TRIM(Base_Bruta!E1165)),DePara_Categoria!$A$2:$A$9,DePara_Categoria!$B$2:$B$9,"REVISAR"))</f>
        <v>Festival</v>
      </c>
      <c r="F1165" s="4" t="str">
        <f aca="false">IF($A1165="","",_xlfn.XLOOKUP(LOWER(TRIM(Base_Bruta!F1165)),DePara_Cidade!$A$2:$A$29,DePara_Cidade!$B$2:$B$29,"REVISAR"))</f>
        <v>Rio de Janeiro</v>
      </c>
      <c r="G1165" s="4" t="str">
        <f aca="false">IF($A1165="","",TRIM(Base_Bruta!G1165))</f>
        <v>Meia</v>
      </c>
      <c r="H1165" s="4" t="n">
        <f aca="false">IF($A1165="","",IF(ISNUMBER(Base_Bruta!H1165),Base_Bruta!H1165,IFERROR(_xlfn.NUMBERVALUE(TRIM(SUBSTITUTE(Base_Bruta!H1165,"R$","")),",","."),0)))</f>
        <v>3</v>
      </c>
      <c r="I1165" s="6" t="n">
        <f aca="false">IF($A1165="","",IF(ISNUMBER(Base_Bruta!I1165),Base_Bruta!I1165,IFERROR(_xlfn.NUMBERVALUE(TRIM(SUBSTITUTE(Base_Bruta!I1165,"R$","")),",","."),0)))</f>
        <v>435</v>
      </c>
      <c r="J1165" s="6" t="n">
        <f aca="false">IF($A1165="","",H1165*I1165)</f>
        <v>1305</v>
      </c>
      <c r="K1165" s="4" t="str">
        <f aca="false">IF($A1165="","",TRIM(Base_Bruta!J1165))</f>
        <v>Parceiro</v>
      </c>
      <c r="L1165" s="4" t="str">
        <f aca="false">IF($A1165="","",TRIM(Base_Bruta!K1165))</f>
        <v>C01460</v>
      </c>
      <c r="M1165" s="4" t="str">
        <f aca="false">IF($A1165="","",_xlfn.XLOOKUP(LOWER(TRIM(Base_Bruta!L1165)),DePara_Cidade!$A$2:$A$29,DePara_Cidade!$B$2:$B$29,"REVISAR"))</f>
        <v>Rio de Janeiro</v>
      </c>
      <c r="N1165" s="4" t="str">
        <f aca="false">IF($A1165="","",UPPER(TRIM(Base_Bruta!M1165)))</f>
        <v>RJ</v>
      </c>
      <c r="O1165" s="4" t="str">
        <f aca="false">IF($A1165="","",_xlfn.XLOOKUP(LOWER(TRIM(Base_Bruta!N1165)),DePara_Pais!$A$2:$A$9,DePara_Pais!$B$2:$B$9,"REVISAR"))</f>
        <v>Brasil</v>
      </c>
      <c r="P1165" s="4" t="str">
        <f aca="false">IF($A1165="","",IF(O1165&lt;&gt;"Brasil","Turista Internacional",IF(M1165=F1165,"Local","Turista Nacional")))</f>
        <v>Local</v>
      </c>
      <c r="Q1165" s="7" t="n">
        <f aca="false">IF($A1165="","",DATE(YEAR(B1165),MONTH(B1165),1))</f>
        <v>45962</v>
      </c>
      <c r="R1165" s="4" t="str">
        <f aca="false">IF($A1165="","",IF(COUNTIF($A$2:$A1165,$A1165)&gt;1,"Sim","Não"))</f>
        <v>Não</v>
      </c>
      <c r="S1165" s="4" t="str">
        <f aca="false">IF(A1165="","Descartar - Linha vazia",IF(R1165="Sim","Descartar - Duplicado",IF(OR(H1165&lt;=0,I1165&lt;=0),"Descartar - Qtd/Valor inválido","OK")))</f>
        <v>OK</v>
      </c>
      <c r="T1165" s="4" t="str">
        <f aca="false">Base_Bruta!P1165</f>
        <v>vendas_RJ.xlsx</v>
      </c>
    </row>
    <row r="1166" customFormat="false" ht="15" hidden="false" customHeight="false" outlineLevel="0" collapsed="false">
      <c r="A1166" s="4" t="str">
        <f aca="false">IF(Base_Bruta!A1166="","",Base_Bruta!A1166)</f>
        <v>RJ-000064</v>
      </c>
      <c r="B1166" s="5" t="n">
        <f aca="false">IF($A1166="","",IF(ISNUMBER(Base_Bruta!B1166),Base_Bruta!B1166,IF(MID(Base_Bruta!B1166,5,1)="-",DATE(VALUE(LEFT(Base_Bruta!B1166,4)),VALUE(MID(Base_Bruta!B1166,6,2)),VALUE(RIGHT(Base_Bruta!B1166,2))),DATE(VALUE(RIGHT(Base_Bruta!B1166,4)),VALUE(MID(Base_Bruta!B1166,4,2)),VALUE(LEFT(Base_Bruta!B1166,2))))))</f>
        <v>45974</v>
      </c>
      <c r="C1166" s="5" t="n">
        <f aca="false">IF($A1166="","",IF(ISNUMBER(Base_Bruta!C1166),Base_Bruta!C1166,IF(MID(Base_Bruta!C1166,5,1)="-",DATE(VALUE(LEFT(Base_Bruta!C1166,4)),VALUE(MID(Base_Bruta!C1166,6,2)),VALUE(RIGHT(Base_Bruta!C1166,2))),DATE(VALUE(RIGHT(Base_Bruta!C1166,4)),VALUE(MID(Base_Bruta!C1166,4,2)),VALUE(LEFT(Base_Bruta!C1166,2))))))</f>
        <v>46046</v>
      </c>
      <c r="D1166" s="4" t="str">
        <f aca="false">IF($A1166="","",TRIM(Base_Bruta!D1166))</f>
        <v>Rio Beat Festival 2026</v>
      </c>
      <c r="E1166" s="4" t="str">
        <f aca="false">IF($A1166="","",_xlfn.XLOOKUP(LOWER(TRIM(Base_Bruta!E1166)),DePara_Categoria!$A$2:$A$9,DePara_Categoria!$B$2:$B$9,"REVISAR"))</f>
        <v>Festival</v>
      </c>
      <c r="F1166" s="4" t="str">
        <f aca="false">IF($A1166="","",_xlfn.XLOOKUP(LOWER(TRIM(Base_Bruta!F1166)),DePara_Cidade!$A$2:$A$29,DePara_Cidade!$B$2:$B$29,"REVISAR"))</f>
        <v>Rio de Janeiro</v>
      </c>
      <c r="G1166" s="4" t="str">
        <f aca="false">IF($A1166="","",TRIM(Base_Bruta!G1166))</f>
        <v>Meia</v>
      </c>
      <c r="H1166" s="4" t="n">
        <f aca="false">IF($A1166="","",IF(ISNUMBER(Base_Bruta!H1166),Base_Bruta!H1166,IFERROR(_xlfn.NUMBERVALUE(TRIM(SUBSTITUTE(Base_Bruta!H1166,"R$","")),",","."),0)))</f>
        <v>4</v>
      </c>
      <c r="I1166" s="6" t="n">
        <f aca="false">IF($A1166="","",IF(ISNUMBER(Base_Bruta!I1166),Base_Bruta!I1166,IFERROR(_xlfn.NUMBERVALUE(TRIM(SUBSTITUTE(Base_Bruta!I1166,"R$","")),",","."),0)))</f>
        <v>392.5</v>
      </c>
      <c r="J1166" s="6" t="n">
        <f aca="false">IF($A1166="","",H1166*I1166)</f>
        <v>1570</v>
      </c>
      <c r="K1166" s="4" t="str">
        <f aca="false">IF($A1166="","",TRIM(Base_Bruta!J1166))</f>
        <v>App</v>
      </c>
      <c r="L1166" s="4" t="str">
        <f aca="false">IF($A1166="","",TRIM(Base_Bruta!K1166))</f>
        <v>C02022</v>
      </c>
      <c r="M1166" s="4" t="str">
        <f aca="false">IF($A1166="","",_xlfn.XLOOKUP(LOWER(TRIM(Base_Bruta!L1166)),DePara_Cidade!$A$2:$A$29,DePara_Cidade!$B$2:$B$29,"REVISAR"))</f>
        <v>Rio de Janeiro</v>
      </c>
      <c r="N1166" s="4" t="str">
        <f aca="false">IF($A1166="","",UPPER(TRIM(Base_Bruta!M1166)))</f>
        <v>RJ</v>
      </c>
      <c r="O1166" s="4" t="str">
        <f aca="false">IF($A1166="","",_xlfn.XLOOKUP(LOWER(TRIM(Base_Bruta!N1166)),DePara_Pais!$A$2:$A$9,DePara_Pais!$B$2:$B$9,"REVISAR"))</f>
        <v>Brasil</v>
      </c>
      <c r="P1166" s="4" t="str">
        <f aca="false">IF($A1166="","",IF(O1166&lt;&gt;"Brasil","Turista Internacional",IF(M1166=F1166,"Local","Turista Nacional")))</f>
        <v>Local</v>
      </c>
      <c r="Q1166" s="7" t="n">
        <f aca="false">IF($A1166="","",DATE(YEAR(B1166),MONTH(B1166),1))</f>
        <v>45962</v>
      </c>
      <c r="R1166" s="4" t="str">
        <f aca="false">IF($A1166="","",IF(COUNTIF($A$2:$A1166,$A1166)&gt;1,"Sim","Não"))</f>
        <v>Não</v>
      </c>
      <c r="S1166" s="4" t="str">
        <f aca="false">IF(A1166="","Descartar - Linha vazia",IF(R1166="Sim","Descartar - Duplicado",IF(OR(H1166&lt;=0,I1166&lt;=0),"Descartar - Qtd/Valor inválido","OK")))</f>
        <v>OK</v>
      </c>
      <c r="T1166" s="4" t="str">
        <f aca="false">Base_Bruta!P1166</f>
        <v>vendas_RJ.xlsx</v>
      </c>
    </row>
    <row r="1167" customFormat="false" ht="15" hidden="false" customHeight="false" outlineLevel="0" collapsed="false">
      <c r="A1167" s="4" t="str">
        <f aca="false">IF(Base_Bruta!A1167="","",Base_Bruta!A1167)</f>
        <v>RJ-000126</v>
      </c>
      <c r="B1167" s="5" t="n">
        <f aca="false">IF($A1167="","",IF(ISNUMBER(Base_Bruta!B1167),Base_Bruta!B1167,IF(MID(Base_Bruta!B1167,5,1)="-",DATE(VALUE(LEFT(Base_Bruta!B1167,4)),VALUE(MID(Base_Bruta!B1167,6,2)),VALUE(RIGHT(Base_Bruta!B1167,2))),DATE(VALUE(RIGHT(Base_Bruta!B1167,4)),VALUE(MID(Base_Bruta!B1167,4,2)),VALUE(LEFT(Base_Bruta!B1167,2))))))</f>
        <v>45974</v>
      </c>
      <c r="C1167" s="5" t="n">
        <f aca="false">IF($A1167="","",IF(ISNUMBER(Base_Bruta!C1167),Base_Bruta!C1167,IF(MID(Base_Bruta!C1167,5,1)="-",DATE(VALUE(LEFT(Base_Bruta!C1167,4)),VALUE(MID(Base_Bruta!C1167,6,2)),VALUE(RIGHT(Base_Bruta!C1167,2))),DATE(VALUE(RIGHT(Base_Bruta!C1167,4)),VALUE(MID(Base_Bruta!C1167,4,2)),VALUE(LEFT(Base_Bruta!C1167,2))))))</f>
        <v>46046</v>
      </c>
      <c r="D1167" s="4" t="str">
        <f aca="false">IF($A1167="","",TRIM(Base_Bruta!D1167))</f>
        <v>Rio Beat Festival 2026</v>
      </c>
      <c r="E1167" s="4" t="str">
        <f aca="false">IF($A1167="","",_xlfn.XLOOKUP(LOWER(TRIM(Base_Bruta!E1167)),DePara_Categoria!$A$2:$A$9,DePara_Categoria!$B$2:$B$9,"REVISAR"))</f>
        <v>Festival</v>
      </c>
      <c r="F1167" s="4" t="str">
        <f aca="false">IF($A1167="","",_xlfn.XLOOKUP(LOWER(TRIM(Base_Bruta!F1167)),DePara_Cidade!$A$2:$A$29,DePara_Cidade!$B$2:$B$29,"REVISAR"))</f>
        <v>Rio de Janeiro</v>
      </c>
      <c r="G1167" s="4" t="str">
        <f aca="false">IF($A1167="","",TRIM(Base_Bruta!G1167))</f>
        <v>VIP</v>
      </c>
      <c r="H1167" s="4" t="n">
        <f aca="false">IF($A1167="","",IF(ISNUMBER(Base_Bruta!H1167),Base_Bruta!H1167,IFERROR(_xlfn.NUMBERVALUE(TRIM(SUBSTITUTE(Base_Bruta!H1167,"R$","")),",","."),0)))</f>
        <v>4</v>
      </c>
      <c r="I1167" s="6" t="n">
        <f aca="false">IF($A1167="","",IF(ISNUMBER(Base_Bruta!I1167),Base_Bruta!I1167,IFERROR(_xlfn.NUMBERVALUE(TRIM(SUBSTITUTE(Base_Bruta!I1167,"R$","")),",","."),0)))</f>
        <v>1600</v>
      </c>
      <c r="J1167" s="6" t="n">
        <f aca="false">IF($A1167="","",H1167*I1167)</f>
        <v>6400</v>
      </c>
      <c r="K1167" s="4" t="str">
        <f aca="false">IF($A1167="","",TRIM(Base_Bruta!J1167))</f>
        <v>Site</v>
      </c>
      <c r="L1167" s="4" t="str">
        <f aca="false">IF($A1167="","",TRIM(Base_Bruta!K1167))</f>
        <v>C00558</v>
      </c>
      <c r="M1167" s="4" t="str">
        <f aca="false">IF($A1167="","",_xlfn.XLOOKUP(LOWER(TRIM(Base_Bruta!L1167)),DePara_Cidade!$A$2:$A$29,DePara_Cidade!$B$2:$B$29,"REVISAR"))</f>
        <v>Rio de Janeiro</v>
      </c>
      <c r="N1167" s="4" t="str">
        <f aca="false">IF($A1167="","",UPPER(TRIM(Base_Bruta!M1167)))</f>
        <v>RJ</v>
      </c>
      <c r="O1167" s="4" t="str">
        <f aca="false">IF($A1167="","",_xlfn.XLOOKUP(LOWER(TRIM(Base_Bruta!N1167)),DePara_Pais!$A$2:$A$9,DePara_Pais!$B$2:$B$9,"REVISAR"))</f>
        <v>Brasil</v>
      </c>
      <c r="P1167" s="4" t="str">
        <f aca="false">IF($A1167="","",IF(O1167&lt;&gt;"Brasil","Turista Internacional",IF(M1167=F1167,"Local","Turista Nacional")))</f>
        <v>Local</v>
      </c>
      <c r="Q1167" s="7" t="n">
        <f aca="false">IF($A1167="","",DATE(YEAR(B1167),MONTH(B1167),1))</f>
        <v>45962</v>
      </c>
      <c r="R1167" s="4" t="str">
        <f aca="false">IF($A1167="","",IF(COUNTIF($A$2:$A1167,$A1167)&gt;1,"Sim","Não"))</f>
        <v>Não</v>
      </c>
      <c r="S1167" s="4" t="str">
        <f aca="false">IF(A1167="","Descartar - Linha vazia",IF(R1167="Sim","Descartar - Duplicado",IF(OR(H1167&lt;=0,I1167&lt;=0),"Descartar - Qtd/Valor inválido","OK")))</f>
        <v>OK</v>
      </c>
      <c r="T1167" s="4" t="str">
        <f aca="false">Base_Bruta!P1167</f>
        <v>vendas_RJ.xlsx</v>
      </c>
    </row>
    <row r="1168" customFormat="false" ht="15" hidden="false" customHeight="false" outlineLevel="0" collapsed="false">
      <c r="A1168" s="4" t="str">
        <f aca="false">IF(Base_Bruta!A1168="","",Base_Bruta!A1168)</f>
        <v>RJ-000033</v>
      </c>
      <c r="B1168" s="5" t="n">
        <f aca="false">IF($A1168="","",IF(ISNUMBER(Base_Bruta!B1168),Base_Bruta!B1168,IF(MID(Base_Bruta!B1168,5,1)="-",DATE(VALUE(LEFT(Base_Bruta!B1168,4)),VALUE(MID(Base_Bruta!B1168,6,2)),VALUE(RIGHT(Base_Bruta!B1168,2))),DATE(VALUE(RIGHT(Base_Bruta!B1168,4)),VALUE(MID(Base_Bruta!B1168,4,2)),VALUE(LEFT(Base_Bruta!B1168,2))))))</f>
        <v>45975</v>
      </c>
      <c r="C1168" s="5" t="n">
        <f aca="false">IF($A1168="","",IF(ISNUMBER(Base_Bruta!C1168),Base_Bruta!C1168,IF(MID(Base_Bruta!C1168,5,1)="-",DATE(VALUE(LEFT(Base_Bruta!C1168,4)),VALUE(MID(Base_Bruta!C1168,6,2)),VALUE(RIGHT(Base_Bruta!C1168,2))),DATE(VALUE(RIGHT(Base_Bruta!C1168,4)),VALUE(MID(Base_Bruta!C1168,4,2)),VALUE(LEFT(Base_Bruta!C1168,2))))))</f>
        <v>46046</v>
      </c>
      <c r="D1168" s="4" t="str">
        <f aca="false">IF($A1168="","",TRIM(Base_Bruta!D1168))</f>
        <v>Rio Beat Festival 2026</v>
      </c>
      <c r="E1168" s="4" t="str">
        <f aca="false">IF($A1168="","",_xlfn.XLOOKUP(LOWER(TRIM(Base_Bruta!E1168)),DePara_Categoria!$A$2:$A$9,DePara_Categoria!$B$2:$B$9,"REVISAR"))</f>
        <v>Festival</v>
      </c>
      <c r="F1168" s="4" t="str">
        <f aca="false">IF($A1168="","",_xlfn.XLOOKUP(LOWER(TRIM(Base_Bruta!F1168)),DePara_Cidade!$A$2:$A$29,DePara_Cidade!$B$2:$B$29,"REVISAR"))</f>
        <v>Rio de Janeiro</v>
      </c>
      <c r="G1168" s="4" t="str">
        <f aca="false">IF($A1168="","",TRIM(Base_Bruta!G1168))</f>
        <v>Inteira</v>
      </c>
      <c r="H1168" s="4" t="n">
        <f aca="false">IF($A1168="","",IF(ISNUMBER(Base_Bruta!H1168),Base_Bruta!H1168,IFERROR(_xlfn.NUMBERVALUE(TRIM(SUBSTITUTE(Base_Bruta!H1168,"R$","")),",","."),0)))</f>
        <v>1</v>
      </c>
      <c r="I1168" s="6" t="n">
        <f aca="false">IF($A1168="","",IF(ISNUMBER(Base_Bruta!I1168),Base_Bruta!I1168,IFERROR(_xlfn.NUMBERVALUE(TRIM(SUBSTITUTE(Base_Bruta!I1168,"R$","")),",","."),0)))</f>
        <v>1090</v>
      </c>
      <c r="J1168" s="6" t="n">
        <f aca="false">IF($A1168="","",H1168*I1168)</f>
        <v>1090</v>
      </c>
      <c r="K1168" s="4" t="str">
        <f aca="false">IF($A1168="","",TRIM(Base_Bruta!J1168))</f>
        <v>App</v>
      </c>
      <c r="L1168" s="4" t="str">
        <f aca="false">IF($A1168="","",TRIM(Base_Bruta!K1168))</f>
        <v>C02405</v>
      </c>
      <c r="M1168" s="4" t="str">
        <f aca="false">IF($A1168="","",_xlfn.XLOOKUP(LOWER(TRIM(Base_Bruta!L1168)),DePara_Cidade!$A$2:$A$29,DePara_Cidade!$B$2:$B$29,"REVISAR"))</f>
        <v>Rio de Janeiro</v>
      </c>
      <c r="N1168" s="4" t="str">
        <f aca="false">IF($A1168="","",UPPER(TRIM(Base_Bruta!M1168)))</f>
        <v>RJ</v>
      </c>
      <c r="O1168" s="4" t="str">
        <f aca="false">IF($A1168="","",_xlfn.XLOOKUP(LOWER(TRIM(Base_Bruta!N1168)),DePara_Pais!$A$2:$A$9,DePara_Pais!$B$2:$B$9,"REVISAR"))</f>
        <v>Brasil</v>
      </c>
      <c r="P1168" s="4" t="str">
        <f aca="false">IF($A1168="","",IF(O1168&lt;&gt;"Brasil","Turista Internacional",IF(M1168=F1168,"Local","Turista Nacional")))</f>
        <v>Local</v>
      </c>
      <c r="Q1168" s="7" t="n">
        <f aca="false">IF($A1168="","",DATE(YEAR(B1168),MONTH(B1168),1))</f>
        <v>45962</v>
      </c>
      <c r="R1168" s="4" t="str">
        <f aca="false">IF($A1168="","",IF(COUNTIF($A$2:$A1168,$A1168)&gt;1,"Sim","Não"))</f>
        <v>Não</v>
      </c>
      <c r="S1168" s="4" t="str">
        <f aca="false">IF(A1168="","Descartar - Linha vazia",IF(R1168="Sim","Descartar - Duplicado",IF(OR(H1168&lt;=0,I1168&lt;=0),"Descartar - Qtd/Valor inválido","OK")))</f>
        <v>OK</v>
      </c>
      <c r="T1168" s="4" t="str">
        <f aca="false">Base_Bruta!P1168</f>
        <v>vendas_RJ.xlsx</v>
      </c>
    </row>
    <row r="1169" customFormat="false" ht="15" hidden="false" customHeight="false" outlineLevel="0" collapsed="false">
      <c r="A1169" s="4" t="str">
        <f aca="false">IF(Base_Bruta!A1169="","",Base_Bruta!A1169)</f>
        <v>RJ-000044</v>
      </c>
      <c r="B1169" s="5" t="n">
        <f aca="false">IF($A1169="","",IF(ISNUMBER(Base_Bruta!B1169),Base_Bruta!B1169,IF(MID(Base_Bruta!B1169,5,1)="-",DATE(VALUE(LEFT(Base_Bruta!B1169,4)),VALUE(MID(Base_Bruta!B1169,6,2)),VALUE(RIGHT(Base_Bruta!B1169,2))),DATE(VALUE(RIGHT(Base_Bruta!B1169,4)),VALUE(MID(Base_Bruta!B1169,4,2)),VALUE(LEFT(Base_Bruta!B1169,2))))))</f>
        <v>45975</v>
      </c>
      <c r="C1169" s="5" t="n">
        <f aca="false">IF($A1169="","",IF(ISNUMBER(Base_Bruta!C1169),Base_Bruta!C1169,IF(MID(Base_Bruta!C1169,5,1)="-",DATE(VALUE(LEFT(Base_Bruta!C1169,4)),VALUE(MID(Base_Bruta!C1169,6,2)),VALUE(RIGHT(Base_Bruta!C1169,2))),DATE(VALUE(RIGHT(Base_Bruta!C1169,4)),VALUE(MID(Base_Bruta!C1169,4,2)),VALUE(LEFT(Base_Bruta!C1169,2))))))</f>
        <v>46046</v>
      </c>
      <c r="D1169" s="4" t="str">
        <f aca="false">IF($A1169="","",TRIM(Base_Bruta!D1169))</f>
        <v>Rio Beat Festival 2026</v>
      </c>
      <c r="E1169" s="4" t="str">
        <f aca="false">IF($A1169="","",_xlfn.XLOOKUP(LOWER(TRIM(Base_Bruta!E1169)),DePara_Categoria!$A$2:$A$9,DePara_Categoria!$B$2:$B$9,"REVISAR"))</f>
        <v>Festival</v>
      </c>
      <c r="F1169" s="4" t="str">
        <f aca="false">IF($A1169="","",_xlfn.XLOOKUP(LOWER(TRIM(Base_Bruta!F1169)),DePara_Cidade!$A$2:$A$29,DePara_Cidade!$B$2:$B$29,"REVISAR"))</f>
        <v>Rio de Janeiro</v>
      </c>
      <c r="G1169" s="4" t="str">
        <f aca="false">IF($A1169="","",TRIM(Base_Bruta!G1169))</f>
        <v>Inteira</v>
      </c>
      <c r="H1169" s="4" t="n">
        <f aca="false">IF($A1169="","",IF(ISNUMBER(Base_Bruta!H1169),Base_Bruta!H1169,IFERROR(_xlfn.NUMBERVALUE(TRIM(SUBSTITUTE(Base_Bruta!H1169,"R$","")),",","."),0)))</f>
        <v>4</v>
      </c>
      <c r="I1169" s="6" t="n">
        <f aca="false">IF($A1169="","",IF(ISNUMBER(Base_Bruta!I1169),Base_Bruta!I1169,IFERROR(_xlfn.NUMBERVALUE(TRIM(SUBSTITUTE(Base_Bruta!I1169,"R$","")),",","."),0)))</f>
        <v>835</v>
      </c>
      <c r="J1169" s="6" t="n">
        <f aca="false">IF($A1169="","",H1169*I1169)</f>
        <v>3340</v>
      </c>
      <c r="K1169" s="4" t="str">
        <f aca="false">IF($A1169="","",TRIM(Base_Bruta!J1169))</f>
        <v>Site</v>
      </c>
      <c r="L1169" s="4" t="str">
        <f aca="false">IF($A1169="","",TRIM(Base_Bruta!K1169))</f>
        <v>C00098</v>
      </c>
      <c r="M1169" s="4" t="str">
        <f aca="false">IF($A1169="","",_xlfn.XLOOKUP(LOWER(TRIM(Base_Bruta!L1169)),DePara_Cidade!$A$2:$A$29,DePara_Cidade!$B$2:$B$29,"REVISAR"))</f>
        <v>Goiânia</v>
      </c>
      <c r="N1169" s="4" t="str">
        <f aca="false">IF($A1169="","",UPPER(TRIM(Base_Bruta!M1169)))</f>
        <v>GO</v>
      </c>
      <c r="O1169" s="4" t="str">
        <f aca="false">IF($A1169="","",_xlfn.XLOOKUP(LOWER(TRIM(Base_Bruta!N1169)),DePara_Pais!$A$2:$A$9,DePara_Pais!$B$2:$B$9,"REVISAR"))</f>
        <v>Brasil</v>
      </c>
      <c r="P1169" s="4" t="str">
        <f aca="false">IF($A1169="","",IF(O1169&lt;&gt;"Brasil","Turista Internacional",IF(M1169=F1169,"Local","Turista Nacional")))</f>
        <v>Turista Nacional</v>
      </c>
      <c r="Q1169" s="7" t="n">
        <f aca="false">IF($A1169="","",DATE(YEAR(B1169),MONTH(B1169),1))</f>
        <v>45962</v>
      </c>
      <c r="R1169" s="4" t="str">
        <f aca="false">IF($A1169="","",IF(COUNTIF($A$2:$A1169,$A1169)&gt;1,"Sim","Não"))</f>
        <v>Não</v>
      </c>
      <c r="S1169" s="4" t="str">
        <f aca="false">IF(A1169="","Descartar - Linha vazia",IF(R1169="Sim","Descartar - Duplicado",IF(OR(H1169&lt;=0,I1169&lt;=0),"Descartar - Qtd/Valor inválido","OK")))</f>
        <v>OK</v>
      </c>
      <c r="T1169" s="4" t="str">
        <f aca="false">Base_Bruta!P1169</f>
        <v>vendas_RJ.xlsx</v>
      </c>
    </row>
    <row r="1170" customFormat="false" ht="15" hidden="false" customHeight="false" outlineLevel="0" collapsed="false">
      <c r="A1170" s="4" t="str">
        <f aca="false">IF(Base_Bruta!A1170="","",Base_Bruta!A1170)</f>
        <v>RJ-000688</v>
      </c>
      <c r="B1170" s="5" t="n">
        <f aca="false">IF($A1170="","",IF(ISNUMBER(Base_Bruta!B1170),Base_Bruta!B1170,IF(MID(Base_Bruta!B1170,5,1)="-",DATE(VALUE(LEFT(Base_Bruta!B1170,4)),VALUE(MID(Base_Bruta!B1170,6,2)),VALUE(RIGHT(Base_Bruta!B1170,2))),DATE(VALUE(RIGHT(Base_Bruta!B1170,4)),VALUE(MID(Base_Bruta!B1170,4,2)),VALUE(LEFT(Base_Bruta!B1170,2))))))</f>
        <v>45975</v>
      </c>
      <c r="C1170" s="5" t="n">
        <f aca="false">IF($A1170="","",IF(ISNUMBER(Base_Bruta!C1170),Base_Bruta!C1170,IF(MID(Base_Bruta!C1170,5,1)="-",DATE(VALUE(LEFT(Base_Bruta!C1170,4)),VALUE(MID(Base_Bruta!C1170,6,2)),VALUE(RIGHT(Base_Bruta!C1170,2))),DATE(VALUE(RIGHT(Base_Bruta!C1170,4)),VALUE(MID(Base_Bruta!C1170,4,2)),VALUE(LEFT(Base_Bruta!C1170,2))))))</f>
        <v>45978</v>
      </c>
      <c r="D1170" s="4" t="str">
        <f aca="false">IF($A1170="","",TRIM(Base_Bruta!D1170))</f>
        <v>Cinema Barra - Sessões</v>
      </c>
      <c r="E1170" s="4" t="str">
        <f aca="false">IF($A1170="","",_xlfn.XLOOKUP(LOWER(TRIM(Base_Bruta!E1170)),DePara_Categoria!$A$2:$A$9,DePara_Categoria!$B$2:$B$9,"REVISAR"))</f>
        <v>Cinema</v>
      </c>
      <c r="F1170" s="4" t="str">
        <f aca="false">IF($A1170="","",_xlfn.XLOOKUP(LOWER(TRIM(Base_Bruta!F1170)),DePara_Cidade!$A$2:$A$29,DePara_Cidade!$B$2:$B$29,"REVISAR"))</f>
        <v>Rio de Janeiro</v>
      </c>
      <c r="G1170" s="4" t="str">
        <f aca="false">IF($A1170="","",TRIM(Base_Bruta!G1170))</f>
        <v>Meia</v>
      </c>
      <c r="H1170" s="4" t="n">
        <f aca="false">IF($A1170="","",IF(ISNUMBER(Base_Bruta!H1170),Base_Bruta!H1170,IFERROR(_xlfn.NUMBERVALUE(TRIM(SUBSTITUTE(Base_Bruta!H1170,"R$","")),",","."),0)))</f>
        <v>2</v>
      </c>
      <c r="I1170" s="6" t="n">
        <f aca="false">IF($A1170="","",IF(ISNUMBER(Base_Bruta!I1170),Base_Bruta!I1170,IFERROR(_xlfn.NUMBERVALUE(TRIM(SUBSTITUTE(Base_Bruta!I1170,"R$","")),",","."),0)))</f>
        <v>20</v>
      </c>
      <c r="J1170" s="6" t="n">
        <f aca="false">IF($A1170="","",H1170*I1170)</f>
        <v>40</v>
      </c>
      <c r="K1170" s="4" t="str">
        <f aca="false">IF($A1170="","",TRIM(Base_Bruta!J1170))</f>
        <v>Bilheteria</v>
      </c>
      <c r="L1170" s="4" t="str">
        <f aca="false">IF($A1170="","",TRIM(Base_Bruta!K1170))</f>
        <v>C00558</v>
      </c>
      <c r="M1170" s="4" t="str">
        <f aca="false">IF($A1170="","",_xlfn.XLOOKUP(LOWER(TRIM(Base_Bruta!L1170)),DePara_Cidade!$A$2:$A$29,DePara_Cidade!$B$2:$B$29,"REVISAR"))</f>
        <v>Rio de Janeiro</v>
      </c>
      <c r="N1170" s="4" t="str">
        <f aca="false">IF($A1170="","",UPPER(TRIM(Base_Bruta!M1170)))</f>
        <v>RJ</v>
      </c>
      <c r="O1170" s="4" t="str">
        <f aca="false">IF($A1170="","",_xlfn.XLOOKUP(LOWER(TRIM(Base_Bruta!N1170)),DePara_Pais!$A$2:$A$9,DePara_Pais!$B$2:$B$9,"REVISAR"))</f>
        <v>Brasil</v>
      </c>
      <c r="P1170" s="4" t="str">
        <f aca="false">IF($A1170="","",IF(O1170&lt;&gt;"Brasil","Turista Internacional",IF(M1170=F1170,"Local","Turista Nacional")))</f>
        <v>Local</v>
      </c>
      <c r="Q1170" s="7" t="n">
        <f aca="false">IF($A1170="","",DATE(YEAR(B1170),MONTH(B1170),1))</f>
        <v>45962</v>
      </c>
      <c r="R1170" s="4" t="str">
        <f aca="false">IF($A1170="","",IF(COUNTIF($A$2:$A1170,$A1170)&gt;1,"Sim","Não"))</f>
        <v>Não</v>
      </c>
      <c r="S1170" s="4" t="str">
        <f aca="false">IF(A1170="","Descartar - Linha vazia",IF(R1170="Sim","Descartar - Duplicado",IF(OR(H1170&lt;=0,I1170&lt;=0),"Descartar - Qtd/Valor inválido","OK")))</f>
        <v>OK</v>
      </c>
      <c r="T1170" s="4" t="str">
        <f aca="false">Base_Bruta!P1170</f>
        <v>vendas_RJ.xlsx</v>
      </c>
    </row>
    <row r="1171" customFormat="false" ht="15" hidden="false" customHeight="false" outlineLevel="0" collapsed="false">
      <c r="A1171" s="4" t="str">
        <f aca="false">IF(Base_Bruta!A1171="","",Base_Bruta!A1171)</f>
        <v>RJ-000021</v>
      </c>
      <c r="B1171" s="5" t="n">
        <f aca="false">IF($A1171="","",IF(ISNUMBER(Base_Bruta!B1171),Base_Bruta!B1171,IF(MID(Base_Bruta!B1171,5,1)="-",DATE(VALUE(LEFT(Base_Bruta!B1171,4)),VALUE(MID(Base_Bruta!B1171,6,2)),VALUE(RIGHT(Base_Bruta!B1171,2))),DATE(VALUE(RIGHT(Base_Bruta!B1171,4)),VALUE(MID(Base_Bruta!B1171,4,2)),VALUE(LEFT(Base_Bruta!B1171,2))))))</f>
        <v>45977</v>
      </c>
      <c r="C1171" s="5" t="n">
        <f aca="false">IF($A1171="","",IF(ISNUMBER(Base_Bruta!C1171),Base_Bruta!C1171,IF(MID(Base_Bruta!C1171,5,1)="-",DATE(VALUE(LEFT(Base_Bruta!C1171,4)),VALUE(MID(Base_Bruta!C1171,6,2)),VALUE(RIGHT(Base_Bruta!C1171,2))),DATE(VALUE(RIGHT(Base_Bruta!C1171,4)),VALUE(MID(Base_Bruta!C1171,4,2)),VALUE(LEFT(Base_Bruta!C1171,2))))))</f>
        <v>46046</v>
      </c>
      <c r="D1171" s="4" t="str">
        <f aca="false">IF($A1171="","",TRIM(Base_Bruta!D1171))</f>
        <v>Rio Beat Festival 2026</v>
      </c>
      <c r="E1171" s="4" t="str">
        <f aca="false">IF($A1171="","",_xlfn.XLOOKUP(LOWER(TRIM(Base_Bruta!E1171)),DePara_Categoria!$A$2:$A$9,DePara_Categoria!$B$2:$B$9,"REVISAR"))</f>
        <v>Festival</v>
      </c>
      <c r="F1171" s="4" t="str">
        <f aca="false">IF($A1171="","",_xlfn.XLOOKUP(LOWER(TRIM(Base_Bruta!F1171)),DePara_Cidade!$A$2:$A$29,DePara_Cidade!$B$2:$B$29,"REVISAR"))</f>
        <v>Rio de Janeiro</v>
      </c>
      <c r="G1171" s="4" t="str">
        <f aca="false">IF($A1171="","",TRIM(Base_Bruta!G1171))</f>
        <v>Inteira</v>
      </c>
      <c r="H1171" s="4" t="n">
        <f aca="false">IF($A1171="","",IF(ISNUMBER(Base_Bruta!H1171),Base_Bruta!H1171,IFERROR(_xlfn.NUMBERVALUE(TRIM(SUBSTITUTE(Base_Bruta!H1171,"R$","")),",","."),0)))</f>
        <v>4</v>
      </c>
      <c r="I1171" s="6" t="n">
        <f aca="false">IF($A1171="","",IF(ISNUMBER(Base_Bruta!I1171),Base_Bruta!I1171,IFERROR(_xlfn.NUMBERVALUE(TRIM(SUBSTITUTE(Base_Bruta!I1171,"R$","")),",","."),0)))</f>
        <v>1070</v>
      </c>
      <c r="J1171" s="6" t="n">
        <f aca="false">IF($A1171="","",H1171*I1171)</f>
        <v>4280</v>
      </c>
      <c r="K1171" s="4" t="str">
        <f aca="false">IF($A1171="","",TRIM(Base_Bruta!J1171))</f>
        <v>Bilheteria</v>
      </c>
      <c r="L1171" s="4" t="str">
        <f aca="false">IF($A1171="","",TRIM(Base_Bruta!K1171))</f>
        <v>C02256</v>
      </c>
      <c r="M1171" s="4" t="str">
        <f aca="false">IF($A1171="","",_xlfn.XLOOKUP(LOWER(TRIM(Base_Bruta!L1171)),DePara_Cidade!$A$2:$A$29,DePara_Cidade!$B$2:$B$29,"REVISAR"))</f>
        <v>Rio de Janeiro</v>
      </c>
      <c r="N1171" s="4" t="str">
        <f aca="false">IF($A1171="","",UPPER(TRIM(Base_Bruta!M1171)))</f>
        <v>RJ</v>
      </c>
      <c r="O1171" s="4" t="str">
        <f aca="false">IF($A1171="","",_xlfn.XLOOKUP(LOWER(TRIM(Base_Bruta!N1171)),DePara_Pais!$A$2:$A$9,DePara_Pais!$B$2:$B$9,"REVISAR"))</f>
        <v>Brasil</v>
      </c>
      <c r="P1171" s="4" t="str">
        <f aca="false">IF($A1171="","",IF(O1171&lt;&gt;"Brasil","Turista Internacional",IF(M1171=F1171,"Local","Turista Nacional")))</f>
        <v>Local</v>
      </c>
      <c r="Q1171" s="7" t="n">
        <f aca="false">IF($A1171="","",DATE(YEAR(B1171),MONTH(B1171),1))</f>
        <v>45962</v>
      </c>
      <c r="R1171" s="4" t="str">
        <f aca="false">IF($A1171="","",IF(COUNTIF($A$2:$A1171,$A1171)&gt;1,"Sim","Não"))</f>
        <v>Não</v>
      </c>
      <c r="S1171" s="4" t="str">
        <f aca="false">IF(A1171="","Descartar - Linha vazia",IF(R1171="Sim","Descartar - Duplicado",IF(OR(H1171&lt;=0,I1171&lt;=0),"Descartar - Qtd/Valor inválido","OK")))</f>
        <v>OK</v>
      </c>
      <c r="T1171" s="4" t="str">
        <f aca="false">Base_Bruta!P1171</f>
        <v>vendas_RJ.xlsx</v>
      </c>
    </row>
    <row r="1172" customFormat="false" ht="15" hidden="false" customHeight="false" outlineLevel="0" collapsed="false">
      <c r="A1172" s="4" t="str">
        <f aca="false">IF(Base_Bruta!A1172="","",Base_Bruta!A1172)</f>
        <v>RJ-000215</v>
      </c>
      <c r="B1172" s="5" t="n">
        <f aca="false">IF($A1172="","",IF(ISNUMBER(Base_Bruta!B1172),Base_Bruta!B1172,IF(MID(Base_Bruta!B1172,5,1)="-",DATE(VALUE(LEFT(Base_Bruta!B1172,4)),VALUE(MID(Base_Bruta!B1172,6,2)),VALUE(RIGHT(Base_Bruta!B1172,2))),DATE(VALUE(RIGHT(Base_Bruta!B1172,4)),VALUE(MID(Base_Bruta!B1172,4,2)),VALUE(LEFT(Base_Bruta!B1172,2))))))</f>
        <v>45977</v>
      </c>
      <c r="C1172" s="5" t="n">
        <f aca="false">IF($A1172="","",IF(ISNUMBER(Base_Bruta!C1172),Base_Bruta!C1172,IF(MID(Base_Bruta!C1172,5,1)="-",DATE(VALUE(LEFT(Base_Bruta!C1172,4)),VALUE(MID(Base_Bruta!C1172,6,2)),VALUE(RIGHT(Base_Bruta!C1172,2))),DATE(VALUE(RIGHT(Base_Bruta!C1172,4)),VALUE(MID(Base_Bruta!C1172,4,2)),VALUE(LEFT(Base_Bruta!C1172,2))))))</f>
        <v>46046</v>
      </c>
      <c r="D1172" s="4" t="str">
        <f aca="false">IF($A1172="","",TRIM(Base_Bruta!D1172))</f>
        <v>Rio Beat Festival 2026</v>
      </c>
      <c r="E1172" s="4" t="str">
        <f aca="false">IF($A1172="","",_xlfn.XLOOKUP(LOWER(TRIM(Base_Bruta!E1172)),DePara_Categoria!$A$2:$A$9,DePara_Categoria!$B$2:$B$9,"REVISAR"))</f>
        <v>Festival</v>
      </c>
      <c r="F1172" s="4" t="str">
        <f aca="false">IF($A1172="","",_xlfn.XLOOKUP(LOWER(TRIM(Base_Bruta!F1172)),DePara_Cidade!$A$2:$A$29,DePara_Cidade!$B$2:$B$29,"REVISAR"))</f>
        <v>Rio de Janeiro</v>
      </c>
      <c r="G1172" s="4" t="str">
        <f aca="false">IF($A1172="","",TRIM(Base_Bruta!G1172))</f>
        <v>Inteira</v>
      </c>
      <c r="H1172" s="4" t="n">
        <f aca="false">IF($A1172="","",IF(ISNUMBER(Base_Bruta!H1172),Base_Bruta!H1172,IFERROR(_xlfn.NUMBERVALUE(TRIM(SUBSTITUTE(Base_Bruta!H1172,"R$","")),",","."),0)))</f>
        <v>2</v>
      </c>
      <c r="I1172" s="6" t="n">
        <f aca="false">IF($A1172="","",IF(ISNUMBER(Base_Bruta!I1172),Base_Bruta!I1172,IFERROR(_xlfn.NUMBERVALUE(TRIM(SUBSTITUTE(Base_Bruta!I1172,"R$","")),",","."),0)))</f>
        <v>960</v>
      </c>
      <c r="J1172" s="6" t="n">
        <f aca="false">IF($A1172="","",H1172*I1172)</f>
        <v>1920</v>
      </c>
      <c r="K1172" s="4" t="str">
        <f aca="false">IF($A1172="","",TRIM(Base_Bruta!J1172))</f>
        <v>Parceiro</v>
      </c>
      <c r="L1172" s="4" t="str">
        <f aca="false">IF($A1172="","",TRIM(Base_Bruta!K1172))</f>
        <v>C00460</v>
      </c>
      <c r="M1172" s="4" t="str">
        <f aca="false">IF($A1172="","",_xlfn.XLOOKUP(LOWER(TRIM(Base_Bruta!L1172)),DePara_Cidade!$A$2:$A$29,DePara_Cidade!$B$2:$B$29,"REVISAR"))</f>
        <v>Buenos Aires</v>
      </c>
      <c r="N1172" s="4" t="str">
        <f aca="false">IF($A1172="","",UPPER(TRIM(Base_Bruta!M1172)))</f>
        <v>EX</v>
      </c>
      <c r="O1172" s="4" t="str">
        <f aca="false">IF($A1172="","",_xlfn.XLOOKUP(LOWER(TRIM(Base_Bruta!N1172)),DePara_Pais!$A$2:$A$9,DePara_Pais!$B$2:$B$9,"REVISAR"))</f>
        <v>Argentina</v>
      </c>
      <c r="P1172" s="4" t="str">
        <f aca="false">IF($A1172="","",IF(O1172&lt;&gt;"Brasil","Turista Internacional",IF(M1172=F1172,"Local","Turista Nacional")))</f>
        <v>Turista Internacional</v>
      </c>
      <c r="Q1172" s="7" t="n">
        <f aca="false">IF($A1172="","",DATE(YEAR(B1172),MONTH(B1172),1))</f>
        <v>45962</v>
      </c>
      <c r="R1172" s="4" t="str">
        <f aca="false">IF($A1172="","",IF(COUNTIF($A$2:$A1172,$A1172)&gt;1,"Sim","Não"))</f>
        <v>Não</v>
      </c>
      <c r="S1172" s="4" t="str">
        <f aca="false">IF(A1172="","Descartar - Linha vazia",IF(R1172="Sim","Descartar - Duplicado",IF(OR(H1172&lt;=0,I1172&lt;=0),"Descartar - Qtd/Valor inválido","OK")))</f>
        <v>OK</v>
      </c>
      <c r="T1172" s="4" t="str">
        <f aca="false">Base_Bruta!P1172</f>
        <v>vendas_RJ.xlsx</v>
      </c>
    </row>
    <row r="1173" customFormat="false" ht="15" hidden="false" customHeight="false" outlineLevel="0" collapsed="false">
      <c r="A1173" s="4" t="str">
        <f aca="false">IF(Base_Bruta!A1173="","",Base_Bruta!A1173)</f>
        <v>RJ-000024</v>
      </c>
      <c r="B1173" s="5" t="n">
        <f aca="false">IF($A1173="","",IF(ISNUMBER(Base_Bruta!B1173),Base_Bruta!B1173,IF(MID(Base_Bruta!B1173,5,1)="-",DATE(VALUE(LEFT(Base_Bruta!B1173,4)),VALUE(MID(Base_Bruta!B1173,6,2)),VALUE(RIGHT(Base_Bruta!B1173,2))),DATE(VALUE(RIGHT(Base_Bruta!B1173,4)),VALUE(MID(Base_Bruta!B1173,4,2)),VALUE(LEFT(Base_Bruta!B1173,2))))))</f>
        <v>45981</v>
      </c>
      <c r="C1173" s="5" t="n">
        <f aca="false">IF($A1173="","",IF(ISNUMBER(Base_Bruta!C1173),Base_Bruta!C1173,IF(MID(Base_Bruta!C1173,5,1)="-",DATE(VALUE(LEFT(Base_Bruta!C1173,4)),VALUE(MID(Base_Bruta!C1173,6,2)),VALUE(RIGHT(Base_Bruta!C1173,2))),DATE(VALUE(RIGHT(Base_Bruta!C1173,4)),VALUE(MID(Base_Bruta!C1173,4,2)),VALUE(LEFT(Base_Bruta!C1173,2))))))</f>
        <v>46046</v>
      </c>
      <c r="D1173" s="4" t="str">
        <f aca="false">IF($A1173="","",TRIM(Base_Bruta!D1173))</f>
        <v>Rio Beat Festival 2026</v>
      </c>
      <c r="E1173" s="4" t="str">
        <f aca="false">IF($A1173="","",_xlfn.XLOOKUP(LOWER(TRIM(Base_Bruta!E1173)),DePara_Categoria!$A$2:$A$9,DePara_Categoria!$B$2:$B$9,"REVISAR"))</f>
        <v>Festival</v>
      </c>
      <c r="F1173" s="4" t="str">
        <f aca="false">IF($A1173="","",_xlfn.XLOOKUP(LOWER(TRIM(Base_Bruta!F1173)),DePara_Cidade!$A$2:$A$29,DePara_Cidade!$B$2:$B$29,"REVISAR"))</f>
        <v>Rio de Janeiro</v>
      </c>
      <c r="G1173" s="4" t="str">
        <f aca="false">IF($A1173="","",TRIM(Base_Bruta!G1173))</f>
        <v>VIP</v>
      </c>
      <c r="H1173" s="4" t="n">
        <f aca="false">IF($A1173="","",IF(ISNUMBER(Base_Bruta!H1173),Base_Bruta!H1173,IFERROR(_xlfn.NUMBERVALUE(TRIM(SUBSTITUTE(Base_Bruta!H1173,"R$","")),",","."),0)))</f>
        <v>1</v>
      </c>
      <c r="I1173" s="6" t="n">
        <f aca="false">IF($A1173="","",IF(ISNUMBER(Base_Bruta!I1173),Base_Bruta!I1173,IFERROR(_xlfn.NUMBERVALUE(TRIM(SUBSTITUTE(Base_Bruta!I1173,"R$","")),",","."),0)))</f>
        <v>1890</v>
      </c>
      <c r="J1173" s="6" t="n">
        <f aca="false">IF($A1173="","",H1173*I1173)</f>
        <v>1890</v>
      </c>
      <c r="K1173" s="4" t="str">
        <f aca="false">IF($A1173="","",TRIM(Base_Bruta!J1173))</f>
        <v>Site</v>
      </c>
      <c r="L1173" s="4" t="str">
        <f aca="false">IF($A1173="","",TRIM(Base_Bruta!K1173))</f>
        <v>C00229</v>
      </c>
      <c r="M1173" s="4" t="str">
        <f aca="false">IF($A1173="","",_xlfn.XLOOKUP(LOWER(TRIM(Base_Bruta!L1173)),DePara_Cidade!$A$2:$A$29,DePara_Cidade!$B$2:$B$29,"REVISAR"))</f>
        <v>Niterói</v>
      </c>
      <c r="N1173" s="4" t="str">
        <f aca="false">IF($A1173="","",UPPER(TRIM(Base_Bruta!M1173)))</f>
        <v>RJ</v>
      </c>
      <c r="O1173" s="4" t="str">
        <f aca="false">IF($A1173="","",_xlfn.XLOOKUP(LOWER(TRIM(Base_Bruta!N1173)),DePara_Pais!$A$2:$A$9,DePara_Pais!$B$2:$B$9,"REVISAR"))</f>
        <v>Brasil</v>
      </c>
      <c r="P1173" s="4" t="str">
        <f aca="false">IF($A1173="","",IF(O1173&lt;&gt;"Brasil","Turista Internacional",IF(M1173=F1173,"Local","Turista Nacional")))</f>
        <v>Turista Nacional</v>
      </c>
      <c r="Q1173" s="7" t="n">
        <f aca="false">IF($A1173="","",DATE(YEAR(B1173),MONTH(B1173),1))</f>
        <v>45962</v>
      </c>
      <c r="R1173" s="4" t="str">
        <f aca="false">IF($A1173="","",IF(COUNTIF($A$2:$A1173,$A1173)&gt;1,"Sim","Não"))</f>
        <v>Não</v>
      </c>
      <c r="S1173" s="4" t="str">
        <f aca="false">IF(A1173="","Descartar - Linha vazia",IF(R1173="Sim","Descartar - Duplicado",IF(OR(H1173&lt;=0,I1173&lt;=0),"Descartar - Qtd/Valor inválido","OK")))</f>
        <v>OK</v>
      </c>
      <c r="T1173" s="4" t="str">
        <f aca="false">Base_Bruta!P1173</f>
        <v>vendas_RJ.xlsx</v>
      </c>
    </row>
    <row r="1174" customFormat="false" ht="15" hidden="false" customHeight="false" outlineLevel="0" collapsed="false">
      <c r="A1174" s="4" t="str">
        <f aca="false">IF(Base_Bruta!A1174="","",Base_Bruta!A1174)</f>
        <v>RJ-000041</v>
      </c>
      <c r="B1174" s="5" t="n">
        <f aca="false">IF($A1174="","",IF(ISNUMBER(Base_Bruta!B1174),Base_Bruta!B1174,IF(MID(Base_Bruta!B1174,5,1)="-",DATE(VALUE(LEFT(Base_Bruta!B1174,4)),VALUE(MID(Base_Bruta!B1174,6,2)),VALUE(RIGHT(Base_Bruta!B1174,2))),DATE(VALUE(RIGHT(Base_Bruta!B1174,4)),VALUE(MID(Base_Bruta!B1174,4,2)),VALUE(LEFT(Base_Bruta!B1174,2))))))</f>
        <v>45981</v>
      </c>
      <c r="C1174" s="5" t="n">
        <f aca="false">IF($A1174="","",IF(ISNUMBER(Base_Bruta!C1174),Base_Bruta!C1174,IF(MID(Base_Bruta!C1174,5,1)="-",DATE(VALUE(LEFT(Base_Bruta!C1174,4)),VALUE(MID(Base_Bruta!C1174,6,2)),VALUE(RIGHT(Base_Bruta!C1174,2))),DATE(VALUE(RIGHT(Base_Bruta!C1174,4)),VALUE(MID(Base_Bruta!C1174,4,2)),VALUE(LEFT(Base_Bruta!C1174,2))))))</f>
        <v>46046</v>
      </c>
      <c r="D1174" s="4" t="str">
        <f aca="false">IF($A1174="","",TRIM(Base_Bruta!D1174))</f>
        <v>Rio Beat Festival 2026</v>
      </c>
      <c r="E1174" s="4" t="str">
        <f aca="false">IF($A1174="","",_xlfn.XLOOKUP(LOWER(TRIM(Base_Bruta!E1174)),DePara_Categoria!$A$2:$A$9,DePara_Categoria!$B$2:$B$9,"REVISAR"))</f>
        <v>Festival</v>
      </c>
      <c r="F1174" s="4" t="str">
        <f aca="false">IF($A1174="","",_xlfn.XLOOKUP(LOWER(TRIM(Base_Bruta!F1174)),DePara_Cidade!$A$2:$A$29,DePara_Cidade!$B$2:$B$29,"REVISAR"))</f>
        <v>Rio de Janeiro</v>
      </c>
      <c r="G1174" s="4" t="str">
        <f aca="false">IF($A1174="","",TRIM(Base_Bruta!G1174))</f>
        <v>Inteira</v>
      </c>
      <c r="H1174" s="4" t="n">
        <f aca="false">IF($A1174="","",IF(ISNUMBER(Base_Bruta!H1174),Base_Bruta!H1174,IFERROR(_xlfn.NUMBERVALUE(TRIM(SUBSTITUTE(Base_Bruta!H1174,"R$","")),",","."),0)))</f>
        <v>1</v>
      </c>
      <c r="I1174" s="6" t="n">
        <f aca="false">IF($A1174="","",IF(ISNUMBER(Base_Bruta!I1174),Base_Bruta!I1174,IFERROR(_xlfn.NUMBERVALUE(TRIM(SUBSTITUTE(Base_Bruta!I1174,"R$","")),",","."),0)))</f>
        <v>765</v>
      </c>
      <c r="J1174" s="6" t="n">
        <f aca="false">IF($A1174="","",H1174*I1174)</f>
        <v>765</v>
      </c>
      <c r="K1174" s="4" t="str">
        <f aca="false">IF($A1174="","",TRIM(Base_Bruta!J1174))</f>
        <v>App</v>
      </c>
      <c r="L1174" s="4" t="str">
        <f aca="false">IF($A1174="","",TRIM(Base_Bruta!K1174))</f>
        <v>C01982</v>
      </c>
      <c r="M1174" s="4" t="str">
        <f aca="false">IF($A1174="","",_xlfn.XLOOKUP(LOWER(TRIM(Base_Bruta!L1174)),DePara_Cidade!$A$2:$A$29,DePara_Cidade!$B$2:$B$29,"REVISAR"))</f>
        <v>Rio de Janeiro</v>
      </c>
      <c r="N1174" s="4" t="str">
        <f aca="false">IF($A1174="","",UPPER(TRIM(Base_Bruta!M1174)))</f>
        <v>RJ</v>
      </c>
      <c r="O1174" s="4" t="str">
        <f aca="false">IF($A1174="","",_xlfn.XLOOKUP(LOWER(TRIM(Base_Bruta!N1174)),DePara_Pais!$A$2:$A$9,DePara_Pais!$B$2:$B$9,"REVISAR"))</f>
        <v>Brasil</v>
      </c>
      <c r="P1174" s="4" t="str">
        <f aca="false">IF($A1174="","",IF(O1174&lt;&gt;"Brasil","Turista Internacional",IF(M1174=F1174,"Local","Turista Nacional")))</f>
        <v>Local</v>
      </c>
      <c r="Q1174" s="7" t="n">
        <f aca="false">IF($A1174="","",DATE(YEAR(B1174),MONTH(B1174),1))</f>
        <v>45962</v>
      </c>
      <c r="R1174" s="4" t="str">
        <f aca="false">IF($A1174="","",IF(COUNTIF($A$2:$A1174,$A1174)&gt;1,"Sim","Não"))</f>
        <v>Não</v>
      </c>
      <c r="S1174" s="4" t="str">
        <f aca="false">IF(A1174="","Descartar - Linha vazia",IF(R1174="Sim","Descartar - Duplicado",IF(OR(H1174&lt;=0,I1174&lt;=0),"Descartar - Qtd/Valor inválido","OK")))</f>
        <v>OK</v>
      </c>
      <c r="T1174" s="4" t="str">
        <f aca="false">Base_Bruta!P1174</f>
        <v>vendas_RJ.xlsx</v>
      </c>
    </row>
    <row r="1175" customFormat="false" ht="15" hidden="false" customHeight="false" outlineLevel="0" collapsed="false">
      <c r="A1175" s="4" t="str">
        <f aca="false">IF(Base_Bruta!A1175="","",Base_Bruta!A1175)</f>
        <v>RJ-000131</v>
      </c>
      <c r="B1175" s="5" t="n">
        <f aca="false">IF($A1175="","",IF(ISNUMBER(Base_Bruta!B1175),Base_Bruta!B1175,IF(MID(Base_Bruta!B1175,5,1)="-",DATE(VALUE(LEFT(Base_Bruta!B1175,4)),VALUE(MID(Base_Bruta!B1175,6,2)),VALUE(RIGHT(Base_Bruta!B1175,2))),DATE(VALUE(RIGHT(Base_Bruta!B1175,4)),VALUE(MID(Base_Bruta!B1175,4,2)),VALUE(LEFT(Base_Bruta!B1175,2))))))</f>
        <v>45982</v>
      </c>
      <c r="C1175" s="5" t="n">
        <f aca="false">IF($A1175="","",IF(ISNUMBER(Base_Bruta!C1175),Base_Bruta!C1175,IF(MID(Base_Bruta!C1175,5,1)="-",DATE(VALUE(LEFT(Base_Bruta!C1175,4)),VALUE(MID(Base_Bruta!C1175,6,2)),VALUE(RIGHT(Base_Bruta!C1175,2))),DATE(VALUE(RIGHT(Base_Bruta!C1175,4)),VALUE(MID(Base_Bruta!C1175,4,2)),VALUE(LEFT(Base_Bruta!C1175,2))))))</f>
        <v>46046</v>
      </c>
      <c r="D1175" s="4" t="str">
        <f aca="false">IF($A1175="","",TRIM(Base_Bruta!D1175))</f>
        <v>Rio Beat Festival 2026</v>
      </c>
      <c r="E1175" s="4" t="str">
        <f aca="false">IF($A1175="","",_xlfn.XLOOKUP(LOWER(TRIM(Base_Bruta!E1175)),DePara_Categoria!$A$2:$A$9,DePara_Categoria!$B$2:$B$9,"REVISAR"))</f>
        <v>Festival</v>
      </c>
      <c r="F1175" s="4" t="str">
        <f aca="false">IF($A1175="","",_xlfn.XLOOKUP(LOWER(TRIM(Base_Bruta!F1175)),DePara_Cidade!$A$2:$A$29,DePara_Cidade!$B$2:$B$29,"REVISAR"))</f>
        <v>Rio de Janeiro</v>
      </c>
      <c r="G1175" s="4" t="str">
        <f aca="false">IF($A1175="","",TRIM(Base_Bruta!G1175))</f>
        <v>Meia</v>
      </c>
      <c r="H1175" s="4" t="n">
        <f aca="false">IF($A1175="","",IF(ISNUMBER(Base_Bruta!H1175),Base_Bruta!H1175,IFERROR(_xlfn.NUMBERVALUE(TRIM(SUBSTITUTE(Base_Bruta!H1175,"R$","")),",","."),0)))</f>
        <v>1</v>
      </c>
      <c r="I1175" s="6" t="n">
        <f aca="false">IF($A1175="","",IF(ISNUMBER(Base_Bruta!I1175),Base_Bruta!I1175,IFERROR(_xlfn.NUMBERVALUE(TRIM(SUBSTITUTE(Base_Bruta!I1175,"R$","")),",","."),0)))</f>
        <v>430</v>
      </c>
      <c r="J1175" s="6" t="n">
        <f aca="false">IF($A1175="","",H1175*I1175)</f>
        <v>430</v>
      </c>
      <c r="K1175" s="4" t="str">
        <f aca="false">IF($A1175="","",TRIM(Base_Bruta!J1175))</f>
        <v>Site</v>
      </c>
      <c r="L1175" s="4" t="str">
        <f aca="false">IF($A1175="","",TRIM(Base_Bruta!K1175))</f>
        <v>C00490</v>
      </c>
      <c r="M1175" s="4" t="str">
        <f aca="false">IF($A1175="","",_xlfn.XLOOKUP(LOWER(TRIM(Base_Bruta!L1175)),DePara_Cidade!$A$2:$A$29,DePara_Cidade!$B$2:$B$29,"REVISAR"))</f>
        <v>Buenos Aires</v>
      </c>
      <c r="N1175" s="4" t="str">
        <f aca="false">IF($A1175="","",UPPER(TRIM(Base_Bruta!M1175)))</f>
        <v>EX</v>
      </c>
      <c r="O1175" s="4" t="str">
        <f aca="false">IF($A1175="","",_xlfn.XLOOKUP(LOWER(TRIM(Base_Bruta!N1175)),DePara_Pais!$A$2:$A$9,DePara_Pais!$B$2:$B$9,"REVISAR"))</f>
        <v>Argentina</v>
      </c>
      <c r="P1175" s="4" t="str">
        <f aca="false">IF($A1175="","",IF(O1175&lt;&gt;"Brasil","Turista Internacional",IF(M1175=F1175,"Local","Turista Nacional")))</f>
        <v>Turista Internacional</v>
      </c>
      <c r="Q1175" s="7" t="n">
        <f aca="false">IF($A1175="","",DATE(YEAR(B1175),MONTH(B1175),1))</f>
        <v>45962</v>
      </c>
      <c r="R1175" s="4" t="str">
        <f aca="false">IF($A1175="","",IF(COUNTIF($A$2:$A1175,$A1175)&gt;1,"Sim","Não"))</f>
        <v>Não</v>
      </c>
      <c r="S1175" s="4" t="str">
        <f aca="false">IF(A1175="","Descartar - Linha vazia",IF(R1175="Sim","Descartar - Duplicado",IF(OR(H1175&lt;=0,I1175&lt;=0),"Descartar - Qtd/Valor inválido","OK")))</f>
        <v>OK</v>
      </c>
      <c r="T1175" s="4" t="str">
        <f aca="false">Base_Bruta!P1175</f>
        <v>vendas_RJ.xlsx</v>
      </c>
    </row>
    <row r="1176" customFormat="false" ht="15" hidden="false" customHeight="false" outlineLevel="0" collapsed="false">
      <c r="A1176" s="4" t="str">
        <f aca="false">IF(Base_Bruta!A1176="","",Base_Bruta!A1176)</f>
        <v>RJ-000169</v>
      </c>
      <c r="B1176" s="5" t="n">
        <f aca="false">IF($A1176="","",IF(ISNUMBER(Base_Bruta!B1176),Base_Bruta!B1176,IF(MID(Base_Bruta!B1176,5,1)="-",DATE(VALUE(LEFT(Base_Bruta!B1176,4)),VALUE(MID(Base_Bruta!B1176,6,2)),VALUE(RIGHT(Base_Bruta!B1176,2))),DATE(VALUE(RIGHT(Base_Bruta!B1176,4)),VALUE(MID(Base_Bruta!B1176,4,2)),VALUE(LEFT(Base_Bruta!B1176,2))))))</f>
        <v>45982</v>
      </c>
      <c r="C1176" s="5" t="n">
        <f aca="false">IF($A1176="","",IF(ISNUMBER(Base_Bruta!C1176),Base_Bruta!C1176,IF(MID(Base_Bruta!C1176,5,1)="-",DATE(VALUE(LEFT(Base_Bruta!C1176,4)),VALUE(MID(Base_Bruta!C1176,6,2)),VALUE(RIGHT(Base_Bruta!C1176,2))),DATE(VALUE(RIGHT(Base_Bruta!C1176,4)),VALUE(MID(Base_Bruta!C1176,4,2)),VALUE(LEFT(Base_Bruta!C1176,2))))))</f>
        <v>46046</v>
      </c>
      <c r="D1176" s="4" t="str">
        <f aca="false">IF($A1176="","",TRIM(Base_Bruta!D1176))</f>
        <v>Rio Beat Festival 2026</v>
      </c>
      <c r="E1176" s="4" t="str">
        <f aca="false">IF($A1176="","",_xlfn.XLOOKUP(LOWER(TRIM(Base_Bruta!E1176)),DePara_Categoria!$A$2:$A$9,DePara_Categoria!$B$2:$B$9,"REVISAR"))</f>
        <v>Festival</v>
      </c>
      <c r="F1176" s="4" t="str">
        <f aca="false">IF($A1176="","",_xlfn.XLOOKUP(LOWER(TRIM(Base_Bruta!F1176)),DePara_Cidade!$A$2:$A$29,DePara_Cidade!$B$2:$B$29,"REVISAR"))</f>
        <v>Rio de Janeiro</v>
      </c>
      <c r="G1176" s="4" t="str">
        <f aca="false">IF($A1176="","",TRIM(Base_Bruta!G1176))</f>
        <v>Inteira</v>
      </c>
      <c r="H1176" s="4" t="n">
        <f aca="false">IF($A1176="","",IF(ISNUMBER(Base_Bruta!H1176),Base_Bruta!H1176,IFERROR(_xlfn.NUMBERVALUE(TRIM(SUBSTITUTE(Base_Bruta!H1176,"R$","")),",","."),0)))</f>
        <v>2</v>
      </c>
      <c r="I1176" s="6" t="n">
        <f aca="false">IF($A1176="","",IF(ISNUMBER(Base_Bruta!I1176),Base_Bruta!I1176,IFERROR(_xlfn.NUMBERVALUE(TRIM(SUBSTITUTE(Base_Bruta!I1176,"R$","")),",","."),0)))</f>
        <v>720</v>
      </c>
      <c r="J1176" s="6" t="n">
        <f aca="false">IF($A1176="","",H1176*I1176)</f>
        <v>1440</v>
      </c>
      <c r="K1176" s="4" t="str">
        <f aca="false">IF($A1176="","",TRIM(Base_Bruta!J1176))</f>
        <v>Site</v>
      </c>
      <c r="L1176" s="4" t="str">
        <f aca="false">IF($A1176="","",TRIM(Base_Bruta!K1176))</f>
        <v>C01946</v>
      </c>
      <c r="M1176" s="4" t="str">
        <f aca="false">IF($A1176="","",_xlfn.XLOOKUP(LOWER(TRIM(Base_Bruta!L1176)),DePara_Cidade!$A$2:$A$29,DePara_Cidade!$B$2:$B$29,"REVISAR"))</f>
        <v>Rio de Janeiro</v>
      </c>
      <c r="N1176" s="4" t="str">
        <f aca="false">IF($A1176="","",UPPER(TRIM(Base_Bruta!M1176)))</f>
        <v>RJ</v>
      </c>
      <c r="O1176" s="4" t="str">
        <f aca="false">IF($A1176="","",_xlfn.XLOOKUP(LOWER(TRIM(Base_Bruta!N1176)),DePara_Pais!$A$2:$A$9,DePara_Pais!$B$2:$B$9,"REVISAR"))</f>
        <v>Brasil</v>
      </c>
      <c r="P1176" s="4" t="str">
        <f aca="false">IF($A1176="","",IF(O1176&lt;&gt;"Brasil","Turista Internacional",IF(M1176=F1176,"Local","Turista Nacional")))</f>
        <v>Local</v>
      </c>
      <c r="Q1176" s="7" t="n">
        <f aca="false">IF($A1176="","",DATE(YEAR(B1176),MONTH(B1176),1))</f>
        <v>45962</v>
      </c>
      <c r="R1176" s="4" t="str">
        <f aca="false">IF($A1176="","",IF(COUNTIF($A$2:$A1176,$A1176)&gt;1,"Sim","Não"))</f>
        <v>Não</v>
      </c>
      <c r="S1176" s="4" t="str">
        <f aca="false">IF(A1176="","Descartar - Linha vazia",IF(R1176="Sim","Descartar - Duplicado",IF(OR(H1176&lt;=0,I1176&lt;=0),"Descartar - Qtd/Valor inválido","OK")))</f>
        <v>OK</v>
      </c>
      <c r="T1176" s="4" t="str">
        <f aca="false">Base_Bruta!P1176</f>
        <v>vendas_RJ.xlsx</v>
      </c>
    </row>
    <row r="1177" customFormat="false" ht="15" hidden="false" customHeight="false" outlineLevel="0" collapsed="false">
      <c r="A1177" s="4" t="str">
        <f aca="false">IF(Base_Bruta!A1177="","",Base_Bruta!A1177)</f>
        <v>RJ-000567</v>
      </c>
      <c r="B1177" s="5" t="n">
        <f aca="false">IF($A1177="","",IF(ISNUMBER(Base_Bruta!B1177),Base_Bruta!B1177,IF(MID(Base_Bruta!B1177,5,1)="-",DATE(VALUE(LEFT(Base_Bruta!B1177,4)),VALUE(MID(Base_Bruta!B1177,6,2)),VALUE(RIGHT(Base_Bruta!B1177,2))),DATE(VALUE(RIGHT(Base_Bruta!B1177,4)),VALUE(MID(Base_Bruta!B1177,4,2)),VALUE(LEFT(Base_Bruta!B1177,2))))))</f>
        <v>45982</v>
      </c>
      <c r="C1177" s="5" t="n">
        <f aca="false">IF($A1177="","",IF(ISNUMBER(Base_Bruta!C1177),Base_Bruta!C1177,IF(MID(Base_Bruta!C1177,5,1)="-",DATE(VALUE(LEFT(Base_Bruta!C1177,4)),VALUE(MID(Base_Bruta!C1177,6,2)),VALUE(RIGHT(Base_Bruta!C1177,2))),DATE(VALUE(RIGHT(Base_Bruta!C1177,4)),VALUE(MID(Base_Bruta!C1177,4,2)),VALUE(LEFT(Base_Bruta!C1177,2))))))</f>
        <v>45984</v>
      </c>
      <c r="D1177" s="4" t="str">
        <f aca="false">IF($A1177="","",TRIM(Base_Bruta!D1177))</f>
        <v>Cinema Barra - Sessões</v>
      </c>
      <c r="E1177" s="4" t="str">
        <f aca="false">IF($A1177="","",_xlfn.XLOOKUP(LOWER(TRIM(Base_Bruta!E1177)),DePara_Categoria!$A$2:$A$9,DePara_Categoria!$B$2:$B$9,"REVISAR"))</f>
        <v>Cinema</v>
      </c>
      <c r="F1177" s="4" t="str">
        <f aca="false">IF($A1177="","",_xlfn.XLOOKUP(LOWER(TRIM(Base_Bruta!F1177)),DePara_Cidade!$A$2:$A$29,DePara_Cidade!$B$2:$B$29,"REVISAR"))</f>
        <v>Rio de Janeiro</v>
      </c>
      <c r="G1177" s="4" t="str">
        <f aca="false">IF($A1177="","",TRIM(Base_Bruta!G1177))</f>
        <v>Inteira</v>
      </c>
      <c r="H1177" s="4" t="n">
        <f aca="false">IF($A1177="","",IF(ISNUMBER(Base_Bruta!H1177),Base_Bruta!H1177,IFERROR(_xlfn.NUMBERVALUE(TRIM(SUBSTITUTE(Base_Bruta!H1177,"R$","")),",","."),0)))</f>
        <v>2</v>
      </c>
      <c r="I1177" s="6" t="n">
        <f aca="false">IF($A1177="","",IF(ISNUMBER(Base_Bruta!I1177),Base_Bruta!I1177,IFERROR(_xlfn.NUMBERVALUE(TRIM(SUBSTITUTE(Base_Bruta!I1177,"R$","")),",","."),0)))</f>
        <v>40</v>
      </c>
      <c r="J1177" s="6" t="n">
        <f aca="false">IF($A1177="","",H1177*I1177)</f>
        <v>80</v>
      </c>
      <c r="K1177" s="4" t="str">
        <f aca="false">IF($A1177="","",TRIM(Base_Bruta!J1177))</f>
        <v>Site</v>
      </c>
      <c r="L1177" s="4" t="str">
        <f aca="false">IF($A1177="","",TRIM(Base_Bruta!K1177))</f>
        <v>C00737</v>
      </c>
      <c r="M1177" s="4" t="str">
        <f aca="false">IF($A1177="","",_xlfn.XLOOKUP(LOWER(TRIM(Base_Bruta!L1177)),DePara_Cidade!$A$2:$A$29,DePara_Cidade!$B$2:$B$29,"REVISAR"))</f>
        <v>Rio de Janeiro</v>
      </c>
      <c r="N1177" s="4" t="str">
        <f aca="false">IF($A1177="","",UPPER(TRIM(Base_Bruta!M1177)))</f>
        <v>RJ</v>
      </c>
      <c r="O1177" s="4" t="str">
        <f aca="false">IF($A1177="","",_xlfn.XLOOKUP(LOWER(TRIM(Base_Bruta!N1177)),DePara_Pais!$A$2:$A$9,DePara_Pais!$B$2:$B$9,"REVISAR"))</f>
        <v>Brasil</v>
      </c>
      <c r="P1177" s="4" t="str">
        <f aca="false">IF($A1177="","",IF(O1177&lt;&gt;"Brasil","Turista Internacional",IF(M1177=F1177,"Local","Turista Nacional")))</f>
        <v>Local</v>
      </c>
      <c r="Q1177" s="7" t="n">
        <f aca="false">IF($A1177="","",DATE(YEAR(B1177),MONTH(B1177),1))</f>
        <v>45962</v>
      </c>
      <c r="R1177" s="4" t="str">
        <f aca="false">IF($A1177="","",IF(COUNTIF($A$2:$A1177,$A1177)&gt;1,"Sim","Não"))</f>
        <v>Não</v>
      </c>
      <c r="S1177" s="4" t="str">
        <f aca="false">IF(A1177="","Descartar - Linha vazia",IF(R1177="Sim","Descartar - Duplicado",IF(OR(H1177&lt;=0,I1177&lt;=0),"Descartar - Qtd/Valor inválido","OK")))</f>
        <v>OK</v>
      </c>
      <c r="T1177" s="4" t="str">
        <f aca="false">Base_Bruta!P1177</f>
        <v>vendas_RJ.xlsx</v>
      </c>
    </row>
    <row r="1178" customFormat="false" ht="15" hidden="false" customHeight="false" outlineLevel="0" collapsed="false">
      <c r="A1178" s="4" t="str">
        <f aca="false">IF(Base_Bruta!A1178="","",Base_Bruta!A1178)</f>
        <v>RJ-000047</v>
      </c>
      <c r="B1178" s="5" t="n">
        <f aca="false">IF($A1178="","",IF(ISNUMBER(Base_Bruta!B1178),Base_Bruta!B1178,IF(MID(Base_Bruta!B1178,5,1)="-",DATE(VALUE(LEFT(Base_Bruta!B1178,4)),VALUE(MID(Base_Bruta!B1178,6,2)),VALUE(RIGHT(Base_Bruta!B1178,2))),DATE(VALUE(RIGHT(Base_Bruta!B1178,4)),VALUE(MID(Base_Bruta!B1178,4,2)),VALUE(LEFT(Base_Bruta!B1178,2))))))</f>
        <v>45983</v>
      </c>
      <c r="C1178" s="5" t="n">
        <f aca="false">IF($A1178="","",IF(ISNUMBER(Base_Bruta!C1178),Base_Bruta!C1178,IF(MID(Base_Bruta!C1178,5,1)="-",DATE(VALUE(LEFT(Base_Bruta!C1178,4)),VALUE(MID(Base_Bruta!C1178,6,2)),VALUE(RIGHT(Base_Bruta!C1178,2))),DATE(VALUE(RIGHT(Base_Bruta!C1178,4)),VALUE(MID(Base_Bruta!C1178,4,2)),VALUE(LEFT(Base_Bruta!C1178,2))))))</f>
        <v>46046</v>
      </c>
      <c r="D1178" s="4" t="str">
        <f aca="false">IF($A1178="","",TRIM(Base_Bruta!D1178))</f>
        <v>Rio Beat Festival 2026</v>
      </c>
      <c r="E1178" s="4" t="str">
        <f aca="false">IF($A1178="","",_xlfn.XLOOKUP(LOWER(TRIM(Base_Bruta!E1178)),DePara_Categoria!$A$2:$A$9,DePara_Categoria!$B$2:$B$9,"REVISAR"))</f>
        <v>Festival</v>
      </c>
      <c r="F1178" s="4" t="str">
        <f aca="false">IF($A1178="","",_xlfn.XLOOKUP(LOWER(TRIM(Base_Bruta!F1178)),DePara_Cidade!$A$2:$A$29,DePara_Cidade!$B$2:$B$29,"REVISAR"))</f>
        <v>Rio de Janeiro</v>
      </c>
      <c r="G1178" s="4" t="str">
        <f aca="false">IF($A1178="","",TRIM(Base_Bruta!G1178))</f>
        <v>Meia</v>
      </c>
      <c r="H1178" s="4" t="n">
        <f aca="false">IF($A1178="","",IF(ISNUMBER(Base_Bruta!H1178),Base_Bruta!H1178,IFERROR(_xlfn.NUMBERVALUE(TRIM(SUBSTITUTE(Base_Bruta!H1178,"R$","")),",","."),0)))</f>
        <v>3</v>
      </c>
      <c r="I1178" s="6" t="n">
        <f aca="false">IF($A1178="","",IF(ISNUMBER(Base_Bruta!I1178),Base_Bruta!I1178,IFERROR(_xlfn.NUMBERVALUE(TRIM(SUBSTITUTE(Base_Bruta!I1178,"R$","")),",","."),0)))</f>
        <v>380</v>
      </c>
      <c r="J1178" s="6" t="n">
        <f aca="false">IF($A1178="","",H1178*I1178)</f>
        <v>1140</v>
      </c>
      <c r="K1178" s="4" t="str">
        <f aca="false">IF($A1178="","",TRIM(Base_Bruta!J1178))</f>
        <v>Site</v>
      </c>
      <c r="L1178" s="4" t="str">
        <f aca="false">IF($A1178="","",TRIM(Base_Bruta!K1178))</f>
        <v>C01590</v>
      </c>
      <c r="M1178" s="4" t="str">
        <f aca="false">IF($A1178="","",_xlfn.XLOOKUP(LOWER(TRIM(Base_Bruta!L1178)),DePara_Cidade!$A$2:$A$29,DePara_Cidade!$B$2:$B$29,"REVISAR"))</f>
        <v>Belo Horizonte</v>
      </c>
      <c r="N1178" s="4" t="str">
        <f aca="false">IF($A1178="","",UPPER(TRIM(Base_Bruta!M1178)))</f>
        <v>MG</v>
      </c>
      <c r="O1178" s="4" t="str">
        <f aca="false">IF($A1178="","",_xlfn.XLOOKUP(LOWER(TRIM(Base_Bruta!N1178)),DePara_Pais!$A$2:$A$9,DePara_Pais!$B$2:$B$9,"REVISAR"))</f>
        <v>Brasil</v>
      </c>
      <c r="P1178" s="4" t="str">
        <f aca="false">IF($A1178="","",IF(O1178&lt;&gt;"Brasil","Turista Internacional",IF(M1178=F1178,"Local","Turista Nacional")))</f>
        <v>Turista Nacional</v>
      </c>
      <c r="Q1178" s="7" t="n">
        <f aca="false">IF($A1178="","",DATE(YEAR(B1178),MONTH(B1178),1))</f>
        <v>45962</v>
      </c>
      <c r="R1178" s="4" t="str">
        <f aca="false">IF($A1178="","",IF(COUNTIF($A$2:$A1178,$A1178)&gt;1,"Sim","Não"))</f>
        <v>Não</v>
      </c>
      <c r="S1178" s="4" t="str">
        <f aca="false">IF(A1178="","Descartar - Linha vazia",IF(R1178="Sim","Descartar - Duplicado",IF(OR(H1178&lt;=0,I1178&lt;=0),"Descartar - Qtd/Valor inválido","OK")))</f>
        <v>OK</v>
      </c>
      <c r="T1178" s="4" t="str">
        <f aca="false">Base_Bruta!P1178</f>
        <v>vendas_RJ.xlsx</v>
      </c>
    </row>
    <row r="1179" customFormat="false" ht="15" hidden="false" customHeight="false" outlineLevel="0" collapsed="false">
      <c r="A1179" s="4" t="str">
        <f aca="false">IF(Base_Bruta!A1179="","",Base_Bruta!A1179)</f>
        <v>RJ-000108</v>
      </c>
      <c r="B1179" s="5" t="n">
        <f aca="false">IF($A1179="","",IF(ISNUMBER(Base_Bruta!B1179),Base_Bruta!B1179,IF(MID(Base_Bruta!B1179,5,1)="-",DATE(VALUE(LEFT(Base_Bruta!B1179,4)),VALUE(MID(Base_Bruta!B1179,6,2)),VALUE(RIGHT(Base_Bruta!B1179,2))),DATE(VALUE(RIGHT(Base_Bruta!B1179,4)),VALUE(MID(Base_Bruta!B1179,4,2)),VALUE(LEFT(Base_Bruta!B1179,2))))))</f>
        <v>45983</v>
      </c>
      <c r="C1179" s="5" t="n">
        <f aca="false">IF($A1179="","",IF(ISNUMBER(Base_Bruta!C1179),Base_Bruta!C1179,IF(MID(Base_Bruta!C1179,5,1)="-",DATE(VALUE(LEFT(Base_Bruta!C1179,4)),VALUE(MID(Base_Bruta!C1179,6,2)),VALUE(RIGHT(Base_Bruta!C1179,2))),DATE(VALUE(RIGHT(Base_Bruta!C1179,4)),VALUE(MID(Base_Bruta!C1179,4,2)),VALUE(LEFT(Base_Bruta!C1179,2))))))</f>
        <v>46046</v>
      </c>
      <c r="D1179" s="4" t="str">
        <f aca="false">IF($A1179="","",TRIM(Base_Bruta!D1179))</f>
        <v>Rio Beat Festival 2026</v>
      </c>
      <c r="E1179" s="4" t="str">
        <f aca="false">IF($A1179="","",_xlfn.XLOOKUP(LOWER(TRIM(Base_Bruta!E1179)),DePara_Categoria!$A$2:$A$9,DePara_Categoria!$B$2:$B$9,"REVISAR"))</f>
        <v>Festival</v>
      </c>
      <c r="F1179" s="4" t="str">
        <f aca="false">IF($A1179="","",_xlfn.XLOOKUP(LOWER(TRIM(Base_Bruta!F1179)),DePara_Cidade!$A$2:$A$29,DePara_Cidade!$B$2:$B$29,"REVISAR"))</f>
        <v>Rio de Janeiro</v>
      </c>
      <c r="G1179" s="4" t="str">
        <f aca="false">IF($A1179="","",TRIM(Base_Bruta!G1179))</f>
        <v>Inteira</v>
      </c>
      <c r="H1179" s="4" t="n">
        <f aca="false">IF($A1179="","",IF(ISNUMBER(Base_Bruta!H1179),Base_Bruta!H1179,IFERROR(_xlfn.NUMBERVALUE(TRIM(SUBSTITUTE(Base_Bruta!H1179,"R$","")),",","."),0)))</f>
        <v>1</v>
      </c>
      <c r="I1179" s="6" t="n">
        <f aca="false">IF($A1179="","",IF(ISNUMBER(Base_Bruta!I1179),Base_Bruta!I1179,IFERROR(_xlfn.NUMBERVALUE(TRIM(SUBSTITUTE(Base_Bruta!I1179,"R$","")),",","."),0)))</f>
        <v>680</v>
      </c>
      <c r="J1179" s="6" t="n">
        <f aca="false">IF($A1179="","",H1179*I1179)</f>
        <v>680</v>
      </c>
      <c r="K1179" s="4" t="str">
        <f aca="false">IF($A1179="","",TRIM(Base_Bruta!J1179))</f>
        <v>Site</v>
      </c>
      <c r="L1179" s="4" t="str">
        <f aca="false">IF($A1179="","",TRIM(Base_Bruta!K1179))</f>
        <v>C01223</v>
      </c>
      <c r="M1179" s="4" t="str">
        <f aca="false">IF($A1179="","",_xlfn.XLOOKUP(LOWER(TRIM(Base_Bruta!L1179)),DePara_Cidade!$A$2:$A$29,DePara_Cidade!$B$2:$B$29,"REVISAR"))</f>
        <v>Miami</v>
      </c>
      <c r="N1179" s="4" t="str">
        <f aca="false">IF($A1179="","",UPPER(TRIM(Base_Bruta!M1179)))</f>
        <v>EX</v>
      </c>
      <c r="O1179" s="4" t="str">
        <f aca="false">IF($A1179="","",_xlfn.XLOOKUP(LOWER(TRIM(Base_Bruta!N1179)),DePara_Pais!$A$2:$A$9,DePara_Pais!$B$2:$B$9,"REVISAR"))</f>
        <v>EUA</v>
      </c>
      <c r="P1179" s="4" t="str">
        <f aca="false">IF($A1179="","",IF(O1179&lt;&gt;"Brasil","Turista Internacional",IF(M1179=F1179,"Local","Turista Nacional")))</f>
        <v>Turista Internacional</v>
      </c>
      <c r="Q1179" s="7" t="n">
        <f aca="false">IF($A1179="","",DATE(YEAR(B1179),MONTH(B1179),1))</f>
        <v>45962</v>
      </c>
      <c r="R1179" s="4" t="str">
        <f aca="false">IF($A1179="","",IF(COUNTIF($A$2:$A1179,$A1179)&gt;1,"Sim","Não"))</f>
        <v>Não</v>
      </c>
      <c r="S1179" s="4" t="str">
        <f aca="false">IF(A1179="","Descartar - Linha vazia",IF(R1179="Sim","Descartar - Duplicado",IF(OR(H1179&lt;=0,I1179&lt;=0),"Descartar - Qtd/Valor inválido","OK")))</f>
        <v>OK</v>
      </c>
      <c r="T1179" s="4" t="str">
        <f aca="false">Base_Bruta!P1179</f>
        <v>vendas_RJ.xlsx</v>
      </c>
    </row>
    <row r="1180" customFormat="false" ht="15" hidden="false" customHeight="false" outlineLevel="0" collapsed="false">
      <c r="A1180" s="4" t="str">
        <f aca="false">IF(Base_Bruta!A1180="","",Base_Bruta!A1180)</f>
        <v>RJ-000134</v>
      </c>
      <c r="B1180" s="5" t="n">
        <f aca="false">IF($A1180="","",IF(ISNUMBER(Base_Bruta!B1180),Base_Bruta!B1180,IF(MID(Base_Bruta!B1180,5,1)="-",DATE(VALUE(LEFT(Base_Bruta!B1180,4)),VALUE(MID(Base_Bruta!B1180,6,2)),VALUE(RIGHT(Base_Bruta!B1180,2))),DATE(VALUE(RIGHT(Base_Bruta!B1180,4)),VALUE(MID(Base_Bruta!B1180,4,2)),VALUE(LEFT(Base_Bruta!B1180,2))))))</f>
        <v>45983</v>
      </c>
      <c r="C1180" s="5" t="n">
        <f aca="false">IF($A1180="","",IF(ISNUMBER(Base_Bruta!C1180),Base_Bruta!C1180,IF(MID(Base_Bruta!C1180,5,1)="-",DATE(VALUE(LEFT(Base_Bruta!C1180,4)),VALUE(MID(Base_Bruta!C1180,6,2)),VALUE(RIGHT(Base_Bruta!C1180,2))),DATE(VALUE(RIGHT(Base_Bruta!C1180,4)),VALUE(MID(Base_Bruta!C1180,4,2)),VALUE(LEFT(Base_Bruta!C1180,2))))))</f>
        <v>46046</v>
      </c>
      <c r="D1180" s="4" t="str">
        <f aca="false">IF($A1180="","",TRIM(Base_Bruta!D1180))</f>
        <v>Rio Beat Festival 2026</v>
      </c>
      <c r="E1180" s="4" t="str">
        <f aca="false">IF($A1180="","",_xlfn.XLOOKUP(LOWER(TRIM(Base_Bruta!E1180)),DePara_Categoria!$A$2:$A$9,DePara_Categoria!$B$2:$B$9,"REVISAR"))</f>
        <v>Festival</v>
      </c>
      <c r="F1180" s="4" t="str">
        <f aca="false">IF($A1180="","",_xlfn.XLOOKUP(LOWER(TRIM(Base_Bruta!F1180)),DePara_Cidade!$A$2:$A$29,DePara_Cidade!$B$2:$B$29,"REVISAR"))</f>
        <v>Rio de Janeiro</v>
      </c>
      <c r="G1180" s="4" t="str">
        <f aca="false">IF($A1180="","",TRIM(Base_Bruta!G1180))</f>
        <v>Inteira</v>
      </c>
      <c r="H1180" s="4" t="n">
        <f aca="false">IF($A1180="","",IF(ISNUMBER(Base_Bruta!H1180),Base_Bruta!H1180,IFERROR(_xlfn.NUMBERVALUE(TRIM(SUBSTITUTE(Base_Bruta!H1180,"R$","")),",","."),0)))</f>
        <v>2</v>
      </c>
      <c r="I1180" s="6" t="n">
        <f aca="false">IF($A1180="","",IF(ISNUMBER(Base_Bruta!I1180),Base_Bruta!I1180,IFERROR(_xlfn.NUMBERVALUE(TRIM(SUBSTITUTE(Base_Bruta!I1180,"R$","")),",","."),0)))</f>
        <v>1105</v>
      </c>
      <c r="J1180" s="6" t="n">
        <f aca="false">IF($A1180="","",H1180*I1180)</f>
        <v>2210</v>
      </c>
      <c r="K1180" s="4" t="str">
        <f aca="false">IF($A1180="","",TRIM(Base_Bruta!J1180))</f>
        <v>Site</v>
      </c>
      <c r="L1180" s="4" t="str">
        <f aca="false">IF($A1180="","",TRIM(Base_Bruta!K1180))</f>
        <v>C01175</v>
      </c>
      <c r="M1180" s="4" t="str">
        <f aca="false">IF($A1180="","",_xlfn.XLOOKUP(LOWER(TRIM(Base_Bruta!L1180)),DePara_Cidade!$A$2:$A$29,DePara_Cidade!$B$2:$B$29,"REVISAR"))</f>
        <v>Niterói</v>
      </c>
      <c r="N1180" s="4" t="str">
        <f aca="false">IF($A1180="","",UPPER(TRIM(Base_Bruta!M1180)))</f>
        <v>RJ</v>
      </c>
      <c r="O1180" s="4" t="str">
        <f aca="false">IF($A1180="","",_xlfn.XLOOKUP(LOWER(TRIM(Base_Bruta!N1180)),DePara_Pais!$A$2:$A$9,DePara_Pais!$B$2:$B$9,"REVISAR"))</f>
        <v>Brasil</v>
      </c>
      <c r="P1180" s="4" t="str">
        <f aca="false">IF($A1180="","",IF(O1180&lt;&gt;"Brasil","Turista Internacional",IF(M1180=F1180,"Local","Turista Nacional")))</f>
        <v>Turista Nacional</v>
      </c>
      <c r="Q1180" s="7" t="n">
        <f aca="false">IF($A1180="","",DATE(YEAR(B1180),MONTH(B1180),1))</f>
        <v>45962</v>
      </c>
      <c r="R1180" s="4" t="str">
        <f aca="false">IF($A1180="","",IF(COUNTIF($A$2:$A1180,$A1180)&gt;1,"Sim","Não"))</f>
        <v>Não</v>
      </c>
      <c r="S1180" s="4" t="str">
        <f aca="false">IF(A1180="","Descartar - Linha vazia",IF(R1180="Sim","Descartar - Duplicado",IF(OR(H1180&lt;=0,I1180&lt;=0),"Descartar - Qtd/Valor inválido","OK")))</f>
        <v>OK</v>
      </c>
      <c r="T1180" s="4" t="str">
        <f aca="false">Base_Bruta!P1180</f>
        <v>vendas_RJ.xlsx</v>
      </c>
    </row>
    <row r="1181" customFormat="false" ht="15" hidden="false" customHeight="false" outlineLevel="0" collapsed="false">
      <c r="A1181" s="4" t="str">
        <f aca="false">IF(Base_Bruta!A1181="","",Base_Bruta!A1181)</f>
        <v>RJ-000205</v>
      </c>
      <c r="B1181" s="5" t="n">
        <f aca="false">IF($A1181="","",IF(ISNUMBER(Base_Bruta!B1181),Base_Bruta!B1181,IF(MID(Base_Bruta!B1181,5,1)="-",DATE(VALUE(LEFT(Base_Bruta!B1181,4)),VALUE(MID(Base_Bruta!B1181,6,2)),VALUE(RIGHT(Base_Bruta!B1181,2))),DATE(VALUE(RIGHT(Base_Bruta!B1181,4)),VALUE(MID(Base_Bruta!B1181,4,2)),VALUE(LEFT(Base_Bruta!B1181,2))))))</f>
        <v>45983</v>
      </c>
      <c r="C1181" s="5" t="n">
        <f aca="false">IF($A1181="","",IF(ISNUMBER(Base_Bruta!C1181),Base_Bruta!C1181,IF(MID(Base_Bruta!C1181,5,1)="-",DATE(VALUE(LEFT(Base_Bruta!C1181,4)),VALUE(MID(Base_Bruta!C1181,6,2)),VALUE(RIGHT(Base_Bruta!C1181,2))),DATE(VALUE(RIGHT(Base_Bruta!C1181,4)),VALUE(MID(Base_Bruta!C1181,4,2)),VALUE(LEFT(Base_Bruta!C1181,2))))))</f>
        <v>46046</v>
      </c>
      <c r="D1181" s="4" t="str">
        <f aca="false">IF($A1181="","",TRIM(Base_Bruta!D1181))</f>
        <v>Rio Beat Festival 2026</v>
      </c>
      <c r="E1181" s="4" t="str">
        <f aca="false">IF($A1181="","",_xlfn.XLOOKUP(LOWER(TRIM(Base_Bruta!E1181)),DePara_Categoria!$A$2:$A$9,DePara_Categoria!$B$2:$B$9,"REVISAR"))</f>
        <v>Festival</v>
      </c>
      <c r="F1181" s="4" t="str">
        <f aca="false">IF($A1181="","",_xlfn.XLOOKUP(LOWER(TRIM(Base_Bruta!F1181)),DePara_Cidade!$A$2:$A$29,DePara_Cidade!$B$2:$B$29,"REVISAR"))</f>
        <v>Rio de Janeiro</v>
      </c>
      <c r="G1181" s="4" t="str">
        <f aca="false">IF($A1181="","",TRIM(Base_Bruta!G1181))</f>
        <v>Inteira</v>
      </c>
      <c r="H1181" s="4" t="n">
        <f aca="false">IF($A1181="","",IF(ISNUMBER(Base_Bruta!H1181),Base_Bruta!H1181,IFERROR(_xlfn.NUMBERVALUE(TRIM(SUBSTITUTE(Base_Bruta!H1181,"R$","")),",","."),0)))</f>
        <v>2</v>
      </c>
      <c r="I1181" s="6" t="n">
        <f aca="false">IF($A1181="","",IF(ISNUMBER(Base_Bruta!I1181),Base_Bruta!I1181,IFERROR(_xlfn.NUMBERVALUE(TRIM(SUBSTITUTE(Base_Bruta!I1181,"R$","")),",","."),0)))</f>
        <v>1095</v>
      </c>
      <c r="J1181" s="6" t="n">
        <f aca="false">IF($A1181="","",H1181*I1181)</f>
        <v>2190</v>
      </c>
      <c r="K1181" s="4" t="str">
        <f aca="false">IF($A1181="","",TRIM(Base_Bruta!J1181))</f>
        <v>App</v>
      </c>
      <c r="L1181" s="4" t="str">
        <f aca="false">IF($A1181="","",TRIM(Base_Bruta!K1181))</f>
        <v>C01915</v>
      </c>
      <c r="M1181" s="4" t="str">
        <f aca="false">IF($A1181="","",_xlfn.XLOOKUP(LOWER(TRIM(Base_Bruta!L1181)),DePara_Cidade!$A$2:$A$29,DePara_Cidade!$B$2:$B$29,"REVISAR"))</f>
        <v>Niterói</v>
      </c>
      <c r="N1181" s="4" t="str">
        <f aca="false">IF($A1181="","",UPPER(TRIM(Base_Bruta!M1181)))</f>
        <v>RJ</v>
      </c>
      <c r="O1181" s="4" t="str">
        <f aca="false">IF($A1181="","",_xlfn.XLOOKUP(LOWER(TRIM(Base_Bruta!N1181)),DePara_Pais!$A$2:$A$9,DePara_Pais!$B$2:$B$9,"REVISAR"))</f>
        <v>Brasil</v>
      </c>
      <c r="P1181" s="4" t="str">
        <f aca="false">IF($A1181="","",IF(O1181&lt;&gt;"Brasil","Turista Internacional",IF(M1181=F1181,"Local","Turista Nacional")))</f>
        <v>Turista Nacional</v>
      </c>
      <c r="Q1181" s="7" t="n">
        <f aca="false">IF($A1181="","",DATE(YEAR(B1181),MONTH(B1181),1))</f>
        <v>45962</v>
      </c>
      <c r="R1181" s="4" t="str">
        <f aca="false">IF($A1181="","",IF(COUNTIF($A$2:$A1181,$A1181)&gt;1,"Sim","Não"))</f>
        <v>Não</v>
      </c>
      <c r="S1181" s="4" t="str">
        <f aca="false">IF(A1181="","Descartar - Linha vazia",IF(R1181="Sim","Descartar - Duplicado",IF(OR(H1181&lt;=0,I1181&lt;=0),"Descartar - Qtd/Valor inválido","OK")))</f>
        <v>OK</v>
      </c>
      <c r="T1181" s="4" t="str">
        <f aca="false">Base_Bruta!P1181</f>
        <v>vendas_RJ.xlsx</v>
      </c>
    </row>
    <row r="1182" customFormat="false" ht="15" hidden="false" customHeight="false" outlineLevel="0" collapsed="false">
      <c r="A1182" s="4" t="str">
        <f aca="false">IF(Base_Bruta!A1182="","",Base_Bruta!A1182)</f>
        <v>RJ-000570</v>
      </c>
      <c r="B1182" s="5" t="n">
        <f aca="false">IF($A1182="","",IF(ISNUMBER(Base_Bruta!B1182),Base_Bruta!B1182,IF(MID(Base_Bruta!B1182,5,1)="-",DATE(VALUE(LEFT(Base_Bruta!B1182,4)),VALUE(MID(Base_Bruta!B1182,6,2)),VALUE(RIGHT(Base_Bruta!B1182,2))),DATE(VALUE(RIGHT(Base_Bruta!B1182,4)),VALUE(MID(Base_Bruta!B1182,4,2)),VALUE(LEFT(Base_Bruta!B1182,2))))))</f>
        <v>45985</v>
      </c>
      <c r="C1182" s="5" t="n">
        <f aca="false">IF($A1182="","",IF(ISNUMBER(Base_Bruta!C1182),Base_Bruta!C1182,IF(MID(Base_Bruta!C1182,5,1)="-",DATE(VALUE(LEFT(Base_Bruta!C1182,4)),VALUE(MID(Base_Bruta!C1182,6,2)),VALUE(RIGHT(Base_Bruta!C1182,2))),DATE(VALUE(RIGHT(Base_Bruta!C1182,4)),VALUE(MID(Base_Bruta!C1182,4,2)),VALUE(LEFT(Base_Bruta!C1182,2))))))</f>
        <v>45988</v>
      </c>
      <c r="D1182" s="4" t="str">
        <f aca="false">IF($A1182="","",TRIM(Base_Bruta!D1182))</f>
        <v>Cinema Barra - Sessões</v>
      </c>
      <c r="E1182" s="4" t="str">
        <f aca="false">IF($A1182="","",_xlfn.XLOOKUP(LOWER(TRIM(Base_Bruta!E1182)),DePara_Categoria!$A$2:$A$9,DePara_Categoria!$B$2:$B$9,"REVISAR"))</f>
        <v>Cinema</v>
      </c>
      <c r="F1182" s="4" t="str">
        <f aca="false">IF($A1182="","",_xlfn.XLOOKUP(LOWER(TRIM(Base_Bruta!F1182)),DePara_Cidade!$A$2:$A$29,DePara_Cidade!$B$2:$B$29,"REVISAR"))</f>
        <v>Rio de Janeiro</v>
      </c>
      <c r="G1182" s="4" t="str">
        <f aca="false">IF($A1182="","",TRIM(Base_Bruta!G1182))</f>
        <v>Inteira</v>
      </c>
      <c r="H1182" s="4" t="n">
        <f aca="false">IF($A1182="","",IF(ISNUMBER(Base_Bruta!H1182),Base_Bruta!H1182,IFERROR(_xlfn.NUMBERVALUE(TRIM(SUBSTITUTE(Base_Bruta!H1182,"R$","")),",","."),0)))</f>
        <v>4</v>
      </c>
      <c r="I1182" s="6" t="n">
        <f aca="false">IF($A1182="","",IF(ISNUMBER(Base_Bruta!I1182),Base_Bruta!I1182,IFERROR(_xlfn.NUMBERVALUE(TRIM(SUBSTITUTE(Base_Bruta!I1182,"R$","")),",","."),0)))</f>
        <v>40</v>
      </c>
      <c r="J1182" s="6" t="n">
        <f aca="false">IF($A1182="","",H1182*I1182)</f>
        <v>160</v>
      </c>
      <c r="K1182" s="4" t="str">
        <f aca="false">IF($A1182="","",TRIM(Base_Bruta!J1182))</f>
        <v>Site</v>
      </c>
      <c r="L1182" s="4" t="str">
        <f aca="false">IF($A1182="","",TRIM(Base_Bruta!K1182))</f>
        <v>C02213</v>
      </c>
      <c r="M1182" s="4" t="str">
        <f aca="false">IF($A1182="","",_xlfn.XLOOKUP(LOWER(TRIM(Base_Bruta!L1182)),DePara_Cidade!$A$2:$A$29,DePara_Cidade!$B$2:$B$29,"REVISAR"))</f>
        <v>Rio de Janeiro</v>
      </c>
      <c r="N1182" s="4" t="str">
        <f aca="false">IF($A1182="","",UPPER(TRIM(Base_Bruta!M1182)))</f>
        <v>RJ</v>
      </c>
      <c r="O1182" s="4" t="str">
        <f aca="false">IF($A1182="","",_xlfn.XLOOKUP(LOWER(TRIM(Base_Bruta!N1182)),DePara_Pais!$A$2:$A$9,DePara_Pais!$B$2:$B$9,"REVISAR"))</f>
        <v>Brasil</v>
      </c>
      <c r="P1182" s="4" t="str">
        <f aca="false">IF($A1182="","",IF(O1182&lt;&gt;"Brasil","Turista Internacional",IF(M1182=F1182,"Local","Turista Nacional")))</f>
        <v>Local</v>
      </c>
      <c r="Q1182" s="7" t="n">
        <f aca="false">IF($A1182="","",DATE(YEAR(B1182),MONTH(B1182),1))</f>
        <v>45962</v>
      </c>
      <c r="R1182" s="4" t="str">
        <f aca="false">IF($A1182="","",IF(COUNTIF($A$2:$A1182,$A1182)&gt;1,"Sim","Não"))</f>
        <v>Não</v>
      </c>
      <c r="S1182" s="4" t="str">
        <f aca="false">IF(A1182="","Descartar - Linha vazia",IF(R1182="Sim","Descartar - Duplicado",IF(OR(H1182&lt;=0,I1182&lt;=0),"Descartar - Qtd/Valor inválido","OK")))</f>
        <v>OK</v>
      </c>
      <c r="T1182" s="4" t="str">
        <f aca="false">Base_Bruta!P1182</f>
        <v>vendas_RJ.xlsx</v>
      </c>
    </row>
    <row r="1183" customFormat="false" ht="15" hidden="false" customHeight="false" outlineLevel="0" collapsed="false">
      <c r="A1183" s="4" t="str">
        <f aca="false">IF(Base_Bruta!A1183="","",Base_Bruta!A1183)</f>
        <v>RJ-000151</v>
      </c>
      <c r="B1183" s="5" t="n">
        <f aca="false">IF($A1183="","",IF(ISNUMBER(Base_Bruta!B1183),Base_Bruta!B1183,IF(MID(Base_Bruta!B1183,5,1)="-",DATE(VALUE(LEFT(Base_Bruta!B1183,4)),VALUE(MID(Base_Bruta!B1183,6,2)),VALUE(RIGHT(Base_Bruta!B1183,2))),DATE(VALUE(RIGHT(Base_Bruta!B1183,4)),VALUE(MID(Base_Bruta!B1183,4,2)),VALUE(LEFT(Base_Bruta!B1183,2))))))</f>
        <v>45988</v>
      </c>
      <c r="C1183" s="5" t="n">
        <f aca="false">IF($A1183="","",IF(ISNUMBER(Base_Bruta!C1183),Base_Bruta!C1183,IF(MID(Base_Bruta!C1183,5,1)="-",DATE(VALUE(LEFT(Base_Bruta!C1183,4)),VALUE(MID(Base_Bruta!C1183,6,2)),VALUE(RIGHT(Base_Bruta!C1183,2))),DATE(VALUE(RIGHT(Base_Bruta!C1183,4)),VALUE(MID(Base_Bruta!C1183,4,2)),VALUE(LEFT(Base_Bruta!C1183,2))))))</f>
        <v>46046</v>
      </c>
      <c r="D1183" s="4" t="str">
        <f aca="false">IF($A1183="","",TRIM(Base_Bruta!D1183))</f>
        <v>Rio Beat Festival 2026</v>
      </c>
      <c r="E1183" s="4" t="str">
        <f aca="false">IF($A1183="","",_xlfn.XLOOKUP(LOWER(TRIM(Base_Bruta!E1183)),DePara_Categoria!$A$2:$A$9,DePara_Categoria!$B$2:$B$9,"REVISAR"))</f>
        <v>Festival</v>
      </c>
      <c r="F1183" s="4" t="str">
        <f aca="false">IF($A1183="","",_xlfn.XLOOKUP(LOWER(TRIM(Base_Bruta!F1183)),DePara_Cidade!$A$2:$A$29,DePara_Cidade!$B$2:$B$29,"REVISAR"))</f>
        <v>Rio de Janeiro</v>
      </c>
      <c r="G1183" s="4" t="str">
        <f aca="false">IF($A1183="","",TRIM(Base_Bruta!G1183))</f>
        <v>Inteira</v>
      </c>
      <c r="H1183" s="4" t="n">
        <f aca="false">IF($A1183="","",IF(ISNUMBER(Base_Bruta!H1183),Base_Bruta!H1183,IFERROR(_xlfn.NUMBERVALUE(TRIM(SUBSTITUTE(Base_Bruta!H1183,"R$","")),",","."),0)))</f>
        <v>1</v>
      </c>
      <c r="I1183" s="6" t="n">
        <f aca="false">IF($A1183="","",IF(ISNUMBER(Base_Bruta!I1183),Base_Bruta!I1183,IFERROR(_xlfn.NUMBERVALUE(TRIM(SUBSTITUTE(Base_Bruta!I1183,"R$","")),",","."),0)))</f>
        <v>665</v>
      </c>
      <c r="J1183" s="6" t="n">
        <f aca="false">IF($A1183="","",H1183*I1183)</f>
        <v>665</v>
      </c>
      <c r="K1183" s="4" t="str">
        <f aca="false">IF($A1183="","",TRIM(Base_Bruta!J1183))</f>
        <v>Bilheteria</v>
      </c>
      <c r="L1183" s="4" t="str">
        <f aca="false">IF($A1183="","",TRIM(Base_Bruta!K1183))</f>
        <v>C01245</v>
      </c>
      <c r="M1183" s="4" t="str">
        <f aca="false">IF($A1183="","",_xlfn.XLOOKUP(LOWER(TRIM(Base_Bruta!L1183)),DePara_Cidade!$A$2:$A$29,DePara_Cidade!$B$2:$B$29,"REVISAR"))</f>
        <v>Rio de Janeiro</v>
      </c>
      <c r="N1183" s="4" t="str">
        <f aca="false">IF($A1183="","",UPPER(TRIM(Base_Bruta!M1183)))</f>
        <v>RJ</v>
      </c>
      <c r="O1183" s="4" t="str">
        <f aca="false">IF($A1183="","",_xlfn.XLOOKUP(LOWER(TRIM(Base_Bruta!N1183)),DePara_Pais!$A$2:$A$9,DePara_Pais!$B$2:$B$9,"REVISAR"))</f>
        <v>Brasil</v>
      </c>
      <c r="P1183" s="4" t="str">
        <f aca="false">IF($A1183="","",IF(O1183&lt;&gt;"Brasil","Turista Internacional",IF(M1183=F1183,"Local","Turista Nacional")))</f>
        <v>Local</v>
      </c>
      <c r="Q1183" s="7" t="n">
        <f aca="false">IF($A1183="","",DATE(YEAR(B1183),MONTH(B1183),1))</f>
        <v>45962</v>
      </c>
      <c r="R1183" s="4" t="str">
        <f aca="false">IF($A1183="","",IF(COUNTIF($A$2:$A1183,$A1183)&gt;1,"Sim","Não"))</f>
        <v>Não</v>
      </c>
      <c r="S1183" s="4" t="str">
        <f aca="false">IF(A1183="","Descartar - Linha vazia",IF(R1183="Sim","Descartar - Duplicado",IF(OR(H1183&lt;=0,I1183&lt;=0),"Descartar - Qtd/Valor inválido","OK")))</f>
        <v>OK</v>
      </c>
      <c r="T1183" s="4" t="str">
        <f aca="false">Base_Bruta!P1183</f>
        <v>vendas_RJ.xlsx</v>
      </c>
    </row>
    <row r="1184" customFormat="false" ht="15" hidden="false" customHeight="false" outlineLevel="0" collapsed="false">
      <c r="A1184" s="4" t="str">
        <f aca="false">IF(Base_Bruta!A1184="","",Base_Bruta!A1184)</f>
        <v>RJ-000594</v>
      </c>
      <c r="B1184" s="5" t="n">
        <f aca="false">IF($A1184="","",IF(ISNUMBER(Base_Bruta!B1184),Base_Bruta!B1184,IF(MID(Base_Bruta!B1184,5,1)="-",DATE(VALUE(LEFT(Base_Bruta!B1184,4)),VALUE(MID(Base_Bruta!B1184,6,2)),VALUE(RIGHT(Base_Bruta!B1184,2))),DATE(VALUE(RIGHT(Base_Bruta!B1184,4)),VALUE(MID(Base_Bruta!B1184,4,2)),VALUE(LEFT(Base_Bruta!B1184,2))))))</f>
        <v>45988</v>
      </c>
      <c r="C1184" s="5" t="n">
        <f aca="false">IF($A1184="","",IF(ISNUMBER(Base_Bruta!C1184),Base_Bruta!C1184,IF(MID(Base_Bruta!C1184,5,1)="-",DATE(VALUE(LEFT(Base_Bruta!C1184,4)),VALUE(MID(Base_Bruta!C1184,6,2)),VALUE(RIGHT(Base_Bruta!C1184,2))),DATE(VALUE(RIGHT(Base_Bruta!C1184,4)),VALUE(MID(Base_Bruta!C1184,4,2)),VALUE(LEFT(Base_Bruta!C1184,2))))))</f>
        <v>45988</v>
      </c>
      <c r="D1184" s="4" t="str">
        <f aca="false">IF($A1184="","",TRIM(Base_Bruta!D1184))</f>
        <v>Cinema Barra - Sessões</v>
      </c>
      <c r="E1184" s="4" t="str">
        <f aca="false">IF($A1184="","",_xlfn.XLOOKUP(LOWER(TRIM(Base_Bruta!E1184)),DePara_Categoria!$A$2:$A$9,DePara_Categoria!$B$2:$B$9,"REVISAR"))</f>
        <v>Cinema</v>
      </c>
      <c r="F1184" s="4" t="str">
        <f aca="false">IF($A1184="","",_xlfn.XLOOKUP(LOWER(TRIM(Base_Bruta!F1184)),DePara_Cidade!$A$2:$A$29,DePara_Cidade!$B$2:$B$29,"REVISAR"))</f>
        <v>Rio de Janeiro</v>
      </c>
      <c r="G1184" s="4" t="str">
        <f aca="false">IF($A1184="","",TRIM(Base_Bruta!G1184))</f>
        <v>Inteira</v>
      </c>
      <c r="H1184" s="4" t="n">
        <f aca="false">IF($A1184="","",IF(ISNUMBER(Base_Bruta!H1184),Base_Bruta!H1184,IFERROR(_xlfn.NUMBERVALUE(TRIM(SUBSTITUTE(Base_Bruta!H1184,"R$","")),",","."),0)))</f>
        <v>3</v>
      </c>
      <c r="I1184" s="6" t="n">
        <f aca="false">IF($A1184="","",IF(ISNUMBER(Base_Bruta!I1184),Base_Bruta!I1184,IFERROR(_xlfn.NUMBERVALUE(TRIM(SUBSTITUTE(Base_Bruta!I1184,"R$","")),",","."),0)))</f>
        <v>45</v>
      </c>
      <c r="J1184" s="6" t="n">
        <f aca="false">IF($A1184="","",H1184*I1184)</f>
        <v>135</v>
      </c>
      <c r="K1184" s="4" t="str">
        <f aca="false">IF($A1184="","",TRIM(Base_Bruta!J1184))</f>
        <v>App</v>
      </c>
      <c r="L1184" s="4" t="str">
        <f aca="false">IF($A1184="","",TRIM(Base_Bruta!K1184))</f>
        <v>C01944</v>
      </c>
      <c r="M1184" s="4" t="str">
        <f aca="false">IF($A1184="","",_xlfn.XLOOKUP(LOWER(TRIM(Base_Bruta!L1184)),DePara_Cidade!$A$2:$A$29,DePara_Cidade!$B$2:$B$29,"REVISAR"))</f>
        <v>Contagem</v>
      </c>
      <c r="N1184" s="4" t="str">
        <f aca="false">IF($A1184="","",UPPER(TRIM(Base_Bruta!M1184)))</f>
        <v>MG</v>
      </c>
      <c r="O1184" s="4" t="str">
        <f aca="false">IF($A1184="","",_xlfn.XLOOKUP(LOWER(TRIM(Base_Bruta!N1184)),DePara_Pais!$A$2:$A$9,DePara_Pais!$B$2:$B$9,"REVISAR"))</f>
        <v>Brasil</v>
      </c>
      <c r="P1184" s="4" t="str">
        <f aca="false">IF($A1184="","",IF(O1184&lt;&gt;"Brasil","Turista Internacional",IF(M1184=F1184,"Local","Turista Nacional")))</f>
        <v>Turista Nacional</v>
      </c>
      <c r="Q1184" s="7" t="n">
        <f aca="false">IF($A1184="","",DATE(YEAR(B1184),MONTH(B1184),1))</f>
        <v>45962</v>
      </c>
      <c r="R1184" s="4" t="str">
        <f aca="false">IF($A1184="","",IF(COUNTIF($A$2:$A1184,$A1184)&gt;1,"Sim","Não"))</f>
        <v>Não</v>
      </c>
      <c r="S1184" s="4" t="str">
        <f aca="false">IF(A1184="","Descartar - Linha vazia",IF(R1184="Sim","Descartar - Duplicado",IF(OR(H1184&lt;=0,I1184&lt;=0),"Descartar - Qtd/Valor inválido","OK")))</f>
        <v>OK</v>
      </c>
      <c r="T1184" s="4" t="str">
        <f aca="false">Base_Bruta!P1184</f>
        <v>vendas_RJ.xlsx</v>
      </c>
    </row>
    <row r="1185" customFormat="false" ht="15" hidden="false" customHeight="false" outlineLevel="0" collapsed="false">
      <c r="A1185" s="4" t="str">
        <f aca="false">IF(Base_Bruta!A1185="","",Base_Bruta!A1185)</f>
        <v>RJ-000136</v>
      </c>
      <c r="B1185" s="5" t="n">
        <f aca="false">IF($A1185="","",IF(ISNUMBER(Base_Bruta!B1185),Base_Bruta!B1185,IF(MID(Base_Bruta!B1185,5,1)="-",DATE(VALUE(LEFT(Base_Bruta!B1185,4)),VALUE(MID(Base_Bruta!B1185,6,2)),VALUE(RIGHT(Base_Bruta!B1185,2))),DATE(VALUE(RIGHT(Base_Bruta!B1185,4)),VALUE(MID(Base_Bruta!B1185,4,2)),VALUE(LEFT(Base_Bruta!B1185,2))))))</f>
        <v>45989</v>
      </c>
      <c r="C1185" s="5" t="n">
        <f aca="false">IF($A1185="","",IF(ISNUMBER(Base_Bruta!C1185),Base_Bruta!C1185,IF(MID(Base_Bruta!C1185,5,1)="-",DATE(VALUE(LEFT(Base_Bruta!C1185,4)),VALUE(MID(Base_Bruta!C1185,6,2)),VALUE(RIGHT(Base_Bruta!C1185,2))),DATE(VALUE(RIGHT(Base_Bruta!C1185,4)),VALUE(MID(Base_Bruta!C1185,4,2)),VALUE(LEFT(Base_Bruta!C1185,2))))))</f>
        <v>46046</v>
      </c>
      <c r="D1185" s="4" t="str">
        <f aca="false">IF($A1185="","",TRIM(Base_Bruta!D1185))</f>
        <v>Rio Beat Festival 2026</v>
      </c>
      <c r="E1185" s="4" t="str">
        <f aca="false">IF($A1185="","",_xlfn.XLOOKUP(LOWER(TRIM(Base_Bruta!E1185)),DePara_Categoria!$A$2:$A$9,DePara_Categoria!$B$2:$B$9,"REVISAR"))</f>
        <v>Festival</v>
      </c>
      <c r="F1185" s="4" t="str">
        <f aca="false">IF($A1185="","",_xlfn.XLOOKUP(LOWER(TRIM(Base_Bruta!F1185)),DePara_Cidade!$A$2:$A$29,DePara_Cidade!$B$2:$B$29,"REVISAR"))</f>
        <v>Rio de Janeiro</v>
      </c>
      <c r="G1185" s="4" t="str">
        <f aca="false">IF($A1185="","",TRIM(Base_Bruta!G1185))</f>
        <v>Inteira</v>
      </c>
      <c r="H1185" s="4" t="n">
        <f aca="false">IF($A1185="","",IF(ISNUMBER(Base_Bruta!H1185),Base_Bruta!H1185,IFERROR(_xlfn.NUMBERVALUE(TRIM(SUBSTITUTE(Base_Bruta!H1185,"R$","")),",","."),0)))</f>
        <v>1</v>
      </c>
      <c r="I1185" s="6" t="n">
        <f aca="false">IF($A1185="","",IF(ISNUMBER(Base_Bruta!I1185),Base_Bruta!I1185,IFERROR(_xlfn.NUMBERVALUE(TRIM(SUBSTITUTE(Base_Bruta!I1185,"R$","")),",","."),0)))</f>
        <v>1100</v>
      </c>
      <c r="J1185" s="6" t="n">
        <f aca="false">IF($A1185="","",H1185*I1185)</f>
        <v>1100</v>
      </c>
      <c r="K1185" s="4" t="str">
        <f aca="false">IF($A1185="","",TRIM(Base_Bruta!J1185))</f>
        <v>App</v>
      </c>
      <c r="L1185" s="4" t="str">
        <f aca="false">IF($A1185="","",TRIM(Base_Bruta!K1185))</f>
        <v>C00531</v>
      </c>
      <c r="M1185" s="4" t="str">
        <f aca="false">IF($A1185="","",_xlfn.XLOOKUP(LOWER(TRIM(Base_Bruta!L1185)),DePara_Cidade!$A$2:$A$29,DePara_Cidade!$B$2:$B$29,"REVISAR"))</f>
        <v>Niterói</v>
      </c>
      <c r="N1185" s="4" t="str">
        <f aca="false">IF($A1185="","",UPPER(TRIM(Base_Bruta!M1185)))</f>
        <v>RJ</v>
      </c>
      <c r="O1185" s="4" t="str">
        <f aca="false">IF($A1185="","",_xlfn.XLOOKUP(LOWER(TRIM(Base_Bruta!N1185)),DePara_Pais!$A$2:$A$9,DePara_Pais!$B$2:$B$9,"REVISAR"))</f>
        <v>Brasil</v>
      </c>
      <c r="P1185" s="4" t="str">
        <f aca="false">IF($A1185="","",IF(O1185&lt;&gt;"Brasil","Turista Internacional",IF(M1185=F1185,"Local","Turista Nacional")))</f>
        <v>Turista Nacional</v>
      </c>
      <c r="Q1185" s="7" t="n">
        <f aca="false">IF($A1185="","",DATE(YEAR(B1185),MONTH(B1185),1))</f>
        <v>45962</v>
      </c>
      <c r="R1185" s="4" t="str">
        <f aca="false">IF($A1185="","",IF(COUNTIF($A$2:$A1185,$A1185)&gt;1,"Sim","Não"))</f>
        <v>Não</v>
      </c>
      <c r="S1185" s="4" t="str">
        <f aca="false">IF(A1185="","Descartar - Linha vazia",IF(R1185="Sim","Descartar - Duplicado",IF(OR(H1185&lt;=0,I1185&lt;=0),"Descartar - Qtd/Valor inválido","OK")))</f>
        <v>OK</v>
      </c>
      <c r="T1185" s="4" t="str">
        <f aca="false">Base_Bruta!P1185</f>
        <v>vendas_RJ.xlsx</v>
      </c>
    </row>
    <row r="1186" customFormat="false" ht="15" hidden="false" customHeight="false" outlineLevel="0" collapsed="false">
      <c r="A1186" s="4" t="str">
        <f aca="false">IF(Base_Bruta!A1186="","",Base_Bruta!A1186)</f>
        <v/>
      </c>
      <c r="B1186" s="5" t="str">
        <f aca="false">IF($A1186="","",IF(ISNUMBER(Base_Bruta!B1186),Base_Bruta!B1186,IF(MID(Base_Bruta!B1186,5,1)="-",DATE(VALUE(LEFT(Base_Bruta!B1186,4)),VALUE(MID(Base_Bruta!B1186,6,2)),VALUE(RIGHT(Base_Bruta!B1186,2))),DATE(VALUE(RIGHT(Base_Bruta!B1186,4)),VALUE(MID(Base_Bruta!B1186,4,2)),VALUE(LEFT(Base_Bruta!B1186,2))))))</f>
        <v/>
      </c>
      <c r="C1186" s="5" t="str">
        <f aca="false">IF($A1186="","",IF(ISNUMBER(Base_Bruta!C1186),Base_Bruta!C1186,IF(MID(Base_Bruta!C1186,5,1)="-",DATE(VALUE(LEFT(Base_Bruta!C1186,4)),VALUE(MID(Base_Bruta!C1186,6,2)),VALUE(RIGHT(Base_Bruta!C1186,2))),DATE(VALUE(RIGHT(Base_Bruta!C1186,4)),VALUE(MID(Base_Bruta!C1186,4,2)),VALUE(LEFT(Base_Bruta!C1186,2))))))</f>
        <v/>
      </c>
      <c r="D1186" s="4" t="str">
        <f aca="false">IF($A1186="","",TRIM(Base_Bruta!D1186))</f>
        <v/>
      </c>
      <c r="E1186" s="4" t="str">
        <f aca="false">IF($A1186="","",_xlfn.XLOOKUP(LOWER(TRIM(Base_Bruta!E1186)),DePara_Categoria!$A$2:$A$9,DePara_Categoria!$B$2:$B$9,"REVISAR"))</f>
        <v/>
      </c>
      <c r="F1186" s="4" t="str">
        <f aca="false">IF($A1186="","",_xlfn.XLOOKUP(LOWER(TRIM(Base_Bruta!F1186)),DePara_Cidade!$A$2:$A$29,DePara_Cidade!$B$2:$B$29,"REVISAR"))</f>
        <v/>
      </c>
      <c r="G1186" s="4" t="str">
        <f aca="false">IF($A1186="","",TRIM(Base_Bruta!G1186))</f>
        <v/>
      </c>
      <c r="H1186" s="4" t="str">
        <f aca="false">IF($A1186="","",IF(ISNUMBER(Base_Bruta!H1186),Base_Bruta!H1186,IFERROR(_xlfn.NUMBERVALUE(TRIM(SUBSTITUTE(Base_Bruta!H1186,"R$","")),",","."),0)))</f>
        <v/>
      </c>
      <c r="I1186" s="6" t="str">
        <f aca="false">IF($A1186="","",IF(ISNUMBER(Base_Bruta!I1186),Base_Bruta!I1186,IFERROR(_xlfn.NUMBERVALUE(TRIM(SUBSTITUTE(Base_Bruta!I1186,"R$","")),",","."),0)))</f>
        <v/>
      </c>
      <c r="J1186" s="6" t="str">
        <f aca="false">IF($A1186="","",H1186*I1186)</f>
        <v/>
      </c>
      <c r="K1186" s="4" t="str">
        <f aca="false">IF($A1186="","",TRIM(Base_Bruta!J1186))</f>
        <v/>
      </c>
      <c r="L1186" s="4" t="str">
        <f aca="false">IF($A1186="","",TRIM(Base_Bruta!K1186))</f>
        <v/>
      </c>
      <c r="M1186" s="4" t="str">
        <f aca="false">IF($A1186="","",_xlfn.XLOOKUP(LOWER(TRIM(Base_Bruta!L1186)),DePara_Cidade!$A$2:$A$29,DePara_Cidade!$B$2:$B$29,"REVISAR"))</f>
        <v/>
      </c>
      <c r="N1186" s="4" t="str">
        <f aca="false">IF($A1186="","",UPPER(TRIM(Base_Bruta!M1186)))</f>
        <v/>
      </c>
      <c r="O1186" s="4" t="str">
        <f aca="false">IF($A1186="","",_xlfn.XLOOKUP(LOWER(TRIM(Base_Bruta!N1186)),DePara_Pais!$A$2:$A$9,DePara_Pais!$B$2:$B$9,"REVISAR"))</f>
        <v/>
      </c>
      <c r="P1186" s="4" t="str">
        <f aca="false">IF($A1186="","",IF(O1186&lt;&gt;"Brasil","Turista Internacional",IF(M1186=F1186,"Local","Turista Nacional")))</f>
        <v/>
      </c>
      <c r="Q1186" s="7" t="str">
        <f aca="false">IF($A1186="","",DATE(YEAR(B1186),MONTH(B1186),1))</f>
        <v/>
      </c>
      <c r="R1186" s="4" t="str">
        <f aca="false">IF($A1186="","",IF(COUNTIF($A$2:$A1186,$A1186)&gt;1,"Sim","Não"))</f>
        <v/>
      </c>
      <c r="S1186" s="4" t="str">
        <f aca="false">IF(A1186="","Descartar - Linha vazia",IF(R1186="Sim","Descartar - Duplicado",IF(OR(H1186&lt;=0,I1186&lt;=0),"Descartar - Qtd/Valor inválido","OK")))</f>
        <v>Descartar - Linha vazia</v>
      </c>
      <c r="T1186" s="4" t="str">
        <f aca="false">Base_Bruta!P1186</f>
        <v>vendas_RJ.xlsx</v>
      </c>
    </row>
    <row r="1187" customFormat="false" ht="15" hidden="false" customHeight="false" outlineLevel="0" collapsed="false">
      <c r="A1187" s="4" t="str">
        <f aca="false">IF(Base_Bruta!A1187="","",Base_Bruta!A1187)</f>
        <v>RJ-000080</v>
      </c>
      <c r="B1187" s="5" t="n">
        <f aca="false">IF($A1187="","",IF(ISNUMBER(Base_Bruta!B1187),Base_Bruta!B1187,IF(MID(Base_Bruta!B1187,5,1)="-",DATE(VALUE(LEFT(Base_Bruta!B1187,4)),VALUE(MID(Base_Bruta!B1187,6,2)),VALUE(RIGHT(Base_Bruta!B1187,2))),DATE(VALUE(RIGHT(Base_Bruta!B1187,4)),VALUE(MID(Base_Bruta!B1187,4,2)),VALUE(LEFT(Base_Bruta!B1187,2))))))</f>
        <v>45991</v>
      </c>
      <c r="C1187" s="5" t="n">
        <f aca="false">IF($A1187="","",IF(ISNUMBER(Base_Bruta!C1187),Base_Bruta!C1187,IF(MID(Base_Bruta!C1187,5,1)="-",DATE(VALUE(LEFT(Base_Bruta!C1187,4)),VALUE(MID(Base_Bruta!C1187,6,2)),VALUE(RIGHT(Base_Bruta!C1187,2))),DATE(VALUE(RIGHT(Base_Bruta!C1187,4)),VALUE(MID(Base_Bruta!C1187,4,2)),VALUE(LEFT(Base_Bruta!C1187,2))))))</f>
        <v>46046</v>
      </c>
      <c r="D1187" s="4" t="str">
        <f aca="false">IF($A1187="","",TRIM(Base_Bruta!D1187))</f>
        <v>Rio Beat Festival 2026</v>
      </c>
      <c r="E1187" s="4" t="str">
        <f aca="false">IF($A1187="","",_xlfn.XLOOKUP(LOWER(TRIM(Base_Bruta!E1187)),DePara_Categoria!$A$2:$A$9,DePara_Categoria!$B$2:$B$9,"REVISAR"))</f>
        <v>Festival</v>
      </c>
      <c r="F1187" s="4" t="str">
        <f aca="false">IF($A1187="","",_xlfn.XLOOKUP(LOWER(TRIM(Base_Bruta!F1187)),DePara_Cidade!$A$2:$A$29,DePara_Cidade!$B$2:$B$29,"REVISAR"))</f>
        <v>Rio de Janeiro</v>
      </c>
      <c r="G1187" s="4" t="str">
        <f aca="false">IF($A1187="","",TRIM(Base_Bruta!G1187))</f>
        <v>Inteira</v>
      </c>
      <c r="H1187" s="4" t="n">
        <f aca="false">IF($A1187="","",IF(ISNUMBER(Base_Bruta!H1187),Base_Bruta!H1187,IFERROR(_xlfn.NUMBERVALUE(TRIM(SUBSTITUTE(Base_Bruta!H1187,"R$","")),",","."),0)))</f>
        <v>1</v>
      </c>
      <c r="I1187" s="6" t="n">
        <f aca="false">IF($A1187="","",IF(ISNUMBER(Base_Bruta!I1187),Base_Bruta!I1187,IFERROR(_xlfn.NUMBERVALUE(TRIM(SUBSTITUTE(Base_Bruta!I1187,"R$","")),",","."),0)))</f>
        <v>1090</v>
      </c>
      <c r="J1187" s="6" t="n">
        <f aca="false">IF($A1187="","",H1187*I1187)</f>
        <v>1090</v>
      </c>
      <c r="K1187" s="4" t="str">
        <f aca="false">IF($A1187="","",TRIM(Base_Bruta!J1187))</f>
        <v>App</v>
      </c>
      <c r="L1187" s="4" t="str">
        <f aca="false">IF($A1187="","",TRIM(Base_Bruta!K1187))</f>
        <v>C01082</v>
      </c>
      <c r="M1187" s="4" t="str">
        <f aca="false">IF($A1187="","",_xlfn.XLOOKUP(LOWER(TRIM(Base_Bruta!L1187)),DePara_Cidade!$A$2:$A$29,DePara_Cidade!$B$2:$B$29,"REVISAR"))</f>
        <v>Rio de Janeiro</v>
      </c>
      <c r="N1187" s="4" t="str">
        <f aca="false">IF($A1187="","",UPPER(TRIM(Base_Bruta!M1187)))</f>
        <v>RJ</v>
      </c>
      <c r="O1187" s="4" t="str">
        <f aca="false">IF($A1187="","",_xlfn.XLOOKUP(LOWER(TRIM(Base_Bruta!N1187)),DePara_Pais!$A$2:$A$9,DePara_Pais!$B$2:$B$9,"REVISAR"))</f>
        <v>Brasil</v>
      </c>
      <c r="P1187" s="4" t="str">
        <f aca="false">IF($A1187="","",IF(O1187&lt;&gt;"Brasil","Turista Internacional",IF(M1187=F1187,"Local","Turista Nacional")))</f>
        <v>Local</v>
      </c>
      <c r="Q1187" s="7" t="n">
        <f aca="false">IF($A1187="","",DATE(YEAR(B1187),MONTH(B1187),1))</f>
        <v>45962</v>
      </c>
      <c r="R1187" s="4" t="str">
        <f aca="false">IF($A1187="","",IF(COUNTIF($A$2:$A1187,$A1187)&gt;1,"Sim","Não"))</f>
        <v>Não</v>
      </c>
      <c r="S1187" s="4" t="str">
        <f aca="false">IF(A1187="","Descartar - Linha vazia",IF(R1187="Sim","Descartar - Duplicado",IF(OR(H1187&lt;=0,I1187&lt;=0),"Descartar - Qtd/Valor inválido","OK")))</f>
        <v>OK</v>
      </c>
      <c r="T1187" s="4" t="str">
        <f aca="false">Base_Bruta!P1187</f>
        <v>vendas_RJ.xlsx</v>
      </c>
    </row>
    <row r="1188" customFormat="false" ht="15" hidden="false" customHeight="false" outlineLevel="0" collapsed="false">
      <c r="A1188" s="4" t="str">
        <f aca="false">IF(Base_Bruta!A1188="","",Base_Bruta!A1188)</f>
        <v>RJ-000083</v>
      </c>
      <c r="B1188" s="5" t="n">
        <f aca="false">IF($A1188="","",IF(ISNUMBER(Base_Bruta!B1188),Base_Bruta!B1188,IF(MID(Base_Bruta!B1188,5,1)="-",DATE(VALUE(LEFT(Base_Bruta!B1188,4)),VALUE(MID(Base_Bruta!B1188,6,2)),VALUE(RIGHT(Base_Bruta!B1188,2))),DATE(VALUE(RIGHT(Base_Bruta!B1188,4)),VALUE(MID(Base_Bruta!B1188,4,2)),VALUE(LEFT(Base_Bruta!B1188,2))))))</f>
        <v>45993</v>
      </c>
      <c r="C1188" s="5" t="n">
        <f aca="false">IF($A1188="","",IF(ISNUMBER(Base_Bruta!C1188),Base_Bruta!C1188,IF(MID(Base_Bruta!C1188,5,1)="-",DATE(VALUE(LEFT(Base_Bruta!C1188,4)),VALUE(MID(Base_Bruta!C1188,6,2)),VALUE(RIGHT(Base_Bruta!C1188,2))),DATE(VALUE(RIGHT(Base_Bruta!C1188,4)),VALUE(MID(Base_Bruta!C1188,4,2)),VALUE(LEFT(Base_Bruta!C1188,2))))))</f>
        <v>46046</v>
      </c>
      <c r="D1188" s="4" t="str">
        <f aca="false">IF($A1188="","",TRIM(Base_Bruta!D1188))</f>
        <v>Rio Beat Festival 2026</v>
      </c>
      <c r="E1188" s="4" t="str">
        <f aca="false">IF($A1188="","",_xlfn.XLOOKUP(LOWER(TRIM(Base_Bruta!E1188)),DePara_Categoria!$A$2:$A$9,DePara_Categoria!$B$2:$B$9,"REVISAR"))</f>
        <v>Festival</v>
      </c>
      <c r="F1188" s="4" t="str">
        <f aca="false">IF($A1188="","",_xlfn.XLOOKUP(LOWER(TRIM(Base_Bruta!F1188)),DePara_Cidade!$A$2:$A$29,DePara_Cidade!$B$2:$B$29,"REVISAR"))</f>
        <v>Rio de Janeiro</v>
      </c>
      <c r="G1188" s="4" t="str">
        <f aca="false">IF($A1188="","",TRIM(Base_Bruta!G1188))</f>
        <v>Inteira</v>
      </c>
      <c r="H1188" s="4" t="n">
        <f aca="false">IF($A1188="","",IF(ISNUMBER(Base_Bruta!H1188),Base_Bruta!H1188,IFERROR(_xlfn.NUMBERVALUE(TRIM(SUBSTITUTE(Base_Bruta!H1188,"R$","")),",","."),0)))</f>
        <v>2</v>
      </c>
      <c r="I1188" s="6" t="n">
        <f aca="false">IF($A1188="","",IF(ISNUMBER(Base_Bruta!I1188),Base_Bruta!I1188,IFERROR(_xlfn.NUMBERVALUE(TRIM(SUBSTITUTE(Base_Bruta!I1188,"R$","")),",","."),0)))</f>
        <v>1075</v>
      </c>
      <c r="J1188" s="6" t="n">
        <f aca="false">IF($A1188="","",H1188*I1188)</f>
        <v>2150</v>
      </c>
      <c r="K1188" s="4" t="str">
        <f aca="false">IF($A1188="","",TRIM(Base_Bruta!J1188))</f>
        <v>Site</v>
      </c>
      <c r="L1188" s="4" t="str">
        <f aca="false">IF($A1188="","",TRIM(Base_Bruta!K1188))</f>
        <v>C01596</v>
      </c>
      <c r="M1188" s="4" t="str">
        <f aca="false">IF($A1188="","",_xlfn.XLOOKUP(LOWER(TRIM(Base_Bruta!L1188)),DePara_Cidade!$A$2:$A$29,DePara_Cidade!$B$2:$B$29,"REVISAR"))</f>
        <v>Buenos Aires</v>
      </c>
      <c r="N1188" s="4" t="str">
        <f aca="false">IF($A1188="","",UPPER(TRIM(Base_Bruta!M1188)))</f>
        <v>EX</v>
      </c>
      <c r="O1188" s="4" t="str">
        <f aca="false">IF($A1188="","",_xlfn.XLOOKUP(LOWER(TRIM(Base_Bruta!N1188)),DePara_Pais!$A$2:$A$9,DePara_Pais!$B$2:$B$9,"REVISAR"))</f>
        <v>Argentina</v>
      </c>
      <c r="P1188" s="4" t="str">
        <f aca="false">IF($A1188="","",IF(O1188&lt;&gt;"Brasil","Turista Internacional",IF(M1188=F1188,"Local","Turista Nacional")))</f>
        <v>Turista Internacional</v>
      </c>
      <c r="Q1188" s="7" t="n">
        <f aca="false">IF($A1188="","",DATE(YEAR(B1188),MONTH(B1188),1))</f>
        <v>45992</v>
      </c>
      <c r="R1188" s="4" t="str">
        <f aca="false">IF($A1188="","",IF(COUNTIF($A$2:$A1188,$A1188)&gt;1,"Sim","Não"))</f>
        <v>Não</v>
      </c>
      <c r="S1188" s="4" t="str">
        <f aca="false">IF(A1188="","Descartar - Linha vazia",IF(R1188="Sim","Descartar - Duplicado",IF(OR(H1188&lt;=0,I1188&lt;=0),"Descartar - Qtd/Valor inválido","OK")))</f>
        <v>OK</v>
      </c>
      <c r="T1188" s="4" t="str">
        <f aca="false">Base_Bruta!P1188</f>
        <v>vendas_RJ.xlsx</v>
      </c>
    </row>
    <row r="1189" customFormat="false" ht="15" hidden="false" customHeight="false" outlineLevel="0" collapsed="false">
      <c r="A1189" s="4" t="str">
        <f aca="false">IF(Base_Bruta!A1189="","",Base_Bruta!A1189)</f>
        <v>RJ-000211</v>
      </c>
      <c r="B1189" s="5" t="n">
        <f aca="false">IF($A1189="","",IF(ISNUMBER(Base_Bruta!B1189),Base_Bruta!B1189,IF(MID(Base_Bruta!B1189,5,1)="-",DATE(VALUE(LEFT(Base_Bruta!B1189,4)),VALUE(MID(Base_Bruta!B1189,6,2)),VALUE(RIGHT(Base_Bruta!B1189,2))),DATE(VALUE(RIGHT(Base_Bruta!B1189,4)),VALUE(MID(Base_Bruta!B1189,4,2)),VALUE(LEFT(Base_Bruta!B1189,2))))))</f>
        <v>45994</v>
      </c>
      <c r="C1189" s="5" t="n">
        <f aca="false">IF($A1189="","",IF(ISNUMBER(Base_Bruta!C1189),Base_Bruta!C1189,IF(MID(Base_Bruta!C1189,5,1)="-",DATE(VALUE(LEFT(Base_Bruta!C1189,4)),VALUE(MID(Base_Bruta!C1189,6,2)),VALUE(RIGHT(Base_Bruta!C1189,2))),DATE(VALUE(RIGHT(Base_Bruta!C1189,4)),VALUE(MID(Base_Bruta!C1189,4,2)),VALUE(LEFT(Base_Bruta!C1189,2))))))</f>
        <v>46046</v>
      </c>
      <c r="D1189" s="4" t="str">
        <f aca="false">IF($A1189="","",TRIM(Base_Bruta!D1189))</f>
        <v>Rio Beat Festival 2026</v>
      </c>
      <c r="E1189" s="4" t="str">
        <f aca="false">IF($A1189="","",_xlfn.XLOOKUP(LOWER(TRIM(Base_Bruta!E1189)),DePara_Categoria!$A$2:$A$9,DePara_Categoria!$B$2:$B$9,"REVISAR"))</f>
        <v>Festival</v>
      </c>
      <c r="F1189" s="4" t="str">
        <f aca="false">IF($A1189="","",_xlfn.XLOOKUP(LOWER(TRIM(Base_Bruta!F1189)),DePara_Cidade!$A$2:$A$29,DePara_Cidade!$B$2:$B$29,"REVISAR"))</f>
        <v>Rio de Janeiro</v>
      </c>
      <c r="G1189" s="4" t="str">
        <f aca="false">IF($A1189="","",TRIM(Base_Bruta!G1189))</f>
        <v>Inteira</v>
      </c>
      <c r="H1189" s="4" t="n">
        <f aca="false">IF($A1189="","",IF(ISNUMBER(Base_Bruta!H1189),Base_Bruta!H1189,IFERROR(_xlfn.NUMBERVALUE(TRIM(SUBSTITUTE(Base_Bruta!H1189,"R$","")),",","."),0)))</f>
        <v>2</v>
      </c>
      <c r="I1189" s="6" t="n">
        <f aca="false">IF($A1189="","",IF(ISNUMBER(Base_Bruta!I1189),Base_Bruta!I1189,IFERROR(_xlfn.NUMBERVALUE(TRIM(SUBSTITUTE(Base_Bruta!I1189,"R$","")),",","."),0)))</f>
        <v>865</v>
      </c>
      <c r="J1189" s="6" t="n">
        <f aca="false">IF($A1189="","",H1189*I1189)</f>
        <v>1730</v>
      </c>
      <c r="K1189" s="4" t="str">
        <f aca="false">IF($A1189="","",TRIM(Base_Bruta!J1189))</f>
        <v>App</v>
      </c>
      <c r="L1189" s="4" t="str">
        <f aca="false">IF($A1189="","",TRIM(Base_Bruta!K1189))</f>
        <v>C01717</v>
      </c>
      <c r="M1189" s="4" t="str">
        <f aca="false">IF($A1189="","",_xlfn.XLOOKUP(LOWER(TRIM(Base_Bruta!L1189)),DePara_Cidade!$A$2:$A$29,DePara_Cidade!$B$2:$B$29,"REVISAR"))</f>
        <v>Rio de Janeiro</v>
      </c>
      <c r="N1189" s="4" t="str">
        <f aca="false">IF($A1189="","",UPPER(TRIM(Base_Bruta!M1189)))</f>
        <v>RJ</v>
      </c>
      <c r="O1189" s="4" t="str">
        <f aca="false">IF($A1189="","",_xlfn.XLOOKUP(LOWER(TRIM(Base_Bruta!N1189)),DePara_Pais!$A$2:$A$9,DePara_Pais!$B$2:$B$9,"REVISAR"))</f>
        <v>Brasil</v>
      </c>
      <c r="P1189" s="4" t="str">
        <f aca="false">IF($A1189="","",IF(O1189&lt;&gt;"Brasil","Turista Internacional",IF(M1189=F1189,"Local","Turista Nacional")))</f>
        <v>Local</v>
      </c>
      <c r="Q1189" s="7" t="n">
        <f aca="false">IF($A1189="","",DATE(YEAR(B1189),MONTH(B1189),1))</f>
        <v>45992</v>
      </c>
      <c r="R1189" s="4" t="str">
        <f aca="false">IF($A1189="","",IF(COUNTIF($A$2:$A1189,$A1189)&gt;1,"Sim","Não"))</f>
        <v>Não</v>
      </c>
      <c r="S1189" s="4" t="str">
        <f aca="false">IF(A1189="","Descartar - Linha vazia",IF(R1189="Sim","Descartar - Duplicado",IF(OR(H1189&lt;=0,I1189&lt;=0),"Descartar - Qtd/Valor inválido","OK")))</f>
        <v>OK</v>
      </c>
      <c r="T1189" s="4" t="str">
        <f aca="false">Base_Bruta!P1189</f>
        <v>vendas_RJ.xlsx</v>
      </c>
    </row>
    <row r="1190" customFormat="false" ht="15" hidden="false" customHeight="false" outlineLevel="0" collapsed="false">
      <c r="A1190" s="4" t="str">
        <f aca="false">IF(Base_Bruta!A1190="","",Base_Bruta!A1190)</f>
        <v>RJ-000586</v>
      </c>
      <c r="B1190" s="5" t="n">
        <f aca="false">IF($A1190="","",IF(ISNUMBER(Base_Bruta!B1190),Base_Bruta!B1190,IF(MID(Base_Bruta!B1190,5,1)="-",DATE(VALUE(LEFT(Base_Bruta!B1190,4)),VALUE(MID(Base_Bruta!B1190,6,2)),VALUE(RIGHT(Base_Bruta!B1190,2))),DATE(VALUE(RIGHT(Base_Bruta!B1190,4)),VALUE(MID(Base_Bruta!B1190,4,2)),VALUE(LEFT(Base_Bruta!B1190,2))))))</f>
        <v>45996</v>
      </c>
      <c r="C1190" s="5" t="n">
        <f aca="false">IF($A1190="","",IF(ISNUMBER(Base_Bruta!C1190),Base_Bruta!C1190,IF(MID(Base_Bruta!C1190,5,1)="-",DATE(VALUE(LEFT(Base_Bruta!C1190,4)),VALUE(MID(Base_Bruta!C1190,6,2)),VALUE(RIGHT(Base_Bruta!C1190,2))),DATE(VALUE(RIGHT(Base_Bruta!C1190,4)),VALUE(MID(Base_Bruta!C1190,4,2)),VALUE(LEFT(Base_Bruta!C1190,2))))))</f>
        <v>45996</v>
      </c>
      <c r="D1190" s="4" t="str">
        <f aca="false">IF($A1190="","",TRIM(Base_Bruta!D1190))</f>
        <v>Cinema Barra - Sessões</v>
      </c>
      <c r="E1190" s="4" t="str">
        <f aca="false">IF($A1190="","",_xlfn.XLOOKUP(LOWER(TRIM(Base_Bruta!E1190)),DePara_Categoria!$A$2:$A$9,DePara_Categoria!$B$2:$B$9,"REVISAR"))</f>
        <v>Cinema</v>
      </c>
      <c r="F1190" s="4" t="str">
        <f aca="false">IF($A1190="","",_xlfn.XLOOKUP(LOWER(TRIM(Base_Bruta!F1190)),DePara_Cidade!$A$2:$A$29,DePara_Cidade!$B$2:$B$29,"REVISAR"))</f>
        <v>Rio de Janeiro</v>
      </c>
      <c r="G1190" s="4" t="str">
        <f aca="false">IF($A1190="","",TRIM(Base_Bruta!G1190))</f>
        <v>Meia</v>
      </c>
      <c r="H1190" s="4" t="n">
        <f aca="false">IF($A1190="","",IF(ISNUMBER(Base_Bruta!H1190),Base_Bruta!H1190,IFERROR(_xlfn.NUMBERVALUE(TRIM(SUBSTITUTE(Base_Bruta!H1190,"R$","")),",","."),0)))</f>
        <v>1</v>
      </c>
      <c r="I1190" s="6" t="n">
        <f aca="false">IF($A1190="","",IF(ISNUMBER(Base_Bruta!I1190),Base_Bruta!I1190,IFERROR(_xlfn.NUMBERVALUE(TRIM(SUBSTITUTE(Base_Bruta!I1190,"R$","")),",","."),0)))</f>
        <v>17.5</v>
      </c>
      <c r="J1190" s="6" t="n">
        <f aca="false">IF($A1190="","",H1190*I1190)</f>
        <v>17.5</v>
      </c>
      <c r="K1190" s="4" t="str">
        <f aca="false">IF($A1190="","",TRIM(Base_Bruta!J1190))</f>
        <v>App</v>
      </c>
      <c r="L1190" s="4" t="str">
        <f aca="false">IF($A1190="","",TRIM(Base_Bruta!K1190))</f>
        <v>C00099</v>
      </c>
      <c r="M1190" s="4" t="str">
        <f aca="false">IF($A1190="","",_xlfn.XLOOKUP(LOWER(TRIM(Base_Bruta!L1190)),DePara_Cidade!$A$2:$A$29,DePara_Cidade!$B$2:$B$29,"REVISAR"))</f>
        <v>Rio de Janeiro</v>
      </c>
      <c r="N1190" s="4" t="str">
        <f aca="false">IF($A1190="","",UPPER(TRIM(Base_Bruta!M1190)))</f>
        <v>RJ</v>
      </c>
      <c r="O1190" s="4" t="str">
        <f aca="false">IF($A1190="","",_xlfn.XLOOKUP(LOWER(TRIM(Base_Bruta!N1190)),DePara_Pais!$A$2:$A$9,DePara_Pais!$B$2:$B$9,"REVISAR"))</f>
        <v>Brasil</v>
      </c>
      <c r="P1190" s="4" t="str">
        <f aca="false">IF($A1190="","",IF(O1190&lt;&gt;"Brasil","Turista Internacional",IF(M1190=F1190,"Local","Turista Nacional")))</f>
        <v>Local</v>
      </c>
      <c r="Q1190" s="7" t="n">
        <f aca="false">IF($A1190="","",DATE(YEAR(B1190),MONTH(B1190),1))</f>
        <v>45992</v>
      </c>
      <c r="R1190" s="4" t="str">
        <f aca="false">IF($A1190="","",IF(COUNTIF($A$2:$A1190,$A1190)&gt;1,"Sim","Não"))</f>
        <v>Não</v>
      </c>
      <c r="S1190" s="4" t="str">
        <f aca="false">IF(A1190="","Descartar - Linha vazia",IF(R1190="Sim","Descartar - Duplicado",IF(OR(H1190&lt;=0,I1190&lt;=0),"Descartar - Qtd/Valor inválido","OK")))</f>
        <v>OK</v>
      </c>
      <c r="T1190" s="4" t="str">
        <f aca="false">Base_Bruta!P1190</f>
        <v>vendas_RJ.xlsx</v>
      </c>
    </row>
    <row r="1191" customFormat="false" ht="15" hidden="false" customHeight="false" outlineLevel="0" collapsed="false">
      <c r="A1191" s="4" t="str">
        <f aca="false">IF(Base_Bruta!A1191="","",Base_Bruta!A1191)</f>
        <v>RJ-000589</v>
      </c>
      <c r="B1191" s="5" t="n">
        <f aca="false">IF($A1191="","",IF(ISNUMBER(Base_Bruta!B1191),Base_Bruta!B1191,IF(MID(Base_Bruta!B1191,5,1)="-",DATE(VALUE(LEFT(Base_Bruta!B1191,4)),VALUE(MID(Base_Bruta!B1191,6,2)),VALUE(RIGHT(Base_Bruta!B1191,2))),DATE(VALUE(RIGHT(Base_Bruta!B1191,4)),VALUE(MID(Base_Bruta!B1191,4,2)),VALUE(LEFT(Base_Bruta!B1191,2))))))</f>
        <v>45996</v>
      </c>
      <c r="C1191" s="5" t="n">
        <f aca="false">IF($A1191="","",IF(ISNUMBER(Base_Bruta!C1191),Base_Bruta!C1191,IF(MID(Base_Bruta!C1191,5,1)="-",DATE(VALUE(LEFT(Base_Bruta!C1191,4)),VALUE(MID(Base_Bruta!C1191,6,2)),VALUE(RIGHT(Base_Bruta!C1191,2))),DATE(VALUE(RIGHT(Base_Bruta!C1191,4)),VALUE(MID(Base_Bruta!C1191,4,2)),VALUE(LEFT(Base_Bruta!C1191,2))))))</f>
        <v>45999</v>
      </c>
      <c r="D1191" s="4" t="str">
        <f aca="false">IF($A1191="","",TRIM(Base_Bruta!D1191))</f>
        <v>Cinema Barra - Sessões</v>
      </c>
      <c r="E1191" s="4" t="str">
        <f aca="false">IF($A1191="","",_xlfn.XLOOKUP(LOWER(TRIM(Base_Bruta!E1191)),DePara_Categoria!$A$2:$A$9,DePara_Categoria!$B$2:$B$9,"REVISAR"))</f>
        <v>Cinema</v>
      </c>
      <c r="F1191" s="4" t="str">
        <f aca="false">IF($A1191="","",_xlfn.XLOOKUP(LOWER(TRIM(Base_Bruta!F1191)),DePara_Cidade!$A$2:$A$29,DePara_Cidade!$B$2:$B$29,"REVISAR"))</f>
        <v>Rio de Janeiro</v>
      </c>
      <c r="G1191" s="4" t="str">
        <f aca="false">IF($A1191="","",TRIM(Base_Bruta!G1191))</f>
        <v>Meia</v>
      </c>
      <c r="H1191" s="4" t="n">
        <f aca="false">IF($A1191="","",IF(ISNUMBER(Base_Bruta!H1191),Base_Bruta!H1191,IFERROR(_xlfn.NUMBERVALUE(TRIM(SUBSTITUTE(Base_Bruta!H1191,"R$","")),",","."),0)))</f>
        <v>1</v>
      </c>
      <c r="I1191" s="6" t="n">
        <f aca="false">IF($A1191="","",IF(ISNUMBER(Base_Bruta!I1191),Base_Bruta!I1191,IFERROR(_xlfn.NUMBERVALUE(TRIM(SUBSTITUTE(Base_Bruta!I1191,"R$","")),",","."),0)))</f>
        <v>22.5</v>
      </c>
      <c r="J1191" s="6" t="n">
        <f aca="false">IF($A1191="","",H1191*I1191)</f>
        <v>22.5</v>
      </c>
      <c r="K1191" s="4" t="str">
        <f aca="false">IF($A1191="","",TRIM(Base_Bruta!J1191))</f>
        <v>Bilheteria</v>
      </c>
      <c r="L1191" s="4" t="str">
        <f aca="false">IF($A1191="","",TRIM(Base_Bruta!K1191))</f>
        <v>C01752</v>
      </c>
      <c r="M1191" s="4" t="str">
        <f aca="false">IF($A1191="","",_xlfn.XLOOKUP(LOWER(TRIM(Base_Bruta!L1191)),DePara_Cidade!$A$2:$A$29,DePara_Cidade!$B$2:$B$29,"REVISAR"))</f>
        <v>Santiago</v>
      </c>
      <c r="N1191" s="4" t="str">
        <f aca="false">IF($A1191="","",UPPER(TRIM(Base_Bruta!M1191)))</f>
        <v>EX</v>
      </c>
      <c r="O1191" s="4" t="str">
        <f aca="false">IF($A1191="","",_xlfn.XLOOKUP(LOWER(TRIM(Base_Bruta!N1191)),DePara_Pais!$A$2:$A$9,DePara_Pais!$B$2:$B$9,"REVISAR"))</f>
        <v>Chile</v>
      </c>
      <c r="P1191" s="4" t="str">
        <f aca="false">IF($A1191="","",IF(O1191&lt;&gt;"Brasil","Turista Internacional",IF(M1191=F1191,"Local","Turista Nacional")))</f>
        <v>Turista Internacional</v>
      </c>
      <c r="Q1191" s="7" t="n">
        <f aca="false">IF($A1191="","",DATE(YEAR(B1191),MONTH(B1191),1))</f>
        <v>45992</v>
      </c>
      <c r="R1191" s="4" t="str">
        <f aca="false">IF($A1191="","",IF(COUNTIF($A$2:$A1191,$A1191)&gt;1,"Sim","Não"))</f>
        <v>Não</v>
      </c>
      <c r="S1191" s="4" t="str">
        <f aca="false">IF(A1191="","Descartar - Linha vazia",IF(R1191="Sim","Descartar - Duplicado",IF(OR(H1191&lt;=0,I1191&lt;=0),"Descartar - Qtd/Valor inválido","OK")))</f>
        <v>OK</v>
      </c>
      <c r="T1191" s="4" t="str">
        <f aca="false">Base_Bruta!P1191</f>
        <v>vendas_RJ.xlsx</v>
      </c>
    </row>
    <row r="1192" customFormat="false" ht="15" hidden="false" customHeight="false" outlineLevel="0" collapsed="false">
      <c r="A1192" s="4" t="str">
        <f aca="false">IF(Base_Bruta!A1192="","",Base_Bruta!A1192)</f>
        <v>RJ-000590</v>
      </c>
      <c r="B1192" s="5" t="n">
        <f aca="false">IF($A1192="","",IF(ISNUMBER(Base_Bruta!B1192),Base_Bruta!B1192,IF(MID(Base_Bruta!B1192,5,1)="-",DATE(VALUE(LEFT(Base_Bruta!B1192,4)),VALUE(MID(Base_Bruta!B1192,6,2)),VALUE(RIGHT(Base_Bruta!B1192,2))),DATE(VALUE(RIGHT(Base_Bruta!B1192,4)),VALUE(MID(Base_Bruta!B1192,4,2)),VALUE(LEFT(Base_Bruta!B1192,2))))))</f>
        <v>45996</v>
      </c>
      <c r="C1192" s="5" t="n">
        <f aca="false">IF($A1192="","",IF(ISNUMBER(Base_Bruta!C1192),Base_Bruta!C1192,IF(MID(Base_Bruta!C1192,5,1)="-",DATE(VALUE(LEFT(Base_Bruta!C1192,4)),VALUE(MID(Base_Bruta!C1192,6,2)),VALUE(RIGHT(Base_Bruta!C1192,2))),DATE(VALUE(RIGHT(Base_Bruta!C1192,4)),VALUE(MID(Base_Bruta!C1192,4,2)),VALUE(LEFT(Base_Bruta!C1192,2))))))</f>
        <v>45999</v>
      </c>
      <c r="D1192" s="4" t="str">
        <f aca="false">IF($A1192="","",TRIM(Base_Bruta!D1192))</f>
        <v>Cinema Barra - Sessões</v>
      </c>
      <c r="E1192" s="4" t="str">
        <f aca="false">IF($A1192="","",_xlfn.XLOOKUP(LOWER(TRIM(Base_Bruta!E1192)),DePara_Categoria!$A$2:$A$9,DePara_Categoria!$B$2:$B$9,"REVISAR"))</f>
        <v>Cinema</v>
      </c>
      <c r="F1192" s="4" t="str">
        <f aca="false">IF($A1192="","",_xlfn.XLOOKUP(LOWER(TRIM(Base_Bruta!F1192)),DePara_Cidade!$A$2:$A$29,DePara_Cidade!$B$2:$B$29,"REVISAR"))</f>
        <v>Rio de Janeiro</v>
      </c>
      <c r="G1192" s="4" t="str">
        <f aca="false">IF($A1192="","",TRIM(Base_Bruta!G1192))</f>
        <v>Inteira</v>
      </c>
      <c r="H1192" s="4" t="n">
        <f aca="false">IF($A1192="","",IF(ISNUMBER(Base_Bruta!H1192),Base_Bruta!H1192,IFERROR(_xlfn.NUMBERVALUE(TRIM(SUBSTITUTE(Base_Bruta!H1192,"R$","")),",","."),0)))</f>
        <v>3</v>
      </c>
      <c r="I1192" s="6" t="n">
        <f aca="false">IF($A1192="","",IF(ISNUMBER(Base_Bruta!I1192),Base_Bruta!I1192,IFERROR(_xlfn.NUMBERVALUE(TRIM(SUBSTITUTE(Base_Bruta!I1192,"R$","")),",","."),0)))</f>
        <v>40</v>
      </c>
      <c r="J1192" s="6" t="n">
        <f aca="false">IF($A1192="","",H1192*I1192)</f>
        <v>120</v>
      </c>
      <c r="K1192" s="4" t="str">
        <f aca="false">IF($A1192="","",TRIM(Base_Bruta!J1192))</f>
        <v>Site</v>
      </c>
      <c r="L1192" s="4" t="str">
        <f aca="false">IF($A1192="","",TRIM(Base_Bruta!K1192))</f>
        <v>C01056</v>
      </c>
      <c r="M1192" s="4" t="str">
        <f aca="false">IF($A1192="","",_xlfn.XLOOKUP(LOWER(TRIM(Base_Bruta!L1192)),DePara_Cidade!$A$2:$A$29,DePara_Cidade!$B$2:$B$29,"REVISAR"))</f>
        <v>Rio de Janeiro</v>
      </c>
      <c r="N1192" s="4" t="str">
        <f aca="false">IF($A1192="","",UPPER(TRIM(Base_Bruta!M1192)))</f>
        <v>RJ</v>
      </c>
      <c r="O1192" s="4" t="str">
        <f aca="false">IF($A1192="","",_xlfn.XLOOKUP(LOWER(TRIM(Base_Bruta!N1192)),DePara_Pais!$A$2:$A$9,DePara_Pais!$B$2:$B$9,"REVISAR"))</f>
        <v>Brasil</v>
      </c>
      <c r="P1192" s="4" t="str">
        <f aca="false">IF($A1192="","",IF(O1192&lt;&gt;"Brasil","Turista Internacional",IF(M1192=F1192,"Local","Turista Nacional")))</f>
        <v>Local</v>
      </c>
      <c r="Q1192" s="7" t="n">
        <f aca="false">IF($A1192="","",DATE(YEAR(B1192),MONTH(B1192),1))</f>
        <v>45992</v>
      </c>
      <c r="R1192" s="4" t="str">
        <f aca="false">IF($A1192="","",IF(COUNTIF($A$2:$A1192,$A1192)&gt;1,"Sim","Não"))</f>
        <v>Não</v>
      </c>
      <c r="S1192" s="4" t="str">
        <f aca="false">IF(A1192="","Descartar - Linha vazia",IF(R1192="Sim","Descartar - Duplicado",IF(OR(H1192&lt;=0,I1192&lt;=0),"Descartar - Qtd/Valor inválido","OK")))</f>
        <v>OK</v>
      </c>
      <c r="T1192" s="4" t="str">
        <f aca="false">Base_Bruta!P1192</f>
        <v>vendas_RJ.xlsx</v>
      </c>
    </row>
    <row r="1193" customFormat="false" ht="15" hidden="false" customHeight="false" outlineLevel="0" collapsed="false">
      <c r="A1193" s="4" t="str">
        <f aca="false">IF(Base_Bruta!A1193="","",Base_Bruta!A1193)</f>
        <v>RJ-000144</v>
      </c>
      <c r="B1193" s="5" t="n">
        <f aca="false">IF($A1193="","",IF(ISNUMBER(Base_Bruta!B1193),Base_Bruta!B1193,IF(MID(Base_Bruta!B1193,5,1)="-",DATE(VALUE(LEFT(Base_Bruta!B1193,4)),VALUE(MID(Base_Bruta!B1193,6,2)),VALUE(RIGHT(Base_Bruta!B1193,2))),DATE(VALUE(RIGHT(Base_Bruta!B1193,4)),VALUE(MID(Base_Bruta!B1193,4,2)),VALUE(LEFT(Base_Bruta!B1193,2))))))</f>
        <v>45998</v>
      </c>
      <c r="C1193" s="5" t="n">
        <f aca="false">IF($A1193="","",IF(ISNUMBER(Base_Bruta!C1193),Base_Bruta!C1193,IF(MID(Base_Bruta!C1193,5,1)="-",DATE(VALUE(LEFT(Base_Bruta!C1193,4)),VALUE(MID(Base_Bruta!C1193,6,2)),VALUE(RIGHT(Base_Bruta!C1193,2))),DATE(VALUE(RIGHT(Base_Bruta!C1193,4)),VALUE(MID(Base_Bruta!C1193,4,2)),VALUE(LEFT(Base_Bruta!C1193,2))))))</f>
        <v>46046</v>
      </c>
      <c r="D1193" s="4" t="str">
        <f aca="false">IF($A1193="","",TRIM(Base_Bruta!D1193))</f>
        <v>Rio Beat Festival 2026</v>
      </c>
      <c r="E1193" s="4" t="str">
        <f aca="false">IF($A1193="","",_xlfn.XLOOKUP(LOWER(TRIM(Base_Bruta!E1193)),DePara_Categoria!$A$2:$A$9,DePara_Categoria!$B$2:$B$9,"REVISAR"))</f>
        <v>Festival</v>
      </c>
      <c r="F1193" s="4" t="str">
        <f aca="false">IF($A1193="","",_xlfn.XLOOKUP(LOWER(TRIM(Base_Bruta!F1193)),DePara_Cidade!$A$2:$A$29,DePara_Cidade!$B$2:$B$29,"REVISAR"))</f>
        <v>Rio de Janeiro</v>
      </c>
      <c r="G1193" s="4" t="str">
        <f aca="false">IF($A1193="","",TRIM(Base_Bruta!G1193))</f>
        <v>Inteira</v>
      </c>
      <c r="H1193" s="4" t="n">
        <f aca="false">IF($A1193="","",IF(ISNUMBER(Base_Bruta!H1193),Base_Bruta!H1193,IFERROR(_xlfn.NUMBERVALUE(TRIM(SUBSTITUTE(Base_Bruta!H1193,"R$","")),",","."),0)))</f>
        <v>2</v>
      </c>
      <c r="I1193" s="6" t="n">
        <f aca="false">IF($A1193="","",IF(ISNUMBER(Base_Bruta!I1193),Base_Bruta!I1193,IFERROR(_xlfn.NUMBERVALUE(TRIM(SUBSTITUTE(Base_Bruta!I1193,"R$","")),",","."),0)))</f>
        <v>650</v>
      </c>
      <c r="J1193" s="6" t="n">
        <f aca="false">IF($A1193="","",H1193*I1193)</f>
        <v>1300</v>
      </c>
      <c r="K1193" s="4" t="str">
        <f aca="false">IF($A1193="","",TRIM(Base_Bruta!J1193))</f>
        <v>App</v>
      </c>
      <c r="L1193" s="4" t="str">
        <f aca="false">IF($A1193="","",TRIM(Base_Bruta!K1193))</f>
        <v>C00864</v>
      </c>
      <c r="M1193" s="4" t="str">
        <f aca="false">IF($A1193="","",_xlfn.XLOOKUP(LOWER(TRIM(Base_Bruta!L1193)),DePara_Cidade!$A$2:$A$29,DePara_Cidade!$B$2:$B$29,"REVISAR"))</f>
        <v>Rio de Janeiro</v>
      </c>
      <c r="N1193" s="4" t="str">
        <f aca="false">IF($A1193="","",UPPER(TRIM(Base_Bruta!M1193)))</f>
        <v>RJ</v>
      </c>
      <c r="O1193" s="4" t="str">
        <f aca="false">IF($A1193="","",_xlfn.XLOOKUP(LOWER(TRIM(Base_Bruta!N1193)),DePara_Pais!$A$2:$A$9,DePara_Pais!$B$2:$B$9,"REVISAR"))</f>
        <v>Brasil</v>
      </c>
      <c r="P1193" s="4" t="str">
        <f aca="false">IF($A1193="","",IF(O1193&lt;&gt;"Brasil","Turista Internacional",IF(M1193=F1193,"Local","Turista Nacional")))</f>
        <v>Local</v>
      </c>
      <c r="Q1193" s="7" t="n">
        <f aca="false">IF($A1193="","",DATE(YEAR(B1193),MONTH(B1193),1))</f>
        <v>45992</v>
      </c>
      <c r="R1193" s="4" t="str">
        <f aca="false">IF($A1193="","",IF(COUNTIF($A$2:$A1193,$A1193)&gt;1,"Sim","Não"))</f>
        <v>Não</v>
      </c>
      <c r="S1193" s="4" t="str">
        <f aca="false">IF(A1193="","Descartar - Linha vazia",IF(R1193="Sim","Descartar - Duplicado",IF(OR(H1193&lt;=0,I1193&lt;=0),"Descartar - Qtd/Valor inválido","OK")))</f>
        <v>OK</v>
      </c>
      <c r="T1193" s="4" t="str">
        <f aca="false">Base_Bruta!P1193</f>
        <v>vendas_RJ.xlsx</v>
      </c>
    </row>
    <row r="1194" customFormat="false" ht="15" hidden="false" customHeight="false" outlineLevel="0" collapsed="false">
      <c r="A1194" s="4" t="str">
        <f aca="false">IF(Base_Bruta!A1194="","",Base_Bruta!A1194)</f>
        <v>RJ-000195</v>
      </c>
      <c r="B1194" s="5" t="n">
        <f aca="false">IF($A1194="","",IF(ISNUMBER(Base_Bruta!B1194),Base_Bruta!B1194,IF(MID(Base_Bruta!B1194,5,1)="-",DATE(VALUE(LEFT(Base_Bruta!B1194,4)),VALUE(MID(Base_Bruta!B1194,6,2)),VALUE(RIGHT(Base_Bruta!B1194,2))),DATE(VALUE(RIGHT(Base_Bruta!B1194,4)),VALUE(MID(Base_Bruta!B1194,4,2)),VALUE(LEFT(Base_Bruta!B1194,2))))))</f>
        <v>46000</v>
      </c>
      <c r="C1194" s="5" t="n">
        <f aca="false">IF($A1194="","",IF(ISNUMBER(Base_Bruta!C1194),Base_Bruta!C1194,IF(MID(Base_Bruta!C1194,5,1)="-",DATE(VALUE(LEFT(Base_Bruta!C1194,4)),VALUE(MID(Base_Bruta!C1194,6,2)),VALUE(RIGHT(Base_Bruta!C1194,2))),DATE(VALUE(RIGHT(Base_Bruta!C1194,4)),VALUE(MID(Base_Bruta!C1194,4,2)),VALUE(LEFT(Base_Bruta!C1194,2))))))</f>
        <v>46046</v>
      </c>
      <c r="D1194" s="4" t="str">
        <f aca="false">IF($A1194="","",TRIM(Base_Bruta!D1194))</f>
        <v>Rio Beat Festival 2026</v>
      </c>
      <c r="E1194" s="4" t="str">
        <f aca="false">IF($A1194="","",_xlfn.XLOOKUP(LOWER(TRIM(Base_Bruta!E1194)),DePara_Categoria!$A$2:$A$9,DePara_Categoria!$B$2:$B$9,"REVISAR"))</f>
        <v>Festival</v>
      </c>
      <c r="F1194" s="4" t="str">
        <f aca="false">IF($A1194="","",_xlfn.XLOOKUP(LOWER(TRIM(Base_Bruta!F1194)),DePara_Cidade!$A$2:$A$29,DePara_Cidade!$B$2:$B$29,"REVISAR"))</f>
        <v>Rio de Janeiro</v>
      </c>
      <c r="G1194" s="4" t="str">
        <f aca="false">IF($A1194="","",TRIM(Base_Bruta!G1194))</f>
        <v>Meia</v>
      </c>
      <c r="H1194" s="4" t="n">
        <f aca="false">IF($A1194="","",IF(ISNUMBER(Base_Bruta!H1194),Base_Bruta!H1194,IFERROR(_xlfn.NUMBERVALUE(TRIM(SUBSTITUTE(Base_Bruta!H1194,"R$","")),",","."),0)))</f>
        <v>1</v>
      </c>
      <c r="I1194" s="6" t="n">
        <f aca="false">IF($A1194="","",IF(ISNUMBER(Base_Bruta!I1194),Base_Bruta!I1194,IFERROR(_xlfn.NUMBERVALUE(TRIM(SUBSTITUTE(Base_Bruta!I1194,"R$","")),",","."),0)))</f>
        <v>557.5</v>
      </c>
      <c r="J1194" s="6" t="n">
        <f aca="false">IF($A1194="","",H1194*I1194)</f>
        <v>557.5</v>
      </c>
      <c r="K1194" s="4" t="str">
        <f aca="false">IF($A1194="","",TRIM(Base_Bruta!J1194))</f>
        <v>Site</v>
      </c>
      <c r="L1194" s="4" t="str">
        <f aca="false">IF($A1194="","",TRIM(Base_Bruta!K1194))</f>
        <v>C00902</v>
      </c>
      <c r="M1194" s="4" t="str">
        <f aca="false">IF($A1194="","",_xlfn.XLOOKUP(LOWER(TRIM(Base_Bruta!L1194)),DePara_Cidade!$A$2:$A$29,DePara_Cidade!$B$2:$B$29,"REVISAR"))</f>
        <v>Rio de Janeiro</v>
      </c>
      <c r="N1194" s="4" t="str">
        <f aca="false">IF($A1194="","",UPPER(TRIM(Base_Bruta!M1194)))</f>
        <v>RJ</v>
      </c>
      <c r="O1194" s="4" t="str">
        <f aca="false">IF($A1194="","",_xlfn.XLOOKUP(LOWER(TRIM(Base_Bruta!N1194)),DePara_Pais!$A$2:$A$9,DePara_Pais!$B$2:$B$9,"REVISAR"))</f>
        <v>Brasil</v>
      </c>
      <c r="P1194" s="4" t="str">
        <f aca="false">IF($A1194="","",IF(O1194&lt;&gt;"Brasil","Turista Internacional",IF(M1194=F1194,"Local","Turista Nacional")))</f>
        <v>Local</v>
      </c>
      <c r="Q1194" s="7" t="n">
        <f aca="false">IF($A1194="","",DATE(YEAR(B1194),MONTH(B1194),1))</f>
        <v>45992</v>
      </c>
      <c r="R1194" s="4" t="str">
        <f aca="false">IF($A1194="","",IF(COUNTIF($A$2:$A1194,$A1194)&gt;1,"Sim","Não"))</f>
        <v>Não</v>
      </c>
      <c r="S1194" s="4" t="str">
        <f aca="false">IF(A1194="","Descartar - Linha vazia",IF(R1194="Sim","Descartar - Duplicado",IF(OR(H1194&lt;=0,I1194&lt;=0),"Descartar - Qtd/Valor inválido","OK")))</f>
        <v>OK</v>
      </c>
      <c r="T1194" s="4" t="str">
        <f aca="false">Base_Bruta!P1194</f>
        <v>vendas_RJ.xlsx</v>
      </c>
    </row>
    <row r="1195" customFormat="false" ht="15" hidden="false" customHeight="false" outlineLevel="0" collapsed="false">
      <c r="A1195" s="4" t="str">
        <f aca="false">IF(Base_Bruta!A1195="","",Base_Bruta!A1195)</f>
        <v>RJ-000007</v>
      </c>
      <c r="B1195" s="5" t="n">
        <f aca="false">IF($A1195="","",IF(ISNUMBER(Base_Bruta!B1195),Base_Bruta!B1195,IF(MID(Base_Bruta!B1195,5,1)="-",DATE(VALUE(LEFT(Base_Bruta!B1195,4)),VALUE(MID(Base_Bruta!B1195,6,2)),VALUE(RIGHT(Base_Bruta!B1195,2))),DATE(VALUE(RIGHT(Base_Bruta!B1195,4)),VALUE(MID(Base_Bruta!B1195,4,2)),VALUE(LEFT(Base_Bruta!B1195,2))))))</f>
        <v>46001</v>
      </c>
      <c r="C1195" s="5" t="n">
        <f aca="false">IF($A1195="","",IF(ISNUMBER(Base_Bruta!C1195),Base_Bruta!C1195,IF(MID(Base_Bruta!C1195,5,1)="-",DATE(VALUE(LEFT(Base_Bruta!C1195,4)),VALUE(MID(Base_Bruta!C1195,6,2)),VALUE(RIGHT(Base_Bruta!C1195,2))),DATE(VALUE(RIGHT(Base_Bruta!C1195,4)),VALUE(MID(Base_Bruta!C1195,4,2)),VALUE(LEFT(Base_Bruta!C1195,2))))))</f>
        <v>46046</v>
      </c>
      <c r="D1195" s="4" t="str">
        <f aca="false">IF($A1195="","",TRIM(Base_Bruta!D1195))</f>
        <v>Rio Beat Festival 2026</v>
      </c>
      <c r="E1195" s="4" t="str">
        <f aca="false">IF($A1195="","",_xlfn.XLOOKUP(LOWER(TRIM(Base_Bruta!E1195)),DePara_Categoria!$A$2:$A$9,DePara_Categoria!$B$2:$B$9,"REVISAR"))</f>
        <v>Festival</v>
      </c>
      <c r="F1195" s="4" t="str">
        <f aca="false">IF($A1195="","",_xlfn.XLOOKUP(LOWER(TRIM(Base_Bruta!F1195)),DePara_Cidade!$A$2:$A$29,DePara_Cidade!$B$2:$B$29,"REVISAR"))</f>
        <v>Rio de Janeiro</v>
      </c>
      <c r="G1195" s="4" t="str">
        <f aca="false">IF($A1195="","",TRIM(Base_Bruta!G1195))</f>
        <v>Meia</v>
      </c>
      <c r="H1195" s="4" t="n">
        <f aca="false">IF($A1195="","",IF(ISNUMBER(Base_Bruta!H1195),Base_Bruta!H1195,IFERROR(_xlfn.NUMBERVALUE(TRIM(SUBSTITUTE(Base_Bruta!H1195,"R$","")),",","."),0)))</f>
        <v>1</v>
      </c>
      <c r="I1195" s="6" t="n">
        <f aca="false">IF($A1195="","",IF(ISNUMBER(Base_Bruta!I1195),Base_Bruta!I1195,IFERROR(_xlfn.NUMBERVALUE(TRIM(SUBSTITUTE(Base_Bruta!I1195,"R$","")),",","."),0)))</f>
        <v>382.5</v>
      </c>
      <c r="J1195" s="6" t="n">
        <f aca="false">IF($A1195="","",H1195*I1195)</f>
        <v>382.5</v>
      </c>
      <c r="K1195" s="4" t="str">
        <f aca="false">IF($A1195="","",TRIM(Base_Bruta!J1195))</f>
        <v>Parceiro</v>
      </c>
      <c r="L1195" s="4" t="str">
        <f aca="false">IF($A1195="","",TRIM(Base_Bruta!K1195))</f>
        <v>C00579</v>
      </c>
      <c r="M1195" s="4" t="str">
        <f aca="false">IF($A1195="","",_xlfn.XLOOKUP(LOWER(TRIM(Base_Bruta!L1195)),DePara_Cidade!$A$2:$A$29,DePara_Cidade!$B$2:$B$29,"REVISAR"))</f>
        <v>Porto Alegre</v>
      </c>
      <c r="N1195" s="4" t="str">
        <f aca="false">IF($A1195="","",UPPER(TRIM(Base_Bruta!M1195)))</f>
        <v>RS</v>
      </c>
      <c r="O1195" s="4" t="str">
        <f aca="false">IF($A1195="","",_xlfn.XLOOKUP(LOWER(TRIM(Base_Bruta!N1195)),DePara_Pais!$A$2:$A$9,DePara_Pais!$B$2:$B$9,"REVISAR"))</f>
        <v>Brasil</v>
      </c>
      <c r="P1195" s="4" t="str">
        <f aca="false">IF($A1195="","",IF(O1195&lt;&gt;"Brasil","Turista Internacional",IF(M1195=F1195,"Local","Turista Nacional")))</f>
        <v>Turista Nacional</v>
      </c>
      <c r="Q1195" s="7" t="n">
        <f aca="false">IF($A1195="","",DATE(YEAR(B1195),MONTH(B1195),1))</f>
        <v>45992</v>
      </c>
      <c r="R1195" s="4" t="str">
        <f aca="false">IF($A1195="","",IF(COUNTIF($A$2:$A1195,$A1195)&gt;1,"Sim","Não"))</f>
        <v>Não</v>
      </c>
      <c r="S1195" s="4" t="str">
        <f aca="false">IF(A1195="","Descartar - Linha vazia",IF(R1195="Sim","Descartar - Duplicado",IF(OR(H1195&lt;=0,I1195&lt;=0),"Descartar - Qtd/Valor inválido","OK")))</f>
        <v>OK</v>
      </c>
      <c r="T1195" s="4" t="str">
        <f aca="false">Base_Bruta!P1195</f>
        <v>vendas_RJ.xlsx</v>
      </c>
    </row>
    <row r="1196" customFormat="false" ht="15" hidden="false" customHeight="false" outlineLevel="0" collapsed="false">
      <c r="A1196" s="4" t="str">
        <f aca="false">IF(Base_Bruta!A1196="","",Base_Bruta!A1196)</f>
        <v>RJ-000597</v>
      </c>
      <c r="B1196" s="5" t="n">
        <f aca="false">IF($A1196="","",IF(ISNUMBER(Base_Bruta!B1196),Base_Bruta!B1196,IF(MID(Base_Bruta!B1196,5,1)="-",DATE(VALUE(LEFT(Base_Bruta!B1196,4)),VALUE(MID(Base_Bruta!B1196,6,2)),VALUE(RIGHT(Base_Bruta!B1196,2))),DATE(VALUE(RIGHT(Base_Bruta!B1196,4)),VALUE(MID(Base_Bruta!B1196,4,2)),VALUE(LEFT(Base_Bruta!B1196,2))))))</f>
        <v>46001</v>
      </c>
      <c r="C1196" s="5" t="n">
        <f aca="false">IF($A1196="","",IF(ISNUMBER(Base_Bruta!C1196),Base_Bruta!C1196,IF(MID(Base_Bruta!C1196,5,1)="-",DATE(VALUE(LEFT(Base_Bruta!C1196,4)),VALUE(MID(Base_Bruta!C1196,6,2)),VALUE(RIGHT(Base_Bruta!C1196,2))),DATE(VALUE(RIGHT(Base_Bruta!C1196,4)),VALUE(MID(Base_Bruta!C1196,4,2)),VALUE(LEFT(Base_Bruta!C1196,2))))))</f>
        <v>46003</v>
      </c>
      <c r="D1196" s="4" t="str">
        <f aca="false">IF($A1196="","",TRIM(Base_Bruta!D1196))</f>
        <v>Cinema Barra - Sessões</v>
      </c>
      <c r="E1196" s="4" t="str">
        <f aca="false">IF($A1196="","",_xlfn.XLOOKUP(LOWER(TRIM(Base_Bruta!E1196)),DePara_Categoria!$A$2:$A$9,DePara_Categoria!$B$2:$B$9,"REVISAR"))</f>
        <v>Cinema</v>
      </c>
      <c r="F1196" s="4" t="str">
        <f aca="false">IF($A1196="","",_xlfn.XLOOKUP(LOWER(TRIM(Base_Bruta!F1196)),DePara_Cidade!$A$2:$A$29,DePara_Cidade!$B$2:$B$29,"REVISAR"))</f>
        <v>Rio de Janeiro</v>
      </c>
      <c r="G1196" s="4" t="str">
        <f aca="false">IF($A1196="","",TRIM(Base_Bruta!G1196))</f>
        <v>Meia</v>
      </c>
      <c r="H1196" s="4" t="n">
        <f aca="false">IF($A1196="","",IF(ISNUMBER(Base_Bruta!H1196),Base_Bruta!H1196,IFERROR(_xlfn.NUMBERVALUE(TRIM(SUBSTITUTE(Base_Bruta!H1196,"R$","")),",","."),0)))</f>
        <v>3</v>
      </c>
      <c r="I1196" s="6" t="n">
        <f aca="false">IF($A1196="","",IF(ISNUMBER(Base_Bruta!I1196),Base_Bruta!I1196,IFERROR(_xlfn.NUMBERVALUE(TRIM(SUBSTITUTE(Base_Bruta!I1196,"R$","")),",","."),0)))</f>
        <v>20</v>
      </c>
      <c r="J1196" s="6" t="n">
        <f aca="false">IF($A1196="","",H1196*I1196)</f>
        <v>60</v>
      </c>
      <c r="K1196" s="4" t="str">
        <f aca="false">IF($A1196="","",TRIM(Base_Bruta!J1196))</f>
        <v>Site</v>
      </c>
      <c r="L1196" s="4" t="str">
        <f aca="false">IF($A1196="","",TRIM(Base_Bruta!K1196))</f>
        <v>C02013</v>
      </c>
      <c r="M1196" s="4" t="str">
        <f aca="false">IF($A1196="","",_xlfn.XLOOKUP(LOWER(TRIM(Base_Bruta!L1196)),DePara_Cidade!$A$2:$A$29,DePara_Cidade!$B$2:$B$29,"REVISAR"))</f>
        <v>Rio de Janeiro</v>
      </c>
      <c r="N1196" s="4" t="str">
        <f aca="false">IF($A1196="","",UPPER(TRIM(Base_Bruta!M1196)))</f>
        <v>RJ</v>
      </c>
      <c r="O1196" s="4" t="str">
        <f aca="false">IF($A1196="","",_xlfn.XLOOKUP(LOWER(TRIM(Base_Bruta!N1196)),DePara_Pais!$A$2:$A$9,DePara_Pais!$B$2:$B$9,"REVISAR"))</f>
        <v>Brasil</v>
      </c>
      <c r="P1196" s="4" t="str">
        <f aca="false">IF($A1196="","",IF(O1196&lt;&gt;"Brasil","Turista Internacional",IF(M1196=F1196,"Local","Turista Nacional")))</f>
        <v>Local</v>
      </c>
      <c r="Q1196" s="7" t="n">
        <f aca="false">IF($A1196="","",DATE(YEAR(B1196),MONTH(B1196),1))</f>
        <v>45992</v>
      </c>
      <c r="R1196" s="4" t="str">
        <f aca="false">IF($A1196="","",IF(COUNTIF($A$2:$A1196,$A1196)&gt;1,"Sim","Não"))</f>
        <v>Não</v>
      </c>
      <c r="S1196" s="4" t="str">
        <f aca="false">IF(A1196="","Descartar - Linha vazia",IF(R1196="Sim","Descartar - Duplicado",IF(OR(H1196&lt;=0,I1196&lt;=0),"Descartar - Qtd/Valor inválido","OK")))</f>
        <v>OK</v>
      </c>
      <c r="T1196" s="4" t="str">
        <f aca="false">Base_Bruta!P1196</f>
        <v>vendas_RJ.xlsx</v>
      </c>
    </row>
    <row r="1197" customFormat="false" ht="15" hidden="false" customHeight="false" outlineLevel="0" collapsed="false">
      <c r="A1197" s="4" t="str">
        <f aca="false">IF(Base_Bruta!A1197="","",Base_Bruta!A1197)</f>
        <v>RJ-000055</v>
      </c>
      <c r="B1197" s="5" t="n">
        <f aca="false">IF($A1197="","",IF(ISNUMBER(Base_Bruta!B1197),Base_Bruta!B1197,IF(MID(Base_Bruta!B1197,5,1)="-",DATE(VALUE(LEFT(Base_Bruta!B1197,4)),VALUE(MID(Base_Bruta!B1197,6,2)),VALUE(RIGHT(Base_Bruta!B1197,2))),DATE(VALUE(RIGHT(Base_Bruta!B1197,4)),VALUE(MID(Base_Bruta!B1197,4,2)),VALUE(LEFT(Base_Bruta!B1197,2))))))</f>
        <v>46002</v>
      </c>
      <c r="C1197" s="5" t="n">
        <f aca="false">IF($A1197="","",IF(ISNUMBER(Base_Bruta!C1197),Base_Bruta!C1197,IF(MID(Base_Bruta!C1197,5,1)="-",DATE(VALUE(LEFT(Base_Bruta!C1197,4)),VALUE(MID(Base_Bruta!C1197,6,2)),VALUE(RIGHT(Base_Bruta!C1197,2))),DATE(VALUE(RIGHT(Base_Bruta!C1197,4)),VALUE(MID(Base_Bruta!C1197,4,2)),VALUE(LEFT(Base_Bruta!C1197,2))))))</f>
        <v>46046</v>
      </c>
      <c r="D1197" s="4" t="str">
        <f aca="false">IF($A1197="","",TRIM(Base_Bruta!D1197))</f>
        <v>Rio Beat Festival 2026</v>
      </c>
      <c r="E1197" s="4" t="str">
        <f aca="false">IF($A1197="","",_xlfn.XLOOKUP(LOWER(TRIM(Base_Bruta!E1197)),DePara_Categoria!$A$2:$A$9,DePara_Categoria!$B$2:$B$9,"REVISAR"))</f>
        <v>Festival</v>
      </c>
      <c r="F1197" s="4" t="str">
        <f aca="false">IF($A1197="","",_xlfn.XLOOKUP(LOWER(TRIM(Base_Bruta!F1197)),DePara_Cidade!$A$2:$A$29,DePara_Cidade!$B$2:$B$29,"REVISAR"))</f>
        <v>Rio de Janeiro</v>
      </c>
      <c r="G1197" s="4" t="str">
        <f aca="false">IF($A1197="","",TRIM(Base_Bruta!G1197))</f>
        <v>Meia</v>
      </c>
      <c r="H1197" s="4" t="n">
        <f aca="false">IF($A1197="","",IF(ISNUMBER(Base_Bruta!H1197),Base_Bruta!H1197,IFERROR(_xlfn.NUMBERVALUE(TRIM(SUBSTITUTE(Base_Bruta!H1197,"R$","")),",","."),0)))</f>
        <v>2</v>
      </c>
      <c r="I1197" s="6" t="n">
        <f aca="false">IF($A1197="","",IF(ISNUMBER(Base_Bruta!I1197),Base_Bruta!I1197,IFERROR(_xlfn.NUMBERVALUE(TRIM(SUBSTITUTE(Base_Bruta!I1197,"R$","")),",","."),0)))</f>
        <v>497.5</v>
      </c>
      <c r="J1197" s="6" t="n">
        <f aca="false">IF($A1197="","",H1197*I1197)</f>
        <v>995</v>
      </c>
      <c r="K1197" s="4" t="str">
        <f aca="false">IF($A1197="","",TRIM(Base_Bruta!J1197))</f>
        <v>App</v>
      </c>
      <c r="L1197" s="4" t="str">
        <f aca="false">IF($A1197="","",TRIM(Base_Bruta!K1197))</f>
        <v>C01099</v>
      </c>
      <c r="M1197" s="4" t="str">
        <f aca="false">IF($A1197="","",_xlfn.XLOOKUP(LOWER(TRIM(Base_Bruta!L1197)),DePara_Cidade!$A$2:$A$29,DePara_Cidade!$B$2:$B$29,"REVISAR"))</f>
        <v>Rio de Janeiro</v>
      </c>
      <c r="N1197" s="4" t="str">
        <f aca="false">IF($A1197="","",UPPER(TRIM(Base_Bruta!M1197)))</f>
        <v>RJ</v>
      </c>
      <c r="O1197" s="4" t="str">
        <f aca="false">IF($A1197="","",_xlfn.XLOOKUP(LOWER(TRIM(Base_Bruta!N1197)),DePara_Pais!$A$2:$A$9,DePara_Pais!$B$2:$B$9,"REVISAR"))</f>
        <v>Brasil</v>
      </c>
      <c r="P1197" s="4" t="str">
        <f aca="false">IF($A1197="","",IF(O1197&lt;&gt;"Brasil","Turista Internacional",IF(M1197=F1197,"Local","Turista Nacional")))</f>
        <v>Local</v>
      </c>
      <c r="Q1197" s="7" t="n">
        <f aca="false">IF($A1197="","",DATE(YEAR(B1197),MONTH(B1197),1))</f>
        <v>45992</v>
      </c>
      <c r="R1197" s="4" t="str">
        <f aca="false">IF($A1197="","",IF(COUNTIF($A$2:$A1197,$A1197)&gt;1,"Sim","Não"))</f>
        <v>Não</v>
      </c>
      <c r="S1197" s="4" t="str">
        <f aca="false">IF(A1197="","Descartar - Linha vazia",IF(R1197="Sim","Descartar - Duplicado",IF(OR(H1197&lt;=0,I1197&lt;=0),"Descartar - Qtd/Valor inválido","OK")))</f>
        <v>OK</v>
      </c>
      <c r="T1197" s="4" t="str">
        <f aca="false">Base_Bruta!P1197</f>
        <v>vendas_RJ.xlsx</v>
      </c>
    </row>
    <row r="1198" customFormat="false" ht="15" hidden="false" customHeight="false" outlineLevel="0" collapsed="false">
      <c r="A1198" s="4" t="str">
        <f aca="false">IF(Base_Bruta!A1198="","",Base_Bruta!A1198)</f>
        <v>RJ-000061</v>
      </c>
      <c r="B1198" s="5" t="n">
        <f aca="false">IF($A1198="","",IF(ISNUMBER(Base_Bruta!B1198),Base_Bruta!B1198,IF(MID(Base_Bruta!B1198,5,1)="-",DATE(VALUE(LEFT(Base_Bruta!B1198,4)),VALUE(MID(Base_Bruta!B1198,6,2)),VALUE(RIGHT(Base_Bruta!B1198,2))),DATE(VALUE(RIGHT(Base_Bruta!B1198,4)),VALUE(MID(Base_Bruta!B1198,4,2)),VALUE(LEFT(Base_Bruta!B1198,2))))))</f>
        <v>46002</v>
      </c>
      <c r="C1198" s="5" t="n">
        <f aca="false">IF($A1198="","",IF(ISNUMBER(Base_Bruta!C1198),Base_Bruta!C1198,IF(MID(Base_Bruta!C1198,5,1)="-",DATE(VALUE(LEFT(Base_Bruta!C1198,4)),VALUE(MID(Base_Bruta!C1198,6,2)),VALUE(RIGHT(Base_Bruta!C1198,2))),DATE(VALUE(RIGHT(Base_Bruta!C1198,4)),VALUE(MID(Base_Bruta!C1198,4,2)),VALUE(LEFT(Base_Bruta!C1198,2))))))</f>
        <v>46046</v>
      </c>
      <c r="D1198" s="4" t="str">
        <f aca="false">IF($A1198="","",TRIM(Base_Bruta!D1198))</f>
        <v>Rio Beat Festival 2026</v>
      </c>
      <c r="E1198" s="4" t="str">
        <f aca="false">IF($A1198="","",_xlfn.XLOOKUP(LOWER(TRIM(Base_Bruta!E1198)),DePara_Categoria!$A$2:$A$9,DePara_Categoria!$B$2:$B$9,"REVISAR"))</f>
        <v>Festival</v>
      </c>
      <c r="F1198" s="4" t="str">
        <f aca="false">IF($A1198="","",_xlfn.XLOOKUP(LOWER(TRIM(Base_Bruta!F1198)),DePara_Cidade!$A$2:$A$29,DePara_Cidade!$B$2:$B$29,"REVISAR"))</f>
        <v>Rio de Janeiro</v>
      </c>
      <c r="G1198" s="4" t="str">
        <f aca="false">IF($A1198="","",TRIM(Base_Bruta!G1198))</f>
        <v>Inteira</v>
      </c>
      <c r="H1198" s="4" t="n">
        <f aca="false">IF($A1198="","",IF(ISNUMBER(Base_Bruta!H1198),Base_Bruta!H1198,IFERROR(_xlfn.NUMBERVALUE(TRIM(SUBSTITUTE(Base_Bruta!H1198,"R$","")),",","."),0)))</f>
        <v>3</v>
      </c>
      <c r="I1198" s="6" t="n">
        <f aca="false">IF($A1198="","",IF(ISNUMBER(Base_Bruta!I1198),Base_Bruta!I1198,IFERROR(_xlfn.NUMBERVALUE(TRIM(SUBSTITUTE(Base_Bruta!I1198,"R$","")),",","."),0)))</f>
        <v>865</v>
      </c>
      <c r="J1198" s="6" t="n">
        <f aca="false">IF($A1198="","",H1198*I1198)</f>
        <v>2595</v>
      </c>
      <c r="K1198" s="4" t="str">
        <f aca="false">IF($A1198="","",TRIM(Base_Bruta!J1198))</f>
        <v>App</v>
      </c>
      <c r="L1198" s="4" t="str">
        <f aca="false">IF($A1198="","",TRIM(Base_Bruta!K1198))</f>
        <v>C00782</v>
      </c>
      <c r="M1198" s="4" t="str">
        <f aca="false">IF($A1198="","",_xlfn.XLOOKUP(LOWER(TRIM(Base_Bruta!L1198)),DePara_Cidade!$A$2:$A$29,DePara_Cidade!$B$2:$B$29,"REVISAR"))</f>
        <v>Rio de Janeiro</v>
      </c>
      <c r="N1198" s="4" t="str">
        <f aca="false">IF($A1198="","",UPPER(TRIM(Base_Bruta!M1198)))</f>
        <v>RJ</v>
      </c>
      <c r="O1198" s="4" t="str">
        <f aca="false">IF($A1198="","",_xlfn.XLOOKUP(LOWER(TRIM(Base_Bruta!N1198)),DePara_Pais!$A$2:$A$9,DePara_Pais!$B$2:$B$9,"REVISAR"))</f>
        <v>Brasil</v>
      </c>
      <c r="P1198" s="4" t="str">
        <f aca="false">IF($A1198="","",IF(O1198&lt;&gt;"Brasil","Turista Internacional",IF(M1198=F1198,"Local","Turista Nacional")))</f>
        <v>Local</v>
      </c>
      <c r="Q1198" s="7" t="n">
        <f aca="false">IF($A1198="","",DATE(YEAR(B1198),MONTH(B1198),1))</f>
        <v>45992</v>
      </c>
      <c r="R1198" s="4" t="str">
        <f aca="false">IF($A1198="","",IF(COUNTIF($A$2:$A1198,$A1198)&gt;1,"Sim","Não"))</f>
        <v>Não</v>
      </c>
      <c r="S1198" s="4" t="str">
        <f aca="false">IF(A1198="","Descartar - Linha vazia",IF(R1198="Sim","Descartar - Duplicado",IF(OR(H1198&lt;=0,I1198&lt;=0),"Descartar - Qtd/Valor inválido","OK")))</f>
        <v>OK</v>
      </c>
      <c r="T1198" s="4" t="str">
        <f aca="false">Base_Bruta!P1198</f>
        <v>vendas_RJ.xlsx</v>
      </c>
    </row>
    <row r="1199" customFormat="false" ht="15" hidden="false" customHeight="false" outlineLevel="0" collapsed="false">
      <c r="A1199" s="4" t="str">
        <f aca="false">IF(Base_Bruta!A1199="","",Base_Bruta!A1199)</f>
        <v>RJ-000140</v>
      </c>
      <c r="B1199" s="5" t="n">
        <f aca="false">IF($A1199="","",IF(ISNUMBER(Base_Bruta!B1199),Base_Bruta!B1199,IF(MID(Base_Bruta!B1199,5,1)="-",DATE(VALUE(LEFT(Base_Bruta!B1199,4)),VALUE(MID(Base_Bruta!B1199,6,2)),VALUE(RIGHT(Base_Bruta!B1199,2))),DATE(VALUE(RIGHT(Base_Bruta!B1199,4)),VALUE(MID(Base_Bruta!B1199,4,2)),VALUE(LEFT(Base_Bruta!B1199,2))))))</f>
        <v>46003</v>
      </c>
      <c r="C1199" s="5" t="n">
        <f aca="false">IF($A1199="","",IF(ISNUMBER(Base_Bruta!C1199),Base_Bruta!C1199,IF(MID(Base_Bruta!C1199,5,1)="-",DATE(VALUE(LEFT(Base_Bruta!C1199,4)),VALUE(MID(Base_Bruta!C1199,6,2)),VALUE(RIGHT(Base_Bruta!C1199,2))),DATE(VALUE(RIGHT(Base_Bruta!C1199,4)),VALUE(MID(Base_Bruta!C1199,4,2)),VALUE(LEFT(Base_Bruta!C1199,2))))))</f>
        <v>46046</v>
      </c>
      <c r="D1199" s="4" t="str">
        <f aca="false">IF($A1199="","",TRIM(Base_Bruta!D1199))</f>
        <v>Rio Beat Festival 2026</v>
      </c>
      <c r="E1199" s="4" t="str">
        <f aca="false">IF($A1199="","",_xlfn.XLOOKUP(LOWER(TRIM(Base_Bruta!E1199)),DePara_Categoria!$A$2:$A$9,DePara_Categoria!$B$2:$B$9,"REVISAR"))</f>
        <v>Festival</v>
      </c>
      <c r="F1199" s="4" t="str">
        <f aca="false">IF($A1199="","",_xlfn.XLOOKUP(LOWER(TRIM(Base_Bruta!F1199)),DePara_Cidade!$A$2:$A$29,DePara_Cidade!$B$2:$B$29,"REVISAR"))</f>
        <v>Rio de Janeiro</v>
      </c>
      <c r="G1199" s="4" t="str">
        <f aca="false">IF($A1199="","",TRIM(Base_Bruta!G1199))</f>
        <v>Meia</v>
      </c>
      <c r="H1199" s="4" t="n">
        <f aca="false">IF($A1199="","",IF(ISNUMBER(Base_Bruta!H1199),Base_Bruta!H1199,IFERROR(_xlfn.NUMBERVALUE(TRIM(SUBSTITUTE(Base_Bruta!H1199,"R$","")),",","."),0)))</f>
        <v>1</v>
      </c>
      <c r="I1199" s="6" t="n">
        <f aca="false">IF($A1199="","",IF(ISNUMBER(Base_Bruta!I1199),Base_Bruta!I1199,IFERROR(_xlfn.NUMBERVALUE(TRIM(SUBSTITUTE(Base_Bruta!I1199,"R$","")),",","."),0)))</f>
        <v>412.5</v>
      </c>
      <c r="J1199" s="6" t="n">
        <f aca="false">IF($A1199="","",H1199*I1199)</f>
        <v>412.5</v>
      </c>
      <c r="K1199" s="4" t="str">
        <f aca="false">IF($A1199="","",TRIM(Base_Bruta!J1199))</f>
        <v>Site</v>
      </c>
      <c r="L1199" s="4" t="str">
        <f aca="false">IF($A1199="","",TRIM(Base_Bruta!K1199))</f>
        <v>C02458</v>
      </c>
      <c r="M1199" s="4" t="str">
        <f aca="false">IF($A1199="","",_xlfn.XLOOKUP(LOWER(TRIM(Base_Bruta!L1199)),DePara_Cidade!$A$2:$A$29,DePara_Cidade!$B$2:$B$29,"REVISAR"))</f>
        <v>Rio de Janeiro</v>
      </c>
      <c r="N1199" s="4" t="str">
        <f aca="false">IF($A1199="","",UPPER(TRIM(Base_Bruta!M1199)))</f>
        <v>RJ</v>
      </c>
      <c r="O1199" s="4" t="str">
        <f aca="false">IF($A1199="","",_xlfn.XLOOKUP(LOWER(TRIM(Base_Bruta!N1199)),DePara_Pais!$A$2:$A$9,DePara_Pais!$B$2:$B$9,"REVISAR"))</f>
        <v>Brasil</v>
      </c>
      <c r="P1199" s="4" t="str">
        <f aca="false">IF($A1199="","",IF(O1199&lt;&gt;"Brasil","Turista Internacional",IF(M1199=F1199,"Local","Turista Nacional")))</f>
        <v>Local</v>
      </c>
      <c r="Q1199" s="7" t="n">
        <f aca="false">IF($A1199="","",DATE(YEAR(B1199),MONTH(B1199),1))</f>
        <v>45992</v>
      </c>
      <c r="R1199" s="4" t="str">
        <f aca="false">IF($A1199="","",IF(COUNTIF($A$2:$A1199,$A1199)&gt;1,"Sim","Não"))</f>
        <v>Não</v>
      </c>
      <c r="S1199" s="4" t="str">
        <f aca="false">IF(A1199="","Descartar - Linha vazia",IF(R1199="Sim","Descartar - Duplicado",IF(OR(H1199&lt;=0,I1199&lt;=0),"Descartar - Qtd/Valor inválido","OK")))</f>
        <v>OK</v>
      </c>
      <c r="T1199" s="4" t="str">
        <f aca="false">Base_Bruta!P1199</f>
        <v>vendas_RJ.xlsx</v>
      </c>
    </row>
    <row r="1200" customFormat="false" ht="15" hidden="false" customHeight="false" outlineLevel="0" collapsed="false">
      <c r="A1200" s="4" t="str">
        <f aca="false">IF(Base_Bruta!A1200="","",Base_Bruta!A1200)</f>
        <v>RJ-000164</v>
      </c>
      <c r="B1200" s="5" t="n">
        <f aca="false">IF($A1200="","",IF(ISNUMBER(Base_Bruta!B1200),Base_Bruta!B1200,IF(MID(Base_Bruta!B1200,5,1)="-",DATE(VALUE(LEFT(Base_Bruta!B1200,4)),VALUE(MID(Base_Bruta!B1200,6,2)),VALUE(RIGHT(Base_Bruta!B1200,2))),DATE(VALUE(RIGHT(Base_Bruta!B1200,4)),VALUE(MID(Base_Bruta!B1200,4,2)),VALUE(LEFT(Base_Bruta!B1200,2))))))</f>
        <v>46003</v>
      </c>
      <c r="C1200" s="5" t="n">
        <f aca="false">IF($A1200="","",IF(ISNUMBER(Base_Bruta!C1200),Base_Bruta!C1200,IF(MID(Base_Bruta!C1200,5,1)="-",DATE(VALUE(LEFT(Base_Bruta!C1200,4)),VALUE(MID(Base_Bruta!C1200,6,2)),VALUE(RIGHT(Base_Bruta!C1200,2))),DATE(VALUE(RIGHT(Base_Bruta!C1200,4)),VALUE(MID(Base_Bruta!C1200,4,2)),VALUE(LEFT(Base_Bruta!C1200,2))))))</f>
        <v>46046</v>
      </c>
      <c r="D1200" s="4" t="str">
        <f aca="false">IF($A1200="","",TRIM(Base_Bruta!D1200))</f>
        <v>Rio Beat Festival 2026</v>
      </c>
      <c r="E1200" s="4" t="str">
        <f aca="false">IF($A1200="","",_xlfn.XLOOKUP(LOWER(TRIM(Base_Bruta!E1200)),DePara_Categoria!$A$2:$A$9,DePara_Categoria!$B$2:$B$9,"REVISAR"))</f>
        <v>Festival</v>
      </c>
      <c r="F1200" s="4" t="str">
        <f aca="false">IF($A1200="","",_xlfn.XLOOKUP(LOWER(TRIM(Base_Bruta!F1200)),DePara_Cidade!$A$2:$A$29,DePara_Cidade!$B$2:$B$29,"REVISAR"))</f>
        <v>Rio de Janeiro</v>
      </c>
      <c r="G1200" s="4" t="str">
        <f aca="false">IF($A1200="","",TRIM(Base_Bruta!G1200))</f>
        <v>Inteira</v>
      </c>
      <c r="H1200" s="4" t="n">
        <f aca="false">IF($A1200="","",IF(ISNUMBER(Base_Bruta!H1200),Base_Bruta!H1200,IFERROR(_xlfn.NUMBERVALUE(TRIM(SUBSTITUTE(Base_Bruta!H1200,"R$","")),",","."),0)))</f>
        <v>1</v>
      </c>
      <c r="I1200" s="6" t="n">
        <f aca="false">IF($A1200="","",IF(ISNUMBER(Base_Bruta!I1200),Base_Bruta!I1200,IFERROR(_xlfn.NUMBERVALUE(TRIM(SUBSTITUTE(Base_Bruta!I1200,"R$","")),",","."),0)))</f>
        <v>765</v>
      </c>
      <c r="J1200" s="6" t="n">
        <f aca="false">IF($A1200="","",H1200*I1200)</f>
        <v>765</v>
      </c>
      <c r="K1200" s="4" t="str">
        <f aca="false">IF($A1200="","",TRIM(Base_Bruta!J1200))</f>
        <v>App</v>
      </c>
      <c r="L1200" s="4" t="str">
        <f aca="false">IF($A1200="","",TRIM(Base_Bruta!K1200))</f>
        <v>C00008</v>
      </c>
      <c r="M1200" s="4" t="str">
        <f aca="false">IF($A1200="","",_xlfn.XLOOKUP(LOWER(TRIM(Base_Bruta!L1200)),DePara_Cidade!$A$2:$A$29,DePara_Cidade!$B$2:$B$29,"REVISAR"))</f>
        <v>Rio de Janeiro</v>
      </c>
      <c r="N1200" s="4" t="str">
        <f aca="false">IF($A1200="","",UPPER(TRIM(Base_Bruta!M1200)))</f>
        <v>RJ</v>
      </c>
      <c r="O1200" s="4" t="str">
        <f aca="false">IF($A1200="","",_xlfn.XLOOKUP(LOWER(TRIM(Base_Bruta!N1200)),DePara_Pais!$A$2:$A$9,DePara_Pais!$B$2:$B$9,"REVISAR"))</f>
        <v>Brasil</v>
      </c>
      <c r="P1200" s="4" t="str">
        <f aca="false">IF($A1200="","",IF(O1200&lt;&gt;"Brasil","Turista Internacional",IF(M1200=F1200,"Local","Turista Nacional")))</f>
        <v>Local</v>
      </c>
      <c r="Q1200" s="7" t="n">
        <f aca="false">IF($A1200="","",DATE(YEAR(B1200),MONTH(B1200),1))</f>
        <v>45992</v>
      </c>
      <c r="R1200" s="4" t="str">
        <f aca="false">IF($A1200="","",IF(COUNTIF($A$2:$A1200,$A1200)&gt;1,"Sim","Não"))</f>
        <v>Não</v>
      </c>
      <c r="S1200" s="4" t="str">
        <f aca="false">IF(A1200="","Descartar - Linha vazia",IF(R1200="Sim","Descartar - Duplicado",IF(OR(H1200&lt;=0,I1200&lt;=0),"Descartar - Qtd/Valor inválido","OK")))</f>
        <v>OK</v>
      </c>
      <c r="T1200" s="4" t="str">
        <f aca="false">Base_Bruta!P1200</f>
        <v>vendas_RJ.xlsx</v>
      </c>
    </row>
    <row r="1201" customFormat="false" ht="15" hidden="false" customHeight="false" outlineLevel="0" collapsed="false">
      <c r="A1201" s="4" t="str">
        <f aca="false">IF(Base_Bruta!A1201="","",Base_Bruta!A1201)</f>
        <v>RJ-000192</v>
      </c>
      <c r="B1201" s="5" t="n">
        <f aca="false">IF($A1201="","",IF(ISNUMBER(Base_Bruta!B1201),Base_Bruta!B1201,IF(MID(Base_Bruta!B1201,5,1)="-",DATE(VALUE(LEFT(Base_Bruta!B1201,4)),VALUE(MID(Base_Bruta!B1201,6,2)),VALUE(RIGHT(Base_Bruta!B1201,2))),DATE(VALUE(RIGHT(Base_Bruta!B1201,4)),VALUE(MID(Base_Bruta!B1201,4,2)),VALUE(LEFT(Base_Bruta!B1201,2))))))</f>
        <v>46004</v>
      </c>
      <c r="C1201" s="5" t="n">
        <f aca="false">IF($A1201="","",IF(ISNUMBER(Base_Bruta!C1201),Base_Bruta!C1201,IF(MID(Base_Bruta!C1201,5,1)="-",DATE(VALUE(LEFT(Base_Bruta!C1201,4)),VALUE(MID(Base_Bruta!C1201,6,2)),VALUE(RIGHT(Base_Bruta!C1201,2))),DATE(VALUE(RIGHT(Base_Bruta!C1201,4)),VALUE(MID(Base_Bruta!C1201,4,2)),VALUE(LEFT(Base_Bruta!C1201,2))))))</f>
        <v>46046</v>
      </c>
      <c r="D1201" s="4" t="str">
        <f aca="false">IF($A1201="","",TRIM(Base_Bruta!D1201))</f>
        <v>Rio Beat Festival 2026</v>
      </c>
      <c r="E1201" s="4" t="str">
        <f aca="false">IF($A1201="","",_xlfn.XLOOKUP(LOWER(TRIM(Base_Bruta!E1201)),DePara_Categoria!$A$2:$A$9,DePara_Categoria!$B$2:$B$9,"REVISAR"))</f>
        <v>Festival</v>
      </c>
      <c r="F1201" s="4" t="str">
        <f aca="false">IF($A1201="","",_xlfn.XLOOKUP(LOWER(TRIM(Base_Bruta!F1201)),DePara_Cidade!$A$2:$A$29,DePara_Cidade!$B$2:$B$29,"REVISAR"))</f>
        <v>Rio de Janeiro</v>
      </c>
      <c r="G1201" s="4" t="str">
        <f aca="false">IF($A1201="","",TRIM(Base_Bruta!G1201))</f>
        <v>VIP</v>
      </c>
      <c r="H1201" s="4" t="n">
        <f aca="false">IF($A1201="","",IF(ISNUMBER(Base_Bruta!H1201),Base_Bruta!H1201,IFERROR(_xlfn.NUMBERVALUE(TRIM(SUBSTITUTE(Base_Bruta!H1201,"R$","")),",","."),0)))</f>
        <v>2</v>
      </c>
      <c r="I1201" s="6" t="n">
        <f aca="false">IF($A1201="","",IF(ISNUMBER(Base_Bruta!I1201),Base_Bruta!I1201,IFERROR(_xlfn.NUMBERVALUE(TRIM(SUBSTITUTE(Base_Bruta!I1201,"R$","")),",","."),0)))</f>
        <v>1410</v>
      </c>
      <c r="J1201" s="6" t="n">
        <f aca="false">IF($A1201="","",H1201*I1201)</f>
        <v>2820</v>
      </c>
      <c r="K1201" s="4" t="str">
        <f aca="false">IF($A1201="","",TRIM(Base_Bruta!J1201))</f>
        <v>Site</v>
      </c>
      <c r="L1201" s="4" t="str">
        <f aca="false">IF($A1201="","",TRIM(Base_Bruta!K1201))</f>
        <v>C00232</v>
      </c>
      <c r="M1201" s="4" t="str">
        <f aca="false">IF($A1201="","",_xlfn.XLOOKUP(LOWER(TRIM(Base_Bruta!L1201)),DePara_Cidade!$A$2:$A$29,DePara_Cidade!$B$2:$B$29,"REVISAR"))</f>
        <v>Rio de Janeiro</v>
      </c>
      <c r="N1201" s="4" t="str">
        <f aca="false">IF($A1201="","",UPPER(TRIM(Base_Bruta!M1201)))</f>
        <v>RJ</v>
      </c>
      <c r="O1201" s="4" t="str">
        <f aca="false">IF($A1201="","",_xlfn.XLOOKUP(LOWER(TRIM(Base_Bruta!N1201)),DePara_Pais!$A$2:$A$9,DePara_Pais!$B$2:$B$9,"REVISAR"))</f>
        <v>Brasil</v>
      </c>
      <c r="P1201" s="4" t="str">
        <f aca="false">IF($A1201="","",IF(O1201&lt;&gt;"Brasil","Turista Internacional",IF(M1201=F1201,"Local","Turista Nacional")))</f>
        <v>Local</v>
      </c>
      <c r="Q1201" s="7" t="n">
        <f aca="false">IF($A1201="","",DATE(YEAR(B1201),MONTH(B1201),1))</f>
        <v>45992</v>
      </c>
      <c r="R1201" s="4" t="str">
        <f aca="false">IF($A1201="","",IF(COUNTIF($A$2:$A1201,$A1201)&gt;1,"Sim","Não"))</f>
        <v>Não</v>
      </c>
      <c r="S1201" s="4" t="str">
        <f aca="false">IF(A1201="","Descartar - Linha vazia",IF(R1201="Sim","Descartar - Duplicado",IF(OR(H1201&lt;=0,I1201&lt;=0),"Descartar - Qtd/Valor inválido","OK")))</f>
        <v>OK</v>
      </c>
      <c r="T1201" s="4" t="str">
        <f aca="false">Base_Bruta!P1201</f>
        <v>vendas_RJ.xlsx</v>
      </c>
    </row>
    <row r="1202" customFormat="false" ht="15" hidden="false" customHeight="false" outlineLevel="0" collapsed="false">
      <c r="A1202" s="4" t="str">
        <f aca="false">IF(Base_Bruta!A1202="","",Base_Bruta!A1202)</f>
        <v>RJ-000075</v>
      </c>
      <c r="B1202" s="5" t="n">
        <f aca="false">IF($A1202="","",IF(ISNUMBER(Base_Bruta!B1202),Base_Bruta!B1202,IF(MID(Base_Bruta!B1202,5,1)="-",DATE(VALUE(LEFT(Base_Bruta!B1202,4)),VALUE(MID(Base_Bruta!B1202,6,2)),VALUE(RIGHT(Base_Bruta!B1202,2))),DATE(VALUE(RIGHT(Base_Bruta!B1202,4)),VALUE(MID(Base_Bruta!B1202,4,2)),VALUE(LEFT(Base_Bruta!B1202,2))))))</f>
        <v>46005</v>
      </c>
      <c r="C1202" s="5" t="n">
        <f aca="false">IF($A1202="","",IF(ISNUMBER(Base_Bruta!C1202),Base_Bruta!C1202,IF(MID(Base_Bruta!C1202,5,1)="-",DATE(VALUE(LEFT(Base_Bruta!C1202,4)),VALUE(MID(Base_Bruta!C1202,6,2)),VALUE(RIGHT(Base_Bruta!C1202,2))),DATE(VALUE(RIGHT(Base_Bruta!C1202,4)),VALUE(MID(Base_Bruta!C1202,4,2)),VALUE(LEFT(Base_Bruta!C1202,2))))))</f>
        <v>46046</v>
      </c>
      <c r="D1202" s="4" t="str">
        <f aca="false">IF($A1202="","",TRIM(Base_Bruta!D1202))</f>
        <v>Rio Beat Festival 2026</v>
      </c>
      <c r="E1202" s="4" t="str">
        <f aca="false">IF($A1202="","",_xlfn.XLOOKUP(LOWER(TRIM(Base_Bruta!E1202)),DePara_Categoria!$A$2:$A$9,DePara_Categoria!$B$2:$B$9,"REVISAR"))</f>
        <v>Festival</v>
      </c>
      <c r="F1202" s="4" t="str">
        <f aca="false">IF($A1202="","",_xlfn.XLOOKUP(LOWER(TRIM(Base_Bruta!F1202)),DePara_Cidade!$A$2:$A$29,DePara_Cidade!$B$2:$B$29,"REVISAR"))</f>
        <v>Rio de Janeiro</v>
      </c>
      <c r="G1202" s="4" t="str">
        <f aca="false">IF($A1202="","",TRIM(Base_Bruta!G1202))</f>
        <v>Meia</v>
      </c>
      <c r="H1202" s="4" t="n">
        <f aca="false">IF($A1202="","",IF(ISNUMBER(Base_Bruta!H1202),Base_Bruta!H1202,IFERROR(_xlfn.NUMBERVALUE(TRIM(SUBSTITUTE(Base_Bruta!H1202,"R$","")),",","."),0)))</f>
        <v>3</v>
      </c>
      <c r="I1202" s="6" t="n">
        <f aca="false">IF($A1202="","",IF(ISNUMBER(Base_Bruta!I1202),Base_Bruta!I1202,IFERROR(_xlfn.NUMBERVALUE(TRIM(SUBSTITUTE(Base_Bruta!I1202,"R$","")),",","."),0)))</f>
        <v>497.5</v>
      </c>
      <c r="J1202" s="6" t="n">
        <f aca="false">IF($A1202="","",H1202*I1202)</f>
        <v>1492.5</v>
      </c>
      <c r="K1202" s="4" t="str">
        <f aca="false">IF($A1202="","",TRIM(Base_Bruta!J1202))</f>
        <v>Bilheteria</v>
      </c>
      <c r="L1202" s="4" t="str">
        <f aca="false">IF($A1202="","",TRIM(Base_Bruta!K1202))</f>
        <v>C01363</v>
      </c>
      <c r="M1202" s="4" t="str">
        <f aca="false">IF($A1202="","",_xlfn.XLOOKUP(LOWER(TRIM(Base_Bruta!L1202)),DePara_Cidade!$A$2:$A$29,DePara_Cidade!$B$2:$B$29,"REVISAR"))</f>
        <v>Porto Alegre</v>
      </c>
      <c r="N1202" s="4" t="str">
        <f aca="false">IF($A1202="","",UPPER(TRIM(Base_Bruta!M1202)))</f>
        <v>RS</v>
      </c>
      <c r="O1202" s="4" t="str">
        <f aca="false">IF($A1202="","",_xlfn.XLOOKUP(LOWER(TRIM(Base_Bruta!N1202)),DePara_Pais!$A$2:$A$9,DePara_Pais!$B$2:$B$9,"REVISAR"))</f>
        <v>Brasil</v>
      </c>
      <c r="P1202" s="4" t="str">
        <f aca="false">IF($A1202="","",IF(O1202&lt;&gt;"Brasil","Turista Internacional",IF(M1202=F1202,"Local","Turista Nacional")))</f>
        <v>Turista Nacional</v>
      </c>
      <c r="Q1202" s="7" t="n">
        <f aca="false">IF($A1202="","",DATE(YEAR(B1202),MONTH(B1202),1))</f>
        <v>45992</v>
      </c>
      <c r="R1202" s="4" t="str">
        <f aca="false">IF($A1202="","",IF(COUNTIF($A$2:$A1202,$A1202)&gt;1,"Sim","Não"))</f>
        <v>Não</v>
      </c>
      <c r="S1202" s="4" t="str">
        <f aca="false">IF(A1202="","Descartar - Linha vazia",IF(R1202="Sim","Descartar - Duplicado",IF(OR(H1202&lt;=0,I1202&lt;=0),"Descartar - Qtd/Valor inválido","OK")))</f>
        <v>OK</v>
      </c>
      <c r="T1202" s="4" t="str">
        <f aca="false">Base_Bruta!P1202</f>
        <v>vendas_RJ.xlsx</v>
      </c>
    </row>
    <row r="1203" customFormat="false" ht="15" hidden="false" customHeight="false" outlineLevel="0" collapsed="false">
      <c r="A1203" s="4" t="str">
        <f aca="false">IF(Base_Bruta!A1203="","",Base_Bruta!A1203)</f>
        <v>RJ-000165</v>
      </c>
      <c r="B1203" s="5" t="n">
        <f aca="false">IF($A1203="","",IF(ISNUMBER(Base_Bruta!B1203),Base_Bruta!B1203,IF(MID(Base_Bruta!B1203,5,1)="-",DATE(VALUE(LEFT(Base_Bruta!B1203,4)),VALUE(MID(Base_Bruta!B1203,6,2)),VALUE(RIGHT(Base_Bruta!B1203,2))),DATE(VALUE(RIGHT(Base_Bruta!B1203,4)),VALUE(MID(Base_Bruta!B1203,4,2)),VALUE(LEFT(Base_Bruta!B1203,2))))))</f>
        <v>46007</v>
      </c>
      <c r="C1203" s="5" t="n">
        <f aca="false">IF($A1203="","",IF(ISNUMBER(Base_Bruta!C1203),Base_Bruta!C1203,IF(MID(Base_Bruta!C1203,5,1)="-",DATE(VALUE(LEFT(Base_Bruta!C1203,4)),VALUE(MID(Base_Bruta!C1203,6,2)),VALUE(RIGHT(Base_Bruta!C1203,2))),DATE(VALUE(RIGHT(Base_Bruta!C1203,4)),VALUE(MID(Base_Bruta!C1203,4,2)),VALUE(LEFT(Base_Bruta!C1203,2))))))</f>
        <v>46046</v>
      </c>
      <c r="D1203" s="4" t="str">
        <f aca="false">IF($A1203="","",TRIM(Base_Bruta!D1203))</f>
        <v>Rio Beat Festival 2026</v>
      </c>
      <c r="E1203" s="4" t="str">
        <f aca="false">IF($A1203="","",_xlfn.XLOOKUP(LOWER(TRIM(Base_Bruta!E1203)),DePara_Categoria!$A$2:$A$9,DePara_Categoria!$B$2:$B$9,"REVISAR"))</f>
        <v>Festival</v>
      </c>
      <c r="F1203" s="4" t="str">
        <f aca="false">IF($A1203="","",_xlfn.XLOOKUP(LOWER(TRIM(Base_Bruta!F1203)),DePara_Cidade!$A$2:$A$29,DePara_Cidade!$B$2:$B$29,"REVISAR"))</f>
        <v>Rio de Janeiro</v>
      </c>
      <c r="G1203" s="4" t="str">
        <f aca="false">IF($A1203="","",TRIM(Base_Bruta!G1203))</f>
        <v>Inteira</v>
      </c>
      <c r="H1203" s="4" t="n">
        <f aca="false">IF($A1203="","",IF(ISNUMBER(Base_Bruta!H1203),Base_Bruta!H1203,IFERROR(_xlfn.NUMBERVALUE(TRIM(SUBSTITUTE(Base_Bruta!H1203,"R$","")),",","."),0)))</f>
        <v>1</v>
      </c>
      <c r="I1203" s="6" t="n">
        <f aca="false">IF($A1203="","",IF(ISNUMBER(Base_Bruta!I1203),Base_Bruta!I1203,IFERROR(_xlfn.NUMBERVALUE(TRIM(SUBSTITUTE(Base_Bruta!I1203,"R$","")),",","."),0)))</f>
        <v>780</v>
      </c>
      <c r="J1203" s="6" t="n">
        <f aca="false">IF($A1203="","",H1203*I1203)</f>
        <v>780</v>
      </c>
      <c r="K1203" s="4" t="str">
        <f aca="false">IF($A1203="","",TRIM(Base_Bruta!J1203))</f>
        <v>Site</v>
      </c>
      <c r="L1203" s="4" t="str">
        <f aca="false">IF($A1203="","",TRIM(Base_Bruta!K1203))</f>
        <v>C01872</v>
      </c>
      <c r="M1203" s="4" t="str">
        <f aca="false">IF($A1203="","",_xlfn.XLOOKUP(LOWER(TRIM(Base_Bruta!L1203)),DePara_Cidade!$A$2:$A$29,DePara_Cidade!$B$2:$B$29,"REVISAR"))</f>
        <v>Rio de Janeiro</v>
      </c>
      <c r="N1203" s="4" t="str">
        <f aca="false">IF($A1203="","",UPPER(TRIM(Base_Bruta!M1203)))</f>
        <v>RJ</v>
      </c>
      <c r="O1203" s="4" t="str">
        <f aca="false">IF($A1203="","",_xlfn.XLOOKUP(LOWER(TRIM(Base_Bruta!N1203)),DePara_Pais!$A$2:$A$9,DePara_Pais!$B$2:$B$9,"REVISAR"))</f>
        <v>Brasil</v>
      </c>
      <c r="P1203" s="4" t="str">
        <f aca="false">IF($A1203="","",IF(O1203&lt;&gt;"Brasil","Turista Internacional",IF(M1203=F1203,"Local","Turista Nacional")))</f>
        <v>Local</v>
      </c>
      <c r="Q1203" s="7" t="n">
        <f aca="false">IF($A1203="","",DATE(YEAR(B1203),MONTH(B1203),1))</f>
        <v>45992</v>
      </c>
      <c r="R1203" s="4" t="str">
        <f aca="false">IF($A1203="","",IF(COUNTIF($A$2:$A1203,$A1203)&gt;1,"Sim","Não"))</f>
        <v>Não</v>
      </c>
      <c r="S1203" s="4" t="str">
        <f aca="false">IF(A1203="","Descartar - Linha vazia",IF(R1203="Sim","Descartar - Duplicado",IF(OR(H1203&lt;=0,I1203&lt;=0),"Descartar - Qtd/Valor inválido","OK")))</f>
        <v>OK</v>
      </c>
      <c r="T1203" s="4" t="str">
        <f aca="false">Base_Bruta!P1203</f>
        <v>vendas_RJ.xlsx</v>
      </c>
    </row>
    <row r="1204" customFormat="false" ht="15" hidden="false" customHeight="false" outlineLevel="0" collapsed="false">
      <c r="A1204" s="4" t="str">
        <f aca="false">IF(Base_Bruta!A1204="","",Base_Bruta!A1204)</f>
        <v>RJ-000616</v>
      </c>
      <c r="B1204" s="5" t="n">
        <f aca="false">IF($A1204="","",IF(ISNUMBER(Base_Bruta!B1204),Base_Bruta!B1204,IF(MID(Base_Bruta!B1204,5,1)="-",DATE(VALUE(LEFT(Base_Bruta!B1204,4)),VALUE(MID(Base_Bruta!B1204,6,2)),VALUE(RIGHT(Base_Bruta!B1204,2))),DATE(VALUE(RIGHT(Base_Bruta!B1204,4)),VALUE(MID(Base_Bruta!B1204,4,2)),VALUE(LEFT(Base_Bruta!B1204,2))))))</f>
        <v>46007</v>
      </c>
      <c r="C1204" s="5" t="n">
        <f aca="false">IF($A1204="","",IF(ISNUMBER(Base_Bruta!C1204),Base_Bruta!C1204,IF(MID(Base_Bruta!C1204,5,1)="-",DATE(VALUE(LEFT(Base_Bruta!C1204,4)),VALUE(MID(Base_Bruta!C1204,6,2)),VALUE(RIGHT(Base_Bruta!C1204,2))),DATE(VALUE(RIGHT(Base_Bruta!C1204,4)),VALUE(MID(Base_Bruta!C1204,4,2)),VALUE(LEFT(Base_Bruta!C1204,2))))))</f>
        <v>46008</v>
      </c>
      <c r="D1204" s="4" t="str">
        <f aca="false">IF($A1204="","",TRIM(Base_Bruta!D1204))</f>
        <v>Cinema Barra - Sessões</v>
      </c>
      <c r="E1204" s="4" t="str">
        <f aca="false">IF($A1204="","",_xlfn.XLOOKUP(LOWER(TRIM(Base_Bruta!E1204)),DePara_Categoria!$A$2:$A$9,DePara_Categoria!$B$2:$B$9,"REVISAR"))</f>
        <v>Cinema</v>
      </c>
      <c r="F1204" s="4" t="str">
        <f aca="false">IF($A1204="","",_xlfn.XLOOKUP(LOWER(TRIM(Base_Bruta!F1204)),DePara_Cidade!$A$2:$A$29,DePara_Cidade!$B$2:$B$29,"REVISAR"))</f>
        <v>Rio de Janeiro</v>
      </c>
      <c r="G1204" s="4" t="str">
        <f aca="false">IF($A1204="","",TRIM(Base_Bruta!G1204))</f>
        <v>Inteira</v>
      </c>
      <c r="H1204" s="4" t="n">
        <f aca="false">IF($A1204="","",IF(ISNUMBER(Base_Bruta!H1204),Base_Bruta!H1204,IFERROR(_xlfn.NUMBERVALUE(TRIM(SUBSTITUTE(Base_Bruta!H1204,"R$","")),",","."),0)))</f>
        <v>3</v>
      </c>
      <c r="I1204" s="6" t="n">
        <f aca="false">IF($A1204="","",IF(ISNUMBER(Base_Bruta!I1204),Base_Bruta!I1204,IFERROR(_xlfn.NUMBERVALUE(TRIM(SUBSTITUTE(Base_Bruta!I1204,"R$","")),",","."),0)))</f>
        <v>45</v>
      </c>
      <c r="J1204" s="6" t="n">
        <f aca="false">IF($A1204="","",H1204*I1204)</f>
        <v>135</v>
      </c>
      <c r="K1204" s="4" t="str">
        <f aca="false">IF($A1204="","",TRIM(Base_Bruta!J1204))</f>
        <v>Site</v>
      </c>
      <c r="L1204" s="4" t="str">
        <f aca="false">IF($A1204="","",TRIM(Base_Bruta!K1204))</f>
        <v>C01145</v>
      </c>
      <c r="M1204" s="4" t="str">
        <f aca="false">IF($A1204="","",_xlfn.XLOOKUP(LOWER(TRIM(Base_Bruta!L1204)),DePara_Cidade!$A$2:$A$29,DePara_Cidade!$B$2:$B$29,"REVISAR"))</f>
        <v>Rio de Janeiro</v>
      </c>
      <c r="N1204" s="4" t="str">
        <f aca="false">IF($A1204="","",UPPER(TRIM(Base_Bruta!M1204)))</f>
        <v>RJ</v>
      </c>
      <c r="O1204" s="4" t="str">
        <f aca="false">IF($A1204="","",_xlfn.XLOOKUP(LOWER(TRIM(Base_Bruta!N1204)),DePara_Pais!$A$2:$A$9,DePara_Pais!$B$2:$B$9,"REVISAR"))</f>
        <v>Brasil</v>
      </c>
      <c r="P1204" s="4" t="str">
        <f aca="false">IF($A1204="","",IF(O1204&lt;&gt;"Brasil","Turista Internacional",IF(M1204=F1204,"Local","Turista Nacional")))</f>
        <v>Local</v>
      </c>
      <c r="Q1204" s="7" t="n">
        <f aca="false">IF($A1204="","",DATE(YEAR(B1204),MONTH(B1204),1))</f>
        <v>45992</v>
      </c>
      <c r="R1204" s="4" t="str">
        <f aca="false">IF($A1204="","",IF(COUNTIF($A$2:$A1204,$A1204)&gt;1,"Sim","Não"))</f>
        <v>Não</v>
      </c>
      <c r="S1204" s="4" t="str">
        <f aca="false">IF(A1204="","Descartar - Linha vazia",IF(R1204="Sim","Descartar - Duplicado",IF(OR(H1204&lt;=0,I1204&lt;=0),"Descartar - Qtd/Valor inválido","OK")))</f>
        <v>OK</v>
      </c>
      <c r="T1204" s="4" t="str">
        <f aca="false">Base_Bruta!P1204</f>
        <v>vendas_RJ.xlsx</v>
      </c>
    </row>
    <row r="1205" customFormat="false" ht="15" hidden="false" customHeight="false" outlineLevel="0" collapsed="false">
      <c r="A1205" s="4" t="str">
        <f aca="false">IF(Base_Bruta!A1205="","",Base_Bruta!A1205)</f>
        <v>RJ-000032</v>
      </c>
      <c r="B1205" s="5" t="n">
        <f aca="false">IF($A1205="","",IF(ISNUMBER(Base_Bruta!B1205),Base_Bruta!B1205,IF(MID(Base_Bruta!B1205,5,1)="-",DATE(VALUE(LEFT(Base_Bruta!B1205,4)),VALUE(MID(Base_Bruta!B1205,6,2)),VALUE(RIGHT(Base_Bruta!B1205,2))),DATE(VALUE(RIGHT(Base_Bruta!B1205,4)),VALUE(MID(Base_Bruta!B1205,4,2)),VALUE(LEFT(Base_Bruta!B1205,2))))))</f>
        <v>46008</v>
      </c>
      <c r="C1205" s="5" t="n">
        <f aca="false">IF($A1205="","",IF(ISNUMBER(Base_Bruta!C1205),Base_Bruta!C1205,IF(MID(Base_Bruta!C1205,5,1)="-",DATE(VALUE(LEFT(Base_Bruta!C1205,4)),VALUE(MID(Base_Bruta!C1205,6,2)),VALUE(RIGHT(Base_Bruta!C1205,2))),DATE(VALUE(RIGHT(Base_Bruta!C1205,4)),VALUE(MID(Base_Bruta!C1205,4,2)),VALUE(LEFT(Base_Bruta!C1205,2))))))</f>
        <v>46046</v>
      </c>
      <c r="D1205" s="4" t="str">
        <f aca="false">IF($A1205="","",TRIM(Base_Bruta!D1205))</f>
        <v>Rio Beat Festival 2026</v>
      </c>
      <c r="E1205" s="4" t="str">
        <f aca="false">IF($A1205="","",_xlfn.XLOOKUP(LOWER(TRIM(Base_Bruta!E1205)),DePara_Categoria!$A$2:$A$9,DePara_Categoria!$B$2:$B$9,"REVISAR"))</f>
        <v>Festival</v>
      </c>
      <c r="F1205" s="4" t="str">
        <f aca="false">IF($A1205="","",_xlfn.XLOOKUP(LOWER(TRIM(Base_Bruta!F1205)),DePara_Cidade!$A$2:$A$29,DePara_Cidade!$B$2:$B$29,"REVISAR"))</f>
        <v>Rio de Janeiro</v>
      </c>
      <c r="G1205" s="4" t="str">
        <f aca="false">IF($A1205="","",TRIM(Base_Bruta!G1205))</f>
        <v>VIP</v>
      </c>
      <c r="H1205" s="4" t="n">
        <f aca="false">IF($A1205="","",IF(ISNUMBER(Base_Bruta!H1205),Base_Bruta!H1205,IFERROR(_xlfn.NUMBERVALUE(TRIM(SUBSTITUTE(Base_Bruta!H1205,"R$","")),",","."),0)))</f>
        <v>4</v>
      </c>
      <c r="I1205" s="6" t="n">
        <f aca="false">IF($A1205="","",IF(ISNUMBER(Base_Bruta!I1205),Base_Bruta!I1205,IFERROR(_xlfn.NUMBERVALUE(TRIM(SUBSTITUTE(Base_Bruta!I1205,"R$","")),",","."),0)))</f>
        <v>1390</v>
      </c>
      <c r="J1205" s="6" t="n">
        <f aca="false">IF($A1205="","",H1205*I1205)</f>
        <v>5560</v>
      </c>
      <c r="K1205" s="4" t="str">
        <f aca="false">IF($A1205="","",TRIM(Base_Bruta!J1205))</f>
        <v>Site</v>
      </c>
      <c r="L1205" s="4" t="str">
        <f aca="false">IF($A1205="","",TRIM(Base_Bruta!K1205))</f>
        <v>C00952</v>
      </c>
      <c r="M1205" s="4" t="str">
        <f aca="false">IF($A1205="","",_xlfn.XLOOKUP(LOWER(TRIM(Base_Bruta!L1205)),DePara_Cidade!$A$2:$A$29,DePara_Cidade!$B$2:$B$29,"REVISAR"))</f>
        <v>São Paulo</v>
      </c>
      <c r="N1205" s="4" t="str">
        <f aca="false">IF($A1205="","",UPPER(TRIM(Base_Bruta!M1205)))</f>
        <v>SP</v>
      </c>
      <c r="O1205" s="4" t="str">
        <f aca="false">IF($A1205="","",_xlfn.XLOOKUP(LOWER(TRIM(Base_Bruta!N1205)),DePara_Pais!$A$2:$A$9,DePara_Pais!$B$2:$B$9,"REVISAR"))</f>
        <v>Brasil</v>
      </c>
      <c r="P1205" s="4" t="str">
        <f aca="false">IF($A1205="","",IF(O1205&lt;&gt;"Brasil","Turista Internacional",IF(M1205=F1205,"Local","Turista Nacional")))</f>
        <v>Turista Nacional</v>
      </c>
      <c r="Q1205" s="7" t="n">
        <f aca="false">IF($A1205="","",DATE(YEAR(B1205),MONTH(B1205),1))</f>
        <v>45992</v>
      </c>
      <c r="R1205" s="4" t="str">
        <f aca="false">IF($A1205="","",IF(COUNTIF($A$2:$A1205,$A1205)&gt;1,"Sim","Não"))</f>
        <v>Não</v>
      </c>
      <c r="S1205" s="4" t="str">
        <f aca="false">IF(A1205="","Descartar - Linha vazia",IF(R1205="Sim","Descartar - Duplicado",IF(OR(H1205&lt;=0,I1205&lt;=0),"Descartar - Qtd/Valor inválido","OK")))</f>
        <v>OK</v>
      </c>
      <c r="T1205" s="4" t="str">
        <f aca="false">Base_Bruta!P1205</f>
        <v>vendas_RJ.xlsx</v>
      </c>
    </row>
    <row r="1206" customFormat="false" ht="15" hidden="false" customHeight="false" outlineLevel="0" collapsed="false">
      <c r="A1206" s="4" t="str">
        <f aca="false">IF(Base_Bruta!A1206="","",Base_Bruta!A1206)</f>
        <v>RJ-000063</v>
      </c>
      <c r="B1206" s="5" t="n">
        <f aca="false">IF($A1206="","",IF(ISNUMBER(Base_Bruta!B1206),Base_Bruta!B1206,IF(MID(Base_Bruta!B1206,5,1)="-",DATE(VALUE(LEFT(Base_Bruta!B1206,4)),VALUE(MID(Base_Bruta!B1206,6,2)),VALUE(RIGHT(Base_Bruta!B1206,2))),DATE(VALUE(RIGHT(Base_Bruta!B1206,4)),VALUE(MID(Base_Bruta!B1206,4,2)),VALUE(LEFT(Base_Bruta!B1206,2))))))</f>
        <v>46008</v>
      </c>
      <c r="C1206" s="5" t="n">
        <f aca="false">IF($A1206="","",IF(ISNUMBER(Base_Bruta!C1206),Base_Bruta!C1206,IF(MID(Base_Bruta!C1206,5,1)="-",DATE(VALUE(LEFT(Base_Bruta!C1206,4)),VALUE(MID(Base_Bruta!C1206,6,2)),VALUE(RIGHT(Base_Bruta!C1206,2))),DATE(VALUE(RIGHT(Base_Bruta!C1206,4)),VALUE(MID(Base_Bruta!C1206,4,2)),VALUE(LEFT(Base_Bruta!C1206,2))))))</f>
        <v>46046</v>
      </c>
      <c r="D1206" s="4" t="str">
        <f aca="false">IF($A1206="","",TRIM(Base_Bruta!D1206))</f>
        <v>Rio Beat Festival 2026</v>
      </c>
      <c r="E1206" s="4" t="str">
        <f aca="false">IF($A1206="","",_xlfn.XLOOKUP(LOWER(TRIM(Base_Bruta!E1206)),DePara_Categoria!$A$2:$A$9,DePara_Categoria!$B$2:$B$9,"REVISAR"))</f>
        <v>Festival</v>
      </c>
      <c r="F1206" s="4" t="str">
        <f aca="false">IF($A1206="","",_xlfn.XLOOKUP(LOWER(TRIM(Base_Bruta!F1206)),DePara_Cidade!$A$2:$A$29,DePara_Cidade!$B$2:$B$29,"REVISAR"))</f>
        <v>Rio de Janeiro</v>
      </c>
      <c r="G1206" s="4" t="str">
        <f aca="false">IF($A1206="","",TRIM(Base_Bruta!G1206))</f>
        <v>VIP</v>
      </c>
      <c r="H1206" s="4" t="n">
        <f aca="false">IF($A1206="","",IF(ISNUMBER(Base_Bruta!H1206),Base_Bruta!H1206,IFERROR(_xlfn.NUMBERVALUE(TRIM(SUBSTITUTE(Base_Bruta!H1206,"R$","")),",","."),0)))</f>
        <v>4</v>
      </c>
      <c r="I1206" s="6" t="n">
        <f aca="false">IF($A1206="","",IF(ISNUMBER(Base_Bruta!I1206),Base_Bruta!I1206,IFERROR(_xlfn.NUMBERVALUE(TRIM(SUBSTITUTE(Base_Bruta!I1206,"R$","")),",","."),0)))</f>
        <v>1570</v>
      </c>
      <c r="J1206" s="6" t="n">
        <f aca="false">IF($A1206="","",H1206*I1206)</f>
        <v>6280</v>
      </c>
      <c r="K1206" s="4" t="str">
        <f aca="false">IF($A1206="","",TRIM(Base_Bruta!J1206))</f>
        <v>App</v>
      </c>
      <c r="L1206" s="4" t="str">
        <f aca="false">IF($A1206="","",TRIM(Base_Bruta!K1206))</f>
        <v>C01359</v>
      </c>
      <c r="M1206" s="4" t="str">
        <f aca="false">IF($A1206="","",_xlfn.XLOOKUP(LOWER(TRIM(Base_Bruta!L1206)),DePara_Cidade!$A$2:$A$29,DePara_Cidade!$B$2:$B$29,"REVISAR"))</f>
        <v>Rio de Janeiro</v>
      </c>
      <c r="N1206" s="4" t="str">
        <f aca="false">IF($A1206="","",UPPER(TRIM(Base_Bruta!M1206)))</f>
        <v>RJ</v>
      </c>
      <c r="O1206" s="4" t="str">
        <f aca="false">IF($A1206="","",_xlfn.XLOOKUP(LOWER(TRIM(Base_Bruta!N1206)),DePara_Pais!$A$2:$A$9,DePara_Pais!$B$2:$B$9,"REVISAR"))</f>
        <v>Brasil</v>
      </c>
      <c r="P1206" s="4" t="str">
        <f aca="false">IF($A1206="","",IF(O1206&lt;&gt;"Brasil","Turista Internacional",IF(M1206=F1206,"Local","Turista Nacional")))</f>
        <v>Local</v>
      </c>
      <c r="Q1206" s="7" t="n">
        <f aca="false">IF($A1206="","",DATE(YEAR(B1206),MONTH(B1206),1))</f>
        <v>45992</v>
      </c>
      <c r="R1206" s="4" t="str">
        <f aca="false">IF($A1206="","",IF(COUNTIF($A$2:$A1206,$A1206)&gt;1,"Sim","Não"))</f>
        <v>Não</v>
      </c>
      <c r="S1206" s="4" t="str">
        <f aca="false">IF(A1206="","Descartar - Linha vazia",IF(R1206="Sim","Descartar - Duplicado",IF(OR(H1206&lt;=0,I1206&lt;=0),"Descartar - Qtd/Valor inválido","OK")))</f>
        <v>OK</v>
      </c>
      <c r="T1206" s="4" t="str">
        <f aca="false">Base_Bruta!P1206</f>
        <v>vendas_RJ.xlsx</v>
      </c>
    </row>
    <row r="1207" customFormat="false" ht="15" hidden="false" customHeight="false" outlineLevel="0" collapsed="false">
      <c r="A1207" s="4" t="str">
        <f aca="false">IF(Base_Bruta!A1207="","",Base_Bruta!A1207)</f>
        <v>RJ-000139</v>
      </c>
      <c r="B1207" s="5" t="n">
        <f aca="false">IF($A1207="","",IF(ISNUMBER(Base_Bruta!B1207),Base_Bruta!B1207,IF(MID(Base_Bruta!B1207,5,1)="-",DATE(VALUE(LEFT(Base_Bruta!B1207,4)),VALUE(MID(Base_Bruta!B1207,6,2)),VALUE(RIGHT(Base_Bruta!B1207,2))),DATE(VALUE(RIGHT(Base_Bruta!B1207,4)),VALUE(MID(Base_Bruta!B1207,4,2)),VALUE(LEFT(Base_Bruta!B1207,2))))))</f>
        <v>46010</v>
      </c>
      <c r="C1207" s="5" t="n">
        <f aca="false">IF($A1207="","",IF(ISNUMBER(Base_Bruta!C1207),Base_Bruta!C1207,IF(MID(Base_Bruta!C1207,5,1)="-",DATE(VALUE(LEFT(Base_Bruta!C1207,4)),VALUE(MID(Base_Bruta!C1207,6,2)),VALUE(RIGHT(Base_Bruta!C1207,2))),DATE(VALUE(RIGHT(Base_Bruta!C1207,4)),VALUE(MID(Base_Bruta!C1207,4,2)),VALUE(LEFT(Base_Bruta!C1207,2))))))</f>
        <v>46046</v>
      </c>
      <c r="D1207" s="4" t="str">
        <f aca="false">IF($A1207="","",TRIM(Base_Bruta!D1207))</f>
        <v>Rio Beat Festival 2026</v>
      </c>
      <c r="E1207" s="4" t="str">
        <f aca="false">IF($A1207="","",_xlfn.XLOOKUP(LOWER(TRIM(Base_Bruta!E1207)),DePara_Categoria!$A$2:$A$9,DePara_Categoria!$B$2:$B$9,"REVISAR"))</f>
        <v>Festival</v>
      </c>
      <c r="F1207" s="4" t="str">
        <f aca="false">IF($A1207="","",_xlfn.XLOOKUP(LOWER(TRIM(Base_Bruta!F1207)),DePara_Cidade!$A$2:$A$29,DePara_Cidade!$B$2:$B$29,"REVISAR"))</f>
        <v>Rio de Janeiro</v>
      </c>
      <c r="G1207" s="4" t="str">
        <f aca="false">IF($A1207="","",TRIM(Base_Bruta!G1207))</f>
        <v>Inteira</v>
      </c>
      <c r="H1207" s="4" t="n">
        <f aca="false">IF($A1207="","",IF(ISNUMBER(Base_Bruta!H1207),Base_Bruta!H1207,IFERROR(_xlfn.NUMBERVALUE(TRIM(SUBSTITUTE(Base_Bruta!H1207,"R$","")),",","."),0)))</f>
        <v>1</v>
      </c>
      <c r="I1207" s="6" t="n">
        <f aca="false">IF($A1207="","",IF(ISNUMBER(Base_Bruta!I1207),Base_Bruta!I1207,IFERROR(_xlfn.NUMBERVALUE(TRIM(SUBSTITUTE(Base_Bruta!I1207,"R$","")),",","."),0)))</f>
        <v>765</v>
      </c>
      <c r="J1207" s="6" t="n">
        <f aca="false">IF($A1207="","",H1207*I1207)</f>
        <v>765</v>
      </c>
      <c r="K1207" s="4" t="str">
        <f aca="false">IF($A1207="","",TRIM(Base_Bruta!J1207))</f>
        <v>Bilheteria</v>
      </c>
      <c r="L1207" s="4" t="str">
        <f aca="false">IF($A1207="","",TRIM(Base_Bruta!K1207))</f>
        <v>C01477</v>
      </c>
      <c r="M1207" s="4" t="str">
        <f aca="false">IF($A1207="","",_xlfn.XLOOKUP(LOWER(TRIM(Base_Bruta!L1207)),DePara_Cidade!$A$2:$A$29,DePara_Cidade!$B$2:$B$29,"REVISAR"))</f>
        <v>Rio de Janeiro</v>
      </c>
      <c r="N1207" s="4" t="str">
        <f aca="false">IF($A1207="","",UPPER(TRIM(Base_Bruta!M1207)))</f>
        <v>RJ</v>
      </c>
      <c r="O1207" s="4" t="str">
        <f aca="false">IF($A1207="","",_xlfn.XLOOKUP(LOWER(TRIM(Base_Bruta!N1207)),DePara_Pais!$A$2:$A$9,DePara_Pais!$B$2:$B$9,"REVISAR"))</f>
        <v>Brasil</v>
      </c>
      <c r="P1207" s="4" t="str">
        <f aca="false">IF($A1207="","",IF(O1207&lt;&gt;"Brasil","Turista Internacional",IF(M1207=F1207,"Local","Turista Nacional")))</f>
        <v>Local</v>
      </c>
      <c r="Q1207" s="7" t="n">
        <f aca="false">IF($A1207="","",DATE(YEAR(B1207),MONTH(B1207),1))</f>
        <v>45992</v>
      </c>
      <c r="R1207" s="4" t="str">
        <f aca="false">IF($A1207="","",IF(COUNTIF($A$2:$A1207,$A1207)&gt;1,"Sim","Não"))</f>
        <v>Não</v>
      </c>
      <c r="S1207" s="4" t="str">
        <f aca="false">IF(A1207="","Descartar - Linha vazia",IF(R1207="Sim","Descartar - Duplicado",IF(OR(H1207&lt;=0,I1207&lt;=0),"Descartar - Qtd/Valor inválido","OK")))</f>
        <v>OK</v>
      </c>
      <c r="T1207" s="4" t="str">
        <f aca="false">Base_Bruta!P1207</f>
        <v>vendas_RJ.xlsx</v>
      </c>
    </row>
    <row r="1208" customFormat="false" ht="15" hidden="false" customHeight="false" outlineLevel="0" collapsed="false">
      <c r="A1208" s="4" t="str">
        <f aca="false">IF(Base_Bruta!A1208="","",Base_Bruta!A1208)</f>
        <v>RJ-000176</v>
      </c>
      <c r="B1208" s="5" t="n">
        <f aca="false">IF($A1208="","",IF(ISNUMBER(Base_Bruta!B1208),Base_Bruta!B1208,IF(MID(Base_Bruta!B1208,5,1)="-",DATE(VALUE(LEFT(Base_Bruta!B1208,4)),VALUE(MID(Base_Bruta!B1208,6,2)),VALUE(RIGHT(Base_Bruta!B1208,2))),DATE(VALUE(RIGHT(Base_Bruta!B1208,4)),VALUE(MID(Base_Bruta!B1208,4,2)),VALUE(LEFT(Base_Bruta!B1208,2))))))</f>
        <v>46010</v>
      </c>
      <c r="C1208" s="5" t="n">
        <f aca="false">IF($A1208="","",IF(ISNUMBER(Base_Bruta!C1208),Base_Bruta!C1208,IF(MID(Base_Bruta!C1208,5,1)="-",DATE(VALUE(LEFT(Base_Bruta!C1208,4)),VALUE(MID(Base_Bruta!C1208,6,2)),VALUE(RIGHT(Base_Bruta!C1208,2))),DATE(VALUE(RIGHT(Base_Bruta!C1208,4)),VALUE(MID(Base_Bruta!C1208,4,2)),VALUE(LEFT(Base_Bruta!C1208,2))))))</f>
        <v>46046</v>
      </c>
      <c r="D1208" s="4" t="str">
        <f aca="false">IF($A1208="","",TRIM(Base_Bruta!D1208))</f>
        <v>Rio Beat Festival 2026</v>
      </c>
      <c r="E1208" s="4" t="str">
        <f aca="false">IF($A1208="","",_xlfn.XLOOKUP(LOWER(TRIM(Base_Bruta!E1208)),DePara_Categoria!$A$2:$A$9,DePara_Categoria!$B$2:$B$9,"REVISAR"))</f>
        <v>Festival</v>
      </c>
      <c r="F1208" s="4" t="str">
        <f aca="false">IF($A1208="","",_xlfn.XLOOKUP(LOWER(TRIM(Base_Bruta!F1208)),DePara_Cidade!$A$2:$A$29,DePara_Cidade!$B$2:$B$29,"REVISAR"))</f>
        <v>Rio de Janeiro</v>
      </c>
      <c r="G1208" s="4" t="str">
        <f aca="false">IF($A1208="","",TRIM(Base_Bruta!G1208))</f>
        <v>Inteira</v>
      </c>
      <c r="H1208" s="4" t="n">
        <f aca="false">IF($A1208="","",IF(ISNUMBER(Base_Bruta!H1208),Base_Bruta!H1208,IFERROR(_xlfn.NUMBERVALUE(TRIM(SUBSTITUTE(Base_Bruta!H1208,"R$","")),",","."),0)))</f>
        <v>1</v>
      </c>
      <c r="I1208" s="6" t="n">
        <f aca="false">IF($A1208="","",IF(ISNUMBER(Base_Bruta!I1208),Base_Bruta!I1208,IFERROR(_xlfn.NUMBERVALUE(TRIM(SUBSTITUTE(Base_Bruta!I1208,"R$","")),",","."),0)))</f>
        <v>1070</v>
      </c>
      <c r="J1208" s="6" t="n">
        <f aca="false">IF($A1208="","",H1208*I1208)</f>
        <v>1070</v>
      </c>
      <c r="K1208" s="4" t="str">
        <f aca="false">IF($A1208="","",TRIM(Base_Bruta!J1208))</f>
        <v>App</v>
      </c>
      <c r="L1208" s="4" t="str">
        <f aca="false">IF($A1208="","",TRIM(Base_Bruta!K1208))</f>
        <v>C00456</v>
      </c>
      <c r="M1208" s="4" t="str">
        <f aca="false">IF($A1208="","",_xlfn.XLOOKUP(LOWER(TRIM(Base_Bruta!L1208)),DePara_Cidade!$A$2:$A$29,DePara_Cidade!$B$2:$B$29,"REVISAR"))</f>
        <v>Curitiba</v>
      </c>
      <c r="N1208" s="4" t="str">
        <f aca="false">IF($A1208="","",UPPER(TRIM(Base_Bruta!M1208)))</f>
        <v>PR</v>
      </c>
      <c r="O1208" s="4" t="str">
        <f aca="false">IF($A1208="","",_xlfn.XLOOKUP(LOWER(TRIM(Base_Bruta!N1208)),DePara_Pais!$A$2:$A$9,DePara_Pais!$B$2:$B$9,"REVISAR"))</f>
        <v>Brasil</v>
      </c>
      <c r="P1208" s="4" t="str">
        <f aca="false">IF($A1208="","",IF(O1208&lt;&gt;"Brasil","Turista Internacional",IF(M1208=F1208,"Local","Turista Nacional")))</f>
        <v>Turista Nacional</v>
      </c>
      <c r="Q1208" s="7" t="n">
        <f aca="false">IF($A1208="","",DATE(YEAR(B1208),MONTH(B1208),1))</f>
        <v>45992</v>
      </c>
      <c r="R1208" s="4" t="str">
        <f aca="false">IF($A1208="","",IF(COUNTIF($A$2:$A1208,$A1208)&gt;1,"Sim","Não"))</f>
        <v>Não</v>
      </c>
      <c r="S1208" s="4" t="str">
        <f aca="false">IF(A1208="","Descartar - Linha vazia",IF(R1208="Sim","Descartar - Duplicado",IF(OR(H1208&lt;=0,I1208&lt;=0),"Descartar - Qtd/Valor inválido","OK")))</f>
        <v>OK</v>
      </c>
      <c r="T1208" s="4" t="str">
        <f aca="false">Base_Bruta!P1208</f>
        <v>vendas_RJ.xlsx</v>
      </c>
    </row>
    <row r="1209" customFormat="false" ht="15" hidden="false" customHeight="false" outlineLevel="0" collapsed="false">
      <c r="A1209" s="4" t="str">
        <f aca="false">IF(Base_Bruta!A1209="","",Base_Bruta!A1209)</f>
        <v>RJ-000046</v>
      </c>
      <c r="B1209" s="5" t="n">
        <f aca="false">IF($A1209="","",IF(ISNUMBER(Base_Bruta!B1209),Base_Bruta!B1209,IF(MID(Base_Bruta!B1209,5,1)="-",DATE(VALUE(LEFT(Base_Bruta!B1209,4)),VALUE(MID(Base_Bruta!B1209,6,2)),VALUE(RIGHT(Base_Bruta!B1209,2))),DATE(VALUE(RIGHT(Base_Bruta!B1209,4)),VALUE(MID(Base_Bruta!B1209,4,2)),VALUE(LEFT(Base_Bruta!B1209,2))))))</f>
        <v>46011</v>
      </c>
      <c r="C1209" s="5" t="n">
        <f aca="false">IF($A1209="","",IF(ISNUMBER(Base_Bruta!C1209),Base_Bruta!C1209,IF(MID(Base_Bruta!C1209,5,1)="-",DATE(VALUE(LEFT(Base_Bruta!C1209,4)),VALUE(MID(Base_Bruta!C1209,6,2)),VALUE(RIGHT(Base_Bruta!C1209,2))),DATE(VALUE(RIGHT(Base_Bruta!C1209,4)),VALUE(MID(Base_Bruta!C1209,4,2)),VALUE(LEFT(Base_Bruta!C1209,2))))))</f>
        <v>46046</v>
      </c>
      <c r="D1209" s="4" t="str">
        <f aca="false">IF($A1209="","",TRIM(Base_Bruta!D1209))</f>
        <v>Rio Beat Festival 2026</v>
      </c>
      <c r="E1209" s="4" t="str">
        <f aca="false">IF($A1209="","",_xlfn.XLOOKUP(LOWER(TRIM(Base_Bruta!E1209)),DePara_Categoria!$A$2:$A$9,DePara_Categoria!$B$2:$B$9,"REVISAR"))</f>
        <v>Festival</v>
      </c>
      <c r="F1209" s="4" t="str">
        <f aca="false">IF($A1209="","",_xlfn.XLOOKUP(LOWER(TRIM(Base_Bruta!F1209)),DePara_Cidade!$A$2:$A$29,DePara_Cidade!$B$2:$B$29,"REVISAR"))</f>
        <v>Rio de Janeiro</v>
      </c>
      <c r="G1209" s="4" t="str">
        <f aca="false">IF($A1209="","",TRIM(Base_Bruta!G1209))</f>
        <v>Inteira</v>
      </c>
      <c r="H1209" s="4" t="n">
        <f aca="false">IF($A1209="","",IF(ISNUMBER(Base_Bruta!H1209),Base_Bruta!H1209,IFERROR(_xlfn.NUMBERVALUE(TRIM(SUBSTITUTE(Base_Bruta!H1209,"R$","")),",","."),0)))</f>
        <v>3</v>
      </c>
      <c r="I1209" s="6" t="n">
        <f aca="false">IF($A1209="","",IF(ISNUMBER(Base_Bruta!I1209),Base_Bruta!I1209,IFERROR(_xlfn.NUMBERVALUE(TRIM(SUBSTITUTE(Base_Bruta!I1209,"R$","")),",","."),0)))</f>
        <v>980</v>
      </c>
      <c r="J1209" s="6" t="n">
        <f aca="false">IF($A1209="","",H1209*I1209)</f>
        <v>2940</v>
      </c>
      <c r="K1209" s="4" t="str">
        <f aca="false">IF($A1209="","",TRIM(Base_Bruta!J1209))</f>
        <v>App</v>
      </c>
      <c r="L1209" s="4" t="str">
        <f aca="false">IF($A1209="","",TRIM(Base_Bruta!K1209))</f>
        <v>C02100</v>
      </c>
      <c r="M1209" s="4" t="str">
        <f aca="false">IF($A1209="","",_xlfn.XLOOKUP(LOWER(TRIM(Base_Bruta!L1209)),DePara_Cidade!$A$2:$A$29,DePara_Cidade!$B$2:$B$29,"REVISAR"))</f>
        <v>Santiago</v>
      </c>
      <c r="N1209" s="4" t="str">
        <f aca="false">IF($A1209="","",UPPER(TRIM(Base_Bruta!M1209)))</f>
        <v>EX</v>
      </c>
      <c r="O1209" s="4" t="str">
        <f aca="false">IF($A1209="","",_xlfn.XLOOKUP(LOWER(TRIM(Base_Bruta!N1209)),DePara_Pais!$A$2:$A$9,DePara_Pais!$B$2:$B$9,"REVISAR"))</f>
        <v>Chile</v>
      </c>
      <c r="P1209" s="4" t="str">
        <f aca="false">IF($A1209="","",IF(O1209&lt;&gt;"Brasil","Turista Internacional",IF(M1209=F1209,"Local","Turista Nacional")))</f>
        <v>Turista Internacional</v>
      </c>
      <c r="Q1209" s="7" t="n">
        <f aca="false">IF($A1209="","",DATE(YEAR(B1209),MONTH(B1209),1))</f>
        <v>45992</v>
      </c>
      <c r="R1209" s="4" t="str">
        <f aca="false">IF($A1209="","",IF(COUNTIF($A$2:$A1209,$A1209)&gt;1,"Sim","Não"))</f>
        <v>Não</v>
      </c>
      <c r="S1209" s="4" t="str">
        <f aca="false">IF(A1209="","Descartar - Linha vazia",IF(R1209="Sim","Descartar - Duplicado",IF(OR(H1209&lt;=0,I1209&lt;=0),"Descartar - Qtd/Valor inválido","OK")))</f>
        <v>OK</v>
      </c>
      <c r="T1209" s="4" t="str">
        <f aca="false">Base_Bruta!P1209</f>
        <v>vendas_RJ.xlsx</v>
      </c>
    </row>
    <row r="1210" customFormat="false" ht="15" hidden="false" customHeight="false" outlineLevel="0" collapsed="false">
      <c r="A1210" s="4" t="str">
        <f aca="false">IF(Base_Bruta!A1210="","",Base_Bruta!A1210)</f>
        <v>RJ-000625</v>
      </c>
      <c r="B1210" s="5" t="n">
        <f aca="false">IF($A1210="","",IF(ISNUMBER(Base_Bruta!B1210),Base_Bruta!B1210,IF(MID(Base_Bruta!B1210,5,1)="-",DATE(VALUE(LEFT(Base_Bruta!B1210,4)),VALUE(MID(Base_Bruta!B1210,6,2)),VALUE(RIGHT(Base_Bruta!B1210,2))),DATE(VALUE(RIGHT(Base_Bruta!B1210,4)),VALUE(MID(Base_Bruta!B1210,4,2)),VALUE(LEFT(Base_Bruta!B1210,2))))))</f>
        <v>46011</v>
      </c>
      <c r="C1210" s="5" t="n">
        <f aca="false">IF($A1210="","",IF(ISNUMBER(Base_Bruta!C1210),Base_Bruta!C1210,IF(MID(Base_Bruta!C1210,5,1)="-",DATE(VALUE(LEFT(Base_Bruta!C1210,4)),VALUE(MID(Base_Bruta!C1210,6,2)),VALUE(RIGHT(Base_Bruta!C1210,2))),DATE(VALUE(RIGHT(Base_Bruta!C1210,4)),VALUE(MID(Base_Bruta!C1210,4,2)),VALUE(LEFT(Base_Bruta!C1210,2))))))</f>
        <v>46012</v>
      </c>
      <c r="D1210" s="4" t="str">
        <f aca="false">IF($A1210="","",TRIM(Base_Bruta!D1210))</f>
        <v>Cinema Barra - Sessões</v>
      </c>
      <c r="E1210" s="4" t="str">
        <f aca="false">IF($A1210="","",_xlfn.XLOOKUP(LOWER(TRIM(Base_Bruta!E1210)),DePara_Categoria!$A$2:$A$9,DePara_Categoria!$B$2:$B$9,"REVISAR"))</f>
        <v>Cinema</v>
      </c>
      <c r="F1210" s="4" t="str">
        <f aca="false">IF($A1210="","",_xlfn.XLOOKUP(LOWER(TRIM(Base_Bruta!F1210)),DePara_Cidade!$A$2:$A$29,DePara_Cidade!$B$2:$B$29,"REVISAR"))</f>
        <v>Rio de Janeiro</v>
      </c>
      <c r="G1210" s="4" t="str">
        <f aca="false">IF($A1210="","",TRIM(Base_Bruta!G1210))</f>
        <v>Meia</v>
      </c>
      <c r="H1210" s="4" t="n">
        <f aca="false">IF($A1210="","",IF(ISNUMBER(Base_Bruta!H1210),Base_Bruta!H1210,IFERROR(_xlfn.NUMBERVALUE(TRIM(SUBSTITUTE(Base_Bruta!H1210,"R$","")),",","."),0)))</f>
        <v>1</v>
      </c>
      <c r="I1210" s="6" t="n">
        <f aca="false">IF($A1210="","",IF(ISNUMBER(Base_Bruta!I1210),Base_Bruta!I1210,IFERROR(_xlfn.NUMBERVALUE(TRIM(SUBSTITUTE(Base_Bruta!I1210,"R$","")),",","."),0)))</f>
        <v>15</v>
      </c>
      <c r="J1210" s="6" t="n">
        <f aca="false">IF($A1210="","",H1210*I1210)</f>
        <v>15</v>
      </c>
      <c r="K1210" s="4" t="str">
        <f aca="false">IF($A1210="","",TRIM(Base_Bruta!J1210))</f>
        <v>Site</v>
      </c>
      <c r="L1210" s="4" t="str">
        <f aca="false">IF($A1210="","",TRIM(Base_Bruta!K1210))</f>
        <v>C00171</v>
      </c>
      <c r="M1210" s="4" t="str">
        <f aca="false">IF($A1210="","",_xlfn.XLOOKUP(LOWER(TRIM(Base_Bruta!L1210)),DePara_Cidade!$A$2:$A$29,DePara_Cidade!$B$2:$B$29,"REVISAR"))</f>
        <v>Rio de Janeiro</v>
      </c>
      <c r="N1210" s="4" t="str">
        <f aca="false">IF($A1210="","",UPPER(TRIM(Base_Bruta!M1210)))</f>
        <v>RJ</v>
      </c>
      <c r="O1210" s="4" t="str">
        <f aca="false">IF($A1210="","",_xlfn.XLOOKUP(LOWER(TRIM(Base_Bruta!N1210)),DePara_Pais!$A$2:$A$9,DePara_Pais!$B$2:$B$9,"REVISAR"))</f>
        <v>Brasil</v>
      </c>
      <c r="P1210" s="4" t="str">
        <f aca="false">IF($A1210="","",IF(O1210&lt;&gt;"Brasil","Turista Internacional",IF(M1210=F1210,"Local","Turista Nacional")))</f>
        <v>Local</v>
      </c>
      <c r="Q1210" s="7" t="n">
        <f aca="false">IF($A1210="","",DATE(YEAR(B1210),MONTH(B1210),1))</f>
        <v>45992</v>
      </c>
      <c r="R1210" s="4" t="str">
        <f aca="false">IF($A1210="","",IF(COUNTIF($A$2:$A1210,$A1210)&gt;1,"Sim","Não"))</f>
        <v>Não</v>
      </c>
      <c r="S1210" s="4" t="str">
        <f aca="false">IF(A1210="","Descartar - Linha vazia",IF(R1210="Sim","Descartar - Duplicado",IF(OR(H1210&lt;=0,I1210&lt;=0),"Descartar - Qtd/Valor inválido","OK")))</f>
        <v>OK</v>
      </c>
      <c r="T1210" s="4" t="str">
        <f aca="false">Base_Bruta!P1210</f>
        <v>vendas_RJ.xlsx</v>
      </c>
    </row>
    <row r="1211" customFormat="false" ht="15" hidden="false" customHeight="false" outlineLevel="0" collapsed="false">
      <c r="A1211" s="4" t="str">
        <f aca="false">IF(Base_Bruta!A1211="","",Base_Bruta!A1211)</f>
        <v>RJ-000204</v>
      </c>
      <c r="B1211" s="5" t="n">
        <f aca="false">IF($A1211="","",IF(ISNUMBER(Base_Bruta!B1211),Base_Bruta!B1211,IF(MID(Base_Bruta!B1211,5,1)="-",DATE(VALUE(LEFT(Base_Bruta!B1211,4)),VALUE(MID(Base_Bruta!B1211,6,2)),VALUE(RIGHT(Base_Bruta!B1211,2))),DATE(VALUE(RIGHT(Base_Bruta!B1211,4)),VALUE(MID(Base_Bruta!B1211,4,2)),VALUE(LEFT(Base_Bruta!B1211,2))))))</f>
        <v>46012</v>
      </c>
      <c r="C1211" s="5" t="n">
        <f aca="false">IF($A1211="","",IF(ISNUMBER(Base_Bruta!C1211),Base_Bruta!C1211,IF(MID(Base_Bruta!C1211,5,1)="-",DATE(VALUE(LEFT(Base_Bruta!C1211,4)),VALUE(MID(Base_Bruta!C1211,6,2)),VALUE(RIGHT(Base_Bruta!C1211,2))),DATE(VALUE(RIGHT(Base_Bruta!C1211,4)),VALUE(MID(Base_Bruta!C1211,4,2)),VALUE(LEFT(Base_Bruta!C1211,2))))))</f>
        <v>46046</v>
      </c>
      <c r="D1211" s="4" t="str">
        <f aca="false">IF($A1211="","",TRIM(Base_Bruta!D1211))</f>
        <v>Rio Beat Festival 2026</v>
      </c>
      <c r="E1211" s="4" t="str">
        <f aca="false">IF($A1211="","",_xlfn.XLOOKUP(LOWER(TRIM(Base_Bruta!E1211)),DePara_Categoria!$A$2:$A$9,DePara_Categoria!$B$2:$B$9,"REVISAR"))</f>
        <v>Festival</v>
      </c>
      <c r="F1211" s="4" t="str">
        <f aca="false">IF($A1211="","",_xlfn.XLOOKUP(LOWER(TRIM(Base_Bruta!F1211)),DePara_Cidade!$A$2:$A$29,DePara_Cidade!$B$2:$B$29,"REVISAR"))</f>
        <v>Rio de Janeiro</v>
      </c>
      <c r="G1211" s="4" t="str">
        <f aca="false">IF($A1211="","",TRIM(Base_Bruta!G1211))</f>
        <v>Meia</v>
      </c>
      <c r="H1211" s="4" t="n">
        <f aca="false">IF($A1211="","",IF(ISNUMBER(Base_Bruta!H1211),Base_Bruta!H1211,IFERROR(_xlfn.NUMBERVALUE(TRIM(SUBSTITUTE(Base_Bruta!H1211,"R$","")),",","."),0)))</f>
        <v>1</v>
      </c>
      <c r="I1211" s="6" t="n">
        <f aca="false">IF($A1211="","",IF(ISNUMBER(Base_Bruta!I1211),Base_Bruta!I1211,IFERROR(_xlfn.NUMBERVALUE(TRIM(SUBSTITUTE(Base_Bruta!I1211,"R$","")),",","."),0)))</f>
        <v>547.5</v>
      </c>
      <c r="J1211" s="6" t="n">
        <f aca="false">IF($A1211="","",H1211*I1211)</f>
        <v>547.5</v>
      </c>
      <c r="K1211" s="4" t="str">
        <f aca="false">IF($A1211="","",TRIM(Base_Bruta!J1211))</f>
        <v>Parceiro</v>
      </c>
      <c r="L1211" s="4" t="str">
        <f aca="false">IF($A1211="","",TRIM(Base_Bruta!K1211))</f>
        <v>C01043</v>
      </c>
      <c r="M1211" s="4" t="str">
        <f aca="false">IF($A1211="","",_xlfn.XLOOKUP(LOWER(TRIM(Base_Bruta!L1211)),DePara_Cidade!$A$2:$A$29,DePara_Cidade!$B$2:$B$29,"REVISAR"))</f>
        <v>Niterói</v>
      </c>
      <c r="N1211" s="4" t="str">
        <f aca="false">IF($A1211="","",UPPER(TRIM(Base_Bruta!M1211)))</f>
        <v>RJ</v>
      </c>
      <c r="O1211" s="4" t="str">
        <f aca="false">IF($A1211="","",_xlfn.XLOOKUP(LOWER(TRIM(Base_Bruta!N1211)),DePara_Pais!$A$2:$A$9,DePara_Pais!$B$2:$B$9,"REVISAR"))</f>
        <v>Brasil</v>
      </c>
      <c r="P1211" s="4" t="str">
        <f aca="false">IF($A1211="","",IF(O1211&lt;&gt;"Brasil","Turista Internacional",IF(M1211=F1211,"Local","Turista Nacional")))</f>
        <v>Turista Nacional</v>
      </c>
      <c r="Q1211" s="7" t="n">
        <f aca="false">IF($A1211="","",DATE(YEAR(B1211),MONTH(B1211),1))</f>
        <v>45992</v>
      </c>
      <c r="R1211" s="4" t="str">
        <f aca="false">IF($A1211="","",IF(COUNTIF($A$2:$A1211,$A1211)&gt;1,"Sim","Não"))</f>
        <v>Não</v>
      </c>
      <c r="S1211" s="4" t="str">
        <f aca="false">IF(A1211="","Descartar - Linha vazia",IF(R1211="Sim","Descartar - Duplicado",IF(OR(H1211&lt;=0,I1211&lt;=0),"Descartar - Qtd/Valor inválido","OK")))</f>
        <v>OK</v>
      </c>
      <c r="T1211" s="4" t="str">
        <f aca="false">Base_Bruta!P1211</f>
        <v>vendas_RJ.xlsx</v>
      </c>
    </row>
    <row r="1212" customFormat="false" ht="15" hidden="false" customHeight="false" outlineLevel="0" collapsed="false">
      <c r="A1212" s="4" t="str">
        <f aca="false">IF(Base_Bruta!A1212="","",Base_Bruta!A1212)</f>
        <v>RJ-000598</v>
      </c>
      <c r="B1212" s="5" t="n">
        <f aca="false">IF($A1212="","",IF(ISNUMBER(Base_Bruta!B1212),Base_Bruta!B1212,IF(MID(Base_Bruta!B1212,5,1)="-",DATE(VALUE(LEFT(Base_Bruta!B1212,4)),VALUE(MID(Base_Bruta!B1212,6,2)),VALUE(RIGHT(Base_Bruta!B1212,2))),DATE(VALUE(RIGHT(Base_Bruta!B1212,4)),VALUE(MID(Base_Bruta!B1212,4,2)),VALUE(LEFT(Base_Bruta!B1212,2))))))</f>
        <v>46012</v>
      </c>
      <c r="C1212" s="5" t="n">
        <f aca="false">IF($A1212="","",IF(ISNUMBER(Base_Bruta!C1212),Base_Bruta!C1212,IF(MID(Base_Bruta!C1212,5,1)="-",DATE(VALUE(LEFT(Base_Bruta!C1212,4)),VALUE(MID(Base_Bruta!C1212,6,2)),VALUE(RIGHT(Base_Bruta!C1212,2))),DATE(VALUE(RIGHT(Base_Bruta!C1212,4)),VALUE(MID(Base_Bruta!C1212,4,2)),VALUE(LEFT(Base_Bruta!C1212,2))))))</f>
        <v>46012</v>
      </c>
      <c r="D1212" s="4" t="str">
        <f aca="false">IF($A1212="","",TRIM(Base_Bruta!D1212))</f>
        <v>Cinema Barra - Sessões</v>
      </c>
      <c r="E1212" s="4" t="str">
        <f aca="false">IF($A1212="","",_xlfn.XLOOKUP(LOWER(TRIM(Base_Bruta!E1212)),DePara_Categoria!$A$2:$A$9,DePara_Categoria!$B$2:$B$9,"REVISAR"))</f>
        <v>Cinema</v>
      </c>
      <c r="F1212" s="4" t="str">
        <f aca="false">IF($A1212="","",_xlfn.XLOOKUP(LOWER(TRIM(Base_Bruta!F1212)),DePara_Cidade!$A$2:$A$29,DePara_Cidade!$B$2:$B$29,"REVISAR"))</f>
        <v>Rio de Janeiro</v>
      </c>
      <c r="G1212" s="4" t="str">
        <f aca="false">IF($A1212="","",TRIM(Base_Bruta!G1212))</f>
        <v>Inteira</v>
      </c>
      <c r="H1212" s="4" t="n">
        <f aca="false">IF($A1212="","",IF(ISNUMBER(Base_Bruta!H1212),Base_Bruta!H1212,IFERROR(_xlfn.NUMBERVALUE(TRIM(SUBSTITUTE(Base_Bruta!H1212,"R$","")),",","."),0)))</f>
        <v>3</v>
      </c>
      <c r="I1212" s="6" t="n">
        <f aca="false">IF($A1212="","",IF(ISNUMBER(Base_Bruta!I1212),Base_Bruta!I1212,IFERROR(_xlfn.NUMBERVALUE(TRIM(SUBSTITUTE(Base_Bruta!I1212,"R$","")),",","."),0)))</f>
        <v>30</v>
      </c>
      <c r="J1212" s="6" t="n">
        <f aca="false">IF($A1212="","",H1212*I1212)</f>
        <v>90</v>
      </c>
      <c r="K1212" s="4" t="str">
        <f aca="false">IF($A1212="","",TRIM(Base_Bruta!J1212))</f>
        <v>Site</v>
      </c>
      <c r="L1212" s="4" t="str">
        <f aca="false">IF($A1212="","",TRIM(Base_Bruta!K1212))</f>
        <v>C01477</v>
      </c>
      <c r="M1212" s="4" t="str">
        <f aca="false">IF($A1212="","",_xlfn.XLOOKUP(LOWER(TRIM(Base_Bruta!L1212)),DePara_Cidade!$A$2:$A$29,DePara_Cidade!$B$2:$B$29,"REVISAR"))</f>
        <v>Rio de Janeiro</v>
      </c>
      <c r="N1212" s="4" t="str">
        <f aca="false">IF($A1212="","",UPPER(TRIM(Base_Bruta!M1212)))</f>
        <v>RJ</v>
      </c>
      <c r="O1212" s="4" t="str">
        <f aca="false">IF($A1212="","",_xlfn.XLOOKUP(LOWER(TRIM(Base_Bruta!N1212)),DePara_Pais!$A$2:$A$9,DePara_Pais!$B$2:$B$9,"REVISAR"))</f>
        <v>Brasil</v>
      </c>
      <c r="P1212" s="4" t="str">
        <f aca="false">IF($A1212="","",IF(O1212&lt;&gt;"Brasil","Turista Internacional",IF(M1212=F1212,"Local","Turista Nacional")))</f>
        <v>Local</v>
      </c>
      <c r="Q1212" s="7" t="n">
        <f aca="false">IF($A1212="","",DATE(YEAR(B1212),MONTH(B1212),1))</f>
        <v>45992</v>
      </c>
      <c r="R1212" s="4" t="str">
        <f aca="false">IF($A1212="","",IF(COUNTIF($A$2:$A1212,$A1212)&gt;1,"Sim","Não"))</f>
        <v>Não</v>
      </c>
      <c r="S1212" s="4" t="str">
        <f aca="false">IF(A1212="","Descartar - Linha vazia",IF(R1212="Sim","Descartar - Duplicado",IF(OR(H1212&lt;=0,I1212&lt;=0),"Descartar - Qtd/Valor inválido","OK")))</f>
        <v>OK</v>
      </c>
      <c r="T1212" s="4" t="str">
        <f aca="false">Base_Bruta!P1212</f>
        <v>vendas_RJ.xlsx</v>
      </c>
    </row>
    <row r="1213" customFormat="false" ht="15" hidden="false" customHeight="false" outlineLevel="0" collapsed="false">
      <c r="A1213" s="4" t="str">
        <f aca="false">IF(Base_Bruta!A1213="","",Base_Bruta!A1213)</f>
        <v>RJ-000079</v>
      </c>
      <c r="B1213" s="5" t="n">
        <f aca="false">IF($A1213="","",IF(ISNUMBER(Base_Bruta!B1213),Base_Bruta!B1213,IF(MID(Base_Bruta!B1213,5,1)="-",DATE(VALUE(LEFT(Base_Bruta!B1213,4)),VALUE(MID(Base_Bruta!B1213,6,2)),VALUE(RIGHT(Base_Bruta!B1213,2))),DATE(VALUE(RIGHT(Base_Bruta!B1213,4)),VALUE(MID(Base_Bruta!B1213,4,2)),VALUE(LEFT(Base_Bruta!B1213,2))))))</f>
        <v>46014</v>
      </c>
      <c r="C1213" s="5" t="n">
        <f aca="false">IF($A1213="","",IF(ISNUMBER(Base_Bruta!C1213),Base_Bruta!C1213,IF(MID(Base_Bruta!C1213,5,1)="-",DATE(VALUE(LEFT(Base_Bruta!C1213,4)),VALUE(MID(Base_Bruta!C1213,6,2)),VALUE(RIGHT(Base_Bruta!C1213,2))),DATE(VALUE(RIGHT(Base_Bruta!C1213,4)),VALUE(MID(Base_Bruta!C1213,4,2)),VALUE(LEFT(Base_Bruta!C1213,2))))))</f>
        <v>46046</v>
      </c>
      <c r="D1213" s="4" t="str">
        <f aca="false">IF($A1213="","",TRIM(Base_Bruta!D1213))</f>
        <v>Rio Beat Festival 2026</v>
      </c>
      <c r="E1213" s="4" t="str">
        <f aca="false">IF($A1213="","",_xlfn.XLOOKUP(LOWER(TRIM(Base_Bruta!E1213)),DePara_Categoria!$A$2:$A$9,DePara_Categoria!$B$2:$B$9,"REVISAR"))</f>
        <v>Festival</v>
      </c>
      <c r="F1213" s="4" t="str">
        <f aca="false">IF($A1213="","",_xlfn.XLOOKUP(LOWER(TRIM(Base_Bruta!F1213)),DePara_Cidade!$A$2:$A$29,DePara_Cidade!$B$2:$B$29,"REVISAR"))</f>
        <v>Rio de Janeiro</v>
      </c>
      <c r="G1213" s="4" t="str">
        <f aca="false">IF($A1213="","",TRIM(Base_Bruta!G1213))</f>
        <v>Inteira</v>
      </c>
      <c r="H1213" s="4" t="n">
        <f aca="false">IF($A1213="","",IF(ISNUMBER(Base_Bruta!H1213),Base_Bruta!H1213,IFERROR(_xlfn.NUMBERVALUE(TRIM(SUBSTITUTE(Base_Bruta!H1213,"R$","")),",","."),0)))</f>
        <v>3</v>
      </c>
      <c r="I1213" s="6" t="n">
        <f aca="false">IF($A1213="","",IF(ISNUMBER(Base_Bruta!I1213),Base_Bruta!I1213,IFERROR(_xlfn.NUMBERVALUE(TRIM(SUBSTITUTE(Base_Bruta!I1213,"R$","")),",","."),0)))</f>
        <v>1065</v>
      </c>
      <c r="J1213" s="6" t="n">
        <f aca="false">IF($A1213="","",H1213*I1213)</f>
        <v>3195</v>
      </c>
      <c r="K1213" s="4" t="str">
        <f aca="false">IF($A1213="","",TRIM(Base_Bruta!J1213))</f>
        <v>Site</v>
      </c>
      <c r="L1213" s="4" t="str">
        <f aca="false">IF($A1213="","",TRIM(Base_Bruta!K1213))</f>
        <v>C01457</v>
      </c>
      <c r="M1213" s="4" t="str">
        <f aca="false">IF($A1213="","",_xlfn.XLOOKUP(LOWER(TRIM(Base_Bruta!L1213)),DePara_Cidade!$A$2:$A$29,DePara_Cidade!$B$2:$B$29,"REVISAR"))</f>
        <v>Salvador</v>
      </c>
      <c r="N1213" s="4" t="str">
        <f aca="false">IF($A1213="","",UPPER(TRIM(Base_Bruta!M1213)))</f>
        <v>BA</v>
      </c>
      <c r="O1213" s="4" t="str">
        <f aca="false">IF($A1213="","",_xlfn.XLOOKUP(LOWER(TRIM(Base_Bruta!N1213)),DePara_Pais!$A$2:$A$9,DePara_Pais!$B$2:$B$9,"REVISAR"))</f>
        <v>Brasil</v>
      </c>
      <c r="P1213" s="4" t="str">
        <f aca="false">IF($A1213="","",IF(O1213&lt;&gt;"Brasil","Turista Internacional",IF(M1213=F1213,"Local","Turista Nacional")))</f>
        <v>Turista Nacional</v>
      </c>
      <c r="Q1213" s="7" t="n">
        <f aca="false">IF($A1213="","",DATE(YEAR(B1213),MONTH(B1213),1))</f>
        <v>45992</v>
      </c>
      <c r="R1213" s="4" t="str">
        <f aca="false">IF($A1213="","",IF(COUNTIF($A$2:$A1213,$A1213)&gt;1,"Sim","Não"))</f>
        <v>Não</v>
      </c>
      <c r="S1213" s="4" t="str">
        <f aca="false">IF(A1213="","Descartar - Linha vazia",IF(R1213="Sim","Descartar - Duplicado",IF(OR(H1213&lt;=0,I1213&lt;=0),"Descartar - Qtd/Valor inválido","OK")))</f>
        <v>OK</v>
      </c>
      <c r="T1213" s="4" t="str">
        <f aca="false">Base_Bruta!P1213</f>
        <v>vendas_RJ.xlsx</v>
      </c>
    </row>
    <row r="1214" customFormat="false" ht="15" hidden="false" customHeight="false" outlineLevel="0" collapsed="false">
      <c r="A1214" s="4" t="str">
        <f aca="false">IF(Base_Bruta!A1214="","",Base_Bruta!A1214)</f>
        <v>RJ-000038</v>
      </c>
      <c r="B1214" s="5" t="n">
        <f aca="false">IF($A1214="","",IF(ISNUMBER(Base_Bruta!B1214),Base_Bruta!B1214,IF(MID(Base_Bruta!B1214,5,1)="-",DATE(VALUE(LEFT(Base_Bruta!B1214,4)),VALUE(MID(Base_Bruta!B1214,6,2)),VALUE(RIGHT(Base_Bruta!B1214,2))),DATE(VALUE(RIGHT(Base_Bruta!B1214,4)),VALUE(MID(Base_Bruta!B1214,4,2)),VALUE(LEFT(Base_Bruta!B1214,2))))))</f>
        <v>46015</v>
      </c>
      <c r="C1214" s="5" t="n">
        <f aca="false">IF($A1214="","",IF(ISNUMBER(Base_Bruta!C1214),Base_Bruta!C1214,IF(MID(Base_Bruta!C1214,5,1)="-",DATE(VALUE(LEFT(Base_Bruta!C1214,4)),VALUE(MID(Base_Bruta!C1214,6,2)),VALUE(RIGHT(Base_Bruta!C1214,2))),DATE(VALUE(RIGHT(Base_Bruta!C1214,4)),VALUE(MID(Base_Bruta!C1214,4,2)),VALUE(LEFT(Base_Bruta!C1214,2))))))</f>
        <v>46046</v>
      </c>
      <c r="D1214" s="4" t="str">
        <f aca="false">IF($A1214="","",TRIM(Base_Bruta!D1214))</f>
        <v>Rio Beat Festival 2026</v>
      </c>
      <c r="E1214" s="4" t="str">
        <f aca="false">IF($A1214="","",_xlfn.XLOOKUP(LOWER(TRIM(Base_Bruta!E1214)),DePara_Categoria!$A$2:$A$9,DePara_Categoria!$B$2:$B$9,"REVISAR"))</f>
        <v>Festival</v>
      </c>
      <c r="F1214" s="4" t="str">
        <f aca="false">IF($A1214="","",_xlfn.XLOOKUP(LOWER(TRIM(Base_Bruta!F1214)),DePara_Cidade!$A$2:$A$29,DePara_Cidade!$B$2:$B$29,"REVISAR"))</f>
        <v>Rio de Janeiro</v>
      </c>
      <c r="G1214" s="4" t="str">
        <f aca="false">IF($A1214="","",TRIM(Base_Bruta!G1214))</f>
        <v>Inteira</v>
      </c>
      <c r="H1214" s="4" t="n">
        <f aca="false">IF($A1214="","",IF(ISNUMBER(Base_Bruta!H1214),Base_Bruta!H1214,IFERROR(_xlfn.NUMBERVALUE(TRIM(SUBSTITUTE(Base_Bruta!H1214,"R$","")),",","."),0)))</f>
        <v>1</v>
      </c>
      <c r="I1214" s="6" t="n">
        <f aca="false">IF($A1214="","",IF(ISNUMBER(Base_Bruta!I1214),Base_Bruta!I1214,IFERROR(_xlfn.NUMBERVALUE(TRIM(SUBSTITUTE(Base_Bruta!I1214,"R$","")),",","."),0)))</f>
        <v>765</v>
      </c>
      <c r="J1214" s="6" t="n">
        <f aca="false">IF($A1214="","",H1214*I1214)</f>
        <v>765</v>
      </c>
      <c r="K1214" s="4" t="str">
        <f aca="false">IF($A1214="","",TRIM(Base_Bruta!J1214))</f>
        <v>App</v>
      </c>
      <c r="L1214" s="4" t="str">
        <f aca="false">IF($A1214="","",TRIM(Base_Bruta!K1214))</f>
        <v>C00358</v>
      </c>
      <c r="M1214" s="4" t="str">
        <f aca="false">IF($A1214="","",_xlfn.XLOOKUP(LOWER(TRIM(Base_Bruta!L1214)),DePara_Cidade!$A$2:$A$29,DePara_Cidade!$B$2:$B$29,"REVISAR"))</f>
        <v>Contagem</v>
      </c>
      <c r="N1214" s="4" t="str">
        <f aca="false">IF($A1214="","",UPPER(TRIM(Base_Bruta!M1214)))</f>
        <v>MG</v>
      </c>
      <c r="O1214" s="4" t="str">
        <f aca="false">IF($A1214="","",_xlfn.XLOOKUP(LOWER(TRIM(Base_Bruta!N1214)),DePara_Pais!$A$2:$A$9,DePara_Pais!$B$2:$B$9,"REVISAR"))</f>
        <v>Brasil</v>
      </c>
      <c r="P1214" s="4" t="str">
        <f aca="false">IF($A1214="","",IF(O1214&lt;&gt;"Brasil","Turista Internacional",IF(M1214=F1214,"Local","Turista Nacional")))</f>
        <v>Turista Nacional</v>
      </c>
      <c r="Q1214" s="7" t="n">
        <f aca="false">IF($A1214="","",DATE(YEAR(B1214),MONTH(B1214),1))</f>
        <v>45992</v>
      </c>
      <c r="R1214" s="4" t="str">
        <f aca="false">IF($A1214="","",IF(COUNTIF($A$2:$A1214,$A1214)&gt;1,"Sim","Não"))</f>
        <v>Não</v>
      </c>
      <c r="S1214" s="4" t="str">
        <f aca="false">IF(A1214="","Descartar - Linha vazia",IF(R1214="Sim","Descartar - Duplicado",IF(OR(H1214&lt;=0,I1214&lt;=0),"Descartar - Qtd/Valor inválido","OK")))</f>
        <v>OK</v>
      </c>
      <c r="T1214" s="4" t="str">
        <f aca="false">Base_Bruta!P1214</f>
        <v>vendas_RJ.xlsx</v>
      </c>
    </row>
    <row r="1215" customFormat="false" ht="15" hidden="false" customHeight="false" outlineLevel="0" collapsed="false">
      <c r="A1215" s="4" t="str">
        <f aca="false">IF(Base_Bruta!A1215="","",Base_Bruta!A1215)</f>
        <v/>
      </c>
      <c r="B1215" s="5" t="str">
        <f aca="false">IF($A1215="","",IF(ISNUMBER(Base_Bruta!B1215),Base_Bruta!B1215,IF(MID(Base_Bruta!B1215,5,1)="-",DATE(VALUE(LEFT(Base_Bruta!B1215,4)),VALUE(MID(Base_Bruta!B1215,6,2)),VALUE(RIGHT(Base_Bruta!B1215,2))),DATE(VALUE(RIGHT(Base_Bruta!B1215,4)),VALUE(MID(Base_Bruta!B1215,4,2)),VALUE(LEFT(Base_Bruta!B1215,2))))))</f>
        <v/>
      </c>
      <c r="C1215" s="5" t="str">
        <f aca="false">IF($A1215="","",IF(ISNUMBER(Base_Bruta!C1215),Base_Bruta!C1215,IF(MID(Base_Bruta!C1215,5,1)="-",DATE(VALUE(LEFT(Base_Bruta!C1215,4)),VALUE(MID(Base_Bruta!C1215,6,2)),VALUE(RIGHT(Base_Bruta!C1215,2))),DATE(VALUE(RIGHT(Base_Bruta!C1215,4)),VALUE(MID(Base_Bruta!C1215,4,2)),VALUE(LEFT(Base_Bruta!C1215,2))))))</f>
        <v/>
      </c>
      <c r="D1215" s="4" t="str">
        <f aca="false">IF($A1215="","",TRIM(Base_Bruta!D1215))</f>
        <v/>
      </c>
      <c r="E1215" s="4" t="str">
        <f aca="false">IF($A1215="","",_xlfn.XLOOKUP(LOWER(TRIM(Base_Bruta!E1215)),DePara_Categoria!$A$2:$A$9,DePara_Categoria!$B$2:$B$9,"REVISAR"))</f>
        <v/>
      </c>
      <c r="F1215" s="4" t="str">
        <f aca="false">IF($A1215="","",_xlfn.XLOOKUP(LOWER(TRIM(Base_Bruta!F1215)),DePara_Cidade!$A$2:$A$29,DePara_Cidade!$B$2:$B$29,"REVISAR"))</f>
        <v/>
      </c>
      <c r="G1215" s="4" t="str">
        <f aca="false">IF($A1215="","",TRIM(Base_Bruta!G1215))</f>
        <v/>
      </c>
      <c r="H1215" s="4" t="str">
        <f aca="false">IF($A1215="","",IF(ISNUMBER(Base_Bruta!H1215),Base_Bruta!H1215,IFERROR(_xlfn.NUMBERVALUE(TRIM(SUBSTITUTE(Base_Bruta!H1215,"R$","")),",","."),0)))</f>
        <v/>
      </c>
      <c r="I1215" s="6" t="str">
        <f aca="false">IF($A1215="","",IF(ISNUMBER(Base_Bruta!I1215),Base_Bruta!I1215,IFERROR(_xlfn.NUMBERVALUE(TRIM(SUBSTITUTE(Base_Bruta!I1215,"R$","")),",","."),0)))</f>
        <v/>
      </c>
      <c r="J1215" s="6" t="str">
        <f aca="false">IF($A1215="","",H1215*I1215)</f>
        <v/>
      </c>
      <c r="K1215" s="4" t="str">
        <f aca="false">IF($A1215="","",TRIM(Base_Bruta!J1215))</f>
        <v/>
      </c>
      <c r="L1215" s="4" t="str">
        <f aca="false">IF($A1215="","",TRIM(Base_Bruta!K1215))</f>
        <v/>
      </c>
      <c r="M1215" s="4" t="str">
        <f aca="false">IF($A1215="","",_xlfn.XLOOKUP(LOWER(TRIM(Base_Bruta!L1215)),DePara_Cidade!$A$2:$A$29,DePara_Cidade!$B$2:$B$29,"REVISAR"))</f>
        <v/>
      </c>
      <c r="N1215" s="4" t="str">
        <f aca="false">IF($A1215="","",UPPER(TRIM(Base_Bruta!M1215)))</f>
        <v/>
      </c>
      <c r="O1215" s="4" t="str">
        <f aca="false">IF($A1215="","",_xlfn.XLOOKUP(LOWER(TRIM(Base_Bruta!N1215)),DePara_Pais!$A$2:$A$9,DePara_Pais!$B$2:$B$9,"REVISAR"))</f>
        <v/>
      </c>
      <c r="P1215" s="4" t="str">
        <f aca="false">IF($A1215="","",IF(O1215&lt;&gt;"Brasil","Turista Internacional",IF(M1215=F1215,"Local","Turista Nacional")))</f>
        <v/>
      </c>
      <c r="Q1215" s="7" t="str">
        <f aca="false">IF($A1215="","",DATE(YEAR(B1215),MONTH(B1215),1))</f>
        <v/>
      </c>
      <c r="R1215" s="4" t="str">
        <f aca="false">IF($A1215="","",IF(COUNTIF($A$2:$A1215,$A1215)&gt;1,"Sim","Não"))</f>
        <v/>
      </c>
      <c r="S1215" s="4" t="str">
        <f aca="false">IF(A1215="","Descartar - Linha vazia",IF(R1215="Sim","Descartar - Duplicado",IF(OR(H1215&lt;=0,I1215&lt;=0),"Descartar - Qtd/Valor inválido","OK")))</f>
        <v>Descartar - Linha vazia</v>
      </c>
      <c r="T1215" s="4" t="str">
        <f aca="false">Base_Bruta!P1215</f>
        <v>vendas_RJ.xlsx</v>
      </c>
    </row>
    <row r="1216" customFormat="false" ht="15" hidden="false" customHeight="false" outlineLevel="0" collapsed="false">
      <c r="A1216" s="4" t="str">
        <f aca="false">IF(Base_Bruta!A1216="","",Base_Bruta!A1216)</f>
        <v>RJ-000150</v>
      </c>
      <c r="B1216" s="5" t="n">
        <f aca="false">IF($A1216="","",IF(ISNUMBER(Base_Bruta!B1216),Base_Bruta!B1216,IF(MID(Base_Bruta!B1216,5,1)="-",DATE(VALUE(LEFT(Base_Bruta!B1216,4)),VALUE(MID(Base_Bruta!B1216,6,2)),VALUE(RIGHT(Base_Bruta!B1216,2))),DATE(VALUE(RIGHT(Base_Bruta!B1216,4)),VALUE(MID(Base_Bruta!B1216,4,2)),VALUE(LEFT(Base_Bruta!B1216,2))))))</f>
        <v>46015</v>
      </c>
      <c r="C1216" s="5" t="n">
        <f aca="false">IF($A1216="","",IF(ISNUMBER(Base_Bruta!C1216),Base_Bruta!C1216,IF(MID(Base_Bruta!C1216,5,1)="-",DATE(VALUE(LEFT(Base_Bruta!C1216,4)),VALUE(MID(Base_Bruta!C1216,6,2)),VALUE(RIGHT(Base_Bruta!C1216,2))),DATE(VALUE(RIGHT(Base_Bruta!C1216,4)),VALUE(MID(Base_Bruta!C1216,4,2)),VALUE(LEFT(Base_Bruta!C1216,2))))))</f>
        <v>46046</v>
      </c>
      <c r="D1216" s="4" t="str">
        <f aca="false">IF($A1216="","",TRIM(Base_Bruta!D1216))</f>
        <v>Rio Beat Festival 2026</v>
      </c>
      <c r="E1216" s="4" t="str">
        <f aca="false">IF($A1216="","",_xlfn.XLOOKUP(LOWER(TRIM(Base_Bruta!E1216)),DePara_Categoria!$A$2:$A$9,DePara_Categoria!$B$2:$B$9,"REVISAR"))</f>
        <v>Festival</v>
      </c>
      <c r="F1216" s="4" t="str">
        <f aca="false">IF($A1216="","",_xlfn.XLOOKUP(LOWER(TRIM(Base_Bruta!F1216)),DePara_Cidade!$A$2:$A$29,DePara_Cidade!$B$2:$B$29,"REVISAR"))</f>
        <v>Rio de Janeiro</v>
      </c>
      <c r="G1216" s="4" t="str">
        <f aca="false">IF($A1216="","",TRIM(Base_Bruta!G1216))</f>
        <v>Inteira</v>
      </c>
      <c r="H1216" s="4" t="n">
        <f aca="false">IF($A1216="","",IF(ISNUMBER(Base_Bruta!H1216),Base_Bruta!H1216,IFERROR(_xlfn.NUMBERVALUE(TRIM(SUBSTITUTE(Base_Bruta!H1216,"R$","")),",","."),0)))</f>
        <v>2</v>
      </c>
      <c r="I1216" s="6" t="n">
        <f aca="false">IF($A1216="","",IF(ISNUMBER(Base_Bruta!I1216),Base_Bruta!I1216,IFERROR(_xlfn.NUMBERVALUE(TRIM(SUBSTITUTE(Base_Bruta!I1216,"R$","")),",","."),0)))</f>
        <v>655</v>
      </c>
      <c r="J1216" s="6" t="n">
        <f aca="false">IF($A1216="","",H1216*I1216)</f>
        <v>1310</v>
      </c>
      <c r="K1216" s="4" t="str">
        <f aca="false">IF($A1216="","",TRIM(Base_Bruta!J1216))</f>
        <v>Site</v>
      </c>
      <c r="L1216" s="4" t="str">
        <f aca="false">IF($A1216="","",TRIM(Base_Bruta!K1216))</f>
        <v>C02408</v>
      </c>
      <c r="M1216" s="4" t="str">
        <f aca="false">IF($A1216="","",_xlfn.XLOOKUP(LOWER(TRIM(Base_Bruta!L1216)),DePara_Cidade!$A$2:$A$29,DePara_Cidade!$B$2:$B$29,"REVISAR"))</f>
        <v>Brasília</v>
      </c>
      <c r="N1216" s="4" t="str">
        <f aca="false">IF($A1216="","",UPPER(TRIM(Base_Bruta!M1216)))</f>
        <v>DF</v>
      </c>
      <c r="O1216" s="4" t="str">
        <f aca="false">IF($A1216="","",_xlfn.XLOOKUP(LOWER(TRIM(Base_Bruta!N1216)),DePara_Pais!$A$2:$A$9,DePara_Pais!$B$2:$B$9,"REVISAR"))</f>
        <v>Brasil</v>
      </c>
      <c r="P1216" s="4" t="str">
        <f aca="false">IF($A1216="","",IF(O1216&lt;&gt;"Brasil","Turista Internacional",IF(M1216=F1216,"Local","Turista Nacional")))</f>
        <v>Turista Nacional</v>
      </c>
      <c r="Q1216" s="7" t="n">
        <f aca="false">IF($A1216="","",DATE(YEAR(B1216),MONTH(B1216),1))</f>
        <v>45992</v>
      </c>
      <c r="R1216" s="4" t="str">
        <f aca="false">IF($A1216="","",IF(COUNTIF($A$2:$A1216,$A1216)&gt;1,"Sim","Não"))</f>
        <v>Não</v>
      </c>
      <c r="S1216" s="4" t="str">
        <f aca="false">IF(A1216="","Descartar - Linha vazia",IF(R1216="Sim","Descartar - Duplicado",IF(OR(H1216&lt;=0,I1216&lt;=0),"Descartar - Qtd/Valor inválido","OK")))</f>
        <v>OK</v>
      </c>
      <c r="T1216" s="4" t="str">
        <f aca="false">Base_Bruta!P1216</f>
        <v>vendas_RJ.xlsx</v>
      </c>
    </row>
    <row r="1217" customFormat="false" ht="15" hidden="false" customHeight="false" outlineLevel="0" collapsed="false">
      <c r="A1217" s="4" t="str">
        <f aca="false">IF(Base_Bruta!A1217="","",Base_Bruta!A1217)</f>
        <v>RJ-000618</v>
      </c>
      <c r="B1217" s="5" t="n">
        <f aca="false">IF($A1217="","",IF(ISNUMBER(Base_Bruta!B1217),Base_Bruta!B1217,IF(MID(Base_Bruta!B1217,5,1)="-",DATE(VALUE(LEFT(Base_Bruta!B1217,4)),VALUE(MID(Base_Bruta!B1217,6,2)),VALUE(RIGHT(Base_Bruta!B1217,2))),DATE(VALUE(RIGHT(Base_Bruta!B1217,4)),VALUE(MID(Base_Bruta!B1217,4,2)),VALUE(LEFT(Base_Bruta!B1217,2))))))</f>
        <v>46015</v>
      </c>
      <c r="C1217" s="5" t="n">
        <f aca="false">IF($A1217="","",IF(ISNUMBER(Base_Bruta!C1217),Base_Bruta!C1217,IF(MID(Base_Bruta!C1217,5,1)="-",DATE(VALUE(LEFT(Base_Bruta!C1217,4)),VALUE(MID(Base_Bruta!C1217,6,2)),VALUE(RIGHT(Base_Bruta!C1217,2))),DATE(VALUE(RIGHT(Base_Bruta!C1217,4)),VALUE(MID(Base_Bruta!C1217,4,2)),VALUE(LEFT(Base_Bruta!C1217,2))))))</f>
        <v>46018</v>
      </c>
      <c r="D1217" s="4" t="str">
        <f aca="false">IF($A1217="","",TRIM(Base_Bruta!D1217))</f>
        <v>Cinema Barra - Sessões</v>
      </c>
      <c r="E1217" s="4" t="str">
        <f aca="false">IF($A1217="","",_xlfn.XLOOKUP(LOWER(TRIM(Base_Bruta!E1217)),DePara_Categoria!$A$2:$A$9,DePara_Categoria!$B$2:$B$9,"REVISAR"))</f>
        <v>Cinema</v>
      </c>
      <c r="F1217" s="4" t="str">
        <f aca="false">IF($A1217="","",_xlfn.XLOOKUP(LOWER(TRIM(Base_Bruta!F1217)),DePara_Cidade!$A$2:$A$29,DePara_Cidade!$B$2:$B$29,"REVISAR"))</f>
        <v>Rio de Janeiro</v>
      </c>
      <c r="G1217" s="4" t="str">
        <f aca="false">IF($A1217="","",TRIM(Base_Bruta!G1217))</f>
        <v>Meia</v>
      </c>
      <c r="H1217" s="4" t="n">
        <f aca="false">IF($A1217="","",IF(ISNUMBER(Base_Bruta!H1217),Base_Bruta!H1217,IFERROR(_xlfn.NUMBERVALUE(TRIM(SUBSTITUTE(Base_Bruta!H1217,"R$","")),",","."),0)))</f>
        <v>2</v>
      </c>
      <c r="I1217" s="6" t="n">
        <f aca="false">IF($A1217="","",IF(ISNUMBER(Base_Bruta!I1217),Base_Bruta!I1217,IFERROR(_xlfn.NUMBERVALUE(TRIM(SUBSTITUTE(Base_Bruta!I1217,"R$","")),",","."),0)))</f>
        <v>22.5</v>
      </c>
      <c r="J1217" s="6" t="n">
        <f aca="false">IF($A1217="","",H1217*I1217)</f>
        <v>45</v>
      </c>
      <c r="K1217" s="4" t="str">
        <f aca="false">IF($A1217="","",TRIM(Base_Bruta!J1217))</f>
        <v>Site</v>
      </c>
      <c r="L1217" s="4" t="str">
        <f aca="false">IF($A1217="","",TRIM(Base_Bruta!K1217))</f>
        <v>C01131</v>
      </c>
      <c r="M1217" s="4" t="str">
        <f aca="false">IF($A1217="","",_xlfn.XLOOKUP(LOWER(TRIM(Base_Bruta!L1217)),DePara_Cidade!$A$2:$A$29,DePara_Cidade!$B$2:$B$29,"REVISAR"))</f>
        <v>Rio de Janeiro</v>
      </c>
      <c r="N1217" s="4" t="str">
        <f aca="false">IF($A1217="","",UPPER(TRIM(Base_Bruta!M1217)))</f>
        <v>RJ</v>
      </c>
      <c r="O1217" s="4" t="str">
        <f aca="false">IF($A1217="","",_xlfn.XLOOKUP(LOWER(TRIM(Base_Bruta!N1217)),DePara_Pais!$A$2:$A$9,DePara_Pais!$B$2:$B$9,"REVISAR"))</f>
        <v>Brasil</v>
      </c>
      <c r="P1217" s="4" t="str">
        <f aca="false">IF($A1217="","",IF(O1217&lt;&gt;"Brasil","Turista Internacional",IF(M1217=F1217,"Local","Turista Nacional")))</f>
        <v>Local</v>
      </c>
      <c r="Q1217" s="7" t="n">
        <f aca="false">IF($A1217="","",DATE(YEAR(B1217),MONTH(B1217),1))</f>
        <v>45992</v>
      </c>
      <c r="R1217" s="4" t="str">
        <f aca="false">IF($A1217="","",IF(COUNTIF($A$2:$A1217,$A1217)&gt;1,"Sim","Não"))</f>
        <v>Não</v>
      </c>
      <c r="S1217" s="4" t="str">
        <f aca="false">IF(A1217="","Descartar - Linha vazia",IF(R1217="Sim","Descartar - Duplicado",IF(OR(H1217&lt;=0,I1217&lt;=0),"Descartar - Qtd/Valor inválido","OK")))</f>
        <v>OK</v>
      </c>
      <c r="T1217" s="4" t="str">
        <f aca="false">Base_Bruta!P1217</f>
        <v>vendas_RJ.xlsx</v>
      </c>
    </row>
    <row r="1218" customFormat="false" ht="15" hidden="false" customHeight="false" outlineLevel="0" collapsed="false">
      <c r="A1218" s="4" t="str">
        <f aca="false">IF(Base_Bruta!A1218="","",Base_Bruta!A1218)</f>
        <v>RJ-000039</v>
      </c>
      <c r="B1218" s="5" t="n">
        <f aca="false">IF($A1218="","",IF(ISNUMBER(Base_Bruta!B1218),Base_Bruta!B1218,IF(MID(Base_Bruta!B1218,5,1)="-",DATE(VALUE(LEFT(Base_Bruta!B1218,4)),VALUE(MID(Base_Bruta!B1218,6,2)),VALUE(RIGHT(Base_Bruta!B1218,2))),DATE(VALUE(RIGHT(Base_Bruta!B1218,4)),VALUE(MID(Base_Bruta!B1218,4,2)),VALUE(LEFT(Base_Bruta!B1218,2))))))</f>
        <v>46016</v>
      </c>
      <c r="C1218" s="5" t="n">
        <f aca="false">IF($A1218="","",IF(ISNUMBER(Base_Bruta!C1218),Base_Bruta!C1218,IF(MID(Base_Bruta!C1218,5,1)="-",DATE(VALUE(LEFT(Base_Bruta!C1218,4)),VALUE(MID(Base_Bruta!C1218,6,2)),VALUE(RIGHT(Base_Bruta!C1218,2))),DATE(VALUE(RIGHT(Base_Bruta!C1218,4)),VALUE(MID(Base_Bruta!C1218,4,2)),VALUE(LEFT(Base_Bruta!C1218,2))))))</f>
        <v>46046</v>
      </c>
      <c r="D1218" s="4" t="str">
        <f aca="false">IF($A1218="","",TRIM(Base_Bruta!D1218))</f>
        <v>Rio Beat Festival 2026</v>
      </c>
      <c r="E1218" s="4" t="str">
        <f aca="false">IF($A1218="","",_xlfn.XLOOKUP(LOWER(TRIM(Base_Bruta!E1218)),DePara_Categoria!$A$2:$A$9,DePara_Categoria!$B$2:$B$9,"REVISAR"))</f>
        <v>Festival</v>
      </c>
      <c r="F1218" s="4" t="str">
        <f aca="false">IF($A1218="","",_xlfn.XLOOKUP(LOWER(TRIM(Base_Bruta!F1218)),DePara_Cidade!$A$2:$A$29,DePara_Cidade!$B$2:$B$29,"REVISAR"))</f>
        <v>Rio de Janeiro</v>
      </c>
      <c r="G1218" s="4" t="str">
        <f aca="false">IF($A1218="","",TRIM(Base_Bruta!G1218))</f>
        <v>Meia</v>
      </c>
      <c r="H1218" s="4" t="n">
        <f aca="false">IF($A1218="","",IF(ISNUMBER(Base_Bruta!H1218),Base_Bruta!H1218,IFERROR(_xlfn.NUMBERVALUE(TRIM(SUBSTITUTE(Base_Bruta!H1218,"R$","")),",","."),0)))</f>
        <v>3</v>
      </c>
      <c r="I1218" s="6" t="n">
        <f aca="false">IF($A1218="","",IF(ISNUMBER(Base_Bruta!I1218),Base_Bruta!I1218,IFERROR(_xlfn.NUMBERVALUE(TRIM(SUBSTITUTE(Base_Bruta!I1218,"R$","")),",","."),0)))</f>
        <v>337.5</v>
      </c>
      <c r="J1218" s="6" t="n">
        <f aca="false">IF($A1218="","",H1218*I1218)</f>
        <v>1012.5</v>
      </c>
      <c r="K1218" s="4" t="str">
        <f aca="false">IF($A1218="","",TRIM(Base_Bruta!J1218))</f>
        <v>Site</v>
      </c>
      <c r="L1218" s="4" t="str">
        <f aca="false">IF($A1218="","",TRIM(Base_Bruta!K1218))</f>
        <v>C02350</v>
      </c>
      <c r="M1218" s="4" t="str">
        <f aca="false">IF($A1218="","",_xlfn.XLOOKUP(LOWER(TRIM(Base_Bruta!L1218)),DePara_Cidade!$A$2:$A$29,DePara_Cidade!$B$2:$B$29,"REVISAR"))</f>
        <v>Contagem</v>
      </c>
      <c r="N1218" s="4" t="str">
        <f aca="false">IF($A1218="","",UPPER(TRIM(Base_Bruta!M1218)))</f>
        <v>MG</v>
      </c>
      <c r="O1218" s="4" t="str">
        <f aca="false">IF($A1218="","",_xlfn.XLOOKUP(LOWER(TRIM(Base_Bruta!N1218)),DePara_Pais!$A$2:$A$9,DePara_Pais!$B$2:$B$9,"REVISAR"))</f>
        <v>Brasil</v>
      </c>
      <c r="P1218" s="4" t="str">
        <f aca="false">IF($A1218="","",IF(O1218&lt;&gt;"Brasil","Turista Internacional",IF(M1218=F1218,"Local","Turista Nacional")))</f>
        <v>Turista Nacional</v>
      </c>
      <c r="Q1218" s="7" t="n">
        <f aca="false">IF($A1218="","",DATE(YEAR(B1218),MONTH(B1218),1))</f>
        <v>45992</v>
      </c>
      <c r="R1218" s="4" t="str">
        <f aca="false">IF($A1218="","",IF(COUNTIF($A$2:$A1218,$A1218)&gt;1,"Sim","Não"))</f>
        <v>Não</v>
      </c>
      <c r="S1218" s="4" t="str">
        <f aca="false">IF(A1218="","Descartar - Linha vazia",IF(R1218="Sim","Descartar - Duplicado",IF(OR(H1218&lt;=0,I1218&lt;=0),"Descartar - Qtd/Valor inválido","OK")))</f>
        <v>OK</v>
      </c>
      <c r="T1218" s="4" t="str">
        <f aca="false">Base_Bruta!P1218</f>
        <v>vendas_RJ.xlsx</v>
      </c>
    </row>
    <row r="1219" customFormat="false" ht="15" hidden="false" customHeight="false" outlineLevel="0" collapsed="false">
      <c r="A1219" s="4" t="str">
        <f aca="false">IF(Base_Bruta!A1219="","",Base_Bruta!A1219)</f>
        <v>RJ-000053</v>
      </c>
      <c r="B1219" s="5" t="n">
        <f aca="false">IF($A1219="","",IF(ISNUMBER(Base_Bruta!B1219),Base_Bruta!B1219,IF(MID(Base_Bruta!B1219,5,1)="-",DATE(VALUE(LEFT(Base_Bruta!B1219,4)),VALUE(MID(Base_Bruta!B1219,6,2)),VALUE(RIGHT(Base_Bruta!B1219,2))),DATE(VALUE(RIGHT(Base_Bruta!B1219,4)),VALUE(MID(Base_Bruta!B1219,4,2)),VALUE(LEFT(Base_Bruta!B1219,2))))))</f>
        <v>46018</v>
      </c>
      <c r="C1219" s="5" t="n">
        <f aca="false">IF($A1219="","",IF(ISNUMBER(Base_Bruta!C1219),Base_Bruta!C1219,IF(MID(Base_Bruta!C1219,5,1)="-",DATE(VALUE(LEFT(Base_Bruta!C1219,4)),VALUE(MID(Base_Bruta!C1219,6,2)),VALUE(RIGHT(Base_Bruta!C1219,2))),DATE(VALUE(RIGHT(Base_Bruta!C1219,4)),VALUE(MID(Base_Bruta!C1219,4,2)),VALUE(LEFT(Base_Bruta!C1219,2))))))</f>
        <v>46046</v>
      </c>
      <c r="D1219" s="4" t="str">
        <f aca="false">IF($A1219="","",TRIM(Base_Bruta!D1219))</f>
        <v>Rio Beat Festival 2026</v>
      </c>
      <c r="E1219" s="4" t="str">
        <f aca="false">IF($A1219="","",_xlfn.XLOOKUP(LOWER(TRIM(Base_Bruta!E1219)),DePara_Categoria!$A$2:$A$9,DePara_Categoria!$B$2:$B$9,"REVISAR"))</f>
        <v>Festival</v>
      </c>
      <c r="F1219" s="4" t="str">
        <f aca="false">IF($A1219="","",_xlfn.XLOOKUP(LOWER(TRIM(Base_Bruta!F1219)),DePara_Cidade!$A$2:$A$29,DePara_Cidade!$B$2:$B$29,"REVISAR"))</f>
        <v>Rio de Janeiro</v>
      </c>
      <c r="G1219" s="4" t="str">
        <f aca="false">IF($A1219="","",TRIM(Base_Bruta!G1219))</f>
        <v>Inteira</v>
      </c>
      <c r="H1219" s="4" t="n">
        <f aca="false">IF($A1219="","",IF(ISNUMBER(Base_Bruta!H1219),Base_Bruta!H1219,IFERROR(_xlfn.NUMBERVALUE(TRIM(SUBSTITUTE(Base_Bruta!H1219,"R$","")),",","."),0)))</f>
        <v>2</v>
      </c>
      <c r="I1219" s="6" t="n">
        <f aca="false">IF($A1219="","",IF(ISNUMBER(Base_Bruta!I1219),Base_Bruta!I1219,IFERROR(_xlfn.NUMBERVALUE(TRIM(SUBSTITUTE(Base_Bruta!I1219,"R$","")),",","."),0)))</f>
        <v>845</v>
      </c>
      <c r="J1219" s="6" t="n">
        <f aca="false">IF($A1219="","",H1219*I1219)</f>
        <v>1690</v>
      </c>
      <c r="K1219" s="4" t="str">
        <f aca="false">IF($A1219="","",TRIM(Base_Bruta!J1219))</f>
        <v>Site</v>
      </c>
      <c r="L1219" s="4" t="str">
        <f aca="false">IF($A1219="","",TRIM(Base_Bruta!K1219))</f>
        <v>C01113</v>
      </c>
      <c r="M1219" s="4" t="str">
        <f aca="false">IF($A1219="","",_xlfn.XLOOKUP(LOWER(TRIM(Base_Bruta!L1219)),DePara_Cidade!$A$2:$A$29,DePara_Cidade!$B$2:$B$29,"REVISAR"))</f>
        <v>Recife</v>
      </c>
      <c r="N1219" s="4" t="str">
        <f aca="false">IF($A1219="","",UPPER(TRIM(Base_Bruta!M1219)))</f>
        <v>PE</v>
      </c>
      <c r="O1219" s="4" t="str">
        <f aca="false">IF($A1219="","",_xlfn.XLOOKUP(LOWER(TRIM(Base_Bruta!N1219)),DePara_Pais!$A$2:$A$9,DePara_Pais!$B$2:$B$9,"REVISAR"))</f>
        <v>Brasil</v>
      </c>
      <c r="P1219" s="4" t="str">
        <f aca="false">IF($A1219="","",IF(O1219&lt;&gt;"Brasil","Turista Internacional",IF(M1219=F1219,"Local","Turista Nacional")))</f>
        <v>Turista Nacional</v>
      </c>
      <c r="Q1219" s="7" t="n">
        <f aca="false">IF($A1219="","",DATE(YEAR(B1219),MONTH(B1219),1))</f>
        <v>45992</v>
      </c>
      <c r="R1219" s="4" t="str">
        <f aca="false">IF($A1219="","",IF(COUNTIF($A$2:$A1219,$A1219)&gt;1,"Sim","Não"))</f>
        <v>Não</v>
      </c>
      <c r="S1219" s="4" t="str">
        <f aca="false">IF(A1219="","Descartar - Linha vazia",IF(R1219="Sim","Descartar - Duplicado",IF(OR(H1219&lt;=0,I1219&lt;=0),"Descartar - Qtd/Valor inválido","OK")))</f>
        <v>OK</v>
      </c>
      <c r="T1219" s="4" t="str">
        <f aca="false">Base_Bruta!P1219</f>
        <v>vendas_RJ.xlsx</v>
      </c>
    </row>
    <row r="1220" customFormat="false" ht="15" hidden="false" customHeight="false" outlineLevel="0" collapsed="false">
      <c r="A1220" s="4" t="str">
        <f aca="false">IF(Base_Bruta!A1220="","",Base_Bruta!A1220)</f>
        <v>RJ-000054</v>
      </c>
      <c r="B1220" s="5" t="n">
        <f aca="false">IF($A1220="","",IF(ISNUMBER(Base_Bruta!B1220),Base_Bruta!B1220,IF(MID(Base_Bruta!B1220,5,1)="-",DATE(VALUE(LEFT(Base_Bruta!B1220,4)),VALUE(MID(Base_Bruta!B1220,6,2)),VALUE(RIGHT(Base_Bruta!B1220,2))),DATE(VALUE(RIGHT(Base_Bruta!B1220,4)),VALUE(MID(Base_Bruta!B1220,4,2)),VALUE(LEFT(Base_Bruta!B1220,2))))))</f>
        <v>46019</v>
      </c>
      <c r="C1220" s="5" t="n">
        <f aca="false">IF($A1220="","",IF(ISNUMBER(Base_Bruta!C1220),Base_Bruta!C1220,IF(MID(Base_Bruta!C1220,5,1)="-",DATE(VALUE(LEFT(Base_Bruta!C1220,4)),VALUE(MID(Base_Bruta!C1220,6,2)),VALUE(RIGHT(Base_Bruta!C1220,2))),DATE(VALUE(RIGHT(Base_Bruta!C1220,4)),VALUE(MID(Base_Bruta!C1220,4,2)),VALUE(LEFT(Base_Bruta!C1220,2))))))</f>
        <v>46046</v>
      </c>
      <c r="D1220" s="4" t="str">
        <f aca="false">IF($A1220="","",TRIM(Base_Bruta!D1220))</f>
        <v>Rio Beat Festival 2026</v>
      </c>
      <c r="E1220" s="4" t="str">
        <f aca="false">IF($A1220="","",_xlfn.XLOOKUP(LOWER(TRIM(Base_Bruta!E1220)),DePara_Categoria!$A$2:$A$9,DePara_Categoria!$B$2:$B$9,"REVISAR"))</f>
        <v>Festival</v>
      </c>
      <c r="F1220" s="4" t="str">
        <f aca="false">IF($A1220="","",_xlfn.XLOOKUP(LOWER(TRIM(Base_Bruta!F1220)),DePara_Cidade!$A$2:$A$29,DePara_Cidade!$B$2:$B$29,"REVISAR"))</f>
        <v>Rio de Janeiro</v>
      </c>
      <c r="G1220" s="4" t="str">
        <f aca="false">IF($A1220="","",TRIM(Base_Bruta!G1220))</f>
        <v>Inteira</v>
      </c>
      <c r="H1220" s="4" t="n">
        <f aca="false">IF($A1220="","",IF(ISNUMBER(Base_Bruta!H1220),Base_Bruta!H1220,IFERROR(_xlfn.NUMBERVALUE(TRIM(SUBSTITUTE(Base_Bruta!H1220,"R$","")),",","."),0)))</f>
        <v>2</v>
      </c>
      <c r="I1220" s="6" t="n">
        <f aca="false">IF($A1220="","",IF(ISNUMBER(Base_Bruta!I1220),Base_Bruta!I1220,IFERROR(_xlfn.NUMBERVALUE(TRIM(SUBSTITUTE(Base_Bruta!I1220,"R$","")),",","."),0)))</f>
        <v>700</v>
      </c>
      <c r="J1220" s="6" t="n">
        <f aca="false">IF($A1220="","",H1220*I1220)</f>
        <v>1400</v>
      </c>
      <c r="K1220" s="4" t="str">
        <f aca="false">IF($A1220="","",TRIM(Base_Bruta!J1220))</f>
        <v>Site</v>
      </c>
      <c r="L1220" s="4" t="str">
        <f aca="false">IF($A1220="","",TRIM(Base_Bruta!K1220))</f>
        <v>C00975</v>
      </c>
      <c r="M1220" s="4" t="str">
        <f aca="false">IF($A1220="","",_xlfn.XLOOKUP(LOWER(TRIM(Base_Bruta!L1220)),DePara_Cidade!$A$2:$A$29,DePara_Cidade!$B$2:$B$29,"REVISAR"))</f>
        <v>Rio de Janeiro</v>
      </c>
      <c r="N1220" s="4" t="str">
        <f aca="false">IF($A1220="","",UPPER(TRIM(Base_Bruta!M1220)))</f>
        <v>RJ</v>
      </c>
      <c r="O1220" s="4" t="str">
        <f aca="false">IF($A1220="","",_xlfn.XLOOKUP(LOWER(TRIM(Base_Bruta!N1220)),DePara_Pais!$A$2:$A$9,DePara_Pais!$B$2:$B$9,"REVISAR"))</f>
        <v>Brasil</v>
      </c>
      <c r="P1220" s="4" t="str">
        <f aca="false">IF($A1220="","",IF(O1220&lt;&gt;"Brasil","Turista Internacional",IF(M1220=F1220,"Local","Turista Nacional")))</f>
        <v>Local</v>
      </c>
      <c r="Q1220" s="7" t="n">
        <f aca="false">IF($A1220="","",DATE(YEAR(B1220),MONTH(B1220),1))</f>
        <v>45992</v>
      </c>
      <c r="R1220" s="4" t="str">
        <f aca="false">IF($A1220="","",IF(COUNTIF($A$2:$A1220,$A1220)&gt;1,"Sim","Não"))</f>
        <v>Não</v>
      </c>
      <c r="S1220" s="4" t="str">
        <f aca="false">IF(A1220="","Descartar - Linha vazia",IF(R1220="Sim","Descartar - Duplicado",IF(OR(H1220&lt;=0,I1220&lt;=0),"Descartar - Qtd/Valor inválido","OK")))</f>
        <v>OK</v>
      </c>
      <c r="T1220" s="4" t="str">
        <f aca="false">Base_Bruta!P1220</f>
        <v>vendas_RJ.xlsx</v>
      </c>
    </row>
    <row r="1221" customFormat="false" ht="15" hidden="false" customHeight="false" outlineLevel="0" collapsed="false">
      <c r="A1221" s="4" t="str">
        <f aca="false">IF(Base_Bruta!A1221="","",Base_Bruta!A1221)</f>
        <v>RJ-000584</v>
      </c>
      <c r="B1221" s="5" t="n">
        <f aca="false">IF($A1221="","",IF(ISNUMBER(Base_Bruta!B1221),Base_Bruta!B1221,IF(MID(Base_Bruta!B1221,5,1)="-",DATE(VALUE(LEFT(Base_Bruta!B1221,4)),VALUE(MID(Base_Bruta!B1221,6,2)),VALUE(RIGHT(Base_Bruta!B1221,2))),DATE(VALUE(RIGHT(Base_Bruta!B1221,4)),VALUE(MID(Base_Bruta!B1221,4,2)),VALUE(LEFT(Base_Bruta!B1221,2))))))</f>
        <v>46019</v>
      </c>
      <c r="C1221" s="5" t="n">
        <f aca="false">IF($A1221="","",IF(ISNUMBER(Base_Bruta!C1221),Base_Bruta!C1221,IF(MID(Base_Bruta!C1221,5,1)="-",DATE(VALUE(LEFT(Base_Bruta!C1221,4)),VALUE(MID(Base_Bruta!C1221,6,2)),VALUE(RIGHT(Base_Bruta!C1221,2))),DATE(VALUE(RIGHT(Base_Bruta!C1221,4)),VALUE(MID(Base_Bruta!C1221,4,2)),VALUE(LEFT(Base_Bruta!C1221,2))))))</f>
        <v>46020</v>
      </c>
      <c r="D1221" s="4" t="str">
        <f aca="false">IF($A1221="","",TRIM(Base_Bruta!D1221))</f>
        <v>Cinema Barra - Sessões</v>
      </c>
      <c r="E1221" s="4" t="str">
        <f aca="false">IF($A1221="","",_xlfn.XLOOKUP(LOWER(TRIM(Base_Bruta!E1221)),DePara_Categoria!$A$2:$A$9,DePara_Categoria!$B$2:$B$9,"REVISAR"))</f>
        <v>Cinema</v>
      </c>
      <c r="F1221" s="4" t="str">
        <f aca="false">IF($A1221="","",_xlfn.XLOOKUP(LOWER(TRIM(Base_Bruta!F1221)),DePara_Cidade!$A$2:$A$29,DePara_Cidade!$B$2:$B$29,"REVISAR"))</f>
        <v>Rio de Janeiro</v>
      </c>
      <c r="G1221" s="4" t="str">
        <f aca="false">IF($A1221="","",TRIM(Base_Bruta!G1221))</f>
        <v>Inteira</v>
      </c>
      <c r="H1221" s="4" t="n">
        <f aca="false">IF($A1221="","",IF(ISNUMBER(Base_Bruta!H1221),Base_Bruta!H1221,IFERROR(_xlfn.NUMBERVALUE(TRIM(SUBSTITUTE(Base_Bruta!H1221,"R$","")),",","."),0)))</f>
        <v>1</v>
      </c>
      <c r="I1221" s="6" t="n">
        <f aca="false">IF($A1221="","",IF(ISNUMBER(Base_Bruta!I1221),Base_Bruta!I1221,IFERROR(_xlfn.NUMBERVALUE(TRIM(SUBSTITUTE(Base_Bruta!I1221,"R$","")),",","."),0)))</f>
        <v>35</v>
      </c>
      <c r="J1221" s="6" t="n">
        <f aca="false">IF($A1221="","",H1221*I1221)</f>
        <v>35</v>
      </c>
      <c r="K1221" s="4" t="str">
        <f aca="false">IF($A1221="","",TRIM(Base_Bruta!J1221))</f>
        <v>Parceiro</v>
      </c>
      <c r="L1221" s="4" t="str">
        <f aca="false">IF($A1221="","",TRIM(Base_Bruta!K1221))</f>
        <v>C00558</v>
      </c>
      <c r="M1221" s="4" t="str">
        <f aca="false">IF($A1221="","",_xlfn.XLOOKUP(LOWER(TRIM(Base_Bruta!L1221)),DePara_Cidade!$A$2:$A$29,DePara_Cidade!$B$2:$B$29,"REVISAR"))</f>
        <v>Rio de Janeiro</v>
      </c>
      <c r="N1221" s="4" t="str">
        <f aca="false">IF($A1221="","",UPPER(TRIM(Base_Bruta!M1221)))</f>
        <v>RJ</v>
      </c>
      <c r="O1221" s="4" t="str">
        <f aca="false">IF($A1221="","",_xlfn.XLOOKUP(LOWER(TRIM(Base_Bruta!N1221)),DePara_Pais!$A$2:$A$9,DePara_Pais!$B$2:$B$9,"REVISAR"))</f>
        <v>Brasil</v>
      </c>
      <c r="P1221" s="4" t="str">
        <f aca="false">IF($A1221="","",IF(O1221&lt;&gt;"Brasil","Turista Internacional",IF(M1221=F1221,"Local","Turista Nacional")))</f>
        <v>Local</v>
      </c>
      <c r="Q1221" s="7" t="n">
        <f aca="false">IF($A1221="","",DATE(YEAR(B1221),MONTH(B1221),1))</f>
        <v>45992</v>
      </c>
      <c r="R1221" s="4" t="str">
        <f aca="false">IF($A1221="","",IF(COUNTIF($A$2:$A1221,$A1221)&gt;1,"Sim","Não"))</f>
        <v>Não</v>
      </c>
      <c r="S1221" s="4" t="str">
        <f aca="false">IF(A1221="","Descartar - Linha vazia",IF(R1221="Sim","Descartar - Duplicado",IF(OR(H1221&lt;=0,I1221&lt;=0),"Descartar - Qtd/Valor inválido","OK")))</f>
        <v>OK</v>
      </c>
      <c r="T1221" s="4" t="str">
        <f aca="false">Base_Bruta!P1221</f>
        <v>vendas_RJ.xlsx</v>
      </c>
    </row>
    <row r="1222" customFormat="false" ht="15" hidden="false" customHeight="false" outlineLevel="0" collapsed="false">
      <c r="A1222" s="4" t="str">
        <f aca="false">IF(Base_Bruta!A1222="","",Base_Bruta!A1222)</f>
        <v>RJ-000200</v>
      </c>
      <c r="B1222" s="5" t="n">
        <f aca="false">IF($A1222="","",IF(ISNUMBER(Base_Bruta!B1222),Base_Bruta!B1222,IF(MID(Base_Bruta!B1222,5,1)="-",DATE(VALUE(LEFT(Base_Bruta!B1222,4)),VALUE(MID(Base_Bruta!B1222,6,2)),VALUE(RIGHT(Base_Bruta!B1222,2))),DATE(VALUE(RIGHT(Base_Bruta!B1222,4)),VALUE(MID(Base_Bruta!B1222,4,2)),VALUE(LEFT(Base_Bruta!B1222,2))))))</f>
        <v>46020</v>
      </c>
      <c r="C1222" s="5" t="n">
        <f aca="false">IF($A1222="","",IF(ISNUMBER(Base_Bruta!C1222),Base_Bruta!C1222,IF(MID(Base_Bruta!C1222,5,1)="-",DATE(VALUE(LEFT(Base_Bruta!C1222,4)),VALUE(MID(Base_Bruta!C1222,6,2)),VALUE(RIGHT(Base_Bruta!C1222,2))),DATE(VALUE(RIGHT(Base_Bruta!C1222,4)),VALUE(MID(Base_Bruta!C1222,4,2)),VALUE(LEFT(Base_Bruta!C1222,2))))))</f>
        <v>46046</v>
      </c>
      <c r="D1222" s="4" t="str">
        <f aca="false">IF($A1222="","",TRIM(Base_Bruta!D1222))</f>
        <v>Rio Beat Festival 2026</v>
      </c>
      <c r="E1222" s="4" t="str">
        <f aca="false">IF($A1222="","",_xlfn.XLOOKUP(LOWER(TRIM(Base_Bruta!E1222)),DePara_Categoria!$A$2:$A$9,DePara_Categoria!$B$2:$B$9,"REVISAR"))</f>
        <v>Festival</v>
      </c>
      <c r="F1222" s="4" t="str">
        <f aca="false">IF($A1222="","",_xlfn.XLOOKUP(LOWER(TRIM(Base_Bruta!F1222)),DePara_Cidade!$A$2:$A$29,DePara_Cidade!$B$2:$B$29,"REVISAR"))</f>
        <v>Rio de Janeiro</v>
      </c>
      <c r="G1222" s="4" t="str">
        <f aca="false">IF($A1222="","",TRIM(Base_Bruta!G1222))</f>
        <v>Inteira</v>
      </c>
      <c r="H1222" s="4" t="n">
        <f aca="false">IF($A1222="","",IF(ISNUMBER(Base_Bruta!H1222),Base_Bruta!H1222,IFERROR(_xlfn.NUMBERVALUE(TRIM(SUBSTITUTE(Base_Bruta!H1222,"R$","")),",","."),0)))</f>
        <v>1</v>
      </c>
      <c r="I1222" s="6" t="n">
        <f aca="false">IF($A1222="","",IF(ISNUMBER(Base_Bruta!I1222),Base_Bruta!I1222,IFERROR(_xlfn.NUMBERVALUE(TRIM(SUBSTITUTE(Base_Bruta!I1222,"R$","")),",","."),0)))</f>
        <v>1145</v>
      </c>
      <c r="J1222" s="6" t="n">
        <f aca="false">IF($A1222="","",H1222*I1222)</f>
        <v>1145</v>
      </c>
      <c r="K1222" s="4" t="str">
        <f aca="false">IF($A1222="","",TRIM(Base_Bruta!J1222))</f>
        <v>Site</v>
      </c>
      <c r="L1222" s="4" t="str">
        <f aca="false">IF($A1222="","",TRIM(Base_Bruta!K1222))</f>
        <v>C01404</v>
      </c>
      <c r="M1222" s="4" t="str">
        <f aca="false">IF($A1222="","",_xlfn.XLOOKUP(LOWER(TRIM(Base_Bruta!L1222)),DePara_Cidade!$A$2:$A$29,DePara_Cidade!$B$2:$B$29,"REVISAR"))</f>
        <v>Rio de Janeiro</v>
      </c>
      <c r="N1222" s="4" t="str">
        <f aca="false">IF($A1222="","",UPPER(TRIM(Base_Bruta!M1222)))</f>
        <v>RJ</v>
      </c>
      <c r="O1222" s="4" t="str">
        <f aca="false">IF($A1222="","",_xlfn.XLOOKUP(LOWER(TRIM(Base_Bruta!N1222)),DePara_Pais!$A$2:$A$9,DePara_Pais!$B$2:$B$9,"REVISAR"))</f>
        <v>Brasil</v>
      </c>
      <c r="P1222" s="4" t="str">
        <f aca="false">IF($A1222="","",IF(O1222&lt;&gt;"Brasil","Turista Internacional",IF(M1222=F1222,"Local","Turista Nacional")))</f>
        <v>Local</v>
      </c>
      <c r="Q1222" s="7" t="n">
        <f aca="false">IF($A1222="","",DATE(YEAR(B1222),MONTH(B1222),1))</f>
        <v>45992</v>
      </c>
      <c r="R1222" s="4" t="str">
        <f aca="false">IF($A1222="","",IF(COUNTIF($A$2:$A1222,$A1222)&gt;1,"Sim","Não"))</f>
        <v>Não</v>
      </c>
      <c r="S1222" s="4" t="str">
        <f aca="false">IF(A1222="","Descartar - Linha vazia",IF(R1222="Sim","Descartar - Duplicado",IF(OR(H1222&lt;=0,I1222&lt;=0),"Descartar - Qtd/Valor inválido","OK")))</f>
        <v>OK</v>
      </c>
      <c r="T1222" s="4" t="str">
        <f aca="false">Base_Bruta!P1222</f>
        <v>vendas_RJ.xlsx</v>
      </c>
    </row>
    <row r="1223" customFormat="false" ht="15" hidden="false" customHeight="false" outlineLevel="0" collapsed="false">
      <c r="A1223" s="4" t="str">
        <f aca="false">IF(Base_Bruta!A1223="","",Base_Bruta!A1223)</f>
        <v>RJ-000657</v>
      </c>
      <c r="B1223" s="5" t="n">
        <f aca="false">IF($A1223="","",IF(ISNUMBER(Base_Bruta!B1223),Base_Bruta!B1223,IF(MID(Base_Bruta!B1223,5,1)="-",DATE(VALUE(LEFT(Base_Bruta!B1223,4)),VALUE(MID(Base_Bruta!B1223,6,2)),VALUE(RIGHT(Base_Bruta!B1223,2))),DATE(VALUE(RIGHT(Base_Bruta!B1223,4)),VALUE(MID(Base_Bruta!B1223,4,2)),VALUE(LEFT(Base_Bruta!B1223,2))))))</f>
        <v>46021</v>
      </c>
      <c r="C1223" s="5" t="n">
        <f aca="false">IF($A1223="","",IF(ISNUMBER(Base_Bruta!C1223),Base_Bruta!C1223,IF(MID(Base_Bruta!C1223,5,1)="-",DATE(VALUE(LEFT(Base_Bruta!C1223,4)),VALUE(MID(Base_Bruta!C1223,6,2)),VALUE(RIGHT(Base_Bruta!C1223,2))),DATE(VALUE(RIGHT(Base_Bruta!C1223,4)),VALUE(MID(Base_Bruta!C1223,4,2)),VALUE(LEFT(Base_Bruta!C1223,2))))))</f>
        <v>46022</v>
      </c>
      <c r="D1223" s="4" t="str">
        <f aca="false">IF($A1223="","",TRIM(Base_Bruta!D1223))</f>
        <v>Cinema Barra - Sessões</v>
      </c>
      <c r="E1223" s="4" t="str">
        <f aca="false">IF($A1223="","",_xlfn.XLOOKUP(LOWER(TRIM(Base_Bruta!E1223)),DePara_Categoria!$A$2:$A$9,DePara_Categoria!$B$2:$B$9,"REVISAR"))</f>
        <v>Cinema</v>
      </c>
      <c r="F1223" s="4" t="str">
        <f aca="false">IF($A1223="","",_xlfn.XLOOKUP(LOWER(TRIM(Base_Bruta!F1223)),DePara_Cidade!$A$2:$A$29,DePara_Cidade!$B$2:$B$29,"REVISAR"))</f>
        <v>Rio de Janeiro</v>
      </c>
      <c r="G1223" s="4" t="str">
        <f aca="false">IF($A1223="","",TRIM(Base_Bruta!G1223))</f>
        <v>Inteira</v>
      </c>
      <c r="H1223" s="4" t="n">
        <f aca="false">IF($A1223="","",IF(ISNUMBER(Base_Bruta!H1223),Base_Bruta!H1223,IFERROR(_xlfn.NUMBERVALUE(TRIM(SUBSTITUTE(Base_Bruta!H1223,"R$","")),",","."),0)))</f>
        <v>2</v>
      </c>
      <c r="I1223" s="6" t="n">
        <f aca="false">IF($A1223="","",IF(ISNUMBER(Base_Bruta!I1223),Base_Bruta!I1223,IFERROR(_xlfn.NUMBERVALUE(TRIM(SUBSTITUTE(Base_Bruta!I1223,"R$","")),",","."),0)))</f>
        <v>35</v>
      </c>
      <c r="J1223" s="6" t="n">
        <f aca="false">IF($A1223="","",H1223*I1223)</f>
        <v>70</v>
      </c>
      <c r="K1223" s="4" t="str">
        <f aca="false">IF($A1223="","",TRIM(Base_Bruta!J1223))</f>
        <v>App</v>
      </c>
      <c r="L1223" s="4" t="str">
        <f aca="false">IF($A1223="","",TRIM(Base_Bruta!K1223))</f>
        <v>C00084</v>
      </c>
      <c r="M1223" s="4" t="str">
        <f aca="false">IF($A1223="","",_xlfn.XLOOKUP(LOWER(TRIM(Base_Bruta!L1223)),DePara_Cidade!$A$2:$A$29,DePara_Cidade!$B$2:$B$29,"REVISAR"))</f>
        <v>Rio de Janeiro</v>
      </c>
      <c r="N1223" s="4" t="str">
        <f aca="false">IF($A1223="","",UPPER(TRIM(Base_Bruta!M1223)))</f>
        <v>RJ</v>
      </c>
      <c r="O1223" s="4" t="str">
        <f aca="false">IF($A1223="","",_xlfn.XLOOKUP(LOWER(TRIM(Base_Bruta!N1223)),DePara_Pais!$A$2:$A$9,DePara_Pais!$B$2:$B$9,"REVISAR"))</f>
        <v>Brasil</v>
      </c>
      <c r="P1223" s="4" t="str">
        <f aca="false">IF($A1223="","",IF(O1223&lt;&gt;"Brasil","Turista Internacional",IF(M1223=F1223,"Local","Turista Nacional")))</f>
        <v>Local</v>
      </c>
      <c r="Q1223" s="7" t="n">
        <f aca="false">IF($A1223="","",DATE(YEAR(B1223),MONTH(B1223),1))</f>
        <v>45992</v>
      </c>
      <c r="R1223" s="4" t="str">
        <f aca="false">IF($A1223="","",IF(COUNTIF($A$2:$A1223,$A1223)&gt;1,"Sim","Não"))</f>
        <v>Não</v>
      </c>
      <c r="S1223" s="4" t="str">
        <f aca="false">IF(A1223="","Descartar - Linha vazia",IF(R1223="Sim","Descartar - Duplicado",IF(OR(H1223&lt;=0,I1223&lt;=0),"Descartar - Qtd/Valor inválido","OK")))</f>
        <v>OK</v>
      </c>
      <c r="T1223" s="4" t="str">
        <f aca="false">Base_Bruta!P1223</f>
        <v>vendas_RJ.xlsx</v>
      </c>
    </row>
    <row r="1224" customFormat="false" ht="15" hidden="false" customHeight="false" outlineLevel="0" collapsed="false">
      <c r="A1224" s="4" t="str">
        <f aca="false">IF(Base_Bruta!A1224="","",Base_Bruta!A1224)</f>
        <v>RJ-000026</v>
      </c>
      <c r="B1224" s="5" t="n">
        <f aca="false">IF($A1224="","",IF(ISNUMBER(Base_Bruta!B1224),Base_Bruta!B1224,IF(MID(Base_Bruta!B1224,5,1)="-",DATE(VALUE(LEFT(Base_Bruta!B1224,4)),VALUE(MID(Base_Bruta!B1224,6,2)),VALUE(RIGHT(Base_Bruta!B1224,2))),DATE(VALUE(RIGHT(Base_Bruta!B1224,4)),VALUE(MID(Base_Bruta!B1224,4,2)),VALUE(LEFT(Base_Bruta!B1224,2))))))</f>
        <v>46023</v>
      </c>
      <c r="C1224" s="5" t="n">
        <f aca="false">IF($A1224="","",IF(ISNUMBER(Base_Bruta!C1224),Base_Bruta!C1224,IF(MID(Base_Bruta!C1224,5,1)="-",DATE(VALUE(LEFT(Base_Bruta!C1224,4)),VALUE(MID(Base_Bruta!C1224,6,2)),VALUE(RIGHT(Base_Bruta!C1224,2))),DATE(VALUE(RIGHT(Base_Bruta!C1224,4)),VALUE(MID(Base_Bruta!C1224,4,2)),VALUE(LEFT(Base_Bruta!C1224,2))))))</f>
        <v>46046</v>
      </c>
      <c r="D1224" s="4" t="str">
        <f aca="false">IF($A1224="","",TRIM(Base_Bruta!D1224))</f>
        <v>Rio Beat Festival 2026</v>
      </c>
      <c r="E1224" s="4" t="str">
        <f aca="false">IF($A1224="","",_xlfn.XLOOKUP(LOWER(TRIM(Base_Bruta!E1224)),DePara_Categoria!$A$2:$A$9,DePara_Categoria!$B$2:$B$9,"REVISAR"))</f>
        <v>Festival</v>
      </c>
      <c r="F1224" s="4" t="str">
        <f aca="false">IF($A1224="","",_xlfn.XLOOKUP(LOWER(TRIM(Base_Bruta!F1224)),DePara_Cidade!$A$2:$A$29,DePara_Cidade!$B$2:$B$29,"REVISAR"))</f>
        <v>Rio de Janeiro</v>
      </c>
      <c r="G1224" s="4" t="str">
        <f aca="false">IF($A1224="","",TRIM(Base_Bruta!G1224))</f>
        <v>Meia</v>
      </c>
      <c r="H1224" s="4" t="n">
        <f aca="false">IF($A1224="","",IF(ISNUMBER(Base_Bruta!H1224),Base_Bruta!H1224,IFERROR(_xlfn.NUMBERVALUE(TRIM(SUBSTITUTE(Base_Bruta!H1224,"R$","")),",","."),0)))</f>
        <v>3</v>
      </c>
      <c r="I1224" s="6" t="n">
        <f aca="false">IF($A1224="","",IF(ISNUMBER(Base_Bruta!I1224),Base_Bruta!I1224,IFERROR(_xlfn.NUMBERVALUE(TRIM(SUBSTITUTE(Base_Bruta!I1224,"R$","")),",","."),0)))</f>
        <v>537.5</v>
      </c>
      <c r="J1224" s="6" t="n">
        <f aca="false">IF($A1224="","",H1224*I1224)</f>
        <v>1612.5</v>
      </c>
      <c r="K1224" s="4" t="str">
        <f aca="false">IF($A1224="","",TRIM(Base_Bruta!J1224))</f>
        <v>App</v>
      </c>
      <c r="L1224" s="4" t="str">
        <f aca="false">IF($A1224="","",TRIM(Base_Bruta!K1224))</f>
        <v>C02044</v>
      </c>
      <c r="M1224" s="4" t="str">
        <f aca="false">IF($A1224="","",_xlfn.XLOOKUP(LOWER(TRIM(Base_Bruta!L1224)),DePara_Cidade!$A$2:$A$29,DePara_Cidade!$B$2:$B$29,"REVISAR"))</f>
        <v>Recife</v>
      </c>
      <c r="N1224" s="4" t="str">
        <f aca="false">IF($A1224="","",UPPER(TRIM(Base_Bruta!M1224)))</f>
        <v>PE</v>
      </c>
      <c r="O1224" s="4" t="str">
        <f aca="false">IF($A1224="","",_xlfn.XLOOKUP(LOWER(TRIM(Base_Bruta!N1224)),DePara_Pais!$A$2:$A$9,DePara_Pais!$B$2:$B$9,"REVISAR"))</f>
        <v>Brasil</v>
      </c>
      <c r="P1224" s="4" t="str">
        <f aca="false">IF($A1224="","",IF(O1224&lt;&gt;"Brasil","Turista Internacional",IF(M1224=F1224,"Local","Turista Nacional")))</f>
        <v>Turista Nacional</v>
      </c>
      <c r="Q1224" s="7" t="n">
        <f aca="false">IF($A1224="","",DATE(YEAR(B1224),MONTH(B1224),1))</f>
        <v>46023</v>
      </c>
      <c r="R1224" s="4" t="str">
        <f aca="false">IF($A1224="","",IF(COUNTIF($A$2:$A1224,$A1224)&gt;1,"Sim","Não"))</f>
        <v>Não</v>
      </c>
      <c r="S1224" s="4" t="str">
        <f aca="false">IF(A1224="","Descartar - Linha vazia",IF(R1224="Sim","Descartar - Duplicado",IF(OR(H1224&lt;=0,I1224&lt;=0),"Descartar - Qtd/Valor inválido","OK")))</f>
        <v>OK</v>
      </c>
      <c r="T1224" s="4" t="str">
        <f aca="false">Base_Bruta!P1224</f>
        <v>vendas_RJ.xlsx</v>
      </c>
    </row>
    <row r="1225" customFormat="false" ht="15" hidden="false" customHeight="false" outlineLevel="0" collapsed="false">
      <c r="A1225" s="4" t="str">
        <f aca="false">IF(Base_Bruta!A1225="","",Base_Bruta!A1225)</f>
        <v>RJ-000040</v>
      </c>
      <c r="B1225" s="5" t="n">
        <f aca="false">IF($A1225="","",IF(ISNUMBER(Base_Bruta!B1225),Base_Bruta!B1225,IF(MID(Base_Bruta!B1225,5,1)="-",DATE(VALUE(LEFT(Base_Bruta!B1225,4)),VALUE(MID(Base_Bruta!B1225,6,2)),VALUE(RIGHT(Base_Bruta!B1225,2))),DATE(VALUE(RIGHT(Base_Bruta!B1225,4)),VALUE(MID(Base_Bruta!B1225,4,2)),VALUE(LEFT(Base_Bruta!B1225,2))))))</f>
        <v>46024</v>
      </c>
      <c r="C1225" s="5" t="n">
        <f aca="false">IF($A1225="","",IF(ISNUMBER(Base_Bruta!C1225),Base_Bruta!C1225,IF(MID(Base_Bruta!C1225,5,1)="-",DATE(VALUE(LEFT(Base_Bruta!C1225,4)),VALUE(MID(Base_Bruta!C1225,6,2)),VALUE(RIGHT(Base_Bruta!C1225,2))),DATE(VALUE(RIGHT(Base_Bruta!C1225,4)),VALUE(MID(Base_Bruta!C1225,4,2)),VALUE(LEFT(Base_Bruta!C1225,2))))))</f>
        <v>46046</v>
      </c>
      <c r="D1225" s="4" t="str">
        <f aca="false">IF($A1225="","",TRIM(Base_Bruta!D1225))</f>
        <v>Rio Beat Festival 2026</v>
      </c>
      <c r="E1225" s="4" t="str">
        <f aca="false">IF($A1225="","",_xlfn.XLOOKUP(LOWER(TRIM(Base_Bruta!E1225)),DePara_Categoria!$A$2:$A$9,DePara_Categoria!$B$2:$B$9,"REVISAR"))</f>
        <v>Festival</v>
      </c>
      <c r="F1225" s="4" t="str">
        <f aca="false">IF($A1225="","",_xlfn.XLOOKUP(LOWER(TRIM(Base_Bruta!F1225)),DePara_Cidade!$A$2:$A$29,DePara_Cidade!$B$2:$B$29,"REVISAR"))</f>
        <v>Rio de Janeiro</v>
      </c>
      <c r="G1225" s="4" t="str">
        <f aca="false">IF($A1225="","",TRIM(Base_Bruta!G1225))</f>
        <v>Inteira</v>
      </c>
      <c r="H1225" s="4" t="n">
        <f aca="false">IF($A1225="","",IF(ISNUMBER(Base_Bruta!H1225),Base_Bruta!H1225,IFERROR(_xlfn.NUMBERVALUE(TRIM(SUBSTITUTE(Base_Bruta!H1225,"R$","")),",","."),0)))</f>
        <v>3</v>
      </c>
      <c r="I1225" s="6" t="n">
        <f aca="false">IF($A1225="","",IF(ISNUMBER(Base_Bruta!I1225),Base_Bruta!I1225,IFERROR(_xlfn.NUMBERVALUE(TRIM(SUBSTITUTE(Base_Bruta!I1225,"R$","")),",","."),0)))</f>
        <v>1110</v>
      </c>
      <c r="J1225" s="6" t="n">
        <f aca="false">IF($A1225="","",H1225*I1225)</f>
        <v>3330</v>
      </c>
      <c r="K1225" s="4" t="str">
        <f aca="false">IF($A1225="","",TRIM(Base_Bruta!J1225))</f>
        <v>Site</v>
      </c>
      <c r="L1225" s="4" t="str">
        <f aca="false">IF($A1225="","",TRIM(Base_Bruta!K1225))</f>
        <v>C00887</v>
      </c>
      <c r="M1225" s="4" t="str">
        <f aca="false">IF($A1225="","",_xlfn.XLOOKUP(LOWER(TRIM(Base_Bruta!L1225)),DePara_Cidade!$A$2:$A$29,DePara_Cidade!$B$2:$B$29,"REVISAR"))</f>
        <v>Goiânia</v>
      </c>
      <c r="N1225" s="4" t="str">
        <f aca="false">IF($A1225="","",UPPER(TRIM(Base_Bruta!M1225)))</f>
        <v>GO</v>
      </c>
      <c r="O1225" s="4" t="str">
        <f aca="false">IF($A1225="","",_xlfn.XLOOKUP(LOWER(TRIM(Base_Bruta!N1225)),DePara_Pais!$A$2:$A$9,DePara_Pais!$B$2:$B$9,"REVISAR"))</f>
        <v>Brasil</v>
      </c>
      <c r="P1225" s="4" t="str">
        <f aca="false">IF($A1225="","",IF(O1225&lt;&gt;"Brasil","Turista Internacional",IF(M1225=F1225,"Local","Turista Nacional")))</f>
        <v>Turista Nacional</v>
      </c>
      <c r="Q1225" s="7" t="n">
        <f aca="false">IF($A1225="","",DATE(YEAR(B1225),MONTH(B1225),1))</f>
        <v>46023</v>
      </c>
      <c r="R1225" s="4" t="str">
        <f aca="false">IF($A1225="","",IF(COUNTIF($A$2:$A1225,$A1225)&gt;1,"Sim","Não"))</f>
        <v>Não</v>
      </c>
      <c r="S1225" s="4" t="str">
        <f aca="false">IF(A1225="","Descartar - Linha vazia",IF(R1225="Sim","Descartar - Duplicado",IF(OR(H1225&lt;=0,I1225&lt;=0),"Descartar - Qtd/Valor inválido","OK")))</f>
        <v>OK</v>
      </c>
      <c r="T1225" s="4" t="str">
        <f aca="false">Base_Bruta!P1225</f>
        <v>vendas_RJ.xlsx</v>
      </c>
    </row>
    <row r="1226" customFormat="false" ht="15" hidden="false" customHeight="false" outlineLevel="0" collapsed="false">
      <c r="A1226" s="4" t="str">
        <f aca="false">IF(Base_Bruta!A1226="","",Base_Bruta!A1226)</f>
        <v>RJ-000154</v>
      </c>
      <c r="B1226" s="5" t="n">
        <f aca="false">IF($A1226="","",IF(ISNUMBER(Base_Bruta!B1226),Base_Bruta!B1226,IF(MID(Base_Bruta!B1226,5,1)="-",DATE(VALUE(LEFT(Base_Bruta!B1226,4)),VALUE(MID(Base_Bruta!B1226,6,2)),VALUE(RIGHT(Base_Bruta!B1226,2))),DATE(VALUE(RIGHT(Base_Bruta!B1226,4)),VALUE(MID(Base_Bruta!B1226,4,2)),VALUE(LEFT(Base_Bruta!B1226,2))))))</f>
        <v>46024</v>
      </c>
      <c r="C1226" s="5" t="n">
        <f aca="false">IF($A1226="","",IF(ISNUMBER(Base_Bruta!C1226),Base_Bruta!C1226,IF(MID(Base_Bruta!C1226,5,1)="-",DATE(VALUE(LEFT(Base_Bruta!C1226,4)),VALUE(MID(Base_Bruta!C1226,6,2)),VALUE(RIGHT(Base_Bruta!C1226,2))),DATE(VALUE(RIGHT(Base_Bruta!C1226,4)),VALUE(MID(Base_Bruta!C1226,4,2)),VALUE(LEFT(Base_Bruta!C1226,2))))))</f>
        <v>46046</v>
      </c>
      <c r="D1226" s="4" t="str">
        <f aca="false">IF($A1226="","",TRIM(Base_Bruta!D1226))</f>
        <v>Rio Beat Festival 2026</v>
      </c>
      <c r="E1226" s="4" t="str">
        <f aca="false">IF($A1226="","",_xlfn.XLOOKUP(LOWER(TRIM(Base_Bruta!E1226)),DePara_Categoria!$A$2:$A$9,DePara_Categoria!$B$2:$B$9,"REVISAR"))</f>
        <v>Festival</v>
      </c>
      <c r="F1226" s="4" t="str">
        <f aca="false">IF($A1226="","",_xlfn.XLOOKUP(LOWER(TRIM(Base_Bruta!F1226)),DePara_Cidade!$A$2:$A$29,DePara_Cidade!$B$2:$B$29,"REVISAR"))</f>
        <v>Rio de Janeiro</v>
      </c>
      <c r="G1226" s="4" t="str">
        <f aca="false">IF($A1226="","",TRIM(Base_Bruta!G1226))</f>
        <v>Inteira</v>
      </c>
      <c r="H1226" s="4" t="n">
        <f aca="false">IF($A1226="","",IF(ISNUMBER(Base_Bruta!H1226),Base_Bruta!H1226,IFERROR(_xlfn.NUMBERVALUE(TRIM(SUBSTITUTE(Base_Bruta!H1226,"R$","")),",","."),0)))</f>
        <v>4</v>
      </c>
      <c r="I1226" s="6" t="n">
        <f aca="false">IF($A1226="","",IF(ISNUMBER(Base_Bruta!I1226),Base_Bruta!I1226,IFERROR(_xlfn.NUMBERVALUE(TRIM(SUBSTITUTE(Base_Bruta!I1226,"R$","")),",","."),0)))</f>
        <v>815</v>
      </c>
      <c r="J1226" s="6" t="n">
        <f aca="false">IF($A1226="","",H1226*I1226)</f>
        <v>3260</v>
      </c>
      <c r="K1226" s="4" t="str">
        <f aca="false">IF($A1226="","",TRIM(Base_Bruta!J1226))</f>
        <v>App</v>
      </c>
      <c r="L1226" s="4" t="str">
        <f aca="false">IF($A1226="","",TRIM(Base_Bruta!K1226))</f>
        <v>C01240</v>
      </c>
      <c r="M1226" s="4" t="str">
        <f aca="false">IF($A1226="","",_xlfn.XLOOKUP(LOWER(TRIM(Base_Bruta!L1226)),DePara_Cidade!$A$2:$A$29,DePara_Cidade!$B$2:$B$29,"REVISAR"))</f>
        <v>Rio de Janeiro</v>
      </c>
      <c r="N1226" s="4" t="str">
        <f aca="false">IF($A1226="","",UPPER(TRIM(Base_Bruta!M1226)))</f>
        <v>RJ</v>
      </c>
      <c r="O1226" s="4" t="str">
        <f aca="false">IF($A1226="","",_xlfn.XLOOKUP(LOWER(TRIM(Base_Bruta!N1226)),DePara_Pais!$A$2:$A$9,DePara_Pais!$B$2:$B$9,"REVISAR"))</f>
        <v>Brasil</v>
      </c>
      <c r="P1226" s="4" t="str">
        <f aca="false">IF($A1226="","",IF(O1226&lt;&gt;"Brasil","Turista Internacional",IF(M1226=F1226,"Local","Turista Nacional")))</f>
        <v>Local</v>
      </c>
      <c r="Q1226" s="7" t="n">
        <f aca="false">IF($A1226="","",DATE(YEAR(B1226),MONTH(B1226),1))</f>
        <v>46023</v>
      </c>
      <c r="R1226" s="4" t="str">
        <f aca="false">IF($A1226="","",IF(COUNTIF($A$2:$A1226,$A1226)&gt;1,"Sim","Não"))</f>
        <v>Não</v>
      </c>
      <c r="S1226" s="4" t="str">
        <f aca="false">IF(A1226="","Descartar - Linha vazia",IF(R1226="Sim","Descartar - Duplicado",IF(OR(H1226&lt;=0,I1226&lt;=0),"Descartar - Qtd/Valor inválido","OK")))</f>
        <v>OK</v>
      </c>
      <c r="T1226" s="4" t="str">
        <f aca="false">Base_Bruta!P1226</f>
        <v>vendas_RJ.xlsx</v>
      </c>
    </row>
    <row r="1227" customFormat="false" ht="15" hidden="false" customHeight="false" outlineLevel="0" collapsed="false">
      <c r="A1227" s="4" t="str">
        <f aca="false">IF(Base_Bruta!A1227="","",Base_Bruta!A1227)</f>
        <v>RJ-000228</v>
      </c>
      <c r="B1227" s="5" t="n">
        <f aca="false">IF($A1227="","",IF(ISNUMBER(Base_Bruta!B1227),Base_Bruta!B1227,IF(MID(Base_Bruta!B1227,5,1)="-",DATE(VALUE(LEFT(Base_Bruta!B1227,4)),VALUE(MID(Base_Bruta!B1227,6,2)),VALUE(RIGHT(Base_Bruta!B1227,2))),DATE(VALUE(RIGHT(Base_Bruta!B1227,4)),VALUE(MID(Base_Bruta!B1227,4,2)),VALUE(LEFT(Base_Bruta!B1227,2))))))</f>
        <v>46024</v>
      </c>
      <c r="C1227" s="5" t="n">
        <f aca="false">IF($A1227="","",IF(ISNUMBER(Base_Bruta!C1227),Base_Bruta!C1227,IF(MID(Base_Bruta!C1227,5,1)="-",DATE(VALUE(LEFT(Base_Bruta!C1227,4)),VALUE(MID(Base_Bruta!C1227,6,2)),VALUE(RIGHT(Base_Bruta!C1227,2))),DATE(VALUE(RIGHT(Base_Bruta!C1227,4)),VALUE(MID(Base_Bruta!C1227,4,2)),VALUE(LEFT(Base_Bruta!C1227,2))))))</f>
        <v>46046</v>
      </c>
      <c r="D1227" s="4" t="str">
        <f aca="false">IF($A1227="","",TRIM(Base_Bruta!D1227))</f>
        <v>Rio Beat Festival 2026</v>
      </c>
      <c r="E1227" s="4" t="str">
        <f aca="false">IF($A1227="","",_xlfn.XLOOKUP(LOWER(TRIM(Base_Bruta!E1227)),DePara_Categoria!$A$2:$A$9,DePara_Categoria!$B$2:$B$9,"REVISAR"))</f>
        <v>Festival</v>
      </c>
      <c r="F1227" s="4" t="str">
        <f aca="false">IF($A1227="","",_xlfn.XLOOKUP(LOWER(TRIM(Base_Bruta!F1227)),DePara_Cidade!$A$2:$A$29,DePara_Cidade!$B$2:$B$29,"REVISAR"))</f>
        <v>Rio de Janeiro</v>
      </c>
      <c r="G1227" s="4" t="str">
        <f aca="false">IF($A1227="","",TRIM(Base_Bruta!G1227))</f>
        <v>Meia</v>
      </c>
      <c r="H1227" s="4" t="n">
        <f aca="false">IF($A1227="","",IF(ISNUMBER(Base_Bruta!H1227),Base_Bruta!H1227,IFERROR(_xlfn.NUMBERVALUE(TRIM(SUBSTITUTE(Base_Bruta!H1227,"R$","")),",","."),0)))</f>
        <v>3</v>
      </c>
      <c r="I1227" s="6" t="n">
        <f aca="false">IF($A1227="","",IF(ISNUMBER(Base_Bruta!I1227),Base_Bruta!I1227,IFERROR(_xlfn.NUMBERVALUE(TRIM(SUBSTITUTE(Base_Bruta!I1227,"R$","")),",","."),0)))</f>
        <v>550</v>
      </c>
      <c r="J1227" s="6" t="n">
        <f aca="false">IF($A1227="","",H1227*I1227)</f>
        <v>1650</v>
      </c>
      <c r="K1227" s="4" t="str">
        <f aca="false">IF($A1227="","",TRIM(Base_Bruta!J1227))</f>
        <v>Site</v>
      </c>
      <c r="L1227" s="4" t="str">
        <f aca="false">IF($A1227="","",TRIM(Base_Bruta!K1227))</f>
        <v>C00467</v>
      </c>
      <c r="M1227" s="4" t="str">
        <f aca="false">IF($A1227="","",_xlfn.XLOOKUP(LOWER(TRIM(Base_Bruta!L1227)),DePara_Cidade!$A$2:$A$29,DePara_Cidade!$B$2:$B$29,"REVISAR"))</f>
        <v>Rio de Janeiro</v>
      </c>
      <c r="N1227" s="4" t="str">
        <f aca="false">IF($A1227="","",UPPER(TRIM(Base_Bruta!M1227)))</f>
        <v>RJ</v>
      </c>
      <c r="O1227" s="4" t="str">
        <f aca="false">IF($A1227="","",_xlfn.XLOOKUP(LOWER(TRIM(Base_Bruta!N1227)),DePara_Pais!$A$2:$A$9,DePara_Pais!$B$2:$B$9,"REVISAR"))</f>
        <v>Brasil</v>
      </c>
      <c r="P1227" s="4" t="str">
        <f aca="false">IF($A1227="","",IF(O1227&lt;&gt;"Brasil","Turista Internacional",IF(M1227=F1227,"Local","Turista Nacional")))</f>
        <v>Local</v>
      </c>
      <c r="Q1227" s="7" t="n">
        <f aca="false">IF($A1227="","",DATE(YEAR(B1227),MONTH(B1227),1))</f>
        <v>46023</v>
      </c>
      <c r="R1227" s="4" t="str">
        <f aca="false">IF($A1227="","",IF(COUNTIF($A$2:$A1227,$A1227)&gt;1,"Sim","Não"))</f>
        <v>Não</v>
      </c>
      <c r="S1227" s="4" t="str">
        <f aca="false">IF(A1227="","Descartar - Linha vazia",IF(R1227="Sim","Descartar - Duplicado",IF(OR(H1227&lt;=0,I1227&lt;=0),"Descartar - Qtd/Valor inválido","OK")))</f>
        <v>OK</v>
      </c>
      <c r="T1227" s="4" t="str">
        <f aca="false">Base_Bruta!P1227</f>
        <v>vendas_RJ.xlsx</v>
      </c>
    </row>
    <row r="1228" customFormat="false" ht="15" hidden="false" customHeight="false" outlineLevel="0" collapsed="false">
      <c r="A1228" s="4" t="str">
        <f aca="false">IF(Base_Bruta!A1228="","",Base_Bruta!A1228)</f>
        <v>RJ-000060</v>
      </c>
      <c r="B1228" s="5" t="n">
        <f aca="false">IF($A1228="","",IF(ISNUMBER(Base_Bruta!B1228),Base_Bruta!B1228,IF(MID(Base_Bruta!B1228,5,1)="-",DATE(VALUE(LEFT(Base_Bruta!B1228,4)),VALUE(MID(Base_Bruta!B1228,6,2)),VALUE(RIGHT(Base_Bruta!B1228,2))),DATE(VALUE(RIGHT(Base_Bruta!B1228,4)),VALUE(MID(Base_Bruta!B1228,4,2)),VALUE(LEFT(Base_Bruta!B1228,2))))))</f>
        <v>46025</v>
      </c>
      <c r="C1228" s="5" t="n">
        <f aca="false">IF($A1228="","",IF(ISNUMBER(Base_Bruta!C1228),Base_Bruta!C1228,IF(MID(Base_Bruta!C1228,5,1)="-",DATE(VALUE(LEFT(Base_Bruta!C1228,4)),VALUE(MID(Base_Bruta!C1228,6,2)),VALUE(RIGHT(Base_Bruta!C1228,2))),DATE(VALUE(RIGHT(Base_Bruta!C1228,4)),VALUE(MID(Base_Bruta!C1228,4,2)),VALUE(LEFT(Base_Bruta!C1228,2))))))</f>
        <v>46046</v>
      </c>
      <c r="D1228" s="4" t="str">
        <f aca="false">IF($A1228="","",TRIM(Base_Bruta!D1228))</f>
        <v>Rio Beat Festival 2026</v>
      </c>
      <c r="E1228" s="4" t="str">
        <f aca="false">IF($A1228="","",_xlfn.XLOOKUP(LOWER(TRIM(Base_Bruta!E1228)),DePara_Categoria!$A$2:$A$9,DePara_Categoria!$B$2:$B$9,"REVISAR"))</f>
        <v>Festival</v>
      </c>
      <c r="F1228" s="4" t="str">
        <f aca="false">IF($A1228="","",_xlfn.XLOOKUP(LOWER(TRIM(Base_Bruta!F1228)),DePara_Cidade!$A$2:$A$29,DePara_Cidade!$B$2:$B$29,"REVISAR"))</f>
        <v>Rio de Janeiro</v>
      </c>
      <c r="G1228" s="4" t="str">
        <f aca="false">IF($A1228="","",TRIM(Base_Bruta!G1228))</f>
        <v>Meia</v>
      </c>
      <c r="H1228" s="4" t="n">
        <f aca="false">IF($A1228="","",IF(ISNUMBER(Base_Bruta!H1228),Base_Bruta!H1228,IFERROR(_xlfn.NUMBERVALUE(TRIM(SUBSTITUTE(Base_Bruta!H1228,"R$","")),",","."),0)))</f>
        <v>3</v>
      </c>
      <c r="I1228" s="6" t="n">
        <f aca="false">IF($A1228="","",IF(ISNUMBER(Base_Bruta!I1228),Base_Bruta!I1228,IFERROR(_xlfn.NUMBERVALUE(TRIM(SUBSTITUTE(Base_Bruta!I1228,"R$","")),",","."),0)))</f>
        <v>552.5</v>
      </c>
      <c r="J1228" s="6" t="n">
        <f aca="false">IF($A1228="","",H1228*I1228)</f>
        <v>1657.5</v>
      </c>
      <c r="K1228" s="4" t="str">
        <f aca="false">IF($A1228="","",TRIM(Base_Bruta!J1228))</f>
        <v>Site</v>
      </c>
      <c r="L1228" s="4" t="str">
        <f aca="false">IF($A1228="","",TRIM(Base_Bruta!K1228))</f>
        <v>C02301</v>
      </c>
      <c r="M1228" s="4" t="str">
        <f aca="false">IF($A1228="","",_xlfn.XLOOKUP(LOWER(TRIM(Base_Bruta!L1228)),DePara_Cidade!$A$2:$A$29,DePara_Cidade!$B$2:$B$29,"REVISAR"))</f>
        <v>Rio de Janeiro</v>
      </c>
      <c r="N1228" s="4" t="str">
        <f aca="false">IF($A1228="","",UPPER(TRIM(Base_Bruta!M1228)))</f>
        <v>RJ</v>
      </c>
      <c r="O1228" s="4" t="str">
        <f aca="false">IF($A1228="","",_xlfn.XLOOKUP(LOWER(TRIM(Base_Bruta!N1228)),DePara_Pais!$A$2:$A$9,DePara_Pais!$B$2:$B$9,"REVISAR"))</f>
        <v>Brasil</v>
      </c>
      <c r="P1228" s="4" t="str">
        <f aca="false">IF($A1228="","",IF(O1228&lt;&gt;"Brasil","Turista Internacional",IF(M1228=F1228,"Local","Turista Nacional")))</f>
        <v>Local</v>
      </c>
      <c r="Q1228" s="7" t="n">
        <f aca="false">IF($A1228="","",DATE(YEAR(B1228),MONTH(B1228),1))</f>
        <v>46023</v>
      </c>
      <c r="R1228" s="4" t="str">
        <f aca="false">IF($A1228="","",IF(COUNTIF($A$2:$A1228,$A1228)&gt;1,"Sim","Não"))</f>
        <v>Não</v>
      </c>
      <c r="S1228" s="4" t="str">
        <f aca="false">IF(A1228="","Descartar - Linha vazia",IF(R1228="Sim","Descartar - Duplicado",IF(OR(H1228&lt;=0,I1228&lt;=0),"Descartar - Qtd/Valor inválido","OK")))</f>
        <v>OK</v>
      </c>
      <c r="T1228" s="4" t="str">
        <f aca="false">Base_Bruta!P1228</f>
        <v>vendas_RJ.xlsx</v>
      </c>
    </row>
    <row r="1229" customFormat="false" ht="15" hidden="false" customHeight="false" outlineLevel="0" collapsed="false">
      <c r="A1229" s="4" t="str">
        <f aca="false">IF(Base_Bruta!A1229="","",Base_Bruta!A1229)</f>
        <v>RJ-000102</v>
      </c>
      <c r="B1229" s="5" t="n">
        <f aca="false">IF($A1229="","",IF(ISNUMBER(Base_Bruta!B1229),Base_Bruta!B1229,IF(MID(Base_Bruta!B1229,5,1)="-",DATE(VALUE(LEFT(Base_Bruta!B1229,4)),VALUE(MID(Base_Bruta!B1229,6,2)),VALUE(RIGHT(Base_Bruta!B1229,2))),DATE(VALUE(RIGHT(Base_Bruta!B1229,4)),VALUE(MID(Base_Bruta!B1229,4,2)),VALUE(LEFT(Base_Bruta!B1229,2))))))</f>
        <v>46025</v>
      </c>
      <c r="C1229" s="5" t="n">
        <f aca="false">IF($A1229="","",IF(ISNUMBER(Base_Bruta!C1229),Base_Bruta!C1229,IF(MID(Base_Bruta!C1229,5,1)="-",DATE(VALUE(LEFT(Base_Bruta!C1229,4)),VALUE(MID(Base_Bruta!C1229,6,2)),VALUE(RIGHT(Base_Bruta!C1229,2))),DATE(VALUE(RIGHT(Base_Bruta!C1229,4)),VALUE(MID(Base_Bruta!C1229,4,2)),VALUE(LEFT(Base_Bruta!C1229,2))))))</f>
        <v>46046</v>
      </c>
      <c r="D1229" s="4" t="str">
        <f aca="false">IF($A1229="","",TRIM(Base_Bruta!D1229))</f>
        <v>Rio Beat Festival 2026</v>
      </c>
      <c r="E1229" s="4" t="str">
        <f aca="false">IF($A1229="","",_xlfn.XLOOKUP(LOWER(TRIM(Base_Bruta!E1229)),DePara_Categoria!$A$2:$A$9,DePara_Categoria!$B$2:$B$9,"REVISAR"))</f>
        <v>Festival</v>
      </c>
      <c r="F1229" s="4" t="str">
        <f aca="false">IF($A1229="","",_xlfn.XLOOKUP(LOWER(TRIM(Base_Bruta!F1229)),DePara_Cidade!$A$2:$A$29,DePara_Cidade!$B$2:$B$29,"REVISAR"))</f>
        <v>Rio de Janeiro</v>
      </c>
      <c r="G1229" s="4" t="str">
        <f aca="false">IF($A1229="","",TRIM(Base_Bruta!G1229))</f>
        <v>Inteira</v>
      </c>
      <c r="H1229" s="4" t="n">
        <f aca="false">IF($A1229="","",IF(ISNUMBER(Base_Bruta!H1229),Base_Bruta!H1229,IFERROR(_xlfn.NUMBERVALUE(TRIM(SUBSTITUTE(Base_Bruta!H1229,"R$","")),",","."),0)))</f>
        <v>2</v>
      </c>
      <c r="I1229" s="6" t="n">
        <f aca="false">IF($A1229="","",IF(ISNUMBER(Base_Bruta!I1229),Base_Bruta!I1229,IFERROR(_xlfn.NUMBERVALUE(TRIM(SUBSTITUTE(Base_Bruta!I1229,"R$","")),",","."),0)))</f>
        <v>755</v>
      </c>
      <c r="J1229" s="6" t="n">
        <f aca="false">IF($A1229="","",H1229*I1229)</f>
        <v>1510</v>
      </c>
      <c r="K1229" s="4" t="str">
        <f aca="false">IF($A1229="","",TRIM(Base_Bruta!J1229))</f>
        <v>Site</v>
      </c>
      <c r="L1229" s="4" t="str">
        <f aca="false">IF($A1229="","",TRIM(Base_Bruta!K1229))</f>
        <v>C00253</v>
      </c>
      <c r="M1229" s="4" t="str">
        <f aca="false">IF($A1229="","",_xlfn.XLOOKUP(LOWER(TRIM(Base_Bruta!L1229)),DePara_Cidade!$A$2:$A$29,DePara_Cidade!$B$2:$B$29,"REVISAR"))</f>
        <v>Rio de Janeiro</v>
      </c>
      <c r="N1229" s="4" t="str">
        <f aca="false">IF($A1229="","",UPPER(TRIM(Base_Bruta!M1229)))</f>
        <v>RJ</v>
      </c>
      <c r="O1229" s="4" t="str">
        <f aca="false">IF($A1229="","",_xlfn.XLOOKUP(LOWER(TRIM(Base_Bruta!N1229)),DePara_Pais!$A$2:$A$9,DePara_Pais!$B$2:$B$9,"REVISAR"))</f>
        <v>Brasil</v>
      </c>
      <c r="P1229" s="4" t="str">
        <f aca="false">IF($A1229="","",IF(O1229&lt;&gt;"Brasil","Turista Internacional",IF(M1229=F1229,"Local","Turista Nacional")))</f>
        <v>Local</v>
      </c>
      <c r="Q1229" s="7" t="n">
        <f aca="false">IF($A1229="","",DATE(YEAR(B1229),MONTH(B1229),1))</f>
        <v>46023</v>
      </c>
      <c r="R1229" s="4" t="str">
        <f aca="false">IF($A1229="","",IF(COUNTIF($A$2:$A1229,$A1229)&gt;1,"Sim","Não"))</f>
        <v>Não</v>
      </c>
      <c r="S1229" s="4" t="str">
        <f aca="false">IF(A1229="","Descartar - Linha vazia",IF(R1229="Sim","Descartar - Duplicado",IF(OR(H1229&lt;=0,I1229&lt;=0),"Descartar - Qtd/Valor inválido","OK")))</f>
        <v>OK</v>
      </c>
      <c r="T1229" s="4" t="str">
        <f aca="false">Base_Bruta!P1229</f>
        <v>vendas_RJ.xlsx</v>
      </c>
    </row>
    <row r="1230" customFormat="false" ht="15" hidden="false" customHeight="false" outlineLevel="0" collapsed="false">
      <c r="A1230" s="4" t="str">
        <f aca="false">IF(Base_Bruta!A1230="","",Base_Bruta!A1230)</f>
        <v>RJ-000002</v>
      </c>
      <c r="B1230" s="5" t="n">
        <f aca="false">IF($A1230="","",IF(ISNUMBER(Base_Bruta!B1230),Base_Bruta!B1230,IF(MID(Base_Bruta!B1230,5,1)="-",DATE(VALUE(LEFT(Base_Bruta!B1230,4)),VALUE(MID(Base_Bruta!B1230,6,2)),VALUE(RIGHT(Base_Bruta!B1230,2))),DATE(VALUE(RIGHT(Base_Bruta!B1230,4)),VALUE(MID(Base_Bruta!B1230,4,2)),VALUE(LEFT(Base_Bruta!B1230,2))))))</f>
        <v>46026</v>
      </c>
      <c r="C1230" s="5" t="n">
        <f aca="false">IF($A1230="","",IF(ISNUMBER(Base_Bruta!C1230),Base_Bruta!C1230,IF(MID(Base_Bruta!C1230,5,1)="-",DATE(VALUE(LEFT(Base_Bruta!C1230,4)),VALUE(MID(Base_Bruta!C1230,6,2)),VALUE(RIGHT(Base_Bruta!C1230,2))),DATE(VALUE(RIGHT(Base_Bruta!C1230,4)),VALUE(MID(Base_Bruta!C1230,4,2)),VALUE(LEFT(Base_Bruta!C1230,2))))))</f>
        <v>46046</v>
      </c>
      <c r="D1230" s="4" t="str">
        <f aca="false">IF($A1230="","",TRIM(Base_Bruta!D1230))</f>
        <v>Rio Beat Festival 2026</v>
      </c>
      <c r="E1230" s="4" t="str">
        <f aca="false">IF($A1230="","",_xlfn.XLOOKUP(LOWER(TRIM(Base_Bruta!E1230)),DePara_Categoria!$A$2:$A$9,DePara_Categoria!$B$2:$B$9,"REVISAR"))</f>
        <v>Festival</v>
      </c>
      <c r="F1230" s="4" t="str">
        <f aca="false">IF($A1230="","",_xlfn.XLOOKUP(LOWER(TRIM(Base_Bruta!F1230)),DePara_Cidade!$A$2:$A$29,DePara_Cidade!$B$2:$B$29,"REVISAR"))</f>
        <v>Rio de Janeiro</v>
      </c>
      <c r="G1230" s="4" t="str">
        <f aca="false">IF($A1230="","",TRIM(Base_Bruta!G1230))</f>
        <v>Meia</v>
      </c>
      <c r="H1230" s="4" t="n">
        <f aca="false">IF($A1230="","",IF(ISNUMBER(Base_Bruta!H1230),Base_Bruta!H1230,IFERROR(_xlfn.NUMBERVALUE(TRIM(SUBSTITUTE(Base_Bruta!H1230,"R$","")),",","."),0)))</f>
        <v>2</v>
      </c>
      <c r="I1230" s="6" t="n">
        <f aca="false">IF($A1230="","",IF(ISNUMBER(Base_Bruta!I1230),Base_Bruta!I1230,IFERROR(_xlfn.NUMBERVALUE(TRIM(SUBSTITUTE(Base_Bruta!I1230,"R$","")),",","."),0)))</f>
        <v>365</v>
      </c>
      <c r="J1230" s="6" t="n">
        <f aca="false">IF($A1230="","",H1230*I1230)</f>
        <v>730</v>
      </c>
      <c r="K1230" s="4" t="str">
        <f aca="false">IF($A1230="","",TRIM(Base_Bruta!J1230))</f>
        <v>Site</v>
      </c>
      <c r="L1230" s="4" t="str">
        <f aca="false">IF($A1230="","",TRIM(Base_Bruta!K1230))</f>
        <v>C02354</v>
      </c>
      <c r="M1230" s="4" t="str">
        <f aca="false">IF($A1230="","",_xlfn.XLOOKUP(LOWER(TRIM(Base_Bruta!L1230)),DePara_Cidade!$A$2:$A$29,DePara_Cidade!$B$2:$B$29,"REVISAR"))</f>
        <v>Curitiba</v>
      </c>
      <c r="N1230" s="4" t="str">
        <f aca="false">IF($A1230="","",UPPER(TRIM(Base_Bruta!M1230)))</f>
        <v>PR</v>
      </c>
      <c r="O1230" s="4" t="str">
        <f aca="false">IF($A1230="","",_xlfn.XLOOKUP(LOWER(TRIM(Base_Bruta!N1230)),DePara_Pais!$A$2:$A$9,DePara_Pais!$B$2:$B$9,"REVISAR"))</f>
        <v>Brasil</v>
      </c>
      <c r="P1230" s="4" t="str">
        <f aca="false">IF($A1230="","",IF(O1230&lt;&gt;"Brasil","Turista Internacional",IF(M1230=F1230,"Local","Turista Nacional")))</f>
        <v>Turista Nacional</v>
      </c>
      <c r="Q1230" s="7" t="n">
        <f aca="false">IF($A1230="","",DATE(YEAR(B1230),MONTH(B1230),1))</f>
        <v>46023</v>
      </c>
      <c r="R1230" s="4" t="str">
        <f aca="false">IF($A1230="","",IF(COUNTIF($A$2:$A1230,$A1230)&gt;1,"Sim","Não"))</f>
        <v>Não</v>
      </c>
      <c r="S1230" s="4" t="str">
        <f aca="false">IF(A1230="","Descartar - Linha vazia",IF(R1230="Sim","Descartar - Duplicado",IF(OR(H1230&lt;=0,I1230&lt;=0),"Descartar - Qtd/Valor inválido","OK")))</f>
        <v>OK</v>
      </c>
      <c r="T1230" s="4" t="str">
        <f aca="false">Base_Bruta!P1230</f>
        <v>vendas_RJ.xlsx</v>
      </c>
    </row>
    <row r="1231" customFormat="false" ht="15" hidden="false" customHeight="false" outlineLevel="0" collapsed="false">
      <c r="A1231" s="4" t="str">
        <f aca="false">IF(Base_Bruta!A1231="","",Base_Bruta!A1231)</f>
        <v>RJ-000121</v>
      </c>
      <c r="B1231" s="5" t="n">
        <f aca="false">IF($A1231="","",IF(ISNUMBER(Base_Bruta!B1231),Base_Bruta!B1231,IF(MID(Base_Bruta!B1231,5,1)="-",DATE(VALUE(LEFT(Base_Bruta!B1231,4)),VALUE(MID(Base_Bruta!B1231,6,2)),VALUE(RIGHT(Base_Bruta!B1231,2))),DATE(VALUE(RIGHT(Base_Bruta!B1231,4)),VALUE(MID(Base_Bruta!B1231,4,2)),VALUE(LEFT(Base_Bruta!B1231,2))))))</f>
        <v>46026</v>
      </c>
      <c r="C1231" s="5" t="n">
        <f aca="false">IF($A1231="","",IF(ISNUMBER(Base_Bruta!C1231),Base_Bruta!C1231,IF(MID(Base_Bruta!C1231,5,1)="-",DATE(VALUE(LEFT(Base_Bruta!C1231,4)),VALUE(MID(Base_Bruta!C1231,6,2)),VALUE(RIGHT(Base_Bruta!C1231,2))),DATE(VALUE(RIGHT(Base_Bruta!C1231,4)),VALUE(MID(Base_Bruta!C1231,4,2)),VALUE(LEFT(Base_Bruta!C1231,2))))))</f>
        <v>46046</v>
      </c>
      <c r="D1231" s="4" t="str">
        <f aca="false">IF($A1231="","",TRIM(Base_Bruta!D1231))</f>
        <v>Rio Beat Festival 2026</v>
      </c>
      <c r="E1231" s="4" t="str">
        <f aca="false">IF($A1231="","",_xlfn.XLOOKUP(LOWER(TRIM(Base_Bruta!E1231)),DePara_Categoria!$A$2:$A$9,DePara_Categoria!$B$2:$B$9,"REVISAR"))</f>
        <v>Festival</v>
      </c>
      <c r="F1231" s="4" t="str">
        <f aca="false">IF($A1231="","",_xlfn.XLOOKUP(LOWER(TRIM(Base_Bruta!F1231)),DePara_Cidade!$A$2:$A$29,DePara_Cidade!$B$2:$B$29,"REVISAR"))</f>
        <v>Rio de Janeiro</v>
      </c>
      <c r="G1231" s="4" t="str">
        <f aca="false">IF($A1231="","",TRIM(Base_Bruta!G1231))</f>
        <v>VIP</v>
      </c>
      <c r="H1231" s="4" t="n">
        <f aca="false">IF($A1231="","",IF(ISNUMBER(Base_Bruta!H1231),Base_Bruta!H1231,IFERROR(_xlfn.NUMBERVALUE(TRIM(SUBSTITUTE(Base_Bruta!H1231,"R$","")),",","."),0)))</f>
        <v>2</v>
      </c>
      <c r="I1231" s="6" t="n">
        <f aca="false">IF($A1231="","",IF(ISNUMBER(Base_Bruta!I1231),Base_Bruta!I1231,IFERROR(_xlfn.NUMBERVALUE(TRIM(SUBSTITUTE(Base_Bruta!I1231,"R$","")),",","."),0)))</f>
        <v>1800</v>
      </c>
      <c r="J1231" s="6" t="n">
        <f aca="false">IF($A1231="","",H1231*I1231)</f>
        <v>3600</v>
      </c>
      <c r="K1231" s="4" t="str">
        <f aca="false">IF($A1231="","",TRIM(Base_Bruta!J1231))</f>
        <v>App</v>
      </c>
      <c r="L1231" s="4" t="str">
        <f aca="false">IF($A1231="","",TRIM(Base_Bruta!K1231))</f>
        <v>C01626</v>
      </c>
      <c r="M1231" s="4" t="str">
        <f aca="false">IF($A1231="","",_xlfn.XLOOKUP(LOWER(TRIM(Base_Bruta!L1231)),DePara_Cidade!$A$2:$A$29,DePara_Cidade!$B$2:$B$29,"REVISAR"))</f>
        <v>Belo Horizonte</v>
      </c>
      <c r="N1231" s="4" t="str">
        <f aca="false">IF($A1231="","",UPPER(TRIM(Base_Bruta!M1231)))</f>
        <v>MG</v>
      </c>
      <c r="O1231" s="4" t="str">
        <f aca="false">IF($A1231="","",_xlfn.XLOOKUP(LOWER(TRIM(Base_Bruta!N1231)),DePara_Pais!$A$2:$A$9,DePara_Pais!$B$2:$B$9,"REVISAR"))</f>
        <v>Brasil</v>
      </c>
      <c r="P1231" s="4" t="str">
        <f aca="false">IF($A1231="","",IF(O1231&lt;&gt;"Brasil","Turista Internacional",IF(M1231=F1231,"Local","Turista Nacional")))</f>
        <v>Turista Nacional</v>
      </c>
      <c r="Q1231" s="7" t="n">
        <f aca="false">IF($A1231="","",DATE(YEAR(B1231),MONTH(B1231),1))</f>
        <v>46023</v>
      </c>
      <c r="R1231" s="4" t="str">
        <f aca="false">IF($A1231="","",IF(COUNTIF($A$2:$A1231,$A1231)&gt;1,"Sim","Não"))</f>
        <v>Não</v>
      </c>
      <c r="S1231" s="4" t="str">
        <f aca="false">IF(A1231="","Descartar - Linha vazia",IF(R1231="Sim","Descartar - Duplicado",IF(OR(H1231&lt;=0,I1231&lt;=0),"Descartar - Qtd/Valor inválido","OK")))</f>
        <v>OK</v>
      </c>
      <c r="T1231" s="4" t="str">
        <f aca="false">Base_Bruta!P1231</f>
        <v>vendas_RJ.xlsx</v>
      </c>
    </row>
    <row r="1232" customFormat="false" ht="15" hidden="false" customHeight="false" outlineLevel="0" collapsed="false">
      <c r="A1232" s="4" t="str">
        <f aca="false">IF(Base_Bruta!A1232="","",Base_Bruta!A1232)</f>
        <v>RJ-000225</v>
      </c>
      <c r="B1232" s="5" t="n">
        <f aca="false">IF($A1232="","",IF(ISNUMBER(Base_Bruta!B1232),Base_Bruta!B1232,IF(MID(Base_Bruta!B1232,5,1)="-",DATE(VALUE(LEFT(Base_Bruta!B1232,4)),VALUE(MID(Base_Bruta!B1232,6,2)),VALUE(RIGHT(Base_Bruta!B1232,2))),DATE(VALUE(RIGHT(Base_Bruta!B1232,4)),VALUE(MID(Base_Bruta!B1232,4,2)),VALUE(LEFT(Base_Bruta!B1232,2))))))</f>
        <v>46026</v>
      </c>
      <c r="C1232" s="5" t="n">
        <f aca="false">IF($A1232="","",IF(ISNUMBER(Base_Bruta!C1232),Base_Bruta!C1232,IF(MID(Base_Bruta!C1232,5,1)="-",DATE(VALUE(LEFT(Base_Bruta!C1232,4)),VALUE(MID(Base_Bruta!C1232,6,2)),VALUE(RIGHT(Base_Bruta!C1232,2))),DATE(VALUE(RIGHT(Base_Bruta!C1232,4)),VALUE(MID(Base_Bruta!C1232,4,2)),VALUE(LEFT(Base_Bruta!C1232,2))))))</f>
        <v>46046</v>
      </c>
      <c r="D1232" s="4" t="str">
        <f aca="false">IF($A1232="","",TRIM(Base_Bruta!D1232))</f>
        <v>Rio Beat Festival 2026</v>
      </c>
      <c r="E1232" s="4" t="str">
        <f aca="false">IF($A1232="","",_xlfn.XLOOKUP(LOWER(TRIM(Base_Bruta!E1232)),DePara_Categoria!$A$2:$A$9,DePara_Categoria!$B$2:$B$9,"REVISAR"))</f>
        <v>Festival</v>
      </c>
      <c r="F1232" s="4" t="str">
        <f aca="false">IF($A1232="","",_xlfn.XLOOKUP(LOWER(TRIM(Base_Bruta!F1232)),DePara_Cidade!$A$2:$A$29,DePara_Cidade!$B$2:$B$29,"REVISAR"))</f>
        <v>Rio de Janeiro</v>
      </c>
      <c r="G1232" s="4" t="str">
        <f aca="false">IF($A1232="","",TRIM(Base_Bruta!G1232))</f>
        <v>Inteira</v>
      </c>
      <c r="H1232" s="4" t="n">
        <f aca="false">IF($A1232="","",IF(ISNUMBER(Base_Bruta!H1232),Base_Bruta!H1232,IFERROR(_xlfn.NUMBERVALUE(TRIM(SUBSTITUTE(Base_Bruta!H1232,"R$","")),",","."),0)))</f>
        <v>4</v>
      </c>
      <c r="I1232" s="6" t="n">
        <f aca="false">IF($A1232="","",IF(ISNUMBER(Base_Bruta!I1232),Base_Bruta!I1232,IFERROR(_xlfn.NUMBERVALUE(TRIM(SUBSTITUTE(Base_Bruta!I1232,"R$","")),",","."),0)))</f>
        <v>1075</v>
      </c>
      <c r="J1232" s="6" t="n">
        <f aca="false">IF($A1232="","",H1232*I1232)</f>
        <v>4300</v>
      </c>
      <c r="K1232" s="4" t="str">
        <f aca="false">IF($A1232="","",TRIM(Base_Bruta!J1232))</f>
        <v>Bilheteria</v>
      </c>
      <c r="L1232" s="4" t="str">
        <f aca="false">IF($A1232="","",TRIM(Base_Bruta!K1232))</f>
        <v>C01259</v>
      </c>
      <c r="M1232" s="4" t="str">
        <f aca="false">IF($A1232="","",_xlfn.XLOOKUP(LOWER(TRIM(Base_Bruta!L1232)),DePara_Cidade!$A$2:$A$29,DePara_Cidade!$B$2:$B$29,"REVISAR"))</f>
        <v>Rio de Janeiro</v>
      </c>
      <c r="N1232" s="4" t="str">
        <f aca="false">IF($A1232="","",UPPER(TRIM(Base_Bruta!M1232)))</f>
        <v>RJ</v>
      </c>
      <c r="O1232" s="4" t="str">
        <f aca="false">IF($A1232="","",_xlfn.XLOOKUP(LOWER(TRIM(Base_Bruta!N1232)),DePara_Pais!$A$2:$A$9,DePara_Pais!$B$2:$B$9,"REVISAR"))</f>
        <v>Brasil</v>
      </c>
      <c r="P1232" s="4" t="str">
        <f aca="false">IF($A1232="","",IF(O1232&lt;&gt;"Brasil","Turista Internacional",IF(M1232=F1232,"Local","Turista Nacional")))</f>
        <v>Local</v>
      </c>
      <c r="Q1232" s="7" t="n">
        <f aca="false">IF($A1232="","",DATE(YEAR(B1232),MONTH(B1232),1))</f>
        <v>46023</v>
      </c>
      <c r="R1232" s="4" t="str">
        <f aca="false">IF($A1232="","",IF(COUNTIF($A$2:$A1232,$A1232)&gt;1,"Sim","Não"))</f>
        <v>Não</v>
      </c>
      <c r="S1232" s="4" t="str">
        <f aca="false">IF(A1232="","Descartar - Linha vazia",IF(R1232="Sim","Descartar - Duplicado",IF(OR(H1232&lt;=0,I1232&lt;=0),"Descartar - Qtd/Valor inválido","OK")))</f>
        <v>OK</v>
      </c>
      <c r="T1232" s="4" t="str">
        <f aca="false">Base_Bruta!P1232</f>
        <v>vendas_RJ.xlsx</v>
      </c>
    </row>
    <row r="1233" customFormat="false" ht="15" hidden="false" customHeight="false" outlineLevel="0" collapsed="false">
      <c r="A1233" s="4" t="str">
        <f aca="false">IF(Base_Bruta!A1233="","",Base_Bruta!A1233)</f>
        <v>RJ-000106</v>
      </c>
      <c r="B1233" s="5" t="n">
        <f aca="false">IF($A1233="","",IF(ISNUMBER(Base_Bruta!B1233),Base_Bruta!B1233,IF(MID(Base_Bruta!B1233,5,1)="-",DATE(VALUE(LEFT(Base_Bruta!B1233,4)),VALUE(MID(Base_Bruta!B1233,6,2)),VALUE(RIGHT(Base_Bruta!B1233,2))),DATE(VALUE(RIGHT(Base_Bruta!B1233,4)),VALUE(MID(Base_Bruta!B1233,4,2)),VALUE(LEFT(Base_Bruta!B1233,2))))))</f>
        <v>46027</v>
      </c>
      <c r="C1233" s="5" t="n">
        <f aca="false">IF($A1233="","",IF(ISNUMBER(Base_Bruta!C1233),Base_Bruta!C1233,IF(MID(Base_Bruta!C1233,5,1)="-",DATE(VALUE(LEFT(Base_Bruta!C1233,4)),VALUE(MID(Base_Bruta!C1233,6,2)),VALUE(RIGHT(Base_Bruta!C1233,2))),DATE(VALUE(RIGHT(Base_Bruta!C1233,4)),VALUE(MID(Base_Bruta!C1233,4,2)),VALUE(LEFT(Base_Bruta!C1233,2))))))</f>
        <v>46046</v>
      </c>
      <c r="D1233" s="4" t="str">
        <f aca="false">IF($A1233="","",TRIM(Base_Bruta!D1233))</f>
        <v>Rio Beat Festival 2026</v>
      </c>
      <c r="E1233" s="4" t="str">
        <f aca="false">IF($A1233="","",_xlfn.XLOOKUP(LOWER(TRIM(Base_Bruta!E1233)),DePara_Categoria!$A$2:$A$9,DePara_Categoria!$B$2:$B$9,"REVISAR"))</f>
        <v>Festival</v>
      </c>
      <c r="F1233" s="4" t="str">
        <f aca="false">IF($A1233="","",_xlfn.XLOOKUP(LOWER(TRIM(Base_Bruta!F1233)),DePara_Cidade!$A$2:$A$29,DePara_Cidade!$B$2:$B$29,"REVISAR"))</f>
        <v>Rio de Janeiro</v>
      </c>
      <c r="G1233" s="4" t="str">
        <f aca="false">IF($A1233="","",TRIM(Base_Bruta!G1233))</f>
        <v>Inteira</v>
      </c>
      <c r="H1233" s="4" t="n">
        <f aca="false">IF($A1233="","",IF(ISNUMBER(Base_Bruta!H1233),Base_Bruta!H1233,IFERROR(_xlfn.NUMBERVALUE(TRIM(SUBSTITUTE(Base_Bruta!H1233,"R$","")),",","."),0)))</f>
        <v>2</v>
      </c>
      <c r="I1233" s="6" t="n">
        <f aca="false">IF($A1233="","",IF(ISNUMBER(Base_Bruta!I1233),Base_Bruta!I1233,IFERROR(_xlfn.NUMBERVALUE(TRIM(SUBSTITUTE(Base_Bruta!I1233,"R$","")),",","."),0)))</f>
        <v>945</v>
      </c>
      <c r="J1233" s="6" t="n">
        <f aca="false">IF($A1233="","",H1233*I1233)</f>
        <v>1890</v>
      </c>
      <c r="K1233" s="4" t="str">
        <f aca="false">IF($A1233="","",TRIM(Base_Bruta!J1233))</f>
        <v>Site</v>
      </c>
      <c r="L1233" s="4" t="str">
        <f aca="false">IF($A1233="","",TRIM(Base_Bruta!K1233))</f>
        <v>C00559</v>
      </c>
      <c r="M1233" s="4" t="str">
        <f aca="false">IF($A1233="","",_xlfn.XLOOKUP(LOWER(TRIM(Base_Bruta!L1233)),DePara_Cidade!$A$2:$A$29,DePara_Cidade!$B$2:$B$29,"REVISAR"))</f>
        <v>Rio de Janeiro</v>
      </c>
      <c r="N1233" s="4" t="str">
        <f aca="false">IF($A1233="","",UPPER(TRIM(Base_Bruta!M1233)))</f>
        <v>RJ</v>
      </c>
      <c r="O1233" s="4" t="str">
        <f aca="false">IF($A1233="","",_xlfn.XLOOKUP(LOWER(TRIM(Base_Bruta!N1233)),DePara_Pais!$A$2:$A$9,DePara_Pais!$B$2:$B$9,"REVISAR"))</f>
        <v>Brasil</v>
      </c>
      <c r="P1233" s="4" t="str">
        <f aca="false">IF($A1233="","",IF(O1233&lt;&gt;"Brasil","Turista Internacional",IF(M1233=F1233,"Local","Turista Nacional")))</f>
        <v>Local</v>
      </c>
      <c r="Q1233" s="7" t="n">
        <f aca="false">IF($A1233="","",DATE(YEAR(B1233),MONTH(B1233),1))</f>
        <v>46023</v>
      </c>
      <c r="R1233" s="4" t="str">
        <f aca="false">IF($A1233="","",IF(COUNTIF($A$2:$A1233,$A1233)&gt;1,"Sim","Não"))</f>
        <v>Não</v>
      </c>
      <c r="S1233" s="4" t="str">
        <f aca="false">IF(A1233="","Descartar - Linha vazia",IF(R1233="Sim","Descartar - Duplicado",IF(OR(H1233&lt;=0,I1233&lt;=0),"Descartar - Qtd/Valor inválido","OK")))</f>
        <v>OK</v>
      </c>
      <c r="T1233" s="4" t="str">
        <f aca="false">Base_Bruta!P1233</f>
        <v>vendas_RJ.xlsx</v>
      </c>
    </row>
    <row r="1234" customFormat="false" ht="15" hidden="false" customHeight="false" outlineLevel="0" collapsed="false">
      <c r="A1234" s="4" t="str">
        <f aca="false">IF(Base_Bruta!A1234="","",Base_Bruta!A1234)</f>
        <v>RJ-000122</v>
      </c>
      <c r="B1234" s="5" t="n">
        <f aca="false">IF($A1234="","",IF(ISNUMBER(Base_Bruta!B1234),Base_Bruta!B1234,IF(MID(Base_Bruta!B1234,5,1)="-",DATE(VALUE(LEFT(Base_Bruta!B1234,4)),VALUE(MID(Base_Bruta!B1234,6,2)),VALUE(RIGHT(Base_Bruta!B1234,2))),DATE(VALUE(RIGHT(Base_Bruta!B1234,4)),VALUE(MID(Base_Bruta!B1234,4,2)),VALUE(LEFT(Base_Bruta!B1234,2))))))</f>
        <v>46027</v>
      </c>
      <c r="C1234" s="5" t="n">
        <f aca="false">IF($A1234="","",IF(ISNUMBER(Base_Bruta!C1234),Base_Bruta!C1234,IF(MID(Base_Bruta!C1234,5,1)="-",DATE(VALUE(LEFT(Base_Bruta!C1234,4)),VALUE(MID(Base_Bruta!C1234,6,2)),VALUE(RIGHT(Base_Bruta!C1234,2))),DATE(VALUE(RIGHT(Base_Bruta!C1234,4)),VALUE(MID(Base_Bruta!C1234,4,2)),VALUE(LEFT(Base_Bruta!C1234,2))))))</f>
        <v>46046</v>
      </c>
      <c r="D1234" s="4" t="str">
        <f aca="false">IF($A1234="","",TRIM(Base_Bruta!D1234))</f>
        <v>Rio Beat Festival 2026</v>
      </c>
      <c r="E1234" s="4" t="str">
        <f aca="false">IF($A1234="","",_xlfn.XLOOKUP(LOWER(TRIM(Base_Bruta!E1234)),DePara_Categoria!$A$2:$A$9,DePara_Categoria!$B$2:$B$9,"REVISAR"))</f>
        <v>Festival</v>
      </c>
      <c r="F1234" s="4" t="str">
        <f aca="false">IF($A1234="","",_xlfn.XLOOKUP(LOWER(TRIM(Base_Bruta!F1234)),DePara_Cidade!$A$2:$A$29,DePara_Cidade!$B$2:$B$29,"REVISAR"))</f>
        <v>Rio de Janeiro</v>
      </c>
      <c r="G1234" s="4" t="str">
        <f aca="false">IF($A1234="","",TRIM(Base_Bruta!G1234))</f>
        <v>Inteira</v>
      </c>
      <c r="H1234" s="4" t="n">
        <f aca="false">IF($A1234="","",IF(ISNUMBER(Base_Bruta!H1234),Base_Bruta!H1234,IFERROR(_xlfn.NUMBERVALUE(TRIM(SUBSTITUTE(Base_Bruta!H1234,"R$","")),",","."),0)))</f>
        <v>2</v>
      </c>
      <c r="I1234" s="6" t="n">
        <f aca="false">IF($A1234="","",IF(ISNUMBER(Base_Bruta!I1234),Base_Bruta!I1234,IFERROR(_xlfn.NUMBERVALUE(TRIM(SUBSTITUTE(Base_Bruta!I1234,"R$","")),",","."),0)))</f>
        <v>770</v>
      </c>
      <c r="J1234" s="6" t="n">
        <f aca="false">IF($A1234="","",H1234*I1234)</f>
        <v>1540</v>
      </c>
      <c r="K1234" s="4" t="str">
        <f aca="false">IF($A1234="","",TRIM(Base_Bruta!J1234))</f>
        <v>Site</v>
      </c>
      <c r="L1234" s="4" t="str">
        <f aca="false">IF($A1234="","",TRIM(Base_Bruta!K1234))</f>
        <v>C01404</v>
      </c>
      <c r="M1234" s="4" t="str">
        <f aca="false">IF($A1234="","",_xlfn.XLOOKUP(LOWER(TRIM(Base_Bruta!L1234)),DePara_Cidade!$A$2:$A$29,DePara_Cidade!$B$2:$B$29,"REVISAR"))</f>
        <v>Rio de Janeiro</v>
      </c>
      <c r="N1234" s="4" t="str">
        <f aca="false">IF($A1234="","",UPPER(TRIM(Base_Bruta!M1234)))</f>
        <v>RJ</v>
      </c>
      <c r="O1234" s="4" t="str">
        <f aca="false">IF($A1234="","",_xlfn.XLOOKUP(LOWER(TRIM(Base_Bruta!N1234)),DePara_Pais!$A$2:$A$9,DePara_Pais!$B$2:$B$9,"REVISAR"))</f>
        <v>Brasil</v>
      </c>
      <c r="P1234" s="4" t="str">
        <f aca="false">IF($A1234="","",IF(O1234&lt;&gt;"Brasil","Turista Internacional",IF(M1234=F1234,"Local","Turista Nacional")))</f>
        <v>Local</v>
      </c>
      <c r="Q1234" s="7" t="n">
        <f aca="false">IF($A1234="","",DATE(YEAR(B1234),MONTH(B1234),1))</f>
        <v>46023</v>
      </c>
      <c r="R1234" s="4" t="str">
        <f aca="false">IF($A1234="","",IF(COUNTIF($A$2:$A1234,$A1234)&gt;1,"Sim","Não"))</f>
        <v>Não</v>
      </c>
      <c r="S1234" s="4" t="str">
        <f aca="false">IF(A1234="","Descartar - Linha vazia",IF(R1234="Sim","Descartar - Duplicado",IF(OR(H1234&lt;=0,I1234&lt;=0),"Descartar - Qtd/Valor inválido","OK")))</f>
        <v>OK</v>
      </c>
      <c r="T1234" s="4" t="str">
        <f aca="false">Base_Bruta!P1234</f>
        <v>vendas_RJ.xlsx</v>
      </c>
    </row>
    <row r="1235" customFormat="false" ht="15" hidden="false" customHeight="false" outlineLevel="0" collapsed="false">
      <c r="A1235" s="4" t="str">
        <f aca="false">IF(Base_Bruta!A1235="","",Base_Bruta!A1235)</f>
        <v>RJ-000145</v>
      </c>
      <c r="B1235" s="5" t="n">
        <f aca="false">IF($A1235="","",IF(ISNUMBER(Base_Bruta!B1235),Base_Bruta!B1235,IF(MID(Base_Bruta!B1235,5,1)="-",DATE(VALUE(LEFT(Base_Bruta!B1235,4)),VALUE(MID(Base_Bruta!B1235,6,2)),VALUE(RIGHT(Base_Bruta!B1235,2))),DATE(VALUE(RIGHT(Base_Bruta!B1235,4)),VALUE(MID(Base_Bruta!B1235,4,2)),VALUE(LEFT(Base_Bruta!B1235,2))))))</f>
        <v>46028</v>
      </c>
      <c r="C1235" s="5" t="n">
        <f aca="false">IF($A1235="","",IF(ISNUMBER(Base_Bruta!C1235),Base_Bruta!C1235,IF(MID(Base_Bruta!C1235,5,1)="-",DATE(VALUE(LEFT(Base_Bruta!C1235,4)),VALUE(MID(Base_Bruta!C1235,6,2)),VALUE(RIGHT(Base_Bruta!C1235,2))),DATE(VALUE(RIGHT(Base_Bruta!C1235,4)),VALUE(MID(Base_Bruta!C1235,4,2)),VALUE(LEFT(Base_Bruta!C1235,2))))))</f>
        <v>46046</v>
      </c>
      <c r="D1235" s="4" t="str">
        <f aca="false">IF($A1235="","",TRIM(Base_Bruta!D1235))</f>
        <v>Rio Beat Festival 2026</v>
      </c>
      <c r="E1235" s="4" t="str">
        <f aca="false">IF($A1235="","",_xlfn.XLOOKUP(LOWER(TRIM(Base_Bruta!E1235)),DePara_Categoria!$A$2:$A$9,DePara_Categoria!$B$2:$B$9,"REVISAR"))</f>
        <v>Festival</v>
      </c>
      <c r="F1235" s="4" t="str">
        <f aca="false">IF($A1235="","",_xlfn.XLOOKUP(LOWER(TRIM(Base_Bruta!F1235)),DePara_Cidade!$A$2:$A$29,DePara_Cidade!$B$2:$B$29,"REVISAR"))</f>
        <v>Rio de Janeiro</v>
      </c>
      <c r="G1235" s="4" t="str">
        <f aca="false">IF($A1235="","",TRIM(Base_Bruta!G1235))</f>
        <v>Inteira</v>
      </c>
      <c r="H1235" s="4" t="n">
        <f aca="false">IF($A1235="","",IF(ISNUMBER(Base_Bruta!H1235),Base_Bruta!H1235,IFERROR(_xlfn.NUMBERVALUE(TRIM(SUBSTITUTE(Base_Bruta!H1235,"R$","")),",","."),0)))</f>
        <v>1</v>
      </c>
      <c r="I1235" s="6" t="n">
        <f aca="false">IF($A1235="","",IF(ISNUMBER(Base_Bruta!I1235),Base_Bruta!I1235,IFERROR(_xlfn.NUMBERVALUE(TRIM(SUBSTITUTE(Base_Bruta!I1235,"R$","")),",","."),0)))</f>
        <v>780</v>
      </c>
      <c r="J1235" s="6" t="n">
        <f aca="false">IF($A1235="","",H1235*I1235)</f>
        <v>780</v>
      </c>
      <c r="K1235" s="4" t="str">
        <f aca="false">IF($A1235="","",TRIM(Base_Bruta!J1235))</f>
        <v>Site</v>
      </c>
      <c r="L1235" s="4" t="str">
        <f aca="false">IF($A1235="","",TRIM(Base_Bruta!K1235))</f>
        <v>C02013</v>
      </c>
      <c r="M1235" s="4" t="str">
        <f aca="false">IF($A1235="","",_xlfn.XLOOKUP(LOWER(TRIM(Base_Bruta!L1235)),DePara_Cidade!$A$2:$A$29,DePara_Cidade!$B$2:$B$29,"REVISAR"))</f>
        <v>Rio de Janeiro</v>
      </c>
      <c r="N1235" s="4" t="str">
        <f aca="false">IF($A1235="","",UPPER(TRIM(Base_Bruta!M1235)))</f>
        <v>RJ</v>
      </c>
      <c r="O1235" s="4" t="str">
        <f aca="false">IF($A1235="","",_xlfn.XLOOKUP(LOWER(TRIM(Base_Bruta!N1235)),DePara_Pais!$A$2:$A$9,DePara_Pais!$B$2:$B$9,"REVISAR"))</f>
        <v>Brasil</v>
      </c>
      <c r="P1235" s="4" t="str">
        <f aca="false">IF($A1235="","",IF(O1235&lt;&gt;"Brasil","Turista Internacional",IF(M1235=F1235,"Local","Turista Nacional")))</f>
        <v>Local</v>
      </c>
      <c r="Q1235" s="7" t="n">
        <f aca="false">IF($A1235="","",DATE(YEAR(B1235),MONTH(B1235),1))</f>
        <v>46023</v>
      </c>
      <c r="R1235" s="4" t="str">
        <f aca="false">IF($A1235="","",IF(COUNTIF($A$2:$A1235,$A1235)&gt;1,"Sim","Não"))</f>
        <v>Não</v>
      </c>
      <c r="S1235" s="4" t="str">
        <f aca="false">IF(A1235="","Descartar - Linha vazia",IF(R1235="Sim","Descartar - Duplicado",IF(OR(H1235&lt;=0,I1235&lt;=0),"Descartar - Qtd/Valor inválido","OK")))</f>
        <v>OK</v>
      </c>
      <c r="T1235" s="4" t="str">
        <f aca="false">Base_Bruta!P1235</f>
        <v>vendas_RJ.xlsx</v>
      </c>
    </row>
    <row r="1236" customFormat="false" ht="15" hidden="false" customHeight="false" outlineLevel="0" collapsed="false">
      <c r="A1236" s="4" t="str">
        <f aca="false">IF(Base_Bruta!A1236="","",Base_Bruta!A1236)</f>
        <v>RJ-000107</v>
      </c>
      <c r="B1236" s="5" t="n">
        <f aca="false">IF($A1236="","",IF(ISNUMBER(Base_Bruta!B1236),Base_Bruta!B1236,IF(MID(Base_Bruta!B1236,5,1)="-",DATE(VALUE(LEFT(Base_Bruta!B1236,4)),VALUE(MID(Base_Bruta!B1236,6,2)),VALUE(RIGHT(Base_Bruta!B1236,2))),DATE(VALUE(RIGHT(Base_Bruta!B1236,4)),VALUE(MID(Base_Bruta!B1236,4,2)),VALUE(LEFT(Base_Bruta!B1236,2))))))</f>
        <v>46029</v>
      </c>
      <c r="C1236" s="5" t="n">
        <f aca="false">IF($A1236="","",IF(ISNUMBER(Base_Bruta!C1236),Base_Bruta!C1236,IF(MID(Base_Bruta!C1236,5,1)="-",DATE(VALUE(LEFT(Base_Bruta!C1236,4)),VALUE(MID(Base_Bruta!C1236,6,2)),VALUE(RIGHT(Base_Bruta!C1236,2))),DATE(VALUE(RIGHT(Base_Bruta!C1236,4)),VALUE(MID(Base_Bruta!C1236,4,2)),VALUE(LEFT(Base_Bruta!C1236,2))))))</f>
        <v>46046</v>
      </c>
      <c r="D1236" s="4" t="str">
        <f aca="false">IF($A1236="","",TRIM(Base_Bruta!D1236))</f>
        <v>Rio Beat Festival 2026</v>
      </c>
      <c r="E1236" s="4" t="str">
        <f aca="false">IF($A1236="","",_xlfn.XLOOKUP(LOWER(TRIM(Base_Bruta!E1236)),DePara_Categoria!$A$2:$A$9,DePara_Categoria!$B$2:$B$9,"REVISAR"))</f>
        <v>Festival</v>
      </c>
      <c r="F1236" s="4" t="str">
        <f aca="false">IF($A1236="","",_xlfn.XLOOKUP(LOWER(TRIM(Base_Bruta!F1236)),DePara_Cidade!$A$2:$A$29,DePara_Cidade!$B$2:$B$29,"REVISAR"))</f>
        <v>Rio de Janeiro</v>
      </c>
      <c r="G1236" s="4" t="str">
        <f aca="false">IF($A1236="","",TRIM(Base_Bruta!G1236))</f>
        <v>Inteira</v>
      </c>
      <c r="H1236" s="4" t="n">
        <f aca="false">IF($A1236="","",IF(ISNUMBER(Base_Bruta!H1236),Base_Bruta!H1236,IFERROR(_xlfn.NUMBERVALUE(TRIM(SUBSTITUTE(Base_Bruta!H1236,"R$","")),",","."),0)))</f>
        <v>3</v>
      </c>
      <c r="I1236" s="6" t="n">
        <f aca="false">IF($A1236="","",IF(ISNUMBER(Base_Bruta!I1236),Base_Bruta!I1236,IFERROR(_xlfn.NUMBERVALUE(TRIM(SUBSTITUTE(Base_Bruta!I1236,"R$","")),",","."),0)))</f>
        <v>685</v>
      </c>
      <c r="J1236" s="6" t="n">
        <f aca="false">IF($A1236="","",H1236*I1236)</f>
        <v>2055</v>
      </c>
      <c r="K1236" s="4" t="str">
        <f aca="false">IF($A1236="","",TRIM(Base_Bruta!J1236))</f>
        <v>App</v>
      </c>
      <c r="L1236" s="4" t="str">
        <f aca="false">IF($A1236="","",TRIM(Base_Bruta!K1236))</f>
        <v>C00782</v>
      </c>
      <c r="M1236" s="4" t="str">
        <f aca="false">IF($A1236="","",_xlfn.XLOOKUP(LOWER(TRIM(Base_Bruta!L1236)),DePara_Cidade!$A$2:$A$29,DePara_Cidade!$B$2:$B$29,"REVISAR"))</f>
        <v>Rio de Janeiro</v>
      </c>
      <c r="N1236" s="4" t="str">
        <f aca="false">IF($A1236="","",UPPER(TRIM(Base_Bruta!M1236)))</f>
        <v>RJ</v>
      </c>
      <c r="O1236" s="4" t="str">
        <f aca="false">IF($A1236="","",_xlfn.XLOOKUP(LOWER(TRIM(Base_Bruta!N1236)),DePara_Pais!$A$2:$A$9,DePara_Pais!$B$2:$B$9,"REVISAR"))</f>
        <v>Brasil</v>
      </c>
      <c r="P1236" s="4" t="str">
        <f aca="false">IF($A1236="","",IF(O1236&lt;&gt;"Brasil","Turista Internacional",IF(M1236=F1236,"Local","Turista Nacional")))</f>
        <v>Local</v>
      </c>
      <c r="Q1236" s="7" t="n">
        <f aca="false">IF($A1236="","",DATE(YEAR(B1236),MONTH(B1236),1))</f>
        <v>46023</v>
      </c>
      <c r="R1236" s="4" t="str">
        <f aca="false">IF($A1236="","",IF(COUNTIF($A$2:$A1236,$A1236)&gt;1,"Sim","Não"))</f>
        <v>Não</v>
      </c>
      <c r="S1236" s="4" t="str">
        <f aca="false">IF(A1236="","Descartar - Linha vazia",IF(R1236="Sim","Descartar - Duplicado",IF(OR(H1236&lt;=0,I1236&lt;=0),"Descartar - Qtd/Valor inválido","OK")))</f>
        <v>OK</v>
      </c>
      <c r="T1236" s="4" t="str">
        <f aca="false">Base_Bruta!P1236</f>
        <v>vendas_RJ.xlsx</v>
      </c>
    </row>
    <row r="1237" customFormat="false" ht="15" hidden="false" customHeight="false" outlineLevel="0" collapsed="false">
      <c r="A1237" s="4" t="str">
        <f aca="false">IF(Base_Bruta!A1237="","",Base_Bruta!A1237)</f>
        <v>RJ-000104</v>
      </c>
      <c r="B1237" s="5" t="n">
        <f aca="false">IF($A1237="","",IF(ISNUMBER(Base_Bruta!B1237),Base_Bruta!B1237,IF(MID(Base_Bruta!B1237,5,1)="-",DATE(VALUE(LEFT(Base_Bruta!B1237,4)),VALUE(MID(Base_Bruta!B1237,6,2)),VALUE(RIGHT(Base_Bruta!B1237,2))),DATE(VALUE(RIGHT(Base_Bruta!B1237,4)),VALUE(MID(Base_Bruta!B1237,4,2)),VALUE(LEFT(Base_Bruta!B1237,2))))))</f>
        <v>46030</v>
      </c>
      <c r="C1237" s="5" t="n">
        <f aca="false">IF($A1237="","",IF(ISNUMBER(Base_Bruta!C1237),Base_Bruta!C1237,IF(MID(Base_Bruta!C1237,5,1)="-",DATE(VALUE(LEFT(Base_Bruta!C1237,4)),VALUE(MID(Base_Bruta!C1237,6,2)),VALUE(RIGHT(Base_Bruta!C1237,2))),DATE(VALUE(RIGHT(Base_Bruta!C1237,4)),VALUE(MID(Base_Bruta!C1237,4,2)),VALUE(LEFT(Base_Bruta!C1237,2))))))</f>
        <v>46046</v>
      </c>
      <c r="D1237" s="4" t="str">
        <f aca="false">IF($A1237="","",TRIM(Base_Bruta!D1237))</f>
        <v>Rio Beat Festival 2026</v>
      </c>
      <c r="E1237" s="4" t="str">
        <f aca="false">IF($A1237="","",_xlfn.XLOOKUP(LOWER(TRIM(Base_Bruta!E1237)),DePara_Categoria!$A$2:$A$9,DePara_Categoria!$B$2:$B$9,"REVISAR"))</f>
        <v>Festival</v>
      </c>
      <c r="F1237" s="4" t="str">
        <f aca="false">IF($A1237="","",_xlfn.XLOOKUP(LOWER(TRIM(Base_Bruta!F1237)),DePara_Cidade!$A$2:$A$29,DePara_Cidade!$B$2:$B$29,"REVISAR"))</f>
        <v>Rio de Janeiro</v>
      </c>
      <c r="G1237" s="4" t="str">
        <f aca="false">IF($A1237="","",TRIM(Base_Bruta!G1237))</f>
        <v>Inteira</v>
      </c>
      <c r="H1237" s="4" t="n">
        <f aca="false">IF($A1237="","",IF(ISNUMBER(Base_Bruta!H1237),Base_Bruta!H1237,IFERROR(_xlfn.NUMBERVALUE(TRIM(SUBSTITUTE(Base_Bruta!H1237,"R$","")),",","."),0)))</f>
        <v>4</v>
      </c>
      <c r="I1237" s="6" t="n">
        <f aca="false">IF($A1237="","",IF(ISNUMBER(Base_Bruta!I1237),Base_Bruta!I1237,IFERROR(_xlfn.NUMBERVALUE(TRIM(SUBSTITUTE(Base_Bruta!I1237,"R$","")),",","."),0)))</f>
        <v>865</v>
      </c>
      <c r="J1237" s="6" t="n">
        <f aca="false">IF($A1237="","",H1237*I1237)</f>
        <v>3460</v>
      </c>
      <c r="K1237" s="4" t="str">
        <f aca="false">IF($A1237="","",TRIM(Base_Bruta!J1237))</f>
        <v>Site</v>
      </c>
      <c r="L1237" s="4" t="str">
        <f aca="false">IF($A1237="","",TRIM(Base_Bruta!K1237))</f>
        <v>C00405</v>
      </c>
      <c r="M1237" s="4" t="str">
        <f aca="false">IF($A1237="","",_xlfn.XLOOKUP(LOWER(TRIM(Base_Bruta!L1237)),DePara_Cidade!$A$2:$A$29,DePara_Cidade!$B$2:$B$29,"REVISAR"))</f>
        <v>Rio de Janeiro</v>
      </c>
      <c r="N1237" s="4" t="str">
        <f aca="false">IF($A1237="","",UPPER(TRIM(Base_Bruta!M1237)))</f>
        <v>RJ</v>
      </c>
      <c r="O1237" s="4" t="str">
        <f aca="false">IF($A1237="","",_xlfn.XLOOKUP(LOWER(TRIM(Base_Bruta!N1237)),DePara_Pais!$A$2:$A$9,DePara_Pais!$B$2:$B$9,"REVISAR"))</f>
        <v>Brasil</v>
      </c>
      <c r="P1237" s="4" t="str">
        <f aca="false">IF($A1237="","",IF(O1237&lt;&gt;"Brasil","Turista Internacional",IF(M1237=F1237,"Local","Turista Nacional")))</f>
        <v>Local</v>
      </c>
      <c r="Q1237" s="7" t="n">
        <f aca="false">IF($A1237="","",DATE(YEAR(B1237),MONTH(B1237),1))</f>
        <v>46023</v>
      </c>
      <c r="R1237" s="4" t="str">
        <f aca="false">IF($A1237="","",IF(COUNTIF($A$2:$A1237,$A1237)&gt;1,"Sim","Não"))</f>
        <v>Não</v>
      </c>
      <c r="S1237" s="4" t="str">
        <f aca="false">IF(A1237="","Descartar - Linha vazia",IF(R1237="Sim","Descartar - Duplicado",IF(OR(H1237&lt;=0,I1237&lt;=0),"Descartar - Qtd/Valor inválido","OK")))</f>
        <v>OK</v>
      </c>
      <c r="T1237" s="4" t="str">
        <f aca="false">Base_Bruta!P1237</f>
        <v>vendas_RJ.xlsx</v>
      </c>
    </row>
    <row r="1238" customFormat="false" ht="15" hidden="false" customHeight="false" outlineLevel="0" collapsed="false">
      <c r="A1238" s="4" t="str">
        <f aca="false">IF(Base_Bruta!A1238="","",Base_Bruta!A1238)</f>
        <v>RJ-000389</v>
      </c>
      <c r="B1238" s="5" t="n">
        <f aca="false">IF($A1238="","",IF(ISNUMBER(Base_Bruta!B1238),Base_Bruta!B1238,IF(MID(Base_Bruta!B1238,5,1)="-",DATE(VALUE(LEFT(Base_Bruta!B1238,4)),VALUE(MID(Base_Bruta!B1238,6,2)),VALUE(RIGHT(Base_Bruta!B1238,2))),DATE(VALUE(RIGHT(Base_Bruta!B1238,4)),VALUE(MID(Base_Bruta!B1238,4,2)),VALUE(LEFT(Base_Bruta!B1238,2))))))</f>
        <v>46031</v>
      </c>
      <c r="C1238" s="5" t="n">
        <f aca="false">IF($A1238="","",IF(ISNUMBER(Base_Bruta!C1238),Base_Bruta!C1238,IF(MID(Base_Bruta!C1238,5,1)="-",DATE(VALUE(LEFT(Base_Bruta!C1238,4)),VALUE(MID(Base_Bruta!C1238,6,2)),VALUE(RIGHT(Base_Bruta!C1238,2))),DATE(VALUE(RIGHT(Base_Bruta!C1238,4)),VALUE(MID(Base_Bruta!C1238,4,2)),VALUE(LEFT(Base_Bruta!C1238,2))))))</f>
        <v>46151</v>
      </c>
      <c r="D1238" s="4" t="str">
        <f aca="false">IF($A1238="","",TRIM(Base_Bruta!D1238))</f>
        <v>Turnê Internacional Rock - Rio</v>
      </c>
      <c r="E1238" s="4" t="str">
        <f aca="false">IF($A1238="","",_xlfn.XLOOKUP(LOWER(TRIM(Base_Bruta!E1238)),DePara_Categoria!$A$2:$A$9,DePara_Categoria!$B$2:$B$9,"REVISAR"))</f>
        <v>Show</v>
      </c>
      <c r="F1238" s="4" t="str">
        <f aca="false">IF($A1238="","",_xlfn.XLOOKUP(LOWER(TRIM(Base_Bruta!F1238)),DePara_Cidade!$A$2:$A$29,DePara_Cidade!$B$2:$B$29,"REVISAR"))</f>
        <v>Rio de Janeiro</v>
      </c>
      <c r="G1238" s="4" t="str">
        <f aca="false">IF($A1238="","",TRIM(Base_Bruta!G1238))</f>
        <v>Meia</v>
      </c>
      <c r="H1238" s="4" t="n">
        <f aca="false">IF($A1238="","",IF(ISNUMBER(Base_Bruta!H1238),Base_Bruta!H1238,IFERROR(_xlfn.NUMBERVALUE(TRIM(SUBSTITUTE(Base_Bruta!H1238,"R$","")),",","."),0)))</f>
        <v>2</v>
      </c>
      <c r="I1238" s="6" t="n">
        <f aca="false">IF($A1238="","",IF(ISNUMBER(Base_Bruta!I1238),Base_Bruta!I1238,IFERROR(_xlfn.NUMBERVALUE(TRIM(SUBSTITUTE(Base_Bruta!I1238,"R$","")),",","."),0)))</f>
        <v>137.5</v>
      </c>
      <c r="J1238" s="6" t="n">
        <f aca="false">IF($A1238="","",H1238*I1238)</f>
        <v>275</v>
      </c>
      <c r="K1238" s="4" t="str">
        <f aca="false">IF($A1238="","",TRIM(Base_Bruta!J1238))</f>
        <v>Site</v>
      </c>
      <c r="L1238" s="4" t="str">
        <f aca="false">IF($A1238="","",TRIM(Base_Bruta!K1238))</f>
        <v>C00253</v>
      </c>
      <c r="M1238" s="4" t="str">
        <f aca="false">IF($A1238="","",_xlfn.XLOOKUP(LOWER(TRIM(Base_Bruta!L1238)),DePara_Cidade!$A$2:$A$29,DePara_Cidade!$B$2:$B$29,"REVISAR"))</f>
        <v>Rio de Janeiro</v>
      </c>
      <c r="N1238" s="4" t="str">
        <f aca="false">IF($A1238="","",UPPER(TRIM(Base_Bruta!M1238)))</f>
        <v>RJ</v>
      </c>
      <c r="O1238" s="4" t="str">
        <f aca="false">IF($A1238="","",_xlfn.XLOOKUP(LOWER(TRIM(Base_Bruta!N1238)),DePara_Pais!$A$2:$A$9,DePara_Pais!$B$2:$B$9,"REVISAR"))</f>
        <v>Brasil</v>
      </c>
      <c r="P1238" s="4" t="str">
        <f aca="false">IF($A1238="","",IF(O1238&lt;&gt;"Brasil","Turista Internacional",IF(M1238=F1238,"Local","Turista Nacional")))</f>
        <v>Local</v>
      </c>
      <c r="Q1238" s="7" t="n">
        <f aca="false">IF($A1238="","",DATE(YEAR(B1238),MONTH(B1238),1))</f>
        <v>46023</v>
      </c>
      <c r="R1238" s="4" t="str">
        <f aca="false">IF($A1238="","",IF(COUNTIF($A$2:$A1238,$A1238)&gt;1,"Sim","Não"))</f>
        <v>Não</v>
      </c>
      <c r="S1238" s="4" t="str">
        <f aca="false">IF(A1238="","Descartar - Linha vazia",IF(R1238="Sim","Descartar - Duplicado",IF(OR(H1238&lt;=0,I1238&lt;=0),"Descartar - Qtd/Valor inválido","OK")))</f>
        <v>OK</v>
      </c>
      <c r="T1238" s="4" t="str">
        <f aca="false">Base_Bruta!P1238</f>
        <v>vendas_RJ.xlsx</v>
      </c>
    </row>
    <row r="1239" customFormat="false" ht="15" hidden="false" customHeight="false" outlineLevel="0" collapsed="false">
      <c r="A1239" s="4" t="str">
        <f aca="false">IF(Base_Bruta!A1239="","",Base_Bruta!A1239)</f>
        <v>RJ-000475</v>
      </c>
      <c r="B1239" s="5" t="n">
        <f aca="false">IF($A1239="","",IF(ISNUMBER(Base_Bruta!B1239),Base_Bruta!B1239,IF(MID(Base_Bruta!B1239,5,1)="-",DATE(VALUE(LEFT(Base_Bruta!B1239,4)),VALUE(MID(Base_Bruta!B1239,6,2)),VALUE(RIGHT(Base_Bruta!B1239,2))),DATE(VALUE(RIGHT(Base_Bruta!B1239,4)),VALUE(MID(Base_Bruta!B1239,4,2)),VALUE(LEFT(Base_Bruta!B1239,2))))))</f>
        <v>46031</v>
      </c>
      <c r="C1239" s="5" t="n">
        <f aca="false">IF($A1239="","",IF(ISNUMBER(Base_Bruta!C1239),Base_Bruta!C1239,IF(MID(Base_Bruta!C1239,5,1)="-",DATE(VALUE(LEFT(Base_Bruta!C1239,4)),VALUE(MID(Base_Bruta!C1239,6,2)),VALUE(RIGHT(Base_Bruta!C1239,2))),DATE(VALUE(RIGHT(Base_Bruta!C1239,4)),VALUE(MID(Base_Bruta!C1239,4,2)),VALUE(LEFT(Base_Bruta!C1239,2))))))</f>
        <v>46151</v>
      </c>
      <c r="D1239" s="4" t="str">
        <f aca="false">IF($A1239="","",TRIM(Base_Bruta!D1239))</f>
        <v>Turnê Internacional Rock - Rio</v>
      </c>
      <c r="E1239" s="4" t="str">
        <f aca="false">IF($A1239="","",_xlfn.XLOOKUP(LOWER(TRIM(Base_Bruta!E1239)),DePara_Categoria!$A$2:$A$9,DePara_Categoria!$B$2:$B$9,"REVISAR"))</f>
        <v>Show</v>
      </c>
      <c r="F1239" s="4" t="str">
        <f aca="false">IF($A1239="","",_xlfn.XLOOKUP(LOWER(TRIM(Base_Bruta!F1239)),DePara_Cidade!$A$2:$A$29,DePara_Cidade!$B$2:$B$29,"REVISAR"))</f>
        <v>Rio de Janeiro</v>
      </c>
      <c r="G1239" s="4" t="str">
        <f aca="false">IF($A1239="","",TRIM(Base_Bruta!G1239))</f>
        <v>Inteira</v>
      </c>
      <c r="H1239" s="4" t="n">
        <f aca="false">IF($A1239="","",IF(ISNUMBER(Base_Bruta!H1239),Base_Bruta!H1239,IFERROR(_xlfn.NUMBERVALUE(TRIM(SUBSTITUTE(Base_Bruta!H1239,"R$","")),",","."),0)))</f>
        <v>2</v>
      </c>
      <c r="I1239" s="6" t="n">
        <f aca="false">IF($A1239="","",IF(ISNUMBER(Base_Bruta!I1239),Base_Bruta!I1239,IFERROR(_xlfn.NUMBERVALUE(TRIM(SUBSTITUTE(Base_Bruta!I1239,"R$","")),",","."),0)))</f>
        <v>340</v>
      </c>
      <c r="J1239" s="6" t="n">
        <f aca="false">IF($A1239="","",H1239*I1239)</f>
        <v>680</v>
      </c>
      <c r="K1239" s="4" t="str">
        <f aca="false">IF($A1239="","",TRIM(Base_Bruta!J1239))</f>
        <v>Parceiro</v>
      </c>
      <c r="L1239" s="4" t="str">
        <f aca="false">IF($A1239="","",TRIM(Base_Bruta!K1239))</f>
        <v>C01934</v>
      </c>
      <c r="M1239" s="4" t="str">
        <f aca="false">IF($A1239="","",_xlfn.XLOOKUP(LOWER(TRIM(Base_Bruta!L1239)),DePara_Cidade!$A$2:$A$29,DePara_Cidade!$B$2:$B$29,"REVISAR"))</f>
        <v>Miami</v>
      </c>
      <c r="N1239" s="4" t="str">
        <f aca="false">IF($A1239="","",UPPER(TRIM(Base_Bruta!M1239)))</f>
        <v>EX</v>
      </c>
      <c r="O1239" s="4" t="str">
        <f aca="false">IF($A1239="","",_xlfn.XLOOKUP(LOWER(TRIM(Base_Bruta!N1239)),DePara_Pais!$A$2:$A$9,DePara_Pais!$B$2:$B$9,"REVISAR"))</f>
        <v>EUA</v>
      </c>
      <c r="P1239" s="4" t="str">
        <f aca="false">IF($A1239="","",IF(O1239&lt;&gt;"Brasil","Turista Internacional",IF(M1239=F1239,"Local","Turista Nacional")))</f>
        <v>Turista Internacional</v>
      </c>
      <c r="Q1239" s="7" t="n">
        <f aca="false">IF($A1239="","",DATE(YEAR(B1239),MONTH(B1239),1))</f>
        <v>46023</v>
      </c>
      <c r="R1239" s="4" t="str">
        <f aca="false">IF($A1239="","",IF(COUNTIF($A$2:$A1239,$A1239)&gt;1,"Sim","Não"))</f>
        <v>Não</v>
      </c>
      <c r="S1239" s="4" t="str">
        <f aca="false">IF(A1239="","Descartar - Linha vazia",IF(R1239="Sim","Descartar - Duplicado",IF(OR(H1239&lt;=0,I1239&lt;=0),"Descartar - Qtd/Valor inválido","OK")))</f>
        <v>OK</v>
      </c>
      <c r="T1239" s="4" t="str">
        <f aca="false">Base_Bruta!P1239</f>
        <v>vendas_RJ.xlsx</v>
      </c>
    </row>
    <row r="1240" customFormat="false" ht="15" hidden="false" customHeight="false" outlineLevel="0" collapsed="false">
      <c r="A1240" s="4" t="str">
        <f aca="false">IF(Base_Bruta!A1240="","",Base_Bruta!A1240)</f>
        <v>RJ-000415</v>
      </c>
      <c r="B1240" s="5" t="n">
        <f aca="false">IF($A1240="","",IF(ISNUMBER(Base_Bruta!B1240),Base_Bruta!B1240,IF(MID(Base_Bruta!B1240,5,1)="-",DATE(VALUE(LEFT(Base_Bruta!B1240,4)),VALUE(MID(Base_Bruta!B1240,6,2)),VALUE(RIGHT(Base_Bruta!B1240,2))),DATE(VALUE(RIGHT(Base_Bruta!B1240,4)),VALUE(MID(Base_Bruta!B1240,4,2)),VALUE(LEFT(Base_Bruta!B1240,2))))))</f>
        <v>46032</v>
      </c>
      <c r="C1240" s="5" t="n">
        <f aca="false">IF($A1240="","",IF(ISNUMBER(Base_Bruta!C1240),Base_Bruta!C1240,IF(MID(Base_Bruta!C1240,5,1)="-",DATE(VALUE(LEFT(Base_Bruta!C1240,4)),VALUE(MID(Base_Bruta!C1240,6,2)),VALUE(RIGHT(Base_Bruta!C1240,2))),DATE(VALUE(RIGHT(Base_Bruta!C1240,4)),VALUE(MID(Base_Bruta!C1240,4,2)),VALUE(LEFT(Base_Bruta!C1240,2))))))</f>
        <v>46151</v>
      </c>
      <c r="D1240" s="4" t="str">
        <f aca="false">IF($A1240="","",TRIM(Base_Bruta!D1240))</f>
        <v>Turnê Internacional Rock - Rio</v>
      </c>
      <c r="E1240" s="4" t="str">
        <f aca="false">IF($A1240="","",_xlfn.XLOOKUP(LOWER(TRIM(Base_Bruta!E1240)),DePara_Categoria!$A$2:$A$9,DePara_Categoria!$B$2:$B$9,"REVISAR"))</f>
        <v>Show</v>
      </c>
      <c r="F1240" s="4" t="str">
        <f aca="false">IF($A1240="","",_xlfn.XLOOKUP(LOWER(TRIM(Base_Bruta!F1240)),DePara_Cidade!$A$2:$A$29,DePara_Cidade!$B$2:$B$29,"REVISAR"))</f>
        <v>Rio de Janeiro</v>
      </c>
      <c r="G1240" s="4" t="str">
        <f aca="false">IF($A1240="","",TRIM(Base_Bruta!G1240))</f>
        <v>Inteira</v>
      </c>
      <c r="H1240" s="4" t="n">
        <f aca="false">IF($A1240="","",IF(ISNUMBER(Base_Bruta!H1240),Base_Bruta!H1240,IFERROR(_xlfn.NUMBERVALUE(TRIM(SUBSTITUTE(Base_Bruta!H1240,"R$","")),",","."),0)))</f>
        <v>2</v>
      </c>
      <c r="I1240" s="6" t="n">
        <f aca="false">IF($A1240="","",IF(ISNUMBER(Base_Bruta!I1240),Base_Bruta!I1240,IFERROR(_xlfn.NUMBERVALUE(TRIM(SUBSTITUTE(Base_Bruta!I1240,"R$","")),",","."),0)))</f>
        <v>740</v>
      </c>
      <c r="J1240" s="6" t="n">
        <f aca="false">IF($A1240="","",H1240*I1240)</f>
        <v>1480</v>
      </c>
      <c r="K1240" s="4" t="str">
        <f aca="false">IF($A1240="","",TRIM(Base_Bruta!J1240))</f>
        <v>Site</v>
      </c>
      <c r="L1240" s="4" t="str">
        <f aca="false">IF($A1240="","",TRIM(Base_Bruta!K1240))</f>
        <v>C02011</v>
      </c>
      <c r="M1240" s="4" t="str">
        <f aca="false">IF($A1240="","",_xlfn.XLOOKUP(LOWER(TRIM(Base_Bruta!L1240)),DePara_Cidade!$A$2:$A$29,DePara_Cidade!$B$2:$B$29,"REVISAR"))</f>
        <v>Rio de Janeiro</v>
      </c>
      <c r="N1240" s="4" t="str">
        <f aca="false">IF($A1240="","",UPPER(TRIM(Base_Bruta!M1240)))</f>
        <v>RJ</v>
      </c>
      <c r="O1240" s="4" t="str">
        <f aca="false">IF($A1240="","",_xlfn.XLOOKUP(LOWER(TRIM(Base_Bruta!N1240)),DePara_Pais!$A$2:$A$9,DePara_Pais!$B$2:$B$9,"REVISAR"))</f>
        <v>Brasil</v>
      </c>
      <c r="P1240" s="4" t="str">
        <f aca="false">IF($A1240="","",IF(O1240&lt;&gt;"Brasil","Turista Internacional",IF(M1240=F1240,"Local","Turista Nacional")))</f>
        <v>Local</v>
      </c>
      <c r="Q1240" s="7" t="n">
        <f aca="false">IF($A1240="","",DATE(YEAR(B1240),MONTH(B1240),1))</f>
        <v>46023</v>
      </c>
      <c r="R1240" s="4" t="str">
        <f aca="false">IF($A1240="","",IF(COUNTIF($A$2:$A1240,$A1240)&gt;1,"Sim","Não"))</f>
        <v>Não</v>
      </c>
      <c r="S1240" s="4" t="str">
        <f aca="false">IF(A1240="","Descartar - Linha vazia",IF(R1240="Sim","Descartar - Duplicado",IF(OR(H1240&lt;=0,I1240&lt;=0),"Descartar - Qtd/Valor inválido","OK")))</f>
        <v>OK</v>
      </c>
      <c r="T1240" s="4" t="str">
        <f aca="false">Base_Bruta!P1240</f>
        <v>vendas_RJ.xlsx</v>
      </c>
    </row>
    <row r="1241" customFormat="false" ht="15" hidden="false" customHeight="false" outlineLevel="0" collapsed="false">
      <c r="A1241" s="4" t="str">
        <f aca="false">IF(Base_Bruta!A1241="","",Base_Bruta!A1241)</f>
        <v>RJ-000455</v>
      </c>
      <c r="B1241" s="5" t="n">
        <f aca="false">IF($A1241="","",IF(ISNUMBER(Base_Bruta!B1241),Base_Bruta!B1241,IF(MID(Base_Bruta!B1241,5,1)="-",DATE(VALUE(LEFT(Base_Bruta!B1241,4)),VALUE(MID(Base_Bruta!B1241,6,2)),VALUE(RIGHT(Base_Bruta!B1241,2))),DATE(VALUE(RIGHT(Base_Bruta!B1241,4)),VALUE(MID(Base_Bruta!B1241,4,2)),VALUE(LEFT(Base_Bruta!B1241,2))))))</f>
        <v>46032</v>
      </c>
      <c r="C1241" s="5" t="n">
        <f aca="false">IF($A1241="","",IF(ISNUMBER(Base_Bruta!C1241),Base_Bruta!C1241,IF(MID(Base_Bruta!C1241,5,1)="-",DATE(VALUE(LEFT(Base_Bruta!C1241,4)),VALUE(MID(Base_Bruta!C1241,6,2)),VALUE(RIGHT(Base_Bruta!C1241,2))),DATE(VALUE(RIGHT(Base_Bruta!C1241,4)),VALUE(MID(Base_Bruta!C1241,4,2)),VALUE(LEFT(Base_Bruta!C1241,2))))))</f>
        <v>46151</v>
      </c>
      <c r="D1241" s="4" t="str">
        <f aca="false">IF($A1241="","",TRIM(Base_Bruta!D1241))</f>
        <v>Turnê Internacional Rock - Rio</v>
      </c>
      <c r="E1241" s="4" t="str">
        <f aca="false">IF($A1241="","",_xlfn.XLOOKUP(LOWER(TRIM(Base_Bruta!E1241)),DePara_Categoria!$A$2:$A$9,DePara_Categoria!$B$2:$B$9,"REVISAR"))</f>
        <v>Show</v>
      </c>
      <c r="F1241" s="4" t="str">
        <f aca="false">IF($A1241="","",_xlfn.XLOOKUP(LOWER(TRIM(Base_Bruta!F1241)),DePara_Cidade!$A$2:$A$29,DePara_Cidade!$B$2:$B$29,"REVISAR"))</f>
        <v>Rio de Janeiro</v>
      </c>
      <c r="G1241" s="4" t="str">
        <f aca="false">IF($A1241="","",TRIM(Base_Bruta!G1241))</f>
        <v>Inteira</v>
      </c>
      <c r="H1241" s="4" t="n">
        <f aca="false">IF($A1241="","",IF(ISNUMBER(Base_Bruta!H1241),Base_Bruta!H1241,IFERROR(_xlfn.NUMBERVALUE(TRIM(SUBSTITUTE(Base_Bruta!H1241,"R$","")),",","."),0)))</f>
        <v>4</v>
      </c>
      <c r="I1241" s="6" t="n">
        <f aca="false">IF($A1241="","",IF(ISNUMBER(Base_Bruta!I1241),Base_Bruta!I1241,IFERROR(_xlfn.NUMBERVALUE(TRIM(SUBSTITUTE(Base_Bruta!I1241,"R$","")),",","."),0)))</f>
        <v>605</v>
      </c>
      <c r="J1241" s="6" t="n">
        <f aca="false">IF($A1241="","",H1241*I1241)</f>
        <v>2420</v>
      </c>
      <c r="K1241" s="4" t="str">
        <f aca="false">IF($A1241="","",TRIM(Base_Bruta!J1241))</f>
        <v>Site</v>
      </c>
      <c r="L1241" s="4" t="str">
        <f aca="false">IF($A1241="","",TRIM(Base_Bruta!K1241))</f>
        <v>C01647</v>
      </c>
      <c r="M1241" s="4" t="str">
        <f aca="false">IF($A1241="","",_xlfn.XLOOKUP(LOWER(TRIM(Base_Bruta!L1241)),DePara_Cidade!$A$2:$A$29,DePara_Cidade!$B$2:$B$29,"REVISAR"))</f>
        <v>Rio de Janeiro</v>
      </c>
      <c r="N1241" s="4" t="str">
        <f aca="false">IF($A1241="","",UPPER(TRIM(Base_Bruta!M1241)))</f>
        <v>RJ</v>
      </c>
      <c r="O1241" s="4" t="str">
        <f aca="false">IF($A1241="","",_xlfn.XLOOKUP(LOWER(TRIM(Base_Bruta!N1241)),DePara_Pais!$A$2:$A$9,DePara_Pais!$B$2:$B$9,"REVISAR"))</f>
        <v>Brasil</v>
      </c>
      <c r="P1241" s="4" t="str">
        <f aca="false">IF($A1241="","",IF(O1241&lt;&gt;"Brasil","Turista Internacional",IF(M1241=F1241,"Local","Turista Nacional")))</f>
        <v>Local</v>
      </c>
      <c r="Q1241" s="7" t="n">
        <f aca="false">IF($A1241="","",DATE(YEAR(B1241),MONTH(B1241),1))</f>
        <v>46023</v>
      </c>
      <c r="R1241" s="4" t="str">
        <f aca="false">IF($A1241="","",IF(COUNTIF($A$2:$A1241,$A1241)&gt;1,"Sim","Não"))</f>
        <v>Não</v>
      </c>
      <c r="S1241" s="4" t="str">
        <f aca="false">IF(A1241="","Descartar - Linha vazia",IF(R1241="Sim","Descartar - Duplicado",IF(OR(H1241&lt;=0,I1241&lt;=0),"Descartar - Qtd/Valor inválido","OK")))</f>
        <v>OK</v>
      </c>
      <c r="T1241" s="4" t="str">
        <f aca="false">Base_Bruta!P1241</f>
        <v>vendas_RJ.xlsx</v>
      </c>
    </row>
    <row r="1242" customFormat="false" ht="15" hidden="false" customHeight="false" outlineLevel="0" collapsed="false">
      <c r="A1242" s="4" t="str">
        <f aca="false">IF(Base_Bruta!A1242="","",Base_Bruta!A1242)</f>
        <v>RJ-000464</v>
      </c>
      <c r="B1242" s="5" t="n">
        <f aca="false">IF($A1242="","",IF(ISNUMBER(Base_Bruta!B1242),Base_Bruta!B1242,IF(MID(Base_Bruta!B1242,5,1)="-",DATE(VALUE(LEFT(Base_Bruta!B1242,4)),VALUE(MID(Base_Bruta!B1242,6,2)),VALUE(RIGHT(Base_Bruta!B1242,2))),DATE(VALUE(RIGHT(Base_Bruta!B1242,4)),VALUE(MID(Base_Bruta!B1242,4,2)),VALUE(LEFT(Base_Bruta!B1242,2))))))</f>
        <v>46032</v>
      </c>
      <c r="C1242" s="5" t="n">
        <f aca="false">IF($A1242="","",IF(ISNUMBER(Base_Bruta!C1242),Base_Bruta!C1242,IF(MID(Base_Bruta!C1242,5,1)="-",DATE(VALUE(LEFT(Base_Bruta!C1242,4)),VALUE(MID(Base_Bruta!C1242,6,2)),VALUE(RIGHT(Base_Bruta!C1242,2))),DATE(VALUE(RIGHT(Base_Bruta!C1242,4)),VALUE(MID(Base_Bruta!C1242,4,2)),VALUE(LEFT(Base_Bruta!C1242,2))))))</f>
        <v>46151</v>
      </c>
      <c r="D1242" s="4" t="str">
        <f aca="false">IF($A1242="","",TRIM(Base_Bruta!D1242))</f>
        <v>Turnê Internacional Rock - Rio</v>
      </c>
      <c r="E1242" s="4" t="str">
        <f aca="false">IF($A1242="","",_xlfn.XLOOKUP(LOWER(TRIM(Base_Bruta!E1242)),DePara_Categoria!$A$2:$A$9,DePara_Categoria!$B$2:$B$9,"REVISAR"))</f>
        <v>Show</v>
      </c>
      <c r="F1242" s="4" t="str">
        <f aca="false">IF($A1242="","",_xlfn.XLOOKUP(LOWER(TRIM(Base_Bruta!F1242)),DePara_Cidade!$A$2:$A$29,DePara_Cidade!$B$2:$B$29,"REVISAR"))</f>
        <v>Rio de Janeiro</v>
      </c>
      <c r="G1242" s="4" t="str">
        <f aca="false">IF($A1242="","",TRIM(Base_Bruta!G1242))</f>
        <v>Inteira</v>
      </c>
      <c r="H1242" s="4" t="n">
        <f aca="false">IF($A1242="","",IF(ISNUMBER(Base_Bruta!H1242),Base_Bruta!H1242,IFERROR(_xlfn.NUMBERVALUE(TRIM(SUBSTITUTE(Base_Bruta!H1242,"R$","")),",","."),0)))</f>
        <v>2</v>
      </c>
      <c r="I1242" s="6" t="n">
        <f aca="false">IF($A1242="","",IF(ISNUMBER(Base_Bruta!I1242),Base_Bruta!I1242,IFERROR(_xlfn.NUMBERVALUE(TRIM(SUBSTITUTE(Base_Bruta!I1242,"R$","")),",","."),0)))</f>
        <v>325</v>
      </c>
      <c r="J1242" s="6" t="n">
        <f aca="false">IF($A1242="","",H1242*I1242)</f>
        <v>650</v>
      </c>
      <c r="K1242" s="4" t="str">
        <f aca="false">IF($A1242="","",TRIM(Base_Bruta!J1242))</f>
        <v>Bilheteria</v>
      </c>
      <c r="L1242" s="4" t="str">
        <f aca="false">IF($A1242="","",TRIM(Base_Bruta!K1242))</f>
        <v>C01006</v>
      </c>
      <c r="M1242" s="4" t="str">
        <f aca="false">IF($A1242="","",_xlfn.XLOOKUP(LOWER(TRIM(Base_Bruta!L1242)),DePara_Cidade!$A$2:$A$29,DePara_Cidade!$B$2:$B$29,"REVISAR"))</f>
        <v>Niterói</v>
      </c>
      <c r="N1242" s="4" t="str">
        <f aca="false">IF($A1242="","",UPPER(TRIM(Base_Bruta!M1242)))</f>
        <v>RJ</v>
      </c>
      <c r="O1242" s="4" t="str">
        <f aca="false">IF($A1242="","",_xlfn.XLOOKUP(LOWER(TRIM(Base_Bruta!N1242)),DePara_Pais!$A$2:$A$9,DePara_Pais!$B$2:$B$9,"REVISAR"))</f>
        <v>Brasil</v>
      </c>
      <c r="P1242" s="4" t="str">
        <f aca="false">IF($A1242="","",IF(O1242&lt;&gt;"Brasil","Turista Internacional",IF(M1242=F1242,"Local","Turista Nacional")))</f>
        <v>Turista Nacional</v>
      </c>
      <c r="Q1242" s="7" t="n">
        <f aca="false">IF($A1242="","",DATE(YEAR(B1242),MONTH(B1242),1))</f>
        <v>46023</v>
      </c>
      <c r="R1242" s="4" t="str">
        <f aca="false">IF($A1242="","",IF(COUNTIF($A$2:$A1242,$A1242)&gt;1,"Sim","Não"))</f>
        <v>Não</v>
      </c>
      <c r="S1242" s="4" t="str">
        <f aca="false">IF(A1242="","Descartar - Linha vazia",IF(R1242="Sim","Descartar - Duplicado",IF(OR(H1242&lt;=0,I1242&lt;=0),"Descartar - Qtd/Valor inválido","OK")))</f>
        <v>OK</v>
      </c>
      <c r="T1242" s="4" t="str">
        <f aca="false">Base_Bruta!P1242</f>
        <v>vendas_RJ.xlsx</v>
      </c>
    </row>
    <row r="1243" customFormat="false" ht="15" hidden="false" customHeight="false" outlineLevel="0" collapsed="false">
      <c r="A1243" s="4" t="str">
        <f aca="false">IF(Base_Bruta!A1243="","",Base_Bruta!A1243)</f>
        <v>RJ-000522</v>
      </c>
      <c r="B1243" s="5" t="n">
        <f aca="false">IF($A1243="","",IF(ISNUMBER(Base_Bruta!B1243),Base_Bruta!B1243,IF(MID(Base_Bruta!B1243,5,1)="-",DATE(VALUE(LEFT(Base_Bruta!B1243,4)),VALUE(MID(Base_Bruta!B1243,6,2)),VALUE(RIGHT(Base_Bruta!B1243,2))),DATE(VALUE(RIGHT(Base_Bruta!B1243,4)),VALUE(MID(Base_Bruta!B1243,4,2)),VALUE(LEFT(Base_Bruta!B1243,2))))))</f>
        <v>46032</v>
      </c>
      <c r="C1243" s="5" t="n">
        <f aca="false">IF($A1243="","",IF(ISNUMBER(Base_Bruta!C1243),Base_Bruta!C1243,IF(MID(Base_Bruta!C1243,5,1)="-",DATE(VALUE(LEFT(Base_Bruta!C1243,4)),VALUE(MID(Base_Bruta!C1243,6,2)),VALUE(RIGHT(Base_Bruta!C1243,2))),DATE(VALUE(RIGHT(Base_Bruta!C1243,4)),VALUE(MID(Base_Bruta!C1243,4,2)),VALUE(LEFT(Base_Bruta!C1243,2))))))</f>
        <v>46151</v>
      </c>
      <c r="D1243" s="4" t="str">
        <f aca="false">IF($A1243="","",TRIM(Base_Bruta!D1243))</f>
        <v>Turnê Internacional Rock - Rio</v>
      </c>
      <c r="E1243" s="4" t="str">
        <f aca="false">IF($A1243="","",_xlfn.XLOOKUP(LOWER(TRIM(Base_Bruta!E1243)),DePara_Categoria!$A$2:$A$9,DePara_Categoria!$B$2:$B$9,"REVISAR"))</f>
        <v>Show</v>
      </c>
      <c r="F1243" s="4" t="str">
        <f aca="false">IF($A1243="","",_xlfn.XLOOKUP(LOWER(TRIM(Base_Bruta!F1243)),DePara_Cidade!$A$2:$A$29,DePara_Cidade!$B$2:$B$29,"REVISAR"))</f>
        <v>Rio de Janeiro</v>
      </c>
      <c r="G1243" s="4" t="str">
        <f aca="false">IF($A1243="","",TRIM(Base_Bruta!G1243))</f>
        <v>VIP</v>
      </c>
      <c r="H1243" s="4" t="n">
        <f aca="false">IF($A1243="","",IF(ISNUMBER(Base_Bruta!H1243),Base_Bruta!H1243,IFERROR(_xlfn.NUMBERVALUE(TRIM(SUBSTITUTE(Base_Bruta!H1243,"R$","")),",","."),0)))</f>
        <v>2</v>
      </c>
      <c r="I1243" s="6" t="n">
        <f aca="false">IF($A1243="","",IF(ISNUMBER(Base_Bruta!I1243),Base_Bruta!I1243,IFERROR(_xlfn.NUMBERVALUE(TRIM(SUBSTITUTE(Base_Bruta!I1243,"R$","")),",","."),0)))</f>
        <v>500</v>
      </c>
      <c r="J1243" s="6" t="n">
        <f aca="false">IF($A1243="","",H1243*I1243)</f>
        <v>1000</v>
      </c>
      <c r="K1243" s="4" t="str">
        <f aca="false">IF($A1243="","",TRIM(Base_Bruta!J1243))</f>
        <v>Site</v>
      </c>
      <c r="L1243" s="4" t="str">
        <f aca="false">IF($A1243="","",TRIM(Base_Bruta!K1243))</f>
        <v>C00902</v>
      </c>
      <c r="M1243" s="4" t="str">
        <f aca="false">IF($A1243="","",_xlfn.XLOOKUP(LOWER(TRIM(Base_Bruta!L1243)),DePara_Cidade!$A$2:$A$29,DePara_Cidade!$B$2:$B$29,"REVISAR"))</f>
        <v>Rio de Janeiro</v>
      </c>
      <c r="N1243" s="4" t="str">
        <f aca="false">IF($A1243="","",UPPER(TRIM(Base_Bruta!M1243)))</f>
        <v>RJ</v>
      </c>
      <c r="O1243" s="4" t="str">
        <f aca="false">IF($A1243="","",_xlfn.XLOOKUP(LOWER(TRIM(Base_Bruta!N1243)),DePara_Pais!$A$2:$A$9,DePara_Pais!$B$2:$B$9,"REVISAR"))</f>
        <v>Brasil</v>
      </c>
      <c r="P1243" s="4" t="str">
        <f aca="false">IF($A1243="","",IF(O1243&lt;&gt;"Brasil","Turista Internacional",IF(M1243=F1243,"Local","Turista Nacional")))</f>
        <v>Local</v>
      </c>
      <c r="Q1243" s="7" t="n">
        <f aca="false">IF($A1243="","",DATE(YEAR(B1243),MONTH(B1243),1))</f>
        <v>46023</v>
      </c>
      <c r="R1243" s="4" t="str">
        <f aca="false">IF($A1243="","",IF(COUNTIF($A$2:$A1243,$A1243)&gt;1,"Sim","Não"))</f>
        <v>Não</v>
      </c>
      <c r="S1243" s="4" t="str">
        <f aca="false">IF(A1243="","Descartar - Linha vazia",IF(R1243="Sim","Descartar - Duplicado",IF(OR(H1243&lt;=0,I1243&lt;=0),"Descartar - Qtd/Valor inválido","OK")))</f>
        <v>OK</v>
      </c>
      <c r="T1243" s="4" t="str">
        <f aca="false">Base_Bruta!P1243</f>
        <v>vendas_RJ.xlsx</v>
      </c>
    </row>
    <row r="1244" customFormat="false" ht="15" hidden="false" customHeight="false" outlineLevel="0" collapsed="false">
      <c r="A1244" s="4" t="str">
        <f aca="false">IF(Base_Bruta!A1244="","",Base_Bruta!A1244)</f>
        <v>RJ-000384</v>
      </c>
      <c r="B1244" s="5" t="n">
        <f aca="false">IF($A1244="","",IF(ISNUMBER(Base_Bruta!B1244),Base_Bruta!B1244,IF(MID(Base_Bruta!B1244,5,1)="-",DATE(VALUE(LEFT(Base_Bruta!B1244,4)),VALUE(MID(Base_Bruta!B1244,6,2)),VALUE(RIGHT(Base_Bruta!B1244,2))),DATE(VALUE(RIGHT(Base_Bruta!B1244,4)),VALUE(MID(Base_Bruta!B1244,4,2)),VALUE(LEFT(Base_Bruta!B1244,2))))))</f>
        <v>46033</v>
      </c>
      <c r="C1244" s="5" t="n">
        <f aca="false">IF($A1244="","",IF(ISNUMBER(Base_Bruta!C1244),Base_Bruta!C1244,IF(MID(Base_Bruta!C1244,5,1)="-",DATE(VALUE(LEFT(Base_Bruta!C1244,4)),VALUE(MID(Base_Bruta!C1244,6,2)),VALUE(RIGHT(Base_Bruta!C1244,2))),DATE(VALUE(RIGHT(Base_Bruta!C1244,4)),VALUE(MID(Base_Bruta!C1244,4,2)),VALUE(LEFT(Base_Bruta!C1244,2))))))</f>
        <v>46151</v>
      </c>
      <c r="D1244" s="4" t="str">
        <f aca="false">IF($A1244="","",TRIM(Base_Bruta!D1244))</f>
        <v>Turnê Internacional Rock - Rio</v>
      </c>
      <c r="E1244" s="4" t="str">
        <f aca="false">IF($A1244="","",_xlfn.XLOOKUP(LOWER(TRIM(Base_Bruta!E1244)),DePara_Categoria!$A$2:$A$9,DePara_Categoria!$B$2:$B$9,"REVISAR"))</f>
        <v>Show</v>
      </c>
      <c r="F1244" s="4" t="str">
        <f aca="false">IF($A1244="","",_xlfn.XLOOKUP(LOWER(TRIM(Base_Bruta!F1244)),DePara_Cidade!$A$2:$A$29,DePara_Cidade!$B$2:$B$29,"REVISAR"))</f>
        <v>Rio de Janeiro</v>
      </c>
      <c r="G1244" s="4" t="str">
        <f aca="false">IF($A1244="","",TRIM(Base_Bruta!G1244))</f>
        <v>Meia</v>
      </c>
      <c r="H1244" s="4" t="n">
        <f aca="false">IF($A1244="","",IF(ISNUMBER(Base_Bruta!H1244),Base_Bruta!H1244,IFERROR(_xlfn.NUMBERVALUE(TRIM(SUBSTITUTE(Base_Bruta!H1244,"R$","")),",","."),0)))</f>
        <v>1</v>
      </c>
      <c r="I1244" s="6" t="n">
        <f aca="false">IF($A1244="","",IF(ISNUMBER(Base_Bruta!I1244),Base_Bruta!I1244,IFERROR(_xlfn.NUMBERVALUE(TRIM(SUBSTITUTE(Base_Bruta!I1244,"R$","")),",","."),0)))</f>
        <v>322.5</v>
      </c>
      <c r="J1244" s="6" t="n">
        <f aca="false">IF($A1244="","",H1244*I1244)</f>
        <v>322.5</v>
      </c>
      <c r="K1244" s="4" t="str">
        <f aca="false">IF($A1244="","",TRIM(Base_Bruta!J1244))</f>
        <v>Bilheteria</v>
      </c>
      <c r="L1244" s="4" t="str">
        <f aca="false">IF($A1244="","",TRIM(Base_Bruta!K1244))</f>
        <v>C01240</v>
      </c>
      <c r="M1244" s="4" t="str">
        <f aca="false">IF($A1244="","",_xlfn.XLOOKUP(LOWER(TRIM(Base_Bruta!L1244)),DePara_Cidade!$A$2:$A$29,DePara_Cidade!$B$2:$B$29,"REVISAR"))</f>
        <v>Rio de Janeiro</v>
      </c>
      <c r="N1244" s="4" t="str">
        <f aca="false">IF($A1244="","",UPPER(TRIM(Base_Bruta!M1244)))</f>
        <v>RJ</v>
      </c>
      <c r="O1244" s="4" t="str">
        <f aca="false">IF($A1244="","",_xlfn.XLOOKUP(LOWER(TRIM(Base_Bruta!N1244)),DePara_Pais!$A$2:$A$9,DePara_Pais!$B$2:$B$9,"REVISAR"))</f>
        <v>Brasil</v>
      </c>
      <c r="P1244" s="4" t="str">
        <f aca="false">IF($A1244="","",IF(O1244&lt;&gt;"Brasil","Turista Internacional",IF(M1244=F1244,"Local","Turista Nacional")))</f>
        <v>Local</v>
      </c>
      <c r="Q1244" s="7" t="n">
        <f aca="false">IF($A1244="","",DATE(YEAR(B1244),MONTH(B1244),1))</f>
        <v>46023</v>
      </c>
      <c r="R1244" s="4" t="str">
        <f aca="false">IF($A1244="","",IF(COUNTIF($A$2:$A1244,$A1244)&gt;1,"Sim","Não"))</f>
        <v>Não</v>
      </c>
      <c r="S1244" s="4" t="str">
        <f aca="false">IF(A1244="","Descartar - Linha vazia",IF(R1244="Sim","Descartar - Duplicado",IF(OR(H1244&lt;=0,I1244&lt;=0),"Descartar - Qtd/Valor inválido","OK")))</f>
        <v>OK</v>
      </c>
      <c r="T1244" s="4" t="str">
        <f aca="false">Base_Bruta!P1244</f>
        <v>vendas_RJ.xlsx</v>
      </c>
    </row>
    <row r="1245" customFormat="false" ht="15" hidden="false" customHeight="false" outlineLevel="0" collapsed="false">
      <c r="A1245" s="4" t="str">
        <f aca="false">IF(Base_Bruta!A1245="","",Base_Bruta!A1245)</f>
        <v>RJ-000454</v>
      </c>
      <c r="B1245" s="5" t="n">
        <f aca="false">IF($A1245="","",IF(ISNUMBER(Base_Bruta!B1245),Base_Bruta!B1245,IF(MID(Base_Bruta!B1245,5,1)="-",DATE(VALUE(LEFT(Base_Bruta!B1245,4)),VALUE(MID(Base_Bruta!B1245,6,2)),VALUE(RIGHT(Base_Bruta!B1245,2))),DATE(VALUE(RIGHT(Base_Bruta!B1245,4)),VALUE(MID(Base_Bruta!B1245,4,2)),VALUE(LEFT(Base_Bruta!B1245,2))))))</f>
        <v>46033</v>
      </c>
      <c r="C1245" s="5" t="n">
        <f aca="false">IF($A1245="","",IF(ISNUMBER(Base_Bruta!C1245),Base_Bruta!C1245,IF(MID(Base_Bruta!C1245,5,1)="-",DATE(VALUE(LEFT(Base_Bruta!C1245,4)),VALUE(MID(Base_Bruta!C1245,6,2)),VALUE(RIGHT(Base_Bruta!C1245,2))),DATE(VALUE(RIGHT(Base_Bruta!C1245,4)),VALUE(MID(Base_Bruta!C1245,4,2)),VALUE(LEFT(Base_Bruta!C1245,2))))))</f>
        <v>46151</v>
      </c>
      <c r="D1245" s="4" t="str">
        <f aca="false">IF($A1245="","",TRIM(Base_Bruta!D1245))</f>
        <v>Turnê Internacional Rock - Rio</v>
      </c>
      <c r="E1245" s="4" t="str">
        <f aca="false">IF($A1245="","",_xlfn.XLOOKUP(LOWER(TRIM(Base_Bruta!E1245)),DePara_Categoria!$A$2:$A$9,DePara_Categoria!$B$2:$B$9,"REVISAR"))</f>
        <v>Show</v>
      </c>
      <c r="F1245" s="4" t="str">
        <f aca="false">IF($A1245="","",_xlfn.XLOOKUP(LOWER(TRIM(Base_Bruta!F1245)),DePara_Cidade!$A$2:$A$29,DePara_Cidade!$B$2:$B$29,"REVISAR"))</f>
        <v>Rio de Janeiro</v>
      </c>
      <c r="G1245" s="4" t="str">
        <f aca="false">IF($A1245="","",TRIM(Base_Bruta!G1245))</f>
        <v>Inteira</v>
      </c>
      <c r="H1245" s="4" t="n">
        <f aca="false">IF($A1245="","",IF(ISNUMBER(Base_Bruta!H1245),Base_Bruta!H1245,IFERROR(_xlfn.NUMBERVALUE(TRIM(SUBSTITUTE(Base_Bruta!H1245,"R$","")),",","."),0)))</f>
        <v>2</v>
      </c>
      <c r="I1245" s="6" t="n">
        <f aca="false">IF($A1245="","",IF(ISNUMBER(Base_Bruta!I1245),Base_Bruta!I1245,IFERROR(_xlfn.NUMBERVALUE(TRIM(SUBSTITUTE(Base_Bruta!I1245,"R$","")),",","."),0)))</f>
        <v>390</v>
      </c>
      <c r="J1245" s="6" t="n">
        <f aca="false">IF($A1245="","",H1245*I1245)</f>
        <v>780</v>
      </c>
      <c r="K1245" s="4" t="str">
        <f aca="false">IF($A1245="","",TRIM(Base_Bruta!J1245))</f>
        <v>Site</v>
      </c>
      <c r="L1245" s="4" t="str">
        <f aca="false">IF($A1245="","",TRIM(Base_Bruta!K1245))</f>
        <v>C01922</v>
      </c>
      <c r="M1245" s="4" t="str">
        <f aca="false">IF($A1245="","",_xlfn.XLOOKUP(LOWER(TRIM(Base_Bruta!L1245)),DePara_Cidade!$A$2:$A$29,DePara_Cidade!$B$2:$B$29,"REVISAR"))</f>
        <v>Contagem</v>
      </c>
      <c r="N1245" s="4" t="str">
        <f aca="false">IF($A1245="","",UPPER(TRIM(Base_Bruta!M1245)))</f>
        <v>MG</v>
      </c>
      <c r="O1245" s="4" t="str">
        <f aca="false">IF($A1245="","",_xlfn.XLOOKUP(LOWER(TRIM(Base_Bruta!N1245)),DePara_Pais!$A$2:$A$9,DePara_Pais!$B$2:$B$9,"REVISAR"))</f>
        <v>Brasil</v>
      </c>
      <c r="P1245" s="4" t="str">
        <f aca="false">IF($A1245="","",IF(O1245&lt;&gt;"Brasil","Turista Internacional",IF(M1245=F1245,"Local","Turista Nacional")))</f>
        <v>Turista Nacional</v>
      </c>
      <c r="Q1245" s="7" t="n">
        <f aca="false">IF($A1245="","",DATE(YEAR(B1245),MONTH(B1245),1))</f>
        <v>46023</v>
      </c>
      <c r="R1245" s="4" t="str">
        <f aca="false">IF($A1245="","",IF(COUNTIF($A$2:$A1245,$A1245)&gt;1,"Sim","Não"))</f>
        <v>Não</v>
      </c>
      <c r="S1245" s="4" t="str">
        <f aca="false">IF(A1245="","Descartar - Linha vazia",IF(R1245="Sim","Descartar - Duplicado",IF(OR(H1245&lt;=0,I1245&lt;=0),"Descartar - Qtd/Valor inválido","OK")))</f>
        <v>OK</v>
      </c>
      <c r="T1245" s="4" t="str">
        <f aca="false">Base_Bruta!P1245</f>
        <v>vendas_RJ.xlsx</v>
      </c>
    </row>
    <row r="1246" customFormat="false" ht="15" hidden="false" customHeight="false" outlineLevel="0" collapsed="false">
      <c r="A1246" s="4" t="str">
        <f aca="false">IF(Base_Bruta!A1246="","",Base_Bruta!A1246)</f>
        <v>RJ-000457</v>
      </c>
      <c r="B1246" s="5" t="n">
        <f aca="false">IF($A1246="","",IF(ISNUMBER(Base_Bruta!B1246),Base_Bruta!B1246,IF(MID(Base_Bruta!B1246,5,1)="-",DATE(VALUE(LEFT(Base_Bruta!B1246,4)),VALUE(MID(Base_Bruta!B1246,6,2)),VALUE(RIGHT(Base_Bruta!B1246,2))),DATE(VALUE(RIGHT(Base_Bruta!B1246,4)),VALUE(MID(Base_Bruta!B1246,4,2)),VALUE(LEFT(Base_Bruta!B1246,2))))))</f>
        <v>46033</v>
      </c>
      <c r="C1246" s="5" t="n">
        <f aca="false">IF($A1246="","",IF(ISNUMBER(Base_Bruta!C1246),Base_Bruta!C1246,IF(MID(Base_Bruta!C1246,5,1)="-",DATE(VALUE(LEFT(Base_Bruta!C1246,4)),VALUE(MID(Base_Bruta!C1246,6,2)),VALUE(RIGHT(Base_Bruta!C1246,2))),DATE(VALUE(RIGHT(Base_Bruta!C1246,4)),VALUE(MID(Base_Bruta!C1246,4,2)),VALUE(LEFT(Base_Bruta!C1246,2))))))</f>
        <v>46151</v>
      </c>
      <c r="D1246" s="4" t="str">
        <f aca="false">IF($A1246="","",TRIM(Base_Bruta!D1246))</f>
        <v>Turnê Internacional Rock - Rio</v>
      </c>
      <c r="E1246" s="4" t="str">
        <f aca="false">IF($A1246="","",_xlfn.XLOOKUP(LOWER(TRIM(Base_Bruta!E1246)),DePara_Categoria!$A$2:$A$9,DePara_Categoria!$B$2:$B$9,"REVISAR"))</f>
        <v>Show</v>
      </c>
      <c r="F1246" s="4" t="str">
        <f aca="false">IF($A1246="","",_xlfn.XLOOKUP(LOWER(TRIM(Base_Bruta!F1246)),DePara_Cidade!$A$2:$A$29,DePara_Cidade!$B$2:$B$29,"REVISAR"))</f>
        <v>Rio de Janeiro</v>
      </c>
      <c r="G1246" s="4" t="str">
        <f aca="false">IF($A1246="","",TRIM(Base_Bruta!G1246))</f>
        <v>VIP</v>
      </c>
      <c r="H1246" s="4" t="n">
        <f aca="false">IF($A1246="","",IF(ISNUMBER(Base_Bruta!H1246),Base_Bruta!H1246,IFERROR(_xlfn.NUMBERVALUE(TRIM(SUBSTITUTE(Base_Bruta!H1246,"R$","")),",","."),0)))</f>
        <v>4</v>
      </c>
      <c r="I1246" s="6" t="n">
        <f aca="false">IF($A1246="","",IF(ISNUMBER(Base_Bruta!I1246),Base_Bruta!I1246,IFERROR(_xlfn.NUMBERVALUE(TRIM(SUBSTITUTE(Base_Bruta!I1246,"R$","")),",","."),0)))</f>
        <v>1410</v>
      </c>
      <c r="J1246" s="6" t="n">
        <f aca="false">IF($A1246="","",H1246*I1246)</f>
        <v>5640</v>
      </c>
      <c r="K1246" s="4" t="str">
        <f aca="false">IF($A1246="","",TRIM(Base_Bruta!J1246))</f>
        <v>Site</v>
      </c>
      <c r="L1246" s="4" t="str">
        <f aca="false">IF($A1246="","",TRIM(Base_Bruta!K1246))</f>
        <v>C01223</v>
      </c>
      <c r="M1246" s="4" t="str">
        <f aca="false">IF($A1246="","",_xlfn.XLOOKUP(LOWER(TRIM(Base_Bruta!L1246)),DePara_Cidade!$A$2:$A$29,DePara_Cidade!$B$2:$B$29,"REVISAR"))</f>
        <v>Miami</v>
      </c>
      <c r="N1246" s="4" t="str">
        <f aca="false">IF($A1246="","",UPPER(TRIM(Base_Bruta!M1246)))</f>
        <v>EX</v>
      </c>
      <c r="O1246" s="4" t="str">
        <f aca="false">IF($A1246="","",_xlfn.XLOOKUP(LOWER(TRIM(Base_Bruta!N1246)),DePara_Pais!$A$2:$A$9,DePara_Pais!$B$2:$B$9,"REVISAR"))</f>
        <v>EUA</v>
      </c>
      <c r="P1246" s="4" t="str">
        <f aca="false">IF($A1246="","",IF(O1246&lt;&gt;"Brasil","Turista Internacional",IF(M1246=F1246,"Local","Turista Nacional")))</f>
        <v>Turista Internacional</v>
      </c>
      <c r="Q1246" s="7" t="n">
        <f aca="false">IF($A1246="","",DATE(YEAR(B1246),MONTH(B1246),1))</f>
        <v>46023</v>
      </c>
      <c r="R1246" s="4" t="str">
        <f aca="false">IF($A1246="","",IF(COUNTIF($A$2:$A1246,$A1246)&gt;1,"Sim","Não"))</f>
        <v>Não</v>
      </c>
      <c r="S1246" s="4" t="str">
        <f aca="false">IF(A1246="","Descartar - Linha vazia",IF(R1246="Sim","Descartar - Duplicado",IF(OR(H1246&lt;=0,I1246&lt;=0),"Descartar - Qtd/Valor inválido","OK")))</f>
        <v>OK</v>
      </c>
      <c r="T1246" s="4" t="str">
        <f aca="false">Base_Bruta!P1246</f>
        <v>vendas_RJ.xlsx</v>
      </c>
    </row>
    <row r="1247" customFormat="false" ht="15" hidden="false" customHeight="false" outlineLevel="0" collapsed="false">
      <c r="A1247" s="4" t="str">
        <f aca="false">IF(Base_Bruta!A1247="","",Base_Bruta!A1247)</f>
        <v>RJ-000458</v>
      </c>
      <c r="B1247" s="5" t="n">
        <f aca="false">IF($A1247="","",IF(ISNUMBER(Base_Bruta!B1247),Base_Bruta!B1247,IF(MID(Base_Bruta!B1247,5,1)="-",DATE(VALUE(LEFT(Base_Bruta!B1247,4)),VALUE(MID(Base_Bruta!B1247,6,2)),VALUE(RIGHT(Base_Bruta!B1247,2))),DATE(VALUE(RIGHT(Base_Bruta!B1247,4)),VALUE(MID(Base_Bruta!B1247,4,2)),VALUE(LEFT(Base_Bruta!B1247,2))))))</f>
        <v>46033</v>
      </c>
      <c r="C1247" s="5" t="n">
        <f aca="false">IF($A1247="","",IF(ISNUMBER(Base_Bruta!C1247),Base_Bruta!C1247,IF(MID(Base_Bruta!C1247,5,1)="-",DATE(VALUE(LEFT(Base_Bruta!C1247,4)),VALUE(MID(Base_Bruta!C1247,6,2)),VALUE(RIGHT(Base_Bruta!C1247,2))),DATE(VALUE(RIGHT(Base_Bruta!C1247,4)),VALUE(MID(Base_Bruta!C1247,4,2)),VALUE(LEFT(Base_Bruta!C1247,2))))))</f>
        <v>46151</v>
      </c>
      <c r="D1247" s="4" t="str">
        <f aca="false">IF($A1247="","",TRIM(Base_Bruta!D1247))</f>
        <v>Turnê Internacional Rock - Rio</v>
      </c>
      <c r="E1247" s="4" t="str">
        <f aca="false">IF($A1247="","",_xlfn.XLOOKUP(LOWER(TRIM(Base_Bruta!E1247)),DePara_Categoria!$A$2:$A$9,DePara_Categoria!$B$2:$B$9,"REVISAR"))</f>
        <v>Show</v>
      </c>
      <c r="F1247" s="4" t="str">
        <f aca="false">IF($A1247="","",_xlfn.XLOOKUP(LOWER(TRIM(Base_Bruta!F1247)),DePara_Cidade!$A$2:$A$29,DePara_Cidade!$B$2:$B$29,"REVISAR"))</f>
        <v>Rio de Janeiro</v>
      </c>
      <c r="G1247" s="4" t="str">
        <f aca="false">IF($A1247="","",TRIM(Base_Bruta!G1247))</f>
        <v>Meia</v>
      </c>
      <c r="H1247" s="4" t="n">
        <f aca="false">IF($A1247="","",IF(ISNUMBER(Base_Bruta!H1247),Base_Bruta!H1247,IFERROR(_xlfn.NUMBERVALUE(TRIM(SUBSTITUTE(Base_Bruta!H1247,"R$","")),",","."),0)))</f>
        <v>2</v>
      </c>
      <c r="I1247" s="6" t="n">
        <f aca="false">IF($A1247="","",IF(ISNUMBER(Base_Bruta!I1247),Base_Bruta!I1247,IFERROR(_xlfn.NUMBERVALUE(TRIM(SUBSTITUTE(Base_Bruta!I1247,"R$","")),",","."),0)))</f>
        <v>285</v>
      </c>
      <c r="J1247" s="6" t="n">
        <f aca="false">IF($A1247="","",H1247*I1247)</f>
        <v>570</v>
      </c>
      <c r="K1247" s="4" t="str">
        <f aca="false">IF($A1247="","",TRIM(Base_Bruta!J1247))</f>
        <v>Bilheteria</v>
      </c>
      <c r="L1247" s="4" t="str">
        <f aca="false">IF($A1247="","",TRIM(Base_Bruta!K1247))</f>
        <v>C02190</v>
      </c>
      <c r="M1247" s="4" t="str">
        <f aca="false">IF($A1247="","",_xlfn.XLOOKUP(LOWER(TRIM(Base_Bruta!L1247)),DePara_Cidade!$A$2:$A$29,DePara_Cidade!$B$2:$B$29,"REVISAR"))</f>
        <v>Porto Alegre</v>
      </c>
      <c r="N1247" s="4" t="str">
        <f aca="false">IF($A1247="","",UPPER(TRIM(Base_Bruta!M1247)))</f>
        <v>RS</v>
      </c>
      <c r="O1247" s="4" t="str">
        <f aca="false">IF($A1247="","",_xlfn.XLOOKUP(LOWER(TRIM(Base_Bruta!N1247)),DePara_Pais!$A$2:$A$9,DePara_Pais!$B$2:$B$9,"REVISAR"))</f>
        <v>Brasil</v>
      </c>
      <c r="P1247" s="4" t="str">
        <f aca="false">IF($A1247="","",IF(O1247&lt;&gt;"Brasil","Turista Internacional",IF(M1247=F1247,"Local","Turista Nacional")))</f>
        <v>Turista Nacional</v>
      </c>
      <c r="Q1247" s="7" t="n">
        <f aca="false">IF($A1247="","",DATE(YEAR(B1247),MONTH(B1247),1))</f>
        <v>46023</v>
      </c>
      <c r="R1247" s="4" t="str">
        <f aca="false">IF($A1247="","",IF(COUNTIF($A$2:$A1247,$A1247)&gt;1,"Sim","Não"))</f>
        <v>Não</v>
      </c>
      <c r="S1247" s="4" t="str">
        <f aca="false">IF(A1247="","Descartar - Linha vazia",IF(R1247="Sim","Descartar - Duplicado",IF(OR(H1247&lt;=0,I1247&lt;=0),"Descartar - Qtd/Valor inválido","OK")))</f>
        <v>OK</v>
      </c>
      <c r="T1247" s="4" t="str">
        <f aca="false">Base_Bruta!P1247</f>
        <v>vendas_RJ.xlsx</v>
      </c>
    </row>
    <row r="1248" customFormat="false" ht="15" hidden="false" customHeight="false" outlineLevel="0" collapsed="false">
      <c r="A1248" s="4" t="str">
        <f aca="false">IF(Base_Bruta!A1248="","",Base_Bruta!A1248)</f>
        <v>RJ-000460</v>
      </c>
      <c r="B1248" s="5" t="n">
        <f aca="false">IF($A1248="","",IF(ISNUMBER(Base_Bruta!B1248),Base_Bruta!B1248,IF(MID(Base_Bruta!B1248,5,1)="-",DATE(VALUE(LEFT(Base_Bruta!B1248,4)),VALUE(MID(Base_Bruta!B1248,6,2)),VALUE(RIGHT(Base_Bruta!B1248,2))),DATE(VALUE(RIGHT(Base_Bruta!B1248,4)),VALUE(MID(Base_Bruta!B1248,4,2)),VALUE(LEFT(Base_Bruta!B1248,2))))))</f>
        <v>46033</v>
      </c>
      <c r="C1248" s="5" t="n">
        <f aca="false">IF($A1248="","",IF(ISNUMBER(Base_Bruta!C1248),Base_Bruta!C1248,IF(MID(Base_Bruta!C1248,5,1)="-",DATE(VALUE(LEFT(Base_Bruta!C1248,4)),VALUE(MID(Base_Bruta!C1248,6,2)),VALUE(RIGHT(Base_Bruta!C1248,2))),DATE(VALUE(RIGHT(Base_Bruta!C1248,4)),VALUE(MID(Base_Bruta!C1248,4,2)),VALUE(LEFT(Base_Bruta!C1248,2))))))</f>
        <v>46151</v>
      </c>
      <c r="D1248" s="4" t="str">
        <f aca="false">IF($A1248="","",TRIM(Base_Bruta!D1248))</f>
        <v>Turnê Internacional Rock - Rio</v>
      </c>
      <c r="E1248" s="4" t="str">
        <f aca="false">IF($A1248="","",_xlfn.XLOOKUP(LOWER(TRIM(Base_Bruta!E1248)),DePara_Categoria!$A$2:$A$9,DePara_Categoria!$B$2:$B$9,"REVISAR"))</f>
        <v>Show</v>
      </c>
      <c r="F1248" s="4" t="str">
        <f aca="false">IF($A1248="","",_xlfn.XLOOKUP(LOWER(TRIM(Base_Bruta!F1248)),DePara_Cidade!$A$2:$A$29,DePara_Cidade!$B$2:$B$29,"REVISAR"))</f>
        <v>Rio de Janeiro</v>
      </c>
      <c r="G1248" s="4" t="str">
        <f aca="false">IF($A1248="","",TRIM(Base_Bruta!G1248))</f>
        <v>Inteira</v>
      </c>
      <c r="H1248" s="4" t="n">
        <f aca="false">IF($A1248="","",IF(ISNUMBER(Base_Bruta!H1248),Base_Bruta!H1248,IFERROR(_xlfn.NUMBERVALUE(TRIM(SUBSTITUTE(Base_Bruta!H1248,"R$","")),",","."),0)))</f>
        <v>2</v>
      </c>
      <c r="I1248" s="6" t="n">
        <f aca="false">IF($A1248="","",IF(ISNUMBER(Base_Bruta!I1248),Base_Bruta!I1248,IFERROR(_xlfn.NUMBERVALUE(TRIM(SUBSTITUTE(Base_Bruta!I1248,"R$","")),",","."),0)))</f>
        <v>770</v>
      </c>
      <c r="J1248" s="6" t="n">
        <f aca="false">IF($A1248="","",H1248*I1248)</f>
        <v>1540</v>
      </c>
      <c r="K1248" s="4" t="str">
        <f aca="false">IF($A1248="","",TRIM(Base_Bruta!J1248))</f>
        <v>Site</v>
      </c>
      <c r="L1248" s="4" t="str">
        <f aca="false">IF($A1248="","",TRIM(Base_Bruta!K1248))</f>
        <v>C00071</v>
      </c>
      <c r="M1248" s="4" t="str">
        <f aca="false">IF($A1248="","",_xlfn.XLOOKUP(LOWER(TRIM(Base_Bruta!L1248)),DePara_Cidade!$A$2:$A$29,DePara_Cidade!$B$2:$B$29,"REVISAR"))</f>
        <v>Rio de Janeiro</v>
      </c>
      <c r="N1248" s="4" t="str">
        <f aca="false">IF($A1248="","",UPPER(TRIM(Base_Bruta!M1248)))</f>
        <v>RJ</v>
      </c>
      <c r="O1248" s="4" t="str">
        <f aca="false">IF($A1248="","",_xlfn.XLOOKUP(LOWER(TRIM(Base_Bruta!N1248)),DePara_Pais!$A$2:$A$9,DePara_Pais!$B$2:$B$9,"REVISAR"))</f>
        <v>Brasil</v>
      </c>
      <c r="P1248" s="4" t="str">
        <f aca="false">IF($A1248="","",IF(O1248&lt;&gt;"Brasil","Turista Internacional",IF(M1248=F1248,"Local","Turista Nacional")))</f>
        <v>Local</v>
      </c>
      <c r="Q1248" s="7" t="n">
        <f aca="false">IF($A1248="","",DATE(YEAR(B1248),MONTH(B1248),1))</f>
        <v>46023</v>
      </c>
      <c r="R1248" s="4" t="str">
        <f aca="false">IF($A1248="","",IF(COUNTIF($A$2:$A1248,$A1248)&gt;1,"Sim","Não"))</f>
        <v>Não</v>
      </c>
      <c r="S1248" s="4" t="str">
        <f aca="false">IF(A1248="","Descartar - Linha vazia",IF(R1248="Sim","Descartar - Duplicado",IF(OR(H1248&lt;=0,I1248&lt;=0),"Descartar - Qtd/Valor inválido","OK")))</f>
        <v>OK</v>
      </c>
      <c r="T1248" s="4" t="str">
        <f aca="false">Base_Bruta!P1248</f>
        <v>vendas_RJ.xlsx</v>
      </c>
    </row>
    <row r="1249" customFormat="false" ht="15" hidden="false" customHeight="false" outlineLevel="0" collapsed="false">
      <c r="A1249" s="4" t="str">
        <f aca="false">IF(Base_Bruta!A1249="","",Base_Bruta!A1249)</f>
        <v>RJ-000502</v>
      </c>
      <c r="B1249" s="5" t="n">
        <f aca="false">IF($A1249="","",IF(ISNUMBER(Base_Bruta!B1249),Base_Bruta!B1249,IF(MID(Base_Bruta!B1249,5,1)="-",DATE(VALUE(LEFT(Base_Bruta!B1249,4)),VALUE(MID(Base_Bruta!B1249,6,2)),VALUE(RIGHT(Base_Bruta!B1249,2))),DATE(VALUE(RIGHT(Base_Bruta!B1249,4)),VALUE(MID(Base_Bruta!B1249,4,2)),VALUE(LEFT(Base_Bruta!B1249,2))))))</f>
        <v>46033</v>
      </c>
      <c r="C1249" s="5" t="n">
        <f aca="false">IF($A1249="","",IF(ISNUMBER(Base_Bruta!C1249),Base_Bruta!C1249,IF(MID(Base_Bruta!C1249,5,1)="-",DATE(VALUE(LEFT(Base_Bruta!C1249,4)),VALUE(MID(Base_Bruta!C1249,6,2)),VALUE(RIGHT(Base_Bruta!C1249,2))),DATE(VALUE(RIGHT(Base_Bruta!C1249,4)),VALUE(MID(Base_Bruta!C1249,4,2)),VALUE(LEFT(Base_Bruta!C1249,2))))))</f>
        <v>46151</v>
      </c>
      <c r="D1249" s="4" t="str">
        <f aca="false">IF($A1249="","",TRIM(Base_Bruta!D1249))</f>
        <v>Turnê Internacional Rock - Rio</v>
      </c>
      <c r="E1249" s="4" t="str">
        <f aca="false">IF($A1249="","",_xlfn.XLOOKUP(LOWER(TRIM(Base_Bruta!E1249)),DePara_Categoria!$A$2:$A$9,DePara_Categoria!$B$2:$B$9,"REVISAR"))</f>
        <v>Show</v>
      </c>
      <c r="F1249" s="4" t="str">
        <f aca="false">IF($A1249="","",_xlfn.XLOOKUP(LOWER(TRIM(Base_Bruta!F1249)),DePara_Cidade!$A$2:$A$29,DePara_Cidade!$B$2:$B$29,"REVISAR"))</f>
        <v>Rio de Janeiro</v>
      </c>
      <c r="G1249" s="4" t="str">
        <f aca="false">IF($A1249="","",TRIM(Base_Bruta!G1249))</f>
        <v>Inteira</v>
      </c>
      <c r="H1249" s="4" t="n">
        <f aca="false">IF($A1249="","",IF(ISNUMBER(Base_Bruta!H1249),Base_Bruta!H1249,IFERROR(_xlfn.NUMBERVALUE(TRIM(SUBSTITUTE(Base_Bruta!H1249,"R$","")),",","."),0)))</f>
        <v>2</v>
      </c>
      <c r="I1249" s="6" t="n">
        <f aca="false">IF($A1249="","",IF(ISNUMBER(Base_Bruta!I1249),Base_Bruta!I1249,IFERROR(_xlfn.NUMBERVALUE(TRIM(SUBSTITUTE(Base_Bruta!I1249,"R$","")),",","."),0)))</f>
        <v>515</v>
      </c>
      <c r="J1249" s="6" t="n">
        <f aca="false">IF($A1249="","",H1249*I1249)</f>
        <v>1030</v>
      </c>
      <c r="K1249" s="4" t="str">
        <f aca="false">IF($A1249="","",TRIM(Base_Bruta!J1249))</f>
        <v>Bilheteria</v>
      </c>
      <c r="L1249" s="4" t="str">
        <f aca="false">IF($A1249="","",TRIM(Base_Bruta!K1249))</f>
        <v>C01994</v>
      </c>
      <c r="M1249" s="4" t="str">
        <f aca="false">IF($A1249="","",_xlfn.XLOOKUP(LOWER(TRIM(Base_Bruta!L1249)),DePara_Cidade!$A$2:$A$29,DePara_Cidade!$B$2:$B$29,"REVISAR"))</f>
        <v>Rio de Janeiro</v>
      </c>
      <c r="N1249" s="4" t="str">
        <f aca="false">IF($A1249="","",UPPER(TRIM(Base_Bruta!M1249)))</f>
        <v>RJ</v>
      </c>
      <c r="O1249" s="4" t="str">
        <f aca="false">IF($A1249="","",_xlfn.XLOOKUP(LOWER(TRIM(Base_Bruta!N1249)),DePara_Pais!$A$2:$A$9,DePara_Pais!$B$2:$B$9,"REVISAR"))</f>
        <v>Brasil</v>
      </c>
      <c r="P1249" s="4" t="str">
        <f aca="false">IF($A1249="","",IF(O1249&lt;&gt;"Brasil","Turista Internacional",IF(M1249=F1249,"Local","Turista Nacional")))</f>
        <v>Local</v>
      </c>
      <c r="Q1249" s="7" t="n">
        <f aca="false">IF($A1249="","",DATE(YEAR(B1249),MONTH(B1249),1))</f>
        <v>46023</v>
      </c>
      <c r="R1249" s="4" t="str">
        <f aca="false">IF($A1249="","",IF(COUNTIF($A$2:$A1249,$A1249)&gt;1,"Sim","Não"))</f>
        <v>Não</v>
      </c>
      <c r="S1249" s="4" t="str">
        <f aca="false">IF(A1249="","Descartar - Linha vazia",IF(R1249="Sim","Descartar - Duplicado",IF(OR(H1249&lt;=0,I1249&lt;=0),"Descartar - Qtd/Valor inválido","OK")))</f>
        <v>OK</v>
      </c>
      <c r="T1249" s="4" t="str">
        <f aca="false">Base_Bruta!P1249</f>
        <v>vendas_RJ.xlsx</v>
      </c>
    </row>
    <row r="1250" customFormat="false" ht="15" hidden="false" customHeight="false" outlineLevel="0" collapsed="false">
      <c r="A1250" s="4" t="str">
        <f aca="false">IF(Base_Bruta!A1250="","",Base_Bruta!A1250)</f>
        <v>RJ-000530</v>
      </c>
      <c r="B1250" s="5" t="n">
        <f aca="false">IF($A1250="","",IF(ISNUMBER(Base_Bruta!B1250),Base_Bruta!B1250,IF(MID(Base_Bruta!B1250,5,1)="-",DATE(VALUE(LEFT(Base_Bruta!B1250,4)),VALUE(MID(Base_Bruta!B1250,6,2)),VALUE(RIGHT(Base_Bruta!B1250,2))),DATE(VALUE(RIGHT(Base_Bruta!B1250,4)),VALUE(MID(Base_Bruta!B1250,4,2)),VALUE(LEFT(Base_Bruta!B1250,2))))))</f>
        <v>46033</v>
      </c>
      <c r="C1250" s="5" t="n">
        <f aca="false">IF($A1250="","",IF(ISNUMBER(Base_Bruta!C1250),Base_Bruta!C1250,IF(MID(Base_Bruta!C1250,5,1)="-",DATE(VALUE(LEFT(Base_Bruta!C1250,4)),VALUE(MID(Base_Bruta!C1250,6,2)),VALUE(RIGHT(Base_Bruta!C1250,2))),DATE(VALUE(RIGHT(Base_Bruta!C1250,4)),VALUE(MID(Base_Bruta!C1250,4,2)),VALUE(LEFT(Base_Bruta!C1250,2))))))</f>
        <v>46151</v>
      </c>
      <c r="D1250" s="4" t="str">
        <f aca="false">IF($A1250="","",TRIM(Base_Bruta!D1250))</f>
        <v>Turnê Internacional Rock - Rio</v>
      </c>
      <c r="E1250" s="4" t="str">
        <f aca="false">IF($A1250="","",_xlfn.XLOOKUP(LOWER(TRIM(Base_Bruta!E1250)),DePara_Categoria!$A$2:$A$9,DePara_Categoria!$B$2:$B$9,"REVISAR"))</f>
        <v>Show</v>
      </c>
      <c r="F1250" s="4" t="str">
        <f aca="false">IF($A1250="","",_xlfn.XLOOKUP(LOWER(TRIM(Base_Bruta!F1250)),DePara_Cidade!$A$2:$A$29,DePara_Cidade!$B$2:$B$29,"REVISAR"))</f>
        <v>Rio de Janeiro</v>
      </c>
      <c r="G1250" s="4" t="str">
        <f aca="false">IF($A1250="","",TRIM(Base_Bruta!G1250))</f>
        <v>Inteira</v>
      </c>
      <c r="H1250" s="4" t="n">
        <f aca="false">IF($A1250="","",IF(ISNUMBER(Base_Bruta!H1250),Base_Bruta!H1250,IFERROR(_xlfn.NUMBERVALUE(TRIM(SUBSTITUTE(Base_Bruta!H1250,"R$","")),",","."),0)))</f>
        <v>1</v>
      </c>
      <c r="I1250" s="6" t="n">
        <f aca="false">IF($A1250="","",IF(ISNUMBER(Base_Bruta!I1250),Base_Bruta!I1250,IFERROR(_xlfn.NUMBERVALUE(TRIM(SUBSTITUTE(Base_Bruta!I1250,"R$","")),",","."),0)))</f>
        <v>285</v>
      </c>
      <c r="J1250" s="6" t="n">
        <f aca="false">IF($A1250="","",H1250*I1250)</f>
        <v>285</v>
      </c>
      <c r="K1250" s="4" t="str">
        <f aca="false">IF($A1250="","",TRIM(Base_Bruta!J1250))</f>
        <v>Site</v>
      </c>
      <c r="L1250" s="4" t="str">
        <f aca="false">IF($A1250="","",TRIM(Base_Bruta!K1250))</f>
        <v>C02254</v>
      </c>
      <c r="M1250" s="4" t="str">
        <f aca="false">IF($A1250="","",_xlfn.XLOOKUP(LOWER(TRIM(Base_Bruta!L1250)),DePara_Cidade!$A$2:$A$29,DePara_Cidade!$B$2:$B$29,"REVISAR"))</f>
        <v>Rio de Janeiro</v>
      </c>
      <c r="N1250" s="4" t="str">
        <f aca="false">IF($A1250="","",UPPER(TRIM(Base_Bruta!M1250)))</f>
        <v>RJ</v>
      </c>
      <c r="O1250" s="4" t="str">
        <f aca="false">IF($A1250="","",_xlfn.XLOOKUP(LOWER(TRIM(Base_Bruta!N1250)),DePara_Pais!$A$2:$A$9,DePara_Pais!$B$2:$B$9,"REVISAR"))</f>
        <v>Brasil</v>
      </c>
      <c r="P1250" s="4" t="str">
        <f aca="false">IF($A1250="","",IF(O1250&lt;&gt;"Brasil","Turista Internacional",IF(M1250=F1250,"Local","Turista Nacional")))</f>
        <v>Local</v>
      </c>
      <c r="Q1250" s="7" t="n">
        <f aca="false">IF($A1250="","",DATE(YEAR(B1250),MONTH(B1250),1))</f>
        <v>46023</v>
      </c>
      <c r="R1250" s="4" t="str">
        <f aca="false">IF($A1250="","",IF(COUNTIF($A$2:$A1250,$A1250)&gt;1,"Sim","Não"))</f>
        <v>Não</v>
      </c>
      <c r="S1250" s="4" t="str">
        <f aca="false">IF(A1250="","Descartar - Linha vazia",IF(R1250="Sim","Descartar - Duplicado",IF(OR(H1250&lt;=0,I1250&lt;=0),"Descartar - Qtd/Valor inválido","OK")))</f>
        <v>OK</v>
      </c>
      <c r="T1250" s="4" t="str">
        <f aca="false">Base_Bruta!P1250</f>
        <v>vendas_RJ.xlsx</v>
      </c>
    </row>
    <row r="1251" customFormat="false" ht="15" hidden="false" customHeight="false" outlineLevel="0" collapsed="false">
      <c r="A1251" s="4" t="str">
        <f aca="false">IF(Base_Bruta!A1251="","",Base_Bruta!A1251)</f>
        <v>RJ-000226</v>
      </c>
      <c r="B1251" s="5" t="n">
        <f aca="false">IF($A1251="","",IF(ISNUMBER(Base_Bruta!B1251),Base_Bruta!B1251,IF(MID(Base_Bruta!B1251,5,1)="-",DATE(VALUE(LEFT(Base_Bruta!B1251,4)),VALUE(MID(Base_Bruta!B1251,6,2)),VALUE(RIGHT(Base_Bruta!B1251,2))),DATE(VALUE(RIGHT(Base_Bruta!B1251,4)),VALUE(MID(Base_Bruta!B1251,4,2)),VALUE(LEFT(Base_Bruta!B1251,2))))))</f>
        <v>46034</v>
      </c>
      <c r="C1251" s="5" t="n">
        <f aca="false">IF($A1251="","",IF(ISNUMBER(Base_Bruta!C1251),Base_Bruta!C1251,IF(MID(Base_Bruta!C1251,5,1)="-",DATE(VALUE(LEFT(Base_Bruta!C1251,4)),VALUE(MID(Base_Bruta!C1251,6,2)),VALUE(RIGHT(Base_Bruta!C1251,2))),DATE(VALUE(RIGHT(Base_Bruta!C1251,4)),VALUE(MID(Base_Bruta!C1251,4,2)),VALUE(LEFT(Base_Bruta!C1251,2))))))</f>
        <v>46046</v>
      </c>
      <c r="D1251" s="4" t="str">
        <f aca="false">IF($A1251="","",TRIM(Base_Bruta!D1251))</f>
        <v>Rio Beat Festival 2026</v>
      </c>
      <c r="E1251" s="4" t="str">
        <f aca="false">IF($A1251="","",_xlfn.XLOOKUP(LOWER(TRIM(Base_Bruta!E1251)),DePara_Categoria!$A$2:$A$9,DePara_Categoria!$B$2:$B$9,"REVISAR"))</f>
        <v>Festival</v>
      </c>
      <c r="F1251" s="4" t="str">
        <f aca="false">IF($A1251="","",_xlfn.XLOOKUP(LOWER(TRIM(Base_Bruta!F1251)),DePara_Cidade!$A$2:$A$29,DePara_Cidade!$B$2:$B$29,"REVISAR"))</f>
        <v>Rio de Janeiro</v>
      </c>
      <c r="G1251" s="4" t="str">
        <f aca="false">IF($A1251="","",TRIM(Base_Bruta!G1251))</f>
        <v>VIP</v>
      </c>
      <c r="H1251" s="4" t="n">
        <f aca="false">IF($A1251="","",IF(ISNUMBER(Base_Bruta!H1251),Base_Bruta!H1251,IFERROR(_xlfn.NUMBERVALUE(TRIM(SUBSTITUTE(Base_Bruta!H1251,"R$","")),",","."),0)))</f>
        <v>2</v>
      </c>
      <c r="I1251" s="6" t="n">
        <f aca="false">IF($A1251="","",IF(ISNUMBER(Base_Bruta!I1251),Base_Bruta!I1251,IFERROR(_xlfn.NUMBERVALUE(TRIM(SUBSTITUTE(Base_Bruta!I1251,"R$","")),",","."),0)))</f>
        <v>2020</v>
      </c>
      <c r="J1251" s="6" t="n">
        <f aca="false">IF($A1251="","",H1251*I1251)</f>
        <v>4040</v>
      </c>
      <c r="K1251" s="4" t="str">
        <f aca="false">IF($A1251="","",TRIM(Base_Bruta!J1251))</f>
        <v>App</v>
      </c>
      <c r="L1251" s="4" t="str">
        <f aca="false">IF($A1251="","",TRIM(Base_Bruta!K1251))</f>
        <v>C01328</v>
      </c>
      <c r="M1251" s="4" t="str">
        <f aca="false">IF($A1251="","",_xlfn.XLOOKUP(LOWER(TRIM(Base_Bruta!L1251)),DePara_Cidade!$A$2:$A$29,DePara_Cidade!$B$2:$B$29,"REVISAR"))</f>
        <v>Rio de Janeiro</v>
      </c>
      <c r="N1251" s="4" t="str">
        <f aca="false">IF($A1251="","",UPPER(TRIM(Base_Bruta!M1251)))</f>
        <v>RJ</v>
      </c>
      <c r="O1251" s="4" t="str">
        <f aca="false">IF($A1251="","",_xlfn.XLOOKUP(LOWER(TRIM(Base_Bruta!N1251)),DePara_Pais!$A$2:$A$9,DePara_Pais!$B$2:$B$9,"REVISAR"))</f>
        <v>Brasil</v>
      </c>
      <c r="P1251" s="4" t="str">
        <f aca="false">IF($A1251="","",IF(O1251&lt;&gt;"Brasil","Turista Internacional",IF(M1251=F1251,"Local","Turista Nacional")))</f>
        <v>Local</v>
      </c>
      <c r="Q1251" s="7" t="n">
        <f aca="false">IF($A1251="","",DATE(YEAR(B1251),MONTH(B1251),1))</f>
        <v>46023</v>
      </c>
      <c r="R1251" s="4" t="str">
        <f aca="false">IF($A1251="","",IF(COUNTIF($A$2:$A1251,$A1251)&gt;1,"Sim","Não"))</f>
        <v>Não</v>
      </c>
      <c r="S1251" s="4" t="str">
        <f aca="false">IF(A1251="","Descartar - Linha vazia",IF(R1251="Sim","Descartar - Duplicado",IF(OR(H1251&lt;=0,I1251&lt;=0),"Descartar - Qtd/Valor inválido","OK")))</f>
        <v>OK</v>
      </c>
      <c r="T1251" s="4" t="str">
        <f aca="false">Base_Bruta!P1251</f>
        <v>vendas_RJ.xlsx</v>
      </c>
    </row>
    <row r="1252" customFormat="false" ht="15" hidden="false" customHeight="false" outlineLevel="0" collapsed="false">
      <c r="A1252" s="4" t="str">
        <f aca="false">IF(Base_Bruta!A1252="","",Base_Bruta!A1252)</f>
        <v>RJ-000421</v>
      </c>
      <c r="B1252" s="5" t="n">
        <f aca="false">IF($A1252="","",IF(ISNUMBER(Base_Bruta!B1252),Base_Bruta!B1252,IF(MID(Base_Bruta!B1252,5,1)="-",DATE(VALUE(LEFT(Base_Bruta!B1252,4)),VALUE(MID(Base_Bruta!B1252,6,2)),VALUE(RIGHT(Base_Bruta!B1252,2))),DATE(VALUE(RIGHT(Base_Bruta!B1252,4)),VALUE(MID(Base_Bruta!B1252,4,2)),VALUE(LEFT(Base_Bruta!B1252,2))))))</f>
        <v>46034</v>
      </c>
      <c r="C1252" s="5" t="n">
        <f aca="false">IF($A1252="","",IF(ISNUMBER(Base_Bruta!C1252),Base_Bruta!C1252,IF(MID(Base_Bruta!C1252,5,1)="-",DATE(VALUE(LEFT(Base_Bruta!C1252,4)),VALUE(MID(Base_Bruta!C1252,6,2)),VALUE(RIGHT(Base_Bruta!C1252,2))),DATE(VALUE(RIGHT(Base_Bruta!C1252,4)),VALUE(MID(Base_Bruta!C1252,4,2)),VALUE(LEFT(Base_Bruta!C1252,2))))))</f>
        <v>46151</v>
      </c>
      <c r="D1252" s="4" t="str">
        <f aca="false">IF($A1252="","",TRIM(Base_Bruta!D1252))</f>
        <v>Turnê Internacional Rock - Rio</v>
      </c>
      <c r="E1252" s="4" t="str">
        <f aca="false">IF($A1252="","",_xlfn.XLOOKUP(LOWER(TRIM(Base_Bruta!E1252)),DePara_Categoria!$A$2:$A$9,DePara_Categoria!$B$2:$B$9,"REVISAR"))</f>
        <v>Show</v>
      </c>
      <c r="F1252" s="4" t="str">
        <f aca="false">IF($A1252="","",_xlfn.XLOOKUP(LOWER(TRIM(Base_Bruta!F1252)),DePara_Cidade!$A$2:$A$29,DePara_Cidade!$B$2:$B$29,"REVISAR"))</f>
        <v>Rio de Janeiro</v>
      </c>
      <c r="G1252" s="4" t="str">
        <f aca="false">IF($A1252="","",TRIM(Base_Bruta!G1252))</f>
        <v>Meia</v>
      </c>
      <c r="H1252" s="4" t="n">
        <f aca="false">IF($A1252="","",IF(ISNUMBER(Base_Bruta!H1252),Base_Bruta!H1252,IFERROR(_xlfn.NUMBERVALUE(TRIM(SUBSTITUTE(Base_Bruta!H1252,"R$","")),",","."),0)))</f>
        <v>2</v>
      </c>
      <c r="I1252" s="6" t="n">
        <f aca="false">IF($A1252="","",IF(ISNUMBER(Base_Bruta!I1252),Base_Bruta!I1252,IFERROR(_xlfn.NUMBERVALUE(TRIM(SUBSTITUTE(Base_Bruta!I1252,"R$","")),",","."),0)))</f>
        <v>312.5</v>
      </c>
      <c r="J1252" s="6" t="n">
        <f aca="false">IF($A1252="","",H1252*I1252)</f>
        <v>625</v>
      </c>
      <c r="K1252" s="4" t="str">
        <f aca="false">IF($A1252="","",TRIM(Base_Bruta!J1252))</f>
        <v>Site</v>
      </c>
      <c r="L1252" s="4" t="str">
        <f aca="false">IF($A1252="","",TRIM(Base_Bruta!K1252))</f>
        <v>C02018</v>
      </c>
      <c r="M1252" s="4" t="str">
        <f aca="false">IF($A1252="","",_xlfn.XLOOKUP(LOWER(TRIM(Base_Bruta!L1252)),DePara_Cidade!$A$2:$A$29,DePara_Cidade!$B$2:$B$29,"REVISAR"))</f>
        <v>Lisboa</v>
      </c>
      <c r="N1252" s="4" t="str">
        <f aca="false">IF($A1252="","",UPPER(TRIM(Base_Bruta!M1252)))</f>
        <v>EX</v>
      </c>
      <c r="O1252" s="4" t="str">
        <f aca="false">IF($A1252="","",_xlfn.XLOOKUP(LOWER(TRIM(Base_Bruta!N1252)),DePara_Pais!$A$2:$A$9,DePara_Pais!$B$2:$B$9,"REVISAR"))</f>
        <v>Portugal</v>
      </c>
      <c r="P1252" s="4" t="str">
        <f aca="false">IF($A1252="","",IF(O1252&lt;&gt;"Brasil","Turista Internacional",IF(M1252=F1252,"Local","Turista Nacional")))</f>
        <v>Turista Internacional</v>
      </c>
      <c r="Q1252" s="7" t="n">
        <f aca="false">IF($A1252="","",DATE(YEAR(B1252),MONTH(B1252),1))</f>
        <v>46023</v>
      </c>
      <c r="R1252" s="4" t="str">
        <f aca="false">IF($A1252="","",IF(COUNTIF($A$2:$A1252,$A1252)&gt;1,"Sim","Não"))</f>
        <v>Não</v>
      </c>
      <c r="S1252" s="4" t="str">
        <f aca="false">IF(A1252="","Descartar - Linha vazia",IF(R1252="Sim","Descartar - Duplicado",IF(OR(H1252&lt;=0,I1252&lt;=0),"Descartar - Qtd/Valor inválido","OK")))</f>
        <v>OK</v>
      </c>
      <c r="T1252" s="4" t="str">
        <f aca="false">Base_Bruta!P1252</f>
        <v>vendas_RJ.xlsx</v>
      </c>
    </row>
    <row r="1253" customFormat="false" ht="15" hidden="false" customHeight="false" outlineLevel="0" collapsed="false">
      <c r="A1253" s="4" t="str">
        <f aca="false">IF(Base_Bruta!A1253="","",Base_Bruta!A1253)</f>
        <v>RJ-000433</v>
      </c>
      <c r="B1253" s="5" t="n">
        <f aca="false">IF($A1253="","",IF(ISNUMBER(Base_Bruta!B1253),Base_Bruta!B1253,IF(MID(Base_Bruta!B1253,5,1)="-",DATE(VALUE(LEFT(Base_Bruta!B1253,4)),VALUE(MID(Base_Bruta!B1253,6,2)),VALUE(RIGHT(Base_Bruta!B1253,2))),DATE(VALUE(RIGHT(Base_Bruta!B1253,4)),VALUE(MID(Base_Bruta!B1253,4,2)),VALUE(LEFT(Base_Bruta!B1253,2))))))</f>
        <v>46034</v>
      </c>
      <c r="C1253" s="5" t="n">
        <f aca="false">IF($A1253="","",IF(ISNUMBER(Base_Bruta!C1253),Base_Bruta!C1253,IF(MID(Base_Bruta!C1253,5,1)="-",DATE(VALUE(LEFT(Base_Bruta!C1253,4)),VALUE(MID(Base_Bruta!C1253,6,2)),VALUE(RIGHT(Base_Bruta!C1253,2))),DATE(VALUE(RIGHT(Base_Bruta!C1253,4)),VALUE(MID(Base_Bruta!C1253,4,2)),VALUE(LEFT(Base_Bruta!C1253,2))))))</f>
        <v>46151</v>
      </c>
      <c r="D1253" s="4" t="str">
        <f aca="false">IF($A1253="","",TRIM(Base_Bruta!D1253))</f>
        <v>Turnê Internacional Rock - Rio</v>
      </c>
      <c r="E1253" s="4" t="str">
        <f aca="false">IF($A1253="","",_xlfn.XLOOKUP(LOWER(TRIM(Base_Bruta!E1253)),DePara_Categoria!$A$2:$A$9,DePara_Categoria!$B$2:$B$9,"REVISAR"))</f>
        <v>Show</v>
      </c>
      <c r="F1253" s="4" t="str">
        <f aca="false">IF($A1253="","",_xlfn.XLOOKUP(LOWER(TRIM(Base_Bruta!F1253)),DePara_Cidade!$A$2:$A$29,DePara_Cidade!$B$2:$B$29,"REVISAR"))</f>
        <v>Rio de Janeiro</v>
      </c>
      <c r="G1253" s="4" t="str">
        <f aca="false">IF($A1253="","",TRIM(Base_Bruta!G1253))</f>
        <v>Inteira</v>
      </c>
      <c r="H1253" s="4" t="n">
        <f aca="false">IF($A1253="","",IF(ISNUMBER(Base_Bruta!H1253),Base_Bruta!H1253,IFERROR(_xlfn.NUMBERVALUE(TRIM(SUBSTITUTE(Base_Bruta!H1253,"R$","")),",","."),0)))</f>
        <v>1</v>
      </c>
      <c r="I1253" s="6" t="n">
        <f aca="false">IF($A1253="","",IF(ISNUMBER(Base_Bruta!I1253),Base_Bruta!I1253,IFERROR(_xlfn.NUMBERVALUE(TRIM(SUBSTITUTE(Base_Bruta!I1253,"R$","")),",","."),0)))</f>
        <v>715</v>
      </c>
      <c r="J1253" s="6" t="n">
        <f aca="false">IF($A1253="","",H1253*I1253)</f>
        <v>715</v>
      </c>
      <c r="K1253" s="4" t="str">
        <f aca="false">IF($A1253="","",TRIM(Base_Bruta!J1253))</f>
        <v>Site</v>
      </c>
      <c r="L1253" s="4" t="str">
        <f aca="false">IF($A1253="","",TRIM(Base_Bruta!K1253))</f>
        <v>C01635</v>
      </c>
      <c r="M1253" s="4" t="str">
        <f aca="false">IF($A1253="","",_xlfn.XLOOKUP(LOWER(TRIM(Base_Bruta!L1253)),DePara_Cidade!$A$2:$A$29,DePara_Cidade!$B$2:$B$29,"REVISAR"))</f>
        <v>Rio de Janeiro</v>
      </c>
      <c r="N1253" s="4" t="str">
        <f aca="false">IF($A1253="","",UPPER(TRIM(Base_Bruta!M1253)))</f>
        <v>RJ</v>
      </c>
      <c r="O1253" s="4" t="str">
        <f aca="false">IF($A1253="","",_xlfn.XLOOKUP(LOWER(TRIM(Base_Bruta!N1253)),DePara_Pais!$A$2:$A$9,DePara_Pais!$B$2:$B$9,"REVISAR"))</f>
        <v>Brasil</v>
      </c>
      <c r="P1253" s="4" t="str">
        <f aca="false">IF($A1253="","",IF(O1253&lt;&gt;"Brasil","Turista Internacional",IF(M1253=F1253,"Local","Turista Nacional")))</f>
        <v>Local</v>
      </c>
      <c r="Q1253" s="7" t="n">
        <f aca="false">IF($A1253="","",DATE(YEAR(B1253),MONTH(B1253),1))</f>
        <v>46023</v>
      </c>
      <c r="R1253" s="4" t="str">
        <f aca="false">IF($A1253="","",IF(COUNTIF($A$2:$A1253,$A1253)&gt;1,"Sim","Não"))</f>
        <v>Não</v>
      </c>
      <c r="S1253" s="4" t="str">
        <f aca="false">IF(A1253="","Descartar - Linha vazia",IF(R1253="Sim","Descartar - Duplicado",IF(OR(H1253&lt;=0,I1253&lt;=0),"Descartar - Qtd/Valor inválido","OK")))</f>
        <v>OK</v>
      </c>
      <c r="T1253" s="4" t="str">
        <f aca="false">Base_Bruta!P1253</f>
        <v>vendas_RJ.xlsx</v>
      </c>
    </row>
    <row r="1254" customFormat="false" ht="15" hidden="false" customHeight="false" outlineLevel="0" collapsed="false">
      <c r="A1254" s="4" t="str">
        <f aca="false">IF(Base_Bruta!A1254="","",Base_Bruta!A1254)</f>
        <v>RJ-000398</v>
      </c>
      <c r="B1254" s="5" t="n">
        <f aca="false">IF($A1254="","",IF(ISNUMBER(Base_Bruta!B1254),Base_Bruta!B1254,IF(MID(Base_Bruta!B1254,5,1)="-",DATE(VALUE(LEFT(Base_Bruta!B1254,4)),VALUE(MID(Base_Bruta!B1254,6,2)),VALUE(RIGHT(Base_Bruta!B1254,2))),DATE(VALUE(RIGHT(Base_Bruta!B1254,4)),VALUE(MID(Base_Bruta!B1254,4,2)),VALUE(LEFT(Base_Bruta!B1254,2))))))</f>
        <v>46035</v>
      </c>
      <c r="C1254" s="5" t="n">
        <f aca="false">IF($A1254="","",IF(ISNUMBER(Base_Bruta!C1254),Base_Bruta!C1254,IF(MID(Base_Bruta!C1254,5,1)="-",DATE(VALUE(LEFT(Base_Bruta!C1254,4)),VALUE(MID(Base_Bruta!C1254,6,2)),VALUE(RIGHT(Base_Bruta!C1254,2))),DATE(VALUE(RIGHT(Base_Bruta!C1254,4)),VALUE(MID(Base_Bruta!C1254,4,2)),VALUE(LEFT(Base_Bruta!C1254,2))))))</f>
        <v>46151</v>
      </c>
      <c r="D1254" s="4" t="str">
        <f aca="false">IF($A1254="","",TRIM(Base_Bruta!D1254))</f>
        <v>Turnê Internacional Rock - Rio</v>
      </c>
      <c r="E1254" s="4" t="str">
        <f aca="false">IF($A1254="","",_xlfn.XLOOKUP(LOWER(TRIM(Base_Bruta!E1254)),DePara_Categoria!$A$2:$A$9,DePara_Categoria!$B$2:$B$9,"REVISAR"))</f>
        <v>Show</v>
      </c>
      <c r="F1254" s="4" t="str">
        <f aca="false">IF($A1254="","",_xlfn.XLOOKUP(LOWER(TRIM(Base_Bruta!F1254)),DePara_Cidade!$A$2:$A$29,DePara_Cidade!$B$2:$B$29,"REVISAR"))</f>
        <v>Rio de Janeiro</v>
      </c>
      <c r="G1254" s="4" t="str">
        <f aca="false">IF($A1254="","",TRIM(Base_Bruta!G1254))</f>
        <v>Inteira</v>
      </c>
      <c r="H1254" s="4" t="n">
        <f aca="false">IF($A1254="","",IF(ISNUMBER(Base_Bruta!H1254),Base_Bruta!H1254,IFERROR(_xlfn.NUMBERVALUE(TRIM(SUBSTITUTE(Base_Bruta!H1254,"R$","")),",","."),0)))</f>
        <v>1</v>
      </c>
      <c r="I1254" s="6" t="n">
        <f aca="false">IF($A1254="","",IF(ISNUMBER(Base_Bruta!I1254),Base_Bruta!I1254,IFERROR(_xlfn.NUMBERVALUE(TRIM(SUBSTITUTE(Base_Bruta!I1254,"R$","")),",","."),0)))</f>
        <v>305</v>
      </c>
      <c r="J1254" s="6" t="n">
        <f aca="false">IF($A1254="","",H1254*I1254)</f>
        <v>305</v>
      </c>
      <c r="K1254" s="4" t="str">
        <f aca="false">IF($A1254="","",TRIM(Base_Bruta!J1254))</f>
        <v>Parceiro</v>
      </c>
      <c r="L1254" s="4" t="str">
        <f aca="false">IF($A1254="","",TRIM(Base_Bruta!K1254))</f>
        <v>C00546</v>
      </c>
      <c r="M1254" s="4" t="str">
        <f aca="false">IF($A1254="","",_xlfn.XLOOKUP(LOWER(TRIM(Base_Bruta!L1254)),DePara_Cidade!$A$2:$A$29,DePara_Cidade!$B$2:$B$29,"REVISAR"))</f>
        <v>Rio de Janeiro</v>
      </c>
      <c r="N1254" s="4" t="str">
        <f aca="false">IF($A1254="","",UPPER(TRIM(Base_Bruta!M1254)))</f>
        <v>RJ</v>
      </c>
      <c r="O1254" s="4" t="str">
        <f aca="false">IF($A1254="","",_xlfn.XLOOKUP(LOWER(TRIM(Base_Bruta!N1254)),DePara_Pais!$A$2:$A$9,DePara_Pais!$B$2:$B$9,"REVISAR"))</f>
        <v>Brasil</v>
      </c>
      <c r="P1254" s="4" t="str">
        <f aca="false">IF($A1254="","",IF(O1254&lt;&gt;"Brasil","Turista Internacional",IF(M1254=F1254,"Local","Turista Nacional")))</f>
        <v>Local</v>
      </c>
      <c r="Q1254" s="7" t="n">
        <f aca="false">IF($A1254="","",DATE(YEAR(B1254),MONTH(B1254),1))</f>
        <v>46023</v>
      </c>
      <c r="R1254" s="4" t="str">
        <f aca="false">IF($A1254="","",IF(COUNTIF($A$2:$A1254,$A1254)&gt;1,"Sim","Não"))</f>
        <v>Não</v>
      </c>
      <c r="S1254" s="4" t="str">
        <f aca="false">IF(A1254="","Descartar - Linha vazia",IF(R1254="Sim","Descartar - Duplicado",IF(OR(H1254&lt;=0,I1254&lt;=0),"Descartar - Qtd/Valor inválido","OK")))</f>
        <v>OK</v>
      </c>
      <c r="T1254" s="4" t="str">
        <f aca="false">Base_Bruta!P1254</f>
        <v>vendas_RJ.xlsx</v>
      </c>
    </row>
    <row r="1255" customFormat="false" ht="15" hidden="false" customHeight="false" outlineLevel="0" collapsed="false">
      <c r="A1255" s="4" t="str">
        <f aca="false">IF(Base_Bruta!A1255="","",Base_Bruta!A1255)</f>
        <v>RJ-000404</v>
      </c>
      <c r="B1255" s="5" t="n">
        <f aca="false">IF($A1255="","",IF(ISNUMBER(Base_Bruta!B1255),Base_Bruta!B1255,IF(MID(Base_Bruta!B1255,5,1)="-",DATE(VALUE(LEFT(Base_Bruta!B1255,4)),VALUE(MID(Base_Bruta!B1255,6,2)),VALUE(RIGHT(Base_Bruta!B1255,2))),DATE(VALUE(RIGHT(Base_Bruta!B1255,4)),VALUE(MID(Base_Bruta!B1255,4,2)),VALUE(LEFT(Base_Bruta!B1255,2))))))</f>
        <v>46035</v>
      </c>
      <c r="C1255" s="5" t="n">
        <f aca="false">IF($A1255="","",IF(ISNUMBER(Base_Bruta!C1255),Base_Bruta!C1255,IF(MID(Base_Bruta!C1255,5,1)="-",DATE(VALUE(LEFT(Base_Bruta!C1255,4)),VALUE(MID(Base_Bruta!C1255,6,2)),VALUE(RIGHT(Base_Bruta!C1255,2))),DATE(VALUE(RIGHT(Base_Bruta!C1255,4)),VALUE(MID(Base_Bruta!C1255,4,2)),VALUE(LEFT(Base_Bruta!C1255,2))))))</f>
        <v>46151</v>
      </c>
      <c r="D1255" s="4" t="str">
        <f aca="false">IF($A1255="","",TRIM(Base_Bruta!D1255))</f>
        <v>Turnê Internacional Rock - Rio</v>
      </c>
      <c r="E1255" s="4" t="str">
        <f aca="false">IF($A1255="","",_xlfn.XLOOKUP(LOWER(TRIM(Base_Bruta!E1255)),DePara_Categoria!$A$2:$A$9,DePara_Categoria!$B$2:$B$9,"REVISAR"))</f>
        <v>Show</v>
      </c>
      <c r="F1255" s="4" t="str">
        <f aca="false">IF($A1255="","",_xlfn.XLOOKUP(LOWER(TRIM(Base_Bruta!F1255)),DePara_Cidade!$A$2:$A$29,DePara_Cidade!$B$2:$B$29,"REVISAR"))</f>
        <v>Rio de Janeiro</v>
      </c>
      <c r="G1255" s="4" t="str">
        <f aca="false">IF($A1255="","",TRIM(Base_Bruta!G1255))</f>
        <v>VIP</v>
      </c>
      <c r="H1255" s="4" t="n">
        <f aca="false">IF($A1255="","",IF(ISNUMBER(Base_Bruta!H1255),Base_Bruta!H1255,IFERROR(_xlfn.NUMBERVALUE(TRIM(SUBSTITUTE(Base_Bruta!H1255,"R$","")),",","."),0)))</f>
        <v>4</v>
      </c>
      <c r="I1255" s="6" t="n">
        <f aca="false">IF($A1255="","",IF(ISNUMBER(Base_Bruta!I1255),Base_Bruta!I1255,IFERROR(_xlfn.NUMBERVALUE(TRIM(SUBSTITUTE(Base_Bruta!I1255,"R$","")),",","."),0)))</f>
        <v>690</v>
      </c>
      <c r="J1255" s="6" t="n">
        <f aca="false">IF($A1255="","",H1255*I1255)</f>
        <v>2760</v>
      </c>
      <c r="K1255" s="4" t="str">
        <f aca="false">IF($A1255="","",TRIM(Base_Bruta!J1255))</f>
        <v>Site</v>
      </c>
      <c r="L1255" s="4" t="str">
        <f aca="false">IF($A1255="","",TRIM(Base_Bruta!K1255))</f>
        <v>C00639</v>
      </c>
      <c r="M1255" s="4" t="str">
        <f aca="false">IF($A1255="","",_xlfn.XLOOKUP(LOWER(TRIM(Base_Bruta!L1255)),DePara_Cidade!$A$2:$A$29,DePara_Cidade!$B$2:$B$29,"REVISAR"))</f>
        <v>Florianópolis</v>
      </c>
      <c r="N1255" s="4" t="str">
        <f aca="false">IF($A1255="","",UPPER(TRIM(Base_Bruta!M1255)))</f>
        <v>SC</v>
      </c>
      <c r="O1255" s="4" t="str">
        <f aca="false">IF($A1255="","",_xlfn.XLOOKUP(LOWER(TRIM(Base_Bruta!N1255)),DePara_Pais!$A$2:$A$9,DePara_Pais!$B$2:$B$9,"REVISAR"))</f>
        <v>Brasil</v>
      </c>
      <c r="P1255" s="4" t="str">
        <f aca="false">IF($A1255="","",IF(O1255&lt;&gt;"Brasil","Turista Internacional",IF(M1255=F1255,"Local","Turista Nacional")))</f>
        <v>Turista Nacional</v>
      </c>
      <c r="Q1255" s="7" t="n">
        <f aca="false">IF($A1255="","",DATE(YEAR(B1255),MONTH(B1255),1))</f>
        <v>46023</v>
      </c>
      <c r="R1255" s="4" t="str">
        <f aca="false">IF($A1255="","",IF(COUNTIF($A$2:$A1255,$A1255)&gt;1,"Sim","Não"))</f>
        <v>Não</v>
      </c>
      <c r="S1255" s="4" t="str">
        <f aca="false">IF(A1255="","Descartar - Linha vazia",IF(R1255="Sim","Descartar - Duplicado",IF(OR(H1255&lt;=0,I1255&lt;=0),"Descartar - Qtd/Valor inválido","OK")))</f>
        <v>OK</v>
      </c>
      <c r="T1255" s="4" t="str">
        <f aca="false">Base_Bruta!P1255</f>
        <v>vendas_RJ.xlsx</v>
      </c>
    </row>
    <row r="1256" customFormat="false" ht="15" hidden="false" customHeight="false" outlineLevel="0" collapsed="false">
      <c r="A1256" s="4" t="str">
        <f aca="false">IF(Base_Bruta!A1256="","",Base_Bruta!A1256)</f>
        <v>RJ-000500</v>
      </c>
      <c r="B1256" s="5" t="n">
        <f aca="false">IF($A1256="","",IF(ISNUMBER(Base_Bruta!B1256),Base_Bruta!B1256,IF(MID(Base_Bruta!B1256,5,1)="-",DATE(VALUE(LEFT(Base_Bruta!B1256,4)),VALUE(MID(Base_Bruta!B1256,6,2)),VALUE(RIGHT(Base_Bruta!B1256,2))),DATE(VALUE(RIGHT(Base_Bruta!B1256,4)),VALUE(MID(Base_Bruta!B1256,4,2)),VALUE(LEFT(Base_Bruta!B1256,2))))))</f>
        <v>46035</v>
      </c>
      <c r="C1256" s="5" t="n">
        <f aca="false">IF($A1256="","",IF(ISNUMBER(Base_Bruta!C1256),Base_Bruta!C1256,IF(MID(Base_Bruta!C1256,5,1)="-",DATE(VALUE(LEFT(Base_Bruta!C1256,4)),VALUE(MID(Base_Bruta!C1256,6,2)),VALUE(RIGHT(Base_Bruta!C1256,2))),DATE(VALUE(RIGHT(Base_Bruta!C1256,4)),VALUE(MID(Base_Bruta!C1256,4,2)),VALUE(LEFT(Base_Bruta!C1256,2))))))</f>
        <v>46151</v>
      </c>
      <c r="D1256" s="4" t="str">
        <f aca="false">IF($A1256="","",TRIM(Base_Bruta!D1256))</f>
        <v>Turnê Internacional Rock - Rio</v>
      </c>
      <c r="E1256" s="4" t="str">
        <f aca="false">IF($A1256="","",_xlfn.XLOOKUP(LOWER(TRIM(Base_Bruta!E1256)),DePara_Categoria!$A$2:$A$9,DePara_Categoria!$B$2:$B$9,"REVISAR"))</f>
        <v>Show</v>
      </c>
      <c r="F1256" s="4" t="str">
        <f aca="false">IF($A1256="","",_xlfn.XLOOKUP(LOWER(TRIM(Base_Bruta!F1256)),DePara_Cidade!$A$2:$A$29,DePara_Cidade!$B$2:$B$29,"REVISAR"))</f>
        <v>Rio de Janeiro</v>
      </c>
      <c r="G1256" s="4" t="str">
        <f aca="false">IF($A1256="","",TRIM(Base_Bruta!G1256))</f>
        <v>Inteira</v>
      </c>
      <c r="H1256" s="4" t="n">
        <f aca="false">IF($A1256="","",IF(ISNUMBER(Base_Bruta!H1256),Base_Bruta!H1256,IFERROR(_xlfn.NUMBERVALUE(TRIM(SUBSTITUTE(Base_Bruta!H1256,"R$","")),",","."),0)))</f>
        <v>4</v>
      </c>
      <c r="I1256" s="6" t="n">
        <f aca="false">IF($A1256="","",IF(ISNUMBER(Base_Bruta!I1256),Base_Bruta!I1256,IFERROR(_xlfn.NUMBERVALUE(TRIM(SUBSTITUTE(Base_Bruta!I1256,"R$","")),",","."),0)))</f>
        <v>515</v>
      </c>
      <c r="J1256" s="6" t="n">
        <f aca="false">IF($A1256="","",H1256*I1256)</f>
        <v>2060</v>
      </c>
      <c r="K1256" s="4" t="str">
        <f aca="false">IF($A1256="","",TRIM(Base_Bruta!J1256))</f>
        <v>Parceiro</v>
      </c>
      <c r="L1256" s="4" t="str">
        <f aca="false">IF($A1256="","",TRIM(Base_Bruta!K1256))</f>
        <v>C02153</v>
      </c>
      <c r="M1256" s="4" t="str">
        <f aca="false">IF($A1256="","",_xlfn.XLOOKUP(LOWER(TRIM(Base_Bruta!L1256)),DePara_Cidade!$A$2:$A$29,DePara_Cidade!$B$2:$B$29,"REVISAR"))</f>
        <v>Niterói</v>
      </c>
      <c r="N1256" s="4" t="str">
        <f aca="false">IF($A1256="","",UPPER(TRIM(Base_Bruta!M1256)))</f>
        <v>RJ</v>
      </c>
      <c r="O1256" s="4" t="str">
        <f aca="false">IF($A1256="","",_xlfn.XLOOKUP(LOWER(TRIM(Base_Bruta!N1256)),DePara_Pais!$A$2:$A$9,DePara_Pais!$B$2:$B$9,"REVISAR"))</f>
        <v>Brasil</v>
      </c>
      <c r="P1256" s="4" t="str">
        <f aca="false">IF($A1256="","",IF(O1256&lt;&gt;"Brasil","Turista Internacional",IF(M1256=F1256,"Local","Turista Nacional")))</f>
        <v>Turista Nacional</v>
      </c>
      <c r="Q1256" s="7" t="n">
        <f aca="false">IF($A1256="","",DATE(YEAR(B1256),MONTH(B1256),1))</f>
        <v>46023</v>
      </c>
      <c r="R1256" s="4" t="str">
        <f aca="false">IF($A1256="","",IF(COUNTIF($A$2:$A1256,$A1256)&gt;1,"Sim","Não"))</f>
        <v>Não</v>
      </c>
      <c r="S1256" s="4" t="str">
        <f aca="false">IF(A1256="","Descartar - Linha vazia",IF(R1256="Sim","Descartar - Duplicado",IF(OR(H1256&lt;=0,I1256&lt;=0),"Descartar - Qtd/Valor inválido","OK")))</f>
        <v>OK</v>
      </c>
      <c r="T1256" s="4" t="str">
        <f aca="false">Base_Bruta!P1256</f>
        <v>vendas_RJ.xlsx</v>
      </c>
    </row>
    <row r="1257" customFormat="false" ht="15" hidden="false" customHeight="false" outlineLevel="0" collapsed="false">
      <c r="A1257" s="4" t="str">
        <f aca="false">IF(Base_Bruta!A1257="","",Base_Bruta!A1257)</f>
        <v>RJ-000548</v>
      </c>
      <c r="B1257" s="5" t="n">
        <f aca="false">IF($A1257="","",IF(ISNUMBER(Base_Bruta!B1257),Base_Bruta!B1257,IF(MID(Base_Bruta!B1257,5,1)="-",DATE(VALUE(LEFT(Base_Bruta!B1257,4)),VALUE(MID(Base_Bruta!B1257,6,2)),VALUE(RIGHT(Base_Bruta!B1257,2))),DATE(VALUE(RIGHT(Base_Bruta!B1257,4)),VALUE(MID(Base_Bruta!B1257,4,2)),VALUE(LEFT(Base_Bruta!B1257,2))))))</f>
        <v>46035</v>
      </c>
      <c r="C1257" s="5" t="n">
        <f aca="false">IF($A1257="","",IF(ISNUMBER(Base_Bruta!C1257),Base_Bruta!C1257,IF(MID(Base_Bruta!C1257,5,1)="-",DATE(VALUE(LEFT(Base_Bruta!C1257,4)),VALUE(MID(Base_Bruta!C1257,6,2)),VALUE(RIGHT(Base_Bruta!C1257,2))),DATE(VALUE(RIGHT(Base_Bruta!C1257,4)),VALUE(MID(Base_Bruta!C1257,4,2)),VALUE(LEFT(Base_Bruta!C1257,2))))))</f>
        <v>46038</v>
      </c>
      <c r="D1257" s="4" t="str">
        <f aca="false">IF($A1257="","",TRIM(Base_Bruta!D1257))</f>
        <v>Cinema Barra - Sessões</v>
      </c>
      <c r="E1257" s="4" t="str">
        <f aca="false">IF($A1257="","",_xlfn.XLOOKUP(LOWER(TRIM(Base_Bruta!E1257)),DePara_Categoria!$A$2:$A$9,DePara_Categoria!$B$2:$B$9,"REVISAR"))</f>
        <v>Cinema</v>
      </c>
      <c r="F1257" s="4" t="str">
        <f aca="false">IF($A1257="","",_xlfn.XLOOKUP(LOWER(TRIM(Base_Bruta!F1257)),DePara_Cidade!$A$2:$A$29,DePara_Cidade!$B$2:$B$29,"REVISAR"))</f>
        <v>Rio de Janeiro</v>
      </c>
      <c r="G1257" s="4" t="str">
        <f aca="false">IF($A1257="","",TRIM(Base_Bruta!G1257))</f>
        <v>Inteira</v>
      </c>
      <c r="H1257" s="4" t="n">
        <f aca="false">IF($A1257="","",IF(ISNUMBER(Base_Bruta!H1257),Base_Bruta!H1257,IFERROR(_xlfn.NUMBERVALUE(TRIM(SUBSTITUTE(Base_Bruta!H1257,"R$","")),",","."),0)))</f>
        <v>2</v>
      </c>
      <c r="I1257" s="6" t="n">
        <f aca="false">IF($A1257="","",IF(ISNUMBER(Base_Bruta!I1257),Base_Bruta!I1257,IFERROR(_xlfn.NUMBERVALUE(TRIM(SUBSTITUTE(Base_Bruta!I1257,"R$","")),",","."),0)))</f>
        <v>30</v>
      </c>
      <c r="J1257" s="6" t="n">
        <f aca="false">IF($A1257="","",H1257*I1257)</f>
        <v>60</v>
      </c>
      <c r="K1257" s="4" t="str">
        <f aca="false">IF($A1257="","",TRIM(Base_Bruta!J1257))</f>
        <v>Bilheteria</v>
      </c>
      <c r="L1257" s="4" t="str">
        <f aca="false">IF($A1257="","",TRIM(Base_Bruta!K1257))</f>
        <v>C02459</v>
      </c>
      <c r="M1257" s="4" t="str">
        <f aca="false">IF($A1257="","",_xlfn.XLOOKUP(LOWER(TRIM(Base_Bruta!L1257)),DePara_Cidade!$A$2:$A$29,DePara_Cidade!$B$2:$B$29,"REVISAR"))</f>
        <v>Rio de Janeiro</v>
      </c>
      <c r="N1257" s="4" t="str">
        <f aca="false">IF($A1257="","",UPPER(TRIM(Base_Bruta!M1257)))</f>
        <v>RJ</v>
      </c>
      <c r="O1257" s="4" t="str">
        <f aca="false">IF($A1257="","",_xlfn.XLOOKUP(LOWER(TRIM(Base_Bruta!N1257)),DePara_Pais!$A$2:$A$9,DePara_Pais!$B$2:$B$9,"REVISAR"))</f>
        <v>Brasil</v>
      </c>
      <c r="P1257" s="4" t="str">
        <f aca="false">IF($A1257="","",IF(O1257&lt;&gt;"Brasil","Turista Internacional",IF(M1257=F1257,"Local","Turista Nacional")))</f>
        <v>Local</v>
      </c>
      <c r="Q1257" s="7" t="n">
        <f aca="false">IF($A1257="","",DATE(YEAR(B1257),MONTH(B1257),1))</f>
        <v>46023</v>
      </c>
      <c r="R1257" s="4" t="str">
        <f aca="false">IF($A1257="","",IF(COUNTIF($A$2:$A1257,$A1257)&gt;1,"Sim","Não"))</f>
        <v>Não</v>
      </c>
      <c r="S1257" s="4" t="str">
        <f aca="false">IF(A1257="","Descartar - Linha vazia",IF(R1257="Sim","Descartar - Duplicado",IF(OR(H1257&lt;=0,I1257&lt;=0),"Descartar - Qtd/Valor inválido","OK")))</f>
        <v>OK</v>
      </c>
      <c r="T1257" s="4" t="str">
        <f aca="false">Base_Bruta!P1257</f>
        <v>vendas_RJ.xlsx</v>
      </c>
    </row>
    <row r="1258" customFormat="false" ht="15" hidden="false" customHeight="false" outlineLevel="0" collapsed="false">
      <c r="A1258" s="4" t="str">
        <f aca="false">IF(Base_Bruta!A1258="","",Base_Bruta!A1258)</f>
        <v>RJ-000430</v>
      </c>
      <c r="B1258" s="5" t="n">
        <f aca="false">IF($A1258="","",IF(ISNUMBER(Base_Bruta!B1258),Base_Bruta!B1258,IF(MID(Base_Bruta!B1258,5,1)="-",DATE(VALUE(LEFT(Base_Bruta!B1258,4)),VALUE(MID(Base_Bruta!B1258,6,2)),VALUE(RIGHT(Base_Bruta!B1258,2))),DATE(VALUE(RIGHT(Base_Bruta!B1258,4)),VALUE(MID(Base_Bruta!B1258,4,2)),VALUE(LEFT(Base_Bruta!B1258,2))))))</f>
        <v>46036</v>
      </c>
      <c r="C1258" s="5" t="n">
        <f aca="false">IF($A1258="","",IF(ISNUMBER(Base_Bruta!C1258),Base_Bruta!C1258,IF(MID(Base_Bruta!C1258,5,1)="-",DATE(VALUE(LEFT(Base_Bruta!C1258,4)),VALUE(MID(Base_Bruta!C1258,6,2)),VALUE(RIGHT(Base_Bruta!C1258,2))),DATE(VALUE(RIGHT(Base_Bruta!C1258,4)),VALUE(MID(Base_Bruta!C1258,4,2)),VALUE(LEFT(Base_Bruta!C1258,2))))))</f>
        <v>46151</v>
      </c>
      <c r="D1258" s="4" t="str">
        <f aca="false">IF($A1258="","",TRIM(Base_Bruta!D1258))</f>
        <v>Turnê Internacional Rock - Rio</v>
      </c>
      <c r="E1258" s="4" t="str">
        <f aca="false">IF($A1258="","",_xlfn.XLOOKUP(LOWER(TRIM(Base_Bruta!E1258)),DePara_Categoria!$A$2:$A$9,DePara_Categoria!$B$2:$B$9,"REVISAR"))</f>
        <v>Show</v>
      </c>
      <c r="F1258" s="4" t="str">
        <f aca="false">IF($A1258="","",_xlfn.XLOOKUP(LOWER(TRIM(Base_Bruta!F1258)),DePara_Cidade!$A$2:$A$29,DePara_Cidade!$B$2:$B$29,"REVISAR"))</f>
        <v>Rio de Janeiro</v>
      </c>
      <c r="G1258" s="4" t="str">
        <f aca="false">IF($A1258="","",TRIM(Base_Bruta!G1258))</f>
        <v>Meia</v>
      </c>
      <c r="H1258" s="4" t="n">
        <f aca="false">IF($A1258="","",IF(ISNUMBER(Base_Bruta!H1258),Base_Bruta!H1258,IFERROR(_xlfn.NUMBERVALUE(TRIM(SUBSTITUTE(Base_Bruta!H1258,"R$","")),",","."),0)))</f>
        <v>2</v>
      </c>
      <c r="I1258" s="6" t="n">
        <f aca="false">IF($A1258="","",IF(ISNUMBER(Base_Bruta!I1258),Base_Bruta!I1258,IFERROR(_xlfn.NUMBERVALUE(TRIM(SUBSTITUTE(Base_Bruta!I1258,"R$","")),",","."),0)))</f>
        <v>117.5</v>
      </c>
      <c r="J1258" s="6" t="n">
        <f aca="false">IF($A1258="","",H1258*I1258)</f>
        <v>235</v>
      </c>
      <c r="K1258" s="4" t="str">
        <f aca="false">IF($A1258="","",TRIM(Base_Bruta!J1258))</f>
        <v>Bilheteria</v>
      </c>
      <c r="L1258" s="4" t="str">
        <f aca="false">IF($A1258="","",TRIM(Base_Bruta!K1258))</f>
        <v>C01647</v>
      </c>
      <c r="M1258" s="4" t="str">
        <f aca="false">IF($A1258="","",_xlfn.XLOOKUP(LOWER(TRIM(Base_Bruta!L1258)),DePara_Cidade!$A$2:$A$29,DePara_Cidade!$B$2:$B$29,"REVISAR"))</f>
        <v>Rio de Janeiro</v>
      </c>
      <c r="N1258" s="4" t="str">
        <f aca="false">IF($A1258="","",UPPER(TRIM(Base_Bruta!M1258)))</f>
        <v>RJ</v>
      </c>
      <c r="O1258" s="4" t="str">
        <f aca="false">IF($A1258="","",_xlfn.XLOOKUP(LOWER(TRIM(Base_Bruta!N1258)),DePara_Pais!$A$2:$A$9,DePara_Pais!$B$2:$B$9,"REVISAR"))</f>
        <v>Brasil</v>
      </c>
      <c r="P1258" s="4" t="str">
        <f aca="false">IF($A1258="","",IF(O1258&lt;&gt;"Brasil","Turista Internacional",IF(M1258=F1258,"Local","Turista Nacional")))</f>
        <v>Local</v>
      </c>
      <c r="Q1258" s="7" t="n">
        <f aca="false">IF($A1258="","",DATE(YEAR(B1258),MONTH(B1258),1))</f>
        <v>46023</v>
      </c>
      <c r="R1258" s="4" t="str">
        <f aca="false">IF($A1258="","",IF(COUNTIF($A$2:$A1258,$A1258)&gt;1,"Sim","Não"))</f>
        <v>Não</v>
      </c>
      <c r="S1258" s="4" t="str">
        <f aca="false">IF(A1258="","Descartar - Linha vazia",IF(R1258="Sim","Descartar - Duplicado",IF(OR(H1258&lt;=0,I1258&lt;=0),"Descartar - Qtd/Valor inválido","OK")))</f>
        <v>OK</v>
      </c>
      <c r="T1258" s="4" t="str">
        <f aca="false">Base_Bruta!P1258</f>
        <v>vendas_RJ.xlsx</v>
      </c>
    </row>
    <row r="1259" customFormat="false" ht="15" hidden="false" customHeight="false" outlineLevel="0" collapsed="false">
      <c r="A1259" s="4" t="str">
        <f aca="false">IF(Base_Bruta!A1259="","",Base_Bruta!A1259)</f>
        <v>RJ-000496</v>
      </c>
      <c r="B1259" s="5" t="n">
        <f aca="false">IF($A1259="","",IF(ISNUMBER(Base_Bruta!B1259),Base_Bruta!B1259,IF(MID(Base_Bruta!B1259,5,1)="-",DATE(VALUE(LEFT(Base_Bruta!B1259,4)),VALUE(MID(Base_Bruta!B1259,6,2)),VALUE(RIGHT(Base_Bruta!B1259,2))),DATE(VALUE(RIGHT(Base_Bruta!B1259,4)),VALUE(MID(Base_Bruta!B1259,4,2)),VALUE(LEFT(Base_Bruta!B1259,2))))))</f>
        <v>46036</v>
      </c>
      <c r="C1259" s="5" t="n">
        <f aca="false">IF($A1259="","",IF(ISNUMBER(Base_Bruta!C1259),Base_Bruta!C1259,IF(MID(Base_Bruta!C1259,5,1)="-",DATE(VALUE(LEFT(Base_Bruta!C1259,4)),VALUE(MID(Base_Bruta!C1259,6,2)),VALUE(RIGHT(Base_Bruta!C1259,2))),DATE(VALUE(RIGHT(Base_Bruta!C1259,4)),VALUE(MID(Base_Bruta!C1259,4,2)),VALUE(LEFT(Base_Bruta!C1259,2))))))</f>
        <v>46151</v>
      </c>
      <c r="D1259" s="4" t="str">
        <f aca="false">IF($A1259="","",TRIM(Base_Bruta!D1259))</f>
        <v>Turnê Internacional Rock - Rio</v>
      </c>
      <c r="E1259" s="4" t="str">
        <f aca="false">IF($A1259="","",_xlfn.XLOOKUP(LOWER(TRIM(Base_Bruta!E1259)),DePara_Categoria!$A$2:$A$9,DePara_Categoria!$B$2:$B$9,"REVISAR"))</f>
        <v>Show</v>
      </c>
      <c r="F1259" s="4" t="str">
        <f aca="false">IF($A1259="","",_xlfn.XLOOKUP(LOWER(TRIM(Base_Bruta!F1259)),DePara_Cidade!$A$2:$A$29,DePara_Cidade!$B$2:$B$29,"REVISAR"))</f>
        <v>Rio de Janeiro</v>
      </c>
      <c r="G1259" s="4" t="str">
        <f aca="false">IF($A1259="","",TRIM(Base_Bruta!G1259))</f>
        <v>Meia</v>
      </c>
      <c r="H1259" s="4" t="n">
        <f aca="false">IF($A1259="","",IF(ISNUMBER(Base_Bruta!H1259),Base_Bruta!H1259,IFERROR(_xlfn.NUMBERVALUE(TRIM(SUBSTITUTE(Base_Bruta!H1259,"R$","")),",","."),0)))</f>
        <v>0</v>
      </c>
      <c r="I1259" s="6" t="n">
        <f aca="false">IF($A1259="","",IF(ISNUMBER(Base_Bruta!I1259),Base_Bruta!I1259,IFERROR(_xlfn.NUMBERVALUE(TRIM(SUBSTITUTE(Base_Bruta!I1259,"R$","")),",","."),0)))</f>
        <v>345</v>
      </c>
      <c r="J1259" s="6" t="n">
        <f aca="false">IF($A1259="","",H1259*I1259)</f>
        <v>0</v>
      </c>
      <c r="K1259" s="4" t="str">
        <f aca="false">IF($A1259="","",TRIM(Base_Bruta!J1259))</f>
        <v>Site</v>
      </c>
      <c r="L1259" s="4" t="str">
        <f aca="false">IF($A1259="","",TRIM(Base_Bruta!K1259))</f>
        <v>C00517</v>
      </c>
      <c r="M1259" s="4" t="str">
        <f aca="false">IF($A1259="","",_xlfn.XLOOKUP(LOWER(TRIM(Base_Bruta!L1259)),DePara_Cidade!$A$2:$A$29,DePara_Cidade!$B$2:$B$29,"REVISAR"))</f>
        <v>Miami</v>
      </c>
      <c r="N1259" s="4" t="str">
        <f aca="false">IF($A1259="","",UPPER(TRIM(Base_Bruta!M1259)))</f>
        <v>EX</v>
      </c>
      <c r="O1259" s="4" t="str">
        <f aca="false">IF($A1259="","",_xlfn.XLOOKUP(LOWER(TRIM(Base_Bruta!N1259)),DePara_Pais!$A$2:$A$9,DePara_Pais!$B$2:$B$9,"REVISAR"))</f>
        <v>EUA</v>
      </c>
      <c r="P1259" s="4" t="str">
        <f aca="false">IF($A1259="","",IF(O1259&lt;&gt;"Brasil","Turista Internacional",IF(M1259=F1259,"Local","Turista Nacional")))</f>
        <v>Turista Internacional</v>
      </c>
      <c r="Q1259" s="7" t="n">
        <f aca="false">IF($A1259="","",DATE(YEAR(B1259),MONTH(B1259),1))</f>
        <v>46023</v>
      </c>
      <c r="R1259" s="4" t="str">
        <f aca="false">IF($A1259="","",IF(COUNTIF($A$2:$A1259,$A1259)&gt;1,"Sim","Não"))</f>
        <v>Não</v>
      </c>
      <c r="S1259" s="4" t="str">
        <f aca="false">IF(A1259="","Descartar - Linha vazia",IF(R1259="Sim","Descartar - Duplicado",IF(OR(H1259&lt;=0,I1259&lt;=0),"Descartar - Qtd/Valor inválido","OK")))</f>
        <v>Descartar - Qtd/Valor inválido</v>
      </c>
      <c r="T1259" s="4" t="str">
        <f aca="false">Base_Bruta!P1259</f>
        <v>vendas_RJ.xlsx</v>
      </c>
    </row>
    <row r="1260" customFormat="false" ht="15" hidden="false" customHeight="false" outlineLevel="0" collapsed="false">
      <c r="A1260" s="4" t="str">
        <f aca="false">IF(Base_Bruta!A1260="","",Base_Bruta!A1260)</f>
        <v>RJ-000696</v>
      </c>
      <c r="B1260" s="5" t="n">
        <f aca="false">IF($A1260="","",IF(ISNUMBER(Base_Bruta!B1260),Base_Bruta!B1260,IF(MID(Base_Bruta!B1260,5,1)="-",DATE(VALUE(LEFT(Base_Bruta!B1260,4)),VALUE(MID(Base_Bruta!B1260,6,2)),VALUE(RIGHT(Base_Bruta!B1260,2))),DATE(VALUE(RIGHT(Base_Bruta!B1260,4)),VALUE(MID(Base_Bruta!B1260,4,2)),VALUE(LEFT(Base_Bruta!B1260,2))))))</f>
        <v>46036</v>
      </c>
      <c r="C1260" s="5" t="n">
        <f aca="false">IF($A1260="","",IF(ISNUMBER(Base_Bruta!C1260),Base_Bruta!C1260,IF(MID(Base_Bruta!C1260,5,1)="-",DATE(VALUE(LEFT(Base_Bruta!C1260,4)),VALUE(MID(Base_Bruta!C1260,6,2)),VALUE(RIGHT(Base_Bruta!C1260,2))),DATE(VALUE(RIGHT(Base_Bruta!C1260,4)),VALUE(MID(Base_Bruta!C1260,4,2)),VALUE(LEFT(Base_Bruta!C1260,2))))))</f>
        <v>46036</v>
      </c>
      <c r="D1260" s="4" t="str">
        <f aca="false">IF($A1260="","",TRIM(Base_Bruta!D1260))</f>
        <v>Cinema Barra - Sessões</v>
      </c>
      <c r="E1260" s="4" t="str">
        <f aca="false">IF($A1260="","",_xlfn.XLOOKUP(LOWER(TRIM(Base_Bruta!E1260)),DePara_Categoria!$A$2:$A$9,DePara_Categoria!$B$2:$B$9,"REVISAR"))</f>
        <v>Cinema</v>
      </c>
      <c r="F1260" s="4" t="str">
        <f aca="false">IF($A1260="","",_xlfn.XLOOKUP(LOWER(TRIM(Base_Bruta!F1260)),DePara_Cidade!$A$2:$A$29,DePara_Cidade!$B$2:$B$29,"REVISAR"))</f>
        <v>Rio de Janeiro</v>
      </c>
      <c r="G1260" s="4" t="str">
        <f aca="false">IF($A1260="","",TRIM(Base_Bruta!G1260))</f>
        <v>Meia</v>
      </c>
      <c r="H1260" s="4" t="n">
        <f aca="false">IF($A1260="","",IF(ISNUMBER(Base_Bruta!H1260),Base_Bruta!H1260,IFERROR(_xlfn.NUMBERVALUE(TRIM(SUBSTITUTE(Base_Bruta!H1260,"R$","")),",","."),0)))</f>
        <v>2</v>
      </c>
      <c r="I1260" s="6" t="n">
        <f aca="false">IF($A1260="","",IF(ISNUMBER(Base_Bruta!I1260),Base_Bruta!I1260,IFERROR(_xlfn.NUMBERVALUE(TRIM(SUBSTITUTE(Base_Bruta!I1260,"R$","")),",","."),0)))</f>
        <v>17.5</v>
      </c>
      <c r="J1260" s="6" t="n">
        <f aca="false">IF($A1260="","",H1260*I1260)</f>
        <v>35</v>
      </c>
      <c r="K1260" s="4" t="str">
        <f aca="false">IF($A1260="","",TRIM(Base_Bruta!J1260))</f>
        <v>Site</v>
      </c>
      <c r="L1260" s="4" t="str">
        <f aca="false">IF($A1260="","",TRIM(Base_Bruta!K1260))</f>
        <v>C01907</v>
      </c>
      <c r="M1260" s="4" t="str">
        <f aca="false">IF($A1260="","",_xlfn.XLOOKUP(LOWER(TRIM(Base_Bruta!L1260)),DePara_Cidade!$A$2:$A$29,DePara_Cidade!$B$2:$B$29,"REVISAR"))</f>
        <v>Rio de Janeiro</v>
      </c>
      <c r="N1260" s="4" t="str">
        <f aca="false">IF($A1260="","",UPPER(TRIM(Base_Bruta!M1260)))</f>
        <v>RJ</v>
      </c>
      <c r="O1260" s="4" t="str">
        <f aca="false">IF($A1260="","",_xlfn.XLOOKUP(LOWER(TRIM(Base_Bruta!N1260)),DePara_Pais!$A$2:$A$9,DePara_Pais!$B$2:$B$9,"REVISAR"))</f>
        <v>Brasil</v>
      </c>
      <c r="P1260" s="4" t="str">
        <f aca="false">IF($A1260="","",IF(O1260&lt;&gt;"Brasil","Turista Internacional",IF(M1260=F1260,"Local","Turista Nacional")))</f>
        <v>Local</v>
      </c>
      <c r="Q1260" s="7" t="n">
        <f aca="false">IF($A1260="","",DATE(YEAR(B1260),MONTH(B1260),1))</f>
        <v>46023</v>
      </c>
      <c r="R1260" s="4" t="str">
        <f aca="false">IF($A1260="","",IF(COUNTIF($A$2:$A1260,$A1260)&gt;1,"Sim","Não"))</f>
        <v>Não</v>
      </c>
      <c r="S1260" s="4" t="str">
        <f aca="false">IF(A1260="","Descartar - Linha vazia",IF(R1260="Sim","Descartar - Duplicado",IF(OR(H1260&lt;=0,I1260&lt;=0),"Descartar - Qtd/Valor inválido","OK")))</f>
        <v>OK</v>
      </c>
      <c r="T1260" s="4" t="str">
        <f aca="false">Base_Bruta!P1260</f>
        <v>vendas_RJ.xlsx</v>
      </c>
    </row>
    <row r="1261" customFormat="false" ht="15" hidden="false" customHeight="false" outlineLevel="0" collapsed="false">
      <c r="A1261" s="4" t="str">
        <f aca="false">IF(Base_Bruta!A1261="","",Base_Bruta!A1261)</f>
        <v>RJ-000175</v>
      </c>
      <c r="B1261" s="5" t="n">
        <f aca="false">IF($A1261="","",IF(ISNUMBER(Base_Bruta!B1261),Base_Bruta!B1261,IF(MID(Base_Bruta!B1261,5,1)="-",DATE(VALUE(LEFT(Base_Bruta!B1261,4)),VALUE(MID(Base_Bruta!B1261,6,2)),VALUE(RIGHT(Base_Bruta!B1261,2))),DATE(VALUE(RIGHT(Base_Bruta!B1261,4)),VALUE(MID(Base_Bruta!B1261,4,2)),VALUE(LEFT(Base_Bruta!B1261,2))))))</f>
        <v>46037</v>
      </c>
      <c r="C1261" s="5" t="n">
        <f aca="false">IF($A1261="","",IF(ISNUMBER(Base_Bruta!C1261),Base_Bruta!C1261,IF(MID(Base_Bruta!C1261,5,1)="-",DATE(VALUE(LEFT(Base_Bruta!C1261,4)),VALUE(MID(Base_Bruta!C1261,6,2)),VALUE(RIGHT(Base_Bruta!C1261,2))),DATE(VALUE(RIGHT(Base_Bruta!C1261,4)),VALUE(MID(Base_Bruta!C1261,4,2)),VALUE(LEFT(Base_Bruta!C1261,2))))))</f>
        <v>46046</v>
      </c>
      <c r="D1261" s="4" t="str">
        <f aca="false">IF($A1261="","",TRIM(Base_Bruta!D1261))</f>
        <v>Rio Beat Festival 2026</v>
      </c>
      <c r="E1261" s="4" t="str">
        <f aca="false">IF($A1261="","",_xlfn.XLOOKUP(LOWER(TRIM(Base_Bruta!E1261)),DePara_Categoria!$A$2:$A$9,DePara_Categoria!$B$2:$B$9,"REVISAR"))</f>
        <v>Festival</v>
      </c>
      <c r="F1261" s="4" t="str">
        <f aca="false">IF($A1261="","",_xlfn.XLOOKUP(LOWER(TRIM(Base_Bruta!F1261)),DePara_Cidade!$A$2:$A$29,DePara_Cidade!$B$2:$B$29,"REVISAR"))</f>
        <v>Rio de Janeiro</v>
      </c>
      <c r="G1261" s="4" t="str">
        <f aca="false">IF($A1261="","",TRIM(Base_Bruta!G1261))</f>
        <v>Inteira</v>
      </c>
      <c r="H1261" s="4" t="n">
        <f aca="false">IF($A1261="","",IF(ISNUMBER(Base_Bruta!H1261),Base_Bruta!H1261,IFERROR(_xlfn.NUMBERVALUE(TRIM(SUBSTITUTE(Base_Bruta!H1261,"R$","")),",","."),0)))</f>
        <v>2</v>
      </c>
      <c r="I1261" s="6" t="n">
        <f aca="false">IF($A1261="","",IF(ISNUMBER(Base_Bruta!I1261),Base_Bruta!I1261,IFERROR(_xlfn.NUMBERVALUE(TRIM(SUBSTITUTE(Base_Bruta!I1261,"R$","")),",","."),0)))</f>
        <v>1020</v>
      </c>
      <c r="J1261" s="6" t="n">
        <f aca="false">IF($A1261="","",H1261*I1261)</f>
        <v>2040</v>
      </c>
      <c r="K1261" s="4" t="str">
        <f aca="false">IF($A1261="","",TRIM(Base_Bruta!J1261))</f>
        <v>App</v>
      </c>
      <c r="L1261" s="4" t="str">
        <f aca="false">IF($A1261="","",TRIM(Base_Bruta!K1261))</f>
        <v>C01356</v>
      </c>
      <c r="M1261" s="4" t="str">
        <f aca="false">IF($A1261="","",_xlfn.XLOOKUP(LOWER(TRIM(Base_Bruta!L1261)),DePara_Cidade!$A$2:$A$29,DePara_Cidade!$B$2:$B$29,"REVISAR"))</f>
        <v>Rio de Janeiro</v>
      </c>
      <c r="N1261" s="4" t="str">
        <f aca="false">IF($A1261="","",UPPER(TRIM(Base_Bruta!M1261)))</f>
        <v>RJ</v>
      </c>
      <c r="O1261" s="4" t="str">
        <f aca="false">IF($A1261="","",_xlfn.XLOOKUP(LOWER(TRIM(Base_Bruta!N1261)),DePara_Pais!$A$2:$A$9,DePara_Pais!$B$2:$B$9,"REVISAR"))</f>
        <v>Brasil</v>
      </c>
      <c r="P1261" s="4" t="str">
        <f aca="false">IF($A1261="","",IF(O1261&lt;&gt;"Brasil","Turista Internacional",IF(M1261=F1261,"Local","Turista Nacional")))</f>
        <v>Local</v>
      </c>
      <c r="Q1261" s="7" t="n">
        <f aca="false">IF($A1261="","",DATE(YEAR(B1261),MONTH(B1261),1))</f>
        <v>46023</v>
      </c>
      <c r="R1261" s="4" t="str">
        <f aca="false">IF($A1261="","",IF(COUNTIF($A$2:$A1261,$A1261)&gt;1,"Sim","Não"))</f>
        <v>Não</v>
      </c>
      <c r="S1261" s="4" t="str">
        <f aca="false">IF(A1261="","Descartar - Linha vazia",IF(R1261="Sim","Descartar - Duplicado",IF(OR(H1261&lt;=0,I1261&lt;=0),"Descartar - Qtd/Valor inválido","OK")))</f>
        <v>OK</v>
      </c>
      <c r="T1261" s="4" t="str">
        <f aca="false">Base_Bruta!P1261</f>
        <v>vendas_RJ.xlsx</v>
      </c>
    </row>
    <row r="1262" customFormat="false" ht="15" hidden="false" customHeight="false" outlineLevel="0" collapsed="false">
      <c r="A1262" s="4" t="str">
        <f aca="false">IF(Base_Bruta!A1262="","",Base_Bruta!A1262)</f>
        <v>RJ-000420</v>
      </c>
      <c r="B1262" s="5" t="n">
        <f aca="false">IF($A1262="","",IF(ISNUMBER(Base_Bruta!B1262),Base_Bruta!B1262,IF(MID(Base_Bruta!B1262,5,1)="-",DATE(VALUE(LEFT(Base_Bruta!B1262,4)),VALUE(MID(Base_Bruta!B1262,6,2)),VALUE(RIGHT(Base_Bruta!B1262,2))),DATE(VALUE(RIGHT(Base_Bruta!B1262,4)),VALUE(MID(Base_Bruta!B1262,4,2)),VALUE(LEFT(Base_Bruta!B1262,2))))))</f>
        <v>46037</v>
      </c>
      <c r="C1262" s="5" t="n">
        <f aca="false">IF($A1262="","",IF(ISNUMBER(Base_Bruta!C1262),Base_Bruta!C1262,IF(MID(Base_Bruta!C1262,5,1)="-",DATE(VALUE(LEFT(Base_Bruta!C1262,4)),VALUE(MID(Base_Bruta!C1262,6,2)),VALUE(RIGHT(Base_Bruta!C1262,2))),DATE(VALUE(RIGHT(Base_Bruta!C1262,4)),VALUE(MID(Base_Bruta!C1262,4,2)),VALUE(LEFT(Base_Bruta!C1262,2))))))</f>
        <v>46151</v>
      </c>
      <c r="D1262" s="4" t="str">
        <f aca="false">IF($A1262="","",TRIM(Base_Bruta!D1262))</f>
        <v>Turnê Internacional Rock - Rio</v>
      </c>
      <c r="E1262" s="4" t="str">
        <f aca="false">IF($A1262="","",_xlfn.XLOOKUP(LOWER(TRIM(Base_Bruta!E1262)),DePara_Categoria!$A$2:$A$9,DePara_Categoria!$B$2:$B$9,"REVISAR"))</f>
        <v>Show</v>
      </c>
      <c r="F1262" s="4" t="str">
        <f aca="false">IF($A1262="","",_xlfn.XLOOKUP(LOWER(TRIM(Base_Bruta!F1262)),DePara_Cidade!$A$2:$A$29,DePara_Cidade!$B$2:$B$29,"REVISAR"))</f>
        <v>Rio de Janeiro</v>
      </c>
      <c r="G1262" s="4" t="str">
        <f aca="false">IF($A1262="","",TRIM(Base_Bruta!G1262))</f>
        <v>Meia</v>
      </c>
      <c r="H1262" s="4" t="n">
        <f aca="false">IF($A1262="","",IF(ISNUMBER(Base_Bruta!H1262),Base_Bruta!H1262,IFERROR(_xlfn.NUMBERVALUE(TRIM(SUBSTITUTE(Base_Bruta!H1262,"R$","")),",","."),0)))</f>
        <v>3</v>
      </c>
      <c r="I1262" s="6" t="n">
        <f aca="false">IF($A1262="","",IF(ISNUMBER(Base_Bruta!I1262),Base_Bruta!I1262,IFERROR(_xlfn.NUMBERVALUE(TRIM(SUBSTITUTE(Base_Bruta!I1262,"R$","")),",","."),0)))</f>
        <v>285</v>
      </c>
      <c r="J1262" s="6" t="n">
        <f aca="false">IF($A1262="","",H1262*I1262)</f>
        <v>855</v>
      </c>
      <c r="K1262" s="4" t="str">
        <f aca="false">IF($A1262="","",TRIM(Base_Bruta!J1262))</f>
        <v>Site</v>
      </c>
      <c r="L1262" s="4" t="str">
        <f aca="false">IF($A1262="","",TRIM(Base_Bruta!K1262))</f>
        <v>C01328</v>
      </c>
      <c r="M1262" s="4" t="str">
        <f aca="false">IF($A1262="","",_xlfn.XLOOKUP(LOWER(TRIM(Base_Bruta!L1262)),DePara_Cidade!$A$2:$A$29,DePara_Cidade!$B$2:$B$29,"REVISAR"))</f>
        <v>Rio de Janeiro</v>
      </c>
      <c r="N1262" s="4" t="str">
        <f aca="false">IF($A1262="","",UPPER(TRIM(Base_Bruta!M1262)))</f>
        <v>RJ</v>
      </c>
      <c r="O1262" s="4" t="str">
        <f aca="false">IF($A1262="","",_xlfn.XLOOKUP(LOWER(TRIM(Base_Bruta!N1262)),DePara_Pais!$A$2:$A$9,DePara_Pais!$B$2:$B$9,"REVISAR"))</f>
        <v>Brasil</v>
      </c>
      <c r="P1262" s="4" t="str">
        <f aca="false">IF($A1262="","",IF(O1262&lt;&gt;"Brasil","Turista Internacional",IF(M1262=F1262,"Local","Turista Nacional")))</f>
        <v>Local</v>
      </c>
      <c r="Q1262" s="7" t="n">
        <f aca="false">IF($A1262="","",DATE(YEAR(B1262),MONTH(B1262),1))</f>
        <v>46023</v>
      </c>
      <c r="R1262" s="4" t="str">
        <f aca="false">IF($A1262="","",IF(COUNTIF($A$2:$A1262,$A1262)&gt;1,"Sim","Não"))</f>
        <v>Não</v>
      </c>
      <c r="S1262" s="4" t="str">
        <f aca="false">IF(A1262="","Descartar - Linha vazia",IF(R1262="Sim","Descartar - Duplicado",IF(OR(H1262&lt;=0,I1262&lt;=0),"Descartar - Qtd/Valor inválido","OK")))</f>
        <v>OK</v>
      </c>
      <c r="T1262" s="4" t="str">
        <f aca="false">Base_Bruta!P1262</f>
        <v>vendas_RJ.xlsx</v>
      </c>
    </row>
    <row r="1263" customFormat="false" ht="15" hidden="false" customHeight="false" outlineLevel="0" collapsed="false">
      <c r="A1263" s="4" t="str">
        <f aca="false">IF(Base_Bruta!A1263="","",Base_Bruta!A1263)</f>
        <v>RJ-000514</v>
      </c>
      <c r="B1263" s="5" t="n">
        <f aca="false">IF($A1263="","",IF(ISNUMBER(Base_Bruta!B1263),Base_Bruta!B1263,IF(MID(Base_Bruta!B1263,5,1)="-",DATE(VALUE(LEFT(Base_Bruta!B1263,4)),VALUE(MID(Base_Bruta!B1263,6,2)),VALUE(RIGHT(Base_Bruta!B1263,2))),DATE(VALUE(RIGHT(Base_Bruta!B1263,4)),VALUE(MID(Base_Bruta!B1263,4,2)),VALUE(LEFT(Base_Bruta!B1263,2))))))</f>
        <v>46037</v>
      </c>
      <c r="C1263" s="5" t="n">
        <f aca="false">IF($A1263="","",IF(ISNUMBER(Base_Bruta!C1263),Base_Bruta!C1263,IF(MID(Base_Bruta!C1263,5,1)="-",DATE(VALUE(LEFT(Base_Bruta!C1263,4)),VALUE(MID(Base_Bruta!C1263,6,2)),VALUE(RIGHT(Base_Bruta!C1263,2))),DATE(VALUE(RIGHT(Base_Bruta!C1263,4)),VALUE(MID(Base_Bruta!C1263,4,2)),VALUE(LEFT(Base_Bruta!C1263,2))))))</f>
        <v>46151</v>
      </c>
      <c r="D1263" s="4" t="str">
        <f aca="false">IF($A1263="","",TRIM(Base_Bruta!D1263))</f>
        <v>Turnê Internacional Rock - Rio</v>
      </c>
      <c r="E1263" s="4" t="str">
        <f aca="false">IF($A1263="","",_xlfn.XLOOKUP(LOWER(TRIM(Base_Bruta!E1263)),DePara_Categoria!$A$2:$A$9,DePara_Categoria!$B$2:$B$9,"REVISAR"))</f>
        <v>Show</v>
      </c>
      <c r="F1263" s="4" t="str">
        <f aca="false">IF($A1263="","",_xlfn.XLOOKUP(LOWER(TRIM(Base_Bruta!F1263)),DePara_Cidade!$A$2:$A$29,DePara_Cidade!$B$2:$B$29,"REVISAR"))</f>
        <v>Rio de Janeiro</v>
      </c>
      <c r="G1263" s="4" t="str">
        <f aca="false">IF($A1263="","",TRIM(Base_Bruta!G1263))</f>
        <v>Inteira</v>
      </c>
      <c r="H1263" s="4" t="n">
        <f aca="false">IF($A1263="","",IF(ISNUMBER(Base_Bruta!H1263),Base_Bruta!H1263,IFERROR(_xlfn.NUMBERVALUE(TRIM(SUBSTITUTE(Base_Bruta!H1263,"R$","")),",","."),0)))</f>
        <v>1</v>
      </c>
      <c r="I1263" s="6" t="n">
        <f aca="false">IF($A1263="","",IF(ISNUMBER(Base_Bruta!I1263),Base_Bruta!I1263,IFERROR(_xlfn.NUMBERVALUE(TRIM(SUBSTITUTE(Base_Bruta!I1263,"R$","")),",","."),0)))</f>
        <v>525</v>
      </c>
      <c r="J1263" s="6" t="n">
        <f aca="false">IF($A1263="","",H1263*I1263)</f>
        <v>525</v>
      </c>
      <c r="K1263" s="4" t="str">
        <f aca="false">IF($A1263="","",TRIM(Base_Bruta!J1263))</f>
        <v>App</v>
      </c>
      <c r="L1263" s="4" t="str">
        <f aca="false">IF($A1263="","",TRIM(Base_Bruta!K1263))</f>
        <v>C01196</v>
      </c>
      <c r="M1263" s="4" t="str">
        <f aca="false">IF($A1263="","",_xlfn.XLOOKUP(LOWER(TRIM(Base_Bruta!L1263)),DePara_Cidade!$A$2:$A$29,DePara_Cidade!$B$2:$B$29,"REVISAR"))</f>
        <v>Rio de Janeiro</v>
      </c>
      <c r="N1263" s="4" t="str">
        <f aca="false">IF($A1263="","",UPPER(TRIM(Base_Bruta!M1263)))</f>
        <v>RJ</v>
      </c>
      <c r="O1263" s="4" t="str">
        <f aca="false">IF($A1263="","",_xlfn.XLOOKUP(LOWER(TRIM(Base_Bruta!N1263)),DePara_Pais!$A$2:$A$9,DePara_Pais!$B$2:$B$9,"REVISAR"))</f>
        <v>Brasil</v>
      </c>
      <c r="P1263" s="4" t="str">
        <f aca="false">IF($A1263="","",IF(O1263&lt;&gt;"Brasil","Turista Internacional",IF(M1263=F1263,"Local","Turista Nacional")))</f>
        <v>Local</v>
      </c>
      <c r="Q1263" s="7" t="n">
        <f aca="false">IF($A1263="","",DATE(YEAR(B1263),MONTH(B1263),1))</f>
        <v>46023</v>
      </c>
      <c r="R1263" s="4" t="str">
        <f aca="false">IF($A1263="","",IF(COUNTIF($A$2:$A1263,$A1263)&gt;1,"Sim","Não"))</f>
        <v>Não</v>
      </c>
      <c r="S1263" s="4" t="str">
        <f aca="false">IF(A1263="","Descartar - Linha vazia",IF(R1263="Sim","Descartar - Duplicado",IF(OR(H1263&lt;=0,I1263&lt;=0),"Descartar - Qtd/Valor inválido","OK")))</f>
        <v>OK</v>
      </c>
      <c r="T1263" s="4" t="str">
        <f aca="false">Base_Bruta!P1263</f>
        <v>vendas_RJ.xlsx</v>
      </c>
    </row>
    <row r="1264" customFormat="false" ht="15" hidden="false" customHeight="false" outlineLevel="0" collapsed="false">
      <c r="A1264" s="4" t="str">
        <f aca="false">IF(Base_Bruta!A1264="","",Base_Bruta!A1264)</f>
        <v>RJ-000390</v>
      </c>
      <c r="B1264" s="5" t="n">
        <f aca="false">IF($A1264="","",IF(ISNUMBER(Base_Bruta!B1264),Base_Bruta!B1264,IF(MID(Base_Bruta!B1264,5,1)="-",DATE(VALUE(LEFT(Base_Bruta!B1264,4)),VALUE(MID(Base_Bruta!B1264,6,2)),VALUE(RIGHT(Base_Bruta!B1264,2))),DATE(VALUE(RIGHT(Base_Bruta!B1264,4)),VALUE(MID(Base_Bruta!B1264,4,2)),VALUE(LEFT(Base_Bruta!B1264,2))))))</f>
        <v>46038</v>
      </c>
      <c r="C1264" s="5" t="n">
        <f aca="false">IF($A1264="","",IF(ISNUMBER(Base_Bruta!C1264),Base_Bruta!C1264,IF(MID(Base_Bruta!C1264,5,1)="-",DATE(VALUE(LEFT(Base_Bruta!C1264,4)),VALUE(MID(Base_Bruta!C1264,6,2)),VALUE(RIGHT(Base_Bruta!C1264,2))),DATE(VALUE(RIGHT(Base_Bruta!C1264,4)),VALUE(MID(Base_Bruta!C1264,4,2)),VALUE(LEFT(Base_Bruta!C1264,2))))))</f>
        <v>46151</v>
      </c>
      <c r="D1264" s="4" t="str">
        <f aca="false">IF($A1264="","",TRIM(Base_Bruta!D1264))</f>
        <v>Turnê Internacional Rock - Rio</v>
      </c>
      <c r="E1264" s="4" t="str">
        <f aca="false">IF($A1264="","",_xlfn.XLOOKUP(LOWER(TRIM(Base_Bruta!E1264)),DePara_Categoria!$A$2:$A$9,DePara_Categoria!$B$2:$B$9,"REVISAR"))</f>
        <v>Show</v>
      </c>
      <c r="F1264" s="4" t="str">
        <f aca="false">IF($A1264="","",_xlfn.XLOOKUP(LOWER(TRIM(Base_Bruta!F1264)),DePara_Cidade!$A$2:$A$29,DePara_Cidade!$B$2:$B$29,"REVISAR"))</f>
        <v>Rio de Janeiro</v>
      </c>
      <c r="G1264" s="4" t="str">
        <f aca="false">IF($A1264="","",TRIM(Base_Bruta!G1264))</f>
        <v>Inteira</v>
      </c>
      <c r="H1264" s="4" t="n">
        <f aca="false">IF($A1264="","",IF(ISNUMBER(Base_Bruta!H1264),Base_Bruta!H1264,IFERROR(_xlfn.NUMBERVALUE(TRIM(SUBSTITUTE(Base_Bruta!H1264,"R$","")),",","."),0)))</f>
        <v>1</v>
      </c>
      <c r="I1264" s="6" t="n">
        <f aca="false">IF($A1264="","",IF(ISNUMBER(Base_Bruta!I1264),Base_Bruta!I1264,IFERROR(_xlfn.NUMBERVALUE(TRIM(SUBSTITUTE(Base_Bruta!I1264,"R$","")),",","."),0)))</f>
        <v>315</v>
      </c>
      <c r="J1264" s="6" t="n">
        <f aca="false">IF($A1264="","",H1264*I1264)</f>
        <v>315</v>
      </c>
      <c r="K1264" s="4" t="str">
        <f aca="false">IF($A1264="","",TRIM(Base_Bruta!J1264))</f>
        <v>App</v>
      </c>
      <c r="L1264" s="4" t="str">
        <f aca="false">IF($A1264="","",TRIM(Base_Bruta!K1264))</f>
        <v>C01267</v>
      </c>
      <c r="M1264" s="4" t="str">
        <f aca="false">IF($A1264="","",_xlfn.XLOOKUP(LOWER(TRIM(Base_Bruta!L1264)),DePara_Cidade!$A$2:$A$29,DePara_Cidade!$B$2:$B$29,"REVISAR"))</f>
        <v>Vitória</v>
      </c>
      <c r="N1264" s="4" t="str">
        <f aca="false">IF($A1264="","",UPPER(TRIM(Base_Bruta!M1264)))</f>
        <v>ES</v>
      </c>
      <c r="O1264" s="4" t="str">
        <f aca="false">IF($A1264="","",_xlfn.XLOOKUP(LOWER(TRIM(Base_Bruta!N1264)),DePara_Pais!$A$2:$A$9,DePara_Pais!$B$2:$B$9,"REVISAR"))</f>
        <v>Brasil</v>
      </c>
      <c r="P1264" s="4" t="str">
        <f aca="false">IF($A1264="","",IF(O1264&lt;&gt;"Brasil","Turista Internacional",IF(M1264=F1264,"Local","Turista Nacional")))</f>
        <v>Turista Nacional</v>
      </c>
      <c r="Q1264" s="7" t="n">
        <f aca="false">IF($A1264="","",DATE(YEAR(B1264),MONTH(B1264),1))</f>
        <v>46023</v>
      </c>
      <c r="R1264" s="4" t="str">
        <f aca="false">IF($A1264="","",IF(COUNTIF($A$2:$A1264,$A1264)&gt;1,"Sim","Não"))</f>
        <v>Não</v>
      </c>
      <c r="S1264" s="4" t="str">
        <f aca="false">IF(A1264="","Descartar - Linha vazia",IF(R1264="Sim","Descartar - Duplicado",IF(OR(H1264&lt;=0,I1264&lt;=0),"Descartar - Qtd/Valor inválido","OK")))</f>
        <v>OK</v>
      </c>
      <c r="T1264" s="4" t="str">
        <f aca="false">Base_Bruta!P1264</f>
        <v>vendas_RJ.xlsx</v>
      </c>
    </row>
    <row r="1265" customFormat="false" ht="15" hidden="false" customHeight="false" outlineLevel="0" collapsed="false">
      <c r="A1265" s="4" t="str">
        <f aca="false">IF(Base_Bruta!A1265="","",Base_Bruta!A1265)</f>
        <v>RJ-000510</v>
      </c>
      <c r="B1265" s="5" t="n">
        <f aca="false">IF($A1265="","",IF(ISNUMBER(Base_Bruta!B1265),Base_Bruta!B1265,IF(MID(Base_Bruta!B1265,5,1)="-",DATE(VALUE(LEFT(Base_Bruta!B1265,4)),VALUE(MID(Base_Bruta!B1265,6,2)),VALUE(RIGHT(Base_Bruta!B1265,2))),DATE(VALUE(RIGHT(Base_Bruta!B1265,4)),VALUE(MID(Base_Bruta!B1265,4,2)),VALUE(LEFT(Base_Bruta!B1265,2))))))</f>
        <v>46038</v>
      </c>
      <c r="C1265" s="5" t="n">
        <f aca="false">IF($A1265="","",IF(ISNUMBER(Base_Bruta!C1265),Base_Bruta!C1265,IF(MID(Base_Bruta!C1265,5,1)="-",DATE(VALUE(LEFT(Base_Bruta!C1265,4)),VALUE(MID(Base_Bruta!C1265,6,2)),VALUE(RIGHT(Base_Bruta!C1265,2))),DATE(VALUE(RIGHT(Base_Bruta!C1265,4)),VALUE(MID(Base_Bruta!C1265,4,2)),VALUE(LEFT(Base_Bruta!C1265,2))))))</f>
        <v>46151</v>
      </c>
      <c r="D1265" s="4" t="str">
        <f aca="false">IF($A1265="","",TRIM(Base_Bruta!D1265))</f>
        <v>Turnê Internacional Rock - Rio</v>
      </c>
      <c r="E1265" s="4" t="str">
        <f aca="false">IF($A1265="","",_xlfn.XLOOKUP(LOWER(TRIM(Base_Bruta!E1265)),DePara_Categoria!$A$2:$A$9,DePara_Categoria!$B$2:$B$9,"REVISAR"))</f>
        <v>Show</v>
      </c>
      <c r="F1265" s="4" t="str">
        <f aca="false">IF($A1265="","",_xlfn.XLOOKUP(LOWER(TRIM(Base_Bruta!F1265)),DePara_Cidade!$A$2:$A$29,DePara_Cidade!$B$2:$B$29,"REVISAR"))</f>
        <v>Rio de Janeiro</v>
      </c>
      <c r="G1265" s="4" t="str">
        <f aca="false">IF($A1265="","",TRIM(Base_Bruta!G1265))</f>
        <v>Inteira</v>
      </c>
      <c r="H1265" s="4" t="n">
        <f aca="false">IF($A1265="","",IF(ISNUMBER(Base_Bruta!H1265),Base_Bruta!H1265,IFERROR(_xlfn.NUMBERVALUE(TRIM(SUBSTITUTE(Base_Bruta!H1265,"R$","")),",","."),0)))</f>
        <v>2</v>
      </c>
      <c r="I1265" s="6" t="n">
        <f aca="false">IF($A1265="","",IF(ISNUMBER(Base_Bruta!I1265),Base_Bruta!I1265,IFERROR(_xlfn.NUMBERVALUE(TRIM(SUBSTITUTE(Base_Bruta!I1265,"R$","")),",","."),0)))</f>
        <v>315</v>
      </c>
      <c r="J1265" s="6" t="n">
        <f aca="false">IF($A1265="","",H1265*I1265)</f>
        <v>630</v>
      </c>
      <c r="K1265" s="4" t="str">
        <f aca="false">IF($A1265="","",TRIM(Base_Bruta!J1265))</f>
        <v>App</v>
      </c>
      <c r="L1265" s="4" t="str">
        <f aca="false">IF($A1265="","",TRIM(Base_Bruta!K1265))</f>
        <v>C00813</v>
      </c>
      <c r="M1265" s="4" t="str">
        <f aca="false">IF($A1265="","",_xlfn.XLOOKUP(LOWER(TRIM(Base_Bruta!L1265)),DePara_Cidade!$A$2:$A$29,DePara_Cidade!$B$2:$B$29,"REVISAR"))</f>
        <v>Curitiba</v>
      </c>
      <c r="N1265" s="4" t="str">
        <f aca="false">IF($A1265="","",UPPER(TRIM(Base_Bruta!M1265)))</f>
        <v>PR</v>
      </c>
      <c r="O1265" s="4" t="str">
        <f aca="false">IF($A1265="","",_xlfn.XLOOKUP(LOWER(TRIM(Base_Bruta!N1265)),DePara_Pais!$A$2:$A$9,DePara_Pais!$B$2:$B$9,"REVISAR"))</f>
        <v>Brasil</v>
      </c>
      <c r="P1265" s="4" t="str">
        <f aca="false">IF($A1265="","",IF(O1265&lt;&gt;"Brasil","Turista Internacional",IF(M1265=F1265,"Local","Turista Nacional")))</f>
        <v>Turista Nacional</v>
      </c>
      <c r="Q1265" s="7" t="n">
        <f aca="false">IF($A1265="","",DATE(YEAR(B1265),MONTH(B1265),1))</f>
        <v>46023</v>
      </c>
      <c r="R1265" s="4" t="str">
        <f aca="false">IF($A1265="","",IF(COUNTIF($A$2:$A1265,$A1265)&gt;1,"Sim","Não"))</f>
        <v>Não</v>
      </c>
      <c r="S1265" s="4" t="str">
        <f aca="false">IF(A1265="","Descartar - Linha vazia",IF(R1265="Sim","Descartar - Duplicado",IF(OR(H1265&lt;=0,I1265&lt;=0),"Descartar - Qtd/Valor inválido","OK")))</f>
        <v>OK</v>
      </c>
      <c r="T1265" s="4" t="str">
        <f aca="false">Base_Bruta!P1265</f>
        <v>vendas_RJ.xlsx</v>
      </c>
    </row>
    <row r="1266" customFormat="false" ht="15" hidden="false" customHeight="false" outlineLevel="0" collapsed="false">
      <c r="A1266" s="4" t="str">
        <f aca="false">IF(Base_Bruta!A1266="","",Base_Bruta!A1266)</f>
        <v>RJ-000028</v>
      </c>
      <c r="B1266" s="5" t="n">
        <f aca="false">IF($A1266="","",IF(ISNUMBER(Base_Bruta!B1266),Base_Bruta!B1266,IF(MID(Base_Bruta!B1266,5,1)="-",DATE(VALUE(LEFT(Base_Bruta!B1266,4)),VALUE(MID(Base_Bruta!B1266,6,2)),VALUE(RIGHT(Base_Bruta!B1266,2))),DATE(VALUE(RIGHT(Base_Bruta!B1266,4)),VALUE(MID(Base_Bruta!B1266,4,2)),VALUE(LEFT(Base_Bruta!B1266,2))))))</f>
        <v>46039</v>
      </c>
      <c r="C1266" s="5" t="n">
        <f aca="false">IF($A1266="","",IF(ISNUMBER(Base_Bruta!C1266),Base_Bruta!C1266,IF(MID(Base_Bruta!C1266,5,1)="-",DATE(VALUE(LEFT(Base_Bruta!C1266,4)),VALUE(MID(Base_Bruta!C1266,6,2)),VALUE(RIGHT(Base_Bruta!C1266,2))),DATE(VALUE(RIGHT(Base_Bruta!C1266,4)),VALUE(MID(Base_Bruta!C1266,4,2)),VALUE(LEFT(Base_Bruta!C1266,2))))))</f>
        <v>46046</v>
      </c>
      <c r="D1266" s="4" t="str">
        <f aca="false">IF($A1266="","",TRIM(Base_Bruta!D1266))</f>
        <v>Rio Beat Festival 2026</v>
      </c>
      <c r="E1266" s="4" t="str">
        <f aca="false">IF($A1266="","",_xlfn.XLOOKUP(LOWER(TRIM(Base_Bruta!E1266)),DePara_Categoria!$A$2:$A$9,DePara_Categoria!$B$2:$B$9,"REVISAR"))</f>
        <v>Festival</v>
      </c>
      <c r="F1266" s="4" t="str">
        <f aca="false">IF($A1266="","",_xlfn.XLOOKUP(LOWER(TRIM(Base_Bruta!F1266)),DePara_Cidade!$A$2:$A$29,DePara_Cidade!$B$2:$B$29,"REVISAR"))</f>
        <v>Rio de Janeiro</v>
      </c>
      <c r="G1266" s="4" t="str">
        <f aca="false">IF($A1266="","",TRIM(Base_Bruta!G1266))</f>
        <v>Inteira</v>
      </c>
      <c r="H1266" s="4" t="n">
        <f aca="false">IF($A1266="","",IF(ISNUMBER(Base_Bruta!H1266),Base_Bruta!H1266,IFERROR(_xlfn.NUMBERVALUE(TRIM(SUBSTITUTE(Base_Bruta!H1266,"R$","")),",","."),0)))</f>
        <v>4</v>
      </c>
      <c r="I1266" s="6" t="n">
        <f aca="false">IF($A1266="","",IF(ISNUMBER(Base_Bruta!I1266),Base_Bruta!I1266,IFERROR(_xlfn.NUMBERVALUE(TRIM(SUBSTITUTE(Base_Bruta!I1266,"R$","")),",","."),0)))</f>
        <v>820</v>
      </c>
      <c r="J1266" s="6" t="n">
        <f aca="false">IF($A1266="","",H1266*I1266)</f>
        <v>3280</v>
      </c>
      <c r="K1266" s="4" t="str">
        <f aca="false">IF($A1266="","",TRIM(Base_Bruta!J1266))</f>
        <v>Bilheteria</v>
      </c>
      <c r="L1266" s="4" t="str">
        <f aca="false">IF($A1266="","",TRIM(Base_Bruta!K1266))</f>
        <v>C00061</v>
      </c>
      <c r="M1266" s="4" t="str">
        <f aca="false">IF($A1266="","",_xlfn.XLOOKUP(LOWER(TRIM(Base_Bruta!L1266)),DePara_Cidade!$A$2:$A$29,DePara_Cidade!$B$2:$B$29,"REVISAR"))</f>
        <v>Florianópolis</v>
      </c>
      <c r="N1266" s="4" t="str">
        <f aca="false">IF($A1266="","",UPPER(TRIM(Base_Bruta!M1266)))</f>
        <v>SC</v>
      </c>
      <c r="O1266" s="4" t="str">
        <f aca="false">IF($A1266="","",_xlfn.XLOOKUP(LOWER(TRIM(Base_Bruta!N1266)),DePara_Pais!$A$2:$A$9,DePara_Pais!$B$2:$B$9,"REVISAR"))</f>
        <v>Brasil</v>
      </c>
      <c r="P1266" s="4" t="str">
        <f aca="false">IF($A1266="","",IF(O1266&lt;&gt;"Brasil","Turista Internacional",IF(M1266=F1266,"Local","Turista Nacional")))</f>
        <v>Turista Nacional</v>
      </c>
      <c r="Q1266" s="7" t="n">
        <f aca="false">IF($A1266="","",DATE(YEAR(B1266),MONTH(B1266),1))</f>
        <v>46023</v>
      </c>
      <c r="R1266" s="4" t="str">
        <f aca="false">IF($A1266="","",IF(COUNTIF($A$2:$A1266,$A1266)&gt;1,"Sim","Não"))</f>
        <v>Não</v>
      </c>
      <c r="S1266" s="4" t="str">
        <f aca="false">IF(A1266="","Descartar - Linha vazia",IF(R1266="Sim","Descartar - Duplicado",IF(OR(H1266&lt;=0,I1266&lt;=0),"Descartar - Qtd/Valor inválido","OK")))</f>
        <v>OK</v>
      </c>
      <c r="T1266" s="4" t="str">
        <f aca="false">Base_Bruta!P1266</f>
        <v>vendas_RJ.xlsx</v>
      </c>
    </row>
    <row r="1267" customFormat="false" ht="15" hidden="false" customHeight="false" outlineLevel="0" collapsed="false">
      <c r="A1267" s="4" t="str">
        <f aca="false">IF(Base_Bruta!A1267="","",Base_Bruta!A1267)</f>
        <v>RJ-000086</v>
      </c>
      <c r="B1267" s="5" t="n">
        <f aca="false">IF($A1267="","",IF(ISNUMBER(Base_Bruta!B1267),Base_Bruta!B1267,IF(MID(Base_Bruta!B1267,5,1)="-",DATE(VALUE(LEFT(Base_Bruta!B1267,4)),VALUE(MID(Base_Bruta!B1267,6,2)),VALUE(RIGHT(Base_Bruta!B1267,2))),DATE(VALUE(RIGHT(Base_Bruta!B1267,4)),VALUE(MID(Base_Bruta!B1267,4,2)),VALUE(LEFT(Base_Bruta!B1267,2))))))</f>
        <v>46039</v>
      </c>
      <c r="C1267" s="5" t="n">
        <f aca="false">IF($A1267="","",IF(ISNUMBER(Base_Bruta!C1267),Base_Bruta!C1267,IF(MID(Base_Bruta!C1267,5,1)="-",DATE(VALUE(LEFT(Base_Bruta!C1267,4)),VALUE(MID(Base_Bruta!C1267,6,2)),VALUE(RIGHT(Base_Bruta!C1267,2))),DATE(VALUE(RIGHT(Base_Bruta!C1267,4)),VALUE(MID(Base_Bruta!C1267,4,2)),VALUE(LEFT(Base_Bruta!C1267,2))))))</f>
        <v>46046</v>
      </c>
      <c r="D1267" s="4" t="str">
        <f aca="false">IF($A1267="","",TRIM(Base_Bruta!D1267))</f>
        <v>Rio Beat Festival 2026</v>
      </c>
      <c r="E1267" s="4" t="str">
        <f aca="false">IF($A1267="","",_xlfn.XLOOKUP(LOWER(TRIM(Base_Bruta!E1267)),DePara_Categoria!$A$2:$A$9,DePara_Categoria!$B$2:$B$9,"REVISAR"))</f>
        <v>Festival</v>
      </c>
      <c r="F1267" s="4" t="str">
        <f aca="false">IF($A1267="","",_xlfn.XLOOKUP(LOWER(TRIM(Base_Bruta!F1267)),DePara_Cidade!$A$2:$A$29,DePara_Cidade!$B$2:$B$29,"REVISAR"))</f>
        <v>Rio de Janeiro</v>
      </c>
      <c r="G1267" s="4" t="str">
        <f aca="false">IF($A1267="","",TRIM(Base_Bruta!G1267))</f>
        <v>Meia</v>
      </c>
      <c r="H1267" s="4" t="n">
        <f aca="false">IF($A1267="","",IF(ISNUMBER(Base_Bruta!H1267),Base_Bruta!H1267,IFERROR(_xlfn.NUMBERVALUE(TRIM(SUBSTITUTE(Base_Bruta!H1267,"R$","")),",","."),0)))</f>
        <v>1</v>
      </c>
      <c r="I1267" s="6" t="n">
        <f aca="false">IF($A1267="","",IF(ISNUMBER(Base_Bruta!I1267),Base_Bruta!I1267,IFERROR(_xlfn.NUMBERVALUE(TRIM(SUBSTITUTE(Base_Bruta!I1267,"R$","")),",","."),0)))</f>
        <v>497.5</v>
      </c>
      <c r="J1267" s="6" t="n">
        <f aca="false">IF($A1267="","",H1267*I1267)</f>
        <v>497.5</v>
      </c>
      <c r="K1267" s="4" t="str">
        <f aca="false">IF($A1267="","",TRIM(Base_Bruta!J1267))</f>
        <v>Site</v>
      </c>
      <c r="L1267" s="4" t="str">
        <f aca="false">IF($A1267="","",TRIM(Base_Bruta!K1267))</f>
        <v>C00948</v>
      </c>
      <c r="M1267" s="4" t="str">
        <f aca="false">IF($A1267="","",_xlfn.XLOOKUP(LOWER(TRIM(Base_Bruta!L1267)),DePara_Cidade!$A$2:$A$29,DePara_Cidade!$B$2:$B$29,"REVISAR"))</f>
        <v>Rio de Janeiro</v>
      </c>
      <c r="N1267" s="4" t="str">
        <f aca="false">IF($A1267="","",UPPER(TRIM(Base_Bruta!M1267)))</f>
        <v>RJ</v>
      </c>
      <c r="O1267" s="4" t="str">
        <f aca="false">IF($A1267="","",_xlfn.XLOOKUP(LOWER(TRIM(Base_Bruta!N1267)),DePara_Pais!$A$2:$A$9,DePara_Pais!$B$2:$B$9,"REVISAR"))</f>
        <v>Brasil</v>
      </c>
      <c r="P1267" s="4" t="str">
        <f aca="false">IF($A1267="","",IF(O1267&lt;&gt;"Brasil","Turista Internacional",IF(M1267=F1267,"Local","Turista Nacional")))</f>
        <v>Local</v>
      </c>
      <c r="Q1267" s="7" t="n">
        <f aca="false">IF($A1267="","",DATE(YEAR(B1267),MONTH(B1267),1))</f>
        <v>46023</v>
      </c>
      <c r="R1267" s="4" t="str">
        <f aca="false">IF($A1267="","",IF(COUNTIF($A$2:$A1267,$A1267)&gt;1,"Sim","Não"))</f>
        <v>Não</v>
      </c>
      <c r="S1267" s="4" t="str">
        <f aca="false">IF(A1267="","Descartar - Linha vazia",IF(R1267="Sim","Descartar - Duplicado",IF(OR(H1267&lt;=0,I1267&lt;=0),"Descartar - Qtd/Valor inválido","OK")))</f>
        <v>OK</v>
      </c>
      <c r="T1267" s="4" t="str">
        <f aca="false">Base_Bruta!P1267</f>
        <v>vendas_RJ.xlsx</v>
      </c>
    </row>
    <row r="1268" customFormat="false" ht="15" hidden="false" customHeight="false" outlineLevel="0" collapsed="false">
      <c r="A1268" s="4" t="str">
        <f aca="false">IF(Base_Bruta!A1268="","",Base_Bruta!A1268)</f>
        <v>RJ-000087</v>
      </c>
      <c r="B1268" s="5" t="n">
        <f aca="false">IF($A1268="","",IF(ISNUMBER(Base_Bruta!B1268),Base_Bruta!B1268,IF(MID(Base_Bruta!B1268,5,1)="-",DATE(VALUE(LEFT(Base_Bruta!B1268,4)),VALUE(MID(Base_Bruta!B1268,6,2)),VALUE(RIGHT(Base_Bruta!B1268,2))),DATE(VALUE(RIGHT(Base_Bruta!B1268,4)),VALUE(MID(Base_Bruta!B1268,4,2)),VALUE(LEFT(Base_Bruta!B1268,2))))))</f>
        <v>46039</v>
      </c>
      <c r="C1268" s="5" t="n">
        <f aca="false">IF($A1268="","",IF(ISNUMBER(Base_Bruta!C1268),Base_Bruta!C1268,IF(MID(Base_Bruta!C1268,5,1)="-",DATE(VALUE(LEFT(Base_Bruta!C1268,4)),VALUE(MID(Base_Bruta!C1268,6,2)),VALUE(RIGHT(Base_Bruta!C1268,2))),DATE(VALUE(RIGHT(Base_Bruta!C1268,4)),VALUE(MID(Base_Bruta!C1268,4,2)),VALUE(LEFT(Base_Bruta!C1268,2))))))</f>
        <v>46046</v>
      </c>
      <c r="D1268" s="4" t="str">
        <f aca="false">IF($A1268="","",TRIM(Base_Bruta!D1268))</f>
        <v>Rio Beat Festival 2026</v>
      </c>
      <c r="E1268" s="4" t="str">
        <f aca="false">IF($A1268="","",_xlfn.XLOOKUP(LOWER(TRIM(Base_Bruta!E1268)),DePara_Categoria!$A$2:$A$9,DePara_Categoria!$B$2:$B$9,"REVISAR"))</f>
        <v>Festival</v>
      </c>
      <c r="F1268" s="4" t="str">
        <f aca="false">IF($A1268="","",_xlfn.XLOOKUP(LOWER(TRIM(Base_Bruta!F1268)),DePara_Cidade!$A$2:$A$29,DePara_Cidade!$B$2:$B$29,"REVISAR"))</f>
        <v>Rio de Janeiro</v>
      </c>
      <c r="G1268" s="4" t="str">
        <f aca="false">IF($A1268="","",TRIM(Base_Bruta!G1268))</f>
        <v>Inteira</v>
      </c>
      <c r="H1268" s="4" t="n">
        <f aca="false">IF($A1268="","",IF(ISNUMBER(Base_Bruta!H1268),Base_Bruta!H1268,IFERROR(_xlfn.NUMBERVALUE(TRIM(SUBSTITUTE(Base_Bruta!H1268,"R$","")),",","."),0)))</f>
        <v>1</v>
      </c>
      <c r="I1268" s="6" t="n">
        <f aca="false">IF($A1268="","",IF(ISNUMBER(Base_Bruta!I1268),Base_Bruta!I1268,IFERROR(_xlfn.NUMBERVALUE(TRIM(SUBSTITUTE(Base_Bruta!I1268,"R$","")),",","."),0)))</f>
        <v>940</v>
      </c>
      <c r="J1268" s="6" t="n">
        <f aca="false">IF($A1268="","",H1268*I1268)</f>
        <v>940</v>
      </c>
      <c r="K1268" s="4" t="str">
        <f aca="false">IF($A1268="","",TRIM(Base_Bruta!J1268))</f>
        <v>Site</v>
      </c>
      <c r="L1268" s="4" t="str">
        <f aca="false">IF($A1268="","",TRIM(Base_Bruta!K1268))</f>
        <v>C00224</v>
      </c>
      <c r="M1268" s="4" t="str">
        <f aca="false">IF($A1268="","",_xlfn.XLOOKUP(LOWER(TRIM(Base_Bruta!L1268)),DePara_Cidade!$A$2:$A$29,DePara_Cidade!$B$2:$B$29,"REVISAR"))</f>
        <v>Niterói</v>
      </c>
      <c r="N1268" s="4" t="str">
        <f aca="false">IF($A1268="","",UPPER(TRIM(Base_Bruta!M1268)))</f>
        <v>RJ</v>
      </c>
      <c r="O1268" s="4" t="str">
        <f aca="false">IF($A1268="","",_xlfn.XLOOKUP(LOWER(TRIM(Base_Bruta!N1268)),DePara_Pais!$A$2:$A$9,DePara_Pais!$B$2:$B$9,"REVISAR"))</f>
        <v>Brasil</v>
      </c>
      <c r="P1268" s="4" t="str">
        <f aca="false">IF($A1268="","",IF(O1268&lt;&gt;"Brasil","Turista Internacional",IF(M1268=F1268,"Local","Turista Nacional")))</f>
        <v>Turista Nacional</v>
      </c>
      <c r="Q1268" s="7" t="n">
        <f aca="false">IF($A1268="","",DATE(YEAR(B1268),MONTH(B1268),1))</f>
        <v>46023</v>
      </c>
      <c r="R1268" s="4" t="str">
        <f aca="false">IF($A1268="","",IF(COUNTIF($A$2:$A1268,$A1268)&gt;1,"Sim","Não"))</f>
        <v>Não</v>
      </c>
      <c r="S1268" s="4" t="str">
        <f aca="false">IF(A1268="","Descartar - Linha vazia",IF(R1268="Sim","Descartar - Duplicado",IF(OR(H1268&lt;=0,I1268&lt;=0),"Descartar - Qtd/Valor inválido","OK")))</f>
        <v>OK</v>
      </c>
      <c r="T1268" s="4" t="str">
        <f aca="false">Base_Bruta!P1268</f>
        <v>vendas_RJ.xlsx</v>
      </c>
    </row>
    <row r="1269" customFormat="false" ht="15" hidden="false" customHeight="false" outlineLevel="0" collapsed="false">
      <c r="A1269" s="4" t="str">
        <f aca="false">IF(Base_Bruta!A1269="","",Base_Bruta!A1269)</f>
        <v>RJ-000098</v>
      </c>
      <c r="B1269" s="5" t="n">
        <f aca="false">IF($A1269="","",IF(ISNUMBER(Base_Bruta!B1269),Base_Bruta!B1269,IF(MID(Base_Bruta!B1269,5,1)="-",DATE(VALUE(LEFT(Base_Bruta!B1269,4)),VALUE(MID(Base_Bruta!B1269,6,2)),VALUE(RIGHT(Base_Bruta!B1269,2))),DATE(VALUE(RIGHT(Base_Bruta!B1269,4)),VALUE(MID(Base_Bruta!B1269,4,2)),VALUE(LEFT(Base_Bruta!B1269,2))))))</f>
        <v>46039</v>
      </c>
      <c r="C1269" s="5" t="n">
        <f aca="false">IF($A1269="","",IF(ISNUMBER(Base_Bruta!C1269),Base_Bruta!C1269,IF(MID(Base_Bruta!C1269,5,1)="-",DATE(VALUE(LEFT(Base_Bruta!C1269,4)),VALUE(MID(Base_Bruta!C1269,6,2)),VALUE(RIGHT(Base_Bruta!C1269,2))),DATE(VALUE(RIGHT(Base_Bruta!C1269,4)),VALUE(MID(Base_Bruta!C1269,4,2)),VALUE(LEFT(Base_Bruta!C1269,2))))))</f>
        <v>46046</v>
      </c>
      <c r="D1269" s="4" t="str">
        <f aca="false">IF($A1269="","",TRIM(Base_Bruta!D1269))</f>
        <v>Rio Beat Festival 2026</v>
      </c>
      <c r="E1269" s="4" t="str">
        <f aca="false">IF($A1269="","",_xlfn.XLOOKUP(LOWER(TRIM(Base_Bruta!E1269)),DePara_Categoria!$A$2:$A$9,DePara_Categoria!$B$2:$B$9,"REVISAR"))</f>
        <v>Festival</v>
      </c>
      <c r="F1269" s="4" t="str">
        <f aca="false">IF($A1269="","",_xlfn.XLOOKUP(LOWER(TRIM(Base_Bruta!F1269)),DePara_Cidade!$A$2:$A$29,DePara_Cidade!$B$2:$B$29,"REVISAR"))</f>
        <v>Rio de Janeiro</v>
      </c>
      <c r="G1269" s="4" t="str">
        <f aca="false">IF($A1269="","",TRIM(Base_Bruta!G1269))</f>
        <v>Meia</v>
      </c>
      <c r="H1269" s="4" t="n">
        <f aca="false">IF($A1269="","",IF(ISNUMBER(Base_Bruta!H1269),Base_Bruta!H1269,IFERROR(_xlfn.NUMBERVALUE(TRIM(SUBSTITUTE(Base_Bruta!H1269,"R$","")),",","."),0)))</f>
        <v>2</v>
      </c>
      <c r="I1269" s="6" t="n">
        <f aca="false">IF($A1269="","",IF(ISNUMBER(Base_Bruta!I1269),Base_Bruta!I1269,IFERROR(_xlfn.NUMBERVALUE(TRIM(SUBSTITUTE(Base_Bruta!I1269,"R$","")),",","."),0)))</f>
        <v>347.5</v>
      </c>
      <c r="J1269" s="6" t="n">
        <f aca="false">IF($A1269="","",H1269*I1269)</f>
        <v>695</v>
      </c>
      <c r="K1269" s="4" t="str">
        <f aca="false">IF($A1269="","",TRIM(Base_Bruta!J1269))</f>
        <v>App</v>
      </c>
      <c r="L1269" s="4" t="str">
        <f aca="false">IF($A1269="","",TRIM(Base_Bruta!K1269))</f>
        <v>C02128</v>
      </c>
      <c r="M1269" s="4" t="str">
        <f aca="false">IF($A1269="","",_xlfn.XLOOKUP(LOWER(TRIM(Base_Bruta!L1269)),DePara_Cidade!$A$2:$A$29,DePara_Cidade!$B$2:$B$29,"REVISAR"))</f>
        <v>Santiago</v>
      </c>
      <c r="N1269" s="4" t="str">
        <f aca="false">IF($A1269="","",UPPER(TRIM(Base_Bruta!M1269)))</f>
        <v>EX</v>
      </c>
      <c r="O1269" s="4" t="str">
        <f aca="false">IF($A1269="","",_xlfn.XLOOKUP(LOWER(TRIM(Base_Bruta!N1269)),DePara_Pais!$A$2:$A$9,DePara_Pais!$B$2:$B$9,"REVISAR"))</f>
        <v>Chile</v>
      </c>
      <c r="P1269" s="4" t="str">
        <f aca="false">IF($A1269="","",IF(O1269&lt;&gt;"Brasil","Turista Internacional",IF(M1269=F1269,"Local","Turista Nacional")))</f>
        <v>Turista Internacional</v>
      </c>
      <c r="Q1269" s="7" t="n">
        <f aca="false">IF($A1269="","",DATE(YEAR(B1269),MONTH(B1269),1))</f>
        <v>46023</v>
      </c>
      <c r="R1269" s="4" t="str">
        <f aca="false">IF($A1269="","",IF(COUNTIF($A$2:$A1269,$A1269)&gt;1,"Sim","Não"))</f>
        <v>Não</v>
      </c>
      <c r="S1269" s="4" t="str">
        <f aca="false">IF(A1269="","Descartar - Linha vazia",IF(R1269="Sim","Descartar - Duplicado",IF(OR(H1269&lt;=0,I1269&lt;=0),"Descartar - Qtd/Valor inválido","OK")))</f>
        <v>OK</v>
      </c>
      <c r="T1269" s="4" t="str">
        <f aca="false">Base_Bruta!P1269</f>
        <v>vendas_RJ.xlsx</v>
      </c>
    </row>
    <row r="1270" customFormat="false" ht="15" hidden="false" customHeight="false" outlineLevel="0" collapsed="false">
      <c r="A1270" s="4" t="str">
        <f aca="false">IF(Base_Bruta!A1270="","",Base_Bruta!A1270)</f>
        <v>RJ-000115</v>
      </c>
      <c r="B1270" s="5" t="n">
        <f aca="false">IF($A1270="","",IF(ISNUMBER(Base_Bruta!B1270),Base_Bruta!B1270,IF(MID(Base_Bruta!B1270,5,1)="-",DATE(VALUE(LEFT(Base_Bruta!B1270,4)),VALUE(MID(Base_Bruta!B1270,6,2)),VALUE(RIGHT(Base_Bruta!B1270,2))),DATE(VALUE(RIGHT(Base_Bruta!B1270,4)),VALUE(MID(Base_Bruta!B1270,4,2)),VALUE(LEFT(Base_Bruta!B1270,2))))))</f>
        <v>46039</v>
      </c>
      <c r="C1270" s="5" t="n">
        <f aca="false">IF($A1270="","",IF(ISNUMBER(Base_Bruta!C1270),Base_Bruta!C1270,IF(MID(Base_Bruta!C1270,5,1)="-",DATE(VALUE(LEFT(Base_Bruta!C1270,4)),VALUE(MID(Base_Bruta!C1270,6,2)),VALUE(RIGHT(Base_Bruta!C1270,2))),DATE(VALUE(RIGHT(Base_Bruta!C1270,4)),VALUE(MID(Base_Bruta!C1270,4,2)),VALUE(LEFT(Base_Bruta!C1270,2))))))</f>
        <v>46046</v>
      </c>
      <c r="D1270" s="4" t="str">
        <f aca="false">IF($A1270="","",TRIM(Base_Bruta!D1270))</f>
        <v>Rio Beat Festival 2026</v>
      </c>
      <c r="E1270" s="4" t="str">
        <f aca="false">IF($A1270="","",_xlfn.XLOOKUP(LOWER(TRIM(Base_Bruta!E1270)),DePara_Categoria!$A$2:$A$9,DePara_Categoria!$B$2:$B$9,"REVISAR"))</f>
        <v>Festival</v>
      </c>
      <c r="F1270" s="4" t="str">
        <f aca="false">IF($A1270="","",_xlfn.XLOOKUP(LOWER(TRIM(Base_Bruta!F1270)),DePara_Cidade!$A$2:$A$29,DePara_Cidade!$B$2:$B$29,"REVISAR"))</f>
        <v>Rio de Janeiro</v>
      </c>
      <c r="G1270" s="4" t="str">
        <f aca="false">IF($A1270="","",TRIM(Base_Bruta!G1270))</f>
        <v>Inteira</v>
      </c>
      <c r="H1270" s="4" t="n">
        <f aca="false">IF($A1270="","",IF(ISNUMBER(Base_Bruta!H1270),Base_Bruta!H1270,IFERROR(_xlfn.NUMBERVALUE(TRIM(SUBSTITUTE(Base_Bruta!H1270,"R$","")),",","."),0)))</f>
        <v>1</v>
      </c>
      <c r="I1270" s="6" t="n">
        <f aca="false">IF($A1270="","",IF(ISNUMBER(Base_Bruta!I1270),Base_Bruta!I1270,IFERROR(_xlfn.NUMBERVALUE(TRIM(SUBSTITUTE(Base_Bruta!I1270,"R$","")),",","."),0)))</f>
        <v>835</v>
      </c>
      <c r="J1270" s="6" t="n">
        <f aca="false">IF($A1270="","",H1270*I1270)</f>
        <v>835</v>
      </c>
      <c r="K1270" s="4" t="str">
        <f aca="false">IF($A1270="","",TRIM(Base_Bruta!J1270))</f>
        <v>App</v>
      </c>
      <c r="L1270" s="4" t="str">
        <f aca="false">IF($A1270="","",TRIM(Base_Bruta!K1270))</f>
        <v>C02090</v>
      </c>
      <c r="M1270" s="4" t="str">
        <f aca="false">IF($A1270="","",_xlfn.XLOOKUP(LOWER(TRIM(Base_Bruta!L1270)),DePara_Cidade!$A$2:$A$29,DePara_Cidade!$B$2:$B$29,"REVISAR"))</f>
        <v>Rio de Janeiro</v>
      </c>
      <c r="N1270" s="4" t="str">
        <f aca="false">IF($A1270="","",UPPER(TRIM(Base_Bruta!M1270)))</f>
        <v>RJ</v>
      </c>
      <c r="O1270" s="4" t="str">
        <f aca="false">IF($A1270="","",_xlfn.XLOOKUP(LOWER(TRIM(Base_Bruta!N1270)),DePara_Pais!$A$2:$A$9,DePara_Pais!$B$2:$B$9,"REVISAR"))</f>
        <v>Brasil</v>
      </c>
      <c r="P1270" s="4" t="str">
        <f aca="false">IF($A1270="","",IF(O1270&lt;&gt;"Brasil","Turista Internacional",IF(M1270=F1270,"Local","Turista Nacional")))</f>
        <v>Local</v>
      </c>
      <c r="Q1270" s="7" t="n">
        <f aca="false">IF($A1270="","",DATE(YEAR(B1270),MONTH(B1270),1))</f>
        <v>46023</v>
      </c>
      <c r="R1270" s="4" t="str">
        <f aca="false">IF($A1270="","",IF(COUNTIF($A$2:$A1270,$A1270)&gt;1,"Sim","Não"))</f>
        <v>Não</v>
      </c>
      <c r="S1270" s="4" t="str">
        <f aca="false">IF(A1270="","Descartar - Linha vazia",IF(R1270="Sim","Descartar - Duplicado",IF(OR(H1270&lt;=0,I1270&lt;=0),"Descartar - Qtd/Valor inválido","OK")))</f>
        <v>OK</v>
      </c>
      <c r="T1270" s="4" t="str">
        <f aca="false">Base_Bruta!P1270</f>
        <v>vendas_RJ.xlsx</v>
      </c>
    </row>
    <row r="1271" customFormat="false" ht="15" hidden="false" customHeight="false" outlineLevel="0" collapsed="false">
      <c r="A1271" s="4" t="str">
        <f aca="false">IF(Base_Bruta!A1271="","",Base_Bruta!A1271)</f>
        <v>RJ-000196</v>
      </c>
      <c r="B1271" s="5" t="n">
        <f aca="false">IF($A1271="","",IF(ISNUMBER(Base_Bruta!B1271),Base_Bruta!B1271,IF(MID(Base_Bruta!B1271,5,1)="-",DATE(VALUE(LEFT(Base_Bruta!B1271,4)),VALUE(MID(Base_Bruta!B1271,6,2)),VALUE(RIGHT(Base_Bruta!B1271,2))),DATE(VALUE(RIGHT(Base_Bruta!B1271,4)),VALUE(MID(Base_Bruta!B1271,4,2)),VALUE(LEFT(Base_Bruta!B1271,2))))))</f>
        <v>46039</v>
      </c>
      <c r="C1271" s="5" t="n">
        <f aca="false">IF($A1271="","",IF(ISNUMBER(Base_Bruta!C1271),Base_Bruta!C1271,IF(MID(Base_Bruta!C1271,5,1)="-",DATE(VALUE(LEFT(Base_Bruta!C1271,4)),VALUE(MID(Base_Bruta!C1271,6,2)),VALUE(RIGHT(Base_Bruta!C1271,2))),DATE(VALUE(RIGHT(Base_Bruta!C1271,4)),VALUE(MID(Base_Bruta!C1271,4,2)),VALUE(LEFT(Base_Bruta!C1271,2))))))</f>
        <v>46046</v>
      </c>
      <c r="D1271" s="4" t="str">
        <f aca="false">IF($A1271="","",TRIM(Base_Bruta!D1271))</f>
        <v>Rio Beat Festival 2026</v>
      </c>
      <c r="E1271" s="4" t="str">
        <f aca="false">IF($A1271="","",_xlfn.XLOOKUP(LOWER(TRIM(Base_Bruta!E1271)),DePara_Categoria!$A$2:$A$9,DePara_Categoria!$B$2:$B$9,"REVISAR"))</f>
        <v>Festival</v>
      </c>
      <c r="F1271" s="4" t="str">
        <f aca="false">IF($A1271="","",_xlfn.XLOOKUP(LOWER(TRIM(Base_Bruta!F1271)),DePara_Cidade!$A$2:$A$29,DePara_Cidade!$B$2:$B$29,"REVISAR"))</f>
        <v>Rio de Janeiro</v>
      </c>
      <c r="G1271" s="4" t="str">
        <f aca="false">IF($A1271="","",TRIM(Base_Bruta!G1271))</f>
        <v>Meia</v>
      </c>
      <c r="H1271" s="4" t="n">
        <f aca="false">IF($A1271="","",IF(ISNUMBER(Base_Bruta!H1271),Base_Bruta!H1271,IFERROR(_xlfn.NUMBERVALUE(TRIM(SUBSTITUTE(Base_Bruta!H1271,"R$","")),",","."),0)))</f>
        <v>1</v>
      </c>
      <c r="I1271" s="6" t="n">
        <f aca="false">IF($A1271="","",IF(ISNUMBER(Base_Bruta!I1271),Base_Bruta!I1271,IFERROR(_xlfn.NUMBERVALUE(TRIM(SUBSTITUTE(Base_Bruta!I1271,"R$","")),",","."),0)))</f>
        <v>355</v>
      </c>
      <c r="J1271" s="6" t="n">
        <f aca="false">IF($A1271="","",H1271*I1271)</f>
        <v>355</v>
      </c>
      <c r="K1271" s="4" t="str">
        <f aca="false">IF($A1271="","",TRIM(Base_Bruta!J1271))</f>
        <v>Parceiro</v>
      </c>
      <c r="L1271" s="4" t="str">
        <f aca="false">IF($A1271="","",TRIM(Base_Bruta!K1271))</f>
        <v>C01231</v>
      </c>
      <c r="M1271" s="4" t="str">
        <f aca="false">IF($A1271="","",_xlfn.XLOOKUP(LOWER(TRIM(Base_Bruta!L1271)),DePara_Cidade!$A$2:$A$29,DePara_Cidade!$B$2:$B$29,"REVISAR"))</f>
        <v>Rio de Janeiro</v>
      </c>
      <c r="N1271" s="4" t="str">
        <f aca="false">IF($A1271="","",UPPER(TRIM(Base_Bruta!M1271)))</f>
        <v>RJ</v>
      </c>
      <c r="O1271" s="4" t="str">
        <f aca="false">IF($A1271="","",_xlfn.XLOOKUP(LOWER(TRIM(Base_Bruta!N1271)),DePara_Pais!$A$2:$A$9,DePara_Pais!$B$2:$B$9,"REVISAR"))</f>
        <v>Brasil</v>
      </c>
      <c r="P1271" s="4" t="str">
        <f aca="false">IF($A1271="","",IF(O1271&lt;&gt;"Brasil","Turista Internacional",IF(M1271=F1271,"Local","Turista Nacional")))</f>
        <v>Local</v>
      </c>
      <c r="Q1271" s="7" t="n">
        <f aca="false">IF($A1271="","",DATE(YEAR(B1271),MONTH(B1271),1))</f>
        <v>46023</v>
      </c>
      <c r="R1271" s="4" t="str">
        <f aca="false">IF($A1271="","",IF(COUNTIF($A$2:$A1271,$A1271)&gt;1,"Sim","Não"))</f>
        <v>Não</v>
      </c>
      <c r="S1271" s="4" t="str">
        <f aca="false">IF(A1271="","Descartar - Linha vazia",IF(R1271="Sim","Descartar - Duplicado",IF(OR(H1271&lt;=0,I1271&lt;=0),"Descartar - Qtd/Valor inválido","OK")))</f>
        <v>OK</v>
      </c>
      <c r="T1271" s="4" t="str">
        <f aca="false">Base_Bruta!P1271</f>
        <v>vendas_RJ.xlsx</v>
      </c>
    </row>
    <row r="1272" customFormat="false" ht="15" hidden="false" customHeight="false" outlineLevel="0" collapsed="false">
      <c r="A1272" s="4" t="str">
        <f aca="false">IF(Base_Bruta!A1272="","",Base_Bruta!A1272)</f>
        <v>RJ-000556</v>
      </c>
      <c r="B1272" s="5" t="n">
        <f aca="false">IF($A1272="","",IF(ISNUMBER(Base_Bruta!B1272),Base_Bruta!B1272,IF(MID(Base_Bruta!B1272,5,1)="-",DATE(VALUE(LEFT(Base_Bruta!B1272,4)),VALUE(MID(Base_Bruta!B1272,6,2)),VALUE(RIGHT(Base_Bruta!B1272,2))),DATE(VALUE(RIGHT(Base_Bruta!B1272,4)),VALUE(MID(Base_Bruta!B1272,4,2)),VALUE(LEFT(Base_Bruta!B1272,2))))))</f>
        <v>46039</v>
      </c>
      <c r="C1272" s="5" t="n">
        <f aca="false">IF($A1272="","",IF(ISNUMBER(Base_Bruta!C1272),Base_Bruta!C1272,IF(MID(Base_Bruta!C1272,5,1)="-",DATE(VALUE(LEFT(Base_Bruta!C1272,4)),VALUE(MID(Base_Bruta!C1272,6,2)),VALUE(RIGHT(Base_Bruta!C1272,2))),DATE(VALUE(RIGHT(Base_Bruta!C1272,4)),VALUE(MID(Base_Bruta!C1272,4,2)),VALUE(LEFT(Base_Bruta!C1272,2))))))</f>
        <v>46041</v>
      </c>
      <c r="D1272" s="4" t="str">
        <f aca="false">IF($A1272="","",TRIM(Base_Bruta!D1272))</f>
        <v>Cinema Barra - Sessões</v>
      </c>
      <c r="E1272" s="4" t="str">
        <f aca="false">IF($A1272="","",_xlfn.XLOOKUP(LOWER(TRIM(Base_Bruta!E1272)),DePara_Categoria!$A$2:$A$9,DePara_Categoria!$B$2:$B$9,"REVISAR"))</f>
        <v>Cinema</v>
      </c>
      <c r="F1272" s="4" t="str">
        <f aca="false">IF($A1272="","",_xlfn.XLOOKUP(LOWER(TRIM(Base_Bruta!F1272)),DePara_Cidade!$A$2:$A$29,DePara_Cidade!$B$2:$B$29,"REVISAR"))</f>
        <v>Rio de Janeiro</v>
      </c>
      <c r="G1272" s="4" t="str">
        <f aca="false">IF($A1272="","",TRIM(Base_Bruta!G1272))</f>
        <v>Meia</v>
      </c>
      <c r="H1272" s="4" t="n">
        <f aca="false">IF($A1272="","",IF(ISNUMBER(Base_Bruta!H1272),Base_Bruta!H1272,IFERROR(_xlfn.NUMBERVALUE(TRIM(SUBSTITUTE(Base_Bruta!H1272,"R$","")),",","."),0)))</f>
        <v>2</v>
      </c>
      <c r="I1272" s="6" t="n">
        <f aca="false">IF($A1272="","",IF(ISNUMBER(Base_Bruta!I1272),Base_Bruta!I1272,IFERROR(_xlfn.NUMBERVALUE(TRIM(SUBSTITUTE(Base_Bruta!I1272,"R$","")),",","."),0)))</f>
        <v>17.5</v>
      </c>
      <c r="J1272" s="6" t="n">
        <f aca="false">IF($A1272="","",H1272*I1272)</f>
        <v>35</v>
      </c>
      <c r="K1272" s="4" t="str">
        <f aca="false">IF($A1272="","",TRIM(Base_Bruta!J1272))</f>
        <v>Bilheteria</v>
      </c>
      <c r="L1272" s="4" t="str">
        <f aca="false">IF($A1272="","",TRIM(Base_Bruta!K1272))</f>
        <v>C02213</v>
      </c>
      <c r="M1272" s="4" t="str">
        <f aca="false">IF($A1272="","",_xlfn.XLOOKUP(LOWER(TRIM(Base_Bruta!L1272)),DePara_Cidade!$A$2:$A$29,DePara_Cidade!$B$2:$B$29,"REVISAR"))</f>
        <v>Rio de Janeiro</v>
      </c>
      <c r="N1272" s="4" t="str">
        <f aca="false">IF($A1272="","",UPPER(TRIM(Base_Bruta!M1272)))</f>
        <v>RJ</v>
      </c>
      <c r="O1272" s="4" t="str">
        <f aca="false">IF($A1272="","",_xlfn.XLOOKUP(LOWER(TRIM(Base_Bruta!N1272)),DePara_Pais!$A$2:$A$9,DePara_Pais!$B$2:$B$9,"REVISAR"))</f>
        <v>Brasil</v>
      </c>
      <c r="P1272" s="4" t="str">
        <f aca="false">IF($A1272="","",IF(O1272&lt;&gt;"Brasil","Turista Internacional",IF(M1272=F1272,"Local","Turista Nacional")))</f>
        <v>Local</v>
      </c>
      <c r="Q1272" s="7" t="n">
        <f aca="false">IF($A1272="","",DATE(YEAR(B1272),MONTH(B1272),1))</f>
        <v>46023</v>
      </c>
      <c r="R1272" s="4" t="str">
        <f aca="false">IF($A1272="","",IF(COUNTIF($A$2:$A1272,$A1272)&gt;1,"Sim","Não"))</f>
        <v>Não</v>
      </c>
      <c r="S1272" s="4" t="str">
        <f aca="false">IF(A1272="","Descartar - Linha vazia",IF(R1272="Sim","Descartar - Duplicado",IF(OR(H1272&lt;=0,I1272&lt;=0),"Descartar - Qtd/Valor inválido","OK")))</f>
        <v>OK</v>
      </c>
      <c r="T1272" s="4" t="str">
        <f aca="false">Base_Bruta!P1272</f>
        <v>vendas_RJ.xlsx</v>
      </c>
    </row>
    <row r="1273" customFormat="false" ht="15" hidden="false" customHeight="false" outlineLevel="0" collapsed="false">
      <c r="A1273" s="4" t="str">
        <f aca="false">IF(Base_Bruta!A1273="","",Base_Bruta!A1273)</f>
        <v>RJ-000014</v>
      </c>
      <c r="B1273" s="5" t="n">
        <f aca="false">IF($A1273="","",IF(ISNUMBER(Base_Bruta!B1273),Base_Bruta!B1273,IF(MID(Base_Bruta!B1273,5,1)="-",DATE(VALUE(LEFT(Base_Bruta!B1273,4)),VALUE(MID(Base_Bruta!B1273,6,2)),VALUE(RIGHT(Base_Bruta!B1273,2))),DATE(VALUE(RIGHT(Base_Bruta!B1273,4)),VALUE(MID(Base_Bruta!B1273,4,2)),VALUE(LEFT(Base_Bruta!B1273,2))))))</f>
        <v>46040</v>
      </c>
      <c r="C1273" s="5" t="n">
        <f aca="false">IF($A1273="","",IF(ISNUMBER(Base_Bruta!C1273),Base_Bruta!C1273,IF(MID(Base_Bruta!C1273,5,1)="-",DATE(VALUE(LEFT(Base_Bruta!C1273,4)),VALUE(MID(Base_Bruta!C1273,6,2)),VALUE(RIGHT(Base_Bruta!C1273,2))),DATE(VALUE(RIGHT(Base_Bruta!C1273,4)),VALUE(MID(Base_Bruta!C1273,4,2)),VALUE(LEFT(Base_Bruta!C1273,2))))))</f>
        <v>46046</v>
      </c>
      <c r="D1273" s="4" t="str">
        <f aca="false">IF($A1273="","",TRIM(Base_Bruta!D1273))</f>
        <v>Rio Beat Festival 2026</v>
      </c>
      <c r="E1273" s="4" t="str">
        <f aca="false">IF($A1273="","",_xlfn.XLOOKUP(LOWER(TRIM(Base_Bruta!E1273)),DePara_Categoria!$A$2:$A$9,DePara_Categoria!$B$2:$B$9,"REVISAR"))</f>
        <v>Festival</v>
      </c>
      <c r="F1273" s="4" t="str">
        <f aca="false">IF($A1273="","",_xlfn.XLOOKUP(LOWER(TRIM(Base_Bruta!F1273)),DePara_Cidade!$A$2:$A$29,DePara_Cidade!$B$2:$B$29,"REVISAR"))</f>
        <v>Rio de Janeiro</v>
      </c>
      <c r="G1273" s="4" t="str">
        <f aca="false">IF($A1273="","",TRIM(Base_Bruta!G1273))</f>
        <v>Inteira</v>
      </c>
      <c r="H1273" s="4" t="n">
        <f aca="false">IF($A1273="","",IF(ISNUMBER(Base_Bruta!H1273),Base_Bruta!H1273,IFERROR(_xlfn.NUMBERVALUE(TRIM(SUBSTITUTE(Base_Bruta!H1273,"R$","")),",","."),0)))</f>
        <v>1</v>
      </c>
      <c r="I1273" s="6" t="n">
        <f aca="false">IF($A1273="","",IF(ISNUMBER(Base_Bruta!I1273),Base_Bruta!I1273,IFERROR(_xlfn.NUMBERVALUE(TRIM(SUBSTITUTE(Base_Bruta!I1273,"R$","")),",","."),0)))</f>
        <v>1055</v>
      </c>
      <c r="J1273" s="6" t="n">
        <f aca="false">IF($A1273="","",H1273*I1273)</f>
        <v>1055</v>
      </c>
      <c r="K1273" s="4" t="str">
        <f aca="false">IF($A1273="","",TRIM(Base_Bruta!J1273))</f>
        <v>App</v>
      </c>
      <c r="L1273" s="4" t="str">
        <f aca="false">IF($A1273="","",TRIM(Base_Bruta!K1273))</f>
        <v>C00144</v>
      </c>
      <c r="M1273" s="4" t="str">
        <f aca="false">IF($A1273="","",_xlfn.XLOOKUP(LOWER(TRIM(Base_Bruta!L1273)),DePara_Cidade!$A$2:$A$29,DePara_Cidade!$B$2:$B$29,"REVISAR"))</f>
        <v>Rio de Janeiro</v>
      </c>
      <c r="N1273" s="4" t="str">
        <f aca="false">IF($A1273="","",UPPER(TRIM(Base_Bruta!M1273)))</f>
        <v>RJ</v>
      </c>
      <c r="O1273" s="4" t="str">
        <f aca="false">IF($A1273="","",_xlfn.XLOOKUP(LOWER(TRIM(Base_Bruta!N1273)),DePara_Pais!$A$2:$A$9,DePara_Pais!$B$2:$B$9,"REVISAR"))</f>
        <v>Brasil</v>
      </c>
      <c r="P1273" s="4" t="str">
        <f aca="false">IF($A1273="","",IF(O1273&lt;&gt;"Brasil","Turista Internacional",IF(M1273=F1273,"Local","Turista Nacional")))</f>
        <v>Local</v>
      </c>
      <c r="Q1273" s="7" t="n">
        <f aca="false">IF($A1273="","",DATE(YEAR(B1273),MONTH(B1273),1))</f>
        <v>46023</v>
      </c>
      <c r="R1273" s="4" t="str">
        <f aca="false">IF($A1273="","",IF(COUNTIF($A$2:$A1273,$A1273)&gt;1,"Sim","Não"))</f>
        <v>Não</v>
      </c>
      <c r="S1273" s="4" t="str">
        <f aca="false">IF(A1273="","Descartar - Linha vazia",IF(R1273="Sim","Descartar - Duplicado",IF(OR(H1273&lt;=0,I1273&lt;=0),"Descartar - Qtd/Valor inválido","OK")))</f>
        <v>OK</v>
      </c>
      <c r="T1273" s="4" t="str">
        <f aca="false">Base_Bruta!P1273</f>
        <v>vendas_RJ.xlsx</v>
      </c>
    </row>
    <row r="1274" customFormat="false" ht="15" hidden="false" customHeight="false" outlineLevel="0" collapsed="false">
      <c r="A1274" s="4" t="str">
        <f aca="false">IF(Base_Bruta!A1274="","",Base_Bruta!A1274)</f>
        <v>RJ-000043</v>
      </c>
      <c r="B1274" s="5" t="n">
        <f aca="false">IF($A1274="","",IF(ISNUMBER(Base_Bruta!B1274),Base_Bruta!B1274,IF(MID(Base_Bruta!B1274,5,1)="-",DATE(VALUE(LEFT(Base_Bruta!B1274,4)),VALUE(MID(Base_Bruta!B1274,6,2)),VALUE(RIGHT(Base_Bruta!B1274,2))),DATE(VALUE(RIGHT(Base_Bruta!B1274,4)),VALUE(MID(Base_Bruta!B1274,4,2)),VALUE(LEFT(Base_Bruta!B1274,2))))))</f>
        <v>46040</v>
      </c>
      <c r="C1274" s="5" t="n">
        <f aca="false">IF($A1274="","",IF(ISNUMBER(Base_Bruta!C1274),Base_Bruta!C1274,IF(MID(Base_Bruta!C1274,5,1)="-",DATE(VALUE(LEFT(Base_Bruta!C1274,4)),VALUE(MID(Base_Bruta!C1274,6,2)),VALUE(RIGHT(Base_Bruta!C1274,2))),DATE(VALUE(RIGHT(Base_Bruta!C1274,4)),VALUE(MID(Base_Bruta!C1274,4,2)),VALUE(LEFT(Base_Bruta!C1274,2))))))</f>
        <v>46046</v>
      </c>
      <c r="D1274" s="4" t="str">
        <f aca="false">IF($A1274="","",TRIM(Base_Bruta!D1274))</f>
        <v>Rio Beat Festival 2026</v>
      </c>
      <c r="E1274" s="4" t="str">
        <f aca="false">IF($A1274="","",_xlfn.XLOOKUP(LOWER(TRIM(Base_Bruta!E1274)),DePara_Categoria!$A$2:$A$9,DePara_Categoria!$B$2:$B$9,"REVISAR"))</f>
        <v>Festival</v>
      </c>
      <c r="F1274" s="4" t="str">
        <f aca="false">IF($A1274="","",_xlfn.XLOOKUP(LOWER(TRIM(Base_Bruta!F1274)),DePara_Cidade!$A$2:$A$29,DePara_Cidade!$B$2:$B$29,"REVISAR"))</f>
        <v>Rio de Janeiro</v>
      </c>
      <c r="G1274" s="4" t="str">
        <f aca="false">IF($A1274="","",TRIM(Base_Bruta!G1274))</f>
        <v>Inteira</v>
      </c>
      <c r="H1274" s="4" t="n">
        <f aca="false">IF($A1274="","",IF(ISNUMBER(Base_Bruta!H1274),Base_Bruta!H1274,IFERROR(_xlfn.NUMBERVALUE(TRIM(SUBSTITUTE(Base_Bruta!H1274,"R$","")),",","."),0)))</f>
        <v>4</v>
      </c>
      <c r="I1274" s="6" t="n">
        <f aca="false">IF($A1274="","",IF(ISNUMBER(Base_Bruta!I1274),Base_Bruta!I1274,IFERROR(_xlfn.NUMBERVALUE(TRIM(SUBSTITUTE(Base_Bruta!I1274,"R$","")),",","."),0)))</f>
        <v>1140</v>
      </c>
      <c r="J1274" s="6" t="n">
        <f aca="false">IF($A1274="","",H1274*I1274)</f>
        <v>4560</v>
      </c>
      <c r="K1274" s="4" t="str">
        <f aca="false">IF($A1274="","",TRIM(Base_Bruta!J1274))</f>
        <v>App</v>
      </c>
      <c r="L1274" s="4" t="str">
        <f aca="false">IF($A1274="","",TRIM(Base_Bruta!K1274))</f>
        <v>C02256</v>
      </c>
      <c r="M1274" s="4" t="str">
        <f aca="false">IF($A1274="","",_xlfn.XLOOKUP(LOWER(TRIM(Base_Bruta!L1274)),DePara_Cidade!$A$2:$A$29,DePara_Cidade!$B$2:$B$29,"REVISAR"))</f>
        <v>Rio de Janeiro</v>
      </c>
      <c r="N1274" s="4" t="str">
        <f aca="false">IF($A1274="","",UPPER(TRIM(Base_Bruta!M1274)))</f>
        <v>RJ</v>
      </c>
      <c r="O1274" s="4" t="str">
        <f aca="false">IF($A1274="","",_xlfn.XLOOKUP(LOWER(TRIM(Base_Bruta!N1274)),DePara_Pais!$A$2:$A$9,DePara_Pais!$B$2:$B$9,"REVISAR"))</f>
        <v>Brasil</v>
      </c>
      <c r="P1274" s="4" t="str">
        <f aca="false">IF($A1274="","",IF(O1274&lt;&gt;"Brasil","Turista Internacional",IF(M1274=F1274,"Local","Turista Nacional")))</f>
        <v>Local</v>
      </c>
      <c r="Q1274" s="7" t="n">
        <f aca="false">IF($A1274="","",DATE(YEAR(B1274),MONTH(B1274),1))</f>
        <v>46023</v>
      </c>
      <c r="R1274" s="4" t="str">
        <f aca="false">IF($A1274="","",IF(COUNTIF($A$2:$A1274,$A1274)&gt;1,"Sim","Não"))</f>
        <v>Não</v>
      </c>
      <c r="S1274" s="4" t="str">
        <f aca="false">IF(A1274="","Descartar - Linha vazia",IF(R1274="Sim","Descartar - Duplicado",IF(OR(H1274&lt;=0,I1274&lt;=0),"Descartar - Qtd/Valor inválido","OK")))</f>
        <v>OK</v>
      </c>
      <c r="T1274" s="4" t="str">
        <f aca="false">Base_Bruta!P1274</f>
        <v>vendas_RJ.xlsx</v>
      </c>
    </row>
    <row r="1275" customFormat="false" ht="15" hidden="false" customHeight="false" outlineLevel="0" collapsed="false">
      <c r="A1275" s="4" t="str">
        <f aca="false">IF(Base_Bruta!A1275="","",Base_Bruta!A1275)</f>
        <v>RJ-000059</v>
      </c>
      <c r="B1275" s="5" t="n">
        <f aca="false">IF($A1275="","",IF(ISNUMBER(Base_Bruta!B1275),Base_Bruta!B1275,IF(MID(Base_Bruta!B1275,5,1)="-",DATE(VALUE(LEFT(Base_Bruta!B1275,4)),VALUE(MID(Base_Bruta!B1275,6,2)),VALUE(RIGHT(Base_Bruta!B1275,2))),DATE(VALUE(RIGHT(Base_Bruta!B1275,4)),VALUE(MID(Base_Bruta!B1275,4,2)),VALUE(LEFT(Base_Bruta!B1275,2))))))</f>
        <v>46040</v>
      </c>
      <c r="C1275" s="5" t="n">
        <f aca="false">IF($A1275="","",IF(ISNUMBER(Base_Bruta!C1275),Base_Bruta!C1275,IF(MID(Base_Bruta!C1275,5,1)="-",DATE(VALUE(LEFT(Base_Bruta!C1275,4)),VALUE(MID(Base_Bruta!C1275,6,2)),VALUE(RIGHT(Base_Bruta!C1275,2))),DATE(VALUE(RIGHT(Base_Bruta!C1275,4)),VALUE(MID(Base_Bruta!C1275,4,2)),VALUE(LEFT(Base_Bruta!C1275,2))))))</f>
        <v>46046</v>
      </c>
      <c r="D1275" s="4" t="str">
        <f aca="false">IF($A1275="","",TRIM(Base_Bruta!D1275))</f>
        <v>Rio Beat Festival 2026</v>
      </c>
      <c r="E1275" s="4" t="str">
        <f aca="false">IF($A1275="","",_xlfn.XLOOKUP(LOWER(TRIM(Base_Bruta!E1275)),DePara_Categoria!$A$2:$A$9,DePara_Categoria!$B$2:$B$9,"REVISAR"))</f>
        <v>Festival</v>
      </c>
      <c r="F1275" s="4" t="str">
        <f aca="false">IF($A1275="","",_xlfn.XLOOKUP(LOWER(TRIM(Base_Bruta!F1275)),DePara_Cidade!$A$2:$A$29,DePara_Cidade!$B$2:$B$29,"REVISAR"))</f>
        <v>Rio de Janeiro</v>
      </c>
      <c r="G1275" s="4" t="str">
        <f aca="false">IF($A1275="","",TRIM(Base_Bruta!G1275))</f>
        <v>Inteira</v>
      </c>
      <c r="H1275" s="4" t="n">
        <f aca="false">IF($A1275="","",IF(ISNUMBER(Base_Bruta!H1275),Base_Bruta!H1275,IFERROR(_xlfn.NUMBERVALUE(TRIM(SUBSTITUTE(Base_Bruta!H1275,"R$","")),",","."),0)))</f>
        <v>2</v>
      </c>
      <c r="I1275" s="6" t="n">
        <f aca="false">IF($A1275="","",IF(ISNUMBER(Base_Bruta!I1275),Base_Bruta!I1275,IFERROR(_xlfn.NUMBERVALUE(TRIM(SUBSTITUTE(Base_Bruta!I1275,"R$","")),",","."),0)))</f>
        <v>800</v>
      </c>
      <c r="J1275" s="6" t="n">
        <f aca="false">IF($A1275="","",H1275*I1275)</f>
        <v>1600</v>
      </c>
      <c r="K1275" s="4" t="str">
        <f aca="false">IF($A1275="","",TRIM(Base_Bruta!J1275))</f>
        <v>App</v>
      </c>
      <c r="L1275" s="4" t="str">
        <f aca="false">IF($A1275="","",TRIM(Base_Bruta!K1275))</f>
        <v>C01698</v>
      </c>
      <c r="M1275" s="4" t="str">
        <f aca="false">IF($A1275="","",_xlfn.XLOOKUP(LOWER(TRIM(Base_Bruta!L1275)),DePara_Cidade!$A$2:$A$29,DePara_Cidade!$B$2:$B$29,"REVISAR"))</f>
        <v>Rio de Janeiro</v>
      </c>
      <c r="N1275" s="4" t="str">
        <f aca="false">IF($A1275="","",UPPER(TRIM(Base_Bruta!M1275)))</f>
        <v>RJ</v>
      </c>
      <c r="O1275" s="4" t="str">
        <f aca="false">IF($A1275="","",_xlfn.XLOOKUP(LOWER(TRIM(Base_Bruta!N1275)),DePara_Pais!$A$2:$A$9,DePara_Pais!$B$2:$B$9,"REVISAR"))</f>
        <v>Brasil</v>
      </c>
      <c r="P1275" s="4" t="str">
        <f aca="false">IF($A1275="","",IF(O1275&lt;&gt;"Brasil","Turista Internacional",IF(M1275=F1275,"Local","Turista Nacional")))</f>
        <v>Local</v>
      </c>
      <c r="Q1275" s="7" t="n">
        <f aca="false">IF($A1275="","",DATE(YEAR(B1275),MONTH(B1275),1))</f>
        <v>46023</v>
      </c>
      <c r="R1275" s="4" t="str">
        <f aca="false">IF($A1275="","",IF(COUNTIF($A$2:$A1275,$A1275)&gt;1,"Sim","Não"))</f>
        <v>Não</v>
      </c>
      <c r="S1275" s="4" t="str">
        <f aca="false">IF(A1275="","Descartar - Linha vazia",IF(R1275="Sim","Descartar - Duplicado",IF(OR(H1275&lt;=0,I1275&lt;=0),"Descartar - Qtd/Valor inválido","OK")))</f>
        <v>OK</v>
      </c>
      <c r="T1275" s="4" t="str">
        <f aca="false">Base_Bruta!P1275</f>
        <v>vendas_RJ.xlsx</v>
      </c>
    </row>
    <row r="1276" customFormat="false" ht="15" hidden="false" customHeight="false" outlineLevel="0" collapsed="false">
      <c r="A1276" s="4" t="str">
        <f aca="false">IF(Base_Bruta!A1276="","",Base_Bruta!A1276)</f>
        <v>RJ-000117</v>
      </c>
      <c r="B1276" s="5" t="n">
        <f aca="false">IF($A1276="","",IF(ISNUMBER(Base_Bruta!B1276),Base_Bruta!B1276,IF(MID(Base_Bruta!B1276,5,1)="-",DATE(VALUE(LEFT(Base_Bruta!B1276,4)),VALUE(MID(Base_Bruta!B1276,6,2)),VALUE(RIGHT(Base_Bruta!B1276,2))),DATE(VALUE(RIGHT(Base_Bruta!B1276,4)),VALUE(MID(Base_Bruta!B1276,4,2)),VALUE(LEFT(Base_Bruta!B1276,2))))))</f>
        <v>46040</v>
      </c>
      <c r="C1276" s="5" t="n">
        <f aca="false">IF($A1276="","",IF(ISNUMBER(Base_Bruta!C1276),Base_Bruta!C1276,IF(MID(Base_Bruta!C1276,5,1)="-",DATE(VALUE(LEFT(Base_Bruta!C1276,4)),VALUE(MID(Base_Bruta!C1276,6,2)),VALUE(RIGHT(Base_Bruta!C1276,2))),DATE(VALUE(RIGHT(Base_Bruta!C1276,4)),VALUE(MID(Base_Bruta!C1276,4,2)),VALUE(LEFT(Base_Bruta!C1276,2))))))</f>
        <v>46046</v>
      </c>
      <c r="D1276" s="4" t="str">
        <f aca="false">IF($A1276="","",TRIM(Base_Bruta!D1276))</f>
        <v>Rio Beat Festival 2026</v>
      </c>
      <c r="E1276" s="4" t="str">
        <f aca="false">IF($A1276="","",_xlfn.XLOOKUP(LOWER(TRIM(Base_Bruta!E1276)),DePara_Categoria!$A$2:$A$9,DePara_Categoria!$B$2:$B$9,"REVISAR"))</f>
        <v>Festival</v>
      </c>
      <c r="F1276" s="4" t="str">
        <f aca="false">IF($A1276="","",_xlfn.XLOOKUP(LOWER(TRIM(Base_Bruta!F1276)),DePara_Cidade!$A$2:$A$29,DePara_Cidade!$B$2:$B$29,"REVISAR"))</f>
        <v>Rio de Janeiro</v>
      </c>
      <c r="G1276" s="4" t="str">
        <f aca="false">IF($A1276="","",TRIM(Base_Bruta!G1276))</f>
        <v>Inteira</v>
      </c>
      <c r="H1276" s="4" t="n">
        <f aca="false">IF($A1276="","",IF(ISNUMBER(Base_Bruta!H1276),Base_Bruta!H1276,IFERROR(_xlfn.NUMBERVALUE(TRIM(SUBSTITUTE(Base_Bruta!H1276,"R$","")),",","."),0)))</f>
        <v>1</v>
      </c>
      <c r="I1276" s="6" t="n">
        <f aca="false">IF($A1276="","",IF(ISNUMBER(Base_Bruta!I1276),Base_Bruta!I1276,IFERROR(_xlfn.NUMBERVALUE(TRIM(SUBSTITUTE(Base_Bruta!I1276,"R$","")),",","."),0)))</f>
        <v>1090</v>
      </c>
      <c r="J1276" s="6" t="n">
        <f aca="false">IF($A1276="","",H1276*I1276)</f>
        <v>1090</v>
      </c>
      <c r="K1276" s="4" t="str">
        <f aca="false">IF($A1276="","",TRIM(Base_Bruta!J1276))</f>
        <v>App</v>
      </c>
      <c r="L1276" s="4" t="str">
        <f aca="false">IF($A1276="","",TRIM(Base_Bruta!K1276))</f>
        <v>C00232</v>
      </c>
      <c r="M1276" s="4" t="str">
        <f aca="false">IF($A1276="","",_xlfn.XLOOKUP(LOWER(TRIM(Base_Bruta!L1276)),DePara_Cidade!$A$2:$A$29,DePara_Cidade!$B$2:$B$29,"REVISAR"))</f>
        <v>Rio de Janeiro</v>
      </c>
      <c r="N1276" s="4" t="str">
        <f aca="false">IF($A1276="","",UPPER(TRIM(Base_Bruta!M1276)))</f>
        <v>RJ</v>
      </c>
      <c r="O1276" s="4" t="str">
        <f aca="false">IF($A1276="","",_xlfn.XLOOKUP(LOWER(TRIM(Base_Bruta!N1276)),DePara_Pais!$A$2:$A$9,DePara_Pais!$B$2:$B$9,"REVISAR"))</f>
        <v>Brasil</v>
      </c>
      <c r="P1276" s="4" t="str">
        <f aca="false">IF($A1276="","",IF(O1276&lt;&gt;"Brasil","Turista Internacional",IF(M1276=F1276,"Local","Turista Nacional")))</f>
        <v>Local</v>
      </c>
      <c r="Q1276" s="7" t="n">
        <f aca="false">IF($A1276="","",DATE(YEAR(B1276),MONTH(B1276),1))</f>
        <v>46023</v>
      </c>
      <c r="R1276" s="4" t="str">
        <f aca="false">IF($A1276="","",IF(COUNTIF($A$2:$A1276,$A1276)&gt;1,"Sim","Não"))</f>
        <v>Não</v>
      </c>
      <c r="S1276" s="4" t="str">
        <f aca="false">IF(A1276="","Descartar - Linha vazia",IF(R1276="Sim","Descartar - Duplicado",IF(OR(H1276&lt;=0,I1276&lt;=0),"Descartar - Qtd/Valor inválido","OK")))</f>
        <v>OK</v>
      </c>
      <c r="T1276" s="4" t="str">
        <f aca="false">Base_Bruta!P1276</f>
        <v>vendas_RJ.xlsx</v>
      </c>
    </row>
    <row r="1277" customFormat="false" ht="15" hidden="false" customHeight="false" outlineLevel="0" collapsed="false">
      <c r="A1277" s="4" t="str">
        <f aca="false">IF(Base_Bruta!A1277="","",Base_Bruta!A1277)</f>
        <v>RJ-000152</v>
      </c>
      <c r="B1277" s="5" t="n">
        <f aca="false">IF($A1277="","",IF(ISNUMBER(Base_Bruta!B1277),Base_Bruta!B1277,IF(MID(Base_Bruta!B1277,5,1)="-",DATE(VALUE(LEFT(Base_Bruta!B1277,4)),VALUE(MID(Base_Bruta!B1277,6,2)),VALUE(RIGHT(Base_Bruta!B1277,2))),DATE(VALUE(RIGHT(Base_Bruta!B1277,4)),VALUE(MID(Base_Bruta!B1277,4,2)),VALUE(LEFT(Base_Bruta!B1277,2))))))</f>
        <v>46040</v>
      </c>
      <c r="C1277" s="5" t="n">
        <f aca="false">IF($A1277="","",IF(ISNUMBER(Base_Bruta!C1277),Base_Bruta!C1277,IF(MID(Base_Bruta!C1277,5,1)="-",DATE(VALUE(LEFT(Base_Bruta!C1277,4)),VALUE(MID(Base_Bruta!C1277,6,2)),VALUE(RIGHT(Base_Bruta!C1277,2))),DATE(VALUE(RIGHT(Base_Bruta!C1277,4)),VALUE(MID(Base_Bruta!C1277,4,2)),VALUE(LEFT(Base_Bruta!C1277,2))))))</f>
        <v>46046</v>
      </c>
      <c r="D1277" s="4" t="str">
        <f aca="false">IF($A1277="","",TRIM(Base_Bruta!D1277))</f>
        <v>Rio Beat Festival 2026</v>
      </c>
      <c r="E1277" s="4" t="str">
        <f aca="false">IF($A1277="","",_xlfn.XLOOKUP(LOWER(TRIM(Base_Bruta!E1277)),DePara_Categoria!$A$2:$A$9,DePara_Categoria!$B$2:$B$9,"REVISAR"))</f>
        <v>Festival</v>
      </c>
      <c r="F1277" s="4" t="str">
        <f aca="false">IF($A1277="","",_xlfn.XLOOKUP(LOWER(TRIM(Base_Bruta!F1277)),DePara_Cidade!$A$2:$A$29,DePara_Cidade!$B$2:$B$29,"REVISAR"))</f>
        <v>Rio de Janeiro</v>
      </c>
      <c r="G1277" s="4" t="str">
        <f aca="false">IF($A1277="","",TRIM(Base_Bruta!G1277))</f>
        <v>Inteira</v>
      </c>
      <c r="H1277" s="4" t="n">
        <f aca="false">IF($A1277="","",IF(ISNUMBER(Base_Bruta!H1277),Base_Bruta!H1277,IFERROR(_xlfn.NUMBERVALUE(TRIM(SUBSTITUTE(Base_Bruta!H1277,"R$","")),",","."),0)))</f>
        <v>2</v>
      </c>
      <c r="I1277" s="6" t="n">
        <f aca="false">IF($A1277="","",IF(ISNUMBER(Base_Bruta!I1277),Base_Bruta!I1277,IFERROR(_xlfn.NUMBERVALUE(TRIM(SUBSTITUTE(Base_Bruta!I1277,"R$","")),",","."),0)))</f>
        <v>985</v>
      </c>
      <c r="J1277" s="6" t="n">
        <f aca="false">IF($A1277="","",H1277*I1277)</f>
        <v>1970</v>
      </c>
      <c r="K1277" s="4" t="str">
        <f aca="false">IF($A1277="","",TRIM(Base_Bruta!J1277))</f>
        <v>Site</v>
      </c>
      <c r="L1277" s="4" t="str">
        <f aca="false">IF($A1277="","",TRIM(Base_Bruta!K1277))</f>
        <v>C00648</v>
      </c>
      <c r="M1277" s="4" t="str">
        <f aca="false">IF($A1277="","",_xlfn.XLOOKUP(LOWER(TRIM(Base_Bruta!L1277)),DePara_Cidade!$A$2:$A$29,DePara_Cidade!$B$2:$B$29,"REVISAR"))</f>
        <v>Rio de Janeiro</v>
      </c>
      <c r="N1277" s="4" t="str">
        <f aca="false">IF($A1277="","",UPPER(TRIM(Base_Bruta!M1277)))</f>
        <v>RJ</v>
      </c>
      <c r="O1277" s="4" t="str">
        <f aca="false">IF($A1277="","",_xlfn.XLOOKUP(LOWER(TRIM(Base_Bruta!N1277)),DePara_Pais!$A$2:$A$9,DePara_Pais!$B$2:$B$9,"REVISAR"))</f>
        <v>Brasil</v>
      </c>
      <c r="P1277" s="4" t="str">
        <f aca="false">IF($A1277="","",IF(O1277&lt;&gt;"Brasil","Turista Internacional",IF(M1277=F1277,"Local","Turista Nacional")))</f>
        <v>Local</v>
      </c>
      <c r="Q1277" s="7" t="n">
        <f aca="false">IF($A1277="","",DATE(YEAR(B1277),MONTH(B1277),1))</f>
        <v>46023</v>
      </c>
      <c r="R1277" s="4" t="str">
        <f aca="false">IF($A1277="","",IF(COUNTIF($A$2:$A1277,$A1277)&gt;1,"Sim","Não"))</f>
        <v>Não</v>
      </c>
      <c r="S1277" s="4" t="str">
        <f aca="false">IF(A1277="","Descartar - Linha vazia",IF(R1277="Sim","Descartar - Duplicado",IF(OR(H1277&lt;=0,I1277&lt;=0),"Descartar - Qtd/Valor inválido","OK")))</f>
        <v>OK</v>
      </c>
      <c r="T1277" s="4" t="str">
        <f aca="false">Base_Bruta!P1277</f>
        <v>vendas_RJ.xlsx</v>
      </c>
    </row>
    <row r="1278" customFormat="false" ht="15" hidden="false" customHeight="false" outlineLevel="0" collapsed="false">
      <c r="A1278" s="4" t="str">
        <f aca="false">IF(Base_Bruta!A1278="","",Base_Bruta!A1278)</f>
        <v>RJ-000170</v>
      </c>
      <c r="B1278" s="5" t="n">
        <f aca="false">IF($A1278="","",IF(ISNUMBER(Base_Bruta!B1278),Base_Bruta!B1278,IF(MID(Base_Bruta!B1278,5,1)="-",DATE(VALUE(LEFT(Base_Bruta!B1278,4)),VALUE(MID(Base_Bruta!B1278,6,2)),VALUE(RIGHT(Base_Bruta!B1278,2))),DATE(VALUE(RIGHT(Base_Bruta!B1278,4)),VALUE(MID(Base_Bruta!B1278,4,2)),VALUE(LEFT(Base_Bruta!B1278,2))))))</f>
        <v>46040</v>
      </c>
      <c r="C1278" s="5" t="n">
        <f aca="false">IF($A1278="","",IF(ISNUMBER(Base_Bruta!C1278),Base_Bruta!C1278,IF(MID(Base_Bruta!C1278,5,1)="-",DATE(VALUE(LEFT(Base_Bruta!C1278,4)),VALUE(MID(Base_Bruta!C1278,6,2)),VALUE(RIGHT(Base_Bruta!C1278,2))),DATE(VALUE(RIGHT(Base_Bruta!C1278,4)),VALUE(MID(Base_Bruta!C1278,4,2)),VALUE(LEFT(Base_Bruta!C1278,2))))))</f>
        <v>46046</v>
      </c>
      <c r="D1278" s="4" t="str">
        <f aca="false">IF($A1278="","",TRIM(Base_Bruta!D1278))</f>
        <v>Rio Beat Festival 2026</v>
      </c>
      <c r="E1278" s="4" t="str">
        <f aca="false">IF($A1278="","",_xlfn.XLOOKUP(LOWER(TRIM(Base_Bruta!E1278)),DePara_Categoria!$A$2:$A$9,DePara_Categoria!$B$2:$B$9,"REVISAR"))</f>
        <v>Festival</v>
      </c>
      <c r="F1278" s="4" t="str">
        <f aca="false">IF($A1278="","",_xlfn.XLOOKUP(LOWER(TRIM(Base_Bruta!F1278)),DePara_Cidade!$A$2:$A$29,DePara_Cidade!$B$2:$B$29,"REVISAR"))</f>
        <v>Rio de Janeiro</v>
      </c>
      <c r="G1278" s="4" t="str">
        <f aca="false">IF($A1278="","",TRIM(Base_Bruta!G1278))</f>
        <v>Inteira</v>
      </c>
      <c r="H1278" s="4" t="n">
        <f aca="false">IF($A1278="","",IF(ISNUMBER(Base_Bruta!H1278),Base_Bruta!H1278,IFERROR(_xlfn.NUMBERVALUE(TRIM(SUBSTITUTE(Base_Bruta!H1278,"R$","")),",","."),0)))</f>
        <v>1</v>
      </c>
      <c r="I1278" s="6" t="n">
        <f aca="false">IF($A1278="","",IF(ISNUMBER(Base_Bruta!I1278),Base_Bruta!I1278,IFERROR(_xlfn.NUMBERVALUE(TRIM(SUBSTITUTE(Base_Bruta!I1278,"R$","")),",","."),0)))</f>
        <v>735</v>
      </c>
      <c r="J1278" s="6" t="n">
        <f aca="false">IF($A1278="","",H1278*I1278)</f>
        <v>735</v>
      </c>
      <c r="K1278" s="4" t="str">
        <f aca="false">IF($A1278="","",TRIM(Base_Bruta!J1278))</f>
        <v>Parceiro</v>
      </c>
      <c r="L1278" s="4" t="str">
        <f aca="false">IF($A1278="","",TRIM(Base_Bruta!K1278))</f>
        <v>C02269</v>
      </c>
      <c r="M1278" s="4" t="str">
        <f aca="false">IF($A1278="","",_xlfn.XLOOKUP(LOWER(TRIM(Base_Bruta!L1278)),DePara_Cidade!$A$2:$A$29,DePara_Cidade!$B$2:$B$29,"REVISAR"))</f>
        <v>Porto Alegre</v>
      </c>
      <c r="N1278" s="4" t="str">
        <f aca="false">IF($A1278="","",UPPER(TRIM(Base_Bruta!M1278)))</f>
        <v>RS</v>
      </c>
      <c r="O1278" s="4" t="str">
        <f aca="false">IF($A1278="","",_xlfn.XLOOKUP(LOWER(TRIM(Base_Bruta!N1278)),DePara_Pais!$A$2:$A$9,DePara_Pais!$B$2:$B$9,"REVISAR"))</f>
        <v>Brasil</v>
      </c>
      <c r="P1278" s="4" t="str">
        <f aca="false">IF($A1278="","",IF(O1278&lt;&gt;"Brasil","Turista Internacional",IF(M1278=F1278,"Local","Turista Nacional")))</f>
        <v>Turista Nacional</v>
      </c>
      <c r="Q1278" s="7" t="n">
        <f aca="false">IF($A1278="","",DATE(YEAR(B1278),MONTH(B1278),1))</f>
        <v>46023</v>
      </c>
      <c r="R1278" s="4" t="str">
        <f aca="false">IF($A1278="","",IF(COUNTIF($A$2:$A1278,$A1278)&gt;1,"Sim","Não"))</f>
        <v>Não</v>
      </c>
      <c r="S1278" s="4" t="str">
        <f aca="false">IF(A1278="","Descartar - Linha vazia",IF(R1278="Sim","Descartar - Duplicado",IF(OR(H1278&lt;=0,I1278&lt;=0),"Descartar - Qtd/Valor inválido","OK")))</f>
        <v>OK</v>
      </c>
      <c r="T1278" s="4" t="str">
        <f aca="false">Base_Bruta!P1278</f>
        <v>vendas_RJ.xlsx</v>
      </c>
    </row>
    <row r="1279" customFormat="false" ht="15" hidden="false" customHeight="false" outlineLevel="0" collapsed="false">
      <c r="A1279" s="4" t="str">
        <f aca="false">IF(Base_Bruta!A1279="","",Base_Bruta!A1279)</f>
        <v>RJ-000181</v>
      </c>
      <c r="B1279" s="5" t="n">
        <f aca="false">IF($A1279="","",IF(ISNUMBER(Base_Bruta!B1279),Base_Bruta!B1279,IF(MID(Base_Bruta!B1279,5,1)="-",DATE(VALUE(LEFT(Base_Bruta!B1279,4)),VALUE(MID(Base_Bruta!B1279,6,2)),VALUE(RIGHT(Base_Bruta!B1279,2))),DATE(VALUE(RIGHT(Base_Bruta!B1279,4)),VALUE(MID(Base_Bruta!B1279,4,2)),VALUE(LEFT(Base_Bruta!B1279,2))))))</f>
        <v>46040</v>
      </c>
      <c r="C1279" s="5" t="n">
        <f aca="false">IF($A1279="","",IF(ISNUMBER(Base_Bruta!C1279),Base_Bruta!C1279,IF(MID(Base_Bruta!C1279,5,1)="-",DATE(VALUE(LEFT(Base_Bruta!C1279,4)),VALUE(MID(Base_Bruta!C1279,6,2)),VALUE(RIGHT(Base_Bruta!C1279,2))),DATE(VALUE(RIGHT(Base_Bruta!C1279,4)),VALUE(MID(Base_Bruta!C1279,4,2)),VALUE(LEFT(Base_Bruta!C1279,2))))))</f>
        <v>46046</v>
      </c>
      <c r="D1279" s="4" t="str">
        <f aca="false">IF($A1279="","",TRIM(Base_Bruta!D1279))</f>
        <v>Rio Beat Festival 2026</v>
      </c>
      <c r="E1279" s="4" t="str">
        <f aca="false">IF($A1279="","",_xlfn.XLOOKUP(LOWER(TRIM(Base_Bruta!E1279)),DePara_Categoria!$A$2:$A$9,DePara_Categoria!$B$2:$B$9,"REVISAR"))</f>
        <v>Festival</v>
      </c>
      <c r="F1279" s="4" t="str">
        <f aca="false">IF($A1279="","",_xlfn.XLOOKUP(LOWER(TRIM(Base_Bruta!F1279)),DePara_Cidade!$A$2:$A$29,DePara_Cidade!$B$2:$B$29,"REVISAR"))</f>
        <v>Rio de Janeiro</v>
      </c>
      <c r="G1279" s="4" t="str">
        <f aca="false">IF($A1279="","",TRIM(Base_Bruta!G1279))</f>
        <v>Meia</v>
      </c>
      <c r="H1279" s="4" t="n">
        <f aca="false">IF($A1279="","",IF(ISNUMBER(Base_Bruta!H1279),Base_Bruta!H1279,IFERROR(_xlfn.NUMBERVALUE(TRIM(SUBSTITUTE(Base_Bruta!H1279,"R$","")),",","."),0)))</f>
        <v>2</v>
      </c>
      <c r="I1279" s="6" t="n">
        <f aca="false">IF($A1279="","",IF(ISNUMBER(Base_Bruta!I1279),Base_Bruta!I1279,IFERROR(_xlfn.NUMBERVALUE(TRIM(SUBSTITUTE(Base_Bruta!I1279,"R$","")),",","."),0)))</f>
        <v>460</v>
      </c>
      <c r="J1279" s="6" t="n">
        <f aca="false">IF($A1279="","",H1279*I1279)</f>
        <v>920</v>
      </c>
      <c r="K1279" s="4" t="str">
        <f aca="false">IF($A1279="","",TRIM(Base_Bruta!J1279))</f>
        <v>Site</v>
      </c>
      <c r="L1279" s="4" t="str">
        <f aca="false">IF($A1279="","",TRIM(Base_Bruta!K1279))</f>
        <v>C01701</v>
      </c>
      <c r="M1279" s="4" t="str">
        <f aca="false">IF($A1279="","",_xlfn.XLOOKUP(LOWER(TRIM(Base_Bruta!L1279)),DePara_Cidade!$A$2:$A$29,DePara_Cidade!$B$2:$B$29,"REVISAR"))</f>
        <v>Vitória</v>
      </c>
      <c r="N1279" s="4" t="str">
        <f aca="false">IF($A1279="","",UPPER(TRIM(Base_Bruta!M1279)))</f>
        <v>ES</v>
      </c>
      <c r="O1279" s="4" t="str">
        <f aca="false">IF($A1279="","",_xlfn.XLOOKUP(LOWER(TRIM(Base_Bruta!N1279)),DePara_Pais!$A$2:$A$9,DePara_Pais!$B$2:$B$9,"REVISAR"))</f>
        <v>Brasil</v>
      </c>
      <c r="P1279" s="4" t="str">
        <f aca="false">IF($A1279="","",IF(O1279&lt;&gt;"Brasil","Turista Internacional",IF(M1279=F1279,"Local","Turista Nacional")))</f>
        <v>Turista Nacional</v>
      </c>
      <c r="Q1279" s="7" t="n">
        <f aca="false">IF($A1279="","",DATE(YEAR(B1279),MONTH(B1279),1))</f>
        <v>46023</v>
      </c>
      <c r="R1279" s="4" t="str">
        <f aca="false">IF($A1279="","",IF(COUNTIF($A$2:$A1279,$A1279)&gt;1,"Sim","Não"))</f>
        <v>Não</v>
      </c>
      <c r="S1279" s="4" t="str">
        <f aca="false">IF(A1279="","Descartar - Linha vazia",IF(R1279="Sim","Descartar - Duplicado",IF(OR(H1279&lt;=0,I1279&lt;=0),"Descartar - Qtd/Valor inválido","OK")))</f>
        <v>OK</v>
      </c>
      <c r="T1279" s="4" t="str">
        <f aca="false">Base_Bruta!P1279</f>
        <v>vendas_RJ.xlsx</v>
      </c>
    </row>
    <row r="1280" customFormat="false" ht="15" hidden="false" customHeight="false" outlineLevel="0" collapsed="false">
      <c r="A1280" s="4" t="str">
        <f aca="false">IF(Base_Bruta!A1280="","",Base_Bruta!A1280)</f>
        <v>RJ-000227</v>
      </c>
      <c r="B1280" s="5" t="n">
        <f aca="false">IF($A1280="","",IF(ISNUMBER(Base_Bruta!B1280),Base_Bruta!B1280,IF(MID(Base_Bruta!B1280,5,1)="-",DATE(VALUE(LEFT(Base_Bruta!B1280,4)),VALUE(MID(Base_Bruta!B1280,6,2)),VALUE(RIGHT(Base_Bruta!B1280,2))),DATE(VALUE(RIGHT(Base_Bruta!B1280,4)),VALUE(MID(Base_Bruta!B1280,4,2)),VALUE(LEFT(Base_Bruta!B1280,2))))))</f>
        <v>46040</v>
      </c>
      <c r="C1280" s="5" t="n">
        <f aca="false">IF($A1280="","",IF(ISNUMBER(Base_Bruta!C1280),Base_Bruta!C1280,IF(MID(Base_Bruta!C1280,5,1)="-",DATE(VALUE(LEFT(Base_Bruta!C1280,4)),VALUE(MID(Base_Bruta!C1280,6,2)),VALUE(RIGHT(Base_Bruta!C1280,2))),DATE(VALUE(RIGHT(Base_Bruta!C1280,4)),VALUE(MID(Base_Bruta!C1280,4,2)),VALUE(LEFT(Base_Bruta!C1280,2))))))</f>
        <v>46046</v>
      </c>
      <c r="D1280" s="4" t="str">
        <f aca="false">IF($A1280="","",TRIM(Base_Bruta!D1280))</f>
        <v>Rio Beat Festival 2026</v>
      </c>
      <c r="E1280" s="4" t="str">
        <f aca="false">IF($A1280="","",_xlfn.XLOOKUP(LOWER(TRIM(Base_Bruta!E1280)),DePara_Categoria!$A$2:$A$9,DePara_Categoria!$B$2:$B$9,"REVISAR"))</f>
        <v>Festival</v>
      </c>
      <c r="F1280" s="4" t="str">
        <f aca="false">IF($A1280="","",_xlfn.XLOOKUP(LOWER(TRIM(Base_Bruta!F1280)),DePara_Cidade!$A$2:$A$29,DePara_Cidade!$B$2:$B$29,"REVISAR"))</f>
        <v>Rio de Janeiro</v>
      </c>
      <c r="G1280" s="4" t="str">
        <f aca="false">IF($A1280="","",TRIM(Base_Bruta!G1280))</f>
        <v>VIP</v>
      </c>
      <c r="H1280" s="4" t="n">
        <f aca="false">IF($A1280="","",IF(ISNUMBER(Base_Bruta!H1280),Base_Bruta!H1280,IFERROR(_xlfn.NUMBERVALUE(TRIM(SUBSTITUTE(Base_Bruta!H1280,"R$","")),",","."),0)))</f>
        <v>2</v>
      </c>
      <c r="I1280" s="6" t="n">
        <f aca="false">IF($A1280="","",IF(ISNUMBER(Base_Bruta!I1280),Base_Bruta!I1280,IFERROR(_xlfn.NUMBERVALUE(TRIM(SUBSTITUTE(Base_Bruta!I1280,"R$","")),",","."),0)))</f>
        <v>2000</v>
      </c>
      <c r="J1280" s="6" t="n">
        <f aca="false">IF($A1280="","",H1280*I1280)</f>
        <v>4000</v>
      </c>
      <c r="K1280" s="4" t="str">
        <f aca="false">IF($A1280="","",TRIM(Base_Bruta!J1280))</f>
        <v>App</v>
      </c>
      <c r="L1280" s="4" t="str">
        <f aca="false">IF($A1280="","",TRIM(Base_Bruta!K1280))</f>
        <v>C02458</v>
      </c>
      <c r="M1280" s="4" t="str">
        <f aca="false">IF($A1280="","",_xlfn.XLOOKUP(LOWER(TRIM(Base_Bruta!L1280)),DePara_Cidade!$A$2:$A$29,DePara_Cidade!$B$2:$B$29,"REVISAR"))</f>
        <v>Rio de Janeiro</v>
      </c>
      <c r="N1280" s="4" t="str">
        <f aca="false">IF($A1280="","",UPPER(TRIM(Base_Bruta!M1280)))</f>
        <v>RJ</v>
      </c>
      <c r="O1280" s="4" t="str">
        <f aca="false">IF($A1280="","",_xlfn.XLOOKUP(LOWER(TRIM(Base_Bruta!N1280)),DePara_Pais!$A$2:$A$9,DePara_Pais!$B$2:$B$9,"REVISAR"))</f>
        <v>Brasil</v>
      </c>
      <c r="P1280" s="4" t="str">
        <f aca="false">IF($A1280="","",IF(O1280&lt;&gt;"Brasil","Turista Internacional",IF(M1280=F1280,"Local","Turista Nacional")))</f>
        <v>Local</v>
      </c>
      <c r="Q1280" s="7" t="n">
        <f aca="false">IF($A1280="","",DATE(YEAR(B1280),MONTH(B1280),1))</f>
        <v>46023</v>
      </c>
      <c r="R1280" s="4" t="str">
        <f aca="false">IF($A1280="","",IF(COUNTIF($A$2:$A1280,$A1280)&gt;1,"Sim","Não"))</f>
        <v>Não</v>
      </c>
      <c r="S1280" s="4" t="str">
        <f aca="false">IF(A1280="","Descartar - Linha vazia",IF(R1280="Sim","Descartar - Duplicado",IF(OR(H1280&lt;=0,I1280&lt;=0),"Descartar - Qtd/Valor inválido","OK")))</f>
        <v>OK</v>
      </c>
      <c r="T1280" s="4" t="str">
        <f aca="false">Base_Bruta!P1280</f>
        <v>vendas_RJ.xlsx</v>
      </c>
    </row>
    <row r="1281" customFormat="false" ht="15" hidden="false" customHeight="false" outlineLevel="0" collapsed="false">
      <c r="A1281" s="4" t="str">
        <f aca="false">IF(Base_Bruta!A1281="","",Base_Bruta!A1281)</f>
        <v>RJ-000407</v>
      </c>
      <c r="B1281" s="5" t="n">
        <f aca="false">IF($A1281="","",IF(ISNUMBER(Base_Bruta!B1281),Base_Bruta!B1281,IF(MID(Base_Bruta!B1281,5,1)="-",DATE(VALUE(LEFT(Base_Bruta!B1281,4)),VALUE(MID(Base_Bruta!B1281,6,2)),VALUE(RIGHT(Base_Bruta!B1281,2))),DATE(VALUE(RIGHT(Base_Bruta!B1281,4)),VALUE(MID(Base_Bruta!B1281,4,2)),VALUE(LEFT(Base_Bruta!B1281,2))))))</f>
        <v>46040</v>
      </c>
      <c r="C1281" s="5" t="n">
        <f aca="false">IF($A1281="","",IF(ISNUMBER(Base_Bruta!C1281),Base_Bruta!C1281,IF(MID(Base_Bruta!C1281,5,1)="-",DATE(VALUE(LEFT(Base_Bruta!C1281,4)),VALUE(MID(Base_Bruta!C1281,6,2)),VALUE(RIGHT(Base_Bruta!C1281,2))),DATE(VALUE(RIGHT(Base_Bruta!C1281,4)),VALUE(MID(Base_Bruta!C1281,4,2)),VALUE(LEFT(Base_Bruta!C1281,2))))))</f>
        <v>46151</v>
      </c>
      <c r="D1281" s="4" t="str">
        <f aca="false">IF($A1281="","",TRIM(Base_Bruta!D1281))</f>
        <v>Turnê Internacional Rock - Rio</v>
      </c>
      <c r="E1281" s="4" t="str">
        <f aca="false">IF($A1281="","",_xlfn.XLOOKUP(LOWER(TRIM(Base_Bruta!E1281)),DePara_Categoria!$A$2:$A$9,DePara_Categoria!$B$2:$B$9,"REVISAR"))</f>
        <v>Show</v>
      </c>
      <c r="F1281" s="4" t="str">
        <f aca="false">IF($A1281="","",_xlfn.XLOOKUP(LOWER(TRIM(Base_Bruta!F1281)),DePara_Cidade!$A$2:$A$29,DePara_Cidade!$B$2:$B$29,"REVISAR"))</f>
        <v>Rio de Janeiro</v>
      </c>
      <c r="G1281" s="4" t="str">
        <f aca="false">IF($A1281="","",TRIM(Base_Bruta!G1281))</f>
        <v>Inteira</v>
      </c>
      <c r="H1281" s="4" t="n">
        <f aca="false">IF($A1281="","",IF(ISNUMBER(Base_Bruta!H1281),Base_Bruta!H1281,IFERROR(_xlfn.NUMBERVALUE(TRIM(SUBSTITUTE(Base_Bruta!H1281,"R$","")),",","."),0)))</f>
        <v>2</v>
      </c>
      <c r="I1281" s="6" t="n">
        <f aca="false">IF($A1281="","",IF(ISNUMBER(Base_Bruta!I1281),Base_Bruta!I1281,IFERROR(_xlfn.NUMBERVALUE(TRIM(SUBSTITUTE(Base_Bruta!I1281,"R$","")),",","."),0)))</f>
        <v>440</v>
      </c>
      <c r="J1281" s="6" t="n">
        <f aca="false">IF($A1281="","",H1281*I1281)</f>
        <v>880</v>
      </c>
      <c r="K1281" s="4" t="str">
        <f aca="false">IF($A1281="","",TRIM(Base_Bruta!J1281))</f>
        <v>App</v>
      </c>
      <c r="L1281" s="4" t="str">
        <f aca="false">IF($A1281="","",TRIM(Base_Bruta!K1281))</f>
        <v>C02237</v>
      </c>
      <c r="M1281" s="4" t="str">
        <f aca="false">IF($A1281="","",_xlfn.XLOOKUP(LOWER(TRIM(Base_Bruta!L1281)),DePara_Cidade!$A$2:$A$29,DePara_Cidade!$B$2:$B$29,"REVISAR"))</f>
        <v>Salvador</v>
      </c>
      <c r="N1281" s="4" t="str">
        <f aca="false">IF($A1281="","",UPPER(TRIM(Base_Bruta!M1281)))</f>
        <v>BA</v>
      </c>
      <c r="O1281" s="4" t="str">
        <f aca="false">IF($A1281="","",_xlfn.XLOOKUP(LOWER(TRIM(Base_Bruta!N1281)),DePara_Pais!$A$2:$A$9,DePara_Pais!$B$2:$B$9,"REVISAR"))</f>
        <v>Brasil</v>
      </c>
      <c r="P1281" s="4" t="str">
        <f aca="false">IF($A1281="","",IF(O1281&lt;&gt;"Brasil","Turista Internacional",IF(M1281=F1281,"Local","Turista Nacional")))</f>
        <v>Turista Nacional</v>
      </c>
      <c r="Q1281" s="7" t="n">
        <f aca="false">IF($A1281="","",DATE(YEAR(B1281),MONTH(B1281),1))</f>
        <v>46023</v>
      </c>
      <c r="R1281" s="4" t="str">
        <f aca="false">IF($A1281="","",IF(COUNTIF($A$2:$A1281,$A1281)&gt;1,"Sim","Não"))</f>
        <v>Não</v>
      </c>
      <c r="S1281" s="4" t="str">
        <f aca="false">IF(A1281="","Descartar - Linha vazia",IF(R1281="Sim","Descartar - Duplicado",IF(OR(H1281&lt;=0,I1281&lt;=0),"Descartar - Qtd/Valor inválido","OK")))</f>
        <v>OK</v>
      </c>
      <c r="T1281" s="4" t="str">
        <f aca="false">Base_Bruta!P1281</f>
        <v>vendas_RJ.xlsx</v>
      </c>
    </row>
    <row r="1282" customFormat="false" ht="15" hidden="false" customHeight="false" outlineLevel="0" collapsed="false">
      <c r="A1282" s="4" t="str">
        <f aca="false">IF(Base_Bruta!A1282="","",Base_Bruta!A1282)</f>
        <v>RJ-000488</v>
      </c>
      <c r="B1282" s="5" t="n">
        <f aca="false">IF($A1282="","",IF(ISNUMBER(Base_Bruta!B1282),Base_Bruta!B1282,IF(MID(Base_Bruta!B1282,5,1)="-",DATE(VALUE(LEFT(Base_Bruta!B1282,4)),VALUE(MID(Base_Bruta!B1282,6,2)),VALUE(RIGHT(Base_Bruta!B1282,2))),DATE(VALUE(RIGHT(Base_Bruta!B1282,4)),VALUE(MID(Base_Bruta!B1282,4,2)),VALUE(LEFT(Base_Bruta!B1282,2))))))</f>
        <v>46040</v>
      </c>
      <c r="C1282" s="5" t="n">
        <f aca="false">IF($A1282="","",IF(ISNUMBER(Base_Bruta!C1282),Base_Bruta!C1282,IF(MID(Base_Bruta!C1282,5,1)="-",DATE(VALUE(LEFT(Base_Bruta!C1282,4)),VALUE(MID(Base_Bruta!C1282,6,2)),VALUE(RIGHT(Base_Bruta!C1282,2))),DATE(VALUE(RIGHT(Base_Bruta!C1282,4)),VALUE(MID(Base_Bruta!C1282,4,2)),VALUE(LEFT(Base_Bruta!C1282,2))))))</f>
        <v>46151</v>
      </c>
      <c r="D1282" s="4" t="str">
        <f aca="false">IF($A1282="","",TRIM(Base_Bruta!D1282))</f>
        <v>Turnê Internacional Rock - Rio</v>
      </c>
      <c r="E1282" s="4" t="str">
        <f aca="false">IF($A1282="","",_xlfn.XLOOKUP(LOWER(TRIM(Base_Bruta!E1282)),DePara_Categoria!$A$2:$A$9,DePara_Categoria!$B$2:$B$9,"REVISAR"))</f>
        <v>Show</v>
      </c>
      <c r="F1282" s="4" t="str">
        <f aca="false">IF($A1282="","",_xlfn.XLOOKUP(LOWER(TRIM(Base_Bruta!F1282)),DePara_Cidade!$A$2:$A$29,DePara_Cidade!$B$2:$B$29,"REVISAR"))</f>
        <v>Rio de Janeiro</v>
      </c>
      <c r="G1282" s="4" t="str">
        <f aca="false">IF($A1282="","",TRIM(Base_Bruta!G1282))</f>
        <v>Meia</v>
      </c>
      <c r="H1282" s="4" t="n">
        <f aca="false">IF($A1282="","",IF(ISNUMBER(Base_Bruta!H1282),Base_Bruta!H1282,IFERROR(_xlfn.NUMBERVALUE(TRIM(SUBSTITUTE(Base_Bruta!H1282,"R$","")),",","."),0)))</f>
        <v>1</v>
      </c>
      <c r="I1282" s="6" t="n">
        <f aca="false">IF($A1282="","",IF(ISNUMBER(Base_Bruta!I1282),Base_Bruta!I1282,IFERROR(_xlfn.NUMBERVALUE(TRIM(SUBSTITUTE(Base_Bruta!I1282,"R$","")),",","."),0)))</f>
        <v>255</v>
      </c>
      <c r="J1282" s="6" t="n">
        <f aca="false">IF($A1282="","",H1282*I1282)</f>
        <v>255</v>
      </c>
      <c r="K1282" s="4" t="str">
        <f aca="false">IF($A1282="","",TRIM(Base_Bruta!J1282))</f>
        <v>App</v>
      </c>
      <c r="L1282" s="4" t="str">
        <f aca="false">IF($A1282="","",TRIM(Base_Bruta!K1282))</f>
        <v>C00541</v>
      </c>
      <c r="M1282" s="4" t="str">
        <f aca="false">IF($A1282="","",_xlfn.XLOOKUP(LOWER(TRIM(Base_Bruta!L1282)),DePara_Cidade!$A$2:$A$29,DePara_Cidade!$B$2:$B$29,"REVISAR"))</f>
        <v>Rio de Janeiro</v>
      </c>
      <c r="N1282" s="4" t="str">
        <f aca="false">IF($A1282="","",UPPER(TRIM(Base_Bruta!M1282)))</f>
        <v>RJ</v>
      </c>
      <c r="O1282" s="4" t="str">
        <f aca="false">IF($A1282="","",_xlfn.XLOOKUP(LOWER(TRIM(Base_Bruta!N1282)),DePara_Pais!$A$2:$A$9,DePara_Pais!$B$2:$B$9,"REVISAR"))</f>
        <v>Brasil</v>
      </c>
      <c r="P1282" s="4" t="str">
        <f aca="false">IF($A1282="","",IF(O1282&lt;&gt;"Brasil","Turista Internacional",IF(M1282=F1282,"Local","Turista Nacional")))</f>
        <v>Local</v>
      </c>
      <c r="Q1282" s="7" t="n">
        <f aca="false">IF($A1282="","",DATE(YEAR(B1282),MONTH(B1282),1))</f>
        <v>46023</v>
      </c>
      <c r="R1282" s="4" t="str">
        <f aca="false">IF($A1282="","",IF(COUNTIF($A$2:$A1282,$A1282)&gt;1,"Sim","Não"))</f>
        <v>Não</v>
      </c>
      <c r="S1282" s="4" t="str">
        <f aca="false">IF(A1282="","Descartar - Linha vazia",IF(R1282="Sim","Descartar - Duplicado",IF(OR(H1282&lt;=0,I1282&lt;=0),"Descartar - Qtd/Valor inválido","OK")))</f>
        <v>OK</v>
      </c>
      <c r="T1282" s="4" t="str">
        <f aca="false">Base_Bruta!P1282</f>
        <v>vendas_RJ.xlsx</v>
      </c>
    </row>
    <row r="1283" customFormat="false" ht="15" hidden="false" customHeight="false" outlineLevel="0" collapsed="false">
      <c r="A1283" s="4" t="str">
        <f aca="false">IF(Base_Bruta!A1283="","",Base_Bruta!A1283)</f>
        <v>RJ-000529</v>
      </c>
      <c r="B1283" s="5" t="n">
        <f aca="false">IF($A1283="","",IF(ISNUMBER(Base_Bruta!B1283),Base_Bruta!B1283,IF(MID(Base_Bruta!B1283,5,1)="-",DATE(VALUE(LEFT(Base_Bruta!B1283,4)),VALUE(MID(Base_Bruta!B1283,6,2)),VALUE(RIGHT(Base_Bruta!B1283,2))),DATE(VALUE(RIGHT(Base_Bruta!B1283,4)),VALUE(MID(Base_Bruta!B1283,4,2)),VALUE(LEFT(Base_Bruta!B1283,2))))))</f>
        <v>46040</v>
      </c>
      <c r="C1283" s="5" t="n">
        <f aca="false">IF($A1283="","",IF(ISNUMBER(Base_Bruta!C1283),Base_Bruta!C1283,IF(MID(Base_Bruta!C1283,5,1)="-",DATE(VALUE(LEFT(Base_Bruta!C1283,4)),VALUE(MID(Base_Bruta!C1283,6,2)),VALUE(RIGHT(Base_Bruta!C1283,2))),DATE(VALUE(RIGHT(Base_Bruta!C1283,4)),VALUE(MID(Base_Bruta!C1283,4,2)),VALUE(LEFT(Base_Bruta!C1283,2))))))</f>
        <v>46151</v>
      </c>
      <c r="D1283" s="4" t="str">
        <f aca="false">IF($A1283="","",TRIM(Base_Bruta!D1283))</f>
        <v>Turnê Internacional Rock - Rio</v>
      </c>
      <c r="E1283" s="4" t="str">
        <f aca="false">IF($A1283="","",_xlfn.XLOOKUP(LOWER(TRIM(Base_Bruta!E1283)),DePara_Categoria!$A$2:$A$9,DePara_Categoria!$B$2:$B$9,"REVISAR"))</f>
        <v>Show</v>
      </c>
      <c r="F1283" s="4" t="str">
        <f aca="false">IF($A1283="","",_xlfn.XLOOKUP(LOWER(TRIM(Base_Bruta!F1283)),DePara_Cidade!$A$2:$A$29,DePara_Cidade!$B$2:$B$29,"REVISAR"))</f>
        <v>Rio de Janeiro</v>
      </c>
      <c r="G1283" s="4" t="str">
        <f aca="false">IF($A1283="","",TRIM(Base_Bruta!G1283))</f>
        <v>Inteira</v>
      </c>
      <c r="H1283" s="4" t="n">
        <f aca="false">IF($A1283="","",IF(ISNUMBER(Base_Bruta!H1283),Base_Bruta!H1283,IFERROR(_xlfn.NUMBERVALUE(TRIM(SUBSTITUTE(Base_Bruta!H1283,"R$","")),",","."),0)))</f>
        <v>1</v>
      </c>
      <c r="I1283" s="6" t="n">
        <f aca="false">IF($A1283="","",IF(ISNUMBER(Base_Bruta!I1283),Base_Bruta!I1283,IFERROR(_xlfn.NUMBERVALUE(TRIM(SUBSTITUTE(Base_Bruta!I1283,"R$","")),",","."),0)))</f>
        <v>590</v>
      </c>
      <c r="J1283" s="6" t="n">
        <f aca="false">IF($A1283="","",H1283*I1283)</f>
        <v>590</v>
      </c>
      <c r="K1283" s="4" t="str">
        <f aca="false">IF($A1283="","",TRIM(Base_Bruta!J1283))</f>
        <v>Parceiro</v>
      </c>
      <c r="L1283" s="4" t="str">
        <f aca="false">IF($A1283="","",TRIM(Base_Bruta!K1283))</f>
        <v>C01897</v>
      </c>
      <c r="M1283" s="4" t="str">
        <f aca="false">IF($A1283="","",_xlfn.XLOOKUP(LOWER(TRIM(Base_Bruta!L1283)),DePara_Cidade!$A$2:$A$29,DePara_Cidade!$B$2:$B$29,"REVISAR"))</f>
        <v>Rio de Janeiro</v>
      </c>
      <c r="N1283" s="4" t="str">
        <f aca="false">IF($A1283="","",UPPER(TRIM(Base_Bruta!M1283)))</f>
        <v>RJ</v>
      </c>
      <c r="O1283" s="4" t="str">
        <f aca="false">IF($A1283="","",_xlfn.XLOOKUP(LOWER(TRIM(Base_Bruta!N1283)),DePara_Pais!$A$2:$A$9,DePara_Pais!$B$2:$B$9,"REVISAR"))</f>
        <v>Brasil</v>
      </c>
      <c r="P1283" s="4" t="str">
        <f aca="false">IF($A1283="","",IF(O1283&lt;&gt;"Brasil","Turista Internacional",IF(M1283=F1283,"Local","Turista Nacional")))</f>
        <v>Local</v>
      </c>
      <c r="Q1283" s="7" t="n">
        <f aca="false">IF($A1283="","",DATE(YEAR(B1283),MONTH(B1283),1))</f>
        <v>46023</v>
      </c>
      <c r="R1283" s="4" t="str">
        <f aca="false">IF($A1283="","",IF(COUNTIF($A$2:$A1283,$A1283)&gt;1,"Sim","Não"))</f>
        <v>Não</v>
      </c>
      <c r="S1283" s="4" t="str">
        <f aca="false">IF(A1283="","Descartar - Linha vazia",IF(R1283="Sim","Descartar - Duplicado",IF(OR(H1283&lt;=0,I1283&lt;=0),"Descartar - Qtd/Valor inválido","OK")))</f>
        <v>OK</v>
      </c>
      <c r="T1283" s="4" t="str">
        <f aca="false">Base_Bruta!P1283</f>
        <v>vendas_RJ.xlsx</v>
      </c>
    </row>
    <row r="1284" customFormat="false" ht="15" hidden="false" customHeight="false" outlineLevel="0" collapsed="false">
      <c r="A1284" s="4" t="str">
        <f aca="false">IF(Base_Bruta!A1284="","",Base_Bruta!A1284)</f>
        <v>RJ-000003</v>
      </c>
      <c r="B1284" s="5" t="n">
        <f aca="false">IF($A1284="","",IF(ISNUMBER(Base_Bruta!B1284),Base_Bruta!B1284,IF(MID(Base_Bruta!B1284,5,1)="-",DATE(VALUE(LEFT(Base_Bruta!B1284,4)),VALUE(MID(Base_Bruta!B1284,6,2)),VALUE(RIGHT(Base_Bruta!B1284,2))),DATE(VALUE(RIGHT(Base_Bruta!B1284,4)),VALUE(MID(Base_Bruta!B1284,4,2)),VALUE(LEFT(Base_Bruta!B1284,2))))))</f>
        <v>46041</v>
      </c>
      <c r="C1284" s="5" t="n">
        <f aca="false">IF($A1284="","",IF(ISNUMBER(Base_Bruta!C1284),Base_Bruta!C1284,IF(MID(Base_Bruta!C1284,5,1)="-",DATE(VALUE(LEFT(Base_Bruta!C1284,4)),VALUE(MID(Base_Bruta!C1284,6,2)),VALUE(RIGHT(Base_Bruta!C1284,2))),DATE(VALUE(RIGHT(Base_Bruta!C1284,4)),VALUE(MID(Base_Bruta!C1284,4,2)),VALUE(LEFT(Base_Bruta!C1284,2))))))</f>
        <v>46046</v>
      </c>
      <c r="D1284" s="4" t="str">
        <f aca="false">IF($A1284="","",TRIM(Base_Bruta!D1284))</f>
        <v>Rio Beat Festival 2026</v>
      </c>
      <c r="E1284" s="4" t="str">
        <f aca="false">IF($A1284="","",_xlfn.XLOOKUP(LOWER(TRIM(Base_Bruta!E1284)),DePara_Categoria!$A$2:$A$9,DePara_Categoria!$B$2:$B$9,"REVISAR"))</f>
        <v>Festival</v>
      </c>
      <c r="F1284" s="4" t="str">
        <f aca="false">IF($A1284="","",_xlfn.XLOOKUP(LOWER(TRIM(Base_Bruta!F1284)),DePara_Cidade!$A$2:$A$29,DePara_Cidade!$B$2:$B$29,"REVISAR"))</f>
        <v>Rio de Janeiro</v>
      </c>
      <c r="G1284" s="4" t="str">
        <f aca="false">IF($A1284="","",TRIM(Base_Bruta!G1284))</f>
        <v>Inteira</v>
      </c>
      <c r="H1284" s="4" t="n">
        <f aca="false">IF($A1284="","",IF(ISNUMBER(Base_Bruta!H1284),Base_Bruta!H1284,IFERROR(_xlfn.NUMBERVALUE(TRIM(SUBSTITUTE(Base_Bruta!H1284,"R$","")),",","."),0)))</f>
        <v>3</v>
      </c>
      <c r="I1284" s="6" t="n">
        <f aca="false">IF($A1284="","",IF(ISNUMBER(Base_Bruta!I1284),Base_Bruta!I1284,IFERROR(_xlfn.NUMBERVALUE(TRIM(SUBSTITUTE(Base_Bruta!I1284,"R$","")),",","."),0)))</f>
        <v>1035</v>
      </c>
      <c r="J1284" s="6" t="n">
        <f aca="false">IF($A1284="","",H1284*I1284)</f>
        <v>3105</v>
      </c>
      <c r="K1284" s="4" t="str">
        <f aca="false">IF($A1284="","",TRIM(Base_Bruta!J1284))</f>
        <v>Parceiro</v>
      </c>
      <c r="L1284" s="4" t="str">
        <f aca="false">IF($A1284="","",TRIM(Base_Bruta!K1284))</f>
        <v>C00679</v>
      </c>
      <c r="M1284" s="4" t="str">
        <f aca="false">IF($A1284="","",_xlfn.XLOOKUP(LOWER(TRIM(Base_Bruta!L1284)),DePara_Cidade!$A$2:$A$29,DePara_Cidade!$B$2:$B$29,"REVISAR"))</f>
        <v>São Paulo</v>
      </c>
      <c r="N1284" s="4" t="str">
        <f aca="false">IF($A1284="","",UPPER(TRIM(Base_Bruta!M1284)))</f>
        <v>SP</v>
      </c>
      <c r="O1284" s="4" t="str">
        <f aca="false">IF($A1284="","",_xlfn.XLOOKUP(LOWER(TRIM(Base_Bruta!N1284)),DePara_Pais!$A$2:$A$9,DePara_Pais!$B$2:$B$9,"REVISAR"))</f>
        <v>Brasil</v>
      </c>
      <c r="P1284" s="4" t="str">
        <f aca="false">IF($A1284="","",IF(O1284&lt;&gt;"Brasil","Turista Internacional",IF(M1284=F1284,"Local","Turista Nacional")))</f>
        <v>Turista Nacional</v>
      </c>
      <c r="Q1284" s="7" t="n">
        <f aca="false">IF($A1284="","",DATE(YEAR(B1284),MONTH(B1284),1))</f>
        <v>46023</v>
      </c>
      <c r="R1284" s="4" t="str">
        <f aca="false">IF($A1284="","",IF(COUNTIF($A$2:$A1284,$A1284)&gt;1,"Sim","Não"))</f>
        <v>Não</v>
      </c>
      <c r="S1284" s="4" t="str">
        <f aca="false">IF(A1284="","Descartar - Linha vazia",IF(R1284="Sim","Descartar - Duplicado",IF(OR(H1284&lt;=0,I1284&lt;=0),"Descartar - Qtd/Valor inválido","OK")))</f>
        <v>OK</v>
      </c>
      <c r="T1284" s="4" t="str">
        <f aca="false">Base_Bruta!P1284</f>
        <v>vendas_RJ.xlsx</v>
      </c>
    </row>
    <row r="1285" customFormat="false" ht="15" hidden="false" customHeight="false" outlineLevel="0" collapsed="false">
      <c r="A1285" s="4" t="str">
        <f aca="false">IF(Base_Bruta!A1285="","",Base_Bruta!A1285)</f>
        <v>RJ-000005</v>
      </c>
      <c r="B1285" s="5" t="n">
        <f aca="false">IF($A1285="","",IF(ISNUMBER(Base_Bruta!B1285),Base_Bruta!B1285,IF(MID(Base_Bruta!B1285,5,1)="-",DATE(VALUE(LEFT(Base_Bruta!B1285,4)),VALUE(MID(Base_Bruta!B1285,6,2)),VALUE(RIGHT(Base_Bruta!B1285,2))),DATE(VALUE(RIGHT(Base_Bruta!B1285,4)),VALUE(MID(Base_Bruta!B1285,4,2)),VALUE(LEFT(Base_Bruta!B1285,2))))))</f>
        <v>46041</v>
      </c>
      <c r="C1285" s="5" t="n">
        <f aca="false">IF($A1285="","",IF(ISNUMBER(Base_Bruta!C1285),Base_Bruta!C1285,IF(MID(Base_Bruta!C1285,5,1)="-",DATE(VALUE(LEFT(Base_Bruta!C1285,4)),VALUE(MID(Base_Bruta!C1285,6,2)),VALUE(RIGHT(Base_Bruta!C1285,2))),DATE(VALUE(RIGHT(Base_Bruta!C1285,4)),VALUE(MID(Base_Bruta!C1285,4,2)),VALUE(LEFT(Base_Bruta!C1285,2))))))</f>
        <v>46046</v>
      </c>
      <c r="D1285" s="4" t="str">
        <f aca="false">IF($A1285="","",TRIM(Base_Bruta!D1285))</f>
        <v>Rio Beat Festival 2026</v>
      </c>
      <c r="E1285" s="4" t="str">
        <f aca="false">IF($A1285="","",_xlfn.XLOOKUP(LOWER(TRIM(Base_Bruta!E1285)),DePara_Categoria!$A$2:$A$9,DePara_Categoria!$B$2:$B$9,"REVISAR"))</f>
        <v>Festival</v>
      </c>
      <c r="F1285" s="4" t="str">
        <f aca="false">IF($A1285="","",_xlfn.XLOOKUP(LOWER(TRIM(Base_Bruta!F1285)),DePara_Cidade!$A$2:$A$29,DePara_Cidade!$B$2:$B$29,"REVISAR"))</f>
        <v>Rio de Janeiro</v>
      </c>
      <c r="G1285" s="4" t="str">
        <f aca="false">IF($A1285="","",TRIM(Base_Bruta!G1285))</f>
        <v>Inteira</v>
      </c>
      <c r="H1285" s="4" t="n">
        <f aca="false">IF($A1285="","",IF(ISNUMBER(Base_Bruta!H1285),Base_Bruta!H1285,IFERROR(_xlfn.NUMBERVALUE(TRIM(SUBSTITUTE(Base_Bruta!H1285,"R$","")),",","."),0)))</f>
        <v>4</v>
      </c>
      <c r="I1285" s="6" t="n">
        <f aca="false">IF($A1285="","",IF(ISNUMBER(Base_Bruta!I1285),Base_Bruta!I1285,IFERROR(_xlfn.NUMBERVALUE(TRIM(SUBSTITUTE(Base_Bruta!I1285,"R$","")),",","."),0)))</f>
        <v>1095</v>
      </c>
      <c r="J1285" s="6" t="n">
        <f aca="false">IF($A1285="","",H1285*I1285)</f>
        <v>4380</v>
      </c>
      <c r="K1285" s="4" t="str">
        <f aca="false">IF($A1285="","",TRIM(Base_Bruta!J1285))</f>
        <v>Parceiro</v>
      </c>
      <c r="L1285" s="4" t="str">
        <f aca="false">IF($A1285="","",TRIM(Base_Bruta!K1285))</f>
        <v>C01199</v>
      </c>
      <c r="M1285" s="4" t="str">
        <f aca="false">IF($A1285="","",_xlfn.XLOOKUP(LOWER(TRIM(Base_Bruta!L1285)),DePara_Cidade!$A$2:$A$29,DePara_Cidade!$B$2:$B$29,"REVISAR"))</f>
        <v>Curitiba</v>
      </c>
      <c r="N1285" s="4" t="str">
        <f aca="false">IF($A1285="","",UPPER(TRIM(Base_Bruta!M1285)))</f>
        <v>PR</v>
      </c>
      <c r="O1285" s="4" t="str">
        <f aca="false">IF($A1285="","",_xlfn.XLOOKUP(LOWER(TRIM(Base_Bruta!N1285)),DePara_Pais!$A$2:$A$9,DePara_Pais!$B$2:$B$9,"REVISAR"))</f>
        <v>Brasil</v>
      </c>
      <c r="P1285" s="4" t="str">
        <f aca="false">IF($A1285="","",IF(O1285&lt;&gt;"Brasil","Turista Internacional",IF(M1285=F1285,"Local","Turista Nacional")))</f>
        <v>Turista Nacional</v>
      </c>
      <c r="Q1285" s="7" t="n">
        <f aca="false">IF($A1285="","",DATE(YEAR(B1285),MONTH(B1285),1))</f>
        <v>46023</v>
      </c>
      <c r="R1285" s="4" t="str">
        <f aca="false">IF($A1285="","",IF(COUNTIF($A$2:$A1285,$A1285)&gt;1,"Sim","Não"))</f>
        <v>Não</v>
      </c>
      <c r="S1285" s="4" t="str">
        <f aca="false">IF(A1285="","Descartar - Linha vazia",IF(R1285="Sim","Descartar - Duplicado",IF(OR(H1285&lt;=0,I1285&lt;=0),"Descartar - Qtd/Valor inválido","OK")))</f>
        <v>OK</v>
      </c>
      <c r="T1285" s="4" t="str">
        <f aca="false">Base_Bruta!P1285</f>
        <v>vendas_RJ.xlsx</v>
      </c>
    </row>
    <row r="1286" customFormat="false" ht="15" hidden="false" customHeight="false" outlineLevel="0" collapsed="false">
      <c r="A1286" s="4" t="str">
        <f aca="false">IF(Base_Bruta!A1286="","",Base_Bruta!A1286)</f>
        <v>RJ-000018</v>
      </c>
      <c r="B1286" s="5" t="n">
        <f aca="false">IF($A1286="","",IF(ISNUMBER(Base_Bruta!B1286),Base_Bruta!B1286,IF(MID(Base_Bruta!B1286,5,1)="-",DATE(VALUE(LEFT(Base_Bruta!B1286,4)),VALUE(MID(Base_Bruta!B1286,6,2)),VALUE(RIGHT(Base_Bruta!B1286,2))),DATE(VALUE(RIGHT(Base_Bruta!B1286,4)),VALUE(MID(Base_Bruta!B1286,4,2)),VALUE(LEFT(Base_Bruta!B1286,2))))))</f>
        <v>46041</v>
      </c>
      <c r="C1286" s="5" t="n">
        <f aca="false">IF($A1286="","",IF(ISNUMBER(Base_Bruta!C1286),Base_Bruta!C1286,IF(MID(Base_Bruta!C1286,5,1)="-",DATE(VALUE(LEFT(Base_Bruta!C1286,4)),VALUE(MID(Base_Bruta!C1286,6,2)),VALUE(RIGHT(Base_Bruta!C1286,2))),DATE(VALUE(RIGHT(Base_Bruta!C1286,4)),VALUE(MID(Base_Bruta!C1286,4,2)),VALUE(LEFT(Base_Bruta!C1286,2))))))</f>
        <v>46046</v>
      </c>
      <c r="D1286" s="4" t="str">
        <f aca="false">IF($A1286="","",TRIM(Base_Bruta!D1286))</f>
        <v>Rio Beat Festival 2026</v>
      </c>
      <c r="E1286" s="4" t="str">
        <f aca="false">IF($A1286="","",_xlfn.XLOOKUP(LOWER(TRIM(Base_Bruta!E1286)),DePara_Categoria!$A$2:$A$9,DePara_Categoria!$B$2:$B$9,"REVISAR"))</f>
        <v>Festival</v>
      </c>
      <c r="F1286" s="4" t="str">
        <f aca="false">IF($A1286="","",_xlfn.XLOOKUP(LOWER(TRIM(Base_Bruta!F1286)),DePara_Cidade!$A$2:$A$29,DePara_Cidade!$B$2:$B$29,"REVISAR"))</f>
        <v>Rio de Janeiro</v>
      </c>
      <c r="G1286" s="4" t="str">
        <f aca="false">IF($A1286="","",TRIM(Base_Bruta!G1286))</f>
        <v>Inteira</v>
      </c>
      <c r="H1286" s="4" t="n">
        <f aca="false">IF($A1286="","",IF(ISNUMBER(Base_Bruta!H1286),Base_Bruta!H1286,IFERROR(_xlfn.NUMBERVALUE(TRIM(SUBSTITUTE(Base_Bruta!H1286,"R$","")),",","."),0)))</f>
        <v>1</v>
      </c>
      <c r="I1286" s="6" t="n">
        <f aca="false">IF($A1286="","",IF(ISNUMBER(Base_Bruta!I1286),Base_Bruta!I1286,IFERROR(_xlfn.NUMBERVALUE(TRIM(SUBSTITUTE(Base_Bruta!I1286,"R$","")),",","."),0)))</f>
        <v>775</v>
      </c>
      <c r="J1286" s="6" t="n">
        <f aca="false">IF($A1286="","",H1286*I1286)</f>
        <v>775</v>
      </c>
      <c r="K1286" s="4" t="str">
        <f aca="false">IF($A1286="","",TRIM(Base_Bruta!J1286))</f>
        <v>Bilheteria</v>
      </c>
      <c r="L1286" s="4" t="str">
        <f aca="false">IF($A1286="","",TRIM(Base_Bruta!K1286))</f>
        <v>C02296</v>
      </c>
      <c r="M1286" s="4" t="str">
        <f aca="false">IF($A1286="","",_xlfn.XLOOKUP(LOWER(TRIM(Base_Bruta!L1286)),DePara_Cidade!$A$2:$A$29,DePara_Cidade!$B$2:$B$29,"REVISAR"))</f>
        <v>Niterói</v>
      </c>
      <c r="N1286" s="4" t="str">
        <f aca="false">IF($A1286="","",UPPER(TRIM(Base_Bruta!M1286)))</f>
        <v>RJ</v>
      </c>
      <c r="O1286" s="4" t="str">
        <f aca="false">IF($A1286="","",_xlfn.XLOOKUP(LOWER(TRIM(Base_Bruta!N1286)),DePara_Pais!$A$2:$A$9,DePara_Pais!$B$2:$B$9,"REVISAR"))</f>
        <v>Brasil</v>
      </c>
      <c r="P1286" s="4" t="str">
        <f aca="false">IF($A1286="","",IF(O1286&lt;&gt;"Brasil","Turista Internacional",IF(M1286=F1286,"Local","Turista Nacional")))</f>
        <v>Turista Nacional</v>
      </c>
      <c r="Q1286" s="7" t="n">
        <f aca="false">IF($A1286="","",DATE(YEAR(B1286),MONTH(B1286),1))</f>
        <v>46023</v>
      </c>
      <c r="R1286" s="4" t="str">
        <f aca="false">IF($A1286="","",IF(COUNTIF($A$2:$A1286,$A1286)&gt;1,"Sim","Não"))</f>
        <v>Não</v>
      </c>
      <c r="S1286" s="4" t="str">
        <f aca="false">IF(A1286="","Descartar - Linha vazia",IF(R1286="Sim","Descartar - Duplicado",IF(OR(H1286&lt;=0,I1286&lt;=0),"Descartar - Qtd/Valor inválido","OK")))</f>
        <v>OK</v>
      </c>
      <c r="T1286" s="4" t="str">
        <f aca="false">Base_Bruta!P1286</f>
        <v>vendas_RJ.xlsx</v>
      </c>
    </row>
    <row r="1287" customFormat="false" ht="15" hidden="false" customHeight="false" outlineLevel="0" collapsed="false">
      <c r="A1287" s="4" t="str">
        <f aca="false">IF(Base_Bruta!A1287="","",Base_Bruta!A1287)</f>
        <v>RJ-000037</v>
      </c>
      <c r="B1287" s="5" t="n">
        <f aca="false">IF($A1287="","",IF(ISNUMBER(Base_Bruta!B1287),Base_Bruta!B1287,IF(MID(Base_Bruta!B1287,5,1)="-",DATE(VALUE(LEFT(Base_Bruta!B1287,4)),VALUE(MID(Base_Bruta!B1287,6,2)),VALUE(RIGHT(Base_Bruta!B1287,2))),DATE(VALUE(RIGHT(Base_Bruta!B1287,4)),VALUE(MID(Base_Bruta!B1287,4,2)),VALUE(LEFT(Base_Bruta!B1287,2))))))</f>
        <v>46041</v>
      </c>
      <c r="C1287" s="5" t="n">
        <f aca="false">IF($A1287="","",IF(ISNUMBER(Base_Bruta!C1287),Base_Bruta!C1287,IF(MID(Base_Bruta!C1287,5,1)="-",DATE(VALUE(LEFT(Base_Bruta!C1287,4)),VALUE(MID(Base_Bruta!C1287,6,2)),VALUE(RIGHT(Base_Bruta!C1287,2))),DATE(VALUE(RIGHT(Base_Bruta!C1287,4)),VALUE(MID(Base_Bruta!C1287,4,2)),VALUE(LEFT(Base_Bruta!C1287,2))))))</f>
        <v>46046</v>
      </c>
      <c r="D1287" s="4" t="str">
        <f aca="false">IF($A1287="","",TRIM(Base_Bruta!D1287))</f>
        <v>Rio Beat Festival 2026</v>
      </c>
      <c r="E1287" s="4" t="str">
        <f aca="false">IF($A1287="","",_xlfn.XLOOKUP(LOWER(TRIM(Base_Bruta!E1287)),DePara_Categoria!$A$2:$A$9,DePara_Categoria!$B$2:$B$9,"REVISAR"))</f>
        <v>Festival</v>
      </c>
      <c r="F1287" s="4" t="str">
        <f aca="false">IF($A1287="","",_xlfn.XLOOKUP(LOWER(TRIM(Base_Bruta!F1287)),DePara_Cidade!$A$2:$A$29,DePara_Cidade!$B$2:$B$29,"REVISAR"))</f>
        <v>Rio de Janeiro</v>
      </c>
      <c r="G1287" s="4" t="str">
        <f aca="false">IF($A1287="","",TRIM(Base_Bruta!G1287))</f>
        <v>Inteira</v>
      </c>
      <c r="H1287" s="4" t="n">
        <f aca="false">IF($A1287="","",IF(ISNUMBER(Base_Bruta!H1287),Base_Bruta!H1287,IFERROR(_xlfn.NUMBERVALUE(TRIM(SUBSTITUTE(Base_Bruta!H1287,"R$","")),",","."),0)))</f>
        <v>2</v>
      </c>
      <c r="I1287" s="6" t="n">
        <f aca="false">IF($A1287="","",IF(ISNUMBER(Base_Bruta!I1287),Base_Bruta!I1287,IFERROR(_xlfn.NUMBERVALUE(TRIM(SUBSTITUTE(Base_Bruta!I1287,"R$","")),",","."),0)))</f>
        <v>1145</v>
      </c>
      <c r="J1287" s="6" t="n">
        <f aca="false">IF($A1287="","",H1287*I1287)</f>
        <v>2290</v>
      </c>
      <c r="K1287" s="4" t="str">
        <f aca="false">IF($A1287="","",TRIM(Base_Bruta!J1287))</f>
        <v>Bilheteria</v>
      </c>
      <c r="L1287" s="4" t="str">
        <f aca="false">IF($A1287="","",TRIM(Base_Bruta!K1287))</f>
        <v>C01228</v>
      </c>
      <c r="M1287" s="4" t="str">
        <f aca="false">IF($A1287="","",_xlfn.XLOOKUP(LOWER(TRIM(Base_Bruta!L1287)),DePara_Cidade!$A$2:$A$29,DePara_Cidade!$B$2:$B$29,"REVISAR"))</f>
        <v>Brasília</v>
      </c>
      <c r="N1287" s="4" t="str">
        <f aca="false">IF($A1287="","",UPPER(TRIM(Base_Bruta!M1287)))</f>
        <v>DF</v>
      </c>
      <c r="O1287" s="4" t="str">
        <f aca="false">IF($A1287="","",_xlfn.XLOOKUP(LOWER(TRIM(Base_Bruta!N1287)),DePara_Pais!$A$2:$A$9,DePara_Pais!$B$2:$B$9,"REVISAR"))</f>
        <v>Brasil</v>
      </c>
      <c r="P1287" s="4" t="str">
        <f aca="false">IF($A1287="","",IF(O1287&lt;&gt;"Brasil","Turista Internacional",IF(M1287=F1287,"Local","Turista Nacional")))</f>
        <v>Turista Nacional</v>
      </c>
      <c r="Q1287" s="7" t="n">
        <f aca="false">IF($A1287="","",DATE(YEAR(B1287),MONTH(B1287),1))</f>
        <v>46023</v>
      </c>
      <c r="R1287" s="4" t="str">
        <f aca="false">IF($A1287="","",IF(COUNTIF($A$2:$A1287,$A1287)&gt;1,"Sim","Não"))</f>
        <v>Não</v>
      </c>
      <c r="S1287" s="4" t="str">
        <f aca="false">IF(A1287="","Descartar - Linha vazia",IF(R1287="Sim","Descartar - Duplicado",IF(OR(H1287&lt;=0,I1287&lt;=0),"Descartar - Qtd/Valor inválido","OK")))</f>
        <v>OK</v>
      </c>
      <c r="T1287" s="4" t="str">
        <f aca="false">Base_Bruta!P1287</f>
        <v>vendas_RJ.xlsx</v>
      </c>
    </row>
    <row r="1288" customFormat="false" ht="15" hidden="false" customHeight="false" outlineLevel="0" collapsed="false">
      <c r="A1288" s="4" t="str">
        <f aca="false">IF(Base_Bruta!A1288="","",Base_Bruta!A1288)</f>
        <v>RJ-000098</v>
      </c>
      <c r="B1288" s="5" t="n">
        <f aca="false">IF($A1288="","",IF(ISNUMBER(Base_Bruta!B1288),Base_Bruta!B1288,IF(MID(Base_Bruta!B1288,5,1)="-",DATE(VALUE(LEFT(Base_Bruta!B1288,4)),VALUE(MID(Base_Bruta!B1288,6,2)),VALUE(RIGHT(Base_Bruta!B1288,2))),DATE(VALUE(RIGHT(Base_Bruta!B1288,4)),VALUE(MID(Base_Bruta!B1288,4,2)),VALUE(LEFT(Base_Bruta!B1288,2))))))</f>
        <v>46039</v>
      </c>
      <c r="C1288" s="5" t="n">
        <f aca="false">IF($A1288="","",IF(ISNUMBER(Base_Bruta!C1288),Base_Bruta!C1288,IF(MID(Base_Bruta!C1288,5,1)="-",DATE(VALUE(LEFT(Base_Bruta!C1288,4)),VALUE(MID(Base_Bruta!C1288,6,2)),VALUE(RIGHT(Base_Bruta!C1288,2))),DATE(VALUE(RIGHT(Base_Bruta!C1288,4)),VALUE(MID(Base_Bruta!C1288,4,2)),VALUE(LEFT(Base_Bruta!C1288,2))))))</f>
        <v>46046</v>
      </c>
      <c r="D1288" s="4" t="str">
        <f aca="false">IF($A1288="","",TRIM(Base_Bruta!D1288))</f>
        <v>Rio Beat Festival 2026</v>
      </c>
      <c r="E1288" s="4" t="str">
        <f aca="false">IF($A1288="","",_xlfn.XLOOKUP(LOWER(TRIM(Base_Bruta!E1288)),DePara_Categoria!$A$2:$A$9,DePara_Categoria!$B$2:$B$9,"REVISAR"))</f>
        <v>Festival</v>
      </c>
      <c r="F1288" s="4" t="str">
        <f aca="false">IF($A1288="","",_xlfn.XLOOKUP(LOWER(TRIM(Base_Bruta!F1288)),DePara_Cidade!$A$2:$A$29,DePara_Cidade!$B$2:$B$29,"REVISAR"))</f>
        <v>Rio de Janeiro</v>
      </c>
      <c r="G1288" s="4" t="str">
        <f aca="false">IF($A1288="","",TRIM(Base_Bruta!G1288))</f>
        <v>Meia</v>
      </c>
      <c r="H1288" s="4" t="n">
        <f aca="false">IF($A1288="","",IF(ISNUMBER(Base_Bruta!H1288),Base_Bruta!H1288,IFERROR(_xlfn.NUMBERVALUE(TRIM(SUBSTITUTE(Base_Bruta!H1288,"R$","")),",","."),0)))</f>
        <v>2</v>
      </c>
      <c r="I1288" s="6" t="n">
        <f aca="false">IF($A1288="","",IF(ISNUMBER(Base_Bruta!I1288),Base_Bruta!I1288,IFERROR(_xlfn.NUMBERVALUE(TRIM(SUBSTITUTE(Base_Bruta!I1288,"R$","")),",","."),0)))</f>
        <v>347.5</v>
      </c>
      <c r="J1288" s="6" t="n">
        <f aca="false">IF($A1288="","",H1288*I1288)</f>
        <v>695</v>
      </c>
      <c r="K1288" s="4" t="str">
        <f aca="false">IF($A1288="","",TRIM(Base_Bruta!J1288))</f>
        <v>App</v>
      </c>
      <c r="L1288" s="4" t="str">
        <f aca="false">IF($A1288="","",TRIM(Base_Bruta!K1288))</f>
        <v>C02128</v>
      </c>
      <c r="M1288" s="4" t="str">
        <f aca="false">IF($A1288="","",_xlfn.XLOOKUP(LOWER(TRIM(Base_Bruta!L1288)),DePara_Cidade!$A$2:$A$29,DePara_Cidade!$B$2:$B$29,"REVISAR"))</f>
        <v>Santiago</v>
      </c>
      <c r="N1288" s="4" t="str">
        <f aca="false">IF($A1288="","",UPPER(TRIM(Base_Bruta!M1288)))</f>
        <v>EX</v>
      </c>
      <c r="O1288" s="4" t="str">
        <f aca="false">IF($A1288="","",_xlfn.XLOOKUP(LOWER(TRIM(Base_Bruta!N1288)),DePara_Pais!$A$2:$A$9,DePara_Pais!$B$2:$B$9,"REVISAR"))</f>
        <v>Chile</v>
      </c>
      <c r="P1288" s="4" t="str">
        <f aca="false">IF($A1288="","",IF(O1288&lt;&gt;"Brasil","Turista Internacional",IF(M1288=F1288,"Local","Turista Nacional")))</f>
        <v>Turista Internacional</v>
      </c>
      <c r="Q1288" s="7" t="n">
        <f aca="false">IF($A1288="","",DATE(YEAR(B1288),MONTH(B1288),1))</f>
        <v>46023</v>
      </c>
      <c r="R1288" s="4" t="str">
        <f aca="false">IF($A1288="","",IF(COUNTIF($A$2:$A1288,$A1288)&gt;1,"Sim","Não"))</f>
        <v>Sim</v>
      </c>
      <c r="S1288" s="4" t="str">
        <f aca="false">IF(A1288="","Descartar - Linha vazia",IF(R1288="Sim","Descartar - Duplicado",IF(OR(H1288&lt;=0,I1288&lt;=0),"Descartar - Qtd/Valor inválido","OK")))</f>
        <v>Descartar - Duplicado</v>
      </c>
      <c r="T1288" s="4" t="str">
        <f aca="false">Base_Bruta!P1288</f>
        <v>vendas_RJ.xlsx</v>
      </c>
    </row>
    <row r="1289" customFormat="false" ht="15" hidden="false" customHeight="false" outlineLevel="0" collapsed="false">
      <c r="A1289" s="4" t="str">
        <f aca="false">IF(Base_Bruta!A1289="","",Base_Bruta!A1289)</f>
        <v>RJ-000066</v>
      </c>
      <c r="B1289" s="5" t="n">
        <f aca="false">IF($A1289="","",IF(ISNUMBER(Base_Bruta!B1289),Base_Bruta!B1289,IF(MID(Base_Bruta!B1289,5,1)="-",DATE(VALUE(LEFT(Base_Bruta!B1289,4)),VALUE(MID(Base_Bruta!B1289,6,2)),VALUE(RIGHT(Base_Bruta!B1289,2))),DATE(VALUE(RIGHT(Base_Bruta!B1289,4)),VALUE(MID(Base_Bruta!B1289,4,2)),VALUE(LEFT(Base_Bruta!B1289,2))))))</f>
        <v>46041</v>
      </c>
      <c r="C1289" s="5" t="n">
        <f aca="false">IF($A1289="","",IF(ISNUMBER(Base_Bruta!C1289),Base_Bruta!C1289,IF(MID(Base_Bruta!C1289,5,1)="-",DATE(VALUE(LEFT(Base_Bruta!C1289,4)),VALUE(MID(Base_Bruta!C1289,6,2)),VALUE(RIGHT(Base_Bruta!C1289,2))),DATE(VALUE(RIGHT(Base_Bruta!C1289,4)),VALUE(MID(Base_Bruta!C1289,4,2)),VALUE(LEFT(Base_Bruta!C1289,2))))))</f>
        <v>46046</v>
      </c>
      <c r="D1289" s="4" t="str">
        <f aca="false">IF($A1289="","",TRIM(Base_Bruta!D1289))</f>
        <v>Rio Beat Festival 2026</v>
      </c>
      <c r="E1289" s="4" t="str">
        <f aca="false">IF($A1289="","",_xlfn.XLOOKUP(LOWER(TRIM(Base_Bruta!E1289)),DePara_Categoria!$A$2:$A$9,DePara_Categoria!$B$2:$B$9,"REVISAR"))</f>
        <v>Festival</v>
      </c>
      <c r="F1289" s="4" t="str">
        <f aca="false">IF($A1289="","",_xlfn.XLOOKUP(LOWER(TRIM(Base_Bruta!F1289)),DePara_Cidade!$A$2:$A$29,DePara_Cidade!$B$2:$B$29,"REVISAR"))</f>
        <v>Rio de Janeiro</v>
      </c>
      <c r="G1289" s="4" t="str">
        <f aca="false">IF($A1289="","",TRIM(Base_Bruta!G1289))</f>
        <v>Inteira</v>
      </c>
      <c r="H1289" s="4" t="n">
        <f aca="false">IF($A1289="","",IF(ISNUMBER(Base_Bruta!H1289),Base_Bruta!H1289,IFERROR(_xlfn.NUMBERVALUE(TRIM(SUBSTITUTE(Base_Bruta!H1289,"R$","")),",","."),0)))</f>
        <v>3</v>
      </c>
      <c r="I1289" s="6" t="n">
        <f aca="false">IF($A1289="","",IF(ISNUMBER(Base_Bruta!I1289),Base_Bruta!I1289,IFERROR(_xlfn.NUMBERVALUE(TRIM(SUBSTITUTE(Base_Bruta!I1289,"R$","")),",","."),0)))</f>
        <v>725</v>
      </c>
      <c r="J1289" s="6" t="n">
        <f aca="false">IF($A1289="","",H1289*I1289)</f>
        <v>2175</v>
      </c>
      <c r="K1289" s="4" t="str">
        <f aca="false">IF($A1289="","",TRIM(Base_Bruta!J1289))</f>
        <v>Site</v>
      </c>
      <c r="L1289" s="4" t="str">
        <f aca="false">IF($A1289="","",TRIM(Base_Bruta!K1289))</f>
        <v>C01564</v>
      </c>
      <c r="M1289" s="4" t="str">
        <f aca="false">IF($A1289="","",_xlfn.XLOOKUP(LOWER(TRIM(Base_Bruta!L1289)),DePara_Cidade!$A$2:$A$29,DePara_Cidade!$B$2:$B$29,"REVISAR"))</f>
        <v>Florianópolis</v>
      </c>
      <c r="N1289" s="4" t="str">
        <f aca="false">IF($A1289="","",UPPER(TRIM(Base_Bruta!M1289)))</f>
        <v>SC</v>
      </c>
      <c r="O1289" s="4" t="str">
        <f aca="false">IF($A1289="","",_xlfn.XLOOKUP(LOWER(TRIM(Base_Bruta!N1289)),DePara_Pais!$A$2:$A$9,DePara_Pais!$B$2:$B$9,"REVISAR"))</f>
        <v>Brasil</v>
      </c>
      <c r="P1289" s="4" t="str">
        <f aca="false">IF($A1289="","",IF(O1289&lt;&gt;"Brasil","Turista Internacional",IF(M1289=F1289,"Local","Turista Nacional")))</f>
        <v>Turista Nacional</v>
      </c>
      <c r="Q1289" s="7" t="n">
        <f aca="false">IF($A1289="","",DATE(YEAR(B1289),MONTH(B1289),1))</f>
        <v>46023</v>
      </c>
      <c r="R1289" s="4" t="str">
        <f aca="false">IF($A1289="","",IF(COUNTIF($A$2:$A1289,$A1289)&gt;1,"Sim","Não"))</f>
        <v>Não</v>
      </c>
      <c r="S1289" s="4" t="str">
        <f aca="false">IF(A1289="","Descartar - Linha vazia",IF(R1289="Sim","Descartar - Duplicado",IF(OR(H1289&lt;=0,I1289&lt;=0),"Descartar - Qtd/Valor inválido","OK")))</f>
        <v>OK</v>
      </c>
      <c r="T1289" s="4" t="str">
        <f aca="false">Base_Bruta!P1289</f>
        <v>vendas_RJ.xlsx</v>
      </c>
    </row>
    <row r="1290" customFormat="false" ht="15" hidden="false" customHeight="false" outlineLevel="0" collapsed="false">
      <c r="A1290" s="4" t="str">
        <f aca="false">IF(Base_Bruta!A1290="","",Base_Bruta!A1290)</f>
        <v>RJ-000074</v>
      </c>
      <c r="B1290" s="5" t="n">
        <f aca="false">IF($A1290="","",IF(ISNUMBER(Base_Bruta!B1290),Base_Bruta!B1290,IF(MID(Base_Bruta!B1290,5,1)="-",DATE(VALUE(LEFT(Base_Bruta!B1290,4)),VALUE(MID(Base_Bruta!B1290,6,2)),VALUE(RIGHT(Base_Bruta!B1290,2))),DATE(VALUE(RIGHT(Base_Bruta!B1290,4)),VALUE(MID(Base_Bruta!B1290,4,2)),VALUE(LEFT(Base_Bruta!B1290,2))))))</f>
        <v>46041</v>
      </c>
      <c r="C1290" s="5" t="n">
        <f aca="false">IF($A1290="","",IF(ISNUMBER(Base_Bruta!C1290),Base_Bruta!C1290,IF(MID(Base_Bruta!C1290,5,1)="-",DATE(VALUE(LEFT(Base_Bruta!C1290,4)),VALUE(MID(Base_Bruta!C1290,6,2)),VALUE(RIGHT(Base_Bruta!C1290,2))),DATE(VALUE(RIGHT(Base_Bruta!C1290,4)),VALUE(MID(Base_Bruta!C1290,4,2)),VALUE(LEFT(Base_Bruta!C1290,2))))))</f>
        <v>46046</v>
      </c>
      <c r="D1290" s="4" t="str">
        <f aca="false">IF($A1290="","",TRIM(Base_Bruta!D1290))</f>
        <v>Rio Beat Festival 2026</v>
      </c>
      <c r="E1290" s="4" t="str">
        <f aca="false">IF($A1290="","",_xlfn.XLOOKUP(LOWER(TRIM(Base_Bruta!E1290)),DePara_Categoria!$A$2:$A$9,DePara_Categoria!$B$2:$B$9,"REVISAR"))</f>
        <v>Festival</v>
      </c>
      <c r="F1290" s="4" t="str">
        <f aca="false">IF($A1290="","",_xlfn.XLOOKUP(LOWER(TRIM(Base_Bruta!F1290)),DePara_Cidade!$A$2:$A$29,DePara_Cidade!$B$2:$B$29,"REVISAR"))</f>
        <v>Rio de Janeiro</v>
      </c>
      <c r="G1290" s="4" t="str">
        <f aca="false">IF($A1290="","",TRIM(Base_Bruta!G1290))</f>
        <v>Inteira</v>
      </c>
      <c r="H1290" s="4" t="n">
        <f aca="false">IF($A1290="","",IF(ISNUMBER(Base_Bruta!H1290),Base_Bruta!H1290,IFERROR(_xlfn.NUMBERVALUE(TRIM(SUBSTITUTE(Base_Bruta!H1290,"R$","")),",","."),0)))</f>
        <v>1</v>
      </c>
      <c r="I1290" s="6" t="n">
        <f aca="false">IF($A1290="","",IF(ISNUMBER(Base_Bruta!I1290),Base_Bruta!I1290,IFERROR(_xlfn.NUMBERVALUE(TRIM(SUBSTITUTE(Base_Bruta!I1290,"R$","")),",","."),0)))</f>
        <v>935</v>
      </c>
      <c r="J1290" s="6" t="n">
        <f aca="false">IF($A1290="","",H1290*I1290)</f>
        <v>935</v>
      </c>
      <c r="K1290" s="4" t="str">
        <f aca="false">IF($A1290="","",TRIM(Base_Bruta!J1290))</f>
        <v>Site</v>
      </c>
      <c r="L1290" s="4" t="str">
        <f aca="false">IF($A1290="","",TRIM(Base_Bruta!K1290))</f>
        <v>C00171</v>
      </c>
      <c r="M1290" s="4" t="str">
        <f aca="false">IF($A1290="","",_xlfn.XLOOKUP(LOWER(TRIM(Base_Bruta!L1290)),DePara_Cidade!$A$2:$A$29,DePara_Cidade!$B$2:$B$29,"REVISAR"))</f>
        <v>Rio de Janeiro</v>
      </c>
      <c r="N1290" s="4" t="str">
        <f aca="false">IF($A1290="","",UPPER(TRIM(Base_Bruta!M1290)))</f>
        <v>RJ</v>
      </c>
      <c r="O1290" s="4" t="str">
        <f aca="false">IF($A1290="","",_xlfn.XLOOKUP(LOWER(TRIM(Base_Bruta!N1290)),DePara_Pais!$A$2:$A$9,DePara_Pais!$B$2:$B$9,"REVISAR"))</f>
        <v>Brasil</v>
      </c>
      <c r="P1290" s="4" t="str">
        <f aca="false">IF($A1290="","",IF(O1290&lt;&gt;"Brasil","Turista Internacional",IF(M1290=F1290,"Local","Turista Nacional")))</f>
        <v>Local</v>
      </c>
      <c r="Q1290" s="7" t="n">
        <f aca="false">IF($A1290="","",DATE(YEAR(B1290),MONTH(B1290),1))</f>
        <v>46023</v>
      </c>
      <c r="R1290" s="4" t="str">
        <f aca="false">IF($A1290="","",IF(COUNTIF($A$2:$A1290,$A1290)&gt;1,"Sim","Não"))</f>
        <v>Não</v>
      </c>
      <c r="S1290" s="4" t="str">
        <f aca="false">IF(A1290="","Descartar - Linha vazia",IF(R1290="Sim","Descartar - Duplicado",IF(OR(H1290&lt;=0,I1290&lt;=0),"Descartar - Qtd/Valor inválido","OK")))</f>
        <v>OK</v>
      </c>
      <c r="T1290" s="4" t="str">
        <f aca="false">Base_Bruta!P1290</f>
        <v>vendas_RJ.xlsx</v>
      </c>
    </row>
    <row r="1291" customFormat="false" ht="15" hidden="false" customHeight="false" outlineLevel="0" collapsed="false">
      <c r="A1291" s="4" t="str">
        <f aca="false">IF(Base_Bruta!A1291="","",Base_Bruta!A1291)</f>
        <v>RJ-000093</v>
      </c>
      <c r="B1291" s="5" t="n">
        <f aca="false">IF($A1291="","",IF(ISNUMBER(Base_Bruta!B1291),Base_Bruta!B1291,IF(MID(Base_Bruta!B1291,5,1)="-",DATE(VALUE(LEFT(Base_Bruta!B1291,4)),VALUE(MID(Base_Bruta!B1291,6,2)),VALUE(RIGHT(Base_Bruta!B1291,2))),DATE(VALUE(RIGHT(Base_Bruta!B1291,4)),VALUE(MID(Base_Bruta!B1291,4,2)),VALUE(LEFT(Base_Bruta!B1291,2))))))</f>
        <v>46041</v>
      </c>
      <c r="C1291" s="5" t="n">
        <f aca="false">IF($A1291="","",IF(ISNUMBER(Base_Bruta!C1291),Base_Bruta!C1291,IF(MID(Base_Bruta!C1291,5,1)="-",DATE(VALUE(LEFT(Base_Bruta!C1291,4)),VALUE(MID(Base_Bruta!C1291,6,2)),VALUE(RIGHT(Base_Bruta!C1291,2))),DATE(VALUE(RIGHT(Base_Bruta!C1291,4)),VALUE(MID(Base_Bruta!C1291,4,2)),VALUE(LEFT(Base_Bruta!C1291,2))))))</f>
        <v>46046</v>
      </c>
      <c r="D1291" s="4" t="str">
        <f aca="false">IF($A1291="","",TRIM(Base_Bruta!D1291))</f>
        <v>Rio Beat Festival 2026</v>
      </c>
      <c r="E1291" s="4" t="str">
        <f aca="false">IF($A1291="","",_xlfn.XLOOKUP(LOWER(TRIM(Base_Bruta!E1291)),DePara_Categoria!$A$2:$A$9,DePara_Categoria!$B$2:$B$9,"REVISAR"))</f>
        <v>Festival</v>
      </c>
      <c r="F1291" s="4" t="str">
        <f aca="false">IF($A1291="","",_xlfn.XLOOKUP(LOWER(TRIM(Base_Bruta!F1291)),DePara_Cidade!$A$2:$A$29,DePara_Cidade!$B$2:$B$29,"REVISAR"))</f>
        <v>Rio de Janeiro</v>
      </c>
      <c r="G1291" s="4" t="str">
        <f aca="false">IF($A1291="","",TRIM(Base_Bruta!G1291))</f>
        <v>Meia</v>
      </c>
      <c r="H1291" s="4" t="n">
        <f aca="false">IF($A1291="","",IF(ISNUMBER(Base_Bruta!H1291),Base_Bruta!H1291,IFERROR(_xlfn.NUMBERVALUE(TRIM(SUBSTITUTE(Base_Bruta!H1291,"R$","")),",","."),0)))</f>
        <v>3</v>
      </c>
      <c r="I1291" s="6" t="n">
        <f aca="false">IF($A1291="","",IF(ISNUMBER(Base_Bruta!I1291),Base_Bruta!I1291,IFERROR(_xlfn.NUMBERVALUE(TRIM(SUBSTITUTE(Base_Bruta!I1291,"R$","")),",","."),0)))</f>
        <v>462.5</v>
      </c>
      <c r="J1291" s="6" t="n">
        <f aca="false">IF($A1291="","",H1291*I1291)</f>
        <v>1387.5</v>
      </c>
      <c r="K1291" s="4" t="str">
        <f aca="false">IF($A1291="","",TRIM(Base_Bruta!J1291))</f>
        <v>App</v>
      </c>
      <c r="L1291" s="4" t="str">
        <f aca="false">IF($A1291="","",TRIM(Base_Bruta!K1291))</f>
        <v>C01267</v>
      </c>
      <c r="M1291" s="4" t="str">
        <f aca="false">IF($A1291="","",_xlfn.XLOOKUP(LOWER(TRIM(Base_Bruta!L1291)),DePara_Cidade!$A$2:$A$29,DePara_Cidade!$B$2:$B$29,"REVISAR"))</f>
        <v>Vitória</v>
      </c>
      <c r="N1291" s="4" t="str">
        <f aca="false">IF($A1291="","",UPPER(TRIM(Base_Bruta!M1291)))</f>
        <v>ES</v>
      </c>
      <c r="O1291" s="4" t="str">
        <f aca="false">IF($A1291="","",_xlfn.XLOOKUP(LOWER(TRIM(Base_Bruta!N1291)),DePara_Pais!$A$2:$A$9,DePara_Pais!$B$2:$B$9,"REVISAR"))</f>
        <v>Brasil</v>
      </c>
      <c r="P1291" s="4" t="str">
        <f aca="false">IF($A1291="","",IF(O1291&lt;&gt;"Brasil","Turista Internacional",IF(M1291=F1291,"Local","Turista Nacional")))</f>
        <v>Turista Nacional</v>
      </c>
      <c r="Q1291" s="7" t="n">
        <f aca="false">IF($A1291="","",DATE(YEAR(B1291),MONTH(B1291),1))</f>
        <v>46023</v>
      </c>
      <c r="R1291" s="4" t="str">
        <f aca="false">IF($A1291="","",IF(COUNTIF($A$2:$A1291,$A1291)&gt;1,"Sim","Não"))</f>
        <v>Não</v>
      </c>
      <c r="S1291" s="4" t="str">
        <f aca="false">IF(A1291="","Descartar - Linha vazia",IF(R1291="Sim","Descartar - Duplicado",IF(OR(H1291&lt;=0,I1291&lt;=0),"Descartar - Qtd/Valor inválido","OK")))</f>
        <v>OK</v>
      </c>
      <c r="T1291" s="4" t="str">
        <f aca="false">Base_Bruta!P1291</f>
        <v>vendas_RJ.xlsx</v>
      </c>
    </row>
    <row r="1292" customFormat="false" ht="15" hidden="false" customHeight="false" outlineLevel="0" collapsed="false">
      <c r="A1292" s="4" t="str">
        <f aca="false">IF(Base_Bruta!A1292="","",Base_Bruta!A1292)</f>
        <v>RJ-000141</v>
      </c>
      <c r="B1292" s="5" t="n">
        <f aca="false">IF($A1292="","",IF(ISNUMBER(Base_Bruta!B1292),Base_Bruta!B1292,IF(MID(Base_Bruta!B1292,5,1)="-",DATE(VALUE(LEFT(Base_Bruta!B1292,4)),VALUE(MID(Base_Bruta!B1292,6,2)),VALUE(RIGHT(Base_Bruta!B1292,2))),DATE(VALUE(RIGHT(Base_Bruta!B1292,4)),VALUE(MID(Base_Bruta!B1292,4,2)),VALUE(LEFT(Base_Bruta!B1292,2))))))</f>
        <v>46041</v>
      </c>
      <c r="C1292" s="5" t="n">
        <f aca="false">IF($A1292="","",IF(ISNUMBER(Base_Bruta!C1292),Base_Bruta!C1292,IF(MID(Base_Bruta!C1292,5,1)="-",DATE(VALUE(LEFT(Base_Bruta!C1292,4)),VALUE(MID(Base_Bruta!C1292,6,2)),VALUE(RIGHT(Base_Bruta!C1292,2))),DATE(VALUE(RIGHT(Base_Bruta!C1292,4)),VALUE(MID(Base_Bruta!C1292,4,2)),VALUE(LEFT(Base_Bruta!C1292,2))))))</f>
        <v>46046</v>
      </c>
      <c r="D1292" s="4" t="str">
        <f aca="false">IF($A1292="","",TRIM(Base_Bruta!D1292))</f>
        <v>Rio Beat Festival 2026</v>
      </c>
      <c r="E1292" s="4" t="str">
        <f aca="false">IF($A1292="","",_xlfn.XLOOKUP(LOWER(TRIM(Base_Bruta!E1292)),DePara_Categoria!$A$2:$A$9,DePara_Categoria!$B$2:$B$9,"REVISAR"))</f>
        <v>Festival</v>
      </c>
      <c r="F1292" s="4" t="str">
        <f aca="false">IF($A1292="","",_xlfn.XLOOKUP(LOWER(TRIM(Base_Bruta!F1292)),DePara_Cidade!$A$2:$A$29,DePara_Cidade!$B$2:$B$29,"REVISAR"))</f>
        <v>Rio de Janeiro</v>
      </c>
      <c r="G1292" s="4" t="str">
        <f aca="false">IF($A1292="","",TRIM(Base_Bruta!G1292))</f>
        <v>Meia</v>
      </c>
      <c r="H1292" s="4" t="n">
        <f aca="false">IF($A1292="","",IF(ISNUMBER(Base_Bruta!H1292),Base_Bruta!H1292,IFERROR(_xlfn.NUMBERVALUE(TRIM(SUBSTITUTE(Base_Bruta!H1292,"R$","")),",","."),0)))</f>
        <v>1</v>
      </c>
      <c r="I1292" s="6" t="n">
        <f aca="false">IF($A1292="","",IF(ISNUMBER(Base_Bruta!I1292),Base_Bruta!I1292,IFERROR(_xlfn.NUMBERVALUE(TRIM(SUBSTITUTE(Base_Bruta!I1292,"R$","")),",","."),0)))</f>
        <v>560</v>
      </c>
      <c r="J1292" s="6" t="n">
        <f aca="false">IF($A1292="","",H1292*I1292)</f>
        <v>560</v>
      </c>
      <c r="K1292" s="4" t="str">
        <f aca="false">IF($A1292="","",TRIM(Base_Bruta!J1292))</f>
        <v>Site</v>
      </c>
      <c r="L1292" s="4" t="str">
        <f aca="false">IF($A1292="","",TRIM(Base_Bruta!K1292))</f>
        <v>C00683</v>
      </c>
      <c r="M1292" s="4" t="str">
        <f aca="false">IF($A1292="","",_xlfn.XLOOKUP(LOWER(TRIM(Base_Bruta!L1292)),DePara_Cidade!$A$2:$A$29,DePara_Cidade!$B$2:$B$29,"REVISAR"))</f>
        <v>Porto Alegre</v>
      </c>
      <c r="N1292" s="4" t="str">
        <f aca="false">IF($A1292="","",UPPER(TRIM(Base_Bruta!M1292)))</f>
        <v>RS</v>
      </c>
      <c r="O1292" s="4" t="str">
        <f aca="false">IF($A1292="","",_xlfn.XLOOKUP(LOWER(TRIM(Base_Bruta!N1292)),DePara_Pais!$A$2:$A$9,DePara_Pais!$B$2:$B$9,"REVISAR"))</f>
        <v>Brasil</v>
      </c>
      <c r="P1292" s="4" t="str">
        <f aca="false">IF($A1292="","",IF(O1292&lt;&gt;"Brasil","Turista Internacional",IF(M1292=F1292,"Local","Turista Nacional")))</f>
        <v>Turista Nacional</v>
      </c>
      <c r="Q1292" s="7" t="n">
        <f aca="false">IF($A1292="","",DATE(YEAR(B1292),MONTH(B1292),1))</f>
        <v>46023</v>
      </c>
      <c r="R1292" s="4" t="str">
        <f aca="false">IF($A1292="","",IF(COUNTIF($A$2:$A1292,$A1292)&gt;1,"Sim","Não"))</f>
        <v>Não</v>
      </c>
      <c r="S1292" s="4" t="str">
        <f aca="false">IF(A1292="","Descartar - Linha vazia",IF(R1292="Sim","Descartar - Duplicado",IF(OR(H1292&lt;=0,I1292&lt;=0),"Descartar - Qtd/Valor inválido","OK")))</f>
        <v>OK</v>
      </c>
      <c r="T1292" s="4" t="str">
        <f aca="false">Base_Bruta!P1292</f>
        <v>vendas_RJ.xlsx</v>
      </c>
    </row>
    <row r="1293" customFormat="false" ht="15" hidden="false" customHeight="false" outlineLevel="0" collapsed="false">
      <c r="A1293" s="4" t="str">
        <f aca="false">IF(Base_Bruta!A1293="","",Base_Bruta!A1293)</f>
        <v>RJ-000167</v>
      </c>
      <c r="B1293" s="5" t="n">
        <f aca="false">IF($A1293="","",IF(ISNUMBER(Base_Bruta!B1293),Base_Bruta!B1293,IF(MID(Base_Bruta!B1293,5,1)="-",DATE(VALUE(LEFT(Base_Bruta!B1293,4)),VALUE(MID(Base_Bruta!B1293,6,2)),VALUE(RIGHT(Base_Bruta!B1293,2))),DATE(VALUE(RIGHT(Base_Bruta!B1293,4)),VALUE(MID(Base_Bruta!B1293,4,2)),VALUE(LEFT(Base_Bruta!B1293,2))))))</f>
        <v>46041</v>
      </c>
      <c r="C1293" s="5" t="n">
        <f aca="false">IF($A1293="","",IF(ISNUMBER(Base_Bruta!C1293),Base_Bruta!C1293,IF(MID(Base_Bruta!C1293,5,1)="-",DATE(VALUE(LEFT(Base_Bruta!C1293,4)),VALUE(MID(Base_Bruta!C1293,6,2)),VALUE(RIGHT(Base_Bruta!C1293,2))),DATE(VALUE(RIGHT(Base_Bruta!C1293,4)),VALUE(MID(Base_Bruta!C1293,4,2)),VALUE(LEFT(Base_Bruta!C1293,2))))))</f>
        <v>46046</v>
      </c>
      <c r="D1293" s="4" t="str">
        <f aca="false">IF($A1293="","",TRIM(Base_Bruta!D1293))</f>
        <v>Rio Beat Festival 2026</v>
      </c>
      <c r="E1293" s="4" t="str">
        <f aca="false">IF($A1293="","",_xlfn.XLOOKUP(LOWER(TRIM(Base_Bruta!E1293)),DePara_Categoria!$A$2:$A$9,DePara_Categoria!$B$2:$B$9,"REVISAR"))</f>
        <v>Festival</v>
      </c>
      <c r="F1293" s="4" t="str">
        <f aca="false">IF($A1293="","",_xlfn.XLOOKUP(LOWER(TRIM(Base_Bruta!F1293)),DePara_Cidade!$A$2:$A$29,DePara_Cidade!$B$2:$B$29,"REVISAR"))</f>
        <v>Rio de Janeiro</v>
      </c>
      <c r="G1293" s="4" t="str">
        <f aca="false">IF($A1293="","",TRIM(Base_Bruta!G1293))</f>
        <v>Inteira</v>
      </c>
      <c r="H1293" s="4" t="n">
        <f aca="false">IF($A1293="","",IF(ISNUMBER(Base_Bruta!H1293),Base_Bruta!H1293,IFERROR(_xlfn.NUMBERVALUE(TRIM(SUBSTITUTE(Base_Bruta!H1293,"R$","")),",","."),0)))</f>
        <v>1</v>
      </c>
      <c r="I1293" s="6" t="n">
        <f aca="false">IF($A1293="","",IF(ISNUMBER(Base_Bruta!I1293),Base_Bruta!I1293,IFERROR(_xlfn.NUMBERVALUE(TRIM(SUBSTITUTE(Base_Bruta!I1293,"R$","")),",","."),0)))</f>
        <v>750</v>
      </c>
      <c r="J1293" s="6" t="n">
        <f aca="false">IF($A1293="","",H1293*I1293)</f>
        <v>750</v>
      </c>
      <c r="K1293" s="4" t="str">
        <f aca="false">IF($A1293="","",TRIM(Base_Bruta!J1293))</f>
        <v>Site</v>
      </c>
      <c r="L1293" s="4" t="str">
        <f aca="false">IF($A1293="","",TRIM(Base_Bruta!K1293))</f>
        <v>C01063</v>
      </c>
      <c r="M1293" s="4" t="str">
        <f aca="false">IF($A1293="","",_xlfn.XLOOKUP(LOWER(TRIM(Base_Bruta!L1293)),DePara_Cidade!$A$2:$A$29,DePara_Cidade!$B$2:$B$29,"REVISAR"))</f>
        <v>Goiânia</v>
      </c>
      <c r="N1293" s="4" t="str">
        <f aca="false">IF($A1293="","",UPPER(TRIM(Base_Bruta!M1293)))</f>
        <v>GO</v>
      </c>
      <c r="O1293" s="4" t="str">
        <f aca="false">IF($A1293="","",_xlfn.XLOOKUP(LOWER(TRIM(Base_Bruta!N1293)),DePara_Pais!$A$2:$A$9,DePara_Pais!$B$2:$B$9,"REVISAR"))</f>
        <v>Brasil</v>
      </c>
      <c r="P1293" s="4" t="str">
        <f aca="false">IF($A1293="","",IF(O1293&lt;&gt;"Brasil","Turista Internacional",IF(M1293=F1293,"Local","Turista Nacional")))</f>
        <v>Turista Nacional</v>
      </c>
      <c r="Q1293" s="7" t="n">
        <f aca="false">IF($A1293="","",DATE(YEAR(B1293),MONTH(B1293),1))</f>
        <v>46023</v>
      </c>
      <c r="R1293" s="4" t="str">
        <f aca="false">IF($A1293="","",IF(COUNTIF($A$2:$A1293,$A1293)&gt;1,"Sim","Não"))</f>
        <v>Não</v>
      </c>
      <c r="S1293" s="4" t="str">
        <f aca="false">IF(A1293="","Descartar - Linha vazia",IF(R1293="Sim","Descartar - Duplicado",IF(OR(H1293&lt;=0,I1293&lt;=0),"Descartar - Qtd/Valor inválido","OK")))</f>
        <v>OK</v>
      </c>
      <c r="T1293" s="4" t="str">
        <f aca="false">Base_Bruta!P1293</f>
        <v>vendas_RJ.xlsx</v>
      </c>
    </row>
    <row r="1294" customFormat="false" ht="15" hidden="false" customHeight="false" outlineLevel="0" collapsed="false">
      <c r="A1294" s="4" t="str">
        <f aca="false">IF(Base_Bruta!A1294="","",Base_Bruta!A1294)</f>
        <v>RJ-000187</v>
      </c>
      <c r="B1294" s="5" t="n">
        <f aca="false">IF($A1294="","",IF(ISNUMBER(Base_Bruta!B1294),Base_Bruta!B1294,IF(MID(Base_Bruta!B1294,5,1)="-",DATE(VALUE(LEFT(Base_Bruta!B1294,4)),VALUE(MID(Base_Bruta!B1294,6,2)),VALUE(RIGHT(Base_Bruta!B1294,2))),DATE(VALUE(RIGHT(Base_Bruta!B1294,4)),VALUE(MID(Base_Bruta!B1294,4,2)),VALUE(LEFT(Base_Bruta!B1294,2))))))</f>
        <v>46041</v>
      </c>
      <c r="C1294" s="5" t="n">
        <f aca="false">IF($A1294="","",IF(ISNUMBER(Base_Bruta!C1294),Base_Bruta!C1294,IF(MID(Base_Bruta!C1294,5,1)="-",DATE(VALUE(LEFT(Base_Bruta!C1294,4)),VALUE(MID(Base_Bruta!C1294,6,2)),VALUE(RIGHT(Base_Bruta!C1294,2))),DATE(VALUE(RIGHT(Base_Bruta!C1294,4)),VALUE(MID(Base_Bruta!C1294,4,2)),VALUE(LEFT(Base_Bruta!C1294,2))))))</f>
        <v>46046</v>
      </c>
      <c r="D1294" s="4" t="str">
        <f aca="false">IF($A1294="","",TRIM(Base_Bruta!D1294))</f>
        <v>Rio Beat Festival 2026</v>
      </c>
      <c r="E1294" s="4" t="str">
        <f aca="false">IF($A1294="","",_xlfn.XLOOKUP(LOWER(TRIM(Base_Bruta!E1294)),DePara_Categoria!$A$2:$A$9,DePara_Categoria!$B$2:$B$9,"REVISAR"))</f>
        <v>Festival</v>
      </c>
      <c r="F1294" s="4" t="str">
        <f aca="false">IF($A1294="","",_xlfn.XLOOKUP(LOWER(TRIM(Base_Bruta!F1294)),DePara_Cidade!$A$2:$A$29,DePara_Cidade!$B$2:$B$29,"REVISAR"))</f>
        <v>Rio de Janeiro</v>
      </c>
      <c r="G1294" s="4" t="str">
        <f aca="false">IF($A1294="","",TRIM(Base_Bruta!G1294))</f>
        <v>Inteira</v>
      </c>
      <c r="H1294" s="4" t="n">
        <f aca="false">IF($A1294="","",IF(ISNUMBER(Base_Bruta!H1294),Base_Bruta!H1294,IFERROR(_xlfn.NUMBERVALUE(TRIM(SUBSTITUTE(Base_Bruta!H1294,"R$","")),",","."),0)))</f>
        <v>1</v>
      </c>
      <c r="I1294" s="6" t="n">
        <f aca="false">IF($A1294="","",IF(ISNUMBER(Base_Bruta!I1294),Base_Bruta!I1294,IFERROR(_xlfn.NUMBERVALUE(TRIM(SUBSTITUTE(Base_Bruta!I1294,"R$","")),",","."),0)))</f>
        <v>915</v>
      </c>
      <c r="J1294" s="6" t="n">
        <f aca="false">IF($A1294="","",H1294*I1294)</f>
        <v>915</v>
      </c>
      <c r="K1294" s="4" t="str">
        <f aca="false">IF($A1294="","",TRIM(Base_Bruta!J1294))</f>
        <v>App</v>
      </c>
      <c r="L1294" s="4" t="str">
        <f aca="false">IF($A1294="","",TRIM(Base_Bruta!K1294))</f>
        <v>C01145</v>
      </c>
      <c r="M1294" s="4" t="str">
        <f aca="false">IF($A1294="","",_xlfn.XLOOKUP(LOWER(TRIM(Base_Bruta!L1294)),DePara_Cidade!$A$2:$A$29,DePara_Cidade!$B$2:$B$29,"REVISAR"))</f>
        <v>Rio de Janeiro</v>
      </c>
      <c r="N1294" s="4" t="str">
        <f aca="false">IF($A1294="","",UPPER(TRIM(Base_Bruta!M1294)))</f>
        <v>RJ</v>
      </c>
      <c r="O1294" s="4" t="str">
        <f aca="false">IF($A1294="","",_xlfn.XLOOKUP(LOWER(TRIM(Base_Bruta!N1294)),DePara_Pais!$A$2:$A$9,DePara_Pais!$B$2:$B$9,"REVISAR"))</f>
        <v>Brasil</v>
      </c>
      <c r="P1294" s="4" t="str">
        <f aca="false">IF($A1294="","",IF(O1294&lt;&gt;"Brasil","Turista Internacional",IF(M1294=F1294,"Local","Turista Nacional")))</f>
        <v>Local</v>
      </c>
      <c r="Q1294" s="7" t="n">
        <f aca="false">IF($A1294="","",DATE(YEAR(B1294),MONTH(B1294),1))</f>
        <v>46023</v>
      </c>
      <c r="R1294" s="4" t="str">
        <f aca="false">IF($A1294="","",IF(COUNTIF($A$2:$A1294,$A1294)&gt;1,"Sim","Não"))</f>
        <v>Não</v>
      </c>
      <c r="S1294" s="4" t="str">
        <f aca="false">IF(A1294="","Descartar - Linha vazia",IF(R1294="Sim","Descartar - Duplicado",IF(OR(H1294&lt;=0,I1294&lt;=0),"Descartar - Qtd/Valor inválido","OK")))</f>
        <v>OK</v>
      </c>
      <c r="T1294" s="4" t="str">
        <f aca="false">Base_Bruta!P1294</f>
        <v>vendas_RJ.xlsx</v>
      </c>
    </row>
    <row r="1295" customFormat="false" ht="15" hidden="false" customHeight="false" outlineLevel="0" collapsed="false">
      <c r="A1295" s="4" t="str">
        <f aca="false">IF(Base_Bruta!A1295="","",Base_Bruta!A1295)</f>
        <v>RJ-000219</v>
      </c>
      <c r="B1295" s="5" t="n">
        <f aca="false">IF($A1295="","",IF(ISNUMBER(Base_Bruta!B1295),Base_Bruta!B1295,IF(MID(Base_Bruta!B1295,5,1)="-",DATE(VALUE(LEFT(Base_Bruta!B1295,4)),VALUE(MID(Base_Bruta!B1295,6,2)),VALUE(RIGHT(Base_Bruta!B1295,2))),DATE(VALUE(RIGHT(Base_Bruta!B1295,4)),VALUE(MID(Base_Bruta!B1295,4,2)),VALUE(LEFT(Base_Bruta!B1295,2))))))</f>
        <v>46041</v>
      </c>
      <c r="C1295" s="5" t="n">
        <f aca="false">IF($A1295="","",IF(ISNUMBER(Base_Bruta!C1295),Base_Bruta!C1295,IF(MID(Base_Bruta!C1295,5,1)="-",DATE(VALUE(LEFT(Base_Bruta!C1295,4)),VALUE(MID(Base_Bruta!C1295,6,2)),VALUE(RIGHT(Base_Bruta!C1295,2))),DATE(VALUE(RIGHT(Base_Bruta!C1295,4)),VALUE(MID(Base_Bruta!C1295,4,2)),VALUE(LEFT(Base_Bruta!C1295,2))))))</f>
        <v>46046</v>
      </c>
      <c r="D1295" s="4" t="str">
        <f aca="false">IF($A1295="","",TRIM(Base_Bruta!D1295))</f>
        <v>Rio Beat Festival 2026</v>
      </c>
      <c r="E1295" s="4" t="str">
        <f aca="false">IF($A1295="","",_xlfn.XLOOKUP(LOWER(TRIM(Base_Bruta!E1295)),DePara_Categoria!$A$2:$A$9,DePara_Categoria!$B$2:$B$9,"REVISAR"))</f>
        <v>Festival</v>
      </c>
      <c r="F1295" s="4" t="str">
        <f aca="false">IF($A1295="","",_xlfn.XLOOKUP(LOWER(TRIM(Base_Bruta!F1295)),DePara_Cidade!$A$2:$A$29,DePara_Cidade!$B$2:$B$29,"REVISAR"))</f>
        <v>Rio de Janeiro</v>
      </c>
      <c r="G1295" s="4" t="str">
        <f aca="false">IF($A1295="","",TRIM(Base_Bruta!G1295))</f>
        <v>Meia</v>
      </c>
      <c r="H1295" s="4" t="n">
        <f aca="false">IF($A1295="","",IF(ISNUMBER(Base_Bruta!H1295),Base_Bruta!H1295,IFERROR(_xlfn.NUMBERVALUE(TRIM(SUBSTITUTE(Base_Bruta!H1295,"R$","")),",","."),0)))</f>
        <v>3</v>
      </c>
      <c r="I1295" s="6" t="n">
        <f aca="false">IF($A1295="","",IF(ISNUMBER(Base_Bruta!I1295),Base_Bruta!I1295,IFERROR(_xlfn.NUMBERVALUE(TRIM(SUBSTITUTE(Base_Bruta!I1295,"R$","")),",","."),0)))</f>
        <v>412.5</v>
      </c>
      <c r="J1295" s="6" t="n">
        <f aca="false">IF($A1295="","",H1295*I1295)</f>
        <v>1237.5</v>
      </c>
      <c r="K1295" s="4" t="str">
        <f aca="false">IF($A1295="","",TRIM(Base_Bruta!J1295))</f>
        <v>Site</v>
      </c>
      <c r="L1295" s="4" t="str">
        <f aca="false">IF($A1295="","",TRIM(Base_Bruta!K1295))</f>
        <v>C00405</v>
      </c>
      <c r="M1295" s="4" t="str">
        <f aca="false">IF($A1295="","",_xlfn.XLOOKUP(LOWER(TRIM(Base_Bruta!L1295)),DePara_Cidade!$A$2:$A$29,DePara_Cidade!$B$2:$B$29,"REVISAR"))</f>
        <v>Rio de Janeiro</v>
      </c>
      <c r="N1295" s="4" t="str">
        <f aca="false">IF($A1295="","",UPPER(TRIM(Base_Bruta!M1295)))</f>
        <v>RJ</v>
      </c>
      <c r="O1295" s="4" t="str">
        <f aca="false">IF($A1295="","",_xlfn.XLOOKUP(LOWER(TRIM(Base_Bruta!N1295)),DePara_Pais!$A$2:$A$9,DePara_Pais!$B$2:$B$9,"REVISAR"))</f>
        <v>Brasil</v>
      </c>
      <c r="P1295" s="4" t="str">
        <f aca="false">IF($A1295="","",IF(O1295&lt;&gt;"Brasil","Turista Internacional",IF(M1295=F1295,"Local","Turista Nacional")))</f>
        <v>Local</v>
      </c>
      <c r="Q1295" s="7" t="n">
        <f aca="false">IF($A1295="","",DATE(YEAR(B1295),MONTH(B1295),1))</f>
        <v>46023</v>
      </c>
      <c r="R1295" s="4" t="str">
        <f aca="false">IF($A1295="","",IF(COUNTIF($A$2:$A1295,$A1295)&gt;1,"Sim","Não"))</f>
        <v>Não</v>
      </c>
      <c r="S1295" s="4" t="str">
        <f aca="false">IF(A1295="","Descartar - Linha vazia",IF(R1295="Sim","Descartar - Duplicado",IF(OR(H1295&lt;=0,I1295&lt;=0),"Descartar - Qtd/Valor inválido","OK")))</f>
        <v>OK</v>
      </c>
      <c r="T1295" s="4" t="str">
        <f aca="false">Base_Bruta!P1295</f>
        <v>vendas_RJ.xlsx</v>
      </c>
    </row>
    <row r="1296" customFormat="false" ht="15" hidden="false" customHeight="false" outlineLevel="0" collapsed="false">
      <c r="A1296" s="4" t="str">
        <f aca="false">IF(Base_Bruta!A1296="","",Base_Bruta!A1296)</f>
        <v>RJ-000224</v>
      </c>
      <c r="B1296" s="5" t="n">
        <f aca="false">IF($A1296="","",IF(ISNUMBER(Base_Bruta!B1296),Base_Bruta!B1296,IF(MID(Base_Bruta!B1296,5,1)="-",DATE(VALUE(LEFT(Base_Bruta!B1296,4)),VALUE(MID(Base_Bruta!B1296,6,2)),VALUE(RIGHT(Base_Bruta!B1296,2))),DATE(VALUE(RIGHT(Base_Bruta!B1296,4)),VALUE(MID(Base_Bruta!B1296,4,2)),VALUE(LEFT(Base_Bruta!B1296,2))))))</f>
        <v>46041</v>
      </c>
      <c r="C1296" s="5" t="n">
        <f aca="false">IF($A1296="","",IF(ISNUMBER(Base_Bruta!C1296),Base_Bruta!C1296,IF(MID(Base_Bruta!C1296,5,1)="-",DATE(VALUE(LEFT(Base_Bruta!C1296,4)),VALUE(MID(Base_Bruta!C1296,6,2)),VALUE(RIGHT(Base_Bruta!C1296,2))),DATE(VALUE(RIGHT(Base_Bruta!C1296,4)),VALUE(MID(Base_Bruta!C1296,4,2)),VALUE(LEFT(Base_Bruta!C1296,2))))))</f>
        <v>46046</v>
      </c>
      <c r="D1296" s="4" t="str">
        <f aca="false">IF($A1296="","",TRIM(Base_Bruta!D1296))</f>
        <v>Rio Beat Festival 2026</v>
      </c>
      <c r="E1296" s="4" t="str">
        <f aca="false">IF($A1296="","",_xlfn.XLOOKUP(LOWER(TRIM(Base_Bruta!E1296)),DePara_Categoria!$A$2:$A$9,DePara_Categoria!$B$2:$B$9,"REVISAR"))</f>
        <v>Festival</v>
      </c>
      <c r="F1296" s="4" t="str">
        <f aca="false">IF($A1296="","",_xlfn.XLOOKUP(LOWER(TRIM(Base_Bruta!F1296)),DePara_Cidade!$A$2:$A$29,DePara_Cidade!$B$2:$B$29,"REVISAR"))</f>
        <v>Rio de Janeiro</v>
      </c>
      <c r="G1296" s="4" t="str">
        <f aca="false">IF($A1296="","",TRIM(Base_Bruta!G1296))</f>
        <v>Meia</v>
      </c>
      <c r="H1296" s="4" t="n">
        <f aca="false">IF($A1296="","",IF(ISNUMBER(Base_Bruta!H1296),Base_Bruta!H1296,IFERROR(_xlfn.NUMBERVALUE(TRIM(SUBSTITUTE(Base_Bruta!H1296,"R$","")),",","."),0)))</f>
        <v>1</v>
      </c>
      <c r="I1296" s="6" t="n">
        <f aca="false">IF($A1296="","",IF(ISNUMBER(Base_Bruta!I1296),Base_Bruta!I1296,IFERROR(_xlfn.NUMBERVALUE(TRIM(SUBSTITUTE(Base_Bruta!I1296,"R$","")),",","."),0)))</f>
        <v>487.5</v>
      </c>
      <c r="J1296" s="6" t="n">
        <f aca="false">IF($A1296="","",H1296*I1296)</f>
        <v>487.5</v>
      </c>
      <c r="K1296" s="4" t="str">
        <f aca="false">IF($A1296="","",TRIM(Base_Bruta!J1296))</f>
        <v>Bilheteria</v>
      </c>
      <c r="L1296" s="4" t="str">
        <f aca="false">IF($A1296="","",TRIM(Base_Bruta!K1296))</f>
        <v>C01572</v>
      </c>
      <c r="M1296" s="4" t="str">
        <f aca="false">IF($A1296="","",_xlfn.XLOOKUP(LOWER(TRIM(Base_Bruta!L1296)),DePara_Cidade!$A$2:$A$29,DePara_Cidade!$B$2:$B$29,"REVISAR"))</f>
        <v>Rio de Janeiro</v>
      </c>
      <c r="N1296" s="4" t="str">
        <f aca="false">IF($A1296="","",UPPER(TRIM(Base_Bruta!M1296)))</f>
        <v>RJ</v>
      </c>
      <c r="O1296" s="4" t="str">
        <f aca="false">IF($A1296="","",_xlfn.XLOOKUP(LOWER(TRIM(Base_Bruta!N1296)),DePara_Pais!$A$2:$A$9,DePara_Pais!$B$2:$B$9,"REVISAR"))</f>
        <v>Brasil</v>
      </c>
      <c r="P1296" s="4" t="str">
        <f aca="false">IF($A1296="","",IF(O1296&lt;&gt;"Brasil","Turista Internacional",IF(M1296=F1296,"Local","Turista Nacional")))</f>
        <v>Local</v>
      </c>
      <c r="Q1296" s="7" t="n">
        <f aca="false">IF($A1296="","",DATE(YEAR(B1296),MONTH(B1296),1))</f>
        <v>46023</v>
      </c>
      <c r="R1296" s="4" t="str">
        <f aca="false">IF($A1296="","",IF(COUNTIF($A$2:$A1296,$A1296)&gt;1,"Sim","Não"))</f>
        <v>Não</v>
      </c>
      <c r="S1296" s="4" t="str">
        <f aca="false">IF(A1296="","Descartar - Linha vazia",IF(R1296="Sim","Descartar - Duplicado",IF(OR(H1296&lt;=0,I1296&lt;=0),"Descartar - Qtd/Valor inválido","OK")))</f>
        <v>OK</v>
      </c>
      <c r="T1296" s="4" t="str">
        <f aca="false">Base_Bruta!P1296</f>
        <v>vendas_RJ.xlsx</v>
      </c>
    </row>
    <row r="1297" customFormat="false" ht="15" hidden="false" customHeight="false" outlineLevel="0" collapsed="false">
      <c r="A1297" s="4" t="str">
        <f aca="false">IF(Base_Bruta!A1297="","",Base_Bruta!A1297)</f>
        <v>RJ-000393</v>
      </c>
      <c r="B1297" s="5" t="n">
        <f aca="false">IF($A1297="","",IF(ISNUMBER(Base_Bruta!B1297),Base_Bruta!B1297,IF(MID(Base_Bruta!B1297,5,1)="-",DATE(VALUE(LEFT(Base_Bruta!B1297,4)),VALUE(MID(Base_Bruta!B1297,6,2)),VALUE(RIGHT(Base_Bruta!B1297,2))),DATE(VALUE(RIGHT(Base_Bruta!B1297,4)),VALUE(MID(Base_Bruta!B1297,4,2)),VALUE(LEFT(Base_Bruta!B1297,2))))))</f>
        <v>46041</v>
      </c>
      <c r="C1297" s="5" t="n">
        <f aca="false">IF($A1297="","",IF(ISNUMBER(Base_Bruta!C1297),Base_Bruta!C1297,IF(MID(Base_Bruta!C1297,5,1)="-",DATE(VALUE(LEFT(Base_Bruta!C1297,4)),VALUE(MID(Base_Bruta!C1297,6,2)),VALUE(RIGHT(Base_Bruta!C1297,2))),DATE(VALUE(RIGHT(Base_Bruta!C1297,4)),VALUE(MID(Base_Bruta!C1297,4,2)),VALUE(LEFT(Base_Bruta!C1297,2))))))</f>
        <v>46151</v>
      </c>
      <c r="D1297" s="4" t="str">
        <f aca="false">IF($A1297="","",TRIM(Base_Bruta!D1297))</f>
        <v>Turnê Internacional Rock - Rio</v>
      </c>
      <c r="E1297" s="4" t="str">
        <f aca="false">IF($A1297="","",_xlfn.XLOOKUP(LOWER(TRIM(Base_Bruta!E1297)),DePara_Categoria!$A$2:$A$9,DePara_Categoria!$B$2:$B$9,"REVISAR"))</f>
        <v>Show</v>
      </c>
      <c r="F1297" s="4" t="str">
        <f aca="false">IF($A1297="","",_xlfn.XLOOKUP(LOWER(TRIM(Base_Bruta!F1297)),DePara_Cidade!$A$2:$A$29,DePara_Cidade!$B$2:$B$29,"REVISAR"))</f>
        <v>Rio de Janeiro</v>
      </c>
      <c r="G1297" s="4" t="str">
        <f aca="false">IF($A1297="","",TRIM(Base_Bruta!G1297))</f>
        <v>Inteira</v>
      </c>
      <c r="H1297" s="4" t="n">
        <f aca="false">IF($A1297="","",IF(ISNUMBER(Base_Bruta!H1297),Base_Bruta!H1297,IFERROR(_xlfn.NUMBERVALUE(TRIM(SUBSTITUTE(Base_Bruta!H1297,"R$","")),",","."),0)))</f>
        <v>1</v>
      </c>
      <c r="I1297" s="6" t="n">
        <f aca="false">IF($A1297="","",IF(ISNUMBER(Base_Bruta!I1297),Base_Bruta!I1297,IFERROR(_xlfn.NUMBERVALUE(TRIM(SUBSTITUTE(Base_Bruta!I1297,"R$","")),",","."),0)))</f>
        <v>330</v>
      </c>
      <c r="J1297" s="6" t="n">
        <f aca="false">IF($A1297="","",H1297*I1297)</f>
        <v>330</v>
      </c>
      <c r="K1297" s="4" t="str">
        <f aca="false">IF($A1297="","",TRIM(Base_Bruta!J1297))</f>
        <v>Parceiro</v>
      </c>
      <c r="L1297" s="4" t="str">
        <f aca="false">IF($A1297="","",TRIM(Base_Bruta!K1297))</f>
        <v>C01359</v>
      </c>
      <c r="M1297" s="4" t="str">
        <f aca="false">IF($A1297="","",_xlfn.XLOOKUP(LOWER(TRIM(Base_Bruta!L1297)),DePara_Cidade!$A$2:$A$29,DePara_Cidade!$B$2:$B$29,"REVISAR"))</f>
        <v>Rio de Janeiro</v>
      </c>
      <c r="N1297" s="4" t="str">
        <f aca="false">IF($A1297="","",UPPER(TRIM(Base_Bruta!M1297)))</f>
        <v>RJ</v>
      </c>
      <c r="O1297" s="4" t="str">
        <f aca="false">IF($A1297="","",_xlfn.XLOOKUP(LOWER(TRIM(Base_Bruta!N1297)),DePara_Pais!$A$2:$A$9,DePara_Pais!$B$2:$B$9,"REVISAR"))</f>
        <v>Brasil</v>
      </c>
      <c r="P1297" s="4" t="str">
        <f aca="false">IF($A1297="","",IF(O1297&lt;&gt;"Brasil","Turista Internacional",IF(M1297=F1297,"Local","Turista Nacional")))</f>
        <v>Local</v>
      </c>
      <c r="Q1297" s="7" t="n">
        <f aca="false">IF($A1297="","",DATE(YEAR(B1297),MONTH(B1297),1))</f>
        <v>46023</v>
      </c>
      <c r="R1297" s="4" t="str">
        <f aca="false">IF($A1297="","",IF(COUNTIF($A$2:$A1297,$A1297)&gt;1,"Sim","Não"))</f>
        <v>Não</v>
      </c>
      <c r="S1297" s="4" t="str">
        <f aca="false">IF(A1297="","Descartar - Linha vazia",IF(R1297="Sim","Descartar - Duplicado",IF(OR(H1297&lt;=0,I1297&lt;=0),"Descartar - Qtd/Valor inválido","OK")))</f>
        <v>OK</v>
      </c>
      <c r="T1297" s="4" t="str">
        <f aca="false">Base_Bruta!P1297</f>
        <v>vendas_RJ.xlsx</v>
      </c>
    </row>
    <row r="1298" customFormat="false" ht="15" hidden="false" customHeight="false" outlineLevel="0" collapsed="false">
      <c r="A1298" s="4" t="str">
        <f aca="false">IF(Base_Bruta!A1298="","",Base_Bruta!A1298)</f>
        <v>RJ-000009</v>
      </c>
      <c r="B1298" s="5" t="n">
        <f aca="false">IF($A1298="","",IF(ISNUMBER(Base_Bruta!B1298),Base_Bruta!B1298,IF(MID(Base_Bruta!B1298,5,1)="-",DATE(VALUE(LEFT(Base_Bruta!B1298,4)),VALUE(MID(Base_Bruta!B1298,6,2)),VALUE(RIGHT(Base_Bruta!B1298,2))),DATE(VALUE(RIGHT(Base_Bruta!B1298,4)),VALUE(MID(Base_Bruta!B1298,4,2)),VALUE(LEFT(Base_Bruta!B1298,2))))))</f>
        <v>46042</v>
      </c>
      <c r="C1298" s="5" t="n">
        <f aca="false">IF($A1298="","",IF(ISNUMBER(Base_Bruta!C1298),Base_Bruta!C1298,IF(MID(Base_Bruta!C1298,5,1)="-",DATE(VALUE(LEFT(Base_Bruta!C1298,4)),VALUE(MID(Base_Bruta!C1298,6,2)),VALUE(RIGHT(Base_Bruta!C1298,2))),DATE(VALUE(RIGHT(Base_Bruta!C1298,4)),VALUE(MID(Base_Bruta!C1298,4,2)),VALUE(LEFT(Base_Bruta!C1298,2))))))</f>
        <v>46046</v>
      </c>
      <c r="D1298" s="4" t="str">
        <f aca="false">IF($A1298="","",TRIM(Base_Bruta!D1298))</f>
        <v>Rio Beat Festival 2026</v>
      </c>
      <c r="E1298" s="4" t="str">
        <f aca="false">IF($A1298="","",_xlfn.XLOOKUP(LOWER(TRIM(Base_Bruta!E1298)),DePara_Categoria!$A$2:$A$9,DePara_Categoria!$B$2:$B$9,"REVISAR"))</f>
        <v>Festival</v>
      </c>
      <c r="F1298" s="4" t="str">
        <f aca="false">IF($A1298="","",_xlfn.XLOOKUP(LOWER(TRIM(Base_Bruta!F1298)),DePara_Cidade!$A$2:$A$29,DePara_Cidade!$B$2:$B$29,"REVISAR"))</f>
        <v>Rio de Janeiro</v>
      </c>
      <c r="G1298" s="4" t="str">
        <f aca="false">IF($A1298="","",TRIM(Base_Bruta!G1298))</f>
        <v>Inteira</v>
      </c>
      <c r="H1298" s="4" t="n">
        <f aca="false">IF($A1298="","",IF(ISNUMBER(Base_Bruta!H1298),Base_Bruta!H1298,IFERROR(_xlfn.NUMBERVALUE(TRIM(SUBSTITUTE(Base_Bruta!H1298,"R$","")),",","."),0)))</f>
        <v>1</v>
      </c>
      <c r="I1298" s="6" t="n">
        <f aca="false">IF($A1298="","",IF(ISNUMBER(Base_Bruta!I1298),Base_Bruta!I1298,IFERROR(_xlfn.NUMBERVALUE(TRIM(SUBSTITUTE(Base_Bruta!I1298,"R$","")),",","."),0)))</f>
        <v>1080</v>
      </c>
      <c r="J1298" s="6" t="n">
        <f aca="false">IF($A1298="","",H1298*I1298)</f>
        <v>1080</v>
      </c>
      <c r="K1298" s="4" t="str">
        <f aca="false">IF($A1298="","",TRIM(Base_Bruta!J1298))</f>
        <v>Site</v>
      </c>
      <c r="L1298" s="4" t="str">
        <f aca="false">IF($A1298="","",TRIM(Base_Bruta!K1298))</f>
        <v>C00782</v>
      </c>
      <c r="M1298" s="4" t="str">
        <f aca="false">IF($A1298="","",_xlfn.XLOOKUP(LOWER(TRIM(Base_Bruta!L1298)),DePara_Cidade!$A$2:$A$29,DePara_Cidade!$B$2:$B$29,"REVISAR"))</f>
        <v>Rio de Janeiro</v>
      </c>
      <c r="N1298" s="4" t="str">
        <f aca="false">IF($A1298="","",UPPER(TRIM(Base_Bruta!M1298)))</f>
        <v>RJ</v>
      </c>
      <c r="O1298" s="4" t="str">
        <f aca="false">IF($A1298="","",_xlfn.XLOOKUP(LOWER(TRIM(Base_Bruta!N1298)),DePara_Pais!$A$2:$A$9,DePara_Pais!$B$2:$B$9,"REVISAR"))</f>
        <v>Brasil</v>
      </c>
      <c r="P1298" s="4" t="str">
        <f aca="false">IF($A1298="","",IF(O1298&lt;&gt;"Brasil","Turista Internacional",IF(M1298=F1298,"Local","Turista Nacional")))</f>
        <v>Local</v>
      </c>
      <c r="Q1298" s="7" t="n">
        <f aca="false">IF($A1298="","",DATE(YEAR(B1298),MONTH(B1298),1))</f>
        <v>46023</v>
      </c>
      <c r="R1298" s="4" t="str">
        <f aca="false">IF($A1298="","",IF(COUNTIF($A$2:$A1298,$A1298)&gt;1,"Sim","Não"))</f>
        <v>Não</v>
      </c>
      <c r="S1298" s="4" t="str">
        <f aca="false">IF(A1298="","Descartar - Linha vazia",IF(R1298="Sim","Descartar - Duplicado",IF(OR(H1298&lt;=0,I1298&lt;=0),"Descartar - Qtd/Valor inválido","OK")))</f>
        <v>OK</v>
      </c>
      <c r="T1298" s="4" t="str">
        <f aca="false">Base_Bruta!P1298</f>
        <v>vendas_RJ.xlsx</v>
      </c>
    </row>
    <row r="1299" customFormat="false" ht="15" hidden="false" customHeight="false" outlineLevel="0" collapsed="false">
      <c r="A1299" s="4" t="str">
        <f aca="false">IF(Base_Bruta!A1299="","",Base_Bruta!A1299)</f>
        <v>RJ-000012</v>
      </c>
      <c r="B1299" s="5" t="n">
        <f aca="false">IF($A1299="","",IF(ISNUMBER(Base_Bruta!B1299),Base_Bruta!B1299,IF(MID(Base_Bruta!B1299,5,1)="-",DATE(VALUE(LEFT(Base_Bruta!B1299,4)),VALUE(MID(Base_Bruta!B1299,6,2)),VALUE(RIGHT(Base_Bruta!B1299,2))),DATE(VALUE(RIGHT(Base_Bruta!B1299,4)),VALUE(MID(Base_Bruta!B1299,4,2)),VALUE(LEFT(Base_Bruta!B1299,2))))))</f>
        <v>46042</v>
      </c>
      <c r="C1299" s="5" t="n">
        <f aca="false">IF($A1299="","",IF(ISNUMBER(Base_Bruta!C1299),Base_Bruta!C1299,IF(MID(Base_Bruta!C1299,5,1)="-",DATE(VALUE(LEFT(Base_Bruta!C1299,4)),VALUE(MID(Base_Bruta!C1299,6,2)),VALUE(RIGHT(Base_Bruta!C1299,2))),DATE(VALUE(RIGHT(Base_Bruta!C1299,4)),VALUE(MID(Base_Bruta!C1299,4,2)),VALUE(LEFT(Base_Bruta!C1299,2))))))</f>
        <v>46046</v>
      </c>
      <c r="D1299" s="4" t="str">
        <f aca="false">IF($A1299="","",TRIM(Base_Bruta!D1299))</f>
        <v>Rio Beat Festival 2026</v>
      </c>
      <c r="E1299" s="4" t="str">
        <f aca="false">IF($A1299="","",_xlfn.XLOOKUP(LOWER(TRIM(Base_Bruta!E1299)),DePara_Categoria!$A$2:$A$9,DePara_Categoria!$B$2:$B$9,"REVISAR"))</f>
        <v>Festival</v>
      </c>
      <c r="F1299" s="4" t="str">
        <f aca="false">IF($A1299="","",_xlfn.XLOOKUP(LOWER(TRIM(Base_Bruta!F1299)),DePara_Cidade!$A$2:$A$29,DePara_Cidade!$B$2:$B$29,"REVISAR"))</f>
        <v>Rio de Janeiro</v>
      </c>
      <c r="G1299" s="4" t="str">
        <f aca="false">IF($A1299="","",TRIM(Base_Bruta!G1299))</f>
        <v>Inteira</v>
      </c>
      <c r="H1299" s="4" t="n">
        <f aca="false">IF($A1299="","",IF(ISNUMBER(Base_Bruta!H1299),Base_Bruta!H1299,IFERROR(_xlfn.NUMBERVALUE(TRIM(SUBSTITUTE(Base_Bruta!H1299,"R$","")),",","."),0)))</f>
        <v>2</v>
      </c>
      <c r="I1299" s="6" t="n">
        <f aca="false">IF($A1299="","",IF(ISNUMBER(Base_Bruta!I1299),Base_Bruta!I1299,IFERROR(_xlfn.NUMBERVALUE(TRIM(SUBSTITUTE(Base_Bruta!I1299,"R$","")),",","."),0)))</f>
        <v>880</v>
      </c>
      <c r="J1299" s="6" t="n">
        <f aca="false">IF($A1299="","",H1299*I1299)</f>
        <v>1760</v>
      </c>
      <c r="K1299" s="4" t="str">
        <f aca="false">IF($A1299="","",TRIM(Base_Bruta!J1299))</f>
        <v>App</v>
      </c>
      <c r="L1299" s="4" t="str">
        <f aca="false">IF($A1299="","",TRIM(Base_Bruta!K1299))</f>
        <v>C01208</v>
      </c>
      <c r="M1299" s="4" t="str">
        <f aca="false">IF($A1299="","",_xlfn.XLOOKUP(LOWER(TRIM(Base_Bruta!L1299)),DePara_Cidade!$A$2:$A$29,DePara_Cidade!$B$2:$B$29,"REVISAR"))</f>
        <v>Niterói</v>
      </c>
      <c r="N1299" s="4" t="str">
        <f aca="false">IF($A1299="","",UPPER(TRIM(Base_Bruta!M1299)))</f>
        <v>RJ</v>
      </c>
      <c r="O1299" s="4" t="str">
        <f aca="false">IF($A1299="","",_xlfn.XLOOKUP(LOWER(TRIM(Base_Bruta!N1299)),DePara_Pais!$A$2:$A$9,DePara_Pais!$B$2:$B$9,"REVISAR"))</f>
        <v>Brasil</v>
      </c>
      <c r="P1299" s="4" t="str">
        <f aca="false">IF($A1299="","",IF(O1299&lt;&gt;"Brasil","Turista Internacional",IF(M1299=F1299,"Local","Turista Nacional")))</f>
        <v>Turista Nacional</v>
      </c>
      <c r="Q1299" s="7" t="n">
        <f aca="false">IF($A1299="","",DATE(YEAR(B1299),MONTH(B1299),1))</f>
        <v>46023</v>
      </c>
      <c r="R1299" s="4" t="str">
        <f aca="false">IF($A1299="","",IF(COUNTIF($A$2:$A1299,$A1299)&gt;1,"Sim","Não"))</f>
        <v>Não</v>
      </c>
      <c r="S1299" s="4" t="str">
        <f aca="false">IF(A1299="","Descartar - Linha vazia",IF(R1299="Sim","Descartar - Duplicado",IF(OR(H1299&lt;=0,I1299&lt;=0),"Descartar - Qtd/Valor inválido","OK")))</f>
        <v>OK</v>
      </c>
      <c r="T1299" s="4" t="str">
        <f aca="false">Base_Bruta!P1299</f>
        <v>vendas_RJ.xlsx</v>
      </c>
    </row>
    <row r="1300" customFormat="false" ht="15" hidden="false" customHeight="false" outlineLevel="0" collapsed="false">
      <c r="A1300" s="4" t="str">
        <f aca="false">IF(Base_Bruta!A1300="","",Base_Bruta!A1300)</f>
        <v>RJ-000019</v>
      </c>
      <c r="B1300" s="5" t="n">
        <f aca="false">IF($A1300="","",IF(ISNUMBER(Base_Bruta!B1300),Base_Bruta!B1300,IF(MID(Base_Bruta!B1300,5,1)="-",DATE(VALUE(LEFT(Base_Bruta!B1300,4)),VALUE(MID(Base_Bruta!B1300,6,2)),VALUE(RIGHT(Base_Bruta!B1300,2))),DATE(VALUE(RIGHT(Base_Bruta!B1300,4)),VALUE(MID(Base_Bruta!B1300,4,2)),VALUE(LEFT(Base_Bruta!B1300,2))))))</f>
        <v>46042</v>
      </c>
      <c r="C1300" s="5" t="n">
        <f aca="false">IF($A1300="","",IF(ISNUMBER(Base_Bruta!C1300),Base_Bruta!C1300,IF(MID(Base_Bruta!C1300,5,1)="-",DATE(VALUE(LEFT(Base_Bruta!C1300,4)),VALUE(MID(Base_Bruta!C1300,6,2)),VALUE(RIGHT(Base_Bruta!C1300,2))),DATE(VALUE(RIGHT(Base_Bruta!C1300,4)),VALUE(MID(Base_Bruta!C1300,4,2)),VALUE(LEFT(Base_Bruta!C1300,2))))))</f>
        <v>46046</v>
      </c>
      <c r="D1300" s="4" t="str">
        <f aca="false">IF($A1300="","",TRIM(Base_Bruta!D1300))</f>
        <v>Rio Beat Festival 2026</v>
      </c>
      <c r="E1300" s="4" t="str">
        <f aca="false">IF($A1300="","",_xlfn.XLOOKUP(LOWER(TRIM(Base_Bruta!E1300)),DePara_Categoria!$A$2:$A$9,DePara_Categoria!$B$2:$B$9,"REVISAR"))</f>
        <v>Festival</v>
      </c>
      <c r="F1300" s="4" t="str">
        <f aca="false">IF($A1300="","",_xlfn.XLOOKUP(LOWER(TRIM(Base_Bruta!F1300)),DePara_Cidade!$A$2:$A$29,DePara_Cidade!$B$2:$B$29,"REVISAR"))</f>
        <v>Rio de Janeiro</v>
      </c>
      <c r="G1300" s="4" t="str">
        <f aca="false">IF($A1300="","",TRIM(Base_Bruta!G1300))</f>
        <v>Meia</v>
      </c>
      <c r="H1300" s="4" t="n">
        <f aca="false">IF($A1300="","",IF(ISNUMBER(Base_Bruta!H1300),Base_Bruta!H1300,IFERROR(_xlfn.NUMBERVALUE(TRIM(SUBSTITUTE(Base_Bruta!H1300,"R$","")),",","."),0)))</f>
        <v>1</v>
      </c>
      <c r="I1300" s="6" t="n">
        <f aca="false">IF($A1300="","",IF(ISNUMBER(Base_Bruta!I1300),Base_Bruta!I1300,IFERROR(_xlfn.NUMBERVALUE(TRIM(SUBSTITUTE(Base_Bruta!I1300,"R$","")),",","."),0)))</f>
        <v>547.5</v>
      </c>
      <c r="J1300" s="6" t="n">
        <f aca="false">IF($A1300="","",H1300*I1300)</f>
        <v>547.5</v>
      </c>
      <c r="K1300" s="4" t="str">
        <f aca="false">IF($A1300="","",TRIM(Base_Bruta!J1300))</f>
        <v>App</v>
      </c>
      <c r="L1300" s="4" t="str">
        <f aca="false">IF($A1300="","",TRIM(Base_Bruta!K1300))</f>
        <v>C00923</v>
      </c>
      <c r="M1300" s="4" t="str">
        <f aca="false">IF($A1300="","",_xlfn.XLOOKUP(LOWER(TRIM(Base_Bruta!L1300)),DePara_Cidade!$A$2:$A$29,DePara_Cidade!$B$2:$B$29,"REVISAR"))</f>
        <v>Santos</v>
      </c>
      <c r="N1300" s="4" t="str">
        <f aca="false">IF($A1300="","",UPPER(TRIM(Base_Bruta!M1300)))</f>
        <v>SP</v>
      </c>
      <c r="O1300" s="4" t="str">
        <f aca="false">IF($A1300="","",_xlfn.XLOOKUP(LOWER(TRIM(Base_Bruta!N1300)),DePara_Pais!$A$2:$A$9,DePara_Pais!$B$2:$B$9,"REVISAR"))</f>
        <v>Brasil</v>
      </c>
      <c r="P1300" s="4" t="str">
        <f aca="false">IF($A1300="","",IF(O1300&lt;&gt;"Brasil","Turista Internacional",IF(M1300=F1300,"Local","Turista Nacional")))</f>
        <v>Turista Nacional</v>
      </c>
      <c r="Q1300" s="7" t="n">
        <f aca="false">IF($A1300="","",DATE(YEAR(B1300),MONTH(B1300),1))</f>
        <v>46023</v>
      </c>
      <c r="R1300" s="4" t="str">
        <f aca="false">IF($A1300="","",IF(COUNTIF($A$2:$A1300,$A1300)&gt;1,"Sim","Não"))</f>
        <v>Não</v>
      </c>
      <c r="S1300" s="4" t="str">
        <f aca="false">IF(A1300="","Descartar - Linha vazia",IF(R1300="Sim","Descartar - Duplicado",IF(OR(H1300&lt;=0,I1300&lt;=0),"Descartar - Qtd/Valor inválido","OK")))</f>
        <v>OK</v>
      </c>
      <c r="T1300" s="4" t="str">
        <f aca="false">Base_Bruta!P1300</f>
        <v>vendas_RJ.xlsx</v>
      </c>
    </row>
    <row r="1301" customFormat="false" ht="15" hidden="false" customHeight="false" outlineLevel="0" collapsed="false">
      <c r="A1301" s="4" t="str">
        <f aca="false">IF(Base_Bruta!A1301="","",Base_Bruta!A1301)</f>
        <v>RJ-000050</v>
      </c>
      <c r="B1301" s="5" t="n">
        <f aca="false">IF($A1301="","",IF(ISNUMBER(Base_Bruta!B1301),Base_Bruta!B1301,IF(MID(Base_Bruta!B1301,5,1)="-",DATE(VALUE(LEFT(Base_Bruta!B1301,4)),VALUE(MID(Base_Bruta!B1301,6,2)),VALUE(RIGHT(Base_Bruta!B1301,2))),DATE(VALUE(RIGHT(Base_Bruta!B1301,4)),VALUE(MID(Base_Bruta!B1301,4,2)),VALUE(LEFT(Base_Bruta!B1301,2))))))</f>
        <v>46042</v>
      </c>
      <c r="C1301" s="5" t="n">
        <f aca="false">IF($A1301="","",IF(ISNUMBER(Base_Bruta!C1301),Base_Bruta!C1301,IF(MID(Base_Bruta!C1301,5,1)="-",DATE(VALUE(LEFT(Base_Bruta!C1301,4)),VALUE(MID(Base_Bruta!C1301,6,2)),VALUE(RIGHT(Base_Bruta!C1301,2))),DATE(VALUE(RIGHT(Base_Bruta!C1301,4)),VALUE(MID(Base_Bruta!C1301,4,2)),VALUE(LEFT(Base_Bruta!C1301,2))))))</f>
        <v>46046</v>
      </c>
      <c r="D1301" s="4" t="str">
        <f aca="false">IF($A1301="","",TRIM(Base_Bruta!D1301))</f>
        <v>Rio Beat Festival 2026</v>
      </c>
      <c r="E1301" s="4" t="str">
        <f aca="false">IF($A1301="","",_xlfn.XLOOKUP(LOWER(TRIM(Base_Bruta!E1301)),DePara_Categoria!$A$2:$A$9,DePara_Categoria!$B$2:$B$9,"REVISAR"))</f>
        <v>Festival</v>
      </c>
      <c r="F1301" s="4" t="str">
        <f aca="false">IF($A1301="","",_xlfn.XLOOKUP(LOWER(TRIM(Base_Bruta!F1301)),DePara_Cidade!$A$2:$A$29,DePara_Cidade!$B$2:$B$29,"REVISAR"))</f>
        <v>Rio de Janeiro</v>
      </c>
      <c r="G1301" s="4" t="str">
        <f aca="false">IF($A1301="","",TRIM(Base_Bruta!G1301))</f>
        <v>VIP</v>
      </c>
      <c r="H1301" s="4" t="n">
        <f aca="false">IF($A1301="","",IF(ISNUMBER(Base_Bruta!H1301),Base_Bruta!H1301,IFERROR(_xlfn.NUMBERVALUE(TRIM(SUBSTITUTE(Base_Bruta!H1301,"R$","")),",","."),0)))</f>
        <v>3</v>
      </c>
      <c r="I1301" s="6" t="n">
        <f aca="false">IF($A1301="","",IF(ISNUMBER(Base_Bruta!I1301),Base_Bruta!I1301,IFERROR(_xlfn.NUMBERVALUE(TRIM(SUBSTITUTE(Base_Bruta!I1301,"R$","")),",","."),0)))</f>
        <v>1670</v>
      </c>
      <c r="J1301" s="6" t="n">
        <f aca="false">IF($A1301="","",H1301*I1301)</f>
        <v>5010</v>
      </c>
      <c r="K1301" s="4" t="str">
        <f aca="false">IF($A1301="","",TRIM(Base_Bruta!J1301))</f>
        <v>App</v>
      </c>
      <c r="L1301" s="4" t="str">
        <f aca="false">IF($A1301="","",TRIM(Base_Bruta!K1301))</f>
        <v>C00229</v>
      </c>
      <c r="M1301" s="4" t="str">
        <f aca="false">IF($A1301="","",_xlfn.XLOOKUP(LOWER(TRIM(Base_Bruta!L1301)),DePara_Cidade!$A$2:$A$29,DePara_Cidade!$B$2:$B$29,"REVISAR"))</f>
        <v>Niterói</v>
      </c>
      <c r="N1301" s="4" t="str">
        <f aca="false">IF($A1301="","",UPPER(TRIM(Base_Bruta!M1301)))</f>
        <v>RJ</v>
      </c>
      <c r="O1301" s="4" t="str">
        <f aca="false">IF($A1301="","",_xlfn.XLOOKUP(LOWER(TRIM(Base_Bruta!N1301)),DePara_Pais!$A$2:$A$9,DePara_Pais!$B$2:$B$9,"REVISAR"))</f>
        <v>Brasil</v>
      </c>
      <c r="P1301" s="4" t="str">
        <f aca="false">IF($A1301="","",IF(O1301&lt;&gt;"Brasil","Turista Internacional",IF(M1301=F1301,"Local","Turista Nacional")))</f>
        <v>Turista Nacional</v>
      </c>
      <c r="Q1301" s="7" t="n">
        <f aca="false">IF($A1301="","",DATE(YEAR(B1301),MONTH(B1301),1))</f>
        <v>46023</v>
      </c>
      <c r="R1301" s="4" t="str">
        <f aca="false">IF($A1301="","",IF(COUNTIF($A$2:$A1301,$A1301)&gt;1,"Sim","Não"))</f>
        <v>Não</v>
      </c>
      <c r="S1301" s="4" t="str">
        <f aca="false">IF(A1301="","Descartar - Linha vazia",IF(R1301="Sim","Descartar - Duplicado",IF(OR(H1301&lt;=0,I1301&lt;=0),"Descartar - Qtd/Valor inválido","OK")))</f>
        <v>OK</v>
      </c>
      <c r="T1301" s="4" t="str">
        <f aca="false">Base_Bruta!P1301</f>
        <v>vendas_RJ.xlsx</v>
      </c>
    </row>
    <row r="1302" customFormat="false" ht="15" hidden="false" customHeight="false" outlineLevel="0" collapsed="false">
      <c r="A1302" s="4" t="str">
        <f aca="false">IF(Base_Bruta!A1302="","",Base_Bruta!A1302)</f>
        <v>RJ-000057</v>
      </c>
      <c r="B1302" s="5" t="n">
        <f aca="false">IF($A1302="","",IF(ISNUMBER(Base_Bruta!B1302),Base_Bruta!B1302,IF(MID(Base_Bruta!B1302,5,1)="-",DATE(VALUE(LEFT(Base_Bruta!B1302,4)),VALUE(MID(Base_Bruta!B1302,6,2)),VALUE(RIGHT(Base_Bruta!B1302,2))),DATE(VALUE(RIGHT(Base_Bruta!B1302,4)),VALUE(MID(Base_Bruta!B1302,4,2)),VALUE(LEFT(Base_Bruta!B1302,2))))))</f>
        <v>46042</v>
      </c>
      <c r="C1302" s="5" t="n">
        <f aca="false">IF($A1302="","",IF(ISNUMBER(Base_Bruta!C1302),Base_Bruta!C1302,IF(MID(Base_Bruta!C1302,5,1)="-",DATE(VALUE(LEFT(Base_Bruta!C1302,4)),VALUE(MID(Base_Bruta!C1302,6,2)),VALUE(RIGHT(Base_Bruta!C1302,2))),DATE(VALUE(RIGHT(Base_Bruta!C1302,4)),VALUE(MID(Base_Bruta!C1302,4,2)),VALUE(LEFT(Base_Bruta!C1302,2))))))</f>
        <v>46046</v>
      </c>
      <c r="D1302" s="4" t="str">
        <f aca="false">IF($A1302="","",TRIM(Base_Bruta!D1302))</f>
        <v>Rio Beat Festival 2026</v>
      </c>
      <c r="E1302" s="4" t="str">
        <f aca="false">IF($A1302="","",_xlfn.XLOOKUP(LOWER(TRIM(Base_Bruta!E1302)),DePara_Categoria!$A$2:$A$9,DePara_Categoria!$B$2:$B$9,"REVISAR"))</f>
        <v>Festival</v>
      </c>
      <c r="F1302" s="4" t="str">
        <f aca="false">IF($A1302="","",_xlfn.XLOOKUP(LOWER(TRIM(Base_Bruta!F1302)),DePara_Cidade!$A$2:$A$29,DePara_Cidade!$B$2:$B$29,"REVISAR"))</f>
        <v>Rio de Janeiro</v>
      </c>
      <c r="G1302" s="4" t="str">
        <f aca="false">IF($A1302="","",TRIM(Base_Bruta!G1302))</f>
        <v>Inteira</v>
      </c>
      <c r="H1302" s="4" t="n">
        <f aca="false">IF($A1302="","",IF(ISNUMBER(Base_Bruta!H1302),Base_Bruta!H1302,IFERROR(_xlfn.NUMBERVALUE(TRIM(SUBSTITUTE(Base_Bruta!H1302,"R$","")),",","."),0)))</f>
        <v>2</v>
      </c>
      <c r="I1302" s="6" t="n">
        <f aca="false">IF($A1302="","",IF(ISNUMBER(Base_Bruta!I1302),Base_Bruta!I1302,IFERROR(_xlfn.NUMBERVALUE(TRIM(SUBSTITUTE(Base_Bruta!I1302,"R$","")),",","."),0)))</f>
        <v>805</v>
      </c>
      <c r="J1302" s="6" t="n">
        <f aca="false">IF($A1302="","",H1302*I1302)</f>
        <v>1610</v>
      </c>
      <c r="K1302" s="4" t="str">
        <f aca="false">IF($A1302="","",TRIM(Base_Bruta!J1302))</f>
        <v>App</v>
      </c>
      <c r="L1302" s="4" t="str">
        <f aca="false">IF($A1302="","",TRIM(Base_Bruta!K1302))</f>
        <v>C01576</v>
      </c>
      <c r="M1302" s="4" t="str">
        <f aca="false">IF($A1302="","",_xlfn.XLOOKUP(LOWER(TRIM(Base_Bruta!L1302)),DePara_Cidade!$A$2:$A$29,DePara_Cidade!$B$2:$B$29,"REVISAR"))</f>
        <v>Miami</v>
      </c>
      <c r="N1302" s="4" t="str">
        <f aca="false">IF($A1302="","",UPPER(TRIM(Base_Bruta!M1302)))</f>
        <v>EX</v>
      </c>
      <c r="O1302" s="4" t="str">
        <f aca="false">IF($A1302="","",_xlfn.XLOOKUP(LOWER(TRIM(Base_Bruta!N1302)),DePara_Pais!$A$2:$A$9,DePara_Pais!$B$2:$B$9,"REVISAR"))</f>
        <v>EUA</v>
      </c>
      <c r="P1302" s="4" t="str">
        <f aca="false">IF($A1302="","",IF(O1302&lt;&gt;"Brasil","Turista Internacional",IF(M1302=F1302,"Local","Turista Nacional")))</f>
        <v>Turista Internacional</v>
      </c>
      <c r="Q1302" s="7" t="n">
        <f aca="false">IF($A1302="","",DATE(YEAR(B1302),MONTH(B1302),1))</f>
        <v>46023</v>
      </c>
      <c r="R1302" s="4" t="str">
        <f aca="false">IF($A1302="","",IF(COUNTIF($A$2:$A1302,$A1302)&gt;1,"Sim","Não"))</f>
        <v>Não</v>
      </c>
      <c r="S1302" s="4" t="str">
        <f aca="false">IF(A1302="","Descartar - Linha vazia",IF(R1302="Sim","Descartar - Duplicado",IF(OR(H1302&lt;=0,I1302&lt;=0),"Descartar - Qtd/Valor inválido","OK")))</f>
        <v>OK</v>
      </c>
      <c r="T1302" s="4" t="str">
        <f aca="false">Base_Bruta!P1302</f>
        <v>vendas_RJ.xlsx</v>
      </c>
    </row>
    <row r="1303" customFormat="false" ht="15" hidden="false" customHeight="false" outlineLevel="0" collapsed="false">
      <c r="A1303" s="4" t="str">
        <f aca="false">IF(Base_Bruta!A1303="","",Base_Bruta!A1303)</f>
        <v>RJ-000070</v>
      </c>
      <c r="B1303" s="5" t="n">
        <f aca="false">IF($A1303="","",IF(ISNUMBER(Base_Bruta!B1303),Base_Bruta!B1303,IF(MID(Base_Bruta!B1303,5,1)="-",DATE(VALUE(LEFT(Base_Bruta!B1303,4)),VALUE(MID(Base_Bruta!B1303,6,2)),VALUE(RIGHT(Base_Bruta!B1303,2))),DATE(VALUE(RIGHT(Base_Bruta!B1303,4)),VALUE(MID(Base_Bruta!B1303,4,2)),VALUE(LEFT(Base_Bruta!B1303,2))))))</f>
        <v>46042</v>
      </c>
      <c r="C1303" s="5" t="n">
        <f aca="false">IF($A1303="","",IF(ISNUMBER(Base_Bruta!C1303),Base_Bruta!C1303,IF(MID(Base_Bruta!C1303,5,1)="-",DATE(VALUE(LEFT(Base_Bruta!C1303,4)),VALUE(MID(Base_Bruta!C1303,6,2)),VALUE(RIGHT(Base_Bruta!C1303,2))),DATE(VALUE(RIGHT(Base_Bruta!C1303,4)),VALUE(MID(Base_Bruta!C1303,4,2)),VALUE(LEFT(Base_Bruta!C1303,2))))))</f>
        <v>46046</v>
      </c>
      <c r="D1303" s="4" t="str">
        <f aca="false">IF($A1303="","",TRIM(Base_Bruta!D1303))</f>
        <v>Rio Beat Festival 2026</v>
      </c>
      <c r="E1303" s="4" t="str">
        <f aca="false">IF($A1303="","",_xlfn.XLOOKUP(LOWER(TRIM(Base_Bruta!E1303)),DePara_Categoria!$A$2:$A$9,DePara_Categoria!$B$2:$B$9,"REVISAR"))</f>
        <v>Festival</v>
      </c>
      <c r="F1303" s="4" t="str">
        <f aca="false">IF($A1303="","",_xlfn.XLOOKUP(LOWER(TRIM(Base_Bruta!F1303)),DePara_Cidade!$A$2:$A$29,DePara_Cidade!$B$2:$B$29,"REVISAR"))</f>
        <v>Rio de Janeiro</v>
      </c>
      <c r="G1303" s="4" t="str">
        <f aca="false">IF($A1303="","",TRIM(Base_Bruta!G1303))</f>
        <v>Inteira</v>
      </c>
      <c r="H1303" s="4" t="n">
        <f aca="false">IF($A1303="","",IF(ISNUMBER(Base_Bruta!H1303),Base_Bruta!H1303,IFERROR(_xlfn.NUMBERVALUE(TRIM(SUBSTITUTE(Base_Bruta!H1303,"R$","")),",","."),0)))</f>
        <v>1</v>
      </c>
      <c r="I1303" s="6" t="n">
        <f aca="false">IF($A1303="","",IF(ISNUMBER(Base_Bruta!I1303),Base_Bruta!I1303,IFERROR(_xlfn.NUMBERVALUE(TRIM(SUBSTITUTE(Base_Bruta!I1303,"R$","")),",","."),0)))</f>
        <v>820</v>
      </c>
      <c r="J1303" s="6" t="n">
        <f aca="false">IF($A1303="","",H1303*I1303)</f>
        <v>820</v>
      </c>
      <c r="K1303" s="4" t="str">
        <f aca="false">IF($A1303="","",TRIM(Base_Bruta!J1303))</f>
        <v>Site</v>
      </c>
      <c r="L1303" s="4" t="str">
        <f aca="false">IF($A1303="","",TRIM(Base_Bruta!K1303))</f>
        <v>C00494</v>
      </c>
      <c r="M1303" s="4" t="str">
        <f aca="false">IF($A1303="","",_xlfn.XLOOKUP(LOWER(TRIM(Base_Bruta!L1303)),DePara_Cidade!$A$2:$A$29,DePara_Cidade!$B$2:$B$29,"REVISAR"))</f>
        <v>Porto Alegre</v>
      </c>
      <c r="N1303" s="4" t="str">
        <f aca="false">IF($A1303="","",UPPER(TRIM(Base_Bruta!M1303)))</f>
        <v>RS</v>
      </c>
      <c r="O1303" s="4" t="str">
        <f aca="false">IF($A1303="","",_xlfn.XLOOKUP(LOWER(TRIM(Base_Bruta!N1303)),DePara_Pais!$A$2:$A$9,DePara_Pais!$B$2:$B$9,"REVISAR"))</f>
        <v>Brasil</v>
      </c>
      <c r="P1303" s="4" t="str">
        <f aca="false">IF($A1303="","",IF(O1303&lt;&gt;"Brasil","Turista Internacional",IF(M1303=F1303,"Local","Turista Nacional")))</f>
        <v>Turista Nacional</v>
      </c>
      <c r="Q1303" s="7" t="n">
        <f aca="false">IF($A1303="","",DATE(YEAR(B1303),MONTH(B1303),1))</f>
        <v>46023</v>
      </c>
      <c r="R1303" s="4" t="str">
        <f aca="false">IF($A1303="","",IF(COUNTIF($A$2:$A1303,$A1303)&gt;1,"Sim","Não"))</f>
        <v>Não</v>
      </c>
      <c r="S1303" s="4" t="str">
        <f aca="false">IF(A1303="","Descartar - Linha vazia",IF(R1303="Sim","Descartar - Duplicado",IF(OR(H1303&lt;=0,I1303&lt;=0),"Descartar - Qtd/Valor inválido","OK")))</f>
        <v>OK</v>
      </c>
      <c r="T1303" s="4" t="str">
        <f aca="false">Base_Bruta!P1303</f>
        <v>vendas_RJ.xlsx</v>
      </c>
    </row>
    <row r="1304" customFormat="false" ht="15" hidden="false" customHeight="false" outlineLevel="0" collapsed="false">
      <c r="A1304" s="4" t="str">
        <f aca="false">IF(Base_Bruta!A1304="","",Base_Bruta!A1304)</f>
        <v>RJ-000073</v>
      </c>
      <c r="B1304" s="5" t="n">
        <f aca="false">IF($A1304="","",IF(ISNUMBER(Base_Bruta!B1304),Base_Bruta!B1304,IF(MID(Base_Bruta!B1304,5,1)="-",DATE(VALUE(LEFT(Base_Bruta!B1304,4)),VALUE(MID(Base_Bruta!B1304,6,2)),VALUE(RIGHT(Base_Bruta!B1304,2))),DATE(VALUE(RIGHT(Base_Bruta!B1304,4)),VALUE(MID(Base_Bruta!B1304,4,2)),VALUE(LEFT(Base_Bruta!B1304,2))))))</f>
        <v>46042</v>
      </c>
      <c r="C1304" s="5" t="n">
        <f aca="false">IF($A1304="","",IF(ISNUMBER(Base_Bruta!C1304),Base_Bruta!C1304,IF(MID(Base_Bruta!C1304,5,1)="-",DATE(VALUE(LEFT(Base_Bruta!C1304,4)),VALUE(MID(Base_Bruta!C1304,6,2)),VALUE(RIGHT(Base_Bruta!C1304,2))),DATE(VALUE(RIGHT(Base_Bruta!C1304,4)),VALUE(MID(Base_Bruta!C1304,4,2)),VALUE(LEFT(Base_Bruta!C1304,2))))))</f>
        <v>46046</v>
      </c>
      <c r="D1304" s="4" t="str">
        <f aca="false">IF($A1304="","",TRIM(Base_Bruta!D1304))</f>
        <v>Rio Beat Festival 2026</v>
      </c>
      <c r="E1304" s="4" t="str">
        <f aca="false">IF($A1304="","",_xlfn.XLOOKUP(LOWER(TRIM(Base_Bruta!E1304)),DePara_Categoria!$A$2:$A$9,DePara_Categoria!$B$2:$B$9,"REVISAR"))</f>
        <v>Festival</v>
      </c>
      <c r="F1304" s="4" t="str">
        <f aca="false">IF($A1304="","",_xlfn.XLOOKUP(LOWER(TRIM(Base_Bruta!F1304)),DePara_Cidade!$A$2:$A$29,DePara_Cidade!$B$2:$B$29,"REVISAR"))</f>
        <v>Rio de Janeiro</v>
      </c>
      <c r="G1304" s="4" t="str">
        <f aca="false">IF($A1304="","",TRIM(Base_Bruta!G1304))</f>
        <v>Inteira</v>
      </c>
      <c r="H1304" s="4" t="n">
        <f aca="false">IF($A1304="","",IF(ISNUMBER(Base_Bruta!H1304),Base_Bruta!H1304,IFERROR(_xlfn.NUMBERVALUE(TRIM(SUBSTITUTE(Base_Bruta!H1304,"R$","")),",","."),0)))</f>
        <v>3</v>
      </c>
      <c r="I1304" s="6" t="n">
        <f aca="false">IF($A1304="","",IF(ISNUMBER(Base_Bruta!I1304),Base_Bruta!I1304,IFERROR(_xlfn.NUMBERVALUE(TRIM(SUBSTITUTE(Base_Bruta!I1304,"R$","")),",","."),0)))</f>
        <v>910</v>
      </c>
      <c r="J1304" s="6" t="n">
        <f aca="false">IF($A1304="","",H1304*I1304)</f>
        <v>2730</v>
      </c>
      <c r="K1304" s="4" t="str">
        <f aca="false">IF($A1304="","",TRIM(Base_Bruta!J1304))</f>
        <v>Site</v>
      </c>
      <c r="L1304" s="4" t="str">
        <f aca="false">IF($A1304="","",TRIM(Base_Bruta!K1304))</f>
        <v>C02435</v>
      </c>
      <c r="M1304" s="4" t="str">
        <f aca="false">IF($A1304="","",_xlfn.XLOOKUP(LOWER(TRIM(Base_Bruta!L1304)),DePara_Cidade!$A$2:$A$29,DePara_Cidade!$B$2:$B$29,"REVISAR"))</f>
        <v>Niterói</v>
      </c>
      <c r="N1304" s="4" t="str">
        <f aca="false">IF($A1304="","",UPPER(TRIM(Base_Bruta!M1304)))</f>
        <v>RJ</v>
      </c>
      <c r="O1304" s="4" t="str">
        <f aca="false">IF($A1304="","",_xlfn.XLOOKUP(LOWER(TRIM(Base_Bruta!N1304)),DePara_Pais!$A$2:$A$9,DePara_Pais!$B$2:$B$9,"REVISAR"))</f>
        <v>Brasil</v>
      </c>
      <c r="P1304" s="4" t="str">
        <f aca="false">IF($A1304="","",IF(O1304&lt;&gt;"Brasil","Turista Internacional",IF(M1304=F1304,"Local","Turista Nacional")))</f>
        <v>Turista Nacional</v>
      </c>
      <c r="Q1304" s="7" t="n">
        <f aca="false">IF($A1304="","",DATE(YEAR(B1304),MONTH(B1304),1))</f>
        <v>46023</v>
      </c>
      <c r="R1304" s="4" t="str">
        <f aca="false">IF($A1304="","",IF(COUNTIF($A$2:$A1304,$A1304)&gt;1,"Sim","Não"))</f>
        <v>Não</v>
      </c>
      <c r="S1304" s="4" t="str">
        <f aca="false">IF(A1304="","Descartar - Linha vazia",IF(R1304="Sim","Descartar - Duplicado",IF(OR(H1304&lt;=0,I1304&lt;=0),"Descartar - Qtd/Valor inválido","OK")))</f>
        <v>OK</v>
      </c>
      <c r="T1304" s="4" t="str">
        <f aca="false">Base_Bruta!P1304</f>
        <v>vendas_RJ.xlsx</v>
      </c>
    </row>
    <row r="1305" customFormat="false" ht="15" hidden="false" customHeight="false" outlineLevel="0" collapsed="false">
      <c r="A1305" s="4" t="str">
        <f aca="false">IF(Base_Bruta!A1305="","",Base_Bruta!A1305)</f>
        <v>RJ-000132</v>
      </c>
      <c r="B1305" s="5" t="n">
        <f aca="false">IF($A1305="","",IF(ISNUMBER(Base_Bruta!B1305),Base_Bruta!B1305,IF(MID(Base_Bruta!B1305,5,1)="-",DATE(VALUE(LEFT(Base_Bruta!B1305,4)),VALUE(MID(Base_Bruta!B1305,6,2)),VALUE(RIGHT(Base_Bruta!B1305,2))),DATE(VALUE(RIGHT(Base_Bruta!B1305,4)),VALUE(MID(Base_Bruta!B1305,4,2)),VALUE(LEFT(Base_Bruta!B1305,2))))))</f>
        <v>46042</v>
      </c>
      <c r="C1305" s="5" t="n">
        <f aca="false">IF($A1305="","",IF(ISNUMBER(Base_Bruta!C1305),Base_Bruta!C1305,IF(MID(Base_Bruta!C1305,5,1)="-",DATE(VALUE(LEFT(Base_Bruta!C1305,4)),VALUE(MID(Base_Bruta!C1305,6,2)),VALUE(RIGHT(Base_Bruta!C1305,2))),DATE(VALUE(RIGHT(Base_Bruta!C1305,4)),VALUE(MID(Base_Bruta!C1305,4,2)),VALUE(LEFT(Base_Bruta!C1305,2))))))</f>
        <v>46046</v>
      </c>
      <c r="D1305" s="4" t="str">
        <f aca="false">IF($A1305="","",TRIM(Base_Bruta!D1305))</f>
        <v>Rio Beat Festival 2026</v>
      </c>
      <c r="E1305" s="4" t="str">
        <f aca="false">IF($A1305="","",_xlfn.XLOOKUP(LOWER(TRIM(Base_Bruta!E1305)),DePara_Categoria!$A$2:$A$9,DePara_Categoria!$B$2:$B$9,"REVISAR"))</f>
        <v>Festival</v>
      </c>
      <c r="F1305" s="4" t="str">
        <f aca="false">IF($A1305="","",_xlfn.XLOOKUP(LOWER(TRIM(Base_Bruta!F1305)),DePara_Cidade!$A$2:$A$29,DePara_Cidade!$B$2:$B$29,"REVISAR"))</f>
        <v>Rio de Janeiro</v>
      </c>
      <c r="G1305" s="4" t="str">
        <f aca="false">IF($A1305="","",TRIM(Base_Bruta!G1305))</f>
        <v>Inteira</v>
      </c>
      <c r="H1305" s="4" t="n">
        <f aca="false">IF($A1305="","",IF(ISNUMBER(Base_Bruta!H1305),Base_Bruta!H1305,IFERROR(_xlfn.NUMBERVALUE(TRIM(SUBSTITUTE(Base_Bruta!H1305,"R$","")),",","."),0)))</f>
        <v>3</v>
      </c>
      <c r="I1305" s="6" t="n">
        <f aca="false">IF($A1305="","",IF(ISNUMBER(Base_Bruta!I1305),Base_Bruta!I1305,IFERROR(_xlfn.NUMBERVALUE(TRIM(SUBSTITUTE(Base_Bruta!I1305,"R$","")),",","."),0)))</f>
        <v>935</v>
      </c>
      <c r="J1305" s="6" t="n">
        <f aca="false">IF($A1305="","",H1305*I1305)</f>
        <v>2805</v>
      </c>
      <c r="K1305" s="4" t="str">
        <f aca="false">IF($A1305="","",TRIM(Base_Bruta!J1305))</f>
        <v>Site</v>
      </c>
      <c r="L1305" s="4" t="str">
        <f aca="false">IF($A1305="","",TRIM(Base_Bruta!K1305))</f>
        <v>C01628</v>
      </c>
      <c r="M1305" s="4" t="str">
        <f aca="false">IF($A1305="","",_xlfn.XLOOKUP(LOWER(TRIM(Base_Bruta!L1305)),DePara_Cidade!$A$2:$A$29,DePara_Cidade!$B$2:$B$29,"REVISAR"))</f>
        <v>Niterói</v>
      </c>
      <c r="N1305" s="4" t="str">
        <f aca="false">IF($A1305="","",UPPER(TRIM(Base_Bruta!M1305)))</f>
        <v>RJ</v>
      </c>
      <c r="O1305" s="4" t="str">
        <f aca="false">IF($A1305="","",_xlfn.XLOOKUP(LOWER(TRIM(Base_Bruta!N1305)),DePara_Pais!$A$2:$A$9,DePara_Pais!$B$2:$B$9,"REVISAR"))</f>
        <v>Brasil</v>
      </c>
      <c r="P1305" s="4" t="str">
        <f aca="false">IF($A1305="","",IF(O1305&lt;&gt;"Brasil","Turista Internacional",IF(M1305=F1305,"Local","Turista Nacional")))</f>
        <v>Turista Nacional</v>
      </c>
      <c r="Q1305" s="7" t="n">
        <f aca="false">IF($A1305="","",DATE(YEAR(B1305),MONTH(B1305),1))</f>
        <v>46023</v>
      </c>
      <c r="R1305" s="4" t="str">
        <f aca="false">IF($A1305="","",IF(COUNTIF($A$2:$A1305,$A1305)&gt;1,"Sim","Não"))</f>
        <v>Não</v>
      </c>
      <c r="S1305" s="4" t="str">
        <f aca="false">IF(A1305="","Descartar - Linha vazia",IF(R1305="Sim","Descartar - Duplicado",IF(OR(H1305&lt;=0,I1305&lt;=0),"Descartar - Qtd/Valor inválido","OK")))</f>
        <v>OK</v>
      </c>
      <c r="T1305" s="4" t="str">
        <f aca="false">Base_Bruta!P1305</f>
        <v>vendas_RJ.xlsx</v>
      </c>
    </row>
    <row r="1306" customFormat="false" ht="15" hidden="false" customHeight="false" outlineLevel="0" collapsed="false">
      <c r="A1306" s="4" t="str">
        <f aca="false">IF(Base_Bruta!A1306="","",Base_Bruta!A1306)</f>
        <v>RJ-000137</v>
      </c>
      <c r="B1306" s="5" t="n">
        <f aca="false">IF($A1306="","",IF(ISNUMBER(Base_Bruta!B1306),Base_Bruta!B1306,IF(MID(Base_Bruta!B1306,5,1)="-",DATE(VALUE(LEFT(Base_Bruta!B1306,4)),VALUE(MID(Base_Bruta!B1306,6,2)),VALUE(RIGHT(Base_Bruta!B1306,2))),DATE(VALUE(RIGHT(Base_Bruta!B1306,4)),VALUE(MID(Base_Bruta!B1306,4,2)),VALUE(LEFT(Base_Bruta!B1306,2))))))</f>
        <v>46042</v>
      </c>
      <c r="C1306" s="5" t="n">
        <f aca="false">IF($A1306="","",IF(ISNUMBER(Base_Bruta!C1306),Base_Bruta!C1306,IF(MID(Base_Bruta!C1306,5,1)="-",DATE(VALUE(LEFT(Base_Bruta!C1306,4)),VALUE(MID(Base_Bruta!C1306,6,2)),VALUE(RIGHT(Base_Bruta!C1306,2))),DATE(VALUE(RIGHT(Base_Bruta!C1306,4)),VALUE(MID(Base_Bruta!C1306,4,2)),VALUE(LEFT(Base_Bruta!C1306,2))))))</f>
        <v>46046</v>
      </c>
      <c r="D1306" s="4" t="str">
        <f aca="false">IF($A1306="","",TRIM(Base_Bruta!D1306))</f>
        <v>Rio Beat Festival 2026</v>
      </c>
      <c r="E1306" s="4" t="str">
        <f aca="false">IF($A1306="","",_xlfn.XLOOKUP(LOWER(TRIM(Base_Bruta!E1306)),DePara_Categoria!$A$2:$A$9,DePara_Categoria!$B$2:$B$9,"REVISAR"))</f>
        <v>Festival</v>
      </c>
      <c r="F1306" s="4" t="str">
        <f aca="false">IF($A1306="","",_xlfn.XLOOKUP(LOWER(TRIM(Base_Bruta!F1306)),DePara_Cidade!$A$2:$A$29,DePara_Cidade!$B$2:$B$29,"REVISAR"))</f>
        <v>Rio de Janeiro</v>
      </c>
      <c r="G1306" s="4" t="str">
        <f aca="false">IF($A1306="","",TRIM(Base_Bruta!G1306))</f>
        <v>Meia</v>
      </c>
      <c r="H1306" s="4" t="n">
        <f aca="false">IF($A1306="","",IF(ISNUMBER(Base_Bruta!H1306),Base_Bruta!H1306,IFERROR(_xlfn.NUMBERVALUE(TRIM(SUBSTITUTE(Base_Bruta!H1306,"R$","")),",","."),0)))</f>
        <v>1</v>
      </c>
      <c r="I1306" s="6" t="n">
        <f aca="false">IF($A1306="","",IF(ISNUMBER(Base_Bruta!I1306),Base_Bruta!I1306,IFERROR(_xlfn.NUMBERVALUE(TRIM(SUBSTITUTE(Base_Bruta!I1306,"R$","")),",","."),0)))</f>
        <v>555</v>
      </c>
      <c r="J1306" s="6" t="n">
        <f aca="false">IF($A1306="","",H1306*I1306)</f>
        <v>555</v>
      </c>
      <c r="K1306" s="4" t="str">
        <f aca="false">IF($A1306="","",TRIM(Base_Bruta!J1306))</f>
        <v>App</v>
      </c>
      <c r="L1306" s="4" t="str">
        <f aca="false">IF($A1306="","",TRIM(Base_Bruta!K1306))</f>
        <v>C00622</v>
      </c>
      <c r="M1306" s="4" t="str">
        <f aca="false">IF($A1306="","",_xlfn.XLOOKUP(LOWER(TRIM(Base_Bruta!L1306)),DePara_Cidade!$A$2:$A$29,DePara_Cidade!$B$2:$B$29,"REVISAR"))</f>
        <v>Miami</v>
      </c>
      <c r="N1306" s="4" t="str">
        <f aca="false">IF($A1306="","",UPPER(TRIM(Base_Bruta!M1306)))</f>
        <v>EX</v>
      </c>
      <c r="O1306" s="4" t="str">
        <f aca="false">IF($A1306="","",_xlfn.XLOOKUP(LOWER(TRIM(Base_Bruta!N1306)),DePara_Pais!$A$2:$A$9,DePara_Pais!$B$2:$B$9,"REVISAR"))</f>
        <v>EUA</v>
      </c>
      <c r="P1306" s="4" t="str">
        <f aca="false">IF($A1306="","",IF(O1306&lt;&gt;"Brasil","Turista Internacional",IF(M1306=F1306,"Local","Turista Nacional")))</f>
        <v>Turista Internacional</v>
      </c>
      <c r="Q1306" s="7" t="n">
        <f aca="false">IF($A1306="","",DATE(YEAR(B1306),MONTH(B1306),1))</f>
        <v>46023</v>
      </c>
      <c r="R1306" s="4" t="str">
        <f aca="false">IF($A1306="","",IF(COUNTIF($A$2:$A1306,$A1306)&gt;1,"Sim","Não"))</f>
        <v>Não</v>
      </c>
      <c r="S1306" s="4" t="str">
        <f aca="false">IF(A1306="","Descartar - Linha vazia",IF(R1306="Sim","Descartar - Duplicado",IF(OR(H1306&lt;=0,I1306&lt;=0),"Descartar - Qtd/Valor inválido","OK")))</f>
        <v>OK</v>
      </c>
      <c r="T1306" s="4" t="str">
        <f aca="false">Base_Bruta!P1306</f>
        <v>vendas_RJ.xlsx</v>
      </c>
    </row>
    <row r="1307" customFormat="false" ht="15" hidden="false" customHeight="false" outlineLevel="0" collapsed="false">
      <c r="A1307" s="4" t="str">
        <f aca="false">IF(Base_Bruta!A1307="","",Base_Bruta!A1307)</f>
        <v>RJ-000194</v>
      </c>
      <c r="B1307" s="5" t="n">
        <f aca="false">IF($A1307="","",IF(ISNUMBER(Base_Bruta!B1307),Base_Bruta!B1307,IF(MID(Base_Bruta!B1307,5,1)="-",DATE(VALUE(LEFT(Base_Bruta!B1307,4)),VALUE(MID(Base_Bruta!B1307,6,2)),VALUE(RIGHT(Base_Bruta!B1307,2))),DATE(VALUE(RIGHT(Base_Bruta!B1307,4)),VALUE(MID(Base_Bruta!B1307,4,2)),VALUE(LEFT(Base_Bruta!B1307,2))))))</f>
        <v>46042</v>
      </c>
      <c r="C1307" s="5" t="n">
        <f aca="false">IF($A1307="","",IF(ISNUMBER(Base_Bruta!C1307),Base_Bruta!C1307,IF(MID(Base_Bruta!C1307,5,1)="-",DATE(VALUE(LEFT(Base_Bruta!C1307,4)),VALUE(MID(Base_Bruta!C1307,6,2)),VALUE(RIGHT(Base_Bruta!C1307,2))),DATE(VALUE(RIGHT(Base_Bruta!C1307,4)),VALUE(MID(Base_Bruta!C1307,4,2)),VALUE(LEFT(Base_Bruta!C1307,2))))))</f>
        <v>46046</v>
      </c>
      <c r="D1307" s="4" t="str">
        <f aca="false">IF($A1307="","",TRIM(Base_Bruta!D1307))</f>
        <v>Rio Beat Festival 2026</v>
      </c>
      <c r="E1307" s="4" t="str">
        <f aca="false">IF($A1307="","",_xlfn.XLOOKUP(LOWER(TRIM(Base_Bruta!E1307)),DePara_Categoria!$A$2:$A$9,DePara_Categoria!$B$2:$B$9,"REVISAR"))</f>
        <v>Festival</v>
      </c>
      <c r="F1307" s="4" t="str">
        <f aca="false">IF($A1307="","",_xlfn.XLOOKUP(LOWER(TRIM(Base_Bruta!F1307)),DePara_Cidade!$A$2:$A$29,DePara_Cidade!$B$2:$B$29,"REVISAR"))</f>
        <v>Rio de Janeiro</v>
      </c>
      <c r="G1307" s="4" t="str">
        <f aca="false">IF($A1307="","",TRIM(Base_Bruta!G1307))</f>
        <v>Inteira</v>
      </c>
      <c r="H1307" s="4" t="n">
        <f aca="false">IF($A1307="","",IF(ISNUMBER(Base_Bruta!H1307),Base_Bruta!H1307,IFERROR(_xlfn.NUMBERVALUE(TRIM(SUBSTITUTE(Base_Bruta!H1307,"R$","")),",","."),0)))</f>
        <v>1</v>
      </c>
      <c r="I1307" s="6" t="n">
        <f aca="false">IF($A1307="","",IF(ISNUMBER(Base_Bruta!I1307),Base_Bruta!I1307,IFERROR(_xlfn.NUMBERVALUE(TRIM(SUBSTITUTE(Base_Bruta!I1307,"R$","")),",","."),0)))</f>
        <v>985</v>
      </c>
      <c r="J1307" s="6" t="n">
        <f aca="false">IF($A1307="","",H1307*I1307)</f>
        <v>985</v>
      </c>
      <c r="K1307" s="4" t="str">
        <f aca="false">IF($A1307="","",TRIM(Base_Bruta!J1307))</f>
        <v>App</v>
      </c>
      <c r="L1307" s="4" t="str">
        <f aca="false">IF($A1307="","",TRIM(Base_Bruta!K1307))</f>
        <v>C01976</v>
      </c>
      <c r="M1307" s="4" t="str">
        <f aca="false">IF($A1307="","",_xlfn.XLOOKUP(LOWER(TRIM(Base_Bruta!L1307)),DePara_Cidade!$A$2:$A$29,DePara_Cidade!$B$2:$B$29,"REVISAR"))</f>
        <v>Rio de Janeiro</v>
      </c>
      <c r="N1307" s="4" t="str">
        <f aca="false">IF($A1307="","",UPPER(TRIM(Base_Bruta!M1307)))</f>
        <v>RJ</v>
      </c>
      <c r="O1307" s="4" t="str">
        <f aca="false">IF($A1307="","",_xlfn.XLOOKUP(LOWER(TRIM(Base_Bruta!N1307)),DePara_Pais!$A$2:$A$9,DePara_Pais!$B$2:$B$9,"REVISAR"))</f>
        <v>Brasil</v>
      </c>
      <c r="P1307" s="4" t="str">
        <f aca="false">IF($A1307="","",IF(O1307&lt;&gt;"Brasil","Turista Internacional",IF(M1307=F1307,"Local","Turista Nacional")))</f>
        <v>Local</v>
      </c>
      <c r="Q1307" s="7" t="n">
        <f aca="false">IF($A1307="","",DATE(YEAR(B1307),MONTH(B1307),1))</f>
        <v>46023</v>
      </c>
      <c r="R1307" s="4" t="str">
        <f aca="false">IF($A1307="","",IF(COUNTIF($A$2:$A1307,$A1307)&gt;1,"Sim","Não"))</f>
        <v>Não</v>
      </c>
      <c r="S1307" s="4" t="str">
        <f aca="false">IF(A1307="","Descartar - Linha vazia",IF(R1307="Sim","Descartar - Duplicado",IF(OR(H1307&lt;=0,I1307&lt;=0),"Descartar - Qtd/Valor inválido","OK")))</f>
        <v>OK</v>
      </c>
      <c r="T1307" s="4" t="str">
        <f aca="false">Base_Bruta!P1307</f>
        <v>vendas_RJ.xlsx</v>
      </c>
    </row>
    <row r="1308" customFormat="false" ht="15" hidden="false" customHeight="false" outlineLevel="0" collapsed="false">
      <c r="A1308" s="4" t="str">
        <f aca="false">IF(Base_Bruta!A1308="","",Base_Bruta!A1308)</f>
        <v>RJ-000391</v>
      </c>
      <c r="B1308" s="5" t="n">
        <f aca="false">IF($A1308="","",IF(ISNUMBER(Base_Bruta!B1308),Base_Bruta!B1308,IF(MID(Base_Bruta!B1308,5,1)="-",DATE(VALUE(LEFT(Base_Bruta!B1308,4)),VALUE(MID(Base_Bruta!B1308,6,2)),VALUE(RIGHT(Base_Bruta!B1308,2))),DATE(VALUE(RIGHT(Base_Bruta!B1308,4)),VALUE(MID(Base_Bruta!B1308,4,2)),VALUE(LEFT(Base_Bruta!B1308,2))))))</f>
        <v>46042</v>
      </c>
      <c r="C1308" s="5" t="n">
        <f aca="false">IF($A1308="","",IF(ISNUMBER(Base_Bruta!C1308),Base_Bruta!C1308,IF(MID(Base_Bruta!C1308,5,1)="-",DATE(VALUE(LEFT(Base_Bruta!C1308,4)),VALUE(MID(Base_Bruta!C1308,6,2)),VALUE(RIGHT(Base_Bruta!C1308,2))),DATE(VALUE(RIGHT(Base_Bruta!C1308,4)),VALUE(MID(Base_Bruta!C1308,4,2)),VALUE(LEFT(Base_Bruta!C1308,2))))))</f>
        <v>46151</v>
      </c>
      <c r="D1308" s="4" t="str">
        <f aca="false">IF($A1308="","",TRIM(Base_Bruta!D1308))</f>
        <v>Turnê Internacional Rock - Rio</v>
      </c>
      <c r="E1308" s="4" t="str">
        <f aca="false">IF($A1308="","",_xlfn.XLOOKUP(LOWER(TRIM(Base_Bruta!E1308)),DePara_Categoria!$A$2:$A$9,DePara_Categoria!$B$2:$B$9,"REVISAR"))</f>
        <v>Show</v>
      </c>
      <c r="F1308" s="4" t="str">
        <f aca="false">IF($A1308="","",_xlfn.XLOOKUP(LOWER(TRIM(Base_Bruta!F1308)),DePara_Cidade!$A$2:$A$29,DePara_Cidade!$B$2:$B$29,"REVISAR"))</f>
        <v>Rio de Janeiro</v>
      </c>
      <c r="G1308" s="4" t="str">
        <f aca="false">IF($A1308="","",TRIM(Base_Bruta!G1308))</f>
        <v>Inteira</v>
      </c>
      <c r="H1308" s="4" t="n">
        <f aca="false">IF($A1308="","",IF(ISNUMBER(Base_Bruta!H1308),Base_Bruta!H1308,IFERROR(_xlfn.NUMBERVALUE(TRIM(SUBSTITUTE(Base_Bruta!H1308,"R$","")),",","."),0)))</f>
        <v>1</v>
      </c>
      <c r="I1308" s="6" t="n">
        <f aca="false">IF($A1308="","",IF(ISNUMBER(Base_Bruta!I1308),Base_Bruta!I1308,IFERROR(_xlfn.NUMBERVALUE(TRIM(SUBSTITUTE(Base_Bruta!I1308,"R$","")),",","."),0)))</f>
        <v>305</v>
      </c>
      <c r="J1308" s="6" t="n">
        <f aca="false">IF($A1308="","",H1308*I1308)</f>
        <v>305</v>
      </c>
      <c r="K1308" s="4" t="str">
        <f aca="false">IF($A1308="","",TRIM(Base_Bruta!J1308))</f>
        <v>Site</v>
      </c>
      <c r="L1308" s="4" t="str">
        <f aca="false">IF($A1308="","",TRIM(Base_Bruta!K1308))</f>
        <v>C00099</v>
      </c>
      <c r="M1308" s="4" t="str">
        <f aca="false">IF($A1308="","",_xlfn.XLOOKUP(LOWER(TRIM(Base_Bruta!L1308)),DePara_Cidade!$A$2:$A$29,DePara_Cidade!$B$2:$B$29,"REVISAR"))</f>
        <v>Rio de Janeiro</v>
      </c>
      <c r="N1308" s="4" t="str">
        <f aca="false">IF($A1308="","",UPPER(TRIM(Base_Bruta!M1308)))</f>
        <v>RJ</v>
      </c>
      <c r="O1308" s="4" t="str">
        <f aca="false">IF($A1308="","",_xlfn.XLOOKUP(LOWER(TRIM(Base_Bruta!N1308)),DePara_Pais!$A$2:$A$9,DePara_Pais!$B$2:$B$9,"REVISAR"))</f>
        <v>Brasil</v>
      </c>
      <c r="P1308" s="4" t="str">
        <f aca="false">IF($A1308="","",IF(O1308&lt;&gt;"Brasil","Turista Internacional",IF(M1308=F1308,"Local","Turista Nacional")))</f>
        <v>Local</v>
      </c>
      <c r="Q1308" s="7" t="n">
        <f aca="false">IF($A1308="","",DATE(YEAR(B1308),MONTH(B1308),1))</f>
        <v>46023</v>
      </c>
      <c r="R1308" s="4" t="str">
        <f aca="false">IF($A1308="","",IF(COUNTIF($A$2:$A1308,$A1308)&gt;1,"Sim","Não"))</f>
        <v>Não</v>
      </c>
      <c r="S1308" s="4" t="str">
        <f aca="false">IF(A1308="","Descartar - Linha vazia",IF(R1308="Sim","Descartar - Duplicado",IF(OR(H1308&lt;=0,I1308&lt;=0),"Descartar - Qtd/Valor inválido","OK")))</f>
        <v>OK</v>
      </c>
      <c r="T1308" s="4" t="str">
        <f aca="false">Base_Bruta!P1308</f>
        <v>vendas_RJ.xlsx</v>
      </c>
    </row>
    <row r="1309" customFormat="false" ht="15" hidden="false" customHeight="false" outlineLevel="0" collapsed="false">
      <c r="A1309" s="4" t="str">
        <f aca="false">IF(Base_Bruta!A1309="","",Base_Bruta!A1309)</f>
        <v>RJ-000403</v>
      </c>
      <c r="B1309" s="5" t="n">
        <f aca="false">IF($A1309="","",IF(ISNUMBER(Base_Bruta!B1309),Base_Bruta!B1309,IF(MID(Base_Bruta!B1309,5,1)="-",DATE(VALUE(LEFT(Base_Bruta!B1309,4)),VALUE(MID(Base_Bruta!B1309,6,2)),VALUE(RIGHT(Base_Bruta!B1309,2))),DATE(VALUE(RIGHT(Base_Bruta!B1309,4)),VALUE(MID(Base_Bruta!B1309,4,2)),VALUE(LEFT(Base_Bruta!B1309,2))))))</f>
        <v>46042</v>
      </c>
      <c r="C1309" s="5" t="n">
        <f aca="false">IF($A1309="","",IF(ISNUMBER(Base_Bruta!C1309),Base_Bruta!C1309,IF(MID(Base_Bruta!C1309,5,1)="-",DATE(VALUE(LEFT(Base_Bruta!C1309,4)),VALUE(MID(Base_Bruta!C1309,6,2)),VALUE(RIGHT(Base_Bruta!C1309,2))),DATE(VALUE(RIGHT(Base_Bruta!C1309,4)),VALUE(MID(Base_Bruta!C1309,4,2)),VALUE(LEFT(Base_Bruta!C1309,2))))))</f>
        <v>46151</v>
      </c>
      <c r="D1309" s="4" t="str">
        <f aca="false">IF($A1309="","",TRIM(Base_Bruta!D1309))</f>
        <v>Turnê Internacional Rock - Rio</v>
      </c>
      <c r="E1309" s="4" t="str">
        <f aca="false">IF($A1309="","",_xlfn.XLOOKUP(LOWER(TRIM(Base_Bruta!E1309)),DePara_Categoria!$A$2:$A$9,DePara_Categoria!$B$2:$B$9,"REVISAR"))</f>
        <v>Show</v>
      </c>
      <c r="F1309" s="4" t="str">
        <f aca="false">IF($A1309="","",_xlfn.XLOOKUP(LOWER(TRIM(Base_Bruta!F1309)),DePara_Cidade!$A$2:$A$29,DePara_Cidade!$B$2:$B$29,"REVISAR"))</f>
        <v>Rio de Janeiro</v>
      </c>
      <c r="G1309" s="4" t="str">
        <f aca="false">IF($A1309="","",TRIM(Base_Bruta!G1309))</f>
        <v>Inteira</v>
      </c>
      <c r="H1309" s="4" t="n">
        <f aca="false">IF($A1309="","",IF(ISNUMBER(Base_Bruta!H1309),Base_Bruta!H1309,IFERROR(_xlfn.NUMBERVALUE(TRIM(SUBSTITUTE(Base_Bruta!H1309,"R$","")),",","."),0)))</f>
        <v>1</v>
      </c>
      <c r="I1309" s="6" t="n">
        <f aca="false">IF($A1309="","",IF(ISNUMBER(Base_Bruta!I1309),Base_Bruta!I1309,IFERROR(_xlfn.NUMBERVALUE(TRIM(SUBSTITUTE(Base_Bruta!I1309,"R$","")),",","."),0)))</f>
        <v>555</v>
      </c>
      <c r="J1309" s="6" t="n">
        <f aca="false">IF($A1309="","",H1309*I1309)</f>
        <v>555</v>
      </c>
      <c r="K1309" s="4" t="str">
        <f aca="false">IF($A1309="","",TRIM(Base_Bruta!J1309))</f>
        <v>App</v>
      </c>
      <c r="L1309" s="4" t="str">
        <f aca="false">IF($A1309="","",TRIM(Base_Bruta!K1309))</f>
        <v>C02314</v>
      </c>
      <c r="M1309" s="4" t="str">
        <f aca="false">IF($A1309="","",_xlfn.XLOOKUP(LOWER(TRIM(Base_Bruta!L1309)),DePara_Cidade!$A$2:$A$29,DePara_Cidade!$B$2:$B$29,"REVISAR"))</f>
        <v>Rio de Janeiro</v>
      </c>
      <c r="N1309" s="4" t="str">
        <f aca="false">IF($A1309="","",UPPER(TRIM(Base_Bruta!M1309)))</f>
        <v>RJ</v>
      </c>
      <c r="O1309" s="4" t="str">
        <f aca="false">IF($A1309="","",_xlfn.XLOOKUP(LOWER(TRIM(Base_Bruta!N1309)),DePara_Pais!$A$2:$A$9,DePara_Pais!$B$2:$B$9,"REVISAR"))</f>
        <v>Brasil</v>
      </c>
      <c r="P1309" s="4" t="str">
        <f aca="false">IF($A1309="","",IF(O1309&lt;&gt;"Brasil","Turista Internacional",IF(M1309=F1309,"Local","Turista Nacional")))</f>
        <v>Local</v>
      </c>
      <c r="Q1309" s="7" t="n">
        <f aca="false">IF($A1309="","",DATE(YEAR(B1309),MONTH(B1309),1))</f>
        <v>46023</v>
      </c>
      <c r="R1309" s="4" t="str">
        <f aca="false">IF($A1309="","",IF(COUNTIF($A$2:$A1309,$A1309)&gt;1,"Sim","Não"))</f>
        <v>Não</v>
      </c>
      <c r="S1309" s="4" t="str">
        <f aca="false">IF(A1309="","Descartar - Linha vazia",IF(R1309="Sim","Descartar - Duplicado",IF(OR(H1309&lt;=0,I1309&lt;=0),"Descartar - Qtd/Valor inválido","OK")))</f>
        <v>OK</v>
      </c>
      <c r="T1309" s="4" t="str">
        <f aca="false">Base_Bruta!P1309</f>
        <v>vendas_RJ.xlsx</v>
      </c>
    </row>
    <row r="1310" customFormat="false" ht="15" hidden="false" customHeight="false" outlineLevel="0" collapsed="false">
      <c r="A1310" s="4" t="str">
        <f aca="false">IF(Base_Bruta!A1310="","",Base_Bruta!A1310)</f>
        <v>RJ-000417</v>
      </c>
      <c r="B1310" s="5" t="n">
        <f aca="false">IF($A1310="","",IF(ISNUMBER(Base_Bruta!B1310),Base_Bruta!B1310,IF(MID(Base_Bruta!B1310,5,1)="-",DATE(VALUE(LEFT(Base_Bruta!B1310,4)),VALUE(MID(Base_Bruta!B1310,6,2)),VALUE(RIGHT(Base_Bruta!B1310,2))),DATE(VALUE(RIGHT(Base_Bruta!B1310,4)),VALUE(MID(Base_Bruta!B1310,4,2)),VALUE(LEFT(Base_Bruta!B1310,2))))))</f>
        <v>46042</v>
      </c>
      <c r="C1310" s="5" t="n">
        <f aca="false">IF($A1310="","",IF(ISNUMBER(Base_Bruta!C1310),Base_Bruta!C1310,IF(MID(Base_Bruta!C1310,5,1)="-",DATE(VALUE(LEFT(Base_Bruta!C1310,4)),VALUE(MID(Base_Bruta!C1310,6,2)),VALUE(RIGHT(Base_Bruta!C1310,2))),DATE(VALUE(RIGHT(Base_Bruta!C1310,4)),VALUE(MID(Base_Bruta!C1310,4,2)),VALUE(LEFT(Base_Bruta!C1310,2))))))</f>
        <v>46151</v>
      </c>
      <c r="D1310" s="4" t="str">
        <f aca="false">IF($A1310="","",TRIM(Base_Bruta!D1310))</f>
        <v>Turnê Internacional Rock - Rio</v>
      </c>
      <c r="E1310" s="4" t="str">
        <f aca="false">IF($A1310="","",_xlfn.XLOOKUP(LOWER(TRIM(Base_Bruta!E1310)),DePara_Categoria!$A$2:$A$9,DePara_Categoria!$B$2:$B$9,"REVISAR"))</f>
        <v>Show</v>
      </c>
      <c r="F1310" s="4" t="str">
        <f aca="false">IF($A1310="","",_xlfn.XLOOKUP(LOWER(TRIM(Base_Bruta!F1310)),DePara_Cidade!$A$2:$A$29,DePara_Cidade!$B$2:$B$29,"REVISAR"))</f>
        <v>Rio de Janeiro</v>
      </c>
      <c r="G1310" s="4" t="str">
        <f aca="false">IF($A1310="","",TRIM(Base_Bruta!G1310))</f>
        <v>Inteira</v>
      </c>
      <c r="H1310" s="4" t="n">
        <f aca="false">IF($A1310="","",IF(ISNUMBER(Base_Bruta!H1310),Base_Bruta!H1310,IFERROR(_xlfn.NUMBERVALUE(TRIM(SUBSTITUTE(Base_Bruta!H1310,"R$","")),",","."),0)))</f>
        <v>3</v>
      </c>
      <c r="I1310" s="6" t="n">
        <f aca="false">IF($A1310="","",IF(ISNUMBER(Base_Bruta!I1310),Base_Bruta!I1310,IFERROR(_xlfn.NUMBERVALUE(TRIM(SUBSTITUTE(Base_Bruta!I1310,"R$","")),",","."),0)))</f>
        <v>0</v>
      </c>
      <c r="J1310" s="6" t="n">
        <f aca="false">IF($A1310="","",H1310*I1310)</f>
        <v>0</v>
      </c>
      <c r="K1310" s="4" t="str">
        <f aca="false">IF($A1310="","",TRIM(Base_Bruta!J1310))</f>
        <v>Bilheteria</v>
      </c>
      <c r="L1310" s="4" t="str">
        <f aca="false">IF($A1310="","",TRIM(Base_Bruta!K1310))</f>
        <v>C00779</v>
      </c>
      <c r="M1310" s="4" t="str">
        <f aca="false">IF($A1310="","",_xlfn.XLOOKUP(LOWER(TRIM(Base_Bruta!L1310)),DePara_Cidade!$A$2:$A$29,DePara_Cidade!$B$2:$B$29,"REVISAR"))</f>
        <v>São Paulo</v>
      </c>
      <c r="N1310" s="4" t="str">
        <f aca="false">IF($A1310="","",UPPER(TRIM(Base_Bruta!M1310)))</f>
        <v>SP</v>
      </c>
      <c r="O1310" s="4" t="str">
        <f aca="false">IF($A1310="","",_xlfn.XLOOKUP(LOWER(TRIM(Base_Bruta!N1310)),DePara_Pais!$A$2:$A$9,DePara_Pais!$B$2:$B$9,"REVISAR"))</f>
        <v>Brasil</v>
      </c>
      <c r="P1310" s="4" t="str">
        <f aca="false">IF($A1310="","",IF(O1310&lt;&gt;"Brasil","Turista Internacional",IF(M1310=F1310,"Local","Turista Nacional")))</f>
        <v>Turista Nacional</v>
      </c>
      <c r="Q1310" s="7" t="n">
        <f aca="false">IF($A1310="","",DATE(YEAR(B1310),MONTH(B1310),1))</f>
        <v>46023</v>
      </c>
      <c r="R1310" s="4" t="str">
        <f aca="false">IF($A1310="","",IF(COUNTIF($A$2:$A1310,$A1310)&gt;1,"Sim","Não"))</f>
        <v>Não</v>
      </c>
      <c r="S1310" s="4" t="str">
        <f aca="false">IF(A1310="","Descartar - Linha vazia",IF(R1310="Sim","Descartar - Duplicado",IF(OR(H1310&lt;=0,I1310&lt;=0),"Descartar - Qtd/Valor inválido","OK")))</f>
        <v>Descartar - Qtd/Valor inválido</v>
      </c>
      <c r="T1310" s="4" t="str">
        <f aca="false">Base_Bruta!P1310</f>
        <v>vendas_RJ.xlsx</v>
      </c>
    </row>
    <row r="1311" customFormat="false" ht="15" hidden="false" customHeight="false" outlineLevel="0" collapsed="false">
      <c r="A1311" s="4" t="str">
        <f aca="false">IF(Base_Bruta!A1311="","",Base_Bruta!A1311)</f>
        <v>RJ-000456</v>
      </c>
      <c r="B1311" s="5" t="n">
        <f aca="false">IF($A1311="","",IF(ISNUMBER(Base_Bruta!B1311),Base_Bruta!B1311,IF(MID(Base_Bruta!B1311,5,1)="-",DATE(VALUE(LEFT(Base_Bruta!B1311,4)),VALUE(MID(Base_Bruta!B1311,6,2)),VALUE(RIGHT(Base_Bruta!B1311,2))),DATE(VALUE(RIGHT(Base_Bruta!B1311,4)),VALUE(MID(Base_Bruta!B1311,4,2)),VALUE(LEFT(Base_Bruta!B1311,2))))))</f>
        <v>46042</v>
      </c>
      <c r="C1311" s="5" t="n">
        <f aca="false">IF($A1311="","",IF(ISNUMBER(Base_Bruta!C1311),Base_Bruta!C1311,IF(MID(Base_Bruta!C1311,5,1)="-",DATE(VALUE(LEFT(Base_Bruta!C1311,4)),VALUE(MID(Base_Bruta!C1311,6,2)),VALUE(RIGHT(Base_Bruta!C1311,2))),DATE(VALUE(RIGHT(Base_Bruta!C1311,4)),VALUE(MID(Base_Bruta!C1311,4,2)),VALUE(LEFT(Base_Bruta!C1311,2))))))</f>
        <v>46151</v>
      </c>
      <c r="D1311" s="4" t="str">
        <f aca="false">IF($A1311="","",TRIM(Base_Bruta!D1311))</f>
        <v>Turnê Internacional Rock - Rio</v>
      </c>
      <c r="E1311" s="4" t="str">
        <f aca="false">IF($A1311="","",_xlfn.XLOOKUP(LOWER(TRIM(Base_Bruta!E1311)),DePara_Categoria!$A$2:$A$9,DePara_Categoria!$B$2:$B$9,"REVISAR"))</f>
        <v>Show</v>
      </c>
      <c r="F1311" s="4" t="str">
        <f aca="false">IF($A1311="","",_xlfn.XLOOKUP(LOWER(TRIM(Base_Bruta!F1311)),DePara_Cidade!$A$2:$A$29,DePara_Cidade!$B$2:$B$29,"REVISAR"))</f>
        <v>Rio de Janeiro</v>
      </c>
      <c r="G1311" s="4" t="str">
        <f aca="false">IF($A1311="","",TRIM(Base_Bruta!G1311))</f>
        <v>Meia</v>
      </c>
      <c r="H1311" s="4" t="n">
        <f aca="false">IF($A1311="","",IF(ISNUMBER(Base_Bruta!H1311),Base_Bruta!H1311,IFERROR(_xlfn.NUMBERVALUE(TRIM(SUBSTITUTE(Base_Bruta!H1311,"R$","")),",","."),0)))</f>
        <v>4</v>
      </c>
      <c r="I1311" s="6" t="n">
        <f aca="false">IF($A1311="","",IF(ISNUMBER(Base_Bruta!I1311),Base_Bruta!I1311,IFERROR(_xlfn.NUMBERVALUE(TRIM(SUBSTITUTE(Base_Bruta!I1311,"R$","")),",","."),0)))</f>
        <v>182.5</v>
      </c>
      <c r="J1311" s="6" t="n">
        <f aca="false">IF($A1311="","",H1311*I1311)</f>
        <v>730</v>
      </c>
      <c r="K1311" s="4" t="str">
        <f aca="false">IF($A1311="","",TRIM(Base_Bruta!J1311))</f>
        <v>App</v>
      </c>
      <c r="L1311" s="4" t="str">
        <f aca="false">IF($A1311="","",TRIM(Base_Bruta!K1311))</f>
        <v>C02066</v>
      </c>
      <c r="M1311" s="4" t="str">
        <f aca="false">IF($A1311="","",_xlfn.XLOOKUP(LOWER(TRIM(Base_Bruta!L1311)),DePara_Cidade!$A$2:$A$29,DePara_Cidade!$B$2:$B$29,"REVISAR"))</f>
        <v>Rio de Janeiro</v>
      </c>
      <c r="N1311" s="4" t="str">
        <f aca="false">IF($A1311="","",UPPER(TRIM(Base_Bruta!M1311)))</f>
        <v>RJ</v>
      </c>
      <c r="O1311" s="4" t="str">
        <f aca="false">IF($A1311="","",_xlfn.XLOOKUP(LOWER(TRIM(Base_Bruta!N1311)),DePara_Pais!$A$2:$A$9,DePara_Pais!$B$2:$B$9,"REVISAR"))</f>
        <v>Brasil</v>
      </c>
      <c r="P1311" s="4" t="str">
        <f aca="false">IF($A1311="","",IF(O1311&lt;&gt;"Brasil","Turista Internacional",IF(M1311=F1311,"Local","Turista Nacional")))</f>
        <v>Local</v>
      </c>
      <c r="Q1311" s="7" t="n">
        <f aca="false">IF($A1311="","",DATE(YEAR(B1311),MONTH(B1311),1))</f>
        <v>46023</v>
      </c>
      <c r="R1311" s="4" t="str">
        <f aca="false">IF($A1311="","",IF(COUNTIF($A$2:$A1311,$A1311)&gt;1,"Sim","Não"))</f>
        <v>Não</v>
      </c>
      <c r="S1311" s="4" t="str">
        <f aca="false">IF(A1311="","Descartar - Linha vazia",IF(R1311="Sim","Descartar - Duplicado",IF(OR(H1311&lt;=0,I1311&lt;=0),"Descartar - Qtd/Valor inválido","OK")))</f>
        <v>OK</v>
      </c>
      <c r="T1311" s="4" t="str">
        <f aca="false">Base_Bruta!P1311</f>
        <v>vendas_RJ.xlsx</v>
      </c>
    </row>
    <row r="1312" customFormat="false" ht="15" hidden="false" customHeight="false" outlineLevel="0" collapsed="false">
      <c r="A1312" s="4" t="str">
        <f aca="false">IF(Base_Bruta!A1312="","",Base_Bruta!A1312)</f>
        <v>RJ-000507</v>
      </c>
      <c r="B1312" s="5" t="n">
        <f aca="false">IF($A1312="","",IF(ISNUMBER(Base_Bruta!B1312),Base_Bruta!B1312,IF(MID(Base_Bruta!B1312,5,1)="-",DATE(VALUE(LEFT(Base_Bruta!B1312,4)),VALUE(MID(Base_Bruta!B1312,6,2)),VALUE(RIGHT(Base_Bruta!B1312,2))),DATE(VALUE(RIGHT(Base_Bruta!B1312,4)),VALUE(MID(Base_Bruta!B1312,4,2)),VALUE(LEFT(Base_Bruta!B1312,2))))))</f>
        <v>46042</v>
      </c>
      <c r="C1312" s="5" t="n">
        <f aca="false">IF($A1312="","",IF(ISNUMBER(Base_Bruta!C1312),Base_Bruta!C1312,IF(MID(Base_Bruta!C1312,5,1)="-",DATE(VALUE(LEFT(Base_Bruta!C1312,4)),VALUE(MID(Base_Bruta!C1312,6,2)),VALUE(RIGHT(Base_Bruta!C1312,2))),DATE(VALUE(RIGHT(Base_Bruta!C1312,4)),VALUE(MID(Base_Bruta!C1312,4,2)),VALUE(LEFT(Base_Bruta!C1312,2))))))</f>
        <v>46151</v>
      </c>
      <c r="D1312" s="4" t="str">
        <f aca="false">IF($A1312="","",TRIM(Base_Bruta!D1312))</f>
        <v>Turnê Internacional Rock - Rio</v>
      </c>
      <c r="E1312" s="4" t="str">
        <f aca="false">IF($A1312="","",_xlfn.XLOOKUP(LOWER(TRIM(Base_Bruta!E1312)),DePara_Categoria!$A$2:$A$9,DePara_Categoria!$B$2:$B$9,"REVISAR"))</f>
        <v>Show</v>
      </c>
      <c r="F1312" s="4" t="str">
        <f aca="false">IF($A1312="","",_xlfn.XLOOKUP(LOWER(TRIM(Base_Bruta!F1312)),DePara_Cidade!$A$2:$A$29,DePara_Cidade!$B$2:$B$29,"REVISAR"))</f>
        <v>Rio de Janeiro</v>
      </c>
      <c r="G1312" s="4" t="str">
        <f aca="false">IF($A1312="","",TRIM(Base_Bruta!G1312))</f>
        <v>Inteira</v>
      </c>
      <c r="H1312" s="4" t="n">
        <f aca="false">IF($A1312="","",IF(ISNUMBER(Base_Bruta!H1312),Base_Bruta!H1312,IFERROR(_xlfn.NUMBERVALUE(TRIM(SUBSTITUTE(Base_Bruta!H1312,"R$","")),",","."),0)))</f>
        <v>4</v>
      </c>
      <c r="I1312" s="6" t="n">
        <f aca="false">IF($A1312="","",IF(ISNUMBER(Base_Bruta!I1312),Base_Bruta!I1312,IFERROR(_xlfn.NUMBERVALUE(TRIM(SUBSTITUTE(Base_Bruta!I1312,"R$","")),",","."),0)))</f>
        <v>635</v>
      </c>
      <c r="J1312" s="6" t="n">
        <f aca="false">IF($A1312="","",H1312*I1312)</f>
        <v>2540</v>
      </c>
      <c r="K1312" s="4" t="str">
        <f aca="false">IF($A1312="","",TRIM(Base_Bruta!J1312))</f>
        <v>Site</v>
      </c>
      <c r="L1312" s="4" t="str">
        <f aca="false">IF($A1312="","",TRIM(Base_Bruta!K1312))</f>
        <v>C01321</v>
      </c>
      <c r="M1312" s="4" t="str">
        <f aca="false">IF($A1312="","",_xlfn.XLOOKUP(LOWER(TRIM(Base_Bruta!L1312)),DePara_Cidade!$A$2:$A$29,DePara_Cidade!$B$2:$B$29,"REVISAR"))</f>
        <v>Goiânia</v>
      </c>
      <c r="N1312" s="4" t="str">
        <f aca="false">IF($A1312="","",UPPER(TRIM(Base_Bruta!M1312)))</f>
        <v>GO</v>
      </c>
      <c r="O1312" s="4" t="str">
        <f aca="false">IF($A1312="","",_xlfn.XLOOKUP(LOWER(TRIM(Base_Bruta!N1312)),DePara_Pais!$A$2:$A$9,DePara_Pais!$B$2:$B$9,"REVISAR"))</f>
        <v>Brasil</v>
      </c>
      <c r="P1312" s="4" t="str">
        <f aca="false">IF($A1312="","",IF(O1312&lt;&gt;"Brasil","Turista Internacional",IF(M1312=F1312,"Local","Turista Nacional")))</f>
        <v>Turista Nacional</v>
      </c>
      <c r="Q1312" s="7" t="n">
        <f aca="false">IF($A1312="","",DATE(YEAR(B1312),MONTH(B1312),1))</f>
        <v>46023</v>
      </c>
      <c r="R1312" s="4" t="str">
        <f aca="false">IF($A1312="","",IF(COUNTIF($A$2:$A1312,$A1312)&gt;1,"Sim","Não"))</f>
        <v>Não</v>
      </c>
      <c r="S1312" s="4" t="str">
        <f aca="false">IF(A1312="","Descartar - Linha vazia",IF(R1312="Sim","Descartar - Duplicado",IF(OR(H1312&lt;=0,I1312&lt;=0),"Descartar - Qtd/Valor inválido","OK")))</f>
        <v>OK</v>
      </c>
      <c r="T1312" s="4" t="str">
        <f aca="false">Base_Bruta!P1312</f>
        <v>vendas_RJ.xlsx</v>
      </c>
    </row>
    <row r="1313" customFormat="false" ht="15" hidden="false" customHeight="false" outlineLevel="0" collapsed="false">
      <c r="A1313" s="4" t="str">
        <f aca="false">IF(Base_Bruta!A1313="","",Base_Bruta!A1313)</f>
        <v>RJ-000004</v>
      </c>
      <c r="B1313" s="5" t="n">
        <f aca="false">IF($A1313="","",IF(ISNUMBER(Base_Bruta!B1313),Base_Bruta!B1313,IF(MID(Base_Bruta!B1313,5,1)="-",DATE(VALUE(LEFT(Base_Bruta!B1313,4)),VALUE(MID(Base_Bruta!B1313,6,2)),VALUE(RIGHT(Base_Bruta!B1313,2))),DATE(VALUE(RIGHT(Base_Bruta!B1313,4)),VALUE(MID(Base_Bruta!B1313,4,2)),VALUE(LEFT(Base_Bruta!B1313,2))))))</f>
        <v>46043</v>
      </c>
      <c r="C1313" s="5" t="n">
        <f aca="false">IF($A1313="","",IF(ISNUMBER(Base_Bruta!C1313),Base_Bruta!C1313,IF(MID(Base_Bruta!C1313,5,1)="-",DATE(VALUE(LEFT(Base_Bruta!C1313,4)),VALUE(MID(Base_Bruta!C1313,6,2)),VALUE(RIGHT(Base_Bruta!C1313,2))),DATE(VALUE(RIGHT(Base_Bruta!C1313,4)),VALUE(MID(Base_Bruta!C1313,4,2)),VALUE(LEFT(Base_Bruta!C1313,2))))))</f>
        <v>46046</v>
      </c>
      <c r="D1313" s="4" t="str">
        <f aca="false">IF($A1313="","",TRIM(Base_Bruta!D1313))</f>
        <v>Rio Beat Festival 2026</v>
      </c>
      <c r="E1313" s="4" t="str">
        <f aca="false">IF($A1313="","",_xlfn.XLOOKUP(LOWER(TRIM(Base_Bruta!E1313)),DePara_Categoria!$A$2:$A$9,DePara_Categoria!$B$2:$B$9,"REVISAR"))</f>
        <v>Festival</v>
      </c>
      <c r="F1313" s="4" t="str">
        <f aca="false">IF($A1313="","",_xlfn.XLOOKUP(LOWER(TRIM(Base_Bruta!F1313)),DePara_Cidade!$A$2:$A$29,DePara_Cidade!$B$2:$B$29,"REVISAR"))</f>
        <v>Rio de Janeiro</v>
      </c>
      <c r="G1313" s="4" t="str">
        <f aca="false">IF($A1313="","",TRIM(Base_Bruta!G1313))</f>
        <v>Meia</v>
      </c>
      <c r="H1313" s="4" t="n">
        <f aca="false">IF($A1313="","",IF(ISNUMBER(Base_Bruta!H1313),Base_Bruta!H1313,IFERROR(_xlfn.NUMBERVALUE(TRIM(SUBSTITUTE(Base_Bruta!H1313,"R$","")),",","."),0)))</f>
        <v>1</v>
      </c>
      <c r="I1313" s="6" t="n">
        <f aca="false">IF($A1313="","",IF(ISNUMBER(Base_Bruta!I1313),Base_Bruta!I1313,IFERROR(_xlfn.NUMBERVALUE(TRIM(SUBSTITUTE(Base_Bruta!I1313,"R$","")),",","."),0)))</f>
        <v>537.5</v>
      </c>
      <c r="J1313" s="6" t="n">
        <f aca="false">IF($A1313="","",H1313*I1313)</f>
        <v>537.5</v>
      </c>
      <c r="K1313" s="4" t="str">
        <f aca="false">IF($A1313="","",TRIM(Base_Bruta!J1313))</f>
        <v>Site</v>
      </c>
      <c r="L1313" s="4" t="str">
        <f aca="false">IF($A1313="","",TRIM(Base_Bruta!K1313))</f>
        <v>C00092</v>
      </c>
      <c r="M1313" s="4" t="str">
        <f aca="false">IF($A1313="","",_xlfn.XLOOKUP(LOWER(TRIM(Base_Bruta!L1313)),DePara_Cidade!$A$2:$A$29,DePara_Cidade!$B$2:$B$29,"REVISAR"))</f>
        <v>Rio de Janeiro</v>
      </c>
      <c r="N1313" s="4" t="str">
        <f aca="false">IF($A1313="","",UPPER(TRIM(Base_Bruta!M1313)))</f>
        <v>RJ</v>
      </c>
      <c r="O1313" s="4" t="str">
        <f aca="false">IF($A1313="","",_xlfn.XLOOKUP(LOWER(TRIM(Base_Bruta!N1313)),DePara_Pais!$A$2:$A$9,DePara_Pais!$B$2:$B$9,"REVISAR"))</f>
        <v>Brasil</v>
      </c>
      <c r="P1313" s="4" t="str">
        <f aca="false">IF($A1313="","",IF(O1313&lt;&gt;"Brasil","Turista Internacional",IF(M1313=F1313,"Local","Turista Nacional")))</f>
        <v>Local</v>
      </c>
      <c r="Q1313" s="7" t="n">
        <f aca="false">IF($A1313="","",DATE(YEAR(B1313),MONTH(B1313),1))</f>
        <v>46023</v>
      </c>
      <c r="R1313" s="4" t="str">
        <f aca="false">IF($A1313="","",IF(COUNTIF($A$2:$A1313,$A1313)&gt;1,"Sim","Não"))</f>
        <v>Não</v>
      </c>
      <c r="S1313" s="4" t="str">
        <f aca="false">IF(A1313="","Descartar - Linha vazia",IF(R1313="Sim","Descartar - Duplicado",IF(OR(H1313&lt;=0,I1313&lt;=0),"Descartar - Qtd/Valor inválido","OK")))</f>
        <v>OK</v>
      </c>
      <c r="T1313" s="4" t="str">
        <f aca="false">Base_Bruta!P1313</f>
        <v>vendas_RJ.xlsx</v>
      </c>
    </row>
    <row r="1314" customFormat="false" ht="15" hidden="false" customHeight="false" outlineLevel="0" collapsed="false">
      <c r="A1314" s="4" t="str">
        <f aca="false">IF(Base_Bruta!A1314="","",Base_Bruta!A1314)</f>
        <v>RJ-000023</v>
      </c>
      <c r="B1314" s="5" t="n">
        <f aca="false">IF($A1314="","",IF(ISNUMBER(Base_Bruta!B1314),Base_Bruta!B1314,IF(MID(Base_Bruta!B1314,5,1)="-",DATE(VALUE(LEFT(Base_Bruta!B1314,4)),VALUE(MID(Base_Bruta!B1314,6,2)),VALUE(RIGHT(Base_Bruta!B1314,2))),DATE(VALUE(RIGHT(Base_Bruta!B1314,4)),VALUE(MID(Base_Bruta!B1314,4,2)),VALUE(LEFT(Base_Bruta!B1314,2))))))</f>
        <v>46043</v>
      </c>
      <c r="C1314" s="5" t="n">
        <f aca="false">IF($A1314="","",IF(ISNUMBER(Base_Bruta!C1314),Base_Bruta!C1314,IF(MID(Base_Bruta!C1314,5,1)="-",DATE(VALUE(LEFT(Base_Bruta!C1314,4)),VALUE(MID(Base_Bruta!C1314,6,2)),VALUE(RIGHT(Base_Bruta!C1314,2))),DATE(VALUE(RIGHT(Base_Bruta!C1314,4)),VALUE(MID(Base_Bruta!C1314,4,2)),VALUE(LEFT(Base_Bruta!C1314,2))))))</f>
        <v>46046</v>
      </c>
      <c r="D1314" s="4" t="str">
        <f aca="false">IF($A1314="","",TRIM(Base_Bruta!D1314))</f>
        <v>Rio Beat Festival 2026</v>
      </c>
      <c r="E1314" s="4" t="str">
        <f aca="false">IF($A1314="","",_xlfn.XLOOKUP(LOWER(TRIM(Base_Bruta!E1314)),DePara_Categoria!$A$2:$A$9,DePara_Categoria!$B$2:$B$9,"REVISAR"))</f>
        <v>Festival</v>
      </c>
      <c r="F1314" s="4" t="str">
        <f aca="false">IF($A1314="","",_xlfn.XLOOKUP(LOWER(TRIM(Base_Bruta!F1314)),DePara_Cidade!$A$2:$A$29,DePara_Cidade!$B$2:$B$29,"REVISAR"))</f>
        <v>Rio de Janeiro</v>
      </c>
      <c r="G1314" s="4" t="str">
        <f aca="false">IF($A1314="","",TRIM(Base_Bruta!G1314))</f>
        <v>Inteira</v>
      </c>
      <c r="H1314" s="4" t="n">
        <f aca="false">IF($A1314="","",IF(ISNUMBER(Base_Bruta!H1314),Base_Bruta!H1314,IFERROR(_xlfn.NUMBERVALUE(TRIM(SUBSTITUTE(Base_Bruta!H1314,"R$","")),",","."),0)))</f>
        <v>3</v>
      </c>
      <c r="I1314" s="6" t="n">
        <f aca="false">IF($A1314="","",IF(ISNUMBER(Base_Bruta!I1314),Base_Bruta!I1314,IFERROR(_xlfn.NUMBERVALUE(TRIM(SUBSTITUTE(Base_Bruta!I1314,"R$","")),",","."),0)))</f>
        <v>650</v>
      </c>
      <c r="J1314" s="6" t="n">
        <f aca="false">IF($A1314="","",H1314*I1314)</f>
        <v>1950</v>
      </c>
      <c r="K1314" s="4" t="str">
        <f aca="false">IF($A1314="","",TRIM(Base_Bruta!J1314))</f>
        <v>Site</v>
      </c>
      <c r="L1314" s="4" t="str">
        <f aca="false">IF($A1314="","",TRIM(Base_Bruta!K1314))</f>
        <v>C01173</v>
      </c>
      <c r="M1314" s="4" t="str">
        <f aca="false">IF($A1314="","",_xlfn.XLOOKUP(LOWER(TRIM(Base_Bruta!L1314)),DePara_Cidade!$A$2:$A$29,DePara_Cidade!$B$2:$B$29,"REVISAR"))</f>
        <v>Buenos Aires</v>
      </c>
      <c r="N1314" s="4" t="str">
        <f aca="false">IF($A1314="","",UPPER(TRIM(Base_Bruta!M1314)))</f>
        <v>EX</v>
      </c>
      <c r="O1314" s="4" t="str">
        <f aca="false">IF($A1314="","",_xlfn.XLOOKUP(LOWER(TRIM(Base_Bruta!N1314)),DePara_Pais!$A$2:$A$9,DePara_Pais!$B$2:$B$9,"REVISAR"))</f>
        <v>Argentina</v>
      </c>
      <c r="P1314" s="4" t="str">
        <f aca="false">IF($A1314="","",IF(O1314&lt;&gt;"Brasil","Turista Internacional",IF(M1314=F1314,"Local","Turista Nacional")))</f>
        <v>Turista Internacional</v>
      </c>
      <c r="Q1314" s="7" t="n">
        <f aca="false">IF($A1314="","",DATE(YEAR(B1314),MONTH(B1314),1))</f>
        <v>46023</v>
      </c>
      <c r="R1314" s="4" t="str">
        <f aca="false">IF($A1314="","",IF(COUNTIF($A$2:$A1314,$A1314)&gt;1,"Sim","Não"))</f>
        <v>Não</v>
      </c>
      <c r="S1314" s="4" t="str">
        <f aca="false">IF(A1314="","Descartar - Linha vazia",IF(R1314="Sim","Descartar - Duplicado",IF(OR(H1314&lt;=0,I1314&lt;=0),"Descartar - Qtd/Valor inválido","OK")))</f>
        <v>OK</v>
      </c>
      <c r="T1314" s="4" t="str">
        <f aca="false">Base_Bruta!P1314</f>
        <v>vendas_RJ.xlsx</v>
      </c>
    </row>
    <row r="1315" customFormat="false" ht="15" hidden="false" customHeight="false" outlineLevel="0" collapsed="false">
      <c r="A1315" s="4" t="str">
        <f aca="false">IF(Base_Bruta!A1315="","",Base_Bruta!A1315)</f>
        <v>RJ-000092</v>
      </c>
      <c r="B1315" s="5" t="n">
        <f aca="false">IF($A1315="","",IF(ISNUMBER(Base_Bruta!B1315),Base_Bruta!B1315,IF(MID(Base_Bruta!B1315,5,1)="-",DATE(VALUE(LEFT(Base_Bruta!B1315,4)),VALUE(MID(Base_Bruta!B1315,6,2)),VALUE(RIGHT(Base_Bruta!B1315,2))),DATE(VALUE(RIGHT(Base_Bruta!B1315,4)),VALUE(MID(Base_Bruta!B1315,4,2)),VALUE(LEFT(Base_Bruta!B1315,2))))))</f>
        <v>46043</v>
      </c>
      <c r="C1315" s="5" t="n">
        <f aca="false">IF($A1315="","",IF(ISNUMBER(Base_Bruta!C1315),Base_Bruta!C1315,IF(MID(Base_Bruta!C1315,5,1)="-",DATE(VALUE(LEFT(Base_Bruta!C1315,4)),VALUE(MID(Base_Bruta!C1315,6,2)),VALUE(RIGHT(Base_Bruta!C1315,2))),DATE(VALUE(RIGHT(Base_Bruta!C1315,4)),VALUE(MID(Base_Bruta!C1315,4,2)),VALUE(LEFT(Base_Bruta!C1315,2))))))</f>
        <v>46046</v>
      </c>
      <c r="D1315" s="4" t="str">
        <f aca="false">IF($A1315="","",TRIM(Base_Bruta!D1315))</f>
        <v>Rio Beat Festival 2026</v>
      </c>
      <c r="E1315" s="4" t="str">
        <f aca="false">IF($A1315="","",_xlfn.XLOOKUP(LOWER(TRIM(Base_Bruta!E1315)),DePara_Categoria!$A$2:$A$9,DePara_Categoria!$B$2:$B$9,"REVISAR"))</f>
        <v>Festival</v>
      </c>
      <c r="F1315" s="4" t="str">
        <f aca="false">IF($A1315="","",_xlfn.XLOOKUP(LOWER(TRIM(Base_Bruta!F1315)),DePara_Cidade!$A$2:$A$29,DePara_Cidade!$B$2:$B$29,"REVISAR"))</f>
        <v>Rio de Janeiro</v>
      </c>
      <c r="G1315" s="4" t="str">
        <f aca="false">IF($A1315="","",TRIM(Base_Bruta!G1315))</f>
        <v>Meia</v>
      </c>
      <c r="H1315" s="4" t="n">
        <f aca="false">IF($A1315="","",IF(ISNUMBER(Base_Bruta!H1315),Base_Bruta!H1315,IFERROR(_xlfn.NUMBERVALUE(TRIM(SUBSTITUTE(Base_Bruta!H1315,"R$","")),",","."),0)))</f>
        <v>2</v>
      </c>
      <c r="I1315" s="6" t="n">
        <f aca="false">IF($A1315="","",IF(ISNUMBER(Base_Bruta!I1315),Base_Bruta!I1315,IFERROR(_xlfn.NUMBERVALUE(TRIM(SUBSTITUTE(Base_Bruta!I1315,"R$","")),",","."),0)))</f>
        <v>550</v>
      </c>
      <c r="J1315" s="6" t="n">
        <f aca="false">IF($A1315="","",H1315*I1315)</f>
        <v>1100</v>
      </c>
      <c r="K1315" s="4" t="str">
        <f aca="false">IF($A1315="","",TRIM(Base_Bruta!J1315))</f>
        <v>Bilheteria</v>
      </c>
      <c r="L1315" s="4" t="str">
        <f aca="false">IF($A1315="","",TRIM(Base_Bruta!K1315))</f>
        <v>C01930</v>
      </c>
      <c r="M1315" s="4" t="str">
        <f aca="false">IF($A1315="","",_xlfn.XLOOKUP(LOWER(TRIM(Base_Bruta!L1315)),DePara_Cidade!$A$2:$A$29,DePara_Cidade!$B$2:$B$29,"REVISAR"))</f>
        <v>Rio de Janeiro</v>
      </c>
      <c r="N1315" s="4" t="str">
        <f aca="false">IF($A1315="","",UPPER(TRIM(Base_Bruta!M1315)))</f>
        <v>RJ</v>
      </c>
      <c r="O1315" s="4" t="str">
        <f aca="false">IF($A1315="","",_xlfn.XLOOKUP(LOWER(TRIM(Base_Bruta!N1315)),DePara_Pais!$A$2:$A$9,DePara_Pais!$B$2:$B$9,"REVISAR"))</f>
        <v>Brasil</v>
      </c>
      <c r="P1315" s="4" t="str">
        <f aca="false">IF($A1315="","",IF(O1315&lt;&gt;"Brasil","Turista Internacional",IF(M1315=F1315,"Local","Turista Nacional")))</f>
        <v>Local</v>
      </c>
      <c r="Q1315" s="7" t="n">
        <f aca="false">IF($A1315="","",DATE(YEAR(B1315),MONTH(B1315),1))</f>
        <v>46023</v>
      </c>
      <c r="R1315" s="4" t="str">
        <f aca="false">IF($A1315="","",IF(COUNTIF($A$2:$A1315,$A1315)&gt;1,"Sim","Não"))</f>
        <v>Não</v>
      </c>
      <c r="S1315" s="4" t="str">
        <f aca="false">IF(A1315="","Descartar - Linha vazia",IF(R1315="Sim","Descartar - Duplicado",IF(OR(H1315&lt;=0,I1315&lt;=0),"Descartar - Qtd/Valor inválido","OK")))</f>
        <v>OK</v>
      </c>
      <c r="T1315" s="4" t="str">
        <f aca="false">Base_Bruta!P1315</f>
        <v>vendas_RJ.xlsx</v>
      </c>
    </row>
    <row r="1316" customFormat="false" ht="15" hidden="false" customHeight="false" outlineLevel="0" collapsed="false">
      <c r="A1316" s="4" t="str">
        <f aca="false">IF(Base_Bruta!A1316="","",Base_Bruta!A1316)</f>
        <v>RJ-000095</v>
      </c>
      <c r="B1316" s="5" t="n">
        <f aca="false">IF($A1316="","",IF(ISNUMBER(Base_Bruta!B1316),Base_Bruta!B1316,IF(MID(Base_Bruta!B1316,5,1)="-",DATE(VALUE(LEFT(Base_Bruta!B1316,4)),VALUE(MID(Base_Bruta!B1316,6,2)),VALUE(RIGHT(Base_Bruta!B1316,2))),DATE(VALUE(RIGHT(Base_Bruta!B1316,4)),VALUE(MID(Base_Bruta!B1316,4,2)),VALUE(LEFT(Base_Bruta!B1316,2))))))</f>
        <v>46043</v>
      </c>
      <c r="C1316" s="5" t="n">
        <f aca="false">IF($A1316="","",IF(ISNUMBER(Base_Bruta!C1316),Base_Bruta!C1316,IF(MID(Base_Bruta!C1316,5,1)="-",DATE(VALUE(LEFT(Base_Bruta!C1316,4)),VALUE(MID(Base_Bruta!C1316,6,2)),VALUE(RIGHT(Base_Bruta!C1316,2))),DATE(VALUE(RIGHT(Base_Bruta!C1316,4)),VALUE(MID(Base_Bruta!C1316,4,2)),VALUE(LEFT(Base_Bruta!C1316,2))))))</f>
        <v>46046</v>
      </c>
      <c r="D1316" s="4" t="str">
        <f aca="false">IF($A1316="","",TRIM(Base_Bruta!D1316))</f>
        <v>Rio Beat Festival 2026</v>
      </c>
      <c r="E1316" s="4" t="str">
        <f aca="false">IF($A1316="","",_xlfn.XLOOKUP(LOWER(TRIM(Base_Bruta!E1316)),DePara_Categoria!$A$2:$A$9,DePara_Categoria!$B$2:$B$9,"REVISAR"))</f>
        <v>Festival</v>
      </c>
      <c r="F1316" s="4" t="str">
        <f aca="false">IF($A1316="","",_xlfn.XLOOKUP(LOWER(TRIM(Base_Bruta!F1316)),DePara_Cidade!$A$2:$A$29,DePara_Cidade!$B$2:$B$29,"REVISAR"))</f>
        <v>Rio de Janeiro</v>
      </c>
      <c r="G1316" s="4" t="str">
        <f aca="false">IF($A1316="","",TRIM(Base_Bruta!G1316))</f>
        <v>Meia</v>
      </c>
      <c r="H1316" s="4" t="n">
        <f aca="false">IF($A1316="","",IF(ISNUMBER(Base_Bruta!H1316),Base_Bruta!H1316,IFERROR(_xlfn.NUMBERVALUE(TRIM(SUBSTITUTE(Base_Bruta!H1316,"R$","")),",","."),0)))</f>
        <v>2</v>
      </c>
      <c r="I1316" s="6" t="n">
        <f aca="false">IF($A1316="","",IF(ISNUMBER(Base_Bruta!I1316),Base_Bruta!I1316,IFERROR(_xlfn.NUMBERVALUE(TRIM(SUBSTITUTE(Base_Bruta!I1316,"R$","")),",","."),0)))</f>
        <v>470</v>
      </c>
      <c r="J1316" s="6" t="n">
        <f aca="false">IF($A1316="","",H1316*I1316)</f>
        <v>940</v>
      </c>
      <c r="K1316" s="4" t="str">
        <f aca="false">IF($A1316="","",TRIM(Base_Bruta!J1316))</f>
        <v>Site</v>
      </c>
      <c r="L1316" s="4" t="str">
        <f aca="false">IF($A1316="","",TRIM(Base_Bruta!K1316))</f>
        <v>C01143</v>
      </c>
      <c r="M1316" s="4" t="str">
        <f aca="false">IF($A1316="","",_xlfn.XLOOKUP(LOWER(TRIM(Base_Bruta!L1316)),DePara_Cidade!$A$2:$A$29,DePara_Cidade!$B$2:$B$29,"REVISAR"))</f>
        <v>Rio de Janeiro</v>
      </c>
      <c r="N1316" s="4" t="str">
        <f aca="false">IF($A1316="","",UPPER(TRIM(Base_Bruta!M1316)))</f>
        <v>RJ</v>
      </c>
      <c r="O1316" s="4" t="str">
        <f aca="false">IF($A1316="","",_xlfn.XLOOKUP(LOWER(TRIM(Base_Bruta!N1316)),DePara_Pais!$A$2:$A$9,DePara_Pais!$B$2:$B$9,"REVISAR"))</f>
        <v>Brasil</v>
      </c>
      <c r="P1316" s="4" t="str">
        <f aca="false">IF($A1316="","",IF(O1316&lt;&gt;"Brasil","Turista Internacional",IF(M1316=F1316,"Local","Turista Nacional")))</f>
        <v>Local</v>
      </c>
      <c r="Q1316" s="7" t="n">
        <f aca="false">IF($A1316="","",DATE(YEAR(B1316),MONTH(B1316),1))</f>
        <v>46023</v>
      </c>
      <c r="R1316" s="4" t="str">
        <f aca="false">IF($A1316="","",IF(COUNTIF($A$2:$A1316,$A1316)&gt;1,"Sim","Não"))</f>
        <v>Não</v>
      </c>
      <c r="S1316" s="4" t="str">
        <f aca="false">IF(A1316="","Descartar - Linha vazia",IF(R1316="Sim","Descartar - Duplicado",IF(OR(H1316&lt;=0,I1316&lt;=0),"Descartar - Qtd/Valor inválido","OK")))</f>
        <v>OK</v>
      </c>
      <c r="T1316" s="4" t="str">
        <f aca="false">Base_Bruta!P1316</f>
        <v>vendas_RJ.xlsx</v>
      </c>
    </row>
    <row r="1317" customFormat="false" ht="15" hidden="false" customHeight="false" outlineLevel="0" collapsed="false">
      <c r="A1317" s="4" t="str">
        <f aca="false">IF(Base_Bruta!A1317="","",Base_Bruta!A1317)</f>
        <v>RJ-000113</v>
      </c>
      <c r="B1317" s="5" t="n">
        <f aca="false">IF($A1317="","",IF(ISNUMBER(Base_Bruta!B1317),Base_Bruta!B1317,IF(MID(Base_Bruta!B1317,5,1)="-",DATE(VALUE(LEFT(Base_Bruta!B1317,4)),VALUE(MID(Base_Bruta!B1317,6,2)),VALUE(RIGHT(Base_Bruta!B1317,2))),DATE(VALUE(RIGHT(Base_Bruta!B1317,4)),VALUE(MID(Base_Bruta!B1317,4,2)),VALUE(LEFT(Base_Bruta!B1317,2))))))</f>
        <v>46043</v>
      </c>
      <c r="C1317" s="5" t="n">
        <f aca="false">IF($A1317="","",IF(ISNUMBER(Base_Bruta!C1317),Base_Bruta!C1317,IF(MID(Base_Bruta!C1317,5,1)="-",DATE(VALUE(LEFT(Base_Bruta!C1317,4)),VALUE(MID(Base_Bruta!C1317,6,2)),VALUE(RIGHT(Base_Bruta!C1317,2))),DATE(VALUE(RIGHT(Base_Bruta!C1317,4)),VALUE(MID(Base_Bruta!C1317,4,2)),VALUE(LEFT(Base_Bruta!C1317,2))))))</f>
        <v>46046</v>
      </c>
      <c r="D1317" s="4" t="str">
        <f aca="false">IF($A1317="","",TRIM(Base_Bruta!D1317))</f>
        <v>Rio Beat Festival 2026</v>
      </c>
      <c r="E1317" s="4" t="str">
        <f aca="false">IF($A1317="","",_xlfn.XLOOKUP(LOWER(TRIM(Base_Bruta!E1317)),DePara_Categoria!$A$2:$A$9,DePara_Categoria!$B$2:$B$9,"REVISAR"))</f>
        <v>Festival</v>
      </c>
      <c r="F1317" s="4" t="str">
        <f aca="false">IF($A1317="","",_xlfn.XLOOKUP(LOWER(TRIM(Base_Bruta!F1317)),DePara_Cidade!$A$2:$A$29,DePara_Cidade!$B$2:$B$29,"REVISAR"))</f>
        <v>Rio de Janeiro</v>
      </c>
      <c r="G1317" s="4" t="str">
        <f aca="false">IF($A1317="","",TRIM(Base_Bruta!G1317))</f>
        <v>Inteira</v>
      </c>
      <c r="H1317" s="4" t="n">
        <f aca="false">IF($A1317="","",IF(ISNUMBER(Base_Bruta!H1317),Base_Bruta!H1317,IFERROR(_xlfn.NUMBERVALUE(TRIM(SUBSTITUTE(Base_Bruta!H1317,"R$","")),",","."),0)))</f>
        <v>1</v>
      </c>
      <c r="I1317" s="6" t="n">
        <f aca="false">IF($A1317="","",IF(ISNUMBER(Base_Bruta!I1317),Base_Bruta!I1317,IFERROR(_xlfn.NUMBERVALUE(TRIM(SUBSTITUTE(Base_Bruta!I1317,"R$","")),",","."),0)))</f>
        <v>990</v>
      </c>
      <c r="J1317" s="6" t="n">
        <f aca="false">IF($A1317="","",H1317*I1317)</f>
        <v>990</v>
      </c>
      <c r="K1317" s="4" t="str">
        <f aca="false">IF($A1317="","",TRIM(Base_Bruta!J1317))</f>
        <v>App</v>
      </c>
      <c r="L1317" s="4" t="str">
        <f aca="false">IF($A1317="","",TRIM(Base_Bruta!K1317))</f>
        <v>C02013</v>
      </c>
      <c r="M1317" s="4" t="str">
        <f aca="false">IF($A1317="","",_xlfn.XLOOKUP(LOWER(TRIM(Base_Bruta!L1317)),DePara_Cidade!$A$2:$A$29,DePara_Cidade!$B$2:$B$29,"REVISAR"))</f>
        <v>Rio de Janeiro</v>
      </c>
      <c r="N1317" s="4" t="str">
        <f aca="false">IF($A1317="","",UPPER(TRIM(Base_Bruta!M1317)))</f>
        <v>RJ</v>
      </c>
      <c r="O1317" s="4" t="str">
        <f aca="false">IF($A1317="","",_xlfn.XLOOKUP(LOWER(TRIM(Base_Bruta!N1317)),DePara_Pais!$A$2:$A$9,DePara_Pais!$B$2:$B$9,"REVISAR"))</f>
        <v>Brasil</v>
      </c>
      <c r="P1317" s="4" t="str">
        <f aca="false">IF($A1317="","",IF(O1317&lt;&gt;"Brasil","Turista Internacional",IF(M1317=F1317,"Local","Turista Nacional")))</f>
        <v>Local</v>
      </c>
      <c r="Q1317" s="7" t="n">
        <f aca="false">IF($A1317="","",DATE(YEAR(B1317),MONTH(B1317),1))</f>
        <v>46023</v>
      </c>
      <c r="R1317" s="4" t="str">
        <f aca="false">IF($A1317="","",IF(COUNTIF($A$2:$A1317,$A1317)&gt;1,"Sim","Não"))</f>
        <v>Não</v>
      </c>
      <c r="S1317" s="4" t="str">
        <f aca="false">IF(A1317="","Descartar - Linha vazia",IF(R1317="Sim","Descartar - Duplicado",IF(OR(H1317&lt;=0,I1317&lt;=0),"Descartar - Qtd/Valor inválido","OK")))</f>
        <v>OK</v>
      </c>
      <c r="T1317" s="4" t="str">
        <f aca="false">Base_Bruta!P1317</f>
        <v>vendas_RJ.xlsx</v>
      </c>
    </row>
    <row r="1318" customFormat="false" ht="15" hidden="false" customHeight="false" outlineLevel="0" collapsed="false">
      <c r="A1318" s="4" t="str">
        <f aca="false">IF(Base_Bruta!A1318="","",Base_Bruta!A1318)</f>
        <v>RJ-000120</v>
      </c>
      <c r="B1318" s="5" t="n">
        <f aca="false">IF($A1318="","",IF(ISNUMBER(Base_Bruta!B1318),Base_Bruta!B1318,IF(MID(Base_Bruta!B1318,5,1)="-",DATE(VALUE(LEFT(Base_Bruta!B1318,4)),VALUE(MID(Base_Bruta!B1318,6,2)),VALUE(RIGHT(Base_Bruta!B1318,2))),DATE(VALUE(RIGHT(Base_Bruta!B1318,4)),VALUE(MID(Base_Bruta!B1318,4,2)),VALUE(LEFT(Base_Bruta!B1318,2))))))</f>
        <v>46043</v>
      </c>
      <c r="C1318" s="5" t="n">
        <f aca="false">IF($A1318="","",IF(ISNUMBER(Base_Bruta!C1318),Base_Bruta!C1318,IF(MID(Base_Bruta!C1318,5,1)="-",DATE(VALUE(LEFT(Base_Bruta!C1318,4)),VALUE(MID(Base_Bruta!C1318,6,2)),VALUE(RIGHT(Base_Bruta!C1318,2))),DATE(VALUE(RIGHT(Base_Bruta!C1318,4)),VALUE(MID(Base_Bruta!C1318,4,2)),VALUE(LEFT(Base_Bruta!C1318,2))))))</f>
        <v>46046</v>
      </c>
      <c r="D1318" s="4" t="str">
        <f aca="false">IF($A1318="","",TRIM(Base_Bruta!D1318))</f>
        <v>Rio Beat Festival 2026</v>
      </c>
      <c r="E1318" s="4" t="str">
        <f aca="false">IF($A1318="","",_xlfn.XLOOKUP(LOWER(TRIM(Base_Bruta!E1318)),DePara_Categoria!$A$2:$A$9,DePara_Categoria!$B$2:$B$9,"REVISAR"))</f>
        <v>Festival</v>
      </c>
      <c r="F1318" s="4" t="str">
        <f aca="false">IF($A1318="","",_xlfn.XLOOKUP(LOWER(TRIM(Base_Bruta!F1318)),DePara_Cidade!$A$2:$A$29,DePara_Cidade!$B$2:$B$29,"REVISAR"))</f>
        <v>Rio de Janeiro</v>
      </c>
      <c r="G1318" s="4" t="str">
        <f aca="false">IF($A1318="","",TRIM(Base_Bruta!G1318))</f>
        <v>Meia</v>
      </c>
      <c r="H1318" s="4" t="n">
        <f aca="false">IF($A1318="","",IF(ISNUMBER(Base_Bruta!H1318),Base_Bruta!H1318,IFERROR(_xlfn.NUMBERVALUE(TRIM(SUBSTITUTE(Base_Bruta!H1318,"R$","")),",","."),0)))</f>
        <v>1</v>
      </c>
      <c r="I1318" s="6" t="n">
        <f aca="false">IF($A1318="","",IF(ISNUMBER(Base_Bruta!I1318),Base_Bruta!I1318,IFERROR(_xlfn.NUMBERVALUE(TRIM(SUBSTITUTE(Base_Bruta!I1318,"R$","")),",","."),0)))</f>
        <v>407.5</v>
      </c>
      <c r="J1318" s="6" t="n">
        <f aca="false">IF($A1318="","",H1318*I1318)</f>
        <v>407.5</v>
      </c>
      <c r="K1318" s="4" t="str">
        <f aca="false">IF($A1318="","",TRIM(Base_Bruta!J1318))</f>
        <v>App</v>
      </c>
      <c r="L1318" s="4" t="str">
        <f aca="false">IF($A1318="","",TRIM(Base_Bruta!K1318))</f>
        <v>C00864</v>
      </c>
      <c r="M1318" s="4" t="str">
        <f aca="false">IF($A1318="","",_xlfn.XLOOKUP(LOWER(TRIM(Base_Bruta!L1318)),DePara_Cidade!$A$2:$A$29,DePara_Cidade!$B$2:$B$29,"REVISAR"))</f>
        <v>Rio de Janeiro</v>
      </c>
      <c r="N1318" s="4" t="str">
        <f aca="false">IF($A1318="","",UPPER(TRIM(Base_Bruta!M1318)))</f>
        <v>RJ</v>
      </c>
      <c r="O1318" s="4" t="str">
        <f aca="false">IF($A1318="","",_xlfn.XLOOKUP(LOWER(TRIM(Base_Bruta!N1318)),DePara_Pais!$A$2:$A$9,DePara_Pais!$B$2:$B$9,"REVISAR"))</f>
        <v>Brasil</v>
      </c>
      <c r="P1318" s="4" t="str">
        <f aca="false">IF($A1318="","",IF(O1318&lt;&gt;"Brasil","Turista Internacional",IF(M1318=F1318,"Local","Turista Nacional")))</f>
        <v>Local</v>
      </c>
      <c r="Q1318" s="7" t="n">
        <f aca="false">IF($A1318="","",DATE(YEAR(B1318),MONTH(B1318),1))</f>
        <v>46023</v>
      </c>
      <c r="R1318" s="4" t="str">
        <f aca="false">IF($A1318="","",IF(COUNTIF($A$2:$A1318,$A1318)&gt;1,"Sim","Não"))</f>
        <v>Não</v>
      </c>
      <c r="S1318" s="4" t="str">
        <f aca="false">IF(A1318="","Descartar - Linha vazia",IF(R1318="Sim","Descartar - Duplicado",IF(OR(H1318&lt;=0,I1318&lt;=0),"Descartar - Qtd/Valor inválido","OK")))</f>
        <v>OK</v>
      </c>
      <c r="T1318" s="4" t="str">
        <f aca="false">Base_Bruta!P1318</f>
        <v>vendas_RJ.xlsx</v>
      </c>
    </row>
    <row r="1319" customFormat="false" ht="15" hidden="false" customHeight="false" outlineLevel="0" collapsed="false">
      <c r="A1319" s="4" t="str">
        <f aca="false">IF(Base_Bruta!A1319="","",Base_Bruta!A1319)</f>
        <v>RJ-000147</v>
      </c>
      <c r="B1319" s="5" t="n">
        <f aca="false">IF($A1319="","",IF(ISNUMBER(Base_Bruta!B1319),Base_Bruta!B1319,IF(MID(Base_Bruta!B1319,5,1)="-",DATE(VALUE(LEFT(Base_Bruta!B1319,4)),VALUE(MID(Base_Bruta!B1319,6,2)),VALUE(RIGHT(Base_Bruta!B1319,2))),DATE(VALUE(RIGHT(Base_Bruta!B1319,4)),VALUE(MID(Base_Bruta!B1319,4,2)),VALUE(LEFT(Base_Bruta!B1319,2))))))</f>
        <v>46043</v>
      </c>
      <c r="C1319" s="5" t="n">
        <f aca="false">IF($A1319="","",IF(ISNUMBER(Base_Bruta!C1319),Base_Bruta!C1319,IF(MID(Base_Bruta!C1319,5,1)="-",DATE(VALUE(LEFT(Base_Bruta!C1319,4)),VALUE(MID(Base_Bruta!C1319,6,2)),VALUE(RIGHT(Base_Bruta!C1319,2))),DATE(VALUE(RIGHT(Base_Bruta!C1319,4)),VALUE(MID(Base_Bruta!C1319,4,2)),VALUE(LEFT(Base_Bruta!C1319,2))))))</f>
        <v>46046</v>
      </c>
      <c r="D1319" s="4" t="str">
        <f aca="false">IF($A1319="","",TRIM(Base_Bruta!D1319))</f>
        <v>Rio Beat Festival 2026</v>
      </c>
      <c r="E1319" s="4" t="str">
        <f aca="false">IF($A1319="","",_xlfn.XLOOKUP(LOWER(TRIM(Base_Bruta!E1319)),DePara_Categoria!$A$2:$A$9,DePara_Categoria!$B$2:$B$9,"REVISAR"))</f>
        <v>Festival</v>
      </c>
      <c r="F1319" s="4" t="str">
        <f aca="false">IF($A1319="","",_xlfn.XLOOKUP(LOWER(TRIM(Base_Bruta!F1319)),DePara_Cidade!$A$2:$A$29,DePara_Cidade!$B$2:$B$29,"REVISAR"))</f>
        <v>Rio de Janeiro</v>
      </c>
      <c r="G1319" s="4" t="str">
        <f aca="false">IF($A1319="","",TRIM(Base_Bruta!G1319))</f>
        <v>Inteira</v>
      </c>
      <c r="H1319" s="4" t="n">
        <f aca="false">IF($A1319="","",IF(ISNUMBER(Base_Bruta!H1319),Base_Bruta!H1319,IFERROR(_xlfn.NUMBERVALUE(TRIM(SUBSTITUTE(Base_Bruta!H1319,"R$","")),",","."),0)))</f>
        <v>1</v>
      </c>
      <c r="I1319" s="6" t="n">
        <f aca="false">IF($A1319="","",IF(ISNUMBER(Base_Bruta!I1319),Base_Bruta!I1319,IFERROR(_xlfn.NUMBERVALUE(TRIM(SUBSTITUTE(Base_Bruta!I1319,"R$","")),",","."),0)))</f>
        <v>1015</v>
      </c>
      <c r="J1319" s="6" t="n">
        <f aca="false">IF($A1319="","",H1319*I1319)</f>
        <v>1015</v>
      </c>
      <c r="K1319" s="4" t="str">
        <f aca="false">IF($A1319="","",TRIM(Base_Bruta!J1319))</f>
        <v>App</v>
      </c>
      <c r="L1319" s="4" t="str">
        <f aca="false">IF($A1319="","",TRIM(Base_Bruta!K1319))</f>
        <v>C01038</v>
      </c>
      <c r="M1319" s="4" t="str">
        <f aca="false">IF($A1319="","",_xlfn.XLOOKUP(LOWER(TRIM(Base_Bruta!L1319)),DePara_Cidade!$A$2:$A$29,DePara_Cidade!$B$2:$B$29,"REVISAR"))</f>
        <v>Rio de Janeiro</v>
      </c>
      <c r="N1319" s="4" t="str">
        <f aca="false">IF($A1319="","",UPPER(TRIM(Base_Bruta!M1319)))</f>
        <v>RJ</v>
      </c>
      <c r="O1319" s="4" t="str">
        <f aca="false">IF($A1319="","",_xlfn.XLOOKUP(LOWER(TRIM(Base_Bruta!N1319)),DePara_Pais!$A$2:$A$9,DePara_Pais!$B$2:$B$9,"REVISAR"))</f>
        <v>Brasil</v>
      </c>
      <c r="P1319" s="4" t="str">
        <f aca="false">IF($A1319="","",IF(O1319&lt;&gt;"Brasil","Turista Internacional",IF(M1319=F1319,"Local","Turista Nacional")))</f>
        <v>Local</v>
      </c>
      <c r="Q1319" s="7" t="n">
        <f aca="false">IF($A1319="","",DATE(YEAR(B1319),MONTH(B1319),1))</f>
        <v>46023</v>
      </c>
      <c r="R1319" s="4" t="str">
        <f aca="false">IF($A1319="","",IF(COUNTIF($A$2:$A1319,$A1319)&gt;1,"Sim","Não"))</f>
        <v>Não</v>
      </c>
      <c r="S1319" s="4" t="str">
        <f aca="false">IF(A1319="","Descartar - Linha vazia",IF(R1319="Sim","Descartar - Duplicado",IF(OR(H1319&lt;=0,I1319&lt;=0),"Descartar - Qtd/Valor inválido","OK")))</f>
        <v>OK</v>
      </c>
      <c r="T1319" s="4" t="str">
        <f aca="false">Base_Bruta!P1319</f>
        <v>vendas_RJ.xlsx</v>
      </c>
    </row>
    <row r="1320" customFormat="false" ht="15" hidden="false" customHeight="false" outlineLevel="0" collapsed="false">
      <c r="A1320" s="4" t="str">
        <f aca="false">IF(Base_Bruta!A1320="","",Base_Bruta!A1320)</f>
        <v>RJ-000163</v>
      </c>
      <c r="B1320" s="5" t="n">
        <f aca="false">IF($A1320="","",IF(ISNUMBER(Base_Bruta!B1320),Base_Bruta!B1320,IF(MID(Base_Bruta!B1320,5,1)="-",DATE(VALUE(LEFT(Base_Bruta!B1320,4)),VALUE(MID(Base_Bruta!B1320,6,2)),VALUE(RIGHT(Base_Bruta!B1320,2))),DATE(VALUE(RIGHT(Base_Bruta!B1320,4)),VALUE(MID(Base_Bruta!B1320,4,2)),VALUE(LEFT(Base_Bruta!B1320,2))))))</f>
        <v>46043</v>
      </c>
      <c r="C1320" s="5" t="n">
        <f aca="false">IF($A1320="","",IF(ISNUMBER(Base_Bruta!C1320),Base_Bruta!C1320,IF(MID(Base_Bruta!C1320,5,1)="-",DATE(VALUE(LEFT(Base_Bruta!C1320,4)),VALUE(MID(Base_Bruta!C1320,6,2)),VALUE(RIGHT(Base_Bruta!C1320,2))),DATE(VALUE(RIGHT(Base_Bruta!C1320,4)),VALUE(MID(Base_Bruta!C1320,4,2)),VALUE(LEFT(Base_Bruta!C1320,2))))))</f>
        <v>46046</v>
      </c>
      <c r="D1320" s="4" t="str">
        <f aca="false">IF($A1320="","",TRIM(Base_Bruta!D1320))</f>
        <v>Rio Beat Festival 2026</v>
      </c>
      <c r="E1320" s="4" t="str">
        <f aca="false">IF($A1320="","",_xlfn.XLOOKUP(LOWER(TRIM(Base_Bruta!E1320)),DePara_Categoria!$A$2:$A$9,DePara_Categoria!$B$2:$B$9,"REVISAR"))</f>
        <v>Festival</v>
      </c>
      <c r="F1320" s="4" t="str">
        <f aca="false">IF($A1320="","",_xlfn.XLOOKUP(LOWER(TRIM(Base_Bruta!F1320)),DePara_Cidade!$A$2:$A$29,DePara_Cidade!$B$2:$B$29,"REVISAR"))</f>
        <v>Rio de Janeiro</v>
      </c>
      <c r="G1320" s="4" t="str">
        <f aca="false">IF($A1320="","",TRIM(Base_Bruta!G1320))</f>
        <v>Inteira</v>
      </c>
      <c r="H1320" s="4" t="n">
        <f aca="false">IF($A1320="","",IF(ISNUMBER(Base_Bruta!H1320),Base_Bruta!H1320,IFERROR(_xlfn.NUMBERVALUE(TRIM(SUBSTITUTE(Base_Bruta!H1320,"R$","")),",","."),0)))</f>
        <v>1</v>
      </c>
      <c r="I1320" s="6" t="n">
        <f aca="false">IF($A1320="","",IF(ISNUMBER(Base_Bruta!I1320),Base_Bruta!I1320,IFERROR(_xlfn.NUMBERVALUE(TRIM(SUBSTITUTE(Base_Bruta!I1320,"R$","")),",","."),0)))</f>
        <v>1110</v>
      </c>
      <c r="J1320" s="6" t="n">
        <f aca="false">IF($A1320="","",H1320*I1320)</f>
        <v>1110</v>
      </c>
      <c r="K1320" s="4" t="str">
        <f aca="false">IF($A1320="","",TRIM(Base_Bruta!J1320))</f>
        <v>App</v>
      </c>
      <c r="L1320" s="4" t="str">
        <f aca="false">IF($A1320="","",TRIM(Base_Bruta!K1320))</f>
        <v>C01563</v>
      </c>
      <c r="M1320" s="4" t="str">
        <f aca="false">IF($A1320="","",_xlfn.XLOOKUP(LOWER(TRIM(Base_Bruta!L1320)),DePara_Cidade!$A$2:$A$29,DePara_Cidade!$B$2:$B$29,"REVISAR"))</f>
        <v>Niterói</v>
      </c>
      <c r="N1320" s="4" t="str">
        <f aca="false">IF($A1320="","",UPPER(TRIM(Base_Bruta!M1320)))</f>
        <v>RJ</v>
      </c>
      <c r="O1320" s="4" t="str">
        <f aca="false">IF($A1320="","",_xlfn.XLOOKUP(LOWER(TRIM(Base_Bruta!N1320)),DePara_Pais!$A$2:$A$9,DePara_Pais!$B$2:$B$9,"REVISAR"))</f>
        <v>Brasil</v>
      </c>
      <c r="P1320" s="4" t="str">
        <f aca="false">IF($A1320="","",IF(O1320&lt;&gt;"Brasil","Turista Internacional",IF(M1320=F1320,"Local","Turista Nacional")))</f>
        <v>Turista Nacional</v>
      </c>
      <c r="Q1320" s="7" t="n">
        <f aca="false">IF($A1320="","",DATE(YEAR(B1320),MONTH(B1320),1))</f>
        <v>46023</v>
      </c>
      <c r="R1320" s="4" t="str">
        <f aca="false">IF($A1320="","",IF(COUNTIF($A$2:$A1320,$A1320)&gt;1,"Sim","Não"))</f>
        <v>Não</v>
      </c>
      <c r="S1320" s="4" t="str">
        <f aca="false">IF(A1320="","Descartar - Linha vazia",IF(R1320="Sim","Descartar - Duplicado",IF(OR(H1320&lt;=0,I1320&lt;=0),"Descartar - Qtd/Valor inválido","OK")))</f>
        <v>OK</v>
      </c>
      <c r="T1320" s="4" t="str">
        <f aca="false">Base_Bruta!P1320</f>
        <v>vendas_RJ.xlsx</v>
      </c>
    </row>
    <row r="1321" customFormat="false" ht="15" hidden="false" customHeight="false" outlineLevel="0" collapsed="false">
      <c r="A1321" s="4" t="str">
        <f aca="false">IF(Base_Bruta!A1321="","",Base_Bruta!A1321)</f>
        <v>RJ-000394</v>
      </c>
      <c r="B1321" s="5" t="n">
        <f aca="false">IF($A1321="","",IF(ISNUMBER(Base_Bruta!B1321),Base_Bruta!B1321,IF(MID(Base_Bruta!B1321,5,1)="-",DATE(VALUE(LEFT(Base_Bruta!B1321,4)),VALUE(MID(Base_Bruta!B1321,6,2)),VALUE(RIGHT(Base_Bruta!B1321,2))),DATE(VALUE(RIGHT(Base_Bruta!B1321,4)),VALUE(MID(Base_Bruta!B1321,4,2)),VALUE(LEFT(Base_Bruta!B1321,2))))))</f>
        <v>46043</v>
      </c>
      <c r="C1321" s="5" t="n">
        <f aca="false">IF($A1321="","",IF(ISNUMBER(Base_Bruta!C1321),Base_Bruta!C1321,IF(MID(Base_Bruta!C1321,5,1)="-",DATE(VALUE(LEFT(Base_Bruta!C1321,4)),VALUE(MID(Base_Bruta!C1321,6,2)),VALUE(RIGHT(Base_Bruta!C1321,2))),DATE(VALUE(RIGHT(Base_Bruta!C1321,4)),VALUE(MID(Base_Bruta!C1321,4,2)),VALUE(LEFT(Base_Bruta!C1321,2))))))</f>
        <v>46151</v>
      </c>
      <c r="D1321" s="4" t="str">
        <f aca="false">IF($A1321="","",TRIM(Base_Bruta!D1321))</f>
        <v>Turnê Internacional Rock - Rio</v>
      </c>
      <c r="E1321" s="4" t="str">
        <f aca="false">IF($A1321="","",_xlfn.XLOOKUP(LOWER(TRIM(Base_Bruta!E1321)),DePara_Categoria!$A$2:$A$9,DePara_Categoria!$B$2:$B$9,"REVISAR"))</f>
        <v>Show</v>
      </c>
      <c r="F1321" s="4" t="str">
        <f aca="false">IF($A1321="","",_xlfn.XLOOKUP(LOWER(TRIM(Base_Bruta!F1321)),DePara_Cidade!$A$2:$A$29,DePara_Cidade!$B$2:$B$29,"REVISAR"))</f>
        <v>Rio de Janeiro</v>
      </c>
      <c r="G1321" s="4" t="str">
        <f aca="false">IF($A1321="","",TRIM(Base_Bruta!G1321))</f>
        <v>Inteira</v>
      </c>
      <c r="H1321" s="4" t="n">
        <f aca="false">IF($A1321="","",IF(ISNUMBER(Base_Bruta!H1321),Base_Bruta!H1321,IFERROR(_xlfn.NUMBERVALUE(TRIM(SUBSTITUTE(Base_Bruta!H1321,"R$","")),",","."),0)))</f>
        <v>2</v>
      </c>
      <c r="I1321" s="6" t="n">
        <f aca="false">IF($A1321="","",IF(ISNUMBER(Base_Bruta!I1321),Base_Bruta!I1321,IFERROR(_xlfn.NUMBERVALUE(TRIM(SUBSTITUTE(Base_Bruta!I1321,"R$","")),",","."),0)))</f>
        <v>460</v>
      </c>
      <c r="J1321" s="6" t="n">
        <f aca="false">IF($A1321="","",H1321*I1321)</f>
        <v>920</v>
      </c>
      <c r="K1321" s="4" t="str">
        <f aca="false">IF($A1321="","",TRIM(Base_Bruta!J1321))</f>
        <v>Site</v>
      </c>
      <c r="L1321" s="4" t="str">
        <f aca="false">IF($A1321="","",TRIM(Base_Bruta!K1321))</f>
        <v>C01966</v>
      </c>
      <c r="M1321" s="4" t="str">
        <f aca="false">IF($A1321="","",_xlfn.XLOOKUP(LOWER(TRIM(Base_Bruta!L1321)),DePara_Cidade!$A$2:$A$29,DePara_Cidade!$B$2:$B$29,"REVISAR"))</f>
        <v>Belo Horizonte</v>
      </c>
      <c r="N1321" s="4" t="str">
        <f aca="false">IF($A1321="","",UPPER(TRIM(Base_Bruta!M1321)))</f>
        <v>MG</v>
      </c>
      <c r="O1321" s="4" t="str">
        <f aca="false">IF($A1321="","",_xlfn.XLOOKUP(LOWER(TRIM(Base_Bruta!N1321)),DePara_Pais!$A$2:$A$9,DePara_Pais!$B$2:$B$9,"REVISAR"))</f>
        <v>Brasil</v>
      </c>
      <c r="P1321" s="4" t="str">
        <f aca="false">IF($A1321="","",IF(O1321&lt;&gt;"Brasil","Turista Internacional",IF(M1321=F1321,"Local","Turista Nacional")))</f>
        <v>Turista Nacional</v>
      </c>
      <c r="Q1321" s="7" t="n">
        <f aca="false">IF($A1321="","",DATE(YEAR(B1321),MONTH(B1321),1))</f>
        <v>46023</v>
      </c>
      <c r="R1321" s="4" t="str">
        <f aca="false">IF($A1321="","",IF(COUNTIF($A$2:$A1321,$A1321)&gt;1,"Sim","Não"))</f>
        <v>Não</v>
      </c>
      <c r="S1321" s="4" t="str">
        <f aca="false">IF(A1321="","Descartar - Linha vazia",IF(R1321="Sim","Descartar - Duplicado",IF(OR(H1321&lt;=0,I1321&lt;=0),"Descartar - Qtd/Valor inválido","OK")))</f>
        <v>OK</v>
      </c>
      <c r="T1321" s="4" t="str">
        <f aca="false">Base_Bruta!P1321</f>
        <v>vendas_RJ.xlsx</v>
      </c>
    </row>
    <row r="1322" customFormat="false" ht="15" hidden="false" customHeight="false" outlineLevel="0" collapsed="false">
      <c r="A1322" s="4" t="str">
        <f aca="false">IF(Base_Bruta!A1322="","",Base_Bruta!A1322)</f>
        <v>RJ-000399</v>
      </c>
      <c r="B1322" s="5" t="n">
        <f aca="false">IF($A1322="","",IF(ISNUMBER(Base_Bruta!B1322),Base_Bruta!B1322,IF(MID(Base_Bruta!B1322,5,1)="-",DATE(VALUE(LEFT(Base_Bruta!B1322,4)),VALUE(MID(Base_Bruta!B1322,6,2)),VALUE(RIGHT(Base_Bruta!B1322,2))),DATE(VALUE(RIGHT(Base_Bruta!B1322,4)),VALUE(MID(Base_Bruta!B1322,4,2)),VALUE(LEFT(Base_Bruta!B1322,2))))))</f>
        <v>46043</v>
      </c>
      <c r="C1322" s="5" t="n">
        <f aca="false">IF($A1322="","",IF(ISNUMBER(Base_Bruta!C1322),Base_Bruta!C1322,IF(MID(Base_Bruta!C1322,5,1)="-",DATE(VALUE(LEFT(Base_Bruta!C1322,4)),VALUE(MID(Base_Bruta!C1322,6,2)),VALUE(RIGHT(Base_Bruta!C1322,2))),DATE(VALUE(RIGHT(Base_Bruta!C1322,4)),VALUE(MID(Base_Bruta!C1322,4,2)),VALUE(LEFT(Base_Bruta!C1322,2))))))</f>
        <v>46151</v>
      </c>
      <c r="D1322" s="4" t="str">
        <f aca="false">IF($A1322="","",TRIM(Base_Bruta!D1322))</f>
        <v>Turnê Internacional Rock - Rio</v>
      </c>
      <c r="E1322" s="4" t="str">
        <f aca="false">IF($A1322="","",_xlfn.XLOOKUP(LOWER(TRIM(Base_Bruta!E1322)),DePara_Categoria!$A$2:$A$9,DePara_Categoria!$B$2:$B$9,"REVISAR"))</f>
        <v>Show</v>
      </c>
      <c r="F1322" s="4" t="str">
        <f aca="false">IF($A1322="","",_xlfn.XLOOKUP(LOWER(TRIM(Base_Bruta!F1322)),DePara_Cidade!$A$2:$A$29,DePara_Cidade!$B$2:$B$29,"REVISAR"))</f>
        <v>Rio de Janeiro</v>
      </c>
      <c r="G1322" s="4" t="str">
        <f aca="false">IF($A1322="","",TRIM(Base_Bruta!G1322))</f>
        <v>Meia</v>
      </c>
      <c r="H1322" s="4" t="n">
        <f aca="false">IF($A1322="","",IF(ISNUMBER(Base_Bruta!H1322),Base_Bruta!H1322,IFERROR(_xlfn.NUMBERVALUE(TRIM(SUBSTITUTE(Base_Bruta!H1322,"R$","")),",","."),0)))</f>
        <v>2</v>
      </c>
      <c r="I1322" s="6" t="n">
        <f aca="false">IF($A1322="","",IF(ISNUMBER(Base_Bruta!I1322),Base_Bruta!I1322,IFERROR(_xlfn.NUMBERVALUE(TRIM(SUBSTITUTE(Base_Bruta!I1322,"R$","")),",","."),0)))</f>
        <v>180</v>
      </c>
      <c r="J1322" s="6" t="n">
        <f aca="false">IF($A1322="","",H1322*I1322)</f>
        <v>360</v>
      </c>
      <c r="K1322" s="4" t="str">
        <f aca="false">IF($A1322="","",TRIM(Base_Bruta!J1322))</f>
        <v>App</v>
      </c>
      <c r="L1322" s="4" t="str">
        <f aca="false">IF($A1322="","",TRIM(Base_Bruta!K1322))</f>
        <v>C01647</v>
      </c>
      <c r="M1322" s="4" t="str">
        <f aca="false">IF($A1322="","",_xlfn.XLOOKUP(LOWER(TRIM(Base_Bruta!L1322)),DePara_Cidade!$A$2:$A$29,DePara_Cidade!$B$2:$B$29,"REVISAR"))</f>
        <v>Rio de Janeiro</v>
      </c>
      <c r="N1322" s="4" t="str">
        <f aca="false">IF($A1322="","",UPPER(TRIM(Base_Bruta!M1322)))</f>
        <v>RJ</v>
      </c>
      <c r="O1322" s="4" t="str">
        <f aca="false">IF($A1322="","",_xlfn.XLOOKUP(LOWER(TRIM(Base_Bruta!N1322)),DePara_Pais!$A$2:$A$9,DePara_Pais!$B$2:$B$9,"REVISAR"))</f>
        <v>Brasil</v>
      </c>
      <c r="P1322" s="4" t="str">
        <f aca="false">IF($A1322="","",IF(O1322&lt;&gt;"Brasil","Turista Internacional",IF(M1322=F1322,"Local","Turista Nacional")))</f>
        <v>Local</v>
      </c>
      <c r="Q1322" s="7" t="n">
        <f aca="false">IF($A1322="","",DATE(YEAR(B1322),MONTH(B1322),1))</f>
        <v>46023</v>
      </c>
      <c r="R1322" s="4" t="str">
        <f aca="false">IF($A1322="","",IF(COUNTIF($A$2:$A1322,$A1322)&gt;1,"Sim","Não"))</f>
        <v>Não</v>
      </c>
      <c r="S1322" s="4" t="str">
        <f aca="false">IF(A1322="","Descartar - Linha vazia",IF(R1322="Sim","Descartar - Duplicado",IF(OR(H1322&lt;=0,I1322&lt;=0),"Descartar - Qtd/Valor inválido","OK")))</f>
        <v>OK</v>
      </c>
      <c r="T1322" s="4" t="str">
        <f aca="false">Base_Bruta!P1322</f>
        <v>vendas_RJ.xlsx</v>
      </c>
    </row>
    <row r="1323" customFormat="false" ht="15" hidden="false" customHeight="false" outlineLevel="0" collapsed="false">
      <c r="A1323" s="4" t="str">
        <f aca="false">IF(Base_Bruta!A1323="","",Base_Bruta!A1323)</f>
        <v>RJ-000409</v>
      </c>
      <c r="B1323" s="5" t="n">
        <f aca="false">IF($A1323="","",IF(ISNUMBER(Base_Bruta!B1323),Base_Bruta!B1323,IF(MID(Base_Bruta!B1323,5,1)="-",DATE(VALUE(LEFT(Base_Bruta!B1323,4)),VALUE(MID(Base_Bruta!B1323,6,2)),VALUE(RIGHT(Base_Bruta!B1323,2))),DATE(VALUE(RIGHT(Base_Bruta!B1323,4)),VALUE(MID(Base_Bruta!B1323,4,2)),VALUE(LEFT(Base_Bruta!B1323,2))))))</f>
        <v>46043</v>
      </c>
      <c r="C1323" s="5" t="n">
        <f aca="false">IF($A1323="","",IF(ISNUMBER(Base_Bruta!C1323),Base_Bruta!C1323,IF(MID(Base_Bruta!C1323,5,1)="-",DATE(VALUE(LEFT(Base_Bruta!C1323,4)),VALUE(MID(Base_Bruta!C1323,6,2)),VALUE(RIGHT(Base_Bruta!C1323,2))),DATE(VALUE(RIGHT(Base_Bruta!C1323,4)),VALUE(MID(Base_Bruta!C1323,4,2)),VALUE(LEFT(Base_Bruta!C1323,2))))))</f>
        <v>46151</v>
      </c>
      <c r="D1323" s="4" t="str">
        <f aca="false">IF($A1323="","",TRIM(Base_Bruta!D1323))</f>
        <v>Turnê Internacional Rock - Rio</v>
      </c>
      <c r="E1323" s="4" t="str">
        <f aca="false">IF($A1323="","",_xlfn.XLOOKUP(LOWER(TRIM(Base_Bruta!E1323)),DePara_Categoria!$A$2:$A$9,DePara_Categoria!$B$2:$B$9,"REVISAR"))</f>
        <v>Show</v>
      </c>
      <c r="F1323" s="4" t="str">
        <f aca="false">IF($A1323="","",_xlfn.XLOOKUP(LOWER(TRIM(Base_Bruta!F1323)),DePara_Cidade!$A$2:$A$29,DePara_Cidade!$B$2:$B$29,"REVISAR"))</f>
        <v>Rio de Janeiro</v>
      </c>
      <c r="G1323" s="4" t="str">
        <f aca="false">IF($A1323="","",TRIM(Base_Bruta!G1323))</f>
        <v>Meia</v>
      </c>
      <c r="H1323" s="4" t="n">
        <f aca="false">IF($A1323="","",IF(ISNUMBER(Base_Bruta!H1323),Base_Bruta!H1323,IFERROR(_xlfn.NUMBERVALUE(TRIM(SUBSTITUTE(Base_Bruta!H1323,"R$","")),",","."),0)))</f>
        <v>2</v>
      </c>
      <c r="I1323" s="6" t="n">
        <f aca="false">IF($A1323="","",IF(ISNUMBER(Base_Bruta!I1323),Base_Bruta!I1323,IFERROR(_xlfn.NUMBERVALUE(TRIM(SUBSTITUTE(Base_Bruta!I1323,"R$","")),",","."),0)))</f>
        <v>282.5</v>
      </c>
      <c r="J1323" s="6" t="n">
        <f aca="false">IF($A1323="","",H1323*I1323)</f>
        <v>565</v>
      </c>
      <c r="K1323" s="4" t="str">
        <f aca="false">IF($A1323="","",TRIM(Base_Bruta!J1323))</f>
        <v>App</v>
      </c>
      <c r="L1323" s="4" t="str">
        <f aca="false">IF($A1323="","",TRIM(Base_Bruta!K1323))</f>
        <v>C00660</v>
      </c>
      <c r="M1323" s="4" t="str">
        <f aca="false">IF($A1323="","",_xlfn.XLOOKUP(LOWER(TRIM(Base_Bruta!L1323)),DePara_Cidade!$A$2:$A$29,DePara_Cidade!$B$2:$B$29,"REVISAR"))</f>
        <v>Goiânia</v>
      </c>
      <c r="N1323" s="4" t="str">
        <f aca="false">IF($A1323="","",UPPER(TRIM(Base_Bruta!M1323)))</f>
        <v>GO</v>
      </c>
      <c r="O1323" s="4" t="str">
        <f aca="false">IF($A1323="","",_xlfn.XLOOKUP(LOWER(TRIM(Base_Bruta!N1323)),DePara_Pais!$A$2:$A$9,DePara_Pais!$B$2:$B$9,"REVISAR"))</f>
        <v>Brasil</v>
      </c>
      <c r="P1323" s="4" t="str">
        <f aca="false">IF($A1323="","",IF(O1323&lt;&gt;"Brasil","Turista Internacional",IF(M1323=F1323,"Local","Turista Nacional")))</f>
        <v>Turista Nacional</v>
      </c>
      <c r="Q1323" s="7" t="n">
        <f aca="false">IF($A1323="","",DATE(YEAR(B1323),MONTH(B1323),1))</f>
        <v>46023</v>
      </c>
      <c r="R1323" s="4" t="str">
        <f aca="false">IF($A1323="","",IF(COUNTIF($A$2:$A1323,$A1323)&gt;1,"Sim","Não"))</f>
        <v>Não</v>
      </c>
      <c r="S1323" s="4" t="str">
        <f aca="false">IF(A1323="","Descartar - Linha vazia",IF(R1323="Sim","Descartar - Duplicado",IF(OR(H1323&lt;=0,I1323&lt;=0),"Descartar - Qtd/Valor inválido","OK")))</f>
        <v>OK</v>
      </c>
      <c r="T1323" s="4" t="str">
        <f aca="false">Base_Bruta!P1323</f>
        <v>vendas_RJ.xlsx</v>
      </c>
    </row>
    <row r="1324" customFormat="false" ht="15" hidden="false" customHeight="false" outlineLevel="0" collapsed="false">
      <c r="A1324" s="4" t="str">
        <f aca="false">IF(Base_Bruta!A1324="","",Base_Bruta!A1324)</f>
        <v>RJ-000506</v>
      </c>
      <c r="B1324" s="5" t="n">
        <f aca="false">IF($A1324="","",IF(ISNUMBER(Base_Bruta!B1324),Base_Bruta!B1324,IF(MID(Base_Bruta!B1324,5,1)="-",DATE(VALUE(LEFT(Base_Bruta!B1324,4)),VALUE(MID(Base_Bruta!B1324,6,2)),VALUE(RIGHT(Base_Bruta!B1324,2))),DATE(VALUE(RIGHT(Base_Bruta!B1324,4)),VALUE(MID(Base_Bruta!B1324,4,2)),VALUE(LEFT(Base_Bruta!B1324,2))))))</f>
        <v>46043</v>
      </c>
      <c r="C1324" s="5" t="n">
        <f aca="false">IF($A1324="","",IF(ISNUMBER(Base_Bruta!C1324),Base_Bruta!C1324,IF(MID(Base_Bruta!C1324,5,1)="-",DATE(VALUE(LEFT(Base_Bruta!C1324,4)),VALUE(MID(Base_Bruta!C1324,6,2)),VALUE(RIGHT(Base_Bruta!C1324,2))),DATE(VALUE(RIGHT(Base_Bruta!C1324,4)),VALUE(MID(Base_Bruta!C1324,4,2)),VALUE(LEFT(Base_Bruta!C1324,2))))))</f>
        <v>46151</v>
      </c>
      <c r="D1324" s="4" t="str">
        <f aca="false">IF($A1324="","",TRIM(Base_Bruta!D1324))</f>
        <v>Turnê Internacional Rock - Rio</v>
      </c>
      <c r="E1324" s="4" t="str">
        <f aca="false">IF($A1324="","",_xlfn.XLOOKUP(LOWER(TRIM(Base_Bruta!E1324)),DePara_Categoria!$A$2:$A$9,DePara_Categoria!$B$2:$B$9,"REVISAR"))</f>
        <v>Show</v>
      </c>
      <c r="F1324" s="4" t="str">
        <f aca="false">IF($A1324="","",_xlfn.XLOOKUP(LOWER(TRIM(Base_Bruta!F1324)),DePara_Cidade!$A$2:$A$29,DePara_Cidade!$B$2:$B$29,"REVISAR"))</f>
        <v>Rio de Janeiro</v>
      </c>
      <c r="G1324" s="4" t="str">
        <f aca="false">IF($A1324="","",TRIM(Base_Bruta!G1324))</f>
        <v>Inteira</v>
      </c>
      <c r="H1324" s="4" t="n">
        <f aca="false">IF($A1324="","",IF(ISNUMBER(Base_Bruta!H1324),Base_Bruta!H1324,IFERROR(_xlfn.NUMBERVALUE(TRIM(SUBSTITUTE(Base_Bruta!H1324,"R$","")),",","."),0)))</f>
        <v>1</v>
      </c>
      <c r="I1324" s="6" t="n">
        <f aca="false">IF($A1324="","",IF(ISNUMBER(Base_Bruta!I1324),Base_Bruta!I1324,IFERROR(_xlfn.NUMBERVALUE(TRIM(SUBSTITUTE(Base_Bruta!I1324,"R$","")),",","."),0)))</f>
        <v>535</v>
      </c>
      <c r="J1324" s="6" t="n">
        <f aca="false">IF($A1324="","",H1324*I1324)</f>
        <v>535</v>
      </c>
      <c r="K1324" s="4" t="str">
        <f aca="false">IF($A1324="","",TRIM(Base_Bruta!J1324))</f>
        <v>Site</v>
      </c>
      <c r="L1324" s="4" t="str">
        <f aca="false">IF($A1324="","",TRIM(Base_Bruta!K1324))</f>
        <v>C01735</v>
      </c>
      <c r="M1324" s="4" t="str">
        <f aca="false">IF($A1324="","",_xlfn.XLOOKUP(LOWER(TRIM(Base_Bruta!L1324)),DePara_Cidade!$A$2:$A$29,DePara_Cidade!$B$2:$B$29,"REVISAR"))</f>
        <v>Rio de Janeiro</v>
      </c>
      <c r="N1324" s="4" t="str">
        <f aca="false">IF($A1324="","",UPPER(TRIM(Base_Bruta!M1324)))</f>
        <v>RJ</v>
      </c>
      <c r="O1324" s="4" t="str">
        <f aca="false">IF($A1324="","",_xlfn.XLOOKUP(LOWER(TRIM(Base_Bruta!N1324)),DePara_Pais!$A$2:$A$9,DePara_Pais!$B$2:$B$9,"REVISAR"))</f>
        <v>Brasil</v>
      </c>
      <c r="P1324" s="4" t="str">
        <f aca="false">IF($A1324="","",IF(O1324&lt;&gt;"Brasil","Turista Internacional",IF(M1324=F1324,"Local","Turista Nacional")))</f>
        <v>Local</v>
      </c>
      <c r="Q1324" s="7" t="n">
        <f aca="false">IF($A1324="","",DATE(YEAR(B1324),MONTH(B1324),1))</f>
        <v>46023</v>
      </c>
      <c r="R1324" s="4" t="str">
        <f aca="false">IF($A1324="","",IF(COUNTIF($A$2:$A1324,$A1324)&gt;1,"Sim","Não"))</f>
        <v>Não</v>
      </c>
      <c r="S1324" s="4" t="str">
        <f aca="false">IF(A1324="","Descartar - Linha vazia",IF(R1324="Sim","Descartar - Duplicado",IF(OR(H1324&lt;=0,I1324&lt;=0),"Descartar - Qtd/Valor inválido","OK")))</f>
        <v>OK</v>
      </c>
      <c r="T1324" s="4" t="str">
        <f aca="false">Base_Bruta!P1324</f>
        <v>vendas_RJ.xlsx</v>
      </c>
    </row>
    <row r="1325" customFormat="false" ht="15" hidden="false" customHeight="false" outlineLevel="0" collapsed="false">
      <c r="A1325" s="4" t="str">
        <f aca="false">IF(Base_Bruta!A1325="","",Base_Bruta!A1325)</f>
        <v>RJ-000519</v>
      </c>
      <c r="B1325" s="5" t="n">
        <f aca="false">IF($A1325="","",IF(ISNUMBER(Base_Bruta!B1325),Base_Bruta!B1325,IF(MID(Base_Bruta!B1325,5,1)="-",DATE(VALUE(LEFT(Base_Bruta!B1325,4)),VALUE(MID(Base_Bruta!B1325,6,2)),VALUE(RIGHT(Base_Bruta!B1325,2))),DATE(VALUE(RIGHT(Base_Bruta!B1325,4)),VALUE(MID(Base_Bruta!B1325,4,2)),VALUE(LEFT(Base_Bruta!B1325,2))))))</f>
        <v>46043</v>
      </c>
      <c r="C1325" s="5" t="n">
        <f aca="false">IF($A1325="","",IF(ISNUMBER(Base_Bruta!C1325),Base_Bruta!C1325,IF(MID(Base_Bruta!C1325,5,1)="-",DATE(VALUE(LEFT(Base_Bruta!C1325,4)),VALUE(MID(Base_Bruta!C1325,6,2)),VALUE(RIGHT(Base_Bruta!C1325,2))),DATE(VALUE(RIGHT(Base_Bruta!C1325,4)),VALUE(MID(Base_Bruta!C1325,4,2)),VALUE(LEFT(Base_Bruta!C1325,2))))))</f>
        <v>46151</v>
      </c>
      <c r="D1325" s="4" t="str">
        <f aca="false">IF($A1325="","",TRIM(Base_Bruta!D1325))</f>
        <v>Turnê Internacional Rock - Rio</v>
      </c>
      <c r="E1325" s="4" t="str">
        <f aca="false">IF($A1325="","",_xlfn.XLOOKUP(LOWER(TRIM(Base_Bruta!E1325)),DePara_Categoria!$A$2:$A$9,DePara_Categoria!$B$2:$B$9,"REVISAR"))</f>
        <v>Show</v>
      </c>
      <c r="F1325" s="4" t="str">
        <f aca="false">IF($A1325="","",_xlfn.XLOOKUP(LOWER(TRIM(Base_Bruta!F1325)),DePara_Cidade!$A$2:$A$29,DePara_Cidade!$B$2:$B$29,"REVISAR"))</f>
        <v>Rio de Janeiro</v>
      </c>
      <c r="G1325" s="4" t="str">
        <f aca="false">IF($A1325="","",TRIM(Base_Bruta!G1325))</f>
        <v>Meia</v>
      </c>
      <c r="H1325" s="4" t="n">
        <f aca="false">IF($A1325="","",IF(ISNUMBER(Base_Bruta!H1325),Base_Bruta!H1325,IFERROR(_xlfn.NUMBERVALUE(TRIM(SUBSTITUTE(Base_Bruta!H1325,"R$","")),",","."),0)))</f>
        <v>1</v>
      </c>
      <c r="I1325" s="6" t="n">
        <f aca="false">IF($A1325="","",IF(ISNUMBER(Base_Bruta!I1325),Base_Bruta!I1325,IFERROR(_xlfn.NUMBERVALUE(TRIM(SUBSTITUTE(Base_Bruta!I1325,"R$","")),",","."),0)))</f>
        <v>335</v>
      </c>
      <c r="J1325" s="6" t="n">
        <f aca="false">IF($A1325="","",H1325*I1325)</f>
        <v>335</v>
      </c>
      <c r="K1325" s="4" t="str">
        <f aca="false">IF($A1325="","",TRIM(Base_Bruta!J1325))</f>
        <v>App</v>
      </c>
      <c r="L1325" s="4" t="str">
        <f aca="false">IF($A1325="","",TRIM(Base_Bruta!K1325))</f>
        <v>C01145</v>
      </c>
      <c r="M1325" s="4" t="str">
        <f aca="false">IF($A1325="","",_xlfn.XLOOKUP(LOWER(TRIM(Base_Bruta!L1325)),DePara_Cidade!$A$2:$A$29,DePara_Cidade!$B$2:$B$29,"REVISAR"))</f>
        <v>Rio de Janeiro</v>
      </c>
      <c r="N1325" s="4" t="str">
        <f aca="false">IF($A1325="","",UPPER(TRIM(Base_Bruta!M1325)))</f>
        <v>RJ</v>
      </c>
      <c r="O1325" s="4" t="str">
        <f aca="false">IF($A1325="","",_xlfn.XLOOKUP(LOWER(TRIM(Base_Bruta!N1325)),DePara_Pais!$A$2:$A$9,DePara_Pais!$B$2:$B$9,"REVISAR"))</f>
        <v>Brasil</v>
      </c>
      <c r="P1325" s="4" t="str">
        <f aca="false">IF($A1325="","",IF(O1325&lt;&gt;"Brasil","Turista Internacional",IF(M1325=F1325,"Local","Turista Nacional")))</f>
        <v>Local</v>
      </c>
      <c r="Q1325" s="7" t="n">
        <f aca="false">IF($A1325="","",DATE(YEAR(B1325),MONTH(B1325),1))</f>
        <v>46023</v>
      </c>
      <c r="R1325" s="4" t="str">
        <f aca="false">IF($A1325="","",IF(COUNTIF($A$2:$A1325,$A1325)&gt;1,"Sim","Não"))</f>
        <v>Não</v>
      </c>
      <c r="S1325" s="4" t="str">
        <f aca="false">IF(A1325="","Descartar - Linha vazia",IF(R1325="Sim","Descartar - Duplicado",IF(OR(H1325&lt;=0,I1325&lt;=0),"Descartar - Qtd/Valor inválido","OK")))</f>
        <v>OK</v>
      </c>
      <c r="T1325" s="4" t="str">
        <f aca="false">Base_Bruta!P1325</f>
        <v>vendas_RJ.xlsx</v>
      </c>
    </row>
    <row r="1326" customFormat="false" ht="15" hidden="false" customHeight="false" outlineLevel="0" collapsed="false">
      <c r="A1326" s="4" t="str">
        <f aca="false">IF(Base_Bruta!A1326="","",Base_Bruta!A1326)</f>
        <v>RJ-000031</v>
      </c>
      <c r="B1326" s="5" t="n">
        <f aca="false">IF($A1326="","",IF(ISNUMBER(Base_Bruta!B1326),Base_Bruta!B1326,IF(MID(Base_Bruta!B1326,5,1)="-",DATE(VALUE(LEFT(Base_Bruta!B1326,4)),VALUE(MID(Base_Bruta!B1326,6,2)),VALUE(RIGHT(Base_Bruta!B1326,2))),DATE(VALUE(RIGHT(Base_Bruta!B1326,4)),VALUE(MID(Base_Bruta!B1326,4,2)),VALUE(LEFT(Base_Bruta!B1326,2))))))</f>
        <v>46044</v>
      </c>
      <c r="C1326" s="5" t="n">
        <f aca="false">IF($A1326="","",IF(ISNUMBER(Base_Bruta!C1326),Base_Bruta!C1326,IF(MID(Base_Bruta!C1326,5,1)="-",DATE(VALUE(LEFT(Base_Bruta!C1326,4)),VALUE(MID(Base_Bruta!C1326,6,2)),VALUE(RIGHT(Base_Bruta!C1326,2))),DATE(VALUE(RIGHT(Base_Bruta!C1326,4)),VALUE(MID(Base_Bruta!C1326,4,2)),VALUE(LEFT(Base_Bruta!C1326,2))))))</f>
        <v>46046</v>
      </c>
      <c r="D1326" s="4" t="str">
        <f aca="false">IF($A1326="","",TRIM(Base_Bruta!D1326))</f>
        <v>Rio Beat Festival 2026</v>
      </c>
      <c r="E1326" s="4" t="str">
        <f aca="false">IF($A1326="","",_xlfn.XLOOKUP(LOWER(TRIM(Base_Bruta!E1326)),DePara_Categoria!$A$2:$A$9,DePara_Categoria!$B$2:$B$9,"REVISAR"))</f>
        <v>Festival</v>
      </c>
      <c r="F1326" s="4" t="str">
        <f aca="false">IF($A1326="","",_xlfn.XLOOKUP(LOWER(TRIM(Base_Bruta!F1326)),DePara_Cidade!$A$2:$A$29,DePara_Cidade!$B$2:$B$29,"REVISAR"))</f>
        <v>Rio de Janeiro</v>
      </c>
      <c r="G1326" s="4" t="str">
        <f aca="false">IF($A1326="","",TRIM(Base_Bruta!G1326))</f>
        <v>Inteira</v>
      </c>
      <c r="H1326" s="4" t="n">
        <f aca="false">IF($A1326="","",IF(ISNUMBER(Base_Bruta!H1326),Base_Bruta!H1326,IFERROR(_xlfn.NUMBERVALUE(TRIM(SUBSTITUTE(Base_Bruta!H1326,"R$","")),",","."),0)))</f>
        <v>4</v>
      </c>
      <c r="I1326" s="6" t="n">
        <f aca="false">IF($A1326="","",IF(ISNUMBER(Base_Bruta!I1326),Base_Bruta!I1326,IFERROR(_xlfn.NUMBERVALUE(TRIM(SUBSTITUTE(Base_Bruta!I1326,"R$","")),",","."),0)))</f>
        <v>1090</v>
      </c>
      <c r="J1326" s="6" t="n">
        <f aca="false">IF($A1326="","",H1326*I1326)</f>
        <v>4360</v>
      </c>
      <c r="K1326" s="4" t="str">
        <f aca="false">IF($A1326="","",TRIM(Base_Bruta!J1326))</f>
        <v>Site</v>
      </c>
      <c r="L1326" s="4" t="str">
        <f aca="false">IF($A1326="","",TRIM(Base_Bruta!K1326))</f>
        <v>C02128</v>
      </c>
      <c r="M1326" s="4" t="str">
        <f aca="false">IF($A1326="","",_xlfn.XLOOKUP(LOWER(TRIM(Base_Bruta!L1326)),DePara_Cidade!$A$2:$A$29,DePara_Cidade!$B$2:$B$29,"REVISAR"))</f>
        <v>Santiago</v>
      </c>
      <c r="N1326" s="4" t="str">
        <f aca="false">IF($A1326="","",UPPER(TRIM(Base_Bruta!M1326)))</f>
        <v>EX</v>
      </c>
      <c r="O1326" s="4" t="str">
        <f aca="false">IF($A1326="","",_xlfn.XLOOKUP(LOWER(TRIM(Base_Bruta!N1326)),DePara_Pais!$A$2:$A$9,DePara_Pais!$B$2:$B$9,"REVISAR"))</f>
        <v>Chile</v>
      </c>
      <c r="P1326" s="4" t="str">
        <f aca="false">IF($A1326="","",IF(O1326&lt;&gt;"Brasil","Turista Internacional",IF(M1326=F1326,"Local","Turista Nacional")))</f>
        <v>Turista Internacional</v>
      </c>
      <c r="Q1326" s="7" t="n">
        <f aca="false">IF($A1326="","",DATE(YEAR(B1326),MONTH(B1326),1))</f>
        <v>46023</v>
      </c>
      <c r="R1326" s="4" t="str">
        <f aca="false">IF($A1326="","",IF(COUNTIF($A$2:$A1326,$A1326)&gt;1,"Sim","Não"))</f>
        <v>Não</v>
      </c>
      <c r="S1326" s="4" t="str">
        <f aca="false">IF(A1326="","Descartar - Linha vazia",IF(R1326="Sim","Descartar - Duplicado",IF(OR(H1326&lt;=0,I1326&lt;=0),"Descartar - Qtd/Valor inválido","OK")))</f>
        <v>OK</v>
      </c>
      <c r="T1326" s="4" t="str">
        <f aca="false">Base_Bruta!P1326</f>
        <v>vendas_RJ.xlsx</v>
      </c>
    </row>
    <row r="1327" customFormat="false" ht="15" hidden="false" customHeight="false" outlineLevel="0" collapsed="false">
      <c r="A1327" s="4" t="str">
        <f aca="false">IF(Base_Bruta!A1327="","",Base_Bruta!A1327)</f>
        <v>RJ-000048</v>
      </c>
      <c r="B1327" s="5" t="n">
        <f aca="false">IF($A1327="","",IF(ISNUMBER(Base_Bruta!B1327),Base_Bruta!B1327,IF(MID(Base_Bruta!B1327,5,1)="-",DATE(VALUE(LEFT(Base_Bruta!B1327,4)),VALUE(MID(Base_Bruta!B1327,6,2)),VALUE(RIGHT(Base_Bruta!B1327,2))),DATE(VALUE(RIGHT(Base_Bruta!B1327,4)),VALUE(MID(Base_Bruta!B1327,4,2)),VALUE(LEFT(Base_Bruta!B1327,2))))))</f>
        <v>46044</v>
      </c>
      <c r="C1327" s="5" t="n">
        <f aca="false">IF($A1327="","",IF(ISNUMBER(Base_Bruta!C1327),Base_Bruta!C1327,IF(MID(Base_Bruta!C1327,5,1)="-",DATE(VALUE(LEFT(Base_Bruta!C1327,4)),VALUE(MID(Base_Bruta!C1327,6,2)),VALUE(RIGHT(Base_Bruta!C1327,2))),DATE(VALUE(RIGHT(Base_Bruta!C1327,4)),VALUE(MID(Base_Bruta!C1327,4,2)),VALUE(LEFT(Base_Bruta!C1327,2))))))</f>
        <v>46046</v>
      </c>
      <c r="D1327" s="4" t="str">
        <f aca="false">IF($A1327="","",TRIM(Base_Bruta!D1327))</f>
        <v>Rio Beat Festival 2026</v>
      </c>
      <c r="E1327" s="4" t="str">
        <f aca="false">IF($A1327="","",_xlfn.XLOOKUP(LOWER(TRIM(Base_Bruta!E1327)),DePara_Categoria!$A$2:$A$9,DePara_Categoria!$B$2:$B$9,"REVISAR"))</f>
        <v>Festival</v>
      </c>
      <c r="F1327" s="4" t="str">
        <f aca="false">IF($A1327="","",_xlfn.XLOOKUP(LOWER(TRIM(Base_Bruta!F1327)),DePara_Cidade!$A$2:$A$29,DePara_Cidade!$B$2:$B$29,"REVISAR"))</f>
        <v>Rio de Janeiro</v>
      </c>
      <c r="G1327" s="4" t="str">
        <f aca="false">IF($A1327="","",TRIM(Base_Bruta!G1327))</f>
        <v>Inteira</v>
      </c>
      <c r="H1327" s="4" t="n">
        <f aca="false">IF($A1327="","",IF(ISNUMBER(Base_Bruta!H1327),Base_Bruta!H1327,IFERROR(_xlfn.NUMBERVALUE(TRIM(SUBSTITUTE(Base_Bruta!H1327,"R$","")),",","."),0)))</f>
        <v>1</v>
      </c>
      <c r="I1327" s="6" t="n">
        <f aca="false">IF($A1327="","",IF(ISNUMBER(Base_Bruta!I1327),Base_Bruta!I1327,IFERROR(_xlfn.NUMBERVALUE(TRIM(SUBSTITUTE(Base_Bruta!I1327,"R$","")),",","."),0)))</f>
        <v>790</v>
      </c>
      <c r="J1327" s="6" t="n">
        <f aca="false">IF($A1327="","",H1327*I1327)</f>
        <v>790</v>
      </c>
      <c r="K1327" s="4" t="str">
        <f aca="false">IF($A1327="","",TRIM(Base_Bruta!J1327))</f>
        <v>Site</v>
      </c>
      <c r="L1327" s="4" t="str">
        <f aca="false">IF($A1327="","",TRIM(Base_Bruta!K1327))</f>
        <v>C01479</v>
      </c>
      <c r="M1327" s="4" t="str">
        <f aca="false">IF($A1327="","",_xlfn.XLOOKUP(LOWER(TRIM(Base_Bruta!L1327)),DePara_Cidade!$A$2:$A$29,DePara_Cidade!$B$2:$B$29,"REVISAR"))</f>
        <v>Niterói</v>
      </c>
      <c r="N1327" s="4" t="str">
        <f aca="false">IF($A1327="","",UPPER(TRIM(Base_Bruta!M1327)))</f>
        <v>RJ</v>
      </c>
      <c r="O1327" s="4" t="str">
        <f aca="false">IF($A1327="","",_xlfn.XLOOKUP(LOWER(TRIM(Base_Bruta!N1327)),DePara_Pais!$A$2:$A$9,DePara_Pais!$B$2:$B$9,"REVISAR"))</f>
        <v>Brasil</v>
      </c>
      <c r="P1327" s="4" t="str">
        <f aca="false">IF($A1327="","",IF(O1327&lt;&gt;"Brasil","Turista Internacional",IF(M1327=F1327,"Local","Turista Nacional")))</f>
        <v>Turista Nacional</v>
      </c>
      <c r="Q1327" s="7" t="n">
        <f aca="false">IF($A1327="","",DATE(YEAR(B1327),MONTH(B1327),1))</f>
        <v>46023</v>
      </c>
      <c r="R1327" s="4" t="str">
        <f aca="false">IF($A1327="","",IF(COUNTIF($A$2:$A1327,$A1327)&gt;1,"Sim","Não"))</f>
        <v>Não</v>
      </c>
      <c r="S1327" s="4" t="str">
        <f aca="false">IF(A1327="","Descartar - Linha vazia",IF(R1327="Sim","Descartar - Duplicado",IF(OR(H1327&lt;=0,I1327&lt;=0),"Descartar - Qtd/Valor inválido","OK")))</f>
        <v>OK</v>
      </c>
      <c r="T1327" s="4" t="str">
        <f aca="false">Base_Bruta!P1327</f>
        <v>vendas_RJ.xlsx</v>
      </c>
    </row>
    <row r="1328" customFormat="false" ht="15" hidden="false" customHeight="false" outlineLevel="0" collapsed="false">
      <c r="A1328" s="4" t="str">
        <f aca="false">IF(Base_Bruta!A1328="","",Base_Bruta!A1328)</f>
        <v>RJ-000052</v>
      </c>
      <c r="B1328" s="5" t="n">
        <f aca="false">IF($A1328="","",IF(ISNUMBER(Base_Bruta!B1328),Base_Bruta!B1328,IF(MID(Base_Bruta!B1328,5,1)="-",DATE(VALUE(LEFT(Base_Bruta!B1328,4)),VALUE(MID(Base_Bruta!B1328,6,2)),VALUE(RIGHT(Base_Bruta!B1328,2))),DATE(VALUE(RIGHT(Base_Bruta!B1328,4)),VALUE(MID(Base_Bruta!B1328,4,2)),VALUE(LEFT(Base_Bruta!B1328,2))))))</f>
        <v>46044</v>
      </c>
      <c r="C1328" s="5" t="n">
        <f aca="false">IF($A1328="","",IF(ISNUMBER(Base_Bruta!C1328),Base_Bruta!C1328,IF(MID(Base_Bruta!C1328,5,1)="-",DATE(VALUE(LEFT(Base_Bruta!C1328,4)),VALUE(MID(Base_Bruta!C1328,6,2)),VALUE(RIGHT(Base_Bruta!C1328,2))),DATE(VALUE(RIGHT(Base_Bruta!C1328,4)),VALUE(MID(Base_Bruta!C1328,4,2)),VALUE(LEFT(Base_Bruta!C1328,2))))))</f>
        <v>46046</v>
      </c>
      <c r="D1328" s="4" t="str">
        <f aca="false">IF($A1328="","",TRIM(Base_Bruta!D1328))</f>
        <v>Rio Beat Festival 2026</v>
      </c>
      <c r="E1328" s="4" t="str">
        <f aca="false">IF($A1328="","",_xlfn.XLOOKUP(LOWER(TRIM(Base_Bruta!E1328)),DePara_Categoria!$A$2:$A$9,DePara_Categoria!$B$2:$B$9,"REVISAR"))</f>
        <v>Festival</v>
      </c>
      <c r="F1328" s="4" t="str">
        <f aca="false">IF($A1328="","",_xlfn.XLOOKUP(LOWER(TRIM(Base_Bruta!F1328)),DePara_Cidade!$A$2:$A$29,DePara_Cidade!$B$2:$B$29,"REVISAR"))</f>
        <v>Rio de Janeiro</v>
      </c>
      <c r="G1328" s="4" t="str">
        <f aca="false">IF($A1328="","",TRIM(Base_Bruta!G1328))</f>
        <v>Meia</v>
      </c>
      <c r="H1328" s="4" t="n">
        <f aca="false">IF($A1328="","",IF(ISNUMBER(Base_Bruta!H1328),Base_Bruta!H1328,IFERROR(_xlfn.NUMBERVALUE(TRIM(SUBSTITUTE(Base_Bruta!H1328,"R$","")),",","."),0)))</f>
        <v>2</v>
      </c>
      <c r="I1328" s="6" t="n">
        <f aca="false">IF($A1328="","",IF(ISNUMBER(Base_Bruta!I1328),Base_Bruta!I1328,IFERROR(_xlfn.NUMBERVALUE(TRIM(SUBSTITUTE(Base_Bruta!I1328,"R$","")),",","."),0)))</f>
        <v>472.5</v>
      </c>
      <c r="J1328" s="6" t="n">
        <f aca="false">IF($A1328="","",H1328*I1328)</f>
        <v>945</v>
      </c>
      <c r="K1328" s="4" t="str">
        <f aca="false">IF($A1328="","",TRIM(Base_Bruta!J1328))</f>
        <v>App</v>
      </c>
      <c r="L1328" s="4" t="str">
        <f aca="false">IF($A1328="","",TRIM(Base_Bruta!K1328))</f>
        <v>C00127</v>
      </c>
      <c r="M1328" s="4" t="str">
        <f aca="false">IF($A1328="","",_xlfn.XLOOKUP(LOWER(TRIM(Base_Bruta!L1328)),DePara_Cidade!$A$2:$A$29,DePara_Cidade!$B$2:$B$29,"REVISAR"))</f>
        <v>Rio de Janeiro</v>
      </c>
      <c r="N1328" s="4" t="str">
        <f aca="false">IF($A1328="","",UPPER(TRIM(Base_Bruta!M1328)))</f>
        <v>RJ</v>
      </c>
      <c r="O1328" s="4" t="str">
        <f aca="false">IF($A1328="","",_xlfn.XLOOKUP(LOWER(TRIM(Base_Bruta!N1328)),DePara_Pais!$A$2:$A$9,DePara_Pais!$B$2:$B$9,"REVISAR"))</f>
        <v>Brasil</v>
      </c>
      <c r="P1328" s="4" t="str">
        <f aca="false">IF($A1328="","",IF(O1328&lt;&gt;"Brasil","Turista Internacional",IF(M1328=F1328,"Local","Turista Nacional")))</f>
        <v>Local</v>
      </c>
      <c r="Q1328" s="7" t="n">
        <f aca="false">IF($A1328="","",DATE(YEAR(B1328),MONTH(B1328),1))</f>
        <v>46023</v>
      </c>
      <c r="R1328" s="4" t="str">
        <f aca="false">IF($A1328="","",IF(COUNTIF($A$2:$A1328,$A1328)&gt;1,"Sim","Não"))</f>
        <v>Não</v>
      </c>
      <c r="S1328" s="4" t="str">
        <f aca="false">IF(A1328="","Descartar - Linha vazia",IF(R1328="Sim","Descartar - Duplicado",IF(OR(H1328&lt;=0,I1328&lt;=0),"Descartar - Qtd/Valor inválido","OK")))</f>
        <v>OK</v>
      </c>
      <c r="T1328" s="4" t="str">
        <f aca="false">Base_Bruta!P1328</f>
        <v>vendas_RJ.xlsx</v>
      </c>
    </row>
    <row r="1329" customFormat="false" ht="15" hidden="false" customHeight="false" outlineLevel="0" collapsed="false">
      <c r="A1329" s="4" t="str">
        <f aca="false">IF(Base_Bruta!A1329="","",Base_Bruta!A1329)</f>
        <v>RJ-000112</v>
      </c>
      <c r="B1329" s="5" t="n">
        <f aca="false">IF($A1329="","",IF(ISNUMBER(Base_Bruta!B1329),Base_Bruta!B1329,IF(MID(Base_Bruta!B1329,5,1)="-",DATE(VALUE(LEFT(Base_Bruta!B1329,4)),VALUE(MID(Base_Bruta!B1329,6,2)),VALUE(RIGHT(Base_Bruta!B1329,2))),DATE(VALUE(RIGHT(Base_Bruta!B1329,4)),VALUE(MID(Base_Bruta!B1329,4,2)),VALUE(LEFT(Base_Bruta!B1329,2))))))</f>
        <v>46044</v>
      </c>
      <c r="C1329" s="5" t="n">
        <f aca="false">IF($A1329="","",IF(ISNUMBER(Base_Bruta!C1329),Base_Bruta!C1329,IF(MID(Base_Bruta!C1329,5,1)="-",DATE(VALUE(LEFT(Base_Bruta!C1329,4)),VALUE(MID(Base_Bruta!C1329,6,2)),VALUE(RIGHT(Base_Bruta!C1329,2))),DATE(VALUE(RIGHT(Base_Bruta!C1329,4)),VALUE(MID(Base_Bruta!C1329,4,2)),VALUE(LEFT(Base_Bruta!C1329,2))))))</f>
        <v>46046</v>
      </c>
      <c r="D1329" s="4" t="str">
        <f aca="false">IF($A1329="","",TRIM(Base_Bruta!D1329))</f>
        <v>Rio Beat Festival 2026</v>
      </c>
      <c r="E1329" s="4" t="str">
        <f aca="false">IF($A1329="","",_xlfn.XLOOKUP(LOWER(TRIM(Base_Bruta!E1329)),DePara_Categoria!$A$2:$A$9,DePara_Categoria!$B$2:$B$9,"REVISAR"))</f>
        <v>Festival</v>
      </c>
      <c r="F1329" s="4" t="str">
        <f aca="false">IF($A1329="","",_xlfn.XLOOKUP(LOWER(TRIM(Base_Bruta!F1329)),DePara_Cidade!$A$2:$A$29,DePara_Cidade!$B$2:$B$29,"REVISAR"))</f>
        <v>Rio de Janeiro</v>
      </c>
      <c r="G1329" s="4" t="str">
        <f aca="false">IF($A1329="","",TRIM(Base_Bruta!G1329))</f>
        <v>Inteira</v>
      </c>
      <c r="H1329" s="4" t="n">
        <f aca="false">IF($A1329="","",IF(ISNUMBER(Base_Bruta!H1329),Base_Bruta!H1329,IFERROR(_xlfn.NUMBERVALUE(TRIM(SUBSTITUTE(Base_Bruta!H1329,"R$","")),",","."),0)))</f>
        <v>0</v>
      </c>
      <c r="I1329" s="6" t="n">
        <f aca="false">IF($A1329="","",IF(ISNUMBER(Base_Bruta!I1329),Base_Bruta!I1329,IFERROR(_xlfn.NUMBERVALUE(TRIM(SUBSTITUTE(Base_Bruta!I1329,"R$","")),",","."),0)))</f>
        <v>705</v>
      </c>
      <c r="J1329" s="6" t="n">
        <f aca="false">IF($A1329="","",H1329*I1329)</f>
        <v>0</v>
      </c>
      <c r="K1329" s="4" t="str">
        <f aca="false">IF($A1329="","",TRIM(Base_Bruta!J1329))</f>
        <v>Site</v>
      </c>
      <c r="L1329" s="4" t="str">
        <f aca="false">IF($A1329="","",TRIM(Base_Bruta!K1329))</f>
        <v>C02022</v>
      </c>
      <c r="M1329" s="4" t="str">
        <f aca="false">IF($A1329="","",_xlfn.XLOOKUP(LOWER(TRIM(Base_Bruta!L1329)),DePara_Cidade!$A$2:$A$29,DePara_Cidade!$B$2:$B$29,"REVISAR"))</f>
        <v>Rio de Janeiro</v>
      </c>
      <c r="N1329" s="4" t="str">
        <f aca="false">IF($A1329="","",UPPER(TRIM(Base_Bruta!M1329)))</f>
        <v>RJ</v>
      </c>
      <c r="O1329" s="4" t="str">
        <f aca="false">IF($A1329="","",_xlfn.XLOOKUP(LOWER(TRIM(Base_Bruta!N1329)),DePara_Pais!$A$2:$A$9,DePara_Pais!$B$2:$B$9,"REVISAR"))</f>
        <v>Brasil</v>
      </c>
      <c r="P1329" s="4" t="str">
        <f aca="false">IF($A1329="","",IF(O1329&lt;&gt;"Brasil","Turista Internacional",IF(M1329=F1329,"Local","Turista Nacional")))</f>
        <v>Local</v>
      </c>
      <c r="Q1329" s="7" t="n">
        <f aca="false">IF($A1329="","",DATE(YEAR(B1329),MONTH(B1329),1))</f>
        <v>46023</v>
      </c>
      <c r="R1329" s="4" t="str">
        <f aca="false">IF($A1329="","",IF(COUNTIF($A$2:$A1329,$A1329)&gt;1,"Sim","Não"))</f>
        <v>Não</v>
      </c>
      <c r="S1329" s="4" t="str">
        <f aca="false">IF(A1329="","Descartar - Linha vazia",IF(R1329="Sim","Descartar - Duplicado",IF(OR(H1329&lt;=0,I1329&lt;=0),"Descartar - Qtd/Valor inválido","OK")))</f>
        <v>Descartar - Qtd/Valor inválido</v>
      </c>
      <c r="T1329" s="4" t="str">
        <f aca="false">Base_Bruta!P1329</f>
        <v>vendas_RJ.xlsx</v>
      </c>
    </row>
    <row r="1330" customFormat="false" ht="15" hidden="false" customHeight="false" outlineLevel="0" collapsed="false">
      <c r="A1330" s="4" t="str">
        <f aca="false">IF(Base_Bruta!A1330="","",Base_Bruta!A1330)</f>
        <v>RJ-000116</v>
      </c>
      <c r="B1330" s="5" t="n">
        <f aca="false">IF($A1330="","",IF(ISNUMBER(Base_Bruta!B1330),Base_Bruta!B1330,IF(MID(Base_Bruta!B1330,5,1)="-",DATE(VALUE(LEFT(Base_Bruta!B1330,4)),VALUE(MID(Base_Bruta!B1330,6,2)),VALUE(RIGHT(Base_Bruta!B1330,2))),DATE(VALUE(RIGHT(Base_Bruta!B1330,4)),VALUE(MID(Base_Bruta!B1330,4,2)),VALUE(LEFT(Base_Bruta!B1330,2))))))</f>
        <v>46044</v>
      </c>
      <c r="C1330" s="5" t="n">
        <f aca="false">IF($A1330="","",IF(ISNUMBER(Base_Bruta!C1330),Base_Bruta!C1330,IF(MID(Base_Bruta!C1330,5,1)="-",DATE(VALUE(LEFT(Base_Bruta!C1330,4)),VALUE(MID(Base_Bruta!C1330,6,2)),VALUE(RIGHT(Base_Bruta!C1330,2))),DATE(VALUE(RIGHT(Base_Bruta!C1330,4)),VALUE(MID(Base_Bruta!C1330,4,2)),VALUE(LEFT(Base_Bruta!C1330,2))))))</f>
        <v>46046</v>
      </c>
      <c r="D1330" s="4" t="str">
        <f aca="false">IF($A1330="","",TRIM(Base_Bruta!D1330))</f>
        <v>Rio Beat Festival 2026</v>
      </c>
      <c r="E1330" s="4" t="str">
        <f aca="false">IF($A1330="","",_xlfn.XLOOKUP(LOWER(TRIM(Base_Bruta!E1330)),DePara_Categoria!$A$2:$A$9,DePara_Categoria!$B$2:$B$9,"REVISAR"))</f>
        <v>Festival</v>
      </c>
      <c r="F1330" s="4" t="str">
        <f aca="false">IF($A1330="","",_xlfn.XLOOKUP(LOWER(TRIM(Base_Bruta!F1330)),DePara_Cidade!$A$2:$A$29,DePara_Cidade!$B$2:$B$29,"REVISAR"))</f>
        <v>Rio de Janeiro</v>
      </c>
      <c r="G1330" s="4" t="str">
        <f aca="false">IF($A1330="","",TRIM(Base_Bruta!G1330))</f>
        <v>Meia</v>
      </c>
      <c r="H1330" s="4" t="n">
        <f aca="false">IF($A1330="","",IF(ISNUMBER(Base_Bruta!H1330),Base_Bruta!H1330,IFERROR(_xlfn.NUMBERVALUE(TRIM(SUBSTITUTE(Base_Bruta!H1330,"R$","")),",","."),0)))</f>
        <v>2</v>
      </c>
      <c r="I1330" s="6" t="n">
        <f aca="false">IF($A1330="","",IF(ISNUMBER(Base_Bruta!I1330),Base_Bruta!I1330,IFERROR(_xlfn.NUMBERVALUE(TRIM(SUBSTITUTE(Base_Bruta!I1330,"R$","")),",","."),0)))</f>
        <v>337.5</v>
      </c>
      <c r="J1330" s="6" t="n">
        <f aca="false">IF($A1330="","",H1330*I1330)</f>
        <v>675</v>
      </c>
      <c r="K1330" s="4" t="str">
        <f aca="false">IF($A1330="","",TRIM(Base_Bruta!J1330))</f>
        <v>Site</v>
      </c>
      <c r="L1330" s="4" t="str">
        <f aca="false">IF($A1330="","",TRIM(Base_Bruta!K1330))</f>
        <v>C00512</v>
      </c>
      <c r="M1330" s="4" t="str">
        <f aca="false">IF($A1330="","",_xlfn.XLOOKUP(LOWER(TRIM(Base_Bruta!L1330)),DePara_Cidade!$A$2:$A$29,DePara_Cidade!$B$2:$B$29,"REVISAR"))</f>
        <v>Niterói</v>
      </c>
      <c r="N1330" s="4" t="str">
        <f aca="false">IF($A1330="","",UPPER(TRIM(Base_Bruta!M1330)))</f>
        <v>RJ</v>
      </c>
      <c r="O1330" s="4" t="str">
        <f aca="false">IF($A1330="","",_xlfn.XLOOKUP(LOWER(TRIM(Base_Bruta!N1330)),DePara_Pais!$A$2:$A$9,DePara_Pais!$B$2:$B$9,"REVISAR"))</f>
        <v>Brasil</v>
      </c>
      <c r="P1330" s="4" t="str">
        <f aca="false">IF($A1330="","",IF(O1330&lt;&gt;"Brasil","Turista Internacional",IF(M1330=F1330,"Local","Turista Nacional")))</f>
        <v>Turista Nacional</v>
      </c>
      <c r="Q1330" s="7" t="n">
        <f aca="false">IF($A1330="","",DATE(YEAR(B1330),MONTH(B1330),1))</f>
        <v>46023</v>
      </c>
      <c r="R1330" s="4" t="str">
        <f aca="false">IF($A1330="","",IF(COUNTIF($A$2:$A1330,$A1330)&gt;1,"Sim","Não"))</f>
        <v>Não</v>
      </c>
      <c r="S1330" s="4" t="str">
        <f aca="false">IF(A1330="","Descartar - Linha vazia",IF(R1330="Sim","Descartar - Duplicado",IF(OR(H1330&lt;=0,I1330&lt;=0),"Descartar - Qtd/Valor inválido","OK")))</f>
        <v>OK</v>
      </c>
      <c r="T1330" s="4" t="str">
        <f aca="false">Base_Bruta!P1330</f>
        <v>vendas_RJ.xlsx</v>
      </c>
    </row>
    <row r="1331" customFormat="false" ht="15" hidden="false" customHeight="false" outlineLevel="0" collapsed="false">
      <c r="A1331" s="4" t="str">
        <f aca="false">IF(Base_Bruta!A1331="","",Base_Bruta!A1331)</f>
        <v>RJ-000135</v>
      </c>
      <c r="B1331" s="5" t="n">
        <f aca="false">IF($A1331="","",IF(ISNUMBER(Base_Bruta!B1331),Base_Bruta!B1331,IF(MID(Base_Bruta!B1331,5,1)="-",DATE(VALUE(LEFT(Base_Bruta!B1331,4)),VALUE(MID(Base_Bruta!B1331,6,2)),VALUE(RIGHT(Base_Bruta!B1331,2))),DATE(VALUE(RIGHT(Base_Bruta!B1331,4)),VALUE(MID(Base_Bruta!B1331,4,2)),VALUE(LEFT(Base_Bruta!B1331,2))))))</f>
        <v>46044</v>
      </c>
      <c r="C1331" s="5" t="n">
        <f aca="false">IF($A1331="","",IF(ISNUMBER(Base_Bruta!C1331),Base_Bruta!C1331,IF(MID(Base_Bruta!C1331,5,1)="-",DATE(VALUE(LEFT(Base_Bruta!C1331,4)),VALUE(MID(Base_Bruta!C1331,6,2)),VALUE(RIGHT(Base_Bruta!C1331,2))),DATE(VALUE(RIGHT(Base_Bruta!C1331,4)),VALUE(MID(Base_Bruta!C1331,4,2)),VALUE(LEFT(Base_Bruta!C1331,2))))))</f>
        <v>46046</v>
      </c>
      <c r="D1331" s="4" t="str">
        <f aca="false">IF($A1331="","",TRIM(Base_Bruta!D1331))</f>
        <v>Rio Beat Festival 2026</v>
      </c>
      <c r="E1331" s="4" t="str">
        <f aca="false">IF($A1331="","",_xlfn.XLOOKUP(LOWER(TRIM(Base_Bruta!E1331)),DePara_Categoria!$A$2:$A$9,DePara_Categoria!$B$2:$B$9,"REVISAR"))</f>
        <v>Festival</v>
      </c>
      <c r="F1331" s="4" t="str">
        <f aca="false">IF($A1331="","",_xlfn.XLOOKUP(LOWER(TRIM(Base_Bruta!F1331)),DePara_Cidade!$A$2:$A$29,DePara_Cidade!$B$2:$B$29,"REVISAR"))</f>
        <v>Rio de Janeiro</v>
      </c>
      <c r="G1331" s="4" t="str">
        <f aca="false">IF($A1331="","",TRIM(Base_Bruta!G1331))</f>
        <v>Meia</v>
      </c>
      <c r="H1331" s="4" t="n">
        <f aca="false">IF($A1331="","",IF(ISNUMBER(Base_Bruta!H1331),Base_Bruta!H1331,IFERROR(_xlfn.NUMBERVALUE(TRIM(SUBSTITUTE(Base_Bruta!H1331,"R$","")),",","."),0)))</f>
        <v>1</v>
      </c>
      <c r="I1331" s="6" t="n">
        <f aca="false">IF($A1331="","",IF(ISNUMBER(Base_Bruta!I1331),Base_Bruta!I1331,IFERROR(_xlfn.NUMBERVALUE(TRIM(SUBSTITUTE(Base_Bruta!I1331,"R$","")),",","."),0)))</f>
        <v>415</v>
      </c>
      <c r="J1331" s="6" t="n">
        <f aca="false">IF($A1331="","",H1331*I1331)</f>
        <v>415</v>
      </c>
      <c r="K1331" s="4" t="str">
        <f aca="false">IF($A1331="","",TRIM(Base_Bruta!J1331))</f>
        <v>Site</v>
      </c>
      <c r="L1331" s="4" t="str">
        <f aca="false">IF($A1331="","",TRIM(Base_Bruta!K1331))</f>
        <v>C01437</v>
      </c>
      <c r="M1331" s="4" t="str">
        <f aca="false">IF($A1331="","",_xlfn.XLOOKUP(LOWER(TRIM(Base_Bruta!L1331)),DePara_Cidade!$A$2:$A$29,DePara_Cidade!$B$2:$B$29,"REVISAR"))</f>
        <v>Rio de Janeiro</v>
      </c>
      <c r="N1331" s="4" t="str">
        <f aca="false">IF($A1331="","",UPPER(TRIM(Base_Bruta!M1331)))</f>
        <v>RJ</v>
      </c>
      <c r="O1331" s="4" t="str">
        <f aca="false">IF($A1331="","",_xlfn.XLOOKUP(LOWER(TRIM(Base_Bruta!N1331)),DePara_Pais!$A$2:$A$9,DePara_Pais!$B$2:$B$9,"REVISAR"))</f>
        <v>Brasil</v>
      </c>
      <c r="P1331" s="4" t="str">
        <f aca="false">IF($A1331="","",IF(O1331&lt;&gt;"Brasil","Turista Internacional",IF(M1331=F1331,"Local","Turista Nacional")))</f>
        <v>Local</v>
      </c>
      <c r="Q1331" s="7" t="n">
        <f aca="false">IF($A1331="","",DATE(YEAR(B1331),MONTH(B1331),1))</f>
        <v>46023</v>
      </c>
      <c r="R1331" s="4" t="str">
        <f aca="false">IF($A1331="","",IF(COUNTIF($A$2:$A1331,$A1331)&gt;1,"Sim","Não"))</f>
        <v>Não</v>
      </c>
      <c r="S1331" s="4" t="str">
        <f aca="false">IF(A1331="","Descartar - Linha vazia",IF(R1331="Sim","Descartar - Duplicado",IF(OR(H1331&lt;=0,I1331&lt;=0),"Descartar - Qtd/Valor inválido","OK")))</f>
        <v>OK</v>
      </c>
      <c r="T1331" s="4" t="str">
        <f aca="false">Base_Bruta!P1331</f>
        <v>vendas_RJ.xlsx</v>
      </c>
    </row>
    <row r="1332" customFormat="false" ht="15" hidden="false" customHeight="false" outlineLevel="0" collapsed="false">
      <c r="A1332" s="4" t="str">
        <f aca="false">IF(Base_Bruta!A1332="","",Base_Bruta!A1332)</f>
        <v>RJ-000160</v>
      </c>
      <c r="B1332" s="5" t="n">
        <f aca="false">IF($A1332="","",IF(ISNUMBER(Base_Bruta!B1332),Base_Bruta!B1332,IF(MID(Base_Bruta!B1332,5,1)="-",DATE(VALUE(LEFT(Base_Bruta!B1332,4)),VALUE(MID(Base_Bruta!B1332,6,2)),VALUE(RIGHT(Base_Bruta!B1332,2))),DATE(VALUE(RIGHT(Base_Bruta!B1332,4)),VALUE(MID(Base_Bruta!B1332,4,2)),VALUE(LEFT(Base_Bruta!B1332,2))))))</f>
        <v>46044</v>
      </c>
      <c r="C1332" s="5" t="n">
        <f aca="false">IF($A1332="","",IF(ISNUMBER(Base_Bruta!C1332),Base_Bruta!C1332,IF(MID(Base_Bruta!C1332,5,1)="-",DATE(VALUE(LEFT(Base_Bruta!C1332,4)),VALUE(MID(Base_Bruta!C1332,6,2)),VALUE(RIGHT(Base_Bruta!C1332,2))),DATE(VALUE(RIGHT(Base_Bruta!C1332,4)),VALUE(MID(Base_Bruta!C1332,4,2)),VALUE(LEFT(Base_Bruta!C1332,2))))))</f>
        <v>46046</v>
      </c>
      <c r="D1332" s="4" t="str">
        <f aca="false">IF($A1332="","",TRIM(Base_Bruta!D1332))</f>
        <v>Rio Beat Festival 2026</v>
      </c>
      <c r="E1332" s="4" t="str">
        <f aca="false">IF($A1332="","",_xlfn.XLOOKUP(LOWER(TRIM(Base_Bruta!E1332)),DePara_Categoria!$A$2:$A$9,DePara_Categoria!$B$2:$B$9,"REVISAR"))</f>
        <v>Festival</v>
      </c>
      <c r="F1332" s="4" t="str">
        <f aca="false">IF($A1332="","",_xlfn.XLOOKUP(LOWER(TRIM(Base_Bruta!F1332)),DePara_Cidade!$A$2:$A$29,DePara_Cidade!$B$2:$B$29,"REVISAR"))</f>
        <v>Rio de Janeiro</v>
      </c>
      <c r="G1332" s="4" t="str">
        <f aca="false">IF($A1332="","",TRIM(Base_Bruta!G1332))</f>
        <v>Meia</v>
      </c>
      <c r="H1332" s="4" t="n">
        <f aca="false">IF($A1332="","",IF(ISNUMBER(Base_Bruta!H1332),Base_Bruta!H1332,IFERROR(_xlfn.NUMBERVALUE(TRIM(SUBSTITUTE(Base_Bruta!H1332,"R$","")),",","."),0)))</f>
        <v>1</v>
      </c>
      <c r="I1332" s="6" t="n">
        <f aca="false">IF($A1332="","",IF(ISNUMBER(Base_Bruta!I1332),Base_Bruta!I1332,IFERROR(_xlfn.NUMBERVALUE(TRIM(SUBSTITUTE(Base_Bruta!I1332,"R$","")),",","."),0)))</f>
        <v>422.5</v>
      </c>
      <c r="J1332" s="6" t="n">
        <f aca="false">IF($A1332="","",H1332*I1332)</f>
        <v>422.5</v>
      </c>
      <c r="K1332" s="4" t="str">
        <f aca="false">IF($A1332="","",TRIM(Base_Bruta!J1332))</f>
        <v>Site</v>
      </c>
      <c r="L1332" s="4" t="str">
        <f aca="false">IF($A1332="","",TRIM(Base_Bruta!K1332))</f>
        <v>C00126</v>
      </c>
      <c r="M1332" s="4" t="str">
        <f aca="false">IF($A1332="","",_xlfn.XLOOKUP(LOWER(TRIM(Base_Bruta!L1332)),DePara_Cidade!$A$2:$A$29,DePara_Cidade!$B$2:$B$29,"REVISAR"))</f>
        <v>Niterói</v>
      </c>
      <c r="N1332" s="4" t="str">
        <f aca="false">IF($A1332="","",UPPER(TRIM(Base_Bruta!M1332)))</f>
        <v>RJ</v>
      </c>
      <c r="O1332" s="4" t="str">
        <f aca="false">IF($A1332="","",_xlfn.XLOOKUP(LOWER(TRIM(Base_Bruta!N1332)),DePara_Pais!$A$2:$A$9,DePara_Pais!$B$2:$B$9,"REVISAR"))</f>
        <v>Brasil</v>
      </c>
      <c r="P1332" s="4" t="str">
        <f aca="false">IF($A1332="","",IF(O1332&lt;&gt;"Brasil","Turista Internacional",IF(M1332=F1332,"Local","Turista Nacional")))</f>
        <v>Turista Nacional</v>
      </c>
      <c r="Q1332" s="7" t="n">
        <f aca="false">IF($A1332="","",DATE(YEAR(B1332),MONTH(B1332),1))</f>
        <v>46023</v>
      </c>
      <c r="R1332" s="4" t="str">
        <f aca="false">IF($A1332="","",IF(COUNTIF($A$2:$A1332,$A1332)&gt;1,"Sim","Não"))</f>
        <v>Não</v>
      </c>
      <c r="S1332" s="4" t="str">
        <f aca="false">IF(A1332="","Descartar - Linha vazia",IF(R1332="Sim","Descartar - Duplicado",IF(OR(H1332&lt;=0,I1332&lt;=0),"Descartar - Qtd/Valor inválido","OK")))</f>
        <v>OK</v>
      </c>
      <c r="T1332" s="4" t="str">
        <f aca="false">Base_Bruta!P1332</f>
        <v>vendas_RJ.xlsx</v>
      </c>
    </row>
    <row r="1333" customFormat="false" ht="15" hidden="false" customHeight="false" outlineLevel="0" collapsed="false">
      <c r="A1333" s="4" t="str">
        <f aca="false">IF(Base_Bruta!A1333="","",Base_Bruta!A1333)</f>
        <v>RJ-000180</v>
      </c>
      <c r="B1333" s="5" t="n">
        <f aca="false">IF($A1333="","",IF(ISNUMBER(Base_Bruta!B1333),Base_Bruta!B1333,IF(MID(Base_Bruta!B1333,5,1)="-",DATE(VALUE(LEFT(Base_Bruta!B1333,4)),VALUE(MID(Base_Bruta!B1333,6,2)),VALUE(RIGHT(Base_Bruta!B1333,2))),DATE(VALUE(RIGHT(Base_Bruta!B1333,4)),VALUE(MID(Base_Bruta!B1333,4,2)),VALUE(LEFT(Base_Bruta!B1333,2))))))</f>
        <v>46044</v>
      </c>
      <c r="C1333" s="5" t="n">
        <f aca="false">IF($A1333="","",IF(ISNUMBER(Base_Bruta!C1333),Base_Bruta!C1333,IF(MID(Base_Bruta!C1333,5,1)="-",DATE(VALUE(LEFT(Base_Bruta!C1333,4)),VALUE(MID(Base_Bruta!C1333,6,2)),VALUE(RIGHT(Base_Bruta!C1333,2))),DATE(VALUE(RIGHT(Base_Bruta!C1333,4)),VALUE(MID(Base_Bruta!C1333,4,2)),VALUE(LEFT(Base_Bruta!C1333,2))))))</f>
        <v>46046</v>
      </c>
      <c r="D1333" s="4" t="str">
        <f aca="false">IF($A1333="","",TRIM(Base_Bruta!D1333))</f>
        <v>Rio Beat Festival 2026</v>
      </c>
      <c r="E1333" s="4" t="str">
        <f aca="false">IF($A1333="","",_xlfn.XLOOKUP(LOWER(TRIM(Base_Bruta!E1333)),DePara_Categoria!$A$2:$A$9,DePara_Categoria!$B$2:$B$9,"REVISAR"))</f>
        <v>Festival</v>
      </c>
      <c r="F1333" s="4" t="str">
        <f aca="false">IF($A1333="","",_xlfn.XLOOKUP(LOWER(TRIM(Base_Bruta!F1333)),DePara_Cidade!$A$2:$A$29,DePara_Cidade!$B$2:$B$29,"REVISAR"))</f>
        <v>Rio de Janeiro</v>
      </c>
      <c r="G1333" s="4" t="str">
        <f aca="false">IF($A1333="","",TRIM(Base_Bruta!G1333))</f>
        <v>Inteira</v>
      </c>
      <c r="H1333" s="4" t="n">
        <f aca="false">IF($A1333="","",IF(ISNUMBER(Base_Bruta!H1333),Base_Bruta!H1333,IFERROR(_xlfn.NUMBERVALUE(TRIM(SUBSTITUTE(Base_Bruta!H1333,"R$","")),",","."),0)))</f>
        <v>1</v>
      </c>
      <c r="I1333" s="6" t="n">
        <f aca="false">IF($A1333="","",IF(ISNUMBER(Base_Bruta!I1333),Base_Bruta!I1333,IFERROR(_xlfn.NUMBERVALUE(TRIM(SUBSTITUTE(Base_Bruta!I1333,"R$","")),",","."),0)))</f>
        <v>975</v>
      </c>
      <c r="J1333" s="6" t="n">
        <f aca="false">IF($A1333="","",H1333*I1333)</f>
        <v>975</v>
      </c>
      <c r="K1333" s="4" t="str">
        <f aca="false">IF($A1333="","",TRIM(Base_Bruta!J1333))</f>
        <v>Site</v>
      </c>
      <c r="L1333" s="4" t="str">
        <f aca="false">IF($A1333="","",TRIM(Base_Bruta!K1333))</f>
        <v>C02169</v>
      </c>
      <c r="M1333" s="4" t="str">
        <f aca="false">IF($A1333="","",_xlfn.XLOOKUP(LOWER(TRIM(Base_Bruta!L1333)),DePara_Cidade!$A$2:$A$29,DePara_Cidade!$B$2:$B$29,"REVISAR"))</f>
        <v>Salvador</v>
      </c>
      <c r="N1333" s="4" t="str">
        <f aca="false">IF($A1333="","",UPPER(TRIM(Base_Bruta!M1333)))</f>
        <v>BA</v>
      </c>
      <c r="O1333" s="4" t="str">
        <f aca="false">IF($A1333="","",_xlfn.XLOOKUP(LOWER(TRIM(Base_Bruta!N1333)),DePara_Pais!$A$2:$A$9,DePara_Pais!$B$2:$B$9,"REVISAR"))</f>
        <v>Brasil</v>
      </c>
      <c r="P1333" s="4" t="str">
        <f aca="false">IF($A1333="","",IF(O1333&lt;&gt;"Brasil","Turista Internacional",IF(M1333=F1333,"Local","Turista Nacional")))</f>
        <v>Turista Nacional</v>
      </c>
      <c r="Q1333" s="7" t="n">
        <f aca="false">IF($A1333="","",DATE(YEAR(B1333),MONTH(B1333),1))</f>
        <v>46023</v>
      </c>
      <c r="R1333" s="4" t="str">
        <f aca="false">IF($A1333="","",IF(COUNTIF($A$2:$A1333,$A1333)&gt;1,"Sim","Não"))</f>
        <v>Não</v>
      </c>
      <c r="S1333" s="4" t="str">
        <f aca="false">IF(A1333="","Descartar - Linha vazia",IF(R1333="Sim","Descartar - Duplicado",IF(OR(H1333&lt;=0,I1333&lt;=0),"Descartar - Qtd/Valor inválido","OK")))</f>
        <v>OK</v>
      </c>
      <c r="T1333" s="4" t="str">
        <f aca="false">Base_Bruta!P1333</f>
        <v>vendas_RJ.xlsx</v>
      </c>
    </row>
    <row r="1334" customFormat="false" ht="15" hidden="false" customHeight="false" outlineLevel="0" collapsed="false">
      <c r="A1334" s="4" t="str">
        <f aca="false">IF(Base_Bruta!A1334="","",Base_Bruta!A1334)</f>
        <v>RJ-000191</v>
      </c>
      <c r="B1334" s="5" t="n">
        <f aca="false">IF($A1334="","",IF(ISNUMBER(Base_Bruta!B1334),Base_Bruta!B1334,IF(MID(Base_Bruta!B1334,5,1)="-",DATE(VALUE(LEFT(Base_Bruta!B1334,4)),VALUE(MID(Base_Bruta!B1334,6,2)),VALUE(RIGHT(Base_Bruta!B1334,2))),DATE(VALUE(RIGHT(Base_Bruta!B1334,4)),VALUE(MID(Base_Bruta!B1334,4,2)),VALUE(LEFT(Base_Bruta!B1334,2))))))</f>
        <v>46044</v>
      </c>
      <c r="C1334" s="5" t="n">
        <f aca="false">IF($A1334="","",IF(ISNUMBER(Base_Bruta!C1334),Base_Bruta!C1334,IF(MID(Base_Bruta!C1334,5,1)="-",DATE(VALUE(LEFT(Base_Bruta!C1334,4)),VALUE(MID(Base_Bruta!C1334,6,2)),VALUE(RIGHT(Base_Bruta!C1334,2))),DATE(VALUE(RIGHT(Base_Bruta!C1334,4)),VALUE(MID(Base_Bruta!C1334,4,2)),VALUE(LEFT(Base_Bruta!C1334,2))))))</f>
        <v>46046</v>
      </c>
      <c r="D1334" s="4" t="str">
        <f aca="false">IF($A1334="","",TRIM(Base_Bruta!D1334))</f>
        <v>Rio Beat Festival 2026</v>
      </c>
      <c r="E1334" s="4" t="str">
        <f aca="false">IF($A1334="","",_xlfn.XLOOKUP(LOWER(TRIM(Base_Bruta!E1334)),DePara_Categoria!$A$2:$A$9,DePara_Categoria!$B$2:$B$9,"REVISAR"))</f>
        <v>Festival</v>
      </c>
      <c r="F1334" s="4" t="str">
        <f aca="false">IF($A1334="","",_xlfn.XLOOKUP(LOWER(TRIM(Base_Bruta!F1334)),DePara_Cidade!$A$2:$A$29,DePara_Cidade!$B$2:$B$29,"REVISAR"))</f>
        <v>Rio de Janeiro</v>
      </c>
      <c r="G1334" s="4" t="str">
        <f aca="false">IF($A1334="","",TRIM(Base_Bruta!G1334))</f>
        <v>VIP</v>
      </c>
      <c r="H1334" s="4" t="n">
        <f aca="false">IF($A1334="","",IF(ISNUMBER(Base_Bruta!H1334),Base_Bruta!H1334,IFERROR(_xlfn.NUMBERVALUE(TRIM(SUBSTITUTE(Base_Bruta!H1334,"R$","")),",","."),0)))</f>
        <v>3</v>
      </c>
      <c r="I1334" s="6" t="n">
        <f aca="false">IF($A1334="","",IF(ISNUMBER(Base_Bruta!I1334),Base_Bruta!I1334,IFERROR(_xlfn.NUMBERVALUE(TRIM(SUBSTITUTE(Base_Bruta!I1334,"R$","")),",","."),0)))</f>
        <v>1720</v>
      </c>
      <c r="J1334" s="6" t="n">
        <f aca="false">IF($A1334="","",H1334*I1334)</f>
        <v>5160</v>
      </c>
      <c r="K1334" s="4" t="str">
        <f aca="false">IF($A1334="","",TRIM(Base_Bruta!J1334))</f>
        <v>Site</v>
      </c>
      <c r="L1334" s="4" t="str">
        <f aca="false">IF($A1334="","",TRIM(Base_Bruta!K1334))</f>
        <v>C01999</v>
      </c>
      <c r="M1334" s="4" t="str">
        <f aca="false">IF($A1334="","",_xlfn.XLOOKUP(LOWER(TRIM(Base_Bruta!L1334)),DePara_Cidade!$A$2:$A$29,DePara_Cidade!$B$2:$B$29,"REVISAR"))</f>
        <v>Rio de Janeiro</v>
      </c>
      <c r="N1334" s="4" t="str">
        <f aca="false">IF($A1334="","",UPPER(TRIM(Base_Bruta!M1334)))</f>
        <v>RJ</v>
      </c>
      <c r="O1334" s="4" t="str">
        <f aca="false">IF($A1334="","",_xlfn.XLOOKUP(LOWER(TRIM(Base_Bruta!N1334)),DePara_Pais!$A$2:$A$9,DePara_Pais!$B$2:$B$9,"REVISAR"))</f>
        <v>Brasil</v>
      </c>
      <c r="P1334" s="4" t="str">
        <f aca="false">IF($A1334="","",IF(O1334&lt;&gt;"Brasil","Turista Internacional",IF(M1334=F1334,"Local","Turista Nacional")))</f>
        <v>Local</v>
      </c>
      <c r="Q1334" s="7" t="n">
        <f aca="false">IF($A1334="","",DATE(YEAR(B1334),MONTH(B1334),1))</f>
        <v>46023</v>
      </c>
      <c r="R1334" s="4" t="str">
        <f aca="false">IF($A1334="","",IF(COUNTIF($A$2:$A1334,$A1334)&gt;1,"Sim","Não"))</f>
        <v>Não</v>
      </c>
      <c r="S1334" s="4" t="str">
        <f aca="false">IF(A1334="","Descartar - Linha vazia",IF(R1334="Sim","Descartar - Duplicado",IF(OR(H1334&lt;=0,I1334&lt;=0),"Descartar - Qtd/Valor inválido","OK")))</f>
        <v>OK</v>
      </c>
      <c r="T1334" s="4" t="str">
        <f aca="false">Base_Bruta!P1334</f>
        <v>vendas_RJ.xlsx</v>
      </c>
    </row>
    <row r="1335" customFormat="false" ht="15" hidden="false" customHeight="false" outlineLevel="0" collapsed="false">
      <c r="A1335" s="4" t="str">
        <f aca="false">IF(Base_Bruta!A1335="","",Base_Bruta!A1335)</f>
        <v>RJ-000429</v>
      </c>
      <c r="B1335" s="5" t="n">
        <f aca="false">IF($A1335="","",IF(ISNUMBER(Base_Bruta!B1335),Base_Bruta!B1335,IF(MID(Base_Bruta!B1335,5,1)="-",DATE(VALUE(LEFT(Base_Bruta!B1335,4)),VALUE(MID(Base_Bruta!B1335,6,2)),VALUE(RIGHT(Base_Bruta!B1335,2))),DATE(VALUE(RIGHT(Base_Bruta!B1335,4)),VALUE(MID(Base_Bruta!B1335,4,2)),VALUE(LEFT(Base_Bruta!B1335,2))))))</f>
        <v>46044</v>
      </c>
      <c r="C1335" s="5" t="n">
        <f aca="false">IF($A1335="","",IF(ISNUMBER(Base_Bruta!C1335),Base_Bruta!C1335,IF(MID(Base_Bruta!C1335,5,1)="-",DATE(VALUE(LEFT(Base_Bruta!C1335,4)),VALUE(MID(Base_Bruta!C1335,6,2)),VALUE(RIGHT(Base_Bruta!C1335,2))),DATE(VALUE(RIGHT(Base_Bruta!C1335,4)),VALUE(MID(Base_Bruta!C1335,4,2)),VALUE(LEFT(Base_Bruta!C1335,2))))))</f>
        <v>46151</v>
      </c>
      <c r="D1335" s="4" t="str">
        <f aca="false">IF($A1335="","",TRIM(Base_Bruta!D1335))</f>
        <v>Turnê Internacional Rock - Rio</v>
      </c>
      <c r="E1335" s="4" t="str">
        <f aca="false">IF($A1335="","",_xlfn.XLOOKUP(LOWER(TRIM(Base_Bruta!E1335)),DePara_Categoria!$A$2:$A$9,DePara_Categoria!$B$2:$B$9,"REVISAR"))</f>
        <v>Show</v>
      </c>
      <c r="F1335" s="4" t="str">
        <f aca="false">IF($A1335="","",_xlfn.XLOOKUP(LOWER(TRIM(Base_Bruta!F1335)),DePara_Cidade!$A$2:$A$29,DePara_Cidade!$B$2:$B$29,"REVISAR"))</f>
        <v>Rio de Janeiro</v>
      </c>
      <c r="G1335" s="4" t="str">
        <f aca="false">IF($A1335="","",TRIM(Base_Bruta!G1335))</f>
        <v>Inteira</v>
      </c>
      <c r="H1335" s="4" t="n">
        <f aca="false">IF($A1335="","",IF(ISNUMBER(Base_Bruta!H1335),Base_Bruta!H1335,IFERROR(_xlfn.NUMBERVALUE(TRIM(SUBSTITUTE(Base_Bruta!H1335,"R$","")),",","."),0)))</f>
        <v>4</v>
      </c>
      <c r="I1335" s="6" t="n">
        <f aca="false">IF($A1335="","",IF(ISNUMBER(Base_Bruta!I1335),Base_Bruta!I1335,IFERROR(_xlfn.NUMBERVALUE(TRIM(SUBSTITUTE(Base_Bruta!I1335,"R$","")),",","."),0)))</f>
        <v>520</v>
      </c>
      <c r="J1335" s="6" t="n">
        <f aca="false">IF($A1335="","",H1335*I1335)</f>
        <v>2080</v>
      </c>
      <c r="K1335" s="4" t="str">
        <f aca="false">IF($A1335="","",TRIM(Base_Bruta!J1335))</f>
        <v>Site</v>
      </c>
      <c r="L1335" s="4" t="str">
        <f aca="false">IF($A1335="","",TRIM(Base_Bruta!K1335))</f>
        <v>C01438</v>
      </c>
      <c r="M1335" s="4" t="str">
        <f aca="false">IF($A1335="","",_xlfn.XLOOKUP(LOWER(TRIM(Base_Bruta!L1335)),DePara_Cidade!$A$2:$A$29,DePara_Cidade!$B$2:$B$29,"REVISAR"))</f>
        <v>Rio de Janeiro</v>
      </c>
      <c r="N1335" s="4" t="str">
        <f aca="false">IF($A1335="","",UPPER(TRIM(Base_Bruta!M1335)))</f>
        <v>RJ</v>
      </c>
      <c r="O1335" s="4" t="str">
        <f aca="false">IF($A1335="","",_xlfn.XLOOKUP(LOWER(TRIM(Base_Bruta!N1335)),DePara_Pais!$A$2:$A$9,DePara_Pais!$B$2:$B$9,"REVISAR"))</f>
        <v>Brasil</v>
      </c>
      <c r="P1335" s="4" t="str">
        <f aca="false">IF($A1335="","",IF(O1335&lt;&gt;"Brasil","Turista Internacional",IF(M1335=F1335,"Local","Turista Nacional")))</f>
        <v>Local</v>
      </c>
      <c r="Q1335" s="7" t="n">
        <f aca="false">IF($A1335="","",DATE(YEAR(B1335),MONTH(B1335),1))</f>
        <v>46023</v>
      </c>
      <c r="R1335" s="4" t="str">
        <f aca="false">IF($A1335="","",IF(COUNTIF($A$2:$A1335,$A1335)&gt;1,"Sim","Não"))</f>
        <v>Não</v>
      </c>
      <c r="S1335" s="4" t="str">
        <f aca="false">IF(A1335="","Descartar - Linha vazia",IF(R1335="Sim","Descartar - Duplicado",IF(OR(H1335&lt;=0,I1335&lt;=0),"Descartar - Qtd/Valor inválido","OK")))</f>
        <v>OK</v>
      </c>
      <c r="T1335" s="4" t="str">
        <f aca="false">Base_Bruta!P1335</f>
        <v>vendas_RJ.xlsx</v>
      </c>
    </row>
    <row r="1336" customFormat="false" ht="15" hidden="false" customHeight="false" outlineLevel="0" collapsed="false">
      <c r="A1336" s="4" t="str">
        <f aca="false">IF(Base_Bruta!A1336="","",Base_Bruta!A1336)</f>
        <v>RJ-000446</v>
      </c>
      <c r="B1336" s="5" t="n">
        <f aca="false">IF($A1336="","",IF(ISNUMBER(Base_Bruta!B1336),Base_Bruta!B1336,IF(MID(Base_Bruta!B1336,5,1)="-",DATE(VALUE(LEFT(Base_Bruta!B1336,4)),VALUE(MID(Base_Bruta!B1336,6,2)),VALUE(RIGHT(Base_Bruta!B1336,2))),DATE(VALUE(RIGHT(Base_Bruta!B1336,4)),VALUE(MID(Base_Bruta!B1336,4,2)),VALUE(LEFT(Base_Bruta!B1336,2))))))</f>
        <v>46044</v>
      </c>
      <c r="C1336" s="5" t="n">
        <f aca="false">IF($A1336="","",IF(ISNUMBER(Base_Bruta!C1336),Base_Bruta!C1336,IF(MID(Base_Bruta!C1336,5,1)="-",DATE(VALUE(LEFT(Base_Bruta!C1336,4)),VALUE(MID(Base_Bruta!C1336,6,2)),VALUE(RIGHT(Base_Bruta!C1336,2))),DATE(VALUE(RIGHT(Base_Bruta!C1336,4)),VALUE(MID(Base_Bruta!C1336,4,2)),VALUE(LEFT(Base_Bruta!C1336,2))))))</f>
        <v>46151</v>
      </c>
      <c r="D1336" s="4" t="str">
        <f aca="false">IF($A1336="","",TRIM(Base_Bruta!D1336))</f>
        <v>Turnê Internacional Rock - Rio</v>
      </c>
      <c r="E1336" s="4" t="str">
        <f aca="false">IF($A1336="","",_xlfn.XLOOKUP(LOWER(TRIM(Base_Bruta!E1336)),DePara_Categoria!$A$2:$A$9,DePara_Categoria!$B$2:$B$9,"REVISAR"))</f>
        <v>Show</v>
      </c>
      <c r="F1336" s="4" t="str">
        <f aca="false">IF($A1336="","",_xlfn.XLOOKUP(LOWER(TRIM(Base_Bruta!F1336)),DePara_Cidade!$A$2:$A$29,DePara_Cidade!$B$2:$B$29,"REVISAR"))</f>
        <v>Rio de Janeiro</v>
      </c>
      <c r="G1336" s="4" t="str">
        <f aca="false">IF($A1336="","",TRIM(Base_Bruta!G1336))</f>
        <v>Inteira</v>
      </c>
      <c r="H1336" s="4" t="n">
        <f aca="false">IF($A1336="","",IF(ISNUMBER(Base_Bruta!H1336),Base_Bruta!H1336,IFERROR(_xlfn.NUMBERVALUE(TRIM(SUBSTITUTE(Base_Bruta!H1336,"R$","")),",","."),0)))</f>
        <v>2</v>
      </c>
      <c r="I1336" s="6" t="n">
        <f aca="false">IF($A1336="","",IF(ISNUMBER(Base_Bruta!I1336),Base_Bruta!I1336,IFERROR(_xlfn.NUMBERVALUE(TRIM(SUBSTITUTE(Base_Bruta!I1336,"R$","")),",","."),0)))</f>
        <v>495</v>
      </c>
      <c r="J1336" s="6" t="n">
        <f aca="false">IF($A1336="","",H1336*I1336)</f>
        <v>990</v>
      </c>
      <c r="K1336" s="4" t="str">
        <f aca="false">IF($A1336="","",TRIM(Base_Bruta!J1336))</f>
        <v>Parceiro</v>
      </c>
      <c r="L1336" s="4" t="str">
        <f aca="false">IF($A1336="","",TRIM(Base_Bruta!K1336))</f>
        <v>C00592</v>
      </c>
      <c r="M1336" s="4" t="str">
        <f aca="false">IF($A1336="","",_xlfn.XLOOKUP(LOWER(TRIM(Base_Bruta!L1336)),DePara_Cidade!$A$2:$A$29,DePara_Cidade!$B$2:$B$29,"REVISAR"))</f>
        <v>Rio de Janeiro</v>
      </c>
      <c r="N1336" s="4" t="str">
        <f aca="false">IF($A1336="","",UPPER(TRIM(Base_Bruta!M1336)))</f>
        <v>RJ</v>
      </c>
      <c r="O1336" s="4" t="str">
        <f aca="false">IF($A1336="","",_xlfn.XLOOKUP(LOWER(TRIM(Base_Bruta!N1336)),DePara_Pais!$A$2:$A$9,DePara_Pais!$B$2:$B$9,"REVISAR"))</f>
        <v>Brasil</v>
      </c>
      <c r="P1336" s="4" t="str">
        <f aca="false">IF($A1336="","",IF(O1336&lt;&gt;"Brasil","Turista Internacional",IF(M1336=F1336,"Local","Turista Nacional")))</f>
        <v>Local</v>
      </c>
      <c r="Q1336" s="7" t="n">
        <f aca="false">IF($A1336="","",DATE(YEAR(B1336),MONTH(B1336),1))</f>
        <v>46023</v>
      </c>
      <c r="R1336" s="4" t="str">
        <f aca="false">IF($A1336="","",IF(COUNTIF($A$2:$A1336,$A1336)&gt;1,"Sim","Não"))</f>
        <v>Não</v>
      </c>
      <c r="S1336" s="4" t="str">
        <f aca="false">IF(A1336="","Descartar - Linha vazia",IF(R1336="Sim","Descartar - Duplicado",IF(OR(H1336&lt;=0,I1336&lt;=0),"Descartar - Qtd/Valor inválido","OK")))</f>
        <v>OK</v>
      </c>
      <c r="T1336" s="4" t="str">
        <f aca="false">Base_Bruta!P1336</f>
        <v>vendas_RJ.xlsx</v>
      </c>
    </row>
    <row r="1337" customFormat="false" ht="15" hidden="false" customHeight="false" outlineLevel="0" collapsed="false">
      <c r="A1337" s="4" t="str">
        <f aca="false">IF(Base_Bruta!A1337="","",Base_Bruta!A1337)</f>
        <v>RJ-000526</v>
      </c>
      <c r="B1337" s="5" t="n">
        <f aca="false">IF($A1337="","",IF(ISNUMBER(Base_Bruta!B1337),Base_Bruta!B1337,IF(MID(Base_Bruta!B1337,5,1)="-",DATE(VALUE(LEFT(Base_Bruta!B1337,4)),VALUE(MID(Base_Bruta!B1337,6,2)),VALUE(RIGHT(Base_Bruta!B1337,2))),DATE(VALUE(RIGHT(Base_Bruta!B1337,4)),VALUE(MID(Base_Bruta!B1337,4,2)),VALUE(LEFT(Base_Bruta!B1337,2))))))</f>
        <v>46044</v>
      </c>
      <c r="C1337" s="5" t="n">
        <f aca="false">IF($A1337="","",IF(ISNUMBER(Base_Bruta!C1337),Base_Bruta!C1337,IF(MID(Base_Bruta!C1337,5,1)="-",DATE(VALUE(LEFT(Base_Bruta!C1337,4)),VALUE(MID(Base_Bruta!C1337,6,2)),VALUE(RIGHT(Base_Bruta!C1337,2))),DATE(VALUE(RIGHT(Base_Bruta!C1337,4)),VALUE(MID(Base_Bruta!C1337,4,2)),VALUE(LEFT(Base_Bruta!C1337,2))))))</f>
        <v>46151</v>
      </c>
      <c r="D1337" s="4" t="str">
        <f aca="false">IF($A1337="","",TRIM(Base_Bruta!D1337))</f>
        <v>Turnê Internacional Rock - Rio</v>
      </c>
      <c r="E1337" s="4" t="str">
        <f aca="false">IF($A1337="","",_xlfn.XLOOKUP(LOWER(TRIM(Base_Bruta!E1337)),DePara_Categoria!$A$2:$A$9,DePara_Categoria!$B$2:$B$9,"REVISAR"))</f>
        <v>Show</v>
      </c>
      <c r="F1337" s="4" t="str">
        <f aca="false">IF($A1337="","",_xlfn.XLOOKUP(LOWER(TRIM(Base_Bruta!F1337)),DePara_Cidade!$A$2:$A$29,DePara_Cidade!$B$2:$B$29,"REVISAR"))</f>
        <v>Rio de Janeiro</v>
      </c>
      <c r="G1337" s="4" t="str">
        <f aca="false">IF($A1337="","",TRIM(Base_Bruta!G1337))</f>
        <v>Inteira</v>
      </c>
      <c r="H1337" s="4" t="n">
        <f aca="false">IF($A1337="","",IF(ISNUMBER(Base_Bruta!H1337),Base_Bruta!H1337,IFERROR(_xlfn.NUMBERVALUE(TRIM(SUBSTITUTE(Base_Bruta!H1337,"R$","")),",","."),0)))</f>
        <v>2</v>
      </c>
      <c r="I1337" s="6" t="n">
        <f aca="false">IF($A1337="","",IF(ISNUMBER(Base_Bruta!I1337),Base_Bruta!I1337,IFERROR(_xlfn.NUMBERVALUE(TRIM(SUBSTITUTE(Base_Bruta!I1337,"R$","")),",","."),0)))</f>
        <v>485</v>
      </c>
      <c r="J1337" s="6" t="n">
        <f aca="false">IF($A1337="","",H1337*I1337)</f>
        <v>970</v>
      </c>
      <c r="K1337" s="4" t="str">
        <f aca="false">IF($A1337="","",TRIM(Base_Bruta!J1337))</f>
        <v>App</v>
      </c>
      <c r="L1337" s="4" t="str">
        <f aca="false">IF($A1337="","",TRIM(Base_Bruta!K1337))</f>
        <v>C01946</v>
      </c>
      <c r="M1337" s="4" t="str">
        <f aca="false">IF($A1337="","",_xlfn.XLOOKUP(LOWER(TRIM(Base_Bruta!L1337)),DePara_Cidade!$A$2:$A$29,DePara_Cidade!$B$2:$B$29,"REVISAR"))</f>
        <v>Rio de Janeiro</v>
      </c>
      <c r="N1337" s="4" t="str">
        <f aca="false">IF($A1337="","",UPPER(TRIM(Base_Bruta!M1337)))</f>
        <v>RJ</v>
      </c>
      <c r="O1337" s="4" t="str">
        <f aca="false">IF($A1337="","",_xlfn.XLOOKUP(LOWER(TRIM(Base_Bruta!N1337)),DePara_Pais!$A$2:$A$9,DePara_Pais!$B$2:$B$9,"REVISAR"))</f>
        <v>Brasil</v>
      </c>
      <c r="P1337" s="4" t="str">
        <f aca="false">IF($A1337="","",IF(O1337&lt;&gt;"Brasil","Turista Internacional",IF(M1337=F1337,"Local","Turista Nacional")))</f>
        <v>Local</v>
      </c>
      <c r="Q1337" s="7" t="n">
        <f aca="false">IF($A1337="","",DATE(YEAR(B1337),MONTH(B1337),1))</f>
        <v>46023</v>
      </c>
      <c r="R1337" s="4" t="str">
        <f aca="false">IF($A1337="","",IF(COUNTIF($A$2:$A1337,$A1337)&gt;1,"Sim","Não"))</f>
        <v>Não</v>
      </c>
      <c r="S1337" s="4" t="str">
        <f aca="false">IF(A1337="","Descartar - Linha vazia",IF(R1337="Sim","Descartar - Duplicado",IF(OR(H1337&lt;=0,I1337&lt;=0),"Descartar - Qtd/Valor inválido","OK")))</f>
        <v>OK</v>
      </c>
      <c r="T1337" s="4" t="str">
        <f aca="false">Base_Bruta!P1337</f>
        <v>vendas_RJ.xlsx</v>
      </c>
    </row>
    <row r="1338" customFormat="false" ht="15" hidden="false" customHeight="false" outlineLevel="0" collapsed="false">
      <c r="A1338" s="4" t="str">
        <f aca="false">IF(Base_Bruta!A1338="","",Base_Bruta!A1338)</f>
        <v>RJ-000133</v>
      </c>
      <c r="B1338" s="5" t="n">
        <f aca="false">IF($A1338="","",IF(ISNUMBER(Base_Bruta!B1338),Base_Bruta!B1338,IF(MID(Base_Bruta!B1338,5,1)="-",DATE(VALUE(LEFT(Base_Bruta!B1338,4)),VALUE(MID(Base_Bruta!B1338,6,2)),VALUE(RIGHT(Base_Bruta!B1338,2))),DATE(VALUE(RIGHT(Base_Bruta!B1338,4)),VALUE(MID(Base_Bruta!B1338,4,2)),VALUE(LEFT(Base_Bruta!B1338,2))))))</f>
        <v>46045</v>
      </c>
      <c r="C1338" s="5" t="n">
        <f aca="false">IF($A1338="","",IF(ISNUMBER(Base_Bruta!C1338),Base_Bruta!C1338,IF(MID(Base_Bruta!C1338,5,1)="-",DATE(VALUE(LEFT(Base_Bruta!C1338,4)),VALUE(MID(Base_Bruta!C1338,6,2)),VALUE(RIGHT(Base_Bruta!C1338,2))),DATE(VALUE(RIGHT(Base_Bruta!C1338,4)),VALUE(MID(Base_Bruta!C1338,4,2)),VALUE(LEFT(Base_Bruta!C1338,2))))))</f>
        <v>46046</v>
      </c>
      <c r="D1338" s="4" t="str">
        <f aca="false">IF($A1338="","",TRIM(Base_Bruta!D1338))</f>
        <v>Rio Beat Festival 2026</v>
      </c>
      <c r="E1338" s="4" t="str">
        <f aca="false">IF($A1338="","",_xlfn.XLOOKUP(LOWER(TRIM(Base_Bruta!E1338)),DePara_Categoria!$A$2:$A$9,DePara_Categoria!$B$2:$B$9,"REVISAR"))</f>
        <v>Festival</v>
      </c>
      <c r="F1338" s="4" t="str">
        <f aca="false">IF($A1338="","",_xlfn.XLOOKUP(LOWER(TRIM(Base_Bruta!F1338)),DePara_Cidade!$A$2:$A$29,DePara_Cidade!$B$2:$B$29,"REVISAR"))</f>
        <v>Rio de Janeiro</v>
      </c>
      <c r="G1338" s="4" t="str">
        <f aca="false">IF($A1338="","",TRIM(Base_Bruta!G1338))</f>
        <v>Meia</v>
      </c>
      <c r="H1338" s="4" t="n">
        <f aca="false">IF($A1338="","",IF(ISNUMBER(Base_Bruta!H1338),Base_Bruta!H1338,IFERROR(_xlfn.NUMBERVALUE(TRIM(SUBSTITUTE(Base_Bruta!H1338,"R$","")),",","."),0)))</f>
        <v>2</v>
      </c>
      <c r="I1338" s="6" t="n">
        <f aca="false">IF($A1338="","",IF(ISNUMBER(Base_Bruta!I1338),Base_Bruta!I1338,IFERROR(_xlfn.NUMBERVALUE(TRIM(SUBSTITUTE(Base_Bruta!I1338,"R$","")),",","."),0)))</f>
        <v>490</v>
      </c>
      <c r="J1338" s="6" t="n">
        <f aca="false">IF($A1338="","",H1338*I1338)</f>
        <v>980</v>
      </c>
      <c r="K1338" s="4" t="str">
        <f aca="false">IF($A1338="","",TRIM(Base_Bruta!J1338))</f>
        <v>Site</v>
      </c>
      <c r="L1338" s="4" t="str">
        <f aca="false">IF($A1338="","",TRIM(Base_Bruta!K1338))</f>
        <v>C02114</v>
      </c>
      <c r="M1338" s="4" t="str">
        <f aca="false">IF($A1338="","",_xlfn.XLOOKUP(LOWER(TRIM(Base_Bruta!L1338)),DePara_Cidade!$A$2:$A$29,DePara_Cidade!$B$2:$B$29,"REVISAR"))</f>
        <v>Buenos Aires</v>
      </c>
      <c r="N1338" s="4" t="str">
        <f aca="false">IF($A1338="","",UPPER(TRIM(Base_Bruta!M1338)))</f>
        <v>EX</v>
      </c>
      <c r="O1338" s="4" t="str">
        <f aca="false">IF($A1338="","",_xlfn.XLOOKUP(LOWER(TRIM(Base_Bruta!N1338)),DePara_Pais!$A$2:$A$9,DePara_Pais!$B$2:$B$9,"REVISAR"))</f>
        <v>Argentina</v>
      </c>
      <c r="P1338" s="4" t="str">
        <f aca="false">IF($A1338="","",IF(O1338&lt;&gt;"Brasil","Turista Internacional",IF(M1338=F1338,"Local","Turista Nacional")))</f>
        <v>Turista Internacional</v>
      </c>
      <c r="Q1338" s="7" t="n">
        <f aca="false">IF($A1338="","",DATE(YEAR(B1338),MONTH(B1338),1))</f>
        <v>46023</v>
      </c>
      <c r="R1338" s="4" t="str">
        <f aca="false">IF($A1338="","",IF(COUNTIF($A$2:$A1338,$A1338)&gt;1,"Sim","Não"))</f>
        <v>Não</v>
      </c>
      <c r="S1338" s="4" t="str">
        <f aca="false">IF(A1338="","Descartar - Linha vazia",IF(R1338="Sim","Descartar - Duplicado",IF(OR(H1338&lt;=0,I1338&lt;=0),"Descartar - Qtd/Valor inválido","OK")))</f>
        <v>OK</v>
      </c>
      <c r="T1338" s="4" t="str">
        <f aca="false">Base_Bruta!P1338</f>
        <v>vendas_RJ.xlsx</v>
      </c>
    </row>
    <row r="1339" customFormat="false" ht="15" hidden="false" customHeight="false" outlineLevel="0" collapsed="false">
      <c r="A1339" s="4" t="str">
        <f aca="false">IF(Base_Bruta!A1339="","",Base_Bruta!A1339)</f>
        <v>RJ-000138</v>
      </c>
      <c r="B1339" s="5" t="n">
        <f aca="false">IF($A1339="","",IF(ISNUMBER(Base_Bruta!B1339),Base_Bruta!B1339,IF(MID(Base_Bruta!B1339,5,1)="-",DATE(VALUE(LEFT(Base_Bruta!B1339,4)),VALUE(MID(Base_Bruta!B1339,6,2)),VALUE(RIGHT(Base_Bruta!B1339,2))),DATE(VALUE(RIGHT(Base_Bruta!B1339,4)),VALUE(MID(Base_Bruta!B1339,4,2)),VALUE(LEFT(Base_Bruta!B1339,2))))))</f>
        <v>46045</v>
      </c>
      <c r="C1339" s="5" t="n">
        <f aca="false">IF($A1339="","",IF(ISNUMBER(Base_Bruta!C1339),Base_Bruta!C1339,IF(MID(Base_Bruta!C1339,5,1)="-",DATE(VALUE(LEFT(Base_Bruta!C1339,4)),VALUE(MID(Base_Bruta!C1339,6,2)),VALUE(RIGHT(Base_Bruta!C1339,2))),DATE(VALUE(RIGHT(Base_Bruta!C1339,4)),VALUE(MID(Base_Bruta!C1339,4,2)),VALUE(LEFT(Base_Bruta!C1339,2))))))</f>
        <v>46046</v>
      </c>
      <c r="D1339" s="4" t="str">
        <f aca="false">IF($A1339="","",TRIM(Base_Bruta!D1339))</f>
        <v>Rio Beat Festival 2026</v>
      </c>
      <c r="E1339" s="4" t="str">
        <f aca="false">IF($A1339="","",_xlfn.XLOOKUP(LOWER(TRIM(Base_Bruta!E1339)),DePara_Categoria!$A$2:$A$9,DePara_Categoria!$B$2:$B$9,"REVISAR"))</f>
        <v>Festival</v>
      </c>
      <c r="F1339" s="4" t="str">
        <f aca="false">IF($A1339="","",_xlfn.XLOOKUP(LOWER(TRIM(Base_Bruta!F1339)),DePara_Cidade!$A$2:$A$29,DePara_Cidade!$B$2:$B$29,"REVISAR"))</f>
        <v>Rio de Janeiro</v>
      </c>
      <c r="G1339" s="4" t="str">
        <f aca="false">IF($A1339="","",TRIM(Base_Bruta!G1339))</f>
        <v>VIP</v>
      </c>
      <c r="H1339" s="4" t="n">
        <f aca="false">IF($A1339="","",IF(ISNUMBER(Base_Bruta!H1339),Base_Bruta!H1339,IFERROR(_xlfn.NUMBERVALUE(TRIM(SUBSTITUTE(Base_Bruta!H1339,"R$","")),",","."),0)))</f>
        <v>3</v>
      </c>
      <c r="I1339" s="6" t="n">
        <f aca="false">IF($A1339="","",IF(ISNUMBER(Base_Bruta!I1339),Base_Bruta!I1339,IFERROR(_xlfn.NUMBERVALUE(TRIM(SUBSTITUTE(Base_Bruta!I1339,"R$","")),",","."),0)))</f>
        <v>1710</v>
      </c>
      <c r="J1339" s="6" t="n">
        <f aca="false">IF($A1339="","",H1339*I1339)</f>
        <v>5130</v>
      </c>
      <c r="K1339" s="4" t="str">
        <f aca="false">IF($A1339="","",TRIM(Base_Bruta!J1339))</f>
        <v>Parceiro</v>
      </c>
      <c r="L1339" s="4" t="str">
        <f aca="false">IF($A1339="","",TRIM(Base_Bruta!K1339))</f>
        <v>C00864</v>
      </c>
      <c r="M1339" s="4" t="str">
        <f aca="false">IF($A1339="","",_xlfn.XLOOKUP(LOWER(TRIM(Base_Bruta!L1339)),DePara_Cidade!$A$2:$A$29,DePara_Cidade!$B$2:$B$29,"REVISAR"))</f>
        <v>Rio de Janeiro</v>
      </c>
      <c r="N1339" s="4" t="str">
        <f aca="false">IF($A1339="","",UPPER(TRIM(Base_Bruta!M1339)))</f>
        <v>RJ</v>
      </c>
      <c r="O1339" s="4" t="str">
        <f aca="false">IF($A1339="","",_xlfn.XLOOKUP(LOWER(TRIM(Base_Bruta!N1339)),DePara_Pais!$A$2:$A$9,DePara_Pais!$B$2:$B$9,"REVISAR"))</f>
        <v>Brasil</v>
      </c>
      <c r="P1339" s="4" t="str">
        <f aca="false">IF($A1339="","",IF(O1339&lt;&gt;"Brasil","Turista Internacional",IF(M1339=F1339,"Local","Turista Nacional")))</f>
        <v>Local</v>
      </c>
      <c r="Q1339" s="7" t="n">
        <f aca="false">IF($A1339="","",DATE(YEAR(B1339),MONTH(B1339),1))</f>
        <v>46023</v>
      </c>
      <c r="R1339" s="4" t="str">
        <f aca="false">IF($A1339="","",IF(COUNTIF($A$2:$A1339,$A1339)&gt;1,"Sim","Não"))</f>
        <v>Não</v>
      </c>
      <c r="S1339" s="4" t="str">
        <f aca="false">IF(A1339="","Descartar - Linha vazia",IF(R1339="Sim","Descartar - Duplicado",IF(OR(H1339&lt;=0,I1339&lt;=0),"Descartar - Qtd/Valor inválido","OK")))</f>
        <v>OK</v>
      </c>
      <c r="T1339" s="4" t="str">
        <f aca="false">Base_Bruta!P1339</f>
        <v>vendas_RJ.xlsx</v>
      </c>
    </row>
    <row r="1340" customFormat="false" ht="15" hidden="false" customHeight="false" outlineLevel="0" collapsed="false">
      <c r="A1340" s="4" t="str">
        <f aca="false">IF(Base_Bruta!A1340="","",Base_Bruta!A1340)</f>
        <v>RJ-000143</v>
      </c>
      <c r="B1340" s="5" t="n">
        <f aca="false">IF($A1340="","",IF(ISNUMBER(Base_Bruta!B1340),Base_Bruta!B1340,IF(MID(Base_Bruta!B1340,5,1)="-",DATE(VALUE(LEFT(Base_Bruta!B1340,4)),VALUE(MID(Base_Bruta!B1340,6,2)),VALUE(RIGHT(Base_Bruta!B1340,2))),DATE(VALUE(RIGHT(Base_Bruta!B1340,4)),VALUE(MID(Base_Bruta!B1340,4,2)),VALUE(LEFT(Base_Bruta!B1340,2))))))</f>
        <v>46045</v>
      </c>
      <c r="C1340" s="5" t="n">
        <f aca="false">IF($A1340="","",IF(ISNUMBER(Base_Bruta!C1340),Base_Bruta!C1340,IF(MID(Base_Bruta!C1340,5,1)="-",DATE(VALUE(LEFT(Base_Bruta!C1340,4)),VALUE(MID(Base_Bruta!C1340,6,2)),VALUE(RIGHT(Base_Bruta!C1340,2))),DATE(VALUE(RIGHT(Base_Bruta!C1340,4)),VALUE(MID(Base_Bruta!C1340,4,2)),VALUE(LEFT(Base_Bruta!C1340,2))))))</f>
        <v>46046</v>
      </c>
      <c r="D1340" s="4" t="str">
        <f aca="false">IF($A1340="","",TRIM(Base_Bruta!D1340))</f>
        <v>Rio Beat Festival 2026</v>
      </c>
      <c r="E1340" s="4" t="str">
        <f aca="false">IF($A1340="","",_xlfn.XLOOKUP(LOWER(TRIM(Base_Bruta!E1340)),DePara_Categoria!$A$2:$A$9,DePara_Categoria!$B$2:$B$9,"REVISAR"))</f>
        <v>Festival</v>
      </c>
      <c r="F1340" s="4" t="str">
        <f aca="false">IF($A1340="","",_xlfn.XLOOKUP(LOWER(TRIM(Base_Bruta!F1340)),DePara_Cidade!$A$2:$A$29,DePara_Cidade!$B$2:$B$29,"REVISAR"))</f>
        <v>Rio de Janeiro</v>
      </c>
      <c r="G1340" s="4" t="str">
        <f aca="false">IF($A1340="","",TRIM(Base_Bruta!G1340))</f>
        <v>Inteira</v>
      </c>
      <c r="H1340" s="4" t="n">
        <f aca="false">IF($A1340="","",IF(ISNUMBER(Base_Bruta!H1340),Base_Bruta!H1340,IFERROR(_xlfn.NUMBERVALUE(TRIM(SUBSTITUTE(Base_Bruta!H1340,"R$","")),",","."),0)))</f>
        <v>2</v>
      </c>
      <c r="I1340" s="6" t="n">
        <f aca="false">IF($A1340="","",IF(ISNUMBER(Base_Bruta!I1340),Base_Bruta!I1340,IFERROR(_xlfn.NUMBERVALUE(TRIM(SUBSTITUTE(Base_Bruta!I1340,"R$","")),",","."),0)))</f>
        <v>790</v>
      </c>
      <c r="J1340" s="6" t="n">
        <f aca="false">IF($A1340="","",H1340*I1340)</f>
        <v>1580</v>
      </c>
      <c r="K1340" s="4" t="str">
        <f aca="false">IF($A1340="","",TRIM(Base_Bruta!J1340))</f>
        <v>Site</v>
      </c>
      <c r="L1340" s="4" t="str">
        <f aca="false">IF($A1340="","",TRIM(Base_Bruta!K1340))</f>
        <v>C00139</v>
      </c>
      <c r="M1340" s="4" t="str">
        <f aca="false">IF($A1340="","",_xlfn.XLOOKUP(LOWER(TRIM(Base_Bruta!L1340)),DePara_Cidade!$A$2:$A$29,DePara_Cidade!$B$2:$B$29,"REVISAR"))</f>
        <v>Salvador</v>
      </c>
      <c r="N1340" s="4" t="str">
        <f aca="false">IF($A1340="","",UPPER(TRIM(Base_Bruta!M1340)))</f>
        <v>BA</v>
      </c>
      <c r="O1340" s="4" t="str">
        <f aca="false">IF($A1340="","",_xlfn.XLOOKUP(LOWER(TRIM(Base_Bruta!N1340)),DePara_Pais!$A$2:$A$9,DePara_Pais!$B$2:$B$9,"REVISAR"))</f>
        <v>Brasil</v>
      </c>
      <c r="P1340" s="4" t="str">
        <f aca="false">IF($A1340="","",IF(O1340&lt;&gt;"Brasil","Turista Internacional",IF(M1340=F1340,"Local","Turista Nacional")))</f>
        <v>Turista Nacional</v>
      </c>
      <c r="Q1340" s="7" t="n">
        <f aca="false">IF($A1340="","",DATE(YEAR(B1340),MONTH(B1340),1))</f>
        <v>46023</v>
      </c>
      <c r="R1340" s="4" t="str">
        <f aca="false">IF($A1340="","",IF(COUNTIF($A$2:$A1340,$A1340)&gt;1,"Sim","Não"))</f>
        <v>Não</v>
      </c>
      <c r="S1340" s="4" t="str">
        <f aca="false">IF(A1340="","Descartar - Linha vazia",IF(R1340="Sim","Descartar - Duplicado",IF(OR(H1340&lt;=0,I1340&lt;=0),"Descartar - Qtd/Valor inválido","OK")))</f>
        <v>OK</v>
      </c>
      <c r="T1340" s="4" t="str">
        <f aca="false">Base_Bruta!P1340</f>
        <v>vendas_RJ.xlsx</v>
      </c>
    </row>
    <row r="1341" customFormat="false" ht="15" hidden="false" customHeight="false" outlineLevel="0" collapsed="false">
      <c r="A1341" s="4" t="str">
        <f aca="false">IF(Base_Bruta!A1341="","",Base_Bruta!A1341)</f>
        <v>RJ-000174</v>
      </c>
      <c r="B1341" s="5" t="n">
        <f aca="false">IF($A1341="","",IF(ISNUMBER(Base_Bruta!B1341),Base_Bruta!B1341,IF(MID(Base_Bruta!B1341,5,1)="-",DATE(VALUE(LEFT(Base_Bruta!B1341,4)),VALUE(MID(Base_Bruta!B1341,6,2)),VALUE(RIGHT(Base_Bruta!B1341,2))),DATE(VALUE(RIGHT(Base_Bruta!B1341,4)),VALUE(MID(Base_Bruta!B1341,4,2)),VALUE(LEFT(Base_Bruta!B1341,2))))))</f>
        <v>46045</v>
      </c>
      <c r="C1341" s="5" t="n">
        <f aca="false">IF($A1341="","",IF(ISNUMBER(Base_Bruta!C1341),Base_Bruta!C1341,IF(MID(Base_Bruta!C1341,5,1)="-",DATE(VALUE(LEFT(Base_Bruta!C1341,4)),VALUE(MID(Base_Bruta!C1341,6,2)),VALUE(RIGHT(Base_Bruta!C1341,2))),DATE(VALUE(RIGHT(Base_Bruta!C1341,4)),VALUE(MID(Base_Bruta!C1341,4,2)),VALUE(LEFT(Base_Bruta!C1341,2))))))</f>
        <v>46046</v>
      </c>
      <c r="D1341" s="4" t="str">
        <f aca="false">IF($A1341="","",TRIM(Base_Bruta!D1341))</f>
        <v>Rio Beat Festival 2026</v>
      </c>
      <c r="E1341" s="4" t="str">
        <f aca="false">IF($A1341="","",_xlfn.XLOOKUP(LOWER(TRIM(Base_Bruta!E1341)),DePara_Categoria!$A$2:$A$9,DePara_Categoria!$B$2:$B$9,"REVISAR"))</f>
        <v>Festival</v>
      </c>
      <c r="F1341" s="4" t="str">
        <f aca="false">IF($A1341="","",_xlfn.XLOOKUP(LOWER(TRIM(Base_Bruta!F1341)),DePara_Cidade!$A$2:$A$29,DePara_Cidade!$B$2:$B$29,"REVISAR"))</f>
        <v>Rio de Janeiro</v>
      </c>
      <c r="G1341" s="4" t="str">
        <f aca="false">IF($A1341="","",TRIM(Base_Bruta!G1341))</f>
        <v>Inteira</v>
      </c>
      <c r="H1341" s="4" t="n">
        <f aca="false">IF($A1341="","",IF(ISNUMBER(Base_Bruta!H1341),Base_Bruta!H1341,IFERROR(_xlfn.NUMBERVALUE(TRIM(SUBSTITUTE(Base_Bruta!H1341,"R$","")),",","."),0)))</f>
        <v>3</v>
      </c>
      <c r="I1341" s="6" t="n">
        <f aca="false">IF($A1341="","",IF(ISNUMBER(Base_Bruta!I1341),Base_Bruta!I1341,IFERROR(_xlfn.NUMBERVALUE(TRIM(SUBSTITUTE(Base_Bruta!I1341,"R$","")),",","."),0)))</f>
        <v>695</v>
      </c>
      <c r="J1341" s="6" t="n">
        <f aca="false">IF($A1341="","",H1341*I1341)</f>
        <v>2085</v>
      </c>
      <c r="K1341" s="4" t="str">
        <f aca="false">IF($A1341="","",TRIM(Base_Bruta!J1341))</f>
        <v>Site</v>
      </c>
      <c r="L1341" s="4" t="str">
        <f aca="false">IF($A1341="","",TRIM(Base_Bruta!K1341))</f>
        <v>C00485</v>
      </c>
      <c r="M1341" s="4" t="str">
        <f aca="false">IF($A1341="","",_xlfn.XLOOKUP(LOWER(TRIM(Base_Bruta!L1341)),DePara_Cidade!$A$2:$A$29,DePara_Cidade!$B$2:$B$29,"REVISAR"))</f>
        <v>São Paulo</v>
      </c>
      <c r="N1341" s="4" t="str">
        <f aca="false">IF($A1341="","",UPPER(TRIM(Base_Bruta!M1341)))</f>
        <v>SP</v>
      </c>
      <c r="O1341" s="4" t="str">
        <f aca="false">IF($A1341="","",_xlfn.XLOOKUP(LOWER(TRIM(Base_Bruta!N1341)),DePara_Pais!$A$2:$A$9,DePara_Pais!$B$2:$B$9,"REVISAR"))</f>
        <v>Brasil</v>
      </c>
      <c r="P1341" s="4" t="str">
        <f aca="false">IF($A1341="","",IF(O1341&lt;&gt;"Brasil","Turista Internacional",IF(M1341=F1341,"Local","Turista Nacional")))</f>
        <v>Turista Nacional</v>
      </c>
      <c r="Q1341" s="7" t="n">
        <f aca="false">IF($A1341="","",DATE(YEAR(B1341),MONTH(B1341),1))</f>
        <v>46023</v>
      </c>
      <c r="R1341" s="4" t="str">
        <f aca="false">IF($A1341="","",IF(COUNTIF($A$2:$A1341,$A1341)&gt;1,"Sim","Não"))</f>
        <v>Não</v>
      </c>
      <c r="S1341" s="4" t="str">
        <f aca="false">IF(A1341="","Descartar - Linha vazia",IF(R1341="Sim","Descartar - Duplicado",IF(OR(H1341&lt;=0,I1341&lt;=0),"Descartar - Qtd/Valor inválido","OK")))</f>
        <v>OK</v>
      </c>
      <c r="T1341" s="4" t="str">
        <f aca="false">Base_Bruta!P1341</f>
        <v>vendas_RJ.xlsx</v>
      </c>
    </row>
    <row r="1342" customFormat="false" ht="15" hidden="false" customHeight="false" outlineLevel="0" collapsed="false">
      <c r="A1342" s="4" t="str">
        <f aca="false">IF(Base_Bruta!A1342="","",Base_Bruta!A1342)</f>
        <v>RJ-000197</v>
      </c>
      <c r="B1342" s="5" t="n">
        <f aca="false">IF($A1342="","",IF(ISNUMBER(Base_Bruta!B1342),Base_Bruta!B1342,IF(MID(Base_Bruta!B1342,5,1)="-",DATE(VALUE(LEFT(Base_Bruta!B1342,4)),VALUE(MID(Base_Bruta!B1342,6,2)),VALUE(RIGHT(Base_Bruta!B1342,2))),DATE(VALUE(RIGHT(Base_Bruta!B1342,4)),VALUE(MID(Base_Bruta!B1342,4,2)),VALUE(LEFT(Base_Bruta!B1342,2))))))</f>
        <v>46045</v>
      </c>
      <c r="C1342" s="5" t="n">
        <f aca="false">IF($A1342="","",IF(ISNUMBER(Base_Bruta!C1342),Base_Bruta!C1342,IF(MID(Base_Bruta!C1342,5,1)="-",DATE(VALUE(LEFT(Base_Bruta!C1342,4)),VALUE(MID(Base_Bruta!C1342,6,2)),VALUE(RIGHT(Base_Bruta!C1342,2))),DATE(VALUE(RIGHT(Base_Bruta!C1342,4)),VALUE(MID(Base_Bruta!C1342,4,2)),VALUE(LEFT(Base_Bruta!C1342,2))))))</f>
        <v>46046</v>
      </c>
      <c r="D1342" s="4" t="str">
        <f aca="false">IF($A1342="","",TRIM(Base_Bruta!D1342))</f>
        <v>Rio Beat Festival 2026</v>
      </c>
      <c r="E1342" s="4" t="str">
        <f aca="false">IF($A1342="","",_xlfn.XLOOKUP(LOWER(TRIM(Base_Bruta!E1342)),DePara_Categoria!$A$2:$A$9,DePara_Categoria!$B$2:$B$9,"REVISAR"))</f>
        <v>Festival</v>
      </c>
      <c r="F1342" s="4" t="str">
        <f aca="false">IF($A1342="","",_xlfn.XLOOKUP(LOWER(TRIM(Base_Bruta!F1342)),DePara_Cidade!$A$2:$A$29,DePara_Cidade!$B$2:$B$29,"REVISAR"))</f>
        <v>Rio de Janeiro</v>
      </c>
      <c r="G1342" s="4" t="str">
        <f aca="false">IF($A1342="","",TRIM(Base_Bruta!G1342))</f>
        <v>Inteira</v>
      </c>
      <c r="H1342" s="4" t="n">
        <f aca="false">IF($A1342="","",IF(ISNUMBER(Base_Bruta!H1342),Base_Bruta!H1342,IFERROR(_xlfn.NUMBERVALUE(TRIM(SUBSTITUTE(Base_Bruta!H1342,"R$","")),",","."),0)))</f>
        <v>2</v>
      </c>
      <c r="I1342" s="6" t="n">
        <f aca="false">IF($A1342="","",IF(ISNUMBER(Base_Bruta!I1342),Base_Bruta!I1342,IFERROR(_xlfn.NUMBERVALUE(TRIM(SUBSTITUTE(Base_Bruta!I1342,"R$","")),",","."),0)))</f>
        <v>990</v>
      </c>
      <c r="J1342" s="6" t="n">
        <f aca="false">IF($A1342="","",H1342*I1342)</f>
        <v>1980</v>
      </c>
      <c r="K1342" s="4" t="str">
        <f aca="false">IF($A1342="","",TRIM(Base_Bruta!J1342))</f>
        <v>Site</v>
      </c>
      <c r="L1342" s="4" t="str">
        <f aca="false">IF($A1342="","",TRIM(Base_Bruta!K1342))</f>
        <v>C00173</v>
      </c>
      <c r="M1342" s="4" t="str">
        <f aca="false">IF($A1342="","",_xlfn.XLOOKUP(LOWER(TRIM(Base_Bruta!L1342)),DePara_Cidade!$A$2:$A$29,DePara_Cidade!$B$2:$B$29,"REVISAR"))</f>
        <v>Campinas</v>
      </c>
      <c r="N1342" s="4" t="str">
        <f aca="false">IF($A1342="","",UPPER(TRIM(Base_Bruta!M1342)))</f>
        <v>SP</v>
      </c>
      <c r="O1342" s="4" t="str">
        <f aca="false">IF($A1342="","",_xlfn.XLOOKUP(LOWER(TRIM(Base_Bruta!N1342)),DePara_Pais!$A$2:$A$9,DePara_Pais!$B$2:$B$9,"REVISAR"))</f>
        <v>Brasil</v>
      </c>
      <c r="P1342" s="4" t="str">
        <f aca="false">IF($A1342="","",IF(O1342&lt;&gt;"Brasil","Turista Internacional",IF(M1342=F1342,"Local","Turista Nacional")))</f>
        <v>Turista Nacional</v>
      </c>
      <c r="Q1342" s="7" t="n">
        <f aca="false">IF($A1342="","",DATE(YEAR(B1342),MONTH(B1342),1))</f>
        <v>46023</v>
      </c>
      <c r="R1342" s="4" t="str">
        <f aca="false">IF($A1342="","",IF(COUNTIF($A$2:$A1342,$A1342)&gt;1,"Sim","Não"))</f>
        <v>Não</v>
      </c>
      <c r="S1342" s="4" t="str">
        <f aca="false">IF(A1342="","Descartar - Linha vazia",IF(R1342="Sim","Descartar - Duplicado",IF(OR(H1342&lt;=0,I1342&lt;=0),"Descartar - Qtd/Valor inválido","OK")))</f>
        <v>OK</v>
      </c>
      <c r="T1342" s="4" t="str">
        <f aca="false">Base_Bruta!P1342</f>
        <v>vendas_RJ.xlsx</v>
      </c>
    </row>
    <row r="1343" customFormat="false" ht="15" hidden="false" customHeight="false" outlineLevel="0" collapsed="false">
      <c r="A1343" s="4" t="str">
        <f aca="false">IF(Base_Bruta!A1343="","",Base_Bruta!A1343)</f>
        <v>RJ-000214</v>
      </c>
      <c r="B1343" s="5" t="n">
        <f aca="false">IF($A1343="","",IF(ISNUMBER(Base_Bruta!B1343),Base_Bruta!B1343,IF(MID(Base_Bruta!B1343,5,1)="-",DATE(VALUE(LEFT(Base_Bruta!B1343,4)),VALUE(MID(Base_Bruta!B1343,6,2)),VALUE(RIGHT(Base_Bruta!B1343,2))),DATE(VALUE(RIGHT(Base_Bruta!B1343,4)),VALUE(MID(Base_Bruta!B1343,4,2)),VALUE(LEFT(Base_Bruta!B1343,2))))))</f>
        <v>46045</v>
      </c>
      <c r="C1343" s="5" t="n">
        <f aca="false">IF($A1343="","",IF(ISNUMBER(Base_Bruta!C1343),Base_Bruta!C1343,IF(MID(Base_Bruta!C1343,5,1)="-",DATE(VALUE(LEFT(Base_Bruta!C1343,4)),VALUE(MID(Base_Bruta!C1343,6,2)),VALUE(RIGHT(Base_Bruta!C1343,2))),DATE(VALUE(RIGHT(Base_Bruta!C1343,4)),VALUE(MID(Base_Bruta!C1343,4,2)),VALUE(LEFT(Base_Bruta!C1343,2))))))</f>
        <v>46046</v>
      </c>
      <c r="D1343" s="4" t="str">
        <f aca="false">IF($A1343="","",TRIM(Base_Bruta!D1343))</f>
        <v>Rio Beat Festival 2026</v>
      </c>
      <c r="E1343" s="4" t="str">
        <f aca="false">IF($A1343="","",_xlfn.XLOOKUP(LOWER(TRIM(Base_Bruta!E1343)),DePara_Categoria!$A$2:$A$9,DePara_Categoria!$B$2:$B$9,"REVISAR"))</f>
        <v>Festival</v>
      </c>
      <c r="F1343" s="4" t="str">
        <f aca="false">IF($A1343="","",_xlfn.XLOOKUP(LOWER(TRIM(Base_Bruta!F1343)),DePara_Cidade!$A$2:$A$29,DePara_Cidade!$B$2:$B$29,"REVISAR"))</f>
        <v>Rio de Janeiro</v>
      </c>
      <c r="G1343" s="4" t="str">
        <f aca="false">IF($A1343="","",TRIM(Base_Bruta!G1343))</f>
        <v>Meia</v>
      </c>
      <c r="H1343" s="4" t="n">
        <f aca="false">IF($A1343="","",IF(ISNUMBER(Base_Bruta!H1343),Base_Bruta!H1343,IFERROR(_xlfn.NUMBERVALUE(TRIM(SUBSTITUTE(Base_Bruta!H1343,"R$","")),",","."),0)))</f>
        <v>1</v>
      </c>
      <c r="I1343" s="6" t="n">
        <f aca="false">IF($A1343="","",IF(ISNUMBER(Base_Bruta!I1343),Base_Bruta!I1343,IFERROR(_xlfn.NUMBERVALUE(TRIM(SUBSTITUTE(Base_Bruta!I1343,"R$","")),",","."),0)))</f>
        <v>382.5</v>
      </c>
      <c r="J1343" s="6" t="n">
        <f aca="false">IF($A1343="","",H1343*I1343)</f>
        <v>382.5</v>
      </c>
      <c r="K1343" s="4" t="str">
        <f aca="false">IF($A1343="","",TRIM(Base_Bruta!J1343))</f>
        <v>App</v>
      </c>
      <c r="L1343" s="4" t="str">
        <f aca="false">IF($A1343="","",TRIM(Base_Bruta!K1343))</f>
        <v>C00648</v>
      </c>
      <c r="M1343" s="4" t="str">
        <f aca="false">IF($A1343="","",_xlfn.XLOOKUP(LOWER(TRIM(Base_Bruta!L1343)),DePara_Cidade!$A$2:$A$29,DePara_Cidade!$B$2:$B$29,"REVISAR"))</f>
        <v>Rio de Janeiro</v>
      </c>
      <c r="N1343" s="4" t="str">
        <f aca="false">IF($A1343="","",UPPER(TRIM(Base_Bruta!M1343)))</f>
        <v>RJ</v>
      </c>
      <c r="O1343" s="4" t="str">
        <f aca="false">IF($A1343="","",_xlfn.XLOOKUP(LOWER(TRIM(Base_Bruta!N1343)),DePara_Pais!$A$2:$A$9,DePara_Pais!$B$2:$B$9,"REVISAR"))</f>
        <v>Brasil</v>
      </c>
      <c r="P1343" s="4" t="str">
        <f aca="false">IF($A1343="","",IF(O1343&lt;&gt;"Brasil","Turista Internacional",IF(M1343=F1343,"Local","Turista Nacional")))</f>
        <v>Local</v>
      </c>
      <c r="Q1343" s="7" t="n">
        <f aca="false">IF($A1343="","",DATE(YEAR(B1343),MONTH(B1343),1))</f>
        <v>46023</v>
      </c>
      <c r="R1343" s="4" t="str">
        <f aca="false">IF($A1343="","",IF(COUNTIF($A$2:$A1343,$A1343)&gt;1,"Sim","Não"))</f>
        <v>Não</v>
      </c>
      <c r="S1343" s="4" t="str">
        <f aca="false">IF(A1343="","Descartar - Linha vazia",IF(R1343="Sim","Descartar - Duplicado",IF(OR(H1343&lt;=0,I1343&lt;=0),"Descartar - Qtd/Valor inválido","OK")))</f>
        <v>OK</v>
      </c>
      <c r="T1343" s="4" t="str">
        <f aca="false">Base_Bruta!P1343</f>
        <v>vendas_RJ.xlsx</v>
      </c>
    </row>
    <row r="1344" customFormat="false" ht="15" hidden="false" customHeight="false" outlineLevel="0" collapsed="false">
      <c r="A1344" s="4" t="str">
        <f aca="false">IF(Base_Bruta!A1344="","",Base_Bruta!A1344)</f>
        <v>RJ-000217</v>
      </c>
      <c r="B1344" s="5" t="n">
        <f aca="false">IF($A1344="","",IF(ISNUMBER(Base_Bruta!B1344),Base_Bruta!B1344,IF(MID(Base_Bruta!B1344,5,1)="-",DATE(VALUE(LEFT(Base_Bruta!B1344,4)),VALUE(MID(Base_Bruta!B1344,6,2)),VALUE(RIGHT(Base_Bruta!B1344,2))),DATE(VALUE(RIGHT(Base_Bruta!B1344,4)),VALUE(MID(Base_Bruta!B1344,4,2)),VALUE(LEFT(Base_Bruta!B1344,2))))))</f>
        <v>46045</v>
      </c>
      <c r="C1344" s="5" t="n">
        <f aca="false">IF($A1344="","",IF(ISNUMBER(Base_Bruta!C1344),Base_Bruta!C1344,IF(MID(Base_Bruta!C1344,5,1)="-",DATE(VALUE(LEFT(Base_Bruta!C1344,4)),VALUE(MID(Base_Bruta!C1344,6,2)),VALUE(RIGHT(Base_Bruta!C1344,2))),DATE(VALUE(RIGHT(Base_Bruta!C1344,4)),VALUE(MID(Base_Bruta!C1344,4,2)),VALUE(LEFT(Base_Bruta!C1344,2))))))</f>
        <v>46046</v>
      </c>
      <c r="D1344" s="4" t="str">
        <f aca="false">IF($A1344="","",TRIM(Base_Bruta!D1344))</f>
        <v>Rio Beat Festival 2026</v>
      </c>
      <c r="E1344" s="4" t="str">
        <f aca="false">IF($A1344="","",_xlfn.XLOOKUP(LOWER(TRIM(Base_Bruta!E1344)),DePara_Categoria!$A$2:$A$9,DePara_Categoria!$B$2:$B$9,"REVISAR"))</f>
        <v>Festival</v>
      </c>
      <c r="F1344" s="4" t="str">
        <f aca="false">IF($A1344="","",_xlfn.XLOOKUP(LOWER(TRIM(Base_Bruta!F1344)),DePara_Cidade!$A$2:$A$29,DePara_Cidade!$B$2:$B$29,"REVISAR"))</f>
        <v>Rio de Janeiro</v>
      </c>
      <c r="G1344" s="4" t="str">
        <f aca="false">IF($A1344="","",TRIM(Base_Bruta!G1344))</f>
        <v>Meia</v>
      </c>
      <c r="H1344" s="4" t="n">
        <f aca="false">IF($A1344="","",IF(ISNUMBER(Base_Bruta!H1344),Base_Bruta!H1344,IFERROR(_xlfn.NUMBERVALUE(TRIM(SUBSTITUTE(Base_Bruta!H1344,"R$","")),",","."),0)))</f>
        <v>1</v>
      </c>
      <c r="I1344" s="6" t="n">
        <f aca="false">IF($A1344="","",IF(ISNUMBER(Base_Bruta!I1344),Base_Bruta!I1344,IFERROR(_xlfn.NUMBERVALUE(TRIM(SUBSTITUTE(Base_Bruta!I1344,"R$","")),",","."),0)))</f>
        <v>537.5</v>
      </c>
      <c r="J1344" s="6" t="n">
        <f aca="false">IF($A1344="","",H1344*I1344)</f>
        <v>537.5</v>
      </c>
      <c r="K1344" s="4" t="str">
        <f aca="false">IF($A1344="","",TRIM(Base_Bruta!J1344))</f>
        <v>Site</v>
      </c>
      <c r="L1344" s="4" t="str">
        <f aca="false">IF($A1344="","",TRIM(Base_Bruta!K1344))</f>
        <v>C01897</v>
      </c>
      <c r="M1344" s="4" t="str">
        <f aca="false">IF($A1344="","",_xlfn.XLOOKUP(LOWER(TRIM(Base_Bruta!L1344)),DePara_Cidade!$A$2:$A$29,DePara_Cidade!$B$2:$B$29,"REVISAR"))</f>
        <v>Rio de Janeiro</v>
      </c>
      <c r="N1344" s="4" t="str">
        <f aca="false">IF($A1344="","",UPPER(TRIM(Base_Bruta!M1344)))</f>
        <v>RJ</v>
      </c>
      <c r="O1344" s="4" t="str">
        <f aca="false">IF($A1344="","",_xlfn.XLOOKUP(LOWER(TRIM(Base_Bruta!N1344)),DePara_Pais!$A$2:$A$9,DePara_Pais!$B$2:$B$9,"REVISAR"))</f>
        <v>Brasil</v>
      </c>
      <c r="P1344" s="4" t="str">
        <f aca="false">IF($A1344="","",IF(O1344&lt;&gt;"Brasil","Turista Internacional",IF(M1344=F1344,"Local","Turista Nacional")))</f>
        <v>Local</v>
      </c>
      <c r="Q1344" s="7" t="n">
        <f aca="false">IF($A1344="","",DATE(YEAR(B1344),MONTH(B1344),1))</f>
        <v>46023</v>
      </c>
      <c r="R1344" s="4" t="str">
        <f aca="false">IF($A1344="","",IF(COUNTIF($A$2:$A1344,$A1344)&gt;1,"Sim","Não"))</f>
        <v>Não</v>
      </c>
      <c r="S1344" s="4" t="str">
        <f aca="false">IF(A1344="","Descartar - Linha vazia",IF(R1344="Sim","Descartar - Duplicado",IF(OR(H1344&lt;=0,I1344&lt;=0),"Descartar - Qtd/Valor inválido","OK")))</f>
        <v>OK</v>
      </c>
      <c r="T1344" s="4" t="str">
        <f aca="false">Base_Bruta!P1344</f>
        <v>vendas_RJ.xlsx</v>
      </c>
    </row>
    <row r="1345" customFormat="false" ht="15" hidden="false" customHeight="false" outlineLevel="0" collapsed="false">
      <c r="A1345" s="4" t="str">
        <f aca="false">IF(Base_Bruta!A1345="","",Base_Bruta!A1345)</f>
        <v>RJ-000447</v>
      </c>
      <c r="B1345" s="5" t="n">
        <f aca="false">IF($A1345="","",IF(ISNUMBER(Base_Bruta!B1345),Base_Bruta!B1345,IF(MID(Base_Bruta!B1345,5,1)="-",DATE(VALUE(LEFT(Base_Bruta!B1345,4)),VALUE(MID(Base_Bruta!B1345,6,2)),VALUE(RIGHT(Base_Bruta!B1345,2))),DATE(VALUE(RIGHT(Base_Bruta!B1345,4)),VALUE(MID(Base_Bruta!B1345,4,2)),VALUE(LEFT(Base_Bruta!B1345,2))))))</f>
        <v>46045</v>
      </c>
      <c r="C1345" s="5" t="n">
        <f aca="false">IF($A1345="","",IF(ISNUMBER(Base_Bruta!C1345),Base_Bruta!C1345,IF(MID(Base_Bruta!C1345,5,1)="-",DATE(VALUE(LEFT(Base_Bruta!C1345,4)),VALUE(MID(Base_Bruta!C1345,6,2)),VALUE(RIGHT(Base_Bruta!C1345,2))),DATE(VALUE(RIGHT(Base_Bruta!C1345,4)),VALUE(MID(Base_Bruta!C1345,4,2)),VALUE(LEFT(Base_Bruta!C1345,2))))))</f>
        <v>46151</v>
      </c>
      <c r="D1345" s="4" t="str">
        <f aca="false">IF($A1345="","",TRIM(Base_Bruta!D1345))</f>
        <v>Turnê Internacional Rock - Rio</v>
      </c>
      <c r="E1345" s="4" t="str">
        <f aca="false">IF($A1345="","",_xlfn.XLOOKUP(LOWER(TRIM(Base_Bruta!E1345)),DePara_Categoria!$A$2:$A$9,DePara_Categoria!$B$2:$B$9,"REVISAR"))</f>
        <v>Show</v>
      </c>
      <c r="F1345" s="4" t="str">
        <f aca="false">IF($A1345="","",_xlfn.XLOOKUP(LOWER(TRIM(Base_Bruta!F1345)),DePara_Cidade!$A$2:$A$29,DePara_Cidade!$B$2:$B$29,"REVISAR"))</f>
        <v>Rio de Janeiro</v>
      </c>
      <c r="G1345" s="4" t="str">
        <f aca="false">IF($A1345="","",TRIM(Base_Bruta!G1345))</f>
        <v>Inteira</v>
      </c>
      <c r="H1345" s="4" t="n">
        <f aca="false">IF($A1345="","",IF(ISNUMBER(Base_Bruta!H1345),Base_Bruta!H1345,IFERROR(_xlfn.NUMBERVALUE(TRIM(SUBSTITUTE(Base_Bruta!H1345,"R$","")),",","."),0)))</f>
        <v>2</v>
      </c>
      <c r="I1345" s="6" t="n">
        <f aca="false">IF($A1345="","",IF(ISNUMBER(Base_Bruta!I1345),Base_Bruta!I1345,IFERROR(_xlfn.NUMBERVALUE(TRIM(SUBSTITUTE(Base_Bruta!I1345,"R$","")),",","."),0)))</f>
        <v>470</v>
      </c>
      <c r="J1345" s="6" t="n">
        <f aca="false">IF($A1345="","",H1345*I1345)</f>
        <v>940</v>
      </c>
      <c r="K1345" s="4" t="str">
        <f aca="false">IF($A1345="","",TRIM(Base_Bruta!J1345))</f>
        <v>App</v>
      </c>
      <c r="L1345" s="4" t="str">
        <f aca="false">IF($A1345="","",TRIM(Base_Bruta!K1345))</f>
        <v>C01946</v>
      </c>
      <c r="M1345" s="4" t="str">
        <f aca="false">IF($A1345="","",_xlfn.XLOOKUP(LOWER(TRIM(Base_Bruta!L1345)),DePara_Cidade!$A$2:$A$29,DePara_Cidade!$B$2:$B$29,"REVISAR"))</f>
        <v>Rio de Janeiro</v>
      </c>
      <c r="N1345" s="4" t="str">
        <f aca="false">IF($A1345="","",UPPER(TRIM(Base_Bruta!M1345)))</f>
        <v>RJ</v>
      </c>
      <c r="O1345" s="4" t="str">
        <f aca="false">IF($A1345="","",_xlfn.XLOOKUP(LOWER(TRIM(Base_Bruta!N1345)),DePara_Pais!$A$2:$A$9,DePara_Pais!$B$2:$B$9,"REVISAR"))</f>
        <v>Brasil</v>
      </c>
      <c r="P1345" s="4" t="str">
        <f aca="false">IF($A1345="","",IF(O1345&lt;&gt;"Brasil","Turista Internacional",IF(M1345=F1345,"Local","Turista Nacional")))</f>
        <v>Local</v>
      </c>
      <c r="Q1345" s="7" t="n">
        <f aca="false">IF($A1345="","",DATE(YEAR(B1345),MONTH(B1345),1))</f>
        <v>46023</v>
      </c>
      <c r="R1345" s="4" t="str">
        <f aca="false">IF($A1345="","",IF(COUNTIF($A$2:$A1345,$A1345)&gt;1,"Sim","Não"))</f>
        <v>Não</v>
      </c>
      <c r="S1345" s="4" t="str">
        <f aca="false">IF(A1345="","Descartar - Linha vazia",IF(R1345="Sim","Descartar - Duplicado",IF(OR(H1345&lt;=0,I1345&lt;=0),"Descartar - Qtd/Valor inválido","OK")))</f>
        <v>OK</v>
      </c>
      <c r="T1345" s="4" t="str">
        <f aca="false">Base_Bruta!P1345</f>
        <v>vendas_RJ.xlsx</v>
      </c>
    </row>
    <row r="1346" customFormat="false" ht="15" hidden="false" customHeight="false" outlineLevel="0" collapsed="false">
      <c r="A1346" s="4" t="str">
        <f aca="false">IF(Base_Bruta!A1346="","",Base_Bruta!A1346)</f>
        <v>RJ-000684</v>
      </c>
      <c r="B1346" s="5" t="n">
        <f aca="false">IF($A1346="","",IF(ISNUMBER(Base_Bruta!B1346),Base_Bruta!B1346,IF(MID(Base_Bruta!B1346,5,1)="-",DATE(VALUE(LEFT(Base_Bruta!B1346,4)),VALUE(MID(Base_Bruta!B1346,6,2)),VALUE(RIGHT(Base_Bruta!B1346,2))),DATE(VALUE(RIGHT(Base_Bruta!B1346,4)),VALUE(MID(Base_Bruta!B1346,4,2)),VALUE(LEFT(Base_Bruta!B1346,2))))))</f>
        <v>46045</v>
      </c>
      <c r="C1346" s="5" t="n">
        <f aca="false">IF($A1346="","",IF(ISNUMBER(Base_Bruta!C1346),Base_Bruta!C1346,IF(MID(Base_Bruta!C1346,5,1)="-",DATE(VALUE(LEFT(Base_Bruta!C1346,4)),VALUE(MID(Base_Bruta!C1346,6,2)),VALUE(RIGHT(Base_Bruta!C1346,2))),DATE(VALUE(RIGHT(Base_Bruta!C1346,4)),VALUE(MID(Base_Bruta!C1346,4,2)),VALUE(LEFT(Base_Bruta!C1346,2))))))</f>
        <v>46047</v>
      </c>
      <c r="D1346" s="4" t="str">
        <f aca="false">IF($A1346="","",TRIM(Base_Bruta!D1346))</f>
        <v>Cinema Barra - Sessões</v>
      </c>
      <c r="E1346" s="4" t="str">
        <f aca="false">IF($A1346="","",_xlfn.XLOOKUP(LOWER(TRIM(Base_Bruta!E1346)),DePara_Categoria!$A$2:$A$9,DePara_Categoria!$B$2:$B$9,"REVISAR"))</f>
        <v>Cinema</v>
      </c>
      <c r="F1346" s="4" t="str">
        <f aca="false">IF($A1346="","",_xlfn.XLOOKUP(LOWER(TRIM(Base_Bruta!F1346)),DePara_Cidade!$A$2:$A$29,DePara_Cidade!$B$2:$B$29,"REVISAR"))</f>
        <v>Rio de Janeiro</v>
      </c>
      <c r="G1346" s="4" t="str">
        <f aca="false">IF($A1346="","",TRIM(Base_Bruta!G1346))</f>
        <v>Meia</v>
      </c>
      <c r="H1346" s="4" t="n">
        <f aca="false">IF($A1346="","",IF(ISNUMBER(Base_Bruta!H1346),Base_Bruta!H1346,IFERROR(_xlfn.NUMBERVALUE(TRIM(SUBSTITUTE(Base_Bruta!H1346,"R$","")),",","."),0)))</f>
        <v>2</v>
      </c>
      <c r="I1346" s="6" t="n">
        <f aca="false">IF($A1346="","",IF(ISNUMBER(Base_Bruta!I1346),Base_Bruta!I1346,IFERROR(_xlfn.NUMBERVALUE(TRIM(SUBSTITUTE(Base_Bruta!I1346,"R$","")),",","."),0)))</f>
        <v>20</v>
      </c>
      <c r="J1346" s="6" t="n">
        <f aca="false">IF($A1346="","",H1346*I1346)</f>
        <v>40</v>
      </c>
      <c r="K1346" s="4" t="str">
        <f aca="false">IF($A1346="","",TRIM(Base_Bruta!J1346))</f>
        <v>App</v>
      </c>
      <c r="L1346" s="4" t="str">
        <f aca="false">IF($A1346="","",TRIM(Base_Bruta!K1346))</f>
        <v>C01572</v>
      </c>
      <c r="M1346" s="4" t="str">
        <f aca="false">IF($A1346="","",_xlfn.XLOOKUP(LOWER(TRIM(Base_Bruta!L1346)),DePara_Cidade!$A$2:$A$29,DePara_Cidade!$B$2:$B$29,"REVISAR"))</f>
        <v>Rio de Janeiro</v>
      </c>
      <c r="N1346" s="4" t="str">
        <f aca="false">IF($A1346="","",UPPER(TRIM(Base_Bruta!M1346)))</f>
        <v>RJ</v>
      </c>
      <c r="O1346" s="4" t="str">
        <f aca="false">IF($A1346="","",_xlfn.XLOOKUP(LOWER(TRIM(Base_Bruta!N1346)),DePara_Pais!$A$2:$A$9,DePara_Pais!$B$2:$B$9,"REVISAR"))</f>
        <v>Brasil</v>
      </c>
      <c r="P1346" s="4" t="str">
        <f aca="false">IF($A1346="","",IF(O1346&lt;&gt;"Brasil","Turista Internacional",IF(M1346=F1346,"Local","Turista Nacional")))</f>
        <v>Local</v>
      </c>
      <c r="Q1346" s="7" t="n">
        <f aca="false">IF($A1346="","",DATE(YEAR(B1346),MONTH(B1346),1))</f>
        <v>46023</v>
      </c>
      <c r="R1346" s="4" t="str">
        <f aca="false">IF($A1346="","",IF(COUNTIF($A$2:$A1346,$A1346)&gt;1,"Sim","Não"))</f>
        <v>Não</v>
      </c>
      <c r="S1346" s="4" t="str">
        <f aca="false">IF(A1346="","Descartar - Linha vazia",IF(R1346="Sim","Descartar - Duplicado",IF(OR(H1346&lt;=0,I1346&lt;=0),"Descartar - Qtd/Valor inválido","OK")))</f>
        <v>OK</v>
      </c>
      <c r="T1346" s="4" t="str">
        <f aca="false">Base_Bruta!P1346</f>
        <v>vendas_RJ.xlsx</v>
      </c>
    </row>
    <row r="1347" customFormat="false" ht="15" hidden="false" customHeight="false" outlineLevel="0" collapsed="false">
      <c r="A1347" s="4" t="str">
        <f aca="false">IF(Base_Bruta!A1347="","",Base_Bruta!A1347)</f>
        <v>RJ-000067</v>
      </c>
      <c r="B1347" s="5" t="n">
        <f aca="false">IF($A1347="","",IF(ISNUMBER(Base_Bruta!B1347),Base_Bruta!B1347,IF(MID(Base_Bruta!B1347,5,1)="-",DATE(VALUE(LEFT(Base_Bruta!B1347,4)),VALUE(MID(Base_Bruta!B1347,6,2)),VALUE(RIGHT(Base_Bruta!B1347,2))),DATE(VALUE(RIGHT(Base_Bruta!B1347,4)),VALUE(MID(Base_Bruta!B1347,4,2)),VALUE(LEFT(Base_Bruta!B1347,2))))))</f>
        <v>46046</v>
      </c>
      <c r="C1347" s="5" t="n">
        <f aca="false">IF($A1347="","",IF(ISNUMBER(Base_Bruta!C1347),Base_Bruta!C1347,IF(MID(Base_Bruta!C1347,5,1)="-",DATE(VALUE(LEFT(Base_Bruta!C1347,4)),VALUE(MID(Base_Bruta!C1347,6,2)),VALUE(RIGHT(Base_Bruta!C1347,2))),DATE(VALUE(RIGHT(Base_Bruta!C1347,4)),VALUE(MID(Base_Bruta!C1347,4,2)),VALUE(LEFT(Base_Bruta!C1347,2))))))</f>
        <v>46046</v>
      </c>
      <c r="D1347" s="4" t="str">
        <f aca="false">IF($A1347="","",TRIM(Base_Bruta!D1347))</f>
        <v>Rio Beat Festival 2026</v>
      </c>
      <c r="E1347" s="4" t="str">
        <f aca="false">IF($A1347="","",_xlfn.XLOOKUP(LOWER(TRIM(Base_Bruta!E1347)),DePara_Categoria!$A$2:$A$9,DePara_Categoria!$B$2:$B$9,"REVISAR"))</f>
        <v>Festival</v>
      </c>
      <c r="F1347" s="4" t="str">
        <f aca="false">IF($A1347="","",_xlfn.XLOOKUP(LOWER(TRIM(Base_Bruta!F1347)),DePara_Cidade!$A$2:$A$29,DePara_Cidade!$B$2:$B$29,"REVISAR"))</f>
        <v>Rio de Janeiro</v>
      </c>
      <c r="G1347" s="4" t="str">
        <f aca="false">IF($A1347="","",TRIM(Base_Bruta!G1347))</f>
        <v>Meia</v>
      </c>
      <c r="H1347" s="4" t="n">
        <f aca="false">IF($A1347="","",IF(ISNUMBER(Base_Bruta!H1347),Base_Bruta!H1347,IFERROR(_xlfn.NUMBERVALUE(TRIM(SUBSTITUTE(Base_Bruta!H1347,"R$","")),",","."),0)))</f>
        <v>2</v>
      </c>
      <c r="I1347" s="6" t="n">
        <f aca="false">IF($A1347="","",IF(ISNUMBER(Base_Bruta!I1347),Base_Bruta!I1347,IFERROR(_xlfn.NUMBERVALUE(TRIM(SUBSTITUTE(Base_Bruta!I1347,"R$","")),",","."),0)))</f>
        <v>350</v>
      </c>
      <c r="J1347" s="6" t="n">
        <f aca="false">IF($A1347="","",H1347*I1347)</f>
        <v>700</v>
      </c>
      <c r="K1347" s="4" t="str">
        <f aca="false">IF($A1347="","",TRIM(Base_Bruta!J1347))</f>
        <v>Site</v>
      </c>
      <c r="L1347" s="4" t="str">
        <f aca="false">IF($A1347="","",TRIM(Base_Bruta!K1347))</f>
        <v>C01897</v>
      </c>
      <c r="M1347" s="4" t="str">
        <f aca="false">IF($A1347="","",_xlfn.XLOOKUP(LOWER(TRIM(Base_Bruta!L1347)),DePara_Cidade!$A$2:$A$29,DePara_Cidade!$B$2:$B$29,"REVISAR"))</f>
        <v>Rio de Janeiro</v>
      </c>
      <c r="N1347" s="4" t="str">
        <f aca="false">IF($A1347="","",UPPER(TRIM(Base_Bruta!M1347)))</f>
        <v>RJ</v>
      </c>
      <c r="O1347" s="4" t="str">
        <f aca="false">IF($A1347="","",_xlfn.XLOOKUP(LOWER(TRIM(Base_Bruta!N1347)),DePara_Pais!$A$2:$A$9,DePara_Pais!$B$2:$B$9,"REVISAR"))</f>
        <v>Brasil</v>
      </c>
      <c r="P1347" s="4" t="str">
        <f aca="false">IF($A1347="","",IF(O1347&lt;&gt;"Brasil","Turista Internacional",IF(M1347=F1347,"Local","Turista Nacional")))</f>
        <v>Local</v>
      </c>
      <c r="Q1347" s="7" t="n">
        <f aca="false">IF($A1347="","",DATE(YEAR(B1347),MONTH(B1347),1))</f>
        <v>46023</v>
      </c>
      <c r="R1347" s="4" t="str">
        <f aca="false">IF($A1347="","",IF(COUNTIF($A$2:$A1347,$A1347)&gt;1,"Sim","Não"))</f>
        <v>Não</v>
      </c>
      <c r="S1347" s="4" t="str">
        <f aca="false">IF(A1347="","Descartar - Linha vazia",IF(R1347="Sim","Descartar - Duplicado",IF(OR(H1347&lt;=0,I1347&lt;=0),"Descartar - Qtd/Valor inválido","OK")))</f>
        <v>OK</v>
      </c>
      <c r="T1347" s="4" t="str">
        <f aca="false">Base_Bruta!P1347</f>
        <v>vendas_RJ.xlsx</v>
      </c>
    </row>
    <row r="1348" customFormat="false" ht="15" hidden="false" customHeight="false" outlineLevel="0" collapsed="false">
      <c r="A1348" s="4" t="str">
        <f aca="false">IF(Base_Bruta!A1348="","",Base_Bruta!A1348)</f>
        <v>RJ-000101</v>
      </c>
      <c r="B1348" s="5" t="n">
        <f aca="false">IF($A1348="","",IF(ISNUMBER(Base_Bruta!B1348),Base_Bruta!B1348,IF(MID(Base_Bruta!B1348,5,1)="-",DATE(VALUE(LEFT(Base_Bruta!B1348,4)),VALUE(MID(Base_Bruta!B1348,6,2)),VALUE(RIGHT(Base_Bruta!B1348,2))),DATE(VALUE(RIGHT(Base_Bruta!B1348,4)),VALUE(MID(Base_Bruta!B1348,4,2)),VALUE(LEFT(Base_Bruta!B1348,2))))))</f>
        <v>46046</v>
      </c>
      <c r="C1348" s="5" t="n">
        <f aca="false">IF($A1348="","",IF(ISNUMBER(Base_Bruta!C1348),Base_Bruta!C1348,IF(MID(Base_Bruta!C1348,5,1)="-",DATE(VALUE(LEFT(Base_Bruta!C1348,4)),VALUE(MID(Base_Bruta!C1348,6,2)),VALUE(RIGHT(Base_Bruta!C1348,2))),DATE(VALUE(RIGHT(Base_Bruta!C1348,4)),VALUE(MID(Base_Bruta!C1348,4,2)),VALUE(LEFT(Base_Bruta!C1348,2))))))</f>
        <v>46046</v>
      </c>
      <c r="D1348" s="4" t="str">
        <f aca="false">IF($A1348="","",TRIM(Base_Bruta!D1348))</f>
        <v>Rio Beat Festival 2026</v>
      </c>
      <c r="E1348" s="4" t="str">
        <f aca="false">IF($A1348="","",_xlfn.XLOOKUP(LOWER(TRIM(Base_Bruta!E1348)),DePara_Categoria!$A$2:$A$9,DePara_Categoria!$B$2:$B$9,"REVISAR"))</f>
        <v>Festival</v>
      </c>
      <c r="F1348" s="4" t="str">
        <f aca="false">IF($A1348="","",_xlfn.XLOOKUP(LOWER(TRIM(Base_Bruta!F1348)),DePara_Cidade!$A$2:$A$29,DePara_Cidade!$B$2:$B$29,"REVISAR"))</f>
        <v>Rio de Janeiro</v>
      </c>
      <c r="G1348" s="4" t="str">
        <f aca="false">IF($A1348="","",TRIM(Base_Bruta!G1348))</f>
        <v>Inteira</v>
      </c>
      <c r="H1348" s="4" t="n">
        <f aca="false">IF($A1348="","",IF(ISNUMBER(Base_Bruta!H1348),Base_Bruta!H1348,IFERROR(_xlfn.NUMBERVALUE(TRIM(SUBSTITUTE(Base_Bruta!H1348,"R$","")),",","."),0)))</f>
        <v>2</v>
      </c>
      <c r="I1348" s="6" t="n">
        <f aca="false">IF($A1348="","",IF(ISNUMBER(Base_Bruta!I1348),Base_Bruta!I1348,IFERROR(_xlfn.NUMBERVALUE(TRIM(SUBSTITUTE(Base_Bruta!I1348,"R$","")),",","."),0)))</f>
        <v>695</v>
      </c>
      <c r="J1348" s="6" t="n">
        <f aca="false">IF($A1348="","",H1348*I1348)</f>
        <v>1390</v>
      </c>
      <c r="K1348" s="4" t="str">
        <f aca="false">IF($A1348="","",TRIM(Base_Bruta!J1348))</f>
        <v>Site</v>
      </c>
      <c r="L1348" s="4" t="str">
        <f aca="false">IF($A1348="","",TRIM(Base_Bruta!K1348))</f>
        <v>C01588</v>
      </c>
      <c r="M1348" s="4" t="str">
        <f aca="false">IF($A1348="","",_xlfn.XLOOKUP(LOWER(TRIM(Base_Bruta!L1348)),DePara_Cidade!$A$2:$A$29,DePara_Cidade!$B$2:$B$29,"REVISAR"))</f>
        <v>Rio de Janeiro</v>
      </c>
      <c r="N1348" s="4" t="str">
        <f aca="false">IF($A1348="","",UPPER(TRIM(Base_Bruta!M1348)))</f>
        <v>RJ</v>
      </c>
      <c r="O1348" s="4" t="str">
        <f aca="false">IF($A1348="","",_xlfn.XLOOKUP(LOWER(TRIM(Base_Bruta!N1348)),DePara_Pais!$A$2:$A$9,DePara_Pais!$B$2:$B$9,"REVISAR"))</f>
        <v>Brasil</v>
      </c>
      <c r="P1348" s="4" t="str">
        <f aca="false">IF($A1348="","",IF(O1348&lt;&gt;"Brasil","Turista Internacional",IF(M1348=F1348,"Local","Turista Nacional")))</f>
        <v>Local</v>
      </c>
      <c r="Q1348" s="7" t="n">
        <f aca="false">IF($A1348="","",DATE(YEAR(B1348),MONTH(B1348),1))</f>
        <v>46023</v>
      </c>
      <c r="R1348" s="4" t="str">
        <f aca="false">IF($A1348="","",IF(COUNTIF($A$2:$A1348,$A1348)&gt;1,"Sim","Não"))</f>
        <v>Não</v>
      </c>
      <c r="S1348" s="4" t="str">
        <f aca="false">IF(A1348="","Descartar - Linha vazia",IF(R1348="Sim","Descartar - Duplicado",IF(OR(H1348&lt;=0,I1348&lt;=0),"Descartar - Qtd/Valor inválido","OK")))</f>
        <v>OK</v>
      </c>
      <c r="T1348" s="4" t="str">
        <f aca="false">Base_Bruta!P1348</f>
        <v>vendas_RJ.xlsx</v>
      </c>
    </row>
    <row r="1349" customFormat="false" ht="15" hidden="false" customHeight="false" outlineLevel="0" collapsed="false">
      <c r="A1349" s="4" t="str">
        <f aca="false">IF(Base_Bruta!A1349="","",Base_Bruta!A1349)</f>
        <v>RJ-000148</v>
      </c>
      <c r="B1349" s="5" t="n">
        <f aca="false">IF($A1349="","",IF(ISNUMBER(Base_Bruta!B1349),Base_Bruta!B1349,IF(MID(Base_Bruta!B1349,5,1)="-",DATE(VALUE(LEFT(Base_Bruta!B1349,4)),VALUE(MID(Base_Bruta!B1349,6,2)),VALUE(RIGHT(Base_Bruta!B1349,2))),DATE(VALUE(RIGHT(Base_Bruta!B1349,4)),VALUE(MID(Base_Bruta!B1349,4,2)),VALUE(LEFT(Base_Bruta!B1349,2))))))</f>
        <v>46046</v>
      </c>
      <c r="C1349" s="5" t="n">
        <f aca="false">IF($A1349="","",IF(ISNUMBER(Base_Bruta!C1349),Base_Bruta!C1349,IF(MID(Base_Bruta!C1349,5,1)="-",DATE(VALUE(LEFT(Base_Bruta!C1349,4)),VALUE(MID(Base_Bruta!C1349,6,2)),VALUE(RIGHT(Base_Bruta!C1349,2))),DATE(VALUE(RIGHT(Base_Bruta!C1349,4)),VALUE(MID(Base_Bruta!C1349,4,2)),VALUE(LEFT(Base_Bruta!C1349,2))))))</f>
        <v>46046</v>
      </c>
      <c r="D1349" s="4" t="str">
        <f aca="false">IF($A1349="","",TRIM(Base_Bruta!D1349))</f>
        <v>Rio Beat Festival 2026</v>
      </c>
      <c r="E1349" s="4" t="str">
        <f aca="false">IF($A1349="","",_xlfn.XLOOKUP(LOWER(TRIM(Base_Bruta!E1349)),DePara_Categoria!$A$2:$A$9,DePara_Categoria!$B$2:$B$9,"REVISAR"))</f>
        <v>Festival</v>
      </c>
      <c r="F1349" s="4" t="str">
        <f aca="false">IF($A1349="","",_xlfn.XLOOKUP(LOWER(TRIM(Base_Bruta!F1349)),DePara_Cidade!$A$2:$A$29,DePara_Cidade!$B$2:$B$29,"REVISAR"))</f>
        <v>Rio de Janeiro</v>
      </c>
      <c r="G1349" s="4" t="str">
        <f aca="false">IF($A1349="","",TRIM(Base_Bruta!G1349))</f>
        <v>Inteira</v>
      </c>
      <c r="H1349" s="4" t="n">
        <f aca="false">IF($A1349="","",IF(ISNUMBER(Base_Bruta!H1349),Base_Bruta!H1349,IFERROR(_xlfn.NUMBERVALUE(TRIM(SUBSTITUTE(Base_Bruta!H1349,"R$","")),",","."),0)))</f>
        <v>3</v>
      </c>
      <c r="I1349" s="6" t="n">
        <f aca="false">IF($A1349="","",IF(ISNUMBER(Base_Bruta!I1349),Base_Bruta!I1349,IFERROR(_xlfn.NUMBERVALUE(TRIM(SUBSTITUTE(Base_Bruta!I1349,"R$","")),",","."),0)))</f>
        <v>720</v>
      </c>
      <c r="J1349" s="6" t="n">
        <f aca="false">IF($A1349="","",H1349*I1349)</f>
        <v>2160</v>
      </c>
      <c r="K1349" s="4" t="str">
        <f aca="false">IF($A1349="","",TRIM(Base_Bruta!J1349))</f>
        <v>Site</v>
      </c>
      <c r="L1349" s="4" t="str">
        <f aca="false">IF($A1349="","",TRIM(Base_Bruta!K1349))</f>
        <v>C01082</v>
      </c>
      <c r="M1349" s="4" t="str">
        <f aca="false">IF($A1349="","",_xlfn.XLOOKUP(LOWER(TRIM(Base_Bruta!L1349)),DePara_Cidade!$A$2:$A$29,DePara_Cidade!$B$2:$B$29,"REVISAR"))</f>
        <v>Rio de Janeiro</v>
      </c>
      <c r="N1349" s="4" t="str">
        <f aca="false">IF($A1349="","",UPPER(TRIM(Base_Bruta!M1349)))</f>
        <v>RJ</v>
      </c>
      <c r="O1349" s="4" t="str">
        <f aca="false">IF($A1349="","",_xlfn.XLOOKUP(LOWER(TRIM(Base_Bruta!N1349)),DePara_Pais!$A$2:$A$9,DePara_Pais!$B$2:$B$9,"REVISAR"))</f>
        <v>Brasil</v>
      </c>
      <c r="P1349" s="4" t="str">
        <f aca="false">IF($A1349="","",IF(O1349&lt;&gt;"Brasil","Turista Internacional",IF(M1349=F1349,"Local","Turista Nacional")))</f>
        <v>Local</v>
      </c>
      <c r="Q1349" s="7" t="n">
        <f aca="false">IF($A1349="","",DATE(YEAR(B1349),MONTH(B1349),1))</f>
        <v>46023</v>
      </c>
      <c r="R1349" s="4" t="str">
        <f aca="false">IF($A1349="","",IF(COUNTIF($A$2:$A1349,$A1349)&gt;1,"Sim","Não"))</f>
        <v>Não</v>
      </c>
      <c r="S1349" s="4" t="str">
        <f aca="false">IF(A1349="","Descartar - Linha vazia",IF(R1349="Sim","Descartar - Duplicado",IF(OR(H1349&lt;=0,I1349&lt;=0),"Descartar - Qtd/Valor inválido","OK")))</f>
        <v>OK</v>
      </c>
      <c r="T1349" s="4" t="str">
        <f aca="false">Base_Bruta!P1349</f>
        <v>vendas_RJ.xlsx</v>
      </c>
    </row>
    <row r="1350" customFormat="false" ht="15" hidden="false" customHeight="false" outlineLevel="0" collapsed="false">
      <c r="A1350" s="4" t="str">
        <f aca="false">IF(Base_Bruta!A1350="","",Base_Bruta!A1350)</f>
        <v/>
      </c>
      <c r="B1350" s="5" t="str">
        <f aca="false">IF($A1350="","",IF(ISNUMBER(Base_Bruta!B1350),Base_Bruta!B1350,IF(MID(Base_Bruta!B1350,5,1)="-",DATE(VALUE(LEFT(Base_Bruta!B1350,4)),VALUE(MID(Base_Bruta!B1350,6,2)),VALUE(RIGHT(Base_Bruta!B1350,2))),DATE(VALUE(RIGHT(Base_Bruta!B1350,4)),VALUE(MID(Base_Bruta!B1350,4,2)),VALUE(LEFT(Base_Bruta!B1350,2))))))</f>
        <v/>
      </c>
      <c r="C1350" s="5" t="str">
        <f aca="false">IF($A1350="","",IF(ISNUMBER(Base_Bruta!C1350),Base_Bruta!C1350,IF(MID(Base_Bruta!C1350,5,1)="-",DATE(VALUE(LEFT(Base_Bruta!C1350,4)),VALUE(MID(Base_Bruta!C1350,6,2)),VALUE(RIGHT(Base_Bruta!C1350,2))),DATE(VALUE(RIGHT(Base_Bruta!C1350,4)),VALUE(MID(Base_Bruta!C1350,4,2)),VALUE(LEFT(Base_Bruta!C1350,2))))))</f>
        <v/>
      </c>
      <c r="D1350" s="4" t="str">
        <f aca="false">IF($A1350="","",TRIM(Base_Bruta!D1350))</f>
        <v/>
      </c>
      <c r="E1350" s="4" t="str">
        <f aca="false">IF($A1350="","",_xlfn.XLOOKUP(LOWER(TRIM(Base_Bruta!E1350)),DePara_Categoria!$A$2:$A$9,DePara_Categoria!$B$2:$B$9,"REVISAR"))</f>
        <v/>
      </c>
      <c r="F1350" s="4" t="str">
        <f aca="false">IF($A1350="","",_xlfn.XLOOKUP(LOWER(TRIM(Base_Bruta!F1350)),DePara_Cidade!$A$2:$A$29,DePara_Cidade!$B$2:$B$29,"REVISAR"))</f>
        <v/>
      </c>
      <c r="G1350" s="4" t="str">
        <f aca="false">IF($A1350="","",TRIM(Base_Bruta!G1350))</f>
        <v/>
      </c>
      <c r="H1350" s="4" t="str">
        <f aca="false">IF($A1350="","",IF(ISNUMBER(Base_Bruta!H1350),Base_Bruta!H1350,IFERROR(_xlfn.NUMBERVALUE(TRIM(SUBSTITUTE(Base_Bruta!H1350,"R$","")),",","."),0)))</f>
        <v/>
      </c>
      <c r="I1350" s="6" t="str">
        <f aca="false">IF($A1350="","",IF(ISNUMBER(Base_Bruta!I1350),Base_Bruta!I1350,IFERROR(_xlfn.NUMBERVALUE(TRIM(SUBSTITUTE(Base_Bruta!I1350,"R$","")),",","."),0)))</f>
        <v/>
      </c>
      <c r="J1350" s="6" t="str">
        <f aca="false">IF($A1350="","",H1350*I1350)</f>
        <v/>
      </c>
      <c r="K1350" s="4" t="str">
        <f aca="false">IF($A1350="","",TRIM(Base_Bruta!J1350))</f>
        <v/>
      </c>
      <c r="L1350" s="4" t="str">
        <f aca="false">IF($A1350="","",TRIM(Base_Bruta!K1350))</f>
        <v/>
      </c>
      <c r="M1350" s="4" t="str">
        <f aca="false">IF($A1350="","",_xlfn.XLOOKUP(LOWER(TRIM(Base_Bruta!L1350)),DePara_Cidade!$A$2:$A$29,DePara_Cidade!$B$2:$B$29,"REVISAR"))</f>
        <v/>
      </c>
      <c r="N1350" s="4" t="str">
        <f aca="false">IF($A1350="","",UPPER(TRIM(Base_Bruta!M1350)))</f>
        <v/>
      </c>
      <c r="O1350" s="4" t="str">
        <f aca="false">IF($A1350="","",_xlfn.XLOOKUP(LOWER(TRIM(Base_Bruta!N1350)),DePara_Pais!$A$2:$A$9,DePara_Pais!$B$2:$B$9,"REVISAR"))</f>
        <v/>
      </c>
      <c r="P1350" s="4" t="str">
        <f aca="false">IF($A1350="","",IF(O1350&lt;&gt;"Brasil","Turista Internacional",IF(M1350=F1350,"Local","Turista Nacional")))</f>
        <v/>
      </c>
      <c r="Q1350" s="7" t="str">
        <f aca="false">IF($A1350="","",DATE(YEAR(B1350),MONTH(B1350),1))</f>
        <v/>
      </c>
      <c r="R1350" s="4" t="str">
        <f aca="false">IF($A1350="","",IF(COUNTIF($A$2:$A1350,$A1350)&gt;1,"Sim","Não"))</f>
        <v/>
      </c>
      <c r="S1350" s="4" t="str">
        <f aca="false">IF(A1350="","Descartar - Linha vazia",IF(R1350="Sim","Descartar - Duplicado",IF(OR(H1350&lt;=0,I1350&lt;=0),"Descartar - Qtd/Valor inválido","OK")))</f>
        <v>Descartar - Linha vazia</v>
      </c>
      <c r="T1350" s="4" t="str">
        <f aca="false">Base_Bruta!P1350</f>
        <v>vendas_RJ.xlsx</v>
      </c>
    </row>
    <row r="1351" customFormat="false" ht="15" hidden="false" customHeight="false" outlineLevel="0" collapsed="false">
      <c r="A1351" s="4" t="str">
        <f aca="false">IF(Base_Bruta!A1351="","",Base_Bruta!A1351)</f>
        <v>RJ-000161</v>
      </c>
      <c r="B1351" s="5" t="n">
        <f aca="false">IF($A1351="","",IF(ISNUMBER(Base_Bruta!B1351),Base_Bruta!B1351,IF(MID(Base_Bruta!B1351,5,1)="-",DATE(VALUE(LEFT(Base_Bruta!B1351,4)),VALUE(MID(Base_Bruta!B1351,6,2)),VALUE(RIGHT(Base_Bruta!B1351,2))),DATE(VALUE(RIGHT(Base_Bruta!B1351,4)),VALUE(MID(Base_Bruta!B1351,4,2)),VALUE(LEFT(Base_Bruta!B1351,2))))))</f>
        <v>46046</v>
      </c>
      <c r="C1351" s="5" t="n">
        <f aca="false">IF($A1351="","",IF(ISNUMBER(Base_Bruta!C1351),Base_Bruta!C1351,IF(MID(Base_Bruta!C1351,5,1)="-",DATE(VALUE(LEFT(Base_Bruta!C1351,4)),VALUE(MID(Base_Bruta!C1351,6,2)),VALUE(RIGHT(Base_Bruta!C1351,2))),DATE(VALUE(RIGHT(Base_Bruta!C1351,4)),VALUE(MID(Base_Bruta!C1351,4,2)),VALUE(LEFT(Base_Bruta!C1351,2))))))</f>
        <v>46046</v>
      </c>
      <c r="D1351" s="4" t="str">
        <f aca="false">IF($A1351="","",TRIM(Base_Bruta!D1351))</f>
        <v>Rio Beat Festival 2026</v>
      </c>
      <c r="E1351" s="4" t="str">
        <f aca="false">IF($A1351="","",_xlfn.XLOOKUP(LOWER(TRIM(Base_Bruta!E1351)),DePara_Categoria!$A$2:$A$9,DePara_Categoria!$B$2:$B$9,"REVISAR"))</f>
        <v>Festival</v>
      </c>
      <c r="F1351" s="4" t="str">
        <f aca="false">IF($A1351="","",_xlfn.XLOOKUP(LOWER(TRIM(Base_Bruta!F1351)),DePara_Cidade!$A$2:$A$29,DePara_Cidade!$B$2:$B$29,"REVISAR"))</f>
        <v>Rio de Janeiro</v>
      </c>
      <c r="G1351" s="4" t="str">
        <f aca="false">IF($A1351="","",TRIM(Base_Bruta!G1351))</f>
        <v>VIP</v>
      </c>
      <c r="H1351" s="4" t="n">
        <f aca="false">IF($A1351="","",IF(ISNUMBER(Base_Bruta!H1351),Base_Bruta!H1351,IFERROR(_xlfn.NUMBERVALUE(TRIM(SUBSTITUTE(Base_Bruta!H1351,"R$","")),",","."),0)))</f>
        <v>4</v>
      </c>
      <c r="I1351" s="6" t="n">
        <f aca="false">IF($A1351="","",IF(ISNUMBER(Base_Bruta!I1351),Base_Bruta!I1351,IFERROR(_xlfn.NUMBERVALUE(TRIM(SUBSTITUTE(Base_Bruta!I1351,"R$","")),",","."),0)))</f>
        <v>2160</v>
      </c>
      <c r="J1351" s="6" t="n">
        <f aca="false">IF($A1351="","",H1351*I1351)</f>
        <v>8640</v>
      </c>
      <c r="K1351" s="4" t="str">
        <f aca="false">IF($A1351="","",TRIM(Base_Bruta!J1351))</f>
        <v>Site</v>
      </c>
      <c r="L1351" s="4" t="str">
        <f aca="false">IF($A1351="","",TRIM(Base_Bruta!K1351))</f>
        <v>C02141</v>
      </c>
      <c r="M1351" s="4" t="str">
        <f aca="false">IF($A1351="","",_xlfn.XLOOKUP(LOWER(TRIM(Base_Bruta!L1351)),DePara_Cidade!$A$2:$A$29,DePara_Cidade!$B$2:$B$29,"REVISAR"))</f>
        <v>Florianópolis</v>
      </c>
      <c r="N1351" s="4" t="str">
        <f aca="false">IF($A1351="","",UPPER(TRIM(Base_Bruta!M1351)))</f>
        <v>SC</v>
      </c>
      <c r="O1351" s="4" t="str">
        <f aca="false">IF($A1351="","",_xlfn.XLOOKUP(LOWER(TRIM(Base_Bruta!N1351)),DePara_Pais!$A$2:$A$9,DePara_Pais!$B$2:$B$9,"REVISAR"))</f>
        <v>Brasil</v>
      </c>
      <c r="P1351" s="4" t="str">
        <f aca="false">IF($A1351="","",IF(O1351&lt;&gt;"Brasil","Turista Internacional",IF(M1351=F1351,"Local","Turista Nacional")))</f>
        <v>Turista Nacional</v>
      </c>
      <c r="Q1351" s="7" t="n">
        <f aca="false">IF($A1351="","",DATE(YEAR(B1351),MONTH(B1351),1))</f>
        <v>46023</v>
      </c>
      <c r="R1351" s="4" t="str">
        <f aca="false">IF($A1351="","",IF(COUNTIF($A$2:$A1351,$A1351)&gt;1,"Sim","Não"))</f>
        <v>Não</v>
      </c>
      <c r="S1351" s="4" t="str">
        <f aca="false">IF(A1351="","Descartar - Linha vazia",IF(R1351="Sim","Descartar - Duplicado",IF(OR(H1351&lt;=0,I1351&lt;=0),"Descartar - Qtd/Valor inválido","OK")))</f>
        <v>OK</v>
      </c>
      <c r="T1351" s="4" t="str">
        <f aca="false">Base_Bruta!P1351</f>
        <v>vendas_RJ.xlsx</v>
      </c>
    </row>
    <row r="1352" customFormat="false" ht="15" hidden="false" customHeight="false" outlineLevel="0" collapsed="false">
      <c r="A1352" s="4" t="str">
        <f aca="false">IF(Base_Bruta!A1352="","",Base_Bruta!A1352)</f>
        <v>RJ-000182</v>
      </c>
      <c r="B1352" s="5" t="n">
        <f aca="false">IF($A1352="","",IF(ISNUMBER(Base_Bruta!B1352),Base_Bruta!B1352,IF(MID(Base_Bruta!B1352,5,1)="-",DATE(VALUE(LEFT(Base_Bruta!B1352,4)),VALUE(MID(Base_Bruta!B1352,6,2)),VALUE(RIGHT(Base_Bruta!B1352,2))),DATE(VALUE(RIGHT(Base_Bruta!B1352,4)),VALUE(MID(Base_Bruta!B1352,4,2)),VALUE(LEFT(Base_Bruta!B1352,2))))))</f>
        <v>46046</v>
      </c>
      <c r="C1352" s="5" t="n">
        <f aca="false">IF($A1352="","",IF(ISNUMBER(Base_Bruta!C1352),Base_Bruta!C1352,IF(MID(Base_Bruta!C1352,5,1)="-",DATE(VALUE(LEFT(Base_Bruta!C1352,4)),VALUE(MID(Base_Bruta!C1352,6,2)),VALUE(RIGHT(Base_Bruta!C1352,2))),DATE(VALUE(RIGHT(Base_Bruta!C1352,4)),VALUE(MID(Base_Bruta!C1352,4,2)),VALUE(LEFT(Base_Bruta!C1352,2))))))</f>
        <v>46046</v>
      </c>
      <c r="D1352" s="4" t="str">
        <f aca="false">IF($A1352="","",TRIM(Base_Bruta!D1352))</f>
        <v>Rio Beat Festival 2026</v>
      </c>
      <c r="E1352" s="4" t="str">
        <f aca="false">IF($A1352="","",_xlfn.XLOOKUP(LOWER(TRIM(Base_Bruta!E1352)),DePara_Categoria!$A$2:$A$9,DePara_Categoria!$B$2:$B$9,"REVISAR"))</f>
        <v>Festival</v>
      </c>
      <c r="F1352" s="4" t="str">
        <f aca="false">IF($A1352="","",_xlfn.XLOOKUP(LOWER(TRIM(Base_Bruta!F1352)),DePara_Cidade!$A$2:$A$29,DePara_Cidade!$B$2:$B$29,"REVISAR"))</f>
        <v>Rio de Janeiro</v>
      </c>
      <c r="G1352" s="4" t="str">
        <f aca="false">IF($A1352="","",TRIM(Base_Bruta!G1352))</f>
        <v>VIP</v>
      </c>
      <c r="H1352" s="4" t="n">
        <f aca="false">IF($A1352="","",IF(ISNUMBER(Base_Bruta!H1352),Base_Bruta!H1352,IFERROR(_xlfn.NUMBERVALUE(TRIM(SUBSTITUTE(Base_Bruta!H1352,"R$","")),",","."),0)))</f>
        <v>2</v>
      </c>
      <c r="I1352" s="6" t="n">
        <f aca="false">IF($A1352="","",IF(ISNUMBER(Base_Bruta!I1352),Base_Bruta!I1352,IFERROR(_xlfn.NUMBERVALUE(TRIM(SUBSTITUTE(Base_Bruta!I1352,"R$","")),",","."),0)))</f>
        <v>1780</v>
      </c>
      <c r="J1352" s="6" t="n">
        <f aca="false">IF($A1352="","",H1352*I1352)</f>
        <v>3560</v>
      </c>
      <c r="K1352" s="4" t="str">
        <f aca="false">IF($A1352="","",TRIM(Base_Bruta!J1352))</f>
        <v>App</v>
      </c>
      <c r="L1352" s="4" t="str">
        <f aca="false">IF($A1352="","",TRIM(Base_Bruta!K1352))</f>
        <v>C00388</v>
      </c>
      <c r="M1352" s="4" t="str">
        <f aca="false">IF($A1352="","",_xlfn.XLOOKUP(LOWER(TRIM(Base_Bruta!L1352)),DePara_Cidade!$A$2:$A$29,DePara_Cidade!$B$2:$B$29,"REVISAR"))</f>
        <v>Rio de Janeiro</v>
      </c>
      <c r="N1352" s="4" t="str">
        <f aca="false">IF($A1352="","",UPPER(TRIM(Base_Bruta!M1352)))</f>
        <v>RJ</v>
      </c>
      <c r="O1352" s="4" t="str">
        <f aca="false">IF($A1352="","",_xlfn.XLOOKUP(LOWER(TRIM(Base_Bruta!N1352)),DePara_Pais!$A$2:$A$9,DePara_Pais!$B$2:$B$9,"REVISAR"))</f>
        <v>Brasil</v>
      </c>
      <c r="P1352" s="4" t="str">
        <f aca="false">IF($A1352="","",IF(O1352&lt;&gt;"Brasil","Turista Internacional",IF(M1352=F1352,"Local","Turista Nacional")))</f>
        <v>Local</v>
      </c>
      <c r="Q1352" s="7" t="n">
        <f aca="false">IF($A1352="","",DATE(YEAR(B1352),MONTH(B1352),1))</f>
        <v>46023</v>
      </c>
      <c r="R1352" s="4" t="str">
        <f aca="false">IF($A1352="","",IF(COUNTIF($A$2:$A1352,$A1352)&gt;1,"Sim","Não"))</f>
        <v>Não</v>
      </c>
      <c r="S1352" s="4" t="str">
        <f aca="false">IF(A1352="","Descartar - Linha vazia",IF(R1352="Sim","Descartar - Duplicado",IF(OR(H1352&lt;=0,I1352&lt;=0),"Descartar - Qtd/Valor inválido","OK")))</f>
        <v>OK</v>
      </c>
      <c r="T1352" s="4" t="str">
        <f aca="false">Base_Bruta!P1352</f>
        <v>vendas_RJ.xlsx</v>
      </c>
    </row>
    <row r="1353" customFormat="false" ht="15" hidden="false" customHeight="false" outlineLevel="0" collapsed="false">
      <c r="A1353" s="4" t="str">
        <f aca="false">IF(Base_Bruta!A1353="","",Base_Bruta!A1353)</f>
        <v>RJ-000193</v>
      </c>
      <c r="B1353" s="5" t="n">
        <f aca="false">IF($A1353="","",IF(ISNUMBER(Base_Bruta!B1353),Base_Bruta!B1353,IF(MID(Base_Bruta!B1353,5,1)="-",DATE(VALUE(LEFT(Base_Bruta!B1353,4)),VALUE(MID(Base_Bruta!B1353,6,2)),VALUE(RIGHT(Base_Bruta!B1353,2))),DATE(VALUE(RIGHT(Base_Bruta!B1353,4)),VALUE(MID(Base_Bruta!B1353,4,2)),VALUE(LEFT(Base_Bruta!B1353,2))))))</f>
        <v>46046</v>
      </c>
      <c r="C1353" s="5" t="n">
        <f aca="false">IF($A1353="","",IF(ISNUMBER(Base_Bruta!C1353),Base_Bruta!C1353,IF(MID(Base_Bruta!C1353,5,1)="-",DATE(VALUE(LEFT(Base_Bruta!C1353,4)),VALUE(MID(Base_Bruta!C1353,6,2)),VALUE(RIGHT(Base_Bruta!C1353,2))),DATE(VALUE(RIGHT(Base_Bruta!C1353,4)),VALUE(MID(Base_Bruta!C1353,4,2)),VALUE(LEFT(Base_Bruta!C1353,2))))))</f>
        <v>46046</v>
      </c>
      <c r="D1353" s="4" t="str">
        <f aca="false">IF($A1353="","",TRIM(Base_Bruta!D1353))</f>
        <v>Rio Beat Festival 2026</v>
      </c>
      <c r="E1353" s="4" t="str">
        <f aca="false">IF($A1353="","",_xlfn.XLOOKUP(LOWER(TRIM(Base_Bruta!E1353)),DePara_Categoria!$A$2:$A$9,DePara_Categoria!$B$2:$B$9,"REVISAR"))</f>
        <v>Festival</v>
      </c>
      <c r="F1353" s="4" t="str">
        <f aca="false">IF($A1353="","",_xlfn.XLOOKUP(LOWER(TRIM(Base_Bruta!F1353)),DePara_Cidade!$A$2:$A$29,DePara_Cidade!$B$2:$B$29,"REVISAR"))</f>
        <v>Rio de Janeiro</v>
      </c>
      <c r="G1353" s="4" t="str">
        <f aca="false">IF($A1353="","",TRIM(Base_Bruta!G1353))</f>
        <v>Inteira</v>
      </c>
      <c r="H1353" s="4" t="n">
        <f aca="false">IF($A1353="","",IF(ISNUMBER(Base_Bruta!H1353),Base_Bruta!H1353,IFERROR(_xlfn.NUMBERVALUE(TRIM(SUBSTITUTE(Base_Bruta!H1353,"R$","")),",","."),0)))</f>
        <v>1</v>
      </c>
      <c r="I1353" s="6" t="n">
        <f aca="false">IF($A1353="","",IF(ISNUMBER(Base_Bruta!I1353),Base_Bruta!I1353,IFERROR(_xlfn.NUMBERVALUE(TRIM(SUBSTITUTE(Base_Bruta!I1353,"R$","")),",","."),0)))</f>
        <v>1070</v>
      </c>
      <c r="J1353" s="6" t="n">
        <f aca="false">IF($A1353="","",H1353*I1353)</f>
        <v>1070</v>
      </c>
      <c r="K1353" s="4" t="str">
        <f aca="false">IF($A1353="","",TRIM(Base_Bruta!J1353))</f>
        <v>Site</v>
      </c>
      <c r="L1353" s="4" t="str">
        <f aca="false">IF($A1353="","",TRIM(Base_Bruta!K1353))</f>
        <v>C02067</v>
      </c>
      <c r="M1353" s="4" t="str">
        <f aca="false">IF($A1353="","",_xlfn.XLOOKUP(LOWER(TRIM(Base_Bruta!L1353)),DePara_Cidade!$A$2:$A$29,DePara_Cidade!$B$2:$B$29,"REVISAR"))</f>
        <v>Rio de Janeiro</v>
      </c>
      <c r="N1353" s="4" t="str">
        <f aca="false">IF($A1353="","",UPPER(TRIM(Base_Bruta!M1353)))</f>
        <v>RJ</v>
      </c>
      <c r="O1353" s="4" t="str">
        <f aca="false">IF($A1353="","",_xlfn.XLOOKUP(LOWER(TRIM(Base_Bruta!N1353)),DePara_Pais!$A$2:$A$9,DePara_Pais!$B$2:$B$9,"REVISAR"))</f>
        <v>Brasil</v>
      </c>
      <c r="P1353" s="4" t="str">
        <f aca="false">IF($A1353="","",IF(O1353&lt;&gt;"Brasil","Turista Internacional",IF(M1353=F1353,"Local","Turista Nacional")))</f>
        <v>Local</v>
      </c>
      <c r="Q1353" s="7" t="n">
        <f aca="false">IF($A1353="","",DATE(YEAR(B1353),MONTH(B1353),1))</f>
        <v>46023</v>
      </c>
      <c r="R1353" s="4" t="str">
        <f aca="false">IF($A1353="","",IF(COUNTIF($A$2:$A1353,$A1353)&gt;1,"Sim","Não"))</f>
        <v>Não</v>
      </c>
      <c r="S1353" s="4" t="str">
        <f aca="false">IF(A1353="","Descartar - Linha vazia",IF(R1353="Sim","Descartar - Duplicado",IF(OR(H1353&lt;=0,I1353&lt;=0),"Descartar - Qtd/Valor inválido","OK")))</f>
        <v>OK</v>
      </c>
      <c r="T1353" s="4" t="str">
        <f aca="false">Base_Bruta!P1353</f>
        <v>vendas_RJ.xlsx</v>
      </c>
    </row>
    <row r="1354" customFormat="false" ht="15" hidden="false" customHeight="false" outlineLevel="0" collapsed="false">
      <c r="A1354" s="4" t="str">
        <f aca="false">IF(Base_Bruta!A1354="","",Base_Bruta!A1354)</f>
        <v>RJ-000208</v>
      </c>
      <c r="B1354" s="5" t="n">
        <f aca="false">IF($A1354="","",IF(ISNUMBER(Base_Bruta!B1354),Base_Bruta!B1354,IF(MID(Base_Bruta!B1354,5,1)="-",DATE(VALUE(LEFT(Base_Bruta!B1354,4)),VALUE(MID(Base_Bruta!B1354,6,2)),VALUE(RIGHT(Base_Bruta!B1354,2))),DATE(VALUE(RIGHT(Base_Bruta!B1354,4)),VALUE(MID(Base_Bruta!B1354,4,2)),VALUE(LEFT(Base_Bruta!B1354,2))))))</f>
        <v>46046</v>
      </c>
      <c r="C1354" s="5" t="n">
        <f aca="false">IF($A1354="","",IF(ISNUMBER(Base_Bruta!C1354),Base_Bruta!C1354,IF(MID(Base_Bruta!C1354,5,1)="-",DATE(VALUE(LEFT(Base_Bruta!C1354,4)),VALUE(MID(Base_Bruta!C1354,6,2)),VALUE(RIGHT(Base_Bruta!C1354,2))),DATE(VALUE(RIGHT(Base_Bruta!C1354,4)),VALUE(MID(Base_Bruta!C1354,4,2)),VALUE(LEFT(Base_Bruta!C1354,2))))))</f>
        <v>46046</v>
      </c>
      <c r="D1354" s="4" t="str">
        <f aca="false">IF($A1354="","",TRIM(Base_Bruta!D1354))</f>
        <v>Rio Beat Festival 2026</v>
      </c>
      <c r="E1354" s="4" t="str">
        <f aca="false">IF($A1354="","",_xlfn.XLOOKUP(LOWER(TRIM(Base_Bruta!E1354)),DePara_Categoria!$A$2:$A$9,DePara_Categoria!$B$2:$B$9,"REVISAR"))</f>
        <v>Festival</v>
      </c>
      <c r="F1354" s="4" t="str">
        <f aca="false">IF($A1354="","",_xlfn.XLOOKUP(LOWER(TRIM(Base_Bruta!F1354)),DePara_Cidade!$A$2:$A$29,DePara_Cidade!$B$2:$B$29,"REVISAR"))</f>
        <v>Rio de Janeiro</v>
      </c>
      <c r="G1354" s="4" t="str">
        <f aca="false">IF($A1354="","",TRIM(Base_Bruta!G1354))</f>
        <v>Inteira</v>
      </c>
      <c r="H1354" s="4" t="n">
        <f aca="false">IF($A1354="","",IF(ISNUMBER(Base_Bruta!H1354),Base_Bruta!H1354,IFERROR(_xlfn.NUMBERVALUE(TRIM(SUBSTITUTE(Base_Bruta!H1354,"R$","")),",","."),0)))</f>
        <v>2</v>
      </c>
      <c r="I1354" s="6" t="n">
        <f aca="false">IF($A1354="","",IF(ISNUMBER(Base_Bruta!I1354),Base_Bruta!I1354,IFERROR(_xlfn.NUMBERVALUE(TRIM(SUBSTITUTE(Base_Bruta!I1354,"R$","")),",","."),0)))</f>
        <v>1130</v>
      </c>
      <c r="J1354" s="6" t="n">
        <f aca="false">IF($A1354="","",H1354*I1354)</f>
        <v>2260</v>
      </c>
      <c r="K1354" s="4" t="str">
        <f aca="false">IF($A1354="","",TRIM(Base_Bruta!J1354))</f>
        <v>App</v>
      </c>
      <c r="L1354" s="4" t="str">
        <f aca="false">IF($A1354="","",TRIM(Base_Bruta!K1354))</f>
        <v>C00501</v>
      </c>
      <c r="M1354" s="4" t="str">
        <f aca="false">IF($A1354="","",_xlfn.XLOOKUP(LOWER(TRIM(Base_Bruta!L1354)),DePara_Cidade!$A$2:$A$29,DePara_Cidade!$B$2:$B$29,"REVISAR"))</f>
        <v>Contagem</v>
      </c>
      <c r="N1354" s="4" t="str">
        <f aca="false">IF($A1354="","",UPPER(TRIM(Base_Bruta!M1354)))</f>
        <v>MG</v>
      </c>
      <c r="O1354" s="4" t="str">
        <f aca="false">IF($A1354="","",_xlfn.XLOOKUP(LOWER(TRIM(Base_Bruta!N1354)),DePara_Pais!$A$2:$A$9,DePara_Pais!$B$2:$B$9,"REVISAR"))</f>
        <v>Brasil</v>
      </c>
      <c r="P1354" s="4" t="str">
        <f aca="false">IF($A1354="","",IF(O1354&lt;&gt;"Brasil","Turista Internacional",IF(M1354=F1354,"Local","Turista Nacional")))</f>
        <v>Turista Nacional</v>
      </c>
      <c r="Q1354" s="7" t="n">
        <f aca="false">IF($A1354="","",DATE(YEAR(B1354),MONTH(B1354),1))</f>
        <v>46023</v>
      </c>
      <c r="R1354" s="4" t="str">
        <f aca="false">IF($A1354="","",IF(COUNTIF($A$2:$A1354,$A1354)&gt;1,"Sim","Não"))</f>
        <v>Não</v>
      </c>
      <c r="S1354" s="4" t="str">
        <f aca="false">IF(A1354="","Descartar - Linha vazia",IF(R1354="Sim","Descartar - Duplicado",IF(OR(H1354&lt;=0,I1354&lt;=0),"Descartar - Qtd/Valor inválido","OK")))</f>
        <v>OK</v>
      </c>
      <c r="T1354" s="4" t="str">
        <f aca="false">Base_Bruta!P1354</f>
        <v>vendas_RJ.xlsx</v>
      </c>
    </row>
    <row r="1355" customFormat="false" ht="15" hidden="false" customHeight="false" outlineLevel="0" collapsed="false">
      <c r="A1355" s="4" t="str">
        <f aca="false">IF(Base_Bruta!A1355="","",Base_Bruta!A1355)</f>
        <v>RJ-000222</v>
      </c>
      <c r="B1355" s="5" t="n">
        <f aca="false">IF($A1355="","",IF(ISNUMBER(Base_Bruta!B1355),Base_Bruta!B1355,IF(MID(Base_Bruta!B1355,5,1)="-",DATE(VALUE(LEFT(Base_Bruta!B1355,4)),VALUE(MID(Base_Bruta!B1355,6,2)),VALUE(RIGHT(Base_Bruta!B1355,2))),DATE(VALUE(RIGHT(Base_Bruta!B1355,4)),VALUE(MID(Base_Bruta!B1355,4,2)),VALUE(LEFT(Base_Bruta!B1355,2))))))</f>
        <v>46046</v>
      </c>
      <c r="C1355" s="5" t="n">
        <f aca="false">IF($A1355="","",IF(ISNUMBER(Base_Bruta!C1355),Base_Bruta!C1355,IF(MID(Base_Bruta!C1355,5,1)="-",DATE(VALUE(LEFT(Base_Bruta!C1355,4)),VALUE(MID(Base_Bruta!C1355,6,2)),VALUE(RIGHT(Base_Bruta!C1355,2))),DATE(VALUE(RIGHT(Base_Bruta!C1355,4)),VALUE(MID(Base_Bruta!C1355,4,2)),VALUE(LEFT(Base_Bruta!C1355,2))))))</f>
        <v>46046</v>
      </c>
      <c r="D1355" s="4" t="str">
        <f aca="false">IF($A1355="","",TRIM(Base_Bruta!D1355))</f>
        <v>Rio Beat Festival 2026</v>
      </c>
      <c r="E1355" s="4" t="str">
        <f aca="false">IF($A1355="","",_xlfn.XLOOKUP(LOWER(TRIM(Base_Bruta!E1355)),DePara_Categoria!$A$2:$A$9,DePara_Categoria!$B$2:$B$9,"REVISAR"))</f>
        <v>Festival</v>
      </c>
      <c r="F1355" s="4" t="str">
        <f aca="false">IF($A1355="","",_xlfn.XLOOKUP(LOWER(TRIM(Base_Bruta!F1355)),DePara_Cidade!$A$2:$A$29,DePara_Cidade!$B$2:$B$29,"REVISAR"))</f>
        <v>Rio de Janeiro</v>
      </c>
      <c r="G1355" s="4" t="str">
        <f aca="false">IF($A1355="","",TRIM(Base_Bruta!G1355))</f>
        <v>Meia</v>
      </c>
      <c r="H1355" s="4" t="n">
        <f aca="false">IF($A1355="","",IF(ISNUMBER(Base_Bruta!H1355),Base_Bruta!H1355,IFERROR(_xlfn.NUMBERVALUE(TRIM(SUBSTITUTE(Base_Bruta!H1355,"R$","")),",","."),0)))</f>
        <v>2</v>
      </c>
      <c r="I1355" s="6" t="n">
        <f aca="false">IF($A1355="","",IF(ISNUMBER(Base_Bruta!I1355),Base_Bruta!I1355,IFERROR(_xlfn.NUMBERVALUE(TRIM(SUBSTITUTE(Base_Bruta!I1355,"R$","")),",","."),0)))</f>
        <v>522.5</v>
      </c>
      <c r="J1355" s="6" t="n">
        <f aca="false">IF($A1355="","",H1355*I1355)</f>
        <v>1045</v>
      </c>
      <c r="K1355" s="4" t="str">
        <f aca="false">IF($A1355="","",TRIM(Base_Bruta!J1355))</f>
        <v>App</v>
      </c>
      <c r="L1355" s="4" t="str">
        <f aca="false">IF($A1355="","",TRIM(Base_Bruta!K1355))</f>
        <v>C00666</v>
      </c>
      <c r="M1355" s="4" t="str">
        <f aca="false">IF($A1355="","",_xlfn.XLOOKUP(LOWER(TRIM(Base_Bruta!L1355)),DePara_Cidade!$A$2:$A$29,DePara_Cidade!$B$2:$B$29,"REVISAR"))</f>
        <v>Curitiba</v>
      </c>
      <c r="N1355" s="4" t="str">
        <f aca="false">IF($A1355="","",UPPER(TRIM(Base_Bruta!M1355)))</f>
        <v>PR</v>
      </c>
      <c r="O1355" s="4" t="str">
        <f aca="false">IF($A1355="","",_xlfn.XLOOKUP(LOWER(TRIM(Base_Bruta!N1355)),DePara_Pais!$A$2:$A$9,DePara_Pais!$B$2:$B$9,"REVISAR"))</f>
        <v>Brasil</v>
      </c>
      <c r="P1355" s="4" t="str">
        <f aca="false">IF($A1355="","",IF(O1355&lt;&gt;"Brasil","Turista Internacional",IF(M1355=F1355,"Local","Turista Nacional")))</f>
        <v>Turista Nacional</v>
      </c>
      <c r="Q1355" s="7" t="n">
        <f aca="false">IF($A1355="","",DATE(YEAR(B1355),MONTH(B1355),1))</f>
        <v>46023</v>
      </c>
      <c r="R1355" s="4" t="str">
        <f aca="false">IF($A1355="","",IF(COUNTIF($A$2:$A1355,$A1355)&gt;1,"Sim","Não"))</f>
        <v>Não</v>
      </c>
      <c r="S1355" s="4" t="str">
        <f aca="false">IF(A1355="","Descartar - Linha vazia",IF(R1355="Sim","Descartar - Duplicado",IF(OR(H1355&lt;=0,I1355&lt;=0),"Descartar - Qtd/Valor inválido","OK")))</f>
        <v>OK</v>
      </c>
      <c r="T1355" s="4" t="str">
        <f aca="false">Base_Bruta!P1355</f>
        <v>vendas_RJ.xlsx</v>
      </c>
    </row>
    <row r="1356" customFormat="false" ht="15" hidden="false" customHeight="false" outlineLevel="0" collapsed="false">
      <c r="A1356" s="4" t="str">
        <f aca="false">IF(Base_Bruta!A1356="","",Base_Bruta!A1356)</f>
        <v>RJ-000381</v>
      </c>
      <c r="B1356" s="5" t="n">
        <f aca="false">IF($A1356="","",IF(ISNUMBER(Base_Bruta!B1356),Base_Bruta!B1356,IF(MID(Base_Bruta!B1356,5,1)="-",DATE(VALUE(LEFT(Base_Bruta!B1356,4)),VALUE(MID(Base_Bruta!B1356,6,2)),VALUE(RIGHT(Base_Bruta!B1356,2))),DATE(VALUE(RIGHT(Base_Bruta!B1356,4)),VALUE(MID(Base_Bruta!B1356,4,2)),VALUE(LEFT(Base_Bruta!B1356,2))))))</f>
        <v>46046</v>
      </c>
      <c r="C1356" s="5" t="n">
        <f aca="false">IF($A1356="","",IF(ISNUMBER(Base_Bruta!C1356),Base_Bruta!C1356,IF(MID(Base_Bruta!C1356,5,1)="-",DATE(VALUE(LEFT(Base_Bruta!C1356,4)),VALUE(MID(Base_Bruta!C1356,6,2)),VALUE(RIGHT(Base_Bruta!C1356,2))),DATE(VALUE(RIGHT(Base_Bruta!C1356,4)),VALUE(MID(Base_Bruta!C1356,4,2)),VALUE(LEFT(Base_Bruta!C1356,2))))))</f>
        <v>46151</v>
      </c>
      <c r="D1356" s="4" t="str">
        <f aca="false">IF($A1356="","",TRIM(Base_Bruta!D1356))</f>
        <v>Turnê Internacional Rock - Rio</v>
      </c>
      <c r="E1356" s="4" t="str">
        <f aca="false">IF($A1356="","",_xlfn.XLOOKUP(LOWER(TRIM(Base_Bruta!E1356)),DePara_Categoria!$A$2:$A$9,DePara_Categoria!$B$2:$B$9,"REVISAR"))</f>
        <v>Show</v>
      </c>
      <c r="F1356" s="4" t="str">
        <f aca="false">IF($A1356="","",_xlfn.XLOOKUP(LOWER(TRIM(Base_Bruta!F1356)),DePara_Cidade!$A$2:$A$29,DePara_Cidade!$B$2:$B$29,"REVISAR"))</f>
        <v>Rio de Janeiro</v>
      </c>
      <c r="G1356" s="4" t="str">
        <f aca="false">IF($A1356="","",TRIM(Base_Bruta!G1356))</f>
        <v>Inteira</v>
      </c>
      <c r="H1356" s="4" t="n">
        <f aca="false">IF($A1356="","",IF(ISNUMBER(Base_Bruta!H1356),Base_Bruta!H1356,IFERROR(_xlfn.NUMBERVALUE(TRIM(SUBSTITUTE(Base_Bruta!H1356,"R$","")),",","."),0)))</f>
        <v>1</v>
      </c>
      <c r="I1356" s="6" t="n">
        <f aca="false">IF($A1356="","",IF(ISNUMBER(Base_Bruta!I1356),Base_Bruta!I1356,IFERROR(_xlfn.NUMBERVALUE(TRIM(SUBSTITUTE(Base_Bruta!I1356,"R$","")),",","."),0)))</f>
        <v>600</v>
      </c>
      <c r="J1356" s="6" t="n">
        <f aca="false">IF($A1356="","",H1356*I1356)</f>
        <v>600</v>
      </c>
      <c r="K1356" s="4" t="str">
        <f aca="false">IF($A1356="","",TRIM(Base_Bruta!J1356))</f>
        <v>Site</v>
      </c>
      <c r="L1356" s="4" t="str">
        <f aca="false">IF($A1356="","",TRIM(Base_Bruta!K1356))</f>
        <v>C00790</v>
      </c>
      <c r="M1356" s="4" t="str">
        <f aca="false">IF($A1356="","",_xlfn.XLOOKUP(LOWER(TRIM(Base_Bruta!L1356)),DePara_Cidade!$A$2:$A$29,DePara_Cidade!$B$2:$B$29,"REVISAR"))</f>
        <v>São Paulo</v>
      </c>
      <c r="N1356" s="4" t="str">
        <f aca="false">IF($A1356="","",UPPER(TRIM(Base_Bruta!M1356)))</f>
        <v>SP</v>
      </c>
      <c r="O1356" s="4" t="str">
        <f aca="false">IF($A1356="","",_xlfn.XLOOKUP(LOWER(TRIM(Base_Bruta!N1356)),DePara_Pais!$A$2:$A$9,DePara_Pais!$B$2:$B$9,"REVISAR"))</f>
        <v>Brasil</v>
      </c>
      <c r="P1356" s="4" t="str">
        <f aca="false">IF($A1356="","",IF(O1356&lt;&gt;"Brasil","Turista Internacional",IF(M1356=F1356,"Local","Turista Nacional")))</f>
        <v>Turista Nacional</v>
      </c>
      <c r="Q1356" s="7" t="n">
        <f aca="false">IF($A1356="","",DATE(YEAR(B1356),MONTH(B1356),1))</f>
        <v>46023</v>
      </c>
      <c r="R1356" s="4" t="str">
        <f aca="false">IF($A1356="","",IF(COUNTIF($A$2:$A1356,$A1356)&gt;1,"Sim","Não"))</f>
        <v>Não</v>
      </c>
      <c r="S1356" s="4" t="str">
        <f aca="false">IF(A1356="","Descartar - Linha vazia",IF(R1356="Sim","Descartar - Duplicado",IF(OR(H1356&lt;=0,I1356&lt;=0),"Descartar - Qtd/Valor inválido","OK")))</f>
        <v>OK</v>
      </c>
      <c r="T1356" s="4" t="str">
        <f aca="false">Base_Bruta!P1356</f>
        <v>vendas_RJ.xlsx</v>
      </c>
    </row>
    <row r="1357" customFormat="false" ht="15" hidden="false" customHeight="false" outlineLevel="0" collapsed="false">
      <c r="A1357" s="4" t="str">
        <f aca="false">IF(Base_Bruta!A1357="","",Base_Bruta!A1357)</f>
        <v>RJ-000582</v>
      </c>
      <c r="B1357" s="5" t="n">
        <f aca="false">IF($A1357="","",IF(ISNUMBER(Base_Bruta!B1357),Base_Bruta!B1357,IF(MID(Base_Bruta!B1357,5,1)="-",DATE(VALUE(LEFT(Base_Bruta!B1357,4)),VALUE(MID(Base_Bruta!B1357,6,2)),VALUE(RIGHT(Base_Bruta!B1357,2))),DATE(VALUE(RIGHT(Base_Bruta!B1357,4)),VALUE(MID(Base_Bruta!B1357,4,2)),VALUE(LEFT(Base_Bruta!B1357,2))))))</f>
        <v>46046</v>
      </c>
      <c r="C1357" s="5" t="n">
        <f aca="false">IF($A1357="","",IF(ISNUMBER(Base_Bruta!C1357),Base_Bruta!C1357,IF(MID(Base_Bruta!C1357,5,1)="-",DATE(VALUE(LEFT(Base_Bruta!C1357,4)),VALUE(MID(Base_Bruta!C1357,6,2)),VALUE(RIGHT(Base_Bruta!C1357,2))),DATE(VALUE(RIGHT(Base_Bruta!C1357,4)),VALUE(MID(Base_Bruta!C1357,4,2)),VALUE(LEFT(Base_Bruta!C1357,2))))))</f>
        <v>46046</v>
      </c>
      <c r="D1357" s="4" t="str">
        <f aca="false">IF($A1357="","",TRIM(Base_Bruta!D1357))</f>
        <v>Cinema Barra - Sessões</v>
      </c>
      <c r="E1357" s="4" t="str">
        <f aca="false">IF($A1357="","",_xlfn.XLOOKUP(LOWER(TRIM(Base_Bruta!E1357)),DePara_Categoria!$A$2:$A$9,DePara_Categoria!$B$2:$B$9,"REVISAR"))</f>
        <v>Cinema</v>
      </c>
      <c r="F1357" s="4" t="str">
        <f aca="false">IF($A1357="","",_xlfn.XLOOKUP(LOWER(TRIM(Base_Bruta!F1357)),DePara_Cidade!$A$2:$A$29,DePara_Cidade!$B$2:$B$29,"REVISAR"))</f>
        <v>Rio de Janeiro</v>
      </c>
      <c r="G1357" s="4" t="str">
        <f aca="false">IF($A1357="","",TRIM(Base_Bruta!G1357))</f>
        <v>Inteira</v>
      </c>
      <c r="H1357" s="4" t="n">
        <f aca="false">IF($A1357="","",IF(ISNUMBER(Base_Bruta!H1357),Base_Bruta!H1357,IFERROR(_xlfn.NUMBERVALUE(TRIM(SUBSTITUTE(Base_Bruta!H1357,"R$","")),",","."),0)))</f>
        <v>1</v>
      </c>
      <c r="I1357" s="6" t="n">
        <f aca="false">IF($A1357="","",IF(ISNUMBER(Base_Bruta!I1357),Base_Bruta!I1357,IFERROR(_xlfn.NUMBERVALUE(TRIM(SUBSTITUTE(Base_Bruta!I1357,"R$","")),",","."),0)))</f>
        <v>40</v>
      </c>
      <c r="J1357" s="6" t="n">
        <f aca="false">IF($A1357="","",H1357*I1357)</f>
        <v>40</v>
      </c>
      <c r="K1357" s="4" t="str">
        <f aca="false">IF($A1357="","",TRIM(Base_Bruta!J1357))</f>
        <v>Parceiro</v>
      </c>
      <c r="L1357" s="4" t="str">
        <f aca="false">IF($A1357="","",TRIM(Base_Bruta!K1357))</f>
        <v>C01982</v>
      </c>
      <c r="M1357" s="4" t="str">
        <f aca="false">IF($A1357="","",_xlfn.XLOOKUP(LOWER(TRIM(Base_Bruta!L1357)),DePara_Cidade!$A$2:$A$29,DePara_Cidade!$B$2:$B$29,"REVISAR"))</f>
        <v>Rio de Janeiro</v>
      </c>
      <c r="N1357" s="4" t="str">
        <f aca="false">IF($A1357="","",UPPER(TRIM(Base_Bruta!M1357)))</f>
        <v>RJ</v>
      </c>
      <c r="O1357" s="4" t="str">
        <f aca="false">IF($A1357="","",_xlfn.XLOOKUP(LOWER(TRIM(Base_Bruta!N1357)),DePara_Pais!$A$2:$A$9,DePara_Pais!$B$2:$B$9,"REVISAR"))</f>
        <v>Brasil</v>
      </c>
      <c r="P1357" s="4" t="str">
        <f aca="false">IF($A1357="","",IF(O1357&lt;&gt;"Brasil","Turista Internacional",IF(M1357=F1357,"Local","Turista Nacional")))</f>
        <v>Local</v>
      </c>
      <c r="Q1357" s="7" t="n">
        <f aca="false">IF($A1357="","",DATE(YEAR(B1357),MONTH(B1357),1))</f>
        <v>46023</v>
      </c>
      <c r="R1357" s="4" t="str">
        <f aca="false">IF($A1357="","",IF(COUNTIF($A$2:$A1357,$A1357)&gt;1,"Sim","Não"))</f>
        <v>Não</v>
      </c>
      <c r="S1357" s="4" t="str">
        <f aca="false">IF(A1357="","Descartar - Linha vazia",IF(R1357="Sim","Descartar - Duplicado",IF(OR(H1357&lt;=0,I1357&lt;=0),"Descartar - Qtd/Valor inválido","OK")))</f>
        <v>OK</v>
      </c>
      <c r="T1357" s="4" t="str">
        <f aca="false">Base_Bruta!P1357</f>
        <v>vendas_RJ.xlsx</v>
      </c>
    </row>
    <row r="1358" customFormat="false" ht="15" hidden="false" customHeight="false" outlineLevel="0" collapsed="false">
      <c r="A1358" s="4" t="str">
        <f aca="false">IF(Base_Bruta!A1358="","",Base_Bruta!A1358)</f>
        <v>RJ-000626</v>
      </c>
      <c r="B1358" s="5" t="n">
        <f aca="false">IF($A1358="","",IF(ISNUMBER(Base_Bruta!B1358),Base_Bruta!B1358,IF(MID(Base_Bruta!B1358,5,1)="-",DATE(VALUE(LEFT(Base_Bruta!B1358,4)),VALUE(MID(Base_Bruta!B1358,6,2)),VALUE(RIGHT(Base_Bruta!B1358,2))),DATE(VALUE(RIGHT(Base_Bruta!B1358,4)),VALUE(MID(Base_Bruta!B1358,4,2)),VALUE(LEFT(Base_Bruta!B1358,2))))))</f>
        <v>46046</v>
      </c>
      <c r="C1358" s="5" t="n">
        <f aca="false">IF($A1358="","",IF(ISNUMBER(Base_Bruta!C1358),Base_Bruta!C1358,IF(MID(Base_Bruta!C1358,5,1)="-",DATE(VALUE(LEFT(Base_Bruta!C1358,4)),VALUE(MID(Base_Bruta!C1358,6,2)),VALUE(RIGHT(Base_Bruta!C1358,2))),DATE(VALUE(RIGHT(Base_Bruta!C1358,4)),VALUE(MID(Base_Bruta!C1358,4,2)),VALUE(LEFT(Base_Bruta!C1358,2))))))</f>
        <v>46049</v>
      </c>
      <c r="D1358" s="4" t="str">
        <f aca="false">IF($A1358="","",TRIM(Base_Bruta!D1358))</f>
        <v>Cinema Barra - Sessões</v>
      </c>
      <c r="E1358" s="4" t="str">
        <f aca="false">IF($A1358="","",_xlfn.XLOOKUP(LOWER(TRIM(Base_Bruta!E1358)),DePara_Categoria!$A$2:$A$9,DePara_Categoria!$B$2:$B$9,"REVISAR"))</f>
        <v>Cinema</v>
      </c>
      <c r="F1358" s="4" t="str">
        <f aca="false">IF($A1358="","",_xlfn.XLOOKUP(LOWER(TRIM(Base_Bruta!F1358)),DePara_Cidade!$A$2:$A$29,DePara_Cidade!$B$2:$B$29,"REVISAR"))</f>
        <v>Rio de Janeiro</v>
      </c>
      <c r="G1358" s="4" t="str">
        <f aca="false">IF($A1358="","",TRIM(Base_Bruta!G1358))</f>
        <v>Meia</v>
      </c>
      <c r="H1358" s="4" t="n">
        <f aca="false">IF($A1358="","",IF(ISNUMBER(Base_Bruta!H1358),Base_Bruta!H1358,IFERROR(_xlfn.NUMBERVALUE(TRIM(SUBSTITUTE(Base_Bruta!H1358,"R$","")),",","."),0)))</f>
        <v>2</v>
      </c>
      <c r="I1358" s="6" t="n">
        <f aca="false">IF($A1358="","",IF(ISNUMBER(Base_Bruta!I1358),Base_Bruta!I1358,IFERROR(_xlfn.NUMBERVALUE(TRIM(SUBSTITUTE(Base_Bruta!I1358,"R$","")),",","."),0)))</f>
        <v>22.5</v>
      </c>
      <c r="J1358" s="6" t="n">
        <f aca="false">IF($A1358="","",H1358*I1358)</f>
        <v>45</v>
      </c>
      <c r="K1358" s="4" t="str">
        <f aca="false">IF($A1358="","",TRIM(Base_Bruta!J1358))</f>
        <v>App</v>
      </c>
      <c r="L1358" s="4" t="str">
        <f aca="false">IF($A1358="","",TRIM(Base_Bruta!K1358))</f>
        <v>C01870</v>
      </c>
      <c r="M1358" s="4" t="str">
        <f aca="false">IF($A1358="","",_xlfn.XLOOKUP(LOWER(TRIM(Base_Bruta!L1358)),DePara_Cidade!$A$2:$A$29,DePara_Cidade!$B$2:$B$29,"REVISAR"))</f>
        <v>Rio de Janeiro</v>
      </c>
      <c r="N1358" s="4" t="str">
        <f aca="false">IF($A1358="","",UPPER(TRIM(Base_Bruta!M1358)))</f>
        <v>RJ</v>
      </c>
      <c r="O1358" s="4" t="str">
        <f aca="false">IF($A1358="","",_xlfn.XLOOKUP(LOWER(TRIM(Base_Bruta!N1358)),DePara_Pais!$A$2:$A$9,DePara_Pais!$B$2:$B$9,"REVISAR"))</f>
        <v>Brasil</v>
      </c>
      <c r="P1358" s="4" t="str">
        <f aca="false">IF($A1358="","",IF(O1358&lt;&gt;"Brasil","Turista Internacional",IF(M1358=F1358,"Local","Turista Nacional")))</f>
        <v>Local</v>
      </c>
      <c r="Q1358" s="7" t="n">
        <f aca="false">IF($A1358="","",DATE(YEAR(B1358),MONTH(B1358),1))</f>
        <v>46023</v>
      </c>
      <c r="R1358" s="4" t="str">
        <f aca="false">IF($A1358="","",IF(COUNTIF($A$2:$A1358,$A1358)&gt;1,"Sim","Não"))</f>
        <v>Não</v>
      </c>
      <c r="S1358" s="4" t="str">
        <f aca="false">IF(A1358="","Descartar - Linha vazia",IF(R1358="Sim","Descartar - Duplicado",IF(OR(H1358&lt;=0,I1358&lt;=0),"Descartar - Qtd/Valor inválido","OK")))</f>
        <v>OK</v>
      </c>
      <c r="T1358" s="4" t="str">
        <f aca="false">Base_Bruta!P1358</f>
        <v>vendas_RJ.xlsx</v>
      </c>
    </row>
    <row r="1359" customFormat="false" ht="15" hidden="false" customHeight="false" outlineLevel="0" collapsed="false">
      <c r="A1359" s="4" t="str">
        <f aca="false">IF(Base_Bruta!A1359="","",Base_Bruta!A1359)</f>
        <v>RJ-000397</v>
      </c>
      <c r="B1359" s="5" t="n">
        <f aca="false">IF($A1359="","",IF(ISNUMBER(Base_Bruta!B1359),Base_Bruta!B1359,IF(MID(Base_Bruta!B1359,5,1)="-",DATE(VALUE(LEFT(Base_Bruta!B1359,4)),VALUE(MID(Base_Bruta!B1359,6,2)),VALUE(RIGHT(Base_Bruta!B1359,2))),DATE(VALUE(RIGHT(Base_Bruta!B1359,4)),VALUE(MID(Base_Bruta!B1359,4,2)),VALUE(LEFT(Base_Bruta!B1359,2))))))</f>
        <v>46047</v>
      </c>
      <c r="C1359" s="5" t="n">
        <f aca="false">IF($A1359="","",IF(ISNUMBER(Base_Bruta!C1359),Base_Bruta!C1359,IF(MID(Base_Bruta!C1359,5,1)="-",DATE(VALUE(LEFT(Base_Bruta!C1359,4)),VALUE(MID(Base_Bruta!C1359,6,2)),VALUE(RIGHT(Base_Bruta!C1359,2))),DATE(VALUE(RIGHT(Base_Bruta!C1359,4)),VALUE(MID(Base_Bruta!C1359,4,2)),VALUE(LEFT(Base_Bruta!C1359,2))))))</f>
        <v>46151</v>
      </c>
      <c r="D1359" s="4" t="str">
        <f aca="false">IF($A1359="","",TRIM(Base_Bruta!D1359))</f>
        <v>Turnê Internacional Rock - Rio</v>
      </c>
      <c r="E1359" s="4" t="str">
        <f aca="false">IF($A1359="","",_xlfn.XLOOKUP(LOWER(TRIM(Base_Bruta!E1359)),DePara_Categoria!$A$2:$A$9,DePara_Categoria!$B$2:$B$9,"REVISAR"))</f>
        <v>Show</v>
      </c>
      <c r="F1359" s="4" t="str">
        <f aca="false">IF($A1359="","",_xlfn.XLOOKUP(LOWER(TRIM(Base_Bruta!F1359)),DePara_Cidade!$A$2:$A$29,DePara_Cidade!$B$2:$B$29,"REVISAR"))</f>
        <v>Rio de Janeiro</v>
      </c>
      <c r="G1359" s="4" t="str">
        <f aca="false">IF($A1359="","",TRIM(Base_Bruta!G1359))</f>
        <v>Inteira</v>
      </c>
      <c r="H1359" s="4" t="n">
        <f aca="false">IF($A1359="","",IF(ISNUMBER(Base_Bruta!H1359),Base_Bruta!H1359,IFERROR(_xlfn.NUMBERVALUE(TRIM(SUBSTITUTE(Base_Bruta!H1359,"R$","")),",","."),0)))</f>
        <v>2</v>
      </c>
      <c r="I1359" s="6" t="n">
        <f aca="false">IF($A1359="","",IF(ISNUMBER(Base_Bruta!I1359),Base_Bruta!I1359,IFERROR(_xlfn.NUMBERVALUE(TRIM(SUBSTITUTE(Base_Bruta!I1359,"R$","")),",","."),0)))</f>
        <v>780</v>
      </c>
      <c r="J1359" s="6" t="n">
        <f aca="false">IF($A1359="","",H1359*I1359)</f>
        <v>1560</v>
      </c>
      <c r="K1359" s="4" t="str">
        <f aca="false">IF($A1359="","",TRIM(Base_Bruta!J1359))</f>
        <v>Site</v>
      </c>
      <c r="L1359" s="4" t="str">
        <f aca="false">IF($A1359="","",TRIM(Base_Bruta!K1359))</f>
        <v>C01526</v>
      </c>
      <c r="M1359" s="4" t="str">
        <f aca="false">IF($A1359="","",_xlfn.XLOOKUP(LOWER(TRIM(Base_Bruta!L1359)),DePara_Cidade!$A$2:$A$29,DePara_Cidade!$B$2:$B$29,"REVISAR"))</f>
        <v>Rio de Janeiro</v>
      </c>
      <c r="N1359" s="4" t="str">
        <f aca="false">IF($A1359="","",UPPER(TRIM(Base_Bruta!M1359)))</f>
        <v>RJ</v>
      </c>
      <c r="O1359" s="4" t="str">
        <f aca="false">IF($A1359="","",_xlfn.XLOOKUP(LOWER(TRIM(Base_Bruta!N1359)),DePara_Pais!$A$2:$A$9,DePara_Pais!$B$2:$B$9,"REVISAR"))</f>
        <v>Brasil</v>
      </c>
      <c r="P1359" s="4" t="str">
        <f aca="false">IF($A1359="","",IF(O1359&lt;&gt;"Brasil","Turista Internacional",IF(M1359=F1359,"Local","Turista Nacional")))</f>
        <v>Local</v>
      </c>
      <c r="Q1359" s="7" t="n">
        <f aca="false">IF($A1359="","",DATE(YEAR(B1359),MONTH(B1359),1))</f>
        <v>46023</v>
      </c>
      <c r="R1359" s="4" t="str">
        <f aca="false">IF($A1359="","",IF(COUNTIF($A$2:$A1359,$A1359)&gt;1,"Sim","Não"))</f>
        <v>Não</v>
      </c>
      <c r="S1359" s="4" t="str">
        <f aca="false">IF(A1359="","Descartar - Linha vazia",IF(R1359="Sim","Descartar - Duplicado",IF(OR(H1359&lt;=0,I1359&lt;=0),"Descartar - Qtd/Valor inválido","OK")))</f>
        <v>OK</v>
      </c>
      <c r="T1359" s="4" t="str">
        <f aca="false">Base_Bruta!P1359</f>
        <v>vendas_RJ.xlsx</v>
      </c>
    </row>
    <row r="1360" customFormat="false" ht="15" hidden="false" customHeight="false" outlineLevel="0" collapsed="false">
      <c r="A1360" s="4" t="str">
        <f aca="false">IF(Base_Bruta!A1360="","",Base_Bruta!A1360)</f>
        <v>RJ-000461</v>
      </c>
      <c r="B1360" s="5" t="n">
        <f aca="false">IF($A1360="","",IF(ISNUMBER(Base_Bruta!B1360),Base_Bruta!B1360,IF(MID(Base_Bruta!B1360,5,1)="-",DATE(VALUE(LEFT(Base_Bruta!B1360,4)),VALUE(MID(Base_Bruta!B1360,6,2)),VALUE(RIGHT(Base_Bruta!B1360,2))),DATE(VALUE(RIGHT(Base_Bruta!B1360,4)),VALUE(MID(Base_Bruta!B1360,4,2)),VALUE(LEFT(Base_Bruta!B1360,2))))))</f>
        <v>46047</v>
      </c>
      <c r="C1360" s="5" t="n">
        <f aca="false">IF($A1360="","",IF(ISNUMBER(Base_Bruta!C1360),Base_Bruta!C1360,IF(MID(Base_Bruta!C1360,5,1)="-",DATE(VALUE(LEFT(Base_Bruta!C1360,4)),VALUE(MID(Base_Bruta!C1360,6,2)),VALUE(RIGHT(Base_Bruta!C1360,2))),DATE(VALUE(RIGHT(Base_Bruta!C1360,4)),VALUE(MID(Base_Bruta!C1360,4,2)),VALUE(LEFT(Base_Bruta!C1360,2))))))</f>
        <v>46151</v>
      </c>
      <c r="D1360" s="4" t="str">
        <f aca="false">IF($A1360="","",TRIM(Base_Bruta!D1360))</f>
        <v>Turnê Internacional Rock - Rio</v>
      </c>
      <c r="E1360" s="4" t="str">
        <f aca="false">IF($A1360="","",_xlfn.XLOOKUP(LOWER(TRIM(Base_Bruta!E1360)),DePara_Categoria!$A$2:$A$9,DePara_Categoria!$B$2:$B$9,"REVISAR"))</f>
        <v>Show</v>
      </c>
      <c r="F1360" s="4" t="str">
        <f aca="false">IF($A1360="","",_xlfn.XLOOKUP(LOWER(TRIM(Base_Bruta!F1360)),DePara_Cidade!$A$2:$A$29,DePara_Cidade!$B$2:$B$29,"REVISAR"))</f>
        <v>Rio de Janeiro</v>
      </c>
      <c r="G1360" s="4" t="str">
        <f aca="false">IF($A1360="","",TRIM(Base_Bruta!G1360))</f>
        <v>Inteira</v>
      </c>
      <c r="H1360" s="4" t="n">
        <f aca="false">IF($A1360="","",IF(ISNUMBER(Base_Bruta!H1360),Base_Bruta!H1360,IFERROR(_xlfn.NUMBERVALUE(TRIM(SUBSTITUTE(Base_Bruta!H1360,"R$","")),",","."),0)))</f>
        <v>1</v>
      </c>
      <c r="I1360" s="6" t="n">
        <f aca="false">IF($A1360="","",IF(ISNUMBER(Base_Bruta!I1360),Base_Bruta!I1360,IFERROR(_xlfn.NUMBERVALUE(TRIM(SUBSTITUTE(Base_Bruta!I1360,"R$","")),",","."),0)))</f>
        <v>260</v>
      </c>
      <c r="J1360" s="6" t="n">
        <f aca="false">IF($A1360="","",H1360*I1360)</f>
        <v>260</v>
      </c>
      <c r="K1360" s="4" t="str">
        <f aca="false">IF($A1360="","",TRIM(Base_Bruta!J1360))</f>
        <v>App</v>
      </c>
      <c r="L1360" s="4" t="str">
        <f aca="false">IF($A1360="","",TRIM(Base_Bruta!K1360))</f>
        <v>C02135</v>
      </c>
      <c r="M1360" s="4" t="str">
        <f aca="false">IF($A1360="","",_xlfn.XLOOKUP(LOWER(TRIM(Base_Bruta!L1360)),DePara_Cidade!$A$2:$A$29,DePara_Cidade!$B$2:$B$29,"REVISAR"))</f>
        <v>Rio de Janeiro</v>
      </c>
      <c r="N1360" s="4" t="str">
        <f aca="false">IF($A1360="","",UPPER(TRIM(Base_Bruta!M1360)))</f>
        <v>RJ</v>
      </c>
      <c r="O1360" s="4" t="str">
        <f aca="false">IF($A1360="","",_xlfn.XLOOKUP(LOWER(TRIM(Base_Bruta!N1360)),DePara_Pais!$A$2:$A$9,DePara_Pais!$B$2:$B$9,"REVISAR"))</f>
        <v>Brasil</v>
      </c>
      <c r="P1360" s="4" t="str">
        <f aca="false">IF($A1360="","",IF(O1360&lt;&gt;"Brasil","Turista Internacional",IF(M1360=F1360,"Local","Turista Nacional")))</f>
        <v>Local</v>
      </c>
      <c r="Q1360" s="7" t="n">
        <f aca="false">IF($A1360="","",DATE(YEAR(B1360),MONTH(B1360),1))</f>
        <v>46023</v>
      </c>
      <c r="R1360" s="4" t="str">
        <f aca="false">IF($A1360="","",IF(COUNTIF($A$2:$A1360,$A1360)&gt;1,"Sim","Não"))</f>
        <v>Não</v>
      </c>
      <c r="S1360" s="4" t="str">
        <f aca="false">IF(A1360="","Descartar - Linha vazia",IF(R1360="Sim","Descartar - Duplicado",IF(OR(H1360&lt;=0,I1360&lt;=0),"Descartar - Qtd/Valor inválido","OK")))</f>
        <v>OK</v>
      </c>
      <c r="T1360" s="4" t="str">
        <f aca="false">Base_Bruta!P1360</f>
        <v>vendas_RJ.xlsx</v>
      </c>
    </row>
    <row r="1361" customFormat="false" ht="15" hidden="false" customHeight="false" outlineLevel="0" collapsed="false">
      <c r="A1361" s="4" t="str">
        <f aca="false">IF(Base_Bruta!A1361="","",Base_Bruta!A1361)</f>
        <v>RJ-000483</v>
      </c>
      <c r="B1361" s="5" t="n">
        <f aca="false">IF($A1361="","",IF(ISNUMBER(Base_Bruta!B1361),Base_Bruta!B1361,IF(MID(Base_Bruta!B1361,5,1)="-",DATE(VALUE(LEFT(Base_Bruta!B1361,4)),VALUE(MID(Base_Bruta!B1361,6,2)),VALUE(RIGHT(Base_Bruta!B1361,2))),DATE(VALUE(RIGHT(Base_Bruta!B1361,4)),VALUE(MID(Base_Bruta!B1361,4,2)),VALUE(LEFT(Base_Bruta!B1361,2))))))</f>
        <v>46047</v>
      </c>
      <c r="C1361" s="5" t="n">
        <f aca="false">IF($A1361="","",IF(ISNUMBER(Base_Bruta!C1361),Base_Bruta!C1361,IF(MID(Base_Bruta!C1361,5,1)="-",DATE(VALUE(LEFT(Base_Bruta!C1361,4)),VALUE(MID(Base_Bruta!C1361,6,2)),VALUE(RIGHT(Base_Bruta!C1361,2))),DATE(VALUE(RIGHT(Base_Bruta!C1361,4)),VALUE(MID(Base_Bruta!C1361,4,2)),VALUE(LEFT(Base_Bruta!C1361,2))))))</f>
        <v>46151</v>
      </c>
      <c r="D1361" s="4" t="str">
        <f aca="false">IF($A1361="","",TRIM(Base_Bruta!D1361))</f>
        <v>Turnê Internacional Rock - Rio</v>
      </c>
      <c r="E1361" s="4" t="str">
        <f aca="false">IF($A1361="","",_xlfn.XLOOKUP(LOWER(TRIM(Base_Bruta!E1361)),DePara_Categoria!$A$2:$A$9,DePara_Categoria!$B$2:$B$9,"REVISAR"))</f>
        <v>Show</v>
      </c>
      <c r="F1361" s="4" t="str">
        <f aca="false">IF($A1361="","",_xlfn.XLOOKUP(LOWER(TRIM(Base_Bruta!F1361)),DePara_Cidade!$A$2:$A$29,DePara_Cidade!$B$2:$B$29,"REVISAR"))</f>
        <v>Rio de Janeiro</v>
      </c>
      <c r="G1361" s="4" t="str">
        <f aca="false">IF($A1361="","",TRIM(Base_Bruta!G1361))</f>
        <v>VIP</v>
      </c>
      <c r="H1361" s="4" t="n">
        <f aca="false">IF($A1361="","",IF(ISNUMBER(Base_Bruta!H1361),Base_Bruta!H1361,IFERROR(_xlfn.NUMBERVALUE(TRIM(SUBSTITUTE(Base_Bruta!H1361,"R$","")),",","."),0)))</f>
        <v>2</v>
      </c>
      <c r="I1361" s="6" t="n">
        <f aca="false">IF($A1361="","",IF(ISNUMBER(Base_Bruta!I1361),Base_Bruta!I1361,IFERROR(_xlfn.NUMBERVALUE(TRIM(SUBSTITUTE(Base_Bruta!I1361,"R$","")),",","."),0)))</f>
        <v>1030</v>
      </c>
      <c r="J1361" s="6" t="n">
        <f aca="false">IF($A1361="","",H1361*I1361)</f>
        <v>2060</v>
      </c>
      <c r="K1361" s="4" t="str">
        <f aca="false">IF($A1361="","",TRIM(Base_Bruta!J1361))</f>
        <v>App</v>
      </c>
      <c r="L1361" s="4" t="str">
        <f aca="false">IF($A1361="","",TRIM(Base_Bruta!K1361))</f>
        <v>C00737</v>
      </c>
      <c r="M1361" s="4" t="str">
        <f aca="false">IF($A1361="","",_xlfn.XLOOKUP(LOWER(TRIM(Base_Bruta!L1361)),DePara_Cidade!$A$2:$A$29,DePara_Cidade!$B$2:$B$29,"REVISAR"))</f>
        <v>Rio de Janeiro</v>
      </c>
      <c r="N1361" s="4" t="str">
        <f aca="false">IF($A1361="","",UPPER(TRIM(Base_Bruta!M1361)))</f>
        <v>RJ</v>
      </c>
      <c r="O1361" s="4" t="str">
        <f aca="false">IF($A1361="","",_xlfn.XLOOKUP(LOWER(TRIM(Base_Bruta!N1361)),DePara_Pais!$A$2:$A$9,DePara_Pais!$B$2:$B$9,"REVISAR"))</f>
        <v>Brasil</v>
      </c>
      <c r="P1361" s="4" t="str">
        <f aca="false">IF($A1361="","",IF(O1361&lt;&gt;"Brasil","Turista Internacional",IF(M1361=F1361,"Local","Turista Nacional")))</f>
        <v>Local</v>
      </c>
      <c r="Q1361" s="7" t="n">
        <f aca="false">IF($A1361="","",DATE(YEAR(B1361),MONTH(B1361),1))</f>
        <v>46023</v>
      </c>
      <c r="R1361" s="4" t="str">
        <f aca="false">IF($A1361="","",IF(COUNTIF($A$2:$A1361,$A1361)&gt;1,"Sim","Não"))</f>
        <v>Não</v>
      </c>
      <c r="S1361" s="4" t="str">
        <f aca="false">IF(A1361="","Descartar - Linha vazia",IF(R1361="Sim","Descartar - Duplicado",IF(OR(H1361&lt;=0,I1361&lt;=0),"Descartar - Qtd/Valor inválido","OK")))</f>
        <v>OK</v>
      </c>
      <c r="T1361" s="4" t="str">
        <f aca="false">Base_Bruta!P1361</f>
        <v>vendas_RJ.xlsx</v>
      </c>
    </row>
    <row r="1362" customFormat="false" ht="15" hidden="false" customHeight="false" outlineLevel="0" collapsed="false">
      <c r="A1362" s="4" t="str">
        <f aca="false">IF(Base_Bruta!A1362="","",Base_Bruta!A1362)</f>
        <v>RJ-000506</v>
      </c>
      <c r="B1362" s="5" t="n">
        <f aca="false">IF($A1362="","",IF(ISNUMBER(Base_Bruta!B1362),Base_Bruta!B1362,IF(MID(Base_Bruta!B1362,5,1)="-",DATE(VALUE(LEFT(Base_Bruta!B1362,4)),VALUE(MID(Base_Bruta!B1362,6,2)),VALUE(RIGHT(Base_Bruta!B1362,2))),DATE(VALUE(RIGHT(Base_Bruta!B1362,4)),VALUE(MID(Base_Bruta!B1362,4,2)),VALUE(LEFT(Base_Bruta!B1362,2))))))</f>
        <v>46043</v>
      </c>
      <c r="C1362" s="5" t="n">
        <f aca="false">IF($A1362="","",IF(ISNUMBER(Base_Bruta!C1362),Base_Bruta!C1362,IF(MID(Base_Bruta!C1362,5,1)="-",DATE(VALUE(LEFT(Base_Bruta!C1362,4)),VALUE(MID(Base_Bruta!C1362,6,2)),VALUE(RIGHT(Base_Bruta!C1362,2))),DATE(VALUE(RIGHT(Base_Bruta!C1362,4)),VALUE(MID(Base_Bruta!C1362,4,2)),VALUE(LEFT(Base_Bruta!C1362,2))))))</f>
        <v>46151</v>
      </c>
      <c r="D1362" s="4" t="str">
        <f aca="false">IF($A1362="","",TRIM(Base_Bruta!D1362))</f>
        <v>Turnê Internacional Rock - Rio</v>
      </c>
      <c r="E1362" s="4" t="str">
        <f aca="false">IF($A1362="","",_xlfn.XLOOKUP(LOWER(TRIM(Base_Bruta!E1362)),DePara_Categoria!$A$2:$A$9,DePara_Categoria!$B$2:$B$9,"REVISAR"))</f>
        <v>Show</v>
      </c>
      <c r="F1362" s="4" t="str">
        <f aca="false">IF($A1362="","",_xlfn.XLOOKUP(LOWER(TRIM(Base_Bruta!F1362)),DePara_Cidade!$A$2:$A$29,DePara_Cidade!$B$2:$B$29,"REVISAR"))</f>
        <v>Rio de Janeiro</v>
      </c>
      <c r="G1362" s="4" t="str">
        <f aca="false">IF($A1362="","",TRIM(Base_Bruta!G1362))</f>
        <v>Inteira</v>
      </c>
      <c r="H1362" s="4" t="n">
        <f aca="false">IF($A1362="","",IF(ISNUMBER(Base_Bruta!H1362),Base_Bruta!H1362,IFERROR(_xlfn.NUMBERVALUE(TRIM(SUBSTITUTE(Base_Bruta!H1362,"R$","")),",","."),0)))</f>
        <v>1</v>
      </c>
      <c r="I1362" s="6" t="n">
        <f aca="false">IF($A1362="","",IF(ISNUMBER(Base_Bruta!I1362),Base_Bruta!I1362,IFERROR(_xlfn.NUMBERVALUE(TRIM(SUBSTITUTE(Base_Bruta!I1362,"R$","")),",","."),0)))</f>
        <v>535</v>
      </c>
      <c r="J1362" s="6" t="n">
        <f aca="false">IF($A1362="","",H1362*I1362)</f>
        <v>535</v>
      </c>
      <c r="K1362" s="4" t="str">
        <f aca="false">IF($A1362="","",TRIM(Base_Bruta!J1362))</f>
        <v>Site</v>
      </c>
      <c r="L1362" s="4" t="str">
        <f aca="false">IF($A1362="","",TRIM(Base_Bruta!K1362))</f>
        <v>C01735</v>
      </c>
      <c r="M1362" s="4" t="str">
        <f aca="false">IF($A1362="","",_xlfn.XLOOKUP(LOWER(TRIM(Base_Bruta!L1362)),DePara_Cidade!$A$2:$A$29,DePara_Cidade!$B$2:$B$29,"REVISAR"))</f>
        <v>Rio de Janeiro</v>
      </c>
      <c r="N1362" s="4" t="str">
        <f aca="false">IF($A1362="","",UPPER(TRIM(Base_Bruta!M1362)))</f>
        <v>RJ</v>
      </c>
      <c r="O1362" s="4" t="str">
        <f aca="false">IF($A1362="","",_xlfn.XLOOKUP(LOWER(TRIM(Base_Bruta!N1362)),DePara_Pais!$A$2:$A$9,DePara_Pais!$B$2:$B$9,"REVISAR"))</f>
        <v>Brasil</v>
      </c>
      <c r="P1362" s="4" t="str">
        <f aca="false">IF($A1362="","",IF(O1362&lt;&gt;"Brasil","Turista Internacional",IF(M1362=F1362,"Local","Turista Nacional")))</f>
        <v>Local</v>
      </c>
      <c r="Q1362" s="7" t="n">
        <f aca="false">IF($A1362="","",DATE(YEAR(B1362),MONTH(B1362),1))</f>
        <v>46023</v>
      </c>
      <c r="R1362" s="4" t="str">
        <f aca="false">IF($A1362="","",IF(COUNTIF($A$2:$A1362,$A1362)&gt;1,"Sim","Não"))</f>
        <v>Sim</v>
      </c>
      <c r="S1362" s="4" t="str">
        <f aca="false">IF(A1362="","Descartar - Linha vazia",IF(R1362="Sim","Descartar - Duplicado",IF(OR(H1362&lt;=0,I1362&lt;=0),"Descartar - Qtd/Valor inválido","OK")))</f>
        <v>Descartar - Duplicado</v>
      </c>
      <c r="T1362" s="4" t="str">
        <f aca="false">Base_Bruta!P1362</f>
        <v>vendas_RJ.xlsx</v>
      </c>
    </row>
    <row r="1363" customFormat="false" ht="15" hidden="false" customHeight="false" outlineLevel="0" collapsed="false">
      <c r="A1363" s="4" t="str">
        <f aca="false">IF(Base_Bruta!A1363="","",Base_Bruta!A1363)</f>
        <v>RJ-000402</v>
      </c>
      <c r="B1363" s="5" t="n">
        <f aca="false">IF($A1363="","",IF(ISNUMBER(Base_Bruta!B1363),Base_Bruta!B1363,IF(MID(Base_Bruta!B1363,5,1)="-",DATE(VALUE(LEFT(Base_Bruta!B1363,4)),VALUE(MID(Base_Bruta!B1363,6,2)),VALUE(RIGHT(Base_Bruta!B1363,2))),DATE(VALUE(RIGHT(Base_Bruta!B1363,4)),VALUE(MID(Base_Bruta!B1363,4,2)),VALUE(LEFT(Base_Bruta!B1363,2))))))</f>
        <v>46048</v>
      </c>
      <c r="C1363" s="5" t="n">
        <f aca="false">IF($A1363="","",IF(ISNUMBER(Base_Bruta!C1363),Base_Bruta!C1363,IF(MID(Base_Bruta!C1363,5,1)="-",DATE(VALUE(LEFT(Base_Bruta!C1363,4)),VALUE(MID(Base_Bruta!C1363,6,2)),VALUE(RIGHT(Base_Bruta!C1363,2))),DATE(VALUE(RIGHT(Base_Bruta!C1363,4)),VALUE(MID(Base_Bruta!C1363,4,2)),VALUE(LEFT(Base_Bruta!C1363,2))))))</f>
        <v>46151</v>
      </c>
      <c r="D1363" s="4" t="str">
        <f aca="false">IF($A1363="","",TRIM(Base_Bruta!D1363))</f>
        <v>Turnê Internacional Rock - Rio</v>
      </c>
      <c r="E1363" s="4" t="str">
        <f aca="false">IF($A1363="","",_xlfn.XLOOKUP(LOWER(TRIM(Base_Bruta!E1363)),DePara_Categoria!$A$2:$A$9,DePara_Categoria!$B$2:$B$9,"REVISAR"))</f>
        <v>Show</v>
      </c>
      <c r="F1363" s="4" t="str">
        <f aca="false">IF($A1363="","",_xlfn.XLOOKUP(LOWER(TRIM(Base_Bruta!F1363)),DePara_Cidade!$A$2:$A$29,DePara_Cidade!$B$2:$B$29,"REVISAR"))</f>
        <v>Rio de Janeiro</v>
      </c>
      <c r="G1363" s="4" t="str">
        <f aca="false">IF($A1363="","",TRIM(Base_Bruta!G1363))</f>
        <v>Inteira</v>
      </c>
      <c r="H1363" s="4" t="n">
        <f aca="false">IF($A1363="","",IF(ISNUMBER(Base_Bruta!H1363),Base_Bruta!H1363,IFERROR(_xlfn.NUMBERVALUE(TRIM(SUBSTITUTE(Base_Bruta!H1363,"R$","")),",","."),0)))</f>
        <v>2</v>
      </c>
      <c r="I1363" s="6" t="n">
        <f aca="false">IF($A1363="","",IF(ISNUMBER(Base_Bruta!I1363),Base_Bruta!I1363,IFERROR(_xlfn.NUMBERVALUE(TRIM(SUBSTITUTE(Base_Bruta!I1363,"R$","")),",","."),0)))</f>
        <v>460</v>
      </c>
      <c r="J1363" s="6" t="n">
        <f aca="false">IF($A1363="","",H1363*I1363)</f>
        <v>920</v>
      </c>
      <c r="K1363" s="4" t="str">
        <f aca="false">IF($A1363="","",TRIM(Base_Bruta!J1363))</f>
        <v>App</v>
      </c>
      <c r="L1363" s="4" t="str">
        <f aca="false">IF($A1363="","",TRIM(Base_Bruta!K1363))</f>
        <v>C02241</v>
      </c>
      <c r="M1363" s="4" t="str">
        <f aca="false">IF($A1363="","",_xlfn.XLOOKUP(LOWER(TRIM(Base_Bruta!L1363)),DePara_Cidade!$A$2:$A$29,DePara_Cidade!$B$2:$B$29,"REVISAR"))</f>
        <v>Rio de Janeiro</v>
      </c>
      <c r="N1363" s="4" t="str">
        <f aca="false">IF($A1363="","",UPPER(TRIM(Base_Bruta!M1363)))</f>
        <v>RJ</v>
      </c>
      <c r="O1363" s="4" t="str">
        <f aca="false">IF($A1363="","",_xlfn.XLOOKUP(LOWER(TRIM(Base_Bruta!N1363)),DePara_Pais!$A$2:$A$9,DePara_Pais!$B$2:$B$9,"REVISAR"))</f>
        <v>Brasil</v>
      </c>
      <c r="P1363" s="4" t="str">
        <f aca="false">IF($A1363="","",IF(O1363&lt;&gt;"Brasil","Turista Internacional",IF(M1363=F1363,"Local","Turista Nacional")))</f>
        <v>Local</v>
      </c>
      <c r="Q1363" s="7" t="n">
        <f aca="false">IF($A1363="","",DATE(YEAR(B1363),MONTH(B1363),1))</f>
        <v>46023</v>
      </c>
      <c r="R1363" s="4" t="str">
        <f aca="false">IF($A1363="","",IF(COUNTIF($A$2:$A1363,$A1363)&gt;1,"Sim","Não"))</f>
        <v>Não</v>
      </c>
      <c r="S1363" s="4" t="str">
        <f aca="false">IF(A1363="","Descartar - Linha vazia",IF(R1363="Sim","Descartar - Duplicado",IF(OR(H1363&lt;=0,I1363&lt;=0),"Descartar - Qtd/Valor inválido","OK")))</f>
        <v>OK</v>
      </c>
      <c r="T1363" s="4" t="str">
        <f aca="false">Base_Bruta!P1363</f>
        <v>vendas_RJ.xlsx</v>
      </c>
    </row>
    <row r="1364" customFormat="false" ht="15" hidden="false" customHeight="false" outlineLevel="0" collapsed="false">
      <c r="A1364" s="4" t="str">
        <f aca="false">IF(Base_Bruta!A1364="","",Base_Bruta!A1364)</f>
        <v>RJ-000434</v>
      </c>
      <c r="B1364" s="5" t="n">
        <f aca="false">IF($A1364="","",IF(ISNUMBER(Base_Bruta!B1364),Base_Bruta!B1364,IF(MID(Base_Bruta!B1364,5,1)="-",DATE(VALUE(LEFT(Base_Bruta!B1364,4)),VALUE(MID(Base_Bruta!B1364,6,2)),VALUE(RIGHT(Base_Bruta!B1364,2))),DATE(VALUE(RIGHT(Base_Bruta!B1364,4)),VALUE(MID(Base_Bruta!B1364,4,2)),VALUE(LEFT(Base_Bruta!B1364,2))))))</f>
        <v>46048</v>
      </c>
      <c r="C1364" s="5" t="n">
        <f aca="false">IF($A1364="","",IF(ISNUMBER(Base_Bruta!C1364),Base_Bruta!C1364,IF(MID(Base_Bruta!C1364,5,1)="-",DATE(VALUE(LEFT(Base_Bruta!C1364,4)),VALUE(MID(Base_Bruta!C1364,6,2)),VALUE(RIGHT(Base_Bruta!C1364,2))),DATE(VALUE(RIGHT(Base_Bruta!C1364,4)),VALUE(MID(Base_Bruta!C1364,4,2)),VALUE(LEFT(Base_Bruta!C1364,2))))))</f>
        <v>46151</v>
      </c>
      <c r="D1364" s="4" t="str">
        <f aca="false">IF($A1364="","",TRIM(Base_Bruta!D1364))</f>
        <v>Turnê Internacional Rock - Rio</v>
      </c>
      <c r="E1364" s="4" t="str">
        <f aca="false">IF($A1364="","",_xlfn.XLOOKUP(LOWER(TRIM(Base_Bruta!E1364)),DePara_Categoria!$A$2:$A$9,DePara_Categoria!$B$2:$B$9,"REVISAR"))</f>
        <v>Show</v>
      </c>
      <c r="F1364" s="4" t="str">
        <f aca="false">IF($A1364="","",_xlfn.XLOOKUP(LOWER(TRIM(Base_Bruta!F1364)),DePara_Cidade!$A$2:$A$29,DePara_Cidade!$B$2:$B$29,"REVISAR"))</f>
        <v>Rio de Janeiro</v>
      </c>
      <c r="G1364" s="4" t="str">
        <f aca="false">IF($A1364="","",TRIM(Base_Bruta!G1364))</f>
        <v>Inteira</v>
      </c>
      <c r="H1364" s="4" t="n">
        <f aca="false">IF($A1364="","",IF(ISNUMBER(Base_Bruta!H1364),Base_Bruta!H1364,IFERROR(_xlfn.NUMBERVALUE(TRIM(SUBSTITUTE(Base_Bruta!H1364,"R$","")),",","."),0)))</f>
        <v>3</v>
      </c>
      <c r="I1364" s="6" t="n">
        <f aca="false">IF($A1364="","",IF(ISNUMBER(Base_Bruta!I1364),Base_Bruta!I1364,IFERROR(_xlfn.NUMBERVALUE(TRIM(SUBSTITUTE(Base_Bruta!I1364,"R$","")),",","."),0)))</f>
        <v>240</v>
      </c>
      <c r="J1364" s="6" t="n">
        <f aca="false">IF($A1364="","",H1364*I1364)</f>
        <v>720</v>
      </c>
      <c r="K1364" s="4" t="str">
        <f aca="false">IF($A1364="","",TRIM(Base_Bruta!J1364))</f>
        <v>Site</v>
      </c>
      <c r="L1364" s="4" t="str">
        <f aca="false">IF($A1364="","",TRIM(Base_Bruta!K1364))</f>
        <v>C00298</v>
      </c>
      <c r="M1364" s="4" t="str">
        <f aca="false">IF($A1364="","",_xlfn.XLOOKUP(LOWER(TRIM(Base_Bruta!L1364)),DePara_Cidade!$A$2:$A$29,DePara_Cidade!$B$2:$B$29,"REVISAR"))</f>
        <v>Rio de Janeiro</v>
      </c>
      <c r="N1364" s="4" t="str">
        <f aca="false">IF($A1364="","",UPPER(TRIM(Base_Bruta!M1364)))</f>
        <v>RJ</v>
      </c>
      <c r="O1364" s="4" t="str">
        <f aca="false">IF($A1364="","",_xlfn.XLOOKUP(LOWER(TRIM(Base_Bruta!N1364)),DePara_Pais!$A$2:$A$9,DePara_Pais!$B$2:$B$9,"REVISAR"))</f>
        <v>Brasil</v>
      </c>
      <c r="P1364" s="4" t="str">
        <f aca="false">IF($A1364="","",IF(O1364&lt;&gt;"Brasil","Turista Internacional",IF(M1364=F1364,"Local","Turista Nacional")))</f>
        <v>Local</v>
      </c>
      <c r="Q1364" s="7" t="n">
        <f aca="false">IF($A1364="","",DATE(YEAR(B1364),MONTH(B1364),1))</f>
        <v>46023</v>
      </c>
      <c r="R1364" s="4" t="str">
        <f aca="false">IF($A1364="","",IF(COUNTIF($A$2:$A1364,$A1364)&gt;1,"Sim","Não"))</f>
        <v>Não</v>
      </c>
      <c r="S1364" s="4" t="str">
        <f aca="false">IF(A1364="","Descartar - Linha vazia",IF(R1364="Sim","Descartar - Duplicado",IF(OR(H1364&lt;=0,I1364&lt;=0),"Descartar - Qtd/Valor inválido","OK")))</f>
        <v>OK</v>
      </c>
      <c r="T1364" s="4" t="str">
        <f aca="false">Base_Bruta!P1364</f>
        <v>vendas_RJ.xlsx</v>
      </c>
    </row>
    <row r="1365" customFormat="false" ht="15" hidden="false" customHeight="false" outlineLevel="0" collapsed="false">
      <c r="A1365" s="4" t="str">
        <f aca="false">IF(Base_Bruta!A1365="","",Base_Bruta!A1365)</f>
        <v>RJ-000438</v>
      </c>
      <c r="B1365" s="5" t="n">
        <f aca="false">IF($A1365="","",IF(ISNUMBER(Base_Bruta!B1365),Base_Bruta!B1365,IF(MID(Base_Bruta!B1365,5,1)="-",DATE(VALUE(LEFT(Base_Bruta!B1365,4)),VALUE(MID(Base_Bruta!B1365,6,2)),VALUE(RIGHT(Base_Bruta!B1365,2))),DATE(VALUE(RIGHT(Base_Bruta!B1365,4)),VALUE(MID(Base_Bruta!B1365,4,2)),VALUE(LEFT(Base_Bruta!B1365,2))))))</f>
        <v>46048</v>
      </c>
      <c r="C1365" s="5" t="n">
        <f aca="false">IF($A1365="","",IF(ISNUMBER(Base_Bruta!C1365),Base_Bruta!C1365,IF(MID(Base_Bruta!C1365,5,1)="-",DATE(VALUE(LEFT(Base_Bruta!C1365,4)),VALUE(MID(Base_Bruta!C1365,6,2)),VALUE(RIGHT(Base_Bruta!C1365,2))),DATE(VALUE(RIGHT(Base_Bruta!C1365,4)),VALUE(MID(Base_Bruta!C1365,4,2)),VALUE(LEFT(Base_Bruta!C1365,2))))))</f>
        <v>46151</v>
      </c>
      <c r="D1365" s="4" t="str">
        <f aca="false">IF($A1365="","",TRIM(Base_Bruta!D1365))</f>
        <v>Turnê Internacional Rock - Rio</v>
      </c>
      <c r="E1365" s="4" t="str">
        <f aca="false">IF($A1365="","",_xlfn.XLOOKUP(LOWER(TRIM(Base_Bruta!E1365)),DePara_Categoria!$A$2:$A$9,DePara_Categoria!$B$2:$B$9,"REVISAR"))</f>
        <v>Show</v>
      </c>
      <c r="F1365" s="4" t="str">
        <f aca="false">IF($A1365="","",_xlfn.XLOOKUP(LOWER(TRIM(Base_Bruta!F1365)),DePara_Cidade!$A$2:$A$29,DePara_Cidade!$B$2:$B$29,"REVISAR"))</f>
        <v>Rio de Janeiro</v>
      </c>
      <c r="G1365" s="4" t="str">
        <f aca="false">IF($A1365="","",TRIM(Base_Bruta!G1365))</f>
        <v>Inteira</v>
      </c>
      <c r="H1365" s="4" t="n">
        <f aca="false">IF($A1365="","",IF(ISNUMBER(Base_Bruta!H1365),Base_Bruta!H1365,IFERROR(_xlfn.NUMBERVALUE(TRIM(SUBSTITUTE(Base_Bruta!H1365,"R$","")),",","."),0)))</f>
        <v>2</v>
      </c>
      <c r="I1365" s="6" t="n">
        <f aca="false">IF($A1365="","",IF(ISNUMBER(Base_Bruta!I1365),Base_Bruta!I1365,IFERROR(_xlfn.NUMBERVALUE(TRIM(SUBSTITUTE(Base_Bruta!I1365,"R$","")),",","."),0)))</f>
        <v>310</v>
      </c>
      <c r="J1365" s="6" t="n">
        <f aca="false">IF($A1365="","",H1365*I1365)</f>
        <v>620</v>
      </c>
      <c r="K1365" s="4" t="str">
        <f aca="false">IF($A1365="","",TRIM(Base_Bruta!J1365))</f>
        <v>App</v>
      </c>
      <c r="L1365" s="4" t="str">
        <f aca="false">IF($A1365="","",TRIM(Base_Bruta!K1365))</f>
        <v>C01546</v>
      </c>
      <c r="M1365" s="4" t="str">
        <f aca="false">IF($A1365="","",_xlfn.XLOOKUP(LOWER(TRIM(Base_Bruta!L1365)),DePara_Cidade!$A$2:$A$29,DePara_Cidade!$B$2:$B$29,"REVISAR"))</f>
        <v>Rio de Janeiro</v>
      </c>
      <c r="N1365" s="4" t="str">
        <f aca="false">IF($A1365="","",UPPER(TRIM(Base_Bruta!M1365)))</f>
        <v>RJ</v>
      </c>
      <c r="O1365" s="4" t="str">
        <f aca="false">IF($A1365="","",_xlfn.XLOOKUP(LOWER(TRIM(Base_Bruta!N1365)),DePara_Pais!$A$2:$A$9,DePara_Pais!$B$2:$B$9,"REVISAR"))</f>
        <v>Brasil</v>
      </c>
      <c r="P1365" s="4" t="str">
        <f aca="false">IF($A1365="","",IF(O1365&lt;&gt;"Brasil","Turista Internacional",IF(M1365=F1365,"Local","Turista Nacional")))</f>
        <v>Local</v>
      </c>
      <c r="Q1365" s="7" t="n">
        <f aca="false">IF($A1365="","",DATE(YEAR(B1365),MONTH(B1365),1))</f>
        <v>46023</v>
      </c>
      <c r="R1365" s="4" t="str">
        <f aca="false">IF($A1365="","",IF(COUNTIF($A$2:$A1365,$A1365)&gt;1,"Sim","Não"))</f>
        <v>Não</v>
      </c>
      <c r="S1365" s="4" t="str">
        <f aca="false">IF(A1365="","Descartar - Linha vazia",IF(R1365="Sim","Descartar - Duplicado",IF(OR(H1365&lt;=0,I1365&lt;=0),"Descartar - Qtd/Valor inválido","OK")))</f>
        <v>OK</v>
      </c>
      <c r="T1365" s="4" t="str">
        <f aca="false">Base_Bruta!P1365</f>
        <v>vendas_RJ.xlsx</v>
      </c>
    </row>
    <row r="1366" customFormat="false" ht="15" hidden="false" customHeight="false" outlineLevel="0" collapsed="false">
      <c r="A1366" s="4" t="str">
        <f aca="false">IF(Base_Bruta!A1366="","",Base_Bruta!A1366)</f>
        <v>RJ-000459</v>
      </c>
      <c r="B1366" s="5" t="n">
        <f aca="false">IF($A1366="","",IF(ISNUMBER(Base_Bruta!B1366),Base_Bruta!B1366,IF(MID(Base_Bruta!B1366,5,1)="-",DATE(VALUE(LEFT(Base_Bruta!B1366,4)),VALUE(MID(Base_Bruta!B1366,6,2)),VALUE(RIGHT(Base_Bruta!B1366,2))),DATE(VALUE(RIGHT(Base_Bruta!B1366,4)),VALUE(MID(Base_Bruta!B1366,4,2)),VALUE(LEFT(Base_Bruta!B1366,2))))))</f>
        <v>46048</v>
      </c>
      <c r="C1366" s="5" t="n">
        <f aca="false">IF($A1366="","",IF(ISNUMBER(Base_Bruta!C1366),Base_Bruta!C1366,IF(MID(Base_Bruta!C1366,5,1)="-",DATE(VALUE(LEFT(Base_Bruta!C1366,4)),VALUE(MID(Base_Bruta!C1366,6,2)),VALUE(RIGHT(Base_Bruta!C1366,2))),DATE(VALUE(RIGHT(Base_Bruta!C1366,4)),VALUE(MID(Base_Bruta!C1366,4,2)),VALUE(LEFT(Base_Bruta!C1366,2))))))</f>
        <v>46151</v>
      </c>
      <c r="D1366" s="4" t="str">
        <f aca="false">IF($A1366="","",TRIM(Base_Bruta!D1366))</f>
        <v>Turnê Internacional Rock - Rio</v>
      </c>
      <c r="E1366" s="4" t="str">
        <f aca="false">IF($A1366="","",_xlfn.XLOOKUP(LOWER(TRIM(Base_Bruta!E1366)),DePara_Categoria!$A$2:$A$9,DePara_Categoria!$B$2:$B$9,"REVISAR"))</f>
        <v>Show</v>
      </c>
      <c r="F1366" s="4" t="str">
        <f aca="false">IF($A1366="","",_xlfn.XLOOKUP(LOWER(TRIM(Base_Bruta!F1366)),DePara_Cidade!$A$2:$A$29,DePara_Cidade!$B$2:$B$29,"REVISAR"))</f>
        <v>Rio de Janeiro</v>
      </c>
      <c r="G1366" s="4" t="str">
        <f aca="false">IF($A1366="","",TRIM(Base_Bruta!G1366))</f>
        <v>Meia</v>
      </c>
      <c r="H1366" s="4" t="n">
        <f aca="false">IF($A1366="","",IF(ISNUMBER(Base_Bruta!H1366),Base_Bruta!H1366,IFERROR(_xlfn.NUMBERVALUE(TRIM(SUBSTITUTE(Base_Bruta!H1366,"R$","")),",","."),0)))</f>
        <v>4</v>
      </c>
      <c r="I1366" s="6" t="n">
        <f aca="false">IF($A1366="","",IF(ISNUMBER(Base_Bruta!I1366),Base_Bruta!I1366,IFERROR(_xlfn.NUMBERVALUE(TRIM(SUBSTITUTE(Base_Bruta!I1366,"R$","")),",","."),0)))</f>
        <v>157.5</v>
      </c>
      <c r="J1366" s="6" t="n">
        <f aca="false">IF($A1366="","",H1366*I1366)</f>
        <v>630</v>
      </c>
      <c r="K1366" s="4" t="str">
        <f aca="false">IF($A1366="","",TRIM(Base_Bruta!J1366))</f>
        <v>Site</v>
      </c>
      <c r="L1366" s="4" t="str">
        <f aca="false">IF($A1366="","",TRIM(Base_Bruta!K1366))</f>
        <v>C00011</v>
      </c>
      <c r="M1366" s="4" t="str">
        <f aca="false">IF($A1366="","",_xlfn.XLOOKUP(LOWER(TRIM(Base_Bruta!L1366)),DePara_Cidade!$A$2:$A$29,DePara_Cidade!$B$2:$B$29,"REVISAR"))</f>
        <v>Santos</v>
      </c>
      <c r="N1366" s="4" t="str">
        <f aca="false">IF($A1366="","",UPPER(TRIM(Base_Bruta!M1366)))</f>
        <v>SP</v>
      </c>
      <c r="O1366" s="4" t="str">
        <f aca="false">IF($A1366="","",_xlfn.XLOOKUP(LOWER(TRIM(Base_Bruta!N1366)),DePara_Pais!$A$2:$A$9,DePara_Pais!$B$2:$B$9,"REVISAR"))</f>
        <v>Brasil</v>
      </c>
      <c r="P1366" s="4" t="str">
        <f aca="false">IF($A1366="","",IF(O1366&lt;&gt;"Brasil","Turista Internacional",IF(M1366=F1366,"Local","Turista Nacional")))</f>
        <v>Turista Nacional</v>
      </c>
      <c r="Q1366" s="7" t="n">
        <f aca="false">IF($A1366="","",DATE(YEAR(B1366),MONTH(B1366),1))</f>
        <v>46023</v>
      </c>
      <c r="R1366" s="4" t="str">
        <f aca="false">IF($A1366="","",IF(COUNTIF($A$2:$A1366,$A1366)&gt;1,"Sim","Não"))</f>
        <v>Não</v>
      </c>
      <c r="S1366" s="4" t="str">
        <f aca="false">IF(A1366="","Descartar - Linha vazia",IF(R1366="Sim","Descartar - Duplicado",IF(OR(H1366&lt;=0,I1366&lt;=0),"Descartar - Qtd/Valor inválido","OK")))</f>
        <v>OK</v>
      </c>
      <c r="T1366" s="4" t="str">
        <f aca="false">Base_Bruta!P1366</f>
        <v>vendas_RJ.xlsx</v>
      </c>
    </row>
    <row r="1367" customFormat="false" ht="15" hidden="false" customHeight="false" outlineLevel="0" collapsed="false">
      <c r="A1367" s="4" t="str">
        <f aca="false">IF(Base_Bruta!A1367="","",Base_Bruta!A1367)</f>
        <v>RJ-000479</v>
      </c>
      <c r="B1367" s="5" t="n">
        <f aca="false">IF($A1367="","",IF(ISNUMBER(Base_Bruta!B1367),Base_Bruta!B1367,IF(MID(Base_Bruta!B1367,5,1)="-",DATE(VALUE(LEFT(Base_Bruta!B1367,4)),VALUE(MID(Base_Bruta!B1367,6,2)),VALUE(RIGHT(Base_Bruta!B1367,2))),DATE(VALUE(RIGHT(Base_Bruta!B1367,4)),VALUE(MID(Base_Bruta!B1367,4,2)),VALUE(LEFT(Base_Bruta!B1367,2))))))</f>
        <v>46048</v>
      </c>
      <c r="C1367" s="5" t="n">
        <f aca="false">IF($A1367="","",IF(ISNUMBER(Base_Bruta!C1367),Base_Bruta!C1367,IF(MID(Base_Bruta!C1367,5,1)="-",DATE(VALUE(LEFT(Base_Bruta!C1367,4)),VALUE(MID(Base_Bruta!C1367,6,2)),VALUE(RIGHT(Base_Bruta!C1367,2))),DATE(VALUE(RIGHT(Base_Bruta!C1367,4)),VALUE(MID(Base_Bruta!C1367,4,2)),VALUE(LEFT(Base_Bruta!C1367,2))))))</f>
        <v>46151</v>
      </c>
      <c r="D1367" s="4" t="str">
        <f aca="false">IF($A1367="","",TRIM(Base_Bruta!D1367))</f>
        <v>Turnê Internacional Rock - Rio</v>
      </c>
      <c r="E1367" s="4" t="str">
        <f aca="false">IF($A1367="","",_xlfn.XLOOKUP(LOWER(TRIM(Base_Bruta!E1367)),DePara_Categoria!$A$2:$A$9,DePara_Categoria!$B$2:$B$9,"REVISAR"))</f>
        <v>Show</v>
      </c>
      <c r="F1367" s="4" t="str">
        <f aca="false">IF($A1367="","",_xlfn.XLOOKUP(LOWER(TRIM(Base_Bruta!F1367)),DePara_Cidade!$A$2:$A$29,DePara_Cidade!$B$2:$B$29,"REVISAR"))</f>
        <v>Rio de Janeiro</v>
      </c>
      <c r="G1367" s="4" t="str">
        <f aca="false">IF($A1367="","",TRIM(Base_Bruta!G1367))</f>
        <v>Inteira</v>
      </c>
      <c r="H1367" s="4" t="n">
        <f aca="false">IF($A1367="","",IF(ISNUMBER(Base_Bruta!H1367),Base_Bruta!H1367,IFERROR(_xlfn.NUMBERVALUE(TRIM(SUBSTITUTE(Base_Bruta!H1367,"R$","")),",","."),0)))</f>
        <v>1</v>
      </c>
      <c r="I1367" s="6" t="n">
        <f aca="false">IF($A1367="","",IF(ISNUMBER(Base_Bruta!I1367),Base_Bruta!I1367,IFERROR(_xlfn.NUMBERVALUE(TRIM(SUBSTITUTE(Base_Bruta!I1367,"R$","")),",","."),0)))</f>
        <v>545</v>
      </c>
      <c r="J1367" s="6" t="n">
        <f aca="false">IF($A1367="","",H1367*I1367)</f>
        <v>545</v>
      </c>
      <c r="K1367" s="4" t="str">
        <f aca="false">IF($A1367="","",TRIM(Base_Bruta!J1367))</f>
        <v>Site</v>
      </c>
      <c r="L1367" s="4" t="str">
        <f aca="false">IF($A1367="","",TRIM(Base_Bruta!K1367))</f>
        <v>C00546</v>
      </c>
      <c r="M1367" s="4" t="str">
        <f aca="false">IF($A1367="","",_xlfn.XLOOKUP(LOWER(TRIM(Base_Bruta!L1367)),DePara_Cidade!$A$2:$A$29,DePara_Cidade!$B$2:$B$29,"REVISAR"))</f>
        <v>Rio de Janeiro</v>
      </c>
      <c r="N1367" s="4" t="str">
        <f aca="false">IF($A1367="","",UPPER(TRIM(Base_Bruta!M1367)))</f>
        <v>RJ</v>
      </c>
      <c r="O1367" s="4" t="str">
        <f aca="false">IF($A1367="","",_xlfn.XLOOKUP(LOWER(TRIM(Base_Bruta!N1367)),DePara_Pais!$A$2:$A$9,DePara_Pais!$B$2:$B$9,"REVISAR"))</f>
        <v>Brasil</v>
      </c>
      <c r="P1367" s="4" t="str">
        <f aca="false">IF($A1367="","",IF(O1367&lt;&gt;"Brasil","Turista Internacional",IF(M1367=F1367,"Local","Turista Nacional")))</f>
        <v>Local</v>
      </c>
      <c r="Q1367" s="7" t="n">
        <f aca="false">IF($A1367="","",DATE(YEAR(B1367),MONTH(B1367),1))</f>
        <v>46023</v>
      </c>
      <c r="R1367" s="4" t="str">
        <f aca="false">IF($A1367="","",IF(COUNTIF($A$2:$A1367,$A1367)&gt;1,"Sim","Não"))</f>
        <v>Não</v>
      </c>
      <c r="S1367" s="4" t="str">
        <f aca="false">IF(A1367="","Descartar - Linha vazia",IF(R1367="Sim","Descartar - Duplicado",IF(OR(H1367&lt;=0,I1367&lt;=0),"Descartar - Qtd/Valor inválido","OK")))</f>
        <v>OK</v>
      </c>
      <c r="T1367" s="4" t="str">
        <f aca="false">Base_Bruta!P1367</f>
        <v>vendas_RJ.xlsx</v>
      </c>
    </row>
    <row r="1368" customFormat="false" ht="15" hidden="false" customHeight="false" outlineLevel="0" collapsed="false">
      <c r="A1368" s="4" t="str">
        <f aca="false">IF(Base_Bruta!A1368="","",Base_Bruta!A1368)</f>
        <v>RJ-000498</v>
      </c>
      <c r="B1368" s="5" t="n">
        <f aca="false">IF($A1368="","",IF(ISNUMBER(Base_Bruta!B1368),Base_Bruta!B1368,IF(MID(Base_Bruta!B1368,5,1)="-",DATE(VALUE(LEFT(Base_Bruta!B1368,4)),VALUE(MID(Base_Bruta!B1368,6,2)),VALUE(RIGHT(Base_Bruta!B1368,2))),DATE(VALUE(RIGHT(Base_Bruta!B1368,4)),VALUE(MID(Base_Bruta!B1368,4,2)),VALUE(LEFT(Base_Bruta!B1368,2))))))</f>
        <v>46048</v>
      </c>
      <c r="C1368" s="5" t="n">
        <f aca="false">IF($A1368="","",IF(ISNUMBER(Base_Bruta!C1368),Base_Bruta!C1368,IF(MID(Base_Bruta!C1368,5,1)="-",DATE(VALUE(LEFT(Base_Bruta!C1368,4)),VALUE(MID(Base_Bruta!C1368,6,2)),VALUE(RIGHT(Base_Bruta!C1368,2))),DATE(VALUE(RIGHT(Base_Bruta!C1368,4)),VALUE(MID(Base_Bruta!C1368,4,2)),VALUE(LEFT(Base_Bruta!C1368,2))))))</f>
        <v>46151</v>
      </c>
      <c r="D1368" s="4" t="str">
        <f aca="false">IF($A1368="","",TRIM(Base_Bruta!D1368))</f>
        <v>Turnê Internacional Rock - Rio</v>
      </c>
      <c r="E1368" s="4" t="str">
        <f aca="false">IF($A1368="","",_xlfn.XLOOKUP(LOWER(TRIM(Base_Bruta!E1368)),DePara_Categoria!$A$2:$A$9,DePara_Categoria!$B$2:$B$9,"REVISAR"))</f>
        <v>Show</v>
      </c>
      <c r="F1368" s="4" t="str">
        <f aca="false">IF($A1368="","",_xlfn.XLOOKUP(LOWER(TRIM(Base_Bruta!F1368)),DePara_Cidade!$A$2:$A$29,DePara_Cidade!$B$2:$B$29,"REVISAR"))</f>
        <v>Rio de Janeiro</v>
      </c>
      <c r="G1368" s="4" t="str">
        <f aca="false">IF($A1368="","",TRIM(Base_Bruta!G1368))</f>
        <v>Inteira</v>
      </c>
      <c r="H1368" s="4" t="n">
        <f aca="false">IF($A1368="","",IF(ISNUMBER(Base_Bruta!H1368),Base_Bruta!H1368,IFERROR(_xlfn.NUMBERVALUE(TRIM(SUBSTITUTE(Base_Bruta!H1368,"R$","")),",","."),0)))</f>
        <v>1</v>
      </c>
      <c r="I1368" s="6" t="n">
        <f aca="false">IF($A1368="","",IF(ISNUMBER(Base_Bruta!I1368),Base_Bruta!I1368,IFERROR(_xlfn.NUMBERVALUE(TRIM(SUBSTITUTE(Base_Bruta!I1368,"R$","")),",","."),0)))</f>
        <v>545</v>
      </c>
      <c r="J1368" s="6" t="n">
        <f aca="false">IF($A1368="","",H1368*I1368)</f>
        <v>545</v>
      </c>
      <c r="K1368" s="4" t="str">
        <f aca="false">IF($A1368="","",TRIM(Base_Bruta!J1368))</f>
        <v>Site</v>
      </c>
      <c r="L1368" s="4" t="str">
        <f aca="false">IF($A1368="","",TRIM(Base_Bruta!K1368))</f>
        <v>C02044</v>
      </c>
      <c r="M1368" s="4" t="str">
        <f aca="false">IF($A1368="","",_xlfn.XLOOKUP(LOWER(TRIM(Base_Bruta!L1368)),DePara_Cidade!$A$2:$A$29,DePara_Cidade!$B$2:$B$29,"REVISAR"))</f>
        <v>Recife</v>
      </c>
      <c r="N1368" s="4" t="str">
        <f aca="false">IF($A1368="","",UPPER(TRIM(Base_Bruta!M1368)))</f>
        <v>PE</v>
      </c>
      <c r="O1368" s="4" t="str">
        <f aca="false">IF($A1368="","",_xlfn.XLOOKUP(LOWER(TRIM(Base_Bruta!N1368)),DePara_Pais!$A$2:$A$9,DePara_Pais!$B$2:$B$9,"REVISAR"))</f>
        <v>Brasil</v>
      </c>
      <c r="P1368" s="4" t="str">
        <f aca="false">IF($A1368="","",IF(O1368&lt;&gt;"Brasil","Turista Internacional",IF(M1368=F1368,"Local","Turista Nacional")))</f>
        <v>Turista Nacional</v>
      </c>
      <c r="Q1368" s="7" t="n">
        <f aca="false">IF($A1368="","",DATE(YEAR(B1368),MONTH(B1368),1))</f>
        <v>46023</v>
      </c>
      <c r="R1368" s="4" t="str">
        <f aca="false">IF($A1368="","",IF(COUNTIF($A$2:$A1368,$A1368)&gt;1,"Sim","Não"))</f>
        <v>Não</v>
      </c>
      <c r="S1368" s="4" t="str">
        <f aca="false">IF(A1368="","Descartar - Linha vazia",IF(R1368="Sim","Descartar - Duplicado",IF(OR(H1368&lt;=0,I1368&lt;=0),"Descartar - Qtd/Valor inválido","OK")))</f>
        <v>OK</v>
      </c>
      <c r="T1368" s="4" t="str">
        <f aca="false">Base_Bruta!P1368</f>
        <v>vendas_RJ.xlsx</v>
      </c>
    </row>
    <row r="1369" customFormat="false" ht="15" hidden="false" customHeight="false" outlineLevel="0" collapsed="false">
      <c r="A1369" s="4" t="str">
        <f aca="false">IF(Base_Bruta!A1369="","",Base_Bruta!A1369)</f>
        <v>RJ-000656</v>
      </c>
      <c r="B1369" s="5" t="n">
        <f aca="false">IF($A1369="","",IF(ISNUMBER(Base_Bruta!B1369),Base_Bruta!B1369,IF(MID(Base_Bruta!B1369,5,1)="-",DATE(VALUE(LEFT(Base_Bruta!B1369,4)),VALUE(MID(Base_Bruta!B1369,6,2)),VALUE(RIGHT(Base_Bruta!B1369,2))),DATE(VALUE(RIGHT(Base_Bruta!B1369,4)),VALUE(MID(Base_Bruta!B1369,4,2)),VALUE(LEFT(Base_Bruta!B1369,2))))))</f>
        <v>46048</v>
      </c>
      <c r="C1369" s="5" t="n">
        <f aca="false">IF($A1369="","",IF(ISNUMBER(Base_Bruta!C1369),Base_Bruta!C1369,IF(MID(Base_Bruta!C1369,5,1)="-",DATE(VALUE(LEFT(Base_Bruta!C1369,4)),VALUE(MID(Base_Bruta!C1369,6,2)),VALUE(RIGHT(Base_Bruta!C1369,2))),DATE(VALUE(RIGHT(Base_Bruta!C1369,4)),VALUE(MID(Base_Bruta!C1369,4,2)),VALUE(LEFT(Base_Bruta!C1369,2))))))</f>
        <v>46051</v>
      </c>
      <c r="D1369" s="4" t="str">
        <f aca="false">IF($A1369="","",TRIM(Base_Bruta!D1369))</f>
        <v>Cinema Barra - Sessões</v>
      </c>
      <c r="E1369" s="4" t="str">
        <f aca="false">IF($A1369="","",_xlfn.XLOOKUP(LOWER(TRIM(Base_Bruta!E1369)),DePara_Categoria!$A$2:$A$9,DePara_Categoria!$B$2:$B$9,"REVISAR"))</f>
        <v>Cinema</v>
      </c>
      <c r="F1369" s="4" t="str">
        <f aca="false">IF($A1369="","",_xlfn.XLOOKUP(LOWER(TRIM(Base_Bruta!F1369)),DePara_Cidade!$A$2:$A$29,DePara_Cidade!$B$2:$B$29,"REVISAR"))</f>
        <v>Rio de Janeiro</v>
      </c>
      <c r="G1369" s="4" t="str">
        <f aca="false">IF($A1369="","",TRIM(Base_Bruta!G1369))</f>
        <v>Meia</v>
      </c>
      <c r="H1369" s="4" t="n">
        <f aca="false">IF($A1369="","",IF(ISNUMBER(Base_Bruta!H1369),Base_Bruta!H1369,IFERROR(_xlfn.NUMBERVALUE(TRIM(SUBSTITUTE(Base_Bruta!H1369,"R$","")),",","."),0)))</f>
        <v>1</v>
      </c>
      <c r="I1369" s="6" t="n">
        <f aca="false">IF($A1369="","",IF(ISNUMBER(Base_Bruta!I1369),Base_Bruta!I1369,IFERROR(_xlfn.NUMBERVALUE(TRIM(SUBSTITUTE(Base_Bruta!I1369,"R$","")),",","."),0)))</f>
        <v>20</v>
      </c>
      <c r="J1369" s="6" t="n">
        <f aca="false">IF($A1369="","",H1369*I1369)</f>
        <v>20</v>
      </c>
      <c r="K1369" s="4" t="str">
        <f aca="false">IF($A1369="","",TRIM(Base_Bruta!J1369))</f>
        <v>Site</v>
      </c>
      <c r="L1369" s="4" t="str">
        <f aca="false">IF($A1369="","",TRIM(Base_Bruta!K1369))</f>
        <v>C00558</v>
      </c>
      <c r="M1369" s="4" t="str">
        <f aca="false">IF($A1369="","",_xlfn.XLOOKUP(LOWER(TRIM(Base_Bruta!L1369)),DePara_Cidade!$A$2:$A$29,DePara_Cidade!$B$2:$B$29,"REVISAR"))</f>
        <v>Rio de Janeiro</v>
      </c>
      <c r="N1369" s="4" t="str">
        <f aca="false">IF($A1369="","",UPPER(TRIM(Base_Bruta!M1369)))</f>
        <v>RJ</v>
      </c>
      <c r="O1369" s="4" t="str">
        <f aca="false">IF($A1369="","",_xlfn.XLOOKUP(LOWER(TRIM(Base_Bruta!N1369)),DePara_Pais!$A$2:$A$9,DePara_Pais!$B$2:$B$9,"REVISAR"))</f>
        <v>Brasil</v>
      </c>
      <c r="P1369" s="4" t="str">
        <f aca="false">IF($A1369="","",IF(O1369&lt;&gt;"Brasil","Turista Internacional",IF(M1369=F1369,"Local","Turista Nacional")))</f>
        <v>Local</v>
      </c>
      <c r="Q1369" s="7" t="n">
        <f aca="false">IF($A1369="","",DATE(YEAR(B1369),MONTH(B1369),1))</f>
        <v>46023</v>
      </c>
      <c r="R1369" s="4" t="str">
        <f aca="false">IF($A1369="","",IF(COUNTIF($A$2:$A1369,$A1369)&gt;1,"Sim","Não"))</f>
        <v>Não</v>
      </c>
      <c r="S1369" s="4" t="str">
        <f aca="false">IF(A1369="","Descartar - Linha vazia",IF(R1369="Sim","Descartar - Duplicado",IF(OR(H1369&lt;=0,I1369&lt;=0),"Descartar - Qtd/Valor inválido","OK")))</f>
        <v>OK</v>
      </c>
      <c r="T1369" s="4" t="str">
        <f aca="false">Base_Bruta!P1369</f>
        <v>vendas_RJ.xlsx</v>
      </c>
    </row>
    <row r="1370" customFormat="false" ht="15" hidden="false" customHeight="false" outlineLevel="0" collapsed="false">
      <c r="A1370" s="4" t="str">
        <f aca="false">IF(Base_Bruta!A1370="","",Base_Bruta!A1370)</f>
        <v>RJ-000411</v>
      </c>
      <c r="B1370" s="5" t="n">
        <f aca="false">IF($A1370="","",IF(ISNUMBER(Base_Bruta!B1370),Base_Bruta!B1370,IF(MID(Base_Bruta!B1370,5,1)="-",DATE(VALUE(LEFT(Base_Bruta!B1370,4)),VALUE(MID(Base_Bruta!B1370,6,2)),VALUE(RIGHT(Base_Bruta!B1370,2))),DATE(VALUE(RIGHT(Base_Bruta!B1370,4)),VALUE(MID(Base_Bruta!B1370,4,2)),VALUE(LEFT(Base_Bruta!B1370,2))))))</f>
        <v>46049</v>
      </c>
      <c r="C1370" s="5" t="n">
        <f aca="false">IF($A1370="","",IF(ISNUMBER(Base_Bruta!C1370),Base_Bruta!C1370,IF(MID(Base_Bruta!C1370,5,1)="-",DATE(VALUE(LEFT(Base_Bruta!C1370,4)),VALUE(MID(Base_Bruta!C1370,6,2)),VALUE(RIGHT(Base_Bruta!C1370,2))),DATE(VALUE(RIGHT(Base_Bruta!C1370,4)),VALUE(MID(Base_Bruta!C1370,4,2)),VALUE(LEFT(Base_Bruta!C1370,2))))))</f>
        <v>46151</v>
      </c>
      <c r="D1370" s="4" t="str">
        <f aca="false">IF($A1370="","",TRIM(Base_Bruta!D1370))</f>
        <v>Turnê Internacional Rock - Rio</v>
      </c>
      <c r="E1370" s="4" t="str">
        <f aca="false">IF($A1370="","",_xlfn.XLOOKUP(LOWER(TRIM(Base_Bruta!E1370)),DePara_Categoria!$A$2:$A$9,DePara_Categoria!$B$2:$B$9,"REVISAR"))</f>
        <v>Show</v>
      </c>
      <c r="F1370" s="4" t="str">
        <f aca="false">IF($A1370="","",_xlfn.XLOOKUP(LOWER(TRIM(Base_Bruta!F1370)),DePara_Cidade!$A$2:$A$29,DePara_Cidade!$B$2:$B$29,"REVISAR"))</f>
        <v>Rio de Janeiro</v>
      </c>
      <c r="G1370" s="4" t="str">
        <f aca="false">IF($A1370="","",TRIM(Base_Bruta!G1370))</f>
        <v>Meia</v>
      </c>
      <c r="H1370" s="4" t="n">
        <f aca="false">IF($A1370="","",IF(ISNUMBER(Base_Bruta!H1370),Base_Bruta!H1370,IFERROR(_xlfn.NUMBERVALUE(TRIM(SUBSTITUTE(Base_Bruta!H1370,"R$","")),",","."),0)))</f>
        <v>3</v>
      </c>
      <c r="I1370" s="6" t="n">
        <f aca="false">IF($A1370="","",IF(ISNUMBER(Base_Bruta!I1370),Base_Bruta!I1370,IFERROR(_xlfn.NUMBERVALUE(TRIM(SUBSTITUTE(Base_Bruta!I1370,"R$","")),",","."),0)))</f>
        <v>177.5</v>
      </c>
      <c r="J1370" s="6" t="n">
        <f aca="false">IF($A1370="","",H1370*I1370)</f>
        <v>532.5</v>
      </c>
      <c r="K1370" s="4" t="str">
        <f aca="false">IF($A1370="","",TRIM(Base_Bruta!J1370))</f>
        <v>Site</v>
      </c>
      <c r="L1370" s="4" t="str">
        <f aca="false">IF($A1370="","",TRIM(Base_Bruta!K1370))</f>
        <v>C01767</v>
      </c>
      <c r="M1370" s="4" t="str">
        <f aca="false">IF($A1370="","",_xlfn.XLOOKUP(LOWER(TRIM(Base_Bruta!L1370)),DePara_Cidade!$A$2:$A$29,DePara_Cidade!$B$2:$B$29,"REVISAR"))</f>
        <v>Rio de Janeiro</v>
      </c>
      <c r="N1370" s="4" t="str">
        <f aca="false">IF($A1370="","",UPPER(TRIM(Base_Bruta!M1370)))</f>
        <v>RJ</v>
      </c>
      <c r="O1370" s="4" t="str">
        <f aca="false">IF($A1370="","",_xlfn.XLOOKUP(LOWER(TRIM(Base_Bruta!N1370)),DePara_Pais!$A$2:$A$9,DePara_Pais!$B$2:$B$9,"REVISAR"))</f>
        <v>Brasil</v>
      </c>
      <c r="P1370" s="4" t="str">
        <f aca="false">IF($A1370="","",IF(O1370&lt;&gt;"Brasil","Turista Internacional",IF(M1370=F1370,"Local","Turista Nacional")))</f>
        <v>Local</v>
      </c>
      <c r="Q1370" s="7" t="n">
        <f aca="false">IF($A1370="","",DATE(YEAR(B1370),MONTH(B1370),1))</f>
        <v>46023</v>
      </c>
      <c r="R1370" s="4" t="str">
        <f aca="false">IF($A1370="","",IF(COUNTIF($A$2:$A1370,$A1370)&gt;1,"Sim","Não"))</f>
        <v>Não</v>
      </c>
      <c r="S1370" s="4" t="str">
        <f aca="false">IF(A1370="","Descartar - Linha vazia",IF(R1370="Sim","Descartar - Duplicado",IF(OR(H1370&lt;=0,I1370&lt;=0),"Descartar - Qtd/Valor inválido","OK")))</f>
        <v>OK</v>
      </c>
      <c r="T1370" s="4" t="str">
        <f aca="false">Base_Bruta!P1370</f>
        <v>vendas_RJ.xlsx</v>
      </c>
    </row>
    <row r="1371" customFormat="false" ht="15" hidden="false" customHeight="false" outlineLevel="0" collapsed="false">
      <c r="A1371" s="4" t="str">
        <f aca="false">IF(Base_Bruta!A1371="","",Base_Bruta!A1371)</f>
        <v>RJ-000424</v>
      </c>
      <c r="B1371" s="5" t="n">
        <f aca="false">IF($A1371="","",IF(ISNUMBER(Base_Bruta!B1371),Base_Bruta!B1371,IF(MID(Base_Bruta!B1371,5,1)="-",DATE(VALUE(LEFT(Base_Bruta!B1371,4)),VALUE(MID(Base_Bruta!B1371,6,2)),VALUE(RIGHT(Base_Bruta!B1371,2))),DATE(VALUE(RIGHT(Base_Bruta!B1371,4)),VALUE(MID(Base_Bruta!B1371,4,2)),VALUE(LEFT(Base_Bruta!B1371,2))))))</f>
        <v>46049</v>
      </c>
      <c r="C1371" s="5" t="n">
        <f aca="false">IF($A1371="","",IF(ISNUMBER(Base_Bruta!C1371),Base_Bruta!C1371,IF(MID(Base_Bruta!C1371,5,1)="-",DATE(VALUE(LEFT(Base_Bruta!C1371,4)),VALUE(MID(Base_Bruta!C1371,6,2)),VALUE(RIGHT(Base_Bruta!C1371,2))),DATE(VALUE(RIGHT(Base_Bruta!C1371,4)),VALUE(MID(Base_Bruta!C1371,4,2)),VALUE(LEFT(Base_Bruta!C1371,2))))))</f>
        <v>46151</v>
      </c>
      <c r="D1371" s="4" t="str">
        <f aca="false">IF($A1371="","",TRIM(Base_Bruta!D1371))</f>
        <v>Turnê Internacional Rock - Rio</v>
      </c>
      <c r="E1371" s="4" t="str">
        <f aca="false">IF($A1371="","",_xlfn.XLOOKUP(LOWER(TRIM(Base_Bruta!E1371)),DePara_Categoria!$A$2:$A$9,DePara_Categoria!$B$2:$B$9,"REVISAR"))</f>
        <v>Show</v>
      </c>
      <c r="F1371" s="4" t="str">
        <f aca="false">IF($A1371="","",_xlfn.XLOOKUP(LOWER(TRIM(Base_Bruta!F1371)),DePara_Cidade!$A$2:$A$29,DePara_Cidade!$B$2:$B$29,"REVISAR"))</f>
        <v>Rio de Janeiro</v>
      </c>
      <c r="G1371" s="4" t="str">
        <f aca="false">IF($A1371="","",TRIM(Base_Bruta!G1371))</f>
        <v>Inteira</v>
      </c>
      <c r="H1371" s="4" t="n">
        <f aca="false">IF($A1371="","",IF(ISNUMBER(Base_Bruta!H1371),Base_Bruta!H1371,IFERROR(_xlfn.NUMBERVALUE(TRIM(SUBSTITUTE(Base_Bruta!H1371,"R$","")),",","."),0)))</f>
        <v>4</v>
      </c>
      <c r="I1371" s="6" t="n">
        <f aca="false">IF($A1371="","",IF(ISNUMBER(Base_Bruta!I1371),Base_Bruta!I1371,IFERROR(_xlfn.NUMBERVALUE(TRIM(SUBSTITUTE(Base_Bruta!I1371,"R$","")),",","."),0)))</f>
        <v>530</v>
      </c>
      <c r="J1371" s="6" t="n">
        <f aca="false">IF($A1371="","",H1371*I1371)</f>
        <v>2120</v>
      </c>
      <c r="K1371" s="4" t="str">
        <f aca="false">IF($A1371="","",TRIM(Base_Bruta!J1371))</f>
        <v>App</v>
      </c>
      <c r="L1371" s="4" t="str">
        <f aca="false">IF($A1371="","",TRIM(Base_Bruta!K1371))</f>
        <v>C02165</v>
      </c>
      <c r="M1371" s="4" t="str">
        <f aca="false">IF($A1371="","",_xlfn.XLOOKUP(LOWER(TRIM(Base_Bruta!L1371)),DePara_Cidade!$A$2:$A$29,DePara_Cidade!$B$2:$B$29,"REVISAR"))</f>
        <v>Rio de Janeiro</v>
      </c>
      <c r="N1371" s="4" t="str">
        <f aca="false">IF($A1371="","",UPPER(TRIM(Base_Bruta!M1371)))</f>
        <v>RJ</v>
      </c>
      <c r="O1371" s="4" t="str">
        <f aca="false">IF($A1371="","",_xlfn.XLOOKUP(LOWER(TRIM(Base_Bruta!N1371)),DePara_Pais!$A$2:$A$9,DePara_Pais!$B$2:$B$9,"REVISAR"))</f>
        <v>Brasil</v>
      </c>
      <c r="P1371" s="4" t="str">
        <f aca="false">IF($A1371="","",IF(O1371&lt;&gt;"Brasil","Turista Internacional",IF(M1371=F1371,"Local","Turista Nacional")))</f>
        <v>Local</v>
      </c>
      <c r="Q1371" s="7" t="n">
        <f aca="false">IF($A1371="","",DATE(YEAR(B1371),MONTH(B1371),1))</f>
        <v>46023</v>
      </c>
      <c r="R1371" s="4" t="str">
        <f aca="false">IF($A1371="","",IF(COUNTIF($A$2:$A1371,$A1371)&gt;1,"Sim","Não"))</f>
        <v>Não</v>
      </c>
      <c r="S1371" s="4" t="str">
        <f aca="false">IF(A1371="","Descartar - Linha vazia",IF(R1371="Sim","Descartar - Duplicado",IF(OR(H1371&lt;=0,I1371&lt;=0),"Descartar - Qtd/Valor inválido","OK")))</f>
        <v>OK</v>
      </c>
      <c r="T1371" s="4" t="str">
        <f aca="false">Base_Bruta!P1371</f>
        <v>vendas_RJ.xlsx</v>
      </c>
    </row>
    <row r="1372" customFormat="false" ht="15" hidden="false" customHeight="false" outlineLevel="0" collapsed="false">
      <c r="A1372" s="4" t="str">
        <f aca="false">IF(Base_Bruta!A1372="","",Base_Bruta!A1372)</f>
        <v>RJ-000440</v>
      </c>
      <c r="B1372" s="5" t="n">
        <f aca="false">IF($A1372="","",IF(ISNUMBER(Base_Bruta!B1372),Base_Bruta!B1372,IF(MID(Base_Bruta!B1372,5,1)="-",DATE(VALUE(LEFT(Base_Bruta!B1372,4)),VALUE(MID(Base_Bruta!B1372,6,2)),VALUE(RIGHT(Base_Bruta!B1372,2))),DATE(VALUE(RIGHT(Base_Bruta!B1372,4)),VALUE(MID(Base_Bruta!B1372,4,2)),VALUE(LEFT(Base_Bruta!B1372,2))))))</f>
        <v>46049</v>
      </c>
      <c r="C1372" s="5" t="n">
        <f aca="false">IF($A1372="","",IF(ISNUMBER(Base_Bruta!C1372),Base_Bruta!C1372,IF(MID(Base_Bruta!C1372,5,1)="-",DATE(VALUE(LEFT(Base_Bruta!C1372,4)),VALUE(MID(Base_Bruta!C1372,6,2)),VALUE(RIGHT(Base_Bruta!C1372,2))),DATE(VALUE(RIGHT(Base_Bruta!C1372,4)),VALUE(MID(Base_Bruta!C1372,4,2)),VALUE(LEFT(Base_Bruta!C1372,2))))))</f>
        <v>46151</v>
      </c>
      <c r="D1372" s="4" t="str">
        <f aca="false">IF($A1372="","",TRIM(Base_Bruta!D1372))</f>
        <v>Turnê Internacional Rock - Rio</v>
      </c>
      <c r="E1372" s="4" t="str">
        <f aca="false">IF($A1372="","",_xlfn.XLOOKUP(LOWER(TRIM(Base_Bruta!E1372)),DePara_Categoria!$A$2:$A$9,DePara_Categoria!$B$2:$B$9,"REVISAR"))</f>
        <v>Show</v>
      </c>
      <c r="F1372" s="4" t="str">
        <f aca="false">IF($A1372="","",_xlfn.XLOOKUP(LOWER(TRIM(Base_Bruta!F1372)),DePara_Cidade!$A$2:$A$29,DePara_Cidade!$B$2:$B$29,"REVISAR"))</f>
        <v>Rio de Janeiro</v>
      </c>
      <c r="G1372" s="4" t="str">
        <f aca="false">IF($A1372="","",TRIM(Base_Bruta!G1372))</f>
        <v>Meia</v>
      </c>
      <c r="H1372" s="4" t="n">
        <f aca="false">IF($A1372="","",IF(ISNUMBER(Base_Bruta!H1372),Base_Bruta!H1372,IFERROR(_xlfn.NUMBERVALUE(TRIM(SUBSTITUTE(Base_Bruta!H1372,"R$","")),",","."),0)))</f>
        <v>2</v>
      </c>
      <c r="I1372" s="6" t="n">
        <f aca="false">IF($A1372="","",IF(ISNUMBER(Base_Bruta!I1372),Base_Bruta!I1372,IFERROR(_xlfn.NUMBERVALUE(TRIM(SUBSTITUTE(Base_Bruta!I1372,"R$","")),",","."),0)))</f>
        <v>220</v>
      </c>
      <c r="J1372" s="6" t="n">
        <f aca="false">IF($A1372="","",H1372*I1372)</f>
        <v>440</v>
      </c>
      <c r="K1372" s="4" t="str">
        <f aca="false">IF($A1372="","",TRIM(Base_Bruta!J1372))</f>
        <v>Bilheteria</v>
      </c>
      <c r="L1372" s="4" t="str">
        <f aca="false">IF($A1372="","",TRIM(Base_Bruta!K1372))</f>
        <v>C01506</v>
      </c>
      <c r="M1372" s="4" t="str">
        <f aca="false">IF($A1372="","",_xlfn.XLOOKUP(LOWER(TRIM(Base_Bruta!L1372)),DePara_Cidade!$A$2:$A$29,DePara_Cidade!$B$2:$B$29,"REVISAR"))</f>
        <v>Belo Horizonte</v>
      </c>
      <c r="N1372" s="4" t="str">
        <f aca="false">IF($A1372="","",UPPER(TRIM(Base_Bruta!M1372)))</f>
        <v>MG</v>
      </c>
      <c r="O1372" s="4" t="str">
        <f aca="false">IF($A1372="","",_xlfn.XLOOKUP(LOWER(TRIM(Base_Bruta!N1372)),DePara_Pais!$A$2:$A$9,DePara_Pais!$B$2:$B$9,"REVISAR"))</f>
        <v>Brasil</v>
      </c>
      <c r="P1372" s="4" t="str">
        <f aca="false">IF($A1372="","",IF(O1372&lt;&gt;"Brasil","Turista Internacional",IF(M1372=F1372,"Local","Turista Nacional")))</f>
        <v>Turista Nacional</v>
      </c>
      <c r="Q1372" s="7" t="n">
        <f aca="false">IF($A1372="","",DATE(YEAR(B1372),MONTH(B1372),1))</f>
        <v>46023</v>
      </c>
      <c r="R1372" s="4" t="str">
        <f aca="false">IF($A1372="","",IF(COUNTIF($A$2:$A1372,$A1372)&gt;1,"Sim","Não"))</f>
        <v>Não</v>
      </c>
      <c r="S1372" s="4" t="str">
        <f aca="false">IF(A1372="","Descartar - Linha vazia",IF(R1372="Sim","Descartar - Duplicado",IF(OR(H1372&lt;=0,I1372&lt;=0),"Descartar - Qtd/Valor inválido","OK")))</f>
        <v>OK</v>
      </c>
      <c r="T1372" s="4" t="str">
        <f aca="false">Base_Bruta!P1372</f>
        <v>vendas_RJ.xlsx</v>
      </c>
    </row>
    <row r="1373" customFormat="false" ht="15" hidden="false" customHeight="false" outlineLevel="0" collapsed="false">
      <c r="A1373" s="4" t="str">
        <f aca="false">IF(Base_Bruta!A1373="","",Base_Bruta!A1373)</f>
        <v>RJ-000543</v>
      </c>
      <c r="B1373" s="5" t="n">
        <f aca="false">IF($A1373="","",IF(ISNUMBER(Base_Bruta!B1373),Base_Bruta!B1373,IF(MID(Base_Bruta!B1373,5,1)="-",DATE(VALUE(LEFT(Base_Bruta!B1373,4)),VALUE(MID(Base_Bruta!B1373,6,2)),VALUE(RIGHT(Base_Bruta!B1373,2))),DATE(VALUE(RIGHT(Base_Bruta!B1373,4)),VALUE(MID(Base_Bruta!B1373,4,2)),VALUE(LEFT(Base_Bruta!B1373,2))))))</f>
        <v>46049</v>
      </c>
      <c r="C1373" s="5" t="n">
        <f aca="false">IF($A1373="","",IF(ISNUMBER(Base_Bruta!C1373),Base_Bruta!C1373,IF(MID(Base_Bruta!C1373,5,1)="-",DATE(VALUE(LEFT(Base_Bruta!C1373,4)),VALUE(MID(Base_Bruta!C1373,6,2)),VALUE(RIGHT(Base_Bruta!C1373,2))),DATE(VALUE(RIGHT(Base_Bruta!C1373,4)),VALUE(MID(Base_Bruta!C1373,4,2)),VALUE(LEFT(Base_Bruta!C1373,2))))))</f>
        <v>46051</v>
      </c>
      <c r="D1373" s="4" t="str">
        <f aca="false">IF($A1373="","",TRIM(Base_Bruta!D1373))</f>
        <v>Cinema Barra - Sessões</v>
      </c>
      <c r="E1373" s="4" t="str">
        <f aca="false">IF($A1373="","",_xlfn.XLOOKUP(LOWER(TRIM(Base_Bruta!E1373)),DePara_Categoria!$A$2:$A$9,DePara_Categoria!$B$2:$B$9,"REVISAR"))</f>
        <v>Cinema</v>
      </c>
      <c r="F1373" s="4" t="str">
        <f aca="false">IF($A1373="","",_xlfn.XLOOKUP(LOWER(TRIM(Base_Bruta!F1373)),DePara_Cidade!$A$2:$A$29,DePara_Cidade!$B$2:$B$29,"REVISAR"))</f>
        <v>Rio de Janeiro</v>
      </c>
      <c r="G1373" s="4" t="str">
        <f aca="false">IF($A1373="","",TRIM(Base_Bruta!G1373))</f>
        <v>Meia</v>
      </c>
      <c r="H1373" s="4" t="n">
        <f aca="false">IF($A1373="","",IF(ISNUMBER(Base_Bruta!H1373),Base_Bruta!H1373,IFERROR(_xlfn.NUMBERVALUE(TRIM(SUBSTITUTE(Base_Bruta!H1373,"R$","")),",","."),0)))</f>
        <v>2</v>
      </c>
      <c r="I1373" s="6" t="n">
        <f aca="false">IF($A1373="","",IF(ISNUMBER(Base_Bruta!I1373),Base_Bruta!I1373,IFERROR(_xlfn.NUMBERVALUE(TRIM(SUBSTITUTE(Base_Bruta!I1373,"R$","")),",","."),0)))</f>
        <v>25</v>
      </c>
      <c r="J1373" s="6" t="n">
        <f aca="false">IF($A1373="","",H1373*I1373)</f>
        <v>50</v>
      </c>
      <c r="K1373" s="4" t="str">
        <f aca="false">IF($A1373="","",TRIM(Base_Bruta!J1373))</f>
        <v>App</v>
      </c>
      <c r="L1373" s="4" t="str">
        <f aca="false">IF($A1373="","",TRIM(Base_Bruta!K1373))</f>
        <v>C00697</v>
      </c>
      <c r="M1373" s="4" t="str">
        <f aca="false">IF($A1373="","",_xlfn.XLOOKUP(LOWER(TRIM(Base_Bruta!L1373)),DePara_Cidade!$A$2:$A$29,DePara_Cidade!$B$2:$B$29,"REVISAR"))</f>
        <v>Rio de Janeiro</v>
      </c>
      <c r="N1373" s="4" t="str">
        <f aca="false">IF($A1373="","",UPPER(TRIM(Base_Bruta!M1373)))</f>
        <v>RJ</v>
      </c>
      <c r="O1373" s="4" t="str">
        <f aca="false">IF($A1373="","",_xlfn.XLOOKUP(LOWER(TRIM(Base_Bruta!N1373)),DePara_Pais!$A$2:$A$9,DePara_Pais!$B$2:$B$9,"REVISAR"))</f>
        <v>Brasil</v>
      </c>
      <c r="P1373" s="4" t="str">
        <f aca="false">IF($A1373="","",IF(O1373&lt;&gt;"Brasil","Turista Internacional",IF(M1373=F1373,"Local","Turista Nacional")))</f>
        <v>Local</v>
      </c>
      <c r="Q1373" s="7" t="n">
        <f aca="false">IF($A1373="","",DATE(YEAR(B1373),MONTH(B1373),1))</f>
        <v>46023</v>
      </c>
      <c r="R1373" s="4" t="str">
        <f aca="false">IF($A1373="","",IF(COUNTIF($A$2:$A1373,$A1373)&gt;1,"Sim","Não"))</f>
        <v>Não</v>
      </c>
      <c r="S1373" s="4" t="str">
        <f aca="false">IF(A1373="","Descartar - Linha vazia",IF(R1373="Sim","Descartar - Duplicado",IF(OR(H1373&lt;=0,I1373&lt;=0),"Descartar - Qtd/Valor inválido","OK")))</f>
        <v>OK</v>
      </c>
      <c r="T1373" s="4" t="str">
        <f aca="false">Base_Bruta!P1373</f>
        <v>vendas_RJ.xlsx</v>
      </c>
    </row>
    <row r="1374" customFormat="false" ht="15" hidden="false" customHeight="false" outlineLevel="0" collapsed="false">
      <c r="A1374" s="4" t="str">
        <f aca="false">IF(Base_Bruta!A1374="","",Base_Bruta!A1374)</f>
        <v>RJ-000405</v>
      </c>
      <c r="B1374" s="5" t="n">
        <f aca="false">IF($A1374="","",IF(ISNUMBER(Base_Bruta!B1374),Base_Bruta!B1374,IF(MID(Base_Bruta!B1374,5,1)="-",DATE(VALUE(LEFT(Base_Bruta!B1374,4)),VALUE(MID(Base_Bruta!B1374,6,2)),VALUE(RIGHT(Base_Bruta!B1374,2))),DATE(VALUE(RIGHT(Base_Bruta!B1374,4)),VALUE(MID(Base_Bruta!B1374,4,2)),VALUE(LEFT(Base_Bruta!B1374,2))))))</f>
        <v>46050</v>
      </c>
      <c r="C1374" s="5" t="n">
        <f aca="false">IF($A1374="","",IF(ISNUMBER(Base_Bruta!C1374),Base_Bruta!C1374,IF(MID(Base_Bruta!C1374,5,1)="-",DATE(VALUE(LEFT(Base_Bruta!C1374,4)),VALUE(MID(Base_Bruta!C1374,6,2)),VALUE(RIGHT(Base_Bruta!C1374,2))),DATE(VALUE(RIGHT(Base_Bruta!C1374,4)),VALUE(MID(Base_Bruta!C1374,4,2)),VALUE(LEFT(Base_Bruta!C1374,2))))))</f>
        <v>46151</v>
      </c>
      <c r="D1374" s="4" t="str">
        <f aca="false">IF($A1374="","",TRIM(Base_Bruta!D1374))</f>
        <v>Turnê Internacional Rock - Rio</v>
      </c>
      <c r="E1374" s="4" t="str">
        <f aca="false">IF($A1374="","",_xlfn.XLOOKUP(LOWER(TRIM(Base_Bruta!E1374)),DePara_Categoria!$A$2:$A$9,DePara_Categoria!$B$2:$B$9,"REVISAR"))</f>
        <v>Show</v>
      </c>
      <c r="F1374" s="4" t="str">
        <f aca="false">IF($A1374="","",_xlfn.XLOOKUP(LOWER(TRIM(Base_Bruta!F1374)),DePara_Cidade!$A$2:$A$29,DePara_Cidade!$B$2:$B$29,"REVISAR"))</f>
        <v>Rio de Janeiro</v>
      </c>
      <c r="G1374" s="4" t="str">
        <f aca="false">IF($A1374="","",TRIM(Base_Bruta!G1374))</f>
        <v>Inteira</v>
      </c>
      <c r="H1374" s="4" t="n">
        <f aca="false">IF($A1374="","",IF(ISNUMBER(Base_Bruta!H1374),Base_Bruta!H1374,IFERROR(_xlfn.NUMBERVALUE(TRIM(SUBSTITUTE(Base_Bruta!H1374,"R$","")),",","."),0)))</f>
        <v>2</v>
      </c>
      <c r="I1374" s="6" t="n">
        <f aca="false">IF($A1374="","",IF(ISNUMBER(Base_Bruta!I1374),Base_Bruta!I1374,IFERROR(_xlfn.NUMBERVALUE(TRIM(SUBSTITUTE(Base_Bruta!I1374,"R$","")),",","."),0)))</f>
        <v>585</v>
      </c>
      <c r="J1374" s="6" t="n">
        <f aca="false">IF($A1374="","",H1374*I1374)</f>
        <v>1170</v>
      </c>
      <c r="K1374" s="4" t="str">
        <f aca="false">IF($A1374="","",TRIM(Base_Bruta!J1374))</f>
        <v>App</v>
      </c>
      <c r="L1374" s="4" t="str">
        <f aca="false">IF($A1374="","",TRIM(Base_Bruta!K1374))</f>
        <v>C01528</v>
      </c>
      <c r="M1374" s="4" t="str">
        <f aca="false">IF($A1374="","",_xlfn.XLOOKUP(LOWER(TRIM(Base_Bruta!L1374)),DePara_Cidade!$A$2:$A$29,DePara_Cidade!$B$2:$B$29,"REVISAR"))</f>
        <v>Brasília</v>
      </c>
      <c r="N1374" s="4" t="str">
        <f aca="false">IF($A1374="","",UPPER(TRIM(Base_Bruta!M1374)))</f>
        <v>DF</v>
      </c>
      <c r="O1374" s="4" t="str">
        <f aca="false">IF($A1374="","",_xlfn.XLOOKUP(LOWER(TRIM(Base_Bruta!N1374)),DePara_Pais!$A$2:$A$9,DePara_Pais!$B$2:$B$9,"REVISAR"))</f>
        <v>Brasil</v>
      </c>
      <c r="P1374" s="4" t="str">
        <f aca="false">IF($A1374="","",IF(O1374&lt;&gt;"Brasil","Turista Internacional",IF(M1374=F1374,"Local","Turista Nacional")))</f>
        <v>Turista Nacional</v>
      </c>
      <c r="Q1374" s="7" t="n">
        <f aca="false">IF($A1374="","",DATE(YEAR(B1374),MONTH(B1374),1))</f>
        <v>46023</v>
      </c>
      <c r="R1374" s="4" t="str">
        <f aca="false">IF($A1374="","",IF(COUNTIF($A$2:$A1374,$A1374)&gt;1,"Sim","Não"))</f>
        <v>Não</v>
      </c>
      <c r="S1374" s="4" t="str">
        <f aca="false">IF(A1374="","Descartar - Linha vazia",IF(R1374="Sim","Descartar - Duplicado",IF(OR(H1374&lt;=0,I1374&lt;=0),"Descartar - Qtd/Valor inválido","OK")))</f>
        <v>OK</v>
      </c>
      <c r="T1374" s="4" t="str">
        <f aca="false">Base_Bruta!P1374</f>
        <v>vendas_RJ.xlsx</v>
      </c>
    </row>
    <row r="1375" customFormat="false" ht="15" hidden="false" customHeight="false" outlineLevel="0" collapsed="false">
      <c r="A1375" s="4" t="str">
        <f aca="false">IF(Base_Bruta!A1375="","",Base_Bruta!A1375)</f>
        <v>RJ-000406</v>
      </c>
      <c r="B1375" s="5" t="n">
        <f aca="false">IF($A1375="","",IF(ISNUMBER(Base_Bruta!B1375),Base_Bruta!B1375,IF(MID(Base_Bruta!B1375,5,1)="-",DATE(VALUE(LEFT(Base_Bruta!B1375,4)),VALUE(MID(Base_Bruta!B1375,6,2)),VALUE(RIGHT(Base_Bruta!B1375,2))),DATE(VALUE(RIGHT(Base_Bruta!B1375,4)),VALUE(MID(Base_Bruta!B1375,4,2)),VALUE(LEFT(Base_Bruta!B1375,2))))))</f>
        <v>46050</v>
      </c>
      <c r="C1375" s="5" t="n">
        <f aca="false">IF($A1375="","",IF(ISNUMBER(Base_Bruta!C1375),Base_Bruta!C1375,IF(MID(Base_Bruta!C1375,5,1)="-",DATE(VALUE(LEFT(Base_Bruta!C1375,4)),VALUE(MID(Base_Bruta!C1375,6,2)),VALUE(RIGHT(Base_Bruta!C1375,2))),DATE(VALUE(RIGHT(Base_Bruta!C1375,4)),VALUE(MID(Base_Bruta!C1375,4,2)),VALUE(LEFT(Base_Bruta!C1375,2))))))</f>
        <v>46151</v>
      </c>
      <c r="D1375" s="4" t="str">
        <f aca="false">IF($A1375="","",TRIM(Base_Bruta!D1375))</f>
        <v>Turnê Internacional Rock - Rio</v>
      </c>
      <c r="E1375" s="4" t="str">
        <f aca="false">IF($A1375="","",_xlfn.XLOOKUP(LOWER(TRIM(Base_Bruta!E1375)),DePara_Categoria!$A$2:$A$9,DePara_Categoria!$B$2:$B$9,"REVISAR"))</f>
        <v>Show</v>
      </c>
      <c r="F1375" s="4" t="str">
        <f aca="false">IF($A1375="","",_xlfn.XLOOKUP(LOWER(TRIM(Base_Bruta!F1375)),DePara_Cidade!$A$2:$A$29,DePara_Cidade!$B$2:$B$29,"REVISAR"))</f>
        <v>Rio de Janeiro</v>
      </c>
      <c r="G1375" s="4" t="str">
        <f aca="false">IF($A1375="","",TRIM(Base_Bruta!G1375))</f>
        <v>Inteira</v>
      </c>
      <c r="H1375" s="4" t="n">
        <f aca="false">IF($A1375="","",IF(ISNUMBER(Base_Bruta!H1375),Base_Bruta!H1375,IFERROR(_xlfn.NUMBERVALUE(TRIM(SUBSTITUTE(Base_Bruta!H1375,"R$","")),",","."),0)))</f>
        <v>3</v>
      </c>
      <c r="I1375" s="6" t="n">
        <f aca="false">IF($A1375="","",IF(ISNUMBER(Base_Bruta!I1375),Base_Bruta!I1375,IFERROR(_xlfn.NUMBERVALUE(TRIM(SUBSTITUTE(Base_Bruta!I1375,"R$","")),",","."),0)))</f>
        <v>250</v>
      </c>
      <c r="J1375" s="6" t="n">
        <f aca="false">IF($A1375="","",H1375*I1375)</f>
        <v>750</v>
      </c>
      <c r="K1375" s="4" t="str">
        <f aca="false">IF($A1375="","",TRIM(Base_Bruta!J1375))</f>
        <v>Site</v>
      </c>
      <c r="L1375" s="4" t="str">
        <f aca="false">IF($A1375="","",TRIM(Base_Bruta!K1375))</f>
        <v>C01483</v>
      </c>
      <c r="M1375" s="4" t="str">
        <f aca="false">IF($A1375="","",_xlfn.XLOOKUP(LOWER(TRIM(Base_Bruta!L1375)),DePara_Cidade!$A$2:$A$29,DePara_Cidade!$B$2:$B$29,"REVISAR"))</f>
        <v>Rio de Janeiro</v>
      </c>
      <c r="N1375" s="4" t="str">
        <f aca="false">IF($A1375="","",UPPER(TRIM(Base_Bruta!M1375)))</f>
        <v>RJ</v>
      </c>
      <c r="O1375" s="4" t="str">
        <f aca="false">IF($A1375="","",_xlfn.XLOOKUP(LOWER(TRIM(Base_Bruta!N1375)),DePara_Pais!$A$2:$A$9,DePara_Pais!$B$2:$B$9,"REVISAR"))</f>
        <v>Brasil</v>
      </c>
      <c r="P1375" s="4" t="str">
        <f aca="false">IF($A1375="","",IF(O1375&lt;&gt;"Brasil","Turista Internacional",IF(M1375=F1375,"Local","Turista Nacional")))</f>
        <v>Local</v>
      </c>
      <c r="Q1375" s="7" t="n">
        <f aca="false">IF($A1375="","",DATE(YEAR(B1375),MONTH(B1375),1))</f>
        <v>46023</v>
      </c>
      <c r="R1375" s="4" t="str">
        <f aca="false">IF($A1375="","",IF(COUNTIF($A$2:$A1375,$A1375)&gt;1,"Sim","Não"))</f>
        <v>Não</v>
      </c>
      <c r="S1375" s="4" t="str">
        <f aca="false">IF(A1375="","Descartar - Linha vazia",IF(R1375="Sim","Descartar - Duplicado",IF(OR(H1375&lt;=0,I1375&lt;=0),"Descartar - Qtd/Valor inválido","OK")))</f>
        <v>OK</v>
      </c>
      <c r="T1375" s="4" t="str">
        <f aca="false">Base_Bruta!P1375</f>
        <v>vendas_RJ.xlsx</v>
      </c>
    </row>
    <row r="1376" customFormat="false" ht="15" hidden="false" customHeight="false" outlineLevel="0" collapsed="false">
      <c r="A1376" s="4" t="str">
        <f aca="false">IF(Base_Bruta!A1376="","",Base_Bruta!A1376)</f>
        <v>RJ-000468</v>
      </c>
      <c r="B1376" s="5" t="n">
        <f aca="false">IF($A1376="","",IF(ISNUMBER(Base_Bruta!B1376),Base_Bruta!B1376,IF(MID(Base_Bruta!B1376,5,1)="-",DATE(VALUE(LEFT(Base_Bruta!B1376,4)),VALUE(MID(Base_Bruta!B1376,6,2)),VALUE(RIGHT(Base_Bruta!B1376,2))),DATE(VALUE(RIGHT(Base_Bruta!B1376,4)),VALUE(MID(Base_Bruta!B1376,4,2)),VALUE(LEFT(Base_Bruta!B1376,2))))))</f>
        <v>46050</v>
      </c>
      <c r="C1376" s="5" t="n">
        <f aca="false">IF($A1376="","",IF(ISNUMBER(Base_Bruta!C1376),Base_Bruta!C1376,IF(MID(Base_Bruta!C1376,5,1)="-",DATE(VALUE(LEFT(Base_Bruta!C1376,4)),VALUE(MID(Base_Bruta!C1376,6,2)),VALUE(RIGHT(Base_Bruta!C1376,2))),DATE(VALUE(RIGHT(Base_Bruta!C1376,4)),VALUE(MID(Base_Bruta!C1376,4,2)),VALUE(LEFT(Base_Bruta!C1376,2))))))</f>
        <v>46151</v>
      </c>
      <c r="D1376" s="4" t="str">
        <f aca="false">IF($A1376="","",TRIM(Base_Bruta!D1376))</f>
        <v>Turnê Internacional Rock - Rio</v>
      </c>
      <c r="E1376" s="4" t="str">
        <f aca="false">IF($A1376="","",_xlfn.XLOOKUP(LOWER(TRIM(Base_Bruta!E1376)),DePara_Categoria!$A$2:$A$9,DePara_Categoria!$B$2:$B$9,"REVISAR"))</f>
        <v>Show</v>
      </c>
      <c r="F1376" s="4" t="str">
        <f aca="false">IF($A1376="","",_xlfn.XLOOKUP(LOWER(TRIM(Base_Bruta!F1376)),DePara_Cidade!$A$2:$A$29,DePara_Cidade!$B$2:$B$29,"REVISAR"))</f>
        <v>Rio de Janeiro</v>
      </c>
      <c r="G1376" s="4" t="str">
        <f aca="false">IF($A1376="","",TRIM(Base_Bruta!G1376))</f>
        <v>Meia</v>
      </c>
      <c r="H1376" s="4" t="n">
        <f aca="false">IF($A1376="","",IF(ISNUMBER(Base_Bruta!H1376),Base_Bruta!H1376,IFERROR(_xlfn.NUMBERVALUE(TRIM(SUBSTITUTE(Base_Bruta!H1376,"R$","")),",","."),0)))</f>
        <v>2</v>
      </c>
      <c r="I1376" s="6" t="n">
        <f aca="false">IF($A1376="","",IF(ISNUMBER(Base_Bruta!I1376),Base_Bruta!I1376,IFERROR(_xlfn.NUMBERVALUE(TRIM(SUBSTITUTE(Base_Bruta!I1376,"R$","")),",","."),0)))</f>
        <v>280</v>
      </c>
      <c r="J1376" s="6" t="n">
        <f aca="false">IF($A1376="","",H1376*I1376)</f>
        <v>560</v>
      </c>
      <c r="K1376" s="4" t="str">
        <f aca="false">IF($A1376="","",TRIM(Base_Bruta!J1376))</f>
        <v>Site</v>
      </c>
      <c r="L1376" s="4" t="str">
        <f aca="false">IF($A1376="","",TRIM(Base_Bruta!K1376))</f>
        <v>C01038</v>
      </c>
      <c r="M1376" s="4" t="str">
        <f aca="false">IF($A1376="","",_xlfn.XLOOKUP(LOWER(TRIM(Base_Bruta!L1376)),DePara_Cidade!$A$2:$A$29,DePara_Cidade!$B$2:$B$29,"REVISAR"))</f>
        <v>Rio de Janeiro</v>
      </c>
      <c r="N1376" s="4" t="str">
        <f aca="false">IF($A1376="","",UPPER(TRIM(Base_Bruta!M1376)))</f>
        <v>RJ</v>
      </c>
      <c r="O1376" s="4" t="str">
        <f aca="false">IF($A1376="","",_xlfn.XLOOKUP(LOWER(TRIM(Base_Bruta!N1376)),DePara_Pais!$A$2:$A$9,DePara_Pais!$B$2:$B$9,"REVISAR"))</f>
        <v>Brasil</v>
      </c>
      <c r="P1376" s="4" t="str">
        <f aca="false">IF($A1376="","",IF(O1376&lt;&gt;"Brasil","Turista Internacional",IF(M1376=F1376,"Local","Turista Nacional")))</f>
        <v>Local</v>
      </c>
      <c r="Q1376" s="7" t="n">
        <f aca="false">IF($A1376="","",DATE(YEAR(B1376),MONTH(B1376),1))</f>
        <v>46023</v>
      </c>
      <c r="R1376" s="4" t="str">
        <f aca="false">IF($A1376="","",IF(COUNTIF($A$2:$A1376,$A1376)&gt;1,"Sim","Não"))</f>
        <v>Não</v>
      </c>
      <c r="S1376" s="4" t="str">
        <f aca="false">IF(A1376="","Descartar - Linha vazia",IF(R1376="Sim","Descartar - Duplicado",IF(OR(H1376&lt;=0,I1376&lt;=0),"Descartar - Qtd/Valor inválido","OK")))</f>
        <v>OK</v>
      </c>
      <c r="T1376" s="4" t="str">
        <f aca="false">Base_Bruta!P1376</f>
        <v>vendas_RJ.xlsx</v>
      </c>
    </row>
    <row r="1377" customFormat="false" ht="15" hidden="false" customHeight="false" outlineLevel="0" collapsed="false">
      <c r="A1377" s="4" t="str">
        <f aca="false">IF(Base_Bruta!A1377="","",Base_Bruta!A1377)</f>
        <v>RJ-000501</v>
      </c>
      <c r="B1377" s="5" t="n">
        <f aca="false">IF($A1377="","",IF(ISNUMBER(Base_Bruta!B1377),Base_Bruta!B1377,IF(MID(Base_Bruta!B1377,5,1)="-",DATE(VALUE(LEFT(Base_Bruta!B1377,4)),VALUE(MID(Base_Bruta!B1377,6,2)),VALUE(RIGHT(Base_Bruta!B1377,2))),DATE(VALUE(RIGHT(Base_Bruta!B1377,4)),VALUE(MID(Base_Bruta!B1377,4,2)),VALUE(LEFT(Base_Bruta!B1377,2))))))</f>
        <v>46051</v>
      </c>
      <c r="C1377" s="5" t="n">
        <f aca="false">IF($A1377="","",IF(ISNUMBER(Base_Bruta!C1377),Base_Bruta!C1377,IF(MID(Base_Bruta!C1377,5,1)="-",DATE(VALUE(LEFT(Base_Bruta!C1377,4)),VALUE(MID(Base_Bruta!C1377,6,2)),VALUE(RIGHT(Base_Bruta!C1377,2))),DATE(VALUE(RIGHT(Base_Bruta!C1377,4)),VALUE(MID(Base_Bruta!C1377,4,2)),VALUE(LEFT(Base_Bruta!C1377,2))))))</f>
        <v>46151</v>
      </c>
      <c r="D1377" s="4" t="str">
        <f aca="false">IF($A1377="","",TRIM(Base_Bruta!D1377))</f>
        <v>Turnê Internacional Rock - Rio</v>
      </c>
      <c r="E1377" s="4" t="str">
        <f aca="false">IF($A1377="","",_xlfn.XLOOKUP(LOWER(TRIM(Base_Bruta!E1377)),DePara_Categoria!$A$2:$A$9,DePara_Categoria!$B$2:$B$9,"REVISAR"))</f>
        <v>Show</v>
      </c>
      <c r="F1377" s="4" t="str">
        <f aca="false">IF($A1377="","",_xlfn.XLOOKUP(LOWER(TRIM(Base_Bruta!F1377)),DePara_Cidade!$A$2:$A$29,DePara_Cidade!$B$2:$B$29,"REVISAR"))</f>
        <v>Rio de Janeiro</v>
      </c>
      <c r="G1377" s="4" t="str">
        <f aca="false">IF($A1377="","",TRIM(Base_Bruta!G1377))</f>
        <v>Inteira</v>
      </c>
      <c r="H1377" s="4" t="n">
        <f aca="false">IF($A1377="","",IF(ISNUMBER(Base_Bruta!H1377),Base_Bruta!H1377,IFERROR(_xlfn.NUMBERVALUE(TRIM(SUBSTITUTE(Base_Bruta!H1377,"R$","")),",","."),0)))</f>
        <v>2</v>
      </c>
      <c r="I1377" s="6" t="n">
        <f aca="false">IF($A1377="","",IF(ISNUMBER(Base_Bruta!I1377),Base_Bruta!I1377,IFERROR(_xlfn.NUMBERVALUE(TRIM(SUBSTITUTE(Base_Bruta!I1377,"R$","")),",","."),0)))</f>
        <v>585</v>
      </c>
      <c r="J1377" s="6" t="n">
        <f aca="false">IF($A1377="","",H1377*I1377)</f>
        <v>1170</v>
      </c>
      <c r="K1377" s="4" t="str">
        <f aca="false">IF($A1377="","",TRIM(Base_Bruta!J1377))</f>
        <v>Site</v>
      </c>
      <c r="L1377" s="4" t="str">
        <f aca="false">IF($A1377="","",TRIM(Base_Bruta!K1377))</f>
        <v>C01572</v>
      </c>
      <c r="M1377" s="4" t="str">
        <f aca="false">IF($A1377="","",_xlfn.XLOOKUP(LOWER(TRIM(Base_Bruta!L1377)),DePara_Cidade!$A$2:$A$29,DePara_Cidade!$B$2:$B$29,"REVISAR"))</f>
        <v>Rio de Janeiro</v>
      </c>
      <c r="N1377" s="4" t="str">
        <f aca="false">IF($A1377="","",UPPER(TRIM(Base_Bruta!M1377)))</f>
        <v>RJ</v>
      </c>
      <c r="O1377" s="4" t="str">
        <f aca="false">IF($A1377="","",_xlfn.XLOOKUP(LOWER(TRIM(Base_Bruta!N1377)),DePara_Pais!$A$2:$A$9,DePara_Pais!$B$2:$B$9,"REVISAR"))</f>
        <v>Brasil</v>
      </c>
      <c r="P1377" s="4" t="str">
        <f aca="false">IF($A1377="","",IF(O1377&lt;&gt;"Brasil","Turista Internacional",IF(M1377=F1377,"Local","Turista Nacional")))</f>
        <v>Local</v>
      </c>
      <c r="Q1377" s="7" t="n">
        <f aca="false">IF($A1377="","",DATE(YEAR(B1377),MONTH(B1377),1))</f>
        <v>46023</v>
      </c>
      <c r="R1377" s="4" t="str">
        <f aca="false">IF($A1377="","",IF(COUNTIF($A$2:$A1377,$A1377)&gt;1,"Sim","Não"))</f>
        <v>Não</v>
      </c>
      <c r="S1377" s="4" t="str">
        <f aca="false">IF(A1377="","Descartar - Linha vazia",IF(R1377="Sim","Descartar - Duplicado",IF(OR(H1377&lt;=0,I1377&lt;=0),"Descartar - Qtd/Valor inválido","OK")))</f>
        <v>OK</v>
      </c>
      <c r="T1377" s="4" t="str">
        <f aca="false">Base_Bruta!P1377</f>
        <v>vendas_RJ.xlsx</v>
      </c>
    </row>
    <row r="1378" customFormat="false" ht="15" hidden="false" customHeight="false" outlineLevel="0" collapsed="false">
      <c r="A1378" s="4" t="str">
        <f aca="false">IF(Base_Bruta!A1378="","",Base_Bruta!A1378)</f>
        <v>RJ-000653</v>
      </c>
      <c r="B1378" s="5" t="n">
        <f aca="false">IF($A1378="","",IF(ISNUMBER(Base_Bruta!B1378),Base_Bruta!B1378,IF(MID(Base_Bruta!B1378,5,1)="-",DATE(VALUE(LEFT(Base_Bruta!B1378,4)),VALUE(MID(Base_Bruta!B1378,6,2)),VALUE(RIGHT(Base_Bruta!B1378,2))),DATE(VALUE(RIGHT(Base_Bruta!B1378,4)),VALUE(MID(Base_Bruta!B1378,4,2)),VALUE(LEFT(Base_Bruta!B1378,2))))))</f>
        <v>46051</v>
      </c>
      <c r="C1378" s="5" t="n">
        <f aca="false">IF($A1378="","",IF(ISNUMBER(Base_Bruta!C1378),Base_Bruta!C1378,IF(MID(Base_Bruta!C1378,5,1)="-",DATE(VALUE(LEFT(Base_Bruta!C1378,4)),VALUE(MID(Base_Bruta!C1378,6,2)),VALUE(RIGHT(Base_Bruta!C1378,2))),DATE(VALUE(RIGHT(Base_Bruta!C1378,4)),VALUE(MID(Base_Bruta!C1378,4,2)),VALUE(LEFT(Base_Bruta!C1378,2))))))</f>
        <v>46052</v>
      </c>
      <c r="D1378" s="4" t="str">
        <f aca="false">IF($A1378="","",TRIM(Base_Bruta!D1378))</f>
        <v>Cinema Barra - Sessões</v>
      </c>
      <c r="E1378" s="4" t="str">
        <f aca="false">IF($A1378="","",_xlfn.XLOOKUP(LOWER(TRIM(Base_Bruta!E1378)),DePara_Categoria!$A$2:$A$9,DePara_Categoria!$B$2:$B$9,"REVISAR"))</f>
        <v>Cinema</v>
      </c>
      <c r="F1378" s="4" t="str">
        <f aca="false">IF($A1378="","",_xlfn.XLOOKUP(LOWER(TRIM(Base_Bruta!F1378)),DePara_Cidade!$A$2:$A$29,DePara_Cidade!$B$2:$B$29,"REVISAR"))</f>
        <v>Rio de Janeiro</v>
      </c>
      <c r="G1378" s="4" t="str">
        <f aca="false">IF($A1378="","",TRIM(Base_Bruta!G1378))</f>
        <v>Inteira</v>
      </c>
      <c r="H1378" s="4" t="n">
        <f aca="false">IF($A1378="","",IF(ISNUMBER(Base_Bruta!H1378),Base_Bruta!H1378,IFERROR(_xlfn.NUMBERVALUE(TRIM(SUBSTITUTE(Base_Bruta!H1378,"R$","")),",","."),0)))</f>
        <v>2</v>
      </c>
      <c r="I1378" s="6" t="n">
        <f aca="false">IF($A1378="","",IF(ISNUMBER(Base_Bruta!I1378),Base_Bruta!I1378,IFERROR(_xlfn.NUMBERVALUE(TRIM(SUBSTITUTE(Base_Bruta!I1378,"R$","")),",","."),0)))</f>
        <v>40</v>
      </c>
      <c r="J1378" s="6" t="n">
        <f aca="false">IF($A1378="","",H1378*I1378)</f>
        <v>80</v>
      </c>
      <c r="K1378" s="4" t="str">
        <f aca="false">IF($A1378="","",TRIM(Base_Bruta!J1378))</f>
        <v>App</v>
      </c>
      <c r="L1378" s="4" t="str">
        <f aca="false">IF($A1378="","",TRIM(Base_Bruta!K1378))</f>
        <v>C01268</v>
      </c>
      <c r="M1378" s="4" t="str">
        <f aca="false">IF($A1378="","",_xlfn.XLOOKUP(LOWER(TRIM(Base_Bruta!L1378)),DePara_Cidade!$A$2:$A$29,DePara_Cidade!$B$2:$B$29,"REVISAR"))</f>
        <v>Rio de Janeiro</v>
      </c>
      <c r="N1378" s="4" t="str">
        <f aca="false">IF($A1378="","",UPPER(TRIM(Base_Bruta!M1378)))</f>
        <v>RJ</v>
      </c>
      <c r="O1378" s="4" t="str">
        <f aca="false">IF($A1378="","",_xlfn.XLOOKUP(LOWER(TRIM(Base_Bruta!N1378)),DePara_Pais!$A$2:$A$9,DePara_Pais!$B$2:$B$9,"REVISAR"))</f>
        <v>Brasil</v>
      </c>
      <c r="P1378" s="4" t="str">
        <f aca="false">IF($A1378="","",IF(O1378&lt;&gt;"Brasil","Turista Internacional",IF(M1378=F1378,"Local","Turista Nacional")))</f>
        <v>Local</v>
      </c>
      <c r="Q1378" s="7" t="n">
        <f aca="false">IF($A1378="","",DATE(YEAR(B1378),MONTH(B1378),1))</f>
        <v>46023</v>
      </c>
      <c r="R1378" s="4" t="str">
        <f aca="false">IF($A1378="","",IF(COUNTIF($A$2:$A1378,$A1378)&gt;1,"Sim","Não"))</f>
        <v>Não</v>
      </c>
      <c r="S1378" s="4" t="str">
        <f aca="false">IF(A1378="","Descartar - Linha vazia",IF(R1378="Sim","Descartar - Duplicado",IF(OR(H1378&lt;=0,I1378&lt;=0),"Descartar - Qtd/Valor inválido","OK")))</f>
        <v>OK</v>
      </c>
      <c r="T1378" s="4" t="str">
        <f aca="false">Base_Bruta!P1378</f>
        <v>vendas_RJ.xlsx</v>
      </c>
    </row>
    <row r="1379" customFormat="false" ht="15" hidden="false" customHeight="false" outlineLevel="0" collapsed="false">
      <c r="A1379" s="4" t="str">
        <f aca="false">IF(Base_Bruta!A1379="","",Base_Bruta!A1379)</f>
        <v>RJ-000484</v>
      </c>
      <c r="B1379" s="5" t="n">
        <f aca="false">IF($A1379="","",IF(ISNUMBER(Base_Bruta!B1379),Base_Bruta!B1379,IF(MID(Base_Bruta!B1379,5,1)="-",DATE(VALUE(LEFT(Base_Bruta!B1379,4)),VALUE(MID(Base_Bruta!B1379,6,2)),VALUE(RIGHT(Base_Bruta!B1379,2))),DATE(VALUE(RIGHT(Base_Bruta!B1379,4)),VALUE(MID(Base_Bruta!B1379,4,2)),VALUE(LEFT(Base_Bruta!B1379,2))))))</f>
        <v>46054</v>
      </c>
      <c r="C1379" s="5" t="n">
        <f aca="false">IF($A1379="","",IF(ISNUMBER(Base_Bruta!C1379),Base_Bruta!C1379,IF(MID(Base_Bruta!C1379,5,1)="-",DATE(VALUE(LEFT(Base_Bruta!C1379,4)),VALUE(MID(Base_Bruta!C1379,6,2)),VALUE(RIGHT(Base_Bruta!C1379,2))),DATE(VALUE(RIGHT(Base_Bruta!C1379,4)),VALUE(MID(Base_Bruta!C1379,4,2)),VALUE(LEFT(Base_Bruta!C1379,2))))))</f>
        <v>46151</v>
      </c>
      <c r="D1379" s="4" t="str">
        <f aca="false">IF($A1379="","",TRIM(Base_Bruta!D1379))</f>
        <v>Turnê Internacional Rock - Rio</v>
      </c>
      <c r="E1379" s="4" t="str">
        <f aca="false">IF($A1379="","",_xlfn.XLOOKUP(LOWER(TRIM(Base_Bruta!E1379)),DePara_Categoria!$A$2:$A$9,DePara_Categoria!$B$2:$B$9,"REVISAR"))</f>
        <v>Show</v>
      </c>
      <c r="F1379" s="4" t="str">
        <f aca="false">IF($A1379="","",_xlfn.XLOOKUP(LOWER(TRIM(Base_Bruta!F1379)),DePara_Cidade!$A$2:$A$29,DePara_Cidade!$B$2:$B$29,"REVISAR"))</f>
        <v>Rio de Janeiro</v>
      </c>
      <c r="G1379" s="4" t="str">
        <f aca="false">IF($A1379="","",TRIM(Base_Bruta!G1379))</f>
        <v>Meia</v>
      </c>
      <c r="H1379" s="4" t="n">
        <f aca="false">IF($A1379="","",IF(ISNUMBER(Base_Bruta!H1379),Base_Bruta!H1379,IFERROR(_xlfn.NUMBERVALUE(TRIM(SUBSTITUTE(Base_Bruta!H1379,"R$","")),",","."),0)))</f>
        <v>2</v>
      </c>
      <c r="I1379" s="6" t="n">
        <f aca="false">IF($A1379="","",IF(ISNUMBER(Base_Bruta!I1379),Base_Bruta!I1379,IFERROR(_xlfn.NUMBERVALUE(TRIM(SUBSTITUTE(Base_Bruta!I1379,"R$","")),",","."),0)))</f>
        <v>370</v>
      </c>
      <c r="J1379" s="6" t="n">
        <f aca="false">IF($A1379="","",H1379*I1379)</f>
        <v>740</v>
      </c>
      <c r="K1379" s="4" t="str">
        <f aca="false">IF($A1379="","",TRIM(Base_Bruta!J1379))</f>
        <v>App</v>
      </c>
      <c r="L1379" s="4" t="str">
        <f aca="false">IF($A1379="","",TRIM(Base_Bruta!K1379))</f>
        <v>C00467</v>
      </c>
      <c r="M1379" s="4" t="str">
        <f aca="false">IF($A1379="","",_xlfn.XLOOKUP(LOWER(TRIM(Base_Bruta!L1379)),DePara_Cidade!$A$2:$A$29,DePara_Cidade!$B$2:$B$29,"REVISAR"))</f>
        <v>Rio de Janeiro</v>
      </c>
      <c r="N1379" s="4" t="str">
        <f aca="false">IF($A1379="","",UPPER(TRIM(Base_Bruta!M1379)))</f>
        <v>RJ</v>
      </c>
      <c r="O1379" s="4" t="str">
        <f aca="false">IF($A1379="","",_xlfn.XLOOKUP(LOWER(TRIM(Base_Bruta!N1379)),DePara_Pais!$A$2:$A$9,DePara_Pais!$B$2:$B$9,"REVISAR"))</f>
        <v>Brasil</v>
      </c>
      <c r="P1379" s="4" t="str">
        <f aca="false">IF($A1379="","",IF(O1379&lt;&gt;"Brasil","Turista Internacional",IF(M1379=F1379,"Local","Turista Nacional")))</f>
        <v>Local</v>
      </c>
      <c r="Q1379" s="7" t="n">
        <f aca="false">IF($A1379="","",DATE(YEAR(B1379),MONTH(B1379),1))</f>
        <v>46054</v>
      </c>
      <c r="R1379" s="4" t="str">
        <f aca="false">IF($A1379="","",IF(COUNTIF($A$2:$A1379,$A1379)&gt;1,"Sim","Não"))</f>
        <v>Não</v>
      </c>
      <c r="S1379" s="4" t="str">
        <f aca="false">IF(A1379="","Descartar - Linha vazia",IF(R1379="Sim","Descartar - Duplicado",IF(OR(H1379&lt;=0,I1379&lt;=0),"Descartar - Qtd/Valor inválido","OK")))</f>
        <v>OK</v>
      </c>
      <c r="T1379" s="4" t="str">
        <f aca="false">Base_Bruta!P1379</f>
        <v>vendas_RJ.xlsx</v>
      </c>
    </row>
    <row r="1380" customFormat="false" ht="15" hidden="false" customHeight="false" outlineLevel="0" collapsed="false">
      <c r="A1380" s="4" t="str">
        <f aca="false">IF(Base_Bruta!A1380="","",Base_Bruta!A1380)</f>
        <v>RJ-000667</v>
      </c>
      <c r="B1380" s="5" t="n">
        <f aca="false">IF($A1380="","",IF(ISNUMBER(Base_Bruta!B1380),Base_Bruta!B1380,IF(MID(Base_Bruta!B1380,5,1)="-",DATE(VALUE(LEFT(Base_Bruta!B1380,4)),VALUE(MID(Base_Bruta!B1380,6,2)),VALUE(RIGHT(Base_Bruta!B1380,2))),DATE(VALUE(RIGHT(Base_Bruta!B1380,4)),VALUE(MID(Base_Bruta!B1380,4,2)),VALUE(LEFT(Base_Bruta!B1380,2))))))</f>
        <v>46054</v>
      </c>
      <c r="C1380" s="5" t="n">
        <f aca="false">IF($A1380="","",IF(ISNUMBER(Base_Bruta!C1380),Base_Bruta!C1380,IF(MID(Base_Bruta!C1380,5,1)="-",DATE(VALUE(LEFT(Base_Bruta!C1380,4)),VALUE(MID(Base_Bruta!C1380,6,2)),VALUE(RIGHT(Base_Bruta!C1380,2))),DATE(VALUE(RIGHT(Base_Bruta!C1380,4)),VALUE(MID(Base_Bruta!C1380,4,2)),VALUE(LEFT(Base_Bruta!C1380,2))))))</f>
        <v>46055</v>
      </c>
      <c r="D1380" s="4" t="str">
        <f aca="false">IF($A1380="","",TRIM(Base_Bruta!D1380))</f>
        <v>Cinema Barra - Sessões</v>
      </c>
      <c r="E1380" s="4" t="str">
        <f aca="false">IF($A1380="","",_xlfn.XLOOKUP(LOWER(TRIM(Base_Bruta!E1380)),DePara_Categoria!$A$2:$A$9,DePara_Categoria!$B$2:$B$9,"REVISAR"))</f>
        <v>Cinema</v>
      </c>
      <c r="F1380" s="4" t="str">
        <f aca="false">IF($A1380="","",_xlfn.XLOOKUP(LOWER(TRIM(Base_Bruta!F1380)),DePara_Cidade!$A$2:$A$29,DePara_Cidade!$B$2:$B$29,"REVISAR"))</f>
        <v>Rio de Janeiro</v>
      </c>
      <c r="G1380" s="4" t="str">
        <f aca="false">IF($A1380="","",TRIM(Base_Bruta!G1380))</f>
        <v>Inteira</v>
      </c>
      <c r="H1380" s="4" t="n">
        <f aca="false">IF($A1380="","",IF(ISNUMBER(Base_Bruta!H1380),Base_Bruta!H1380,IFERROR(_xlfn.NUMBERVALUE(TRIM(SUBSTITUTE(Base_Bruta!H1380,"R$","")),",","."),0)))</f>
        <v>2</v>
      </c>
      <c r="I1380" s="6" t="n">
        <f aca="false">IF($A1380="","",IF(ISNUMBER(Base_Bruta!I1380),Base_Bruta!I1380,IFERROR(_xlfn.NUMBERVALUE(TRIM(SUBSTITUTE(Base_Bruta!I1380,"R$","")),",","."),0)))</f>
        <v>40</v>
      </c>
      <c r="J1380" s="6" t="n">
        <f aca="false">IF($A1380="","",H1380*I1380)</f>
        <v>80</v>
      </c>
      <c r="K1380" s="4" t="str">
        <f aca="false">IF($A1380="","",TRIM(Base_Bruta!J1380))</f>
        <v>Site</v>
      </c>
      <c r="L1380" s="4" t="str">
        <f aca="false">IF($A1380="","",TRIM(Base_Bruta!K1380))</f>
        <v>C00987</v>
      </c>
      <c r="M1380" s="4" t="str">
        <f aca="false">IF($A1380="","",_xlfn.XLOOKUP(LOWER(TRIM(Base_Bruta!L1380)),DePara_Cidade!$A$2:$A$29,DePara_Cidade!$B$2:$B$29,"REVISAR"))</f>
        <v>Recife</v>
      </c>
      <c r="N1380" s="4" t="str">
        <f aca="false">IF($A1380="","",UPPER(TRIM(Base_Bruta!M1380)))</f>
        <v>PE</v>
      </c>
      <c r="O1380" s="4" t="str">
        <f aca="false">IF($A1380="","",_xlfn.XLOOKUP(LOWER(TRIM(Base_Bruta!N1380)),DePara_Pais!$A$2:$A$9,DePara_Pais!$B$2:$B$9,"REVISAR"))</f>
        <v>Brasil</v>
      </c>
      <c r="P1380" s="4" t="str">
        <f aca="false">IF($A1380="","",IF(O1380&lt;&gt;"Brasil","Turista Internacional",IF(M1380=F1380,"Local","Turista Nacional")))</f>
        <v>Turista Nacional</v>
      </c>
      <c r="Q1380" s="7" t="n">
        <f aca="false">IF($A1380="","",DATE(YEAR(B1380),MONTH(B1380),1))</f>
        <v>46054</v>
      </c>
      <c r="R1380" s="4" t="str">
        <f aca="false">IF($A1380="","",IF(COUNTIF($A$2:$A1380,$A1380)&gt;1,"Sim","Não"))</f>
        <v>Não</v>
      </c>
      <c r="S1380" s="4" t="str">
        <f aca="false">IF(A1380="","Descartar - Linha vazia",IF(R1380="Sim","Descartar - Duplicado",IF(OR(H1380&lt;=0,I1380&lt;=0),"Descartar - Qtd/Valor inválido","OK")))</f>
        <v>OK</v>
      </c>
      <c r="T1380" s="4" t="str">
        <f aca="false">Base_Bruta!P1380</f>
        <v>vendas_RJ.xlsx</v>
      </c>
    </row>
    <row r="1381" customFormat="false" ht="15" hidden="false" customHeight="false" outlineLevel="0" collapsed="false">
      <c r="A1381" s="4" t="str">
        <f aca="false">IF(Base_Bruta!A1381="","",Base_Bruta!A1381)</f>
        <v>RJ-000437</v>
      </c>
      <c r="B1381" s="5" t="n">
        <f aca="false">IF($A1381="","",IF(ISNUMBER(Base_Bruta!B1381),Base_Bruta!B1381,IF(MID(Base_Bruta!B1381,5,1)="-",DATE(VALUE(LEFT(Base_Bruta!B1381,4)),VALUE(MID(Base_Bruta!B1381,6,2)),VALUE(RIGHT(Base_Bruta!B1381,2))),DATE(VALUE(RIGHT(Base_Bruta!B1381,4)),VALUE(MID(Base_Bruta!B1381,4,2)),VALUE(LEFT(Base_Bruta!B1381,2))))))</f>
        <v>46055</v>
      </c>
      <c r="C1381" s="5" t="n">
        <f aca="false">IF($A1381="","",IF(ISNUMBER(Base_Bruta!C1381),Base_Bruta!C1381,IF(MID(Base_Bruta!C1381,5,1)="-",DATE(VALUE(LEFT(Base_Bruta!C1381,4)),VALUE(MID(Base_Bruta!C1381,6,2)),VALUE(RIGHT(Base_Bruta!C1381,2))),DATE(VALUE(RIGHT(Base_Bruta!C1381,4)),VALUE(MID(Base_Bruta!C1381,4,2)),VALUE(LEFT(Base_Bruta!C1381,2))))))</f>
        <v>46151</v>
      </c>
      <c r="D1381" s="4" t="str">
        <f aca="false">IF($A1381="","",TRIM(Base_Bruta!D1381))</f>
        <v>Turnê Internacional Rock - Rio</v>
      </c>
      <c r="E1381" s="4" t="str">
        <f aca="false">IF($A1381="","",_xlfn.XLOOKUP(LOWER(TRIM(Base_Bruta!E1381)),DePara_Categoria!$A$2:$A$9,DePara_Categoria!$B$2:$B$9,"REVISAR"))</f>
        <v>Show</v>
      </c>
      <c r="F1381" s="4" t="str">
        <f aca="false">IF($A1381="","",_xlfn.XLOOKUP(LOWER(TRIM(Base_Bruta!F1381)),DePara_Cidade!$A$2:$A$29,DePara_Cidade!$B$2:$B$29,"REVISAR"))</f>
        <v>Rio de Janeiro</v>
      </c>
      <c r="G1381" s="4" t="str">
        <f aca="false">IF($A1381="","",TRIM(Base_Bruta!G1381))</f>
        <v>Inteira</v>
      </c>
      <c r="H1381" s="4" t="n">
        <f aca="false">IF($A1381="","",IF(ISNUMBER(Base_Bruta!H1381),Base_Bruta!H1381,IFERROR(_xlfn.NUMBERVALUE(TRIM(SUBSTITUTE(Base_Bruta!H1381,"R$","")),",","."),0)))</f>
        <v>2</v>
      </c>
      <c r="I1381" s="6" t="n">
        <f aca="false">IF($A1381="","",IF(ISNUMBER(Base_Bruta!I1381),Base_Bruta!I1381,IFERROR(_xlfn.NUMBERVALUE(TRIM(SUBSTITUTE(Base_Bruta!I1381,"R$","")),",","."),0)))</f>
        <v>600</v>
      </c>
      <c r="J1381" s="6" t="n">
        <f aca="false">IF($A1381="","",H1381*I1381)</f>
        <v>1200</v>
      </c>
      <c r="K1381" s="4" t="str">
        <f aca="false">IF($A1381="","",TRIM(Base_Bruta!J1381))</f>
        <v>App</v>
      </c>
      <c r="L1381" s="4" t="str">
        <f aca="false">IF($A1381="","",TRIM(Base_Bruta!K1381))</f>
        <v>C01826</v>
      </c>
      <c r="M1381" s="4" t="str">
        <f aca="false">IF($A1381="","",_xlfn.XLOOKUP(LOWER(TRIM(Base_Bruta!L1381)),DePara_Cidade!$A$2:$A$29,DePara_Cidade!$B$2:$B$29,"REVISAR"))</f>
        <v>Rio de Janeiro</v>
      </c>
      <c r="N1381" s="4" t="str">
        <f aca="false">IF($A1381="","",UPPER(TRIM(Base_Bruta!M1381)))</f>
        <v>RJ</v>
      </c>
      <c r="O1381" s="4" t="str">
        <f aca="false">IF($A1381="","",_xlfn.XLOOKUP(LOWER(TRIM(Base_Bruta!N1381)),DePara_Pais!$A$2:$A$9,DePara_Pais!$B$2:$B$9,"REVISAR"))</f>
        <v>Brasil</v>
      </c>
      <c r="P1381" s="4" t="str">
        <f aca="false">IF($A1381="","",IF(O1381&lt;&gt;"Brasil","Turista Internacional",IF(M1381=F1381,"Local","Turista Nacional")))</f>
        <v>Local</v>
      </c>
      <c r="Q1381" s="7" t="n">
        <f aca="false">IF($A1381="","",DATE(YEAR(B1381),MONTH(B1381),1))</f>
        <v>46054</v>
      </c>
      <c r="R1381" s="4" t="str">
        <f aca="false">IF($A1381="","",IF(COUNTIF($A$2:$A1381,$A1381)&gt;1,"Sim","Não"))</f>
        <v>Não</v>
      </c>
      <c r="S1381" s="4" t="str">
        <f aca="false">IF(A1381="","Descartar - Linha vazia",IF(R1381="Sim","Descartar - Duplicado",IF(OR(H1381&lt;=0,I1381&lt;=0),"Descartar - Qtd/Valor inválido","OK")))</f>
        <v>OK</v>
      </c>
      <c r="T1381" s="4" t="str">
        <f aca="false">Base_Bruta!P1381</f>
        <v>vendas_RJ.xlsx</v>
      </c>
    </row>
    <row r="1382" customFormat="false" ht="15" hidden="false" customHeight="false" outlineLevel="0" collapsed="false">
      <c r="A1382" s="4" t="str">
        <f aca="false">IF(Base_Bruta!A1382="","",Base_Bruta!A1382)</f>
        <v>RJ-000504</v>
      </c>
      <c r="B1382" s="5" t="n">
        <f aca="false">IF($A1382="","",IF(ISNUMBER(Base_Bruta!B1382),Base_Bruta!B1382,IF(MID(Base_Bruta!B1382,5,1)="-",DATE(VALUE(LEFT(Base_Bruta!B1382,4)),VALUE(MID(Base_Bruta!B1382,6,2)),VALUE(RIGHT(Base_Bruta!B1382,2))),DATE(VALUE(RIGHT(Base_Bruta!B1382,4)),VALUE(MID(Base_Bruta!B1382,4,2)),VALUE(LEFT(Base_Bruta!B1382,2))))))</f>
        <v>46055</v>
      </c>
      <c r="C1382" s="5" t="n">
        <f aca="false">IF($A1382="","",IF(ISNUMBER(Base_Bruta!C1382),Base_Bruta!C1382,IF(MID(Base_Bruta!C1382,5,1)="-",DATE(VALUE(LEFT(Base_Bruta!C1382,4)),VALUE(MID(Base_Bruta!C1382,6,2)),VALUE(RIGHT(Base_Bruta!C1382,2))),DATE(VALUE(RIGHT(Base_Bruta!C1382,4)),VALUE(MID(Base_Bruta!C1382,4,2)),VALUE(LEFT(Base_Bruta!C1382,2))))))</f>
        <v>46151</v>
      </c>
      <c r="D1382" s="4" t="str">
        <f aca="false">IF($A1382="","",TRIM(Base_Bruta!D1382))</f>
        <v>Turnê Internacional Rock - Rio</v>
      </c>
      <c r="E1382" s="4" t="str">
        <f aca="false">IF($A1382="","",_xlfn.XLOOKUP(LOWER(TRIM(Base_Bruta!E1382)),DePara_Categoria!$A$2:$A$9,DePara_Categoria!$B$2:$B$9,"REVISAR"))</f>
        <v>Show</v>
      </c>
      <c r="F1382" s="4" t="str">
        <f aca="false">IF($A1382="","",_xlfn.XLOOKUP(LOWER(TRIM(Base_Bruta!F1382)),DePara_Cidade!$A$2:$A$29,DePara_Cidade!$B$2:$B$29,"REVISAR"))</f>
        <v>Rio de Janeiro</v>
      </c>
      <c r="G1382" s="4" t="str">
        <f aca="false">IF($A1382="","",TRIM(Base_Bruta!G1382))</f>
        <v>Inteira</v>
      </c>
      <c r="H1382" s="4" t="n">
        <f aca="false">IF($A1382="","",IF(ISNUMBER(Base_Bruta!H1382),Base_Bruta!H1382,IFERROR(_xlfn.NUMBERVALUE(TRIM(SUBSTITUTE(Base_Bruta!H1382,"R$","")),",","."),0)))</f>
        <v>4</v>
      </c>
      <c r="I1382" s="6" t="n">
        <f aca="false">IF($A1382="","",IF(ISNUMBER(Base_Bruta!I1382),Base_Bruta!I1382,IFERROR(_xlfn.NUMBERVALUE(TRIM(SUBSTITUTE(Base_Bruta!I1382,"R$","")),",","."),0)))</f>
        <v>480</v>
      </c>
      <c r="J1382" s="6" t="n">
        <f aca="false">IF($A1382="","",H1382*I1382)</f>
        <v>1920</v>
      </c>
      <c r="K1382" s="4" t="str">
        <f aca="false">IF($A1382="","",TRIM(Base_Bruta!J1382))</f>
        <v>App</v>
      </c>
      <c r="L1382" s="4" t="str">
        <f aca="false">IF($A1382="","",TRIM(Base_Bruta!K1382))</f>
        <v>C01464</v>
      </c>
      <c r="M1382" s="4" t="str">
        <f aca="false">IF($A1382="","",_xlfn.XLOOKUP(LOWER(TRIM(Base_Bruta!L1382)),DePara_Cidade!$A$2:$A$29,DePara_Cidade!$B$2:$B$29,"REVISAR"))</f>
        <v>Salvador</v>
      </c>
      <c r="N1382" s="4" t="str">
        <f aca="false">IF($A1382="","",UPPER(TRIM(Base_Bruta!M1382)))</f>
        <v>BA</v>
      </c>
      <c r="O1382" s="4" t="str">
        <f aca="false">IF($A1382="","",_xlfn.XLOOKUP(LOWER(TRIM(Base_Bruta!N1382)),DePara_Pais!$A$2:$A$9,DePara_Pais!$B$2:$B$9,"REVISAR"))</f>
        <v>Brasil</v>
      </c>
      <c r="P1382" s="4" t="str">
        <f aca="false">IF($A1382="","",IF(O1382&lt;&gt;"Brasil","Turista Internacional",IF(M1382=F1382,"Local","Turista Nacional")))</f>
        <v>Turista Nacional</v>
      </c>
      <c r="Q1382" s="7" t="n">
        <f aca="false">IF($A1382="","",DATE(YEAR(B1382),MONTH(B1382),1))</f>
        <v>46054</v>
      </c>
      <c r="R1382" s="4" t="str">
        <f aca="false">IF($A1382="","",IF(COUNTIF($A$2:$A1382,$A1382)&gt;1,"Sim","Não"))</f>
        <v>Não</v>
      </c>
      <c r="S1382" s="4" t="str">
        <f aca="false">IF(A1382="","Descartar - Linha vazia",IF(R1382="Sim","Descartar - Duplicado",IF(OR(H1382&lt;=0,I1382&lt;=0),"Descartar - Qtd/Valor inválido","OK")))</f>
        <v>OK</v>
      </c>
      <c r="T1382" s="4" t="str">
        <f aca="false">Base_Bruta!P1382</f>
        <v>vendas_RJ.xlsx</v>
      </c>
    </row>
    <row r="1383" customFormat="false" ht="15" hidden="false" customHeight="false" outlineLevel="0" collapsed="false">
      <c r="A1383" s="4" t="str">
        <f aca="false">IF(Base_Bruta!A1383="","",Base_Bruta!A1383)</f>
        <v>RJ-000613</v>
      </c>
      <c r="B1383" s="5" t="n">
        <f aca="false">IF($A1383="","",IF(ISNUMBER(Base_Bruta!B1383),Base_Bruta!B1383,IF(MID(Base_Bruta!B1383,5,1)="-",DATE(VALUE(LEFT(Base_Bruta!B1383,4)),VALUE(MID(Base_Bruta!B1383,6,2)),VALUE(RIGHT(Base_Bruta!B1383,2))),DATE(VALUE(RIGHT(Base_Bruta!B1383,4)),VALUE(MID(Base_Bruta!B1383,4,2)),VALUE(LEFT(Base_Bruta!B1383,2))))))</f>
        <v>46056</v>
      </c>
      <c r="C1383" s="5" t="n">
        <f aca="false">IF($A1383="","",IF(ISNUMBER(Base_Bruta!C1383),Base_Bruta!C1383,IF(MID(Base_Bruta!C1383,5,1)="-",DATE(VALUE(LEFT(Base_Bruta!C1383,4)),VALUE(MID(Base_Bruta!C1383,6,2)),VALUE(RIGHT(Base_Bruta!C1383,2))),DATE(VALUE(RIGHT(Base_Bruta!C1383,4)),VALUE(MID(Base_Bruta!C1383,4,2)),VALUE(LEFT(Base_Bruta!C1383,2))))))</f>
        <v>46059</v>
      </c>
      <c r="D1383" s="4" t="str">
        <f aca="false">IF($A1383="","",TRIM(Base_Bruta!D1383))</f>
        <v>Cinema Barra - Sessões</v>
      </c>
      <c r="E1383" s="4" t="str">
        <f aca="false">IF($A1383="","",_xlfn.XLOOKUP(LOWER(TRIM(Base_Bruta!E1383)),DePara_Categoria!$A$2:$A$9,DePara_Categoria!$B$2:$B$9,"REVISAR"))</f>
        <v>Cinema</v>
      </c>
      <c r="F1383" s="4" t="str">
        <f aca="false">IF($A1383="","",_xlfn.XLOOKUP(LOWER(TRIM(Base_Bruta!F1383)),DePara_Cidade!$A$2:$A$29,DePara_Cidade!$B$2:$B$29,"REVISAR"))</f>
        <v>Rio de Janeiro</v>
      </c>
      <c r="G1383" s="4" t="str">
        <f aca="false">IF($A1383="","",TRIM(Base_Bruta!G1383))</f>
        <v>Inteira</v>
      </c>
      <c r="H1383" s="4" t="n">
        <f aca="false">IF($A1383="","",IF(ISNUMBER(Base_Bruta!H1383),Base_Bruta!H1383,IFERROR(_xlfn.NUMBERVALUE(TRIM(SUBSTITUTE(Base_Bruta!H1383,"R$","")),",","."),0)))</f>
        <v>3</v>
      </c>
      <c r="I1383" s="6" t="n">
        <f aca="false">IF($A1383="","",IF(ISNUMBER(Base_Bruta!I1383),Base_Bruta!I1383,IFERROR(_xlfn.NUMBERVALUE(TRIM(SUBSTITUTE(Base_Bruta!I1383,"R$","")),",","."),0)))</f>
        <v>35</v>
      </c>
      <c r="J1383" s="6" t="n">
        <f aca="false">IF($A1383="","",H1383*I1383)</f>
        <v>105</v>
      </c>
      <c r="K1383" s="4" t="str">
        <f aca="false">IF($A1383="","",TRIM(Base_Bruta!J1383))</f>
        <v>Site</v>
      </c>
      <c r="L1383" s="4" t="str">
        <f aca="false">IF($A1383="","",TRIM(Base_Bruta!K1383))</f>
        <v>C01826</v>
      </c>
      <c r="M1383" s="4" t="str">
        <f aca="false">IF($A1383="","",_xlfn.XLOOKUP(LOWER(TRIM(Base_Bruta!L1383)),DePara_Cidade!$A$2:$A$29,DePara_Cidade!$B$2:$B$29,"REVISAR"))</f>
        <v>Rio de Janeiro</v>
      </c>
      <c r="N1383" s="4" t="str">
        <f aca="false">IF($A1383="","",UPPER(TRIM(Base_Bruta!M1383)))</f>
        <v>RJ</v>
      </c>
      <c r="O1383" s="4" t="str">
        <f aca="false">IF($A1383="","",_xlfn.XLOOKUP(LOWER(TRIM(Base_Bruta!N1383)),DePara_Pais!$A$2:$A$9,DePara_Pais!$B$2:$B$9,"REVISAR"))</f>
        <v>Brasil</v>
      </c>
      <c r="P1383" s="4" t="str">
        <f aca="false">IF($A1383="","",IF(O1383&lt;&gt;"Brasil","Turista Internacional",IF(M1383=F1383,"Local","Turista Nacional")))</f>
        <v>Local</v>
      </c>
      <c r="Q1383" s="7" t="n">
        <f aca="false">IF($A1383="","",DATE(YEAR(B1383),MONTH(B1383),1))</f>
        <v>46054</v>
      </c>
      <c r="R1383" s="4" t="str">
        <f aca="false">IF($A1383="","",IF(COUNTIF($A$2:$A1383,$A1383)&gt;1,"Sim","Não"))</f>
        <v>Não</v>
      </c>
      <c r="S1383" s="4" t="str">
        <f aca="false">IF(A1383="","Descartar - Linha vazia",IF(R1383="Sim","Descartar - Duplicado",IF(OR(H1383&lt;=0,I1383&lt;=0),"Descartar - Qtd/Valor inválido","OK")))</f>
        <v>OK</v>
      </c>
      <c r="T1383" s="4" t="str">
        <f aca="false">Base_Bruta!P1383</f>
        <v>vendas_RJ.xlsx</v>
      </c>
    </row>
    <row r="1384" customFormat="false" ht="15" hidden="false" customHeight="false" outlineLevel="0" collapsed="false">
      <c r="A1384" s="4" t="str">
        <f aca="false">IF(Base_Bruta!A1384="","",Base_Bruta!A1384)</f>
        <v>RJ-000436</v>
      </c>
      <c r="B1384" s="5" t="n">
        <f aca="false">IF($A1384="","",IF(ISNUMBER(Base_Bruta!B1384),Base_Bruta!B1384,IF(MID(Base_Bruta!B1384,5,1)="-",DATE(VALUE(LEFT(Base_Bruta!B1384,4)),VALUE(MID(Base_Bruta!B1384,6,2)),VALUE(RIGHT(Base_Bruta!B1384,2))),DATE(VALUE(RIGHT(Base_Bruta!B1384,4)),VALUE(MID(Base_Bruta!B1384,4,2)),VALUE(LEFT(Base_Bruta!B1384,2))))))</f>
        <v>46057</v>
      </c>
      <c r="C1384" s="5" t="n">
        <f aca="false">IF($A1384="","",IF(ISNUMBER(Base_Bruta!C1384),Base_Bruta!C1384,IF(MID(Base_Bruta!C1384,5,1)="-",DATE(VALUE(LEFT(Base_Bruta!C1384,4)),VALUE(MID(Base_Bruta!C1384,6,2)),VALUE(RIGHT(Base_Bruta!C1384,2))),DATE(VALUE(RIGHT(Base_Bruta!C1384,4)),VALUE(MID(Base_Bruta!C1384,4,2)),VALUE(LEFT(Base_Bruta!C1384,2))))))</f>
        <v>46151</v>
      </c>
      <c r="D1384" s="4" t="str">
        <f aca="false">IF($A1384="","",TRIM(Base_Bruta!D1384))</f>
        <v>Turnê Internacional Rock - Rio</v>
      </c>
      <c r="E1384" s="4" t="str">
        <f aca="false">IF($A1384="","",_xlfn.XLOOKUP(LOWER(TRIM(Base_Bruta!E1384)),DePara_Categoria!$A$2:$A$9,DePara_Categoria!$B$2:$B$9,"REVISAR"))</f>
        <v>Show</v>
      </c>
      <c r="F1384" s="4" t="str">
        <f aca="false">IF($A1384="","",_xlfn.XLOOKUP(LOWER(TRIM(Base_Bruta!F1384)),DePara_Cidade!$A$2:$A$29,DePara_Cidade!$B$2:$B$29,"REVISAR"))</f>
        <v>Rio de Janeiro</v>
      </c>
      <c r="G1384" s="4" t="str">
        <f aca="false">IF($A1384="","",TRIM(Base_Bruta!G1384))</f>
        <v>Inteira</v>
      </c>
      <c r="H1384" s="4" t="n">
        <f aca="false">IF($A1384="","",IF(ISNUMBER(Base_Bruta!H1384),Base_Bruta!H1384,IFERROR(_xlfn.NUMBERVALUE(TRIM(SUBSTITUTE(Base_Bruta!H1384,"R$","")),",","."),0)))</f>
        <v>4</v>
      </c>
      <c r="I1384" s="6" t="n">
        <f aca="false">IF($A1384="","",IF(ISNUMBER(Base_Bruta!I1384),Base_Bruta!I1384,IFERROR(_xlfn.NUMBERVALUE(TRIM(SUBSTITUTE(Base_Bruta!I1384,"R$","")),",","."),0)))</f>
        <v>335</v>
      </c>
      <c r="J1384" s="6" t="n">
        <f aca="false">IF($A1384="","",H1384*I1384)</f>
        <v>1340</v>
      </c>
      <c r="K1384" s="4" t="str">
        <f aca="false">IF($A1384="","",TRIM(Base_Bruta!J1384))</f>
        <v>App</v>
      </c>
      <c r="L1384" s="4" t="str">
        <f aca="false">IF($A1384="","",TRIM(Base_Bruta!K1384))</f>
        <v>C02320</v>
      </c>
      <c r="M1384" s="4" t="str">
        <f aca="false">IF($A1384="","",_xlfn.XLOOKUP(LOWER(TRIM(Base_Bruta!L1384)),DePara_Cidade!$A$2:$A$29,DePara_Cidade!$B$2:$B$29,"REVISAR"))</f>
        <v>Vitória</v>
      </c>
      <c r="N1384" s="4" t="str">
        <f aca="false">IF($A1384="","",UPPER(TRIM(Base_Bruta!M1384)))</f>
        <v>ES</v>
      </c>
      <c r="O1384" s="4" t="str">
        <f aca="false">IF($A1384="","",_xlfn.XLOOKUP(LOWER(TRIM(Base_Bruta!N1384)),DePara_Pais!$A$2:$A$9,DePara_Pais!$B$2:$B$9,"REVISAR"))</f>
        <v>Brasil</v>
      </c>
      <c r="P1384" s="4" t="str">
        <f aca="false">IF($A1384="","",IF(O1384&lt;&gt;"Brasil","Turista Internacional",IF(M1384=F1384,"Local","Turista Nacional")))</f>
        <v>Turista Nacional</v>
      </c>
      <c r="Q1384" s="7" t="n">
        <f aca="false">IF($A1384="","",DATE(YEAR(B1384),MONTH(B1384),1))</f>
        <v>46054</v>
      </c>
      <c r="R1384" s="4" t="str">
        <f aca="false">IF($A1384="","",IF(COUNTIF($A$2:$A1384,$A1384)&gt;1,"Sim","Não"))</f>
        <v>Não</v>
      </c>
      <c r="S1384" s="4" t="str">
        <f aca="false">IF(A1384="","Descartar - Linha vazia",IF(R1384="Sim","Descartar - Duplicado",IF(OR(H1384&lt;=0,I1384&lt;=0),"Descartar - Qtd/Valor inválido","OK")))</f>
        <v>OK</v>
      </c>
      <c r="T1384" s="4" t="str">
        <f aca="false">Base_Bruta!P1384</f>
        <v>vendas_RJ.xlsx</v>
      </c>
    </row>
    <row r="1385" customFormat="false" ht="15" hidden="false" customHeight="false" outlineLevel="0" collapsed="false">
      <c r="A1385" s="4" t="str">
        <f aca="false">IF(Base_Bruta!A1385="","",Base_Bruta!A1385)</f>
        <v>RJ-000485</v>
      </c>
      <c r="B1385" s="5" t="n">
        <f aca="false">IF($A1385="","",IF(ISNUMBER(Base_Bruta!B1385),Base_Bruta!B1385,IF(MID(Base_Bruta!B1385,5,1)="-",DATE(VALUE(LEFT(Base_Bruta!B1385,4)),VALUE(MID(Base_Bruta!B1385,6,2)),VALUE(RIGHT(Base_Bruta!B1385,2))),DATE(VALUE(RIGHT(Base_Bruta!B1385,4)),VALUE(MID(Base_Bruta!B1385,4,2)),VALUE(LEFT(Base_Bruta!B1385,2))))))</f>
        <v>46058</v>
      </c>
      <c r="C1385" s="5" t="n">
        <f aca="false">IF($A1385="","",IF(ISNUMBER(Base_Bruta!C1385),Base_Bruta!C1385,IF(MID(Base_Bruta!C1385,5,1)="-",DATE(VALUE(LEFT(Base_Bruta!C1385,4)),VALUE(MID(Base_Bruta!C1385,6,2)),VALUE(RIGHT(Base_Bruta!C1385,2))),DATE(VALUE(RIGHT(Base_Bruta!C1385,4)),VALUE(MID(Base_Bruta!C1385,4,2)),VALUE(LEFT(Base_Bruta!C1385,2))))))</f>
        <v>46151</v>
      </c>
      <c r="D1385" s="4" t="str">
        <f aca="false">IF($A1385="","",TRIM(Base_Bruta!D1385))</f>
        <v>Turnê Internacional Rock - Rio</v>
      </c>
      <c r="E1385" s="4" t="str">
        <f aca="false">IF($A1385="","",_xlfn.XLOOKUP(LOWER(TRIM(Base_Bruta!E1385)),DePara_Categoria!$A$2:$A$9,DePara_Categoria!$B$2:$B$9,"REVISAR"))</f>
        <v>Show</v>
      </c>
      <c r="F1385" s="4" t="str">
        <f aca="false">IF($A1385="","",_xlfn.XLOOKUP(LOWER(TRIM(Base_Bruta!F1385)),DePara_Cidade!$A$2:$A$29,DePara_Cidade!$B$2:$B$29,"REVISAR"))</f>
        <v>Rio de Janeiro</v>
      </c>
      <c r="G1385" s="4" t="str">
        <f aca="false">IF($A1385="","",TRIM(Base_Bruta!G1385))</f>
        <v>Inteira</v>
      </c>
      <c r="H1385" s="4" t="n">
        <f aca="false">IF($A1385="","",IF(ISNUMBER(Base_Bruta!H1385),Base_Bruta!H1385,IFERROR(_xlfn.NUMBERVALUE(TRIM(SUBSTITUTE(Base_Bruta!H1385,"R$","")),",","."),0)))</f>
        <v>2</v>
      </c>
      <c r="I1385" s="6" t="n">
        <f aca="false">IF($A1385="","",IF(ISNUMBER(Base_Bruta!I1385),Base_Bruta!I1385,IFERROR(_xlfn.NUMBERVALUE(TRIM(SUBSTITUTE(Base_Bruta!I1385,"R$","")),",","."),0)))</f>
        <v>555</v>
      </c>
      <c r="J1385" s="6" t="n">
        <f aca="false">IF($A1385="","",H1385*I1385)</f>
        <v>1110</v>
      </c>
      <c r="K1385" s="4" t="str">
        <f aca="false">IF($A1385="","",TRIM(Base_Bruta!J1385))</f>
        <v>Site</v>
      </c>
      <c r="L1385" s="4" t="str">
        <f aca="false">IF($A1385="","",TRIM(Base_Bruta!K1385))</f>
        <v>C00127</v>
      </c>
      <c r="M1385" s="4" t="str">
        <f aca="false">IF($A1385="","",_xlfn.XLOOKUP(LOWER(TRIM(Base_Bruta!L1385)),DePara_Cidade!$A$2:$A$29,DePara_Cidade!$B$2:$B$29,"REVISAR"))</f>
        <v>Rio de Janeiro</v>
      </c>
      <c r="N1385" s="4" t="str">
        <f aca="false">IF($A1385="","",UPPER(TRIM(Base_Bruta!M1385)))</f>
        <v>RJ</v>
      </c>
      <c r="O1385" s="4" t="str">
        <f aca="false">IF($A1385="","",_xlfn.XLOOKUP(LOWER(TRIM(Base_Bruta!N1385)),DePara_Pais!$A$2:$A$9,DePara_Pais!$B$2:$B$9,"REVISAR"))</f>
        <v>Brasil</v>
      </c>
      <c r="P1385" s="4" t="str">
        <f aca="false">IF($A1385="","",IF(O1385&lt;&gt;"Brasil","Turista Internacional",IF(M1385=F1385,"Local","Turista Nacional")))</f>
        <v>Local</v>
      </c>
      <c r="Q1385" s="7" t="n">
        <f aca="false">IF($A1385="","",DATE(YEAR(B1385),MONTH(B1385),1))</f>
        <v>46054</v>
      </c>
      <c r="R1385" s="4" t="str">
        <f aca="false">IF($A1385="","",IF(COUNTIF($A$2:$A1385,$A1385)&gt;1,"Sim","Não"))</f>
        <v>Não</v>
      </c>
      <c r="S1385" s="4" t="str">
        <f aca="false">IF(A1385="","Descartar - Linha vazia",IF(R1385="Sim","Descartar - Duplicado",IF(OR(H1385&lt;=0,I1385&lt;=0),"Descartar - Qtd/Valor inválido","OK")))</f>
        <v>OK</v>
      </c>
      <c r="T1385" s="4" t="str">
        <f aca="false">Base_Bruta!P1385</f>
        <v>vendas_RJ.xlsx</v>
      </c>
    </row>
    <row r="1386" customFormat="false" ht="15" hidden="false" customHeight="false" outlineLevel="0" collapsed="false">
      <c r="A1386" s="4" t="str">
        <f aca="false">IF(Base_Bruta!A1386="","",Base_Bruta!A1386)</f>
        <v>RJ-000637</v>
      </c>
      <c r="B1386" s="5" t="n">
        <f aca="false">IF($A1386="","",IF(ISNUMBER(Base_Bruta!B1386),Base_Bruta!B1386,IF(MID(Base_Bruta!B1386,5,1)="-",DATE(VALUE(LEFT(Base_Bruta!B1386,4)),VALUE(MID(Base_Bruta!B1386,6,2)),VALUE(RIGHT(Base_Bruta!B1386,2))),DATE(VALUE(RIGHT(Base_Bruta!B1386,4)),VALUE(MID(Base_Bruta!B1386,4,2)),VALUE(LEFT(Base_Bruta!B1386,2))))))</f>
        <v>46060</v>
      </c>
      <c r="C1386" s="5" t="n">
        <f aca="false">IF($A1386="","",IF(ISNUMBER(Base_Bruta!C1386),Base_Bruta!C1386,IF(MID(Base_Bruta!C1386,5,1)="-",DATE(VALUE(LEFT(Base_Bruta!C1386,4)),VALUE(MID(Base_Bruta!C1386,6,2)),VALUE(RIGHT(Base_Bruta!C1386,2))),DATE(VALUE(RIGHT(Base_Bruta!C1386,4)),VALUE(MID(Base_Bruta!C1386,4,2)),VALUE(LEFT(Base_Bruta!C1386,2))))))</f>
        <v>46061</v>
      </c>
      <c r="D1386" s="4" t="str">
        <f aca="false">IF($A1386="","",TRIM(Base_Bruta!D1386))</f>
        <v>Cinema Barra - Sessões</v>
      </c>
      <c r="E1386" s="4" t="str">
        <f aca="false">IF($A1386="","",_xlfn.XLOOKUP(LOWER(TRIM(Base_Bruta!E1386)),DePara_Categoria!$A$2:$A$9,DePara_Categoria!$B$2:$B$9,"REVISAR"))</f>
        <v>Cinema</v>
      </c>
      <c r="F1386" s="4" t="str">
        <f aca="false">IF($A1386="","",_xlfn.XLOOKUP(LOWER(TRIM(Base_Bruta!F1386)),DePara_Cidade!$A$2:$A$29,DePara_Cidade!$B$2:$B$29,"REVISAR"))</f>
        <v>Rio de Janeiro</v>
      </c>
      <c r="G1386" s="4" t="str">
        <f aca="false">IF($A1386="","",TRIM(Base_Bruta!G1386))</f>
        <v>Inteira</v>
      </c>
      <c r="H1386" s="4" t="n">
        <f aca="false">IF($A1386="","",IF(ISNUMBER(Base_Bruta!H1386),Base_Bruta!H1386,IFERROR(_xlfn.NUMBERVALUE(TRIM(SUBSTITUTE(Base_Bruta!H1386,"R$","")),",","."),0)))</f>
        <v>1</v>
      </c>
      <c r="I1386" s="6" t="n">
        <f aca="false">IF($A1386="","",IF(ISNUMBER(Base_Bruta!I1386),Base_Bruta!I1386,IFERROR(_xlfn.NUMBERVALUE(TRIM(SUBSTITUTE(Base_Bruta!I1386,"R$","")),",","."),0)))</f>
        <v>35</v>
      </c>
      <c r="J1386" s="6" t="n">
        <f aca="false">IF($A1386="","",H1386*I1386)</f>
        <v>35</v>
      </c>
      <c r="K1386" s="4" t="str">
        <f aca="false">IF($A1386="","",TRIM(Base_Bruta!J1386))</f>
        <v>Parceiro</v>
      </c>
      <c r="L1386" s="4" t="str">
        <f aca="false">IF($A1386="","",TRIM(Base_Bruta!K1386))</f>
        <v>C00092</v>
      </c>
      <c r="M1386" s="4" t="str">
        <f aca="false">IF($A1386="","",_xlfn.XLOOKUP(LOWER(TRIM(Base_Bruta!L1386)),DePara_Cidade!$A$2:$A$29,DePara_Cidade!$B$2:$B$29,"REVISAR"))</f>
        <v>Rio de Janeiro</v>
      </c>
      <c r="N1386" s="4" t="str">
        <f aca="false">IF($A1386="","",UPPER(TRIM(Base_Bruta!M1386)))</f>
        <v>RJ</v>
      </c>
      <c r="O1386" s="4" t="str">
        <f aca="false">IF($A1386="","",_xlfn.XLOOKUP(LOWER(TRIM(Base_Bruta!N1386)),DePara_Pais!$A$2:$A$9,DePara_Pais!$B$2:$B$9,"REVISAR"))</f>
        <v>Brasil</v>
      </c>
      <c r="P1386" s="4" t="str">
        <f aca="false">IF($A1386="","",IF(O1386&lt;&gt;"Brasil","Turista Internacional",IF(M1386=F1386,"Local","Turista Nacional")))</f>
        <v>Local</v>
      </c>
      <c r="Q1386" s="7" t="n">
        <f aca="false">IF($A1386="","",DATE(YEAR(B1386),MONTH(B1386),1))</f>
        <v>46054</v>
      </c>
      <c r="R1386" s="4" t="str">
        <f aca="false">IF($A1386="","",IF(COUNTIF($A$2:$A1386,$A1386)&gt;1,"Sim","Não"))</f>
        <v>Não</v>
      </c>
      <c r="S1386" s="4" t="str">
        <f aca="false">IF(A1386="","Descartar - Linha vazia",IF(R1386="Sim","Descartar - Duplicado",IF(OR(H1386&lt;=0,I1386&lt;=0),"Descartar - Qtd/Valor inválido","OK")))</f>
        <v>OK</v>
      </c>
      <c r="T1386" s="4" t="str">
        <f aca="false">Base_Bruta!P1386</f>
        <v>vendas_RJ.xlsx</v>
      </c>
    </row>
    <row r="1387" customFormat="false" ht="15" hidden="false" customHeight="false" outlineLevel="0" collapsed="false">
      <c r="A1387" s="4" t="str">
        <f aca="false">IF(Base_Bruta!A1387="","",Base_Bruta!A1387)</f>
        <v>RJ-000671</v>
      </c>
      <c r="B1387" s="5" t="n">
        <f aca="false">IF($A1387="","",IF(ISNUMBER(Base_Bruta!B1387),Base_Bruta!B1387,IF(MID(Base_Bruta!B1387,5,1)="-",DATE(VALUE(LEFT(Base_Bruta!B1387,4)),VALUE(MID(Base_Bruta!B1387,6,2)),VALUE(RIGHT(Base_Bruta!B1387,2))),DATE(VALUE(RIGHT(Base_Bruta!B1387,4)),VALUE(MID(Base_Bruta!B1387,4,2)),VALUE(LEFT(Base_Bruta!B1387,2))))))</f>
        <v>46062</v>
      </c>
      <c r="C1387" s="5" t="n">
        <f aca="false">IF($A1387="","",IF(ISNUMBER(Base_Bruta!C1387),Base_Bruta!C1387,IF(MID(Base_Bruta!C1387,5,1)="-",DATE(VALUE(LEFT(Base_Bruta!C1387,4)),VALUE(MID(Base_Bruta!C1387,6,2)),VALUE(RIGHT(Base_Bruta!C1387,2))),DATE(VALUE(RIGHT(Base_Bruta!C1387,4)),VALUE(MID(Base_Bruta!C1387,4,2)),VALUE(LEFT(Base_Bruta!C1387,2))))))</f>
        <v>46062</v>
      </c>
      <c r="D1387" s="4" t="str">
        <f aca="false">IF($A1387="","",TRIM(Base_Bruta!D1387))</f>
        <v>Cinema Barra - Sessões</v>
      </c>
      <c r="E1387" s="4" t="str">
        <f aca="false">IF($A1387="","",_xlfn.XLOOKUP(LOWER(TRIM(Base_Bruta!E1387)),DePara_Categoria!$A$2:$A$9,DePara_Categoria!$B$2:$B$9,"REVISAR"))</f>
        <v>Cinema</v>
      </c>
      <c r="F1387" s="4" t="str">
        <f aca="false">IF($A1387="","",_xlfn.XLOOKUP(LOWER(TRIM(Base_Bruta!F1387)),DePara_Cidade!$A$2:$A$29,DePara_Cidade!$B$2:$B$29,"REVISAR"))</f>
        <v>Rio de Janeiro</v>
      </c>
      <c r="G1387" s="4" t="str">
        <f aca="false">IF($A1387="","",TRIM(Base_Bruta!G1387))</f>
        <v>Inteira</v>
      </c>
      <c r="H1387" s="4" t="n">
        <f aca="false">IF($A1387="","",IF(ISNUMBER(Base_Bruta!H1387),Base_Bruta!H1387,IFERROR(_xlfn.NUMBERVALUE(TRIM(SUBSTITUTE(Base_Bruta!H1387,"R$","")),",","."),0)))</f>
        <v>2</v>
      </c>
      <c r="I1387" s="6" t="n">
        <f aca="false">IF($A1387="","",IF(ISNUMBER(Base_Bruta!I1387),Base_Bruta!I1387,IFERROR(_xlfn.NUMBERVALUE(TRIM(SUBSTITUTE(Base_Bruta!I1387,"R$","")),",","."),0)))</f>
        <v>45</v>
      </c>
      <c r="J1387" s="6" t="n">
        <f aca="false">IF($A1387="","",H1387*I1387)</f>
        <v>90</v>
      </c>
      <c r="K1387" s="4" t="str">
        <f aca="false">IF($A1387="","",TRIM(Base_Bruta!J1387))</f>
        <v>App</v>
      </c>
      <c r="L1387" s="4" t="str">
        <f aca="false">IF($A1387="","",TRIM(Base_Bruta!K1387))</f>
        <v>C00737</v>
      </c>
      <c r="M1387" s="4" t="str">
        <f aca="false">IF($A1387="","",_xlfn.XLOOKUP(LOWER(TRIM(Base_Bruta!L1387)),DePara_Cidade!$A$2:$A$29,DePara_Cidade!$B$2:$B$29,"REVISAR"))</f>
        <v>Rio de Janeiro</v>
      </c>
      <c r="N1387" s="4" t="str">
        <f aca="false">IF($A1387="","",UPPER(TRIM(Base_Bruta!M1387)))</f>
        <v>RJ</v>
      </c>
      <c r="O1387" s="4" t="str">
        <f aca="false">IF($A1387="","",_xlfn.XLOOKUP(LOWER(TRIM(Base_Bruta!N1387)),DePara_Pais!$A$2:$A$9,DePara_Pais!$B$2:$B$9,"REVISAR"))</f>
        <v>Brasil</v>
      </c>
      <c r="P1387" s="4" t="str">
        <f aca="false">IF($A1387="","",IF(O1387&lt;&gt;"Brasil","Turista Internacional",IF(M1387=F1387,"Local","Turista Nacional")))</f>
        <v>Local</v>
      </c>
      <c r="Q1387" s="7" t="n">
        <f aca="false">IF($A1387="","",DATE(YEAR(B1387),MONTH(B1387),1))</f>
        <v>46054</v>
      </c>
      <c r="R1387" s="4" t="str">
        <f aca="false">IF($A1387="","",IF(COUNTIF($A$2:$A1387,$A1387)&gt;1,"Sim","Não"))</f>
        <v>Não</v>
      </c>
      <c r="S1387" s="4" t="str">
        <f aca="false">IF(A1387="","Descartar - Linha vazia",IF(R1387="Sim","Descartar - Duplicado",IF(OR(H1387&lt;=0,I1387&lt;=0),"Descartar - Qtd/Valor inválido","OK")))</f>
        <v>OK</v>
      </c>
      <c r="T1387" s="4" t="str">
        <f aca="false">Base_Bruta!P1387</f>
        <v>vendas_RJ.xlsx</v>
      </c>
    </row>
    <row r="1388" customFormat="false" ht="15" hidden="false" customHeight="false" outlineLevel="0" collapsed="false">
      <c r="A1388" s="4" t="str">
        <f aca="false">IF(Base_Bruta!A1388="","",Base_Bruta!A1388)</f>
        <v>RJ-000427</v>
      </c>
      <c r="B1388" s="5" t="n">
        <f aca="false">IF($A1388="","",IF(ISNUMBER(Base_Bruta!B1388),Base_Bruta!B1388,IF(MID(Base_Bruta!B1388,5,1)="-",DATE(VALUE(LEFT(Base_Bruta!B1388,4)),VALUE(MID(Base_Bruta!B1388,6,2)),VALUE(RIGHT(Base_Bruta!B1388,2))),DATE(VALUE(RIGHT(Base_Bruta!B1388,4)),VALUE(MID(Base_Bruta!B1388,4,2)),VALUE(LEFT(Base_Bruta!B1388,2))))))</f>
        <v>46063</v>
      </c>
      <c r="C1388" s="5" t="n">
        <f aca="false">IF($A1388="","",IF(ISNUMBER(Base_Bruta!C1388),Base_Bruta!C1388,IF(MID(Base_Bruta!C1388,5,1)="-",DATE(VALUE(LEFT(Base_Bruta!C1388,4)),VALUE(MID(Base_Bruta!C1388,6,2)),VALUE(RIGHT(Base_Bruta!C1388,2))),DATE(VALUE(RIGHT(Base_Bruta!C1388,4)),VALUE(MID(Base_Bruta!C1388,4,2)),VALUE(LEFT(Base_Bruta!C1388,2))))))</f>
        <v>46151</v>
      </c>
      <c r="D1388" s="4" t="str">
        <f aca="false">IF($A1388="","",TRIM(Base_Bruta!D1388))</f>
        <v>Turnê Internacional Rock - Rio</v>
      </c>
      <c r="E1388" s="4" t="str">
        <f aca="false">IF($A1388="","",_xlfn.XLOOKUP(LOWER(TRIM(Base_Bruta!E1388)),DePara_Categoria!$A$2:$A$9,DePara_Categoria!$B$2:$B$9,"REVISAR"))</f>
        <v>Show</v>
      </c>
      <c r="F1388" s="4" t="str">
        <f aca="false">IF($A1388="","",_xlfn.XLOOKUP(LOWER(TRIM(Base_Bruta!F1388)),DePara_Cidade!$A$2:$A$29,DePara_Cidade!$B$2:$B$29,"REVISAR"))</f>
        <v>Rio de Janeiro</v>
      </c>
      <c r="G1388" s="4" t="str">
        <f aca="false">IF($A1388="","",TRIM(Base_Bruta!G1388))</f>
        <v>VIP</v>
      </c>
      <c r="H1388" s="4" t="n">
        <f aca="false">IF($A1388="","",IF(ISNUMBER(Base_Bruta!H1388),Base_Bruta!H1388,IFERROR(_xlfn.NUMBERVALUE(TRIM(SUBSTITUTE(Base_Bruta!H1388,"R$","")),",","."),0)))</f>
        <v>1</v>
      </c>
      <c r="I1388" s="6" t="n">
        <f aca="false">IF($A1388="","",IF(ISNUMBER(Base_Bruta!I1388),Base_Bruta!I1388,IFERROR(_xlfn.NUMBERVALUE(TRIM(SUBSTITUTE(Base_Bruta!I1388,"R$","")),",","."),0)))</f>
        <v>830</v>
      </c>
      <c r="J1388" s="6" t="n">
        <f aca="false">IF($A1388="","",H1388*I1388)</f>
        <v>830</v>
      </c>
      <c r="K1388" s="4" t="str">
        <f aca="false">IF($A1388="","",TRIM(Base_Bruta!J1388))</f>
        <v>Bilheteria</v>
      </c>
      <c r="L1388" s="4" t="str">
        <f aca="false">IF($A1388="","",TRIM(Base_Bruta!K1388))</f>
        <v>C01245</v>
      </c>
      <c r="M1388" s="4" t="str">
        <f aca="false">IF($A1388="","",_xlfn.XLOOKUP(LOWER(TRIM(Base_Bruta!L1388)),DePara_Cidade!$A$2:$A$29,DePara_Cidade!$B$2:$B$29,"REVISAR"))</f>
        <v>Rio de Janeiro</v>
      </c>
      <c r="N1388" s="4" t="str">
        <f aca="false">IF($A1388="","",UPPER(TRIM(Base_Bruta!M1388)))</f>
        <v>RJ</v>
      </c>
      <c r="O1388" s="4" t="str">
        <f aca="false">IF($A1388="","",_xlfn.XLOOKUP(LOWER(TRIM(Base_Bruta!N1388)),DePara_Pais!$A$2:$A$9,DePara_Pais!$B$2:$B$9,"REVISAR"))</f>
        <v>Brasil</v>
      </c>
      <c r="P1388" s="4" t="str">
        <f aca="false">IF($A1388="","",IF(O1388&lt;&gt;"Brasil","Turista Internacional",IF(M1388=F1388,"Local","Turista Nacional")))</f>
        <v>Local</v>
      </c>
      <c r="Q1388" s="7" t="n">
        <f aca="false">IF($A1388="","",DATE(YEAR(B1388),MONTH(B1388),1))</f>
        <v>46054</v>
      </c>
      <c r="R1388" s="4" t="str">
        <f aca="false">IF($A1388="","",IF(COUNTIF($A$2:$A1388,$A1388)&gt;1,"Sim","Não"))</f>
        <v>Não</v>
      </c>
      <c r="S1388" s="4" t="str">
        <f aca="false">IF(A1388="","Descartar - Linha vazia",IF(R1388="Sim","Descartar - Duplicado",IF(OR(H1388&lt;=0,I1388&lt;=0),"Descartar - Qtd/Valor inválido","OK")))</f>
        <v>OK</v>
      </c>
      <c r="T1388" s="4" t="str">
        <f aca="false">Base_Bruta!P1388</f>
        <v>vendas_RJ.xlsx</v>
      </c>
    </row>
    <row r="1389" customFormat="false" ht="15" hidden="false" customHeight="false" outlineLevel="0" collapsed="false">
      <c r="A1389" s="4" t="str">
        <f aca="false">IF(Base_Bruta!A1389="","",Base_Bruta!A1389)</f>
        <v>RJ-000439</v>
      </c>
      <c r="B1389" s="5" t="n">
        <f aca="false">IF($A1389="","",IF(ISNUMBER(Base_Bruta!B1389),Base_Bruta!B1389,IF(MID(Base_Bruta!B1389,5,1)="-",DATE(VALUE(LEFT(Base_Bruta!B1389,4)),VALUE(MID(Base_Bruta!B1389,6,2)),VALUE(RIGHT(Base_Bruta!B1389,2))),DATE(VALUE(RIGHT(Base_Bruta!B1389,4)),VALUE(MID(Base_Bruta!B1389,4,2)),VALUE(LEFT(Base_Bruta!B1389,2))))))</f>
        <v>46065</v>
      </c>
      <c r="C1389" s="5" t="n">
        <f aca="false">IF($A1389="","",IF(ISNUMBER(Base_Bruta!C1389),Base_Bruta!C1389,IF(MID(Base_Bruta!C1389,5,1)="-",DATE(VALUE(LEFT(Base_Bruta!C1389,4)),VALUE(MID(Base_Bruta!C1389,6,2)),VALUE(RIGHT(Base_Bruta!C1389,2))),DATE(VALUE(RIGHT(Base_Bruta!C1389,4)),VALUE(MID(Base_Bruta!C1389,4,2)),VALUE(LEFT(Base_Bruta!C1389,2))))))</f>
        <v>46151</v>
      </c>
      <c r="D1389" s="4" t="str">
        <f aca="false">IF($A1389="","",TRIM(Base_Bruta!D1389))</f>
        <v>Turnê Internacional Rock - Rio</v>
      </c>
      <c r="E1389" s="4" t="str">
        <f aca="false">IF($A1389="","",_xlfn.XLOOKUP(LOWER(TRIM(Base_Bruta!E1389)),DePara_Categoria!$A$2:$A$9,DePara_Categoria!$B$2:$B$9,"REVISAR"))</f>
        <v>Show</v>
      </c>
      <c r="F1389" s="4" t="str">
        <f aca="false">IF($A1389="","",_xlfn.XLOOKUP(LOWER(TRIM(Base_Bruta!F1389)),DePara_Cidade!$A$2:$A$29,DePara_Cidade!$B$2:$B$29,"REVISAR"))</f>
        <v>Rio de Janeiro</v>
      </c>
      <c r="G1389" s="4" t="str">
        <f aca="false">IF($A1389="","",TRIM(Base_Bruta!G1389))</f>
        <v>Inteira</v>
      </c>
      <c r="H1389" s="4" t="n">
        <f aca="false">IF($A1389="","",IF(ISNUMBER(Base_Bruta!H1389),Base_Bruta!H1389,IFERROR(_xlfn.NUMBERVALUE(TRIM(SUBSTITUTE(Base_Bruta!H1389,"R$","")),",","."),0)))</f>
        <v>3</v>
      </c>
      <c r="I1389" s="6" t="n">
        <f aca="false">IF($A1389="","",IF(ISNUMBER(Base_Bruta!I1389),Base_Bruta!I1389,IFERROR(_xlfn.NUMBERVALUE(TRIM(SUBSTITUTE(Base_Bruta!I1389,"R$","")),",","."),0)))</f>
        <v>740</v>
      </c>
      <c r="J1389" s="6" t="n">
        <f aca="false">IF($A1389="","",H1389*I1389)</f>
        <v>2220</v>
      </c>
      <c r="K1389" s="4" t="str">
        <f aca="false">IF($A1389="","",TRIM(Base_Bruta!J1389))</f>
        <v>App</v>
      </c>
      <c r="L1389" s="4" t="str">
        <f aca="false">IF($A1389="","",TRIM(Base_Bruta!K1389))</f>
        <v>C00948</v>
      </c>
      <c r="M1389" s="4" t="str">
        <f aca="false">IF($A1389="","",_xlfn.XLOOKUP(LOWER(TRIM(Base_Bruta!L1389)),DePara_Cidade!$A$2:$A$29,DePara_Cidade!$B$2:$B$29,"REVISAR"))</f>
        <v>Rio de Janeiro</v>
      </c>
      <c r="N1389" s="4" t="str">
        <f aca="false">IF($A1389="","",UPPER(TRIM(Base_Bruta!M1389)))</f>
        <v>RJ</v>
      </c>
      <c r="O1389" s="4" t="str">
        <f aca="false">IF($A1389="","",_xlfn.XLOOKUP(LOWER(TRIM(Base_Bruta!N1389)),DePara_Pais!$A$2:$A$9,DePara_Pais!$B$2:$B$9,"REVISAR"))</f>
        <v>Brasil</v>
      </c>
      <c r="P1389" s="4" t="str">
        <f aca="false">IF($A1389="","",IF(O1389&lt;&gt;"Brasil","Turista Internacional",IF(M1389=F1389,"Local","Turista Nacional")))</f>
        <v>Local</v>
      </c>
      <c r="Q1389" s="7" t="n">
        <f aca="false">IF($A1389="","",DATE(YEAR(B1389),MONTH(B1389),1))</f>
        <v>46054</v>
      </c>
      <c r="R1389" s="4" t="str">
        <f aca="false">IF($A1389="","",IF(COUNTIF($A$2:$A1389,$A1389)&gt;1,"Sim","Não"))</f>
        <v>Não</v>
      </c>
      <c r="S1389" s="4" t="str">
        <f aca="false">IF(A1389="","Descartar - Linha vazia",IF(R1389="Sim","Descartar - Duplicado",IF(OR(H1389&lt;=0,I1389&lt;=0),"Descartar - Qtd/Valor inválido","OK")))</f>
        <v>OK</v>
      </c>
      <c r="T1389" s="4" t="str">
        <f aca="false">Base_Bruta!P1389</f>
        <v>vendas_RJ.xlsx</v>
      </c>
    </row>
    <row r="1390" customFormat="false" ht="15" hidden="false" customHeight="false" outlineLevel="0" collapsed="false">
      <c r="A1390" s="4" t="str">
        <f aca="false">IF(Base_Bruta!A1390="","",Base_Bruta!A1390)</f>
        <v>RJ-000451</v>
      </c>
      <c r="B1390" s="5" t="n">
        <f aca="false">IF($A1390="","",IF(ISNUMBER(Base_Bruta!B1390),Base_Bruta!B1390,IF(MID(Base_Bruta!B1390,5,1)="-",DATE(VALUE(LEFT(Base_Bruta!B1390,4)),VALUE(MID(Base_Bruta!B1390,6,2)),VALUE(RIGHT(Base_Bruta!B1390,2))),DATE(VALUE(RIGHT(Base_Bruta!B1390,4)),VALUE(MID(Base_Bruta!B1390,4,2)),VALUE(LEFT(Base_Bruta!B1390,2))))))</f>
        <v>46065</v>
      </c>
      <c r="C1390" s="5" t="n">
        <f aca="false">IF($A1390="","",IF(ISNUMBER(Base_Bruta!C1390),Base_Bruta!C1390,IF(MID(Base_Bruta!C1390,5,1)="-",DATE(VALUE(LEFT(Base_Bruta!C1390,4)),VALUE(MID(Base_Bruta!C1390,6,2)),VALUE(RIGHT(Base_Bruta!C1390,2))),DATE(VALUE(RIGHT(Base_Bruta!C1390,4)),VALUE(MID(Base_Bruta!C1390,4,2)),VALUE(LEFT(Base_Bruta!C1390,2))))))</f>
        <v>46151</v>
      </c>
      <c r="D1390" s="4" t="str">
        <f aca="false">IF($A1390="","",TRIM(Base_Bruta!D1390))</f>
        <v>Turnê Internacional Rock - Rio</v>
      </c>
      <c r="E1390" s="4" t="str">
        <f aca="false">IF($A1390="","",_xlfn.XLOOKUP(LOWER(TRIM(Base_Bruta!E1390)),DePara_Categoria!$A$2:$A$9,DePara_Categoria!$B$2:$B$9,"REVISAR"))</f>
        <v>Show</v>
      </c>
      <c r="F1390" s="4" t="str">
        <f aca="false">IF($A1390="","",_xlfn.XLOOKUP(LOWER(TRIM(Base_Bruta!F1390)),DePara_Cidade!$A$2:$A$29,DePara_Cidade!$B$2:$B$29,"REVISAR"))</f>
        <v>Rio de Janeiro</v>
      </c>
      <c r="G1390" s="4" t="str">
        <f aca="false">IF($A1390="","",TRIM(Base_Bruta!G1390))</f>
        <v>Meia</v>
      </c>
      <c r="H1390" s="4" t="n">
        <f aca="false">IF($A1390="","",IF(ISNUMBER(Base_Bruta!H1390),Base_Bruta!H1390,IFERROR(_xlfn.NUMBERVALUE(TRIM(SUBSTITUTE(Base_Bruta!H1390,"R$","")),",","."),0)))</f>
        <v>3</v>
      </c>
      <c r="I1390" s="6" t="n">
        <f aca="false">IF($A1390="","",IF(ISNUMBER(Base_Bruta!I1390),Base_Bruta!I1390,IFERROR(_xlfn.NUMBERVALUE(TRIM(SUBSTITUTE(Base_Bruta!I1390,"R$","")),",","."),0)))</f>
        <v>180</v>
      </c>
      <c r="J1390" s="6" t="n">
        <f aca="false">IF($A1390="","",H1390*I1390)</f>
        <v>540</v>
      </c>
      <c r="K1390" s="4" t="str">
        <f aca="false">IF($A1390="","",TRIM(Base_Bruta!J1390))</f>
        <v>App</v>
      </c>
      <c r="L1390" s="4" t="str">
        <f aca="false">IF($A1390="","",TRIM(Base_Bruta!K1390))</f>
        <v>C01621</v>
      </c>
      <c r="M1390" s="4" t="str">
        <f aca="false">IF($A1390="","",_xlfn.XLOOKUP(LOWER(TRIM(Base_Bruta!L1390)),DePara_Cidade!$A$2:$A$29,DePara_Cidade!$B$2:$B$29,"REVISAR"))</f>
        <v>Rio de Janeiro</v>
      </c>
      <c r="N1390" s="4" t="str">
        <f aca="false">IF($A1390="","",UPPER(TRIM(Base_Bruta!M1390)))</f>
        <v>RJ</v>
      </c>
      <c r="O1390" s="4" t="str">
        <f aca="false">IF($A1390="","",_xlfn.XLOOKUP(LOWER(TRIM(Base_Bruta!N1390)),DePara_Pais!$A$2:$A$9,DePara_Pais!$B$2:$B$9,"REVISAR"))</f>
        <v>Brasil</v>
      </c>
      <c r="P1390" s="4" t="str">
        <f aca="false">IF($A1390="","",IF(O1390&lt;&gt;"Brasil","Turista Internacional",IF(M1390=F1390,"Local","Turista Nacional")))</f>
        <v>Local</v>
      </c>
      <c r="Q1390" s="7" t="n">
        <f aca="false">IF($A1390="","",DATE(YEAR(B1390),MONTH(B1390),1))</f>
        <v>46054</v>
      </c>
      <c r="R1390" s="4" t="str">
        <f aca="false">IF($A1390="","",IF(COUNTIF($A$2:$A1390,$A1390)&gt;1,"Sim","Não"))</f>
        <v>Não</v>
      </c>
      <c r="S1390" s="4" t="str">
        <f aca="false">IF(A1390="","Descartar - Linha vazia",IF(R1390="Sim","Descartar - Duplicado",IF(OR(H1390&lt;=0,I1390&lt;=0),"Descartar - Qtd/Valor inválido","OK")))</f>
        <v>OK</v>
      </c>
      <c r="T1390" s="4" t="str">
        <f aca="false">Base_Bruta!P1390</f>
        <v>vendas_RJ.xlsx</v>
      </c>
    </row>
    <row r="1391" customFormat="false" ht="15" hidden="false" customHeight="false" outlineLevel="0" collapsed="false">
      <c r="A1391" s="4" t="str">
        <f aca="false">IF(Base_Bruta!A1391="","",Base_Bruta!A1391)</f>
        <v>RJ-000511</v>
      </c>
      <c r="B1391" s="5" t="n">
        <f aca="false">IF($A1391="","",IF(ISNUMBER(Base_Bruta!B1391),Base_Bruta!B1391,IF(MID(Base_Bruta!B1391,5,1)="-",DATE(VALUE(LEFT(Base_Bruta!B1391,4)),VALUE(MID(Base_Bruta!B1391,6,2)),VALUE(RIGHT(Base_Bruta!B1391,2))),DATE(VALUE(RIGHT(Base_Bruta!B1391,4)),VALUE(MID(Base_Bruta!B1391,4,2)),VALUE(LEFT(Base_Bruta!B1391,2))))))</f>
        <v>46065</v>
      </c>
      <c r="C1391" s="5" t="n">
        <f aca="false">IF($A1391="","",IF(ISNUMBER(Base_Bruta!C1391),Base_Bruta!C1391,IF(MID(Base_Bruta!C1391,5,1)="-",DATE(VALUE(LEFT(Base_Bruta!C1391,4)),VALUE(MID(Base_Bruta!C1391,6,2)),VALUE(RIGHT(Base_Bruta!C1391,2))),DATE(VALUE(RIGHT(Base_Bruta!C1391,4)),VALUE(MID(Base_Bruta!C1391,4,2)),VALUE(LEFT(Base_Bruta!C1391,2))))))</f>
        <v>46151</v>
      </c>
      <c r="D1391" s="4" t="str">
        <f aca="false">IF($A1391="","",TRIM(Base_Bruta!D1391))</f>
        <v>Turnê Internacional Rock - Rio</v>
      </c>
      <c r="E1391" s="4" t="str">
        <f aca="false">IF($A1391="","",_xlfn.XLOOKUP(LOWER(TRIM(Base_Bruta!E1391)),DePara_Categoria!$A$2:$A$9,DePara_Categoria!$B$2:$B$9,"REVISAR"))</f>
        <v>Show</v>
      </c>
      <c r="F1391" s="4" t="str">
        <f aca="false">IF($A1391="","",_xlfn.XLOOKUP(LOWER(TRIM(Base_Bruta!F1391)),DePara_Cidade!$A$2:$A$29,DePara_Cidade!$B$2:$B$29,"REVISAR"))</f>
        <v>Rio de Janeiro</v>
      </c>
      <c r="G1391" s="4" t="str">
        <f aca="false">IF($A1391="","",TRIM(Base_Bruta!G1391))</f>
        <v>Meia</v>
      </c>
      <c r="H1391" s="4" t="n">
        <f aca="false">IF($A1391="","",IF(ISNUMBER(Base_Bruta!H1391),Base_Bruta!H1391,IFERROR(_xlfn.NUMBERVALUE(TRIM(SUBSTITUTE(Base_Bruta!H1391,"R$","")),",","."),0)))</f>
        <v>2</v>
      </c>
      <c r="I1391" s="6" t="n">
        <f aca="false">IF($A1391="","",IF(ISNUMBER(Base_Bruta!I1391),Base_Bruta!I1391,IFERROR(_xlfn.NUMBERVALUE(TRIM(SUBSTITUTE(Base_Bruta!I1391,"R$","")),",","."),0)))</f>
        <v>230</v>
      </c>
      <c r="J1391" s="6" t="n">
        <f aca="false">IF($A1391="","",H1391*I1391)</f>
        <v>460</v>
      </c>
      <c r="K1391" s="4" t="str">
        <f aca="false">IF($A1391="","",TRIM(Base_Bruta!J1391))</f>
        <v>Site</v>
      </c>
      <c r="L1391" s="4" t="str">
        <f aca="false">IF($A1391="","",TRIM(Base_Bruta!K1391))</f>
        <v>C01884</v>
      </c>
      <c r="M1391" s="4" t="str">
        <f aca="false">IF($A1391="","",_xlfn.XLOOKUP(LOWER(TRIM(Base_Bruta!L1391)),DePara_Cidade!$A$2:$A$29,DePara_Cidade!$B$2:$B$29,"REVISAR"))</f>
        <v>Salvador</v>
      </c>
      <c r="N1391" s="4" t="str">
        <f aca="false">IF($A1391="","",UPPER(TRIM(Base_Bruta!M1391)))</f>
        <v>BA</v>
      </c>
      <c r="O1391" s="4" t="str">
        <f aca="false">IF($A1391="","",_xlfn.XLOOKUP(LOWER(TRIM(Base_Bruta!N1391)),DePara_Pais!$A$2:$A$9,DePara_Pais!$B$2:$B$9,"REVISAR"))</f>
        <v>Brasil</v>
      </c>
      <c r="P1391" s="4" t="str">
        <f aca="false">IF($A1391="","",IF(O1391&lt;&gt;"Brasil","Turista Internacional",IF(M1391=F1391,"Local","Turista Nacional")))</f>
        <v>Turista Nacional</v>
      </c>
      <c r="Q1391" s="7" t="n">
        <f aca="false">IF($A1391="","",DATE(YEAR(B1391),MONTH(B1391),1))</f>
        <v>46054</v>
      </c>
      <c r="R1391" s="4" t="str">
        <f aca="false">IF($A1391="","",IF(COUNTIF($A$2:$A1391,$A1391)&gt;1,"Sim","Não"))</f>
        <v>Não</v>
      </c>
      <c r="S1391" s="4" t="str">
        <f aca="false">IF(A1391="","Descartar - Linha vazia",IF(R1391="Sim","Descartar - Duplicado",IF(OR(H1391&lt;=0,I1391&lt;=0),"Descartar - Qtd/Valor inválido","OK")))</f>
        <v>OK</v>
      </c>
      <c r="T1391" s="4" t="str">
        <f aca="false">Base_Bruta!P1391</f>
        <v>vendas_RJ.xlsx</v>
      </c>
    </row>
    <row r="1392" customFormat="false" ht="15" hidden="false" customHeight="false" outlineLevel="0" collapsed="false">
      <c r="A1392" s="4" t="str">
        <f aca="false">IF(Base_Bruta!A1392="","",Base_Bruta!A1392)</f>
        <v>RJ-000383</v>
      </c>
      <c r="B1392" s="5" t="n">
        <f aca="false">IF($A1392="","",IF(ISNUMBER(Base_Bruta!B1392),Base_Bruta!B1392,IF(MID(Base_Bruta!B1392,5,1)="-",DATE(VALUE(LEFT(Base_Bruta!B1392,4)),VALUE(MID(Base_Bruta!B1392,6,2)),VALUE(RIGHT(Base_Bruta!B1392,2))),DATE(VALUE(RIGHT(Base_Bruta!B1392,4)),VALUE(MID(Base_Bruta!B1392,4,2)),VALUE(LEFT(Base_Bruta!B1392,2))))))</f>
        <v>46067</v>
      </c>
      <c r="C1392" s="5" t="n">
        <f aca="false">IF($A1392="","",IF(ISNUMBER(Base_Bruta!C1392),Base_Bruta!C1392,IF(MID(Base_Bruta!C1392,5,1)="-",DATE(VALUE(LEFT(Base_Bruta!C1392,4)),VALUE(MID(Base_Bruta!C1392,6,2)),VALUE(RIGHT(Base_Bruta!C1392,2))),DATE(VALUE(RIGHT(Base_Bruta!C1392,4)),VALUE(MID(Base_Bruta!C1392,4,2)),VALUE(LEFT(Base_Bruta!C1392,2))))))</f>
        <v>46151</v>
      </c>
      <c r="D1392" s="4" t="str">
        <f aca="false">IF($A1392="","",TRIM(Base_Bruta!D1392))</f>
        <v>Turnê Internacional Rock - Rio</v>
      </c>
      <c r="E1392" s="4" t="str">
        <f aca="false">IF($A1392="","",_xlfn.XLOOKUP(LOWER(TRIM(Base_Bruta!E1392)),DePara_Categoria!$A$2:$A$9,DePara_Categoria!$B$2:$B$9,"REVISAR"))</f>
        <v>Show</v>
      </c>
      <c r="F1392" s="4" t="str">
        <f aca="false">IF($A1392="","",_xlfn.XLOOKUP(LOWER(TRIM(Base_Bruta!F1392)),DePara_Cidade!$A$2:$A$29,DePara_Cidade!$B$2:$B$29,"REVISAR"))</f>
        <v>Rio de Janeiro</v>
      </c>
      <c r="G1392" s="4" t="str">
        <f aca="false">IF($A1392="","",TRIM(Base_Bruta!G1392))</f>
        <v>Inteira</v>
      </c>
      <c r="H1392" s="4" t="n">
        <f aca="false">IF($A1392="","",IF(ISNUMBER(Base_Bruta!H1392),Base_Bruta!H1392,IFERROR(_xlfn.NUMBERVALUE(TRIM(SUBSTITUTE(Base_Bruta!H1392,"R$","")),",","."),0)))</f>
        <v>1</v>
      </c>
      <c r="I1392" s="6" t="n">
        <f aca="false">IF($A1392="","",IF(ISNUMBER(Base_Bruta!I1392),Base_Bruta!I1392,IFERROR(_xlfn.NUMBERVALUE(TRIM(SUBSTITUTE(Base_Bruta!I1392,"R$","")),",","."),0)))</f>
        <v>235</v>
      </c>
      <c r="J1392" s="6" t="n">
        <f aca="false">IF($A1392="","",H1392*I1392)</f>
        <v>235</v>
      </c>
      <c r="K1392" s="4" t="str">
        <f aca="false">IF($A1392="","",TRIM(Base_Bruta!J1392))</f>
        <v>Site</v>
      </c>
      <c r="L1392" s="4" t="str">
        <f aca="false">IF($A1392="","",TRIM(Base_Bruta!K1392))</f>
        <v>C01043</v>
      </c>
      <c r="M1392" s="4" t="str">
        <f aca="false">IF($A1392="","",_xlfn.XLOOKUP(LOWER(TRIM(Base_Bruta!L1392)),DePara_Cidade!$A$2:$A$29,DePara_Cidade!$B$2:$B$29,"REVISAR"))</f>
        <v>Niterói</v>
      </c>
      <c r="N1392" s="4" t="str">
        <f aca="false">IF($A1392="","",UPPER(TRIM(Base_Bruta!M1392)))</f>
        <v>RJ</v>
      </c>
      <c r="O1392" s="4" t="str">
        <f aca="false">IF($A1392="","",_xlfn.XLOOKUP(LOWER(TRIM(Base_Bruta!N1392)),DePara_Pais!$A$2:$A$9,DePara_Pais!$B$2:$B$9,"REVISAR"))</f>
        <v>Brasil</v>
      </c>
      <c r="P1392" s="4" t="str">
        <f aca="false">IF($A1392="","",IF(O1392&lt;&gt;"Brasil","Turista Internacional",IF(M1392=F1392,"Local","Turista Nacional")))</f>
        <v>Turista Nacional</v>
      </c>
      <c r="Q1392" s="7" t="n">
        <f aca="false">IF($A1392="","",DATE(YEAR(B1392),MONTH(B1392),1))</f>
        <v>46054</v>
      </c>
      <c r="R1392" s="4" t="str">
        <f aca="false">IF($A1392="","",IF(COUNTIF($A$2:$A1392,$A1392)&gt;1,"Sim","Não"))</f>
        <v>Não</v>
      </c>
      <c r="S1392" s="4" t="str">
        <f aca="false">IF(A1392="","Descartar - Linha vazia",IF(R1392="Sim","Descartar - Duplicado",IF(OR(H1392&lt;=0,I1392&lt;=0),"Descartar - Qtd/Valor inválido","OK")))</f>
        <v>OK</v>
      </c>
      <c r="T1392" s="4" t="str">
        <f aca="false">Base_Bruta!P1392</f>
        <v>vendas_RJ.xlsx</v>
      </c>
    </row>
    <row r="1393" customFormat="false" ht="15" hidden="false" customHeight="false" outlineLevel="0" collapsed="false">
      <c r="A1393" s="4" t="str">
        <f aca="false">IF(Base_Bruta!A1393="","",Base_Bruta!A1393)</f>
        <v>RJ-000385</v>
      </c>
      <c r="B1393" s="5" t="n">
        <f aca="false">IF($A1393="","",IF(ISNUMBER(Base_Bruta!B1393),Base_Bruta!B1393,IF(MID(Base_Bruta!B1393,5,1)="-",DATE(VALUE(LEFT(Base_Bruta!B1393,4)),VALUE(MID(Base_Bruta!B1393,6,2)),VALUE(RIGHT(Base_Bruta!B1393,2))),DATE(VALUE(RIGHT(Base_Bruta!B1393,4)),VALUE(MID(Base_Bruta!B1393,4,2)),VALUE(LEFT(Base_Bruta!B1393,2))))))</f>
        <v>46067</v>
      </c>
      <c r="C1393" s="5" t="n">
        <f aca="false">IF($A1393="","",IF(ISNUMBER(Base_Bruta!C1393),Base_Bruta!C1393,IF(MID(Base_Bruta!C1393,5,1)="-",DATE(VALUE(LEFT(Base_Bruta!C1393,4)),VALUE(MID(Base_Bruta!C1393,6,2)),VALUE(RIGHT(Base_Bruta!C1393,2))),DATE(VALUE(RIGHT(Base_Bruta!C1393,4)),VALUE(MID(Base_Bruta!C1393,4,2)),VALUE(LEFT(Base_Bruta!C1393,2))))))</f>
        <v>46151</v>
      </c>
      <c r="D1393" s="4" t="str">
        <f aca="false">IF($A1393="","",TRIM(Base_Bruta!D1393))</f>
        <v>Turnê Internacional Rock - Rio</v>
      </c>
      <c r="E1393" s="4" t="str">
        <f aca="false">IF($A1393="","",_xlfn.XLOOKUP(LOWER(TRIM(Base_Bruta!E1393)),DePara_Categoria!$A$2:$A$9,DePara_Categoria!$B$2:$B$9,"REVISAR"))</f>
        <v>Show</v>
      </c>
      <c r="F1393" s="4" t="str">
        <f aca="false">IF($A1393="","",_xlfn.XLOOKUP(LOWER(TRIM(Base_Bruta!F1393)),DePara_Cidade!$A$2:$A$29,DePara_Cidade!$B$2:$B$29,"REVISAR"))</f>
        <v>Rio de Janeiro</v>
      </c>
      <c r="G1393" s="4" t="str">
        <f aca="false">IF($A1393="","",TRIM(Base_Bruta!G1393))</f>
        <v>Meia</v>
      </c>
      <c r="H1393" s="4" t="n">
        <f aca="false">IF($A1393="","",IF(ISNUMBER(Base_Bruta!H1393),Base_Bruta!H1393,IFERROR(_xlfn.NUMBERVALUE(TRIM(SUBSTITUTE(Base_Bruta!H1393,"R$","")),",","."),0)))</f>
        <v>1</v>
      </c>
      <c r="I1393" s="6" t="n">
        <f aca="false">IF($A1393="","",IF(ISNUMBER(Base_Bruta!I1393),Base_Bruta!I1393,IFERROR(_xlfn.NUMBERVALUE(TRIM(SUBSTITUTE(Base_Bruta!I1393,"R$","")),",","."),0)))</f>
        <v>142.5</v>
      </c>
      <c r="J1393" s="6" t="n">
        <f aca="false">IF($A1393="","",H1393*I1393)</f>
        <v>142.5</v>
      </c>
      <c r="K1393" s="4" t="str">
        <f aca="false">IF($A1393="","",TRIM(Base_Bruta!J1393))</f>
        <v>App</v>
      </c>
      <c r="L1393" s="4" t="str">
        <f aca="false">IF($A1393="","",TRIM(Base_Bruta!K1393))</f>
        <v>C01179</v>
      </c>
      <c r="M1393" s="4" t="str">
        <f aca="false">IF($A1393="","",_xlfn.XLOOKUP(LOWER(TRIM(Base_Bruta!L1393)),DePara_Cidade!$A$2:$A$29,DePara_Cidade!$B$2:$B$29,"REVISAR"))</f>
        <v>Rio de Janeiro</v>
      </c>
      <c r="N1393" s="4" t="str">
        <f aca="false">IF($A1393="","",UPPER(TRIM(Base_Bruta!M1393)))</f>
        <v>RJ</v>
      </c>
      <c r="O1393" s="4" t="str">
        <f aca="false">IF($A1393="","",_xlfn.XLOOKUP(LOWER(TRIM(Base_Bruta!N1393)),DePara_Pais!$A$2:$A$9,DePara_Pais!$B$2:$B$9,"REVISAR"))</f>
        <v>Brasil</v>
      </c>
      <c r="P1393" s="4" t="str">
        <f aca="false">IF($A1393="","",IF(O1393&lt;&gt;"Brasil","Turista Internacional",IF(M1393=F1393,"Local","Turista Nacional")))</f>
        <v>Local</v>
      </c>
      <c r="Q1393" s="7" t="n">
        <f aca="false">IF($A1393="","",DATE(YEAR(B1393),MONTH(B1393),1))</f>
        <v>46054</v>
      </c>
      <c r="R1393" s="4" t="str">
        <f aca="false">IF($A1393="","",IF(COUNTIF($A$2:$A1393,$A1393)&gt;1,"Sim","Não"))</f>
        <v>Não</v>
      </c>
      <c r="S1393" s="4" t="str">
        <f aca="false">IF(A1393="","Descartar - Linha vazia",IF(R1393="Sim","Descartar - Duplicado",IF(OR(H1393&lt;=0,I1393&lt;=0),"Descartar - Qtd/Valor inválido","OK")))</f>
        <v>OK</v>
      </c>
      <c r="T1393" s="4" t="str">
        <f aca="false">Base_Bruta!P1393</f>
        <v>vendas_RJ.xlsx</v>
      </c>
    </row>
    <row r="1394" customFormat="false" ht="15" hidden="false" customHeight="false" outlineLevel="0" collapsed="false">
      <c r="A1394" s="4" t="str">
        <f aca="false">IF(Base_Bruta!A1394="","",Base_Bruta!A1394)</f>
        <v>RJ-000528</v>
      </c>
      <c r="B1394" s="5" t="n">
        <f aca="false">IF($A1394="","",IF(ISNUMBER(Base_Bruta!B1394),Base_Bruta!B1394,IF(MID(Base_Bruta!B1394,5,1)="-",DATE(VALUE(LEFT(Base_Bruta!B1394,4)),VALUE(MID(Base_Bruta!B1394,6,2)),VALUE(RIGHT(Base_Bruta!B1394,2))),DATE(VALUE(RIGHT(Base_Bruta!B1394,4)),VALUE(MID(Base_Bruta!B1394,4,2)),VALUE(LEFT(Base_Bruta!B1394,2))))))</f>
        <v>46069</v>
      </c>
      <c r="C1394" s="5" t="n">
        <f aca="false">IF($A1394="","",IF(ISNUMBER(Base_Bruta!C1394),Base_Bruta!C1394,IF(MID(Base_Bruta!C1394,5,1)="-",DATE(VALUE(LEFT(Base_Bruta!C1394,4)),VALUE(MID(Base_Bruta!C1394,6,2)),VALUE(RIGHT(Base_Bruta!C1394,2))),DATE(VALUE(RIGHT(Base_Bruta!C1394,4)),VALUE(MID(Base_Bruta!C1394,4,2)),VALUE(LEFT(Base_Bruta!C1394,2))))))</f>
        <v>46151</v>
      </c>
      <c r="D1394" s="4" t="str">
        <f aca="false">IF($A1394="","",TRIM(Base_Bruta!D1394))</f>
        <v>Turnê Internacional Rock - Rio</v>
      </c>
      <c r="E1394" s="4" t="str">
        <f aca="false">IF($A1394="","",_xlfn.XLOOKUP(LOWER(TRIM(Base_Bruta!E1394)),DePara_Categoria!$A$2:$A$9,DePara_Categoria!$B$2:$B$9,"REVISAR"))</f>
        <v>Show</v>
      </c>
      <c r="F1394" s="4" t="str">
        <f aca="false">IF($A1394="","",_xlfn.XLOOKUP(LOWER(TRIM(Base_Bruta!F1394)),DePara_Cidade!$A$2:$A$29,DePara_Cidade!$B$2:$B$29,"REVISAR"))</f>
        <v>Rio de Janeiro</v>
      </c>
      <c r="G1394" s="4" t="str">
        <f aca="false">IF($A1394="","",TRIM(Base_Bruta!G1394))</f>
        <v>Inteira</v>
      </c>
      <c r="H1394" s="4" t="n">
        <f aca="false">IF($A1394="","",IF(ISNUMBER(Base_Bruta!H1394),Base_Bruta!H1394,IFERROR(_xlfn.NUMBERVALUE(TRIM(SUBSTITUTE(Base_Bruta!H1394,"R$","")),",","."),0)))</f>
        <v>1</v>
      </c>
      <c r="I1394" s="6" t="n">
        <f aca="false">IF($A1394="","",IF(ISNUMBER(Base_Bruta!I1394),Base_Bruta!I1394,IFERROR(_xlfn.NUMBERVALUE(TRIM(SUBSTITUTE(Base_Bruta!I1394,"R$","")),",","."),0)))</f>
        <v>280</v>
      </c>
      <c r="J1394" s="6" t="n">
        <f aca="false">IF($A1394="","",H1394*I1394)</f>
        <v>280</v>
      </c>
      <c r="K1394" s="4" t="str">
        <f aca="false">IF($A1394="","",TRIM(Base_Bruta!J1394))</f>
        <v>App</v>
      </c>
      <c r="L1394" s="4" t="str">
        <f aca="false">IF($A1394="","",TRIM(Base_Bruta!K1394))</f>
        <v>C02256</v>
      </c>
      <c r="M1394" s="4" t="str">
        <f aca="false">IF($A1394="","",_xlfn.XLOOKUP(LOWER(TRIM(Base_Bruta!L1394)),DePara_Cidade!$A$2:$A$29,DePara_Cidade!$B$2:$B$29,"REVISAR"))</f>
        <v>Rio de Janeiro</v>
      </c>
      <c r="N1394" s="4" t="str">
        <f aca="false">IF($A1394="","",UPPER(TRIM(Base_Bruta!M1394)))</f>
        <v>RJ</v>
      </c>
      <c r="O1394" s="4" t="str">
        <f aca="false">IF($A1394="","",_xlfn.XLOOKUP(LOWER(TRIM(Base_Bruta!N1394)),DePara_Pais!$A$2:$A$9,DePara_Pais!$B$2:$B$9,"REVISAR"))</f>
        <v>Brasil</v>
      </c>
      <c r="P1394" s="4" t="str">
        <f aca="false">IF($A1394="","",IF(O1394&lt;&gt;"Brasil","Turista Internacional",IF(M1394=F1394,"Local","Turista Nacional")))</f>
        <v>Local</v>
      </c>
      <c r="Q1394" s="7" t="n">
        <f aca="false">IF($A1394="","",DATE(YEAR(B1394),MONTH(B1394),1))</f>
        <v>46054</v>
      </c>
      <c r="R1394" s="4" t="str">
        <f aca="false">IF($A1394="","",IF(COUNTIF($A$2:$A1394,$A1394)&gt;1,"Sim","Não"))</f>
        <v>Não</v>
      </c>
      <c r="S1394" s="4" t="str">
        <f aca="false">IF(A1394="","Descartar - Linha vazia",IF(R1394="Sim","Descartar - Duplicado",IF(OR(H1394&lt;=0,I1394&lt;=0),"Descartar - Qtd/Valor inválido","OK")))</f>
        <v>OK</v>
      </c>
      <c r="T1394" s="4" t="str">
        <f aca="false">Base_Bruta!P1394</f>
        <v>vendas_RJ.xlsx</v>
      </c>
    </row>
    <row r="1395" customFormat="false" ht="15" hidden="false" customHeight="false" outlineLevel="0" collapsed="false">
      <c r="A1395" s="4" t="str">
        <f aca="false">IF(Base_Bruta!A1395="","",Base_Bruta!A1395)</f>
        <v>RJ-000578</v>
      </c>
      <c r="B1395" s="5" t="n">
        <f aca="false">IF($A1395="","",IF(ISNUMBER(Base_Bruta!B1395),Base_Bruta!B1395,IF(MID(Base_Bruta!B1395,5,1)="-",DATE(VALUE(LEFT(Base_Bruta!B1395,4)),VALUE(MID(Base_Bruta!B1395,6,2)),VALUE(RIGHT(Base_Bruta!B1395,2))),DATE(VALUE(RIGHT(Base_Bruta!B1395,4)),VALUE(MID(Base_Bruta!B1395,4,2)),VALUE(LEFT(Base_Bruta!B1395,2))))))</f>
        <v>46069</v>
      </c>
      <c r="C1395" s="5" t="n">
        <f aca="false">IF($A1395="","",IF(ISNUMBER(Base_Bruta!C1395),Base_Bruta!C1395,IF(MID(Base_Bruta!C1395,5,1)="-",DATE(VALUE(LEFT(Base_Bruta!C1395,4)),VALUE(MID(Base_Bruta!C1395,6,2)),VALUE(RIGHT(Base_Bruta!C1395,2))),DATE(VALUE(RIGHT(Base_Bruta!C1395,4)),VALUE(MID(Base_Bruta!C1395,4,2)),VALUE(LEFT(Base_Bruta!C1395,2))))))</f>
        <v>46069</v>
      </c>
      <c r="D1395" s="4" t="str">
        <f aca="false">IF($A1395="","",TRIM(Base_Bruta!D1395))</f>
        <v>Cinema Barra - Sessões</v>
      </c>
      <c r="E1395" s="4" t="str">
        <f aca="false">IF($A1395="","",_xlfn.XLOOKUP(LOWER(TRIM(Base_Bruta!E1395)),DePara_Categoria!$A$2:$A$9,DePara_Categoria!$B$2:$B$9,"REVISAR"))</f>
        <v>Cinema</v>
      </c>
      <c r="F1395" s="4" t="str">
        <f aca="false">IF($A1395="","",_xlfn.XLOOKUP(LOWER(TRIM(Base_Bruta!F1395)),DePara_Cidade!$A$2:$A$29,DePara_Cidade!$B$2:$B$29,"REVISAR"))</f>
        <v>Rio de Janeiro</v>
      </c>
      <c r="G1395" s="4" t="str">
        <f aca="false">IF($A1395="","",TRIM(Base_Bruta!G1395))</f>
        <v>Meia</v>
      </c>
      <c r="H1395" s="4" t="n">
        <f aca="false">IF($A1395="","",IF(ISNUMBER(Base_Bruta!H1395),Base_Bruta!H1395,IFERROR(_xlfn.NUMBERVALUE(TRIM(SUBSTITUTE(Base_Bruta!H1395,"R$","")),",","."),0)))</f>
        <v>1</v>
      </c>
      <c r="I1395" s="6" t="n">
        <f aca="false">IF($A1395="","",IF(ISNUMBER(Base_Bruta!I1395),Base_Bruta!I1395,IFERROR(_xlfn.NUMBERVALUE(TRIM(SUBSTITUTE(Base_Bruta!I1395,"R$","")),",","."),0)))</f>
        <v>20</v>
      </c>
      <c r="J1395" s="6" t="n">
        <f aca="false">IF($A1395="","",H1395*I1395)</f>
        <v>20</v>
      </c>
      <c r="K1395" s="4" t="str">
        <f aca="false">IF($A1395="","",TRIM(Base_Bruta!J1395))</f>
        <v>App</v>
      </c>
      <c r="L1395" s="4" t="str">
        <f aca="false">IF($A1395="","",TRIM(Base_Bruta!K1395))</f>
        <v>C00681</v>
      </c>
      <c r="M1395" s="4" t="str">
        <f aca="false">IF($A1395="","",_xlfn.XLOOKUP(LOWER(TRIM(Base_Bruta!L1395)),DePara_Cidade!$A$2:$A$29,DePara_Cidade!$B$2:$B$29,"REVISAR"))</f>
        <v>Rio de Janeiro</v>
      </c>
      <c r="N1395" s="4" t="str">
        <f aca="false">IF($A1395="","",UPPER(TRIM(Base_Bruta!M1395)))</f>
        <v>RJ</v>
      </c>
      <c r="O1395" s="4" t="str">
        <f aca="false">IF($A1395="","",_xlfn.XLOOKUP(LOWER(TRIM(Base_Bruta!N1395)),DePara_Pais!$A$2:$A$9,DePara_Pais!$B$2:$B$9,"REVISAR"))</f>
        <v>Brasil</v>
      </c>
      <c r="P1395" s="4" t="str">
        <f aca="false">IF($A1395="","",IF(O1395&lt;&gt;"Brasil","Turista Internacional",IF(M1395=F1395,"Local","Turista Nacional")))</f>
        <v>Local</v>
      </c>
      <c r="Q1395" s="7" t="n">
        <f aca="false">IF($A1395="","",DATE(YEAR(B1395),MONTH(B1395),1))</f>
        <v>46054</v>
      </c>
      <c r="R1395" s="4" t="str">
        <f aca="false">IF($A1395="","",IF(COUNTIF($A$2:$A1395,$A1395)&gt;1,"Sim","Não"))</f>
        <v>Não</v>
      </c>
      <c r="S1395" s="4" t="str">
        <f aca="false">IF(A1395="","Descartar - Linha vazia",IF(R1395="Sim","Descartar - Duplicado",IF(OR(H1395&lt;=0,I1395&lt;=0),"Descartar - Qtd/Valor inválido","OK")))</f>
        <v>OK</v>
      </c>
      <c r="T1395" s="4" t="str">
        <f aca="false">Base_Bruta!P1395</f>
        <v>vendas_RJ.xlsx</v>
      </c>
    </row>
    <row r="1396" customFormat="false" ht="15" hidden="false" customHeight="false" outlineLevel="0" collapsed="false">
      <c r="A1396" s="4" t="str">
        <f aca="false">IF(Base_Bruta!A1396="","",Base_Bruta!A1396)</f>
        <v>RJ-000499</v>
      </c>
      <c r="B1396" s="5" t="n">
        <f aca="false">IF($A1396="","",IF(ISNUMBER(Base_Bruta!B1396),Base_Bruta!B1396,IF(MID(Base_Bruta!B1396,5,1)="-",DATE(VALUE(LEFT(Base_Bruta!B1396,4)),VALUE(MID(Base_Bruta!B1396,6,2)),VALUE(RIGHT(Base_Bruta!B1396,2))),DATE(VALUE(RIGHT(Base_Bruta!B1396,4)),VALUE(MID(Base_Bruta!B1396,4,2)),VALUE(LEFT(Base_Bruta!B1396,2))))))</f>
        <v>46070</v>
      </c>
      <c r="C1396" s="5" t="n">
        <f aca="false">IF($A1396="","",IF(ISNUMBER(Base_Bruta!C1396),Base_Bruta!C1396,IF(MID(Base_Bruta!C1396,5,1)="-",DATE(VALUE(LEFT(Base_Bruta!C1396,4)),VALUE(MID(Base_Bruta!C1396,6,2)),VALUE(RIGHT(Base_Bruta!C1396,2))),DATE(VALUE(RIGHT(Base_Bruta!C1396,4)),VALUE(MID(Base_Bruta!C1396,4,2)),VALUE(LEFT(Base_Bruta!C1396,2))))))</f>
        <v>46151</v>
      </c>
      <c r="D1396" s="4" t="str">
        <f aca="false">IF($A1396="","",TRIM(Base_Bruta!D1396))</f>
        <v>Turnê Internacional Rock - Rio</v>
      </c>
      <c r="E1396" s="4" t="str">
        <f aca="false">IF($A1396="","",_xlfn.XLOOKUP(LOWER(TRIM(Base_Bruta!E1396)),DePara_Categoria!$A$2:$A$9,DePara_Categoria!$B$2:$B$9,"REVISAR"))</f>
        <v>Show</v>
      </c>
      <c r="F1396" s="4" t="str">
        <f aca="false">IF($A1396="","",_xlfn.XLOOKUP(LOWER(TRIM(Base_Bruta!F1396)),DePara_Cidade!$A$2:$A$29,DePara_Cidade!$B$2:$B$29,"REVISAR"))</f>
        <v>Rio de Janeiro</v>
      </c>
      <c r="G1396" s="4" t="str">
        <f aca="false">IF($A1396="","",TRIM(Base_Bruta!G1396))</f>
        <v>Inteira</v>
      </c>
      <c r="H1396" s="4" t="n">
        <f aca="false">IF($A1396="","",IF(ISNUMBER(Base_Bruta!H1396),Base_Bruta!H1396,IFERROR(_xlfn.NUMBERVALUE(TRIM(SUBSTITUTE(Base_Bruta!H1396,"R$","")),",","."),0)))</f>
        <v>3</v>
      </c>
      <c r="I1396" s="6" t="n">
        <f aca="false">IF($A1396="","",IF(ISNUMBER(Base_Bruta!I1396),Base_Bruta!I1396,IFERROR(_xlfn.NUMBERVALUE(TRIM(SUBSTITUTE(Base_Bruta!I1396,"R$","")),",","."),0)))</f>
        <v>525</v>
      </c>
      <c r="J1396" s="6" t="n">
        <f aca="false">IF($A1396="","",H1396*I1396)</f>
        <v>1575</v>
      </c>
      <c r="K1396" s="4" t="str">
        <f aca="false">IF($A1396="","",TRIM(Base_Bruta!J1396))</f>
        <v>App</v>
      </c>
      <c r="L1396" s="4" t="str">
        <f aca="false">IF($A1396="","",TRIM(Base_Bruta!K1396))</f>
        <v>C02300</v>
      </c>
      <c r="M1396" s="4" t="str">
        <f aca="false">IF($A1396="","",_xlfn.XLOOKUP(LOWER(TRIM(Base_Bruta!L1396)),DePara_Cidade!$A$2:$A$29,DePara_Cidade!$B$2:$B$29,"REVISAR"))</f>
        <v>Rio de Janeiro</v>
      </c>
      <c r="N1396" s="4" t="str">
        <f aca="false">IF($A1396="","",UPPER(TRIM(Base_Bruta!M1396)))</f>
        <v>RJ</v>
      </c>
      <c r="O1396" s="4" t="str">
        <f aca="false">IF($A1396="","",_xlfn.XLOOKUP(LOWER(TRIM(Base_Bruta!N1396)),DePara_Pais!$A$2:$A$9,DePara_Pais!$B$2:$B$9,"REVISAR"))</f>
        <v>Brasil</v>
      </c>
      <c r="P1396" s="4" t="str">
        <f aca="false">IF($A1396="","",IF(O1396&lt;&gt;"Brasil","Turista Internacional",IF(M1396=F1396,"Local","Turista Nacional")))</f>
        <v>Local</v>
      </c>
      <c r="Q1396" s="7" t="n">
        <f aca="false">IF($A1396="","",DATE(YEAR(B1396),MONTH(B1396),1))</f>
        <v>46054</v>
      </c>
      <c r="R1396" s="4" t="str">
        <f aca="false">IF($A1396="","",IF(COUNTIF($A$2:$A1396,$A1396)&gt;1,"Sim","Não"))</f>
        <v>Não</v>
      </c>
      <c r="S1396" s="4" t="str">
        <f aca="false">IF(A1396="","Descartar - Linha vazia",IF(R1396="Sim","Descartar - Duplicado",IF(OR(H1396&lt;=0,I1396&lt;=0),"Descartar - Qtd/Valor inválido","OK")))</f>
        <v>OK</v>
      </c>
      <c r="T1396" s="4" t="str">
        <f aca="false">Base_Bruta!P1396</f>
        <v>vendas_RJ.xlsx</v>
      </c>
    </row>
    <row r="1397" customFormat="false" ht="15" hidden="false" customHeight="false" outlineLevel="0" collapsed="false">
      <c r="A1397" s="4" t="str">
        <f aca="false">IF(Base_Bruta!A1397="","",Base_Bruta!A1397)</f>
        <v>RJ-000413</v>
      </c>
      <c r="B1397" s="5" t="n">
        <f aca="false">IF($A1397="","",IF(ISNUMBER(Base_Bruta!B1397),Base_Bruta!B1397,IF(MID(Base_Bruta!B1397,5,1)="-",DATE(VALUE(LEFT(Base_Bruta!B1397,4)),VALUE(MID(Base_Bruta!B1397,6,2)),VALUE(RIGHT(Base_Bruta!B1397,2))),DATE(VALUE(RIGHT(Base_Bruta!B1397,4)),VALUE(MID(Base_Bruta!B1397,4,2)),VALUE(LEFT(Base_Bruta!B1397,2))))))</f>
        <v>46072</v>
      </c>
      <c r="C1397" s="5" t="n">
        <f aca="false">IF($A1397="","",IF(ISNUMBER(Base_Bruta!C1397),Base_Bruta!C1397,IF(MID(Base_Bruta!C1397,5,1)="-",DATE(VALUE(LEFT(Base_Bruta!C1397,4)),VALUE(MID(Base_Bruta!C1397,6,2)),VALUE(RIGHT(Base_Bruta!C1397,2))),DATE(VALUE(RIGHT(Base_Bruta!C1397,4)),VALUE(MID(Base_Bruta!C1397,4,2)),VALUE(LEFT(Base_Bruta!C1397,2))))))</f>
        <v>46151</v>
      </c>
      <c r="D1397" s="4" t="str">
        <f aca="false">IF($A1397="","",TRIM(Base_Bruta!D1397))</f>
        <v>Turnê Internacional Rock - Rio</v>
      </c>
      <c r="E1397" s="4" t="str">
        <f aca="false">IF($A1397="","",_xlfn.XLOOKUP(LOWER(TRIM(Base_Bruta!E1397)),DePara_Categoria!$A$2:$A$9,DePara_Categoria!$B$2:$B$9,"REVISAR"))</f>
        <v>Show</v>
      </c>
      <c r="F1397" s="4" t="str">
        <f aca="false">IF($A1397="","",_xlfn.XLOOKUP(LOWER(TRIM(Base_Bruta!F1397)),DePara_Cidade!$A$2:$A$29,DePara_Cidade!$B$2:$B$29,"REVISAR"))</f>
        <v>Rio de Janeiro</v>
      </c>
      <c r="G1397" s="4" t="str">
        <f aca="false">IF($A1397="","",TRIM(Base_Bruta!G1397))</f>
        <v>Meia</v>
      </c>
      <c r="H1397" s="4" t="n">
        <f aca="false">IF($A1397="","",IF(ISNUMBER(Base_Bruta!H1397),Base_Bruta!H1397,IFERROR(_xlfn.NUMBERVALUE(TRIM(SUBSTITUTE(Base_Bruta!H1397,"R$","")),",","."),0)))</f>
        <v>2</v>
      </c>
      <c r="I1397" s="6" t="n">
        <f aca="false">IF($A1397="","",IF(ISNUMBER(Base_Bruta!I1397),Base_Bruta!I1397,IFERROR(_xlfn.NUMBERVALUE(TRIM(SUBSTITUTE(Base_Bruta!I1397,"R$","")),",","."),0)))</f>
        <v>175</v>
      </c>
      <c r="J1397" s="6" t="n">
        <f aca="false">IF($A1397="","",H1397*I1397)</f>
        <v>350</v>
      </c>
      <c r="K1397" s="4" t="str">
        <f aca="false">IF($A1397="","",TRIM(Base_Bruta!J1397))</f>
        <v>Parceiro</v>
      </c>
      <c r="L1397" s="4" t="str">
        <f aca="false">IF($A1397="","",TRIM(Base_Bruta!K1397))</f>
        <v>C00298</v>
      </c>
      <c r="M1397" s="4" t="str">
        <f aca="false">IF($A1397="","",_xlfn.XLOOKUP(LOWER(TRIM(Base_Bruta!L1397)),DePara_Cidade!$A$2:$A$29,DePara_Cidade!$B$2:$B$29,"REVISAR"))</f>
        <v>Rio de Janeiro</v>
      </c>
      <c r="N1397" s="4" t="str">
        <f aca="false">IF($A1397="","",UPPER(TRIM(Base_Bruta!M1397)))</f>
        <v>RJ</v>
      </c>
      <c r="O1397" s="4" t="str">
        <f aca="false">IF($A1397="","",_xlfn.XLOOKUP(LOWER(TRIM(Base_Bruta!N1397)),DePara_Pais!$A$2:$A$9,DePara_Pais!$B$2:$B$9,"REVISAR"))</f>
        <v>Brasil</v>
      </c>
      <c r="P1397" s="4" t="str">
        <f aca="false">IF($A1397="","",IF(O1397&lt;&gt;"Brasil","Turista Internacional",IF(M1397=F1397,"Local","Turista Nacional")))</f>
        <v>Local</v>
      </c>
      <c r="Q1397" s="7" t="n">
        <f aca="false">IF($A1397="","",DATE(YEAR(B1397),MONTH(B1397),1))</f>
        <v>46054</v>
      </c>
      <c r="R1397" s="4" t="str">
        <f aca="false">IF($A1397="","",IF(COUNTIF($A$2:$A1397,$A1397)&gt;1,"Sim","Não"))</f>
        <v>Não</v>
      </c>
      <c r="S1397" s="4" t="str">
        <f aca="false">IF(A1397="","Descartar - Linha vazia",IF(R1397="Sim","Descartar - Duplicado",IF(OR(H1397&lt;=0,I1397&lt;=0),"Descartar - Qtd/Valor inválido","OK")))</f>
        <v>OK</v>
      </c>
      <c r="T1397" s="4" t="str">
        <f aca="false">Base_Bruta!P1397</f>
        <v>vendas_RJ.xlsx</v>
      </c>
    </row>
    <row r="1398" customFormat="false" ht="15" hidden="false" customHeight="false" outlineLevel="0" collapsed="false">
      <c r="A1398" s="4" t="str">
        <f aca="false">IF(Base_Bruta!A1398="","",Base_Bruta!A1398)</f>
        <v>RJ-000490</v>
      </c>
      <c r="B1398" s="5" t="n">
        <f aca="false">IF($A1398="","",IF(ISNUMBER(Base_Bruta!B1398),Base_Bruta!B1398,IF(MID(Base_Bruta!B1398,5,1)="-",DATE(VALUE(LEFT(Base_Bruta!B1398,4)),VALUE(MID(Base_Bruta!B1398,6,2)),VALUE(RIGHT(Base_Bruta!B1398,2))),DATE(VALUE(RIGHT(Base_Bruta!B1398,4)),VALUE(MID(Base_Bruta!B1398,4,2)),VALUE(LEFT(Base_Bruta!B1398,2))))))</f>
        <v>46072</v>
      </c>
      <c r="C1398" s="5" t="n">
        <f aca="false">IF($A1398="","",IF(ISNUMBER(Base_Bruta!C1398),Base_Bruta!C1398,IF(MID(Base_Bruta!C1398,5,1)="-",DATE(VALUE(LEFT(Base_Bruta!C1398,4)),VALUE(MID(Base_Bruta!C1398,6,2)),VALUE(RIGHT(Base_Bruta!C1398,2))),DATE(VALUE(RIGHT(Base_Bruta!C1398,4)),VALUE(MID(Base_Bruta!C1398,4,2)),VALUE(LEFT(Base_Bruta!C1398,2))))))</f>
        <v>46151</v>
      </c>
      <c r="D1398" s="4" t="str">
        <f aca="false">IF($A1398="","",TRIM(Base_Bruta!D1398))</f>
        <v>Turnê Internacional Rock - Rio</v>
      </c>
      <c r="E1398" s="4" t="str">
        <f aca="false">IF($A1398="","",_xlfn.XLOOKUP(LOWER(TRIM(Base_Bruta!E1398)),DePara_Categoria!$A$2:$A$9,DePara_Categoria!$B$2:$B$9,"REVISAR"))</f>
        <v>Show</v>
      </c>
      <c r="F1398" s="4" t="str">
        <f aca="false">IF($A1398="","",_xlfn.XLOOKUP(LOWER(TRIM(Base_Bruta!F1398)),DePara_Cidade!$A$2:$A$29,DePara_Cidade!$B$2:$B$29,"REVISAR"))</f>
        <v>Rio de Janeiro</v>
      </c>
      <c r="G1398" s="4" t="str">
        <f aca="false">IF($A1398="","",TRIM(Base_Bruta!G1398))</f>
        <v>Meia</v>
      </c>
      <c r="H1398" s="4" t="n">
        <f aca="false">IF($A1398="","",IF(ISNUMBER(Base_Bruta!H1398),Base_Bruta!H1398,IFERROR(_xlfn.NUMBERVALUE(TRIM(SUBSTITUTE(Base_Bruta!H1398,"R$","")),",","."),0)))</f>
        <v>2</v>
      </c>
      <c r="I1398" s="6" t="n">
        <f aca="false">IF($A1398="","",IF(ISNUMBER(Base_Bruta!I1398),Base_Bruta!I1398,IFERROR(_xlfn.NUMBERVALUE(TRIM(SUBSTITUTE(Base_Bruta!I1398,"R$","")),",","."),0)))</f>
        <v>142.5</v>
      </c>
      <c r="J1398" s="6" t="n">
        <f aca="false">IF($A1398="","",H1398*I1398)</f>
        <v>285</v>
      </c>
      <c r="K1398" s="4" t="str">
        <f aca="false">IF($A1398="","",TRIM(Base_Bruta!J1398))</f>
        <v>Parceiro</v>
      </c>
      <c r="L1398" s="4" t="str">
        <f aca="false">IF($A1398="","",TRIM(Base_Bruta!K1398))</f>
        <v>C01918</v>
      </c>
      <c r="M1398" s="4" t="str">
        <f aca="false">IF($A1398="","",_xlfn.XLOOKUP(LOWER(TRIM(Base_Bruta!L1398)),DePara_Cidade!$A$2:$A$29,DePara_Cidade!$B$2:$B$29,"REVISAR"))</f>
        <v>Campinas</v>
      </c>
      <c r="N1398" s="4" t="str">
        <f aca="false">IF($A1398="","",UPPER(TRIM(Base_Bruta!M1398)))</f>
        <v>SP</v>
      </c>
      <c r="O1398" s="4" t="str">
        <f aca="false">IF($A1398="","",_xlfn.XLOOKUP(LOWER(TRIM(Base_Bruta!N1398)),DePara_Pais!$A$2:$A$9,DePara_Pais!$B$2:$B$9,"REVISAR"))</f>
        <v>Brasil</v>
      </c>
      <c r="P1398" s="4" t="str">
        <f aca="false">IF($A1398="","",IF(O1398&lt;&gt;"Brasil","Turista Internacional",IF(M1398=F1398,"Local","Turista Nacional")))</f>
        <v>Turista Nacional</v>
      </c>
      <c r="Q1398" s="7" t="n">
        <f aca="false">IF($A1398="","",DATE(YEAR(B1398),MONTH(B1398),1))</f>
        <v>46054</v>
      </c>
      <c r="R1398" s="4" t="str">
        <f aca="false">IF($A1398="","",IF(COUNTIF($A$2:$A1398,$A1398)&gt;1,"Sim","Não"))</f>
        <v>Não</v>
      </c>
      <c r="S1398" s="4" t="str">
        <f aca="false">IF(A1398="","Descartar - Linha vazia",IF(R1398="Sim","Descartar - Duplicado",IF(OR(H1398&lt;=0,I1398&lt;=0),"Descartar - Qtd/Valor inválido","OK")))</f>
        <v>OK</v>
      </c>
      <c r="T1398" s="4" t="str">
        <f aca="false">Base_Bruta!P1398</f>
        <v>vendas_RJ.xlsx</v>
      </c>
    </row>
    <row r="1399" customFormat="false" ht="15" hidden="false" customHeight="false" outlineLevel="0" collapsed="false">
      <c r="A1399" s="4" t="str">
        <f aca="false">IF(Base_Bruta!A1399="","",Base_Bruta!A1399)</f>
        <v>RJ-000383</v>
      </c>
      <c r="B1399" s="5" t="n">
        <f aca="false">IF($A1399="","",IF(ISNUMBER(Base_Bruta!B1399),Base_Bruta!B1399,IF(MID(Base_Bruta!B1399,5,1)="-",DATE(VALUE(LEFT(Base_Bruta!B1399,4)),VALUE(MID(Base_Bruta!B1399,6,2)),VALUE(RIGHT(Base_Bruta!B1399,2))),DATE(VALUE(RIGHT(Base_Bruta!B1399,4)),VALUE(MID(Base_Bruta!B1399,4,2)),VALUE(LEFT(Base_Bruta!B1399,2))))))</f>
        <v>46067</v>
      </c>
      <c r="C1399" s="5" t="n">
        <f aca="false">IF($A1399="","",IF(ISNUMBER(Base_Bruta!C1399),Base_Bruta!C1399,IF(MID(Base_Bruta!C1399,5,1)="-",DATE(VALUE(LEFT(Base_Bruta!C1399,4)),VALUE(MID(Base_Bruta!C1399,6,2)),VALUE(RIGHT(Base_Bruta!C1399,2))),DATE(VALUE(RIGHT(Base_Bruta!C1399,4)),VALUE(MID(Base_Bruta!C1399,4,2)),VALUE(LEFT(Base_Bruta!C1399,2))))))</f>
        <v>46151</v>
      </c>
      <c r="D1399" s="4" t="str">
        <f aca="false">IF($A1399="","",TRIM(Base_Bruta!D1399))</f>
        <v>Turnê Internacional Rock - Rio</v>
      </c>
      <c r="E1399" s="4" t="str">
        <f aca="false">IF($A1399="","",_xlfn.XLOOKUP(LOWER(TRIM(Base_Bruta!E1399)),DePara_Categoria!$A$2:$A$9,DePara_Categoria!$B$2:$B$9,"REVISAR"))</f>
        <v>Show</v>
      </c>
      <c r="F1399" s="4" t="str">
        <f aca="false">IF($A1399="","",_xlfn.XLOOKUP(LOWER(TRIM(Base_Bruta!F1399)),DePara_Cidade!$A$2:$A$29,DePara_Cidade!$B$2:$B$29,"REVISAR"))</f>
        <v>Rio de Janeiro</v>
      </c>
      <c r="G1399" s="4" t="str">
        <f aca="false">IF($A1399="","",TRIM(Base_Bruta!G1399))</f>
        <v>Inteira</v>
      </c>
      <c r="H1399" s="4" t="n">
        <f aca="false">IF($A1399="","",IF(ISNUMBER(Base_Bruta!H1399),Base_Bruta!H1399,IFERROR(_xlfn.NUMBERVALUE(TRIM(SUBSTITUTE(Base_Bruta!H1399,"R$","")),",","."),0)))</f>
        <v>1</v>
      </c>
      <c r="I1399" s="6" t="n">
        <f aca="false">IF($A1399="","",IF(ISNUMBER(Base_Bruta!I1399),Base_Bruta!I1399,IFERROR(_xlfn.NUMBERVALUE(TRIM(SUBSTITUTE(Base_Bruta!I1399,"R$","")),",","."),0)))</f>
        <v>235</v>
      </c>
      <c r="J1399" s="6" t="n">
        <f aca="false">IF($A1399="","",H1399*I1399)</f>
        <v>235</v>
      </c>
      <c r="K1399" s="4" t="str">
        <f aca="false">IF($A1399="","",TRIM(Base_Bruta!J1399))</f>
        <v>Site</v>
      </c>
      <c r="L1399" s="4" t="str">
        <f aca="false">IF($A1399="","",TRIM(Base_Bruta!K1399))</f>
        <v>C01043</v>
      </c>
      <c r="M1399" s="4" t="str">
        <f aca="false">IF($A1399="","",_xlfn.XLOOKUP(LOWER(TRIM(Base_Bruta!L1399)),DePara_Cidade!$A$2:$A$29,DePara_Cidade!$B$2:$B$29,"REVISAR"))</f>
        <v>Niterói</v>
      </c>
      <c r="N1399" s="4" t="str">
        <f aca="false">IF($A1399="","",UPPER(TRIM(Base_Bruta!M1399)))</f>
        <v>RJ</v>
      </c>
      <c r="O1399" s="4" t="str">
        <f aca="false">IF($A1399="","",_xlfn.XLOOKUP(LOWER(TRIM(Base_Bruta!N1399)),DePara_Pais!$A$2:$A$9,DePara_Pais!$B$2:$B$9,"REVISAR"))</f>
        <v>Brasil</v>
      </c>
      <c r="P1399" s="4" t="str">
        <f aca="false">IF($A1399="","",IF(O1399&lt;&gt;"Brasil","Turista Internacional",IF(M1399=F1399,"Local","Turista Nacional")))</f>
        <v>Turista Nacional</v>
      </c>
      <c r="Q1399" s="7" t="n">
        <f aca="false">IF($A1399="","",DATE(YEAR(B1399),MONTH(B1399),1))</f>
        <v>46054</v>
      </c>
      <c r="R1399" s="4" t="str">
        <f aca="false">IF($A1399="","",IF(COUNTIF($A$2:$A1399,$A1399)&gt;1,"Sim","Não"))</f>
        <v>Sim</v>
      </c>
      <c r="S1399" s="4" t="str">
        <f aca="false">IF(A1399="","Descartar - Linha vazia",IF(R1399="Sim","Descartar - Duplicado",IF(OR(H1399&lt;=0,I1399&lt;=0),"Descartar - Qtd/Valor inválido","OK")))</f>
        <v>Descartar - Duplicado</v>
      </c>
      <c r="T1399" s="4" t="str">
        <f aca="false">Base_Bruta!P1399</f>
        <v>vendas_RJ.xlsx</v>
      </c>
    </row>
    <row r="1400" customFormat="false" ht="15" hidden="false" customHeight="false" outlineLevel="0" collapsed="false">
      <c r="A1400" s="4" t="str">
        <f aca="false">IF(Base_Bruta!A1400="","",Base_Bruta!A1400)</f>
        <v>RJ-000679</v>
      </c>
      <c r="B1400" s="5" t="n">
        <f aca="false">IF($A1400="","",IF(ISNUMBER(Base_Bruta!B1400),Base_Bruta!B1400,IF(MID(Base_Bruta!B1400,5,1)="-",DATE(VALUE(LEFT(Base_Bruta!B1400,4)),VALUE(MID(Base_Bruta!B1400,6,2)),VALUE(RIGHT(Base_Bruta!B1400,2))),DATE(VALUE(RIGHT(Base_Bruta!B1400,4)),VALUE(MID(Base_Bruta!B1400,4,2)),VALUE(LEFT(Base_Bruta!B1400,2))))))</f>
        <v>46072</v>
      </c>
      <c r="C1400" s="5" t="n">
        <f aca="false">IF($A1400="","",IF(ISNUMBER(Base_Bruta!C1400),Base_Bruta!C1400,IF(MID(Base_Bruta!C1400,5,1)="-",DATE(VALUE(LEFT(Base_Bruta!C1400,4)),VALUE(MID(Base_Bruta!C1400,6,2)),VALUE(RIGHT(Base_Bruta!C1400,2))),DATE(VALUE(RIGHT(Base_Bruta!C1400,4)),VALUE(MID(Base_Bruta!C1400,4,2)),VALUE(LEFT(Base_Bruta!C1400,2))))))</f>
        <v>46074</v>
      </c>
      <c r="D1400" s="4" t="str">
        <f aca="false">IF($A1400="","",TRIM(Base_Bruta!D1400))</f>
        <v>Cinema Barra - Sessões</v>
      </c>
      <c r="E1400" s="4" t="str">
        <f aca="false">IF($A1400="","",_xlfn.XLOOKUP(LOWER(TRIM(Base_Bruta!E1400)),DePara_Categoria!$A$2:$A$9,DePara_Categoria!$B$2:$B$9,"REVISAR"))</f>
        <v>Cinema</v>
      </c>
      <c r="F1400" s="4" t="str">
        <f aca="false">IF($A1400="","",_xlfn.XLOOKUP(LOWER(TRIM(Base_Bruta!F1400)),DePara_Cidade!$A$2:$A$29,DePara_Cidade!$B$2:$B$29,"REVISAR"))</f>
        <v>Rio de Janeiro</v>
      </c>
      <c r="G1400" s="4" t="str">
        <f aca="false">IF($A1400="","",TRIM(Base_Bruta!G1400))</f>
        <v>Meia</v>
      </c>
      <c r="H1400" s="4" t="n">
        <f aca="false">IF($A1400="","",IF(ISNUMBER(Base_Bruta!H1400),Base_Bruta!H1400,IFERROR(_xlfn.NUMBERVALUE(TRIM(SUBSTITUTE(Base_Bruta!H1400,"R$","")),",","."),0)))</f>
        <v>1</v>
      </c>
      <c r="I1400" s="6" t="n">
        <f aca="false">IF($A1400="","",IF(ISNUMBER(Base_Bruta!I1400),Base_Bruta!I1400,IFERROR(_xlfn.NUMBERVALUE(TRIM(SUBSTITUTE(Base_Bruta!I1400,"R$","")),",","."),0)))</f>
        <v>15</v>
      </c>
      <c r="J1400" s="6" t="n">
        <f aca="false">IF($A1400="","",H1400*I1400)</f>
        <v>15</v>
      </c>
      <c r="K1400" s="4" t="str">
        <f aca="false">IF($A1400="","",TRIM(Base_Bruta!J1400))</f>
        <v>Parceiro</v>
      </c>
      <c r="L1400" s="4" t="str">
        <f aca="false">IF($A1400="","",TRIM(Base_Bruta!K1400))</f>
        <v>C02135</v>
      </c>
      <c r="M1400" s="4" t="str">
        <f aca="false">IF($A1400="","",_xlfn.XLOOKUP(LOWER(TRIM(Base_Bruta!L1400)),DePara_Cidade!$A$2:$A$29,DePara_Cidade!$B$2:$B$29,"REVISAR"))</f>
        <v>Rio de Janeiro</v>
      </c>
      <c r="N1400" s="4" t="str">
        <f aca="false">IF($A1400="","",UPPER(TRIM(Base_Bruta!M1400)))</f>
        <v>RJ</v>
      </c>
      <c r="O1400" s="4" t="str">
        <f aca="false">IF($A1400="","",_xlfn.XLOOKUP(LOWER(TRIM(Base_Bruta!N1400)),DePara_Pais!$A$2:$A$9,DePara_Pais!$B$2:$B$9,"REVISAR"))</f>
        <v>Brasil</v>
      </c>
      <c r="P1400" s="4" t="str">
        <f aca="false">IF($A1400="","",IF(O1400&lt;&gt;"Brasil","Turista Internacional",IF(M1400=F1400,"Local","Turista Nacional")))</f>
        <v>Local</v>
      </c>
      <c r="Q1400" s="7" t="n">
        <f aca="false">IF($A1400="","",DATE(YEAR(B1400),MONTH(B1400),1))</f>
        <v>46054</v>
      </c>
      <c r="R1400" s="4" t="str">
        <f aca="false">IF($A1400="","",IF(COUNTIF($A$2:$A1400,$A1400)&gt;1,"Sim","Não"))</f>
        <v>Não</v>
      </c>
      <c r="S1400" s="4" t="str">
        <f aca="false">IF(A1400="","Descartar - Linha vazia",IF(R1400="Sim","Descartar - Duplicado",IF(OR(H1400&lt;=0,I1400&lt;=0),"Descartar - Qtd/Valor inválido","OK")))</f>
        <v>OK</v>
      </c>
      <c r="T1400" s="4" t="str">
        <f aca="false">Base_Bruta!P1400</f>
        <v>vendas_RJ.xlsx</v>
      </c>
    </row>
    <row r="1401" customFormat="false" ht="15" hidden="false" customHeight="false" outlineLevel="0" collapsed="false">
      <c r="A1401" s="4" t="str">
        <f aca="false">IF(Base_Bruta!A1401="","",Base_Bruta!A1401)</f>
        <v>RJ-000545</v>
      </c>
      <c r="B1401" s="5" t="n">
        <f aca="false">IF($A1401="","",IF(ISNUMBER(Base_Bruta!B1401),Base_Bruta!B1401,IF(MID(Base_Bruta!B1401,5,1)="-",DATE(VALUE(LEFT(Base_Bruta!B1401,4)),VALUE(MID(Base_Bruta!B1401,6,2)),VALUE(RIGHT(Base_Bruta!B1401,2))),DATE(VALUE(RIGHT(Base_Bruta!B1401,4)),VALUE(MID(Base_Bruta!B1401,4,2)),VALUE(LEFT(Base_Bruta!B1401,2))))))</f>
        <v>46073</v>
      </c>
      <c r="C1401" s="5" t="n">
        <f aca="false">IF($A1401="","",IF(ISNUMBER(Base_Bruta!C1401),Base_Bruta!C1401,IF(MID(Base_Bruta!C1401,5,1)="-",DATE(VALUE(LEFT(Base_Bruta!C1401,4)),VALUE(MID(Base_Bruta!C1401,6,2)),VALUE(RIGHT(Base_Bruta!C1401,2))),DATE(VALUE(RIGHT(Base_Bruta!C1401,4)),VALUE(MID(Base_Bruta!C1401,4,2)),VALUE(LEFT(Base_Bruta!C1401,2))))))</f>
        <v>46073</v>
      </c>
      <c r="D1401" s="4" t="str">
        <f aca="false">IF($A1401="","",TRIM(Base_Bruta!D1401))</f>
        <v>Cinema Barra - Sessões</v>
      </c>
      <c r="E1401" s="4" t="str">
        <f aca="false">IF($A1401="","",_xlfn.XLOOKUP(LOWER(TRIM(Base_Bruta!E1401)),DePara_Categoria!$A$2:$A$9,DePara_Categoria!$B$2:$B$9,"REVISAR"))</f>
        <v>Cinema</v>
      </c>
      <c r="F1401" s="4" t="str">
        <f aca="false">IF($A1401="","",_xlfn.XLOOKUP(LOWER(TRIM(Base_Bruta!F1401)),DePara_Cidade!$A$2:$A$29,DePara_Cidade!$B$2:$B$29,"REVISAR"))</f>
        <v>Rio de Janeiro</v>
      </c>
      <c r="G1401" s="4" t="str">
        <f aca="false">IF($A1401="","",TRIM(Base_Bruta!G1401))</f>
        <v>Meia</v>
      </c>
      <c r="H1401" s="4" t="n">
        <f aca="false">IF($A1401="","",IF(ISNUMBER(Base_Bruta!H1401),Base_Bruta!H1401,IFERROR(_xlfn.NUMBERVALUE(TRIM(SUBSTITUTE(Base_Bruta!H1401,"R$","")),",","."),0)))</f>
        <v>3</v>
      </c>
      <c r="I1401" s="6" t="n">
        <f aca="false">IF($A1401="","",IF(ISNUMBER(Base_Bruta!I1401),Base_Bruta!I1401,IFERROR(_xlfn.NUMBERVALUE(TRIM(SUBSTITUTE(Base_Bruta!I1401,"R$","")),",","."),0)))</f>
        <v>22.5</v>
      </c>
      <c r="J1401" s="6" t="n">
        <f aca="false">IF($A1401="","",H1401*I1401)</f>
        <v>67.5</v>
      </c>
      <c r="K1401" s="4" t="str">
        <f aca="false">IF($A1401="","",TRIM(Base_Bruta!J1401))</f>
        <v>App</v>
      </c>
      <c r="L1401" s="4" t="str">
        <f aca="false">IF($A1401="","",TRIM(Base_Bruta!K1401))</f>
        <v>C00161</v>
      </c>
      <c r="M1401" s="4" t="str">
        <f aca="false">IF($A1401="","",_xlfn.XLOOKUP(LOWER(TRIM(Base_Bruta!L1401)),DePara_Cidade!$A$2:$A$29,DePara_Cidade!$B$2:$B$29,"REVISAR"))</f>
        <v>Rio de Janeiro</v>
      </c>
      <c r="N1401" s="4" t="str">
        <f aca="false">IF($A1401="","",UPPER(TRIM(Base_Bruta!M1401)))</f>
        <v>RJ</v>
      </c>
      <c r="O1401" s="4" t="str">
        <f aca="false">IF($A1401="","",_xlfn.XLOOKUP(LOWER(TRIM(Base_Bruta!N1401)),DePara_Pais!$A$2:$A$9,DePara_Pais!$B$2:$B$9,"REVISAR"))</f>
        <v>Brasil</v>
      </c>
      <c r="P1401" s="4" t="str">
        <f aca="false">IF($A1401="","",IF(O1401&lt;&gt;"Brasil","Turista Internacional",IF(M1401=F1401,"Local","Turista Nacional")))</f>
        <v>Local</v>
      </c>
      <c r="Q1401" s="7" t="n">
        <f aca="false">IF($A1401="","",DATE(YEAR(B1401),MONTH(B1401),1))</f>
        <v>46054</v>
      </c>
      <c r="R1401" s="4" t="str">
        <f aca="false">IF($A1401="","",IF(COUNTIF($A$2:$A1401,$A1401)&gt;1,"Sim","Não"))</f>
        <v>Não</v>
      </c>
      <c r="S1401" s="4" t="str">
        <f aca="false">IF(A1401="","Descartar - Linha vazia",IF(R1401="Sim","Descartar - Duplicado",IF(OR(H1401&lt;=0,I1401&lt;=0),"Descartar - Qtd/Valor inválido","OK")))</f>
        <v>OK</v>
      </c>
      <c r="T1401" s="4" t="str">
        <f aca="false">Base_Bruta!P1401</f>
        <v>vendas_RJ.xlsx</v>
      </c>
    </row>
    <row r="1402" customFormat="false" ht="15" hidden="false" customHeight="false" outlineLevel="0" collapsed="false">
      <c r="A1402" s="4" t="str">
        <f aca="false">IF(Base_Bruta!A1402="","",Base_Bruta!A1402)</f>
        <v>RJ-000508</v>
      </c>
      <c r="B1402" s="5" t="n">
        <f aca="false">IF($A1402="","",IF(ISNUMBER(Base_Bruta!B1402),Base_Bruta!B1402,IF(MID(Base_Bruta!B1402,5,1)="-",DATE(VALUE(LEFT(Base_Bruta!B1402,4)),VALUE(MID(Base_Bruta!B1402,6,2)),VALUE(RIGHT(Base_Bruta!B1402,2))),DATE(VALUE(RIGHT(Base_Bruta!B1402,4)),VALUE(MID(Base_Bruta!B1402,4,2)),VALUE(LEFT(Base_Bruta!B1402,2))))))</f>
        <v>46074</v>
      </c>
      <c r="C1402" s="5" t="n">
        <f aca="false">IF($A1402="","",IF(ISNUMBER(Base_Bruta!C1402),Base_Bruta!C1402,IF(MID(Base_Bruta!C1402,5,1)="-",DATE(VALUE(LEFT(Base_Bruta!C1402,4)),VALUE(MID(Base_Bruta!C1402,6,2)),VALUE(RIGHT(Base_Bruta!C1402,2))),DATE(VALUE(RIGHT(Base_Bruta!C1402,4)),VALUE(MID(Base_Bruta!C1402,4,2)),VALUE(LEFT(Base_Bruta!C1402,2))))))</f>
        <v>46151</v>
      </c>
      <c r="D1402" s="4" t="str">
        <f aca="false">IF($A1402="","",TRIM(Base_Bruta!D1402))</f>
        <v>Turnê Internacional Rock - Rio</v>
      </c>
      <c r="E1402" s="4" t="str">
        <f aca="false">IF($A1402="","",_xlfn.XLOOKUP(LOWER(TRIM(Base_Bruta!E1402)),DePara_Categoria!$A$2:$A$9,DePara_Categoria!$B$2:$B$9,"REVISAR"))</f>
        <v>Show</v>
      </c>
      <c r="F1402" s="4" t="str">
        <f aca="false">IF($A1402="","",_xlfn.XLOOKUP(LOWER(TRIM(Base_Bruta!F1402)),DePara_Cidade!$A$2:$A$29,DePara_Cidade!$B$2:$B$29,"REVISAR"))</f>
        <v>Rio de Janeiro</v>
      </c>
      <c r="G1402" s="4" t="str">
        <f aca="false">IF($A1402="","",TRIM(Base_Bruta!G1402))</f>
        <v>Meia</v>
      </c>
      <c r="H1402" s="4" t="n">
        <f aca="false">IF($A1402="","",IF(ISNUMBER(Base_Bruta!H1402),Base_Bruta!H1402,IFERROR(_xlfn.NUMBERVALUE(TRIM(SUBSTITUTE(Base_Bruta!H1402,"R$","")),",","."),0)))</f>
        <v>1</v>
      </c>
      <c r="I1402" s="6" t="n">
        <f aca="false">IF($A1402="","",IF(ISNUMBER(Base_Bruta!I1402),Base_Bruta!I1402,IFERROR(_xlfn.NUMBERVALUE(TRIM(SUBSTITUTE(Base_Bruta!I1402,"R$","")),",","."),0)))</f>
        <v>185</v>
      </c>
      <c r="J1402" s="6" t="n">
        <f aca="false">IF($A1402="","",H1402*I1402)</f>
        <v>185</v>
      </c>
      <c r="K1402" s="4" t="str">
        <f aca="false">IF($A1402="","",TRIM(Base_Bruta!J1402))</f>
        <v>App</v>
      </c>
      <c r="L1402" s="4" t="str">
        <f aca="false">IF($A1402="","",TRIM(Base_Bruta!K1402))</f>
        <v>C01477</v>
      </c>
      <c r="M1402" s="4" t="str">
        <f aca="false">IF($A1402="","",_xlfn.XLOOKUP(LOWER(TRIM(Base_Bruta!L1402)),DePara_Cidade!$A$2:$A$29,DePara_Cidade!$B$2:$B$29,"REVISAR"))</f>
        <v>Rio de Janeiro</v>
      </c>
      <c r="N1402" s="4" t="str">
        <f aca="false">IF($A1402="","",UPPER(TRIM(Base_Bruta!M1402)))</f>
        <v>RJ</v>
      </c>
      <c r="O1402" s="4" t="str">
        <f aca="false">IF($A1402="","",_xlfn.XLOOKUP(LOWER(TRIM(Base_Bruta!N1402)),DePara_Pais!$A$2:$A$9,DePara_Pais!$B$2:$B$9,"REVISAR"))</f>
        <v>Brasil</v>
      </c>
      <c r="P1402" s="4" t="str">
        <f aca="false">IF($A1402="","",IF(O1402&lt;&gt;"Brasil","Turista Internacional",IF(M1402=F1402,"Local","Turista Nacional")))</f>
        <v>Local</v>
      </c>
      <c r="Q1402" s="7" t="n">
        <f aca="false">IF($A1402="","",DATE(YEAR(B1402),MONTH(B1402),1))</f>
        <v>46054</v>
      </c>
      <c r="R1402" s="4" t="str">
        <f aca="false">IF($A1402="","",IF(COUNTIF($A$2:$A1402,$A1402)&gt;1,"Sim","Não"))</f>
        <v>Não</v>
      </c>
      <c r="S1402" s="4" t="str">
        <f aca="false">IF(A1402="","Descartar - Linha vazia",IF(R1402="Sim","Descartar - Duplicado",IF(OR(H1402&lt;=0,I1402&lt;=0),"Descartar - Qtd/Valor inválido","OK")))</f>
        <v>OK</v>
      </c>
      <c r="T1402" s="4" t="str">
        <f aca="false">Base_Bruta!P1402</f>
        <v>vendas_RJ.xlsx</v>
      </c>
    </row>
    <row r="1403" customFormat="false" ht="15" hidden="false" customHeight="false" outlineLevel="0" collapsed="false">
      <c r="A1403" s="4" t="str">
        <f aca="false">IF(Base_Bruta!A1403="","",Base_Bruta!A1403)</f>
        <v>RJ-000412</v>
      </c>
      <c r="B1403" s="5" t="n">
        <f aca="false">IF($A1403="","",IF(ISNUMBER(Base_Bruta!B1403),Base_Bruta!B1403,IF(MID(Base_Bruta!B1403,5,1)="-",DATE(VALUE(LEFT(Base_Bruta!B1403,4)),VALUE(MID(Base_Bruta!B1403,6,2)),VALUE(RIGHT(Base_Bruta!B1403,2))),DATE(VALUE(RIGHT(Base_Bruta!B1403,4)),VALUE(MID(Base_Bruta!B1403,4,2)),VALUE(LEFT(Base_Bruta!B1403,2))))))</f>
        <v>46077</v>
      </c>
      <c r="C1403" s="5" t="n">
        <f aca="false">IF($A1403="","",IF(ISNUMBER(Base_Bruta!C1403),Base_Bruta!C1403,IF(MID(Base_Bruta!C1403,5,1)="-",DATE(VALUE(LEFT(Base_Bruta!C1403,4)),VALUE(MID(Base_Bruta!C1403,6,2)),VALUE(RIGHT(Base_Bruta!C1403,2))),DATE(VALUE(RIGHT(Base_Bruta!C1403,4)),VALUE(MID(Base_Bruta!C1403,4,2)),VALUE(LEFT(Base_Bruta!C1403,2))))))</f>
        <v>46151</v>
      </c>
      <c r="D1403" s="4" t="str">
        <f aca="false">IF($A1403="","",TRIM(Base_Bruta!D1403))</f>
        <v>Turnê Internacional Rock - Rio</v>
      </c>
      <c r="E1403" s="4" t="str">
        <f aca="false">IF($A1403="","",_xlfn.XLOOKUP(LOWER(TRIM(Base_Bruta!E1403)),DePara_Categoria!$A$2:$A$9,DePara_Categoria!$B$2:$B$9,"REVISAR"))</f>
        <v>Show</v>
      </c>
      <c r="F1403" s="4" t="str">
        <f aca="false">IF($A1403="","",_xlfn.XLOOKUP(LOWER(TRIM(Base_Bruta!F1403)),DePara_Cidade!$A$2:$A$29,DePara_Cidade!$B$2:$B$29,"REVISAR"))</f>
        <v>Rio de Janeiro</v>
      </c>
      <c r="G1403" s="4" t="str">
        <f aca="false">IF($A1403="","",TRIM(Base_Bruta!G1403))</f>
        <v>Meia</v>
      </c>
      <c r="H1403" s="4" t="n">
        <f aca="false">IF($A1403="","",IF(ISNUMBER(Base_Bruta!H1403),Base_Bruta!H1403,IFERROR(_xlfn.NUMBERVALUE(TRIM(SUBSTITUTE(Base_Bruta!H1403,"R$","")),",","."),0)))</f>
        <v>1</v>
      </c>
      <c r="I1403" s="6" t="n">
        <f aca="false">IF($A1403="","",IF(ISNUMBER(Base_Bruta!I1403),Base_Bruta!I1403,IFERROR(_xlfn.NUMBERVALUE(TRIM(SUBSTITUTE(Base_Bruta!I1403,"R$","")),",","."),0)))</f>
        <v>340</v>
      </c>
      <c r="J1403" s="6" t="n">
        <f aca="false">IF($A1403="","",H1403*I1403)</f>
        <v>340</v>
      </c>
      <c r="K1403" s="4" t="str">
        <f aca="false">IF($A1403="","",TRIM(Base_Bruta!J1403))</f>
        <v>App</v>
      </c>
      <c r="L1403" s="4" t="str">
        <f aca="false">IF($A1403="","",TRIM(Base_Bruta!K1403))</f>
        <v>C00127</v>
      </c>
      <c r="M1403" s="4" t="str">
        <f aca="false">IF($A1403="","",_xlfn.XLOOKUP(LOWER(TRIM(Base_Bruta!L1403)),DePara_Cidade!$A$2:$A$29,DePara_Cidade!$B$2:$B$29,"REVISAR"))</f>
        <v>Rio de Janeiro</v>
      </c>
      <c r="N1403" s="4" t="str">
        <f aca="false">IF($A1403="","",UPPER(TRIM(Base_Bruta!M1403)))</f>
        <v>RJ</v>
      </c>
      <c r="O1403" s="4" t="str">
        <f aca="false">IF($A1403="","",_xlfn.XLOOKUP(LOWER(TRIM(Base_Bruta!N1403)),DePara_Pais!$A$2:$A$9,DePara_Pais!$B$2:$B$9,"REVISAR"))</f>
        <v>Brasil</v>
      </c>
      <c r="P1403" s="4" t="str">
        <f aca="false">IF($A1403="","",IF(O1403&lt;&gt;"Brasil","Turista Internacional",IF(M1403=F1403,"Local","Turista Nacional")))</f>
        <v>Local</v>
      </c>
      <c r="Q1403" s="7" t="n">
        <f aca="false">IF($A1403="","",DATE(YEAR(B1403),MONTH(B1403),1))</f>
        <v>46054</v>
      </c>
      <c r="R1403" s="4" t="str">
        <f aca="false">IF($A1403="","",IF(COUNTIF($A$2:$A1403,$A1403)&gt;1,"Sim","Não"))</f>
        <v>Não</v>
      </c>
      <c r="S1403" s="4" t="str">
        <f aca="false">IF(A1403="","Descartar - Linha vazia",IF(R1403="Sim","Descartar - Duplicado",IF(OR(H1403&lt;=0,I1403&lt;=0),"Descartar - Qtd/Valor inválido","OK")))</f>
        <v>OK</v>
      </c>
      <c r="T1403" s="4" t="str">
        <f aca="false">Base_Bruta!P1403</f>
        <v>vendas_RJ.xlsx</v>
      </c>
    </row>
    <row r="1404" customFormat="false" ht="15" hidden="false" customHeight="false" outlineLevel="0" collapsed="false">
      <c r="A1404" s="4" t="str">
        <f aca="false">IF(Base_Bruta!A1404="","",Base_Bruta!A1404)</f>
        <v>RJ-000495</v>
      </c>
      <c r="B1404" s="5" t="n">
        <f aca="false">IF($A1404="","",IF(ISNUMBER(Base_Bruta!B1404),Base_Bruta!B1404,IF(MID(Base_Bruta!B1404,5,1)="-",DATE(VALUE(LEFT(Base_Bruta!B1404,4)),VALUE(MID(Base_Bruta!B1404,6,2)),VALUE(RIGHT(Base_Bruta!B1404,2))),DATE(VALUE(RIGHT(Base_Bruta!B1404,4)),VALUE(MID(Base_Bruta!B1404,4,2)),VALUE(LEFT(Base_Bruta!B1404,2))))))</f>
        <v>46077</v>
      </c>
      <c r="C1404" s="5" t="n">
        <f aca="false">IF($A1404="","",IF(ISNUMBER(Base_Bruta!C1404),Base_Bruta!C1404,IF(MID(Base_Bruta!C1404,5,1)="-",DATE(VALUE(LEFT(Base_Bruta!C1404,4)),VALUE(MID(Base_Bruta!C1404,6,2)),VALUE(RIGHT(Base_Bruta!C1404,2))),DATE(VALUE(RIGHT(Base_Bruta!C1404,4)),VALUE(MID(Base_Bruta!C1404,4,2)),VALUE(LEFT(Base_Bruta!C1404,2))))))</f>
        <v>46151</v>
      </c>
      <c r="D1404" s="4" t="str">
        <f aca="false">IF($A1404="","",TRIM(Base_Bruta!D1404))</f>
        <v>Turnê Internacional Rock - Rio</v>
      </c>
      <c r="E1404" s="4" t="str">
        <f aca="false">IF($A1404="","",_xlfn.XLOOKUP(LOWER(TRIM(Base_Bruta!E1404)),DePara_Categoria!$A$2:$A$9,DePara_Categoria!$B$2:$B$9,"REVISAR"))</f>
        <v>Show</v>
      </c>
      <c r="F1404" s="4" t="str">
        <f aca="false">IF($A1404="","",_xlfn.XLOOKUP(LOWER(TRIM(Base_Bruta!F1404)),DePara_Cidade!$A$2:$A$29,DePara_Cidade!$B$2:$B$29,"REVISAR"))</f>
        <v>Rio de Janeiro</v>
      </c>
      <c r="G1404" s="4" t="str">
        <f aca="false">IF($A1404="","",TRIM(Base_Bruta!G1404))</f>
        <v>Inteira</v>
      </c>
      <c r="H1404" s="4" t="n">
        <f aca="false">IF($A1404="","",IF(ISNUMBER(Base_Bruta!H1404),Base_Bruta!H1404,IFERROR(_xlfn.NUMBERVALUE(TRIM(SUBSTITUTE(Base_Bruta!H1404,"R$","")),",","."),0)))</f>
        <v>2</v>
      </c>
      <c r="I1404" s="6" t="n">
        <f aca="false">IF($A1404="","",IF(ISNUMBER(Base_Bruta!I1404),Base_Bruta!I1404,IFERROR(_xlfn.NUMBERVALUE(TRIM(SUBSTITUTE(Base_Bruta!I1404,"R$","")),",","."),0)))</f>
        <v>410</v>
      </c>
      <c r="J1404" s="6" t="n">
        <f aca="false">IF($A1404="","",H1404*I1404)</f>
        <v>820</v>
      </c>
      <c r="K1404" s="4" t="str">
        <f aca="false">IF($A1404="","",TRIM(Base_Bruta!J1404))</f>
        <v>Site</v>
      </c>
      <c r="L1404" s="4" t="str">
        <f aca="false">IF($A1404="","",TRIM(Base_Bruta!K1404))</f>
        <v>C00139</v>
      </c>
      <c r="M1404" s="4" t="str">
        <f aca="false">IF($A1404="","",_xlfn.XLOOKUP(LOWER(TRIM(Base_Bruta!L1404)),DePara_Cidade!$A$2:$A$29,DePara_Cidade!$B$2:$B$29,"REVISAR"))</f>
        <v>Salvador</v>
      </c>
      <c r="N1404" s="4" t="str">
        <f aca="false">IF($A1404="","",UPPER(TRIM(Base_Bruta!M1404)))</f>
        <v>BA</v>
      </c>
      <c r="O1404" s="4" t="str">
        <f aca="false">IF($A1404="","",_xlfn.XLOOKUP(LOWER(TRIM(Base_Bruta!N1404)),DePara_Pais!$A$2:$A$9,DePara_Pais!$B$2:$B$9,"REVISAR"))</f>
        <v>Brasil</v>
      </c>
      <c r="P1404" s="4" t="str">
        <f aca="false">IF($A1404="","",IF(O1404&lt;&gt;"Brasil","Turista Internacional",IF(M1404=F1404,"Local","Turista Nacional")))</f>
        <v>Turista Nacional</v>
      </c>
      <c r="Q1404" s="7" t="n">
        <f aca="false">IF($A1404="","",DATE(YEAR(B1404),MONTH(B1404),1))</f>
        <v>46054</v>
      </c>
      <c r="R1404" s="4" t="str">
        <f aca="false">IF($A1404="","",IF(COUNTIF($A$2:$A1404,$A1404)&gt;1,"Sim","Não"))</f>
        <v>Não</v>
      </c>
      <c r="S1404" s="4" t="str">
        <f aca="false">IF(A1404="","Descartar - Linha vazia",IF(R1404="Sim","Descartar - Duplicado",IF(OR(H1404&lt;=0,I1404&lt;=0),"Descartar - Qtd/Valor inválido","OK")))</f>
        <v>OK</v>
      </c>
      <c r="T1404" s="4" t="str">
        <f aca="false">Base_Bruta!P1404</f>
        <v>vendas_RJ.xlsx</v>
      </c>
    </row>
    <row r="1405" customFormat="false" ht="15" hidden="false" customHeight="false" outlineLevel="0" collapsed="false">
      <c r="A1405" s="4" t="str">
        <f aca="false">IF(Base_Bruta!A1405="","",Base_Bruta!A1405)</f>
        <v>RJ-000518</v>
      </c>
      <c r="B1405" s="5" t="n">
        <f aca="false">IF($A1405="","",IF(ISNUMBER(Base_Bruta!B1405),Base_Bruta!B1405,IF(MID(Base_Bruta!B1405,5,1)="-",DATE(VALUE(LEFT(Base_Bruta!B1405,4)),VALUE(MID(Base_Bruta!B1405,6,2)),VALUE(RIGHT(Base_Bruta!B1405,2))),DATE(VALUE(RIGHT(Base_Bruta!B1405,4)),VALUE(MID(Base_Bruta!B1405,4,2)),VALUE(LEFT(Base_Bruta!B1405,2))))))</f>
        <v>46081</v>
      </c>
      <c r="C1405" s="5" t="n">
        <f aca="false">IF($A1405="","",IF(ISNUMBER(Base_Bruta!C1405),Base_Bruta!C1405,IF(MID(Base_Bruta!C1405,5,1)="-",DATE(VALUE(LEFT(Base_Bruta!C1405,4)),VALUE(MID(Base_Bruta!C1405,6,2)),VALUE(RIGHT(Base_Bruta!C1405,2))),DATE(VALUE(RIGHT(Base_Bruta!C1405,4)),VALUE(MID(Base_Bruta!C1405,4,2)),VALUE(LEFT(Base_Bruta!C1405,2))))))</f>
        <v>46151</v>
      </c>
      <c r="D1405" s="4" t="str">
        <f aca="false">IF($A1405="","",TRIM(Base_Bruta!D1405))</f>
        <v>Turnê Internacional Rock - Rio</v>
      </c>
      <c r="E1405" s="4" t="str">
        <f aca="false">IF($A1405="","",_xlfn.XLOOKUP(LOWER(TRIM(Base_Bruta!E1405)),DePara_Categoria!$A$2:$A$9,DePara_Categoria!$B$2:$B$9,"REVISAR"))</f>
        <v>Show</v>
      </c>
      <c r="F1405" s="4" t="str">
        <f aca="false">IF($A1405="","",_xlfn.XLOOKUP(LOWER(TRIM(Base_Bruta!F1405)),DePara_Cidade!$A$2:$A$29,DePara_Cidade!$B$2:$B$29,"REVISAR"))</f>
        <v>Rio de Janeiro</v>
      </c>
      <c r="G1405" s="4" t="str">
        <f aca="false">IF($A1405="","",TRIM(Base_Bruta!G1405))</f>
        <v>Inteira</v>
      </c>
      <c r="H1405" s="4" t="n">
        <f aca="false">IF($A1405="","",IF(ISNUMBER(Base_Bruta!H1405),Base_Bruta!H1405,IFERROR(_xlfn.NUMBERVALUE(TRIM(SUBSTITUTE(Base_Bruta!H1405,"R$","")),",","."),0)))</f>
        <v>2</v>
      </c>
      <c r="I1405" s="6" t="n">
        <f aca="false">IF($A1405="","",IF(ISNUMBER(Base_Bruta!I1405),Base_Bruta!I1405,IFERROR(_xlfn.NUMBERVALUE(TRIM(SUBSTITUTE(Base_Bruta!I1405,"R$","")),",","."),0)))</f>
        <v>575</v>
      </c>
      <c r="J1405" s="6" t="n">
        <f aca="false">IF($A1405="","",H1405*I1405)</f>
        <v>1150</v>
      </c>
      <c r="K1405" s="4" t="str">
        <f aca="false">IF($A1405="","",TRIM(Base_Bruta!J1405))</f>
        <v>Site</v>
      </c>
      <c r="L1405" s="4" t="str">
        <f aca="false">IF($A1405="","",TRIM(Base_Bruta!K1405))</f>
        <v>C01946</v>
      </c>
      <c r="M1405" s="4" t="str">
        <f aca="false">IF($A1405="","",_xlfn.XLOOKUP(LOWER(TRIM(Base_Bruta!L1405)),DePara_Cidade!$A$2:$A$29,DePara_Cidade!$B$2:$B$29,"REVISAR"))</f>
        <v>Rio de Janeiro</v>
      </c>
      <c r="N1405" s="4" t="str">
        <f aca="false">IF($A1405="","",UPPER(TRIM(Base_Bruta!M1405)))</f>
        <v>RJ</v>
      </c>
      <c r="O1405" s="4" t="str">
        <f aca="false">IF($A1405="","",_xlfn.XLOOKUP(LOWER(TRIM(Base_Bruta!N1405)),DePara_Pais!$A$2:$A$9,DePara_Pais!$B$2:$B$9,"REVISAR"))</f>
        <v>Brasil</v>
      </c>
      <c r="P1405" s="4" t="str">
        <f aca="false">IF($A1405="","",IF(O1405&lt;&gt;"Brasil","Turista Internacional",IF(M1405=F1405,"Local","Turista Nacional")))</f>
        <v>Local</v>
      </c>
      <c r="Q1405" s="7" t="n">
        <f aca="false">IF($A1405="","",DATE(YEAR(B1405),MONTH(B1405),1))</f>
        <v>46054</v>
      </c>
      <c r="R1405" s="4" t="str">
        <f aca="false">IF($A1405="","",IF(COUNTIF($A$2:$A1405,$A1405)&gt;1,"Sim","Não"))</f>
        <v>Não</v>
      </c>
      <c r="S1405" s="4" t="str">
        <f aca="false">IF(A1405="","Descartar - Linha vazia",IF(R1405="Sim","Descartar - Duplicado",IF(OR(H1405&lt;=0,I1405&lt;=0),"Descartar - Qtd/Valor inválido","OK")))</f>
        <v>OK</v>
      </c>
      <c r="T1405" s="4" t="str">
        <f aca="false">Base_Bruta!P1405</f>
        <v>vendas_RJ.xlsx</v>
      </c>
    </row>
    <row r="1406" customFormat="false" ht="15" hidden="false" customHeight="false" outlineLevel="0" collapsed="false">
      <c r="A1406" s="4" t="str">
        <f aca="false">IF(Base_Bruta!A1406="","",Base_Bruta!A1406)</f>
        <v>RJ-000534</v>
      </c>
      <c r="B1406" s="5" t="n">
        <f aca="false">IF($A1406="","",IF(ISNUMBER(Base_Bruta!B1406),Base_Bruta!B1406,IF(MID(Base_Bruta!B1406,5,1)="-",DATE(VALUE(LEFT(Base_Bruta!B1406,4)),VALUE(MID(Base_Bruta!B1406,6,2)),VALUE(RIGHT(Base_Bruta!B1406,2))),DATE(VALUE(RIGHT(Base_Bruta!B1406,4)),VALUE(MID(Base_Bruta!B1406,4,2)),VALUE(LEFT(Base_Bruta!B1406,2))))))</f>
        <v>46081</v>
      </c>
      <c r="C1406" s="5" t="n">
        <f aca="false">IF($A1406="","",IF(ISNUMBER(Base_Bruta!C1406),Base_Bruta!C1406,IF(MID(Base_Bruta!C1406,5,1)="-",DATE(VALUE(LEFT(Base_Bruta!C1406,4)),VALUE(MID(Base_Bruta!C1406,6,2)),VALUE(RIGHT(Base_Bruta!C1406,2))),DATE(VALUE(RIGHT(Base_Bruta!C1406,4)),VALUE(MID(Base_Bruta!C1406,4,2)),VALUE(LEFT(Base_Bruta!C1406,2))))))</f>
        <v>46082</v>
      </c>
      <c r="D1406" s="4" t="str">
        <f aca="false">IF($A1406="","",TRIM(Base_Bruta!D1406))</f>
        <v>Cinema Barra - Sessões</v>
      </c>
      <c r="E1406" s="4" t="str">
        <f aca="false">IF($A1406="","",_xlfn.XLOOKUP(LOWER(TRIM(Base_Bruta!E1406)),DePara_Categoria!$A$2:$A$9,DePara_Categoria!$B$2:$B$9,"REVISAR"))</f>
        <v>Cinema</v>
      </c>
      <c r="F1406" s="4" t="str">
        <f aca="false">IF($A1406="","",_xlfn.XLOOKUP(LOWER(TRIM(Base_Bruta!F1406)),DePara_Cidade!$A$2:$A$29,DePara_Cidade!$B$2:$B$29,"REVISAR"))</f>
        <v>Rio de Janeiro</v>
      </c>
      <c r="G1406" s="4" t="str">
        <f aca="false">IF($A1406="","",TRIM(Base_Bruta!G1406))</f>
        <v>Inteira</v>
      </c>
      <c r="H1406" s="4" t="n">
        <f aca="false">IF($A1406="","",IF(ISNUMBER(Base_Bruta!H1406),Base_Bruta!H1406,IFERROR(_xlfn.NUMBERVALUE(TRIM(SUBSTITUTE(Base_Bruta!H1406,"R$","")),",","."),0)))</f>
        <v>1</v>
      </c>
      <c r="I1406" s="6" t="n">
        <f aca="false">IF($A1406="","",IF(ISNUMBER(Base_Bruta!I1406),Base_Bruta!I1406,IFERROR(_xlfn.NUMBERVALUE(TRIM(SUBSTITUTE(Base_Bruta!I1406,"R$","")),",","."),0)))</f>
        <v>35</v>
      </c>
      <c r="J1406" s="6" t="n">
        <f aca="false">IF($A1406="","",H1406*I1406)</f>
        <v>35</v>
      </c>
      <c r="K1406" s="4" t="str">
        <f aca="false">IF($A1406="","",TRIM(Base_Bruta!J1406))</f>
        <v>Site</v>
      </c>
      <c r="L1406" s="4" t="str">
        <f aca="false">IF($A1406="","",TRIM(Base_Bruta!K1406))</f>
        <v>C01946</v>
      </c>
      <c r="M1406" s="4" t="str">
        <f aca="false">IF($A1406="","",_xlfn.XLOOKUP(LOWER(TRIM(Base_Bruta!L1406)),DePara_Cidade!$A$2:$A$29,DePara_Cidade!$B$2:$B$29,"REVISAR"))</f>
        <v>Rio de Janeiro</v>
      </c>
      <c r="N1406" s="4" t="str">
        <f aca="false">IF($A1406="","",UPPER(TRIM(Base_Bruta!M1406)))</f>
        <v>RJ</v>
      </c>
      <c r="O1406" s="4" t="str">
        <f aca="false">IF($A1406="","",_xlfn.XLOOKUP(LOWER(TRIM(Base_Bruta!N1406)),DePara_Pais!$A$2:$A$9,DePara_Pais!$B$2:$B$9,"REVISAR"))</f>
        <v>Brasil</v>
      </c>
      <c r="P1406" s="4" t="str">
        <f aca="false">IF($A1406="","",IF(O1406&lt;&gt;"Brasil","Turista Internacional",IF(M1406=F1406,"Local","Turista Nacional")))</f>
        <v>Local</v>
      </c>
      <c r="Q1406" s="7" t="n">
        <f aca="false">IF($A1406="","",DATE(YEAR(B1406),MONTH(B1406),1))</f>
        <v>46054</v>
      </c>
      <c r="R1406" s="4" t="str">
        <f aca="false">IF($A1406="","",IF(COUNTIF($A$2:$A1406,$A1406)&gt;1,"Sim","Não"))</f>
        <v>Não</v>
      </c>
      <c r="S1406" s="4" t="str">
        <f aca="false">IF(A1406="","Descartar - Linha vazia",IF(R1406="Sim","Descartar - Duplicado",IF(OR(H1406&lt;=0,I1406&lt;=0),"Descartar - Qtd/Valor inválido","OK")))</f>
        <v>OK</v>
      </c>
      <c r="T1406" s="4" t="str">
        <f aca="false">Base_Bruta!P1406</f>
        <v>vendas_RJ.xlsx</v>
      </c>
    </row>
    <row r="1407" customFormat="false" ht="15" hidden="false" customHeight="false" outlineLevel="0" collapsed="false">
      <c r="A1407" s="4" t="str">
        <f aca="false">IF(Base_Bruta!A1407="","",Base_Bruta!A1407)</f>
        <v>RJ-000462</v>
      </c>
      <c r="B1407" s="5" t="n">
        <f aca="false">IF($A1407="","",IF(ISNUMBER(Base_Bruta!B1407),Base_Bruta!B1407,IF(MID(Base_Bruta!B1407,5,1)="-",DATE(VALUE(LEFT(Base_Bruta!B1407,4)),VALUE(MID(Base_Bruta!B1407,6,2)),VALUE(RIGHT(Base_Bruta!B1407,2))),DATE(VALUE(RIGHT(Base_Bruta!B1407,4)),VALUE(MID(Base_Bruta!B1407,4,2)),VALUE(LEFT(Base_Bruta!B1407,2))))))</f>
        <v>46084</v>
      </c>
      <c r="C1407" s="5" t="n">
        <f aca="false">IF($A1407="","",IF(ISNUMBER(Base_Bruta!C1407),Base_Bruta!C1407,IF(MID(Base_Bruta!C1407,5,1)="-",DATE(VALUE(LEFT(Base_Bruta!C1407,4)),VALUE(MID(Base_Bruta!C1407,6,2)),VALUE(RIGHT(Base_Bruta!C1407,2))),DATE(VALUE(RIGHT(Base_Bruta!C1407,4)),VALUE(MID(Base_Bruta!C1407,4,2)),VALUE(LEFT(Base_Bruta!C1407,2))))))</f>
        <v>46151</v>
      </c>
      <c r="D1407" s="4" t="str">
        <f aca="false">IF($A1407="","",TRIM(Base_Bruta!D1407))</f>
        <v>Turnê Internacional Rock - Rio</v>
      </c>
      <c r="E1407" s="4" t="str">
        <f aca="false">IF($A1407="","",_xlfn.XLOOKUP(LOWER(TRIM(Base_Bruta!E1407)),DePara_Categoria!$A$2:$A$9,DePara_Categoria!$B$2:$B$9,"REVISAR"))</f>
        <v>Show</v>
      </c>
      <c r="F1407" s="4" t="str">
        <f aca="false">IF($A1407="","",_xlfn.XLOOKUP(LOWER(TRIM(Base_Bruta!F1407)),DePara_Cidade!$A$2:$A$29,DePara_Cidade!$B$2:$B$29,"REVISAR"))</f>
        <v>Rio de Janeiro</v>
      </c>
      <c r="G1407" s="4" t="str">
        <f aca="false">IF($A1407="","",TRIM(Base_Bruta!G1407))</f>
        <v>Inteira</v>
      </c>
      <c r="H1407" s="4" t="n">
        <f aca="false">IF($A1407="","",IF(ISNUMBER(Base_Bruta!H1407),Base_Bruta!H1407,IFERROR(_xlfn.NUMBERVALUE(TRIM(SUBSTITUTE(Base_Bruta!H1407,"R$","")),",","."),0)))</f>
        <v>2</v>
      </c>
      <c r="I1407" s="6" t="n">
        <f aca="false">IF($A1407="","",IF(ISNUMBER(Base_Bruta!I1407),Base_Bruta!I1407,IFERROR(_xlfn.NUMBERVALUE(TRIM(SUBSTITUTE(Base_Bruta!I1407,"R$","")),",","."),0)))</f>
        <v>0</v>
      </c>
      <c r="J1407" s="6" t="n">
        <f aca="false">IF($A1407="","",H1407*I1407)</f>
        <v>0</v>
      </c>
      <c r="K1407" s="4" t="str">
        <f aca="false">IF($A1407="","",TRIM(Base_Bruta!J1407))</f>
        <v>App</v>
      </c>
      <c r="L1407" s="4" t="str">
        <f aca="false">IF($A1407="","",TRIM(Base_Bruta!K1407))</f>
        <v>C00407</v>
      </c>
      <c r="M1407" s="4" t="str">
        <f aca="false">IF($A1407="","",_xlfn.XLOOKUP(LOWER(TRIM(Base_Bruta!L1407)),DePara_Cidade!$A$2:$A$29,DePara_Cidade!$B$2:$B$29,"REVISAR"))</f>
        <v>Salvador</v>
      </c>
      <c r="N1407" s="4" t="str">
        <f aca="false">IF($A1407="","",UPPER(TRIM(Base_Bruta!M1407)))</f>
        <v>BA</v>
      </c>
      <c r="O1407" s="4" t="str">
        <f aca="false">IF($A1407="","",_xlfn.XLOOKUP(LOWER(TRIM(Base_Bruta!N1407)),DePara_Pais!$A$2:$A$9,DePara_Pais!$B$2:$B$9,"REVISAR"))</f>
        <v>Brasil</v>
      </c>
      <c r="P1407" s="4" t="str">
        <f aca="false">IF($A1407="","",IF(O1407&lt;&gt;"Brasil","Turista Internacional",IF(M1407=F1407,"Local","Turista Nacional")))</f>
        <v>Turista Nacional</v>
      </c>
      <c r="Q1407" s="7" t="n">
        <f aca="false">IF($A1407="","",DATE(YEAR(B1407),MONTH(B1407),1))</f>
        <v>46082</v>
      </c>
      <c r="R1407" s="4" t="str">
        <f aca="false">IF($A1407="","",IF(COUNTIF($A$2:$A1407,$A1407)&gt;1,"Sim","Não"))</f>
        <v>Não</v>
      </c>
      <c r="S1407" s="4" t="str">
        <f aca="false">IF(A1407="","Descartar - Linha vazia",IF(R1407="Sim","Descartar - Duplicado",IF(OR(H1407&lt;=0,I1407&lt;=0),"Descartar - Qtd/Valor inválido","OK")))</f>
        <v>Descartar - Qtd/Valor inválido</v>
      </c>
      <c r="T1407" s="4" t="str">
        <f aca="false">Base_Bruta!P1407</f>
        <v>vendas_RJ.xlsx</v>
      </c>
    </row>
    <row r="1408" customFormat="false" ht="15" hidden="false" customHeight="false" outlineLevel="0" collapsed="false">
      <c r="A1408" s="4" t="str">
        <f aca="false">IF(Base_Bruta!A1408="","",Base_Bruta!A1408)</f>
        <v>RJ-000535</v>
      </c>
      <c r="B1408" s="5" t="n">
        <f aca="false">IF($A1408="","",IF(ISNUMBER(Base_Bruta!B1408),Base_Bruta!B1408,IF(MID(Base_Bruta!B1408,5,1)="-",DATE(VALUE(LEFT(Base_Bruta!B1408,4)),VALUE(MID(Base_Bruta!B1408,6,2)),VALUE(RIGHT(Base_Bruta!B1408,2))),DATE(VALUE(RIGHT(Base_Bruta!B1408,4)),VALUE(MID(Base_Bruta!B1408,4,2)),VALUE(LEFT(Base_Bruta!B1408,2))))))</f>
        <v>46084</v>
      </c>
      <c r="C1408" s="5" t="n">
        <f aca="false">IF($A1408="","",IF(ISNUMBER(Base_Bruta!C1408),Base_Bruta!C1408,IF(MID(Base_Bruta!C1408,5,1)="-",DATE(VALUE(LEFT(Base_Bruta!C1408,4)),VALUE(MID(Base_Bruta!C1408,6,2)),VALUE(RIGHT(Base_Bruta!C1408,2))),DATE(VALUE(RIGHT(Base_Bruta!C1408,4)),VALUE(MID(Base_Bruta!C1408,4,2)),VALUE(LEFT(Base_Bruta!C1408,2))))))</f>
        <v>46085</v>
      </c>
      <c r="D1408" s="4" t="str">
        <f aca="false">IF($A1408="","",TRIM(Base_Bruta!D1408))</f>
        <v>Cinema Barra - Sessões</v>
      </c>
      <c r="E1408" s="4" t="str">
        <f aca="false">IF($A1408="","",_xlfn.XLOOKUP(LOWER(TRIM(Base_Bruta!E1408)),DePara_Categoria!$A$2:$A$9,DePara_Categoria!$B$2:$B$9,"REVISAR"))</f>
        <v>Cinema</v>
      </c>
      <c r="F1408" s="4" t="str">
        <f aca="false">IF($A1408="","",_xlfn.XLOOKUP(LOWER(TRIM(Base_Bruta!F1408)),DePara_Cidade!$A$2:$A$29,DePara_Cidade!$B$2:$B$29,"REVISAR"))</f>
        <v>Rio de Janeiro</v>
      </c>
      <c r="G1408" s="4" t="str">
        <f aca="false">IF($A1408="","",TRIM(Base_Bruta!G1408))</f>
        <v>Inteira</v>
      </c>
      <c r="H1408" s="4" t="n">
        <f aca="false">IF($A1408="","",IF(ISNUMBER(Base_Bruta!H1408),Base_Bruta!H1408,IFERROR(_xlfn.NUMBERVALUE(TRIM(SUBSTITUTE(Base_Bruta!H1408,"R$","")),",","."),0)))</f>
        <v>4</v>
      </c>
      <c r="I1408" s="6" t="n">
        <f aca="false">IF($A1408="","",IF(ISNUMBER(Base_Bruta!I1408),Base_Bruta!I1408,IFERROR(_xlfn.NUMBERVALUE(TRIM(SUBSTITUTE(Base_Bruta!I1408,"R$","")),",","."),0)))</f>
        <v>35</v>
      </c>
      <c r="J1408" s="6" t="n">
        <f aca="false">IF($A1408="","",H1408*I1408)</f>
        <v>140</v>
      </c>
      <c r="K1408" s="4" t="str">
        <f aca="false">IF($A1408="","",TRIM(Base_Bruta!J1408))</f>
        <v>App</v>
      </c>
      <c r="L1408" s="4" t="str">
        <f aca="false">IF($A1408="","",TRIM(Base_Bruta!K1408))</f>
        <v>C00782</v>
      </c>
      <c r="M1408" s="4" t="str">
        <f aca="false">IF($A1408="","",_xlfn.XLOOKUP(LOWER(TRIM(Base_Bruta!L1408)),DePara_Cidade!$A$2:$A$29,DePara_Cidade!$B$2:$B$29,"REVISAR"))</f>
        <v>Rio de Janeiro</v>
      </c>
      <c r="N1408" s="4" t="str">
        <f aca="false">IF($A1408="","",UPPER(TRIM(Base_Bruta!M1408)))</f>
        <v>RJ</v>
      </c>
      <c r="O1408" s="4" t="str">
        <f aca="false">IF($A1408="","",_xlfn.XLOOKUP(LOWER(TRIM(Base_Bruta!N1408)),DePara_Pais!$A$2:$A$9,DePara_Pais!$B$2:$B$9,"REVISAR"))</f>
        <v>Brasil</v>
      </c>
      <c r="P1408" s="4" t="str">
        <f aca="false">IF($A1408="","",IF(O1408&lt;&gt;"Brasil","Turista Internacional",IF(M1408=F1408,"Local","Turista Nacional")))</f>
        <v>Local</v>
      </c>
      <c r="Q1408" s="7" t="n">
        <f aca="false">IF($A1408="","",DATE(YEAR(B1408),MONTH(B1408),1))</f>
        <v>46082</v>
      </c>
      <c r="R1408" s="4" t="str">
        <f aca="false">IF($A1408="","",IF(COUNTIF($A$2:$A1408,$A1408)&gt;1,"Sim","Não"))</f>
        <v>Não</v>
      </c>
      <c r="S1408" s="4" t="str">
        <f aca="false">IF(A1408="","Descartar - Linha vazia",IF(R1408="Sim","Descartar - Duplicado",IF(OR(H1408&lt;=0,I1408&lt;=0),"Descartar - Qtd/Valor inválido","OK")))</f>
        <v>OK</v>
      </c>
      <c r="T1408" s="4" t="str">
        <f aca="false">Base_Bruta!P1408</f>
        <v>vendas_RJ.xlsx</v>
      </c>
    </row>
    <row r="1409" customFormat="false" ht="15" hidden="false" customHeight="false" outlineLevel="0" collapsed="false">
      <c r="A1409" s="4" t="str">
        <f aca="false">IF(Base_Bruta!A1409="","",Base_Bruta!A1409)</f>
        <v>RJ-000408</v>
      </c>
      <c r="B1409" s="5" t="n">
        <f aca="false">IF($A1409="","",IF(ISNUMBER(Base_Bruta!B1409),Base_Bruta!B1409,IF(MID(Base_Bruta!B1409,5,1)="-",DATE(VALUE(LEFT(Base_Bruta!B1409,4)),VALUE(MID(Base_Bruta!B1409,6,2)),VALUE(RIGHT(Base_Bruta!B1409,2))),DATE(VALUE(RIGHT(Base_Bruta!B1409,4)),VALUE(MID(Base_Bruta!B1409,4,2)),VALUE(LEFT(Base_Bruta!B1409,2))))))</f>
        <v>46086</v>
      </c>
      <c r="C1409" s="5" t="n">
        <f aca="false">IF($A1409="","",IF(ISNUMBER(Base_Bruta!C1409),Base_Bruta!C1409,IF(MID(Base_Bruta!C1409,5,1)="-",DATE(VALUE(LEFT(Base_Bruta!C1409,4)),VALUE(MID(Base_Bruta!C1409,6,2)),VALUE(RIGHT(Base_Bruta!C1409,2))),DATE(VALUE(RIGHT(Base_Bruta!C1409,4)),VALUE(MID(Base_Bruta!C1409,4,2)),VALUE(LEFT(Base_Bruta!C1409,2))))))</f>
        <v>46151</v>
      </c>
      <c r="D1409" s="4" t="str">
        <f aca="false">IF($A1409="","",TRIM(Base_Bruta!D1409))</f>
        <v>Turnê Internacional Rock - Rio</v>
      </c>
      <c r="E1409" s="4" t="str">
        <f aca="false">IF($A1409="","",_xlfn.XLOOKUP(LOWER(TRIM(Base_Bruta!E1409)),DePara_Categoria!$A$2:$A$9,DePara_Categoria!$B$2:$B$9,"REVISAR"))</f>
        <v>Show</v>
      </c>
      <c r="F1409" s="4" t="str">
        <f aca="false">IF($A1409="","",_xlfn.XLOOKUP(LOWER(TRIM(Base_Bruta!F1409)),DePara_Cidade!$A$2:$A$29,DePara_Cidade!$B$2:$B$29,"REVISAR"))</f>
        <v>Rio de Janeiro</v>
      </c>
      <c r="G1409" s="4" t="str">
        <f aca="false">IF($A1409="","",TRIM(Base_Bruta!G1409))</f>
        <v>Inteira</v>
      </c>
      <c r="H1409" s="4" t="n">
        <f aca="false">IF($A1409="","",IF(ISNUMBER(Base_Bruta!H1409),Base_Bruta!H1409,IFERROR(_xlfn.NUMBERVALUE(TRIM(SUBSTITUTE(Base_Bruta!H1409,"R$","")),",","."),0)))</f>
        <v>3</v>
      </c>
      <c r="I1409" s="6" t="n">
        <f aca="false">IF($A1409="","",IF(ISNUMBER(Base_Bruta!I1409),Base_Bruta!I1409,IFERROR(_xlfn.NUMBERVALUE(TRIM(SUBSTITUTE(Base_Bruta!I1409,"R$","")),",","."),0)))</f>
        <v>460</v>
      </c>
      <c r="J1409" s="6" t="n">
        <f aca="false">IF($A1409="","",H1409*I1409)</f>
        <v>1380</v>
      </c>
      <c r="K1409" s="4" t="str">
        <f aca="false">IF($A1409="","",TRIM(Base_Bruta!J1409))</f>
        <v>Site</v>
      </c>
      <c r="L1409" s="4" t="str">
        <f aca="false">IF($A1409="","",TRIM(Base_Bruta!K1409))</f>
        <v>C01847</v>
      </c>
      <c r="M1409" s="4" t="str">
        <f aca="false">IF($A1409="","",_xlfn.XLOOKUP(LOWER(TRIM(Base_Bruta!L1409)),DePara_Cidade!$A$2:$A$29,DePara_Cidade!$B$2:$B$29,"REVISAR"))</f>
        <v>Lisboa</v>
      </c>
      <c r="N1409" s="4" t="str">
        <f aca="false">IF($A1409="","",UPPER(TRIM(Base_Bruta!M1409)))</f>
        <v>EX</v>
      </c>
      <c r="O1409" s="4" t="str">
        <f aca="false">IF($A1409="","",_xlfn.XLOOKUP(LOWER(TRIM(Base_Bruta!N1409)),DePara_Pais!$A$2:$A$9,DePara_Pais!$B$2:$B$9,"REVISAR"))</f>
        <v>Portugal</v>
      </c>
      <c r="P1409" s="4" t="str">
        <f aca="false">IF($A1409="","",IF(O1409&lt;&gt;"Brasil","Turista Internacional",IF(M1409=F1409,"Local","Turista Nacional")))</f>
        <v>Turista Internacional</v>
      </c>
      <c r="Q1409" s="7" t="n">
        <f aca="false">IF($A1409="","",DATE(YEAR(B1409),MONTH(B1409),1))</f>
        <v>46082</v>
      </c>
      <c r="R1409" s="4" t="str">
        <f aca="false">IF($A1409="","",IF(COUNTIF($A$2:$A1409,$A1409)&gt;1,"Sim","Não"))</f>
        <v>Não</v>
      </c>
      <c r="S1409" s="4" t="str">
        <f aca="false">IF(A1409="","Descartar - Linha vazia",IF(R1409="Sim","Descartar - Duplicado",IF(OR(H1409&lt;=0,I1409&lt;=0),"Descartar - Qtd/Valor inválido","OK")))</f>
        <v>OK</v>
      </c>
      <c r="T1409" s="4" t="str">
        <f aca="false">Base_Bruta!P1409</f>
        <v>vendas_RJ.xlsx</v>
      </c>
    </row>
    <row r="1410" customFormat="false" ht="15" hidden="false" customHeight="false" outlineLevel="0" collapsed="false">
      <c r="A1410" s="4" t="str">
        <f aca="false">IF(Base_Bruta!A1410="","",Base_Bruta!A1410)</f>
        <v>RJ-000450</v>
      </c>
      <c r="B1410" s="5" t="n">
        <f aca="false">IF($A1410="","",IF(ISNUMBER(Base_Bruta!B1410),Base_Bruta!B1410,IF(MID(Base_Bruta!B1410,5,1)="-",DATE(VALUE(LEFT(Base_Bruta!B1410,4)),VALUE(MID(Base_Bruta!B1410,6,2)),VALUE(RIGHT(Base_Bruta!B1410,2))),DATE(VALUE(RIGHT(Base_Bruta!B1410,4)),VALUE(MID(Base_Bruta!B1410,4,2)),VALUE(LEFT(Base_Bruta!B1410,2))))))</f>
        <v>46086</v>
      </c>
      <c r="C1410" s="5" t="n">
        <f aca="false">IF($A1410="","",IF(ISNUMBER(Base_Bruta!C1410),Base_Bruta!C1410,IF(MID(Base_Bruta!C1410,5,1)="-",DATE(VALUE(LEFT(Base_Bruta!C1410,4)),VALUE(MID(Base_Bruta!C1410,6,2)),VALUE(RIGHT(Base_Bruta!C1410,2))),DATE(VALUE(RIGHT(Base_Bruta!C1410,4)),VALUE(MID(Base_Bruta!C1410,4,2)),VALUE(LEFT(Base_Bruta!C1410,2))))))</f>
        <v>46151</v>
      </c>
      <c r="D1410" s="4" t="str">
        <f aca="false">IF($A1410="","",TRIM(Base_Bruta!D1410))</f>
        <v>Turnê Internacional Rock - Rio</v>
      </c>
      <c r="E1410" s="4" t="str">
        <f aca="false">IF($A1410="","",_xlfn.XLOOKUP(LOWER(TRIM(Base_Bruta!E1410)),DePara_Categoria!$A$2:$A$9,DePara_Categoria!$B$2:$B$9,"REVISAR"))</f>
        <v>Show</v>
      </c>
      <c r="F1410" s="4" t="str">
        <f aca="false">IF($A1410="","",_xlfn.XLOOKUP(LOWER(TRIM(Base_Bruta!F1410)),DePara_Cidade!$A$2:$A$29,DePara_Cidade!$B$2:$B$29,"REVISAR"))</f>
        <v>Rio de Janeiro</v>
      </c>
      <c r="G1410" s="4" t="str">
        <f aca="false">IF($A1410="","",TRIM(Base_Bruta!G1410))</f>
        <v>Meia</v>
      </c>
      <c r="H1410" s="4" t="n">
        <f aca="false">IF($A1410="","",IF(ISNUMBER(Base_Bruta!H1410),Base_Bruta!H1410,IFERROR(_xlfn.NUMBERVALUE(TRIM(SUBSTITUTE(Base_Bruta!H1410,"R$","")),",","."),0)))</f>
        <v>2</v>
      </c>
      <c r="I1410" s="6" t="n">
        <f aca="false">IF($A1410="","",IF(ISNUMBER(Base_Bruta!I1410),Base_Bruta!I1410,IFERROR(_xlfn.NUMBERVALUE(TRIM(SUBSTITUTE(Base_Bruta!I1410,"R$","")),",","."),0)))</f>
        <v>372.5</v>
      </c>
      <c r="J1410" s="6" t="n">
        <f aca="false">IF($A1410="","",H1410*I1410)</f>
        <v>745</v>
      </c>
      <c r="K1410" s="4" t="str">
        <f aca="false">IF($A1410="","",TRIM(Base_Bruta!J1410))</f>
        <v>App</v>
      </c>
      <c r="L1410" s="4" t="str">
        <f aca="false">IF($A1410="","",TRIM(Base_Bruta!K1410))</f>
        <v>C01767</v>
      </c>
      <c r="M1410" s="4" t="str">
        <f aca="false">IF($A1410="","",_xlfn.XLOOKUP(LOWER(TRIM(Base_Bruta!L1410)),DePara_Cidade!$A$2:$A$29,DePara_Cidade!$B$2:$B$29,"REVISAR"))</f>
        <v>Rio de Janeiro</v>
      </c>
      <c r="N1410" s="4" t="str">
        <f aca="false">IF($A1410="","",UPPER(TRIM(Base_Bruta!M1410)))</f>
        <v>RJ</v>
      </c>
      <c r="O1410" s="4" t="str">
        <f aca="false">IF($A1410="","",_xlfn.XLOOKUP(LOWER(TRIM(Base_Bruta!N1410)),DePara_Pais!$A$2:$A$9,DePara_Pais!$B$2:$B$9,"REVISAR"))</f>
        <v>Brasil</v>
      </c>
      <c r="P1410" s="4" t="str">
        <f aca="false">IF($A1410="","",IF(O1410&lt;&gt;"Brasil","Turista Internacional",IF(M1410=F1410,"Local","Turista Nacional")))</f>
        <v>Local</v>
      </c>
      <c r="Q1410" s="7" t="n">
        <f aca="false">IF($A1410="","",DATE(YEAR(B1410),MONTH(B1410),1))</f>
        <v>46082</v>
      </c>
      <c r="R1410" s="4" t="str">
        <f aca="false">IF($A1410="","",IF(COUNTIF($A$2:$A1410,$A1410)&gt;1,"Sim","Não"))</f>
        <v>Não</v>
      </c>
      <c r="S1410" s="4" t="str">
        <f aca="false">IF(A1410="","Descartar - Linha vazia",IF(R1410="Sim","Descartar - Duplicado",IF(OR(H1410&lt;=0,I1410&lt;=0),"Descartar - Qtd/Valor inválido","OK")))</f>
        <v>OK</v>
      </c>
      <c r="T1410" s="4" t="str">
        <f aca="false">Base_Bruta!P1410</f>
        <v>vendas_RJ.xlsx</v>
      </c>
    </row>
    <row r="1411" customFormat="false" ht="15" hidden="false" customHeight="false" outlineLevel="0" collapsed="false">
      <c r="A1411" s="4" t="str">
        <f aca="false">IF(Base_Bruta!A1411="","",Base_Bruta!A1411)</f>
        <v>RJ-000387</v>
      </c>
      <c r="B1411" s="5" t="n">
        <f aca="false">IF($A1411="","",IF(ISNUMBER(Base_Bruta!B1411),Base_Bruta!B1411,IF(MID(Base_Bruta!B1411,5,1)="-",DATE(VALUE(LEFT(Base_Bruta!B1411,4)),VALUE(MID(Base_Bruta!B1411,6,2)),VALUE(RIGHT(Base_Bruta!B1411,2))),DATE(VALUE(RIGHT(Base_Bruta!B1411,4)),VALUE(MID(Base_Bruta!B1411,4,2)),VALUE(LEFT(Base_Bruta!B1411,2))))))</f>
        <v>46088</v>
      </c>
      <c r="C1411" s="5" t="n">
        <f aca="false">IF($A1411="","",IF(ISNUMBER(Base_Bruta!C1411),Base_Bruta!C1411,IF(MID(Base_Bruta!C1411,5,1)="-",DATE(VALUE(LEFT(Base_Bruta!C1411,4)),VALUE(MID(Base_Bruta!C1411,6,2)),VALUE(RIGHT(Base_Bruta!C1411,2))),DATE(VALUE(RIGHT(Base_Bruta!C1411,4)),VALUE(MID(Base_Bruta!C1411,4,2)),VALUE(LEFT(Base_Bruta!C1411,2))))))</f>
        <v>46151</v>
      </c>
      <c r="D1411" s="4" t="str">
        <f aca="false">IF($A1411="","",TRIM(Base_Bruta!D1411))</f>
        <v>Turnê Internacional Rock - Rio</v>
      </c>
      <c r="E1411" s="4" t="str">
        <f aca="false">IF($A1411="","",_xlfn.XLOOKUP(LOWER(TRIM(Base_Bruta!E1411)),DePara_Categoria!$A$2:$A$9,DePara_Categoria!$B$2:$B$9,"REVISAR"))</f>
        <v>Show</v>
      </c>
      <c r="F1411" s="4" t="str">
        <f aca="false">IF($A1411="","",_xlfn.XLOOKUP(LOWER(TRIM(Base_Bruta!F1411)),DePara_Cidade!$A$2:$A$29,DePara_Cidade!$B$2:$B$29,"REVISAR"))</f>
        <v>Rio de Janeiro</v>
      </c>
      <c r="G1411" s="4" t="str">
        <f aca="false">IF($A1411="","",TRIM(Base_Bruta!G1411))</f>
        <v>Inteira</v>
      </c>
      <c r="H1411" s="4" t="n">
        <f aca="false">IF($A1411="","",IF(ISNUMBER(Base_Bruta!H1411),Base_Bruta!H1411,IFERROR(_xlfn.NUMBERVALUE(TRIM(SUBSTITUTE(Base_Bruta!H1411,"R$","")),",","."),0)))</f>
        <v>2</v>
      </c>
      <c r="I1411" s="6" t="n">
        <f aca="false">IF($A1411="","",IF(ISNUMBER(Base_Bruta!I1411),Base_Bruta!I1411,IFERROR(_xlfn.NUMBERVALUE(TRIM(SUBSTITUTE(Base_Bruta!I1411,"R$","")),",","."),0)))</f>
        <v>535</v>
      </c>
      <c r="J1411" s="6" t="n">
        <f aca="false">IF($A1411="","",H1411*I1411)</f>
        <v>1070</v>
      </c>
      <c r="K1411" s="4" t="str">
        <f aca="false">IF($A1411="","",TRIM(Base_Bruta!J1411))</f>
        <v>App</v>
      </c>
      <c r="L1411" s="4" t="str">
        <f aca="false">IF($A1411="","",TRIM(Base_Bruta!K1411))</f>
        <v>C01231</v>
      </c>
      <c r="M1411" s="4" t="str">
        <f aca="false">IF($A1411="","",_xlfn.XLOOKUP(LOWER(TRIM(Base_Bruta!L1411)),DePara_Cidade!$A$2:$A$29,DePara_Cidade!$B$2:$B$29,"REVISAR"))</f>
        <v>Rio de Janeiro</v>
      </c>
      <c r="N1411" s="4" t="str">
        <f aca="false">IF($A1411="","",UPPER(TRIM(Base_Bruta!M1411)))</f>
        <v>RJ</v>
      </c>
      <c r="O1411" s="4" t="str">
        <f aca="false">IF($A1411="","",_xlfn.XLOOKUP(LOWER(TRIM(Base_Bruta!N1411)),DePara_Pais!$A$2:$A$9,DePara_Pais!$B$2:$B$9,"REVISAR"))</f>
        <v>Brasil</v>
      </c>
      <c r="P1411" s="4" t="str">
        <f aca="false">IF($A1411="","",IF(O1411&lt;&gt;"Brasil","Turista Internacional",IF(M1411=F1411,"Local","Turista Nacional")))</f>
        <v>Local</v>
      </c>
      <c r="Q1411" s="7" t="n">
        <f aca="false">IF($A1411="","",DATE(YEAR(B1411),MONTH(B1411),1))</f>
        <v>46082</v>
      </c>
      <c r="R1411" s="4" t="str">
        <f aca="false">IF($A1411="","",IF(COUNTIF($A$2:$A1411,$A1411)&gt;1,"Sim","Não"))</f>
        <v>Não</v>
      </c>
      <c r="S1411" s="4" t="str">
        <f aca="false">IF(A1411="","Descartar - Linha vazia",IF(R1411="Sim","Descartar - Duplicado",IF(OR(H1411&lt;=0,I1411&lt;=0),"Descartar - Qtd/Valor inválido","OK")))</f>
        <v>OK</v>
      </c>
      <c r="T1411" s="4" t="str">
        <f aca="false">Base_Bruta!P1411</f>
        <v>vendas_RJ.xlsx</v>
      </c>
    </row>
    <row r="1412" customFormat="false" ht="15" hidden="false" customHeight="false" outlineLevel="0" collapsed="false">
      <c r="A1412" s="4" t="str">
        <f aca="false">IF(Base_Bruta!A1412="","",Base_Bruta!A1412)</f>
        <v>RJ-000581</v>
      </c>
      <c r="B1412" s="5" t="n">
        <f aca="false">IF($A1412="","",IF(ISNUMBER(Base_Bruta!B1412),Base_Bruta!B1412,IF(MID(Base_Bruta!B1412,5,1)="-",DATE(VALUE(LEFT(Base_Bruta!B1412,4)),VALUE(MID(Base_Bruta!B1412,6,2)),VALUE(RIGHT(Base_Bruta!B1412,2))),DATE(VALUE(RIGHT(Base_Bruta!B1412,4)),VALUE(MID(Base_Bruta!B1412,4,2)),VALUE(LEFT(Base_Bruta!B1412,2))))))</f>
        <v>46089</v>
      </c>
      <c r="C1412" s="5" t="n">
        <f aca="false">IF($A1412="","",IF(ISNUMBER(Base_Bruta!C1412),Base_Bruta!C1412,IF(MID(Base_Bruta!C1412,5,1)="-",DATE(VALUE(LEFT(Base_Bruta!C1412,4)),VALUE(MID(Base_Bruta!C1412,6,2)),VALUE(RIGHT(Base_Bruta!C1412,2))),DATE(VALUE(RIGHT(Base_Bruta!C1412,4)),VALUE(MID(Base_Bruta!C1412,4,2)),VALUE(LEFT(Base_Bruta!C1412,2))))))</f>
        <v>46092</v>
      </c>
      <c r="D1412" s="4" t="str">
        <f aca="false">IF($A1412="","",TRIM(Base_Bruta!D1412))</f>
        <v>Cinema Barra - Sessões</v>
      </c>
      <c r="E1412" s="4" t="str">
        <f aca="false">IF($A1412="","",_xlfn.XLOOKUP(LOWER(TRIM(Base_Bruta!E1412)),DePara_Categoria!$A$2:$A$9,DePara_Categoria!$B$2:$B$9,"REVISAR"))</f>
        <v>Cinema</v>
      </c>
      <c r="F1412" s="4" t="str">
        <f aca="false">IF($A1412="","",_xlfn.XLOOKUP(LOWER(TRIM(Base_Bruta!F1412)),DePara_Cidade!$A$2:$A$29,DePara_Cidade!$B$2:$B$29,"REVISAR"))</f>
        <v>Rio de Janeiro</v>
      </c>
      <c r="G1412" s="4" t="str">
        <f aca="false">IF($A1412="","",TRIM(Base_Bruta!G1412))</f>
        <v>Inteira</v>
      </c>
      <c r="H1412" s="4" t="n">
        <f aca="false">IF($A1412="","",IF(ISNUMBER(Base_Bruta!H1412),Base_Bruta!H1412,IFERROR(_xlfn.NUMBERVALUE(TRIM(SUBSTITUTE(Base_Bruta!H1412,"R$","")),",","."),0)))</f>
        <v>3</v>
      </c>
      <c r="I1412" s="6" t="n">
        <f aca="false">IF($A1412="","",IF(ISNUMBER(Base_Bruta!I1412),Base_Bruta!I1412,IFERROR(_xlfn.NUMBERVALUE(TRIM(SUBSTITUTE(Base_Bruta!I1412,"R$","")),",","."),0)))</f>
        <v>45</v>
      </c>
      <c r="J1412" s="6" t="n">
        <f aca="false">IF($A1412="","",H1412*I1412)</f>
        <v>135</v>
      </c>
      <c r="K1412" s="4" t="str">
        <f aca="false">IF($A1412="","",TRIM(Base_Bruta!J1412))</f>
        <v>Bilheteria</v>
      </c>
      <c r="L1412" s="4" t="str">
        <f aca="false">IF($A1412="","",TRIM(Base_Bruta!K1412))</f>
        <v>C01588</v>
      </c>
      <c r="M1412" s="4" t="str">
        <f aca="false">IF($A1412="","",_xlfn.XLOOKUP(LOWER(TRIM(Base_Bruta!L1412)),DePara_Cidade!$A$2:$A$29,DePara_Cidade!$B$2:$B$29,"REVISAR"))</f>
        <v>Rio de Janeiro</v>
      </c>
      <c r="N1412" s="4" t="str">
        <f aca="false">IF($A1412="","",UPPER(TRIM(Base_Bruta!M1412)))</f>
        <v>RJ</v>
      </c>
      <c r="O1412" s="4" t="str">
        <f aca="false">IF($A1412="","",_xlfn.XLOOKUP(LOWER(TRIM(Base_Bruta!N1412)),DePara_Pais!$A$2:$A$9,DePara_Pais!$B$2:$B$9,"REVISAR"))</f>
        <v>Brasil</v>
      </c>
      <c r="P1412" s="4" t="str">
        <f aca="false">IF($A1412="","",IF(O1412&lt;&gt;"Brasil","Turista Internacional",IF(M1412=F1412,"Local","Turista Nacional")))</f>
        <v>Local</v>
      </c>
      <c r="Q1412" s="7" t="n">
        <f aca="false">IF($A1412="","",DATE(YEAR(B1412),MONTH(B1412),1))</f>
        <v>46082</v>
      </c>
      <c r="R1412" s="4" t="str">
        <f aca="false">IF($A1412="","",IF(COUNTIF($A$2:$A1412,$A1412)&gt;1,"Sim","Não"))</f>
        <v>Não</v>
      </c>
      <c r="S1412" s="4" t="str">
        <f aca="false">IF(A1412="","Descartar - Linha vazia",IF(R1412="Sim","Descartar - Duplicado",IF(OR(H1412&lt;=0,I1412&lt;=0),"Descartar - Qtd/Valor inválido","OK")))</f>
        <v>OK</v>
      </c>
      <c r="T1412" s="4" t="str">
        <f aca="false">Base_Bruta!P1412</f>
        <v>vendas_RJ.xlsx</v>
      </c>
    </row>
    <row r="1413" customFormat="false" ht="15" hidden="false" customHeight="false" outlineLevel="0" collapsed="false">
      <c r="A1413" s="4" t="str">
        <f aca="false">IF(Base_Bruta!A1413="","",Base_Bruta!A1413)</f>
        <v>RJ-000699</v>
      </c>
      <c r="B1413" s="5" t="n">
        <f aca="false">IF($A1413="","",IF(ISNUMBER(Base_Bruta!B1413),Base_Bruta!B1413,IF(MID(Base_Bruta!B1413,5,1)="-",DATE(VALUE(LEFT(Base_Bruta!B1413,4)),VALUE(MID(Base_Bruta!B1413,6,2)),VALUE(RIGHT(Base_Bruta!B1413,2))),DATE(VALUE(RIGHT(Base_Bruta!B1413,4)),VALUE(MID(Base_Bruta!B1413,4,2)),VALUE(LEFT(Base_Bruta!B1413,2))))))</f>
        <v>46089</v>
      </c>
      <c r="C1413" s="5" t="n">
        <f aca="false">IF($A1413="","",IF(ISNUMBER(Base_Bruta!C1413),Base_Bruta!C1413,IF(MID(Base_Bruta!C1413,5,1)="-",DATE(VALUE(LEFT(Base_Bruta!C1413,4)),VALUE(MID(Base_Bruta!C1413,6,2)),VALUE(RIGHT(Base_Bruta!C1413,2))),DATE(VALUE(RIGHT(Base_Bruta!C1413,4)),VALUE(MID(Base_Bruta!C1413,4,2)),VALUE(LEFT(Base_Bruta!C1413,2))))))</f>
        <v>46090</v>
      </c>
      <c r="D1413" s="4" t="str">
        <f aca="false">IF($A1413="","",TRIM(Base_Bruta!D1413))</f>
        <v>Cinema Barra - Sessões</v>
      </c>
      <c r="E1413" s="4" t="str">
        <f aca="false">IF($A1413="","",_xlfn.XLOOKUP(LOWER(TRIM(Base_Bruta!E1413)),DePara_Categoria!$A$2:$A$9,DePara_Categoria!$B$2:$B$9,"REVISAR"))</f>
        <v>Cinema</v>
      </c>
      <c r="F1413" s="4" t="str">
        <f aca="false">IF($A1413="","",_xlfn.XLOOKUP(LOWER(TRIM(Base_Bruta!F1413)),DePara_Cidade!$A$2:$A$29,DePara_Cidade!$B$2:$B$29,"REVISAR"))</f>
        <v>Rio de Janeiro</v>
      </c>
      <c r="G1413" s="4" t="str">
        <f aca="false">IF($A1413="","",TRIM(Base_Bruta!G1413))</f>
        <v>Inteira</v>
      </c>
      <c r="H1413" s="4" t="n">
        <f aca="false">IF($A1413="","",IF(ISNUMBER(Base_Bruta!H1413),Base_Bruta!H1413,IFERROR(_xlfn.NUMBERVALUE(TRIM(SUBSTITUTE(Base_Bruta!H1413,"R$","")),",","."),0)))</f>
        <v>4</v>
      </c>
      <c r="I1413" s="6" t="n">
        <f aca="false">IF($A1413="","",IF(ISNUMBER(Base_Bruta!I1413),Base_Bruta!I1413,IFERROR(_xlfn.NUMBERVALUE(TRIM(SUBSTITUTE(Base_Bruta!I1413,"R$","")),",","."),0)))</f>
        <v>40</v>
      </c>
      <c r="J1413" s="6" t="n">
        <f aca="false">IF($A1413="","",H1413*I1413)</f>
        <v>160</v>
      </c>
      <c r="K1413" s="4" t="str">
        <f aca="false">IF($A1413="","",TRIM(Base_Bruta!J1413))</f>
        <v>App</v>
      </c>
      <c r="L1413" s="4" t="str">
        <f aca="false">IF($A1413="","",TRIM(Base_Bruta!K1413))</f>
        <v>C01546</v>
      </c>
      <c r="M1413" s="4" t="str">
        <f aca="false">IF($A1413="","",_xlfn.XLOOKUP(LOWER(TRIM(Base_Bruta!L1413)),DePara_Cidade!$A$2:$A$29,DePara_Cidade!$B$2:$B$29,"REVISAR"))</f>
        <v>Rio de Janeiro</v>
      </c>
      <c r="N1413" s="4" t="str">
        <f aca="false">IF($A1413="","",UPPER(TRIM(Base_Bruta!M1413)))</f>
        <v>RJ</v>
      </c>
      <c r="O1413" s="4" t="str">
        <f aca="false">IF($A1413="","",_xlfn.XLOOKUP(LOWER(TRIM(Base_Bruta!N1413)),DePara_Pais!$A$2:$A$9,DePara_Pais!$B$2:$B$9,"REVISAR"))</f>
        <v>Brasil</v>
      </c>
      <c r="P1413" s="4" t="str">
        <f aca="false">IF($A1413="","",IF(O1413&lt;&gt;"Brasil","Turista Internacional",IF(M1413=F1413,"Local","Turista Nacional")))</f>
        <v>Local</v>
      </c>
      <c r="Q1413" s="7" t="n">
        <f aca="false">IF($A1413="","",DATE(YEAR(B1413),MONTH(B1413),1))</f>
        <v>46082</v>
      </c>
      <c r="R1413" s="4" t="str">
        <f aca="false">IF($A1413="","",IF(COUNTIF($A$2:$A1413,$A1413)&gt;1,"Sim","Não"))</f>
        <v>Não</v>
      </c>
      <c r="S1413" s="4" t="str">
        <f aca="false">IF(A1413="","Descartar - Linha vazia",IF(R1413="Sim","Descartar - Duplicado",IF(OR(H1413&lt;=0,I1413&lt;=0),"Descartar - Qtd/Valor inválido","OK")))</f>
        <v>OK</v>
      </c>
      <c r="T1413" s="4" t="str">
        <f aca="false">Base_Bruta!P1413</f>
        <v>vendas_RJ.xlsx</v>
      </c>
    </row>
    <row r="1414" customFormat="false" ht="15" hidden="false" customHeight="false" outlineLevel="0" collapsed="false">
      <c r="A1414" s="4" t="str">
        <f aca="false">IF(Base_Bruta!A1414="","",Base_Bruta!A1414)</f>
        <v>RJ-000532</v>
      </c>
      <c r="B1414" s="5" t="n">
        <f aca="false">IF($A1414="","",IF(ISNUMBER(Base_Bruta!B1414),Base_Bruta!B1414,IF(MID(Base_Bruta!B1414,5,1)="-",DATE(VALUE(LEFT(Base_Bruta!B1414,4)),VALUE(MID(Base_Bruta!B1414,6,2)),VALUE(RIGHT(Base_Bruta!B1414,2))),DATE(VALUE(RIGHT(Base_Bruta!B1414,4)),VALUE(MID(Base_Bruta!B1414,4,2)),VALUE(LEFT(Base_Bruta!B1414,2))))))</f>
        <v>46093</v>
      </c>
      <c r="C1414" s="5" t="n">
        <f aca="false">IF($A1414="","",IF(ISNUMBER(Base_Bruta!C1414),Base_Bruta!C1414,IF(MID(Base_Bruta!C1414,5,1)="-",DATE(VALUE(LEFT(Base_Bruta!C1414,4)),VALUE(MID(Base_Bruta!C1414,6,2)),VALUE(RIGHT(Base_Bruta!C1414,2))),DATE(VALUE(RIGHT(Base_Bruta!C1414,4)),VALUE(MID(Base_Bruta!C1414,4,2)),VALUE(LEFT(Base_Bruta!C1414,2))))))</f>
        <v>46093</v>
      </c>
      <c r="D1414" s="4" t="str">
        <f aca="false">IF($A1414="","",TRIM(Base_Bruta!D1414))</f>
        <v>Cinema Barra - Sessões</v>
      </c>
      <c r="E1414" s="4" t="str">
        <f aca="false">IF($A1414="","",_xlfn.XLOOKUP(LOWER(TRIM(Base_Bruta!E1414)),DePara_Categoria!$A$2:$A$9,DePara_Categoria!$B$2:$B$9,"REVISAR"))</f>
        <v>Cinema</v>
      </c>
      <c r="F1414" s="4" t="str">
        <f aca="false">IF($A1414="","",_xlfn.XLOOKUP(LOWER(TRIM(Base_Bruta!F1414)),DePara_Cidade!$A$2:$A$29,DePara_Cidade!$B$2:$B$29,"REVISAR"))</f>
        <v>Rio de Janeiro</v>
      </c>
      <c r="G1414" s="4" t="str">
        <f aca="false">IF($A1414="","",TRIM(Base_Bruta!G1414))</f>
        <v>Meia</v>
      </c>
      <c r="H1414" s="4" t="n">
        <f aca="false">IF($A1414="","",IF(ISNUMBER(Base_Bruta!H1414),Base_Bruta!H1414,IFERROR(_xlfn.NUMBERVALUE(TRIM(SUBSTITUTE(Base_Bruta!H1414,"R$","")),",","."),0)))</f>
        <v>1</v>
      </c>
      <c r="I1414" s="6" t="n">
        <f aca="false">IF($A1414="","",IF(ISNUMBER(Base_Bruta!I1414),Base_Bruta!I1414,IFERROR(_xlfn.NUMBERVALUE(TRIM(SUBSTITUTE(Base_Bruta!I1414,"R$","")),",","."),0)))</f>
        <v>22.5</v>
      </c>
      <c r="J1414" s="6" t="n">
        <f aca="false">IF($A1414="","",H1414*I1414)</f>
        <v>22.5</v>
      </c>
      <c r="K1414" s="4" t="str">
        <f aca="false">IF($A1414="","",TRIM(Base_Bruta!J1414))</f>
        <v>App</v>
      </c>
      <c r="L1414" s="4" t="str">
        <f aca="false">IF($A1414="","",TRIM(Base_Bruta!K1414))</f>
        <v>C00864</v>
      </c>
      <c r="M1414" s="4" t="str">
        <f aca="false">IF($A1414="","",_xlfn.XLOOKUP(LOWER(TRIM(Base_Bruta!L1414)),DePara_Cidade!$A$2:$A$29,DePara_Cidade!$B$2:$B$29,"REVISAR"))</f>
        <v>Rio de Janeiro</v>
      </c>
      <c r="N1414" s="4" t="str">
        <f aca="false">IF($A1414="","",UPPER(TRIM(Base_Bruta!M1414)))</f>
        <v>RJ</v>
      </c>
      <c r="O1414" s="4" t="str">
        <f aca="false">IF($A1414="","",_xlfn.XLOOKUP(LOWER(TRIM(Base_Bruta!N1414)),DePara_Pais!$A$2:$A$9,DePara_Pais!$B$2:$B$9,"REVISAR"))</f>
        <v>Brasil</v>
      </c>
      <c r="P1414" s="4" t="str">
        <f aca="false">IF($A1414="","",IF(O1414&lt;&gt;"Brasil","Turista Internacional",IF(M1414=F1414,"Local","Turista Nacional")))</f>
        <v>Local</v>
      </c>
      <c r="Q1414" s="7" t="n">
        <f aca="false">IF($A1414="","",DATE(YEAR(B1414),MONTH(B1414),1))</f>
        <v>46082</v>
      </c>
      <c r="R1414" s="4" t="str">
        <f aca="false">IF($A1414="","",IF(COUNTIF($A$2:$A1414,$A1414)&gt;1,"Sim","Não"))</f>
        <v>Não</v>
      </c>
      <c r="S1414" s="4" t="str">
        <f aca="false">IF(A1414="","Descartar - Linha vazia",IF(R1414="Sim","Descartar - Duplicado",IF(OR(H1414&lt;=0,I1414&lt;=0),"Descartar - Qtd/Valor inválido","OK")))</f>
        <v>OK</v>
      </c>
      <c r="T1414" s="4" t="str">
        <f aca="false">Base_Bruta!P1414</f>
        <v>vendas_RJ.xlsx</v>
      </c>
    </row>
    <row r="1415" customFormat="false" ht="15" hidden="false" customHeight="false" outlineLevel="0" collapsed="false">
      <c r="A1415" s="4" t="str">
        <f aca="false">IF(Base_Bruta!A1415="","",Base_Bruta!A1415)</f>
        <v>RJ-000630</v>
      </c>
      <c r="B1415" s="5" t="n">
        <f aca="false">IF($A1415="","",IF(ISNUMBER(Base_Bruta!B1415),Base_Bruta!B1415,IF(MID(Base_Bruta!B1415,5,1)="-",DATE(VALUE(LEFT(Base_Bruta!B1415,4)),VALUE(MID(Base_Bruta!B1415,6,2)),VALUE(RIGHT(Base_Bruta!B1415,2))),DATE(VALUE(RIGHT(Base_Bruta!B1415,4)),VALUE(MID(Base_Bruta!B1415,4,2)),VALUE(LEFT(Base_Bruta!B1415,2))))))</f>
        <v>46093</v>
      </c>
      <c r="C1415" s="5" t="n">
        <f aca="false">IF($A1415="","",IF(ISNUMBER(Base_Bruta!C1415),Base_Bruta!C1415,IF(MID(Base_Bruta!C1415,5,1)="-",DATE(VALUE(LEFT(Base_Bruta!C1415,4)),VALUE(MID(Base_Bruta!C1415,6,2)),VALUE(RIGHT(Base_Bruta!C1415,2))),DATE(VALUE(RIGHT(Base_Bruta!C1415,4)),VALUE(MID(Base_Bruta!C1415,4,2)),VALUE(LEFT(Base_Bruta!C1415,2))))))</f>
        <v>46093</v>
      </c>
      <c r="D1415" s="4" t="str">
        <f aca="false">IF($A1415="","",TRIM(Base_Bruta!D1415))</f>
        <v>Cinema Barra - Sessões</v>
      </c>
      <c r="E1415" s="4" t="str">
        <f aca="false">IF($A1415="","",_xlfn.XLOOKUP(LOWER(TRIM(Base_Bruta!E1415)),DePara_Categoria!$A$2:$A$9,DePara_Categoria!$B$2:$B$9,"REVISAR"))</f>
        <v>Cinema</v>
      </c>
      <c r="F1415" s="4" t="str">
        <f aca="false">IF($A1415="","",_xlfn.XLOOKUP(LOWER(TRIM(Base_Bruta!F1415)),DePara_Cidade!$A$2:$A$29,DePara_Cidade!$B$2:$B$29,"REVISAR"))</f>
        <v>Rio de Janeiro</v>
      </c>
      <c r="G1415" s="4" t="str">
        <f aca="false">IF($A1415="","",TRIM(Base_Bruta!G1415))</f>
        <v>Inteira</v>
      </c>
      <c r="H1415" s="4" t="n">
        <f aca="false">IF($A1415="","",IF(ISNUMBER(Base_Bruta!H1415),Base_Bruta!H1415,IFERROR(_xlfn.NUMBERVALUE(TRIM(SUBSTITUTE(Base_Bruta!H1415,"R$","")),",","."),0)))</f>
        <v>1</v>
      </c>
      <c r="I1415" s="6" t="n">
        <f aca="false">IF($A1415="","",IF(ISNUMBER(Base_Bruta!I1415),Base_Bruta!I1415,IFERROR(_xlfn.NUMBERVALUE(TRIM(SUBSTITUTE(Base_Bruta!I1415,"R$","")),",","."),0)))</f>
        <v>40</v>
      </c>
      <c r="J1415" s="6" t="n">
        <f aca="false">IF($A1415="","",H1415*I1415)</f>
        <v>40</v>
      </c>
      <c r="K1415" s="4" t="str">
        <f aca="false">IF($A1415="","",TRIM(Base_Bruta!J1415))</f>
        <v>Site</v>
      </c>
      <c r="L1415" s="4" t="str">
        <f aca="false">IF($A1415="","",TRIM(Base_Bruta!K1415))</f>
        <v>C00312</v>
      </c>
      <c r="M1415" s="4" t="str">
        <f aca="false">IF($A1415="","",_xlfn.XLOOKUP(LOWER(TRIM(Base_Bruta!L1415)),DePara_Cidade!$A$2:$A$29,DePara_Cidade!$B$2:$B$29,"REVISAR"))</f>
        <v>Rio de Janeiro</v>
      </c>
      <c r="N1415" s="4" t="str">
        <f aca="false">IF($A1415="","",UPPER(TRIM(Base_Bruta!M1415)))</f>
        <v>RJ</v>
      </c>
      <c r="O1415" s="4" t="str">
        <f aca="false">IF($A1415="","",_xlfn.XLOOKUP(LOWER(TRIM(Base_Bruta!N1415)),DePara_Pais!$A$2:$A$9,DePara_Pais!$B$2:$B$9,"REVISAR"))</f>
        <v>Brasil</v>
      </c>
      <c r="P1415" s="4" t="str">
        <f aca="false">IF($A1415="","",IF(O1415&lt;&gt;"Brasil","Turista Internacional",IF(M1415=F1415,"Local","Turista Nacional")))</f>
        <v>Local</v>
      </c>
      <c r="Q1415" s="7" t="n">
        <f aca="false">IF($A1415="","",DATE(YEAR(B1415),MONTH(B1415),1))</f>
        <v>46082</v>
      </c>
      <c r="R1415" s="4" t="str">
        <f aca="false">IF($A1415="","",IF(COUNTIF($A$2:$A1415,$A1415)&gt;1,"Sim","Não"))</f>
        <v>Não</v>
      </c>
      <c r="S1415" s="4" t="str">
        <f aca="false">IF(A1415="","Descartar - Linha vazia",IF(R1415="Sim","Descartar - Duplicado",IF(OR(H1415&lt;=0,I1415&lt;=0),"Descartar - Qtd/Valor inválido","OK")))</f>
        <v>OK</v>
      </c>
      <c r="T1415" s="4" t="str">
        <f aca="false">Base_Bruta!P1415</f>
        <v>vendas_RJ.xlsx</v>
      </c>
    </row>
    <row r="1416" customFormat="false" ht="15" hidden="false" customHeight="false" outlineLevel="0" collapsed="false">
      <c r="A1416" s="4" t="str">
        <f aca="false">IF(Base_Bruta!A1416="","",Base_Bruta!A1416)</f>
        <v>RJ-000431</v>
      </c>
      <c r="B1416" s="5" t="n">
        <f aca="false">IF($A1416="","",IF(ISNUMBER(Base_Bruta!B1416),Base_Bruta!B1416,IF(MID(Base_Bruta!B1416,5,1)="-",DATE(VALUE(LEFT(Base_Bruta!B1416,4)),VALUE(MID(Base_Bruta!B1416,6,2)),VALUE(RIGHT(Base_Bruta!B1416,2))),DATE(VALUE(RIGHT(Base_Bruta!B1416,4)),VALUE(MID(Base_Bruta!B1416,4,2)),VALUE(LEFT(Base_Bruta!B1416,2))))))</f>
        <v>46094</v>
      </c>
      <c r="C1416" s="5" t="n">
        <f aca="false">IF($A1416="","",IF(ISNUMBER(Base_Bruta!C1416),Base_Bruta!C1416,IF(MID(Base_Bruta!C1416,5,1)="-",DATE(VALUE(LEFT(Base_Bruta!C1416,4)),VALUE(MID(Base_Bruta!C1416,6,2)),VALUE(RIGHT(Base_Bruta!C1416,2))),DATE(VALUE(RIGHT(Base_Bruta!C1416,4)),VALUE(MID(Base_Bruta!C1416,4,2)),VALUE(LEFT(Base_Bruta!C1416,2))))))</f>
        <v>46151</v>
      </c>
      <c r="D1416" s="4" t="str">
        <f aca="false">IF($A1416="","",TRIM(Base_Bruta!D1416))</f>
        <v>Turnê Internacional Rock - Rio</v>
      </c>
      <c r="E1416" s="4" t="str">
        <f aca="false">IF($A1416="","",_xlfn.XLOOKUP(LOWER(TRIM(Base_Bruta!E1416)),DePara_Categoria!$A$2:$A$9,DePara_Categoria!$B$2:$B$9,"REVISAR"))</f>
        <v>Show</v>
      </c>
      <c r="F1416" s="4" t="str">
        <f aca="false">IF($A1416="","",_xlfn.XLOOKUP(LOWER(TRIM(Base_Bruta!F1416)),DePara_Cidade!$A$2:$A$29,DePara_Cidade!$B$2:$B$29,"REVISAR"))</f>
        <v>Rio de Janeiro</v>
      </c>
      <c r="G1416" s="4" t="str">
        <f aca="false">IF($A1416="","",TRIM(Base_Bruta!G1416))</f>
        <v>Inteira</v>
      </c>
      <c r="H1416" s="4" t="n">
        <f aca="false">IF($A1416="","",IF(ISNUMBER(Base_Bruta!H1416),Base_Bruta!H1416,IFERROR(_xlfn.NUMBERVALUE(TRIM(SUBSTITUTE(Base_Bruta!H1416,"R$","")),",","."),0)))</f>
        <v>2</v>
      </c>
      <c r="I1416" s="6" t="n">
        <f aca="false">IF($A1416="","",IF(ISNUMBER(Base_Bruta!I1416),Base_Bruta!I1416,IFERROR(_xlfn.NUMBERVALUE(TRIM(SUBSTITUTE(Base_Bruta!I1416,"R$","")),",","."),0)))</f>
        <v>655</v>
      </c>
      <c r="J1416" s="6" t="n">
        <f aca="false">IF($A1416="","",H1416*I1416)</f>
        <v>1310</v>
      </c>
      <c r="K1416" s="4" t="str">
        <f aca="false">IF($A1416="","",TRIM(Base_Bruta!J1416))</f>
        <v>Site</v>
      </c>
      <c r="L1416" s="4" t="str">
        <f aca="false">IF($A1416="","",TRIM(Base_Bruta!K1416))</f>
        <v>C01546</v>
      </c>
      <c r="M1416" s="4" t="str">
        <f aca="false">IF($A1416="","",_xlfn.XLOOKUP(LOWER(TRIM(Base_Bruta!L1416)),DePara_Cidade!$A$2:$A$29,DePara_Cidade!$B$2:$B$29,"REVISAR"))</f>
        <v>Rio de Janeiro</v>
      </c>
      <c r="N1416" s="4" t="str">
        <f aca="false">IF($A1416="","",UPPER(TRIM(Base_Bruta!M1416)))</f>
        <v>RJ</v>
      </c>
      <c r="O1416" s="4" t="str">
        <f aca="false">IF($A1416="","",_xlfn.XLOOKUP(LOWER(TRIM(Base_Bruta!N1416)),DePara_Pais!$A$2:$A$9,DePara_Pais!$B$2:$B$9,"REVISAR"))</f>
        <v>Brasil</v>
      </c>
      <c r="P1416" s="4" t="str">
        <f aca="false">IF($A1416="","",IF(O1416&lt;&gt;"Brasil","Turista Internacional",IF(M1416=F1416,"Local","Turista Nacional")))</f>
        <v>Local</v>
      </c>
      <c r="Q1416" s="7" t="n">
        <f aca="false">IF($A1416="","",DATE(YEAR(B1416),MONTH(B1416),1))</f>
        <v>46082</v>
      </c>
      <c r="R1416" s="4" t="str">
        <f aca="false">IF($A1416="","",IF(COUNTIF($A$2:$A1416,$A1416)&gt;1,"Sim","Não"))</f>
        <v>Não</v>
      </c>
      <c r="S1416" s="4" t="str">
        <f aca="false">IF(A1416="","Descartar - Linha vazia",IF(R1416="Sim","Descartar - Duplicado",IF(OR(H1416&lt;=0,I1416&lt;=0),"Descartar - Qtd/Valor inválido","OK")))</f>
        <v>OK</v>
      </c>
      <c r="T1416" s="4" t="str">
        <f aca="false">Base_Bruta!P1416</f>
        <v>vendas_RJ.xlsx</v>
      </c>
    </row>
    <row r="1417" customFormat="false" ht="15" hidden="false" customHeight="false" outlineLevel="0" collapsed="false">
      <c r="A1417" s="4" t="str">
        <f aca="false">IF(Base_Bruta!A1417="","",Base_Bruta!A1417)</f>
        <v>RJ-000410</v>
      </c>
      <c r="B1417" s="5" t="n">
        <f aca="false">IF($A1417="","",IF(ISNUMBER(Base_Bruta!B1417),Base_Bruta!B1417,IF(MID(Base_Bruta!B1417,5,1)="-",DATE(VALUE(LEFT(Base_Bruta!B1417,4)),VALUE(MID(Base_Bruta!B1417,6,2)),VALUE(RIGHT(Base_Bruta!B1417,2))),DATE(VALUE(RIGHT(Base_Bruta!B1417,4)),VALUE(MID(Base_Bruta!B1417,4,2)),VALUE(LEFT(Base_Bruta!B1417,2))))))</f>
        <v>46096</v>
      </c>
      <c r="C1417" s="5" t="n">
        <f aca="false">IF($A1417="","",IF(ISNUMBER(Base_Bruta!C1417),Base_Bruta!C1417,IF(MID(Base_Bruta!C1417,5,1)="-",DATE(VALUE(LEFT(Base_Bruta!C1417,4)),VALUE(MID(Base_Bruta!C1417,6,2)),VALUE(RIGHT(Base_Bruta!C1417,2))),DATE(VALUE(RIGHT(Base_Bruta!C1417,4)),VALUE(MID(Base_Bruta!C1417,4,2)),VALUE(LEFT(Base_Bruta!C1417,2))))))</f>
        <v>46151</v>
      </c>
      <c r="D1417" s="4" t="str">
        <f aca="false">IF($A1417="","",TRIM(Base_Bruta!D1417))</f>
        <v>Turnê Internacional Rock - Rio</v>
      </c>
      <c r="E1417" s="4" t="str">
        <f aca="false">IF($A1417="","",_xlfn.XLOOKUP(LOWER(TRIM(Base_Bruta!E1417)),DePara_Categoria!$A$2:$A$9,DePara_Categoria!$B$2:$B$9,"REVISAR"))</f>
        <v>Show</v>
      </c>
      <c r="F1417" s="4" t="str">
        <f aca="false">IF($A1417="","",_xlfn.XLOOKUP(LOWER(TRIM(Base_Bruta!F1417)),DePara_Cidade!$A$2:$A$29,DePara_Cidade!$B$2:$B$29,"REVISAR"))</f>
        <v>Rio de Janeiro</v>
      </c>
      <c r="G1417" s="4" t="str">
        <f aca="false">IF($A1417="","",TRIM(Base_Bruta!G1417))</f>
        <v>Inteira</v>
      </c>
      <c r="H1417" s="4" t="n">
        <f aca="false">IF($A1417="","",IF(ISNUMBER(Base_Bruta!H1417),Base_Bruta!H1417,IFERROR(_xlfn.NUMBERVALUE(TRIM(SUBSTITUTE(Base_Bruta!H1417,"R$","")),",","."),0)))</f>
        <v>1</v>
      </c>
      <c r="I1417" s="6" t="n">
        <f aca="false">IF($A1417="","",IF(ISNUMBER(Base_Bruta!I1417),Base_Bruta!I1417,IFERROR(_xlfn.NUMBERVALUE(TRIM(SUBSTITUTE(Base_Bruta!I1417,"R$","")),",","."),0)))</f>
        <v>665</v>
      </c>
      <c r="J1417" s="6" t="n">
        <f aca="false">IF($A1417="","",H1417*I1417)</f>
        <v>665</v>
      </c>
      <c r="K1417" s="4" t="str">
        <f aca="false">IF($A1417="","",TRIM(Base_Bruta!J1417))</f>
        <v>Site</v>
      </c>
      <c r="L1417" s="4" t="str">
        <f aca="false">IF($A1417="","",TRIM(Base_Bruta!K1417))</f>
        <v>C01292</v>
      </c>
      <c r="M1417" s="4" t="str">
        <f aca="false">IF($A1417="","",_xlfn.XLOOKUP(LOWER(TRIM(Base_Bruta!L1417)),DePara_Cidade!$A$2:$A$29,DePara_Cidade!$B$2:$B$29,"REVISAR"))</f>
        <v>Rio de Janeiro</v>
      </c>
      <c r="N1417" s="4" t="str">
        <f aca="false">IF($A1417="","",UPPER(TRIM(Base_Bruta!M1417)))</f>
        <v>RJ</v>
      </c>
      <c r="O1417" s="4" t="str">
        <f aca="false">IF($A1417="","",_xlfn.XLOOKUP(LOWER(TRIM(Base_Bruta!N1417)),DePara_Pais!$A$2:$A$9,DePara_Pais!$B$2:$B$9,"REVISAR"))</f>
        <v>Brasil</v>
      </c>
      <c r="P1417" s="4" t="str">
        <f aca="false">IF($A1417="","",IF(O1417&lt;&gt;"Brasil","Turista Internacional",IF(M1417=F1417,"Local","Turista Nacional")))</f>
        <v>Local</v>
      </c>
      <c r="Q1417" s="7" t="n">
        <f aca="false">IF($A1417="","",DATE(YEAR(B1417),MONTH(B1417),1))</f>
        <v>46082</v>
      </c>
      <c r="R1417" s="4" t="str">
        <f aca="false">IF($A1417="","",IF(COUNTIF($A$2:$A1417,$A1417)&gt;1,"Sim","Não"))</f>
        <v>Não</v>
      </c>
      <c r="S1417" s="4" t="str">
        <f aca="false">IF(A1417="","Descartar - Linha vazia",IF(R1417="Sim","Descartar - Duplicado",IF(OR(H1417&lt;=0,I1417&lt;=0),"Descartar - Qtd/Valor inválido","OK")))</f>
        <v>OK</v>
      </c>
      <c r="T1417" s="4" t="str">
        <f aca="false">Base_Bruta!P1417</f>
        <v>vendas_RJ.xlsx</v>
      </c>
    </row>
    <row r="1418" customFormat="false" ht="15" hidden="false" customHeight="false" outlineLevel="0" collapsed="false">
      <c r="A1418" s="4" t="str">
        <f aca="false">IF(Base_Bruta!A1418="","",Base_Bruta!A1418)</f>
        <v>RJ-000699</v>
      </c>
      <c r="B1418" s="5" t="n">
        <f aca="false">IF($A1418="","",IF(ISNUMBER(Base_Bruta!B1418),Base_Bruta!B1418,IF(MID(Base_Bruta!B1418,5,1)="-",DATE(VALUE(LEFT(Base_Bruta!B1418,4)),VALUE(MID(Base_Bruta!B1418,6,2)),VALUE(RIGHT(Base_Bruta!B1418,2))),DATE(VALUE(RIGHT(Base_Bruta!B1418,4)),VALUE(MID(Base_Bruta!B1418,4,2)),VALUE(LEFT(Base_Bruta!B1418,2))))))</f>
        <v>46089</v>
      </c>
      <c r="C1418" s="5" t="n">
        <f aca="false">IF($A1418="","",IF(ISNUMBER(Base_Bruta!C1418),Base_Bruta!C1418,IF(MID(Base_Bruta!C1418,5,1)="-",DATE(VALUE(LEFT(Base_Bruta!C1418,4)),VALUE(MID(Base_Bruta!C1418,6,2)),VALUE(RIGHT(Base_Bruta!C1418,2))),DATE(VALUE(RIGHT(Base_Bruta!C1418,4)),VALUE(MID(Base_Bruta!C1418,4,2)),VALUE(LEFT(Base_Bruta!C1418,2))))))</f>
        <v>46090</v>
      </c>
      <c r="D1418" s="4" t="str">
        <f aca="false">IF($A1418="","",TRIM(Base_Bruta!D1418))</f>
        <v>Cinema Barra - Sessões</v>
      </c>
      <c r="E1418" s="4" t="str">
        <f aca="false">IF($A1418="","",_xlfn.XLOOKUP(LOWER(TRIM(Base_Bruta!E1418)),DePara_Categoria!$A$2:$A$9,DePara_Categoria!$B$2:$B$9,"REVISAR"))</f>
        <v>Cinema</v>
      </c>
      <c r="F1418" s="4" t="str">
        <f aca="false">IF($A1418="","",_xlfn.XLOOKUP(LOWER(TRIM(Base_Bruta!F1418)),DePara_Cidade!$A$2:$A$29,DePara_Cidade!$B$2:$B$29,"REVISAR"))</f>
        <v>Rio de Janeiro</v>
      </c>
      <c r="G1418" s="4" t="str">
        <f aca="false">IF($A1418="","",TRIM(Base_Bruta!G1418))</f>
        <v>Inteira</v>
      </c>
      <c r="H1418" s="4" t="n">
        <f aca="false">IF($A1418="","",IF(ISNUMBER(Base_Bruta!H1418),Base_Bruta!H1418,IFERROR(_xlfn.NUMBERVALUE(TRIM(SUBSTITUTE(Base_Bruta!H1418,"R$","")),",","."),0)))</f>
        <v>4</v>
      </c>
      <c r="I1418" s="6" t="n">
        <f aca="false">IF($A1418="","",IF(ISNUMBER(Base_Bruta!I1418),Base_Bruta!I1418,IFERROR(_xlfn.NUMBERVALUE(TRIM(SUBSTITUTE(Base_Bruta!I1418,"R$","")),",","."),0)))</f>
        <v>40</v>
      </c>
      <c r="J1418" s="6" t="n">
        <f aca="false">IF($A1418="","",H1418*I1418)</f>
        <v>160</v>
      </c>
      <c r="K1418" s="4" t="str">
        <f aca="false">IF($A1418="","",TRIM(Base_Bruta!J1418))</f>
        <v>App</v>
      </c>
      <c r="L1418" s="4" t="str">
        <f aca="false">IF($A1418="","",TRIM(Base_Bruta!K1418))</f>
        <v>C01546</v>
      </c>
      <c r="M1418" s="4" t="str">
        <f aca="false">IF($A1418="","",_xlfn.XLOOKUP(LOWER(TRIM(Base_Bruta!L1418)),DePara_Cidade!$A$2:$A$29,DePara_Cidade!$B$2:$B$29,"REVISAR"))</f>
        <v>Rio de Janeiro</v>
      </c>
      <c r="N1418" s="4" t="str">
        <f aca="false">IF($A1418="","",UPPER(TRIM(Base_Bruta!M1418)))</f>
        <v>RJ</v>
      </c>
      <c r="O1418" s="4" t="str">
        <f aca="false">IF($A1418="","",_xlfn.XLOOKUP(LOWER(TRIM(Base_Bruta!N1418)),DePara_Pais!$A$2:$A$9,DePara_Pais!$B$2:$B$9,"REVISAR"))</f>
        <v>Brasil</v>
      </c>
      <c r="P1418" s="4" t="str">
        <f aca="false">IF($A1418="","",IF(O1418&lt;&gt;"Brasil","Turista Internacional",IF(M1418=F1418,"Local","Turista Nacional")))</f>
        <v>Local</v>
      </c>
      <c r="Q1418" s="7" t="n">
        <f aca="false">IF($A1418="","",DATE(YEAR(B1418),MONTH(B1418),1))</f>
        <v>46082</v>
      </c>
      <c r="R1418" s="4" t="str">
        <f aca="false">IF($A1418="","",IF(COUNTIF($A$2:$A1418,$A1418)&gt;1,"Sim","Não"))</f>
        <v>Sim</v>
      </c>
      <c r="S1418" s="4" t="str">
        <f aca="false">IF(A1418="","Descartar - Linha vazia",IF(R1418="Sim","Descartar - Duplicado",IF(OR(H1418&lt;=0,I1418&lt;=0),"Descartar - Qtd/Valor inválido","OK")))</f>
        <v>Descartar - Duplicado</v>
      </c>
      <c r="T1418" s="4" t="str">
        <f aca="false">Base_Bruta!P1418</f>
        <v>vendas_RJ.xlsx</v>
      </c>
    </row>
    <row r="1419" customFormat="false" ht="15" hidden="false" customHeight="false" outlineLevel="0" collapsed="false">
      <c r="A1419" s="4" t="str">
        <f aca="false">IF(Base_Bruta!A1419="","",Base_Bruta!A1419)</f>
        <v>RJ-000467</v>
      </c>
      <c r="B1419" s="5" t="n">
        <f aca="false">IF($A1419="","",IF(ISNUMBER(Base_Bruta!B1419),Base_Bruta!B1419,IF(MID(Base_Bruta!B1419,5,1)="-",DATE(VALUE(LEFT(Base_Bruta!B1419,4)),VALUE(MID(Base_Bruta!B1419,6,2)),VALUE(RIGHT(Base_Bruta!B1419,2))),DATE(VALUE(RIGHT(Base_Bruta!B1419,4)),VALUE(MID(Base_Bruta!B1419,4,2)),VALUE(LEFT(Base_Bruta!B1419,2))))))</f>
        <v>46097</v>
      </c>
      <c r="C1419" s="5" t="n">
        <f aca="false">IF($A1419="","",IF(ISNUMBER(Base_Bruta!C1419),Base_Bruta!C1419,IF(MID(Base_Bruta!C1419,5,1)="-",DATE(VALUE(LEFT(Base_Bruta!C1419,4)),VALUE(MID(Base_Bruta!C1419,6,2)),VALUE(RIGHT(Base_Bruta!C1419,2))),DATE(VALUE(RIGHT(Base_Bruta!C1419,4)),VALUE(MID(Base_Bruta!C1419,4,2)),VALUE(LEFT(Base_Bruta!C1419,2))))))</f>
        <v>46151</v>
      </c>
      <c r="D1419" s="4" t="str">
        <f aca="false">IF($A1419="","",TRIM(Base_Bruta!D1419))</f>
        <v>Turnê Internacional Rock - Rio</v>
      </c>
      <c r="E1419" s="4" t="str">
        <f aca="false">IF($A1419="","",_xlfn.XLOOKUP(LOWER(TRIM(Base_Bruta!E1419)),DePara_Categoria!$A$2:$A$9,DePara_Categoria!$B$2:$B$9,"REVISAR"))</f>
        <v>Show</v>
      </c>
      <c r="F1419" s="4" t="str">
        <f aca="false">IF($A1419="","",_xlfn.XLOOKUP(LOWER(TRIM(Base_Bruta!F1419)),DePara_Cidade!$A$2:$A$29,DePara_Cidade!$B$2:$B$29,"REVISAR"))</f>
        <v>Rio de Janeiro</v>
      </c>
      <c r="G1419" s="4" t="str">
        <f aca="false">IF($A1419="","",TRIM(Base_Bruta!G1419))</f>
        <v>Inteira</v>
      </c>
      <c r="H1419" s="4" t="n">
        <f aca="false">IF($A1419="","",IF(ISNUMBER(Base_Bruta!H1419),Base_Bruta!H1419,IFERROR(_xlfn.NUMBERVALUE(TRIM(SUBSTITUTE(Base_Bruta!H1419,"R$","")),",","."),0)))</f>
        <v>4</v>
      </c>
      <c r="I1419" s="6" t="n">
        <f aca="false">IF($A1419="","",IF(ISNUMBER(Base_Bruta!I1419),Base_Bruta!I1419,IFERROR(_xlfn.NUMBERVALUE(TRIM(SUBSTITUTE(Base_Bruta!I1419,"R$","")),",","."),0)))</f>
        <v>725</v>
      </c>
      <c r="J1419" s="6" t="n">
        <f aca="false">IF($A1419="","",H1419*I1419)</f>
        <v>2900</v>
      </c>
      <c r="K1419" s="4" t="str">
        <f aca="false">IF($A1419="","",TRIM(Base_Bruta!J1419))</f>
        <v>Site</v>
      </c>
      <c r="L1419" s="4" t="str">
        <f aca="false">IF($A1419="","",TRIM(Base_Bruta!K1419))</f>
        <v>C00044</v>
      </c>
      <c r="M1419" s="4" t="str">
        <f aca="false">IF($A1419="","",_xlfn.XLOOKUP(LOWER(TRIM(Base_Bruta!L1419)),DePara_Cidade!$A$2:$A$29,DePara_Cidade!$B$2:$B$29,"REVISAR"))</f>
        <v>Rio de Janeiro</v>
      </c>
      <c r="N1419" s="4" t="str">
        <f aca="false">IF($A1419="","",UPPER(TRIM(Base_Bruta!M1419)))</f>
        <v>RJ</v>
      </c>
      <c r="O1419" s="4" t="str">
        <f aca="false">IF($A1419="","",_xlfn.XLOOKUP(LOWER(TRIM(Base_Bruta!N1419)),DePara_Pais!$A$2:$A$9,DePara_Pais!$B$2:$B$9,"REVISAR"))</f>
        <v>Brasil</v>
      </c>
      <c r="P1419" s="4" t="str">
        <f aca="false">IF($A1419="","",IF(O1419&lt;&gt;"Brasil","Turista Internacional",IF(M1419=F1419,"Local","Turista Nacional")))</f>
        <v>Local</v>
      </c>
      <c r="Q1419" s="7" t="n">
        <f aca="false">IF($A1419="","",DATE(YEAR(B1419),MONTH(B1419),1))</f>
        <v>46082</v>
      </c>
      <c r="R1419" s="4" t="str">
        <f aca="false">IF($A1419="","",IF(COUNTIF($A$2:$A1419,$A1419)&gt;1,"Sim","Não"))</f>
        <v>Não</v>
      </c>
      <c r="S1419" s="4" t="str">
        <f aca="false">IF(A1419="","Descartar - Linha vazia",IF(R1419="Sim","Descartar - Duplicado",IF(OR(H1419&lt;=0,I1419&lt;=0),"Descartar - Qtd/Valor inválido","OK")))</f>
        <v>OK</v>
      </c>
      <c r="T1419" s="4" t="str">
        <f aca="false">Base_Bruta!P1419</f>
        <v>vendas_RJ.xlsx</v>
      </c>
    </row>
    <row r="1420" customFormat="false" ht="15" hidden="false" customHeight="false" outlineLevel="0" collapsed="false">
      <c r="A1420" s="4" t="str">
        <f aca="false">IF(Base_Bruta!A1420="","",Base_Bruta!A1420)</f>
        <v>RJ-000512</v>
      </c>
      <c r="B1420" s="5" t="n">
        <f aca="false">IF($A1420="","",IF(ISNUMBER(Base_Bruta!B1420),Base_Bruta!B1420,IF(MID(Base_Bruta!B1420,5,1)="-",DATE(VALUE(LEFT(Base_Bruta!B1420,4)),VALUE(MID(Base_Bruta!B1420,6,2)),VALUE(RIGHT(Base_Bruta!B1420,2))),DATE(VALUE(RIGHT(Base_Bruta!B1420,4)),VALUE(MID(Base_Bruta!B1420,4,2)),VALUE(LEFT(Base_Bruta!B1420,2))))))</f>
        <v>46098</v>
      </c>
      <c r="C1420" s="5" t="n">
        <f aca="false">IF($A1420="","",IF(ISNUMBER(Base_Bruta!C1420),Base_Bruta!C1420,IF(MID(Base_Bruta!C1420,5,1)="-",DATE(VALUE(LEFT(Base_Bruta!C1420,4)),VALUE(MID(Base_Bruta!C1420,6,2)),VALUE(RIGHT(Base_Bruta!C1420,2))),DATE(VALUE(RIGHT(Base_Bruta!C1420,4)),VALUE(MID(Base_Bruta!C1420,4,2)),VALUE(LEFT(Base_Bruta!C1420,2))))))</f>
        <v>46151</v>
      </c>
      <c r="D1420" s="4" t="str">
        <f aca="false">IF($A1420="","",TRIM(Base_Bruta!D1420))</f>
        <v>Turnê Internacional Rock - Rio</v>
      </c>
      <c r="E1420" s="4" t="str">
        <f aca="false">IF($A1420="","",_xlfn.XLOOKUP(LOWER(TRIM(Base_Bruta!E1420)),DePara_Categoria!$A$2:$A$9,DePara_Categoria!$B$2:$B$9,"REVISAR"))</f>
        <v>Show</v>
      </c>
      <c r="F1420" s="4" t="str">
        <f aca="false">IF($A1420="","",_xlfn.XLOOKUP(LOWER(TRIM(Base_Bruta!F1420)),DePara_Cidade!$A$2:$A$29,DePara_Cidade!$B$2:$B$29,"REVISAR"))</f>
        <v>Rio de Janeiro</v>
      </c>
      <c r="G1420" s="4" t="str">
        <f aca="false">IF($A1420="","",TRIM(Base_Bruta!G1420))</f>
        <v>Inteira</v>
      </c>
      <c r="H1420" s="4" t="n">
        <f aca="false">IF($A1420="","",IF(ISNUMBER(Base_Bruta!H1420),Base_Bruta!H1420,IFERROR(_xlfn.NUMBERVALUE(TRIM(SUBSTITUTE(Base_Bruta!H1420,"R$","")),",","."),0)))</f>
        <v>4</v>
      </c>
      <c r="I1420" s="6" t="n">
        <f aca="false">IF($A1420="","",IF(ISNUMBER(Base_Bruta!I1420),Base_Bruta!I1420,IFERROR(_xlfn.NUMBERVALUE(TRIM(SUBSTITUTE(Base_Bruta!I1420,"R$","")),",","."),0)))</f>
        <v>360</v>
      </c>
      <c r="J1420" s="6" t="n">
        <f aca="false">IF($A1420="","",H1420*I1420)</f>
        <v>1440</v>
      </c>
      <c r="K1420" s="4" t="str">
        <f aca="false">IF($A1420="","",TRIM(Base_Bruta!J1420))</f>
        <v>App</v>
      </c>
      <c r="L1420" s="4" t="str">
        <f aca="false">IF($A1420="","",TRIM(Base_Bruta!K1420))</f>
        <v>C00681</v>
      </c>
      <c r="M1420" s="4" t="str">
        <f aca="false">IF($A1420="","",_xlfn.XLOOKUP(LOWER(TRIM(Base_Bruta!L1420)),DePara_Cidade!$A$2:$A$29,DePara_Cidade!$B$2:$B$29,"REVISAR"))</f>
        <v>Rio de Janeiro</v>
      </c>
      <c r="N1420" s="4" t="str">
        <f aca="false">IF($A1420="","",UPPER(TRIM(Base_Bruta!M1420)))</f>
        <v>RJ</v>
      </c>
      <c r="O1420" s="4" t="str">
        <f aca="false">IF($A1420="","",_xlfn.XLOOKUP(LOWER(TRIM(Base_Bruta!N1420)),DePara_Pais!$A$2:$A$9,DePara_Pais!$B$2:$B$9,"REVISAR"))</f>
        <v>Brasil</v>
      </c>
      <c r="P1420" s="4" t="str">
        <f aca="false">IF($A1420="","",IF(O1420&lt;&gt;"Brasil","Turista Internacional",IF(M1420=F1420,"Local","Turista Nacional")))</f>
        <v>Local</v>
      </c>
      <c r="Q1420" s="7" t="n">
        <f aca="false">IF($A1420="","",DATE(YEAR(B1420),MONTH(B1420),1))</f>
        <v>46082</v>
      </c>
      <c r="R1420" s="4" t="str">
        <f aca="false">IF($A1420="","",IF(COUNTIF($A$2:$A1420,$A1420)&gt;1,"Sim","Não"))</f>
        <v>Não</v>
      </c>
      <c r="S1420" s="4" t="str">
        <f aca="false">IF(A1420="","Descartar - Linha vazia",IF(R1420="Sim","Descartar - Duplicado",IF(OR(H1420&lt;=0,I1420&lt;=0),"Descartar - Qtd/Valor inválido","OK")))</f>
        <v>OK</v>
      </c>
      <c r="T1420" s="4" t="str">
        <f aca="false">Base_Bruta!P1420</f>
        <v>vendas_RJ.xlsx</v>
      </c>
    </row>
    <row r="1421" customFormat="false" ht="15" hidden="false" customHeight="false" outlineLevel="0" collapsed="false">
      <c r="A1421" s="4" t="str">
        <f aca="false">IF(Base_Bruta!A1421="","",Base_Bruta!A1421)</f>
        <v>RJ-000487</v>
      </c>
      <c r="B1421" s="5" t="n">
        <f aca="false">IF($A1421="","",IF(ISNUMBER(Base_Bruta!B1421),Base_Bruta!B1421,IF(MID(Base_Bruta!B1421,5,1)="-",DATE(VALUE(LEFT(Base_Bruta!B1421,4)),VALUE(MID(Base_Bruta!B1421,6,2)),VALUE(RIGHT(Base_Bruta!B1421,2))),DATE(VALUE(RIGHT(Base_Bruta!B1421,4)),VALUE(MID(Base_Bruta!B1421,4,2)),VALUE(LEFT(Base_Bruta!B1421,2))))))</f>
        <v>46104</v>
      </c>
      <c r="C1421" s="5" t="n">
        <f aca="false">IF($A1421="","",IF(ISNUMBER(Base_Bruta!C1421),Base_Bruta!C1421,IF(MID(Base_Bruta!C1421,5,1)="-",DATE(VALUE(LEFT(Base_Bruta!C1421,4)),VALUE(MID(Base_Bruta!C1421,6,2)),VALUE(RIGHT(Base_Bruta!C1421,2))),DATE(VALUE(RIGHT(Base_Bruta!C1421,4)),VALUE(MID(Base_Bruta!C1421,4,2)),VALUE(LEFT(Base_Bruta!C1421,2))))))</f>
        <v>46151</v>
      </c>
      <c r="D1421" s="4" t="str">
        <f aca="false">IF($A1421="","",TRIM(Base_Bruta!D1421))</f>
        <v>Turnê Internacional Rock - Rio</v>
      </c>
      <c r="E1421" s="4" t="str">
        <f aca="false">IF($A1421="","",_xlfn.XLOOKUP(LOWER(TRIM(Base_Bruta!E1421)),DePara_Categoria!$A$2:$A$9,DePara_Categoria!$B$2:$B$9,"REVISAR"))</f>
        <v>Show</v>
      </c>
      <c r="F1421" s="4" t="str">
        <f aca="false">IF($A1421="","",_xlfn.XLOOKUP(LOWER(TRIM(Base_Bruta!F1421)),DePara_Cidade!$A$2:$A$29,DePara_Cidade!$B$2:$B$29,"REVISAR"))</f>
        <v>Rio de Janeiro</v>
      </c>
      <c r="G1421" s="4" t="str">
        <f aca="false">IF($A1421="","",TRIM(Base_Bruta!G1421))</f>
        <v>Inteira</v>
      </c>
      <c r="H1421" s="4" t="n">
        <f aca="false">IF($A1421="","",IF(ISNUMBER(Base_Bruta!H1421),Base_Bruta!H1421,IFERROR(_xlfn.NUMBERVALUE(TRIM(SUBSTITUTE(Base_Bruta!H1421,"R$","")),",","."),0)))</f>
        <v>2</v>
      </c>
      <c r="I1421" s="6" t="n">
        <f aca="false">IF($A1421="","",IF(ISNUMBER(Base_Bruta!I1421),Base_Bruta!I1421,IFERROR(_xlfn.NUMBERVALUE(TRIM(SUBSTITUTE(Base_Bruta!I1421,"R$","")),",","."),0)))</f>
        <v>550</v>
      </c>
      <c r="J1421" s="6" t="n">
        <f aca="false">IF($A1421="","",H1421*I1421)</f>
        <v>1100</v>
      </c>
      <c r="K1421" s="4" t="str">
        <f aca="false">IF($A1421="","",TRIM(Base_Bruta!J1421))</f>
        <v>App</v>
      </c>
      <c r="L1421" s="4" t="str">
        <f aca="false">IF($A1421="","",TRIM(Base_Bruta!K1421))</f>
        <v>C00239</v>
      </c>
      <c r="M1421" s="4" t="str">
        <f aca="false">IF($A1421="","",_xlfn.XLOOKUP(LOWER(TRIM(Base_Bruta!L1421)),DePara_Cidade!$A$2:$A$29,DePara_Cidade!$B$2:$B$29,"REVISAR"))</f>
        <v>Niterói</v>
      </c>
      <c r="N1421" s="4" t="str">
        <f aca="false">IF($A1421="","",UPPER(TRIM(Base_Bruta!M1421)))</f>
        <v>RJ</v>
      </c>
      <c r="O1421" s="4" t="str">
        <f aca="false">IF($A1421="","",_xlfn.XLOOKUP(LOWER(TRIM(Base_Bruta!N1421)),DePara_Pais!$A$2:$A$9,DePara_Pais!$B$2:$B$9,"REVISAR"))</f>
        <v>Brasil</v>
      </c>
      <c r="P1421" s="4" t="str">
        <f aca="false">IF($A1421="","",IF(O1421&lt;&gt;"Brasil","Turista Internacional",IF(M1421=F1421,"Local","Turista Nacional")))</f>
        <v>Turista Nacional</v>
      </c>
      <c r="Q1421" s="7" t="n">
        <f aca="false">IF($A1421="","",DATE(YEAR(B1421),MONTH(B1421),1))</f>
        <v>46082</v>
      </c>
      <c r="R1421" s="4" t="str">
        <f aca="false">IF($A1421="","",IF(COUNTIF($A$2:$A1421,$A1421)&gt;1,"Sim","Não"))</f>
        <v>Não</v>
      </c>
      <c r="S1421" s="4" t="str">
        <f aca="false">IF(A1421="","Descartar - Linha vazia",IF(R1421="Sim","Descartar - Duplicado",IF(OR(H1421&lt;=0,I1421&lt;=0),"Descartar - Qtd/Valor inválido","OK")))</f>
        <v>OK</v>
      </c>
      <c r="T1421" s="4" t="str">
        <f aca="false">Base_Bruta!P1421</f>
        <v>vendas_RJ.xlsx</v>
      </c>
    </row>
    <row r="1422" customFormat="false" ht="15" hidden="false" customHeight="false" outlineLevel="0" collapsed="false">
      <c r="A1422" s="4" t="str">
        <f aca="false">IF(Base_Bruta!A1422="","",Base_Bruta!A1422)</f>
        <v>RJ-000553</v>
      </c>
      <c r="B1422" s="5" t="n">
        <f aca="false">IF($A1422="","",IF(ISNUMBER(Base_Bruta!B1422),Base_Bruta!B1422,IF(MID(Base_Bruta!B1422,5,1)="-",DATE(VALUE(LEFT(Base_Bruta!B1422,4)),VALUE(MID(Base_Bruta!B1422,6,2)),VALUE(RIGHT(Base_Bruta!B1422,2))),DATE(VALUE(RIGHT(Base_Bruta!B1422,4)),VALUE(MID(Base_Bruta!B1422,4,2)),VALUE(LEFT(Base_Bruta!B1422,2))))))</f>
        <v>46105</v>
      </c>
      <c r="C1422" s="5" t="n">
        <f aca="false">IF($A1422="","",IF(ISNUMBER(Base_Bruta!C1422),Base_Bruta!C1422,IF(MID(Base_Bruta!C1422,5,1)="-",DATE(VALUE(LEFT(Base_Bruta!C1422,4)),VALUE(MID(Base_Bruta!C1422,6,2)),VALUE(RIGHT(Base_Bruta!C1422,2))),DATE(VALUE(RIGHT(Base_Bruta!C1422,4)),VALUE(MID(Base_Bruta!C1422,4,2)),VALUE(LEFT(Base_Bruta!C1422,2))))))</f>
        <v>46108</v>
      </c>
      <c r="D1422" s="4" t="str">
        <f aca="false">IF($A1422="","",TRIM(Base_Bruta!D1422))</f>
        <v>Cinema Barra - Sessões</v>
      </c>
      <c r="E1422" s="4" t="str">
        <f aca="false">IF($A1422="","",_xlfn.XLOOKUP(LOWER(TRIM(Base_Bruta!E1422)),DePara_Categoria!$A$2:$A$9,DePara_Categoria!$B$2:$B$9,"REVISAR"))</f>
        <v>Cinema</v>
      </c>
      <c r="F1422" s="4" t="str">
        <f aca="false">IF($A1422="","",_xlfn.XLOOKUP(LOWER(TRIM(Base_Bruta!F1422)),DePara_Cidade!$A$2:$A$29,DePara_Cidade!$B$2:$B$29,"REVISAR"))</f>
        <v>Rio de Janeiro</v>
      </c>
      <c r="G1422" s="4" t="str">
        <f aca="false">IF($A1422="","",TRIM(Base_Bruta!G1422))</f>
        <v>Inteira</v>
      </c>
      <c r="H1422" s="4" t="n">
        <f aca="false">IF($A1422="","",IF(ISNUMBER(Base_Bruta!H1422),Base_Bruta!H1422,IFERROR(_xlfn.NUMBERVALUE(TRIM(SUBSTITUTE(Base_Bruta!H1422,"R$","")),",","."),0)))</f>
        <v>1</v>
      </c>
      <c r="I1422" s="6" t="n">
        <f aca="false">IF($A1422="","",IF(ISNUMBER(Base_Bruta!I1422),Base_Bruta!I1422,IFERROR(_xlfn.NUMBERVALUE(TRIM(SUBSTITUTE(Base_Bruta!I1422,"R$","")),",","."),0)))</f>
        <v>30</v>
      </c>
      <c r="J1422" s="6" t="n">
        <f aca="false">IF($A1422="","",H1422*I1422)</f>
        <v>30</v>
      </c>
      <c r="K1422" s="4" t="str">
        <f aca="false">IF($A1422="","",TRIM(Base_Bruta!J1422))</f>
        <v>Parceiro</v>
      </c>
      <c r="L1422" s="4" t="str">
        <f aca="false">IF($A1422="","",TRIM(Base_Bruta!K1422))</f>
        <v>C00648</v>
      </c>
      <c r="M1422" s="4" t="str">
        <f aca="false">IF($A1422="","",_xlfn.XLOOKUP(LOWER(TRIM(Base_Bruta!L1422)),DePara_Cidade!$A$2:$A$29,DePara_Cidade!$B$2:$B$29,"REVISAR"))</f>
        <v>Rio de Janeiro</v>
      </c>
      <c r="N1422" s="4" t="str">
        <f aca="false">IF($A1422="","",UPPER(TRIM(Base_Bruta!M1422)))</f>
        <v>RJ</v>
      </c>
      <c r="O1422" s="4" t="str">
        <f aca="false">IF($A1422="","",_xlfn.XLOOKUP(LOWER(TRIM(Base_Bruta!N1422)),DePara_Pais!$A$2:$A$9,DePara_Pais!$B$2:$B$9,"REVISAR"))</f>
        <v>Brasil</v>
      </c>
      <c r="P1422" s="4" t="str">
        <f aca="false">IF($A1422="","",IF(O1422&lt;&gt;"Brasil","Turista Internacional",IF(M1422=F1422,"Local","Turista Nacional")))</f>
        <v>Local</v>
      </c>
      <c r="Q1422" s="7" t="n">
        <f aca="false">IF($A1422="","",DATE(YEAR(B1422),MONTH(B1422),1))</f>
        <v>46082</v>
      </c>
      <c r="R1422" s="4" t="str">
        <f aca="false">IF($A1422="","",IF(COUNTIF($A$2:$A1422,$A1422)&gt;1,"Sim","Não"))</f>
        <v>Não</v>
      </c>
      <c r="S1422" s="4" t="str">
        <f aca="false">IF(A1422="","Descartar - Linha vazia",IF(R1422="Sim","Descartar - Duplicado",IF(OR(H1422&lt;=0,I1422&lt;=0),"Descartar - Qtd/Valor inválido","OK")))</f>
        <v>OK</v>
      </c>
      <c r="T1422" s="4" t="str">
        <f aca="false">Base_Bruta!P1422</f>
        <v>vendas_RJ.xlsx</v>
      </c>
    </row>
    <row r="1423" customFormat="false" ht="15" hidden="false" customHeight="false" outlineLevel="0" collapsed="false">
      <c r="A1423" s="4" t="str">
        <f aca="false">IF(Base_Bruta!A1423="","",Base_Bruta!A1423)</f>
        <v>RJ-000575</v>
      </c>
      <c r="B1423" s="5" t="n">
        <f aca="false">IF($A1423="","",IF(ISNUMBER(Base_Bruta!B1423),Base_Bruta!B1423,IF(MID(Base_Bruta!B1423,5,1)="-",DATE(VALUE(LEFT(Base_Bruta!B1423,4)),VALUE(MID(Base_Bruta!B1423,6,2)),VALUE(RIGHT(Base_Bruta!B1423,2))),DATE(VALUE(RIGHT(Base_Bruta!B1423,4)),VALUE(MID(Base_Bruta!B1423,4,2)),VALUE(LEFT(Base_Bruta!B1423,2))))))</f>
        <v>46107</v>
      </c>
      <c r="C1423" s="5" t="n">
        <f aca="false">IF($A1423="","",IF(ISNUMBER(Base_Bruta!C1423),Base_Bruta!C1423,IF(MID(Base_Bruta!C1423,5,1)="-",DATE(VALUE(LEFT(Base_Bruta!C1423,4)),VALUE(MID(Base_Bruta!C1423,6,2)),VALUE(RIGHT(Base_Bruta!C1423,2))),DATE(VALUE(RIGHT(Base_Bruta!C1423,4)),VALUE(MID(Base_Bruta!C1423,4,2)),VALUE(LEFT(Base_Bruta!C1423,2))))))</f>
        <v>46109</v>
      </c>
      <c r="D1423" s="4" t="str">
        <f aca="false">IF($A1423="","",TRIM(Base_Bruta!D1423))</f>
        <v>Cinema Barra - Sessões</v>
      </c>
      <c r="E1423" s="4" t="str">
        <f aca="false">IF($A1423="","",_xlfn.XLOOKUP(LOWER(TRIM(Base_Bruta!E1423)),DePara_Categoria!$A$2:$A$9,DePara_Categoria!$B$2:$B$9,"REVISAR"))</f>
        <v>Cinema</v>
      </c>
      <c r="F1423" s="4" t="str">
        <f aca="false">IF($A1423="","",_xlfn.XLOOKUP(LOWER(TRIM(Base_Bruta!F1423)),DePara_Cidade!$A$2:$A$29,DePara_Cidade!$B$2:$B$29,"REVISAR"))</f>
        <v>Rio de Janeiro</v>
      </c>
      <c r="G1423" s="4" t="str">
        <f aca="false">IF($A1423="","",TRIM(Base_Bruta!G1423))</f>
        <v>Inteira</v>
      </c>
      <c r="H1423" s="4" t="n">
        <f aca="false">IF($A1423="","",IF(ISNUMBER(Base_Bruta!H1423),Base_Bruta!H1423,IFERROR(_xlfn.NUMBERVALUE(TRIM(SUBSTITUTE(Base_Bruta!H1423,"R$","")),",","."),0)))</f>
        <v>1</v>
      </c>
      <c r="I1423" s="6" t="n">
        <f aca="false">IF($A1423="","",IF(ISNUMBER(Base_Bruta!I1423),Base_Bruta!I1423,IFERROR(_xlfn.NUMBERVALUE(TRIM(SUBSTITUTE(Base_Bruta!I1423,"R$","")),",","."),0)))</f>
        <v>30</v>
      </c>
      <c r="J1423" s="6" t="n">
        <f aca="false">IF($A1423="","",H1423*I1423)</f>
        <v>30</v>
      </c>
      <c r="K1423" s="4" t="str">
        <f aca="false">IF($A1423="","",TRIM(Base_Bruta!J1423))</f>
        <v>Site</v>
      </c>
      <c r="L1423" s="4" t="str">
        <f aca="false">IF($A1423="","",TRIM(Base_Bruta!K1423))</f>
        <v>C00765</v>
      </c>
      <c r="M1423" s="4" t="str">
        <f aca="false">IF($A1423="","",_xlfn.XLOOKUP(LOWER(TRIM(Base_Bruta!L1423)),DePara_Cidade!$A$2:$A$29,DePara_Cidade!$B$2:$B$29,"REVISAR"))</f>
        <v>Rio de Janeiro</v>
      </c>
      <c r="N1423" s="4" t="str">
        <f aca="false">IF($A1423="","",UPPER(TRIM(Base_Bruta!M1423)))</f>
        <v>RJ</v>
      </c>
      <c r="O1423" s="4" t="str">
        <f aca="false">IF($A1423="","",_xlfn.XLOOKUP(LOWER(TRIM(Base_Bruta!N1423)),DePara_Pais!$A$2:$A$9,DePara_Pais!$B$2:$B$9,"REVISAR"))</f>
        <v>Brasil</v>
      </c>
      <c r="P1423" s="4" t="str">
        <f aca="false">IF($A1423="","",IF(O1423&lt;&gt;"Brasil","Turista Internacional",IF(M1423=F1423,"Local","Turista Nacional")))</f>
        <v>Local</v>
      </c>
      <c r="Q1423" s="7" t="n">
        <f aca="false">IF($A1423="","",DATE(YEAR(B1423),MONTH(B1423),1))</f>
        <v>46082</v>
      </c>
      <c r="R1423" s="4" t="str">
        <f aca="false">IF($A1423="","",IF(COUNTIF($A$2:$A1423,$A1423)&gt;1,"Sim","Não"))</f>
        <v>Não</v>
      </c>
      <c r="S1423" s="4" t="str">
        <f aca="false">IF(A1423="","Descartar - Linha vazia",IF(R1423="Sim","Descartar - Duplicado",IF(OR(H1423&lt;=0,I1423&lt;=0),"Descartar - Qtd/Valor inválido","OK")))</f>
        <v>OK</v>
      </c>
      <c r="T1423" s="4" t="str">
        <f aca="false">Base_Bruta!P1423</f>
        <v>vendas_RJ.xlsx</v>
      </c>
    </row>
    <row r="1424" customFormat="false" ht="15" hidden="false" customHeight="false" outlineLevel="0" collapsed="false">
      <c r="A1424" s="4" t="str">
        <f aca="false">IF(Base_Bruta!A1424="","",Base_Bruta!A1424)</f>
        <v>RJ-000473</v>
      </c>
      <c r="B1424" s="5" t="n">
        <f aca="false">IF($A1424="","",IF(ISNUMBER(Base_Bruta!B1424),Base_Bruta!B1424,IF(MID(Base_Bruta!B1424,5,1)="-",DATE(VALUE(LEFT(Base_Bruta!B1424,4)),VALUE(MID(Base_Bruta!B1424,6,2)),VALUE(RIGHT(Base_Bruta!B1424,2))),DATE(VALUE(RIGHT(Base_Bruta!B1424,4)),VALUE(MID(Base_Bruta!B1424,4,2)),VALUE(LEFT(Base_Bruta!B1424,2))))))</f>
        <v>46109</v>
      </c>
      <c r="C1424" s="5" t="n">
        <f aca="false">IF($A1424="","",IF(ISNUMBER(Base_Bruta!C1424),Base_Bruta!C1424,IF(MID(Base_Bruta!C1424,5,1)="-",DATE(VALUE(LEFT(Base_Bruta!C1424,4)),VALUE(MID(Base_Bruta!C1424,6,2)),VALUE(RIGHT(Base_Bruta!C1424,2))),DATE(VALUE(RIGHT(Base_Bruta!C1424,4)),VALUE(MID(Base_Bruta!C1424,4,2)),VALUE(LEFT(Base_Bruta!C1424,2))))))</f>
        <v>46151</v>
      </c>
      <c r="D1424" s="4" t="str">
        <f aca="false">IF($A1424="","",TRIM(Base_Bruta!D1424))</f>
        <v>Turnê Internacional Rock - Rio</v>
      </c>
      <c r="E1424" s="4" t="str">
        <f aca="false">IF($A1424="","",_xlfn.XLOOKUP(LOWER(TRIM(Base_Bruta!E1424)),DePara_Categoria!$A$2:$A$9,DePara_Categoria!$B$2:$B$9,"REVISAR"))</f>
        <v>Show</v>
      </c>
      <c r="F1424" s="4" t="str">
        <f aca="false">IF($A1424="","",_xlfn.XLOOKUP(LOWER(TRIM(Base_Bruta!F1424)),DePara_Cidade!$A$2:$A$29,DePara_Cidade!$B$2:$B$29,"REVISAR"))</f>
        <v>Rio de Janeiro</v>
      </c>
      <c r="G1424" s="4" t="str">
        <f aca="false">IF($A1424="","",TRIM(Base_Bruta!G1424))</f>
        <v>Inteira</v>
      </c>
      <c r="H1424" s="4" t="n">
        <f aca="false">IF($A1424="","",IF(ISNUMBER(Base_Bruta!H1424),Base_Bruta!H1424,IFERROR(_xlfn.NUMBERVALUE(TRIM(SUBSTITUTE(Base_Bruta!H1424,"R$","")),",","."),0)))</f>
        <v>1</v>
      </c>
      <c r="I1424" s="6" t="n">
        <f aca="false">IF($A1424="","",IF(ISNUMBER(Base_Bruta!I1424),Base_Bruta!I1424,IFERROR(_xlfn.NUMBERVALUE(TRIM(SUBSTITUTE(Base_Bruta!I1424,"R$","")),",","."),0)))</f>
        <v>760</v>
      </c>
      <c r="J1424" s="6" t="n">
        <f aca="false">IF($A1424="","",H1424*I1424)</f>
        <v>760</v>
      </c>
      <c r="K1424" s="4" t="str">
        <f aca="false">IF($A1424="","",TRIM(Base_Bruta!J1424))</f>
        <v>App</v>
      </c>
      <c r="L1424" s="4" t="str">
        <f aca="false">IF($A1424="","",TRIM(Base_Bruta!K1424))</f>
        <v>C00681</v>
      </c>
      <c r="M1424" s="4" t="str">
        <f aca="false">IF($A1424="","",_xlfn.XLOOKUP(LOWER(TRIM(Base_Bruta!L1424)),DePara_Cidade!$A$2:$A$29,DePara_Cidade!$B$2:$B$29,"REVISAR"))</f>
        <v>Rio de Janeiro</v>
      </c>
      <c r="N1424" s="4" t="str">
        <f aca="false">IF($A1424="","",UPPER(TRIM(Base_Bruta!M1424)))</f>
        <v>RJ</v>
      </c>
      <c r="O1424" s="4" t="str">
        <f aca="false">IF($A1424="","",_xlfn.XLOOKUP(LOWER(TRIM(Base_Bruta!N1424)),DePara_Pais!$A$2:$A$9,DePara_Pais!$B$2:$B$9,"REVISAR"))</f>
        <v>Brasil</v>
      </c>
      <c r="P1424" s="4" t="str">
        <f aca="false">IF($A1424="","",IF(O1424&lt;&gt;"Brasil","Turista Internacional",IF(M1424=F1424,"Local","Turista Nacional")))</f>
        <v>Local</v>
      </c>
      <c r="Q1424" s="7" t="n">
        <f aca="false">IF($A1424="","",DATE(YEAR(B1424),MONTH(B1424),1))</f>
        <v>46082</v>
      </c>
      <c r="R1424" s="4" t="str">
        <f aca="false">IF($A1424="","",IF(COUNTIF($A$2:$A1424,$A1424)&gt;1,"Sim","Não"))</f>
        <v>Não</v>
      </c>
      <c r="S1424" s="4" t="str">
        <f aca="false">IF(A1424="","Descartar - Linha vazia",IF(R1424="Sim","Descartar - Duplicado",IF(OR(H1424&lt;=0,I1424&lt;=0),"Descartar - Qtd/Valor inválido","OK")))</f>
        <v>OK</v>
      </c>
      <c r="T1424" s="4" t="str">
        <f aca="false">Base_Bruta!P1424</f>
        <v>vendas_RJ.xlsx</v>
      </c>
    </row>
    <row r="1425" customFormat="false" ht="15" hidden="false" customHeight="false" outlineLevel="0" collapsed="false">
      <c r="A1425" s="4" t="str">
        <f aca="false">IF(Base_Bruta!A1425="","",Base_Bruta!A1425)</f>
        <v>RJ-000605</v>
      </c>
      <c r="B1425" s="5" t="n">
        <f aca="false">IF($A1425="","",IF(ISNUMBER(Base_Bruta!B1425),Base_Bruta!B1425,IF(MID(Base_Bruta!B1425,5,1)="-",DATE(VALUE(LEFT(Base_Bruta!B1425,4)),VALUE(MID(Base_Bruta!B1425,6,2)),VALUE(RIGHT(Base_Bruta!B1425,2))),DATE(VALUE(RIGHT(Base_Bruta!B1425,4)),VALUE(MID(Base_Bruta!B1425,4,2)),VALUE(LEFT(Base_Bruta!B1425,2))))))</f>
        <v>46110</v>
      </c>
      <c r="C1425" s="5" t="n">
        <f aca="false">IF($A1425="","",IF(ISNUMBER(Base_Bruta!C1425),Base_Bruta!C1425,IF(MID(Base_Bruta!C1425,5,1)="-",DATE(VALUE(LEFT(Base_Bruta!C1425,4)),VALUE(MID(Base_Bruta!C1425,6,2)),VALUE(RIGHT(Base_Bruta!C1425,2))),DATE(VALUE(RIGHT(Base_Bruta!C1425,4)),VALUE(MID(Base_Bruta!C1425,4,2)),VALUE(LEFT(Base_Bruta!C1425,2))))))</f>
        <v>46111</v>
      </c>
      <c r="D1425" s="4" t="str">
        <f aca="false">IF($A1425="","",TRIM(Base_Bruta!D1425))</f>
        <v>Cinema Barra - Sessões</v>
      </c>
      <c r="E1425" s="4" t="str">
        <f aca="false">IF($A1425="","",_xlfn.XLOOKUP(LOWER(TRIM(Base_Bruta!E1425)),DePara_Categoria!$A$2:$A$9,DePara_Categoria!$B$2:$B$9,"REVISAR"))</f>
        <v>Cinema</v>
      </c>
      <c r="F1425" s="4" t="str">
        <f aca="false">IF($A1425="","",_xlfn.XLOOKUP(LOWER(TRIM(Base_Bruta!F1425)),DePara_Cidade!$A$2:$A$29,DePara_Cidade!$B$2:$B$29,"REVISAR"))</f>
        <v>Rio de Janeiro</v>
      </c>
      <c r="G1425" s="4" t="str">
        <f aca="false">IF($A1425="","",TRIM(Base_Bruta!G1425))</f>
        <v>Meia</v>
      </c>
      <c r="H1425" s="4" t="n">
        <f aca="false">IF($A1425="","",IF(ISNUMBER(Base_Bruta!H1425),Base_Bruta!H1425,IFERROR(_xlfn.NUMBERVALUE(TRIM(SUBSTITUTE(Base_Bruta!H1425,"R$","")),",","."),0)))</f>
        <v>1</v>
      </c>
      <c r="I1425" s="6" t="n">
        <f aca="false">IF($A1425="","",IF(ISNUMBER(Base_Bruta!I1425),Base_Bruta!I1425,IFERROR(_xlfn.NUMBERVALUE(TRIM(SUBSTITUTE(Base_Bruta!I1425,"R$","")),",","."),0)))</f>
        <v>20</v>
      </c>
      <c r="J1425" s="6" t="n">
        <f aca="false">IF($A1425="","",H1425*I1425)</f>
        <v>20</v>
      </c>
      <c r="K1425" s="4" t="str">
        <f aca="false">IF($A1425="","",TRIM(Base_Bruta!J1425))</f>
        <v>App</v>
      </c>
      <c r="L1425" s="4" t="str">
        <f aca="false">IF($A1425="","",TRIM(Base_Bruta!K1425))</f>
        <v>C02314</v>
      </c>
      <c r="M1425" s="4" t="str">
        <f aca="false">IF($A1425="","",_xlfn.XLOOKUP(LOWER(TRIM(Base_Bruta!L1425)),DePara_Cidade!$A$2:$A$29,DePara_Cidade!$B$2:$B$29,"REVISAR"))</f>
        <v>Rio de Janeiro</v>
      </c>
      <c r="N1425" s="4" t="str">
        <f aca="false">IF($A1425="","",UPPER(TRIM(Base_Bruta!M1425)))</f>
        <v>RJ</v>
      </c>
      <c r="O1425" s="4" t="str">
        <f aca="false">IF($A1425="","",_xlfn.XLOOKUP(LOWER(TRIM(Base_Bruta!N1425)),DePara_Pais!$A$2:$A$9,DePara_Pais!$B$2:$B$9,"REVISAR"))</f>
        <v>Brasil</v>
      </c>
      <c r="P1425" s="4" t="str">
        <f aca="false">IF($A1425="","",IF(O1425&lt;&gt;"Brasil","Turista Internacional",IF(M1425=F1425,"Local","Turista Nacional")))</f>
        <v>Local</v>
      </c>
      <c r="Q1425" s="7" t="n">
        <f aca="false">IF($A1425="","",DATE(YEAR(B1425),MONTH(B1425),1))</f>
        <v>46082</v>
      </c>
      <c r="R1425" s="4" t="str">
        <f aca="false">IF($A1425="","",IF(COUNTIF($A$2:$A1425,$A1425)&gt;1,"Sim","Não"))</f>
        <v>Não</v>
      </c>
      <c r="S1425" s="4" t="str">
        <f aca="false">IF(A1425="","Descartar - Linha vazia",IF(R1425="Sim","Descartar - Duplicado",IF(OR(H1425&lt;=0,I1425&lt;=0),"Descartar - Qtd/Valor inválido","OK")))</f>
        <v>OK</v>
      </c>
      <c r="T1425" s="4" t="str">
        <f aca="false">Base_Bruta!P1425</f>
        <v>vendas_RJ.xlsx</v>
      </c>
    </row>
    <row r="1426" customFormat="false" ht="15" hidden="false" customHeight="false" outlineLevel="0" collapsed="false">
      <c r="A1426" s="4" t="str">
        <f aca="false">IF(Base_Bruta!A1426="","",Base_Bruta!A1426)</f>
        <v>RJ-000649</v>
      </c>
      <c r="B1426" s="5" t="n">
        <f aca="false">IF($A1426="","",IF(ISNUMBER(Base_Bruta!B1426),Base_Bruta!B1426,IF(MID(Base_Bruta!B1426,5,1)="-",DATE(VALUE(LEFT(Base_Bruta!B1426,4)),VALUE(MID(Base_Bruta!B1426,6,2)),VALUE(RIGHT(Base_Bruta!B1426,2))),DATE(VALUE(RIGHT(Base_Bruta!B1426,4)),VALUE(MID(Base_Bruta!B1426,4,2)),VALUE(LEFT(Base_Bruta!B1426,2))))))</f>
        <v>46111</v>
      </c>
      <c r="C1426" s="5" t="n">
        <f aca="false">IF($A1426="","",IF(ISNUMBER(Base_Bruta!C1426),Base_Bruta!C1426,IF(MID(Base_Bruta!C1426,5,1)="-",DATE(VALUE(LEFT(Base_Bruta!C1426,4)),VALUE(MID(Base_Bruta!C1426,6,2)),VALUE(RIGHT(Base_Bruta!C1426,2))),DATE(VALUE(RIGHT(Base_Bruta!C1426,4)),VALUE(MID(Base_Bruta!C1426,4,2)),VALUE(LEFT(Base_Bruta!C1426,2))))))</f>
        <v>46112</v>
      </c>
      <c r="D1426" s="4" t="str">
        <f aca="false">IF($A1426="","",TRIM(Base_Bruta!D1426))</f>
        <v>Cinema Barra - Sessões</v>
      </c>
      <c r="E1426" s="4" t="str">
        <f aca="false">IF($A1426="","",_xlfn.XLOOKUP(LOWER(TRIM(Base_Bruta!E1426)),DePara_Categoria!$A$2:$A$9,DePara_Categoria!$B$2:$B$9,"REVISAR"))</f>
        <v>Cinema</v>
      </c>
      <c r="F1426" s="4" t="str">
        <f aca="false">IF($A1426="","",_xlfn.XLOOKUP(LOWER(TRIM(Base_Bruta!F1426)),DePara_Cidade!$A$2:$A$29,DePara_Cidade!$B$2:$B$29,"REVISAR"))</f>
        <v>Rio de Janeiro</v>
      </c>
      <c r="G1426" s="4" t="str">
        <f aca="false">IF($A1426="","",TRIM(Base_Bruta!G1426))</f>
        <v>Inteira</v>
      </c>
      <c r="H1426" s="4" t="n">
        <f aca="false">IF($A1426="","",IF(ISNUMBER(Base_Bruta!H1426),Base_Bruta!H1426,IFERROR(_xlfn.NUMBERVALUE(TRIM(SUBSTITUTE(Base_Bruta!H1426,"R$","")),",","."),0)))</f>
        <v>1</v>
      </c>
      <c r="I1426" s="6" t="n">
        <f aca="false">IF($A1426="","",IF(ISNUMBER(Base_Bruta!I1426),Base_Bruta!I1426,IFERROR(_xlfn.NUMBERVALUE(TRIM(SUBSTITUTE(Base_Bruta!I1426,"R$","")),",","."),0)))</f>
        <v>35</v>
      </c>
      <c r="J1426" s="6" t="n">
        <f aca="false">IF($A1426="","",H1426*I1426)</f>
        <v>35</v>
      </c>
      <c r="K1426" s="4" t="str">
        <f aca="false">IF($A1426="","",TRIM(Base_Bruta!J1426))</f>
        <v>App</v>
      </c>
      <c r="L1426" s="4" t="str">
        <f aca="false">IF($A1426="","",TRIM(Base_Bruta!K1426))</f>
        <v>C01323</v>
      </c>
      <c r="M1426" s="4" t="str">
        <f aca="false">IF($A1426="","",_xlfn.XLOOKUP(LOWER(TRIM(Base_Bruta!L1426)),DePara_Cidade!$A$2:$A$29,DePara_Cidade!$B$2:$B$29,"REVISAR"))</f>
        <v>Rio de Janeiro</v>
      </c>
      <c r="N1426" s="4" t="str">
        <f aca="false">IF($A1426="","",UPPER(TRIM(Base_Bruta!M1426)))</f>
        <v>RJ</v>
      </c>
      <c r="O1426" s="4" t="str">
        <f aca="false">IF($A1426="","",_xlfn.XLOOKUP(LOWER(TRIM(Base_Bruta!N1426)),DePara_Pais!$A$2:$A$9,DePara_Pais!$B$2:$B$9,"REVISAR"))</f>
        <v>Brasil</v>
      </c>
      <c r="P1426" s="4" t="str">
        <f aca="false">IF($A1426="","",IF(O1426&lt;&gt;"Brasil","Turista Internacional",IF(M1426=F1426,"Local","Turista Nacional")))</f>
        <v>Local</v>
      </c>
      <c r="Q1426" s="7" t="n">
        <f aca="false">IF($A1426="","",DATE(YEAR(B1426),MONTH(B1426),1))</f>
        <v>46082</v>
      </c>
      <c r="R1426" s="4" t="str">
        <f aca="false">IF($A1426="","",IF(COUNTIF($A$2:$A1426,$A1426)&gt;1,"Sim","Não"))</f>
        <v>Não</v>
      </c>
      <c r="S1426" s="4" t="str">
        <f aca="false">IF(A1426="","Descartar - Linha vazia",IF(R1426="Sim","Descartar - Duplicado",IF(OR(H1426&lt;=0,I1426&lt;=0),"Descartar - Qtd/Valor inválido","OK")))</f>
        <v>OK</v>
      </c>
      <c r="T1426" s="4" t="str">
        <f aca="false">Base_Bruta!P1426</f>
        <v>vendas_RJ.xlsx</v>
      </c>
    </row>
    <row r="1427" customFormat="false" ht="15" hidden="false" customHeight="false" outlineLevel="0" collapsed="false">
      <c r="A1427" s="4" t="str">
        <f aca="false">IF(Base_Bruta!A1427="","",Base_Bruta!A1427)</f>
        <v>RJ-000477</v>
      </c>
      <c r="B1427" s="5" t="n">
        <f aca="false">IF($A1427="","",IF(ISNUMBER(Base_Bruta!B1427),Base_Bruta!B1427,IF(MID(Base_Bruta!B1427,5,1)="-",DATE(VALUE(LEFT(Base_Bruta!B1427,4)),VALUE(MID(Base_Bruta!B1427,6,2)),VALUE(RIGHT(Base_Bruta!B1427,2))),DATE(VALUE(RIGHT(Base_Bruta!B1427,4)),VALUE(MID(Base_Bruta!B1427,4,2)),VALUE(LEFT(Base_Bruta!B1427,2))))))</f>
        <v>46112</v>
      </c>
      <c r="C1427" s="5" t="n">
        <f aca="false">IF($A1427="","",IF(ISNUMBER(Base_Bruta!C1427),Base_Bruta!C1427,IF(MID(Base_Bruta!C1427,5,1)="-",DATE(VALUE(LEFT(Base_Bruta!C1427,4)),VALUE(MID(Base_Bruta!C1427,6,2)),VALUE(RIGHT(Base_Bruta!C1427,2))),DATE(VALUE(RIGHT(Base_Bruta!C1427,4)),VALUE(MID(Base_Bruta!C1427,4,2)),VALUE(LEFT(Base_Bruta!C1427,2))))))</f>
        <v>46151</v>
      </c>
      <c r="D1427" s="4" t="str">
        <f aca="false">IF($A1427="","",TRIM(Base_Bruta!D1427))</f>
        <v>Turnê Internacional Rock - Rio</v>
      </c>
      <c r="E1427" s="4" t="str">
        <f aca="false">IF($A1427="","",_xlfn.XLOOKUP(LOWER(TRIM(Base_Bruta!E1427)),DePara_Categoria!$A$2:$A$9,DePara_Categoria!$B$2:$B$9,"REVISAR"))</f>
        <v>Show</v>
      </c>
      <c r="F1427" s="4" t="str">
        <f aca="false">IF($A1427="","",_xlfn.XLOOKUP(LOWER(TRIM(Base_Bruta!F1427)),DePara_Cidade!$A$2:$A$29,DePara_Cidade!$B$2:$B$29,"REVISAR"))</f>
        <v>Rio de Janeiro</v>
      </c>
      <c r="G1427" s="4" t="str">
        <f aca="false">IF($A1427="","",TRIM(Base_Bruta!G1427))</f>
        <v>Meia</v>
      </c>
      <c r="H1427" s="4" t="n">
        <f aca="false">IF($A1427="","",IF(ISNUMBER(Base_Bruta!H1427),Base_Bruta!H1427,IFERROR(_xlfn.NUMBERVALUE(TRIM(SUBSTITUTE(Base_Bruta!H1427,"R$","")),",","."),0)))</f>
        <v>1</v>
      </c>
      <c r="I1427" s="6" t="n">
        <f aca="false">IF($A1427="","",IF(ISNUMBER(Base_Bruta!I1427),Base_Bruta!I1427,IFERROR(_xlfn.NUMBERVALUE(TRIM(SUBSTITUTE(Base_Bruta!I1427,"R$","")),",","."),0)))</f>
        <v>350</v>
      </c>
      <c r="J1427" s="6" t="n">
        <f aca="false">IF($A1427="","",H1427*I1427)</f>
        <v>350</v>
      </c>
      <c r="K1427" s="4" t="str">
        <f aca="false">IF($A1427="","",TRIM(Base_Bruta!J1427))</f>
        <v>Site</v>
      </c>
      <c r="L1427" s="4" t="str">
        <f aca="false">IF($A1427="","",TRIM(Base_Bruta!K1427))</f>
        <v>C01436</v>
      </c>
      <c r="M1427" s="4" t="str">
        <f aca="false">IF($A1427="","",_xlfn.XLOOKUP(LOWER(TRIM(Base_Bruta!L1427)),DePara_Cidade!$A$2:$A$29,DePara_Cidade!$B$2:$B$29,"REVISAR"))</f>
        <v>Niterói</v>
      </c>
      <c r="N1427" s="4" t="str">
        <f aca="false">IF($A1427="","",UPPER(TRIM(Base_Bruta!M1427)))</f>
        <v>RJ</v>
      </c>
      <c r="O1427" s="4" t="str">
        <f aca="false">IF($A1427="","",_xlfn.XLOOKUP(LOWER(TRIM(Base_Bruta!N1427)),DePara_Pais!$A$2:$A$9,DePara_Pais!$B$2:$B$9,"REVISAR"))</f>
        <v>Brasil</v>
      </c>
      <c r="P1427" s="4" t="str">
        <f aca="false">IF($A1427="","",IF(O1427&lt;&gt;"Brasil","Turista Internacional",IF(M1427=F1427,"Local","Turista Nacional")))</f>
        <v>Turista Nacional</v>
      </c>
      <c r="Q1427" s="7" t="n">
        <f aca="false">IF($A1427="","",DATE(YEAR(B1427),MONTH(B1427),1))</f>
        <v>46082</v>
      </c>
      <c r="R1427" s="4" t="str">
        <f aca="false">IF($A1427="","",IF(COUNTIF($A$2:$A1427,$A1427)&gt;1,"Sim","Não"))</f>
        <v>Não</v>
      </c>
      <c r="S1427" s="4" t="str">
        <f aca="false">IF(A1427="","Descartar - Linha vazia",IF(R1427="Sim","Descartar - Duplicado",IF(OR(H1427&lt;=0,I1427&lt;=0),"Descartar - Qtd/Valor inválido","OK")))</f>
        <v>OK</v>
      </c>
      <c r="T1427" s="4" t="str">
        <f aca="false">Base_Bruta!P1427</f>
        <v>vendas_RJ.xlsx</v>
      </c>
    </row>
    <row r="1428" customFormat="false" ht="15" hidden="false" customHeight="false" outlineLevel="0" collapsed="false">
      <c r="A1428" s="4" t="str">
        <f aca="false">IF(Base_Bruta!A1428="","",Base_Bruta!A1428)</f>
        <v>RJ-000489</v>
      </c>
      <c r="B1428" s="5" t="n">
        <f aca="false">IF($A1428="","",IF(ISNUMBER(Base_Bruta!B1428),Base_Bruta!B1428,IF(MID(Base_Bruta!B1428,5,1)="-",DATE(VALUE(LEFT(Base_Bruta!B1428,4)),VALUE(MID(Base_Bruta!B1428,6,2)),VALUE(RIGHT(Base_Bruta!B1428,2))),DATE(VALUE(RIGHT(Base_Bruta!B1428,4)),VALUE(MID(Base_Bruta!B1428,4,2)),VALUE(LEFT(Base_Bruta!B1428,2))))))</f>
        <v>46112</v>
      </c>
      <c r="C1428" s="5" t="n">
        <f aca="false">IF($A1428="","",IF(ISNUMBER(Base_Bruta!C1428),Base_Bruta!C1428,IF(MID(Base_Bruta!C1428,5,1)="-",DATE(VALUE(LEFT(Base_Bruta!C1428,4)),VALUE(MID(Base_Bruta!C1428,6,2)),VALUE(RIGHT(Base_Bruta!C1428,2))),DATE(VALUE(RIGHT(Base_Bruta!C1428,4)),VALUE(MID(Base_Bruta!C1428,4,2)),VALUE(LEFT(Base_Bruta!C1428,2))))))</f>
        <v>46151</v>
      </c>
      <c r="D1428" s="4" t="str">
        <f aca="false">IF($A1428="","",TRIM(Base_Bruta!D1428))</f>
        <v>Turnê Internacional Rock - Rio</v>
      </c>
      <c r="E1428" s="4" t="str">
        <f aca="false">IF($A1428="","",_xlfn.XLOOKUP(LOWER(TRIM(Base_Bruta!E1428)),DePara_Categoria!$A$2:$A$9,DePara_Categoria!$B$2:$B$9,"REVISAR"))</f>
        <v>Show</v>
      </c>
      <c r="F1428" s="4" t="str">
        <f aca="false">IF($A1428="","",_xlfn.XLOOKUP(LOWER(TRIM(Base_Bruta!F1428)),DePara_Cidade!$A$2:$A$29,DePara_Cidade!$B$2:$B$29,"REVISAR"))</f>
        <v>Rio de Janeiro</v>
      </c>
      <c r="G1428" s="4" t="str">
        <f aca="false">IF($A1428="","",TRIM(Base_Bruta!G1428))</f>
        <v>Inteira</v>
      </c>
      <c r="H1428" s="4" t="n">
        <f aca="false">IF($A1428="","",IF(ISNUMBER(Base_Bruta!H1428),Base_Bruta!H1428,IFERROR(_xlfn.NUMBERVALUE(TRIM(SUBSTITUTE(Base_Bruta!H1428,"R$","")),",","."),0)))</f>
        <v>4</v>
      </c>
      <c r="I1428" s="6" t="n">
        <f aca="false">IF($A1428="","",IF(ISNUMBER(Base_Bruta!I1428),Base_Bruta!I1428,IFERROR(_xlfn.NUMBERVALUE(TRIM(SUBSTITUTE(Base_Bruta!I1428,"R$","")),",","."),0)))</f>
        <v>550</v>
      </c>
      <c r="J1428" s="6" t="n">
        <f aca="false">IF($A1428="","",H1428*I1428)</f>
        <v>2200</v>
      </c>
      <c r="K1428" s="4" t="str">
        <f aca="false">IF($A1428="","",TRIM(Base_Bruta!J1428))</f>
        <v>Site</v>
      </c>
      <c r="L1428" s="4" t="str">
        <f aca="false">IF($A1428="","",TRIM(Base_Bruta!K1428))</f>
        <v>C01597</v>
      </c>
      <c r="M1428" s="4" t="str">
        <f aca="false">IF($A1428="","",_xlfn.XLOOKUP(LOWER(TRIM(Base_Bruta!L1428)),DePara_Cidade!$A$2:$A$29,DePara_Cidade!$B$2:$B$29,"REVISAR"))</f>
        <v>Rio de Janeiro</v>
      </c>
      <c r="N1428" s="4" t="str">
        <f aca="false">IF($A1428="","",UPPER(TRIM(Base_Bruta!M1428)))</f>
        <v>RJ</v>
      </c>
      <c r="O1428" s="4" t="str">
        <f aca="false">IF($A1428="","",_xlfn.XLOOKUP(LOWER(TRIM(Base_Bruta!N1428)),DePara_Pais!$A$2:$A$9,DePara_Pais!$B$2:$B$9,"REVISAR"))</f>
        <v>Brasil</v>
      </c>
      <c r="P1428" s="4" t="str">
        <f aca="false">IF($A1428="","",IF(O1428&lt;&gt;"Brasil","Turista Internacional",IF(M1428=F1428,"Local","Turista Nacional")))</f>
        <v>Local</v>
      </c>
      <c r="Q1428" s="7" t="n">
        <f aca="false">IF($A1428="","",DATE(YEAR(B1428),MONTH(B1428),1))</f>
        <v>46082</v>
      </c>
      <c r="R1428" s="4" t="str">
        <f aca="false">IF($A1428="","",IF(COUNTIF($A$2:$A1428,$A1428)&gt;1,"Sim","Não"))</f>
        <v>Não</v>
      </c>
      <c r="S1428" s="4" t="str">
        <f aca="false">IF(A1428="","Descartar - Linha vazia",IF(R1428="Sim","Descartar - Duplicado",IF(OR(H1428&lt;=0,I1428&lt;=0),"Descartar - Qtd/Valor inválido","OK")))</f>
        <v>OK</v>
      </c>
      <c r="T1428" s="4" t="str">
        <f aca="false">Base_Bruta!P1428</f>
        <v>vendas_RJ.xlsx</v>
      </c>
    </row>
    <row r="1429" customFormat="false" ht="15" hidden="false" customHeight="false" outlineLevel="0" collapsed="false">
      <c r="A1429" s="4" t="str">
        <f aca="false">IF(Base_Bruta!A1429="","",Base_Bruta!A1429)</f>
        <v>RJ-000596</v>
      </c>
      <c r="B1429" s="5" t="n">
        <f aca="false">IF($A1429="","",IF(ISNUMBER(Base_Bruta!B1429),Base_Bruta!B1429,IF(MID(Base_Bruta!B1429,5,1)="-",DATE(VALUE(LEFT(Base_Bruta!B1429,4)),VALUE(MID(Base_Bruta!B1429,6,2)),VALUE(RIGHT(Base_Bruta!B1429,2))),DATE(VALUE(RIGHT(Base_Bruta!B1429,4)),VALUE(MID(Base_Bruta!B1429,4,2)),VALUE(LEFT(Base_Bruta!B1429,2))))))</f>
        <v>46112</v>
      </c>
      <c r="C1429" s="5" t="n">
        <f aca="false">IF($A1429="","",IF(ISNUMBER(Base_Bruta!C1429),Base_Bruta!C1429,IF(MID(Base_Bruta!C1429,5,1)="-",DATE(VALUE(LEFT(Base_Bruta!C1429,4)),VALUE(MID(Base_Bruta!C1429,6,2)),VALUE(RIGHT(Base_Bruta!C1429,2))),DATE(VALUE(RIGHT(Base_Bruta!C1429,4)),VALUE(MID(Base_Bruta!C1429,4,2)),VALUE(LEFT(Base_Bruta!C1429,2))))))</f>
        <v>46112</v>
      </c>
      <c r="D1429" s="4" t="str">
        <f aca="false">IF($A1429="","",TRIM(Base_Bruta!D1429))</f>
        <v>Cinema Barra - Sessões</v>
      </c>
      <c r="E1429" s="4" t="str">
        <f aca="false">IF($A1429="","",_xlfn.XLOOKUP(LOWER(TRIM(Base_Bruta!E1429)),DePara_Categoria!$A$2:$A$9,DePara_Categoria!$B$2:$B$9,"REVISAR"))</f>
        <v>Cinema</v>
      </c>
      <c r="F1429" s="4" t="str">
        <f aca="false">IF($A1429="","",_xlfn.XLOOKUP(LOWER(TRIM(Base_Bruta!F1429)),DePara_Cidade!$A$2:$A$29,DePara_Cidade!$B$2:$B$29,"REVISAR"))</f>
        <v>Rio de Janeiro</v>
      </c>
      <c r="G1429" s="4" t="str">
        <f aca="false">IF($A1429="","",TRIM(Base_Bruta!G1429))</f>
        <v>Inteira</v>
      </c>
      <c r="H1429" s="4" t="n">
        <f aca="false">IF($A1429="","",IF(ISNUMBER(Base_Bruta!H1429),Base_Bruta!H1429,IFERROR(_xlfn.NUMBERVALUE(TRIM(SUBSTITUTE(Base_Bruta!H1429,"R$","")),",","."),0)))</f>
        <v>1</v>
      </c>
      <c r="I1429" s="6" t="n">
        <f aca="false">IF($A1429="","",IF(ISNUMBER(Base_Bruta!I1429),Base_Bruta!I1429,IFERROR(_xlfn.NUMBERVALUE(TRIM(SUBSTITUTE(Base_Bruta!I1429,"R$","")),",","."),0)))</f>
        <v>30</v>
      </c>
      <c r="J1429" s="6" t="n">
        <f aca="false">IF($A1429="","",H1429*I1429)</f>
        <v>30</v>
      </c>
      <c r="K1429" s="4" t="str">
        <f aca="false">IF($A1429="","",TRIM(Base_Bruta!J1429))</f>
        <v>Site</v>
      </c>
      <c r="L1429" s="4" t="str">
        <f aca="false">IF($A1429="","",TRIM(Base_Bruta!K1429))</f>
        <v>C01870</v>
      </c>
      <c r="M1429" s="4" t="str">
        <f aca="false">IF($A1429="","",_xlfn.XLOOKUP(LOWER(TRIM(Base_Bruta!L1429)),DePara_Cidade!$A$2:$A$29,DePara_Cidade!$B$2:$B$29,"REVISAR"))</f>
        <v>Rio de Janeiro</v>
      </c>
      <c r="N1429" s="4" t="str">
        <f aca="false">IF($A1429="","",UPPER(TRIM(Base_Bruta!M1429)))</f>
        <v>RJ</v>
      </c>
      <c r="O1429" s="4" t="str">
        <f aca="false">IF($A1429="","",_xlfn.XLOOKUP(LOWER(TRIM(Base_Bruta!N1429)),DePara_Pais!$A$2:$A$9,DePara_Pais!$B$2:$B$9,"REVISAR"))</f>
        <v>Brasil</v>
      </c>
      <c r="P1429" s="4" t="str">
        <f aca="false">IF($A1429="","",IF(O1429&lt;&gt;"Brasil","Turista Internacional",IF(M1429=F1429,"Local","Turista Nacional")))</f>
        <v>Local</v>
      </c>
      <c r="Q1429" s="7" t="n">
        <f aca="false">IF($A1429="","",DATE(YEAR(B1429),MONTH(B1429),1))</f>
        <v>46082</v>
      </c>
      <c r="R1429" s="4" t="str">
        <f aca="false">IF($A1429="","",IF(COUNTIF($A$2:$A1429,$A1429)&gt;1,"Sim","Não"))</f>
        <v>Não</v>
      </c>
      <c r="S1429" s="4" t="str">
        <f aca="false">IF(A1429="","Descartar - Linha vazia",IF(R1429="Sim","Descartar - Duplicado",IF(OR(H1429&lt;=0,I1429&lt;=0),"Descartar - Qtd/Valor inválido","OK")))</f>
        <v>OK</v>
      </c>
      <c r="T1429" s="4" t="str">
        <f aca="false">Base_Bruta!P1429</f>
        <v>vendas_RJ.xlsx</v>
      </c>
    </row>
    <row r="1430" customFormat="false" ht="15" hidden="false" customHeight="false" outlineLevel="0" collapsed="false">
      <c r="A1430" s="4" t="str">
        <f aca="false">IF(Base_Bruta!A1430="","",Base_Bruta!A1430)</f>
        <v>RJ-000677</v>
      </c>
      <c r="B1430" s="5" t="n">
        <f aca="false">IF($A1430="","",IF(ISNUMBER(Base_Bruta!B1430),Base_Bruta!B1430,IF(MID(Base_Bruta!B1430,5,1)="-",DATE(VALUE(LEFT(Base_Bruta!B1430,4)),VALUE(MID(Base_Bruta!B1430,6,2)),VALUE(RIGHT(Base_Bruta!B1430,2))),DATE(VALUE(RIGHT(Base_Bruta!B1430,4)),VALUE(MID(Base_Bruta!B1430,4,2)),VALUE(LEFT(Base_Bruta!B1430,2))))))</f>
        <v>46112</v>
      </c>
      <c r="C1430" s="5" t="n">
        <f aca="false">IF($A1430="","",IF(ISNUMBER(Base_Bruta!C1430),Base_Bruta!C1430,IF(MID(Base_Bruta!C1430,5,1)="-",DATE(VALUE(LEFT(Base_Bruta!C1430,4)),VALUE(MID(Base_Bruta!C1430,6,2)),VALUE(RIGHT(Base_Bruta!C1430,2))),DATE(VALUE(RIGHT(Base_Bruta!C1430,4)),VALUE(MID(Base_Bruta!C1430,4,2)),VALUE(LEFT(Base_Bruta!C1430,2))))))</f>
        <v>46115</v>
      </c>
      <c r="D1430" s="4" t="str">
        <f aca="false">IF($A1430="","",TRIM(Base_Bruta!D1430))</f>
        <v>Cinema Barra - Sessões</v>
      </c>
      <c r="E1430" s="4" t="str">
        <f aca="false">IF($A1430="","",_xlfn.XLOOKUP(LOWER(TRIM(Base_Bruta!E1430)),DePara_Categoria!$A$2:$A$9,DePara_Categoria!$B$2:$B$9,"REVISAR"))</f>
        <v>Cinema</v>
      </c>
      <c r="F1430" s="4" t="str">
        <f aca="false">IF($A1430="","",_xlfn.XLOOKUP(LOWER(TRIM(Base_Bruta!F1430)),DePara_Cidade!$A$2:$A$29,DePara_Cidade!$B$2:$B$29,"REVISAR"))</f>
        <v>Rio de Janeiro</v>
      </c>
      <c r="G1430" s="4" t="str">
        <f aca="false">IF($A1430="","",TRIM(Base_Bruta!G1430))</f>
        <v>Meia</v>
      </c>
      <c r="H1430" s="4" t="n">
        <f aca="false">IF($A1430="","",IF(ISNUMBER(Base_Bruta!H1430),Base_Bruta!H1430,IFERROR(_xlfn.NUMBERVALUE(TRIM(SUBSTITUTE(Base_Bruta!H1430,"R$","")),",","."),0)))</f>
        <v>2</v>
      </c>
      <c r="I1430" s="6" t="n">
        <f aca="false">IF($A1430="","",IF(ISNUMBER(Base_Bruta!I1430),Base_Bruta!I1430,IFERROR(_xlfn.NUMBERVALUE(TRIM(SUBSTITUTE(Base_Bruta!I1430,"R$","")),",","."),0)))</f>
        <v>17.5</v>
      </c>
      <c r="J1430" s="6" t="n">
        <f aca="false">IF($A1430="","",H1430*I1430)</f>
        <v>35</v>
      </c>
      <c r="K1430" s="4" t="str">
        <f aca="false">IF($A1430="","",TRIM(Base_Bruta!J1430))</f>
        <v>Site</v>
      </c>
      <c r="L1430" s="4" t="str">
        <f aca="false">IF($A1430="","",TRIM(Base_Bruta!K1430))</f>
        <v>C02188</v>
      </c>
      <c r="M1430" s="4" t="str">
        <f aca="false">IF($A1430="","",_xlfn.XLOOKUP(LOWER(TRIM(Base_Bruta!L1430)),DePara_Cidade!$A$2:$A$29,DePara_Cidade!$B$2:$B$29,"REVISAR"))</f>
        <v>Rio de Janeiro</v>
      </c>
      <c r="N1430" s="4" t="str">
        <f aca="false">IF($A1430="","",UPPER(TRIM(Base_Bruta!M1430)))</f>
        <v>RJ</v>
      </c>
      <c r="O1430" s="4" t="str">
        <f aca="false">IF($A1430="","",_xlfn.XLOOKUP(LOWER(TRIM(Base_Bruta!N1430)),DePara_Pais!$A$2:$A$9,DePara_Pais!$B$2:$B$9,"REVISAR"))</f>
        <v>Brasil</v>
      </c>
      <c r="P1430" s="4" t="str">
        <f aca="false">IF($A1430="","",IF(O1430&lt;&gt;"Brasil","Turista Internacional",IF(M1430=F1430,"Local","Turista Nacional")))</f>
        <v>Local</v>
      </c>
      <c r="Q1430" s="7" t="n">
        <f aca="false">IF($A1430="","",DATE(YEAR(B1430),MONTH(B1430),1))</f>
        <v>46082</v>
      </c>
      <c r="R1430" s="4" t="str">
        <f aca="false">IF($A1430="","",IF(COUNTIF($A$2:$A1430,$A1430)&gt;1,"Sim","Não"))</f>
        <v>Não</v>
      </c>
      <c r="S1430" s="4" t="str">
        <f aca="false">IF(A1430="","Descartar - Linha vazia",IF(R1430="Sim","Descartar - Duplicado",IF(OR(H1430&lt;=0,I1430&lt;=0),"Descartar - Qtd/Valor inválido","OK")))</f>
        <v>OK</v>
      </c>
      <c r="T1430" s="4" t="str">
        <f aca="false">Base_Bruta!P1430</f>
        <v>vendas_RJ.xlsx</v>
      </c>
    </row>
    <row r="1431" customFormat="false" ht="15" hidden="false" customHeight="false" outlineLevel="0" collapsed="false">
      <c r="A1431" s="4" t="str">
        <f aca="false">IF(Base_Bruta!A1431="","",Base_Bruta!A1431)</f>
        <v>RJ-000478</v>
      </c>
      <c r="B1431" s="5" t="n">
        <f aca="false">IF($A1431="","",IF(ISNUMBER(Base_Bruta!B1431),Base_Bruta!B1431,IF(MID(Base_Bruta!B1431,5,1)="-",DATE(VALUE(LEFT(Base_Bruta!B1431,4)),VALUE(MID(Base_Bruta!B1431,6,2)),VALUE(RIGHT(Base_Bruta!B1431,2))),DATE(VALUE(RIGHT(Base_Bruta!B1431,4)),VALUE(MID(Base_Bruta!B1431,4,2)),VALUE(LEFT(Base_Bruta!B1431,2))))))</f>
        <v>46113</v>
      </c>
      <c r="C1431" s="5" t="n">
        <f aca="false">IF($A1431="","",IF(ISNUMBER(Base_Bruta!C1431),Base_Bruta!C1431,IF(MID(Base_Bruta!C1431,5,1)="-",DATE(VALUE(LEFT(Base_Bruta!C1431,4)),VALUE(MID(Base_Bruta!C1431,6,2)),VALUE(RIGHT(Base_Bruta!C1431,2))),DATE(VALUE(RIGHT(Base_Bruta!C1431,4)),VALUE(MID(Base_Bruta!C1431,4,2)),VALUE(LEFT(Base_Bruta!C1431,2))))))</f>
        <v>46151</v>
      </c>
      <c r="D1431" s="4" t="str">
        <f aca="false">IF($A1431="","",TRIM(Base_Bruta!D1431))</f>
        <v>Turnê Internacional Rock - Rio</v>
      </c>
      <c r="E1431" s="4" t="str">
        <f aca="false">IF($A1431="","",_xlfn.XLOOKUP(LOWER(TRIM(Base_Bruta!E1431)),DePara_Categoria!$A$2:$A$9,DePara_Categoria!$B$2:$B$9,"REVISAR"))</f>
        <v>Show</v>
      </c>
      <c r="F1431" s="4" t="str">
        <f aca="false">IF($A1431="","",_xlfn.XLOOKUP(LOWER(TRIM(Base_Bruta!F1431)),DePara_Cidade!$A$2:$A$29,DePara_Cidade!$B$2:$B$29,"REVISAR"))</f>
        <v>Rio de Janeiro</v>
      </c>
      <c r="G1431" s="4" t="str">
        <f aca="false">IF($A1431="","",TRIM(Base_Bruta!G1431))</f>
        <v>Inteira</v>
      </c>
      <c r="H1431" s="4" t="n">
        <f aca="false">IF($A1431="","",IF(ISNUMBER(Base_Bruta!H1431),Base_Bruta!H1431,IFERROR(_xlfn.NUMBERVALUE(TRIM(SUBSTITUTE(Base_Bruta!H1431,"R$","")),",","."),0)))</f>
        <v>3</v>
      </c>
      <c r="I1431" s="6" t="n">
        <f aca="false">IF($A1431="","",IF(ISNUMBER(Base_Bruta!I1431),Base_Bruta!I1431,IFERROR(_xlfn.NUMBERVALUE(TRIM(SUBSTITUTE(Base_Bruta!I1431,"R$","")),",","."),0)))</f>
        <v>700</v>
      </c>
      <c r="J1431" s="6" t="n">
        <f aca="false">IF($A1431="","",H1431*I1431)</f>
        <v>2100</v>
      </c>
      <c r="K1431" s="4" t="str">
        <f aca="false">IF($A1431="","",TRIM(Base_Bruta!J1431))</f>
        <v>Site</v>
      </c>
      <c r="L1431" s="4" t="str">
        <f aca="false">IF($A1431="","",TRIM(Base_Bruta!K1431))</f>
        <v>C00008</v>
      </c>
      <c r="M1431" s="4" t="str">
        <f aca="false">IF($A1431="","",_xlfn.XLOOKUP(LOWER(TRIM(Base_Bruta!L1431)),DePara_Cidade!$A$2:$A$29,DePara_Cidade!$B$2:$B$29,"REVISAR"))</f>
        <v>Rio de Janeiro</v>
      </c>
      <c r="N1431" s="4" t="str">
        <f aca="false">IF($A1431="","",UPPER(TRIM(Base_Bruta!M1431)))</f>
        <v>RJ</v>
      </c>
      <c r="O1431" s="4" t="str">
        <f aca="false">IF($A1431="","",_xlfn.XLOOKUP(LOWER(TRIM(Base_Bruta!N1431)),DePara_Pais!$A$2:$A$9,DePara_Pais!$B$2:$B$9,"REVISAR"))</f>
        <v>Brasil</v>
      </c>
      <c r="P1431" s="4" t="str">
        <f aca="false">IF($A1431="","",IF(O1431&lt;&gt;"Brasil","Turista Internacional",IF(M1431=F1431,"Local","Turista Nacional")))</f>
        <v>Local</v>
      </c>
      <c r="Q1431" s="7" t="n">
        <f aca="false">IF($A1431="","",DATE(YEAR(B1431),MONTH(B1431),1))</f>
        <v>46113</v>
      </c>
      <c r="R1431" s="4" t="str">
        <f aca="false">IF($A1431="","",IF(COUNTIF($A$2:$A1431,$A1431)&gt;1,"Sim","Não"))</f>
        <v>Não</v>
      </c>
      <c r="S1431" s="4" t="str">
        <f aca="false">IF(A1431="","Descartar - Linha vazia",IF(R1431="Sim","Descartar - Duplicado",IF(OR(H1431&lt;=0,I1431&lt;=0),"Descartar - Qtd/Valor inválido","OK")))</f>
        <v>OK</v>
      </c>
      <c r="T1431" s="4" t="str">
        <f aca="false">Base_Bruta!P1431</f>
        <v>vendas_RJ.xlsx</v>
      </c>
    </row>
    <row r="1432" customFormat="false" ht="15" hidden="false" customHeight="false" outlineLevel="0" collapsed="false">
      <c r="A1432" s="4" t="str">
        <f aca="false">IF(Base_Bruta!A1432="","",Base_Bruta!A1432)</f>
        <v>RJ-000480</v>
      </c>
      <c r="B1432" s="5" t="n">
        <f aca="false">IF($A1432="","",IF(ISNUMBER(Base_Bruta!B1432),Base_Bruta!B1432,IF(MID(Base_Bruta!B1432,5,1)="-",DATE(VALUE(LEFT(Base_Bruta!B1432,4)),VALUE(MID(Base_Bruta!B1432,6,2)),VALUE(RIGHT(Base_Bruta!B1432,2))),DATE(VALUE(RIGHT(Base_Bruta!B1432,4)),VALUE(MID(Base_Bruta!B1432,4,2)),VALUE(LEFT(Base_Bruta!B1432,2))))))</f>
        <v>46114</v>
      </c>
      <c r="C1432" s="5" t="n">
        <f aca="false">IF($A1432="","",IF(ISNUMBER(Base_Bruta!C1432),Base_Bruta!C1432,IF(MID(Base_Bruta!C1432,5,1)="-",DATE(VALUE(LEFT(Base_Bruta!C1432,4)),VALUE(MID(Base_Bruta!C1432,6,2)),VALUE(RIGHT(Base_Bruta!C1432,2))),DATE(VALUE(RIGHT(Base_Bruta!C1432,4)),VALUE(MID(Base_Bruta!C1432,4,2)),VALUE(LEFT(Base_Bruta!C1432,2))))))</f>
        <v>46151</v>
      </c>
      <c r="D1432" s="4" t="str">
        <f aca="false">IF($A1432="","",TRIM(Base_Bruta!D1432))</f>
        <v>Turnê Internacional Rock - Rio</v>
      </c>
      <c r="E1432" s="4" t="str">
        <f aca="false">IF($A1432="","",_xlfn.XLOOKUP(LOWER(TRIM(Base_Bruta!E1432)),DePara_Categoria!$A$2:$A$9,DePara_Categoria!$B$2:$B$9,"REVISAR"))</f>
        <v>Show</v>
      </c>
      <c r="F1432" s="4" t="str">
        <f aca="false">IF($A1432="","",_xlfn.XLOOKUP(LOWER(TRIM(Base_Bruta!F1432)),DePara_Cidade!$A$2:$A$29,DePara_Cidade!$B$2:$B$29,"REVISAR"))</f>
        <v>Rio de Janeiro</v>
      </c>
      <c r="G1432" s="4" t="str">
        <f aca="false">IF($A1432="","",TRIM(Base_Bruta!G1432))</f>
        <v>Meia</v>
      </c>
      <c r="H1432" s="4" t="n">
        <f aca="false">IF($A1432="","",IF(ISNUMBER(Base_Bruta!H1432),Base_Bruta!H1432,IFERROR(_xlfn.NUMBERVALUE(TRIM(SUBSTITUTE(Base_Bruta!H1432,"R$","")),",","."),0)))</f>
        <v>2</v>
      </c>
      <c r="I1432" s="6" t="n">
        <f aca="false">IF($A1432="","",IF(ISNUMBER(Base_Bruta!I1432),Base_Bruta!I1432,IFERROR(_xlfn.NUMBERVALUE(TRIM(SUBSTITUTE(Base_Bruta!I1432,"R$","")),",","."),0)))</f>
        <v>315</v>
      </c>
      <c r="J1432" s="6" t="n">
        <f aca="false">IF($A1432="","",H1432*I1432)</f>
        <v>630</v>
      </c>
      <c r="K1432" s="4" t="str">
        <f aca="false">IF($A1432="","",TRIM(Base_Bruta!J1432))</f>
        <v>App</v>
      </c>
      <c r="L1432" s="4" t="str">
        <f aca="false">IF($A1432="","",TRIM(Base_Bruta!K1432))</f>
        <v>C00084</v>
      </c>
      <c r="M1432" s="4" t="str">
        <f aca="false">IF($A1432="","",_xlfn.XLOOKUP(LOWER(TRIM(Base_Bruta!L1432)),DePara_Cidade!$A$2:$A$29,DePara_Cidade!$B$2:$B$29,"REVISAR"))</f>
        <v>Rio de Janeiro</v>
      </c>
      <c r="N1432" s="4" t="str">
        <f aca="false">IF($A1432="","",UPPER(TRIM(Base_Bruta!M1432)))</f>
        <v>RJ</v>
      </c>
      <c r="O1432" s="4" t="str">
        <f aca="false">IF($A1432="","",_xlfn.XLOOKUP(LOWER(TRIM(Base_Bruta!N1432)),DePara_Pais!$A$2:$A$9,DePara_Pais!$B$2:$B$9,"REVISAR"))</f>
        <v>Brasil</v>
      </c>
      <c r="P1432" s="4" t="str">
        <f aca="false">IF($A1432="","",IF(O1432&lt;&gt;"Brasil","Turista Internacional",IF(M1432=F1432,"Local","Turista Nacional")))</f>
        <v>Local</v>
      </c>
      <c r="Q1432" s="7" t="n">
        <f aca="false">IF($A1432="","",DATE(YEAR(B1432),MONTH(B1432),1))</f>
        <v>46113</v>
      </c>
      <c r="R1432" s="4" t="str">
        <f aca="false">IF($A1432="","",IF(COUNTIF($A$2:$A1432,$A1432)&gt;1,"Sim","Não"))</f>
        <v>Não</v>
      </c>
      <c r="S1432" s="4" t="str">
        <f aca="false">IF(A1432="","Descartar - Linha vazia",IF(R1432="Sim","Descartar - Duplicado",IF(OR(H1432&lt;=0,I1432&lt;=0),"Descartar - Qtd/Valor inválido","OK")))</f>
        <v>OK</v>
      </c>
      <c r="T1432" s="4" t="str">
        <f aca="false">Base_Bruta!P1432</f>
        <v>vendas_RJ.xlsx</v>
      </c>
    </row>
    <row r="1433" customFormat="false" ht="15" hidden="false" customHeight="false" outlineLevel="0" collapsed="false">
      <c r="A1433" s="4" t="str">
        <f aca="false">IF(Base_Bruta!A1433="","",Base_Bruta!A1433)</f>
        <v>RJ-000480</v>
      </c>
      <c r="B1433" s="5" t="n">
        <f aca="false">IF($A1433="","",IF(ISNUMBER(Base_Bruta!B1433),Base_Bruta!B1433,IF(MID(Base_Bruta!B1433,5,1)="-",DATE(VALUE(LEFT(Base_Bruta!B1433,4)),VALUE(MID(Base_Bruta!B1433,6,2)),VALUE(RIGHT(Base_Bruta!B1433,2))),DATE(VALUE(RIGHT(Base_Bruta!B1433,4)),VALUE(MID(Base_Bruta!B1433,4,2)),VALUE(LEFT(Base_Bruta!B1433,2))))))</f>
        <v>46114</v>
      </c>
      <c r="C1433" s="5" t="n">
        <f aca="false">IF($A1433="","",IF(ISNUMBER(Base_Bruta!C1433),Base_Bruta!C1433,IF(MID(Base_Bruta!C1433,5,1)="-",DATE(VALUE(LEFT(Base_Bruta!C1433,4)),VALUE(MID(Base_Bruta!C1433,6,2)),VALUE(RIGHT(Base_Bruta!C1433,2))),DATE(VALUE(RIGHT(Base_Bruta!C1433,4)),VALUE(MID(Base_Bruta!C1433,4,2)),VALUE(LEFT(Base_Bruta!C1433,2))))))</f>
        <v>46151</v>
      </c>
      <c r="D1433" s="4" t="str">
        <f aca="false">IF($A1433="","",TRIM(Base_Bruta!D1433))</f>
        <v>Turnê Internacional Rock - Rio</v>
      </c>
      <c r="E1433" s="4" t="str">
        <f aca="false">IF($A1433="","",_xlfn.XLOOKUP(LOWER(TRIM(Base_Bruta!E1433)),DePara_Categoria!$A$2:$A$9,DePara_Categoria!$B$2:$B$9,"REVISAR"))</f>
        <v>Show</v>
      </c>
      <c r="F1433" s="4" t="str">
        <f aca="false">IF($A1433="","",_xlfn.XLOOKUP(LOWER(TRIM(Base_Bruta!F1433)),DePara_Cidade!$A$2:$A$29,DePara_Cidade!$B$2:$B$29,"REVISAR"))</f>
        <v>Rio de Janeiro</v>
      </c>
      <c r="G1433" s="4" t="str">
        <f aca="false">IF($A1433="","",TRIM(Base_Bruta!G1433))</f>
        <v>Meia</v>
      </c>
      <c r="H1433" s="4" t="n">
        <f aca="false">IF($A1433="","",IF(ISNUMBER(Base_Bruta!H1433),Base_Bruta!H1433,IFERROR(_xlfn.NUMBERVALUE(TRIM(SUBSTITUTE(Base_Bruta!H1433,"R$","")),",","."),0)))</f>
        <v>2</v>
      </c>
      <c r="I1433" s="6" t="n">
        <f aca="false">IF($A1433="","",IF(ISNUMBER(Base_Bruta!I1433),Base_Bruta!I1433,IFERROR(_xlfn.NUMBERVALUE(TRIM(SUBSTITUTE(Base_Bruta!I1433,"R$","")),",","."),0)))</f>
        <v>315</v>
      </c>
      <c r="J1433" s="6" t="n">
        <f aca="false">IF($A1433="","",H1433*I1433)</f>
        <v>630</v>
      </c>
      <c r="K1433" s="4" t="str">
        <f aca="false">IF($A1433="","",TRIM(Base_Bruta!J1433))</f>
        <v>App</v>
      </c>
      <c r="L1433" s="4" t="str">
        <f aca="false">IF($A1433="","",TRIM(Base_Bruta!K1433))</f>
        <v>C00084</v>
      </c>
      <c r="M1433" s="4" t="str">
        <f aca="false">IF($A1433="","",_xlfn.XLOOKUP(LOWER(TRIM(Base_Bruta!L1433)),DePara_Cidade!$A$2:$A$29,DePara_Cidade!$B$2:$B$29,"REVISAR"))</f>
        <v>Rio de Janeiro</v>
      </c>
      <c r="N1433" s="4" t="str">
        <f aca="false">IF($A1433="","",UPPER(TRIM(Base_Bruta!M1433)))</f>
        <v>RJ</v>
      </c>
      <c r="O1433" s="4" t="str">
        <f aca="false">IF($A1433="","",_xlfn.XLOOKUP(LOWER(TRIM(Base_Bruta!N1433)),DePara_Pais!$A$2:$A$9,DePara_Pais!$B$2:$B$9,"REVISAR"))</f>
        <v>Brasil</v>
      </c>
      <c r="P1433" s="4" t="str">
        <f aca="false">IF($A1433="","",IF(O1433&lt;&gt;"Brasil","Turista Internacional",IF(M1433=F1433,"Local","Turista Nacional")))</f>
        <v>Local</v>
      </c>
      <c r="Q1433" s="7" t="n">
        <f aca="false">IF($A1433="","",DATE(YEAR(B1433),MONTH(B1433),1))</f>
        <v>46113</v>
      </c>
      <c r="R1433" s="4" t="str">
        <f aca="false">IF($A1433="","",IF(COUNTIF($A$2:$A1433,$A1433)&gt;1,"Sim","Não"))</f>
        <v>Sim</v>
      </c>
      <c r="S1433" s="4" t="str">
        <f aca="false">IF(A1433="","Descartar - Linha vazia",IF(R1433="Sim","Descartar - Duplicado",IF(OR(H1433&lt;=0,I1433&lt;=0),"Descartar - Qtd/Valor inválido","OK")))</f>
        <v>Descartar - Duplicado</v>
      </c>
      <c r="T1433" s="4" t="str">
        <f aca="false">Base_Bruta!P1433</f>
        <v>vendas_RJ.xlsx</v>
      </c>
    </row>
    <row r="1434" customFormat="false" ht="15" hidden="false" customHeight="false" outlineLevel="0" collapsed="false">
      <c r="A1434" s="4" t="str">
        <f aca="false">IF(Base_Bruta!A1434="","",Base_Bruta!A1434)</f>
        <v>RJ-000469</v>
      </c>
      <c r="B1434" s="5" t="n">
        <f aca="false">IF($A1434="","",IF(ISNUMBER(Base_Bruta!B1434),Base_Bruta!B1434,IF(MID(Base_Bruta!B1434,5,1)="-",DATE(VALUE(LEFT(Base_Bruta!B1434,4)),VALUE(MID(Base_Bruta!B1434,6,2)),VALUE(RIGHT(Base_Bruta!B1434,2))),DATE(VALUE(RIGHT(Base_Bruta!B1434,4)),VALUE(MID(Base_Bruta!B1434,4,2)),VALUE(LEFT(Base_Bruta!B1434,2))))))</f>
        <v>46115</v>
      </c>
      <c r="C1434" s="5" t="n">
        <f aca="false">IF($A1434="","",IF(ISNUMBER(Base_Bruta!C1434),Base_Bruta!C1434,IF(MID(Base_Bruta!C1434,5,1)="-",DATE(VALUE(LEFT(Base_Bruta!C1434,4)),VALUE(MID(Base_Bruta!C1434,6,2)),VALUE(RIGHT(Base_Bruta!C1434,2))),DATE(VALUE(RIGHT(Base_Bruta!C1434,4)),VALUE(MID(Base_Bruta!C1434,4,2)),VALUE(LEFT(Base_Bruta!C1434,2))))))</f>
        <v>46151</v>
      </c>
      <c r="D1434" s="4" t="str">
        <f aca="false">IF($A1434="","",TRIM(Base_Bruta!D1434))</f>
        <v>Turnê Internacional Rock - Rio</v>
      </c>
      <c r="E1434" s="4" t="str">
        <f aca="false">IF($A1434="","",_xlfn.XLOOKUP(LOWER(TRIM(Base_Bruta!E1434)),DePara_Categoria!$A$2:$A$9,DePara_Categoria!$B$2:$B$9,"REVISAR"))</f>
        <v>Show</v>
      </c>
      <c r="F1434" s="4" t="str">
        <f aca="false">IF($A1434="","",_xlfn.XLOOKUP(LOWER(TRIM(Base_Bruta!F1434)),DePara_Cidade!$A$2:$A$29,DePara_Cidade!$B$2:$B$29,"REVISAR"))</f>
        <v>Rio de Janeiro</v>
      </c>
      <c r="G1434" s="4" t="str">
        <f aca="false">IF($A1434="","",TRIM(Base_Bruta!G1434))</f>
        <v>Meia</v>
      </c>
      <c r="H1434" s="4" t="n">
        <f aca="false">IF($A1434="","",IF(ISNUMBER(Base_Bruta!H1434),Base_Bruta!H1434,IFERROR(_xlfn.NUMBERVALUE(TRIM(SUBSTITUTE(Base_Bruta!H1434,"R$","")),",","."),0)))</f>
        <v>1</v>
      </c>
      <c r="I1434" s="6" t="n">
        <f aca="false">IF($A1434="","",IF(ISNUMBER(Base_Bruta!I1434),Base_Bruta!I1434,IFERROR(_xlfn.NUMBERVALUE(TRIM(SUBSTITUTE(Base_Bruta!I1434,"R$","")),",","."),0)))</f>
        <v>327.5</v>
      </c>
      <c r="J1434" s="6" t="n">
        <f aca="false">IF($A1434="","",H1434*I1434)</f>
        <v>327.5</v>
      </c>
      <c r="K1434" s="4" t="str">
        <f aca="false">IF($A1434="","",TRIM(Base_Bruta!J1434))</f>
        <v>Bilheteria</v>
      </c>
      <c r="L1434" s="4" t="str">
        <f aca="false">IF($A1434="","",TRIM(Base_Bruta!K1434))</f>
        <v>C00347</v>
      </c>
      <c r="M1434" s="4" t="str">
        <f aca="false">IF($A1434="","",_xlfn.XLOOKUP(LOWER(TRIM(Base_Bruta!L1434)),DePara_Cidade!$A$2:$A$29,DePara_Cidade!$B$2:$B$29,"REVISAR"))</f>
        <v>Rio de Janeiro</v>
      </c>
      <c r="N1434" s="4" t="str">
        <f aca="false">IF($A1434="","",UPPER(TRIM(Base_Bruta!M1434)))</f>
        <v>RJ</v>
      </c>
      <c r="O1434" s="4" t="str">
        <f aca="false">IF($A1434="","",_xlfn.XLOOKUP(LOWER(TRIM(Base_Bruta!N1434)),DePara_Pais!$A$2:$A$9,DePara_Pais!$B$2:$B$9,"REVISAR"))</f>
        <v>Brasil</v>
      </c>
      <c r="P1434" s="4" t="str">
        <f aca="false">IF($A1434="","",IF(O1434&lt;&gt;"Brasil","Turista Internacional",IF(M1434=F1434,"Local","Turista Nacional")))</f>
        <v>Local</v>
      </c>
      <c r="Q1434" s="7" t="n">
        <f aca="false">IF($A1434="","",DATE(YEAR(B1434),MONTH(B1434),1))</f>
        <v>46113</v>
      </c>
      <c r="R1434" s="4" t="str">
        <f aca="false">IF($A1434="","",IF(COUNTIF($A$2:$A1434,$A1434)&gt;1,"Sim","Não"))</f>
        <v>Não</v>
      </c>
      <c r="S1434" s="4" t="str">
        <f aca="false">IF(A1434="","Descartar - Linha vazia",IF(R1434="Sim","Descartar - Duplicado",IF(OR(H1434&lt;=0,I1434&lt;=0),"Descartar - Qtd/Valor inválido","OK")))</f>
        <v>OK</v>
      </c>
      <c r="T1434" s="4" t="str">
        <f aca="false">Base_Bruta!P1434</f>
        <v>vendas_RJ.xlsx</v>
      </c>
    </row>
    <row r="1435" customFormat="false" ht="15" hidden="false" customHeight="false" outlineLevel="0" collapsed="false">
      <c r="A1435" s="4" t="str">
        <f aca="false">IF(Base_Bruta!A1435="","",Base_Bruta!A1435)</f>
        <v>RJ-000521</v>
      </c>
      <c r="B1435" s="5" t="n">
        <f aca="false">IF($A1435="","",IF(ISNUMBER(Base_Bruta!B1435),Base_Bruta!B1435,IF(MID(Base_Bruta!B1435,5,1)="-",DATE(VALUE(LEFT(Base_Bruta!B1435,4)),VALUE(MID(Base_Bruta!B1435,6,2)),VALUE(RIGHT(Base_Bruta!B1435,2))),DATE(VALUE(RIGHT(Base_Bruta!B1435,4)),VALUE(MID(Base_Bruta!B1435,4,2)),VALUE(LEFT(Base_Bruta!B1435,2))))))</f>
        <v>46116</v>
      </c>
      <c r="C1435" s="5" t="n">
        <f aca="false">IF($A1435="","",IF(ISNUMBER(Base_Bruta!C1435),Base_Bruta!C1435,IF(MID(Base_Bruta!C1435,5,1)="-",DATE(VALUE(LEFT(Base_Bruta!C1435,4)),VALUE(MID(Base_Bruta!C1435,6,2)),VALUE(RIGHT(Base_Bruta!C1435,2))),DATE(VALUE(RIGHT(Base_Bruta!C1435,4)),VALUE(MID(Base_Bruta!C1435,4,2)),VALUE(LEFT(Base_Bruta!C1435,2))))))</f>
        <v>46151</v>
      </c>
      <c r="D1435" s="4" t="str">
        <f aca="false">IF($A1435="","",TRIM(Base_Bruta!D1435))</f>
        <v>Turnê Internacional Rock - Rio</v>
      </c>
      <c r="E1435" s="4" t="str">
        <f aca="false">IF($A1435="","",_xlfn.XLOOKUP(LOWER(TRIM(Base_Bruta!E1435)),DePara_Categoria!$A$2:$A$9,DePara_Categoria!$B$2:$B$9,"REVISAR"))</f>
        <v>Show</v>
      </c>
      <c r="F1435" s="4" t="str">
        <f aca="false">IF($A1435="","",_xlfn.XLOOKUP(LOWER(TRIM(Base_Bruta!F1435)),DePara_Cidade!$A$2:$A$29,DePara_Cidade!$B$2:$B$29,"REVISAR"))</f>
        <v>Rio de Janeiro</v>
      </c>
      <c r="G1435" s="4" t="str">
        <f aca="false">IF($A1435="","",TRIM(Base_Bruta!G1435))</f>
        <v>Inteira</v>
      </c>
      <c r="H1435" s="4" t="n">
        <f aca="false">IF($A1435="","",IF(ISNUMBER(Base_Bruta!H1435),Base_Bruta!H1435,IFERROR(_xlfn.NUMBERVALUE(TRIM(SUBSTITUTE(Base_Bruta!H1435,"R$","")),",","."),0)))</f>
        <v>3</v>
      </c>
      <c r="I1435" s="6" t="n">
        <f aca="false">IF($A1435="","",IF(ISNUMBER(Base_Bruta!I1435),Base_Bruta!I1435,IFERROR(_xlfn.NUMBERVALUE(TRIM(SUBSTITUTE(Base_Bruta!I1435,"R$","")),",","."),0)))</f>
        <v>720</v>
      </c>
      <c r="J1435" s="6" t="n">
        <f aca="false">IF($A1435="","",H1435*I1435)</f>
        <v>2160</v>
      </c>
      <c r="K1435" s="4" t="str">
        <f aca="false">IF($A1435="","",TRIM(Base_Bruta!J1435))</f>
        <v>Parceiro</v>
      </c>
      <c r="L1435" s="4" t="str">
        <f aca="false">IF($A1435="","",TRIM(Base_Bruta!K1435))</f>
        <v>C01046</v>
      </c>
      <c r="M1435" s="4" t="str">
        <f aca="false">IF($A1435="","",_xlfn.XLOOKUP(LOWER(TRIM(Base_Bruta!L1435)),DePara_Cidade!$A$2:$A$29,DePara_Cidade!$B$2:$B$29,"REVISAR"))</f>
        <v>Contagem</v>
      </c>
      <c r="N1435" s="4" t="str">
        <f aca="false">IF($A1435="","",UPPER(TRIM(Base_Bruta!M1435)))</f>
        <v>MG</v>
      </c>
      <c r="O1435" s="4" t="str">
        <f aca="false">IF($A1435="","",_xlfn.XLOOKUP(LOWER(TRIM(Base_Bruta!N1435)),DePara_Pais!$A$2:$A$9,DePara_Pais!$B$2:$B$9,"REVISAR"))</f>
        <v>Brasil</v>
      </c>
      <c r="P1435" s="4" t="str">
        <f aca="false">IF($A1435="","",IF(O1435&lt;&gt;"Brasil","Turista Internacional",IF(M1435=F1435,"Local","Turista Nacional")))</f>
        <v>Turista Nacional</v>
      </c>
      <c r="Q1435" s="7" t="n">
        <f aca="false">IF($A1435="","",DATE(YEAR(B1435),MONTH(B1435),1))</f>
        <v>46113</v>
      </c>
      <c r="R1435" s="4" t="str">
        <f aca="false">IF($A1435="","",IF(COUNTIF($A$2:$A1435,$A1435)&gt;1,"Sim","Não"))</f>
        <v>Não</v>
      </c>
      <c r="S1435" s="4" t="str">
        <f aca="false">IF(A1435="","Descartar - Linha vazia",IF(R1435="Sim","Descartar - Duplicado",IF(OR(H1435&lt;=0,I1435&lt;=0),"Descartar - Qtd/Valor inválido","OK")))</f>
        <v>OK</v>
      </c>
      <c r="T1435" s="4" t="str">
        <f aca="false">Base_Bruta!P1435</f>
        <v>vendas_RJ.xlsx</v>
      </c>
    </row>
    <row r="1436" customFormat="false" ht="15" hidden="false" customHeight="false" outlineLevel="0" collapsed="false">
      <c r="A1436" s="4" t="str">
        <f aca="false">IF(Base_Bruta!A1436="","",Base_Bruta!A1436)</f>
        <v>RJ-000644</v>
      </c>
      <c r="B1436" s="5" t="n">
        <f aca="false">IF($A1436="","",IF(ISNUMBER(Base_Bruta!B1436),Base_Bruta!B1436,IF(MID(Base_Bruta!B1436,5,1)="-",DATE(VALUE(LEFT(Base_Bruta!B1436,4)),VALUE(MID(Base_Bruta!B1436,6,2)),VALUE(RIGHT(Base_Bruta!B1436,2))),DATE(VALUE(RIGHT(Base_Bruta!B1436,4)),VALUE(MID(Base_Bruta!B1436,4,2)),VALUE(LEFT(Base_Bruta!B1436,2))))))</f>
        <v>46117</v>
      </c>
      <c r="C1436" s="5" t="n">
        <f aca="false">IF($A1436="","",IF(ISNUMBER(Base_Bruta!C1436),Base_Bruta!C1436,IF(MID(Base_Bruta!C1436,5,1)="-",DATE(VALUE(LEFT(Base_Bruta!C1436,4)),VALUE(MID(Base_Bruta!C1436,6,2)),VALUE(RIGHT(Base_Bruta!C1436,2))),DATE(VALUE(RIGHT(Base_Bruta!C1436,4)),VALUE(MID(Base_Bruta!C1436,4,2)),VALUE(LEFT(Base_Bruta!C1436,2))))))</f>
        <v>46117</v>
      </c>
      <c r="D1436" s="4" t="str">
        <f aca="false">IF($A1436="","",TRIM(Base_Bruta!D1436))</f>
        <v>Cinema Barra - Sessões</v>
      </c>
      <c r="E1436" s="4" t="str">
        <f aca="false">IF($A1436="","",_xlfn.XLOOKUP(LOWER(TRIM(Base_Bruta!E1436)),DePara_Categoria!$A$2:$A$9,DePara_Categoria!$B$2:$B$9,"REVISAR"))</f>
        <v>Cinema</v>
      </c>
      <c r="F1436" s="4" t="str">
        <f aca="false">IF($A1436="","",_xlfn.XLOOKUP(LOWER(TRIM(Base_Bruta!F1436)),DePara_Cidade!$A$2:$A$29,DePara_Cidade!$B$2:$B$29,"REVISAR"))</f>
        <v>Rio de Janeiro</v>
      </c>
      <c r="G1436" s="4" t="str">
        <f aca="false">IF($A1436="","",TRIM(Base_Bruta!G1436))</f>
        <v>Inteira</v>
      </c>
      <c r="H1436" s="4" t="n">
        <f aca="false">IF($A1436="","",IF(ISNUMBER(Base_Bruta!H1436),Base_Bruta!H1436,IFERROR(_xlfn.NUMBERVALUE(TRIM(SUBSTITUTE(Base_Bruta!H1436,"R$","")),",","."),0)))</f>
        <v>2</v>
      </c>
      <c r="I1436" s="6" t="n">
        <f aca="false">IF($A1436="","",IF(ISNUMBER(Base_Bruta!I1436),Base_Bruta!I1436,IFERROR(_xlfn.NUMBERVALUE(TRIM(SUBSTITUTE(Base_Bruta!I1436,"R$","")),",","."),0)))</f>
        <v>35</v>
      </c>
      <c r="J1436" s="6" t="n">
        <f aca="false">IF($A1436="","",H1436*I1436)</f>
        <v>70</v>
      </c>
      <c r="K1436" s="4" t="str">
        <f aca="false">IF($A1436="","",TRIM(Base_Bruta!J1436))</f>
        <v>Site</v>
      </c>
      <c r="L1436" s="4" t="str">
        <f aca="false">IF($A1436="","",TRIM(Base_Bruta!K1436))</f>
        <v>C00592</v>
      </c>
      <c r="M1436" s="4" t="str">
        <f aca="false">IF($A1436="","",_xlfn.XLOOKUP(LOWER(TRIM(Base_Bruta!L1436)),DePara_Cidade!$A$2:$A$29,DePara_Cidade!$B$2:$B$29,"REVISAR"))</f>
        <v>Rio de Janeiro</v>
      </c>
      <c r="N1436" s="4" t="str">
        <f aca="false">IF($A1436="","",UPPER(TRIM(Base_Bruta!M1436)))</f>
        <v>RJ</v>
      </c>
      <c r="O1436" s="4" t="str">
        <f aca="false">IF($A1436="","",_xlfn.XLOOKUP(LOWER(TRIM(Base_Bruta!N1436)),DePara_Pais!$A$2:$A$9,DePara_Pais!$B$2:$B$9,"REVISAR"))</f>
        <v>Brasil</v>
      </c>
      <c r="P1436" s="4" t="str">
        <f aca="false">IF($A1436="","",IF(O1436&lt;&gt;"Brasil","Turista Internacional",IF(M1436=F1436,"Local","Turista Nacional")))</f>
        <v>Local</v>
      </c>
      <c r="Q1436" s="7" t="n">
        <f aca="false">IF($A1436="","",DATE(YEAR(B1436),MONTH(B1436),1))</f>
        <v>46113</v>
      </c>
      <c r="R1436" s="4" t="str">
        <f aca="false">IF($A1436="","",IF(COUNTIF($A$2:$A1436,$A1436)&gt;1,"Sim","Não"))</f>
        <v>Não</v>
      </c>
      <c r="S1436" s="4" t="str">
        <f aca="false">IF(A1436="","Descartar - Linha vazia",IF(R1436="Sim","Descartar - Duplicado",IF(OR(H1436&lt;=0,I1436&lt;=0),"Descartar - Qtd/Valor inválido","OK")))</f>
        <v>OK</v>
      </c>
      <c r="T1436" s="4" t="str">
        <f aca="false">Base_Bruta!P1436</f>
        <v>vendas_RJ.xlsx</v>
      </c>
    </row>
    <row r="1437" customFormat="false" ht="15" hidden="false" customHeight="false" outlineLevel="0" collapsed="false">
      <c r="A1437" s="4" t="str">
        <f aca="false">IF(Base_Bruta!A1437="","",Base_Bruta!A1437)</f>
        <v>RJ-000666</v>
      </c>
      <c r="B1437" s="5" t="n">
        <f aca="false">IF($A1437="","",IF(ISNUMBER(Base_Bruta!B1437),Base_Bruta!B1437,IF(MID(Base_Bruta!B1437,5,1)="-",DATE(VALUE(LEFT(Base_Bruta!B1437,4)),VALUE(MID(Base_Bruta!B1437,6,2)),VALUE(RIGHT(Base_Bruta!B1437,2))),DATE(VALUE(RIGHT(Base_Bruta!B1437,4)),VALUE(MID(Base_Bruta!B1437,4,2)),VALUE(LEFT(Base_Bruta!B1437,2))))))</f>
        <v>46122</v>
      </c>
      <c r="C1437" s="5" t="n">
        <f aca="false">IF($A1437="","",IF(ISNUMBER(Base_Bruta!C1437),Base_Bruta!C1437,IF(MID(Base_Bruta!C1437,5,1)="-",DATE(VALUE(LEFT(Base_Bruta!C1437,4)),VALUE(MID(Base_Bruta!C1437,6,2)),VALUE(RIGHT(Base_Bruta!C1437,2))),DATE(VALUE(RIGHT(Base_Bruta!C1437,4)),VALUE(MID(Base_Bruta!C1437,4,2)),VALUE(LEFT(Base_Bruta!C1437,2))))))</f>
        <v>46124</v>
      </c>
      <c r="D1437" s="4" t="str">
        <f aca="false">IF($A1437="","",TRIM(Base_Bruta!D1437))</f>
        <v>Cinema Barra - Sessões</v>
      </c>
      <c r="E1437" s="4" t="str">
        <f aca="false">IF($A1437="","",_xlfn.XLOOKUP(LOWER(TRIM(Base_Bruta!E1437)),DePara_Categoria!$A$2:$A$9,DePara_Categoria!$B$2:$B$9,"REVISAR"))</f>
        <v>Cinema</v>
      </c>
      <c r="F1437" s="4" t="str">
        <f aca="false">IF($A1437="","",_xlfn.XLOOKUP(LOWER(TRIM(Base_Bruta!F1437)),DePara_Cidade!$A$2:$A$29,DePara_Cidade!$B$2:$B$29,"REVISAR"))</f>
        <v>Rio de Janeiro</v>
      </c>
      <c r="G1437" s="4" t="str">
        <f aca="false">IF($A1437="","",TRIM(Base_Bruta!G1437))</f>
        <v>Inteira</v>
      </c>
      <c r="H1437" s="4" t="n">
        <f aca="false">IF($A1437="","",IF(ISNUMBER(Base_Bruta!H1437),Base_Bruta!H1437,IFERROR(_xlfn.NUMBERVALUE(TRIM(SUBSTITUTE(Base_Bruta!H1437,"R$","")),",","."),0)))</f>
        <v>2</v>
      </c>
      <c r="I1437" s="6" t="n">
        <f aca="false">IF($A1437="","",IF(ISNUMBER(Base_Bruta!I1437),Base_Bruta!I1437,IFERROR(_xlfn.NUMBERVALUE(TRIM(SUBSTITUTE(Base_Bruta!I1437,"R$","")),",","."),0)))</f>
        <v>0</v>
      </c>
      <c r="J1437" s="6" t="n">
        <f aca="false">IF($A1437="","",H1437*I1437)</f>
        <v>0</v>
      </c>
      <c r="K1437" s="4" t="str">
        <f aca="false">IF($A1437="","",TRIM(Base_Bruta!J1437))</f>
        <v>App</v>
      </c>
      <c r="L1437" s="4" t="str">
        <f aca="false">IF($A1437="","",TRIM(Base_Bruta!K1437))</f>
        <v>C02165</v>
      </c>
      <c r="M1437" s="4" t="str">
        <f aca="false">IF($A1437="","",_xlfn.XLOOKUP(LOWER(TRIM(Base_Bruta!L1437)),DePara_Cidade!$A$2:$A$29,DePara_Cidade!$B$2:$B$29,"REVISAR"))</f>
        <v>Rio de Janeiro</v>
      </c>
      <c r="N1437" s="4" t="str">
        <f aca="false">IF($A1437="","",UPPER(TRIM(Base_Bruta!M1437)))</f>
        <v>RJ</v>
      </c>
      <c r="O1437" s="4" t="str">
        <f aca="false">IF($A1437="","",_xlfn.XLOOKUP(LOWER(TRIM(Base_Bruta!N1437)),DePara_Pais!$A$2:$A$9,DePara_Pais!$B$2:$B$9,"REVISAR"))</f>
        <v>Brasil</v>
      </c>
      <c r="P1437" s="4" t="str">
        <f aca="false">IF($A1437="","",IF(O1437&lt;&gt;"Brasil","Turista Internacional",IF(M1437=F1437,"Local","Turista Nacional")))</f>
        <v>Local</v>
      </c>
      <c r="Q1437" s="7" t="n">
        <f aca="false">IF($A1437="","",DATE(YEAR(B1437),MONTH(B1437),1))</f>
        <v>46113</v>
      </c>
      <c r="R1437" s="4" t="str">
        <f aca="false">IF($A1437="","",IF(COUNTIF($A$2:$A1437,$A1437)&gt;1,"Sim","Não"))</f>
        <v>Não</v>
      </c>
      <c r="S1437" s="4" t="str">
        <f aca="false">IF(A1437="","Descartar - Linha vazia",IF(R1437="Sim","Descartar - Duplicado",IF(OR(H1437&lt;=0,I1437&lt;=0),"Descartar - Qtd/Valor inválido","OK")))</f>
        <v>Descartar - Qtd/Valor inválido</v>
      </c>
      <c r="T1437" s="4" t="str">
        <f aca="false">Base_Bruta!P1437</f>
        <v>vendas_RJ.xlsx</v>
      </c>
    </row>
    <row r="1438" customFormat="false" ht="15" hidden="false" customHeight="false" outlineLevel="0" collapsed="false">
      <c r="A1438" s="4" t="str">
        <f aca="false">IF(Base_Bruta!A1438="","",Base_Bruta!A1438)</f>
        <v>RJ-000487</v>
      </c>
      <c r="B1438" s="5" t="n">
        <f aca="false">IF($A1438="","",IF(ISNUMBER(Base_Bruta!B1438),Base_Bruta!B1438,IF(MID(Base_Bruta!B1438,5,1)="-",DATE(VALUE(LEFT(Base_Bruta!B1438,4)),VALUE(MID(Base_Bruta!B1438,6,2)),VALUE(RIGHT(Base_Bruta!B1438,2))),DATE(VALUE(RIGHT(Base_Bruta!B1438,4)),VALUE(MID(Base_Bruta!B1438,4,2)),VALUE(LEFT(Base_Bruta!B1438,2))))))</f>
        <v>46104</v>
      </c>
      <c r="C1438" s="5" t="n">
        <f aca="false">IF($A1438="","",IF(ISNUMBER(Base_Bruta!C1438),Base_Bruta!C1438,IF(MID(Base_Bruta!C1438,5,1)="-",DATE(VALUE(LEFT(Base_Bruta!C1438,4)),VALUE(MID(Base_Bruta!C1438,6,2)),VALUE(RIGHT(Base_Bruta!C1438,2))),DATE(VALUE(RIGHT(Base_Bruta!C1438,4)),VALUE(MID(Base_Bruta!C1438,4,2)),VALUE(LEFT(Base_Bruta!C1438,2))))))</f>
        <v>46151</v>
      </c>
      <c r="D1438" s="4" t="str">
        <f aca="false">IF($A1438="","",TRIM(Base_Bruta!D1438))</f>
        <v>Turnê Internacional Rock - Rio</v>
      </c>
      <c r="E1438" s="4" t="str">
        <f aca="false">IF($A1438="","",_xlfn.XLOOKUP(LOWER(TRIM(Base_Bruta!E1438)),DePara_Categoria!$A$2:$A$9,DePara_Categoria!$B$2:$B$9,"REVISAR"))</f>
        <v>Show</v>
      </c>
      <c r="F1438" s="4" t="str">
        <f aca="false">IF($A1438="","",_xlfn.XLOOKUP(LOWER(TRIM(Base_Bruta!F1438)),DePara_Cidade!$A$2:$A$29,DePara_Cidade!$B$2:$B$29,"REVISAR"))</f>
        <v>Rio de Janeiro</v>
      </c>
      <c r="G1438" s="4" t="str">
        <f aca="false">IF($A1438="","",TRIM(Base_Bruta!G1438))</f>
        <v>Inteira</v>
      </c>
      <c r="H1438" s="4" t="n">
        <f aca="false">IF($A1438="","",IF(ISNUMBER(Base_Bruta!H1438),Base_Bruta!H1438,IFERROR(_xlfn.NUMBERVALUE(TRIM(SUBSTITUTE(Base_Bruta!H1438,"R$","")),",","."),0)))</f>
        <v>2</v>
      </c>
      <c r="I1438" s="6" t="n">
        <f aca="false">IF($A1438="","",IF(ISNUMBER(Base_Bruta!I1438),Base_Bruta!I1438,IFERROR(_xlfn.NUMBERVALUE(TRIM(SUBSTITUTE(Base_Bruta!I1438,"R$","")),",","."),0)))</f>
        <v>550</v>
      </c>
      <c r="J1438" s="6" t="n">
        <f aca="false">IF($A1438="","",H1438*I1438)</f>
        <v>1100</v>
      </c>
      <c r="K1438" s="4" t="str">
        <f aca="false">IF($A1438="","",TRIM(Base_Bruta!J1438))</f>
        <v>App</v>
      </c>
      <c r="L1438" s="4" t="str">
        <f aca="false">IF($A1438="","",TRIM(Base_Bruta!K1438))</f>
        <v>C00239</v>
      </c>
      <c r="M1438" s="4" t="str">
        <f aca="false">IF($A1438="","",_xlfn.XLOOKUP(LOWER(TRIM(Base_Bruta!L1438)),DePara_Cidade!$A$2:$A$29,DePara_Cidade!$B$2:$B$29,"REVISAR"))</f>
        <v>Niterói</v>
      </c>
      <c r="N1438" s="4" t="str">
        <f aca="false">IF($A1438="","",UPPER(TRIM(Base_Bruta!M1438)))</f>
        <v>RJ</v>
      </c>
      <c r="O1438" s="4" t="str">
        <f aca="false">IF($A1438="","",_xlfn.XLOOKUP(LOWER(TRIM(Base_Bruta!N1438)),DePara_Pais!$A$2:$A$9,DePara_Pais!$B$2:$B$9,"REVISAR"))</f>
        <v>Brasil</v>
      </c>
      <c r="P1438" s="4" t="str">
        <f aca="false">IF($A1438="","",IF(O1438&lt;&gt;"Brasil","Turista Internacional",IF(M1438=F1438,"Local","Turista Nacional")))</f>
        <v>Turista Nacional</v>
      </c>
      <c r="Q1438" s="7" t="n">
        <f aca="false">IF($A1438="","",DATE(YEAR(B1438),MONTH(B1438),1))</f>
        <v>46082</v>
      </c>
      <c r="R1438" s="4" t="str">
        <f aca="false">IF($A1438="","",IF(COUNTIF($A$2:$A1438,$A1438)&gt;1,"Sim","Não"))</f>
        <v>Sim</v>
      </c>
      <c r="S1438" s="4" t="str">
        <f aca="false">IF(A1438="","Descartar - Linha vazia",IF(R1438="Sim","Descartar - Duplicado",IF(OR(H1438&lt;=0,I1438&lt;=0),"Descartar - Qtd/Valor inválido","OK")))</f>
        <v>Descartar - Duplicado</v>
      </c>
      <c r="T1438" s="4" t="str">
        <f aca="false">Base_Bruta!P1438</f>
        <v>vendas_RJ.xlsx</v>
      </c>
    </row>
    <row r="1439" customFormat="false" ht="15" hidden="false" customHeight="false" outlineLevel="0" collapsed="false">
      <c r="A1439" s="4" t="str">
        <f aca="false">IF(Base_Bruta!A1439="","",Base_Bruta!A1439)</f>
        <v>RJ-000532</v>
      </c>
      <c r="B1439" s="5" t="n">
        <f aca="false">IF($A1439="","",IF(ISNUMBER(Base_Bruta!B1439),Base_Bruta!B1439,IF(MID(Base_Bruta!B1439,5,1)="-",DATE(VALUE(LEFT(Base_Bruta!B1439,4)),VALUE(MID(Base_Bruta!B1439,6,2)),VALUE(RIGHT(Base_Bruta!B1439,2))),DATE(VALUE(RIGHT(Base_Bruta!B1439,4)),VALUE(MID(Base_Bruta!B1439,4,2)),VALUE(LEFT(Base_Bruta!B1439,2))))))</f>
        <v>46093</v>
      </c>
      <c r="C1439" s="5" t="n">
        <f aca="false">IF($A1439="","",IF(ISNUMBER(Base_Bruta!C1439),Base_Bruta!C1439,IF(MID(Base_Bruta!C1439,5,1)="-",DATE(VALUE(LEFT(Base_Bruta!C1439,4)),VALUE(MID(Base_Bruta!C1439,6,2)),VALUE(RIGHT(Base_Bruta!C1439,2))),DATE(VALUE(RIGHT(Base_Bruta!C1439,4)),VALUE(MID(Base_Bruta!C1439,4,2)),VALUE(LEFT(Base_Bruta!C1439,2))))))</f>
        <v>46093</v>
      </c>
      <c r="D1439" s="4" t="str">
        <f aca="false">IF($A1439="","",TRIM(Base_Bruta!D1439))</f>
        <v>Cinema Barra - Sessões</v>
      </c>
      <c r="E1439" s="4" t="str">
        <f aca="false">IF($A1439="","",_xlfn.XLOOKUP(LOWER(TRIM(Base_Bruta!E1439)),DePara_Categoria!$A$2:$A$9,DePara_Categoria!$B$2:$B$9,"REVISAR"))</f>
        <v>Cinema</v>
      </c>
      <c r="F1439" s="4" t="str">
        <f aca="false">IF($A1439="","",_xlfn.XLOOKUP(LOWER(TRIM(Base_Bruta!F1439)),DePara_Cidade!$A$2:$A$29,DePara_Cidade!$B$2:$B$29,"REVISAR"))</f>
        <v>Rio de Janeiro</v>
      </c>
      <c r="G1439" s="4" t="str">
        <f aca="false">IF($A1439="","",TRIM(Base_Bruta!G1439))</f>
        <v>Meia</v>
      </c>
      <c r="H1439" s="4" t="n">
        <f aca="false">IF($A1439="","",IF(ISNUMBER(Base_Bruta!H1439),Base_Bruta!H1439,IFERROR(_xlfn.NUMBERVALUE(TRIM(SUBSTITUTE(Base_Bruta!H1439,"R$","")),",","."),0)))</f>
        <v>1</v>
      </c>
      <c r="I1439" s="6" t="n">
        <f aca="false">IF($A1439="","",IF(ISNUMBER(Base_Bruta!I1439),Base_Bruta!I1439,IFERROR(_xlfn.NUMBERVALUE(TRIM(SUBSTITUTE(Base_Bruta!I1439,"R$","")),",","."),0)))</f>
        <v>22.5</v>
      </c>
      <c r="J1439" s="6" t="n">
        <f aca="false">IF($A1439="","",H1439*I1439)</f>
        <v>22.5</v>
      </c>
      <c r="K1439" s="4" t="str">
        <f aca="false">IF($A1439="","",TRIM(Base_Bruta!J1439))</f>
        <v>App</v>
      </c>
      <c r="L1439" s="4" t="str">
        <f aca="false">IF($A1439="","",TRIM(Base_Bruta!K1439))</f>
        <v>C00864</v>
      </c>
      <c r="M1439" s="4" t="str">
        <f aca="false">IF($A1439="","",_xlfn.XLOOKUP(LOWER(TRIM(Base_Bruta!L1439)),DePara_Cidade!$A$2:$A$29,DePara_Cidade!$B$2:$B$29,"REVISAR"))</f>
        <v>Rio de Janeiro</v>
      </c>
      <c r="N1439" s="4" t="str">
        <f aca="false">IF($A1439="","",UPPER(TRIM(Base_Bruta!M1439)))</f>
        <v>RJ</v>
      </c>
      <c r="O1439" s="4" t="str">
        <f aca="false">IF($A1439="","",_xlfn.XLOOKUP(LOWER(TRIM(Base_Bruta!N1439)),DePara_Pais!$A$2:$A$9,DePara_Pais!$B$2:$B$9,"REVISAR"))</f>
        <v>Brasil</v>
      </c>
      <c r="P1439" s="4" t="str">
        <f aca="false">IF($A1439="","",IF(O1439&lt;&gt;"Brasil","Turista Internacional",IF(M1439=F1439,"Local","Turista Nacional")))</f>
        <v>Local</v>
      </c>
      <c r="Q1439" s="7" t="n">
        <f aca="false">IF($A1439="","",DATE(YEAR(B1439),MONTH(B1439),1))</f>
        <v>46082</v>
      </c>
      <c r="R1439" s="4" t="str">
        <f aca="false">IF($A1439="","",IF(COUNTIF($A$2:$A1439,$A1439)&gt;1,"Sim","Não"))</f>
        <v>Sim</v>
      </c>
      <c r="S1439" s="4" t="str">
        <f aca="false">IF(A1439="","Descartar - Linha vazia",IF(R1439="Sim","Descartar - Duplicado",IF(OR(H1439&lt;=0,I1439&lt;=0),"Descartar - Qtd/Valor inválido","OK")))</f>
        <v>Descartar - Duplicado</v>
      </c>
      <c r="T1439" s="4" t="str">
        <f aca="false">Base_Bruta!P1439</f>
        <v>vendas_RJ.xlsx</v>
      </c>
    </row>
    <row r="1440" customFormat="false" ht="15" hidden="false" customHeight="false" outlineLevel="0" collapsed="false">
      <c r="A1440" s="4" t="str">
        <f aca="false">IF(Base_Bruta!A1440="","",Base_Bruta!A1440)</f>
        <v>RJ-000585</v>
      </c>
      <c r="B1440" s="5" t="n">
        <f aca="false">IF($A1440="","",IF(ISNUMBER(Base_Bruta!B1440),Base_Bruta!B1440,IF(MID(Base_Bruta!B1440,5,1)="-",DATE(VALUE(LEFT(Base_Bruta!B1440,4)),VALUE(MID(Base_Bruta!B1440,6,2)),VALUE(RIGHT(Base_Bruta!B1440,2))),DATE(VALUE(RIGHT(Base_Bruta!B1440,4)),VALUE(MID(Base_Bruta!B1440,4,2)),VALUE(LEFT(Base_Bruta!B1440,2))))))</f>
        <v>46123</v>
      </c>
      <c r="C1440" s="5" t="n">
        <f aca="false">IF($A1440="","",IF(ISNUMBER(Base_Bruta!C1440),Base_Bruta!C1440,IF(MID(Base_Bruta!C1440,5,1)="-",DATE(VALUE(LEFT(Base_Bruta!C1440,4)),VALUE(MID(Base_Bruta!C1440,6,2)),VALUE(RIGHT(Base_Bruta!C1440,2))),DATE(VALUE(RIGHT(Base_Bruta!C1440,4)),VALUE(MID(Base_Bruta!C1440,4,2)),VALUE(LEFT(Base_Bruta!C1440,2))))))</f>
        <v>46125</v>
      </c>
      <c r="D1440" s="4" t="str">
        <f aca="false">IF($A1440="","",TRIM(Base_Bruta!D1440))</f>
        <v>Cinema Barra - Sessões</v>
      </c>
      <c r="E1440" s="4" t="str">
        <f aca="false">IF($A1440="","",_xlfn.XLOOKUP(LOWER(TRIM(Base_Bruta!E1440)),DePara_Categoria!$A$2:$A$9,DePara_Categoria!$B$2:$B$9,"REVISAR"))</f>
        <v>Cinema</v>
      </c>
      <c r="F1440" s="4" t="str">
        <f aca="false">IF($A1440="","",_xlfn.XLOOKUP(LOWER(TRIM(Base_Bruta!F1440)),DePara_Cidade!$A$2:$A$29,DePara_Cidade!$B$2:$B$29,"REVISAR"))</f>
        <v>Rio de Janeiro</v>
      </c>
      <c r="G1440" s="4" t="str">
        <f aca="false">IF($A1440="","",TRIM(Base_Bruta!G1440))</f>
        <v>Inteira</v>
      </c>
      <c r="H1440" s="4" t="n">
        <f aca="false">IF($A1440="","",IF(ISNUMBER(Base_Bruta!H1440),Base_Bruta!H1440,IFERROR(_xlfn.NUMBERVALUE(TRIM(SUBSTITUTE(Base_Bruta!H1440,"R$","")),",","."),0)))</f>
        <v>1</v>
      </c>
      <c r="I1440" s="6" t="n">
        <f aca="false">IF($A1440="","",IF(ISNUMBER(Base_Bruta!I1440),Base_Bruta!I1440,IFERROR(_xlfn.NUMBERVALUE(TRIM(SUBSTITUTE(Base_Bruta!I1440,"R$","")),",","."),0)))</f>
        <v>45</v>
      </c>
      <c r="J1440" s="6" t="n">
        <f aca="false">IF($A1440="","",H1440*I1440)</f>
        <v>45</v>
      </c>
      <c r="K1440" s="4" t="str">
        <f aca="false">IF($A1440="","",TRIM(Base_Bruta!J1440))</f>
        <v>App</v>
      </c>
      <c r="L1440" s="4" t="str">
        <f aca="false">IF($A1440="","",TRIM(Base_Bruta!K1440))</f>
        <v>C00902</v>
      </c>
      <c r="M1440" s="4" t="str">
        <f aca="false">IF($A1440="","",_xlfn.XLOOKUP(LOWER(TRIM(Base_Bruta!L1440)),DePara_Cidade!$A$2:$A$29,DePara_Cidade!$B$2:$B$29,"REVISAR"))</f>
        <v>Rio de Janeiro</v>
      </c>
      <c r="N1440" s="4" t="str">
        <f aca="false">IF($A1440="","",UPPER(TRIM(Base_Bruta!M1440)))</f>
        <v>RJ</v>
      </c>
      <c r="O1440" s="4" t="str">
        <f aca="false">IF($A1440="","",_xlfn.XLOOKUP(LOWER(TRIM(Base_Bruta!N1440)),DePara_Pais!$A$2:$A$9,DePara_Pais!$B$2:$B$9,"REVISAR"))</f>
        <v>Brasil</v>
      </c>
      <c r="P1440" s="4" t="str">
        <f aca="false">IF($A1440="","",IF(O1440&lt;&gt;"Brasil","Turista Internacional",IF(M1440=F1440,"Local","Turista Nacional")))</f>
        <v>Local</v>
      </c>
      <c r="Q1440" s="7" t="n">
        <f aca="false">IF($A1440="","",DATE(YEAR(B1440),MONTH(B1440),1))</f>
        <v>46113</v>
      </c>
      <c r="R1440" s="4" t="str">
        <f aca="false">IF($A1440="","",IF(COUNTIF($A$2:$A1440,$A1440)&gt;1,"Sim","Não"))</f>
        <v>Não</v>
      </c>
      <c r="S1440" s="4" t="str">
        <f aca="false">IF(A1440="","Descartar - Linha vazia",IF(R1440="Sim","Descartar - Duplicado",IF(OR(H1440&lt;=0,I1440&lt;=0),"Descartar - Qtd/Valor inválido","OK")))</f>
        <v>OK</v>
      </c>
      <c r="T1440" s="4" t="str">
        <f aca="false">Base_Bruta!P1440</f>
        <v>vendas_RJ.xlsx</v>
      </c>
    </row>
    <row r="1441" customFormat="false" ht="15" hidden="false" customHeight="false" outlineLevel="0" collapsed="false">
      <c r="A1441" s="4" t="str">
        <f aca="false">IF(Base_Bruta!A1441="","",Base_Bruta!A1441)</f>
        <v>RJ-000395</v>
      </c>
      <c r="B1441" s="5" t="n">
        <f aca="false">IF($A1441="","",IF(ISNUMBER(Base_Bruta!B1441),Base_Bruta!B1441,IF(MID(Base_Bruta!B1441,5,1)="-",DATE(VALUE(LEFT(Base_Bruta!B1441,4)),VALUE(MID(Base_Bruta!B1441,6,2)),VALUE(RIGHT(Base_Bruta!B1441,2))),DATE(VALUE(RIGHT(Base_Bruta!B1441,4)),VALUE(MID(Base_Bruta!B1441,4,2)),VALUE(LEFT(Base_Bruta!B1441,2))))))</f>
        <v>46124</v>
      </c>
      <c r="C1441" s="5" t="n">
        <f aca="false">IF($A1441="","",IF(ISNUMBER(Base_Bruta!C1441),Base_Bruta!C1441,IF(MID(Base_Bruta!C1441,5,1)="-",DATE(VALUE(LEFT(Base_Bruta!C1441,4)),VALUE(MID(Base_Bruta!C1441,6,2)),VALUE(RIGHT(Base_Bruta!C1441,2))),DATE(VALUE(RIGHT(Base_Bruta!C1441,4)),VALUE(MID(Base_Bruta!C1441,4,2)),VALUE(LEFT(Base_Bruta!C1441,2))))))</f>
        <v>46151</v>
      </c>
      <c r="D1441" s="4" t="str">
        <f aca="false">IF($A1441="","",TRIM(Base_Bruta!D1441))</f>
        <v>Turnê Internacional Rock - Rio</v>
      </c>
      <c r="E1441" s="4" t="str">
        <f aca="false">IF($A1441="","",_xlfn.XLOOKUP(LOWER(TRIM(Base_Bruta!E1441)),DePara_Categoria!$A$2:$A$9,DePara_Categoria!$B$2:$B$9,"REVISAR"))</f>
        <v>Show</v>
      </c>
      <c r="F1441" s="4" t="str">
        <f aca="false">IF($A1441="","",_xlfn.XLOOKUP(LOWER(TRIM(Base_Bruta!F1441)),DePara_Cidade!$A$2:$A$29,DePara_Cidade!$B$2:$B$29,"REVISAR"))</f>
        <v>Rio de Janeiro</v>
      </c>
      <c r="G1441" s="4" t="str">
        <f aca="false">IF($A1441="","",TRIM(Base_Bruta!G1441))</f>
        <v>Inteira</v>
      </c>
      <c r="H1441" s="4" t="n">
        <f aca="false">IF($A1441="","",IF(ISNUMBER(Base_Bruta!H1441),Base_Bruta!H1441,IFERROR(_xlfn.NUMBERVALUE(TRIM(SUBSTITUTE(Base_Bruta!H1441,"R$","")),",","."),0)))</f>
        <v>1</v>
      </c>
      <c r="I1441" s="6" t="n">
        <f aca="false">IF($A1441="","",IF(ISNUMBER(Base_Bruta!I1441),Base_Bruta!I1441,IFERROR(_xlfn.NUMBERVALUE(TRIM(SUBSTITUTE(Base_Bruta!I1441,"R$","")),",","."),0)))</f>
        <v>515</v>
      </c>
      <c r="J1441" s="6" t="n">
        <f aca="false">IF($A1441="","",H1441*I1441)</f>
        <v>515</v>
      </c>
      <c r="K1441" s="4" t="str">
        <f aca="false">IF($A1441="","",TRIM(Base_Bruta!J1441))</f>
        <v>Site</v>
      </c>
      <c r="L1441" s="4" t="str">
        <f aca="false">IF($A1441="","",TRIM(Base_Bruta!K1441))</f>
        <v>C01946</v>
      </c>
      <c r="M1441" s="4" t="str">
        <f aca="false">IF($A1441="","",_xlfn.XLOOKUP(LOWER(TRIM(Base_Bruta!L1441)),DePara_Cidade!$A$2:$A$29,DePara_Cidade!$B$2:$B$29,"REVISAR"))</f>
        <v>Rio de Janeiro</v>
      </c>
      <c r="N1441" s="4" t="str">
        <f aca="false">IF($A1441="","",UPPER(TRIM(Base_Bruta!M1441)))</f>
        <v>RJ</v>
      </c>
      <c r="O1441" s="4" t="str">
        <f aca="false">IF($A1441="","",_xlfn.XLOOKUP(LOWER(TRIM(Base_Bruta!N1441)),DePara_Pais!$A$2:$A$9,DePara_Pais!$B$2:$B$9,"REVISAR"))</f>
        <v>Brasil</v>
      </c>
      <c r="P1441" s="4" t="str">
        <f aca="false">IF($A1441="","",IF(O1441&lt;&gt;"Brasil","Turista Internacional",IF(M1441=F1441,"Local","Turista Nacional")))</f>
        <v>Local</v>
      </c>
      <c r="Q1441" s="7" t="n">
        <f aca="false">IF($A1441="","",DATE(YEAR(B1441),MONTH(B1441),1))</f>
        <v>46113</v>
      </c>
      <c r="R1441" s="4" t="str">
        <f aca="false">IF($A1441="","",IF(COUNTIF($A$2:$A1441,$A1441)&gt;1,"Sim","Não"))</f>
        <v>Não</v>
      </c>
      <c r="S1441" s="4" t="str">
        <f aca="false">IF(A1441="","Descartar - Linha vazia",IF(R1441="Sim","Descartar - Duplicado",IF(OR(H1441&lt;=0,I1441&lt;=0),"Descartar - Qtd/Valor inválido","OK")))</f>
        <v>OK</v>
      </c>
      <c r="T1441" s="4" t="str">
        <f aca="false">Base_Bruta!P1441</f>
        <v>vendas_RJ.xlsx</v>
      </c>
    </row>
    <row r="1442" customFormat="false" ht="15" hidden="false" customHeight="false" outlineLevel="0" collapsed="false">
      <c r="A1442" s="4" t="str">
        <f aca="false">IF(Base_Bruta!A1442="","",Base_Bruta!A1442)</f>
        <v>RJ-000463</v>
      </c>
      <c r="B1442" s="5" t="n">
        <f aca="false">IF($A1442="","",IF(ISNUMBER(Base_Bruta!B1442),Base_Bruta!B1442,IF(MID(Base_Bruta!B1442,5,1)="-",DATE(VALUE(LEFT(Base_Bruta!B1442,4)),VALUE(MID(Base_Bruta!B1442,6,2)),VALUE(RIGHT(Base_Bruta!B1442,2))),DATE(VALUE(RIGHT(Base_Bruta!B1442,4)),VALUE(MID(Base_Bruta!B1442,4,2)),VALUE(LEFT(Base_Bruta!B1442,2))))))</f>
        <v>46126</v>
      </c>
      <c r="C1442" s="5" t="n">
        <f aca="false">IF($A1442="","",IF(ISNUMBER(Base_Bruta!C1442),Base_Bruta!C1442,IF(MID(Base_Bruta!C1442,5,1)="-",DATE(VALUE(LEFT(Base_Bruta!C1442,4)),VALUE(MID(Base_Bruta!C1442,6,2)),VALUE(RIGHT(Base_Bruta!C1442,2))),DATE(VALUE(RIGHT(Base_Bruta!C1442,4)),VALUE(MID(Base_Bruta!C1442,4,2)),VALUE(LEFT(Base_Bruta!C1442,2))))))</f>
        <v>46151</v>
      </c>
      <c r="D1442" s="4" t="str">
        <f aca="false">IF($A1442="","",TRIM(Base_Bruta!D1442))</f>
        <v>Turnê Internacional Rock - Rio</v>
      </c>
      <c r="E1442" s="4" t="str">
        <f aca="false">IF($A1442="","",_xlfn.XLOOKUP(LOWER(TRIM(Base_Bruta!E1442)),DePara_Categoria!$A$2:$A$9,DePara_Categoria!$B$2:$B$9,"REVISAR"))</f>
        <v>Show</v>
      </c>
      <c r="F1442" s="4" t="str">
        <f aca="false">IF($A1442="","",_xlfn.XLOOKUP(LOWER(TRIM(Base_Bruta!F1442)),DePara_Cidade!$A$2:$A$29,DePara_Cidade!$B$2:$B$29,"REVISAR"))</f>
        <v>Rio de Janeiro</v>
      </c>
      <c r="G1442" s="4" t="str">
        <f aca="false">IF($A1442="","",TRIM(Base_Bruta!G1442))</f>
        <v>Inteira</v>
      </c>
      <c r="H1442" s="4" t="n">
        <f aca="false">IF($A1442="","",IF(ISNUMBER(Base_Bruta!H1442),Base_Bruta!H1442,IFERROR(_xlfn.NUMBERVALUE(TRIM(SUBSTITUTE(Base_Bruta!H1442,"R$","")),",","."),0)))</f>
        <v>1</v>
      </c>
      <c r="I1442" s="6" t="n">
        <f aca="false">IF($A1442="","",IF(ISNUMBER(Base_Bruta!I1442),Base_Bruta!I1442,IFERROR(_xlfn.NUMBERVALUE(TRIM(SUBSTITUTE(Base_Bruta!I1442,"R$","")),",","."),0)))</f>
        <v>695</v>
      </c>
      <c r="J1442" s="6" t="n">
        <f aca="false">IF($A1442="","",H1442*I1442)</f>
        <v>695</v>
      </c>
      <c r="K1442" s="4" t="str">
        <f aca="false">IF($A1442="","",TRIM(Base_Bruta!J1442))</f>
        <v>Site</v>
      </c>
      <c r="L1442" s="4" t="str">
        <f aca="false">IF($A1442="","",TRIM(Base_Bruta!K1442))</f>
        <v>C02188</v>
      </c>
      <c r="M1442" s="4" t="str">
        <f aca="false">IF($A1442="","",_xlfn.XLOOKUP(LOWER(TRIM(Base_Bruta!L1442)),DePara_Cidade!$A$2:$A$29,DePara_Cidade!$B$2:$B$29,"REVISAR"))</f>
        <v>Rio de Janeiro</v>
      </c>
      <c r="N1442" s="4" t="str">
        <f aca="false">IF($A1442="","",UPPER(TRIM(Base_Bruta!M1442)))</f>
        <v>RJ</v>
      </c>
      <c r="O1442" s="4" t="str">
        <f aca="false">IF($A1442="","",_xlfn.XLOOKUP(LOWER(TRIM(Base_Bruta!N1442)),DePara_Pais!$A$2:$A$9,DePara_Pais!$B$2:$B$9,"REVISAR"))</f>
        <v>Brasil</v>
      </c>
      <c r="P1442" s="4" t="str">
        <f aca="false">IF($A1442="","",IF(O1442&lt;&gt;"Brasil","Turista Internacional",IF(M1442=F1442,"Local","Turista Nacional")))</f>
        <v>Local</v>
      </c>
      <c r="Q1442" s="7" t="n">
        <f aca="false">IF($A1442="","",DATE(YEAR(B1442),MONTH(B1442),1))</f>
        <v>46113</v>
      </c>
      <c r="R1442" s="4" t="str">
        <f aca="false">IF($A1442="","",IF(COUNTIF($A$2:$A1442,$A1442)&gt;1,"Sim","Não"))</f>
        <v>Não</v>
      </c>
      <c r="S1442" s="4" t="str">
        <f aca="false">IF(A1442="","Descartar - Linha vazia",IF(R1442="Sim","Descartar - Duplicado",IF(OR(H1442&lt;=0,I1442&lt;=0),"Descartar - Qtd/Valor inválido","OK")))</f>
        <v>OK</v>
      </c>
      <c r="T1442" s="4" t="str">
        <f aca="false">Base_Bruta!P1442</f>
        <v>vendas_RJ.xlsx</v>
      </c>
    </row>
    <row r="1443" customFormat="false" ht="15" hidden="false" customHeight="false" outlineLevel="0" collapsed="false">
      <c r="A1443" s="4" t="str">
        <f aca="false">IF(Base_Bruta!A1443="","",Base_Bruta!A1443)</f>
        <v>RJ-000700</v>
      </c>
      <c r="B1443" s="5" t="n">
        <f aca="false">IF($A1443="","",IF(ISNUMBER(Base_Bruta!B1443),Base_Bruta!B1443,IF(MID(Base_Bruta!B1443,5,1)="-",DATE(VALUE(LEFT(Base_Bruta!B1443,4)),VALUE(MID(Base_Bruta!B1443,6,2)),VALUE(RIGHT(Base_Bruta!B1443,2))),DATE(VALUE(RIGHT(Base_Bruta!B1443,4)),VALUE(MID(Base_Bruta!B1443,4,2)),VALUE(LEFT(Base_Bruta!B1443,2))))))</f>
        <v>46128</v>
      </c>
      <c r="C1443" s="5" t="n">
        <f aca="false">IF($A1443="","",IF(ISNUMBER(Base_Bruta!C1443),Base_Bruta!C1443,IF(MID(Base_Bruta!C1443,5,1)="-",DATE(VALUE(LEFT(Base_Bruta!C1443,4)),VALUE(MID(Base_Bruta!C1443,6,2)),VALUE(RIGHT(Base_Bruta!C1443,2))),DATE(VALUE(RIGHT(Base_Bruta!C1443,4)),VALUE(MID(Base_Bruta!C1443,4,2)),VALUE(LEFT(Base_Bruta!C1443,2))))))</f>
        <v>46129</v>
      </c>
      <c r="D1443" s="4" t="str">
        <f aca="false">IF($A1443="","",TRIM(Base_Bruta!D1443))</f>
        <v>Cinema Barra - Sessões</v>
      </c>
      <c r="E1443" s="4" t="str">
        <f aca="false">IF($A1443="","",_xlfn.XLOOKUP(LOWER(TRIM(Base_Bruta!E1443)),DePara_Categoria!$A$2:$A$9,DePara_Categoria!$B$2:$B$9,"REVISAR"))</f>
        <v>Cinema</v>
      </c>
      <c r="F1443" s="4" t="str">
        <f aca="false">IF($A1443="","",_xlfn.XLOOKUP(LOWER(TRIM(Base_Bruta!F1443)),DePara_Cidade!$A$2:$A$29,DePara_Cidade!$B$2:$B$29,"REVISAR"))</f>
        <v>Rio de Janeiro</v>
      </c>
      <c r="G1443" s="4" t="str">
        <f aca="false">IF($A1443="","",TRIM(Base_Bruta!G1443))</f>
        <v>Inteira</v>
      </c>
      <c r="H1443" s="4" t="n">
        <f aca="false">IF($A1443="","",IF(ISNUMBER(Base_Bruta!H1443),Base_Bruta!H1443,IFERROR(_xlfn.NUMBERVALUE(TRIM(SUBSTITUTE(Base_Bruta!H1443,"R$","")),",","."),0)))</f>
        <v>1</v>
      </c>
      <c r="I1443" s="6" t="n">
        <f aca="false">IF($A1443="","",IF(ISNUMBER(Base_Bruta!I1443),Base_Bruta!I1443,IFERROR(_xlfn.NUMBERVALUE(TRIM(SUBSTITUTE(Base_Bruta!I1443,"R$","")),",","."),0)))</f>
        <v>40</v>
      </c>
      <c r="J1443" s="6" t="n">
        <f aca="false">IF($A1443="","",H1443*I1443)</f>
        <v>40</v>
      </c>
      <c r="K1443" s="4" t="str">
        <f aca="false">IF($A1443="","",TRIM(Base_Bruta!J1443))</f>
        <v>Site</v>
      </c>
      <c r="L1443" s="4" t="str">
        <f aca="false">IF($A1443="","",TRIM(Base_Bruta!K1443))</f>
        <v>C00737</v>
      </c>
      <c r="M1443" s="4" t="str">
        <f aca="false">IF($A1443="","",_xlfn.XLOOKUP(LOWER(TRIM(Base_Bruta!L1443)),DePara_Cidade!$A$2:$A$29,DePara_Cidade!$B$2:$B$29,"REVISAR"))</f>
        <v>Rio de Janeiro</v>
      </c>
      <c r="N1443" s="4" t="str">
        <f aca="false">IF($A1443="","",UPPER(TRIM(Base_Bruta!M1443)))</f>
        <v>RJ</v>
      </c>
      <c r="O1443" s="4" t="str">
        <f aca="false">IF($A1443="","",_xlfn.XLOOKUP(LOWER(TRIM(Base_Bruta!N1443)),DePara_Pais!$A$2:$A$9,DePara_Pais!$B$2:$B$9,"REVISAR"))</f>
        <v>Brasil</v>
      </c>
      <c r="P1443" s="4" t="str">
        <f aca="false">IF($A1443="","",IF(O1443&lt;&gt;"Brasil","Turista Internacional",IF(M1443=F1443,"Local","Turista Nacional")))</f>
        <v>Local</v>
      </c>
      <c r="Q1443" s="7" t="n">
        <f aca="false">IF($A1443="","",DATE(YEAR(B1443),MONTH(B1443),1))</f>
        <v>46113</v>
      </c>
      <c r="R1443" s="4" t="str">
        <f aca="false">IF($A1443="","",IF(COUNTIF($A$2:$A1443,$A1443)&gt;1,"Sim","Não"))</f>
        <v>Não</v>
      </c>
      <c r="S1443" s="4" t="str">
        <f aca="false">IF(A1443="","Descartar - Linha vazia",IF(R1443="Sim","Descartar - Duplicado",IF(OR(H1443&lt;=0,I1443&lt;=0),"Descartar - Qtd/Valor inválido","OK")))</f>
        <v>OK</v>
      </c>
      <c r="T1443" s="4" t="str">
        <f aca="false">Base_Bruta!P1443</f>
        <v>vendas_RJ.xlsx</v>
      </c>
    </row>
    <row r="1444" customFormat="false" ht="15" hidden="false" customHeight="false" outlineLevel="0" collapsed="false">
      <c r="A1444" s="4" t="str">
        <f aca="false">IF(Base_Bruta!A1444="","",Base_Bruta!A1444)</f>
        <v>RJ-000425</v>
      </c>
      <c r="B1444" s="5" t="n">
        <f aca="false">IF($A1444="","",IF(ISNUMBER(Base_Bruta!B1444),Base_Bruta!B1444,IF(MID(Base_Bruta!B1444,5,1)="-",DATE(VALUE(LEFT(Base_Bruta!B1444,4)),VALUE(MID(Base_Bruta!B1444,6,2)),VALUE(RIGHT(Base_Bruta!B1444,2))),DATE(VALUE(RIGHT(Base_Bruta!B1444,4)),VALUE(MID(Base_Bruta!B1444,4,2)),VALUE(LEFT(Base_Bruta!B1444,2))))))</f>
        <v>46129</v>
      </c>
      <c r="C1444" s="5" t="n">
        <f aca="false">IF($A1444="","",IF(ISNUMBER(Base_Bruta!C1444),Base_Bruta!C1444,IF(MID(Base_Bruta!C1444,5,1)="-",DATE(VALUE(LEFT(Base_Bruta!C1444,4)),VALUE(MID(Base_Bruta!C1444,6,2)),VALUE(RIGHT(Base_Bruta!C1444,2))),DATE(VALUE(RIGHT(Base_Bruta!C1444,4)),VALUE(MID(Base_Bruta!C1444,4,2)),VALUE(LEFT(Base_Bruta!C1444,2))))))</f>
        <v>46151</v>
      </c>
      <c r="D1444" s="4" t="str">
        <f aca="false">IF($A1444="","",TRIM(Base_Bruta!D1444))</f>
        <v>Turnê Internacional Rock - Rio</v>
      </c>
      <c r="E1444" s="4" t="str">
        <f aca="false">IF($A1444="","",_xlfn.XLOOKUP(LOWER(TRIM(Base_Bruta!E1444)),DePara_Categoria!$A$2:$A$9,DePara_Categoria!$B$2:$B$9,"REVISAR"))</f>
        <v>Show</v>
      </c>
      <c r="F1444" s="4" t="str">
        <f aca="false">IF($A1444="","",_xlfn.XLOOKUP(LOWER(TRIM(Base_Bruta!F1444)),DePara_Cidade!$A$2:$A$29,DePara_Cidade!$B$2:$B$29,"REVISAR"))</f>
        <v>Rio de Janeiro</v>
      </c>
      <c r="G1444" s="4" t="str">
        <f aca="false">IF($A1444="","",TRIM(Base_Bruta!G1444))</f>
        <v>Meia</v>
      </c>
      <c r="H1444" s="4" t="n">
        <f aca="false">IF($A1444="","",IF(ISNUMBER(Base_Bruta!H1444),Base_Bruta!H1444,IFERROR(_xlfn.NUMBERVALUE(TRIM(SUBSTITUTE(Base_Bruta!H1444,"R$","")),",","."),0)))</f>
        <v>2</v>
      </c>
      <c r="I1444" s="6" t="n">
        <f aca="false">IF($A1444="","",IF(ISNUMBER(Base_Bruta!I1444),Base_Bruta!I1444,IFERROR(_xlfn.NUMBERVALUE(TRIM(SUBSTITUTE(Base_Bruta!I1444,"R$","")),",","."),0)))</f>
        <v>385</v>
      </c>
      <c r="J1444" s="6" t="n">
        <f aca="false">IF($A1444="","",H1444*I1444)</f>
        <v>770</v>
      </c>
      <c r="K1444" s="4" t="str">
        <f aca="false">IF($A1444="","",TRIM(Base_Bruta!J1444))</f>
        <v>Site</v>
      </c>
      <c r="L1444" s="4" t="str">
        <f aca="false">IF($A1444="","",TRIM(Base_Bruta!K1444))</f>
        <v>C01286</v>
      </c>
      <c r="M1444" s="4" t="str">
        <f aca="false">IF($A1444="","",_xlfn.XLOOKUP(LOWER(TRIM(Base_Bruta!L1444)),DePara_Cidade!$A$2:$A$29,DePara_Cidade!$B$2:$B$29,"REVISAR"))</f>
        <v>Florianópolis</v>
      </c>
      <c r="N1444" s="4" t="str">
        <f aca="false">IF($A1444="","",UPPER(TRIM(Base_Bruta!M1444)))</f>
        <v>SC</v>
      </c>
      <c r="O1444" s="4" t="str">
        <f aca="false">IF($A1444="","",_xlfn.XLOOKUP(LOWER(TRIM(Base_Bruta!N1444)),DePara_Pais!$A$2:$A$9,DePara_Pais!$B$2:$B$9,"REVISAR"))</f>
        <v>Brasil</v>
      </c>
      <c r="P1444" s="4" t="str">
        <f aca="false">IF($A1444="","",IF(O1444&lt;&gt;"Brasil","Turista Internacional",IF(M1444=F1444,"Local","Turista Nacional")))</f>
        <v>Turista Nacional</v>
      </c>
      <c r="Q1444" s="7" t="n">
        <f aca="false">IF($A1444="","",DATE(YEAR(B1444),MONTH(B1444),1))</f>
        <v>46113</v>
      </c>
      <c r="R1444" s="4" t="str">
        <f aca="false">IF($A1444="","",IF(COUNTIF($A$2:$A1444,$A1444)&gt;1,"Sim","Não"))</f>
        <v>Não</v>
      </c>
      <c r="S1444" s="4" t="str">
        <f aca="false">IF(A1444="","Descartar - Linha vazia",IF(R1444="Sim","Descartar - Duplicado",IF(OR(H1444&lt;=0,I1444&lt;=0),"Descartar - Qtd/Valor inválido","OK")))</f>
        <v>OK</v>
      </c>
      <c r="T1444" s="4" t="str">
        <f aca="false">Base_Bruta!P1444</f>
        <v>vendas_RJ.xlsx</v>
      </c>
    </row>
    <row r="1445" customFormat="false" ht="15" hidden="false" customHeight="false" outlineLevel="0" collapsed="false">
      <c r="A1445" s="4" t="str">
        <f aca="false">IF(Base_Bruta!A1445="","",Base_Bruta!A1445)</f>
        <v>RJ-000492</v>
      </c>
      <c r="B1445" s="5" t="n">
        <f aca="false">IF($A1445="","",IF(ISNUMBER(Base_Bruta!B1445),Base_Bruta!B1445,IF(MID(Base_Bruta!B1445,5,1)="-",DATE(VALUE(LEFT(Base_Bruta!B1445,4)),VALUE(MID(Base_Bruta!B1445,6,2)),VALUE(RIGHT(Base_Bruta!B1445,2))),DATE(VALUE(RIGHT(Base_Bruta!B1445,4)),VALUE(MID(Base_Bruta!B1445,4,2)),VALUE(LEFT(Base_Bruta!B1445,2))))))</f>
        <v>46131</v>
      </c>
      <c r="C1445" s="5" t="n">
        <f aca="false">IF($A1445="","",IF(ISNUMBER(Base_Bruta!C1445),Base_Bruta!C1445,IF(MID(Base_Bruta!C1445,5,1)="-",DATE(VALUE(LEFT(Base_Bruta!C1445,4)),VALUE(MID(Base_Bruta!C1445,6,2)),VALUE(RIGHT(Base_Bruta!C1445,2))),DATE(VALUE(RIGHT(Base_Bruta!C1445,4)),VALUE(MID(Base_Bruta!C1445,4,2)),VALUE(LEFT(Base_Bruta!C1445,2))))))</f>
        <v>46151</v>
      </c>
      <c r="D1445" s="4" t="str">
        <f aca="false">IF($A1445="","",TRIM(Base_Bruta!D1445))</f>
        <v>Turnê Internacional Rock - Rio</v>
      </c>
      <c r="E1445" s="4" t="str">
        <f aca="false">IF($A1445="","",_xlfn.XLOOKUP(LOWER(TRIM(Base_Bruta!E1445)),DePara_Categoria!$A$2:$A$9,DePara_Categoria!$B$2:$B$9,"REVISAR"))</f>
        <v>Show</v>
      </c>
      <c r="F1445" s="4" t="str">
        <f aca="false">IF($A1445="","",_xlfn.XLOOKUP(LOWER(TRIM(Base_Bruta!F1445)),DePara_Cidade!$A$2:$A$29,DePara_Cidade!$B$2:$B$29,"REVISAR"))</f>
        <v>Rio de Janeiro</v>
      </c>
      <c r="G1445" s="4" t="str">
        <f aca="false">IF($A1445="","",TRIM(Base_Bruta!G1445))</f>
        <v>Meia</v>
      </c>
      <c r="H1445" s="4" t="n">
        <f aca="false">IF($A1445="","",IF(ISNUMBER(Base_Bruta!H1445),Base_Bruta!H1445,IFERROR(_xlfn.NUMBERVALUE(TRIM(SUBSTITUTE(Base_Bruta!H1445,"R$","")),",","."),0)))</f>
        <v>1</v>
      </c>
      <c r="I1445" s="6" t="n">
        <f aca="false">IF($A1445="","",IF(ISNUMBER(Base_Bruta!I1445),Base_Bruta!I1445,IFERROR(_xlfn.NUMBERVALUE(TRIM(SUBSTITUTE(Base_Bruta!I1445,"R$","")),",","."),0)))</f>
        <v>247.5</v>
      </c>
      <c r="J1445" s="6" t="n">
        <f aca="false">IF($A1445="","",H1445*I1445)</f>
        <v>247.5</v>
      </c>
      <c r="K1445" s="4" t="str">
        <f aca="false">IF($A1445="","",TRIM(Base_Bruta!J1445))</f>
        <v>Site</v>
      </c>
      <c r="L1445" s="4" t="str">
        <f aca="false">IF($A1445="","",TRIM(Base_Bruta!K1445))</f>
        <v>C00592</v>
      </c>
      <c r="M1445" s="4" t="str">
        <f aca="false">IF($A1445="","",_xlfn.XLOOKUP(LOWER(TRIM(Base_Bruta!L1445)),DePara_Cidade!$A$2:$A$29,DePara_Cidade!$B$2:$B$29,"REVISAR"))</f>
        <v>Rio de Janeiro</v>
      </c>
      <c r="N1445" s="4" t="str">
        <f aca="false">IF($A1445="","",UPPER(TRIM(Base_Bruta!M1445)))</f>
        <v>RJ</v>
      </c>
      <c r="O1445" s="4" t="str">
        <f aca="false">IF($A1445="","",_xlfn.XLOOKUP(LOWER(TRIM(Base_Bruta!N1445)),DePara_Pais!$A$2:$A$9,DePara_Pais!$B$2:$B$9,"REVISAR"))</f>
        <v>Brasil</v>
      </c>
      <c r="P1445" s="4" t="str">
        <f aca="false">IF($A1445="","",IF(O1445&lt;&gt;"Brasil","Turista Internacional",IF(M1445=F1445,"Local","Turista Nacional")))</f>
        <v>Local</v>
      </c>
      <c r="Q1445" s="7" t="n">
        <f aca="false">IF($A1445="","",DATE(YEAR(B1445),MONTH(B1445),1))</f>
        <v>46113</v>
      </c>
      <c r="R1445" s="4" t="str">
        <f aca="false">IF($A1445="","",IF(COUNTIF($A$2:$A1445,$A1445)&gt;1,"Sim","Não"))</f>
        <v>Não</v>
      </c>
      <c r="S1445" s="4" t="str">
        <f aca="false">IF(A1445="","Descartar - Linha vazia",IF(R1445="Sim","Descartar - Duplicado",IF(OR(H1445&lt;=0,I1445&lt;=0),"Descartar - Qtd/Valor inválido","OK")))</f>
        <v>OK</v>
      </c>
      <c r="T1445" s="4" t="str">
        <f aca="false">Base_Bruta!P1445</f>
        <v>vendas_RJ.xlsx</v>
      </c>
    </row>
    <row r="1446" customFormat="false" ht="15" hidden="false" customHeight="false" outlineLevel="0" collapsed="false">
      <c r="A1446" s="4" t="str">
        <f aca="false">IF(Base_Bruta!A1446="","",Base_Bruta!A1446)</f>
        <v>RJ-000564</v>
      </c>
      <c r="B1446" s="5" t="n">
        <f aca="false">IF($A1446="","",IF(ISNUMBER(Base_Bruta!B1446),Base_Bruta!B1446,IF(MID(Base_Bruta!B1446,5,1)="-",DATE(VALUE(LEFT(Base_Bruta!B1446,4)),VALUE(MID(Base_Bruta!B1446,6,2)),VALUE(RIGHT(Base_Bruta!B1446,2))),DATE(VALUE(RIGHT(Base_Bruta!B1446,4)),VALUE(MID(Base_Bruta!B1446,4,2)),VALUE(LEFT(Base_Bruta!B1446,2))))))</f>
        <v>46131</v>
      </c>
      <c r="C1446" s="5" t="n">
        <f aca="false">IF($A1446="","",IF(ISNUMBER(Base_Bruta!C1446),Base_Bruta!C1446,IF(MID(Base_Bruta!C1446,5,1)="-",DATE(VALUE(LEFT(Base_Bruta!C1446,4)),VALUE(MID(Base_Bruta!C1446,6,2)),VALUE(RIGHT(Base_Bruta!C1446,2))),DATE(VALUE(RIGHT(Base_Bruta!C1446,4)),VALUE(MID(Base_Bruta!C1446,4,2)),VALUE(LEFT(Base_Bruta!C1446,2))))))</f>
        <v>46131</v>
      </c>
      <c r="D1446" s="4" t="str">
        <f aca="false">IF($A1446="","",TRIM(Base_Bruta!D1446))</f>
        <v>Cinema Barra - Sessões</v>
      </c>
      <c r="E1446" s="4" t="str">
        <f aca="false">IF($A1446="","",_xlfn.XLOOKUP(LOWER(TRIM(Base_Bruta!E1446)),DePara_Categoria!$A$2:$A$9,DePara_Categoria!$B$2:$B$9,"REVISAR"))</f>
        <v>Cinema</v>
      </c>
      <c r="F1446" s="4" t="str">
        <f aca="false">IF($A1446="","",_xlfn.XLOOKUP(LOWER(TRIM(Base_Bruta!F1446)),DePara_Cidade!$A$2:$A$29,DePara_Cidade!$B$2:$B$29,"REVISAR"))</f>
        <v>Rio de Janeiro</v>
      </c>
      <c r="G1446" s="4" t="str">
        <f aca="false">IF($A1446="","",TRIM(Base_Bruta!G1446))</f>
        <v>Meia</v>
      </c>
      <c r="H1446" s="4" t="n">
        <f aca="false">IF($A1446="","",IF(ISNUMBER(Base_Bruta!H1446),Base_Bruta!H1446,IFERROR(_xlfn.NUMBERVALUE(TRIM(SUBSTITUTE(Base_Bruta!H1446,"R$","")),",","."),0)))</f>
        <v>1</v>
      </c>
      <c r="I1446" s="6" t="n">
        <f aca="false">IF($A1446="","",IF(ISNUMBER(Base_Bruta!I1446),Base_Bruta!I1446,IFERROR(_xlfn.NUMBERVALUE(TRIM(SUBSTITUTE(Base_Bruta!I1446,"R$","")),",","."),0)))</f>
        <v>20</v>
      </c>
      <c r="J1446" s="6" t="n">
        <f aca="false">IF($A1446="","",H1446*I1446)</f>
        <v>20</v>
      </c>
      <c r="K1446" s="4" t="str">
        <f aca="false">IF($A1446="","",TRIM(Base_Bruta!J1446))</f>
        <v>Bilheteria</v>
      </c>
      <c r="L1446" s="4" t="str">
        <f aca="false">IF($A1446="","",TRIM(Base_Bruta!K1446))</f>
        <v>C01572</v>
      </c>
      <c r="M1446" s="4" t="str">
        <f aca="false">IF($A1446="","",_xlfn.XLOOKUP(LOWER(TRIM(Base_Bruta!L1446)),DePara_Cidade!$A$2:$A$29,DePara_Cidade!$B$2:$B$29,"REVISAR"))</f>
        <v>Rio de Janeiro</v>
      </c>
      <c r="N1446" s="4" t="str">
        <f aca="false">IF($A1446="","",UPPER(TRIM(Base_Bruta!M1446)))</f>
        <v>RJ</v>
      </c>
      <c r="O1446" s="4" t="str">
        <f aca="false">IF($A1446="","",_xlfn.XLOOKUP(LOWER(TRIM(Base_Bruta!N1446)),DePara_Pais!$A$2:$A$9,DePara_Pais!$B$2:$B$9,"REVISAR"))</f>
        <v>Brasil</v>
      </c>
      <c r="P1446" s="4" t="str">
        <f aca="false">IF($A1446="","",IF(O1446&lt;&gt;"Brasil","Turista Internacional",IF(M1446=F1446,"Local","Turista Nacional")))</f>
        <v>Local</v>
      </c>
      <c r="Q1446" s="7" t="n">
        <f aca="false">IF($A1446="","",DATE(YEAR(B1446),MONTH(B1446),1))</f>
        <v>46113</v>
      </c>
      <c r="R1446" s="4" t="str">
        <f aca="false">IF($A1446="","",IF(COUNTIF($A$2:$A1446,$A1446)&gt;1,"Sim","Não"))</f>
        <v>Não</v>
      </c>
      <c r="S1446" s="4" t="str">
        <f aca="false">IF(A1446="","Descartar - Linha vazia",IF(R1446="Sim","Descartar - Duplicado",IF(OR(H1446&lt;=0,I1446&lt;=0),"Descartar - Qtd/Valor inválido","OK")))</f>
        <v>OK</v>
      </c>
      <c r="T1446" s="4" t="str">
        <f aca="false">Base_Bruta!P1446</f>
        <v>vendas_RJ.xlsx</v>
      </c>
    </row>
    <row r="1447" customFormat="false" ht="15" hidden="false" customHeight="false" outlineLevel="0" collapsed="false">
      <c r="A1447" s="4" t="str">
        <f aca="false">IF(Base_Bruta!A1447="","",Base_Bruta!A1447)</f>
        <v>RJ-000573</v>
      </c>
      <c r="B1447" s="5" t="n">
        <f aca="false">IF($A1447="","",IF(ISNUMBER(Base_Bruta!B1447),Base_Bruta!B1447,IF(MID(Base_Bruta!B1447,5,1)="-",DATE(VALUE(LEFT(Base_Bruta!B1447,4)),VALUE(MID(Base_Bruta!B1447,6,2)),VALUE(RIGHT(Base_Bruta!B1447,2))),DATE(VALUE(RIGHT(Base_Bruta!B1447,4)),VALUE(MID(Base_Bruta!B1447,4,2)),VALUE(LEFT(Base_Bruta!B1447,2))))))</f>
        <v>46131</v>
      </c>
      <c r="C1447" s="5" t="n">
        <f aca="false">IF($A1447="","",IF(ISNUMBER(Base_Bruta!C1447),Base_Bruta!C1447,IF(MID(Base_Bruta!C1447,5,1)="-",DATE(VALUE(LEFT(Base_Bruta!C1447,4)),VALUE(MID(Base_Bruta!C1447,6,2)),VALUE(RIGHT(Base_Bruta!C1447,2))),DATE(VALUE(RIGHT(Base_Bruta!C1447,4)),VALUE(MID(Base_Bruta!C1447,4,2)),VALUE(LEFT(Base_Bruta!C1447,2))))))</f>
        <v>46134</v>
      </c>
      <c r="D1447" s="4" t="str">
        <f aca="false">IF($A1447="","",TRIM(Base_Bruta!D1447))</f>
        <v>Cinema Barra - Sessões</v>
      </c>
      <c r="E1447" s="4" t="str">
        <f aca="false">IF($A1447="","",_xlfn.XLOOKUP(LOWER(TRIM(Base_Bruta!E1447)),DePara_Categoria!$A$2:$A$9,DePara_Categoria!$B$2:$B$9,"REVISAR"))</f>
        <v>Cinema</v>
      </c>
      <c r="F1447" s="4" t="str">
        <f aca="false">IF($A1447="","",_xlfn.XLOOKUP(LOWER(TRIM(Base_Bruta!F1447)),DePara_Cidade!$A$2:$A$29,DePara_Cidade!$B$2:$B$29,"REVISAR"))</f>
        <v>Rio de Janeiro</v>
      </c>
      <c r="G1447" s="4" t="str">
        <f aca="false">IF($A1447="","",TRIM(Base_Bruta!G1447))</f>
        <v>Inteira</v>
      </c>
      <c r="H1447" s="4" t="n">
        <f aca="false">IF($A1447="","",IF(ISNUMBER(Base_Bruta!H1447),Base_Bruta!H1447,IFERROR(_xlfn.NUMBERVALUE(TRIM(SUBSTITUTE(Base_Bruta!H1447,"R$","")),",","."),0)))</f>
        <v>1</v>
      </c>
      <c r="I1447" s="6" t="n">
        <f aca="false">IF($A1447="","",IF(ISNUMBER(Base_Bruta!I1447),Base_Bruta!I1447,IFERROR(_xlfn.NUMBERVALUE(TRIM(SUBSTITUTE(Base_Bruta!I1447,"R$","")),",","."),0)))</f>
        <v>45</v>
      </c>
      <c r="J1447" s="6" t="n">
        <f aca="false">IF($A1447="","",H1447*I1447)</f>
        <v>45</v>
      </c>
      <c r="K1447" s="4" t="str">
        <f aca="false">IF($A1447="","",TRIM(Base_Bruta!J1447))</f>
        <v>Site</v>
      </c>
      <c r="L1447" s="4" t="str">
        <f aca="false">IF($A1447="","",TRIM(Base_Bruta!K1447))</f>
        <v>C01248</v>
      </c>
      <c r="M1447" s="4" t="str">
        <f aca="false">IF($A1447="","",_xlfn.XLOOKUP(LOWER(TRIM(Base_Bruta!L1447)),DePara_Cidade!$A$2:$A$29,DePara_Cidade!$B$2:$B$29,"REVISAR"))</f>
        <v>Rio de Janeiro</v>
      </c>
      <c r="N1447" s="4" t="str">
        <f aca="false">IF($A1447="","",UPPER(TRIM(Base_Bruta!M1447)))</f>
        <v>RJ</v>
      </c>
      <c r="O1447" s="4" t="str">
        <f aca="false">IF($A1447="","",_xlfn.XLOOKUP(LOWER(TRIM(Base_Bruta!N1447)),DePara_Pais!$A$2:$A$9,DePara_Pais!$B$2:$B$9,"REVISAR"))</f>
        <v>Brasil</v>
      </c>
      <c r="P1447" s="4" t="str">
        <f aca="false">IF($A1447="","",IF(O1447&lt;&gt;"Brasil","Turista Internacional",IF(M1447=F1447,"Local","Turista Nacional")))</f>
        <v>Local</v>
      </c>
      <c r="Q1447" s="7" t="n">
        <f aca="false">IF($A1447="","",DATE(YEAR(B1447),MONTH(B1447),1))</f>
        <v>46113</v>
      </c>
      <c r="R1447" s="4" t="str">
        <f aca="false">IF($A1447="","",IF(COUNTIF($A$2:$A1447,$A1447)&gt;1,"Sim","Não"))</f>
        <v>Não</v>
      </c>
      <c r="S1447" s="4" t="str">
        <f aca="false">IF(A1447="","Descartar - Linha vazia",IF(R1447="Sim","Descartar - Duplicado",IF(OR(H1447&lt;=0,I1447&lt;=0),"Descartar - Qtd/Valor inválido","OK")))</f>
        <v>OK</v>
      </c>
      <c r="T1447" s="4" t="str">
        <f aca="false">Base_Bruta!P1447</f>
        <v>vendas_RJ.xlsx</v>
      </c>
    </row>
    <row r="1448" customFormat="false" ht="15" hidden="false" customHeight="false" outlineLevel="0" collapsed="false">
      <c r="A1448" s="4" t="str">
        <f aca="false">IF(Base_Bruta!A1448="","",Base_Bruta!A1448)</f>
        <v>RJ-000472</v>
      </c>
      <c r="B1448" s="5" t="n">
        <f aca="false">IF($A1448="","",IF(ISNUMBER(Base_Bruta!B1448),Base_Bruta!B1448,IF(MID(Base_Bruta!B1448,5,1)="-",DATE(VALUE(LEFT(Base_Bruta!B1448,4)),VALUE(MID(Base_Bruta!B1448,6,2)),VALUE(RIGHT(Base_Bruta!B1448,2))),DATE(VALUE(RIGHT(Base_Bruta!B1448,4)),VALUE(MID(Base_Bruta!B1448,4,2)),VALUE(LEFT(Base_Bruta!B1448,2))))))</f>
        <v>46132</v>
      </c>
      <c r="C1448" s="5" t="n">
        <f aca="false">IF($A1448="","",IF(ISNUMBER(Base_Bruta!C1448),Base_Bruta!C1448,IF(MID(Base_Bruta!C1448,5,1)="-",DATE(VALUE(LEFT(Base_Bruta!C1448,4)),VALUE(MID(Base_Bruta!C1448,6,2)),VALUE(RIGHT(Base_Bruta!C1448,2))),DATE(VALUE(RIGHT(Base_Bruta!C1448,4)),VALUE(MID(Base_Bruta!C1448,4,2)),VALUE(LEFT(Base_Bruta!C1448,2))))))</f>
        <v>46151</v>
      </c>
      <c r="D1448" s="4" t="str">
        <f aca="false">IF($A1448="","",TRIM(Base_Bruta!D1448))</f>
        <v>Turnê Internacional Rock - Rio</v>
      </c>
      <c r="E1448" s="4" t="str">
        <f aca="false">IF($A1448="","",_xlfn.XLOOKUP(LOWER(TRIM(Base_Bruta!E1448)),DePara_Categoria!$A$2:$A$9,DePara_Categoria!$B$2:$B$9,"REVISAR"))</f>
        <v>Show</v>
      </c>
      <c r="F1448" s="4" t="str">
        <f aca="false">IF($A1448="","",_xlfn.XLOOKUP(LOWER(TRIM(Base_Bruta!F1448)),DePara_Cidade!$A$2:$A$29,DePara_Cidade!$B$2:$B$29,"REVISAR"))</f>
        <v>Rio de Janeiro</v>
      </c>
      <c r="G1448" s="4" t="str">
        <f aca="false">IF($A1448="","",TRIM(Base_Bruta!G1448))</f>
        <v>Inteira</v>
      </c>
      <c r="H1448" s="4" t="n">
        <f aca="false">IF($A1448="","",IF(ISNUMBER(Base_Bruta!H1448),Base_Bruta!H1448,IFERROR(_xlfn.NUMBERVALUE(TRIM(SUBSTITUTE(Base_Bruta!H1448,"R$","")),",","."),0)))</f>
        <v>1</v>
      </c>
      <c r="I1448" s="6" t="n">
        <f aca="false">IF($A1448="","",IF(ISNUMBER(Base_Bruta!I1448),Base_Bruta!I1448,IFERROR(_xlfn.NUMBERVALUE(TRIM(SUBSTITUTE(Base_Bruta!I1448,"R$","")),",","."),0)))</f>
        <v>740</v>
      </c>
      <c r="J1448" s="6" t="n">
        <f aca="false">IF($A1448="","",H1448*I1448)</f>
        <v>740</v>
      </c>
      <c r="K1448" s="4" t="str">
        <f aca="false">IF($A1448="","",TRIM(Base_Bruta!J1448))</f>
        <v>Site</v>
      </c>
      <c r="L1448" s="4" t="str">
        <f aca="false">IF($A1448="","",TRIM(Base_Bruta!K1448))</f>
        <v>C02013</v>
      </c>
      <c r="M1448" s="4" t="str">
        <f aca="false">IF($A1448="","",_xlfn.XLOOKUP(LOWER(TRIM(Base_Bruta!L1448)),DePara_Cidade!$A$2:$A$29,DePara_Cidade!$B$2:$B$29,"REVISAR"))</f>
        <v>Rio de Janeiro</v>
      </c>
      <c r="N1448" s="4" t="str">
        <f aca="false">IF($A1448="","",UPPER(TRIM(Base_Bruta!M1448)))</f>
        <v>RJ</v>
      </c>
      <c r="O1448" s="4" t="str">
        <f aca="false">IF($A1448="","",_xlfn.XLOOKUP(LOWER(TRIM(Base_Bruta!N1448)),DePara_Pais!$A$2:$A$9,DePara_Pais!$B$2:$B$9,"REVISAR"))</f>
        <v>Brasil</v>
      </c>
      <c r="P1448" s="4" t="str">
        <f aca="false">IF($A1448="","",IF(O1448&lt;&gt;"Brasil","Turista Internacional",IF(M1448=F1448,"Local","Turista Nacional")))</f>
        <v>Local</v>
      </c>
      <c r="Q1448" s="7" t="n">
        <f aca="false">IF($A1448="","",DATE(YEAR(B1448),MONTH(B1448),1))</f>
        <v>46113</v>
      </c>
      <c r="R1448" s="4" t="str">
        <f aca="false">IF($A1448="","",IF(COUNTIF($A$2:$A1448,$A1448)&gt;1,"Sim","Não"))</f>
        <v>Não</v>
      </c>
      <c r="S1448" s="4" t="str">
        <f aca="false">IF(A1448="","Descartar - Linha vazia",IF(R1448="Sim","Descartar - Duplicado",IF(OR(H1448&lt;=0,I1448&lt;=0),"Descartar - Qtd/Valor inválido","OK")))</f>
        <v>OK</v>
      </c>
      <c r="T1448" s="4" t="str">
        <f aca="false">Base_Bruta!P1448</f>
        <v>vendas_RJ.xlsx</v>
      </c>
    </row>
    <row r="1449" customFormat="false" ht="15" hidden="false" customHeight="false" outlineLevel="0" collapsed="false">
      <c r="A1449" s="4" t="str">
        <f aca="false">IF(Base_Bruta!A1449="","",Base_Bruta!A1449)</f>
        <v>RJ-000698</v>
      </c>
      <c r="B1449" s="5" t="n">
        <f aca="false">IF($A1449="","",IF(ISNUMBER(Base_Bruta!B1449),Base_Bruta!B1449,IF(MID(Base_Bruta!B1449,5,1)="-",DATE(VALUE(LEFT(Base_Bruta!B1449,4)),VALUE(MID(Base_Bruta!B1449,6,2)),VALUE(RIGHT(Base_Bruta!B1449,2))),DATE(VALUE(RIGHT(Base_Bruta!B1449,4)),VALUE(MID(Base_Bruta!B1449,4,2)),VALUE(LEFT(Base_Bruta!B1449,2))))))</f>
        <v>46133</v>
      </c>
      <c r="C1449" s="5" t="n">
        <f aca="false">IF($A1449="","",IF(ISNUMBER(Base_Bruta!C1449),Base_Bruta!C1449,IF(MID(Base_Bruta!C1449,5,1)="-",DATE(VALUE(LEFT(Base_Bruta!C1449,4)),VALUE(MID(Base_Bruta!C1449,6,2)),VALUE(RIGHT(Base_Bruta!C1449,2))),DATE(VALUE(RIGHT(Base_Bruta!C1449,4)),VALUE(MID(Base_Bruta!C1449,4,2)),VALUE(LEFT(Base_Bruta!C1449,2))))))</f>
        <v>46133</v>
      </c>
      <c r="D1449" s="4" t="str">
        <f aca="false">IF($A1449="","",TRIM(Base_Bruta!D1449))</f>
        <v>Cinema Barra - Sessões</v>
      </c>
      <c r="E1449" s="4" t="str">
        <f aca="false">IF($A1449="","",_xlfn.XLOOKUP(LOWER(TRIM(Base_Bruta!E1449)),DePara_Categoria!$A$2:$A$9,DePara_Categoria!$B$2:$B$9,"REVISAR"))</f>
        <v>Cinema</v>
      </c>
      <c r="F1449" s="4" t="str">
        <f aca="false">IF($A1449="","",_xlfn.XLOOKUP(LOWER(TRIM(Base_Bruta!F1449)),DePara_Cidade!$A$2:$A$29,DePara_Cidade!$B$2:$B$29,"REVISAR"))</f>
        <v>Rio de Janeiro</v>
      </c>
      <c r="G1449" s="4" t="str">
        <f aca="false">IF($A1449="","",TRIM(Base_Bruta!G1449))</f>
        <v>Inteira</v>
      </c>
      <c r="H1449" s="4" t="n">
        <f aca="false">IF($A1449="","",IF(ISNUMBER(Base_Bruta!H1449),Base_Bruta!H1449,IFERROR(_xlfn.NUMBERVALUE(TRIM(SUBSTITUTE(Base_Bruta!H1449,"R$","")),",","."),0)))</f>
        <v>1</v>
      </c>
      <c r="I1449" s="6" t="n">
        <f aca="false">IF($A1449="","",IF(ISNUMBER(Base_Bruta!I1449),Base_Bruta!I1449,IFERROR(_xlfn.NUMBERVALUE(TRIM(SUBSTITUTE(Base_Bruta!I1449,"R$","")),",","."),0)))</f>
        <v>40</v>
      </c>
      <c r="J1449" s="6" t="n">
        <f aca="false">IF($A1449="","",H1449*I1449)</f>
        <v>40</v>
      </c>
      <c r="K1449" s="4" t="str">
        <f aca="false">IF($A1449="","",TRIM(Base_Bruta!J1449))</f>
        <v>App</v>
      </c>
      <c r="L1449" s="4" t="str">
        <f aca="false">IF($A1449="","",TRIM(Base_Bruta!K1449))</f>
        <v>C01638</v>
      </c>
      <c r="M1449" s="4" t="str">
        <f aca="false">IF($A1449="","",_xlfn.XLOOKUP(LOWER(TRIM(Base_Bruta!L1449)),DePara_Cidade!$A$2:$A$29,DePara_Cidade!$B$2:$B$29,"REVISAR"))</f>
        <v>Rio de Janeiro</v>
      </c>
      <c r="N1449" s="4" t="str">
        <f aca="false">IF($A1449="","",UPPER(TRIM(Base_Bruta!M1449)))</f>
        <v>RJ</v>
      </c>
      <c r="O1449" s="4" t="str">
        <f aca="false">IF($A1449="","",_xlfn.XLOOKUP(LOWER(TRIM(Base_Bruta!N1449)),DePara_Pais!$A$2:$A$9,DePara_Pais!$B$2:$B$9,"REVISAR"))</f>
        <v>Brasil</v>
      </c>
      <c r="P1449" s="4" t="str">
        <f aca="false">IF($A1449="","",IF(O1449&lt;&gt;"Brasil","Turista Internacional",IF(M1449=F1449,"Local","Turista Nacional")))</f>
        <v>Local</v>
      </c>
      <c r="Q1449" s="7" t="n">
        <f aca="false">IF($A1449="","",DATE(YEAR(B1449),MONTH(B1449),1))</f>
        <v>46113</v>
      </c>
      <c r="R1449" s="4" t="str">
        <f aca="false">IF($A1449="","",IF(COUNTIF($A$2:$A1449,$A1449)&gt;1,"Sim","Não"))</f>
        <v>Não</v>
      </c>
      <c r="S1449" s="4" t="str">
        <f aca="false">IF(A1449="","Descartar - Linha vazia",IF(R1449="Sim","Descartar - Duplicado",IF(OR(H1449&lt;=0,I1449&lt;=0),"Descartar - Qtd/Valor inválido","OK")))</f>
        <v>OK</v>
      </c>
      <c r="T1449" s="4" t="str">
        <f aca="false">Base_Bruta!P1449</f>
        <v>vendas_RJ.xlsx</v>
      </c>
    </row>
    <row r="1450" customFormat="false" ht="15" hidden="false" customHeight="false" outlineLevel="0" collapsed="false">
      <c r="A1450" s="4" t="str">
        <f aca="false">IF(Base_Bruta!A1450="","",Base_Bruta!A1450)</f>
        <v>RJ-000493</v>
      </c>
      <c r="B1450" s="5" t="n">
        <f aca="false">IF($A1450="","",IF(ISNUMBER(Base_Bruta!B1450),Base_Bruta!B1450,IF(MID(Base_Bruta!B1450,5,1)="-",DATE(VALUE(LEFT(Base_Bruta!B1450,4)),VALUE(MID(Base_Bruta!B1450,6,2)),VALUE(RIGHT(Base_Bruta!B1450,2))),DATE(VALUE(RIGHT(Base_Bruta!B1450,4)),VALUE(MID(Base_Bruta!B1450,4,2)),VALUE(LEFT(Base_Bruta!B1450,2))))))</f>
        <v>46136</v>
      </c>
      <c r="C1450" s="5" t="n">
        <f aca="false">IF($A1450="","",IF(ISNUMBER(Base_Bruta!C1450),Base_Bruta!C1450,IF(MID(Base_Bruta!C1450,5,1)="-",DATE(VALUE(LEFT(Base_Bruta!C1450,4)),VALUE(MID(Base_Bruta!C1450,6,2)),VALUE(RIGHT(Base_Bruta!C1450,2))),DATE(VALUE(RIGHT(Base_Bruta!C1450,4)),VALUE(MID(Base_Bruta!C1450,4,2)),VALUE(LEFT(Base_Bruta!C1450,2))))))</f>
        <v>46151</v>
      </c>
      <c r="D1450" s="4" t="str">
        <f aca="false">IF($A1450="","",TRIM(Base_Bruta!D1450))</f>
        <v>Turnê Internacional Rock - Rio</v>
      </c>
      <c r="E1450" s="4" t="str">
        <f aca="false">IF($A1450="","",_xlfn.XLOOKUP(LOWER(TRIM(Base_Bruta!E1450)),DePara_Categoria!$A$2:$A$9,DePara_Categoria!$B$2:$B$9,"REVISAR"))</f>
        <v>Show</v>
      </c>
      <c r="F1450" s="4" t="str">
        <f aca="false">IF($A1450="","",_xlfn.XLOOKUP(LOWER(TRIM(Base_Bruta!F1450)),DePara_Cidade!$A$2:$A$29,DePara_Cidade!$B$2:$B$29,"REVISAR"))</f>
        <v>Rio de Janeiro</v>
      </c>
      <c r="G1450" s="4" t="str">
        <f aca="false">IF($A1450="","",TRIM(Base_Bruta!G1450))</f>
        <v>Meia</v>
      </c>
      <c r="H1450" s="4" t="n">
        <f aca="false">IF($A1450="","",IF(ISNUMBER(Base_Bruta!H1450),Base_Bruta!H1450,IFERROR(_xlfn.NUMBERVALUE(TRIM(SUBSTITUTE(Base_Bruta!H1450,"R$","")),",","."),0)))</f>
        <v>3</v>
      </c>
      <c r="I1450" s="6" t="n">
        <f aca="false">IF($A1450="","",IF(ISNUMBER(Base_Bruta!I1450),Base_Bruta!I1450,IFERROR(_xlfn.NUMBERVALUE(TRIM(SUBSTITUTE(Base_Bruta!I1450,"R$","")),",","."),0)))</f>
        <v>110</v>
      </c>
      <c r="J1450" s="6" t="n">
        <f aca="false">IF($A1450="","",H1450*I1450)</f>
        <v>330</v>
      </c>
      <c r="K1450" s="4" t="str">
        <f aca="false">IF($A1450="","",TRIM(Base_Bruta!J1450))</f>
        <v>Site</v>
      </c>
      <c r="L1450" s="4" t="str">
        <f aca="false">IF($A1450="","",TRIM(Base_Bruta!K1450))</f>
        <v>C00820</v>
      </c>
      <c r="M1450" s="4" t="str">
        <f aca="false">IF($A1450="","",_xlfn.XLOOKUP(LOWER(TRIM(Base_Bruta!L1450)),DePara_Cidade!$A$2:$A$29,DePara_Cidade!$B$2:$B$29,"REVISAR"))</f>
        <v>Contagem</v>
      </c>
      <c r="N1450" s="4" t="str">
        <f aca="false">IF($A1450="","",UPPER(TRIM(Base_Bruta!M1450)))</f>
        <v>MG</v>
      </c>
      <c r="O1450" s="4" t="str">
        <f aca="false">IF($A1450="","",_xlfn.XLOOKUP(LOWER(TRIM(Base_Bruta!N1450)),DePara_Pais!$A$2:$A$9,DePara_Pais!$B$2:$B$9,"REVISAR"))</f>
        <v>Brasil</v>
      </c>
      <c r="P1450" s="4" t="str">
        <f aca="false">IF($A1450="","",IF(O1450&lt;&gt;"Brasil","Turista Internacional",IF(M1450=F1450,"Local","Turista Nacional")))</f>
        <v>Turista Nacional</v>
      </c>
      <c r="Q1450" s="7" t="n">
        <f aca="false">IF($A1450="","",DATE(YEAR(B1450),MONTH(B1450),1))</f>
        <v>46113</v>
      </c>
      <c r="R1450" s="4" t="str">
        <f aca="false">IF($A1450="","",IF(COUNTIF($A$2:$A1450,$A1450)&gt;1,"Sim","Não"))</f>
        <v>Não</v>
      </c>
      <c r="S1450" s="4" t="str">
        <f aca="false">IF(A1450="","Descartar - Linha vazia",IF(R1450="Sim","Descartar - Duplicado",IF(OR(H1450&lt;=0,I1450&lt;=0),"Descartar - Qtd/Valor inválido","OK")))</f>
        <v>OK</v>
      </c>
      <c r="T1450" s="4" t="str">
        <f aca="false">Base_Bruta!P1450</f>
        <v>vendas_RJ.xlsx</v>
      </c>
    </row>
    <row r="1451" customFormat="false" ht="15" hidden="false" customHeight="false" outlineLevel="0" collapsed="false">
      <c r="A1451" s="4" t="str">
        <f aca="false">IF(Base_Bruta!A1451="","",Base_Bruta!A1451)</f>
        <v>RJ-000641</v>
      </c>
      <c r="B1451" s="5" t="n">
        <f aca="false">IF($A1451="","",IF(ISNUMBER(Base_Bruta!B1451),Base_Bruta!B1451,IF(MID(Base_Bruta!B1451,5,1)="-",DATE(VALUE(LEFT(Base_Bruta!B1451,4)),VALUE(MID(Base_Bruta!B1451,6,2)),VALUE(RIGHT(Base_Bruta!B1451,2))),DATE(VALUE(RIGHT(Base_Bruta!B1451,4)),VALUE(MID(Base_Bruta!B1451,4,2)),VALUE(LEFT(Base_Bruta!B1451,2))))))</f>
        <v>46136</v>
      </c>
      <c r="C1451" s="5" t="n">
        <f aca="false">IF($A1451="","",IF(ISNUMBER(Base_Bruta!C1451),Base_Bruta!C1451,IF(MID(Base_Bruta!C1451,5,1)="-",DATE(VALUE(LEFT(Base_Bruta!C1451,4)),VALUE(MID(Base_Bruta!C1451,6,2)),VALUE(RIGHT(Base_Bruta!C1451,2))),DATE(VALUE(RIGHT(Base_Bruta!C1451,4)),VALUE(MID(Base_Bruta!C1451,4,2)),VALUE(LEFT(Base_Bruta!C1451,2))))))</f>
        <v>46137</v>
      </c>
      <c r="D1451" s="4" t="str">
        <f aca="false">IF($A1451="","",TRIM(Base_Bruta!D1451))</f>
        <v>Cinema Barra - Sessões</v>
      </c>
      <c r="E1451" s="4" t="str">
        <f aca="false">IF($A1451="","",_xlfn.XLOOKUP(LOWER(TRIM(Base_Bruta!E1451)),DePara_Categoria!$A$2:$A$9,DePara_Categoria!$B$2:$B$9,"REVISAR"))</f>
        <v>Cinema</v>
      </c>
      <c r="F1451" s="4" t="str">
        <f aca="false">IF($A1451="","",_xlfn.XLOOKUP(LOWER(TRIM(Base_Bruta!F1451)),DePara_Cidade!$A$2:$A$29,DePara_Cidade!$B$2:$B$29,"REVISAR"))</f>
        <v>Rio de Janeiro</v>
      </c>
      <c r="G1451" s="4" t="str">
        <f aca="false">IF($A1451="","",TRIM(Base_Bruta!G1451))</f>
        <v>Inteira</v>
      </c>
      <c r="H1451" s="4" t="n">
        <f aca="false">IF($A1451="","",IF(ISNUMBER(Base_Bruta!H1451),Base_Bruta!H1451,IFERROR(_xlfn.NUMBERVALUE(TRIM(SUBSTITUTE(Base_Bruta!H1451,"R$","")),",","."),0)))</f>
        <v>2</v>
      </c>
      <c r="I1451" s="6" t="n">
        <f aca="false">IF($A1451="","",IF(ISNUMBER(Base_Bruta!I1451),Base_Bruta!I1451,IFERROR(_xlfn.NUMBERVALUE(TRIM(SUBSTITUTE(Base_Bruta!I1451,"R$","")),",","."),0)))</f>
        <v>45</v>
      </c>
      <c r="J1451" s="6" t="n">
        <f aca="false">IF($A1451="","",H1451*I1451)</f>
        <v>90</v>
      </c>
      <c r="K1451" s="4" t="str">
        <f aca="false">IF($A1451="","",TRIM(Base_Bruta!J1451))</f>
        <v>App</v>
      </c>
      <c r="L1451" s="4" t="str">
        <f aca="false">IF($A1451="","",TRIM(Base_Bruta!K1451))</f>
        <v>C02013</v>
      </c>
      <c r="M1451" s="4" t="str">
        <f aca="false">IF($A1451="","",_xlfn.XLOOKUP(LOWER(TRIM(Base_Bruta!L1451)),DePara_Cidade!$A$2:$A$29,DePara_Cidade!$B$2:$B$29,"REVISAR"))</f>
        <v>Rio de Janeiro</v>
      </c>
      <c r="N1451" s="4" t="str">
        <f aca="false">IF($A1451="","",UPPER(TRIM(Base_Bruta!M1451)))</f>
        <v>RJ</v>
      </c>
      <c r="O1451" s="4" t="str">
        <f aca="false">IF($A1451="","",_xlfn.XLOOKUP(LOWER(TRIM(Base_Bruta!N1451)),DePara_Pais!$A$2:$A$9,DePara_Pais!$B$2:$B$9,"REVISAR"))</f>
        <v>Brasil</v>
      </c>
      <c r="P1451" s="4" t="str">
        <f aca="false">IF($A1451="","",IF(O1451&lt;&gt;"Brasil","Turista Internacional",IF(M1451=F1451,"Local","Turista Nacional")))</f>
        <v>Local</v>
      </c>
      <c r="Q1451" s="7" t="n">
        <f aca="false">IF($A1451="","",DATE(YEAR(B1451),MONTH(B1451),1))</f>
        <v>46113</v>
      </c>
      <c r="R1451" s="4" t="str">
        <f aca="false">IF($A1451="","",IF(COUNTIF($A$2:$A1451,$A1451)&gt;1,"Sim","Não"))</f>
        <v>Não</v>
      </c>
      <c r="S1451" s="4" t="str">
        <f aca="false">IF(A1451="","Descartar - Linha vazia",IF(R1451="Sim","Descartar - Duplicado",IF(OR(H1451&lt;=0,I1451&lt;=0),"Descartar - Qtd/Valor inválido","OK")))</f>
        <v>OK</v>
      </c>
      <c r="T1451" s="4" t="str">
        <f aca="false">Base_Bruta!P1451</f>
        <v>vendas_RJ.xlsx</v>
      </c>
    </row>
    <row r="1452" customFormat="false" ht="15" hidden="false" customHeight="false" outlineLevel="0" collapsed="false">
      <c r="A1452" s="4" t="str">
        <f aca="false">IF(Base_Bruta!A1452="","",Base_Bruta!A1452)</f>
        <v>RJ-000505</v>
      </c>
      <c r="B1452" s="5" t="n">
        <f aca="false">IF($A1452="","",IF(ISNUMBER(Base_Bruta!B1452),Base_Bruta!B1452,IF(MID(Base_Bruta!B1452,5,1)="-",DATE(VALUE(LEFT(Base_Bruta!B1452,4)),VALUE(MID(Base_Bruta!B1452,6,2)),VALUE(RIGHT(Base_Bruta!B1452,2))),DATE(VALUE(RIGHT(Base_Bruta!B1452,4)),VALUE(MID(Base_Bruta!B1452,4,2)),VALUE(LEFT(Base_Bruta!B1452,2))))))</f>
        <v>46138</v>
      </c>
      <c r="C1452" s="5" t="n">
        <f aca="false">IF($A1452="","",IF(ISNUMBER(Base_Bruta!C1452),Base_Bruta!C1452,IF(MID(Base_Bruta!C1452,5,1)="-",DATE(VALUE(LEFT(Base_Bruta!C1452,4)),VALUE(MID(Base_Bruta!C1452,6,2)),VALUE(RIGHT(Base_Bruta!C1452,2))),DATE(VALUE(RIGHT(Base_Bruta!C1452,4)),VALUE(MID(Base_Bruta!C1452,4,2)),VALUE(LEFT(Base_Bruta!C1452,2))))))</f>
        <v>46151</v>
      </c>
      <c r="D1452" s="4" t="str">
        <f aca="false">IF($A1452="","",TRIM(Base_Bruta!D1452))</f>
        <v>Turnê Internacional Rock - Rio</v>
      </c>
      <c r="E1452" s="4" t="str">
        <f aca="false">IF($A1452="","",_xlfn.XLOOKUP(LOWER(TRIM(Base_Bruta!E1452)),DePara_Categoria!$A$2:$A$9,DePara_Categoria!$B$2:$B$9,"REVISAR"))</f>
        <v>Show</v>
      </c>
      <c r="F1452" s="4" t="str">
        <f aca="false">IF($A1452="","",_xlfn.XLOOKUP(LOWER(TRIM(Base_Bruta!F1452)),DePara_Cidade!$A$2:$A$29,DePara_Cidade!$B$2:$B$29,"REVISAR"))</f>
        <v>Rio de Janeiro</v>
      </c>
      <c r="G1452" s="4" t="str">
        <f aca="false">IF($A1452="","",TRIM(Base_Bruta!G1452))</f>
        <v>Inteira</v>
      </c>
      <c r="H1452" s="4" t="n">
        <f aca="false">IF($A1452="","",IF(ISNUMBER(Base_Bruta!H1452),Base_Bruta!H1452,IFERROR(_xlfn.NUMBERVALUE(TRIM(SUBSTITUTE(Base_Bruta!H1452,"R$","")),",","."),0)))</f>
        <v>2</v>
      </c>
      <c r="I1452" s="6" t="n">
        <f aca="false">IF($A1452="","",IF(ISNUMBER(Base_Bruta!I1452),Base_Bruta!I1452,IFERROR(_xlfn.NUMBERVALUE(TRIM(SUBSTITUTE(Base_Bruta!I1452,"R$","")),",","."),0)))</f>
        <v>475</v>
      </c>
      <c r="J1452" s="6" t="n">
        <f aca="false">IF($A1452="","",H1452*I1452)</f>
        <v>950</v>
      </c>
      <c r="K1452" s="4" t="str">
        <f aca="false">IF($A1452="","",TRIM(Base_Bruta!J1452))</f>
        <v>Site</v>
      </c>
      <c r="L1452" s="4" t="str">
        <f aca="false">IF($A1452="","",TRIM(Base_Bruta!K1452))</f>
        <v>C01056</v>
      </c>
      <c r="M1452" s="4" t="str">
        <f aca="false">IF($A1452="","",_xlfn.XLOOKUP(LOWER(TRIM(Base_Bruta!L1452)),DePara_Cidade!$A$2:$A$29,DePara_Cidade!$B$2:$B$29,"REVISAR"))</f>
        <v>Rio de Janeiro</v>
      </c>
      <c r="N1452" s="4" t="str">
        <f aca="false">IF($A1452="","",UPPER(TRIM(Base_Bruta!M1452)))</f>
        <v>RJ</v>
      </c>
      <c r="O1452" s="4" t="str">
        <f aca="false">IF($A1452="","",_xlfn.XLOOKUP(LOWER(TRIM(Base_Bruta!N1452)),DePara_Pais!$A$2:$A$9,DePara_Pais!$B$2:$B$9,"REVISAR"))</f>
        <v>Brasil</v>
      </c>
      <c r="P1452" s="4" t="str">
        <f aca="false">IF($A1452="","",IF(O1452&lt;&gt;"Brasil","Turista Internacional",IF(M1452=F1452,"Local","Turista Nacional")))</f>
        <v>Local</v>
      </c>
      <c r="Q1452" s="7" t="n">
        <f aca="false">IF($A1452="","",DATE(YEAR(B1452),MONTH(B1452),1))</f>
        <v>46113</v>
      </c>
      <c r="R1452" s="4" t="str">
        <f aca="false">IF($A1452="","",IF(COUNTIF($A$2:$A1452,$A1452)&gt;1,"Sim","Não"))</f>
        <v>Não</v>
      </c>
      <c r="S1452" s="4" t="str">
        <f aca="false">IF(A1452="","Descartar - Linha vazia",IF(R1452="Sim","Descartar - Duplicado",IF(OR(H1452&lt;=0,I1452&lt;=0),"Descartar - Qtd/Valor inválido","OK")))</f>
        <v>OK</v>
      </c>
      <c r="T1452" s="4" t="str">
        <f aca="false">Base_Bruta!P1452</f>
        <v>vendas_RJ.xlsx</v>
      </c>
    </row>
    <row r="1453" customFormat="false" ht="15" hidden="false" customHeight="false" outlineLevel="0" collapsed="false">
      <c r="A1453" s="4" t="str">
        <f aca="false">IF(Base_Bruta!A1453="","",Base_Bruta!A1453)</f>
        <v>RJ-000516</v>
      </c>
      <c r="B1453" s="5" t="n">
        <f aca="false">IF($A1453="","",IF(ISNUMBER(Base_Bruta!B1453),Base_Bruta!B1453,IF(MID(Base_Bruta!B1453,5,1)="-",DATE(VALUE(LEFT(Base_Bruta!B1453,4)),VALUE(MID(Base_Bruta!B1453,6,2)),VALUE(RIGHT(Base_Bruta!B1453,2))),DATE(VALUE(RIGHT(Base_Bruta!B1453,4)),VALUE(MID(Base_Bruta!B1453,4,2)),VALUE(LEFT(Base_Bruta!B1453,2))))))</f>
        <v>46138</v>
      </c>
      <c r="C1453" s="5" t="n">
        <f aca="false">IF($A1453="","",IF(ISNUMBER(Base_Bruta!C1453),Base_Bruta!C1453,IF(MID(Base_Bruta!C1453,5,1)="-",DATE(VALUE(LEFT(Base_Bruta!C1453,4)),VALUE(MID(Base_Bruta!C1453,6,2)),VALUE(RIGHT(Base_Bruta!C1453,2))),DATE(VALUE(RIGHT(Base_Bruta!C1453,4)),VALUE(MID(Base_Bruta!C1453,4,2)),VALUE(LEFT(Base_Bruta!C1453,2))))))</f>
        <v>46151</v>
      </c>
      <c r="D1453" s="4" t="str">
        <f aca="false">IF($A1453="","",TRIM(Base_Bruta!D1453))</f>
        <v>Turnê Internacional Rock - Rio</v>
      </c>
      <c r="E1453" s="4" t="str">
        <f aca="false">IF($A1453="","",_xlfn.XLOOKUP(LOWER(TRIM(Base_Bruta!E1453)),DePara_Categoria!$A$2:$A$9,DePara_Categoria!$B$2:$B$9,"REVISAR"))</f>
        <v>Show</v>
      </c>
      <c r="F1453" s="4" t="str">
        <f aca="false">IF($A1453="","",_xlfn.XLOOKUP(LOWER(TRIM(Base_Bruta!F1453)),DePara_Cidade!$A$2:$A$29,DePara_Cidade!$B$2:$B$29,"REVISAR"))</f>
        <v>Rio de Janeiro</v>
      </c>
      <c r="G1453" s="4" t="str">
        <f aca="false">IF($A1453="","",TRIM(Base_Bruta!G1453))</f>
        <v>Meia</v>
      </c>
      <c r="H1453" s="4" t="n">
        <f aca="false">IF($A1453="","",IF(ISNUMBER(Base_Bruta!H1453),Base_Bruta!H1453,IFERROR(_xlfn.NUMBERVALUE(TRIM(SUBSTITUTE(Base_Bruta!H1453,"R$","")),",","."),0)))</f>
        <v>3</v>
      </c>
      <c r="I1453" s="6" t="n">
        <f aca="false">IF($A1453="","",IF(ISNUMBER(Base_Bruta!I1453),Base_Bruta!I1453,IFERROR(_xlfn.NUMBERVALUE(TRIM(SUBSTITUTE(Base_Bruta!I1453,"R$","")),",","."),0)))</f>
        <v>147.5</v>
      </c>
      <c r="J1453" s="6" t="n">
        <f aca="false">IF($A1453="","",H1453*I1453)</f>
        <v>442.5</v>
      </c>
      <c r="K1453" s="4" t="str">
        <f aca="false">IF($A1453="","",TRIM(Base_Bruta!J1453))</f>
        <v>Site</v>
      </c>
      <c r="L1453" s="4" t="str">
        <f aca="false">IF($A1453="","",TRIM(Base_Bruta!K1453))</f>
        <v>C00412</v>
      </c>
      <c r="M1453" s="4" t="str">
        <f aca="false">IF($A1453="","",_xlfn.XLOOKUP(LOWER(TRIM(Base_Bruta!L1453)),DePara_Cidade!$A$2:$A$29,DePara_Cidade!$B$2:$B$29,"REVISAR"))</f>
        <v>Rio de Janeiro</v>
      </c>
      <c r="N1453" s="4" t="str">
        <f aca="false">IF($A1453="","",UPPER(TRIM(Base_Bruta!M1453)))</f>
        <v>RJ</v>
      </c>
      <c r="O1453" s="4" t="str">
        <f aca="false">IF($A1453="","",_xlfn.XLOOKUP(LOWER(TRIM(Base_Bruta!N1453)),DePara_Pais!$A$2:$A$9,DePara_Pais!$B$2:$B$9,"REVISAR"))</f>
        <v>Brasil</v>
      </c>
      <c r="P1453" s="4" t="str">
        <f aca="false">IF($A1453="","",IF(O1453&lt;&gt;"Brasil","Turista Internacional",IF(M1453=F1453,"Local","Turista Nacional")))</f>
        <v>Local</v>
      </c>
      <c r="Q1453" s="7" t="n">
        <f aca="false">IF($A1453="","",DATE(YEAR(B1453),MONTH(B1453),1))</f>
        <v>46113</v>
      </c>
      <c r="R1453" s="4" t="str">
        <f aca="false">IF($A1453="","",IF(COUNTIF($A$2:$A1453,$A1453)&gt;1,"Sim","Não"))</f>
        <v>Não</v>
      </c>
      <c r="S1453" s="4" t="str">
        <f aca="false">IF(A1453="","Descartar - Linha vazia",IF(R1453="Sim","Descartar - Duplicado",IF(OR(H1453&lt;=0,I1453&lt;=0),"Descartar - Qtd/Valor inválido","OK")))</f>
        <v>OK</v>
      </c>
      <c r="T1453" s="4" t="str">
        <f aca="false">Base_Bruta!P1453</f>
        <v>vendas_RJ.xlsx</v>
      </c>
    </row>
    <row r="1454" customFormat="false" ht="15" hidden="false" customHeight="false" outlineLevel="0" collapsed="false">
      <c r="A1454" s="4" t="str">
        <f aca="false">IF(Base_Bruta!A1454="","",Base_Bruta!A1454)</f>
        <v>RJ-000520</v>
      </c>
      <c r="B1454" s="5" t="n">
        <f aca="false">IF($A1454="","",IF(ISNUMBER(Base_Bruta!B1454),Base_Bruta!B1454,IF(MID(Base_Bruta!B1454,5,1)="-",DATE(VALUE(LEFT(Base_Bruta!B1454,4)),VALUE(MID(Base_Bruta!B1454,6,2)),VALUE(RIGHT(Base_Bruta!B1454,2))),DATE(VALUE(RIGHT(Base_Bruta!B1454,4)),VALUE(MID(Base_Bruta!B1454,4,2)),VALUE(LEFT(Base_Bruta!B1454,2))))))</f>
        <v>46138</v>
      </c>
      <c r="C1454" s="5" t="n">
        <f aca="false">IF($A1454="","",IF(ISNUMBER(Base_Bruta!C1454),Base_Bruta!C1454,IF(MID(Base_Bruta!C1454,5,1)="-",DATE(VALUE(LEFT(Base_Bruta!C1454,4)),VALUE(MID(Base_Bruta!C1454,6,2)),VALUE(RIGHT(Base_Bruta!C1454,2))),DATE(VALUE(RIGHT(Base_Bruta!C1454,4)),VALUE(MID(Base_Bruta!C1454,4,2)),VALUE(LEFT(Base_Bruta!C1454,2))))))</f>
        <v>46151</v>
      </c>
      <c r="D1454" s="4" t="str">
        <f aca="false">IF($A1454="","",TRIM(Base_Bruta!D1454))</f>
        <v>Turnê Internacional Rock - Rio</v>
      </c>
      <c r="E1454" s="4" t="str">
        <f aca="false">IF($A1454="","",_xlfn.XLOOKUP(LOWER(TRIM(Base_Bruta!E1454)),DePara_Categoria!$A$2:$A$9,DePara_Categoria!$B$2:$B$9,"REVISAR"))</f>
        <v>Show</v>
      </c>
      <c r="F1454" s="4" t="str">
        <f aca="false">IF($A1454="","",_xlfn.XLOOKUP(LOWER(TRIM(Base_Bruta!F1454)),DePara_Cidade!$A$2:$A$29,DePara_Cidade!$B$2:$B$29,"REVISAR"))</f>
        <v>Rio de Janeiro</v>
      </c>
      <c r="G1454" s="4" t="str">
        <f aca="false">IF($A1454="","",TRIM(Base_Bruta!G1454))</f>
        <v>Inteira</v>
      </c>
      <c r="H1454" s="4" t="n">
        <f aca="false">IF($A1454="","",IF(ISNUMBER(Base_Bruta!H1454),Base_Bruta!H1454,IFERROR(_xlfn.NUMBERVALUE(TRIM(SUBSTITUTE(Base_Bruta!H1454,"R$","")),",","."),0)))</f>
        <v>1</v>
      </c>
      <c r="I1454" s="6" t="n">
        <f aca="false">IF($A1454="","",IF(ISNUMBER(Base_Bruta!I1454),Base_Bruta!I1454,IFERROR(_xlfn.NUMBERVALUE(TRIM(SUBSTITUTE(Base_Bruta!I1454,"R$","")),",","."),0)))</f>
        <v>565</v>
      </c>
      <c r="J1454" s="6" t="n">
        <f aca="false">IF($A1454="","",H1454*I1454)</f>
        <v>565</v>
      </c>
      <c r="K1454" s="4" t="str">
        <f aca="false">IF($A1454="","",TRIM(Base_Bruta!J1454))</f>
        <v>Site</v>
      </c>
      <c r="L1454" s="4" t="str">
        <f aca="false">IF($A1454="","",TRIM(Base_Bruta!K1454))</f>
        <v>C00920</v>
      </c>
      <c r="M1454" s="4" t="str">
        <f aca="false">IF($A1454="","",_xlfn.XLOOKUP(LOWER(TRIM(Base_Bruta!L1454)),DePara_Cidade!$A$2:$A$29,DePara_Cidade!$B$2:$B$29,"REVISAR"))</f>
        <v>Curitiba</v>
      </c>
      <c r="N1454" s="4" t="str">
        <f aca="false">IF($A1454="","",UPPER(TRIM(Base_Bruta!M1454)))</f>
        <v>PR</v>
      </c>
      <c r="O1454" s="4" t="str">
        <f aca="false">IF($A1454="","",_xlfn.XLOOKUP(LOWER(TRIM(Base_Bruta!N1454)),DePara_Pais!$A$2:$A$9,DePara_Pais!$B$2:$B$9,"REVISAR"))</f>
        <v>Brasil</v>
      </c>
      <c r="P1454" s="4" t="str">
        <f aca="false">IF($A1454="","",IF(O1454&lt;&gt;"Brasil","Turista Internacional",IF(M1454=F1454,"Local","Turista Nacional")))</f>
        <v>Turista Nacional</v>
      </c>
      <c r="Q1454" s="7" t="n">
        <f aca="false">IF($A1454="","",DATE(YEAR(B1454),MONTH(B1454),1))</f>
        <v>46113</v>
      </c>
      <c r="R1454" s="4" t="str">
        <f aca="false">IF($A1454="","",IF(COUNTIF($A$2:$A1454,$A1454)&gt;1,"Sim","Não"))</f>
        <v>Não</v>
      </c>
      <c r="S1454" s="4" t="str">
        <f aca="false">IF(A1454="","Descartar - Linha vazia",IF(R1454="Sim","Descartar - Duplicado",IF(OR(H1454&lt;=0,I1454&lt;=0),"Descartar - Qtd/Valor inválido","OK")))</f>
        <v>OK</v>
      </c>
      <c r="T1454" s="4" t="str">
        <f aca="false">Base_Bruta!P1454</f>
        <v>vendas_RJ.xlsx</v>
      </c>
    </row>
    <row r="1455" customFormat="false" ht="15" hidden="false" customHeight="false" outlineLevel="0" collapsed="false">
      <c r="A1455" s="4" t="str">
        <f aca="false">IF(Base_Bruta!A1455="","",Base_Bruta!A1455)</f>
        <v>RJ-000428</v>
      </c>
      <c r="B1455" s="5" t="n">
        <f aca="false">IF($A1455="","",IF(ISNUMBER(Base_Bruta!B1455),Base_Bruta!B1455,IF(MID(Base_Bruta!B1455,5,1)="-",DATE(VALUE(LEFT(Base_Bruta!B1455,4)),VALUE(MID(Base_Bruta!B1455,6,2)),VALUE(RIGHT(Base_Bruta!B1455,2))),DATE(VALUE(RIGHT(Base_Bruta!B1455,4)),VALUE(MID(Base_Bruta!B1455,4,2)),VALUE(LEFT(Base_Bruta!B1455,2))))))</f>
        <v>46139</v>
      </c>
      <c r="C1455" s="5" t="n">
        <f aca="false">IF($A1455="","",IF(ISNUMBER(Base_Bruta!C1455),Base_Bruta!C1455,IF(MID(Base_Bruta!C1455,5,1)="-",DATE(VALUE(LEFT(Base_Bruta!C1455,4)),VALUE(MID(Base_Bruta!C1455,6,2)),VALUE(RIGHT(Base_Bruta!C1455,2))),DATE(VALUE(RIGHT(Base_Bruta!C1455,4)),VALUE(MID(Base_Bruta!C1455,4,2)),VALUE(LEFT(Base_Bruta!C1455,2))))))</f>
        <v>46151</v>
      </c>
      <c r="D1455" s="4" t="str">
        <f aca="false">IF($A1455="","",TRIM(Base_Bruta!D1455))</f>
        <v>Turnê Internacional Rock - Rio</v>
      </c>
      <c r="E1455" s="4" t="str">
        <f aca="false">IF($A1455="","",_xlfn.XLOOKUP(LOWER(TRIM(Base_Bruta!E1455)),DePara_Categoria!$A$2:$A$9,DePara_Categoria!$B$2:$B$9,"REVISAR"))</f>
        <v>Show</v>
      </c>
      <c r="F1455" s="4" t="str">
        <f aca="false">IF($A1455="","",_xlfn.XLOOKUP(LOWER(TRIM(Base_Bruta!F1455)),DePara_Cidade!$A$2:$A$29,DePara_Cidade!$B$2:$B$29,"REVISAR"))</f>
        <v>Rio de Janeiro</v>
      </c>
      <c r="G1455" s="4" t="str">
        <f aca="false">IF($A1455="","",TRIM(Base_Bruta!G1455))</f>
        <v>Meia</v>
      </c>
      <c r="H1455" s="4" t="n">
        <f aca="false">IF($A1455="","",IF(ISNUMBER(Base_Bruta!H1455),Base_Bruta!H1455,IFERROR(_xlfn.NUMBERVALUE(TRIM(SUBSTITUTE(Base_Bruta!H1455,"R$","")),",","."),0)))</f>
        <v>2</v>
      </c>
      <c r="I1455" s="6" t="n">
        <f aca="false">IF($A1455="","",IF(ISNUMBER(Base_Bruta!I1455),Base_Bruta!I1455,IFERROR(_xlfn.NUMBERVALUE(TRIM(SUBSTITUTE(Base_Bruta!I1455,"R$","")),",","."),0)))</f>
        <v>117.5</v>
      </c>
      <c r="J1455" s="6" t="n">
        <f aca="false">IF($A1455="","",H1455*I1455)</f>
        <v>235</v>
      </c>
      <c r="K1455" s="4" t="str">
        <f aca="false">IF($A1455="","",TRIM(Base_Bruta!J1455))</f>
        <v>Parceiro</v>
      </c>
      <c r="L1455" s="4" t="str">
        <f aca="false">IF($A1455="","",TRIM(Base_Bruta!K1455))</f>
        <v>C01689</v>
      </c>
      <c r="M1455" s="4" t="str">
        <f aca="false">IF($A1455="","",_xlfn.XLOOKUP(LOWER(TRIM(Base_Bruta!L1455)),DePara_Cidade!$A$2:$A$29,DePara_Cidade!$B$2:$B$29,"REVISAR"))</f>
        <v>Rio de Janeiro</v>
      </c>
      <c r="N1455" s="4" t="str">
        <f aca="false">IF($A1455="","",UPPER(TRIM(Base_Bruta!M1455)))</f>
        <v>RJ</v>
      </c>
      <c r="O1455" s="4" t="str">
        <f aca="false">IF($A1455="","",_xlfn.XLOOKUP(LOWER(TRIM(Base_Bruta!N1455)),DePara_Pais!$A$2:$A$9,DePara_Pais!$B$2:$B$9,"REVISAR"))</f>
        <v>Brasil</v>
      </c>
      <c r="P1455" s="4" t="str">
        <f aca="false">IF($A1455="","",IF(O1455&lt;&gt;"Brasil","Turista Internacional",IF(M1455=F1455,"Local","Turista Nacional")))</f>
        <v>Local</v>
      </c>
      <c r="Q1455" s="7" t="n">
        <f aca="false">IF($A1455="","",DATE(YEAR(B1455),MONTH(B1455),1))</f>
        <v>46113</v>
      </c>
      <c r="R1455" s="4" t="str">
        <f aca="false">IF($A1455="","",IF(COUNTIF($A$2:$A1455,$A1455)&gt;1,"Sim","Não"))</f>
        <v>Não</v>
      </c>
      <c r="S1455" s="4" t="str">
        <f aca="false">IF(A1455="","Descartar - Linha vazia",IF(R1455="Sim","Descartar - Duplicado",IF(OR(H1455&lt;=0,I1455&lt;=0),"Descartar - Qtd/Valor inválido","OK")))</f>
        <v>OK</v>
      </c>
      <c r="T1455" s="4" t="str">
        <f aca="false">Base_Bruta!P1455</f>
        <v>vendas_RJ.xlsx</v>
      </c>
    </row>
    <row r="1456" customFormat="false" ht="15" hidden="false" customHeight="false" outlineLevel="0" collapsed="false">
      <c r="A1456" s="4" t="str">
        <f aca="false">IF(Base_Bruta!A1456="","",Base_Bruta!A1456)</f>
        <v>RJ-000509</v>
      </c>
      <c r="B1456" s="5" t="n">
        <f aca="false">IF($A1456="","",IF(ISNUMBER(Base_Bruta!B1456),Base_Bruta!B1456,IF(MID(Base_Bruta!B1456,5,1)="-",DATE(VALUE(LEFT(Base_Bruta!B1456,4)),VALUE(MID(Base_Bruta!B1456,6,2)),VALUE(RIGHT(Base_Bruta!B1456,2))),DATE(VALUE(RIGHT(Base_Bruta!B1456,4)),VALUE(MID(Base_Bruta!B1456,4,2)),VALUE(LEFT(Base_Bruta!B1456,2))))))</f>
        <v>46139</v>
      </c>
      <c r="C1456" s="5" t="n">
        <f aca="false">IF($A1456="","",IF(ISNUMBER(Base_Bruta!C1456),Base_Bruta!C1456,IF(MID(Base_Bruta!C1456,5,1)="-",DATE(VALUE(LEFT(Base_Bruta!C1456,4)),VALUE(MID(Base_Bruta!C1456,6,2)),VALUE(RIGHT(Base_Bruta!C1456,2))),DATE(VALUE(RIGHT(Base_Bruta!C1456,4)),VALUE(MID(Base_Bruta!C1456,4,2)),VALUE(LEFT(Base_Bruta!C1456,2))))))</f>
        <v>46151</v>
      </c>
      <c r="D1456" s="4" t="str">
        <f aca="false">IF($A1456="","",TRIM(Base_Bruta!D1456))</f>
        <v>Turnê Internacional Rock - Rio</v>
      </c>
      <c r="E1456" s="4" t="str">
        <f aca="false">IF($A1456="","",_xlfn.XLOOKUP(LOWER(TRIM(Base_Bruta!E1456)),DePara_Categoria!$A$2:$A$9,DePara_Categoria!$B$2:$B$9,"REVISAR"))</f>
        <v>Show</v>
      </c>
      <c r="F1456" s="4" t="str">
        <f aca="false">IF($A1456="","",_xlfn.XLOOKUP(LOWER(TRIM(Base_Bruta!F1456)),DePara_Cidade!$A$2:$A$29,DePara_Cidade!$B$2:$B$29,"REVISAR"))</f>
        <v>Rio de Janeiro</v>
      </c>
      <c r="G1456" s="4" t="str">
        <f aca="false">IF($A1456="","",TRIM(Base_Bruta!G1456))</f>
        <v>Inteira</v>
      </c>
      <c r="H1456" s="4" t="n">
        <f aca="false">IF($A1456="","",IF(ISNUMBER(Base_Bruta!H1456),Base_Bruta!H1456,IFERROR(_xlfn.NUMBERVALUE(TRIM(SUBSTITUTE(Base_Bruta!H1456,"R$","")),",","."),0)))</f>
        <v>1</v>
      </c>
      <c r="I1456" s="6" t="n">
        <f aca="false">IF($A1456="","",IF(ISNUMBER(Base_Bruta!I1456),Base_Bruta!I1456,IFERROR(_xlfn.NUMBERVALUE(TRIM(SUBSTITUTE(Base_Bruta!I1456,"R$","")),",","."),0)))</f>
        <v>500</v>
      </c>
      <c r="J1456" s="6" t="n">
        <f aca="false">IF($A1456="","",H1456*I1456)</f>
        <v>500</v>
      </c>
      <c r="K1456" s="4" t="str">
        <f aca="false">IF($A1456="","",TRIM(Base_Bruta!J1456))</f>
        <v>Site</v>
      </c>
      <c r="L1456" s="4" t="str">
        <f aca="false">IF($A1456="","",TRIM(Base_Bruta!K1456))</f>
        <v>C01638</v>
      </c>
      <c r="M1456" s="4" t="str">
        <f aca="false">IF($A1456="","",_xlfn.XLOOKUP(LOWER(TRIM(Base_Bruta!L1456)),DePara_Cidade!$A$2:$A$29,DePara_Cidade!$B$2:$B$29,"REVISAR"))</f>
        <v>Rio de Janeiro</v>
      </c>
      <c r="N1456" s="4" t="str">
        <f aca="false">IF($A1456="","",UPPER(TRIM(Base_Bruta!M1456)))</f>
        <v>RJ</v>
      </c>
      <c r="O1456" s="4" t="str">
        <f aca="false">IF($A1456="","",_xlfn.XLOOKUP(LOWER(TRIM(Base_Bruta!N1456)),DePara_Pais!$A$2:$A$9,DePara_Pais!$B$2:$B$9,"REVISAR"))</f>
        <v>Brasil</v>
      </c>
      <c r="P1456" s="4" t="str">
        <f aca="false">IF($A1456="","",IF(O1456&lt;&gt;"Brasil","Turista Internacional",IF(M1456=F1456,"Local","Turista Nacional")))</f>
        <v>Local</v>
      </c>
      <c r="Q1456" s="7" t="n">
        <f aca="false">IF($A1456="","",DATE(YEAR(B1456),MONTH(B1456),1))</f>
        <v>46113</v>
      </c>
      <c r="R1456" s="4" t="str">
        <f aca="false">IF($A1456="","",IF(COUNTIF($A$2:$A1456,$A1456)&gt;1,"Sim","Não"))</f>
        <v>Não</v>
      </c>
      <c r="S1456" s="4" t="str">
        <f aca="false">IF(A1456="","Descartar - Linha vazia",IF(R1456="Sim","Descartar - Duplicado",IF(OR(H1456&lt;=0,I1456&lt;=0),"Descartar - Qtd/Valor inválido","OK")))</f>
        <v>OK</v>
      </c>
      <c r="T1456" s="4" t="str">
        <f aca="false">Base_Bruta!P1456</f>
        <v>vendas_RJ.xlsx</v>
      </c>
    </row>
    <row r="1457" customFormat="false" ht="15" hidden="false" customHeight="false" outlineLevel="0" collapsed="false">
      <c r="A1457" s="4" t="str">
        <f aca="false">IF(Base_Bruta!A1457="","",Base_Bruta!A1457)</f>
        <v>RJ-000562</v>
      </c>
      <c r="B1457" s="5" t="n">
        <f aca="false">IF($A1457="","",IF(ISNUMBER(Base_Bruta!B1457),Base_Bruta!B1457,IF(MID(Base_Bruta!B1457,5,1)="-",DATE(VALUE(LEFT(Base_Bruta!B1457,4)),VALUE(MID(Base_Bruta!B1457,6,2)),VALUE(RIGHT(Base_Bruta!B1457,2))),DATE(VALUE(RIGHT(Base_Bruta!B1457,4)),VALUE(MID(Base_Bruta!B1457,4,2)),VALUE(LEFT(Base_Bruta!B1457,2))))))</f>
        <v>46140</v>
      </c>
      <c r="C1457" s="5" t="n">
        <f aca="false">IF($A1457="","",IF(ISNUMBER(Base_Bruta!C1457),Base_Bruta!C1457,IF(MID(Base_Bruta!C1457,5,1)="-",DATE(VALUE(LEFT(Base_Bruta!C1457,4)),VALUE(MID(Base_Bruta!C1457,6,2)),VALUE(RIGHT(Base_Bruta!C1457,2))),DATE(VALUE(RIGHT(Base_Bruta!C1457,4)),VALUE(MID(Base_Bruta!C1457,4,2)),VALUE(LEFT(Base_Bruta!C1457,2))))))</f>
        <v>46142</v>
      </c>
      <c r="D1457" s="4" t="str">
        <f aca="false">IF($A1457="","",TRIM(Base_Bruta!D1457))</f>
        <v>Cinema Barra - Sessões</v>
      </c>
      <c r="E1457" s="4" t="str">
        <f aca="false">IF($A1457="","",_xlfn.XLOOKUP(LOWER(TRIM(Base_Bruta!E1457)),DePara_Categoria!$A$2:$A$9,DePara_Categoria!$B$2:$B$9,"REVISAR"))</f>
        <v>Cinema</v>
      </c>
      <c r="F1457" s="4" t="str">
        <f aca="false">IF($A1457="","",_xlfn.XLOOKUP(LOWER(TRIM(Base_Bruta!F1457)),DePara_Cidade!$A$2:$A$29,DePara_Cidade!$B$2:$B$29,"REVISAR"))</f>
        <v>Rio de Janeiro</v>
      </c>
      <c r="G1457" s="4" t="str">
        <f aca="false">IF($A1457="","",TRIM(Base_Bruta!G1457))</f>
        <v>Inteira</v>
      </c>
      <c r="H1457" s="4" t="n">
        <f aca="false">IF($A1457="","",IF(ISNUMBER(Base_Bruta!H1457),Base_Bruta!H1457,IFERROR(_xlfn.NUMBERVALUE(TRIM(SUBSTITUTE(Base_Bruta!H1457,"R$","")),",","."),0)))</f>
        <v>2</v>
      </c>
      <c r="I1457" s="6" t="n">
        <f aca="false">IF($A1457="","",IF(ISNUMBER(Base_Bruta!I1457),Base_Bruta!I1457,IFERROR(_xlfn.NUMBERVALUE(TRIM(SUBSTITUTE(Base_Bruta!I1457,"R$","")),",","."),0)))</f>
        <v>35</v>
      </c>
      <c r="J1457" s="6" t="n">
        <f aca="false">IF($A1457="","",H1457*I1457)</f>
        <v>70</v>
      </c>
      <c r="K1457" s="4" t="str">
        <f aca="false">IF($A1457="","",TRIM(Base_Bruta!J1457))</f>
        <v>App</v>
      </c>
      <c r="L1457" s="4" t="str">
        <f aca="false">IF($A1457="","",TRIM(Base_Bruta!K1457))</f>
        <v>C01477</v>
      </c>
      <c r="M1457" s="4" t="str">
        <f aca="false">IF($A1457="","",_xlfn.XLOOKUP(LOWER(TRIM(Base_Bruta!L1457)),DePara_Cidade!$A$2:$A$29,DePara_Cidade!$B$2:$B$29,"REVISAR"))</f>
        <v>Rio de Janeiro</v>
      </c>
      <c r="N1457" s="4" t="str">
        <f aca="false">IF($A1457="","",UPPER(TRIM(Base_Bruta!M1457)))</f>
        <v>RJ</v>
      </c>
      <c r="O1457" s="4" t="str">
        <f aca="false">IF($A1457="","",_xlfn.XLOOKUP(LOWER(TRIM(Base_Bruta!N1457)),DePara_Pais!$A$2:$A$9,DePara_Pais!$B$2:$B$9,"REVISAR"))</f>
        <v>Brasil</v>
      </c>
      <c r="P1457" s="4" t="str">
        <f aca="false">IF($A1457="","",IF(O1457&lt;&gt;"Brasil","Turista Internacional",IF(M1457=F1457,"Local","Turista Nacional")))</f>
        <v>Local</v>
      </c>
      <c r="Q1457" s="7" t="n">
        <f aca="false">IF($A1457="","",DATE(YEAR(B1457),MONTH(B1457),1))</f>
        <v>46113</v>
      </c>
      <c r="R1457" s="4" t="str">
        <f aca="false">IF($A1457="","",IF(COUNTIF($A$2:$A1457,$A1457)&gt;1,"Sim","Não"))</f>
        <v>Não</v>
      </c>
      <c r="S1457" s="4" t="str">
        <f aca="false">IF(A1457="","Descartar - Linha vazia",IF(R1457="Sim","Descartar - Duplicado",IF(OR(H1457&lt;=0,I1457&lt;=0),"Descartar - Qtd/Valor inválido","OK")))</f>
        <v>OK</v>
      </c>
      <c r="T1457" s="4" t="str">
        <f aca="false">Base_Bruta!P1457</f>
        <v>vendas_RJ.xlsx</v>
      </c>
    </row>
    <row r="1458" customFormat="false" ht="15" hidden="false" customHeight="false" outlineLevel="0" collapsed="false">
      <c r="A1458" s="4" t="str">
        <f aca="false">IF(Base_Bruta!A1458="","",Base_Bruta!A1458)</f>
        <v>RJ-000611</v>
      </c>
      <c r="B1458" s="5" t="n">
        <f aca="false">IF($A1458="","",IF(ISNUMBER(Base_Bruta!B1458),Base_Bruta!B1458,IF(MID(Base_Bruta!B1458,5,1)="-",DATE(VALUE(LEFT(Base_Bruta!B1458,4)),VALUE(MID(Base_Bruta!B1458,6,2)),VALUE(RIGHT(Base_Bruta!B1458,2))),DATE(VALUE(RIGHT(Base_Bruta!B1458,4)),VALUE(MID(Base_Bruta!B1458,4,2)),VALUE(LEFT(Base_Bruta!B1458,2))))))</f>
        <v>46140</v>
      </c>
      <c r="C1458" s="5" t="n">
        <f aca="false">IF($A1458="","",IF(ISNUMBER(Base_Bruta!C1458),Base_Bruta!C1458,IF(MID(Base_Bruta!C1458,5,1)="-",DATE(VALUE(LEFT(Base_Bruta!C1458,4)),VALUE(MID(Base_Bruta!C1458,6,2)),VALUE(RIGHT(Base_Bruta!C1458,2))),DATE(VALUE(RIGHT(Base_Bruta!C1458,4)),VALUE(MID(Base_Bruta!C1458,4,2)),VALUE(LEFT(Base_Bruta!C1458,2))))))</f>
        <v>46140</v>
      </c>
      <c r="D1458" s="4" t="str">
        <f aca="false">IF($A1458="","",TRIM(Base_Bruta!D1458))</f>
        <v>Cinema Barra - Sessões</v>
      </c>
      <c r="E1458" s="4" t="str">
        <f aca="false">IF($A1458="","",_xlfn.XLOOKUP(LOWER(TRIM(Base_Bruta!E1458)),DePara_Categoria!$A$2:$A$9,DePara_Categoria!$B$2:$B$9,"REVISAR"))</f>
        <v>Cinema</v>
      </c>
      <c r="F1458" s="4" t="str">
        <f aca="false">IF($A1458="","",_xlfn.XLOOKUP(LOWER(TRIM(Base_Bruta!F1458)),DePara_Cidade!$A$2:$A$29,DePara_Cidade!$B$2:$B$29,"REVISAR"))</f>
        <v>Rio de Janeiro</v>
      </c>
      <c r="G1458" s="4" t="str">
        <f aca="false">IF($A1458="","",TRIM(Base_Bruta!G1458))</f>
        <v>Inteira</v>
      </c>
      <c r="H1458" s="4" t="n">
        <f aca="false">IF($A1458="","",IF(ISNUMBER(Base_Bruta!H1458),Base_Bruta!H1458,IFERROR(_xlfn.NUMBERVALUE(TRIM(SUBSTITUTE(Base_Bruta!H1458,"R$","")),",","."),0)))</f>
        <v>4</v>
      </c>
      <c r="I1458" s="6" t="n">
        <f aca="false">IF($A1458="","",IF(ISNUMBER(Base_Bruta!I1458),Base_Bruta!I1458,IFERROR(_xlfn.NUMBERVALUE(TRIM(SUBSTITUTE(Base_Bruta!I1458,"R$","")),",","."),0)))</f>
        <v>40</v>
      </c>
      <c r="J1458" s="6" t="n">
        <f aca="false">IF($A1458="","",H1458*I1458)</f>
        <v>160</v>
      </c>
      <c r="K1458" s="4" t="str">
        <f aca="false">IF($A1458="","",TRIM(Base_Bruta!J1458))</f>
        <v>Site</v>
      </c>
      <c r="L1458" s="4" t="str">
        <f aca="false">IF($A1458="","",TRIM(Base_Bruta!K1458))</f>
        <v>C01038</v>
      </c>
      <c r="M1458" s="4" t="str">
        <f aca="false">IF($A1458="","",_xlfn.XLOOKUP(LOWER(TRIM(Base_Bruta!L1458)),DePara_Cidade!$A$2:$A$29,DePara_Cidade!$B$2:$B$29,"REVISAR"))</f>
        <v>Rio de Janeiro</v>
      </c>
      <c r="N1458" s="4" t="str">
        <f aca="false">IF($A1458="","",UPPER(TRIM(Base_Bruta!M1458)))</f>
        <v>RJ</v>
      </c>
      <c r="O1458" s="4" t="str">
        <f aca="false">IF($A1458="","",_xlfn.XLOOKUP(LOWER(TRIM(Base_Bruta!N1458)),DePara_Pais!$A$2:$A$9,DePara_Pais!$B$2:$B$9,"REVISAR"))</f>
        <v>Brasil</v>
      </c>
      <c r="P1458" s="4" t="str">
        <f aca="false">IF($A1458="","",IF(O1458&lt;&gt;"Brasil","Turista Internacional",IF(M1458=F1458,"Local","Turista Nacional")))</f>
        <v>Local</v>
      </c>
      <c r="Q1458" s="7" t="n">
        <f aca="false">IF($A1458="","",DATE(YEAR(B1458),MONTH(B1458),1))</f>
        <v>46113</v>
      </c>
      <c r="R1458" s="4" t="str">
        <f aca="false">IF($A1458="","",IF(COUNTIF($A$2:$A1458,$A1458)&gt;1,"Sim","Não"))</f>
        <v>Não</v>
      </c>
      <c r="S1458" s="4" t="str">
        <f aca="false">IF(A1458="","Descartar - Linha vazia",IF(R1458="Sim","Descartar - Duplicado",IF(OR(H1458&lt;=0,I1458&lt;=0),"Descartar - Qtd/Valor inválido","OK")))</f>
        <v>OK</v>
      </c>
      <c r="T1458" s="4" t="str">
        <f aca="false">Base_Bruta!P1458</f>
        <v>vendas_RJ.xlsx</v>
      </c>
    </row>
    <row r="1459" customFormat="false" ht="15" hidden="false" customHeight="false" outlineLevel="0" collapsed="false">
      <c r="A1459" s="4" t="str">
        <f aca="false">IF(Base_Bruta!A1459="","",Base_Bruta!A1459)</f>
        <v>RJ-000515</v>
      </c>
      <c r="B1459" s="5" t="n">
        <f aca="false">IF($A1459="","",IF(ISNUMBER(Base_Bruta!B1459),Base_Bruta!B1459,IF(MID(Base_Bruta!B1459,5,1)="-",DATE(VALUE(LEFT(Base_Bruta!B1459,4)),VALUE(MID(Base_Bruta!B1459,6,2)),VALUE(RIGHT(Base_Bruta!B1459,2))),DATE(VALUE(RIGHT(Base_Bruta!B1459,4)),VALUE(MID(Base_Bruta!B1459,4,2)),VALUE(LEFT(Base_Bruta!B1459,2))))))</f>
        <v>46141</v>
      </c>
      <c r="C1459" s="5" t="n">
        <f aca="false">IF($A1459="","",IF(ISNUMBER(Base_Bruta!C1459),Base_Bruta!C1459,IF(MID(Base_Bruta!C1459,5,1)="-",DATE(VALUE(LEFT(Base_Bruta!C1459,4)),VALUE(MID(Base_Bruta!C1459,6,2)),VALUE(RIGHT(Base_Bruta!C1459,2))),DATE(VALUE(RIGHT(Base_Bruta!C1459,4)),VALUE(MID(Base_Bruta!C1459,4,2)),VALUE(LEFT(Base_Bruta!C1459,2))))))</f>
        <v>46151</v>
      </c>
      <c r="D1459" s="4" t="str">
        <f aca="false">IF($A1459="","",TRIM(Base_Bruta!D1459))</f>
        <v>Turnê Internacional Rock - Rio</v>
      </c>
      <c r="E1459" s="4" t="str">
        <f aca="false">IF($A1459="","",_xlfn.XLOOKUP(LOWER(TRIM(Base_Bruta!E1459)),DePara_Categoria!$A$2:$A$9,DePara_Categoria!$B$2:$B$9,"REVISAR"))</f>
        <v>Show</v>
      </c>
      <c r="F1459" s="4" t="str">
        <f aca="false">IF($A1459="","",_xlfn.XLOOKUP(LOWER(TRIM(Base_Bruta!F1459)),DePara_Cidade!$A$2:$A$29,DePara_Cidade!$B$2:$B$29,"REVISAR"))</f>
        <v>Rio de Janeiro</v>
      </c>
      <c r="G1459" s="4" t="str">
        <f aca="false">IF($A1459="","",TRIM(Base_Bruta!G1459))</f>
        <v>Inteira</v>
      </c>
      <c r="H1459" s="4" t="n">
        <f aca="false">IF($A1459="","",IF(ISNUMBER(Base_Bruta!H1459),Base_Bruta!H1459,IFERROR(_xlfn.NUMBERVALUE(TRIM(SUBSTITUTE(Base_Bruta!H1459,"R$","")),",","."),0)))</f>
        <v>1</v>
      </c>
      <c r="I1459" s="6" t="n">
        <f aca="false">IF($A1459="","",IF(ISNUMBER(Base_Bruta!I1459),Base_Bruta!I1459,IFERROR(_xlfn.NUMBERVALUE(TRIM(SUBSTITUTE(Base_Bruta!I1459,"R$","")),",","."),0)))</f>
        <v>330</v>
      </c>
      <c r="J1459" s="6" t="n">
        <f aca="false">IF($A1459="","",H1459*I1459)</f>
        <v>330</v>
      </c>
      <c r="K1459" s="4" t="str">
        <f aca="false">IF($A1459="","",TRIM(Base_Bruta!J1459))</f>
        <v>App</v>
      </c>
      <c r="L1459" s="4" t="str">
        <f aca="false">IF($A1459="","",TRIM(Base_Bruta!K1459))</f>
        <v>C02190</v>
      </c>
      <c r="M1459" s="4" t="str">
        <f aca="false">IF($A1459="","",_xlfn.XLOOKUP(LOWER(TRIM(Base_Bruta!L1459)),DePara_Cidade!$A$2:$A$29,DePara_Cidade!$B$2:$B$29,"REVISAR"))</f>
        <v>Porto Alegre</v>
      </c>
      <c r="N1459" s="4" t="str">
        <f aca="false">IF($A1459="","",UPPER(TRIM(Base_Bruta!M1459)))</f>
        <v>RS</v>
      </c>
      <c r="O1459" s="4" t="str">
        <f aca="false">IF($A1459="","",_xlfn.XLOOKUP(LOWER(TRIM(Base_Bruta!N1459)),DePara_Pais!$A$2:$A$9,DePara_Pais!$B$2:$B$9,"REVISAR"))</f>
        <v>Brasil</v>
      </c>
      <c r="P1459" s="4" t="str">
        <f aca="false">IF($A1459="","",IF(O1459&lt;&gt;"Brasil","Turista Internacional",IF(M1459=F1459,"Local","Turista Nacional")))</f>
        <v>Turista Nacional</v>
      </c>
      <c r="Q1459" s="7" t="n">
        <f aca="false">IF($A1459="","",DATE(YEAR(B1459),MONTH(B1459),1))</f>
        <v>46113</v>
      </c>
      <c r="R1459" s="4" t="str">
        <f aca="false">IF($A1459="","",IF(COUNTIF($A$2:$A1459,$A1459)&gt;1,"Sim","Não"))</f>
        <v>Não</v>
      </c>
      <c r="S1459" s="4" t="str">
        <f aca="false">IF(A1459="","Descartar - Linha vazia",IF(R1459="Sim","Descartar - Duplicado",IF(OR(H1459&lt;=0,I1459&lt;=0),"Descartar - Qtd/Valor inválido","OK")))</f>
        <v>OK</v>
      </c>
      <c r="T1459" s="4" t="str">
        <f aca="false">Base_Bruta!P1459</f>
        <v>vendas_RJ.xlsx</v>
      </c>
    </row>
    <row r="1460" customFormat="false" ht="15" hidden="false" customHeight="false" outlineLevel="0" collapsed="false">
      <c r="A1460" s="4" t="str">
        <f aca="false">IF(Base_Bruta!A1460="","",Base_Bruta!A1460)</f>
        <v>RJ-000448</v>
      </c>
      <c r="B1460" s="5" t="n">
        <f aca="false">IF($A1460="","",IF(ISNUMBER(Base_Bruta!B1460),Base_Bruta!B1460,IF(MID(Base_Bruta!B1460,5,1)="-",DATE(VALUE(LEFT(Base_Bruta!B1460,4)),VALUE(MID(Base_Bruta!B1460,6,2)),VALUE(RIGHT(Base_Bruta!B1460,2))),DATE(VALUE(RIGHT(Base_Bruta!B1460,4)),VALUE(MID(Base_Bruta!B1460,4,2)),VALUE(LEFT(Base_Bruta!B1460,2))))))</f>
        <v>46142</v>
      </c>
      <c r="C1460" s="5" t="n">
        <f aca="false">IF($A1460="","",IF(ISNUMBER(Base_Bruta!C1460),Base_Bruta!C1460,IF(MID(Base_Bruta!C1460,5,1)="-",DATE(VALUE(LEFT(Base_Bruta!C1460,4)),VALUE(MID(Base_Bruta!C1460,6,2)),VALUE(RIGHT(Base_Bruta!C1460,2))),DATE(VALUE(RIGHT(Base_Bruta!C1460,4)),VALUE(MID(Base_Bruta!C1460,4,2)),VALUE(LEFT(Base_Bruta!C1460,2))))))</f>
        <v>46151</v>
      </c>
      <c r="D1460" s="4" t="str">
        <f aca="false">IF($A1460="","",TRIM(Base_Bruta!D1460))</f>
        <v>Turnê Internacional Rock - Rio</v>
      </c>
      <c r="E1460" s="4" t="str">
        <f aca="false">IF($A1460="","",_xlfn.XLOOKUP(LOWER(TRIM(Base_Bruta!E1460)),DePara_Categoria!$A$2:$A$9,DePara_Categoria!$B$2:$B$9,"REVISAR"))</f>
        <v>Show</v>
      </c>
      <c r="F1460" s="4" t="str">
        <f aca="false">IF($A1460="","",_xlfn.XLOOKUP(LOWER(TRIM(Base_Bruta!F1460)),DePara_Cidade!$A$2:$A$29,DePara_Cidade!$B$2:$B$29,"REVISAR"))</f>
        <v>Rio de Janeiro</v>
      </c>
      <c r="G1460" s="4" t="str">
        <f aca="false">IF($A1460="","",TRIM(Base_Bruta!G1460))</f>
        <v>Meia</v>
      </c>
      <c r="H1460" s="4" t="n">
        <f aca="false">IF($A1460="","",IF(ISNUMBER(Base_Bruta!H1460),Base_Bruta!H1460,IFERROR(_xlfn.NUMBERVALUE(TRIM(SUBSTITUTE(Base_Bruta!H1460,"R$","")),",","."),0)))</f>
        <v>1</v>
      </c>
      <c r="I1460" s="6" t="n">
        <f aca="false">IF($A1460="","",IF(ISNUMBER(Base_Bruta!I1460),Base_Bruta!I1460,IFERROR(_xlfn.NUMBERVALUE(TRIM(SUBSTITUTE(Base_Bruta!I1460,"R$","")),",","."),0)))</f>
        <v>275</v>
      </c>
      <c r="J1460" s="6" t="n">
        <f aca="false">IF($A1460="","",H1460*I1460)</f>
        <v>275</v>
      </c>
      <c r="K1460" s="4" t="str">
        <f aca="false">IF($A1460="","",TRIM(Base_Bruta!J1460))</f>
        <v>Site</v>
      </c>
      <c r="L1460" s="4" t="str">
        <f aca="false">IF($A1460="","",TRIM(Base_Bruta!K1460))</f>
        <v>C02090</v>
      </c>
      <c r="M1460" s="4" t="str">
        <f aca="false">IF($A1460="","",_xlfn.XLOOKUP(LOWER(TRIM(Base_Bruta!L1460)),DePara_Cidade!$A$2:$A$29,DePara_Cidade!$B$2:$B$29,"REVISAR"))</f>
        <v>Rio de Janeiro</v>
      </c>
      <c r="N1460" s="4" t="str">
        <f aca="false">IF($A1460="","",UPPER(TRIM(Base_Bruta!M1460)))</f>
        <v>RJ</v>
      </c>
      <c r="O1460" s="4" t="str">
        <f aca="false">IF($A1460="","",_xlfn.XLOOKUP(LOWER(TRIM(Base_Bruta!N1460)),DePara_Pais!$A$2:$A$9,DePara_Pais!$B$2:$B$9,"REVISAR"))</f>
        <v>Brasil</v>
      </c>
      <c r="P1460" s="4" t="str">
        <f aca="false">IF($A1460="","",IF(O1460&lt;&gt;"Brasil","Turista Internacional",IF(M1460=F1460,"Local","Turista Nacional")))</f>
        <v>Local</v>
      </c>
      <c r="Q1460" s="7" t="n">
        <f aca="false">IF($A1460="","",DATE(YEAR(B1460),MONTH(B1460),1))</f>
        <v>46113</v>
      </c>
      <c r="R1460" s="4" t="str">
        <f aca="false">IF($A1460="","",IF(COUNTIF($A$2:$A1460,$A1460)&gt;1,"Sim","Não"))</f>
        <v>Não</v>
      </c>
      <c r="S1460" s="4" t="str">
        <f aca="false">IF(A1460="","Descartar - Linha vazia",IF(R1460="Sim","Descartar - Duplicado",IF(OR(H1460&lt;=0,I1460&lt;=0),"Descartar - Qtd/Valor inválido","OK")))</f>
        <v>OK</v>
      </c>
      <c r="T1460" s="4" t="str">
        <f aca="false">Base_Bruta!P1460</f>
        <v>vendas_RJ.xlsx</v>
      </c>
    </row>
    <row r="1461" customFormat="false" ht="15" hidden="false" customHeight="false" outlineLevel="0" collapsed="false">
      <c r="A1461" s="4" t="str">
        <f aca="false">IF(Base_Bruta!A1461="","",Base_Bruta!A1461)</f>
        <v>RJ-000690</v>
      </c>
      <c r="B1461" s="5" t="n">
        <f aca="false">IF($A1461="","",IF(ISNUMBER(Base_Bruta!B1461),Base_Bruta!B1461,IF(MID(Base_Bruta!B1461,5,1)="-",DATE(VALUE(LEFT(Base_Bruta!B1461,4)),VALUE(MID(Base_Bruta!B1461,6,2)),VALUE(RIGHT(Base_Bruta!B1461,2))),DATE(VALUE(RIGHT(Base_Bruta!B1461,4)),VALUE(MID(Base_Bruta!B1461,4,2)),VALUE(LEFT(Base_Bruta!B1461,2))))))</f>
        <v>46142</v>
      </c>
      <c r="C1461" s="5" t="n">
        <f aca="false">IF($A1461="","",IF(ISNUMBER(Base_Bruta!C1461),Base_Bruta!C1461,IF(MID(Base_Bruta!C1461,5,1)="-",DATE(VALUE(LEFT(Base_Bruta!C1461,4)),VALUE(MID(Base_Bruta!C1461,6,2)),VALUE(RIGHT(Base_Bruta!C1461,2))),DATE(VALUE(RIGHT(Base_Bruta!C1461,4)),VALUE(MID(Base_Bruta!C1461,4,2)),VALUE(LEFT(Base_Bruta!C1461,2))))))</f>
        <v>46145</v>
      </c>
      <c r="D1461" s="4" t="str">
        <f aca="false">IF($A1461="","",TRIM(Base_Bruta!D1461))</f>
        <v>Cinema Barra - Sessões</v>
      </c>
      <c r="E1461" s="4" t="str">
        <f aca="false">IF($A1461="","",_xlfn.XLOOKUP(LOWER(TRIM(Base_Bruta!E1461)),DePara_Categoria!$A$2:$A$9,DePara_Categoria!$B$2:$B$9,"REVISAR"))</f>
        <v>Cinema</v>
      </c>
      <c r="F1461" s="4" t="str">
        <f aca="false">IF($A1461="","",_xlfn.XLOOKUP(LOWER(TRIM(Base_Bruta!F1461)),DePara_Cidade!$A$2:$A$29,DePara_Cidade!$B$2:$B$29,"REVISAR"))</f>
        <v>Rio de Janeiro</v>
      </c>
      <c r="G1461" s="4" t="str">
        <f aca="false">IF($A1461="","",TRIM(Base_Bruta!G1461))</f>
        <v>Inteira</v>
      </c>
      <c r="H1461" s="4" t="n">
        <f aca="false">IF($A1461="","",IF(ISNUMBER(Base_Bruta!H1461),Base_Bruta!H1461,IFERROR(_xlfn.NUMBERVALUE(TRIM(SUBSTITUTE(Base_Bruta!H1461,"R$","")),",","."),0)))</f>
        <v>1</v>
      </c>
      <c r="I1461" s="6" t="n">
        <f aca="false">IF($A1461="","",IF(ISNUMBER(Base_Bruta!I1461),Base_Bruta!I1461,IFERROR(_xlfn.NUMBERVALUE(TRIM(SUBSTITUTE(Base_Bruta!I1461,"R$","")),",","."),0)))</f>
        <v>40</v>
      </c>
      <c r="J1461" s="6" t="n">
        <f aca="false">IF($A1461="","",H1461*I1461)</f>
        <v>40</v>
      </c>
      <c r="K1461" s="4" t="str">
        <f aca="false">IF($A1461="","",TRIM(Base_Bruta!J1461))</f>
        <v>Bilheteria</v>
      </c>
      <c r="L1461" s="4" t="str">
        <f aca="false">IF($A1461="","",TRIM(Base_Bruta!K1461))</f>
        <v>C00975</v>
      </c>
      <c r="M1461" s="4" t="str">
        <f aca="false">IF($A1461="","",_xlfn.XLOOKUP(LOWER(TRIM(Base_Bruta!L1461)),DePara_Cidade!$A$2:$A$29,DePara_Cidade!$B$2:$B$29,"REVISAR"))</f>
        <v>Rio de Janeiro</v>
      </c>
      <c r="N1461" s="4" t="str">
        <f aca="false">IF($A1461="","",UPPER(TRIM(Base_Bruta!M1461)))</f>
        <v>RJ</v>
      </c>
      <c r="O1461" s="4" t="str">
        <f aca="false">IF($A1461="","",_xlfn.XLOOKUP(LOWER(TRIM(Base_Bruta!N1461)),DePara_Pais!$A$2:$A$9,DePara_Pais!$B$2:$B$9,"REVISAR"))</f>
        <v>Brasil</v>
      </c>
      <c r="P1461" s="4" t="str">
        <f aca="false">IF($A1461="","",IF(O1461&lt;&gt;"Brasil","Turista Internacional",IF(M1461=F1461,"Local","Turista Nacional")))</f>
        <v>Local</v>
      </c>
      <c r="Q1461" s="7" t="n">
        <f aca="false">IF($A1461="","",DATE(YEAR(B1461),MONTH(B1461),1))</f>
        <v>46113</v>
      </c>
      <c r="R1461" s="4" t="str">
        <f aca="false">IF($A1461="","",IF(COUNTIF($A$2:$A1461,$A1461)&gt;1,"Sim","Não"))</f>
        <v>Não</v>
      </c>
      <c r="S1461" s="4" t="str">
        <f aca="false">IF(A1461="","Descartar - Linha vazia",IF(R1461="Sim","Descartar - Duplicado",IF(OR(H1461&lt;=0,I1461&lt;=0),"Descartar - Qtd/Valor inválido","OK")))</f>
        <v>OK</v>
      </c>
      <c r="T1461" s="4" t="str">
        <f aca="false">Base_Bruta!P1461</f>
        <v>vendas_RJ.xlsx</v>
      </c>
    </row>
    <row r="1462" customFormat="false" ht="15" hidden="false" customHeight="false" outlineLevel="0" collapsed="false">
      <c r="A1462" s="4" t="str">
        <f aca="false">IF(Base_Bruta!A1462="","",Base_Bruta!A1462)</f>
        <v>RJ-000470</v>
      </c>
      <c r="B1462" s="5" t="n">
        <f aca="false">IF($A1462="","",IF(ISNUMBER(Base_Bruta!B1462),Base_Bruta!B1462,IF(MID(Base_Bruta!B1462,5,1)="-",DATE(VALUE(LEFT(Base_Bruta!B1462,4)),VALUE(MID(Base_Bruta!B1462,6,2)),VALUE(RIGHT(Base_Bruta!B1462,2))),DATE(VALUE(RIGHT(Base_Bruta!B1462,4)),VALUE(MID(Base_Bruta!B1462,4,2)),VALUE(LEFT(Base_Bruta!B1462,2))))))</f>
        <v>46143</v>
      </c>
      <c r="C1462" s="5" t="n">
        <f aca="false">IF($A1462="","",IF(ISNUMBER(Base_Bruta!C1462),Base_Bruta!C1462,IF(MID(Base_Bruta!C1462,5,1)="-",DATE(VALUE(LEFT(Base_Bruta!C1462,4)),VALUE(MID(Base_Bruta!C1462,6,2)),VALUE(RIGHT(Base_Bruta!C1462,2))),DATE(VALUE(RIGHT(Base_Bruta!C1462,4)),VALUE(MID(Base_Bruta!C1462,4,2)),VALUE(LEFT(Base_Bruta!C1462,2))))))</f>
        <v>46151</v>
      </c>
      <c r="D1462" s="4" t="str">
        <f aca="false">IF($A1462="","",TRIM(Base_Bruta!D1462))</f>
        <v>Turnê Internacional Rock - Rio</v>
      </c>
      <c r="E1462" s="4" t="str">
        <f aca="false">IF($A1462="","",_xlfn.XLOOKUP(LOWER(TRIM(Base_Bruta!E1462)),DePara_Categoria!$A$2:$A$9,DePara_Categoria!$B$2:$B$9,"REVISAR"))</f>
        <v>Show</v>
      </c>
      <c r="F1462" s="4" t="str">
        <f aca="false">IF($A1462="","",_xlfn.XLOOKUP(LOWER(TRIM(Base_Bruta!F1462)),DePara_Cidade!$A$2:$A$29,DePara_Cidade!$B$2:$B$29,"REVISAR"))</f>
        <v>Rio de Janeiro</v>
      </c>
      <c r="G1462" s="4" t="str">
        <f aca="false">IF($A1462="","",TRIM(Base_Bruta!G1462))</f>
        <v>VIP</v>
      </c>
      <c r="H1462" s="4" t="n">
        <f aca="false">IF($A1462="","",IF(ISNUMBER(Base_Bruta!H1462),Base_Bruta!H1462,IFERROR(_xlfn.NUMBERVALUE(TRIM(SUBSTITUTE(Base_Bruta!H1462,"R$","")),",","."),0)))</f>
        <v>2</v>
      </c>
      <c r="I1462" s="6" t="n">
        <f aca="false">IF($A1462="","",IF(ISNUMBER(Base_Bruta!I1462),Base_Bruta!I1462,IFERROR(_xlfn.NUMBERVALUE(TRIM(SUBSTITUTE(Base_Bruta!I1462,"R$","")),",","."),0)))</f>
        <v>570</v>
      </c>
      <c r="J1462" s="6" t="n">
        <f aca="false">IF($A1462="","",H1462*I1462)</f>
        <v>1140</v>
      </c>
      <c r="K1462" s="4" t="str">
        <f aca="false">IF($A1462="","",TRIM(Base_Bruta!J1462))</f>
        <v>Bilheteria</v>
      </c>
      <c r="L1462" s="4" t="str">
        <f aca="false">IF($A1462="","",TRIM(Base_Bruta!K1462))</f>
        <v>C00765</v>
      </c>
      <c r="M1462" s="4" t="str">
        <f aca="false">IF($A1462="","",_xlfn.XLOOKUP(LOWER(TRIM(Base_Bruta!L1462)),DePara_Cidade!$A$2:$A$29,DePara_Cidade!$B$2:$B$29,"REVISAR"))</f>
        <v>Rio de Janeiro</v>
      </c>
      <c r="N1462" s="4" t="str">
        <f aca="false">IF($A1462="","",UPPER(TRIM(Base_Bruta!M1462)))</f>
        <v>RJ</v>
      </c>
      <c r="O1462" s="4" t="str">
        <f aca="false">IF($A1462="","",_xlfn.XLOOKUP(LOWER(TRIM(Base_Bruta!N1462)),DePara_Pais!$A$2:$A$9,DePara_Pais!$B$2:$B$9,"REVISAR"))</f>
        <v>Brasil</v>
      </c>
      <c r="P1462" s="4" t="str">
        <f aca="false">IF($A1462="","",IF(O1462&lt;&gt;"Brasil","Turista Internacional",IF(M1462=F1462,"Local","Turista Nacional")))</f>
        <v>Local</v>
      </c>
      <c r="Q1462" s="7" t="n">
        <f aca="false">IF($A1462="","",DATE(YEAR(B1462),MONTH(B1462),1))</f>
        <v>46143</v>
      </c>
      <c r="R1462" s="4" t="str">
        <f aca="false">IF($A1462="","",IF(COUNTIF($A$2:$A1462,$A1462)&gt;1,"Sim","Não"))</f>
        <v>Não</v>
      </c>
      <c r="S1462" s="4" t="str">
        <f aca="false">IF(A1462="","Descartar - Linha vazia",IF(R1462="Sim","Descartar - Duplicado",IF(OR(H1462&lt;=0,I1462&lt;=0),"Descartar - Qtd/Valor inválido","OK")))</f>
        <v>OK</v>
      </c>
      <c r="T1462" s="4" t="str">
        <f aca="false">Base_Bruta!P1462</f>
        <v>vendas_RJ.xlsx</v>
      </c>
    </row>
    <row r="1463" customFormat="false" ht="15" hidden="false" customHeight="false" outlineLevel="0" collapsed="false">
      <c r="A1463" s="4" t="str">
        <f aca="false">IF(Base_Bruta!A1463="","",Base_Bruta!A1463)</f>
        <v>RJ-000466</v>
      </c>
      <c r="B1463" s="5" t="n">
        <f aca="false">IF($A1463="","",IF(ISNUMBER(Base_Bruta!B1463),Base_Bruta!B1463,IF(MID(Base_Bruta!B1463,5,1)="-",DATE(VALUE(LEFT(Base_Bruta!B1463,4)),VALUE(MID(Base_Bruta!B1463,6,2)),VALUE(RIGHT(Base_Bruta!B1463,2))),DATE(VALUE(RIGHT(Base_Bruta!B1463,4)),VALUE(MID(Base_Bruta!B1463,4,2)),VALUE(LEFT(Base_Bruta!B1463,2))))))</f>
        <v>46144</v>
      </c>
      <c r="C1463" s="5" t="n">
        <f aca="false">IF($A1463="","",IF(ISNUMBER(Base_Bruta!C1463),Base_Bruta!C1463,IF(MID(Base_Bruta!C1463,5,1)="-",DATE(VALUE(LEFT(Base_Bruta!C1463,4)),VALUE(MID(Base_Bruta!C1463,6,2)),VALUE(RIGHT(Base_Bruta!C1463,2))),DATE(VALUE(RIGHT(Base_Bruta!C1463,4)),VALUE(MID(Base_Bruta!C1463,4,2)),VALUE(LEFT(Base_Bruta!C1463,2))))))</f>
        <v>46151</v>
      </c>
      <c r="D1463" s="4" t="str">
        <f aca="false">IF($A1463="","",TRIM(Base_Bruta!D1463))</f>
        <v>Turnê Internacional Rock - Rio</v>
      </c>
      <c r="E1463" s="4" t="str">
        <f aca="false">IF($A1463="","",_xlfn.XLOOKUP(LOWER(TRIM(Base_Bruta!E1463)),DePara_Categoria!$A$2:$A$9,DePara_Categoria!$B$2:$B$9,"REVISAR"))</f>
        <v>Show</v>
      </c>
      <c r="F1463" s="4" t="str">
        <f aca="false">IF($A1463="","",_xlfn.XLOOKUP(LOWER(TRIM(Base_Bruta!F1463)),DePara_Cidade!$A$2:$A$29,DePara_Cidade!$B$2:$B$29,"REVISAR"))</f>
        <v>Rio de Janeiro</v>
      </c>
      <c r="G1463" s="4" t="str">
        <f aca="false">IF($A1463="","",TRIM(Base_Bruta!G1463))</f>
        <v>Inteira</v>
      </c>
      <c r="H1463" s="4" t="n">
        <f aca="false">IF($A1463="","",IF(ISNUMBER(Base_Bruta!H1463),Base_Bruta!H1463,IFERROR(_xlfn.NUMBERVALUE(TRIM(SUBSTITUTE(Base_Bruta!H1463,"R$","")),",","."),0)))</f>
        <v>1</v>
      </c>
      <c r="I1463" s="6" t="n">
        <f aca="false">IF($A1463="","",IF(ISNUMBER(Base_Bruta!I1463),Base_Bruta!I1463,IFERROR(_xlfn.NUMBERVALUE(TRIM(SUBSTITUTE(Base_Bruta!I1463,"R$","")),",","."),0)))</f>
        <v>775</v>
      </c>
      <c r="J1463" s="6" t="n">
        <f aca="false">IF($A1463="","",H1463*I1463)</f>
        <v>775</v>
      </c>
      <c r="K1463" s="4" t="str">
        <f aca="false">IF($A1463="","",TRIM(Base_Bruta!J1463))</f>
        <v>App</v>
      </c>
      <c r="L1463" s="4" t="str">
        <f aca="false">IF($A1463="","",TRIM(Base_Bruta!K1463))</f>
        <v>C02469</v>
      </c>
      <c r="M1463" s="4" t="str">
        <f aca="false">IF($A1463="","",_xlfn.XLOOKUP(LOWER(TRIM(Base_Bruta!L1463)),DePara_Cidade!$A$2:$A$29,DePara_Cidade!$B$2:$B$29,"REVISAR"))</f>
        <v>Florianópolis</v>
      </c>
      <c r="N1463" s="4" t="str">
        <f aca="false">IF($A1463="","",UPPER(TRIM(Base_Bruta!M1463)))</f>
        <v>SC</v>
      </c>
      <c r="O1463" s="4" t="str">
        <f aca="false">IF($A1463="","",_xlfn.XLOOKUP(LOWER(TRIM(Base_Bruta!N1463)),DePara_Pais!$A$2:$A$9,DePara_Pais!$B$2:$B$9,"REVISAR"))</f>
        <v>Brasil</v>
      </c>
      <c r="P1463" s="4" t="str">
        <f aca="false">IF($A1463="","",IF(O1463&lt;&gt;"Brasil","Turista Internacional",IF(M1463=F1463,"Local","Turista Nacional")))</f>
        <v>Turista Nacional</v>
      </c>
      <c r="Q1463" s="7" t="n">
        <f aca="false">IF($A1463="","",DATE(YEAR(B1463),MONTH(B1463),1))</f>
        <v>46143</v>
      </c>
      <c r="R1463" s="4" t="str">
        <f aca="false">IF($A1463="","",IF(COUNTIF($A$2:$A1463,$A1463)&gt;1,"Sim","Não"))</f>
        <v>Não</v>
      </c>
      <c r="S1463" s="4" t="str">
        <f aca="false">IF(A1463="","Descartar - Linha vazia",IF(R1463="Sim","Descartar - Duplicado",IF(OR(H1463&lt;=0,I1463&lt;=0),"Descartar - Qtd/Valor inválido","OK")))</f>
        <v>OK</v>
      </c>
      <c r="T1463" s="4" t="str">
        <f aca="false">Base_Bruta!P1463</f>
        <v>vendas_RJ.xlsx</v>
      </c>
    </row>
    <row r="1464" customFormat="false" ht="15" hidden="false" customHeight="false" outlineLevel="0" collapsed="false">
      <c r="A1464" s="4" t="str">
        <f aca="false">IF(Base_Bruta!A1464="","",Base_Bruta!A1464)</f>
        <v>RJ-000524</v>
      </c>
      <c r="B1464" s="5" t="n">
        <f aca="false">IF($A1464="","",IF(ISNUMBER(Base_Bruta!B1464),Base_Bruta!B1464,IF(MID(Base_Bruta!B1464,5,1)="-",DATE(VALUE(LEFT(Base_Bruta!B1464,4)),VALUE(MID(Base_Bruta!B1464,6,2)),VALUE(RIGHT(Base_Bruta!B1464,2))),DATE(VALUE(RIGHT(Base_Bruta!B1464,4)),VALUE(MID(Base_Bruta!B1464,4,2)),VALUE(LEFT(Base_Bruta!B1464,2))))))</f>
        <v>46144</v>
      </c>
      <c r="C1464" s="5" t="n">
        <f aca="false">IF($A1464="","",IF(ISNUMBER(Base_Bruta!C1464),Base_Bruta!C1464,IF(MID(Base_Bruta!C1464,5,1)="-",DATE(VALUE(LEFT(Base_Bruta!C1464,4)),VALUE(MID(Base_Bruta!C1464,6,2)),VALUE(RIGHT(Base_Bruta!C1464,2))),DATE(VALUE(RIGHT(Base_Bruta!C1464,4)),VALUE(MID(Base_Bruta!C1464,4,2)),VALUE(LEFT(Base_Bruta!C1464,2))))))</f>
        <v>46151</v>
      </c>
      <c r="D1464" s="4" t="str">
        <f aca="false">IF($A1464="","",TRIM(Base_Bruta!D1464))</f>
        <v>Turnê Internacional Rock - Rio</v>
      </c>
      <c r="E1464" s="4" t="str">
        <f aca="false">IF($A1464="","",_xlfn.XLOOKUP(LOWER(TRIM(Base_Bruta!E1464)),DePara_Categoria!$A$2:$A$9,DePara_Categoria!$B$2:$B$9,"REVISAR"))</f>
        <v>Show</v>
      </c>
      <c r="F1464" s="4" t="str">
        <f aca="false">IF($A1464="","",_xlfn.XLOOKUP(LOWER(TRIM(Base_Bruta!F1464)),DePara_Cidade!$A$2:$A$29,DePara_Cidade!$B$2:$B$29,"REVISAR"))</f>
        <v>Rio de Janeiro</v>
      </c>
      <c r="G1464" s="4" t="str">
        <f aca="false">IF($A1464="","",TRIM(Base_Bruta!G1464))</f>
        <v>Inteira</v>
      </c>
      <c r="H1464" s="4" t="n">
        <f aca="false">IF($A1464="","",IF(ISNUMBER(Base_Bruta!H1464),Base_Bruta!H1464,IFERROR(_xlfn.NUMBERVALUE(TRIM(SUBSTITUTE(Base_Bruta!H1464,"R$","")),",","."),0)))</f>
        <v>2</v>
      </c>
      <c r="I1464" s="6" t="n">
        <f aca="false">IF($A1464="","",IF(ISNUMBER(Base_Bruta!I1464),Base_Bruta!I1464,IFERROR(_xlfn.NUMBERVALUE(TRIM(SUBSTITUTE(Base_Bruta!I1464,"R$","")),",","."),0)))</f>
        <v>240</v>
      </c>
      <c r="J1464" s="6" t="n">
        <f aca="false">IF($A1464="","",H1464*I1464)</f>
        <v>480</v>
      </c>
      <c r="K1464" s="4" t="str">
        <f aca="false">IF($A1464="","",TRIM(Base_Bruta!J1464))</f>
        <v>App</v>
      </c>
      <c r="L1464" s="4" t="str">
        <f aca="false">IF($A1464="","",TRIM(Base_Bruta!K1464))</f>
        <v>C00100</v>
      </c>
      <c r="M1464" s="4" t="str">
        <f aca="false">IF($A1464="","",_xlfn.XLOOKUP(LOWER(TRIM(Base_Bruta!L1464)),DePara_Cidade!$A$2:$A$29,DePara_Cidade!$B$2:$B$29,"REVISAR"))</f>
        <v>Rio de Janeiro</v>
      </c>
      <c r="N1464" s="4" t="str">
        <f aca="false">IF($A1464="","",UPPER(TRIM(Base_Bruta!M1464)))</f>
        <v>RJ</v>
      </c>
      <c r="O1464" s="4" t="str">
        <f aca="false">IF($A1464="","",_xlfn.XLOOKUP(LOWER(TRIM(Base_Bruta!N1464)),DePara_Pais!$A$2:$A$9,DePara_Pais!$B$2:$B$9,"REVISAR"))</f>
        <v>Brasil</v>
      </c>
      <c r="P1464" s="4" t="str">
        <f aca="false">IF($A1464="","",IF(O1464&lt;&gt;"Brasil","Turista Internacional",IF(M1464=F1464,"Local","Turista Nacional")))</f>
        <v>Local</v>
      </c>
      <c r="Q1464" s="7" t="n">
        <f aca="false">IF($A1464="","",DATE(YEAR(B1464),MONTH(B1464),1))</f>
        <v>46143</v>
      </c>
      <c r="R1464" s="4" t="str">
        <f aca="false">IF($A1464="","",IF(COUNTIF($A$2:$A1464,$A1464)&gt;1,"Sim","Não"))</f>
        <v>Não</v>
      </c>
      <c r="S1464" s="4" t="str">
        <f aca="false">IF(A1464="","Descartar - Linha vazia",IF(R1464="Sim","Descartar - Duplicado",IF(OR(H1464&lt;=0,I1464&lt;=0),"Descartar - Qtd/Valor inválido","OK")))</f>
        <v>OK</v>
      </c>
      <c r="T1464" s="4" t="str">
        <f aca="false">Base_Bruta!P1464</f>
        <v>vendas_RJ.xlsx</v>
      </c>
    </row>
    <row r="1465" customFormat="false" ht="15" hidden="false" customHeight="false" outlineLevel="0" collapsed="false">
      <c r="A1465" s="4" t="str">
        <f aca="false">IF(Base_Bruta!A1465="","",Base_Bruta!A1465)</f>
        <v>RJ-000396</v>
      </c>
      <c r="B1465" s="5" t="n">
        <f aca="false">IF($A1465="","",IF(ISNUMBER(Base_Bruta!B1465),Base_Bruta!B1465,IF(MID(Base_Bruta!B1465,5,1)="-",DATE(VALUE(LEFT(Base_Bruta!B1465,4)),VALUE(MID(Base_Bruta!B1465,6,2)),VALUE(RIGHT(Base_Bruta!B1465,2))),DATE(VALUE(RIGHT(Base_Bruta!B1465,4)),VALUE(MID(Base_Bruta!B1465,4,2)),VALUE(LEFT(Base_Bruta!B1465,2))))))</f>
        <v>46145</v>
      </c>
      <c r="C1465" s="5" t="n">
        <f aca="false">IF($A1465="","",IF(ISNUMBER(Base_Bruta!C1465),Base_Bruta!C1465,IF(MID(Base_Bruta!C1465,5,1)="-",DATE(VALUE(LEFT(Base_Bruta!C1465,4)),VALUE(MID(Base_Bruta!C1465,6,2)),VALUE(RIGHT(Base_Bruta!C1465,2))),DATE(VALUE(RIGHT(Base_Bruta!C1465,4)),VALUE(MID(Base_Bruta!C1465,4,2)),VALUE(LEFT(Base_Bruta!C1465,2))))))</f>
        <v>46151</v>
      </c>
      <c r="D1465" s="4" t="str">
        <f aca="false">IF($A1465="","",TRIM(Base_Bruta!D1465))</f>
        <v>Turnê Internacional Rock - Rio</v>
      </c>
      <c r="E1465" s="4" t="str">
        <f aca="false">IF($A1465="","",_xlfn.XLOOKUP(LOWER(TRIM(Base_Bruta!E1465)),DePara_Categoria!$A$2:$A$9,DePara_Categoria!$B$2:$B$9,"REVISAR"))</f>
        <v>Show</v>
      </c>
      <c r="F1465" s="4" t="str">
        <f aca="false">IF($A1465="","",_xlfn.XLOOKUP(LOWER(TRIM(Base_Bruta!F1465)),DePara_Cidade!$A$2:$A$29,DePara_Cidade!$B$2:$B$29,"REVISAR"))</f>
        <v>Rio de Janeiro</v>
      </c>
      <c r="G1465" s="4" t="str">
        <f aca="false">IF($A1465="","",TRIM(Base_Bruta!G1465))</f>
        <v>Inteira</v>
      </c>
      <c r="H1465" s="4" t="n">
        <f aca="false">IF($A1465="","",IF(ISNUMBER(Base_Bruta!H1465),Base_Bruta!H1465,IFERROR(_xlfn.NUMBERVALUE(TRIM(SUBSTITUTE(Base_Bruta!H1465,"R$","")),",","."),0)))</f>
        <v>1</v>
      </c>
      <c r="I1465" s="6" t="n">
        <f aca="false">IF($A1465="","",IF(ISNUMBER(Base_Bruta!I1465),Base_Bruta!I1465,IFERROR(_xlfn.NUMBERVALUE(TRIM(SUBSTITUTE(Base_Bruta!I1465,"R$","")),",","."),0)))</f>
        <v>320</v>
      </c>
      <c r="J1465" s="6" t="n">
        <f aca="false">IF($A1465="","",H1465*I1465)</f>
        <v>320</v>
      </c>
      <c r="K1465" s="4" t="str">
        <f aca="false">IF($A1465="","",TRIM(Base_Bruta!J1465))</f>
        <v>App</v>
      </c>
      <c r="L1465" s="4" t="str">
        <f aca="false">IF($A1465="","",TRIM(Base_Bruta!K1465))</f>
        <v>C01656</v>
      </c>
      <c r="M1465" s="4" t="str">
        <f aca="false">IF($A1465="","",_xlfn.XLOOKUP(LOWER(TRIM(Base_Bruta!L1465)),DePara_Cidade!$A$2:$A$29,DePara_Cidade!$B$2:$B$29,"REVISAR"))</f>
        <v>Recife</v>
      </c>
      <c r="N1465" s="4" t="str">
        <f aca="false">IF($A1465="","",UPPER(TRIM(Base_Bruta!M1465)))</f>
        <v>PE</v>
      </c>
      <c r="O1465" s="4" t="str">
        <f aca="false">IF($A1465="","",_xlfn.XLOOKUP(LOWER(TRIM(Base_Bruta!N1465)),DePara_Pais!$A$2:$A$9,DePara_Pais!$B$2:$B$9,"REVISAR"))</f>
        <v>Brasil</v>
      </c>
      <c r="P1465" s="4" t="str">
        <f aca="false">IF($A1465="","",IF(O1465&lt;&gt;"Brasil","Turista Internacional",IF(M1465=F1465,"Local","Turista Nacional")))</f>
        <v>Turista Nacional</v>
      </c>
      <c r="Q1465" s="7" t="n">
        <f aca="false">IF($A1465="","",DATE(YEAR(B1465),MONTH(B1465),1))</f>
        <v>46143</v>
      </c>
      <c r="R1465" s="4" t="str">
        <f aca="false">IF($A1465="","",IF(COUNTIF($A$2:$A1465,$A1465)&gt;1,"Sim","Não"))</f>
        <v>Não</v>
      </c>
      <c r="S1465" s="4" t="str">
        <f aca="false">IF(A1465="","Descartar - Linha vazia",IF(R1465="Sim","Descartar - Duplicado",IF(OR(H1465&lt;=0,I1465&lt;=0),"Descartar - Qtd/Valor inválido","OK")))</f>
        <v>OK</v>
      </c>
      <c r="T1465" s="4" t="str">
        <f aca="false">Base_Bruta!P1465</f>
        <v>vendas_RJ.xlsx</v>
      </c>
    </row>
    <row r="1466" customFormat="false" ht="15" hidden="false" customHeight="false" outlineLevel="0" collapsed="false">
      <c r="A1466" s="4" t="str">
        <f aca="false">IF(Base_Bruta!A1466="","",Base_Bruta!A1466)</f>
        <v>RJ-000416</v>
      </c>
      <c r="B1466" s="5" t="n">
        <f aca="false">IF($A1466="","",IF(ISNUMBER(Base_Bruta!B1466),Base_Bruta!B1466,IF(MID(Base_Bruta!B1466,5,1)="-",DATE(VALUE(LEFT(Base_Bruta!B1466,4)),VALUE(MID(Base_Bruta!B1466,6,2)),VALUE(RIGHT(Base_Bruta!B1466,2))),DATE(VALUE(RIGHT(Base_Bruta!B1466,4)),VALUE(MID(Base_Bruta!B1466,4,2)),VALUE(LEFT(Base_Bruta!B1466,2))))))</f>
        <v>46145</v>
      </c>
      <c r="C1466" s="5" t="n">
        <f aca="false">IF($A1466="","",IF(ISNUMBER(Base_Bruta!C1466),Base_Bruta!C1466,IF(MID(Base_Bruta!C1466,5,1)="-",DATE(VALUE(LEFT(Base_Bruta!C1466,4)),VALUE(MID(Base_Bruta!C1466,6,2)),VALUE(RIGHT(Base_Bruta!C1466,2))),DATE(VALUE(RIGHT(Base_Bruta!C1466,4)),VALUE(MID(Base_Bruta!C1466,4,2)),VALUE(LEFT(Base_Bruta!C1466,2))))))</f>
        <v>46151</v>
      </c>
      <c r="D1466" s="4" t="str">
        <f aca="false">IF($A1466="","",TRIM(Base_Bruta!D1466))</f>
        <v>Turnê Internacional Rock - Rio</v>
      </c>
      <c r="E1466" s="4" t="str">
        <f aca="false">IF($A1466="","",_xlfn.XLOOKUP(LOWER(TRIM(Base_Bruta!E1466)),DePara_Categoria!$A$2:$A$9,DePara_Categoria!$B$2:$B$9,"REVISAR"))</f>
        <v>Show</v>
      </c>
      <c r="F1466" s="4" t="str">
        <f aca="false">IF($A1466="","",_xlfn.XLOOKUP(LOWER(TRIM(Base_Bruta!F1466)),DePara_Cidade!$A$2:$A$29,DePara_Cidade!$B$2:$B$29,"REVISAR"))</f>
        <v>Rio de Janeiro</v>
      </c>
      <c r="G1466" s="4" t="str">
        <f aca="false">IF($A1466="","",TRIM(Base_Bruta!G1466))</f>
        <v>Inteira</v>
      </c>
      <c r="H1466" s="4" t="n">
        <f aca="false">IF($A1466="","",IF(ISNUMBER(Base_Bruta!H1466),Base_Bruta!H1466,IFERROR(_xlfn.NUMBERVALUE(TRIM(SUBSTITUTE(Base_Bruta!H1466,"R$","")),",","."),0)))</f>
        <v>3</v>
      </c>
      <c r="I1466" s="6" t="n">
        <f aca="false">IF($A1466="","",IF(ISNUMBER(Base_Bruta!I1466),Base_Bruta!I1466,IFERROR(_xlfn.NUMBERVALUE(TRIM(SUBSTITUTE(Base_Bruta!I1466,"R$","")),",","."),0)))</f>
        <v>775</v>
      </c>
      <c r="J1466" s="6" t="n">
        <f aca="false">IF($A1466="","",H1466*I1466)</f>
        <v>2325</v>
      </c>
      <c r="K1466" s="4" t="str">
        <f aca="false">IF($A1466="","",TRIM(Base_Bruta!J1466))</f>
        <v>Site</v>
      </c>
      <c r="L1466" s="4" t="str">
        <f aca="false">IF($A1466="","",TRIM(Base_Bruta!K1466))</f>
        <v>C01602</v>
      </c>
      <c r="M1466" s="4" t="str">
        <f aca="false">IF($A1466="","",_xlfn.XLOOKUP(LOWER(TRIM(Base_Bruta!L1466)),DePara_Cidade!$A$2:$A$29,DePara_Cidade!$B$2:$B$29,"REVISAR"))</f>
        <v>Rio de Janeiro</v>
      </c>
      <c r="N1466" s="4" t="str">
        <f aca="false">IF($A1466="","",UPPER(TRIM(Base_Bruta!M1466)))</f>
        <v>RJ</v>
      </c>
      <c r="O1466" s="4" t="str">
        <f aca="false">IF($A1466="","",_xlfn.XLOOKUP(LOWER(TRIM(Base_Bruta!N1466)),DePara_Pais!$A$2:$A$9,DePara_Pais!$B$2:$B$9,"REVISAR"))</f>
        <v>Brasil</v>
      </c>
      <c r="P1466" s="4" t="str">
        <f aca="false">IF($A1466="","",IF(O1466&lt;&gt;"Brasil","Turista Internacional",IF(M1466=F1466,"Local","Turista Nacional")))</f>
        <v>Local</v>
      </c>
      <c r="Q1466" s="7" t="n">
        <f aca="false">IF($A1466="","",DATE(YEAR(B1466),MONTH(B1466),1))</f>
        <v>46143</v>
      </c>
      <c r="R1466" s="4" t="str">
        <f aca="false">IF($A1466="","",IF(COUNTIF($A$2:$A1466,$A1466)&gt;1,"Sim","Não"))</f>
        <v>Não</v>
      </c>
      <c r="S1466" s="4" t="str">
        <f aca="false">IF(A1466="","Descartar - Linha vazia",IF(R1466="Sim","Descartar - Duplicado",IF(OR(H1466&lt;=0,I1466&lt;=0),"Descartar - Qtd/Valor inválido","OK")))</f>
        <v>OK</v>
      </c>
      <c r="T1466" s="4" t="str">
        <f aca="false">Base_Bruta!P1466</f>
        <v>vendas_RJ.xlsx</v>
      </c>
    </row>
    <row r="1467" customFormat="false" ht="15" hidden="false" customHeight="false" outlineLevel="0" collapsed="false">
      <c r="A1467" s="4" t="str">
        <f aca="false">IF(Base_Bruta!A1467="","",Base_Bruta!A1467)</f>
        <v>RJ-000452</v>
      </c>
      <c r="B1467" s="5" t="n">
        <f aca="false">IF($A1467="","",IF(ISNUMBER(Base_Bruta!B1467),Base_Bruta!B1467,IF(MID(Base_Bruta!B1467,5,1)="-",DATE(VALUE(LEFT(Base_Bruta!B1467,4)),VALUE(MID(Base_Bruta!B1467,6,2)),VALUE(RIGHT(Base_Bruta!B1467,2))),DATE(VALUE(RIGHT(Base_Bruta!B1467,4)),VALUE(MID(Base_Bruta!B1467,4,2)),VALUE(LEFT(Base_Bruta!B1467,2))))))</f>
        <v>46145</v>
      </c>
      <c r="C1467" s="5" t="n">
        <f aca="false">IF($A1467="","",IF(ISNUMBER(Base_Bruta!C1467),Base_Bruta!C1467,IF(MID(Base_Bruta!C1467,5,1)="-",DATE(VALUE(LEFT(Base_Bruta!C1467,4)),VALUE(MID(Base_Bruta!C1467,6,2)),VALUE(RIGHT(Base_Bruta!C1467,2))),DATE(VALUE(RIGHT(Base_Bruta!C1467,4)),VALUE(MID(Base_Bruta!C1467,4,2)),VALUE(LEFT(Base_Bruta!C1467,2))))))</f>
        <v>46151</v>
      </c>
      <c r="D1467" s="4" t="str">
        <f aca="false">IF($A1467="","",TRIM(Base_Bruta!D1467))</f>
        <v>Turnê Internacional Rock - Rio</v>
      </c>
      <c r="E1467" s="4" t="str">
        <f aca="false">IF($A1467="","",_xlfn.XLOOKUP(LOWER(TRIM(Base_Bruta!E1467)),DePara_Categoria!$A$2:$A$9,DePara_Categoria!$B$2:$B$9,"REVISAR"))</f>
        <v>Show</v>
      </c>
      <c r="F1467" s="4" t="str">
        <f aca="false">IF($A1467="","",_xlfn.XLOOKUP(LOWER(TRIM(Base_Bruta!F1467)),DePara_Cidade!$A$2:$A$29,DePara_Cidade!$B$2:$B$29,"REVISAR"))</f>
        <v>Rio de Janeiro</v>
      </c>
      <c r="G1467" s="4" t="str">
        <f aca="false">IF($A1467="","",TRIM(Base_Bruta!G1467))</f>
        <v>Inteira</v>
      </c>
      <c r="H1467" s="4" t="n">
        <f aca="false">IF($A1467="","",IF(ISNUMBER(Base_Bruta!H1467),Base_Bruta!H1467,IFERROR(_xlfn.NUMBERVALUE(TRIM(SUBSTITUTE(Base_Bruta!H1467,"R$","")),",","."),0)))</f>
        <v>1</v>
      </c>
      <c r="I1467" s="6" t="n">
        <f aca="false">IF($A1467="","",IF(ISNUMBER(Base_Bruta!I1467),Base_Bruta!I1467,IFERROR(_xlfn.NUMBERVALUE(TRIM(SUBSTITUTE(Base_Bruta!I1467,"R$","")),",","."),0)))</f>
        <v>705</v>
      </c>
      <c r="J1467" s="6" t="n">
        <f aca="false">IF($A1467="","",H1467*I1467)</f>
        <v>705</v>
      </c>
      <c r="K1467" s="4" t="str">
        <f aca="false">IF($A1467="","",TRIM(Base_Bruta!J1467))</f>
        <v>Parceiro</v>
      </c>
      <c r="L1467" s="4" t="str">
        <f aca="false">IF($A1467="","",TRIM(Base_Bruta!K1467))</f>
        <v>C02188</v>
      </c>
      <c r="M1467" s="4" t="str">
        <f aca="false">IF($A1467="","",_xlfn.XLOOKUP(LOWER(TRIM(Base_Bruta!L1467)),DePara_Cidade!$A$2:$A$29,DePara_Cidade!$B$2:$B$29,"REVISAR"))</f>
        <v>Rio de Janeiro</v>
      </c>
      <c r="N1467" s="4" t="str">
        <f aca="false">IF($A1467="","",UPPER(TRIM(Base_Bruta!M1467)))</f>
        <v>RJ</v>
      </c>
      <c r="O1467" s="4" t="str">
        <f aca="false">IF($A1467="","",_xlfn.XLOOKUP(LOWER(TRIM(Base_Bruta!N1467)),DePara_Pais!$A$2:$A$9,DePara_Pais!$B$2:$B$9,"REVISAR"))</f>
        <v>Brasil</v>
      </c>
      <c r="P1467" s="4" t="str">
        <f aca="false">IF($A1467="","",IF(O1467&lt;&gt;"Brasil","Turista Internacional",IF(M1467=F1467,"Local","Turista Nacional")))</f>
        <v>Local</v>
      </c>
      <c r="Q1467" s="7" t="n">
        <f aca="false">IF($A1467="","",DATE(YEAR(B1467),MONTH(B1467),1))</f>
        <v>46143</v>
      </c>
      <c r="R1467" s="4" t="str">
        <f aca="false">IF($A1467="","",IF(COUNTIF($A$2:$A1467,$A1467)&gt;1,"Sim","Não"))</f>
        <v>Não</v>
      </c>
      <c r="S1467" s="4" t="str">
        <f aca="false">IF(A1467="","Descartar - Linha vazia",IF(R1467="Sim","Descartar - Duplicado",IF(OR(H1467&lt;=0,I1467&lt;=0),"Descartar - Qtd/Valor inválido","OK")))</f>
        <v>OK</v>
      </c>
      <c r="T1467" s="4" t="str">
        <f aca="false">Base_Bruta!P1467</f>
        <v>vendas_RJ.xlsx</v>
      </c>
    </row>
    <row r="1468" customFormat="false" ht="15" hidden="false" customHeight="false" outlineLevel="0" collapsed="false">
      <c r="A1468" s="4" t="str">
        <f aca="false">IF(Base_Bruta!A1468="","",Base_Bruta!A1468)</f>
        <v>RJ-000471</v>
      </c>
      <c r="B1468" s="5" t="n">
        <f aca="false">IF($A1468="","",IF(ISNUMBER(Base_Bruta!B1468),Base_Bruta!B1468,IF(MID(Base_Bruta!B1468,5,1)="-",DATE(VALUE(LEFT(Base_Bruta!B1468,4)),VALUE(MID(Base_Bruta!B1468,6,2)),VALUE(RIGHT(Base_Bruta!B1468,2))),DATE(VALUE(RIGHT(Base_Bruta!B1468,4)),VALUE(MID(Base_Bruta!B1468,4,2)),VALUE(LEFT(Base_Bruta!B1468,2))))))</f>
        <v>46145</v>
      </c>
      <c r="C1468" s="5" t="n">
        <f aca="false">IF($A1468="","",IF(ISNUMBER(Base_Bruta!C1468),Base_Bruta!C1468,IF(MID(Base_Bruta!C1468,5,1)="-",DATE(VALUE(LEFT(Base_Bruta!C1468,4)),VALUE(MID(Base_Bruta!C1468,6,2)),VALUE(RIGHT(Base_Bruta!C1468,2))),DATE(VALUE(RIGHT(Base_Bruta!C1468,4)),VALUE(MID(Base_Bruta!C1468,4,2)),VALUE(LEFT(Base_Bruta!C1468,2))))))</f>
        <v>46151</v>
      </c>
      <c r="D1468" s="4" t="str">
        <f aca="false">IF($A1468="","",TRIM(Base_Bruta!D1468))</f>
        <v>Turnê Internacional Rock - Rio</v>
      </c>
      <c r="E1468" s="4" t="str">
        <f aca="false">IF($A1468="","",_xlfn.XLOOKUP(LOWER(TRIM(Base_Bruta!E1468)),DePara_Categoria!$A$2:$A$9,DePara_Categoria!$B$2:$B$9,"REVISAR"))</f>
        <v>Show</v>
      </c>
      <c r="F1468" s="4" t="str">
        <f aca="false">IF($A1468="","",_xlfn.XLOOKUP(LOWER(TRIM(Base_Bruta!F1468)),DePara_Cidade!$A$2:$A$29,DePara_Cidade!$B$2:$B$29,"REVISAR"))</f>
        <v>Rio de Janeiro</v>
      </c>
      <c r="G1468" s="4" t="str">
        <f aca="false">IF($A1468="","",TRIM(Base_Bruta!G1468))</f>
        <v>Inteira</v>
      </c>
      <c r="H1468" s="4" t="n">
        <f aca="false">IF($A1468="","",IF(ISNUMBER(Base_Bruta!H1468),Base_Bruta!H1468,IFERROR(_xlfn.NUMBERVALUE(TRIM(SUBSTITUTE(Base_Bruta!H1468,"R$","")),",","."),0)))</f>
        <v>1</v>
      </c>
      <c r="I1468" s="6" t="n">
        <f aca="false">IF($A1468="","",IF(ISNUMBER(Base_Bruta!I1468),Base_Bruta!I1468,IFERROR(_xlfn.NUMBERVALUE(TRIM(SUBSTITUTE(Base_Bruta!I1468,"R$","")),",","."),0)))</f>
        <v>620</v>
      </c>
      <c r="J1468" s="6" t="n">
        <f aca="false">IF($A1468="","",H1468*I1468)</f>
        <v>620</v>
      </c>
      <c r="K1468" s="4" t="str">
        <f aca="false">IF($A1468="","",TRIM(Base_Bruta!J1468))</f>
        <v>Site</v>
      </c>
      <c r="L1468" s="4" t="str">
        <f aca="false">IF($A1468="","",TRIM(Base_Bruta!K1468))</f>
        <v>C01131</v>
      </c>
      <c r="M1468" s="4" t="str">
        <f aca="false">IF($A1468="","",_xlfn.XLOOKUP(LOWER(TRIM(Base_Bruta!L1468)),DePara_Cidade!$A$2:$A$29,DePara_Cidade!$B$2:$B$29,"REVISAR"))</f>
        <v>Rio de Janeiro</v>
      </c>
      <c r="N1468" s="4" t="str">
        <f aca="false">IF($A1468="","",UPPER(TRIM(Base_Bruta!M1468)))</f>
        <v>RJ</v>
      </c>
      <c r="O1468" s="4" t="str">
        <f aca="false">IF($A1468="","",_xlfn.XLOOKUP(LOWER(TRIM(Base_Bruta!N1468)),DePara_Pais!$A$2:$A$9,DePara_Pais!$B$2:$B$9,"REVISAR"))</f>
        <v>Brasil</v>
      </c>
      <c r="P1468" s="4" t="str">
        <f aca="false">IF($A1468="","",IF(O1468&lt;&gt;"Brasil","Turista Internacional",IF(M1468=F1468,"Local","Turista Nacional")))</f>
        <v>Local</v>
      </c>
      <c r="Q1468" s="7" t="n">
        <f aca="false">IF($A1468="","",DATE(YEAR(B1468),MONTH(B1468),1))</f>
        <v>46143</v>
      </c>
      <c r="R1468" s="4" t="str">
        <f aca="false">IF($A1468="","",IF(COUNTIF($A$2:$A1468,$A1468)&gt;1,"Sim","Não"))</f>
        <v>Não</v>
      </c>
      <c r="S1468" s="4" t="str">
        <f aca="false">IF(A1468="","Descartar - Linha vazia",IF(R1468="Sim","Descartar - Duplicado",IF(OR(H1468&lt;=0,I1468&lt;=0),"Descartar - Qtd/Valor inválido","OK")))</f>
        <v>OK</v>
      </c>
      <c r="T1468" s="4" t="str">
        <f aca="false">Base_Bruta!P1468</f>
        <v>vendas_RJ.xlsx</v>
      </c>
    </row>
    <row r="1469" customFormat="false" ht="15" hidden="false" customHeight="false" outlineLevel="0" collapsed="false">
      <c r="A1469" s="4" t="str">
        <f aca="false">IF(Base_Bruta!A1469="","",Base_Bruta!A1469)</f>
        <v>RJ-000517</v>
      </c>
      <c r="B1469" s="5" t="n">
        <f aca="false">IF($A1469="","",IF(ISNUMBER(Base_Bruta!B1469),Base_Bruta!B1469,IF(MID(Base_Bruta!B1469,5,1)="-",DATE(VALUE(LEFT(Base_Bruta!B1469,4)),VALUE(MID(Base_Bruta!B1469,6,2)),VALUE(RIGHT(Base_Bruta!B1469,2))),DATE(VALUE(RIGHT(Base_Bruta!B1469,4)),VALUE(MID(Base_Bruta!B1469,4,2)),VALUE(LEFT(Base_Bruta!B1469,2))))))</f>
        <v>46145</v>
      </c>
      <c r="C1469" s="5" t="n">
        <f aca="false">IF($A1469="","",IF(ISNUMBER(Base_Bruta!C1469),Base_Bruta!C1469,IF(MID(Base_Bruta!C1469,5,1)="-",DATE(VALUE(LEFT(Base_Bruta!C1469,4)),VALUE(MID(Base_Bruta!C1469,6,2)),VALUE(RIGHT(Base_Bruta!C1469,2))),DATE(VALUE(RIGHT(Base_Bruta!C1469,4)),VALUE(MID(Base_Bruta!C1469,4,2)),VALUE(LEFT(Base_Bruta!C1469,2))))))</f>
        <v>46151</v>
      </c>
      <c r="D1469" s="4" t="str">
        <f aca="false">IF($A1469="","",TRIM(Base_Bruta!D1469))</f>
        <v>Turnê Internacional Rock - Rio</v>
      </c>
      <c r="E1469" s="4" t="str">
        <f aca="false">IF($A1469="","",_xlfn.XLOOKUP(LOWER(TRIM(Base_Bruta!E1469)),DePara_Categoria!$A$2:$A$9,DePara_Categoria!$B$2:$B$9,"REVISAR"))</f>
        <v>Show</v>
      </c>
      <c r="F1469" s="4" t="str">
        <f aca="false">IF($A1469="","",_xlfn.XLOOKUP(LOWER(TRIM(Base_Bruta!F1469)),DePara_Cidade!$A$2:$A$29,DePara_Cidade!$B$2:$B$29,"REVISAR"))</f>
        <v>Rio de Janeiro</v>
      </c>
      <c r="G1469" s="4" t="str">
        <f aca="false">IF($A1469="","",TRIM(Base_Bruta!G1469))</f>
        <v>Inteira</v>
      </c>
      <c r="H1469" s="4" t="n">
        <f aca="false">IF($A1469="","",IF(ISNUMBER(Base_Bruta!H1469),Base_Bruta!H1469,IFERROR(_xlfn.NUMBERVALUE(TRIM(SUBSTITUTE(Base_Bruta!H1469,"R$","")),",","."),0)))</f>
        <v>1</v>
      </c>
      <c r="I1469" s="6" t="n">
        <f aca="false">IF($A1469="","",IF(ISNUMBER(Base_Bruta!I1469),Base_Bruta!I1469,IFERROR(_xlfn.NUMBERVALUE(TRIM(SUBSTITUTE(Base_Bruta!I1469,"R$","")),",","."),0)))</f>
        <v>625</v>
      </c>
      <c r="J1469" s="6" t="n">
        <f aca="false">IF($A1469="","",H1469*I1469)</f>
        <v>625</v>
      </c>
      <c r="K1469" s="4" t="str">
        <f aca="false">IF($A1469="","",TRIM(Base_Bruta!J1469))</f>
        <v>App</v>
      </c>
      <c r="L1469" s="4" t="str">
        <f aca="false">IF($A1469="","",TRIM(Base_Bruta!K1469))</f>
        <v>C01968</v>
      </c>
      <c r="M1469" s="4" t="str">
        <f aca="false">IF($A1469="","",_xlfn.XLOOKUP(LOWER(TRIM(Base_Bruta!L1469)),DePara_Cidade!$A$2:$A$29,DePara_Cidade!$B$2:$B$29,"REVISAR"))</f>
        <v>Rio de Janeiro</v>
      </c>
      <c r="N1469" s="4" t="str">
        <f aca="false">IF($A1469="","",UPPER(TRIM(Base_Bruta!M1469)))</f>
        <v>RJ</v>
      </c>
      <c r="O1469" s="4" t="str">
        <f aca="false">IF($A1469="","",_xlfn.XLOOKUP(LOWER(TRIM(Base_Bruta!N1469)),DePara_Pais!$A$2:$A$9,DePara_Pais!$B$2:$B$9,"REVISAR"))</f>
        <v>Brasil</v>
      </c>
      <c r="P1469" s="4" t="str">
        <f aca="false">IF($A1469="","",IF(O1469&lt;&gt;"Brasil","Turista Internacional",IF(M1469=F1469,"Local","Turista Nacional")))</f>
        <v>Local</v>
      </c>
      <c r="Q1469" s="7" t="n">
        <f aca="false">IF($A1469="","",DATE(YEAR(B1469),MONTH(B1469),1))</f>
        <v>46143</v>
      </c>
      <c r="R1469" s="4" t="str">
        <f aca="false">IF($A1469="","",IF(COUNTIF($A$2:$A1469,$A1469)&gt;1,"Sim","Não"))</f>
        <v>Não</v>
      </c>
      <c r="S1469" s="4" t="str">
        <f aca="false">IF(A1469="","Descartar - Linha vazia",IF(R1469="Sim","Descartar - Duplicado",IF(OR(H1469&lt;=0,I1469&lt;=0),"Descartar - Qtd/Valor inválido","OK")))</f>
        <v>OK</v>
      </c>
      <c r="T1469" s="4" t="str">
        <f aca="false">Base_Bruta!P1469</f>
        <v>vendas_RJ.xlsx</v>
      </c>
    </row>
    <row r="1470" customFormat="false" ht="15" hidden="false" customHeight="false" outlineLevel="0" collapsed="false">
      <c r="A1470" s="4" t="str">
        <f aca="false">IF(Base_Bruta!A1470="","",Base_Bruta!A1470)</f>
        <v>RJ-000386</v>
      </c>
      <c r="B1470" s="5" t="n">
        <f aca="false">IF($A1470="","",IF(ISNUMBER(Base_Bruta!B1470),Base_Bruta!B1470,IF(MID(Base_Bruta!B1470,5,1)="-",DATE(VALUE(LEFT(Base_Bruta!B1470,4)),VALUE(MID(Base_Bruta!B1470,6,2)),VALUE(RIGHT(Base_Bruta!B1470,2))),DATE(VALUE(RIGHT(Base_Bruta!B1470,4)),VALUE(MID(Base_Bruta!B1470,4,2)),VALUE(LEFT(Base_Bruta!B1470,2))))))</f>
        <v>46146</v>
      </c>
      <c r="C1470" s="5" t="n">
        <f aca="false">IF($A1470="","",IF(ISNUMBER(Base_Bruta!C1470),Base_Bruta!C1470,IF(MID(Base_Bruta!C1470,5,1)="-",DATE(VALUE(LEFT(Base_Bruta!C1470,4)),VALUE(MID(Base_Bruta!C1470,6,2)),VALUE(RIGHT(Base_Bruta!C1470,2))),DATE(VALUE(RIGHT(Base_Bruta!C1470,4)),VALUE(MID(Base_Bruta!C1470,4,2)),VALUE(LEFT(Base_Bruta!C1470,2))))))</f>
        <v>46151</v>
      </c>
      <c r="D1470" s="4" t="str">
        <f aca="false">IF($A1470="","",TRIM(Base_Bruta!D1470))</f>
        <v>Turnê Internacional Rock - Rio</v>
      </c>
      <c r="E1470" s="4" t="str">
        <f aca="false">IF($A1470="","",_xlfn.XLOOKUP(LOWER(TRIM(Base_Bruta!E1470)),DePara_Categoria!$A$2:$A$9,DePara_Categoria!$B$2:$B$9,"REVISAR"))</f>
        <v>Show</v>
      </c>
      <c r="F1470" s="4" t="str">
        <f aca="false">IF($A1470="","",_xlfn.XLOOKUP(LOWER(TRIM(Base_Bruta!F1470)),DePara_Cidade!$A$2:$A$29,DePara_Cidade!$B$2:$B$29,"REVISAR"))</f>
        <v>Rio de Janeiro</v>
      </c>
      <c r="G1470" s="4" t="str">
        <f aca="false">IF($A1470="","",TRIM(Base_Bruta!G1470))</f>
        <v>Meia</v>
      </c>
      <c r="H1470" s="4" t="n">
        <f aca="false">IF($A1470="","",IF(ISNUMBER(Base_Bruta!H1470),Base_Bruta!H1470,IFERROR(_xlfn.NUMBERVALUE(TRIM(SUBSTITUTE(Base_Bruta!H1470,"R$","")),",","."),0)))</f>
        <v>1</v>
      </c>
      <c r="I1470" s="6" t="n">
        <f aca="false">IF($A1470="","",IF(ISNUMBER(Base_Bruta!I1470),Base_Bruta!I1470,IFERROR(_xlfn.NUMBERVALUE(TRIM(SUBSTITUTE(Base_Bruta!I1470,"R$","")),",","."),0)))</f>
        <v>125</v>
      </c>
      <c r="J1470" s="6" t="n">
        <f aca="false">IF($A1470="","",H1470*I1470)</f>
        <v>125</v>
      </c>
      <c r="K1470" s="4" t="str">
        <f aca="false">IF($A1470="","",TRIM(Base_Bruta!J1470))</f>
        <v>Site</v>
      </c>
      <c r="L1470" s="4" t="str">
        <f aca="false">IF($A1470="","",TRIM(Base_Bruta!K1470))</f>
        <v>C00282</v>
      </c>
      <c r="M1470" s="4" t="str">
        <f aca="false">IF($A1470="","",_xlfn.XLOOKUP(LOWER(TRIM(Base_Bruta!L1470)),DePara_Cidade!$A$2:$A$29,DePara_Cidade!$B$2:$B$29,"REVISAR"))</f>
        <v>Rio de Janeiro</v>
      </c>
      <c r="N1470" s="4" t="str">
        <f aca="false">IF($A1470="","",UPPER(TRIM(Base_Bruta!M1470)))</f>
        <v>RJ</v>
      </c>
      <c r="O1470" s="4" t="str">
        <f aca="false">IF($A1470="","",_xlfn.XLOOKUP(LOWER(TRIM(Base_Bruta!N1470)),DePara_Pais!$A$2:$A$9,DePara_Pais!$B$2:$B$9,"REVISAR"))</f>
        <v>Brasil</v>
      </c>
      <c r="P1470" s="4" t="str">
        <f aca="false">IF($A1470="","",IF(O1470&lt;&gt;"Brasil","Turista Internacional",IF(M1470=F1470,"Local","Turista Nacional")))</f>
        <v>Local</v>
      </c>
      <c r="Q1470" s="7" t="n">
        <f aca="false">IF($A1470="","",DATE(YEAR(B1470),MONTH(B1470),1))</f>
        <v>46143</v>
      </c>
      <c r="R1470" s="4" t="str">
        <f aca="false">IF($A1470="","",IF(COUNTIF($A$2:$A1470,$A1470)&gt;1,"Sim","Não"))</f>
        <v>Não</v>
      </c>
      <c r="S1470" s="4" t="str">
        <f aca="false">IF(A1470="","Descartar - Linha vazia",IF(R1470="Sim","Descartar - Duplicado",IF(OR(H1470&lt;=0,I1470&lt;=0),"Descartar - Qtd/Valor inválido","OK")))</f>
        <v>OK</v>
      </c>
      <c r="T1470" s="4" t="str">
        <f aca="false">Base_Bruta!P1470</f>
        <v>vendas_RJ.xlsx</v>
      </c>
    </row>
    <row r="1471" customFormat="false" ht="15" hidden="false" customHeight="false" outlineLevel="0" collapsed="false">
      <c r="A1471" s="4" t="str">
        <f aca="false">IF(Base_Bruta!A1471="","",Base_Bruta!A1471)</f>
        <v>RJ-000388</v>
      </c>
      <c r="B1471" s="5" t="n">
        <f aca="false">IF($A1471="","",IF(ISNUMBER(Base_Bruta!B1471),Base_Bruta!B1471,IF(MID(Base_Bruta!B1471,5,1)="-",DATE(VALUE(LEFT(Base_Bruta!B1471,4)),VALUE(MID(Base_Bruta!B1471,6,2)),VALUE(RIGHT(Base_Bruta!B1471,2))),DATE(VALUE(RIGHT(Base_Bruta!B1471,4)),VALUE(MID(Base_Bruta!B1471,4,2)),VALUE(LEFT(Base_Bruta!B1471,2))))))</f>
        <v>46146</v>
      </c>
      <c r="C1471" s="5" t="n">
        <f aca="false">IF($A1471="","",IF(ISNUMBER(Base_Bruta!C1471),Base_Bruta!C1471,IF(MID(Base_Bruta!C1471,5,1)="-",DATE(VALUE(LEFT(Base_Bruta!C1471,4)),VALUE(MID(Base_Bruta!C1471,6,2)),VALUE(RIGHT(Base_Bruta!C1471,2))),DATE(VALUE(RIGHT(Base_Bruta!C1471,4)),VALUE(MID(Base_Bruta!C1471,4,2)),VALUE(LEFT(Base_Bruta!C1471,2))))))</f>
        <v>46151</v>
      </c>
      <c r="D1471" s="4" t="str">
        <f aca="false">IF($A1471="","",TRIM(Base_Bruta!D1471))</f>
        <v>Turnê Internacional Rock - Rio</v>
      </c>
      <c r="E1471" s="4" t="str">
        <f aca="false">IF($A1471="","",_xlfn.XLOOKUP(LOWER(TRIM(Base_Bruta!E1471)),DePara_Categoria!$A$2:$A$9,DePara_Categoria!$B$2:$B$9,"REVISAR"))</f>
        <v>Show</v>
      </c>
      <c r="F1471" s="4" t="str">
        <f aca="false">IF($A1471="","",_xlfn.XLOOKUP(LOWER(TRIM(Base_Bruta!F1471)),DePara_Cidade!$A$2:$A$29,DePara_Cidade!$B$2:$B$29,"REVISAR"))</f>
        <v>Rio de Janeiro</v>
      </c>
      <c r="G1471" s="4" t="str">
        <f aca="false">IF($A1471="","",TRIM(Base_Bruta!G1471))</f>
        <v>Meia</v>
      </c>
      <c r="H1471" s="4" t="n">
        <f aca="false">IF($A1471="","",IF(ISNUMBER(Base_Bruta!H1471),Base_Bruta!H1471,IFERROR(_xlfn.NUMBERVALUE(TRIM(SUBSTITUTE(Base_Bruta!H1471,"R$","")),",","."),0)))</f>
        <v>1</v>
      </c>
      <c r="I1471" s="6" t="n">
        <f aca="false">IF($A1471="","",IF(ISNUMBER(Base_Bruta!I1471),Base_Bruta!I1471,IFERROR(_xlfn.NUMBERVALUE(TRIM(SUBSTITUTE(Base_Bruta!I1471,"R$","")),",","."),0)))</f>
        <v>137.5</v>
      </c>
      <c r="J1471" s="6" t="n">
        <f aca="false">IF($A1471="","",H1471*I1471)</f>
        <v>137.5</v>
      </c>
      <c r="K1471" s="4" t="str">
        <f aca="false">IF($A1471="","",TRIM(Base_Bruta!J1471))</f>
        <v>Parceiro</v>
      </c>
      <c r="L1471" s="4" t="str">
        <f aca="false">IF($A1471="","",TRIM(Base_Bruta!K1471))</f>
        <v>C02361</v>
      </c>
      <c r="M1471" s="4" t="str">
        <f aca="false">IF($A1471="","",_xlfn.XLOOKUP(LOWER(TRIM(Base_Bruta!L1471)),DePara_Cidade!$A$2:$A$29,DePara_Cidade!$B$2:$B$29,"REVISAR"))</f>
        <v>Santos</v>
      </c>
      <c r="N1471" s="4" t="str">
        <f aca="false">IF($A1471="","",UPPER(TRIM(Base_Bruta!M1471)))</f>
        <v>SP</v>
      </c>
      <c r="O1471" s="4" t="str">
        <f aca="false">IF($A1471="","",_xlfn.XLOOKUP(LOWER(TRIM(Base_Bruta!N1471)),DePara_Pais!$A$2:$A$9,DePara_Pais!$B$2:$B$9,"REVISAR"))</f>
        <v>Brasil</v>
      </c>
      <c r="P1471" s="4" t="str">
        <f aca="false">IF($A1471="","",IF(O1471&lt;&gt;"Brasil","Turista Internacional",IF(M1471=F1471,"Local","Turista Nacional")))</f>
        <v>Turista Nacional</v>
      </c>
      <c r="Q1471" s="7" t="n">
        <f aca="false">IF($A1471="","",DATE(YEAR(B1471),MONTH(B1471),1))</f>
        <v>46143</v>
      </c>
      <c r="R1471" s="4" t="str">
        <f aca="false">IF($A1471="","",IF(COUNTIF($A$2:$A1471,$A1471)&gt;1,"Sim","Não"))</f>
        <v>Não</v>
      </c>
      <c r="S1471" s="4" t="str">
        <f aca="false">IF(A1471="","Descartar - Linha vazia",IF(R1471="Sim","Descartar - Duplicado",IF(OR(H1471&lt;=0,I1471&lt;=0),"Descartar - Qtd/Valor inválido","OK")))</f>
        <v>OK</v>
      </c>
      <c r="T1471" s="4" t="str">
        <f aca="false">Base_Bruta!P1471</f>
        <v>vendas_RJ.xlsx</v>
      </c>
    </row>
    <row r="1472" customFormat="false" ht="15" hidden="false" customHeight="false" outlineLevel="0" collapsed="false">
      <c r="A1472" s="4" t="str">
        <f aca="false">IF(Base_Bruta!A1472="","",Base_Bruta!A1472)</f>
        <v>RJ-000392</v>
      </c>
      <c r="B1472" s="5" t="n">
        <f aca="false">IF($A1472="","",IF(ISNUMBER(Base_Bruta!B1472),Base_Bruta!B1472,IF(MID(Base_Bruta!B1472,5,1)="-",DATE(VALUE(LEFT(Base_Bruta!B1472,4)),VALUE(MID(Base_Bruta!B1472,6,2)),VALUE(RIGHT(Base_Bruta!B1472,2))),DATE(VALUE(RIGHT(Base_Bruta!B1472,4)),VALUE(MID(Base_Bruta!B1472,4,2)),VALUE(LEFT(Base_Bruta!B1472,2))))))</f>
        <v>46146</v>
      </c>
      <c r="C1472" s="5" t="n">
        <f aca="false">IF($A1472="","",IF(ISNUMBER(Base_Bruta!C1472),Base_Bruta!C1472,IF(MID(Base_Bruta!C1472,5,1)="-",DATE(VALUE(LEFT(Base_Bruta!C1472,4)),VALUE(MID(Base_Bruta!C1472,6,2)),VALUE(RIGHT(Base_Bruta!C1472,2))),DATE(VALUE(RIGHT(Base_Bruta!C1472,4)),VALUE(MID(Base_Bruta!C1472,4,2)),VALUE(LEFT(Base_Bruta!C1472,2))))))</f>
        <v>46151</v>
      </c>
      <c r="D1472" s="4" t="str">
        <f aca="false">IF($A1472="","",TRIM(Base_Bruta!D1472))</f>
        <v>Turnê Internacional Rock - Rio</v>
      </c>
      <c r="E1472" s="4" t="str">
        <f aca="false">IF($A1472="","",_xlfn.XLOOKUP(LOWER(TRIM(Base_Bruta!E1472)),DePara_Categoria!$A$2:$A$9,DePara_Categoria!$B$2:$B$9,"REVISAR"))</f>
        <v>Show</v>
      </c>
      <c r="F1472" s="4" t="str">
        <f aca="false">IF($A1472="","",_xlfn.XLOOKUP(LOWER(TRIM(Base_Bruta!F1472)),DePara_Cidade!$A$2:$A$29,DePara_Cidade!$B$2:$B$29,"REVISAR"))</f>
        <v>Rio de Janeiro</v>
      </c>
      <c r="G1472" s="4" t="str">
        <f aca="false">IF($A1472="","",TRIM(Base_Bruta!G1472))</f>
        <v>Inteira</v>
      </c>
      <c r="H1472" s="4" t="n">
        <f aca="false">IF($A1472="","",IF(ISNUMBER(Base_Bruta!H1472),Base_Bruta!H1472,IFERROR(_xlfn.NUMBERVALUE(TRIM(SUBSTITUTE(Base_Bruta!H1472,"R$","")),",","."),0)))</f>
        <v>3</v>
      </c>
      <c r="I1472" s="6" t="n">
        <f aca="false">IF($A1472="","",IF(ISNUMBER(Base_Bruta!I1472),Base_Bruta!I1472,IFERROR(_xlfn.NUMBERVALUE(TRIM(SUBSTITUTE(Base_Bruta!I1472,"R$","")),",","."),0)))</f>
        <v>540</v>
      </c>
      <c r="J1472" s="6" t="n">
        <f aca="false">IF($A1472="","",H1472*I1472)</f>
        <v>1620</v>
      </c>
      <c r="K1472" s="4" t="str">
        <f aca="false">IF($A1472="","",TRIM(Base_Bruta!J1472))</f>
        <v>Site</v>
      </c>
      <c r="L1472" s="4" t="str">
        <f aca="false">IF($A1472="","",TRIM(Base_Bruta!K1472))</f>
        <v>C02459</v>
      </c>
      <c r="M1472" s="4" t="str">
        <f aca="false">IF($A1472="","",_xlfn.XLOOKUP(LOWER(TRIM(Base_Bruta!L1472)),DePara_Cidade!$A$2:$A$29,DePara_Cidade!$B$2:$B$29,"REVISAR"))</f>
        <v>Rio de Janeiro</v>
      </c>
      <c r="N1472" s="4" t="str">
        <f aca="false">IF($A1472="","",UPPER(TRIM(Base_Bruta!M1472)))</f>
        <v>RJ</v>
      </c>
      <c r="O1472" s="4" t="str">
        <f aca="false">IF($A1472="","",_xlfn.XLOOKUP(LOWER(TRIM(Base_Bruta!N1472)),DePara_Pais!$A$2:$A$9,DePara_Pais!$B$2:$B$9,"REVISAR"))</f>
        <v>Brasil</v>
      </c>
      <c r="P1472" s="4" t="str">
        <f aca="false">IF($A1472="","",IF(O1472&lt;&gt;"Brasil","Turista Internacional",IF(M1472=F1472,"Local","Turista Nacional")))</f>
        <v>Local</v>
      </c>
      <c r="Q1472" s="7" t="n">
        <f aca="false">IF($A1472="","",DATE(YEAR(B1472),MONTH(B1472),1))</f>
        <v>46143</v>
      </c>
      <c r="R1472" s="4" t="str">
        <f aca="false">IF($A1472="","",IF(COUNTIF($A$2:$A1472,$A1472)&gt;1,"Sim","Não"))</f>
        <v>Não</v>
      </c>
      <c r="S1472" s="4" t="str">
        <f aca="false">IF(A1472="","Descartar - Linha vazia",IF(R1472="Sim","Descartar - Duplicado",IF(OR(H1472&lt;=0,I1472&lt;=0),"Descartar - Qtd/Valor inválido","OK")))</f>
        <v>OK</v>
      </c>
      <c r="T1472" s="4" t="str">
        <f aca="false">Base_Bruta!P1472</f>
        <v>vendas_RJ.xlsx</v>
      </c>
    </row>
    <row r="1473" customFormat="false" ht="15" hidden="false" customHeight="false" outlineLevel="0" collapsed="false">
      <c r="A1473" s="4" t="str">
        <f aca="false">IF(Base_Bruta!A1473="","",Base_Bruta!A1473)</f>
        <v>RJ-000414</v>
      </c>
      <c r="B1473" s="5" t="n">
        <f aca="false">IF($A1473="","",IF(ISNUMBER(Base_Bruta!B1473),Base_Bruta!B1473,IF(MID(Base_Bruta!B1473,5,1)="-",DATE(VALUE(LEFT(Base_Bruta!B1473,4)),VALUE(MID(Base_Bruta!B1473,6,2)),VALUE(RIGHT(Base_Bruta!B1473,2))),DATE(VALUE(RIGHT(Base_Bruta!B1473,4)),VALUE(MID(Base_Bruta!B1473,4,2)),VALUE(LEFT(Base_Bruta!B1473,2))))))</f>
        <v>46146</v>
      </c>
      <c r="C1473" s="5" t="n">
        <f aca="false">IF($A1473="","",IF(ISNUMBER(Base_Bruta!C1473),Base_Bruta!C1473,IF(MID(Base_Bruta!C1473,5,1)="-",DATE(VALUE(LEFT(Base_Bruta!C1473,4)),VALUE(MID(Base_Bruta!C1473,6,2)),VALUE(RIGHT(Base_Bruta!C1473,2))),DATE(VALUE(RIGHT(Base_Bruta!C1473,4)),VALUE(MID(Base_Bruta!C1473,4,2)),VALUE(LEFT(Base_Bruta!C1473,2))))))</f>
        <v>46151</v>
      </c>
      <c r="D1473" s="4" t="str">
        <f aca="false">IF($A1473="","",TRIM(Base_Bruta!D1473))</f>
        <v>Turnê Internacional Rock - Rio</v>
      </c>
      <c r="E1473" s="4" t="str">
        <f aca="false">IF($A1473="","",_xlfn.XLOOKUP(LOWER(TRIM(Base_Bruta!E1473)),DePara_Categoria!$A$2:$A$9,DePara_Categoria!$B$2:$B$9,"REVISAR"))</f>
        <v>Show</v>
      </c>
      <c r="F1473" s="4" t="str">
        <f aca="false">IF($A1473="","",_xlfn.XLOOKUP(LOWER(TRIM(Base_Bruta!F1473)),DePara_Cidade!$A$2:$A$29,DePara_Cidade!$B$2:$B$29,"REVISAR"))</f>
        <v>Rio de Janeiro</v>
      </c>
      <c r="G1473" s="4" t="str">
        <f aca="false">IF($A1473="","",TRIM(Base_Bruta!G1473))</f>
        <v>Inteira</v>
      </c>
      <c r="H1473" s="4" t="n">
        <f aca="false">IF($A1473="","",IF(ISNUMBER(Base_Bruta!H1473),Base_Bruta!H1473,IFERROR(_xlfn.NUMBERVALUE(TRIM(SUBSTITUTE(Base_Bruta!H1473,"R$","")),",","."),0)))</f>
        <v>4</v>
      </c>
      <c r="I1473" s="6" t="n">
        <f aca="false">IF($A1473="","",IF(ISNUMBER(Base_Bruta!I1473),Base_Bruta!I1473,IFERROR(_xlfn.NUMBERVALUE(TRIM(SUBSTITUTE(Base_Bruta!I1473,"R$","")),",","."),0)))</f>
        <v>405</v>
      </c>
      <c r="J1473" s="6" t="n">
        <f aca="false">IF($A1473="","",H1473*I1473)</f>
        <v>1620</v>
      </c>
      <c r="K1473" s="4" t="str">
        <f aca="false">IF($A1473="","",TRIM(Base_Bruta!J1473))</f>
        <v>Site</v>
      </c>
      <c r="L1473" s="4" t="str">
        <f aca="false">IF($A1473="","",TRIM(Base_Bruta!K1473))</f>
        <v>C01717</v>
      </c>
      <c r="M1473" s="4" t="str">
        <f aca="false">IF($A1473="","",_xlfn.XLOOKUP(LOWER(TRIM(Base_Bruta!L1473)),DePara_Cidade!$A$2:$A$29,DePara_Cidade!$B$2:$B$29,"REVISAR"))</f>
        <v>Rio de Janeiro</v>
      </c>
      <c r="N1473" s="4" t="str">
        <f aca="false">IF($A1473="","",UPPER(TRIM(Base_Bruta!M1473)))</f>
        <v>RJ</v>
      </c>
      <c r="O1473" s="4" t="str">
        <f aca="false">IF($A1473="","",_xlfn.XLOOKUP(LOWER(TRIM(Base_Bruta!N1473)),DePara_Pais!$A$2:$A$9,DePara_Pais!$B$2:$B$9,"REVISAR"))</f>
        <v>Brasil</v>
      </c>
      <c r="P1473" s="4" t="str">
        <f aca="false">IF($A1473="","",IF(O1473&lt;&gt;"Brasil","Turista Internacional",IF(M1473=F1473,"Local","Turista Nacional")))</f>
        <v>Local</v>
      </c>
      <c r="Q1473" s="7" t="n">
        <f aca="false">IF($A1473="","",DATE(YEAR(B1473),MONTH(B1473),1))</f>
        <v>46143</v>
      </c>
      <c r="R1473" s="4" t="str">
        <f aca="false">IF($A1473="","",IF(COUNTIF($A$2:$A1473,$A1473)&gt;1,"Sim","Não"))</f>
        <v>Não</v>
      </c>
      <c r="S1473" s="4" t="str">
        <f aca="false">IF(A1473="","Descartar - Linha vazia",IF(R1473="Sim","Descartar - Duplicado",IF(OR(H1473&lt;=0,I1473&lt;=0),"Descartar - Qtd/Valor inválido","OK")))</f>
        <v>OK</v>
      </c>
      <c r="T1473" s="4" t="str">
        <f aca="false">Base_Bruta!P1473</f>
        <v>vendas_RJ.xlsx</v>
      </c>
    </row>
    <row r="1474" customFormat="false" ht="15" hidden="false" customHeight="false" outlineLevel="0" collapsed="false">
      <c r="A1474" s="4" t="str">
        <f aca="false">IF(Base_Bruta!A1474="","",Base_Bruta!A1474)</f>
        <v>RJ-000491</v>
      </c>
      <c r="B1474" s="5" t="n">
        <f aca="false">IF($A1474="","",IF(ISNUMBER(Base_Bruta!B1474),Base_Bruta!B1474,IF(MID(Base_Bruta!B1474,5,1)="-",DATE(VALUE(LEFT(Base_Bruta!B1474,4)),VALUE(MID(Base_Bruta!B1474,6,2)),VALUE(RIGHT(Base_Bruta!B1474,2))),DATE(VALUE(RIGHT(Base_Bruta!B1474,4)),VALUE(MID(Base_Bruta!B1474,4,2)),VALUE(LEFT(Base_Bruta!B1474,2))))))</f>
        <v>46146</v>
      </c>
      <c r="C1474" s="5" t="n">
        <f aca="false">IF($A1474="","",IF(ISNUMBER(Base_Bruta!C1474),Base_Bruta!C1474,IF(MID(Base_Bruta!C1474,5,1)="-",DATE(VALUE(LEFT(Base_Bruta!C1474,4)),VALUE(MID(Base_Bruta!C1474,6,2)),VALUE(RIGHT(Base_Bruta!C1474,2))),DATE(VALUE(RIGHT(Base_Bruta!C1474,4)),VALUE(MID(Base_Bruta!C1474,4,2)),VALUE(LEFT(Base_Bruta!C1474,2))))))</f>
        <v>46151</v>
      </c>
      <c r="D1474" s="4" t="str">
        <f aca="false">IF($A1474="","",TRIM(Base_Bruta!D1474))</f>
        <v>Turnê Internacional Rock - Rio</v>
      </c>
      <c r="E1474" s="4" t="str">
        <f aca="false">IF($A1474="","",_xlfn.XLOOKUP(LOWER(TRIM(Base_Bruta!E1474)),DePara_Categoria!$A$2:$A$9,DePara_Categoria!$B$2:$B$9,"REVISAR"))</f>
        <v>Show</v>
      </c>
      <c r="F1474" s="4" t="str">
        <f aca="false">IF($A1474="","",_xlfn.XLOOKUP(LOWER(TRIM(Base_Bruta!F1474)),DePara_Cidade!$A$2:$A$29,DePara_Cidade!$B$2:$B$29,"REVISAR"))</f>
        <v>Rio de Janeiro</v>
      </c>
      <c r="G1474" s="4" t="str">
        <f aca="false">IF($A1474="","",TRIM(Base_Bruta!G1474))</f>
        <v>VIP</v>
      </c>
      <c r="H1474" s="4" t="n">
        <f aca="false">IF($A1474="","",IF(ISNUMBER(Base_Bruta!H1474),Base_Bruta!H1474,IFERROR(_xlfn.NUMBERVALUE(TRIM(SUBSTITUTE(Base_Bruta!H1474,"R$","")),",","."),0)))</f>
        <v>1</v>
      </c>
      <c r="I1474" s="6" t="n">
        <f aca="false">IF($A1474="","",IF(ISNUMBER(Base_Bruta!I1474),Base_Bruta!I1474,IFERROR(_xlfn.NUMBERVALUE(TRIM(SUBSTITUTE(Base_Bruta!I1474,"R$","")),",","."),0)))</f>
        <v>450</v>
      </c>
      <c r="J1474" s="6" t="n">
        <f aca="false">IF($A1474="","",H1474*I1474)</f>
        <v>450</v>
      </c>
      <c r="K1474" s="4" t="str">
        <f aca="false">IF($A1474="","",TRIM(Base_Bruta!J1474))</f>
        <v>Site</v>
      </c>
      <c r="L1474" s="4" t="str">
        <f aca="false">IF($A1474="","",TRIM(Base_Bruta!K1474))</f>
        <v>C01750</v>
      </c>
      <c r="M1474" s="4" t="str">
        <f aca="false">IF($A1474="","",_xlfn.XLOOKUP(LOWER(TRIM(Base_Bruta!L1474)),DePara_Cidade!$A$2:$A$29,DePara_Cidade!$B$2:$B$29,"REVISAR"))</f>
        <v>Vitória</v>
      </c>
      <c r="N1474" s="4" t="str">
        <f aca="false">IF($A1474="","",UPPER(TRIM(Base_Bruta!M1474)))</f>
        <v>ES</v>
      </c>
      <c r="O1474" s="4" t="str">
        <f aca="false">IF($A1474="","",_xlfn.XLOOKUP(LOWER(TRIM(Base_Bruta!N1474)),DePara_Pais!$A$2:$A$9,DePara_Pais!$B$2:$B$9,"REVISAR"))</f>
        <v>Brasil</v>
      </c>
      <c r="P1474" s="4" t="str">
        <f aca="false">IF($A1474="","",IF(O1474&lt;&gt;"Brasil","Turista Internacional",IF(M1474=F1474,"Local","Turista Nacional")))</f>
        <v>Turista Nacional</v>
      </c>
      <c r="Q1474" s="7" t="n">
        <f aca="false">IF($A1474="","",DATE(YEAR(B1474),MONTH(B1474),1))</f>
        <v>46143</v>
      </c>
      <c r="R1474" s="4" t="str">
        <f aca="false">IF($A1474="","",IF(COUNTIF($A$2:$A1474,$A1474)&gt;1,"Sim","Não"))</f>
        <v>Não</v>
      </c>
      <c r="S1474" s="4" t="str">
        <f aca="false">IF(A1474="","Descartar - Linha vazia",IF(R1474="Sim","Descartar - Duplicado",IF(OR(H1474&lt;=0,I1474&lt;=0),"Descartar - Qtd/Valor inválido","OK")))</f>
        <v>OK</v>
      </c>
      <c r="T1474" s="4" t="str">
        <f aca="false">Base_Bruta!P1474</f>
        <v>vendas_RJ.xlsx</v>
      </c>
    </row>
    <row r="1475" customFormat="false" ht="15" hidden="false" customHeight="false" outlineLevel="0" collapsed="false">
      <c r="A1475" s="4" t="str">
        <f aca="false">IF(Base_Bruta!A1475="","",Base_Bruta!A1475)</f>
        <v>RJ-000494</v>
      </c>
      <c r="B1475" s="5" t="n">
        <f aca="false">IF($A1475="","",IF(ISNUMBER(Base_Bruta!B1475),Base_Bruta!B1475,IF(MID(Base_Bruta!B1475,5,1)="-",DATE(VALUE(LEFT(Base_Bruta!B1475,4)),VALUE(MID(Base_Bruta!B1475,6,2)),VALUE(RIGHT(Base_Bruta!B1475,2))),DATE(VALUE(RIGHT(Base_Bruta!B1475,4)),VALUE(MID(Base_Bruta!B1475,4,2)),VALUE(LEFT(Base_Bruta!B1475,2))))))</f>
        <v>46146</v>
      </c>
      <c r="C1475" s="5" t="n">
        <f aca="false">IF($A1475="","",IF(ISNUMBER(Base_Bruta!C1475),Base_Bruta!C1475,IF(MID(Base_Bruta!C1475,5,1)="-",DATE(VALUE(LEFT(Base_Bruta!C1475,4)),VALUE(MID(Base_Bruta!C1475,6,2)),VALUE(RIGHT(Base_Bruta!C1475,2))),DATE(VALUE(RIGHT(Base_Bruta!C1475,4)),VALUE(MID(Base_Bruta!C1475,4,2)),VALUE(LEFT(Base_Bruta!C1475,2))))))</f>
        <v>46151</v>
      </c>
      <c r="D1475" s="4" t="str">
        <f aca="false">IF($A1475="","",TRIM(Base_Bruta!D1475))</f>
        <v>Turnê Internacional Rock - Rio</v>
      </c>
      <c r="E1475" s="4" t="str">
        <f aca="false">IF($A1475="","",_xlfn.XLOOKUP(LOWER(TRIM(Base_Bruta!E1475)),DePara_Categoria!$A$2:$A$9,DePara_Categoria!$B$2:$B$9,"REVISAR"))</f>
        <v>Show</v>
      </c>
      <c r="F1475" s="4" t="str">
        <f aca="false">IF($A1475="","",_xlfn.XLOOKUP(LOWER(TRIM(Base_Bruta!F1475)),DePara_Cidade!$A$2:$A$29,DePara_Cidade!$B$2:$B$29,"REVISAR"))</f>
        <v>Rio de Janeiro</v>
      </c>
      <c r="G1475" s="4" t="str">
        <f aca="false">IF($A1475="","",TRIM(Base_Bruta!G1475))</f>
        <v>Inteira</v>
      </c>
      <c r="H1475" s="4" t="n">
        <f aca="false">IF($A1475="","",IF(ISNUMBER(Base_Bruta!H1475),Base_Bruta!H1475,IFERROR(_xlfn.NUMBERVALUE(TRIM(SUBSTITUTE(Base_Bruta!H1475,"R$","")),",","."),0)))</f>
        <v>1</v>
      </c>
      <c r="I1475" s="6" t="n">
        <f aca="false">IF($A1475="","",IF(ISNUMBER(Base_Bruta!I1475),Base_Bruta!I1475,IFERROR(_xlfn.NUMBERVALUE(TRIM(SUBSTITUTE(Base_Bruta!I1475,"R$","")),",","."),0)))</f>
        <v>470</v>
      </c>
      <c r="J1475" s="6" t="n">
        <f aca="false">IF($A1475="","",H1475*I1475)</f>
        <v>470</v>
      </c>
      <c r="K1475" s="4" t="str">
        <f aca="false">IF($A1475="","",TRIM(Base_Bruta!J1475))</f>
        <v>Site</v>
      </c>
      <c r="L1475" s="4" t="str">
        <f aca="false">IF($A1475="","",TRIM(Base_Bruta!K1475))</f>
        <v>C01099</v>
      </c>
      <c r="M1475" s="4" t="str">
        <f aca="false">IF($A1475="","",_xlfn.XLOOKUP(LOWER(TRIM(Base_Bruta!L1475)),DePara_Cidade!$A$2:$A$29,DePara_Cidade!$B$2:$B$29,"REVISAR"))</f>
        <v>Rio de Janeiro</v>
      </c>
      <c r="N1475" s="4" t="str">
        <f aca="false">IF($A1475="","",UPPER(TRIM(Base_Bruta!M1475)))</f>
        <v>RJ</v>
      </c>
      <c r="O1475" s="4" t="str">
        <f aca="false">IF($A1475="","",_xlfn.XLOOKUP(LOWER(TRIM(Base_Bruta!N1475)),DePara_Pais!$A$2:$A$9,DePara_Pais!$B$2:$B$9,"REVISAR"))</f>
        <v>Brasil</v>
      </c>
      <c r="P1475" s="4" t="str">
        <f aca="false">IF($A1475="","",IF(O1475&lt;&gt;"Brasil","Turista Internacional",IF(M1475=F1475,"Local","Turista Nacional")))</f>
        <v>Local</v>
      </c>
      <c r="Q1475" s="7" t="n">
        <f aca="false">IF($A1475="","",DATE(YEAR(B1475),MONTH(B1475),1))</f>
        <v>46143</v>
      </c>
      <c r="R1475" s="4" t="str">
        <f aca="false">IF($A1475="","",IF(COUNTIF($A$2:$A1475,$A1475)&gt;1,"Sim","Não"))</f>
        <v>Não</v>
      </c>
      <c r="S1475" s="4" t="str">
        <f aca="false">IF(A1475="","Descartar - Linha vazia",IF(R1475="Sim","Descartar - Duplicado",IF(OR(H1475&lt;=0,I1475&lt;=0),"Descartar - Qtd/Valor inválido","OK")))</f>
        <v>OK</v>
      </c>
      <c r="T1475" s="4" t="str">
        <f aca="false">Base_Bruta!P1475</f>
        <v>vendas_RJ.xlsx</v>
      </c>
    </row>
    <row r="1476" customFormat="false" ht="15" hidden="false" customHeight="false" outlineLevel="0" collapsed="false">
      <c r="A1476" s="4" t="str">
        <f aca="false">IF(Base_Bruta!A1476="","",Base_Bruta!A1476)</f>
        <v>RJ-000523</v>
      </c>
      <c r="B1476" s="5" t="n">
        <f aca="false">IF($A1476="","",IF(ISNUMBER(Base_Bruta!B1476),Base_Bruta!B1476,IF(MID(Base_Bruta!B1476,5,1)="-",DATE(VALUE(LEFT(Base_Bruta!B1476,4)),VALUE(MID(Base_Bruta!B1476,6,2)),VALUE(RIGHT(Base_Bruta!B1476,2))),DATE(VALUE(RIGHT(Base_Bruta!B1476,4)),VALUE(MID(Base_Bruta!B1476,4,2)),VALUE(LEFT(Base_Bruta!B1476,2))))))</f>
        <v>46146</v>
      </c>
      <c r="C1476" s="5" t="n">
        <f aca="false">IF($A1476="","",IF(ISNUMBER(Base_Bruta!C1476),Base_Bruta!C1476,IF(MID(Base_Bruta!C1476,5,1)="-",DATE(VALUE(LEFT(Base_Bruta!C1476,4)),VALUE(MID(Base_Bruta!C1476,6,2)),VALUE(RIGHT(Base_Bruta!C1476,2))),DATE(VALUE(RIGHT(Base_Bruta!C1476,4)),VALUE(MID(Base_Bruta!C1476,4,2)),VALUE(LEFT(Base_Bruta!C1476,2))))))</f>
        <v>46151</v>
      </c>
      <c r="D1476" s="4" t="str">
        <f aca="false">IF($A1476="","",TRIM(Base_Bruta!D1476))</f>
        <v>Turnê Internacional Rock - Rio</v>
      </c>
      <c r="E1476" s="4" t="str">
        <f aca="false">IF($A1476="","",_xlfn.XLOOKUP(LOWER(TRIM(Base_Bruta!E1476)),DePara_Categoria!$A$2:$A$9,DePara_Categoria!$B$2:$B$9,"REVISAR"))</f>
        <v>Show</v>
      </c>
      <c r="F1476" s="4" t="str">
        <f aca="false">IF($A1476="","",_xlfn.XLOOKUP(LOWER(TRIM(Base_Bruta!F1476)),DePara_Cidade!$A$2:$A$29,DePara_Cidade!$B$2:$B$29,"REVISAR"))</f>
        <v>Rio de Janeiro</v>
      </c>
      <c r="G1476" s="4" t="str">
        <f aca="false">IF($A1476="","",TRIM(Base_Bruta!G1476))</f>
        <v>Inteira</v>
      </c>
      <c r="H1476" s="4" t="n">
        <f aca="false">IF($A1476="","",IF(ISNUMBER(Base_Bruta!H1476),Base_Bruta!H1476,IFERROR(_xlfn.NUMBERVALUE(TRIM(SUBSTITUTE(Base_Bruta!H1476,"R$","")),",","."),0)))</f>
        <v>3</v>
      </c>
      <c r="I1476" s="6" t="n">
        <f aca="false">IF($A1476="","",IF(ISNUMBER(Base_Bruta!I1476),Base_Bruta!I1476,IFERROR(_xlfn.NUMBERVALUE(TRIM(SUBSTITUTE(Base_Bruta!I1476,"R$","")),",","."),0)))</f>
        <v>275</v>
      </c>
      <c r="J1476" s="6" t="n">
        <f aca="false">IF($A1476="","",H1476*I1476)</f>
        <v>825</v>
      </c>
      <c r="K1476" s="4" t="str">
        <f aca="false">IF($A1476="","",TRIM(Base_Bruta!J1476))</f>
        <v>Parceiro</v>
      </c>
      <c r="L1476" s="4" t="str">
        <f aca="false">IF($A1476="","",TRIM(Base_Bruta!K1476))</f>
        <v>C02152</v>
      </c>
      <c r="M1476" s="4" t="str">
        <f aca="false">IF($A1476="","",_xlfn.XLOOKUP(LOWER(TRIM(Base_Bruta!L1476)),DePara_Cidade!$A$2:$A$29,DePara_Cidade!$B$2:$B$29,"REVISAR"))</f>
        <v>Rio de Janeiro</v>
      </c>
      <c r="N1476" s="4" t="str">
        <f aca="false">IF($A1476="","",UPPER(TRIM(Base_Bruta!M1476)))</f>
        <v>RJ</v>
      </c>
      <c r="O1476" s="4" t="str">
        <f aca="false">IF($A1476="","",_xlfn.XLOOKUP(LOWER(TRIM(Base_Bruta!N1476)),DePara_Pais!$A$2:$A$9,DePara_Pais!$B$2:$B$9,"REVISAR"))</f>
        <v>Brasil</v>
      </c>
      <c r="P1476" s="4" t="str">
        <f aca="false">IF($A1476="","",IF(O1476&lt;&gt;"Brasil","Turista Internacional",IF(M1476=F1476,"Local","Turista Nacional")))</f>
        <v>Local</v>
      </c>
      <c r="Q1476" s="7" t="n">
        <f aca="false">IF($A1476="","",DATE(YEAR(B1476),MONTH(B1476),1))</f>
        <v>46143</v>
      </c>
      <c r="R1476" s="4" t="str">
        <f aca="false">IF($A1476="","",IF(COUNTIF($A$2:$A1476,$A1476)&gt;1,"Sim","Não"))</f>
        <v>Não</v>
      </c>
      <c r="S1476" s="4" t="str">
        <f aca="false">IF(A1476="","Descartar - Linha vazia",IF(R1476="Sim","Descartar - Duplicado",IF(OR(H1476&lt;=0,I1476&lt;=0),"Descartar - Qtd/Valor inválido","OK")))</f>
        <v>OK</v>
      </c>
      <c r="T1476" s="4" t="str">
        <f aca="false">Base_Bruta!P1476</f>
        <v>vendas_RJ.xlsx</v>
      </c>
    </row>
    <row r="1477" customFormat="false" ht="15" hidden="false" customHeight="false" outlineLevel="0" collapsed="false">
      <c r="A1477" s="4" t="str">
        <f aca="false">IF(Base_Bruta!A1477="","",Base_Bruta!A1477)</f>
        <v>RJ-000432</v>
      </c>
      <c r="B1477" s="5" t="n">
        <f aca="false">IF($A1477="","",IF(ISNUMBER(Base_Bruta!B1477),Base_Bruta!B1477,IF(MID(Base_Bruta!B1477,5,1)="-",DATE(VALUE(LEFT(Base_Bruta!B1477,4)),VALUE(MID(Base_Bruta!B1477,6,2)),VALUE(RIGHT(Base_Bruta!B1477,2))),DATE(VALUE(RIGHT(Base_Bruta!B1477,4)),VALUE(MID(Base_Bruta!B1477,4,2)),VALUE(LEFT(Base_Bruta!B1477,2))))))</f>
        <v>46147</v>
      </c>
      <c r="C1477" s="5" t="n">
        <f aca="false">IF($A1477="","",IF(ISNUMBER(Base_Bruta!C1477),Base_Bruta!C1477,IF(MID(Base_Bruta!C1477,5,1)="-",DATE(VALUE(LEFT(Base_Bruta!C1477,4)),VALUE(MID(Base_Bruta!C1477,6,2)),VALUE(RIGHT(Base_Bruta!C1477,2))),DATE(VALUE(RIGHT(Base_Bruta!C1477,4)),VALUE(MID(Base_Bruta!C1477,4,2)),VALUE(LEFT(Base_Bruta!C1477,2))))))</f>
        <v>46151</v>
      </c>
      <c r="D1477" s="4" t="str">
        <f aca="false">IF($A1477="","",TRIM(Base_Bruta!D1477))</f>
        <v>Turnê Internacional Rock - Rio</v>
      </c>
      <c r="E1477" s="4" t="str">
        <f aca="false">IF($A1477="","",_xlfn.XLOOKUP(LOWER(TRIM(Base_Bruta!E1477)),DePara_Categoria!$A$2:$A$9,DePara_Categoria!$B$2:$B$9,"REVISAR"))</f>
        <v>Show</v>
      </c>
      <c r="F1477" s="4" t="str">
        <f aca="false">IF($A1477="","",_xlfn.XLOOKUP(LOWER(TRIM(Base_Bruta!F1477)),DePara_Cidade!$A$2:$A$29,DePara_Cidade!$B$2:$B$29,"REVISAR"))</f>
        <v>Rio de Janeiro</v>
      </c>
      <c r="G1477" s="4" t="str">
        <f aca="false">IF($A1477="","",TRIM(Base_Bruta!G1477))</f>
        <v>Inteira</v>
      </c>
      <c r="H1477" s="4" t="n">
        <f aca="false">IF($A1477="","",IF(ISNUMBER(Base_Bruta!H1477),Base_Bruta!H1477,IFERROR(_xlfn.NUMBERVALUE(TRIM(SUBSTITUTE(Base_Bruta!H1477,"R$","")),",","."),0)))</f>
        <v>1</v>
      </c>
      <c r="I1477" s="6" t="n">
        <f aca="false">IF($A1477="","",IF(ISNUMBER(Base_Bruta!I1477),Base_Bruta!I1477,IFERROR(_xlfn.NUMBERVALUE(TRIM(SUBSTITUTE(Base_Bruta!I1477,"R$","")),",","."),0)))</f>
        <v>405</v>
      </c>
      <c r="J1477" s="6" t="n">
        <f aca="false">IF($A1477="","",H1477*I1477)</f>
        <v>405</v>
      </c>
      <c r="K1477" s="4" t="str">
        <f aca="false">IF($A1477="","",TRIM(Base_Bruta!J1477))</f>
        <v>Site</v>
      </c>
      <c r="L1477" s="4" t="str">
        <f aca="false">IF($A1477="","",TRIM(Base_Bruta!K1477))</f>
        <v>C01497</v>
      </c>
      <c r="M1477" s="4" t="str">
        <f aca="false">IF($A1477="","",_xlfn.XLOOKUP(LOWER(TRIM(Base_Bruta!L1477)),DePara_Cidade!$A$2:$A$29,DePara_Cidade!$B$2:$B$29,"REVISAR"))</f>
        <v>Rio de Janeiro</v>
      </c>
      <c r="N1477" s="4" t="str">
        <f aca="false">IF($A1477="","",UPPER(TRIM(Base_Bruta!M1477)))</f>
        <v>RJ</v>
      </c>
      <c r="O1477" s="4" t="str">
        <f aca="false">IF($A1477="","",_xlfn.XLOOKUP(LOWER(TRIM(Base_Bruta!N1477)),DePara_Pais!$A$2:$A$9,DePara_Pais!$B$2:$B$9,"REVISAR"))</f>
        <v>Brasil</v>
      </c>
      <c r="P1477" s="4" t="str">
        <f aca="false">IF($A1477="","",IF(O1477&lt;&gt;"Brasil","Turista Internacional",IF(M1477=F1477,"Local","Turista Nacional")))</f>
        <v>Local</v>
      </c>
      <c r="Q1477" s="7" t="n">
        <f aca="false">IF($A1477="","",DATE(YEAR(B1477),MONTH(B1477),1))</f>
        <v>46143</v>
      </c>
      <c r="R1477" s="4" t="str">
        <f aca="false">IF($A1477="","",IF(COUNTIF($A$2:$A1477,$A1477)&gt;1,"Sim","Não"))</f>
        <v>Não</v>
      </c>
      <c r="S1477" s="4" t="str">
        <f aca="false">IF(A1477="","Descartar - Linha vazia",IF(R1477="Sim","Descartar - Duplicado",IF(OR(H1477&lt;=0,I1477&lt;=0),"Descartar - Qtd/Valor inválido","OK")))</f>
        <v>OK</v>
      </c>
      <c r="T1477" s="4" t="str">
        <f aca="false">Base_Bruta!P1477</f>
        <v>vendas_RJ.xlsx</v>
      </c>
    </row>
    <row r="1478" customFormat="false" ht="15" hidden="false" customHeight="false" outlineLevel="0" collapsed="false">
      <c r="A1478" s="4" t="str">
        <f aca="false">IF(Base_Bruta!A1478="","",Base_Bruta!A1478)</f>
        <v>RJ-000453</v>
      </c>
      <c r="B1478" s="5" t="n">
        <f aca="false">IF($A1478="","",IF(ISNUMBER(Base_Bruta!B1478),Base_Bruta!B1478,IF(MID(Base_Bruta!B1478,5,1)="-",DATE(VALUE(LEFT(Base_Bruta!B1478,4)),VALUE(MID(Base_Bruta!B1478,6,2)),VALUE(RIGHT(Base_Bruta!B1478,2))),DATE(VALUE(RIGHT(Base_Bruta!B1478,4)),VALUE(MID(Base_Bruta!B1478,4,2)),VALUE(LEFT(Base_Bruta!B1478,2))))))</f>
        <v>46147</v>
      </c>
      <c r="C1478" s="5" t="n">
        <f aca="false">IF($A1478="","",IF(ISNUMBER(Base_Bruta!C1478),Base_Bruta!C1478,IF(MID(Base_Bruta!C1478,5,1)="-",DATE(VALUE(LEFT(Base_Bruta!C1478,4)),VALUE(MID(Base_Bruta!C1478,6,2)),VALUE(RIGHT(Base_Bruta!C1478,2))),DATE(VALUE(RIGHT(Base_Bruta!C1478,4)),VALUE(MID(Base_Bruta!C1478,4,2)),VALUE(LEFT(Base_Bruta!C1478,2))))))</f>
        <v>46151</v>
      </c>
      <c r="D1478" s="4" t="str">
        <f aca="false">IF($A1478="","",TRIM(Base_Bruta!D1478))</f>
        <v>Turnê Internacional Rock - Rio</v>
      </c>
      <c r="E1478" s="4" t="str">
        <f aca="false">IF($A1478="","",_xlfn.XLOOKUP(LOWER(TRIM(Base_Bruta!E1478)),DePara_Categoria!$A$2:$A$9,DePara_Categoria!$B$2:$B$9,"REVISAR"))</f>
        <v>Show</v>
      </c>
      <c r="F1478" s="4" t="str">
        <f aca="false">IF($A1478="","",_xlfn.XLOOKUP(LOWER(TRIM(Base_Bruta!F1478)),DePara_Cidade!$A$2:$A$29,DePara_Cidade!$B$2:$B$29,"REVISAR"))</f>
        <v>Rio de Janeiro</v>
      </c>
      <c r="G1478" s="4" t="str">
        <f aca="false">IF($A1478="","",TRIM(Base_Bruta!G1478))</f>
        <v>Meia</v>
      </c>
      <c r="H1478" s="4" t="n">
        <f aca="false">IF($A1478="","",IF(ISNUMBER(Base_Bruta!H1478),Base_Bruta!H1478,IFERROR(_xlfn.NUMBERVALUE(TRIM(SUBSTITUTE(Base_Bruta!H1478,"R$","")),",","."),0)))</f>
        <v>1</v>
      </c>
      <c r="I1478" s="6" t="n">
        <f aca="false">IF($A1478="","",IF(ISNUMBER(Base_Bruta!I1478),Base_Bruta!I1478,IFERROR(_xlfn.NUMBERVALUE(TRIM(SUBSTITUTE(Base_Bruta!I1478,"R$","")),",","."),0)))</f>
        <v>365</v>
      </c>
      <c r="J1478" s="6" t="n">
        <f aca="false">IF($A1478="","",H1478*I1478)</f>
        <v>365</v>
      </c>
      <c r="K1478" s="4" t="str">
        <f aca="false">IF($A1478="","",TRIM(Base_Bruta!J1478))</f>
        <v>Site</v>
      </c>
      <c r="L1478" s="4" t="str">
        <f aca="false">IF($A1478="","",TRIM(Base_Bruta!K1478))</f>
        <v>C00084</v>
      </c>
      <c r="M1478" s="4" t="str">
        <f aca="false">IF($A1478="","",_xlfn.XLOOKUP(LOWER(TRIM(Base_Bruta!L1478)),DePara_Cidade!$A$2:$A$29,DePara_Cidade!$B$2:$B$29,"REVISAR"))</f>
        <v>Rio de Janeiro</v>
      </c>
      <c r="N1478" s="4" t="str">
        <f aca="false">IF($A1478="","",UPPER(TRIM(Base_Bruta!M1478)))</f>
        <v>RJ</v>
      </c>
      <c r="O1478" s="4" t="str">
        <f aca="false">IF($A1478="","",_xlfn.XLOOKUP(LOWER(TRIM(Base_Bruta!N1478)),DePara_Pais!$A$2:$A$9,DePara_Pais!$B$2:$B$9,"REVISAR"))</f>
        <v>Brasil</v>
      </c>
      <c r="P1478" s="4" t="str">
        <f aca="false">IF($A1478="","",IF(O1478&lt;&gt;"Brasil","Turista Internacional",IF(M1478=F1478,"Local","Turista Nacional")))</f>
        <v>Local</v>
      </c>
      <c r="Q1478" s="7" t="n">
        <f aca="false">IF($A1478="","",DATE(YEAR(B1478),MONTH(B1478),1))</f>
        <v>46143</v>
      </c>
      <c r="R1478" s="4" t="str">
        <f aca="false">IF($A1478="","",IF(COUNTIF($A$2:$A1478,$A1478)&gt;1,"Sim","Não"))</f>
        <v>Não</v>
      </c>
      <c r="S1478" s="4" t="str">
        <f aca="false">IF(A1478="","Descartar - Linha vazia",IF(R1478="Sim","Descartar - Duplicado",IF(OR(H1478&lt;=0,I1478&lt;=0),"Descartar - Qtd/Valor inválido","OK")))</f>
        <v>OK</v>
      </c>
      <c r="T1478" s="4" t="str">
        <f aca="false">Base_Bruta!P1478</f>
        <v>vendas_RJ.xlsx</v>
      </c>
    </row>
    <row r="1479" customFormat="false" ht="15" hidden="false" customHeight="false" outlineLevel="0" collapsed="false">
      <c r="A1479" s="4" t="str">
        <f aca="false">IF(Base_Bruta!A1479="","",Base_Bruta!A1479)</f>
        <v>RJ-000474</v>
      </c>
      <c r="B1479" s="5" t="n">
        <f aca="false">IF($A1479="","",IF(ISNUMBER(Base_Bruta!B1479),Base_Bruta!B1479,IF(MID(Base_Bruta!B1479,5,1)="-",DATE(VALUE(LEFT(Base_Bruta!B1479,4)),VALUE(MID(Base_Bruta!B1479,6,2)),VALUE(RIGHT(Base_Bruta!B1479,2))),DATE(VALUE(RIGHT(Base_Bruta!B1479,4)),VALUE(MID(Base_Bruta!B1479,4,2)),VALUE(LEFT(Base_Bruta!B1479,2))))))</f>
        <v>46147</v>
      </c>
      <c r="C1479" s="5" t="n">
        <f aca="false">IF($A1479="","",IF(ISNUMBER(Base_Bruta!C1479),Base_Bruta!C1479,IF(MID(Base_Bruta!C1479,5,1)="-",DATE(VALUE(LEFT(Base_Bruta!C1479,4)),VALUE(MID(Base_Bruta!C1479,6,2)),VALUE(RIGHT(Base_Bruta!C1479,2))),DATE(VALUE(RIGHT(Base_Bruta!C1479,4)),VALUE(MID(Base_Bruta!C1479,4,2)),VALUE(LEFT(Base_Bruta!C1479,2))))))</f>
        <v>46151</v>
      </c>
      <c r="D1479" s="4" t="str">
        <f aca="false">IF($A1479="","",TRIM(Base_Bruta!D1479))</f>
        <v>Turnê Internacional Rock - Rio</v>
      </c>
      <c r="E1479" s="4" t="str">
        <f aca="false">IF($A1479="","",_xlfn.XLOOKUP(LOWER(TRIM(Base_Bruta!E1479)),DePara_Categoria!$A$2:$A$9,DePara_Categoria!$B$2:$B$9,"REVISAR"))</f>
        <v>Show</v>
      </c>
      <c r="F1479" s="4" t="str">
        <f aca="false">IF($A1479="","",_xlfn.XLOOKUP(LOWER(TRIM(Base_Bruta!F1479)),DePara_Cidade!$A$2:$A$29,DePara_Cidade!$B$2:$B$29,"REVISAR"))</f>
        <v>Rio de Janeiro</v>
      </c>
      <c r="G1479" s="4" t="str">
        <f aca="false">IF($A1479="","",TRIM(Base_Bruta!G1479))</f>
        <v>Meia</v>
      </c>
      <c r="H1479" s="4" t="n">
        <f aca="false">IF($A1479="","",IF(ISNUMBER(Base_Bruta!H1479),Base_Bruta!H1479,IFERROR(_xlfn.NUMBERVALUE(TRIM(SUBSTITUTE(Base_Bruta!H1479,"R$","")),",","."),0)))</f>
        <v>1</v>
      </c>
      <c r="I1479" s="6" t="n">
        <f aca="false">IF($A1479="","",IF(ISNUMBER(Base_Bruta!I1479),Base_Bruta!I1479,IFERROR(_xlfn.NUMBERVALUE(TRIM(SUBSTITUTE(Base_Bruta!I1479,"R$","")),",","."),0)))</f>
        <v>340</v>
      </c>
      <c r="J1479" s="6" t="n">
        <f aca="false">IF($A1479="","",H1479*I1479)</f>
        <v>340</v>
      </c>
      <c r="K1479" s="4" t="str">
        <f aca="false">IF($A1479="","",TRIM(Base_Bruta!J1479))</f>
        <v>Bilheteria</v>
      </c>
      <c r="L1479" s="4" t="str">
        <f aca="false">IF($A1479="","",TRIM(Base_Bruta!K1479))</f>
        <v>C00291</v>
      </c>
      <c r="M1479" s="4" t="str">
        <f aca="false">IF($A1479="","",_xlfn.XLOOKUP(LOWER(TRIM(Base_Bruta!L1479)),DePara_Cidade!$A$2:$A$29,DePara_Cidade!$B$2:$B$29,"REVISAR"))</f>
        <v>Rio de Janeiro</v>
      </c>
      <c r="N1479" s="4" t="str">
        <f aca="false">IF($A1479="","",UPPER(TRIM(Base_Bruta!M1479)))</f>
        <v>RJ</v>
      </c>
      <c r="O1479" s="4" t="str">
        <f aca="false">IF($A1479="","",_xlfn.XLOOKUP(LOWER(TRIM(Base_Bruta!N1479)),DePara_Pais!$A$2:$A$9,DePara_Pais!$B$2:$B$9,"REVISAR"))</f>
        <v>Brasil</v>
      </c>
      <c r="P1479" s="4" t="str">
        <f aca="false">IF($A1479="","",IF(O1479&lt;&gt;"Brasil","Turista Internacional",IF(M1479=F1479,"Local","Turista Nacional")))</f>
        <v>Local</v>
      </c>
      <c r="Q1479" s="7" t="n">
        <f aca="false">IF($A1479="","",DATE(YEAR(B1479),MONTH(B1479),1))</f>
        <v>46143</v>
      </c>
      <c r="R1479" s="4" t="str">
        <f aca="false">IF($A1479="","",IF(COUNTIF($A$2:$A1479,$A1479)&gt;1,"Sim","Não"))</f>
        <v>Não</v>
      </c>
      <c r="S1479" s="4" t="str">
        <f aca="false">IF(A1479="","Descartar - Linha vazia",IF(R1479="Sim","Descartar - Duplicado",IF(OR(H1479&lt;=0,I1479&lt;=0),"Descartar - Qtd/Valor inválido","OK")))</f>
        <v>OK</v>
      </c>
      <c r="T1479" s="4" t="str">
        <f aca="false">Base_Bruta!P1479</f>
        <v>vendas_RJ.xlsx</v>
      </c>
    </row>
    <row r="1480" customFormat="false" ht="15" hidden="false" customHeight="false" outlineLevel="0" collapsed="false">
      <c r="A1480" s="4" t="str">
        <f aca="false">IF(Base_Bruta!A1480="","",Base_Bruta!A1480)</f>
        <v>RJ-000481</v>
      </c>
      <c r="B1480" s="5" t="n">
        <f aca="false">IF($A1480="","",IF(ISNUMBER(Base_Bruta!B1480),Base_Bruta!B1480,IF(MID(Base_Bruta!B1480,5,1)="-",DATE(VALUE(LEFT(Base_Bruta!B1480,4)),VALUE(MID(Base_Bruta!B1480,6,2)),VALUE(RIGHT(Base_Bruta!B1480,2))),DATE(VALUE(RIGHT(Base_Bruta!B1480,4)),VALUE(MID(Base_Bruta!B1480,4,2)),VALUE(LEFT(Base_Bruta!B1480,2))))))</f>
        <v>46147</v>
      </c>
      <c r="C1480" s="5" t="n">
        <f aca="false">IF($A1480="","",IF(ISNUMBER(Base_Bruta!C1480),Base_Bruta!C1480,IF(MID(Base_Bruta!C1480,5,1)="-",DATE(VALUE(LEFT(Base_Bruta!C1480,4)),VALUE(MID(Base_Bruta!C1480,6,2)),VALUE(RIGHT(Base_Bruta!C1480,2))),DATE(VALUE(RIGHT(Base_Bruta!C1480,4)),VALUE(MID(Base_Bruta!C1480,4,2)),VALUE(LEFT(Base_Bruta!C1480,2))))))</f>
        <v>46151</v>
      </c>
      <c r="D1480" s="4" t="str">
        <f aca="false">IF($A1480="","",TRIM(Base_Bruta!D1480))</f>
        <v>Turnê Internacional Rock - Rio</v>
      </c>
      <c r="E1480" s="4" t="str">
        <f aca="false">IF($A1480="","",_xlfn.XLOOKUP(LOWER(TRIM(Base_Bruta!E1480)),DePara_Categoria!$A$2:$A$9,DePara_Categoria!$B$2:$B$9,"REVISAR"))</f>
        <v>Show</v>
      </c>
      <c r="F1480" s="4" t="str">
        <f aca="false">IF($A1480="","",_xlfn.XLOOKUP(LOWER(TRIM(Base_Bruta!F1480)),DePara_Cidade!$A$2:$A$29,DePara_Cidade!$B$2:$B$29,"REVISAR"))</f>
        <v>Rio de Janeiro</v>
      </c>
      <c r="G1480" s="4" t="str">
        <f aca="false">IF($A1480="","",TRIM(Base_Bruta!G1480))</f>
        <v>Inteira</v>
      </c>
      <c r="H1480" s="4" t="n">
        <f aca="false">IF($A1480="","",IF(ISNUMBER(Base_Bruta!H1480),Base_Bruta!H1480,IFERROR(_xlfn.NUMBERVALUE(TRIM(SUBSTITUTE(Base_Bruta!H1480,"R$","")),",","."),0)))</f>
        <v>4</v>
      </c>
      <c r="I1480" s="6" t="n">
        <f aca="false">IF($A1480="","",IF(ISNUMBER(Base_Bruta!I1480),Base_Bruta!I1480,IFERROR(_xlfn.NUMBERVALUE(TRIM(SUBSTITUTE(Base_Bruta!I1480,"R$","")),",","."),0)))</f>
        <v>520</v>
      </c>
      <c r="J1480" s="6" t="n">
        <f aca="false">IF($A1480="","",H1480*I1480)</f>
        <v>2080</v>
      </c>
      <c r="K1480" s="4" t="str">
        <f aca="false">IF($A1480="","",TRIM(Base_Bruta!J1480))</f>
        <v>Site</v>
      </c>
      <c r="L1480" s="4" t="str">
        <f aca="false">IF($A1480="","",TRIM(Base_Bruta!K1480))</f>
        <v>C00672</v>
      </c>
      <c r="M1480" s="4" t="str">
        <f aca="false">IF($A1480="","",_xlfn.XLOOKUP(LOWER(TRIM(Base_Bruta!L1480)),DePara_Cidade!$A$2:$A$29,DePara_Cidade!$B$2:$B$29,"REVISAR"))</f>
        <v>Niterói</v>
      </c>
      <c r="N1480" s="4" t="str">
        <f aca="false">IF($A1480="","",UPPER(TRIM(Base_Bruta!M1480)))</f>
        <v>RJ</v>
      </c>
      <c r="O1480" s="4" t="str">
        <f aca="false">IF($A1480="","",_xlfn.XLOOKUP(LOWER(TRIM(Base_Bruta!N1480)),DePara_Pais!$A$2:$A$9,DePara_Pais!$B$2:$B$9,"REVISAR"))</f>
        <v>Brasil</v>
      </c>
      <c r="P1480" s="4" t="str">
        <f aca="false">IF($A1480="","",IF(O1480&lt;&gt;"Brasil","Turista Internacional",IF(M1480=F1480,"Local","Turista Nacional")))</f>
        <v>Turista Nacional</v>
      </c>
      <c r="Q1480" s="7" t="n">
        <f aca="false">IF($A1480="","",DATE(YEAR(B1480),MONTH(B1480),1))</f>
        <v>46143</v>
      </c>
      <c r="R1480" s="4" t="str">
        <f aca="false">IF($A1480="","",IF(COUNTIF($A$2:$A1480,$A1480)&gt;1,"Sim","Não"))</f>
        <v>Não</v>
      </c>
      <c r="S1480" s="4" t="str">
        <f aca="false">IF(A1480="","Descartar - Linha vazia",IF(R1480="Sim","Descartar - Duplicado",IF(OR(H1480&lt;=0,I1480&lt;=0),"Descartar - Qtd/Valor inválido","OK")))</f>
        <v>OK</v>
      </c>
      <c r="T1480" s="4" t="str">
        <f aca="false">Base_Bruta!P1480</f>
        <v>vendas_RJ.xlsx</v>
      </c>
    </row>
    <row r="1481" customFormat="false" ht="15" hidden="false" customHeight="false" outlineLevel="0" collapsed="false">
      <c r="A1481" s="4" t="str">
        <f aca="false">IF(Base_Bruta!A1481="","",Base_Bruta!A1481)</f>
        <v>RJ-000503</v>
      </c>
      <c r="B1481" s="5" t="n">
        <f aca="false">IF($A1481="","",IF(ISNUMBER(Base_Bruta!B1481),Base_Bruta!B1481,IF(MID(Base_Bruta!B1481,5,1)="-",DATE(VALUE(LEFT(Base_Bruta!B1481,4)),VALUE(MID(Base_Bruta!B1481,6,2)),VALUE(RIGHT(Base_Bruta!B1481,2))),DATE(VALUE(RIGHT(Base_Bruta!B1481,4)),VALUE(MID(Base_Bruta!B1481,4,2)),VALUE(LEFT(Base_Bruta!B1481,2))))))</f>
        <v>46147</v>
      </c>
      <c r="C1481" s="5" t="n">
        <f aca="false">IF($A1481="","",IF(ISNUMBER(Base_Bruta!C1481),Base_Bruta!C1481,IF(MID(Base_Bruta!C1481,5,1)="-",DATE(VALUE(LEFT(Base_Bruta!C1481,4)),VALUE(MID(Base_Bruta!C1481,6,2)),VALUE(RIGHT(Base_Bruta!C1481,2))),DATE(VALUE(RIGHT(Base_Bruta!C1481,4)),VALUE(MID(Base_Bruta!C1481,4,2)),VALUE(LEFT(Base_Bruta!C1481,2))))))</f>
        <v>46151</v>
      </c>
      <c r="D1481" s="4" t="str">
        <f aca="false">IF($A1481="","",TRIM(Base_Bruta!D1481))</f>
        <v>Turnê Internacional Rock - Rio</v>
      </c>
      <c r="E1481" s="4" t="str">
        <f aca="false">IF($A1481="","",_xlfn.XLOOKUP(LOWER(TRIM(Base_Bruta!E1481)),DePara_Categoria!$A$2:$A$9,DePara_Categoria!$B$2:$B$9,"REVISAR"))</f>
        <v>Show</v>
      </c>
      <c r="F1481" s="4" t="str">
        <f aca="false">IF($A1481="","",_xlfn.XLOOKUP(LOWER(TRIM(Base_Bruta!F1481)),DePara_Cidade!$A$2:$A$29,DePara_Cidade!$B$2:$B$29,"REVISAR"))</f>
        <v>Rio de Janeiro</v>
      </c>
      <c r="G1481" s="4" t="str">
        <f aca="false">IF($A1481="","",TRIM(Base_Bruta!G1481))</f>
        <v>Inteira</v>
      </c>
      <c r="H1481" s="4" t="n">
        <f aca="false">IF($A1481="","",IF(ISNUMBER(Base_Bruta!H1481),Base_Bruta!H1481,IFERROR(_xlfn.NUMBERVALUE(TRIM(SUBSTITUTE(Base_Bruta!H1481,"R$","")),",","."),0)))</f>
        <v>1</v>
      </c>
      <c r="I1481" s="6" t="n">
        <f aca="false">IF($A1481="","",IF(ISNUMBER(Base_Bruta!I1481),Base_Bruta!I1481,IFERROR(_xlfn.NUMBERVALUE(TRIM(SUBSTITUTE(Base_Bruta!I1481,"R$","")),",","."),0)))</f>
        <v>680</v>
      </c>
      <c r="J1481" s="6" t="n">
        <f aca="false">IF($A1481="","",H1481*I1481)</f>
        <v>680</v>
      </c>
      <c r="K1481" s="4" t="str">
        <f aca="false">IF($A1481="","",TRIM(Base_Bruta!J1481))</f>
        <v>Bilheteria</v>
      </c>
      <c r="L1481" s="4" t="str">
        <f aca="false">IF($A1481="","",TRIM(Base_Bruta!K1481))</f>
        <v>C00546</v>
      </c>
      <c r="M1481" s="4" t="str">
        <f aca="false">IF($A1481="","",_xlfn.XLOOKUP(LOWER(TRIM(Base_Bruta!L1481)),DePara_Cidade!$A$2:$A$29,DePara_Cidade!$B$2:$B$29,"REVISAR"))</f>
        <v>Rio de Janeiro</v>
      </c>
      <c r="N1481" s="4" t="str">
        <f aca="false">IF($A1481="","",UPPER(TRIM(Base_Bruta!M1481)))</f>
        <v>RJ</v>
      </c>
      <c r="O1481" s="4" t="str">
        <f aca="false">IF($A1481="","",_xlfn.XLOOKUP(LOWER(TRIM(Base_Bruta!N1481)),DePara_Pais!$A$2:$A$9,DePara_Pais!$B$2:$B$9,"REVISAR"))</f>
        <v>Brasil</v>
      </c>
      <c r="P1481" s="4" t="str">
        <f aca="false">IF($A1481="","",IF(O1481&lt;&gt;"Brasil","Turista Internacional",IF(M1481=F1481,"Local","Turista Nacional")))</f>
        <v>Local</v>
      </c>
      <c r="Q1481" s="7" t="n">
        <f aca="false">IF($A1481="","",DATE(YEAR(B1481),MONTH(B1481),1))</f>
        <v>46143</v>
      </c>
      <c r="R1481" s="4" t="str">
        <f aca="false">IF($A1481="","",IF(COUNTIF($A$2:$A1481,$A1481)&gt;1,"Sim","Não"))</f>
        <v>Não</v>
      </c>
      <c r="S1481" s="4" t="str">
        <f aca="false">IF(A1481="","Descartar - Linha vazia",IF(R1481="Sim","Descartar - Duplicado",IF(OR(H1481&lt;=0,I1481&lt;=0),"Descartar - Qtd/Valor inválido","OK")))</f>
        <v>OK</v>
      </c>
      <c r="T1481" s="4" t="str">
        <f aca="false">Base_Bruta!P1481</f>
        <v>vendas_RJ.xlsx</v>
      </c>
    </row>
    <row r="1482" customFormat="false" ht="15" hidden="false" customHeight="false" outlineLevel="0" collapsed="false">
      <c r="A1482" s="4" t="str">
        <f aca="false">IF(Base_Bruta!A1482="","",Base_Bruta!A1482)</f>
        <v>RJ-000527</v>
      </c>
      <c r="B1482" s="5" t="n">
        <f aca="false">IF($A1482="","",IF(ISNUMBER(Base_Bruta!B1482),Base_Bruta!B1482,IF(MID(Base_Bruta!B1482,5,1)="-",DATE(VALUE(LEFT(Base_Bruta!B1482,4)),VALUE(MID(Base_Bruta!B1482,6,2)),VALUE(RIGHT(Base_Bruta!B1482,2))),DATE(VALUE(RIGHT(Base_Bruta!B1482,4)),VALUE(MID(Base_Bruta!B1482,4,2)),VALUE(LEFT(Base_Bruta!B1482,2))))))</f>
        <v>46147</v>
      </c>
      <c r="C1482" s="5" t="n">
        <f aca="false">IF($A1482="","",IF(ISNUMBER(Base_Bruta!C1482),Base_Bruta!C1482,IF(MID(Base_Bruta!C1482,5,1)="-",DATE(VALUE(LEFT(Base_Bruta!C1482,4)),VALUE(MID(Base_Bruta!C1482,6,2)),VALUE(RIGHT(Base_Bruta!C1482,2))),DATE(VALUE(RIGHT(Base_Bruta!C1482,4)),VALUE(MID(Base_Bruta!C1482,4,2)),VALUE(LEFT(Base_Bruta!C1482,2))))))</f>
        <v>46151</v>
      </c>
      <c r="D1482" s="4" t="str">
        <f aca="false">IF($A1482="","",TRIM(Base_Bruta!D1482))</f>
        <v>Turnê Internacional Rock - Rio</v>
      </c>
      <c r="E1482" s="4" t="str">
        <f aca="false">IF($A1482="","",_xlfn.XLOOKUP(LOWER(TRIM(Base_Bruta!E1482)),DePara_Categoria!$A$2:$A$9,DePara_Categoria!$B$2:$B$9,"REVISAR"))</f>
        <v>Show</v>
      </c>
      <c r="F1482" s="4" t="str">
        <f aca="false">IF($A1482="","",_xlfn.XLOOKUP(LOWER(TRIM(Base_Bruta!F1482)),DePara_Cidade!$A$2:$A$29,DePara_Cidade!$B$2:$B$29,"REVISAR"))</f>
        <v>Rio de Janeiro</v>
      </c>
      <c r="G1482" s="4" t="str">
        <f aca="false">IF($A1482="","",TRIM(Base_Bruta!G1482))</f>
        <v>Meia</v>
      </c>
      <c r="H1482" s="4" t="n">
        <f aca="false">IF($A1482="","",IF(ISNUMBER(Base_Bruta!H1482),Base_Bruta!H1482,IFERROR(_xlfn.NUMBERVALUE(TRIM(SUBSTITUTE(Base_Bruta!H1482,"R$","")),",","."),0)))</f>
        <v>1</v>
      </c>
      <c r="I1482" s="6" t="n">
        <f aca="false">IF($A1482="","",IF(ISNUMBER(Base_Bruta!I1482),Base_Bruta!I1482,IFERROR(_xlfn.NUMBERVALUE(TRIM(SUBSTITUTE(Base_Bruta!I1482,"R$","")),",","."),0)))</f>
        <v>367.5</v>
      </c>
      <c r="J1482" s="6" t="n">
        <f aca="false">IF($A1482="","",H1482*I1482)</f>
        <v>367.5</v>
      </c>
      <c r="K1482" s="4" t="str">
        <f aca="false">IF($A1482="","",TRIM(Base_Bruta!J1482))</f>
        <v>Bilheteria</v>
      </c>
      <c r="L1482" s="4" t="str">
        <f aca="false">IF($A1482="","",TRIM(Base_Bruta!K1482))</f>
        <v>C00467</v>
      </c>
      <c r="M1482" s="4" t="str">
        <f aca="false">IF($A1482="","",_xlfn.XLOOKUP(LOWER(TRIM(Base_Bruta!L1482)),DePara_Cidade!$A$2:$A$29,DePara_Cidade!$B$2:$B$29,"REVISAR"))</f>
        <v>Rio de Janeiro</v>
      </c>
      <c r="N1482" s="4" t="str">
        <f aca="false">IF($A1482="","",UPPER(TRIM(Base_Bruta!M1482)))</f>
        <v>RJ</v>
      </c>
      <c r="O1482" s="4" t="str">
        <f aca="false">IF($A1482="","",_xlfn.XLOOKUP(LOWER(TRIM(Base_Bruta!N1482)),DePara_Pais!$A$2:$A$9,DePara_Pais!$B$2:$B$9,"REVISAR"))</f>
        <v>Brasil</v>
      </c>
      <c r="P1482" s="4" t="str">
        <f aca="false">IF($A1482="","",IF(O1482&lt;&gt;"Brasil","Turista Internacional",IF(M1482=F1482,"Local","Turista Nacional")))</f>
        <v>Local</v>
      </c>
      <c r="Q1482" s="7" t="n">
        <f aca="false">IF($A1482="","",DATE(YEAR(B1482),MONTH(B1482),1))</f>
        <v>46143</v>
      </c>
      <c r="R1482" s="4" t="str">
        <f aca="false">IF($A1482="","",IF(COUNTIF($A$2:$A1482,$A1482)&gt;1,"Sim","Não"))</f>
        <v>Não</v>
      </c>
      <c r="S1482" s="4" t="str">
        <f aca="false">IF(A1482="","Descartar - Linha vazia",IF(R1482="Sim","Descartar - Duplicado",IF(OR(H1482&lt;=0,I1482&lt;=0),"Descartar - Qtd/Valor inválido","OK")))</f>
        <v>OK</v>
      </c>
      <c r="T1482" s="4" t="str">
        <f aca="false">Base_Bruta!P1482</f>
        <v>vendas_RJ.xlsx</v>
      </c>
    </row>
    <row r="1483" customFormat="false" ht="15" hidden="false" customHeight="false" outlineLevel="0" collapsed="false">
      <c r="A1483" s="4" t="str">
        <f aca="false">IF(Base_Bruta!A1483="","",Base_Bruta!A1483)</f>
        <v>RJ-000633</v>
      </c>
      <c r="B1483" s="5" t="n">
        <f aca="false">IF($A1483="","",IF(ISNUMBER(Base_Bruta!B1483),Base_Bruta!B1483,IF(MID(Base_Bruta!B1483,5,1)="-",DATE(VALUE(LEFT(Base_Bruta!B1483,4)),VALUE(MID(Base_Bruta!B1483,6,2)),VALUE(RIGHT(Base_Bruta!B1483,2))),DATE(VALUE(RIGHT(Base_Bruta!B1483,4)),VALUE(MID(Base_Bruta!B1483,4,2)),VALUE(LEFT(Base_Bruta!B1483,2))))))</f>
        <v>46147</v>
      </c>
      <c r="C1483" s="5" t="n">
        <f aca="false">IF($A1483="","",IF(ISNUMBER(Base_Bruta!C1483),Base_Bruta!C1483,IF(MID(Base_Bruta!C1483,5,1)="-",DATE(VALUE(LEFT(Base_Bruta!C1483,4)),VALUE(MID(Base_Bruta!C1483,6,2)),VALUE(RIGHT(Base_Bruta!C1483,2))),DATE(VALUE(RIGHT(Base_Bruta!C1483,4)),VALUE(MID(Base_Bruta!C1483,4,2)),VALUE(LEFT(Base_Bruta!C1483,2))))))</f>
        <v>46147</v>
      </c>
      <c r="D1483" s="4" t="str">
        <f aca="false">IF($A1483="","",TRIM(Base_Bruta!D1483))</f>
        <v>Cinema Barra - Sessões</v>
      </c>
      <c r="E1483" s="4" t="str">
        <f aca="false">IF($A1483="","",_xlfn.XLOOKUP(LOWER(TRIM(Base_Bruta!E1483)),DePara_Categoria!$A$2:$A$9,DePara_Categoria!$B$2:$B$9,"REVISAR"))</f>
        <v>Cinema</v>
      </c>
      <c r="F1483" s="4" t="str">
        <f aca="false">IF($A1483="","",_xlfn.XLOOKUP(LOWER(TRIM(Base_Bruta!F1483)),DePara_Cidade!$A$2:$A$29,DePara_Cidade!$B$2:$B$29,"REVISAR"))</f>
        <v>Rio de Janeiro</v>
      </c>
      <c r="G1483" s="4" t="str">
        <f aca="false">IF($A1483="","",TRIM(Base_Bruta!G1483))</f>
        <v>Inteira</v>
      </c>
      <c r="H1483" s="4" t="n">
        <f aca="false">IF($A1483="","",IF(ISNUMBER(Base_Bruta!H1483),Base_Bruta!H1483,IFERROR(_xlfn.NUMBERVALUE(TRIM(SUBSTITUTE(Base_Bruta!H1483,"R$","")),",","."),0)))</f>
        <v>4</v>
      </c>
      <c r="I1483" s="6" t="n">
        <f aca="false">IF($A1483="","",IF(ISNUMBER(Base_Bruta!I1483),Base_Bruta!I1483,IFERROR(_xlfn.NUMBERVALUE(TRIM(SUBSTITUTE(Base_Bruta!I1483,"R$","")),",","."),0)))</f>
        <v>30</v>
      </c>
      <c r="J1483" s="6" t="n">
        <f aca="false">IF($A1483="","",H1483*I1483)</f>
        <v>120</v>
      </c>
      <c r="K1483" s="4" t="str">
        <f aca="false">IF($A1483="","",TRIM(Base_Bruta!J1483))</f>
        <v>App</v>
      </c>
      <c r="L1483" s="4" t="str">
        <f aca="false">IF($A1483="","",TRIM(Base_Bruta!K1483))</f>
        <v>C00171</v>
      </c>
      <c r="M1483" s="4" t="str">
        <f aca="false">IF($A1483="","",_xlfn.XLOOKUP(LOWER(TRIM(Base_Bruta!L1483)),DePara_Cidade!$A$2:$A$29,DePara_Cidade!$B$2:$B$29,"REVISAR"))</f>
        <v>Rio de Janeiro</v>
      </c>
      <c r="N1483" s="4" t="str">
        <f aca="false">IF($A1483="","",UPPER(TRIM(Base_Bruta!M1483)))</f>
        <v>RJ</v>
      </c>
      <c r="O1483" s="4" t="str">
        <f aca="false">IF($A1483="","",_xlfn.XLOOKUP(LOWER(TRIM(Base_Bruta!N1483)),DePara_Pais!$A$2:$A$9,DePara_Pais!$B$2:$B$9,"REVISAR"))</f>
        <v>Brasil</v>
      </c>
      <c r="P1483" s="4" t="str">
        <f aca="false">IF($A1483="","",IF(O1483&lt;&gt;"Brasil","Turista Internacional",IF(M1483=F1483,"Local","Turista Nacional")))</f>
        <v>Local</v>
      </c>
      <c r="Q1483" s="7" t="n">
        <f aca="false">IF($A1483="","",DATE(YEAR(B1483),MONTH(B1483),1))</f>
        <v>46143</v>
      </c>
      <c r="R1483" s="4" t="str">
        <f aca="false">IF($A1483="","",IF(COUNTIF($A$2:$A1483,$A1483)&gt;1,"Sim","Não"))</f>
        <v>Não</v>
      </c>
      <c r="S1483" s="4" t="str">
        <f aca="false">IF(A1483="","Descartar - Linha vazia",IF(R1483="Sim","Descartar - Duplicado",IF(OR(H1483&lt;=0,I1483&lt;=0),"Descartar - Qtd/Valor inválido","OK")))</f>
        <v>OK</v>
      </c>
      <c r="T1483" s="4" t="str">
        <f aca="false">Base_Bruta!P1483</f>
        <v>vendas_RJ.xlsx</v>
      </c>
    </row>
    <row r="1484" customFormat="false" ht="15" hidden="false" customHeight="false" outlineLevel="0" collapsed="false">
      <c r="A1484" s="4" t="str">
        <f aca="false">IF(Base_Bruta!A1484="","",Base_Bruta!A1484)</f>
        <v>RJ-000441</v>
      </c>
      <c r="B1484" s="5" t="n">
        <f aca="false">IF($A1484="","",IF(ISNUMBER(Base_Bruta!B1484),Base_Bruta!B1484,IF(MID(Base_Bruta!B1484,5,1)="-",DATE(VALUE(LEFT(Base_Bruta!B1484,4)),VALUE(MID(Base_Bruta!B1484,6,2)),VALUE(RIGHT(Base_Bruta!B1484,2))),DATE(VALUE(RIGHT(Base_Bruta!B1484,4)),VALUE(MID(Base_Bruta!B1484,4,2)),VALUE(LEFT(Base_Bruta!B1484,2))))))</f>
        <v>46148</v>
      </c>
      <c r="C1484" s="5" t="n">
        <f aca="false">IF($A1484="","",IF(ISNUMBER(Base_Bruta!C1484),Base_Bruta!C1484,IF(MID(Base_Bruta!C1484,5,1)="-",DATE(VALUE(LEFT(Base_Bruta!C1484,4)),VALUE(MID(Base_Bruta!C1484,6,2)),VALUE(RIGHT(Base_Bruta!C1484,2))),DATE(VALUE(RIGHT(Base_Bruta!C1484,4)),VALUE(MID(Base_Bruta!C1484,4,2)),VALUE(LEFT(Base_Bruta!C1484,2))))))</f>
        <v>46151</v>
      </c>
      <c r="D1484" s="4" t="str">
        <f aca="false">IF($A1484="","",TRIM(Base_Bruta!D1484))</f>
        <v>Turnê Internacional Rock - Rio</v>
      </c>
      <c r="E1484" s="4" t="str">
        <f aca="false">IF($A1484="","",_xlfn.XLOOKUP(LOWER(TRIM(Base_Bruta!E1484)),DePara_Categoria!$A$2:$A$9,DePara_Categoria!$B$2:$B$9,"REVISAR"))</f>
        <v>Show</v>
      </c>
      <c r="F1484" s="4" t="str">
        <f aca="false">IF($A1484="","",_xlfn.XLOOKUP(LOWER(TRIM(Base_Bruta!F1484)),DePara_Cidade!$A$2:$A$29,DePara_Cidade!$B$2:$B$29,"REVISAR"))</f>
        <v>Rio de Janeiro</v>
      </c>
      <c r="G1484" s="4" t="str">
        <f aca="false">IF($A1484="","",TRIM(Base_Bruta!G1484))</f>
        <v>Meia</v>
      </c>
      <c r="H1484" s="4" t="n">
        <f aca="false">IF($A1484="","",IF(ISNUMBER(Base_Bruta!H1484),Base_Bruta!H1484,IFERROR(_xlfn.NUMBERVALUE(TRIM(SUBSTITUTE(Base_Bruta!H1484,"R$","")),",","."),0)))</f>
        <v>1</v>
      </c>
      <c r="I1484" s="6" t="n">
        <f aca="false">IF($A1484="","",IF(ISNUMBER(Base_Bruta!I1484),Base_Bruta!I1484,IFERROR(_xlfn.NUMBERVALUE(TRIM(SUBSTITUTE(Base_Bruta!I1484,"R$","")),",","."),0)))</f>
        <v>285</v>
      </c>
      <c r="J1484" s="6" t="n">
        <f aca="false">IF($A1484="","",H1484*I1484)</f>
        <v>285</v>
      </c>
      <c r="K1484" s="4" t="str">
        <f aca="false">IF($A1484="","",TRIM(Base_Bruta!J1484))</f>
        <v>App</v>
      </c>
      <c r="L1484" s="4" t="str">
        <f aca="false">IF($A1484="","",TRIM(Base_Bruta!K1484))</f>
        <v>C00811</v>
      </c>
      <c r="M1484" s="4" t="str">
        <f aca="false">IF($A1484="","",_xlfn.XLOOKUP(LOWER(TRIM(Base_Bruta!L1484)),DePara_Cidade!$A$2:$A$29,DePara_Cidade!$B$2:$B$29,"REVISAR"))</f>
        <v>Niterói</v>
      </c>
      <c r="N1484" s="4" t="str">
        <f aca="false">IF($A1484="","",UPPER(TRIM(Base_Bruta!M1484)))</f>
        <v>RJ</v>
      </c>
      <c r="O1484" s="4" t="str">
        <f aca="false">IF($A1484="","",_xlfn.XLOOKUP(LOWER(TRIM(Base_Bruta!N1484)),DePara_Pais!$A$2:$A$9,DePara_Pais!$B$2:$B$9,"REVISAR"))</f>
        <v>Brasil</v>
      </c>
      <c r="P1484" s="4" t="str">
        <f aca="false">IF($A1484="","",IF(O1484&lt;&gt;"Brasil","Turista Internacional",IF(M1484=F1484,"Local","Turista Nacional")))</f>
        <v>Turista Nacional</v>
      </c>
      <c r="Q1484" s="7" t="n">
        <f aca="false">IF($A1484="","",DATE(YEAR(B1484),MONTH(B1484),1))</f>
        <v>46143</v>
      </c>
      <c r="R1484" s="4" t="str">
        <f aca="false">IF($A1484="","",IF(COUNTIF($A$2:$A1484,$A1484)&gt;1,"Sim","Não"))</f>
        <v>Não</v>
      </c>
      <c r="S1484" s="4" t="str">
        <f aca="false">IF(A1484="","Descartar - Linha vazia",IF(R1484="Sim","Descartar - Duplicado",IF(OR(H1484&lt;=0,I1484&lt;=0),"Descartar - Qtd/Valor inválido","OK")))</f>
        <v>OK</v>
      </c>
      <c r="T1484" s="4" t="str">
        <f aca="false">Base_Bruta!P1484</f>
        <v>vendas_RJ.xlsx</v>
      </c>
    </row>
    <row r="1485" customFormat="false" ht="15" hidden="false" customHeight="false" outlineLevel="0" collapsed="false">
      <c r="A1485" s="4" t="str">
        <f aca="false">IF(Base_Bruta!A1485="","",Base_Bruta!A1485)</f>
        <v>RJ-000476</v>
      </c>
      <c r="B1485" s="5" t="n">
        <f aca="false">IF($A1485="","",IF(ISNUMBER(Base_Bruta!B1485),Base_Bruta!B1485,IF(MID(Base_Bruta!B1485,5,1)="-",DATE(VALUE(LEFT(Base_Bruta!B1485,4)),VALUE(MID(Base_Bruta!B1485,6,2)),VALUE(RIGHT(Base_Bruta!B1485,2))),DATE(VALUE(RIGHT(Base_Bruta!B1485,4)),VALUE(MID(Base_Bruta!B1485,4,2)),VALUE(LEFT(Base_Bruta!B1485,2))))))</f>
        <v>46148</v>
      </c>
      <c r="C1485" s="5" t="n">
        <f aca="false">IF($A1485="","",IF(ISNUMBER(Base_Bruta!C1485),Base_Bruta!C1485,IF(MID(Base_Bruta!C1485,5,1)="-",DATE(VALUE(LEFT(Base_Bruta!C1485,4)),VALUE(MID(Base_Bruta!C1485,6,2)),VALUE(RIGHT(Base_Bruta!C1485,2))),DATE(VALUE(RIGHT(Base_Bruta!C1485,4)),VALUE(MID(Base_Bruta!C1485,4,2)),VALUE(LEFT(Base_Bruta!C1485,2))))))</f>
        <v>46151</v>
      </c>
      <c r="D1485" s="4" t="str">
        <f aca="false">IF($A1485="","",TRIM(Base_Bruta!D1485))</f>
        <v>Turnê Internacional Rock - Rio</v>
      </c>
      <c r="E1485" s="4" t="str">
        <f aca="false">IF($A1485="","",_xlfn.XLOOKUP(LOWER(TRIM(Base_Bruta!E1485)),DePara_Categoria!$A$2:$A$9,DePara_Categoria!$B$2:$B$9,"REVISAR"))</f>
        <v>Show</v>
      </c>
      <c r="F1485" s="4" t="str">
        <f aca="false">IF($A1485="","",_xlfn.XLOOKUP(LOWER(TRIM(Base_Bruta!F1485)),DePara_Cidade!$A$2:$A$29,DePara_Cidade!$B$2:$B$29,"REVISAR"))</f>
        <v>Rio de Janeiro</v>
      </c>
      <c r="G1485" s="4" t="str">
        <f aca="false">IF($A1485="","",TRIM(Base_Bruta!G1485))</f>
        <v>Meia</v>
      </c>
      <c r="H1485" s="4" t="n">
        <f aca="false">IF($A1485="","",IF(ISNUMBER(Base_Bruta!H1485),Base_Bruta!H1485,IFERROR(_xlfn.NUMBERVALUE(TRIM(SUBSTITUTE(Base_Bruta!H1485,"R$","")),",","."),0)))</f>
        <v>1</v>
      </c>
      <c r="I1485" s="6" t="n">
        <f aca="false">IF($A1485="","",IF(ISNUMBER(Base_Bruta!I1485),Base_Bruta!I1485,IFERROR(_xlfn.NUMBERVALUE(TRIM(SUBSTITUTE(Base_Bruta!I1485,"R$","")),",","."),0)))</f>
        <v>147.5</v>
      </c>
      <c r="J1485" s="6" t="n">
        <f aca="false">IF($A1485="","",H1485*I1485)</f>
        <v>147.5</v>
      </c>
      <c r="K1485" s="4" t="str">
        <f aca="false">IF($A1485="","",TRIM(Base_Bruta!J1485))</f>
        <v>Site</v>
      </c>
      <c r="L1485" s="4" t="str">
        <f aca="false">IF($A1485="","",TRIM(Base_Bruta!K1485))</f>
        <v>C01356</v>
      </c>
      <c r="M1485" s="4" t="str">
        <f aca="false">IF($A1485="","",_xlfn.XLOOKUP(LOWER(TRIM(Base_Bruta!L1485)),DePara_Cidade!$A$2:$A$29,DePara_Cidade!$B$2:$B$29,"REVISAR"))</f>
        <v>Rio de Janeiro</v>
      </c>
      <c r="N1485" s="4" t="str">
        <f aca="false">IF($A1485="","",UPPER(TRIM(Base_Bruta!M1485)))</f>
        <v>RJ</v>
      </c>
      <c r="O1485" s="4" t="str">
        <f aca="false">IF($A1485="","",_xlfn.XLOOKUP(LOWER(TRIM(Base_Bruta!N1485)),DePara_Pais!$A$2:$A$9,DePara_Pais!$B$2:$B$9,"REVISAR"))</f>
        <v>Brasil</v>
      </c>
      <c r="P1485" s="4" t="str">
        <f aca="false">IF($A1485="","",IF(O1485&lt;&gt;"Brasil","Turista Internacional",IF(M1485=F1485,"Local","Turista Nacional")))</f>
        <v>Local</v>
      </c>
      <c r="Q1485" s="7" t="n">
        <f aca="false">IF($A1485="","",DATE(YEAR(B1485),MONTH(B1485),1))</f>
        <v>46143</v>
      </c>
      <c r="R1485" s="4" t="str">
        <f aca="false">IF($A1485="","",IF(COUNTIF($A$2:$A1485,$A1485)&gt;1,"Sim","Não"))</f>
        <v>Não</v>
      </c>
      <c r="S1485" s="4" t="str">
        <f aca="false">IF(A1485="","Descartar - Linha vazia",IF(R1485="Sim","Descartar - Duplicado",IF(OR(H1485&lt;=0,I1485&lt;=0),"Descartar - Qtd/Valor inválido","OK")))</f>
        <v>OK</v>
      </c>
      <c r="T1485" s="4" t="str">
        <f aca="false">Base_Bruta!P1485</f>
        <v>vendas_RJ.xlsx</v>
      </c>
    </row>
    <row r="1486" customFormat="false" ht="15" hidden="false" customHeight="false" outlineLevel="0" collapsed="false">
      <c r="A1486" s="4" t="str">
        <f aca="false">IF(Base_Bruta!A1486="","",Base_Bruta!A1486)</f>
        <v>RJ-000486</v>
      </c>
      <c r="B1486" s="5" t="n">
        <f aca="false">IF($A1486="","",IF(ISNUMBER(Base_Bruta!B1486),Base_Bruta!B1486,IF(MID(Base_Bruta!B1486,5,1)="-",DATE(VALUE(LEFT(Base_Bruta!B1486,4)),VALUE(MID(Base_Bruta!B1486,6,2)),VALUE(RIGHT(Base_Bruta!B1486,2))),DATE(VALUE(RIGHT(Base_Bruta!B1486,4)),VALUE(MID(Base_Bruta!B1486,4,2)),VALUE(LEFT(Base_Bruta!B1486,2))))))</f>
        <v>46148</v>
      </c>
      <c r="C1486" s="5" t="n">
        <f aca="false">IF($A1486="","",IF(ISNUMBER(Base_Bruta!C1486),Base_Bruta!C1486,IF(MID(Base_Bruta!C1486,5,1)="-",DATE(VALUE(LEFT(Base_Bruta!C1486,4)),VALUE(MID(Base_Bruta!C1486,6,2)),VALUE(RIGHT(Base_Bruta!C1486,2))),DATE(VALUE(RIGHT(Base_Bruta!C1486,4)),VALUE(MID(Base_Bruta!C1486,4,2)),VALUE(LEFT(Base_Bruta!C1486,2))))))</f>
        <v>46151</v>
      </c>
      <c r="D1486" s="4" t="str">
        <f aca="false">IF($A1486="","",TRIM(Base_Bruta!D1486))</f>
        <v>Turnê Internacional Rock - Rio</v>
      </c>
      <c r="E1486" s="4" t="str">
        <f aca="false">IF($A1486="","",_xlfn.XLOOKUP(LOWER(TRIM(Base_Bruta!E1486)),DePara_Categoria!$A$2:$A$9,DePara_Categoria!$B$2:$B$9,"REVISAR"))</f>
        <v>Show</v>
      </c>
      <c r="F1486" s="4" t="str">
        <f aca="false">IF($A1486="","",_xlfn.XLOOKUP(LOWER(TRIM(Base_Bruta!F1486)),DePara_Cidade!$A$2:$A$29,DePara_Cidade!$B$2:$B$29,"REVISAR"))</f>
        <v>Rio de Janeiro</v>
      </c>
      <c r="G1486" s="4" t="str">
        <f aca="false">IF($A1486="","",TRIM(Base_Bruta!G1486))</f>
        <v>Inteira</v>
      </c>
      <c r="H1486" s="4" t="n">
        <f aca="false">IF($A1486="","",IF(ISNUMBER(Base_Bruta!H1486),Base_Bruta!H1486,IFERROR(_xlfn.NUMBERVALUE(TRIM(SUBSTITUTE(Base_Bruta!H1486,"R$","")),",","."),0)))</f>
        <v>1</v>
      </c>
      <c r="I1486" s="6" t="n">
        <f aca="false">IF($A1486="","",IF(ISNUMBER(Base_Bruta!I1486),Base_Bruta!I1486,IFERROR(_xlfn.NUMBERVALUE(TRIM(SUBSTITUTE(Base_Bruta!I1486,"R$","")),",","."),0)))</f>
        <v>630</v>
      </c>
      <c r="J1486" s="6" t="n">
        <f aca="false">IF($A1486="","",H1486*I1486)</f>
        <v>630</v>
      </c>
      <c r="K1486" s="4" t="str">
        <f aca="false">IF($A1486="","",TRIM(Base_Bruta!J1486))</f>
        <v>App</v>
      </c>
      <c r="L1486" s="4" t="str">
        <f aca="false">IF($A1486="","",TRIM(Base_Bruta!K1486))</f>
        <v>C01145</v>
      </c>
      <c r="M1486" s="4" t="str">
        <f aca="false">IF($A1486="","",_xlfn.XLOOKUP(LOWER(TRIM(Base_Bruta!L1486)),DePara_Cidade!$A$2:$A$29,DePara_Cidade!$B$2:$B$29,"REVISAR"))</f>
        <v>Rio de Janeiro</v>
      </c>
      <c r="N1486" s="4" t="str">
        <f aca="false">IF($A1486="","",UPPER(TRIM(Base_Bruta!M1486)))</f>
        <v>RJ</v>
      </c>
      <c r="O1486" s="4" t="str">
        <f aca="false">IF($A1486="","",_xlfn.XLOOKUP(LOWER(TRIM(Base_Bruta!N1486)),DePara_Pais!$A$2:$A$9,DePara_Pais!$B$2:$B$9,"REVISAR"))</f>
        <v>Brasil</v>
      </c>
      <c r="P1486" s="4" t="str">
        <f aca="false">IF($A1486="","",IF(O1486&lt;&gt;"Brasil","Turista Internacional",IF(M1486=F1486,"Local","Turista Nacional")))</f>
        <v>Local</v>
      </c>
      <c r="Q1486" s="7" t="n">
        <f aca="false">IF($A1486="","",DATE(YEAR(B1486),MONTH(B1486),1))</f>
        <v>46143</v>
      </c>
      <c r="R1486" s="4" t="str">
        <f aca="false">IF($A1486="","",IF(COUNTIF($A$2:$A1486,$A1486)&gt;1,"Sim","Não"))</f>
        <v>Não</v>
      </c>
      <c r="S1486" s="4" t="str">
        <f aca="false">IF(A1486="","Descartar - Linha vazia",IF(R1486="Sim","Descartar - Duplicado",IF(OR(H1486&lt;=0,I1486&lt;=0),"Descartar - Qtd/Valor inválido","OK")))</f>
        <v>OK</v>
      </c>
      <c r="T1486" s="4" t="str">
        <f aca="false">Base_Bruta!P1486</f>
        <v>vendas_RJ.xlsx</v>
      </c>
    </row>
    <row r="1487" customFormat="false" ht="15" hidden="false" customHeight="false" outlineLevel="0" collapsed="false">
      <c r="A1487" s="4" t="str">
        <f aca="false">IF(Base_Bruta!A1487="","",Base_Bruta!A1487)</f>
        <v>RJ-000513</v>
      </c>
      <c r="B1487" s="5" t="n">
        <f aca="false">IF($A1487="","",IF(ISNUMBER(Base_Bruta!B1487),Base_Bruta!B1487,IF(MID(Base_Bruta!B1487,5,1)="-",DATE(VALUE(LEFT(Base_Bruta!B1487,4)),VALUE(MID(Base_Bruta!B1487,6,2)),VALUE(RIGHT(Base_Bruta!B1487,2))),DATE(VALUE(RIGHT(Base_Bruta!B1487,4)),VALUE(MID(Base_Bruta!B1487,4,2)),VALUE(LEFT(Base_Bruta!B1487,2))))))</f>
        <v>46148</v>
      </c>
      <c r="C1487" s="5" t="n">
        <f aca="false">IF($A1487="","",IF(ISNUMBER(Base_Bruta!C1487),Base_Bruta!C1487,IF(MID(Base_Bruta!C1487,5,1)="-",DATE(VALUE(LEFT(Base_Bruta!C1487,4)),VALUE(MID(Base_Bruta!C1487,6,2)),VALUE(RIGHT(Base_Bruta!C1487,2))),DATE(VALUE(RIGHT(Base_Bruta!C1487,4)),VALUE(MID(Base_Bruta!C1487,4,2)),VALUE(LEFT(Base_Bruta!C1487,2))))))</f>
        <v>46151</v>
      </c>
      <c r="D1487" s="4" t="str">
        <f aca="false">IF($A1487="","",TRIM(Base_Bruta!D1487))</f>
        <v>Turnê Internacional Rock - Rio</v>
      </c>
      <c r="E1487" s="4" t="str">
        <f aca="false">IF($A1487="","",_xlfn.XLOOKUP(LOWER(TRIM(Base_Bruta!E1487)),DePara_Categoria!$A$2:$A$9,DePara_Categoria!$B$2:$B$9,"REVISAR"))</f>
        <v>Show</v>
      </c>
      <c r="F1487" s="4" t="str">
        <f aca="false">IF($A1487="","",_xlfn.XLOOKUP(LOWER(TRIM(Base_Bruta!F1487)),DePara_Cidade!$A$2:$A$29,DePara_Cidade!$B$2:$B$29,"REVISAR"))</f>
        <v>Rio de Janeiro</v>
      </c>
      <c r="G1487" s="4" t="str">
        <f aca="false">IF($A1487="","",TRIM(Base_Bruta!G1487))</f>
        <v>VIP</v>
      </c>
      <c r="H1487" s="4" t="n">
        <f aca="false">IF($A1487="","",IF(ISNUMBER(Base_Bruta!H1487),Base_Bruta!H1487,IFERROR(_xlfn.NUMBERVALUE(TRIM(SUBSTITUTE(Base_Bruta!H1487,"R$","")),",","."),0)))</f>
        <v>2</v>
      </c>
      <c r="I1487" s="6" t="n">
        <f aca="false">IF($A1487="","",IF(ISNUMBER(Base_Bruta!I1487),Base_Bruta!I1487,IFERROR(_xlfn.NUMBERVALUE(TRIM(SUBSTITUTE(Base_Bruta!I1487,"R$","")),",","."),0)))</f>
        <v>1060</v>
      </c>
      <c r="J1487" s="6" t="n">
        <f aca="false">IF($A1487="","",H1487*I1487)</f>
        <v>2120</v>
      </c>
      <c r="K1487" s="4" t="str">
        <f aca="false">IF($A1487="","",TRIM(Base_Bruta!J1487))</f>
        <v>App</v>
      </c>
      <c r="L1487" s="4" t="str">
        <f aca="false">IF($A1487="","",TRIM(Base_Bruta!K1487))</f>
        <v>C02060</v>
      </c>
      <c r="M1487" s="4" t="str">
        <f aca="false">IF($A1487="","",_xlfn.XLOOKUP(LOWER(TRIM(Base_Bruta!L1487)),DePara_Cidade!$A$2:$A$29,DePara_Cidade!$B$2:$B$29,"REVISAR"))</f>
        <v>Goiânia</v>
      </c>
      <c r="N1487" s="4" t="str">
        <f aca="false">IF($A1487="","",UPPER(TRIM(Base_Bruta!M1487)))</f>
        <v>GO</v>
      </c>
      <c r="O1487" s="4" t="str">
        <f aca="false">IF($A1487="","",_xlfn.XLOOKUP(LOWER(TRIM(Base_Bruta!N1487)),DePara_Pais!$A$2:$A$9,DePara_Pais!$B$2:$B$9,"REVISAR"))</f>
        <v>Brasil</v>
      </c>
      <c r="P1487" s="4" t="str">
        <f aca="false">IF($A1487="","",IF(O1487&lt;&gt;"Brasil","Turista Internacional",IF(M1487=F1487,"Local","Turista Nacional")))</f>
        <v>Turista Nacional</v>
      </c>
      <c r="Q1487" s="7" t="n">
        <f aca="false">IF($A1487="","",DATE(YEAR(B1487),MONTH(B1487),1))</f>
        <v>46143</v>
      </c>
      <c r="R1487" s="4" t="str">
        <f aca="false">IF($A1487="","",IF(COUNTIF($A$2:$A1487,$A1487)&gt;1,"Sim","Não"))</f>
        <v>Não</v>
      </c>
      <c r="S1487" s="4" t="str">
        <f aca="false">IF(A1487="","Descartar - Linha vazia",IF(R1487="Sim","Descartar - Duplicado",IF(OR(H1487&lt;=0,I1487&lt;=0),"Descartar - Qtd/Valor inválido","OK")))</f>
        <v>OK</v>
      </c>
      <c r="T1487" s="4" t="str">
        <f aca="false">Base_Bruta!P1487</f>
        <v>vendas_RJ.xlsx</v>
      </c>
    </row>
    <row r="1488" customFormat="false" ht="15" hidden="false" customHeight="false" outlineLevel="0" collapsed="false">
      <c r="A1488" s="4" t="str">
        <f aca="false">IF(Base_Bruta!A1488="","",Base_Bruta!A1488)</f>
        <v>RJ-000536</v>
      </c>
      <c r="B1488" s="5" t="n">
        <f aca="false">IF($A1488="","",IF(ISNUMBER(Base_Bruta!B1488),Base_Bruta!B1488,IF(MID(Base_Bruta!B1488,5,1)="-",DATE(VALUE(LEFT(Base_Bruta!B1488,4)),VALUE(MID(Base_Bruta!B1488,6,2)),VALUE(RIGHT(Base_Bruta!B1488,2))),DATE(VALUE(RIGHT(Base_Bruta!B1488,4)),VALUE(MID(Base_Bruta!B1488,4,2)),VALUE(LEFT(Base_Bruta!B1488,2))))))</f>
        <v>46148</v>
      </c>
      <c r="C1488" s="5" t="n">
        <f aca="false">IF($A1488="","",IF(ISNUMBER(Base_Bruta!C1488),Base_Bruta!C1488,IF(MID(Base_Bruta!C1488,5,1)="-",DATE(VALUE(LEFT(Base_Bruta!C1488,4)),VALUE(MID(Base_Bruta!C1488,6,2)),VALUE(RIGHT(Base_Bruta!C1488,2))),DATE(VALUE(RIGHT(Base_Bruta!C1488,4)),VALUE(MID(Base_Bruta!C1488,4,2)),VALUE(LEFT(Base_Bruta!C1488,2))))))</f>
        <v>46150</v>
      </c>
      <c r="D1488" s="4" t="str">
        <f aca="false">IF($A1488="","",TRIM(Base_Bruta!D1488))</f>
        <v>Cinema Barra - Sessões</v>
      </c>
      <c r="E1488" s="4" t="str">
        <f aca="false">IF($A1488="","",_xlfn.XLOOKUP(LOWER(TRIM(Base_Bruta!E1488)),DePara_Categoria!$A$2:$A$9,DePara_Categoria!$B$2:$B$9,"REVISAR"))</f>
        <v>Cinema</v>
      </c>
      <c r="F1488" s="4" t="str">
        <f aca="false">IF($A1488="","",_xlfn.XLOOKUP(LOWER(TRIM(Base_Bruta!F1488)),DePara_Cidade!$A$2:$A$29,DePara_Cidade!$B$2:$B$29,"REVISAR"))</f>
        <v>Rio de Janeiro</v>
      </c>
      <c r="G1488" s="4" t="str">
        <f aca="false">IF($A1488="","",TRIM(Base_Bruta!G1488))</f>
        <v>Inteira</v>
      </c>
      <c r="H1488" s="4" t="n">
        <f aca="false">IF($A1488="","",IF(ISNUMBER(Base_Bruta!H1488),Base_Bruta!H1488,IFERROR(_xlfn.NUMBERVALUE(TRIM(SUBSTITUTE(Base_Bruta!H1488,"R$","")),",","."),0)))</f>
        <v>2</v>
      </c>
      <c r="I1488" s="6" t="n">
        <f aca="false">IF($A1488="","",IF(ISNUMBER(Base_Bruta!I1488),Base_Bruta!I1488,IFERROR(_xlfn.NUMBERVALUE(TRIM(SUBSTITUTE(Base_Bruta!I1488,"R$","")),",","."),0)))</f>
        <v>45</v>
      </c>
      <c r="J1488" s="6" t="n">
        <f aca="false">IF($A1488="","",H1488*I1488)</f>
        <v>90</v>
      </c>
      <c r="K1488" s="4" t="str">
        <f aca="false">IF($A1488="","",TRIM(Base_Bruta!J1488))</f>
        <v>Bilheteria</v>
      </c>
      <c r="L1488" s="4" t="str">
        <f aca="false">IF($A1488="","",TRIM(Base_Bruta!K1488))</f>
        <v>C00232</v>
      </c>
      <c r="M1488" s="4" t="str">
        <f aca="false">IF($A1488="","",_xlfn.XLOOKUP(LOWER(TRIM(Base_Bruta!L1488)),DePara_Cidade!$A$2:$A$29,DePara_Cidade!$B$2:$B$29,"REVISAR"))</f>
        <v>Rio de Janeiro</v>
      </c>
      <c r="N1488" s="4" t="str">
        <f aca="false">IF($A1488="","",UPPER(TRIM(Base_Bruta!M1488)))</f>
        <v>RJ</v>
      </c>
      <c r="O1488" s="4" t="str">
        <f aca="false">IF($A1488="","",_xlfn.XLOOKUP(LOWER(TRIM(Base_Bruta!N1488)),DePara_Pais!$A$2:$A$9,DePara_Pais!$B$2:$B$9,"REVISAR"))</f>
        <v>Brasil</v>
      </c>
      <c r="P1488" s="4" t="str">
        <f aca="false">IF($A1488="","",IF(O1488&lt;&gt;"Brasil","Turista Internacional",IF(M1488=F1488,"Local","Turista Nacional")))</f>
        <v>Local</v>
      </c>
      <c r="Q1488" s="7" t="n">
        <f aca="false">IF($A1488="","",DATE(YEAR(B1488),MONTH(B1488),1))</f>
        <v>46143</v>
      </c>
      <c r="R1488" s="4" t="str">
        <f aca="false">IF($A1488="","",IF(COUNTIF($A$2:$A1488,$A1488)&gt;1,"Sim","Não"))</f>
        <v>Não</v>
      </c>
      <c r="S1488" s="4" t="str">
        <f aca="false">IF(A1488="","Descartar - Linha vazia",IF(R1488="Sim","Descartar - Duplicado",IF(OR(H1488&lt;=0,I1488&lt;=0),"Descartar - Qtd/Valor inválido","OK")))</f>
        <v>OK</v>
      </c>
      <c r="T1488" s="4" t="str">
        <f aca="false">Base_Bruta!P1488</f>
        <v>vendas_RJ.xlsx</v>
      </c>
    </row>
    <row r="1489" customFormat="false" ht="15" hidden="false" customHeight="false" outlineLevel="0" collapsed="false">
      <c r="A1489" s="4" t="str">
        <f aca="false">IF(Base_Bruta!A1489="","",Base_Bruta!A1489)</f>
        <v>RJ-000401</v>
      </c>
      <c r="B1489" s="5" t="n">
        <f aca="false">IF($A1489="","",IF(ISNUMBER(Base_Bruta!B1489),Base_Bruta!B1489,IF(MID(Base_Bruta!B1489,5,1)="-",DATE(VALUE(LEFT(Base_Bruta!B1489,4)),VALUE(MID(Base_Bruta!B1489,6,2)),VALUE(RIGHT(Base_Bruta!B1489,2))),DATE(VALUE(RIGHT(Base_Bruta!B1489,4)),VALUE(MID(Base_Bruta!B1489,4,2)),VALUE(LEFT(Base_Bruta!B1489,2))))))</f>
        <v>46149</v>
      </c>
      <c r="C1489" s="5" t="n">
        <f aca="false">IF($A1489="","",IF(ISNUMBER(Base_Bruta!C1489),Base_Bruta!C1489,IF(MID(Base_Bruta!C1489,5,1)="-",DATE(VALUE(LEFT(Base_Bruta!C1489,4)),VALUE(MID(Base_Bruta!C1489,6,2)),VALUE(RIGHT(Base_Bruta!C1489,2))),DATE(VALUE(RIGHT(Base_Bruta!C1489,4)),VALUE(MID(Base_Bruta!C1489,4,2)),VALUE(LEFT(Base_Bruta!C1489,2))))))</f>
        <v>46151</v>
      </c>
      <c r="D1489" s="4" t="str">
        <f aca="false">IF($A1489="","",TRIM(Base_Bruta!D1489))</f>
        <v>Turnê Internacional Rock - Rio</v>
      </c>
      <c r="E1489" s="4" t="str">
        <f aca="false">IF($A1489="","",_xlfn.XLOOKUP(LOWER(TRIM(Base_Bruta!E1489)),DePara_Categoria!$A$2:$A$9,DePara_Categoria!$B$2:$B$9,"REVISAR"))</f>
        <v>Show</v>
      </c>
      <c r="F1489" s="4" t="str">
        <f aca="false">IF($A1489="","",_xlfn.XLOOKUP(LOWER(TRIM(Base_Bruta!F1489)),DePara_Cidade!$A$2:$A$29,DePara_Cidade!$B$2:$B$29,"REVISAR"))</f>
        <v>Rio de Janeiro</v>
      </c>
      <c r="G1489" s="4" t="str">
        <f aca="false">IF($A1489="","",TRIM(Base_Bruta!G1489))</f>
        <v>VIP</v>
      </c>
      <c r="H1489" s="4" t="n">
        <f aca="false">IF($A1489="","",IF(ISNUMBER(Base_Bruta!H1489),Base_Bruta!H1489,IFERROR(_xlfn.NUMBERVALUE(TRIM(SUBSTITUTE(Base_Bruta!H1489,"R$","")),",","."),0)))</f>
        <v>2</v>
      </c>
      <c r="I1489" s="6" t="n">
        <f aca="false">IF($A1489="","",IF(ISNUMBER(Base_Bruta!I1489),Base_Bruta!I1489,IFERROR(_xlfn.NUMBERVALUE(TRIM(SUBSTITUTE(Base_Bruta!I1489,"R$","")),",","."),0)))</f>
        <v>540</v>
      </c>
      <c r="J1489" s="6" t="n">
        <f aca="false">IF($A1489="","",H1489*I1489)</f>
        <v>1080</v>
      </c>
      <c r="K1489" s="4" t="str">
        <f aca="false">IF($A1489="","",TRIM(Base_Bruta!J1489))</f>
        <v>Site</v>
      </c>
      <c r="L1489" s="4" t="str">
        <f aca="false">IF($A1489="","",TRIM(Base_Bruta!K1489))</f>
        <v>C00071</v>
      </c>
      <c r="M1489" s="4" t="str">
        <f aca="false">IF($A1489="","",_xlfn.XLOOKUP(LOWER(TRIM(Base_Bruta!L1489)),DePara_Cidade!$A$2:$A$29,DePara_Cidade!$B$2:$B$29,"REVISAR"))</f>
        <v>Rio de Janeiro</v>
      </c>
      <c r="N1489" s="4" t="str">
        <f aca="false">IF($A1489="","",UPPER(TRIM(Base_Bruta!M1489)))</f>
        <v>RJ</v>
      </c>
      <c r="O1489" s="4" t="str">
        <f aca="false">IF($A1489="","",_xlfn.XLOOKUP(LOWER(TRIM(Base_Bruta!N1489)),DePara_Pais!$A$2:$A$9,DePara_Pais!$B$2:$B$9,"REVISAR"))</f>
        <v>Brasil</v>
      </c>
      <c r="P1489" s="4" t="str">
        <f aca="false">IF($A1489="","",IF(O1489&lt;&gt;"Brasil","Turista Internacional",IF(M1489=F1489,"Local","Turista Nacional")))</f>
        <v>Local</v>
      </c>
      <c r="Q1489" s="7" t="n">
        <f aca="false">IF($A1489="","",DATE(YEAR(B1489),MONTH(B1489),1))</f>
        <v>46143</v>
      </c>
      <c r="R1489" s="4" t="str">
        <f aca="false">IF($A1489="","",IF(COUNTIF($A$2:$A1489,$A1489)&gt;1,"Sim","Não"))</f>
        <v>Não</v>
      </c>
      <c r="S1489" s="4" t="str">
        <f aca="false">IF(A1489="","Descartar - Linha vazia",IF(R1489="Sim","Descartar - Duplicado",IF(OR(H1489&lt;=0,I1489&lt;=0),"Descartar - Qtd/Valor inválido","OK")))</f>
        <v>OK</v>
      </c>
      <c r="T1489" s="4" t="str">
        <f aca="false">Base_Bruta!P1489</f>
        <v>vendas_RJ.xlsx</v>
      </c>
    </row>
    <row r="1490" customFormat="false" ht="15" hidden="false" customHeight="false" outlineLevel="0" collapsed="false">
      <c r="A1490" s="4" t="str">
        <f aca="false">IF(Base_Bruta!A1490="","",Base_Bruta!A1490)</f>
        <v>RJ-000418</v>
      </c>
      <c r="B1490" s="5" t="n">
        <f aca="false">IF($A1490="","",IF(ISNUMBER(Base_Bruta!B1490),Base_Bruta!B1490,IF(MID(Base_Bruta!B1490,5,1)="-",DATE(VALUE(LEFT(Base_Bruta!B1490,4)),VALUE(MID(Base_Bruta!B1490,6,2)),VALUE(RIGHT(Base_Bruta!B1490,2))),DATE(VALUE(RIGHT(Base_Bruta!B1490,4)),VALUE(MID(Base_Bruta!B1490,4,2)),VALUE(LEFT(Base_Bruta!B1490,2))))))</f>
        <v>46149</v>
      </c>
      <c r="C1490" s="5" t="n">
        <f aca="false">IF($A1490="","",IF(ISNUMBER(Base_Bruta!C1490),Base_Bruta!C1490,IF(MID(Base_Bruta!C1490,5,1)="-",DATE(VALUE(LEFT(Base_Bruta!C1490,4)),VALUE(MID(Base_Bruta!C1490,6,2)),VALUE(RIGHT(Base_Bruta!C1490,2))),DATE(VALUE(RIGHT(Base_Bruta!C1490,4)),VALUE(MID(Base_Bruta!C1490,4,2)),VALUE(LEFT(Base_Bruta!C1490,2))))))</f>
        <v>46151</v>
      </c>
      <c r="D1490" s="4" t="str">
        <f aca="false">IF($A1490="","",TRIM(Base_Bruta!D1490))</f>
        <v>Turnê Internacional Rock - Rio</v>
      </c>
      <c r="E1490" s="4" t="str">
        <f aca="false">IF($A1490="","",_xlfn.XLOOKUP(LOWER(TRIM(Base_Bruta!E1490)),DePara_Categoria!$A$2:$A$9,DePara_Categoria!$B$2:$B$9,"REVISAR"))</f>
        <v>Show</v>
      </c>
      <c r="F1490" s="4" t="str">
        <f aca="false">IF($A1490="","",_xlfn.XLOOKUP(LOWER(TRIM(Base_Bruta!F1490)),DePara_Cidade!$A$2:$A$29,DePara_Cidade!$B$2:$B$29,"REVISAR"))</f>
        <v>Rio de Janeiro</v>
      </c>
      <c r="G1490" s="4" t="str">
        <f aca="false">IF($A1490="","",TRIM(Base_Bruta!G1490))</f>
        <v>Meia</v>
      </c>
      <c r="H1490" s="4" t="n">
        <f aca="false">IF($A1490="","",IF(ISNUMBER(Base_Bruta!H1490),Base_Bruta!H1490,IFERROR(_xlfn.NUMBERVALUE(TRIM(SUBSTITUTE(Base_Bruta!H1490,"R$","")),",","."),0)))</f>
        <v>1</v>
      </c>
      <c r="I1490" s="6" t="n">
        <f aca="false">IF($A1490="","",IF(ISNUMBER(Base_Bruta!I1490),Base_Bruta!I1490,IFERROR(_xlfn.NUMBERVALUE(TRIM(SUBSTITUTE(Base_Bruta!I1490,"R$","")),",","."),0)))</f>
        <v>150</v>
      </c>
      <c r="J1490" s="6" t="n">
        <f aca="false">IF($A1490="","",H1490*I1490)</f>
        <v>150</v>
      </c>
      <c r="K1490" s="4" t="str">
        <f aca="false">IF($A1490="","",TRIM(Base_Bruta!J1490))</f>
        <v>Site</v>
      </c>
      <c r="L1490" s="4" t="str">
        <f aca="false">IF($A1490="","",TRIM(Base_Bruta!K1490))</f>
        <v>C02161</v>
      </c>
      <c r="M1490" s="4" t="str">
        <f aca="false">IF($A1490="","",_xlfn.XLOOKUP(LOWER(TRIM(Base_Bruta!L1490)),DePara_Cidade!$A$2:$A$29,DePara_Cidade!$B$2:$B$29,"REVISAR"))</f>
        <v>Rio de Janeiro</v>
      </c>
      <c r="N1490" s="4" t="str">
        <f aca="false">IF($A1490="","",UPPER(TRIM(Base_Bruta!M1490)))</f>
        <v>RJ</v>
      </c>
      <c r="O1490" s="4" t="str">
        <f aca="false">IF($A1490="","",_xlfn.XLOOKUP(LOWER(TRIM(Base_Bruta!N1490)),DePara_Pais!$A$2:$A$9,DePara_Pais!$B$2:$B$9,"REVISAR"))</f>
        <v>Brasil</v>
      </c>
      <c r="P1490" s="4" t="str">
        <f aca="false">IF($A1490="","",IF(O1490&lt;&gt;"Brasil","Turista Internacional",IF(M1490=F1490,"Local","Turista Nacional")))</f>
        <v>Local</v>
      </c>
      <c r="Q1490" s="7" t="n">
        <f aca="false">IF($A1490="","",DATE(YEAR(B1490),MONTH(B1490),1))</f>
        <v>46143</v>
      </c>
      <c r="R1490" s="4" t="str">
        <f aca="false">IF($A1490="","",IF(COUNTIF($A$2:$A1490,$A1490)&gt;1,"Sim","Não"))</f>
        <v>Não</v>
      </c>
      <c r="S1490" s="4" t="str">
        <f aca="false">IF(A1490="","Descartar - Linha vazia",IF(R1490="Sim","Descartar - Duplicado",IF(OR(H1490&lt;=0,I1490&lt;=0),"Descartar - Qtd/Valor inválido","OK")))</f>
        <v>OK</v>
      </c>
      <c r="T1490" s="4" t="str">
        <f aca="false">Base_Bruta!P1490</f>
        <v>vendas_RJ.xlsx</v>
      </c>
    </row>
    <row r="1491" customFormat="false" ht="15" hidden="false" customHeight="false" outlineLevel="0" collapsed="false">
      <c r="A1491" s="4" t="str">
        <f aca="false">IF(Base_Bruta!A1491="","",Base_Bruta!A1491)</f>
        <v>RJ-000419</v>
      </c>
      <c r="B1491" s="5" t="n">
        <f aca="false">IF($A1491="","",IF(ISNUMBER(Base_Bruta!B1491),Base_Bruta!B1491,IF(MID(Base_Bruta!B1491,5,1)="-",DATE(VALUE(LEFT(Base_Bruta!B1491,4)),VALUE(MID(Base_Bruta!B1491,6,2)),VALUE(RIGHT(Base_Bruta!B1491,2))),DATE(VALUE(RIGHT(Base_Bruta!B1491,4)),VALUE(MID(Base_Bruta!B1491,4,2)),VALUE(LEFT(Base_Bruta!B1491,2))))))</f>
        <v>46149</v>
      </c>
      <c r="C1491" s="5" t="n">
        <f aca="false">IF($A1491="","",IF(ISNUMBER(Base_Bruta!C1491),Base_Bruta!C1491,IF(MID(Base_Bruta!C1491,5,1)="-",DATE(VALUE(LEFT(Base_Bruta!C1491,4)),VALUE(MID(Base_Bruta!C1491,6,2)),VALUE(RIGHT(Base_Bruta!C1491,2))),DATE(VALUE(RIGHT(Base_Bruta!C1491,4)),VALUE(MID(Base_Bruta!C1491,4,2)),VALUE(LEFT(Base_Bruta!C1491,2))))))</f>
        <v>46151</v>
      </c>
      <c r="D1491" s="4" t="str">
        <f aca="false">IF($A1491="","",TRIM(Base_Bruta!D1491))</f>
        <v>Turnê Internacional Rock - Rio</v>
      </c>
      <c r="E1491" s="4" t="str">
        <f aca="false">IF($A1491="","",_xlfn.XLOOKUP(LOWER(TRIM(Base_Bruta!E1491)),DePara_Categoria!$A$2:$A$9,DePara_Categoria!$B$2:$B$9,"REVISAR"))</f>
        <v>Show</v>
      </c>
      <c r="F1491" s="4" t="str">
        <f aca="false">IF($A1491="","",_xlfn.XLOOKUP(LOWER(TRIM(Base_Bruta!F1491)),DePara_Cidade!$A$2:$A$29,DePara_Cidade!$B$2:$B$29,"REVISAR"))</f>
        <v>Rio de Janeiro</v>
      </c>
      <c r="G1491" s="4" t="str">
        <f aca="false">IF($A1491="","",TRIM(Base_Bruta!G1491))</f>
        <v>Meia</v>
      </c>
      <c r="H1491" s="4" t="n">
        <f aca="false">IF($A1491="","",IF(ISNUMBER(Base_Bruta!H1491),Base_Bruta!H1491,IFERROR(_xlfn.NUMBERVALUE(TRIM(SUBSTITUTE(Base_Bruta!H1491,"R$","")),",","."),0)))</f>
        <v>1</v>
      </c>
      <c r="I1491" s="6" t="n">
        <f aca="false">IF($A1491="","",IF(ISNUMBER(Base_Bruta!I1491),Base_Bruta!I1491,IFERROR(_xlfn.NUMBERVALUE(TRIM(SUBSTITUTE(Base_Bruta!I1491,"R$","")),",","."),0)))</f>
        <v>382.5</v>
      </c>
      <c r="J1491" s="6" t="n">
        <f aca="false">IF($A1491="","",H1491*I1491)</f>
        <v>382.5</v>
      </c>
      <c r="K1491" s="4" t="str">
        <f aca="false">IF($A1491="","",TRIM(Base_Bruta!J1491))</f>
        <v>Site</v>
      </c>
      <c r="L1491" s="4" t="str">
        <f aca="false">IF($A1491="","",TRIM(Base_Bruta!K1491))</f>
        <v>C01698</v>
      </c>
      <c r="M1491" s="4" t="str">
        <f aca="false">IF($A1491="","",_xlfn.XLOOKUP(LOWER(TRIM(Base_Bruta!L1491)),DePara_Cidade!$A$2:$A$29,DePara_Cidade!$B$2:$B$29,"REVISAR"))</f>
        <v>Rio de Janeiro</v>
      </c>
      <c r="N1491" s="4" t="str">
        <f aca="false">IF($A1491="","",UPPER(TRIM(Base_Bruta!M1491)))</f>
        <v>RJ</v>
      </c>
      <c r="O1491" s="4" t="str">
        <f aca="false">IF($A1491="","",_xlfn.XLOOKUP(LOWER(TRIM(Base_Bruta!N1491)),DePara_Pais!$A$2:$A$9,DePara_Pais!$B$2:$B$9,"REVISAR"))</f>
        <v>Brasil</v>
      </c>
      <c r="P1491" s="4" t="str">
        <f aca="false">IF($A1491="","",IF(O1491&lt;&gt;"Brasil","Turista Internacional",IF(M1491=F1491,"Local","Turista Nacional")))</f>
        <v>Local</v>
      </c>
      <c r="Q1491" s="7" t="n">
        <f aca="false">IF($A1491="","",DATE(YEAR(B1491),MONTH(B1491),1))</f>
        <v>46143</v>
      </c>
      <c r="R1491" s="4" t="str">
        <f aca="false">IF($A1491="","",IF(COUNTIF($A$2:$A1491,$A1491)&gt;1,"Sim","Não"))</f>
        <v>Não</v>
      </c>
      <c r="S1491" s="4" t="str">
        <f aca="false">IF(A1491="","Descartar - Linha vazia",IF(R1491="Sim","Descartar - Duplicado",IF(OR(H1491&lt;=0,I1491&lt;=0),"Descartar - Qtd/Valor inválido","OK")))</f>
        <v>OK</v>
      </c>
      <c r="T1491" s="4" t="str">
        <f aca="false">Base_Bruta!P1491</f>
        <v>vendas_RJ.xlsx</v>
      </c>
    </row>
    <row r="1492" customFormat="false" ht="15" hidden="false" customHeight="false" outlineLevel="0" collapsed="false">
      <c r="A1492" s="4" t="str">
        <f aca="false">IF(Base_Bruta!A1492="","",Base_Bruta!A1492)</f>
        <v>RJ-000497</v>
      </c>
      <c r="B1492" s="5" t="n">
        <f aca="false">IF($A1492="","",IF(ISNUMBER(Base_Bruta!B1492),Base_Bruta!B1492,IF(MID(Base_Bruta!B1492,5,1)="-",DATE(VALUE(LEFT(Base_Bruta!B1492,4)),VALUE(MID(Base_Bruta!B1492,6,2)),VALUE(RIGHT(Base_Bruta!B1492,2))),DATE(VALUE(RIGHT(Base_Bruta!B1492,4)),VALUE(MID(Base_Bruta!B1492,4,2)),VALUE(LEFT(Base_Bruta!B1492,2))))))</f>
        <v>46149</v>
      </c>
      <c r="C1492" s="5" t="n">
        <f aca="false">IF($A1492="","",IF(ISNUMBER(Base_Bruta!C1492),Base_Bruta!C1492,IF(MID(Base_Bruta!C1492,5,1)="-",DATE(VALUE(LEFT(Base_Bruta!C1492,4)),VALUE(MID(Base_Bruta!C1492,6,2)),VALUE(RIGHT(Base_Bruta!C1492,2))),DATE(VALUE(RIGHT(Base_Bruta!C1492,4)),VALUE(MID(Base_Bruta!C1492,4,2)),VALUE(LEFT(Base_Bruta!C1492,2))))))</f>
        <v>46151</v>
      </c>
      <c r="D1492" s="4" t="str">
        <f aca="false">IF($A1492="","",TRIM(Base_Bruta!D1492))</f>
        <v>Turnê Internacional Rock - Rio</v>
      </c>
      <c r="E1492" s="4" t="str">
        <f aca="false">IF($A1492="","",_xlfn.XLOOKUP(LOWER(TRIM(Base_Bruta!E1492)),DePara_Categoria!$A$2:$A$9,DePara_Categoria!$B$2:$B$9,"REVISAR"))</f>
        <v>Show</v>
      </c>
      <c r="F1492" s="4" t="str">
        <f aca="false">IF($A1492="","",_xlfn.XLOOKUP(LOWER(TRIM(Base_Bruta!F1492)),DePara_Cidade!$A$2:$A$29,DePara_Cidade!$B$2:$B$29,"REVISAR"))</f>
        <v>Rio de Janeiro</v>
      </c>
      <c r="G1492" s="4" t="str">
        <f aca="false">IF($A1492="","",TRIM(Base_Bruta!G1492))</f>
        <v>Inteira</v>
      </c>
      <c r="H1492" s="4" t="n">
        <f aca="false">IF($A1492="","",IF(ISNUMBER(Base_Bruta!H1492),Base_Bruta!H1492,IFERROR(_xlfn.NUMBERVALUE(TRIM(SUBSTITUTE(Base_Bruta!H1492,"R$","")),",","."),0)))</f>
        <v>4</v>
      </c>
      <c r="I1492" s="6" t="n">
        <f aca="false">IF($A1492="","",IF(ISNUMBER(Base_Bruta!I1492),Base_Bruta!I1492,IFERROR(_xlfn.NUMBERVALUE(TRIM(SUBSTITUTE(Base_Bruta!I1492,"R$","")),",","."),0)))</f>
        <v>765</v>
      </c>
      <c r="J1492" s="6" t="n">
        <f aca="false">IF($A1492="","",H1492*I1492)</f>
        <v>3060</v>
      </c>
      <c r="K1492" s="4" t="str">
        <f aca="false">IF($A1492="","",TRIM(Base_Bruta!J1492))</f>
        <v>App</v>
      </c>
      <c r="L1492" s="4" t="str">
        <f aca="false">IF($A1492="","",TRIM(Base_Bruta!K1492))</f>
        <v>C02249</v>
      </c>
      <c r="M1492" s="4" t="str">
        <f aca="false">IF($A1492="","",_xlfn.XLOOKUP(LOWER(TRIM(Base_Bruta!L1492)),DePara_Cidade!$A$2:$A$29,DePara_Cidade!$B$2:$B$29,"REVISAR"))</f>
        <v>Niterói</v>
      </c>
      <c r="N1492" s="4" t="str">
        <f aca="false">IF($A1492="","",UPPER(TRIM(Base_Bruta!M1492)))</f>
        <v>RJ</v>
      </c>
      <c r="O1492" s="4" t="str">
        <f aca="false">IF($A1492="","",_xlfn.XLOOKUP(LOWER(TRIM(Base_Bruta!N1492)),DePara_Pais!$A$2:$A$9,DePara_Pais!$B$2:$B$9,"REVISAR"))</f>
        <v>Brasil</v>
      </c>
      <c r="P1492" s="4" t="str">
        <f aca="false">IF($A1492="","",IF(O1492&lt;&gt;"Brasil","Turista Internacional",IF(M1492=F1492,"Local","Turista Nacional")))</f>
        <v>Turista Nacional</v>
      </c>
      <c r="Q1492" s="7" t="n">
        <f aca="false">IF($A1492="","",DATE(YEAR(B1492),MONTH(B1492),1))</f>
        <v>46143</v>
      </c>
      <c r="R1492" s="4" t="str">
        <f aca="false">IF($A1492="","",IF(COUNTIF($A$2:$A1492,$A1492)&gt;1,"Sim","Não"))</f>
        <v>Não</v>
      </c>
      <c r="S1492" s="4" t="str">
        <f aca="false">IF(A1492="","Descartar - Linha vazia",IF(R1492="Sim","Descartar - Duplicado",IF(OR(H1492&lt;=0,I1492&lt;=0),"Descartar - Qtd/Valor inválido","OK")))</f>
        <v>OK</v>
      </c>
      <c r="T1492" s="4" t="str">
        <f aca="false">Base_Bruta!P1492</f>
        <v>vendas_RJ.xlsx</v>
      </c>
    </row>
    <row r="1493" customFormat="false" ht="15" hidden="false" customHeight="false" outlineLevel="0" collapsed="false">
      <c r="A1493" s="4" t="str">
        <f aca="false">IF(Base_Bruta!A1493="","",Base_Bruta!A1493)</f>
        <v>RJ-000422</v>
      </c>
      <c r="B1493" s="5" t="n">
        <f aca="false">IF($A1493="","",IF(ISNUMBER(Base_Bruta!B1493),Base_Bruta!B1493,IF(MID(Base_Bruta!B1493,5,1)="-",DATE(VALUE(LEFT(Base_Bruta!B1493,4)),VALUE(MID(Base_Bruta!B1493,6,2)),VALUE(RIGHT(Base_Bruta!B1493,2))),DATE(VALUE(RIGHT(Base_Bruta!B1493,4)),VALUE(MID(Base_Bruta!B1493,4,2)),VALUE(LEFT(Base_Bruta!B1493,2))))))</f>
        <v>46150</v>
      </c>
      <c r="C1493" s="5" t="n">
        <f aca="false">IF($A1493="","",IF(ISNUMBER(Base_Bruta!C1493),Base_Bruta!C1493,IF(MID(Base_Bruta!C1493,5,1)="-",DATE(VALUE(LEFT(Base_Bruta!C1493,4)),VALUE(MID(Base_Bruta!C1493,6,2)),VALUE(RIGHT(Base_Bruta!C1493,2))),DATE(VALUE(RIGHT(Base_Bruta!C1493,4)),VALUE(MID(Base_Bruta!C1493,4,2)),VALUE(LEFT(Base_Bruta!C1493,2))))))</f>
        <v>46151</v>
      </c>
      <c r="D1493" s="4" t="str">
        <f aca="false">IF($A1493="","",TRIM(Base_Bruta!D1493))</f>
        <v>Turnê Internacional Rock - Rio</v>
      </c>
      <c r="E1493" s="4" t="str">
        <f aca="false">IF($A1493="","",_xlfn.XLOOKUP(LOWER(TRIM(Base_Bruta!E1493)),DePara_Categoria!$A$2:$A$9,DePara_Categoria!$B$2:$B$9,"REVISAR"))</f>
        <v>Show</v>
      </c>
      <c r="F1493" s="4" t="str">
        <f aca="false">IF($A1493="","",_xlfn.XLOOKUP(LOWER(TRIM(Base_Bruta!F1493)),DePara_Cidade!$A$2:$A$29,DePara_Cidade!$B$2:$B$29,"REVISAR"))</f>
        <v>Rio de Janeiro</v>
      </c>
      <c r="G1493" s="4" t="str">
        <f aca="false">IF($A1493="","",TRIM(Base_Bruta!G1493))</f>
        <v>VIP</v>
      </c>
      <c r="H1493" s="4" t="n">
        <f aca="false">IF($A1493="","",IF(ISNUMBER(Base_Bruta!H1493),Base_Bruta!H1493,IFERROR(_xlfn.NUMBERVALUE(TRIM(SUBSTITUTE(Base_Bruta!H1493,"R$","")),",","."),0)))</f>
        <v>2</v>
      </c>
      <c r="I1493" s="6" t="n">
        <f aca="false">IF($A1493="","",IF(ISNUMBER(Base_Bruta!I1493),Base_Bruta!I1493,IFERROR(_xlfn.NUMBERVALUE(TRIM(SUBSTITUTE(Base_Bruta!I1493,"R$","")),",","."),0)))</f>
        <v>990</v>
      </c>
      <c r="J1493" s="6" t="n">
        <f aca="false">IF($A1493="","",H1493*I1493)</f>
        <v>1980</v>
      </c>
      <c r="K1493" s="4" t="str">
        <f aca="false">IF($A1493="","",TRIM(Base_Bruta!J1493))</f>
        <v>App</v>
      </c>
      <c r="L1493" s="4" t="str">
        <f aca="false">IF($A1493="","",TRIM(Base_Bruta!K1493))</f>
        <v>C00268</v>
      </c>
      <c r="M1493" s="4" t="str">
        <f aca="false">IF($A1493="","",_xlfn.XLOOKUP(LOWER(TRIM(Base_Bruta!L1493)),DePara_Cidade!$A$2:$A$29,DePara_Cidade!$B$2:$B$29,"REVISAR"))</f>
        <v>Niterói</v>
      </c>
      <c r="N1493" s="4" t="str">
        <f aca="false">IF($A1493="","",UPPER(TRIM(Base_Bruta!M1493)))</f>
        <v>RJ</v>
      </c>
      <c r="O1493" s="4" t="str">
        <f aca="false">IF($A1493="","",_xlfn.XLOOKUP(LOWER(TRIM(Base_Bruta!N1493)),DePara_Pais!$A$2:$A$9,DePara_Pais!$B$2:$B$9,"REVISAR"))</f>
        <v>Brasil</v>
      </c>
      <c r="P1493" s="4" t="str">
        <f aca="false">IF($A1493="","",IF(O1493&lt;&gt;"Brasil","Turista Internacional",IF(M1493=F1493,"Local","Turista Nacional")))</f>
        <v>Turista Nacional</v>
      </c>
      <c r="Q1493" s="7" t="n">
        <f aca="false">IF($A1493="","",DATE(YEAR(B1493),MONTH(B1493),1))</f>
        <v>46143</v>
      </c>
      <c r="R1493" s="4" t="str">
        <f aca="false">IF($A1493="","",IF(COUNTIF($A$2:$A1493,$A1493)&gt;1,"Sim","Não"))</f>
        <v>Não</v>
      </c>
      <c r="S1493" s="4" t="str">
        <f aca="false">IF(A1493="","Descartar - Linha vazia",IF(R1493="Sim","Descartar - Duplicado",IF(OR(H1493&lt;=0,I1493&lt;=0),"Descartar - Qtd/Valor inválido","OK")))</f>
        <v>OK</v>
      </c>
      <c r="T1493" s="4" t="str">
        <f aca="false">Base_Bruta!P1493</f>
        <v>vendas_RJ.xlsx</v>
      </c>
    </row>
    <row r="1494" customFormat="false" ht="15" hidden="false" customHeight="false" outlineLevel="0" collapsed="false">
      <c r="A1494" s="4" t="str">
        <f aca="false">IF(Base_Bruta!A1494="","",Base_Bruta!A1494)</f>
        <v>RJ-000426</v>
      </c>
      <c r="B1494" s="5" t="n">
        <f aca="false">IF($A1494="","",IF(ISNUMBER(Base_Bruta!B1494),Base_Bruta!B1494,IF(MID(Base_Bruta!B1494,5,1)="-",DATE(VALUE(LEFT(Base_Bruta!B1494,4)),VALUE(MID(Base_Bruta!B1494,6,2)),VALUE(RIGHT(Base_Bruta!B1494,2))),DATE(VALUE(RIGHT(Base_Bruta!B1494,4)),VALUE(MID(Base_Bruta!B1494,4,2)),VALUE(LEFT(Base_Bruta!B1494,2))))))</f>
        <v>46150</v>
      </c>
      <c r="C1494" s="5" t="n">
        <f aca="false">IF($A1494="","",IF(ISNUMBER(Base_Bruta!C1494),Base_Bruta!C1494,IF(MID(Base_Bruta!C1494,5,1)="-",DATE(VALUE(LEFT(Base_Bruta!C1494,4)),VALUE(MID(Base_Bruta!C1494,6,2)),VALUE(RIGHT(Base_Bruta!C1494,2))),DATE(VALUE(RIGHT(Base_Bruta!C1494,4)),VALUE(MID(Base_Bruta!C1494,4,2)),VALUE(LEFT(Base_Bruta!C1494,2))))))</f>
        <v>46151</v>
      </c>
      <c r="D1494" s="4" t="str">
        <f aca="false">IF($A1494="","",TRIM(Base_Bruta!D1494))</f>
        <v>Turnê Internacional Rock - Rio</v>
      </c>
      <c r="E1494" s="4" t="str">
        <f aca="false">IF($A1494="","",_xlfn.XLOOKUP(LOWER(TRIM(Base_Bruta!E1494)),DePara_Categoria!$A$2:$A$9,DePara_Categoria!$B$2:$B$9,"REVISAR"))</f>
        <v>Show</v>
      </c>
      <c r="F1494" s="4" t="str">
        <f aca="false">IF($A1494="","",_xlfn.XLOOKUP(LOWER(TRIM(Base_Bruta!F1494)),DePara_Cidade!$A$2:$A$29,DePara_Cidade!$B$2:$B$29,"REVISAR"))</f>
        <v>Rio de Janeiro</v>
      </c>
      <c r="G1494" s="4" t="str">
        <f aca="false">IF($A1494="","",TRIM(Base_Bruta!G1494))</f>
        <v>Inteira</v>
      </c>
      <c r="H1494" s="4" t="n">
        <f aca="false">IF($A1494="","",IF(ISNUMBER(Base_Bruta!H1494),Base_Bruta!H1494,IFERROR(_xlfn.NUMBERVALUE(TRIM(SUBSTITUTE(Base_Bruta!H1494,"R$","")),",","."),0)))</f>
        <v>2</v>
      </c>
      <c r="I1494" s="6" t="n">
        <f aca="false">IF($A1494="","",IF(ISNUMBER(Base_Bruta!I1494),Base_Bruta!I1494,IFERROR(_xlfn.NUMBERVALUE(TRIM(SUBSTITUTE(Base_Bruta!I1494,"R$","")),",","."),0)))</f>
        <v>335</v>
      </c>
      <c r="J1494" s="6" t="n">
        <f aca="false">IF($A1494="","",H1494*I1494)</f>
        <v>670</v>
      </c>
      <c r="K1494" s="4" t="str">
        <f aca="false">IF($A1494="","",TRIM(Base_Bruta!J1494))</f>
        <v>Bilheteria</v>
      </c>
      <c r="L1494" s="4" t="str">
        <f aca="false">IF($A1494="","",TRIM(Base_Bruta!K1494))</f>
        <v>C00044</v>
      </c>
      <c r="M1494" s="4" t="str">
        <f aca="false">IF($A1494="","",_xlfn.XLOOKUP(LOWER(TRIM(Base_Bruta!L1494)),DePara_Cidade!$A$2:$A$29,DePara_Cidade!$B$2:$B$29,"REVISAR"))</f>
        <v>Rio de Janeiro</v>
      </c>
      <c r="N1494" s="4" t="str">
        <f aca="false">IF($A1494="","",UPPER(TRIM(Base_Bruta!M1494)))</f>
        <v>RJ</v>
      </c>
      <c r="O1494" s="4" t="str">
        <f aca="false">IF($A1494="","",_xlfn.XLOOKUP(LOWER(TRIM(Base_Bruta!N1494)),DePara_Pais!$A$2:$A$9,DePara_Pais!$B$2:$B$9,"REVISAR"))</f>
        <v>Brasil</v>
      </c>
      <c r="P1494" s="4" t="str">
        <f aca="false">IF($A1494="","",IF(O1494&lt;&gt;"Brasil","Turista Internacional",IF(M1494=F1494,"Local","Turista Nacional")))</f>
        <v>Local</v>
      </c>
      <c r="Q1494" s="7" t="n">
        <f aca="false">IF($A1494="","",DATE(YEAR(B1494),MONTH(B1494),1))</f>
        <v>46143</v>
      </c>
      <c r="R1494" s="4" t="str">
        <f aca="false">IF($A1494="","",IF(COUNTIF($A$2:$A1494,$A1494)&gt;1,"Sim","Não"))</f>
        <v>Não</v>
      </c>
      <c r="S1494" s="4" t="str">
        <f aca="false">IF(A1494="","Descartar - Linha vazia",IF(R1494="Sim","Descartar - Duplicado",IF(OR(H1494&lt;=0,I1494&lt;=0),"Descartar - Qtd/Valor inválido","OK")))</f>
        <v>OK</v>
      </c>
      <c r="T1494" s="4" t="str">
        <f aca="false">Base_Bruta!P1494</f>
        <v>vendas_RJ.xlsx</v>
      </c>
    </row>
    <row r="1495" customFormat="false" ht="15" hidden="false" customHeight="false" outlineLevel="0" collapsed="false">
      <c r="A1495" s="4" t="str">
        <f aca="false">IF(Base_Bruta!A1495="","",Base_Bruta!A1495)</f>
        <v>RJ-000435</v>
      </c>
      <c r="B1495" s="5" t="n">
        <f aca="false">IF($A1495="","",IF(ISNUMBER(Base_Bruta!B1495),Base_Bruta!B1495,IF(MID(Base_Bruta!B1495,5,1)="-",DATE(VALUE(LEFT(Base_Bruta!B1495,4)),VALUE(MID(Base_Bruta!B1495,6,2)),VALUE(RIGHT(Base_Bruta!B1495,2))),DATE(VALUE(RIGHT(Base_Bruta!B1495,4)),VALUE(MID(Base_Bruta!B1495,4,2)),VALUE(LEFT(Base_Bruta!B1495,2))))))</f>
        <v>46150</v>
      </c>
      <c r="C1495" s="5" t="n">
        <f aca="false">IF($A1495="","",IF(ISNUMBER(Base_Bruta!C1495),Base_Bruta!C1495,IF(MID(Base_Bruta!C1495,5,1)="-",DATE(VALUE(LEFT(Base_Bruta!C1495,4)),VALUE(MID(Base_Bruta!C1495,6,2)),VALUE(RIGHT(Base_Bruta!C1495,2))),DATE(VALUE(RIGHT(Base_Bruta!C1495,4)),VALUE(MID(Base_Bruta!C1495,4,2)),VALUE(LEFT(Base_Bruta!C1495,2))))))</f>
        <v>46151</v>
      </c>
      <c r="D1495" s="4" t="str">
        <f aca="false">IF($A1495="","",TRIM(Base_Bruta!D1495))</f>
        <v>Turnê Internacional Rock - Rio</v>
      </c>
      <c r="E1495" s="4" t="str">
        <f aca="false">IF($A1495="","",_xlfn.XLOOKUP(LOWER(TRIM(Base_Bruta!E1495)),DePara_Categoria!$A$2:$A$9,DePara_Categoria!$B$2:$B$9,"REVISAR"))</f>
        <v>Show</v>
      </c>
      <c r="F1495" s="4" t="str">
        <f aca="false">IF($A1495="","",_xlfn.XLOOKUP(LOWER(TRIM(Base_Bruta!F1495)),DePara_Cidade!$A$2:$A$29,DePara_Cidade!$B$2:$B$29,"REVISAR"))</f>
        <v>Rio de Janeiro</v>
      </c>
      <c r="G1495" s="4" t="str">
        <f aca="false">IF($A1495="","",TRIM(Base_Bruta!G1495))</f>
        <v>Inteira</v>
      </c>
      <c r="H1495" s="4" t="n">
        <f aca="false">IF($A1495="","",IF(ISNUMBER(Base_Bruta!H1495),Base_Bruta!H1495,IFERROR(_xlfn.NUMBERVALUE(TRIM(SUBSTITUTE(Base_Bruta!H1495,"R$","")),",","."),0)))</f>
        <v>1</v>
      </c>
      <c r="I1495" s="6" t="n">
        <f aca="false">IF($A1495="","",IF(ISNUMBER(Base_Bruta!I1495),Base_Bruta!I1495,IFERROR(_xlfn.NUMBERVALUE(TRIM(SUBSTITUTE(Base_Bruta!I1495,"R$","")),",","."),0)))</f>
        <v>260</v>
      </c>
      <c r="J1495" s="6" t="n">
        <f aca="false">IF($A1495="","",H1495*I1495)</f>
        <v>260</v>
      </c>
      <c r="K1495" s="4" t="str">
        <f aca="false">IF($A1495="","",TRIM(Base_Bruta!J1495))</f>
        <v>Site</v>
      </c>
      <c r="L1495" s="4" t="str">
        <f aca="false">IF($A1495="","",TRIM(Base_Bruta!K1495))</f>
        <v>C02135</v>
      </c>
      <c r="M1495" s="4" t="str">
        <f aca="false">IF($A1495="","",_xlfn.XLOOKUP(LOWER(TRIM(Base_Bruta!L1495)),DePara_Cidade!$A$2:$A$29,DePara_Cidade!$B$2:$B$29,"REVISAR"))</f>
        <v>Rio de Janeiro</v>
      </c>
      <c r="N1495" s="4" t="str">
        <f aca="false">IF($A1495="","",UPPER(TRIM(Base_Bruta!M1495)))</f>
        <v>RJ</v>
      </c>
      <c r="O1495" s="4" t="str">
        <f aca="false">IF($A1495="","",_xlfn.XLOOKUP(LOWER(TRIM(Base_Bruta!N1495)),DePara_Pais!$A$2:$A$9,DePara_Pais!$B$2:$B$9,"REVISAR"))</f>
        <v>Brasil</v>
      </c>
      <c r="P1495" s="4" t="str">
        <f aca="false">IF($A1495="","",IF(O1495&lt;&gt;"Brasil","Turista Internacional",IF(M1495=F1495,"Local","Turista Nacional")))</f>
        <v>Local</v>
      </c>
      <c r="Q1495" s="7" t="n">
        <f aca="false">IF($A1495="","",DATE(YEAR(B1495),MONTH(B1495),1))</f>
        <v>46143</v>
      </c>
      <c r="R1495" s="4" t="str">
        <f aca="false">IF($A1495="","",IF(COUNTIF($A$2:$A1495,$A1495)&gt;1,"Sim","Não"))</f>
        <v>Não</v>
      </c>
      <c r="S1495" s="4" t="str">
        <f aca="false">IF(A1495="","Descartar - Linha vazia",IF(R1495="Sim","Descartar - Duplicado",IF(OR(H1495&lt;=0,I1495&lt;=0),"Descartar - Qtd/Valor inválido","OK")))</f>
        <v>OK</v>
      </c>
      <c r="T1495" s="4" t="str">
        <f aca="false">Base_Bruta!P1495</f>
        <v>vendas_RJ.xlsx</v>
      </c>
    </row>
    <row r="1496" customFormat="false" ht="15" hidden="false" customHeight="false" outlineLevel="0" collapsed="false">
      <c r="A1496" s="4" t="str">
        <f aca="false">IF(Base_Bruta!A1496="","",Base_Bruta!A1496)</f>
        <v>RJ-000443</v>
      </c>
      <c r="B1496" s="5" t="n">
        <f aca="false">IF($A1496="","",IF(ISNUMBER(Base_Bruta!B1496),Base_Bruta!B1496,IF(MID(Base_Bruta!B1496,5,1)="-",DATE(VALUE(LEFT(Base_Bruta!B1496,4)),VALUE(MID(Base_Bruta!B1496,6,2)),VALUE(RIGHT(Base_Bruta!B1496,2))),DATE(VALUE(RIGHT(Base_Bruta!B1496,4)),VALUE(MID(Base_Bruta!B1496,4,2)),VALUE(LEFT(Base_Bruta!B1496,2))))))</f>
        <v>46150</v>
      </c>
      <c r="C1496" s="5" t="n">
        <f aca="false">IF($A1496="","",IF(ISNUMBER(Base_Bruta!C1496),Base_Bruta!C1496,IF(MID(Base_Bruta!C1496,5,1)="-",DATE(VALUE(LEFT(Base_Bruta!C1496,4)),VALUE(MID(Base_Bruta!C1496,6,2)),VALUE(RIGHT(Base_Bruta!C1496,2))),DATE(VALUE(RIGHT(Base_Bruta!C1496,4)),VALUE(MID(Base_Bruta!C1496,4,2)),VALUE(LEFT(Base_Bruta!C1496,2))))))</f>
        <v>46151</v>
      </c>
      <c r="D1496" s="4" t="str">
        <f aca="false">IF($A1496="","",TRIM(Base_Bruta!D1496))</f>
        <v>Turnê Internacional Rock - Rio</v>
      </c>
      <c r="E1496" s="4" t="str">
        <f aca="false">IF($A1496="","",_xlfn.XLOOKUP(LOWER(TRIM(Base_Bruta!E1496)),DePara_Categoria!$A$2:$A$9,DePara_Categoria!$B$2:$B$9,"REVISAR"))</f>
        <v>Show</v>
      </c>
      <c r="F1496" s="4" t="str">
        <f aca="false">IF($A1496="","",_xlfn.XLOOKUP(LOWER(TRIM(Base_Bruta!F1496)),DePara_Cidade!$A$2:$A$29,DePara_Cidade!$B$2:$B$29,"REVISAR"))</f>
        <v>Rio de Janeiro</v>
      </c>
      <c r="G1496" s="4" t="str">
        <f aca="false">IF($A1496="","",TRIM(Base_Bruta!G1496))</f>
        <v>Meia</v>
      </c>
      <c r="H1496" s="4" t="n">
        <f aca="false">IF($A1496="","",IF(ISNUMBER(Base_Bruta!H1496),Base_Bruta!H1496,IFERROR(_xlfn.NUMBERVALUE(TRIM(SUBSTITUTE(Base_Bruta!H1496,"R$","")),",","."),0)))</f>
        <v>3</v>
      </c>
      <c r="I1496" s="6" t="n">
        <f aca="false">IF($A1496="","",IF(ISNUMBER(Base_Bruta!I1496),Base_Bruta!I1496,IFERROR(_xlfn.NUMBERVALUE(TRIM(SUBSTITUTE(Base_Bruta!I1496,"R$","")),",","."),0)))</f>
        <v>355</v>
      </c>
      <c r="J1496" s="6" t="n">
        <f aca="false">IF($A1496="","",H1496*I1496)</f>
        <v>1065</v>
      </c>
      <c r="K1496" s="4" t="str">
        <f aca="false">IF($A1496="","",TRIM(Base_Bruta!J1496))</f>
        <v>Site</v>
      </c>
      <c r="L1496" s="4" t="str">
        <f aca="false">IF($A1496="","",TRIM(Base_Bruta!K1496))</f>
        <v>C01301</v>
      </c>
      <c r="M1496" s="4" t="str">
        <f aca="false">IF($A1496="","",_xlfn.XLOOKUP(LOWER(TRIM(Base_Bruta!L1496)),DePara_Cidade!$A$2:$A$29,DePara_Cidade!$B$2:$B$29,"REVISAR"))</f>
        <v>Recife</v>
      </c>
      <c r="N1496" s="4" t="str">
        <f aca="false">IF($A1496="","",UPPER(TRIM(Base_Bruta!M1496)))</f>
        <v>PE</v>
      </c>
      <c r="O1496" s="4" t="str">
        <f aca="false">IF($A1496="","",_xlfn.XLOOKUP(LOWER(TRIM(Base_Bruta!N1496)),DePara_Pais!$A$2:$A$9,DePara_Pais!$B$2:$B$9,"REVISAR"))</f>
        <v>Brasil</v>
      </c>
      <c r="P1496" s="4" t="str">
        <f aca="false">IF($A1496="","",IF(O1496&lt;&gt;"Brasil","Turista Internacional",IF(M1496=F1496,"Local","Turista Nacional")))</f>
        <v>Turista Nacional</v>
      </c>
      <c r="Q1496" s="7" t="n">
        <f aca="false">IF($A1496="","",DATE(YEAR(B1496),MONTH(B1496),1))</f>
        <v>46143</v>
      </c>
      <c r="R1496" s="4" t="str">
        <f aca="false">IF($A1496="","",IF(COUNTIF($A$2:$A1496,$A1496)&gt;1,"Sim","Não"))</f>
        <v>Não</v>
      </c>
      <c r="S1496" s="4" t="str">
        <f aca="false">IF(A1496="","Descartar - Linha vazia",IF(R1496="Sim","Descartar - Duplicado",IF(OR(H1496&lt;=0,I1496&lt;=0),"Descartar - Qtd/Valor inválido","OK")))</f>
        <v>OK</v>
      </c>
      <c r="T1496" s="4" t="str">
        <f aca="false">Base_Bruta!P1496</f>
        <v>vendas_RJ.xlsx</v>
      </c>
    </row>
    <row r="1497" customFormat="false" ht="15" hidden="false" customHeight="false" outlineLevel="0" collapsed="false">
      <c r="A1497" s="4" t="str">
        <f aca="false">IF(Base_Bruta!A1497="","",Base_Bruta!A1497)</f>
        <v>RJ-000444</v>
      </c>
      <c r="B1497" s="5" t="n">
        <f aca="false">IF($A1497="","",IF(ISNUMBER(Base_Bruta!B1497),Base_Bruta!B1497,IF(MID(Base_Bruta!B1497,5,1)="-",DATE(VALUE(LEFT(Base_Bruta!B1497,4)),VALUE(MID(Base_Bruta!B1497,6,2)),VALUE(RIGHT(Base_Bruta!B1497,2))),DATE(VALUE(RIGHT(Base_Bruta!B1497,4)),VALUE(MID(Base_Bruta!B1497,4,2)),VALUE(LEFT(Base_Bruta!B1497,2))))))</f>
        <v>46150</v>
      </c>
      <c r="C1497" s="5" t="n">
        <f aca="false">IF($A1497="","",IF(ISNUMBER(Base_Bruta!C1497),Base_Bruta!C1497,IF(MID(Base_Bruta!C1497,5,1)="-",DATE(VALUE(LEFT(Base_Bruta!C1497,4)),VALUE(MID(Base_Bruta!C1497,6,2)),VALUE(RIGHT(Base_Bruta!C1497,2))),DATE(VALUE(RIGHT(Base_Bruta!C1497,4)),VALUE(MID(Base_Bruta!C1497,4,2)),VALUE(LEFT(Base_Bruta!C1497,2))))))</f>
        <v>46151</v>
      </c>
      <c r="D1497" s="4" t="str">
        <f aca="false">IF($A1497="","",TRIM(Base_Bruta!D1497))</f>
        <v>Turnê Internacional Rock - Rio</v>
      </c>
      <c r="E1497" s="4" t="str">
        <f aca="false">IF($A1497="","",_xlfn.XLOOKUP(LOWER(TRIM(Base_Bruta!E1497)),DePara_Categoria!$A$2:$A$9,DePara_Categoria!$B$2:$B$9,"REVISAR"))</f>
        <v>Show</v>
      </c>
      <c r="F1497" s="4" t="str">
        <f aca="false">IF($A1497="","",_xlfn.XLOOKUP(LOWER(TRIM(Base_Bruta!F1497)),DePara_Cidade!$A$2:$A$29,DePara_Cidade!$B$2:$B$29,"REVISAR"))</f>
        <v>Rio de Janeiro</v>
      </c>
      <c r="G1497" s="4" t="str">
        <f aca="false">IF($A1497="","",TRIM(Base_Bruta!G1497))</f>
        <v>Meia</v>
      </c>
      <c r="H1497" s="4" t="n">
        <f aca="false">IF($A1497="","",IF(ISNUMBER(Base_Bruta!H1497),Base_Bruta!H1497,IFERROR(_xlfn.NUMBERVALUE(TRIM(SUBSTITUTE(Base_Bruta!H1497,"R$","")),",","."),0)))</f>
        <v>2</v>
      </c>
      <c r="I1497" s="6" t="n">
        <f aca="false">IF($A1497="","",IF(ISNUMBER(Base_Bruta!I1497),Base_Bruta!I1497,IFERROR(_xlfn.NUMBERVALUE(TRIM(SUBSTITUTE(Base_Bruta!I1497,"R$","")),",","."),0)))</f>
        <v>167.5</v>
      </c>
      <c r="J1497" s="6" t="n">
        <f aca="false">IF($A1497="","",H1497*I1497)</f>
        <v>335</v>
      </c>
      <c r="K1497" s="4" t="str">
        <f aca="false">IF($A1497="","",TRIM(Base_Bruta!J1497))</f>
        <v>Bilheteria</v>
      </c>
      <c r="L1497" s="4" t="str">
        <f aca="false">IF($A1497="","",TRIM(Base_Bruta!K1497))</f>
        <v>C00746</v>
      </c>
      <c r="M1497" s="4" t="str">
        <f aca="false">IF($A1497="","",_xlfn.XLOOKUP(LOWER(TRIM(Base_Bruta!L1497)),DePara_Cidade!$A$2:$A$29,DePara_Cidade!$B$2:$B$29,"REVISAR"))</f>
        <v>Santiago</v>
      </c>
      <c r="N1497" s="4" t="str">
        <f aca="false">IF($A1497="","",UPPER(TRIM(Base_Bruta!M1497)))</f>
        <v>EX</v>
      </c>
      <c r="O1497" s="4" t="str">
        <f aca="false">IF($A1497="","",_xlfn.XLOOKUP(LOWER(TRIM(Base_Bruta!N1497)),DePara_Pais!$A$2:$A$9,DePara_Pais!$B$2:$B$9,"REVISAR"))</f>
        <v>Chile</v>
      </c>
      <c r="P1497" s="4" t="str">
        <f aca="false">IF($A1497="","",IF(O1497&lt;&gt;"Brasil","Turista Internacional",IF(M1497=F1497,"Local","Turista Nacional")))</f>
        <v>Turista Internacional</v>
      </c>
      <c r="Q1497" s="7" t="n">
        <f aca="false">IF($A1497="","",DATE(YEAR(B1497),MONTH(B1497),1))</f>
        <v>46143</v>
      </c>
      <c r="R1497" s="4" t="str">
        <f aca="false">IF($A1497="","",IF(COUNTIF($A$2:$A1497,$A1497)&gt;1,"Sim","Não"))</f>
        <v>Não</v>
      </c>
      <c r="S1497" s="4" t="str">
        <f aca="false">IF(A1497="","Descartar - Linha vazia",IF(R1497="Sim","Descartar - Duplicado",IF(OR(H1497&lt;=0,I1497&lt;=0),"Descartar - Qtd/Valor inválido","OK")))</f>
        <v>OK</v>
      </c>
      <c r="T1497" s="4" t="str">
        <f aca="false">Base_Bruta!P1497</f>
        <v>vendas_RJ.xlsx</v>
      </c>
    </row>
    <row r="1498" customFormat="false" ht="15" hidden="false" customHeight="false" outlineLevel="0" collapsed="false">
      <c r="A1498" s="4" t="str">
        <f aca="false">IF(Base_Bruta!A1498="","",Base_Bruta!A1498)</f>
        <v>RJ-000449</v>
      </c>
      <c r="B1498" s="5" t="n">
        <f aca="false">IF($A1498="","",IF(ISNUMBER(Base_Bruta!B1498),Base_Bruta!B1498,IF(MID(Base_Bruta!B1498,5,1)="-",DATE(VALUE(LEFT(Base_Bruta!B1498,4)),VALUE(MID(Base_Bruta!B1498,6,2)),VALUE(RIGHT(Base_Bruta!B1498,2))),DATE(VALUE(RIGHT(Base_Bruta!B1498,4)),VALUE(MID(Base_Bruta!B1498,4,2)),VALUE(LEFT(Base_Bruta!B1498,2))))))</f>
        <v>46150</v>
      </c>
      <c r="C1498" s="5" t="n">
        <f aca="false">IF($A1498="","",IF(ISNUMBER(Base_Bruta!C1498),Base_Bruta!C1498,IF(MID(Base_Bruta!C1498,5,1)="-",DATE(VALUE(LEFT(Base_Bruta!C1498,4)),VALUE(MID(Base_Bruta!C1498,6,2)),VALUE(RIGHT(Base_Bruta!C1498,2))),DATE(VALUE(RIGHT(Base_Bruta!C1498,4)),VALUE(MID(Base_Bruta!C1498,4,2)),VALUE(LEFT(Base_Bruta!C1498,2))))))</f>
        <v>46151</v>
      </c>
      <c r="D1498" s="4" t="str">
        <f aca="false">IF($A1498="","",TRIM(Base_Bruta!D1498))</f>
        <v>Turnê Internacional Rock - Rio</v>
      </c>
      <c r="E1498" s="4" t="str">
        <f aca="false">IF($A1498="","",_xlfn.XLOOKUP(LOWER(TRIM(Base_Bruta!E1498)),DePara_Categoria!$A$2:$A$9,DePara_Categoria!$B$2:$B$9,"REVISAR"))</f>
        <v>Show</v>
      </c>
      <c r="F1498" s="4" t="str">
        <f aca="false">IF($A1498="","",_xlfn.XLOOKUP(LOWER(TRIM(Base_Bruta!F1498)),DePara_Cidade!$A$2:$A$29,DePara_Cidade!$B$2:$B$29,"REVISAR"))</f>
        <v>Rio de Janeiro</v>
      </c>
      <c r="G1498" s="4" t="str">
        <f aca="false">IF($A1498="","",TRIM(Base_Bruta!G1498))</f>
        <v>Inteira</v>
      </c>
      <c r="H1498" s="4" t="n">
        <f aca="false">IF($A1498="","",IF(ISNUMBER(Base_Bruta!H1498),Base_Bruta!H1498,IFERROR(_xlfn.NUMBERVALUE(TRIM(SUBSTITUTE(Base_Bruta!H1498,"R$","")),",","."),0)))</f>
        <v>2</v>
      </c>
      <c r="I1498" s="6" t="n">
        <f aca="false">IF($A1498="","",IF(ISNUMBER(Base_Bruta!I1498),Base_Bruta!I1498,IFERROR(_xlfn.NUMBERVALUE(TRIM(SUBSTITUTE(Base_Bruta!I1498,"R$","")),",","."),0)))</f>
        <v>640</v>
      </c>
      <c r="J1498" s="6" t="n">
        <f aca="false">IF($A1498="","",H1498*I1498)</f>
        <v>1280</v>
      </c>
      <c r="K1498" s="4" t="str">
        <f aca="false">IF($A1498="","",TRIM(Base_Bruta!J1498))</f>
        <v>Site</v>
      </c>
      <c r="L1498" s="4" t="str">
        <f aca="false">IF($A1498="","",TRIM(Base_Bruta!K1498))</f>
        <v>C01944</v>
      </c>
      <c r="M1498" s="4" t="str">
        <f aca="false">IF($A1498="","",_xlfn.XLOOKUP(LOWER(TRIM(Base_Bruta!L1498)),DePara_Cidade!$A$2:$A$29,DePara_Cidade!$B$2:$B$29,"REVISAR"))</f>
        <v>Contagem</v>
      </c>
      <c r="N1498" s="4" t="str">
        <f aca="false">IF($A1498="","",UPPER(TRIM(Base_Bruta!M1498)))</f>
        <v>MG</v>
      </c>
      <c r="O1498" s="4" t="str">
        <f aca="false">IF($A1498="","",_xlfn.XLOOKUP(LOWER(TRIM(Base_Bruta!N1498)),DePara_Pais!$A$2:$A$9,DePara_Pais!$B$2:$B$9,"REVISAR"))</f>
        <v>Brasil</v>
      </c>
      <c r="P1498" s="4" t="str">
        <f aca="false">IF($A1498="","",IF(O1498&lt;&gt;"Brasil","Turista Internacional",IF(M1498=F1498,"Local","Turista Nacional")))</f>
        <v>Turista Nacional</v>
      </c>
      <c r="Q1498" s="7" t="n">
        <f aca="false">IF($A1498="","",DATE(YEAR(B1498),MONTH(B1498),1))</f>
        <v>46143</v>
      </c>
      <c r="R1498" s="4" t="str">
        <f aca="false">IF($A1498="","",IF(COUNTIF($A$2:$A1498,$A1498)&gt;1,"Sim","Não"))</f>
        <v>Não</v>
      </c>
      <c r="S1498" s="4" t="str">
        <f aca="false">IF(A1498="","Descartar - Linha vazia",IF(R1498="Sim","Descartar - Duplicado",IF(OR(H1498&lt;=0,I1498&lt;=0),"Descartar - Qtd/Valor inválido","OK")))</f>
        <v>OK</v>
      </c>
      <c r="T1498" s="4" t="str">
        <f aca="false">Base_Bruta!P1498</f>
        <v>vendas_RJ.xlsx</v>
      </c>
    </row>
    <row r="1499" customFormat="false" ht="15" hidden="false" customHeight="false" outlineLevel="0" collapsed="false">
      <c r="A1499" s="4" t="str">
        <f aca="false">IF(Base_Bruta!A1499="","",Base_Bruta!A1499)</f>
        <v>RJ-000482</v>
      </c>
      <c r="B1499" s="5" t="n">
        <f aca="false">IF($A1499="","",IF(ISNUMBER(Base_Bruta!B1499),Base_Bruta!B1499,IF(MID(Base_Bruta!B1499,5,1)="-",DATE(VALUE(LEFT(Base_Bruta!B1499,4)),VALUE(MID(Base_Bruta!B1499,6,2)),VALUE(RIGHT(Base_Bruta!B1499,2))),DATE(VALUE(RIGHT(Base_Bruta!B1499,4)),VALUE(MID(Base_Bruta!B1499,4,2)),VALUE(LEFT(Base_Bruta!B1499,2))))))</f>
        <v>46150</v>
      </c>
      <c r="C1499" s="5" t="n">
        <f aca="false">IF($A1499="","",IF(ISNUMBER(Base_Bruta!C1499),Base_Bruta!C1499,IF(MID(Base_Bruta!C1499,5,1)="-",DATE(VALUE(LEFT(Base_Bruta!C1499,4)),VALUE(MID(Base_Bruta!C1499,6,2)),VALUE(RIGHT(Base_Bruta!C1499,2))),DATE(VALUE(RIGHT(Base_Bruta!C1499,4)),VALUE(MID(Base_Bruta!C1499,4,2)),VALUE(LEFT(Base_Bruta!C1499,2))))))</f>
        <v>46151</v>
      </c>
      <c r="D1499" s="4" t="str">
        <f aca="false">IF($A1499="","",TRIM(Base_Bruta!D1499))</f>
        <v>Turnê Internacional Rock - Rio</v>
      </c>
      <c r="E1499" s="4" t="str">
        <f aca="false">IF($A1499="","",_xlfn.XLOOKUP(LOWER(TRIM(Base_Bruta!E1499)),DePara_Categoria!$A$2:$A$9,DePara_Categoria!$B$2:$B$9,"REVISAR"))</f>
        <v>Show</v>
      </c>
      <c r="F1499" s="4" t="str">
        <f aca="false">IF($A1499="","",_xlfn.XLOOKUP(LOWER(TRIM(Base_Bruta!F1499)),DePara_Cidade!$A$2:$A$29,DePara_Cidade!$B$2:$B$29,"REVISAR"))</f>
        <v>Rio de Janeiro</v>
      </c>
      <c r="G1499" s="4" t="str">
        <f aca="false">IF($A1499="","",TRIM(Base_Bruta!G1499))</f>
        <v>Meia</v>
      </c>
      <c r="H1499" s="4" t="n">
        <f aca="false">IF($A1499="","",IF(ISNUMBER(Base_Bruta!H1499),Base_Bruta!H1499,IFERROR(_xlfn.NUMBERVALUE(TRIM(SUBSTITUTE(Base_Bruta!H1499,"R$","")),",","."),0)))</f>
        <v>1</v>
      </c>
      <c r="I1499" s="6" t="n">
        <f aca="false">IF($A1499="","",IF(ISNUMBER(Base_Bruta!I1499),Base_Bruta!I1499,IFERROR(_xlfn.NUMBERVALUE(TRIM(SUBSTITUTE(Base_Bruta!I1499,"R$","")),",","."),0)))</f>
        <v>222.5</v>
      </c>
      <c r="J1499" s="6" t="n">
        <f aca="false">IF($A1499="","",H1499*I1499)</f>
        <v>222.5</v>
      </c>
      <c r="K1499" s="4" t="str">
        <f aca="false">IF($A1499="","",TRIM(Base_Bruta!J1499))</f>
        <v>Site</v>
      </c>
      <c r="L1499" s="4" t="str">
        <f aca="false">IF($A1499="","",TRIM(Base_Bruta!K1499))</f>
        <v>C02436</v>
      </c>
      <c r="M1499" s="4" t="str">
        <f aca="false">IF($A1499="","",_xlfn.XLOOKUP(LOWER(TRIM(Base_Bruta!L1499)),DePara_Cidade!$A$2:$A$29,DePara_Cidade!$B$2:$B$29,"REVISAR"))</f>
        <v>Florianópolis</v>
      </c>
      <c r="N1499" s="4" t="str">
        <f aca="false">IF($A1499="","",UPPER(TRIM(Base_Bruta!M1499)))</f>
        <v>SC</v>
      </c>
      <c r="O1499" s="4" t="str">
        <f aca="false">IF($A1499="","",_xlfn.XLOOKUP(LOWER(TRIM(Base_Bruta!N1499)),DePara_Pais!$A$2:$A$9,DePara_Pais!$B$2:$B$9,"REVISAR"))</f>
        <v>Brasil</v>
      </c>
      <c r="P1499" s="4" t="str">
        <f aca="false">IF($A1499="","",IF(O1499&lt;&gt;"Brasil","Turista Internacional",IF(M1499=F1499,"Local","Turista Nacional")))</f>
        <v>Turista Nacional</v>
      </c>
      <c r="Q1499" s="7" t="n">
        <f aca="false">IF($A1499="","",DATE(YEAR(B1499),MONTH(B1499),1))</f>
        <v>46143</v>
      </c>
      <c r="R1499" s="4" t="str">
        <f aca="false">IF($A1499="","",IF(COUNTIF($A$2:$A1499,$A1499)&gt;1,"Sim","Não"))</f>
        <v>Não</v>
      </c>
      <c r="S1499" s="4" t="str">
        <f aca="false">IF(A1499="","Descartar - Linha vazia",IF(R1499="Sim","Descartar - Duplicado",IF(OR(H1499&lt;=0,I1499&lt;=0),"Descartar - Qtd/Valor inválido","OK")))</f>
        <v>OK</v>
      </c>
      <c r="T1499" s="4" t="str">
        <f aca="false">Base_Bruta!P1499</f>
        <v>vendas_RJ.xlsx</v>
      </c>
    </row>
    <row r="1500" customFormat="false" ht="15" hidden="false" customHeight="false" outlineLevel="0" collapsed="false">
      <c r="A1500" s="4" t="str">
        <f aca="false">IF(Base_Bruta!A1500="","",Base_Bruta!A1500)</f>
        <v>RJ-000569</v>
      </c>
      <c r="B1500" s="5" t="n">
        <f aca="false">IF($A1500="","",IF(ISNUMBER(Base_Bruta!B1500),Base_Bruta!B1500,IF(MID(Base_Bruta!B1500,5,1)="-",DATE(VALUE(LEFT(Base_Bruta!B1500,4)),VALUE(MID(Base_Bruta!B1500,6,2)),VALUE(RIGHT(Base_Bruta!B1500,2))),DATE(VALUE(RIGHT(Base_Bruta!B1500,4)),VALUE(MID(Base_Bruta!B1500,4,2)),VALUE(LEFT(Base_Bruta!B1500,2))))))</f>
        <v>46150</v>
      </c>
      <c r="C1500" s="5" t="n">
        <f aca="false">IF($A1500="","",IF(ISNUMBER(Base_Bruta!C1500),Base_Bruta!C1500,IF(MID(Base_Bruta!C1500,5,1)="-",DATE(VALUE(LEFT(Base_Bruta!C1500,4)),VALUE(MID(Base_Bruta!C1500,6,2)),VALUE(RIGHT(Base_Bruta!C1500,2))),DATE(VALUE(RIGHT(Base_Bruta!C1500,4)),VALUE(MID(Base_Bruta!C1500,4,2)),VALUE(LEFT(Base_Bruta!C1500,2))))))</f>
        <v>46150</v>
      </c>
      <c r="D1500" s="4" t="str">
        <f aca="false">IF($A1500="","",TRIM(Base_Bruta!D1500))</f>
        <v>Cinema Barra - Sessões</v>
      </c>
      <c r="E1500" s="4" t="str">
        <f aca="false">IF($A1500="","",_xlfn.XLOOKUP(LOWER(TRIM(Base_Bruta!E1500)),DePara_Categoria!$A$2:$A$9,DePara_Categoria!$B$2:$B$9,"REVISAR"))</f>
        <v>Cinema</v>
      </c>
      <c r="F1500" s="4" t="str">
        <f aca="false">IF($A1500="","",_xlfn.XLOOKUP(LOWER(TRIM(Base_Bruta!F1500)),DePara_Cidade!$A$2:$A$29,DePara_Cidade!$B$2:$B$29,"REVISAR"))</f>
        <v>Rio de Janeiro</v>
      </c>
      <c r="G1500" s="4" t="str">
        <f aca="false">IF($A1500="","",TRIM(Base_Bruta!G1500))</f>
        <v>Meia</v>
      </c>
      <c r="H1500" s="4" t="n">
        <f aca="false">IF($A1500="","",IF(ISNUMBER(Base_Bruta!H1500),Base_Bruta!H1500,IFERROR(_xlfn.NUMBERVALUE(TRIM(SUBSTITUTE(Base_Bruta!H1500,"R$","")),",","."),0)))</f>
        <v>1</v>
      </c>
      <c r="I1500" s="6" t="n">
        <f aca="false">IF($A1500="","",IF(ISNUMBER(Base_Bruta!I1500),Base_Bruta!I1500,IFERROR(_xlfn.NUMBERVALUE(TRIM(SUBSTITUTE(Base_Bruta!I1500,"R$","")),",","."),0)))</f>
        <v>22.5</v>
      </c>
      <c r="J1500" s="6" t="n">
        <f aca="false">IF($A1500="","",H1500*I1500)</f>
        <v>22.5</v>
      </c>
      <c r="K1500" s="4" t="str">
        <f aca="false">IF($A1500="","",TRIM(Base_Bruta!J1500))</f>
        <v>Bilheteria</v>
      </c>
      <c r="L1500" s="4" t="str">
        <f aca="false">IF($A1500="","",TRIM(Base_Bruta!K1500))</f>
        <v>C02090</v>
      </c>
      <c r="M1500" s="4" t="str">
        <f aca="false">IF($A1500="","",_xlfn.XLOOKUP(LOWER(TRIM(Base_Bruta!L1500)),DePara_Cidade!$A$2:$A$29,DePara_Cidade!$B$2:$B$29,"REVISAR"))</f>
        <v>Rio de Janeiro</v>
      </c>
      <c r="N1500" s="4" t="str">
        <f aca="false">IF($A1500="","",UPPER(TRIM(Base_Bruta!M1500)))</f>
        <v>RJ</v>
      </c>
      <c r="O1500" s="4" t="str">
        <f aca="false">IF($A1500="","",_xlfn.XLOOKUP(LOWER(TRIM(Base_Bruta!N1500)),DePara_Pais!$A$2:$A$9,DePara_Pais!$B$2:$B$9,"REVISAR"))</f>
        <v>Brasil</v>
      </c>
      <c r="P1500" s="4" t="str">
        <f aca="false">IF($A1500="","",IF(O1500&lt;&gt;"Brasil","Turista Internacional",IF(M1500=F1500,"Local","Turista Nacional")))</f>
        <v>Local</v>
      </c>
      <c r="Q1500" s="7" t="n">
        <f aca="false">IF($A1500="","",DATE(YEAR(B1500),MONTH(B1500),1))</f>
        <v>46143</v>
      </c>
      <c r="R1500" s="4" t="str">
        <f aca="false">IF($A1500="","",IF(COUNTIF($A$2:$A1500,$A1500)&gt;1,"Sim","Não"))</f>
        <v>Não</v>
      </c>
      <c r="S1500" s="4" t="str">
        <f aca="false">IF(A1500="","Descartar - Linha vazia",IF(R1500="Sim","Descartar - Duplicado",IF(OR(H1500&lt;=0,I1500&lt;=0),"Descartar - Qtd/Valor inválido","OK")))</f>
        <v>OK</v>
      </c>
      <c r="T1500" s="4" t="str">
        <f aca="false">Base_Bruta!P1500</f>
        <v>vendas_RJ.xlsx</v>
      </c>
    </row>
    <row r="1501" customFormat="false" ht="15" hidden="false" customHeight="false" outlineLevel="0" collapsed="false">
      <c r="A1501" s="4" t="str">
        <f aca="false">IF(Base_Bruta!A1501="","",Base_Bruta!A1501)</f>
        <v>RJ-000382</v>
      </c>
      <c r="B1501" s="5" t="n">
        <f aca="false">IF($A1501="","",IF(ISNUMBER(Base_Bruta!B1501),Base_Bruta!B1501,IF(MID(Base_Bruta!B1501,5,1)="-",DATE(VALUE(LEFT(Base_Bruta!B1501,4)),VALUE(MID(Base_Bruta!B1501,6,2)),VALUE(RIGHT(Base_Bruta!B1501,2))),DATE(VALUE(RIGHT(Base_Bruta!B1501,4)),VALUE(MID(Base_Bruta!B1501,4,2)),VALUE(LEFT(Base_Bruta!B1501,2))))))</f>
        <v>46151</v>
      </c>
      <c r="C1501" s="5" t="n">
        <f aca="false">IF($A1501="","",IF(ISNUMBER(Base_Bruta!C1501),Base_Bruta!C1501,IF(MID(Base_Bruta!C1501,5,1)="-",DATE(VALUE(LEFT(Base_Bruta!C1501,4)),VALUE(MID(Base_Bruta!C1501,6,2)),VALUE(RIGHT(Base_Bruta!C1501,2))),DATE(VALUE(RIGHT(Base_Bruta!C1501,4)),VALUE(MID(Base_Bruta!C1501,4,2)),VALUE(LEFT(Base_Bruta!C1501,2))))))</f>
        <v>46151</v>
      </c>
      <c r="D1501" s="4" t="str">
        <f aca="false">IF($A1501="","",TRIM(Base_Bruta!D1501))</f>
        <v>Turnê Internacional Rock - Rio</v>
      </c>
      <c r="E1501" s="4" t="str">
        <f aca="false">IF($A1501="","",_xlfn.XLOOKUP(LOWER(TRIM(Base_Bruta!E1501)),DePara_Categoria!$A$2:$A$9,DePara_Categoria!$B$2:$B$9,"REVISAR"))</f>
        <v>Show</v>
      </c>
      <c r="F1501" s="4" t="str">
        <f aca="false">IF($A1501="","",_xlfn.XLOOKUP(LOWER(TRIM(Base_Bruta!F1501)),DePara_Cidade!$A$2:$A$29,DePara_Cidade!$B$2:$B$29,"REVISAR"))</f>
        <v>Rio de Janeiro</v>
      </c>
      <c r="G1501" s="4" t="str">
        <f aca="false">IF($A1501="","",TRIM(Base_Bruta!G1501))</f>
        <v>Inteira</v>
      </c>
      <c r="H1501" s="4" t="n">
        <f aca="false">IF($A1501="","",IF(ISNUMBER(Base_Bruta!H1501),Base_Bruta!H1501,IFERROR(_xlfn.NUMBERVALUE(TRIM(SUBSTITUTE(Base_Bruta!H1501,"R$","")),",","."),0)))</f>
        <v>2</v>
      </c>
      <c r="I1501" s="6" t="n">
        <f aca="false">IF($A1501="","",IF(ISNUMBER(Base_Bruta!I1501),Base_Bruta!I1501,IFERROR(_xlfn.NUMBERVALUE(TRIM(SUBSTITUTE(Base_Bruta!I1501,"R$","")),",","."),0)))</f>
        <v>775</v>
      </c>
      <c r="J1501" s="6" t="n">
        <f aca="false">IF($A1501="","",H1501*I1501)</f>
        <v>1550</v>
      </c>
      <c r="K1501" s="4" t="str">
        <f aca="false">IF($A1501="","",TRIM(Base_Bruta!J1501))</f>
        <v>Site</v>
      </c>
      <c r="L1501" s="4" t="str">
        <f aca="false">IF($A1501="","",TRIM(Base_Bruta!K1501))</f>
        <v>C02482</v>
      </c>
      <c r="M1501" s="4" t="str">
        <f aca="false">IF($A1501="","",_xlfn.XLOOKUP(LOWER(TRIM(Base_Bruta!L1501)),DePara_Cidade!$A$2:$A$29,DePara_Cidade!$B$2:$B$29,"REVISAR"))</f>
        <v>Vitória</v>
      </c>
      <c r="N1501" s="4" t="str">
        <f aca="false">IF($A1501="","",UPPER(TRIM(Base_Bruta!M1501)))</f>
        <v>ES</v>
      </c>
      <c r="O1501" s="4" t="str">
        <f aca="false">IF($A1501="","",_xlfn.XLOOKUP(LOWER(TRIM(Base_Bruta!N1501)),DePara_Pais!$A$2:$A$9,DePara_Pais!$B$2:$B$9,"REVISAR"))</f>
        <v>Brasil</v>
      </c>
      <c r="P1501" s="4" t="str">
        <f aca="false">IF($A1501="","",IF(O1501&lt;&gt;"Brasil","Turista Internacional",IF(M1501=F1501,"Local","Turista Nacional")))</f>
        <v>Turista Nacional</v>
      </c>
      <c r="Q1501" s="7" t="n">
        <f aca="false">IF($A1501="","",DATE(YEAR(B1501),MONTH(B1501),1))</f>
        <v>46143</v>
      </c>
      <c r="R1501" s="4" t="str">
        <f aca="false">IF($A1501="","",IF(COUNTIF($A$2:$A1501,$A1501)&gt;1,"Sim","Não"))</f>
        <v>Não</v>
      </c>
      <c r="S1501" s="4" t="str">
        <f aca="false">IF(A1501="","Descartar - Linha vazia",IF(R1501="Sim","Descartar - Duplicado",IF(OR(H1501&lt;=0,I1501&lt;=0),"Descartar - Qtd/Valor inválido","OK")))</f>
        <v>OK</v>
      </c>
      <c r="T1501" s="4" t="str">
        <f aca="false">Base_Bruta!P1501</f>
        <v>vendas_RJ.xlsx</v>
      </c>
    </row>
    <row r="1502" customFormat="false" ht="15" hidden="false" customHeight="false" outlineLevel="0" collapsed="false">
      <c r="A1502" s="4" t="str">
        <f aca="false">IF(Base_Bruta!A1502="","",Base_Bruta!A1502)</f>
        <v>RJ-000400</v>
      </c>
      <c r="B1502" s="5" t="n">
        <f aca="false">IF($A1502="","",IF(ISNUMBER(Base_Bruta!B1502),Base_Bruta!B1502,IF(MID(Base_Bruta!B1502,5,1)="-",DATE(VALUE(LEFT(Base_Bruta!B1502,4)),VALUE(MID(Base_Bruta!B1502,6,2)),VALUE(RIGHT(Base_Bruta!B1502,2))),DATE(VALUE(RIGHT(Base_Bruta!B1502,4)),VALUE(MID(Base_Bruta!B1502,4,2)),VALUE(LEFT(Base_Bruta!B1502,2))))))</f>
        <v>46151</v>
      </c>
      <c r="C1502" s="5" t="n">
        <f aca="false">IF($A1502="","",IF(ISNUMBER(Base_Bruta!C1502),Base_Bruta!C1502,IF(MID(Base_Bruta!C1502,5,1)="-",DATE(VALUE(LEFT(Base_Bruta!C1502,4)),VALUE(MID(Base_Bruta!C1502,6,2)),VALUE(RIGHT(Base_Bruta!C1502,2))),DATE(VALUE(RIGHT(Base_Bruta!C1502,4)),VALUE(MID(Base_Bruta!C1502,4,2)),VALUE(LEFT(Base_Bruta!C1502,2))))))</f>
        <v>46151</v>
      </c>
      <c r="D1502" s="4" t="str">
        <f aca="false">IF($A1502="","",TRIM(Base_Bruta!D1502))</f>
        <v>Turnê Internacional Rock - Rio</v>
      </c>
      <c r="E1502" s="4" t="str">
        <f aca="false">IF($A1502="","",_xlfn.XLOOKUP(LOWER(TRIM(Base_Bruta!E1502)),DePara_Categoria!$A$2:$A$9,DePara_Categoria!$B$2:$B$9,"REVISAR"))</f>
        <v>Show</v>
      </c>
      <c r="F1502" s="4" t="str">
        <f aca="false">IF($A1502="","",_xlfn.XLOOKUP(LOWER(TRIM(Base_Bruta!F1502)),DePara_Cidade!$A$2:$A$29,DePara_Cidade!$B$2:$B$29,"REVISAR"))</f>
        <v>Rio de Janeiro</v>
      </c>
      <c r="G1502" s="4" t="str">
        <f aca="false">IF($A1502="","",TRIM(Base_Bruta!G1502))</f>
        <v>Meia</v>
      </c>
      <c r="H1502" s="4" t="n">
        <f aca="false">IF($A1502="","",IF(ISNUMBER(Base_Bruta!H1502),Base_Bruta!H1502,IFERROR(_xlfn.NUMBERVALUE(TRIM(SUBSTITUTE(Base_Bruta!H1502,"R$","")),",","."),0)))</f>
        <v>1</v>
      </c>
      <c r="I1502" s="6" t="n">
        <f aca="false">IF($A1502="","",IF(ISNUMBER(Base_Bruta!I1502),Base_Bruta!I1502,IFERROR(_xlfn.NUMBERVALUE(TRIM(SUBSTITUTE(Base_Bruta!I1502,"R$","")),",","."),0)))</f>
        <v>345</v>
      </c>
      <c r="J1502" s="6" t="n">
        <f aca="false">IF($A1502="","",H1502*I1502)</f>
        <v>345</v>
      </c>
      <c r="K1502" s="4" t="str">
        <f aca="false">IF($A1502="","",TRIM(Base_Bruta!J1502))</f>
        <v>Bilheteria</v>
      </c>
      <c r="L1502" s="4" t="str">
        <f aca="false">IF($A1502="","",TRIM(Base_Bruta!K1502))</f>
        <v>C00234</v>
      </c>
      <c r="M1502" s="4" t="str">
        <f aca="false">IF($A1502="","",_xlfn.XLOOKUP(LOWER(TRIM(Base_Bruta!L1502)),DePara_Cidade!$A$2:$A$29,DePara_Cidade!$B$2:$B$29,"REVISAR"))</f>
        <v>Santiago</v>
      </c>
      <c r="N1502" s="4" t="str">
        <f aca="false">IF($A1502="","",UPPER(TRIM(Base_Bruta!M1502)))</f>
        <v>EX</v>
      </c>
      <c r="O1502" s="4" t="str">
        <f aca="false">IF($A1502="","",_xlfn.XLOOKUP(LOWER(TRIM(Base_Bruta!N1502)),DePara_Pais!$A$2:$A$9,DePara_Pais!$B$2:$B$9,"REVISAR"))</f>
        <v>Chile</v>
      </c>
      <c r="P1502" s="4" t="str">
        <f aca="false">IF($A1502="","",IF(O1502&lt;&gt;"Brasil","Turista Internacional",IF(M1502=F1502,"Local","Turista Nacional")))</f>
        <v>Turista Internacional</v>
      </c>
      <c r="Q1502" s="7" t="n">
        <f aca="false">IF($A1502="","",DATE(YEAR(B1502),MONTH(B1502),1))</f>
        <v>46143</v>
      </c>
      <c r="R1502" s="4" t="str">
        <f aca="false">IF($A1502="","",IF(COUNTIF($A$2:$A1502,$A1502)&gt;1,"Sim","Não"))</f>
        <v>Não</v>
      </c>
      <c r="S1502" s="4" t="str">
        <f aca="false">IF(A1502="","Descartar - Linha vazia",IF(R1502="Sim","Descartar - Duplicado",IF(OR(H1502&lt;=0,I1502&lt;=0),"Descartar - Qtd/Valor inválido","OK")))</f>
        <v>OK</v>
      </c>
      <c r="T1502" s="4" t="str">
        <f aca="false">Base_Bruta!P1502</f>
        <v>vendas_RJ.xlsx</v>
      </c>
    </row>
    <row r="1503" customFormat="false" ht="15" hidden="false" customHeight="false" outlineLevel="0" collapsed="false">
      <c r="A1503" s="4" t="str">
        <f aca="false">IF(Base_Bruta!A1503="","",Base_Bruta!A1503)</f>
        <v>RJ-000423</v>
      </c>
      <c r="B1503" s="5" t="n">
        <f aca="false">IF($A1503="","",IF(ISNUMBER(Base_Bruta!B1503),Base_Bruta!B1503,IF(MID(Base_Bruta!B1503,5,1)="-",DATE(VALUE(LEFT(Base_Bruta!B1503,4)),VALUE(MID(Base_Bruta!B1503,6,2)),VALUE(RIGHT(Base_Bruta!B1503,2))),DATE(VALUE(RIGHT(Base_Bruta!B1503,4)),VALUE(MID(Base_Bruta!B1503,4,2)),VALUE(LEFT(Base_Bruta!B1503,2))))))</f>
        <v>46151</v>
      </c>
      <c r="C1503" s="5" t="n">
        <f aca="false">IF($A1503="","",IF(ISNUMBER(Base_Bruta!C1503),Base_Bruta!C1503,IF(MID(Base_Bruta!C1503,5,1)="-",DATE(VALUE(LEFT(Base_Bruta!C1503,4)),VALUE(MID(Base_Bruta!C1503,6,2)),VALUE(RIGHT(Base_Bruta!C1503,2))),DATE(VALUE(RIGHT(Base_Bruta!C1503,4)),VALUE(MID(Base_Bruta!C1503,4,2)),VALUE(LEFT(Base_Bruta!C1503,2))))))</f>
        <v>46151</v>
      </c>
      <c r="D1503" s="4" t="str">
        <f aca="false">IF($A1503="","",TRIM(Base_Bruta!D1503))</f>
        <v>Turnê Internacional Rock - Rio</v>
      </c>
      <c r="E1503" s="4" t="str">
        <f aca="false">IF($A1503="","",_xlfn.XLOOKUP(LOWER(TRIM(Base_Bruta!E1503)),DePara_Categoria!$A$2:$A$9,DePara_Categoria!$B$2:$B$9,"REVISAR"))</f>
        <v>Show</v>
      </c>
      <c r="F1503" s="4" t="str">
        <f aca="false">IF($A1503="","",_xlfn.XLOOKUP(LOWER(TRIM(Base_Bruta!F1503)),DePara_Cidade!$A$2:$A$29,DePara_Cidade!$B$2:$B$29,"REVISAR"))</f>
        <v>Rio de Janeiro</v>
      </c>
      <c r="G1503" s="4" t="str">
        <f aca="false">IF($A1503="","",TRIM(Base_Bruta!G1503))</f>
        <v>Inteira</v>
      </c>
      <c r="H1503" s="4" t="n">
        <f aca="false">IF($A1503="","",IF(ISNUMBER(Base_Bruta!H1503),Base_Bruta!H1503,IFERROR(_xlfn.NUMBERVALUE(TRIM(SUBSTITUTE(Base_Bruta!H1503,"R$","")),",","."),0)))</f>
        <v>2</v>
      </c>
      <c r="I1503" s="6" t="n">
        <f aca="false">IF($A1503="","",IF(ISNUMBER(Base_Bruta!I1503),Base_Bruta!I1503,IFERROR(_xlfn.NUMBERVALUE(TRIM(SUBSTITUTE(Base_Bruta!I1503,"R$","")),",","."),0)))</f>
        <v>695</v>
      </c>
      <c r="J1503" s="6" t="n">
        <f aca="false">IF($A1503="","",H1503*I1503)</f>
        <v>1390</v>
      </c>
      <c r="K1503" s="4" t="str">
        <f aca="false">IF($A1503="","",TRIM(Base_Bruta!J1503))</f>
        <v>Site</v>
      </c>
      <c r="L1503" s="4" t="str">
        <f aca="false">IF($A1503="","",TRIM(Base_Bruta!K1503))</f>
        <v>C01689</v>
      </c>
      <c r="M1503" s="4" t="str">
        <f aca="false">IF($A1503="","",_xlfn.XLOOKUP(LOWER(TRIM(Base_Bruta!L1503)),DePara_Cidade!$A$2:$A$29,DePara_Cidade!$B$2:$B$29,"REVISAR"))</f>
        <v>Rio de Janeiro</v>
      </c>
      <c r="N1503" s="4" t="str">
        <f aca="false">IF($A1503="","",UPPER(TRIM(Base_Bruta!M1503)))</f>
        <v>RJ</v>
      </c>
      <c r="O1503" s="4" t="str">
        <f aca="false">IF($A1503="","",_xlfn.XLOOKUP(LOWER(TRIM(Base_Bruta!N1503)),DePara_Pais!$A$2:$A$9,DePara_Pais!$B$2:$B$9,"REVISAR"))</f>
        <v>Brasil</v>
      </c>
      <c r="P1503" s="4" t="str">
        <f aca="false">IF($A1503="","",IF(O1503&lt;&gt;"Brasil","Turista Internacional",IF(M1503=F1503,"Local","Turista Nacional")))</f>
        <v>Local</v>
      </c>
      <c r="Q1503" s="7" t="n">
        <f aca="false">IF($A1503="","",DATE(YEAR(B1503),MONTH(B1503),1))</f>
        <v>46143</v>
      </c>
      <c r="R1503" s="4" t="str">
        <f aca="false">IF($A1503="","",IF(COUNTIF($A$2:$A1503,$A1503)&gt;1,"Sim","Não"))</f>
        <v>Não</v>
      </c>
      <c r="S1503" s="4" t="str">
        <f aca="false">IF(A1503="","Descartar - Linha vazia",IF(R1503="Sim","Descartar - Duplicado",IF(OR(H1503&lt;=0,I1503&lt;=0),"Descartar - Qtd/Valor inválido","OK")))</f>
        <v>OK</v>
      </c>
      <c r="T1503" s="4" t="str">
        <f aca="false">Base_Bruta!P1503</f>
        <v>vendas_RJ.xlsx</v>
      </c>
    </row>
    <row r="1504" customFormat="false" ht="15" hidden="false" customHeight="false" outlineLevel="0" collapsed="false">
      <c r="A1504" s="4" t="str">
        <f aca="false">IF(Base_Bruta!A1504="","",Base_Bruta!A1504)</f>
        <v>RJ-000442</v>
      </c>
      <c r="B1504" s="5" t="n">
        <f aca="false">IF($A1504="","",IF(ISNUMBER(Base_Bruta!B1504),Base_Bruta!B1504,IF(MID(Base_Bruta!B1504,5,1)="-",DATE(VALUE(LEFT(Base_Bruta!B1504,4)),VALUE(MID(Base_Bruta!B1504,6,2)),VALUE(RIGHT(Base_Bruta!B1504,2))),DATE(VALUE(RIGHT(Base_Bruta!B1504,4)),VALUE(MID(Base_Bruta!B1504,4,2)),VALUE(LEFT(Base_Bruta!B1504,2))))))</f>
        <v>46151</v>
      </c>
      <c r="C1504" s="5" t="n">
        <f aca="false">IF($A1504="","",IF(ISNUMBER(Base_Bruta!C1504),Base_Bruta!C1504,IF(MID(Base_Bruta!C1504,5,1)="-",DATE(VALUE(LEFT(Base_Bruta!C1504,4)),VALUE(MID(Base_Bruta!C1504,6,2)),VALUE(RIGHT(Base_Bruta!C1504,2))),DATE(VALUE(RIGHT(Base_Bruta!C1504,4)),VALUE(MID(Base_Bruta!C1504,4,2)),VALUE(LEFT(Base_Bruta!C1504,2))))))</f>
        <v>46151</v>
      </c>
      <c r="D1504" s="4" t="str">
        <f aca="false">IF($A1504="","",TRIM(Base_Bruta!D1504))</f>
        <v>Turnê Internacional Rock - Rio</v>
      </c>
      <c r="E1504" s="4" t="str">
        <f aca="false">IF($A1504="","",_xlfn.XLOOKUP(LOWER(TRIM(Base_Bruta!E1504)),DePara_Categoria!$A$2:$A$9,DePara_Categoria!$B$2:$B$9,"REVISAR"))</f>
        <v>Show</v>
      </c>
      <c r="F1504" s="4" t="str">
        <f aca="false">IF($A1504="","",_xlfn.XLOOKUP(LOWER(TRIM(Base_Bruta!F1504)),DePara_Cidade!$A$2:$A$29,DePara_Cidade!$B$2:$B$29,"REVISAR"))</f>
        <v>Rio de Janeiro</v>
      </c>
      <c r="G1504" s="4" t="str">
        <f aca="false">IF($A1504="","",TRIM(Base_Bruta!G1504))</f>
        <v>Meia</v>
      </c>
      <c r="H1504" s="4" t="n">
        <f aca="false">IF($A1504="","",IF(ISNUMBER(Base_Bruta!H1504),Base_Bruta!H1504,IFERROR(_xlfn.NUMBERVALUE(TRIM(SUBSTITUTE(Base_Bruta!H1504,"R$","")),",","."),0)))</f>
        <v>1</v>
      </c>
      <c r="I1504" s="6" t="n">
        <f aca="false">IF($A1504="","",IF(ISNUMBER(Base_Bruta!I1504),Base_Bruta!I1504,IFERROR(_xlfn.NUMBERVALUE(TRIM(SUBSTITUTE(Base_Bruta!I1504,"R$","")),",","."),0)))</f>
        <v>337.5</v>
      </c>
      <c r="J1504" s="6" t="n">
        <f aca="false">IF($A1504="","",H1504*I1504)</f>
        <v>337.5</v>
      </c>
      <c r="K1504" s="4" t="str">
        <f aca="false">IF($A1504="","",TRIM(Base_Bruta!J1504))</f>
        <v>App</v>
      </c>
      <c r="L1504" s="4" t="str">
        <f aca="false">IF($A1504="","",TRIM(Base_Bruta!K1504))</f>
        <v>C01994</v>
      </c>
      <c r="M1504" s="4" t="str">
        <f aca="false">IF($A1504="","",_xlfn.XLOOKUP(LOWER(TRIM(Base_Bruta!L1504)),DePara_Cidade!$A$2:$A$29,DePara_Cidade!$B$2:$B$29,"REVISAR"))</f>
        <v>Rio de Janeiro</v>
      </c>
      <c r="N1504" s="4" t="str">
        <f aca="false">IF($A1504="","",UPPER(TRIM(Base_Bruta!M1504)))</f>
        <v>RJ</v>
      </c>
      <c r="O1504" s="4" t="str">
        <f aca="false">IF($A1504="","",_xlfn.XLOOKUP(LOWER(TRIM(Base_Bruta!N1504)),DePara_Pais!$A$2:$A$9,DePara_Pais!$B$2:$B$9,"REVISAR"))</f>
        <v>Brasil</v>
      </c>
      <c r="P1504" s="4" t="str">
        <f aca="false">IF($A1504="","",IF(O1504&lt;&gt;"Brasil","Turista Internacional",IF(M1504=F1504,"Local","Turista Nacional")))</f>
        <v>Local</v>
      </c>
      <c r="Q1504" s="7" t="n">
        <f aca="false">IF($A1504="","",DATE(YEAR(B1504),MONTH(B1504),1))</f>
        <v>46143</v>
      </c>
      <c r="R1504" s="4" t="str">
        <f aca="false">IF($A1504="","",IF(COUNTIF($A$2:$A1504,$A1504)&gt;1,"Sim","Não"))</f>
        <v>Não</v>
      </c>
      <c r="S1504" s="4" t="str">
        <f aca="false">IF(A1504="","Descartar - Linha vazia",IF(R1504="Sim","Descartar - Duplicado",IF(OR(H1504&lt;=0,I1504&lt;=0),"Descartar - Qtd/Valor inválido","OK")))</f>
        <v>OK</v>
      </c>
      <c r="T1504" s="4" t="str">
        <f aca="false">Base_Bruta!P1504</f>
        <v>vendas_RJ.xlsx</v>
      </c>
    </row>
    <row r="1505" customFormat="false" ht="15" hidden="false" customHeight="false" outlineLevel="0" collapsed="false">
      <c r="A1505" s="4" t="str">
        <f aca="false">IF(Base_Bruta!A1505="","",Base_Bruta!A1505)</f>
        <v>RJ-000445</v>
      </c>
      <c r="B1505" s="5" t="n">
        <f aca="false">IF($A1505="","",IF(ISNUMBER(Base_Bruta!B1505),Base_Bruta!B1505,IF(MID(Base_Bruta!B1505,5,1)="-",DATE(VALUE(LEFT(Base_Bruta!B1505,4)),VALUE(MID(Base_Bruta!B1505,6,2)),VALUE(RIGHT(Base_Bruta!B1505,2))),DATE(VALUE(RIGHT(Base_Bruta!B1505,4)),VALUE(MID(Base_Bruta!B1505,4,2)),VALUE(LEFT(Base_Bruta!B1505,2))))))</f>
        <v>46151</v>
      </c>
      <c r="C1505" s="5" t="n">
        <f aca="false">IF($A1505="","",IF(ISNUMBER(Base_Bruta!C1505),Base_Bruta!C1505,IF(MID(Base_Bruta!C1505,5,1)="-",DATE(VALUE(LEFT(Base_Bruta!C1505,4)),VALUE(MID(Base_Bruta!C1505,6,2)),VALUE(RIGHT(Base_Bruta!C1505,2))),DATE(VALUE(RIGHT(Base_Bruta!C1505,4)),VALUE(MID(Base_Bruta!C1505,4,2)),VALUE(LEFT(Base_Bruta!C1505,2))))))</f>
        <v>46151</v>
      </c>
      <c r="D1505" s="4" t="str">
        <f aca="false">IF($A1505="","",TRIM(Base_Bruta!D1505))</f>
        <v>Turnê Internacional Rock - Rio</v>
      </c>
      <c r="E1505" s="4" t="str">
        <f aca="false">IF($A1505="","",_xlfn.XLOOKUP(LOWER(TRIM(Base_Bruta!E1505)),DePara_Categoria!$A$2:$A$9,DePara_Categoria!$B$2:$B$9,"REVISAR"))</f>
        <v>Show</v>
      </c>
      <c r="F1505" s="4" t="str">
        <f aca="false">IF($A1505="","",_xlfn.XLOOKUP(LOWER(TRIM(Base_Bruta!F1505)),DePara_Cidade!$A$2:$A$29,DePara_Cidade!$B$2:$B$29,"REVISAR"))</f>
        <v>Rio de Janeiro</v>
      </c>
      <c r="G1505" s="4" t="str">
        <f aca="false">IF($A1505="","",TRIM(Base_Bruta!G1505))</f>
        <v>Meia</v>
      </c>
      <c r="H1505" s="4" t="n">
        <f aca="false">IF($A1505="","",IF(ISNUMBER(Base_Bruta!H1505),Base_Bruta!H1505,IFERROR(_xlfn.NUMBERVALUE(TRIM(SUBSTITUTE(Base_Bruta!H1505,"R$","")),",","."),0)))</f>
        <v>2</v>
      </c>
      <c r="I1505" s="6" t="n">
        <f aca="false">IF($A1505="","",IF(ISNUMBER(Base_Bruta!I1505),Base_Bruta!I1505,IFERROR(_xlfn.NUMBERVALUE(TRIM(SUBSTITUTE(Base_Bruta!I1505,"R$","")),",","."),0)))</f>
        <v>165</v>
      </c>
      <c r="J1505" s="6" t="n">
        <f aca="false">IF($A1505="","",H1505*I1505)</f>
        <v>330</v>
      </c>
      <c r="K1505" s="4" t="str">
        <f aca="false">IF($A1505="","",TRIM(Base_Bruta!J1505))</f>
        <v>Site</v>
      </c>
      <c r="L1505" s="4" t="str">
        <f aca="false">IF($A1505="","",TRIM(Base_Bruta!K1505))</f>
        <v>C00592</v>
      </c>
      <c r="M1505" s="4" t="str">
        <f aca="false">IF($A1505="","",_xlfn.XLOOKUP(LOWER(TRIM(Base_Bruta!L1505)),DePara_Cidade!$A$2:$A$29,DePara_Cidade!$B$2:$B$29,"REVISAR"))</f>
        <v>Rio de Janeiro</v>
      </c>
      <c r="N1505" s="4" t="str">
        <f aca="false">IF($A1505="","",UPPER(TRIM(Base_Bruta!M1505)))</f>
        <v>RJ</v>
      </c>
      <c r="O1505" s="4" t="str">
        <f aca="false">IF($A1505="","",_xlfn.XLOOKUP(LOWER(TRIM(Base_Bruta!N1505)),DePara_Pais!$A$2:$A$9,DePara_Pais!$B$2:$B$9,"REVISAR"))</f>
        <v>Brasil</v>
      </c>
      <c r="P1505" s="4" t="str">
        <f aca="false">IF($A1505="","",IF(O1505&lt;&gt;"Brasil","Turista Internacional",IF(M1505=F1505,"Local","Turista Nacional")))</f>
        <v>Local</v>
      </c>
      <c r="Q1505" s="7" t="n">
        <f aca="false">IF($A1505="","",DATE(YEAR(B1505),MONTH(B1505),1))</f>
        <v>46143</v>
      </c>
      <c r="R1505" s="4" t="str">
        <f aca="false">IF($A1505="","",IF(COUNTIF($A$2:$A1505,$A1505)&gt;1,"Sim","Não"))</f>
        <v>Não</v>
      </c>
      <c r="S1505" s="4" t="str">
        <f aca="false">IF(A1505="","Descartar - Linha vazia",IF(R1505="Sim","Descartar - Duplicado",IF(OR(H1505&lt;=0,I1505&lt;=0),"Descartar - Qtd/Valor inválido","OK")))</f>
        <v>OK</v>
      </c>
      <c r="T1505" s="4" t="str">
        <f aca="false">Base_Bruta!P1505</f>
        <v>vendas_RJ.xlsx</v>
      </c>
    </row>
    <row r="1506" customFormat="false" ht="15" hidden="false" customHeight="false" outlineLevel="0" collapsed="false">
      <c r="A1506" s="4" t="str">
        <f aca="false">IF(Base_Bruta!A1506="","",Base_Bruta!A1506)</f>
        <v>RJ-000465</v>
      </c>
      <c r="B1506" s="5" t="n">
        <f aca="false">IF($A1506="","",IF(ISNUMBER(Base_Bruta!B1506),Base_Bruta!B1506,IF(MID(Base_Bruta!B1506,5,1)="-",DATE(VALUE(LEFT(Base_Bruta!B1506,4)),VALUE(MID(Base_Bruta!B1506,6,2)),VALUE(RIGHT(Base_Bruta!B1506,2))),DATE(VALUE(RIGHT(Base_Bruta!B1506,4)),VALUE(MID(Base_Bruta!B1506,4,2)),VALUE(LEFT(Base_Bruta!B1506,2))))))</f>
        <v>46151</v>
      </c>
      <c r="C1506" s="5" t="n">
        <f aca="false">IF($A1506="","",IF(ISNUMBER(Base_Bruta!C1506),Base_Bruta!C1506,IF(MID(Base_Bruta!C1506,5,1)="-",DATE(VALUE(LEFT(Base_Bruta!C1506,4)),VALUE(MID(Base_Bruta!C1506,6,2)),VALUE(RIGHT(Base_Bruta!C1506,2))),DATE(VALUE(RIGHT(Base_Bruta!C1506,4)),VALUE(MID(Base_Bruta!C1506,4,2)),VALUE(LEFT(Base_Bruta!C1506,2))))))</f>
        <v>46151</v>
      </c>
      <c r="D1506" s="4" t="str">
        <f aca="false">IF($A1506="","",TRIM(Base_Bruta!D1506))</f>
        <v>Turnê Internacional Rock - Rio</v>
      </c>
      <c r="E1506" s="4" t="str">
        <f aca="false">IF($A1506="","",_xlfn.XLOOKUP(LOWER(TRIM(Base_Bruta!E1506)),DePara_Categoria!$A$2:$A$9,DePara_Categoria!$B$2:$B$9,"REVISAR"))</f>
        <v>Show</v>
      </c>
      <c r="F1506" s="4" t="str">
        <f aca="false">IF($A1506="","",_xlfn.XLOOKUP(LOWER(TRIM(Base_Bruta!F1506)),DePara_Cidade!$A$2:$A$29,DePara_Cidade!$B$2:$B$29,"REVISAR"))</f>
        <v>Rio de Janeiro</v>
      </c>
      <c r="G1506" s="4" t="str">
        <f aca="false">IF($A1506="","",TRIM(Base_Bruta!G1506))</f>
        <v>Inteira</v>
      </c>
      <c r="H1506" s="4" t="n">
        <f aca="false">IF($A1506="","",IF(ISNUMBER(Base_Bruta!H1506),Base_Bruta!H1506,IFERROR(_xlfn.NUMBERVALUE(TRIM(SUBSTITUTE(Base_Bruta!H1506,"R$","")),",","."),0)))</f>
        <v>1</v>
      </c>
      <c r="I1506" s="6" t="n">
        <f aca="false">IF($A1506="","",IF(ISNUMBER(Base_Bruta!I1506),Base_Bruta!I1506,IFERROR(_xlfn.NUMBERVALUE(TRIM(SUBSTITUTE(Base_Bruta!I1506,"R$","")),",","."),0)))</f>
        <v>225</v>
      </c>
      <c r="J1506" s="6" t="n">
        <f aca="false">IF($A1506="","",H1506*I1506)</f>
        <v>225</v>
      </c>
      <c r="K1506" s="4" t="str">
        <f aca="false">IF($A1506="","",TRIM(Base_Bruta!J1506))</f>
        <v>App</v>
      </c>
      <c r="L1506" s="4" t="str">
        <f aca="false">IF($A1506="","",TRIM(Base_Bruta!K1506))</f>
        <v>C00592</v>
      </c>
      <c r="M1506" s="4" t="str">
        <f aca="false">IF($A1506="","",_xlfn.XLOOKUP(LOWER(TRIM(Base_Bruta!L1506)),DePara_Cidade!$A$2:$A$29,DePara_Cidade!$B$2:$B$29,"REVISAR"))</f>
        <v>Rio de Janeiro</v>
      </c>
      <c r="N1506" s="4" t="str">
        <f aca="false">IF($A1506="","",UPPER(TRIM(Base_Bruta!M1506)))</f>
        <v>RJ</v>
      </c>
      <c r="O1506" s="4" t="str">
        <f aca="false">IF($A1506="","",_xlfn.XLOOKUP(LOWER(TRIM(Base_Bruta!N1506)),DePara_Pais!$A$2:$A$9,DePara_Pais!$B$2:$B$9,"REVISAR"))</f>
        <v>Brasil</v>
      </c>
      <c r="P1506" s="4" t="str">
        <f aca="false">IF($A1506="","",IF(O1506&lt;&gt;"Brasil","Turista Internacional",IF(M1506=F1506,"Local","Turista Nacional")))</f>
        <v>Local</v>
      </c>
      <c r="Q1506" s="7" t="n">
        <f aca="false">IF($A1506="","",DATE(YEAR(B1506),MONTH(B1506),1))</f>
        <v>46143</v>
      </c>
      <c r="R1506" s="4" t="str">
        <f aca="false">IF($A1506="","",IF(COUNTIF($A$2:$A1506,$A1506)&gt;1,"Sim","Não"))</f>
        <v>Não</v>
      </c>
      <c r="S1506" s="4" t="str">
        <f aca="false">IF(A1506="","Descartar - Linha vazia",IF(R1506="Sim","Descartar - Duplicado",IF(OR(H1506&lt;=0,I1506&lt;=0),"Descartar - Qtd/Valor inválido","OK")))</f>
        <v>OK</v>
      </c>
      <c r="T1506" s="4" t="str">
        <f aca="false">Base_Bruta!P1506</f>
        <v>vendas_RJ.xlsx</v>
      </c>
    </row>
    <row r="1507" customFormat="false" ht="15" hidden="false" customHeight="false" outlineLevel="0" collapsed="false">
      <c r="A1507" s="4" t="str">
        <f aca="false">IF(Base_Bruta!A1507="","",Base_Bruta!A1507)</f>
        <v>RJ-000525</v>
      </c>
      <c r="B1507" s="5" t="n">
        <f aca="false">IF($A1507="","",IF(ISNUMBER(Base_Bruta!B1507),Base_Bruta!B1507,IF(MID(Base_Bruta!B1507,5,1)="-",DATE(VALUE(LEFT(Base_Bruta!B1507,4)),VALUE(MID(Base_Bruta!B1507,6,2)),VALUE(RIGHT(Base_Bruta!B1507,2))),DATE(VALUE(RIGHT(Base_Bruta!B1507,4)),VALUE(MID(Base_Bruta!B1507,4,2)),VALUE(LEFT(Base_Bruta!B1507,2))))))</f>
        <v>46151</v>
      </c>
      <c r="C1507" s="5" t="n">
        <f aca="false">IF($A1507="","",IF(ISNUMBER(Base_Bruta!C1507),Base_Bruta!C1507,IF(MID(Base_Bruta!C1507,5,1)="-",DATE(VALUE(LEFT(Base_Bruta!C1507,4)),VALUE(MID(Base_Bruta!C1507,6,2)),VALUE(RIGHT(Base_Bruta!C1507,2))),DATE(VALUE(RIGHT(Base_Bruta!C1507,4)),VALUE(MID(Base_Bruta!C1507,4,2)),VALUE(LEFT(Base_Bruta!C1507,2))))))</f>
        <v>46151</v>
      </c>
      <c r="D1507" s="4" t="str">
        <f aca="false">IF($A1507="","",TRIM(Base_Bruta!D1507))</f>
        <v>Turnê Internacional Rock - Rio</v>
      </c>
      <c r="E1507" s="4" t="str">
        <f aca="false">IF($A1507="","",_xlfn.XLOOKUP(LOWER(TRIM(Base_Bruta!E1507)),DePara_Categoria!$A$2:$A$9,DePara_Categoria!$B$2:$B$9,"REVISAR"))</f>
        <v>Show</v>
      </c>
      <c r="F1507" s="4" t="str">
        <f aca="false">IF($A1507="","",_xlfn.XLOOKUP(LOWER(TRIM(Base_Bruta!F1507)),DePara_Cidade!$A$2:$A$29,DePara_Cidade!$B$2:$B$29,"REVISAR"))</f>
        <v>Rio de Janeiro</v>
      </c>
      <c r="G1507" s="4" t="str">
        <f aca="false">IF($A1507="","",TRIM(Base_Bruta!G1507))</f>
        <v>Meia</v>
      </c>
      <c r="H1507" s="4" t="n">
        <f aca="false">IF($A1507="","",IF(ISNUMBER(Base_Bruta!H1507),Base_Bruta!H1507,IFERROR(_xlfn.NUMBERVALUE(TRIM(SUBSTITUTE(Base_Bruta!H1507,"R$","")),",","."),0)))</f>
        <v>2</v>
      </c>
      <c r="I1507" s="6" t="n">
        <f aca="false">IF($A1507="","",IF(ISNUMBER(Base_Bruta!I1507),Base_Bruta!I1507,IFERROR(_xlfn.NUMBERVALUE(TRIM(SUBSTITUTE(Base_Bruta!I1507,"R$","")),",","."),0)))</f>
        <v>140</v>
      </c>
      <c r="J1507" s="6" t="n">
        <f aca="false">IF($A1507="","",H1507*I1507)</f>
        <v>280</v>
      </c>
      <c r="K1507" s="4" t="str">
        <f aca="false">IF($A1507="","",TRIM(Base_Bruta!J1507))</f>
        <v>Site</v>
      </c>
      <c r="L1507" s="4" t="str">
        <f aca="false">IF($A1507="","",TRIM(Base_Bruta!K1507))</f>
        <v>C00653</v>
      </c>
      <c r="M1507" s="4" t="str">
        <f aca="false">IF($A1507="","",_xlfn.XLOOKUP(LOWER(TRIM(Base_Bruta!L1507)),DePara_Cidade!$A$2:$A$29,DePara_Cidade!$B$2:$B$29,"REVISAR"))</f>
        <v>Belo Horizonte</v>
      </c>
      <c r="N1507" s="4" t="str">
        <f aca="false">IF($A1507="","",UPPER(TRIM(Base_Bruta!M1507)))</f>
        <v>MG</v>
      </c>
      <c r="O1507" s="4" t="str">
        <f aca="false">IF($A1507="","",_xlfn.XLOOKUP(LOWER(TRIM(Base_Bruta!N1507)),DePara_Pais!$A$2:$A$9,DePara_Pais!$B$2:$B$9,"REVISAR"))</f>
        <v>Brasil</v>
      </c>
      <c r="P1507" s="4" t="str">
        <f aca="false">IF($A1507="","",IF(O1507&lt;&gt;"Brasil","Turista Internacional",IF(M1507=F1507,"Local","Turista Nacional")))</f>
        <v>Turista Nacional</v>
      </c>
      <c r="Q1507" s="7" t="n">
        <f aca="false">IF($A1507="","",DATE(YEAR(B1507),MONTH(B1507),1))</f>
        <v>46143</v>
      </c>
      <c r="R1507" s="4" t="str">
        <f aca="false">IF($A1507="","",IF(COUNTIF($A$2:$A1507,$A1507)&gt;1,"Sim","Não"))</f>
        <v>Não</v>
      </c>
      <c r="S1507" s="4" t="str">
        <f aca="false">IF(A1507="","Descartar - Linha vazia",IF(R1507="Sim","Descartar - Duplicado",IF(OR(H1507&lt;=0,I1507&lt;=0),"Descartar - Qtd/Valor inválido","OK")))</f>
        <v>OK</v>
      </c>
      <c r="T1507" s="4" t="str">
        <f aca="false">Base_Bruta!P1507</f>
        <v>vendas_RJ.xlsx</v>
      </c>
    </row>
    <row r="1508" customFormat="false" ht="15" hidden="false" customHeight="false" outlineLevel="0" collapsed="false">
      <c r="A1508" s="4" t="str">
        <f aca="false">IF(Base_Bruta!A1508="","",Base_Bruta!A1508)</f>
        <v>RJ-000550</v>
      </c>
      <c r="B1508" s="5" t="n">
        <f aca="false">IF($A1508="","",IF(ISNUMBER(Base_Bruta!B1508),Base_Bruta!B1508,IF(MID(Base_Bruta!B1508,5,1)="-",DATE(VALUE(LEFT(Base_Bruta!B1508,4)),VALUE(MID(Base_Bruta!B1508,6,2)),VALUE(RIGHT(Base_Bruta!B1508,2))),DATE(VALUE(RIGHT(Base_Bruta!B1508,4)),VALUE(MID(Base_Bruta!B1508,4,2)),VALUE(LEFT(Base_Bruta!B1508,2))))))</f>
        <v>46157</v>
      </c>
      <c r="C1508" s="5" t="n">
        <f aca="false">IF($A1508="","",IF(ISNUMBER(Base_Bruta!C1508),Base_Bruta!C1508,IF(MID(Base_Bruta!C1508,5,1)="-",DATE(VALUE(LEFT(Base_Bruta!C1508,4)),VALUE(MID(Base_Bruta!C1508,6,2)),VALUE(RIGHT(Base_Bruta!C1508,2))),DATE(VALUE(RIGHT(Base_Bruta!C1508,4)),VALUE(MID(Base_Bruta!C1508,4,2)),VALUE(LEFT(Base_Bruta!C1508,2))))))</f>
        <v>46158</v>
      </c>
      <c r="D1508" s="4" t="str">
        <f aca="false">IF($A1508="","",TRIM(Base_Bruta!D1508))</f>
        <v>Cinema Barra - Sessões</v>
      </c>
      <c r="E1508" s="4" t="str">
        <f aca="false">IF($A1508="","",_xlfn.XLOOKUP(LOWER(TRIM(Base_Bruta!E1508)),DePara_Categoria!$A$2:$A$9,DePara_Categoria!$B$2:$B$9,"REVISAR"))</f>
        <v>Cinema</v>
      </c>
      <c r="F1508" s="4" t="str">
        <f aca="false">IF($A1508="","",_xlfn.XLOOKUP(LOWER(TRIM(Base_Bruta!F1508)),DePara_Cidade!$A$2:$A$29,DePara_Cidade!$B$2:$B$29,"REVISAR"))</f>
        <v>Rio de Janeiro</v>
      </c>
      <c r="G1508" s="4" t="str">
        <f aca="false">IF($A1508="","",TRIM(Base_Bruta!G1508))</f>
        <v>Inteira</v>
      </c>
      <c r="H1508" s="4" t="n">
        <f aca="false">IF($A1508="","",IF(ISNUMBER(Base_Bruta!H1508),Base_Bruta!H1508,IFERROR(_xlfn.NUMBERVALUE(TRIM(SUBSTITUTE(Base_Bruta!H1508,"R$","")),",","."),0)))</f>
        <v>1</v>
      </c>
      <c r="I1508" s="6" t="n">
        <f aca="false">IF($A1508="","",IF(ISNUMBER(Base_Bruta!I1508),Base_Bruta!I1508,IFERROR(_xlfn.NUMBERVALUE(TRIM(SUBSTITUTE(Base_Bruta!I1508,"R$","")),",","."),0)))</f>
        <v>30</v>
      </c>
      <c r="J1508" s="6" t="n">
        <f aca="false">IF($A1508="","",H1508*I1508)</f>
        <v>30</v>
      </c>
      <c r="K1508" s="4" t="str">
        <f aca="false">IF($A1508="","",TRIM(Base_Bruta!J1508))</f>
        <v>App</v>
      </c>
      <c r="L1508" s="4" t="str">
        <f aca="false">IF($A1508="","",TRIM(Base_Bruta!K1508))</f>
        <v>C01976</v>
      </c>
      <c r="M1508" s="4" t="str">
        <f aca="false">IF($A1508="","",_xlfn.XLOOKUP(LOWER(TRIM(Base_Bruta!L1508)),DePara_Cidade!$A$2:$A$29,DePara_Cidade!$B$2:$B$29,"REVISAR"))</f>
        <v>Rio de Janeiro</v>
      </c>
      <c r="N1508" s="4" t="str">
        <f aca="false">IF($A1508="","",UPPER(TRIM(Base_Bruta!M1508)))</f>
        <v>RJ</v>
      </c>
      <c r="O1508" s="4" t="str">
        <f aca="false">IF($A1508="","",_xlfn.XLOOKUP(LOWER(TRIM(Base_Bruta!N1508)),DePara_Pais!$A$2:$A$9,DePara_Pais!$B$2:$B$9,"REVISAR"))</f>
        <v>Brasil</v>
      </c>
      <c r="P1508" s="4" t="str">
        <f aca="false">IF($A1508="","",IF(O1508&lt;&gt;"Brasil","Turista Internacional",IF(M1508=F1508,"Local","Turista Nacional")))</f>
        <v>Local</v>
      </c>
      <c r="Q1508" s="7" t="n">
        <f aca="false">IF($A1508="","",DATE(YEAR(B1508),MONTH(B1508),1))</f>
        <v>46143</v>
      </c>
      <c r="R1508" s="4" t="str">
        <f aca="false">IF($A1508="","",IF(COUNTIF($A$2:$A1508,$A1508)&gt;1,"Sim","Não"))</f>
        <v>Não</v>
      </c>
      <c r="S1508" s="4" t="str">
        <f aca="false">IF(A1508="","Descartar - Linha vazia",IF(R1508="Sim","Descartar - Duplicado",IF(OR(H1508&lt;=0,I1508&lt;=0),"Descartar - Qtd/Valor inválido","OK")))</f>
        <v>OK</v>
      </c>
      <c r="T1508" s="4" t="str">
        <f aca="false">Base_Bruta!P1508</f>
        <v>vendas_RJ.xlsx</v>
      </c>
    </row>
    <row r="1509" customFormat="false" ht="15" hidden="false" customHeight="false" outlineLevel="0" collapsed="false">
      <c r="A1509" s="4" t="str">
        <f aca="false">IF(Base_Bruta!A1509="","",Base_Bruta!A1509)</f>
        <v>RJ-000661</v>
      </c>
      <c r="B1509" s="5" t="n">
        <f aca="false">IF($A1509="","",IF(ISNUMBER(Base_Bruta!B1509),Base_Bruta!B1509,IF(MID(Base_Bruta!B1509,5,1)="-",DATE(VALUE(LEFT(Base_Bruta!B1509,4)),VALUE(MID(Base_Bruta!B1509,6,2)),VALUE(RIGHT(Base_Bruta!B1509,2))),DATE(VALUE(RIGHT(Base_Bruta!B1509,4)),VALUE(MID(Base_Bruta!B1509,4,2)),VALUE(LEFT(Base_Bruta!B1509,2))))))</f>
        <v>46160</v>
      </c>
      <c r="C1509" s="5" t="n">
        <f aca="false">IF($A1509="","",IF(ISNUMBER(Base_Bruta!C1509),Base_Bruta!C1509,IF(MID(Base_Bruta!C1509,5,1)="-",DATE(VALUE(LEFT(Base_Bruta!C1509,4)),VALUE(MID(Base_Bruta!C1509,6,2)),VALUE(RIGHT(Base_Bruta!C1509,2))),DATE(VALUE(RIGHT(Base_Bruta!C1509,4)),VALUE(MID(Base_Bruta!C1509,4,2)),VALUE(LEFT(Base_Bruta!C1509,2))))))</f>
        <v>46163</v>
      </c>
      <c r="D1509" s="4" t="str">
        <f aca="false">IF($A1509="","",TRIM(Base_Bruta!D1509))</f>
        <v>Cinema Barra - Sessões</v>
      </c>
      <c r="E1509" s="4" t="str">
        <f aca="false">IF($A1509="","",_xlfn.XLOOKUP(LOWER(TRIM(Base_Bruta!E1509)),DePara_Categoria!$A$2:$A$9,DePara_Categoria!$B$2:$B$9,"REVISAR"))</f>
        <v>Cinema</v>
      </c>
      <c r="F1509" s="4" t="str">
        <f aca="false">IF($A1509="","",_xlfn.XLOOKUP(LOWER(TRIM(Base_Bruta!F1509)),DePara_Cidade!$A$2:$A$29,DePara_Cidade!$B$2:$B$29,"REVISAR"))</f>
        <v>Rio de Janeiro</v>
      </c>
      <c r="G1509" s="4" t="str">
        <f aca="false">IF($A1509="","",TRIM(Base_Bruta!G1509))</f>
        <v>Meia</v>
      </c>
      <c r="H1509" s="4" t="n">
        <f aca="false">IF($A1509="","",IF(ISNUMBER(Base_Bruta!H1509),Base_Bruta!H1509,IFERROR(_xlfn.NUMBERVALUE(TRIM(SUBSTITUTE(Base_Bruta!H1509,"R$","")),",","."),0)))</f>
        <v>1</v>
      </c>
      <c r="I1509" s="6" t="n">
        <f aca="false">IF($A1509="","",IF(ISNUMBER(Base_Bruta!I1509),Base_Bruta!I1509,IFERROR(_xlfn.NUMBERVALUE(TRIM(SUBSTITUTE(Base_Bruta!I1509,"R$","")),",","."),0)))</f>
        <v>15</v>
      </c>
      <c r="J1509" s="6" t="n">
        <f aca="false">IF($A1509="","",H1509*I1509)</f>
        <v>15</v>
      </c>
      <c r="K1509" s="4" t="str">
        <f aca="false">IF($A1509="","",TRIM(Base_Bruta!J1509))</f>
        <v>Site</v>
      </c>
      <c r="L1509" s="4" t="str">
        <f aca="false">IF($A1509="","",TRIM(Base_Bruta!K1509))</f>
        <v>C00477</v>
      </c>
      <c r="M1509" s="4" t="str">
        <f aca="false">IF($A1509="","",_xlfn.XLOOKUP(LOWER(TRIM(Base_Bruta!L1509)),DePara_Cidade!$A$2:$A$29,DePara_Cidade!$B$2:$B$29,"REVISAR"))</f>
        <v>Rio de Janeiro</v>
      </c>
      <c r="N1509" s="4" t="str">
        <f aca="false">IF($A1509="","",UPPER(TRIM(Base_Bruta!M1509)))</f>
        <v>RJ</v>
      </c>
      <c r="O1509" s="4" t="str">
        <f aca="false">IF($A1509="","",_xlfn.XLOOKUP(LOWER(TRIM(Base_Bruta!N1509)),DePara_Pais!$A$2:$A$9,DePara_Pais!$B$2:$B$9,"REVISAR"))</f>
        <v>Brasil</v>
      </c>
      <c r="P1509" s="4" t="str">
        <f aca="false">IF($A1509="","",IF(O1509&lt;&gt;"Brasil","Turista Internacional",IF(M1509=F1509,"Local","Turista Nacional")))</f>
        <v>Local</v>
      </c>
      <c r="Q1509" s="7" t="n">
        <f aca="false">IF($A1509="","",DATE(YEAR(B1509),MONTH(B1509),1))</f>
        <v>46143</v>
      </c>
      <c r="R1509" s="4" t="str">
        <f aca="false">IF($A1509="","",IF(COUNTIF($A$2:$A1509,$A1509)&gt;1,"Sim","Não"))</f>
        <v>Não</v>
      </c>
      <c r="S1509" s="4" t="str">
        <f aca="false">IF(A1509="","Descartar - Linha vazia",IF(R1509="Sim","Descartar - Duplicado",IF(OR(H1509&lt;=0,I1509&lt;=0),"Descartar - Qtd/Valor inválido","OK")))</f>
        <v>OK</v>
      </c>
      <c r="T1509" s="4" t="str">
        <f aca="false">Base_Bruta!P1509</f>
        <v>vendas_RJ.xlsx</v>
      </c>
    </row>
    <row r="1510" customFormat="false" ht="15" hidden="false" customHeight="false" outlineLevel="0" collapsed="false">
      <c r="A1510" s="4" t="str">
        <f aca="false">IF(Base_Bruta!A1510="","",Base_Bruta!A1510)</f>
        <v>RJ-000663</v>
      </c>
      <c r="B1510" s="5" t="n">
        <f aca="false">IF($A1510="","",IF(ISNUMBER(Base_Bruta!B1510),Base_Bruta!B1510,IF(MID(Base_Bruta!B1510,5,1)="-",DATE(VALUE(LEFT(Base_Bruta!B1510,4)),VALUE(MID(Base_Bruta!B1510,6,2)),VALUE(RIGHT(Base_Bruta!B1510,2))),DATE(VALUE(RIGHT(Base_Bruta!B1510,4)),VALUE(MID(Base_Bruta!B1510,4,2)),VALUE(LEFT(Base_Bruta!B1510,2))))))</f>
        <v>46160</v>
      </c>
      <c r="C1510" s="5" t="n">
        <f aca="false">IF($A1510="","",IF(ISNUMBER(Base_Bruta!C1510),Base_Bruta!C1510,IF(MID(Base_Bruta!C1510,5,1)="-",DATE(VALUE(LEFT(Base_Bruta!C1510,4)),VALUE(MID(Base_Bruta!C1510,6,2)),VALUE(RIGHT(Base_Bruta!C1510,2))),DATE(VALUE(RIGHT(Base_Bruta!C1510,4)),VALUE(MID(Base_Bruta!C1510,4,2)),VALUE(LEFT(Base_Bruta!C1510,2))))))</f>
        <v>46161</v>
      </c>
      <c r="D1510" s="4" t="str">
        <f aca="false">IF($A1510="","",TRIM(Base_Bruta!D1510))</f>
        <v>Cinema Barra - Sessões</v>
      </c>
      <c r="E1510" s="4" t="str">
        <f aca="false">IF($A1510="","",_xlfn.XLOOKUP(LOWER(TRIM(Base_Bruta!E1510)),DePara_Categoria!$A$2:$A$9,DePara_Categoria!$B$2:$B$9,"REVISAR"))</f>
        <v>Cinema</v>
      </c>
      <c r="F1510" s="4" t="str">
        <f aca="false">IF($A1510="","",_xlfn.XLOOKUP(LOWER(TRIM(Base_Bruta!F1510)),DePara_Cidade!$A$2:$A$29,DePara_Cidade!$B$2:$B$29,"REVISAR"))</f>
        <v>Rio de Janeiro</v>
      </c>
      <c r="G1510" s="4" t="str">
        <f aca="false">IF($A1510="","",TRIM(Base_Bruta!G1510))</f>
        <v>Inteira</v>
      </c>
      <c r="H1510" s="4" t="n">
        <f aca="false">IF($A1510="","",IF(ISNUMBER(Base_Bruta!H1510),Base_Bruta!H1510,IFERROR(_xlfn.NUMBERVALUE(TRIM(SUBSTITUTE(Base_Bruta!H1510,"R$","")),",","."),0)))</f>
        <v>2</v>
      </c>
      <c r="I1510" s="6" t="n">
        <f aca="false">IF($A1510="","",IF(ISNUMBER(Base_Bruta!I1510),Base_Bruta!I1510,IFERROR(_xlfn.NUMBERVALUE(TRIM(SUBSTITUTE(Base_Bruta!I1510,"R$","")),",","."),0)))</f>
        <v>45</v>
      </c>
      <c r="J1510" s="6" t="n">
        <f aca="false">IF($A1510="","",H1510*I1510)</f>
        <v>90</v>
      </c>
      <c r="K1510" s="4" t="str">
        <f aca="false">IF($A1510="","",TRIM(Base_Bruta!J1510))</f>
        <v>Site</v>
      </c>
      <c r="L1510" s="4" t="str">
        <f aca="false">IF($A1510="","",TRIM(Base_Bruta!K1510))</f>
        <v>C00975</v>
      </c>
      <c r="M1510" s="4" t="str">
        <f aca="false">IF($A1510="","",_xlfn.XLOOKUP(LOWER(TRIM(Base_Bruta!L1510)),DePara_Cidade!$A$2:$A$29,DePara_Cidade!$B$2:$B$29,"REVISAR"))</f>
        <v>Rio de Janeiro</v>
      </c>
      <c r="N1510" s="4" t="str">
        <f aca="false">IF($A1510="","",UPPER(TRIM(Base_Bruta!M1510)))</f>
        <v>RJ</v>
      </c>
      <c r="O1510" s="4" t="str">
        <f aca="false">IF($A1510="","",_xlfn.XLOOKUP(LOWER(TRIM(Base_Bruta!N1510)),DePara_Pais!$A$2:$A$9,DePara_Pais!$B$2:$B$9,"REVISAR"))</f>
        <v>Brasil</v>
      </c>
      <c r="P1510" s="4" t="str">
        <f aca="false">IF($A1510="","",IF(O1510&lt;&gt;"Brasil","Turista Internacional",IF(M1510=F1510,"Local","Turista Nacional")))</f>
        <v>Local</v>
      </c>
      <c r="Q1510" s="7" t="n">
        <f aca="false">IF($A1510="","",DATE(YEAR(B1510),MONTH(B1510),1))</f>
        <v>46143</v>
      </c>
      <c r="R1510" s="4" t="str">
        <f aca="false">IF($A1510="","",IF(COUNTIF($A$2:$A1510,$A1510)&gt;1,"Sim","Não"))</f>
        <v>Não</v>
      </c>
      <c r="S1510" s="4" t="str">
        <f aca="false">IF(A1510="","Descartar - Linha vazia",IF(R1510="Sim","Descartar - Duplicado",IF(OR(H1510&lt;=0,I1510&lt;=0),"Descartar - Qtd/Valor inválido","OK")))</f>
        <v>OK</v>
      </c>
      <c r="T1510" s="4" t="str">
        <f aca="false">Base_Bruta!P1510</f>
        <v>vendas_RJ.xlsx</v>
      </c>
    </row>
    <row r="1511" customFormat="false" ht="15" hidden="false" customHeight="false" outlineLevel="0" collapsed="false">
      <c r="A1511" s="4" t="str">
        <f aca="false">IF(Base_Bruta!A1511="","",Base_Bruta!A1511)</f>
        <v>RJ-000606</v>
      </c>
      <c r="B1511" s="5" t="n">
        <f aca="false">IF($A1511="","",IF(ISNUMBER(Base_Bruta!B1511),Base_Bruta!B1511,IF(MID(Base_Bruta!B1511,5,1)="-",DATE(VALUE(LEFT(Base_Bruta!B1511,4)),VALUE(MID(Base_Bruta!B1511,6,2)),VALUE(RIGHT(Base_Bruta!B1511,2))),DATE(VALUE(RIGHT(Base_Bruta!B1511,4)),VALUE(MID(Base_Bruta!B1511,4,2)),VALUE(LEFT(Base_Bruta!B1511,2))))))</f>
        <v>46170</v>
      </c>
      <c r="C1511" s="5" t="n">
        <f aca="false">IF($A1511="","",IF(ISNUMBER(Base_Bruta!C1511),Base_Bruta!C1511,IF(MID(Base_Bruta!C1511,5,1)="-",DATE(VALUE(LEFT(Base_Bruta!C1511,4)),VALUE(MID(Base_Bruta!C1511,6,2)),VALUE(RIGHT(Base_Bruta!C1511,2))),DATE(VALUE(RIGHT(Base_Bruta!C1511,4)),VALUE(MID(Base_Bruta!C1511,4,2)),VALUE(LEFT(Base_Bruta!C1511,2))))))</f>
        <v>46173</v>
      </c>
      <c r="D1511" s="4" t="str">
        <f aca="false">IF($A1511="","",TRIM(Base_Bruta!D1511))</f>
        <v>Cinema Barra - Sessões</v>
      </c>
      <c r="E1511" s="4" t="str">
        <f aca="false">IF($A1511="","",_xlfn.XLOOKUP(LOWER(TRIM(Base_Bruta!E1511)),DePara_Categoria!$A$2:$A$9,DePara_Categoria!$B$2:$B$9,"REVISAR"))</f>
        <v>Cinema</v>
      </c>
      <c r="F1511" s="4" t="str">
        <f aca="false">IF($A1511="","",_xlfn.XLOOKUP(LOWER(TRIM(Base_Bruta!F1511)),DePara_Cidade!$A$2:$A$29,DePara_Cidade!$B$2:$B$29,"REVISAR"))</f>
        <v>Rio de Janeiro</v>
      </c>
      <c r="G1511" s="4" t="str">
        <f aca="false">IF($A1511="","",TRIM(Base_Bruta!G1511))</f>
        <v>Inteira</v>
      </c>
      <c r="H1511" s="4" t="n">
        <f aca="false">IF($A1511="","",IF(ISNUMBER(Base_Bruta!H1511),Base_Bruta!H1511,IFERROR(_xlfn.NUMBERVALUE(TRIM(SUBSTITUTE(Base_Bruta!H1511,"R$","")),",","."),0)))</f>
        <v>2</v>
      </c>
      <c r="I1511" s="6" t="n">
        <f aca="false">IF($A1511="","",IF(ISNUMBER(Base_Bruta!I1511),Base_Bruta!I1511,IFERROR(_xlfn.NUMBERVALUE(TRIM(SUBSTITUTE(Base_Bruta!I1511,"R$","")),",","."),0)))</f>
        <v>35</v>
      </c>
      <c r="J1511" s="6" t="n">
        <f aca="false">IF($A1511="","",H1511*I1511)</f>
        <v>70</v>
      </c>
      <c r="K1511" s="4" t="str">
        <f aca="false">IF($A1511="","",TRIM(Base_Bruta!J1511))</f>
        <v>App</v>
      </c>
      <c r="L1511" s="4" t="str">
        <f aca="false">IF($A1511="","",TRIM(Base_Bruta!K1511))</f>
        <v>C01621</v>
      </c>
      <c r="M1511" s="4" t="str">
        <f aca="false">IF($A1511="","",_xlfn.XLOOKUP(LOWER(TRIM(Base_Bruta!L1511)),DePara_Cidade!$A$2:$A$29,DePara_Cidade!$B$2:$B$29,"REVISAR"))</f>
        <v>Rio de Janeiro</v>
      </c>
      <c r="N1511" s="4" t="str">
        <f aca="false">IF($A1511="","",UPPER(TRIM(Base_Bruta!M1511)))</f>
        <v>RJ</v>
      </c>
      <c r="O1511" s="4" t="str">
        <f aca="false">IF($A1511="","",_xlfn.XLOOKUP(LOWER(TRIM(Base_Bruta!N1511)),DePara_Pais!$A$2:$A$9,DePara_Pais!$B$2:$B$9,"REVISAR"))</f>
        <v>Brasil</v>
      </c>
      <c r="P1511" s="4" t="str">
        <f aca="false">IF($A1511="","",IF(O1511&lt;&gt;"Brasil","Turista Internacional",IF(M1511=F1511,"Local","Turista Nacional")))</f>
        <v>Local</v>
      </c>
      <c r="Q1511" s="7" t="n">
        <f aca="false">IF($A1511="","",DATE(YEAR(B1511),MONTH(B1511),1))</f>
        <v>46143</v>
      </c>
      <c r="R1511" s="4" t="str">
        <f aca="false">IF($A1511="","",IF(COUNTIF($A$2:$A1511,$A1511)&gt;1,"Sim","Não"))</f>
        <v>Não</v>
      </c>
      <c r="S1511" s="4" t="str">
        <f aca="false">IF(A1511="","Descartar - Linha vazia",IF(R1511="Sim","Descartar - Duplicado",IF(OR(H1511&lt;=0,I1511&lt;=0),"Descartar - Qtd/Valor inválido","OK")))</f>
        <v>OK</v>
      </c>
      <c r="T1511" s="4" t="str">
        <f aca="false">Base_Bruta!P1511</f>
        <v>vendas_RJ.xlsx</v>
      </c>
    </row>
    <row r="1512" customFormat="false" ht="15" hidden="false" customHeight="false" outlineLevel="0" collapsed="false">
      <c r="A1512" s="4" t="str">
        <f aca="false">IF(Base_Bruta!A1512="","",Base_Bruta!A1512)</f>
        <v>RJ-000537</v>
      </c>
      <c r="B1512" s="5" t="n">
        <f aca="false">IF($A1512="","",IF(ISNUMBER(Base_Bruta!B1512),Base_Bruta!B1512,IF(MID(Base_Bruta!B1512,5,1)="-",DATE(VALUE(LEFT(Base_Bruta!B1512,4)),VALUE(MID(Base_Bruta!B1512,6,2)),VALUE(RIGHT(Base_Bruta!B1512,2))),DATE(VALUE(RIGHT(Base_Bruta!B1512,4)),VALUE(MID(Base_Bruta!B1512,4,2)),VALUE(LEFT(Base_Bruta!B1512,2))))))</f>
        <v>46173</v>
      </c>
      <c r="C1512" s="5" t="n">
        <f aca="false">IF($A1512="","",IF(ISNUMBER(Base_Bruta!C1512),Base_Bruta!C1512,IF(MID(Base_Bruta!C1512,5,1)="-",DATE(VALUE(LEFT(Base_Bruta!C1512,4)),VALUE(MID(Base_Bruta!C1512,6,2)),VALUE(RIGHT(Base_Bruta!C1512,2))),DATE(VALUE(RIGHT(Base_Bruta!C1512,4)),VALUE(MID(Base_Bruta!C1512,4,2)),VALUE(LEFT(Base_Bruta!C1512,2))))))</f>
        <v>46175</v>
      </c>
      <c r="D1512" s="4" t="str">
        <f aca="false">IF($A1512="","",TRIM(Base_Bruta!D1512))</f>
        <v>Cinema Barra - Sessões</v>
      </c>
      <c r="E1512" s="4" t="str">
        <f aca="false">IF($A1512="","",_xlfn.XLOOKUP(LOWER(TRIM(Base_Bruta!E1512)),DePara_Categoria!$A$2:$A$9,DePara_Categoria!$B$2:$B$9,"REVISAR"))</f>
        <v>Cinema</v>
      </c>
      <c r="F1512" s="4" t="str">
        <f aca="false">IF($A1512="","",_xlfn.XLOOKUP(LOWER(TRIM(Base_Bruta!F1512)),DePara_Cidade!$A$2:$A$29,DePara_Cidade!$B$2:$B$29,"REVISAR"))</f>
        <v>Rio de Janeiro</v>
      </c>
      <c r="G1512" s="4" t="str">
        <f aca="false">IF($A1512="","",TRIM(Base_Bruta!G1512))</f>
        <v>Inteira</v>
      </c>
      <c r="H1512" s="4" t="n">
        <f aca="false">IF($A1512="","",IF(ISNUMBER(Base_Bruta!H1512),Base_Bruta!H1512,IFERROR(_xlfn.NUMBERVALUE(TRIM(SUBSTITUTE(Base_Bruta!H1512,"R$","")),",","."),0)))</f>
        <v>2</v>
      </c>
      <c r="I1512" s="6" t="n">
        <f aca="false">IF($A1512="","",IF(ISNUMBER(Base_Bruta!I1512),Base_Bruta!I1512,IFERROR(_xlfn.NUMBERVALUE(TRIM(SUBSTITUTE(Base_Bruta!I1512,"R$","")),",","."),0)))</f>
        <v>35</v>
      </c>
      <c r="J1512" s="6" t="n">
        <f aca="false">IF($A1512="","",H1512*I1512)</f>
        <v>70</v>
      </c>
      <c r="K1512" s="4" t="str">
        <f aca="false">IF($A1512="","",TRIM(Base_Bruta!J1512))</f>
        <v>Site</v>
      </c>
      <c r="L1512" s="4" t="str">
        <f aca="false">IF($A1512="","",TRIM(Base_Bruta!K1512))</f>
        <v>C00765</v>
      </c>
      <c r="M1512" s="4" t="str">
        <f aca="false">IF($A1512="","",_xlfn.XLOOKUP(LOWER(TRIM(Base_Bruta!L1512)),DePara_Cidade!$A$2:$A$29,DePara_Cidade!$B$2:$B$29,"REVISAR"))</f>
        <v>Rio de Janeiro</v>
      </c>
      <c r="N1512" s="4" t="str">
        <f aca="false">IF($A1512="","",UPPER(TRIM(Base_Bruta!M1512)))</f>
        <v>RJ</v>
      </c>
      <c r="O1512" s="4" t="str">
        <f aca="false">IF($A1512="","",_xlfn.XLOOKUP(LOWER(TRIM(Base_Bruta!N1512)),DePara_Pais!$A$2:$A$9,DePara_Pais!$B$2:$B$9,"REVISAR"))</f>
        <v>Brasil</v>
      </c>
      <c r="P1512" s="4" t="str">
        <f aca="false">IF($A1512="","",IF(O1512&lt;&gt;"Brasil","Turista Internacional",IF(M1512=F1512,"Local","Turista Nacional")))</f>
        <v>Local</v>
      </c>
      <c r="Q1512" s="7" t="n">
        <f aca="false">IF($A1512="","",DATE(YEAR(B1512),MONTH(B1512),1))</f>
        <v>46143</v>
      </c>
      <c r="R1512" s="4" t="str">
        <f aca="false">IF($A1512="","",IF(COUNTIF($A$2:$A1512,$A1512)&gt;1,"Sim","Não"))</f>
        <v>Não</v>
      </c>
      <c r="S1512" s="4" t="str">
        <f aca="false">IF(A1512="","Descartar - Linha vazia",IF(R1512="Sim","Descartar - Duplicado",IF(OR(H1512&lt;=0,I1512&lt;=0),"Descartar - Qtd/Valor inválido","OK")))</f>
        <v>OK</v>
      </c>
      <c r="T1512" s="4" t="str">
        <f aca="false">Base_Bruta!P1512</f>
        <v>vendas_RJ.xlsx</v>
      </c>
    </row>
    <row r="1513" customFormat="false" ht="15" hidden="false" customHeight="false" outlineLevel="0" collapsed="false">
      <c r="A1513" s="4" t="str">
        <f aca="false">IF(Base_Bruta!A1513="","",Base_Bruta!A1513)</f>
        <v>RJ-000662</v>
      </c>
      <c r="B1513" s="5" t="n">
        <f aca="false">IF($A1513="","",IF(ISNUMBER(Base_Bruta!B1513),Base_Bruta!B1513,IF(MID(Base_Bruta!B1513,5,1)="-",DATE(VALUE(LEFT(Base_Bruta!B1513,4)),VALUE(MID(Base_Bruta!B1513,6,2)),VALUE(RIGHT(Base_Bruta!B1513,2))),DATE(VALUE(RIGHT(Base_Bruta!B1513,4)),VALUE(MID(Base_Bruta!B1513,4,2)),VALUE(LEFT(Base_Bruta!B1513,2))))))</f>
        <v>46173</v>
      </c>
      <c r="C1513" s="5" t="n">
        <f aca="false">IF($A1513="","",IF(ISNUMBER(Base_Bruta!C1513),Base_Bruta!C1513,IF(MID(Base_Bruta!C1513,5,1)="-",DATE(VALUE(LEFT(Base_Bruta!C1513,4)),VALUE(MID(Base_Bruta!C1513,6,2)),VALUE(RIGHT(Base_Bruta!C1513,2))),DATE(VALUE(RIGHT(Base_Bruta!C1513,4)),VALUE(MID(Base_Bruta!C1513,4,2)),VALUE(LEFT(Base_Bruta!C1513,2))))))</f>
        <v>46174</v>
      </c>
      <c r="D1513" s="4" t="str">
        <f aca="false">IF($A1513="","",TRIM(Base_Bruta!D1513))</f>
        <v>Cinema Barra - Sessões</v>
      </c>
      <c r="E1513" s="4" t="str">
        <f aca="false">IF($A1513="","",_xlfn.XLOOKUP(LOWER(TRIM(Base_Bruta!E1513)),DePara_Categoria!$A$2:$A$9,DePara_Categoria!$B$2:$B$9,"REVISAR"))</f>
        <v>Cinema</v>
      </c>
      <c r="F1513" s="4" t="str">
        <f aca="false">IF($A1513="","",_xlfn.XLOOKUP(LOWER(TRIM(Base_Bruta!F1513)),DePara_Cidade!$A$2:$A$29,DePara_Cidade!$B$2:$B$29,"REVISAR"))</f>
        <v>Rio de Janeiro</v>
      </c>
      <c r="G1513" s="4" t="str">
        <f aca="false">IF($A1513="","",TRIM(Base_Bruta!G1513))</f>
        <v>Meia</v>
      </c>
      <c r="H1513" s="4" t="n">
        <f aca="false">IF($A1513="","",IF(ISNUMBER(Base_Bruta!H1513),Base_Bruta!H1513,IFERROR(_xlfn.NUMBERVALUE(TRIM(SUBSTITUTE(Base_Bruta!H1513,"R$","")),",","."),0)))</f>
        <v>4</v>
      </c>
      <c r="I1513" s="6" t="n">
        <f aca="false">IF($A1513="","",IF(ISNUMBER(Base_Bruta!I1513),Base_Bruta!I1513,IFERROR(_xlfn.NUMBERVALUE(TRIM(SUBSTITUTE(Base_Bruta!I1513,"R$","")),",","."),0)))</f>
        <v>20</v>
      </c>
      <c r="J1513" s="6" t="n">
        <f aca="false">IF($A1513="","",H1513*I1513)</f>
        <v>80</v>
      </c>
      <c r="K1513" s="4" t="str">
        <f aca="false">IF($A1513="","",TRIM(Base_Bruta!J1513))</f>
        <v>Site</v>
      </c>
      <c r="L1513" s="4" t="str">
        <f aca="false">IF($A1513="","",TRIM(Base_Bruta!K1513))</f>
        <v>C00093</v>
      </c>
      <c r="M1513" s="4" t="str">
        <f aca="false">IF($A1513="","",_xlfn.XLOOKUP(LOWER(TRIM(Base_Bruta!L1513)),DePara_Cidade!$A$2:$A$29,DePara_Cidade!$B$2:$B$29,"REVISAR"))</f>
        <v>Lisboa</v>
      </c>
      <c r="N1513" s="4" t="str">
        <f aca="false">IF($A1513="","",UPPER(TRIM(Base_Bruta!M1513)))</f>
        <v>EX</v>
      </c>
      <c r="O1513" s="4" t="str">
        <f aca="false">IF($A1513="","",_xlfn.XLOOKUP(LOWER(TRIM(Base_Bruta!N1513)),DePara_Pais!$A$2:$A$9,DePara_Pais!$B$2:$B$9,"REVISAR"))</f>
        <v>Portugal</v>
      </c>
      <c r="P1513" s="4" t="str">
        <f aca="false">IF($A1513="","",IF(O1513&lt;&gt;"Brasil","Turista Internacional",IF(M1513=F1513,"Local","Turista Nacional")))</f>
        <v>Turista Internacional</v>
      </c>
      <c r="Q1513" s="7" t="n">
        <f aca="false">IF($A1513="","",DATE(YEAR(B1513),MONTH(B1513),1))</f>
        <v>46143</v>
      </c>
      <c r="R1513" s="4" t="str">
        <f aca="false">IF($A1513="","",IF(COUNTIF($A$2:$A1513,$A1513)&gt;1,"Sim","Não"))</f>
        <v>Não</v>
      </c>
      <c r="S1513" s="4" t="str">
        <f aca="false">IF(A1513="","Descartar - Linha vazia",IF(R1513="Sim","Descartar - Duplicado",IF(OR(H1513&lt;=0,I1513&lt;=0),"Descartar - Qtd/Valor inválido","OK")))</f>
        <v>OK</v>
      </c>
      <c r="T1513" s="4" t="str">
        <f aca="false">Base_Bruta!P1513</f>
        <v>vendas_RJ.xlsx</v>
      </c>
    </row>
    <row r="1514" customFormat="false" ht="15" hidden="false" customHeight="false" outlineLevel="0" collapsed="false">
      <c r="A1514" s="4" t="str">
        <f aca="false">IF(Base_Bruta!A1514="","",Base_Bruta!A1514)</f>
        <v>RJ-000571</v>
      </c>
      <c r="B1514" s="5" t="n">
        <f aca="false">IF($A1514="","",IF(ISNUMBER(Base_Bruta!B1514),Base_Bruta!B1514,IF(MID(Base_Bruta!B1514,5,1)="-",DATE(VALUE(LEFT(Base_Bruta!B1514,4)),VALUE(MID(Base_Bruta!B1514,6,2)),VALUE(RIGHT(Base_Bruta!B1514,2))),DATE(VALUE(RIGHT(Base_Bruta!B1514,4)),VALUE(MID(Base_Bruta!B1514,4,2)),VALUE(LEFT(Base_Bruta!B1514,2))))))</f>
        <v>46175</v>
      </c>
      <c r="C1514" s="5" t="n">
        <f aca="false">IF($A1514="","",IF(ISNUMBER(Base_Bruta!C1514),Base_Bruta!C1514,IF(MID(Base_Bruta!C1514,5,1)="-",DATE(VALUE(LEFT(Base_Bruta!C1514,4)),VALUE(MID(Base_Bruta!C1514,6,2)),VALUE(RIGHT(Base_Bruta!C1514,2))),DATE(VALUE(RIGHT(Base_Bruta!C1514,4)),VALUE(MID(Base_Bruta!C1514,4,2)),VALUE(LEFT(Base_Bruta!C1514,2))))))</f>
        <v>46177</v>
      </c>
      <c r="D1514" s="4" t="str">
        <f aca="false">IF($A1514="","",TRIM(Base_Bruta!D1514))</f>
        <v>Cinema Barra - Sessões</v>
      </c>
      <c r="E1514" s="4" t="str">
        <f aca="false">IF($A1514="","",_xlfn.XLOOKUP(LOWER(TRIM(Base_Bruta!E1514)),DePara_Categoria!$A$2:$A$9,DePara_Categoria!$B$2:$B$9,"REVISAR"))</f>
        <v>Cinema</v>
      </c>
      <c r="F1514" s="4" t="str">
        <f aca="false">IF($A1514="","",_xlfn.XLOOKUP(LOWER(TRIM(Base_Bruta!F1514)),DePara_Cidade!$A$2:$A$29,DePara_Cidade!$B$2:$B$29,"REVISAR"))</f>
        <v>Rio de Janeiro</v>
      </c>
      <c r="G1514" s="4" t="str">
        <f aca="false">IF($A1514="","",TRIM(Base_Bruta!G1514))</f>
        <v>Inteira</v>
      </c>
      <c r="H1514" s="4" t="n">
        <f aca="false">IF($A1514="","",IF(ISNUMBER(Base_Bruta!H1514),Base_Bruta!H1514,IFERROR(_xlfn.NUMBERVALUE(TRIM(SUBSTITUTE(Base_Bruta!H1514,"R$","")),",","."),0)))</f>
        <v>2</v>
      </c>
      <c r="I1514" s="6" t="n">
        <f aca="false">IF($A1514="","",IF(ISNUMBER(Base_Bruta!I1514),Base_Bruta!I1514,IFERROR(_xlfn.NUMBERVALUE(TRIM(SUBSTITUTE(Base_Bruta!I1514,"R$","")),",","."),0)))</f>
        <v>45</v>
      </c>
      <c r="J1514" s="6" t="n">
        <f aca="false">IF($A1514="","",H1514*I1514)</f>
        <v>90</v>
      </c>
      <c r="K1514" s="4" t="str">
        <f aca="false">IF($A1514="","",TRIM(Base_Bruta!J1514))</f>
        <v>Parceiro</v>
      </c>
      <c r="L1514" s="4" t="str">
        <f aca="false">IF($A1514="","",TRIM(Base_Bruta!K1514))</f>
        <v>C02216</v>
      </c>
      <c r="M1514" s="4" t="str">
        <f aca="false">IF($A1514="","",_xlfn.XLOOKUP(LOWER(TRIM(Base_Bruta!L1514)),DePara_Cidade!$A$2:$A$29,DePara_Cidade!$B$2:$B$29,"REVISAR"))</f>
        <v>Rio de Janeiro</v>
      </c>
      <c r="N1514" s="4" t="str">
        <f aca="false">IF($A1514="","",UPPER(TRIM(Base_Bruta!M1514)))</f>
        <v>RJ</v>
      </c>
      <c r="O1514" s="4" t="str">
        <f aca="false">IF($A1514="","",_xlfn.XLOOKUP(LOWER(TRIM(Base_Bruta!N1514)),DePara_Pais!$A$2:$A$9,DePara_Pais!$B$2:$B$9,"REVISAR"))</f>
        <v>Brasil</v>
      </c>
      <c r="P1514" s="4" t="str">
        <f aca="false">IF($A1514="","",IF(O1514&lt;&gt;"Brasil","Turista Internacional",IF(M1514=F1514,"Local","Turista Nacional")))</f>
        <v>Local</v>
      </c>
      <c r="Q1514" s="7" t="n">
        <f aca="false">IF($A1514="","",DATE(YEAR(B1514),MONTH(B1514),1))</f>
        <v>46174</v>
      </c>
      <c r="R1514" s="4" t="str">
        <f aca="false">IF($A1514="","",IF(COUNTIF($A$2:$A1514,$A1514)&gt;1,"Sim","Não"))</f>
        <v>Não</v>
      </c>
      <c r="S1514" s="4" t="str">
        <f aca="false">IF(A1514="","Descartar - Linha vazia",IF(R1514="Sim","Descartar - Duplicado",IF(OR(H1514&lt;=0,I1514&lt;=0),"Descartar - Qtd/Valor inválido","OK")))</f>
        <v>OK</v>
      </c>
      <c r="T1514" s="4" t="str">
        <f aca="false">Base_Bruta!P1514</f>
        <v>vendas_RJ.xlsx</v>
      </c>
    </row>
    <row r="1515" customFormat="false" ht="15" hidden="false" customHeight="false" outlineLevel="0" collapsed="false">
      <c r="A1515" s="4" t="str">
        <f aca="false">IF(Base_Bruta!A1515="","",Base_Bruta!A1515)</f>
        <v>RJ-000554</v>
      </c>
      <c r="B1515" s="5" t="n">
        <f aca="false">IF($A1515="","",IF(ISNUMBER(Base_Bruta!B1515),Base_Bruta!B1515,IF(MID(Base_Bruta!B1515,5,1)="-",DATE(VALUE(LEFT(Base_Bruta!B1515,4)),VALUE(MID(Base_Bruta!B1515,6,2)),VALUE(RIGHT(Base_Bruta!B1515,2))),DATE(VALUE(RIGHT(Base_Bruta!B1515,4)),VALUE(MID(Base_Bruta!B1515,4,2)),VALUE(LEFT(Base_Bruta!B1515,2))))))</f>
        <v>46177</v>
      </c>
      <c r="C1515" s="5" t="n">
        <f aca="false">IF($A1515="","",IF(ISNUMBER(Base_Bruta!C1515),Base_Bruta!C1515,IF(MID(Base_Bruta!C1515,5,1)="-",DATE(VALUE(LEFT(Base_Bruta!C1515,4)),VALUE(MID(Base_Bruta!C1515,6,2)),VALUE(RIGHT(Base_Bruta!C1515,2))),DATE(VALUE(RIGHT(Base_Bruta!C1515,4)),VALUE(MID(Base_Bruta!C1515,4,2)),VALUE(LEFT(Base_Bruta!C1515,2))))))</f>
        <v>46180</v>
      </c>
      <c r="D1515" s="4" t="str">
        <f aca="false">IF($A1515="","",TRIM(Base_Bruta!D1515))</f>
        <v>Cinema Barra - Sessões</v>
      </c>
      <c r="E1515" s="4" t="str">
        <f aca="false">IF($A1515="","",_xlfn.XLOOKUP(LOWER(TRIM(Base_Bruta!E1515)),DePara_Categoria!$A$2:$A$9,DePara_Categoria!$B$2:$B$9,"REVISAR"))</f>
        <v>Cinema</v>
      </c>
      <c r="F1515" s="4" t="str">
        <f aca="false">IF($A1515="","",_xlfn.XLOOKUP(LOWER(TRIM(Base_Bruta!F1515)),DePara_Cidade!$A$2:$A$29,DePara_Cidade!$B$2:$B$29,"REVISAR"))</f>
        <v>Rio de Janeiro</v>
      </c>
      <c r="G1515" s="4" t="str">
        <f aca="false">IF($A1515="","",TRIM(Base_Bruta!G1515))</f>
        <v>Inteira</v>
      </c>
      <c r="H1515" s="4" t="n">
        <f aca="false">IF($A1515="","",IF(ISNUMBER(Base_Bruta!H1515),Base_Bruta!H1515,IFERROR(_xlfn.NUMBERVALUE(TRIM(SUBSTITUTE(Base_Bruta!H1515,"R$","")),",","."),0)))</f>
        <v>1</v>
      </c>
      <c r="I1515" s="6" t="n">
        <f aca="false">IF($A1515="","",IF(ISNUMBER(Base_Bruta!I1515),Base_Bruta!I1515,IFERROR(_xlfn.NUMBERVALUE(TRIM(SUBSTITUTE(Base_Bruta!I1515,"R$","")),",","."),0)))</f>
        <v>40</v>
      </c>
      <c r="J1515" s="6" t="n">
        <f aca="false">IF($A1515="","",H1515*I1515)</f>
        <v>40</v>
      </c>
      <c r="K1515" s="4" t="str">
        <f aca="false">IF($A1515="","",TRIM(Base_Bruta!J1515))</f>
        <v>Site</v>
      </c>
      <c r="L1515" s="4" t="str">
        <f aca="false">IF($A1515="","",TRIM(Base_Bruta!K1515))</f>
        <v>C01689</v>
      </c>
      <c r="M1515" s="4" t="str">
        <f aca="false">IF($A1515="","",_xlfn.XLOOKUP(LOWER(TRIM(Base_Bruta!L1515)),DePara_Cidade!$A$2:$A$29,DePara_Cidade!$B$2:$B$29,"REVISAR"))</f>
        <v>Rio de Janeiro</v>
      </c>
      <c r="N1515" s="4" t="str">
        <f aca="false">IF($A1515="","",UPPER(TRIM(Base_Bruta!M1515)))</f>
        <v>RJ</v>
      </c>
      <c r="O1515" s="4" t="str">
        <f aca="false">IF($A1515="","",_xlfn.XLOOKUP(LOWER(TRIM(Base_Bruta!N1515)),DePara_Pais!$A$2:$A$9,DePara_Pais!$B$2:$B$9,"REVISAR"))</f>
        <v>Brasil</v>
      </c>
      <c r="P1515" s="4" t="str">
        <f aca="false">IF($A1515="","",IF(O1515&lt;&gt;"Brasil","Turista Internacional",IF(M1515=F1515,"Local","Turista Nacional")))</f>
        <v>Local</v>
      </c>
      <c r="Q1515" s="7" t="n">
        <f aca="false">IF($A1515="","",DATE(YEAR(B1515),MONTH(B1515),1))</f>
        <v>46174</v>
      </c>
      <c r="R1515" s="4" t="str">
        <f aca="false">IF($A1515="","",IF(COUNTIF($A$2:$A1515,$A1515)&gt;1,"Sim","Não"))</f>
        <v>Não</v>
      </c>
      <c r="S1515" s="4" t="str">
        <f aca="false">IF(A1515="","Descartar - Linha vazia",IF(R1515="Sim","Descartar - Duplicado",IF(OR(H1515&lt;=0,I1515&lt;=0),"Descartar - Qtd/Valor inválido","OK")))</f>
        <v>OK</v>
      </c>
      <c r="T1515" s="4" t="str">
        <f aca="false">Base_Bruta!P1515</f>
        <v>vendas_RJ.xlsx</v>
      </c>
    </row>
    <row r="1516" customFormat="false" ht="15" hidden="false" customHeight="false" outlineLevel="0" collapsed="false">
      <c r="A1516" s="4" t="str">
        <f aca="false">IF(Base_Bruta!A1516="","",Base_Bruta!A1516)</f>
        <v>RJ-000680</v>
      </c>
      <c r="B1516" s="5" t="n">
        <f aca="false">IF($A1516="","",IF(ISNUMBER(Base_Bruta!B1516),Base_Bruta!B1516,IF(MID(Base_Bruta!B1516,5,1)="-",DATE(VALUE(LEFT(Base_Bruta!B1516,4)),VALUE(MID(Base_Bruta!B1516,6,2)),VALUE(RIGHT(Base_Bruta!B1516,2))),DATE(VALUE(RIGHT(Base_Bruta!B1516,4)),VALUE(MID(Base_Bruta!B1516,4,2)),VALUE(LEFT(Base_Bruta!B1516,2))))))</f>
        <v>46185</v>
      </c>
      <c r="C1516" s="5" t="n">
        <f aca="false">IF($A1516="","",IF(ISNUMBER(Base_Bruta!C1516),Base_Bruta!C1516,IF(MID(Base_Bruta!C1516,5,1)="-",DATE(VALUE(LEFT(Base_Bruta!C1516,4)),VALUE(MID(Base_Bruta!C1516,6,2)),VALUE(RIGHT(Base_Bruta!C1516,2))),DATE(VALUE(RIGHT(Base_Bruta!C1516,4)),VALUE(MID(Base_Bruta!C1516,4,2)),VALUE(LEFT(Base_Bruta!C1516,2))))))</f>
        <v>46188</v>
      </c>
      <c r="D1516" s="4" t="str">
        <f aca="false">IF($A1516="","",TRIM(Base_Bruta!D1516))</f>
        <v>Cinema Barra - Sessões</v>
      </c>
      <c r="E1516" s="4" t="str">
        <f aca="false">IF($A1516="","",_xlfn.XLOOKUP(LOWER(TRIM(Base_Bruta!E1516)),DePara_Categoria!$A$2:$A$9,DePara_Categoria!$B$2:$B$9,"REVISAR"))</f>
        <v>Cinema</v>
      </c>
      <c r="F1516" s="4" t="str">
        <f aca="false">IF($A1516="","",_xlfn.XLOOKUP(LOWER(TRIM(Base_Bruta!F1516)),DePara_Cidade!$A$2:$A$29,DePara_Cidade!$B$2:$B$29,"REVISAR"))</f>
        <v>Rio de Janeiro</v>
      </c>
      <c r="G1516" s="4" t="str">
        <f aca="false">IF($A1516="","",TRIM(Base_Bruta!G1516))</f>
        <v>Inteira</v>
      </c>
      <c r="H1516" s="4" t="n">
        <f aca="false">IF($A1516="","",IF(ISNUMBER(Base_Bruta!H1516),Base_Bruta!H1516,IFERROR(_xlfn.NUMBERVALUE(TRIM(SUBSTITUTE(Base_Bruta!H1516,"R$","")),",","."),0)))</f>
        <v>3</v>
      </c>
      <c r="I1516" s="6" t="n">
        <f aca="false">IF($A1516="","",IF(ISNUMBER(Base_Bruta!I1516),Base_Bruta!I1516,IFERROR(_xlfn.NUMBERVALUE(TRIM(SUBSTITUTE(Base_Bruta!I1516,"R$","")),",","."),0)))</f>
        <v>45</v>
      </c>
      <c r="J1516" s="6" t="n">
        <f aca="false">IF($A1516="","",H1516*I1516)</f>
        <v>135</v>
      </c>
      <c r="K1516" s="4" t="str">
        <f aca="false">IF($A1516="","",TRIM(Base_Bruta!J1516))</f>
        <v>Site</v>
      </c>
      <c r="L1516" s="4" t="str">
        <f aca="false">IF($A1516="","",TRIM(Base_Bruta!K1516))</f>
        <v>C02165</v>
      </c>
      <c r="M1516" s="4" t="str">
        <f aca="false">IF($A1516="","",_xlfn.XLOOKUP(LOWER(TRIM(Base_Bruta!L1516)),DePara_Cidade!$A$2:$A$29,DePara_Cidade!$B$2:$B$29,"REVISAR"))</f>
        <v>Rio de Janeiro</v>
      </c>
      <c r="N1516" s="4" t="str">
        <f aca="false">IF($A1516="","",UPPER(TRIM(Base_Bruta!M1516)))</f>
        <v>RJ</v>
      </c>
      <c r="O1516" s="4" t="str">
        <f aca="false">IF($A1516="","",_xlfn.XLOOKUP(LOWER(TRIM(Base_Bruta!N1516)),DePara_Pais!$A$2:$A$9,DePara_Pais!$B$2:$B$9,"REVISAR"))</f>
        <v>Brasil</v>
      </c>
      <c r="P1516" s="4" t="str">
        <f aca="false">IF($A1516="","",IF(O1516&lt;&gt;"Brasil","Turista Internacional",IF(M1516=F1516,"Local","Turista Nacional")))</f>
        <v>Local</v>
      </c>
      <c r="Q1516" s="7" t="n">
        <f aca="false">IF($A1516="","",DATE(YEAR(B1516),MONTH(B1516),1))</f>
        <v>46174</v>
      </c>
      <c r="R1516" s="4" t="str">
        <f aca="false">IF($A1516="","",IF(COUNTIF($A$2:$A1516,$A1516)&gt;1,"Sim","Não"))</f>
        <v>Não</v>
      </c>
      <c r="S1516" s="4" t="str">
        <f aca="false">IF(A1516="","Descartar - Linha vazia",IF(R1516="Sim","Descartar - Duplicado",IF(OR(H1516&lt;=0,I1516&lt;=0),"Descartar - Qtd/Valor inválido","OK")))</f>
        <v>OK</v>
      </c>
      <c r="T1516" s="4" t="str">
        <f aca="false">Base_Bruta!P1516</f>
        <v>vendas_RJ.xlsx</v>
      </c>
    </row>
    <row r="1517" customFormat="false" ht="15" hidden="false" customHeight="false" outlineLevel="0" collapsed="false">
      <c r="A1517" s="4" t="str">
        <f aca="false">IF(Base_Bruta!A1517="","",Base_Bruta!A1517)</f>
        <v>RJ-000687</v>
      </c>
      <c r="B1517" s="5" t="n">
        <f aca="false">IF($A1517="","",IF(ISNUMBER(Base_Bruta!B1517),Base_Bruta!B1517,IF(MID(Base_Bruta!B1517,5,1)="-",DATE(VALUE(LEFT(Base_Bruta!B1517,4)),VALUE(MID(Base_Bruta!B1517,6,2)),VALUE(RIGHT(Base_Bruta!B1517,2))),DATE(VALUE(RIGHT(Base_Bruta!B1517,4)),VALUE(MID(Base_Bruta!B1517,4,2)),VALUE(LEFT(Base_Bruta!B1517,2))))))</f>
        <v>46188</v>
      </c>
      <c r="C1517" s="5" t="n">
        <f aca="false">IF($A1517="","",IF(ISNUMBER(Base_Bruta!C1517),Base_Bruta!C1517,IF(MID(Base_Bruta!C1517,5,1)="-",DATE(VALUE(LEFT(Base_Bruta!C1517,4)),VALUE(MID(Base_Bruta!C1517,6,2)),VALUE(RIGHT(Base_Bruta!C1517,2))),DATE(VALUE(RIGHT(Base_Bruta!C1517,4)),VALUE(MID(Base_Bruta!C1517,4,2)),VALUE(LEFT(Base_Bruta!C1517,2))))))</f>
        <v>46190</v>
      </c>
      <c r="D1517" s="4" t="str">
        <f aca="false">IF($A1517="","",TRIM(Base_Bruta!D1517))</f>
        <v>Cinema Barra - Sessões</v>
      </c>
      <c r="E1517" s="4" t="str">
        <f aca="false">IF($A1517="","",_xlfn.XLOOKUP(LOWER(TRIM(Base_Bruta!E1517)),DePara_Categoria!$A$2:$A$9,DePara_Categoria!$B$2:$B$9,"REVISAR"))</f>
        <v>Cinema</v>
      </c>
      <c r="F1517" s="4" t="str">
        <f aca="false">IF($A1517="","",_xlfn.XLOOKUP(LOWER(TRIM(Base_Bruta!F1517)),DePara_Cidade!$A$2:$A$29,DePara_Cidade!$B$2:$B$29,"REVISAR"))</f>
        <v>Rio de Janeiro</v>
      </c>
      <c r="G1517" s="4" t="str">
        <f aca="false">IF($A1517="","",TRIM(Base_Bruta!G1517))</f>
        <v>Inteira</v>
      </c>
      <c r="H1517" s="4" t="n">
        <f aca="false">IF($A1517="","",IF(ISNUMBER(Base_Bruta!H1517),Base_Bruta!H1517,IFERROR(_xlfn.NUMBERVALUE(TRIM(SUBSTITUTE(Base_Bruta!H1517,"R$","")),",","."),0)))</f>
        <v>1</v>
      </c>
      <c r="I1517" s="6" t="n">
        <f aca="false">IF($A1517="","",IF(ISNUMBER(Base_Bruta!I1517),Base_Bruta!I1517,IFERROR(_xlfn.NUMBERVALUE(TRIM(SUBSTITUTE(Base_Bruta!I1517,"R$","")),",","."),0)))</f>
        <v>35</v>
      </c>
      <c r="J1517" s="6" t="n">
        <f aca="false">IF($A1517="","",H1517*I1517)</f>
        <v>35</v>
      </c>
      <c r="K1517" s="4" t="str">
        <f aca="false">IF($A1517="","",TRIM(Base_Bruta!J1517))</f>
        <v>App</v>
      </c>
      <c r="L1517" s="4" t="str">
        <f aca="false">IF($A1517="","",TRIM(Base_Bruta!K1517))</f>
        <v>C00541</v>
      </c>
      <c r="M1517" s="4" t="str">
        <f aca="false">IF($A1517="","",_xlfn.XLOOKUP(LOWER(TRIM(Base_Bruta!L1517)),DePara_Cidade!$A$2:$A$29,DePara_Cidade!$B$2:$B$29,"REVISAR"))</f>
        <v>Rio de Janeiro</v>
      </c>
      <c r="N1517" s="4" t="str">
        <f aca="false">IF($A1517="","",UPPER(TRIM(Base_Bruta!M1517)))</f>
        <v>RJ</v>
      </c>
      <c r="O1517" s="4" t="str">
        <f aca="false">IF($A1517="","",_xlfn.XLOOKUP(LOWER(TRIM(Base_Bruta!N1517)),DePara_Pais!$A$2:$A$9,DePara_Pais!$B$2:$B$9,"REVISAR"))</f>
        <v>Brasil</v>
      </c>
      <c r="P1517" s="4" t="str">
        <f aca="false">IF($A1517="","",IF(O1517&lt;&gt;"Brasil","Turista Internacional",IF(M1517=F1517,"Local","Turista Nacional")))</f>
        <v>Local</v>
      </c>
      <c r="Q1517" s="7" t="n">
        <f aca="false">IF($A1517="","",DATE(YEAR(B1517),MONTH(B1517),1))</f>
        <v>46174</v>
      </c>
      <c r="R1517" s="4" t="str">
        <f aca="false">IF($A1517="","",IF(COUNTIF($A$2:$A1517,$A1517)&gt;1,"Sim","Não"))</f>
        <v>Não</v>
      </c>
      <c r="S1517" s="4" t="str">
        <f aca="false">IF(A1517="","Descartar - Linha vazia",IF(R1517="Sim","Descartar - Duplicado",IF(OR(H1517&lt;=0,I1517&lt;=0),"Descartar - Qtd/Valor inválido","OK")))</f>
        <v>OK</v>
      </c>
      <c r="T1517" s="4" t="str">
        <f aca="false">Base_Bruta!P1517</f>
        <v>vendas_RJ.xlsx</v>
      </c>
    </row>
    <row r="1518" customFormat="false" ht="15" hidden="false" customHeight="false" outlineLevel="0" collapsed="false">
      <c r="A1518" s="4" t="str">
        <f aca="false">IF(Base_Bruta!A1518="","",Base_Bruta!A1518)</f>
        <v>RJ-000697</v>
      </c>
      <c r="B1518" s="5" t="n">
        <f aca="false">IF($A1518="","",IF(ISNUMBER(Base_Bruta!B1518),Base_Bruta!B1518,IF(MID(Base_Bruta!B1518,5,1)="-",DATE(VALUE(LEFT(Base_Bruta!B1518,4)),VALUE(MID(Base_Bruta!B1518,6,2)),VALUE(RIGHT(Base_Bruta!B1518,2))),DATE(VALUE(RIGHT(Base_Bruta!B1518,4)),VALUE(MID(Base_Bruta!B1518,4,2)),VALUE(LEFT(Base_Bruta!B1518,2))))))</f>
        <v>46189</v>
      </c>
      <c r="C1518" s="5" t="n">
        <f aca="false">IF($A1518="","",IF(ISNUMBER(Base_Bruta!C1518),Base_Bruta!C1518,IF(MID(Base_Bruta!C1518,5,1)="-",DATE(VALUE(LEFT(Base_Bruta!C1518,4)),VALUE(MID(Base_Bruta!C1518,6,2)),VALUE(RIGHT(Base_Bruta!C1518,2))),DATE(VALUE(RIGHT(Base_Bruta!C1518,4)),VALUE(MID(Base_Bruta!C1518,4,2)),VALUE(LEFT(Base_Bruta!C1518,2))))))</f>
        <v>46192</v>
      </c>
      <c r="D1518" s="4" t="str">
        <f aca="false">IF($A1518="","",TRIM(Base_Bruta!D1518))</f>
        <v>Cinema Barra - Sessões</v>
      </c>
      <c r="E1518" s="4" t="str">
        <f aca="false">IF($A1518="","",_xlfn.XLOOKUP(LOWER(TRIM(Base_Bruta!E1518)),DePara_Categoria!$A$2:$A$9,DePara_Categoria!$B$2:$B$9,"REVISAR"))</f>
        <v>Cinema</v>
      </c>
      <c r="F1518" s="4" t="str">
        <f aca="false">IF($A1518="","",_xlfn.XLOOKUP(LOWER(TRIM(Base_Bruta!F1518)),DePara_Cidade!$A$2:$A$29,DePara_Cidade!$B$2:$B$29,"REVISAR"))</f>
        <v>Rio de Janeiro</v>
      </c>
      <c r="G1518" s="4" t="str">
        <f aca="false">IF($A1518="","",TRIM(Base_Bruta!G1518))</f>
        <v>Inteira</v>
      </c>
      <c r="H1518" s="4" t="n">
        <f aca="false">IF($A1518="","",IF(ISNUMBER(Base_Bruta!H1518),Base_Bruta!H1518,IFERROR(_xlfn.NUMBERVALUE(TRIM(SUBSTITUTE(Base_Bruta!H1518,"R$","")),",","."),0)))</f>
        <v>1</v>
      </c>
      <c r="I1518" s="6" t="n">
        <f aca="false">IF($A1518="","",IF(ISNUMBER(Base_Bruta!I1518),Base_Bruta!I1518,IFERROR(_xlfn.NUMBERVALUE(TRIM(SUBSTITUTE(Base_Bruta!I1518,"R$","")),",","."),0)))</f>
        <v>30</v>
      </c>
      <c r="J1518" s="6" t="n">
        <f aca="false">IF($A1518="","",H1518*I1518)</f>
        <v>30</v>
      </c>
      <c r="K1518" s="4" t="str">
        <f aca="false">IF($A1518="","",TRIM(Base_Bruta!J1518))</f>
        <v>Bilheteria</v>
      </c>
      <c r="L1518" s="4" t="str">
        <f aca="false">IF($A1518="","",TRIM(Base_Bruta!K1518))</f>
        <v>C00467</v>
      </c>
      <c r="M1518" s="4" t="str">
        <f aca="false">IF($A1518="","",_xlfn.XLOOKUP(LOWER(TRIM(Base_Bruta!L1518)),DePara_Cidade!$A$2:$A$29,DePara_Cidade!$B$2:$B$29,"REVISAR"))</f>
        <v>Rio de Janeiro</v>
      </c>
      <c r="N1518" s="4" t="str">
        <f aca="false">IF($A1518="","",UPPER(TRIM(Base_Bruta!M1518)))</f>
        <v>RJ</v>
      </c>
      <c r="O1518" s="4" t="str">
        <f aca="false">IF($A1518="","",_xlfn.XLOOKUP(LOWER(TRIM(Base_Bruta!N1518)),DePara_Pais!$A$2:$A$9,DePara_Pais!$B$2:$B$9,"REVISAR"))</f>
        <v>Brasil</v>
      </c>
      <c r="P1518" s="4" t="str">
        <f aca="false">IF($A1518="","",IF(O1518&lt;&gt;"Brasil","Turista Internacional",IF(M1518=F1518,"Local","Turista Nacional")))</f>
        <v>Local</v>
      </c>
      <c r="Q1518" s="7" t="n">
        <f aca="false">IF($A1518="","",DATE(YEAR(B1518),MONTH(B1518),1))</f>
        <v>46174</v>
      </c>
      <c r="R1518" s="4" t="str">
        <f aca="false">IF($A1518="","",IF(COUNTIF($A$2:$A1518,$A1518)&gt;1,"Sim","Não"))</f>
        <v>Não</v>
      </c>
      <c r="S1518" s="4" t="str">
        <f aca="false">IF(A1518="","Descartar - Linha vazia",IF(R1518="Sim","Descartar - Duplicado",IF(OR(H1518&lt;=0,I1518&lt;=0),"Descartar - Qtd/Valor inválido","OK")))</f>
        <v>OK</v>
      </c>
      <c r="T1518" s="4" t="str">
        <f aca="false">Base_Bruta!P1518</f>
        <v>vendas_RJ.xlsx</v>
      </c>
    </row>
    <row r="1519" customFormat="false" ht="15" hidden="false" customHeight="false" outlineLevel="0" collapsed="false">
      <c r="A1519" s="4" t="str">
        <f aca="false">IF(Base_Bruta!A1519="","",Base_Bruta!A1519)</f>
        <v>RJ-000646</v>
      </c>
      <c r="B1519" s="5" t="n">
        <f aca="false">IF($A1519="","",IF(ISNUMBER(Base_Bruta!B1519),Base_Bruta!B1519,IF(MID(Base_Bruta!B1519,5,1)="-",DATE(VALUE(LEFT(Base_Bruta!B1519,4)),VALUE(MID(Base_Bruta!B1519,6,2)),VALUE(RIGHT(Base_Bruta!B1519,2))),DATE(VALUE(RIGHT(Base_Bruta!B1519,4)),VALUE(MID(Base_Bruta!B1519,4,2)),VALUE(LEFT(Base_Bruta!B1519,2))))))</f>
        <v>46190</v>
      </c>
      <c r="C1519" s="5" t="n">
        <f aca="false">IF($A1519="","",IF(ISNUMBER(Base_Bruta!C1519),Base_Bruta!C1519,IF(MID(Base_Bruta!C1519,5,1)="-",DATE(VALUE(LEFT(Base_Bruta!C1519,4)),VALUE(MID(Base_Bruta!C1519,6,2)),VALUE(RIGHT(Base_Bruta!C1519,2))),DATE(VALUE(RIGHT(Base_Bruta!C1519,4)),VALUE(MID(Base_Bruta!C1519,4,2)),VALUE(LEFT(Base_Bruta!C1519,2))))))</f>
        <v>46191</v>
      </c>
      <c r="D1519" s="4" t="str">
        <f aca="false">IF($A1519="","",TRIM(Base_Bruta!D1519))</f>
        <v>Cinema Barra - Sessões</v>
      </c>
      <c r="E1519" s="4" t="str">
        <f aca="false">IF($A1519="","",_xlfn.XLOOKUP(LOWER(TRIM(Base_Bruta!E1519)),DePara_Categoria!$A$2:$A$9,DePara_Categoria!$B$2:$B$9,"REVISAR"))</f>
        <v>Cinema</v>
      </c>
      <c r="F1519" s="4" t="str">
        <f aca="false">IF($A1519="","",_xlfn.XLOOKUP(LOWER(TRIM(Base_Bruta!F1519)),DePara_Cidade!$A$2:$A$29,DePara_Cidade!$B$2:$B$29,"REVISAR"))</f>
        <v>Rio de Janeiro</v>
      </c>
      <c r="G1519" s="4" t="str">
        <f aca="false">IF($A1519="","",TRIM(Base_Bruta!G1519))</f>
        <v>Inteira</v>
      </c>
      <c r="H1519" s="4" t="n">
        <f aca="false">IF($A1519="","",IF(ISNUMBER(Base_Bruta!H1519),Base_Bruta!H1519,IFERROR(_xlfn.NUMBERVALUE(TRIM(SUBSTITUTE(Base_Bruta!H1519,"R$","")),",","."),0)))</f>
        <v>2</v>
      </c>
      <c r="I1519" s="6" t="n">
        <f aca="false">IF($A1519="","",IF(ISNUMBER(Base_Bruta!I1519),Base_Bruta!I1519,IFERROR(_xlfn.NUMBERVALUE(TRIM(SUBSTITUTE(Base_Bruta!I1519,"R$","")),",","."),0)))</f>
        <v>40</v>
      </c>
      <c r="J1519" s="6" t="n">
        <f aca="false">IF($A1519="","",H1519*I1519)</f>
        <v>80</v>
      </c>
      <c r="K1519" s="4" t="str">
        <f aca="false">IF($A1519="","",TRIM(Base_Bruta!J1519))</f>
        <v>Site</v>
      </c>
      <c r="L1519" s="4" t="str">
        <f aca="false">IF($A1519="","",TRIM(Base_Bruta!K1519))</f>
        <v>C00541</v>
      </c>
      <c r="M1519" s="4" t="str">
        <f aca="false">IF($A1519="","",_xlfn.XLOOKUP(LOWER(TRIM(Base_Bruta!L1519)),DePara_Cidade!$A$2:$A$29,DePara_Cidade!$B$2:$B$29,"REVISAR"))</f>
        <v>Rio de Janeiro</v>
      </c>
      <c r="N1519" s="4" t="str">
        <f aca="false">IF($A1519="","",UPPER(TRIM(Base_Bruta!M1519)))</f>
        <v>RJ</v>
      </c>
      <c r="O1519" s="4" t="str">
        <f aca="false">IF($A1519="","",_xlfn.XLOOKUP(LOWER(TRIM(Base_Bruta!N1519)),DePara_Pais!$A$2:$A$9,DePara_Pais!$B$2:$B$9,"REVISAR"))</f>
        <v>Brasil</v>
      </c>
      <c r="P1519" s="4" t="str">
        <f aca="false">IF($A1519="","",IF(O1519&lt;&gt;"Brasil","Turista Internacional",IF(M1519=F1519,"Local","Turista Nacional")))</f>
        <v>Local</v>
      </c>
      <c r="Q1519" s="7" t="n">
        <f aca="false">IF($A1519="","",DATE(YEAR(B1519),MONTH(B1519),1))</f>
        <v>46174</v>
      </c>
      <c r="R1519" s="4" t="str">
        <f aca="false">IF($A1519="","",IF(COUNTIF($A$2:$A1519,$A1519)&gt;1,"Sim","Não"))</f>
        <v>Não</v>
      </c>
      <c r="S1519" s="4" t="str">
        <f aca="false">IF(A1519="","Descartar - Linha vazia",IF(R1519="Sim","Descartar - Duplicado",IF(OR(H1519&lt;=0,I1519&lt;=0),"Descartar - Qtd/Valor inválido","OK")))</f>
        <v>OK</v>
      </c>
      <c r="T1519" s="4" t="str">
        <f aca="false">Base_Bruta!P1519</f>
        <v>vendas_RJ.xlsx</v>
      </c>
    </row>
    <row r="1520" customFormat="false" ht="15" hidden="false" customHeight="false" outlineLevel="0" collapsed="false">
      <c r="A1520" s="4" t="str">
        <f aca="false">IF(Base_Bruta!A1520="","",Base_Bruta!A1520)</f>
        <v>RJ-000697</v>
      </c>
      <c r="B1520" s="5" t="n">
        <f aca="false">IF($A1520="","",IF(ISNUMBER(Base_Bruta!B1520),Base_Bruta!B1520,IF(MID(Base_Bruta!B1520,5,1)="-",DATE(VALUE(LEFT(Base_Bruta!B1520,4)),VALUE(MID(Base_Bruta!B1520,6,2)),VALUE(RIGHT(Base_Bruta!B1520,2))),DATE(VALUE(RIGHT(Base_Bruta!B1520,4)),VALUE(MID(Base_Bruta!B1520,4,2)),VALUE(LEFT(Base_Bruta!B1520,2))))))</f>
        <v>46189</v>
      </c>
      <c r="C1520" s="5" t="n">
        <f aca="false">IF($A1520="","",IF(ISNUMBER(Base_Bruta!C1520),Base_Bruta!C1520,IF(MID(Base_Bruta!C1520,5,1)="-",DATE(VALUE(LEFT(Base_Bruta!C1520,4)),VALUE(MID(Base_Bruta!C1520,6,2)),VALUE(RIGHT(Base_Bruta!C1520,2))),DATE(VALUE(RIGHT(Base_Bruta!C1520,4)),VALUE(MID(Base_Bruta!C1520,4,2)),VALUE(LEFT(Base_Bruta!C1520,2))))))</f>
        <v>46192</v>
      </c>
      <c r="D1520" s="4" t="str">
        <f aca="false">IF($A1520="","",TRIM(Base_Bruta!D1520))</f>
        <v>Cinema Barra - Sessões</v>
      </c>
      <c r="E1520" s="4" t="str">
        <f aca="false">IF($A1520="","",_xlfn.XLOOKUP(LOWER(TRIM(Base_Bruta!E1520)),DePara_Categoria!$A$2:$A$9,DePara_Categoria!$B$2:$B$9,"REVISAR"))</f>
        <v>Cinema</v>
      </c>
      <c r="F1520" s="4" t="str">
        <f aca="false">IF($A1520="","",_xlfn.XLOOKUP(LOWER(TRIM(Base_Bruta!F1520)),DePara_Cidade!$A$2:$A$29,DePara_Cidade!$B$2:$B$29,"REVISAR"))</f>
        <v>Rio de Janeiro</v>
      </c>
      <c r="G1520" s="4" t="str">
        <f aca="false">IF($A1520="","",TRIM(Base_Bruta!G1520))</f>
        <v>Inteira</v>
      </c>
      <c r="H1520" s="4" t="n">
        <f aca="false">IF($A1520="","",IF(ISNUMBER(Base_Bruta!H1520),Base_Bruta!H1520,IFERROR(_xlfn.NUMBERVALUE(TRIM(SUBSTITUTE(Base_Bruta!H1520,"R$","")),",","."),0)))</f>
        <v>1</v>
      </c>
      <c r="I1520" s="6" t="n">
        <f aca="false">IF($A1520="","",IF(ISNUMBER(Base_Bruta!I1520),Base_Bruta!I1520,IFERROR(_xlfn.NUMBERVALUE(TRIM(SUBSTITUTE(Base_Bruta!I1520,"R$","")),",","."),0)))</f>
        <v>30</v>
      </c>
      <c r="J1520" s="6" t="n">
        <f aca="false">IF($A1520="","",H1520*I1520)</f>
        <v>30</v>
      </c>
      <c r="K1520" s="4" t="str">
        <f aca="false">IF($A1520="","",TRIM(Base_Bruta!J1520))</f>
        <v>Bilheteria</v>
      </c>
      <c r="L1520" s="4" t="str">
        <f aca="false">IF($A1520="","",TRIM(Base_Bruta!K1520))</f>
        <v>C00467</v>
      </c>
      <c r="M1520" s="4" t="str">
        <f aca="false">IF($A1520="","",_xlfn.XLOOKUP(LOWER(TRIM(Base_Bruta!L1520)),DePara_Cidade!$A$2:$A$29,DePara_Cidade!$B$2:$B$29,"REVISAR"))</f>
        <v>Rio de Janeiro</v>
      </c>
      <c r="N1520" s="4" t="str">
        <f aca="false">IF($A1520="","",UPPER(TRIM(Base_Bruta!M1520)))</f>
        <v>RJ</v>
      </c>
      <c r="O1520" s="4" t="str">
        <f aca="false">IF($A1520="","",_xlfn.XLOOKUP(LOWER(TRIM(Base_Bruta!N1520)),DePara_Pais!$A$2:$A$9,DePara_Pais!$B$2:$B$9,"REVISAR"))</f>
        <v>Brasil</v>
      </c>
      <c r="P1520" s="4" t="str">
        <f aca="false">IF($A1520="","",IF(O1520&lt;&gt;"Brasil","Turista Internacional",IF(M1520=F1520,"Local","Turista Nacional")))</f>
        <v>Local</v>
      </c>
      <c r="Q1520" s="7" t="n">
        <f aca="false">IF($A1520="","",DATE(YEAR(B1520),MONTH(B1520),1))</f>
        <v>46174</v>
      </c>
      <c r="R1520" s="4" t="str">
        <f aca="false">IF($A1520="","",IF(COUNTIF($A$2:$A1520,$A1520)&gt;1,"Sim","Não"))</f>
        <v>Sim</v>
      </c>
      <c r="S1520" s="4" t="str">
        <f aca="false">IF(A1520="","Descartar - Linha vazia",IF(R1520="Sim","Descartar - Duplicado",IF(OR(H1520&lt;=0,I1520&lt;=0),"Descartar - Qtd/Valor inválido","OK")))</f>
        <v>Descartar - Duplicado</v>
      </c>
      <c r="T1520" s="4" t="str">
        <f aca="false">Base_Bruta!P1520</f>
        <v>vendas_RJ.xlsx</v>
      </c>
    </row>
    <row r="1521" customFormat="false" ht="15" hidden="false" customHeight="false" outlineLevel="0" collapsed="false">
      <c r="A1521" s="4" t="str">
        <f aca="false">IF(Base_Bruta!A1521="","",Base_Bruta!A1521)</f>
        <v>RJ-000634</v>
      </c>
      <c r="B1521" s="5" t="n">
        <f aca="false">IF($A1521="","",IF(ISNUMBER(Base_Bruta!B1521),Base_Bruta!B1521,IF(MID(Base_Bruta!B1521,5,1)="-",DATE(VALUE(LEFT(Base_Bruta!B1521,4)),VALUE(MID(Base_Bruta!B1521,6,2)),VALUE(RIGHT(Base_Bruta!B1521,2))),DATE(VALUE(RIGHT(Base_Bruta!B1521,4)),VALUE(MID(Base_Bruta!B1521,4,2)),VALUE(LEFT(Base_Bruta!B1521,2))))))</f>
        <v>46192</v>
      </c>
      <c r="C1521" s="5" t="n">
        <f aca="false">IF($A1521="","",IF(ISNUMBER(Base_Bruta!C1521),Base_Bruta!C1521,IF(MID(Base_Bruta!C1521,5,1)="-",DATE(VALUE(LEFT(Base_Bruta!C1521,4)),VALUE(MID(Base_Bruta!C1521,6,2)),VALUE(RIGHT(Base_Bruta!C1521,2))),DATE(VALUE(RIGHT(Base_Bruta!C1521,4)),VALUE(MID(Base_Bruta!C1521,4,2)),VALUE(LEFT(Base_Bruta!C1521,2))))))</f>
        <v>46193</v>
      </c>
      <c r="D1521" s="4" t="str">
        <f aca="false">IF($A1521="","",TRIM(Base_Bruta!D1521))</f>
        <v>Cinema Barra - Sessões</v>
      </c>
      <c r="E1521" s="4" t="str">
        <f aca="false">IF($A1521="","",_xlfn.XLOOKUP(LOWER(TRIM(Base_Bruta!E1521)),DePara_Categoria!$A$2:$A$9,DePara_Categoria!$B$2:$B$9,"REVISAR"))</f>
        <v>Cinema</v>
      </c>
      <c r="F1521" s="4" t="str">
        <f aca="false">IF($A1521="","",_xlfn.XLOOKUP(LOWER(TRIM(Base_Bruta!F1521)),DePara_Cidade!$A$2:$A$29,DePara_Cidade!$B$2:$B$29,"REVISAR"))</f>
        <v>Rio de Janeiro</v>
      </c>
      <c r="G1521" s="4" t="str">
        <f aca="false">IF($A1521="","",TRIM(Base_Bruta!G1521))</f>
        <v>Inteira</v>
      </c>
      <c r="H1521" s="4" t="n">
        <f aca="false">IF($A1521="","",IF(ISNUMBER(Base_Bruta!H1521),Base_Bruta!H1521,IFERROR(_xlfn.NUMBERVALUE(TRIM(SUBSTITUTE(Base_Bruta!H1521,"R$","")),",","."),0)))</f>
        <v>1</v>
      </c>
      <c r="I1521" s="6" t="n">
        <f aca="false">IF($A1521="","",IF(ISNUMBER(Base_Bruta!I1521),Base_Bruta!I1521,IFERROR(_xlfn.NUMBERVALUE(TRIM(SUBSTITUTE(Base_Bruta!I1521,"R$","")),",","."),0)))</f>
        <v>40</v>
      </c>
      <c r="J1521" s="6" t="n">
        <f aca="false">IF($A1521="","",H1521*I1521)</f>
        <v>40</v>
      </c>
      <c r="K1521" s="4" t="str">
        <f aca="false">IF($A1521="","",TRIM(Base_Bruta!J1521))</f>
        <v>App</v>
      </c>
      <c r="L1521" s="4" t="str">
        <f aca="false">IF($A1521="","",TRIM(Base_Bruta!K1521))</f>
        <v>C01477</v>
      </c>
      <c r="M1521" s="4" t="str">
        <f aca="false">IF($A1521="","",_xlfn.XLOOKUP(LOWER(TRIM(Base_Bruta!L1521)),DePara_Cidade!$A$2:$A$29,DePara_Cidade!$B$2:$B$29,"REVISAR"))</f>
        <v>Rio de Janeiro</v>
      </c>
      <c r="N1521" s="4" t="str">
        <f aca="false">IF($A1521="","",UPPER(TRIM(Base_Bruta!M1521)))</f>
        <v>RJ</v>
      </c>
      <c r="O1521" s="4" t="str">
        <f aca="false">IF($A1521="","",_xlfn.XLOOKUP(LOWER(TRIM(Base_Bruta!N1521)),DePara_Pais!$A$2:$A$9,DePara_Pais!$B$2:$B$9,"REVISAR"))</f>
        <v>Brasil</v>
      </c>
      <c r="P1521" s="4" t="str">
        <f aca="false">IF($A1521="","",IF(O1521&lt;&gt;"Brasil","Turista Internacional",IF(M1521=F1521,"Local","Turista Nacional")))</f>
        <v>Local</v>
      </c>
      <c r="Q1521" s="7" t="n">
        <f aca="false">IF($A1521="","",DATE(YEAR(B1521),MONTH(B1521),1))</f>
        <v>46174</v>
      </c>
      <c r="R1521" s="4" t="str">
        <f aca="false">IF($A1521="","",IF(COUNTIF($A$2:$A1521,$A1521)&gt;1,"Sim","Não"))</f>
        <v>Não</v>
      </c>
      <c r="S1521" s="4" t="str">
        <f aca="false">IF(A1521="","Descartar - Linha vazia",IF(R1521="Sim","Descartar - Duplicado",IF(OR(H1521&lt;=0,I1521&lt;=0),"Descartar - Qtd/Valor inválido","OK")))</f>
        <v>OK</v>
      </c>
      <c r="T1521" s="4" t="str">
        <f aca="false">Base_Bruta!P1521</f>
        <v>vendas_RJ.xlsx</v>
      </c>
    </row>
    <row r="1522" customFormat="false" ht="15" hidden="false" customHeight="false" outlineLevel="0" collapsed="false">
      <c r="A1522" s="4" t="str">
        <f aca="false">IF(Base_Bruta!A1522="","",Base_Bruta!A1522)</f>
        <v>RJ-000651</v>
      </c>
      <c r="B1522" s="5" t="n">
        <f aca="false">IF($A1522="","",IF(ISNUMBER(Base_Bruta!B1522),Base_Bruta!B1522,IF(MID(Base_Bruta!B1522,5,1)="-",DATE(VALUE(LEFT(Base_Bruta!B1522,4)),VALUE(MID(Base_Bruta!B1522,6,2)),VALUE(RIGHT(Base_Bruta!B1522,2))),DATE(VALUE(RIGHT(Base_Bruta!B1522,4)),VALUE(MID(Base_Bruta!B1522,4,2)),VALUE(LEFT(Base_Bruta!B1522,2))))))</f>
        <v>46194</v>
      </c>
      <c r="C1522" s="5" t="n">
        <f aca="false">IF($A1522="","",IF(ISNUMBER(Base_Bruta!C1522),Base_Bruta!C1522,IF(MID(Base_Bruta!C1522,5,1)="-",DATE(VALUE(LEFT(Base_Bruta!C1522,4)),VALUE(MID(Base_Bruta!C1522,6,2)),VALUE(RIGHT(Base_Bruta!C1522,2))),DATE(VALUE(RIGHT(Base_Bruta!C1522,4)),VALUE(MID(Base_Bruta!C1522,4,2)),VALUE(LEFT(Base_Bruta!C1522,2))))))</f>
        <v>46195</v>
      </c>
      <c r="D1522" s="4" t="str">
        <f aca="false">IF($A1522="","",TRIM(Base_Bruta!D1522))</f>
        <v>Cinema Barra - Sessões</v>
      </c>
      <c r="E1522" s="4" t="str">
        <f aca="false">IF($A1522="","",_xlfn.XLOOKUP(LOWER(TRIM(Base_Bruta!E1522)),DePara_Categoria!$A$2:$A$9,DePara_Categoria!$B$2:$B$9,"REVISAR"))</f>
        <v>Cinema</v>
      </c>
      <c r="F1522" s="4" t="str">
        <f aca="false">IF($A1522="","",_xlfn.XLOOKUP(LOWER(TRIM(Base_Bruta!F1522)),DePara_Cidade!$A$2:$A$29,DePara_Cidade!$B$2:$B$29,"REVISAR"))</f>
        <v>Rio de Janeiro</v>
      </c>
      <c r="G1522" s="4" t="str">
        <f aca="false">IF($A1522="","",TRIM(Base_Bruta!G1522))</f>
        <v>Meia</v>
      </c>
      <c r="H1522" s="4" t="n">
        <f aca="false">IF($A1522="","",IF(ISNUMBER(Base_Bruta!H1522),Base_Bruta!H1522,IFERROR(_xlfn.NUMBERVALUE(TRIM(SUBSTITUTE(Base_Bruta!H1522,"R$","")),",","."),0)))</f>
        <v>1</v>
      </c>
      <c r="I1522" s="6" t="n">
        <f aca="false">IF($A1522="","",IF(ISNUMBER(Base_Bruta!I1522),Base_Bruta!I1522,IFERROR(_xlfn.NUMBERVALUE(TRIM(SUBSTITUTE(Base_Bruta!I1522,"R$","")),",","."),0)))</f>
        <v>15</v>
      </c>
      <c r="J1522" s="6" t="n">
        <f aca="false">IF($A1522="","",H1522*I1522)</f>
        <v>15</v>
      </c>
      <c r="K1522" s="4" t="str">
        <f aca="false">IF($A1522="","",TRIM(Base_Bruta!J1522))</f>
        <v>Parceiro</v>
      </c>
      <c r="L1522" s="4" t="str">
        <f aca="false">IF($A1522="","",TRIM(Base_Bruta!K1522))</f>
        <v>C00648</v>
      </c>
      <c r="M1522" s="4" t="str">
        <f aca="false">IF($A1522="","",_xlfn.XLOOKUP(LOWER(TRIM(Base_Bruta!L1522)),DePara_Cidade!$A$2:$A$29,DePara_Cidade!$B$2:$B$29,"REVISAR"))</f>
        <v>Rio de Janeiro</v>
      </c>
      <c r="N1522" s="4" t="str">
        <f aca="false">IF($A1522="","",UPPER(TRIM(Base_Bruta!M1522)))</f>
        <v>RJ</v>
      </c>
      <c r="O1522" s="4" t="str">
        <f aca="false">IF($A1522="","",_xlfn.XLOOKUP(LOWER(TRIM(Base_Bruta!N1522)),DePara_Pais!$A$2:$A$9,DePara_Pais!$B$2:$B$9,"REVISAR"))</f>
        <v>Brasil</v>
      </c>
      <c r="P1522" s="4" t="str">
        <f aca="false">IF($A1522="","",IF(O1522&lt;&gt;"Brasil","Turista Internacional",IF(M1522=F1522,"Local","Turista Nacional")))</f>
        <v>Local</v>
      </c>
      <c r="Q1522" s="7" t="n">
        <f aca="false">IF($A1522="","",DATE(YEAR(B1522),MONTH(B1522),1))</f>
        <v>46174</v>
      </c>
      <c r="R1522" s="4" t="str">
        <f aca="false">IF($A1522="","",IF(COUNTIF($A$2:$A1522,$A1522)&gt;1,"Sim","Não"))</f>
        <v>Não</v>
      </c>
      <c r="S1522" s="4" t="str">
        <f aca="false">IF(A1522="","Descartar - Linha vazia",IF(R1522="Sim","Descartar - Duplicado",IF(OR(H1522&lt;=0,I1522&lt;=0),"Descartar - Qtd/Valor inválido","OK")))</f>
        <v>OK</v>
      </c>
      <c r="T1522" s="4" t="str">
        <f aca="false">Base_Bruta!P1522</f>
        <v>vendas_RJ.xlsx</v>
      </c>
    </row>
    <row r="1523" customFormat="false" ht="15" hidden="false" customHeight="false" outlineLevel="0" collapsed="false">
      <c r="A1523" s="4" t="str">
        <f aca="false">IF(Base_Bruta!A1523="","",Base_Bruta!A1523)</f>
        <v>RJ-000599</v>
      </c>
      <c r="B1523" s="5" t="n">
        <f aca="false">IF($A1523="","",IF(ISNUMBER(Base_Bruta!B1523),Base_Bruta!B1523,IF(MID(Base_Bruta!B1523,5,1)="-",DATE(VALUE(LEFT(Base_Bruta!B1523,4)),VALUE(MID(Base_Bruta!B1523,6,2)),VALUE(RIGHT(Base_Bruta!B1523,2))),DATE(VALUE(RIGHT(Base_Bruta!B1523,4)),VALUE(MID(Base_Bruta!B1523,4,2)),VALUE(LEFT(Base_Bruta!B1523,2))))))</f>
        <v>46195</v>
      </c>
      <c r="C1523" s="5" t="n">
        <f aca="false">IF($A1523="","",IF(ISNUMBER(Base_Bruta!C1523),Base_Bruta!C1523,IF(MID(Base_Bruta!C1523,5,1)="-",DATE(VALUE(LEFT(Base_Bruta!C1523,4)),VALUE(MID(Base_Bruta!C1523,6,2)),VALUE(RIGHT(Base_Bruta!C1523,2))),DATE(VALUE(RIGHT(Base_Bruta!C1523,4)),VALUE(MID(Base_Bruta!C1523,4,2)),VALUE(LEFT(Base_Bruta!C1523,2))))))</f>
        <v>46197</v>
      </c>
      <c r="D1523" s="4" t="str">
        <f aca="false">IF($A1523="","",TRIM(Base_Bruta!D1523))</f>
        <v>Cinema Barra - Sessões</v>
      </c>
      <c r="E1523" s="4" t="str">
        <f aca="false">IF($A1523="","",_xlfn.XLOOKUP(LOWER(TRIM(Base_Bruta!E1523)),DePara_Categoria!$A$2:$A$9,DePara_Categoria!$B$2:$B$9,"REVISAR"))</f>
        <v>Cinema</v>
      </c>
      <c r="F1523" s="4" t="str">
        <f aca="false">IF($A1523="","",_xlfn.XLOOKUP(LOWER(TRIM(Base_Bruta!F1523)),DePara_Cidade!$A$2:$A$29,DePara_Cidade!$B$2:$B$29,"REVISAR"))</f>
        <v>Rio de Janeiro</v>
      </c>
      <c r="G1523" s="4" t="str">
        <f aca="false">IF($A1523="","",TRIM(Base_Bruta!G1523))</f>
        <v>Meia</v>
      </c>
      <c r="H1523" s="4" t="n">
        <f aca="false">IF($A1523="","",IF(ISNUMBER(Base_Bruta!H1523),Base_Bruta!H1523,IFERROR(_xlfn.NUMBERVALUE(TRIM(SUBSTITUTE(Base_Bruta!H1523,"R$","")),",","."),0)))</f>
        <v>1</v>
      </c>
      <c r="I1523" s="6" t="n">
        <f aca="false">IF($A1523="","",IF(ISNUMBER(Base_Bruta!I1523),Base_Bruta!I1523,IFERROR(_xlfn.NUMBERVALUE(TRIM(SUBSTITUTE(Base_Bruta!I1523,"R$","")),",","."),0)))</f>
        <v>17.5</v>
      </c>
      <c r="J1523" s="6" t="n">
        <f aca="false">IF($A1523="","",H1523*I1523)</f>
        <v>17.5</v>
      </c>
      <c r="K1523" s="4" t="str">
        <f aca="false">IF($A1523="","",TRIM(Base_Bruta!J1523))</f>
        <v>Site</v>
      </c>
      <c r="L1523" s="4" t="str">
        <f aca="false">IF($A1523="","",TRIM(Base_Bruta!K1523))</f>
        <v>C01284</v>
      </c>
      <c r="M1523" s="4" t="str">
        <f aca="false">IF($A1523="","",_xlfn.XLOOKUP(LOWER(TRIM(Base_Bruta!L1523)),DePara_Cidade!$A$2:$A$29,DePara_Cidade!$B$2:$B$29,"REVISAR"))</f>
        <v>Rio de Janeiro</v>
      </c>
      <c r="N1523" s="4" t="str">
        <f aca="false">IF($A1523="","",UPPER(TRIM(Base_Bruta!M1523)))</f>
        <v>RJ</v>
      </c>
      <c r="O1523" s="4" t="str">
        <f aca="false">IF($A1523="","",_xlfn.XLOOKUP(LOWER(TRIM(Base_Bruta!N1523)),DePara_Pais!$A$2:$A$9,DePara_Pais!$B$2:$B$9,"REVISAR"))</f>
        <v>Brasil</v>
      </c>
      <c r="P1523" s="4" t="str">
        <f aca="false">IF($A1523="","",IF(O1523&lt;&gt;"Brasil","Turista Internacional",IF(M1523=F1523,"Local","Turista Nacional")))</f>
        <v>Local</v>
      </c>
      <c r="Q1523" s="7" t="n">
        <f aca="false">IF($A1523="","",DATE(YEAR(B1523),MONTH(B1523),1))</f>
        <v>46174</v>
      </c>
      <c r="R1523" s="4" t="str">
        <f aca="false">IF($A1523="","",IF(COUNTIF($A$2:$A1523,$A1523)&gt;1,"Sim","Não"))</f>
        <v>Não</v>
      </c>
      <c r="S1523" s="4" t="str">
        <f aca="false">IF(A1523="","Descartar - Linha vazia",IF(R1523="Sim","Descartar - Duplicado",IF(OR(H1523&lt;=0,I1523&lt;=0),"Descartar - Qtd/Valor inválido","OK")))</f>
        <v>OK</v>
      </c>
      <c r="T1523" s="4" t="str">
        <f aca="false">Base_Bruta!P1523</f>
        <v>vendas_RJ.xlsx</v>
      </c>
    </row>
    <row r="1524" customFormat="false" ht="15" hidden="false" customHeight="false" outlineLevel="0" collapsed="false">
      <c r="A1524" s="4" t="str">
        <f aca="false">IF(Base_Bruta!A1524="","",Base_Bruta!A1524)</f>
        <v>RJ-000639</v>
      </c>
      <c r="B1524" s="5" t="n">
        <f aca="false">IF($A1524="","",IF(ISNUMBER(Base_Bruta!B1524),Base_Bruta!B1524,IF(MID(Base_Bruta!B1524,5,1)="-",DATE(VALUE(LEFT(Base_Bruta!B1524,4)),VALUE(MID(Base_Bruta!B1524,6,2)),VALUE(RIGHT(Base_Bruta!B1524,2))),DATE(VALUE(RIGHT(Base_Bruta!B1524,4)),VALUE(MID(Base_Bruta!B1524,4,2)),VALUE(LEFT(Base_Bruta!B1524,2))))))</f>
        <v>46196</v>
      </c>
      <c r="C1524" s="5" t="n">
        <f aca="false">IF($A1524="","",IF(ISNUMBER(Base_Bruta!C1524),Base_Bruta!C1524,IF(MID(Base_Bruta!C1524,5,1)="-",DATE(VALUE(LEFT(Base_Bruta!C1524,4)),VALUE(MID(Base_Bruta!C1524,6,2)),VALUE(RIGHT(Base_Bruta!C1524,2))),DATE(VALUE(RIGHT(Base_Bruta!C1524,4)),VALUE(MID(Base_Bruta!C1524,4,2)),VALUE(LEFT(Base_Bruta!C1524,2))))))</f>
        <v>46198</v>
      </c>
      <c r="D1524" s="4" t="str">
        <f aca="false">IF($A1524="","",TRIM(Base_Bruta!D1524))</f>
        <v>Cinema Barra - Sessões</v>
      </c>
      <c r="E1524" s="4" t="str">
        <f aca="false">IF($A1524="","",_xlfn.XLOOKUP(LOWER(TRIM(Base_Bruta!E1524)),DePara_Categoria!$A$2:$A$9,DePara_Categoria!$B$2:$B$9,"REVISAR"))</f>
        <v>Cinema</v>
      </c>
      <c r="F1524" s="4" t="str">
        <f aca="false">IF($A1524="","",_xlfn.XLOOKUP(LOWER(TRIM(Base_Bruta!F1524)),DePara_Cidade!$A$2:$A$29,DePara_Cidade!$B$2:$B$29,"REVISAR"))</f>
        <v>Rio de Janeiro</v>
      </c>
      <c r="G1524" s="4" t="str">
        <f aca="false">IF($A1524="","",TRIM(Base_Bruta!G1524))</f>
        <v>Inteira</v>
      </c>
      <c r="H1524" s="4" t="n">
        <f aca="false">IF($A1524="","",IF(ISNUMBER(Base_Bruta!H1524),Base_Bruta!H1524,IFERROR(_xlfn.NUMBERVALUE(TRIM(SUBSTITUTE(Base_Bruta!H1524,"R$","")),",","."),0)))</f>
        <v>2</v>
      </c>
      <c r="I1524" s="6" t="n">
        <f aca="false">IF($A1524="","",IF(ISNUMBER(Base_Bruta!I1524),Base_Bruta!I1524,IFERROR(_xlfn.NUMBERVALUE(TRIM(SUBSTITUTE(Base_Bruta!I1524,"R$","")),",","."),0)))</f>
        <v>35</v>
      </c>
      <c r="J1524" s="6" t="n">
        <f aca="false">IF($A1524="","",H1524*I1524)</f>
        <v>70</v>
      </c>
      <c r="K1524" s="4" t="str">
        <f aca="false">IF($A1524="","",TRIM(Base_Bruta!J1524))</f>
        <v>Parceiro</v>
      </c>
      <c r="L1524" s="4" t="str">
        <f aca="false">IF($A1524="","",TRIM(Base_Bruta!K1524))</f>
        <v>C00291</v>
      </c>
      <c r="M1524" s="4" t="str">
        <f aca="false">IF($A1524="","",_xlfn.XLOOKUP(LOWER(TRIM(Base_Bruta!L1524)),DePara_Cidade!$A$2:$A$29,DePara_Cidade!$B$2:$B$29,"REVISAR"))</f>
        <v>Rio de Janeiro</v>
      </c>
      <c r="N1524" s="4" t="str">
        <f aca="false">IF($A1524="","",UPPER(TRIM(Base_Bruta!M1524)))</f>
        <v>RJ</v>
      </c>
      <c r="O1524" s="4" t="str">
        <f aca="false">IF($A1524="","",_xlfn.XLOOKUP(LOWER(TRIM(Base_Bruta!N1524)),DePara_Pais!$A$2:$A$9,DePara_Pais!$B$2:$B$9,"REVISAR"))</f>
        <v>Brasil</v>
      </c>
      <c r="P1524" s="4" t="str">
        <f aca="false">IF($A1524="","",IF(O1524&lt;&gt;"Brasil","Turista Internacional",IF(M1524=F1524,"Local","Turista Nacional")))</f>
        <v>Local</v>
      </c>
      <c r="Q1524" s="7" t="n">
        <f aca="false">IF($A1524="","",DATE(YEAR(B1524),MONTH(B1524),1))</f>
        <v>46174</v>
      </c>
      <c r="R1524" s="4" t="str">
        <f aca="false">IF($A1524="","",IF(COUNTIF($A$2:$A1524,$A1524)&gt;1,"Sim","Não"))</f>
        <v>Não</v>
      </c>
      <c r="S1524" s="4" t="str">
        <f aca="false">IF(A1524="","Descartar - Linha vazia",IF(R1524="Sim","Descartar - Duplicado",IF(OR(H1524&lt;=0,I1524&lt;=0),"Descartar - Qtd/Valor inválido","OK")))</f>
        <v>OK</v>
      </c>
      <c r="T1524" s="4" t="str">
        <f aca="false">Base_Bruta!P1524</f>
        <v>vendas_RJ.xlsx</v>
      </c>
    </row>
    <row r="1525" customFormat="false" ht="15" hidden="false" customHeight="false" outlineLevel="0" collapsed="false">
      <c r="A1525" s="4" t="str">
        <f aca="false">IF(Base_Bruta!A1525="","",Base_Bruta!A1525)</f>
        <v>RJ-000647</v>
      </c>
      <c r="B1525" s="5" t="n">
        <f aca="false">IF($A1525="","",IF(ISNUMBER(Base_Bruta!B1525),Base_Bruta!B1525,IF(MID(Base_Bruta!B1525,5,1)="-",DATE(VALUE(LEFT(Base_Bruta!B1525,4)),VALUE(MID(Base_Bruta!B1525,6,2)),VALUE(RIGHT(Base_Bruta!B1525,2))),DATE(VALUE(RIGHT(Base_Bruta!B1525,4)),VALUE(MID(Base_Bruta!B1525,4,2)),VALUE(LEFT(Base_Bruta!B1525,2))))))</f>
        <v>46196</v>
      </c>
      <c r="C1525" s="5" t="n">
        <f aca="false">IF($A1525="","",IF(ISNUMBER(Base_Bruta!C1525),Base_Bruta!C1525,IF(MID(Base_Bruta!C1525,5,1)="-",DATE(VALUE(LEFT(Base_Bruta!C1525,4)),VALUE(MID(Base_Bruta!C1525,6,2)),VALUE(RIGHT(Base_Bruta!C1525,2))),DATE(VALUE(RIGHT(Base_Bruta!C1525,4)),VALUE(MID(Base_Bruta!C1525,4,2)),VALUE(LEFT(Base_Bruta!C1525,2))))))</f>
        <v>46196</v>
      </c>
      <c r="D1525" s="4" t="str">
        <f aca="false">IF($A1525="","",TRIM(Base_Bruta!D1525))</f>
        <v>Cinema Barra - Sessões</v>
      </c>
      <c r="E1525" s="4" t="str">
        <f aca="false">IF($A1525="","",_xlfn.XLOOKUP(LOWER(TRIM(Base_Bruta!E1525)),DePara_Categoria!$A$2:$A$9,DePara_Categoria!$B$2:$B$9,"REVISAR"))</f>
        <v>Cinema</v>
      </c>
      <c r="F1525" s="4" t="str">
        <f aca="false">IF($A1525="","",_xlfn.XLOOKUP(LOWER(TRIM(Base_Bruta!F1525)),DePara_Cidade!$A$2:$A$29,DePara_Cidade!$B$2:$B$29,"REVISAR"))</f>
        <v>Rio de Janeiro</v>
      </c>
      <c r="G1525" s="4" t="str">
        <f aca="false">IF($A1525="","",TRIM(Base_Bruta!G1525))</f>
        <v>Meia</v>
      </c>
      <c r="H1525" s="4" t="n">
        <f aca="false">IF($A1525="","",IF(ISNUMBER(Base_Bruta!H1525),Base_Bruta!H1525,IFERROR(_xlfn.NUMBERVALUE(TRIM(SUBSTITUTE(Base_Bruta!H1525,"R$","")),",","."),0)))</f>
        <v>2</v>
      </c>
      <c r="I1525" s="6" t="n">
        <f aca="false">IF($A1525="","",IF(ISNUMBER(Base_Bruta!I1525),Base_Bruta!I1525,IFERROR(_xlfn.NUMBERVALUE(TRIM(SUBSTITUTE(Base_Bruta!I1525,"R$","")),",","."),0)))</f>
        <v>17.5</v>
      </c>
      <c r="J1525" s="6" t="n">
        <f aca="false">IF($A1525="","",H1525*I1525)</f>
        <v>35</v>
      </c>
      <c r="K1525" s="4" t="str">
        <f aca="false">IF($A1525="","",TRIM(Base_Bruta!J1525))</f>
        <v>App</v>
      </c>
      <c r="L1525" s="4" t="str">
        <f aca="false">IF($A1525="","",TRIM(Base_Bruta!K1525))</f>
        <v>C02314</v>
      </c>
      <c r="M1525" s="4" t="str">
        <f aca="false">IF($A1525="","",_xlfn.XLOOKUP(LOWER(TRIM(Base_Bruta!L1525)),DePara_Cidade!$A$2:$A$29,DePara_Cidade!$B$2:$B$29,"REVISAR"))</f>
        <v>Rio de Janeiro</v>
      </c>
      <c r="N1525" s="4" t="str">
        <f aca="false">IF($A1525="","",UPPER(TRIM(Base_Bruta!M1525)))</f>
        <v>RJ</v>
      </c>
      <c r="O1525" s="4" t="str">
        <f aca="false">IF($A1525="","",_xlfn.XLOOKUP(LOWER(TRIM(Base_Bruta!N1525)),DePara_Pais!$A$2:$A$9,DePara_Pais!$B$2:$B$9,"REVISAR"))</f>
        <v>Brasil</v>
      </c>
      <c r="P1525" s="4" t="str">
        <f aca="false">IF($A1525="","",IF(O1525&lt;&gt;"Brasil","Turista Internacional",IF(M1525=F1525,"Local","Turista Nacional")))</f>
        <v>Local</v>
      </c>
      <c r="Q1525" s="7" t="n">
        <f aca="false">IF($A1525="","",DATE(YEAR(B1525),MONTH(B1525),1))</f>
        <v>46174</v>
      </c>
      <c r="R1525" s="4" t="str">
        <f aca="false">IF($A1525="","",IF(COUNTIF($A$2:$A1525,$A1525)&gt;1,"Sim","Não"))</f>
        <v>Não</v>
      </c>
      <c r="S1525" s="4" t="str">
        <f aca="false">IF(A1525="","Descartar - Linha vazia",IF(R1525="Sim","Descartar - Duplicado",IF(OR(H1525&lt;=0,I1525&lt;=0),"Descartar - Qtd/Valor inválido","OK")))</f>
        <v>OK</v>
      </c>
      <c r="T1525" s="4" t="str">
        <f aca="false">Base_Bruta!P1525</f>
        <v>vendas_RJ.xlsx</v>
      </c>
    </row>
    <row r="1526" customFormat="false" ht="15" hidden="false" customHeight="false" outlineLevel="0" collapsed="false">
      <c r="A1526" s="4" t="str">
        <f aca="false">IF(Base_Bruta!A1526="","",Base_Bruta!A1526)</f>
        <v>MG-000451</v>
      </c>
      <c r="B1526" s="5" t="n">
        <f aca="false">IF($A1526="","",IF(ISNUMBER(Base_Bruta!B1526),Base_Bruta!B1526,IF(MID(Base_Bruta!B1526,5,1)="-",DATE(VALUE(LEFT(Base_Bruta!B1526,4)),VALUE(MID(Base_Bruta!B1526,6,2)),VALUE(RIGHT(Base_Bruta!B1526,2))),DATE(VALUE(RIGHT(Base_Bruta!B1526,4)),VALUE(MID(Base_Bruta!B1526,4,2)),VALUE(LEFT(Base_Bruta!B1526,2))))))</f>
        <v>45659</v>
      </c>
      <c r="C1526" s="5" t="n">
        <f aca="false">IF($A1526="","",IF(ISNUMBER(Base_Bruta!C1526),Base_Bruta!C1526,IF(MID(Base_Bruta!C1526,5,1)="-",DATE(VALUE(LEFT(Base_Bruta!C1526,4)),VALUE(MID(Base_Bruta!C1526,6,2)),VALUE(RIGHT(Base_Bruta!C1526,2))),DATE(VALUE(RIGHT(Base_Bruta!C1526,4)),VALUE(MID(Base_Bruta!C1526,4,2)),VALUE(LEFT(Base_Bruta!C1526,2))))))</f>
        <v>45661</v>
      </c>
      <c r="D1526" s="4" t="str">
        <f aca="false">IF($A1526="","",TRIM(Base_Bruta!D1526))</f>
        <v>Cinema Savassi - Sessões</v>
      </c>
      <c r="E1526" s="4" t="str">
        <f aca="false">IF($A1526="","",_xlfn.XLOOKUP(LOWER(TRIM(Base_Bruta!E1526)),DePara_Categoria!$A$2:$A$9,DePara_Categoria!$B$2:$B$9,"REVISAR"))</f>
        <v>Cinema</v>
      </c>
      <c r="F1526" s="4" t="str">
        <f aca="false">IF($A1526="","",_xlfn.XLOOKUP(LOWER(TRIM(Base_Bruta!F1526)),DePara_Cidade!$A$2:$A$29,DePara_Cidade!$B$2:$B$29,"REVISAR"))</f>
        <v>Belo Horizonte</v>
      </c>
      <c r="G1526" s="4" t="str">
        <f aca="false">IF($A1526="","",TRIM(Base_Bruta!G1526))</f>
        <v>Meia</v>
      </c>
      <c r="H1526" s="4" t="n">
        <f aca="false">IF($A1526="","",IF(ISNUMBER(Base_Bruta!H1526),Base_Bruta!H1526,IFERROR(_xlfn.NUMBERVALUE(TRIM(SUBSTITUTE(Base_Bruta!H1526,"R$","")),",","."),0)))</f>
        <v>1</v>
      </c>
      <c r="I1526" s="6" t="n">
        <f aca="false">IF($A1526="","",IF(ISNUMBER(Base_Bruta!I1526),Base_Bruta!I1526,IFERROR(_xlfn.NUMBERVALUE(TRIM(SUBSTITUTE(Base_Bruta!I1526,"R$","")),",","."),0)))</f>
        <v>17.5</v>
      </c>
      <c r="J1526" s="6" t="n">
        <f aca="false">IF($A1526="","",H1526*I1526)</f>
        <v>17.5</v>
      </c>
      <c r="K1526" s="4" t="str">
        <f aca="false">IF($A1526="","",TRIM(Base_Bruta!J1526))</f>
        <v>Site</v>
      </c>
      <c r="L1526" s="4" t="str">
        <f aca="false">IF($A1526="","",TRIM(Base_Bruta!K1526))</f>
        <v>C00716</v>
      </c>
      <c r="M1526" s="4" t="str">
        <f aca="false">IF($A1526="","",_xlfn.XLOOKUP(LOWER(TRIM(Base_Bruta!L1526)),DePara_Cidade!$A$2:$A$29,DePara_Cidade!$B$2:$B$29,"REVISAR"))</f>
        <v>Belo Horizonte</v>
      </c>
      <c r="N1526" s="4" t="str">
        <f aca="false">IF($A1526="","",UPPER(TRIM(Base_Bruta!M1526)))</f>
        <v>MG</v>
      </c>
      <c r="O1526" s="4" t="str">
        <f aca="false">IF($A1526="","",_xlfn.XLOOKUP(LOWER(TRIM(Base_Bruta!N1526)),DePara_Pais!$A$2:$A$9,DePara_Pais!$B$2:$B$9,"REVISAR"))</f>
        <v>Brasil</v>
      </c>
      <c r="P1526" s="4" t="str">
        <f aca="false">IF($A1526="","",IF(O1526&lt;&gt;"Brasil","Turista Internacional",IF(M1526=F1526,"Local","Turista Nacional")))</f>
        <v>Local</v>
      </c>
      <c r="Q1526" s="7" t="n">
        <f aca="false">IF($A1526="","",DATE(YEAR(B1526),MONTH(B1526),1))</f>
        <v>45658</v>
      </c>
      <c r="R1526" s="4" t="str">
        <f aca="false">IF($A1526="","",IF(COUNTIF($A$2:$A1526,$A1526)&gt;1,"Sim","Não"))</f>
        <v>Não</v>
      </c>
      <c r="S1526" s="4" t="str">
        <f aca="false">IF(A1526="","Descartar - Linha vazia",IF(R1526="Sim","Descartar - Duplicado",IF(OR(H1526&lt;=0,I1526&lt;=0),"Descartar - Qtd/Valor inválido","OK")))</f>
        <v>OK</v>
      </c>
      <c r="T1526" s="4" t="str">
        <f aca="false">Base_Bruta!P1526</f>
        <v>vendas_MG.csv</v>
      </c>
    </row>
    <row r="1527" customFormat="false" ht="15" hidden="false" customHeight="false" outlineLevel="0" collapsed="false">
      <c r="A1527" s="4" t="str">
        <f aca="false">IF(Base_Bruta!A1527="","",Base_Bruta!A1527)</f>
        <v>MG-000546</v>
      </c>
      <c r="B1527" s="5" t="n">
        <f aca="false">IF($A1527="","",IF(ISNUMBER(Base_Bruta!B1527),Base_Bruta!B1527,IF(MID(Base_Bruta!B1527,5,1)="-",DATE(VALUE(LEFT(Base_Bruta!B1527,4)),VALUE(MID(Base_Bruta!B1527,6,2)),VALUE(RIGHT(Base_Bruta!B1527,2))),DATE(VALUE(RIGHT(Base_Bruta!B1527,4)),VALUE(MID(Base_Bruta!B1527,4,2)),VALUE(LEFT(Base_Bruta!B1527,2))))))</f>
        <v>45665</v>
      </c>
      <c r="C1527" s="5" t="n">
        <f aca="false">IF($A1527="","",IF(ISNUMBER(Base_Bruta!C1527),Base_Bruta!C1527,IF(MID(Base_Bruta!C1527,5,1)="-",DATE(VALUE(LEFT(Base_Bruta!C1527,4)),VALUE(MID(Base_Bruta!C1527,6,2)),VALUE(RIGHT(Base_Bruta!C1527,2))),DATE(VALUE(RIGHT(Base_Bruta!C1527,4)),VALUE(MID(Base_Bruta!C1527,4,2)),VALUE(LEFT(Base_Bruta!C1527,2))))))</f>
        <v>45665</v>
      </c>
      <c r="D1527" s="4" t="str">
        <f aca="false">IF($A1527="","",TRIM(Base_Bruta!D1527))</f>
        <v>Cinema Savassi - Sessões</v>
      </c>
      <c r="E1527" s="4" t="str">
        <f aca="false">IF($A1527="","",_xlfn.XLOOKUP(LOWER(TRIM(Base_Bruta!E1527)),DePara_Categoria!$A$2:$A$9,DePara_Categoria!$B$2:$B$9,"REVISAR"))</f>
        <v>Cinema</v>
      </c>
      <c r="F1527" s="4" t="str">
        <f aca="false">IF($A1527="","",_xlfn.XLOOKUP(LOWER(TRIM(Base_Bruta!F1527)),DePara_Cidade!$A$2:$A$29,DePara_Cidade!$B$2:$B$29,"REVISAR"))</f>
        <v>Belo Horizonte</v>
      </c>
      <c r="G1527" s="4" t="str">
        <f aca="false">IF($A1527="","",TRIM(Base_Bruta!G1527))</f>
        <v>Meia</v>
      </c>
      <c r="H1527" s="4" t="n">
        <f aca="false">IF($A1527="","",IF(ISNUMBER(Base_Bruta!H1527),Base_Bruta!H1527,IFERROR(_xlfn.NUMBERVALUE(TRIM(SUBSTITUTE(Base_Bruta!H1527,"R$","")),",","."),0)))</f>
        <v>3</v>
      </c>
      <c r="I1527" s="6" t="n">
        <f aca="false">IF($A1527="","",IF(ISNUMBER(Base_Bruta!I1527),Base_Bruta!I1527,IFERROR(_xlfn.NUMBERVALUE(TRIM(SUBSTITUTE(Base_Bruta!I1527,"R$","")),",","."),0)))</f>
        <v>20</v>
      </c>
      <c r="J1527" s="6" t="n">
        <f aca="false">IF($A1527="","",H1527*I1527)</f>
        <v>60</v>
      </c>
      <c r="K1527" s="4" t="str">
        <f aca="false">IF($A1527="","",TRIM(Base_Bruta!J1527))</f>
        <v>Parceiro</v>
      </c>
      <c r="L1527" s="4" t="str">
        <f aca="false">IF($A1527="","",TRIM(Base_Bruta!K1527))</f>
        <v>C00479</v>
      </c>
      <c r="M1527" s="4" t="str">
        <f aca="false">IF($A1527="","",_xlfn.XLOOKUP(LOWER(TRIM(Base_Bruta!L1527)),DePara_Cidade!$A$2:$A$29,DePara_Cidade!$B$2:$B$29,"REVISAR"))</f>
        <v>Belo Horizonte</v>
      </c>
      <c r="N1527" s="4" t="str">
        <f aca="false">IF($A1527="","",UPPER(TRIM(Base_Bruta!M1527)))</f>
        <v>MG</v>
      </c>
      <c r="O1527" s="4" t="str">
        <f aca="false">IF($A1527="","",_xlfn.XLOOKUP(LOWER(TRIM(Base_Bruta!N1527)),DePara_Pais!$A$2:$A$9,DePara_Pais!$B$2:$B$9,"REVISAR"))</f>
        <v>Brasil</v>
      </c>
      <c r="P1527" s="4" t="str">
        <f aca="false">IF($A1527="","",IF(O1527&lt;&gt;"Brasil","Turista Internacional",IF(M1527=F1527,"Local","Turista Nacional")))</f>
        <v>Local</v>
      </c>
      <c r="Q1527" s="7" t="n">
        <f aca="false">IF($A1527="","",DATE(YEAR(B1527),MONTH(B1527),1))</f>
        <v>45658</v>
      </c>
      <c r="R1527" s="4" t="str">
        <f aca="false">IF($A1527="","",IF(COUNTIF($A$2:$A1527,$A1527)&gt;1,"Sim","Não"))</f>
        <v>Não</v>
      </c>
      <c r="S1527" s="4" t="str">
        <f aca="false">IF(A1527="","Descartar - Linha vazia",IF(R1527="Sim","Descartar - Duplicado",IF(OR(H1527&lt;=0,I1527&lt;=0),"Descartar - Qtd/Valor inválido","OK")))</f>
        <v>OK</v>
      </c>
      <c r="T1527" s="4" t="str">
        <f aca="false">Base_Bruta!P1527</f>
        <v>vendas_MG.csv</v>
      </c>
    </row>
    <row r="1528" customFormat="false" ht="15" hidden="false" customHeight="false" outlineLevel="0" collapsed="false">
      <c r="A1528" s="4" t="str">
        <f aca="false">IF(Base_Bruta!A1528="","",Base_Bruta!A1528)</f>
        <v>MG-000382</v>
      </c>
      <c r="B1528" s="5" t="n">
        <f aca="false">IF($A1528="","",IF(ISNUMBER(Base_Bruta!B1528),Base_Bruta!B1528,IF(MID(Base_Bruta!B1528,5,1)="-",DATE(VALUE(LEFT(Base_Bruta!B1528,4)),VALUE(MID(Base_Bruta!B1528,6,2)),VALUE(RIGHT(Base_Bruta!B1528,2))),DATE(VALUE(RIGHT(Base_Bruta!B1528,4)),VALUE(MID(Base_Bruta!B1528,4,2)),VALUE(LEFT(Base_Bruta!B1528,2))))))</f>
        <v>45671</v>
      </c>
      <c r="C1528" s="5" t="n">
        <f aca="false">IF($A1528="","",IF(ISNUMBER(Base_Bruta!C1528),Base_Bruta!C1528,IF(MID(Base_Bruta!C1528,5,1)="-",DATE(VALUE(LEFT(Base_Bruta!C1528,4)),VALUE(MID(Base_Bruta!C1528,6,2)),VALUE(RIGHT(Base_Bruta!C1528,2))),DATE(VALUE(RIGHT(Base_Bruta!C1528,4)),VALUE(MID(Base_Bruta!C1528,4,2)),VALUE(LEFT(Base_Bruta!C1528,2))))))</f>
        <v>45674</v>
      </c>
      <c r="D1528" s="4" t="str">
        <f aca="false">IF($A1528="","",TRIM(Base_Bruta!D1528))</f>
        <v>Cinema Savassi - Sessões</v>
      </c>
      <c r="E1528" s="4" t="str">
        <f aca="false">IF($A1528="","",_xlfn.XLOOKUP(LOWER(TRIM(Base_Bruta!E1528)),DePara_Categoria!$A$2:$A$9,DePara_Categoria!$B$2:$B$9,"REVISAR"))</f>
        <v>Cinema</v>
      </c>
      <c r="F1528" s="4" t="str">
        <f aca="false">IF($A1528="","",_xlfn.XLOOKUP(LOWER(TRIM(Base_Bruta!F1528)),DePara_Cidade!$A$2:$A$29,DePara_Cidade!$B$2:$B$29,"REVISAR"))</f>
        <v>Belo Horizonte</v>
      </c>
      <c r="G1528" s="4" t="str">
        <f aca="false">IF($A1528="","",TRIM(Base_Bruta!G1528))</f>
        <v>Meia</v>
      </c>
      <c r="H1528" s="4" t="n">
        <f aca="false">IF($A1528="","",IF(ISNUMBER(Base_Bruta!H1528),Base_Bruta!H1528,IFERROR(_xlfn.NUMBERVALUE(TRIM(SUBSTITUTE(Base_Bruta!H1528,"R$","")),",","."),0)))</f>
        <v>1</v>
      </c>
      <c r="I1528" s="6" t="n">
        <f aca="false">IF($A1528="","",IF(ISNUMBER(Base_Bruta!I1528),Base_Bruta!I1528,IFERROR(_xlfn.NUMBERVALUE(TRIM(SUBSTITUTE(Base_Bruta!I1528,"R$","")),",","."),0)))</f>
        <v>17.5</v>
      </c>
      <c r="J1528" s="6" t="n">
        <f aca="false">IF($A1528="","",H1528*I1528)</f>
        <v>17.5</v>
      </c>
      <c r="K1528" s="4" t="str">
        <f aca="false">IF($A1528="","",TRIM(Base_Bruta!J1528))</f>
        <v>Site</v>
      </c>
      <c r="L1528" s="4" t="str">
        <f aca="false">IF($A1528="","",TRIM(Base_Bruta!K1528))</f>
        <v>C01021</v>
      </c>
      <c r="M1528" s="4" t="str">
        <f aca="false">IF($A1528="","",_xlfn.XLOOKUP(LOWER(TRIM(Base_Bruta!L1528)),DePara_Cidade!$A$2:$A$29,DePara_Cidade!$B$2:$B$29,"REVISAR"))</f>
        <v>Belo Horizonte</v>
      </c>
      <c r="N1528" s="4" t="str">
        <f aca="false">IF($A1528="","",UPPER(TRIM(Base_Bruta!M1528)))</f>
        <v>MG</v>
      </c>
      <c r="O1528" s="4" t="str">
        <f aca="false">IF($A1528="","",_xlfn.XLOOKUP(LOWER(TRIM(Base_Bruta!N1528)),DePara_Pais!$A$2:$A$9,DePara_Pais!$B$2:$B$9,"REVISAR"))</f>
        <v>Brasil</v>
      </c>
      <c r="P1528" s="4" t="str">
        <f aca="false">IF($A1528="","",IF(O1528&lt;&gt;"Brasil","Turista Internacional",IF(M1528=F1528,"Local","Turista Nacional")))</f>
        <v>Local</v>
      </c>
      <c r="Q1528" s="7" t="n">
        <f aca="false">IF($A1528="","",DATE(YEAR(B1528),MONTH(B1528),1))</f>
        <v>45658</v>
      </c>
      <c r="R1528" s="4" t="str">
        <f aca="false">IF($A1528="","",IF(COUNTIF($A$2:$A1528,$A1528)&gt;1,"Sim","Não"))</f>
        <v>Não</v>
      </c>
      <c r="S1528" s="4" t="str">
        <f aca="false">IF(A1528="","Descartar - Linha vazia",IF(R1528="Sim","Descartar - Duplicado",IF(OR(H1528&lt;=0,I1528&lt;=0),"Descartar - Qtd/Valor inválido","OK")))</f>
        <v>OK</v>
      </c>
      <c r="T1528" s="4" t="str">
        <f aca="false">Base_Bruta!P1528</f>
        <v>vendas_MG.csv</v>
      </c>
    </row>
    <row r="1529" customFormat="false" ht="15" hidden="false" customHeight="false" outlineLevel="0" collapsed="false">
      <c r="A1529" s="4" t="str">
        <f aca="false">IF(Base_Bruta!A1529="","",Base_Bruta!A1529)</f>
        <v>MG-000422</v>
      </c>
      <c r="B1529" s="5" t="n">
        <f aca="false">IF($A1529="","",IF(ISNUMBER(Base_Bruta!B1529),Base_Bruta!B1529,IF(MID(Base_Bruta!B1529,5,1)="-",DATE(VALUE(LEFT(Base_Bruta!B1529,4)),VALUE(MID(Base_Bruta!B1529,6,2)),VALUE(RIGHT(Base_Bruta!B1529,2))),DATE(VALUE(RIGHT(Base_Bruta!B1529,4)),VALUE(MID(Base_Bruta!B1529,4,2)),VALUE(LEFT(Base_Bruta!B1529,2))))))</f>
        <v>45673</v>
      </c>
      <c r="C1529" s="5" t="n">
        <f aca="false">IF($A1529="","",IF(ISNUMBER(Base_Bruta!C1529),Base_Bruta!C1529,IF(MID(Base_Bruta!C1529,5,1)="-",DATE(VALUE(LEFT(Base_Bruta!C1529,4)),VALUE(MID(Base_Bruta!C1529,6,2)),VALUE(RIGHT(Base_Bruta!C1529,2))),DATE(VALUE(RIGHT(Base_Bruta!C1529,4)),VALUE(MID(Base_Bruta!C1529,4,2)),VALUE(LEFT(Base_Bruta!C1529,2))))))</f>
        <v>45676</v>
      </c>
      <c r="D1529" s="4" t="str">
        <f aca="false">IF($A1529="","",TRIM(Base_Bruta!D1529))</f>
        <v>Cinema Savassi - Sessões</v>
      </c>
      <c r="E1529" s="4" t="str">
        <f aca="false">IF($A1529="","",_xlfn.XLOOKUP(LOWER(TRIM(Base_Bruta!E1529)),DePara_Categoria!$A$2:$A$9,DePara_Categoria!$B$2:$B$9,"REVISAR"))</f>
        <v>Cinema</v>
      </c>
      <c r="F1529" s="4" t="str">
        <f aca="false">IF($A1529="","",_xlfn.XLOOKUP(LOWER(TRIM(Base_Bruta!F1529)),DePara_Cidade!$A$2:$A$29,DePara_Cidade!$B$2:$B$29,"REVISAR"))</f>
        <v>Belo Horizonte</v>
      </c>
      <c r="G1529" s="4" t="str">
        <f aca="false">IF($A1529="","",TRIM(Base_Bruta!G1529))</f>
        <v>Inteira</v>
      </c>
      <c r="H1529" s="4" t="n">
        <f aca="false">IF($A1529="","",IF(ISNUMBER(Base_Bruta!H1529),Base_Bruta!H1529,IFERROR(_xlfn.NUMBERVALUE(TRIM(SUBSTITUTE(Base_Bruta!H1529,"R$","")),",","."),0)))</f>
        <v>1</v>
      </c>
      <c r="I1529" s="6" t="n">
        <f aca="false">IF($A1529="","",IF(ISNUMBER(Base_Bruta!I1529),Base_Bruta!I1529,IFERROR(_xlfn.NUMBERVALUE(TRIM(SUBSTITUTE(Base_Bruta!I1529,"R$","")),",","."),0)))</f>
        <v>30</v>
      </c>
      <c r="J1529" s="6" t="n">
        <f aca="false">IF($A1529="","",H1529*I1529)</f>
        <v>30</v>
      </c>
      <c r="K1529" s="4" t="str">
        <f aca="false">IF($A1529="","",TRIM(Base_Bruta!J1529))</f>
        <v>Site</v>
      </c>
      <c r="L1529" s="4" t="str">
        <f aca="false">IF($A1529="","",TRIM(Base_Bruta!K1529))</f>
        <v>C01368</v>
      </c>
      <c r="M1529" s="4" t="str">
        <f aca="false">IF($A1529="","",_xlfn.XLOOKUP(LOWER(TRIM(Base_Bruta!L1529)),DePara_Cidade!$A$2:$A$29,DePara_Cidade!$B$2:$B$29,"REVISAR"))</f>
        <v>Belo Horizonte</v>
      </c>
      <c r="N1529" s="4" t="str">
        <f aca="false">IF($A1529="","",UPPER(TRIM(Base_Bruta!M1529)))</f>
        <v>MG</v>
      </c>
      <c r="O1529" s="4" t="str">
        <f aca="false">IF($A1529="","",_xlfn.XLOOKUP(LOWER(TRIM(Base_Bruta!N1529)),DePara_Pais!$A$2:$A$9,DePara_Pais!$B$2:$B$9,"REVISAR"))</f>
        <v>Brasil</v>
      </c>
      <c r="P1529" s="4" t="str">
        <f aca="false">IF($A1529="","",IF(O1529&lt;&gt;"Brasil","Turista Internacional",IF(M1529=F1529,"Local","Turista Nacional")))</f>
        <v>Local</v>
      </c>
      <c r="Q1529" s="7" t="n">
        <f aca="false">IF($A1529="","",DATE(YEAR(B1529),MONTH(B1529),1))</f>
        <v>45658</v>
      </c>
      <c r="R1529" s="4" t="str">
        <f aca="false">IF($A1529="","",IF(COUNTIF($A$2:$A1529,$A1529)&gt;1,"Sim","Não"))</f>
        <v>Não</v>
      </c>
      <c r="S1529" s="4" t="str">
        <f aca="false">IF(A1529="","Descartar - Linha vazia",IF(R1529="Sim","Descartar - Duplicado",IF(OR(H1529&lt;=0,I1529&lt;=0),"Descartar - Qtd/Valor inválido","OK")))</f>
        <v>OK</v>
      </c>
      <c r="T1529" s="4" t="str">
        <f aca="false">Base_Bruta!P1529</f>
        <v>vendas_MG.csv</v>
      </c>
    </row>
    <row r="1530" customFormat="false" ht="15" hidden="false" customHeight="false" outlineLevel="0" collapsed="false">
      <c r="A1530" s="4" t="str">
        <f aca="false">IF(Base_Bruta!A1530="","",Base_Bruta!A1530)</f>
        <v>MG-000479</v>
      </c>
      <c r="B1530" s="5" t="n">
        <f aca="false">IF($A1530="","",IF(ISNUMBER(Base_Bruta!B1530),Base_Bruta!B1530,IF(MID(Base_Bruta!B1530,5,1)="-",DATE(VALUE(LEFT(Base_Bruta!B1530,4)),VALUE(MID(Base_Bruta!B1530,6,2)),VALUE(RIGHT(Base_Bruta!B1530,2))),DATE(VALUE(RIGHT(Base_Bruta!B1530,4)),VALUE(MID(Base_Bruta!B1530,4,2)),VALUE(LEFT(Base_Bruta!B1530,2))))))</f>
        <v>45679</v>
      </c>
      <c r="C1530" s="5" t="n">
        <f aca="false">IF($A1530="","",IF(ISNUMBER(Base_Bruta!C1530),Base_Bruta!C1530,IF(MID(Base_Bruta!C1530,5,1)="-",DATE(VALUE(LEFT(Base_Bruta!C1530,4)),VALUE(MID(Base_Bruta!C1530,6,2)),VALUE(RIGHT(Base_Bruta!C1530,2))),DATE(VALUE(RIGHT(Base_Bruta!C1530,4)),VALUE(MID(Base_Bruta!C1530,4,2)),VALUE(LEFT(Base_Bruta!C1530,2))))))</f>
        <v>45681</v>
      </c>
      <c r="D1530" s="4" t="str">
        <f aca="false">IF($A1530="","",TRIM(Base_Bruta!D1530))</f>
        <v>Cinema Savassi - Sessões</v>
      </c>
      <c r="E1530" s="4" t="str">
        <f aca="false">IF($A1530="","",_xlfn.XLOOKUP(LOWER(TRIM(Base_Bruta!E1530)),DePara_Categoria!$A$2:$A$9,DePara_Categoria!$B$2:$B$9,"REVISAR"))</f>
        <v>Cinema</v>
      </c>
      <c r="F1530" s="4" t="str">
        <f aca="false">IF($A1530="","",_xlfn.XLOOKUP(LOWER(TRIM(Base_Bruta!F1530)),DePara_Cidade!$A$2:$A$29,DePara_Cidade!$B$2:$B$29,"REVISAR"))</f>
        <v>Belo Horizonte</v>
      </c>
      <c r="G1530" s="4" t="str">
        <f aca="false">IF($A1530="","",TRIM(Base_Bruta!G1530))</f>
        <v>Inteira</v>
      </c>
      <c r="H1530" s="4" t="n">
        <f aca="false">IF($A1530="","",IF(ISNUMBER(Base_Bruta!H1530),Base_Bruta!H1530,IFERROR(_xlfn.NUMBERVALUE(TRIM(SUBSTITUTE(Base_Bruta!H1530,"R$","")),",","."),0)))</f>
        <v>1</v>
      </c>
      <c r="I1530" s="6" t="n">
        <f aca="false">IF($A1530="","",IF(ISNUMBER(Base_Bruta!I1530),Base_Bruta!I1530,IFERROR(_xlfn.NUMBERVALUE(TRIM(SUBSTITUTE(Base_Bruta!I1530,"R$","")),",","."),0)))</f>
        <v>35</v>
      </c>
      <c r="J1530" s="6" t="n">
        <f aca="false">IF($A1530="","",H1530*I1530)</f>
        <v>35</v>
      </c>
      <c r="K1530" s="4" t="str">
        <f aca="false">IF($A1530="","",TRIM(Base_Bruta!J1530))</f>
        <v>App</v>
      </c>
      <c r="L1530" s="4" t="str">
        <f aca="false">IF($A1530="","",TRIM(Base_Bruta!K1530))</f>
        <v>C00716</v>
      </c>
      <c r="M1530" s="4" t="str">
        <f aca="false">IF($A1530="","",_xlfn.XLOOKUP(LOWER(TRIM(Base_Bruta!L1530)),DePara_Cidade!$A$2:$A$29,DePara_Cidade!$B$2:$B$29,"REVISAR"))</f>
        <v>Belo Horizonte</v>
      </c>
      <c r="N1530" s="4" t="str">
        <f aca="false">IF($A1530="","",UPPER(TRIM(Base_Bruta!M1530)))</f>
        <v>MG</v>
      </c>
      <c r="O1530" s="4" t="str">
        <f aca="false">IF($A1530="","",_xlfn.XLOOKUP(LOWER(TRIM(Base_Bruta!N1530)),DePara_Pais!$A$2:$A$9,DePara_Pais!$B$2:$B$9,"REVISAR"))</f>
        <v>Brasil</v>
      </c>
      <c r="P1530" s="4" t="str">
        <f aca="false">IF($A1530="","",IF(O1530&lt;&gt;"Brasil","Turista Internacional",IF(M1530=F1530,"Local","Turista Nacional")))</f>
        <v>Local</v>
      </c>
      <c r="Q1530" s="7" t="n">
        <f aca="false">IF($A1530="","",DATE(YEAR(B1530),MONTH(B1530),1))</f>
        <v>45658</v>
      </c>
      <c r="R1530" s="4" t="str">
        <f aca="false">IF($A1530="","",IF(COUNTIF($A$2:$A1530,$A1530)&gt;1,"Sim","Não"))</f>
        <v>Não</v>
      </c>
      <c r="S1530" s="4" t="str">
        <f aca="false">IF(A1530="","Descartar - Linha vazia",IF(R1530="Sim","Descartar - Duplicado",IF(OR(H1530&lt;=0,I1530&lt;=0),"Descartar - Qtd/Valor inválido","OK")))</f>
        <v>OK</v>
      </c>
      <c r="T1530" s="4" t="str">
        <f aca="false">Base_Bruta!P1530</f>
        <v>vendas_MG.csv</v>
      </c>
    </row>
    <row r="1531" customFormat="false" ht="15" hidden="false" customHeight="false" outlineLevel="0" collapsed="false">
      <c r="A1531" s="4" t="str">
        <f aca="false">IF(Base_Bruta!A1531="","",Base_Bruta!A1531)</f>
        <v>MG-000476</v>
      </c>
      <c r="B1531" s="5" t="n">
        <f aca="false">IF($A1531="","",IF(ISNUMBER(Base_Bruta!B1531),Base_Bruta!B1531,IF(MID(Base_Bruta!B1531,5,1)="-",DATE(VALUE(LEFT(Base_Bruta!B1531,4)),VALUE(MID(Base_Bruta!B1531,6,2)),VALUE(RIGHT(Base_Bruta!B1531,2))),DATE(VALUE(RIGHT(Base_Bruta!B1531,4)),VALUE(MID(Base_Bruta!B1531,4,2)),VALUE(LEFT(Base_Bruta!B1531,2))))))</f>
        <v>45681</v>
      </c>
      <c r="C1531" s="5" t="n">
        <f aca="false">IF($A1531="","",IF(ISNUMBER(Base_Bruta!C1531),Base_Bruta!C1531,IF(MID(Base_Bruta!C1531,5,1)="-",DATE(VALUE(LEFT(Base_Bruta!C1531,4)),VALUE(MID(Base_Bruta!C1531,6,2)),VALUE(RIGHT(Base_Bruta!C1531,2))),DATE(VALUE(RIGHT(Base_Bruta!C1531,4)),VALUE(MID(Base_Bruta!C1531,4,2)),VALUE(LEFT(Base_Bruta!C1531,2))))))</f>
        <v>45682</v>
      </c>
      <c r="D1531" s="4" t="str">
        <f aca="false">IF($A1531="","",TRIM(Base_Bruta!D1531))</f>
        <v>Cinema Savassi - Sessões</v>
      </c>
      <c r="E1531" s="4" t="str">
        <f aca="false">IF($A1531="","",_xlfn.XLOOKUP(LOWER(TRIM(Base_Bruta!E1531)),DePara_Categoria!$A$2:$A$9,DePara_Categoria!$B$2:$B$9,"REVISAR"))</f>
        <v>Cinema</v>
      </c>
      <c r="F1531" s="4" t="str">
        <f aca="false">IF($A1531="","",_xlfn.XLOOKUP(LOWER(TRIM(Base_Bruta!F1531)),DePara_Cidade!$A$2:$A$29,DePara_Cidade!$B$2:$B$29,"REVISAR"))</f>
        <v>Belo Horizonte</v>
      </c>
      <c r="G1531" s="4" t="str">
        <f aca="false">IF($A1531="","",TRIM(Base_Bruta!G1531))</f>
        <v>Inteira</v>
      </c>
      <c r="H1531" s="4" t="n">
        <f aca="false">IF($A1531="","",IF(ISNUMBER(Base_Bruta!H1531),Base_Bruta!H1531,IFERROR(_xlfn.NUMBERVALUE(TRIM(SUBSTITUTE(Base_Bruta!H1531,"R$","")),",","."),0)))</f>
        <v>3</v>
      </c>
      <c r="I1531" s="6" t="n">
        <f aca="false">IF($A1531="","",IF(ISNUMBER(Base_Bruta!I1531),Base_Bruta!I1531,IFERROR(_xlfn.NUMBERVALUE(TRIM(SUBSTITUTE(Base_Bruta!I1531,"R$","")),",","."),0)))</f>
        <v>35</v>
      </c>
      <c r="J1531" s="6" t="n">
        <f aca="false">IF($A1531="","",H1531*I1531)</f>
        <v>105</v>
      </c>
      <c r="K1531" s="4" t="str">
        <f aca="false">IF($A1531="","",TRIM(Base_Bruta!J1531))</f>
        <v>Parceiro</v>
      </c>
      <c r="L1531" s="4" t="str">
        <f aca="false">IF($A1531="","",TRIM(Base_Bruta!K1531))</f>
        <v>C00419</v>
      </c>
      <c r="M1531" s="4" t="str">
        <f aca="false">IF($A1531="","",_xlfn.XLOOKUP(LOWER(TRIM(Base_Bruta!L1531)),DePara_Cidade!$A$2:$A$29,DePara_Cidade!$B$2:$B$29,"REVISAR"))</f>
        <v>Belo Horizonte</v>
      </c>
      <c r="N1531" s="4" t="str">
        <f aca="false">IF($A1531="","",UPPER(TRIM(Base_Bruta!M1531)))</f>
        <v>MG</v>
      </c>
      <c r="O1531" s="4" t="str">
        <f aca="false">IF($A1531="","",_xlfn.XLOOKUP(LOWER(TRIM(Base_Bruta!N1531)),DePara_Pais!$A$2:$A$9,DePara_Pais!$B$2:$B$9,"REVISAR"))</f>
        <v>Brasil</v>
      </c>
      <c r="P1531" s="4" t="str">
        <f aca="false">IF($A1531="","",IF(O1531&lt;&gt;"Brasil","Turista Internacional",IF(M1531=F1531,"Local","Turista Nacional")))</f>
        <v>Local</v>
      </c>
      <c r="Q1531" s="7" t="n">
        <f aca="false">IF($A1531="","",DATE(YEAR(B1531),MONTH(B1531),1))</f>
        <v>45658</v>
      </c>
      <c r="R1531" s="4" t="str">
        <f aca="false">IF($A1531="","",IF(COUNTIF($A$2:$A1531,$A1531)&gt;1,"Sim","Não"))</f>
        <v>Não</v>
      </c>
      <c r="S1531" s="4" t="str">
        <f aca="false">IF(A1531="","Descartar - Linha vazia",IF(R1531="Sim","Descartar - Duplicado",IF(OR(H1531&lt;=0,I1531&lt;=0),"Descartar - Qtd/Valor inválido","OK")))</f>
        <v>OK</v>
      </c>
      <c r="T1531" s="4" t="str">
        <f aca="false">Base_Bruta!P1531</f>
        <v>vendas_MG.csv</v>
      </c>
    </row>
    <row r="1532" customFormat="false" ht="15" hidden="false" customHeight="false" outlineLevel="0" collapsed="false">
      <c r="A1532" s="4" t="str">
        <f aca="false">IF(Base_Bruta!A1532="","",Base_Bruta!A1532)</f>
        <v>MG-000391</v>
      </c>
      <c r="B1532" s="5" t="n">
        <f aca="false">IF($A1532="","",IF(ISNUMBER(Base_Bruta!B1532),Base_Bruta!B1532,IF(MID(Base_Bruta!B1532,5,1)="-",DATE(VALUE(LEFT(Base_Bruta!B1532,4)),VALUE(MID(Base_Bruta!B1532,6,2)),VALUE(RIGHT(Base_Bruta!B1532,2))),DATE(VALUE(RIGHT(Base_Bruta!B1532,4)),VALUE(MID(Base_Bruta!B1532,4,2)),VALUE(LEFT(Base_Bruta!B1532,2))))))</f>
        <v>45683</v>
      </c>
      <c r="C1532" s="5" t="n">
        <f aca="false">IF($A1532="","",IF(ISNUMBER(Base_Bruta!C1532),Base_Bruta!C1532,IF(MID(Base_Bruta!C1532,5,1)="-",DATE(VALUE(LEFT(Base_Bruta!C1532,4)),VALUE(MID(Base_Bruta!C1532,6,2)),VALUE(RIGHT(Base_Bruta!C1532,2))),DATE(VALUE(RIGHT(Base_Bruta!C1532,4)),VALUE(MID(Base_Bruta!C1532,4,2)),VALUE(LEFT(Base_Bruta!C1532,2))))))</f>
        <v>45686</v>
      </c>
      <c r="D1532" s="4" t="str">
        <f aca="false">IF($A1532="","",TRIM(Base_Bruta!D1532))</f>
        <v>Cinema Savassi - Sessões</v>
      </c>
      <c r="E1532" s="4" t="str">
        <f aca="false">IF($A1532="","",_xlfn.XLOOKUP(LOWER(TRIM(Base_Bruta!E1532)),DePara_Categoria!$A$2:$A$9,DePara_Categoria!$B$2:$B$9,"REVISAR"))</f>
        <v>Cinema</v>
      </c>
      <c r="F1532" s="4" t="str">
        <f aca="false">IF($A1532="","",_xlfn.XLOOKUP(LOWER(TRIM(Base_Bruta!F1532)),DePara_Cidade!$A$2:$A$29,DePara_Cidade!$B$2:$B$29,"REVISAR"))</f>
        <v>Belo Horizonte</v>
      </c>
      <c r="G1532" s="4" t="str">
        <f aca="false">IF($A1532="","",TRIM(Base_Bruta!G1532))</f>
        <v>Meia</v>
      </c>
      <c r="H1532" s="4" t="n">
        <f aca="false">IF($A1532="","",IF(ISNUMBER(Base_Bruta!H1532),Base_Bruta!H1532,IFERROR(_xlfn.NUMBERVALUE(TRIM(SUBSTITUTE(Base_Bruta!H1532,"R$","")),",","."),0)))</f>
        <v>3</v>
      </c>
      <c r="I1532" s="6" t="n">
        <f aca="false">IF($A1532="","",IF(ISNUMBER(Base_Bruta!I1532),Base_Bruta!I1532,IFERROR(_xlfn.NUMBERVALUE(TRIM(SUBSTITUTE(Base_Bruta!I1532,"R$","")),",","."),0)))</f>
        <v>22.5</v>
      </c>
      <c r="J1532" s="6" t="n">
        <f aca="false">IF($A1532="","",H1532*I1532)</f>
        <v>67.5</v>
      </c>
      <c r="K1532" s="4" t="str">
        <f aca="false">IF($A1532="","",TRIM(Base_Bruta!J1532))</f>
        <v>Bilheteria</v>
      </c>
      <c r="L1532" s="4" t="str">
        <f aca="false">IF($A1532="","",TRIM(Base_Bruta!K1532))</f>
        <v>C00575</v>
      </c>
      <c r="M1532" s="4" t="str">
        <f aca="false">IF($A1532="","",_xlfn.XLOOKUP(LOWER(TRIM(Base_Bruta!L1532)),DePara_Cidade!$A$2:$A$29,DePara_Cidade!$B$2:$B$29,"REVISAR"))</f>
        <v>Belo Horizonte</v>
      </c>
      <c r="N1532" s="4" t="str">
        <f aca="false">IF($A1532="","",UPPER(TRIM(Base_Bruta!M1532)))</f>
        <v>MG</v>
      </c>
      <c r="O1532" s="4" t="str">
        <f aca="false">IF($A1532="","",_xlfn.XLOOKUP(LOWER(TRIM(Base_Bruta!N1532)),DePara_Pais!$A$2:$A$9,DePara_Pais!$B$2:$B$9,"REVISAR"))</f>
        <v>Brasil</v>
      </c>
      <c r="P1532" s="4" t="str">
        <f aca="false">IF($A1532="","",IF(O1532&lt;&gt;"Brasil","Turista Internacional",IF(M1532=F1532,"Local","Turista Nacional")))</f>
        <v>Local</v>
      </c>
      <c r="Q1532" s="7" t="n">
        <f aca="false">IF($A1532="","",DATE(YEAR(B1532),MONTH(B1532),1))</f>
        <v>45658</v>
      </c>
      <c r="R1532" s="4" t="str">
        <f aca="false">IF($A1532="","",IF(COUNTIF($A$2:$A1532,$A1532)&gt;1,"Sim","Não"))</f>
        <v>Não</v>
      </c>
      <c r="S1532" s="4" t="str">
        <f aca="false">IF(A1532="","Descartar - Linha vazia",IF(R1532="Sim","Descartar - Duplicado",IF(OR(H1532&lt;=0,I1532&lt;=0),"Descartar - Qtd/Valor inválido","OK")))</f>
        <v>OK</v>
      </c>
      <c r="T1532" s="4" t="str">
        <f aca="false">Base_Bruta!P1532</f>
        <v>vendas_MG.csv</v>
      </c>
    </row>
    <row r="1533" customFormat="false" ht="15" hidden="false" customHeight="false" outlineLevel="0" collapsed="false">
      <c r="A1533" s="4" t="str">
        <f aca="false">IF(Base_Bruta!A1533="","",Base_Bruta!A1533)</f>
        <v>MG-000518</v>
      </c>
      <c r="B1533" s="5" t="n">
        <f aca="false">IF($A1533="","",IF(ISNUMBER(Base_Bruta!B1533),Base_Bruta!B1533,IF(MID(Base_Bruta!B1533,5,1)="-",DATE(VALUE(LEFT(Base_Bruta!B1533,4)),VALUE(MID(Base_Bruta!B1533,6,2)),VALUE(RIGHT(Base_Bruta!B1533,2))),DATE(VALUE(RIGHT(Base_Bruta!B1533,4)),VALUE(MID(Base_Bruta!B1533,4,2)),VALUE(LEFT(Base_Bruta!B1533,2))))))</f>
        <v>45696</v>
      </c>
      <c r="C1533" s="5" t="n">
        <f aca="false">IF($A1533="","",IF(ISNUMBER(Base_Bruta!C1533),Base_Bruta!C1533,IF(MID(Base_Bruta!C1533,5,1)="-",DATE(VALUE(LEFT(Base_Bruta!C1533,4)),VALUE(MID(Base_Bruta!C1533,6,2)),VALUE(RIGHT(Base_Bruta!C1533,2))),DATE(VALUE(RIGHT(Base_Bruta!C1533,4)),VALUE(MID(Base_Bruta!C1533,4,2)),VALUE(LEFT(Base_Bruta!C1533,2))))))</f>
        <v>45698</v>
      </c>
      <c r="D1533" s="4" t="str">
        <f aca="false">IF($A1533="","",TRIM(Base_Bruta!D1533))</f>
        <v>Cinema Savassi - Sessões</v>
      </c>
      <c r="E1533" s="4" t="str">
        <f aca="false">IF($A1533="","",_xlfn.XLOOKUP(LOWER(TRIM(Base_Bruta!E1533)),DePara_Categoria!$A$2:$A$9,DePara_Categoria!$B$2:$B$9,"REVISAR"))</f>
        <v>Cinema</v>
      </c>
      <c r="F1533" s="4" t="str">
        <f aca="false">IF($A1533="","",_xlfn.XLOOKUP(LOWER(TRIM(Base_Bruta!F1533)),DePara_Cidade!$A$2:$A$29,DePara_Cidade!$B$2:$B$29,"REVISAR"))</f>
        <v>Belo Horizonte</v>
      </c>
      <c r="G1533" s="4" t="str">
        <f aca="false">IF($A1533="","",TRIM(Base_Bruta!G1533))</f>
        <v>Inteira</v>
      </c>
      <c r="H1533" s="4" t="n">
        <f aca="false">IF($A1533="","",IF(ISNUMBER(Base_Bruta!H1533),Base_Bruta!H1533,IFERROR(_xlfn.NUMBERVALUE(TRIM(SUBSTITUTE(Base_Bruta!H1533,"R$","")),",","."),0)))</f>
        <v>1</v>
      </c>
      <c r="I1533" s="6" t="n">
        <f aca="false">IF($A1533="","",IF(ISNUMBER(Base_Bruta!I1533),Base_Bruta!I1533,IFERROR(_xlfn.NUMBERVALUE(TRIM(SUBSTITUTE(Base_Bruta!I1533,"R$","")),",","."),0)))</f>
        <v>30</v>
      </c>
      <c r="J1533" s="6" t="n">
        <f aca="false">IF($A1533="","",H1533*I1533)</f>
        <v>30</v>
      </c>
      <c r="K1533" s="4" t="str">
        <f aca="false">IF($A1533="","",TRIM(Base_Bruta!J1533))</f>
        <v>App</v>
      </c>
      <c r="L1533" s="4" t="str">
        <f aca="false">IF($A1533="","",TRIM(Base_Bruta!K1533))</f>
        <v>C02048</v>
      </c>
      <c r="M1533" s="4" t="str">
        <f aca="false">IF($A1533="","",_xlfn.XLOOKUP(LOWER(TRIM(Base_Bruta!L1533)),DePara_Cidade!$A$2:$A$29,DePara_Cidade!$B$2:$B$29,"REVISAR"))</f>
        <v>Belo Horizonte</v>
      </c>
      <c r="N1533" s="4" t="str">
        <f aca="false">IF($A1533="","",UPPER(TRIM(Base_Bruta!M1533)))</f>
        <v>MG</v>
      </c>
      <c r="O1533" s="4" t="str">
        <f aca="false">IF($A1533="","",_xlfn.XLOOKUP(LOWER(TRIM(Base_Bruta!N1533)),DePara_Pais!$A$2:$A$9,DePara_Pais!$B$2:$B$9,"REVISAR"))</f>
        <v>Brasil</v>
      </c>
      <c r="P1533" s="4" t="str">
        <f aca="false">IF($A1533="","",IF(O1533&lt;&gt;"Brasil","Turista Internacional",IF(M1533=F1533,"Local","Turista Nacional")))</f>
        <v>Local</v>
      </c>
      <c r="Q1533" s="7" t="n">
        <f aca="false">IF($A1533="","",DATE(YEAR(B1533),MONTH(B1533),1))</f>
        <v>45689</v>
      </c>
      <c r="R1533" s="4" t="str">
        <f aca="false">IF($A1533="","",IF(COUNTIF($A$2:$A1533,$A1533)&gt;1,"Sim","Não"))</f>
        <v>Não</v>
      </c>
      <c r="S1533" s="4" t="str">
        <f aca="false">IF(A1533="","Descartar - Linha vazia",IF(R1533="Sim","Descartar - Duplicado",IF(OR(H1533&lt;=0,I1533&lt;=0),"Descartar - Qtd/Valor inválido","OK")))</f>
        <v>OK</v>
      </c>
      <c r="T1533" s="4" t="str">
        <f aca="false">Base_Bruta!P1533</f>
        <v>vendas_MG.csv</v>
      </c>
    </row>
    <row r="1534" customFormat="false" ht="15" hidden="false" customHeight="false" outlineLevel="0" collapsed="false">
      <c r="A1534" s="4" t="str">
        <f aca="false">IF(Base_Bruta!A1534="","",Base_Bruta!A1534)</f>
        <v>MG-000547</v>
      </c>
      <c r="B1534" s="5" t="n">
        <f aca="false">IF($A1534="","",IF(ISNUMBER(Base_Bruta!B1534),Base_Bruta!B1534,IF(MID(Base_Bruta!B1534,5,1)="-",DATE(VALUE(LEFT(Base_Bruta!B1534,4)),VALUE(MID(Base_Bruta!B1534,6,2)),VALUE(RIGHT(Base_Bruta!B1534,2))),DATE(VALUE(RIGHT(Base_Bruta!B1534,4)),VALUE(MID(Base_Bruta!B1534,4,2)),VALUE(LEFT(Base_Bruta!B1534,2))))))</f>
        <v>45696</v>
      </c>
      <c r="C1534" s="5" t="n">
        <f aca="false">IF($A1534="","",IF(ISNUMBER(Base_Bruta!C1534),Base_Bruta!C1534,IF(MID(Base_Bruta!C1534,5,1)="-",DATE(VALUE(LEFT(Base_Bruta!C1534,4)),VALUE(MID(Base_Bruta!C1534,6,2)),VALUE(RIGHT(Base_Bruta!C1534,2))),DATE(VALUE(RIGHT(Base_Bruta!C1534,4)),VALUE(MID(Base_Bruta!C1534,4,2)),VALUE(LEFT(Base_Bruta!C1534,2))))))</f>
        <v>45696</v>
      </c>
      <c r="D1534" s="4" t="str">
        <f aca="false">IF($A1534="","",TRIM(Base_Bruta!D1534))</f>
        <v>Cinema Savassi - Sessões</v>
      </c>
      <c r="E1534" s="4" t="str">
        <f aca="false">IF($A1534="","",_xlfn.XLOOKUP(LOWER(TRIM(Base_Bruta!E1534)),DePara_Categoria!$A$2:$A$9,DePara_Categoria!$B$2:$B$9,"REVISAR"))</f>
        <v>Cinema</v>
      </c>
      <c r="F1534" s="4" t="str">
        <f aca="false">IF($A1534="","",_xlfn.XLOOKUP(LOWER(TRIM(Base_Bruta!F1534)),DePara_Cidade!$A$2:$A$29,DePara_Cidade!$B$2:$B$29,"REVISAR"))</f>
        <v>Belo Horizonte</v>
      </c>
      <c r="G1534" s="4" t="str">
        <f aca="false">IF($A1534="","",TRIM(Base_Bruta!G1534))</f>
        <v>Inteira</v>
      </c>
      <c r="H1534" s="4" t="n">
        <f aca="false">IF($A1534="","",IF(ISNUMBER(Base_Bruta!H1534),Base_Bruta!H1534,IFERROR(_xlfn.NUMBERVALUE(TRIM(SUBSTITUTE(Base_Bruta!H1534,"R$","")),",","."),0)))</f>
        <v>1</v>
      </c>
      <c r="I1534" s="6" t="n">
        <f aca="false">IF($A1534="","",IF(ISNUMBER(Base_Bruta!I1534),Base_Bruta!I1534,IFERROR(_xlfn.NUMBERVALUE(TRIM(SUBSTITUTE(Base_Bruta!I1534,"R$","")),",","."),0)))</f>
        <v>35</v>
      </c>
      <c r="J1534" s="6" t="n">
        <f aca="false">IF($A1534="","",H1534*I1534)</f>
        <v>35</v>
      </c>
      <c r="K1534" s="4" t="str">
        <f aca="false">IF($A1534="","",TRIM(Base_Bruta!J1534))</f>
        <v>App</v>
      </c>
      <c r="L1534" s="4" t="str">
        <f aca="false">IF($A1534="","",TRIM(Base_Bruta!K1534))</f>
        <v>C01227</v>
      </c>
      <c r="M1534" s="4" t="str">
        <f aca="false">IF($A1534="","",_xlfn.XLOOKUP(LOWER(TRIM(Base_Bruta!L1534)),DePara_Cidade!$A$2:$A$29,DePara_Cidade!$B$2:$B$29,"REVISAR"))</f>
        <v>Belo Horizonte</v>
      </c>
      <c r="N1534" s="4" t="str">
        <f aca="false">IF($A1534="","",UPPER(TRIM(Base_Bruta!M1534)))</f>
        <v>MG</v>
      </c>
      <c r="O1534" s="4" t="str">
        <f aca="false">IF($A1534="","",_xlfn.XLOOKUP(LOWER(TRIM(Base_Bruta!N1534)),DePara_Pais!$A$2:$A$9,DePara_Pais!$B$2:$B$9,"REVISAR"))</f>
        <v>Brasil</v>
      </c>
      <c r="P1534" s="4" t="str">
        <f aca="false">IF($A1534="","",IF(O1534&lt;&gt;"Brasil","Turista Internacional",IF(M1534=F1534,"Local","Turista Nacional")))</f>
        <v>Local</v>
      </c>
      <c r="Q1534" s="7" t="n">
        <f aca="false">IF($A1534="","",DATE(YEAR(B1534),MONTH(B1534),1))</f>
        <v>45689</v>
      </c>
      <c r="R1534" s="4" t="str">
        <f aca="false">IF($A1534="","",IF(COUNTIF($A$2:$A1534,$A1534)&gt;1,"Sim","Não"))</f>
        <v>Não</v>
      </c>
      <c r="S1534" s="4" t="str">
        <f aca="false">IF(A1534="","Descartar - Linha vazia",IF(R1534="Sim","Descartar - Duplicado",IF(OR(H1534&lt;=0,I1534&lt;=0),"Descartar - Qtd/Valor inválido","OK")))</f>
        <v>OK</v>
      </c>
      <c r="T1534" s="4" t="str">
        <f aca="false">Base_Bruta!P1534</f>
        <v>vendas_MG.csv</v>
      </c>
    </row>
    <row r="1535" customFormat="false" ht="15" hidden="false" customHeight="false" outlineLevel="0" collapsed="false">
      <c r="A1535" s="4" t="str">
        <f aca="false">IF(Base_Bruta!A1535="","",Base_Bruta!A1535)</f>
        <v>MG-000540</v>
      </c>
      <c r="B1535" s="5" t="n">
        <f aca="false">IF($A1535="","",IF(ISNUMBER(Base_Bruta!B1535),Base_Bruta!B1535,IF(MID(Base_Bruta!B1535,5,1)="-",DATE(VALUE(LEFT(Base_Bruta!B1535,4)),VALUE(MID(Base_Bruta!B1535,6,2)),VALUE(RIGHT(Base_Bruta!B1535,2))),DATE(VALUE(RIGHT(Base_Bruta!B1535,4)),VALUE(MID(Base_Bruta!B1535,4,2)),VALUE(LEFT(Base_Bruta!B1535,2))))))</f>
        <v>45703</v>
      </c>
      <c r="C1535" s="5" t="n">
        <f aca="false">IF($A1535="","",IF(ISNUMBER(Base_Bruta!C1535),Base_Bruta!C1535,IF(MID(Base_Bruta!C1535,5,1)="-",DATE(VALUE(LEFT(Base_Bruta!C1535,4)),VALUE(MID(Base_Bruta!C1535,6,2)),VALUE(RIGHT(Base_Bruta!C1535,2))),DATE(VALUE(RIGHT(Base_Bruta!C1535,4)),VALUE(MID(Base_Bruta!C1535,4,2)),VALUE(LEFT(Base_Bruta!C1535,2))))))</f>
        <v>45703</v>
      </c>
      <c r="D1535" s="4" t="str">
        <f aca="false">IF($A1535="","",TRIM(Base_Bruta!D1535))</f>
        <v>Cinema Savassi - Sessões</v>
      </c>
      <c r="E1535" s="4" t="str">
        <f aca="false">IF($A1535="","",_xlfn.XLOOKUP(LOWER(TRIM(Base_Bruta!E1535)),DePara_Categoria!$A$2:$A$9,DePara_Categoria!$B$2:$B$9,"REVISAR"))</f>
        <v>Cinema</v>
      </c>
      <c r="F1535" s="4" t="str">
        <f aca="false">IF($A1535="","",_xlfn.XLOOKUP(LOWER(TRIM(Base_Bruta!F1535)),DePara_Cidade!$A$2:$A$29,DePara_Cidade!$B$2:$B$29,"REVISAR"))</f>
        <v>Belo Horizonte</v>
      </c>
      <c r="G1535" s="4" t="str">
        <f aca="false">IF($A1535="","",TRIM(Base_Bruta!G1535))</f>
        <v>Meia</v>
      </c>
      <c r="H1535" s="4" t="n">
        <f aca="false">IF($A1535="","",IF(ISNUMBER(Base_Bruta!H1535),Base_Bruta!H1535,IFERROR(_xlfn.NUMBERVALUE(TRIM(SUBSTITUTE(Base_Bruta!H1535,"R$","")),",","."),0)))</f>
        <v>3</v>
      </c>
      <c r="I1535" s="6" t="n">
        <f aca="false">IF($A1535="","",IF(ISNUMBER(Base_Bruta!I1535),Base_Bruta!I1535,IFERROR(_xlfn.NUMBERVALUE(TRIM(SUBSTITUTE(Base_Bruta!I1535,"R$","")),",","."),0)))</f>
        <v>22.5</v>
      </c>
      <c r="J1535" s="6" t="n">
        <f aca="false">IF($A1535="","",H1535*I1535)</f>
        <v>67.5</v>
      </c>
      <c r="K1535" s="4" t="str">
        <f aca="false">IF($A1535="","",TRIM(Base_Bruta!J1535))</f>
        <v>App</v>
      </c>
      <c r="L1535" s="4" t="str">
        <f aca="false">IF($A1535="","",TRIM(Base_Bruta!K1535))</f>
        <v>C00419</v>
      </c>
      <c r="M1535" s="4" t="str">
        <f aca="false">IF($A1535="","",_xlfn.XLOOKUP(LOWER(TRIM(Base_Bruta!L1535)),DePara_Cidade!$A$2:$A$29,DePara_Cidade!$B$2:$B$29,"REVISAR"))</f>
        <v>Belo Horizonte</v>
      </c>
      <c r="N1535" s="4" t="str">
        <f aca="false">IF($A1535="","",UPPER(TRIM(Base_Bruta!M1535)))</f>
        <v>MG</v>
      </c>
      <c r="O1535" s="4" t="str">
        <f aca="false">IF($A1535="","",_xlfn.XLOOKUP(LOWER(TRIM(Base_Bruta!N1535)),DePara_Pais!$A$2:$A$9,DePara_Pais!$B$2:$B$9,"REVISAR"))</f>
        <v>Brasil</v>
      </c>
      <c r="P1535" s="4" t="str">
        <f aca="false">IF($A1535="","",IF(O1535&lt;&gt;"Brasil","Turista Internacional",IF(M1535=F1535,"Local","Turista Nacional")))</f>
        <v>Local</v>
      </c>
      <c r="Q1535" s="7" t="n">
        <f aca="false">IF($A1535="","",DATE(YEAR(B1535),MONTH(B1535),1))</f>
        <v>45689</v>
      </c>
      <c r="R1535" s="4" t="str">
        <f aca="false">IF($A1535="","",IF(COUNTIF($A$2:$A1535,$A1535)&gt;1,"Sim","Não"))</f>
        <v>Não</v>
      </c>
      <c r="S1535" s="4" t="str">
        <f aca="false">IF(A1535="","Descartar - Linha vazia",IF(R1535="Sim","Descartar - Duplicado",IF(OR(H1535&lt;=0,I1535&lt;=0),"Descartar - Qtd/Valor inválido","OK")))</f>
        <v>OK</v>
      </c>
      <c r="T1535" s="4" t="str">
        <f aca="false">Base_Bruta!P1535</f>
        <v>vendas_MG.csv</v>
      </c>
    </row>
    <row r="1536" customFormat="false" ht="15" hidden="false" customHeight="false" outlineLevel="0" collapsed="false">
      <c r="A1536" s="4" t="str">
        <f aca="false">IF(Base_Bruta!A1536="","",Base_Bruta!A1536)</f>
        <v>MG-000394</v>
      </c>
      <c r="B1536" s="5" t="n">
        <f aca="false">IF($A1536="","",IF(ISNUMBER(Base_Bruta!B1536),Base_Bruta!B1536,IF(MID(Base_Bruta!B1536,5,1)="-",DATE(VALUE(LEFT(Base_Bruta!B1536,4)),VALUE(MID(Base_Bruta!B1536,6,2)),VALUE(RIGHT(Base_Bruta!B1536,2))),DATE(VALUE(RIGHT(Base_Bruta!B1536,4)),VALUE(MID(Base_Bruta!B1536,4,2)),VALUE(LEFT(Base_Bruta!B1536,2))))))</f>
        <v>45705</v>
      </c>
      <c r="C1536" s="5" t="n">
        <f aca="false">IF($A1536="","",IF(ISNUMBER(Base_Bruta!C1536),Base_Bruta!C1536,IF(MID(Base_Bruta!C1536,5,1)="-",DATE(VALUE(LEFT(Base_Bruta!C1536,4)),VALUE(MID(Base_Bruta!C1536,6,2)),VALUE(RIGHT(Base_Bruta!C1536,2))),DATE(VALUE(RIGHT(Base_Bruta!C1536,4)),VALUE(MID(Base_Bruta!C1536,4,2)),VALUE(LEFT(Base_Bruta!C1536,2))))))</f>
        <v>45708</v>
      </c>
      <c r="D1536" s="4" t="str">
        <f aca="false">IF($A1536="","",TRIM(Base_Bruta!D1536))</f>
        <v>Cinema Savassi - Sessões</v>
      </c>
      <c r="E1536" s="4" t="str">
        <f aca="false">IF($A1536="","",_xlfn.XLOOKUP(LOWER(TRIM(Base_Bruta!E1536)),DePara_Categoria!$A$2:$A$9,DePara_Categoria!$B$2:$B$9,"REVISAR"))</f>
        <v>Cinema</v>
      </c>
      <c r="F1536" s="4" t="str">
        <f aca="false">IF($A1536="","",_xlfn.XLOOKUP(LOWER(TRIM(Base_Bruta!F1536)),DePara_Cidade!$A$2:$A$29,DePara_Cidade!$B$2:$B$29,"REVISAR"))</f>
        <v>Belo Horizonte</v>
      </c>
      <c r="G1536" s="4" t="str">
        <f aca="false">IF($A1536="","",TRIM(Base_Bruta!G1536))</f>
        <v>Inteira</v>
      </c>
      <c r="H1536" s="4" t="n">
        <f aca="false">IF($A1536="","",IF(ISNUMBER(Base_Bruta!H1536),Base_Bruta!H1536,IFERROR(_xlfn.NUMBERVALUE(TRIM(SUBSTITUTE(Base_Bruta!H1536,"R$","")),",","."),0)))</f>
        <v>1</v>
      </c>
      <c r="I1536" s="6" t="n">
        <f aca="false">IF($A1536="","",IF(ISNUMBER(Base_Bruta!I1536),Base_Bruta!I1536,IFERROR(_xlfn.NUMBERVALUE(TRIM(SUBSTITUTE(Base_Bruta!I1536,"R$","")),",","."),0)))</f>
        <v>40</v>
      </c>
      <c r="J1536" s="6" t="n">
        <f aca="false">IF($A1536="","",H1536*I1536)</f>
        <v>40</v>
      </c>
      <c r="K1536" s="4" t="str">
        <f aca="false">IF($A1536="","",TRIM(Base_Bruta!J1536))</f>
        <v>Bilheteria</v>
      </c>
      <c r="L1536" s="4" t="str">
        <f aca="false">IF($A1536="","",TRIM(Base_Bruta!K1536))</f>
        <v>C00132</v>
      </c>
      <c r="M1536" s="4" t="str">
        <f aca="false">IF($A1536="","",_xlfn.XLOOKUP(LOWER(TRIM(Base_Bruta!L1536)),DePara_Cidade!$A$2:$A$29,DePara_Cidade!$B$2:$B$29,"REVISAR"))</f>
        <v>Belo Horizonte</v>
      </c>
      <c r="N1536" s="4" t="str">
        <f aca="false">IF($A1536="","",UPPER(TRIM(Base_Bruta!M1536)))</f>
        <v>MG</v>
      </c>
      <c r="O1536" s="4" t="str">
        <f aca="false">IF($A1536="","",_xlfn.XLOOKUP(LOWER(TRIM(Base_Bruta!N1536)),DePara_Pais!$A$2:$A$9,DePara_Pais!$B$2:$B$9,"REVISAR"))</f>
        <v>Brasil</v>
      </c>
      <c r="P1536" s="4" t="str">
        <f aca="false">IF($A1536="","",IF(O1536&lt;&gt;"Brasil","Turista Internacional",IF(M1536=F1536,"Local","Turista Nacional")))</f>
        <v>Local</v>
      </c>
      <c r="Q1536" s="7" t="n">
        <f aca="false">IF($A1536="","",DATE(YEAR(B1536),MONTH(B1536),1))</f>
        <v>45689</v>
      </c>
      <c r="R1536" s="4" t="str">
        <f aca="false">IF($A1536="","",IF(COUNTIF($A$2:$A1536,$A1536)&gt;1,"Sim","Não"))</f>
        <v>Não</v>
      </c>
      <c r="S1536" s="4" t="str">
        <f aca="false">IF(A1536="","Descartar - Linha vazia",IF(R1536="Sim","Descartar - Duplicado",IF(OR(H1536&lt;=0,I1536&lt;=0),"Descartar - Qtd/Valor inválido","OK")))</f>
        <v>OK</v>
      </c>
      <c r="T1536" s="4" t="str">
        <f aca="false">Base_Bruta!P1536</f>
        <v>vendas_MG.csv</v>
      </c>
    </row>
    <row r="1537" customFormat="false" ht="15" hidden="false" customHeight="false" outlineLevel="0" collapsed="false">
      <c r="A1537" s="4" t="str">
        <f aca="false">IF(Base_Bruta!A1537="","",Base_Bruta!A1537)</f>
        <v>MG-000424</v>
      </c>
      <c r="B1537" s="5" t="n">
        <f aca="false">IF($A1537="","",IF(ISNUMBER(Base_Bruta!B1537),Base_Bruta!B1537,IF(MID(Base_Bruta!B1537,5,1)="-",DATE(VALUE(LEFT(Base_Bruta!B1537,4)),VALUE(MID(Base_Bruta!B1537,6,2)),VALUE(RIGHT(Base_Bruta!B1537,2))),DATE(VALUE(RIGHT(Base_Bruta!B1537,4)),VALUE(MID(Base_Bruta!B1537,4,2)),VALUE(LEFT(Base_Bruta!B1537,2))))))</f>
        <v>45706</v>
      </c>
      <c r="C1537" s="5" t="n">
        <f aca="false">IF($A1537="","",IF(ISNUMBER(Base_Bruta!C1537),Base_Bruta!C1537,IF(MID(Base_Bruta!C1537,5,1)="-",DATE(VALUE(LEFT(Base_Bruta!C1537,4)),VALUE(MID(Base_Bruta!C1537,6,2)),VALUE(RIGHT(Base_Bruta!C1537,2))),DATE(VALUE(RIGHT(Base_Bruta!C1537,4)),VALUE(MID(Base_Bruta!C1537,4,2)),VALUE(LEFT(Base_Bruta!C1537,2))))))</f>
        <v>45709</v>
      </c>
      <c r="D1537" s="4" t="str">
        <f aca="false">IF($A1537="","",TRIM(Base_Bruta!D1537))</f>
        <v>Cinema Savassi - Sessões</v>
      </c>
      <c r="E1537" s="4" t="str">
        <f aca="false">IF($A1537="","",_xlfn.XLOOKUP(LOWER(TRIM(Base_Bruta!E1537)),DePara_Categoria!$A$2:$A$9,DePara_Categoria!$B$2:$B$9,"REVISAR"))</f>
        <v>Cinema</v>
      </c>
      <c r="F1537" s="4" t="str">
        <f aca="false">IF($A1537="","",_xlfn.XLOOKUP(LOWER(TRIM(Base_Bruta!F1537)),DePara_Cidade!$A$2:$A$29,DePara_Cidade!$B$2:$B$29,"REVISAR"))</f>
        <v>Belo Horizonte</v>
      </c>
      <c r="G1537" s="4" t="str">
        <f aca="false">IF($A1537="","",TRIM(Base_Bruta!G1537))</f>
        <v>Inteira</v>
      </c>
      <c r="H1537" s="4" t="n">
        <f aca="false">IF($A1537="","",IF(ISNUMBER(Base_Bruta!H1537),Base_Bruta!H1537,IFERROR(_xlfn.NUMBERVALUE(TRIM(SUBSTITUTE(Base_Bruta!H1537,"R$","")),",","."),0)))</f>
        <v>1</v>
      </c>
      <c r="I1537" s="6" t="n">
        <f aca="false">IF($A1537="","",IF(ISNUMBER(Base_Bruta!I1537),Base_Bruta!I1537,IFERROR(_xlfn.NUMBERVALUE(TRIM(SUBSTITUTE(Base_Bruta!I1537,"R$","")),",","."),0)))</f>
        <v>40</v>
      </c>
      <c r="J1537" s="6" t="n">
        <f aca="false">IF($A1537="","",H1537*I1537)</f>
        <v>40</v>
      </c>
      <c r="K1537" s="4" t="str">
        <f aca="false">IF($A1537="","",TRIM(Base_Bruta!J1537))</f>
        <v>Site</v>
      </c>
      <c r="L1537" s="4" t="str">
        <f aca="false">IF($A1537="","",TRIM(Base_Bruta!K1537))</f>
        <v>C00479</v>
      </c>
      <c r="M1537" s="4" t="str">
        <f aca="false">IF($A1537="","",_xlfn.XLOOKUP(LOWER(TRIM(Base_Bruta!L1537)),DePara_Cidade!$A$2:$A$29,DePara_Cidade!$B$2:$B$29,"REVISAR"))</f>
        <v>Belo Horizonte</v>
      </c>
      <c r="N1537" s="4" t="str">
        <f aca="false">IF($A1537="","",UPPER(TRIM(Base_Bruta!M1537)))</f>
        <v>MG</v>
      </c>
      <c r="O1537" s="4" t="str">
        <f aca="false">IF($A1537="","",_xlfn.XLOOKUP(LOWER(TRIM(Base_Bruta!N1537)),DePara_Pais!$A$2:$A$9,DePara_Pais!$B$2:$B$9,"REVISAR"))</f>
        <v>Brasil</v>
      </c>
      <c r="P1537" s="4" t="str">
        <f aca="false">IF($A1537="","",IF(O1537&lt;&gt;"Brasil","Turista Internacional",IF(M1537=F1537,"Local","Turista Nacional")))</f>
        <v>Local</v>
      </c>
      <c r="Q1537" s="7" t="n">
        <f aca="false">IF($A1537="","",DATE(YEAR(B1537),MONTH(B1537),1))</f>
        <v>45689</v>
      </c>
      <c r="R1537" s="4" t="str">
        <f aca="false">IF($A1537="","",IF(COUNTIF($A$2:$A1537,$A1537)&gt;1,"Sim","Não"))</f>
        <v>Não</v>
      </c>
      <c r="S1537" s="4" t="str">
        <f aca="false">IF(A1537="","Descartar - Linha vazia",IF(R1537="Sim","Descartar - Duplicado",IF(OR(H1537&lt;=0,I1537&lt;=0),"Descartar - Qtd/Valor inválido","OK")))</f>
        <v>OK</v>
      </c>
      <c r="T1537" s="4" t="str">
        <f aca="false">Base_Bruta!P1537</f>
        <v>vendas_MG.csv</v>
      </c>
    </row>
    <row r="1538" customFormat="false" ht="15" hidden="false" customHeight="false" outlineLevel="0" collapsed="false">
      <c r="A1538" s="4" t="str">
        <f aca="false">IF(Base_Bruta!A1538="","",Base_Bruta!A1538)</f>
        <v>MG-000421</v>
      </c>
      <c r="B1538" s="5" t="n">
        <f aca="false">IF($A1538="","",IF(ISNUMBER(Base_Bruta!B1538),Base_Bruta!B1538,IF(MID(Base_Bruta!B1538,5,1)="-",DATE(VALUE(LEFT(Base_Bruta!B1538,4)),VALUE(MID(Base_Bruta!B1538,6,2)),VALUE(RIGHT(Base_Bruta!B1538,2))),DATE(VALUE(RIGHT(Base_Bruta!B1538,4)),VALUE(MID(Base_Bruta!B1538,4,2)),VALUE(LEFT(Base_Bruta!B1538,2))))))</f>
        <v>45708</v>
      </c>
      <c r="C1538" s="5" t="n">
        <f aca="false">IF($A1538="","",IF(ISNUMBER(Base_Bruta!C1538),Base_Bruta!C1538,IF(MID(Base_Bruta!C1538,5,1)="-",DATE(VALUE(LEFT(Base_Bruta!C1538,4)),VALUE(MID(Base_Bruta!C1538,6,2)),VALUE(RIGHT(Base_Bruta!C1538,2))),DATE(VALUE(RIGHT(Base_Bruta!C1538,4)),VALUE(MID(Base_Bruta!C1538,4,2)),VALUE(LEFT(Base_Bruta!C1538,2))))))</f>
        <v>45709</v>
      </c>
      <c r="D1538" s="4" t="str">
        <f aca="false">IF($A1538="","",TRIM(Base_Bruta!D1538))</f>
        <v>Cinema Savassi - Sessões</v>
      </c>
      <c r="E1538" s="4" t="str">
        <f aca="false">IF($A1538="","",_xlfn.XLOOKUP(LOWER(TRIM(Base_Bruta!E1538)),DePara_Categoria!$A$2:$A$9,DePara_Categoria!$B$2:$B$9,"REVISAR"))</f>
        <v>Cinema</v>
      </c>
      <c r="F1538" s="4" t="str">
        <f aca="false">IF($A1538="","",_xlfn.XLOOKUP(LOWER(TRIM(Base_Bruta!F1538)),DePara_Cidade!$A$2:$A$29,DePara_Cidade!$B$2:$B$29,"REVISAR"))</f>
        <v>Belo Horizonte</v>
      </c>
      <c r="G1538" s="4" t="str">
        <f aca="false">IF($A1538="","",TRIM(Base_Bruta!G1538))</f>
        <v>Meia</v>
      </c>
      <c r="H1538" s="4" t="n">
        <f aca="false">IF($A1538="","",IF(ISNUMBER(Base_Bruta!H1538),Base_Bruta!H1538,IFERROR(_xlfn.NUMBERVALUE(TRIM(SUBSTITUTE(Base_Bruta!H1538,"R$","")),",","."),0)))</f>
        <v>2</v>
      </c>
      <c r="I1538" s="6" t="n">
        <f aca="false">IF($A1538="","",IF(ISNUMBER(Base_Bruta!I1538),Base_Bruta!I1538,IFERROR(_xlfn.NUMBERVALUE(TRIM(SUBSTITUTE(Base_Bruta!I1538,"R$","")),",","."),0)))</f>
        <v>22.5</v>
      </c>
      <c r="J1538" s="6" t="n">
        <f aca="false">IF($A1538="","",H1538*I1538)</f>
        <v>45</v>
      </c>
      <c r="K1538" s="4" t="str">
        <f aca="false">IF($A1538="","",TRIM(Base_Bruta!J1538))</f>
        <v>Bilheteria</v>
      </c>
      <c r="L1538" s="4" t="str">
        <f aca="false">IF($A1538="","",TRIM(Base_Bruta!K1538))</f>
        <v>C02257</v>
      </c>
      <c r="M1538" s="4" t="str">
        <f aca="false">IF($A1538="","",_xlfn.XLOOKUP(LOWER(TRIM(Base_Bruta!L1538)),DePara_Cidade!$A$2:$A$29,DePara_Cidade!$B$2:$B$29,"REVISAR"))</f>
        <v>Belo Horizonte</v>
      </c>
      <c r="N1538" s="4" t="str">
        <f aca="false">IF($A1538="","",UPPER(TRIM(Base_Bruta!M1538)))</f>
        <v>MG</v>
      </c>
      <c r="O1538" s="4" t="str">
        <f aca="false">IF($A1538="","",_xlfn.XLOOKUP(LOWER(TRIM(Base_Bruta!N1538)),DePara_Pais!$A$2:$A$9,DePara_Pais!$B$2:$B$9,"REVISAR"))</f>
        <v>Brasil</v>
      </c>
      <c r="P1538" s="4" t="str">
        <f aca="false">IF($A1538="","",IF(O1538&lt;&gt;"Brasil","Turista Internacional",IF(M1538=F1538,"Local","Turista Nacional")))</f>
        <v>Local</v>
      </c>
      <c r="Q1538" s="7" t="n">
        <f aca="false">IF($A1538="","",DATE(YEAR(B1538),MONTH(B1538),1))</f>
        <v>45689</v>
      </c>
      <c r="R1538" s="4" t="str">
        <f aca="false">IF($A1538="","",IF(COUNTIF($A$2:$A1538,$A1538)&gt;1,"Sim","Não"))</f>
        <v>Não</v>
      </c>
      <c r="S1538" s="4" t="str">
        <f aca="false">IF(A1538="","Descartar - Linha vazia",IF(R1538="Sim","Descartar - Duplicado",IF(OR(H1538&lt;=0,I1538&lt;=0),"Descartar - Qtd/Valor inválido","OK")))</f>
        <v>OK</v>
      </c>
      <c r="T1538" s="4" t="str">
        <f aca="false">Base_Bruta!P1538</f>
        <v>vendas_MG.csv</v>
      </c>
    </row>
    <row r="1539" customFormat="false" ht="15" hidden="false" customHeight="false" outlineLevel="0" collapsed="false">
      <c r="A1539" s="4" t="str">
        <f aca="false">IF(Base_Bruta!A1539="","",Base_Bruta!A1539)</f>
        <v>MG-000488</v>
      </c>
      <c r="B1539" s="5" t="n">
        <f aca="false">IF($A1539="","",IF(ISNUMBER(Base_Bruta!B1539),Base_Bruta!B1539,IF(MID(Base_Bruta!B1539,5,1)="-",DATE(VALUE(LEFT(Base_Bruta!B1539,4)),VALUE(MID(Base_Bruta!B1539,6,2)),VALUE(RIGHT(Base_Bruta!B1539,2))),DATE(VALUE(RIGHT(Base_Bruta!B1539,4)),VALUE(MID(Base_Bruta!B1539,4,2)),VALUE(LEFT(Base_Bruta!B1539,2))))))</f>
        <v>45710</v>
      </c>
      <c r="C1539" s="5" t="n">
        <f aca="false">IF($A1539="","",IF(ISNUMBER(Base_Bruta!C1539),Base_Bruta!C1539,IF(MID(Base_Bruta!C1539,5,1)="-",DATE(VALUE(LEFT(Base_Bruta!C1539,4)),VALUE(MID(Base_Bruta!C1539,6,2)),VALUE(RIGHT(Base_Bruta!C1539,2))),DATE(VALUE(RIGHT(Base_Bruta!C1539,4)),VALUE(MID(Base_Bruta!C1539,4,2)),VALUE(LEFT(Base_Bruta!C1539,2))))))</f>
        <v>45712</v>
      </c>
      <c r="D1539" s="4" t="str">
        <f aca="false">IF($A1539="","",TRIM(Base_Bruta!D1539))</f>
        <v>Cinema Savassi - Sessões</v>
      </c>
      <c r="E1539" s="4" t="str">
        <f aca="false">IF($A1539="","",_xlfn.XLOOKUP(LOWER(TRIM(Base_Bruta!E1539)),DePara_Categoria!$A$2:$A$9,DePara_Categoria!$B$2:$B$9,"REVISAR"))</f>
        <v>Cinema</v>
      </c>
      <c r="F1539" s="4" t="str">
        <f aca="false">IF($A1539="","",_xlfn.XLOOKUP(LOWER(TRIM(Base_Bruta!F1539)),DePara_Cidade!$A$2:$A$29,DePara_Cidade!$B$2:$B$29,"REVISAR"))</f>
        <v>Belo Horizonte</v>
      </c>
      <c r="G1539" s="4" t="str">
        <f aca="false">IF($A1539="","",TRIM(Base_Bruta!G1539))</f>
        <v>Meia</v>
      </c>
      <c r="H1539" s="4" t="n">
        <f aca="false">IF($A1539="","",IF(ISNUMBER(Base_Bruta!H1539),Base_Bruta!H1539,IFERROR(_xlfn.NUMBERVALUE(TRIM(SUBSTITUTE(Base_Bruta!H1539,"R$","")),",","."),0)))</f>
        <v>1</v>
      </c>
      <c r="I1539" s="6" t="n">
        <f aca="false">IF($A1539="","",IF(ISNUMBER(Base_Bruta!I1539),Base_Bruta!I1539,IFERROR(_xlfn.NUMBERVALUE(TRIM(SUBSTITUTE(Base_Bruta!I1539,"R$","")),",","."),0)))</f>
        <v>15</v>
      </c>
      <c r="J1539" s="6" t="n">
        <f aca="false">IF($A1539="","",H1539*I1539)</f>
        <v>15</v>
      </c>
      <c r="K1539" s="4" t="str">
        <f aca="false">IF($A1539="","",TRIM(Base_Bruta!J1539))</f>
        <v>App</v>
      </c>
      <c r="L1539" s="4" t="str">
        <f aca="false">IF($A1539="","",TRIM(Base_Bruta!K1539))</f>
        <v>C00718</v>
      </c>
      <c r="M1539" s="4" t="str">
        <f aca="false">IF($A1539="","",_xlfn.XLOOKUP(LOWER(TRIM(Base_Bruta!L1539)),DePara_Cidade!$A$2:$A$29,DePara_Cidade!$B$2:$B$29,"REVISAR"))</f>
        <v>Belo Horizonte</v>
      </c>
      <c r="N1539" s="4" t="str">
        <f aca="false">IF($A1539="","",UPPER(TRIM(Base_Bruta!M1539)))</f>
        <v>MG</v>
      </c>
      <c r="O1539" s="4" t="str">
        <f aca="false">IF($A1539="","",_xlfn.XLOOKUP(LOWER(TRIM(Base_Bruta!N1539)),DePara_Pais!$A$2:$A$9,DePara_Pais!$B$2:$B$9,"REVISAR"))</f>
        <v>Brasil</v>
      </c>
      <c r="P1539" s="4" t="str">
        <f aca="false">IF($A1539="","",IF(O1539&lt;&gt;"Brasil","Turista Internacional",IF(M1539=F1539,"Local","Turista Nacional")))</f>
        <v>Local</v>
      </c>
      <c r="Q1539" s="7" t="n">
        <f aca="false">IF($A1539="","",DATE(YEAR(B1539),MONTH(B1539),1))</f>
        <v>45689</v>
      </c>
      <c r="R1539" s="4" t="str">
        <f aca="false">IF($A1539="","",IF(COUNTIF($A$2:$A1539,$A1539)&gt;1,"Sim","Não"))</f>
        <v>Não</v>
      </c>
      <c r="S1539" s="4" t="str">
        <f aca="false">IF(A1539="","Descartar - Linha vazia",IF(R1539="Sim","Descartar - Duplicado",IF(OR(H1539&lt;=0,I1539&lt;=0),"Descartar - Qtd/Valor inválido","OK")))</f>
        <v>OK</v>
      </c>
      <c r="T1539" s="4" t="str">
        <f aca="false">Base_Bruta!P1539</f>
        <v>vendas_MG.csv</v>
      </c>
    </row>
    <row r="1540" customFormat="false" ht="15" hidden="false" customHeight="false" outlineLevel="0" collapsed="false">
      <c r="A1540" s="4" t="str">
        <f aca="false">IF(Base_Bruta!A1540="","",Base_Bruta!A1540)</f>
        <v>MG-000446</v>
      </c>
      <c r="B1540" s="5" t="n">
        <f aca="false">IF($A1540="","",IF(ISNUMBER(Base_Bruta!B1540),Base_Bruta!B1540,IF(MID(Base_Bruta!B1540,5,1)="-",DATE(VALUE(LEFT(Base_Bruta!B1540,4)),VALUE(MID(Base_Bruta!B1540,6,2)),VALUE(RIGHT(Base_Bruta!B1540,2))),DATE(VALUE(RIGHT(Base_Bruta!B1540,4)),VALUE(MID(Base_Bruta!B1540,4,2)),VALUE(LEFT(Base_Bruta!B1540,2))))))</f>
        <v>45714</v>
      </c>
      <c r="C1540" s="5" t="n">
        <f aca="false">IF($A1540="","",IF(ISNUMBER(Base_Bruta!C1540),Base_Bruta!C1540,IF(MID(Base_Bruta!C1540,5,1)="-",DATE(VALUE(LEFT(Base_Bruta!C1540,4)),VALUE(MID(Base_Bruta!C1540,6,2)),VALUE(RIGHT(Base_Bruta!C1540,2))),DATE(VALUE(RIGHT(Base_Bruta!C1540,4)),VALUE(MID(Base_Bruta!C1540,4,2)),VALUE(LEFT(Base_Bruta!C1540,2))))))</f>
        <v>45716</v>
      </c>
      <c r="D1540" s="4" t="str">
        <f aca="false">IF($A1540="","",TRIM(Base_Bruta!D1540))</f>
        <v>Cinema Savassi - Sessões</v>
      </c>
      <c r="E1540" s="4" t="str">
        <f aca="false">IF($A1540="","",_xlfn.XLOOKUP(LOWER(TRIM(Base_Bruta!E1540)),DePara_Categoria!$A$2:$A$9,DePara_Categoria!$B$2:$B$9,"REVISAR"))</f>
        <v>Cinema</v>
      </c>
      <c r="F1540" s="4" t="str">
        <f aca="false">IF($A1540="","",_xlfn.XLOOKUP(LOWER(TRIM(Base_Bruta!F1540)),DePara_Cidade!$A$2:$A$29,DePara_Cidade!$B$2:$B$29,"REVISAR"))</f>
        <v>Belo Horizonte</v>
      </c>
      <c r="G1540" s="4" t="str">
        <f aca="false">IF($A1540="","",TRIM(Base_Bruta!G1540))</f>
        <v>Inteira</v>
      </c>
      <c r="H1540" s="4" t="n">
        <f aca="false">IF($A1540="","",IF(ISNUMBER(Base_Bruta!H1540),Base_Bruta!H1540,IFERROR(_xlfn.NUMBERVALUE(TRIM(SUBSTITUTE(Base_Bruta!H1540,"R$","")),",","."),0)))</f>
        <v>1</v>
      </c>
      <c r="I1540" s="6" t="n">
        <f aca="false">IF($A1540="","",IF(ISNUMBER(Base_Bruta!I1540),Base_Bruta!I1540,IFERROR(_xlfn.NUMBERVALUE(TRIM(SUBSTITUTE(Base_Bruta!I1540,"R$","")),",","."),0)))</f>
        <v>0</v>
      </c>
      <c r="J1540" s="6" t="n">
        <f aca="false">IF($A1540="","",H1540*I1540)</f>
        <v>0</v>
      </c>
      <c r="K1540" s="4" t="str">
        <f aca="false">IF($A1540="","",TRIM(Base_Bruta!J1540))</f>
        <v>App</v>
      </c>
      <c r="L1540" s="4" t="str">
        <f aca="false">IF($A1540="","",TRIM(Base_Bruta!K1540))</f>
        <v>C02290</v>
      </c>
      <c r="M1540" s="4" t="str">
        <f aca="false">IF($A1540="","",_xlfn.XLOOKUP(LOWER(TRIM(Base_Bruta!L1540)),DePara_Cidade!$A$2:$A$29,DePara_Cidade!$B$2:$B$29,"REVISAR"))</f>
        <v>Belo Horizonte</v>
      </c>
      <c r="N1540" s="4" t="str">
        <f aca="false">IF($A1540="","",UPPER(TRIM(Base_Bruta!M1540)))</f>
        <v>MG</v>
      </c>
      <c r="O1540" s="4" t="str">
        <f aca="false">IF($A1540="","",_xlfn.XLOOKUP(LOWER(TRIM(Base_Bruta!N1540)),DePara_Pais!$A$2:$A$9,DePara_Pais!$B$2:$B$9,"REVISAR"))</f>
        <v>Brasil</v>
      </c>
      <c r="P1540" s="4" t="str">
        <f aca="false">IF($A1540="","",IF(O1540&lt;&gt;"Brasil","Turista Internacional",IF(M1540=F1540,"Local","Turista Nacional")))</f>
        <v>Local</v>
      </c>
      <c r="Q1540" s="7" t="n">
        <f aca="false">IF($A1540="","",DATE(YEAR(B1540),MONTH(B1540),1))</f>
        <v>45689</v>
      </c>
      <c r="R1540" s="4" t="str">
        <f aca="false">IF($A1540="","",IF(COUNTIF($A$2:$A1540,$A1540)&gt;1,"Sim","Não"))</f>
        <v>Não</v>
      </c>
      <c r="S1540" s="4" t="str">
        <f aca="false">IF(A1540="","Descartar - Linha vazia",IF(R1540="Sim","Descartar - Duplicado",IF(OR(H1540&lt;=0,I1540&lt;=0),"Descartar - Qtd/Valor inválido","OK")))</f>
        <v>Descartar - Qtd/Valor inválido</v>
      </c>
      <c r="T1540" s="4" t="str">
        <f aca="false">Base_Bruta!P1540</f>
        <v>vendas_MG.csv</v>
      </c>
    </row>
    <row r="1541" customFormat="false" ht="15" hidden="false" customHeight="false" outlineLevel="0" collapsed="false">
      <c r="A1541" s="4" t="str">
        <f aca="false">IF(Base_Bruta!A1541="","",Base_Bruta!A1541)</f>
        <v>MG-000393</v>
      </c>
      <c r="B1541" s="5" t="n">
        <f aca="false">IF($A1541="","",IF(ISNUMBER(Base_Bruta!B1541),Base_Bruta!B1541,IF(MID(Base_Bruta!B1541,5,1)="-",DATE(VALUE(LEFT(Base_Bruta!B1541,4)),VALUE(MID(Base_Bruta!B1541,6,2)),VALUE(RIGHT(Base_Bruta!B1541,2))),DATE(VALUE(RIGHT(Base_Bruta!B1541,4)),VALUE(MID(Base_Bruta!B1541,4,2)),VALUE(LEFT(Base_Bruta!B1541,2))))))</f>
        <v>45717</v>
      </c>
      <c r="C1541" s="5" t="n">
        <f aca="false">IF($A1541="","",IF(ISNUMBER(Base_Bruta!C1541),Base_Bruta!C1541,IF(MID(Base_Bruta!C1541,5,1)="-",DATE(VALUE(LEFT(Base_Bruta!C1541,4)),VALUE(MID(Base_Bruta!C1541,6,2)),VALUE(RIGHT(Base_Bruta!C1541,2))),DATE(VALUE(RIGHT(Base_Bruta!C1541,4)),VALUE(MID(Base_Bruta!C1541,4,2)),VALUE(LEFT(Base_Bruta!C1541,2))))))</f>
        <v>45719</v>
      </c>
      <c r="D1541" s="4" t="str">
        <f aca="false">IF($A1541="","",TRIM(Base_Bruta!D1541))</f>
        <v>Cinema Savassi - Sessões</v>
      </c>
      <c r="E1541" s="4" t="str">
        <f aca="false">IF($A1541="","",_xlfn.XLOOKUP(LOWER(TRIM(Base_Bruta!E1541)),DePara_Categoria!$A$2:$A$9,DePara_Categoria!$B$2:$B$9,"REVISAR"))</f>
        <v>Cinema</v>
      </c>
      <c r="F1541" s="4" t="str">
        <f aca="false">IF($A1541="","",_xlfn.XLOOKUP(LOWER(TRIM(Base_Bruta!F1541)),DePara_Cidade!$A$2:$A$29,DePara_Cidade!$B$2:$B$29,"REVISAR"))</f>
        <v>Belo Horizonte</v>
      </c>
      <c r="G1541" s="4" t="str">
        <f aca="false">IF($A1541="","",TRIM(Base_Bruta!G1541))</f>
        <v>Meia</v>
      </c>
      <c r="H1541" s="4" t="n">
        <f aca="false">IF($A1541="","",IF(ISNUMBER(Base_Bruta!H1541),Base_Bruta!H1541,IFERROR(_xlfn.NUMBERVALUE(TRIM(SUBSTITUTE(Base_Bruta!H1541,"R$","")),",","."),0)))</f>
        <v>2</v>
      </c>
      <c r="I1541" s="6" t="n">
        <f aca="false">IF($A1541="","",IF(ISNUMBER(Base_Bruta!I1541),Base_Bruta!I1541,IFERROR(_xlfn.NUMBERVALUE(TRIM(SUBSTITUTE(Base_Bruta!I1541,"R$","")),",","."),0)))</f>
        <v>22.5</v>
      </c>
      <c r="J1541" s="6" t="n">
        <f aca="false">IF($A1541="","",H1541*I1541)</f>
        <v>45</v>
      </c>
      <c r="K1541" s="4" t="str">
        <f aca="false">IF($A1541="","",TRIM(Base_Bruta!J1541))</f>
        <v>Site</v>
      </c>
      <c r="L1541" s="4" t="str">
        <f aca="false">IF($A1541="","",TRIM(Base_Bruta!K1541))</f>
        <v>C00937</v>
      </c>
      <c r="M1541" s="4" t="str">
        <f aca="false">IF($A1541="","",_xlfn.XLOOKUP(LOWER(TRIM(Base_Bruta!L1541)),DePara_Cidade!$A$2:$A$29,DePara_Cidade!$B$2:$B$29,"REVISAR"))</f>
        <v>Belo Horizonte</v>
      </c>
      <c r="N1541" s="4" t="str">
        <f aca="false">IF($A1541="","",UPPER(TRIM(Base_Bruta!M1541)))</f>
        <v>MG</v>
      </c>
      <c r="O1541" s="4" t="str">
        <f aca="false">IF($A1541="","",_xlfn.XLOOKUP(LOWER(TRIM(Base_Bruta!N1541)),DePara_Pais!$A$2:$A$9,DePara_Pais!$B$2:$B$9,"REVISAR"))</f>
        <v>Brasil</v>
      </c>
      <c r="P1541" s="4" t="str">
        <f aca="false">IF($A1541="","",IF(O1541&lt;&gt;"Brasil","Turista Internacional",IF(M1541=F1541,"Local","Turista Nacional")))</f>
        <v>Local</v>
      </c>
      <c r="Q1541" s="7" t="n">
        <f aca="false">IF($A1541="","",DATE(YEAR(B1541),MONTH(B1541),1))</f>
        <v>45717</v>
      </c>
      <c r="R1541" s="4" t="str">
        <f aca="false">IF($A1541="","",IF(COUNTIF($A$2:$A1541,$A1541)&gt;1,"Sim","Não"))</f>
        <v>Não</v>
      </c>
      <c r="S1541" s="4" t="str">
        <f aca="false">IF(A1541="","Descartar - Linha vazia",IF(R1541="Sim","Descartar - Duplicado",IF(OR(H1541&lt;=0,I1541&lt;=0),"Descartar - Qtd/Valor inválido","OK")))</f>
        <v>OK</v>
      </c>
      <c r="T1541" s="4" t="str">
        <f aca="false">Base_Bruta!P1541</f>
        <v>vendas_MG.csv</v>
      </c>
    </row>
    <row r="1542" customFormat="false" ht="15" hidden="false" customHeight="false" outlineLevel="0" collapsed="false">
      <c r="A1542" s="4" t="str">
        <f aca="false">IF(Base_Bruta!A1542="","",Base_Bruta!A1542)</f>
        <v/>
      </c>
      <c r="B1542" s="5" t="str">
        <f aca="false">IF($A1542="","",IF(ISNUMBER(Base_Bruta!B1542),Base_Bruta!B1542,IF(MID(Base_Bruta!B1542,5,1)="-",DATE(VALUE(LEFT(Base_Bruta!B1542,4)),VALUE(MID(Base_Bruta!B1542,6,2)),VALUE(RIGHT(Base_Bruta!B1542,2))),DATE(VALUE(RIGHT(Base_Bruta!B1542,4)),VALUE(MID(Base_Bruta!B1542,4,2)),VALUE(LEFT(Base_Bruta!B1542,2))))))</f>
        <v/>
      </c>
      <c r="C1542" s="5" t="str">
        <f aca="false">IF($A1542="","",IF(ISNUMBER(Base_Bruta!C1542),Base_Bruta!C1542,IF(MID(Base_Bruta!C1542,5,1)="-",DATE(VALUE(LEFT(Base_Bruta!C1542,4)),VALUE(MID(Base_Bruta!C1542,6,2)),VALUE(RIGHT(Base_Bruta!C1542,2))),DATE(VALUE(RIGHT(Base_Bruta!C1542,4)),VALUE(MID(Base_Bruta!C1542,4,2)),VALUE(LEFT(Base_Bruta!C1542,2))))))</f>
        <v/>
      </c>
      <c r="D1542" s="4" t="str">
        <f aca="false">IF($A1542="","",TRIM(Base_Bruta!D1542))</f>
        <v/>
      </c>
      <c r="E1542" s="4" t="str">
        <f aca="false">IF($A1542="","",_xlfn.XLOOKUP(LOWER(TRIM(Base_Bruta!E1542)),DePara_Categoria!$A$2:$A$9,DePara_Categoria!$B$2:$B$9,"REVISAR"))</f>
        <v/>
      </c>
      <c r="F1542" s="4" t="str">
        <f aca="false">IF($A1542="","",_xlfn.XLOOKUP(LOWER(TRIM(Base_Bruta!F1542)),DePara_Cidade!$A$2:$A$29,DePara_Cidade!$B$2:$B$29,"REVISAR"))</f>
        <v/>
      </c>
      <c r="G1542" s="4" t="str">
        <f aca="false">IF($A1542="","",TRIM(Base_Bruta!G1542))</f>
        <v/>
      </c>
      <c r="H1542" s="4" t="str">
        <f aca="false">IF($A1542="","",IF(ISNUMBER(Base_Bruta!H1542),Base_Bruta!H1542,IFERROR(_xlfn.NUMBERVALUE(TRIM(SUBSTITUTE(Base_Bruta!H1542,"R$","")),",","."),0)))</f>
        <v/>
      </c>
      <c r="I1542" s="6" t="str">
        <f aca="false">IF($A1542="","",IF(ISNUMBER(Base_Bruta!I1542),Base_Bruta!I1542,IFERROR(_xlfn.NUMBERVALUE(TRIM(SUBSTITUTE(Base_Bruta!I1542,"R$","")),",","."),0)))</f>
        <v/>
      </c>
      <c r="J1542" s="6" t="str">
        <f aca="false">IF($A1542="","",H1542*I1542)</f>
        <v/>
      </c>
      <c r="K1542" s="4" t="str">
        <f aca="false">IF($A1542="","",TRIM(Base_Bruta!J1542))</f>
        <v/>
      </c>
      <c r="L1542" s="4" t="str">
        <f aca="false">IF($A1542="","",TRIM(Base_Bruta!K1542))</f>
        <v/>
      </c>
      <c r="M1542" s="4" t="str">
        <f aca="false">IF($A1542="","",_xlfn.XLOOKUP(LOWER(TRIM(Base_Bruta!L1542)),DePara_Cidade!$A$2:$A$29,DePara_Cidade!$B$2:$B$29,"REVISAR"))</f>
        <v/>
      </c>
      <c r="N1542" s="4" t="str">
        <f aca="false">IF($A1542="","",UPPER(TRIM(Base_Bruta!M1542)))</f>
        <v/>
      </c>
      <c r="O1542" s="4" t="str">
        <f aca="false">IF($A1542="","",_xlfn.XLOOKUP(LOWER(TRIM(Base_Bruta!N1542)),DePara_Pais!$A$2:$A$9,DePara_Pais!$B$2:$B$9,"REVISAR"))</f>
        <v/>
      </c>
      <c r="P1542" s="4" t="str">
        <f aca="false">IF($A1542="","",IF(O1542&lt;&gt;"Brasil","Turista Internacional",IF(M1542=F1542,"Local","Turista Nacional")))</f>
        <v/>
      </c>
      <c r="Q1542" s="7" t="str">
        <f aca="false">IF($A1542="","",DATE(YEAR(B1542),MONTH(B1542),1))</f>
        <v/>
      </c>
      <c r="R1542" s="4" t="str">
        <f aca="false">IF($A1542="","",IF(COUNTIF($A$2:$A1542,$A1542)&gt;1,"Sim","Não"))</f>
        <v/>
      </c>
      <c r="S1542" s="4" t="str">
        <f aca="false">IF(A1542="","Descartar - Linha vazia",IF(R1542="Sim","Descartar - Duplicado",IF(OR(H1542&lt;=0,I1542&lt;=0),"Descartar - Qtd/Valor inválido","OK")))</f>
        <v>Descartar - Linha vazia</v>
      </c>
      <c r="T1542" s="4" t="str">
        <f aca="false">Base_Bruta!P1542</f>
        <v>vendas_MG.csv</v>
      </c>
    </row>
    <row r="1543" customFormat="false" ht="15" hidden="false" customHeight="false" outlineLevel="0" collapsed="false">
      <c r="A1543" s="4" t="str">
        <f aca="false">IF(Base_Bruta!A1543="","",Base_Bruta!A1543)</f>
        <v>MG-000464</v>
      </c>
      <c r="B1543" s="5" t="n">
        <f aca="false">IF($A1543="","",IF(ISNUMBER(Base_Bruta!B1543),Base_Bruta!B1543,IF(MID(Base_Bruta!B1543,5,1)="-",DATE(VALUE(LEFT(Base_Bruta!B1543,4)),VALUE(MID(Base_Bruta!B1543,6,2)),VALUE(RIGHT(Base_Bruta!B1543,2))),DATE(VALUE(RIGHT(Base_Bruta!B1543,4)),VALUE(MID(Base_Bruta!B1543,4,2)),VALUE(LEFT(Base_Bruta!B1543,2))))))</f>
        <v>45723</v>
      </c>
      <c r="C1543" s="5" t="n">
        <f aca="false">IF($A1543="","",IF(ISNUMBER(Base_Bruta!C1543),Base_Bruta!C1543,IF(MID(Base_Bruta!C1543,5,1)="-",DATE(VALUE(LEFT(Base_Bruta!C1543,4)),VALUE(MID(Base_Bruta!C1543,6,2)),VALUE(RIGHT(Base_Bruta!C1543,2))),DATE(VALUE(RIGHT(Base_Bruta!C1543,4)),VALUE(MID(Base_Bruta!C1543,4,2)),VALUE(LEFT(Base_Bruta!C1543,2))))))</f>
        <v>45724</v>
      </c>
      <c r="D1543" s="4" t="str">
        <f aca="false">IF($A1543="","",TRIM(Base_Bruta!D1543))</f>
        <v>Cinema Savassi - Sessões</v>
      </c>
      <c r="E1543" s="4" t="str">
        <f aca="false">IF($A1543="","",_xlfn.XLOOKUP(LOWER(TRIM(Base_Bruta!E1543)),DePara_Categoria!$A$2:$A$9,DePara_Categoria!$B$2:$B$9,"REVISAR"))</f>
        <v>Cinema</v>
      </c>
      <c r="F1543" s="4" t="str">
        <f aca="false">IF($A1543="","",_xlfn.XLOOKUP(LOWER(TRIM(Base_Bruta!F1543)),DePara_Cidade!$A$2:$A$29,DePara_Cidade!$B$2:$B$29,"REVISAR"))</f>
        <v>Belo Horizonte</v>
      </c>
      <c r="G1543" s="4" t="str">
        <f aca="false">IF($A1543="","",TRIM(Base_Bruta!G1543))</f>
        <v>Inteira</v>
      </c>
      <c r="H1543" s="4" t="n">
        <f aca="false">IF($A1543="","",IF(ISNUMBER(Base_Bruta!H1543),Base_Bruta!H1543,IFERROR(_xlfn.NUMBERVALUE(TRIM(SUBSTITUTE(Base_Bruta!H1543,"R$","")),",","."),0)))</f>
        <v>1</v>
      </c>
      <c r="I1543" s="6" t="n">
        <f aca="false">IF($A1543="","",IF(ISNUMBER(Base_Bruta!I1543),Base_Bruta!I1543,IFERROR(_xlfn.NUMBERVALUE(TRIM(SUBSTITUTE(Base_Bruta!I1543,"R$","")),",","."),0)))</f>
        <v>35</v>
      </c>
      <c r="J1543" s="6" t="n">
        <f aca="false">IF($A1543="","",H1543*I1543)</f>
        <v>35</v>
      </c>
      <c r="K1543" s="4" t="str">
        <f aca="false">IF($A1543="","",TRIM(Base_Bruta!J1543))</f>
        <v>Site</v>
      </c>
      <c r="L1543" s="4" t="str">
        <f aca="false">IF($A1543="","",TRIM(Base_Bruta!K1543))</f>
        <v>C02362</v>
      </c>
      <c r="M1543" s="4" t="str">
        <f aca="false">IF($A1543="","",_xlfn.XLOOKUP(LOWER(TRIM(Base_Bruta!L1543)),DePara_Cidade!$A$2:$A$29,DePara_Cidade!$B$2:$B$29,"REVISAR"))</f>
        <v>Belo Horizonte</v>
      </c>
      <c r="N1543" s="4" t="str">
        <f aca="false">IF($A1543="","",UPPER(TRIM(Base_Bruta!M1543)))</f>
        <v>MG</v>
      </c>
      <c r="O1543" s="4" t="str">
        <f aca="false">IF($A1543="","",_xlfn.XLOOKUP(LOWER(TRIM(Base_Bruta!N1543)),DePara_Pais!$A$2:$A$9,DePara_Pais!$B$2:$B$9,"REVISAR"))</f>
        <v>Brasil</v>
      </c>
      <c r="P1543" s="4" t="str">
        <f aca="false">IF($A1543="","",IF(O1543&lt;&gt;"Brasil","Turista Internacional",IF(M1543=F1543,"Local","Turista Nacional")))</f>
        <v>Local</v>
      </c>
      <c r="Q1543" s="7" t="n">
        <f aca="false">IF($A1543="","",DATE(YEAR(B1543),MONTH(B1543),1))</f>
        <v>45717</v>
      </c>
      <c r="R1543" s="4" t="str">
        <f aca="false">IF($A1543="","",IF(COUNTIF($A$2:$A1543,$A1543)&gt;1,"Sim","Não"))</f>
        <v>Não</v>
      </c>
      <c r="S1543" s="4" t="str">
        <f aca="false">IF(A1543="","Descartar - Linha vazia",IF(R1543="Sim","Descartar - Duplicado",IF(OR(H1543&lt;=0,I1543&lt;=0),"Descartar - Qtd/Valor inválido","OK")))</f>
        <v>OK</v>
      </c>
      <c r="T1543" s="4" t="str">
        <f aca="false">Base_Bruta!P1543</f>
        <v>vendas_MG.csv</v>
      </c>
    </row>
    <row r="1544" customFormat="false" ht="15" hidden="false" customHeight="false" outlineLevel="0" collapsed="false">
      <c r="A1544" s="4" t="str">
        <f aca="false">IF(Base_Bruta!A1544="","",Base_Bruta!A1544)</f>
        <v>MG-000498</v>
      </c>
      <c r="B1544" s="5" t="n">
        <f aca="false">IF($A1544="","",IF(ISNUMBER(Base_Bruta!B1544),Base_Bruta!B1544,IF(MID(Base_Bruta!B1544,5,1)="-",DATE(VALUE(LEFT(Base_Bruta!B1544,4)),VALUE(MID(Base_Bruta!B1544,6,2)),VALUE(RIGHT(Base_Bruta!B1544,2))),DATE(VALUE(RIGHT(Base_Bruta!B1544,4)),VALUE(MID(Base_Bruta!B1544,4,2)),VALUE(LEFT(Base_Bruta!B1544,2))))))</f>
        <v>45723</v>
      </c>
      <c r="C1544" s="5" t="n">
        <f aca="false">IF($A1544="","",IF(ISNUMBER(Base_Bruta!C1544),Base_Bruta!C1544,IF(MID(Base_Bruta!C1544,5,1)="-",DATE(VALUE(LEFT(Base_Bruta!C1544,4)),VALUE(MID(Base_Bruta!C1544,6,2)),VALUE(RIGHT(Base_Bruta!C1544,2))),DATE(VALUE(RIGHT(Base_Bruta!C1544,4)),VALUE(MID(Base_Bruta!C1544,4,2)),VALUE(LEFT(Base_Bruta!C1544,2))))))</f>
        <v>45725</v>
      </c>
      <c r="D1544" s="4" t="str">
        <f aca="false">IF($A1544="","",TRIM(Base_Bruta!D1544))</f>
        <v>Cinema Savassi - Sessões</v>
      </c>
      <c r="E1544" s="4" t="str">
        <f aca="false">IF($A1544="","",_xlfn.XLOOKUP(LOWER(TRIM(Base_Bruta!E1544)),DePara_Categoria!$A$2:$A$9,DePara_Categoria!$B$2:$B$9,"REVISAR"))</f>
        <v>Cinema</v>
      </c>
      <c r="F1544" s="4" t="str">
        <f aca="false">IF($A1544="","",_xlfn.XLOOKUP(LOWER(TRIM(Base_Bruta!F1544)),DePara_Cidade!$A$2:$A$29,DePara_Cidade!$B$2:$B$29,"REVISAR"))</f>
        <v>Belo Horizonte</v>
      </c>
      <c r="G1544" s="4" t="str">
        <f aca="false">IF($A1544="","",TRIM(Base_Bruta!G1544))</f>
        <v>Meia</v>
      </c>
      <c r="H1544" s="4" t="n">
        <f aca="false">IF($A1544="","",IF(ISNUMBER(Base_Bruta!H1544),Base_Bruta!H1544,IFERROR(_xlfn.NUMBERVALUE(TRIM(SUBSTITUTE(Base_Bruta!H1544,"R$","")),",","."),0)))</f>
        <v>2</v>
      </c>
      <c r="I1544" s="6" t="n">
        <f aca="false">IF($A1544="","",IF(ISNUMBER(Base_Bruta!I1544),Base_Bruta!I1544,IFERROR(_xlfn.NUMBERVALUE(TRIM(SUBSTITUTE(Base_Bruta!I1544,"R$","")),",","."),0)))</f>
        <v>15</v>
      </c>
      <c r="J1544" s="6" t="n">
        <f aca="false">IF($A1544="","",H1544*I1544)</f>
        <v>30</v>
      </c>
      <c r="K1544" s="4" t="str">
        <f aca="false">IF($A1544="","",TRIM(Base_Bruta!J1544))</f>
        <v>Parceiro</v>
      </c>
      <c r="L1544" s="4" t="str">
        <f aca="false">IF($A1544="","",TRIM(Base_Bruta!K1544))</f>
        <v>C01616</v>
      </c>
      <c r="M1544" s="4" t="str">
        <f aca="false">IF($A1544="","",_xlfn.XLOOKUP(LOWER(TRIM(Base_Bruta!L1544)),DePara_Cidade!$A$2:$A$29,DePara_Cidade!$B$2:$B$29,"REVISAR"))</f>
        <v>Belo Horizonte</v>
      </c>
      <c r="N1544" s="4" t="str">
        <f aca="false">IF($A1544="","",UPPER(TRIM(Base_Bruta!M1544)))</f>
        <v>MG</v>
      </c>
      <c r="O1544" s="4" t="str">
        <f aca="false">IF($A1544="","",_xlfn.XLOOKUP(LOWER(TRIM(Base_Bruta!N1544)),DePara_Pais!$A$2:$A$9,DePara_Pais!$B$2:$B$9,"REVISAR"))</f>
        <v>Brasil</v>
      </c>
      <c r="P1544" s="4" t="str">
        <f aca="false">IF($A1544="","",IF(O1544&lt;&gt;"Brasil","Turista Internacional",IF(M1544=F1544,"Local","Turista Nacional")))</f>
        <v>Local</v>
      </c>
      <c r="Q1544" s="7" t="n">
        <f aca="false">IF($A1544="","",DATE(YEAR(B1544),MONTH(B1544),1))</f>
        <v>45717</v>
      </c>
      <c r="R1544" s="4" t="str">
        <f aca="false">IF($A1544="","",IF(COUNTIF($A$2:$A1544,$A1544)&gt;1,"Sim","Não"))</f>
        <v>Não</v>
      </c>
      <c r="S1544" s="4" t="str">
        <f aca="false">IF(A1544="","Descartar - Linha vazia",IF(R1544="Sim","Descartar - Duplicado",IF(OR(H1544&lt;=0,I1544&lt;=0),"Descartar - Qtd/Valor inválido","OK")))</f>
        <v>OK</v>
      </c>
      <c r="T1544" s="4" t="str">
        <f aca="false">Base_Bruta!P1544</f>
        <v>vendas_MG.csv</v>
      </c>
    </row>
    <row r="1545" customFormat="false" ht="15" hidden="false" customHeight="false" outlineLevel="0" collapsed="false">
      <c r="A1545" s="4" t="str">
        <f aca="false">IF(Base_Bruta!A1545="","",Base_Bruta!A1545)</f>
        <v>MG-000477</v>
      </c>
      <c r="B1545" s="5" t="n">
        <f aca="false">IF($A1545="","",IF(ISNUMBER(Base_Bruta!B1545),Base_Bruta!B1545,IF(MID(Base_Bruta!B1545,5,1)="-",DATE(VALUE(LEFT(Base_Bruta!B1545,4)),VALUE(MID(Base_Bruta!B1545,6,2)),VALUE(RIGHT(Base_Bruta!B1545,2))),DATE(VALUE(RIGHT(Base_Bruta!B1545,4)),VALUE(MID(Base_Bruta!B1545,4,2)),VALUE(LEFT(Base_Bruta!B1545,2))))))</f>
        <v>45724</v>
      </c>
      <c r="C1545" s="5" t="n">
        <f aca="false">IF($A1545="","",IF(ISNUMBER(Base_Bruta!C1545),Base_Bruta!C1545,IF(MID(Base_Bruta!C1545,5,1)="-",DATE(VALUE(LEFT(Base_Bruta!C1545,4)),VALUE(MID(Base_Bruta!C1545,6,2)),VALUE(RIGHT(Base_Bruta!C1545,2))),DATE(VALUE(RIGHT(Base_Bruta!C1545,4)),VALUE(MID(Base_Bruta!C1545,4,2)),VALUE(LEFT(Base_Bruta!C1545,2))))))</f>
        <v>45726</v>
      </c>
      <c r="D1545" s="4" t="str">
        <f aca="false">IF($A1545="","",TRIM(Base_Bruta!D1545))</f>
        <v>Cinema Savassi - Sessões</v>
      </c>
      <c r="E1545" s="4" t="str">
        <f aca="false">IF($A1545="","",_xlfn.XLOOKUP(LOWER(TRIM(Base_Bruta!E1545)),DePara_Categoria!$A$2:$A$9,DePara_Categoria!$B$2:$B$9,"REVISAR"))</f>
        <v>Cinema</v>
      </c>
      <c r="F1545" s="4" t="str">
        <f aca="false">IF($A1545="","",_xlfn.XLOOKUP(LOWER(TRIM(Base_Bruta!F1545)),DePara_Cidade!$A$2:$A$29,DePara_Cidade!$B$2:$B$29,"REVISAR"))</f>
        <v>Belo Horizonte</v>
      </c>
      <c r="G1545" s="4" t="str">
        <f aca="false">IF($A1545="","",TRIM(Base_Bruta!G1545))</f>
        <v>Meia</v>
      </c>
      <c r="H1545" s="4" t="n">
        <f aca="false">IF($A1545="","",IF(ISNUMBER(Base_Bruta!H1545),Base_Bruta!H1545,IFERROR(_xlfn.NUMBERVALUE(TRIM(SUBSTITUTE(Base_Bruta!H1545,"R$","")),",","."),0)))</f>
        <v>4</v>
      </c>
      <c r="I1545" s="6" t="n">
        <f aca="false">IF($A1545="","",IF(ISNUMBER(Base_Bruta!I1545),Base_Bruta!I1545,IFERROR(_xlfn.NUMBERVALUE(TRIM(SUBSTITUTE(Base_Bruta!I1545,"R$","")),",","."),0)))</f>
        <v>20</v>
      </c>
      <c r="J1545" s="6" t="n">
        <f aca="false">IF($A1545="","",H1545*I1545)</f>
        <v>80</v>
      </c>
      <c r="K1545" s="4" t="str">
        <f aca="false">IF($A1545="","",TRIM(Base_Bruta!J1545))</f>
        <v>App</v>
      </c>
      <c r="L1545" s="4" t="str">
        <f aca="false">IF($A1545="","",TRIM(Base_Bruta!K1545))</f>
        <v>C00937</v>
      </c>
      <c r="M1545" s="4" t="str">
        <f aca="false">IF($A1545="","",_xlfn.XLOOKUP(LOWER(TRIM(Base_Bruta!L1545)),DePara_Cidade!$A$2:$A$29,DePara_Cidade!$B$2:$B$29,"REVISAR"))</f>
        <v>Belo Horizonte</v>
      </c>
      <c r="N1545" s="4" t="str">
        <f aca="false">IF($A1545="","",UPPER(TRIM(Base_Bruta!M1545)))</f>
        <v>MG</v>
      </c>
      <c r="O1545" s="4" t="str">
        <f aca="false">IF($A1545="","",_xlfn.XLOOKUP(LOWER(TRIM(Base_Bruta!N1545)),DePara_Pais!$A$2:$A$9,DePara_Pais!$B$2:$B$9,"REVISAR"))</f>
        <v>Brasil</v>
      </c>
      <c r="P1545" s="4" t="str">
        <f aca="false">IF($A1545="","",IF(O1545&lt;&gt;"Brasil","Turista Internacional",IF(M1545=F1545,"Local","Turista Nacional")))</f>
        <v>Local</v>
      </c>
      <c r="Q1545" s="7" t="n">
        <f aca="false">IF($A1545="","",DATE(YEAR(B1545),MONTH(B1545),1))</f>
        <v>45717</v>
      </c>
      <c r="R1545" s="4" t="str">
        <f aca="false">IF($A1545="","",IF(COUNTIF($A$2:$A1545,$A1545)&gt;1,"Sim","Não"))</f>
        <v>Não</v>
      </c>
      <c r="S1545" s="4" t="str">
        <f aca="false">IF(A1545="","Descartar - Linha vazia",IF(R1545="Sim","Descartar - Duplicado",IF(OR(H1545&lt;=0,I1545&lt;=0),"Descartar - Qtd/Valor inválido","OK")))</f>
        <v>OK</v>
      </c>
      <c r="T1545" s="4" t="str">
        <f aca="false">Base_Bruta!P1545</f>
        <v>vendas_MG.csv</v>
      </c>
    </row>
    <row r="1546" customFormat="false" ht="15" hidden="false" customHeight="false" outlineLevel="0" collapsed="false">
      <c r="A1546" s="4" t="str">
        <f aca="false">IF(Base_Bruta!A1546="","",Base_Bruta!A1546)</f>
        <v>MG-000448</v>
      </c>
      <c r="B1546" s="5" t="n">
        <f aca="false">IF($A1546="","",IF(ISNUMBER(Base_Bruta!B1546),Base_Bruta!B1546,IF(MID(Base_Bruta!B1546,5,1)="-",DATE(VALUE(LEFT(Base_Bruta!B1546,4)),VALUE(MID(Base_Bruta!B1546,6,2)),VALUE(RIGHT(Base_Bruta!B1546,2))),DATE(VALUE(RIGHT(Base_Bruta!B1546,4)),VALUE(MID(Base_Bruta!B1546,4,2)),VALUE(LEFT(Base_Bruta!B1546,2))))))</f>
        <v>45727</v>
      </c>
      <c r="C1546" s="5" t="n">
        <f aca="false">IF($A1546="","",IF(ISNUMBER(Base_Bruta!C1546),Base_Bruta!C1546,IF(MID(Base_Bruta!C1546,5,1)="-",DATE(VALUE(LEFT(Base_Bruta!C1546,4)),VALUE(MID(Base_Bruta!C1546,6,2)),VALUE(RIGHT(Base_Bruta!C1546,2))),DATE(VALUE(RIGHT(Base_Bruta!C1546,4)),VALUE(MID(Base_Bruta!C1546,4,2)),VALUE(LEFT(Base_Bruta!C1546,2))))))</f>
        <v>45729</v>
      </c>
      <c r="D1546" s="4" t="str">
        <f aca="false">IF($A1546="","",TRIM(Base_Bruta!D1546))</f>
        <v>Cinema Savassi - Sessões</v>
      </c>
      <c r="E1546" s="4" t="str">
        <f aca="false">IF($A1546="","",_xlfn.XLOOKUP(LOWER(TRIM(Base_Bruta!E1546)),DePara_Categoria!$A$2:$A$9,DePara_Categoria!$B$2:$B$9,"REVISAR"))</f>
        <v>Cinema</v>
      </c>
      <c r="F1546" s="4" t="str">
        <f aca="false">IF($A1546="","",_xlfn.XLOOKUP(LOWER(TRIM(Base_Bruta!F1546)),DePara_Cidade!$A$2:$A$29,DePara_Cidade!$B$2:$B$29,"REVISAR"))</f>
        <v>Belo Horizonte</v>
      </c>
      <c r="G1546" s="4" t="str">
        <f aca="false">IF($A1546="","",TRIM(Base_Bruta!G1546))</f>
        <v>Inteira</v>
      </c>
      <c r="H1546" s="4" t="n">
        <f aca="false">IF($A1546="","",IF(ISNUMBER(Base_Bruta!H1546),Base_Bruta!H1546,IFERROR(_xlfn.NUMBERVALUE(TRIM(SUBSTITUTE(Base_Bruta!H1546,"R$","")),",","."),0)))</f>
        <v>1</v>
      </c>
      <c r="I1546" s="6" t="n">
        <f aca="false">IF($A1546="","",IF(ISNUMBER(Base_Bruta!I1546),Base_Bruta!I1546,IFERROR(_xlfn.NUMBERVALUE(TRIM(SUBSTITUTE(Base_Bruta!I1546,"R$","")),",","."),0)))</f>
        <v>30</v>
      </c>
      <c r="J1546" s="6" t="n">
        <f aca="false">IF($A1546="","",H1546*I1546)</f>
        <v>30</v>
      </c>
      <c r="K1546" s="4" t="str">
        <f aca="false">IF($A1546="","",TRIM(Base_Bruta!J1546))</f>
        <v>Site</v>
      </c>
      <c r="L1546" s="4" t="str">
        <f aca="false">IF($A1546="","",TRIM(Base_Bruta!K1546))</f>
        <v>C02253</v>
      </c>
      <c r="M1546" s="4" t="str">
        <f aca="false">IF($A1546="","",_xlfn.XLOOKUP(LOWER(TRIM(Base_Bruta!L1546)),DePara_Cidade!$A$2:$A$29,DePara_Cidade!$B$2:$B$29,"REVISAR"))</f>
        <v>Belo Horizonte</v>
      </c>
      <c r="N1546" s="4" t="str">
        <f aca="false">IF($A1546="","",UPPER(TRIM(Base_Bruta!M1546)))</f>
        <v>MG</v>
      </c>
      <c r="O1546" s="4" t="str">
        <f aca="false">IF($A1546="","",_xlfn.XLOOKUP(LOWER(TRIM(Base_Bruta!N1546)),DePara_Pais!$A$2:$A$9,DePara_Pais!$B$2:$B$9,"REVISAR"))</f>
        <v>Brasil</v>
      </c>
      <c r="P1546" s="4" t="str">
        <f aca="false">IF($A1546="","",IF(O1546&lt;&gt;"Brasil","Turista Internacional",IF(M1546=F1546,"Local","Turista Nacional")))</f>
        <v>Local</v>
      </c>
      <c r="Q1546" s="7" t="n">
        <f aca="false">IF($A1546="","",DATE(YEAR(B1546),MONTH(B1546),1))</f>
        <v>45717</v>
      </c>
      <c r="R1546" s="4" t="str">
        <f aca="false">IF($A1546="","",IF(COUNTIF($A$2:$A1546,$A1546)&gt;1,"Sim","Não"))</f>
        <v>Não</v>
      </c>
      <c r="S1546" s="4" t="str">
        <f aca="false">IF(A1546="","Descartar - Linha vazia",IF(R1546="Sim","Descartar - Duplicado",IF(OR(H1546&lt;=0,I1546&lt;=0),"Descartar - Qtd/Valor inválido","OK")))</f>
        <v>OK</v>
      </c>
      <c r="T1546" s="4" t="str">
        <f aca="false">Base_Bruta!P1546</f>
        <v>vendas_MG.csv</v>
      </c>
    </row>
    <row r="1547" customFormat="false" ht="15" hidden="false" customHeight="false" outlineLevel="0" collapsed="false">
      <c r="A1547" s="4" t="str">
        <f aca="false">IF(Base_Bruta!A1547="","",Base_Bruta!A1547)</f>
        <v>MG-000449</v>
      </c>
      <c r="B1547" s="5" t="n">
        <f aca="false">IF($A1547="","",IF(ISNUMBER(Base_Bruta!B1547),Base_Bruta!B1547,IF(MID(Base_Bruta!B1547,5,1)="-",DATE(VALUE(LEFT(Base_Bruta!B1547,4)),VALUE(MID(Base_Bruta!B1547,6,2)),VALUE(RIGHT(Base_Bruta!B1547,2))),DATE(VALUE(RIGHT(Base_Bruta!B1547,4)),VALUE(MID(Base_Bruta!B1547,4,2)),VALUE(LEFT(Base_Bruta!B1547,2))))))</f>
        <v>45727</v>
      </c>
      <c r="C1547" s="5" t="n">
        <f aca="false">IF($A1547="","",IF(ISNUMBER(Base_Bruta!C1547),Base_Bruta!C1547,IF(MID(Base_Bruta!C1547,5,1)="-",DATE(VALUE(LEFT(Base_Bruta!C1547,4)),VALUE(MID(Base_Bruta!C1547,6,2)),VALUE(RIGHT(Base_Bruta!C1547,2))),DATE(VALUE(RIGHT(Base_Bruta!C1547,4)),VALUE(MID(Base_Bruta!C1547,4,2)),VALUE(LEFT(Base_Bruta!C1547,2))))))</f>
        <v>45729</v>
      </c>
      <c r="D1547" s="4" t="str">
        <f aca="false">IF($A1547="","",TRIM(Base_Bruta!D1547))</f>
        <v>Cinema Savassi - Sessões</v>
      </c>
      <c r="E1547" s="4" t="str">
        <f aca="false">IF($A1547="","",_xlfn.XLOOKUP(LOWER(TRIM(Base_Bruta!E1547)),DePara_Categoria!$A$2:$A$9,DePara_Categoria!$B$2:$B$9,"REVISAR"))</f>
        <v>Cinema</v>
      </c>
      <c r="F1547" s="4" t="str">
        <f aca="false">IF($A1547="","",_xlfn.XLOOKUP(LOWER(TRIM(Base_Bruta!F1547)),DePara_Cidade!$A$2:$A$29,DePara_Cidade!$B$2:$B$29,"REVISAR"))</f>
        <v>Belo Horizonte</v>
      </c>
      <c r="G1547" s="4" t="str">
        <f aca="false">IF($A1547="","",TRIM(Base_Bruta!G1547))</f>
        <v>Inteira</v>
      </c>
      <c r="H1547" s="4" t="n">
        <f aca="false">IF($A1547="","",IF(ISNUMBER(Base_Bruta!H1547),Base_Bruta!H1547,IFERROR(_xlfn.NUMBERVALUE(TRIM(SUBSTITUTE(Base_Bruta!H1547,"R$","")),",","."),0)))</f>
        <v>3</v>
      </c>
      <c r="I1547" s="6" t="n">
        <f aca="false">IF($A1547="","",IF(ISNUMBER(Base_Bruta!I1547),Base_Bruta!I1547,IFERROR(_xlfn.NUMBERVALUE(TRIM(SUBSTITUTE(Base_Bruta!I1547,"R$","")),",","."),0)))</f>
        <v>30</v>
      </c>
      <c r="J1547" s="6" t="n">
        <f aca="false">IF($A1547="","",H1547*I1547)</f>
        <v>90</v>
      </c>
      <c r="K1547" s="4" t="str">
        <f aca="false">IF($A1547="","",TRIM(Base_Bruta!J1547))</f>
        <v>Site</v>
      </c>
      <c r="L1547" s="4" t="str">
        <f aca="false">IF($A1547="","",TRIM(Base_Bruta!K1547))</f>
        <v>C00480</v>
      </c>
      <c r="M1547" s="4" t="str">
        <f aca="false">IF($A1547="","",_xlfn.XLOOKUP(LOWER(TRIM(Base_Bruta!L1547)),DePara_Cidade!$A$2:$A$29,DePara_Cidade!$B$2:$B$29,"REVISAR"))</f>
        <v>Belo Horizonte</v>
      </c>
      <c r="N1547" s="4" t="str">
        <f aca="false">IF($A1547="","",UPPER(TRIM(Base_Bruta!M1547)))</f>
        <v>MG</v>
      </c>
      <c r="O1547" s="4" t="str">
        <f aca="false">IF($A1547="","",_xlfn.XLOOKUP(LOWER(TRIM(Base_Bruta!N1547)),DePara_Pais!$A$2:$A$9,DePara_Pais!$B$2:$B$9,"REVISAR"))</f>
        <v>Brasil</v>
      </c>
      <c r="P1547" s="4" t="str">
        <f aca="false">IF($A1547="","",IF(O1547&lt;&gt;"Brasil","Turista Internacional",IF(M1547=F1547,"Local","Turista Nacional")))</f>
        <v>Local</v>
      </c>
      <c r="Q1547" s="7" t="n">
        <f aca="false">IF($A1547="","",DATE(YEAR(B1547),MONTH(B1547),1))</f>
        <v>45717</v>
      </c>
      <c r="R1547" s="4" t="str">
        <f aca="false">IF($A1547="","",IF(COUNTIF($A$2:$A1547,$A1547)&gt;1,"Sim","Não"))</f>
        <v>Não</v>
      </c>
      <c r="S1547" s="4" t="str">
        <f aca="false">IF(A1547="","Descartar - Linha vazia",IF(R1547="Sim","Descartar - Duplicado",IF(OR(H1547&lt;=0,I1547&lt;=0),"Descartar - Qtd/Valor inválido","OK")))</f>
        <v>OK</v>
      </c>
      <c r="T1547" s="4" t="str">
        <f aca="false">Base_Bruta!P1547</f>
        <v>vendas_MG.csv</v>
      </c>
    </row>
    <row r="1548" customFormat="false" ht="15" hidden="false" customHeight="false" outlineLevel="0" collapsed="false">
      <c r="A1548" s="4" t="str">
        <f aca="false">IF(Base_Bruta!A1548="","",Base_Bruta!A1548)</f>
        <v>MG-000532</v>
      </c>
      <c r="B1548" s="5" t="n">
        <f aca="false">IF($A1548="","",IF(ISNUMBER(Base_Bruta!B1548),Base_Bruta!B1548,IF(MID(Base_Bruta!B1548,5,1)="-",DATE(VALUE(LEFT(Base_Bruta!B1548,4)),VALUE(MID(Base_Bruta!B1548,6,2)),VALUE(RIGHT(Base_Bruta!B1548,2))),DATE(VALUE(RIGHT(Base_Bruta!B1548,4)),VALUE(MID(Base_Bruta!B1548,4,2)),VALUE(LEFT(Base_Bruta!B1548,2))))))</f>
        <v>45728</v>
      </c>
      <c r="C1548" s="5" t="n">
        <f aca="false">IF($A1548="","",IF(ISNUMBER(Base_Bruta!C1548),Base_Bruta!C1548,IF(MID(Base_Bruta!C1548,5,1)="-",DATE(VALUE(LEFT(Base_Bruta!C1548,4)),VALUE(MID(Base_Bruta!C1548,6,2)),VALUE(RIGHT(Base_Bruta!C1548,2))),DATE(VALUE(RIGHT(Base_Bruta!C1548,4)),VALUE(MID(Base_Bruta!C1548,4,2)),VALUE(LEFT(Base_Bruta!C1548,2))))))</f>
        <v>45728</v>
      </c>
      <c r="D1548" s="4" t="str">
        <f aca="false">IF($A1548="","",TRIM(Base_Bruta!D1548))</f>
        <v>Cinema Savassi - Sessões</v>
      </c>
      <c r="E1548" s="4" t="str">
        <f aca="false">IF($A1548="","",_xlfn.XLOOKUP(LOWER(TRIM(Base_Bruta!E1548)),DePara_Categoria!$A$2:$A$9,DePara_Categoria!$B$2:$B$9,"REVISAR"))</f>
        <v>Cinema</v>
      </c>
      <c r="F1548" s="4" t="str">
        <f aca="false">IF($A1548="","",_xlfn.XLOOKUP(LOWER(TRIM(Base_Bruta!F1548)),DePara_Cidade!$A$2:$A$29,DePara_Cidade!$B$2:$B$29,"REVISAR"))</f>
        <v>Belo Horizonte</v>
      </c>
      <c r="G1548" s="4" t="str">
        <f aca="false">IF($A1548="","",TRIM(Base_Bruta!G1548))</f>
        <v>Inteira</v>
      </c>
      <c r="H1548" s="4" t="n">
        <f aca="false">IF($A1548="","",IF(ISNUMBER(Base_Bruta!H1548),Base_Bruta!H1548,IFERROR(_xlfn.NUMBERVALUE(TRIM(SUBSTITUTE(Base_Bruta!H1548,"R$","")),",","."),0)))</f>
        <v>2</v>
      </c>
      <c r="I1548" s="6" t="n">
        <f aca="false">IF($A1548="","",IF(ISNUMBER(Base_Bruta!I1548),Base_Bruta!I1548,IFERROR(_xlfn.NUMBERVALUE(TRIM(SUBSTITUTE(Base_Bruta!I1548,"R$","")),",","."),0)))</f>
        <v>45</v>
      </c>
      <c r="J1548" s="6" t="n">
        <f aca="false">IF($A1548="","",H1548*I1548)</f>
        <v>90</v>
      </c>
      <c r="K1548" s="4" t="str">
        <f aca="false">IF($A1548="","",TRIM(Base_Bruta!J1548))</f>
        <v>Site</v>
      </c>
      <c r="L1548" s="4" t="str">
        <f aca="false">IF($A1548="","",TRIM(Base_Bruta!K1548))</f>
        <v>C01809</v>
      </c>
      <c r="M1548" s="4" t="str">
        <f aca="false">IF($A1548="","",_xlfn.XLOOKUP(LOWER(TRIM(Base_Bruta!L1548)),DePara_Cidade!$A$2:$A$29,DePara_Cidade!$B$2:$B$29,"REVISAR"))</f>
        <v>Belo Horizonte</v>
      </c>
      <c r="N1548" s="4" t="str">
        <f aca="false">IF($A1548="","",UPPER(TRIM(Base_Bruta!M1548)))</f>
        <v>MG</v>
      </c>
      <c r="O1548" s="4" t="str">
        <f aca="false">IF($A1548="","",_xlfn.XLOOKUP(LOWER(TRIM(Base_Bruta!N1548)),DePara_Pais!$A$2:$A$9,DePara_Pais!$B$2:$B$9,"REVISAR"))</f>
        <v>Brasil</v>
      </c>
      <c r="P1548" s="4" t="str">
        <f aca="false">IF($A1548="","",IF(O1548&lt;&gt;"Brasil","Turista Internacional",IF(M1548=F1548,"Local","Turista Nacional")))</f>
        <v>Local</v>
      </c>
      <c r="Q1548" s="7" t="n">
        <f aca="false">IF($A1548="","",DATE(YEAR(B1548),MONTH(B1548),1))</f>
        <v>45717</v>
      </c>
      <c r="R1548" s="4" t="str">
        <f aca="false">IF($A1548="","",IF(COUNTIF($A$2:$A1548,$A1548)&gt;1,"Sim","Não"))</f>
        <v>Não</v>
      </c>
      <c r="S1548" s="4" t="str">
        <f aca="false">IF(A1548="","Descartar - Linha vazia",IF(R1548="Sim","Descartar - Duplicado",IF(OR(H1548&lt;=0,I1548&lt;=0),"Descartar - Qtd/Valor inválido","OK")))</f>
        <v>OK</v>
      </c>
      <c r="T1548" s="4" t="str">
        <f aca="false">Base_Bruta!P1548</f>
        <v>vendas_MG.csv</v>
      </c>
    </row>
    <row r="1549" customFormat="false" ht="15" hidden="false" customHeight="false" outlineLevel="0" collapsed="false">
      <c r="A1549" s="4" t="str">
        <f aca="false">IF(Base_Bruta!A1549="","",Base_Bruta!A1549)</f>
        <v>MG-000531</v>
      </c>
      <c r="B1549" s="5" t="n">
        <f aca="false">IF($A1549="","",IF(ISNUMBER(Base_Bruta!B1549),Base_Bruta!B1549,IF(MID(Base_Bruta!B1549,5,1)="-",DATE(VALUE(LEFT(Base_Bruta!B1549,4)),VALUE(MID(Base_Bruta!B1549,6,2)),VALUE(RIGHT(Base_Bruta!B1549,2))),DATE(VALUE(RIGHT(Base_Bruta!B1549,4)),VALUE(MID(Base_Bruta!B1549,4,2)),VALUE(LEFT(Base_Bruta!B1549,2))))))</f>
        <v>45730</v>
      </c>
      <c r="C1549" s="5" t="n">
        <f aca="false">IF($A1549="","",IF(ISNUMBER(Base_Bruta!C1549),Base_Bruta!C1549,IF(MID(Base_Bruta!C1549,5,1)="-",DATE(VALUE(LEFT(Base_Bruta!C1549,4)),VALUE(MID(Base_Bruta!C1549,6,2)),VALUE(RIGHT(Base_Bruta!C1549,2))),DATE(VALUE(RIGHT(Base_Bruta!C1549,4)),VALUE(MID(Base_Bruta!C1549,4,2)),VALUE(LEFT(Base_Bruta!C1549,2))))))</f>
        <v>45730</v>
      </c>
      <c r="D1549" s="4" t="str">
        <f aca="false">IF($A1549="","",TRIM(Base_Bruta!D1549))</f>
        <v>Cinema Savassi - Sessões</v>
      </c>
      <c r="E1549" s="4" t="str">
        <f aca="false">IF($A1549="","",_xlfn.XLOOKUP(LOWER(TRIM(Base_Bruta!E1549)),DePara_Categoria!$A$2:$A$9,DePara_Categoria!$B$2:$B$9,"REVISAR"))</f>
        <v>Cinema</v>
      </c>
      <c r="F1549" s="4" t="str">
        <f aca="false">IF($A1549="","",_xlfn.XLOOKUP(LOWER(TRIM(Base_Bruta!F1549)),DePara_Cidade!$A$2:$A$29,DePara_Cidade!$B$2:$B$29,"REVISAR"))</f>
        <v>Belo Horizonte</v>
      </c>
      <c r="G1549" s="4" t="str">
        <f aca="false">IF($A1549="","",TRIM(Base_Bruta!G1549))</f>
        <v>Inteira</v>
      </c>
      <c r="H1549" s="4" t="n">
        <f aca="false">IF($A1549="","",IF(ISNUMBER(Base_Bruta!H1549),Base_Bruta!H1549,IFERROR(_xlfn.NUMBERVALUE(TRIM(SUBSTITUTE(Base_Bruta!H1549,"R$","")),",","."),0)))</f>
        <v>1</v>
      </c>
      <c r="I1549" s="6" t="n">
        <f aca="false">IF($A1549="","",IF(ISNUMBER(Base_Bruta!I1549),Base_Bruta!I1549,IFERROR(_xlfn.NUMBERVALUE(TRIM(SUBSTITUTE(Base_Bruta!I1549,"R$","")),",","."),0)))</f>
        <v>40</v>
      </c>
      <c r="J1549" s="6" t="n">
        <f aca="false">IF($A1549="","",H1549*I1549)</f>
        <v>40</v>
      </c>
      <c r="K1549" s="4" t="str">
        <f aca="false">IF($A1549="","",TRIM(Base_Bruta!J1549))</f>
        <v>Parceiro</v>
      </c>
      <c r="L1549" s="4" t="str">
        <f aca="false">IF($A1549="","",TRIM(Base_Bruta!K1549))</f>
        <v>C01631</v>
      </c>
      <c r="M1549" s="4" t="str">
        <f aca="false">IF($A1549="","",_xlfn.XLOOKUP(LOWER(TRIM(Base_Bruta!L1549)),DePara_Cidade!$A$2:$A$29,DePara_Cidade!$B$2:$B$29,"REVISAR"))</f>
        <v>Belo Horizonte</v>
      </c>
      <c r="N1549" s="4" t="str">
        <f aca="false">IF($A1549="","",UPPER(TRIM(Base_Bruta!M1549)))</f>
        <v>MG</v>
      </c>
      <c r="O1549" s="4" t="str">
        <f aca="false">IF($A1549="","",_xlfn.XLOOKUP(LOWER(TRIM(Base_Bruta!N1549)),DePara_Pais!$A$2:$A$9,DePara_Pais!$B$2:$B$9,"REVISAR"))</f>
        <v>Brasil</v>
      </c>
      <c r="P1549" s="4" t="str">
        <f aca="false">IF($A1549="","",IF(O1549&lt;&gt;"Brasil","Turista Internacional",IF(M1549=F1549,"Local","Turista Nacional")))</f>
        <v>Local</v>
      </c>
      <c r="Q1549" s="7" t="n">
        <f aca="false">IF($A1549="","",DATE(YEAR(B1549),MONTH(B1549),1))</f>
        <v>45717</v>
      </c>
      <c r="R1549" s="4" t="str">
        <f aca="false">IF($A1549="","",IF(COUNTIF($A$2:$A1549,$A1549)&gt;1,"Sim","Não"))</f>
        <v>Não</v>
      </c>
      <c r="S1549" s="4" t="str">
        <f aca="false">IF(A1549="","Descartar - Linha vazia",IF(R1549="Sim","Descartar - Duplicado",IF(OR(H1549&lt;=0,I1549&lt;=0),"Descartar - Qtd/Valor inválido","OK")))</f>
        <v>OK</v>
      </c>
      <c r="T1549" s="4" t="str">
        <f aca="false">Base_Bruta!P1549</f>
        <v>vendas_MG.csv</v>
      </c>
    </row>
    <row r="1550" customFormat="false" ht="15" hidden="false" customHeight="false" outlineLevel="0" collapsed="false">
      <c r="A1550" s="4" t="str">
        <f aca="false">IF(Base_Bruta!A1550="","",Base_Bruta!A1550)</f>
        <v>MG-000521</v>
      </c>
      <c r="B1550" s="5" t="n">
        <f aca="false">IF($A1550="","",IF(ISNUMBER(Base_Bruta!B1550),Base_Bruta!B1550,IF(MID(Base_Bruta!B1550,5,1)="-",DATE(VALUE(LEFT(Base_Bruta!B1550,4)),VALUE(MID(Base_Bruta!B1550,6,2)),VALUE(RIGHT(Base_Bruta!B1550,2))),DATE(VALUE(RIGHT(Base_Bruta!B1550,4)),VALUE(MID(Base_Bruta!B1550,4,2)),VALUE(LEFT(Base_Bruta!B1550,2))))))</f>
        <v>45731</v>
      </c>
      <c r="C1550" s="5" t="n">
        <f aca="false">IF($A1550="","",IF(ISNUMBER(Base_Bruta!C1550),Base_Bruta!C1550,IF(MID(Base_Bruta!C1550,5,1)="-",DATE(VALUE(LEFT(Base_Bruta!C1550,4)),VALUE(MID(Base_Bruta!C1550,6,2)),VALUE(RIGHT(Base_Bruta!C1550,2))),DATE(VALUE(RIGHT(Base_Bruta!C1550,4)),VALUE(MID(Base_Bruta!C1550,4,2)),VALUE(LEFT(Base_Bruta!C1550,2))))))</f>
        <v>45732</v>
      </c>
      <c r="D1550" s="4" t="str">
        <f aca="false">IF($A1550="","",TRIM(Base_Bruta!D1550))</f>
        <v>Cinema Savassi - Sessões</v>
      </c>
      <c r="E1550" s="4" t="str">
        <f aca="false">IF($A1550="","",_xlfn.XLOOKUP(LOWER(TRIM(Base_Bruta!E1550)),DePara_Categoria!$A$2:$A$9,DePara_Categoria!$B$2:$B$9,"REVISAR"))</f>
        <v>Cinema</v>
      </c>
      <c r="F1550" s="4" t="str">
        <f aca="false">IF($A1550="","",_xlfn.XLOOKUP(LOWER(TRIM(Base_Bruta!F1550)),DePara_Cidade!$A$2:$A$29,DePara_Cidade!$B$2:$B$29,"REVISAR"))</f>
        <v>Belo Horizonte</v>
      </c>
      <c r="G1550" s="4" t="str">
        <f aca="false">IF($A1550="","",TRIM(Base_Bruta!G1550))</f>
        <v>Inteira</v>
      </c>
      <c r="H1550" s="4" t="n">
        <f aca="false">IF($A1550="","",IF(ISNUMBER(Base_Bruta!H1550),Base_Bruta!H1550,IFERROR(_xlfn.NUMBERVALUE(TRIM(SUBSTITUTE(Base_Bruta!H1550,"R$","")),",","."),0)))</f>
        <v>2</v>
      </c>
      <c r="I1550" s="6" t="n">
        <f aca="false">IF($A1550="","",IF(ISNUMBER(Base_Bruta!I1550),Base_Bruta!I1550,IFERROR(_xlfn.NUMBERVALUE(TRIM(SUBSTITUTE(Base_Bruta!I1550,"R$","")),",","."),0)))</f>
        <v>40</v>
      </c>
      <c r="J1550" s="6" t="n">
        <f aca="false">IF($A1550="","",H1550*I1550)</f>
        <v>80</v>
      </c>
      <c r="K1550" s="4" t="str">
        <f aca="false">IF($A1550="","",TRIM(Base_Bruta!J1550))</f>
        <v>Site</v>
      </c>
      <c r="L1550" s="4" t="str">
        <f aca="false">IF($A1550="","",TRIM(Base_Bruta!K1550))</f>
        <v>C00627</v>
      </c>
      <c r="M1550" s="4" t="str">
        <f aca="false">IF($A1550="","",_xlfn.XLOOKUP(LOWER(TRIM(Base_Bruta!L1550)),DePara_Cidade!$A$2:$A$29,DePara_Cidade!$B$2:$B$29,"REVISAR"))</f>
        <v>Belo Horizonte</v>
      </c>
      <c r="N1550" s="4" t="str">
        <f aca="false">IF($A1550="","",UPPER(TRIM(Base_Bruta!M1550)))</f>
        <v>MG</v>
      </c>
      <c r="O1550" s="4" t="str">
        <f aca="false">IF($A1550="","",_xlfn.XLOOKUP(LOWER(TRIM(Base_Bruta!N1550)),DePara_Pais!$A$2:$A$9,DePara_Pais!$B$2:$B$9,"REVISAR"))</f>
        <v>Brasil</v>
      </c>
      <c r="P1550" s="4" t="str">
        <f aca="false">IF($A1550="","",IF(O1550&lt;&gt;"Brasil","Turista Internacional",IF(M1550=F1550,"Local","Turista Nacional")))</f>
        <v>Local</v>
      </c>
      <c r="Q1550" s="7" t="n">
        <f aca="false">IF($A1550="","",DATE(YEAR(B1550),MONTH(B1550),1))</f>
        <v>45717</v>
      </c>
      <c r="R1550" s="4" t="str">
        <f aca="false">IF($A1550="","",IF(COUNTIF($A$2:$A1550,$A1550)&gt;1,"Sim","Não"))</f>
        <v>Não</v>
      </c>
      <c r="S1550" s="4" t="str">
        <f aca="false">IF(A1550="","Descartar - Linha vazia",IF(R1550="Sim","Descartar - Duplicado",IF(OR(H1550&lt;=0,I1550&lt;=0),"Descartar - Qtd/Valor inválido","OK")))</f>
        <v>OK</v>
      </c>
      <c r="T1550" s="4" t="str">
        <f aca="false">Base_Bruta!P1550</f>
        <v>vendas_MG.csv</v>
      </c>
    </row>
    <row r="1551" customFormat="false" ht="15" hidden="false" customHeight="false" outlineLevel="0" collapsed="false">
      <c r="A1551" s="4" t="str">
        <f aca="false">IF(Base_Bruta!A1551="","",Base_Bruta!A1551)</f>
        <v>MG-000483</v>
      </c>
      <c r="B1551" s="5" t="n">
        <f aca="false">IF($A1551="","",IF(ISNUMBER(Base_Bruta!B1551),Base_Bruta!B1551,IF(MID(Base_Bruta!B1551,5,1)="-",DATE(VALUE(LEFT(Base_Bruta!B1551,4)),VALUE(MID(Base_Bruta!B1551,6,2)),VALUE(RIGHT(Base_Bruta!B1551,2))),DATE(VALUE(RIGHT(Base_Bruta!B1551,4)),VALUE(MID(Base_Bruta!B1551,4,2)),VALUE(LEFT(Base_Bruta!B1551,2))))))</f>
        <v>45733</v>
      </c>
      <c r="C1551" s="5" t="n">
        <f aca="false">IF($A1551="","",IF(ISNUMBER(Base_Bruta!C1551),Base_Bruta!C1551,IF(MID(Base_Bruta!C1551,5,1)="-",DATE(VALUE(LEFT(Base_Bruta!C1551,4)),VALUE(MID(Base_Bruta!C1551,6,2)),VALUE(RIGHT(Base_Bruta!C1551,2))),DATE(VALUE(RIGHT(Base_Bruta!C1551,4)),VALUE(MID(Base_Bruta!C1551,4,2)),VALUE(LEFT(Base_Bruta!C1551,2))))))</f>
        <v>45734</v>
      </c>
      <c r="D1551" s="4" t="str">
        <f aca="false">IF($A1551="","",TRIM(Base_Bruta!D1551))</f>
        <v>Cinema Savassi - Sessões</v>
      </c>
      <c r="E1551" s="4" t="str">
        <f aca="false">IF($A1551="","",_xlfn.XLOOKUP(LOWER(TRIM(Base_Bruta!E1551)),DePara_Categoria!$A$2:$A$9,DePara_Categoria!$B$2:$B$9,"REVISAR"))</f>
        <v>Cinema</v>
      </c>
      <c r="F1551" s="4" t="str">
        <f aca="false">IF($A1551="","",_xlfn.XLOOKUP(LOWER(TRIM(Base_Bruta!F1551)),DePara_Cidade!$A$2:$A$29,DePara_Cidade!$B$2:$B$29,"REVISAR"))</f>
        <v>Belo Horizonte</v>
      </c>
      <c r="G1551" s="4" t="str">
        <f aca="false">IF($A1551="","",TRIM(Base_Bruta!G1551))</f>
        <v>Inteira</v>
      </c>
      <c r="H1551" s="4" t="n">
        <f aca="false">IF($A1551="","",IF(ISNUMBER(Base_Bruta!H1551),Base_Bruta!H1551,IFERROR(_xlfn.NUMBERVALUE(TRIM(SUBSTITUTE(Base_Bruta!H1551,"R$","")),",","."),0)))</f>
        <v>3</v>
      </c>
      <c r="I1551" s="6" t="n">
        <f aca="false">IF($A1551="","",IF(ISNUMBER(Base_Bruta!I1551),Base_Bruta!I1551,IFERROR(_xlfn.NUMBERVALUE(TRIM(SUBSTITUTE(Base_Bruta!I1551,"R$","")),",","."),0)))</f>
        <v>40</v>
      </c>
      <c r="J1551" s="6" t="n">
        <f aca="false">IF($A1551="","",H1551*I1551)</f>
        <v>120</v>
      </c>
      <c r="K1551" s="4" t="str">
        <f aca="false">IF($A1551="","",TRIM(Base_Bruta!J1551))</f>
        <v>Bilheteria</v>
      </c>
      <c r="L1551" s="4" t="str">
        <f aca="false">IF($A1551="","",TRIM(Base_Bruta!K1551))</f>
        <v>C01242</v>
      </c>
      <c r="M1551" s="4" t="str">
        <f aca="false">IF($A1551="","",_xlfn.XLOOKUP(LOWER(TRIM(Base_Bruta!L1551)),DePara_Cidade!$A$2:$A$29,DePara_Cidade!$B$2:$B$29,"REVISAR"))</f>
        <v>Belo Horizonte</v>
      </c>
      <c r="N1551" s="4" t="str">
        <f aca="false">IF($A1551="","",UPPER(TRIM(Base_Bruta!M1551)))</f>
        <v>MG</v>
      </c>
      <c r="O1551" s="4" t="str">
        <f aca="false">IF($A1551="","",_xlfn.XLOOKUP(LOWER(TRIM(Base_Bruta!N1551)),DePara_Pais!$A$2:$A$9,DePara_Pais!$B$2:$B$9,"REVISAR"))</f>
        <v>Brasil</v>
      </c>
      <c r="P1551" s="4" t="str">
        <f aca="false">IF($A1551="","",IF(O1551&lt;&gt;"Brasil","Turista Internacional",IF(M1551=F1551,"Local","Turista Nacional")))</f>
        <v>Local</v>
      </c>
      <c r="Q1551" s="7" t="n">
        <f aca="false">IF($A1551="","",DATE(YEAR(B1551),MONTH(B1551),1))</f>
        <v>45717</v>
      </c>
      <c r="R1551" s="4" t="str">
        <f aca="false">IF($A1551="","",IF(COUNTIF($A$2:$A1551,$A1551)&gt;1,"Sim","Não"))</f>
        <v>Não</v>
      </c>
      <c r="S1551" s="4" t="str">
        <f aca="false">IF(A1551="","Descartar - Linha vazia",IF(R1551="Sim","Descartar - Duplicado",IF(OR(H1551&lt;=0,I1551&lt;=0),"Descartar - Qtd/Valor inválido","OK")))</f>
        <v>OK</v>
      </c>
      <c r="T1551" s="4" t="str">
        <f aca="false">Base_Bruta!P1551</f>
        <v>vendas_MG.csv</v>
      </c>
    </row>
    <row r="1552" customFormat="false" ht="15" hidden="false" customHeight="false" outlineLevel="0" collapsed="false">
      <c r="A1552" s="4" t="str">
        <f aca="false">IF(Base_Bruta!A1552="","",Base_Bruta!A1552)</f>
        <v>MG-000418</v>
      </c>
      <c r="B1552" s="5" t="n">
        <f aca="false">IF($A1552="","",IF(ISNUMBER(Base_Bruta!B1552),Base_Bruta!B1552,IF(MID(Base_Bruta!B1552,5,1)="-",DATE(VALUE(LEFT(Base_Bruta!B1552,4)),VALUE(MID(Base_Bruta!B1552,6,2)),VALUE(RIGHT(Base_Bruta!B1552,2))),DATE(VALUE(RIGHT(Base_Bruta!B1552,4)),VALUE(MID(Base_Bruta!B1552,4,2)),VALUE(LEFT(Base_Bruta!B1552,2))))))</f>
        <v>45736</v>
      </c>
      <c r="C1552" s="5" t="n">
        <f aca="false">IF($A1552="","",IF(ISNUMBER(Base_Bruta!C1552),Base_Bruta!C1552,IF(MID(Base_Bruta!C1552,5,1)="-",DATE(VALUE(LEFT(Base_Bruta!C1552,4)),VALUE(MID(Base_Bruta!C1552,6,2)),VALUE(RIGHT(Base_Bruta!C1552,2))),DATE(VALUE(RIGHT(Base_Bruta!C1552,4)),VALUE(MID(Base_Bruta!C1552,4,2)),VALUE(LEFT(Base_Bruta!C1552,2))))))</f>
        <v>45738</v>
      </c>
      <c r="D1552" s="4" t="str">
        <f aca="false">IF($A1552="","",TRIM(Base_Bruta!D1552))</f>
        <v>Cinema Savassi - Sessões</v>
      </c>
      <c r="E1552" s="4" t="str">
        <f aca="false">IF($A1552="","",_xlfn.XLOOKUP(LOWER(TRIM(Base_Bruta!E1552)),DePara_Categoria!$A$2:$A$9,DePara_Categoria!$B$2:$B$9,"REVISAR"))</f>
        <v>Cinema</v>
      </c>
      <c r="F1552" s="4" t="str">
        <f aca="false">IF($A1552="","",_xlfn.XLOOKUP(LOWER(TRIM(Base_Bruta!F1552)),DePara_Cidade!$A$2:$A$29,DePara_Cidade!$B$2:$B$29,"REVISAR"))</f>
        <v>Belo Horizonte</v>
      </c>
      <c r="G1552" s="4" t="str">
        <f aca="false">IF($A1552="","",TRIM(Base_Bruta!G1552))</f>
        <v>Meia</v>
      </c>
      <c r="H1552" s="4" t="n">
        <f aca="false">IF($A1552="","",IF(ISNUMBER(Base_Bruta!H1552),Base_Bruta!H1552,IFERROR(_xlfn.NUMBERVALUE(TRIM(SUBSTITUTE(Base_Bruta!H1552,"R$","")),",","."),0)))</f>
        <v>1</v>
      </c>
      <c r="I1552" s="6" t="n">
        <f aca="false">IF($A1552="","",IF(ISNUMBER(Base_Bruta!I1552),Base_Bruta!I1552,IFERROR(_xlfn.NUMBERVALUE(TRIM(SUBSTITUTE(Base_Bruta!I1552,"R$","")),",","."),0)))</f>
        <v>17.5</v>
      </c>
      <c r="J1552" s="6" t="n">
        <f aca="false">IF($A1552="","",H1552*I1552)</f>
        <v>17.5</v>
      </c>
      <c r="K1552" s="4" t="str">
        <f aca="false">IF($A1552="","",TRIM(Base_Bruta!J1552))</f>
        <v>App</v>
      </c>
      <c r="L1552" s="4" t="str">
        <f aca="false">IF($A1552="","",TRIM(Base_Bruta!K1552))</f>
        <v>C00623</v>
      </c>
      <c r="M1552" s="4" t="str">
        <f aca="false">IF($A1552="","",_xlfn.XLOOKUP(LOWER(TRIM(Base_Bruta!L1552)),DePara_Cidade!$A$2:$A$29,DePara_Cidade!$B$2:$B$29,"REVISAR"))</f>
        <v>Belo Horizonte</v>
      </c>
      <c r="N1552" s="4" t="str">
        <f aca="false">IF($A1552="","",UPPER(TRIM(Base_Bruta!M1552)))</f>
        <v>MG</v>
      </c>
      <c r="O1552" s="4" t="str">
        <f aca="false">IF($A1552="","",_xlfn.XLOOKUP(LOWER(TRIM(Base_Bruta!N1552)),DePara_Pais!$A$2:$A$9,DePara_Pais!$B$2:$B$9,"REVISAR"))</f>
        <v>Brasil</v>
      </c>
      <c r="P1552" s="4" t="str">
        <f aca="false">IF($A1552="","",IF(O1552&lt;&gt;"Brasil","Turista Internacional",IF(M1552=F1552,"Local","Turista Nacional")))</f>
        <v>Local</v>
      </c>
      <c r="Q1552" s="7" t="n">
        <f aca="false">IF($A1552="","",DATE(YEAR(B1552),MONTH(B1552),1))</f>
        <v>45717</v>
      </c>
      <c r="R1552" s="4" t="str">
        <f aca="false">IF($A1552="","",IF(COUNTIF($A$2:$A1552,$A1552)&gt;1,"Sim","Não"))</f>
        <v>Não</v>
      </c>
      <c r="S1552" s="4" t="str">
        <f aca="false">IF(A1552="","Descartar - Linha vazia",IF(R1552="Sim","Descartar - Duplicado",IF(OR(H1552&lt;=0,I1552&lt;=0),"Descartar - Qtd/Valor inválido","OK")))</f>
        <v>OK</v>
      </c>
      <c r="T1552" s="4" t="str">
        <f aca="false">Base_Bruta!P1552</f>
        <v>vendas_MG.csv</v>
      </c>
    </row>
    <row r="1553" customFormat="false" ht="15" hidden="false" customHeight="false" outlineLevel="0" collapsed="false">
      <c r="A1553" s="4" t="str">
        <f aca="false">IF(Base_Bruta!A1553="","",Base_Bruta!A1553)</f>
        <v>MG-000502</v>
      </c>
      <c r="B1553" s="5" t="n">
        <f aca="false">IF($A1553="","",IF(ISNUMBER(Base_Bruta!B1553),Base_Bruta!B1553,IF(MID(Base_Bruta!B1553,5,1)="-",DATE(VALUE(LEFT(Base_Bruta!B1553,4)),VALUE(MID(Base_Bruta!B1553,6,2)),VALUE(RIGHT(Base_Bruta!B1553,2))),DATE(VALUE(RIGHT(Base_Bruta!B1553,4)),VALUE(MID(Base_Bruta!B1553,4,2)),VALUE(LEFT(Base_Bruta!B1553,2))))))</f>
        <v>45737</v>
      </c>
      <c r="C1553" s="5" t="n">
        <f aca="false">IF($A1553="","",IF(ISNUMBER(Base_Bruta!C1553),Base_Bruta!C1553,IF(MID(Base_Bruta!C1553,5,1)="-",DATE(VALUE(LEFT(Base_Bruta!C1553,4)),VALUE(MID(Base_Bruta!C1553,6,2)),VALUE(RIGHT(Base_Bruta!C1553,2))),DATE(VALUE(RIGHT(Base_Bruta!C1553,4)),VALUE(MID(Base_Bruta!C1553,4,2)),VALUE(LEFT(Base_Bruta!C1553,2))))))</f>
        <v>45740</v>
      </c>
      <c r="D1553" s="4" t="str">
        <f aca="false">IF($A1553="","",TRIM(Base_Bruta!D1553))</f>
        <v>Cinema Savassi - Sessões</v>
      </c>
      <c r="E1553" s="4" t="str">
        <f aca="false">IF($A1553="","",_xlfn.XLOOKUP(LOWER(TRIM(Base_Bruta!E1553)),DePara_Categoria!$A$2:$A$9,DePara_Categoria!$B$2:$B$9,"REVISAR"))</f>
        <v>Cinema</v>
      </c>
      <c r="F1553" s="4" t="str">
        <f aca="false">IF($A1553="","",_xlfn.XLOOKUP(LOWER(TRIM(Base_Bruta!F1553)),DePara_Cidade!$A$2:$A$29,DePara_Cidade!$B$2:$B$29,"REVISAR"))</f>
        <v>Belo Horizonte</v>
      </c>
      <c r="G1553" s="4" t="str">
        <f aca="false">IF($A1553="","",TRIM(Base_Bruta!G1553))</f>
        <v>Inteira</v>
      </c>
      <c r="H1553" s="4" t="n">
        <f aca="false">IF($A1553="","",IF(ISNUMBER(Base_Bruta!H1553),Base_Bruta!H1553,IFERROR(_xlfn.NUMBERVALUE(TRIM(SUBSTITUTE(Base_Bruta!H1553,"R$","")),",","."),0)))</f>
        <v>1</v>
      </c>
      <c r="I1553" s="6" t="n">
        <f aca="false">IF($A1553="","",IF(ISNUMBER(Base_Bruta!I1553),Base_Bruta!I1553,IFERROR(_xlfn.NUMBERVALUE(TRIM(SUBSTITUTE(Base_Bruta!I1553,"R$","")),",","."),0)))</f>
        <v>35</v>
      </c>
      <c r="J1553" s="6" t="n">
        <f aca="false">IF($A1553="","",H1553*I1553)</f>
        <v>35</v>
      </c>
      <c r="K1553" s="4" t="str">
        <f aca="false">IF($A1553="","",TRIM(Base_Bruta!J1553))</f>
        <v>App</v>
      </c>
      <c r="L1553" s="4" t="str">
        <f aca="false">IF($A1553="","",TRIM(Base_Bruta!K1553))</f>
        <v>C02253</v>
      </c>
      <c r="M1553" s="4" t="str">
        <f aca="false">IF($A1553="","",_xlfn.XLOOKUP(LOWER(TRIM(Base_Bruta!L1553)),DePara_Cidade!$A$2:$A$29,DePara_Cidade!$B$2:$B$29,"REVISAR"))</f>
        <v>Belo Horizonte</v>
      </c>
      <c r="N1553" s="4" t="str">
        <f aca="false">IF($A1553="","",UPPER(TRIM(Base_Bruta!M1553)))</f>
        <v>MG</v>
      </c>
      <c r="O1553" s="4" t="str">
        <f aca="false">IF($A1553="","",_xlfn.XLOOKUP(LOWER(TRIM(Base_Bruta!N1553)),DePara_Pais!$A$2:$A$9,DePara_Pais!$B$2:$B$9,"REVISAR"))</f>
        <v>Brasil</v>
      </c>
      <c r="P1553" s="4" t="str">
        <f aca="false">IF($A1553="","",IF(O1553&lt;&gt;"Brasil","Turista Internacional",IF(M1553=F1553,"Local","Turista Nacional")))</f>
        <v>Local</v>
      </c>
      <c r="Q1553" s="7" t="n">
        <f aca="false">IF($A1553="","",DATE(YEAR(B1553),MONTH(B1553),1))</f>
        <v>45717</v>
      </c>
      <c r="R1553" s="4" t="str">
        <f aca="false">IF($A1553="","",IF(COUNTIF($A$2:$A1553,$A1553)&gt;1,"Sim","Não"))</f>
        <v>Não</v>
      </c>
      <c r="S1553" s="4" t="str">
        <f aca="false">IF(A1553="","Descartar - Linha vazia",IF(R1553="Sim","Descartar - Duplicado",IF(OR(H1553&lt;=0,I1553&lt;=0),"Descartar - Qtd/Valor inválido","OK")))</f>
        <v>OK</v>
      </c>
      <c r="T1553" s="4" t="str">
        <f aca="false">Base_Bruta!P1553</f>
        <v>vendas_MG.csv</v>
      </c>
    </row>
    <row r="1554" customFormat="false" ht="15" hidden="false" customHeight="false" outlineLevel="0" collapsed="false">
      <c r="A1554" s="4" t="str">
        <f aca="false">IF(Base_Bruta!A1554="","",Base_Bruta!A1554)</f>
        <v>MG-000549</v>
      </c>
      <c r="B1554" s="5" t="n">
        <f aca="false">IF($A1554="","",IF(ISNUMBER(Base_Bruta!B1554),Base_Bruta!B1554,IF(MID(Base_Bruta!B1554,5,1)="-",DATE(VALUE(LEFT(Base_Bruta!B1554,4)),VALUE(MID(Base_Bruta!B1554,6,2)),VALUE(RIGHT(Base_Bruta!B1554,2))),DATE(VALUE(RIGHT(Base_Bruta!B1554,4)),VALUE(MID(Base_Bruta!B1554,4,2)),VALUE(LEFT(Base_Bruta!B1554,2))))))</f>
        <v>45738</v>
      </c>
      <c r="C1554" s="5" t="n">
        <f aca="false">IF($A1554="","",IF(ISNUMBER(Base_Bruta!C1554),Base_Bruta!C1554,IF(MID(Base_Bruta!C1554,5,1)="-",DATE(VALUE(LEFT(Base_Bruta!C1554,4)),VALUE(MID(Base_Bruta!C1554,6,2)),VALUE(RIGHT(Base_Bruta!C1554,2))),DATE(VALUE(RIGHT(Base_Bruta!C1554,4)),VALUE(MID(Base_Bruta!C1554,4,2)),VALUE(LEFT(Base_Bruta!C1554,2))))))</f>
        <v>45738</v>
      </c>
      <c r="D1554" s="4" t="str">
        <f aca="false">IF($A1554="","",TRIM(Base_Bruta!D1554))</f>
        <v>Cinema Savassi - Sessões</v>
      </c>
      <c r="E1554" s="4" t="str">
        <f aca="false">IF($A1554="","",_xlfn.XLOOKUP(LOWER(TRIM(Base_Bruta!E1554)),DePara_Categoria!$A$2:$A$9,DePara_Categoria!$B$2:$B$9,"REVISAR"))</f>
        <v>Cinema</v>
      </c>
      <c r="F1554" s="4" t="str">
        <f aca="false">IF($A1554="","",_xlfn.XLOOKUP(LOWER(TRIM(Base_Bruta!F1554)),DePara_Cidade!$A$2:$A$29,DePara_Cidade!$B$2:$B$29,"REVISAR"))</f>
        <v>Belo Horizonte</v>
      </c>
      <c r="G1554" s="4" t="str">
        <f aca="false">IF($A1554="","",TRIM(Base_Bruta!G1554))</f>
        <v>Inteira</v>
      </c>
      <c r="H1554" s="4" t="n">
        <f aca="false">IF($A1554="","",IF(ISNUMBER(Base_Bruta!H1554),Base_Bruta!H1554,IFERROR(_xlfn.NUMBERVALUE(TRIM(SUBSTITUTE(Base_Bruta!H1554,"R$","")),",","."),0)))</f>
        <v>2</v>
      </c>
      <c r="I1554" s="6" t="n">
        <f aca="false">IF($A1554="","",IF(ISNUMBER(Base_Bruta!I1554),Base_Bruta!I1554,IFERROR(_xlfn.NUMBERVALUE(TRIM(SUBSTITUTE(Base_Bruta!I1554,"R$","")),",","."),0)))</f>
        <v>45</v>
      </c>
      <c r="J1554" s="6" t="n">
        <f aca="false">IF($A1554="","",H1554*I1554)</f>
        <v>90</v>
      </c>
      <c r="K1554" s="4" t="str">
        <f aca="false">IF($A1554="","",TRIM(Base_Bruta!J1554))</f>
        <v>Site</v>
      </c>
      <c r="L1554" s="4" t="str">
        <f aca="false">IF($A1554="","",TRIM(Base_Bruta!K1554))</f>
        <v>C02251</v>
      </c>
      <c r="M1554" s="4" t="str">
        <f aca="false">IF($A1554="","",_xlfn.XLOOKUP(LOWER(TRIM(Base_Bruta!L1554)),DePara_Cidade!$A$2:$A$29,DePara_Cidade!$B$2:$B$29,"REVISAR"))</f>
        <v>Belo Horizonte</v>
      </c>
      <c r="N1554" s="4" t="str">
        <f aca="false">IF($A1554="","",UPPER(TRIM(Base_Bruta!M1554)))</f>
        <v>MG</v>
      </c>
      <c r="O1554" s="4" t="str">
        <f aca="false">IF($A1554="","",_xlfn.XLOOKUP(LOWER(TRIM(Base_Bruta!N1554)),DePara_Pais!$A$2:$A$9,DePara_Pais!$B$2:$B$9,"REVISAR"))</f>
        <v>Brasil</v>
      </c>
      <c r="P1554" s="4" t="str">
        <f aca="false">IF($A1554="","",IF(O1554&lt;&gt;"Brasil","Turista Internacional",IF(M1554=F1554,"Local","Turista Nacional")))</f>
        <v>Local</v>
      </c>
      <c r="Q1554" s="7" t="n">
        <f aca="false">IF($A1554="","",DATE(YEAR(B1554),MONTH(B1554),1))</f>
        <v>45717</v>
      </c>
      <c r="R1554" s="4" t="str">
        <f aca="false">IF($A1554="","",IF(COUNTIF($A$2:$A1554,$A1554)&gt;1,"Sim","Não"))</f>
        <v>Não</v>
      </c>
      <c r="S1554" s="4" t="str">
        <f aca="false">IF(A1554="","Descartar - Linha vazia",IF(R1554="Sim","Descartar - Duplicado",IF(OR(H1554&lt;=0,I1554&lt;=0),"Descartar - Qtd/Valor inválido","OK")))</f>
        <v>OK</v>
      </c>
      <c r="T1554" s="4" t="str">
        <f aca="false">Base_Bruta!P1554</f>
        <v>vendas_MG.csv</v>
      </c>
    </row>
    <row r="1555" customFormat="false" ht="15" hidden="false" customHeight="false" outlineLevel="0" collapsed="false">
      <c r="A1555" s="4" t="str">
        <f aca="false">IF(Base_Bruta!A1555="","",Base_Bruta!A1555)</f>
        <v>MG-000537</v>
      </c>
      <c r="B1555" s="5" t="n">
        <f aca="false">IF($A1555="","",IF(ISNUMBER(Base_Bruta!B1555),Base_Bruta!B1555,IF(MID(Base_Bruta!B1555,5,1)="-",DATE(VALUE(LEFT(Base_Bruta!B1555,4)),VALUE(MID(Base_Bruta!B1555,6,2)),VALUE(RIGHT(Base_Bruta!B1555,2))),DATE(VALUE(RIGHT(Base_Bruta!B1555,4)),VALUE(MID(Base_Bruta!B1555,4,2)),VALUE(LEFT(Base_Bruta!B1555,2))))))</f>
        <v>45740</v>
      </c>
      <c r="C1555" s="5" t="n">
        <f aca="false">IF($A1555="","",IF(ISNUMBER(Base_Bruta!C1555),Base_Bruta!C1555,IF(MID(Base_Bruta!C1555,5,1)="-",DATE(VALUE(LEFT(Base_Bruta!C1555,4)),VALUE(MID(Base_Bruta!C1555,6,2)),VALUE(RIGHT(Base_Bruta!C1555,2))),DATE(VALUE(RIGHT(Base_Bruta!C1555,4)),VALUE(MID(Base_Bruta!C1555,4,2)),VALUE(LEFT(Base_Bruta!C1555,2))))))</f>
        <v>45742</v>
      </c>
      <c r="D1555" s="4" t="str">
        <f aca="false">IF($A1555="","",TRIM(Base_Bruta!D1555))</f>
        <v>Cinema Savassi - Sessões</v>
      </c>
      <c r="E1555" s="4" t="str">
        <f aca="false">IF($A1555="","",_xlfn.XLOOKUP(LOWER(TRIM(Base_Bruta!E1555)),DePara_Categoria!$A$2:$A$9,DePara_Categoria!$B$2:$B$9,"REVISAR"))</f>
        <v>Cinema</v>
      </c>
      <c r="F1555" s="4" t="str">
        <f aca="false">IF($A1555="","",_xlfn.XLOOKUP(LOWER(TRIM(Base_Bruta!F1555)),DePara_Cidade!$A$2:$A$29,DePara_Cidade!$B$2:$B$29,"REVISAR"))</f>
        <v>Belo Horizonte</v>
      </c>
      <c r="G1555" s="4" t="str">
        <f aca="false">IF($A1555="","",TRIM(Base_Bruta!G1555))</f>
        <v>Inteira</v>
      </c>
      <c r="H1555" s="4" t="n">
        <f aca="false">IF($A1555="","",IF(ISNUMBER(Base_Bruta!H1555),Base_Bruta!H1555,IFERROR(_xlfn.NUMBERVALUE(TRIM(SUBSTITUTE(Base_Bruta!H1555,"R$","")),",","."),0)))</f>
        <v>2</v>
      </c>
      <c r="I1555" s="6" t="n">
        <f aca="false">IF($A1555="","",IF(ISNUMBER(Base_Bruta!I1555),Base_Bruta!I1555,IFERROR(_xlfn.NUMBERVALUE(TRIM(SUBSTITUTE(Base_Bruta!I1555,"R$","")),",","."),0)))</f>
        <v>45</v>
      </c>
      <c r="J1555" s="6" t="n">
        <f aca="false">IF($A1555="","",H1555*I1555)</f>
        <v>90</v>
      </c>
      <c r="K1555" s="4" t="str">
        <f aca="false">IF($A1555="","",TRIM(Base_Bruta!J1555))</f>
        <v>Site</v>
      </c>
      <c r="L1555" s="4" t="str">
        <f aca="false">IF($A1555="","",TRIM(Base_Bruta!K1555))</f>
        <v>C00573</v>
      </c>
      <c r="M1555" s="4" t="str">
        <f aca="false">IF($A1555="","",_xlfn.XLOOKUP(LOWER(TRIM(Base_Bruta!L1555)),DePara_Cidade!$A$2:$A$29,DePara_Cidade!$B$2:$B$29,"REVISAR"))</f>
        <v>Campinas</v>
      </c>
      <c r="N1555" s="4" t="str">
        <f aca="false">IF($A1555="","",UPPER(TRIM(Base_Bruta!M1555)))</f>
        <v>SP</v>
      </c>
      <c r="O1555" s="4" t="str">
        <f aca="false">IF($A1555="","",_xlfn.XLOOKUP(LOWER(TRIM(Base_Bruta!N1555)),DePara_Pais!$A$2:$A$9,DePara_Pais!$B$2:$B$9,"REVISAR"))</f>
        <v>Brasil</v>
      </c>
      <c r="P1555" s="4" t="str">
        <f aca="false">IF($A1555="","",IF(O1555&lt;&gt;"Brasil","Turista Internacional",IF(M1555=F1555,"Local","Turista Nacional")))</f>
        <v>Turista Nacional</v>
      </c>
      <c r="Q1555" s="7" t="n">
        <f aca="false">IF($A1555="","",DATE(YEAR(B1555),MONTH(B1555),1))</f>
        <v>45717</v>
      </c>
      <c r="R1555" s="4" t="str">
        <f aca="false">IF($A1555="","",IF(COUNTIF($A$2:$A1555,$A1555)&gt;1,"Sim","Não"))</f>
        <v>Não</v>
      </c>
      <c r="S1555" s="4" t="str">
        <f aca="false">IF(A1555="","Descartar - Linha vazia",IF(R1555="Sim","Descartar - Duplicado",IF(OR(H1555&lt;=0,I1555&lt;=0),"Descartar - Qtd/Valor inválido","OK")))</f>
        <v>OK</v>
      </c>
      <c r="T1555" s="4" t="str">
        <f aca="false">Base_Bruta!P1555</f>
        <v>vendas_MG.csv</v>
      </c>
    </row>
    <row r="1556" customFormat="false" ht="15" hidden="false" customHeight="false" outlineLevel="0" collapsed="false">
      <c r="A1556" s="4" t="str">
        <f aca="false">IF(Base_Bruta!A1556="","",Base_Bruta!A1556)</f>
        <v>MG-000452</v>
      </c>
      <c r="B1556" s="5" t="n">
        <f aca="false">IF($A1556="","",IF(ISNUMBER(Base_Bruta!B1556),Base_Bruta!B1556,IF(MID(Base_Bruta!B1556,5,1)="-",DATE(VALUE(LEFT(Base_Bruta!B1556,4)),VALUE(MID(Base_Bruta!B1556,6,2)),VALUE(RIGHT(Base_Bruta!B1556,2))),DATE(VALUE(RIGHT(Base_Bruta!B1556,4)),VALUE(MID(Base_Bruta!B1556,4,2)),VALUE(LEFT(Base_Bruta!B1556,2))))))</f>
        <v>45745</v>
      </c>
      <c r="C1556" s="5" t="n">
        <f aca="false">IF($A1556="","",IF(ISNUMBER(Base_Bruta!C1556),Base_Bruta!C1556,IF(MID(Base_Bruta!C1556,5,1)="-",DATE(VALUE(LEFT(Base_Bruta!C1556,4)),VALUE(MID(Base_Bruta!C1556,6,2)),VALUE(RIGHT(Base_Bruta!C1556,2))),DATE(VALUE(RIGHT(Base_Bruta!C1556,4)),VALUE(MID(Base_Bruta!C1556,4,2)),VALUE(LEFT(Base_Bruta!C1556,2))))))</f>
        <v>45746</v>
      </c>
      <c r="D1556" s="4" t="str">
        <f aca="false">IF($A1556="","",TRIM(Base_Bruta!D1556))</f>
        <v>Cinema Savassi - Sessões</v>
      </c>
      <c r="E1556" s="4" t="str">
        <f aca="false">IF($A1556="","",_xlfn.XLOOKUP(LOWER(TRIM(Base_Bruta!E1556)),DePara_Categoria!$A$2:$A$9,DePara_Categoria!$B$2:$B$9,"REVISAR"))</f>
        <v>Cinema</v>
      </c>
      <c r="F1556" s="4" t="str">
        <f aca="false">IF($A1556="","",_xlfn.XLOOKUP(LOWER(TRIM(Base_Bruta!F1556)),DePara_Cidade!$A$2:$A$29,DePara_Cidade!$B$2:$B$29,"REVISAR"))</f>
        <v>Belo Horizonte</v>
      </c>
      <c r="G1556" s="4" t="str">
        <f aca="false">IF($A1556="","",TRIM(Base_Bruta!G1556))</f>
        <v>Meia</v>
      </c>
      <c r="H1556" s="4" t="n">
        <f aca="false">IF($A1556="","",IF(ISNUMBER(Base_Bruta!H1556),Base_Bruta!H1556,IFERROR(_xlfn.NUMBERVALUE(TRIM(SUBSTITUTE(Base_Bruta!H1556,"R$","")),",","."),0)))</f>
        <v>2</v>
      </c>
      <c r="I1556" s="6" t="n">
        <f aca="false">IF($A1556="","",IF(ISNUMBER(Base_Bruta!I1556),Base_Bruta!I1556,IFERROR(_xlfn.NUMBERVALUE(TRIM(SUBSTITUTE(Base_Bruta!I1556,"R$","")),",","."),0)))</f>
        <v>22.5</v>
      </c>
      <c r="J1556" s="6" t="n">
        <f aca="false">IF($A1556="","",H1556*I1556)</f>
        <v>45</v>
      </c>
      <c r="K1556" s="4" t="str">
        <f aca="false">IF($A1556="","",TRIM(Base_Bruta!J1556))</f>
        <v>Bilheteria</v>
      </c>
      <c r="L1556" s="4" t="str">
        <f aca="false">IF($A1556="","",TRIM(Base_Bruta!K1556))</f>
        <v>C02257</v>
      </c>
      <c r="M1556" s="4" t="str">
        <f aca="false">IF($A1556="","",_xlfn.XLOOKUP(LOWER(TRIM(Base_Bruta!L1556)),DePara_Cidade!$A$2:$A$29,DePara_Cidade!$B$2:$B$29,"REVISAR"))</f>
        <v>Belo Horizonte</v>
      </c>
      <c r="N1556" s="4" t="str">
        <f aca="false">IF($A1556="","",UPPER(TRIM(Base_Bruta!M1556)))</f>
        <v>MG</v>
      </c>
      <c r="O1556" s="4" t="str">
        <f aca="false">IF($A1556="","",_xlfn.XLOOKUP(LOWER(TRIM(Base_Bruta!N1556)),DePara_Pais!$A$2:$A$9,DePara_Pais!$B$2:$B$9,"REVISAR"))</f>
        <v>Brasil</v>
      </c>
      <c r="P1556" s="4" t="str">
        <f aca="false">IF($A1556="","",IF(O1556&lt;&gt;"Brasil","Turista Internacional",IF(M1556=F1556,"Local","Turista Nacional")))</f>
        <v>Local</v>
      </c>
      <c r="Q1556" s="7" t="n">
        <f aca="false">IF($A1556="","",DATE(YEAR(B1556),MONTH(B1556),1))</f>
        <v>45717</v>
      </c>
      <c r="R1556" s="4" t="str">
        <f aca="false">IF($A1556="","",IF(COUNTIF($A$2:$A1556,$A1556)&gt;1,"Sim","Não"))</f>
        <v>Não</v>
      </c>
      <c r="S1556" s="4" t="str">
        <f aca="false">IF(A1556="","Descartar - Linha vazia",IF(R1556="Sim","Descartar - Duplicado",IF(OR(H1556&lt;=0,I1556&lt;=0),"Descartar - Qtd/Valor inválido","OK")))</f>
        <v>OK</v>
      </c>
      <c r="T1556" s="4" t="str">
        <f aca="false">Base_Bruta!P1556</f>
        <v>vendas_MG.csv</v>
      </c>
    </row>
    <row r="1557" customFormat="false" ht="15" hidden="false" customHeight="false" outlineLevel="0" collapsed="false">
      <c r="A1557" s="4" t="str">
        <f aca="false">IF(Base_Bruta!A1557="","",Base_Bruta!A1557)</f>
        <v>MG-000484</v>
      </c>
      <c r="B1557" s="5" t="n">
        <f aca="false">IF($A1557="","",IF(ISNUMBER(Base_Bruta!B1557),Base_Bruta!B1557,IF(MID(Base_Bruta!B1557,5,1)="-",DATE(VALUE(LEFT(Base_Bruta!B1557,4)),VALUE(MID(Base_Bruta!B1557,6,2)),VALUE(RIGHT(Base_Bruta!B1557,2))),DATE(VALUE(RIGHT(Base_Bruta!B1557,4)),VALUE(MID(Base_Bruta!B1557,4,2)),VALUE(LEFT(Base_Bruta!B1557,2))))))</f>
        <v>45746</v>
      </c>
      <c r="C1557" s="5" t="n">
        <f aca="false">IF($A1557="","",IF(ISNUMBER(Base_Bruta!C1557),Base_Bruta!C1557,IF(MID(Base_Bruta!C1557,5,1)="-",DATE(VALUE(LEFT(Base_Bruta!C1557,4)),VALUE(MID(Base_Bruta!C1557,6,2)),VALUE(RIGHT(Base_Bruta!C1557,2))),DATE(VALUE(RIGHT(Base_Bruta!C1557,4)),VALUE(MID(Base_Bruta!C1557,4,2)),VALUE(LEFT(Base_Bruta!C1557,2))))))</f>
        <v>45749</v>
      </c>
      <c r="D1557" s="4" t="str">
        <f aca="false">IF($A1557="","",TRIM(Base_Bruta!D1557))</f>
        <v>Cinema Savassi - Sessões</v>
      </c>
      <c r="E1557" s="4" t="str">
        <f aca="false">IF($A1557="","",_xlfn.XLOOKUP(LOWER(TRIM(Base_Bruta!E1557)),DePara_Categoria!$A$2:$A$9,DePara_Categoria!$B$2:$B$9,"REVISAR"))</f>
        <v>Cinema</v>
      </c>
      <c r="F1557" s="4" t="str">
        <f aca="false">IF($A1557="","",_xlfn.XLOOKUP(LOWER(TRIM(Base_Bruta!F1557)),DePara_Cidade!$A$2:$A$29,DePara_Cidade!$B$2:$B$29,"REVISAR"))</f>
        <v>Belo Horizonte</v>
      </c>
      <c r="G1557" s="4" t="str">
        <f aca="false">IF($A1557="","",TRIM(Base_Bruta!G1557))</f>
        <v>Meia</v>
      </c>
      <c r="H1557" s="4" t="n">
        <f aca="false">IF($A1557="","",IF(ISNUMBER(Base_Bruta!H1557),Base_Bruta!H1557,IFERROR(_xlfn.NUMBERVALUE(TRIM(SUBSTITUTE(Base_Bruta!H1557,"R$","")),",","."),0)))</f>
        <v>2</v>
      </c>
      <c r="I1557" s="6" t="n">
        <f aca="false">IF($A1557="","",IF(ISNUMBER(Base_Bruta!I1557),Base_Bruta!I1557,IFERROR(_xlfn.NUMBERVALUE(TRIM(SUBSTITUTE(Base_Bruta!I1557,"R$","")),",","."),0)))</f>
        <v>20</v>
      </c>
      <c r="J1557" s="6" t="n">
        <f aca="false">IF($A1557="","",H1557*I1557)</f>
        <v>40</v>
      </c>
      <c r="K1557" s="4" t="str">
        <f aca="false">IF($A1557="","",TRIM(Base_Bruta!J1557))</f>
        <v>App</v>
      </c>
      <c r="L1557" s="4" t="str">
        <f aca="false">IF($A1557="","",TRIM(Base_Bruta!K1557))</f>
        <v>C00004</v>
      </c>
      <c r="M1557" s="4" t="str">
        <f aca="false">IF($A1557="","",_xlfn.XLOOKUP(LOWER(TRIM(Base_Bruta!L1557)),DePara_Cidade!$A$2:$A$29,DePara_Cidade!$B$2:$B$29,"REVISAR"))</f>
        <v>Belo Horizonte</v>
      </c>
      <c r="N1557" s="4" t="str">
        <f aca="false">IF($A1557="","",UPPER(TRIM(Base_Bruta!M1557)))</f>
        <v>MG</v>
      </c>
      <c r="O1557" s="4" t="str">
        <f aca="false">IF($A1557="","",_xlfn.XLOOKUP(LOWER(TRIM(Base_Bruta!N1557)),DePara_Pais!$A$2:$A$9,DePara_Pais!$B$2:$B$9,"REVISAR"))</f>
        <v>Brasil</v>
      </c>
      <c r="P1557" s="4" t="str">
        <f aca="false">IF($A1557="","",IF(O1557&lt;&gt;"Brasil","Turista Internacional",IF(M1557=F1557,"Local","Turista Nacional")))</f>
        <v>Local</v>
      </c>
      <c r="Q1557" s="7" t="n">
        <f aca="false">IF($A1557="","",DATE(YEAR(B1557),MONTH(B1557),1))</f>
        <v>45717</v>
      </c>
      <c r="R1557" s="4" t="str">
        <f aca="false">IF($A1557="","",IF(COUNTIF($A$2:$A1557,$A1557)&gt;1,"Sim","Não"))</f>
        <v>Não</v>
      </c>
      <c r="S1557" s="4" t="str">
        <f aca="false">IF(A1557="","Descartar - Linha vazia",IF(R1557="Sim","Descartar - Duplicado",IF(OR(H1557&lt;=0,I1557&lt;=0),"Descartar - Qtd/Valor inválido","OK")))</f>
        <v>OK</v>
      </c>
      <c r="T1557" s="4" t="str">
        <f aca="false">Base_Bruta!P1557</f>
        <v>vendas_MG.csv</v>
      </c>
    </row>
    <row r="1558" customFormat="false" ht="15" hidden="false" customHeight="false" outlineLevel="0" collapsed="false">
      <c r="A1558" s="4" t="str">
        <f aca="false">IF(Base_Bruta!A1558="","",Base_Bruta!A1558)</f>
        <v>MG-000425</v>
      </c>
      <c r="B1558" s="5" t="n">
        <f aca="false">IF($A1558="","",IF(ISNUMBER(Base_Bruta!B1558),Base_Bruta!B1558,IF(MID(Base_Bruta!B1558,5,1)="-",DATE(VALUE(LEFT(Base_Bruta!B1558,4)),VALUE(MID(Base_Bruta!B1558,6,2)),VALUE(RIGHT(Base_Bruta!B1558,2))),DATE(VALUE(RIGHT(Base_Bruta!B1558,4)),VALUE(MID(Base_Bruta!B1558,4,2)),VALUE(LEFT(Base_Bruta!B1558,2))))))</f>
        <v>45752</v>
      </c>
      <c r="C1558" s="5" t="n">
        <f aca="false">IF($A1558="","",IF(ISNUMBER(Base_Bruta!C1558),Base_Bruta!C1558,IF(MID(Base_Bruta!C1558,5,1)="-",DATE(VALUE(LEFT(Base_Bruta!C1558,4)),VALUE(MID(Base_Bruta!C1558,6,2)),VALUE(RIGHT(Base_Bruta!C1558,2))),DATE(VALUE(RIGHT(Base_Bruta!C1558,4)),VALUE(MID(Base_Bruta!C1558,4,2)),VALUE(LEFT(Base_Bruta!C1558,2))))))</f>
        <v>45753</v>
      </c>
      <c r="D1558" s="4" t="str">
        <f aca="false">IF($A1558="","",TRIM(Base_Bruta!D1558))</f>
        <v>Cinema Savassi - Sessões</v>
      </c>
      <c r="E1558" s="4" t="str">
        <f aca="false">IF($A1558="","",_xlfn.XLOOKUP(LOWER(TRIM(Base_Bruta!E1558)),DePara_Categoria!$A$2:$A$9,DePara_Categoria!$B$2:$B$9,"REVISAR"))</f>
        <v>Cinema</v>
      </c>
      <c r="F1558" s="4" t="str">
        <f aca="false">IF($A1558="","",_xlfn.XLOOKUP(LOWER(TRIM(Base_Bruta!F1558)),DePara_Cidade!$A$2:$A$29,DePara_Cidade!$B$2:$B$29,"REVISAR"))</f>
        <v>Belo Horizonte</v>
      </c>
      <c r="G1558" s="4" t="str">
        <f aca="false">IF($A1558="","",TRIM(Base_Bruta!G1558))</f>
        <v>Inteira</v>
      </c>
      <c r="H1558" s="4" t="n">
        <f aca="false">IF($A1558="","",IF(ISNUMBER(Base_Bruta!H1558),Base_Bruta!H1558,IFERROR(_xlfn.NUMBERVALUE(TRIM(SUBSTITUTE(Base_Bruta!H1558,"R$","")),",","."),0)))</f>
        <v>1</v>
      </c>
      <c r="I1558" s="6" t="n">
        <f aca="false">IF($A1558="","",IF(ISNUMBER(Base_Bruta!I1558),Base_Bruta!I1558,IFERROR(_xlfn.NUMBERVALUE(TRIM(SUBSTITUTE(Base_Bruta!I1558,"R$","")),",","."),0)))</f>
        <v>45</v>
      </c>
      <c r="J1558" s="6" t="n">
        <f aca="false">IF($A1558="","",H1558*I1558)</f>
        <v>45</v>
      </c>
      <c r="K1558" s="4" t="str">
        <f aca="false">IF($A1558="","",TRIM(Base_Bruta!J1558))</f>
        <v>App</v>
      </c>
      <c r="L1558" s="4" t="str">
        <f aca="false">IF($A1558="","",TRIM(Base_Bruta!K1558))</f>
        <v>C01320</v>
      </c>
      <c r="M1558" s="4" t="str">
        <f aca="false">IF($A1558="","",_xlfn.XLOOKUP(LOWER(TRIM(Base_Bruta!L1558)),DePara_Cidade!$A$2:$A$29,DePara_Cidade!$B$2:$B$29,"REVISAR"))</f>
        <v>Belo Horizonte</v>
      </c>
      <c r="N1558" s="4" t="str">
        <f aca="false">IF($A1558="","",UPPER(TRIM(Base_Bruta!M1558)))</f>
        <v>MG</v>
      </c>
      <c r="O1558" s="4" t="str">
        <f aca="false">IF($A1558="","",_xlfn.XLOOKUP(LOWER(TRIM(Base_Bruta!N1558)),DePara_Pais!$A$2:$A$9,DePara_Pais!$B$2:$B$9,"REVISAR"))</f>
        <v>Brasil</v>
      </c>
      <c r="P1558" s="4" t="str">
        <f aca="false">IF($A1558="","",IF(O1558&lt;&gt;"Brasil","Turista Internacional",IF(M1558=F1558,"Local","Turista Nacional")))</f>
        <v>Local</v>
      </c>
      <c r="Q1558" s="7" t="n">
        <f aca="false">IF($A1558="","",DATE(YEAR(B1558),MONTH(B1558),1))</f>
        <v>45748</v>
      </c>
      <c r="R1558" s="4" t="str">
        <f aca="false">IF($A1558="","",IF(COUNTIF($A$2:$A1558,$A1558)&gt;1,"Sim","Não"))</f>
        <v>Não</v>
      </c>
      <c r="S1558" s="4" t="str">
        <f aca="false">IF(A1558="","Descartar - Linha vazia",IF(R1558="Sim","Descartar - Duplicado",IF(OR(H1558&lt;=0,I1558&lt;=0),"Descartar - Qtd/Valor inválido","OK")))</f>
        <v>OK</v>
      </c>
      <c r="T1558" s="4" t="str">
        <f aca="false">Base_Bruta!P1558</f>
        <v>vendas_MG.csv</v>
      </c>
    </row>
    <row r="1559" customFormat="false" ht="15" hidden="false" customHeight="false" outlineLevel="0" collapsed="false">
      <c r="A1559" s="4" t="str">
        <f aca="false">IF(Base_Bruta!A1559="","",Base_Bruta!A1559)</f>
        <v>MG-000487</v>
      </c>
      <c r="B1559" s="5" t="n">
        <f aca="false">IF($A1559="","",IF(ISNUMBER(Base_Bruta!B1559),Base_Bruta!B1559,IF(MID(Base_Bruta!B1559,5,1)="-",DATE(VALUE(LEFT(Base_Bruta!B1559,4)),VALUE(MID(Base_Bruta!B1559,6,2)),VALUE(RIGHT(Base_Bruta!B1559,2))),DATE(VALUE(RIGHT(Base_Bruta!B1559,4)),VALUE(MID(Base_Bruta!B1559,4,2)),VALUE(LEFT(Base_Bruta!B1559,2))))))</f>
        <v>45752</v>
      </c>
      <c r="C1559" s="5" t="n">
        <f aca="false">IF($A1559="","",IF(ISNUMBER(Base_Bruta!C1559),Base_Bruta!C1559,IF(MID(Base_Bruta!C1559,5,1)="-",DATE(VALUE(LEFT(Base_Bruta!C1559,4)),VALUE(MID(Base_Bruta!C1559,6,2)),VALUE(RIGHT(Base_Bruta!C1559,2))),DATE(VALUE(RIGHT(Base_Bruta!C1559,4)),VALUE(MID(Base_Bruta!C1559,4,2)),VALUE(LEFT(Base_Bruta!C1559,2))))))</f>
        <v>45752</v>
      </c>
      <c r="D1559" s="4" t="str">
        <f aca="false">IF($A1559="","",TRIM(Base_Bruta!D1559))</f>
        <v>Cinema Savassi - Sessões</v>
      </c>
      <c r="E1559" s="4" t="str">
        <f aca="false">IF($A1559="","",_xlfn.XLOOKUP(LOWER(TRIM(Base_Bruta!E1559)),DePara_Categoria!$A$2:$A$9,DePara_Categoria!$B$2:$B$9,"REVISAR"))</f>
        <v>Cinema</v>
      </c>
      <c r="F1559" s="4" t="str">
        <f aca="false">IF($A1559="","",_xlfn.XLOOKUP(LOWER(TRIM(Base_Bruta!F1559)),DePara_Cidade!$A$2:$A$29,DePara_Cidade!$B$2:$B$29,"REVISAR"))</f>
        <v>Belo Horizonte</v>
      </c>
      <c r="G1559" s="4" t="str">
        <f aca="false">IF($A1559="","",TRIM(Base_Bruta!G1559))</f>
        <v>Inteira</v>
      </c>
      <c r="H1559" s="4" t="n">
        <f aca="false">IF($A1559="","",IF(ISNUMBER(Base_Bruta!H1559),Base_Bruta!H1559,IFERROR(_xlfn.NUMBERVALUE(TRIM(SUBSTITUTE(Base_Bruta!H1559,"R$","")),",","."),0)))</f>
        <v>1</v>
      </c>
      <c r="I1559" s="6" t="n">
        <f aca="false">IF($A1559="","",IF(ISNUMBER(Base_Bruta!I1559),Base_Bruta!I1559,IFERROR(_xlfn.NUMBERVALUE(TRIM(SUBSTITUTE(Base_Bruta!I1559,"R$","")),",","."),0)))</f>
        <v>45</v>
      </c>
      <c r="J1559" s="6" t="n">
        <f aca="false">IF($A1559="","",H1559*I1559)</f>
        <v>45</v>
      </c>
      <c r="K1559" s="4" t="str">
        <f aca="false">IF($A1559="","",TRIM(Base_Bruta!J1559))</f>
        <v>App</v>
      </c>
      <c r="L1559" s="4" t="str">
        <f aca="false">IF($A1559="","",TRIM(Base_Bruta!K1559))</f>
        <v>C00479</v>
      </c>
      <c r="M1559" s="4" t="str">
        <f aca="false">IF($A1559="","",_xlfn.XLOOKUP(LOWER(TRIM(Base_Bruta!L1559)),DePara_Cidade!$A$2:$A$29,DePara_Cidade!$B$2:$B$29,"REVISAR"))</f>
        <v>Belo Horizonte</v>
      </c>
      <c r="N1559" s="4" t="str">
        <f aca="false">IF($A1559="","",UPPER(TRIM(Base_Bruta!M1559)))</f>
        <v>MG</v>
      </c>
      <c r="O1559" s="4" t="str">
        <f aca="false">IF($A1559="","",_xlfn.XLOOKUP(LOWER(TRIM(Base_Bruta!N1559)),DePara_Pais!$A$2:$A$9,DePara_Pais!$B$2:$B$9,"REVISAR"))</f>
        <v>Brasil</v>
      </c>
      <c r="P1559" s="4" t="str">
        <f aca="false">IF($A1559="","",IF(O1559&lt;&gt;"Brasil","Turista Internacional",IF(M1559=F1559,"Local","Turista Nacional")))</f>
        <v>Local</v>
      </c>
      <c r="Q1559" s="7" t="n">
        <f aca="false">IF($A1559="","",DATE(YEAR(B1559),MONTH(B1559),1))</f>
        <v>45748</v>
      </c>
      <c r="R1559" s="4" t="str">
        <f aca="false">IF($A1559="","",IF(COUNTIF($A$2:$A1559,$A1559)&gt;1,"Sim","Não"))</f>
        <v>Não</v>
      </c>
      <c r="S1559" s="4" t="str">
        <f aca="false">IF(A1559="","Descartar - Linha vazia",IF(R1559="Sim","Descartar - Duplicado",IF(OR(H1559&lt;=0,I1559&lt;=0),"Descartar - Qtd/Valor inválido","OK")))</f>
        <v>OK</v>
      </c>
      <c r="T1559" s="4" t="str">
        <f aca="false">Base_Bruta!P1559</f>
        <v>vendas_MG.csv</v>
      </c>
    </row>
    <row r="1560" customFormat="false" ht="15" hidden="false" customHeight="false" outlineLevel="0" collapsed="false">
      <c r="A1560" s="4" t="str">
        <f aca="false">IF(Base_Bruta!A1560="","",Base_Bruta!A1560)</f>
        <v>MG-000395</v>
      </c>
      <c r="B1560" s="5" t="n">
        <f aca="false">IF($A1560="","",IF(ISNUMBER(Base_Bruta!B1560),Base_Bruta!B1560,IF(MID(Base_Bruta!B1560,5,1)="-",DATE(VALUE(LEFT(Base_Bruta!B1560,4)),VALUE(MID(Base_Bruta!B1560,6,2)),VALUE(RIGHT(Base_Bruta!B1560,2))),DATE(VALUE(RIGHT(Base_Bruta!B1560,4)),VALUE(MID(Base_Bruta!B1560,4,2)),VALUE(LEFT(Base_Bruta!B1560,2))))))</f>
        <v>45754</v>
      </c>
      <c r="C1560" s="5" t="n">
        <f aca="false">IF($A1560="","",IF(ISNUMBER(Base_Bruta!C1560),Base_Bruta!C1560,IF(MID(Base_Bruta!C1560,5,1)="-",DATE(VALUE(LEFT(Base_Bruta!C1560,4)),VALUE(MID(Base_Bruta!C1560,6,2)),VALUE(RIGHT(Base_Bruta!C1560,2))),DATE(VALUE(RIGHT(Base_Bruta!C1560,4)),VALUE(MID(Base_Bruta!C1560,4,2)),VALUE(LEFT(Base_Bruta!C1560,2))))))</f>
        <v>45757</v>
      </c>
      <c r="D1560" s="4" t="str">
        <f aca="false">IF($A1560="","",TRIM(Base_Bruta!D1560))</f>
        <v>Cinema Savassi - Sessões</v>
      </c>
      <c r="E1560" s="4" t="str">
        <f aca="false">IF($A1560="","",_xlfn.XLOOKUP(LOWER(TRIM(Base_Bruta!E1560)),DePara_Categoria!$A$2:$A$9,DePara_Categoria!$B$2:$B$9,"REVISAR"))</f>
        <v>Cinema</v>
      </c>
      <c r="F1560" s="4" t="str">
        <f aca="false">IF($A1560="","",_xlfn.XLOOKUP(LOWER(TRIM(Base_Bruta!F1560)),DePara_Cidade!$A$2:$A$29,DePara_Cidade!$B$2:$B$29,"REVISAR"))</f>
        <v>Belo Horizonte</v>
      </c>
      <c r="G1560" s="4" t="str">
        <f aca="false">IF($A1560="","",TRIM(Base_Bruta!G1560))</f>
        <v>Meia</v>
      </c>
      <c r="H1560" s="4" t="n">
        <f aca="false">IF($A1560="","",IF(ISNUMBER(Base_Bruta!H1560),Base_Bruta!H1560,IFERROR(_xlfn.NUMBERVALUE(TRIM(SUBSTITUTE(Base_Bruta!H1560,"R$","")),",","."),0)))</f>
        <v>1</v>
      </c>
      <c r="I1560" s="6" t="n">
        <f aca="false">IF($A1560="","",IF(ISNUMBER(Base_Bruta!I1560),Base_Bruta!I1560,IFERROR(_xlfn.NUMBERVALUE(TRIM(SUBSTITUTE(Base_Bruta!I1560,"R$","")),",","."),0)))</f>
        <v>15</v>
      </c>
      <c r="J1560" s="6" t="n">
        <f aca="false">IF($A1560="","",H1560*I1560)</f>
        <v>15</v>
      </c>
      <c r="K1560" s="4" t="str">
        <f aca="false">IF($A1560="","",TRIM(Base_Bruta!J1560))</f>
        <v>Parceiro</v>
      </c>
      <c r="L1560" s="4" t="str">
        <f aca="false">IF($A1560="","",TRIM(Base_Bruta!K1560))</f>
        <v>C01331</v>
      </c>
      <c r="M1560" s="4" t="str">
        <f aca="false">IF($A1560="","",_xlfn.XLOOKUP(LOWER(TRIM(Base_Bruta!L1560)),DePara_Cidade!$A$2:$A$29,DePara_Cidade!$B$2:$B$29,"REVISAR"))</f>
        <v>Belo Horizonte</v>
      </c>
      <c r="N1560" s="4" t="str">
        <f aca="false">IF($A1560="","",UPPER(TRIM(Base_Bruta!M1560)))</f>
        <v>MG</v>
      </c>
      <c r="O1560" s="4" t="str">
        <f aca="false">IF($A1560="","",_xlfn.XLOOKUP(LOWER(TRIM(Base_Bruta!N1560)),DePara_Pais!$A$2:$A$9,DePara_Pais!$B$2:$B$9,"REVISAR"))</f>
        <v>Brasil</v>
      </c>
      <c r="P1560" s="4" t="str">
        <f aca="false">IF($A1560="","",IF(O1560&lt;&gt;"Brasil","Turista Internacional",IF(M1560=F1560,"Local","Turista Nacional")))</f>
        <v>Local</v>
      </c>
      <c r="Q1560" s="7" t="n">
        <f aca="false">IF($A1560="","",DATE(YEAR(B1560),MONTH(B1560),1))</f>
        <v>45748</v>
      </c>
      <c r="R1560" s="4" t="str">
        <f aca="false">IF($A1560="","",IF(COUNTIF($A$2:$A1560,$A1560)&gt;1,"Sim","Não"))</f>
        <v>Não</v>
      </c>
      <c r="S1560" s="4" t="str">
        <f aca="false">IF(A1560="","Descartar - Linha vazia",IF(R1560="Sim","Descartar - Duplicado",IF(OR(H1560&lt;=0,I1560&lt;=0),"Descartar - Qtd/Valor inválido","OK")))</f>
        <v>OK</v>
      </c>
      <c r="T1560" s="4" t="str">
        <f aca="false">Base_Bruta!P1560</f>
        <v>vendas_MG.csv</v>
      </c>
    </row>
    <row r="1561" customFormat="false" ht="15" hidden="false" customHeight="false" outlineLevel="0" collapsed="false">
      <c r="A1561" s="4" t="str">
        <f aca="false">IF(Base_Bruta!A1561="","",Base_Bruta!A1561)</f>
        <v>MG-000457</v>
      </c>
      <c r="B1561" s="5" t="n">
        <f aca="false">IF($A1561="","",IF(ISNUMBER(Base_Bruta!B1561),Base_Bruta!B1561,IF(MID(Base_Bruta!B1561,5,1)="-",DATE(VALUE(LEFT(Base_Bruta!B1561,4)),VALUE(MID(Base_Bruta!B1561,6,2)),VALUE(RIGHT(Base_Bruta!B1561,2))),DATE(VALUE(RIGHT(Base_Bruta!B1561,4)),VALUE(MID(Base_Bruta!B1561,4,2)),VALUE(LEFT(Base_Bruta!B1561,2))))))</f>
        <v>45762</v>
      </c>
      <c r="C1561" s="5" t="n">
        <f aca="false">IF($A1561="","",IF(ISNUMBER(Base_Bruta!C1561),Base_Bruta!C1561,IF(MID(Base_Bruta!C1561,5,1)="-",DATE(VALUE(LEFT(Base_Bruta!C1561,4)),VALUE(MID(Base_Bruta!C1561,6,2)),VALUE(RIGHT(Base_Bruta!C1561,2))),DATE(VALUE(RIGHT(Base_Bruta!C1561,4)),VALUE(MID(Base_Bruta!C1561,4,2)),VALUE(LEFT(Base_Bruta!C1561,2))))))</f>
        <v>45765</v>
      </c>
      <c r="D1561" s="4" t="str">
        <f aca="false">IF($A1561="","",TRIM(Base_Bruta!D1561))</f>
        <v>Cinema Savassi - Sessões</v>
      </c>
      <c r="E1561" s="4" t="str">
        <f aca="false">IF($A1561="","",_xlfn.XLOOKUP(LOWER(TRIM(Base_Bruta!E1561)),DePara_Categoria!$A$2:$A$9,DePara_Categoria!$B$2:$B$9,"REVISAR"))</f>
        <v>Cinema</v>
      </c>
      <c r="F1561" s="4" t="str">
        <f aca="false">IF($A1561="","",_xlfn.XLOOKUP(LOWER(TRIM(Base_Bruta!F1561)),DePara_Cidade!$A$2:$A$29,DePara_Cidade!$B$2:$B$29,"REVISAR"))</f>
        <v>Belo Horizonte</v>
      </c>
      <c r="G1561" s="4" t="str">
        <f aca="false">IF($A1561="","",TRIM(Base_Bruta!G1561))</f>
        <v>Inteira</v>
      </c>
      <c r="H1561" s="4" t="n">
        <f aca="false">IF($A1561="","",IF(ISNUMBER(Base_Bruta!H1561),Base_Bruta!H1561,IFERROR(_xlfn.NUMBERVALUE(TRIM(SUBSTITUTE(Base_Bruta!H1561,"R$","")),",","."),0)))</f>
        <v>2</v>
      </c>
      <c r="I1561" s="6" t="n">
        <f aca="false">IF($A1561="","",IF(ISNUMBER(Base_Bruta!I1561),Base_Bruta!I1561,IFERROR(_xlfn.NUMBERVALUE(TRIM(SUBSTITUTE(Base_Bruta!I1561,"R$","")),",","."),0)))</f>
        <v>30</v>
      </c>
      <c r="J1561" s="6" t="n">
        <f aca="false">IF($A1561="","",H1561*I1561)</f>
        <v>60</v>
      </c>
      <c r="K1561" s="4" t="str">
        <f aca="false">IF($A1561="","",TRIM(Base_Bruta!J1561))</f>
        <v>Site</v>
      </c>
      <c r="L1561" s="4" t="str">
        <f aca="false">IF($A1561="","",TRIM(Base_Bruta!K1561))</f>
        <v>C00945</v>
      </c>
      <c r="M1561" s="4" t="str">
        <f aca="false">IF($A1561="","",_xlfn.XLOOKUP(LOWER(TRIM(Base_Bruta!L1561)),DePara_Cidade!$A$2:$A$29,DePara_Cidade!$B$2:$B$29,"REVISAR"))</f>
        <v>Belo Horizonte</v>
      </c>
      <c r="N1561" s="4" t="str">
        <f aca="false">IF($A1561="","",UPPER(TRIM(Base_Bruta!M1561)))</f>
        <v>MG</v>
      </c>
      <c r="O1561" s="4" t="str">
        <f aca="false">IF($A1561="","",_xlfn.XLOOKUP(LOWER(TRIM(Base_Bruta!N1561)),DePara_Pais!$A$2:$A$9,DePara_Pais!$B$2:$B$9,"REVISAR"))</f>
        <v>Brasil</v>
      </c>
      <c r="P1561" s="4" t="str">
        <f aca="false">IF($A1561="","",IF(O1561&lt;&gt;"Brasil","Turista Internacional",IF(M1561=F1561,"Local","Turista Nacional")))</f>
        <v>Local</v>
      </c>
      <c r="Q1561" s="7" t="n">
        <f aca="false">IF($A1561="","",DATE(YEAR(B1561),MONTH(B1561),1))</f>
        <v>45748</v>
      </c>
      <c r="R1561" s="4" t="str">
        <f aca="false">IF($A1561="","",IF(COUNTIF($A$2:$A1561,$A1561)&gt;1,"Sim","Não"))</f>
        <v>Não</v>
      </c>
      <c r="S1561" s="4" t="str">
        <f aca="false">IF(A1561="","Descartar - Linha vazia",IF(R1561="Sim","Descartar - Duplicado",IF(OR(H1561&lt;=0,I1561&lt;=0),"Descartar - Qtd/Valor inválido","OK")))</f>
        <v>OK</v>
      </c>
      <c r="T1561" s="4" t="str">
        <f aca="false">Base_Bruta!P1561</f>
        <v>vendas_MG.csv</v>
      </c>
    </row>
    <row r="1562" customFormat="false" ht="15" hidden="false" customHeight="false" outlineLevel="0" collapsed="false">
      <c r="A1562" s="4" t="str">
        <f aca="false">IF(Base_Bruta!A1562="","",Base_Bruta!A1562)</f>
        <v>MG-000432</v>
      </c>
      <c r="B1562" s="5" t="n">
        <f aca="false">IF($A1562="","",IF(ISNUMBER(Base_Bruta!B1562),Base_Bruta!B1562,IF(MID(Base_Bruta!B1562,5,1)="-",DATE(VALUE(LEFT(Base_Bruta!B1562,4)),VALUE(MID(Base_Bruta!B1562,6,2)),VALUE(RIGHT(Base_Bruta!B1562,2))),DATE(VALUE(RIGHT(Base_Bruta!B1562,4)),VALUE(MID(Base_Bruta!B1562,4,2)),VALUE(LEFT(Base_Bruta!B1562,2))))))</f>
        <v>45765</v>
      </c>
      <c r="C1562" s="5" t="n">
        <f aca="false">IF($A1562="","",IF(ISNUMBER(Base_Bruta!C1562),Base_Bruta!C1562,IF(MID(Base_Bruta!C1562,5,1)="-",DATE(VALUE(LEFT(Base_Bruta!C1562,4)),VALUE(MID(Base_Bruta!C1562,6,2)),VALUE(RIGHT(Base_Bruta!C1562,2))),DATE(VALUE(RIGHT(Base_Bruta!C1562,4)),VALUE(MID(Base_Bruta!C1562,4,2)),VALUE(LEFT(Base_Bruta!C1562,2))))))</f>
        <v>45765</v>
      </c>
      <c r="D1562" s="4" t="str">
        <f aca="false">IF($A1562="","",TRIM(Base_Bruta!D1562))</f>
        <v>Cinema Savassi - Sessões</v>
      </c>
      <c r="E1562" s="4" t="str">
        <f aca="false">IF($A1562="","",_xlfn.XLOOKUP(LOWER(TRIM(Base_Bruta!E1562)),DePara_Categoria!$A$2:$A$9,DePara_Categoria!$B$2:$B$9,"REVISAR"))</f>
        <v>Cinema</v>
      </c>
      <c r="F1562" s="4" t="str">
        <f aca="false">IF($A1562="","",_xlfn.XLOOKUP(LOWER(TRIM(Base_Bruta!F1562)),DePara_Cidade!$A$2:$A$29,DePara_Cidade!$B$2:$B$29,"REVISAR"))</f>
        <v>Belo Horizonte</v>
      </c>
      <c r="G1562" s="4" t="str">
        <f aca="false">IF($A1562="","",TRIM(Base_Bruta!G1562))</f>
        <v>Inteira</v>
      </c>
      <c r="H1562" s="4" t="n">
        <f aca="false">IF($A1562="","",IF(ISNUMBER(Base_Bruta!H1562),Base_Bruta!H1562,IFERROR(_xlfn.NUMBERVALUE(TRIM(SUBSTITUTE(Base_Bruta!H1562,"R$","")),",","."),0)))</f>
        <v>3</v>
      </c>
      <c r="I1562" s="6" t="n">
        <f aca="false">IF($A1562="","",IF(ISNUMBER(Base_Bruta!I1562),Base_Bruta!I1562,IFERROR(_xlfn.NUMBERVALUE(TRIM(SUBSTITUTE(Base_Bruta!I1562,"R$","")),",","."),0)))</f>
        <v>40</v>
      </c>
      <c r="J1562" s="6" t="n">
        <f aca="false">IF($A1562="","",H1562*I1562)</f>
        <v>120</v>
      </c>
      <c r="K1562" s="4" t="str">
        <f aca="false">IF($A1562="","",TRIM(Base_Bruta!J1562))</f>
        <v>Parceiro</v>
      </c>
      <c r="L1562" s="4" t="str">
        <f aca="false">IF($A1562="","",TRIM(Base_Bruta!K1562))</f>
        <v>C01261</v>
      </c>
      <c r="M1562" s="4" t="str">
        <f aca="false">IF($A1562="","",_xlfn.XLOOKUP(LOWER(TRIM(Base_Bruta!L1562)),DePara_Cidade!$A$2:$A$29,DePara_Cidade!$B$2:$B$29,"REVISAR"))</f>
        <v>Belo Horizonte</v>
      </c>
      <c r="N1562" s="4" t="str">
        <f aca="false">IF($A1562="","",UPPER(TRIM(Base_Bruta!M1562)))</f>
        <v>MG</v>
      </c>
      <c r="O1562" s="4" t="str">
        <f aca="false">IF($A1562="","",_xlfn.XLOOKUP(LOWER(TRIM(Base_Bruta!N1562)),DePara_Pais!$A$2:$A$9,DePara_Pais!$B$2:$B$9,"REVISAR"))</f>
        <v>Brasil</v>
      </c>
      <c r="P1562" s="4" t="str">
        <f aca="false">IF($A1562="","",IF(O1562&lt;&gt;"Brasil","Turista Internacional",IF(M1562=F1562,"Local","Turista Nacional")))</f>
        <v>Local</v>
      </c>
      <c r="Q1562" s="7" t="n">
        <f aca="false">IF($A1562="","",DATE(YEAR(B1562),MONTH(B1562),1))</f>
        <v>45748</v>
      </c>
      <c r="R1562" s="4" t="str">
        <f aca="false">IF($A1562="","",IF(COUNTIF($A$2:$A1562,$A1562)&gt;1,"Sim","Não"))</f>
        <v>Não</v>
      </c>
      <c r="S1562" s="4" t="str">
        <f aca="false">IF(A1562="","Descartar - Linha vazia",IF(R1562="Sim","Descartar - Duplicado",IF(OR(H1562&lt;=0,I1562&lt;=0),"Descartar - Qtd/Valor inválido","OK")))</f>
        <v>OK</v>
      </c>
      <c r="T1562" s="4" t="str">
        <f aca="false">Base_Bruta!P1562</f>
        <v>vendas_MG.csv</v>
      </c>
    </row>
    <row r="1563" customFormat="false" ht="15" hidden="false" customHeight="false" outlineLevel="0" collapsed="false">
      <c r="A1563" s="4" t="str">
        <f aca="false">IF(Base_Bruta!A1563="","",Base_Bruta!A1563)</f>
        <v>MG-000457</v>
      </c>
      <c r="B1563" s="5" t="n">
        <f aca="false">IF($A1563="","",IF(ISNUMBER(Base_Bruta!B1563),Base_Bruta!B1563,IF(MID(Base_Bruta!B1563,5,1)="-",DATE(VALUE(LEFT(Base_Bruta!B1563,4)),VALUE(MID(Base_Bruta!B1563,6,2)),VALUE(RIGHT(Base_Bruta!B1563,2))),DATE(VALUE(RIGHT(Base_Bruta!B1563,4)),VALUE(MID(Base_Bruta!B1563,4,2)),VALUE(LEFT(Base_Bruta!B1563,2))))))</f>
        <v>45762</v>
      </c>
      <c r="C1563" s="5" t="n">
        <f aca="false">IF($A1563="","",IF(ISNUMBER(Base_Bruta!C1563),Base_Bruta!C1563,IF(MID(Base_Bruta!C1563,5,1)="-",DATE(VALUE(LEFT(Base_Bruta!C1563,4)),VALUE(MID(Base_Bruta!C1563,6,2)),VALUE(RIGHT(Base_Bruta!C1563,2))),DATE(VALUE(RIGHT(Base_Bruta!C1563,4)),VALUE(MID(Base_Bruta!C1563,4,2)),VALUE(LEFT(Base_Bruta!C1563,2))))))</f>
        <v>45765</v>
      </c>
      <c r="D1563" s="4" t="str">
        <f aca="false">IF($A1563="","",TRIM(Base_Bruta!D1563))</f>
        <v>Cinema Savassi - Sessões</v>
      </c>
      <c r="E1563" s="4" t="str">
        <f aca="false">IF($A1563="","",_xlfn.XLOOKUP(LOWER(TRIM(Base_Bruta!E1563)),DePara_Categoria!$A$2:$A$9,DePara_Categoria!$B$2:$B$9,"REVISAR"))</f>
        <v>Cinema</v>
      </c>
      <c r="F1563" s="4" t="str">
        <f aca="false">IF($A1563="","",_xlfn.XLOOKUP(LOWER(TRIM(Base_Bruta!F1563)),DePara_Cidade!$A$2:$A$29,DePara_Cidade!$B$2:$B$29,"REVISAR"))</f>
        <v>Belo Horizonte</v>
      </c>
      <c r="G1563" s="4" t="str">
        <f aca="false">IF($A1563="","",TRIM(Base_Bruta!G1563))</f>
        <v>Inteira</v>
      </c>
      <c r="H1563" s="4" t="n">
        <f aca="false">IF($A1563="","",IF(ISNUMBER(Base_Bruta!H1563),Base_Bruta!H1563,IFERROR(_xlfn.NUMBERVALUE(TRIM(SUBSTITUTE(Base_Bruta!H1563,"R$","")),",","."),0)))</f>
        <v>2</v>
      </c>
      <c r="I1563" s="6" t="n">
        <f aca="false">IF($A1563="","",IF(ISNUMBER(Base_Bruta!I1563),Base_Bruta!I1563,IFERROR(_xlfn.NUMBERVALUE(TRIM(SUBSTITUTE(Base_Bruta!I1563,"R$","")),",","."),0)))</f>
        <v>30</v>
      </c>
      <c r="J1563" s="6" t="n">
        <f aca="false">IF($A1563="","",H1563*I1563)</f>
        <v>60</v>
      </c>
      <c r="K1563" s="4" t="str">
        <f aca="false">IF($A1563="","",TRIM(Base_Bruta!J1563))</f>
        <v>Site</v>
      </c>
      <c r="L1563" s="4" t="str">
        <f aca="false">IF($A1563="","",TRIM(Base_Bruta!K1563))</f>
        <v>C00945</v>
      </c>
      <c r="M1563" s="4" t="str">
        <f aca="false">IF($A1563="","",_xlfn.XLOOKUP(LOWER(TRIM(Base_Bruta!L1563)),DePara_Cidade!$A$2:$A$29,DePara_Cidade!$B$2:$B$29,"REVISAR"))</f>
        <v>Belo Horizonte</v>
      </c>
      <c r="N1563" s="4" t="str">
        <f aca="false">IF($A1563="","",UPPER(TRIM(Base_Bruta!M1563)))</f>
        <v>MG</v>
      </c>
      <c r="O1563" s="4" t="str">
        <f aca="false">IF($A1563="","",_xlfn.XLOOKUP(LOWER(TRIM(Base_Bruta!N1563)),DePara_Pais!$A$2:$A$9,DePara_Pais!$B$2:$B$9,"REVISAR"))</f>
        <v>Brasil</v>
      </c>
      <c r="P1563" s="4" t="str">
        <f aca="false">IF($A1563="","",IF(O1563&lt;&gt;"Brasil","Turista Internacional",IF(M1563=F1563,"Local","Turista Nacional")))</f>
        <v>Local</v>
      </c>
      <c r="Q1563" s="7" t="n">
        <f aca="false">IF($A1563="","",DATE(YEAR(B1563),MONTH(B1563),1))</f>
        <v>45748</v>
      </c>
      <c r="R1563" s="4" t="str">
        <f aca="false">IF($A1563="","",IF(COUNTIF($A$2:$A1563,$A1563)&gt;1,"Sim","Não"))</f>
        <v>Sim</v>
      </c>
      <c r="S1563" s="4" t="str">
        <f aca="false">IF(A1563="","Descartar - Linha vazia",IF(R1563="Sim","Descartar - Duplicado",IF(OR(H1563&lt;=0,I1563&lt;=0),"Descartar - Qtd/Valor inválido","OK")))</f>
        <v>Descartar - Duplicado</v>
      </c>
      <c r="T1563" s="4" t="str">
        <f aca="false">Base_Bruta!P1563</f>
        <v>vendas_MG.csv</v>
      </c>
    </row>
    <row r="1564" customFormat="false" ht="15" hidden="false" customHeight="false" outlineLevel="0" collapsed="false">
      <c r="A1564" s="4" t="str">
        <f aca="false">IF(Base_Bruta!A1564="","",Base_Bruta!A1564)</f>
        <v>MG-000470</v>
      </c>
      <c r="B1564" s="5" t="n">
        <f aca="false">IF($A1564="","",IF(ISNUMBER(Base_Bruta!B1564),Base_Bruta!B1564,IF(MID(Base_Bruta!B1564,5,1)="-",DATE(VALUE(LEFT(Base_Bruta!B1564,4)),VALUE(MID(Base_Bruta!B1564,6,2)),VALUE(RIGHT(Base_Bruta!B1564,2))),DATE(VALUE(RIGHT(Base_Bruta!B1564,4)),VALUE(MID(Base_Bruta!B1564,4,2)),VALUE(LEFT(Base_Bruta!B1564,2))))))</f>
        <v>45765</v>
      </c>
      <c r="C1564" s="5" t="n">
        <f aca="false">IF($A1564="","",IF(ISNUMBER(Base_Bruta!C1564),Base_Bruta!C1564,IF(MID(Base_Bruta!C1564,5,1)="-",DATE(VALUE(LEFT(Base_Bruta!C1564,4)),VALUE(MID(Base_Bruta!C1564,6,2)),VALUE(RIGHT(Base_Bruta!C1564,2))),DATE(VALUE(RIGHT(Base_Bruta!C1564,4)),VALUE(MID(Base_Bruta!C1564,4,2)),VALUE(LEFT(Base_Bruta!C1564,2))))))</f>
        <v>45767</v>
      </c>
      <c r="D1564" s="4" t="str">
        <f aca="false">IF($A1564="","",TRIM(Base_Bruta!D1564))</f>
        <v>Cinema Savassi - Sessões</v>
      </c>
      <c r="E1564" s="4" t="str">
        <f aca="false">IF($A1564="","",_xlfn.XLOOKUP(LOWER(TRIM(Base_Bruta!E1564)),DePara_Categoria!$A$2:$A$9,DePara_Categoria!$B$2:$B$9,"REVISAR"))</f>
        <v>Cinema</v>
      </c>
      <c r="F1564" s="4" t="str">
        <f aca="false">IF($A1564="","",_xlfn.XLOOKUP(LOWER(TRIM(Base_Bruta!F1564)),DePara_Cidade!$A$2:$A$29,DePara_Cidade!$B$2:$B$29,"REVISAR"))</f>
        <v>Belo Horizonte</v>
      </c>
      <c r="G1564" s="4" t="str">
        <f aca="false">IF($A1564="","",TRIM(Base_Bruta!G1564))</f>
        <v>Inteira</v>
      </c>
      <c r="H1564" s="4" t="n">
        <f aca="false">IF($A1564="","",IF(ISNUMBER(Base_Bruta!H1564),Base_Bruta!H1564,IFERROR(_xlfn.NUMBERVALUE(TRIM(SUBSTITUTE(Base_Bruta!H1564,"R$","")),",","."),0)))</f>
        <v>2</v>
      </c>
      <c r="I1564" s="6" t="n">
        <f aca="false">IF($A1564="","",IF(ISNUMBER(Base_Bruta!I1564),Base_Bruta!I1564,IFERROR(_xlfn.NUMBERVALUE(TRIM(SUBSTITUTE(Base_Bruta!I1564,"R$","")),",","."),0)))</f>
        <v>40</v>
      </c>
      <c r="J1564" s="6" t="n">
        <f aca="false">IF($A1564="","",H1564*I1564)</f>
        <v>80</v>
      </c>
      <c r="K1564" s="4" t="str">
        <f aca="false">IF($A1564="","",TRIM(Base_Bruta!J1564))</f>
        <v>Site</v>
      </c>
      <c r="L1564" s="4" t="str">
        <f aca="false">IF($A1564="","",TRIM(Base_Bruta!K1564))</f>
        <v>C01353</v>
      </c>
      <c r="M1564" s="4" t="str">
        <f aca="false">IF($A1564="","",_xlfn.XLOOKUP(LOWER(TRIM(Base_Bruta!L1564)),DePara_Cidade!$A$2:$A$29,DePara_Cidade!$B$2:$B$29,"REVISAR"))</f>
        <v>Belo Horizonte</v>
      </c>
      <c r="N1564" s="4" t="str">
        <f aca="false">IF($A1564="","",UPPER(TRIM(Base_Bruta!M1564)))</f>
        <v>MG</v>
      </c>
      <c r="O1564" s="4" t="str">
        <f aca="false">IF($A1564="","",_xlfn.XLOOKUP(LOWER(TRIM(Base_Bruta!N1564)),DePara_Pais!$A$2:$A$9,DePara_Pais!$B$2:$B$9,"REVISAR"))</f>
        <v>Brasil</v>
      </c>
      <c r="P1564" s="4" t="str">
        <f aca="false">IF($A1564="","",IF(O1564&lt;&gt;"Brasil","Turista Internacional",IF(M1564=F1564,"Local","Turista Nacional")))</f>
        <v>Local</v>
      </c>
      <c r="Q1564" s="7" t="n">
        <f aca="false">IF($A1564="","",DATE(YEAR(B1564),MONTH(B1564),1))</f>
        <v>45748</v>
      </c>
      <c r="R1564" s="4" t="str">
        <f aca="false">IF($A1564="","",IF(COUNTIF($A$2:$A1564,$A1564)&gt;1,"Sim","Não"))</f>
        <v>Não</v>
      </c>
      <c r="S1564" s="4" t="str">
        <f aca="false">IF(A1564="","Descartar - Linha vazia",IF(R1564="Sim","Descartar - Duplicado",IF(OR(H1564&lt;=0,I1564&lt;=0),"Descartar - Qtd/Valor inválido","OK")))</f>
        <v>OK</v>
      </c>
      <c r="T1564" s="4" t="str">
        <f aca="false">Base_Bruta!P1564</f>
        <v>vendas_MG.csv</v>
      </c>
    </row>
    <row r="1565" customFormat="false" ht="15" hidden="false" customHeight="false" outlineLevel="0" collapsed="false">
      <c r="A1565" s="4" t="str">
        <f aca="false">IF(Base_Bruta!A1565="","",Base_Bruta!A1565)</f>
        <v>MG-000548</v>
      </c>
      <c r="B1565" s="5" t="n">
        <f aca="false">IF($A1565="","",IF(ISNUMBER(Base_Bruta!B1565),Base_Bruta!B1565,IF(MID(Base_Bruta!B1565,5,1)="-",DATE(VALUE(LEFT(Base_Bruta!B1565,4)),VALUE(MID(Base_Bruta!B1565,6,2)),VALUE(RIGHT(Base_Bruta!B1565,2))),DATE(VALUE(RIGHT(Base_Bruta!B1565,4)),VALUE(MID(Base_Bruta!B1565,4,2)),VALUE(LEFT(Base_Bruta!B1565,2))))))</f>
        <v>45771</v>
      </c>
      <c r="C1565" s="5" t="n">
        <f aca="false">IF($A1565="","",IF(ISNUMBER(Base_Bruta!C1565),Base_Bruta!C1565,IF(MID(Base_Bruta!C1565,5,1)="-",DATE(VALUE(LEFT(Base_Bruta!C1565,4)),VALUE(MID(Base_Bruta!C1565,6,2)),VALUE(RIGHT(Base_Bruta!C1565,2))),DATE(VALUE(RIGHT(Base_Bruta!C1565,4)),VALUE(MID(Base_Bruta!C1565,4,2)),VALUE(LEFT(Base_Bruta!C1565,2))))))</f>
        <v>45773</v>
      </c>
      <c r="D1565" s="4" t="str">
        <f aca="false">IF($A1565="","",TRIM(Base_Bruta!D1565))</f>
        <v>Cinema Savassi - Sessões</v>
      </c>
      <c r="E1565" s="4" t="str">
        <f aca="false">IF($A1565="","",_xlfn.XLOOKUP(LOWER(TRIM(Base_Bruta!E1565)),DePara_Categoria!$A$2:$A$9,DePara_Categoria!$B$2:$B$9,"REVISAR"))</f>
        <v>Cinema</v>
      </c>
      <c r="F1565" s="4" t="str">
        <f aca="false">IF($A1565="","",_xlfn.XLOOKUP(LOWER(TRIM(Base_Bruta!F1565)),DePara_Cidade!$A$2:$A$29,DePara_Cidade!$B$2:$B$29,"REVISAR"))</f>
        <v>Belo Horizonte</v>
      </c>
      <c r="G1565" s="4" t="str">
        <f aca="false">IF($A1565="","",TRIM(Base_Bruta!G1565))</f>
        <v>Inteira</v>
      </c>
      <c r="H1565" s="4" t="n">
        <f aca="false">IF($A1565="","",IF(ISNUMBER(Base_Bruta!H1565),Base_Bruta!H1565,IFERROR(_xlfn.NUMBERVALUE(TRIM(SUBSTITUTE(Base_Bruta!H1565,"R$","")),",","."),0)))</f>
        <v>4</v>
      </c>
      <c r="I1565" s="6" t="n">
        <f aca="false">IF($A1565="","",IF(ISNUMBER(Base_Bruta!I1565),Base_Bruta!I1565,IFERROR(_xlfn.NUMBERVALUE(TRIM(SUBSTITUTE(Base_Bruta!I1565,"R$","")),",","."),0)))</f>
        <v>40</v>
      </c>
      <c r="J1565" s="6" t="n">
        <f aca="false">IF($A1565="","",H1565*I1565)</f>
        <v>160</v>
      </c>
      <c r="K1565" s="4" t="str">
        <f aca="false">IF($A1565="","",TRIM(Base_Bruta!J1565))</f>
        <v>Site</v>
      </c>
      <c r="L1565" s="4" t="str">
        <f aca="false">IF($A1565="","",TRIM(Base_Bruta!K1565))</f>
        <v>C01590</v>
      </c>
      <c r="M1565" s="4" t="str">
        <f aca="false">IF($A1565="","",_xlfn.XLOOKUP(LOWER(TRIM(Base_Bruta!L1565)),DePara_Cidade!$A$2:$A$29,DePara_Cidade!$B$2:$B$29,"REVISAR"))</f>
        <v>Belo Horizonte</v>
      </c>
      <c r="N1565" s="4" t="str">
        <f aca="false">IF($A1565="","",UPPER(TRIM(Base_Bruta!M1565)))</f>
        <v>MG</v>
      </c>
      <c r="O1565" s="4" t="str">
        <f aca="false">IF($A1565="","",_xlfn.XLOOKUP(LOWER(TRIM(Base_Bruta!N1565)),DePara_Pais!$A$2:$A$9,DePara_Pais!$B$2:$B$9,"REVISAR"))</f>
        <v>Brasil</v>
      </c>
      <c r="P1565" s="4" t="str">
        <f aca="false">IF($A1565="","",IF(O1565&lt;&gt;"Brasil","Turista Internacional",IF(M1565=F1565,"Local","Turista Nacional")))</f>
        <v>Local</v>
      </c>
      <c r="Q1565" s="7" t="n">
        <f aca="false">IF($A1565="","",DATE(YEAR(B1565),MONTH(B1565),1))</f>
        <v>45748</v>
      </c>
      <c r="R1565" s="4" t="str">
        <f aca="false">IF($A1565="","",IF(COUNTIF($A$2:$A1565,$A1565)&gt;1,"Sim","Não"))</f>
        <v>Não</v>
      </c>
      <c r="S1565" s="4" t="str">
        <f aca="false">IF(A1565="","Descartar - Linha vazia",IF(R1565="Sim","Descartar - Duplicado",IF(OR(H1565&lt;=0,I1565&lt;=0),"Descartar - Qtd/Valor inválido","OK")))</f>
        <v>OK</v>
      </c>
      <c r="T1565" s="4" t="str">
        <f aca="false">Base_Bruta!P1565</f>
        <v>vendas_MG.csv</v>
      </c>
    </row>
    <row r="1566" customFormat="false" ht="15" hidden="false" customHeight="false" outlineLevel="0" collapsed="false">
      <c r="A1566" s="4" t="str">
        <f aca="false">IF(Base_Bruta!A1566="","",Base_Bruta!A1566)</f>
        <v>MG-000104</v>
      </c>
      <c r="B1566" s="5" t="n">
        <f aca="false">IF($A1566="","",IF(ISNUMBER(Base_Bruta!B1566),Base_Bruta!B1566,IF(MID(Base_Bruta!B1566,5,1)="-",DATE(VALUE(LEFT(Base_Bruta!B1566,4)),VALUE(MID(Base_Bruta!B1566,6,2)),VALUE(RIGHT(Base_Bruta!B1566,2))),DATE(VALUE(RIGHT(Base_Bruta!B1566,4)),VALUE(MID(Base_Bruta!B1566,4,2)),VALUE(LEFT(Base_Bruta!B1566,2))))))</f>
        <v>45772</v>
      </c>
      <c r="C1566" s="5" t="n">
        <f aca="false">IF($A1566="","",IF(ISNUMBER(Base_Bruta!C1566),Base_Bruta!C1566,IF(MID(Base_Bruta!C1566,5,1)="-",DATE(VALUE(LEFT(Base_Bruta!C1566,4)),VALUE(MID(Base_Bruta!C1566,6,2)),VALUE(RIGHT(Base_Bruta!C1566,2))),DATE(VALUE(RIGHT(Base_Bruta!C1566,4)),VALUE(MID(Base_Bruta!C1566,4,2)),VALUE(LEFT(Base_Bruta!C1566,2))))))</f>
        <v>45892</v>
      </c>
      <c r="D1566" s="4" t="str">
        <f aca="false">IF($A1566="","",TRIM(Base_Bruta!D1566))</f>
        <v>Festival Montanhas BH 2025</v>
      </c>
      <c r="E1566" s="4" t="str">
        <f aca="false">IF($A1566="","",_xlfn.XLOOKUP(LOWER(TRIM(Base_Bruta!E1566)),DePara_Categoria!$A$2:$A$9,DePara_Categoria!$B$2:$B$9,"REVISAR"))</f>
        <v>Festival</v>
      </c>
      <c r="F1566" s="4" t="str">
        <f aca="false">IF($A1566="","",_xlfn.XLOOKUP(LOWER(TRIM(Base_Bruta!F1566)),DePara_Cidade!$A$2:$A$29,DePara_Cidade!$B$2:$B$29,"REVISAR"))</f>
        <v>Belo Horizonte</v>
      </c>
      <c r="G1566" s="4" t="str">
        <f aca="false">IF($A1566="","",TRIM(Base_Bruta!G1566))</f>
        <v>Inteira</v>
      </c>
      <c r="H1566" s="4" t="n">
        <f aca="false">IF($A1566="","",IF(ISNUMBER(Base_Bruta!H1566),Base_Bruta!H1566,IFERROR(_xlfn.NUMBERVALUE(TRIM(SUBSTITUTE(Base_Bruta!H1566,"R$","")),",","."),0)))</f>
        <v>4</v>
      </c>
      <c r="I1566" s="6" t="n">
        <f aca="false">IF($A1566="","",IF(ISNUMBER(Base_Bruta!I1566),Base_Bruta!I1566,IFERROR(_xlfn.NUMBERVALUE(TRIM(SUBSTITUTE(Base_Bruta!I1566,"R$","")),",","."),0)))</f>
        <v>1035</v>
      </c>
      <c r="J1566" s="6" t="n">
        <f aca="false">IF($A1566="","",H1566*I1566)</f>
        <v>4140</v>
      </c>
      <c r="K1566" s="4" t="str">
        <f aca="false">IF($A1566="","",TRIM(Base_Bruta!J1566))</f>
        <v>App</v>
      </c>
      <c r="L1566" s="4" t="str">
        <f aca="false">IF($A1566="","",TRIM(Base_Bruta!K1566))</f>
        <v>C02257</v>
      </c>
      <c r="M1566" s="4" t="str">
        <f aca="false">IF($A1566="","",_xlfn.XLOOKUP(LOWER(TRIM(Base_Bruta!L1566)),DePara_Cidade!$A$2:$A$29,DePara_Cidade!$B$2:$B$29,"REVISAR"))</f>
        <v>Belo Horizonte</v>
      </c>
      <c r="N1566" s="4" t="str">
        <f aca="false">IF($A1566="","",UPPER(TRIM(Base_Bruta!M1566)))</f>
        <v>MG</v>
      </c>
      <c r="O1566" s="4" t="str">
        <f aca="false">IF($A1566="","",_xlfn.XLOOKUP(LOWER(TRIM(Base_Bruta!N1566)),DePara_Pais!$A$2:$A$9,DePara_Pais!$B$2:$B$9,"REVISAR"))</f>
        <v>Brasil</v>
      </c>
      <c r="P1566" s="4" t="str">
        <f aca="false">IF($A1566="","",IF(O1566&lt;&gt;"Brasil","Turista Internacional",IF(M1566=F1566,"Local","Turista Nacional")))</f>
        <v>Local</v>
      </c>
      <c r="Q1566" s="7" t="n">
        <f aca="false">IF($A1566="","",DATE(YEAR(B1566),MONTH(B1566),1))</f>
        <v>45748</v>
      </c>
      <c r="R1566" s="4" t="str">
        <f aca="false">IF($A1566="","",IF(COUNTIF($A$2:$A1566,$A1566)&gt;1,"Sim","Não"))</f>
        <v>Não</v>
      </c>
      <c r="S1566" s="4" t="str">
        <f aca="false">IF(A1566="","Descartar - Linha vazia",IF(R1566="Sim","Descartar - Duplicado",IF(OR(H1566&lt;=0,I1566&lt;=0),"Descartar - Qtd/Valor inválido","OK")))</f>
        <v>OK</v>
      </c>
      <c r="T1566" s="4" t="str">
        <f aca="false">Base_Bruta!P1566</f>
        <v>vendas_MG.csv</v>
      </c>
    </row>
    <row r="1567" customFormat="false" ht="15" hidden="false" customHeight="false" outlineLevel="0" collapsed="false">
      <c r="A1567" s="4" t="str">
        <f aca="false">IF(Base_Bruta!A1567="","",Base_Bruta!A1567)</f>
        <v>MG-000108</v>
      </c>
      <c r="B1567" s="5" t="n">
        <f aca="false">IF($A1567="","",IF(ISNUMBER(Base_Bruta!B1567),Base_Bruta!B1567,IF(MID(Base_Bruta!B1567,5,1)="-",DATE(VALUE(LEFT(Base_Bruta!B1567,4)),VALUE(MID(Base_Bruta!B1567,6,2)),VALUE(RIGHT(Base_Bruta!B1567,2))),DATE(VALUE(RIGHT(Base_Bruta!B1567,4)),VALUE(MID(Base_Bruta!B1567,4,2)),VALUE(LEFT(Base_Bruta!B1567,2))))))</f>
        <v>45772</v>
      </c>
      <c r="C1567" s="5" t="n">
        <f aca="false">IF($A1567="","",IF(ISNUMBER(Base_Bruta!C1567),Base_Bruta!C1567,IF(MID(Base_Bruta!C1567,5,1)="-",DATE(VALUE(LEFT(Base_Bruta!C1567,4)),VALUE(MID(Base_Bruta!C1567,6,2)),VALUE(RIGHT(Base_Bruta!C1567,2))),DATE(VALUE(RIGHT(Base_Bruta!C1567,4)),VALUE(MID(Base_Bruta!C1567,4,2)),VALUE(LEFT(Base_Bruta!C1567,2))))))</f>
        <v>45892</v>
      </c>
      <c r="D1567" s="4" t="str">
        <f aca="false">IF($A1567="","",TRIM(Base_Bruta!D1567))</f>
        <v>Festival Montanhas BH 2025</v>
      </c>
      <c r="E1567" s="4" t="str">
        <f aca="false">IF($A1567="","",_xlfn.XLOOKUP(LOWER(TRIM(Base_Bruta!E1567)),DePara_Categoria!$A$2:$A$9,DePara_Categoria!$B$2:$B$9,"REVISAR"))</f>
        <v>Festival</v>
      </c>
      <c r="F1567" s="4" t="str">
        <f aca="false">IF($A1567="","",_xlfn.XLOOKUP(LOWER(TRIM(Base_Bruta!F1567)),DePara_Cidade!$A$2:$A$29,DePara_Cidade!$B$2:$B$29,"REVISAR"))</f>
        <v>Belo Horizonte</v>
      </c>
      <c r="G1567" s="4" t="str">
        <f aca="false">IF($A1567="","",TRIM(Base_Bruta!G1567))</f>
        <v>Inteira</v>
      </c>
      <c r="H1567" s="4" t="n">
        <f aca="false">IF($A1567="","",IF(ISNUMBER(Base_Bruta!H1567),Base_Bruta!H1567,IFERROR(_xlfn.NUMBERVALUE(TRIM(SUBSTITUTE(Base_Bruta!H1567,"R$","")),",","."),0)))</f>
        <v>1</v>
      </c>
      <c r="I1567" s="6" t="n">
        <f aca="false">IF($A1567="","",IF(ISNUMBER(Base_Bruta!I1567),Base_Bruta!I1567,IFERROR(_xlfn.NUMBERVALUE(TRIM(SUBSTITUTE(Base_Bruta!I1567,"R$","")),",","."),0)))</f>
        <v>1110</v>
      </c>
      <c r="J1567" s="6" t="n">
        <f aca="false">IF($A1567="","",H1567*I1567)</f>
        <v>1110</v>
      </c>
      <c r="K1567" s="4" t="str">
        <f aca="false">IF($A1567="","",TRIM(Base_Bruta!J1567))</f>
        <v>Site</v>
      </c>
      <c r="L1567" s="4" t="str">
        <f aca="false">IF($A1567="","",TRIM(Base_Bruta!K1567))</f>
        <v>C01928</v>
      </c>
      <c r="M1567" s="4" t="str">
        <f aca="false">IF($A1567="","",_xlfn.XLOOKUP(LOWER(TRIM(Base_Bruta!L1567)),DePara_Cidade!$A$2:$A$29,DePara_Cidade!$B$2:$B$29,"REVISAR"))</f>
        <v>Belo Horizonte</v>
      </c>
      <c r="N1567" s="4" t="str">
        <f aca="false">IF($A1567="","",UPPER(TRIM(Base_Bruta!M1567)))</f>
        <v>MG</v>
      </c>
      <c r="O1567" s="4" t="str">
        <f aca="false">IF($A1567="","",_xlfn.XLOOKUP(LOWER(TRIM(Base_Bruta!N1567)),DePara_Pais!$A$2:$A$9,DePara_Pais!$B$2:$B$9,"REVISAR"))</f>
        <v>Brasil</v>
      </c>
      <c r="P1567" s="4" t="str">
        <f aca="false">IF($A1567="","",IF(O1567&lt;&gt;"Brasil","Turista Internacional",IF(M1567=F1567,"Local","Turista Nacional")))</f>
        <v>Local</v>
      </c>
      <c r="Q1567" s="7" t="n">
        <f aca="false">IF($A1567="","",DATE(YEAR(B1567),MONTH(B1567),1))</f>
        <v>45748</v>
      </c>
      <c r="R1567" s="4" t="str">
        <f aca="false">IF($A1567="","",IF(COUNTIF($A$2:$A1567,$A1567)&gt;1,"Sim","Não"))</f>
        <v>Não</v>
      </c>
      <c r="S1567" s="4" t="str">
        <f aca="false">IF(A1567="","Descartar - Linha vazia",IF(R1567="Sim","Descartar - Duplicado",IF(OR(H1567&lt;=0,I1567&lt;=0),"Descartar - Qtd/Valor inválido","OK")))</f>
        <v>OK</v>
      </c>
      <c r="T1567" s="4" t="str">
        <f aca="false">Base_Bruta!P1567</f>
        <v>vendas_MG.csv</v>
      </c>
    </row>
    <row r="1568" customFormat="false" ht="15" hidden="false" customHeight="false" outlineLevel="0" collapsed="false">
      <c r="A1568" s="4" t="str">
        <f aca="false">IF(Base_Bruta!A1568="","",Base_Bruta!A1568)</f>
        <v>MG-000122</v>
      </c>
      <c r="B1568" s="5" t="n">
        <f aca="false">IF($A1568="","",IF(ISNUMBER(Base_Bruta!B1568),Base_Bruta!B1568,IF(MID(Base_Bruta!B1568,5,1)="-",DATE(VALUE(LEFT(Base_Bruta!B1568,4)),VALUE(MID(Base_Bruta!B1568,6,2)),VALUE(RIGHT(Base_Bruta!B1568,2))),DATE(VALUE(RIGHT(Base_Bruta!B1568,4)),VALUE(MID(Base_Bruta!B1568,4,2)),VALUE(LEFT(Base_Bruta!B1568,2))))))</f>
        <v>45772</v>
      </c>
      <c r="C1568" s="5" t="n">
        <f aca="false">IF($A1568="","",IF(ISNUMBER(Base_Bruta!C1568),Base_Bruta!C1568,IF(MID(Base_Bruta!C1568,5,1)="-",DATE(VALUE(LEFT(Base_Bruta!C1568,4)),VALUE(MID(Base_Bruta!C1568,6,2)),VALUE(RIGHT(Base_Bruta!C1568,2))),DATE(VALUE(RIGHT(Base_Bruta!C1568,4)),VALUE(MID(Base_Bruta!C1568,4,2)),VALUE(LEFT(Base_Bruta!C1568,2))))))</f>
        <v>45892</v>
      </c>
      <c r="D1568" s="4" t="str">
        <f aca="false">IF($A1568="","",TRIM(Base_Bruta!D1568))</f>
        <v>Festival Montanhas BH 2025</v>
      </c>
      <c r="E1568" s="4" t="str">
        <f aca="false">IF($A1568="","",_xlfn.XLOOKUP(LOWER(TRIM(Base_Bruta!E1568)),DePara_Categoria!$A$2:$A$9,DePara_Categoria!$B$2:$B$9,"REVISAR"))</f>
        <v>Festival</v>
      </c>
      <c r="F1568" s="4" t="str">
        <f aca="false">IF($A1568="","",_xlfn.XLOOKUP(LOWER(TRIM(Base_Bruta!F1568)),DePara_Cidade!$A$2:$A$29,DePara_Cidade!$B$2:$B$29,"REVISAR"))</f>
        <v>Belo Horizonte</v>
      </c>
      <c r="G1568" s="4" t="str">
        <f aca="false">IF($A1568="","",TRIM(Base_Bruta!G1568))</f>
        <v>Inteira</v>
      </c>
      <c r="H1568" s="4" t="n">
        <f aca="false">IF($A1568="","",IF(ISNUMBER(Base_Bruta!H1568),Base_Bruta!H1568,IFERROR(_xlfn.NUMBERVALUE(TRIM(SUBSTITUTE(Base_Bruta!H1568,"R$","")),",","."),0)))</f>
        <v>2</v>
      </c>
      <c r="I1568" s="6" t="n">
        <f aca="false">IF($A1568="","",IF(ISNUMBER(Base_Bruta!I1568),Base_Bruta!I1568,IFERROR(_xlfn.NUMBERVALUE(TRIM(SUBSTITUTE(Base_Bruta!I1568,"R$","")),",","."),0)))</f>
        <v>880</v>
      </c>
      <c r="J1568" s="6" t="n">
        <f aca="false">IF($A1568="","",H1568*I1568)</f>
        <v>1760</v>
      </c>
      <c r="K1568" s="4" t="str">
        <f aca="false">IF($A1568="","",TRIM(Base_Bruta!J1568))</f>
        <v>Parceiro</v>
      </c>
      <c r="L1568" s="4" t="str">
        <f aca="false">IF($A1568="","",TRIM(Base_Bruta!K1568))</f>
        <v>C01004</v>
      </c>
      <c r="M1568" s="4" t="str">
        <f aca="false">IF($A1568="","",_xlfn.XLOOKUP(LOWER(TRIM(Base_Bruta!L1568)),DePara_Cidade!$A$2:$A$29,DePara_Cidade!$B$2:$B$29,"REVISAR"))</f>
        <v>Brasília</v>
      </c>
      <c r="N1568" s="4" t="str">
        <f aca="false">IF($A1568="","",UPPER(TRIM(Base_Bruta!M1568)))</f>
        <v>DF</v>
      </c>
      <c r="O1568" s="4" t="str">
        <f aca="false">IF($A1568="","",_xlfn.XLOOKUP(LOWER(TRIM(Base_Bruta!N1568)),DePara_Pais!$A$2:$A$9,DePara_Pais!$B$2:$B$9,"REVISAR"))</f>
        <v>Brasil</v>
      </c>
      <c r="P1568" s="4" t="str">
        <f aca="false">IF($A1568="","",IF(O1568&lt;&gt;"Brasil","Turista Internacional",IF(M1568=F1568,"Local","Turista Nacional")))</f>
        <v>Turista Nacional</v>
      </c>
      <c r="Q1568" s="7" t="n">
        <f aca="false">IF($A1568="","",DATE(YEAR(B1568),MONTH(B1568),1))</f>
        <v>45748</v>
      </c>
      <c r="R1568" s="4" t="str">
        <f aca="false">IF($A1568="","",IF(COUNTIF($A$2:$A1568,$A1568)&gt;1,"Sim","Não"))</f>
        <v>Não</v>
      </c>
      <c r="S1568" s="4" t="str">
        <f aca="false">IF(A1568="","Descartar - Linha vazia",IF(R1568="Sim","Descartar - Duplicado",IF(OR(H1568&lt;=0,I1568&lt;=0),"Descartar - Qtd/Valor inválido","OK")))</f>
        <v>OK</v>
      </c>
      <c r="T1568" s="4" t="str">
        <f aca="false">Base_Bruta!P1568</f>
        <v>vendas_MG.csv</v>
      </c>
    </row>
    <row r="1569" customFormat="false" ht="15" hidden="false" customHeight="false" outlineLevel="0" collapsed="false">
      <c r="A1569" s="4" t="str">
        <f aca="false">IF(Base_Bruta!A1569="","",Base_Bruta!A1569)</f>
        <v>MG-000135</v>
      </c>
      <c r="B1569" s="5" t="n">
        <f aca="false">IF($A1569="","",IF(ISNUMBER(Base_Bruta!B1569),Base_Bruta!B1569,IF(MID(Base_Bruta!B1569,5,1)="-",DATE(VALUE(LEFT(Base_Bruta!B1569,4)),VALUE(MID(Base_Bruta!B1569,6,2)),VALUE(RIGHT(Base_Bruta!B1569,2))),DATE(VALUE(RIGHT(Base_Bruta!B1569,4)),VALUE(MID(Base_Bruta!B1569,4,2)),VALUE(LEFT(Base_Bruta!B1569,2))))))</f>
        <v>45772</v>
      </c>
      <c r="C1569" s="5" t="n">
        <f aca="false">IF($A1569="","",IF(ISNUMBER(Base_Bruta!C1569),Base_Bruta!C1569,IF(MID(Base_Bruta!C1569,5,1)="-",DATE(VALUE(LEFT(Base_Bruta!C1569,4)),VALUE(MID(Base_Bruta!C1569,6,2)),VALUE(RIGHT(Base_Bruta!C1569,2))),DATE(VALUE(RIGHT(Base_Bruta!C1569,4)),VALUE(MID(Base_Bruta!C1569,4,2)),VALUE(LEFT(Base_Bruta!C1569,2))))))</f>
        <v>45892</v>
      </c>
      <c r="D1569" s="4" t="str">
        <f aca="false">IF($A1569="","",TRIM(Base_Bruta!D1569))</f>
        <v>Festival Montanhas BH 2025</v>
      </c>
      <c r="E1569" s="4" t="str">
        <f aca="false">IF($A1569="","",_xlfn.XLOOKUP(LOWER(TRIM(Base_Bruta!E1569)),DePara_Categoria!$A$2:$A$9,DePara_Categoria!$B$2:$B$9,"REVISAR"))</f>
        <v>Festival</v>
      </c>
      <c r="F1569" s="4" t="str">
        <f aca="false">IF($A1569="","",_xlfn.XLOOKUP(LOWER(TRIM(Base_Bruta!F1569)),DePara_Cidade!$A$2:$A$29,DePara_Cidade!$B$2:$B$29,"REVISAR"))</f>
        <v>Belo Horizonte</v>
      </c>
      <c r="G1569" s="4" t="str">
        <f aca="false">IF($A1569="","",TRIM(Base_Bruta!G1569))</f>
        <v>Inteira</v>
      </c>
      <c r="H1569" s="4" t="n">
        <f aca="false">IF($A1569="","",IF(ISNUMBER(Base_Bruta!H1569),Base_Bruta!H1569,IFERROR(_xlfn.NUMBERVALUE(TRIM(SUBSTITUTE(Base_Bruta!H1569,"R$","")),",","."),0)))</f>
        <v>2</v>
      </c>
      <c r="I1569" s="6" t="n">
        <f aca="false">IF($A1569="","",IF(ISNUMBER(Base_Bruta!I1569),Base_Bruta!I1569,IFERROR(_xlfn.NUMBERVALUE(TRIM(SUBSTITUTE(Base_Bruta!I1569,"R$","")),",","."),0)))</f>
        <v>675</v>
      </c>
      <c r="J1569" s="6" t="n">
        <f aca="false">IF($A1569="","",H1569*I1569)</f>
        <v>1350</v>
      </c>
      <c r="K1569" s="4" t="str">
        <f aca="false">IF($A1569="","",TRIM(Base_Bruta!J1569))</f>
        <v>Bilheteria</v>
      </c>
      <c r="L1569" s="4" t="str">
        <f aca="false">IF($A1569="","",TRIM(Base_Bruta!K1569))</f>
        <v>C01809</v>
      </c>
      <c r="M1569" s="4" t="str">
        <f aca="false">IF($A1569="","",_xlfn.XLOOKUP(LOWER(TRIM(Base_Bruta!L1569)),DePara_Cidade!$A$2:$A$29,DePara_Cidade!$B$2:$B$29,"REVISAR"))</f>
        <v>Belo Horizonte</v>
      </c>
      <c r="N1569" s="4" t="str">
        <f aca="false">IF($A1569="","",UPPER(TRIM(Base_Bruta!M1569)))</f>
        <v>MG</v>
      </c>
      <c r="O1569" s="4" t="str">
        <f aca="false">IF($A1569="","",_xlfn.XLOOKUP(LOWER(TRIM(Base_Bruta!N1569)),DePara_Pais!$A$2:$A$9,DePara_Pais!$B$2:$B$9,"REVISAR"))</f>
        <v>Brasil</v>
      </c>
      <c r="P1569" s="4" t="str">
        <f aca="false">IF($A1569="","",IF(O1569&lt;&gt;"Brasil","Turista Internacional",IF(M1569=F1569,"Local","Turista Nacional")))</f>
        <v>Local</v>
      </c>
      <c r="Q1569" s="7" t="n">
        <f aca="false">IF($A1569="","",DATE(YEAR(B1569),MONTH(B1569),1))</f>
        <v>45748</v>
      </c>
      <c r="R1569" s="4" t="str">
        <f aca="false">IF($A1569="","",IF(COUNTIF($A$2:$A1569,$A1569)&gt;1,"Sim","Não"))</f>
        <v>Não</v>
      </c>
      <c r="S1569" s="4" t="str">
        <f aca="false">IF(A1569="","Descartar - Linha vazia",IF(R1569="Sim","Descartar - Duplicado",IF(OR(H1569&lt;=0,I1569&lt;=0),"Descartar - Qtd/Valor inválido","OK")))</f>
        <v>OK</v>
      </c>
      <c r="T1569" s="4" t="str">
        <f aca="false">Base_Bruta!P1569</f>
        <v>vendas_MG.csv</v>
      </c>
    </row>
    <row r="1570" customFormat="false" ht="15" hidden="false" customHeight="false" outlineLevel="0" collapsed="false">
      <c r="A1570" s="4" t="str">
        <f aca="false">IF(Base_Bruta!A1570="","",Base_Bruta!A1570)</f>
        <v>MG-000136</v>
      </c>
      <c r="B1570" s="5" t="n">
        <f aca="false">IF($A1570="","",IF(ISNUMBER(Base_Bruta!B1570),Base_Bruta!B1570,IF(MID(Base_Bruta!B1570,5,1)="-",DATE(VALUE(LEFT(Base_Bruta!B1570,4)),VALUE(MID(Base_Bruta!B1570,6,2)),VALUE(RIGHT(Base_Bruta!B1570,2))),DATE(VALUE(RIGHT(Base_Bruta!B1570,4)),VALUE(MID(Base_Bruta!B1570,4,2)),VALUE(LEFT(Base_Bruta!B1570,2))))))</f>
        <v>45772</v>
      </c>
      <c r="C1570" s="5" t="n">
        <f aca="false">IF($A1570="","",IF(ISNUMBER(Base_Bruta!C1570),Base_Bruta!C1570,IF(MID(Base_Bruta!C1570,5,1)="-",DATE(VALUE(LEFT(Base_Bruta!C1570,4)),VALUE(MID(Base_Bruta!C1570,6,2)),VALUE(RIGHT(Base_Bruta!C1570,2))),DATE(VALUE(RIGHT(Base_Bruta!C1570,4)),VALUE(MID(Base_Bruta!C1570,4,2)),VALUE(LEFT(Base_Bruta!C1570,2))))))</f>
        <v>45892</v>
      </c>
      <c r="D1570" s="4" t="str">
        <f aca="false">IF($A1570="","",TRIM(Base_Bruta!D1570))</f>
        <v>Festival Montanhas BH 2025</v>
      </c>
      <c r="E1570" s="4" t="str">
        <f aca="false">IF($A1570="","",_xlfn.XLOOKUP(LOWER(TRIM(Base_Bruta!E1570)),DePara_Categoria!$A$2:$A$9,DePara_Categoria!$B$2:$B$9,"REVISAR"))</f>
        <v>Festival</v>
      </c>
      <c r="F1570" s="4" t="str">
        <f aca="false">IF($A1570="","",_xlfn.XLOOKUP(LOWER(TRIM(Base_Bruta!F1570)),DePara_Cidade!$A$2:$A$29,DePara_Cidade!$B$2:$B$29,"REVISAR"))</f>
        <v>Belo Horizonte</v>
      </c>
      <c r="G1570" s="4" t="str">
        <f aca="false">IF($A1570="","",TRIM(Base_Bruta!G1570))</f>
        <v>Inteira</v>
      </c>
      <c r="H1570" s="4" t="n">
        <f aca="false">IF($A1570="","",IF(ISNUMBER(Base_Bruta!H1570),Base_Bruta!H1570,IFERROR(_xlfn.NUMBERVALUE(TRIM(SUBSTITUTE(Base_Bruta!H1570,"R$","")),",","."),0)))</f>
        <v>1</v>
      </c>
      <c r="I1570" s="6" t="n">
        <f aca="false">IF($A1570="","",IF(ISNUMBER(Base_Bruta!I1570),Base_Bruta!I1570,IFERROR(_xlfn.NUMBERVALUE(TRIM(SUBSTITUTE(Base_Bruta!I1570,"R$","")),",","."),0)))</f>
        <v>1125</v>
      </c>
      <c r="J1570" s="6" t="n">
        <f aca="false">IF($A1570="","",H1570*I1570)</f>
        <v>1125</v>
      </c>
      <c r="K1570" s="4" t="str">
        <f aca="false">IF($A1570="","",TRIM(Base_Bruta!J1570))</f>
        <v>Bilheteria</v>
      </c>
      <c r="L1570" s="4" t="str">
        <f aca="false">IF($A1570="","",TRIM(Base_Bruta!K1570))</f>
        <v>C01774</v>
      </c>
      <c r="M1570" s="4" t="str">
        <f aca="false">IF($A1570="","",_xlfn.XLOOKUP(LOWER(TRIM(Base_Bruta!L1570)),DePara_Cidade!$A$2:$A$29,DePara_Cidade!$B$2:$B$29,"REVISAR"))</f>
        <v>Belo Horizonte</v>
      </c>
      <c r="N1570" s="4" t="str">
        <f aca="false">IF($A1570="","",UPPER(TRIM(Base_Bruta!M1570)))</f>
        <v>MG</v>
      </c>
      <c r="O1570" s="4" t="str">
        <f aca="false">IF($A1570="","",_xlfn.XLOOKUP(LOWER(TRIM(Base_Bruta!N1570)),DePara_Pais!$A$2:$A$9,DePara_Pais!$B$2:$B$9,"REVISAR"))</f>
        <v>Brasil</v>
      </c>
      <c r="P1570" s="4" t="str">
        <f aca="false">IF($A1570="","",IF(O1570&lt;&gt;"Brasil","Turista Internacional",IF(M1570=F1570,"Local","Turista Nacional")))</f>
        <v>Local</v>
      </c>
      <c r="Q1570" s="7" t="n">
        <f aca="false">IF($A1570="","",DATE(YEAR(B1570),MONTH(B1570),1))</f>
        <v>45748</v>
      </c>
      <c r="R1570" s="4" t="str">
        <f aca="false">IF($A1570="","",IF(COUNTIF($A$2:$A1570,$A1570)&gt;1,"Sim","Não"))</f>
        <v>Não</v>
      </c>
      <c r="S1570" s="4" t="str">
        <f aca="false">IF(A1570="","Descartar - Linha vazia",IF(R1570="Sim","Descartar - Duplicado",IF(OR(H1570&lt;=0,I1570&lt;=0),"Descartar - Qtd/Valor inválido","OK")))</f>
        <v>OK</v>
      </c>
      <c r="T1570" s="4" t="str">
        <f aca="false">Base_Bruta!P1570</f>
        <v>vendas_MG.csv</v>
      </c>
    </row>
    <row r="1571" customFormat="false" ht="15" hidden="false" customHeight="false" outlineLevel="0" collapsed="false">
      <c r="A1571" s="4" t="str">
        <f aca="false">IF(Base_Bruta!A1571="","",Base_Bruta!A1571)</f>
        <v>MG-000211</v>
      </c>
      <c r="B1571" s="5" t="n">
        <f aca="false">IF($A1571="","",IF(ISNUMBER(Base_Bruta!B1571),Base_Bruta!B1571,IF(MID(Base_Bruta!B1571,5,1)="-",DATE(VALUE(LEFT(Base_Bruta!B1571,4)),VALUE(MID(Base_Bruta!B1571,6,2)),VALUE(RIGHT(Base_Bruta!B1571,2))),DATE(VALUE(RIGHT(Base_Bruta!B1571,4)),VALUE(MID(Base_Bruta!B1571,4,2)),VALUE(LEFT(Base_Bruta!B1571,2))))))</f>
        <v>45772</v>
      </c>
      <c r="C1571" s="5" t="n">
        <f aca="false">IF($A1571="","",IF(ISNUMBER(Base_Bruta!C1571),Base_Bruta!C1571,IF(MID(Base_Bruta!C1571,5,1)="-",DATE(VALUE(LEFT(Base_Bruta!C1571,4)),VALUE(MID(Base_Bruta!C1571,6,2)),VALUE(RIGHT(Base_Bruta!C1571,2))),DATE(VALUE(RIGHT(Base_Bruta!C1571,4)),VALUE(MID(Base_Bruta!C1571,4,2)),VALUE(LEFT(Base_Bruta!C1571,2))))))</f>
        <v>45892</v>
      </c>
      <c r="D1571" s="4" t="str">
        <f aca="false">IF($A1571="","",TRIM(Base_Bruta!D1571))</f>
        <v>Festival Montanhas BH 2025</v>
      </c>
      <c r="E1571" s="4" t="str">
        <f aca="false">IF($A1571="","",_xlfn.XLOOKUP(LOWER(TRIM(Base_Bruta!E1571)),DePara_Categoria!$A$2:$A$9,DePara_Categoria!$B$2:$B$9,"REVISAR"))</f>
        <v>Festival</v>
      </c>
      <c r="F1571" s="4" t="str">
        <f aca="false">IF($A1571="","",_xlfn.XLOOKUP(LOWER(TRIM(Base_Bruta!F1571)),DePara_Cidade!$A$2:$A$29,DePara_Cidade!$B$2:$B$29,"REVISAR"))</f>
        <v>Belo Horizonte</v>
      </c>
      <c r="G1571" s="4" t="str">
        <f aca="false">IF($A1571="","",TRIM(Base_Bruta!G1571))</f>
        <v>Inteira</v>
      </c>
      <c r="H1571" s="4" t="n">
        <f aca="false">IF($A1571="","",IF(ISNUMBER(Base_Bruta!H1571),Base_Bruta!H1571,IFERROR(_xlfn.NUMBERVALUE(TRIM(SUBSTITUTE(Base_Bruta!H1571,"R$","")),",","."),0)))</f>
        <v>4</v>
      </c>
      <c r="I1571" s="6" t="n">
        <f aca="false">IF($A1571="","",IF(ISNUMBER(Base_Bruta!I1571),Base_Bruta!I1571,IFERROR(_xlfn.NUMBERVALUE(TRIM(SUBSTITUTE(Base_Bruta!I1571,"R$","")),",","."),0)))</f>
        <v>855</v>
      </c>
      <c r="J1571" s="6" t="n">
        <f aca="false">IF($A1571="","",H1571*I1571)</f>
        <v>3420</v>
      </c>
      <c r="K1571" s="4" t="str">
        <f aca="false">IF($A1571="","",TRIM(Base_Bruta!J1571))</f>
        <v>App</v>
      </c>
      <c r="L1571" s="4" t="str">
        <f aca="false">IF($A1571="","",TRIM(Base_Bruta!K1571))</f>
        <v>C01612</v>
      </c>
      <c r="M1571" s="4" t="str">
        <f aca="false">IF($A1571="","",_xlfn.XLOOKUP(LOWER(TRIM(Base_Bruta!L1571)),DePara_Cidade!$A$2:$A$29,DePara_Cidade!$B$2:$B$29,"REVISAR"))</f>
        <v>Belo Horizonte</v>
      </c>
      <c r="N1571" s="4" t="str">
        <f aca="false">IF($A1571="","",UPPER(TRIM(Base_Bruta!M1571)))</f>
        <v>MG</v>
      </c>
      <c r="O1571" s="4" t="str">
        <f aca="false">IF($A1571="","",_xlfn.XLOOKUP(LOWER(TRIM(Base_Bruta!N1571)),DePara_Pais!$A$2:$A$9,DePara_Pais!$B$2:$B$9,"REVISAR"))</f>
        <v>Brasil</v>
      </c>
      <c r="P1571" s="4" t="str">
        <f aca="false">IF($A1571="","",IF(O1571&lt;&gt;"Brasil","Turista Internacional",IF(M1571=F1571,"Local","Turista Nacional")))</f>
        <v>Local</v>
      </c>
      <c r="Q1571" s="7" t="n">
        <f aca="false">IF($A1571="","",DATE(YEAR(B1571),MONTH(B1571),1))</f>
        <v>45748</v>
      </c>
      <c r="R1571" s="4" t="str">
        <f aca="false">IF($A1571="","",IF(COUNTIF($A$2:$A1571,$A1571)&gt;1,"Sim","Não"))</f>
        <v>Não</v>
      </c>
      <c r="S1571" s="4" t="str">
        <f aca="false">IF(A1571="","Descartar - Linha vazia",IF(R1571="Sim","Descartar - Duplicado",IF(OR(H1571&lt;=0,I1571&lt;=0),"Descartar - Qtd/Valor inválido","OK")))</f>
        <v>OK</v>
      </c>
      <c r="T1571" s="4" t="str">
        <f aca="false">Base_Bruta!P1571</f>
        <v>vendas_MG.csv</v>
      </c>
    </row>
    <row r="1572" customFormat="false" ht="15" hidden="false" customHeight="false" outlineLevel="0" collapsed="false">
      <c r="A1572" s="4" t="str">
        <f aca="false">IF(Base_Bruta!A1572="","",Base_Bruta!A1572)</f>
        <v>MG-000381</v>
      </c>
      <c r="B1572" s="5" t="n">
        <f aca="false">IF($A1572="","",IF(ISNUMBER(Base_Bruta!B1572),Base_Bruta!B1572,IF(MID(Base_Bruta!B1572,5,1)="-",DATE(VALUE(LEFT(Base_Bruta!B1572,4)),VALUE(MID(Base_Bruta!B1572,6,2)),VALUE(RIGHT(Base_Bruta!B1572,2))),DATE(VALUE(RIGHT(Base_Bruta!B1572,4)),VALUE(MID(Base_Bruta!B1572,4,2)),VALUE(LEFT(Base_Bruta!B1572,2))))))</f>
        <v>45772</v>
      </c>
      <c r="C1572" s="5" t="n">
        <f aca="false">IF($A1572="","",IF(ISNUMBER(Base_Bruta!C1572),Base_Bruta!C1572,IF(MID(Base_Bruta!C1572,5,1)="-",DATE(VALUE(LEFT(Base_Bruta!C1572,4)),VALUE(MID(Base_Bruta!C1572,6,2)),VALUE(RIGHT(Base_Bruta!C1572,2))),DATE(VALUE(RIGHT(Base_Bruta!C1572,4)),VALUE(MID(Base_Bruta!C1572,4,2)),VALUE(LEFT(Base_Bruta!C1572,2))))))</f>
        <v>45774</v>
      </c>
      <c r="D1572" s="4" t="str">
        <f aca="false">IF($A1572="","",TRIM(Base_Bruta!D1572))</f>
        <v>Cinema Savassi - Sessões</v>
      </c>
      <c r="E1572" s="4" t="str">
        <f aca="false">IF($A1572="","",_xlfn.XLOOKUP(LOWER(TRIM(Base_Bruta!E1572)),DePara_Categoria!$A$2:$A$9,DePara_Categoria!$B$2:$B$9,"REVISAR"))</f>
        <v>Cinema</v>
      </c>
      <c r="F1572" s="4" t="str">
        <f aca="false">IF($A1572="","",_xlfn.XLOOKUP(LOWER(TRIM(Base_Bruta!F1572)),DePara_Cidade!$A$2:$A$29,DePara_Cidade!$B$2:$B$29,"REVISAR"))</f>
        <v>Belo Horizonte</v>
      </c>
      <c r="G1572" s="4" t="str">
        <f aca="false">IF($A1572="","",TRIM(Base_Bruta!G1572))</f>
        <v>Inteira</v>
      </c>
      <c r="H1572" s="4" t="n">
        <f aca="false">IF($A1572="","",IF(ISNUMBER(Base_Bruta!H1572),Base_Bruta!H1572,IFERROR(_xlfn.NUMBERVALUE(TRIM(SUBSTITUTE(Base_Bruta!H1572,"R$","")),",","."),0)))</f>
        <v>1</v>
      </c>
      <c r="I1572" s="6" t="n">
        <f aca="false">IF($A1572="","",IF(ISNUMBER(Base_Bruta!I1572),Base_Bruta!I1572,IFERROR(_xlfn.NUMBERVALUE(TRIM(SUBSTITUTE(Base_Bruta!I1572,"R$","")),",","."),0)))</f>
        <v>45</v>
      </c>
      <c r="J1572" s="6" t="n">
        <f aca="false">IF($A1572="","",H1572*I1572)</f>
        <v>45</v>
      </c>
      <c r="K1572" s="4" t="str">
        <f aca="false">IF($A1572="","",TRIM(Base_Bruta!J1572))</f>
        <v>Site</v>
      </c>
      <c r="L1572" s="4" t="str">
        <f aca="false">IF($A1572="","",TRIM(Base_Bruta!K1572))</f>
        <v>C00686</v>
      </c>
      <c r="M1572" s="4" t="str">
        <f aca="false">IF($A1572="","",_xlfn.XLOOKUP(LOWER(TRIM(Base_Bruta!L1572)),DePara_Cidade!$A$2:$A$29,DePara_Cidade!$B$2:$B$29,"REVISAR"))</f>
        <v>Belo Horizonte</v>
      </c>
      <c r="N1572" s="4" t="str">
        <f aca="false">IF($A1572="","",UPPER(TRIM(Base_Bruta!M1572)))</f>
        <v>MG</v>
      </c>
      <c r="O1572" s="4" t="str">
        <f aca="false">IF($A1572="","",_xlfn.XLOOKUP(LOWER(TRIM(Base_Bruta!N1572)),DePara_Pais!$A$2:$A$9,DePara_Pais!$B$2:$B$9,"REVISAR"))</f>
        <v>Brasil</v>
      </c>
      <c r="P1572" s="4" t="str">
        <f aca="false">IF($A1572="","",IF(O1572&lt;&gt;"Brasil","Turista Internacional",IF(M1572=F1572,"Local","Turista Nacional")))</f>
        <v>Local</v>
      </c>
      <c r="Q1572" s="7" t="n">
        <f aca="false">IF($A1572="","",DATE(YEAR(B1572),MONTH(B1572),1))</f>
        <v>45748</v>
      </c>
      <c r="R1572" s="4" t="str">
        <f aca="false">IF($A1572="","",IF(COUNTIF($A$2:$A1572,$A1572)&gt;1,"Sim","Não"))</f>
        <v>Não</v>
      </c>
      <c r="S1572" s="4" t="str">
        <f aca="false">IF(A1572="","Descartar - Linha vazia",IF(R1572="Sim","Descartar - Duplicado",IF(OR(H1572&lt;=0,I1572&lt;=0),"Descartar - Qtd/Valor inválido","OK")))</f>
        <v>OK</v>
      </c>
      <c r="T1572" s="4" t="str">
        <f aca="false">Base_Bruta!P1572</f>
        <v>vendas_MG.csv</v>
      </c>
    </row>
    <row r="1573" customFormat="false" ht="15" hidden="false" customHeight="false" outlineLevel="0" collapsed="false">
      <c r="A1573" s="4" t="str">
        <f aca="false">IF(Base_Bruta!A1573="","",Base_Bruta!A1573)</f>
        <v>MG-000413</v>
      </c>
      <c r="B1573" s="5" t="n">
        <f aca="false">IF($A1573="","",IF(ISNUMBER(Base_Bruta!B1573),Base_Bruta!B1573,IF(MID(Base_Bruta!B1573,5,1)="-",DATE(VALUE(LEFT(Base_Bruta!B1573,4)),VALUE(MID(Base_Bruta!B1573,6,2)),VALUE(RIGHT(Base_Bruta!B1573,2))),DATE(VALUE(RIGHT(Base_Bruta!B1573,4)),VALUE(MID(Base_Bruta!B1573,4,2)),VALUE(LEFT(Base_Bruta!B1573,2))))))</f>
        <v>45772</v>
      </c>
      <c r="C1573" s="5" t="n">
        <f aca="false">IF($A1573="","",IF(ISNUMBER(Base_Bruta!C1573),Base_Bruta!C1573,IF(MID(Base_Bruta!C1573,5,1)="-",DATE(VALUE(LEFT(Base_Bruta!C1573,4)),VALUE(MID(Base_Bruta!C1573,6,2)),VALUE(RIGHT(Base_Bruta!C1573,2))),DATE(VALUE(RIGHT(Base_Bruta!C1573,4)),VALUE(MID(Base_Bruta!C1573,4,2)),VALUE(LEFT(Base_Bruta!C1573,2))))))</f>
        <v>45772</v>
      </c>
      <c r="D1573" s="4" t="str">
        <f aca="false">IF($A1573="","",TRIM(Base_Bruta!D1573))</f>
        <v>Cinema Savassi - Sessões</v>
      </c>
      <c r="E1573" s="4" t="str">
        <f aca="false">IF($A1573="","",_xlfn.XLOOKUP(LOWER(TRIM(Base_Bruta!E1573)),DePara_Categoria!$A$2:$A$9,DePara_Categoria!$B$2:$B$9,"REVISAR"))</f>
        <v>Cinema</v>
      </c>
      <c r="F1573" s="4" t="str">
        <f aca="false">IF($A1573="","",_xlfn.XLOOKUP(LOWER(TRIM(Base_Bruta!F1573)),DePara_Cidade!$A$2:$A$29,DePara_Cidade!$B$2:$B$29,"REVISAR"))</f>
        <v>Belo Horizonte</v>
      </c>
      <c r="G1573" s="4" t="str">
        <f aca="false">IF($A1573="","",TRIM(Base_Bruta!G1573))</f>
        <v>Inteira</v>
      </c>
      <c r="H1573" s="4" t="n">
        <f aca="false">IF($A1573="","",IF(ISNUMBER(Base_Bruta!H1573),Base_Bruta!H1573,IFERROR(_xlfn.NUMBERVALUE(TRIM(SUBSTITUTE(Base_Bruta!H1573,"R$","")),",","."),0)))</f>
        <v>1</v>
      </c>
      <c r="I1573" s="6" t="n">
        <f aca="false">IF($A1573="","",IF(ISNUMBER(Base_Bruta!I1573),Base_Bruta!I1573,IFERROR(_xlfn.NUMBERVALUE(TRIM(SUBSTITUTE(Base_Bruta!I1573,"R$","")),",","."),0)))</f>
        <v>40</v>
      </c>
      <c r="J1573" s="6" t="n">
        <f aca="false">IF($A1573="","",H1573*I1573)</f>
        <v>40</v>
      </c>
      <c r="K1573" s="4" t="str">
        <f aca="false">IF($A1573="","",TRIM(Base_Bruta!J1573))</f>
        <v>Bilheteria</v>
      </c>
      <c r="L1573" s="4" t="str">
        <f aca="false">IF($A1573="","",TRIM(Base_Bruta!K1573))</f>
        <v>C01590</v>
      </c>
      <c r="M1573" s="4" t="str">
        <f aca="false">IF($A1573="","",_xlfn.XLOOKUP(LOWER(TRIM(Base_Bruta!L1573)),DePara_Cidade!$A$2:$A$29,DePara_Cidade!$B$2:$B$29,"REVISAR"))</f>
        <v>Belo Horizonte</v>
      </c>
      <c r="N1573" s="4" t="str">
        <f aca="false">IF($A1573="","",UPPER(TRIM(Base_Bruta!M1573)))</f>
        <v>MG</v>
      </c>
      <c r="O1573" s="4" t="str">
        <f aca="false">IF($A1573="","",_xlfn.XLOOKUP(LOWER(TRIM(Base_Bruta!N1573)),DePara_Pais!$A$2:$A$9,DePara_Pais!$B$2:$B$9,"REVISAR"))</f>
        <v>Brasil</v>
      </c>
      <c r="P1573" s="4" t="str">
        <f aca="false">IF($A1573="","",IF(O1573&lt;&gt;"Brasil","Turista Internacional",IF(M1573=F1573,"Local","Turista Nacional")))</f>
        <v>Local</v>
      </c>
      <c r="Q1573" s="7" t="n">
        <f aca="false">IF($A1573="","",DATE(YEAR(B1573),MONTH(B1573),1))</f>
        <v>45748</v>
      </c>
      <c r="R1573" s="4" t="str">
        <f aca="false">IF($A1573="","",IF(COUNTIF($A$2:$A1573,$A1573)&gt;1,"Sim","Não"))</f>
        <v>Não</v>
      </c>
      <c r="S1573" s="4" t="str">
        <f aca="false">IF(A1573="","Descartar - Linha vazia",IF(R1573="Sim","Descartar - Duplicado",IF(OR(H1573&lt;=0,I1573&lt;=0),"Descartar - Qtd/Valor inválido","OK")))</f>
        <v>OK</v>
      </c>
      <c r="T1573" s="4" t="str">
        <f aca="false">Base_Bruta!P1573</f>
        <v>vendas_MG.csv</v>
      </c>
    </row>
    <row r="1574" customFormat="false" ht="15" hidden="false" customHeight="false" outlineLevel="0" collapsed="false">
      <c r="A1574" s="4" t="str">
        <f aca="false">IF(Base_Bruta!A1574="","",Base_Bruta!A1574)</f>
        <v>MG-000502</v>
      </c>
      <c r="B1574" s="5" t="n">
        <f aca="false">IF($A1574="","",IF(ISNUMBER(Base_Bruta!B1574),Base_Bruta!B1574,IF(MID(Base_Bruta!B1574,5,1)="-",DATE(VALUE(LEFT(Base_Bruta!B1574,4)),VALUE(MID(Base_Bruta!B1574,6,2)),VALUE(RIGHT(Base_Bruta!B1574,2))),DATE(VALUE(RIGHT(Base_Bruta!B1574,4)),VALUE(MID(Base_Bruta!B1574,4,2)),VALUE(LEFT(Base_Bruta!B1574,2))))))</f>
        <v>45737</v>
      </c>
      <c r="C1574" s="5" t="n">
        <f aca="false">IF($A1574="","",IF(ISNUMBER(Base_Bruta!C1574),Base_Bruta!C1574,IF(MID(Base_Bruta!C1574,5,1)="-",DATE(VALUE(LEFT(Base_Bruta!C1574,4)),VALUE(MID(Base_Bruta!C1574,6,2)),VALUE(RIGHT(Base_Bruta!C1574,2))),DATE(VALUE(RIGHT(Base_Bruta!C1574,4)),VALUE(MID(Base_Bruta!C1574,4,2)),VALUE(LEFT(Base_Bruta!C1574,2))))))</f>
        <v>45740</v>
      </c>
      <c r="D1574" s="4" t="str">
        <f aca="false">IF($A1574="","",TRIM(Base_Bruta!D1574))</f>
        <v>Cinema Savassi - Sessões</v>
      </c>
      <c r="E1574" s="4" t="str">
        <f aca="false">IF($A1574="","",_xlfn.XLOOKUP(LOWER(TRIM(Base_Bruta!E1574)),DePara_Categoria!$A$2:$A$9,DePara_Categoria!$B$2:$B$9,"REVISAR"))</f>
        <v>Cinema</v>
      </c>
      <c r="F1574" s="4" t="str">
        <f aca="false">IF($A1574="","",_xlfn.XLOOKUP(LOWER(TRIM(Base_Bruta!F1574)),DePara_Cidade!$A$2:$A$29,DePara_Cidade!$B$2:$B$29,"REVISAR"))</f>
        <v>Belo Horizonte</v>
      </c>
      <c r="G1574" s="4" t="str">
        <f aca="false">IF($A1574="","",TRIM(Base_Bruta!G1574))</f>
        <v>Inteira</v>
      </c>
      <c r="H1574" s="4" t="n">
        <f aca="false">IF($A1574="","",IF(ISNUMBER(Base_Bruta!H1574),Base_Bruta!H1574,IFERROR(_xlfn.NUMBERVALUE(TRIM(SUBSTITUTE(Base_Bruta!H1574,"R$","")),",","."),0)))</f>
        <v>1</v>
      </c>
      <c r="I1574" s="6" t="n">
        <f aca="false">IF($A1574="","",IF(ISNUMBER(Base_Bruta!I1574),Base_Bruta!I1574,IFERROR(_xlfn.NUMBERVALUE(TRIM(SUBSTITUTE(Base_Bruta!I1574,"R$","")),",","."),0)))</f>
        <v>35</v>
      </c>
      <c r="J1574" s="6" t="n">
        <f aca="false">IF($A1574="","",H1574*I1574)</f>
        <v>35</v>
      </c>
      <c r="K1574" s="4" t="str">
        <f aca="false">IF($A1574="","",TRIM(Base_Bruta!J1574))</f>
        <v>App</v>
      </c>
      <c r="L1574" s="4" t="str">
        <f aca="false">IF($A1574="","",TRIM(Base_Bruta!K1574))</f>
        <v>C02253</v>
      </c>
      <c r="M1574" s="4" t="str">
        <f aca="false">IF($A1574="","",_xlfn.XLOOKUP(LOWER(TRIM(Base_Bruta!L1574)),DePara_Cidade!$A$2:$A$29,DePara_Cidade!$B$2:$B$29,"REVISAR"))</f>
        <v>Belo Horizonte</v>
      </c>
      <c r="N1574" s="4" t="str">
        <f aca="false">IF($A1574="","",UPPER(TRIM(Base_Bruta!M1574)))</f>
        <v>MG</v>
      </c>
      <c r="O1574" s="4" t="str">
        <f aca="false">IF($A1574="","",_xlfn.XLOOKUP(LOWER(TRIM(Base_Bruta!N1574)),DePara_Pais!$A$2:$A$9,DePara_Pais!$B$2:$B$9,"REVISAR"))</f>
        <v>Brasil</v>
      </c>
      <c r="P1574" s="4" t="str">
        <f aca="false">IF($A1574="","",IF(O1574&lt;&gt;"Brasil","Turista Internacional",IF(M1574=F1574,"Local","Turista Nacional")))</f>
        <v>Local</v>
      </c>
      <c r="Q1574" s="7" t="n">
        <f aca="false">IF($A1574="","",DATE(YEAR(B1574),MONTH(B1574),1))</f>
        <v>45717</v>
      </c>
      <c r="R1574" s="4" t="str">
        <f aca="false">IF($A1574="","",IF(COUNTIF($A$2:$A1574,$A1574)&gt;1,"Sim","Não"))</f>
        <v>Sim</v>
      </c>
      <c r="S1574" s="4" t="str">
        <f aca="false">IF(A1574="","Descartar - Linha vazia",IF(R1574="Sim","Descartar - Duplicado",IF(OR(H1574&lt;=0,I1574&lt;=0),"Descartar - Qtd/Valor inválido","OK")))</f>
        <v>Descartar - Duplicado</v>
      </c>
      <c r="T1574" s="4" t="str">
        <f aca="false">Base_Bruta!P1574</f>
        <v>vendas_MG.csv</v>
      </c>
    </row>
    <row r="1575" customFormat="false" ht="15" hidden="false" customHeight="false" outlineLevel="0" collapsed="false">
      <c r="A1575" s="4" t="str">
        <f aca="false">IF(Base_Bruta!A1575="","",Base_Bruta!A1575)</f>
        <v>MG-000106</v>
      </c>
      <c r="B1575" s="5" t="n">
        <f aca="false">IF($A1575="","",IF(ISNUMBER(Base_Bruta!B1575),Base_Bruta!B1575,IF(MID(Base_Bruta!B1575,5,1)="-",DATE(VALUE(LEFT(Base_Bruta!B1575,4)),VALUE(MID(Base_Bruta!B1575,6,2)),VALUE(RIGHT(Base_Bruta!B1575,2))),DATE(VALUE(RIGHT(Base_Bruta!B1575,4)),VALUE(MID(Base_Bruta!B1575,4,2)),VALUE(LEFT(Base_Bruta!B1575,2))))))</f>
        <v>45773</v>
      </c>
      <c r="C1575" s="5" t="n">
        <f aca="false">IF($A1575="","",IF(ISNUMBER(Base_Bruta!C1575),Base_Bruta!C1575,IF(MID(Base_Bruta!C1575,5,1)="-",DATE(VALUE(LEFT(Base_Bruta!C1575,4)),VALUE(MID(Base_Bruta!C1575,6,2)),VALUE(RIGHT(Base_Bruta!C1575,2))),DATE(VALUE(RIGHT(Base_Bruta!C1575,4)),VALUE(MID(Base_Bruta!C1575,4,2)),VALUE(LEFT(Base_Bruta!C1575,2))))))</f>
        <v>45892</v>
      </c>
      <c r="D1575" s="4" t="str">
        <f aca="false">IF($A1575="","",TRIM(Base_Bruta!D1575))</f>
        <v>Festival Montanhas BH 2025</v>
      </c>
      <c r="E1575" s="4" t="str">
        <f aca="false">IF($A1575="","",_xlfn.XLOOKUP(LOWER(TRIM(Base_Bruta!E1575)),DePara_Categoria!$A$2:$A$9,DePara_Categoria!$B$2:$B$9,"REVISAR"))</f>
        <v>Festival</v>
      </c>
      <c r="F1575" s="4" t="str">
        <f aca="false">IF($A1575="","",_xlfn.XLOOKUP(LOWER(TRIM(Base_Bruta!F1575)),DePara_Cidade!$A$2:$A$29,DePara_Cidade!$B$2:$B$29,"REVISAR"))</f>
        <v>Belo Horizonte</v>
      </c>
      <c r="G1575" s="4" t="str">
        <f aca="false">IF($A1575="","",TRIM(Base_Bruta!G1575))</f>
        <v>Meia</v>
      </c>
      <c r="H1575" s="4" t="n">
        <f aca="false">IF($A1575="","",IF(ISNUMBER(Base_Bruta!H1575),Base_Bruta!H1575,IFERROR(_xlfn.NUMBERVALUE(TRIM(SUBSTITUTE(Base_Bruta!H1575,"R$","")),",","."),0)))</f>
        <v>2</v>
      </c>
      <c r="I1575" s="6" t="n">
        <f aca="false">IF($A1575="","",IF(ISNUMBER(Base_Bruta!I1575),Base_Bruta!I1575,IFERROR(_xlfn.NUMBERVALUE(TRIM(SUBSTITUTE(Base_Bruta!I1575,"R$","")),",","."),0)))</f>
        <v>505</v>
      </c>
      <c r="J1575" s="6" t="n">
        <f aca="false">IF($A1575="","",H1575*I1575)</f>
        <v>1010</v>
      </c>
      <c r="K1575" s="4" t="str">
        <f aca="false">IF($A1575="","",TRIM(Base_Bruta!J1575))</f>
        <v>App</v>
      </c>
      <c r="L1575" s="4" t="str">
        <f aca="false">IF($A1575="","",TRIM(Base_Bruta!K1575))</f>
        <v>C01021</v>
      </c>
      <c r="M1575" s="4" t="str">
        <f aca="false">IF($A1575="","",_xlfn.XLOOKUP(LOWER(TRIM(Base_Bruta!L1575)),DePara_Cidade!$A$2:$A$29,DePara_Cidade!$B$2:$B$29,"REVISAR"))</f>
        <v>Belo Horizonte</v>
      </c>
      <c r="N1575" s="4" t="str">
        <f aca="false">IF($A1575="","",UPPER(TRIM(Base_Bruta!M1575)))</f>
        <v>MG</v>
      </c>
      <c r="O1575" s="4" t="str">
        <f aca="false">IF($A1575="","",_xlfn.XLOOKUP(LOWER(TRIM(Base_Bruta!N1575)),DePara_Pais!$A$2:$A$9,DePara_Pais!$B$2:$B$9,"REVISAR"))</f>
        <v>Brasil</v>
      </c>
      <c r="P1575" s="4" t="str">
        <f aca="false">IF($A1575="","",IF(O1575&lt;&gt;"Brasil","Turista Internacional",IF(M1575=F1575,"Local","Turista Nacional")))</f>
        <v>Local</v>
      </c>
      <c r="Q1575" s="7" t="n">
        <f aca="false">IF($A1575="","",DATE(YEAR(B1575),MONTH(B1575),1))</f>
        <v>45748</v>
      </c>
      <c r="R1575" s="4" t="str">
        <f aca="false">IF($A1575="","",IF(COUNTIF($A$2:$A1575,$A1575)&gt;1,"Sim","Não"))</f>
        <v>Não</v>
      </c>
      <c r="S1575" s="4" t="str">
        <f aca="false">IF(A1575="","Descartar - Linha vazia",IF(R1575="Sim","Descartar - Duplicado",IF(OR(H1575&lt;=0,I1575&lt;=0),"Descartar - Qtd/Valor inválido","OK")))</f>
        <v>OK</v>
      </c>
      <c r="T1575" s="4" t="str">
        <f aca="false">Base_Bruta!P1575</f>
        <v>vendas_MG.csv</v>
      </c>
    </row>
    <row r="1576" customFormat="false" ht="15" hidden="false" customHeight="false" outlineLevel="0" collapsed="false">
      <c r="A1576" s="4" t="str">
        <f aca="false">IF(Base_Bruta!A1576="","",Base_Bruta!A1576)</f>
        <v>MG-000169</v>
      </c>
      <c r="B1576" s="5" t="n">
        <f aca="false">IF($A1576="","",IF(ISNUMBER(Base_Bruta!B1576),Base_Bruta!B1576,IF(MID(Base_Bruta!B1576,5,1)="-",DATE(VALUE(LEFT(Base_Bruta!B1576,4)),VALUE(MID(Base_Bruta!B1576,6,2)),VALUE(RIGHT(Base_Bruta!B1576,2))),DATE(VALUE(RIGHT(Base_Bruta!B1576,4)),VALUE(MID(Base_Bruta!B1576,4,2)),VALUE(LEFT(Base_Bruta!B1576,2))))))</f>
        <v>45773</v>
      </c>
      <c r="C1576" s="5" t="n">
        <f aca="false">IF($A1576="","",IF(ISNUMBER(Base_Bruta!C1576),Base_Bruta!C1576,IF(MID(Base_Bruta!C1576,5,1)="-",DATE(VALUE(LEFT(Base_Bruta!C1576,4)),VALUE(MID(Base_Bruta!C1576,6,2)),VALUE(RIGHT(Base_Bruta!C1576,2))),DATE(VALUE(RIGHT(Base_Bruta!C1576,4)),VALUE(MID(Base_Bruta!C1576,4,2)),VALUE(LEFT(Base_Bruta!C1576,2))))))</f>
        <v>45892</v>
      </c>
      <c r="D1576" s="4" t="str">
        <f aca="false">IF($A1576="","",TRIM(Base_Bruta!D1576))</f>
        <v>Festival Montanhas BH 2025</v>
      </c>
      <c r="E1576" s="4" t="str">
        <f aca="false">IF($A1576="","",_xlfn.XLOOKUP(LOWER(TRIM(Base_Bruta!E1576)),DePara_Categoria!$A$2:$A$9,DePara_Categoria!$B$2:$B$9,"REVISAR"))</f>
        <v>Festival</v>
      </c>
      <c r="F1576" s="4" t="str">
        <f aca="false">IF($A1576="","",_xlfn.XLOOKUP(LOWER(TRIM(Base_Bruta!F1576)),DePara_Cidade!$A$2:$A$29,DePara_Cidade!$B$2:$B$29,"REVISAR"))</f>
        <v>Belo Horizonte</v>
      </c>
      <c r="G1576" s="4" t="str">
        <f aca="false">IF($A1576="","",TRIM(Base_Bruta!G1576))</f>
        <v>Inteira</v>
      </c>
      <c r="H1576" s="4" t="n">
        <f aca="false">IF($A1576="","",IF(ISNUMBER(Base_Bruta!H1576),Base_Bruta!H1576,IFERROR(_xlfn.NUMBERVALUE(TRIM(SUBSTITUTE(Base_Bruta!H1576,"R$","")),",","."),0)))</f>
        <v>3</v>
      </c>
      <c r="I1576" s="6" t="n">
        <f aca="false">IF($A1576="","",IF(ISNUMBER(Base_Bruta!I1576),Base_Bruta!I1576,IFERROR(_xlfn.NUMBERVALUE(TRIM(SUBSTITUTE(Base_Bruta!I1576,"R$","")),",","."),0)))</f>
        <v>820</v>
      </c>
      <c r="J1576" s="6" t="n">
        <f aca="false">IF($A1576="","",H1576*I1576)</f>
        <v>2460</v>
      </c>
      <c r="K1576" s="4" t="str">
        <f aca="false">IF($A1576="","",TRIM(Base_Bruta!J1576))</f>
        <v>App</v>
      </c>
      <c r="L1576" s="4" t="str">
        <f aca="false">IF($A1576="","",TRIM(Base_Bruta!K1576))</f>
        <v>C00215</v>
      </c>
      <c r="M1576" s="4" t="str">
        <f aca="false">IF($A1576="","",_xlfn.XLOOKUP(LOWER(TRIM(Base_Bruta!L1576)),DePara_Cidade!$A$2:$A$29,DePara_Cidade!$B$2:$B$29,"REVISAR"))</f>
        <v>Belo Horizonte</v>
      </c>
      <c r="N1576" s="4" t="str">
        <f aca="false">IF($A1576="","",UPPER(TRIM(Base_Bruta!M1576)))</f>
        <v>MG</v>
      </c>
      <c r="O1576" s="4" t="str">
        <f aca="false">IF($A1576="","",_xlfn.XLOOKUP(LOWER(TRIM(Base_Bruta!N1576)),DePara_Pais!$A$2:$A$9,DePara_Pais!$B$2:$B$9,"REVISAR"))</f>
        <v>Brasil</v>
      </c>
      <c r="P1576" s="4" t="str">
        <f aca="false">IF($A1576="","",IF(O1576&lt;&gt;"Brasil","Turista Internacional",IF(M1576=F1576,"Local","Turista Nacional")))</f>
        <v>Local</v>
      </c>
      <c r="Q1576" s="7" t="n">
        <f aca="false">IF($A1576="","",DATE(YEAR(B1576),MONTH(B1576),1))</f>
        <v>45748</v>
      </c>
      <c r="R1576" s="4" t="str">
        <f aca="false">IF($A1576="","",IF(COUNTIF($A$2:$A1576,$A1576)&gt;1,"Sim","Não"))</f>
        <v>Não</v>
      </c>
      <c r="S1576" s="4" t="str">
        <f aca="false">IF(A1576="","Descartar - Linha vazia",IF(R1576="Sim","Descartar - Duplicado",IF(OR(H1576&lt;=0,I1576&lt;=0),"Descartar - Qtd/Valor inválido","OK")))</f>
        <v>OK</v>
      </c>
      <c r="T1576" s="4" t="str">
        <f aca="false">Base_Bruta!P1576</f>
        <v>vendas_MG.csv</v>
      </c>
    </row>
    <row r="1577" customFormat="false" ht="15" hidden="false" customHeight="false" outlineLevel="0" collapsed="false">
      <c r="A1577" s="4" t="str">
        <f aca="false">IF(Base_Bruta!A1577="","",Base_Bruta!A1577)</f>
        <v>MG-000025</v>
      </c>
      <c r="B1577" s="5" t="n">
        <f aca="false">IF($A1577="","",IF(ISNUMBER(Base_Bruta!B1577),Base_Bruta!B1577,IF(MID(Base_Bruta!B1577,5,1)="-",DATE(VALUE(LEFT(Base_Bruta!B1577,4)),VALUE(MID(Base_Bruta!B1577,6,2)),VALUE(RIGHT(Base_Bruta!B1577,2))),DATE(VALUE(RIGHT(Base_Bruta!B1577,4)),VALUE(MID(Base_Bruta!B1577,4,2)),VALUE(LEFT(Base_Bruta!B1577,2))))))</f>
        <v>45774</v>
      </c>
      <c r="C1577" s="5" t="n">
        <f aca="false">IF($A1577="","",IF(ISNUMBER(Base_Bruta!C1577),Base_Bruta!C1577,IF(MID(Base_Bruta!C1577,5,1)="-",DATE(VALUE(LEFT(Base_Bruta!C1577,4)),VALUE(MID(Base_Bruta!C1577,6,2)),VALUE(RIGHT(Base_Bruta!C1577,2))),DATE(VALUE(RIGHT(Base_Bruta!C1577,4)),VALUE(MID(Base_Bruta!C1577,4,2)),VALUE(LEFT(Base_Bruta!C1577,2))))))</f>
        <v>45892</v>
      </c>
      <c r="D1577" s="4" t="str">
        <f aca="false">IF($A1577="","",TRIM(Base_Bruta!D1577))</f>
        <v>Festival Montanhas BH 2025</v>
      </c>
      <c r="E1577" s="4" t="str">
        <f aca="false">IF($A1577="","",_xlfn.XLOOKUP(LOWER(TRIM(Base_Bruta!E1577)),DePara_Categoria!$A$2:$A$9,DePara_Categoria!$B$2:$B$9,"REVISAR"))</f>
        <v>Festival</v>
      </c>
      <c r="F1577" s="4" t="str">
        <f aca="false">IF($A1577="","",_xlfn.XLOOKUP(LOWER(TRIM(Base_Bruta!F1577)),DePara_Cidade!$A$2:$A$29,DePara_Cidade!$B$2:$B$29,"REVISAR"))</f>
        <v>Belo Horizonte</v>
      </c>
      <c r="G1577" s="4" t="str">
        <f aca="false">IF($A1577="","",TRIM(Base_Bruta!G1577))</f>
        <v>Inteira</v>
      </c>
      <c r="H1577" s="4" t="n">
        <f aca="false">IF($A1577="","",IF(ISNUMBER(Base_Bruta!H1577),Base_Bruta!H1577,IFERROR(_xlfn.NUMBERVALUE(TRIM(SUBSTITUTE(Base_Bruta!H1577,"R$","")),",","."),0)))</f>
        <v>3</v>
      </c>
      <c r="I1577" s="6" t="n">
        <f aca="false">IF($A1577="","",IF(ISNUMBER(Base_Bruta!I1577),Base_Bruta!I1577,IFERROR(_xlfn.NUMBERVALUE(TRIM(SUBSTITUTE(Base_Bruta!I1577,"R$","")),",","."),0)))</f>
        <v>995</v>
      </c>
      <c r="J1577" s="6" t="n">
        <f aca="false">IF($A1577="","",H1577*I1577)</f>
        <v>2985</v>
      </c>
      <c r="K1577" s="4" t="str">
        <f aca="false">IF($A1577="","",TRIM(Base_Bruta!J1577))</f>
        <v>Site</v>
      </c>
      <c r="L1577" s="4" t="str">
        <f aca="false">IF($A1577="","",TRIM(Base_Bruta!K1577))</f>
        <v>C00124</v>
      </c>
      <c r="M1577" s="4" t="str">
        <f aca="false">IF($A1577="","",_xlfn.XLOOKUP(LOWER(TRIM(Base_Bruta!L1577)),DePara_Cidade!$A$2:$A$29,DePara_Cidade!$B$2:$B$29,"REVISAR"))</f>
        <v>Belo Horizonte</v>
      </c>
      <c r="N1577" s="4" t="str">
        <f aca="false">IF($A1577="","",UPPER(TRIM(Base_Bruta!M1577)))</f>
        <v>MG</v>
      </c>
      <c r="O1577" s="4" t="str">
        <f aca="false">IF($A1577="","",_xlfn.XLOOKUP(LOWER(TRIM(Base_Bruta!N1577)),DePara_Pais!$A$2:$A$9,DePara_Pais!$B$2:$B$9,"REVISAR"))</f>
        <v>Brasil</v>
      </c>
      <c r="P1577" s="4" t="str">
        <f aca="false">IF($A1577="","",IF(O1577&lt;&gt;"Brasil","Turista Internacional",IF(M1577=F1577,"Local","Turista Nacional")))</f>
        <v>Local</v>
      </c>
      <c r="Q1577" s="7" t="n">
        <f aca="false">IF($A1577="","",DATE(YEAR(B1577),MONTH(B1577),1))</f>
        <v>45748</v>
      </c>
      <c r="R1577" s="4" t="str">
        <f aca="false">IF($A1577="","",IF(COUNTIF($A$2:$A1577,$A1577)&gt;1,"Sim","Não"))</f>
        <v>Não</v>
      </c>
      <c r="S1577" s="4" t="str">
        <f aca="false">IF(A1577="","Descartar - Linha vazia",IF(R1577="Sim","Descartar - Duplicado",IF(OR(H1577&lt;=0,I1577&lt;=0),"Descartar - Qtd/Valor inválido","OK")))</f>
        <v>OK</v>
      </c>
      <c r="T1577" s="4" t="str">
        <f aca="false">Base_Bruta!P1577</f>
        <v>vendas_MG.csv</v>
      </c>
    </row>
    <row r="1578" customFormat="false" ht="15" hidden="false" customHeight="false" outlineLevel="0" collapsed="false">
      <c r="A1578" s="4" t="str">
        <f aca="false">IF(Base_Bruta!A1578="","",Base_Bruta!A1578)</f>
        <v>MG-000068</v>
      </c>
      <c r="B1578" s="5" t="n">
        <f aca="false">IF($A1578="","",IF(ISNUMBER(Base_Bruta!B1578),Base_Bruta!B1578,IF(MID(Base_Bruta!B1578,5,1)="-",DATE(VALUE(LEFT(Base_Bruta!B1578,4)),VALUE(MID(Base_Bruta!B1578,6,2)),VALUE(RIGHT(Base_Bruta!B1578,2))),DATE(VALUE(RIGHT(Base_Bruta!B1578,4)),VALUE(MID(Base_Bruta!B1578,4,2)),VALUE(LEFT(Base_Bruta!B1578,2))))))</f>
        <v>45774</v>
      </c>
      <c r="C1578" s="5" t="n">
        <f aca="false">IF($A1578="","",IF(ISNUMBER(Base_Bruta!C1578),Base_Bruta!C1578,IF(MID(Base_Bruta!C1578,5,1)="-",DATE(VALUE(LEFT(Base_Bruta!C1578,4)),VALUE(MID(Base_Bruta!C1578,6,2)),VALUE(RIGHT(Base_Bruta!C1578,2))),DATE(VALUE(RIGHT(Base_Bruta!C1578,4)),VALUE(MID(Base_Bruta!C1578,4,2)),VALUE(LEFT(Base_Bruta!C1578,2))))))</f>
        <v>45892</v>
      </c>
      <c r="D1578" s="4" t="str">
        <f aca="false">IF($A1578="","",TRIM(Base_Bruta!D1578))</f>
        <v>Festival Montanhas BH 2025</v>
      </c>
      <c r="E1578" s="4" t="str">
        <f aca="false">IF($A1578="","",_xlfn.XLOOKUP(LOWER(TRIM(Base_Bruta!E1578)),DePara_Categoria!$A$2:$A$9,DePara_Categoria!$B$2:$B$9,"REVISAR"))</f>
        <v>Festival</v>
      </c>
      <c r="F1578" s="4" t="str">
        <f aca="false">IF($A1578="","",_xlfn.XLOOKUP(LOWER(TRIM(Base_Bruta!F1578)),DePara_Cidade!$A$2:$A$29,DePara_Cidade!$B$2:$B$29,"REVISAR"))</f>
        <v>Belo Horizonte</v>
      </c>
      <c r="G1578" s="4" t="str">
        <f aca="false">IF($A1578="","",TRIM(Base_Bruta!G1578))</f>
        <v>Inteira</v>
      </c>
      <c r="H1578" s="4" t="n">
        <f aca="false">IF($A1578="","",IF(ISNUMBER(Base_Bruta!H1578),Base_Bruta!H1578,IFERROR(_xlfn.NUMBERVALUE(TRIM(SUBSTITUTE(Base_Bruta!H1578,"R$","")),",","."),0)))</f>
        <v>1</v>
      </c>
      <c r="I1578" s="6" t="n">
        <f aca="false">IF($A1578="","",IF(ISNUMBER(Base_Bruta!I1578),Base_Bruta!I1578,IFERROR(_xlfn.NUMBERVALUE(TRIM(SUBSTITUTE(Base_Bruta!I1578,"R$","")),",","."),0)))</f>
        <v>795</v>
      </c>
      <c r="J1578" s="6" t="n">
        <f aca="false">IF($A1578="","",H1578*I1578)</f>
        <v>795</v>
      </c>
      <c r="K1578" s="4" t="str">
        <f aca="false">IF($A1578="","",TRIM(Base_Bruta!J1578))</f>
        <v>Site</v>
      </c>
      <c r="L1578" s="4" t="str">
        <f aca="false">IF($A1578="","",TRIM(Base_Bruta!K1578))</f>
        <v>C02048</v>
      </c>
      <c r="M1578" s="4" t="str">
        <f aca="false">IF($A1578="","",_xlfn.XLOOKUP(LOWER(TRIM(Base_Bruta!L1578)),DePara_Cidade!$A$2:$A$29,DePara_Cidade!$B$2:$B$29,"REVISAR"))</f>
        <v>Belo Horizonte</v>
      </c>
      <c r="N1578" s="4" t="str">
        <f aca="false">IF($A1578="","",UPPER(TRIM(Base_Bruta!M1578)))</f>
        <v>MG</v>
      </c>
      <c r="O1578" s="4" t="str">
        <f aca="false">IF($A1578="","",_xlfn.XLOOKUP(LOWER(TRIM(Base_Bruta!N1578)),DePara_Pais!$A$2:$A$9,DePara_Pais!$B$2:$B$9,"REVISAR"))</f>
        <v>Brasil</v>
      </c>
      <c r="P1578" s="4" t="str">
        <f aca="false">IF($A1578="","",IF(O1578&lt;&gt;"Brasil","Turista Internacional",IF(M1578=F1578,"Local","Turista Nacional")))</f>
        <v>Local</v>
      </c>
      <c r="Q1578" s="7" t="n">
        <f aca="false">IF($A1578="","",DATE(YEAR(B1578),MONTH(B1578),1))</f>
        <v>45748</v>
      </c>
      <c r="R1578" s="4" t="str">
        <f aca="false">IF($A1578="","",IF(COUNTIF($A$2:$A1578,$A1578)&gt;1,"Sim","Não"))</f>
        <v>Não</v>
      </c>
      <c r="S1578" s="4" t="str">
        <f aca="false">IF(A1578="","Descartar - Linha vazia",IF(R1578="Sim","Descartar - Duplicado",IF(OR(H1578&lt;=0,I1578&lt;=0),"Descartar - Qtd/Valor inválido","OK")))</f>
        <v>OK</v>
      </c>
      <c r="T1578" s="4" t="str">
        <f aca="false">Base_Bruta!P1578</f>
        <v>vendas_MG.csv</v>
      </c>
    </row>
    <row r="1579" customFormat="false" ht="15" hidden="false" customHeight="false" outlineLevel="0" collapsed="false">
      <c r="A1579" s="4" t="str">
        <f aca="false">IF(Base_Bruta!A1579="","",Base_Bruta!A1579)</f>
        <v>MG-000177</v>
      </c>
      <c r="B1579" s="5" t="n">
        <f aca="false">IF($A1579="","",IF(ISNUMBER(Base_Bruta!B1579),Base_Bruta!B1579,IF(MID(Base_Bruta!B1579,5,1)="-",DATE(VALUE(LEFT(Base_Bruta!B1579,4)),VALUE(MID(Base_Bruta!B1579,6,2)),VALUE(RIGHT(Base_Bruta!B1579,2))),DATE(VALUE(RIGHT(Base_Bruta!B1579,4)),VALUE(MID(Base_Bruta!B1579,4,2)),VALUE(LEFT(Base_Bruta!B1579,2))))))</f>
        <v>45774</v>
      </c>
      <c r="C1579" s="5" t="n">
        <f aca="false">IF($A1579="","",IF(ISNUMBER(Base_Bruta!C1579),Base_Bruta!C1579,IF(MID(Base_Bruta!C1579,5,1)="-",DATE(VALUE(LEFT(Base_Bruta!C1579,4)),VALUE(MID(Base_Bruta!C1579,6,2)),VALUE(RIGHT(Base_Bruta!C1579,2))),DATE(VALUE(RIGHT(Base_Bruta!C1579,4)),VALUE(MID(Base_Bruta!C1579,4,2)),VALUE(LEFT(Base_Bruta!C1579,2))))))</f>
        <v>45892</v>
      </c>
      <c r="D1579" s="4" t="str">
        <f aca="false">IF($A1579="","",TRIM(Base_Bruta!D1579))</f>
        <v>Festival Montanhas BH 2025</v>
      </c>
      <c r="E1579" s="4" t="str">
        <f aca="false">IF($A1579="","",_xlfn.XLOOKUP(LOWER(TRIM(Base_Bruta!E1579)),DePara_Categoria!$A$2:$A$9,DePara_Categoria!$B$2:$B$9,"REVISAR"))</f>
        <v>Festival</v>
      </c>
      <c r="F1579" s="4" t="str">
        <f aca="false">IF($A1579="","",_xlfn.XLOOKUP(LOWER(TRIM(Base_Bruta!F1579)),DePara_Cidade!$A$2:$A$29,DePara_Cidade!$B$2:$B$29,"REVISAR"))</f>
        <v>Belo Horizonte</v>
      </c>
      <c r="G1579" s="4" t="str">
        <f aca="false">IF($A1579="","",TRIM(Base_Bruta!G1579))</f>
        <v>VIP</v>
      </c>
      <c r="H1579" s="4" t="n">
        <f aca="false">IF($A1579="","",IF(ISNUMBER(Base_Bruta!H1579),Base_Bruta!H1579,IFERROR(_xlfn.NUMBERVALUE(TRIM(SUBSTITUTE(Base_Bruta!H1579,"R$","")),",","."),0)))</f>
        <v>3</v>
      </c>
      <c r="I1579" s="6" t="n">
        <f aca="false">IF($A1579="","",IF(ISNUMBER(Base_Bruta!I1579),Base_Bruta!I1579,IFERROR(_xlfn.NUMBERVALUE(TRIM(SUBSTITUTE(Base_Bruta!I1579,"R$","")),",","."),0)))</f>
        <v>1880</v>
      </c>
      <c r="J1579" s="6" t="n">
        <f aca="false">IF($A1579="","",H1579*I1579)</f>
        <v>5640</v>
      </c>
      <c r="K1579" s="4" t="str">
        <f aca="false">IF($A1579="","",TRIM(Base_Bruta!J1579))</f>
        <v>Site</v>
      </c>
      <c r="L1579" s="4" t="str">
        <f aca="false">IF($A1579="","",TRIM(Base_Bruta!K1579))</f>
        <v>C01713</v>
      </c>
      <c r="M1579" s="4" t="str">
        <f aca="false">IF($A1579="","",_xlfn.XLOOKUP(LOWER(TRIM(Base_Bruta!L1579)),DePara_Cidade!$A$2:$A$29,DePara_Cidade!$B$2:$B$29,"REVISAR"))</f>
        <v>Belo Horizonte</v>
      </c>
      <c r="N1579" s="4" t="str">
        <f aca="false">IF($A1579="","",UPPER(TRIM(Base_Bruta!M1579)))</f>
        <v>MG</v>
      </c>
      <c r="O1579" s="4" t="str">
        <f aca="false">IF($A1579="","",_xlfn.XLOOKUP(LOWER(TRIM(Base_Bruta!N1579)),DePara_Pais!$A$2:$A$9,DePara_Pais!$B$2:$B$9,"REVISAR"))</f>
        <v>Brasil</v>
      </c>
      <c r="P1579" s="4" t="str">
        <f aca="false">IF($A1579="","",IF(O1579&lt;&gt;"Brasil","Turista Internacional",IF(M1579=F1579,"Local","Turista Nacional")))</f>
        <v>Local</v>
      </c>
      <c r="Q1579" s="7" t="n">
        <f aca="false">IF($A1579="","",DATE(YEAR(B1579),MONTH(B1579),1))</f>
        <v>45748</v>
      </c>
      <c r="R1579" s="4" t="str">
        <f aca="false">IF($A1579="","",IF(COUNTIF($A$2:$A1579,$A1579)&gt;1,"Sim","Não"))</f>
        <v>Não</v>
      </c>
      <c r="S1579" s="4" t="str">
        <f aca="false">IF(A1579="","Descartar - Linha vazia",IF(R1579="Sim","Descartar - Duplicado",IF(OR(H1579&lt;=0,I1579&lt;=0),"Descartar - Qtd/Valor inválido","OK")))</f>
        <v>OK</v>
      </c>
      <c r="T1579" s="4" t="str">
        <f aca="false">Base_Bruta!P1579</f>
        <v>vendas_MG.csv</v>
      </c>
    </row>
    <row r="1580" customFormat="false" ht="15" hidden="false" customHeight="false" outlineLevel="0" collapsed="false">
      <c r="A1580" s="4" t="str">
        <f aca="false">IF(Base_Bruta!A1580="","",Base_Bruta!A1580)</f>
        <v>MG-000186</v>
      </c>
      <c r="B1580" s="5" t="n">
        <f aca="false">IF($A1580="","",IF(ISNUMBER(Base_Bruta!B1580),Base_Bruta!B1580,IF(MID(Base_Bruta!B1580,5,1)="-",DATE(VALUE(LEFT(Base_Bruta!B1580,4)),VALUE(MID(Base_Bruta!B1580,6,2)),VALUE(RIGHT(Base_Bruta!B1580,2))),DATE(VALUE(RIGHT(Base_Bruta!B1580,4)),VALUE(MID(Base_Bruta!B1580,4,2)),VALUE(LEFT(Base_Bruta!B1580,2))))))</f>
        <v>45774</v>
      </c>
      <c r="C1580" s="5" t="n">
        <f aca="false">IF($A1580="","",IF(ISNUMBER(Base_Bruta!C1580),Base_Bruta!C1580,IF(MID(Base_Bruta!C1580,5,1)="-",DATE(VALUE(LEFT(Base_Bruta!C1580,4)),VALUE(MID(Base_Bruta!C1580,6,2)),VALUE(RIGHT(Base_Bruta!C1580,2))),DATE(VALUE(RIGHT(Base_Bruta!C1580,4)),VALUE(MID(Base_Bruta!C1580,4,2)),VALUE(LEFT(Base_Bruta!C1580,2))))))</f>
        <v>45892</v>
      </c>
      <c r="D1580" s="4" t="str">
        <f aca="false">IF($A1580="","",TRIM(Base_Bruta!D1580))</f>
        <v>Festival Montanhas BH 2025</v>
      </c>
      <c r="E1580" s="4" t="str">
        <f aca="false">IF($A1580="","",_xlfn.XLOOKUP(LOWER(TRIM(Base_Bruta!E1580)),DePara_Categoria!$A$2:$A$9,DePara_Categoria!$B$2:$B$9,"REVISAR"))</f>
        <v>Festival</v>
      </c>
      <c r="F1580" s="4" t="str">
        <f aca="false">IF($A1580="","",_xlfn.XLOOKUP(LOWER(TRIM(Base_Bruta!F1580)),DePara_Cidade!$A$2:$A$29,DePara_Cidade!$B$2:$B$29,"REVISAR"))</f>
        <v>Belo Horizonte</v>
      </c>
      <c r="G1580" s="4" t="str">
        <f aca="false">IF($A1580="","",TRIM(Base_Bruta!G1580))</f>
        <v>Meia</v>
      </c>
      <c r="H1580" s="4" t="n">
        <f aca="false">IF($A1580="","",IF(ISNUMBER(Base_Bruta!H1580),Base_Bruta!H1580,IFERROR(_xlfn.NUMBERVALUE(TRIM(SUBSTITUTE(Base_Bruta!H1580,"R$","")),",","."),0)))</f>
        <v>4</v>
      </c>
      <c r="I1580" s="6" t="n">
        <f aca="false">IF($A1580="","",IF(ISNUMBER(Base_Bruta!I1580),Base_Bruta!I1580,IFERROR(_xlfn.NUMBERVALUE(TRIM(SUBSTITUTE(Base_Bruta!I1580,"R$","")),",","."),0)))</f>
        <v>442.5</v>
      </c>
      <c r="J1580" s="6" t="n">
        <f aca="false">IF($A1580="","",H1580*I1580)</f>
        <v>1770</v>
      </c>
      <c r="K1580" s="4" t="str">
        <f aca="false">IF($A1580="","",TRIM(Base_Bruta!J1580))</f>
        <v>Site</v>
      </c>
      <c r="L1580" s="4" t="str">
        <f aca="false">IF($A1580="","",TRIM(Base_Bruta!K1580))</f>
        <v>C01681</v>
      </c>
      <c r="M1580" s="4" t="str">
        <f aca="false">IF($A1580="","",_xlfn.XLOOKUP(LOWER(TRIM(Base_Bruta!L1580)),DePara_Cidade!$A$2:$A$29,DePara_Cidade!$B$2:$B$29,"REVISAR"))</f>
        <v>Santos</v>
      </c>
      <c r="N1580" s="4" t="str">
        <f aca="false">IF($A1580="","",UPPER(TRIM(Base_Bruta!M1580)))</f>
        <v>SP</v>
      </c>
      <c r="O1580" s="4" t="str">
        <f aca="false">IF($A1580="","",_xlfn.XLOOKUP(LOWER(TRIM(Base_Bruta!N1580)),DePara_Pais!$A$2:$A$9,DePara_Pais!$B$2:$B$9,"REVISAR"))</f>
        <v>Brasil</v>
      </c>
      <c r="P1580" s="4" t="str">
        <f aca="false">IF($A1580="","",IF(O1580&lt;&gt;"Brasil","Turista Internacional",IF(M1580=F1580,"Local","Turista Nacional")))</f>
        <v>Turista Nacional</v>
      </c>
      <c r="Q1580" s="7" t="n">
        <f aca="false">IF($A1580="","",DATE(YEAR(B1580),MONTH(B1580),1))</f>
        <v>45748</v>
      </c>
      <c r="R1580" s="4" t="str">
        <f aca="false">IF($A1580="","",IF(COUNTIF($A$2:$A1580,$A1580)&gt;1,"Sim","Não"))</f>
        <v>Não</v>
      </c>
      <c r="S1580" s="4" t="str">
        <f aca="false">IF(A1580="","Descartar - Linha vazia",IF(R1580="Sim","Descartar - Duplicado",IF(OR(H1580&lt;=0,I1580&lt;=0),"Descartar - Qtd/Valor inválido","OK")))</f>
        <v>OK</v>
      </c>
      <c r="T1580" s="4" t="str">
        <f aca="false">Base_Bruta!P1580</f>
        <v>vendas_MG.csv</v>
      </c>
    </row>
    <row r="1581" customFormat="false" ht="15" hidden="false" customHeight="false" outlineLevel="0" collapsed="false">
      <c r="A1581" s="4" t="str">
        <f aca="false">IF(Base_Bruta!A1581="","",Base_Bruta!A1581)</f>
        <v>MG-000209</v>
      </c>
      <c r="B1581" s="5" t="n">
        <f aca="false">IF($A1581="","",IF(ISNUMBER(Base_Bruta!B1581),Base_Bruta!B1581,IF(MID(Base_Bruta!B1581,5,1)="-",DATE(VALUE(LEFT(Base_Bruta!B1581,4)),VALUE(MID(Base_Bruta!B1581,6,2)),VALUE(RIGHT(Base_Bruta!B1581,2))),DATE(VALUE(RIGHT(Base_Bruta!B1581,4)),VALUE(MID(Base_Bruta!B1581,4,2)),VALUE(LEFT(Base_Bruta!B1581,2))))))</f>
        <v>45774</v>
      </c>
      <c r="C1581" s="5" t="n">
        <f aca="false">IF($A1581="","",IF(ISNUMBER(Base_Bruta!C1581),Base_Bruta!C1581,IF(MID(Base_Bruta!C1581,5,1)="-",DATE(VALUE(LEFT(Base_Bruta!C1581,4)),VALUE(MID(Base_Bruta!C1581,6,2)),VALUE(RIGHT(Base_Bruta!C1581,2))),DATE(VALUE(RIGHT(Base_Bruta!C1581,4)),VALUE(MID(Base_Bruta!C1581,4,2)),VALUE(LEFT(Base_Bruta!C1581,2))))))</f>
        <v>45892</v>
      </c>
      <c r="D1581" s="4" t="str">
        <f aca="false">IF($A1581="","",TRIM(Base_Bruta!D1581))</f>
        <v>Festival Montanhas BH 2025</v>
      </c>
      <c r="E1581" s="4" t="str">
        <f aca="false">IF($A1581="","",_xlfn.XLOOKUP(LOWER(TRIM(Base_Bruta!E1581)),DePara_Categoria!$A$2:$A$9,DePara_Categoria!$B$2:$B$9,"REVISAR"))</f>
        <v>Festival</v>
      </c>
      <c r="F1581" s="4" t="str">
        <f aca="false">IF($A1581="","",_xlfn.XLOOKUP(LOWER(TRIM(Base_Bruta!F1581)),DePara_Cidade!$A$2:$A$29,DePara_Cidade!$B$2:$B$29,"REVISAR"))</f>
        <v>Belo Horizonte</v>
      </c>
      <c r="G1581" s="4" t="str">
        <f aca="false">IF($A1581="","",TRIM(Base_Bruta!G1581))</f>
        <v>Inteira</v>
      </c>
      <c r="H1581" s="4" t="n">
        <f aca="false">IF($A1581="","",IF(ISNUMBER(Base_Bruta!H1581),Base_Bruta!H1581,IFERROR(_xlfn.NUMBERVALUE(TRIM(SUBSTITUTE(Base_Bruta!H1581,"R$","")),",","."),0)))</f>
        <v>2</v>
      </c>
      <c r="I1581" s="6" t="n">
        <f aca="false">IF($A1581="","",IF(ISNUMBER(Base_Bruta!I1581),Base_Bruta!I1581,IFERROR(_xlfn.NUMBERVALUE(TRIM(SUBSTITUTE(Base_Bruta!I1581,"R$","")),",","."),0)))</f>
        <v>885</v>
      </c>
      <c r="J1581" s="6" t="n">
        <f aca="false">IF($A1581="","",H1581*I1581)</f>
        <v>1770</v>
      </c>
      <c r="K1581" s="4" t="str">
        <f aca="false">IF($A1581="","",TRIM(Base_Bruta!J1581))</f>
        <v>App</v>
      </c>
      <c r="L1581" s="4" t="str">
        <f aca="false">IF($A1581="","",TRIM(Base_Bruta!K1581))</f>
        <v>C00464</v>
      </c>
      <c r="M1581" s="4" t="str">
        <f aca="false">IF($A1581="","",_xlfn.XLOOKUP(LOWER(TRIM(Base_Bruta!L1581)),DePara_Cidade!$A$2:$A$29,DePara_Cidade!$B$2:$B$29,"REVISAR"))</f>
        <v>Belo Horizonte</v>
      </c>
      <c r="N1581" s="4" t="str">
        <f aca="false">IF($A1581="","",UPPER(TRIM(Base_Bruta!M1581)))</f>
        <v>MG</v>
      </c>
      <c r="O1581" s="4" t="str">
        <f aca="false">IF($A1581="","",_xlfn.XLOOKUP(LOWER(TRIM(Base_Bruta!N1581)),DePara_Pais!$A$2:$A$9,DePara_Pais!$B$2:$B$9,"REVISAR"))</f>
        <v>Brasil</v>
      </c>
      <c r="P1581" s="4" t="str">
        <f aca="false">IF($A1581="","",IF(O1581&lt;&gt;"Brasil","Turista Internacional",IF(M1581=F1581,"Local","Turista Nacional")))</f>
        <v>Local</v>
      </c>
      <c r="Q1581" s="7" t="n">
        <f aca="false">IF($A1581="","",DATE(YEAR(B1581),MONTH(B1581),1))</f>
        <v>45748</v>
      </c>
      <c r="R1581" s="4" t="str">
        <f aca="false">IF($A1581="","",IF(COUNTIF($A$2:$A1581,$A1581)&gt;1,"Sim","Não"))</f>
        <v>Não</v>
      </c>
      <c r="S1581" s="4" t="str">
        <f aca="false">IF(A1581="","Descartar - Linha vazia",IF(R1581="Sim","Descartar - Duplicado",IF(OR(H1581&lt;=0,I1581&lt;=0),"Descartar - Qtd/Valor inválido","OK")))</f>
        <v>OK</v>
      </c>
      <c r="T1581" s="4" t="str">
        <f aca="false">Base_Bruta!P1581</f>
        <v>vendas_MG.csv</v>
      </c>
    </row>
    <row r="1582" customFormat="false" ht="15" hidden="false" customHeight="false" outlineLevel="0" collapsed="false">
      <c r="A1582" s="4" t="str">
        <f aca="false">IF(Base_Bruta!A1582="","",Base_Bruta!A1582)</f>
        <v>MG-000012</v>
      </c>
      <c r="B1582" s="5" t="n">
        <f aca="false">IF($A1582="","",IF(ISNUMBER(Base_Bruta!B1582),Base_Bruta!B1582,IF(MID(Base_Bruta!B1582,5,1)="-",DATE(VALUE(LEFT(Base_Bruta!B1582,4)),VALUE(MID(Base_Bruta!B1582,6,2)),VALUE(RIGHT(Base_Bruta!B1582,2))),DATE(VALUE(RIGHT(Base_Bruta!B1582,4)),VALUE(MID(Base_Bruta!B1582,4,2)),VALUE(LEFT(Base_Bruta!B1582,2))))))</f>
        <v>45775</v>
      </c>
      <c r="C1582" s="5" t="n">
        <f aca="false">IF($A1582="","",IF(ISNUMBER(Base_Bruta!C1582),Base_Bruta!C1582,IF(MID(Base_Bruta!C1582,5,1)="-",DATE(VALUE(LEFT(Base_Bruta!C1582,4)),VALUE(MID(Base_Bruta!C1582,6,2)),VALUE(RIGHT(Base_Bruta!C1582,2))),DATE(VALUE(RIGHT(Base_Bruta!C1582,4)),VALUE(MID(Base_Bruta!C1582,4,2)),VALUE(LEFT(Base_Bruta!C1582,2))))))</f>
        <v>45892</v>
      </c>
      <c r="D1582" s="4" t="str">
        <f aca="false">IF($A1582="","",TRIM(Base_Bruta!D1582))</f>
        <v>Festival Montanhas BH 2025</v>
      </c>
      <c r="E1582" s="4" t="str">
        <f aca="false">IF($A1582="","",_xlfn.XLOOKUP(LOWER(TRIM(Base_Bruta!E1582)),DePara_Categoria!$A$2:$A$9,DePara_Categoria!$B$2:$B$9,"REVISAR"))</f>
        <v>Festival</v>
      </c>
      <c r="F1582" s="4" t="str">
        <f aca="false">IF($A1582="","",_xlfn.XLOOKUP(LOWER(TRIM(Base_Bruta!F1582)),DePara_Cidade!$A$2:$A$29,DePara_Cidade!$B$2:$B$29,"REVISAR"))</f>
        <v>Belo Horizonte</v>
      </c>
      <c r="G1582" s="4" t="str">
        <f aca="false">IF($A1582="","",TRIM(Base_Bruta!G1582))</f>
        <v>Meia</v>
      </c>
      <c r="H1582" s="4" t="n">
        <f aca="false">IF($A1582="","",IF(ISNUMBER(Base_Bruta!H1582),Base_Bruta!H1582,IFERROR(_xlfn.NUMBERVALUE(TRIM(SUBSTITUTE(Base_Bruta!H1582,"R$","")),",","."),0)))</f>
        <v>2</v>
      </c>
      <c r="I1582" s="6" t="n">
        <f aca="false">IF($A1582="","",IF(ISNUMBER(Base_Bruta!I1582),Base_Bruta!I1582,IFERROR(_xlfn.NUMBERVALUE(TRIM(SUBSTITUTE(Base_Bruta!I1582,"R$","")),",","."),0)))</f>
        <v>522.5</v>
      </c>
      <c r="J1582" s="6" t="n">
        <f aca="false">IF($A1582="","",H1582*I1582)</f>
        <v>1045</v>
      </c>
      <c r="K1582" s="4" t="str">
        <f aca="false">IF($A1582="","",TRIM(Base_Bruta!J1582))</f>
        <v>App</v>
      </c>
      <c r="L1582" s="4" t="str">
        <f aca="false">IF($A1582="","",TRIM(Base_Bruta!K1582))</f>
        <v>C01729</v>
      </c>
      <c r="M1582" s="4" t="str">
        <f aca="false">IF($A1582="","",_xlfn.XLOOKUP(LOWER(TRIM(Base_Bruta!L1582)),DePara_Cidade!$A$2:$A$29,DePara_Cidade!$B$2:$B$29,"REVISAR"))</f>
        <v>Belo Horizonte</v>
      </c>
      <c r="N1582" s="4" t="str">
        <f aca="false">IF($A1582="","",UPPER(TRIM(Base_Bruta!M1582)))</f>
        <v>MG</v>
      </c>
      <c r="O1582" s="4" t="str">
        <f aca="false">IF($A1582="","",_xlfn.XLOOKUP(LOWER(TRIM(Base_Bruta!N1582)),DePara_Pais!$A$2:$A$9,DePara_Pais!$B$2:$B$9,"REVISAR"))</f>
        <v>Brasil</v>
      </c>
      <c r="P1582" s="4" t="str">
        <f aca="false">IF($A1582="","",IF(O1582&lt;&gt;"Brasil","Turista Internacional",IF(M1582=F1582,"Local","Turista Nacional")))</f>
        <v>Local</v>
      </c>
      <c r="Q1582" s="7" t="n">
        <f aca="false">IF($A1582="","",DATE(YEAR(B1582),MONTH(B1582),1))</f>
        <v>45748</v>
      </c>
      <c r="R1582" s="4" t="str">
        <f aca="false">IF($A1582="","",IF(COUNTIF($A$2:$A1582,$A1582)&gt;1,"Sim","Não"))</f>
        <v>Não</v>
      </c>
      <c r="S1582" s="4" t="str">
        <f aca="false">IF(A1582="","Descartar - Linha vazia",IF(R1582="Sim","Descartar - Duplicado",IF(OR(H1582&lt;=0,I1582&lt;=0),"Descartar - Qtd/Valor inválido","OK")))</f>
        <v>OK</v>
      </c>
      <c r="T1582" s="4" t="str">
        <f aca="false">Base_Bruta!P1582</f>
        <v>vendas_MG.csv</v>
      </c>
    </row>
    <row r="1583" customFormat="false" ht="15" hidden="false" customHeight="false" outlineLevel="0" collapsed="false">
      <c r="A1583" s="4" t="str">
        <f aca="false">IF(Base_Bruta!A1583="","",Base_Bruta!A1583)</f>
        <v>MG-000139</v>
      </c>
      <c r="B1583" s="5" t="n">
        <f aca="false">IF($A1583="","",IF(ISNUMBER(Base_Bruta!B1583),Base_Bruta!B1583,IF(MID(Base_Bruta!B1583,5,1)="-",DATE(VALUE(LEFT(Base_Bruta!B1583,4)),VALUE(MID(Base_Bruta!B1583,6,2)),VALUE(RIGHT(Base_Bruta!B1583,2))),DATE(VALUE(RIGHT(Base_Bruta!B1583,4)),VALUE(MID(Base_Bruta!B1583,4,2)),VALUE(LEFT(Base_Bruta!B1583,2))))))</f>
        <v>45775</v>
      </c>
      <c r="C1583" s="5" t="n">
        <f aca="false">IF($A1583="","",IF(ISNUMBER(Base_Bruta!C1583),Base_Bruta!C1583,IF(MID(Base_Bruta!C1583,5,1)="-",DATE(VALUE(LEFT(Base_Bruta!C1583,4)),VALUE(MID(Base_Bruta!C1583,6,2)),VALUE(RIGHT(Base_Bruta!C1583,2))),DATE(VALUE(RIGHT(Base_Bruta!C1583,4)),VALUE(MID(Base_Bruta!C1583,4,2)),VALUE(LEFT(Base_Bruta!C1583,2))))))</f>
        <v>45892</v>
      </c>
      <c r="D1583" s="4" t="str">
        <f aca="false">IF($A1583="","",TRIM(Base_Bruta!D1583))</f>
        <v>Festival Montanhas BH 2025</v>
      </c>
      <c r="E1583" s="4" t="str">
        <f aca="false">IF($A1583="","",_xlfn.XLOOKUP(LOWER(TRIM(Base_Bruta!E1583)),DePara_Categoria!$A$2:$A$9,DePara_Categoria!$B$2:$B$9,"REVISAR"))</f>
        <v>Festival</v>
      </c>
      <c r="F1583" s="4" t="str">
        <f aca="false">IF($A1583="","",_xlfn.XLOOKUP(LOWER(TRIM(Base_Bruta!F1583)),DePara_Cidade!$A$2:$A$29,DePara_Cidade!$B$2:$B$29,"REVISAR"))</f>
        <v>Belo Horizonte</v>
      </c>
      <c r="G1583" s="4" t="str">
        <f aca="false">IF($A1583="","",TRIM(Base_Bruta!G1583))</f>
        <v>Inteira</v>
      </c>
      <c r="H1583" s="4" t="n">
        <f aca="false">IF($A1583="","",IF(ISNUMBER(Base_Bruta!H1583),Base_Bruta!H1583,IFERROR(_xlfn.NUMBERVALUE(TRIM(SUBSTITUTE(Base_Bruta!H1583,"R$","")),",","."),0)))</f>
        <v>2</v>
      </c>
      <c r="I1583" s="6" t="n">
        <f aca="false">IF($A1583="","",IF(ISNUMBER(Base_Bruta!I1583),Base_Bruta!I1583,IFERROR(_xlfn.NUMBERVALUE(TRIM(SUBSTITUTE(Base_Bruta!I1583,"R$","")),",","."),0)))</f>
        <v>910</v>
      </c>
      <c r="J1583" s="6" t="n">
        <f aca="false">IF($A1583="","",H1583*I1583)</f>
        <v>1820</v>
      </c>
      <c r="K1583" s="4" t="str">
        <f aca="false">IF($A1583="","",TRIM(Base_Bruta!J1583))</f>
        <v>Site</v>
      </c>
      <c r="L1583" s="4" t="str">
        <f aca="false">IF($A1583="","",TRIM(Base_Bruta!K1583))</f>
        <v>C00930</v>
      </c>
      <c r="M1583" s="4" t="str">
        <f aca="false">IF($A1583="","",_xlfn.XLOOKUP(LOWER(TRIM(Base_Bruta!L1583)),DePara_Cidade!$A$2:$A$29,DePara_Cidade!$B$2:$B$29,"REVISAR"))</f>
        <v>Belo Horizonte</v>
      </c>
      <c r="N1583" s="4" t="str">
        <f aca="false">IF($A1583="","",UPPER(TRIM(Base_Bruta!M1583)))</f>
        <v>MG</v>
      </c>
      <c r="O1583" s="4" t="str">
        <f aca="false">IF($A1583="","",_xlfn.XLOOKUP(LOWER(TRIM(Base_Bruta!N1583)),DePara_Pais!$A$2:$A$9,DePara_Pais!$B$2:$B$9,"REVISAR"))</f>
        <v>Brasil</v>
      </c>
      <c r="P1583" s="4" t="str">
        <f aca="false">IF($A1583="","",IF(O1583&lt;&gt;"Brasil","Turista Internacional",IF(M1583=F1583,"Local","Turista Nacional")))</f>
        <v>Local</v>
      </c>
      <c r="Q1583" s="7" t="n">
        <f aca="false">IF($A1583="","",DATE(YEAR(B1583),MONTH(B1583),1))</f>
        <v>45748</v>
      </c>
      <c r="R1583" s="4" t="str">
        <f aca="false">IF($A1583="","",IF(COUNTIF($A$2:$A1583,$A1583)&gt;1,"Sim","Não"))</f>
        <v>Não</v>
      </c>
      <c r="S1583" s="4" t="str">
        <f aca="false">IF(A1583="","Descartar - Linha vazia",IF(R1583="Sim","Descartar - Duplicado",IF(OR(H1583&lt;=0,I1583&lt;=0),"Descartar - Qtd/Valor inválido","OK")))</f>
        <v>OK</v>
      </c>
      <c r="T1583" s="4" t="str">
        <f aca="false">Base_Bruta!P1583</f>
        <v>vendas_MG.csv</v>
      </c>
    </row>
    <row r="1584" customFormat="false" ht="15" hidden="false" customHeight="false" outlineLevel="0" collapsed="false">
      <c r="A1584" s="4" t="str">
        <f aca="false">IF(Base_Bruta!A1584="","",Base_Bruta!A1584)</f>
        <v>MG-000144</v>
      </c>
      <c r="B1584" s="5" t="n">
        <f aca="false">IF($A1584="","",IF(ISNUMBER(Base_Bruta!B1584),Base_Bruta!B1584,IF(MID(Base_Bruta!B1584,5,1)="-",DATE(VALUE(LEFT(Base_Bruta!B1584,4)),VALUE(MID(Base_Bruta!B1584,6,2)),VALUE(RIGHT(Base_Bruta!B1584,2))),DATE(VALUE(RIGHT(Base_Bruta!B1584,4)),VALUE(MID(Base_Bruta!B1584,4,2)),VALUE(LEFT(Base_Bruta!B1584,2))))))</f>
        <v>45775</v>
      </c>
      <c r="C1584" s="5" t="n">
        <f aca="false">IF($A1584="","",IF(ISNUMBER(Base_Bruta!C1584),Base_Bruta!C1584,IF(MID(Base_Bruta!C1584,5,1)="-",DATE(VALUE(LEFT(Base_Bruta!C1584,4)),VALUE(MID(Base_Bruta!C1584,6,2)),VALUE(RIGHT(Base_Bruta!C1584,2))),DATE(VALUE(RIGHT(Base_Bruta!C1584,4)),VALUE(MID(Base_Bruta!C1584,4,2)),VALUE(LEFT(Base_Bruta!C1584,2))))))</f>
        <v>45892</v>
      </c>
      <c r="D1584" s="4" t="str">
        <f aca="false">IF($A1584="","",TRIM(Base_Bruta!D1584))</f>
        <v>Festival Montanhas BH 2025</v>
      </c>
      <c r="E1584" s="4" t="str">
        <f aca="false">IF($A1584="","",_xlfn.XLOOKUP(LOWER(TRIM(Base_Bruta!E1584)),DePara_Categoria!$A$2:$A$9,DePara_Categoria!$B$2:$B$9,"REVISAR"))</f>
        <v>Festival</v>
      </c>
      <c r="F1584" s="4" t="str">
        <f aca="false">IF($A1584="","",_xlfn.XLOOKUP(LOWER(TRIM(Base_Bruta!F1584)),DePara_Cidade!$A$2:$A$29,DePara_Cidade!$B$2:$B$29,"REVISAR"))</f>
        <v>Belo Horizonte</v>
      </c>
      <c r="G1584" s="4" t="str">
        <f aca="false">IF($A1584="","",TRIM(Base_Bruta!G1584))</f>
        <v>Inteira</v>
      </c>
      <c r="H1584" s="4" t="n">
        <f aca="false">IF($A1584="","",IF(ISNUMBER(Base_Bruta!H1584),Base_Bruta!H1584,IFERROR(_xlfn.NUMBERVALUE(TRIM(SUBSTITUTE(Base_Bruta!H1584,"R$","")),",","."),0)))</f>
        <v>3</v>
      </c>
      <c r="I1584" s="6" t="n">
        <f aca="false">IF($A1584="","",IF(ISNUMBER(Base_Bruta!I1584),Base_Bruta!I1584,IFERROR(_xlfn.NUMBERVALUE(TRIM(SUBSTITUTE(Base_Bruta!I1584,"R$","")),",","."),0)))</f>
        <v>855</v>
      </c>
      <c r="J1584" s="6" t="n">
        <f aca="false">IF($A1584="","",H1584*I1584)</f>
        <v>2565</v>
      </c>
      <c r="K1584" s="4" t="str">
        <f aca="false">IF($A1584="","",TRIM(Base_Bruta!J1584))</f>
        <v>App</v>
      </c>
      <c r="L1584" s="4" t="str">
        <f aca="false">IF($A1584="","",TRIM(Base_Bruta!K1584))</f>
        <v>C00832</v>
      </c>
      <c r="M1584" s="4" t="str">
        <f aca="false">IF($A1584="","",_xlfn.XLOOKUP(LOWER(TRIM(Base_Bruta!L1584)),DePara_Cidade!$A$2:$A$29,DePara_Cidade!$B$2:$B$29,"REVISAR"))</f>
        <v>Florianópolis</v>
      </c>
      <c r="N1584" s="4" t="str">
        <f aca="false">IF($A1584="","",UPPER(TRIM(Base_Bruta!M1584)))</f>
        <v>SC</v>
      </c>
      <c r="O1584" s="4" t="str">
        <f aca="false">IF($A1584="","",_xlfn.XLOOKUP(LOWER(TRIM(Base_Bruta!N1584)),DePara_Pais!$A$2:$A$9,DePara_Pais!$B$2:$B$9,"REVISAR"))</f>
        <v>Brasil</v>
      </c>
      <c r="P1584" s="4" t="str">
        <f aca="false">IF($A1584="","",IF(O1584&lt;&gt;"Brasil","Turista Internacional",IF(M1584=F1584,"Local","Turista Nacional")))</f>
        <v>Turista Nacional</v>
      </c>
      <c r="Q1584" s="7" t="n">
        <f aca="false">IF($A1584="","",DATE(YEAR(B1584),MONTH(B1584),1))</f>
        <v>45748</v>
      </c>
      <c r="R1584" s="4" t="str">
        <f aca="false">IF($A1584="","",IF(COUNTIF($A$2:$A1584,$A1584)&gt;1,"Sim","Não"))</f>
        <v>Não</v>
      </c>
      <c r="S1584" s="4" t="str">
        <f aca="false">IF(A1584="","Descartar - Linha vazia",IF(R1584="Sim","Descartar - Duplicado",IF(OR(H1584&lt;=0,I1584&lt;=0),"Descartar - Qtd/Valor inválido","OK")))</f>
        <v>OK</v>
      </c>
      <c r="T1584" s="4" t="str">
        <f aca="false">Base_Bruta!P1584</f>
        <v>vendas_MG.csv</v>
      </c>
    </row>
    <row r="1585" customFormat="false" ht="15" hidden="false" customHeight="false" outlineLevel="0" collapsed="false">
      <c r="A1585" s="4" t="str">
        <f aca="false">IF(Base_Bruta!A1585="","",Base_Bruta!A1585)</f>
        <v>MG-000174</v>
      </c>
      <c r="B1585" s="5" t="n">
        <f aca="false">IF($A1585="","",IF(ISNUMBER(Base_Bruta!B1585),Base_Bruta!B1585,IF(MID(Base_Bruta!B1585,5,1)="-",DATE(VALUE(LEFT(Base_Bruta!B1585,4)),VALUE(MID(Base_Bruta!B1585,6,2)),VALUE(RIGHT(Base_Bruta!B1585,2))),DATE(VALUE(RIGHT(Base_Bruta!B1585,4)),VALUE(MID(Base_Bruta!B1585,4,2)),VALUE(LEFT(Base_Bruta!B1585,2))))))</f>
        <v>45775</v>
      </c>
      <c r="C1585" s="5" t="n">
        <f aca="false">IF($A1585="","",IF(ISNUMBER(Base_Bruta!C1585),Base_Bruta!C1585,IF(MID(Base_Bruta!C1585,5,1)="-",DATE(VALUE(LEFT(Base_Bruta!C1585,4)),VALUE(MID(Base_Bruta!C1585,6,2)),VALUE(RIGHT(Base_Bruta!C1585,2))),DATE(VALUE(RIGHT(Base_Bruta!C1585,4)),VALUE(MID(Base_Bruta!C1585,4,2)),VALUE(LEFT(Base_Bruta!C1585,2))))))</f>
        <v>45892</v>
      </c>
      <c r="D1585" s="4" t="str">
        <f aca="false">IF($A1585="","",TRIM(Base_Bruta!D1585))</f>
        <v>Festival Montanhas BH 2025</v>
      </c>
      <c r="E1585" s="4" t="str">
        <f aca="false">IF($A1585="","",_xlfn.XLOOKUP(LOWER(TRIM(Base_Bruta!E1585)),DePara_Categoria!$A$2:$A$9,DePara_Categoria!$B$2:$B$9,"REVISAR"))</f>
        <v>Festival</v>
      </c>
      <c r="F1585" s="4" t="str">
        <f aca="false">IF($A1585="","",_xlfn.XLOOKUP(LOWER(TRIM(Base_Bruta!F1585)),DePara_Cidade!$A$2:$A$29,DePara_Cidade!$B$2:$B$29,"REVISAR"))</f>
        <v>Belo Horizonte</v>
      </c>
      <c r="G1585" s="4" t="str">
        <f aca="false">IF($A1585="","",TRIM(Base_Bruta!G1585))</f>
        <v>Meia</v>
      </c>
      <c r="H1585" s="4" t="n">
        <f aca="false">IF($A1585="","",IF(ISNUMBER(Base_Bruta!H1585),Base_Bruta!H1585,IFERROR(_xlfn.NUMBERVALUE(TRIM(SUBSTITUTE(Base_Bruta!H1585,"R$","")),",","."),0)))</f>
        <v>2</v>
      </c>
      <c r="I1585" s="6" t="n">
        <f aca="false">IF($A1585="","",IF(ISNUMBER(Base_Bruta!I1585),Base_Bruta!I1585,IFERROR(_xlfn.NUMBERVALUE(TRIM(SUBSTITUTE(Base_Bruta!I1585,"R$","")),",","."),0)))</f>
        <v>335</v>
      </c>
      <c r="J1585" s="6" t="n">
        <f aca="false">IF($A1585="","",H1585*I1585)</f>
        <v>670</v>
      </c>
      <c r="K1585" s="4" t="str">
        <f aca="false">IF($A1585="","",TRIM(Base_Bruta!J1585))</f>
        <v>App</v>
      </c>
      <c r="L1585" s="4" t="str">
        <f aca="false">IF($A1585="","",TRIM(Base_Bruta!K1585))</f>
        <v>C00637</v>
      </c>
      <c r="M1585" s="4" t="str">
        <f aca="false">IF($A1585="","",_xlfn.XLOOKUP(LOWER(TRIM(Base_Bruta!L1585)),DePara_Cidade!$A$2:$A$29,DePara_Cidade!$B$2:$B$29,"REVISAR"))</f>
        <v>Belo Horizonte</v>
      </c>
      <c r="N1585" s="4" t="str">
        <f aca="false">IF($A1585="","",UPPER(TRIM(Base_Bruta!M1585)))</f>
        <v>MG</v>
      </c>
      <c r="O1585" s="4" t="str">
        <f aca="false">IF($A1585="","",_xlfn.XLOOKUP(LOWER(TRIM(Base_Bruta!N1585)),DePara_Pais!$A$2:$A$9,DePara_Pais!$B$2:$B$9,"REVISAR"))</f>
        <v>Brasil</v>
      </c>
      <c r="P1585" s="4" t="str">
        <f aca="false">IF($A1585="","",IF(O1585&lt;&gt;"Brasil","Turista Internacional",IF(M1585=F1585,"Local","Turista Nacional")))</f>
        <v>Local</v>
      </c>
      <c r="Q1585" s="7" t="n">
        <f aca="false">IF($A1585="","",DATE(YEAR(B1585),MONTH(B1585),1))</f>
        <v>45748</v>
      </c>
      <c r="R1585" s="4" t="str">
        <f aca="false">IF($A1585="","",IF(COUNTIF($A$2:$A1585,$A1585)&gt;1,"Sim","Não"))</f>
        <v>Não</v>
      </c>
      <c r="S1585" s="4" t="str">
        <f aca="false">IF(A1585="","Descartar - Linha vazia",IF(R1585="Sim","Descartar - Duplicado",IF(OR(H1585&lt;=0,I1585&lt;=0),"Descartar - Qtd/Valor inválido","OK")))</f>
        <v>OK</v>
      </c>
      <c r="T1585" s="4" t="str">
        <f aca="false">Base_Bruta!P1585</f>
        <v>vendas_MG.csv</v>
      </c>
    </row>
    <row r="1586" customFormat="false" ht="15" hidden="false" customHeight="false" outlineLevel="0" collapsed="false">
      <c r="A1586" s="4" t="str">
        <f aca="false">IF(Base_Bruta!A1586="","",Base_Bruta!A1586)</f>
        <v>MG-000070</v>
      </c>
      <c r="B1586" s="5" t="n">
        <f aca="false">IF($A1586="","",IF(ISNUMBER(Base_Bruta!B1586),Base_Bruta!B1586,IF(MID(Base_Bruta!B1586,5,1)="-",DATE(VALUE(LEFT(Base_Bruta!B1586,4)),VALUE(MID(Base_Bruta!B1586,6,2)),VALUE(RIGHT(Base_Bruta!B1586,2))),DATE(VALUE(RIGHT(Base_Bruta!B1586,4)),VALUE(MID(Base_Bruta!B1586,4,2)),VALUE(LEFT(Base_Bruta!B1586,2))))))</f>
        <v>45777</v>
      </c>
      <c r="C1586" s="5" t="n">
        <f aca="false">IF($A1586="","",IF(ISNUMBER(Base_Bruta!C1586),Base_Bruta!C1586,IF(MID(Base_Bruta!C1586,5,1)="-",DATE(VALUE(LEFT(Base_Bruta!C1586,4)),VALUE(MID(Base_Bruta!C1586,6,2)),VALUE(RIGHT(Base_Bruta!C1586,2))),DATE(VALUE(RIGHT(Base_Bruta!C1586,4)),VALUE(MID(Base_Bruta!C1586,4,2)),VALUE(LEFT(Base_Bruta!C1586,2))))))</f>
        <v>45892</v>
      </c>
      <c r="D1586" s="4" t="str">
        <f aca="false">IF($A1586="","",TRIM(Base_Bruta!D1586))</f>
        <v>Festival Montanhas BH 2025</v>
      </c>
      <c r="E1586" s="4" t="str">
        <f aca="false">IF($A1586="","",_xlfn.XLOOKUP(LOWER(TRIM(Base_Bruta!E1586)),DePara_Categoria!$A$2:$A$9,DePara_Categoria!$B$2:$B$9,"REVISAR"))</f>
        <v>Festival</v>
      </c>
      <c r="F1586" s="4" t="str">
        <f aca="false">IF($A1586="","",_xlfn.XLOOKUP(LOWER(TRIM(Base_Bruta!F1586)),DePara_Cidade!$A$2:$A$29,DePara_Cidade!$B$2:$B$29,"REVISAR"))</f>
        <v>Belo Horizonte</v>
      </c>
      <c r="G1586" s="4" t="str">
        <f aca="false">IF($A1586="","",TRIM(Base_Bruta!G1586))</f>
        <v>Inteira</v>
      </c>
      <c r="H1586" s="4" t="n">
        <f aca="false">IF($A1586="","",IF(ISNUMBER(Base_Bruta!H1586),Base_Bruta!H1586,IFERROR(_xlfn.NUMBERVALUE(TRIM(SUBSTITUTE(Base_Bruta!H1586,"R$","")),",","."),0)))</f>
        <v>3</v>
      </c>
      <c r="I1586" s="6" t="n">
        <f aca="false">IF($A1586="","",IF(ISNUMBER(Base_Bruta!I1586),Base_Bruta!I1586,IFERROR(_xlfn.NUMBERVALUE(TRIM(SUBSTITUTE(Base_Bruta!I1586,"R$","")),",","."),0)))</f>
        <v>1120</v>
      </c>
      <c r="J1586" s="6" t="n">
        <f aca="false">IF($A1586="","",H1586*I1586)</f>
        <v>3360</v>
      </c>
      <c r="K1586" s="4" t="str">
        <f aca="false">IF($A1586="","",TRIM(Base_Bruta!J1586))</f>
        <v>Site</v>
      </c>
      <c r="L1586" s="4" t="str">
        <f aca="false">IF($A1586="","",TRIM(Base_Bruta!K1586))</f>
        <v>C01476</v>
      </c>
      <c r="M1586" s="4" t="str">
        <f aca="false">IF($A1586="","",_xlfn.XLOOKUP(LOWER(TRIM(Base_Bruta!L1586)),DePara_Cidade!$A$2:$A$29,DePara_Cidade!$B$2:$B$29,"REVISAR"))</f>
        <v>Belo Horizonte</v>
      </c>
      <c r="N1586" s="4" t="str">
        <f aca="false">IF($A1586="","",UPPER(TRIM(Base_Bruta!M1586)))</f>
        <v>MG</v>
      </c>
      <c r="O1586" s="4" t="str">
        <f aca="false">IF($A1586="","",_xlfn.XLOOKUP(LOWER(TRIM(Base_Bruta!N1586)),DePara_Pais!$A$2:$A$9,DePara_Pais!$B$2:$B$9,"REVISAR"))</f>
        <v>Brasil</v>
      </c>
      <c r="P1586" s="4" t="str">
        <f aca="false">IF($A1586="","",IF(O1586&lt;&gt;"Brasil","Turista Internacional",IF(M1586=F1586,"Local","Turista Nacional")))</f>
        <v>Local</v>
      </c>
      <c r="Q1586" s="7" t="n">
        <f aca="false">IF($A1586="","",DATE(YEAR(B1586),MONTH(B1586),1))</f>
        <v>45748</v>
      </c>
      <c r="R1586" s="4" t="str">
        <f aca="false">IF($A1586="","",IF(COUNTIF($A$2:$A1586,$A1586)&gt;1,"Sim","Não"))</f>
        <v>Não</v>
      </c>
      <c r="S1586" s="4" t="str">
        <f aca="false">IF(A1586="","Descartar - Linha vazia",IF(R1586="Sim","Descartar - Duplicado",IF(OR(H1586&lt;=0,I1586&lt;=0),"Descartar - Qtd/Valor inválido","OK")))</f>
        <v>OK</v>
      </c>
      <c r="T1586" s="4" t="str">
        <f aca="false">Base_Bruta!P1586</f>
        <v>vendas_MG.csv</v>
      </c>
    </row>
    <row r="1587" customFormat="false" ht="15" hidden="false" customHeight="false" outlineLevel="0" collapsed="false">
      <c r="A1587" s="4" t="str">
        <f aca="false">IF(Base_Bruta!A1587="","",Base_Bruta!A1587)</f>
        <v>MG-000205</v>
      </c>
      <c r="B1587" s="5" t="n">
        <f aca="false">IF($A1587="","",IF(ISNUMBER(Base_Bruta!B1587),Base_Bruta!B1587,IF(MID(Base_Bruta!B1587,5,1)="-",DATE(VALUE(LEFT(Base_Bruta!B1587,4)),VALUE(MID(Base_Bruta!B1587,6,2)),VALUE(RIGHT(Base_Bruta!B1587,2))),DATE(VALUE(RIGHT(Base_Bruta!B1587,4)),VALUE(MID(Base_Bruta!B1587,4,2)),VALUE(LEFT(Base_Bruta!B1587,2))))))</f>
        <v>45777</v>
      </c>
      <c r="C1587" s="5" t="n">
        <f aca="false">IF($A1587="","",IF(ISNUMBER(Base_Bruta!C1587),Base_Bruta!C1587,IF(MID(Base_Bruta!C1587,5,1)="-",DATE(VALUE(LEFT(Base_Bruta!C1587,4)),VALUE(MID(Base_Bruta!C1587,6,2)),VALUE(RIGHT(Base_Bruta!C1587,2))),DATE(VALUE(RIGHT(Base_Bruta!C1587,4)),VALUE(MID(Base_Bruta!C1587,4,2)),VALUE(LEFT(Base_Bruta!C1587,2))))))</f>
        <v>45892</v>
      </c>
      <c r="D1587" s="4" t="str">
        <f aca="false">IF($A1587="","",TRIM(Base_Bruta!D1587))</f>
        <v>Festival Montanhas BH 2025</v>
      </c>
      <c r="E1587" s="4" t="str">
        <f aca="false">IF($A1587="","",_xlfn.XLOOKUP(LOWER(TRIM(Base_Bruta!E1587)),DePara_Categoria!$A$2:$A$9,DePara_Categoria!$B$2:$B$9,"REVISAR"))</f>
        <v>Festival</v>
      </c>
      <c r="F1587" s="4" t="str">
        <f aca="false">IF($A1587="","",_xlfn.XLOOKUP(LOWER(TRIM(Base_Bruta!F1587)),DePara_Cidade!$A$2:$A$29,DePara_Cidade!$B$2:$B$29,"REVISAR"))</f>
        <v>Belo Horizonte</v>
      </c>
      <c r="G1587" s="4" t="str">
        <f aca="false">IF($A1587="","",TRIM(Base_Bruta!G1587))</f>
        <v>Meia</v>
      </c>
      <c r="H1587" s="4" t="n">
        <f aca="false">IF($A1587="","",IF(ISNUMBER(Base_Bruta!H1587),Base_Bruta!H1587,IFERROR(_xlfn.NUMBERVALUE(TRIM(SUBSTITUTE(Base_Bruta!H1587,"R$","")),",","."),0)))</f>
        <v>4</v>
      </c>
      <c r="I1587" s="6" t="n">
        <f aca="false">IF($A1587="","",IF(ISNUMBER(Base_Bruta!I1587),Base_Bruta!I1587,IFERROR(_xlfn.NUMBERVALUE(TRIM(SUBSTITUTE(Base_Bruta!I1587,"R$","")),",","."),0)))</f>
        <v>460</v>
      </c>
      <c r="J1587" s="6" t="n">
        <f aca="false">IF($A1587="","",H1587*I1587)</f>
        <v>1840</v>
      </c>
      <c r="K1587" s="4" t="str">
        <f aca="false">IF($A1587="","",TRIM(Base_Bruta!J1587))</f>
        <v>Site</v>
      </c>
      <c r="L1587" s="4" t="str">
        <f aca="false">IF($A1587="","",TRIM(Base_Bruta!K1587))</f>
        <v>C00876</v>
      </c>
      <c r="M1587" s="4" t="str">
        <f aca="false">IF($A1587="","",_xlfn.XLOOKUP(LOWER(TRIM(Base_Bruta!L1587)),DePara_Cidade!$A$2:$A$29,DePara_Cidade!$B$2:$B$29,"REVISAR"))</f>
        <v>Campinas</v>
      </c>
      <c r="N1587" s="4" t="str">
        <f aca="false">IF($A1587="","",UPPER(TRIM(Base_Bruta!M1587)))</f>
        <v>SP</v>
      </c>
      <c r="O1587" s="4" t="str">
        <f aca="false">IF($A1587="","",_xlfn.XLOOKUP(LOWER(TRIM(Base_Bruta!N1587)),DePara_Pais!$A$2:$A$9,DePara_Pais!$B$2:$B$9,"REVISAR"))</f>
        <v>Brasil</v>
      </c>
      <c r="P1587" s="4" t="str">
        <f aca="false">IF($A1587="","",IF(O1587&lt;&gt;"Brasil","Turista Internacional",IF(M1587=F1587,"Local","Turista Nacional")))</f>
        <v>Turista Nacional</v>
      </c>
      <c r="Q1587" s="7" t="n">
        <f aca="false">IF($A1587="","",DATE(YEAR(B1587),MONTH(B1587),1))</f>
        <v>45748</v>
      </c>
      <c r="R1587" s="4" t="str">
        <f aca="false">IF($A1587="","",IF(COUNTIF($A$2:$A1587,$A1587)&gt;1,"Sim","Não"))</f>
        <v>Não</v>
      </c>
      <c r="S1587" s="4" t="str">
        <f aca="false">IF(A1587="","Descartar - Linha vazia",IF(R1587="Sim","Descartar - Duplicado",IF(OR(H1587&lt;=0,I1587&lt;=0),"Descartar - Qtd/Valor inválido","OK")))</f>
        <v>OK</v>
      </c>
      <c r="T1587" s="4" t="str">
        <f aca="false">Base_Bruta!P1587</f>
        <v>vendas_MG.csv</v>
      </c>
    </row>
    <row r="1588" customFormat="false" ht="15" hidden="false" customHeight="false" outlineLevel="0" collapsed="false">
      <c r="A1588" s="4" t="str">
        <f aca="false">IF(Base_Bruta!A1588="","",Base_Bruta!A1588)</f>
        <v>MG-000384</v>
      </c>
      <c r="B1588" s="5" t="n">
        <f aca="false">IF($A1588="","",IF(ISNUMBER(Base_Bruta!B1588),Base_Bruta!B1588,IF(MID(Base_Bruta!B1588,5,1)="-",DATE(VALUE(LEFT(Base_Bruta!B1588,4)),VALUE(MID(Base_Bruta!B1588,6,2)),VALUE(RIGHT(Base_Bruta!B1588,2))),DATE(VALUE(RIGHT(Base_Bruta!B1588,4)),VALUE(MID(Base_Bruta!B1588,4,2)),VALUE(LEFT(Base_Bruta!B1588,2))))))</f>
        <v>45777</v>
      </c>
      <c r="C1588" s="5" t="n">
        <f aca="false">IF($A1588="","",IF(ISNUMBER(Base_Bruta!C1588),Base_Bruta!C1588,IF(MID(Base_Bruta!C1588,5,1)="-",DATE(VALUE(LEFT(Base_Bruta!C1588,4)),VALUE(MID(Base_Bruta!C1588,6,2)),VALUE(RIGHT(Base_Bruta!C1588,2))),DATE(VALUE(RIGHT(Base_Bruta!C1588,4)),VALUE(MID(Base_Bruta!C1588,4,2)),VALUE(LEFT(Base_Bruta!C1588,2))))))</f>
        <v>45778</v>
      </c>
      <c r="D1588" s="4" t="str">
        <f aca="false">IF($A1588="","",TRIM(Base_Bruta!D1588))</f>
        <v>Cinema Savassi - Sessões</v>
      </c>
      <c r="E1588" s="4" t="str">
        <f aca="false">IF($A1588="","",_xlfn.XLOOKUP(LOWER(TRIM(Base_Bruta!E1588)),DePara_Categoria!$A$2:$A$9,DePara_Categoria!$B$2:$B$9,"REVISAR"))</f>
        <v>Cinema</v>
      </c>
      <c r="F1588" s="4" t="str">
        <f aca="false">IF($A1588="","",_xlfn.XLOOKUP(LOWER(TRIM(Base_Bruta!F1588)),DePara_Cidade!$A$2:$A$29,DePara_Cidade!$B$2:$B$29,"REVISAR"))</f>
        <v>Belo Horizonte</v>
      </c>
      <c r="G1588" s="4" t="str">
        <f aca="false">IF($A1588="","",TRIM(Base_Bruta!G1588))</f>
        <v>Meia</v>
      </c>
      <c r="H1588" s="4" t="n">
        <f aca="false">IF($A1588="","",IF(ISNUMBER(Base_Bruta!H1588),Base_Bruta!H1588,IFERROR(_xlfn.NUMBERVALUE(TRIM(SUBSTITUTE(Base_Bruta!H1588,"R$","")),",","."),0)))</f>
        <v>4</v>
      </c>
      <c r="I1588" s="6" t="n">
        <f aca="false">IF($A1588="","",IF(ISNUMBER(Base_Bruta!I1588),Base_Bruta!I1588,IFERROR(_xlfn.NUMBERVALUE(TRIM(SUBSTITUTE(Base_Bruta!I1588,"R$","")),",","."),0)))</f>
        <v>20</v>
      </c>
      <c r="J1588" s="6" t="n">
        <f aca="false">IF($A1588="","",H1588*I1588)</f>
        <v>80</v>
      </c>
      <c r="K1588" s="4" t="str">
        <f aca="false">IF($A1588="","",TRIM(Base_Bruta!J1588))</f>
        <v>Site</v>
      </c>
      <c r="L1588" s="4" t="str">
        <f aca="false">IF($A1588="","",TRIM(Base_Bruta!K1588))</f>
        <v>C02048</v>
      </c>
      <c r="M1588" s="4" t="str">
        <f aca="false">IF($A1588="","",_xlfn.XLOOKUP(LOWER(TRIM(Base_Bruta!L1588)),DePara_Cidade!$A$2:$A$29,DePara_Cidade!$B$2:$B$29,"REVISAR"))</f>
        <v>Belo Horizonte</v>
      </c>
      <c r="N1588" s="4" t="str">
        <f aca="false">IF($A1588="","",UPPER(TRIM(Base_Bruta!M1588)))</f>
        <v>MG</v>
      </c>
      <c r="O1588" s="4" t="str">
        <f aca="false">IF($A1588="","",_xlfn.XLOOKUP(LOWER(TRIM(Base_Bruta!N1588)),DePara_Pais!$A$2:$A$9,DePara_Pais!$B$2:$B$9,"REVISAR"))</f>
        <v>Brasil</v>
      </c>
      <c r="P1588" s="4" t="str">
        <f aca="false">IF($A1588="","",IF(O1588&lt;&gt;"Brasil","Turista Internacional",IF(M1588=F1588,"Local","Turista Nacional")))</f>
        <v>Local</v>
      </c>
      <c r="Q1588" s="7" t="n">
        <f aca="false">IF($A1588="","",DATE(YEAR(B1588),MONTH(B1588),1))</f>
        <v>45748</v>
      </c>
      <c r="R1588" s="4" t="str">
        <f aca="false">IF($A1588="","",IF(COUNTIF($A$2:$A1588,$A1588)&gt;1,"Sim","Não"))</f>
        <v>Não</v>
      </c>
      <c r="S1588" s="4" t="str">
        <f aca="false">IF(A1588="","Descartar - Linha vazia",IF(R1588="Sim","Descartar - Duplicado",IF(OR(H1588&lt;=0,I1588&lt;=0),"Descartar - Qtd/Valor inválido","OK")))</f>
        <v>OK</v>
      </c>
      <c r="T1588" s="4" t="str">
        <f aca="false">Base_Bruta!P1588</f>
        <v>vendas_MG.csv</v>
      </c>
    </row>
    <row r="1589" customFormat="false" ht="15" hidden="false" customHeight="false" outlineLevel="0" collapsed="false">
      <c r="A1589" s="4" t="str">
        <f aca="false">IF(Base_Bruta!A1589="","",Base_Bruta!A1589)</f>
        <v>MG-000217</v>
      </c>
      <c r="B1589" s="5" t="n">
        <f aca="false">IF($A1589="","",IF(ISNUMBER(Base_Bruta!B1589),Base_Bruta!B1589,IF(MID(Base_Bruta!B1589,5,1)="-",DATE(VALUE(LEFT(Base_Bruta!B1589,4)),VALUE(MID(Base_Bruta!B1589,6,2)),VALUE(RIGHT(Base_Bruta!B1589,2))),DATE(VALUE(RIGHT(Base_Bruta!B1589,4)),VALUE(MID(Base_Bruta!B1589,4,2)),VALUE(LEFT(Base_Bruta!B1589,2))))))</f>
        <v>45778</v>
      </c>
      <c r="C1589" s="5" t="n">
        <f aca="false">IF($A1589="","",IF(ISNUMBER(Base_Bruta!C1589),Base_Bruta!C1589,IF(MID(Base_Bruta!C1589,5,1)="-",DATE(VALUE(LEFT(Base_Bruta!C1589,4)),VALUE(MID(Base_Bruta!C1589,6,2)),VALUE(RIGHT(Base_Bruta!C1589,2))),DATE(VALUE(RIGHT(Base_Bruta!C1589,4)),VALUE(MID(Base_Bruta!C1589,4,2)),VALUE(LEFT(Base_Bruta!C1589,2))))))</f>
        <v>45892</v>
      </c>
      <c r="D1589" s="4" t="str">
        <f aca="false">IF($A1589="","",TRIM(Base_Bruta!D1589))</f>
        <v>Festival Montanhas BH 2025</v>
      </c>
      <c r="E1589" s="4" t="str">
        <f aca="false">IF($A1589="","",_xlfn.XLOOKUP(LOWER(TRIM(Base_Bruta!E1589)),DePara_Categoria!$A$2:$A$9,DePara_Categoria!$B$2:$B$9,"REVISAR"))</f>
        <v>Festival</v>
      </c>
      <c r="F1589" s="4" t="str">
        <f aca="false">IF($A1589="","",_xlfn.XLOOKUP(LOWER(TRIM(Base_Bruta!F1589)),DePara_Cidade!$A$2:$A$29,DePara_Cidade!$B$2:$B$29,"REVISAR"))</f>
        <v>Belo Horizonte</v>
      </c>
      <c r="G1589" s="4" t="str">
        <f aca="false">IF($A1589="","",TRIM(Base_Bruta!G1589))</f>
        <v>Inteira</v>
      </c>
      <c r="H1589" s="4" t="n">
        <f aca="false">IF($A1589="","",IF(ISNUMBER(Base_Bruta!H1589),Base_Bruta!H1589,IFERROR(_xlfn.NUMBERVALUE(TRIM(SUBSTITUTE(Base_Bruta!H1589,"R$","")),",","."),0)))</f>
        <v>1</v>
      </c>
      <c r="I1589" s="6" t="n">
        <f aca="false">IF($A1589="","",IF(ISNUMBER(Base_Bruta!I1589),Base_Bruta!I1589,IFERROR(_xlfn.NUMBERVALUE(TRIM(SUBSTITUTE(Base_Bruta!I1589,"R$","")),",","."),0)))</f>
        <v>1145</v>
      </c>
      <c r="J1589" s="6" t="n">
        <f aca="false">IF($A1589="","",H1589*I1589)</f>
        <v>1145</v>
      </c>
      <c r="K1589" s="4" t="str">
        <f aca="false">IF($A1589="","",TRIM(Base_Bruta!J1589))</f>
        <v>App</v>
      </c>
      <c r="L1589" s="4" t="str">
        <f aca="false">IF($A1589="","",TRIM(Base_Bruta!K1589))</f>
        <v>C01552</v>
      </c>
      <c r="M1589" s="4" t="str">
        <f aca="false">IF($A1589="","",_xlfn.XLOOKUP(LOWER(TRIM(Base_Bruta!L1589)),DePara_Cidade!$A$2:$A$29,DePara_Cidade!$B$2:$B$29,"REVISAR"))</f>
        <v>Belo Horizonte</v>
      </c>
      <c r="N1589" s="4" t="str">
        <f aca="false">IF($A1589="","",UPPER(TRIM(Base_Bruta!M1589)))</f>
        <v>MG</v>
      </c>
      <c r="O1589" s="4" t="str">
        <f aca="false">IF($A1589="","",_xlfn.XLOOKUP(LOWER(TRIM(Base_Bruta!N1589)),DePara_Pais!$A$2:$A$9,DePara_Pais!$B$2:$B$9,"REVISAR"))</f>
        <v>Brasil</v>
      </c>
      <c r="P1589" s="4" t="str">
        <f aca="false">IF($A1589="","",IF(O1589&lt;&gt;"Brasil","Turista Internacional",IF(M1589=F1589,"Local","Turista Nacional")))</f>
        <v>Local</v>
      </c>
      <c r="Q1589" s="7" t="n">
        <f aca="false">IF($A1589="","",DATE(YEAR(B1589),MONTH(B1589),1))</f>
        <v>45778</v>
      </c>
      <c r="R1589" s="4" t="str">
        <f aca="false">IF($A1589="","",IF(COUNTIF($A$2:$A1589,$A1589)&gt;1,"Sim","Não"))</f>
        <v>Não</v>
      </c>
      <c r="S1589" s="4" t="str">
        <f aca="false">IF(A1589="","Descartar - Linha vazia",IF(R1589="Sim","Descartar - Duplicado",IF(OR(H1589&lt;=0,I1589&lt;=0),"Descartar - Qtd/Valor inválido","OK")))</f>
        <v>OK</v>
      </c>
      <c r="T1589" s="4" t="str">
        <f aca="false">Base_Bruta!P1589</f>
        <v>vendas_MG.csv</v>
      </c>
    </row>
    <row r="1590" customFormat="false" ht="15" hidden="false" customHeight="false" outlineLevel="0" collapsed="false">
      <c r="A1590" s="4" t="str">
        <f aca="false">IF(Base_Bruta!A1590="","",Base_Bruta!A1590)</f>
        <v>MG-000142</v>
      </c>
      <c r="B1590" s="5" t="n">
        <f aca="false">IF($A1590="","",IF(ISNUMBER(Base_Bruta!B1590),Base_Bruta!B1590,IF(MID(Base_Bruta!B1590,5,1)="-",DATE(VALUE(LEFT(Base_Bruta!B1590,4)),VALUE(MID(Base_Bruta!B1590,6,2)),VALUE(RIGHT(Base_Bruta!B1590,2))),DATE(VALUE(RIGHT(Base_Bruta!B1590,4)),VALUE(MID(Base_Bruta!B1590,4,2)),VALUE(LEFT(Base_Bruta!B1590,2))))))</f>
        <v>45779</v>
      </c>
      <c r="C1590" s="5" t="n">
        <f aca="false">IF($A1590="","",IF(ISNUMBER(Base_Bruta!C1590),Base_Bruta!C1590,IF(MID(Base_Bruta!C1590,5,1)="-",DATE(VALUE(LEFT(Base_Bruta!C1590,4)),VALUE(MID(Base_Bruta!C1590,6,2)),VALUE(RIGHT(Base_Bruta!C1590,2))),DATE(VALUE(RIGHT(Base_Bruta!C1590,4)),VALUE(MID(Base_Bruta!C1590,4,2)),VALUE(LEFT(Base_Bruta!C1590,2))))))</f>
        <v>45892</v>
      </c>
      <c r="D1590" s="4" t="str">
        <f aca="false">IF($A1590="","",TRIM(Base_Bruta!D1590))</f>
        <v>Festival Montanhas BH 2025</v>
      </c>
      <c r="E1590" s="4" t="str">
        <f aca="false">IF($A1590="","",_xlfn.XLOOKUP(LOWER(TRIM(Base_Bruta!E1590)),DePara_Categoria!$A$2:$A$9,DePara_Categoria!$B$2:$B$9,"REVISAR"))</f>
        <v>Festival</v>
      </c>
      <c r="F1590" s="4" t="str">
        <f aca="false">IF($A1590="","",_xlfn.XLOOKUP(LOWER(TRIM(Base_Bruta!F1590)),DePara_Cidade!$A$2:$A$29,DePara_Cidade!$B$2:$B$29,"REVISAR"))</f>
        <v>Belo Horizonte</v>
      </c>
      <c r="G1590" s="4" t="str">
        <f aca="false">IF($A1590="","",TRIM(Base_Bruta!G1590))</f>
        <v>Meia</v>
      </c>
      <c r="H1590" s="4" t="n">
        <f aca="false">IF($A1590="","",IF(ISNUMBER(Base_Bruta!H1590),Base_Bruta!H1590,IFERROR(_xlfn.NUMBERVALUE(TRIM(SUBSTITUTE(Base_Bruta!H1590,"R$","")),",","."),0)))</f>
        <v>2</v>
      </c>
      <c r="I1590" s="6" t="n">
        <f aca="false">IF($A1590="","",IF(ISNUMBER(Base_Bruta!I1590),Base_Bruta!I1590,IFERROR(_xlfn.NUMBERVALUE(TRIM(SUBSTITUTE(Base_Bruta!I1590,"R$","")),",","."),0)))</f>
        <v>382.5</v>
      </c>
      <c r="J1590" s="6" t="n">
        <f aca="false">IF($A1590="","",H1590*I1590)</f>
        <v>765</v>
      </c>
      <c r="K1590" s="4" t="str">
        <f aca="false">IF($A1590="","",TRIM(Base_Bruta!J1590))</f>
        <v>App</v>
      </c>
      <c r="L1590" s="4" t="str">
        <f aca="false">IF($A1590="","",TRIM(Base_Bruta!K1590))</f>
        <v>C00479</v>
      </c>
      <c r="M1590" s="4" t="str">
        <f aca="false">IF($A1590="","",_xlfn.XLOOKUP(LOWER(TRIM(Base_Bruta!L1590)),DePara_Cidade!$A$2:$A$29,DePara_Cidade!$B$2:$B$29,"REVISAR"))</f>
        <v>Belo Horizonte</v>
      </c>
      <c r="N1590" s="4" t="str">
        <f aca="false">IF($A1590="","",UPPER(TRIM(Base_Bruta!M1590)))</f>
        <v>MG</v>
      </c>
      <c r="O1590" s="4" t="str">
        <f aca="false">IF($A1590="","",_xlfn.XLOOKUP(LOWER(TRIM(Base_Bruta!N1590)),DePara_Pais!$A$2:$A$9,DePara_Pais!$B$2:$B$9,"REVISAR"))</f>
        <v>Brasil</v>
      </c>
      <c r="P1590" s="4" t="str">
        <f aca="false">IF($A1590="","",IF(O1590&lt;&gt;"Brasil","Turista Internacional",IF(M1590=F1590,"Local","Turista Nacional")))</f>
        <v>Local</v>
      </c>
      <c r="Q1590" s="7" t="n">
        <f aca="false">IF($A1590="","",DATE(YEAR(B1590),MONTH(B1590),1))</f>
        <v>45778</v>
      </c>
      <c r="R1590" s="4" t="str">
        <f aca="false">IF($A1590="","",IF(COUNTIF($A$2:$A1590,$A1590)&gt;1,"Sim","Não"))</f>
        <v>Não</v>
      </c>
      <c r="S1590" s="4" t="str">
        <f aca="false">IF(A1590="","Descartar - Linha vazia",IF(R1590="Sim","Descartar - Duplicado",IF(OR(H1590&lt;=0,I1590&lt;=0),"Descartar - Qtd/Valor inválido","OK")))</f>
        <v>OK</v>
      </c>
      <c r="T1590" s="4" t="str">
        <f aca="false">Base_Bruta!P1590</f>
        <v>vendas_MG.csv</v>
      </c>
    </row>
    <row r="1591" customFormat="false" ht="15" hidden="false" customHeight="false" outlineLevel="0" collapsed="false">
      <c r="A1591" s="4" t="str">
        <f aca="false">IF(Base_Bruta!A1591="","",Base_Bruta!A1591)</f>
        <v>MG-000148</v>
      </c>
      <c r="B1591" s="5" t="n">
        <f aca="false">IF($A1591="","",IF(ISNUMBER(Base_Bruta!B1591),Base_Bruta!B1591,IF(MID(Base_Bruta!B1591,5,1)="-",DATE(VALUE(LEFT(Base_Bruta!B1591,4)),VALUE(MID(Base_Bruta!B1591,6,2)),VALUE(RIGHT(Base_Bruta!B1591,2))),DATE(VALUE(RIGHT(Base_Bruta!B1591,4)),VALUE(MID(Base_Bruta!B1591,4,2)),VALUE(LEFT(Base_Bruta!B1591,2))))))</f>
        <v>45779</v>
      </c>
      <c r="C1591" s="5" t="n">
        <f aca="false">IF($A1591="","",IF(ISNUMBER(Base_Bruta!C1591),Base_Bruta!C1591,IF(MID(Base_Bruta!C1591,5,1)="-",DATE(VALUE(LEFT(Base_Bruta!C1591,4)),VALUE(MID(Base_Bruta!C1591,6,2)),VALUE(RIGHT(Base_Bruta!C1591,2))),DATE(VALUE(RIGHT(Base_Bruta!C1591,4)),VALUE(MID(Base_Bruta!C1591,4,2)),VALUE(LEFT(Base_Bruta!C1591,2))))))</f>
        <v>45892</v>
      </c>
      <c r="D1591" s="4" t="str">
        <f aca="false">IF($A1591="","",TRIM(Base_Bruta!D1591))</f>
        <v>Festival Montanhas BH 2025</v>
      </c>
      <c r="E1591" s="4" t="str">
        <f aca="false">IF($A1591="","",_xlfn.XLOOKUP(LOWER(TRIM(Base_Bruta!E1591)),DePara_Categoria!$A$2:$A$9,DePara_Categoria!$B$2:$B$9,"REVISAR"))</f>
        <v>Festival</v>
      </c>
      <c r="F1591" s="4" t="str">
        <f aca="false">IF($A1591="","",_xlfn.XLOOKUP(LOWER(TRIM(Base_Bruta!F1591)),DePara_Cidade!$A$2:$A$29,DePara_Cidade!$B$2:$B$29,"REVISAR"))</f>
        <v>Belo Horizonte</v>
      </c>
      <c r="G1591" s="4" t="str">
        <f aca="false">IF($A1591="","",TRIM(Base_Bruta!G1591))</f>
        <v>Meia</v>
      </c>
      <c r="H1591" s="4" t="n">
        <f aca="false">IF($A1591="","",IF(ISNUMBER(Base_Bruta!H1591),Base_Bruta!H1591,IFERROR(_xlfn.NUMBERVALUE(TRIM(SUBSTITUTE(Base_Bruta!H1591,"R$","")),",","."),0)))</f>
        <v>2</v>
      </c>
      <c r="I1591" s="6" t="n">
        <f aca="false">IF($A1591="","",IF(ISNUMBER(Base_Bruta!I1591),Base_Bruta!I1591,IFERROR(_xlfn.NUMBERVALUE(TRIM(SUBSTITUTE(Base_Bruta!I1591,"R$","")),",","."),0)))</f>
        <v>537.5</v>
      </c>
      <c r="J1591" s="6" t="n">
        <f aca="false">IF($A1591="","",H1591*I1591)</f>
        <v>1075</v>
      </c>
      <c r="K1591" s="4" t="str">
        <f aca="false">IF($A1591="","",TRIM(Base_Bruta!J1591))</f>
        <v>Site</v>
      </c>
      <c r="L1591" s="4" t="str">
        <f aca="false">IF($A1591="","",TRIM(Base_Bruta!K1591))</f>
        <v>C01631</v>
      </c>
      <c r="M1591" s="4" t="str">
        <f aca="false">IF($A1591="","",_xlfn.XLOOKUP(LOWER(TRIM(Base_Bruta!L1591)),DePara_Cidade!$A$2:$A$29,DePara_Cidade!$B$2:$B$29,"REVISAR"))</f>
        <v>Belo Horizonte</v>
      </c>
      <c r="N1591" s="4" t="str">
        <f aca="false">IF($A1591="","",UPPER(TRIM(Base_Bruta!M1591)))</f>
        <v>MG</v>
      </c>
      <c r="O1591" s="4" t="str">
        <f aca="false">IF($A1591="","",_xlfn.XLOOKUP(LOWER(TRIM(Base_Bruta!N1591)),DePara_Pais!$A$2:$A$9,DePara_Pais!$B$2:$B$9,"REVISAR"))</f>
        <v>Brasil</v>
      </c>
      <c r="P1591" s="4" t="str">
        <f aca="false">IF($A1591="","",IF(O1591&lt;&gt;"Brasil","Turista Internacional",IF(M1591=F1591,"Local","Turista Nacional")))</f>
        <v>Local</v>
      </c>
      <c r="Q1591" s="7" t="n">
        <f aca="false">IF($A1591="","",DATE(YEAR(B1591),MONTH(B1591),1))</f>
        <v>45778</v>
      </c>
      <c r="R1591" s="4" t="str">
        <f aca="false">IF($A1591="","",IF(COUNTIF($A$2:$A1591,$A1591)&gt;1,"Sim","Não"))</f>
        <v>Não</v>
      </c>
      <c r="S1591" s="4" t="str">
        <f aca="false">IF(A1591="","Descartar - Linha vazia",IF(R1591="Sim","Descartar - Duplicado",IF(OR(H1591&lt;=0,I1591&lt;=0),"Descartar - Qtd/Valor inválido","OK")))</f>
        <v>OK</v>
      </c>
      <c r="T1591" s="4" t="str">
        <f aca="false">Base_Bruta!P1591</f>
        <v>vendas_MG.csv</v>
      </c>
    </row>
    <row r="1592" customFormat="false" ht="15" hidden="false" customHeight="false" outlineLevel="0" collapsed="false">
      <c r="A1592" s="4" t="str">
        <f aca="false">IF(Base_Bruta!A1592="","",Base_Bruta!A1592)</f>
        <v>MG-000135</v>
      </c>
      <c r="B1592" s="5" t="n">
        <f aca="false">IF($A1592="","",IF(ISNUMBER(Base_Bruta!B1592),Base_Bruta!B1592,IF(MID(Base_Bruta!B1592,5,1)="-",DATE(VALUE(LEFT(Base_Bruta!B1592,4)),VALUE(MID(Base_Bruta!B1592,6,2)),VALUE(RIGHT(Base_Bruta!B1592,2))),DATE(VALUE(RIGHT(Base_Bruta!B1592,4)),VALUE(MID(Base_Bruta!B1592,4,2)),VALUE(LEFT(Base_Bruta!B1592,2))))))</f>
        <v>45772</v>
      </c>
      <c r="C1592" s="5" t="n">
        <f aca="false">IF($A1592="","",IF(ISNUMBER(Base_Bruta!C1592),Base_Bruta!C1592,IF(MID(Base_Bruta!C1592,5,1)="-",DATE(VALUE(LEFT(Base_Bruta!C1592,4)),VALUE(MID(Base_Bruta!C1592,6,2)),VALUE(RIGHT(Base_Bruta!C1592,2))),DATE(VALUE(RIGHT(Base_Bruta!C1592,4)),VALUE(MID(Base_Bruta!C1592,4,2)),VALUE(LEFT(Base_Bruta!C1592,2))))))</f>
        <v>45892</v>
      </c>
      <c r="D1592" s="4" t="str">
        <f aca="false">IF($A1592="","",TRIM(Base_Bruta!D1592))</f>
        <v>Festival Montanhas BH 2025</v>
      </c>
      <c r="E1592" s="4" t="str">
        <f aca="false">IF($A1592="","",_xlfn.XLOOKUP(LOWER(TRIM(Base_Bruta!E1592)),DePara_Categoria!$A$2:$A$9,DePara_Categoria!$B$2:$B$9,"REVISAR"))</f>
        <v>Festival</v>
      </c>
      <c r="F1592" s="4" t="str">
        <f aca="false">IF($A1592="","",_xlfn.XLOOKUP(LOWER(TRIM(Base_Bruta!F1592)),DePara_Cidade!$A$2:$A$29,DePara_Cidade!$B$2:$B$29,"REVISAR"))</f>
        <v>Belo Horizonte</v>
      </c>
      <c r="G1592" s="4" t="str">
        <f aca="false">IF($A1592="","",TRIM(Base_Bruta!G1592))</f>
        <v>Inteira</v>
      </c>
      <c r="H1592" s="4" t="n">
        <f aca="false">IF($A1592="","",IF(ISNUMBER(Base_Bruta!H1592),Base_Bruta!H1592,IFERROR(_xlfn.NUMBERVALUE(TRIM(SUBSTITUTE(Base_Bruta!H1592,"R$","")),",","."),0)))</f>
        <v>2</v>
      </c>
      <c r="I1592" s="6" t="n">
        <f aca="false">IF($A1592="","",IF(ISNUMBER(Base_Bruta!I1592),Base_Bruta!I1592,IFERROR(_xlfn.NUMBERVALUE(TRIM(SUBSTITUTE(Base_Bruta!I1592,"R$","")),",","."),0)))</f>
        <v>675</v>
      </c>
      <c r="J1592" s="6" t="n">
        <f aca="false">IF($A1592="","",H1592*I1592)</f>
        <v>1350</v>
      </c>
      <c r="K1592" s="4" t="str">
        <f aca="false">IF($A1592="","",TRIM(Base_Bruta!J1592))</f>
        <v>Bilheteria</v>
      </c>
      <c r="L1592" s="4" t="str">
        <f aca="false">IF($A1592="","",TRIM(Base_Bruta!K1592))</f>
        <v>C01809</v>
      </c>
      <c r="M1592" s="4" t="str">
        <f aca="false">IF($A1592="","",_xlfn.XLOOKUP(LOWER(TRIM(Base_Bruta!L1592)),DePara_Cidade!$A$2:$A$29,DePara_Cidade!$B$2:$B$29,"REVISAR"))</f>
        <v>Belo Horizonte</v>
      </c>
      <c r="N1592" s="4" t="str">
        <f aca="false">IF($A1592="","",UPPER(TRIM(Base_Bruta!M1592)))</f>
        <v>MG</v>
      </c>
      <c r="O1592" s="4" t="str">
        <f aca="false">IF($A1592="","",_xlfn.XLOOKUP(LOWER(TRIM(Base_Bruta!N1592)),DePara_Pais!$A$2:$A$9,DePara_Pais!$B$2:$B$9,"REVISAR"))</f>
        <v>Brasil</v>
      </c>
      <c r="P1592" s="4" t="str">
        <f aca="false">IF($A1592="","",IF(O1592&lt;&gt;"Brasil","Turista Internacional",IF(M1592=F1592,"Local","Turista Nacional")))</f>
        <v>Local</v>
      </c>
      <c r="Q1592" s="7" t="n">
        <f aca="false">IF($A1592="","",DATE(YEAR(B1592),MONTH(B1592),1))</f>
        <v>45748</v>
      </c>
      <c r="R1592" s="4" t="str">
        <f aca="false">IF($A1592="","",IF(COUNTIF($A$2:$A1592,$A1592)&gt;1,"Sim","Não"))</f>
        <v>Sim</v>
      </c>
      <c r="S1592" s="4" t="str">
        <f aca="false">IF(A1592="","Descartar - Linha vazia",IF(R1592="Sim","Descartar - Duplicado",IF(OR(H1592&lt;=0,I1592&lt;=0),"Descartar - Qtd/Valor inválido","OK")))</f>
        <v>Descartar - Duplicado</v>
      </c>
      <c r="T1592" s="4" t="str">
        <f aca="false">Base_Bruta!P1592</f>
        <v>vendas_MG.csv</v>
      </c>
    </row>
    <row r="1593" customFormat="false" ht="15" hidden="false" customHeight="false" outlineLevel="0" collapsed="false">
      <c r="A1593" s="4" t="str">
        <f aca="false">IF(Base_Bruta!A1593="","",Base_Bruta!A1593)</f>
        <v>MG-000068</v>
      </c>
      <c r="B1593" s="5" t="n">
        <f aca="false">IF($A1593="","",IF(ISNUMBER(Base_Bruta!B1593),Base_Bruta!B1593,IF(MID(Base_Bruta!B1593,5,1)="-",DATE(VALUE(LEFT(Base_Bruta!B1593,4)),VALUE(MID(Base_Bruta!B1593,6,2)),VALUE(RIGHT(Base_Bruta!B1593,2))),DATE(VALUE(RIGHT(Base_Bruta!B1593,4)),VALUE(MID(Base_Bruta!B1593,4,2)),VALUE(LEFT(Base_Bruta!B1593,2))))))</f>
        <v>45774</v>
      </c>
      <c r="C1593" s="5" t="n">
        <f aca="false">IF($A1593="","",IF(ISNUMBER(Base_Bruta!C1593),Base_Bruta!C1593,IF(MID(Base_Bruta!C1593,5,1)="-",DATE(VALUE(LEFT(Base_Bruta!C1593,4)),VALUE(MID(Base_Bruta!C1593,6,2)),VALUE(RIGHT(Base_Bruta!C1593,2))),DATE(VALUE(RIGHT(Base_Bruta!C1593,4)),VALUE(MID(Base_Bruta!C1593,4,2)),VALUE(LEFT(Base_Bruta!C1593,2))))))</f>
        <v>45892</v>
      </c>
      <c r="D1593" s="4" t="str">
        <f aca="false">IF($A1593="","",TRIM(Base_Bruta!D1593))</f>
        <v>Festival Montanhas BH 2025</v>
      </c>
      <c r="E1593" s="4" t="str">
        <f aca="false">IF($A1593="","",_xlfn.XLOOKUP(LOWER(TRIM(Base_Bruta!E1593)),DePara_Categoria!$A$2:$A$9,DePara_Categoria!$B$2:$B$9,"REVISAR"))</f>
        <v>Festival</v>
      </c>
      <c r="F1593" s="4" t="str">
        <f aca="false">IF($A1593="","",_xlfn.XLOOKUP(LOWER(TRIM(Base_Bruta!F1593)),DePara_Cidade!$A$2:$A$29,DePara_Cidade!$B$2:$B$29,"REVISAR"))</f>
        <v>Belo Horizonte</v>
      </c>
      <c r="G1593" s="4" t="str">
        <f aca="false">IF($A1593="","",TRIM(Base_Bruta!G1593))</f>
        <v>Inteira</v>
      </c>
      <c r="H1593" s="4" t="n">
        <f aca="false">IF($A1593="","",IF(ISNUMBER(Base_Bruta!H1593),Base_Bruta!H1593,IFERROR(_xlfn.NUMBERVALUE(TRIM(SUBSTITUTE(Base_Bruta!H1593,"R$","")),",","."),0)))</f>
        <v>1</v>
      </c>
      <c r="I1593" s="6" t="n">
        <f aca="false">IF($A1593="","",IF(ISNUMBER(Base_Bruta!I1593),Base_Bruta!I1593,IFERROR(_xlfn.NUMBERVALUE(TRIM(SUBSTITUTE(Base_Bruta!I1593,"R$","")),",","."),0)))</f>
        <v>795</v>
      </c>
      <c r="J1593" s="6" t="n">
        <f aca="false">IF($A1593="","",H1593*I1593)</f>
        <v>795</v>
      </c>
      <c r="K1593" s="4" t="str">
        <f aca="false">IF($A1593="","",TRIM(Base_Bruta!J1593))</f>
        <v>Site</v>
      </c>
      <c r="L1593" s="4" t="str">
        <f aca="false">IF($A1593="","",TRIM(Base_Bruta!K1593))</f>
        <v>C02048</v>
      </c>
      <c r="M1593" s="4" t="str">
        <f aca="false">IF($A1593="","",_xlfn.XLOOKUP(LOWER(TRIM(Base_Bruta!L1593)),DePara_Cidade!$A$2:$A$29,DePara_Cidade!$B$2:$B$29,"REVISAR"))</f>
        <v>Belo Horizonte</v>
      </c>
      <c r="N1593" s="4" t="str">
        <f aca="false">IF($A1593="","",UPPER(TRIM(Base_Bruta!M1593)))</f>
        <v>MG</v>
      </c>
      <c r="O1593" s="4" t="str">
        <f aca="false">IF($A1593="","",_xlfn.XLOOKUP(LOWER(TRIM(Base_Bruta!N1593)),DePara_Pais!$A$2:$A$9,DePara_Pais!$B$2:$B$9,"REVISAR"))</f>
        <v>Brasil</v>
      </c>
      <c r="P1593" s="4" t="str">
        <f aca="false">IF($A1593="","",IF(O1593&lt;&gt;"Brasil","Turista Internacional",IF(M1593=F1593,"Local","Turista Nacional")))</f>
        <v>Local</v>
      </c>
      <c r="Q1593" s="7" t="n">
        <f aca="false">IF($A1593="","",DATE(YEAR(B1593),MONTH(B1593),1))</f>
        <v>45748</v>
      </c>
      <c r="R1593" s="4" t="str">
        <f aca="false">IF($A1593="","",IF(COUNTIF($A$2:$A1593,$A1593)&gt;1,"Sim","Não"))</f>
        <v>Sim</v>
      </c>
      <c r="S1593" s="4" t="str">
        <f aca="false">IF(A1593="","Descartar - Linha vazia",IF(R1593="Sim","Descartar - Duplicado",IF(OR(H1593&lt;=0,I1593&lt;=0),"Descartar - Qtd/Valor inválido","OK")))</f>
        <v>Descartar - Duplicado</v>
      </c>
      <c r="T1593" s="4" t="str">
        <f aca="false">Base_Bruta!P1593</f>
        <v>vendas_MG.csv</v>
      </c>
    </row>
    <row r="1594" customFormat="false" ht="15" hidden="false" customHeight="false" outlineLevel="0" collapsed="false">
      <c r="A1594" s="4" t="str">
        <f aca="false">IF(Base_Bruta!A1594="","",Base_Bruta!A1594)</f>
        <v>MG-000212</v>
      </c>
      <c r="B1594" s="5" t="n">
        <f aca="false">IF($A1594="","",IF(ISNUMBER(Base_Bruta!B1594),Base_Bruta!B1594,IF(MID(Base_Bruta!B1594,5,1)="-",DATE(VALUE(LEFT(Base_Bruta!B1594,4)),VALUE(MID(Base_Bruta!B1594,6,2)),VALUE(RIGHT(Base_Bruta!B1594,2))),DATE(VALUE(RIGHT(Base_Bruta!B1594,4)),VALUE(MID(Base_Bruta!B1594,4,2)),VALUE(LEFT(Base_Bruta!B1594,2))))))</f>
        <v>45779</v>
      </c>
      <c r="C1594" s="5" t="n">
        <f aca="false">IF($A1594="","",IF(ISNUMBER(Base_Bruta!C1594),Base_Bruta!C1594,IF(MID(Base_Bruta!C1594,5,1)="-",DATE(VALUE(LEFT(Base_Bruta!C1594,4)),VALUE(MID(Base_Bruta!C1594,6,2)),VALUE(RIGHT(Base_Bruta!C1594,2))),DATE(VALUE(RIGHT(Base_Bruta!C1594,4)),VALUE(MID(Base_Bruta!C1594,4,2)),VALUE(LEFT(Base_Bruta!C1594,2))))))</f>
        <v>45892</v>
      </c>
      <c r="D1594" s="4" t="str">
        <f aca="false">IF($A1594="","",TRIM(Base_Bruta!D1594))</f>
        <v>Festival Montanhas BH 2025</v>
      </c>
      <c r="E1594" s="4" t="str">
        <f aca="false">IF($A1594="","",_xlfn.XLOOKUP(LOWER(TRIM(Base_Bruta!E1594)),DePara_Categoria!$A$2:$A$9,DePara_Categoria!$B$2:$B$9,"REVISAR"))</f>
        <v>Festival</v>
      </c>
      <c r="F1594" s="4" t="str">
        <f aca="false">IF($A1594="","",_xlfn.XLOOKUP(LOWER(TRIM(Base_Bruta!F1594)),DePara_Cidade!$A$2:$A$29,DePara_Cidade!$B$2:$B$29,"REVISAR"))</f>
        <v>Belo Horizonte</v>
      </c>
      <c r="G1594" s="4" t="str">
        <f aca="false">IF($A1594="","",TRIM(Base_Bruta!G1594))</f>
        <v>Meia</v>
      </c>
      <c r="H1594" s="4" t="n">
        <f aca="false">IF($A1594="","",IF(ISNUMBER(Base_Bruta!H1594),Base_Bruta!H1594,IFERROR(_xlfn.NUMBERVALUE(TRIM(SUBSTITUTE(Base_Bruta!H1594,"R$","")),",","."),0)))</f>
        <v>2</v>
      </c>
      <c r="I1594" s="6" t="n">
        <f aca="false">IF($A1594="","",IF(ISNUMBER(Base_Bruta!I1594),Base_Bruta!I1594,IFERROR(_xlfn.NUMBERVALUE(TRIM(SUBSTITUTE(Base_Bruta!I1594,"R$","")),",","."),0)))</f>
        <v>445</v>
      </c>
      <c r="J1594" s="6" t="n">
        <f aca="false">IF($A1594="","",H1594*I1594)</f>
        <v>890</v>
      </c>
      <c r="K1594" s="4" t="str">
        <f aca="false">IF($A1594="","",TRIM(Base_Bruta!J1594))</f>
        <v>Bilheteria</v>
      </c>
      <c r="L1594" s="4" t="str">
        <f aca="false">IF($A1594="","",TRIM(Base_Bruta!K1594))</f>
        <v>C00695</v>
      </c>
      <c r="M1594" s="4" t="str">
        <f aca="false">IF($A1594="","",_xlfn.XLOOKUP(LOWER(TRIM(Base_Bruta!L1594)),DePara_Cidade!$A$2:$A$29,DePara_Cidade!$B$2:$B$29,"REVISAR"))</f>
        <v>Goiânia</v>
      </c>
      <c r="N1594" s="4" t="str">
        <f aca="false">IF($A1594="","",UPPER(TRIM(Base_Bruta!M1594)))</f>
        <v>GO</v>
      </c>
      <c r="O1594" s="4" t="str">
        <f aca="false">IF($A1594="","",_xlfn.XLOOKUP(LOWER(TRIM(Base_Bruta!N1594)),DePara_Pais!$A$2:$A$9,DePara_Pais!$B$2:$B$9,"REVISAR"))</f>
        <v>Brasil</v>
      </c>
      <c r="P1594" s="4" t="str">
        <f aca="false">IF($A1594="","",IF(O1594&lt;&gt;"Brasil","Turista Internacional",IF(M1594=F1594,"Local","Turista Nacional")))</f>
        <v>Turista Nacional</v>
      </c>
      <c r="Q1594" s="7" t="n">
        <f aca="false">IF($A1594="","",DATE(YEAR(B1594),MONTH(B1594),1))</f>
        <v>45778</v>
      </c>
      <c r="R1594" s="4" t="str">
        <f aca="false">IF($A1594="","",IF(COUNTIF($A$2:$A1594,$A1594)&gt;1,"Sim","Não"))</f>
        <v>Não</v>
      </c>
      <c r="S1594" s="4" t="str">
        <f aca="false">IF(A1594="","Descartar - Linha vazia",IF(R1594="Sim","Descartar - Duplicado",IF(OR(H1594&lt;=0,I1594&lt;=0),"Descartar - Qtd/Valor inválido","OK")))</f>
        <v>OK</v>
      </c>
      <c r="T1594" s="4" t="str">
        <f aca="false">Base_Bruta!P1594</f>
        <v>vendas_MG.csv</v>
      </c>
    </row>
    <row r="1595" customFormat="false" ht="15" hidden="false" customHeight="false" outlineLevel="0" collapsed="false">
      <c r="A1595" s="4" t="str">
        <f aca="false">IF(Base_Bruta!A1595="","",Base_Bruta!A1595)</f>
        <v>MG-000001</v>
      </c>
      <c r="B1595" s="5" t="n">
        <f aca="false">IF($A1595="","",IF(ISNUMBER(Base_Bruta!B1595),Base_Bruta!B1595,IF(MID(Base_Bruta!B1595,5,1)="-",DATE(VALUE(LEFT(Base_Bruta!B1595,4)),VALUE(MID(Base_Bruta!B1595,6,2)),VALUE(RIGHT(Base_Bruta!B1595,2))),DATE(VALUE(RIGHT(Base_Bruta!B1595,4)),VALUE(MID(Base_Bruta!B1595,4,2)),VALUE(LEFT(Base_Bruta!B1595,2))))))</f>
        <v>45780</v>
      </c>
      <c r="C1595" s="5" t="n">
        <f aca="false">IF($A1595="","",IF(ISNUMBER(Base_Bruta!C1595),Base_Bruta!C1595,IF(MID(Base_Bruta!C1595,5,1)="-",DATE(VALUE(LEFT(Base_Bruta!C1595,4)),VALUE(MID(Base_Bruta!C1595,6,2)),VALUE(RIGHT(Base_Bruta!C1595,2))),DATE(VALUE(RIGHT(Base_Bruta!C1595,4)),VALUE(MID(Base_Bruta!C1595,4,2)),VALUE(LEFT(Base_Bruta!C1595,2))))))</f>
        <v>45892</v>
      </c>
      <c r="D1595" s="4" t="str">
        <f aca="false">IF($A1595="","",TRIM(Base_Bruta!D1595))</f>
        <v>Festival Montanhas BH 2025</v>
      </c>
      <c r="E1595" s="4" t="str">
        <f aca="false">IF($A1595="","",_xlfn.XLOOKUP(LOWER(TRIM(Base_Bruta!E1595)),DePara_Categoria!$A$2:$A$9,DePara_Categoria!$B$2:$B$9,"REVISAR"))</f>
        <v>Festival</v>
      </c>
      <c r="F1595" s="4" t="str">
        <f aca="false">IF($A1595="","",_xlfn.XLOOKUP(LOWER(TRIM(Base_Bruta!F1595)),DePara_Cidade!$A$2:$A$29,DePara_Cidade!$B$2:$B$29,"REVISAR"))</f>
        <v>Belo Horizonte</v>
      </c>
      <c r="G1595" s="4" t="str">
        <f aca="false">IF($A1595="","",TRIM(Base_Bruta!G1595))</f>
        <v>Meia</v>
      </c>
      <c r="H1595" s="4" t="n">
        <f aca="false">IF($A1595="","",IF(ISNUMBER(Base_Bruta!H1595),Base_Bruta!H1595,IFERROR(_xlfn.NUMBERVALUE(TRIM(SUBSTITUTE(Base_Bruta!H1595,"R$","")),",","."),0)))</f>
        <v>4</v>
      </c>
      <c r="I1595" s="6" t="n">
        <f aca="false">IF($A1595="","",IF(ISNUMBER(Base_Bruta!I1595),Base_Bruta!I1595,IFERROR(_xlfn.NUMBERVALUE(TRIM(SUBSTITUTE(Base_Bruta!I1595,"R$","")),",","."),0)))</f>
        <v>542.5</v>
      </c>
      <c r="J1595" s="6" t="n">
        <f aca="false">IF($A1595="","",H1595*I1595)</f>
        <v>2170</v>
      </c>
      <c r="K1595" s="4" t="str">
        <f aca="false">IF($A1595="","",TRIM(Base_Bruta!J1595))</f>
        <v>Bilheteria</v>
      </c>
      <c r="L1595" s="4" t="str">
        <f aca="false">IF($A1595="","",TRIM(Base_Bruta!K1595))</f>
        <v>C02307</v>
      </c>
      <c r="M1595" s="4" t="str">
        <f aca="false">IF($A1595="","",_xlfn.XLOOKUP(LOWER(TRIM(Base_Bruta!L1595)),DePara_Cidade!$A$2:$A$29,DePara_Cidade!$B$2:$B$29,"REVISAR"))</f>
        <v>Santiago</v>
      </c>
      <c r="N1595" s="4" t="str">
        <f aca="false">IF($A1595="","",UPPER(TRIM(Base_Bruta!M1595)))</f>
        <v>EX</v>
      </c>
      <c r="O1595" s="4" t="str">
        <f aca="false">IF($A1595="","",_xlfn.XLOOKUP(LOWER(TRIM(Base_Bruta!N1595)),DePara_Pais!$A$2:$A$9,DePara_Pais!$B$2:$B$9,"REVISAR"))</f>
        <v>Chile</v>
      </c>
      <c r="P1595" s="4" t="str">
        <f aca="false">IF($A1595="","",IF(O1595&lt;&gt;"Brasil","Turista Internacional",IF(M1595=F1595,"Local","Turista Nacional")))</f>
        <v>Turista Internacional</v>
      </c>
      <c r="Q1595" s="7" t="n">
        <f aca="false">IF($A1595="","",DATE(YEAR(B1595),MONTH(B1595),1))</f>
        <v>45778</v>
      </c>
      <c r="R1595" s="4" t="str">
        <f aca="false">IF($A1595="","",IF(COUNTIF($A$2:$A1595,$A1595)&gt;1,"Sim","Não"))</f>
        <v>Não</v>
      </c>
      <c r="S1595" s="4" t="str">
        <f aca="false">IF(A1595="","Descartar - Linha vazia",IF(R1595="Sim","Descartar - Duplicado",IF(OR(H1595&lt;=0,I1595&lt;=0),"Descartar - Qtd/Valor inválido","OK")))</f>
        <v>OK</v>
      </c>
      <c r="T1595" s="4" t="str">
        <f aca="false">Base_Bruta!P1595</f>
        <v>vendas_MG.csv</v>
      </c>
    </row>
    <row r="1596" customFormat="false" ht="15" hidden="false" customHeight="false" outlineLevel="0" collapsed="false">
      <c r="A1596" s="4" t="str">
        <f aca="false">IF(Base_Bruta!A1596="","",Base_Bruta!A1596)</f>
        <v>MG-000205</v>
      </c>
      <c r="B1596" s="5" t="n">
        <f aca="false">IF($A1596="","",IF(ISNUMBER(Base_Bruta!B1596),Base_Bruta!B1596,IF(MID(Base_Bruta!B1596,5,1)="-",DATE(VALUE(LEFT(Base_Bruta!B1596,4)),VALUE(MID(Base_Bruta!B1596,6,2)),VALUE(RIGHT(Base_Bruta!B1596,2))),DATE(VALUE(RIGHT(Base_Bruta!B1596,4)),VALUE(MID(Base_Bruta!B1596,4,2)),VALUE(LEFT(Base_Bruta!B1596,2))))))</f>
        <v>45777</v>
      </c>
      <c r="C1596" s="5" t="n">
        <f aca="false">IF($A1596="","",IF(ISNUMBER(Base_Bruta!C1596),Base_Bruta!C1596,IF(MID(Base_Bruta!C1596,5,1)="-",DATE(VALUE(LEFT(Base_Bruta!C1596,4)),VALUE(MID(Base_Bruta!C1596,6,2)),VALUE(RIGHT(Base_Bruta!C1596,2))),DATE(VALUE(RIGHT(Base_Bruta!C1596,4)),VALUE(MID(Base_Bruta!C1596,4,2)),VALUE(LEFT(Base_Bruta!C1596,2))))))</f>
        <v>45892</v>
      </c>
      <c r="D1596" s="4" t="str">
        <f aca="false">IF($A1596="","",TRIM(Base_Bruta!D1596))</f>
        <v>Festival Montanhas BH 2025</v>
      </c>
      <c r="E1596" s="4" t="str">
        <f aca="false">IF($A1596="","",_xlfn.XLOOKUP(LOWER(TRIM(Base_Bruta!E1596)),DePara_Categoria!$A$2:$A$9,DePara_Categoria!$B$2:$B$9,"REVISAR"))</f>
        <v>Festival</v>
      </c>
      <c r="F1596" s="4" t="str">
        <f aca="false">IF($A1596="","",_xlfn.XLOOKUP(LOWER(TRIM(Base_Bruta!F1596)),DePara_Cidade!$A$2:$A$29,DePara_Cidade!$B$2:$B$29,"REVISAR"))</f>
        <v>Belo Horizonte</v>
      </c>
      <c r="G1596" s="4" t="str">
        <f aca="false">IF($A1596="","",TRIM(Base_Bruta!G1596))</f>
        <v>Meia</v>
      </c>
      <c r="H1596" s="4" t="n">
        <f aca="false">IF($A1596="","",IF(ISNUMBER(Base_Bruta!H1596),Base_Bruta!H1596,IFERROR(_xlfn.NUMBERVALUE(TRIM(SUBSTITUTE(Base_Bruta!H1596,"R$","")),",","."),0)))</f>
        <v>4</v>
      </c>
      <c r="I1596" s="6" t="n">
        <f aca="false">IF($A1596="","",IF(ISNUMBER(Base_Bruta!I1596),Base_Bruta!I1596,IFERROR(_xlfn.NUMBERVALUE(TRIM(SUBSTITUTE(Base_Bruta!I1596,"R$","")),",","."),0)))</f>
        <v>460</v>
      </c>
      <c r="J1596" s="6" t="n">
        <f aca="false">IF($A1596="","",H1596*I1596)</f>
        <v>1840</v>
      </c>
      <c r="K1596" s="4" t="str">
        <f aca="false">IF($A1596="","",TRIM(Base_Bruta!J1596))</f>
        <v>Site</v>
      </c>
      <c r="L1596" s="4" t="str">
        <f aca="false">IF($A1596="","",TRIM(Base_Bruta!K1596))</f>
        <v>C00876</v>
      </c>
      <c r="M1596" s="4" t="str">
        <f aca="false">IF($A1596="","",_xlfn.XLOOKUP(LOWER(TRIM(Base_Bruta!L1596)),DePara_Cidade!$A$2:$A$29,DePara_Cidade!$B$2:$B$29,"REVISAR"))</f>
        <v>Campinas</v>
      </c>
      <c r="N1596" s="4" t="str">
        <f aca="false">IF($A1596="","",UPPER(TRIM(Base_Bruta!M1596)))</f>
        <v>SP</v>
      </c>
      <c r="O1596" s="4" t="str">
        <f aca="false">IF($A1596="","",_xlfn.XLOOKUP(LOWER(TRIM(Base_Bruta!N1596)),DePara_Pais!$A$2:$A$9,DePara_Pais!$B$2:$B$9,"REVISAR"))</f>
        <v>Brasil</v>
      </c>
      <c r="P1596" s="4" t="str">
        <f aca="false">IF($A1596="","",IF(O1596&lt;&gt;"Brasil","Turista Internacional",IF(M1596=F1596,"Local","Turista Nacional")))</f>
        <v>Turista Nacional</v>
      </c>
      <c r="Q1596" s="7" t="n">
        <f aca="false">IF($A1596="","",DATE(YEAR(B1596),MONTH(B1596),1))</f>
        <v>45748</v>
      </c>
      <c r="R1596" s="4" t="str">
        <f aca="false">IF($A1596="","",IF(COUNTIF($A$2:$A1596,$A1596)&gt;1,"Sim","Não"))</f>
        <v>Sim</v>
      </c>
      <c r="S1596" s="4" t="str">
        <f aca="false">IF(A1596="","Descartar - Linha vazia",IF(R1596="Sim","Descartar - Duplicado",IF(OR(H1596&lt;=0,I1596&lt;=0),"Descartar - Qtd/Valor inválido","OK")))</f>
        <v>Descartar - Duplicado</v>
      </c>
      <c r="T1596" s="4" t="str">
        <f aca="false">Base_Bruta!P1596</f>
        <v>vendas_MG.csv</v>
      </c>
    </row>
    <row r="1597" customFormat="false" ht="15" hidden="false" customHeight="false" outlineLevel="0" collapsed="false">
      <c r="A1597" s="4" t="str">
        <f aca="false">IF(Base_Bruta!A1597="","",Base_Bruta!A1597)</f>
        <v>MG-000051</v>
      </c>
      <c r="B1597" s="5" t="n">
        <f aca="false">IF($A1597="","",IF(ISNUMBER(Base_Bruta!B1597),Base_Bruta!B1597,IF(MID(Base_Bruta!B1597,5,1)="-",DATE(VALUE(LEFT(Base_Bruta!B1597,4)),VALUE(MID(Base_Bruta!B1597,6,2)),VALUE(RIGHT(Base_Bruta!B1597,2))),DATE(VALUE(RIGHT(Base_Bruta!B1597,4)),VALUE(MID(Base_Bruta!B1597,4,2)),VALUE(LEFT(Base_Bruta!B1597,2))))))</f>
        <v>45780</v>
      </c>
      <c r="C1597" s="5" t="n">
        <f aca="false">IF($A1597="","",IF(ISNUMBER(Base_Bruta!C1597),Base_Bruta!C1597,IF(MID(Base_Bruta!C1597,5,1)="-",DATE(VALUE(LEFT(Base_Bruta!C1597,4)),VALUE(MID(Base_Bruta!C1597,6,2)),VALUE(RIGHT(Base_Bruta!C1597,2))),DATE(VALUE(RIGHT(Base_Bruta!C1597,4)),VALUE(MID(Base_Bruta!C1597,4,2)),VALUE(LEFT(Base_Bruta!C1597,2))))))</f>
        <v>45892</v>
      </c>
      <c r="D1597" s="4" t="str">
        <f aca="false">IF($A1597="","",TRIM(Base_Bruta!D1597))</f>
        <v>Festival Montanhas BH 2025</v>
      </c>
      <c r="E1597" s="4" t="str">
        <f aca="false">IF($A1597="","",_xlfn.XLOOKUP(LOWER(TRIM(Base_Bruta!E1597)),DePara_Categoria!$A$2:$A$9,DePara_Categoria!$B$2:$B$9,"REVISAR"))</f>
        <v>Festival</v>
      </c>
      <c r="F1597" s="4" t="str">
        <f aca="false">IF($A1597="","",_xlfn.XLOOKUP(LOWER(TRIM(Base_Bruta!F1597)),DePara_Cidade!$A$2:$A$29,DePara_Cidade!$B$2:$B$29,"REVISAR"))</f>
        <v>Belo Horizonte</v>
      </c>
      <c r="G1597" s="4" t="str">
        <f aca="false">IF($A1597="","",TRIM(Base_Bruta!G1597))</f>
        <v>Meia</v>
      </c>
      <c r="H1597" s="4" t="n">
        <f aca="false">IF($A1597="","",IF(ISNUMBER(Base_Bruta!H1597),Base_Bruta!H1597,IFERROR(_xlfn.NUMBERVALUE(TRIM(SUBSTITUTE(Base_Bruta!H1597,"R$","")),",","."),0)))</f>
        <v>1</v>
      </c>
      <c r="I1597" s="6" t="n">
        <f aca="false">IF($A1597="","",IF(ISNUMBER(Base_Bruta!I1597),Base_Bruta!I1597,IFERROR(_xlfn.NUMBERVALUE(TRIM(SUBSTITUTE(Base_Bruta!I1597,"R$","")),",","."),0)))</f>
        <v>555</v>
      </c>
      <c r="J1597" s="6" t="n">
        <f aca="false">IF($A1597="","",H1597*I1597)</f>
        <v>555</v>
      </c>
      <c r="K1597" s="4" t="str">
        <f aca="false">IF($A1597="","",TRIM(Base_Bruta!J1597))</f>
        <v>Site</v>
      </c>
      <c r="L1597" s="4" t="str">
        <f aca="false">IF($A1597="","",TRIM(Base_Bruta!K1597))</f>
        <v>C01358</v>
      </c>
      <c r="M1597" s="4" t="str">
        <f aca="false">IF($A1597="","",_xlfn.XLOOKUP(LOWER(TRIM(Base_Bruta!L1597)),DePara_Cidade!$A$2:$A$29,DePara_Cidade!$B$2:$B$29,"REVISAR"))</f>
        <v>Belo Horizonte</v>
      </c>
      <c r="N1597" s="4" t="str">
        <f aca="false">IF($A1597="","",UPPER(TRIM(Base_Bruta!M1597)))</f>
        <v>MG</v>
      </c>
      <c r="O1597" s="4" t="str">
        <f aca="false">IF($A1597="","",_xlfn.XLOOKUP(LOWER(TRIM(Base_Bruta!N1597)),DePara_Pais!$A$2:$A$9,DePara_Pais!$B$2:$B$9,"REVISAR"))</f>
        <v>Brasil</v>
      </c>
      <c r="P1597" s="4" t="str">
        <f aca="false">IF($A1597="","",IF(O1597&lt;&gt;"Brasil","Turista Internacional",IF(M1597=F1597,"Local","Turista Nacional")))</f>
        <v>Local</v>
      </c>
      <c r="Q1597" s="7" t="n">
        <f aca="false">IF($A1597="","",DATE(YEAR(B1597),MONTH(B1597),1))</f>
        <v>45778</v>
      </c>
      <c r="R1597" s="4" t="str">
        <f aca="false">IF($A1597="","",IF(COUNTIF($A$2:$A1597,$A1597)&gt;1,"Sim","Não"))</f>
        <v>Não</v>
      </c>
      <c r="S1597" s="4" t="str">
        <f aca="false">IF(A1597="","Descartar - Linha vazia",IF(R1597="Sim","Descartar - Duplicado",IF(OR(H1597&lt;=0,I1597&lt;=0),"Descartar - Qtd/Valor inválido","OK")))</f>
        <v>OK</v>
      </c>
      <c r="T1597" s="4" t="str">
        <f aca="false">Base_Bruta!P1597</f>
        <v>vendas_MG.csv</v>
      </c>
    </row>
    <row r="1598" customFormat="false" ht="15" hidden="false" customHeight="false" outlineLevel="0" collapsed="false">
      <c r="A1598" s="4" t="str">
        <f aca="false">IF(Base_Bruta!A1598="","",Base_Bruta!A1598)</f>
        <v>MG-000055</v>
      </c>
      <c r="B1598" s="5" t="n">
        <f aca="false">IF($A1598="","",IF(ISNUMBER(Base_Bruta!B1598),Base_Bruta!B1598,IF(MID(Base_Bruta!B1598,5,1)="-",DATE(VALUE(LEFT(Base_Bruta!B1598,4)),VALUE(MID(Base_Bruta!B1598,6,2)),VALUE(RIGHT(Base_Bruta!B1598,2))),DATE(VALUE(RIGHT(Base_Bruta!B1598,4)),VALUE(MID(Base_Bruta!B1598,4,2)),VALUE(LEFT(Base_Bruta!B1598,2))))))</f>
        <v>45780</v>
      </c>
      <c r="C1598" s="5" t="n">
        <f aca="false">IF($A1598="","",IF(ISNUMBER(Base_Bruta!C1598),Base_Bruta!C1598,IF(MID(Base_Bruta!C1598,5,1)="-",DATE(VALUE(LEFT(Base_Bruta!C1598,4)),VALUE(MID(Base_Bruta!C1598,6,2)),VALUE(RIGHT(Base_Bruta!C1598,2))),DATE(VALUE(RIGHT(Base_Bruta!C1598,4)),VALUE(MID(Base_Bruta!C1598,4,2)),VALUE(LEFT(Base_Bruta!C1598,2))))))</f>
        <v>45892</v>
      </c>
      <c r="D1598" s="4" t="str">
        <f aca="false">IF($A1598="","",TRIM(Base_Bruta!D1598))</f>
        <v>Festival Montanhas BH 2025</v>
      </c>
      <c r="E1598" s="4" t="str">
        <f aca="false">IF($A1598="","",_xlfn.XLOOKUP(LOWER(TRIM(Base_Bruta!E1598)),DePara_Categoria!$A$2:$A$9,DePara_Categoria!$B$2:$B$9,"REVISAR"))</f>
        <v>Festival</v>
      </c>
      <c r="F1598" s="4" t="str">
        <f aca="false">IF($A1598="","",_xlfn.XLOOKUP(LOWER(TRIM(Base_Bruta!F1598)),DePara_Cidade!$A$2:$A$29,DePara_Cidade!$B$2:$B$29,"REVISAR"))</f>
        <v>Belo Horizonte</v>
      </c>
      <c r="G1598" s="4" t="str">
        <f aca="false">IF($A1598="","",TRIM(Base_Bruta!G1598))</f>
        <v>Inteira</v>
      </c>
      <c r="H1598" s="4" t="n">
        <f aca="false">IF($A1598="","",IF(ISNUMBER(Base_Bruta!H1598),Base_Bruta!H1598,IFERROR(_xlfn.NUMBERVALUE(TRIM(SUBSTITUTE(Base_Bruta!H1598,"R$","")),",","."),0)))</f>
        <v>1</v>
      </c>
      <c r="I1598" s="6" t="n">
        <f aca="false">IF($A1598="","",IF(ISNUMBER(Base_Bruta!I1598),Base_Bruta!I1598,IFERROR(_xlfn.NUMBERVALUE(TRIM(SUBSTITUTE(Base_Bruta!I1598,"R$","")),",","."),0)))</f>
        <v>900</v>
      </c>
      <c r="J1598" s="6" t="n">
        <f aca="false">IF($A1598="","",H1598*I1598)</f>
        <v>900</v>
      </c>
      <c r="K1598" s="4" t="str">
        <f aca="false">IF($A1598="","",TRIM(Base_Bruta!J1598))</f>
        <v>Site</v>
      </c>
      <c r="L1598" s="4" t="str">
        <f aca="false">IF($A1598="","",TRIM(Base_Bruta!K1598))</f>
        <v>C01839</v>
      </c>
      <c r="M1598" s="4" t="str">
        <f aca="false">IF($A1598="","",_xlfn.XLOOKUP(LOWER(TRIM(Base_Bruta!L1598)),DePara_Cidade!$A$2:$A$29,DePara_Cidade!$B$2:$B$29,"REVISAR"))</f>
        <v>Porto Alegre</v>
      </c>
      <c r="N1598" s="4" t="str">
        <f aca="false">IF($A1598="","",UPPER(TRIM(Base_Bruta!M1598)))</f>
        <v>RS</v>
      </c>
      <c r="O1598" s="4" t="str">
        <f aca="false">IF($A1598="","",_xlfn.XLOOKUP(LOWER(TRIM(Base_Bruta!N1598)),DePara_Pais!$A$2:$A$9,DePara_Pais!$B$2:$B$9,"REVISAR"))</f>
        <v>Brasil</v>
      </c>
      <c r="P1598" s="4" t="str">
        <f aca="false">IF($A1598="","",IF(O1598&lt;&gt;"Brasil","Turista Internacional",IF(M1598=F1598,"Local","Turista Nacional")))</f>
        <v>Turista Nacional</v>
      </c>
      <c r="Q1598" s="7" t="n">
        <f aca="false">IF($A1598="","",DATE(YEAR(B1598),MONTH(B1598),1))</f>
        <v>45778</v>
      </c>
      <c r="R1598" s="4" t="str">
        <f aca="false">IF($A1598="","",IF(COUNTIF($A$2:$A1598,$A1598)&gt;1,"Sim","Não"))</f>
        <v>Não</v>
      </c>
      <c r="S1598" s="4" t="str">
        <f aca="false">IF(A1598="","Descartar - Linha vazia",IF(R1598="Sim","Descartar - Duplicado",IF(OR(H1598&lt;=0,I1598&lt;=0),"Descartar - Qtd/Valor inválido","OK")))</f>
        <v>OK</v>
      </c>
      <c r="T1598" s="4" t="str">
        <f aca="false">Base_Bruta!P1598</f>
        <v>vendas_MG.csv</v>
      </c>
    </row>
    <row r="1599" customFormat="false" ht="15" hidden="false" customHeight="false" outlineLevel="0" collapsed="false">
      <c r="A1599" s="4" t="str">
        <f aca="false">IF(Base_Bruta!A1599="","",Base_Bruta!A1599)</f>
        <v>MG-000118</v>
      </c>
      <c r="B1599" s="5" t="n">
        <f aca="false">IF($A1599="","",IF(ISNUMBER(Base_Bruta!B1599),Base_Bruta!B1599,IF(MID(Base_Bruta!B1599,5,1)="-",DATE(VALUE(LEFT(Base_Bruta!B1599,4)),VALUE(MID(Base_Bruta!B1599,6,2)),VALUE(RIGHT(Base_Bruta!B1599,2))),DATE(VALUE(RIGHT(Base_Bruta!B1599,4)),VALUE(MID(Base_Bruta!B1599,4,2)),VALUE(LEFT(Base_Bruta!B1599,2))))))</f>
        <v>45780</v>
      </c>
      <c r="C1599" s="5" t="n">
        <f aca="false">IF($A1599="","",IF(ISNUMBER(Base_Bruta!C1599),Base_Bruta!C1599,IF(MID(Base_Bruta!C1599,5,1)="-",DATE(VALUE(LEFT(Base_Bruta!C1599,4)),VALUE(MID(Base_Bruta!C1599,6,2)),VALUE(RIGHT(Base_Bruta!C1599,2))),DATE(VALUE(RIGHT(Base_Bruta!C1599,4)),VALUE(MID(Base_Bruta!C1599,4,2)),VALUE(LEFT(Base_Bruta!C1599,2))))))</f>
        <v>45892</v>
      </c>
      <c r="D1599" s="4" t="str">
        <f aca="false">IF($A1599="","",TRIM(Base_Bruta!D1599))</f>
        <v>Festival Montanhas BH 2025</v>
      </c>
      <c r="E1599" s="4" t="str">
        <f aca="false">IF($A1599="","",_xlfn.XLOOKUP(LOWER(TRIM(Base_Bruta!E1599)),DePara_Categoria!$A$2:$A$9,DePara_Categoria!$B$2:$B$9,"REVISAR"))</f>
        <v>Festival</v>
      </c>
      <c r="F1599" s="4" t="str">
        <f aca="false">IF($A1599="","",_xlfn.XLOOKUP(LOWER(TRIM(Base_Bruta!F1599)),DePara_Cidade!$A$2:$A$29,DePara_Cidade!$B$2:$B$29,"REVISAR"))</f>
        <v>Belo Horizonte</v>
      </c>
      <c r="G1599" s="4" t="str">
        <f aca="false">IF($A1599="","",TRIM(Base_Bruta!G1599))</f>
        <v>Meia</v>
      </c>
      <c r="H1599" s="4" t="n">
        <f aca="false">IF($A1599="","",IF(ISNUMBER(Base_Bruta!H1599),Base_Bruta!H1599,IFERROR(_xlfn.NUMBERVALUE(TRIM(SUBSTITUTE(Base_Bruta!H1599,"R$","")),",","."),0)))</f>
        <v>2</v>
      </c>
      <c r="I1599" s="6" t="n">
        <f aca="false">IF($A1599="","",IF(ISNUMBER(Base_Bruta!I1599),Base_Bruta!I1599,IFERROR(_xlfn.NUMBERVALUE(TRIM(SUBSTITUTE(Base_Bruta!I1599,"R$","")),",","."),0)))</f>
        <v>347.5</v>
      </c>
      <c r="J1599" s="6" t="n">
        <f aca="false">IF($A1599="","",H1599*I1599)</f>
        <v>695</v>
      </c>
      <c r="K1599" s="4" t="str">
        <f aca="false">IF($A1599="","",TRIM(Base_Bruta!J1599))</f>
        <v>Site</v>
      </c>
      <c r="L1599" s="4" t="str">
        <f aca="false">IF($A1599="","",TRIM(Base_Bruta!K1599))</f>
        <v>C00989</v>
      </c>
      <c r="M1599" s="4" t="str">
        <f aca="false">IF($A1599="","",_xlfn.XLOOKUP(LOWER(TRIM(Base_Bruta!L1599)),DePara_Cidade!$A$2:$A$29,DePara_Cidade!$B$2:$B$29,"REVISAR"))</f>
        <v>Lisboa</v>
      </c>
      <c r="N1599" s="4" t="str">
        <f aca="false">IF($A1599="","",UPPER(TRIM(Base_Bruta!M1599)))</f>
        <v>EX</v>
      </c>
      <c r="O1599" s="4" t="str">
        <f aca="false">IF($A1599="","",_xlfn.XLOOKUP(LOWER(TRIM(Base_Bruta!N1599)),DePara_Pais!$A$2:$A$9,DePara_Pais!$B$2:$B$9,"REVISAR"))</f>
        <v>Portugal</v>
      </c>
      <c r="P1599" s="4" t="str">
        <f aca="false">IF($A1599="","",IF(O1599&lt;&gt;"Brasil","Turista Internacional",IF(M1599=F1599,"Local","Turista Nacional")))</f>
        <v>Turista Internacional</v>
      </c>
      <c r="Q1599" s="7" t="n">
        <f aca="false">IF($A1599="","",DATE(YEAR(B1599),MONTH(B1599),1))</f>
        <v>45778</v>
      </c>
      <c r="R1599" s="4" t="str">
        <f aca="false">IF($A1599="","",IF(COUNTIF($A$2:$A1599,$A1599)&gt;1,"Sim","Não"))</f>
        <v>Não</v>
      </c>
      <c r="S1599" s="4" t="str">
        <f aca="false">IF(A1599="","Descartar - Linha vazia",IF(R1599="Sim","Descartar - Duplicado",IF(OR(H1599&lt;=0,I1599&lt;=0),"Descartar - Qtd/Valor inválido","OK")))</f>
        <v>OK</v>
      </c>
      <c r="T1599" s="4" t="str">
        <f aca="false">Base_Bruta!P1599</f>
        <v>vendas_MG.csv</v>
      </c>
    </row>
    <row r="1600" customFormat="false" ht="15" hidden="false" customHeight="false" outlineLevel="0" collapsed="false">
      <c r="A1600" s="4" t="str">
        <f aca="false">IF(Base_Bruta!A1600="","",Base_Bruta!A1600)</f>
        <v>MG-000020</v>
      </c>
      <c r="B1600" s="5" t="n">
        <f aca="false">IF($A1600="","",IF(ISNUMBER(Base_Bruta!B1600),Base_Bruta!B1600,IF(MID(Base_Bruta!B1600,5,1)="-",DATE(VALUE(LEFT(Base_Bruta!B1600,4)),VALUE(MID(Base_Bruta!B1600,6,2)),VALUE(RIGHT(Base_Bruta!B1600,2))),DATE(VALUE(RIGHT(Base_Bruta!B1600,4)),VALUE(MID(Base_Bruta!B1600,4,2)),VALUE(LEFT(Base_Bruta!B1600,2))))))</f>
        <v>45781</v>
      </c>
      <c r="C1600" s="5" t="n">
        <f aca="false">IF($A1600="","",IF(ISNUMBER(Base_Bruta!C1600),Base_Bruta!C1600,IF(MID(Base_Bruta!C1600,5,1)="-",DATE(VALUE(LEFT(Base_Bruta!C1600,4)),VALUE(MID(Base_Bruta!C1600,6,2)),VALUE(RIGHT(Base_Bruta!C1600,2))),DATE(VALUE(RIGHT(Base_Bruta!C1600,4)),VALUE(MID(Base_Bruta!C1600,4,2)),VALUE(LEFT(Base_Bruta!C1600,2))))))</f>
        <v>45892</v>
      </c>
      <c r="D1600" s="4" t="str">
        <f aca="false">IF($A1600="","",TRIM(Base_Bruta!D1600))</f>
        <v>Festival Montanhas BH 2025</v>
      </c>
      <c r="E1600" s="4" t="str">
        <f aca="false">IF($A1600="","",_xlfn.XLOOKUP(LOWER(TRIM(Base_Bruta!E1600)),DePara_Categoria!$A$2:$A$9,DePara_Categoria!$B$2:$B$9,"REVISAR"))</f>
        <v>Festival</v>
      </c>
      <c r="F1600" s="4" t="str">
        <f aca="false">IF($A1600="","",_xlfn.XLOOKUP(LOWER(TRIM(Base_Bruta!F1600)),DePara_Cidade!$A$2:$A$29,DePara_Cidade!$B$2:$B$29,"REVISAR"))</f>
        <v>Belo Horizonte</v>
      </c>
      <c r="G1600" s="4" t="str">
        <f aca="false">IF($A1600="","",TRIM(Base_Bruta!G1600))</f>
        <v>Meia</v>
      </c>
      <c r="H1600" s="4" t="n">
        <f aca="false">IF($A1600="","",IF(ISNUMBER(Base_Bruta!H1600),Base_Bruta!H1600,IFERROR(_xlfn.NUMBERVALUE(TRIM(SUBSTITUTE(Base_Bruta!H1600,"R$","")),",","."),0)))</f>
        <v>4</v>
      </c>
      <c r="I1600" s="6" t="n">
        <f aca="false">IF($A1600="","",IF(ISNUMBER(Base_Bruta!I1600),Base_Bruta!I1600,IFERROR(_xlfn.NUMBERVALUE(TRIM(SUBSTITUTE(Base_Bruta!I1600,"R$","")),",","."),0)))</f>
        <v>527.5</v>
      </c>
      <c r="J1600" s="6" t="n">
        <f aca="false">IF($A1600="","",H1600*I1600)</f>
        <v>2110</v>
      </c>
      <c r="K1600" s="4" t="str">
        <f aca="false">IF($A1600="","",TRIM(Base_Bruta!J1600))</f>
        <v>App</v>
      </c>
      <c r="L1600" s="4" t="str">
        <f aca="false">IF($A1600="","",TRIM(Base_Bruta!K1600))</f>
        <v>C00643</v>
      </c>
      <c r="M1600" s="4" t="str">
        <f aca="false">IF($A1600="","",_xlfn.XLOOKUP(LOWER(TRIM(Base_Bruta!L1600)),DePara_Cidade!$A$2:$A$29,DePara_Cidade!$B$2:$B$29,"REVISAR"))</f>
        <v>Goiânia</v>
      </c>
      <c r="N1600" s="4" t="str">
        <f aca="false">IF($A1600="","",UPPER(TRIM(Base_Bruta!M1600)))</f>
        <v>GO</v>
      </c>
      <c r="O1600" s="4" t="str">
        <f aca="false">IF($A1600="","",_xlfn.XLOOKUP(LOWER(TRIM(Base_Bruta!N1600)),DePara_Pais!$A$2:$A$9,DePara_Pais!$B$2:$B$9,"REVISAR"))</f>
        <v>Brasil</v>
      </c>
      <c r="P1600" s="4" t="str">
        <f aca="false">IF($A1600="","",IF(O1600&lt;&gt;"Brasil","Turista Internacional",IF(M1600=F1600,"Local","Turista Nacional")))</f>
        <v>Turista Nacional</v>
      </c>
      <c r="Q1600" s="7" t="n">
        <f aca="false">IF($A1600="","",DATE(YEAR(B1600),MONTH(B1600),1))</f>
        <v>45778</v>
      </c>
      <c r="R1600" s="4" t="str">
        <f aca="false">IF($A1600="","",IF(COUNTIF($A$2:$A1600,$A1600)&gt;1,"Sim","Não"))</f>
        <v>Não</v>
      </c>
      <c r="S1600" s="4" t="str">
        <f aca="false">IF(A1600="","Descartar - Linha vazia",IF(R1600="Sim","Descartar - Duplicado",IF(OR(H1600&lt;=0,I1600&lt;=0),"Descartar - Qtd/Valor inválido","OK")))</f>
        <v>OK</v>
      </c>
      <c r="T1600" s="4" t="str">
        <f aca="false">Base_Bruta!P1600</f>
        <v>vendas_MG.csv</v>
      </c>
    </row>
    <row r="1601" customFormat="false" ht="15" hidden="false" customHeight="false" outlineLevel="0" collapsed="false">
      <c r="A1601" s="4" t="str">
        <f aca="false">IF(Base_Bruta!A1601="","",Base_Bruta!A1601)</f>
        <v>MG-000170</v>
      </c>
      <c r="B1601" s="5" t="n">
        <f aca="false">IF($A1601="","",IF(ISNUMBER(Base_Bruta!B1601),Base_Bruta!B1601,IF(MID(Base_Bruta!B1601,5,1)="-",DATE(VALUE(LEFT(Base_Bruta!B1601,4)),VALUE(MID(Base_Bruta!B1601,6,2)),VALUE(RIGHT(Base_Bruta!B1601,2))),DATE(VALUE(RIGHT(Base_Bruta!B1601,4)),VALUE(MID(Base_Bruta!B1601,4,2)),VALUE(LEFT(Base_Bruta!B1601,2))))))</f>
        <v>45781</v>
      </c>
      <c r="C1601" s="5" t="n">
        <f aca="false">IF($A1601="","",IF(ISNUMBER(Base_Bruta!C1601),Base_Bruta!C1601,IF(MID(Base_Bruta!C1601,5,1)="-",DATE(VALUE(LEFT(Base_Bruta!C1601,4)),VALUE(MID(Base_Bruta!C1601,6,2)),VALUE(RIGHT(Base_Bruta!C1601,2))),DATE(VALUE(RIGHT(Base_Bruta!C1601,4)),VALUE(MID(Base_Bruta!C1601,4,2)),VALUE(LEFT(Base_Bruta!C1601,2))))))</f>
        <v>45892</v>
      </c>
      <c r="D1601" s="4" t="str">
        <f aca="false">IF($A1601="","",TRIM(Base_Bruta!D1601))</f>
        <v>Festival Montanhas BH 2025</v>
      </c>
      <c r="E1601" s="4" t="str">
        <f aca="false">IF($A1601="","",_xlfn.XLOOKUP(LOWER(TRIM(Base_Bruta!E1601)),DePara_Categoria!$A$2:$A$9,DePara_Categoria!$B$2:$B$9,"REVISAR"))</f>
        <v>Festival</v>
      </c>
      <c r="F1601" s="4" t="str">
        <f aca="false">IF($A1601="","",_xlfn.XLOOKUP(LOWER(TRIM(Base_Bruta!F1601)),DePara_Cidade!$A$2:$A$29,DePara_Cidade!$B$2:$B$29,"REVISAR"))</f>
        <v>Belo Horizonte</v>
      </c>
      <c r="G1601" s="4" t="str">
        <f aca="false">IF($A1601="","",TRIM(Base_Bruta!G1601))</f>
        <v>Inteira</v>
      </c>
      <c r="H1601" s="4" t="n">
        <f aca="false">IF($A1601="","",IF(ISNUMBER(Base_Bruta!H1601),Base_Bruta!H1601,IFERROR(_xlfn.NUMBERVALUE(TRIM(SUBSTITUTE(Base_Bruta!H1601,"R$","")),",","."),0)))</f>
        <v>2</v>
      </c>
      <c r="I1601" s="6" t="n">
        <f aca="false">IF($A1601="","",IF(ISNUMBER(Base_Bruta!I1601),Base_Bruta!I1601,IFERROR(_xlfn.NUMBERVALUE(TRIM(SUBSTITUTE(Base_Bruta!I1601,"R$","")),",","."),0)))</f>
        <v>945</v>
      </c>
      <c r="J1601" s="6" t="n">
        <f aca="false">IF($A1601="","",H1601*I1601)</f>
        <v>1890</v>
      </c>
      <c r="K1601" s="4" t="str">
        <f aca="false">IF($A1601="","",TRIM(Base_Bruta!J1601))</f>
        <v>Bilheteria</v>
      </c>
      <c r="L1601" s="4" t="str">
        <f aca="false">IF($A1601="","",TRIM(Base_Bruta!K1601))</f>
        <v>C02110</v>
      </c>
      <c r="M1601" s="4" t="str">
        <f aca="false">IF($A1601="","",_xlfn.XLOOKUP(LOWER(TRIM(Base_Bruta!L1601)),DePara_Cidade!$A$2:$A$29,DePara_Cidade!$B$2:$B$29,"REVISAR"))</f>
        <v>Belo Horizonte</v>
      </c>
      <c r="N1601" s="4" t="str">
        <f aca="false">IF($A1601="","",UPPER(TRIM(Base_Bruta!M1601)))</f>
        <v>MG</v>
      </c>
      <c r="O1601" s="4" t="str">
        <f aca="false">IF($A1601="","",_xlfn.XLOOKUP(LOWER(TRIM(Base_Bruta!N1601)),DePara_Pais!$A$2:$A$9,DePara_Pais!$B$2:$B$9,"REVISAR"))</f>
        <v>Brasil</v>
      </c>
      <c r="P1601" s="4" t="str">
        <f aca="false">IF($A1601="","",IF(O1601&lt;&gt;"Brasil","Turista Internacional",IF(M1601=F1601,"Local","Turista Nacional")))</f>
        <v>Local</v>
      </c>
      <c r="Q1601" s="7" t="n">
        <f aca="false">IF($A1601="","",DATE(YEAR(B1601),MONTH(B1601),1))</f>
        <v>45778</v>
      </c>
      <c r="R1601" s="4" t="str">
        <f aca="false">IF($A1601="","",IF(COUNTIF($A$2:$A1601,$A1601)&gt;1,"Sim","Não"))</f>
        <v>Não</v>
      </c>
      <c r="S1601" s="4" t="str">
        <f aca="false">IF(A1601="","Descartar - Linha vazia",IF(R1601="Sim","Descartar - Duplicado",IF(OR(H1601&lt;=0,I1601&lt;=0),"Descartar - Qtd/Valor inválido","OK")))</f>
        <v>OK</v>
      </c>
      <c r="T1601" s="4" t="str">
        <f aca="false">Base_Bruta!P1601</f>
        <v>vendas_MG.csv</v>
      </c>
    </row>
    <row r="1602" customFormat="false" ht="15" hidden="false" customHeight="false" outlineLevel="0" collapsed="false">
      <c r="A1602" s="4" t="str">
        <f aca="false">IF(Base_Bruta!A1602="","",Base_Bruta!A1602)</f>
        <v>MG-000441</v>
      </c>
      <c r="B1602" s="5" t="n">
        <f aca="false">IF($A1602="","",IF(ISNUMBER(Base_Bruta!B1602),Base_Bruta!B1602,IF(MID(Base_Bruta!B1602,5,1)="-",DATE(VALUE(LEFT(Base_Bruta!B1602,4)),VALUE(MID(Base_Bruta!B1602,6,2)),VALUE(RIGHT(Base_Bruta!B1602,2))),DATE(VALUE(RIGHT(Base_Bruta!B1602,4)),VALUE(MID(Base_Bruta!B1602,4,2)),VALUE(LEFT(Base_Bruta!B1602,2))))))</f>
        <v>45781</v>
      </c>
      <c r="C1602" s="5" t="n">
        <f aca="false">IF($A1602="","",IF(ISNUMBER(Base_Bruta!C1602),Base_Bruta!C1602,IF(MID(Base_Bruta!C1602,5,1)="-",DATE(VALUE(LEFT(Base_Bruta!C1602,4)),VALUE(MID(Base_Bruta!C1602,6,2)),VALUE(RIGHT(Base_Bruta!C1602,2))),DATE(VALUE(RIGHT(Base_Bruta!C1602,4)),VALUE(MID(Base_Bruta!C1602,4,2)),VALUE(LEFT(Base_Bruta!C1602,2))))))</f>
        <v>45784</v>
      </c>
      <c r="D1602" s="4" t="str">
        <f aca="false">IF($A1602="","",TRIM(Base_Bruta!D1602))</f>
        <v>Cinema Savassi - Sessões</v>
      </c>
      <c r="E1602" s="4" t="str">
        <f aca="false">IF($A1602="","",_xlfn.XLOOKUP(LOWER(TRIM(Base_Bruta!E1602)),DePara_Categoria!$A$2:$A$9,DePara_Categoria!$B$2:$B$9,"REVISAR"))</f>
        <v>Cinema</v>
      </c>
      <c r="F1602" s="4" t="str">
        <f aca="false">IF($A1602="","",_xlfn.XLOOKUP(LOWER(TRIM(Base_Bruta!F1602)),DePara_Cidade!$A$2:$A$29,DePara_Cidade!$B$2:$B$29,"REVISAR"))</f>
        <v>Belo Horizonte</v>
      </c>
      <c r="G1602" s="4" t="str">
        <f aca="false">IF($A1602="","",TRIM(Base_Bruta!G1602))</f>
        <v>Meia</v>
      </c>
      <c r="H1602" s="4" t="n">
        <f aca="false">IF($A1602="","",IF(ISNUMBER(Base_Bruta!H1602),Base_Bruta!H1602,IFERROR(_xlfn.NUMBERVALUE(TRIM(SUBSTITUTE(Base_Bruta!H1602,"R$","")),",","."),0)))</f>
        <v>1</v>
      </c>
      <c r="I1602" s="6" t="n">
        <f aca="false">IF($A1602="","",IF(ISNUMBER(Base_Bruta!I1602),Base_Bruta!I1602,IFERROR(_xlfn.NUMBERVALUE(TRIM(SUBSTITUTE(Base_Bruta!I1602,"R$","")),",","."),0)))</f>
        <v>22.5</v>
      </c>
      <c r="J1602" s="6" t="n">
        <f aca="false">IF($A1602="","",H1602*I1602)</f>
        <v>22.5</v>
      </c>
      <c r="K1602" s="4" t="str">
        <f aca="false">IF($A1602="","",TRIM(Base_Bruta!J1602))</f>
        <v>App</v>
      </c>
      <c r="L1602" s="4" t="str">
        <f aca="false">IF($A1602="","",TRIM(Base_Bruta!K1602))</f>
        <v>C01615</v>
      </c>
      <c r="M1602" s="4" t="str">
        <f aca="false">IF($A1602="","",_xlfn.XLOOKUP(LOWER(TRIM(Base_Bruta!L1602)),DePara_Cidade!$A$2:$A$29,DePara_Cidade!$B$2:$B$29,"REVISAR"))</f>
        <v>Belo Horizonte</v>
      </c>
      <c r="N1602" s="4" t="str">
        <f aca="false">IF($A1602="","",UPPER(TRIM(Base_Bruta!M1602)))</f>
        <v>MG</v>
      </c>
      <c r="O1602" s="4" t="str">
        <f aca="false">IF($A1602="","",_xlfn.XLOOKUP(LOWER(TRIM(Base_Bruta!N1602)),DePara_Pais!$A$2:$A$9,DePara_Pais!$B$2:$B$9,"REVISAR"))</f>
        <v>Brasil</v>
      </c>
      <c r="P1602" s="4" t="str">
        <f aca="false">IF($A1602="","",IF(O1602&lt;&gt;"Brasil","Turista Internacional",IF(M1602=F1602,"Local","Turista Nacional")))</f>
        <v>Local</v>
      </c>
      <c r="Q1602" s="7" t="n">
        <f aca="false">IF($A1602="","",DATE(YEAR(B1602),MONTH(B1602),1))</f>
        <v>45778</v>
      </c>
      <c r="R1602" s="4" t="str">
        <f aca="false">IF($A1602="","",IF(COUNTIF($A$2:$A1602,$A1602)&gt;1,"Sim","Não"))</f>
        <v>Não</v>
      </c>
      <c r="S1602" s="4" t="str">
        <f aca="false">IF(A1602="","Descartar - Linha vazia",IF(R1602="Sim","Descartar - Duplicado",IF(OR(H1602&lt;=0,I1602&lt;=0),"Descartar - Qtd/Valor inválido","OK")))</f>
        <v>OK</v>
      </c>
      <c r="T1602" s="4" t="str">
        <f aca="false">Base_Bruta!P1602</f>
        <v>vendas_MG.csv</v>
      </c>
    </row>
    <row r="1603" customFormat="false" ht="15" hidden="false" customHeight="false" outlineLevel="0" collapsed="false">
      <c r="A1603" s="4" t="str">
        <f aca="false">IF(Base_Bruta!A1603="","",Base_Bruta!A1603)</f>
        <v>MG-000024</v>
      </c>
      <c r="B1603" s="5" t="n">
        <f aca="false">IF($A1603="","",IF(ISNUMBER(Base_Bruta!B1603),Base_Bruta!B1603,IF(MID(Base_Bruta!B1603,5,1)="-",DATE(VALUE(LEFT(Base_Bruta!B1603,4)),VALUE(MID(Base_Bruta!B1603,6,2)),VALUE(RIGHT(Base_Bruta!B1603,2))),DATE(VALUE(RIGHT(Base_Bruta!B1603,4)),VALUE(MID(Base_Bruta!B1603,4,2)),VALUE(LEFT(Base_Bruta!B1603,2))))))</f>
        <v>45782</v>
      </c>
      <c r="C1603" s="5" t="n">
        <f aca="false">IF($A1603="","",IF(ISNUMBER(Base_Bruta!C1603),Base_Bruta!C1603,IF(MID(Base_Bruta!C1603,5,1)="-",DATE(VALUE(LEFT(Base_Bruta!C1603,4)),VALUE(MID(Base_Bruta!C1603,6,2)),VALUE(RIGHT(Base_Bruta!C1603,2))),DATE(VALUE(RIGHT(Base_Bruta!C1603,4)),VALUE(MID(Base_Bruta!C1603,4,2)),VALUE(LEFT(Base_Bruta!C1603,2))))))</f>
        <v>45892</v>
      </c>
      <c r="D1603" s="4" t="str">
        <f aca="false">IF($A1603="","",TRIM(Base_Bruta!D1603))</f>
        <v>Festival Montanhas BH 2025</v>
      </c>
      <c r="E1603" s="4" t="str">
        <f aca="false">IF($A1603="","",_xlfn.XLOOKUP(LOWER(TRIM(Base_Bruta!E1603)),DePara_Categoria!$A$2:$A$9,DePara_Categoria!$B$2:$B$9,"REVISAR"))</f>
        <v>Festival</v>
      </c>
      <c r="F1603" s="4" t="str">
        <f aca="false">IF($A1603="","",_xlfn.XLOOKUP(LOWER(TRIM(Base_Bruta!F1603)),DePara_Cidade!$A$2:$A$29,DePara_Cidade!$B$2:$B$29,"REVISAR"))</f>
        <v>Belo Horizonte</v>
      </c>
      <c r="G1603" s="4" t="str">
        <f aca="false">IF($A1603="","",TRIM(Base_Bruta!G1603))</f>
        <v>Inteira</v>
      </c>
      <c r="H1603" s="4" t="n">
        <f aca="false">IF($A1603="","",IF(ISNUMBER(Base_Bruta!H1603),Base_Bruta!H1603,IFERROR(_xlfn.NUMBERVALUE(TRIM(SUBSTITUTE(Base_Bruta!H1603,"R$","")),",","."),0)))</f>
        <v>2</v>
      </c>
      <c r="I1603" s="6" t="n">
        <f aca="false">IF($A1603="","",IF(ISNUMBER(Base_Bruta!I1603),Base_Bruta!I1603,IFERROR(_xlfn.NUMBERVALUE(TRIM(SUBSTITUTE(Base_Bruta!I1603,"R$","")),",","."),0)))</f>
        <v>755</v>
      </c>
      <c r="J1603" s="6" t="n">
        <f aca="false">IF($A1603="","",H1603*I1603)</f>
        <v>1510</v>
      </c>
      <c r="K1603" s="4" t="str">
        <f aca="false">IF($A1603="","",TRIM(Base_Bruta!J1603))</f>
        <v>Parceiro</v>
      </c>
      <c r="L1603" s="4" t="str">
        <f aca="false">IF($A1603="","",TRIM(Base_Bruta!K1603))</f>
        <v>C02214</v>
      </c>
      <c r="M1603" s="4" t="str">
        <f aca="false">IF($A1603="","",_xlfn.XLOOKUP(LOWER(TRIM(Base_Bruta!L1603)),DePara_Cidade!$A$2:$A$29,DePara_Cidade!$B$2:$B$29,"REVISAR"))</f>
        <v>Contagem</v>
      </c>
      <c r="N1603" s="4" t="str">
        <f aca="false">IF($A1603="","",UPPER(TRIM(Base_Bruta!M1603)))</f>
        <v>MG</v>
      </c>
      <c r="O1603" s="4" t="str">
        <f aca="false">IF($A1603="","",_xlfn.XLOOKUP(LOWER(TRIM(Base_Bruta!N1603)),DePara_Pais!$A$2:$A$9,DePara_Pais!$B$2:$B$9,"REVISAR"))</f>
        <v>Brasil</v>
      </c>
      <c r="P1603" s="4" t="str">
        <f aca="false">IF($A1603="","",IF(O1603&lt;&gt;"Brasil","Turista Internacional",IF(M1603=F1603,"Local","Turista Nacional")))</f>
        <v>Turista Nacional</v>
      </c>
      <c r="Q1603" s="7" t="n">
        <f aca="false">IF($A1603="","",DATE(YEAR(B1603),MONTH(B1603),1))</f>
        <v>45778</v>
      </c>
      <c r="R1603" s="4" t="str">
        <f aca="false">IF($A1603="","",IF(COUNTIF($A$2:$A1603,$A1603)&gt;1,"Sim","Não"))</f>
        <v>Não</v>
      </c>
      <c r="S1603" s="4" t="str">
        <f aca="false">IF(A1603="","Descartar - Linha vazia",IF(R1603="Sim","Descartar - Duplicado",IF(OR(H1603&lt;=0,I1603&lt;=0),"Descartar - Qtd/Valor inválido","OK")))</f>
        <v>OK</v>
      </c>
      <c r="T1603" s="4" t="str">
        <f aca="false">Base_Bruta!P1603</f>
        <v>vendas_MG.csv</v>
      </c>
    </row>
    <row r="1604" customFormat="false" ht="15" hidden="false" customHeight="false" outlineLevel="0" collapsed="false">
      <c r="A1604" s="4" t="str">
        <f aca="false">IF(Base_Bruta!A1604="","",Base_Bruta!A1604)</f>
        <v>MG-000033</v>
      </c>
      <c r="B1604" s="5" t="n">
        <f aca="false">IF($A1604="","",IF(ISNUMBER(Base_Bruta!B1604),Base_Bruta!B1604,IF(MID(Base_Bruta!B1604,5,1)="-",DATE(VALUE(LEFT(Base_Bruta!B1604,4)),VALUE(MID(Base_Bruta!B1604,6,2)),VALUE(RIGHT(Base_Bruta!B1604,2))),DATE(VALUE(RIGHT(Base_Bruta!B1604,4)),VALUE(MID(Base_Bruta!B1604,4,2)),VALUE(LEFT(Base_Bruta!B1604,2))))))</f>
        <v>45782</v>
      </c>
      <c r="C1604" s="5" t="n">
        <f aca="false">IF($A1604="","",IF(ISNUMBER(Base_Bruta!C1604),Base_Bruta!C1604,IF(MID(Base_Bruta!C1604,5,1)="-",DATE(VALUE(LEFT(Base_Bruta!C1604,4)),VALUE(MID(Base_Bruta!C1604,6,2)),VALUE(RIGHT(Base_Bruta!C1604,2))),DATE(VALUE(RIGHT(Base_Bruta!C1604,4)),VALUE(MID(Base_Bruta!C1604,4,2)),VALUE(LEFT(Base_Bruta!C1604,2))))))</f>
        <v>45892</v>
      </c>
      <c r="D1604" s="4" t="str">
        <f aca="false">IF($A1604="","",TRIM(Base_Bruta!D1604))</f>
        <v>Festival Montanhas BH 2025</v>
      </c>
      <c r="E1604" s="4" t="str">
        <f aca="false">IF($A1604="","",_xlfn.XLOOKUP(LOWER(TRIM(Base_Bruta!E1604)),DePara_Categoria!$A$2:$A$9,DePara_Categoria!$B$2:$B$9,"REVISAR"))</f>
        <v>Festival</v>
      </c>
      <c r="F1604" s="4" t="str">
        <f aca="false">IF($A1604="","",_xlfn.XLOOKUP(LOWER(TRIM(Base_Bruta!F1604)),DePara_Cidade!$A$2:$A$29,DePara_Cidade!$B$2:$B$29,"REVISAR"))</f>
        <v>Belo Horizonte</v>
      </c>
      <c r="G1604" s="4" t="str">
        <f aca="false">IF($A1604="","",TRIM(Base_Bruta!G1604))</f>
        <v>Meia</v>
      </c>
      <c r="H1604" s="4" t="n">
        <f aca="false">IF($A1604="","",IF(ISNUMBER(Base_Bruta!H1604),Base_Bruta!H1604,IFERROR(_xlfn.NUMBERVALUE(TRIM(SUBSTITUTE(Base_Bruta!H1604,"R$","")),",","."),0)))</f>
        <v>3</v>
      </c>
      <c r="I1604" s="6" t="n">
        <f aca="false">IF($A1604="","",IF(ISNUMBER(Base_Bruta!I1604),Base_Bruta!I1604,IFERROR(_xlfn.NUMBERVALUE(TRIM(SUBSTITUTE(Base_Bruta!I1604,"R$","")),",","."),0)))</f>
        <v>410</v>
      </c>
      <c r="J1604" s="6" t="n">
        <f aca="false">IF($A1604="","",H1604*I1604)</f>
        <v>1230</v>
      </c>
      <c r="K1604" s="4" t="str">
        <f aca="false">IF($A1604="","",TRIM(Base_Bruta!J1604))</f>
        <v>Site</v>
      </c>
      <c r="L1604" s="4" t="str">
        <f aca="false">IF($A1604="","",TRIM(Base_Bruta!K1604))</f>
        <v>C02139</v>
      </c>
      <c r="M1604" s="4" t="str">
        <f aca="false">IF($A1604="","",_xlfn.XLOOKUP(LOWER(TRIM(Base_Bruta!L1604)),DePara_Cidade!$A$2:$A$29,DePara_Cidade!$B$2:$B$29,"REVISAR"))</f>
        <v>Contagem</v>
      </c>
      <c r="N1604" s="4" t="str">
        <f aca="false">IF($A1604="","",UPPER(TRIM(Base_Bruta!M1604)))</f>
        <v>MG</v>
      </c>
      <c r="O1604" s="4" t="str">
        <f aca="false">IF($A1604="","",_xlfn.XLOOKUP(LOWER(TRIM(Base_Bruta!N1604)),DePara_Pais!$A$2:$A$9,DePara_Pais!$B$2:$B$9,"REVISAR"))</f>
        <v>Brasil</v>
      </c>
      <c r="P1604" s="4" t="str">
        <f aca="false">IF($A1604="","",IF(O1604&lt;&gt;"Brasil","Turista Internacional",IF(M1604=F1604,"Local","Turista Nacional")))</f>
        <v>Turista Nacional</v>
      </c>
      <c r="Q1604" s="7" t="n">
        <f aca="false">IF($A1604="","",DATE(YEAR(B1604),MONTH(B1604),1))</f>
        <v>45778</v>
      </c>
      <c r="R1604" s="4" t="str">
        <f aca="false">IF($A1604="","",IF(COUNTIF($A$2:$A1604,$A1604)&gt;1,"Sim","Não"))</f>
        <v>Não</v>
      </c>
      <c r="S1604" s="4" t="str">
        <f aca="false">IF(A1604="","Descartar - Linha vazia",IF(R1604="Sim","Descartar - Duplicado",IF(OR(H1604&lt;=0,I1604&lt;=0),"Descartar - Qtd/Valor inválido","OK")))</f>
        <v>OK</v>
      </c>
      <c r="T1604" s="4" t="str">
        <f aca="false">Base_Bruta!P1604</f>
        <v>vendas_MG.csv</v>
      </c>
    </row>
    <row r="1605" customFormat="false" ht="15" hidden="false" customHeight="false" outlineLevel="0" collapsed="false">
      <c r="A1605" s="4" t="str">
        <f aca="false">IF(Base_Bruta!A1605="","",Base_Bruta!A1605)</f>
        <v>MG-000181</v>
      </c>
      <c r="B1605" s="5" t="n">
        <f aca="false">IF($A1605="","",IF(ISNUMBER(Base_Bruta!B1605),Base_Bruta!B1605,IF(MID(Base_Bruta!B1605,5,1)="-",DATE(VALUE(LEFT(Base_Bruta!B1605,4)),VALUE(MID(Base_Bruta!B1605,6,2)),VALUE(RIGHT(Base_Bruta!B1605,2))),DATE(VALUE(RIGHT(Base_Bruta!B1605,4)),VALUE(MID(Base_Bruta!B1605,4,2)),VALUE(LEFT(Base_Bruta!B1605,2))))))</f>
        <v>45782</v>
      </c>
      <c r="C1605" s="5" t="n">
        <f aca="false">IF($A1605="","",IF(ISNUMBER(Base_Bruta!C1605),Base_Bruta!C1605,IF(MID(Base_Bruta!C1605,5,1)="-",DATE(VALUE(LEFT(Base_Bruta!C1605,4)),VALUE(MID(Base_Bruta!C1605,6,2)),VALUE(RIGHT(Base_Bruta!C1605,2))),DATE(VALUE(RIGHT(Base_Bruta!C1605,4)),VALUE(MID(Base_Bruta!C1605,4,2)),VALUE(LEFT(Base_Bruta!C1605,2))))))</f>
        <v>45892</v>
      </c>
      <c r="D1605" s="4" t="str">
        <f aca="false">IF($A1605="","",TRIM(Base_Bruta!D1605))</f>
        <v>Festival Montanhas BH 2025</v>
      </c>
      <c r="E1605" s="4" t="str">
        <f aca="false">IF($A1605="","",_xlfn.XLOOKUP(LOWER(TRIM(Base_Bruta!E1605)),DePara_Categoria!$A$2:$A$9,DePara_Categoria!$B$2:$B$9,"REVISAR"))</f>
        <v>Festival</v>
      </c>
      <c r="F1605" s="4" t="str">
        <f aca="false">IF($A1605="","",_xlfn.XLOOKUP(LOWER(TRIM(Base_Bruta!F1605)),DePara_Cidade!$A$2:$A$29,DePara_Cidade!$B$2:$B$29,"REVISAR"))</f>
        <v>Belo Horizonte</v>
      </c>
      <c r="G1605" s="4" t="str">
        <f aca="false">IF($A1605="","",TRIM(Base_Bruta!G1605))</f>
        <v>VIP</v>
      </c>
      <c r="H1605" s="4" t="n">
        <f aca="false">IF($A1605="","",IF(ISNUMBER(Base_Bruta!H1605),Base_Bruta!H1605,IFERROR(_xlfn.NUMBERVALUE(TRIM(SUBSTITUTE(Base_Bruta!H1605,"R$","")),",","."),0)))</f>
        <v>4</v>
      </c>
      <c r="I1605" s="6" t="n">
        <f aca="false">IF($A1605="","",IF(ISNUMBER(Base_Bruta!I1605),Base_Bruta!I1605,IFERROR(_xlfn.NUMBERVALUE(TRIM(SUBSTITUTE(Base_Bruta!I1605,"R$","")),",","."),0)))</f>
        <v>2170</v>
      </c>
      <c r="J1605" s="6" t="n">
        <f aca="false">IF($A1605="","",H1605*I1605)</f>
        <v>8680</v>
      </c>
      <c r="K1605" s="4" t="str">
        <f aca="false">IF($A1605="","",TRIM(Base_Bruta!J1605))</f>
        <v>App</v>
      </c>
      <c r="L1605" s="4" t="str">
        <f aca="false">IF($A1605="","",TRIM(Base_Bruta!K1605))</f>
        <v>C01612</v>
      </c>
      <c r="M1605" s="4" t="str">
        <f aca="false">IF($A1605="","",_xlfn.XLOOKUP(LOWER(TRIM(Base_Bruta!L1605)),DePara_Cidade!$A$2:$A$29,DePara_Cidade!$B$2:$B$29,"REVISAR"))</f>
        <v>Belo Horizonte</v>
      </c>
      <c r="N1605" s="4" t="str">
        <f aca="false">IF($A1605="","",UPPER(TRIM(Base_Bruta!M1605)))</f>
        <v>MG</v>
      </c>
      <c r="O1605" s="4" t="str">
        <f aca="false">IF($A1605="","",_xlfn.XLOOKUP(LOWER(TRIM(Base_Bruta!N1605)),DePara_Pais!$A$2:$A$9,DePara_Pais!$B$2:$B$9,"REVISAR"))</f>
        <v>Brasil</v>
      </c>
      <c r="P1605" s="4" t="str">
        <f aca="false">IF($A1605="","",IF(O1605&lt;&gt;"Brasil","Turista Internacional",IF(M1605=F1605,"Local","Turista Nacional")))</f>
        <v>Local</v>
      </c>
      <c r="Q1605" s="7" t="n">
        <f aca="false">IF($A1605="","",DATE(YEAR(B1605),MONTH(B1605),1))</f>
        <v>45778</v>
      </c>
      <c r="R1605" s="4" t="str">
        <f aca="false">IF($A1605="","",IF(COUNTIF($A$2:$A1605,$A1605)&gt;1,"Sim","Não"))</f>
        <v>Não</v>
      </c>
      <c r="S1605" s="4" t="str">
        <f aca="false">IF(A1605="","Descartar - Linha vazia",IF(R1605="Sim","Descartar - Duplicado",IF(OR(H1605&lt;=0,I1605&lt;=0),"Descartar - Qtd/Valor inválido","OK")))</f>
        <v>OK</v>
      </c>
      <c r="T1605" s="4" t="str">
        <f aca="false">Base_Bruta!P1605</f>
        <v>vendas_MG.csv</v>
      </c>
    </row>
    <row r="1606" customFormat="false" ht="15" hidden="false" customHeight="false" outlineLevel="0" collapsed="false">
      <c r="A1606" s="4" t="str">
        <f aca="false">IF(Base_Bruta!A1606="","",Base_Bruta!A1606)</f>
        <v>MG-000400</v>
      </c>
      <c r="B1606" s="5" t="n">
        <f aca="false">IF($A1606="","",IF(ISNUMBER(Base_Bruta!B1606),Base_Bruta!B1606,IF(MID(Base_Bruta!B1606,5,1)="-",DATE(VALUE(LEFT(Base_Bruta!B1606,4)),VALUE(MID(Base_Bruta!B1606,6,2)),VALUE(RIGHT(Base_Bruta!B1606,2))),DATE(VALUE(RIGHT(Base_Bruta!B1606,4)),VALUE(MID(Base_Bruta!B1606,4,2)),VALUE(LEFT(Base_Bruta!B1606,2))))))</f>
        <v>45782</v>
      </c>
      <c r="C1606" s="5" t="n">
        <f aca="false">IF($A1606="","",IF(ISNUMBER(Base_Bruta!C1606),Base_Bruta!C1606,IF(MID(Base_Bruta!C1606,5,1)="-",DATE(VALUE(LEFT(Base_Bruta!C1606,4)),VALUE(MID(Base_Bruta!C1606,6,2)),VALUE(RIGHT(Base_Bruta!C1606,2))),DATE(VALUE(RIGHT(Base_Bruta!C1606,4)),VALUE(MID(Base_Bruta!C1606,4,2)),VALUE(LEFT(Base_Bruta!C1606,2))))))</f>
        <v>45783</v>
      </c>
      <c r="D1606" s="4" t="str">
        <f aca="false">IF($A1606="","",TRIM(Base_Bruta!D1606))</f>
        <v>Cinema Savassi - Sessões</v>
      </c>
      <c r="E1606" s="4" t="str">
        <f aca="false">IF($A1606="","",_xlfn.XLOOKUP(LOWER(TRIM(Base_Bruta!E1606)),DePara_Categoria!$A$2:$A$9,DePara_Categoria!$B$2:$B$9,"REVISAR"))</f>
        <v>Cinema</v>
      </c>
      <c r="F1606" s="4" t="str">
        <f aca="false">IF($A1606="","",_xlfn.XLOOKUP(LOWER(TRIM(Base_Bruta!F1606)),DePara_Cidade!$A$2:$A$29,DePara_Cidade!$B$2:$B$29,"REVISAR"))</f>
        <v>Belo Horizonte</v>
      </c>
      <c r="G1606" s="4" t="str">
        <f aca="false">IF($A1606="","",TRIM(Base_Bruta!G1606))</f>
        <v>Inteira</v>
      </c>
      <c r="H1606" s="4" t="n">
        <f aca="false">IF($A1606="","",IF(ISNUMBER(Base_Bruta!H1606),Base_Bruta!H1606,IFERROR(_xlfn.NUMBERVALUE(TRIM(SUBSTITUTE(Base_Bruta!H1606,"R$","")),",","."),0)))</f>
        <v>2</v>
      </c>
      <c r="I1606" s="6" t="n">
        <f aca="false">IF($A1606="","",IF(ISNUMBER(Base_Bruta!I1606),Base_Bruta!I1606,IFERROR(_xlfn.NUMBERVALUE(TRIM(SUBSTITUTE(Base_Bruta!I1606,"R$","")),",","."),0)))</f>
        <v>45</v>
      </c>
      <c r="J1606" s="6" t="n">
        <f aca="false">IF($A1606="","",H1606*I1606)</f>
        <v>90</v>
      </c>
      <c r="K1606" s="4" t="str">
        <f aca="false">IF($A1606="","",TRIM(Base_Bruta!J1606))</f>
        <v>Site</v>
      </c>
      <c r="L1606" s="4" t="str">
        <f aca="false">IF($A1606="","",TRIM(Base_Bruta!K1606))</f>
        <v>C01021</v>
      </c>
      <c r="M1606" s="4" t="str">
        <f aca="false">IF($A1606="","",_xlfn.XLOOKUP(LOWER(TRIM(Base_Bruta!L1606)),DePara_Cidade!$A$2:$A$29,DePara_Cidade!$B$2:$B$29,"REVISAR"))</f>
        <v>Belo Horizonte</v>
      </c>
      <c r="N1606" s="4" t="str">
        <f aca="false">IF($A1606="","",UPPER(TRIM(Base_Bruta!M1606)))</f>
        <v>MG</v>
      </c>
      <c r="O1606" s="4" t="str">
        <f aca="false">IF($A1606="","",_xlfn.XLOOKUP(LOWER(TRIM(Base_Bruta!N1606)),DePara_Pais!$A$2:$A$9,DePara_Pais!$B$2:$B$9,"REVISAR"))</f>
        <v>Brasil</v>
      </c>
      <c r="P1606" s="4" t="str">
        <f aca="false">IF($A1606="","",IF(O1606&lt;&gt;"Brasil","Turista Internacional",IF(M1606=F1606,"Local","Turista Nacional")))</f>
        <v>Local</v>
      </c>
      <c r="Q1606" s="7" t="n">
        <f aca="false">IF($A1606="","",DATE(YEAR(B1606),MONTH(B1606),1))</f>
        <v>45778</v>
      </c>
      <c r="R1606" s="4" t="str">
        <f aca="false">IF($A1606="","",IF(COUNTIF($A$2:$A1606,$A1606)&gt;1,"Sim","Não"))</f>
        <v>Não</v>
      </c>
      <c r="S1606" s="4" t="str">
        <f aca="false">IF(A1606="","Descartar - Linha vazia",IF(R1606="Sim","Descartar - Duplicado",IF(OR(H1606&lt;=0,I1606&lt;=0),"Descartar - Qtd/Valor inválido","OK")))</f>
        <v>OK</v>
      </c>
      <c r="T1606" s="4" t="str">
        <f aca="false">Base_Bruta!P1606</f>
        <v>vendas_MG.csv</v>
      </c>
    </row>
    <row r="1607" customFormat="false" ht="15" hidden="false" customHeight="false" outlineLevel="0" collapsed="false">
      <c r="A1607" s="4" t="str">
        <f aca="false">IF(Base_Bruta!A1607="","",Base_Bruta!A1607)</f>
        <v>MG-000026</v>
      </c>
      <c r="B1607" s="5" t="n">
        <f aca="false">IF($A1607="","",IF(ISNUMBER(Base_Bruta!B1607),Base_Bruta!B1607,IF(MID(Base_Bruta!B1607,5,1)="-",DATE(VALUE(LEFT(Base_Bruta!B1607,4)),VALUE(MID(Base_Bruta!B1607,6,2)),VALUE(RIGHT(Base_Bruta!B1607,2))),DATE(VALUE(RIGHT(Base_Bruta!B1607,4)),VALUE(MID(Base_Bruta!B1607,4,2)),VALUE(LEFT(Base_Bruta!B1607,2))))))</f>
        <v>45783</v>
      </c>
      <c r="C1607" s="5" t="n">
        <f aca="false">IF($A1607="","",IF(ISNUMBER(Base_Bruta!C1607),Base_Bruta!C1607,IF(MID(Base_Bruta!C1607,5,1)="-",DATE(VALUE(LEFT(Base_Bruta!C1607,4)),VALUE(MID(Base_Bruta!C1607,6,2)),VALUE(RIGHT(Base_Bruta!C1607,2))),DATE(VALUE(RIGHT(Base_Bruta!C1607,4)),VALUE(MID(Base_Bruta!C1607,4,2)),VALUE(LEFT(Base_Bruta!C1607,2))))))</f>
        <v>45892</v>
      </c>
      <c r="D1607" s="4" t="str">
        <f aca="false">IF($A1607="","",TRIM(Base_Bruta!D1607))</f>
        <v>Festival Montanhas BH 2025</v>
      </c>
      <c r="E1607" s="4" t="str">
        <f aca="false">IF($A1607="","",_xlfn.XLOOKUP(LOWER(TRIM(Base_Bruta!E1607)),DePara_Categoria!$A$2:$A$9,DePara_Categoria!$B$2:$B$9,"REVISAR"))</f>
        <v>Festival</v>
      </c>
      <c r="F1607" s="4" t="str">
        <f aca="false">IF($A1607="","",_xlfn.XLOOKUP(LOWER(TRIM(Base_Bruta!F1607)),DePara_Cidade!$A$2:$A$29,DePara_Cidade!$B$2:$B$29,"REVISAR"))</f>
        <v>Belo Horizonte</v>
      </c>
      <c r="G1607" s="4" t="str">
        <f aca="false">IF($A1607="","",TRIM(Base_Bruta!G1607))</f>
        <v>VIP</v>
      </c>
      <c r="H1607" s="4" t="n">
        <f aca="false">IF($A1607="","",IF(ISNUMBER(Base_Bruta!H1607),Base_Bruta!H1607,IFERROR(_xlfn.NUMBERVALUE(TRIM(SUBSTITUTE(Base_Bruta!H1607,"R$","")),",","."),0)))</f>
        <v>2</v>
      </c>
      <c r="I1607" s="6" t="n">
        <f aca="false">IF($A1607="","",IF(ISNUMBER(Base_Bruta!I1607),Base_Bruta!I1607,IFERROR(_xlfn.NUMBERVALUE(TRIM(SUBSTITUTE(Base_Bruta!I1607,"R$","")),",","."),0)))</f>
        <v>2140</v>
      </c>
      <c r="J1607" s="6" t="n">
        <f aca="false">IF($A1607="","",H1607*I1607)</f>
        <v>4280</v>
      </c>
      <c r="K1607" s="4" t="str">
        <f aca="false">IF($A1607="","",TRIM(Base_Bruta!J1607))</f>
        <v>Site</v>
      </c>
      <c r="L1607" s="4" t="str">
        <f aca="false">IF($A1607="","",TRIM(Base_Bruta!K1607))</f>
        <v>C02441</v>
      </c>
      <c r="M1607" s="4" t="str">
        <f aca="false">IF($A1607="","",_xlfn.XLOOKUP(LOWER(TRIM(Base_Bruta!L1607)),DePara_Cidade!$A$2:$A$29,DePara_Cidade!$B$2:$B$29,"REVISAR"))</f>
        <v>Belo Horizonte</v>
      </c>
      <c r="N1607" s="4" t="str">
        <f aca="false">IF($A1607="","",UPPER(TRIM(Base_Bruta!M1607)))</f>
        <v>MG</v>
      </c>
      <c r="O1607" s="4" t="str">
        <f aca="false">IF($A1607="","",_xlfn.XLOOKUP(LOWER(TRIM(Base_Bruta!N1607)),DePara_Pais!$A$2:$A$9,DePara_Pais!$B$2:$B$9,"REVISAR"))</f>
        <v>Brasil</v>
      </c>
      <c r="P1607" s="4" t="str">
        <f aca="false">IF($A1607="","",IF(O1607&lt;&gt;"Brasil","Turista Internacional",IF(M1607=F1607,"Local","Turista Nacional")))</f>
        <v>Local</v>
      </c>
      <c r="Q1607" s="7" t="n">
        <f aca="false">IF($A1607="","",DATE(YEAR(B1607),MONTH(B1607),1))</f>
        <v>45778</v>
      </c>
      <c r="R1607" s="4" t="str">
        <f aca="false">IF($A1607="","",IF(COUNTIF($A$2:$A1607,$A1607)&gt;1,"Sim","Não"))</f>
        <v>Não</v>
      </c>
      <c r="S1607" s="4" t="str">
        <f aca="false">IF(A1607="","Descartar - Linha vazia",IF(R1607="Sim","Descartar - Duplicado",IF(OR(H1607&lt;=0,I1607&lt;=0),"Descartar - Qtd/Valor inválido","OK")))</f>
        <v>OK</v>
      </c>
      <c r="T1607" s="4" t="str">
        <f aca="false">Base_Bruta!P1607</f>
        <v>vendas_MG.csv</v>
      </c>
    </row>
    <row r="1608" customFormat="false" ht="15" hidden="false" customHeight="false" outlineLevel="0" collapsed="false">
      <c r="A1608" s="4" t="str">
        <f aca="false">IF(Base_Bruta!A1608="","",Base_Bruta!A1608)</f>
        <v>MG-000069</v>
      </c>
      <c r="B1608" s="5" t="n">
        <f aca="false">IF($A1608="","",IF(ISNUMBER(Base_Bruta!B1608),Base_Bruta!B1608,IF(MID(Base_Bruta!B1608,5,1)="-",DATE(VALUE(LEFT(Base_Bruta!B1608,4)),VALUE(MID(Base_Bruta!B1608,6,2)),VALUE(RIGHT(Base_Bruta!B1608,2))),DATE(VALUE(RIGHT(Base_Bruta!B1608,4)),VALUE(MID(Base_Bruta!B1608,4,2)),VALUE(LEFT(Base_Bruta!B1608,2))))))</f>
        <v>45783</v>
      </c>
      <c r="C1608" s="5" t="n">
        <f aca="false">IF($A1608="","",IF(ISNUMBER(Base_Bruta!C1608),Base_Bruta!C1608,IF(MID(Base_Bruta!C1608,5,1)="-",DATE(VALUE(LEFT(Base_Bruta!C1608,4)),VALUE(MID(Base_Bruta!C1608,6,2)),VALUE(RIGHT(Base_Bruta!C1608,2))),DATE(VALUE(RIGHT(Base_Bruta!C1608,4)),VALUE(MID(Base_Bruta!C1608,4,2)),VALUE(LEFT(Base_Bruta!C1608,2))))))</f>
        <v>45892</v>
      </c>
      <c r="D1608" s="4" t="str">
        <f aca="false">IF($A1608="","",TRIM(Base_Bruta!D1608))</f>
        <v>Festival Montanhas BH 2025</v>
      </c>
      <c r="E1608" s="4" t="str">
        <f aca="false">IF($A1608="","",_xlfn.XLOOKUP(LOWER(TRIM(Base_Bruta!E1608)),DePara_Categoria!$A$2:$A$9,DePara_Categoria!$B$2:$B$9,"REVISAR"))</f>
        <v>Festival</v>
      </c>
      <c r="F1608" s="4" t="str">
        <f aca="false">IF($A1608="","",_xlfn.XLOOKUP(LOWER(TRIM(Base_Bruta!F1608)),DePara_Cidade!$A$2:$A$29,DePara_Cidade!$B$2:$B$29,"REVISAR"))</f>
        <v>Belo Horizonte</v>
      </c>
      <c r="G1608" s="4" t="str">
        <f aca="false">IF($A1608="","",TRIM(Base_Bruta!G1608))</f>
        <v>Meia</v>
      </c>
      <c r="H1608" s="4" t="n">
        <f aca="false">IF($A1608="","",IF(ISNUMBER(Base_Bruta!H1608),Base_Bruta!H1608,IFERROR(_xlfn.NUMBERVALUE(TRIM(SUBSTITUTE(Base_Bruta!H1608,"R$","")),",","."),0)))</f>
        <v>1</v>
      </c>
      <c r="I1608" s="6" t="n">
        <f aca="false">IF($A1608="","",IF(ISNUMBER(Base_Bruta!I1608),Base_Bruta!I1608,IFERROR(_xlfn.NUMBERVALUE(TRIM(SUBSTITUTE(Base_Bruta!I1608,"R$","")),",","."),0)))</f>
        <v>572.5</v>
      </c>
      <c r="J1608" s="6" t="n">
        <f aca="false">IF($A1608="","",H1608*I1608)</f>
        <v>572.5</v>
      </c>
      <c r="K1608" s="4" t="str">
        <f aca="false">IF($A1608="","",TRIM(Base_Bruta!J1608))</f>
        <v>Parceiro</v>
      </c>
      <c r="L1608" s="4" t="str">
        <f aca="false">IF($A1608="","",TRIM(Base_Bruta!K1608))</f>
        <v>C01374</v>
      </c>
      <c r="M1608" s="4" t="str">
        <f aca="false">IF($A1608="","",_xlfn.XLOOKUP(LOWER(TRIM(Base_Bruta!L1608)),DePara_Cidade!$A$2:$A$29,DePara_Cidade!$B$2:$B$29,"REVISAR"))</f>
        <v>Belo Horizonte</v>
      </c>
      <c r="N1608" s="4" t="str">
        <f aca="false">IF($A1608="","",UPPER(TRIM(Base_Bruta!M1608)))</f>
        <v>MG</v>
      </c>
      <c r="O1608" s="4" t="str">
        <f aca="false">IF($A1608="","",_xlfn.XLOOKUP(LOWER(TRIM(Base_Bruta!N1608)),DePara_Pais!$A$2:$A$9,DePara_Pais!$B$2:$B$9,"REVISAR"))</f>
        <v>Brasil</v>
      </c>
      <c r="P1608" s="4" t="str">
        <f aca="false">IF($A1608="","",IF(O1608&lt;&gt;"Brasil","Turista Internacional",IF(M1608=F1608,"Local","Turista Nacional")))</f>
        <v>Local</v>
      </c>
      <c r="Q1608" s="7" t="n">
        <f aca="false">IF($A1608="","",DATE(YEAR(B1608),MONTH(B1608),1))</f>
        <v>45778</v>
      </c>
      <c r="R1608" s="4" t="str">
        <f aca="false">IF($A1608="","",IF(COUNTIF($A$2:$A1608,$A1608)&gt;1,"Sim","Não"))</f>
        <v>Não</v>
      </c>
      <c r="S1608" s="4" t="str">
        <f aca="false">IF(A1608="","Descartar - Linha vazia",IF(R1608="Sim","Descartar - Duplicado",IF(OR(H1608&lt;=0,I1608&lt;=0),"Descartar - Qtd/Valor inválido","OK")))</f>
        <v>OK</v>
      </c>
      <c r="T1608" s="4" t="str">
        <f aca="false">Base_Bruta!P1608</f>
        <v>vendas_MG.csv</v>
      </c>
    </row>
    <row r="1609" customFormat="false" ht="15" hidden="false" customHeight="false" outlineLevel="0" collapsed="false">
      <c r="A1609" s="4" t="str">
        <f aca="false">IF(Base_Bruta!A1609="","",Base_Bruta!A1609)</f>
        <v>MG-000079</v>
      </c>
      <c r="B1609" s="5" t="n">
        <f aca="false">IF($A1609="","",IF(ISNUMBER(Base_Bruta!B1609),Base_Bruta!B1609,IF(MID(Base_Bruta!B1609,5,1)="-",DATE(VALUE(LEFT(Base_Bruta!B1609,4)),VALUE(MID(Base_Bruta!B1609,6,2)),VALUE(RIGHT(Base_Bruta!B1609,2))),DATE(VALUE(RIGHT(Base_Bruta!B1609,4)),VALUE(MID(Base_Bruta!B1609,4,2)),VALUE(LEFT(Base_Bruta!B1609,2))))))</f>
        <v>45783</v>
      </c>
      <c r="C1609" s="5" t="n">
        <f aca="false">IF($A1609="","",IF(ISNUMBER(Base_Bruta!C1609),Base_Bruta!C1609,IF(MID(Base_Bruta!C1609,5,1)="-",DATE(VALUE(LEFT(Base_Bruta!C1609,4)),VALUE(MID(Base_Bruta!C1609,6,2)),VALUE(RIGHT(Base_Bruta!C1609,2))),DATE(VALUE(RIGHT(Base_Bruta!C1609,4)),VALUE(MID(Base_Bruta!C1609,4,2)),VALUE(LEFT(Base_Bruta!C1609,2))))))</f>
        <v>45892</v>
      </c>
      <c r="D1609" s="4" t="str">
        <f aca="false">IF($A1609="","",TRIM(Base_Bruta!D1609))</f>
        <v>Festival Montanhas BH 2025</v>
      </c>
      <c r="E1609" s="4" t="str">
        <f aca="false">IF($A1609="","",_xlfn.XLOOKUP(LOWER(TRIM(Base_Bruta!E1609)),DePara_Categoria!$A$2:$A$9,DePara_Categoria!$B$2:$B$9,"REVISAR"))</f>
        <v>Festival</v>
      </c>
      <c r="F1609" s="4" t="str">
        <f aca="false">IF($A1609="","",_xlfn.XLOOKUP(LOWER(TRIM(Base_Bruta!F1609)),DePara_Cidade!$A$2:$A$29,DePara_Cidade!$B$2:$B$29,"REVISAR"))</f>
        <v>Belo Horizonte</v>
      </c>
      <c r="G1609" s="4" t="str">
        <f aca="false">IF($A1609="","",TRIM(Base_Bruta!G1609))</f>
        <v>Meia</v>
      </c>
      <c r="H1609" s="4" t="n">
        <f aca="false">IF($A1609="","",IF(ISNUMBER(Base_Bruta!H1609),Base_Bruta!H1609,IFERROR(_xlfn.NUMBERVALUE(TRIM(SUBSTITUTE(Base_Bruta!H1609,"R$","")),",","."),0)))</f>
        <v>1</v>
      </c>
      <c r="I1609" s="6" t="n">
        <f aca="false">IF($A1609="","",IF(ISNUMBER(Base_Bruta!I1609),Base_Bruta!I1609,IFERROR(_xlfn.NUMBERVALUE(TRIM(SUBSTITUTE(Base_Bruta!I1609,"R$","")),",","."),0)))</f>
        <v>535</v>
      </c>
      <c r="J1609" s="6" t="n">
        <f aca="false">IF($A1609="","",H1609*I1609)</f>
        <v>535</v>
      </c>
      <c r="K1609" s="4" t="str">
        <f aca="false">IF($A1609="","",TRIM(Base_Bruta!J1609))</f>
        <v>Parceiro</v>
      </c>
      <c r="L1609" s="4" t="str">
        <f aca="false">IF($A1609="","",TRIM(Base_Bruta!K1609))</f>
        <v>C01169</v>
      </c>
      <c r="M1609" s="4" t="str">
        <f aca="false">IF($A1609="","",_xlfn.XLOOKUP(LOWER(TRIM(Base_Bruta!L1609)),DePara_Cidade!$A$2:$A$29,DePara_Cidade!$B$2:$B$29,"REVISAR"))</f>
        <v>Vitória</v>
      </c>
      <c r="N1609" s="4" t="str">
        <f aca="false">IF($A1609="","",UPPER(TRIM(Base_Bruta!M1609)))</f>
        <v>ES</v>
      </c>
      <c r="O1609" s="4" t="str">
        <f aca="false">IF($A1609="","",_xlfn.XLOOKUP(LOWER(TRIM(Base_Bruta!N1609)),DePara_Pais!$A$2:$A$9,DePara_Pais!$B$2:$B$9,"REVISAR"))</f>
        <v>Brasil</v>
      </c>
      <c r="P1609" s="4" t="str">
        <f aca="false">IF($A1609="","",IF(O1609&lt;&gt;"Brasil","Turista Internacional",IF(M1609=F1609,"Local","Turista Nacional")))</f>
        <v>Turista Nacional</v>
      </c>
      <c r="Q1609" s="7" t="n">
        <f aca="false">IF($A1609="","",DATE(YEAR(B1609),MONTH(B1609),1))</f>
        <v>45778</v>
      </c>
      <c r="R1609" s="4" t="str">
        <f aca="false">IF($A1609="","",IF(COUNTIF($A$2:$A1609,$A1609)&gt;1,"Sim","Não"))</f>
        <v>Não</v>
      </c>
      <c r="S1609" s="4" t="str">
        <f aca="false">IF(A1609="","Descartar - Linha vazia",IF(R1609="Sim","Descartar - Duplicado",IF(OR(H1609&lt;=0,I1609&lt;=0),"Descartar - Qtd/Valor inválido","OK")))</f>
        <v>OK</v>
      </c>
      <c r="T1609" s="4" t="str">
        <f aca="false">Base_Bruta!P1609</f>
        <v>vendas_MG.csv</v>
      </c>
    </row>
    <row r="1610" customFormat="false" ht="15" hidden="false" customHeight="false" outlineLevel="0" collapsed="false">
      <c r="A1610" s="4" t="str">
        <f aca="false">IF(Base_Bruta!A1610="","",Base_Bruta!A1610)</f>
        <v>MG-000143</v>
      </c>
      <c r="B1610" s="5" t="n">
        <f aca="false">IF($A1610="","",IF(ISNUMBER(Base_Bruta!B1610),Base_Bruta!B1610,IF(MID(Base_Bruta!B1610,5,1)="-",DATE(VALUE(LEFT(Base_Bruta!B1610,4)),VALUE(MID(Base_Bruta!B1610,6,2)),VALUE(RIGHT(Base_Bruta!B1610,2))),DATE(VALUE(RIGHT(Base_Bruta!B1610,4)),VALUE(MID(Base_Bruta!B1610,4,2)),VALUE(LEFT(Base_Bruta!B1610,2))))))</f>
        <v>45783</v>
      </c>
      <c r="C1610" s="5" t="n">
        <f aca="false">IF($A1610="","",IF(ISNUMBER(Base_Bruta!C1610),Base_Bruta!C1610,IF(MID(Base_Bruta!C1610,5,1)="-",DATE(VALUE(LEFT(Base_Bruta!C1610,4)),VALUE(MID(Base_Bruta!C1610,6,2)),VALUE(RIGHT(Base_Bruta!C1610,2))),DATE(VALUE(RIGHT(Base_Bruta!C1610,4)),VALUE(MID(Base_Bruta!C1610,4,2)),VALUE(LEFT(Base_Bruta!C1610,2))))))</f>
        <v>45892</v>
      </c>
      <c r="D1610" s="4" t="str">
        <f aca="false">IF($A1610="","",TRIM(Base_Bruta!D1610))</f>
        <v>Festival Montanhas BH 2025</v>
      </c>
      <c r="E1610" s="4" t="str">
        <f aca="false">IF($A1610="","",_xlfn.XLOOKUP(LOWER(TRIM(Base_Bruta!E1610)),DePara_Categoria!$A$2:$A$9,DePara_Categoria!$B$2:$B$9,"REVISAR"))</f>
        <v>Festival</v>
      </c>
      <c r="F1610" s="4" t="str">
        <f aca="false">IF($A1610="","",_xlfn.XLOOKUP(LOWER(TRIM(Base_Bruta!F1610)),DePara_Cidade!$A$2:$A$29,DePara_Cidade!$B$2:$B$29,"REVISAR"))</f>
        <v>Belo Horizonte</v>
      </c>
      <c r="G1610" s="4" t="str">
        <f aca="false">IF($A1610="","",TRIM(Base_Bruta!G1610))</f>
        <v>Inteira</v>
      </c>
      <c r="H1610" s="4" t="n">
        <f aca="false">IF($A1610="","",IF(ISNUMBER(Base_Bruta!H1610),Base_Bruta!H1610,IFERROR(_xlfn.NUMBERVALUE(TRIM(SUBSTITUTE(Base_Bruta!H1610,"R$","")),",","."),0)))</f>
        <v>2</v>
      </c>
      <c r="I1610" s="6" t="n">
        <f aca="false">IF($A1610="","",IF(ISNUMBER(Base_Bruta!I1610),Base_Bruta!I1610,IFERROR(_xlfn.NUMBERVALUE(TRIM(SUBSTITUTE(Base_Bruta!I1610,"R$","")),",","."),0)))</f>
        <v>775</v>
      </c>
      <c r="J1610" s="6" t="n">
        <f aca="false">IF($A1610="","",H1610*I1610)</f>
        <v>1550</v>
      </c>
      <c r="K1610" s="4" t="str">
        <f aca="false">IF($A1610="","",TRIM(Base_Bruta!J1610))</f>
        <v>Site</v>
      </c>
      <c r="L1610" s="4" t="str">
        <f aca="false">IF($A1610="","",TRIM(Base_Bruta!K1610))</f>
        <v>C01908</v>
      </c>
      <c r="M1610" s="4" t="str">
        <f aca="false">IF($A1610="","",_xlfn.XLOOKUP(LOWER(TRIM(Base_Bruta!L1610)),DePara_Cidade!$A$2:$A$29,DePara_Cidade!$B$2:$B$29,"REVISAR"))</f>
        <v>Contagem</v>
      </c>
      <c r="N1610" s="4" t="str">
        <f aca="false">IF($A1610="","",UPPER(TRIM(Base_Bruta!M1610)))</f>
        <v>MG</v>
      </c>
      <c r="O1610" s="4" t="str">
        <f aca="false">IF($A1610="","",_xlfn.XLOOKUP(LOWER(TRIM(Base_Bruta!N1610)),DePara_Pais!$A$2:$A$9,DePara_Pais!$B$2:$B$9,"REVISAR"))</f>
        <v>Brasil</v>
      </c>
      <c r="P1610" s="4" t="str">
        <f aca="false">IF($A1610="","",IF(O1610&lt;&gt;"Brasil","Turista Internacional",IF(M1610=F1610,"Local","Turista Nacional")))</f>
        <v>Turista Nacional</v>
      </c>
      <c r="Q1610" s="7" t="n">
        <f aca="false">IF($A1610="","",DATE(YEAR(B1610),MONTH(B1610),1))</f>
        <v>45778</v>
      </c>
      <c r="R1610" s="4" t="str">
        <f aca="false">IF($A1610="","",IF(COUNTIF($A$2:$A1610,$A1610)&gt;1,"Sim","Não"))</f>
        <v>Não</v>
      </c>
      <c r="S1610" s="4" t="str">
        <f aca="false">IF(A1610="","Descartar - Linha vazia",IF(R1610="Sim","Descartar - Duplicado",IF(OR(H1610&lt;=0,I1610&lt;=0),"Descartar - Qtd/Valor inválido","OK")))</f>
        <v>OK</v>
      </c>
      <c r="T1610" s="4" t="str">
        <f aca="false">Base_Bruta!P1610</f>
        <v>vendas_MG.csv</v>
      </c>
    </row>
    <row r="1611" customFormat="false" ht="15" hidden="false" customHeight="false" outlineLevel="0" collapsed="false">
      <c r="A1611" s="4" t="str">
        <f aca="false">IF(Base_Bruta!A1611="","",Base_Bruta!A1611)</f>
        <v>MG-000176</v>
      </c>
      <c r="B1611" s="5" t="n">
        <f aca="false">IF($A1611="","",IF(ISNUMBER(Base_Bruta!B1611),Base_Bruta!B1611,IF(MID(Base_Bruta!B1611,5,1)="-",DATE(VALUE(LEFT(Base_Bruta!B1611,4)),VALUE(MID(Base_Bruta!B1611,6,2)),VALUE(RIGHT(Base_Bruta!B1611,2))),DATE(VALUE(RIGHT(Base_Bruta!B1611,4)),VALUE(MID(Base_Bruta!B1611,4,2)),VALUE(LEFT(Base_Bruta!B1611,2))))))</f>
        <v>45783</v>
      </c>
      <c r="C1611" s="5" t="n">
        <f aca="false">IF($A1611="","",IF(ISNUMBER(Base_Bruta!C1611),Base_Bruta!C1611,IF(MID(Base_Bruta!C1611,5,1)="-",DATE(VALUE(LEFT(Base_Bruta!C1611,4)),VALUE(MID(Base_Bruta!C1611,6,2)),VALUE(RIGHT(Base_Bruta!C1611,2))),DATE(VALUE(RIGHT(Base_Bruta!C1611,4)),VALUE(MID(Base_Bruta!C1611,4,2)),VALUE(LEFT(Base_Bruta!C1611,2))))))</f>
        <v>45892</v>
      </c>
      <c r="D1611" s="4" t="str">
        <f aca="false">IF($A1611="","",TRIM(Base_Bruta!D1611))</f>
        <v>Festival Montanhas BH 2025</v>
      </c>
      <c r="E1611" s="4" t="str">
        <f aca="false">IF($A1611="","",_xlfn.XLOOKUP(LOWER(TRIM(Base_Bruta!E1611)),DePara_Categoria!$A$2:$A$9,DePara_Categoria!$B$2:$B$9,"REVISAR"))</f>
        <v>Festival</v>
      </c>
      <c r="F1611" s="4" t="str">
        <f aca="false">IF($A1611="","",_xlfn.XLOOKUP(LOWER(TRIM(Base_Bruta!F1611)),DePara_Cidade!$A$2:$A$29,DePara_Cidade!$B$2:$B$29,"REVISAR"))</f>
        <v>Belo Horizonte</v>
      </c>
      <c r="G1611" s="4" t="str">
        <f aca="false">IF($A1611="","",TRIM(Base_Bruta!G1611))</f>
        <v>Meia</v>
      </c>
      <c r="H1611" s="4" t="n">
        <f aca="false">IF($A1611="","",IF(ISNUMBER(Base_Bruta!H1611),Base_Bruta!H1611,IFERROR(_xlfn.NUMBERVALUE(TRIM(SUBSTITUTE(Base_Bruta!H1611,"R$","")),",","."),0)))</f>
        <v>2</v>
      </c>
      <c r="I1611" s="6" t="n">
        <f aca="false">IF($A1611="","",IF(ISNUMBER(Base_Bruta!I1611),Base_Bruta!I1611,IFERROR(_xlfn.NUMBERVALUE(TRIM(SUBSTITUTE(Base_Bruta!I1611,"R$","")),",","."),0)))</f>
        <v>522.5</v>
      </c>
      <c r="J1611" s="6" t="n">
        <f aca="false">IF($A1611="","",H1611*I1611)</f>
        <v>1045</v>
      </c>
      <c r="K1611" s="4" t="str">
        <f aca="false">IF($A1611="","",TRIM(Base_Bruta!J1611))</f>
        <v>App</v>
      </c>
      <c r="L1611" s="4" t="str">
        <f aca="false">IF($A1611="","",TRIM(Base_Bruta!K1611))</f>
        <v>C00850</v>
      </c>
      <c r="M1611" s="4" t="str">
        <f aca="false">IF($A1611="","",_xlfn.XLOOKUP(LOWER(TRIM(Base_Bruta!L1611)),DePara_Cidade!$A$2:$A$29,DePara_Cidade!$B$2:$B$29,"REVISAR"))</f>
        <v>Belo Horizonte</v>
      </c>
      <c r="N1611" s="4" t="str">
        <f aca="false">IF($A1611="","",UPPER(TRIM(Base_Bruta!M1611)))</f>
        <v>MG</v>
      </c>
      <c r="O1611" s="4" t="str">
        <f aca="false">IF($A1611="","",_xlfn.XLOOKUP(LOWER(TRIM(Base_Bruta!N1611)),DePara_Pais!$A$2:$A$9,DePara_Pais!$B$2:$B$9,"REVISAR"))</f>
        <v>Brasil</v>
      </c>
      <c r="P1611" s="4" t="str">
        <f aca="false">IF($A1611="","",IF(O1611&lt;&gt;"Brasil","Turista Internacional",IF(M1611=F1611,"Local","Turista Nacional")))</f>
        <v>Local</v>
      </c>
      <c r="Q1611" s="7" t="n">
        <f aca="false">IF($A1611="","",DATE(YEAR(B1611),MONTH(B1611),1))</f>
        <v>45778</v>
      </c>
      <c r="R1611" s="4" t="str">
        <f aca="false">IF($A1611="","",IF(COUNTIF($A$2:$A1611,$A1611)&gt;1,"Sim","Não"))</f>
        <v>Não</v>
      </c>
      <c r="S1611" s="4" t="str">
        <f aca="false">IF(A1611="","Descartar - Linha vazia",IF(R1611="Sim","Descartar - Duplicado",IF(OR(H1611&lt;=0,I1611&lt;=0),"Descartar - Qtd/Valor inválido","OK")))</f>
        <v>OK</v>
      </c>
      <c r="T1611" s="4" t="str">
        <f aca="false">Base_Bruta!P1611</f>
        <v>vendas_MG.csv</v>
      </c>
    </row>
    <row r="1612" customFormat="false" ht="15" hidden="false" customHeight="false" outlineLevel="0" collapsed="false">
      <c r="A1612" s="4" t="str">
        <f aca="false">IF(Base_Bruta!A1612="","",Base_Bruta!A1612)</f>
        <v>MG-000203</v>
      </c>
      <c r="B1612" s="5" t="n">
        <f aca="false">IF($A1612="","",IF(ISNUMBER(Base_Bruta!B1612),Base_Bruta!B1612,IF(MID(Base_Bruta!B1612,5,1)="-",DATE(VALUE(LEFT(Base_Bruta!B1612,4)),VALUE(MID(Base_Bruta!B1612,6,2)),VALUE(RIGHT(Base_Bruta!B1612,2))),DATE(VALUE(RIGHT(Base_Bruta!B1612,4)),VALUE(MID(Base_Bruta!B1612,4,2)),VALUE(LEFT(Base_Bruta!B1612,2))))))</f>
        <v>45783</v>
      </c>
      <c r="C1612" s="5" t="n">
        <f aca="false">IF($A1612="","",IF(ISNUMBER(Base_Bruta!C1612),Base_Bruta!C1612,IF(MID(Base_Bruta!C1612,5,1)="-",DATE(VALUE(LEFT(Base_Bruta!C1612,4)),VALUE(MID(Base_Bruta!C1612,6,2)),VALUE(RIGHT(Base_Bruta!C1612,2))),DATE(VALUE(RIGHT(Base_Bruta!C1612,4)),VALUE(MID(Base_Bruta!C1612,4,2)),VALUE(LEFT(Base_Bruta!C1612,2))))))</f>
        <v>45892</v>
      </c>
      <c r="D1612" s="4" t="str">
        <f aca="false">IF($A1612="","",TRIM(Base_Bruta!D1612))</f>
        <v>Festival Montanhas BH 2025</v>
      </c>
      <c r="E1612" s="4" t="str">
        <f aca="false">IF($A1612="","",_xlfn.XLOOKUP(LOWER(TRIM(Base_Bruta!E1612)),DePara_Categoria!$A$2:$A$9,DePara_Categoria!$B$2:$B$9,"REVISAR"))</f>
        <v>Festival</v>
      </c>
      <c r="F1612" s="4" t="str">
        <f aca="false">IF($A1612="","",_xlfn.XLOOKUP(LOWER(TRIM(Base_Bruta!F1612)),DePara_Cidade!$A$2:$A$29,DePara_Cidade!$B$2:$B$29,"REVISAR"))</f>
        <v>Belo Horizonte</v>
      </c>
      <c r="G1612" s="4" t="str">
        <f aca="false">IF($A1612="","",TRIM(Base_Bruta!G1612))</f>
        <v>Meia</v>
      </c>
      <c r="H1612" s="4" t="n">
        <f aca="false">IF($A1612="","",IF(ISNUMBER(Base_Bruta!H1612),Base_Bruta!H1612,IFERROR(_xlfn.NUMBERVALUE(TRIM(SUBSTITUTE(Base_Bruta!H1612,"R$","")),",","."),0)))</f>
        <v>2</v>
      </c>
      <c r="I1612" s="6" t="n">
        <f aca="false">IF($A1612="","",IF(ISNUMBER(Base_Bruta!I1612),Base_Bruta!I1612,IFERROR(_xlfn.NUMBERVALUE(TRIM(SUBSTITUTE(Base_Bruta!I1612,"R$","")),",","."),0)))</f>
        <v>567.5</v>
      </c>
      <c r="J1612" s="6" t="n">
        <f aca="false">IF($A1612="","",H1612*I1612)</f>
        <v>1135</v>
      </c>
      <c r="K1612" s="4" t="str">
        <f aca="false">IF($A1612="","",TRIM(Base_Bruta!J1612))</f>
        <v>App</v>
      </c>
      <c r="L1612" s="4" t="str">
        <f aca="false">IF($A1612="","",TRIM(Base_Bruta!K1612))</f>
        <v>C00633</v>
      </c>
      <c r="M1612" s="4" t="str">
        <f aca="false">IF($A1612="","",_xlfn.XLOOKUP(LOWER(TRIM(Base_Bruta!L1612)),DePara_Cidade!$A$2:$A$29,DePara_Cidade!$B$2:$B$29,"REVISAR"))</f>
        <v>Belo Horizonte</v>
      </c>
      <c r="N1612" s="4" t="str">
        <f aca="false">IF($A1612="","",UPPER(TRIM(Base_Bruta!M1612)))</f>
        <v>MG</v>
      </c>
      <c r="O1612" s="4" t="str">
        <f aca="false">IF($A1612="","",_xlfn.XLOOKUP(LOWER(TRIM(Base_Bruta!N1612)),DePara_Pais!$A$2:$A$9,DePara_Pais!$B$2:$B$9,"REVISAR"))</f>
        <v>Brasil</v>
      </c>
      <c r="P1612" s="4" t="str">
        <f aca="false">IF($A1612="","",IF(O1612&lt;&gt;"Brasil","Turista Internacional",IF(M1612=F1612,"Local","Turista Nacional")))</f>
        <v>Local</v>
      </c>
      <c r="Q1612" s="7" t="n">
        <f aca="false">IF($A1612="","",DATE(YEAR(B1612),MONTH(B1612),1))</f>
        <v>45778</v>
      </c>
      <c r="R1612" s="4" t="str">
        <f aca="false">IF($A1612="","",IF(COUNTIF($A$2:$A1612,$A1612)&gt;1,"Sim","Não"))</f>
        <v>Não</v>
      </c>
      <c r="S1612" s="4" t="str">
        <f aca="false">IF(A1612="","Descartar - Linha vazia",IF(R1612="Sim","Descartar - Duplicado",IF(OR(H1612&lt;=0,I1612&lt;=0),"Descartar - Qtd/Valor inválido","OK")))</f>
        <v>OK</v>
      </c>
      <c r="T1612" s="4" t="str">
        <f aca="false">Base_Bruta!P1612</f>
        <v>vendas_MG.csv</v>
      </c>
    </row>
    <row r="1613" customFormat="false" ht="15" hidden="false" customHeight="false" outlineLevel="0" collapsed="false">
      <c r="A1613" s="4" t="str">
        <f aca="false">IF(Base_Bruta!A1613="","",Base_Bruta!A1613)</f>
        <v>MG-000047</v>
      </c>
      <c r="B1613" s="5" t="n">
        <f aca="false">IF($A1613="","",IF(ISNUMBER(Base_Bruta!B1613),Base_Bruta!B1613,IF(MID(Base_Bruta!B1613,5,1)="-",DATE(VALUE(LEFT(Base_Bruta!B1613,4)),VALUE(MID(Base_Bruta!B1613,6,2)),VALUE(RIGHT(Base_Bruta!B1613,2))),DATE(VALUE(RIGHT(Base_Bruta!B1613,4)),VALUE(MID(Base_Bruta!B1613,4,2)),VALUE(LEFT(Base_Bruta!B1613,2))))))</f>
        <v>45784</v>
      </c>
      <c r="C1613" s="5" t="n">
        <f aca="false">IF($A1613="","",IF(ISNUMBER(Base_Bruta!C1613),Base_Bruta!C1613,IF(MID(Base_Bruta!C1613,5,1)="-",DATE(VALUE(LEFT(Base_Bruta!C1613,4)),VALUE(MID(Base_Bruta!C1613,6,2)),VALUE(RIGHT(Base_Bruta!C1613,2))),DATE(VALUE(RIGHT(Base_Bruta!C1613,4)),VALUE(MID(Base_Bruta!C1613,4,2)),VALUE(LEFT(Base_Bruta!C1613,2))))))</f>
        <v>45892</v>
      </c>
      <c r="D1613" s="4" t="str">
        <f aca="false">IF($A1613="","",TRIM(Base_Bruta!D1613))</f>
        <v>Festival Montanhas BH 2025</v>
      </c>
      <c r="E1613" s="4" t="str">
        <f aca="false">IF($A1613="","",_xlfn.XLOOKUP(LOWER(TRIM(Base_Bruta!E1613)),DePara_Categoria!$A$2:$A$9,DePara_Categoria!$B$2:$B$9,"REVISAR"))</f>
        <v>Festival</v>
      </c>
      <c r="F1613" s="4" t="str">
        <f aca="false">IF($A1613="","",_xlfn.XLOOKUP(LOWER(TRIM(Base_Bruta!F1613)),DePara_Cidade!$A$2:$A$29,DePara_Cidade!$B$2:$B$29,"REVISAR"))</f>
        <v>Belo Horizonte</v>
      </c>
      <c r="G1613" s="4" t="str">
        <f aca="false">IF($A1613="","",TRIM(Base_Bruta!G1613))</f>
        <v>Inteira</v>
      </c>
      <c r="H1613" s="4" t="n">
        <f aca="false">IF($A1613="","",IF(ISNUMBER(Base_Bruta!H1613),Base_Bruta!H1613,IFERROR(_xlfn.NUMBERVALUE(TRIM(SUBSTITUTE(Base_Bruta!H1613,"R$","")),",","."),0)))</f>
        <v>3</v>
      </c>
      <c r="I1613" s="6" t="n">
        <f aca="false">IF($A1613="","",IF(ISNUMBER(Base_Bruta!I1613),Base_Bruta!I1613,IFERROR(_xlfn.NUMBERVALUE(TRIM(SUBSTITUTE(Base_Bruta!I1613,"R$","")),",","."),0)))</f>
        <v>980</v>
      </c>
      <c r="J1613" s="6" t="n">
        <f aca="false">IF($A1613="","",H1613*I1613)</f>
        <v>2940</v>
      </c>
      <c r="K1613" s="4" t="str">
        <f aca="false">IF($A1613="","",TRIM(Base_Bruta!J1613))</f>
        <v>Parceiro</v>
      </c>
      <c r="L1613" s="4" t="str">
        <f aca="false">IF($A1613="","",TRIM(Base_Bruta!K1613))</f>
        <v>C00597</v>
      </c>
      <c r="M1613" s="4" t="str">
        <f aca="false">IF($A1613="","",_xlfn.XLOOKUP(LOWER(TRIM(Base_Bruta!L1613)),DePara_Cidade!$A$2:$A$29,DePara_Cidade!$B$2:$B$29,"REVISAR"))</f>
        <v>Santos</v>
      </c>
      <c r="N1613" s="4" t="str">
        <f aca="false">IF($A1613="","",UPPER(TRIM(Base_Bruta!M1613)))</f>
        <v>SP</v>
      </c>
      <c r="O1613" s="4" t="str">
        <f aca="false">IF($A1613="","",_xlfn.XLOOKUP(LOWER(TRIM(Base_Bruta!N1613)),DePara_Pais!$A$2:$A$9,DePara_Pais!$B$2:$B$9,"REVISAR"))</f>
        <v>Brasil</v>
      </c>
      <c r="P1613" s="4" t="str">
        <f aca="false">IF($A1613="","",IF(O1613&lt;&gt;"Brasil","Turista Internacional",IF(M1613=F1613,"Local","Turista Nacional")))</f>
        <v>Turista Nacional</v>
      </c>
      <c r="Q1613" s="7" t="n">
        <f aca="false">IF($A1613="","",DATE(YEAR(B1613),MONTH(B1613),1))</f>
        <v>45778</v>
      </c>
      <c r="R1613" s="4" t="str">
        <f aca="false">IF($A1613="","",IF(COUNTIF($A$2:$A1613,$A1613)&gt;1,"Sim","Não"))</f>
        <v>Não</v>
      </c>
      <c r="S1613" s="4" t="str">
        <f aca="false">IF(A1613="","Descartar - Linha vazia",IF(R1613="Sim","Descartar - Duplicado",IF(OR(H1613&lt;=0,I1613&lt;=0),"Descartar - Qtd/Valor inválido","OK")))</f>
        <v>OK</v>
      </c>
      <c r="T1613" s="4" t="str">
        <f aca="false">Base_Bruta!P1613</f>
        <v>vendas_MG.csv</v>
      </c>
    </row>
    <row r="1614" customFormat="false" ht="15" hidden="false" customHeight="false" outlineLevel="0" collapsed="false">
      <c r="A1614" s="4" t="str">
        <f aca="false">IF(Base_Bruta!A1614="","",Base_Bruta!A1614)</f>
        <v>MG-000056</v>
      </c>
      <c r="B1614" s="5" t="n">
        <f aca="false">IF($A1614="","",IF(ISNUMBER(Base_Bruta!B1614),Base_Bruta!B1614,IF(MID(Base_Bruta!B1614,5,1)="-",DATE(VALUE(LEFT(Base_Bruta!B1614,4)),VALUE(MID(Base_Bruta!B1614,6,2)),VALUE(RIGHT(Base_Bruta!B1614,2))),DATE(VALUE(RIGHT(Base_Bruta!B1614,4)),VALUE(MID(Base_Bruta!B1614,4,2)),VALUE(LEFT(Base_Bruta!B1614,2))))))</f>
        <v>45784</v>
      </c>
      <c r="C1614" s="5" t="n">
        <f aca="false">IF($A1614="","",IF(ISNUMBER(Base_Bruta!C1614),Base_Bruta!C1614,IF(MID(Base_Bruta!C1614,5,1)="-",DATE(VALUE(LEFT(Base_Bruta!C1614,4)),VALUE(MID(Base_Bruta!C1614,6,2)),VALUE(RIGHT(Base_Bruta!C1614,2))),DATE(VALUE(RIGHT(Base_Bruta!C1614,4)),VALUE(MID(Base_Bruta!C1614,4,2)),VALUE(LEFT(Base_Bruta!C1614,2))))))</f>
        <v>45892</v>
      </c>
      <c r="D1614" s="4" t="str">
        <f aca="false">IF($A1614="","",TRIM(Base_Bruta!D1614))</f>
        <v>Festival Montanhas BH 2025</v>
      </c>
      <c r="E1614" s="4" t="str">
        <f aca="false">IF($A1614="","",_xlfn.XLOOKUP(LOWER(TRIM(Base_Bruta!E1614)),DePara_Categoria!$A$2:$A$9,DePara_Categoria!$B$2:$B$9,"REVISAR"))</f>
        <v>Festival</v>
      </c>
      <c r="F1614" s="4" t="str">
        <f aca="false">IF($A1614="","",_xlfn.XLOOKUP(LOWER(TRIM(Base_Bruta!F1614)),DePara_Cidade!$A$2:$A$29,DePara_Cidade!$B$2:$B$29,"REVISAR"))</f>
        <v>Belo Horizonte</v>
      </c>
      <c r="G1614" s="4" t="str">
        <f aca="false">IF($A1614="","",TRIM(Base_Bruta!G1614))</f>
        <v>Meia</v>
      </c>
      <c r="H1614" s="4" t="n">
        <f aca="false">IF($A1614="","",IF(ISNUMBER(Base_Bruta!H1614),Base_Bruta!H1614,IFERROR(_xlfn.NUMBERVALUE(TRIM(SUBSTITUTE(Base_Bruta!H1614,"R$","")),",","."),0)))</f>
        <v>1</v>
      </c>
      <c r="I1614" s="6" t="n">
        <f aca="false">IF($A1614="","",IF(ISNUMBER(Base_Bruta!I1614),Base_Bruta!I1614,IFERROR(_xlfn.NUMBERVALUE(TRIM(SUBSTITUTE(Base_Bruta!I1614,"R$","")),",","."),0)))</f>
        <v>347.5</v>
      </c>
      <c r="J1614" s="6" t="n">
        <f aca="false">IF($A1614="","",H1614*I1614)</f>
        <v>347.5</v>
      </c>
      <c r="K1614" s="4" t="str">
        <f aca="false">IF($A1614="","",TRIM(Base_Bruta!J1614))</f>
        <v>Site</v>
      </c>
      <c r="L1614" s="4" t="str">
        <f aca="false">IF($A1614="","",TRIM(Base_Bruta!K1614))</f>
        <v>C01679</v>
      </c>
      <c r="M1614" s="4" t="str">
        <f aca="false">IF($A1614="","",_xlfn.XLOOKUP(LOWER(TRIM(Base_Bruta!L1614)),DePara_Cidade!$A$2:$A$29,DePara_Cidade!$B$2:$B$29,"REVISAR"))</f>
        <v>Contagem</v>
      </c>
      <c r="N1614" s="4" t="str">
        <f aca="false">IF($A1614="","",UPPER(TRIM(Base_Bruta!M1614)))</f>
        <v>MG</v>
      </c>
      <c r="O1614" s="4" t="str">
        <f aca="false">IF($A1614="","",_xlfn.XLOOKUP(LOWER(TRIM(Base_Bruta!N1614)),DePara_Pais!$A$2:$A$9,DePara_Pais!$B$2:$B$9,"REVISAR"))</f>
        <v>Brasil</v>
      </c>
      <c r="P1614" s="4" t="str">
        <f aca="false">IF($A1614="","",IF(O1614&lt;&gt;"Brasil","Turista Internacional",IF(M1614=F1614,"Local","Turista Nacional")))</f>
        <v>Turista Nacional</v>
      </c>
      <c r="Q1614" s="7" t="n">
        <f aca="false">IF($A1614="","",DATE(YEAR(B1614),MONTH(B1614),1))</f>
        <v>45778</v>
      </c>
      <c r="R1614" s="4" t="str">
        <f aca="false">IF($A1614="","",IF(COUNTIF($A$2:$A1614,$A1614)&gt;1,"Sim","Não"))</f>
        <v>Não</v>
      </c>
      <c r="S1614" s="4" t="str">
        <f aca="false">IF(A1614="","Descartar - Linha vazia",IF(R1614="Sim","Descartar - Duplicado",IF(OR(H1614&lt;=0,I1614&lt;=0),"Descartar - Qtd/Valor inválido","OK")))</f>
        <v>OK</v>
      </c>
      <c r="T1614" s="4" t="str">
        <f aca="false">Base_Bruta!P1614</f>
        <v>vendas_MG.csv</v>
      </c>
    </row>
    <row r="1615" customFormat="false" ht="15" hidden="false" customHeight="false" outlineLevel="0" collapsed="false">
      <c r="A1615" s="4" t="str">
        <f aca="false">IF(Base_Bruta!A1615="","",Base_Bruta!A1615)</f>
        <v>MG-000083</v>
      </c>
      <c r="B1615" s="5" t="n">
        <f aca="false">IF($A1615="","",IF(ISNUMBER(Base_Bruta!B1615),Base_Bruta!B1615,IF(MID(Base_Bruta!B1615,5,1)="-",DATE(VALUE(LEFT(Base_Bruta!B1615,4)),VALUE(MID(Base_Bruta!B1615,6,2)),VALUE(RIGHT(Base_Bruta!B1615,2))),DATE(VALUE(RIGHT(Base_Bruta!B1615,4)),VALUE(MID(Base_Bruta!B1615,4,2)),VALUE(LEFT(Base_Bruta!B1615,2))))))</f>
        <v>45784</v>
      </c>
      <c r="C1615" s="5" t="n">
        <f aca="false">IF($A1615="","",IF(ISNUMBER(Base_Bruta!C1615),Base_Bruta!C1615,IF(MID(Base_Bruta!C1615,5,1)="-",DATE(VALUE(LEFT(Base_Bruta!C1615,4)),VALUE(MID(Base_Bruta!C1615,6,2)),VALUE(RIGHT(Base_Bruta!C1615,2))),DATE(VALUE(RIGHT(Base_Bruta!C1615,4)),VALUE(MID(Base_Bruta!C1615,4,2)),VALUE(LEFT(Base_Bruta!C1615,2))))))</f>
        <v>45892</v>
      </c>
      <c r="D1615" s="4" t="str">
        <f aca="false">IF($A1615="","",TRIM(Base_Bruta!D1615))</f>
        <v>Festival Montanhas BH 2025</v>
      </c>
      <c r="E1615" s="4" t="str">
        <f aca="false">IF($A1615="","",_xlfn.XLOOKUP(LOWER(TRIM(Base_Bruta!E1615)),DePara_Categoria!$A$2:$A$9,DePara_Categoria!$B$2:$B$9,"REVISAR"))</f>
        <v>Festival</v>
      </c>
      <c r="F1615" s="4" t="str">
        <f aca="false">IF($A1615="","",_xlfn.XLOOKUP(LOWER(TRIM(Base_Bruta!F1615)),DePara_Cidade!$A$2:$A$29,DePara_Cidade!$B$2:$B$29,"REVISAR"))</f>
        <v>Belo Horizonte</v>
      </c>
      <c r="G1615" s="4" t="str">
        <f aca="false">IF($A1615="","",TRIM(Base_Bruta!G1615))</f>
        <v>Inteira</v>
      </c>
      <c r="H1615" s="4" t="n">
        <f aca="false">IF($A1615="","",IF(ISNUMBER(Base_Bruta!H1615),Base_Bruta!H1615,IFERROR(_xlfn.NUMBERVALUE(TRIM(SUBSTITUTE(Base_Bruta!H1615,"R$","")),",","."),0)))</f>
        <v>2</v>
      </c>
      <c r="I1615" s="6" t="n">
        <f aca="false">IF($A1615="","",IF(ISNUMBER(Base_Bruta!I1615),Base_Bruta!I1615,IFERROR(_xlfn.NUMBERVALUE(TRIM(SUBSTITUTE(Base_Bruta!I1615,"R$","")),",","."),0)))</f>
        <v>805</v>
      </c>
      <c r="J1615" s="6" t="n">
        <f aca="false">IF($A1615="","",H1615*I1615)</f>
        <v>1610</v>
      </c>
      <c r="K1615" s="4" t="str">
        <f aca="false">IF($A1615="","",TRIM(Base_Bruta!J1615))</f>
        <v>Site</v>
      </c>
      <c r="L1615" s="4" t="str">
        <f aca="false">IF($A1615="","",TRIM(Base_Bruta!K1615))</f>
        <v>C02205</v>
      </c>
      <c r="M1615" s="4" t="str">
        <f aca="false">IF($A1615="","",_xlfn.XLOOKUP(LOWER(TRIM(Base_Bruta!L1615)),DePara_Cidade!$A$2:$A$29,DePara_Cidade!$B$2:$B$29,"REVISAR"))</f>
        <v>Contagem</v>
      </c>
      <c r="N1615" s="4" t="str">
        <f aca="false">IF($A1615="","",UPPER(TRIM(Base_Bruta!M1615)))</f>
        <v>MG</v>
      </c>
      <c r="O1615" s="4" t="str">
        <f aca="false">IF($A1615="","",_xlfn.XLOOKUP(LOWER(TRIM(Base_Bruta!N1615)),DePara_Pais!$A$2:$A$9,DePara_Pais!$B$2:$B$9,"REVISAR"))</f>
        <v>Brasil</v>
      </c>
      <c r="P1615" s="4" t="str">
        <f aca="false">IF($A1615="","",IF(O1615&lt;&gt;"Brasil","Turista Internacional",IF(M1615=F1615,"Local","Turista Nacional")))</f>
        <v>Turista Nacional</v>
      </c>
      <c r="Q1615" s="7" t="n">
        <f aca="false">IF($A1615="","",DATE(YEAR(B1615),MONTH(B1615),1))</f>
        <v>45778</v>
      </c>
      <c r="R1615" s="4" t="str">
        <f aca="false">IF($A1615="","",IF(COUNTIF($A$2:$A1615,$A1615)&gt;1,"Sim","Não"))</f>
        <v>Não</v>
      </c>
      <c r="S1615" s="4" t="str">
        <f aca="false">IF(A1615="","Descartar - Linha vazia",IF(R1615="Sim","Descartar - Duplicado",IF(OR(H1615&lt;=0,I1615&lt;=0),"Descartar - Qtd/Valor inválido","OK")))</f>
        <v>OK</v>
      </c>
      <c r="T1615" s="4" t="str">
        <f aca="false">Base_Bruta!P1615</f>
        <v>vendas_MG.csv</v>
      </c>
    </row>
    <row r="1616" customFormat="false" ht="15" hidden="false" customHeight="false" outlineLevel="0" collapsed="false">
      <c r="A1616" s="4" t="str">
        <f aca="false">IF(Base_Bruta!A1616="","",Base_Bruta!A1616)</f>
        <v>MG-000094</v>
      </c>
      <c r="B1616" s="5" t="n">
        <f aca="false">IF($A1616="","",IF(ISNUMBER(Base_Bruta!B1616),Base_Bruta!B1616,IF(MID(Base_Bruta!B1616,5,1)="-",DATE(VALUE(LEFT(Base_Bruta!B1616,4)),VALUE(MID(Base_Bruta!B1616,6,2)),VALUE(RIGHT(Base_Bruta!B1616,2))),DATE(VALUE(RIGHT(Base_Bruta!B1616,4)),VALUE(MID(Base_Bruta!B1616,4,2)),VALUE(LEFT(Base_Bruta!B1616,2))))))</f>
        <v>45784</v>
      </c>
      <c r="C1616" s="5" t="n">
        <f aca="false">IF($A1616="","",IF(ISNUMBER(Base_Bruta!C1616),Base_Bruta!C1616,IF(MID(Base_Bruta!C1616,5,1)="-",DATE(VALUE(LEFT(Base_Bruta!C1616,4)),VALUE(MID(Base_Bruta!C1616,6,2)),VALUE(RIGHT(Base_Bruta!C1616,2))),DATE(VALUE(RIGHT(Base_Bruta!C1616,4)),VALUE(MID(Base_Bruta!C1616,4,2)),VALUE(LEFT(Base_Bruta!C1616,2))))))</f>
        <v>45892</v>
      </c>
      <c r="D1616" s="4" t="str">
        <f aca="false">IF($A1616="","",TRIM(Base_Bruta!D1616))</f>
        <v>Festival Montanhas BH 2025</v>
      </c>
      <c r="E1616" s="4" t="str">
        <f aca="false">IF($A1616="","",_xlfn.XLOOKUP(LOWER(TRIM(Base_Bruta!E1616)),DePara_Categoria!$A$2:$A$9,DePara_Categoria!$B$2:$B$9,"REVISAR"))</f>
        <v>Festival</v>
      </c>
      <c r="F1616" s="4" t="str">
        <f aca="false">IF($A1616="","",_xlfn.XLOOKUP(LOWER(TRIM(Base_Bruta!F1616)),DePara_Cidade!$A$2:$A$29,DePara_Cidade!$B$2:$B$29,"REVISAR"))</f>
        <v>Belo Horizonte</v>
      </c>
      <c r="G1616" s="4" t="str">
        <f aca="false">IF($A1616="","",TRIM(Base_Bruta!G1616))</f>
        <v>Inteira</v>
      </c>
      <c r="H1616" s="4" t="n">
        <f aca="false">IF($A1616="","",IF(ISNUMBER(Base_Bruta!H1616),Base_Bruta!H1616,IFERROR(_xlfn.NUMBERVALUE(TRIM(SUBSTITUTE(Base_Bruta!H1616,"R$","")),",","."),0)))</f>
        <v>1</v>
      </c>
      <c r="I1616" s="6" t="n">
        <f aca="false">IF($A1616="","",IF(ISNUMBER(Base_Bruta!I1616),Base_Bruta!I1616,IFERROR(_xlfn.NUMBERVALUE(TRIM(SUBSTITUTE(Base_Bruta!I1616,"R$","")),",","."),0)))</f>
        <v>1065</v>
      </c>
      <c r="J1616" s="6" t="n">
        <f aca="false">IF($A1616="","",H1616*I1616)</f>
        <v>1065</v>
      </c>
      <c r="K1616" s="4" t="str">
        <f aca="false">IF($A1616="","",TRIM(Base_Bruta!J1616))</f>
        <v>Site</v>
      </c>
      <c r="L1616" s="4" t="str">
        <f aca="false">IF($A1616="","",TRIM(Base_Bruta!K1616))</f>
        <v>C01577</v>
      </c>
      <c r="M1616" s="4" t="str">
        <f aca="false">IF($A1616="","",_xlfn.XLOOKUP(LOWER(TRIM(Base_Bruta!L1616)),DePara_Cidade!$A$2:$A$29,DePara_Cidade!$B$2:$B$29,"REVISAR"))</f>
        <v>Niterói</v>
      </c>
      <c r="N1616" s="4" t="str">
        <f aca="false">IF($A1616="","",UPPER(TRIM(Base_Bruta!M1616)))</f>
        <v>RJ</v>
      </c>
      <c r="O1616" s="4" t="str">
        <f aca="false">IF($A1616="","",_xlfn.XLOOKUP(LOWER(TRIM(Base_Bruta!N1616)),DePara_Pais!$A$2:$A$9,DePara_Pais!$B$2:$B$9,"REVISAR"))</f>
        <v>Brasil</v>
      </c>
      <c r="P1616" s="4" t="str">
        <f aca="false">IF($A1616="","",IF(O1616&lt;&gt;"Brasil","Turista Internacional",IF(M1616=F1616,"Local","Turista Nacional")))</f>
        <v>Turista Nacional</v>
      </c>
      <c r="Q1616" s="7" t="n">
        <f aca="false">IF($A1616="","",DATE(YEAR(B1616),MONTH(B1616),1))</f>
        <v>45778</v>
      </c>
      <c r="R1616" s="4" t="str">
        <f aca="false">IF($A1616="","",IF(COUNTIF($A$2:$A1616,$A1616)&gt;1,"Sim","Não"))</f>
        <v>Não</v>
      </c>
      <c r="S1616" s="4" t="str">
        <f aca="false">IF(A1616="","Descartar - Linha vazia",IF(R1616="Sim","Descartar - Duplicado",IF(OR(H1616&lt;=0,I1616&lt;=0),"Descartar - Qtd/Valor inválido","OK")))</f>
        <v>OK</v>
      </c>
      <c r="T1616" s="4" t="str">
        <f aca="false">Base_Bruta!P1616</f>
        <v>vendas_MG.csv</v>
      </c>
    </row>
    <row r="1617" customFormat="false" ht="15" hidden="false" customHeight="false" outlineLevel="0" collapsed="false">
      <c r="A1617" s="4" t="str">
        <f aca="false">IF(Base_Bruta!A1617="","",Base_Bruta!A1617)</f>
        <v>MG-000213</v>
      </c>
      <c r="B1617" s="5" t="n">
        <f aca="false">IF($A1617="","",IF(ISNUMBER(Base_Bruta!B1617),Base_Bruta!B1617,IF(MID(Base_Bruta!B1617,5,1)="-",DATE(VALUE(LEFT(Base_Bruta!B1617,4)),VALUE(MID(Base_Bruta!B1617,6,2)),VALUE(RIGHT(Base_Bruta!B1617,2))),DATE(VALUE(RIGHT(Base_Bruta!B1617,4)),VALUE(MID(Base_Bruta!B1617,4,2)),VALUE(LEFT(Base_Bruta!B1617,2))))))</f>
        <v>45784</v>
      </c>
      <c r="C1617" s="5" t="n">
        <f aca="false">IF($A1617="","",IF(ISNUMBER(Base_Bruta!C1617),Base_Bruta!C1617,IF(MID(Base_Bruta!C1617,5,1)="-",DATE(VALUE(LEFT(Base_Bruta!C1617,4)),VALUE(MID(Base_Bruta!C1617,6,2)),VALUE(RIGHT(Base_Bruta!C1617,2))),DATE(VALUE(RIGHT(Base_Bruta!C1617,4)),VALUE(MID(Base_Bruta!C1617,4,2)),VALUE(LEFT(Base_Bruta!C1617,2))))))</f>
        <v>45892</v>
      </c>
      <c r="D1617" s="4" t="str">
        <f aca="false">IF($A1617="","",TRIM(Base_Bruta!D1617))</f>
        <v>Festival Montanhas BH 2025</v>
      </c>
      <c r="E1617" s="4" t="str">
        <f aca="false">IF($A1617="","",_xlfn.XLOOKUP(LOWER(TRIM(Base_Bruta!E1617)),DePara_Categoria!$A$2:$A$9,DePara_Categoria!$B$2:$B$9,"REVISAR"))</f>
        <v>Festival</v>
      </c>
      <c r="F1617" s="4" t="str">
        <f aca="false">IF($A1617="","",_xlfn.XLOOKUP(LOWER(TRIM(Base_Bruta!F1617)),DePara_Cidade!$A$2:$A$29,DePara_Cidade!$B$2:$B$29,"REVISAR"))</f>
        <v>Belo Horizonte</v>
      </c>
      <c r="G1617" s="4" t="str">
        <f aca="false">IF($A1617="","",TRIM(Base_Bruta!G1617))</f>
        <v>Inteira</v>
      </c>
      <c r="H1617" s="4" t="n">
        <f aca="false">IF($A1617="","",IF(ISNUMBER(Base_Bruta!H1617),Base_Bruta!H1617,IFERROR(_xlfn.NUMBERVALUE(TRIM(SUBSTITUTE(Base_Bruta!H1617,"R$","")),",","."),0)))</f>
        <v>1</v>
      </c>
      <c r="I1617" s="6" t="n">
        <f aca="false">IF($A1617="","",IF(ISNUMBER(Base_Bruta!I1617),Base_Bruta!I1617,IFERROR(_xlfn.NUMBERVALUE(TRIM(SUBSTITUTE(Base_Bruta!I1617,"R$","")),",","."),0)))</f>
        <v>1000</v>
      </c>
      <c r="J1617" s="6" t="n">
        <f aca="false">IF($A1617="","",H1617*I1617)</f>
        <v>1000</v>
      </c>
      <c r="K1617" s="4" t="str">
        <f aca="false">IF($A1617="","",TRIM(Base_Bruta!J1617))</f>
        <v>Bilheteria</v>
      </c>
      <c r="L1617" s="4" t="str">
        <f aca="false">IF($A1617="","",TRIM(Base_Bruta!K1617))</f>
        <v>C00480</v>
      </c>
      <c r="M1617" s="4" t="str">
        <f aca="false">IF($A1617="","",_xlfn.XLOOKUP(LOWER(TRIM(Base_Bruta!L1617)),DePara_Cidade!$A$2:$A$29,DePara_Cidade!$B$2:$B$29,"REVISAR"))</f>
        <v>Belo Horizonte</v>
      </c>
      <c r="N1617" s="4" t="str">
        <f aca="false">IF($A1617="","",UPPER(TRIM(Base_Bruta!M1617)))</f>
        <v>MG</v>
      </c>
      <c r="O1617" s="4" t="str">
        <f aca="false">IF($A1617="","",_xlfn.XLOOKUP(LOWER(TRIM(Base_Bruta!N1617)),DePara_Pais!$A$2:$A$9,DePara_Pais!$B$2:$B$9,"REVISAR"))</f>
        <v>Brasil</v>
      </c>
      <c r="P1617" s="4" t="str">
        <f aca="false">IF($A1617="","",IF(O1617&lt;&gt;"Brasil","Turista Internacional",IF(M1617=F1617,"Local","Turista Nacional")))</f>
        <v>Local</v>
      </c>
      <c r="Q1617" s="7" t="n">
        <f aca="false">IF($A1617="","",DATE(YEAR(B1617),MONTH(B1617),1))</f>
        <v>45778</v>
      </c>
      <c r="R1617" s="4" t="str">
        <f aca="false">IF($A1617="","",IF(COUNTIF($A$2:$A1617,$A1617)&gt;1,"Sim","Não"))</f>
        <v>Não</v>
      </c>
      <c r="S1617" s="4" t="str">
        <f aca="false">IF(A1617="","Descartar - Linha vazia",IF(R1617="Sim","Descartar - Duplicado",IF(OR(H1617&lt;=0,I1617&lt;=0),"Descartar - Qtd/Valor inválido","OK")))</f>
        <v>OK</v>
      </c>
      <c r="T1617" s="4" t="str">
        <f aca="false">Base_Bruta!P1617</f>
        <v>vendas_MG.csv</v>
      </c>
    </row>
    <row r="1618" customFormat="false" ht="15" hidden="false" customHeight="false" outlineLevel="0" collapsed="false">
      <c r="A1618" s="4" t="str">
        <f aca="false">IF(Base_Bruta!A1618="","",Base_Bruta!A1618)</f>
        <v>MG-000127</v>
      </c>
      <c r="B1618" s="5" t="n">
        <f aca="false">IF($A1618="","",IF(ISNUMBER(Base_Bruta!B1618),Base_Bruta!B1618,IF(MID(Base_Bruta!B1618,5,1)="-",DATE(VALUE(LEFT(Base_Bruta!B1618,4)),VALUE(MID(Base_Bruta!B1618,6,2)),VALUE(RIGHT(Base_Bruta!B1618,2))),DATE(VALUE(RIGHT(Base_Bruta!B1618,4)),VALUE(MID(Base_Bruta!B1618,4,2)),VALUE(LEFT(Base_Bruta!B1618,2))))))</f>
        <v>45785</v>
      </c>
      <c r="C1618" s="5" t="n">
        <f aca="false">IF($A1618="","",IF(ISNUMBER(Base_Bruta!C1618),Base_Bruta!C1618,IF(MID(Base_Bruta!C1618,5,1)="-",DATE(VALUE(LEFT(Base_Bruta!C1618,4)),VALUE(MID(Base_Bruta!C1618,6,2)),VALUE(RIGHT(Base_Bruta!C1618,2))),DATE(VALUE(RIGHT(Base_Bruta!C1618,4)),VALUE(MID(Base_Bruta!C1618,4,2)),VALUE(LEFT(Base_Bruta!C1618,2))))))</f>
        <v>45892</v>
      </c>
      <c r="D1618" s="4" t="str">
        <f aca="false">IF($A1618="","",TRIM(Base_Bruta!D1618))</f>
        <v>Festival Montanhas BH 2025</v>
      </c>
      <c r="E1618" s="4" t="str">
        <f aca="false">IF($A1618="","",_xlfn.XLOOKUP(LOWER(TRIM(Base_Bruta!E1618)),DePara_Categoria!$A$2:$A$9,DePara_Categoria!$B$2:$B$9,"REVISAR"))</f>
        <v>Festival</v>
      </c>
      <c r="F1618" s="4" t="str">
        <f aca="false">IF($A1618="","",_xlfn.XLOOKUP(LOWER(TRIM(Base_Bruta!F1618)),DePara_Cidade!$A$2:$A$29,DePara_Cidade!$B$2:$B$29,"REVISAR"))</f>
        <v>Belo Horizonte</v>
      </c>
      <c r="G1618" s="4" t="str">
        <f aca="false">IF($A1618="","",TRIM(Base_Bruta!G1618))</f>
        <v>Inteira</v>
      </c>
      <c r="H1618" s="4" t="n">
        <f aca="false">IF($A1618="","",IF(ISNUMBER(Base_Bruta!H1618),Base_Bruta!H1618,IFERROR(_xlfn.NUMBERVALUE(TRIM(SUBSTITUTE(Base_Bruta!H1618,"R$","")),",","."),0)))</f>
        <v>2</v>
      </c>
      <c r="I1618" s="6" t="n">
        <f aca="false">IF($A1618="","",IF(ISNUMBER(Base_Bruta!I1618),Base_Bruta!I1618,IFERROR(_xlfn.NUMBERVALUE(TRIM(SUBSTITUTE(Base_Bruta!I1618,"R$","")),",","."),0)))</f>
        <v>1045</v>
      </c>
      <c r="J1618" s="6" t="n">
        <f aca="false">IF($A1618="","",H1618*I1618)</f>
        <v>2090</v>
      </c>
      <c r="K1618" s="4" t="str">
        <f aca="false">IF($A1618="","",TRIM(Base_Bruta!J1618))</f>
        <v>App</v>
      </c>
      <c r="L1618" s="4" t="str">
        <f aca="false">IF($A1618="","",TRIM(Base_Bruta!K1618))</f>
        <v>C01877</v>
      </c>
      <c r="M1618" s="4" t="str">
        <f aca="false">IF($A1618="","",_xlfn.XLOOKUP(LOWER(TRIM(Base_Bruta!L1618)),DePara_Cidade!$A$2:$A$29,DePara_Cidade!$B$2:$B$29,"REVISAR"))</f>
        <v>Belo Horizonte</v>
      </c>
      <c r="N1618" s="4" t="str">
        <f aca="false">IF($A1618="","",UPPER(TRIM(Base_Bruta!M1618)))</f>
        <v>MG</v>
      </c>
      <c r="O1618" s="4" t="str">
        <f aca="false">IF($A1618="","",_xlfn.XLOOKUP(LOWER(TRIM(Base_Bruta!N1618)),DePara_Pais!$A$2:$A$9,DePara_Pais!$B$2:$B$9,"REVISAR"))</f>
        <v>Brasil</v>
      </c>
      <c r="P1618" s="4" t="str">
        <f aca="false">IF($A1618="","",IF(O1618&lt;&gt;"Brasil","Turista Internacional",IF(M1618=F1618,"Local","Turista Nacional")))</f>
        <v>Local</v>
      </c>
      <c r="Q1618" s="7" t="n">
        <f aca="false">IF($A1618="","",DATE(YEAR(B1618),MONTH(B1618),1))</f>
        <v>45778</v>
      </c>
      <c r="R1618" s="4" t="str">
        <f aca="false">IF($A1618="","",IF(COUNTIF($A$2:$A1618,$A1618)&gt;1,"Sim","Não"))</f>
        <v>Não</v>
      </c>
      <c r="S1618" s="4" t="str">
        <f aca="false">IF(A1618="","Descartar - Linha vazia",IF(R1618="Sim","Descartar - Duplicado",IF(OR(H1618&lt;=0,I1618&lt;=0),"Descartar - Qtd/Valor inválido","OK")))</f>
        <v>OK</v>
      </c>
      <c r="T1618" s="4" t="str">
        <f aca="false">Base_Bruta!P1618</f>
        <v>vendas_MG.csv</v>
      </c>
    </row>
    <row r="1619" customFormat="false" ht="15" hidden="false" customHeight="false" outlineLevel="0" collapsed="false">
      <c r="A1619" s="4" t="str">
        <f aca="false">IF(Base_Bruta!A1619="","",Base_Bruta!A1619)</f>
        <v>MG-000134</v>
      </c>
      <c r="B1619" s="5" t="n">
        <f aca="false">IF($A1619="","",IF(ISNUMBER(Base_Bruta!B1619),Base_Bruta!B1619,IF(MID(Base_Bruta!B1619,5,1)="-",DATE(VALUE(LEFT(Base_Bruta!B1619,4)),VALUE(MID(Base_Bruta!B1619,6,2)),VALUE(RIGHT(Base_Bruta!B1619,2))),DATE(VALUE(RIGHT(Base_Bruta!B1619,4)),VALUE(MID(Base_Bruta!B1619,4,2)),VALUE(LEFT(Base_Bruta!B1619,2))))))</f>
        <v>45785</v>
      </c>
      <c r="C1619" s="5" t="n">
        <f aca="false">IF($A1619="","",IF(ISNUMBER(Base_Bruta!C1619),Base_Bruta!C1619,IF(MID(Base_Bruta!C1619,5,1)="-",DATE(VALUE(LEFT(Base_Bruta!C1619,4)),VALUE(MID(Base_Bruta!C1619,6,2)),VALUE(RIGHT(Base_Bruta!C1619,2))),DATE(VALUE(RIGHT(Base_Bruta!C1619,4)),VALUE(MID(Base_Bruta!C1619,4,2)),VALUE(LEFT(Base_Bruta!C1619,2))))))</f>
        <v>45892</v>
      </c>
      <c r="D1619" s="4" t="str">
        <f aca="false">IF($A1619="","",TRIM(Base_Bruta!D1619))</f>
        <v>Festival Montanhas BH 2025</v>
      </c>
      <c r="E1619" s="4" t="str">
        <f aca="false">IF($A1619="","",_xlfn.XLOOKUP(LOWER(TRIM(Base_Bruta!E1619)),DePara_Categoria!$A$2:$A$9,DePara_Categoria!$B$2:$B$9,"REVISAR"))</f>
        <v>Festival</v>
      </c>
      <c r="F1619" s="4" t="str">
        <f aca="false">IF($A1619="","",_xlfn.XLOOKUP(LOWER(TRIM(Base_Bruta!F1619)),DePara_Cidade!$A$2:$A$29,DePara_Cidade!$B$2:$B$29,"REVISAR"))</f>
        <v>Belo Horizonte</v>
      </c>
      <c r="G1619" s="4" t="str">
        <f aca="false">IF($A1619="","",TRIM(Base_Bruta!G1619))</f>
        <v>Meia</v>
      </c>
      <c r="H1619" s="4" t="n">
        <f aca="false">IF($A1619="","",IF(ISNUMBER(Base_Bruta!H1619),Base_Bruta!H1619,IFERROR(_xlfn.NUMBERVALUE(TRIM(SUBSTITUTE(Base_Bruta!H1619,"R$","")),",","."),0)))</f>
        <v>4</v>
      </c>
      <c r="I1619" s="6" t="n">
        <f aca="false">IF($A1619="","",IF(ISNUMBER(Base_Bruta!I1619),Base_Bruta!I1619,IFERROR(_xlfn.NUMBERVALUE(TRIM(SUBSTITUTE(Base_Bruta!I1619,"R$","")),",","."),0)))</f>
        <v>487.5</v>
      </c>
      <c r="J1619" s="6" t="n">
        <f aca="false">IF($A1619="","",H1619*I1619)</f>
        <v>1950</v>
      </c>
      <c r="K1619" s="4" t="str">
        <f aca="false">IF($A1619="","",TRIM(Base_Bruta!J1619))</f>
        <v>Site</v>
      </c>
      <c r="L1619" s="4" t="str">
        <f aca="false">IF($A1619="","",TRIM(Base_Bruta!K1619))</f>
        <v>C01992</v>
      </c>
      <c r="M1619" s="4" t="str">
        <f aca="false">IF($A1619="","",_xlfn.XLOOKUP(LOWER(TRIM(Base_Bruta!L1619)),DePara_Cidade!$A$2:$A$29,DePara_Cidade!$B$2:$B$29,"REVISAR"))</f>
        <v>Buenos Aires</v>
      </c>
      <c r="N1619" s="4" t="str">
        <f aca="false">IF($A1619="","",UPPER(TRIM(Base_Bruta!M1619)))</f>
        <v>EX</v>
      </c>
      <c r="O1619" s="4" t="str">
        <f aca="false">IF($A1619="","",_xlfn.XLOOKUP(LOWER(TRIM(Base_Bruta!N1619)),DePara_Pais!$A$2:$A$9,DePara_Pais!$B$2:$B$9,"REVISAR"))</f>
        <v>Argentina</v>
      </c>
      <c r="P1619" s="4" t="str">
        <f aca="false">IF($A1619="","",IF(O1619&lt;&gt;"Brasil","Turista Internacional",IF(M1619=F1619,"Local","Turista Nacional")))</f>
        <v>Turista Internacional</v>
      </c>
      <c r="Q1619" s="7" t="n">
        <f aca="false">IF($A1619="","",DATE(YEAR(B1619),MONTH(B1619),1))</f>
        <v>45778</v>
      </c>
      <c r="R1619" s="4" t="str">
        <f aca="false">IF($A1619="","",IF(COUNTIF($A$2:$A1619,$A1619)&gt;1,"Sim","Não"))</f>
        <v>Não</v>
      </c>
      <c r="S1619" s="4" t="str">
        <f aca="false">IF(A1619="","Descartar - Linha vazia",IF(R1619="Sim","Descartar - Duplicado",IF(OR(H1619&lt;=0,I1619&lt;=0),"Descartar - Qtd/Valor inválido","OK")))</f>
        <v>OK</v>
      </c>
      <c r="T1619" s="4" t="str">
        <f aca="false">Base_Bruta!P1619</f>
        <v>vendas_MG.csv</v>
      </c>
    </row>
    <row r="1620" customFormat="false" ht="15" hidden="false" customHeight="false" outlineLevel="0" collapsed="false">
      <c r="A1620" s="4" t="str">
        <f aca="false">IF(Base_Bruta!A1620="","",Base_Bruta!A1620)</f>
        <v>MG-000173</v>
      </c>
      <c r="B1620" s="5" t="n">
        <f aca="false">IF($A1620="","",IF(ISNUMBER(Base_Bruta!B1620),Base_Bruta!B1620,IF(MID(Base_Bruta!B1620,5,1)="-",DATE(VALUE(LEFT(Base_Bruta!B1620,4)),VALUE(MID(Base_Bruta!B1620,6,2)),VALUE(RIGHT(Base_Bruta!B1620,2))),DATE(VALUE(RIGHT(Base_Bruta!B1620,4)),VALUE(MID(Base_Bruta!B1620,4,2)),VALUE(LEFT(Base_Bruta!B1620,2))))))</f>
        <v>45785</v>
      </c>
      <c r="C1620" s="5" t="n">
        <f aca="false">IF($A1620="","",IF(ISNUMBER(Base_Bruta!C1620),Base_Bruta!C1620,IF(MID(Base_Bruta!C1620,5,1)="-",DATE(VALUE(LEFT(Base_Bruta!C1620,4)),VALUE(MID(Base_Bruta!C1620,6,2)),VALUE(RIGHT(Base_Bruta!C1620,2))),DATE(VALUE(RIGHT(Base_Bruta!C1620,4)),VALUE(MID(Base_Bruta!C1620,4,2)),VALUE(LEFT(Base_Bruta!C1620,2))))))</f>
        <v>45892</v>
      </c>
      <c r="D1620" s="4" t="str">
        <f aca="false">IF($A1620="","",TRIM(Base_Bruta!D1620))</f>
        <v>Festival Montanhas BH 2025</v>
      </c>
      <c r="E1620" s="4" t="str">
        <f aca="false">IF($A1620="","",_xlfn.XLOOKUP(LOWER(TRIM(Base_Bruta!E1620)),DePara_Categoria!$A$2:$A$9,DePara_Categoria!$B$2:$B$9,"REVISAR"))</f>
        <v>Festival</v>
      </c>
      <c r="F1620" s="4" t="str">
        <f aca="false">IF($A1620="","",_xlfn.XLOOKUP(LOWER(TRIM(Base_Bruta!F1620)),DePara_Cidade!$A$2:$A$29,DePara_Cidade!$B$2:$B$29,"REVISAR"))</f>
        <v>Belo Horizonte</v>
      </c>
      <c r="G1620" s="4" t="str">
        <f aca="false">IF($A1620="","",TRIM(Base_Bruta!G1620))</f>
        <v>Meia</v>
      </c>
      <c r="H1620" s="4" t="n">
        <f aca="false">IF($A1620="","",IF(ISNUMBER(Base_Bruta!H1620),Base_Bruta!H1620,IFERROR(_xlfn.NUMBERVALUE(TRIM(SUBSTITUTE(Base_Bruta!H1620,"R$","")),",","."),0)))</f>
        <v>4</v>
      </c>
      <c r="I1620" s="6" t="n">
        <f aca="false">IF($A1620="","",IF(ISNUMBER(Base_Bruta!I1620),Base_Bruta!I1620,IFERROR(_xlfn.NUMBERVALUE(TRIM(SUBSTITUTE(Base_Bruta!I1620,"R$","")),",","."),0)))</f>
        <v>555</v>
      </c>
      <c r="J1620" s="6" t="n">
        <f aca="false">IF($A1620="","",H1620*I1620)</f>
        <v>2220</v>
      </c>
      <c r="K1620" s="4" t="str">
        <f aca="false">IF($A1620="","",TRIM(Base_Bruta!J1620))</f>
        <v>Site</v>
      </c>
      <c r="L1620" s="4" t="str">
        <f aca="false">IF($A1620="","",TRIM(Base_Bruta!K1620))</f>
        <v>C00582</v>
      </c>
      <c r="M1620" s="4" t="str">
        <f aca="false">IF($A1620="","",_xlfn.XLOOKUP(LOWER(TRIM(Base_Bruta!L1620)),DePara_Cidade!$A$2:$A$29,DePara_Cidade!$B$2:$B$29,"REVISAR"))</f>
        <v>Belo Horizonte</v>
      </c>
      <c r="N1620" s="4" t="str">
        <f aca="false">IF($A1620="","",UPPER(TRIM(Base_Bruta!M1620)))</f>
        <v>MG</v>
      </c>
      <c r="O1620" s="4" t="str">
        <f aca="false">IF($A1620="","",_xlfn.XLOOKUP(LOWER(TRIM(Base_Bruta!N1620)),DePara_Pais!$A$2:$A$9,DePara_Pais!$B$2:$B$9,"REVISAR"))</f>
        <v>Brasil</v>
      </c>
      <c r="P1620" s="4" t="str">
        <f aca="false">IF($A1620="","",IF(O1620&lt;&gt;"Brasil","Turista Internacional",IF(M1620=F1620,"Local","Turista Nacional")))</f>
        <v>Local</v>
      </c>
      <c r="Q1620" s="7" t="n">
        <f aca="false">IF($A1620="","",DATE(YEAR(B1620),MONTH(B1620),1))</f>
        <v>45778</v>
      </c>
      <c r="R1620" s="4" t="str">
        <f aca="false">IF($A1620="","",IF(COUNTIF($A$2:$A1620,$A1620)&gt;1,"Sim","Não"))</f>
        <v>Não</v>
      </c>
      <c r="S1620" s="4" t="str">
        <f aca="false">IF(A1620="","Descartar - Linha vazia",IF(R1620="Sim","Descartar - Duplicado",IF(OR(H1620&lt;=0,I1620&lt;=0),"Descartar - Qtd/Valor inválido","OK")))</f>
        <v>OK</v>
      </c>
      <c r="T1620" s="4" t="str">
        <f aca="false">Base_Bruta!P1620</f>
        <v>vendas_MG.csv</v>
      </c>
    </row>
    <row r="1621" customFormat="false" ht="15" hidden="false" customHeight="false" outlineLevel="0" collapsed="false">
      <c r="A1621" s="4" t="str">
        <f aca="false">IF(Base_Bruta!A1621="","",Base_Bruta!A1621)</f>
        <v>MG-000207</v>
      </c>
      <c r="B1621" s="5" t="n">
        <f aca="false">IF($A1621="","",IF(ISNUMBER(Base_Bruta!B1621),Base_Bruta!B1621,IF(MID(Base_Bruta!B1621,5,1)="-",DATE(VALUE(LEFT(Base_Bruta!B1621,4)),VALUE(MID(Base_Bruta!B1621,6,2)),VALUE(RIGHT(Base_Bruta!B1621,2))),DATE(VALUE(RIGHT(Base_Bruta!B1621,4)),VALUE(MID(Base_Bruta!B1621,4,2)),VALUE(LEFT(Base_Bruta!B1621,2))))))</f>
        <v>45785</v>
      </c>
      <c r="C1621" s="5" t="n">
        <f aca="false">IF($A1621="","",IF(ISNUMBER(Base_Bruta!C1621),Base_Bruta!C1621,IF(MID(Base_Bruta!C1621,5,1)="-",DATE(VALUE(LEFT(Base_Bruta!C1621,4)),VALUE(MID(Base_Bruta!C1621,6,2)),VALUE(RIGHT(Base_Bruta!C1621,2))),DATE(VALUE(RIGHT(Base_Bruta!C1621,4)),VALUE(MID(Base_Bruta!C1621,4,2)),VALUE(LEFT(Base_Bruta!C1621,2))))))</f>
        <v>45892</v>
      </c>
      <c r="D1621" s="4" t="str">
        <f aca="false">IF($A1621="","",TRIM(Base_Bruta!D1621))</f>
        <v>Festival Montanhas BH 2025</v>
      </c>
      <c r="E1621" s="4" t="str">
        <f aca="false">IF($A1621="","",_xlfn.XLOOKUP(LOWER(TRIM(Base_Bruta!E1621)),DePara_Categoria!$A$2:$A$9,DePara_Categoria!$B$2:$B$9,"REVISAR"))</f>
        <v>Festival</v>
      </c>
      <c r="F1621" s="4" t="str">
        <f aca="false">IF($A1621="","",_xlfn.XLOOKUP(LOWER(TRIM(Base_Bruta!F1621)),DePara_Cidade!$A$2:$A$29,DePara_Cidade!$B$2:$B$29,"REVISAR"))</f>
        <v>Belo Horizonte</v>
      </c>
      <c r="G1621" s="4" t="str">
        <f aca="false">IF($A1621="","",TRIM(Base_Bruta!G1621))</f>
        <v>Inteira</v>
      </c>
      <c r="H1621" s="4" t="n">
        <f aca="false">IF($A1621="","",IF(ISNUMBER(Base_Bruta!H1621),Base_Bruta!H1621,IFERROR(_xlfn.NUMBERVALUE(TRIM(SUBSTITUTE(Base_Bruta!H1621,"R$","")),",","."),0)))</f>
        <v>2</v>
      </c>
      <c r="I1621" s="6" t="n">
        <f aca="false">IF($A1621="","",IF(ISNUMBER(Base_Bruta!I1621),Base_Bruta!I1621,IFERROR(_xlfn.NUMBERVALUE(TRIM(SUBSTITUTE(Base_Bruta!I1621,"R$","")),",","."),0)))</f>
        <v>1020</v>
      </c>
      <c r="J1621" s="6" t="n">
        <f aca="false">IF($A1621="","",H1621*I1621)</f>
        <v>2040</v>
      </c>
      <c r="K1621" s="4" t="str">
        <f aca="false">IF($A1621="","",TRIM(Base_Bruta!J1621))</f>
        <v>App</v>
      </c>
      <c r="L1621" s="4" t="str">
        <f aca="false">IF($A1621="","",TRIM(Base_Bruta!K1621))</f>
        <v>C02075</v>
      </c>
      <c r="M1621" s="4" t="str">
        <f aca="false">IF($A1621="","",_xlfn.XLOOKUP(LOWER(TRIM(Base_Bruta!L1621)),DePara_Cidade!$A$2:$A$29,DePara_Cidade!$B$2:$B$29,"REVISAR"))</f>
        <v>Belo Horizonte</v>
      </c>
      <c r="N1621" s="4" t="str">
        <f aca="false">IF($A1621="","",UPPER(TRIM(Base_Bruta!M1621)))</f>
        <v>MG</v>
      </c>
      <c r="O1621" s="4" t="str">
        <f aca="false">IF($A1621="","",_xlfn.XLOOKUP(LOWER(TRIM(Base_Bruta!N1621)),DePara_Pais!$A$2:$A$9,DePara_Pais!$B$2:$B$9,"REVISAR"))</f>
        <v>Brasil</v>
      </c>
      <c r="P1621" s="4" t="str">
        <f aca="false">IF($A1621="","",IF(O1621&lt;&gt;"Brasil","Turista Internacional",IF(M1621=F1621,"Local","Turista Nacional")))</f>
        <v>Local</v>
      </c>
      <c r="Q1621" s="7" t="n">
        <f aca="false">IF($A1621="","",DATE(YEAR(B1621),MONTH(B1621),1))</f>
        <v>45778</v>
      </c>
      <c r="R1621" s="4" t="str">
        <f aca="false">IF($A1621="","",IF(COUNTIF($A$2:$A1621,$A1621)&gt;1,"Sim","Não"))</f>
        <v>Não</v>
      </c>
      <c r="S1621" s="4" t="str">
        <f aca="false">IF(A1621="","Descartar - Linha vazia",IF(R1621="Sim","Descartar - Duplicado",IF(OR(H1621&lt;=0,I1621&lt;=0),"Descartar - Qtd/Valor inválido","OK")))</f>
        <v>OK</v>
      </c>
      <c r="T1621" s="4" t="str">
        <f aca="false">Base_Bruta!P1621</f>
        <v>vendas_MG.csv</v>
      </c>
    </row>
    <row r="1622" customFormat="false" ht="15" hidden="false" customHeight="false" outlineLevel="0" collapsed="false">
      <c r="A1622" s="4" t="str">
        <f aca="false">IF(Base_Bruta!A1622="","",Base_Bruta!A1622)</f>
        <v/>
      </c>
      <c r="B1622" s="5" t="str">
        <f aca="false">IF($A1622="","",IF(ISNUMBER(Base_Bruta!B1622),Base_Bruta!B1622,IF(MID(Base_Bruta!B1622,5,1)="-",DATE(VALUE(LEFT(Base_Bruta!B1622,4)),VALUE(MID(Base_Bruta!B1622,6,2)),VALUE(RIGHT(Base_Bruta!B1622,2))),DATE(VALUE(RIGHT(Base_Bruta!B1622,4)),VALUE(MID(Base_Bruta!B1622,4,2)),VALUE(LEFT(Base_Bruta!B1622,2))))))</f>
        <v/>
      </c>
      <c r="C1622" s="5" t="str">
        <f aca="false">IF($A1622="","",IF(ISNUMBER(Base_Bruta!C1622),Base_Bruta!C1622,IF(MID(Base_Bruta!C1622,5,1)="-",DATE(VALUE(LEFT(Base_Bruta!C1622,4)),VALUE(MID(Base_Bruta!C1622,6,2)),VALUE(RIGHT(Base_Bruta!C1622,2))),DATE(VALUE(RIGHT(Base_Bruta!C1622,4)),VALUE(MID(Base_Bruta!C1622,4,2)),VALUE(LEFT(Base_Bruta!C1622,2))))))</f>
        <v/>
      </c>
      <c r="D1622" s="4" t="str">
        <f aca="false">IF($A1622="","",TRIM(Base_Bruta!D1622))</f>
        <v/>
      </c>
      <c r="E1622" s="4" t="str">
        <f aca="false">IF($A1622="","",_xlfn.XLOOKUP(LOWER(TRIM(Base_Bruta!E1622)),DePara_Categoria!$A$2:$A$9,DePara_Categoria!$B$2:$B$9,"REVISAR"))</f>
        <v/>
      </c>
      <c r="F1622" s="4" t="str">
        <f aca="false">IF($A1622="","",_xlfn.XLOOKUP(LOWER(TRIM(Base_Bruta!F1622)),DePara_Cidade!$A$2:$A$29,DePara_Cidade!$B$2:$B$29,"REVISAR"))</f>
        <v/>
      </c>
      <c r="G1622" s="4" t="str">
        <f aca="false">IF($A1622="","",TRIM(Base_Bruta!G1622))</f>
        <v/>
      </c>
      <c r="H1622" s="4" t="str">
        <f aca="false">IF($A1622="","",IF(ISNUMBER(Base_Bruta!H1622),Base_Bruta!H1622,IFERROR(_xlfn.NUMBERVALUE(TRIM(SUBSTITUTE(Base_Bruta!H1622,"R$","")),",","."),0)))</f>
        <v/>
      </c>
      <c r="I1622" s="6" t="str">
        <f aca="false">IF($A1622="","",IF(ISNUMBER(Base_Bruta!I1622),Base_Bruta!I1622,IFERROR(_xlfn.NUMBERVALUE(TRIM(SUBSTITUTE(Base_Bruta!I1622,"R$","")),",","."),0)))</f>
        <v/>
      </c>
      <c r="J1622" s="6" t="str">
        <f aca="false">IF($A1622="","",H1622*I1622)</f>
        <v/>
      </c>
      <c r="K1622" s="4" t="str">
        <f aca="false">IF($A1622="","",TRIM(Base_Bruta!J1622))</f>
        <v/>
      </c>
      <c r="L1622" s="4" t="str">
        <f aca="false">IF($A1622="","",TRIM(Base_Bruta!K1622))</f>
        <v/>
      </c>
      <c r="M1622" s="4" t="str">
        <f aca="false">IF($A1622="","",_xlfn.XLOOKUP(LOWER(TRIM(Base_Bruta!L1622)),DePara_Cidade!$A$2:$A$29,DePara_Cidade!$B$2:$B$29,"REVISAR"))</f>
        <v/>
      </c>
      <c r="N1622" s="4" t="str">
        <f aca="false">IF($A1622="","",UPPER(TRIM(Base_Bruta!M1622)))</f>
        <v/>
      </c>
      <c r="O1622" s="4" t="str">
        <f aca="false">IF($A1622="","",_xlfn.XLOOKUP(LOWER(TRIM(Base_Bruta!N1622)),DePara_Pais!$A$2:$A$9,DePara_Pais!$B$2:$B$9,"REVISAR"))</f>
        <v/>
      </c>
      <c r="P1622" s="4" t="str">
        <f aca="false">IF($A1622="","",IF(O1622&lt;&gt;"Brasil","Turista Internacional",IF(M1622=F1622,"Local","Turista Nacional")))</f>
        <v/>
      </c>
      <c r="Q1622" s="7" t="str">
        <f aca="false">IF($A1622="","",DATE(YEAR(B1622),MONTH(B1622),1))</f>
        <v/>
      </c>
      <c r="R1622" s="4" t="str">
        <f aca="false">IF($A1622="","",IF(COUNTIF($A$2:$A1622,$A1622)&gt;1,"Sim","Não"))</f>
        <v/>
      </c>
      <c r="S1622" s="4" t="str">
        <f aca="false">IF(A1622="","Descartar - Linha vazia",IF(R1622="Sim","Descartar - Duplicado",IF(OR(H1622&lt;=0,I1622&lt;=0),"Descartar - Qtd/Valor inválido","OK")))</f>
        <v>Descartar - Linha vazia</v>
      </c>
      <c r="T1622" s="4" t="str">
        <f aca="false">Base_Bruta!P1622</f>
        <v>vendas_MG.csv</v>
      </c>
    </row>
    <row r="1623" customFormat="false" ht="15" hidden="false" customHeight="false" outlineLevel="0" collapsed="false">
      <c r="A1623" s="4" t="str">
        <f aca="false">IF(Base_Bruta!A1623="","",Base_Bruta!A1623)</f>
        <v>MG-000222</v>
      </c>
      <c r="B1623" s="5" t="n">
        <f aca="false">IF($A1623="","",IF(ISNUMBER(Base_Bruta!B1623),Base_Bruta!B1623,IF(MID(Base_Bruta!B1623,5,1)="-",DATE(VALUE(LEFT(Base_Bruta!B1623,4)),VALUE(MID(Base_Bruta!B1623,6,2)),VALUE(RIGHT(Base_Bruta!B1623,2))),DATE(VALUE(RIGHT(Base_Bruta!B1623,4)),VALUE(MID(Base_Bruta!B1623,4,2)),VALUE(LEFT(Base_Bruta!B1623,2))))))</f>
        <v>45785</v>
      </c>
      <c r="C1623" s="5" t="n">
        <f aca="false">IF($A1623="","",IF(ISNUMBER(Base_Bruta!C1623),Base_Bruta!C1623,IF(MID(Base_Bruta!C1623,5,1)="-",DATE(VALUE(LEFT(Base_Bruta!C1623,4)),VALUE(MID(Base_Bruta!C1623,6,2)),VALUE(RIGHT(Base_Bruta!C1623,2))),DATE(VALUE(RIGHT(Base_Bruta!C1623,4)),VALUE(MID(Base_Bruta!C1623,4,2)),VALUE(LEFT(Base_Bruta!C1623,2))))))</f>
        <v>45892</v>
      </c>
      <c r="D1623" s="4" t="str">
        <f aca="false">IF($A1623="","",TRIM(Base_Bruta!D1623))</f>
        <v>Festival Montanhas BH 2025</v>
      </c>
      <c r="E1623" s="4" t="str">
        <f aca="false">IF($A1623="","",_xlfn.XLOOKUP(LOWER(TRIM(Base_Bruta!E1623)),DePara_Categoria!$A$2:$A$9,DePara_Categoria!$B$2:$B$9,"REVISAR"))</f>
        <v>Festival</v>
      </c>
      <c r="F1623" s="4" t="str">
        <f aca="false">IF($A1623="","",_xlfn.XLOOKUP(LOWER(TRIM(Base_Bruta!F1623)),DePara_Cidade!$A$2:$A$29,DePara_Cidade!$B$2:$B$29,"REVISAR"))</f>
        <v>Belo Horizonte</v>
      </c>
      <c r="G1623" s="4" t="str">
        <f aca="false">IF($A1623="","",TRIM(Base_Bruta!G1623))</f>
        <v>Inteira</v>
      </c>
      <c r="H1623" s="4" t="n">
        <f aca="false">IF($A1623="","",IF(ISNUMBER(Base_Bruta!H1623),Base_Bruta!H1623,IFERROR(_xlfn.NUMBERVALUE(TRIM(SUBSTITUTE(Base_Bruta!H1623,"R$","")),",","."),0)))</f>
        <v>4</v>
      </c>
      <c r="I1623" s="6" t="n">
        <f aca="false">IF($A1623="","",IF(ISNUMBER(Base_Bruta!I1623),Base_Bruta!I1623,IFERROR(_xlfn.NUMBERVALUE(TRIM(SUBSTITUTE(Base_Bruta!I1623,"R$","")),",","."),0)))</f>
        <v>1055</v>
      </c>
      <c r="J1623" s="6" t="n">
        <f aca="false">IF($A1623="","",H1623*I1623)</f>
        <v>4220</v>
      </c>
      <c r="K1623" s="4" t="str">
        <f aca="false">IF($A1623="","",TRIM(Base_Bruta!J1623))</f>
        <v>Site</v>
      </c>
      <c r="L1623" s="4" t="str">
        <f aca="false">IF($A1623="","",TRIM(Base_Bruta!K1623))</f>
        <v>C02473</v>
      </c>
      <c r="M1623" s="4" t="str">
        <f aca="false">IF($A1623="","",_xlfn.XLOOKUP(LOWER(TRIM(Base_Bruta!L1623)),DePara_Cidade!$A$2:$A$29,DePara_Cidade!$B$2:$B$29,"REVISAR"))</f>
        <v>Porto Alegre</v>
      </c>
      <c r="N1623" s="4" t="str">
        <f aca="false">IF($A1623="","",UPPER(TRIM(Base_Bruta!M1623)))</f>
        <v>RS</v>
      </c>
      <c r="O1623" s="4" t="str">
        <f aca="false">IF($A1623="","",_xlfn.XLOOKUP(LOWER(TRIM(Base_Bruta!N1623)),DePara_Pais!$A$2:$A$9,DePara_Pais!$B$2:$B$9,"REVISAR"))</f>
        <v>Brasil</v>
      </c>
      <c r="P1623" s="4" t="str">
        <f aca="false">IF($A1623="","",IF(O1623&lt;&gt;"Brasil","Turista Internacional",IF(M1623=F1623,"Local","Turista Nacional")))</f>
        <v>Turista Nacional</v>
      </c>
      <c r="Q1623" s="7" t="n">
        <f aca="false">IF($A1623="","",DATE(YEAR(B1623),MONTH(B1623),1))</f>
        <v>45778</v>
      </c>
      <c r="R1623" s="4" t="str">
        <f aca="false">IF($A1623="","",IF(COUNTIF($A$2:$A1623,$A1623)&gt;1,"Sim","Não"))</f>
        <v>Não</v>
      </c>
      <c r="S1623" s="4" t="str">
        <f aca="false">IF(A1623="","Descartar - Linha vazia",IF(R1623="Sim","Descartar - Duplicado",IF(OR(H1623&lt;=0,I1623&lt;=0),"Descartar - Qtd/Valor inválido","OK")))</f>
        <v>OK</v>
      </c>
      <c r="T1623" s="4" t="str">
        <f aca="false">Base_Bruta!P1623</f>
        <v>vendas_MG.csv</v>
      </c>
    </row>
    <row r="1624" customFormat="false" ht="15" hidden="false" customHeight="false" outlineLevel="0" collapsed="false">
      <c r="A1624" s="4" t="str">
        <f aca="false">IF(Base_Bruta!A1624="","",Base_Bruta!A1624)</f>
        <v>MG-000475</v>
      </c>
      <c r="B1624" s="5" t="n">
        <f aca="false">IF($A1624="","",IF(ISNUMBER(Base_Bruta!B1624),Base_Bruta!B1624,IF(MID(Base_Bruta!B1624,5,1)="-",DATE(VALUE(LEFT(Base_Bruta!B1624,4)),VALUE(MID(Base_Bruta!B1624,6,2)),VALUE(RIGHT(Base_Bruta!B1624,2))),DATE(VALUE(RIGHT(Base_Bruta!B1624,4)),VALUE(MID(Base_Bruta!B1624,4,2)),VALUE(LEFT(Base_Bruta!B1624,2))))))</f>
        <v>45785</v>
      </c>
      <c r="C1624" s="5" t="n">
        <f aca="false">IF($A1624="","",IF(ISNUMBER(Base_Bruta!C1624),Base_Bruta!C1624,IF(MID(Base_Bruta!C1624,5,1)="-",DATE(VALUE(LEFT(Base_Bruta!C1624,4)),VALUE(MID(Base_Bruta!C1624,6,2)),VALUE(RIGHT(Base_Bruta!C1624,2))),DATE(VALUE(RIGHT(Base_Bruta!C1624,4)),VALUE(MID(Base_Bruta!C1624,4,2)),VALUE(LEFT(Base_Bruta!C1624,2))))))</f>
        <v>45788</v>
      </c>
      <c r="D1624" s="4" t="str">
        <f aca="false">IF($A1624="","",TRIM(Base_Bruta!D1624))</f>
        <v>Cinema Savassi - Sessões</v>
      </c>
      <c r="E1624" s="4" t="str">
        <f aca="false">IF($A1624="","",_xlfn.XLOOKUP(LOWER(TRIM(Base_Bruta!E1624)),DePara_Categoria!$A$2:$A$9,DePara_Categoria!$B$2:$B$9,"REVISAR"))</f>
        <v>Cinema</v>
      </c>
      <c r="F1624" s="4" t="str">
        <f aca="false">IF($A1624="","",_xlfn.XLOOKUP(LOWER(TRIM(Base_Bruta!F1624)),DePara_Cidade!$A$2:$A$29,DePara_Cidade!$B$2:$B$29,"REVISAR"))</f>
        <v>Belo Horizonte</v>
      </c>
      <c r="G1624" s="4" t="str">
        <f aca="false">IF($A1624="","",TRIM(Base_Bruta!G1624))</f>
        <v>Inteira</v>
      </c>
      <c r="H1624" s="4" t="n">
        <f aca="false">IF($A1624="","",IF(ISNUMBER(Base_Bruta!H1624),Base_Bruta!H1624,IFERROR(_xlfn.NUMBERVALUE(TRIM(SUBSTITUTE(Base_Bruta!H1624,"R$","")),",","."),0)))</f>
        <v>4</v>
      </c>
      <c r="I1624" s="6" t="n">
        <f aca="false">IF($A1624="","",IF(ISNUMBER(Base_Bruta!I1624),Base_Bruta!I1624,IFERROR(_xlfn.NUMBERVALUE(TRIM(SUBSTITUTE(Base_Bruta!I1624,"R$","")),",","."),0)))</f>
        <v>35</v>
      </c>
      <c r="J1624" s="6" t="n">
        <f aca="false">IF($A1624="","",H1624*I1624)</f>
        <v>140</v>
      </c>
      <c r="K1624" s="4" t="str">
        <f aca="false">IF($A1624="","",TRIM(Base_Bruta!J1624))</f>
        <v>Site</v>
      </c>
      <c r="L1624" s="4" t="str">
        <f aca="false">IF($A1624="","",TRIM(Base_Bruta!K1624))</f>
        <v>C00504</v>
      </c>
      <c r="M1624" s="4" t="str">
        <f aca="false">IF($A1624="","",_xlfn.XLOOKUP(LOWER(TRIM(Base_Bruta!L1624)),DePara_Cidade!$A$2:$A$29,DePara_Cidade!$B$2:$B$29,"REVISAR"))</f>
        <v>Belo Horizonte</v>
      </c>
      <c r="N1624" s="4" t="str">
        <f aca="false">IF($A1624="","",UPPER(TRIM(Base_Bruta!M1624)))</f>
        <v>MG</v>
      </c>
      <c r="O1624" s="4" t="str">
        <f aca="false">IF($A1624="","",_xlfn.XLOOKUP(LOWER(TRIM(Base_Bruta!N1624)),DePara_Pais!$A$2:$A$9,DePara_Pais!$B$2:$B$9,"REVISAR"))</f>
        <v>Brasil</v>
      </c>
      <c r="P1624" s="4" t="str">
        <f aca="false">IF($A1624="","",IF(O1624&lt;&gt;"Brasil","Turista Internacional",IF(M1624=F1624,"Local","Turista Nacional")))</f>
        <v>Local</v>
      </c>
      <c r="Q1624" s="7" t="n">
        <f aca="false">IF($A1624="","",DATE(YEAR(B1624),MONTH(B1624),1))</f>
        <v>45778</v>
      </c>
      <c r="R1624" s="4" t="str">
        <f aca="false">IF($A1624="","",IF(COUNTIF($A$2:$A1624,$A1624)&gt;1,"Sim","Não"))</f>
        <v>Não</v>
      </c>
      <c r="S1624" s="4" t="str">
        <f aca="false">IF(A1624="","Descartar - Linha vazia",IF(R1624="Sim","Descartar - Duplicado",IF(OR(H1624&lt;=0,I1624&lt;=0),"Descartar - Qtd/Valor inválido","OK")))</f>
        <v>OK</v>
      </c>
      <c r="T1624" s="4" t="str">
        <f aca="false">Base_Bruta!P1624</f>
        <v>vendas_MG.csv</v>
      </c>
    </row>
    <row r="1625" customFormat="false" ht="15" hidden="false" customHeight="false" outlineLevel="0" collapsed="false">
      <c r="A1625" s="4" t="str">
        <f aca="false">IF(Base_Bruta!A1625="","",Base_Bruta!A1625)</f>
        <v>MG-000080</v>
      </c>
      <c r="B1625" s="5" t="n">
        <f aca="false">IF($A1625="","",IF(ISNUMBER(Base_Bruta!B1625),Base_Bruta!B1625,IF(MID(Base_Bruta!B1625,5,1)="-",DATE(VALUE(LEFT(Base_Bruta!B1625,4)),VALUE(MID(Base_Bruta!B1625,6,2)),VALUE(RIGHT(Base_Bruta!B1625,2))),DATE(VALUE(RIGHT(Base_Bruta!B1625,4)),VALUE(MID(Base_Bruta!B1625,4,2)),VALUE(LEFT(Base_Bruta!B1625,2))))))</f>
        <v>45786</v>
      </c>
      <c r="C1625" s="5" t="n">
        <f aca="false">IF($A1625="","",IF(ISNUMBER(Base_Bruta!C1625),Base_Bruta!C1625,IF(MID(Base_Bruta!C1625,5,1)="-",DATE(VALUE(LEFT(Base_Bruta!C1625,4)),VALUE(MID(Base_Bruta!C1625,6,2)),VALUE(RIGHT(Base_Bruta!C1625,2))),DATE(VALUE(RIGHT(Base_Bruta!C1625,4)),VALUE(MID(Base_Bruta!C1625,4,2)),VALUE(LEFT(Base_Bruta!C1625,2))))))</f>
        <v>45892</v>
      </c>
      <c r="D1625" s="4" t="str">
        <f aca="false">IF($A1625="","",TRIM(Base_Bruta!D1625))</f>
        <v>Festival Montanhas BH 2025</v>
      </c>
      <c r="E1625" s="4" t="str">
        <f aca="false">IF($A1625="","",_xlfn.XLOOKUP(LOWER(TRIM(Base_Bruta!E1625)),DePara_Categoria!$A$2:$A$9,DePara_Categoria!$B$2:$B$9,"REVISAR"))</f>
        <v>Festival</v>
      </c>
      <c r="F1625" s="4" t="str">
        <f aca="false">IF($A1625="","",_xlfn.XLOOKUP(LOWER(TRIM(Base_Bruta!F1625)),DePara_Cidade!$A$2:$A$29,DePara_Cidade!$B$2:$B$29,"REVISAR"))</f>
        <v>Belo Horizonte</v>
      </c>
      <c r="G1625" s="4" t="str">
        <f aca="false">IF($A1625="","",TRIM(Base_Bruta!G1625))</f>
        <v>Meia</v>
      </c>
      <c r="H1625" s="4" t="n">
        <f aca="false">IF($A1625="","",IF(ISNUMBER(Base_Bruta!H1625),Base_Bruta!H1625,IFERROR(_xlfn.NUMBERVALUE(TRIM(SUBSTITUTE(Base_Bruta!H1625,"R$","")),",","."),0)))</f>
        <v>3</v>
      </c>
      <c r="I1625" s="6" t="n">
        <f aca="false">IF($A1625="","",IF(ISNUMBER(Base_Bruta!I1625),Base_Bruta!I1625,IFERROR(_xlfn.NUMBERVALUE(TRIM(SUBSTITUTE(Base_Bruta!I1625,"R$","")),",","."),0)))</f>
        <v>545</v>
      </c>
      <c r="J1625" s="6" t="n">
        <f aca="false">IF($A1625="","",H1625*I1625)</f>
        <v>1635</v>
      </c>
      <c r="K1625" s="4" t="str">
        <f aca="false">IF($A1625="","",TRIM(Base_Bruta!J1625))</f>
        <v>App</v>
      </c>
      <c r="L1625" s="4" t="str">
        <f aca="false">IF($A1625="","",TRIM(Base_Bruta!K1625))</f>
        <v>C01873</v>
      </c>
      <c r="M1625" s="4" t="str">
        <f aca="false">IF($A1625="","",_xlfn.XLOOKUP(LOWER(TRIM(Base_Bruta!L1625)),DePara_Cidade!$A$2:$A$29,DePara_Cidade!$B$2:$B$29,"REVISAR"))</f>
        <v>Belo Horizonte</v>
      </c>
      <c r="N1625" s="4" t="str">
        <f aca="false">IF($A1625="","",UPPER(TRIM(Base_Bruta!M1625)))</f>
        <v>MG</v>
      </c>
      <c r="O1625" s="4" t="str">
        <f aca="false">IF($A1625="","",_xlfn.XLOOKUP(LOWER(TRIM(Base_Bruta!N1625)),DePara_Pais!$A$2:$A$9,DePara_Pais!$B$2:$B$9,"REVISAR"))</f>
        <v>Brasil</v>
      </c>
      <c r="P1625" s="4" t="str">
        <f aca="false">IF($A1625="","",IF(O1625&lt;&gt;"Brasil","Turista Internacional",IF(M1625=F1625,"Local","Turista Nacional")))</f>
        <v>Local</v>
      </c>
      <c r="Q1625" s="7" t="n">
        <f aca="false">IF($A1625="","",DATE(YEAR(B1625),MONTH(B1625),1))</f>
        <v>45778</v>
      </c>
      <c r="R1625" s="4" t="str">
        <f aca="false">IF($A1625="","",IF(COUNTIF($A$2:$A1625,$A1625)&gt;1,"Sim","Não"))</f>
        <v>Não</v>
      </c>
      <c r="S1625" s="4" t="str">
        <f aca="false">IF(A1625="","Descartar - Linha vazia",IF(R1625="Sim","Descartar - Duplicado",IF(OR(H1625&lt;=0,I1625&lt;=0),"Descartar - Qtd/Valor inválido","OK")))</f>
        <v>OK</v>
      </c>
      <c r="T1625" s="4" t="str">
        <f aca="false">Base_Bruta!P1625</f>
        <v>vendas_MG.csv</v>
      </c>
    </row>
    <row r="1626" customFormat="false" ht="15" hidden="false" customHeight="false" outlineLevel="0" collapsed="false">
      <c r="A1626" s="4" t="str">
        <f aca="false">IF(Base_Bruta!A1626="","",Base_Bruta!A1626)</f>
        <v>MG-000096</v>
      </c>
      <c r="B1626" s="5" t="n">
        <f aca="false">IF($A1626="","",IF(ISNUMBER(Base_Bruta!B1626),Base_Bruta!B1626,IF(MID(Base_Bruta!B1626,5,1)="-",DATE(VALUE(LEFT(Base_Bruta!B1626,4)),VALUE(MID(Base_Bruta!B1626,6,2)),VALUE(RIGHT(Base_Bruta!B1626,2))),DATE(VALUE(RIGHT(Base_Bruta!B1626,4)),VALUE(MID(Base_Bruta!B1626,4,2)),VALUE(LEFT(Base_Bruta!B1626,2))))))</f>
        <v>45786</v>
      </c>
      <c r="C1626" s="5" t="n">
        <f aca="false">IF($A1626="","",IF(ISNUMBER(Base_Bruta!C1626),Base_Bruta!C1626,IF(MID(Base_Bruta!C1626,5,1)="-",DATE(VALUE(LEFT(Base_Bruta!C1626,4)),VALUE(MID(Base_Bruta!C1626,6,2)),VALUE(RIGHT(Base_Bruta!C1626,2))),DATE(VALUE(RIGHT(Base_Bruta!C1626,4)),VALUE(MID(Base_Bruta!C1626,4,2)),VALUE(LEFT(Base_Bruta!C1626,2))))))</f>
        <v>45892</v>
      </c>
      <c r="D1626" s="4" t="str">
        <f aca="false">IF($A1626="","",TRIM(Base_Bruta!D1626))</f>
        <v>Festival Montanhas BH 2025</v>
      </c>
      <c r="E1626" s="4" t="str">
        <f aca="false">IF($A1626="","",_xlfn.XLOOKUP(LOWER(TRIM(Base_Bruta!E1626)),DePara_Categoria!$A$2:$A$9,DePara_Categoria!$B$2:$B$9,"REVISAR"))</f>
        <v>Festival</v>
      </c>
      <c r="F1626" s="4" t="str">
        <f aca="false">IF($A1626="","",_xlfn.XLOOKUP(LOWER(TRIM(Base_Bruta!F1626)),DePara_Cidade!$A$2:$A$29,DePara_Cidade!$B$2:$B$29,"REVISAR"))</f>
        <v>Belo Horizonte</v>
      </c>
      <c r="G1626" s="4" t="str">
        <f aca="false">IF($A1626="","",TRIM(Base_Bruta!G1626))</f>
        <v>Inteira</v>
      </c>
      <c r="H1626" s="4" t="n">
        <f aca="false">IF($A1626="","",IF(ISNUMBER(Base_Bruta!H1626),Base_Bruta!H1626,IFERROR(_xlfn.NUMBERVALUE(TRIM(SUBSTITUTE(Base_Bruta!H1626,"R$","")),",","."),0)))</f>
        <v>3</v>
      </c>
      <c r="I1626" s="6" t="n">
        <f aca="false">IF($A1626="","",IF(ISNUMBER(Base_Bruta!I1626),Base_Bruta!I1626,IFERROR(_xlfn.NUMBERVALUE(TRIM(SUBSTITUTE(Base_Bruta!I1626,"R$","")),",","."),0)))</f>
        <v>685</v>
      </c>
      <c r="J1626" s="6" t="n">
        <f aca="false">IF($A1626="","",H1626*I1626)</f>
        <v>2055</v>
      </c>
      <c r="K1626" s="4" t="str">
        <f aca="false">IF($A1626="","",TRIM(Base_Bruta!J1626))</f>
        <v>Parceiro</v>
      </c>
      <c r="L1626" s="4" t="str">
        <f aca="false">IF($A1626="","",TRIM(Base_Bruta!K1626))</f>
        <v>C00886</v>
      </c>
      <c r="M1626" s="4" t="str">
        <f aca="false">IF($A1626="","",_xlfn.XLOOKUP(LOWER(TRIM(Base_Bruta!L1626)),DePara_Cidade!$A$2:$A$29,DePara_Cidade!$B$2:$B$29,"REVISAR"))</f>
        <v>São Paulo</v>
      </c>
      <c r="N1626" s="4" t="str">
        <f aca="false">IF($A1626="","",UPPER(TRIM(Base_Bruta!M1626)))</f>
        <v>SP</v>
      </c>
      <c r="O1626" s="4" t="str">
        <f aca="false">IF($A1626="","",_xlfn.XLOOKUP(LOWER(TRIM(Base_Bruta!N1626)),DePara_Pais!$A$2:$A$9,DePara_Pais!$B$2:$B$9,"REVISAR"))</f>
        <v>Brasil</v>
      </c>
      <c r="P1626" s="4" t="str">
        <f aca="false">IF($A1626="","",IF(O1626&lt;&gt;"Brasil","Turista Internacional",IF(M1626=F1626,"Local","Turista Nacional")))</f>
        <v>Turista Nacional</v>
      </c>
      <c r="Q1626" s="7" t="n">
        <f aca="false">IF($A1626="","",DATE(YEAR(B1626),MONTH(B1626),1))</f>
        <v>45778</v>
      </c>
      <c r="R1626" s="4" t="str">
        <f aca="false">IF($A1626="","",IF(COUNTIF($A$2:$A1626,$A1626)&gt;1,"Sim","Não"))</f>
        <v>Não</v>
      </c>
      <c r="S1626" s="4" t="str">
        <f aca="false">IF(A1626="","Descartar - Linha vazia",IF(R1626="Sim","Descartar - Duplicado",IF(OR(H1626&lt;=0,I1626&lt;=0),"Descartar - Qtd/Valor inválido","OK")))</f>
        <v>OK</v>
      </c>
      <c r="T1626" s="4" t="str">
        <f aca="false">Base_Bruta!P1626</f>
        <v>vendas_MG.csv</v>
      </c>
    </row>
    <row r="1627" customFormat="false" ht="15" hidden="false" customHeight="false" outlineLevel="0" collapsed="false">
      <c r="A1627" s="4" t="str">
        <f aca="false">IF(Base_Bruta!A1627="","",Base_Bruta!A1627)</f>
        <v>MG-000125</v>
      </c>
      <c r="B1627" s="5" t="n">
        <f aca="false">IF($A1627="","",IF(ISNUMBER(Base_Bruta!B1627),Base_Bruta!B1627,IF(MID(Base_Bruta!B1627,5,1)="-",DATE(VALUE(LEFT(Base_Bruta!B1627,4)),VALUE(MID(Base_Bruta!B1627,6,2)),VALUE(RIGHT(Base_Bruta!B1627,2))),DATE(VALUE(RIGHT(Base_Bruta!B1627,4)),VALUE(MID(Base_Bruta!B1627,4,2)),VALUE(LEFT(Base_Bruta!B1627,2))))))</f>
        <v>45786</v>
      </c>
      <c r="C1627" s="5" t="n">
        <f aca="false">IF($A1627="","",IF(ISNUMBER(Base_Bruta!C1627),Base_Bruta!C1627,IF(MID(Base_Bruta!C1627,5,1)="-",DATE(VALUE(LEFT(Base_Bruta!C1627,4)),VALUE(MID(Base_Bruta!C1627,6,2)),VALUE(RIGHT(Base_Bruta!C1627,2))),DATE(VALUE(RIGHT(Base_Bruta!C1627,4)),VALUE(MID(Base_Bruta!C1627,4,2)),VALUE(LEFT(Base_Bruta!C1627,2))))))</f>
        <v>45892</v>
      </c>
      <c r="D1627" s="4" t="str">
        <f aca="false">IF($A1627="","",TRIM(Base_Bruta!D1627))</f>
        <v>Festival Montanhas BH 2025</v>
      </c>
      <c r="E1627" s="4" t="str">
        <f aca="false">IF($A1627="","",_xlfn.XLOOKUP(LOWER(TRIM(Base_Bruta!E1627)),DePara_Categoria!$A$2:$A$9,DePara_Categoria!$B$2:$B$9,"REVISAR"))</f>
        <v>Festival</v>
      </c>
      <c r="F1627" s="4" t="str">
        <f aca="false">IF($A1627="","",_xlfn.XLOOKUP(LOWER(TRIM(Base_Bruta!F1627)),DePara_Cidade!$A$2:$A$29,DePara_Cidade!$B$2:$B$29,"REVISAR"))</f>
        <v>Belo Horizonte</v>
      </c>
      <c r="G1627" s="4" t="str">
        <f aca="false">IF($A1627="","",TRIM(Base_Bruta!G1627))</f>
        <v>Meia</v>
      </c>
      <c r="H1627" s="4" t="n">
        <f aca="false">IF($A1627="","",IF(ISNUMBER(Base_Bruta!H1627),Base_Bruta!H1627,IFERROR(_xlfn.NUMBERVALUE(TRIM(SUBSTITUTE(Base_Bruta!H1627,"R$","")),",","."),0)))</f>
        <v>3</v>
      </c>
      <c r="I1627" s="6" t="n">
        <f aca="false">IF($A1627="","",IF(ISNUMBER(Base_Bruta!I1627),Base_Bruta!I1627,IFERROR(_xlfn.NUMBERVALUE(TRIM(SUBSTITUTE(Base_Bruta!I1627,"R$","")),",","."),0)))</f>
        <v>480</v>
      </c>
      <c r="J1627" s="6" t="n">
        <f aca="false">IF($A1627="","",H1627*I1627)</f>
        <v>1440</v>
      </c>
      <c r="K1627" s="4" t="str">
        <f aca="false">IF($A1627="","",TRIM(Base_Bruta!J1627))</f>
        <v>Parceiro</v>
      </c>
      <c r="L1627" s="4" t="str">
        <f aca="false">IF($A1627="","",TRIM(Base_Bruta!K1627))</f>
        <v>C00449</v>
      </c>
      <c r="M1627" s="4" t="str">
        <f aca="false">IF($A1627="","",_xlfn.XLOOKUP(LOWER(TRIM(Base_Bruta!L1627)),DePara_Cidade!$A$2:$A$29,DePara_Cidade!$B$2:$B$29,"REVISAR"))</f>
        <v>Belo Horizonte</v>
      </c>
      <c r="N1627" s="4" t="str">
        <f aca="false">IF($A1627="","",UPPER(TRIM(Base_Bruta!M1627)))</f>
        <v>MG</v>
      </c>
      <c r="O1627" s="4" t="str">
        <f aca="false">IF($A1627="","",_xlfn.XLOOKUP(LOWER(TRIM(Base_Bruta!N1627)),DePara_Pais!$A$2:$A$9,DePara_Pais!$B$2:$B$9,"REVISAR"))</f>
        <v>Brasil</v>
      </c>
      <c r="P1627" s="4" t="str">
        <f aca="false">IF($A1627="","",IF(O1627&lt;&gt;"Brasil","Turista Internacional",IF(M1627=F1627,"Local","Turista Nacional")))</f>
        <v>Local</v>
      </c>
      <c r="Q1627" s="7" t="n">
        <f aca="false">IF($A1627="","",DATE(YEAR(B1627),MONTH(B1627),1))</f>
        <v>45778</v>
      </c>
      <c r="R1627" s="4" t="str">
        <f aca="false">IF($A1627="","",IF(COUNTIF($A$2:$A1627,$A1627)&gt;1,"Sim","Não"))</f>
        <v>Não</v>
      </c>
      <c r="S1627" s="4" t="str">
        <f aca="false">IF(A1627="","Descartar - Linha vazia",IF(R1627="Sim","Descartar - Duplicado",IF(OR(H1627&lt;=0,I1627&lt;=0),"Descartar - Qtd/Valor inválido","OK")))</f>
        <v>OK</v>
      </c>
      <c r="T1627" s="4" t="str">
        <f aca="false">Base_Bruta!P1627</f>
        <v>vendas_MG.csv</v>
      </c>
    </row>
    <row r="1628" customFormat="false" ht="15" hidden="false" customHeight="false" outlineLevel="0" collapsed="false">
      <c r="A1628" s="4" t="str">
        <f aca="false">IF(Base_Bruta!A1628="","",Base_Bruta!A1628)</f>
        <v>MG-000193</v>
      </c>
      <c r="B1628" s="5" t="n">
        <f aca="false">IF($A1628="","",IF(ISNUMBER(Base_Bruta!B1628),Base_Bruta!B1628,IF(MID(Base_Bruta!B1628,5,1)="-",DATE(VALUE(LEFT(Base_Bruta!B1628,4)),VALUE(MID(Base_Bruta!B1628,6,2)),VALUE(RIGHT(Base_Bruta!B1628,2))),DATE(VALUE(RIGHT(Base_Bruta!B1628,4)),VALUE(MID(Base_Bruta!B1628,4,2)),VALUE(LEFT(Base_Bruta!B1628,2))))))</f>
        <v>45786</v>
      </c>
      <c r="C1628" s="5" t="n">
        <f aca="false">IF($A1628="","",IF(ISNUMBER(Base_Bruta!C1628),Base_Bruta!C1628,IF(MID(Base_Bruta!C1628,5,1)="-",DATE(VALUE(LEFT(Base_Bruta!C1628,4)),VALUE(MID(Base_Bruta!C1628,6,2)),VALUE(RIGHT(Base_Bruta!C1628,2))),DATE(VALUE(RIGHT(Base_Bruta!C1628,4)),VALUE(MID(Base_Bruta!C1628,4,2)),VALUE(LEFT(Base_Bruta!C1628,2))))))</f>
        <v>45892</v>
      </c>
      <c r="D1628" s="4" t="str">
        <f aca="false">IF($A1628="","",TRIM(Base_Bruta!D1628))</f>
        <v>Festival Montanhas BH 2025</v>
      </c>
      <c r="E1628" s="4" t="str">
        <f aca="false">IF($A1628="","",_xlfn.XLOOKUP(LOWER(TRIM(Base_Bruta!E1628)),DePara_Categoria!$A$2:$A$9,DePara_Categoria!$B$2:$B$9,"REVISAR"))</f>
        <v>Festival</v>
      </c>
      <c r="F1628" s="4" t="str">
        <f aca="false">IF($A1628="","",_xlfn.XLOOKUP(LOWER(TRIM(Base_Bruta!F1628)),DePara_Cidade!$A$2:$A$29,DePara_Cidade!$B$2:$B$29,"REVISAR"))</f>
        <v>Belo Horizonte</v>
      </c>
      <c r="G1628" s="4" t="str">
        <f aca="false">IF($A1628="","",TRIM(Base_Bruta!G1628))</f>
        <v>Inteira</v>
      </c>
      <c r="H1628" s="4" t="n">
        <f aca="false">IF($A1628="","",IF(ISNUMBER(Base_Bruta!H1628),Base_Bruta!H1628,IFERROR(_xlfn.NUMBERVALUE(TRIM(SUBSTITUTE(Base_Bruta!H1628,"R$","")),",","."),0)))</f>
        <v>2</v>
      </c>
      <c r="I1628" s="6" t="n">
        <f aca="false">IF($A1628="","",IF(ISNUMBER(Base_Bruta!I1628),Base_Bruta!I1628,IFERROR(_xlfn.NUMBERVALUE(TRIM(SUBSTITUTE(Base_Bruta!I1628,"R$","")),",","."),0)))</f>
        <v>1100</v>
      </c>
      <c r="J1628" s="6" t="n">
        <f aca="false">IF($A1628="","",H1628*I1628)</f>
        <v>2200</v>
      </c>
      <c r="K1628" s="4" t="str">
        <f aca="false">IF($A1628="","",TRIM(Base_Bruta!J1628))</f>
        <v>App</v>
      </c>
      <c r="L1628" s="4" t="str">
        <f aca="false">IF($A1628="","",TRIM(Base_Bruta!K1628))</f>
        <v>C00936</v>
      </c>
      <c r="M1628" s="4" t="str">
        <f aca="false">IF($A1628="","",_xlfn.XLOOKUP(LOWER(TRIM(Base_Bruta!L1628)),DePara_Cidade!$A$2:$A$29,DePara_Cidade!$B$2:$B$29,"REVISAR"))</f>
        <v>Belo Horizonte</v>
      </c>
      <c r="N1628" s="4" t="str">
        <f aca="false">IF($A1628="","",UPPER(TRIM(Base_Bruta!M1628)))</f>
        <v>MG</v>
      </c>
      <c r="O1628" s="4" t="str">
        <f aca="false">IF($A1628="","",_xlfn.XLOOKUP(LOWER(TRIM(Base_Bruta!N1628)),DePara_Pais!$A$2:$A$9,DePara_Pais!$B$2:$B$9,"REVISAR"))</f>
        <v>Brasil</v>
      </c>
      <c r="P1628" s="4" t="str">
        <f aca="false">IF($A1628="","",IF(O1628&lt;&gt;"Brasil","Turista Internacional",IF(M1628=F1628,"Local","Turista Nacional")))</f>
        <v>Local</v>
      </c>
      <c r="Q1628" s="7" t="n">
        <f aca="false">IF($A1628="","",DATE(YEAR(B1628),MONTH(B1628),1))</f>
        <v>45778</v>
      </c>
      <c r="R1628" s="4" t="str">
        <f aca="false">IF($A1628="","",IF(COUNTIF($A$2:$A1628,$A1628)&gt;1,"Sim","Não"))</f>
        <v>Não</v>
      </c>
      <c r="S1628" s="4" t="str">
        <f aca="false">IF(A1628="","Descartar - Linha vazia",IF(R1628="Sim","Descartar - Duplicado",IF(OR(H1628&lt;=0,I1628&lt;=0),"Descartar - Qtd/Valor inválido","OK")))</f>
        <v>OK</v>
      </c>
      <c r="T1628" s="4" t="str">
        <f aca="false">Base_Bruta!P1628</f>
        <v>vendas_MG.csv</v>
      </c>
    </row>
    <row r="1629" customFormat="false" ht="15" hidden="false" customHeight="false" outlineLevel="0" collapsed="false">
      <c r="A1629" s="4" t="str">
        <f aca="false">IF(Base_Bruta!A1629="","",Base_Bruta!A1629)</f>
        <v>MG-000002</v>
      </c>
      <c r="B1629" s="5" t="n">
        <f aca="false">IF($A1629="","",IF(ISNUMBER(Base_Bruta!B1629),Base_Bruta!B1629,IF(MID(Base_Bruta!B1629,5,1)="-",DATE(VALUE(LEFT(Base_Bruta!B1629,4)),VALUE(MID(Base_Bruta!B1629,6,2)),VALUE(RIGHT(Base_Bruta!B1629,2))),DATE(VALUE(RIGHT(Base_Bruta!B1629,4)),VALUE(MID(Base_Bruta!B1629,4,2)),VALUE(LEFT(Base_Bruta!B1629,2))))))</f>
        <v>45787</v>
      </c>
      <c r="C1629" s="5" t="n">
        <f aca="false">IF($A1629="","",IF(ISNUMBER(Base_Bruta!C1629),Base_Bruta!C1629,IF(MID(Base_Bruta!C1629,5,1)="-",DATE(VALUE(LEFT(Base_Bruta!C1629,4)),VALUE(MID(Base_Bruta!C1629,6,2)),VALUE(RIGHT(Base_Bruta!C1629,2))),DATE(VALUE(RIGHT(Base_Bruta!C1629,4)),VALUE(MID(Base_Bruta!C1629,4,2)),VALUE(LEFT(Base_Bruta!C1629,2))))))</f>
        <v>45892</v>
      </c>
      <c r="D1629" s="4" t="str">
        <f aca="false">IF($A1629="","",TRIM(Base_Bruta!D1629))</f>
        <v>Festival Montanhas BH 2025</v>
      </c>
      <c r="E1629" s="4" t="str">
        <f aca="false">IF($A1629="","",_xlfn.XLOOKUP(LOWER(TRIM(Base_Bruta!E1629)),DePara_Categoria!$A$2:$A$9,DePara_Categoria!$B$2:$B$9,"REVISAR"))</f>
        <v>Festival</v>
      </c>
      <c r="F1629" s="4" t="str">
        <f aca="false">IF($A1629="","",_xlfn.XLOOKUP(LOWER(TRIM(Base_Bruta!F1629)),DePara_Cidade!$A$2:$A$29,DePara_Cidade!$B$2:$B$29,"REVISAR"))</f>
        <v>Belo Horizonte</v>
      </c>
      <c r="G1629" s="4" t="str">
        <f aca="false">IF($A1629="","",TRIM(Base_Bruta!G1629))</f>
        <v>Inteira</v>
      </c>
      <c r="H1629" s="4" t="n">
        <f aca="false">IF($A1629="","",IF(ISNUMBER(Base_Bruta!H1629),Base_Bruta!H1629,IFERROR(_xlfn.NUMBERVALUE(TRIM(SUBSTITUTE(Base_Bruta!H1629,"R$","")),",","."),0)))</f>
        <v>1</v>
      </c>
      <c r="I1629" s="6" t="n">
        <f aca="false">IF($A1629="","",IF(ISNUMBER(Base_Bruta!I1629),Base_Bruta!I1629,IFERROR(_xlfn.NUMBERVALUE(TRIM(SUBSTITUTE(Base_Bruta!I1629,"R$","")),",","."),0)))</f>
        <v>740</v>
      </c>
      <c r="J1629" s="6" t="n">
        <f aca="false">IF($A1629="","",H1629*I1629)</f>
        <v>740</v>
      </c>
      <c r="K1629" s="4" t="str">
        <f aca="false">IF($A1629="","",TRIM(Base_Bruta!J1629))</f>
        <v>App</v>
      </c>
      <c r="L1629" s="4" t="str">
        <f aca="false">IF($A1629="","",TRIM(Base_Bruta!K1629))</f>
        <v>C01111</v>
      </c>
      <c r="M1629" s="4" t="str">
        <f aca="false">IF($A1629="","",_xlfn.XLOOKUP(LOWER(TRIM(Base_Bruta!L1629)),DePara_Cidade!$A$2:$A$29,DePara_Cidade!$B$2:$B$29,"REVISAR"))</f>
        <v>Miami</v>
      </c>
      <c r="N1629" s="4" t="str">
        <f aca="false">IF($A1629="","",UPPER(TRIM(Base_Bruta!M1629)))</f>
        <v>EX</v>
      </c>
      <c r="O1629" s="4" t="str">
        <f aca="false">IF($A1629="","",_xlfn.XLOOKUP(LOWER(TRIM(Base_Bruta!N1629)),DePara_Pais!$A$2:$A$9,DePara_Pais!$B$2:$B$9,"REVISAR"))</f>
        <v>EUA</v>
      </c>
      <c r="P1629" s="4" t="str">
        <f aca="false">IF($A1629="","",IF(O1629&lt;&gt;"Brasil","Turista Internacional",IF(M1629=F1629,"Local","Turista Nacional")))</f>
        <v>Turista Internacional</v>
      </c>
      <c r="Q1629" s="7" t="n">
        <f aca="false">IF($A1629="","",DATE(YEAR(B1629),MONTH(B1629),1))</f>
        <v>45778</v>
      </c>
      <c r="R1629" s="4" t="str">
        <f aca="false">IF($A1629="","",IF(COUNTIF($A$2:$A1629,$A1629)&gt;1,"Sim","Não"))</f>
        <v>Não</v>
      </c>
      <c r="S1629" s="4" t="str">
        <f aca="false">IF(A1629="","Descartar - Linha vazia",IF(R1629="Sim","Descartar - Duplicado",IF(OR(H1629&lt;=0,I1629&lt;=0),"Descartar - Qtd/Valor inválido","OK")))</f>
        <v>OK</v>
      </c>
      <c r="T1629" s="4" t="str">
        <f aca="false">Base_Bruta!P1629</f>
        <v>vendas_MG.csv</v>
      </c>
    </row>
    <row r="1630" customFormat="false" ht="15" hidden="false" customHeight="false" outlineLevel="0" collapsed="false">
      <c r="A1630" s="4" t="str">
        <f aca="false">IF(Base_Bruta!A1630="","",Base_Bruta!A1630)</f>
        <v>MG-000138</v>
      </c>
      <c r="B1630" s="5" t="n">
        <f aca="false">IF($A1630="","",IF(ISNUMBER(Base_Bruta!B1630),Base_Bruta!B1630,IF(MID(Base_Bruta!B1630,5,1)="-",DATE(VALUE(LEFT(Base_Bruta!B1630,4)),VALUE(MID(Base_Bruta!B1630,6,2)),VALUE(RIGHT(Base_Bruta!B1630,2))),DATE(VALUE(RIGHT(Base_Bruta!B1630,4)),VALUE(MID(Base_Bruta!B1630,4,2)),VALUE(LEFT(Base_Bruta!B1630,2))))))</f>
        <v>45787</v>
      </c>
      <c r="C1630" s="5" t="n">
        <f aca="false">IF($A1630="","",IF(ISNUMBER(Base_Bruta!C1630),Base_Bruta!C1630,IF(MID(Base_Bruta!C1630,5,1)="-",DATE(VALUE(LEFT(Base_Bruta!C1630,4)),VALUE(MID(Base_Bruta!C1630,6,2)),VALUE(RIGHT(Base_Bruta!C1630,2))),DATE(VALUE(RIGHT(Base_Bruta!C1630,4)),VALUE(MID(Base_Bruta!C1630,4,2)),VALUE(LEFT(Base_Bruta!C1630,2))))))</f>
        <v>45892</v>
      </c>
      <c r="D1630" s="4" t="str">
        <f aca="false">IF($A1630="","",TRIM(Base_Bruta!D1630))</f>
        <v>Festival Montanhas BH 2025</v>
      </c>
      <c r="E1630" s="4" t="str">
        <f aca="false">IF($A1630="","",_xlfn.XLOOKUP(LOWER(TRIM(Base_Bruta!E1630)),DePara_Categoria!$A$2:$A$9,DePara_Categoria!$B$2:$B$9,"REVISAR"))</f>
        <v>Festival</v>
      </c>
      <c r="F1630" s="4" t="str">
        <f aca="false">IF($A1630="","",_xlfn.XLOOKUP(LOWER(TRIM(Base_Bruta!F1630)),DePara_Cidade!$A$2:$A$29,DePara_Cidade!$B$2:$B$29,"REVISAR"))</f>
        <v>Belo Horizonte</v>
      </c>
      <c r="G1630" s="4" t="str">
        <f aca="false">IF($A1630="","",TRIM(Base_Bruta!G1630))</f>
        <v>Inteira</v>
      </c>
      <c r="H1630" s="4" t="n">
        <f aca="false">IF($A1630="","",IF(ISNUMBER(Base_Bruta!H1630),Base_Bruta!H1630,IFERROR(_xlfn.NUMBERVALUE(TRIM(SUBSTITUTE(Base_Bruta!H1630,"R$","")),",","."),0)))</f>
        <v>2</v>
      </c>
      <c r="I1630" s="6" t="n">
        <f aca="false">IF($A1630="","",IF(ISNUMBER(Base_Bruta!I1630),Base_Bruta!I1630,IFERROR(_xlfn.NUMBERVALUE(TRIM(SUBSTITUTE(Base_Bruta!I1630,"R$","")),",","."),0)))</f>
        <v>855</v>
      </c>
      <c r="J1630" s="6" t="n">
        <f aca="false">IF($A1630="","",H1630*I1630)</f>
        <v>1710</v>
      </c>
      <c r="K1630" s="4" t="str">
        <f aca="false">IF($A1630="","",TRIM(Base_Bruta!J1630))</f>
        <v>Site</v>
      </c>
      <c r="L1630" s="4" t="str">
        <f aca="false">IF($A1630="","",TRIM(Base_Bruta!K1630))</f>
        <v>C00937</v>
      </c>
      <c r="M1630" s="4" t="str">
        <f aca="false">IF($A1630="","",_xlfn.XLOOKUP(LOWER(TRIM(Base_Bruta!L1630)),DePara_Cidade!$A$2:$A$29,DePara_Cidade!$B$2:$B$29,"REVISAR"))</f>
        <v>Belo Horizonte</v>
      </c>
      <c r="N1630" s="4" t="str">
        <f aca="false">IF($A1630="","",UPPER(TRIM(Base_Bruta!M1630)))</f>
        <v>MG</v>
      </c>
      <c r="O1630" s="4" t="str">
        <f aca="false">IF($A1630="","",_xlfn.XLOOKUP(LOWER(TRIM(Base_Bruta!N1630)),DePara_Pais!$A$2:$A$9,DePara_Pais!$B$2:$B$9,"REVISAR"))</f>
        <v>Brasil</v>
      </c>
      <c r="P1630" s="4" t="str">
        <f aca="false">IF($A1630="","",IF(O1630&lt;&gt;"Brasil","Turista Internacional",IF(M1630=F1630,"Local","Turista Nacional")))</f>
        <v>Local</v>
      </c>
      <c r="Q1630" s="7" t="n">
        <f aca="false">IF($A1630="","",DATE(YEAR(B1630),MONTH(B1630),1))</f>
        <v>45778</v>
      </c>
      <c r="R1630" s="4" t="str">
        <f aca="false">IF($A1630="","",IF(COUNTIF($A$2:$A1630,$A1630)&gt;1,"Sim","Não"))</f>
        <v>Não</v>
      </c>
      <c r="S1630" s="4" t="str">
        <f aca="false">IF(A1630="","Descartar - Linha vazia",IF(R1630="Sim","Descartar - Duplicado",IF(OR(H1630&lt;=0,I1630&lt;=0),"Descartar - Qtd/Valor inválido","OK")))</f>
        <v>OK</v>
      </c>
      <c r="T1630" s="4" t="str">
        <f aca="false">Base_Bruta!P1630</f>
        <v>vendas_MG.csv</v>
      </c>
    </row>
    <row r="1631" customFormat="false" ht="15" hidden="false" customHeight="false" outlineLevel="0" collapsed="false">
      <c r="A1631" s="4" t="str">
        <f aca="false">IF(Base_Bruta!A1631="","",Base_Bruta!A1631)</f>
        <v>MG-000416</v>
      </c>
      <c r="B1631" s="5" t="n">
        <f aca="false">IF($A1631="","",IF(ISNUMBER(Base_Bruta!B1631),Base_Bruta!B1631,IF(MID(Base_Bruta!B1631,5,1)="-",DATE(VALUE(LEFT(Base_Bruta!B1631,4)),VALUE(MID(Base_Bruta!B1631,6,2)),VALUE(RIGHT(Base_Bruta!B1631,2))),DATE(VALUE(RIGHT(Base_Bruta!B1631,4)),VALUE(MID(Base_Bruta!B1631,4,2)),VALUE(LEFT(Base_Bruta!B1631,2))))))</f>
        <v>45787</v>
      </c>
      <c r="C1631" s="5" t="n">
        <f aca="false">IF($A1631="","",IF(ISNUMBER(Base_Bruta!C1631),Base_Bruta!C1631,IF(MID(Base_Bruta!C1631,5,1)="-",DATE(VALUE(LEFT(Base_Bruta!C1631,4)),VALUE(MID(Base_Bruta!C1631,6,2)),VALUE(RIGHT(Base_Bruta!C1631,2))),DATE(VALUE(RIGHT(Base_Bruta!C1631,4)),VALUE(MID(Base_Bruta!C1631,4,2)),VALUE(LEFT(Base_Bruta!C1631,2))))))</f>
        <v>45789</v>
      </c>
      <c r="D1631" s="4" t="str">
        <f aca="false">IF($A1631="","",TRIM(Base_Bruta!D1631))</f>
        <v>Cinema Savassi - Sessões</v>
      </c>
      <c r="E1631" s="4" t="str">
        <f aca="false">IF($A1631="","",_xlfn.XLOOKUP(LOWER(TRIM(Base_Bruta!E1631)),DePara_Categoria!$A$2:$A$9,DePara_Categoria!$B$2:$B$9,"REVISAR"))</f>
        <v>Cinema</v>
      </c>
      <c r="F1631" s="4" t="str">
        <f aca="false">IF($A1631="","",_xlfn.XLOOKUP(LOWER(TRIM(Base_Bruta!F1631)),DePara_Cidade!$A$2:$A$29,DePara_Cidade!$B$2:$B$29,"REVISAR"))</f>
        <v>Belo Horizonte</v>
      </c>
      <c r="G1631" s="4" t="str">
        <f aca="false">IF($A1631="","",TRIM(Base_Bruta!G1631))</f>
        <v>Inteira</v>
      </c>
      <c r="H1631" s="4" t="n">
        <f aca="false">IF($A1631="","",IF(ISNUMBER(Base_Bruta!H1631),Base_Bruta!H1631,IFERROR(_xlfn.NUMBERVALUE(TRIM(SUBSTITUTE(Base_Bruta!H1631,"R$","")),",","."),0)))</f>
        <v>2</v>
      </c>
      <c r="I1631" s="6" t="n">
        <f aca="false">IF($A1631="","",IF(ISNUMBER(Base_Bruta!I1631),Base_Bruta!I1631,IFERROR(_xlfn.NUMBERVALUE(TRIM(SUBSTITUTE(Base_Bruta!I1631,"R$","")),",","."),0)))</f>
        <v>40</v>
      </c>
      <c r="J1631" s="6" t="n">
        <f aca="false">IF($A1631="","",H1631*I1631)</f>
        <v>80</v>
      </c>
      <c r="K1631" s="4" t="str">
        <f aca="false">IF($A1631="","",TRIM(Base_Bruta!J1631))</f>
        <v>Site</v>
      </c>
      <c r="L1631" s="4" t="str">
        <f aca="false">IF($A1631="","",TRIM(Base_Bruta!K1631))</f>
        <v>C01358</v>
      </c>
      <c r="M1631" s="4" t="str">
        <f aca="false">IF($A1631="","",_xlfn.XLOOKUP(LOWER(TRIM(Base_Bruta!L1631)),DePara_Cidade!$A$2:$A$29,DePara_Cidade!$B$2:$B$29,"REVISAR"))</f>
        <v>Belo Horizonte</v>
      </c>
      <c r="N1631" s="4" t="str">
        <f aca="false">IF($A1631="","",UPPER(TRIM(Base_Bruta!M1631)))</f>
        <v>MG</v>
      </c>
      <c r="O1631" s="4" t="str">
        <f aca="false">IF($A1631="","",_xlfn.XLOOKUP(LOWER(TRIM(Base_Bruta!N1631)),DePara_Pais!$A$2:$A$9,DePara_Pais!$B$2:$B$9,"REVISAR"))</f>
        <v>Brasil</v>
      </c>
      <c r="P1631" s="4" t="str">
        <f aca="false">IF($A1631="","",IF(O1631&lt;&gt;"Brasil","Turista Internacional",IF(M1631=F1631,"Local","Turista Nacional")))</f>
        <v>Local</v>
      </c>
      <c r="Q1631" s="7" t="n">
        <f aca="false">IF($A1631="","",DATE(YEAR(B1631),MONTH(B1631),1))</f>
        <v>45778</v>
      </c>
      <c r="R1631" s="4" t="str">
        <f aca="false">IF($A1631="","",IF(COUNTIF($A$2:$A1631,$A1631)&gt;1,"Sim","Não"))</f>
        <v>Não</v>
      </c>
      <c r="S1631" s="4" t="str">
        <f aca="false">IF(A1631="","Descartar - Linha vazia",IF(R1631="Sim","Descartar - Duplicado",IF(OR(H1631&lt;=0,I1631&lt;=0),"Descartar - Qtd/Valor inválido","OK")))</f>
        <v>OK</v>
      </c>
      <c r="T1631" s="4" t="str">
        <f aca="false">Base_Bruta!P1631</f>
        <v>vendas_MG.csv</v>
      </c>
    </row>
    <row r="1632" customFormat="false" ht="15" hidden="false" customHeight="false" outlineLevel="0" collapsed="false">
      <c r="A1632" s="4" t="str">
        <f aca="false">IF(Base_Bruta!A1632="","",Base_Bruta!A1632)</f>
        <v>MG-000062</v>
      </c>
      <c r="B1632" s="5" t="n">
        <f aca="false">IF($A1632="","",IF(ISNUMBER(Base_Bruta!B1632),Base_Bruta!B1632,IF(MID(Base_Bruta!B1632,5,1)="-",DATE(VALUE(LEFT(Base_Bruta!B1632,4)),VALUE(MID(Base_Bruta!B1632,6,2)),VALUE(RIGHT(Base_Bruta!B1632,2))),DATE(VALUE(RIGHT(Base_Bruta!B1632,4)),VALUE(MID(Base_Bruta!B1632,4,2)),VALUE(LEFT(Base_Bruta!B1632,2))))))</f>
        <v>45788</v>
      </c>
      <c r="C1632" s="5" t="n">
        <f aca="false">IF($A1632="","",IF(ISNUMBER(Base_Bruta!C1632),Base_Bruta!C1632,IF(MID(Base_Bruta!C1632,5,1)="-",DATE(VALUE(LEFT(Base_Bruta!C1632,4)),VALUE(MID(Base_Bruta!C1632,6,2)),VALUE(RIGHT(Base_Bruta!C1632,2))),DATE(VALUE(RIGHT(Base_Bruta!C1632,4)),VALUE(MID(Base_Bruta!C1632,4,2)),VALUE(LEFT(Base_Bruta!C1632,2))))))</f>
        <v>45892</v>
      </c>
      <c r="D1632" s="4" t="str">
        <f aca="false">IF($A1632="","",TRIM(Base_Bruta!D1632))</f>
        <v>Festival Montanhas BH 2025</v>
      </c>
      <c r="E1632" s="4" t="str">
        <f aca="false">IF($A1632="","",_xlfn.XLOOKUP(LOWER(TRIM(Base_Bruta!E1632)),DePara_Categoria!$A$2:$A$9,DePara_Categoria!$B$2:$B$9,"REVISAR"))</f>
        <v>Festival</v>
      </c>
      <c r="F1632" s="4" t="str">
        <f aca="false">IF($A1632="","",_xlfn.XLOOKUP(LOWER(TRIM(Base_Bruta!F1632)),DePara_Cidade!$A$2:$A$29,DePara_Cidade!$B$2:$B$29,"REVISAR"))</f>
        <v>Belo Horizonte</v>
      </c>
      <c r="G1632" s="4" t="str">
        <f aca="false">IF($A1632="","",TRIM(Base_Bruta!G1632))</f>
        <v>Inteira</v>
      </c>
      <c r="H1632" s="4" t="n">
        <f aca="false">IF($A1632="","",IF(ISNUMBER(Base_Bruta!H1632),Base_Bruta!H1632,IFERROR(_xlfn.NUMBERVALUE(TRIM(SUBSTITUTE(Base_Bruta!H1632,"R$","")),",","."),0)))</f>
        <v>1</v>
      </c>
      <c r="I1632" s="6" t="n">
        <f aca="false">IF($A1632="","",IF(ISNUMBER(Base_Bruta!I1632),Base_Bruta!I1632,IFERROR(_xlfn.NUMBERVALUE(TRIM(SUBSTITUTE(Base_Bruta!I1632,"R$","")),",","."),0)))</f>
        <v>750</v>
      </c>
      <c r="J1632" s="6" t="n">
        <f aca="false">IF($A1632="","",H1632*I1632)</f>
        <v>750</v>
      </c>
      <c r="K1632" s="4" t="str">
        <f aca="false">IF($A1632="","",TRIM(Base_Bruta!J1632))</f>
        <v>Site</v>
      </c>
      <c r="L1632" s="4" t="str">
        <f aca="false">IF($A1632="","",TRIM(Base_Bruta!K1632))</f>
        <v>C02473</v>
      </c>
      <c r="M1632" s="4" t="str">
        <f aca="false">IF($A1632="","",_xlfn.XLOOKUP(LOWER(TRIM(Base_Bruta!L1632)),DePara_Cidade!$A$2:$A$29,DePara_Cidade!$B$2:$B$29,"REVISAR"))</f>
        <v>Porto Alegre</v>
      </c>
      <c r="N1632" s="4" t="str">
        <f aca="false">IF($A1632="","",UPPER(TRIM(Base_Bruta!M1632)))</f>
        <v>RS</v>
      </c>
      <c r="O1632" s="4" t="str">
        <f aca="false">IF($A1632="","",_xlfn.XLOOKUP(LOWER(TRIM(Base_Bruta!N1632)),DePara_Pais!$A$2:$A$9,DePara_Pais!$B$2:$B$9,"REVISAR"))</f>
        <v>Brasil</v>
      </c>
      <c r="P1632" s="4" t="str">
        <f aca="false">IF($A1632="","",IF(O1632&lt;&gt;"Brasil","Turista Internacional",IF(M1632=F1632,"Local","Turista Nacional")))</f>
        <v>Turista Nacional</v>
      </c>
      <c r="Q1632" s="7" t="n">
        <f aca="false">IF($A1632="","",DATE(YEAR(B1632),MONTH(B1632),1))</f>
        <v>45778</v>
      </c>
      <c r="R1632" s="4" t="str">
        <f aca="false">IF($A1632="","",IF(COUNTIF($A$2:$A1632,$A1632)&gt;1,"Sim","Não"))</f>
        <v>Não</v>
      </c>
      <c r="S1632" s="4" t="str">
        <f aca="false">IF(A1632="","Descartar - Linha vazia",IF(R1632="Sim","Descartar - Duplicado",IF(OR(H1632&lt;=0,I1632&lt;=0),"Descartar - Qtd/Valor inválido","OK")))</f>
        <v>OK</v>
      </c>
      <c r="T1632" s="4" t="str">
        <f aca="false">Base_Bruta!P1632</f>
        <v>vendas_MG.csv</v>
      </c>
    </row>
    <row r="1633" customFormat="false" ht="15" hidden="false" customHeight="false" outlineLevel="0" collapsed="false">
      <c r="A1633" s="4" t="str">
        <f aca="false">IF(Base_Bruta!A1633="","",Base_Bruta!A1633)</f>
        <v>MG-000198</v>
      </c>
      <c r="B1633" s="5" t="n">
        <f aca="false">IF($A1633="","",IF(ISNUMBER(Base_Bruta!B1633),Base_Bruta!B1633,IF(MID(Base_Bruta!B1633,5,1)="-",DATE(VALUE(LEFT(Base_Bruta!B1633,4)),VALUE(MID(Base_Bruta!B1633,6,2)),VALUE(RIGHT(Base_Bruta!B1633,2))),DATE(VALUE(RIGHT(Base_Bruta!B1633,4)),VALUE(MID(Base_Bruta!B1633,4,2)),VALUE(LEFT(Base_Bruta!B1633,2))))))</f>
        <v>45788</v>
      </c>
      <c r="C1633" s="5" t="n">
        <f aca="false">IF($A1633="","",IF(ISNUMBER(Base_Bruta!C1633),Base_Bruta!C1633,IF(MID(Base_Bruta!C1633,5,1)="-",DATE(VALUE(LEFT(Base_Bruta!C1633,4)),VALUE(MID(Base_Bruta!C1633,6,2)),VALUE(RIGHT(Base_Bruta!C1633,2))),DATE(VALUE(RIGHT(Base_Bruta!C1633,4)),VALUE(MID(Base_Bruta!C1633,4,2)),VALUE(LEFT(Base_Bruta!C1633,2))))))</f>
        <v>45892</v>
      </c>
      <c r="D1633" s="4" t="str">
        <f aca="false">IF($A1633="","",TRIM(Base_Bruta!D1633))</f>
        <v>Festival Montanhas BH 2025</v>
      </c>
      <c r="E1633" s="4" t="str">
        <f aca="false">IF($A1633="","",_xlfn.XLOOKUP(LOWER(TRIM(Base_Bruta!E1633)),DePara_Categoria!$A$2:$A$9,DePara_Categoria!$B$2:$B$9,"REVISAR"))</f>
        <v>Festival</v>
      </c>
      <c r="F1633" s="4" t="str">
        <f aca="false">IF($A1633="","",_xlfn.XLOOKUP(LOWER(TRIM(Base_Bruta!F1633)),DePara_Cidade!$A$2:$A$29,DePara_Cidade!$B$2:$B$29,"REVISAR"))</f>
        <v>Belo Horizonte</v>
      </c>
      <c r="G1633" s="4" t="str">
        <f aca="false">IF($A1633="","",TRIM(Base_Bruta!G1633))</f>
        <v>Meia</v>
      </c>
      <c r="H1633" s="4" t="n">
        <f aca="false">IF($A1633="","",IF(ISNUMBER(Base_Bruta!H1633),Base_Bruta!H1633,IFERROR(_xlfn.NUMBERVALUE(TRIM(SUBSTITUTE(Base_Bruta!H1633,"R$","")),",","."),0)))</f>
        <v>2</v>
      </c>
      <c r="I1633" s="6" t="n">
        <f aca="false">IF($A1633="","",IF(ISNUMBER(Base_Bruta!I1633),Base_Bruta!I1633,IFERROR(_xlfn.NUMBERVALUE(TRIM(SUBSTITUTE(Base_Bruta!I1633,"R$","")),",","."),0)))</f>
        <v>365</v>
      </c>
      <c r="J1633" s="6" t="n">
        <f aca="false">IF($A1633="","",H1633*I1633)</f>
        <v>730</v>
      </c>
      <c r="K1633" s="4" t="str">
        <f aca="false">IF($A1633="","",TRIM(Base_Bruta!J1633))</f>
        <v>Parceiro</v>
      </c>
      <c r="L1633" s="4" t="str">
        <f aca="false">IF($A1633="","",TRIM(Base_Bruta!K1633))</f>
        <v>C01168</v>
      </c>
      <c r="M1633" s="4" t="str">
        <f aca="false">IF($A1633="","",_xlfn.XLOOKUP(LOWER(TRIM(Base_Bruta!L1633)),DePara_Cidade!$A$2:$A$29,DePara_Cidade!$B$2:$B$29,"REVISAR"))</f>
        <v>Belo Horizonte</v>
      </c>
      <c r="N1633" s="4" t="str">
        <f aca="false">IF($A1633="","",UPPER(TRIM(Base_Bruta!M1633)))</f>
        <v>MG</v>
      </c>
      <c r="O1633" s="4" t="str">
        <f aca="false">IF($A1633="","",_xlfn.XLOOKUP(LOWER(TRIM(Base_Bruta!N1633)),DePara_Pais!$A$2:$A$9,DePara_Pais!$B$2:$B$9,"REVISAR"))</f>
        <v>Brasil</v>
      </c>
      <c r="P1633" s="4" t="str">
        <f aca="false">IF($A1633="","",IF(O1633&lt;&gt;"Brasil","Turista Internacional",IF(M1633=F1633,"Local","Turista Nacional")))</f>
        <v>Local</v>
      </c>
      <c r="Q1633" s="7" t="n">
        <f aca="false">IF($A1633="","",DATE(YEAR(B1633),MONTH(B1633),1))</f>
        <v>45778</v>
      </c>
      <c r="R1633" s="4" t="str">
        <f aca="false">IF($A1633="","",IF(COUNTIF($A$2:$A1633,$A1633)&gt;1,"Sim","Não"))</f>
        <v>Não</v>
      </c>
      <c r="S1633" s="4" t="str">
        <f aca="false">IF(A1633="","Descartar - Linha vazia",IF(R1633="Sim","Descartar - Duplicado",IF(OR(H1633&lt;=0,I1633&lt;=0),"Descartar - Qtd/Valor inválido","OK")))</f>
        <v>OK</v>
      </c>
      <c r="T1633" s="4" t="str">
        <f aca="false">Base_Bruta!P1633</f>
        <v>vendas_MG.csv</v>
      </c>
    </row>
    <row r="1634" customFormat="false" ht="15" hidden="false" customHeight="false" outlineLevel="0" collapsed="false">
      <c r="A1634" s="4" t="str">
        <f aca="false">IF(Base_Bruta!A1634="","",Base_Bruta!A1634)</f>
        <v>MG-000533</v>
      </c>
      <c r="B1634" s="5" t="n">
        <f aca="false">IF($A1634="","",IF(ISNUMBER(Base_Bruta!B1634),Base_Bruta!B1634,IF(MID(Base_Bruta!B1634,5,1)="-",DATE(VALUE(LEFT(Base_Bruta!B1634,4)),VALUE(MID(Base_Bruta!B1634,6,2)),VALUE(RIGHT(Base_Bruta!B1634,2))),DATE(VALUE(RIGHT(Base_Bruta!B1634,4)),VALUE(MID(Base_Bruta!B1634,4,2)),VALUE(LEFT(Base_Bruta!B1634,2))))))</f>
        <v>45788</v>
      </c>
      <c r="C1634" s="5" t="n">
        <f aca="false">IF($A1634="","",IF(ISNUMBER(Base_Bruta!C1634),Base_Bruta!C1634,IF(MID(Base_Bruta!C1634,5,1)="-",DATE(VALUE(LEFT(Base_Bruta!C1634,4)),VALUE(MID(Base_Bruta!C1634,6,2)),VALUE(RIGHT(Base_Bruta!C1634,2))),DATE(VALUE(RIGHT(Base_Bruta!C1634,4)),VALUE(MID(Base_Bruta!C1634,4,2)),VALUE(LEFT(Base_Bruta!C1634,2))))))</f>
        <v>45790</v>
      </c>
      <c r="D1634" s="4" t="str">
        <f aca="false">IF($A1634="","",TRIM(Base_Bruta!D1634))</f>
        <v>Cinema Savassi - Sessões</v>
      </c>
      <c r="E1634" s="4" t="str">
        <f aca="false">IF($A1634="","",_xlfn.XLOOKUP(LOWER(TRIM(Base_Bruta!E1634)),DePara_Categoria!$A$2:$A$9,DePara_Categoria!$B$2:$B$9,"REVISAR"))</f>
        <v>Cinema</v>
      </c>
      <c r="F1634" s="4" t="str">
        <f aca="false">IF($A1634="","",_xlfn.XLOOKUP(LOWER(TRIM(Base_Bruta!F1634)),DePara_Cidade!$A$2:$A$29,DePara_Cidade!$B$2:$B$29,"REVISAR"))</f>
        <v>Belo Horizonte</v>
      </c>
      <c r="G1634" s="4" t="str">
        <f aca="false">IF($A1634="","",TRIM(Base_Bruta!G1634))</f>
        <v>Inteira</v>
      </c>
      <c r="H1634" s="4" t="n">
        <f aca="false">IF($A1634="","",IF(ISNUMBER(Base_Bruta!H1634),Base_Bruta!H1634,IFERROR(_xlfn.NUMBERVALUE(TRIM(SUBSTITUTE(Base_Bruta!H1634,"R$","")),",","."),0)))</f>
        <v>1</v>
      </c>
      <c r="I1634" s="6" t="n">
        <f aca="false">IF($A1634="","",IF(ISNUMBER(Base_Bruta!I1634),Base_Bruta!I1634,IFERROR(_xlfn.NUMBERVALUE(TRIM(SUBSTITUTE(Base_Bruta!I1634,"R$","")),",","."),0)))</f>
        <v>40</v>
      </c>
      <c r="J1634" s="6" t="n">
        <f aca="false">IF($A1634="","",H1634*I1634)</f>
        <v>40</v>
      </c>
      <c r="K1634" s="4" t="str">
        <f aca="false">IF($A1634="","",TRIM(Base_Bruta!J1634))</f>
        <v>Site</v>
      </c>
      <c r="L1634" s="4" t="str">
        <f aca="false">IF($A1634="","",TRIM(Base_Bruta!K1634))</f>
        <v>C01227</v>
      </c>
      <c r="M1634" s="4" t="str">
        <f aca="false">IF($A1634="","",_xlfn.XLOOKUP(LOWER(TRIM(Base_Bruta!L1634)),DePara_Cidade!$A$2:$A$29,DePara_Cidade!$B$2:$B$29,"REVISAR"))</f>
        <v>Belo Horizonte</v>
      </c>
      <c r="N1634" s="4" t="str">
        <f aca="false">IF($A1634="","",UPPER(TRIM(Base_Bruta!M1634)))</f>
        <v>MG</v>
      </c>
      <c r="O1634" s="4" t="str">
        <f aca="false">IF($A1634="","",_xlfn.XLOOKUP(LOWER(TRIM(Base_Bruta!N1634)),DePara_Pais!$A$2:$A$9,DePara_Pais!$B$2:$B$9,"REVISAR"))</f>
        <v>Brasil</v>
      </c>
      <c r="P1634" s="4" t="str">
        <f aca="false">IF($A1634="","",IF(O1634&lt;&gt;"Brasil","Turista Internacional",IF(M1634=F1634,"Local","Turista Nacional")))</f>
        <v>Local</v>
      </c>
      <c r="Q1634" s="7" t="n">
        <f aca="false">IF($A1634="","",DATE(YEAR(B1634),MONTH(B1634),1))</f>
        <v>45778</v>
      </c>
      <c r="R1634" s="4" t="str">
        <f aca="false">IF($A1634="","",IF(COUNTIF($A$2:$A1634,$A1634)&gt;1,"Sim","Não"))</f>
        <v>Não</v>
      </c>
      <c r="S1634" s="4" t="str">
        <f aca="false">IF(A1634="","Descartar - Linha vazia",IF(R1634="Sim","Descartar - Duplicado",IF(OR(H1634&lt;=0,I1634&lt;=0),"Descartar - Qtd/Valor inválido","OK")))</f>
        <v>OK</v>
      </c>
      <c r="T1634" s="4" t="str">
        <f aca="false">Base_Bruta!P1634</f>
        <v>vendas_MG.csv</v>
      </c>
    </row>
    <row r="1635" customFormat="false" ht="15" hidden="false" customHeight="false" outlineLevel="0" collapsed="false">
      <c r="A1635" s="4" t="str">
        <f aca="false">IF(Base_Bruta!A1635="","",Base_Bruta!A1635)</f>
        <v>MG-000191</v>
      </c>
      <c r="B1635" s="5" t="n">
        <f aca="false">IF($A1635="","",IF(ISNUMBER(Base_Bruta!B1635),Base_Bruta!B1635,IF(MID(Base_Bruta!B1635,5,1)="-",DATE(VALUE(LEFT(Base_Bruta!B1635,4)),VALUE(MID(Base_Bruta!B1635,6,2)),VALUE(RIGHT(Base_Bruta!B1635,2))),DATE(VALUE(RIGHT(Base_Bruta!B1635,4)),VALUE(MID(Base_Bruta!B1635,4,2)),VALUE(LEFT(Base_Bruta!B1635,2))))))</f>
        <v>45789</v>
      </c>
      <c r="C1635" s="5" t="n">
        <f aca="false">IF($A1635="","",IF(ISNUMBER(Base_Bruta!C1635),Base_Bruta!C1635,IF(MID(Base_Bruta!C1635,5,1)="-",DATE(VALUE(LEFT(Base_Bruta!C1635,4)),VALUE(MID(Base_Bruta!C1635,6,2)),VALUE(RIGHT(Base_Bruta!C1635,2))),DATE(VALUE(RIGHT(Base_Bruta!C1635,4)),VALUE(MID(Base_Bruta!C1635,4,2)),VALUE(LEFT(Base_Bruta!C1635,2))))))</f>
        <v>45892</v>
      </c>
      <c r="D1635" s="4" t="str">
        <f aca="false">IF($A1635="","",TRIM(Base_Bruta!D1635))</f>
        <v>Festival Montanhas BH 2025</v>
      </c>
      <c r="E1635" s="4" t="str">
        <f aca="false">IF($A1635="","",_xlfn.XLOOKUP(LOWER(TRIM(Base_Bruta!E1635)),DePara_Categoria!$A$2:$A$9,DePara_Categoria!$B$2:$B$9,"REVISAR"))</f>
        <v>Festival</v>
      </c>
      <c r="F1635" s="4" t="str">
        <f aca="false">IF($A1635="","",_xlfn.XLOOKUP(LOWER(TRIM(Base_Bruta!F1635)),DePara_Cidade!$A$2:$A$29,DePara_Cidade!$B$2:$B$29,"REVISAR"))</f>
        <v>Belo Horizonte</v>
      </c>
      <c r="G1635" s="4" t="str">
        <f aca="false">IF($A1635="","",TRIM(Base_Bruta!G1635))</f>
        <v>Meia</v>
      </c>
      <c r="H1635" s="4" t="n">
        <f aca="false">IF($A1635="","",IF(ISNUMBER(Base_Bruta!H1635),Base_Bruta!H1635,IFERROR(_xlfn.NUMBERVALUE(TRIM(SUBSTITUTE(Base_Bruta!H1635,"R$","")),",","."),0)))</f>
        <v>2</v>
      </c>
      <c r="I1635" s="6" t="n">
        <f aca="false">IF($A1635="","",IF(ISNUMBER(Base_Bruta!I1635),Base_Bruta!I1635,IFERROR(_xlfn.NUMBERVALUE(TRIM(SUBSTITUTE(Base_Bruta!I1635,"R$","")),",","."),0)))</f>
        <v>335</v>
      </c>
      <c r="J1635" s="6" t="n">
        <f aca="false">IF($A1635="","",H1635*I1635)</f>
        <v>670</v>
      </c>
      <c r="K1635" s="4" t="str">
        <f aca="false">IF($A1635="","",TRIM(Base_Bruta!J1635))</f>
        <v>Bilheteria</v>
      </c>
      <c r="L1635" s="4" t="str">
        <f aca="false">IF($A1635="","",TRIM(Base_Bruta!K1635))</f>
        <v>C00069</v>
      </c>
      <c r="M1635" s="4" t="str">
        <f aca="false">IF($A1635="","",_xlfn.XLOOKUP(LOWER(TRIM(Base_Bruta!L1635)),DePara_Cidade!$A$2:$A$29,DePara_Cidade!$B$2:$B$29,"REVISAR"))</f>
        <v>Florianópolis</v>
      </c>
      <c r="N1635" s="4" t="str">
        <f aca="false">IF($A1635="","",UPPER(TRIM(Base_Bruta!M1635)))</f>
        <v>SC</v>
      </c>
      <c r="O1635" s="4" t="str">
        <f aca="false">IF($A1635="","",_xlfn.XLOOKUP(LOWER(TRIM(Base_Bruta!N1635)),DePara_Pais!$A$2:$A$9,DePara_Pais!$B$2:$B$9,"REVISAR"))</f>
        <v>Brasil</v>
      </c>
      <c r="P1635" s="4" t="str">
        <f aca="false">IF($A1635="","",IF(O1635&lt;&gt;"Brasil","Turista Internacional",IF(M1635=F1635,"Local","Turista Nacional")))</f>
        <v>Turista Nacional</v>
      </c>
      <c r="Q1635" s="7" t="n">
        <f aca="false">IF($A1635="","",DATE(YEAR(B1635),MONTH(B1635),1))</f>
        <v>45778</v>
      </c>
      <c r="R1635" s="4" t="str">
        <f aca="false">IF($A1635="","",IF(COUNTIF($A$2:$A1635,$A1635)&gt;1,"Sim","Não"))</f>
        <v>Não</v>
      </c>
      <c r="S1635" s="4" t="str">
        <f aca="false">IF(A1635="","Descartar - Linha vazia",IF(R1635="Sim","Descartar - Duplicado",IF(OR(H1635&lt;=0,I1635&lt;=0),"Descartar - Qtd/Valor inválido","OK")))</f>
        <v>OK</v>
      </c>
      <c r="T1635" s="4" t="str">
        <f aca="false">Base_Bruta!P1635</f>
        <v>vendas_MG.csv</v>
      </c>
    </row>
    <row r="1636" customFormat="false" ht="15" hidden="false" customHeight="false" outlineLevel="0" collapsed="false">
      <c r="A1636" s="4" t="str">
        <f aca="false">IF(Base_Bruta!A1636="","",Base_Bruta!A1636)</f>
        <v>MG-000196</v>
      </c>
      <c r="B1636" s="5" t="n">
        <f aca="false">IF($A1636="","",IF(ISNUMBER(Base_Bruta!B1636),Base_Bruta!B1636,IF(MID(Base_Bruta!B1636,5,1)="-",DATE(VALUE(LEFT(Base_Bruta!B1636,4)),VALUE(MID(Base_Bruta!B1636,6,2)),VALUE(RIGHT(Base_Bruta!B1636,2))),DATE(VALUE(RIGHT(Base_Bruta!B1636,4)),VALUE(MID(Base_Bruta!B1636,4,2)),VALUE(LEFT(Base_Bruta!B1636,2))))))</f>
        <v>45789</v>
      </c>
      <c r="C1636" s="5" t="n">
        <f aca="false">IF($A1636="","",IF(ISNUMBER(Base_Bruta!C1636),Base_Bruta!C1636,IF(MID(Base_Bruta!C1636,5,1)="-",DATE(VALUE(LEFT(Base_Bruta!C1636,4)),VALUE(MID(Base_Bruta!C1636,6,2)),VALUE(RIGHT(Base_Bruta!C1636,2))),DATE(VALUE(RIGHT(Base_Bruta!C1636,4)),VALUE(MID(Base_Bruta!C1636,4,2)),VALUE(LEFT(Base_Bruta!C1636,2))))))</f>
        <v>45892</v>
      </c>
      <c r="D1636" s="4" t="str">
        <f aca="false">IF($A1636="","",TRIM(Base_Bruta!D1636))</f>
        <v>Festival Montanhas BH 2025</v>
      </c>
      <c r="E1636" s="4" t="str">
        <f aca="false">IF($A1636="","",_xlfn.XLOOKUP(LOWER(TRIM(Base_Bruta!E1636)),DePara_Categoria!$A$2:$A$9,DePara_Categoria!$B$2:$B$9,"REVISAR"))</f>
        <v>Festival</v>
      </c>
      <c r="F1636" s="4" t="str">
        <f aca="false">IF($A1636="","",_xlfn.XLOOKUP(LOWER(TRIM(Base_Bruta!F1636)),DePara_Cidade!$A$2:$A$29,DePara_Cidade!$B$2:$B$29,"REVISAR"))</f>
        <v>Belo Horizonte</v>
      </c>
      <c r="G1636" s="4" t="str">
        <f aca="false">IF($A1636="","",TRIM(Base_Bruta!G1636))</f>
        <v>Inteira</v>
      </c>
      <c r="H1636" s="4" t="n">
        <f aca="false">IF($A1636="","",IF(ISNUMBER(Base_Bruta!H1636),Base_Bruta!H1636,IFERROR(_xlfn.NUMBERVALUE(TRIM(SUBSTITUTE(Base_Bruta!H1636,"R$","")),",","."),0)))</f>
        <v>2</v>
      </c>
      <c r="I1636" s="6" t="n">
        <f aca="false">IF($A1636="","",IF(ISNUMBER(Base_Bruta!I1636),Base_Bruta!I1636,IFERROR(_xlfn.NUMBERVALUE(TRIM(SUBSTITUTE(Base_Bruta!I1636,"R$","")),",","."),0)))</f>
        <v>765</v>
      </c>
      <c r="J1636" s="6" t="n">
        <f aca="false">IF($A1636="","",H1636*I1636)</f>
        <v>1530</v>
      </c>
      <c r="K1636" s="4" t="str">
        <f aca="false">IF($A1636="","",TRIM(Base_Bruta!J1636))</f>
        <v>Bilheteria</v>
      </c>
      <c r="L1636" s="4" t="str">
        <f aca="false">IF($A1636="","",TRIM(Base_Bruta!K1636))</f>
        <v>C00464</v>
      </c>
      <c r="M1636" s="4" t="str">
        <f aca="false">IF($A1636="","",_xlfn.XLOOKUP(LOWER(TRIM(Base_Bruta!L1636)),DePara_Cidade!$A$2:$A$29,DePara_Cidade!$B$2:$B$29,"REVISAR"))</f>
        <v>Belo Horizonte</v>
      </c>
      <c r="N1636" s="4" t="str">
        <f aca="false">IF($A1636="","",UPPER(TRIM(Base_Bruta!M1636)))</f>
        <v>MG</v>
      </c>
      <c r="O1636" s="4" t="str">
        <f aca="false">IF($A1636="","",_xlfn.XLOOKUP(LOWER(TRIM(Base_Bruta!N1636)),DePara_Pais!$A$2:$A$9,DePara_Pais!$B$2:$B$9,"REVISAR"))</f>
        <v>Brasil</v>
      </c>
      <c r="P1636" s="4" t="str">
        <f aca="false">IF($A1636="","",IF(O1636&lt;&gt;"Brasil","Turista Internacional",IF(M1636=F1636,"Local","Turista Nacional")))</f>
        <v>Local</v>
      </c>
      <c r="Q1636" s="7" t="n">
        <f aca="false">IF($A1636="","",DATE(YEAR(B1636),MONTH(B1636),1))</f>
        <v>45778</v>
      </c>
      <c r="R1636" s="4" t="str">
        <f aca="false">IF($A1636="","",IF(COUNTIF($A$2:$A1636,$A1636)&gt;1,"Sim","Não"))</f>
        <v>Não</v>
      </c>
      <c r="S1636" s="4" t="str">
        <f aca="false">IF(A1636="","Descartar - Linha vazia",IF(R1636="Sim","Descartar - Duplicado",IF(OR(H1636&lt;=0,I1636&lt;=0),"Descartar - Qtd/Valor inválido","OK")))</f>
        <v>OK</v>
      </c>
      <c r="T1636" s="4" t="str">
        <f aca="false">Base_Bruta!P1636</f>
        <v>vendas_MG.csv</v>
      </c>
    </row>
    <row r="1637" customFormat="false" ht="15" hidden="false" customHeight="false" outlineLevel="0" collapsed="false">
      <c r="A1637" s="4" t="str">
        <f aca="false">IF(Base_Bruta!A1637="","",Base_Bruta!A1637)</f>
        <v>MG-000208</v>
      </c>
      <c r="B1637" s="5" t="n">
        <f aca="false">IF($A1637="","",IF(ISNUMBER(Base_Bruta!B1637),Base_Bruta!B1637,IF(MID(Base_Bruta!B1637,5,1)="-",DATE(VALUE(LEFT(Base_Bruta!B1637,4)),VALUE(MID(Base_Bruta!B1637,6,2)),VALUE(RIGHT(Base_Bruta!B1637,2))),DATE(VALUE(RIGHT(Base_Bruta!B1637,4)),VALUE(MID(Base_Bruta!B1637,4,2)),VALUE(LEFT(Base_Bruta!B1637,2))))))</f>
        <v>45789</v>
      </c>
      <c r="C1637" s="5" t="n">
        <f aca="false">IF($A1637="","",IF(ISNUMBER(Base_Bruta!C1637),Base_Bruta!C1637,IF(MID(Base_Bruta!C1637,5,1)="-",DATE(VALUE(LEFT(Base_Bruta!C1637,4)),VALUE(MID(Base_Bruta!C1637,6,2)),VALUE(RIGHT(Base_Bruta!C1637,2))),DATE(VALUE(RIGHT(Base_Bruta!C1637,4)),VALUE(MID(Base_Bruta!C1637,4,2)),VALUE(LEFT(Base_Bruta!C1637,2))))))</f>
        <v>45892</v>
      </c>
      <c r="D1637" s="4" t="str">
        <f aca="false">IF($A1637="","",TRIM(Base_Bruta!D1637))</f>
        <v>Festival Montanhas BH 2025</v>
      </c>
      <c r="E1637" s="4" t="str">
        <f aca="false">IF($A1637="","",_xlfn.XLOOKUP(LOWER(TRIM(Base_Bruta!E1637)),DePara_Categoria!$A$2:$A$9,DePara_Categoria!$B$2:$B$9,"REVISAR"))</f>
        <v>Festival</v>
      </c>
      <c r="F1637" s="4" t="str">
        <f aca="false">IF($A1637="","",_xlfn.XLOOKUP(LOWER(TRIM(Base_Bruta!F1637)),DePara_Cidade!$A$2:$A$29,DePara_Cidade!$B$2:$B$29,"REVISAR"))</f>
        <v>Belo Horizonte</v>
      </c>
      <c r="G1637" s="4" t="str">
        <f aca="false">IF($A1637="","",TRIM(Base_Bruta!G1637))</f>
        <v>Meia</v>
      </c>
      <c r="H1637" s="4" t="n">
        <f aca="false">IF($A1637="","",IF(ISNUMBER(Base_Bruta!H1637),Base_Bruta!H1637,IFERROR(_xlfn.NUMBERVALUE(TRIM(SUBSTITUTE(Base_Bruta!H1637,"R$","")),",","."),0)))</f>
        <v>1</v>
      </c>
      <c r="I1637" s="6" t="n">
        <f aca="false">IF($A1637="","",IF(ISNUMBER(Base_Bruta!I1637),Base_Bruta!I1637,IFERROR(_xlfn.NUMBERVALUE(TRIM(SUBSTITUTE(Base_Bruta!I1637,"R$","")),",","."),0)))</f>
        <v>440</v>
      </c>
      <c r="J1637" s="6" t="n">
        <f aca="false">IF($A1637="","",H1637*I1637)</f>
        <v>440</v>
      </c>
      <c r="K1637" s="4" t="str">
        <f aca="false">IF($A1637="","",TRIM(Base_Bruta!J1637))</f>
        <v>App</v>
      </c>
      <c r="L1637" s="4" t="str">
        <f aca="false">IF($A1637="","",TRIM(Base_Bruta!K1637))</f>
        <v>C00257</v>
      </c>
      <c r="M1637" s="4" t="str">
        <f aca="false">IF($A1637="","",_xlfn.XLOOKUP(LOWER(TRIM(Base_Bruta!L1637)),DePara_Cidade!$A$2:$A$29,DePara_Cidade!$B$2:$B$29,"REVISAR"))</f>
        <v>Belo Horizonte</v>
      </c>
      <c r="N1637" s="4" t="str">
        <f aca="false">IF($A1637="","",UPPER(TRIM(Base_Bruta!M1637)))</f>
        <v>MG</v>
      </c>
      <c r="O1637" s="4" t="str">
        <f aca="false">IF($A1637="","",_xlfn.XLOOKUP(LOWER(TRIM(Base_Bruta!N1637)),DePara_Pais!$A$2:$A$9,DePara_Pais!$B$2:$B$9,"REVISAR"))</f>
        <v>Brasil</v>
      </c>
      <c r="P1637" s="4" t="str">
        <f aca="false">IF($A1637="","",IF(O1637&lt;&gt;"Brasil","Turista Internacional",IF(M1637=F1637,"Local","Turista Nacional")))</f>
        <v>Local</v>
      </c>
      <c r="Q1637" s="7" t="n">
        <f aca="false">IF($A1637="","",DATE(YEAR(B1637),MONTH(B1637),1))</f>
        <v>45778</v>
      </c>
      <c r="R1637" s="4" t="str">
        <f aca="false">IF($A1637="","",IF(COUNTIF($A$2:$A1637,$A1637)&gt;1,"Sim","Não"))</f>
        <v>Não</v>
      </c>
      <c r="S1637" s="4" t="str">
        <f aca="false">IF(A1637="","Descartar - Linha vazia",IF(R1637="Sim","Descartar - Duplicado",IF(OR(H1637&lt;=0,I1637&lt;=0),"Descartar - Qtd/Valor inválido","OK")))</f>
        <v>OK</v>
      </c>
      <c r="T1637" s="4" t="str">
        <f aca="false">Base_Bruta!P1637</f>
        <v>vendas_MG.csv</v>
      </c>
    </row>
    <row r="1638" customFormat="false" ht="15" hidden="false" customHeight="false" outlineLevel="0" collapsed="false">
      <c r="A1638" s="4" t="str">
        <f aca="false">IF(Base_Bruta!A1638="","",Base_Bruta!A1638)</f>
        <v>MG-000223</v>
      </c>
      <c r="B1638" s="5" t="n">
        <f aca="false">IF($A1638="","",IF(ISNUMBER(Base_Bruta!B1638),Base_Bruta!B1638,IF(MID(Base_Bruta!B1638,5,1)="-",DATE(VALUE(LEFT(Base_Bruta!B1638,4)),VALUE(MID(Base_Bruta!B1638,6,2)),VALUE(RIGHT(Base_Bruta!B1638,2))),DATE(VALUE(RIGHT(Base_Bruta!B1638,4)),VALUE(MID(Base_Bruta!B1638,4,2)),VALUE(LEFT(Base_Bruta!B1638,2))))))</f>
        <v>45789</v>
      </c>
      <c r="C1638" s="5" t="n">
        <f aca="false">IF($A1638="","",IF(ISNUMBER(Base_Bruta!C1638),Base_Bruta!C1638,IF(MID(Base_Bruta!C1638,5,1)="-",DATE(VALUE(LEFT(Base_Bruta!C1638,4)),VALUE(MID(Base_Bruta!C1638,6,2)),VALUE(RIGHT(Base_Bruta!C1638,2))),DATE(VALUE(RIGHT(Base_Bruta!C1638,4)),VALUE(MID(Base_Bruta!C1638,4,2)),VALUE(LEFT(Base_Bruta!C1638,2))))))</f>
        <v>45892</v>
      </c>
      <c r="D1638" s="4" t="str">
        <f aca="false">IF($A1638="","",TRIM(Base_Bruta!D1638))</f>
        <v>Festival Montanhas BH 2025</v>
      </c>
      <c r="E1638" s="4" t="str">
        <f aca="false">IF($A1638="","",_xlfn.XLOOKUP(LOWER(TRIM(Base_Bruta!E1638)),DePara_Categoria!$A$2:$A$9,DePara_Categoria!$B$2:$B$9,"REVISAR"))</f>
        <v>Festival</v>
      </c>
      <c r="F1638" s="4" t="str">
        <f aca="false">IF($A1638="","",_xlfn.XLOOKUP(LOWER(TRIM(Base_Bruta!F1638)),DePara_Cidade!$A$2:$A$29,DePara_Cidade!$B$2:$B$29,"REVISAR"))</f>
        <v>Belo Horizonte</v>
      </c>
      <c r="G1638" s="4" t="str">
        <f aca="false">IF($A1638="","",TRIM(Base_Bruta!G1638))</f>
        <v>Meia</v>
      </c>
      <c r="H1638" s="4" t="n">
        <f aca="false">IF($A1638="","",IF(ISNUMBER(Base_Bruta!H1638),Base_Bruta!H1638,IFERROR(_xlfn.NUMBERVALUE(TRIM(SUBSTITUTE(Base_Bruta!H1638,"R$","")),",","."),0)))</f>
        <v>4</v>
      </c>
      <c r="I1638" s="6" t="n">
        <f aca="false">IF($A1638="","",IF(ISNUMBER(Base_Bruta!I1638),Base_Bruta!I1638,IFERROR(_xlfn.NUMBERVALUE(TRIM(SUBSTITUTE(Base_Bruta!I1638,"R$","")),",","."),0)))</f>
        <v>520</v>
      </c>
      <c r="J1638" s="6" t="n">
        <f aca="false">IF($A1638="","",H1638*I1638)</f>
        <v>2080</v>
      </c>
      <c r="K1638" s="4" t="str">
        <f aca="false">IF($A1638="","",TRIM(Base_Bruta!J1638))</f>
        <v>Site</v>
      </c>
      <c r="L1638" s="4" t="str">
        <f aca="false">IF($A1638="","",TRIM(Base_Bruta!K1638))</f>
        <v>C01164</v>
      </c>
      <c r="M1638" s="4" t="str">
        <f aca="false">IF($A1638="","",_xlfn.XLOOKUP(LOWER(TRIM(Base_Bruta!L1638)),DePara_Cidade!$A$2:$A$29,DePara_Cidade!$B$2:$B$29,"REVISAR"))</f>
        <v>Belo Horizonte</v>
      </c>
      <c r="N1638" s="4" t="str">
        <f aca="false">IF($A1638="","",UPPER(TRIM(Base_Bruta!M1638)))</f>
        <v>MG</v>
      </c>
      <c r="O1638" s="4" t="str">
        <f aca="false">IF($A1638="","",_xlfn.XLOOKUP(LOWER(TRIM(Base_Bruta!N1638)),DePara_Pais!$A$2:$A$9,DePara_Pais!$B$2:$B$9,"REVISAR"))</f>
        <v>Brasil</v>
      </c>
      <c r="P1638" s="4" t="str">
        <f aca="false">IF($A1638="","",IF(O1638&lt;&gt;"Brasil","Turista Internacional",IF(M1638=F1638,"Local","Turista Nacional")))</f>
        <v>Local</v>
      </c>
      <c r="Q1638" s="7" t="n">
        <f aca="false">IF($A1638="","",DATE(YEAR(B1638),MONTH(B1638),1))</f>
        <v>45778</v>
      </c>
      <c r="R1638" s="4" t="str">
        <f aca="false">IF($A1638="","",IF(COUNTIF($A$2:$A1638,$A1638)&gt;1,"Sim","Não"))</f>
        <v>Não</v>
      </c>
      <c r="S1638" s="4" t="str">
        <f aca="false">IF(A1638="","Descartar - Linha vazia",IF(R1638="Sim","Descartar - Duplicado",IF(OR(H1638&lt;=0,I1638&lt;=0),"Descartar - Qtd/Valor inválido","OK")))</f>
        <v>OK</v>
      </c>
      <c r="T1638" s="4" t="str">
        <f aca="false">Base_Bruta!P1638</f>
        <v>vendas_MG.csv</v>
      </c>
    </row>
    <row r="1639" customFormat="false" ht="15" hidden="false" customHeight="false" outlineLevel="0" collapsed="false">
      <c r="A1639" s="4" t="str">
        <f aca="false">IF(Base_Bruta!A1639="","",Base_Bruta!A1639)</f>
        <v>MG-000230</v>
      </c>
      <c r="B1639" s="5" t="n">
        <f aca="false">IF($A1639="","",IF(ISNUMBER(Base_Bruta!B1639),Base_Bruta!B1639,IF(MID(Base_Bruta!B1639,5,1)="-",DATE(VALUE(LEFT(Base_Bruta!B1639,4)),VALUE(MID(Base_Bruta!B1639,6,2)),VALUE(RIGHT(Base_Bruta!B1639,2))),DATE(VALUE(RIGHT(Base_Bruta!B1639,4)),VALUE(MID(Base_Bruta!B1639,4,2)),VALUE(LEFT(Base_Bruta!B1639,2))))))</f>
        <v>45789</v>
      </c>
      <c r="C1639" s="5" t="n">
        <f aca="false">IF($A1639="","",IF(ISNUMBER(Base_Bruta!C1639),Base_Bruta!C1639,IF(MID(Base_Bruta!C1639,5,1)="-",DATE(VALUE(LEFT(Base_Bruta!C1639,4)),VALUE(MID(Base_Bruta!C1639,6,2)),VALUE(RIGHT(Base_Bruta!C1639,2))),DATE(VALUE(RIGHT(Base_Bruta!C1639,4)),VALUE(MID(Base_Bruta!C1639,4,2)),VALUE(LEFT(Base_Bruta!C1639,2))))))</f>
        <v>45892</v>
      </c>
      <c r="D1639" s="4" t="str">
        <f aca="false">IF($A1639="","",TRIM(Base_Bruta!D1639))</f>
        <v>Festival Montanhas BH 2025</v>
      </c>
      <c r="E1639" s="4" t="str">
        <f aca="false">IF($A1639="","",_xlfn.XLOOKUP(LOWER(TRIM(Base_Bruta!E1639)),DePara_Categoria!$A$2:$A$9,DePara_Categoria!$B$2:$B$9,"REVISAR"))</f>
        <v>Festival</v>
      </c>
      <c r="F1639" s="4" t="str">
        <f aca="false">IF($A1639="","",_xlfn.XLOOKUP(LOWER(TRIM(Base_Bruta!F1639)),DePara_Cidade!$A$2:$A$29,DePara_Cidade!$B$2:$B$29,"REVISAR"))</f>
        <v>Belo Horizonte</v>
      </c>
      <c r="G1639" s="4" t="str">
        <f aca="false">IF($A1639="","",TRIM(Base_Bruta!G1639))</f>
        <v>Inteira</v>
      </c>
      <c r="H1639" s="4" t="n">
        <f aca="false">IF($A1639="","",IF(ISNUMBER(Base_Bruta!H1639),Base_Bruta!H1639,IFERROR(_xlfn.NUMBERVALUE(TRIM(SUBSTITUTE(Base_Bruta!H1639,"R$","")),",","."),0)))</f>
        <v>2</v>
      </c>
      <c r="I1639" s="6" t="n">
        <f aca="false">IF($A1639="","",IF(ISNUMBER(Base_Bruta!I1639),Base_Bruta!I1639,IFERROR(_xlfn.NUMBERVALUE(TRIM(SUBSTITUTE(Base_Bruta!I1639,"R$","")),",","."),0)))</f>
        <v>1030</v>
      </c>
      <c r="J1639" s="6" t="n">
        <f aca="false">IF($A1639="","",H1639*I1639)</f>
        <v>2060</v>
      </c>
      <c r="K1639" s="4" t="str">
        <f aca="false">IF($A1639="","",TRIM(Base_Bruta!J1639))</f>
        <v>Bilheteria</v>
      </c>
      <c r="L1639" s="4" t="str">
        <f aca="false">IF($A1639="","",TRIM(Base_Bruta!K1639))</f>
        <v>C01820</v>
      </c>
      <c r="M1639" s="4" t="str">
        <f aca="false">IF($A1639="","",_xlfn.XLOOKUP(LOWER(TRIM(Base_Bruta!L1639)),DePara_Cidade!$A$2:$A$29,DePara_Cidade!$B$2:$B$29,"REVISAR"))</f>
        <v>Recife</v>
      </c>
      <c r="N1639" s="4" t="str">
        <f aca="false">IF($A1639="","",UPPER(TRIM(Base_Bruta!M1639)))</f>
        <v>PE</v>
      </c>
      <c r="O1639" s="4" t="str">
        <f aca="false">IF($A1639="","",_xlfn.XLOOKUP(LOWER(TRIM(Base_Bruta!N1639)),DePara_Pais!$A$2:$A$9,DePara_Pais!$B$2:$B$9,"REVISAR"))</f>
        <v>Brasil</v>
      </c>
      <c r="P1639" s="4" t="str">
        <f aca="false">IF($A1639="","",IF(O1639&lt;&gt;"Brasil","Turista Internacional",IF(M1639=F1639,"Local","Turista Nacional")))</f>
        <v>Turista Nacional</v>
      </c>
      <c r="Q1639" s="7" t="n">
        <f aca="false">IF($A1639="","",DATE(YEAR(B1639),MONTH(B1639),1))</f>
        <v>45778</v>
      </c>
      <c r="R1639" s="4" t="str">
        <f aca="false">IF($A1639="","",IF(COUNTIF($A$2:$A1639,$A1639)&gt;1,"Sim","Não"))</f>
        <v>Não</v>
      </c>
      <c r="S1639" s="4" t="str">
        <f aca="false">IF(A1639="","Descartar - Linha vazia",IF(R1639="Sim","Descartar - Duplicado",IF(OR(H1639&lt;=0,I1639&lt;=0),"Descartar - Qtd/Valor inválido","OK")))</f>
        <v>OK</v>
      </c>
      <c r="T1639" s="4" t="str">
        <f aca="false">Base_Bruta!P1639</f>
        <v>vendas_MG.csv</v>
      </c>
    </row>
    <row r="1640" customFormat="false" ht="15" hidden="false" customHeight="false" outlineLevel="0" collapsed="false">
      <c r="A1640" s="4" t="str">
        <f aca="false">IF(Base_Bruta!A1640="","",Base_Bruta!A1640)</f>
        <v>MG-000132</v>
      </c>
      <c r="B1640" s="5" t="n">
        <f aca="false">IF($A1640="","",IF(ISNUMBER(Base_Bruta!B1640),Base_Bruta!B1640,IF(MID(Base_Bruta!B1640,5,1)="-",DATE(VALUE(LEFT(Base_Bruta!B1640,4)),VALUE(MID(Base_Bruta!B1640,6,2)),VALUE(RIGHT(Base_Bruta!B1640,2))),DATE(VALUE(RIGHT(Base_Bruta!B1640,4)),VALUE(MID(Base_Bruta!B1640,4,2)),VALUE(LEFT(Base_Bruta!B1640,2))))))</f>
        <v>45790</v>
      </c>
      <c r="C1640" s="5" t="n">
        <f aca="false">IF($A1640="","",IF(ISNUMBER(Base_Bruta!C1640),Base_Bruta!C1640,IF(MID(Base_Bruta!C1640,5,1)="-",DATE(VALUE(LEFT(Base_Bruta!C1640,4)),VALUE(MID(Base_Bruta!C1640,6,2)),VALUE(RIGHT(Base_Bruta!C1640,2))),DATE(VALUE(RIGHT(Base_Bruta!C1640,4)),VALUE(MID(Base_Bruta!C1640,4,2)),VALUE(LEFT(Base_Bruta!C1640,2))))))</f>
        <v>45892</v>
      </c>
      <c r="D1640" s="4" t="str">
        <f aca="false">IF($A1640="","",TRIM(Base_Bruta!D1640))</f>
        <v>Festival Montanhas BH 2025</v>
      </c>
      <c r="E1640" s="4" t="str">
        <f aca="false">IF($A1640="","",_xlfn.XLOOKUP(LOWER(TRIM(Base_Bruta!E1640)),DePara_Categoria!$A$2:$A$9,DePara_Categoria!$B$2:$B$9,"REVISAR"))</f>
        <v>Festival</v>
      </c>
      <c r="F1640" s="4" t="str">
        <f aca="false">IF($A1640="","",_xlfn.XLOOKUP(LOWER(TRIM(Base_Bruta!F1640)),DePara_Cidade!$A$2:$A$29,DePara_Cidade!$B$2:$B$29,"REVISAR"))</f>
        <v>Belo Horizonte</v>
      </c>
      <c r="G1640" s="4" t="str">
        <f aca="false">IF($A1640="","",TRIM(Base_Bruta!G1640))</f>
        <v>Inteira</v>
      </c>
      <c r="H1640" s="4" t="n">
        <f aca="false">IF($A1640="","",IF(ISNUMBER(Base_Bruta!H1640),Base_Bruta!H1640,IFERROR(_xlfn.NUMBERVALUE(TRIM(SUBSTITUTE(Base_Bruta!H1640,"R$","")),",","."),0)))</f>
        <v>4</v>
      </c>
      <c r="I1640" s="6" t="n">
        <f aca="false">IF($A1640="","",IF(ISNUMBER(Base_Bruta!I1640),Base_Bruta!I1640,IFERROR(_xlfn.NUMBERVALUE(TRIM(SUBSTITUTE(Base_Bruta!I1640,"R$","")),",","."),0)))</f>
        <v>1100</v>
      </c>
      <c r="J1640" s="6" t="n">
        <f aca="false">IF($A1640="","",H1640*I1640)</f>
        <v>4400</v>
      </c>
      <c r="K1640" s="4" t="str">
        <f aca="false">IF($A1640="","",TRIM(Base_Bruta!J1640))</f>
        <v>Site</v>
      </c>
      <c r="L1640" s="4" t="str">
        <f aca="false">IF($A1640="","",TRIM(Base_Bruta!K1640))</f>
        <v>C00123</v>
      </c>
      <c r="M1640" s="4" t="str">
        <f aca="false">IF($A1640="","",_xlfn.XLOOKUP(LOWER(TRIM(Base_Bruta!L1640)),DePara_Cidade!$A$2:$A$29,DePara_Cidade!$B$2:$B$29,"REVISAR"))</f>
        <v>Lisboa</v>
      </c>
      <c r="N1640" s="4" t="str">
        <f aca="false">IF($A1640="","",UPPER(TRIM(Base_Bruta!M1640)))</f>
        <v>EX</v>
      </c>
      <c r="O1640" s="4" t="str">
        <f aca="false">IF($A1640="","",_xlfn.XLOOKUP(LOWER(TRIM(Base_Bruta!N1640)),DePara_Pais!$A$2:$A$9,DePara_Pais!$B$2:$B$9,"REVISAR"))</f>
        <v>Portugal</v>
      </c>
      <c r="P1640" s="4" t="str">
        <f aca="false">IF($A1640="","",IF(O1640&lt;&gt;"Brasil","Turista Internacional",IF(M1640=F1640,"Local","Turista Nacional")))</f>
        <v>Turista Internacional</v>
      </c>
      <c r="Q1640" s="7" t="n">
        <f aca="false">IF($A1640="","",DATE(YEAR(B1640),MONTH(B1640),1))</f>
        <v>45778</v>
      </c>
      <c r="R1640" s="4" t="str">
        <f aca="false">IF($A1640="","",IF(COUNTIF($A$2:$A1640,$A1640)&gt;1,"Sim","Não"))</f>
        <v>Não</v>
      </c>
      <c r="S1640" s="4" t="str">
        <f aca="false">IF(A1640="","Descartar - Linha vazia",IF(R1640="Sim","Descartar - Duplicado",IF(OR(H1640&lt;=0,I1640&lt;=0),"Descartar - Qtd/Valor inválido","OK")))</f>
        <v>OK</v>
      </c>
      <c r="T1640" s="4" t="str">
        <f aca="false">Base_Bruta!P1640</f>
        <v>vendas_MG.csv</v>
      </c>
    </row>
    <row r="1641" customFormat="false" ht="15" hidden="false" customHeight="false" outlineLevel="0" collapsed="false">
      <c r="A1641" s="4" t="str">
        <f aca="false">IF(Base_Bruta!A1641="","",Base_Bruta!A1641)</f>
        <v>MG-000011</v>
      </c>
      <c r="B1641" s="5" t="n">
        <f aca="false">IF($A1641="","",IF(ISNUMBER(Base_Bruta!B1641),Base_Bruta!B1641,IF(MID(Base_Bruta!B1641,5,1)="-",DATE(VALUE(LEFT(Base_Bruta!B1641,4)),VALUE(MID(Base_Bruta!B1641,6,2)),VALUE(RIGHT(Base_Bruta!B1641,2))),DATE(VALUE(RIGHT(Base_Bruta!B1641,4)),VALUE(MID(Base_Bruta!B1641,4,2)),VALUE(LEFT(Base_Bruta!B1641,2))))))</f>
        <v>45791</v>
      </c>
      <c r="C1641" s="5" t="n">
        <f aca="false">IF($A1641="","",IF(ISNUMBER(Base_Bruta!C1641),Base_Bruta!C1641,IF(MID(Base_Bruta!C1641,5,1)="-",DATE(VALUE(LEFT(Base_Bruta!C1641,4)),VALUE(MID(Base_Bruta!C1641,6,2)),VALUE(RIGHT(Base_Bruta!C1641,2))),DATE(VALUE(RIGHT(Base_Bruta!C1641,4)),VALUE(MID(Base_Bruta!C1641,4,2)),VALUE(LEFT(Base_Bruta!C1641,2))))))</f>
        <v>45892</v>
      </c>
      <c r="D1641" s="4" t="str">
        <f aca="false">IF($A1641="","",TRIM(Base_Bruta!D1641))</f>
        <v>Festival Montanhas BH 2025</v>
      </c>
      <c r="E1641" s="4" t="str">
        <f aca="false">IF($A1641="","",_xlfn.XLOOKUP(LOWER(TRIM(Base_Bruta!E1641)),DePara_Categoria!$A$2:$A$9,DePara_Categoria!$B$2:$B$9,"REVISAR"))</f>
        <v>Festival</v>
      </c>
      <c r="F1641" s="4" t="str">
        <f aca="false">IF($A1641="","",_xlfn.XLOOKUP(LOWER(TRIM(Base_Bruta!F1641)),DePara_Cidade!$A$2:$A$29,DePara_Cidade!$B$2:$B$29,"REVISAR"))</f>
        <v>Belo Horizonte</v>
      </c>
      <c r="G1641" s="4" t="str">
        <f aca="false">IF($A1641="","",TRIM(Base_Bruta!G1641))</f>
        <v>Inteira</v>
      </c>
      <c r="H1641" s="4" t="n">
        <f aca="false">IF($A1641="","",IF(ISNUMBER(Base_Bruta!H1641),Base_Bruta!H1641,IFERROR(_xlfn.NUMBERVALUE(TRIM(SUBSTITUTE(Base_Bruta!H1641,"R$","")),",","."),0)))</f>
        <v>1</v>
      </c>
      <c r="I1641" s="6" t="n">
        <f aca="false">IF($A1641="","",IF(ISNUMBER(Base_Bruta!I1641),Base_Bruta!I1641,IFERROR(_xlfn.NUMBERVALUE(TRIM(SUBSTITUTE(Base_Bruta!I1641,"R$","")),",","."),0)))</f>
        <v>940</v>
      </c>
      <c r="J1641" s="6" t="n">
        <f aca="false">IF($A1641="","",H1641*I1641)</f>
        <v>940</v>
      </c>
      <c r="K1641" s="4" t="str">
        <f aca="false">IF($A1641="","",TRIM(Base_Bruta!J1641))</f>
        <v>App</v>
      </c>
      <c r="L1641" s="4" t="str">
        <f aca="false">IF($A1641="","",TRIM(Base_Bruta!K1641))</f>
        <v>C00212</v>
      </c>
      <c r="M1641" s="4" t="str">
        <f aca="false">IF($A1641="","",_xlfn.XLOOKUP(LOWER(TRIM(Base_Bruta!L1641)),DePara_Cidade!$A$2:$A$29,DePara_Cidade!$B$2:$B$29,"REVISAR"))</f>
        <v>Belo Horizonte</v>
      </c>
      <c r="N1641" s="4" t="str">
        <f aca="false">IF($A1641="","",UPPER(TRIM(Base_Bruta!M1641)))</f>
        <v>MG</v>
      </c>
      <c r="O1641" s="4" t="str">
        <f aca="false">IF($A1641="","",_xlfn.XLOOKUP(LOWER(TRIM(Base_Bruta!N1641)),DePara_Pais!$A$2:$A$9,DePara_Pais!$B$2:$B$9,"REVISAR"))</f>
        <v>Brasil</v>
      </c>
      <c r="P1641" s="4" t="str">
        <f aca="false">IF($A1641="","",IF(O1641&lt;&gt;"Brasil","Turista Internacional",IF(M1641=F1641,"Local","Turista Nacional")))</f>
        <v>Local</v>
      </c>
      <c r="Q1641" s="7" t="n">
        <f aca="false">IF($A1641="","",DATE(YEAR(B1641),MONTH(B1641),1))</f>
        <v>45778</v>
      </c>
      <c r="R1641" s="4" t="str">
        <f aca="false">IF($A1641="","",IF(COUNTIF($A$2:$A1641,$A1641)&gt;1,"Sim","Não"))</f>
        <v>Não</v>
      </c>
      <c r="S1641" s="4" t="str">
        <f aca="false">IF(A1641="","Descartar - Linha vazia",IF(R1641="Sim","Descartar - Duplicado",IF(OR(H1641&lt;=0,I1641&lt;=0),"Descartar - Qtd/Valor inválido","OK")))</f>
        <v>OK</v>
      </c>
      <c r="T1641" s="4" t="str">
        <f aca="false">Base_Bruta!P1641</f>
        <v>vendas_MG.csv</v>
      </c>
    </row>
    <row r="1642" customFormat="false" ht="15" hidden="false" customHeight="false" outlineLevel="0" collapsed="false">
      <c r="A1642" s="4" t="str">
        <f aca="false">IF(Base_Bruta!A1642="","",Base_Bruta!A1642)</f>
        <v>MG-000067</v>
      </c>
      <c r="B1642" s="5" t="n">
        <f aca="false">IF($A1642="","",IF(ISNUMBER(Base_Bruta!B1642),Base_Bruta!B1642,IF(MID(Base_Bruta!B1642,5,1)="-",DATE(VALUE(LEFT(Base_Bruta!B1642,4)),VALUE(MID(Base_Bruta!B1642,6,2)),VALUE(RIGHT(Base_Bruta!B1642,2))),DATE(VALUE(RIGHT(Base_Bruta!B1642,4)),VALUE(MID(Base_Bruta!B1642,4,2)),VALUE(LEFT(Base_Bruta!B1642,2))))))</f>
        <v>45791</v>
      </c>
      <c r="C1642" s="5" t="n">
        <f aca="false">IF($A1642="","",IF(ISNUMBER(Base_Bruta!C1642),Base_Bruta!C1642,IF(MID(Base_Bruta!C1642,5,1)="-",DATE(VALUE(LEFT(Base_Bruta!C1642,4)),VALUE(MID(Base_Bruta!C1642,6,2)),VALUE(RIGHT(Base_Bruta!C1642,2))),DATE(VALUE(RIGHT(Base_Bruta!C1642,4)),VALUE(MID(Base_Bruta!C1642,4,2)),VALUE(LEFT(Base_Bruta!C1642,2))))))</f>
        <v>45892</v>
      </c>
      <c r="D1642" s="4" t="str">
        <f aca="false">IF($A1642="","",TRIM(Base_Bruta!D1642))</f>
        <v>Festival Montanhas BH 2025</v>
      </c>
      <c r="E1642" s="4" t="str">
        <f aca="false">IF($A1642="","",_xlfn.XLOOKUP(LOWER(TRIM(Base_Bruta!E1642)),DePara_Categoria!$A$2:$A$9,DePara_Categoria!$B$2:$B$9,"REVISAR"))</f>
        <v>Festival</v>
      </c>
      <c r="F1642" s="4" t="str">
        <f aca="false">IF($A1642="","",_xlfn.XLOOKUP(LOWER(TRIM(Base_Bruta!F1642)),DePara_Cidade!$A$2:$A$29,DePara_Cidade!$B$2:$B$29,"REVISAR"))</f>
        <v>Belo Horizonte</v>
      </c>
      <c r="G1642" s="4" t="str">
        <f aca="false">IF($A1642="","",TRIM(Base_Bruta!G1642))</f>
        <v>Meia</v>
      </c>
      <c r="H1642" s="4" t="n">
        <f aca="false">IF($A1642="","",IF(ISNUMBER(Base_Bruta!H1642),Base_Bruta!H1642,IFERROR(_xlfn.NUMBERVALUE(TRIM(SUBSTITUTE(Base_Bruta!H1642,"R$","")),",","."),0)))</f>
        <v>2</v>
      </c>
      <c r="I1642" s="6" t="n">
        <f aca="false">IF($A1642="","",IF(ISNUMBER(Base_Bruta!I1642),Base_Bruta!I1642,IFERROR(_xlfn.NUMBERVALUE(TRIM(SUBSTITUTE(Base_Bruta!I1642,"R$","")),",","."),0)))</f>
        <v>472.5</v>
      </c>
      <c r="J1642" s="6" t="n">
        <f aca="false">IF($A1642="","",H1642*I1642)</f>
        <v>945</v>
      </c>
      <c r="K1642" s="4" t="str">
        <f aca="false">IF($A1642="","",TRIM(Base_Bruta!J1642))</f>
        <v>Site</v>
      </c>
      <c r="L1642" s="4" t="str">
        <f aca="false">IF($A1642="","",TRIM(Base_Bruta!K1642))</f>
        <v>C01441</v>
      </c>
      <c r="M1642" s="4" t="str">
        <f aca="false">IF($A1642="","",_xlfn.XLOOKUP(LOWER(TRIM(Base_Bruta!L1642)),DePara_Cidade!$A$2:$A$29,DePara_Cidade!$B$2:$B$29,"REVISAR"))</f>
        <v>Contagem</v>
      </c>
      <c r="N1642" s="4" t="str">
        <f aca="false">IF($A1642="","",UPPER(TRIM(Base_Bruta!M1642)))</f>
        <v>MG</v>
      </c>
      <c r="O1642" s="4" t="str">
        <f aca="false">IF($A1642="","",_xlfn.XLOOKUP(LOWER(TRIM(Base_Bruta!N1642)),DePara_Pais!$A$2:$A$9,DePara_Pais!$B$2:$B$9,"REVISAR"))</f>
        <v>Brasil</v>
      </c>
      <c r="P1642" s="4" t="str">
        <f aca="false">IF($A1642="","",IF(O1642&lt;&gt;"Brasil","Turista Internacional",IF(M1642=F1642,"Local","Turista Nacional")))</f>
        <v>Turista Nacional</v>
      </c>
      <c r="Q1642" s="7" t="n">
        <f aca="false">IF($A1642="","",DATE(YEAR(B1642),MONTH(B1642),1))</f>
        <v>45778</v>
      </c>
      <c r="R1642" s="4" t="str">
        <f aca="false">IF($A1642="","",IF(COUNTIF($A$2:$A1642,$A1642)&gt;1,"Sim","Não"))</f>
        <v>Não</v>
      </c>
      <c r="S1642" s="4" t="str">
        <f aca="false">IF(A1642="","Descartar - Linha vazia",IF(R1642="Sim","Descartar - Duplicado",IF(OR(H1642&lt;=0,I1642&lt;=0),"Descartar - Qtd/Valor inválido","OK")))</f>
        <v>OK</v>
      </c>
      <c r="T1642" s="4" t="str">
        <f aca="false">Base_Bruta!P1642</f>
        <v>vendas_MG.csv</v>
      </c>
    </row>
    <row r="1643" customFormat="false" ht="15" hidden="false" customHeight="false" outlineLevel="0" collapsed="false">
      <c r="A1643" s="4" t="str">
        <f aca="false">IF(Base_Bruta!A1643="","",Base_Bruta!A1643)</f>
        <v>MG-000131</v>
      </c>
      <c r="B1643" s="5" t="n">
        <f aca="false">IF($A1643="","",IF(ISNUMBER(Base_Bruta!B1643),Base_Bruta!B1643,IF(MID(Base_Bruta!B1643,5,1)="-",DATE(VALUE(LEFT(Base_Bruta!B1643,4)),VALUE(MID(Base_Bruta!B1643,6,2)),VALUE(RIGHT(Base_Bruta!B1643,2))),DATE(VALUE(RIGHT(Base_Bruta!B1643,4)),VALUE(MID(Base_Bruta!B1643,4,2)),VALUE(LEFT(Base_Bruta!B1643,2))))))</f>
        <v>45791</v>
      </c>
      <c r="C1643" s="5" t="n">
        <f aca="false">IF($A1643="","",IF(ISNUMBER(Base_Bruta!C1643),Base_Bruta!C1643,IF(MID(Base_Bruta!C1643,5,1)="-",DATE(VALUE(LEFT(Base_Bruta!C1643,4)),VALUE(MID(Base_Bruta!C1643,6,2)),VALUE(RIGHT(Base_Bruta!C1643,2))),DATE(VALUE(RIGHT(Base_Bruta!C1643,4)),VALUE(MID(Base_Bruta!C1643,4,2)),VALUE(LEFT(Base_Bruta!C1643,2))))))</f>
        <v>45892</v>
      </c>
      <c r="D1643" s="4" t="str">
        <f aca="false">IF($A1643="","",TRIM(Base_Bruta!D1643))</f>
        <v>Festival Montanhas BH 2025</v>
      </c>
      <c r="E1643" s="4" t="str">
        <f aca="false">IF($A1643="","",_xlfn.XLOOKUP(LOWER(TRIM(Base_Bruta!E1643)),DePara_Categoria!$A$2:$A$9,DePara_Categoria!$B$2:$B$9,"REVISAR"))</f>
        <v>Festival</v>
      </c>
      <c r="F1643" s="4" t="str">
        <f aca="false">IF($A1643="","",_xlfn.XLOOKUP(LOWER(TRIM(Base_Bruta!F1643)),DePara_Cidade!$A$2:$A$29,DePara_Cidade!$B$2:$B$29,"REVISAR"))</f>
        <v>Belo Horizonte</v>
      </c>
      <c r="G1643" s="4" t="str">
        <f aca="false">IF($A1643="","",TRIM(Base_Bruta!G1643))</f>
        <v>Meia</v>
      </c>
      <c r="H1643" s="4" t="n">
        <f aca="false">IF($A1643="","",IF(ISNUMBER(Base_Bruta!H1643),Base_Bruta!H1643,IFERROR(_xlfn.NUMBERVALUE(TRIM(SUBSTITUTE(Base_Bruta!H1643,"R$","")),",","."),0)))</f>
        <v>2</v>
      </c>
      <c r="I1643" s="6" t="n">
        <f aca="false">IF($A1643="","",IF(ISNUMBER(Base_Bruta!I1643),Base_Bruta!I1643,IFERROR(_xlfn.NUMBERVALUE(TRIM(SUBSTITUTE(Base_Bruta!I1643,"R$","")),",","."),0)))</f>
        <v>447.5</v>
      </c>
      <c r="J1643" s="6" t="n">
        <f aca="false">IF($A1643="","",H1643*I1643)</f>
        <v>895</v>
      </c>
      <c r="K1643" s="4" t="str">
        <f aca="false">IF($A1643="","",TRIM(Base_Bruta!J1643))</f>
        <v>Parceiro</v>
      </c>
      <c r="L1643" s="4" t="str">
        <f aca="false">IF($A1643="","",TRIM(Base_Bruta!K1643))</f>
        <v>C00113</v>
      </c>
      <c r="M1643" s="4" t="str">
        <f aca="false">IF($A1643="","",_xlfn.XLOOKUP(LOWER(TRIM(Base_Bruta!L1643)),DePara_Cidade!$A$2:$A$29,DePara_Cidade!$B$2:$B$29,"REVISAR"))</f>
        <v>Belo Horizonte</v>
      </c>
      <c r="N1643" s="4" t="str">
        <f aca="false">IF($A1643="","",UPPER(TRIM(Base_Bruta!M1643)))</f>
        <v>MG</v>
      </c>
      <c r="O1643" s="4" t="str">
        <f aca="false">IF($A1643="","",_xlfn.XLOOKUP(LOWER(TRIM(Base_Bruta!N1643)),DePara_Pais!$A$2:$A$9,DePara_Pais!$B$2:$B$9,"REVISAR"))</f>
        <v>Brasil</v>
      </c>
      <c r="P1643" s="4" t="str">
        <f aca="false">IF($A1643="","",IF(O1643&lt;&gt;"Brasil","Turista Internacional",IF(M1643=F1643,"Local","Turista Nacional")))</f>
        <v>Local</v>
      </c>
      <c r="Q1643" s="7" t="n">
        <f aca="false">IF($A1643="","",DATE(YEAR(B1643),MONTH(B1643),1))</f>
        <v>45778</v>
      </c>
      <c r="R1643" s="4" t="str">
        <f aca="false">IF($A1643="","",IF(COUNTIF($A$2:$A1643,$A1643)&gt;1,"Sim","Não"))</f>
        <v>Não</v>
      </c>
      <c r="S1643" s="4" t="str">
        <f aca="false">IF(A1643="","Descartar - Linha vazia",IF(R1643="Sim","Descartar - Duplicado",IF(OR(H1643&lt;=0,I1643&lt;=0),"Descartar - Qtd/Valor inválido","OK")))</f>
        <v>OK</v>
      </c>
      <c r="T1643" s="4" t="str">
        <f aca="false">Base_Bruta!P1643</f>
        <v>vendas_MG.csv</v>
      </c>
    </row>
    <row r="1644" customFormat="false" ht="15" hidden="false" customHeight="false" outlineLevel="0" collapsed="false">
      <c r="A1644" s="4" t="str">
        <f aca="false">IF(Base_Bruta!A1644="","",Base_Bruta!A1644)</f>
        <v>MG-000225</v>
      </c>
      <c r="B1644" s="5" t="n">
        <f aca="false">IF($A1644="","",IF(ISNUMBER(Base_Bruta!B1644),Base_Bruta!B1644,IF(MID(Base_Bruta!B1644,5,1)="-",DATE(VALUE(LEFT(Base_Bruta!B1644,4)),VALUE(MID(Base_Bruta!B1644,6,2)),VALUE(RIGHT(Base_Bruta!B1644,2))),DATE(VALUE(RIGHT(Base_Bruta!B1644,4)),VALUE(MID(Base_Bruta!B1644,4,2)),VALUE(LEFT(Base_Bruta!B1644,2))))))</f>
        <v>45791</v>
      </c>
      <c r="C1644" s="5" t="n">
        <f aca="false">IF($A1644="","",IF(ISNUMBER(Base_Bruta!C1644),Base_Bruta!C1644,IF(MID(Base_Bruta!C1644,5,1)="-",DATE(VALUE(LEFT(Base_Bruta!C1644,4)),VALUE(MID(Base_Bruta!C1644,6,2)),VALUE(RIGHT(Base_Bruta!C1644,2))),DATE(VALUE(RIGHT(Base_Bruta!C1644,4)),VALUE(MID(Base_Bruta!C1644,4,2)),VALUE(LEFT(Base_Bruta!C1644,2))))))</f>
        <v>45892</v>
      </c>
      <c r="D1644" s="4" t="str">
        <f aca="false">IF($A1644="","",TRIM(Base_Bruta!D1644))</f>
        <v>Festival Montanhas BH 2025</v>
      </c>
      <c r="E1644" s="4" t="str">
        <f aca="false">IF($A1644="","",_xlfn.XLOOKUP(LOWER(TRIM(Base_Bruta!E1644)),DePara_Categoria!$A$2:$A$9,DePara_Categoria!$B$2:$B$9,"REVISAR"))</f>
        <v>Festival</v>
      </c>
      <c r="F1644" s="4" t="str">
        <f aca="false">IF($A1644="","",_xlfn.XLOOKUP(LOWER(TRIM(Base_Bruta!F1644)),DePara_Cidade!$A$2:$A$29,DePara_Cidade!$B$2:$B$29,"REVISAR"))</f>
        <v>Belo Horizonte</v>
      </c>
      <c r="G1644" s="4" t="str">
        <f aca="false">IF($A1644="","",TRIM(Base_Bruta!G1644))</f>
        <v>Inteira</v>
      </c>
      <c r="H1644" s="4" t="n">
        <f aca="false">IF($A1644="","",IF(ISNUMBER(Base_Bruta!H1644),Base_Bruta!H1644,IFERROR(_xlfn.NUMBERVALUE(TRIM(SUBSTITUTE(Base_Bruta!H1644,"R$","")),",","."),0)))</f>
        <v>1</v>
      </c>
      <c r="I1644" s="6" t="n">
        <f aca="false">IF($A1644="","",IF(ISNUMBER(Base_Bruta!I1644),Base_Bruta!I1644,IFERROR(_xlfn.NUMBERVALUE(TRIM(SUBSTITUTE(Base_Bruta!I1644,"R$","")),",","."),0)))</f>
        <v>905</v>
      </c>
      <c r="J1644" s="6" t="n">
        <f aca="false">IF($A1644="","",H1644*I1644)</f>
        <v>905</v>
      </c>
      <c r="K1644" s="4" t="str">
        <f aca="false">IF($A1644="","",TRIM(Base_Bruta!J1644))</f>
        <v>App</v>
      </c>
      <c r="L1644" s="4" t="str">
        <f aca="false">IF($A1644="","",TRIM(Base_Bruta!K1644))</f>
        <v>C01443</v>
      </c>
      <c r="M1644" s="4" t="str">
        <f aca="false">IF($A1644="","",_xlfn.XLOOKUP(LOWER(TRIM(Base_Bruta!L1644)),DePara_Cidade!$A$2:$A$29,DePara_Cidade!$B$2:$B$29,"REVISAR"))</f>
        <v>Belo Horizonte</v>
      </c>
      <c r="N1644" s="4" t="str">
        <f aca="false">IF($A1644="","",UPPER(TRIM(Base_Bruta!M1644)))</f>
        <v>MG</v>
      </c>
      <c r="O1644" s="4" t="str">
        <f aca="false">IF($A1644="","",_xlfn.XLOOKUP(LOWER(TRIM(Base_Bruta!N1644)),DePara_Pais!$A$2:$A$9,DePara_Pais!$B$2:$B$9,"REVISAR"))</f>
        <v>Brasil</v>
      </c>
      <c r="P1644" s="4" t="str">
        <f aca="false">IF($A1644="","",IF(O1644&lt;&gt;"Brasil","Turista Internacional",IF(M1644=F1644,"Local","Turista Nacional")))</f>
        <v>Local</v>
      </c>
      <c r="Q1644" s="7" t="n">
        <f aca="false">IF($A1644="","",DATE(YEAR(B1644),MONTH(B1644),1))</f>
        <v>45778</v>
      </c>
      <c r="R1644" s="4" t="str">
        <f aca="false">IF($A1644="","",IF(COUNTIF($A$2:$A1644,$A1644)&gt;1,"Sim","Não"))</f>
        <v>Não</v>
      </c>
      <c r="S1644" s="4" t="str">
        <f aca="false">IF(A1644="","Descartar - Linha vazia",IF(R1644="Sim","Descartar - Duplicado",IF(OR(H1644&lt;=0,I1644&lt;=0),"Descartar - Qtd/Valor inválido","OK")))</f>
        <v>OK</v>
      </c>
      <c r="T1644" s="4" t="str">
        <f aca="false">Base_Bruta!P1644</f>
        <v>vendas_MG.csv</v>
      </c>
    </row>
    <row r="1645" customFormat="false" ht="15" hidden="false" customHeight="false" outlineLevel="0" collapsed="false">
      <c r="A1645" s="4" t="str">
        <f aca="false">IF(Base_Bruta!A1645="","",Base_Bruta!A1645)</f>
        <v>MG-000027</v>
      </c>
      <c r="B1645" s="5" t="n">
        <f aca="false">IF($A1645="","",IF(ISNUMBER(Base_Bruta!B1645),Base_Bruta!B1645,IF(MID(Base_Bruta!B1645,5,1)="-",DATE(VALUE(LEFT(Base_Bruta!B1645,4)),VALUE(MID(Base_Bruta!B1645,6,2)),VALUE(RIGHT(Base_Bruta!B1645,2))),DATE(VALUE(RIGHT(Base_Bruta!B1645,4)),VALUE(MID(Base_Bruta!B1645,4,2)),VALUE(LEFT(Base_Bruta!B1645,2))))))</f>
        <v>45792</v>
      </c>
      <c r="C1645" s="5" t="n">
        <f aca="false">IF($A1645="","",IF(ISNUMBER(Base_Bruta!C1645),Base_Bruta!C1645,IF(MID(Base_Bruta!C1645,5,1)="-",DATE(VALUE(LEFT(Base_Bruta!C1645,4)),VALUE(MID(Base_Bruta!C1645,6,2)),VALUE(RIGHT(Base_Bruta!C1645,2))),DATE(VALUE(RIGHT(Base_Bruta!C1645,4)),VALUE(MID(Base_Bruta!C1645,4,2)),VALUE(LEFT(Base_Bruta!C1645,2))))))</f>
        <v>45892</v>
      </c>
      <c r="D1645" s="4" t="str">
        <f aca="false">IF($A1645="","",TRIM(Base_Bruta!D1645))</f>
        <v>Festival Montanhas BH 2025</v>
      </c>
      <c r="E1645" s="4" t="str">
        <f aca="false">IF($A1645="","",_xlfn.XLOOKUP(LOWER(TRIM(Base_Bruta!E1645)),DePara_Categoria!$A$2:$A$9,DePara_Categoria!$B$2:$B$9,"REVISAR"))</f>
        <v>Festival</v>
      </c>
      <c r="F1645" s="4" t="str">
        <f aca="false">IF($A1645="","",_xlfn.XLOOKUP(LOWER(TRIM(Base_Bruta!F1645)),DePara_Cidade!$A$2:$A$29,DePara_Cidade!$B$2:$B$29,"REVISAR"))</f>
        <v>Belo Horizonte</v>
      </c>
      <c r="G1645" s="4" t="str">
        <f aca="false">IF($A1645="","",TRIM(Base_Bruta!G1645))</f>
        <v>Inteira</v>
      </c>
      <c r="H1645" s="4" t="n">
        <f aca="false">IF($A1645="","",IF(ISNUMBER(Base_Bruta!H1645),Base_Bruta!H1645,IFERROR(_xlfn.NUMBERVALUE(TRIM(SUBSTITUTE(Base_Bruta!H1645,"R$","")),",","."),0)))</f>
        <v>0</v>
      </c>
      <c r="I1645" s="6" t="n">
        <f aca="false">IF($A1645="","",IF(ISNUMBER(Base_Bruta!I1645),Base_Bruta!I1645,IFERROR(_xlfn.NUMBERVALUE(TRIM(SUBSTITUTE(Base_Bruta!I1645,"R$","")),",","."),0)))</f>
        <v>865</v>
      </c>
      <c r="J1645" s="6" t="n">
        <f aca="false">IF($A1645="","",H1645*I1645)</f>
        <v>0</v>
      </c>
      <c r="K1645" s="4" t="str">
        <f aca="false">IF($A1645="","",TRIM(Base_Bruta!J1645))</f>
        <v>Site</v>
      </c>
      <c r="L1645" s="4" t="str">
        <f aca="false">IF($A1645="","",TRIM(Base_Bruta!K1645))</f>
        <v>C01888</v>
      </c>
      <c r="M1645" s="4" t="str">
        <f aca="false">IF($A1645="","",_xlfn.XLOOKUP(LOWER(TRIM(Base_Bruta!L1645)),DePara_Cidade!$A$2:$A$29,DePara_Cidade!$B$2:$B$29,"REVISAR"))</f>
        <v>Belo Horizonte</v>
      </c>
      <c r="N1645" s="4" t="str">
        <f aca="false">IF($A1645="","",UPPER(TRIM(Base_Bruta!M1645)))</f>
        <v>MG</v>
      </c>
      <c r="O1645" s="4" t="str">
        <f aca="false">IF($A1645="","",_xlfn.XLOOKUP(LOWER(TRIM(Base_Bruta!N1645)),DePara_Pais!$A$2:$A$9,DePara_Pais!$B$2:$B$9,"REVISAR"))</f>
        <v>Brasil</v>
      </c>
      <c r="P1645" s="4" t="str">
        <f aca="false">IF($A1645="","",IF(O1645&lt;&gt;"Brasil","Turista Internacional",IF(M1645=F1645,"Local","Turista Nacional")))</f>
        <v>Local</v>
      </c>
      <c r="Q1645" s="7" t="n">
        <f aca="false">IF($A1645="","",DATE(YEAR(B1645),MONTH(B1645),1))</f>
        <v>45778</v>
      </c>
      <c r="R1645" s="4" t="str">
        <f aca="false">IF($A1645="","",IF(COUNTIF($A$2:$A1645,$A1645)&gt;1,"Sim","Não"))</f>
        <v>Não</v>
      </c>
      <c r="S1645" s="4" t="str">
        <f aca="false">IF(A1645="","Descartar - Linha vazia",IF(R1645="Sim","Descartar - Duplicado",IF(OR(H1645&lt;=0,I1645&lt;=0),"Descartar - Qtd/Valor inválido","OK")))</f>
        <v>Descartar - Qtd/Valor inválido</v>
      </c>
      <c r="T1645" s="4" t="str">
        <f aca="false">Base_Bruta!P1645</f>
        <v>vendas_MG.csv</v>
      </c>
    </row>
    <row r="1646" customFormat="false" ht="15" hidden="false" customHeight="false" outlineLevel="0" collapsed="false">
      <c r="A1646" s="4" t="str">
        <f aca="false">IF(Base_Bruta!A1646="","",Base_Bruta!A1646)</f>
        <v>MG-000534</v>
      </c>
      <c r="B1646" s="5" t="n">
        <f aca="false">IF($A1646="","",IF(ISNUMBER(Base_Bruta!B1646),Base_Bruta!B1646,IF(MID(Base_Bruta!B1646,5,1)="-",DATE(VALUE(LEFT(Base_Bruta!B1646,4)),VALUE(MID(Base_Bruta!B1646,6,2)),VALUE(RIGHT(Base_Bruta!B1646,2))),DATE(VALUE(RIGHT(Base_Bruta!B1646,4)),VALUE(MID(Base_Bruta!B1646,4,2)),VALUE(LEFT(Base_Bruta!B1646,2))))))</f>
        <v>45792</v>
      </c>
      <c r="C1646" s="5" t="n">
        <f aca="false">IF($A1646="","",IF(ISNUMBER(Base_Bruta!C1646),Base_Bruta!C1646,IF(MID(Base_Bruta!C1646,5,1)="-",DATE(VALUE(LEFT(Base_Bruta!C1646,4)),VALUE(MID(Base_Bruta!C1646,6,2)),VALUE(RIGHT(Base_Bruta!C1646,2))),DATE(VALUE(RIGHT(Base_Bruta!C1646,4)),VALUE(MID(Base_Bruta!C1646,4,2)),VALUE(LEFT(Base_Bruta!C1646,2))))))</f>
        <v>45792</v>
      </c>
      <c r="D1646" s="4" t="str">
        <f aca="false">IF($A1646="","",TRIM(Base_Bruta!D1646))</f>
        <v>Cinema Savassi - Sessões</v>
      </c>
      <c r="E1646" s="4" t="str">
        <f aca="false">IF($A1646="","",_xlfn.XLOOKUP(LOWER(TRIM(Base_Bruta!E1646)),DePara_Categoria!$A$2:$A$9,DePara_Categoria!$B$2:$B$9,"REVISAR"))</f>
        <v>Cinema</v>
      </c>
      <c r="F1646" s="4" t="str">
        <f aca="false">IF($A1646="","",_xlfn.XLOOKUP(LOWER(TRIM(Base_Bruta!F1646)),DePara_Cidade!$A$2:$A$29,DePara_Cidade!$B$2:$B$29,"REVISAR"))</f>
        <v>Belo Horizonte</v>
      </c>
      <c r="G1646" s="4" t="str">
        <f aca="false">IF($A1646="","",TRIM(Base_Bruta!G1646))</f>
        <v>Inteira</v>
      </c>
      <c r="H1646" s="4" t="n">
        <f aca="false">IF($A1646="","",IF(ISNUMBER(Base_Bruta!H1646),Base_Bruta!H1646,IFERROR(_xlfn.NUMBERVALUE(TRIM(SUBSTITUTE(Base_Bruta!H1646,"R$","")),",","."),0)))</f>
        <v>2</v>
      </c>
      <c r="I1646" s="6" t="n">
        <f aca="false">IF($A1646="","",IF(ISNUMBER(Base_Bruta!I1646),Base_Bruta!I1646,IFERROR(_xlfn.NUMBERVALUE(TRIM(SUBSTITUTE(Base_Bruta!I1646,"R$","")),",","."),0)))</f>
        <v>45</v>
      </c>
      <c r="J1646" s="6" t="n">
        <f aca="false">IF($A1646="","",H1646*I1646)</f>
        <v>90</v>
      </c>
      <c r="K1646" s="4" t="str">
        <f aca="false">IF($A1646="","",TRIM(Base_Bruta!J1646))</f>
        <v>Parceiro</v>
      </c>
      <c r="L1646" s="4" t="str">
        <f aca="false">IF($A1646="","",TRIM(Base_Bruta!K1646))</f>
        <v>C01443</v>
      </c>
      <c r="M1646" s="4" t="str">
        <f aca="false">IF($A1646="","",_xlfn.XLOOKUP(LOWER(TRIM(Base_Bruta!L1646)),DePara_Cidade!$A$2:$A$29,DePara_Cidade!$B$2:$B$29,"REVISAR"))</f>
        <v>Belo Horizonte</v>
      </c>
      <c r="N1646" s="4" t="str">
        <f aca="false">IF($A1646="","",UPPER(TRIM(Base_Bruta!M1646)))</f>
        <v>MG</v>
      </c>
      <c r="O1646" s="4" t="str">
        <f aca="false">IF($A1646="","",_xlfn.XLOOKUP(LOWER(TRIM(Base_Bruta!N1646)),DePara_Pais!$A$2:$A$9,DePara_Pais!$B$2:$B$9,"REVISAR"))</f>
        <v>Brasil</v>
      </c>
      <c r="P1646" s="4" t="str">
        <f aca="false">IF($A1646="","",IF(O1646&lt;&gt;"Brasil","Turista Internacional",IF(M1646=F1646,"Local","Turista Nacional")))</f>
        <v>Local</v>
      </c>
      <c r="Q1646" s="7" t="n">
        <f aca="false">IF($A1646="","",DATE(YEAR(B1646),MONTH(B1646),1))</f>
        <v>45778</v>
      </c>
      <c r="R1646" s="4" t="str">
        <f aca="false">IF($A1646="","",IF(COUNTIF($A$2:$A1646,$A1646)&gt;1,"Sim","Não"))</f>
        <v>Não</v>
      </c>
      <c r="S1646" s="4" t="str">
        <f aca="false">IF(A1646="","Descartar - Linha vazia",IF(R1646="Sim","Descartar - Duplicado",IF(OR(H1646&lt;=0,I1646&lt;=0),"Descartar - Qtd/Valor inválido","OK")))</f>
        <v>OK</v>
      </c>
      <c r="T1646" s="4" t="str">
        <f aca="false">Base_Bruta!P1646</f>
        <v>vendas_MG.csv</v>
      </c>
    </row>
    <row r="1647" customFormat="false" ht="15" hidden="false" customHeight="false" outlineLevel="0" collapsed="false">
      <c r="A1647" s="4" t="str">
        <f aca="false">IF(Base_Bruta!A1647="","",Base_Bruta!A1647)</f>
        <v>MG-000194</v>
      </c>
      <c r="B1647" s="5" t="n">
        <f aca="false">IF($A1647="","",IF(ISNUMBER(Base_Bruta!B1647),Base_Bruta!B1647,IF(MID(Base_Bruta!B1647,5,1)="-",DATE(VALUE(LEFT(Base_Bruta!B1647,4)),VALUE(MID(Base_Bruta!B1647,6,2)),VALUE(RIGHT(Base_Bruta!B1647,2))),DATE(VALUE(RIGHT(Base_Bruta!B1647,4)),VALUE(MID(Base_Bruta!B1647,4,2)),VALUE(LEFT(Base_Bruta!B1647,2))))))</f>
        <v>45793</v>
      </c>
      <c r="C1647" s="5" t="n">
        <f aca="false">IF($A1647="","",IF(ISNUMBER(Base_Bruta!C1647),Base_Bruta!C1647,IF(MID(Base_Bruta!C1647,5,1)="-",DATE(VALUE(LEFT(Base_Bruta!C1647,4)),VALUE(MID(Base_Bruta!C1647,6,2)),VALUE(RIGHT(Base_Bruta!C1647,2))),DATE(VALUE(RIGHT(Base_Bruta!C1647,4)),VALUE(MID(Base_Bruta!C1647,4,2)),VALUE(LEFT(Base_Bruta!C1647,2))))))</f>
        <v>45892</v>
      </c>
      <c r="D1647" s="4" t="str">
        <f aca="false">IF($A1647="","",TRIM(Base_Bruta!D1647))</f>
        <v>Festival Montanhas BH 2025</v>
      </c>
      <c r="E1647" s="4" t="str">
        <f aca="false">IF($A1647="","",_xlfn.XLOOKUP(LOWER(TRIM(Base_Bruta!E1647)),DePara_Categoria!$A$2:$A$9,DePara_Categoria!$B$2:$B$9,"REVISAR"))</f>
        <v>Festival</v>
      </c>
      <c r="F1647" s="4" t="str">
        <f aca="false">IF($A1647="","",_xlfn.XLOOKUP(LOWER(TRIM(Base_Bruta!F1647)),DePara_Cidade!$A$2:$A$29,DePara_Cidade!$B$2:$B$29,"REVISAR"))</f>
        <v>Belo Horizonte</v>
      </c>
      <c r="G1647" s="4" t="str">
        <f aca="false">IF($A1647="","",TRIM(Base_Bruta!G1647))</f>
        <v>Meia</v>
      </c>
      <c r="H1647" s="4" t="n">
        <f aca="false">IF($A1647="","",IF(ISNUMBER(Base_Bruta!H1647),Base_Bruta!H1647,IFERROR(_xlfn.NUMBERVALUE(TRIM(SUBSTITUTE(Base_Bruta!H1647,"R$","")),",","."),0)))</f>
        <v>1</v>
      </c>
      <c r="I1647" s="6" t="n">
        <f aca="false">IF($A1647="","",IF(ISNUMBER(Base_Bruta!I1647),Base_Bruta!I1647,IFERROR(_xlfn.NUMBERVALUE(TRIM(SUBSTITUTE(Base_Bruta!I1647,"R$","")),",","."),0)))</f>
        <v>425</v>
      </c>
      <c r="J1647" s="6" t="n">
        <f aca="false">IF($A1647="","",H1647*I1647)</f>
        <v>425</v>
      </c>
      <c r="K1647" s="4" t="str">
        <f aca="false">IF($A1647="","",TRIM(Base_Bruta!J1647))</f>
        <v>Site</v>
      </c>
      <c r="L1647" s="4" t="str">
        <f aca="false">IF($A1647="","",TRIM(Base_Bruta!K1647))</f>
        <v>C00930</v>
      </c>
      <c r="M1647" s="4" t="str">
        <f aca="false">IF($A1647="","",_xlfn.XLOOKUP(LOWER(TRIM(Base_Bruta!L1647)),DePara_Cidade!$A$2:$A$29,DePara_Cidade!$B$2:$B$29,"REVISAR"))</f>
        <v>Belo Horizonte</v>
      </c>
      <c r="N1647" s="4" t="str">
        <f aca="false">IF($A1647="","",UPPER(TRIM(Base_Bruta!M1647)))</f>
        <v>MG</v>
      </c>
      <c r="O1647" s="4" t="str">
        <f aca="false">IF($A1647="","",_xlfn.XLOOKUP(LOWER(TRIM(Base_Bruta!N1647)),DePara_Pais!$A$2:$A$9,DePara_Pais!$B$2:$B$9,"REVISAR"))</f>
        <v>Brasil</v>
      </c>
      <c r="P1647" s="4" t="str">
        <f aca="false">IF($A1647="","",IF(O1647&lt;&gt;"Brasil","Turista Internacional",IF(M1647=F1647,"Local","Turista Nacional")))</f>
        <v>Local</v>
      </c>
      <c r="Q1647" s="7" t="n">
        <f aca="false">IF($A1647="","",DATE(YEAR(B1647),MONTH(B1647),1))</f>
        <v>45778</v>
      </c>
      <c r="R1647" s="4" t="str">
        <f aca="false">IF($A1647="","",IF(COUNTIF($A$2:$A1647,$A1647)&gt;1,"Sim","Não"))</f>
        <v>Não</v>
      </c>
      <c r="S1647" s="4" t="str">
        <f aca="false">IF(A1647="","Descartar - Linha vazia",IF(R1647="Sim","Descartar - Duplicado",IF(OR(H1647&lt;=0,I1647&lt;=0),"Descartar - Qtd/Valor inválido","OK")))</f>
        <v>OK</v>
      </c>
      <c r="T1647" s="4" t="str">
        <f aca="false">Base_Bruta!P1647</f>
        <v>vendas_MG.csv</v>
      </c>
    </row>
    <row r="1648" customFormat="false" ht="15" hidden="false" customHeight="false" outlineLevel="0" collapsed="false">
      <c r="A1648" s="4" t="str">
        <f aca="false">IF(Base_Bruta!A1648="","",Base_Bruta!A1648)</f>
        <v>MG-000514</v>
      </c>
      <c r="B1648" s="5" t="n">
        <f aca="false">IF($A1648="","",IF(ISNUMBER(Base_Bruta!B1648),Base_Bruta!B1648,IF(MID(Base_Bruta!B1648,5,1)="-",DATE(VALUE(LEFT(Base_Bruta!B1648,4)),VALUE(MID(Base_Bruta!B1648,6,2)),VALUE(RIGHT(Base_Bruta!B1648,2))),DATE(VALUE(RIGHT(Base_Bruta!B1648,4)),VALUE(MID(Base_Bruta!B1648,4,2)),VALUE(LEFT(Base_Bruta!B1648,2))))))</f>
        <v>45793</v>
      </c>
      <c r="C1648" s="5" t="n">
        <f aca="false">IF($A1648="","",IF(ISNUMBER(Base_Bruta!C1648),Base_Bruta!C1648,IF(MID(Base_Bruta!C1648,5,1)="-",DATE(VALUE(LEFT(Base_Bruta!C1648,4)),VALUE(MID(Base_Bruta!C1648,6,2)),VALUE(RIGHT(Base_Bruta!C1648,2))),DATE(VALUE(RIGHT(Base_Bruta!C1648,4)),VALUE(MID(Base_Bruta!C1648,4,2)),VALUE(LEFT(Base_Bruta!C1648,2))))))</f>
        <v>45794</v>
      </c>
      <c r="D1648" s="4" t="str">
        <f aca="false">IF($A1648="","",TRIM(Base_Bruta!D1648))</f>
        <v>Cinema Savassi - Sessões</v>
      </c>
      <c r="E1648" s="4" t="str">
        <f aca="false">IF($A1648="","",_xlfn.XLOOKUP(LOWER(TRIM(Base_Bruta!E1648)),DePara_Categoria!$A$2:$A$9,DePara_Categoria!$B$2:$B$9,"REVISAR"))</f>
        <v>Cinema</v>
      </c>
      <c r="F1648" s="4" t="str">
        <f aca="false">IF($A1648="","",_xlfn.XLOOKUP(LOWER(TRIM(Base_Bruta!F1648)),DePara_Cidade!$A$2:$A$29,DePara_Cidade!$B$2:$B$29,"REVISAR"))</f>
        <v>Belo Horizonte</v>
      </c>
      <c r="G1648" s="4" t="str">
        <f aca="false">IF($A1648="","",TRIM(Base_Bruta!G1648))</f>
        <v>Meia</v>
      </c>
      <c r="H1648" s="4" t="n">
        <f aca="false">IF($A1648="","",IF(ISNUMBER(Base_Bruta!H1648),Base_Bruta!H1648,IFERROR(_xlfn.NUMBERVALUE(TRIM(SUBSTITUTE(Base_Bruta!H1648,"R$","")),",","."),0)))</f>
        <v>4</v>
      </c>
      <c r="I1648" s="6" t="n">
        <f aca="false">IF($A1648="","",IF(ISNUMBER(Base_Bruta!I1648),Base_Bruta!I1648,IFERROR(_xlfn.NUMBERVALUE(TRIM(SUBSTITUTE(Base_Bruta!I1648,"R$","")),",","."),0)))</f>
        <v>22.5</v>
      </c>
      <c r="J1648" s="6" t="n">
        <f aca="false">IF($A1648="","",H1648*I1648)</f>
        <v>90</v>
      </c>
      <c r="K1648" s="4" t="str">
        <f aca="false">IF($A1648="","",TRIM(Base_Bruta!J1648))</f>
        <v>Bilheteria</v>
      </c>
      <c r="L1648" s="4" t="str">
        <f aca="false">IF($A1648="","",TRIM(Base_Bruta!K1648))</f>
        <v>C00913</v>
      </c>
      <c r="M1648" s="4" t="str">
        <f aca="false">IF($A1648="","",_xlfn.XLOOKUP(LOWER(TRIM(Base_Bruta!L1648)),DePara_Cidade!$A$2:$A$29,DePara_Cidade!$B$2:$B$29,"REVISAR"))</f>
        <v>Porto Alegre</v>
      </c>
      <c r="N1648" s="4" t="str">
        <f aca="false">IF($A1648="","",UPPER(TRIM(Base_Bruta!M1648)))</f>
        <v>RS</v>
      </c>
      <c r="O1648" s="4" t="str">
        <f aca="false">IF($A1648="","",_xlfn.XLOOKUP(LOWER(TRIM(Base_Bruta!N1648)),DePara_Pais!$A$2:$A$9,DePara_Pais!$B$2:$B$9,"REVISAR"))</f>
        <v>Brasil</v>
      </c>
      <c r="P1648" s="4" t="str">
        <f aca="false">IF($A1648="","",IF(O1648&lt;&gt;"Brasil","Turista Internacional",IF(M1648=F1648,"Local","Turista Nacional")))</f>
        <v>Turista Nacional</v>
      </c>
      <c r="Q1648" s="7" t="n">
        <f aca="false">IF($A1648="","",DATE(YEAR(B1648),MONTH(B1648),1))</f>
        <v>45778</v>
      </c>
      <c r="R1648" s="4" t="str">
        <f aca="false">IF($A1648="","",IF(COUNTIF($A$2:$A1648,$A1648)&gt;1,"Sim","Não"))</f>
        <v>Não</v>
      </c>
      <c r="S1648" s="4" t="str">
        <f aca="false">IF(A1648="","Descartar - Linha vazia",IF(R1648="Sim","Descartar - Duplicado",IF(OR(H1648&lt;=0,I1648&lt;=0),"Descartar - Qtd/Valor inválido","OK")))</f>
        <v>OK</v>
      </c>
      <c r="T1648" s="4" t="str">
        <f aca="false">Base_Bruta!P1648</f>
        <v>vendas_MG.csv</v>
      </c>
    </row>
    <row r="1649" customFormat="false" ht="15" hidden="false" customHeight="false" outlineLevel="0" collapsed="false">
      <c r="A1649" s="4" t="str">
        <f aca="false">IF(Base_Bruta!A1649="","",Base_Bruta!A1649)</f>
        <v>MG-000152</v>
      </c>
      <c r="B1649" s="5" t="n">
        <f aca="false">IF($A1649="","",IF(ISNUMBER(Base_Bruta!B1649),Base_Bruta!B1649,IF(MID(Base_Bruta!B1649,5,1)="-",DATE(VALUE(LEFT(Base_Bruta!B1649,4)),VALUE(MID(Base_Bruta!B1649,6,2)),VALUE(RIGHT(Base_Bruta!B1649,2))),DATE(VALUE(RIGHT(Base_Bruta!B1649,4)),VALUE(MID(Base_Bruta!B1649,4,2)),VALUE(LEFT(Base_Bruta!B1649,2))))))</f>
        <v>45795</v>
      </c>
      <c r="C1649" s="5" t="n">
        <f aca="false">IF($A1649="","",IF(ISNUMBER(Base_Bruta!C1649),Base_Bruta!C1649,IF(MID(Base_Bruta!C1649,5,1)="-",DATE(VALUE(LEFT(Base_Bruta!C1649,4)),VALUE(MID(Base_Bruta!C1649,6,2)),VALUE(RIGHT(Base_Bruta!C1649,2))),DATE(VALUE(RIGHT(Base_Bruta!C1649,4)),VALUE(MID(Base_Bruta!C1649,4,2)),VALUE(LEFT(Base_Bruta!C1649,2))))))</f>
        <v>45892</v>
      </c>
      <c r="D1649" s="4" t="str">
        <f aca="false">IF($A1649="","",TRIM(Base_Bruta!D1649))</f>
        <v>Festival Montanhas BH 2025</v>
      </c>
      <c r="E1649" s="4" t="str">
        <f aca="false">IF($A1649="","",_xlfn.XLOOKUP(LOWER(TRIM(Base_Bruta!E1649)),DePara_Categoria!$A$2:$A$9,DePara_Categoria!$B$2:$B$9,"REVISAR"))</f>
        <v>Festival</v>
      </c>
      <c r="F1649" s="4" t="str">
        <f aca="false">IF($A1649="","",_xlfn.XLOOKUP(LOWER(TRIM(Base_Bruta!F1649)),DePara_Cidade!$A$2:$A$29,DePara_Cidade!$B$2:$B$29,"REVISAR"))</f>
        <v>Belo Horizonte</v>
      </c>
      <c r="G1649" s="4" t="str">
        <f aca="false">IF($A1649="","",TRIM(Base_Bruta!G1649))</f>
        <v>Meia</v>
      </c>
      <c r="H1649" s="4" t="n">
        <f aca="false">IF($A1649="","",IF(ISNUMBER(Base_Bruta!H1649),Base_Bruta!H1649,IFERROR(_xlfn.NUMBERVALUE(TRIM(SUBSTITUTE(Base_Bruta!H1649,"R$","")),",","."),0)))</f>
        <v>4</v>
      </c>
      <c r="I1649" s="6" t="n">
        <f aca="false">IF($A1649="","",IF(ISNUMBER(Base_Bruta!I1649),Base_Bruta!I1649,IFERROR(_xlfn.NUMBERVALUE(TRIM(SUBSTITUTE(Base_Bruta!I1649,"R$","")),",","."),0)))</f>
        <v>490</v>
      </c>
      <c r="J1649" s="6" t="n">
        <f aca="false">IF($A1649="","",H1649*I1649)</f>
        <v>1960</v>
      </c>
      <c r="K1649" s="4" t="str">
        <f aca="false">IF($A1649="","",TRIM(Base_Bruta!J1649))</f>
        <v>App</v>
      </c>
      <c r="L1649" s="4" t="str">
        <f aca="false">IF($A1649="","",TRIM(Base_Bruta!K1649))</f>
        <v>C01329</v>
      </c>
      <c r="M1649" s="4" t="str">
        <f aca="false">IF($A1649="","",_xlfn.XLOOKUP(LOWER(TRIM(Base_Bruta!L1649)),DePara_Cidade!$A$2:$A$29,DePara_Cidade!$B$2:$B$29,"REVISAR"))</f>
        <v>Contagem</v>
      </c>
      <c r="N1649" s="4" t="str">
        <f aca="false">IF($A1649="","",UPPER(TRIM(Base_Bruta!M1649)))</f>
        <v>MG</v>
      </c>
      <c r="O1649" s="4" t="str">
        <f aca="false">IF($A1649="","",_xlfn.XLOOKUP(LOWER(TRIM(Base_Bruta!N1649)),DePara_Pais!$A$2:$A$9,DePara_Pais!$B$2:$B$9,"REVISAR"))</f>
        <v>Brasil</v>
      </c>
      <c r="P1649" s="4" t="str">
        <f aca="false">IF($A1649="","",IF(O1649&lt;&gt;"Brasil","Turista Internacional",IF(M1649=F1649,"Local","Turista Nacional")))</f>
        <v>Turista Nacional</v>
      </c>
      <c r="Q1649" s="7" t="n">
        <f aca="false">IF($A1649="","",DATE(YEAR(B1649),MONTH(B1649),1))</f>
        <v>45778</v>
      </c>
      <c r="R1649" s="4" t="str">
        <f aca="false">IF($A1649="","",IF(COUNTIF($A$2:$A1649,$A1649)&gt;1,"Sim","Não"))</f>
        <v>Não</v>
      </c>
      <c r="S1649" s="4" t="str">
        <f aca="false">IF(A1649="","Descartar - Linha vazia",IF(R1649="Sim","Descartar - Duplicado",IF(OR(H1649&lt;=0,I1649&lt;=0),"Descartar - Qtd/Valor inválido","OK")))</f>
        <v>OK</v>
      </c>
      <c r="T1649" s="4" t="str">
        <f aca="false">Base_Bruta!P1649</f>
        <v>vendas_MG.csv</v>
      </c>
    </row>
    <row r="1650" customFormat="false" ht="15" hidden="false" customHeight="false" outlineLevel="0" collapsed="false">
      <c r="A1650" s="4" t="str">
        <f aca="false">IF(Base_Bruta!A1650="","",Base_Bruta!A1650)</f>
        <v>MG-000161</v>
      </c>
      <c r="B1650" s="5" t="n">
        <f aca="false">IF($A1650="","",IF(ISNUMBER(Base_Bruta!B1650),Base_Bruta!B1650,IF(MID(Base_Bruta!B1650,5,1)="-",DATE(VALUE(LEFT(Base_Bruta!B1650,4)),VALUE(MID(Base_Bruta!B1650,6,2)),VALUE(RIGHT(Base_Bruta!B1650,2))),DATE(VALUE(RIGHT(Base_Bruta!B1650,4)),VALUE(MID(Base_Bruta!B1650,4,2)),VALUE(LEFT(Base_Bruta!B1650,2))))))</f>
        <v>45795</v>
      </c>
      <c r="C1650" s="5" t="n">
        <f aca="false">IF($A1650="","",IF(ISNUMBER(Base_Bruta!C1650),Base_Bruta!C1650,IF(MID(Base_Bruta!C1650,5,1)="-",DATE(VALUE(LEFT(Base_Bruta!C1650,4)),VALUE(MID(Base_Bruta!C1650,6,2)),VALUE(RIGHT(Base_Bruta!C1650,2))),DATE(VALUE(RIGHT(Base_Bruta!C1650,4)),VALUE(MID(Base_Bruta!C1650,4,2)),VALUE(LEFT(Base_Bruta!C1650,2))))))</f>
        <v>45892</v>
      </c>
      <c r="D1650" s="4" t="str">
        <f aca="false">IF($A1650="","",TRIM(Base_Bruta!D1650))</f>
        <v>Festival Montanhas BH 2025</v>
      </c>
      <c r="E1650" s="4" t="str">
        <f aca="false">IF($A1650="","",_xlfn.XLOOKUP(LOWER(TRIM(Base_Bruta!E1650)),DePara_Categoria!$A$2:$A$9,DePara_Categoria!$B$2:$B$9,"REVISAR"))</f>
        <v>Festival</v>
      </c>
      <c r="F1650" s="4" t="str">
        <f aca="false">IF($A1650="","",_xlfn.XLOOKUP(LOWER(TRIM(Base_Bruta!F1650)),DePara_Cidade!$A$2:$A$29,DePara_Cidade!$B$2:$B$29,"REVISAR"))</f>
        <v>Belo Horizonte</v>
      </c>
      <c r="G1650" s="4" t="str">
        <f aca="false">IF($A1650="","",TRIM(Base_Bruta!G1650))</f>
        <v>Inteira</v>
      </c>
      <c r="H1650" s="4" t="n">
        <f aca="false">IF($A1650="","",IF(ISNUMBER(Base_Bruta!H1650),Base_Bruta!H1650,IFERROR(_xlfn.NUMBERVALUE(TRIM(SUBSTITUTE(Base_Bruta!H1650,"R$","")),",","."),0)))</f>
        <v>1</v>
      </c>
      <c r="I1650" s="6" t="n">
        <f aca="false">IF($A1650="","",IF(ISNUMBER(Base_Bruta!I1650),Base_Bruta!I1650,IFERROR(_xlfn.NUMBERVALUE(TRIM(SUBSTITUTE(Base_Bruta!I1650,"R$","")),",","."),0)))</f>
        <v>710</v>
      </c>
      <c r="J1650" s="6" t="n">
        <f aca="false">IF($A1650="","",H1650*I1650)</f>
        <v>710</v>
      </c>
      <c r="K1650" s="4" t="str">
        <f aca="false">IF($A1650="","",TRIM(Base_Bruta!J1650))</f>
        <v>Parceiro</v>
      </c>
      <c r="L1650" s="4" t="str">
        <f aca="false">IF($A1650="","",TRIM(Base_Bruta!K1650))</f>
        <v>C02219</v>
      </c>
      <c r="M1650" s="4" t="str">
        <f aca="false">IF($A1650="","",_xlfn.XLOOKUP(LOWER(TRIM(Base_Bruta!L1650)),DePara_Cidade!$A$2:$A$29,DePara_Cidade!$B$2:$B$29,"REVISAR"))</f>
        <v>Campinas</v>
      </c>
      <c r="N1650" s="4" t="str">
        <f aca="false">IF($A1650="","",UPPER(TRIM(Base_Bruta!M1650)))</f>
        <v>SP</v>
      </c>
      <c r="O1650" s="4" t="str">
        <f aca="false">IF($A1650="","",_xlfn.XLOOKUP(LOWER(TRIM(Base_Bruta!N1650)),DePara_Pais!$A$2:$A$9,DePara_Pais!$B$2:$B$9,"REVISAR"))</f>
        <v>Brasil</v>
      </c>
      <c r="P1650" s="4" t="str">
        <f aca="false">IF($A1650="","",IF(O1650&lt;&gt;"Brasil","Turista Internacional",IF(M1650=F1650,"Local","Turista Nacional")))</f>
        <v>Turista Nacional</v>
      </c>
      <c r="Q1650" s="7" t="n">
        <f aca="false">IF($A1650="","",DATE(YEAR(B1650),MONTH(B1650),1))</f>
        <v>45778</v>
      </c>
      <c r="R1650" s="4" t="str">
        <f aca="false">IF($A1650="","",IF(COUNTIF($A$2:$A1650,$A1650)&gt;1,"Sim","Não"))</f>
        <v>Não</v>
      </c>
      <c r="S1650" s="4" t="str">
        <f aca="false">IF(A1650="","Descartar - Linha vazia",IF(R1650="Sim","Descartar - Duplicado",IF(OR(H1650&lt;=0,I1650&lt;=0),"Descartar - Qtd/Valor inválido","OK")))</f>
        <v>OK</v>
      </c>
      <c r="T1650" s="4" t="str">
        <f aca="false">Base_Bruta!P1650</f>
        <v>vendas_MG.csv</v>
      </c>
    </row>
    <row r="1651" customFormat="false" ht="15" hidden="false" customHeight="false" outlineLevel="0" collapsed="false">
      <c r="A1651" s="4" t="str">
        <f aca="false">IF(Base_Bruta!A1651="","",Base_Bruta!A1651)</f>
        <v>MG-000165</v>
      </c>
      <c r="B1651" s="5" t="n">
        <f aca="false">IF($A1651="","",IF(ISNUMBER(Base_Bruta!B1651),Base_Bruta!B1651,IF(MID(Base_Bruta!B1651,5,1)="-",DATE(VALUE(LEFT(Base_Bruta!B1651,4)),VALUE(MID(Base_Bruta!B1651,6,2)),VALUE(RIGHT(Base_Bruta!B1651,2))),DATE(VALUE(RIGHT(Base_Bruta!B1651,4)),VALUE(MID(Base_Bruta!B1651,4,2)),VALUE(LEFT(Base_Bruta!B1651,2))))))</f>
        <v>45795</v>
      </c>
      <c r="C1651" s="5" t="n">
        <f aca="false">IF($A1651="","",IF(ISNUMBER(Base_Bruta!C1651),Base_Bruta!C1651,IF(MID(Base_Bruta!C1651,5,1)="-",DATE(VALUE(LEFT(Base_Bruta!C1651,4)),VALUE(MID(Base_Bruta!C1651,6,2)),VALUE(RIGHT(Base_Bruta!C1651,2))),DATE(VALUE(RIGHT(Base_Bruta!C1651,4)),VALUE(MID(Base_Bruta!C1651,4,2)),VALUE(LEFT(Base_Bruta!C1651,2))))))</f>
        <v>45892</v>
      </c>
      <c r="D1651" s="4" t="str">
        <f aca="false">IF($A1651="","",TRIM(Base_Bruta!D1651))</f>
        <v>Festival Montanhas BH 2025</v>
      </c>
      <c r="E1651" s="4" t="str">
        <f aca="false">IF($A1651="","",_xlfn.XLOOKUP(LOWER(TRIM(Base_Bruta!E1651)),DePara_Categoria!$A$2:$A$9,DePara_Categoria!$B$2:$B$9,"REVISAR"))</f>
        <v>Festival</v>
      </c>
      <c r="F1651" s="4" t="str">
        <f aca="false">IF($A1651="","",_xlfn.XLOOKUP(LOWER(TRIM(Base_Bruta!F1651)),DePara_Cidade!$A$2:$A$29,DePara_Cidade!$B$2:$B$29,"REVISAR"))</f>
        <v>Belo Horizonte</v>
      </c>
      <c r="G1651" s="4" t="str">
        <f aca="false">IF($A1651="","",TRIM(Base_Bruta!G1651))</f>
        <v>Inteira</v>
      </c>
      <c r="H1651" s="4" t="n">
        <f aca="false">IF($A1651="","",IF(ISNUMBER(Base_Bruta!H1651),Base_Bruta!H1651,IFERROR(_xlfn.NUMBERVALUE(TRIM(SUBSTITUTE(Base_Bruta!H1651,"R$","")),",","."),0)))</f>
        <v>1</v>
      </c>
      <c r="I1651" s="6" t="n">
        <f aca="false">IF($A1651="","",IF(ISNUMBER(Base_Bruta!I1651),Base_Bruta!I1651,IFERROR(_xlfn.NUMBERVALUE(TRIM(SUBSTITUTE(Base_Bruta!I1651,"R$","")),",","."),0)))</f>
        <v>1145</v>
      </c>
      <c r="J1651" s="6" t="n">
        <f aca="false">IF($A1651="","",H1651*I1651)</f>
        <v>1145</v>
      </c>
      <c r="K1651" s="4" t="str">
        <f aca="false">IF($A1651="","",TRIM(Base_Bruta!J1651))</f>
        <v>Bilheteria</v>
      </c>
      <c r="L1651" s="4" t="str">
        <f aca="false">IF($A1651="","",TRIM(Base_Bruta!K1651))</f>
        <v>C01316</v>
      </c>
      <c r="M1651" s="4" t="str">
        <f aca="false">IF($A1651="","",_xlfn.XLOOKUP(LOWER(TRIM(Base_Bruta!L1651)),DePara_Cidade!$A$2:$A$29,DePara_Cidade!$B$2:$B$29,"REVISAR"))</f>
        <v>Belo Horizonte</v>
      </c>
      <c r="N1651" s="4" t="str">
        <f aca="false">IF($A1651="","",UPPER(TRIM(Base_Bruta!M1651)))</f>
        <v>MG</v>
      </c>
      <c r="O1651" s="4" t="str">
        <f aca="false">IF($A1651="","",_xlfn.XLOOKUP(LOWER(TRIM(Base_Bruta!N1651)),DePara_Pais!$A$2:$A$9,DePara_Pais!$B$2:$B$9,"REVISAR"))</f>
        <v>Brasil</v>
      </c>
      <c r="P1651" s="4" t="str">
        <f aca="false">IF($A1651="","",IF(O1651&lt;&gt;"Brasil","Turista Internacional",IF(M1651=F1651,"Local","Turista Nacional")))</f>
        <v>Local</v>
      </c>
      <c r="Q1651" s="7" t="n">
        <f aca="false">IF($A1651="","",DATE(YEAR(B1651),MONTH(B1651),1))</f>
        <v>45778</v>
      </c>
      <c r="R1651" s="4" t="str">
        <f aca="false">IF($A1651="","",IF(COUNTIF($A$2:$A1651,$A1651)&gt;1,"Sim","Não"))</f>
        <v>Não</v>
      </c>
      <c r="S1651" s="4" t="str">
        <f aca="false">IF(A1651="","Descartar - Linha vazia",IF(R1651="Sim","Descartar - Duplicado",IF(OR(H1651&lt;=0,I1651&lt;=0),"Descartar - Qtd/Valor inválido","OK")))</f>
        <v>OK</v>
      </c>
      <c r="T1651" s="4" t="str">
        <f aca="false">Base_Bruta!P1651</f>
        <v>vendas_MG.csv</v>
      </c>
    </row>
    <row r="1652" customFormat="false" ht="15" hidden="false" customHeight="false" outlineLevel="0" collapsed="false">
      <c r="A1652" s="4" t="str">
        <f aca="false">IF(Base_Bruta!A1652="","",Base_Bruta!A1652)</f>
        <v>MG-000228</v>
      </c>
      <c r="B1652" s="5" t="n">
        <f aca="false">IF($A1652="","",IF(ISNUMBER(Base_Bruta!B1652),Base_Bruta!B1652,IF(MID(Base_Bruta!B1652,5,1)="-",DATE(VALUE(LEFT(Base_Bruta!B1652,4)),VALUE(MID(Base_Bruta!B1652,6,2)),VALUE(RIGHT(Base_Bruta!B1652,2))),DATE(VALUE(RIGHT(Base_Bruta!B1652,4)),VALUE(MID(Base_Bruta!B1652,4,2)),VALUE(LEFT(Base_Bruta!B1652,2))))))</f>
        <v>45796</v>
      </c>
      <c r="C1652" s="5" t="n">
        <f aca="false">IF($A1652="","",IF(ISNUMBER(Base_Bruta!C1652),Base_Bruta!C1652,IF(MID(Base_Bruta!C1652,5,1)="-",DATE(VALUE(LEFT(Base_Bruta!C1652,4)),VALUE(MID(Base_Bruta!C1652,6,2)),VALUE(RIGHT(Base_Bruta!C1652,2))),DATE(VALUE(RIGHT(Base_Bruta!C1652,4)),VALUE(MID(Base_Bruta!C1652,4,2)),VALUE(LEFT(Base_Bruta!C1652,2))))))</f>
        <v>45892</v>
      </c>
      <c r="D1652" s="4" t="str">
        <f aca="false">IF($A1652="","",TRIM(Base_Bruta!D1652))</f>
        <v>Festival Montanhas BH 2025</v>
      </c>
      <c r="E1652" s="4" t="str">
        <f aca="false">IF($A1652="","",_xlfn.XLOOKUP(LOWER(TRIM(Base_Bruta!E1652)),DePara_Categoria!$A$2:$A$9,DePara_Categoria!$B$2:$B$9,"REVISAR"))</f>
        <v>Festival</v>
      </c>
      <c r="F1652" s="4" t="str">
        <f aca="false">IF($A1652="","",_xlfn.XLOOKUP(LOWER(TRIM(Base_Bruta!F1652)),DePara_Cidade!$A$2:$A$29,DePara_Cidade!$B$2:$B$29,"REVISAR"))</f>
        <v>Belo Horizonte</v>
      </c>
      <c r="G1652" s="4" t="str">
        <f aca="false">IF($A1652="","",TRIM(Base_Bruta!G1652))</f>
        <v>Meia</v>
      </c>
      <c r="H1652" s="4" t="n">
        <f aca="false">IF($A1652="","",IF(ISNUMBER(Base_Bruta!H1652),Base_Bruta!H1652,IFERROR(_xlfn.NUMBERVALUE(TRIM(SUBSTITUTE(Base_Bruta!H1652,"R$","")),",","."),0)))</f>
        <v>2</v>
      </c>
      <c r="I1652" s="6" t="n">
        <f aca="false">IF($A1652="","",IF(ISNUMBER(Base_Bruta!I1652),Base_Bruta!I1652,IFERROR(_xlfn.NUMBERVALUE(TRIM(SUBSTITUTE(Base_Bruta!I1652,"R$","")),",","."),0)))</f>
        <v>397.5</v>
      </c>
      <c r="J1652" s="6" t="n">
        <f aca="false">IF($A1652="","",H1652*I1652)</f>
        <v>795</v>
      </c>
      <c r="K1652" s="4" t="str">
        <f aca="false">IF($A1652="","",TRIM(Base_Bruta!J1652))</f>
        <v>App</v>
      </c>
      <c r="L1652" s="4" t="str">
        <f aca="false">IF($A1652="","",TRIM(Base_Bruta!K1652))</f>
        <v>C01928</v>
      </c>
      <c r="M1652" s="4" t="str">
        <f aca="false">IF($A1652="","",_xlfn.XLOOKUP(LOWER(TRIM(Base_Bruta!L1652)),DePara_Cidade!$A$2:$A$29,DePara_Cidade!$B$2:$B$29,"REVISAR"))</f>
        <v>Belo Horizonte</v>
      </c>
      <c r="N1652" s="4" t="str">
        <f aca="false">IF($A1652="","",UPPER(TRIM(Base_Bruta!M1652)))</f>
        <v>MG</v>
      </c>
      <c r="O1652" s="4" t="str">
        <f aca="false">IF($A1652="","",_xlfn.XLOOKUP(LOWER(TRIM(Base_Bruta!N1652)),DePara_Pais!$A$2:$A$9,DePara_Pais!$B$2:$B$9,"REVISAR"))</f>
        <v>Brasil</v>
      </c>
      <c r="P1652" s="4" t="str">
        <f aca="false">IF($A1652="","",IF(O1652&lt;&gt;"Brasil","Turista Internacional",IF(M1652=F1652,"Local","Turista Nacional")))</f>
        <v>Local</v>
      </c>
      <c r="Q1652" s="7" t="n">
        <f aca="false">IF($A1652="","",DATE(YEAR(B1652),MONTH(B1652),1))</f>
        <v>45778</v>
      </c>
      <c r="R1652" s="4" t="str">
        <f aca="false">IF($A1652="","",IF(COUNTIF($A$2:$A1652,$A1652)&gt;1,"Sim","Não"))</f>
        <v>Não</v>
      </c>
      <c r="S1652" s="4" t="str">
        <f aca="false">IF(A1652="","Descartar - Linha vazia",IF(R1652="Sim","Descartar - Duplicado",IF(OR(H1652&lt;=0,I1652&lt;=0),"Descartar - Qtd/Valor inválido","OK")))</f>
        <v>OK</v>
      </c>
      <c r="T1652" s="4" t="str">
        <f aca="false">Base_Bruta!P1652</f>
        <v>vendas_MG.csv</v>
      </c>
    </row>
    <row r="1653" customFormat="false" ht="15" hidden="false" customHeight="false" outlineLevel="0" collapsed="false">
      <c r="A1653" s="4" t="str">
        <f aca="false">IF(Base_Bruta!A1653="","",Base_Bruta!A1653)</f>
        <v>MG-000093</v>
      </c>
      <c r="B1653" s="5" t="n">
        <f aca="false">IF($A1653="","",IF(ISNUMBER(Base_Bruta!B1653),Base_Bruta!B1653,IF(MID(Base_Bruta!B1653,5,1)="-",DATE(VALUE(LEFT(Base_Bruta!B1653,4)),VALUE(MID(Base_Bruta!B1653,6,2)),VALUE(RIGHT(Base_Bruta!B1653,2))),DATE(VALUE(RIGHT(Base_Bruta!B1653,4)),VALUE(MID(Base_Bruta!B1653,4,2)),VALUE(LEFT(Base_Bruta!B1653,2))))))</f>
        <v>45797</v>
      </c>
      <c r="C1653" s="5" t="n">
        <f aca="false">IF($A1653="","",IF(ISNUMBER(Base_Bruta!C1653),Base_Bruta!C1653,IF(MID(Base_Bruta!C1653,5,1)="-",DATE(VALUE(LEFT(Base_Bruta!C1653,4)),VALUE(MID(Base_Bruta!C1653,6,2)),VALUE(RIGHT(Base_Bruta!C1653,2))),DATE(VALUE(RIGHT(Base_Bruta!C1653,4)),VALUE(MID(Base_Bruta!C1653,4,2)),VALUE(LEFT(Base_Bruta!C1653,2))))))</f>
        <v>45892</v>
      </c>
      <c r="D1653" s="4" t="str">
        <f aca="false">IF($A1653="","",TRIM(Base_Bruta!D1653))</f>
        <v>Festival Montanhas BH 2025</v>
      </c>
      <c r="E1653" s="4" t="str">
        <f aca="false">IF($A1653="","",_xlfn.XLOOKUP(LOWER(TRIM(Base_Bruta!E1653)),DePara_Categoria!$A$2:$A$9,DePara_Categoria!$B$2:$B$9,"REVISAR"))</f>
        <v>Festival</v>
      </c>
      <c r="F1653" s="4" t="str">
        <f aca="false">IF($A1653="","",_xlfn.XLOOKUP(LOWER(TRIM(Base_Bruta!F1653)),DePara_Cidade!$A$2:$A$29,DePara_Cidade!$B$2:$B$29,"REVISAR"))</f>
        <v>Belo Horizonte</v>
      </c>
      <c r="G1653" s="4" t="str">
        <f aca="false">IF($A1653="","",TRIM(Base_Bruta!G1653))</f>
        <v>Inteira</v>
      </c>
      <c r="H1653" s="4" t="n">
        <f aca="false">IF($A1653="","",IF(ISNUMBER(Base_Bruta!H1653),Base_Bruta!H1653,IFERROR(_xlfn.NUMBERVALUE(TRIM(SUBSTITUTE(Base_Bruta!H1653,"R$","")),",","."),0)))</f>
        <v>1</v>
      </c>
      <c r="I1653" s="6" t="n">
        <f aca="false">IF($A1653="","",IF(ISNUMBER(Base_Bruta!I1653),Base_Bruta!I1653,IFERROR(_xlfn.NUMBERVALUE(TRIM(SUBSTITUTE(Base_Bruta!I1653,"R$","")),",","."),0)))</f>
        <v>1125</v>
      </c>
      <c r="J1653" s="6" t="n">
        <f aca="false">IF($A1653="","",H1653*I1653)</f>
        <v>1125</v>
      </c>
      <c r="K1653" s="4" t="str">
        <f aca="false">IF($A1653="","",TRIM(Base_Bruta!J1653))</f>
        <v>App</v>
      </c>
      <c r="L1653" s="4" t="str">
        <f aca="false">IF($A1653="","",TRIM(Base_Bruta!K1653))</f>
        <v>C00113</v>
      </c>
      <c r="M1653" s="4" t="str">
        <f aca="false">IF($A1653="","",_xlfn.XLOOKUP(LOWER(TRIM(Base_Bruta!L1653)),DePara_Cidade!$A$2:$A$29,DePara_Cidade!$B$2:$B$29,"REVISAR"))</f>
        <v>Belo Horizonte</v>
      </c>
      <c r="N1653" s="4" t="str">
        <f aca="false">IF($A1653="","",UPPER(TRIM(Base_Bruta!M1653)))</f>
        <v>MG</v>
      </c>
      <c r="O1653" s="4" t="str">
        <f aca="false">IF($A1653="","",_xlfn.XLOOKUP(LOWER(TRIM(Base_Bruta!N1653)),DePara_Pais!$A$2:$A$9,DePara_Pais!$B$2:$B$9,"REVISAR"))</f>
        <v>Brasil</v>
      </c>
      <c r="P1653" s="4" t="str">
        <f aca="false">IF($A1653="","",IF(O1653&lt;&gt;"Brasil","Turista Internacional",IF(M1653=F1653,"Local","Turista Nacional")))</f>
        <v>Local</v>
      </c>
      <c r="Q1653" s="7" t="n">
        <f aca="false">IF($A1653="","",DATE(YEAR(B1653),MONTH(B1653),1))</f>
        <v>45778</v>
      </c>
      <c r="R1653" s="4" t="str">
        <f aca="false">IF($A1653="","",IF(COUNTIF($A$2:$A1653,$A1653)&gt;1,"Sim","Não"))</f>
        <v>Não</v>
      </c>
      <c r="S1653" s="4" t="str">
        <f aca="false">IF(A1653="","Descartar - Linha vazia",IF(R1653="Sim","Descartar - Duplicado",IF(OR(H1653&lt;=0,I1653&lt;=0),"Descartar - Qtd/Valor inválido","OK")))</f>
        <v>OK</v>
      </c>
      <c r="T1653" s="4" t="str">
        <f aca="false">Base_Bruta!P1653</f>
        <v>vendas_MG.csv</v>
      </c>
    </row>
    <row r="1654" customFormat="false" ht="15" hidden="false" customHeight="false" outlineLevel="0" collapsed="false">
      <c r="A1654" s="4" t="str">
        <f aca="false">IF(Base_Bruta!A1654="","",Base_Bruta!A1654)</f>
        <v>MG-000489</v>
      </c>
      <c r="B1654" s="5" t="n">
        <f aca="false">IF($A1654="","",IF(ISNUMBER(Base_Bruta!B1654),Base_Bruta!B1654,IF(MID(Base_Bruta!B1654,5,1)="-",DATE(VALUE(LEFT(Base_Bruta!B1654,4)),VALUE(MID(Base_Bruta!B1654,6,2)),VALUE(RIGHT(Base_Bruta!B1654,2))),DATE(VALUE(RIGHT(Base_Bruta!B1654,4)),VALUE(MID(Base_Bruta!B1654,4,2)),VALUE(LEFT(Base_Bruta!B1654,2))))))</f>
        <v>45798</v>
      </c>
      <c r="C1654" s="5" t="n">
        <f aca="false">IF($A1654="","",IF(ISNUMBER(Base_Bruta!C1654),Base_Bruta!C1654,IF(MID(Base_Bruta!C1654,5,1)="-",DATE(VALUE(LEFT(Base_Bruta!C1654,4)),VALUE(MID(Base_Bruta!C1654,6,2)),VALUE(RIGHT(Base_Bruta!C1654,2))),DATE(VALUE(RIGHT(Base_Bruta!C1654,4)),VALUE(MID(Base_Bruta!C1654,4,2)),VALUE(LEFT(Base_Bruta!C1654,2))))))</f>
        <v>45801</v>
      </c>
      <c r="D1654" s="4" t="str">
        <f aca="false">IF($A1654="","",TRIM(Base_Bruta!D1654))</f>
        <v>Cinema Savassi - Sessões</v>
      </c>
      <c r="E1654" s="4" t="str">
        <f aca="false">IF($A1654="","",_xlfn.XLOOKUP(LOWER(TRIM(Base_Bruta!E1654)),DePara_Categoria!$A$2:$A$9,DePara_Categoria!$B$2:$B$9,"REVISAR"))</f>
        <v>Cinema</v>
      </c>
      <c r="F1654" s="4" t="str">
        <f aca="false">IF($A1654="","",_xlfn.XLOOKUP(LOWER(TRIM(Base_Bruta!F1654)),DePara_Cidade!$A$2:$A$29,DePara_Cidade!$B$2:$B$29,"REVISAR"))</f>
        <v>Belo Horizonte</v>
      </c>
      <c r="G1654" s="4" t="str">
        <f aca="false">IF($A1654="","",TRIM(Base_Bruta!G1654))</f>
        <v>Inteira</v>
      </c>
      <c r="H1654" s="4" t="n">
        <f aca="false">IF($A1654="","",IF(ISNUMBER(Base_Bruta!H1654),Base_Bruta!H1654,IFERROR(_xlfn.NUMBERVALUE(TRIM(SUBSTITUTE(Base_Bruta!H1654,"R$","")),",","."),0)))</f>
        <v>2</v>
      </c>
      <c r="I1654" s="6" t="n">
        <f aca="false">IF($A1654="","",IF(ISNUMBER(Base_Bruta!I1654),Base_Bruta!I1654,IFERROR(_xlfn.NUMBERVALUE(TRIM(SUBSTITUTE(Base_Bruta!I1654,"R$","")),",","."),0)))</f>
        <v>40</v>
      </c>
      <c r="J1654" s="6" t="n">
        <f aca="false">IF($A1654="","",H1654*I1654)</f>
        <v>80</v>
      </c>
      <c r="K1654" s="4" t="str">
        <f aca="false">IF($A1654="","",TRIM(Base_Bruta!J1654))</f>
        <v>App</v>
      </c>
      <c r="L1654" s="4" t="str">
        <f aca="false">IF($A1654="","",TRIM(Base_Bruta!K1654))</f>
        <v>C00623</v>
      </c>
      <c r="M1654" s="4" t="str">
        <f aca="false">IF($A1654="","",_xlfn.XLOOKUP(LOWER(TRIM(Base_Bruta!L1654)),DePara_Cidade!$A$2:$A$29,DePara_Cidade!$B$2:$B$29,"REVISAR"))</f>
        <v>Belo Horizonte</v>
      </c>
      <c r="N1654" s="4" t="str">
        <f aca="false">IF($A1654="","",UPPER(TRIM(Base_Bruta!M1654)))</f>
        <v>MG</v>
      </c>
      <c r="O1654" s="4" t="str">
        <f aca="false">IF($A1654="","",_xlfn.XLOOKUP(LOWER(TRIM(Base_Bruta!N1654)),DePara_Pais!$A$2:$A$9,DePara_Pais!$B$2:$B$9,"REVISAR"))</f>
        <v>Brasil</v>
      </c>
      <c r="P1654" s="4" t="str">
        <f aca="false">IF($A1654="","",IF(O1654&lt;&gt;"Brasil","Turista Internacional",IF(M1654=F1654,"Local","Turista Nacional")))</f>
        <v>Local</v>
      </c>
      <c r="Q1654" s="7" t="n">
        <f aca="false">IF($A1654="","",DATE(YEAR(B1654),MONTH(B1654),1))</f>
        <v>45778</v>
      </c>
      <c r="R1654" s="4" t="str">
        <f aca="false">IF($A1654="","",IF(COUNTIF($A$2:$A1654,$A1654)&gt;1,"Sim","Não"))</f>
        <v>Não</v>
      </c>
      <c r="S1654" s="4" t="str">
        <f aca="false">IF(A1654="","Descartar - Linha vazia",IF(R1654="Sim","Descartar - Duplicado",IF(OR(H1654&lt;=0,I1654&lt;=0),"Descartar - Qtd/Valor inválido","OK")))</f>
        <v>OK</v>
      </c>
      <c r="T1654" s="4" t="str">
        <f aca="false">Base_Bruta!P1654</f>
        <v>vendas_MG.csv</v>
      </c>
    </row>
    <row r="1655" customFormat="false" ht="15" hidden="false" customHeight="false" outlineLevel="0" collapsed="false">
      <c r="A1655" s="4" t="str">
        <f aca="false">IF(Base_Bruta!A1655="","",Base_Bruta!A1655)</f>
        <v>MG-000550</v>
      </c>
      <c r="B1655" s="5" t="n">
        <f aca="false">IF($A1655="","",IF(ISNUMBER(Base_Bruta!B1655),Base_Bruta!B1655,IF(MID(Base_Bruta!B1655,5,1)="-",DATE(VALUE(LEFT(Base_Bruta!B1655,4)),VALUE(MID(Base_Bruta!B1655,6,2)),VALUE(RIGHT(Base_Bruta!B1655,2))),DATE(VALUE(RIGHT(Base_Bruta!B1655,4)),VALUE(MID(Base_Bruta!B1655,4,2)),VALUE(LEFT(Base_Bruta!B1655,2))))))</f>
        <v>45798</v>
      </c>
      <c r="C1655" s="5" t="n">
        <f aca="false">IF($A1655="","",IF(ISNUMBER(Base_Bruta!C1655),Base_Bruta!C1655,IF(MID(Base_Bruta!C1655,5,1)="-",DATE(VALUE(LEFT(Base_Bruta!C1655,4)),VALUE(MID(Base_Bruta!C1655,6,2)),VALUE(RIGHT(Base_Bruta!C1655,2))),DATE(VALUE(RIGHT(Base_Bruta!C1655,4)),VALUE(MID(Base_Bruta!C1655,4,2)),VALUE(LEFT(Base_Bruta!C1655,2))))))</f>
        <v>45801</v>
      </c>
      <c r="D1655" s="4" t="str">
        <f aca="false">IF($A1655="","",TRIM(Base_Bruta!D1655))</f>
        <v>Cinema Savassi - Sessões</v>
      </c>
      <c r="E1655" s="4" t="str">
        <f aca="false">IF($A1655="","",_xlfn.XLOOKUP(LOWER(TRIM(Base_Bruta!E1655)),DePara_Categoria!$A$2:$A$9,DePara_Categoria!$B$2:$B$9,"REVISAR"))</f>
        <v>Cinema</v>
      </c>
      <c r="F1655" s="4" t="str">
        <f aca="false">IF($A1655="","",_xlfn.XLOOKUP(LOWER(TRIM(Base_Bruta!F1655)),DePara_Cidade!$A$2:$A$29,DePara_Cidade!$B$2:$B$29,"REVISAR"))</f>
        <v>Belo Horizonte</v>
      </c>
      <c r="G1655" s="4" t="str">
        <f aca="false">IF($A1655="","",TRIM(Base_Bruta!G1655))</f>
        <v>Inteira</v>
      </c>
      <c r="H1655" s="4" t="n">
        <f aca="false">IF($A1655="","",IF(ISNUMBER(Base_Bruta!H1655),Base_Bruta!H1655,IFERROR(_xlfn.NUMBERVALUE(TRIM(SUBSTITUTE(Base_Bruta!H1655,"R$","")),",","."),0)))</f>
        <v>1</v>
      </c>
      <c r="I1655" s="6" t="n">
        <f aca="false">IF($A1655="","",IF(ISNUMBER(Base_Bruta!I1655),Base_Bruta!I1655,IFERROR(_xlfn.NUMBERVALUE(TRIM(SUBSTITUTE(Base_Bruta!I1655,"R$","")),",","."),0)))</f>
        <v>40</v>
      </c>
      <c r="J1655" s="6" t="n">
        <f aca="false">IF($A1655="","",H1655*I1655)</f>
        <v>40</v>
      </c>
      <c r="K1655" s="4" t="str">
        <f aca="false">IF($A1655="","",TRIM(Base_Bruta!J1655))</f>
        <v>Parceiro</v>
      </c>
      <c r="L1655" s="4" t="str">
        <f aca="false">IF($A1655="","",TRIM(Base_Bruta!K1655))</f>
        <v>C01233</v>
      </c>
      <c r="M1655" s="4" t="str">
        <f aca="false">IF($A1655="","",_xlfn.XLOOKUP(LOWER(TRIM(Base_Bruta!L1655)),DePara_Cidade!$A$2:$A$29,DePara_Cidade!$B$2:$B$29,"REVISAR"))</f>
        <v>Contagem</v>
      </c>
      <c r="N1655" s="4" t="str">
        <f aca="false">IF($A1655="","",UPPER(TRIM(Base_Bruta!M1655)))</f>
        <v>MG</v>
      </c>
      <c r="O1655" s="4" t="str">
        <f aca="false">IF($A1655="","",_xlfn.XLOOKUP(LOWER(TRIM(Base_Bruta!N1655)),DePara_Pais!$A$2:$A$9,DePara_Pais!$B$2:$B$9,"REVISAR"))</f>
        <v>Brasil</v>
      </c>
      <c r="P1655" s="4" t="str">
        <f aca="false">IF($A1655="","",IF(O1655&lt;&gt;"Brasil","Turista Internacional",IF(M1655=F1655,"Local","Turista Nacional")))</f>
        <v>Turista Nacional</v>
      </c>
      <c r="Q1655" s="7" t="n">
        <f aca="false">IF($A1655="","",DATE(YEAR(B1655),MONTH(B1655),1))</f>
        <v>45778</v>
      </c>
      <c r="R1655" s="4" t="str">
        <f aca="false">IF($A1655="","",IF(COUNTIF($A$2:$A1655,$A1655)&gt;1,"Sim","Não"))</f>
        <v>Não</v>
      </c>
      <c r="S1655" s="4" t="str">
        <f aca="false">IF(A1655="","Descartar - Linha vazia",IF(R1655="Sim","Descartar - Duplicado",IF(OR(H1655&lt;=0,I1655&lt;=0),"Descartar - Qtd/Valor inválido","OK")))</f>
        <v>OK</v>
      </c>
      <c r="T1655" s="4" t="str">
        <f aca="false">Base_Bruta!P1655</f>
        <v>vendas_MG.csv</v>
      </c>
    </row>
    <row r="1656" customFormat="false" ht="15" hidden="false" customHeight="false" outlineLevel="0" collapsed="false">
      <c r="A1656" s="4" t="str">
        <f aca="false">IF(Base_Bruta!A1656="","",Base_Bruta!A1656)</f>
        <v>MG-000500</v>
      </c>
      <c r="B1656" s="5" t="n">
        <f aca="false">IF($A1656="","",IF(ISNUMBER(Base_Bruta!B1656),Base_Bruta!B1656,IF(MID(Base_Bruta!B1656,5,1)="-",DATE(VALUE(LEFT(Base_Bruta!B1656,4)),VALUE(MID(Base_Bruta!B1656,6,2)),VALUE(RIGHT(Base_Bruta!B1656,2))),DATE(VALUE(RIGHT(Base_Bruta!B1656,4)),VALUE(MID(Base_Bruta!B1656,4,2)),VALUE(LEFT(Base_Bruta!B1656,2))))))</f>
        <v>45802</v>
      </c>
      <c r="C1656" s="5" t="n">
        <f aca="false">IF($A1656="","",IF(ISNUMBER(Base_Bruta!C1656),Base_Bruta!C1656,IF(MID(Base_Bruta!C1656,5,1)="-",DATE(VALUE(LEFT(Base_Bruta!C1656,4)),VALUE(MID(Base_Bruta!C1656,6,2)),VALUE(RIGHT(Base_Bruta!C1656,2))),DATE(VALUE(RIGHT(Base_Bruta!C1656,4)),VALUE(MID(Base_Bruta!C1656,4,2)),VALUE(LEFT(Base_Bruta!C1656,2))))))</f>
        <v>45804</v>
      </c>
      <c r="D1656" s="4" t="str">
        <f aca="false">IF($A1656="","",TRIM(Base_Bruta!D1656))</f>
        <v>Cinema Savassi - Sessões</v>
      </c>
      <c r="E1656" s="4" t="str">
        <f aca="false">IF($A1656="","",_xlfn.XLOOKUP(LOWER(TRIM(Base_Bruta!E1656)),DePara_Categoria!$A$2:$A$9,DePara_Categoria!$B$2:$B$9,"REVISAR"))</f>
        <v>Cinema</v>
      </c>
      <c r="F1656" s="4" t="str">
        <f aca="false">IF($A1656="","",_xlfn.XLOOKUP(LOWER(TRIM(Base_Bruta!F1656)),DePara_Cidade!$A$2:$A$29,DePara_Cidade!$B$2:$B$29,"REVISAR"))</f>
        <v>Belo Horizonte</v>
      </c>
      <c r="G1656" s="4" t="str">
        <f aca="false">IF($A1656="","",TRIM(Base_Bruta!G1656))</f>
        <v>Inteira</v>
      </c>
      <c r="H1656" s="4" t="n">
        <f aca="false">IF($A1656="","",IF(ISNUMBER(Base_Bruta!H1656),Base_Bruta!H1656,IFERROR(_xlfn.NUMBERVALUE(TRIM(SUBSTITUTE(Base_Bruta!H1656,"R$","")),",","."),0)))</f>
        <v>3</v>
      </c>
      <c r="I1656" s="6" t="n">
        <f aca="false">IF($A1656="","",IF(ISNUMBER(Base_Bruta!I1656),Base_Bruta!I1656,IFERROR(_xlfn.NUMBERVALUE(TRIM(SUBSTITUTE(Base_Bruta!I1656,"R$","")),",","."),0)))</f>
        <v>35</v>
      </c>
      <c r="J1656" s="6" t="n">
        <f aca="false">IF($A1656="","",H1656*I1656)</f>
        <v>105</v>
      </c>
      <c r="K1656" s="4" t="str">
        <f aca="false">IF($A1656="","",TRIM(Base_Bruta!J1656))</f>
        <v>App</v>
      </c>
      <c r="L1656" s="4" t="str">
        <f aca="false">IF($A1656="","",TRIM(Base_Bruta!K1656))</f>
        <v>C01132</v>
      </c>
      <c r="M1656" s="4" t="str">
        <f aca="false">IF($A1656="","",_xlfn.XLOOKUP(LOWER(TRIM(Base_Bruta!L1656)),DePara_Cidade!$A$2:$A$29,DePara_Cidade!$B$2:$B$29,"REVISAR"))</f>
        <v>Belo Horizonte</v>
      </c>
      <c r="N1656" s="4" t="str">
        <f aca="false">IF($A1656="","",UPPER(TRIM(Base_Bruta!M1656)))</f>
        <v>MG</v>
      </c>
      <c r="O1656" s="4" t="str">
        <f aca="false">IF($A1656="","",_xlfn.XLOOKUP(LOWER(TRIM(Base_Bruta!N1656)),DePara_Pais!$A$2:$A$9,DePara_Pais!$B$2:$B$9,"REVISAR"))</f>
        <v>Brasil</v>
      </c>
      <c r="P1656" s="4" t="str">
        <f aca="false">IF($A1656="","",IF(O1656&lt;&gt;"Brasil","Turista Internacional",IF(M1656=F1656,"Local","Turista Nacional")))</f>
        <v>Local</v>
      </c>
      <c r="Q1656" s="7" t="n">
        <f aca="false">IF($A1656="","",DATE(YEAR(B1656),MONTH(B1656),1))</f>
        <v>45778</v>
      </c>
      <c r="R1656" s="4" t="str">
        <f aca="false">IF($A1656="","",IF(COUNTIF($A$2:$A1656,$A1656)&gt;1,"Sim","Não"))</f>
        <v>Não</v>
      </c>
      <c r="S1656" s="4" t="str">
        <f aca="false">IF(A1656="","Descartar - Linha vazia",IF(R1656="Sim","Descartar - Duplicado",IF(OR(H1656&lt;=0,I1656&lt;=0),"Descartar - Qtd/Valor inválido","OK")))</f>
        <v>OK</v>
      </c>
      <c r="T1656" s="4" t="str">
        <f aca="false">Base_Bruta!P1656</f>
        <v>vendas_MG.csv</v>
      </c>
    </row>
    <row r="1657" customFormat="false" ht="15" hidden="false" customHeight="false" outlineLevel="0" collapsed="false">
      <c r="A1657" s="4" t="str">
        <f aca="false">IF(Base_Bruta!A1657="","",Base_Bruta!A1657)</f>
        <v>MG-000420</v>
      </c>
      <c r="B1657" s="5" t="n">
        <f aca="false">IF($A1657="","",IF(ISNUMBER(Base_Bruta!B1657),Base_Bruta!B1657,IF(MID(Base_Bruta!B1657,5,1)="-",DATE(VALUE(LEFT(Base_Bruta!B1657,4)),VALUE(MID(Base_Bruta!B1657,6,2)),VALUE(RIGHT(Base_Bruta!B1657,2))),DATE(VALUE(RIGHT(Base_Bruta!B1657,4)),VALUE(MID(Base_Bruta!B1657,4,2)),VALUE(LEFT(Base_Bruta!B1657,2))))))</f>
        <v>45803</v>
      </c>
      <c r="C1657" s="5" t="n">
        <f aca="false">IF($A1657="","",IF(ISNUMBER(Base_Bruta!C1657),Base_Bruta!C1657,IF(MID(Base_Bruta!C1657,5,1)="-",DATE(VALUE(LEFT(Base_Bruta!C1657,4)),VALUE(MID(Base_Bruta!C1657,6,2)),VALUE(RIGHT(Base_Bruta!C1657,2))),DATE(VALUE(RIGHT(Base_Bruta!C1657,4)),VALUE(MID(Base_Bruta!C1657,4,2)),VALUE(LEFT(Base_Bruta!C1657,2))))))</f>
        <v>45804</v>
      </c>
      <c r="D1657" s="4" t="str">
        <f aca="false">IF($A1657="","",TRIM(Base_Bruta!D1657))</f>
        <v>Cinema Savassi - Sessões</v>
      </c>
      <c r="E1657" s="4" t="str">
        <f aca="false">IF($A1657="","",_xlfn.XLOOKUP(LOWER(TRIM(Base_Bruta!E1657)),DePara_Categoria!$A$2:$A$9,DePara_Categoria!$B$2:$B$9,"REVISAR"))</f>
        <v>Cinema</v>
      </c>
      <c r="F1657" s="4" t="str">
        <f aca="false">IF($A1657="","",_xlfn.XLOOKUP(LOWER(TRIM(Base_Bruta!F1657)),DePara_Cidade!$A$2:$A$29,DePara_Cidade!$B$2:$B$29,"REVISAR"))</f>
        <v>Belo Horizonte</v>
      </c>
      <c r="G1657" s="4" t="str">
        <f aca="false">IF($A1657="","",TRIM(Base_Bruta!G1657))</f>
        <v>Meia</v>
      </c>
      <c r="H1657" s="4" t="n">
        <f aca="false">IF($A1657="","",IF(ISNUMBER(Base_Bruta!H1657),Base_Bruta!H1657,IFERROR(_xlfn.NUMBERVALUE(TRIM(SUBSTITUTE(Base_Bruta!H1657,"R$","")),",","."),0)))</f>
        <v>1</v>
      </c>
      <c r="I1657" s="6" t="n">
        <f aca="false">IF($A1657="","",IF(ISNUMBER(Base_Bruta!I1657),Base_Bruta!I1657,IFERROR(_xlfn.NUMBERVALUE(TRIM(SUBSTITUTE(Base_Bruta!I1657,"R$","")),",","."),0)))</f>
        <v>22.5</v>
      </c>
      <c r="J1657" s="6" t="n">
        <f aca="false">IF($A1657="","",H1657*I1657)</f>
        <v>22.5</v>
      </c>
      <c r="K1657" s="4" t="str">
        <f aca="false">IF($A1657="","",TRIM(Base_Bruta!J1657))</f>
        <v>Site</v>
      </c>
      <c r="L1657" s="4" t="str">
        <f aca="false">IF($A1657="","",TRIM(Base_Bruta!K1657))</f>
        <v>C00338</v>
      </c>
      <c r="M1657" s="4" t="str">
        <f aca="false">IF($A1657="","",_xlfn.XLOOKUP(LOWER(TRIM(Base_Bruta!L1657)),DePara_Cidade!$A$2:$A$29,DePara_Cidade!$B$2:$B$29,"REVISAR"))</f>
        <v>Belo Horizonte</v>
      </c>
      <c r="N1657" s="4" t="str">
        <f aca="false">IF($A1657="","",UPPER(TRIM(Base_Bruta!M1657)))</f>
        <v>MG</v>
      </c>
      <c r="O1657" s="4" t="str">
        <f aca="false">IF($A1657="","",_xlfn.XLOOKUP(LOWER(TRIM(Base_Bruta!N1657)),DePara_Pais!$A$2:$A$9,DePara_Pais!$B$2:$B$9,"REVISAR"))</f>
        <v>Brasil</v>
      </c>
      <c r="P1657" s="4" t="str">
        <f aca="false">IF($A1657="","",IF(O1657&lt;&gt;"Brasil","Turista Internacional",IF(M1657=F1657,"Local","Turista Nacional")))</f>
        <v>Local</v>
      </c>
      <c r="Q1657" s="7" t="n">
        <f aca="false">IF($A1657="","",DATE(YEAR(B1657),MONTH(B1657),1))</f>
        <v>45778</v>
      </c>
      <c r="R1657" s="4" t="str">
        <f aca="false">IF($A1657="","",IF(COUNTIF($A$2:$A1657,$A1657)&gt;1,"Sim","Não"))</f>
        <v>Não</v>
      </c>
      <c r="S1657" s="4" t="str">
        <f aca="false">IF(A1657="","Descartar - Linha vazia",IF(R1657="Sim","Descartar - Duplicado",IF(OR(H1657&lt;=0,I1657&lt;=0),"Descartar - Qtd/Valor inválido","OK")))</f>
        <v>OK</v>
      </c>
      <c r="T1657" s="4" t="str">
        <f aca="false">Base_Bruta!P1657</f>
        <v>vendas_MG.csv</v>
      </c>
    </row>
    <row r="1658" customFormat="false" ht="15" hidden="false" customHeight="false" outlineLevel="0" collapsed="false">
      <c r="A1658" s="4" t="str">
        <f aca="false">IF(Base_Bruta!A1658="","",Base_Bruta!A1658)</f>
        <v>MG-000048</v>
      </c>
      <c r="B1658" s="5" t="n">
        <f aca="false">IF($A1658="","",IF(ISNUMBER(Base_Bruta!B1658),Base_Bruta!B1658,IF(MID(Base_Bruta!B1658,5,1)="-",DATE(VALUE(LEFT(Base_Bruta!B1658,4)),VALUE(MID(Base_Bruta!B1658,6,2)),VALUE(RIGHT(Base_Bruta!B1658,2))),DATE(VALUE(RIGHT(Base_Bruta!B1658,4)),VALUE(MID(Base_Bruta!B1658,4,2)),VALUE(LEFT(Base_Bruta!B1658,2))))))</f>
        <v>45804</v>
      </c>
      <c r="C1658" s="5" t="n">
        <f aca="false">IF($A1658="","",IF(ISNUMBER(Base_Bruta!C1658),Base_Bruta!C1658,IF(MID(Base_Bruta!C1658,5,1)="-",DATE(VALUE(LEFT(Base_Bruta!C1658,4)),VALUE(MID(Base_Bruta!C1658,6,2)),VALUE(RIGHT(Base_Bruta!C1658,2))),DATE(VALUE(RIGHT(Base_Bruta!C1658,4)),VALUE(MID(Base_Bruta!C1658,4,2)),VALUE(LEFT(Base_Bruta!C1658,2))))))</f>
        <v>45892</v>
      </c>
      <c r="D1658" s="4" t="str">
        <f aca="false">IF($A1658="","",TRIM(Base_Bruta!D1658))</f>
        <v>Festival Montanhas BH 2025</v>
      </c>
      <c r="E1658" s="4" t="str">
        <f aca="false">IF($A1658="","",_xlfn.XLOOKUP(LOWER(TRIM(Base_Bruta!E1658)),DePara_Categoria!$A$2:$A$9,DePara_Categoria!$B$2:$B$9,"REVISAR"))</f>
        <v>Festival</v>
      </c>
      <c r="F1658" s="4" t="str">
        <f aca="false">IF($A1658="","",_xlfn.XLOOKUP(LOWER(TRIM(Base_Bruta!F1658)),DePara_Cidade!$A$2:$A$29,DePara_Cidade!$B$2:$B$29,"REVISAR"))</f>
        <v>Belo Horizonte</v>
      </c>
      <c r="G1658" s="4" t="str">
        <f aca="false">IF($A1658="","",TRIM(Base_Bruta!G1658))</f>
        <v>Meia</v>
      </c>
      <c r="H1658" s="4" t="n">
        <f aca="false">IF($A1658="","",IF(ISNUMBER(Base_Bruta!H1658),Base_Bruta!H1658,IFERROR(_xlfn.NUMBERVALUE(TRIM(SUBSTITUTE(Base_Bruta!H1658,"R$","")),",","."),0)))</f>
        <v>1</v>
      </c>
      <c r="I1658" s="6" t="n">
        <f aca="false">IF($A1658="","",IF(ISNUMBER(Base_Bruta!I1658),Base_Bruta!I1658,IFERROR(_xlfn.NUMBERVALUE(TRIM(SUBSTITUTE(Base_Bruta!I1658,"R$","")),",","."),0)))</f>
        <v>400</v>
      </c>
      <c r="J1658" s="6" t="n">
        <f aca="false">IF($A1658="","",H1658*I1658)</f>
        <v>400</v>
      </c>
      <c r="K1658" s="4" t="str">
        <f aca="false">IF($A1658="","",TRIM(Base_Bruta!J1658))</f>
        <v>App</v>
      </c>
      <c r="L1658" s="4" t="str">
        <f aca="false">IF($A1658="","",TRIM(Base_Bruta!K1658))</f>
        <v>C02110</v>
      </c>
      <c r="M1658" s="4" t="str">
        <f aca="false">IF($A1658="","",_xlfn.XLOOKUP(LOWER(TRIM(Base_Bruta!L1658)),DePara_Cidade!$A$2:$A$29,DePara_Cidade!$B$2:$B$29,"REVISAR"))</f>
        <v>Belo Horizonte</v>
      </c>
      <c r="N1658" s="4" t="str">
        <f aca="false">IF($A1658="","",UPPER(TRIM(Base_Bruta!M1658)))</f>
        <v>MG</v>
      </c>
      <c r="O1658" s="4" t="str">
        <f aca="false">IF($A1658="","",_xlfn.XLOOKUP(LOWER(TRIM(Base_Bruta!N1658)),DePara_Pais!$A$2:$A$9,DePara_Pais!$B$2:$B$9,"REVISAR"))</f>
        <v>Brasil</v>
      </c>
      <c r="P1658" s="4" t="str">
        <f aca="false">IF($A1658="","",IF(O1658&lt;&gt;"Brasil","Turista Internacional",IF(M1658=F1658,"Local","Turista Nacional")))</f>
        <v>Local</v>
      </c>
      <c r="Q1658" s="7" t="n">
        <f aca="false">IF($A1658="","",DATE(YEAR(B1658),MONTH(B1658),1))</f>
        <v>45778</v>
      </c>
      <c r="R1658" s="4" t="str">
        <f aca="false">IF($A1658="","",IF(COUNTIF($A$2:$A1658,$A1658)&gt;1,"Sim","Não"))</f>
        <v>Não</v>
      </c>
      <c r="S1658" s="4" t="str">
        <f aca="false">IF(A1658="","Descartar - Linha vazia",IF(R1658="Sim","Descartar - Duplicado",IF(OR(H1658&lt;=0,I1658&lt;=0),"Descartar - Qtd/Valor inválido","OK")))</f>
        <v>OK</v>
      </c>
      <c r="T1658" s="4" t="str">
        <f aca="false">Base_Bruta!P1658</f>
        <v>vendas_MG.csv</v>
      </c>
    </row>
    <row r="1659" customFormat="false" ht="15" hidden="false" customHeight="false" outlineLevel="0" collapsed="false">
      <c r="A1659" s="4" t="str">
        <f aca="false">IF(Base_Bruta!A1659="","",Base_Bruta!A1659)</f>
        <v>MG-000439</v>
      </c>
      <c r="B1659" s="5" t="n">
        <f aca="false">IF($A1659="","",IF(ISNUMBER(Base_Bruta!B1659),Base_Bruta!B1659,IF(MID(Base_Bruta!B1659,5,1)="-",DATE(VALUE(LEFT(Base_Bruta!B1659,4)),VALUE(MID(Base_Bruta!B1659,6,2)),VALUE(RIGHT(Base_Bruta!B1659,2))),DATE(VALUE(RIGHT(Base_Bruta!B1659,4)),VALUE(MID(Base_Bruta!B1659,4,2)),VALUE(LEFT(Base_Bruta!B1659,2))))))</f>
        <v>45804</v>
      </c>
      <c r="C1659" s="5" t="n">
        <f aca="false">IF($A1659="","",IF(ISNUMBER(Base_Bruta!C1659),Base_Bruta!C1659,IF(MID(Base_Bruta!C1659,5,1)="-",DATE(VALUE(LEFT(Base_Bruta!C1659,4)),VALUE(MID(Base_Bruta!C1659,6,2)),VALUE(RIGHT(Base_Bruta!C1659,2))),DATE(VALUE(RIGHT(Base_Bruta!C1659,4)),VALUE(MID(Base_Bruta!C1659,4,2)),VALUE(LEFT(Base_Bruta!C1659,2))))))</f>
        <v>45806</v>
      </c>
      <c r="D1659" s="4" t="str">
        <f aca="false">IF($A1659="","",TRIM(Base_Bruta!D1659))</f>
        <v>Cinema Savassi - Sessões</v>
      </c>
      <c r="E1659" s="4" t="str">
        <f aca="false">IF($A1659="","",_xlfn.XLOOKUP(LOWER(TRIM(Base_Bruta!E1659)),DePara_Categoria!$A$2:$A$9,DePara_Categoria!$B$2:$B$9,"REVISAR"))</f>
        <v>Cinema</v>
      </c>
      <c r="F1659" s="4" t="str">
        <f aca="false">IF($A1659="","",_xlfn.XLOOKUP(LOWER(TRIM(Base_Bruta!F1659)),DePara_Cidade!$A$2:$A$29,DePara_Cidade!$B$2:$B$29,"REVISAR"))</f>
        <v>Belo Horizonte</v>
      </c>
      <c r="G1659" s="4" t="str">
        <f aca="false">IF($A1659="","",TRIM(Base_Bruta!G1659))</f>
        <v>Inteira</v>
      </c>
      <c r="H1659" s="4" t="n">
        <f aca="false">IF($A1659="","",IF(ISNUMBER(Base_Bruta!H1659),Base_Bruta!H1659,IFERROR(_xlfn.NUMBERVALUE(TRIM(SUBSTITUTE(Base_Bruta!H1659,"R$","")),",","."),0)))</f>
        <v>3</v>
      </c>
      <c r="I1659" s="6" t="n">
        <f aca="false">IF($A1659="","",IF(ISNUMBER(Base_Bruta!I1659),Base_Bruta!I1659,IFERROR(_xlfn.NUMBERVALUE(TRIM(SUBSTITUTE(Base_Bruta!I1659,"R$","")),",","."),0)))</f>
        <v>30</v>
      </c>
      <c r="J1659" s="6" t="n">
        <f aca="false">IF($A1659="","",H1659*I1659)</f>
        <v>90</v>
      </c>
      <c r="K1659" s="4" t="str">
        <f aca="false">IF($A1659="","",TRIM(Base_Bruta!J1659))</f>
        <v>App</v>
      </c>
      <c r="L1659" s="4" t="str">
        <f aca="false">IF($A1659="","",TRIM(Base_Bruta!K1659))</f>
        <v>C01151</v>
      </c>
      <c r="M1659" s="4" t="str">
        <f aca="false">IF($A1659="","",_xlfn.XLOOKUP(LOWER(TRIM(Base_Bruta!L1659)),DePara_Cidade!$A$2:$A$29,DePara_Cidade!$B$2:$B$29,"REVISAR"))</f>
        <v>Niterói</v>
      </c>
      <c r="N1659" s="4" t="str">
        <f aca="false">IF($A1659="","",UPPER(TRIM(Base_Bruta!M1659)))</f>
        <v>RJ</v>
      </c>
      <c r="O1659" s="4" t="str">
        <f aca="false">IF($A1659="","",_xlfn.XLOOKUP(LOWER(TRIM(Base_Bruta!N1659)),DePara_Pais!$A$2:$A$9,DePara_Pais!$B$2:$B$9,"REVISAR"))</f>
        <v>Brasil</v>
      </c>
      <c r="P1659" s="4" t="str">
        <f aca="false">IF($A1659="","",IF(O1659&lt;&gt;"Brasil","Turista Internacional",IF(M1659=F1659,"Local","Turista Nacional")))</f>
        <v>Turista Nacional</v>
      </c>
      <c r="Q1659" s="7" t="n">
        <f aca="false">IF($A1659="","",DATE(YEAR(B1659),MONTH(B1659),1))</f>
        <v>45778</v>
      </c>
      <c r="R1659" s="4" t="str">
        <f aca="false">IF($A1659="","",IF(COUNTIF($A$2:$A1659,$A1659)&gt;1,"Sim","Não"))</f>
        <v>Não</v>
      </c>
      <c r="S1659" s="4" t="str">
        <f aca="false">IF(A1659="","Descartar - Linha vazia",IF(R1659="Sim","Descartar - Duplicado",IF(OR(H1659&lt;=0,I1659&lt;=0),"Descartar - Qtd/Valor inválido","OK")))</f>
        <v>OK</v>
      </c>
      <c r="T1659" s="4" t="str">
        <f aca="false">Base_Bruta!P1659</f>
        <v>vendas_MG.csv</v>
      </c>
    </row>
    <row r="1660" customFormat="false" ht="15" hidden="false" customHeight="false" outlineLevel="0" collapsed="false">
      <c r="A1660" s="4" t="str">
        <f aca="false">IF(Base_Bruta!A1660="","",Base_Bruta!A1660)</f>
        <v>MG-000071</v>
      </c>
      <c r="B1660" s="5" t="n">
        <f aca="false">IF($A1660="","",IF(ISNUMBER(Base_Bruta!B1660),Base_Bruta!B1660,IF(MID(Base_Bruta!B1660,5,1)="-",DATE(VALUE(LEFT(Base_Bruta!B1660,4)),VALUE(MID(Base_Bruta!B1660,6,2)),VALUE(RIGHT(Base_Bruta!B1660,2))),DATE(VALUE(RIGHT(Base_Bruta!B1660,4)),VALUE(MID(Base_Bruta!B1660,4,2)),VALUE(LEFT(Base_Bruta!B1660,2))))))</f>
        <v>45805</v>
      </c>
      <c r="C1660" s="5" t="n">
        <f aca="false">IF($A1660="","",IF(ISNUMBER(Base_Bruta!C1660),Base_Bruta!C1660,IF(MID(Base_Bruta!C1660,5,1)="-",DATE(VALUE(LEFT(Base_Bruta!C1660,4)),VALUE(MID(Base_Bruta!C1660,6,2)),VALUE(RIGHT(Base_Bruta!C1660,2))),DATE(VALUE(RIGHT(Base_Bruta!C1660,4)),VALUE(MID(Base_Bruta!C1660,4,2)),VALUE(LEFT(Base_Bruta!C1660,2))))))</f>
        <v>45892</v>
      </c>
      <c r="D1660" s="4" t="str">
        <f aca="false">IF($A1660="","",TRIM(Base_Bruta!D1660))</f>
        <v>Festival Montanhas BH 2025</v>
      </c>
      <c r="E1660" s="4" t="str">
        <f aca="false">IF($A1660="","",_xlfn.XLOOKUP(LOWER(TRIM(Base_Bruta!E1660)),DePara_Categoria!$A$2:$A$9,DePara_Categoria!$B$2:$B$9,"REVISAR"))</f>
        <v>Festival</v>
      </c>
      <c r="F1660" s="4" t="str">
        <f aca="false">IF($A1660="","",_xlfn.XLOOKUP(LOWER(TRIM(Base_Bruta!F1660)),DePara_Cidade!$A$2:$A$29,DePara_Cidade!$B$2:$B$29,"REVISAR"))</f>
        <v>Belo Horizonte</v>
      </c>
      <c r="G1660" s="4" t="str">
        <f aca="false">IF($A1660="","",TRIM(Base_Bruta!G1660))</f>
        <v>Inteira</v>
      </c>
      <c r="H1660" s="4" t="n">
        <f aca="false">IF($A1660="","",IF(ISNUMBER(Base_Bruta!H1660),Base_Bruta!H1660,IFERROR(_xlfn.NUMBERVALUE(TRIM(SUBSTITUTE(Base_Bruta!H1660,"R$","")),",","."),0)))</f>
        <v>1</v>
      </c>
      <c r="I1660" s="6" t="n">
        <f aca="false">IF($A1660="","",IF(ISNUMBER(Base_Bruta!I1660),Base_Bruta!I1660,IFERROR(_xlfn.NUMBERVALUE(TRIM(SUBSTITUTE(Base_Bruta!I1660,"R$","")),",","."),0)))</f>
        <v>915</v>
      </c>
      <c r="J1660" s="6" t="n">
        <f aca="false">IF($A1660="","",H1660*I1660)</f>
        <v>915</v>
      </c>
      <c r="K1660" s="4" t="str">
        <f aca="false">IF($A1660="","",TRIM(Base_Bruta!J1660))</f>
        <v>App</v>
      </c>
      <c r="L1660" s="4" t="str">
        <f aca="false">IF($A1660="","",TRIM(Base_Bruta!K1660))</f>
        <v>C01661</v>
      </c>
      <c r="M1660" s="4" t="str">
        <f aca="false">IF($A1660="","",_xlfn.XLOOKUP(LOWER(TRIM(Base_Bruta!L1660)),DePara_Cidade!$A$2:$A$29,DePara_Cidade!$B$2:$B$29,"REVISAR"))</f>
        <v>Curitiba</v>
      </c>
      <c r="N1660" s="4" t="str">
        <f aca="false">IF($A1660="","",UPPER(TRIM(Base_Bruta!M1660)))</f>
        <v>PR</v>
      </c>
      <c r="O1660" s="4" t="str">
        <f aca="false">IF($A1660="","",_xlfn.XLOOKUP(LOWER(TRIM(Base_Bruta!N1660)),DePara_Pais!$A$2:$A$9,DePara_Pais!$B$2:$B$9,"REVISAR"))</f>
        <v>Brasil</v>
      </c>
      <c r="P1660" s="4" t="str">
        <f aca="false">IF($A1660="","",IF(O1660&lt;&gt;"Brasil","Turista Internacional",IF(M1660=F1660,"Local","Turista Nacional")))</f>
        <v>Turista Nacional</v>
      </c>
      <c r="Q1660" s="7" t="n">
        <f aca="false">IF($A1660="","",DATE(YEAR(B1660),MONTH(B1660),1))</f>
        <v>45778</v>
      </c>
      <c r="R1660" s="4" t="str">
        <f aca="false">IF($A1660="","",IF(COUNTIF($A$2:$A1660,$A1660)&gt;1,"Sim","Não"))</f>
        <v>Não</v>
      </c>
      <c r="S1660" s="4" t="str">
        <f aca="false">IF(A1660="","Descartar - Linha vazia",IF(R1660="Sim","Descartar - Duplicado",IF(OR(H1660&lt;=0,I1660&lt;=0),"Descartar - Qtd/Valor inválido","OK")))</f>
        <v>OK</v>
      </c>
      <c r="T1660" s="4" t="str">
        <f aca="false">Base_Bruta!P1660</f>
        <v>vendas_MG.csv</v>
      </c>
    </row>
    <row r="1661" customFormat="false" ht="15" hidden="false" customHeight="false" outlineLevel="0" collapsed="false">
      <c r="A1661" s="4" t="str">
        <f aca="false">IF(Base_Bruta!A1661="","",Base_Bruta!A1661)</f>
        <v>MG-000157</v>
      </c>
      <c r="B1661" s="5" t="n">
        <f aca="false">IF($A1661="","",IF(ISNUMBER(Base_Bruta!B1661),Base_Bruta!B1661,IF(MID(Base_Bruta!B1661,5,1)="-",DATE(VALUE(LEFT(Base_Bruta!B1661,4)),VALUE(MID(Base_Bruta!B1661,6,2)),VALUE(RIGHT(Base_Bruta!B1661,2))),DATE(VALUE(RIGHT(Base_Bruta!B1661,4)),VALUE(MID(Base_Bruta!B1661,4,2)),VALUE(LEFT(Base_Bruta!B1661,2))))))</f>
        <v>45805</v>
      </c>
      <c r="C1661" s="5" t="n">
        <f aca="false">IF($A1661="","",IF(ISNUMBER(Base_Bruta!C1661),Base_Bruta!C1661,IF(MID(Base_Bruta!C1661,5,1)="-",DATE(VALUE(LEFT(Base_Bruta!C1661,4)),VALUE(MID(Base_Bruta!C1661,6,2)),VALUE(RIGHT(Base_Bruta!C1661,2))),DATE(VALUE(RIGHT(Base_Bruta!C1661,4)),VALUE(MID(Base_Bruta!C1661,4,2)),VALUE(LEFT(Base_Bruta!C1661,2))))))</f>
        <v>45892</v>
      </c>
      <c r="D1661" s="4" t="str">
        <f aca="false">IF($A1661="","",TRIM(Base_Bruta!D1661))</f>
        <v>Festival Montanhas BH 2025</v>
      </c>
      <c r="E1661" s="4" t="str">
        <f aca="false">IF($A1661="","",_xlfn.XLOOKUP(LOWER(TRIM(Base_Bruta!E1661)),DePara_Categoria!$A$2:$A$9,DePara_Categoria!$B$2:$B$9,"REVISAR"))</f>
        <v>Festival</v>
      </c>
      <c r="F1661" s="4" t="str">
        <f aca="false">IF($A1661="","",_xlfn.XLOOKUP(LOWER(TRIM(Base_Bruta!F1661)),DePara_Cidade!$A$2:$A$29,DePara_Cidade!$B$2:$B$29,"REVISAR"))</f>
        <v>Belo Horizonte</v>
      </c>
      <c r="G1661" s="4" t="str">
        <f aca="false">IF($A1661="","",TRIM(Base_Bruta!G1661))</f>
        <v>Inteira</v>
      </c>
      <c r="H1661" s="4" t="n">
        <f aca="false">IF($A1661="","",IF(ISNUMBER(Base_Bruta!H1661),Base_Bruta!H1661,IFERROR(_xlfn.NUMBERVALUE(TRIM(SUBSTITUTE(Base_Bruta!H1661,"R$","")),",","."),0)))</f>
        <v>1</v>
      </c>
      <c r="I1661" s="6" t="n">
        <f aca="false">IF($A1661="","",IF(ISNUMBER(Base_Bruta!I1661),Base_Bruta!I1661,IFERROR(_xlfn.NUMBERVALUE(TRIM(SUBSTITUTE(Base_Bruta!I1661,"R$","")),",","."),0)))</f>
        <v>775</v>
      </c>
      <c r="J1661" s="6" t="n">
        <f aca="false">IF($A1661="","",H1661*I1661)</f>
        <v>775</v>
      </c>
      <c r="K1661" s="4" t="str">
        <f aca="false">IF($A1661="","",TRIM(Base_Bruta!J1661))</f>
        <v>App</v>
      </c>
      <c r="L1661" s="4" t="str">
        <f aca="false">IF($A1661="","",TRIM(Base_Bruta!K1661))</f>
        <v>C01578</v>
      </c>
      <c r="M1661" s="4" t="str">
        <f aca="false">IF($A1661="","",_xlfn.XLOOKUP(LOWER(TRIM(Base_Bruta!L1661)),DePara_Cidade!$A$2:$A$29,DePara_Cidade!$B$2:$B$29,"REVISAR"))</f>
        <v>Recife</v>
      </c>
      <c r="N1661" s="4" t="str">
        <f aca="false">IF($A1661="","",UPPER(TRIM(Base_Bruta!M1661)))</f>
        <v>PE</v>
      </c>
      <c r="O1661" s="4" t="str">
        <f aca="false">IF($A1661="","",_xlfn.XLOOKUP(LOWER(TRIM(Base_Bruta!N1661)),DePara_Pais!$A$2:$A$9,DePara_Pais!$B$2:$B$9,"REVISAR"))</f>
        <v>Brasil</v>
      </c>
      <c r="P1661" s="4" t="str">
        <f aca="false">IF($A1661="","",IF(O1661&lt;&gt;"Brasil","Turista Internacional",IF(M1661=F1661,"Local","Turista Nacional")))</f>
        <v>Turista Nacional</v>
      </c>
      <c r="Q1661" s="7" t="n">
        <f aca="false">IF($A1661="","",DATE(YEAR(B1661),MONTH(B1661),1))</f>
        <v>45778</v>
      </c>
      <c r="R1661" s="4" t="str">
        <f aca="false">IF($A1661="","",IF(COUNTIF($A$2:$A1661,$A1661)&gt;1,"Sim","Não"))</f>
        <v>Não</v>
      </c>
      <c r="S1661" s="4" t="str">
        <f aca="false">IF(A1661="","Descartar - Linha vazia",IF(R1661="Sim","Descartar - Duplicado",IF(OR(H1661&lt;=0,I1661&lt;=0),"Descartar - Qtd/Valor inválido","OK")))</f>
        <v>OK</v>
      </c>
      <c r="T1661" s="4" t="str">
        <f aca="false">Base_Bruta!P1661</f>
        <v>vendas_MG.csv</v>
      </c>
    </row>
    <row r="1662" customFormat="false" ht="15" hidden="false" customHeight="false" outlineLevel="0" collapsed="false">
      <c r="A1662" s="4" t="str">
        <f aca="false">IF(Base_Bruta!A1662="","",Base_Bruta!A1662)</f>
        <v>MG-000188</v>
      </c>
      <c r="B1662" s="5" t="n">
        <f aca="false">IF($A1662="","",IF(ISNUMBER(Base_Bruta!B1662),Base_Bruta!B1662,IF(MID(Base_Bruta!B1662,5,1)="-",DATE(VALUE(LEFT(Base_Bruta!B1662,4)),VALUE(MID(Base_Bruta!B1662,6,2)),VALUE(RIGHT(Base_Bruta!B1662,2))),DATE(VALUE(RIGHT(Base_Bruta!B1662,4)),VALUE(MID(Base_Bruta!B1662,4,2)),VALUE(LEFT(Base_Bruta!B1662,2))))))</f>
        <v>45805</v>
      </c>
      <c r="C1662" s="5" t="n">
        <f aca="false">IF($A1662="","",IF(ISNUMBER(Base_Bruta!C1662),Base_Bruta!C1662,IF(MID(Base_Bruta!C1662,5,1)="-",DATE(VALUE(LEFT(Base_Bruta!C1662,4)),VALUE(MID(Base_Bruta!C1662,6,2)),VALUE(RIGHT(Base_Bruta!C1662,2))),DATE(VALUE(RIGHT(Base_Bruta!C1662,4)),VALUE(MID(Base_Bruta!C1662,4,2)),VALUE(LEFT(Base_Bruta!C1662,2))))))</f>
        <v>45892</v>
      </c>
      <c r="D1662" s="4" t="str">
        <f aca="false">IF($A1662="","",TRIM(Base_Bruta!D1662))</f>
        <v>Festival Montanhas BH 2025</v>
      </c>
      <c r="E1662" s="4" t="str">
        <f aca="false">IF($A1662="","",_xlfn.XLOOKUP(LOWER(TRIM(Base_Bruta!E1662)),DePara_Categoria!$A$2:$A$9,DePara_Categoria!$B$2:$B$9,"REVISAR"))</f>
        <v>Festival</v>
      </c>
      <c r="F1662" s="4" t="str">
        <f aca="false">IF($A1662="","",_xlfn.XLOOKUP(LOWER(TRIM(Base_Bruta!F1662)),DePara_Cidade!$A$2:$A$29,DePara_Cidade!$B$2:$B$29,"REVISAR"))</f>
        <v>Belo Horizonte</v>
      </c>
      <c r="G1662" s="4" t="str">
        <f aca="false">IF($A1662="","",TRIM(Base_Bruta!G1662))</f>
        <v>Meia</v>
      </c>
      <c r="H1662" s="4" t="n">
        <f aca="false">IF($A1662="","",IF(ISNUMBER(Base_Bruta!H1662),Base_Bruta!H1662,IFERROR(_xlfn.NUMBERVALUE(TRIM(SUBSTITUTE(Base_Bruta!H1662,"R$","")),",","."),0)))</f>
        <v>1</v>
      </c>
      <c r="I1662" s="6" t="n">
        <f aca="false">IF($A1662="","",IF(ISNUMBER(Base_Bruta!I1662),Base_Bruta!I1662,IFERROR(_xlfn.NUMBERVALUE(TRIM(SUBSTITUTE(Base_Bruta!I1662,"R$","")),",","."),0)))</f>
        <v>375</v>
      </c>
      <c r="J1662" s="6" t="n">
        <f aca="false">IF($A1662="","",H1662*I1662)</f>
        <v>375</v>
      </c>
      <c r="K1662" s="4" t="str">
        <f aca="false">IF($A1662="","",TRIM(Base_Bruta!J1662))</f>
        <v>Site</v>
      </c>
      <c r="L1662" s="4" t="str">
        <f aca="false">IF($A1662="","",TRIM(Base_Bruta!K1662))</f>
        <v>C00937</v>
      </c>
      <c r="M1662" s="4" t="str">
        <f aca="false">IF($A1662="","",_xlfn.XLOOKUP(LOWER(TRIM(Base_Bruta!L1662)),DePara_Cidade!$A$2:$A$29,DePara_Cidade!$B$2:$B$29,"REVISAR"))</f>
        <v>Belo Horizonte</v>
      </c>
      <c r="N1662" s="4" t="str">
        <f aca="false">IF($A1662="","",UPPER(TRIM(Base_Bruta!M1662)))</f>
        <v>MG</v>
      </c>
      <c r="O1662" s="4" t="str">
        <f aca="false">IF($A1662="","",_xlfn.XLOOKUP(LOWER(TRIM(Base_Bruta!N1662)),DePara_Pais!$A$2:$A$9,DePara_Pais!$B$2:$B$9,"REVISAR"))</f>
        <v>Brasil</v>
      </c>
      <c r="P1662" s="4" t="str">
        <f aca="false">IF($A1662="","",IF(O1662&lt;&gt;"Brasil","Turista Internacional",IF(M1662=F1662,"Local","Turista Nacional")))</f>
        <v>Local</v>
      </c>
      <c r="Q1662" s="7" t="n">
        <f aca="false">IF($A1662="","",DATE(YEAR(B1662),MONTH(B1662),1))</f>
        <v>45778</v>
      </c>
      <c r="R1662" s="4" t="str">
        <f aca="false">IF($A1662="","",IF(COUNTIF($A$2:$A1662,$A1662)&gt;1,"Sim","Não"))</f>
        <v>Não</v>
      </c>
      <c r="S1662" s="4" t="str">
        <f aca="false">IF(A1662="","Descartar - Linha vazia",IF(R1662="Sim","Descartar - Duplicado",IF(OR(H1662&lt;=0,I1662&lt;=0),"Descartar - Qtd/Valor inválido","OK")))</f>
        <v>OK</v>
      </c>
      <c r="T1662" s="4" t="str">
        <f aca="false">Base_Bruta!P1662</f>
        <v>vendas_MG.csv</v>
      </c>
    </row>
    <row r="1663" customFormat="false" ht="15" hidden="false" customHeight="false" outlineLevel="0" collapsed="false">
      <c r="A1663" s="4" t="str">
        <f aca="false">IF(Base_Bruta!A1663="","",Base_Bruta!A1663)</f>
        <v>MG-000082</v>
      </c>
      <c r="B1663" s="5" t="n">
        <f aca="false">IF($A1663="","",IF(ISNUMBER(Base_Bruta!B1663),Base_Bruta!B1663,IF(MID(Base_Bruta!B1663,5,1)="-",DATE(VALUE(LEFT(Base_Bruta!B1663,4)),VALUE(MID(Base_Bruta!B1663,6,2)),VALUE(RIGHT(Base_Bruta!B1663,2))),DATE(VALUE(RIGHT(Base_Bruta!B1663,4)),VALUE(MID(Base_Bruta!B1663,4,2)),VALUE(LEFT(Base_Bruta!B1663,2))))))</f>
        <v>45809</v>
      </c>
      <c r="C1663" s="5" t="n">
        <f aca="false">IF($A1663="","",IF(ISNUMBER(Base_Bruta!C1663),Base_Bruta!C1663,IF(MID(Base_Bruta!C1663,5,1)="-",DATE(VALUE(LEFT(Base_Bruta!C1663,4)),VALUE(MID(Base_Bruta!C1663,6,2)),VALUE(RIGHT(Base_Bruta!C1663,2))),DATE(VALUE(RIGHT(Base_Bruta!C1663,4)),VALUE(MID(Base_Bruta!C1663,4,2)),VALUE(LEFT(Base_Bruta!C1663,2))))))</f>
        <v>45892</v>
      </c>
      <c r="D1663" s="4" t="str">
        <f aca="false">IF($A1663="","",TRIM(Base_Bruta!D1663))</f>
        <v>Festival Montanhas BH 2025</v>
      </c>
      <c r="E1663" s="4" t="str">
        <f aca="false">IF($A1663="","",_xlfn.XLOOKUP(LOWER(TRIM(Base_Bruta!E1663)),DePara_Categoria!$A$2:$A$9,DePara_Categoria!$B$2:$B$9,"REVISAR"))</f>
        <v>Festival</v>
      </c>
      <c r="F1663" s="4" t="str">
        <f aca="false">IF($A1663="","",_xlfn.XLOOKUP(LOWER(TRIM(Base_Bruta!F1663)),DePara_Cidade!$A$2:$A$29,DePara_Cidade!$B$2:$B$29,"REVISAR"))</f>
        <v>Belo Horizonte</v>
      </c>
      <c r="G1663" s="4" t="str">
        <f aca="false">IF($A1663="","",TRIM(Base_Bruta!G1663))</f>
        <v>VIP</v>
      </c>
      <c r="H1663" s="4" t="n">
        <f aca="false">IF($A1663="","",IF(ISNUMBER(Base_Bruta!H1663),Base_Bruta!H1663,IFERROR(_xlfn.NUMBERVALUE(TRIM(SUBSTITUTE(Base_Bruta!H1663,"R$","")),",","."),0)))</f>
        <v>1</v>
      </c>
      <c r="I1663" s="6" t="n">
        <f aca="false">IF($A1663="","",IF(ISNUMBER(Base_Bruta!I1663),Base_Bruta!I1663,IFERROR(_xlfn.NUMBERVALUE(TRIM(SUBSTITUTE(Base_Bruta!I1663,"R$","")),",","."),0)))</f>
        <v>1550</v>
      </c>
      <c r="J1663" s="6" t="n">
        <f aca="false">IF($A1663="","",H1663*I1663)</f>
        <v>1550</v>
      </c>
      <c r="K1663" s="4" t="str">
        <f aca="false">IF($A1663="","",TRIM(Base_Bruta!J1663))</f>
        <v>Bilheteria</v>
      </c>
      <c r="L1663" s="4" t="str">
        <f aca="false">IF($A1663="","",TRIM(Base_Bruta!K1663))</f>
        <v>C01227</v>
      </c>
      <c r="M1663" s="4" t="str">
        <f aca="false">IF($A1663="","",_xlfn.XLOOKUP(LOWER(TRIM(Base_Bruta!L1663)),DePara_Cidade!$A$2:$A$29,DePara_Cidade!$B$2:$B$29,"REVISAR"))</f>
        <v>Belo Horizonte</v>
      </c>
      <c r="N1663" s="4" t="str">
        <f aca="false">IF($A1663="","",UPPER(TRIM(Base_Bruta!M1663)))</f>
        <v>MG</v>
      </c>
      <c r="O1663" s="4" t="str">
        <f aca="false">IF($A1663="","",_xlfn.XLOOKUP(LOWER(TRIM(Base_Bruta!N1663)),DePara_Pais!$A$2:$A$9,DePara_Pais!$B$2:$B$9,"REVISAR"))</f>
        <v>Brasil</v>
      </c>
      <c r="P1663" s="4" t="str">
        <f aca="false">IF($A1663="","",IF(O1663&lt;&gt;"Brasil","Turista Internacional",IF(M1663=F1663,"Local","Turista Nacional")))</f>
        <v>Local</v>
      </c>
      <c r="Q1663" s="7" t="n">
        <f aca="false">IF($A1663="","",DATE(YEAR(B1663),MONTH(B1663),1))</f>
        <v>45809</v>
      </c>
      <c r="R1663" s="4" t="str">
        <f aca="false">IF($A1663="","",IF(COUNTIF($A$2:$A1663,$A1663)&gt;1,"Sim","Não"))</f>
        <v>Não</v>
      </c>
      <c r="S1663" s="4" t="str">
        <f aca="false">IF(A1663="","Descartar - Linha vazia",IF(R1663="Sim","Descartar - Duplicado",IF(OR(H1663&lt;=0,I1663&lt;=0),"Descartar - Qtd/Valor inválido","OK")))</f>
        <v>OK</v>
      </c>
      <c r="T1663" s="4" t="str">
        <f aca="false">Base_Bruta!P1663</f>
        <v>vendas_MG.csv</v>
      </c>
    </row>
    <row r="1664" customFormat="false" ht="15" hidden="false" customHeight="false" outlineLevel="0" collapsed="false">
      <c r="A1664" s="4" t="str">
        <f aca="false">IF(Base_Bruta!A1664="","",Base_Bruta!A1664)</f>
        <v>MG-000038</v>
      </c>
      <c r="B1664" s="5" t="n">
        <f aca="false">IF($A1664="","",IF(ISNUMBER(Base_Bruta!B1664),Base_Bruta!B1664,IF(MID(Base_Bruta!B1664,5,1)="-",DATE(VALUE(LEFT(Base_Bruta!B1664,4)),VALUE(MID(Base_Bruta!B1664,6,2)),VALUE(RIGHT(Base_Bruta!B1664,2))),DATE(VALUE(RIGHT(Base_Bruta!B1664,4)),VALUE(MID(Base_Bruta!B1664,4,2)),VALUE(LEFT(Base_Bruta!B1664,2))))))</f>
        <v>45810</v>
      </c>
      <c r="C1664" s="5" t="n">
        <f aca="false">IF($A1664="","",IF(ISNUMBER(Base_Bruta!C1664),Base_Bruta!C1664,IF(MID(Base_Bruta!C1664,5,1)="-",DATE(VALUE(LEFT(Base_Bruta!C1664,4)),VALUE(MID(Base_Bruta!C1664,6,2)),VALUE(RIGHT(Base_Bruta!C1664,2))),DATE(VALUE(RIGHT(Base_Bruta!C1664,4)),VALUE(MID(Base_Bruta!C1664,4,2)),VALUE(LEFT(Base_Bruta!C1664,2))))))</f>
        <v>45892</v>
      </c>
      <c r="D1664" s="4" t="str">
        <f aca="false">IF($A1664="","",TRIM(Base_Bruta!D1664))</f>
        <v>Festival Montanhas BH 2025</v>
      </c>
      <c r="E1664" s="4" t="str">
        <f aca="false">IF($A1664="","",_xlfn.XLOOKUP(LOWER(TRIM(Base_Bruta!E1664)),DePara_Categoria!$A$2:$A$9,DePara_Categoria!$B$2:$B$9,"REVISAR"))</f>
        <v>Festival</v>
      </c>
      <c r="F1664" s="4" t="str">
        <f aca="false">IF($A1664="","",_xlfn.XLOOKUP(LOWER(TRIM(Base_Bruta!F1664)),DePara_Cidade!$A$2:$A$29,DePara_Cidade!$B$2:$B$29,"REVISAR"))</f>
        <v>Belo Horizonte</v>
      </c>
      <c r="G1664" s="4" t="str">
        <f aca="false">IF($A1664="","",TRIM(Base_Bruta!G1664))</f>
        <v>Meia</v>
      </c>
      <c r="H1664" s="4" t="n">
        <f aca="false">IF($A1664="","",IF(ISNUMBER(Base_Bruta!H1664),Base_Bruta!H1664,IFERROR(_xlfn.NUMBERVALUE(TRIM(SUBSTITUTE(Base_Bruta!H1664,"R$","")),",","."),0)))</f>
        <v>2</v>
      </c>
      <c r="I1664" s="6" t="n">
        <f aca="false">IF($A1664="","",IF(ISNUMBER(Base_Bruta!I1664),Base_Bruta!I1664,IFERROR(_xlfn.NUMBERVALUE(TRIM(SUBSTITUTE(Base_Bruta!I1664,"R$","")),",","."),0)))</f>
        <v>467.5</v>
      </c>
      <c r="J1664" s="6" t="n">
        <f aca="false">IF($A1664="","",H1664*I1664)</f>
        <v>935</v>
      </c>
      <c r="K1664" s="4" t="str">
        <f aca="false">IF($A1664="","",TRIM(Base_Bruta!J1664))</f>
        <v>App</v>
      </c>
      <c r="L1664" s="4" t="str">
        <f aca="false">IF($A1664="","",TRIM(Base_Bruta!K1664))</f>
        <v>C01708</v>
      </c>
      <c r="M1664" s="4" t="str">
        <f aca="false">IF($A1664="","",_xlfn.XLOOKUP(LOWER(TRIM(Base_Bruta!L1664)),DePara_Cidade!$A$2:$A$29,DePara_Cidade!$B$2:$B$29,"REVISAR"))</f>
        <v>São Paulo</v>
      </c>
      <c r="N1664" s="4" t="str">
        <f aca="false">IF($A1664="","",UPPER(TRIM(Base_Bruta!M1664)))</f>
        <v>SP</v>
      </c>
      <c r="O1664" s="4" t="str">
        <f aca="false">IF($A1664="","",_xlfn.XLOOKUP(LOWER(TRIM(Base_Bruta!N1664)),DePara_Pais!$A$2:$A$9,DePara_Pais!$B$2:$B$9,"REVISAR"))</f>
        <v>Brasil</v>
      </c>
      <c r="P1664" s="4" t="str">
        <f aca="false">IF($A1664="","",IF(O1664&lt;&gt;"Brasil","Turista Internacional",IF(M1664=F1664,"Local","Turista Nacional")))</f>
        <v>Turista Nacional</v>
      </c>
      <c r="Q1664" s="7" t="n">
        <f aca="false">IF($A1664="","",DATE(YEAR(B1664),MONTH(B1664),1))</f>
        <v>45809</v>
      </c>
      <c r="R1664" s="4" t="str">
        <f aca="false">IF($A1664="","",IF(COUNTIF($A$2:$A1664,$A1664)&gt;1,"Sim","Não"))</f>
        <v>Não</v>
      </c>
      <c r="S1664" s="4" t="str">
        <f aca="false">IF(A1664="","Descartar - Linha vazia",IF(R1664="Sim","Descartar - Duplicado",IF(OR(H1664&lt;=0,I1664&lt;=0),"Descartar - Qtd/Valor inválido","OK")))</f>
        <v>OK</v>
      </c>
      <c r="T1664" s="4" t="str">
        <f aca="false">Base_Bruta!P1664</f>
        <v>vendas_MG.csv</v>
      </c>
    </row>
    <row r="1665" customFormat="false" ht="15" hidden="false" customHeight="false" outlineLevel="0" collapsed="false">
      <c r="A1665" s="4" t="str">
        <f aca="false">IF(Base_Bruta!A1665="","",Base_Bruta!A1665)</f>
        <v>MG-000045</v>
      </c>
      <c r="B1665" s="5" t="n">
        <f aca="false">IF($A1665="","",IF(ISNUMBER(Base_Bruta!B1665),Base_Bruta!B1665,IF(MID(Base_Bruta!B1665,5,1)="-",DATE(VALUE(LEFT(Base_Bruta!B1665,4)),VALUE(MID(Base_Bruta!B1665,6,2)),VALUE(RIGHT(Base_Bruta!B1665,2))),DATE(VALUE(RIGHT(Base_Bruta!B1665,4)),VALUE(MID(Base_Bruta!B1665,4,2)),VALUE(LEFT(Base_Bruta!B1665,2))))))</f>
        <v>45810</v>
      </c>
      <c r="C1665" s="5" t="n">
        <f aca="false">IF($A1665="","",IF(ISNUMBER(Base_Bruta!C1665),Base_Bruta!C1665,IF(MID(Base_Bruta!C1665,5,1)="-",DATE(VALUE(LEFT(Base_Bruta!C1665,4)),VALUE(MID(Base_Bruta!C1665,6,2)),VALUE(RIGHT(Base_Bruta!C1665,2))),DATE(VALUE(RIGHT(Base_Bruta!C1665,4)),VALUE(MID(Base_Bruta!C1665,4,2)),VALUE(LEFT(Base_Bruta!C1665,2))))))</f>
        <v>45892</v>
      </c>
      <c r="D1665" s="4" t="str">
        <f aca="false">IF($A1665="","",TRIM(Base_Bruta!D1665))</f>
        <v>Festival Montanhas BH 2025</v>
      </c>
      <c r="E1665" s="4" t="str">
        <f aca="false">IF($A1665="","",_xlfn.XLOOKUP(LOWER(TRIM(Base_Bruta!E1665)),DePara_Categoria!$A$2:$A$9,DePara_Categoria!$B$2:$B$9,"REVISAR"))</f>
        <v>Festival</v>
      </c>
      <c r="F1665" s="4" t="str">
        <f aca="false">IF($A1665="","",_xlfn.XLOOKUP(LOWER(TRIM(Base_Bruta!F1665)),DePara_Cidade!$A$2:$A$29,DePara_Cidade!$B$2:$B$29,"REVISAR"))</f>
        <v>Belo Horizonte</v>
      </c>
      <c r="G1665" s="4" t="str">
        <f aca="false">IF($A1665="","",TRIM(Base_Bruta!G1665))</f>
        <v>Meia</v>
      </c>
      <c r="H1665" s="4" t="n">
        <f aca="false">IF($A1665="","",IF(ISNUMBER(Base_Bruta!H1665),Base_Bruta!H1665,IFERROR(_xlfn.NUMBERVALUE(TRIM(SUBSTITUTE(Base_Bruta!H1665,"R$","")),",","."),0)))</f>
        <v>2</v>
      </c>
      <c r="I1665" s="6" t="n">
        <f aca="false">IF($A1665="","",IF(ISNUMBER(Base_Bruta!I1665),Base_Bruta!I1665,IFERROR(_xlfn.NUMBERVALUE(TRIM(SUBSTITUTE(Base_Bruta!I1665,"R$","")),",","."),0)))</f>
        <v>400</v>
      </c>
      <c r="J1665" s="6" t="n">
        <f aca="false">IF($A1665="","",H1665*I1665)</f>
        <v>800</v>
      </c>
      <c r="K1665" s="4" t="str">
        <f aca="false">IF($A1665="","",TRIM(Base_Bruta!J1665))</f>
        <v>Bilheteria</v>
      </c>
      <c r="L1665" s="4" t="str">
        <f aca="false">IF($A1665="","",TRIM(Base_Bruta!K1665))</f>
        <v>C02253</v>
      </c>
      <c r="M1665" s="4" t="str">
        <f aca="false">IF($A1665="","",_xlfn.XLOOKUP(LOWER(TRIM(Base_Bruta!L1665)),DePara_Cidade!$A$2:$A$29,DePara_Cidade!$B$2:$B$29,"REVISAR"))</f>
        <v>Belo Horizonte</v>
      </c>
      <c r="N1665" s="4" t="str">
        <f aca="false">IF($A1665="","",UPPER(TRIM(Base_Bruta!M1665)))</f>
        <v>MG</v>
      </c>
      <c r="O1665" s="4" t="str">
        <f aca="false">IF($A1665="","",_xlfn.XLOOKUP(LOWER(TRIM(Base_Bruta!N1665)),DePara_Pais!$A$2:$A$9,DePara_Pais!$B$2:$B$9,"REVISAR"))</f>
        <v>Brasil</v>
      </c>
      <c r="P1665" s="4" t="str">
        <f aca="false">IF($A1665="","",IF(O1665&lt;&gt;"Brasil","Turista Internacional",IF(M1665=F1665,"Local","Turista Nacional")))</f>
        <v>Local</v>
      </c>
      <c r="Q1665" s="7" t="n">
        <f aca="false">IF($A1665="","",DATE(YEAR(B1665),MONTH(B1665),1))</f>
        <v>45809</v>
      </c>
      <c r="R1665" s="4" t="str">
        <f aca="false">IF($A1665="","",IF(COUNTIF($A$2:$A1665,$A1665)&gt;1,"Sim","Não"))</f>
        <v>Não</v>
      </c>
      <c r="S1665" s="4" t="str">
        <f aca="false">IF(A1665="","Descartar - Linha vazia",IF(R1665="Sim","Descartar - Duplicado",IF(OR(H1665&lt;=0,I1665&lt;=0),"Descartar - Qtd/Valor inválido","OK")))</f>
        <v>OK</v>
      </c>
      <c r="T1665" s="4" t="str">
        <f aca="false">Base_Bruta!P1665</f>
        <v>vendas_MG.csv</v>
      </c>
    </row>
    <row r="1666" customFormat="false" ht="15" hidden="false" customHeight="false" outlineLevel="0" collapsed="false">
      <c r="A1666" s="4" t="str">
        <f aca="false">IF(Base_Bruta!A1666="","",Base_Bruta!A1666)</f>
        <v>MG-000146</v>
      </c>
      <c r="B1666" s="5" t="n">
        <f aca="false">IF($A1666="","",IF(ISNUMBER(Base_Bruta!B1666),Base_Bruta!B1666,IF(MID(Base_Bruta!B1666,5,1)="-",DATE(VALUE(LEFT(Base_Bruta!B1666,4)),VALUE(MID(Base_Bruta!B1666,6,2)),VALUE(RIGHT(Base_Bruta!B1666,2))),DATE(VALUE(RIGHT(Base_Bruta!B1666,4)),VALUE(MID(Base_Bruta!B1666,4,2)),VALUE(LEFT(Base_Bruta!B1666,2))))))</f>
        <v>45810</v>
      </c>
      <c r="C1666" s="5" t="n">
        <f aca="false">IF($A1666="","",IF(ISNUMBER(Base_Bruta!C1666),Base_Bruta!C1666,IF(MID(Base_Bruta!C1666,5,1)="-",DATE(VALUE(LEFT(Base_Bruta!C1666,4)),VALUE(MID(Base_Bruta!C1666,6,2)),VALUE(RIGHT(Base_Bruta!C1666,2))),DATE(VALUE(RIGHT(Base_Bruta!C1666,4)),VALUE(MID(Base_Bruta!C1666,4,2)),VALUE(LEFT(Base_Bruta!C1666,2))))))</f>
        <v>45892</v>
      </c>
      <c r="D1666" s="4" t="str">
        <f aca="false">IF($A1666="","",TRIM(Base_Bruta!D1666))</f>
        <v>Festival Montanhas BH 2025</v>
      </c>
      <c r="E1666" s="4" t="str">
        <f aca="false">IF($A1666="","",_xlfn.XLOOKUP(LOWER(TRIM(Base_Bruta!E1666)),DePara_Categoria!$A$2:$A$9,DePara_Categoria!$B$2:$B$9,"REVISAR"))</f>
        <v>Festival</v>
      </c>
      <c r="F1666" s="4" t="str">
        <f aca="false">IF($A1666="","",_xlfn.XLOOKUP(LOWER(TRIM(Base_Bruta!F1666)),DePara_Cidade!$A$2:$A$29,DePara_Cidade!$B$2:$B$29,"REVISAR"))</f>
        <v>Belo Horizonte</v>
      </c>
      <c r="G1666" s="4" t="str">
        <f aca="false">IF($A1666="","",TRIM(Base_Bruta!G1666))</f>
        <v>Inteira</v>
      </c>
      <c r="H1666" s="4" t="n">
        <f aca="false">IF($A1666="","",IF(ISNUMBER(Base_Bruta!H1666),Base_Bruta!H1666,IFERROR(_xlfn.NUMBERVALUE(TRIM(SUBSTITUTE(Base_Bruta!H1666,"R$","")),",","."),0)))</f>
        <v>4</v>
      </c>
      <c r="I1666" s="6" t="n">
        <f aca="false">IF($A1666="","",IF(ISNUMBER(Base_Bruta!I1666),Base_Bruta!I1666,IFERROR(_xlfn.NUMBERVALUE(TRIM(SUBSTITUTE(Base_Bruta!I1666,"R$","")),",","."),0)))</f>
        <v>690</v>
      </c>
      <c r="J1666" s="6" t="n">
        <f aca="false">IF($A1666="","",H1666*I1666)</f>
        <v>2760</v>
      </c>
      <c r="K1666" s="4" t="str">
        <f aca="false">IF($A1666="","",TRIM(Base_Bruta!J1666))</f>
        <v>App</v>
      </c>
      <c r="L1666" s="4" t="str">
        <f aca="false">IF($A1666="","",TRIM(Base_Bruta!K1666))</f>
        <v>C00166</v>
      </c>
      <c r="M1666" s="4" t="str">
        <f aca="false">IF($A1666="","",_xlfn.XLOOKUP(LOWER(TRIM(Base_Bruta!L1666)),DePara_Cidade!$A$2:$A$29,DePara_Cidade!$B$2:$B$29,"REVISAR"))</f>
        <v>Belo Horizonte</v>
      </c>
      <c r="N1666" s="4" t="str">
        <f aca="false">IF($A1666="","",UPPER(TRIM(Base_Bruta!M1666)))</f>
        <v>MG</v>
      </c>
      <c r="O1666" s="4" t="str">
        <f aca="false">IF($A1666="","",_xlfn.XLOOKUP(LOWER(TRIM(Base_Bruta!N1666)),DePara_Pais!$A$2:$A$9,DePara_Pais!$B$2:$B$9,"REVISAR"))</f>
        <v>Brasil</v>
      </c>
      <c r="P1666" s="4" t="str">
        <f aca="false">IF($A1666="","",IF(O1666&lt;&gt;"Brasil","Turista Internacional",IF(M1666=F1666,"Local","Turista Nacional")))</f>
        <v>Local</v>
      </c>
      <c r="Q1666" s="7" t="n">
        <f aca="false">IF($A1666="","",DATE(YEAR(B1666),MONTH(B1666),1))</f>
        <v>45809</v>
      </c>
      <c r="R1666" s="4" t="str">
        <f aca="false">IF($A1666="","",IF(COUNTIF($A$2:$A1666,$A1666)&gt;1,"Sim","Não"))</f>
        <v>Não</v>
      </c>
      <c r="S1666" s="4" t="str">
        <f aca="false">IF(A1666="","Descartar - Linha vazia",IF(R1666="Sim","Descartar - Duplicado",IF(OR(H1666&lt;=0,I1666&lt;=0),"Descartar - Qtd/Valor inválido","OK")))</f>
        <v>OK</v>
      </c>
      <c r="T1666" s="4" t="str">
        <f aca="false">Base_Bruta!P1666</f>
        <v>vendas_MG.csv</v>
      </c>
    </row>
    <row r="1667" customFormat="false" ht="15" hidden="false" customHeight="false" outlineLevel="0" collapsed="false">
      <c r="A1667" s="4" t="str">
        <f aca="false">IF(Base_Bruta!A1667="","",Base_Bruta!A1667)</f>
        <v>MG-000172</v>
      </c>
      <c r="B1667" s="5" t="n">
        <f aca="false">IF($A1667="","",IF(ISNUMBER(Base_Bruta!B1667),Base_Bruta!B1667,IF(MID(Base_Bruta!B1667,5,1)="-",DATE(VALUE(LEFT(Base_Bruta!B1667,4)),VALUE(MID(Base_Bruta!B1667,6,2)),VALUE(RIGHT(Base_Bruta!B1667,2))),DATE(VALUE(RIGHT(Base_Bruta!B1667,4)),VALUE(MID(Base_Bruta!B1667,4,2)),VALUE(LEFT(Base_Bruta!B1667,2))))))</f>
        <v>45811</v>
      </c>
      <c r="C1667" s="5" t="n">
        <f aca="false">IF($A1667="","",IF(ISNUMBER(Base_Bruta!C1667),Base_Bruta!C1667,IF(MID(Base_Bruta!C1667,5,1)="-",DATE(VALUE(LEFT(Base_Bruta!C1667,4)),VALUE(MID(Base_Bruta!C1667,6,2)),VALUE(RIGHT(Base_Bruta!C1667,2))),DATE(VALUE(RIGHT(Base_Bruta!C1667,4)),VALUE(MID(Base_Bruta!C1667,4,2)),VALUE(LEFT(Base_Bruta!C1667,2))))))</f>
        <v>45892</v>
      </c>
      <c r="D1667" s="4" t="str">
        <f aca="false">IF($A1667="","",TRIM(Base_Bruta!D1667))</f>
        <v>Festival Montanhas BH 2025</v>
      </c>
      <c r="E1667" s="4" t="str">
        <f aca="false">IF($A1667="","",_xlfn.XLOOKUP(LOWER(TRIM(Base_Bruta!E1667)),DePara_Categoria!$A$2:$A$9,DePara_Categoria!$B$2:$B$9,"REVISAR"))</f>
        <v>Festival</v>
      </c>
      <c r="F1667" s="4" t="str">
        <f aca="false">IF($A1667="","",_xlfn.XLOOKUP(LOWER(TRIM(Base_Bruta!F1667)),DePara_Cidade!$A$2:$A$29,DePara_Cidade!$B$2:$B$29,"REVISAR"))</f>
        <v>Belo Horizonte</v>
      </c>
      <c r="G1667" s="4" t="str">
        <f aca="false">IF($A1667="","",TRIM(Base_Bruta!G1667))</f>
        <v>Meia</v>
      </c>
      <c r="H1667" s="4" t="n">
        <f aca="false">IF($A1667="","",IF(ISNUMBER(Base_Bruta!H1667),Base_Bruta!H1667,IFERROR(_xlfn.NUMBERVALUE(TRIM(SUBSTITUTE(Base_Bruta!H1667,"R$","")),",","."),0)))</f>
        <v>4</v>
      </c>
      <c r="I1667" s="6" t="n">
        <f aca="false">IF($A1667="","",IF(ISNUMBER(Base_Bruta!I1667),Base_Bruta!I1667,IFERROR(_xlfn.NUMBERVALUE(TRIM(SUBSTITUTE(Base_Bruta!I1667,"R$","")),",","."),0)))</f>
        <v>472.5</v>
      </c>
      <c r="J1667" s="6" t="n">
        <f aca="false">IF($A1667="","",H1667*I1667)</f>
        <v>1890</v>
      </c>
      <c r="K1667" s="4" t="str">
        <f aca="false">IF($A1667="","",TRIM(Base_Bruta!J1667))</f>
        <v>App</v>
      </c>
      <c r="L1667" s="4" t="str">
        <f aca="false">IF($A1667="","",TRIM(Base_Bruta!K1667))</f>
        <v>C00778</v>
      </c>
      <c r="M1667" s="4" t="str">
        <f aca="false">IF($A1667="","",_xlfn.XLOOKUP(LOWER(TRIM(Base_Bruta!L1667)),DePara_Cidade!$A$2:$A$29,DePara_Cidade!$B$2:$B$29,"REVISAR"))</f>
        <v>Florianópolis</v>
      </c>
      <c r="N1667" s="4" t="str">
        <f aca="false">IF($A1667="","",UPPER(TRIM(Base_Bruta!M1667)))</f>
        <v>SC</v>
      </c>
      <c r="O1667" s="4" t="str">
        <f aca="false">IF($A1667="","",_xlfn.XLOOKUP(LOWER(TRIM(Base_Bruta!N1667)),DePara_Pais!$A$2:$A$9,DePara_Pais!$B$2:$B$9,"REVISAR"))</f>
        <v>Brasil</v>
      </c>
      <c r="P1667" s="4" t="str">
        <f aca="false">IF($A1667="","",IF(O1667&lt;&gt;"Brasil","Turista Internacional",IF(M1667=F1667,"Local","Turista Nacional")))</f>
        <v>Turista Nacional</v>
      </c>
      <c r="Q1667" s="7" t="n">
        <f aca="false">IF($A1667="","",DATE(YEAR(B1667),MONTH(B1667),1))</f>
        <v>45809</v>
      </c>
      <c r="R1667" s="4" t="str">
        <f aca="false">IF($A1667="","",IF(COUNTIF($A$2:$A1667,$A1667)&gt;1,"Sim","Não"))</f>
        <v>Não</v>
      </c>
      <c r="S1667" s="4" t="str">
        <f aca="false">IF(A1667="","Descartar - Linha vazia",IF(R1667="Sim","Descartar - Duplicado",IF(OR(H1667&lt;=0,I1667&lt;=0),"Descartar - Qtd/Valor inválido","OK")))</f>
        <v>OK</v>
      </c>
      <c r="T1667" s="4" t="str">
        <f aca="false">Base_Bruta!P1667</f>
        <v>vendas_MG.csv</v>
      </c>
    </row>
    <row r="1668" customFormat="false" ht="15" hidden="false" customHeight="false" outlineLevel="0" collapsed="false">
      <c r="A1668" s="4" t="str">
        <f aca="false">IF(Base_Bruta!A1668="","",Base_Bruta!A1668)</f>
        <v>MG-000007</v>
      </c>
      <c r="B1668" s="5" t="n">
        <f aca="false">IF($A1668="","",IF(ISNUMBER(Base_Bruta!B1668),Base_Bruta!B1668,IF(MID(Base_Bruta!B1668,5,1)="-",DATE(VALUE(LEFT(Base_Bruta!B1668,4)),VALUE(MID(Base_Bruta!B1668,6,2)),VALUE(RIGHT(Base_Bruta!B1668,2))),DATE(VALUE(RIGHT(Base_Bruta!B1668,4)),VALUE(MID(Base_Bruta!B1668,4,2)),VALUE(LEFT(Base_Bruta!B1668,2))))))</f>
        <v>45813</v>
      </c>
      <c r="C1668" s="5" t="n">
        <f aca="false">IF($A1668="","",IF(ISNUMBER(Base_Bruta!C1668),Base_Bruta!C1668,IF(MID(Base_Bruta!C1668,5,1)="-",DATE(VALUE(LEFT(Base_Bruta!C1668,4)),VALUE(MID(Base_Bruta!C1668,6,2)),VALUE(RIGHT(Base_Bruta!C1668,2))),DATE(VALUE(RIGHT(Base_Bruta!C1668,4)),VALUE(MID(Base_Bruta!C1668,4,2)),VALUE(LEFT(Base_Bruta!C1668,2))))))</f>
        <v>45892</v>
      </c>
      <c r="D1668" s="4" t="str">
        <f aca="false">IF($A1668="","",TRIM(Base_Bruta!D1668))</f>
        <v>Festival Montanhas BH 2025</v>
      </c>
      <c r="E1668" s="4" t="str">
        <f aca="false">IF($A1668="","",_xlfn.XLOOKUP(LOWER(TRIM(Base_Bruta!E1668)),DePara_Categoria!$A$2:$A$9,DePara_Categoria!$B$2:$B$9,"REVISAR"))</f>
        <v>Festival</v>
      </c>
      <c r="F1668" s="4" t="str">
        <f aca="false">IF($A1668="","",_xlfn.XLOOKUP(LOWER(TRIM(Base_Bruta!F1668)),DePara_Cidade!$A$2:$A$29,DePara_Cidade!$B$2:$B$29,"REVISAR"))</f>
        <v>Belo Horizonte</v>
      </c>
      <c r="G1668" s="4" t="str">
        <f aca="false">IF($A1668="","",TRIM(Base_Bruta!G1668))</f>
        <v>Meia</v>
      </c>
      <c r="H1668" s="4" t="n">
        <f aca="false">IF($A1668="","",IF(ISNUMBER(Base_Bruta!H1668),Base_Bruta!H1668,IFERROR(_xlfn.NUMBERVALUE(TRIM(SUBSTITUTE(Base_Bruta!H1668,"R$","")),",","."),0)))</f>
        <v>2</v>
      </c>
      <c r="I1668" s="6" t="n">
        <f aca="false">IF($A1668="","",IF(ISNUMBER(Base_Bruta!I1668),Base_Bruta!I1668,IFERROR(_xlfn.NUMBERVALUE(TRIM(SUBSTITUTE(Base_Bruta!I1668,"R$","")),",","."),0)))</f>
        <v>507.5</v>
      </c>
      <c r="J1668" s="6" t="n">
        <f aca="false">IF($A1668="","",H1668*I1668)</f>
        <v>1015</v>
      </c>
      <c r="K1668" s="4" t="str">
        <f aca="false">IF($A1668="","",TRIM(Base_Bruta!J1668))</f>
        <v>Site</v>
      </c>
      <c r="L1668" s="4" t="str">
        <f aca="false">IF($A1668="","",TRIM(Base_Bruta!K1668))</f>
        <v>C01473</v>
      </c>
      <c r="M1668" s="4" t="str">
        <f aca="false">IF($A1668="","",_xlfn.XLOOKUP(LOWER(TRIM(Base_Bruta!L1668)),DePara_Cidade!$A$2:$A$29,DePara_Cidade!$B$2:$B$29,"REVISAR"))</f>
        <v>São Paulo</v>
      </c>
      <c r="N1668" s="4" t="str">
        <f aca="false">IF($A1668="","",UPPER(TRIM(Base_Bruta!M1668)))</f>
        <v>SP</v>
      </c>
      <c r="O1668" s="4" t="str">
        <f aca="false">IF($A1668="","",_xlfn.XLOOKUP(LOWER(TRIM(Base_Bruta!N1668)),DePara_Pais!$A$2:$A$9,DePara_Pais!$B$2:$B$9,"REVISAR"))</f>
        <v>Brasil</v>
      </c>
      <c r="P1668" s="4" t="str">
        <f aca="false">IF($A1668="","",IF(O1668&lt;&gt;"Brasil","Turista Internacional",IF(M1668=F1668,"Local","Turista Nacional")))</f>
        <v>Turista Nacional</v>
      </c>
      <c r="Q1668" s="7" t="n">
        <f aca="false">IF($A1668="","",DATE(YEAR(B1668),MONTH(B1668),1))</f>
        <v>45809</v>
      </c>
      <c r="R1668" s="4" t="str">
        <f aca="false">IF($A1668="","",IF(COUNTIF($A$2:$A1668,$A1668)&gt;1,"Sim","Não"))</f>
        <v>Não</v>
      </c>
      <c r="S1668" s="4" t="str">
        <f aca="false">IF(A1668="","Descartar - Linha vazia",IF(R1668="Sim","Descartar - Duplicado",IF(OR(H1668&lt;=0,I1668&lt;=0),"Descartar - Qtd/Valor inválido","OK")))</f>
        <v>OK</v>
      </c>
      <c r="T1668" s="4" t="str">
        <f aca="false">Base_Bruta!P1668</f>
        <v>vendas_MG.csv</v>
      </c>
    </row>
    <row r="1669" customFormat="false" ht="15" hidden="false" customHeight="false" outlineLevel="0" collapsed="false">
      <c r="A1669" s="4" t="str">
        <f aca="false">IF(Base_Bruta!A1669="","",Base_Bruta!A1669)</f>
        <v>MG-000023</v>
      </c>
      <c r="B1669" s="5" t="n">
        <f aca="false">IF($A1669="","",IF(ISNUMBER(Base_Bruta!B1669),Base_Bruta!B1669,IF(MID(Base_Bruta!B1669,5,1)="-",DATE(VALUE(LEFT(Base_Bruta!B1669,4)),VALUE(MID(Base_Bruta!B1669,6,2)),VALUE(RIGHT(Base_Bruta!B1669,2))),DATE(VALUE(RIGHT(Base_Bruta!B1669,4)),VALUE(MID(Base_Bruta!B1669,4,2)),VALUE(LEFT(Base_Bruta!B1669,2))))))</f>
        <v>45813</v>
      </c>
      <c r="C1669" s="5" t="n">
        <f aca="false">IF($A1669="","",IF(ISNUMBER(Base_Bruta!C1669),Base_Bruta!C1669,IF(MID(Base_Bruta!C1669,5,1)="-",DATE(VALUE(LEFT(Base_Bruta!C1669,4)),VALUE(MID(Base_Bruta!C1669,6,2)),VALUE(RIGHT(Base_Bruta!C1669,2))),DATE(VALUE(RIGHT(Base_Bruta!C1669,4)),VALUE(MID(Base_Bruta!C1669,4,2)),VALUE(LEFT(Base_Bruta!C1669,2))))))</f>
        <v>45892</v>
      </c>
      <c r="D1669" s="4" t="str">
        <f aca="false">IF($A1669="","",TRIM(Base_Bruta!D1669))</f>
        <v>Festival Montanhas BH 2025</v>
      </c>
      <c r="E1669" s="4" t="str">
        <f aca="false">IF($A1669="","",_xlfn.XLOOKUP(LOWER(TRIM(Base_Bruta!E1669)),DePara_Categoria!$A$2:$A$9,DePara_Categoria!$B$2:$B$9,"REVISAR"))</f>
        <v>Festival</v>
      </c>
      <c r="F1669" s="4" t="str">
        <f aca="false">IF($A1669="","",_xlfn.XLOOKUP(LOWER(TRIM(Base_Bruta!F1669)),DePara_Cidade!$A$2:$A$29,DePara_Cidade!$B$2:$B$29,"REVISAR"))</f>
        <v>Belo Horizonte</v>
      </c>
      <c r="G1669" s="4" t="str">
        <f aca="false">IF($A1669="","",TRIM(Base_Bruta!G1669))</f>
        <v>Meia</v>
      </c>
      <c r="H1669" s="4" t="n">
        <f aca="false">IF($A1669="","",IF(ISNUMBER(Base_Bruta!H1669),Base_Bruta!H1669,IFERROR(_xlfn.NUMBERVALUE(TRIM(SUBSTITUTE(Base_Bruta!H1669,"R$","")),",","."),0)))</f>
        <v>2</v>
      </c>
      <c r="I1669" s="6" t="n">
        <f aca="false">IF($A1669="","",IF(ISNUMBER(Base_Bruta!I1669),Base_Bruta!I1669,IFERROR(_xlfn.NUMBERVALUE(TRIM(SUBSTITUTE(Base_Bruta!I1669,"R$","")),",","."),0)))</f>
        <v>342.5</v>
      </c>
      <c r="J1669" s="6" t="n">
        <f aca="false">IF($A1669="","",H1669*I1669)</f>
        <v>685</v>
      </c>
      <c r="K1669" s="4" t="str">
        <f aca="false">IF($A1669="","",TRIM(Base_Bruta!J1669))</f>
        <v>Bilheteria</v>
      </c>
      <c r="L1669" s="4" t="str">
        <f aca="false">IF($A1669="","",TRIM(Base_Bruta!K1669))</f>
        <v>C02069</v>
      </c>
      <c r="M1669" s="4" t="str">
        <f aca="false">IF($A1669="","",_xlfn.XLOOKUP(LOWER(TRIM(Base_Bruta!L1669)),DePara_Cidade!$A$2:$A$29,DePara_Cidade!$B$2:$B$29,"REVISAR"))</f>
        <v>Contagem</v>
      </c>
      <c r="N1669" s="4" t="str">
        <f aca="false">IF($A1669="","",UPPER(TRIM(Base_Bruta!M1669)))</f>
        <v>MG</v>
      </c>
      <c r="O1669" s="4" t="str">
        <f aca="false">IF($A1669="","",_xlfn.XLOOKUP(LOWER(TRIM(Base_Bruta!N1669)),DePara_Pais!$A$2:$A$9,DePara_Pais!$B$2:$B$9,"REVISAR"))</f>
        <v>Brasil</v>
      </c>
      <c r="P1669" s="4" t="str">
        <f aca="false">IF($A1669="","",IF(O1669&lt;&gt;"Brasil","Turista Internacional",IF(M1669=F1669,"Local","Turista Nacional")))</f>
        <v>Turista Nacional</v>
      </c>
      <c r="Q1669" s="7" t="n">
        <f aca="false">IF($A1669="","",DATE(YEAR(B1669),MONTH(B1669),1))</f>
        <v>45809</v>
      </c>
      <c r="R1669" s="4" t="str">
        <f aca="false">IF($A1669="","",IF(COUNTIF($A$2:$A1669,$A1669)&gt;1,"Sim","Não"))</f>
        <v>Não</v>
      </c>
      <c r="S1669" s="4" t="str">
        <f aca="false">IF(A1669="","Descartar - Linha vazia",IF(R1669="Sim","Descartar - Duplicado",IF(OR(H1669&lt;=0,I1669&lt;=0),"Descartar - Qtd/Valor inválido","OK")))</f>
        <v>OK</v>
      </c>
      <c r="T1669" s="4" t="str">
        <f aca="false">Base_Bruta!P1669</f>
        <v>vendas_MG.csv</v>
      </c>
    </row>
    <row r="1670" customFormat="false" ht="15" hidden="false" customHeight="false" outlineLevel="0" collapsed="false">
      <c r="A1670" s="4" t="str">
        <f aca="false">IF(Base_Bruta!A1670="","",Base_Bruta!A1670)</f>
        <v>MG-000105</v>
      </c>
      <c r="B1670" s="5" t="n">
        <f aca="false">IF($A1670="","",IF(ISNUMBER(Base_Bruta!B1670),Base_Bruta!B1670,IF(MID(Base_Bruta!B1670,5,1)="-",DATE(VALUE(LEFT(Base_Bruta!B1670,4)),VALUE(MID(Base_Bruta!B1670,6,2)),VALUE(RIGHT(Base_Bruta!B1670,2))),DATE(VALUE(RIGHT(Base_Bruta!B1670,4)),VALUE(MID(Base_Bruta!B1670,4,2)),VALUE(LEFT(Base_Bruta!B1670,2))))))</f>
        <v>45813</v>
      </c>
      <c r="C1670" s="5" t="n">
        <f aca="false">IF($A1670="","",IF(ISNUMBER(Base_Bruta!C1670),Base_Bruta!C1670,IF(MID(Base_Bruta!C1670,5,1)="-",DATE(VALUE(LEFT(Base_Bruta!C1670,4)),VALUE(MID(Base_Bruta!C1670,6,2)),VALUE(RIGHT(Base_Bruta!C1670,2))),DATE(VALUE(RIGHT(Base_Bruta!C1670,4)),VALUE(MID(Base_Bruta!C1670,4,2)),VALUE(LEFT(Base_Bruta!C1670,2))))))</f>
        <v>45892</v>
      </c>
      <c r="D1670" s="4" t="str">
        <f aca="false">IF($A1670="","",TRIM(Base_Bruta!D1670))</f>
        <v>Festival Montanhas BH 2025</v>
      </c>
      <c r="E1670" s="4" t="str">
        <f aca="false">IF($A1670="","",_xlfn.XLOOKUP(LOWER(TRIM(Base_Bruta!E1670)),DePara_Categoria!$A$2:$A$9,DePara_Categoria!$B$2:$B$9,"REVISAR"))</f>
        <v>Festival</v>
      </c>
      <c r="F1670" s="4" t="str">
        <f aca="false">IF($A1670="","",_xlfn.XLOOKUP(LOWER(TRIM(Base_Bruta!F1670)),DePara_Cidade!$A$2:$A$29,DePara_Cidade!$B$2:$B$29,"REVISAR"))</f>
        <v>Belo Horizonte</v>
      </c>
      <c r="G1670" s="4" t="str">
        <f aca="false">IF($A1670="","",TRIM(Base_Bruta!G1670))</f>
        <v>Inteira</v>
      </c>
      <c r="H1670" s="4" t="n">
        <f aca="false">IF($A1670="","",IF(ISNUMBER(Base_Bruta!H1670),Base_Bruta!H1670,IFERROR(_xlfn.NUMBERVALUE(TRIM(SUBSTITUTE(Base_Bruta!H1670,"R$","")),",","."),0)))</f>
        <v>1</v>
      </c>
      <c r="I1670" s="6" t="n">
        <f aca="false">IF($A1670="","",IF(ISNUMBER(Base_Bruta!I1670),Base_Bruta!I1670,IFERROR(_xlfn.NUMBERVALUE(TRIM(SUBSTITUTE(Base_Bruta!I1670,"R$","")),",","."),0)))</f>
        <v>730</v>
      </c>
      <c r="J1670" s="6" t="n">
        <f aca="false">IF($A1670="","",H1670*I1670)</f>
        <v>730</v>
      </c>
      <c r="K1670" s="4" t="str">
        <f aca="false">IF($A1670="","",TRIM(Base_Bruta!J1670))</f>
        <v>App</v>
      </c>
      <c r="L1670" s="4" t="str">
        <f aca="false">IF($A1670="","",TRIM(Base_Bruta!K1670))</f>
        <v>C02454</v>
      </c>
      <c r="M1670" s="4" t="str">
        <f aca="false">IF($A1670="","",_xlfn.XLOOKUP(LOWER(TRIM(Base_Bruta!L1670)),DePara_Cidade!$A$2:$A$29,DePara_Cidade!$B$2:$B$29,"REVISAR"))</f>
        <v>Contagem</v>
      </c>
      <c r="N1670" s="4" t="str">
        <f aca="false">IF($A1670="","",UPPER(TRIM(Base_Bruta!M1670)))</f>
        <v>MG</v>
      </c>
      <c r="O1670" s="4" t="str">
        <f aca="false">IF($A1670="","",_xlfn.XLOOKUP(LOWER(TRIM(Base_Bruta!N1670)),DePara_Pais!$A$2:$A$9,DePara_Pais!$B$2:$B$9,"REVISAR"))</f>
        <v>Brasil</v>
      </c>
      <c r="P1670" s="4" t="str">
        <f aca="false">IF($A1670="","",IF(O1670&lt;&gt;"Brasil","Turista Internacional",IF(M1670=F1670,"Local","Turista Nacional")))</f>
        <v>Turista Nacional</v>
      </c>
      <c r="Q1670" s="7" t="n">
        <f aca="false">IF($A1670="","",DATE(YEAR(B1670),MONTH(B1670),1))</f>
        <v>45809</v>
      </c>
      <c r="R1670" s="4" t="str">
        <f aca="false">IF($A1670="","",IF(COUNTIF($A$2:$A1670,$A1670)&gt;1,"Sim","Não"))</f>
        <v>Não</v>
      </c>
      <c r="S1670" s="4" t="str">
        <f aca="false">IF(A1670="","Descartar - Linha vazia",IF(R1670="Sim","Descartar - Duplicado",IF(OR(H1670&lt;=0,I1670&lt;=0),"Descartar - Qtd/Valor inválido","OK")))</f>
        <v>OK</v>
      </c>
      <c r="T1670" s="4" t="str">
        <f aca="false">Base_Bruta!P1670</f>
        <v>vendas_MG.csv</v>
      </c>
    </row>
    <row r="1671" customFormat="false" ht="15" hidden="false" customHeight="false" outlineLevel="0" collapsed="false">
      <c r="A1671" s="4" t="str">
        <f aca="false">IF(Base_Bruta!A1671="","",Base_Bruta!A1671)</f>
        <v>MG-000189</v>
      </c>
      <c r="B1671" s="5" t="n">
        <f aca="false">IF($A1671="","",IF(ISNUMBER(Base_Bruta!B1671),Base_Bruta!B1671,IF(MID(Base_Bruta!B1671,5,1)="-",DATE(VALUE(LEFT(Base_Bruta!B1671,4)),VALUE(MID(Base_Bruta!B1671,6,2)),VALUE(RIGHT(Base_Bruta!B1671,2))),DATE(VALUE(RIGHT(Base_Bruta!B1671,4)),VALUE(MID(Base_Bruta!B1671,4,2)),VALUE(LEFT(Base_Bruta!B1671,2))))))</f>
        <v>45813</v>
      </c>
      <c r="C1671" s="5" t="n">
        <f aca="false">IF($A1671="","",IF(ISNUMBER(Base_Bruta!C1671),Base_Bruta!C1671,IF(MID(Base_Bruta!C1671,5,1)="-",DATE(VALUE(LEFT(Base_Bruta!C1671,4)),VALUE(MID(Base_Bruta!C1671,6,2)),VALUE(RIGHT(Base_Bruta!C1671,2))),DATE(VALUE(RIGHT(Base_Bruta!C1671,4)),VALUE(MID(Base_Bruta!C1671,4,2)),VALUE(LEFT(Base_Bruta!C1671,2))))))</f>
        <v>45892</v>
      </c>
      <c r="D1671" s="4" t="str">
        <f aca="false">IF($A1671="","",TRIM(Base_Bruta!D1671))</f>
        <v>Festival Montanhas BH 2025</v>
      </c>
      <c r="E1671" s="4" t="str">
        <f aca="false">IF($A1671="","",_xlfn.XLOOKUP(LOWER(TRIM(Base_Bruta!E1671)),DePara_Categoria!$A$2:$A$9,DePara_Categoria!$B$2:$B$9,"REVISAR"))</f>
        <v>Festival</v>
      </c>
      <c r="F1671" s="4" t="str">
        <f aca="false">IF($A1671="","",_xlfn.XLOOKUP(LOWER(TRIM(Base_Bruta!F1671)),DePara_Cidade!$A$2:$A$29,DePara_Cidade!$B$2:$B$29,"REVISAR"))</f>
        <v>Belo Horizonte</v>
      </c>
      <c r="G1671" s="4" t="str">
        <f aca="false">IF($A1671="","",TRIM(Base_Bruta!G1671))</f>
        <v>VIP</v>
      </c>
      <c r="H1671" s="4" t="n">
        <f aca="false">IF($A1671="","",IF(ISNUMBER(Base_Bruta!H1671),Base_Bruta!H1671,IFERROR(_xlfn.NUMBERVALUE(TRIM(SUBSTITUTE(Base_Bruta!H1671,"R$","")),",","."),0)))</f>
        <v>3</v>
      </c>
      <c r="I1671" s="6" t="n">
        <f aca="false">IF($A1671="","",IF(ISNUMBER(Base_Bruta!I1671),Base_Bruta!I1671,IFERROR(_xlfn.NUMBERVALUE(TRIM(SUBSTITUTE(Base_Bruta!I1671,"R$","")),",","."),0)))</f>
        <v>1940</v>
      </c>
      <c r="J1671" s="6" t="n">
        <f aca="false">IF($A1671="","",H1671*I1671)</f>
        <v>5820</v>
      </c>
      <c r="K1671" s="4" t="str">
        <f aca="false">IF($A1671="","",TRIM(Base_Bruta!J1671))</f>
        <v>App</v>
      </c>
      <c r="L1671" s="4" t="str">
        <f aca="false">IF($A1671="","",TRIM(Base_Bruta!K1671))</f>
        <v>C00796</v>
      </c>
      <c r="M1671" s="4" t="str">
        <f aca="false">IF($A1671="","",_xlfn.XLOOKUP(LOWER(TRIM(Base_Bruta!L1671)),DePara_Cidade!$A$2:$A$29,DePara_Cidade!$B$2:$B$29,"REVISAR"))</f>
        <v>Campinas</v>
      </c>
      <c r="N1671" s="4" t="str">
        <f aca="false">IF($A1671="","",UPPER(TRIM(Base_Bruta!M1671)))</f>
        <v>SP</v>
      </c>
      <c r="O1671" s="4" t="str">
        <f aca="false">IF($A1671="","",_xlfn.XLOOKUP(LOWER(TRIM(Base_Bruta!N1671)),DePara_Pais!$A$2:$A$9,DePara_Pais!$B$2:$B$9,"REVISAR"))</f>
        <v>Brasil</v>
      </c>
      <c r="P1671" s="4" t="str">
        <f aca="false">IF($A1671="","",IF(O1671&lt;&gt;"Brasil","Turista Internacional",IF(M1671=F1671,"Local","Turista Nacional")))</f>
        <v>Turista Nacional</v>
      </c>
      <c r="Q1671" s="7" t="n">
        <f aca="false">IF($A1671="","",DATE(YEAR(B1671),MONTH(B1671),1))</f>
        <v>45809</v>
      </c>
      <c r="R1671" s="4" t="str">
        <f aca="false">IF($A1671="","",IF(COUNTIF($A$2:$A1671,$A1671)&gt;1,"Sim","Não"))</f>
        <v>Não</v>
      </c>
      <c r="S1671" s="4" t="str">
        <f aca="false">IF(A1671="","Descartar - Linha vazia",IF(R1671="Sim","Descartar - Duplicado",IF(OR(H1671&lt;=0,I1671&lt;=0),"Descartar - Qtd/Valor inválido","OK")))</f>
        <v>OK</v>
      </c>
      <c r="T1671" s="4" t="str">
        <f aca="false">Base_Bruta!P1671</f>
        <v>vendas_MG.csv</v>
      </c>
    </row>
    <row r="1672" customFormat="false" ht="15" hidden="false" customHeight="false" outlineLevel="0" collapsed="false">
      <c r="A1672" s="4" t="str">
        <f aca="false">IF(Base_Bruta!A1672="","",Base_Bruta!A1672)</f>
        <v>MG-000034</v>
      </c>
      <c r="B1672" s="5" t="n">
        <f aca="false">IF($A1672="","",IF(ISNUMBER(Base_Bruta!B1672),Base_Bruta!B1672,IF(MID(Base_Bruta!B1672,5,1)="-",DATE(VALUE(LEFT(Base_Bruta!B1672,4)),VALUE(MID(Base_Bruta!B1672,6,2)),VALUE(RIGHT(Base_Bruta!B1672,2))),DATE(VALUE(RIGHT(Base_Bruta!B1672,4)),VALUE(MID(Base_Bruta!B1672,4,2)),VALUE(LEFT(Base_Bruta!B1672,2))))))</f>
        <v>45817</v>
      </c>
      <c r="C1672" s="5" t="n">
        <f aca="false">IF($A1672="","",IF(ISNUMBER(Base_Bruta!C1672),Base_Bruta!C1672,IF(MID(Base_Bruta!C1672,5,1)="-",DATE(VALUE(LEFT(Base_Bruta!C1672,4)),VALUE(MID(Base_Bruta!C1672,6,2)),VALUE(RIGHT(Base_Bruta!C1672,2))),DATE(VALUE(RIGHT(Base_Bruta!C1672,4)),VALUE(MID(Base_Bruta!C1672,4,2)),VALUE(LEFT(Base_Bruta!C1672,2))))))</f>
        <v>45892</v>
      </c>
      <c r="D1672" s="4" t="str">
        <f aca="false">IF($A1672="","",TRIM(Base_Bruta!D1672))</f>
        <v>Festival Montanhas BH 2025</v>
      </c>
      <c r="E1672" s="4" t="str">
        <f aca="false">IF($A1672="","",_xlfn.XLOOKUP(LOWER(TRIM(Base_Bruta!E1672)),DePara_Categoria!$A$2:$A$9,DePara_Categoria!$B$2:$B$9,"REVISAR"))</f>
        <v>Festival</v>
      </c>
      <c r="F1672" s="4" t="str">
        <f aca="false">IF($A1672="","",_xlfn.XLOOKUP(LOWER(TRIM(Base_Bruta!F1672)),DePara_Cidade!$A$2:$A$29,DePara_Cidade!$B$2:$B$29,"REVISAR"))</f>
        <v>Belo Horizonte</v>
      </c>
      <c r="G1672" s="4" t="str">
        <f aca="false">IF($A1672="","",TRIM(Base_Bruta!G1672))</f>
        <v>Meia</v>
      </c>
      <c r="H1672" s="4" t="n">
        <f aca="false">IF($A1672="","",IF(ISNUMBER(Base_Bruta!H1672),Base_Bruta!H1672,IFERROR(_xlfn.NUMBERVALUE(TRIM(SUBSTITUTE(Base_Bruta!H1672,"R$","")),",","."),0)))</f>
        <v>2</v>
      </c>
      <c r="I1672" s="6" t="n">
        <f aca="false">IF($A1672="","",IF(ISNUMBER(Base_Bruta!I1672),Base_Bruta!I1672,IFERROR(_xlfn.NUMBERVALUE(TRIM(SUBSTITUTE(Base_Bruta!I1672,"R$","")),",","."),0)))</f>
        <v>567.5</v>
      </c>
      <c r="J1672" s="6" t="n">
        <f aca="false">IF($A1672="","",H1672*I1672)</f>
        <v>1135</v>
      </c>
      <c r="K1672" s="4" t="str">
        <f aca="false">IF($A1672="","",TRIM(Base_Bruta!J1672))</f>
        <v>Site</v>
      </c>
      <c r="L1672" s="4" t="str">
        <f aca="false">IF($A1672="","",TRIM(Base_Bruta!K1672))</f>
        <v>C01809</v>
      </c>
      <c r="M1672" s="4" t="str">
        <f aca="false">IF($A1672="","",_xlfn.XLOOKUP(LOWER(TRIM(Base_Bruta!L1672)),DePara_Cidade!$A$2:$A$29,DePara_Cidade!$B$2:$B$29,"REVISAR"))</f>
        <v>Belo Horizonte</v>
      </c>
      <c r="N1672" s="4" t="str">
        <f aca="false">IF($A1672="","",UPPER(TRIM(Base_Bruta!M1672)))</f>
        <v>MG</v>
      </c>
      <c r="O1672" s="4" t="str">
        <f aca="false">IF($A1672="","",_xlfn.XLOOKUP(LOWER(TRIM(Base_Bruta!N1672)),DePara_Pais!$A$2:$A$9,DePara_Pais!$B$2:$B$9,"REVISAR"))</f>
        <v>Brasil</v>
      </c>
      <c r="P1672" s="4" t="str">
        <f aca="false">IF($A1672="","",IF(O1672&lt;&gt;"Brasil","Turista Internacional",IF(M1672=F1672,"Local","Turista Nacional")))</f>
        <v>Local</v>
      </c>
      <c r="Q1672" s="7" t="n">
        <f aca="false">IF($A1672="","",DATE(YEAR(B1672),MONTH(B1672),1))</f>
        <v>45809</v>
      </c>
      <c r="R1672" s="4" t="str">
        <f aca="false">IF($A1672="","",IF(COUNTIF($A$2:$A1672,$A1672)&gt;1,"Sim","Não"))</f>
        <v>Não</v>
      </c>
      <c r="S1672" s="4" t="str">
        <f aca="false">IF(A1672="","Descartar - Linha vazia",IF(R1672="Sim","Descartar - Duplicado",IF(OR(H1672&lt;=0,I1672&lt;=0),"Descartar - Qtd/Valor inválido","OK")))</f>
        <v>OK</v>
      </c>
      <c r="T1672" s="4" t="str">
        <f aca="false">Base_Bruta!P1672</f>
        <v>vendas_MG.csv</v>
      </c>
    </row>
    <row r="1673" customFormat="false" ht="15" hidden="false" customHeight="false" outlineLevel="0" collapsed="false">
      <c r="A1673" s="4" t="str">
        <f aca="false">IF(Base_Bruta!A1673="","",Base_Bruta!A1673)</f>
        <v>MG-000229</v>
      </c>
      <c r="B1673" s="5" t="n">
        <f aca="false">IF($A1673="","",IF(ISNUMBER(Base_Bruta!B1673),Base_Bruta!B1673,IF(MID(Base_Bruta!B1673,5,1)="-",DATE(VALUE(LEFT(Base_Bruta!B1673,4)),VALUE(MID(Base_Bruta!B1673,6,2)),VALUE(RIGHT(Base_Bruta!B1673,2))),DATE(VALUE(RIGHT(Base_Bruta!B1673,4)),VALUE(MID(Base_Bruta!B1673,4,2)),VALUE(LEFT(Base_Bruta!B1673,2))))))</f>
        <v>45818</v>
      </c>
      <c r="C1673" s="5" t="n">
        <f aca="false">IF($A1673="","",IF(ISNUMBER(Base_Bruta!C1673),Base_Bruta!C1673,IF(MID(Base_Bruta!C1673,5,1)="-",DATE(VALUE(LEFT(Base_Bruta!C1673,4)),VALUE(MID(Base_Bruta!C1673,6,2)),VALUE(RIGHT(Base_Bruta!C1673,2))),DATE(VALUE(RIGHT(Base_Bruta!C1673,4)),VALUE(MID(Base_Bruta!C1673,4,2)),VALUE(LEFT(Base_Bruta!C1673,2))))))</f>
        <v>45892</v>
      </c>
      <c r="D1673" s="4" t="str">
        <f aca="false">IF($A1673="","",TRIM(Base_Bruta!D1673))</f>
        <v>Festival Montanhas BH 2025</v>
      </c>
      <c r="E1673" s="4" t="str">
        <f aca="false">IF($A1673="","",_xlfn.XLOOKUP(LOWER(TRIM(Base_Bruta!E1673)),DePara_Categoria!$A$2:$A$9,DePara_Categoria!$B$2:$B$9,"REVISAR"))</f>
        <v>Festival</v>
      </c>
      <c r="F1673" s="4" t="str">
        <f aca="false">IF($A1673="","",_xlfn.XLOOKUP(LOWER(TRIM(Base_Bruta!F1673)),DePara_Cidade!$A$2:$A$29,DePara_Cidade!$B$2:$B$29,"REVISAR"))</f>
        <v>Belo Horizonte</v>
      </c>
      <c r="G1673" s="4" t="str">
        <f aca="false">IF($A1673="","",TRIM(Base_Bruta!G1673))</f>
        <v>Inteira</v>
      </c>
      <c r="H1673" s="4" t="n">
        <f aca="false">IF($A1673="","",IF(ISNUMBER(Base_Bruta!H1673),Base_Bruta!H1673,IFERROR(_xlfn.NUMBERVALUE(TRIM(SUBSTITUTE(Base_Bruta!H1673,"R$","")),",","."),0)))</f>
        <v>1</v>
      </c>
      <c r="I1673" s="6" t="n">
        <f aca="false">IF($A1673="","",IF(ISNUMBER(Base_Bruta!I1673),Base_Bruta!I1673,IFERROR(_xlfn.NUMBERVALUE(TRIM(SUBSTITUTE(Base_Bruta!I1673,"R$","")),",","."),0)))</f>
        <v>700</v>
      </c>
      <c r="J1673" s="6" t="n">
        <f aca="false">IF($A1673="","",H1673*I1673)</f>
        <v>700</v>
      </c>
      <c r="K1673" s="4" t="str">
        <f aca="false">IF($A1673="","",TRIM(Base_Bruta!J1673))</f>
        <v>Site</v>
      </c>
      <c r="L1673" s="4" t="str">
        <f aca="false">IF($A1673="","",TRIM(Base_Bruta!K1673))</f>
        <v>C01612</v>
      </c>
      <c r="M1673" s="4" t="str">
        <f aca="false">IF($A1673="","",_xlfn.XLOOKUP(LOWER(TRIM(Base_Bruta!L1673)),DePara_Cidade!$A$2:$A$29,DePara_Cidade!$B$2:$B$29,"REVISAR"))</f>
        <v>Belo Horizonte</v>
      </c>
      <c r="N1673" s="4" t="str">
        <f aca="false">IF($A1673="","",UPPER(TRIM(Base_Bruta!M1673)))</f>
        <v>MG</v>
      </c>
      <c r="O1673" s="4" t="str">
        <f aca="false">IF($A1673="","",_xlfn.XLOOKUP(LOWER(TRIM(Base_Bruta!N1673)),DePara_Pais!$A$2:$A$9,DePara_Pais!$B$2:$B$9,"REVISAR"))</f>
        <v>Brasil</v>
      </c>
      <c r="P1673" s="4" t="str">
        <f aca="false">IF($A1673="","",IF(O1673&lt;&gt;"Brasil","Turista Internacional",IF(M1673=F1673,"Local","Turista Nacional")))</f>
        <v>Local</v>
      </c>
      <c r="Q1673" s="7" t="n">
        <f aca="false">IF($A1673="","",DATE(YEAR(B1673),MONTH(B1673),1))</f>
        <v>45809</v>
      </c>
      <c r="R1673" s="4" t="str">
        <f aca="false">IF($A1673="","",IF(COUNTIF($A$2:$A1673,$A1673)&gt;1,"Sim","Não"))</f>
        <v>Não</v>
      </c>
      <c r="S1673" s="4" t="str">
        <f aca="false">IF(A1673="","Descartar - Linha vazia",IF(R1673="Sim","Descartar - Duplicado",IF(OR(H1673&lt;=0,I1673&lt;=0),"Descartar - Qtd/Valor inválido","OK")))</f>
        <v>OK</v>
      </c>
      <c r="T1673" s="4" t="str">
        <f aca="false">Base_Bruta!P1673</f>
        <v>vendas_MG.csv</v>
      </c>
    </row>
    <row r="1674" customFormat="false" ht="15" hidden="false" customHeight="false" outlineLevel="0" collapsed="false">
      <c r="A1674" s="4" t="str">
        <f aca="false">IF(Base_Bruta!A1674="","",Base_Bruta!A1674)</f>
        <v>MG-000160</v>
      </c>
      <c r="B1674" s="5" t="n">
        <f aca="false">IF($A1674="","",IF(ISNUMBER(Base_Bruta!B1674),Base_Bruta!B1674,IF(MID(Base_Bruta!B1674,5,1)="-",DATE(VALUE(LEFT(Base_Bruta!B1674,4)),VALUE(MID(Base_Bruta!B1674,6,2)),VALUE(RIGHT(Base_Bruta!B1674,2))),DATE(VALUE(RIGHT(Base_Bruta!B1674,4)),VALUE(MID(Base_Bruta!B1674,4,2)),VALUE(LEFT(Base_Bruta!B1674,2))))))</f>
        <v>45819</v>
      </c>
      <c r="C1674" s="5" t="n">
        <f aca="false">IF($A1674="","",IF(ISNUMBER(Base_Bruta!C1674),Base_Bruta!C1674,IF(MID(Base_Bruta!C1674,5,1)="-",DATE(VALUE(LEFT(Base_Bruta!C1674,4)),VALUE(MID(Base_Bruta!C1674,6,2)),VALUE(RIGHT(Base_Bruta!C1674,2))),DATE(VALUE(RIGHT(Base_Bruta!C1674,4)),VALUE(MID(Base_Bruta!C1674,4,2)),VALUE(LEFT(Base_Bruta!C1674,2))))))</f>
        <v>45892</v>
      </c>
      <c r="D1674" s="4" t="str">
        <f aca="false">IF($A1674="","",TRIM(Base_Bruta!D1674))</f>
        <v>Festival Montanhas BH 2025</v>
      </c>
      <c r="E1674" s="4" t="str">
        <f aca="false">IF($A1674="","",_xlfn.XLOOKUP(LOWER(TRIM(Base_Bruta!E1674)),DePara_Categoria!$A$2:$A$9,DePara_Categoria!$B$2:$B$9,"REVISAR"))</f>
        <v>Festival</v>
      </c>
      <c r="F1674" s="4" t="str">
        <f aca="false">IF($A1674="","",_xlfn.XLOOKUP(LOWER(TRIM(Base_Bruta!F1674)),DePara_Cidade!$A$2:$A$29,DePara_Cidade!$B$2:$B$29,"REVISAR"))</f>
        <v>Belo Horizonte</v>
      </c>
      <c r="G1674" s="4" t="str">
        <f aca="false">IF($A1674="","",TRIM(Base_Bruta!G1674))</f>
        <v>Meia</v>
      </c>
      <c r="H1674" s="4" t="n">
        <f aca="false">IF($A1674="","",IF(ISNUMBER(Base_Bruta!H1674),Base_Bruta!H1674,IFERROR(_xlfn.NUMBERVALUE(TRIM(SUBSTITUTE(Base_Bruta!H1674,"R$","")),",","."),0)))</f>
        <v>2</v>
      </c>
      <c r="I1674" s="6" t="n">
        <f aca="false">IF($A1674="","",IF(ISNUMBER(Base_Bruta!I1674),Base_Bruta!I1674,IFERROR(_xlfn.NUMBERVALUE(TRIM(SUBSTITUTE(Base_Bruta!I1674,"R$","")),",","."),0)))</f>
        <v>552.5</v>
      </c>
      <c r="J1674" s="6" t="n">
        <f aca="false">IF($A1674="","",H1674*I1674)</f>
        <v>1105</v>
      </c>
      <c r="K1674" s="4" t="str">
        <f aca="false">IF($A1674="","",TRIM(Base_Bruta!J1674))</f>
        <v>Site</v>
      </c>
      <c r="L1674" s="4" t="str">
        <f aca="false">IF($A1674="","",TRIM(Base_Bruta!K1674))</f>
        <v>C01539</v>
      </c>
      <c r="M1674" s="4" t="str">
        <f aca="false">IF($A1674="","",_xlfn.XLOOKUP(LOWER(TRIM(Base_Bruta!L1674)),DePara_Cidade!$A$2:$A$29,DePara_Cidade!$B$2:$B$29,"REVISAR"))</f>
        <v>Belo Horizonte</v>
      </c>
      <c r="N1674" s="4" t="str">
        <f aca="false">IF($A1674="","",UPPER(TRIM(Base_Bruta!M1674)))</f>
        <v>MG</v>
      </c>
      <c r="O1674" s="4" t="str">
        <f aca="false">IF($A1674="","",_xlfn.XLOOKUP(LOWER(TRIM(Base_Bruta!N1674)),DePara_Pais!$A$2:$A$9,DePara_Pais!$B$2:$B$9,"REVISAR"))</f>
        <v>Brasil</v>
      </c>
      <c r="P1674" s="4" t="str">
        <f aca="false">IF($A1674="","",IF(O1674&lt;&gt;"Brasil","Turista Internacional",IF(M1674=F1674,"Local","Turista Nacional")))</f>
        <v>Local</v>
      </c>
      <c r="Q1674" s="7" t="n">
        <f aca="false">IF($A1674="","",DATE(YEAR(B1674),MONTH(B1674),1))</f>
        <v>45809</v>
      </c>
      <c r="R1674" s="4" t="str">
        <f aca="false">IF($A1674="","",IF(COUNTIF($A$2:$A1674,$A1674)&gt;1,"Sim","Não"))</f>
        <v>Não</v>
      </c>
      <c r="S1674" s="4" t="str">
        <f aca="false">IF(A1674="","Descartar - Linha vazia",IF(R1674="Sim","Descartar - Duplicado",IF(OR(H1674&lt;=0,I1674&lt;=0),"Descartar - Qtd/Valor inválido","OK")))</f>
        <v>OK</v>
      </c>
      <c r="T1674" s="4" t="str">
        <f aca="false">Base_Bruta!P1674</f>
        <v>vendas_MG.csv</v>
      </c>
    </row>
    <row r="1675" customFormat="false" ht="15" hidden="false" customHeight="false" outlineLevel="0" collapsed="false">
      <c r="A1675" s="4" t="str">
        <f aca="false">IF(Base_Bruta!A1675="","",Base_Bruta!A1675)</f>
        <v>MG-000206</v>
      </c>
      <c r="B1675" s="5" t="n">
        <f aca="false">IF($A1675="","",IF(ISNUMBER(Base_Bruta!B1675),Base_Bruta!B1675,IF(MID(Base_Bruta!B1675,5,1)="-",DATE(VALUE(LEFT(Base_Bruta!B1675,4)),VALUE(MID(Base_Bruta!B1675,6,2)),VALUE(RIGHT(Base_Bruta!B1675,2))),DATE(VALUE(RIGHT(Base_Bruta!B1675,4)),VALUE(MID(Base_Bruta!B1675,4,2)),VALUE(LEFT(Base_Bruta!B1675,2))))))</f>
        <v>45819</v>
      </c>
      <c r="C1675" s="5" t="n">
        <f aca="false">IF($A1675="","",IF(ISNUMBER(Base_Bruta!C1675),Base_Bruta!C1675,IF(MID(Base_Bruta!C1675,5,1)="-",DATE(VALUE(LEFT(Base_Bruta!C1675,4)),VALUE(MID(Base_Bruta!C1675,6,2)),VALUE(RIGHT(Base_Bruta!C1675,2))),DATE(VALUE(RIGHT(Base_Bruta!C1675,4)),VALUE(MID(Base_Bruta!C1675,4,2)),VALUE(LEFT(Base_Bruta!C1675,2))))))</f>
        <v>45892</v>
      </c>
      <c r="D1675" s="4" t="str">
        <f aca="false">IF($A1675="","",TRIM(Base_Bruta!D1675))</f>
        <v>Festival Montanhas BH 2025</v>
      </c>
      <c r="E1675" s="4" t="str">
        <f aca="false">IF($A1675="","",_xlfn.XLOOKUP(LOWER(TRIM(Base_Bruta!E1675)),DePara_Categoria!$A$2:$A$9,DePara_Categoria!$B$2:$B$9,"REVISAR"))</f>
        <v>Festival</v>
      </c>
      <c r="F1675" s="4" t="str">
        <f aca="false">IF($A1675="","",_xlfn.XLOOKUP(LOWER(TRIM(Base_Bruta!F1675)),DePara_Cidade!$A$2:$A$29,DePara_Cidade!$B$2:$B$29,"REVISAR"))</f>
        <v>Belo Horizonte</v>
      </c>
      <c r="G1675" s="4" t="str">
        <f aca="false">IF($A1675="","",TRIM(Base_Bruta!G1675))</f>
        <v>Meia</v>
      </c>
      <c r="H1675" s="4" t="n">
        <f aca="false">IF($A1675="","",IF(ISNUMBER(Base_Bruta!H1675),Base_Bruta!H1675,IFERROR(_xlfn.NUMBERVALUE(TRIM(SUBSTITUTE(Base_Bruta!H1675,"R$","")),",","."),0)))</f>
        <v>2</v>
      </c>
      <c r="I1675" s="6" t="n">
        <f aca="false">IF($A1675="","",IF(ISNUMBER(Base_Bruta!I1675),Base_Bruta!I1675,IFERROR(_xlfn.NUMBERVALUE(TRIM(SUBSTITUTE(Base_Bruta!I1675,"R$","")),",","."),0)))</f>
        <v>547.5</v>
      </c>
      <c r="J1675" s="6" t="n">
        <f aca="false">IF($A1675="","",H1675*I1675)</f>
        <v>1095</v>
      </c>
      <c r="K1675" s="4" t="str">
        <f aca="false">IF($A1675="","",TRIM(Base_Bruta!J1675))</f>
        <v>Parceiro</v>
      </c>
      <c r="L1675" s="4" t="str">
        <f aca="false">IF($A1675="","",TRIM(Base_Bruta!K1675))</f>
        <v>C00637</v>
      </c>
      <c r="M1675" s="4" t="str">
        <f aca="false">IF($A1675="","",_xlfn.XLOOKUP(LOWER(TRIM(Base_Bruta!L1675)),DePara_Cidade!$A$2:$A$29,DePara_Cidade!$B$2:$B$29,"REVISAR"))</f>
        <v>Belo Horizonte</v>
      </c>
      <c r="N1675" s="4" t="str">
        <f aca="false">IF($A1675="","",UPPER(TRIM(Base_Bruta!M1675)))</f>
        <v>MG</v>
      </c>
      <c r="O1675" s="4" t="str">
        <f aca="false">IF($A1675="","",_xlfn.XLOOKUP(LOWER(TRIM(Base_Bruta!N1675)),DePara_Pais!$A$2:$A$9,DePara_Pais!$B$2:$B$9,"REVISAR"))</f>
        <v>Brasil</v>
      </c>
      <c r="P1675" s="4" t="str">
        <f aca="false">IF($A1675="","",IF(O1675&lt;&gt;"Brasil","Turista Internacional",IF(M1675=F1675,"Local","Turista Nacional")))</f>
        <v>Local</v>
      </c>
      <c r="Q1675" s="7" t="n">
        <f aca="false">IF($A1675="","",DATE(YEAR(B1675),MONTH(B1675),1))</f>
        <v>45809</v>
      </c>
      <c r="R1675" s="4" t="str">
        <f aca="false">IF($A1675="","",IF(COUNTIF($A$2:$A1675,$A1675)&gt;1,"Sim","Não"))</f>
        <v>Não</v>
      </c>
      <c r="S1675" s="4" t="str">
        <f aca="false">IF(A1675="","Descartar - Linha vazia",IF(R1675="Sim","Descartar - Duplicado",IF(OR(H1675&lt;=0,I1675&lt;=0),"Descartar - Qtd/Valor inválido","OK")))</f>
        <v>OK</v>
      </c>
      <c r="T1675" s="4" t="str">
        <f aca="false">Base_Bruta!P1675</f>
        <v>vendas_MG.csv</v>
      </c>
    </row>
    <row r="1676" customFormat="false" ht="15" hidden="false" customHeight="false" outlineLevel="0" collapsed="false">
      <c r="A1676" s="4" t="str">
        <f aca="false">IF(Base_Bruta!A1676="","",Base_Bruta!A1676)</f>
        <v>MG-000526</v>
      </c>
      <c r="B1676" s="5" t="n">
        <f aca="false">IF($A1676="","",IF(ISNUMBER(Base_Bruta!B1676),Base_Bruta!B1676,IF(MID(Base_Bruta!B1676,5,1)="-",DATE(VALUE(LEFT(Base_Bruta!B1676,4)),VALUE(MID(Base_Bruta!B1676,6,2)),VALUE(RIGHT(Base_Bruta!B1676,2))),DATE(VALUE(RIGHT(Base_Bruta!B1676,4)),VALUE(MID(Base_Bruta!B1676,4,2)),VALUE(LEFT(Base_Bruta!B1676,2))))))</f>
        <v>45824</v>
      </c>
      <c r="C1676" s="5" t="n">
        <f aca="false">IF($A1676="","",IF(ISNUMBER(Base_Bruta!C1676),Base_Bruta!C1676,IF(MID(Base_Bruta!C1676,5,1)="-",DATE(VALUE(LEFT(Base_Bruta!C1676,4)),VALUE(MID(Base_Bruta!C1676,6,2)),VALUE(RIGHT(Base_Bruta!C1676,2))),DATE(VALUE(RIGHT(Base_Bruta!C1676,4)),VALUE(MID(Base_Bruta!C1676,4,2)),VALUE(LEFT(Base_Bruta!C1676,2))))))</f>
        <v>45825</v>
      </c>
      <c r="D1676" s="4" t="str">
        <f aca="false">IF($A1676="","",TRIM(Base_Bruta!D1676))</f>
        <v>Cinema Savassi - Sessões</v>
      </c>
      <c r="E1676" s="4" t="str">
        <f aca="false">IF($A1676="","",_xlfn.XLOOKUP(LOWER(TRIM(Base_Bruta!E1676)),DePara_Categoria!$A$2:$A$9,DePara_Categoria!$B$2:$B$9,"REVISAR"))</f>
        <v>Cinema</v>
      </c>
      <c r="F1676" s="4" t="str">
        <f aca="false">IF($A1676="","",_xlfn.XLOOKUP(LOWER(TRIM(Base_Bruta!F1676)),DePara_Cidade!$A$2:$A$29,DePara_Cidade!$B$2:$B$29,"REVISAR"))</f>
        <v>Belo Horizonte</v>
      </c>
      <c r="G1676" s="4" t="str">
        <f aca="false">IF($A1676="","",TRIM(Base_Bruta!G1676))</f>
        <v>Inteira</v>
      </c>
      <c r="H1676" s="4" t="n">
        <f aca="false">IF($A1676="","",IF(ISNUMBER(Base_Bruta!H1676),Base_Bruta!H1676,IFERROR(_xlfn.NUMBERVALUE(TRIM(SUBSTITUTE(Base_Bruta!H1676,"R$","")),",","."),0)))</f>
        <v>1</v>
      </c>
      <c r="I1676" s="6" t="n">
        <f aca="false">IF($A1676="","",IF(ISNUMBER(Base_Bruta!I1676),Base_Bruta!I1676,IFERROR(_xlfn.NUMBERVALUE(TRIM(SUBSTITUTE(Base_Bruta!I1676,"R$","")),",","."),0)))</f>
        <v>40</v>
      </c>
      <c r="J1676" s="6" t="n">
        <f aca="false">IF($A1676="","",H1676*I1676)</f>
        <v>40</v>
      </c>
      <c r="K1676" s="4" t="str">
        <f aca="false">IF($A1676="","",TRIM(Base_Bruta!J1676))</f>
        <v>App</v>
      </c>
      <c r="L1676" s="4" t="str">
        <f aca="false">IF($A1676="","",TRIM(Base_Bruta!K1676))</f>
        <v>C01773</v>
      </c>
      <c r="M1676" s="4" t="str">
        <f aca="false">IF($A1676="","",_xlfn.XLOOKUP(LOWER(TRIM(Base_Bruta!L1676)),DePara_Cidade!$A$2:$A$29,DePara_Cidade!$B$2:$B$29,"REVISAR"))</f>
        <v>Belo Horizonte</v>
      </c>
      <c r="N1676" s="4" t="str">
        <f aca="false">IF($A1676="","",UPPER(TRIM(Base_Bruta!M1676)))</f>
        <v>MG</v>
      </c>
      <c r="O1676" s="4" t="str">
        <f aca="false">IF($A1676="","",_xlfn.XLOOKUP(LOWER(TRIM(Base_Bruta!N1676)),DePara_Pais!$A$2:$A$9,DePara_Pais!$B$2:$B$9,"REVISAR"))</f>
        <v>Brasil</v>
      </c>
      <c r="P1676" s="4" t="str">
        <f aca="false">IF($A1676="","",IF(O1676&lt;&gt;"Brasil","Turista Internacional",IF(M1676=F1676,"Local","Turista Nacional")))</f>
        <v>Local</v>
      </c>
      <c r="Q1676" s="7" t="n">
        <f aca="false">IF($A1676="","",DATE(YEAR(B1676),MONTH(B1676),1))</f>
        <v>45809</v>
      </c>
      <c r="R1676" s="4" t="str">
        <f aca="false">IF($A1676="","",IF(COUNTIF($A$2:$A1676,$A1676)&gt;1,"Sim","Não"))</f>
        <v>Não</v>
      </c>
      <c r="S1676" s="4" t="str">
        <f aca="false">IF(A1676="","Descartar - Linha vazia",IF(R1676="Sim","Descartar - Duplicado",IF(OR(H1676&lt;=0,I1676&lt;=0),"Descartar - Qtd/Valor inválido","OK")))</f>
        <v>OK</v>
      </c>
      <c r="T1676" s="4" t="str">
        <f aca="false">Base_Bruta!P1676</f>
        <v>vendas_MG.csv</v>
      </c>
    </row>
    <row r="1677" customFormat="false" ht="15" hidden="false" customHeight="false" outlineLevel="0" collapsed="false">
      <c r="A1677" s="4" t="str">
        <f aca="false">IF(Base_Bruta!A1677="","",Base_Bruta!A1677)</f>
        <v>MG-000060</v>
      </c>
      <c r="B1677" s="5" t="n">
        <f aca="false">IF($A1677="","",IF(ISNUMBER(Base_Bruta!B1677),Base_Bruta!B1677,IF(MID(Base_Bruta!B1677,5,1)="-",DATE(VALUE(LEFT(Base_Bruta!B1677,4)),VALUE(MID(Base_Bruta!B1677,6,2)),VALUE(RIGHT(Base_Bruta!B1677,2))),DATE(VALUE(RIGHT(Base_Bruta!B1677,4)),VALUE(MID(Base_Bruta!B1677,4,2)),VALUE(LEFT(Base_Bruta!B1677,2))))))</f>
        <v>45825</v>
      </c>
      <c r="C1677" s="5" t="n">
        <f aca="false">IF($A1677="","",IF(ISNUMBER(Base_Bruta!C1677),Base_Bruta!C1677,IF(MID(Base_Bruta!C1677,5,1)="-",DATE(VALUE(LEFT(Base_Bruta!C1677,4)),VALUE(MID(Base_Bruta!C1677,6,2)),VALUE(RIGHT(Base_Bruta!C1677,2))),DATE(VALUE(RIGHT(Base_Bruta!C1677,4)),VALUE(MID(Base_Bruta!C1677,4,2)),VALUE(LEFT(Base_Bruta!C1677,2))))))</f>
        <v>45892</v>
      </c>
      <c r="D1677" s="4" t="str">
        <f aca="false">IF($A1677="","",TRIM(Base_Bruta!D1677))</f>
        <v>Festival Montanhas BH 2025</v>
      </c>
      <c r="E1677" s="4" t="str">
        <f aca="false">IF($A1677="","",_xlfn.XLOOKUP(LOWER(TRIM(Base_Bruta!E1677)),DePara_Categoria!$A$2:$A$9,DePara_Categoria!$B$2:$B$9,"REVISAR"))</f>
        <v>Festival</v>
      </c>
      <c r="F1677" s="4" t="str">
        <f aca="false">IF($A1677="","",_xlfn.XLOOKUP(LOWER(TRIM(Base_Bruta!F1677)),DePara_Cidade!$A$2:$A$29,DePara_Cidade!$B$2:$B$29,"REVISAR"))</f>
        <v>Belo Horizonte</v>
      </c>
      <c r="G1677" s="4" t="str">
        <f aca="false">IF($A1677="","",TRIM(Base_Bruta!G1677))</f>
        <v>Inteira</v>
      </c>
      <c r="H1677" s="4" t="n">
        <f aca="false">IF($A1677="","",IF(ISNUMBER(Base_Bruta!H1677),Base_Bruta!H1677,IFERROR(_xlfn.NUMBERVALUE(TRIM(SUBSTITUTE(Base_Bruta!H1677,"R$","")),",","."),0)))</f>
        <v>1</v>
      </c>
      <c r="I1677" s="6" t="n">
        <f aca="false">IF($A1677="","",IF(ISNUMBER(Base_Bruta!I1677),Base_Bruta!I1677,IFERROR(_xlfn.NUMBERVALUE(TRIM(SUBSTITUTE(Base_Bruta!I1677,"R$","")),",","."),0)))</f>
        <v>825</v>
      </c>
      <c r="J1677" s="6" t="n">
        <f aca="false">IF($A1677="","",H1677*I1677)</f>
        <v>825</v>
      </c>
      <c r="K1677" s="4" t="str">
        <f aca="false">IF($A1677="","",TRIM(Base_Bruta!J1677))</f>
        <v>Site</v>
      </c>
      <c r="L1677" s="4" t="str">
        <f aca="false">IF($A1677="","",TRIM(Base_Bruta!K1677))</f>
        <v>C00124</v>
      </c>
      <c r="M1677" s="4" t="str">
        <f aca="false">IF($A1677="","",_xlfn.XLOOKUP(LOWER(TRIM(Base_Bruta!L1677)),DePara_Cidade!$A$2:$A$29,DePara_Cidade!$B$2:$B$29,"REVISAR"))</f>
        <v>Belo Horizonte</v>
      </c>
      <c r="N1677" s="4" t="str">
        <f aca="false">IF($A1677="","",UPPER(TRIM(Base_Bruta!M1677)))</f>
        <v>MG</v>
      </c>
      <c r="O1677" s="4" t="str">
        <f aca="false">IF($A1677="","",_xlfn.XLOOKUP(LOWER(TRIM(Base_Bruta!N1677)),DePara_Pais!$A$2:$A$9,DePara_Pais!$B$2:$B$9,"REVISAR"))</f>
        <v>Brasil</v>
      </c>
      <c r="P1677" s="4" t="str">
        <f aca="false">IF($A1677="","",IF(O1677&lt;&gt;"Brasil","Turista Internacional",IF(M1677=F1677,"Local","Turista Nacional")))</f>
        <v>Local</v>
      </c>
      <c r="Q1677" s="7" t="n">
        <f aca="false">IF($A1677="","",DATE(YEAR(B1677),MONTH(B1677),1))</f>
        <v>45809</v>
      </c>
      <c r="R1677" s="4" t="str">
        <f aca="false">IF($A1677="","",IF(COUNTIF($A$2:$A1677,$A1677)&gt;1,"Sim","Não"))</f>
        <v>Não</v>
      </c>
      <c r="S1677" s="4" t="str">
        <f aca="false">IF(A1677="","Descartar - Linha vazia",IF(R1677="Sim","Descartar - Duplicado",IF(OR(H1677&lt;=0,I1677&lt;=0),"Descartar - Qtd/Valor inválido","OK")))</f>
        <v>OK</v>
      </c>
      <c r="T1677" s="4" t="str">
        <f aca="false">Base_Bruta!P1677</f>
        <v>vendas_MG.csv</v>
      </c>
    </row>
    <row r="1678" customFormat="false" ht="15" hidden="false" customHeight="false" outlineLevel="0" collapsed="false">
      <c r="A1678" s="4" t="str">
        <f aca="false">IF(Base_Bruta!A1678="","",Base_Bruta!A1678)</f>
        <v>MG-000168</v>
      </c>
      <c r="B1678" s="5" t="n">
        <f aca="false">IF($A1678="","",IF(ISNUMBER(Base_Bruta!B1678),Base_Bruta!B1678,IF(MID(Base_Bruta!B1678,5,1)="-",DATE(VALUE(LEFT(Base_Bruta!B1678,4)),VALUE(MID(Base_Bruta!B1678,6,2)),VALUE(RIGHT(Base_Bruta!B1678,2))),DATE(VALUE(RIGHT(Base_Bruta!B1678,4)),VALUE(MID(Base_Bruta!B1678,4,2)),VALUE(LEFT(Base_Bruta!B1678,2))))))</f>
        <v>45826</v>
      </c>
      <c r="C1678" s="5" t="n">
        <f aca="false">IF($A1678="","",IF(ISNUMBER(Base_Bruta!C1678),Base_Bruta!C1678,IF(MID(Base_Bruta!C1678,5,1)="-",DATE(VALUE(LEFT(Base_Bruta!C1678,4)),VALUE(MID(Base_Bruta!C1678,6,2)),VALUE(RIGHT(Base_Bruta!C1678,2))),DATE(VALUE(RIGHT(Base_Bruta!C1678,4)),VALUE(MID(Base_Bruta!C1678,4,2)),VALUE(LEFT(Base_Bruta!C1678,2))))))</f>
        <v>45892</v>
      </c>
      <c r="D1678" s="4" t="str">
        <f aca="false">IF($A1678="","",TRIM(Base_Bruta!D1678))</f>
        <v>Festival Montanhas BH 2025</v>
      </c>
      <c r="E1678" s="4" t="str">
        <f aca="false">IF($A1678="","",_xlfn.XLOOKUP(LOWER(TRIM(Base_Bruta!E1678)),DePara_Categoria!$A$2:$A$9,DePara_Categoria!$B$2:$B$9,"REVISAR"))</f>
        <v>Festival</v>
      </c>
      <c r="F1678" s="4" t="str">
        <f aca="false">IF($A1678="","",_xlfn.XLOOKUP(LOWER(TRIM(Base_Bruta!F1678)),DePara_Cidade!$A$2:$A$29,DePara_Cidade!$B$2:$B$29,"REVISAR"))</f>
        <v>Belo Horizonte</v>
      </c>
      <c r="G1678" s="4" t="str">
        <f aca="false">IF($A1678="","",TRIM(Base_Bruta!G1678))</f>
        <v>VIP</v>
      </c>
      <c r="H1678" s="4" t="n">
        <f aca="false">IF($A1678="","",IF(ISNUMBER(Base_Bruta!H1678),Base_Bruta!H1678,IFERROR(_xlfn.NUMBERVALUE(TRIM(SUBSTITUTE(Base_Bruta!H1678,"R$","")),",","."),0)))</f>
        <v>4</v>
      </c>
      <c r="I1678" s="6" t="n">
        <f aca="false">IF($A1678="","",IF(ISNUMBER(Base_Bruta!I1678),Base_Bruta!I1678,IFERROR(_xlfn.NUMBERVALUE(TRIM(SUBSTITUTE(Base_Bruta!I1678,"R$","")),",","."),0)))</f>
        <v>1420</v>
      </c>
      <c r="J1678" s="6" t="n">
        <f aca="false">IF($A1678="","",H1678*I1678)</f>
        <v>5680</v>
      </c>
      <c r="K1678" s="4" t="str">
        <f aca="false">IF($A1678="","",TRIM(Base_Bruta!J1678))</f>
        <v>Site</v>
      </c>
      <c r="L1678" s="4" t="str">
        <f aca="false">IF($A1678="","",TRIM(Base_Bruta!K1678))</f>
        <v>C00633</v>
      </c>
      <c r="M1678" s="4" t="str">
        <f aca="false">IF($A1678="","",_xlfn.XLOOKUP(LOWER(TRIM(Base_Bruta!L1678)),DePara_Cidade!$A$2:$A$29,DePara_Cidade!$B$2:$B$29,"REVISAR"))</f>
        <v>Belo Horizonte</v>
      </c>
      <c r="N1678" s="4" t="str">
        <f aca="false">IF($A1678="","",UPPER(TRIM(Base_Bruta!M1678)))</f>
        <v>MG</v>
      </c>
      <c r="O1678" s="4" t="str">
        <f aca="false">IF($A1678="","",_xlfn.XLOOKUP(LOWER(TRIM(Base_Bruta!N1678)),DePara_Pais!$A$2:$A$9,DePara_Pais!$B$2:$B$9,"REVISAR"))</f>
        <v>Brasil</v>
      </c>
      <c r="P1678" s="4" t="str">
        <f aca="false">IF($A1678="","",IF(O1678&lt;&gt;"Brasil","Turista Internacional",IF(M1678=F1678,"Local","Turista Nacional")))</f>
        <v>Local</v>
      </c>
      <c r="Q1678" s="7" t="n">
        <f aca="false">IF($A1678="","",DATE(YEAR(B1678),MONTH(B1678),1))</f>
        <v>45809</v>
      </c>
      <c r="R1678" s="4" t="str">
        <f aca="false">IF($A1678="","",IF(COUNTIF($A$2:$A1678,$A1678)&gt;1,"Sim","Não"))</f>
        <v>Não</v>
      </c>
      <c r="S1678" s="4" t="str">
        <f aca="false">IF(A1678="","Descartar - Linha vazia",IF(R1678="Sim","Descartar - Duplicado",IF(OR(H1678&lt;=0,I1678&lt;=0),"Descartar - Qtd/Valor inválido","OK")))</f>
        <v>OK</v>
      </c>
      <c r="T1678" s="4" t="str">
        <f aca="false">Base_Bruta!P1678</f>
        <v>vendas_MG.csv</v>
      </c>
    </row>
    <row r="1679" customFormat="false" ht="15" hidden="false" customHeight="false" outlineLevel="0" collapsed="false">
      <c r="A1679" s="4" t="str">
        <f aca="false">IF(Base_Bruta!A1679="","",Base_Bruta!A1679)</f>
        <v>MG-000095</v>
      </c>
      <c r="B1679" s="5" t="n">
        <f aca="false">IF($A1679="","",IF(ISNUMBER(Base_Bruta!B1679),Base_Bruta!B1679,IF(MID(Base_Bruta!B1679,5,1)="-",DATE(VALUE(LEFT(Base_Bruta!B1679,4)),VALUE(MID(Base_Bruta!B1679,6,2)),VALUE(RIGHT(Base_Bruta!B1679,2))),DATE(VALUE(RIGHT(Base_Bruta!B1679,4)),VALUE(MID(Base_Bruta!B1679,4,2)),VALUE(LEFT(Base_Bruta!B1679,2))))))</f>
        <v>45827</v>
      </c>
      <c r="C1679" s="5" t="n">
        <f aca="false">IF($A1679="","",IF(ISNUMBER(Base_Bruta!C1679),Base_Bruta!C1679,IF(MID(Base_Bruta!C1679,5,1)="-",DATE(VALUE(LEFT(Base_Bruta!C1679,4)),VALUE(MID(Base_Bruta!C1679,6,2)),VALUE(RIGHT(Base_Bruta!C1679,2))),DATE(VALUE(RIGHT(Base_Bruta!C1679,4)),VALUE(MID(Base_Bruta!C1679,4,2)),VALUE(LEFT(Base_Bruta!C1679,2))))))</f>
        <v>45892</v>
      </c>
      <c r="D1679" s="4" t="str">
        <f aca="false">IF($A1679="","",TRIM(Base_Bruta!D1679))</f>
        <v>Festival Montanhas BH 2025</v>
      </c>
      <c r="E1679" s="4" t="str">
        <f aca="false">IF($A1679="","",_xlfn.XLOOKUP(LOWER(TRIM(Base_Bruta!E1679)),DePara_Categoria!$A$2:$A$9,DePara_Categoria!$B$2:$B$9,"REVISAR"))</f>
        <v>Festival</v>
      </c>
      <c r="F1679" s="4" t="str">
        <f aca="false">IF($A1679="","",_xlfn.XLOOKUP(LOWER(TRIM(Base_Bruta!F1679)),DePara_Cidade!$A$2:$A$29,DePara_Cidade!$B$2:$B$29,"REVISAR"))</f>
        <v>Belo Horizonte</v>
      </c>
      <c r="G1679" s="4" t="str">
        <f aca="false">IF($A1679="","",TRIM(Base_Bruta!G1679))</f>
        <v>Meia</v>
      </c>
      <c r="H1679" s="4" t="n">
        <f aca="false">IF($A1679="","",IF(ISNUMBER(Base_Bruta!H1679),Base_Bruta!H1679,IFERROR(_xlfn.NUMBERVALUE(TRIM(SUBSTITUTE(Base_Bruta!H1679,"R$","")),",","."),0)))</f>
        <v>1</v>
      </c>
      <c r="I1679" s="6" t="n">
        <f aca="false">IF($A1679="","",IF(ISNUMBER(Base_Bruta!I1679),Base_Bruta!I1679,IFERROR(_xlfn.NUMBERVALUE(TRIM(SUBSTITUTE(Base_Bruta!I1679,"R$","")),",","."),0)))</f>
        <v>522.5</v>
      </c>
      <c r="J1679" s="6" t="n">
        <f aca="false">IF($A1679="","",H1679*I1679)</f>
        <v>522.5</v>
      </c>
      <c r="K1679" s="4" t="str">
        <f aca="false">IF($A1679="","",TRIM(Base_Bruta!J1679))</f>
        <v>App</v>
      </c>
      <c r="L1679" s="4" t="str">
        <f aca="false">IF($A1679="","",TRIM(Base_Bruta!K1679))</f>
        <v>C02146</v>
      </c>
      <c r="M1679" s="4" t="str">
        <f aca="false">IF($A1679="","",_xlfn.XLOOKUP(LOWER(TRIM(Base_Bruta!L1679)),DePara_Cidade!$A$2:$A$29,DePara_Cidade!$B$2:$B$29,"REVISAR"))</f>
        <v>Belo Horizonte</v>
      </c>
      <c r="N1679" s="4" t="str">
        <f aca="false">IF($A1679="","",UPPER(TRIM(Base_Bruta!M1679)))</f>
        <v>MG</v>
      </c>
      <c r="O1679" s="4" t="str">
        <f aca="false">IF($A1679="","",_xlfn.XLOOKUP(LOWER(TRIM(Base_Bruta!N1679)),DePara_Pais!$A$2:$A$9,DePara_Pais!$B$2:$B$9,"REVISAR"))</f>
        <v>Brasil</v>
      </c>
      <c r="P1679" s="4" t="str">
        <f aca="false">IF($A1679="","",IF(O1679&lt;&gt;"Brasil","Turista Internacional",IF(M1679=F1679,"Local","Turista Nacional")))</f>
        <v>Local</v>
      </c>
      <c r="Q1679" s="7" t="n">
        <f aca="false">IF($A1679="","",DATE(YEAR(B1679),MONTH(B1679),1))</f>
        <v>45809</v>
      </c>
      <c r="R1679" s="4" t="str">
        <f aca="false">IF($A1679="","",IF(COUNTIF($A$2:$A1679,$A1679)&gt;1,"Sim","Não"))</f>
        <v>Não</v>
      </c>
      <c r="S1679" s="4" t="str">
        <f aca="false">IF(A1679="","Descartar - Linha vazia",IF(R1679="Sim","Descartar - Duplicado",IF(OR(H1679&lt;=0,I1679&lt;=0),"Descartar - Qtd/Valor inválido","OK")))</f>
        <v>OK</v>
      </c>
      <c r="T1679" s="4" t="str">
        <f aca="false">Base_Bruta!P1679</f>
        <v>vendas_MG.csv</v>
      </c>
    </row>
    <row r="1680" customFormat="false" ht="15" hidden="false" customHeight="false" outlineLevel="0" collapsed="false">
      <c r="A1680" s="4" t="str">
        <f aca="false">IF(Base_Bruta!A1680="","",Base_Bruta!A1680)</f>
        <v>MG-000044</v>
      </c>
      <c r="B1680" s="5" t="n">
        <f aca="false">IF($A1680="","",IF(ISNUMBER(Base_Bruta!B1680),Base_Bruta!B1680,IF(MID(Base_Bruta!B1680,5,1)="-",DATE(VALUE(LEFT(Base_Bruta!B1680,4)),VALUE(MID(Base_Bruta!B1680,6,2)),VALUE(RIGHT(Base_Bruta!B1680,2))),DATE(VALUE(RIGHT(Base_Bruta!B1680,4)),VALUE(MID(Base_Bruta!B1680,4,2)),VALUE(LEFT(Base_Bruta!B1680,2))))))</f>
        <v>45828</v>
      </c>
      <c r="C1680" s="5" t="n">
        <f aca="false">IF($A1680="","",IF(ISNUMBER(Base_Bruta!C1680),Base_Bruta!C1680,IF(MID(Base_Bruta!C1680,5,1)="-",DATE(VALUE(LEFT(Base_Bruta!C1680,4)),VALUE(MID(Base_Bruta!C1680,6,2)),VALUE(RIGHT(Base_Bruta!C1680,2))),DATE(VALUE(RIGHT(Base_Bruta!C1680,4)),VALUE(MID(Base_Bruta!C1680,4,2)),VALUE(LEFT(Base_Bruta!C1680,2))))))</f>
        <v>45892</v>
      </c>
      <c r="D1680" s="4" t="str">
        <f aca="false">IF($A1680="","",TRIM(Base_Bruta!D1680))</f>
        <v>Festival Montanhas BH 2025</v>
      </c>
      <c r="E1680" s="4" t="str">
        <f aca="false">IF($A1680="","",_xlfn.XLOOKUP(LOWER(TRIM(Base_Bruta!E1680)),DePara_Categoria!$A$2:$A$9,DePara_Categoria!$B$2:$B$9,"REVISAR"))</f>
        <v>Festival</v>
      </c>
      <c r="F1680" s="4" t="str">
        <f aca="false">IF($A1680="","",_xlfn.XLOOKUP(LOWER(TRIM(Base_Bruta!F1680)),DePara_Cidade!$A$2:$A$29,DePara_Cidade!$B$2:$B$29,"REVISAR"))</f>
        <v>Belo Horizonte</v>
      </c>
      <c r="G1680" s="4" t="str">
        <f aca="false">IF($A1680="","",TRIM(Base_Bruta!G1680))</f>
        <v>Meia</v>
      </c>
      <c r="H1680" s="4" t="n">
        <f aca="false">IF($A1680="","",IF(ISNUMBER(Base_Bruta!H1680),Base_Bruta!H1680,IFERROR(_xlfn.NUMBERVALUE(TRIM(SUBSTITUTE(Base_Bruta!H1680,"R$","")),",","."),0)))</f>
        <v>1</v>
      </c>
      <c r="I1680" s="6" t="n">
        <f aca="false">IF($A1680="","",IF(ISNUMBER(Base_Bruta!I1680),Base_Bruta!I1680,IFERROR(_xlfn.NUMBERVALUE(TRIM(SUBSTITUTE(Base_Bruta!I1680,"R$","")),",","."),0)))</f>
        <v>447.5</v>
      </c>
      <c r="J1680" s="6" t="n">
        <f aca="false">IF($A1680="","",H1680*I1680)</f>
        <v>447.5</v>
      </c>
      <c r="K1680" s="4" t="str">
        <f aca="false">IF($A1680="","",TRIM(Base_Bruta!J1680))</f>
        <v>Site</v>
      </c>
      <c r="L1680" s="4" t="str">
        <f aca="false">IF($A1680="","",TRIM(Base_Bruta!K1680))</f>
        <v>C01966</v>
      </c>
      <c r="M1680" s="4" t="str">
        <f aca="false">IF($A1680="","",_xlfn.XLOOKUP(LOWER(TRIM(Base_Bruta!L1680)),DePara_Cidade!$A$2:$A$29,DePara_Cidade!$B$2:$B$29,"REVISAR"))</f>
        <v>Belo Horizonte</v>
      </c>
      <c r="N1680" s="4" t="str">
        <f aca="false">IF($A1680="","",UPPER(TRIM(Base_Bruta!M1680)))</f>
        <v>MG</v>
      </c>
      <c r="O1680" s="4" t="str">
        <f aca="false">IF($A1680="","",_xlfn.XLOOKUP(LOWER(TRIM(Base_Bruta!N1680)),DePara_Pais!$A$2:$A$9,DePara_Pais!$B$2:$B$9,"REVISAR"))</f>
        <v>Brasil</v>
      </c>
      <c r="P1680" s="4" t="str">
        <f aca="false">IF($A1680="","",IF(O1680&lt;&gt;"Brasil","Turista Internacional",IF(M1680=F1680,"Local","Turista Nacional")))</f>
        <v>Local</v>
      </c>
      <c r="Q1680" s="7" t="n">
        <f aca="false">IF($A1680="","",DATE(YEAR(B1680),MONTH(B1680),1))</f>
        <v>45809</v>
      </c>
      <c r="R1680" s="4" t="str">
        <f aca="false">IF($A1680="","",IF(COUNTIF($A$2:$A1680,$A1680)&gt;1,"Sim","Não"))</f>
        <v>Não</v>
      </c>
      <c r="S1680" s="4" t="str">
        <f aca="false">IF(A1680="","Descartar - Linha vazia",IF(R1680="Sim","Descartar - Duplicado",IF(OR(H1680&lt;=0,I1680&lt;=0),"Descartar - Qtd/Valor inválido","OK")))</f>
        <v>OK</v>
      </c>
      <c r="T1680" s="4" t="str">
        <f aca="false">Base_Bruta!P1680</f>
        <v>vendas_MG.csv</v>
      </c>
    </row>
    <row r="1681" customFormat="false" ht="15" hidden="false" customHeight="false" outlineLevel="0" collapsed="false">
      <c r="A1681" s="4" t="str">
        <f aca="false">IF(Base_Bruta!A1681="","",Base_Bruta!A1681)</f>
        <v>MG-000064</v>
      </c>
      <c r="B1681" s="5" t="n">
        <f aca="false">IF($A1681="","",IF(ISNUMBER(Base_Bruta!B1681),Base_Bruta!B1681,IF(MID(Base_Bruta!B1681,5,1)="-",DATE(VALUE(LEFT(Base_Bruta!B1681,4)),VALUE(MID(Base_Bruta!B1681,6,2)),VALUE(RIGHT(Base_Bruta!B1681,2))),DATE(VALUE(RIGHT(Base_Bruta!B1681,4)),VALUE(MID(Base_Bruta!B1681,4,2)),VALUE(LEFT(Base_Bruta!B1681,2))))))</f>
        <v>45829</v>
      </c>
      <c r="C1681" s="5" t="n">
        <f aca="false">IF($A1681="","",IF(ISNUMBER(Base_Bruta!C1681),Base_Bruta!C1681,IF(MID(Base_Bruta!C1681,5,1)="-",DATE(VALUE(LEFT(Base_Bruta!C1681,4)),VALUE(MID(Base_Bruta!C1681,6,2)),VALUE(RIGHT(Base_Bruta!C1681,2))),DATE(VALUE(RIGHT(Base_Bruta!C1681,4)),VALUE(MID(Base_Bruta!C1681,4,2)),VALUE(LEFT(Base_Bruta!C1681,2))))))</f>
        <v>45892</v>
      </c>
      <c r="D1681" s="4" t="str">
        <f aca="false">IF($A1681="","",TRIM(Base_Bruta!D1681))</f>
        <v>Festival Montanhas BH 2025</v>
      </c>
      <c r="E1681" s="4" t="str">
        <f aca="false">IF($A1681="","",_xlfn.XLOOKUP(LOWER(TRIM(Base_Bruta!E1681)),DePara_Categoria!$A$2:$A$9,DePara_Categoria!$B$2:$B$9,"REVISAR"))</f>
        <v>Festival</v>
      </c>
      <c r="F1681" s="4" t="str">
        <f aca="false">IF($A1681="","",_xlfn.XLOOKUP(LOWER(TRIM(Base_Bruta!F1681)),DePara_Cidade!$A$2:$A$29,DePara_Cidade!$B$2:$B$29,"REVISAR"))</f>
        <v>Belo Horizonte</v>
      </c>
      <c r="G1681" s="4" t="str">
        <f aca="false">IF($A1681="","",TRIM(Base_Bruta!G1681))</f>
        <v>Inteira</v>
      </c>
      <c r="H1681" s="4" t="n">
        <f aca="false">IF($A1681="","",IF(ISNUMBER(Base_Bruta!H1681),Base_Bruta!H1681,IFERROR(_xlfn.NUMBERVALUE(TRIM(SUBSTITUTE(Base_Bruta!H1681,"R$","")),",","."),0)))</f>
        <v>1</v>
      </c>
      <c r="I1681" s="6" t="n">
        <f aca="false">IF($A1681="","",IF(ISNUMBER(Base_Bruta!I1681),Base_Bruta!I1681,IFERROR(_xlfn.NUMBERVALUE(TRIM(SUBSTITUTE(Base_Bruta!I1681,"R$","")),",","."),0)))</f>
        <v>865</v>
      </c>
      <c r="J1681" s="6" t="n">
        <f aca="false">IF($A1681="","",H1681*I1681)</f>
        <v>865</v>
      </c>
      <c r="K1681" s="4" t="str">
        <f aca="false">IF($A1681="","",TRIM(Base_Bruta!J1681))</f>
        <v>Site</v>
      </c>
      <c r="L1681" s="4" t="str">
        <f aca="false">IF($A1681="","",TRIM(Base_Bruta!K1681))</f>
        <v>C02368</v>
      </c>
      <c r="M1681" s="4" t="str">
        <f aca="false">IF($A1681="","",_xlfn.XLOOKUP(LOWER(TRIM(Base_Bruta!L1681)),DePara_Cidade!$A$2:$A$29,DePara_Cidade!$B$2:$B$29,"REVISAR"))</f>
        <v>Contagem</v>
      </c>
      <c r="N1681" s="4" t="str">
        <f aca="false">IF($A1681="","",UPPER(TRIM(Base_Bruta!M1681)))</f>
        <v>MG</v>
      </c>
      <c r="O1681" s="4" t="str">
        <f aca="false">IF($A1681="","",_xlfn.XLOOKUP(LOWER(TRIM(Base_Bruta!N1681)),DePara_Pais!$A$2:$A$9,DePara_Pais!$B$2:$B$9,"REVISAR"))</f>
        <v>Brasil</v>
      </c>
      <c r="P1681" s="4" t="str">
        <f aca="false">IF($A1681="","",IF(O1681&lt;&gt;"Brasil","Turista Internacional",IF(M1681=F1681,"Local","Turista Nacional")))</f>
        <v>Turista Nacional</v>
      </c>
      <c r="Q1681" s="7" t="n">
        <f aca="false">IF($A1681="","",DATE(YEAR(B1681),MONTH(B1681),1))</f>
        <v>45809</v>
      </c>
      <c r="R1681" s="4" t="str">
        <f aca="false">IF($A1681="","",IF(COUNTIF($A$2:$A1681,$A1681)&gt;1,"Sim","Não"))</f>
        <v>Não</v>
      </c>
      <c r="S1681" s="4" t="str">
        <f aca="false">IF(A1681="","Descartar - Linha vazia",IF(R1681="Sim","Descartar - Duplicado",IF(OR(H1681&lt;=0,I1681&lt;=0),"Descartar - Qtd/Valor inválido","OK")))</f>
        <v>OK</v>
      </c>
      <c r="T1681" s="4" t="str">
        <f aca="false">Base_Bruta!P1681</f>
        <v>vendas_MG.csv</v>
      </c>
    </row>
    <row r="1682" customFormat="false" ht="15" hidden="false" customHeight="false" outlineLevel="0" collapsed="false">
      <c r="A1682" s="4" t="str">
        <f aca="false">IF(Base_Bruta!A1682="","",Base_Bruta!A1682)</f>
        <v>MG-000101</v>
      </c>
      <c r="B1682" s="5" t="n">
        <f aca="false">IF($A1682="","",IF(ISNUMBER(Base_Bruta!B1682),Base_Bruta!B1682,IF(MID(Base_Bruta!B1682,5,1)="-",DATE(VALUE(LEFT(Base_Bruta!B1682,4)),VALUE(MID(Base_Bruta!B1682,6,2)),VALUE(RIGHT(Base_Bruta!B1682,2))),DATE(VALUE(RIGHT(Base_Bruta!B1682,4)),VALUE(MID(Base_Bruta!B1682,4,2)),VALUE(LEFT(Base_Bruta!B1682,2))))))</f>
        <v>45829</v>
      </c>
      <c r="C1682" s="5" t="n">
        <f aca="false">IF($A1682="","",IF(ISNUMBER(Base_Bruta!C1682),Base_Bruta!C1682,IF(MID(Base_Bruta!C1682,5,1)="-",DATE(VALUE(LEFT(Base_Bruta!C1682,4)),VALUE(MID(Base_Bruta!C1682,6,2)),VALUE(RIGHT(Base_Bruta!C1682,2))),DATE(VALUE(RIGHT(Base_Bruta!C1682,4)),VALUE(MID(Base_Bruta!C1682,4,2)),VALUE(LEFT(Base_Bruta!C1682,2))))))</f>
        <v>45892</v>
      </c>
      <c r="D1682" s="4" t="str">
        <f aca="false">IF($A1682="","",TRIM(Base_Bruta!D1682))</f>
        <v>Festival Montanhas BH 2025</v>
      </c>
      <c r="E1682" s="4" t="str">
        <f aca="false">IF($A1682="","",_xlfn.XLOOKUP(LOWER(TRIM(Base_Bruta!E1682)),DePara_Categoria!$A$2:$A$9,DePara_Categoria!$B$2:$B$9,"REVISAR"))</f>
        <v>Festival</v>
      </c>
      <c r="F1682" s="4" t="str">
        <f aca="false">IF($A1682="","",_xlfn.XLOOKUP(LOWER(TRIM(Base_Bruta!F1682)),DePara_Cidade!$A$2:$A$29,DePara_Cidade!$B$2:$B$29,"REVISAR"))</f>
        <v>Belo Horizonte</v>
      </c>
      <c r="G1682" s="4" t="str">
        <f aca="false">IF($A1682="","",TRIM(Base_Bruta!G1682))</f>
        <v>Meia</v>
      </c>
      <c r="H1682" s="4" t="n">
        <f aca="false">IF($A1682="","",IF(ISNUMBER(Base_Bruta!H1682),Base_Bruta!H1682,IFERROR(_xlfn.NUMBERVALUE(TRIM(SUBSTITUTE(Base_Bruta!H1682,"R$","")),",","."),0)))</f>
        <v>4</v>
      </c>
      <c r="I1682" s="6" t="n">
        <f aca="false">IF($A1682="","",IF(ISNUMBER(Base_Bruta!I1682),Base_Bruta!I1682,IFERROR(_xlfn.NUMBERVALUE(TRIM(SUBSTITUTE(Base_Bruta!I1682,"R$","")),",","."),0)))</f>
        <v>540</v>
      </c>
      <c r="J1682" s="6" t="n">
        <f aca="false">IF($A1682="","",H1682*I1682)</f>
        <v>2160</v>
      </c>
      <c r="K1682" s="4" t="str">
        <f aca="false">IF($A1682="","",TRIM(Base_Bruta!J1682))</f>
        <v>App</v>
      </c>
      <c r="L1682" s="4" t="str">
        <f aca="false">IF($A1682="","",TRIM(Base_Bruta!K1682))</f>
        <v>C01242</v>
      </c>
      <c r="M1682" s="4" t="str">
        <f aca="false">IF($A1682="","",_xlfn.XLOOKUP(LOWER(TRIM(Base_Bruta!L1682)),DePara_Cidade!$A$2:$A$29,DePara_Cidade!$B$2:$B$29,"REVISAR"))</f>
        <v>Belo Horizonte</v>
      </c>
      <c r="N1682" s="4" t="str">
        <f aca="false">IF($A1682="","",UPPER(TRIM(Base_Bruta!M1682)))</f>
        <v>MG</v>
      </c>
      <c r="O1682" s="4" t="str">
        <f aca="false">IF($A1682="","",_xlfn.XLOOKUP(LOWER(TRIM(Base_Bruta!N1682)),DePara_Pais!$A$2:$A$9,DePara_Pais!$B$2:$B$9,"REVISAR"))</f>
        <v>Brasil</v>
      </c>
      <c r="P1682" s="4" t="str">
        <f aca="false">IF($A1682="","",IF(O1682&lt;&gt;"Brasil","Turista Internacional",IF(M1682=F1682,"Local","Turista Nacional")))</f>
        <v>Local</v>
      </c>
      <c r="Q1682" s="7" t="n">
        <f aca="false">IF($A1682="","",DATE(YEAR(B1682),MONTH(B1682),1))</f>
        <v>45809</v>
      </c>
      <c r="R1682" s="4" t="str">
        <f aca="false">IF($A1682="","",IF(COUNTIF($A$2:$A1682,$A1682)&gt;1,"Sim","Não"))</f>
        <v>Não</v>
      </c>
      <c r="S1682" s="4" t="str">
        <f aca="false">IF(A1682="","Descartar - Linha vazia",IF(R1682="Sim","Descartar - Duplicado",IF(OR(H1682&lt;=0,I1682&lt;=0),"Descartar - Qtd/Valor inválido","OK")))</f>
        <v>OK</v>
      </c>
      <c r="T1682" s="4" t="str">
        <f aca="false">Base_Bruta!P1682</f>
        <v>vendas_MG.csv</v>
      </c>
    </row>
    <row r="1683" customFormat="false" ht="15" hidden="false" customHeight="false" outlineLevel="0" collapsed="false">
      <c r="A1683" s="4" t="str">
        <f aca="false">IF(Base_Bruta!A1683="","",Base_Bruta!A1683)</f>
        <v>MG-000151</v>
      </c>
      <c r="B1683" s="5" t="n">
        <f aca="false">IF($A1683="","",IF(ISNUMBER(Base_Bruta!B1683),Base_Bruta!B1683,IF(MID(Base_Bruta!B1683,5,1)="-",DATE(VALUE(LEFT(Base_Bruta!B1683,4)),VALUE(MID(Base_Bruta!B1683,6,2)),VALUE(RIGHT(Base_Bruta!B1683,2))),DATE(VALUE(RIGHT(Base_Bruta!B1683,4)),VALUE(MID(Base_Bruta!B1683,4,2)),VALUE(LEFT(Base_Bruta!B1683,2))))))</f>
        <v>45829</v>
      </c>
      <c r="C1683" s="5" t="n">
        <f aca="false">IF($A1683="","",IF(ISNUMBER(Base_Bruta!C1683),Base_Bruta!C1683,IF(MID(Base_Bruta!C1683,5,1)="-",DATE(VALUE(LEFT(Base_Bruta!C1683,4)),VALUE(MID(Base_Bruta!C1683,6,2)),VALUE(RIGHT(Base_Bruta!C1683,2))),DATE(VALUE(RIGHT(Base_Bruta!C1683,4)),VALUE(MID(Base_Bruta!C1683,4,2)),VALUE(LEFT(Base_Bruta!C1683,2))))))</f>
        <v>45892</v>
      </c>
      <c r="D1683" s="4" t="str">
        <f aca="false">IF($A1683="","",TRIM(Base_Bruta!D1683))</f>
        <v>Festival Montanhas BH 2025</v>
      </c>
      <c r="E1683" s="4" t="str">
        <f aca="false">IF($A1683="","",_xlfn.XLOOKUP(LOWER(TRIM(Base_Bruta!E1683)),DePara_Categoria!$A$2:$A$9,DePara_Categoria!$B$2:$B$9,"REVISAR"))</f>
        <v>Festival</v>
      </c>
      <c r="F1683" s="4" t="str">
        <f aca="false">IF($A1683="","",_xlfn.XLOOKUP(LOWER(TRIM(Base_Bruta!F1683)),DePara_Cidade!$A$2:$A$29,DePara_Cidade!$B$2:$B$29,"REVISAR"))</f>
        <v>Belo Horizonte</v>
      </c>
      <c r="G1683" s="4" t="str">
        <f aca="false">IF($A1683="","",TRIM(Base_Bruta!G1683))</f>
        <v>Meia</v>
      </c>
      <c r="H1683" s="4" t="n">
        <f aca="false">IF($A1683="","",IF(ISNUMBER(Base_Bruta!H1683),Base_Bruta!H1683,IFERROR(_xlfn.NUMBERVALUE(TRIM(SUBSTITUTE(Base_Bruta!H1683,"R$","")),",","."),0)))</f>
        <v>3</v>
      </c>
      <c r="I1683" s="6" t="n">
        <f aca="false">IF($A1683="","",IF(ISNUMBER(Base_Bruta!I1683),Base_Bruta!I1683,IFERROR(_xlfn.NUMBERVALUE(TRIM(SUBSTITUTE(Base_Bruta!I1683,"R$","")),",","."),0)))</f>
        <v>340</v>
      </c>
      <c r="J1683" s="6" t="n">
        <f aca="false">IF($A1683="","",H1683*I1683)</f>
        <v>1020</v>
      </c>
      <c r="K1683" s="4" t="str">
        <f aca="false">IF($A1683="","",TRIM(Base_Bruta!J1683))</f>
        <v>App</v>
      </c>
      <c r="L1683" s="4" t="str">
        <f aca="false">IF($A1683="","",TRIM(Base_Bruta!K1683))</f>
        <v>C01211</v>
      </c>
      <c r="M1683" s="4" t="str">
        <f aca="false">IF($A1683="","",_xlfn.XLOOKUP(LOWER(TRIM(Base_Bruta!L1683)),DePara_Cidade!$A$2:$A$29,DePara_Cidade!$B$2:$B$29,"REVISAR"))</f>
        <v>Belo Horizonte</v>
      </c>
      <c r="N1683" s="4" t="str">
        <f aca="false">IF($A1683="","",UPPER(TRIM(Base_Bruta!M1683)))</f>
        <v>MG</v>
      </c>
      <c r="O1683" s="4" t="str">
        <f aca="false">IF($A1683="","",_xlfn.XLOOKUP(LOWER(TRIM(Base_Bruta!N1683)),DePara_Pais!$A$2:$A$9,DePara_Pais!$B$2:$B$9,"REVISAR"))</f>
        <v>Brasil</v>
      </c>
      <c r="P1683" s="4" t="str">
        <f aca="false">IF($A1683="","",IF(O1683&lt;&gt;"Brasil","Turista Internacional",IF(M1683=F1683,"Local","Turista Nacional")))</f>
        <v>Local</v>
      </c>
      <c r="Q1683" s="7" t="n">
        <f aca="false">IF($A1683="","",DATE(YEAR(B1683),MONTH(B1683),1))</f>
        <v>45809</v>
      </c>
      <c r="R1683" s="4" t="str">
        <f aca="false">IF($A1683="","",IF(COUNTIF($A$2:$A1683,$A1683)&gt;1,"Sim","Não"))</f>
        <v>Não</v>
      </c>
      <c r="S1683" s="4" t="str">
        <f aca="false">IF(A1683="","Descartar - Linha vazia",IF(R1683="Sim","Descartar - Duplicado",IF(OR(H1683&lt;=0,I1683&lt;=0),"Descartar - Qtd/Valor inválido","OK")))</f>
        <v>OK</v>
      </c>
      <c r="T1683" s="4" t="str">
        <f aca="false">Base_Bruta!P1683</f>
        <v>vendas_MG.csv</v>
      </c>
    </row>
    <row r="1684" customFormat="false" ht="15" hidden="false" customHeight="false" outlineLevel="0" collapsed="false">
      <c r="A1684" s="4" t="str">
        <f aca="false">IF(Base_Bruta!A1684="","",Base_Bruta!A1684)</f>
        <v>MG-000214</v>
      </c>
      <c r="B1684" s="5" t="n">
        <f aca="false">IF($A1684="","",IF(ISNUMBER(Base_Bruta!B1684),Base_Bruta!B1684,IF(MID(Base_Bruta!B1684,5,1)="-",DATE(VALUE(LEFT(Base_Bruta!B1684,4)),VALUE(MID(Base_Bruta!B1684,6,2)),VALUE(RIGHT(Base_Bruta!B1684,2))),DATE(VALUE(RIGHT(Base_Bruta!B1684,4)),VALUE(MID(Base_Bruta!B1684,4,2)),VALUE(LEFT(Base_Bruta!B1684,2))))))</f>
        <v>45831</v>
      </c>
      <c r="C1684" s="5" t="n">
        <f aca="false">IF($A1684="","",IF(ISNUMBER(Base_Bruta!C1684),Base_Bruta!C1684,IF(MID(Base_Bruta!C1684,5,1)="-",DATE(VALUE(LEFT(Base_Bruta!C1684,4)),VALUE(MID(Base_Bruta!C1684,6,2)),VALUE(RIGHT(Base_Bruta!C1684,2))),DATE(VALUE(RIGHT(Base_Bruta!C1684,4)),VALUE(MID(Base_Bruta!C1684,4,2)),VALUE(LEFT(Base_Bruta!C1684,2))))))</f>
        <v>45892</v>
      </c>
      <c r="D1684" s="4" t="str">
        <f aca="false">IF($A1684="","",TRIM(Base_Bruta!D1684))</f>
        <v>Festival Montanhas BH 2025</v>
      </c>
      <c r="E1684" s="4" t="str">
        <f aca="false">IF($A1684="","",_xlfn.XLOOKUP(LOWER(TRIM(Base_Bruta!E1684)),DePara_Categoria!$A$2:$A$9,DePara_Categoria!$B$2:$B$9,"REVISAR"))</f>
        <v>Festival</v>
      </c>
      <c r="F1684" s="4" t="str">
        <f aca="false">IF($A1684="","",_xlfn.XLOOKUP(LOWER(TRIM(Base_Bruta!F1684)),DePara_Cidade!$A$2:$A$29,DePara_Cidade!$B$2:$B$29,"REVISAR"))</f>
        <v>Belo Horizonte</v>
      </c>
      <c r="G1684" s="4" t="str">
        <f aca="false">IF($A1684="","",TRIM(Base_Bruta!G1684))</f>
        <v>Inteira</v>
      </c>
      <c r="H1684" s="4" t="n">
        <f aca="false">IF($A1684="","",IF(ISNUMBER(Base_Bruta!H1684),Base_Bruta!H1684,IFERROR(_xlfn.NUMBERVALUE(TRIM(SUBSTITUTE(Base_Bruta!H1684,"R$","")),",","."),0)))</f>
        <v>1</v>
      </c>
      <c r="I1684" s="6" t="n">
        <f aca="false">IF($A1684="","",IF(ISNUMBER(Base_Bruta!I1684),Base_Bruta!I1684,IFERROR(_xlfn.NUMBERVALUE(TRIM(SUBSTITUTE(Base_Bruta!I1684,"R$","")),",","."),0)))</f>
        <v>1060</v>
      </c>
      <c r="J1684" s="6" t="n">
        <f aca="false">IF($A1684="","",H1684*I1684)</f>
        <v>1060</v>
      </c>
      <c r="K1684" s="4" t="str">
        <f aca="false">IF($A1684="","",TRIM(Base_Bruta!J1684))</f>
        <v>Site</v>
      </c>
      <c r="L1684" s="4" t="str">
        <f aca="false">IF($A1684="","",TRIM(Base_Bruta!K1684))</f>
        <v>C01934</v>
      </c>
      <c r="M1684" s="4" t="str">
        <f aca="false">IF($A1684="","",_xlfn.XLOOKUP(LOWER(TRIM(Base_Bruta!L1684)),DePara_Cidade!$A$2:$A$29,DePara_Cidade!$B$2:$B$29,"REVISAR"))</f>
        <v>Miami</v>
      </c>
      <c r="N1684" s="4" t="str">
        <f aca="false">IF($A1684="","",UPPER(TRIM(Base_Bruta!M1684)))</f>
        <v>EX</v>
      </c>
      <c r="O1684" s="4" t="str">
        <f aca="false">IF($A1684="","",_xlfn.XLOOKUP(LOWER(TRIM(Base_Bruta!N1684)),DePara_Pais!$A$2:$A$9,DePara_Pais!$B$2:$B$9,"REVISAR"))</f>
        <v>EUA</v>
      </c>
      <c r="P1684" s="4" t="str">
        <f aca="false">IF($A1684="","",IF(O1684&lt;&gt;"Brasil","Turista Internacional",IF(M1684=F1684,"Local","Turista Nacional")))</f>
        <v>Turista Internacional</v>
      </c>
      <c r="Q1684" s="7" t="n">
        <f aca="false">IF($A1684="","",DATE(YEAR(B1684),MONTH(B1684),1))</f>
        <v>45809</v>
      </c>
      <c r="R1684" s="4" t="str">
        <f aca="false">IF($A1684="","",IF(COUNTIF($A$2:$A1684,$A1684)&gt;1,"Sim","Não"))</f>
        <v>Não</v>
      </c>
      <c r="S1684" s="4" t="str">
        <f aca="false">IF(A1684="","Descartar - Linha vazia",IF(R1684="Sim","Descartar - Duplicado",IF(OR(H1684&lt;=0,I1684&lt;=0),"Descartar - Qtd/Valor inválido","OK")))</f>
        <v>OK</v>
      </c>
      <c r="T1684" s="4" t="str">
        <f aca="false">Base_Bruta!P1684</f>
        <v>vendas_MG.csv</v>
      </c>
    </row>
    <row r="1685" customFormat="false" ht="15" hidden="false" customHeight="false" outlineLevel="0" collapsed="false">
      <c r="A1685" s="4" t="str">
        <f aca="false">IF(Base_Bruta!A1685="","",Base_Bruta!A1685)</f>
        <v>MG-000099</v>
      </c>
      <c r="B1685" s="5" t="n">
        <f aca="false">IF($A1685="","",IF(ISNUMBER(Base_Bruta!B1685),Base_Bruta!B1685,IF(MID(Base_Bruta!B1685,5,1)="-",DATE(VALUE(LEFT(Base_Bruta!B1685,4)),VALUE(MID(Base_Bruta!B1685,6,2)),VALUE(RIGHT(Base_Bruta!B1685,2))),DATE(VALUE(RIGHT(Base_Bruta!B1685,4)),VALUE(MID(Base_Bruta!B1685,4,2)),VALUE(LEFT(Base_Bruta!B1685,2))))))</f>
        <v>45832</v>
      </c>
      <c r="C1685" s="5" t="n">
        <f aca="false">IF($A1685="","",IF(ISNUMBER(Base_Bruta!C1685),Base_Bruta!C1685,IF(MID(Base_Bruta!C1685,5,1)="-",DATE(VALUE(LEFT(Base_Bruta!C1685,4)),VALUE(MID(Base_Bruta!C1685,6,2)),VALUE(RIGHT(Base_Bruta!C1685,2))),DATE(VALUE(RIGHT(Base_Bruta!C1685,4)),VALUE(MID(Base_Bruta!C1685,4,2)),VALUE(LEFT(Base_Bruta!C1685,2))))))</f>
        <v>45892</v>
      </c>
      <c r="D1685" s="4" t="str">
        <f aca="false">IF($A1685="","",TRIM(Base_Bruta!D1685))</f>
        <v>Festival Montanhas BH 2025</v>
      </c>
      <c r="E1685" s="4" t="str">
        <f aca="false">IF($A1685="","",_xlfn.XLOOKUP(LOWER(TRIM(Base_Bruta!E1685)),DePara_Categoria!$A$2:$A$9,DePara_Categoria!$B$2:$B$9,"REVISAR"))</f>
        <v>Festival</v>
      </c>
      <c r="F1685" s="4" t="str">
        <f aca="false">IF($A1685="","",_xlfn.XLOOKUP(LOWER(TRIM(Base_Bruta!F1685)),DePara_Cidade!$A$2:$A$29,DePara_Cidade!$B$2:$B$29,"REVISAR"))</f>
        <v>Belo Horizonte</v>
      </c>
      <c r="G1685" s="4" t="str">
        <f aca="false">IF($A1685="","",TRIM(Base_Bruta!G1685))</f>
        <v>Inteira</v>
      </c>
      <c r="H1685" s="4" t="n">
        <f aca="false">IF($A1685="","",IF(ISNUMBER(Base_Bruta!H1685),Base_Bruta!H1685,IFERROR(_xlfn.NUMBERVALUE(TRIM(SUBSTITUTE(Base_Bruta!H1685,"R$","")),",","."),0)))</f>
        <v>2</v>
      </c>
      <c r="I1685" s="6" t="n">
        <f aca="false">IF($A1685="","",IF(ISNUMBER(Base_Bruta!I1685),Base_Bruta!I1685,IFERROR(_xlfn.NUMBERVALUE(TRIM(SUBSTITUTE(Base_Bruta!I1685,"R$","")),",","."),0)))</f>
        <v>910</v>
      </c>
      <c r="J1685" s="6" t="n">
        <f aca="false">IF($A1685="","",H1685*I1685)</f>
        <v>1820</v>
      </c>
      <c r="K1685" s="4" t="str">
        <f aca="false">IF($A1685="","",TRIM(Base_Bruta!J1685))</f>
        <v>Site</v>
      </c>
      <c r="L1685" s="4" t="str">
        <f aca="false">IF($A1685="","",TRIM(Base_Bruta!K1685))</f>
        <v>C02271</v>
      </c>
      <c r="M1685" s="4" t="str">
        <f aca="false">IF($A1685="","",_xlfn.XLOOKUP(LOWER(TRIM(Base_Bruta!L1685)),DePara_Cidade!$A$2:$A$29,DePara_Cidade!$B$2:$B$29,"REVISAR"))</f>
        <v>Brasília</v>
      </c>
      <c r="N1685" s="4" t="str">
        <f aca="false">IF($A1685="","",UPPER(TRIM(Base_Bruta!M1685)))</f>
        <v>DF</v>
      </c>
      <c r="O1685" s="4" t="str">
        <f aca="false">IF($A1685="","",_xlfn.XLOOKUP(LOWER(TRIM(Base_Bruta!N1685)),DePara_Pais!$A$2:$A$9,DePara_Pais!$B$2:$B$9,"REVISAR"))</f>
        <v>Brasil</v>
      </c>
      <c r="P1685" s="4" t="str">
        <f aca="false">IF($A1685="","",IF(O1685&lt;&gt;"Brasil","Turista Internacional",IF(M1685=F1685,"Local","Turista Nacional")))</f>
        <v>Turista Nacional</v>
      </c>
      <c r="Q1685" s="7" t="n">
        <f aca="false">IF($A1685="","",DATE(YEAR(B1685),MONTH(B1685),1))</f>
        <v>45809</v>
      </c>
      <c r="R1685" s="4" t="str">
        <f aca="false">IF($A1685="","",IF(COUNTIF($A$2:$A1685,$A1685)&gt;1,"Sim","Não"))</f>
        <v>Não</v>
      </c>
      <c r="S1685" s="4" t="str">
        <f aca="false">IF(A1685="","Descartar - Linha vazia",IF(R1685="Sim","Descartar - Duplicado",IF(OR(H1685&lt;=0,I1685&lt;=0),"Descartar - Qtd/Valor inválido","OK")))</f>
        <v>OK</v>
      </c>
      <c r="T1685" s="4" t="str">
        <f aca="false">Base_Bruta!P1685</f>
        <v>vendas_MG.csv</v>
      </c>
    </row>
    <row r="1686" customFormat="false" ht="15" hidden="false" customHeight="false" outlineLevel="0" collapsed="false">
      <c r="A1686" s="4" t="str">
        <f aca="false">IF(Base_Bruta!A1686="","",Base_Bruta!A1686)</f>
        <v>MG-000130</v>
      </c>
      <c r="B1686" s="5" t="n">
        <f aca="false">IF($A1686="","",IF(ISNUMBER(Base_Bruta!B1686),Base_Bruta!B1686,IF(MID(Base_Bruta!B1686,5,1)="-",DATE(VALUE(LEFT(Base_Bruta!B1686,4)),VALUE(MID(Base_Bruta!B1686,6,2)),VALUE(RIGHT(Base_Bruta!B1686,2))),DATE(VALUE(RIGHT(Base_Bruta!B1686,4)),VALUE(MID(Base_Bruta!B1686,4,2)),VALUE(LEFT(Base_Bruta!B1686,2))))))</f>
        <v>45832</v>
      </c>
      <c r="C1686" s="5" t="n">
        <f aca="false">IF($A1686="","",IF(ISNUMBER(Base_Bruta!C1686),Base_Bruta!C1686,IF(MID(Base_Bruta!C1686,5,1)="-",DATE(VALUE(LEFT(Base_Bruta!C1686,4)),VALUE(MID(Base_Bruta!C1686,6,2)),VALUE(RIGHT(Base_Bruta!C1686,2))),DATE(VALUE(RIGHT(Base_Bruta!C1686,4)),VALUE(MID(Base_Bruta!C1686,4,2)),VALUE(LEFT(Base_Bruta!C1686,2))))))</f>
        <v>45892</v>
      </c>
      <c r="D1686" s="4" t="str">
        <f aca="false">IF($A1686="","",TRIM(Base_Bruta!D1686))</f>
        <v>Festival Montanhas BH 2025</v>
      </c>
      <c r="E1686" s="4" t="str">
        <f aca="false">IF($A1686="","",_xlfn.XLOOKUP(LOWER(TRIM(Base_Bruta!E1686)),DePara_Categoria!$A$2:$A$9,DePara_Categoria!$B$2:$B$9,"REVISAR"))</f>
        <v>Festival</v>
      </c>
      <c r="F1686" s="4" t="str">
        <f aca="false">IF($A1686="","",_xlfn.XLOOKUP(LOWER(TRIM(Base_Bruta!F1686)),DePara_Cidade!$A$2:$A$29,DePara_Cidade!$B$2:$B$29,"REVISAR"))</f>
        <v>Belo Horizonte</v>
      </c>
      <c r="G1686" s="4" t="str">
        <f aca="false">IF($A1686="","",TRIM(Base_Bruta!G1686))</f>
        <v>Inteira</v>
      </c>
      <c r="H1686" s="4" t="n">
        <f aca="false">IF($A1686="","",IF(ISNUMBER(Base_Bruta!H1686),Base_Bruta!H1686,IFERROR(_xlfn.NUMBERVALUE(TRIM(SUBSTITUTE(Base_Bruta!H1686,"R$","")),",","."),0)))</f>
        <v>3</v>
      </c>
      <c r="I1686" s="6" t="n">
        <f aca="false">IF($A1686="","",IF(ISNUMBER(Base_Bruta!I1686),Base_Bruta!I1686,IFERROR(_xlfn.NUMBERVALUE(TRIM(SUBSTITUTE(Base_Bruta!I1686,"R$","")),",","."),0)))</f>
        <v>1060</v>
      </c>
      <c r="J1686" s="6" t="n">
        <f aca="false">IF($A1686="","",H1686*I1686)</f>
        <v>3180</v>
      </c>
      <c r="K1686" s="4" t="str">
        <f aca="false">IF($A1686="","",TRIM(Base_Bruta!J1686))</f>
        <v>Bilheteria</v>
      </c>
      <c r="L1686" s="4" t="str">
        <f aca="false">IF($A1686="","",TRIM(Base_Bruta!K1686))</f>
        <v>C01773</v>
      </c>
      <c r="M1686" s="4" t="str">
        <f aca="false">IF($A1686="","",_xlfn.XLOOKUP(LOWER(TRIM(Base_Bruta!L1686)),DePara_Cidade!$A$2:$A$29,DePara_Cidade!$B$2:$B$29,"REVISAR"))</f>
        <v>Belo Horizonte</v>
      </c>
      <c r="N1686" s="4" t="str">
        <f aca="false">IF($A1686="","",UPPER(TRIM(Base_Bruta!M1686)))</f>
        <v>MG</v>
      </c>
      <c r="O1686" s="4" t="str">
        <f aca="false">IF($A1686="","",_xlfn.XLOOKUP(LOWER(TRIM(Base_Bruta!N1686)),DePara_Pais!$A$2:$A$9,DePara_Pais!$B$2:$B$9,"REVISAR"))</f>
        <v>Brasil</v>
      </c>
      <c r="P1686" s="4" t="str">
        <f aca="false">IF($A1686="","",IF(O1686&lt;&gt;"Brasil","Turista Internacional",IF(M1686=F1686,"Local","Turista Nacional")))</f>
        <v>Local</v>
      </c>
      <c r="Q1686" s="7" t="n">
        <f aca="false">IF($A1686="","",DATE(YEAR(B1686),MONTH(B1686),1))</f>
        <v>45809</v>
      </c>
      <c r="R1686" s="4" t="str">
        <f aca="false">IF($A1686="","",IF(COUNTIF($A$2:$A1686,$A1686)&gt;1,"Sim","Não"))</f>
        <v>Não</v>
      </c>
      <c r="S1686" s="4" t="str">
        <f aca="false">IF(A1686="","Descartar - Linha vazia",IF(R1686="Sim","Descartar - Duplicado",IF(OR(H1686&lt;=0,I1686&lt;=0),"Descartar - Qtd/Valor inválido","OK")))</f>
        <v>OK</v>
      </c>
      <c r="T1686" s="4" t="str">
        <f aca="false">Base_Bruta!P1686</f>
        <v>vendas_MG.csv</v>
      </c>
    </row>
    <row r="1687" customFormat="false" ht="15" hidden="false" customHeight="false" outlineLevel="0" collapsed="false">
      <c r="A1687" s="4" t="str">
        <f aca="false">IF(Base_Bruta!A1687="","",Base_Bruta!A1687)</f>
        <v>MG-000075</v>
      </c>
      <c r="B1687" s="5" t="n">
        <f aca="false">IF($A1687="","",IF(ISNUMBER(Base_Bruta!B1687),Base_Bruta!B1687,IF(MID(Base_Bruta!B1687,5,1)="-",DATE(VALUE(LEFT(Base_Bruta!B1687,4)),VALUE(MID(Base_Bruta!B1687,6,2)),VALUE(RIGHT(Base_Bruta!B1687,2))),DATE(VALUE(RIGHT(Base_Bruta!B1687,4)),VALUE(MID(Base_Bruta!B1687,4,2)),VALUE(LEFT(Base_Bruta!B1687,2))))))</f>
        <v>45835</v>
      </c>
      <c r="C1687" s="5" t="n">
        <f aca="false">IF($A1687="","",IF(ISNUMBER(Base_Bruta!C1687),Base_Bruta!C1687,IF(MID(Base_Bruta!C1687,5,1)="-",DATE(VALUE(LEFT(Base_Bruta!C1687,4)),VALUE(MID(Base_Bruta!C1687,6,2)),VALUE(RIGHT(Base_Bruta!C1687,2))),DATE(VALUE(RIGHT(Base_Bruta!C1687,4)),VALUE(MID(Base_Bruta!C1687,4,2)),VALUE(LEFT(Base_Bruta!C1687,2))))))</f>
        <v>45892</v>
      </c>
      <c r="D1687" s="4" t="str">
        <f aca="false">IF($A1687="","",TRIM(Base_Bruta!D1687))</f>
        <v>Festival Montanhas BH 2025</v>
      </c>
      <c r="E1687" s="4" t="str">
        <f aca="false">IF($A1687="","",_xlfn.XLOOKUP(LOWER(TRIM(Base_Bruta!E1687)),DePara_Categoria!$A$2:$A$9,DePara_Categoria!$B$2:$B$9,"REVISAR"))</f>
        <v>Festival</v>
      </c>
      <c r="F1687" s="4" t="str">
        <f aca="false">IF($A1687="","",_xlfn.XLOOKUP(LOWER(TRIM(Base_Bruta!F1687)),DePara_Cidade!$A$2:$A$29,DePara_Cidade!$B$2:$B$29,"REVISAR"))</f>
        <v>Belo Horizonte</v>
      </c>
      <c r="G1687" s="4" t="str">
        <f aca="false">IF($A1687="","",TRIM(Base_Bruta!G1687))</f>
        <v>Meia</v>
      </c>
      <c r="H1687" s="4" t="n">
        <f aca="false">IF($A1687="","",IF(ISNUMBER(Base_Bruta!H1687),Base_Bruta!H1687,IFERROR(_xlfn.NUMBERVALUE(TRIM(SUBSTITUTE(Base_Bruta!H1687,"R$","")),",","."),0)))</f>
        <v>2</v>
      </c>
      <c r="I1687" s="6" t="n">
        <f aca="false">IF($A1687="","",IF(ISNUMBER(Base_Bruta!I1687),Base_Bruta!I1687,IFERROR(_xlfn.NUMBERVALUE(TRIM(SUBSTITUTE(Base_Bruta!I1687,"R$","")),",","."),0)))</f>
        <v>470</v>
      </c>
      <c r="J1687" s="6" t="n">
        <f aca="false">IF($A1687="","",H1687*I1687)</f>
        <v>940</v>
      </c>
      <c r="K1687" s="4" t="str">
        <f aca="false">IF($A1687="","",TRIM(Base_Bruta!J1687))</f>
        <v>App</v>
      </c>
      <c r="L1687" s="4" t="str">
        <f aca="false">IF($A1687="","",TRIM(Base_Bruta!K1687))</f>
        <v>C00349</v>
      </c>
      <c r="M1687" s="4" t="str">
        <f aca="false">IF($A1687="","",_xlfn.XLOOKUP(LOWER(TRIM(Base_Bruta!L1687)),DePara_Cidade!$A$2:$A$29,DePara_Cidade!$B$2:$B$29,"REVISAR"))</f>
        <v>Buenos Aires</v>
      </c>
      <c r="N1687" s="4" t="str">
        <f aca="false">IF($A1687="","",UPPER(TRIM(Base_Bruta!M1687)))</f>
        <v>EX</v>
      </c>
      <c r="O1687" s="4" t="str">
        <f aca="false">IF($A1687="","",_xlfn.XLOOKUP(LOWER(TRIM(Base_Bruta!N1687)),DePara_Pais!$A$2:$A$9,DePara_Pais!$B$2:$B$9,"REVISAR"))</f>
        <v>Argentina</v>
      </c>
      <c r="P1687" s="4" t="str">
        <f aca="false">IF($A1687="","",IF(O1687&lt;&gt;"Brasil","Turista Internacional",IF(M1687=F1687,"Local","Turista Nacional")))</f>
        <v>Turista Internacional</v>
      </c>
      <c r="Q1687" s="7" t="n">
        <f aca="false">IF($A1687="","",DATE(YEAR(B1687),MONTH(B1687),1))</f>
        <v>45809</v>
      </c>
      <c r="R1687" s="4" t="str">
        <f aca="false">IF($A1687="","",IF(COUNTIF($A$2:$A1687,$A1687)&gt;1,"Sim","Não"))</f>
        <v>Não</v>
      </c>
      <c r="S1687" s="4" t="str">
        <f aca="false">IF(A1687="","Descartar - Linha vazia",IF(R1687="Sim","Descartar - Duplicado",IF(OR(H1687&lt;=0,I1687&lt;=0),"Descartar - Qtd/Valor inválido","OK")))</f>
        <v>OK</v>
      </c>
      <c r="T1687" s="4" t="str">
        <f aca="false">Base_Bruta!P1687</f>
        <v>vendas_MG.csv</v>
      </c>
    </row>
    <row r="1688" customFormat="false" ht="15" hidden="false" customHeight="false" outlineLevel="0" collapsed="false">
      <c r="A1688" s="4" t="str">
        <f aca="false">IF(Base_Bruta!A1688="","",Base_Bruta!A1688)</f>
        <v>MG-000061</v>
      </c>
      <c r="B1688" s="5" t="n">
        <f aca="false">IF($A1688="","",IF(ISNUMBER(Base_Bruta!B1688),Base_Bruta!B1688,IF(MID(Base_Bruta!B1688,5,1)="-",DATE(VALUE(LEFT(Base_Bruta!B1688,4)),VALUE(MID(Base_Bruta!B1688,6,2)),VALUE(RIGHT(Base_Bruta!B1688,2))),DATE(VALUE(RIGHT(Base_Bruta!B1688,4)),VALUE(MID(Base_Bruta!B1688,4,2)),VALUE(LEFT(Base_Bruta!B1688,2))))))</f>
        <v>45836</v>
      </c>
      <c r="C1688" s="5" t="n">
        <f aca="false">IF($A1688="","",IF(ISNUMBER(Base_Bruta!C1688),Base_Bruta!C1688,IF(MID(Base_Bruta!C1688,5,1)="-",DATE(VALUE(LEFT(Base_Bruta!C1688,4)),VALUE(MID(Base_Bruta!C1688,6,2)),VALUE(RIGHT(Base_Bruta!C1688,2))),DATE(VALUE(RIGHT(Base_Bruta!C1688,4)),VALUE(MID(Base_Bruta!C1688,4,2)),VALUE(LEFT(Base_Bruta!C1688,2))))))</f>
        <v>45892</v>
      </c>
      <c r="D1688" s="4" t="str">
        <f aca="false">IF($A1688="","",TRIM(Base_Bruta!D1688))</f>
        <v>Festival Montanhas BH 2025</v>
      </c>
      <c r="E1688" s="4" t="str">
        <f aca="false">IF($A1688="","",_xlfn.XLOOKUP(LOWER(TRIM(Base_Bruta!E1688)),DePara_Categoria!$A$2:$A$9,DePara_Categoria!$B$2:$B$9,"REVISAR"))</f>
        <v>Festival</v>
      </c>
      <c r="F1688" s="4" t="str">
        <f aca="false">IF($A1688="","",_xlfn.XLOOKUP(LOWER(TRIM(Base_Bruta!F1688)),DePara_Cidade!$A$2:$A$29,DePara_Cidade!$B$2:$B$29,"REVISAR"))</f>
        <v>Belo Horizonte</v>
      </c>
      <c r="G1688" s="4" t="str">
        <f aca="false">IF($A1688="","",TRIM(Base_Bruta!G1688))</f>
        <v>Inteira</v>
      </c>
      <c r="H1688" s="4" t="n">
        <f aca="false">IF($A1688="","",IF(ISNUMBER(Base_Bruta!H1688),Base_Bruta!H1688,IFERROR(_xlfn.NUMBERVALUE(TRIM(SUBSTITUTE(Base_Bruta!H1688,"R$","")),",","."),0)))</f>
        <v>1</v>
      </c>
      <c r="I1688" s="6" t="n">
        <f aca="false">IF($A1688="","",IF(ISNUMBER(Base_Bruta!I1688),Base_Bruta!I1688,IFERROR(_xlfn.NUMBERVALUE(TRIM(SUBSTITUTE(Base_Bruta!I1688,"R$","")),",","."),0)))</f>
        <v>1100</v>
      </c>
      <c r="J1688" s="6" t="n">
        <f aca="false">IF($A1688="","",H1688*I1688)</f>
        <v>1100</v>
      </c>
      <c r="K1688" s="4" t="str">
        <f aca="false">IF($A1688="","",TRIM(Base_Bruta!J1688))</f>
        <v>Site</v>
      </c>
      <c r="L1688" s="4" t="str">
        <f aca="false">IF($A1688="","",TRIM(Base_Bruta!K1688))</f>
        <v>C01626</v>
      </c>
      <c r="M1688" s="4" t="str">
        <f aca="false">IF($A1688="","",_xlfn.XLOOKUP(LOWER(TRIM(Base_Bruta!L1688)),DePara_Cidade!$A$2:$A$29,DePara_Cidade!$B$2:$B$29,"REVISAR"))</f>
        <v>Belo Horizonte</v>
      </c>
      <c r="N1688" s="4" t="str">
        <f aca="false">IF($A1688="","",UPPER(TRIM(Base_Bruta!M1688)))</f>
        <v>MG</v>
      </c>
      <c r="O1688" s="4" t="str">
        <f aca="false">IF($A1688="","",_xlfn.XLOOKUP(LOWER(TRIM(Base_Bruta!N1688)),DePara_Pais!$A$2:$A$9,DePara_Pais!$B$2:$B$9,"REVISAR"))</f>
        <v>Brasil</v>
      </c>
      <c r="P1688" s="4" t="str">
        <f aca="false">IF($A1688="","",IF(O1688&lt;&gt;"Brasil","Turista Internacional",IF(M1688=F1688,"Local","Turista Nacional")))</f>
        <v>Local</v>
      </c>
      <c r="Q1688" s="7" t="n">
        <f aca="false">IF($A1688="","",DATE(YEAR(B1688),MONTH(B1688),1))</f>
        <v>45809</v>
      </c>
      <c r="R1688" s="4" t="str">
        <f aca="false">IF($A1688="","",IF(COUNTIF($A$2:$A1688,$A1688)&gt;1,"Sim","Não"))</f>
        <v>Não</v>
      </c>
      <c r="S1688" s="4" t="str">
        <f aca="false">IF(A1688="","Descartar - Linha vazia",IF(R1688="Sim","Descartar - Duplicado",IF(OR(H1688&lt;=0,I1688&lt;=0),"Descartar - Qtd/Valor inválido","OK")))</f>
        <v>OK</v>
      </c>
      <c r="T1688" s="4" t="str">
        <f aca="false">Base_Bruta!P1688</f>
        <v>vendas_MG.csv</v>
      </c>
    </row>
    <row r="1689" customFormat="false" ht="15" hidden="false" customHeight="false" outlineLevel="0" collapsed="false">
      <c r="A1689" s="4" t="str">
        <f aca="false">IF(Base_Bruta!A1689="","",Base_Bruta!A1689)</f>
        <v>MG-000074</v>
      </c>
      <c r="B1689" s="5" t="n">
        <f aca="false">IF($A1689="","",IF(ISNUMBER(Base_Bruta!B1689),Base_Bruta!B1689,IF(MID(Base_Bruta!B1689,5,1)="-",DATE(VALUE(LEFT(Base_Bruta!B1689,4)),VALUE(MID(Base_Bruta!B1689,6,2)),VALUE(RIGHT(Base_Bruta!B1689,2))),DATE(VALUE(RIGHT(Base_Bruta!B1689,4)),VALUE(MID(Base_Bruta!B1689,4,2)),VALUE(LEFT(Base_Bruta!B1689,2))))))</f>
        <v>45836</v>
      </c>
      <c r="C1689" s="5" t="n">
        <f aca="false">IF($A1689="","",IF(ISNUMBER(Base_Bruta!C1689),Base_Bruta!C1689,IF(MID(Base_Bruta!C1689,5,1)="-",DATE(VALUE(LEFT(Base_Bruta!C1689,4)),VALUE(MID(Base_Bruta!C1689,6,2)),VALUE(RIGHT(Base_Bruta!C1689,2))),DATE(VALUE(RIGHT(Base_Bruta!C1689,4)),VALUE(MID(Base_Bruta!C1689,4,2)),VALUE(LEFT(Base_Bruta!C1689,2))))))</f>
        <v>45892</v>
      </c>
      <c r="D1689" s="4" t="str">
        <f aca="false">IF($A1689="","",TRIM(Base_Bruta!D1689))</f>
        <v>Festival Montanhas BH 2025</v>
      </c>
      <c r="E1689" s="4" t="str">
        <f aca="false">IF($A1689="","",_xlfn.XLOOKUP(LOWER(TRIM(Base_Bruta!E1689)),DePara_Categoria!$A$2:$A$9,DePara_Categoria!$B$2:$B$9,"REVISAR"))</f>
        <v>Festival</v>
      </c>
      <c r="F1689" s="4" t="str">
        <f aca="false">IF($A1689="","",_xlfn.XLOOKUP(LOWER(TRIM(Base_Bruta!F1689)),DePara_Cidade!$A$2:$A$29,DePara_Cidade!$B$2:$B$29,"REVISAR"))</f>
        <v>Belo Horizonte</v>
      </c>
      <c r="G1689" s="4" t="str">
        <f aca="false">IF($A1689="","",TRIM(Base_Bruta!G1689))</f>
        <v>Inteira</v>
      </c>
      <c r="H1689" s="4" t="n">
        <f aca="false">IF($A1689="","",IF(ISNUMBER(Base_Bruta!H1689),Base_Bruta!H1689,IFERROR(_xlfn.NUMBERVALUE(TRIM(SUBSTITUTE(Base_Bruta!H1689,"R$","")),",","."),0)))</f>
        <v>1</v>
      </c>
      <c r="I1689" s="6" t="n">
        <f aca="false">IF($A1689="","",IF(ISNUMBER(Base_Bruta!I1689),Base_Bruta!I1689,IFERROR(_xlfn.NUMBERVALUE(TRIM(SUBSTITUTE(Base_Bruta!I1689,"R$","")),",","."),0)))</f>
        <v>800</v>
      </c>
      <c r="J1689" s="6" t="n">
        <f aca="false">IF($A1689="","",H1689*I1689)</f>
        <v>800</v>
      </c>
      <c r="K1689" s="4" t="str">
        <f aca="false">IF($A1689="","",TRIM(Base_Bruta!J1689))</f>
        <v>Parceiro</v>
      </c>
      <c r="L1689" s="4" t="str">
        <f aca="false">IF($A1689="","",TRIM(Base_Bruta!K1689))</f>
        <v>C00953</v>
      </c>
      <c r="M1689" s="4" t="str">
        <f aca="false">IF($A1689="","",_xlfn.XLOOKUP(LOWER(TRIM(Base_Bruta!L1689)),DePara_Cidade!$A$2:$A$29,DePara_Cidade!$B$2:$B$29,"REVISAR"))</f>
        <v>Curitiba</v>
      </c>
      <c r="N1689" s="4" t="str">
        <f aca="false">IF($A1689="","",UPPER(TRIM(Base_Bruta!M1689)))</f>
        <v>PR</v>
      </c>
      <c r="O1689" s="4" t="str">
        <f aca="false">IF($A1689="","",_xlfn.XLOOKUP(LOWER(TRIM(Base_Bruta!N1689)),DePara_Pais!$A$2:$A$9,DePara_Pais!$B$2:$B$9,"REVISAR"))</f>
        <v>Brasil</v>
      </c>
      <c r="P1689" s="4" t="str">
        <f aca="false">IF($A1689="","",IF(O1689&lt;&gt;"Brasil","Turista Internacional",IF(M1689=F1689,"Local","Turista Nacional")))</f>
        <v>Turista Nacional</v>
      </c>
      <c r="Q1689" s="7" t="n">
        <f aca="false">IF($A1689="","",DATE(YEAR(B1689),MONTH(B1689),1))</f>
        <v>45809</v>
      </c>
      <c r="R1689" s="4" t="str">
        <f aca="false">IF($A1689="","",IF(COUNTIF($A$2:$A1689,$A1689)&gt;1,"Sim","Não"))</f>
        <v>Não</v>
      </c>
      <c r="S1689" s="4" t="str">
        <f aca="false">IF(A1689="","Descartar - Linha vazia",IF(R1689="Sim","Descartar - Duplicado",IF(OR(H1689&lt;=0,I1689&lt;=0),"Descartar - Qtd/Valor inválido","OK")))</f>
        <v>OK</v>
      </c>
      <c r="T1689" s="4" t="str">
        <f aca="false">Base_Bruta!P1689</f>
        <v>vendas_MG.csv</v>
      </c>
    </row>
    <row r="1690" customFormat="false" ht="15" hidden="false" customHeight="false" outlineLevel="0" collapsed="false">
      <c r="A1690" s="4" t="str">
        <f aca="false">IF(Base_Bruta!A1690="","",Base_Bruta!A1690)</f>
        <v>MG-000434</v>
      </c>
      <c r="B1690" s="5" t="n">
        <f aca="false">IF($A1690="","",IF(ISNUMBER(Base_Bruta!B1690),Base_Bruta!B1690,IF(MID(Base_Bruta!B1690,5,1)="-",DATE(VALUE(LEFT(Base_Bruta!B1690,4)),VALUE(MID(Base_Bruta!B1690,6,2)),VALUE(RIGHT(Base_Bruta!B1690,2))),DATE(VALUE(RIGHT(Base_Bruta!B1690,4)),VALUE(MID(Base_Bruta!B1690,4,2)),VALUE(LEFT(Base_Bruta!B1690,2))))))</f>
        <v>45836</v>
      </c>
      <c r="C1690" s="5" t="n">
        <f aca="false">IF($A1690="","",IF(ISNUMBER(Base_Bruta!C1690),Base_Bruta!C1690,IF(MID(Base_Bruta!C1690,5,1)="-",DATE(VALUE(LEFT(Base_Bruta!C1690,4)),VALUE(MID(Base_Bruta!C1690,6,2)),VALUE(RIGHT(Base_Bruta!C1690,2))),DATE(VALUE(RIGHT(Base_Bruta!C1690,4)),VALUE(MID(Base_Bruta!C1690,4,2)),VALUE(LEFT(Base_Bruta!C1690,2))))))</f>
        <v>45836</v>
      </c>
      <c r="D1690" s="4" t="str">
        <f aca="false">IF($A1690="","",TRIM(Base_Bruta!D1690))</f>
        <v>Cinema Savassi - Sessões</v>
      </c>
      <c r="E1690" s="4" t="str">
        <f aca="false">IF($A1690="","",_xlfn.XLOOKUP(LOWER(TRIM(Base_Bruta!E1690)),DePara_Categoria!$A$2:$A$9,DePara_Categoria!$B$2:$B$9,"REVISAR"))</f>
        <v>Cinema</v>
      </c>
      <c r="F1690" s="4" t="str">
        <f aca="false">IF($A1690="","",_xlfn.XLOOKUP(LOWER(TRIM(Base_Bruta!F1690)),DePara_Cidade!$A$2:$A$29,DePara_Cidade!$B$2:$B$29,"REVISAR"))</f>
        <v>Belo Horizonte</v>
      </c>
      <c r="G1690" s="4" t="str">
        <f aca="false">IF($A1690="","",TRIM(Base_Bruta!G1690))</f>
        <v>Inteira</v>
      </c>
      <c r="H1690" s="4" t="n">
        <f aca="false">IF($A1690="","",IF(ISNUMBER(Base_Bruta!H1690),Base_Bruta!H1690,IFERROR(_xlfn.NUMBERVALUE(TRIM(SUBSTITUTE(Base_Bruta!H1690,"R$","")),",","."),0)))</f>
        <v>1</v>
      </c>
      <c r="I1690" s="6" t="n">
        <f aca="false">IF($A1690="","",IF(ISNUMBER(Base_Bruta!I1690),Base_Bruta!I1690,IFERROR(_xlfn.NUMBERVALUE(TRIM(SUBSTITUTE(Base_Bruta!I1690,"R$","")),",","."),0)))</f>
        <v>35</v>
      </c>
      <c r="J1690" s="6" t="n">
        <f aca="false">IF($A1690="","",H1690*I1690)</f>
        <v>35</v>
      </c>
      <c r="K1690" s="4" t="str">
        <f aca="false">IF($A1690="","",TRIM(Base_Bruta!J1690))</f>
        <v>Site</v>
      </c>
      <c r="L1690" s="4" t="str">
        <f aca="false">IF($A1690="","",TRIM(Base_Bruta!K1690))</f>
        <v>C01666</v>
      </c>
      <c r="M1690" s="4" t="str">
        <f aca="false">IF($A1690="","",_xlfn.XLOOKUP(LOWER(TRIM(Base_Bruta!L1690)),DePara_Cidade!$A$2:$A$29,DePara_Cidade!$B$2:$B$29,"REVISAR"))</f>
        <v>Belo Horizonte</v>
      </c>
      <c r="N1690" s="4" t="str">
        <f aca="false">IF($A1690="","",UPPER(TRIM(Base_Bruta!M1690)))</f>
        <v>MG</v>
      </c>
      <c r="O1690" s="4" t="str">
        <f aca="false">IF($A1690="","",_xlfn.XLOOKUP(LOWER(TRIM(Base_Bruta!N1690)),DePara_Pais!$A$2:$A$9,DePara_Pais!$B$2:$B$9,"REVISAR"))</f>
        <v>Brasil</v>
      </c>
      <c r="P1690" s="4" t="str">
        <f aca="false">IF($A1690="","",IF(O1690&lt;&gt;"Brasil","Turista Internacional",IF(M1690=F1690,"Local","Turista Nacional")))</f>
        <v>Local</v>
      </c>
      <c r="Q1690" s="7" t="n">
        <f aca="false">IF($A1690="","",DATE(YEAR(B1690),MONTH(B1690),1))</f>
        <v>45809</v>
      </c>
      <c r="R1690" s="4" t="str">
        <f aca="false">IF($A1690="","",IF(COUNTIF($A$2:$A1690,$A1690)&gt;1,"Sim","Não"))</f>
        <v>Não</v>
      </c>
      <c r="S1690" s="4" t="str">
        <f aca="false">IF(A1690="","Descartar - Linha vazia",IF(R1690="Sim","Descartar - Duplicado",IF(OR(H1690&lt;=0,I1690&lt;=0),"Descartar - Qtd/Valor inválido","OK")))</f>
        <v>OK</v>
      </c>
      <c r="T1690" s="4" t="str">
        <f aca="false">Base_Bruta!P1690</f>
        <v>vendas_MG.csv</v>
      </c>
    </row>
    <row r="1691" customFormat="false" ht="15" hidden="false" customHeight="false" outlineLevel="0" collapsed="false">
      <c r="A1691" s="4" t="str">
        <f aca="false">IF(Base_Bruta!A1691="","",Base_Bruta!A1691)</f>
        <v>MG-000520</v>
      </c>
      <c r="B1691" s="5" t="n">
        <f aca="false">IF($A1691="","",IF(ISNUMBER(Base_Bruta!B1691),Base_Bruta!B1691,IF(MID(Base_Bruta!B1691,5,1)="-",DATE(VALUE(LEFT(Base_Bruta!B1691,4)),VALUE(MID(Base_Bruta!B1691,6,2)),VALUE(RIGHT(Base_Bruta!B1691,2))),DATE(VALUE(RIGHT(Base_Bruta!B1691,4)),VALUE(MID(Base_Bruta!B1691,4,2)),VALUE(LEFT(Base_Bruta!B1691,2))))))</f>
        <v>45836</v>
      </c>
      <c r="C1691" s="5" t="n">
        <f aca="false">IF($A1691="","",IF(ISNUMBER(Base_Bruta!C1691),Base_Bruta!C1691,IF(MID(Base_Bruta!C1691,5,1)="-",DATE(VALUE(LEFT(Base_Bruta!C1691,4)),VALUE(MID(Base_Bruta!C1691,6,2)),VALUE(RIGHT(Base_Bruta!C1691,2))),DATE(VALUE(RIGHT(Base_Bruta!C1691,4)),VALUE(MID(Base_Bruta!C1691,4,2)),VALUE(LEFT(Base_Bruta!C1691,2))))))</f>
        <v>45836</v>
      </c>
      <c r="D1691" s="4" t="str">
        <f aca="false">IF($A1691="","",TRIM(Base_Bruta!D1691))</f>
        <v>Cinema Savassi - Sessões</v>
      </c>
      <c r="E1691" s="4" t="str">
        <f aca="false">IF($A1691="","",_xlfn.XLOOKUP(LOWER(TRIM(Base_Bruta!E1691)),DePara_Categoria!$A$2:$A$9,DePara_Categoria!$B$2:$B$9,"REVISAR"))</f>
        <v>Cinema</v>
      </c>
      <c r="F1691" s="4" t="str">
        <f aca="false">IF($A1691="","",_xlfn.XLOOKUP(LOWER(TRIM(Base_Bruta!F1691)),DePara_Cidade!$A$2:$A$29,DePara_Cidade!$B$2:$B$29,"REVISAR"))</f>
        <v>Belo Horizonte</v>
      </c>
      <c r="G1691" s="4" t="str">
        <f aca="false">IF($A1691="","",TRIM(Base_Bruta!G1691))</f>
        <v>Inteira</v>
      </c>
      <c r="H1691" s="4" t="n">
        <f aca="false">IF($A1691="","",IF(ISNUMBER(Base_Bruta!H1691),Base_Bruta!H1691,IFERROR(_xlfn.NUMBERVALUE(TRIM(SUBSTITUTE(Base_Bruta!H1691,"R$","")),",","."),0)))</f>
        <v>2</v>
      </c>
      <c r="I1691" s="6" t="n">
        <f aca="false">IF($A1691="","",IF(ISNUMBER(Base_Bruta!I1691),Base_Bruta!I1691,IFERROR(_xlfn.NUMBERVALUE(TRIM(SUBSTITUTE(Base_Bruta!I1691,"R$","")),",","."),0)))</f>
        <v>30</v>
      </c>
      <c r="J1691" s="6" t="n">
        <f aca="false">IF($A1691="","",H1691*I1691)</f>
        <v>60</v>
      </c>
      <c r="K1691" s="4" t="str">
        <f aca="false">IF($A1691="","",TRIM(Base_Bruta!J1691))</f>
        <v>Site</v>
      </c>
      <c r="L1691" s="4" t="str">
        <f aca="false">IF($A1691="","",TRIM(Base_Bruta!K1691))</f>
        <v>C01443</v>
      </c>
      <c r="M1691" s="4" t="str">
        <f aca="false">IF($A1691="","",_xlfn.XLOOKUP(LOWER(TRIM(Base_Bruta!L1691)),DePara_Cidade!$A$2:$A$29,DePara_Cidade!$B$2:$B$29,"REVISAR"))</f>
        <v>Belo Horizonte</v>
      </c>
      <c r="N1691" s="4" t="str">
        <f aca="false">IF($A1691="","",UPPER(TRIM(Base_Bruta!M1691)))</f>
        <v>MG</v>
      </c>
      <c r="O1691" s="4" t="str">
        <f aca="false">IF($A1691="","",_xlfn.XLOOKUP(LOWER(TRIM(Base_Bruta!N1691)),DePara_Pais!$A$2:$A$9,DePara_Pais!$B$2:$B$9,"REVISAR"))</f>
        <v>Brasil</v>
      </c>
      <c r="P1691" s="4" t="str">
        <f aca="false">IF($A1691="","",IF(O1691&lt;&gt;"Brasil","Turista Internacional",IF(M1691=F1691,"Local","Turista Nacional")))</f>
        <v>Local</v>
      </c>
      <c r="Q1691" s="7" t="n">
        <f aca="false">IF($A1691="","",DATE(YEAR(B1691),MONTH(B1691),1))</f>
        <v>45809</v>
      </c>
      <c r="R1691" s="4" t="str">
        <f aca="false">IF($A1691="","",IF(COUNTIF($A$2:$A1691,$A1691)&gt;1,"Sim","Não"))</f>
        <v>Não</v>
      </c>
      <c r="S1691" s="4" t="str">
        <f aca="false">IF(A1691="","Descartar - Linha vazia",IF(R1691="Sim","Descartar - Duplicado",IF(OR(H1691&lt;=0,I1691&lt;=0),"Descartar - Qtd/Valor inválido","OK")))</f>
        <v>OK</v>
      </c>
      <c r="T1691" s="4" t="str">
        <f aca="false">Base_Bruta!P1691</f>
        <v>vendas_MG.csv</v>
      </c>
    </row>
    <row r="1692" customFormat="false" ht="15" hidden="false" customHeight="false" outlineLevel="0" collapsed="false">
      <c r="A1692" s="4" t="str">
        <f aca="false">IF(Base_Bruta!A1692="","",Base_Bruta!A1692)</f>
        <v>MG-000049</v>
      </c>
      <c r="B1692" s="5" t="n">
        <f aca="false">IF($A1692="","",IF(ISNUMBER(Base_Bruta!B1692),Base_Bruta!B1692,IF(MID(Base_Bruta!B1692,5,1)="-",DATE(VALUE(LEFT(Base_Bruta!B1692,4)),VALUE(MID(Base_Bruta!B1692,6,2)),VALUE(RIGHT(Base_Bruta!B1692,2))),DATE(VALUE(RIGHT(Base_Bruta!B1692,4)),VALUE(MID(Base_Bruta!B1692,4,2)),VALUE(LEFT(Base_Bruta!B1692,2))))))</f>
        <v>45837</v>
      </c>
      <c r="C1692" s="5" t="n">
        <f aca="false">IF($A1692="","",IF(ISNUMBER(Base_Bruta!C1692),Base_Bruta!C1692,IF(MID(Base_Bruta!C1692,5,1)="-",DATE(VALUE(LEFT(Base_Bruta!C1692,4)),VALUE(MID(Base_Bruta!C1692,6,2)),VALUE(RIGHT(Base_Bruta!C1692,2))),DATE(VALUE(RIGHT(Base_Bruta!C1692,4)),VALUE(MID(Base_Bruta!C1692,4,2)),VALUE(LEFT(Base_Bruta!C1692,2))))))</f>
        <v>45892</v>
      </c>
      <c r="D1692" s="4" t="str">
        <f aca="false">IF($A1692="","",TRIM(Base_Bruta!D1692))</f>
        <v>Festival Montanhas BH 2025</v>
      </c>
      <c r="E1692" s="4" t="str">
        <f aca="false">IF($A1692="","",_xlfn.XLOOKUP(LOWER(TRIM(Base_Bruta!E1692)),DePara_Categoria!$A$2:$A$9,DePara_Categoria!$B$2:$B$9,"REVISAR"))</f>
        <v>Festival</v>
      </c>
      <c r="F1692" s="4" t="str">
        <f aca="false">IF($A1692="","",_xlfn.XLOOKUP(LOWER(TRIM(Base_Bruta!F1692)),DePara_Cidade!$A$2:$A$29,DePara_Cidade!$B$2:$B$29,"REVISAR"))</f>
        <v>Belo Horizonte</v>
      </c>
      <c r="G1692" s="4" t="str">
        <f aca="false">IF($A1692="","",TRIM(Base_Bruta!G1692))</f>
        <v>Meia</v>
      </c>
      <c r="H1692" s="4" t="n">
        <f aca="false">IF($A1692="","",IF(ISNUMBER(Base_Bruta!H1692),Base_Bruta!H1692,IFERROR(_xlfn.NUMBERVALUE(TRIM(SUBSTITUTE(Base_Bruta!H1692,"R$","")),",","."),0)))</f>
        <v>2</v>
      </c>
      <c r="I1692" s="6" t="n">
        <f aca="false">IF($A1692="","",IF(ISNUMBER(Base_Bruta!I1692),Base_Bruta!I1692,IFERROR(_xlfn.NUMBERVALUE(TRIM(SUBSTITUTE(Base_Bruta!I1692,"R$","")),",","."),0)))</f>
        <v>330</v>
      </c>
      <c r="J1692" s="6" t="n">
        <f aca="false">IF($A1692="","",H1692*I1692)</f>
        <v>660</v>
      </c>
      <c r="K1692" s="4" t="str">
        <f aca="false">IF($A1692="","",TRIM(Base_Bruta!J1692))</f>
        <v>Site</v>
      </c>
      <c r="L1692" s="4" t="str">
        <f aca="false">IF($A1692="","",TRIM(Base_Bruta!K1692))</f>
        <v>C01315</v>
      </c>
      <c r="M1692" s="4" t="str">
        <f aca="false">IF($A1692="","",_xlfn.XLOOKUP(LOWER(TRIM(Base_Bruta!L1692)),DePara_Cidade!$A$2:$A$29,DePara_Cidade!$B$2:$B$29,"REVISAR"))</f>
        <v>Lisboa</v>
      </c>
      <c r="N1692" s="4" t="str">
        <f aca="false">IF($A1692="","",UPPER(TRIM(Base_Bruta!M1692)))</f>
        <v>EX</v>
      </c>
      <c r="O1692" s="4" t="str">
        <f aca="false">IF($A1692="","",_xlfn.XLOOKUP(LOWER(TRIM(Base_Bruta!N1692)),DePara_Pais!$A$2:$A$9,DePara_Pais!$B$2:$B$9,"REVISAR"))</f>
        <v>Portugal</v>
      </c>
      <c r="P1692" s="4" t="str">
        <f aca="false">IF($A1692="","",IF(O1692&lt;&gt;"Brasil","Turista Internacional",IF(M1692=F1692,"Local","Turista Nacional")))</f>
        <v>Turista Internacional</v>
      </c>
      <c r="Q1692" s="7" t="n">
        <f aca="false">IF($A1692="","",DATE(YEAR(B1692),MONTH(B1692),1))</f>
        <v>45809</v>
      </c>
      <c r="R1692" s="4" t="str">
        <f aca="false">IF($A1692="","",IF(COUNTIF($A$2:$A1692,$A1692)&gt;1,"Sim","Não"))</f>
        <v>Não</v>
      </c>
      <c r="S1692" s="4" t="str">
        <f aca="false">IF(A1692="","Descartar - Linha vazia",IF(R1692="Sim","Descartar - Duplicado",IF(OR(H1692&lt;=0,I1692&lt;=0),"Descartar - Qtd/Valor inválido","OK")))</f>
        <v>OK</v>
      </c>
      <c r="T1692" s="4" t="str">
        <f aca="false">Base_Bruta!P1692</f>
        <v>vendas_MG.csv</v>
      </c>
    </row>
    <row r="1693" customFormat="false" ht="15" hidden="false" customHeight="false" outlineLevel="0" collapsed="false">
      <c r="A1693" s="4" t="str">
        <f aca="false">IF(Base_Bruta!A1693="","",Base_Bruta!A1693)</f>
        <v>MG-000202</v>
      </c>
      <c r="B1693" s="5" t="n">
        <f aca="false">IF($A1693="","",IF(ISNUMBER(Base_Bruta!B1693),Base_Bruta!B1693,IF(MID(Base_Bruta!B1693,5,1)="-",DATE(VALUE(LEFT(Base_Bruta!B1693,4)),VALUE(MID(Base_Bruta!B1693,6,2)),VALUE(RIGHT(Base_Bruta!B1693,2))),DATE(VALUE(RIGHT(Base_Bruta!B1693,4)),VALUE(MID(Base_Bruta!B1693,4,2)),VALUE(LEFT(Base_Bruta!B1693,2))))))</f>
        <v>45837</v>
      </c>
      <c r="C1693" s="5" t="n">
        <f aca="false">IF($A1693="","",IF(ISNUMBER(Base_Bruta!C1693),Base_Bruta!C1693,IF(MID(Base_Bruta!C1693,5,1)="-",DATE(VALUE(LEFT(Base_Bruta!C1693,4)),VALUE(MID(Base_Bruta!C1693,6,2)),VALUE(RIGHT(Base_Bruta!C1693,2))),DATE(VALUE(RIGHT(Base_Bruta!C1693,4)),VALUE(MID(Base_Bruta!C1693,4,2)),VALUE(LEFT(Base_Bruta!C1693,2))))))</f>
        <v>45892</v>
      </c>
      <c r="D1693" s="4" t="str">
        <f aca="false">IF($A1693="","",TRIM(Base_Bruta!D1693))</f>
        <v>Festival Montanhas BH 2025</v>
      </c>
      <c r="E1693" s="4" t="str">
        <f aca="false">IF($A1693="","",_xlfn.XLOOKUP(LOWER(TRIM(Base_Bruta!E1693)),DePara_Categoria!$A$2:$A$9,DePara_Categoria!$B$2:$B$9,"REVISAR"))</f>
        <v>Festival</v>
      </c>
      <c r="F1693" s="4" t="str">
        <f aca="false">IF($A1693="","",_xlfn.XLOOKUP(LOWER(TRIM(Base_Bruta!F1693)),DePara_Cidade!$A$2:$A$29,DePara_Cidade!$B$2:$B$29,"REVISAR"))</f>
        <v>Belo Horizonte</v>
      </c>
      <c r="G1693" s="4" t="str">
        <f aca="false">IF($A1693="","",TRIM(Base_Bruta!G1693))</f>
        <v>Inteira</v>
      </c>
      <c r="H1693" s="4" t="n">
        <f aca="false">IF($A1693="","",IF(ISNUMBER(Base_Bruta!H1693),Base_Bruta!H1693,IFERROR(_xlfn.NUMBERVALUE(TRIM(SUBSTITUTE(Base_Bruta!H1693,"R$","")),",","."),0)))</f>
        <v>1</v>
      </c>
      <c r="I1693" s="6" t="n">
        <f aca="false">IF($A1693="","",IF(ISNUMBER(Base_Bruta!I1693),Base_Bruta!I1693,IFERROR(_xlfn.NUMBERVALUE(TRIM(SUBSTITUTE(Base_Bruta!I1693,"R$","")),",","."),0)))</f>
        <v>1065</v>
      </c>
      <c r="J1693" s="6" t="n">
        <f aca="false">IF($A1693="","",H1693*I1693)</f>
        <v>1065</v>
      </c>
      <c r="K1693" s="4" t="str">
        <f aca="false">IF($A1693="","",TRIM(Base_Bruta!J1693))</f>
        <v>App</v>
      </c>
      <c r="L1693" s="4" t="str">
        <f aca="false">IF($A1693="","",TRIM(Base_Bruta!K1693))</f>
        <v>C01584</v>
      </c>
      <c r="M1693" s="4" t="str">
        <f aca="false">IF($A1693="","",_xlfn.XLOOKUP(LOWER(TRIM(Base_Bruta!L1693)),DePara_Cidade!$A$2:$A$29,DePara_Cidade!$B$2:$B$29,"REVISAR"))</f>
        <v>Belo Horizonte</v>
      </c>
      <c r="N1693" s="4" t="str">
        <f aca="false">IF($A1693="","",UPPER(TRIM(Base_Bruta!M1693)))</f>
        <v>MG</v>
      </c>
      <c r="O1693" s="4" t="str">
        <f aca="false">IF($A1693="","",_xlfn.XLOOKUP(LOWER(TRIM(Base_Bruta!N1693)),DePara_Pais!$A$2:$A$9,DePara_Pais!$B$2:$B$9,"REVISAR"))</f>
        <v>Brasil</v>
      </c>
      <c r="P1693" s="4" t="str">
        <f aca="false">IF($A1693="","",IF(O1693&lt;&gt;"Brasil","Turista Internacional",IF(M1693=F1693,"Local","Turista Nacional")))</f>
        <v>Local</v>
      </c>
      <c r="Q1693" s="7" t="n">
        <f aca="false">IF($A1693="","",DATE(YEAR(B1693),MONTH(B1693),1))</f>
        <v>45809</v>
      </c>
      <c r="R1693" s="4" t="str">
        <f aca="false">IF($A1693="","",IF(COUNTIF($A$2:$A1693,$A1693)&gt;1,"Sim","Não"))</f>
        <v>Não</v>
      </c>
      <c r="S1693" s="4" t="str">
        <f aca="false">IF(A1693="","Descartar - Linha vazia",IF(R1693="Sim","Descartar - Duplicado",IF(OR(H1693&lt;=0,I1693&lt;=0),"Descartar - Qtd/Valor inválido","OK")))</f>
        <v>OK</v>
      </c>
      <c r="T1693" s="4" t="str">
        <f aca="false">Base_Bruta!P1693</f>
        <v>vendas_MG.csv</v>
      </c>
    </row>
    <row r="1694" customFormat="false" ht="15" hidden="false" customHeight="false" outlineLevel="0" collapsed="false">
      <c r="A1694" s="4" t="str">
        <f aca="false">IF(Base_Bruta!A1694="","",Base_Bruta!A1694)</f>
        <v>MG-000015</v>
      </c>
      <c r="B1694" s="5" t="n">
        <f aca="false">IF($A1694="","",IF(ISNUMBER(Base_Bruta!B1694),Base_Bruta!B1694,IF(MID(Base_Bruta!B1694,5,1)="-",DATE(VALUE(LEFT(Base_Bruta!B1694,4)),VALUE(MID(Base_Bruta!B1694,6,2)),VALUE(RIGHT(Base_Bruta!B1694,2))),DATE(VALUE(RIGHT(Base_Bruta!B1694,4)),VALUE(MID(Base_Bruta!B1694,4,2)),VALUE(LEFT(Base_Bruta!B1694,2))))))</f>
        <v>45838</v>
      </c>
      <c r="C1694" s="5" t="n">
        <f aca="false">IF($A1694="","",IF(ISNUMBER(Base_Bruta!C1694),Base_Bruta!C1694,IF(MID(Base_Bruta!C1694,5,1)="-",DATE(VALUE(LEFT(Base_Bruta!C1694,4)),VALUE(MID(Base_Bruta!C1694,6,2)),VALUE(RIGHT(Base_Bruta!C1694,2))),DATE(VALUE(RIGHT(Base_Bruta!C1694,4)),VALUE(MID(Base_Bruta!C1694,4,2)),VALUE(LEFT(Base_Bruta!C1694,2))))))</f>
        <v>45892</v>
      </c>
      <c r="D1694" s="4" t="str">
        <f aca="false">IF($A1694="","",TRIM(Base_Bruta!D1694))</f>
        <v>Festival Montanhas BH 2025</v>
      </c>
      <c r="E1694" s="4" t="str">
        <f aca="false">IF($A1694="","",_xlfn.XLOOKUP(LOWER(TRIM(Base_Bruta!E1694)),DePara_Categoria!$A$2:$A$9,DePara_Categoria!$B$2:$B$9,"REVISAR"))</f>
        <v>Festival</v>
      </c>
      <c r="F1694" s="4" t="str">
        <f aca="false">IF($A1694="","",_xlfn.XLOOKUP(LOWER(TRIM(Base_Bruta!F1694)),DePara_Cidade!$A$2:$A$29,DePara_Cidade!$B$2:$B$29,"REVISAR"))</f>
        <v>Belo Horizonte</v>
      </c>
      <c r="G1694" s="4" t="str">
        <f aca="false">IF($A1694="","",TRIM(Base_Bruta!G1694))</f>
        <v>Meia</v>
      </c>
      <c r="H1694" s="4" t="n">
        <f aca="false">IF($A1694="","",IF(ISNUMBER(Base_Bruta!H1694),Base_Bruta!H1694,IFERROR(_xlfn.NUMBERVALUE(TRIM(SUBSTITUTE(Base_Bruta!H1694,"R$","")),",","."),0)))</f>
        <v>1</v>
      </c>
      <c r="I1694" s="6" t="n">
        <f aca="false">IF($A1694="","",IF(ISNUMBER(Base_Bruta!I1694),Base_Bruta!I1694,IFERROR(_xlfn.NUMBERVALUE(TRIM(SUBSTITUTE(Base_Bruta!I1694,"R$","")),",","."),0)))</f>
        <v>425</v>
      </c>
      <c r="J1694" s="6" t="n">
        <f aca="false">IF($A1694="","",H1694*I1694)</f>
        <v>425</v>
      </c>
      <c r="K1694" s="4" t="str">
        <f aca="false">IF($A1694="","",TRIM(Base_Bruta!J1694))</f>
        <v>Site</v>
      </c>
      <c r="L1694" s="4" t="str">
        <f aca="false">IF($A1694="","",TRIM(Base_Bruta!K1694))</f>
        <v>C00233</v>
      </c>
      <c r="M1694" s="4" t="str">
        <f aca="false">IF($A1694="","",_xlfn.XLOOKUP(LOWER(TRIM(Base_Bruta!L1694)),DePara_Cidade!$A$2:$A$29,DePara_Cidade!$B$2:$B$29,"REVISAR"))</f>
        <v>São Paulo</v>
      </c>
      <c r="N1694" s="4" t="str">
        <f aca="false">IF($A1694="","",UPPER(TRIM(Base_Bruta!M1694)))</f>
        <v>SP</v>
      </c>
      <c r="O1694" s="4" t="str">
        <f aca="false">IF($A1694="","",_xlfn.XLOOKUP(LOWER(TRIM(Base_Bruta!N1694)),DePara_Pais!$A$2:$A$9,DePara_Pais!$B$2:$B$9,"REVISAR"))</f>
        <v>Brasil</v>
      </c>
      <c r="P1694" s="4" t="str">
        <f aca="false">IF($A1694="","",IF(O1694&lt;&gt;"Brasil","Turista Internacional",IF(M1694=F1694,"Local","Turista Nacional")))</f>
        <v>Turista Nacional</v>
      </c>
      <c r="Q1694" s="7" t="n">
        <f aca="false">IF($A1694="","",DATE(YEAR(B1694),MONTH(B1694),1))</f>
        <v>45809</v>
      </c>
      <c r="R1694" s="4" t="str">
        <f aca="false">IF($A1694="","",IF(COUNTIF($A$2:$A1694,$A1694)&gt;1,"Sim","Não"))</f>
        <v>Não</v>
      </c>
      <c r="S1694" s="4" t="str">
        <f aca="false">IF(A1694="","Descartar - Linha vazia",IF(R1694="Sim","Descartar - Duplicado",IF(OR(H1694&lt;=0,I1694&lt;=0),"Descartar - Qtd/Valor inválido","OK")))</f>
        <v>OK</v>
      </c>
      <c r="T1694" s="4" t="str">
        <f aca="false">Base_Bruta!P1694</f>
        <v>vendas_MG.csv</v>
      </c>
    </row>
    <row r="1695" customFormat="false" ht="15" hidden="false" customHeight="false" outlineLevel="0" collapsed="false">
      <c r="A1695" s="4" t="str">
        <f aca="false">IF(Base_Bruta!A1695="","",Base_Bruta!A1695)</f>
        <v>MG-000073</v>
      </c>
      <c r="B1695" s="5" t="n">
        <f aca="false">IF($A1695="","",IF(ISNUMBER(Base_Bruta!B1695),Base_Bruta!B1695,IF(MID(Base_Bruta!B1695,5,1)="-",DATE(VALUE(LEFT(Base_Bruta!B1695,4)),VALUE(MID(Base_Bruta!B1695,6,2)),VALUE(RIGHT(Base_Bruta!B1695,2))),DATE(VALUE(RIGHT(Base_Bruta!B1695,4)),VALUE(MID(Base_Bruta!B1695,4,2)),VALUE(LEFT(Base_Bruta!B1695,2))))))</f>
        <v>45839</v>
      </c>
      <c r="C1695" s="5" t="n">
        <f aca="false">IF($A1695="","",IF(ISNUMBER(Base_Bruta!C1695),Base_Bruta!C1695,IF(MID(Base_Bruta!C1695,5,1)="-",DATE(VALUE(LEFT(Base_Bruta!C1695,4)),VALUE(MID(Base_Bruta!C1695,6,2)),VALUE(RIGHT(Base_Bruta!C1695,2))),DATE(VALUE(RIGHT(Base_Bruta!C1695,4)),VALUE(MID(Base_Bruta!C1695,4,2)),VALUE(LEFT(Base_Bruta!C1695,2))))))</f>
        <v>45892</v>
      </c>
      <c r="D1695" s="4" t="str">
        <f aca="false">IF($A1695="","",TRIM(Base_Bruta!D1695))</f>
        <v>Festival Montanhas BH 2025</v>
      </c>
      <c r="E1695" s="4" t="str">
        <f aca="false">IF($A1695="","",_xlfn.XLOOKUP(LOWER(TRIM(Base_Bruta!E1695)),DePara_Categoria!$A$2:$A$9,DePara_Categoria!$B$2:$B$9,"REVISAR"))</f>
        <v>Festival</v>
      </c>
      <c r="F1695" s="4" t="str">
        <f aca="false">IF($A1695="","",_xlfn.XLOOKUP(LOWER(TRIM(Base_Bruta!F1695)),DePara_Cidade!$A$2:$A$29,DePara_Cidade!$B$2:$B$29,"REVISAR"))</f>
        <v>Belo Horizonte</v>
      </c>
      <c r="G1695" s="4" t="str">
        <f aca="false">IF($A1695="","",TRIM(Base_Bruta!G1695))</f>
        <v>Inteira</v>
      </c>
      <c r="H1695" s="4" t="n">
        <f aca="false">IF($A1695="","",IF(ISNUMBER(Base_Bruta!H1695),Base_Bruta!H1695,IFERROR(_xlfn.NUMBERVALUE(TRIM(SUBSTITUTE(Base_Bruta!H1695,"R$","")),",","."),0)))</f>
        <v>1</v>
      </c>
      <c r="I1695" s="6" t="n">
        <f aca="false">IF($A1695="","",IF(ISNUMBER(Base_Bruta!I1695),Base_Bruta!I1695,IFERROR(_xlfn.NUMBERVALUE(TRIM(SUBSTITUTE(Base_Bruta!I1695,"R$","")),",","."),0)))</f>
        <v>850</v>
      </c>
      <c r="J1695" s="6" t="n">
        <f aca="false">IF($A1695="","",H1695*I1695)</f>
        <v>850</v>
      </c>
      <c r="K1695" s="4" t="str">
        <f aca="false">IF($A1695="","",TRIM(Base_Bruta!J1695))</f>
        <v>Bilheteria</v>
      </c>
      <c r="L1695" s="4" t="str">
        <f aca="false">IF($A1695="","",TRIM(Base_Bruta!K1695))</f>
        <v>C02070</v>
      </c>
      <c r="M1695" s="4" t="str">
        <f aca="false">IF($A1695="","",_xlfn.XLOOKUP(LOWER(TRIM(Base_Bruta!L1695)),DePara_Cidade!$A$2:$A$29,DePara_Cidade!$B$2:$B$29,"REVISAR"))</f>
        <v>Belo Horizonte</v>
      </c>
      <c r="N1695" s="4" t="str">
        <f aca="false">IF($A1695="","",UPPER(TRIM(Base_Bruta!M1695)))</f>
        <v>MG</v>
      </c>
      <c r="O1695" s="4" t="str">
        <f aca="false">IF($A1695="","",_xlfn.XLOOKUP(LOWER(TRIM(Base_Bruta!N1695)),DePara_Pais!$A$2:$A$9,DePara_Pais!$B$2:$B$9,"REVISAR"))</f>
        <v>Brasil</v>
      </c>
      <c r="P1695" s="4" t="str">
        <f aca="false">IF($A1695="","",IF(O1695&lt;&gt;"Brasil","Turista Internacional",IF(M1695=F1695,"Local","Turista Nacional")))</f>
        <v>Local</v>
      </c>
      <c r="Q1695" s="7" t="n">
        <f aca="false">IF($A1695="","",DATE(YEAR(B1695),MONTH(B1695),1))</f>
        <v>45839</v>
      </c>
      <c r="R1695" s="4" t="str">
        <f aca="false">IF($A1695="","",IF(COUNTIF($A$2:$A1695,$A1695)&gt;1,"Sim","Não"))</f>
        <v>Não</v>
      </c>
      <c r="S1695" s="4" t="str">
        <f aca="false">IF(A1695="","Descartar - Linha vazia",IF(R1695="Sim","Descartar - Duplicado",IF(OR(H1695&lt;=0,I1695&lt;=0),"Descartar - Qtd/Valor inválido","OK")))</f>
        <v>OK</v>
      </c>
      <c r="T1695" s="4" t="str">
        <f aca="false">Base_Bruta!P1695</f>
        <v>vendas_MG.csv</v>
      </c>
    </row>
    <row r="1696" customFormat="false" ht="15" hidden="false" customHeight="false" outlineLevel="0" collapsed="false">
      <c r="A1696" s="4" t="str">
        <f aca="false">IF(Base_Bruta!A1696="","",Base_Bruta!A1696)</f>
        <v>MG-000052</v>
      </c>
      <c r="B1696" s="5" t="n">
        <f aca="false">IF($A1696="","",IF(ISNUMBER(Base_Bruta!B1696),Base_Bruta!B1696,IF(MID(Base_Bruta!B1696,5,1)="-",DATE(VALUE(LEFT(Base_Bruta!B1696,4)),VALUE(MID(Base_Bruta!B1696,6,2)),VALUE(RIGHT(Base_Bruta!B1696,2))),DATE(VALUE(RIGHT(Base_Bruta!B1696,4)),VALUE(MID(Base_Bruta!B1696,4,2)),VALUE(LEFT(Base_Bruta!B1696,2))))))</f>
        <v>45840</v>
      </c>
      <c r="C1696" s="5" t="n">
        <f aca="false">IF($A1696="","",IF(ISNUMBER(Base_Bruta!C1696),Base_Bruta!C1696,IF(MID(Base_Bruta!C1696,5,1)="-",DATE(VALUE(LEFT(Base_Bruta!C1696,4)),VALUE(MID(Base_Bruta!C1696,6,2)),VALUE(RIGHT(Base_Bruta!C1696,2))),DATE(VALUE(RIGHT(Base_Bruta!C1696,4)),VALUE(MID(Base_Bruta!C1696,4,2)),VALUE(LEFT(Base_Bruta!C1696,2))))))</f>
        <v>45892</v>
      </c>
      <c r="D1696" s="4" t="str">
        <f aca="false">IF($A1696="","",TRIM(Base_Bruta!D1696))</f>
        <v>Festival Montanhas BH 2025</v>
      </c>
      <c r="E1696" s="4" t="str">
        <f aca="false">IF($A1696="","",_xlfn.XLOOKUP(LOWER(TRIM(Base_Bruta!E1696)),DePara_Categoria!$A$2:$A$9,DePara_Categoria!$B$2:$B$9,"REVISAR"))</f>
        <v>Festival</v>
      </c>
      <c r="F1696" s="4" t="str">
        <f aca="false">IF($A1696="","",_xlfn.XLOOKUP(LOWER(TRIM(Base_Bruta!F1696)),DePara_Cidade!$A$2:$A$29,DePara_Cidade!$B$2:$B$29,"REVISAR"))</f>
        <v>Belo Horizonte</v>
      </c>
      <c r="G1696" s="4" t="str">
        <f aca="false">IF($A1696="","",TRIM(Base_Bruta!G1696))</f>
        <v>Meia</v>
      </c>
      <c r="H1696" s="4" t="n">
        <f aca="false">IF($A1696="","",IF(ISNUMBER(Base_Bruta!H1696),Base_Bruta!H1696,IFERROR(_xlfn.NUMBERVALUE(TRIM(SUBSTITUTE(Base_Bruta!H1696,"R$","")),",","."),0)))</f>
        <v>3</v>
      </c>
      <c r="I1696" s="6" t="n">
        <f aca="false">IF($A1696="","",IF(ISNUMBER(Base_Bruta!I1696),Base_Bruta!I1696,IFERROR(_xlfn.NUMBERVALUE(TRIM(SUBSTITUTE(Base_Bruta!I1696,"R$","")),",","."),0)))</f>
        <v>377.5</v>
      </c>
      <c r="J1696" s="6" t="n">
        <f aca="false">IF($A1696="","",H1696*I1696)</f>
        <v>1132.5</v>
      </c>
      <c r="K1696" s="4" t="str">
        <f aca="false">IF($A1696="","",TRIM(Base_Bruta!J1696))</f>
        <v>App</v>
      </c>
      <c r="L1696" s="4" t="str">
        <f aca="false">IF($A1696="","",TRIM(Base_Bruta!K1696))</f>
        <v>C02080</v>
      </c>
      <c r="M1696" s="4" t="str">
        <f aca="false">IF($A1696="","",_xlfn.XLOOKUP(LOWER(TRIM(Base_Bruta!L1696)),DePara_Cidade!$A$2:$A$29,DePara_Cidade!$B$2:$B$29,"REVISAR"))</f>
        <v>Belo Horizonte</v>
      </c>
      <c r="N1696" s="4" t="str">
        <f aca="false">IF($A1696="","",UPPER(TRIM(Base_Bruta!M1696)))</f>
        <v>MG</v>
      </c>
      <c r="O1696" s="4" t="str">
        <f aca="false">IF($A1696="","",_xlfn.XLOOKUP(LOWER(TRIM(Base_Bruta!N1696)),DePara_Pais!$A$2:$A$9,DePara_Pais!$B$2:$B$9,"REVISAR"))</f>
        <v>Brasil</v>
      </c>
      <c r="P1696" s="4" t="str">
        <f aca="false">IF($A1696="","",IF(O1696&lt;&gt;"Brasil","Turista Internacional",IF(M1696=F1696,"Local","Turista Nacional")))</f>
        <v>Local</v>
      </c>
      <c r="Q1696" s="7" t="n">
        <f aca="false">IF($A1696="","",DATE(YEAR(B1696),MONTH(B1696),1))</f>
        <v>45839</v>
      </c>
      <c r="R1696" s="4" t="str">
        <f aca="false">IF($A1696="","",IF(COUNTIF($A$2:$A1696,$A1696)&gt;1,"Sim","Não"))</f>
        <v>Não</v>
      </c>
      <c r="S1696" s="4" t="str">
        <f aca="false">IF(A1696="","Descartar - Linha vazia",IF(R1696="Sim","Descartar - Duplicado",IF(OR(H1696&lt;=0,I1696&lt;=0),"Descartar - Qtd/Valor inválido","OK")))</f>
        <v>OK</v>
      </c>
      <c r="T1696" s="4" t="str">
        <f aca="false">Base_Bruta!P1696</f>
        <v>vendas_MG.csv</v>
      </c>
    </row>
    <row r="1697" customFormat="false" ht="15" hidden="false" customHeight="false" outlineLevel="0" collapsed="false">
      <c r="A1697" s="4" t="str">
        <f aca="false">IF(Base_Bruta!A1697="","",Base_Bruta!A1697)</f>
        <v>MG-000199</v>
      </c>
      <c r="B1697" s="5" t="n">
        <f aca="false">IF($A1697="","",IF(ISNUMBER(Base_Bruta!B1697),Base_Bruta!B1697,IF(MID(Base_Bruta!B1697,5,1)="-",DATE(VALUE(LEFT(Base_Bruta!B1697,4)),VALUE(MID(Base_Bruta!B1697,6,2)),VALUE(RIGHT(Base_Bruta!B1697,2))),DATE(VALUE(RIGHT(Base_Bruta!B1697,4)),VALUE(MID(Base_Bruta!B1697,4,2)),VALUE(LEFT(Base_Bruta!B1697,2))))))</f>
        <v>45840</v>
      </c>
      <c r="C1697" s="5" t="n">
        <f aca="false">IF($A1697="","",IF(ISNUMBER(Base_Bruta!C1697),Base_Bruta!C1697,IF(MID(Base_Bruta!C1697,5,1)="-",DATE(VALUE(LEFT(Base_Bruta!C1697,4)),VALUE(MID(Base_Bruta!C1697,6,2)),VALUE(RIGHT(Base_Bruta!C1697,2))),DATE(VALUE(RIGHT(Base_Bruta!C1697,4)),VALUE(MID(Base_Bruta!C1697,4,2)),VALUE(LEFT(Base_Bruta!C1697,2))))))</f>
        <v>45892</v>
      </c>
      <c r="D1697" s="4" t="str">
        <f aca="false">IF($A1697="","",TRIM(Base_Bruta!D1697))</f>
        <v>Festival Montanhas BH 2025</v>
      </c>
      <c r="E1697" s="4" t="str">
        <f aca="false">IF($A1697="","",_xlfn.XLOOKUP(LOWER(TRIM(Base_Bruta!E1697)),DePara_Categoria!$A$2:$A$9,DePara_Categoria!$B$2:$B$9,"REVISAR"))</f>
        <v>Festival</v>
      </c>
      <c r="F1697" s="4" t="str">
        <f aca="false">IF($A1697="","",_xlfn.XLOOKUP(LOWER(TRIM(Base_Bruta!F1697)),DePara_Cidade!$A$2:$A$29,DePara_Cidade!$B$2:$B$29,"REVISAR"))</f>
        <v>Belo Horizonte</v>
      </c>
      <c r="G1697" s="4" t="str">
        <f aca="false">IF($A1697="","",TRIM(Base_Bruta!G1697))</f>
        <v>Meia</v>
      </c>
      <c r="H1697" s="4" t="n">
        <f aca="false">IF($A1697="","",IF(ISNUMBER(Base_Bruta!H1697),Base_Bruta!H1697,IFERROR(_xlfn.NUMBERVALUE(TRIM(SUBSTITUTE(Base_Bruta!H1697,"R$","")),",","."),0)))</f>
        <v>2</v>
      </c>
      <c r="I1697" s="6" t="n">
        <f aca="false">IF($A1697="","",IF(ISNUMBER(Base_Bruta!I1697),Base_Bruta!I1697,IFERROR(_xlfn.NUMBERVALUE(TRIM(SUBSTITUTE(Base_Bruta!I1697,"R$","")),",","."),0)))</f>
        <v>382.5</v>
      </c>
      <c r="J1697" s="6" t="n">
        <f aca="false">IF($A1697="","",H1697*I1697)</f>
        <v>765</v>
      </c>
      <c r="K1697" s="4" t="str">
        <f aca="false">IF($A1697="","",TRIM(Base_Bruta!J1697))</f>
        <v>Site</v>
      </c>
      <c r="L1697" s="4" t="str">
        <f aca="false">IF($A1697="","",TRIM(Base_Bruta!K1697))</f>
        <v>C00930</v>
      </c>
      <c r="M1697" s="4" t="str">
        <f aca="false">IF($A1697="","",_xlfn.XLOOKUP(LOWER(TRIM(Base_Bruta!L1697)),DePara_Cidade!$A$2:$A$29,DePara_Cidade!$B$2:$B$29,"REVISAR"))</f>
        <v>Belo Horizonte</v>
      </c>
      <c r="N1697" s="4" t="str">
        <f aca="false">IF($A1697="","",UPPER(TRIM(Base_Bruta!M1697)))</f>
        <v>MG</v>
      </c>
      <c r="O1697" s="4" t="str">
        <f aca="false">IF($A1697="","",_xlfn.XLOOKUP(LOWER(TRIM(Base_Bruta!N1697)),DePara_Pais!$A$2:$A$9,DePara_Pais!$B$2:$B$9,"REVISAR"))</f>
        <v>Brasil</v>
      </c>
      <c r="P1697" s="4" t="str">
        <f aca="false">IF($A1697="","",IF(O1697&lt;&gt;"Brasil","Turista Internacional",IF(M1697=F1697,"Local","Turista Nacional")))</f>
        <v>Local</v>
      </c>
      <c r="Q1697" s="7" t="n">
        <f aca="false">IF($A1697="","",DATE(YEAR(B1697),MONTH(B1697),1))</f>
        <v>45839</v>
      </c>
      <c r="R1697" s="4" t="str">
        <f aca="false">IF($A1697="","",IF(COUNTIF($A$2:$A1697,$A1697)&gt;1,"Sim","Não"))</f>
        <v>Não</v>
      </c>
      <c r="S1697" s="4" t="str">
        <f aca="false">IF(A1697="","Descartar - Linha vazia",IF(R1697="Sim","Descartar - Duplicado",IF(OR(H1697&lt;=0,I1697&lt;=0),"Descartar - Qtd/Valor inválido","OK")))</f>
        <v>OK</v>
      </c>
      <c r="T1697" s="4" t="str">
        <f aca="false">Base_Bruta!P1697</f>
        <v>vendas_MG.csv</v>
      </c>
    </row>
    <row r="1698" customFormat="false" ht="15" hidden="false" customHeight="false" outlineLevel="0" collapsed="false">
      <c r="A1698" s="4" t="str">
        <f aca="false">IF(Base_Bruta!A1698="","",Base_Bruta!A1698)</f>
        <v>MG-000455</v>
      </c>
      <c r="B1698" s="5" t="n">
        <f aca="false">IF($A1698="","",IF(ISNUMBER(Base_Bruta!B1698),Base_Bruta!B1698,IF(MID(Base_Bruta!B1698,5,1)="-",DATE(VALUE(LEFT(Base_Bruta!B1698,4)),VALUE(MID(Base_Bruta!B1698,6,2)),VALUE(RIGHT(Base_Bruta!B1698,2))),DATE(VALUE(RIGHT(Base_Bruta!B1698,4)),VALUE(MID(Base_Bruta!B1698,4,2)),VALUE(LEFT(Base_Bruta!B1698,2))))))</f>
        <v>45840</v>
      </c>
      <c r="C1698" s="5" t="n">
        <f aca="false">IF($A1698="","",IF(ISNUMBER(Base_Bruta!C1698),Base_Bruta!C1698,IF(MID(Base_Bruta!C1698,5,1)="-",DATE(VALUE(LEFT(Base_Bruta!C1698,4)),VALUE(MID(Base_Bruta!C1698,6,2)),VALUE(RIGHT(Base_Bruta!C1698,2))),DATE(VALUE(RIGHT(Base_Bruta!C1698,4)),VALUE(MID(Base_Bruta!C1698,4,2)),VALUE(LEFT(Base_Bruta!C1698,2))))))</f>
        <v>45840</v>
      </c>
      <c r="D1698" s="4" t="str">
        <f aca="false">IF($A1698="","",TRIM(Base_Bruta!D1698))</f>
        <v>Cinema Savassi - Sessões</v>
      </c>
      <c r="E1698" s="4" t="str">
        <f aca="false">IF($A1698="","",_xlfn.XLOOKUP(LOWER(TRIM(Base_Bruta!E1698)),DePara_Categoria!$A$2:$A$9,DePara_Categoria!$B$2:$B$9,"REVISAR"))</f>
        <v>Cinema</v>
      </c>
      <c r="F1698" s="4" t="str">
        <f aca="false">IF($A1698="","",_xlfn.XLOOKUP(LOWER(TRIM(Base_Bruta!F1698)),DePara_Cidade!$A$2:$A$29,DePara_Cidade!$B$2:$B$29,"REVISAR"))</f>
        <v>Belo Horizonte</v>
      </c>
      <c r="G1698" s="4" t="str">
        <f aca="false">IF($A1698="","",TRIM(Base_Bruta!G1698))</f>
        <v>Inteira</v>
      </c>
      <c r="H1698" s="4" t="n">
        <f aca="false">IF($A1698="","",IF(ISNUMBER(Base_Bruta!H1698),Base_Bruta!H1698,IFERROR(_xlfn.NUMBERVALUE(TRIM(SUBSTITUTE(Base_Bruta!H1698,"R$","")),",","."),0)))</f>
        <v>3</v>
      </c>
      <c r="I1698" s="6" t="n">
        <f aca="false">IF($A1698="","",IF(ISNUMBER(Base_Bruta!I1698),Base_Bruta!I1698,IFERROR(_xlfn.NUMBERVALUE(TRIM(SUBSTITUTE(Base_Bruta!I1698,"R$","")),",","."),0)))</f>
        <v>30</v>
      </c>
      <c r="J1698" s="6" t="n">
        <f aca="false">IF($A1698="","",H1698*I1698)</f>
        <v>90</v>
      </c>
      <c r="K1698" s="4" t="str">
        <f aca="false">IF($A1698="","",TRIM(Base_Bruta!J1698))</f>
        <v>Parceiro</v>
      </c>
      <c r="L1698" s="4" t="str">
        <f aca="false">IF($A1698="","",TRIM(Base_Bruta!K1698))</f>
        <v>C02378</v>
      </c>
      <c r="M1698" s="4" t="str">
        <f aca="false">IF($A1698="","",_xlfn.XLOOKUP(LOWER(TRIM(Base_Bruta!L1698)),DePara_Cidade!$A$2:$A$29,DePara_Cidade!$B$2:$B$29,"REVISAR"))</f>
        <v>Belo Horizonte</v>
      </c>
      <c r="N1698" s="4" t="str">
        <f aca="false">IF($A1698="","",UPPER(TRIM(Base_Bruta!M1698)))</f>
        <v>MG</v>
      </c>
      <c r="O1698" s="4" t="str">
        <f aca="false">IF($A1698="","",_xlfn.XLOOKUP(LOWER(TRIM(Base_Bruta!N1698)),DePara_Pais!$A$2:$A$9,DePara_Pais!$B$2:$B$9,"REVISAR"))</f>
        <v>Brasil</v>
      </c>
      <c r="P1698" s="4" t="str">
        <f aca="false">IF($A1698="","",IF(O1698&lt;&gt;"Brasil","Turista Internacional",IF(M1698=F1698,"Local","Turista Nacional")))</f>
        <v>Local</v>
      </c>
      <c r="Q1698" s="7" t="n">
        <f aca="false">IF($A1698="","",DATE(YEAR(B1698),MONTH(B1698),1))</f>
        <v>45839</v>
      </c>
      <c r="R1698" s="4" t="str">
        <f aca="false">IF($A1698="","",IF(COUNTIF($A$2:$A1698,$A1698)&gt;1,"Sim","Não"))</f>
        <v>Não</v>
      </c>
      <c r="S1698" s="4" t="str">
        <f aca="false">IF(A1698="","Descartar - Linha vazia",IF(R1698="Sim","Descartar - Duplicado",IF(OR(H1698&lt;=0,I1698&lt;=0),"Descartar - Qtd/Valor inválido","OK")))</f>
        <v>OK</v>
      </c>
      <c r="T1698" s="4" t="str">
        <f aca="false">Base_Bruta!P1698</f>
        <v>vendas_MG.csv</v>
      </c>
    </row>
    <row r="1699" customFormat="false" ht="15" hidden="false" customHeight="false" outlineLevel="0" collapsed="false">
      <c r="A1699" s="4" t="str">
        <f aca="false">IF(Base_Bruta!A1699="","",Base_Bruta!A1699)</f>
        <v>MG-000527</v>
      </c>
      <c r="B1699" s="5" t="n">
        <f aca="false">IF($A1699="","",IF(ISNUMBER(Base_Bruta!B1699),Base_Bruta!B1699,IF(MID(Base_Bruta!B1699,5,1)="-",DATE(VALUE(LEFT(Base_Bruta!B1699,4)),VALUE(MID(Base_Bruta!B1699,6,2)),VALUE(RIGHT(Base_Bruta!B1699,2))),DATE(VALUE(RIGHT(Base_Bruta!B1699,4)),VALUE(MID(Base_Bruta!B1699,4,2)),VALUE(LEFT(Base_Bruta!B1699,2))))))</f>
        <v>45840</v>
      </c>
      <c r="C1699" s="5" t="n">
        <f aca="false">IF($A1699="","",IF(ISNUMBER(Base_Bruta!C1699),Base_Bruta!C1699,IF(MID(Base_Bruta!C1699,5,1)="-",DATE(VALUE(LEFT(Base_Bruta!C1699,4)),VALUE(MID(Base_Bruta!C1699,6,2)),VALUE(RIGHT(Base_Bruta!C1699,2))),DATE(VALUE(RIGHT(Base_Bruta!C1699,4)),VALUE(MID(Base_Bruta!C1699,4,2)),VALUE(LEFT(Base_Bruta!C1699,2))))))</f>
        <v>45841</v>
      </c>
      <c r="D1699" s="4" t="str">
        <f aca="false">IF($A1699="","",TRIM(Base_Bruta!D1699))</f>
        <v>Cinema Savassi - Sessões</v>
      </c>
      <c r="E1699" s="4" t="str">
        <f aca="false">IF($A1699="","",_xlfn.XLOOKUP(LOWER(TRIM(Base_Bruta!E1699)),DePara_Categoria!$A$2:$A$9,DePara_Categoria!$B$2:$B$9,"REVISAR"))</f>
        <v>Cinema</v>
      </c>
      <c r="F1699" s="4" t="str">
        <f aca="false">IF($A1699="","",_xlfn.XLOOKUP(LOWER(TRIM(Base_Bruta!F1699)),DePara_Cidade!$A$2:$A$29,DePara_Cidade!$B$2:$B$29,"REVISAR"))</f>
        <v>Belo Horizonte</v>
      </c>
      <c r="G1699" s="4" t="str">
        <f aca="false">IF($A1699="","",TRIM(Base_Bruta!G1699))</f>
        <v>Inteira</v>
      </c>
      <c r="H1699" s="4" t="n">
        <f aca="false">IF($A1699="","",IF(ISNUMBER(Base_Bruta!H1699),Base_Bruta!H1699,IFERROR(_xlfn.NUMBERVALUE(TRIM(SUBSTITUTE(Base_Bruta!H1699,"R$","")),",","."),0)))</f>
        <v>2</v>
      </c>
      <c r="I1699" s="6" t="n">
        <f aca="false">IF($A1699="","",IF(ISNUMBER(Base_Bruta!I1699),Base_Bruta!I1699,IFERROR(_xlfn.NUMBERVALUE(TRIM(SUBSTITUTE(Base_Bruta!I1699,"R$","")),",","."),0)))</f>
        <v>30</v>
      </c>
      <c r="J1699" s="6" t="n">
        <f aca="false">IF($A1699="","",H1699*I1699)</f>
        <v>60</v>
      </c>
      <c r="K1699" s="4" t="str">
        <f aca="false">IF($A1699="","",TRIM(Base_Bruta!J1699))</f>
        <v>Site</v>
      </c>
      <c r="L1699" s="4" t="str">
        <f aca="false">IF($A1699="","",TRIM(Base_Bruta!K1699))</f>
        <v>C00570</v>
      </c>
      <c r="M1699" s="4" t="str">
        <f aca="false">IF($A1699="","",_xlfn.XLOOKUP(LOWER(TRIM(Base_Bruta!L1699)),DePara_Cidade!$A$2:$A$29,DePara_Cidade!$B$2:$B$29,"REVISAR"))</f>
        <v>Belo Horizonte</v>
      </c>
      <c r="N1699" s="4" t="str">
        <f aca="false">IF($A1699="","",UPPER(TRIM(Base_Bruta!M1699)))</f>
        <v>MG</v>
      </c>
      <c r="O1699" s="4" t="str">
        <f aca="false">IF($A1699="","",_xlfn.XLOOKUP(LOWER(TRIM(Base_Bruta!N1699)),DePara_Pais!$A$2:$A$9,DePara_Pais!$B$2:$B$9,"REVISAR"))</f>
        <v>Brasil</v>
      </c>
      <c r="P1699" s="4" t="str">
        <f aca="false">IF($A1699="","",IF(O1699&lt;&gt;"Brasil","Turista Internacional",IF(M1699=F1699,"Local","Turista Nacional")))</f>
        <v>Local</v>
      </c>
      <c r="Q1699" s="7" t="n">
        <f aca="false">IF($A1699="","",DATE(YEAR(B1699),MONTH(B1699),1))</f>
        <v>45839</v>
      </c>
      <c r="R1699" s="4" t="str">
        <f aca="false">IF($A1699="","",IF(COUNTIF($A$2:$A1699,$A1699)&gt;1,"Sim","Não"))</f>
        <v>Não</v>
      </c>
      <c r="S1699" s="4" t="str">
        <f aca="false">IF(A1699="","Descartar - Linha vazia",IF(R1699="Sim","Descartar - Duplicado",IF(OR(H1699&lt;=0,I1699&lt;=0),"Descartar - Qtd/Valor inválido","OK")))</f>
        <v>OK</v>
      </c>
      <c r="T1699" s="4" t="str">
        <f aca="false">Base_Bruta!P1699</f>
        <v>vendas_MG.csv</v>
      </c>
    </row>
    <row r="1700" customFormat="false" ht="15" hidden="false" customHeight="false" outlineLevel="0" collapsed="false">
      <c r="A1700" s="4" t="str">
        <f aca="false">IF(Base_Bruta!A1700="","",Base_Bruta!A1700)</f>
        <v>MG-000497</v>
      </c>
      <c r="B1700" s="5" t="n">
        <f aca="false">IF($A1700="","",IF(ISNUMBER(Base_Bruta!B1700),Base_Bruta!B1700,IF(MID(Base_Bruta!B1700,5,1)="-",DATE(VALUE(LEFT(Base_Bruta!B1700,4)),VALUE(MID(Base_Bruta!B1700,6,2)),VALUE(RIGHT(Base_Bruta!B1700,2))),DATE(VALUE(RIGHT(Base_Bruta!B1700,4)),VALUE(MID(Base_Bruta!B1700,4,2)),VALUE(LEFT(Base_Bruta!B1700,2))))))</f>
        <v>45841</v>
      </c>
      <c r="C1700" s="5" t="n">
        <f aca="false">IF($A1700="","",IF(ISNUMBER(Base_Bruta!C1700),Base_Bruta!C1700,IF(MID(Base_Bruta!C1700,5,1)="-",DATE(VALUE(LEFT(Base_Bruta!C1700,4)),VALUE(MID(Base_Bruta!C1700,6,2)),VALUE(RIGHT(Base_Bruta!C1700,2))),DATE(VALUE(RIGHT(Base_Bruta!C1700,4)),VALUE(MID(Base_Bruta!C1700,4,2)),VALUE(LEFT(Base_Bruta!C1700,2))))))</f>
        <v>45843</v>
      </c>
      <c r="D1700" s="4" t="str">
        <f aca="false">IF($A1700="","",TRIM(Base_Bruta!D1700))</f>
        <v>Cinema Savassi - Sessões</v>
      </c>
      <c r="E1700" s="4" t="str">
        <f aca="false">IF($A1700="","",_xlfn.XLOOKUP(LOWER(TRIM(Base_Bruta!E1700)),DePara_Categoria!$A$2:$A$9,DePara_Categoria!$B$2:$B$9,"REVISAR"))</f>
        <v>Cinema</v>
      </c>
      <c r="F1700" s="4" t="str">
        <f aca="false">IF($A1700="","",_xlfn.XLOOKUP(LOWER(TRIM(Base_Bruta!F1700)),DePara_Cidade!$A$2:$A$29,DePara_Cidade!$B$2:$B$29,"REVISAR"))</f>
        <v>Belo Horizonte</v>
      </c>
      <c r="G1700" s="4" t="str">
        <f aca="false">IF($A1700="","",TRIM(Base_Bruta!G1700))</f>
        <v>Inteira</v>
      </c>
      <c r="H1700" s="4" t="n">
        <f aca="false">IF($A1700="","",IF(ISNUMBER(Base_Bruta!H1700),Base_Bruta!H1700,IFERROR(_xlfn.NUMBERVALUE(TRIM(SUBSTITUTE(Base_Bruta!H1700,"R$","")),",","."),0)))</f>
        <v>2</v>
      </c>
      <c r="I1700" s="6" t="n">
        <f aca="false">IF($A1700="","",IF(ISNUMBER(Base_Bruta!I1700),Base_Bruta!I1700,IFERROR(_xlfn.NUMBERVALUE(TRIM(SUBSTITUTE(Base_Bruta!I1700,"R$","")),",","."),0)))</f>
        <v>40</v>
      </c>
      <c r="J1700" s="6" t="n">
        <f aca="false">IF($A1700="","",H1700*I1700)</f>
        <v>80</v>
      </c>
      <c r="K1700" s="4" t="str">
        <f aca="false">IF($A1700="","",TRIM(Base_Bruta!J1700))</f>
        <v>App</v>
      </c>
      <c r="L1700" s="4" t="str">
        <f aca="false">IF($A1700="","",TRIM(Base_Bruta!K1700))</f>
        <v>C02146</v>
      </c>
      <c r="M1700" s="4" t="str">
        <f aca="false">IF($A1700="","",_xlfn.XLOOKUP(LOWER(TRIM(Base_Bruta!L1700)),DePara_Cidade!$A$2:$A$29,DePara_Cidade!$B$2:$B$29,"REVISAR"))</f>
        <v>Belo Horizonte</v>
      </c>
      <c r="N1700" s="4" t="str">
        <f aca="false">IF($A1700="","",UPPER(TRIM(Base_Bruta!M1700)))</f>
        <v>MG</v>
      </c>
      <c r="O1700" s="4" t="str">
        <f aca="false">IF($A1700="","",_xlfn.XLOOKUP(LOWER(TRIM(Base_Bruta!N1700)),DePara_Pais!$A$2:$A$9,DePara_Pais!$B$2:$B$9,"REVISAR"))</f>
        <v>Brasil</v>
      </c>
      <c r="P1700" s="4" t="str">
        <f aca="false">IF($A1700="","",IF(O1700&lt;&gt;"Brasil","Turista Internacional",IF(M1700=F1700,"Local","Turista Nacional")))</f>
        <v>Local</v>
      </c>
      <c r="Q1700" s="7" t="n">
        <f aca="false">IF($A1700="","",DATE(YEAR(B1700),MONTH(B1700),1))</f>
        <v>45839</v>
      </c>
      <c r="R1700" s="4" t="str">
        <f aca="false">IF($A1700="","",IF(COUNTIF($A$2:$A1700,$A1700)&gt;1,"Sim","Não"))</f>
        <v>Não</v>
      </c>
      <c r="S1700" s="4" t="str">
        <f aca="false">IF(A1700="","Descartar - Linha vazia",IF(R1700="Sim","Descartar - Duplicado",IF(OR(H1700&lt;=0,I1700&lt;=0),"Descartar - Qtd/Valor inválido","OK")))</f>
        <v>OK</v>
      </c>
      <c r="T1700" s="4" t="str">
        <f aca="false">Base_Bruta!P1700</f>
        <v>vendas_MG.csv</v>
      </c>
    </row>
    <row r="1701" customFormat="false" ht="15" hidden="false" customHeight="false" outlineLevel="0" collapsed="false">
      <c r="A1701" s="4" t="str">
        <f aca="false">IF(Base_Bruta!A1701="","",Base_Bruta!A1701)</f>
        <v>MG-000021</v>
      </c>
      <c r="B1701" s="5" t="n">
        <f aca="false">IF($A1701="","",IF(ISNUMBER(Base_Bruta!B1701),Base_Bruta!B1701,IF(MID(Base_Bruta!B1701,5,1)="-",DATE(VALUE(LEFT(Base_Bruta!B1701,4)),VALUE(MID(Base_Bruta!B1701,6,2)),VALUE(RIGHT(Base_Bruta!B1701,2))),DATE(VALUE(RIGHT(Base_Bruta!B1701,4)),VALUE(MID(Base_Bruta!B1701,4,2)),VALUE(LEFT(Base_Bruta!B1701,2))))))</f>
        <v>45842</v>
      </c>
      <c r="C1701" s="5" t="n">
        <f aca="false">IF($A1701="","",IF(ISNUMBER(Base_Bruta!C1701),Base_Bruta!C1701,IF(MID(Base_Bruta!C1701,5,1)="-",DATE(VALUE(LEFT(Base_Bruta!C1701,4)),VALUE(MID(Base_Bruta!C1701,6,2)),VALUE(RIGHT(Base_Bruta!C1701,2))),DATE(VALUE(RIGHT(Base_Bruta!C1701,4)),VALUE(MID(Base_Bruta!C1701,4,2)),VALUE(LEFT(Base_Bruta!C1701,2))))))</f>
        <v>45892</v>
      </c>
      <c r="D1701" s="4" t="str">
        <f aca="false">IF($A1701="","",TRIM(Base_Bruta!D1701))</f>
        <v>Festival Montanhas BH 2025</v>
      </c>
      <c r="E1701" s="4" t="str">
        <f aca="false">IF($A1701="","",_xlfn.XLOOKUP(LOWER(TRIM(Base_Bruta!E1701)),DePara_Categoria!$A$2:$A$9,DePara_Categoria!$B$2:$B$9,"REVISAR"))</f>
        <v>Festival</v>
      </c>
      <c r="F1701" s="4" t="str">
        <f aca="false">IF($A1701="","",_xlfn.XLOOKUP(LOWER(TRIM(Base_Bruta!F1701)),DePara_Cidade!$A$2:$A$29,DePara_Cidade!$B$2:$B$29,"REVISAR"))</f>
        <v>Belo Horizonte</v>
      </c>
      <c r="G1701" s="4" t="str">
        <f aca="false">IF($A1701="","",TRIM(Base_Bruta!G1701))</f>
        <v>Inteira</v>
      </c>
      <c r="H1701" s="4" t="n">
        <f aca="false">IF($A1701="","",IF(ISNUMBER(Base_Bruta!H1701),Base_Bruta!H1701,IFERROR(_xlfn.NUMBERVALUE(TRIM(SUBSTITUTE(Base_Bruta!H1701,"R$","")),",","."),0)))</f>
        <v>1</v>
      </c>
      <c r="I1701" s="6" t="n">
        <f aca="false">IF($A1701="","",IF(ISNUMBER(Base_Bruta!I1701),Base_Bruta!I1701,IFERROR(_xlfn.NUMBERVALUE(TRIM(SUBSTITUTE(Base_Bruta!I1701,"R$","")),",","."),0)))</f>
        <v>885</v>
      </c>
      <c r="J1701" s="6" t="n">
        <f aca="false">IF($A1701="","",H1701*I1701)</f>
        <v>885</v>
      </c>
      <c r="K1701" s="4" t="str">
        <f aca="false">IF($A1701="","",TRIM(Base_Bruta!J1701))</f>
        <v>Site</v>
      </c>
      <c r="L1701" s="4" t="str">
        <f aca="false">IF($A1701="","",TRIM(Base_Bruta!K1701))</f>
        <v>C00570</v>
      </c>
      <c r="M1701" s="4" t="str">
        <f aca="false">IF($A1701="","",_xlfn.XLOOKUP(LOWER(TRIM(Base_Bruta!L1701)),DePara_Cidade!$A$2:$A$29,DePara_Cidade!$B$2:$B$29,"REVISAR"))</f>
        <v>Belo Horizonte</v>
      </c>
      <c r="N1701" s="4" t="str">
        <f aca="false">IF($A1701="","",UPPER(TRIM(Base_Bruta!M1701)))</f>
        <v>MG</v>
      </c>
      <c r="O1701" s="4" t="str">
        <f aca="false">IF($A1701="","",_xlfn.XLOOKUP(LOWER(TRIM(Base_Bruta!N1701)),DePara_Pais!$A$2:$A$9,DePara_Pais!$B$2:$B$9,"REVISAR"))</f>
        <v>Brasil</v>
      </c>
      <c r="P1701" s="4" t="str">
        <f aca="false">IF($A1701="","",IF(O1701&lt;&gt;"Brasil","Turista Internacional",IF(M1701=F1701,"Local","Turista Nacional")))</f>
        <v>Local</v>
      </c>
      <c r="Q1701" s="7" t="n">
        <f aca="false">IF($A1701="","",DATE(YEAR(B1701),MONTH(B1701),1))</f>
        <v>45839</v>
      </c>
      <c r="R1701" s="4" t="str">
        <f aca="false">IF($A1701="","",IF(COUNTIF($A$2:$A1701,$A1701)&gt;1,"Sim","Não"))</f>
        <v>Não</v>
      </c>
      <c r="S1701" s="4" t="str">
        <f aca="false">IF(A1701="","Descartar - Linha vazia",IF(R1701="Sim","Descartar - Duplicado",IF(OR(H1701&lt;=0,I1701&lt;=0),"Descartar - Qtd/Valor inválido","OK")))</f>
        <v>OK</v>
      </c>
      <c r="T1701" s="4" t="str">
        <f aca="false">Base_Bruta!P1701</f>
        <v>vendas_MG.csv</v>
      </c>
    </row>
    <row r="1702" customFormat="false" ht="15" hidden="false" customHeight="false" outlineLevel="0" collapsed="false">
      <c r="A1702" s="4" t="str">
        <f aca="false">IF(Base_Bruta!A1702="","",Base_Bruta!A1702)</f>
        <v>MG-000114</v>
      </c>
      <c r="B1702" s="5" t="n">
        <f aca="false">IF($A1702="","",IF(ISNUMBER(Base_Bruta!B1702),Base_Bruta!B1702,IF(MID(Base_Bruta!B1702,5,1)="-",DATE(VALUE(LEFT(Base_Bruta!B1702,4)),VALUE(MID(Base_Bruta!B1702,6,2)),VALUE(RIGHT(Base_Bruta!B1702,2))),DATE(VALUE(RIGHT(Base_Bruta!B1702,4)),VALUE(MID(Base_Bruta!B1702,4,2)),VALUE(LEFT(Base_Bruta!B1702,2))))))</f>
        <v>45842</v>
      </c>
      <c r="C1702" s="5" t="n">
        <f aca="false">IF($A1702="","",IF(ISNUMBER(Base_Bruta!C1702),Base_Bruta!C1702,IF(MID(Base_Bruta!C1702,5,1)="-",DATE(VALUE(LEFT(Base_Bruta!C1702,4)),VALUE(MID(Base_Bruta!C1702,6,2)),VALUE(RIGHT(Base_Bruta!C1702,2))),DATE(VALUE(RIGHT(Base_Bruta!C1702,4)),VALUE(MID(Base_Bruta!C1702,4,2)),VALUE(LEFT(Base_Bruta!C1702,2))))))</f>
        <v>45892</v>
      </c>
      <c r="D1702" s="4" t="str">
        <f aca="false">IF($A1702="","",TRIM(Base_Bruta!D1702))</f>
        <v>Festival Montanhas BH 2025</v>
      </c>
      <c r="E1702" s="4" t="str">
        <f aca="false">IF($A1702="","",_xlfn.XLOOKUP(LOWER(TRIM(Base_Bruta!E1702)),DePara_Categoria!$A$2:$A$9,DePara_Categoria!$B$2:$B$9,"REVISAR"))</f>
        <v>Festival</v>
      </c>
      <c r="F1702" s="4" t="str">
        <f aca="false">IF($A1702="","",_xlfn.XLOOKUP(LOWER(TRIM(Base_Bruta!F1702)),DePara_Cidade!$A$2:$A$29,DePara_Cidade!$B$2:$B$29,"REVISAR"))</f>
        <v>Belo Horizonte</v>
      </c>
      <c r="G1702" s="4" t="str">
        <f aca="false">IF($A1702="","",TRIM(Base_Bruta!G1702))</f>
        <v>Inteira</v>
      </c>
      <c r="H1702" s="4" t="n">
        <f aca="false">IF($A1702="","",IF(ISNUMBER(Base_Bruta!H1702),Base_Bruta!H1702,IFERROR(_xlfn.NUMBERVALUE(TRIM(SUBSTITUTE(Base_Bruta!H1702,"R$","")),",","."),0)))</f>
        <v>2</v>
      </c>
      <c r="I1702" s="6" t="n">
        <f aca="false">IF($A1702="","",IF(ISNUMBER(Base_Bruta!I1702),Base_Bruta!I1702,IFERROR(_xlfn.NUMBERVALUE(TRIM(SUBSTITUTE(Base_Bruta!I1702,"R$","")),",","."),0)))</f>
        <v>880</v>
      </c>
      <c r="J1702" s="6" t="n">
        <f aca="false">IF($A1702="","",H1702*I1702)</f>
        <v>1760</v>
      </c>
      <c r="K1702" s="4" t="str">
        <f aca="false">IF($A1702="","",TRIM(Base_Bruta!J1702))</f>
        <v>Bilheteria</v>
      </c>
      <c r="L1702" s="4" t="str">
        <f aca="false">IF($A1702="","",TRIM(Base_Bruta!K1702))</f>
        <v>C00945</v>
      </c>
      <c r="M1702" s="4" t="str">
        <f aca="false">IF($A1702="","",_xlfn.XLOOKUP(LOWER(TRIM(Base_Bruta!L1702)),DePara_Cidade!$A$2:$A$29,DePara_Cidade!$B$2:$B$29,"REVISAR"))</f>
        <v>Belo Horizonte</v>
      </c>
      <c r="N1702" s="4" t="str">
        <f aca="false">IF($A1702="","",UPPER(TRIM(Base_Bruta!M1702)))</f>
        <v>MG</v>
      </c>
      <c r="O1702" s="4" t="str">
        <f aca="false">IF($A1702="","",_xlfn.XLOOKUP(LOWER(TRIM(Base_Bruta!N1702)),DePara_Pais!$A$2:$A$9,DePara_Pais!$B$2:$B$9,"REVISAR"))</f>
        <v>Brasil</v>
      </c>
      <c r="P1702" s="4" t="str">
        <f aca="false">IF($A1702="","",IF(O1702&lt;&gt;"Brasil","Turista Internacional",IF(M1702=F1702,"Local","Turista Nacional")))</f>
        <v>Local</v>
      </c>
      <c r="Q1702" s="7" t="n">
        <f aca="false">IF($A1702="","",DATE(YEAR(B1702),MONTH(B1702),1))</f>
        <v>45839</v>
      </c>
      <c r="R1702" s="4" t="str">
        <f aca="false">IF($A1702="","",IF(COUNTIF($A$2:$A1702,$A1702)&gt;1,"Sim","Não"))</f>
        <v>Não</v>
      </c>
      <c r="S1702" s="4" t="str">
        <f aca="false">IF(A1702="","Descartar - Linha vazia",IF(R1702="Sim","Descartar - Duplicado",IF(OR(H1702&lt;=0,I1702&lt;=0),"Descartar - Qtd/Valor inválido","OK")))</f>
        <v>OK</v>
      </c>
      <c r="T1702" s="4" t="str">
        <f aca="false">Base_Bruta!P1702</f>
        <v>vendas_MG.csv</v>
      </c>
    </row>
    <row r="1703" customFormat="false" ht="15" hidden="false" customHeight="false" outlineLevel="0" collapsed="false">
      <c r="A1703" s="4" t="str">
        <f aca="false">IF(Base_Bruta!A1703="","",Base_Bruta!A1703)</f>
        <v>MG-000117</v>
      </c>
      <c r="B1703" s="5" t="n">
        <f aca="false">IF($A1703="","",IF(ISNUMBER(Base_Bruta!B1703),Base_Bruta!B1703,IF(MID(Base_Bruta!B1703,5,1)="-",DATE(VALUE(LEFT(Base_Bruta!B1703,4)),VALUE(MID(Base_Bruta!B1703,6,2)),VALUE(RIGHT(Base_Bruta!B1703,2))),DATE(VALUE(RIGHT(Base_Bruta!B1703,4)),VALUE(MID(Base_Bruta!B1703,4,2)),VALUE(LEFT(Base_Bruta!B1703,2))))))</f>
        <v>45842</v>
      </c>
      <c r="C1703" s="5" t="n">
        <f aca="false">IF($A1703="","",IF(ISNUMBER(Base_Bruta!C1703),Base_Bruta!C1703,IF(MID(Base_Bruta!C1703,5,1)="-",DATE(VALUE(LEFT(Base_Bruta!C1703,4)),VALUE(MID(Base_Bruta!C1703,6,2)),VALUE(RIGHT(Base_Bruta!C1703,2))),DATE(VALUE(RIGHT(Base_Bruta!C1703,4)),VALUE(MID(Base_Bruta!C1703,4,2)),VALUE(LEFT(Base_Bruta!C1703,2))))))</f>
        <v>45892</v>
      </c>
      <c r="D1703" s="4" t="str">
        <f aca="false">IF($A1703="","",TRIM(Base_Bruta!D1703))</f>
        <v>Festival Montanhas BH 2025</v>
      </c>
      <c r="E1703" s="4" t="str">
        <f aca="false">IF($A1703="","",_xlfn.XLOOKUP(LOWER(TRIM(Base_Bruta!E1703)),DePara_Categoria!$A$2:$A$9,DePara_Categoria!$B$2:$B$9,"REVISAR"))</f>
        <v>Festival</v>
      </c>
      <c r="F1703" s="4" t="str">
        <f aca="false">IF($A1703="","",_xlfn.XLOOKUP(LOWER(TRIM(Base_Bruta!F1703)),DePara_Cidade!$A$2:$A$29,DePara_Cidade!$B$2:$B$29,"REVISAR"))</f>
        <v>Belo Horizonte</v>
      </c>
      <c r="G1703" s="4" t="str">
        <f aca="false">IF($A1703="","",TRIM(Base_Bruta!G1703))</f>
        <v>Meia</v>
      </c>
      <c r="H1703" s="4" t="n">
        <f aca="false">IF($A1703="","",IF(ISNUMBER(Base_Bruta!H1703),Base_Bruta!H1703,IFERROR(_xlfn.NUMBERVALUE(TRIM(SUBSTITUTE(Base_Bruta!H1703,"R$","")),",","."),0)))</f>
        <v>1</v>
      </c>
      <c r="I1703" s="6" t="n">
        <f aca="false">IF($A1703="","",IF(ISNUMBER(Base_Bruta!I1703),Base_Bruta!I1703,IFERROR(_xlfn.NUMBERVALUE(TRIM(SUBSTITUTE(Base_Bruta!I1703,"R$","")),",","."),0)))</f>
        <v>502.5</v>
      </c>
      <c r="J1703" s="6" t="n">
        <f aca="false">IF($A1703="","",H1703*I1703)</f>
        <v>502.5</v>
      </c>
      <c r="K1703" s="4" t="str">
        <f aca="false">IF($A1703="","",TRIM(Base_Bruta!J1703))</f>
        <v>Parceiro</v>
      </c>
      <c r="L1703" s="4" t="str">
        <f aca="false">IF($A1703="","",TRIM(Base_Bruta!K1703))</f>
        <v>C01346</v>
      </c>
      <c r="M1703" s="4" t="str">
        <f aca="false">IF($A1703="","",_xlfn.XLOOKUP(LOWER(TRIM(Base_Bruta!L1703)),DePara_Cidade!$A$2:$A$29,DePara_Cidade!$B$2:$B$29,"REVISAR"))</f>
        <v>Buenos Aires</v>
      </c>
      <c r="N1703" s="4" t="str">
        <f aca="false">IF($A1703="","",UPPER(TRIM(Base_Bruta!M1703)))</f>
        <v>EX</v>
      </c>
      <c r="O1703" s="4" t="str">
        <f aca="false">IF($A1703="","",_xlfn.XLOOKUP(LOWER(TRIM(Base_Bruta!N1703)),DePara_Pais!$A$2:$A$9,DePara_Pais!$B$2:$B$9,"REVISAR"))</f>
        <v>Argentina</v>
      </c>
      <c r="P1703" s="4" t="str">
        <f aca="false">IF($A1703="","",IF(O1703&lt;&gt;"Brasil","Turista Internacional",IF(M1703=F1703,"Local","Turista Nacional")))</f>
        <v>Turista Internacional</v>
      </c>
      <c r="Q1703" s="7" t="n">
        <f aca="false">IF($A1703="","",DATE(YEAR(B1703),MONTH(B1703),1))</f>
        <v>45839</v>
      </c>
      <c r="R1703" s="4" t="str">
        <f aca="false">IF($A1703="","",IF(COUNTIF($A$2:$A1703,$A1703)&gt;1,"Sim","Não"))</f>
        <v>Não</v>
      </c>
      <c r="S1703" s="4" t="str">
        <f aca="false">IF(A1703="","Descartar - Linha vazia",IF(R1703="Sim","Descartar - Duplicado",IF(OR(H1703&lt;=0,I1703&lt;=0),"Descartar - Qtd/Valor inválido","OK")))</f>
        <v>OK</v>
      </c>
      <c r="T1703" s="4" t="str">
        <f aca="false">Base_Bruta!P1703</f>
        <v>vendas_MG.csv</v>
      </c>
    </row>
    <row r="1704" customFormat="false" ht="15" hidden="false" customHeight="false" outlineLevel="0" collapsed="false">
      <c r="A1704" s="4" t="str">
        <f aca="false">IF(Base_Bruta!A1704="","",Base_Bruta!A1704)</f>
        <v>MG-000018</v>
      </c>
      <c r="B1704" s="5" t="n">
        <f aca="false">IF($A1704="","",IF(ISNUMBER(Base_Bruta!B1704),Base_Bruta!B1704,IF(MID(Base_Bruta!B1704,5,1)="-",DATE(VALUE(LEFT(Base_Bruta!B1704,4)),VALUE(MID(Base_Bruta!B1704,6,2)),VALUE(RIGHT(Base_Bruta!B1704,2))),DATE(VALUE(RIGHT(Base_Bruta!B1704,4)),VALUE(MID(Base_Bruta!B1704,4,2)),VALUE(LEFT(Base_Bruta!B1704,2))))))</f>
        <v>45843</v>
      </c>
      <c r="C1704" s="5" t="n">
        <f aca="false">IF($A1704="","",IF(ISNUMBER(Base_Bruta!C1704),Base_Bruta!C1704,IF(MID(Base_Bruta!C1704,5,1)="-",DATE(VALUE(LEFT(Base_Bruta!C1704,4)),VALUE(MID(Base_Bruta!C1704,6,2)),VALUE(RIGHT(Base_Bruta!C1704,2))),DATE(VALUE(RIGHT(Base_Bruta!C1704,4)),VALUE(MID(Base_Bruta!C1704,4,2)),VALUE(LEFT(Base_Bruta!C1704,2))))))</f>
        <v>45892</v>
      </c>
      <c r="D1704" s="4" t="str">
        <f aca="false">IF($A1704="","",TRIM(Base_Bruta!D1704))</f>
        <v>Festival Montanhas BH 2025</v>
      </c>
      <c r="E1704" s="4" t="str">
        <f aca="false">IF($A1704="","",_xlfn.XLOOKUP(LOWER(TRIM(Base_Bruta!E1704)),DePara_Categoria!$A$2:$A$9,DePara_Categoria!$B$2:$B$9,"REVISAR"))</f>
        <v>Festival</v>
      </c>
      <c r="F1704" s="4" t="str">
        <f aca="false">IF($A1704="","",_xlfn.XLOOKUP(LOWER(TRIM(Base_Bruta!F1704)),DePara_Cidade!$A$2:$A$29,DePara_Cidade!$B$2:$B$29,"REVISAR"))</f>
        <v>Belo Horizonte</v>
      </c>
      <c r="G1704" s="4" t="str">
        <f aca="false">IF($A1704="","",TRIM(Base_Bruta!G1704))</f>
        <v>Inteira</v>
      </c>
      <c r="H1704" s="4" t="n">
        <f aca="false">IF($A1704="","",IF(ISNUMBER(Base_Bruta!H1704),Base_Bruta!H1704,IFERROR(_xlfn.NUMBERVALUE(TRIM(SUBSTITUTE(Base_Bruta!H1704,"R$","")),",","."),0)))</f>
        <v>4</v>
      </c>
      <c r="I1704" s="6" t="n">
        <f aca="false">IF($A1704="","",IF(ISNUMBER(Base_Bruta!I1704),Base_Bruta!I1704,IFERROR(_xlfn.NUMBERVALUE(TRIM(SUBSTITUTE(Base_Bruta!I1704,"R$","")),",","."),0)))</f>
        <v>1000</v>
      </c>
      <c r="J1704" s="6" t="n">
        <f aca="false">IF($A1704="","",H1704*I1704)</f>
        <v>4000</v>
      </c>
      <c r="K1704" s="4" t="str">
        <f aca="false">IF($A1704="","",TRIM(Base_Bruta!J1704))</f>
        <v>Parceiro</v>
      </c>
      <c r="L1704" s="4" t="str">
        <f aca="false">IF($A1704="","",TRIM(Base_Bruta!K1704))</f>
        <v>C01420</v>
      </c>
      <c r="M1704" s="4" t="str">
        <f aca="false">IF($A1704="","",_xlfn.XLOOKUP(LOWER(TRIM(Base_Bruta!L1704)),DePara_Cidade!$A$2:$A$29,DePara_Cidade!$B$2:$B$29,"REVISAR"))</f>
        <v>Vitória</v>
      </c>
      <c r="N1704" s="4" t="str">
        <f aca="false">IF($A1704="","",UPPER(TRIM(Base_Bruta!M1704)))</f>
        <v>ES</v>
      </c>
      <c r="O1704" s="4" t="str">
        <f aca="false">IF($A1704="","",_xlfn.XLOOKUP(LOWER(TRIM(Base_Bruta!N1704)),DePara_Pais!$A$2:$A$9,DePara_Pais!$B$2:$B$9,"REVISAR"))</f>
        <v>Brasil</v>
      </c>
      <c r="P1704" s="4" t="str">
        <f aca="false">IF($A1704="","",IF(O1704&lt;&gt;"Brasil","Turista Internacional",IF(M1704=F1704,"Local","Turista Nacional")))</f>
        <v>Turista Nacional</v>
      </c>
      <c r="Q1704" s="7" t="n">
        <f aca="false">IF($A1704="","",DATE(YEAR(B1704),MONTH(B1704),1))</f>
        <v>45839</v>
      </c>
      <c r="R1704" s="4" t="str">
        <f aca="false">IF($A1704="","",IF(COUNTIF($A$2:$A1704,$A1704)&gt;1,"Sim","Não"))</f>
        <v>Não</v>
      </c>
      <c r="S1704" s="4" t="str">
        <f aca="false">IF(A1704="","Descartar - Linha vazia",IF(R1704="Sim","Descartar - Duplicado",IF(OR(H1704&lt;=0,I1704&lt;=0),"Descartar - Qtd/Valor inválido","OK")))</f>
        <v>OK</v>
      </c>
      <c r="T1704" s="4" t="str">
        <f aca="false">Base_Bruta!P1704</f>
        <v>vendas_MG.csv</v>
      </c>
    </row>
    <row r="1705" customFormat="false" ht="15" hidden="false" customHeight="false" outlineLevel="0" collapsed="false">
      <c r="A1705" s="4" t="str">
        <f aca="false">IF(Base_Bruta!A1705="","",Base_Bruta!A1705)</f>
        <v>MG-000201</v>
      </c>
      <c r="B1705" s="5" t="n">
        <f aca="false">IF($A1705="","",IF(ISNUMBER(Base_Bruta!B1705),Base_Bruta!B1705,IF(MID(Base_Bruta!B1705,5,1)="-",DATE(VALUE(LEFT(Base_Bruta!B1705,4)),VALUE(MID(Base_Bruta!B1705,6,2)),VALUE(RIGHT(Base_Bruta!B1705,2))),DATE(VALUE(RIGHT(Base_Bruta!B1705,4)),VALUE(MID(Base_Bruta!B1705,4,2)),VALUE(LEFT(Base_Bruta!B1705,2))))))</f>
        <v>45844</v>
      </c>
      <c r="C1705" s="5" t="n">
        <f aca="false">IF($A1705="","",IF(ISNUMBER(Base_Bruta!C1705),Base_Bruta!C1705,IF(MID(Base_Bruta!C1705,5,1)="-",DATE(VALUE(LEFT(Base_Bruta!C1705,4)),VALUE(MID(Base_Bruta!C1705,6,2)),VALUE(RIGHT(Base_Bruta!C1705,2))),DATE(VALUE(RIGHT(Base_Bruta!C1705,4)),VALUE(MID(Base_Bruta!C1705,4,2)),VALUE(LEFT(Base_Bruta!C1705,2))))))</f>
        <v>45892</v>
      </c>
      <c r="D1705" s="4" t="str">
        <f aca="false">IF($A1705="","",TRIM(Base_Bruta!D1705))</f>
        <v>Festival Montanhas BH 2025</v>
      </c>
      <c r="E1705" s="4" t="str">
        <f aca="false">IF($A1705="","",_xlfn.XLOOKUP(LOWER(TRIM(Base_Bruta!E1705)),DePara_Categoria!$A$2:$A$9,DePara_Categoria!$B$2:$B$9,"REVISAR"))</f>
        <v>Festival</v>
      </c>
      <c r="F1705" s="4" t="str">
        <f aca="false">IF($A1705="","",_xlfn.XLOOKUP(LOWER(TRIM(Base_Bruta!F1705)),DePara_Cidade!$A$2:$A$29,DePara_Cidade!$B$2:$B$29,"REVISAR"))</f>
        <v>Belo Horizonte</v>
      </c>
      <c r="G1705" s="4" t="str">
        <f aca="false">IF($A1705="","",TRIM(Base_Bruta!G1705))</f>
        <v>Inteira</v>
      </c>
      <c r="H1705" s="4" t="n">
        <f aca="false">IF($A1705="","",IF(ISNUMBER(Base_Bruta!H1705),Base_Bruta!H1705,IFERROR(_xlfn.NUMBERVALUE(TRIM(SUBSTITUTE(Base_Bruta!H1705,"R$","")),",","."),0)))</f>
        <v>1</v>
      </c>
      <c r="I1705" s="6" t="n">
        <f aca="false">IF($A1705="","",IF(ISNUMBER(Base_Bruta!I1705),Base_Bruta!I1705,IFERROR(_xlfn.NUMBERVALUE(TRIM(SUBSTITUTE(Base_Bruta!I1705,"R$","")),",","."),0)))</f>
        <v>895</v>
      </c>
      <c r="J1705" s="6" t="n">
        <f aca="false">IF($A1705="","",H1705*I1705)</f>
        <v>895</v>
      </c>
      <c r="K1705" s="4" t="str">
        <f aca="false">IF($A1705="","",TRIM(Base_Bruta!J1705))</f>
        <v>Site</v>
      </c>
      <c r="L1705" s="4" t="str">
        <f aca="false">IF($A1705="","",TRIM(Base_Bruta!K1705))</f>
        <v>C00338</v>
      </c>
      <c r="M1705" s="4" t="str">
        <f aca="false">IF($A1705="","",_xlfn.XLOOKUP(LOWER(TRIM(Base_Bruta!L1705)),DePara_Cidade!$A$2:$A$29,DePara_Cidade!$B$2:$B$29,"REVISAR"))</f>
        <v>Belo Horizonte</v>
      </c>
      <c r="N1705" s="4" t="str">
        <f aca="false">IF($A1705="","",UPPER(TRIM(Base_Bruta!M1705)))</f>
        <v>MG</v>
      </c>
      <c r="O1705" s="4" t="str">
        <f aca="false">IF($A1705="","",_xlfn.XLOOKUP(LOWER(TRIM(Base_Bruta!N1705)),DePara_Pais!$A$2:$A$9,DePara_Pais!$B$2:$B$9,"REVISAR"))</f>
        <v>Brasil</v>
      </c>
      <c r="P1705" s="4" t="str">
        <f aca="false">IF($A1705="","",IF(O1705&lt;&gt;"Brasil","Turista Internacional",IF(M1705=F1705,"Local","Turista Nacional")))</f>
        <v>Local</v>
      </c>
      <c r="Q1705" s="7" t="n">
        <f aca="false">IF($A1705="","",DATE(YEAR(B1705),MONTH(B1705),1))</f>
        <v>45839</v>
      </c>
      <c r="R1705" s="4" t="str">
        <f aca="false">IF($A1705="","",IF(COUNTIF($A$2:$A1705,$A1705)&gt;1,"Sim","Não"))</f>
        <v>Não</v>
      </c>
      <c r="S1705" s="4" t="str">
        <f aca="false">IF(A1705="","Descartar - Linha vazia",IF(R1705="Sim","Descartar - Duplicado",IF(OR(H1705&lt;=0,I1705&lt;=0),"Descartar - Qtd/Valor inválido","OK")))</f>
        <v>OK</v>
      </c>
      <c r="T1705" s="4" t="str">
        <f aca="false">Base_Bruta!P1705</f>
        <v>vendas_MG.csv</v>
      </c>
    </row>
    <row r="1706" customFormat="false" ht="15" hidden="false" customHeight="false" outlineLevel="0" collapsed="false">
      <c r="A1706" s="4" t="str">
        <f aca="false">IF(Base_Bruta!A1706="","",Base_Bruta!A1706)</f>
        <v>MG-000166</v>
      </c>
      <c r="B1706" s="5" t="n">
        <f aca="false">IF($A1706="","",IF(ISNUMBER(Base_Bruta!B1706),Base_Bruta!B1706,IF(MID(Base_Bruta!B1706,5,1)="-",DATE(VALUE(LEFT(Base_Bruta!B1706,4)),VALUE(MID(Base_Bruta!B1706,6,2)),VALUE(RIGHT(Base_Bruta!B1706,2))),DATE(VALUE(RIGHT(Base_Bruta!B1706,4)),VALUE(MID(Base_Bruta!B1706,4,2)),VALUE(LEFT(Base_Bruta!B1706,2))))))</f>
        <v>45845</v>
      </c>
      <c r="C1706" s="5" t="n">
        <f aca="false">IF($A1706="","",IF(ISNUMBER(Base_Bruta!C1706),Base_Bruta!C1706,IF(MID(Base_Bruta!C1706,5,1)="-",DATE(VALUE(LEFT(Base_Bruta!C1706,4)),VALUE(MID(Base_Bruta!C1706,6,2)),VALUE(RIGHT(Base_Bruta!C1706,2))),DATE(VALUE(RIGHT(Base_Bruta!C1706,4)),VALUE(MID(Base_Bruta!C1706,4,2)),VALUE(LEFT(Base_Bruta!C1706,2))))))</f>
        <v>45892</v>
      </c>
      <c r="D1706" s="4" t="str">
        <f aca="false">IF($A1706="","",TRIM(Base_Bruta!D1706))</f>
        <v>Festival Montanhas BH 2025</v>
      </c>
      <c r="E1706" s="4" t="str">
        <f aca="false">IF($A1706="","",_xlfn.XLOOKUP(LOWER(TRIM(Base_Bruta!E1706)),DePara_Categoria!$A$2:$A$9,DePara_Categoria!$B$2:$B$9,"REVISAR"))</f>
        <v>Festival</v>
      </c>
      <c r="F1706" s="4" t="str">
        <f aca="false">IF($A1706="","",_xlfn.XLOOKUP(LOWER(TRIM(Base_Bruta!F1706)),DePara_Cidade!$A$2:$A$29,DePara_Cidade!$B$2:$B$29,"REVISAR"))</f>
        <v>Belo Horizonte</v>
      </c>
      <c r="G1706" s="4" t="str">
        <f aca="false">IF($A1706="","",TRIM(Base_Bruta!G1706))</f>
        <v>Inteira</v>
      </c>
      <c r="H1706" s="4" t="n">
        <f aca="false">IF($A1706="","",IF(ISNUMBER(Base_Bruta!H1706),Base_Bruta!H1706,IFERROR(_xlfn.NUMBERVALUE(TRIM(SUBSTITUTE(Base_Bruta!H1706,"R$","")),",","."),0)))</f>
        <v>3</v>
      </c>
      <c r="I1706" s="6" t="n">
        <f aca="false">IF($A1706="","",IF(ISNUMBER(Base_Bruta!I1706),Base_Bruta!I1706,IFERROR(_xlfn.NUMBERVALUE(TRIM(SUBSTITUTE(Base_Bruta!I1706,"R$","")),",","."),0)))</f>
        <v>665</v>
      </c>
      <c r="J1706" s="6" t="n">
        <f aca="false">IF($A1706="","",H1706*I1706)</f>
        <v>1995</v>
      </c>
      <c r="K1706" s="4" t="str">
        <f aca="false">IF($A1706="","",TRIM(Base_Bruta!J1706))</f>
        <v>Site</v>
      </c>
      <c r="L1706" s="4" t="str">
        <f aca="false">IF($A1706="","",TRIM(Base_Bruta!K1706))</f>
        <v>C00798</v>
      </c>
      <c r="M1706" s="4" t="str">
        <f aca="false">IF($A1706="","",_xlfn.XLOOKUP(LOWER(TRIM(Base_Bruta!L1706)),DePara_Cidade!$A$2:$A$29,DePara_Cidade!$B$2:$B$29,"REVISAR"))</f>
        <v>Belo Horizonte</v>
      </c>
      <c r="N1706" s="4" t="str">
        <f aca="false">IF($A1706="","",UPPER(TRIM(Base_Bruta!M1706)))</f>
        <v>MG</v>
      </c>
      <c r="O1706" s="4" t="str">
        <f aca="false">IF($A1706="","",_xlfn.XLOOKUP(LOWER(TRIM(Base_Bruta!N1706)),DePara_Pais!$A$2:$A$9,DePara_Pais!$B$2:$B$9,"REVISAR"))</f>
        <v>Brasil</v>
      </c>
      <c r="P1706" s="4" t="str">
        <f aca="false">IF($A1706="","",IF(O1706&lt;&gt;"Brasil","Turista Internacional",IF(M1706=F1706,"Local","Turista Nacional")))</f>
        <v>Local</v>
      </c>
      <c r="Q1706" s="7" t="n">
        <f aca="false">IF($A1706="","",DATE(YEAR(B1706),MONTH(B1706),1))</f>
        <v>45839</v>
      </c>
      <c r="R1706" s="4" t="str">
        <f aca="false">IF($A1706="","",IF(COUNTIF($A$2:$A1706,$A1706)&gt;1,"Sim","Não"))</f>
        <v>Não</v>
      </c>
      <c r="S1706" s="4" t="str">
        <f aca="false">IF(A1706="","Descartar - Linha vazia",IF(R1706="Sim","Descartar - Duplicado",IF(OR(H1706&lt;=0,I1706&lt;=0),"Descartar - Qtd/Valor inválido","OK")))</f>
        <v>OK</v>
      </c>
      <c r="T1706" s="4" t="str">
        <f aca="false">Base_Bruta!P1706</f>
        <v>vendas_MG.csv</v>
      </c>
    </row>
    <row r="1707" customFormat="false" ht="15" hidden="false" customHeight="false" outlineLevel="0" collapsed="false">
      <c r="A1707" s="4" t="str">
        <f aca="false">IF(Base_Bruta!A1707="","",Base_Bruta!A1707)</f>
        <v>MG-000224</v>
      </c>
      <c r="B1707" s="5" t="n">
        <f aca="false">IF($A1707="","",IF(ISNUMBER(Base_Bruta!B1707),Base_Bruta!B1707,IF(MID(Base_Bruta!B1707,5,1)="-",DATE(VALUE(LEFT(Base_Bruta!B1707,4)),VALUE(MID(Base_Bruta!B1707,6,2)),VALUE(RIGHT(Base_Bruta!B1707,2))),DATE(VALUE(RIGHT(Base_Bruta!B1707,4)),VALUE(MID(Base_Bruta!B1707,4,2)),VALUE(LEFT(Base_Bruta!B1707,2))))))</f>
        <v>45845</v>
      </c>
      <c r="C1707" s="5" t="n">
        <f aca="false">IF($A1707="","",IF(ISNUMBER(Base_Bruta!C1707),Base_Bruta!C1707,IF(MID(Base_Bruta!C1707,5,1)="-",DATE(VALUE(LEFT(Base_Bruta!C1707,4)),VALUE(MID(Base_Bruta!C1707,6,2)),VALUE(RIGHT(Base_Bruta!C1707,2))),DATE(VALUE(RIGHT(Base_Bruta!C1707,4)),VALUE(MID(Base_Bruta!C1707,4,2)),VALUE(LEFT(Base_Bruta!C1707,2))))))</f>
        <v>45892</v>
      </c>
      <c r="D1707" s="4" t="str">
        <f aca="false">IF($A1707="","",TRIM(Base_Bruta!D1707))</f>
        <v>Festival Montanhas BH 2025</v>
      </c>
      <c r="E1707" s="4" t="str">
        <f aca="false">IF($A1707="","",_xlfn.XLOOKUP(LOWER(TRIM(Base_Bruta!E1707)),DePara_Categoria!$A$2:$A$9,DePara_Categoria!$B$2:$B$9,"REVISAR"))</f>
        <v>Festival</v>
      </c>
      <c r="F1707" s="4" t="str">
        <f aca="false">IF($A1707="","",_xlfn.XLOOKUP(LOWER(TRIM(Base_Bruta!F1707)),DePara_Cidade!$A$2:$A$29,DePara_Cidade!$B$2:$B$29,"REVISAR"))</f>
        <v>Belo Horizonte</v>
      </c>
      <c r="G1707" s="4" t="str">
        <f aca="false">IF($A1707="","",TRIM(Base_Bruta!G1707))</f>
        <v>Inteira</v>
      </c>
      <c r="H1707" s="4" t="n">
        <f aca="false">IF($A1707="","",IF(ISNUMBER(Base_Bruta!H1707),Base_Bruta!H1707,IFERROR(_xlfn.NUMBERVALUE(TRIM(SUBSTITUTE(Base_Bruta!H1707,"R$","")),",","."),0)))</f>
        <v>1</v>
      </c>
      <c r="I1707" s="6" t="n">
        <f aca="false">IF($A1707="","",IF(ISNUMBER(Base_Bruta!I1707),Base_Bruta!I1707,IFERROR(_xlfn.NUMBERVALUE(TRIM(SUBSTITUTE(Base_Bruta!I1707,"R$","")),",","."),0)))</f>
        <v>870</v>
      </c>
      <c r="J1707" s="6" t="n">
        <f aca="false">IF($A1707="","",H1707*I1707)</f>
        <v>870</v>
      </c>
      <c r="K1707" s="4" t="str">
        <f aca="false">IF($A1707="","",TRIM(Base_Bruta!J1707))</f>
        <v>Site</v>
      </c>
      <c r="L1707" s="4" t="str">
        <f aca="false">IF($A1707="","",TRIM(Base_Bruta!K1707))</f>
        <v>C00243</v>
      </c>
      <c r="M1707" s="4" t="str">
        <f aca="false">IF($A1707="","",_xlfn.XLOOKUP(LOWER(TRIM(Base_Bruta!L1707)),DePara_Cidade!$A$2:$A$29,DePara_Cidade!$B$2:$B$29,"REVISAR"))</f>
        <v>Belo Horizonte</v>
      </c>
      <c r="N1707" s="4" t="str">
        <f aca="false">IF($A1707="","",UPPER(TRIM(Base_Bruta!M1707)))</f>
        <v>MG</v>
      </c>
      <c r="O1707" s="4" t="str">
        <f aca="false">IF($A1707="","",_xlfn.XLOOKUP(LOWER(TRIM(Base_Bruta!N1707)),DePara_Pais!$A$2:$A$9,DePara_Pais!$B$2:$B$9,"REVISAR"))</f>
        <v>Brasil</v>
      </c>
      <c r="P1707" s="4" t="str">
        <f aca="false">IF($A1707="","",IF(O1707&lt;&gt;"Brasil","Turista Internacional",IF(M1707=F1707,"Local","Turista Nacional")))</f>
        <v>Local</v>
      </c>
      <c r="Q1707" s="7" t="n">
        <f aca="false">IF($A1707="","",DATE(YEAR(B1707),MONTH(B1707),1))</f>
        <v>45839</v>
      </c>
      <c r="R1707" s="4" t="str">
        <f aca="false">IF($A1707="","",IF(COUNTIF($A$2:$A1707,$A1707)&gt;1,"Sim","Não"))</f>
        <v>Não</v>
      </c>
      <c r="S1707" s="4" t="str">
        <f aca="false">IF(A1707="","Descartar - Linha vazia",IF(R1707="Sim","Descartar - Duplicado",IF(OR(H1707&lt;=0,I1707&lt;=0),"Descartar - Qtd/Valor inválido","OK")))</f>
        <v>OK</v>
      </c>
      <c r="T1707" s="4" t="str">
        <f aca="false">Base_Bruta!P1707</f>
        <v>vendas_MG.csv</v>
      </c>
    </row>
    <row r="1708" customFormat="false" ht="15" hidden="false" customHeight="false" outlineLevel="0" collapsed="false">
      <c r="A1708" s="4" t="str">
        <f aca="false">IF(Base_Bruta!A1708="","",Base_Bruta!A1708)</f>
        <v>MG-000410</v>
      </c>
      <c r="B1708" s="5" t="n">
        <f aca="false">IF($A1708="","",IF(ISNUMBER(Base_Bruta!B1708),Base_Bruta!B1708,IF(MID(Base_Bruta!B1708,5,1)="-",DATE(VALUE(LEFT(Base_Bruta!B1708,4)),VALUE(MID(Base_Bruta!B1708,6,2)),VALUE(RIGHT(Base_Bruta!B1708,2))),DATE(VALUE(RIGHT(Base_Bruta!B1708,4)),VALUE(MID(Base_Bruta!B1708,4,2)),VALUE(LEFT(Base_Bruta!B1708,2))))))</f>
        <v>45848</v>
      </c>
      <c r="C1708" s="5" t="n">
        <f aca="false">IF($A1708="","",IF(ISNUMBER(Base_Bruta!C1708),Base_Bruta!C1708,IF(MID(Base_Bruta!C1708,5,1)="-",DATE(VALUE(LEFT(Base_Bruta!C1708,4)),VALUE(MID(Base_Bruta!C1708,6,2)),VALUE(RIGHT(Base_Bruta!C1708,2))),DATE(VALUE(RIGHT(Base_Bruta!C1708,4)),VALUE(MID(Base_Bruta!C1708,4,2)),VALUE(LEFT(Base_Bruta!C1708,2))))))</f>
        <v>45851</v>
      </c>
      <c r="D1708" s="4" t="str">
        <f aca="false">IF($A1708="","",TRIM(Base_Bruta!D1708))</f>
        <v>Cinema Savassi - Sessões</v>
      </c>
      <c r="E1708" s="4" t="str">
        <f aca="false">IF($A1708="","",_xlfn.XLOOKUP(LOWER(TRIM(Base_Bruta!E1708)),DePara_Categoria!$A$2:$A$9,DePara_Categoria!$B$2:$B$9,"REVISAR"))</f>
        <v>Cinema</v>
      </c>
      <c r="F1708" s="4" t="str">
        <f aca="false">IF($A1708="","",_xlfn.XLOOKUP(LOWER(TRIM(Base_Bruta!F1708)),DePara_Cidade!$A$2:$A$29,DePara_Cidade!$B$2:$B$29,"REVISAR"))</f>
        <v>Belo Horizonte</v>
      </c>
      <c r="G1708" s="4" t="str">
        <f aca="false">IF($A1708="","",TRIM(Base_Bruta!G1708))</f>
        <v>Inteira</v>
      </c>
      <c r="H1708" s="4" t="n">
        <f aca="false">IF($A1708="","",IF(ISNUMBER(Base_Bruta!H1708),Base_Bruta!H1708,IFERROR(_xlfn.NUMBERVALUE(TRIM(SUBSTITUTE(Base_Bruta!H1708,"R$","")),",","."),0)))</f>
        <v>1</v>
      </c>
      <c r="I1708" s="6" t="n">
        <f aca="false">IF($A1708="","",IF(ISNUMBER(Base_Bruta!I1708),Base_Bruta!I1708,IFERROR(_xlfn.NUMBERVALUE(TRIM(SUBSTITUTE(Base_Bruta!I1708,"R$","")),",","."),0)))</f>
        <v>45</v>
      </c>
      <c r="J1708" s="6" t="n">
        <f aca="false">IF($A1708="","",H1708*I1708)</f>
        <v>45</v>
      </c>
      <c r="K1708" s="4" t="str">
        <f aca="false">IF($A1708="","",TRIM(Base_Bruta!J1708))</f>
        <v>App</v>
      </c>
      <c r="L1708" s="4" t="str">
        <f aca="false">IF($A1708="","",TRIM(Base_Bruta!K1708))</f>
        <v>C01380</v>
      </c>
      <c r="M1708" s="4" t="str">
        <f aca="false">IF($A1708="","",_xlfn.XLOOKUP(LOWER(TRIM(Base_Bruta!L1708)),DePara_Cidade!$A$2:$A$29,DePara_Cidade!$B$2:$B$29,"REVISAR"))</f>
        <v>Belo Horizonte</v>
      </c>
      <c r="N1708" s="4" t="str">
        <f aca="false">IF($A1708="","",UPPER(TRIM(Base_Bruta!M1708)))</f>
        <v>MG</v>
      </c>
      <c r="O1708" s="4" t="str">
        <f aca="false">IF($A1708="","",_xlfn.XLOOKUP(LOWER(TRIM(Base_Bruta!N1708)),DePara_Pais!$A$2:$A$9,DePara_Pais!$B$2:$B$9,"REVISAR"))</f>
        <v>Brasil</v>
      </c>
      <c r="P1708" s="4" t="str">
        <f aca="false">IF($A1708="","",IF(O1708&lt;&gt;"Brasil","Turista Internacional",IF(M1708=F1708,"Local","Turista Nacional")))</f>
        <v>Local</v>
      </c>
      <c r="Q1708" s="7" t="n">
        <f aca="false">IF($A1708="","",DATE(YEAR(B1708),MONTH(B1708),1))</f>
        <v>45839</v>
      </c>
      <c r="R1708" s="4" t="str">
        <f aca="false">IF($A1708="","",IF(COUNTIF($A$2:$A1708,$A1708)&gt;1,"Sim","Não"))</f>
        <v>Não</v>
      </c>
      <c r="S1708" s="4" t="str">
        <f aca="false">IF(A1708="","Descartar - Linha vazia",IF(R1708="Sim","Descartar - Duplicado",IF(OR(H1708&lt;=0,I1708&lt;=0),"Descartar - Qtd/Valor inválido","OK")))</f>
        <v>OK</v>
      </c>
      <c r="T1708" s="4" t="str">
        <f aca="false">Base_Bruta!P1708</f>
        <v>vendas_MG.csv</v>
      </c>
    </row>
    <row r="1709" customFormat="false" ht="15" hidden="false" customHeight="false" outlineLevel="0" collapsed="false">
      <c r="A1709" s="4" t="str">
        <f aca="false">IF(Base_Bruta!A1709="","",Base_Bruta!A1709)</f>
        <v>MG-000086</v>
      </c>
      <c r="B1709" s="5" t="n">
        <f aca="false">IF($A1709="","",IF(ISNUMBER(Base_Bruta!B1709),Base_Bruta!B1709,IF(MID(Base_Bruta!B1709,5,1)="-",DATE(VALUE(LEFT(Base_Bruta!B1709,4)),VALUE(MID(Base_Bruta!B1709,6,2)),VALUE(RIGHT(Base_Bruta!B1709,2))),DATE(VALUE(RIGHT(Base_Bruta!B1709,4)),VALUE(MID(Base_Bruta!B1709,4,2)),VALUE(LEFT(Base_Bruta!B1709,2))))))</f>
        <v>45849</v>
      </c>
      <c r="C1709" s="5" t="n">
        <f aca="false">IF($A1709="","",IF(ISNUMBER(Base_Bruta!C1709),Base_Bruta!C1709,IF(MID(Base_Bruta!C1709,5,1)="-",DATE(VALUE(LEFT(Base_Bruta!C1709,4)),VALUE(MID(Base_Bruta!C1709,6,2)),VALUE(RIGHT(Base_Bruta!C1709,2))),DATE(VALUE(RIGHT(Base_Bruta!C1709,4)),VALUE(MID(Base_Bruta!C1709,4,2)),VALUE(LEFT(Base_Bruta!C1709,2))))))</f>
        <v>45892</v>
      </c>
      <c r="D1709" s="4" t="str">
        <f aca="false">IF($A1709="","",TRIM(Base_Bruta!D1709))</f>
        <v>Festival Montanhas BH 2025</v>
      </c>
      <c r="E1709" s="4" t="str">
        <f aca="false">IF($A1709="","",_xlfn.XLOOKUP(LOWER(TRIM(Base_Bruta!E1709)),DePara_Categoria!$A$2:$A$9,DePara_Categoria!$B$2:$B$9,"REVISAR"))</f>
        <v>Festival</v>
      </c>
      <c r="F1709" s="4" t="str">
        <f aca="false">IF($A1709="","",_xlfn.XLOOKUP(LOWER(TRIM(Base_Bruta!F1709)),DePara_Cidade!$A$2:$A$29,DePara_Cidade!$B$2:$B$29,"REVISAR"))</f>
        <v>Belo Horizonte</v>
      </c>
      <c r="G1709" s="4" t="str">
        <f aca="false">IF($A1709="","",TRIM(Base_Bruta!G1709))</f>
        <v>Inteira</v>
      </c>
      <c r="H1709" s="4" t="n">
        <f aca="false">IF($A1709="","",IF(ISNUMBER(Base_Bruta!H1709),Base_Bruta!H1709,IFERROR(_xlfn.NUMBERVALUE(TRIM(SUBSTITUTE(Base_Bruta!H1709,"R$","")),",","."),0)))</f>
        <v>2</v>
      </c>
      <c r="I1709" s="6" t="n">
        <f aca="false">IF($A1709="","",IF(ISNUMBER(Base_Bruta!I1709),Base_Bruta!I1709,IFERROR(_xlfn.NUMBERVALUE(TRIM(SUBSTITUTE(Base_Bruta!I1709,"R$","")),",","."),0)))</f>
        <v>1150</v>
      </c>
      <c r="J1709" s="6" t="n">
        <f aca="false">IF($A1709="","",H1709*I1709)</f>
        <v>2300</v>
      </c>
      <c r="K1709" s="4" t="str">
        <f aca="false">IF($A1709="","",TRIM(Base_Bruta!J1709))</f>
        <v>Parceiro</v>
      </c>
      <c r="L1709" s="4" t="str">
        <f aca="false">IF($A1709="","",TRIM(Base_Bruta!K1709))</f>
        <v>C01046</v>
      </c>
      <c r="M1709" s="4" t="str">
        <f aca="false">IF($A1709="","",_xlfn.XLOOKUP(LOWER(TRIM(Base_Bruta!L1709)),DePara_Cidade!$A$2:$A$29,DePara_Cidade!$B$2:$B$29,"REVISAR"))</f>
        <v>Contagem</v>
      </c>
      <c r="N1709" s="4" t="str">
        <f aca="false">IF($A1709="","",UPPER(TRIM(Base_Bruta!M1709)))</f>
        <v>MG</v>
      </c>
      <c r="O1709" s="4" t="str">
        <f aca="false">IF($A1709="","",_xlfn.XLOOKUP(LOWER(TRIM(Base_Bruta!N1709)),DePara_Pais!$A$2:$A$9,DePara_Pais!$B$2:$B$9,"REVISAR"))</f>
        <v>Brasil</v>
      </c>
      <c r="P1709" s="4" t="str">
        <f aca="false">IF($A1709="","",IF(O1709&lt;&gt;"Brasil","Turista Internacional",IF(M1709=F1709,"Local","Turista Nacional")))</f>
        <v>Turista Nacional</v>
      </c>
      <c r="Q1709" s="7" t="n">
        <f aca="false">IF($A1709="","",DATE(YEAR(B1709),MONTH(B1709),1))</f>
        <v>45839</v>
      </c>
      <c r="R1709" s="4" t="str">
        <f aca="false">IF($A1709="","",IF(COUNTIF($A$2:$A1709,$A1709)&gt;1,"Sim","Não"))</f>
        <v>Não</v>
      </c>
      <c r="S1709" s="4" t="str">
        <f aca="false">IF(A1709="","Descartar - Linha vazia",IF(R1709="Sim","Descartar - Duplicado",IF(OR(H1709&lt;=0,I1709&lt;=0),"Descartar - Qtd/Valor inválido","OK")))</f>
        <v>OK</v>
      </c>
      <c r="T1709" s="4" t="str">
        <f aca="false">Base_Bruta!P1709</f>
        <v>vendas_MG.csv</v>
      </c>
    </row>
    <row r="1710" customFormat="false" ht="15" hidden="false" customHeight="false" outlineLevel="0" collapsed="false">
      <c r="A1710" s="4" t="str">
        <f aca="false">IF(Base_Bruta!A1710="","",Base_Bruta!A1710)</f>
        <v>MG-000218</v>
      </c>
      <c r="B1710" s="5" t="n">
        <f aca="false">IF($A1710="","",IF(ISNUMBER(Base_Bruta!B1710),Base_Bruta!B1710,IF(MID(Base_Bruta!B1710,5,1)="-",DATE(VALUE(LEFT(Base_Bruta!B1710,4)),VALUE(MID(Base_Bruta!B1710,6,2)),VALUE(RIGHT(Base_Bruta!B1710,2))),DATE(VALUE(RIGHT(Base_Bruta!B1710,4)),VALUE(MID(Base_Bruta!B1710,4,2)),VALUE(LEFT(Base_Bruta!B1710,2))))))</f>
        <v>45849</v>
      </c>
      <c r="C1710" s="5" t="n">
        <f aca="false">IF($A1710="","",IF(ISNUMBER(Base_Bruta!C1710),Base_Bruta!C1710,IF(MID(Base_Bruta!C1710,5,1)="-",DATE(VALUE(LEFT(Base_Bruta!C1710,4)),VALUE(MID(Base_Bruta!C1710,6,2)),VALUE(RIGHT(Base_Bruta!C1710,2))),DATE(VALUE(RIGHT(Base_Bruta!C1710,4)),VALUE(MID(Base_Bruta!C1710,4,2)),VALUE(LEFT(Base_Bruta!C1710,2))))))</f>
        <v>45892</v>
      </c>
      <c r="D1710" s="4" t="str">
        <f aca="false">IF($A1710="","",TRIM(Base_Bruta!D1710))</f>
        <v>Festival Montanhas BH 2025</v>
      </c>
      <c r="E1710" s="4" t="str">
        <f aca="false">IF($A1710="","",_xlfn.XLOOKUP(LOWER(TRIM(Base_Bruta!E1710)),DePara_Categoria!$A$2:$A$9,DePara_Categoria!$B$2:$B$9,"REVISAR"))</f>
        <v>Festival</v>
      </c>
      <c r="F1710" s="4" t="str">
        <f aca="false">IF($A1710="","",_xlfn.XLOOKUP(LOWER(TRIM(Base_Bruta!F1710)),DePara_Cidade!$A$2:$A$29,DePara_Cidade!$B$2:$B$29,"REVISAR"))</f>
        <v>Belo Horizonte</v>
      </c>
      <c r="G1710" s="4" t="str">
        <f aca="false">IF($A1710="","",TRIM(Base_Bruta!G1710))</f>
        <v>Meia</v>
      </c>
      <c r="H1710" s="4" t="n">
        <f aca="false">IF($A1710="","",IF(ISNUMBER(Base_Bruta!H1710),Base_Bruta!H1710,IFERROR(_xlfn.NUMBERVALUE(TRIM(SUBSTITUTE(Base_Bruta!H1710,"R$","")),",","."),0)))</f>
        <v>4</v>
      </c>
      <c r="I1710" s="6" t="n">
        <f aca="false">IF($A1710="","",IF(ISNUMBER(Base_Bruta!I1710),Base_Bruta!I1710,IFERROR(_xlfn.NUMBERVALUE(TRIM(SUBSTITUTE(Base_Bruta!I1710,"R$","")),",","."),0)))</f>
        <v>335</v>
      </c>
      <c r="J1710" s="6" t="n">
        <f aca="false">IF($A1710="","",H1710*I1710)</f>
        <v>1340</v>
      </c>
      <c r="K1710" s="4" t="str">
        <f aca="false">IF($A1710="","",TRIM(Base_Bruta!J1710))</f>
        <v>Site</v>
      </c>
      <c r="L1710" s="4" t="str">
        <f aca="false">IF($A1710="","",TRIM(Base_Bruta!K1710))</f>
        <v>C00104</v>
      </c>
      <c r="M1710" s="4" t="str">
        <f aca="false">IF($A1710="","",_xlfn.XLOOKUP(LOWER(TRIM(Base_Bruta!L1710)),DePara_Cidade!$A$2:$A$29,DePara_Cidade!$B$2:$B$29,"REVISAR"))</f>
        <v>Contagem</v>
      </c>
      <c r="N1710" s="4" t="str">
        <f aca="false">IF($A1710="","",UPPER(TRIM(Base_Bruta!M1710)))</f>
        <v>MG</v>
      </c>
      <c r="O1710" s="4" t="str">
        <f aca="false">IF($A1710="","",_xlfn.XLOOKUP(LOWER(TRIM(Base_Bruta!N1710)),DePara_Pais!$A$2:$A$9,DePara_Pais!$B$2:$B$9,"REVISAR"))</f>
        <v>Brasil</v>
      </c>
      <c r="P1710" s="4" t="str">
        <f aca="false">IF($A1710="","",IF(O1710&lt;&gt;"Brasil","Turista Internacional",IF(M1710=F1710,"Local","Turista Nacional")))</f>
        <v>Turista Nacional</v>
      </c>
      <c r="Q1710" s="7" t="n">
        <f aca="false">IF($A1710="","",DATE(YEAR(B1710),MONTH(B1710),1))</f>
        <v>45839</v>
      </c>
      <c r="R1710" s="4" t="str">
        <f aca="false">IF($A1710="","",IF(COUNTIF($A$2:$A1710,$A1710)&gt;1,"Sim","Não"))</f>
        <v>Não</v>
      </c>
      <c r="S1710" s="4" t="str">
        <f aca="false">IF(A1710="","Descartar - Linha vazia",IF(R1710="Sim","Descartar - Duplicado",IF(OR(H1710&lt;=0,I1710&lt;=0),"Descartar - Qtd/Valor inválido","OK")))</f>
        <v>OK</v>
      </c>
      <c r="T1710" s="4" t="str">
        <f aca="false">Base_Bruta!P1710</f>
        <v>vendas_MG.csv</v>
      </c>
    </row>
    <row r="1711" customFormat="false" ht="15" hidden="false" customHeight="false" outlineLevel="0" collapsed="false">
      <c r="A1711" s="4" t="str">
        <f aca="false">IF(Base_Bruta!A1711="","",Base_Bruta!A1711)</f>
        <v>MG-000035</v>
      </c>
      <c r="B1711" s="5" t="n">
        <f aca="false">IF($A1711="","",IF(ISNUMBER(Base_Bruta!B1711),Base_Bruta!B1711,IF(MID(Base_Bruta!B1711,5,1)="-",DATE(VALUE(LEFT(Base_Bruta!B1711,4)),VALUE(MID(Base_Bruta!B1711,6,2)),VALUE(RIGHT(Base_Bruta!B1711,2))),DATE(VALUE(RIGHT(Base_Bruta!B1711,4)),VALUE(MID(Base_Bruta!B1711,4,2)),VALUE(LEFT(Base_Bruta!B1711,2))))))</f>
        <v>45850</v>
      </c>
      <c r="C1711" s="5" t="n">
        <f aca="false">IF($A1711="","",IF(ISNUMBER(Base_Bruta!C1711),Base_Bruta!C1711,IF(MID(Base_Bruta!C1711,5,1)="-",DATE(VALUE(LEFT(Base_Bruta!C1711,4)),VALUE(MID(Base_Bruta!C1711,6,2)),VALUE(RIGHT(Base_Bruta!C1711,2))),DATE(VALUE(RIGHT(Base_Bruta!C1711,4)),VALUE(MID(Base_Bruta!C1711,4,2)),VALUE(LEFT(Base_Bruta!C1711,2))))))</f>
        <v>45892</v>
      </c>
      <c r="D1711" s="4" t="str">
        <f aca="false">IF($A1711="","",TRIM(Base_Bruta!D1711))</f>
        <v>Festival Montanhas BH 2025</v>
      </c>
      <c r="E1711" s="4" t="str">
        <f aca="false">IF($A1711="","",_xlfn.XLOOKUP(LOWER(TRIM(Base_Bruta!E1711)),DePara_Categoria!$A$2:$A$9,DePara_Categoria!$B$2:$B$9,"REVISAR"))</f>
        <v>Festival</v>
      </c>
      <c r="F1711" s="4" t="str">
        <f aca="false">IF($A1711="","",_xlfn.XLOOKUP(LOWER(TRIM(Base_Bruta!F1711)),DePara_Cidade!$A$2:$A$29,DePara_Cidade!$B$2:$B$29,"REVISAR"))</f>
        <v>Belo Horizonte</v>
      </c>
      <c r="G1711" s="4" t="str">
        <f aca="false">IF($A1711="","",TRIM(Base_Bruta!G1711))</f>
        <v>Meia</v>
      </c>
      <c r="H1711" s="4" t="n">
        <f aca="false">IF($A1711="","",IF(ISNUMBER(Base_Bruta!H1711),Base_Bruta!H1711,IFERROR(_xlfn.NUMBERVALUE(TRIM(SUBSTITUTE(Base_Bruta!H1711,"R$","")),",","."),0)))</f>
        <v>1</v>
      </c>
      <c r="I1711" s="6" t="n">
        <f aca="false">IF($A1711="","",IF(ISNUMBER(Base_Bruta!I1711),Base_Bruta!I1711,IFERROR(_xlfn.NUMBERVALUE(TRIM(SUBSTITUTE(Base_Bruta!I1711,"R$","")),",","."),0)))</f>
        <v>495</v>
      </c>
      <c r="J1711" s="6" t="n">
        <f aca="false">IF($A1711="","",H1711*I1711)</f>
        <v>495</v>
      </c>
      <c r="K1711" s="4" t="str">
        <f aca="false">IF($A1711="","",TRIM(Base_Bruta!J1711))</f>
        <v>Site</v>
      </c>
      <c r="L1711" s="4" t="str">
        <f aca="false">IF($A1711="","",TRIM(Base_Bruta!K1711))</f>
        <v>C00718</v>
      </c>
      <c r="M1711" s="4" t="str">
        <f aca="false">IF($A1711="","",_xlfn.XLOOKUP(LOWER(TRIM(Base_Bruta!L1711)),DePara_Cidade!$A$2:$A$29,DePara_Cidade!$B$2:$B$29,"REVISAR"))</f>
        <v>Belo Horizonte</v>
      </c>
      <c r="N1711" s="4" t="str">
        <f aca="false">IF($A1711="","",UPPER(TRIM(Base_Bruta!M1711)))</f>
        <v>MG</v>
      </c>
      <c r="O1711" s="4" t="str">
        <f aca="false">IF($A1711="","",_xlfn.XLOOKUP(LOWER(TRIM(Base_Bruta!N1711)),DePara_Pais!$A$2:$A$9,DePara_Pais!$B$2:$B$9,"REVISAR"))</f>
        <v>Brasil</v>
      </c>
      <c r="P1711" s="4" t="str">
        <f aca="false">IF($A1711="","",IF(O1711&lt;&gt;"Brasil","Turista Internacional",IF(M1711=F1711,"Local","Turista Nacional")))</f>
        <v>Local</v>
      </c>
      <c r="Q1711" s="7" t="n">
        <f aca="false">IF($A1711="","",DATE(YEAR(B1711),MONTH(B1711),1))</f>
        <v>45839</v>
      </c>
      <c r="R1711" s="4" t="str">
        <f aca="false">IF($A1711="","",IF(COUNTIF($A$2:$A1711,$A1711)&gt;1,"Sim","Não"))</f>
        <v>Não</v>
      </c>
      <c r="S1711" s="4" t="str">
        <f aca="false">IF(A1711="","Descartar - Linha vazia",IF(R1711="Sim","Descartar - Duplicado",IF(OR(H1711&lt;=0,I1711&lt;=0),"Descartar - Qtd/Valor inválido","OK")))</f>
        <v>OK</v>
      </c>
      <c r="T1711" s="4" t="str">
        <f aca="false">Base_Bruta!P1711</f>
        <v>vendas_MG.csv</v>
      </c>
    </row>
    <row r="1712" customFormat="false" ht="15" hidden="false" customHeight="false" outlineLevel="0" collapsed="false">
      <c r="A1712" s="4" t="str">
        <f aca="false">IF(Base_Bruta!A1712="","",Base_Bruta!A1712)</f>
        <v>MG-000145</v>
      </c>
      <c r="B1712" s="5" t="n">
        <f aca="false">IF($A1712="","",IF(ISNUMBER(Base_Bruta!B1712),Base_Bruta!B1712,IF(MID(Base_Bruta!B1712,5,1)="-",DATE(VALUE(LEFT(Base_Bruta!B1712,4)),VALUE(MID(Base_Bruta!B1712,6,2)),VALUE(RIGHT(Base_Bruta!B1712,2))),DATE(VALUE(RIGHT(Base_Bruta!B1712,4)),VALUE(MID(Base_Bruta!B1712,4,2)),VALUE(LEFT(Base_Bruta!B1712,2))))))</f>
        <v>45852</v>
      </c>
      <c r="C1712" s="5" t="n">
        <f aca="false">IF($A1712="","",IF(ISNUMBER(Base_Bruta!C1712),Base_Bruta!C1712,IF(MID(Base_Bruta!C1712,5,1)="-",DATE(VALUE(LEFT(Base_Bruta!C1712,4)),VALUE(MID(Base_Bruta!C1712,6,2)),VALUE(RIGHT(Base_Bruta!C1712,2))),DATE(VALUE(RIGHT(Base_Bruta!C1712,4)),VALUE(MID(Base_Bruta!C1712,4,2)),VALUE(LEFT(Base_Bruta!C1712,2))))))</f>
        <v>45892</v>
      </c>
      <c r="D1712" s="4" t="str">
        <f aca="false">IF($A1712="","",TRIM(Base_Bruta!D1712))</f>
        <v>Festival Montanhas BH 2025</v>
      </c>
      <c r="E1712" s="4" t="str">
        <f aca="false">IF($A1712="","",_xlfn.XLOOKUP(LOWER(TRIM(Base_Bruta!E1712)),DePara_Categoria!$A$2:$A$9,DePara_Categoria!$B$2:$B$9,"REVISAR"))</f>
        <v>Festival</v>
      </c>
      <c r="F1712" s="4" t="str">
        <f aca="false">IF($A1712="","",_xlfn.XLOOKUP(LOWER(TRIM(Base_Bruta!F1712)),DePara_Cidade!$A$2:$A$29,DePara_Cidade!$B$2:$B$29,"REVISAR"))</f>
        <v>Belo Horizonte</v>
      </c>
      <c r="G1712" s="4" t="str">
        <f aca="false">IF($A1712="","",TRIM(Base_Bruta!G1712))</f>
        <v>Inteira</v>
      </c>
      <c r="H1712" s="4" t="n">
        <f aca="false">IF($A1712="","",IF(ISNUMBER(Base_Bruta!H1712),Base_Bruta!H1712,IFERROR(_xlfn.NUMBERVALUE(TRIM(SUBSTITUTE(Base_Bruta!H1712,"R$","")),",","."),0)))</f>
        <v>1</v>
      </c>
      <c r="I1712" s="6" t="n">
        <f aca="false">IF($A1712="","",IF(ISNUMBER(Base_Bruta!I1712),Base_Bruta!I1712,IFERROR(_xlfn.NUMBERVALUE(TRIM(SUBSTITUTE(Base_Bruta!I1712,"R$","")),",","."),0)))</f>
        <v>1100</v>
      </c>
      <c r="J1712" s="6" t="n">
        <f aca="false">IF($A1712="","",H1712*I1712)</f>
        <v>1100</v>
      </c>
      <c r="K1712" s="4" t="str">
        <f aca="false">IF($A1712="","",TRIM(Base_Bruta!J1712))</f>
        <v>App</v>
      </c>
      <c r="L1712" s="4" t="str">
        <f aca="false">IF($A1712="","",TRIM(Base_Bruta!K1712))</f>
        <v>C01462</v>
      </c>
      <c r="M1712" s="4" t="str">
        <f aca="false">IF($A1712="","",_xlfn.XLOOKUP(LOWER(TRIM(Base_Bruta!L1712)),DePara_Cidade!$A$2:$A$29,DePara_Cidade!$B$2:$B$29,"REVISAR"))</f>
        <v>Belo Horizonte</v>
      </c>
      <c r="N1712" s="4" t="str">
        <f aca="false">IF($A1712="","",UPPER(TRIM(Base_Bruta!M1712)))</f>
        <v>MG</v>
      </c>
      <c r="O1712" s="4" t="str">
        <f aca="false">IF($A1712="","",_xlfn.XLOOKUP(LOWER(TRIM(Base_Bruta!N1712)),DePara_Pais!$A$2:$A$9,DePara_Pais!$B$2:$B$9,"REVISAR"))</f>
        <v>Brasil</v>
      </c>
      <c r="P1712" s="4" t="str">
        <f aca="false">IF($A1712="","",IF(O1712&lt;&gt;"Brasil","Turista Internacional",IF(M1712=F1712,"Local","Turista Nacional")))</f>
        <v>Local</v>
      </c>
      <c r="Q1712" s="7" t="n">
        <f aca="false">IF($A1712="","",DATE(YEAR(B1712),MONTH(B1712),1))</f>
        <v>45839</v>
      </c>
      <c r="R1712" s="4" t="str">
        <f aca="false">IF($A1712="","",IF(COUNTIF($A$2:$A1712,$A1712)&gt;1,"Sim","Não"))</f>
        <v>Não</v>
      </c>
      <c r="S1712" s="4" t="str">
        <f aca="false">IF(A1712="","Descartar - Linha vazia",IF(R1712="Sim","Descartar - Duplicado",IF(OR(H1712&lt;=0,I1712&lt;=0),"Descartar - Qtd/Valor inválido","OK")))</f>
        <v>OK</v>
      </c>
      <c r="T1712" s="4" t="str">
        <f aca="false">Base_Bruta!P1712</f>
        <v>vendas_MG.csv</v>
      </c>
    </row>
    <row r="1713" customFormat="false" ht="15" hidden="false" customHeight="false" outlineLevel="0" collapsed="false">
      <c r="A1713" s="4" t="str">
        <f aca="false">IF(Base_Bruta!A1713="","",Base_Bruta!A1713)</f>
        <v>MG-000005</v>
      </c>
      <c r="B1713" s="5" t="n">
        <f aca="false">IF($A1713="","",IF(ISNUMBER(Base_Bruta!B1713),Base_Bruta!B1713,IF(MID(Base_Bruta!B1713,5,1)="-",DATE(VALUE(LEFT(Base_Bruta!B1713,4)),VALUE(MID(Base_Bruta!B1713,6,2)),VALUE(RIGHT(Base_Bruta!B1713,2))),DATE(VALUE(RIGHT(Base_Bruta!B1713,4)),VALUE(MID(Base_Bruta!B1713,4,2)),VALUE(LEFT(Base_Bruta!B1713,2))))))</f>
        <v>45853</v>
      </c>
      <c r="C1713" s="5" t="n">
        <f aca="false">IF($A1713="","",IF(ISNUMBER(Base_Bruta!C1713),Base_Bruta!C1713,IF(MID(Base_Bruta!C1713,5,1)="-",DATE(VALUE(LEFT(Base_Bruta!C1713,4)),VALUE(MID(Base_Bruta!C1713,6,2)),VALUE(RIGHT(Base_Bruta!C1713,2))),DATE(VALUE(RIGHT(Base_Bruta!C1713,4)),VALUE(MID(Base_Bruta!C1713,4,2)),VALUE(LEFT(Base_Bruta!C1713,2))))))</f>
        <v>45892</v>
      </c>
      <c r="D1713" s="4" t="str">
        <f aca="false">IF($A1713="","",TRIM(Base_Bruta!D1713))</f>
        <v>Festival Montanhas BH 2025</v>
      </c>
      <c r="E1713" s="4" t="str">
        <f aca="false">IF($A1713="","",_xlfn.XLOOKUP(LOWER(TRIM(Base_Bruta!E1713)),DePara_Categoria!$A$2:$A$9,DePara_Categoria!$B$2:$B$9,"REVISAR"))</f>
        <v>Festival</v>
      </c>
      <c r="F1713" s="4" t="str">
        <f aca="false">IF($A1713="","",_xlfn.XLOOKUP(LOWER(TRIM(Base_Bruta!F1713)),DePara_Cidade!$A$2:$A$29,DePara_Cidade!$B$2:$B$29,"REVISAR"))</f>
        <v>Belo Horizonte</v>
      </c>
      <c r="G1713" s="4" t="str">
        <f aca="false">IF($A1713="","",TRIM(Base_Bruta!G1713))</f>
        <v>Inteira</v>
      </c>
      <c r="H1713" s="4" t="n">
        <f aca="false">IF($A1713="","",IF(ISNUMBER(Base_Bruta!H1713),Base_Bruta!H1713,IFERROR(_xlfn.NUMBERVALUE(TRIM(SUBSTITUTE(Base_Bruta!H1713,"R$","")),",","."),0)))</f>
        <v>1</v>
      </c>
      <c r="I1713" s="6" t="n">
        <f aca="false">IF($A1713="","",IF(ISNUMBER(Base_Bruta!I1713),Base_Bruta!I1713,IFERROR(_xlfn.NUMBERVALUE(TRIM(SUBSTITUTE(Base_Bruta!I1713,"R$","")),",","."),0)))</f>
        <v>655</v>
      </c>
      <c r="J1713" s="6" t="n">
        <f aca="false">IF($A1713="","",H1713*I1713)</f>
        <v>655</v>
      </c>
      <c r="K1713" s="4" t="str">
        <f aca="false">IF($A1713="","",TRIM(Base_Bruta!J1713))</f>
        <v>Bilheteria</v>
      </c>
      <c r="L1713" s="4" t="str">
        <f aca="false">IF($A1713="","",TRIM(Base_Bruta!K1713))</f>
        <v>C01701</v>
      </c>
      <c r="M1713" s="4" t="str">
        <f aca="false">IF($A1713="","",_xlfn.XLOOKUP(LOWER(TRIM(Base_Bruta!L1713)),DePara_Cidade!$A$2:$A$29,DePara_Cidade!$B$2:$B$29,"REVISAR"))</f>
        <v>Vitória</v>
      </c>
      <c r="N1713" s="4" t="str">
        <f aca="false">IF($A1713="","",UPPER(TRIM(Base_Bruta!M1713)))</f>
        <v>ES</v>
      </c>
      <c r="O1713" s="4" t="str">
        <f aca="false">IF($A1713="","",_xlfn.XLOOKUP(LOWER(TRIM(Base_Bruta!N1713)),DePara_Pais!$A$2:$A$9,DePara_Pais!$B$2:$B$9,"REVISAR"))</f>
        <v>Brasil</v>
      </c>
      <c r="P1713" s="4" t="str">
        <f aca="false">IF($A1713="","",IF(O1713&lt;&gt;"Brasil","Turista Internacional",IF(M1713=F1713,"Local","Turista Nacional")))</f>
        <v>Turista Nacional</v>
      </c>
      <c r="Q1713" s="7" t="n">
        <f aca="false">IF($A1713="","",DATE(YEAR(B1713),MONTH(B1713),1))</f>
        <v>45839</v>
      </c>
      <c r="R1713" s="4" t="str">
        <f aca="false">IF($A1713="","",IF(COUNTIF($A$2:$A1713,$A1713)&gt;1,"Sim","Não"))</f>
        <v>Não</v>
      </c>
      <c r="S1713" s="4" t="str">
        <f aca="false">IF(A1713="","Descartar - Linha vazia",IF(R1713="Sim","Descartar - Duplicado",IF(OR(H1713&lt;=0,I1713&lt;=0),"Descartar - Qtd/Valor inválido","OK")))</f>
        <v>OK</v>
      </c>
      <c r="T1713" s="4" t="str">
        <f aca="false">Base_Bruta!P1713</f>
        <v>vendas_MG.csv</v>
      </c>
    </row>
    <row r="1714" customFormat="false" ht="15" hidden="false" customHeight="false" outlineLevel="0" collapsed="false">
      <c r="A1714" s="4" t="str">
        <f aca="false">IF(Base_Bruta!A1714="","",Base_Bruta!A1714)</f>
        <v>MG-000022</v>
      </c>
      <c r="B1714" s="5" t="n">
        <f aca="false">IF($A1714="","",IF(ISNUMBER(Base_Bruta!B1714),Base_Bruta!B1714,IF(MID(Base_Bruta!B1714,5,1)="-",DATE(VALUE(LEFT(Base_Bruta!B1714,4)),VALUE(MID(Base_Bruta!B1714,6,2)),VALUE(RIGHT(Base_Bruta!B1714,2))),DATE(VALUE(RIGHT(Base_Bruta!B1714,4)),VALUE(MID(Base_Bruta!B1714,4,2)),VALUE(LEFT(Base_Bruta!B1714,2))))))</f>
        <v>45853</v>
      </c>
      <c r="C1714" s="5" t="n">
        <f aca="false">IF($A1714="","",IF(ISNUMBER(Base_Bruta!C1714),Base_Bruta!C1714,IF(MID(Base_Bruta!C1714,5,1)="-",DATE(VALUE(LEFT(Base_Bruta!C1714,4)),VALUE(MID(Base_Bruta!C1714,6,2)),VALUE(RIGHT(Base_Bruta!C1714,2))),DATE(VALUE(RIGHT(Base_Bruta!C1714,4)),VALUE(MID(Base_Bruta!C1714,4,2)),VALUE(LEFT(Base_Bruta!C1714,2))))))</f>
        <v>45892</v>
      </c>
      <c r="D1714" s="4" t="str">
        <f aca="false">IF($A1714="","",TRIM(Base_Bruta!D1714))</f>
        <v>Festival Montanhas BH 2025</v>
      </c>
      <c r="E1714" s="4" t="str">
        <f aca="false">IF($A1714="","",_xlfn.XLOOKUP(LOWER(TRIM(Base_Bruta!E1714)),DePara_Categoria!$A$2:$A$9,DePara_Categoria!$B$2:$B$9,"REVISAR"))</f>
        <v>Festival</v>
      </c>
      <c r="F1714" s="4" t="str">
        <f aca="false">IF($A1714="","",_xlfn.XLOOKUP(LOWER(TRIM(Base_Bruta!F1714)),DePara_Cidade!$A$2:$A$29,DePara_Cidade!$B$2:$B$29,"REVISAR"))</f>
        <v>Belo Horizonte</v>
      </c>
      <c r="G1714" s="4" t="str">
        <f aca="false">IF($A1714="","",TRIM(Base_Bruta!G1714))</f>
        <v>Inteira</v>
      </c>
      <c r="H1714" s="4" t="n">
        <f aca="false">IF($A1714="","",IF(ISNUMBER(Base_Bruta!H1714),Base_Bruta!H1714,IFERROR(_xlfn.NUMBERVALUE(TRIM(SUBSTITUTE(Base_Bruta!H1714,"R$","")),",","."),0)))</f>
        <v>1</v>
      </c>
      <c r="I1714" s="6" t="n">
        <f aca="false">IF($A1714="","",IF(ISNUMBER(Base_Bruta!I1714),Base_Bruta!I1714,IFERROR(_xlfn.NUMBERVALUE(TRIM(SUBSTITUTE(Base_Bruta!I1714,"R$","")),",","."),0)))</f>
        <v>1105</v>
      </c>
      <c r="J1714" s="6" t="n">
        <f aca="false">IF($A1714="","",H1714*I1714)</f>
        <v>1105</v>
      </c>
      <c r="K1714" s="4" t="str">
        <f aca="false">IF($A1714="","",TRIM(Base_Bruta!J1714))</f>
        <v>Site</v>
      </c>
      <c r="L1714" s="4" t="str">
        <f aca="false">IF($A1714="","",TRIM(Base_Bruta!K1714))</f>
        <v>C01908</v>
      </c>
      <c r="M1714" s="4" t="str">
        <f aca="false">IF($A1714="","",_xlfn.XLOOKUP(LOWER(TRIM(Base_Bruta!L1714)),DePara_Cidade!$A$2:$A$29,DePara_Cidade!$B$2:$B$29,"REVISAR"))</f>
        <v>Contagem</v>
      </c>
      <c r="N1714" s="4" t="str">
        <f aca="false">IF($A1714="","",UPPER(TRIM(Base_Bruta!M1714)))</f>
        <v>MG</v>
      </c>
      <c r="O1714" s="4" t="str">
        <f aca="false">IF($A1714="","",_xlfn.XLOOKUP(LOWER(TRIM(Base_Bruta!N1714)),DePara_Pais!$A$2:$A$9,DePara_Pais!$B$2:$B$9,"REVISAR"))</f>
        <v>Brasil</v>
      </c>
      <c r="P1714" s="4" t="str">
        <f aca="false">IF($A1714="","",IF(O1714&lt;&gt;"Brasil","Turista Internacional",IF(M1714=F1714,"Local","Turista Nacional")))</f>
        <v>Turista Nacional</v>
      </c>
      <c r="Q1714" s="7" t="n">
        <f aca="false">IF($A1714="","",DATE(YEAR(B1714),MONTH(B1714),1))</f>
        <v>45839</v>
      </c>
      <c r="R1714" s="4" t="str">
        <f aca="false">IF($A1714="","",IF(COUNTIF($A$2:$A1714,$A1714)&gt;1,"Sim","Não"))</f>
        <v>Não</v>
      </c>
      <c r="S1714" s="4" t="str">
        <f aca="false">IF(A1714="","Descartar - Linha vazia",IF(R1714="Sim","Descartar - Duplicado",IF(OR(H1714&lt;=0,I1714&lt;=0),"Descartar - Qtd/Valor inválido","OK")))</f>
        <v>OK</v>
      </c>
      <c r="T1714" s="4" t="str">
        <f aca="false">Base_Bruta!P1714</f>
        <v>vendas_MG.csv</v>
      </c>
    </row>
    <row r="1715" customFormat="false" ht="15" hidden="false" customHeight="false" outlineLevel="0" collapsed="false">
      <c r="A1715" s="4" t="str">
        <f aca="false">IF(Base_Bruta!A1715="","",Base_Bruta!A1715)</f>
        <v>MG-000150</v>
      </c>
      <c r="B1715" s="5" t="n">
        <f aca="false">IF($A1715="","",IF(ISNUMBER(Base_Bruta!B1715),Base_Bruta!B1715,IF(MID(Base_Bruta!B1715,5,1)="-",DATE(VALUE(LEFT(Base_Bruta!B1715,4)),VALUE(MID(Base_Bruta!B1715,6,2)),VALUE(RIGHT(Base_Bruta!B1715,2))),DATE(VALUE(RIGHT(Base_Bruta!B1715,4)),VALUE(MID(Base_Bruta!B1715,4,2)),VALUE(LEFT(Base_Bruta!B1715,2))))))</f>
        <v>45853</v>
      </c>
      <c r="C1715" s="5" t="n">
        <f aca="false">IF($A1715="","",IF(ISNUMBER(Base_Bruta!C1715),Base_Bruta!C1715,IF(MID(Base_Bruta!C1715,5,1)="-",DATE(VALUE(LEFT(Base_Bruta!C1715,4)),VALUE(MID(Base_Bruta!C1715,6,2)),VALUE(RIGHT(Base_Bruta!C1715,2))),DATE(VALUE(RIGHT(Base_Bruta!C1715,4)),VALUE(MID(Base_Bruta!C1715,4,2)),VALUE(LEFT(Base_Bruta!C1715,2))))))</f>
        <v>45892</v>
      </c>
      <c r="D1715" s="4" t="str">
        <f aca="false">IF($A1715="","",TRIM(Base_Bruta!D1715))</f>
        <v>Festival Montanhas BH 2025</v>
      </c>
      <c r="E1715" s="4" t="str">
        <f aca="false">IF($A1715="","",_xlfn.XLOOKUP(LOWER(TRIM(Base_Bruta!E1715)),DePara_Categoria!$A$2:$A$9,DePara_Categoria!$B$2:$B$9,"REVISAR"))</f>
        <v>Festival</v>
      </c>
      <c r="F1715" s="4" t="str">
        <f aca="false">IF($A1715="","",_xlfn.XLOOKUP(LOWER(TRIM(Base_Bruta!F1715)),DePara_Cidade!$A$2:$A$29,DePara_Cidade!$B$2:$B$29,"REVISAR"))</f>
        <v>Belo Horizonte</v>
      </c>
      <c r="G1715" s="4" t="str">
        <f aca="false">IF($A1715="","",TRIM(Base_Bruta!G1715))</f>
        <v>Meia</v>
      </c>
      <c r="H1715" s="4" t="n">
        <f aca="false">IF($A1715="","",IF(ISNUMBER(Base_Bruta!H1715),Base_Bruta!H1715,IFERROR(_xlfn.NUMBERVALUE(TRIM(SUBSTITUTE(Base_Bruta!H1715,"R$","")),",","."),0)))</f>
        <v>2</v>
      </c>
      <c r="I1715" s="6" t="n">
        <f aca="false">IF($A1715="","",IF(ISNUMBER(Base_Bruta!I1715),Base_Bruta!I1715,IFERROR(_xlfn.NUMBERVALUE(TRIM(SUBSTITUTE(Base_Bruta!I1715,"R$","")),",","."),0)))</f>
        <v>452.5</v>
      </c>
      <c r="J1715" s="6" t="n">
        <f aca="false">IF($A1715="","",H1715*I1715)</f>
        <v>905</v>
      </c>
      <c r="K1715" s="4" t="str">
        <f aca="false">IF($A1715="","",TRIM(Base_Bruta!J1715))</f>
        <v>App</v>
      </c>
      <c r="L1715" s="4" t="str">
        <f aca="false">IF($A1715="","",TRIM(Base_Bruta!K1715))</f>
        <v>C02186</v>
      </c>
      <c r="M1715" s="4" t="str">
        <f aca="false">IF($A1715="","",_xlfn.XLOOKUP(LOWER(TRIM(Base_Bruta!L1715)),DePara_Cidade!$A$2:$A$29,DePara_Cidade!$B$2:$B$29,"REVISAR"))</f>
        <v>Vitória</v>
      </c>
      <c r="N1715" s="4" t="str">
        <f aca="false">IF($A1715="","",UPPER(TRIM(Base_Bruta!M1715)))</f>
        <v>ES</v>
      </c>
      <c r="O1715" s="4" t="str">
        <f aca="false">IF($A1715="","",_xlfn.XLOOKUP(LOWER(TRIM(Base_Bruta!N1715)),DePara_Pais!$A$2:$A$9,DePara_Pais!$B$2:$B$9,"REVISAR"))</f>
        <v>Brasil</v>
      </c>
      <c r="P1715" s="4" t="str">
        <f aca="false">IF($A1715="","",IF(O1715&lt;&gt;"Brasil","Turista Internacional",IF(M1715=F1715,"Local","Turista Nacional")))</f>
        <v>Turista Nacional</v>
      </c>
      <c r="Q1715" s="7" t="n">
        <f aca="false">IF($A1715="","",DATE(YEAR(B1715),MONTH(B1715),1))</f>
        <v>45839</v>
      </c>
      <c r="R1715" s="4" t="str">
        <f aca="false">IF($A1715="","",IF(COUNTIF($A$2:$A1715,$A1715)&gt;1,"Sim","Não"))</f>
        <v>Não</v>
      </c>
      <c r="S1715" s="4" t="str">
        <f aca="false">IF(A1715="","Descartar - Linha vazia",IF(R1715="Sim","Descartar - Duplicado",IF(OR(H1715&lt;=0,I1715&lt;=0),"Descartar - Qtd/Valor inválido","OK")))</f>
        <v>OK</v>
      </c>
      <c r="T1715" s="4" t="str">
        <f aca="false">Base_Bruta!P1715</f>
        <v>vendas_MG.csv</v>
      </c>
    </row>
    <row r="1716" customFormat="false" ht="15" hidden="false" customHeight="false" outlineLevel="0" collapsed="false">
      <c r="A1716" s="4" t="str">
        <f aca="false">IF(Base_Bruta!A1716="","",Base_Bruta!A1716)</f>
        <v>MG-000155</v>
      </c>
      <c r="B1716" s="5" t="n">
        <f aca="false">IF($A1716="","",IF(ISNUMBER(Base_Bruta!B1716),Base_Bruta!B1716,IF(MID(Base_Bruta!B1716,5,1)="-",DATE(VALUE(LEFT(Base_Bruta!B1716,4)),VALUE(MID(Base_Bruta!B1716,6,2)),VALUE(RIGHT(Base_Bruta!B1716,2))),DATE(VALUE(RIGHT(Base_Bruta!B1716,4)),VALUE(MID(Base_Bruta!B1716,4,2)),VALUE(LEFT(Base_Bruta!B1716,2))))))</f>
        <v>45855</v>
      </c>
      <c r="C1716" s="5" t="n">
        <f aca="false">IF($A1716="","",IF(ISNUMBER(Base_Bruta!C1716),Base_Bruta!C1716,IF(MID(Base_Bruta!C1716,5,1)="-",DATE(VALUE(LEFT(Base_Bruta!C1716,4)),VALUE(MID(Base_Bruta!C1716,6,2)),VALUE(RIGHT(Base_Bruta!C1716,2))),DATE(VALUE(RIGHT(Base_Bruta!C1716,4)),VALUE(MID(Base_Bruta!C1716,4,2)),VALUE(LEFT(Base_Bruta!C1716,2))))))</f>
        <v>45892</v>
      </c>
      <c r="D1716" s="4" t="str">
        <f aca="false">IF($A1716="","",TRIM(Base_Bruta!D1716))</f>
        <v>Festival Montanhas BH 2025</v>
      </c>
      <c r="E1716" s="4" t="str">
        <f aca="false">IF($A1716="","",_xlfn.XLOOKUP(LOWER(TRIM(Base_Bruta!E1716)),DePara_Categoria!$A$2:$A$9,DePara_Categoria!$B$2:$B$9,"REVISAR"))</f>
        <v>Festival</v>
      </c>
      <c r="F1716" s="4" t="str">
        <f aca="false">IF($A1716="","",_xlfn.XLOOKUP(LOWER(TRIM(Base_Bruta!F1716)),DePara_Cidade!$A$2:$A$29,DePara_Cidade!$B$2:$B$29,"REVISAR"))</f>
        <v>Belo Horizonte</v>
      </c>
      <c r="G1716" s="4" t="str">
        <f aca="false">IF($A1716="","",TRIM(Base_Bruta!G1716))</f>
        <v>Meia</v>
      </c>
      <c r="H1716" s="4" t="n">
        <f aca="false">IF($A1716="","",IF(ISNUMBER(Base_Bruta!H1716),Base_Bruta!H1716,IFERROR(_xlfn.NUMBERVALUE(TRIM(SUBSTITUTE(Base_Bruta!H1716,"R$","")),",","."),0)))</f>
        <v>1</v>
      </c>
      <c r="I1716" s="6" t="n">
        <f aca="false">IF($A1716="","",IF(ISNUMBER(Base_Bruta!I1716),Base_Bruta!I1716,IFERROR(_xlfn.NUMBERVALUE(TRIM(SUBSTITUTE(Base_Bruta!I1716,"R$","")),",","."),0)))</f>
        <v>425</v>
      </c>
      <c r="J1716" s="6" t="n">
        <f aca="false">IF($A1716="","",H1716*I1716)</f>
        <v>425</v>
      </c>
      <c r="K1716" s="4" t="str">
        <f aca="false">IF($A1716="","",TRIM(Base_Bruta!J1716))</f>
        <v>Site</v>
      </c>
      <c r="L1716" s="4" t="str">
        <f aca="false">IF($A1716="","",TRIM(Base_Bruta!K1716))</f>
        <v>C02146</v>
      </c>
      <c r="M1716" s="4" t="str">
        <f aca="false">IF($A1716="","",_xlfn.XLOOKUP(LOWER(TRIM(Base_Bruta!L1716)),DePara_Cidade!$A$2:$A$29,DePara_Cidade!$B$2:$B$29,"REVISAR"))</f>
        <v>Belo Horizonte</v>
      </c>
      <c r="N1716" s="4" t="str">
        <f aca="false">IF($A1716="","",UPPER(TRIM(Base_Bruta!M1716)))</f>
        <v>MG</v>
      </c>
      <c r="O1716" s="4" t="str">
        <f aca="false">IF($A1716="","",_xlfn.XLOOKUP(LOWER(TRIM(Base_Bruta!N1716)),DePara_Pais!$A$2:$A$9,DePara_Pais!$B$2:$B$9,"REVISAR"))</f>
        <v>Brasil</v>
      </c>
      <c r="P1716" s="4" t="str">
        <f aca="false">IF($A1716="","",IF(O1716&lt;&gt;"Brasil","Turista Internacional",IF(M1716=F1716,"Local","Turista Nacional")))</f>
        <v>Local</v>
      </c>
      <c r="Q1716" s="7" t="n">
        <f aca="false">IF($A1716="","",DATE(YEAR(B1716),MONTH(B1716),1))</f>
        <v>45839</v>
      </c>
      <c r="R1716" s="4" t="str">
        <f aca="false">IF($A1716="","",IF(COUNTIF($A$2:$A1716,$A1716)&gt;1,"Sim","Não"))</f>
        <v>Não</v>
      </c>
      <c r="S1716" s="4" t="str">
        <f aca="false">IF(A1716="","Descartar - Linha vazia",IF(R1716="Sim","Descartar - Duplicado",IF(OR(H1716&lt;=0,I1716&lt;=0),"Descartar - Qtd/Valor inválido","OK")))</f>
        <v>OK</v>
      </c>
      <c r="T1716" s="4" t="str">
        <f aca="false">Base_Bruta!P1716</f>
        <v>vendas_MG.csv</v>
      </c>
    </row>
    <row r="1717" customFormat="false" ht="15" hidden="false" customHeight="false" outlineLevel="0" collapsed="false">
      <c r="A1717" s="4" t="str">
        <f aca="false">IF(Base_Bruta!A1717="","",Base_Bruta!A1717)</f>
        <v>MG-000010</v>
      </c>
      <c r="B1717" s="5" t="n">
        <f aca="false">IF($A1717="","",IF(ISNUMBER(Base_Bruta!B1717),Base_Bruta!B1717,IF(MID(Base_Bruta!B1717,5,1)="-",DATE(VALUE(LEFT(Base_Bruta!B1717,4)),VALUE(MID(Base_Bruta!B1717,6,2)),VALUE(RIGHT(Base_Bruta!B1717,2))),DATE(VALUE(RIGHT(Base_Bruta!B1717,4)),VALUE(MID(Base_Bruta!B1717,4,2)),VALUE(LEFT(Base_Bruta!B1717,2))))))</f>
        <v>45856</v>
      </c>
      <c r="C1717" s="5" t="n">
        <f aca="false">IF($A1717="","",IF(ISNUMBER(Base_Bruta!C1717),Base_Bruta!C1717,IF(MID(Base_Bruta!C1717,5,1)="-",DATE(VALUE(LEFT(Base_Bruta!C1717,4)),VALUE(MID(Base_Bruta!C1717,6,2)),VALUE(RIGHT(Base_Bruta!C1717,2))),DATE(VALUE(RIGHT(Base_Bruta!C1717,4)),VALUE(MID(Base_Bruta!C1717,4,2)),VALUE(LEFT(Base_Bruta!C1717,2))))))</f>
        <v>45892</v>
      </c>
      <c r="D1717" s="4" t="str">
        <f aca="false">IF($A1717="","",TRIM(Base_Bruta!D1717))</f>
        <v>Festival Montanhas BH 2025</v>
      </c>
      <c r="E1717" s="4" t="str">
        <f aca="false">IF($A1717="","",_xlfn.XLOOKUP(LOWER(TRIM(Base_Bruta!E1717)),DePara_Categoria!$A$2:$A$9,DePara_Categoria!$B$2:$B$9,"REVISAR"))</f>
        <v>Festival</v>
      </c>
      <c r="F1717" s="4" t="str">
        <f aca="false">IF($A1717="","",_xlfn.XLOOKUP(LOWER(TRIM(Base_Bruta!F1717)),DePara_Cidade!$A$2:$A$29,DePara_Cidade!$B$2:$B$29,"REVISAR"))</f>
        <v>Belo Horizonte</v>
      </c>
      <c r="G1717" s="4" t="str">
        <f aca="false">IF($A1717="","",TRIM(Base_Bruta!G1717))</f>
        <v>Inteira</v>
      </c>
      <c r="H1717" s="4" t="n">
        <f aca="false">IF($A1717="","",IF(ISNUMBER(Base_Bruta!H1717),Base_Bruta!H1717,IFERROR(_xlfn.NUMBERVALUE(TRIM(SUBSTITUTE(Base_Bruta!H1717,"R$","")),",","."),0)))</f>
        <v>2</v>
      </c>
      <c r="I1717" s="6" t="n">
        <f aca="false">IF($A1717="","",IF(ISNUMBER(Base_Bruta!I1717),Base_Bruta!I1717,IFERROR(_xlfn.NUMBERVALUE(TRIM(SUBSTITUTE(Base_Bruta!I1717,"R$","")),",","."),0)))</f>
        <v>710</v>
      </c>
      <c r="J1717" s="6" t="n">
        <f aca="false">IF($A1717="","",H1717*I1717)</f>
        <v>1420</v>
      </c>
      <c r="K1717" s="4" t="str">
        <f aca="false">IF($A1717="","",TRIM(Base_Bruta!J1717))</f>
        <v>Site</v>
      </c>
      <c r="L1717" s="4" t="str">
        <f aca="false">IF($A1717="","",TRIM(Base_Bruta!K1717))</f>
        <v>C01962</v>
      </c>
      <c r="M1717" s="4" t="str">
        <f aca="false">IF($A1717="","",_xlfn.XLOOKUP(LOWER(TRIM(Base_Bruta!L1717)),DePara_Cidade!$A$2:$A$29,DePara_Cidade!$B$2:$B$29,"REVISAR"))</f>
        <v>Belo Horizonte</v>
      </c>
      <c r="N1717" s="4" t="str">
        <f aca="false">IF($A1717="","",UPPER(TRIM(Base_Bruta!M1717)))</f>
        <v>MG</v>
      </c>
      <c r="O1717" s="4" t="str">
        <f aca="false">IF($A1717="","",_xlfn.XLOOKUP(LOWER(TRIM(Base_Bruta!N1717)),DePara_Pais!$A$2:$A$9,DePara_Pais!$B$2:$B$9,"REVISAR"))</f>
        <v>Brasil</v>
      </c>
      <c r="P1717" s="4" t="str">
        <f aca="false">IF($A1717="","",IF(O1717&lt;&gt;"Brasil","Turista Internacional",IF(M1717=F1717,"Local","Turista Nacional")))</f>
        <v>Local</v>
      </c>
      <c r="Q1717" s="7" t="n">
        <f aca="false">IF($A1717="","",DATE(YEAR(B1717),MONTH(B1717),1))</f>
        <v>45839</v>
      </c>
      <c r="R1717" s="4" t="str">
        <f aca="false">IF($A1717="","",IF(COUNTIF($A$2:$A1717,$A1717)&gt;1,"Sim","Não"))</f>
        <v>Não</v>
      </c>
      <c r="S1717" s="4" t="str">
        <f aca="false">IF(A1717="","Descartar - Linha vazia",IF(R1717="Sim","Descartar - Duplicado",IF(OR(H1717&lt;=0,I1717&lt;=0),"Descartar - Qtd/Valor inválido","OK")))</f>
        <v>OK</v>
      </c>
      <c r="T1717" s="4" t="str">
        <f aca="false">Base_Bruta!P1717</f>
        <v>vendas_MG.csv</v>
      </c>
    </row>
    <row r="1718" customFormat="false" ht="15" hidden="false" customHeight="false" outlineLevel="0" collapsed="false">
      <c r="A1718" s="4" t="str">
        <f aca="false">IF(Base_Bruta!A1718="","",Base_Bruta!A1718)</f>
        <v>MG-000037</v>
      </c>
      <c r="B1718" s="5" t="n">
        <f aca="false">IF($A1718="","",IF(ISNUMBER(Base_Bruta!B1718),Base_Bruta!B1718,IF(MID(Base_Bruta!B1718,5,1)="-",DATE(VALUE(LEFT(Base_Bruta!B1718,4)),VALUE(MID(Base_Bruta!B1718,6,2)),VALUE(RIGHT(Base_Bruta!B1718,2))),DATE(VALUE(RIGHT(Base_Bruta!B1718,4)),VALUE(MID(Base_Bruta!B1718,4,2)),VALUE(LEFT(Base_Bruta!B1718,2))))))</f>
        <v>45856</v>
      </c>
      <c r="C1718" s="5" t="n">
        <f aca="false">IF($A1718="","",IF(ISNUMBER(Base_Bruta!C1718),Base_Bruta!C1718,IF(MID(Base_Bruta!C1718,5,1)="-",DATE(VALUE(LEFT(Base_Bruta!C1718,4)),VALUE(MID(Base_Bruta!C1718,6,2)),VALUE(RIGHT(Base_Bruta!C1718,2))),DATE(VALUE(RIGHT(Base_Bruta!C1718,4)),VALUE(MID(Base_Bruta!C1718,4,2)),VALUE(LEFT(Base_Bruta!C1718,2))))))</f>
        <v>45892</v>
      </c>
      <c r="D1718" s="4" t="str">
        <f aca="false">IF($A1718="","",TRIM(Base_Bruta!D1718))</f>
        <v>Festival Montanhas BH 2025</v>
      </c>
      <c r="E1718" s="4" t="str">
        <f aca="false">IF($A1718="","",_xlfn.XLOOKUP(LOWER(TRIM(Base_Bruta!E1718)),DePara_Categoria!$A$2:$A$9,DePara_Categoria!$B$2:$B$9,"REVISAR"))</f>
        <v>Festival</v>
      </c>
      <c r="F1718" s="4" t="str">
        <f aca="false">IF($A1718="","",_xlfn.XLOOKUP(LOWER(TRIM(Base_Bruta!F1718)),DePara_Cidade!$A$2:$A$29,DePara_Cidade!$B$2:$B$29,"REVISAR"))</f>
        <v>Belo Horizonte</v>
      </c>
      <c r="G1718" s="4" t="str">
        <f aca="false">IF($A1718="","",TRIM(Base_Bruta!G1718))</f>
        <v>Inteira</v>
      </c>
      <c r="H1718" s="4" t="n">
        <f aca="false">IF($A1718="","",IF(ISNUMBER(Base_Bruta!H1718),Base_Bruta!H1718,IFERROR(_xlfn.NUMBERVALUE(TRIM(SUBSTITUTE(Base_Bruta!H1718,"R$","")),",","."),0)))</f>
        <v>3</v>
      </c>
      <c r="I1718" s="6" t="n">
        <f aca="false">IF($A1718="","",IF(ISNUMBER(Base_Bruta!I1718),Base_Bruta!I1718,IFERROR(_xlfn.NUMBERVALUE(TRIM(SUBSTITUTE(Base_Bruta!I1718,"R$","")),",","."),0)))</f>
        <v>695</v>
      </c>
      <c r="J1718" s="6" t="n">
        <f aca="false">IF($A1718="","",H1718*I1718)</f>
        <v>2085</v>
      </c>
      <c r="K1718" s="4" t="str">
        <f aca="false">IF($A1718="","",TRIM(Base_Bruta!J1718))</f>
        <v>Site</v>
      </c>
      <c r="L1718" s="4" t="str">
        <f aca="false">IF($A1718="","",TRIM(Base_Bruta!K1718))</f>
        <v>C01731</v>
      </c>
      <c r="M1718" s="4" t="str">
        <f aca="false">IF($A1718="","",_xlfn.XLOOKUP(LOWER(TRIM(Base_Bruta!L1718)),DePara_Cidade!$A$2:$A$29,DePara_Cidade!$B$2:$B$29,"REVISAR"))</f>
        <v>Belo Horizonte</v>
      </c>
      <c r="N1718" s="4" t="str">
        <f aca="false">IF($A1718="","",UPPER(TRIM(Base_Bruta!M1718)))</f>
        <v>MG</v>
      </c>
      <c r="O1718" s="4" t="str">
        <f aca="false">IF($A1718="","",_xlfn.XLOOKUP(LOWER(TRIM(Base_Bruta!N1718)),DePara_Pais!$A$2:$A$9,DePara_Pais!$B$2:$B$9,"REVISAR"))</f>
        <v>Brasil</v>
      </c>
      <c r="P1718" s="4" t="str">
        <f aca="false">IF($A1718="","",IF(O1718&lt;&gt;"Brasil","Turista Internacional",IF(M1718=F1718,"Local","Turista Nacional")))</f>
        <v>Local</v>
      </c>
      <c r="Q1718" s="7" t="n">
        <f aca="false">IF($A1718="","",DATE(YEAR(B1718),MONTH(B1718),1))</f>
        <v>45839</v>
      </c>
      <c r="R1718" s="4" t="str">
        <f aca="false">IF($A1718="","",IF(COUNTIF($A$2:$A1718,$A1718)&gt;1,"Sim","Não"))</f>
        <v>Não</v>
      </c>
      <c r="S1718" s="4" t="str">
        <f aca="false">IF(A1718="","Descartar - Linha vazia",IF(R1718="Sim","Descartar - Duplicado",IF(OR(H1718&lt;=0,I1718&lt;=0),"Descartar - Qtd/Valor inválido","OK")))</f>
        <v>OK</v>
      </c>
      <c r="T1718" s="4" t="str">
        <f aca="false">Base_Bruta!P1718</f>
        <v>vendas_MG.csv</v>
      </c>
    </row>
    <row r="1719" customFormat="false" ht="15" hidden="false" customHeight="false" outlineLevel="0" collapsed="false">
      <c r="A1719" s="4" t="str">
        <f aca="false">IF(Base_Bruta!A1719="","",Base_Bruta!A1719)</f>
        <v>MG-000117</v>
      </c>
      <c r="B1719" s="5" t="n">
        <f aca="false">IF($A1719="","",IF(ISNUMBER(Base_Bruta!B1719),Base_Bruta!B1719,IF(MID(Base_Bruta!B1719,5,1)="-",DATE(VALUE(LEFT(Base_Bruta!B1719,4)),VALUE(MID(Base_Bruta!B1719,6,2)),VALUE(RIGHT(Base_Bruta!B1719,2))),DATE(VALUE(RIGHT(Base_Bruta!B1719,4)),VALUE(MID(Base_Bruta!B1719,4,2)),VALUE(LEFT(Base_Bruta!B1719,2))))))</f>
        <v>45842</v>
      </c>
      <c r="C1719" s="5" t="n">
        <f aca="false">IF($A1719="","",IF(ISNUMBER(Base_Bruta!C1719),Base_Bruta!C1719,IF(MID(Base_Bruta!C1719,5,1)="-",DATE(VALUE(LEFT(Base_Bruta!C1719,4)),VALUE(MID(Base_Bruta!C1719,6,2)),VALUE(RIGHT(Base_Bruta!C1719,2))),DATE(VALUE(RIGHT(Base_Bruta!C1719,4)),VALUE(MID(Base_Bruta!C1719,4,2)),VALUE(LEFT(Base_Bruta!C1719,2))))))</f>
        <v>45892</v>
      </c>
      <c r="D1719" s="4" t="str">
        <f aca="false">IF($A1719="","",TRIM(Base_Bruta!D1719))</f>
        <v>Festival Montanhas BH 2025</v>
      </c>
      <c r="E1719" s="4" t="str">
        <f aca="false">IF($A1719="","",_xlfn.XLOOKUP(LOWER(TRIM(Base_Bruta!E1719)),DePara_Categoria!$A$2:$A$9,DePara_Categoria!$B$2:$B$9,"REVISAR"))</f>
        <v>Festival</v>
      </c>
      <c r="F1719" s="4" t="str">
        <f aca="false">IF($A1719="","",_xlfn.XLOOKUP(LOWER(TRIM(Base_Bruta!F1719)),DePara_Cidade!$A$2:$A$29,DePara_Cidade!$B$2:$B$29,"REVISAR"))</f>
        <v>Belo Horizonte</v>
      </c>
      <c r="G1719" s="4" t="str">
        <f aca="false">IF($A1719="","",TRIM(Base_Bruta!G1719))</f>
        <v>Meia</v>
      </c>
      <c r="H1719" s="4" t="n">
        <f aca="false">IF($A1719="","",IF(ISNUMBER(Base_Bruta!H1719),Base_Bruta!H1719,IFERROR(_xlfn.NUMBERVALUE(TRIM(SUBSTITUTE(Base_Bruta!H1719,"R$","")),",","."),0)))</f>
        <v>1</v>
      </c>
      <c r="I1719" s="6" t="n">
        <f aca="false">IF($A1719="","",IF(ISNUMBER(Base_Bruta!I1719),Base_Bruta!I1719,IFERROR(_xlfn.NUMBERVALUE(TRIM(SUBSTITUTE(Base_Bruta!I1719,"R$","")),",","."),0)))</f>
        <v>502.5</v>
      </c>
      <c r="J1719" s="6" t="n">
        <f aca="false">IF($A1719="","",H1719*I1719)</f>
        <v>502.5</v>
      </c>
      <c r="K1719" s="4" t="str">
        <f aca="false">IF($A1719="","",TRIM(Base_Bruta!J1719))</f>
        <v>Parceiro</v>
      </c>
      <c r="L1719" s="4" t="str">
        <f aca="false">IF($A1719="","",TRIM(Base_Bruta!K1719))</f>
        <v>C01346</v>
      </c>
      <c r="M1719" s="4" t="str">
        <f aca="false">IF($A1719="","",_xlfn.XLOOKUP(LOWER(TRIM(Base_Bruta!L1719)),DePara_Cidade!$A$2:$A$29,DePara_Cidade!$B$2:$B$29,"REVISAR"))</f>
        <v>Buenos Aires</v>
      </c>
      <c r="N1719" s="4" t="str">
        <f aca="false">IF($A1719="","",UPPER(TRIM(Base_Bruta!M1719)))</f>
        <v>EX</v>
      </c>
      <c r="O1719" s="4" t="str">
        <f aca="false">IF($A1719="","",_xlfn.XLOOKUP(LOWER(TRIM(Base_Bruta!N1719)),DePara_Pais!$A$2:$A$9,DePara_Pais!$B$2:$B$9,"REVISAR"))</f>
        <v>Argentina</v>
      </c>
      <c r="P1719" s="4" t="str">
        <f aca="false">IF($A1719="","",IF(O1719&lt;&gt;"Brasil","Turista Internacional",IF(M1719=F1719,"Local","Turista Nacional")))</f>
        <v>Turista Internacional</v>
      </c>
      <c r="Q1719" s="7" t="n">
        <f aca="false">IF($A1719="","",DATE(YEAR(B1719),MONTH(B1719),1))</f>
        <v>45839</v>
      </c>
      <c r="R1719" s="4" t="str">
        <f aca="false">IF($A1719="","",IF(COUNTIF($A$2:$A1719,$A1719)&gt;1,"Sim","Não"))</f>
        <v>Sim</v>
      </c>
      <c r="S1719" s="4" t="str">
        <f aca="false">IF(A1719="","Descartar - Linha vazia",IF(R1719="Sim","Descartar - Duplicado",IF(OR(H1719&lt;=0,I1719&lt;=0),"Descartar - Qtd/Valor inválido","OK")))</f>
        <v>Descartar - Duplicado</v>
      </c>
      <c r="T1719" s="4" t="str">
        <f aca="false">Base_Bruta!P1719</f>
        <v>vendas_MG.csv</v>
      </c>
    </row>
    <row r="1720" customFormat="false" ht="15" hidden="false" customHeight="false" outlineLevel="0" collapsed="false">
      <c r="A1720" s="4" t="str">
        <f aca="false">IF(Base_Bruta!A1720="","",Base_Bruta!A1720)</f>
        <v>MG-000054</v>
      </c>
      <c r="B1720" s="5" t="n">
        <f aca="false">IF($A1720="","",IF(ISNUMBER(Base_Bruta!B1720),Base_Bruta!B1720,IF(MID(Base_Bruta!B1720,5,1)="-",DATE(VALUE(LEFT(Base_Bruta!B1720,4)),VALUE(MID(Base_Bruta!B1720,6,2)),VALUE(RIGHT(Base_Bruta!B1720,2))),DATE(VALUE(RIGHT(Base_Bruta!B1720,4)),VALUE(MID(Base_Bruta!B1720,4,2)),VALUE(LEFT(Base_Bruta!B1720,2))))))</f>
        <v>45857</v>
      </c>
      <c r="C1720" s="5" t="n">
        <f aca="false">IF($A1720="","",IF(ISNUMBER(Base_Bruta!C1720),Base_Bruta!C1720,IF(MID(Base_Bruta!C1720,5,1)="-",DATE(VALUE(LEFT(Base_Bruta!C1720,4)),VALUE(MID(Base_Bruta!C1720,6,2)),VALUE(RIGHT(Base_Bruta!C1720,2))),DATE(VALUE(RIGHT(Base_Bruta!C1720,4)),VALUE(MID(Base_Bruta!C1720,4,2)),VALUE(LEFT(Base_Bruta!C1720,2))))))</f>
        <v>45892</v>
      </c>
      <c r="D1720" s="4" t="str">
        <f aca="false">IF($A1720="","",TRIM(Base_Bruta!D1720))</f>
        <v>Festival Montanhas BH 2025</v>
      </c>
      <c r="E1720" s="4" t="str">
        <f aca="false">IF($A1720="","",_xlfn.XLOOKUP(LOWER(TRIM(Base_Bruta!E1720)),DePara_Categoria!$A$2:$A$9,DePara_Categoria!$B$2:$B$9,"REVISAR"))</f>
        <v>Festival</v>
      </c>
      <c r="F1720" s="4" t="str">
        <f aca="false">IF($A1720="","",_xlfn.XLOOKUP(LOWER(TRIM(Base_Bruta!F1720)),DePara_Cidade!$A$2:$A$29,DePara_Cidade!$B$2:$B$29,"REVISAR"))</f>
        <v>Belo Horizonte</v>
      </c>
      <c r="G1720" s="4" t="str">
        <f aca="false">IF($A1720="","",TRIM(Base_Bruta!G1720))</f>
        <v>Inteira</v>
      </c>
      <c r="H1720" s="4" t="n">
        <f aca="false">IF($A1720="","",IF(ISNUMBER(Base_Bruta!H1720),Base_Bruta!H1720,IFERROR(_xlfn.NUMBERVALUE(TRIM(SUBSTITUTE(Base_Bruta!H1720,"R$","")),",","."),0)))</f>
        <v>1</v>
      </c>
      <c r="I1720" s="6" t="n">
        <f aca="false">IF($A1720="","",IF(ISNUMBER(Base_Bruta!I1720),Base_Bruta!I1720,IFERROR(_xlfn.NUMBERVALUE(TRIM(SUBSTITUTE(Base_Bruta!I1720,"R$","")),",","."),0)))</f>
        <v>1095</v>
      </c>
      <c r="J1720" s="6" t="n">
        <f aca="false">IF($A1720="","",H1720*I1720)</f>
        <v>1095</v>
      </c>
      <c r="K1720" s="4" t="str">
        <f aca="false">IF($A1720="","",TRIM(Base_Bruta!J1720))</f>
        <v>Parceiro</v>
      </c>
      <c r="L1720" s="4" t="str">
        <f aca="false">IF($A1720="","",TRIM(Base_Bruta!K1720))</f>
        <v>C02043</v>
      </c>
      <c r="M1720" s="4" t="str">
        <f aca="false">IF($A1720="","",_xlfn.XLOOKUP(LOWER(TRIM(Base_Bruta!L1720)),DePara_Cidade!$A$2:$A$29,DePara_Cidade!$B$2:$B$29,"REVISAR"))</f>
        <v>Belo Horizonte</v>
      </c>
      <c r="N1720" s="4" t="str">
        <f aca="false">IF($A1720="","",UPPER(TRIM(Base_Bruta!M1720)))</f>
        <v>MG</v>
      </c>
      <c r="O1720" s="4" t="str">
        <f aca="false">IF($A1720="","",_xlfn.XLOOKUP(LOWER(TRIM(Base_Bruta!N1720)),DePara_Pais!$A$2:$A$9,DePara_Pais!$B$2:$B$9,"REVISAR"))</f>
        <v>Brasil</v>
      </c>
      <c r="P1720" s="4" t="str">
        <f aca="false">IF($A1720="","",IF(O1720&lt;&gt;"Brasil","Turista Internacional",IF(M1720=F1720,"Local","Turista Nacional")))</f>
        <v>Local</v>
      </c>
      <c r="Q1720" s="7" t="n">
        <f aca="false">IF($A1720="","",DATE(YEAR(B1720),MONTH(B1720),1))</f>
        <v>45839</v>
      </c>
      <c r="R1720" s="4" t="str">
        <f aca="false">IF($A1720="","",IF(COUNTIF($A$2:$A1720,$A1720)&gt;1,"Sim","Não"))</f>
        <v>Não</v>
      </c>
      <c r="S1720" s="4" t="str">
        <f aca="false">IF(A1720="","Descartar - Linha vazia",IF(R1720="Sim","Descartar - Duplicado",IF(OR(H1720&lt;=0,I1720&lt;=0),"Descartar - Qtd/Valor inválido","OK")))</f>
        <v>OK</v>
      </c>
      <c r="T1720" s="4" t="str">
        <f aca="false">Base_Bruta!P1720</f>
        <v>vendas_MG.csv</v>
      </c>
    </row>
    <row r="1721" customFormat="false" ht="15" hidden="false" customHeight="false" outlineLevel="0" collapsed="false">
      <c r="A1721" s="4" t="str">
        <f aca="false">IF(Base_Bruta!A1721="","",Base_Bruta!A1721)</f>
        <v>MG-000388</v>
      </c>
      <c r="B1721" s="5" t="n">
        <f aca="false">IF($A1721="","",IF(ISNUMBER(Base_Bruta!B1721),Base_Bruta!B1721,IF(MID(Base_Bruta!B1721,5,1)="-",DATE(VALUE(LEFT(Base_Bruta!B1721,4)),VALUE(MID(Base_Bruta!B1721,6,2)),VALUE(RIGHT(Base_Bruta!B1721,2))),DATE(VALUE(RIGHT(Base_Bruta!B1721,4)),VALUE(MID(Base_Bruta!B1721,4,2)),VALUE(LEFT(Base_Bruta!B1721,2))))))</f>
        <v>45858</v>
      </c>
      <c r="C1721" s="5" t="n">
        <f aca="false">IF($A1721="","",IF(ISNUMBER(Base_Bruta!C1721),Base_Bruta!C1721,IF(MID(Base_Bruta!C1721,5,1)="-",DATE(VALUE(LEFT(Base_Bruta!C1721,4)),VALUE(MID(Base_Bruta!C1721,6,2)),VALUE(RIGHT(Base_Bruta!C1721,2))),DATE(VALUE(RIGHT(Base_Bruta!C1721,4)),VALUE(MID(Base_Bruta!C1721,4,2)),VALUE(LEFT(Base_Bruta!C1721,2))))))</f>
        <v>45859</v>
      </c>
      <c r="D1721" s="4" t="str">
        <f aca="false">IF($A1721="","",TRIM(Base_Bruta!D1721))</f>
        <v>Cinema Savassi - Sessões</v>
      </c>
      <c r="E1721" s="4" t="str">
        <f aca="false">IF($A1721="","",_xlfn.XLOOKUP(LOWER(TRIM(Base_Bruta!E1721)),DePara_Categoria!$A$2:$A$9,DePara_Categoria!$B$2:$B$9,"REVISAR"))</f>
        <v>Cinema</v>
      </c>
      <c r="F1721" s="4" t="str">
        <f aca="false">IF($A1721="","",_xlfn.XLOOKUP(LOWER(TRIM(Base_Bruta!F1721)),DePara_Cidade!$A$2:$A$29,DePara_Cidade!$B$2:$B$29,"REVISAR"))</f>
        <v>Belo Horizonte</v>
      </c>
      <c r="G1721" s="4" t="str">
        <f aca="false">IF($A1721="","",TRIM(Base_Bruta!G1721))</f>
        <v>Meia</v>
      </c>
      <c r="H1721" s="4" t="n">
        <f aca="false">IF($A1721="","",IF(ISNUMBER(Base_Bruta!H1721),Base_Bruta!H1721,IFERROR(_xlfn.NUMBERVALUE(TRIM(SUBSTITUTE(Base_Bruta!H1721,"R$","")),",","."),0)))</f>
        <v>1</v>
      </c>
      <c r="I1721" s="6" t="n">
        <f aca="false">IF($A1721="","",IF(ISNUMBER(Base_Bruta!I1721),Base_Bruta!I1721,IFERROR(_xlfn.NUMBERVALUE(TRIM(SUBSTITUTE(Base_Bruta!I1721,"R$","")),",","."),0)))</f>
        <v>20</v>
      </c>
      <c r="J1721" s="6" t="n">
        <f aca="false">IF($A1721="","",H1721*I1721)</f>
        <v>20</v>
      </c>
      <c r="K1721" s="4" t="str">
        <f aca="false">IF($A1721="","",TRIM(Base_Bruta!J1721))</f>
        <v>App</v>
      </c>
      <c r="L1721" s="4" t="str">
        <f aca="false">IF($A1721="","",TRIM(Base_Bruta!K1721))</f>
        <v>C02048</v>
      </c>
      <c r="M1721" s="4" t="str">
        <f aca="false">IF($A1721="","",_xlfn.XLOOKUP(LOWER(TRIM(Base_Bruta!L1721)),DePara_Cidade!$A$2:$A$29,DePara_Cidade!$B$2:$B$29,"REVISAR"))</f>
        <v>Belo Horizonte</v>
      </c>
      <c r="N1721" s="4" t="str">
        <f aca="false">IF($A1721="","",UPPER(TRIM(Base_Bruta!M1721)))</f>
        <v>MG</v>
      </c>
      <c r="O1721" s="4" t="str">
        <f aca="false">IF($A1721="","",_xlfn.XLOOKUP(LOWER(TRIM(Base_Bruta!N1721)),DePara_Pais!$A$2:$A$9,DePara_Pais!$B$2:$B$9,"REVISAR"))</f>
        <v>Brasil</v>
      </c>
      <c r="P1721" s="4" t="str">
        <f aca="false">IF($A1721="","",IF(O1721&lt;&gt;"Brasil","Turista Internacional",IF(M1721=F1721,"Local","Turista Nacional")))</f>
        <v>Local</v>
      </c>
      <c r="Q1721" s="7" t="n">
        <f aca="false">IF($A1721="","",DATE(YEAR(B1721),MONTH(B1721),1))</f>
        <v>45839</v>
      </c>
      <c r="R1721" s="4" t="str">
        <f aca="false">IF($A1721="","",IF(COUNTIF($A$2:$A1721,$A1721)&gt;1,"Sim","Não"))</f>
        <v>Não</v>
      </c>
      <c r="S1721" s="4" t="str">
        <f aca="false">IF(A1721="","Descartar - Linha vazia",IF(R1721="Sim","Descartar - Duplicado",IF(OR(H1721&lt;=0,I1721&lt;=0),"Descartar - Qtd/Valor inválido","OK")))</f>
        <v>OK</v>
      </c>
      <c r="T1721" s="4" t="str">
        <f aca="false">Base_Bruta!P1721</f>
        <v>vendas_MG.csv</v>
      </c>
    </row>
    <row r="1722" customFormat="false" ht="15" hidden="false" customHeight="false" outlineLevel="0" collapsed="false">
      <c r="A1722" s="4" t="str">
        <f aca="false">IF(Base_Bruta!A1722="","",Base_Bruta!A1722)</f>
        <v>MG-000084</v>
      </c>
      <c r="B1722" s="5" t="n">
        <f aca="false">IF($A1722="","",IF(ISNUMBER(Base_Bruta!B1722),Base_Bruta!B1722,IF(MID(Base_Bruta!B1722,5,1)="-",DATE(VALUE(LEFT(Base_Bruta!B1722,4)),VALUE(MID(Base_Bruta!B1722,6,2)),VALUE(RIGHT(Base_Bruta!B1722,2))),DATE(VALUE(RIGHT(Base_Bruta!B1722,4)),VALUE(MID(Base_Bruta!B1722,4,2)),VALUE(LEFT(Base_Bruta!B1722,2))))))</f>
        <v>45859</v>
      </c>
      <c r="C1722" s="5" t="n">
        <f aca="false">IF($A1722="","",IF(ISNUMBER(Base_Bruta!C1722),Base_Bruta!C1722,IF(MID(Base_Bruta!C1722,5,1)="-",DATE(VALUE(LEFT(Base_Bruta!C1722,4)),VALUE(MID(Base_Bruta!C1722,6,2)),VALUE(RIGHT(Base_Bruta!C1722,2))),DATE(VALUE(RIGHT(Base_Bruta!C1722,4)),VALUE(MID(Base_Bruta!C1722,4,2)),VALUE(LEFT(Base_Bruta!C1722,2))))))</f>
        <v>45892</v>
      </c>
      <c r="D1722" s="4" t="str">
        <f aca="false">IF($A1722="","",TRIM(Base_Bruta!D1722))</f>
        <v>Festival Montanhas BH 2025</v>
      </c>
      <c r="E1722" s="4" t="str">
        <f aca="false">IF($A1722="","",_xlfn.XLOOKUP(LOWER(TRIM(Base_Bruta!E1722)),DePara_Categoria!$A$2:$A$9,DePara_Categoria!$B$2:$B$9,"REVISAR"))</f>
        <v>Festival</v>
      </c>
      <c r="F1722" s="4" t="str">
        <f aca="false">IF($A1722="","",_xlfn.XLOOKUP(LOWER(TRIM(Base_Bruta!F1722)),DePara_Cidade!$A$2:$A$29,DePara_Cidade!$B$2:$B$29,"REVISAR"))</f>
        <v>Belo Horizonte</v>
      </c>
      <c r="G1722" s="4" t="str">
        <f aca="false">IF($A1722="","",TRIM(Base_Bruta!G1722))</f>
        <v>Meia</v>
      </c>
      <c r="H1722" s="4" t="n">
        <f aca="false">IF($A1722="","",IF(ISNUMBER(Base_Bruta!H1722),Base_Bruta!H1722,IFERROR(_xlfn.NUMBERVALUE(TRIM(SUBSTITUTE(Base_Bruta!H1722,"R$","")),",","."),0)))</f>
        <v>2</v>
      </c>
      <c r="I1722" s="6" t="n">
        <f aca="false">IF($A1722="","",IF(ISNUMBER(Base_Bruta!I1722),Base_Bruta!I1722,IFERROR(_xlfn.NUMBERVALUE(TRIM(SUBSTITUTE(Base_Bruta!I1722,"R$","")),",","."),0)))</f>
        <v>520</v>
      </c>
      <c r="J1722" s="6" t="n">
        <f aca="false">IF($A1722="","",H1722*I1722)</f>
        <v>1040</v>
      </c>
      <c r="K1722" s="4" t="str">
        <f aca="false">IF($A1722="","",TRIM(Base_Bruta!J1722))</f>
        <v>Site</v>
      </c>
      <c r="L1722" s="4" t="str">
        <f aca="false">IF($A1722="","",TRIM(Base_Bruta!K1722))</f>
        <v>C01132</v>
      </c>
      <c r="M1722" s="4" t="str">
        <f aca="false">IF($A1722="","",_xlfn.XLOOKUP(LOWER(TRIM(Base_Bruta!L1722)),DePara_Cidade!$A$2:$A$29,DePara_Cidade!$B$2:$B$29,"REVISAR"))</f>
        <v>Belo Horizonte</v>
      </c>
      <c r="N1722" s="4" t="str">
        <f aca="false">IF($A1722="","",UPPER(TRIM(Base_Bruta!M1722)))</f>
        <v>MG</v>
      </c>
      <c r="O1722" s="4" t="str">
        <f aca="false">IF($A1722="","",_xlfn.XLOOKUP(LOWER(TRIM(Base_Bruta!N1722)),DePara_Pais!$A$2:$A$9,DePara_Pais!$B$2:$B$9,"REVISAR"))</f>
        <v>Brasil</v>
      </c>
      <c r="P1722" s="4" t="str">
        <f aca="false">IF($A1722="","",IF(O1722&lt;&gt;"Brasil","Turista Internacional",IF(M1722=F1722,"Local","Turista Nacional")))</f>
        <v>Local</v>
      </c>
      <c r="Q1722" s="7" t="n">
        <f aca="false">IF($A1722="","",DATE(YEAR(B1722),MONTH(B1722),1))</f>
        <v>45839</v>
      </c>
      <c r="R1722" s="4" t="str">
        <f aca="false">IF($A1722="","",IF(COUNTIF($A$2:$A1722,$A1722)&gt;1,"Sim","Não"))</f>
        <v>Não</v>
      </c>
      <c r="S1722" s="4" t="str">
        <f aca="false">IF(A1722="","Descartar - Linha vazia",IF(R1722="Sim","Descartar - Duplicado",IF(OR(H1722&lt;=0,I1722&lt;=0),"Descartar - Qtd/Valor inválido","OK")))</f>
        <v>OK</v>
      </c>
      <c r="T1722" s="4" t="str">
        <f aca="false">Base_Bruta!P1722</f>
        <v>vendas_MG.csv</v>
      </c>
    </row>
    <row r="1723" customFormat="false" ht="15" hidden="false" customHeight="false" outlineLevel="0" collapsed="false">
      <c r="A1723" s="4" t="str">
        <f aca="false">IF(Base_Bruta!A1723="","",Base_Bruta!A1723)</f>
        <v>MG-000088</v>
      </c>
      <c r="B1723" s="5" t="n">
        <f aca="false">IF($A1723="","",IF(ISNUMBER(Base_Bruta!B1723),Base_Bruta!B1723,IF(MID(Base_Bruta!B1723,5,1)="-",DATE(VALUE(LEFT(Base_Bruta!B1723,4)),VALUE(MID(Base_Bruta!B1723,6,2)),VALUE(RIGHT(Base_Bruta!B1723,2))),DATE(VALUE(RIGHT(Base_Bruta!B1723,4)),VALUE(MID(Base_Bruta!B1723,4,2)),VALUE(LEFT(Base_Bruta!B1723,2))))))</f>
        <v>45859</v>
      </c>
      <c r="C1723" s="5" t="n">
        <f aca="false">IF($A1723="","",IF(ISNUMBER(Base_Bruta!C1723),Base_Bruta!C1723,IF(MID(Base_Bruta!C1723,5,1)="-",DATE(VALUE(LEFT(Base_Bruta!C1723,4)),VALUE(MID(Base_Bruta!C1723,6,2)),VALUE(RIGHT(Base_Bruta!C1723,2))),DATE(VALUE(RIGHT(Base_Bruta!C1723,4)),VALUE(MID(Base_Bruta!C1723,4,2)),VALUE(LEFT(Base_Bruta!C1723,2))))))</f>
        <v>45892</v>
      </c>
      <c r="D1723" s="4" t="str">
        <f aca="false">IF($A1723="","",TRIM(Base_Bruta!D1723))</f>
        <v>Festival Montanhas BH 2025</v>
      </c>
      <c r="E1723" s="4" t="str">
        <f aca="false">IF($A1723="","",_xlfn.XLOOKUP(LOWER(TRIM(Base_Bruta!E1723)),DePara_Categoria!$A$2:$A$9,DePara_Categoria!$B$2:$B$9,"REVISAR"))</f>
        <v>Festival</v>
      </c>
      <c r="F1723" s="4" t="str">
        <f aca="false">IF($A1723="","",_xlfn.XLOOKUP(LOWER(TRIM(Base_Bruta!F1723)),DePara_Cidade!$A$2:$A$29,DePara_Cidade!$B$2:$B$29,"REVISAR"))</f>
        <v>Belo Horizonte</v>
      </c>
      <c r="G1723" s="4" t="str">
        <f aca="false">IF($A1723="","",TRIM(Base_Bruta!G1723))</f>
        <v>Meia</v>
      </c>
      <c r="H1723" s="4" t="n">
        <f aca="false">IF($A1723="","",IF(ISNUMBER(Base_Bruta!H1723),Base_Bruta!H1723,IFERROR(_xlfn.NUMBERVALUE(TRIM(SUBSTITUTE(Base_Bruta!H1723,"R$","")),",","."),0)))</f>
        <v>2</v>
      </c>
      <c r="I1723" s="6" t="n">
        <f aca="false">IF($A1723="","",IF(ISNUMBER(Base_Bruta!I1723),Base_Bruta!I1723,IFERROR(_xlfn.NUMBERVALUE(TRIM(SUBSTITUTE(Base_Bruta!I1723,"R$","")),",","."),0)))</f>
        <v>342.5</v>
      </c>
      <c r="J1723" s="6" t="n">
        <f aca="false">IF($A1723="","",H1723*I1723)</f>
        <v>685</v>
      </c>
      <c r="K1723" s="4" t="str">
        <f aca="false">IF($A1723="","",TRIM(Base_Bruta!J1723))</f>
        <v>Site</v>
      </c>
      <c r="L1723" s="4" t="str">
        <f aca="false">IF($A1723="","",TRIM(Base_Bruta!K1723))</f>
        <v>C00204</v>
      </c>
      <c r="M1723" s="4" t="str">
        <f aca="false">IF($A1723="","",_xlfn.XLOOKUP(LOWER(TRIM(Base_Bruta!L1723)),DePara_Cidade!$A$2:$A$29,DePara_Cidade!$B$2:$B$29,"REVISAR"))</f>
        <v>Salvador</v>
      </c>
      <c r="N1723" s="4" t="str">
        <f aca="false">IF($A1723="","",UPPER(TRIM(Base_Bruta!M1723)))</f>
        <v>BA</v>
      </c>
      <c r="O1723" s="4" t="str">
        <f aca="false">IF($A1723="","",_xlfn.XLOOKUP(LOWER(TRIM(Base_Bruta!N1723)),DePara_Pais!$A$2:$A$9,DePara_Pais!$B$2:$B$9,"REVISAR"))</f>
        <v>Brasil</v>
      </c>
      <c r="P1723" s="4" t="str">
        <f aca="false">IF($A1723="","",IF(O1723&lt;&gt;"Brasil","Turista Internacional",IF(M1723=F1723,"Local","Turista Nacional")))</f>
        <v>Turista Nacional</v>
      </c>
      <c r="Q1723" s="7" t="n">
        <f aca="false">IF($A1723="","",DATE(YEAR(B1723),MONTH(B1723),1))</f>
        <v>45839</v>
      </c>
      <c r="R1723" s="4" t="str">
        <f aca="false">IF($A1723="","",IF(COUNTIF($A$2:$A1723,$A1723)&gt;1,"Sim","Não"))</f>
        <v>Não</v>
      </c>
      <c r="S1723" s="4" t="str">
        <f aca="false">IF(A1723="","Descartar - Linha vazia",IF(R1723="Sim","Descartar - Duplicado",IF(OR(H1723&lt;=0,I1723&lt;=0),"Descartar - Qtd/Valor inválido","OK")))</f>
        <v>OK</v>
      </c>
      <c r="T1723" s="4" t="str">
        <f aca="false">Base_Bruta!P1723</f>
        <v>vendas_MG.csv</v>
      </c>
    </row>
    <row r="1724" customFormat="false" ht="15" hidden="false" customHeight="false" outlineLevel="0" collapsed="false">
      <c r="A1724" s="4" t="str">
        <f aca="false">IF(Base_Bruta!A1724="","",Base_Bruta!A1724)</f>
        <v>MG-000116</v>
      </c>
      <c r="B1724" s="5" t="n">
        <f aca="false">IF($A1724="","",IF(ISNUMBER(Base_Bruta!B1724),Base_Bruta!B1724,IF(MID(Base_Bruta!B1724,5,1)="-",DATE(VALUE(LEFT(Base_Bruta!B1724,4)),VALUE(MID(Base_Bruta!B1724,6,2)),VALUE(RIGHT(Base_Bruta!B1724,2))),DATE(VALUE(RIGHT(Base_Bruta!B1724,4)),VALUE(MID(Base_Bruta!B1724,4,2)),VALUE(LEFT(Base_Bruta!B1724,2))))))</f>
        <v>45860</v>
      </c>
      <c r="C1724" s="5" t="n">
        <f aca="false">IF($A1724="","",IF(ISNUMBER(Base_Bruta!C1724),Base_Bruta!C1724,IF(MID(Base_Bruta!C1724,5,1)="-",DATE(VALUE(LEFT(Base_Bruta!C1724,4)),VALUE(MID(Base_Bruta!C1724,6,2)),VALUE(RIGHT(Base_Bruta!C1724,2))),DATE(VALUE(RIGHT(Base_Bruta!C1724,4)),VALUE(MID(Base_Bruta!C1724,4,2)),VALUE(LEFT(Base_Bruta!C1724,2))))))</f>
        <v>45892</v>
      </c>
      <c r="D1724" s="4" t="str">
        <f aca="false">IF($A1724="","",TRIM(Base_Bruta!D1724))</f>
        <v>Festival Montanhas BH 2025</v>
      </c>
      <c r="E1724" s="4" t="str">
        <f aca="false">IF($A1724="","",_xlfn.XLOOKUP(LOWER(TRIM(Base_Bruta!E1724)),DePara_Categoria!$A$2:$A$9,DePara_Categoria!$B$2:$B$9,"REVISAR"))</f>
        <v>Festival</v>
      </c>
      <c r="F1724" s="4" t="str">
        <f aca="false">IF($A1724="","",_xlfn.XLOOKUP(LOWER(TRIM(Base_Bruta!F1724)),DePara_Cidade!$A$2:$A$29,DePara_Cidade!$B$2:$B$29,"REVISAR"))</f>
        <v>Belo Horizonte</v>
      </c>
      <c r="G1724" s="4" t="str">
        <f aca="false">IF($A1724="","",TRIM(Base_Bruta!G1724))</f>
        <v>Inteira</v>
      </c>
      <c r="H1724" s="4" t="n">
        <f aca="false">IF($A1724="","",IF(ISNUMBER(Base_Bruta!H1724),Base_Bruta!H1724,IFERROR(_xlfn.NUMBERVALUE(TRIM(SUBSTITUTE(Base_Bruta!H1724,"R$","")),",","."),0)))</f>
        <v>2</v>
      </c>
      <c r="I1724" s="6" t="n">
        <f aca="false">IF($A1724="","",IF(ISNUMBER(Base_Bruta!I1724),Base_Bruta!I1724,IFERROR(_xlfn.NUMBERVALUE(TRIM(SUBSTITUTE(Base_Bruta!I1724,"R$","")),",","."),0)))</f>
        <v>1085</v>
      </c>
      <c r="J1724" s="6" t="n">
        <f aca="false">IF($A1724="","",H1724*I1724)</f>
        <v>2170</v>
      </c>
      <c r="K1724" s="4" t="str">
        <f aca="false">IF($A1724="","",TRIM(Base_Bruta!J1724))</f>
        <v>Site</v>
      </c>
      <c r="L1724" s="4" t="str">
        <f aca="false">IF($A1724="","",TRIM(Base_Bruta!K1724))</f>
        <v>C00146</v>
      </c>
      <c r="M1724" s="4" t="str">
        <f aca="false">IF($A1724="","",_xlfn.XLOOKUP(LOWER(TRIM(Base_Bruta!L1724)),DePara_Cidade!$A$2:$A$29,DePara_Cidade!$B$2:$B$29,"REVISAR"))</f>
        <v>Santos</v>
      </c>
      <c r="N1724" s="4" t="str">
        <f aca="false">IF($A1724="","",UPPER(TRIM(Base_Bruta!M1724)))</f>
        <v>SP</v>
      </c>
      <c r="O1724" s="4" t="str">
        <f aca="false">IF($A1724="","",_xlfn.XLOOKUP(LOWER(TRIM(Base_Bruta!N1724)),DePara_Pais!$A$2:$A$9,DePara_Pais!$B$2:$B$9,"REVISAR"))</f>
        <v>Brasil</v>
      </c>
      <c r="P1724" s="4" t="str">
        <f aca="false">IF($A1724="","",IF(O1724&lt;&gt;"Brasil","Turista Internacional",IF(M1724=F1724,"Local","Turista Nacional")))</f>
        <v>Turista Nacional</v>
      </c>
      <c r="Q1724" s="7" t="n">
        <f aca="false">IF($A1724="","",DATE(YEAR(B1724),MONTH(B1724),1))</f>
        <v>45839</v>
      </c>
      <c r="R1724" s="4" t="str">
        <f aca="false">IF($A1724="","",IF(COUNTIF($A$2:$A1724,$A1724)&gt;1,"Sim","Não"))</f>
        <v>Não</v>
      </c>
      <c r="S1724" s="4" t="str">
        <f aca="false">IF(A1724="","Descartar - Linha vazia",IF(R1724="Sim","Descartar - Duplicado",IF(OR(H1724&lt;=0,I1724&lt;=0),"Descartar - Qtd/Valor inválido","OK")))</f>
        <v>OK</v>
      </c>
      <c r="T1724" s="4" t="str">
        <f aca="false">Base_Bruta!P1724</f>
        <v>vendas_MG.csv</v>
      </c>
    </row>
    <row r="1725" customFormat="false" ht="15" hidden="false" customHeight="false" outlineLevel="0" collapsed="false">
      <c r="A1725" s="4" t="str">
        <f aca="false">IF(Base_Bruta!A1725="","",Base_Bruta!A1725)</f>
        <v>MG-000508</v>
      </c>
      <c r="B1725" s="5" t="n">
        <f aca="false">IF($A1725="","",IF(ISNUMBER(Base_Bruta!B1725),Base_Bruta!B1725,IF(MID(Base_Bruta!B1725,5,1)="-",DATE(VALUE(LEFT(Base_Bruta!B1725,4)),VALUE(MID(Base_Bruta!B1725,6,2)),VALUE(RIGHT(Base_Bruta!B1725,2))),DATE(VALUE(RIGHT(Base_Bruta!B1725,4)),VALUE(MID(Base_Bruta!B1725,4,2)),VALUE(LEFT(Base_Bruta!B1725,2))))))</f>
        <v>45860</v>
      </c>
      <c r="C1725" s="5" t="n">
        <f aca="false">IF($A1725="","",IF(ISNUMBER(Base_Bruta!C1725),Base_Bruta!C1725,IF(MID(Base_Bruta!C1725,5,1)="-",DATE(VALUE(LEFT(Base_Bruta!C1725,4)),VALUE(MID(Base_Bruta!C1725,6,2)),VALUE(RIGHT(Base_Bruta!C1725,2))),DATE(VALUE(RIGHT(Base_Bruta!C1725,4)),VALUE(MID(Base_Bruta!C1725,4,2)),VALUE(LEFT(Base_Bruta!C1725,2))))))</f>
        <v>45862</v>
      </c>
      <c r="D1725" s="4" t="str">
        <f aca="false">IF($A1725="","",TRIM(Base_Bruta!D1725))</f>
        <v>Cinema Savassi - Sessões</v>
      </c>
      <c r="E1725" s="4" t="str">
        <f aca="false">IF($A1725="","",_xlfn.XLOOKUP(LOWER(TRIM(Base_Bruta!E1725)),DePara_Categoria!$A$2:$A$9,DePara_Categoria!$B$2:$B$9,"REVISAR"))</f>
        <v>Cinema</v>
      </c>
      <c r="F1725" s="4" t="str">
        <f aca="false">IF($A1725="","",_xlfn.XLOOKUP(LOWER(TRIM(Base_Bruta!F1725)),DePara_Cidade!$A$2:$A$29,DePara_Cidade!$B$2:$B$29,"REVISAR"))</f>
        <v>Belo Horizonte</v>
      </c>
      <c r="G1725" s="4" t="str">
        <f aca="false">IF($A1725="","",TRIM(Base_Bruta!G1725))</f>
        <v>Inteira</v>
      </c>
      <c r="H1725" s="4" t="n">
        <f aca="false">IF($A1725="","",IF(ISNUMBER(Base_Bruta!H1725),Base_Bruta!H1725,IFERROR(_xlfn.NUMBERVALUE(TRIM(SUBSTITUTE(Base_Bruta!H1725,"R$","")),",","."),0)))</f>
        <v>2</v>
      </c>
      <c r="I1725" s="6" t="n">
        <f aca="false">IF($A1725="","",IF(ISNUMBER(Base_Bruta!I1725),Base_Bruta!I1725,IFERROR(_xlfn.NUMBERVALUE(TRIM(SUBSTITUTE(Base_Bruta!I1725,"R$","")),",","."),0)))</f>
        <v>40</v>
      </c>
      <c r="J1725" s="6" t="n">
        <f aca="false">IF($A1725="","",H1725*I1725)</f>
        <v>80</v>
      </c>
      <c r="K1725" s="4" t="str">
        <f aca="false">IF($A1725="","",TRIM(Base_Bruta!J1725))</f>
        <v>Site</v>
      </c>
      <c r="L1725" s="4" t="str">
        <f aca="false">IF($A1725="","",TRIM(Base_Bruta!K1725))</f>
        <v>C00945</v>
      </c>
      <c r="M1725" s="4" t="str">
        <f aca="false">IF($A1725="","",_xlfn.XLOOKUP(LOWER(TRIM(Base_Bruta!L1725)),DePara_Cidade!$A$2:$A$29,DePara_Cidade!$B$2:$B$29,"REVISAR"))</f>
        <v>Belo Horizonte</v>
      </c>
      <c r="N1725" s="4" t="str">
        <f aca="false">IF($A1725="","",UPPER(TRIM(Base_Bruta!M1725)))</f>
        <v>MG</v>
      </c>
      <c r="O1725" s="4" t="str">
        <f aca="false">IF($A1725="","",_xlfn.XLOOKUP(LOWER(TRIM(Base_Bruta!N1725)),DePara_Pais!$A$2:$A$9,DePara_Pais!$B$2:$B$9,"REVISAR"))</f>
        <v>Brasil</v>
      </c>
      <c r="P1725" s="4" t="str">
        <f aca="false">IF($A1725="","",IF(O1725&lt;&gt;"Brasil","Turista Internacional",IF(M1725=F1725,"Local","Turista Nacional")))</f>
        <v>Local</v>
      </c>
      <c r="Q1725" s="7" t="n">
        <f aca="false">IF($A1725="","",DATE(YEAR(B1725),MONTH(B1725),1))</f>
        <v>45839</v>
      </c>
      <c r="R1725" s="4" t="str">
        <f aca="false">IF($A1725="","",IF(COUNTIF($A$2:$A1725,$A1725)&gt;1,"Sim","Não"))</f>
        <v>Não</v>
      </c>
      <c r="S1725" s="4" t="str">
        <f aca="false">IF(A1725="","Descartar - Linha vazia",IF(R1725="Sim","Descartar - Duplicado",IF(OR(H1725&lt;=0,I1725&lt;=0),"Descartar - Qtd/Valor inválido","OK")))</f>
        <v>OK</v>
      </c>
      <c r="T1725" s="4" t="str">
        <f aca="false">Base_Bruta!P1725</f>
        <v>vendas_MG.csv</v>
      </c>
    </row>
    <row r="1726" customFormat="false" ht="15" hidden="false" customHeight="false" outlineLevel="0" collapsed="false">
      <c r="A1726" s="4" t="str">
        <f aca="false">IF(Base_Bruta!A1726="","",Base_Bruta!A1726)</f>
        <v>MG-000058</v>
      </c>
      <c r="B1726" s="5" t="n">
        <f aca="false">IF($A1726="","",IF(ISNUMBER(Base_Bruta!B1726),Base_Bruta!B1726,IF(MID(Base_Bruta!B1726,5,1)="-",DATE(VALUE(LEFT(Base_Bruta!B1726,4)),VALUE(MID(Base_Bruta!B1726,6,2)),VALUE(RIGHT(Base_Bruta!B1726,2))),DATE(VALUE(RIGHT(Base_Bruta!B1726,4)),VALUE(MID(Base_Bruta!B1726,4,2)),VALUE(LEFT(Base_Bruta!B1726,2))))))</f>
        <v>45862</v>
      </c>
      <c r="C1726" s="5" t="n">
        <f aca="false">IF($A1726="","",IF(ISNUMBER(Base_Bruta!C1726),Base_Bruta!C1726,IF(MID(Base_Bruta!C1726,5,1)="-",DATE(VALUE(LEFT(Base_Bruta!C1726,4)),VALUE(MID(Base_Bruta!C1726,6,2)),VALUE(RIGHT(Base_Bruta!C1726,2))),DATE(VALUE(RIGHT(Base_Bruta!C1726,4)),VALUE(MID(Base_Bruta!C1726,4,2)),VALUE(LEFT(Base_Bruta!C1726,2))))))</f>
        <v>45892</v>
      </c>
      <c r="D1726" s="4" t="str">
        <f aca="false">IF($A1726="","",TRIM(Base_Bruta!D1726))</f>
        <v>Festival Montanhas BH 2025</v>
      </c>
      <c r="E1726" s="4" t="str">
        <f aca="false">IF($A1726="","",_xlfn.XLOOKUP(LOWER(TRIM(Base_Bruta!E1726)),DePara_Categoria!$A$2:$A$9,DePara_Categoria!$B$2:$B$9,"REVISAR"))</f>
        <v>Festival</v>
      </c>
      <c r="F1726" s="4" t="str">
        <f aca="false">IF($A1726="","",_xlfn.XLOOKUP(LOWER(TRIM(Base_Bruta!F1726)),DePara_Cidade!$A$2:$A$29,DePara_Cidade!$B$2:$B$29,"REVISAR"))</f>
        <v>Belo Horizonte</v>
      </c>
      <c r="G1726" s="4" t="str">
        <f aca="false">IF($A1726="","",TRIM(Base_Bruta!G1726))</f>
        <v>Inteira</v>
      </c>
      <c r="H1726" s="4" t="n">
        <f aca="false">IF($A1726="","",IF(ISNUMBER(Base_Bruta!H1726),Base_Bruta!H1726,IFERROR(_xlfn.NUMBERVALUE(TRIM(SUBSTITUTE(Base_Bruta!H1726,"R$","")),",","."),0)))</f>
        <v>2</v>
      </c>
      <c r="I1726" s="6" t="n">
        <f aca="false">IF($A1726="","",IF(ISNUMBER(Base_Bruta!I1726),Base_Bruta!I1726,IFERROR(_xlfn.NUMBERVALUE(TRIM(SUBSTITUTE(Base_Bruta!I1726,"R$","")),",","."),0)))</f>
        <v>945</v>
      </c>
      <c r="J1726" s="6" t="n">
        <f aca="false">IF($A1726="","",H1726*I1726)</f>
        <v>1890</v>
      </c>
      <c r="K1726" s="4" t="str">
        <f aca="false">IF($A1726="","",TRIM(Base_Bruta!J1726))</f>
        <v>Site</v>
      </c>
      <c r="L1726" s="4" t="str">
        <f aca="false">IF($A1726="","",TRIM(Base_Bruta!K1726))</f>
        <v>C01536</v>
      </c>
      <c r="M1726" s="4" t="str">
        <f aca="false">IF($A1726="","",_xlfn.XLOOKUP(LOWER(TRIM(Base_Bruta!L1726)),DePara_Cidade!$A$2:$A$29,DePara_Cidade!$B$2:$B$29,"REVISAR"))</f>
        <v>Porto Alegre</v>
      </c>
      <c r="N1726" s="4" t="str">
        <f aca="false">IF($A1726="","",UPPER(TRIM(Base_Bruta!M1726)))</f>
        <v>RS</v>
      </c>
      <c r="O1726" s="4" t="str">
        <f aca="false">IF($A1726="","",_xlfn.XLOOKUP(LOWER(TRIM(Base_Bruta!N1726)),DePara_Pais!$A$2:$A$9,DePara_Pais!$B$2:$B$9,"REVISAR"))</f>
        <v>Brasil</v>
      </c>
      <c r="P1726" s="4" t="str">
        <f aca="false">IF($A1726="","",IF(O1726&lt;&gt;"Brasil","Turista Internacional",IF(M1726=F1726,"Local","Turista Nacional")))</f>
        <v>Turista Nacional</v>
      </c>
      <c r="Q1726" s="7" t="n">
        <f aca="false">IF($A1726="","",DATE(YEAR(B1726),MONTH(B1726),1))</f>
        <v>45839</v>
      </c>
      <c r="R1726" s="4" t="str">
        <f aca="false">IF($A1726="","",IF(COUNTIF($A$2:$A1726,$A1726)&gt;1,"Sim","Não"))</f>
        <v>Não</v>
      </c>
      <c r="S1726" s="4" t="str">
        <f aca="false">IF(A1726="","Descartar - Linha vazia",IF(R1726="Sim","Descartar - Duplicado",IF(OR(H1726&lt;=0,I1726&lt;=0),"Descartar - Qtd/Valor inválido","OK")))</f>
        <v>OK</v>
      </c>
      <c r="T1726" s="4" t="str">
        <f aca="false">Base_Bruta!P1726</f>
        <v>vendas_MG.csv</v>
      </c>
    </row>
    <row r="1727" customFormat="false" ht="15" hidden="false" customHeight="false" outlineLevel="0" collapsed="false">
      <c r="A1727" s="4" t="str">
        <f aca="false">IF(Base_Bruta!A1727="","",Base_Bruta!A1727)</f>
        <v>MG-000066</v>
      </c>
      <c r="B1727" s="5" t="n">
        <f aca="false">IF($A1727="","",IF(ISNUMBER(Base_Bruta!B1727),Base_Bruta!B1727,IF(MID(Base_Bruta!B1727,5,1)="-",DATE(VALUE(LEFT(Base_Bruta!B1727,4)),VALUE(MID(Base_Bruta!B1727,6,2)),VALUE(RIGHT(Base_Bruta!B1727,2))),DATE(VALUE(RIGHT(Base_Bruta!B1727,4)),VALUE(MID(Base_Bruta!B1727,4,2)),VALUE(LEFT(Base_Bruta!B1727,2))))))</f>
        <v>45862</v>
      </c>
      <c r="C1727" s="5" t="n">
        <f aca="false">IF($A1727="","",IF(ISNUMBER(Base_Bruta!C1727),Base_Bruta!C1727,IF(MID(Base_Bruta!C1727,5,1)="-",DATE(VALUE(LEFT(Base_Bruta!C1727,4)),VALUE(MID(Base_Bruta!C1727,6,2)),VALUE(RIGHT(Base_Bruta!C1727,2))),DATE(VALUE(RIGHT(Base_Bruta!C1727,4)),VALUE(MID(Base_Bruta!C1727,4,2)),VALUE(LEFT(Base_Bruta!C1727,2))))))</f>
        <v>45892</v>
      </c>
      <c r="D1727" s="4" t="str">
        <f aca="false">IF($A1727="","",TRIM(Base_Bruta!D1727))</f>
        <v>Festival Montanhas BH 2025</v>
      </c>
      <c r="E1727" s="4" t="str">
        <f aca="false">IF($A1727="","",_xlfn.XLOOKUP(LOWER(TRIM(Base_Bruta!E1727)),DePara_Categoria!$A$2:$A$9,DePara_Categoria!$B$2:$B$9,"REVISAR"))</f>
        <v>Festival</v>
      </c>
      <c r="F1727" s="4" t="str">
        <f aca="false">IF($A1727="","",_xlfn.XLOOKUP(LOWER(TRIM(Base_Bruta!F1727)),DePara_Cidade!$A$2:$A$29,DePara_Cidade!$B$2:$B$29,"REVISAR"))</f>
        <v>Belo Horizonte</v>
      </c>
      <c r="G1727" s="4" t="str">
        <f aca="false">IF($A1727="","",TRIM(Base_Bruta!G1727))</f>
        <v>Inteira</v>
      </c>
      <c r="H1727" s="4" t="n">
        <f aca="false">IF($A1727="","",IF(ISNUMBER(Base_Bruta!H1727),Base_Bruta!H1727,IFERROR(_xlfn.NUMBERVALUE(TRIM(SUBSTITUTE(Base_Bruta!H1727,"R$","")),",","."),0)))</f>
        <v>1</v>
      </c>
      <c r="I1727" s="6" t="n">
        <f aca="false">IF($A1727="","",IF(ISNUMBER(Base_Bruta!I1727),Base_Bruta!I1727,IFERROR(_xlfn.NUMBERVALUE(TRIM(SUBSTITUTE(Base_Bruta!I1727,"R$","")),",","."),0)))</f>
        <v>880</v>
      </c>
      <c r="J1727" s="6" t="n">
        <f aca="false">IF($A1727="","",H1727*I1727)</f>
        <v>880</v>
      </c>
      <c r="K1727" s="4" t="str">
        <f aca="false">IF($A1727="","",TRIM(Base_Bruta!J1727))</f>
        <v>App</v>
      </c>
      <c r="L1727" s="4" t="str">
        <f aca="false">IF($A1727="","",TRIM(Base_Bruta!K1727))</f>
        <v>C02410</v>
      </c>
      <c r="M1727" s="4" t="str">
        <f aca="false">IF($A1727="","",_xlfn.XLOOKUP(LOWER(TRIM(Base_Bruta!L1727)),DePara_Cidade!$A$2:$A$29,DePara_Cidade!$B$2:$B$29,"REVISAR"))</f>
        <v>São Paulo</v>
      </c>
      <c r="N1727" s="4" t="str">
        <f aca="false">IF($A1727="","",UPPER(TRIM(Base_Bruta!M1727)))</f>
        <v>SP</v>
      </c>
      <c r="O1727" s="4" t="str">
        <f aca="false">IF($A1727="","",_xlfn.XLOOKUP(LOWER(TRIM(Base_Bruta!N1727)),DePara_Pais!$A$2:$A$9,DePara_Pais!$B$2:$B$9,"REVISAR"))</f>
        <v>Brasil</v>
      </c>
      <c r="P1727" s="4" t="str">
        <f aca="false">IF($A1727="","",IF(O1727&lt;&gt;"Brasil","Turista Internacional",IF(M1727=F1727,"Local","Turista Nacional")))</f>
        <v>Turista Nacional</v>
      </c>
      <c r="Q1727" s="7" t="n">
        <f aca="false">IF($A1727="","",DATE(YEAR(B1727),MONTH(B1727),1))</f>
        <v>45839</v>
      </c>
      <c r="R1727" s="4" t="str">
        <f aca="false">IF($A1727="","",IF(COUNTIF($A$2:$A1727,$A1727)&gt;1,"Sim","Não"))</f>
        <v>Não</v>
      </c>
      <c r="S1727" s="4" t="str">
        <f aca="false">IF(A1727="","Descartar - Linha vazia",IF(R1727="Sim","Descartar - Duplicado",IF(OR(H1727&lt;=0,I1727&lt;=0),"Descartar - Qtd/Valor inválido","OK")))</f>
        <v>OK</v>
      </c>
      <c r="T1727" s="4" t="str">
        <f aca="false">Base_Bruta!P1727</f>
        <v>vendas_MG.csv</v>
      </c>
    </row>
    <row r="1728" customFormat="false" ht="15" hidden="false" customHeight="false" outlineLevel="0" collapsed="false">
      <c r="A1728" s="4" t="str">
        <f aca="false">IF(Base_Bruta!A1728="","",Base_Bruta!A1728)</f>
        <v>MG-000178</v>
      </c>
      <c r="B1728" s="5" t="n">
        <f aca="false">IF($A1728="","",IF(ISNUMBER(Base_Bruta!B1728),Base_Bruta!B1728,IF(MID(Base_Bruta!B1728,5,1)="-",DATE(VALUE(LEFT(Base_Bruta!B1728,4)),VALUE(MID(Base_Bruta!B1728,6,2)),VALUE(RIGHT(Base_Bruta!B1728,2))),DATE(VALUE(RIGHT(Base_Bruta!B1728,4)),VALUE(MID(Base_Bruta!B1728,4,2)),VALUE(LEFT(Base_Bruta!B1728,2))))))</f>
        <v>45862</v>
      </c>
      <c r="C1728" s="5" t="n">
        <f aca="false">IF($A1728="","",IF(ISNUMBER(Base_Bruta!C1728),Base_Bruta!C1728,IF(MID(Base_Bruta!C1728,5,1)="-",DATE(VALUE(LEFT(Base_Bruta!C1728,4)),VALUE(MID(Base_Bruta!C1728,6,2)),VALUE(RIGHT(Base_Bruta!C1728,2))),DATE(VALUE(RIGHT(Base_Bruta!C1728,4)),VALUE(MID(Base_Bruta!C1728,4,2)),VALUE(LEFT(Base_Bruta!C1728,2))))))</f>
        <v>45892</v>
      </c>
      <c r="D1728" s="4" t="str">
        <f aca="false">IF($A1728="","",TRIM(Base_Bruta!D1728))</f>
        <v>Festival Montanhas BH 2025</v>
      </c>
      <c r="E1728" s="4" t="str">
        <f aca="false">IF($A1728="","",_xlfn.XLOOKUP(LOWER(TRIM(Base_Bruta!E1728)),DePara_Categoria!$A$2:$A$9,DePara_Categoria!$B$2:$B$9,"REVISAR"))</f>
        <v>Festival</v>
      </c>
      <c r="F1728" s="4" t="str">
        <f aca="false">IF($A1728="","",_xlfn.XLOOKUP(LOWER(TRIM(Base_Bruta!F1728)),DePara_Cidade!$A$2:$A$29,DePara_Cidade!$B$2:$B$29,"REVISAR"))</f>
        <v>Belo Horizonte</v>
      </c>
      <c r="G1728" s="4" t="str">
        <f aca="false">IF($A1728="","",TRIM(Base_Bruta!G1728))</f>
        <v>Inteira</v>
      </c>
      <c r="H1728" s="4" t="n">
        <f aca="false">IF($A1728="","",IF(ISNUMBER(Base_Bruta!H1728),Base_Bruta!H1728,IFERROR(_xlfn.NUMBERVALUE(TRIM(SUBSTITUTE(Base_Bruta!H1728,"R$","")),",","."),0)))</f>
        <v>1</v>
      </c>
      <c r="I1728" s="6" t="n">
        <f aca="false">IF($A1728="","",IF(ISNUMBER(Base_Bruta!I1728),Base_Bruta!I1728,IFERROR(_xlfn.NUMBERVALUE(TRIM(SUBSTITUTE(Base_Bruta!I1728,"R$","")),",","."),0)))</f>
        <v>885</v>
      </c>
      <c r="J1728" s="6" t="n">
        <f aca="false">IF($A1728="","",H1728*I1728)</f>
        <v>885</v>
      </c>
      <c r="K1728" s="4" t="str">
        <f aca="false">IF($A1728="","",TRIM(Base_Bruta!J1728))</f>
        <v>App</v>
      </c>
      <c r="L1728" s="4" t="str">
        <f aca="false">IF($A1728="","",TRIM(Base_Bruta!K1728))</f>
        <v>C02253</v>
      </c>
      <c r="M1728" s="4" t="str">
        <f aca="false">IF($A1728="","",_xlfn.XLOOKUP(LOWER(TRIM(Base_Bruta!L1728)),DePara_Cidade!$A$2:$A$29,DePara_Cidade!$B$2:$B$29,"REVISAR"))</f>
        <v>Belo Horizonte</v>
      </c>
      <c r="N1728" s="4" t="str">
        <f aca="false">IF($A1728="","",UPPER(TRIM(Base_Bruta!M1728)))</f>
        <v>MG</v>
      </c>
      <c r="O1728" s="4" t="str">
        <f aca="false">IF($A1728="","",_xlfn.XLOOKUP(LOWER(TRIM(Base_Bruta!N1728)),DePara_Pais!$A$2:$A$9,DePara_Pais!$B$2:$B$9,"REVISAR"))</f>
        <v>Brasil</v>
      </c>
      <c r="P1728" s="4" t="str">
        <f aca="false">IF($A1728="","",IF(O1728&lt;&gt;"Brasil","Turista Internacional",IF(M1728=F1728,"Local","Turista Nacional")))</f>
        <v>Local</v>
      </c>
      <c r="Q1728" s="7" t="n">
        <f aca="false">IF($A1728="","",DATE(YEAR(B1728),MONTH(B1728),1))</f>
        <v>45839</v>
      </c>
      <c r="R1728" s="4" t="str">
        <f aca="false">IF($A1728="","",IF(COUNTIF($A$2:$A1728,$A1728)&gt;1,"Sim","Não"))</f>
        <v>Não</v>
      </c>
      <c r="S1728" s="4" t="str">
        <f aca="false">IF(A1728="","Descartar - Linha vazia",IF(R1728="Sim","Descartar - Duplicado",IF(OR(H1728&lt;=0,I1728&lt;=0),"Descartar - Qtd/Valor inválido","OK")))</f>
        <v>OK</v>
      </c>
      <c r="T1728" s="4" t="str">
        <f aca="false">Base_Bruta!P1728</f>
        <v>vendas_MG.csv</v>
      </c>
    </row>
    <row r="1729" customFormat="false" ht="15" hidden="false" customHeight="false" outlineLevel="0" collapsed="false">
      <c r="A1729" s="4" t="str">
        <f aca="false">IF(Base_Bruta!A1729="","",Base_Bruta!A1729)</f>
        <v>MG-000059</v>
      </c>
      <c r="B1729" s="5" t="n">
        <f aca="false">IF($A1729="","",IF(ISNUMBER(Base_Bruta!B1729),Base_Bruta!B1729,IF(MID(Base_Bruta!B1729,5,1)="-",DATE(VALUE(LEFT(Base_Bruta!B1729,4)),VALUE(MID(Base_Bruta!B1729,6,2)),VALUE(RIGHT(Base_Bruta!B1729,2))),DATE(VALUE(RIGHT(Base_Bruta!B1729,4)),VALUE(MID(Base_Bruta!B1729,4,2)),VALUE(LEFT(Base_Bruta!B1729,2))))))</f>
        <v>45863</v>
      </c>
      <c r="C1729" s="5" t="n">
        <f aca="false">IF($A1729="","",IF(ISNUMBER(Base_Bruta!C1729),Base_Bruta!C1729,IF(MID(Base_Bruta!C1729,5,1)="-",DATE(VALUE(LEFT(Base_Bruta!C1729,4)),VALUE(MID(Base_Bruta!C1729,6,2)),VALUE(RIGHT(Base_Bruta!C1729,2))),DATE(VALUE(RIGHT(Base_Bruta!C1729,4)),VALUE(MID(Base_Bruta!C1729,4,2)),VALUE(LEFT(Base_Bruta!C1729,2))))))</f>
        <v>45892</v>
      </c>
      <c r="D1729" s="4" t="str">
        <f aca="false">IF($A1729="","",TRIM(Base_Bruta!D1729))</f>
        <v>Festival Montanhas BH 2025</v>
      </c>
      <c r="E1729" s="4" t="str">
        <f aca="false">IF($A1729="","",_xlfn.XLOOKUP(LOWER(TRIM(Base_Bruta!E1729)),DePara_Categoria!$A$2:$A$9,DePara_Categoria!$B$2:$B$9,"REVISAR"))</f>
        <v>Festival</v>
      </c>
      <c r="F1729" s="4" t="str">
        <f aca="false">IF($A1729="","",_xlfn.XLOOKUP(LOWER(TRIM(Base_Bruta!F1729)),DePara_Cidade!$A$2:$A$29,DePara_Cidade!$B$2:$B$29,"REVISAR"))</f>
        <v>Belo Horizonte</v>
      </c>
      <c r="G1729" s="4" t="str">
        <f aca="false">IF($A1729="","",TRIM(Base_Bruta!G1729))</f>
        <v>Inteira</v>
      </c>
      <c r="H1729" s="4" t="n">
        <f aca="false">IF($A1729="","",IF(ISNUMBER(Base_Bruta!H1729),Base_Bruta!H1729,IFERROR(_xlfn.NUMBERVALUE(TRIM(SUBSTITUTE(Base_Bruta!H1729,"R$","")),",","."),0)))</f>
        <v>1</v>
      </c>
      <c r="I1729" s="6" t="n">
        <f aca="false">IF($A1729="","",IF(ISNUMBER(Base_Bruta!I1729),Base_Bruta!I1729,IFERROR(_xlfn.NUMBERVALUE(TRIM(SUBSTITUTE(Base_Bruta!I1729,"R$","")),",","."),0)))</f>
        <v>910</v>
      </c>
      <c r="J1729" s="6" t="n">
        <f aca="false">IF($A1729="","",H1729*I1729)</f>
        <v>910</v>
      </c>
      <c r="K1729" s="4" t="str">
        <f aca="false">IF($A1729="","",TRIM(Base_Bruta!J1729))</f>
        <v>Site</v>
      </c>
      <c r="L1729" s="4" t="str">
        <f aca="false">IF($A1729="","",TRIM(Base_Bruta!K1729))</f>
        <v>C00819</v>
      </c>
      <c r="M1729" s="4" t="str">
        <f aca="false">IF($A1729="","",_xlfn.XLOOKUP(LOWER(TRIM(Base_Bruta!L1729)),DePara_Cidade!$A$2:$A$29,DePara_Cidade!$B$2:$B$29,"REVISAR"))</f>
        <v>Belo Horizonte</v>
      </c>
      <c r="N1729" s="4" t="str">
        <f aca="false">IF($A1729="","",UPPER(TRIM(Base_Bruta!M1729)))</f>
        <v>MG</v>
      </c>
      <c r="O1729" s="4" t="str">
        <f aca="false">IF($A1729="","",_xlfn.XLOOKUP(LOWER(TRIM(Base_Bruta!N1729)),DePara_Pais!$A$2:$A$9,DePara_Pais!$B$2:$B$9,"REVISAR"))</f>
        <v>Brasil</v>
      </c>
      <c r="P1729" s="4" t="str">
        <f aca="false">IF($A1729="","",IF(O1729&lt;&gt;"Brasil","Turista Internacional",IF(M1729=F1729,"Local","Turista Nacional")))</f>
        <v>Local</v>
      </c>
      <c r="Q1729" s="7" t="n">
        <f aca="false">IF($A1729="","",DATE(YEAR(B1729),MONTH(B1729),1))</f>
        <v>45839</v>
      </c>
      <c r="R1729" s="4" t="str">
        <f aca="false">IF($A1729="","",IF(COUNTIF($A$2:$A1729,$A1729)&gt;1,"Sim","Não"))</f>
        <v>Não</v>
      </c>
      <c r="S1729" s="4" t="str">
        <f aca="false">IF(A1729="","Descartar - Linha vazia",IF(R1729="Sim","Descartar - Duplicado",IF(OR(H1729&lt;=0,I1729&lt;=0),"Descartar - Qtd/Valor inválido","OK")))</f>
        <v>OK</v>
      </c>
      <c r="T1729" s="4" t="str">
        <f aca="false">Base_Bruta!P1729</f>
        <v>vendas_MG.csv</v>
      </c>
    </row>
    <row r="1730" customFormat="false" ht="15" hidden="false" customHeight="false" outlineLevel="0" collapsed="false">
      <c r="A1730" s="4" t="str">
        <f aca="false">IF(Base_Bruta!A1730="","",Base_Bruta!A1730)</f>
        <v>MG-000046</v>
      </c>
      <c r="B1730" s="5" t="n">
        <f aca="false">IF($A1730="","",IF(ISNUMBER(Base_Bruta!B1730),Base_Bruta!B1730,IF(MID(Base_Bruta!B1730,5,1)="-",DATE(VALUE(LEFT(Base_Bruta!B1730,4)),VALUE(MID(Base_Bruta!B1730,6,2)),VALUE(RIGHT(Base_Bruta!B1730,2))),DATE(VALUE(RIGHT(Base_Bruta!B1730,4)),VALUE(MID(Base_Bruta!B1730,4,2)),VALUE(LEFT(Base_Bruta!B1730,2))))))</f>
        <v>45864</v>
      </c>
      <c r="C1730" s="5" t="n">
        <f aca="false">IF($A1730="","",IF(ISNUMBER(Base_Bruta!C1730),Base_Bruta!C1730,IF(MID(Base_Bruta!C1730,5,1)="-",DATE(VALUE(LEFT(Base_Bruta!C1730,4)),VALUE(MID(Base_Bruta!C1730,6,2)),VALUE(RIGHT(Base_Bruta!C1730,2))),DATE(VALUE(RIGHT(Base_Bruta!C1730,4)),VALUE(MID(Base_Bruta!C1730,4,2)),VALUE(LEFT(Base_Bruta!C1730,2))))))</f>
        <v>45892</v>
      </c>
      <c r="D1730" s="4" t="str">
        <f aca="false">IF($A1730="","",TRIM(Base_Bruta!D1730))</f>
        <v>Festival Montanhas BH 2025</v>
      </c>
      <c r="E1730" s="4" t="str">
        <f aca="false">IF($A1730="","",_xlfn.XLOOKUP(LOWER(TRIM(Base_Bruta!E1730)),DePara_Categoria!$A$2:$A$9,DePara_Categoria!$B$2:$B$9,"REVISAR"))</f>
        <v>Festival</v>
      </c>
      <c r="F1730" s="4" t="str">
        <f aca="false">IF($A1730="","",_xlfn.XLOOKUP(LOWER(TRIM(Base_Bruta!F1730)),DePara_Cidade!$A$2:$A$29,DePara_Cidade!$B$2:$B$29,"REVISAR"))</f>
        <v>Belo Horizonte</v>
      </c>
      <c r="G1730" s="4" t="str">
        <f aca="false">IF($A1730="","",TRIM(Base_Bruta!G1730))</f>
        <v>Inteira</v>
      </c>
      <c r="H1730" s="4" t="n">
        <f aca="false">IF($A1730="","",IF(ISNUMBER(Base_Bruta!H1730),Base_Bruta!H1730,IFERROR(_xlfn.NUMBERVALUE(TRIM(SUBSTITUTE(Base_Bruta!H1730,"R$","")),",","."),0)))</f>
        <v>3</v>
      </c>
      <c r="I1730" s="6" t="n">
        <f aca="false">IF($A1730="","",IF(ISNUMBER(Base_Bruta!I1730),Base_Bruta!I1730,IFERROR(_xlfn.NUMBERVALUE(TRIM(SUBSTITUTE(Base_Bruta!I1730,"R$","")),",","."),0)))</f>
        <v>915</v>
      </c>
      <c r="J1730" s="6" t="n">
        <f aca="false">IF($A1730="","",H1730*I1730)</f>
        <v>2745</v>
      </c>
      <c r="K1730" s="4" t="str">
        <f aca="false">IF($A1730="","",TRIM(Base_Bruta!J1730))</f>
        <v>Bilheteria</v>
      </c>
      <c r="L1730" s="4" t="str">
        <f aca="false">IF($A1730="","",TRIM(Base_Bruta!K1730))</f>
        <v>C02158</v>
      </c>
      <c r="M1730" s="4" t="str">
        <f aca="false">IF($A1730="","",_xlfn.XLOOKUP(LOWER(TRIM(Base_Bruta!L1730)),DePara_Cidade!$A$2:$A$29,DePara_Cidade!$B$2:$B$29,"REVISAR"))</f>
        <v>Lisboa</v>
      </c>
      <c r="N1730" s="4" t="str">
        <f aca="false">IF($A1730="","",UPPER(TRIM(Base_Bruta!M1730)))</f>
        <v>EX</v>
      </c>
      <c r="O1730" s="4" t="str">
        <f aca="false">IF($A1730="","",_xlfn.XLOOKUP(LOWER(TRIM(Base_Bruta!N1730)),DePara_Pais!$A$2:$A$9,DePara_Pais!$B$2:$B$9,"REVISAR"))</f>
        <v>Portugal</v>
      </c>
      <c r="P1730" s="4" t="str">
        <f aca="false">IF($A1730="","",IF(O1730&lt;&gt;"Brasil","Turista Internacional",IF(M1730=F1730,"Local","Turista Nacional")))</f>
        <v>Turista Internacional</v>
      </c>
      <c r="Q1730" s="7" t="n">
        <f aca="false">IF($A1730="","",DATE(YEAR(B1730),MONTH(B1730),1))</f>
        <v>45839</v>
      </c>
      <c r="R1730" s="4" t="str">
        <f aca="false">IF($A1730="","",IF(COUNTIF($A$2:$A1730,$A1730)&gt;1,"Sim","Não"))</f>
        <v>Não</v>
      </c>
      <c r="S1730" s="4" t="str">
        <f aca="false">IF(A1730="","Descartar - Linha vazia",IF(R1730="Sim","Descartar - Duplicado",IF(OR(H1730&lt;=0,I1730&lt;=0),"Descartar - Qtd/Valor inválido","OK")))</f>
        <v>OK</v>
      </c>
      <c r="T1730" s="4" t="str">
        <f aca="false">Base_Bruta!P1730</f>
        <v>vendas_MG.csv</v>
      </c>
    </row>
    <row r="1731" customFormat="false" ht="15" hidden="false" customHeight="false" outlineLevel="0" collapsed="false">
      <c r="A1731" s="4" t="str">
        <f aca="false">IF(Base_Bruta!A1731="","",Base_Bruta!A1731)</f>
        <v>MG-000057</v>
      </c>
      <c r="B1731" s="5" t="n">
        <f aca="false">IF($A1731="","",IF(ISNUMBER(Base_Bruta!B1731),Base_Bruta!B1731,IF(MID(Base_Bruta!B1731,5,1)="-",DATE(VALUE(LEFT(Base_Bruta!B1731,4)),VALUE(MID(Base_Bruta!B1731,6,2)),VALUE(RIGHT(Base_Bruta!B1731,2))),DATE(VALUE(RIGHT(Base_Bruta!B1731,4)),VALUE(MID(Base_Bruta!B1731,4,2)),VALUE(LEFT(Base_Bruta!B1731,2))))))</f>
        <v>45864</v>
      </c>
      <c r="C1731" s="5" t="n">
        <f aca="false">IF($A1731="","",IF(ISNUMBER(Base_Bruta!C1731),Base_Bruta!C1731,IF(MID(Base_Bruta!C1731,5,1)="-",DATE(VALUE(LEFT(Base_Bruta!C1731,4)),VALUE(MID(Base_Bruta!C1731,6,2)),VALUE(RIGHT(Base_Bruta!C1731,2))),DATE(VALUE(RIGHT(Base_Bruta!C1731,4)),VALUE(MID(Base_Bruta!C1731,4,2)),VALUE(LEFT(Base_Bruta!C1731,2))))))</f>
        <v>45892</v>
      </c>
      <c r="D1731" s="4" t="str">
        <f aca="false">IF($A1731="","",TRIM(Base_Bruta!D1731))</f>
        <v>Festival Montanhas BH 2025</v>
      </c>
      <c r="E1731" s="4" t="str">
        <f aca="false">IF($A1731="","",_xlfn.XLOOKUP(LOWER(TRIM(Base_Bruta!E1731)),DePara_Categoria!$A$2:$A$9,DePara_Categoria!$B$2:$B$9,"REVISAR"))</f>
        <v>Festival</v>
      </c>
      <c r="F1731" s="4" t="str">
        <f aca="false">IF($A1731="","",_xlfn.XLOOKUP(LOWER(TRIM(Base_Bruta!F1731)),DePara_Cidade!$A$2:$A$29,DePara_Cidade!$B$2:$B$29,"REVISAR"))</f>
        <v>Belo Horizonte</v>
      </c>
      <c r="G1731" s="4" t="str">
        <f aca="false">IF($A1731="","",TRIM(Base_Bruta!G1731))</f>
        <v>Inteira</v>
      </c>
      <c r="H1731" s="4" t="n">
        <f aca="false">IF($A1731="","",IF(ISNUMBER(Base_Bruta!H1731),Base_Bruta!H1731,IFERROR(_xlfn.NUMBERVALUE(TRIM(SUBSTITUTE(Base_Bruta!H1731,"R$","")),",","."),0)))</f>
        <v>2</v>
      </c>
      <c r="I1731" s="6" t="n">
        <f aca="false">IF($A1731="","",IF(ISNUMBER(Base_Bruta!I1731),Base_Bruta!I1731,IFERROR(_xlfn.NUMBERVALUE(TRIM(SUBSTITUTE(Base_Bruta!I1731,"R$","")),",","."),0)))</f>
        <v>875</v>
      </c>
      <c r="J1731" s="6" t="n">
        <f aca="false">IF($A1731="","",H1731*I1731)</f>
        <v>1750</v>
      </c>
      <c r="K1731" s="4" t="str">
        <f aca="false">IF($A1731="","",TRIM(Base_Bruta!J1731))</f>
        <v>App</v>
      </c>
      <c r="L1731" s="4" t="str">
        <f aca="false">IF($A1731="","",TRIM(Base_Bruta!K1731))</f>
        <v>C01830</v>
      </c>
      <c r="M1731" s="4" t="str">
        <f aca="false">IF($A1731="","",_xlfn.XLOOKUP(LOWER(TRIM(Base_Bruta!L1731)),DePara_Cidade!$A$2:$A$29,DePara_Cidade!$B$2:$B$29,"REVISAR"))</f>
        <v>Curitiba</v>
      </c>
      <c r="N1731" s="4" t="str">
        <f aca="false">IF($A1731="","",UPPER(TRIM(Base_Bruta!M1731)))</f>
        <v>PR</v>
      </c>
      <c r="O1731" s="4" t="str">
        <f aca="false">IF($A1731="","",_xlfn.XLOOKUP(LOWER(TRIM(Base_Bruta!N1731)),DePara_Pais!$A$2:$A$9,DePara_Pais!$B$2:$B$9,"REVISAR"))</f>
        <v>Brasil</v>
      </c>
      <c r="P1731" s="4" t="str">
        <f aca="false">IF($A1731="","",IF(O1731&lt;&gt;"Brasil","Turista Internacional",IF(M1731=F1731,"Local","Turista Nacional")))</f>
        <v>Turista Nacional</v>
      </c>
      <c r="Q1731" s="7" t="n">
        <f aca="false">IF($A1731="","",DATE(YEAR(B1731),MONTH(B1731),1))</f>
        <v>45839</v>
      </c>
      <c r="R1731" s="4" t="str">
        <f aca="false">IF($A1731="","",IF(COUNTIF($A$2:$A1731,$A1731)&gt;1,"Sim","Não"))</f>
        <v>Não</v>
      </c>
      <c r="S1731" s="4" t="str">
        <f aca="false">IF(A1731="","Descartar - Linha vazia",IF(R1731="Sim","Descartar - Duplicado",IF(OR(H1731&lt;=0,I1731&lt;=0),"Descartar - Qtd/Valor inválido","OK")))</f>
        <v>OK</v>
      </c>
      <c r="T1731" s="4" t="str">
        <f aca="false">Base_Bruta!P1731</f>
        <v>vendas_MG.csv</v>
      </c>
    </row>
    <row r="1732" customFormat="false" ht="15" hidden="false" customHeight="false" outlineLevel="0" collapsed="false">
      <c r="A1732" s="4" t="str">
        <f aca="false">IF(Base_Bruta!A1732="","",Base_Bruta!A1732)</f>
        <v>MG-000078</v>
      </c>
      <c r="B1732" s="5" t="n">
        <f aca="false">IF($A1732="","",IF(ISNUMBER(Base_Bruta!B1732),Base_Bruta!B1732,IF(MID(Base_Bruta!B1732,5,1)="-",DATE(VALUE(LEFT(Base_Bruta!B1732,4)),VALUE(MID(Base_Bruta!B1732,6,2)),VALUE(RIGHT(Base_Bruta!B1732,2))),DATE(VALUE(RIGHT(Base_Bruta!B1732,4)),VALUE(MID(Base_Bruta!B1732,4,2)),VALUE(LEFT(Base_Bruta!B1732,2))))))</f>
        <v>45865</v>
      </c>
      <c r="C1732" s="5" t="n">
        <f aca="false">IF($A1732="","",IF(ISNUMBER(Base_Bruta!C1732),Base_Bruta!C1732,IF(MID(Base_Bruta!C1732,5,1)="-",DATE(VALUE(LEFT(Base_Bruta!C1732,4)),VALUE(MID(Base_Bruta!C1732,6,2)),VALUE(RIGHT(Base_Bruta!C1732,2))),DATE(VALUE(RIGHT(Base_Bruta!C1732,4)),VALUE(MID(Base_Bruta!C1732,4,2)),VALUE(LEFT(Base_Bruta!C1732,2))))))</f>
        <v>45892</v>
      </c>
      <c r="D1732" s="4" t="str">
        <f aca="false">IF($A1732="","",TRIM(Base_Bruta!D1732))</f>
        <v>Festival Montanhas BH 2025</v>
      </c>
      <c r="E1732" s="4" t="str">
        <f aca="false">IF($A1732="","",_xlfn.XLOOKUP(LOWER(TRIM(Base_Bruta!E1732)),DePara_Categoria!$A$2:$A$9,DePara_Categoria!$B$2:$B$9,"REVISAR"))</f>
        <v>Festival</v>
      </c>
      <c r="F1732" s="4" t="str">
        <f aca="false">IF($A1732="","",_xlfn.XLOOKUP(LOWER(TRIM(Base_Bruta!F1732)),DePara_Cidade!$A$2:$A$29,DePara_Cidade!$B$2:$B$29,"REVISAR"))</f>
        <v>Belo Horizonte</v>
      </c>
      <c r="G1732" s="4" t="str">
        <f aca="false">IF($A1732="","",TRIM(Base_Bruta!G1732))</f>
        <v>Inteira</v>
      </c>
      <c r="H1732" s="4" t="n">
        <f aca="false">IF($A1732="","",IF(ISNUMBER(Base_Bruta!H1732),Base_Bruta!H1732,IFERROR(_xlfn.NUMBERVALUE(TRIM(SUBSTITUTE(Base_Bruta!H1732,"R$","")),",","."),0)))</f>
        <v>1</v>
      </c>
      <c r="I1732" s="6" t="n">
        <f aca="false">IF($A1732="","",IF(ISNUMBER(Base_Bruta!I1732),Base_Bruta!I1732,IFERROR(_xlfn.NUMBERVALUE(TRIM(SUBSTITUTE(Base_Bruta!I1732,"R$","")),",","."),0)))</f>
        <v>1070</v>
      </c>
      <c r="J1732" s="6" t="n">
        <f aca="false">IF($A1732="","",H1732*I1732)</f>
        <v>1070</v>
      </c>
      <c r="K1732" s="4" t="str">
        <f aca="false">IF($A1732="","",TRIM(Base_Bruta!J1732))</f>
        <v>Site</v>
      </c>
      <c r="L1732" s="4" t="str">
        <f aca="false">IF($A1732="","",TRIM(Base_Bruta!K1732))</f>
        <v>C00498</v>
      </c>
      <c r="M1732" s="4" t="str">
        <f aca="false">IF($A1732="","",_xlfn.XLOOKUP(LOWER(TRIM(Base_Bruta!L1732)),DePara_Cidade!$A$2:$A$29,DePara_Cidade!$B$2:$B$29,"REVISAR"))</f>
        <v>Buenos Aires</v>
      </c>
      <c r="N1732" s="4" t="str">
        <f aca="false">IF($A1732="","",UPPER(TRIM(Base_Bruta!M1732)))</f>
        <v>EX</v>
      </c>
      <c r="O1732" s="4" t="str">
        <f aca="false">IF($A1732="","",_xlfn.XLOOKUP(LOWER(TRIM(Base_Bruta!N1732)),DePara_Pais!$A$2:$A$9,DePara_Pais!$B$2:$B$9,"REVISAR"))</f>
        <v>Argentina</v>
      </c>
      <c r="P1732" s="4" t="str">
        <f aca="false">IF($A1732="","",IF(O1732&lt;&gt;"Brasil","Turista Internacional",IF(M1732=F1732,"Local","Turista Nacional")))</f>
        <v>Turista Internacional</v>
      </c>
      <c r="Q1732" s="7" t="n">
        <f aca="false">IF($A1732="","",DATE(YEAR(B1732),MONTH(B1732),1))</f>
        <v>45839</v>
      </c>
      <c r="R1732" s="4" t="str">
        <f aca="false">IF($A1732="","",IF(COUNTIF($A$2:$A1732,$A1732)&gt;1,"Sim","Não"))</f>
        <v>Não</v>
      </c>
      <c r="S1732" s="4" t="str">
        <f aca="false">IF(A1732="","Descartar - Linha vazia",IF(R1732="Sim","Descartar - Duplicado",IF(OR(H1732&lt;=0,I1732&lt;=0),"Descartar - Qtd/Valor inválido","OK")))</f>
        <v>OK</v>
      </c>
      <c r="T1732" s="4" t="str">
        <f aca="false">Base_Bruta!P1732</f>
        <v>vendas_MG.csv</v>
      </c>
    </row>
    <row r="1733" customFormat="false" ht="15" hidden="false" customHeight="false" outlineLevel="0" collapsed="false">
      <c r="A1733" s="4" t="str">
        <f aca="false">IF(Base_Bruta!A1733="","",Base_Bruta!A1733)</f>
        <v>MG-000455</v>
      </c>
      <c r="B1733" s="5" t="n">
        <f aca="false">IF($A1733="","",IF(ISNUMBER(Base_Bruta!B1733),Base_Bruta!B1733,IF(MID(Base_Bruta!B1733,5,1)="-",DATE(VALUE(LEFT(Base_Bruta!B1733,4)),VALUE(MID(Base_Bruta!B1733,6,2)),VALUE(RIGHT(Base_Bruta!B1733,2))),DATE(VALUE(RIGHT(Base_Bruta!B1733,4)),VALUE(MID(Base_Bruta!B1733,4,2)),VALUE(LEFT(Base_Bruta!B1733,2))))))</f>
        <v>45840</v>
      </c>
      <c r="C1733" s="5" t="n">
        <f aca="false">IF($A1733="","",IF(ISNUMBER(Base_Bruta!C1733),Base_Bruta!C1733,IF(MID(Base_Bruta!C1733,5,1)="-",DATE(VALUE(LEFT(Base_Bruta!C1733,4)),VALUE(MID(Base_Bruta!C1733,6,2)),VALUE(RIGHT(Base_Bruta!C1733,2))),DATE(VALUE(RIGHT(Base_Bruta!C1733,4)),VALUE(MID(Base_Bruta!C1733,4,2)),VALUE(LEFT(Base_Bruta!C1733,2))))))</f>
        <v>45840</v>
      </c>
      <c r="D1733" s="4" t="str">
        <f aca="false">IF($A1733="","",TRIM(Base_Bruta!D1733))</f>
        <v>Cinema Savassi - Sessões</v>
      </c>
      <c r="E1733" s="4" t="str">
        <f aca="false">IF($A1733="","",_xlfn.XLOOKUP(LOWER(TRIM(Base_Bruta!E1733)),DePara_Categoria!$A$2:$A$9,DePara_Categoria!$B$2:$B$9,"REVISAR"))</f>
        <v>Cinema</v>
      </c>
      <c r="F1733" s="4" t="str">
        <f aca="false">IF($A1733="","",_xlfn.XLOOKUP(LOWER(TRIM(Base_Bruta!F1733)),DePara_Cidade!$A$2:$A$29,DePara_Cidade!$B$2:$B$29,"REVISAR"))</f>
        <v>Belo Horizonte</v>
      </c>
      <c r="G1733" s="4" t="str">
        <f aca="false">IF($A1733="","",TRIM(Base_Bruta!G1733))</f>
        <v>Inteira</v>
      </c>
      <c r="H1733" s="4" t="n">
        <f aca="false">IF($A1733="","",IF(ISNUMBER(Base_Bruta!H1733),Base_Bruta!H1733,IFERROR(_xlfn.NUMBERVALUE(TRIM(SUBSTITUTE(Base_Bruta!H1733,"R$","")),",","."),0)))</f>
        <v>3</v>
      </c>
      <c r="I1733" s="6" t="n">
        <f aca="false">IF($A1733="","",IF(ISNUMBER(Base_Bruta!I1733),Base_Bruta!I1733,IFERROR(_xlfn.NUMBERVALUE(TRIM(SUBSTITUTE(Base_Bruta!I1733,"R$","")),",","."),0)))</f>
        <v>30</v>
      </c>
      <c r="J1733" s="6" t="n">
        <f aca="false">IF($A1733="","",H1733*I1733)</f>
        <v>90</v>
      </c>
      <c r="K1733" s="4" t="str">
        <f aca="false">IF($A1733="","",TRIM(Base_Bruta!J1733))</f>
        <v>Parceiro</v>
      </c>
      <c r="L1733" s="4" t="str">
        <f aca="false">IF($A1733="","",TRIM(Base_Bruta!K1733))</f>
        <v>C02378</v>
      </c>
      <c r="M1733" s="4" t="str">
        <f aca="false">IF($A1733="","",_xlfn.XLOOKUP(LOWER(TRIM(Base_Bruta!L1733)),DePara_Cidade!$A$2:$A$29,DePara_Cidade!$B$2:$B$29,"REVISAR"))</f>
        <v>Belo Horizonte</v>
      </c>
      <c r="N1733" s="4" t="str">
        <f aca="false">IF($A1733="","",UPPER(TRIM(Base_Bruta!M1733)))</f>
        <v>MG</v>
      </c>
      <c r="O1733" s="4" t="str">
        <f aca="false">IF($A1733="","",_xlfn.XLOOKUP(LOWER(TRIM(Base_Bruta!N1733)),DePara_Pais!$A$2:$A$9,DePara_Pais!$B$2:$B$9,"REVISAR"))</f>
        <v>Brasil</v>
      </c>
      <c r="P1733" s="4" t="str">
        <f aca="false">IF($A1733="","",IF(O1733&lt;&gt;"Brasil","Turista Internacional",IF(M1733=F1733,"Local","Turista Nacional")))</f>
        <v>Local</v>
      </c>
      <c r="Q1733" s="7" t="n">
        <f aca="false">IF($A1733="","",DATE(YEAR(B1733),MONTH(B1733),1))</f>
        <v>45839</v>
      </c>
      <c r="R1733" s="4" t="str">
        <f aca="false">IF($A1733="","",IF(COUNTIF($A$2:$A1733,$A1733)&gt;1,"Sim","Não"))</f>
        <v>Sim</v>
      </c>
      <c r="S1733" s="4" t="str">
        <f aca="false">IF(A1733="","Descartar - Linha vazia",IF(R1733="Sim","Descartar - Duplicado",IF(OR(H1733&lt;=0,I1733&lt;=0),"Descartar - Qtd/Valor inválido","OK")))</f>
        <v>Descartar - Duplicado</v>
      </c>
      <c r="T1733" s="4" t="str">
        <f aca="false">Base_Bruta!P1733</f>
        <v>vendas_MG.csv</v>
      </c>
    </row>
    <row r="1734" customFormat="false" ht="15" hidden="false" customHeight="false" outlineLevel="0" collapsed="false">
      <c r="A1734" s="4" t="str">
        <f aca="false">IF(Base_Bruta!A1734="","",Base_Bruta!A1734)</f>
        <v>MG-000408</v>
      </c>
      <c r="B1734" s="5" t="n">
        <f aca="false">IF($A1734="","",IF(ISNUMBER(Base_Bruta!B1734),Base_Bruta!B1734,IF(MID(Base_Bruta!B1734,5,1)="-",DATE(VALUE(LEFT(Base_Bruta!B1734,4)),VALUE(MID(Base_Bruta!B1734,6,2)),VALUE(RIGHT(Base_Bruta!B1734,2))),DATE(VALUE(RIGHT(Base_Bruta!B1734,4)),VALUE(MID(Base_Bruta!B1734,4,2)),VALUE(LEFT(Base_Bruta!B1734,2))))))</f>
        <v>45865</v>
      </c>
      <c r="C1734" s="5" t="n">
        <f aca="false">IF($A1734="","",IF(ISNUMBER(Base_Bruta!C1734),Base_Bruta!C1734,IF(MID(Base_Bruta!C1734,5,1)="-",DATE(VALUE(LEFT(Base_Bruta!C1734,4)),VALUE(MID(Base_Bruta!C1734,6,2)),VALUE(RIGHT(Base_Bruta!C1734,2))),DATE(VALUE(RIGHT(Base_Bruta!C1734,4)),VALUE(MID(Base_Bruta!C1734,4,2)),VALUE(LEFT(Base_Bruta!C1734,2))))))</f>
        <v>45868</v>
      </c>
      <c r="D1734" s="4" t="str">
        <f aca="false">IF($A1734="","",TRIM(Base_Bruta!D1734))</f>
        <v>Cinema Savassi - Sessões</v>
      </c>
      <c r="E1734" s="4" t="str">
        <f aca="false">IF($A1734="","",_xlfn.XLOOKUP(LOWER(TRIM(Base_Bruta!E1734)),DePara_Categoria!$A$2:$A$9,DePara_Categoria!$B$2:$B$9,"REVISAR"))</f>
        <v>Cinema</v>
      </c>
      <c r="F1734" s="4" t="str">
        <f aca="false">IF($A1734="","",_xlfn.XLOOKUP(LOWER(TRIM(Base_Bruta!F1734)),DePara_Cidade!$A$2:$A$29,DePara_Cidade!$B$2:$B$29,"REVISAR"))</f>
        <v>Belo Horizonte</v>
      </c>
      <c r="G1734" s="4" t="str">
        <f aca="false">IF($A1734="","",TRIM(Base_Bruta!G1734))</f>
        <v>Meia</v>
      </c>
      <c r="H1734" s="4" t="n">
        <f aca="false">IF($A1734="","",IF(ISNUMBER(Base_Bruta!H1734),Base_Bruta!H1734,IFERROR(_xlfn.NUMBERVALUE(TRIM(SUBSTITUTE(Base_Bruta!H1734,"R$","")),",","."),0)))</f>
        <v>1</v>
      </c>
      <c r="I1734" s="6" t="n">
        <f aca="false">IF($A1734="","",IF(ISNUMBER(Base_Bruta!I1734),Base_Bruta!I1734,IFERROR(_xlfn.NUMBERVALUE(TRIM(SUBSTITUTE(Base_Bruta!I1734,"R$","")),",","."),0)))</f>
        <v>15</v>
      </c>
      <c r="J1734" s="6" t="n">
        <f aca="false">IF($A1734="","",H1734*I1734)</f>
        <v>15</v>
      </c>
      <c r="K1734" s="4" t="str">
        <f aca="false">IF($A1734="","",TRIM(Base_Bruta!J1734))</f>
        <v>Site</v>
      </c>
      <c r="L1734" s="4" t="str">
        <f aca="false">IF($A1734="","",TRIM(Base_Bruta!K1734))</f>
        <v>C01331</v>
      </c>
      <c r="M1734" s="4" t="str">
        <f aca="false">IF($A1734="","",_xlfn.XLOOKUP(LOWER(TRIM(Base_Bruta!L1734)),DePara_Cidade!$A$2:$A$29,DePara_Cidade!$B$2:$B$29,"REVISAR"))</f>
        <v>Belo Horizonte</v>
      </c>
      <c r="N1734" s="4" t="str">
        <f aca="false">IF($A1734="","",UPPER(TRIM(Base_Bruta!M1734)))</f>
        <v>MG</v>
      </c>
      <c r="O1734" s="4" t="str">
        <f aca="false">IF($A1734="","",_xlfn.XLOOKUP(LOWER(TRIM(Base_Bruta!N1734)),DePara_Pais!$A$2:$A$9,DePara_Pais!$B$2:$B$9,"REVISAR"))</f>
        <v>Brasil</v>
      </c>
      <c r="P1734" s="4" t="str">
        <f aca="false">IF($A1734="","",IF(O1734&lt;&gt;"Brasil","Turista Internacional",IF(M1734=F1734,"Local","Turista Nacional")))</f>
        <v>Local</v>
      </c>
      <c r="Q1734" s="7" t="n">
        <f aca="false">IF($A1734="","",DATE(YEAR(B1734),MONTH(B1734),1))</f>
        <v>45839</v>
      </c>
      <c r="R1734" s="4" t="str">
        <f aca="false">IF($A1734="","",IF(COUNTIF($A$2:$A1734,$A1734)&gt;1,"Sim","Não"))</f>
        <v>Não</v>
      </c>
      <c r="S1734" s="4" t="str">
        <f aca="false">IF(A1734="","Descartar - Linha vazia",IF(R1734="Sim","Descartar - Duplicado",IF(OR(H1734&lt;=0,I1734&lt;=0),"Descartar - Qtd/Valor inválido","OK")))</f>
        <v>OK</v>
      </c>
      <c r="T1734" s="4" t="str">
        <f aca="false">Base_Bruta!P1734</f>
        <v>vendas_MG.csv</v>
      </c>
    </row>
    <row r="1735" customFormat="false" ht="15" hidden="false" customHeight="false" outlineLevel="0" collapsed="false">
      <c r="A1735" s="4" t="str">
        <f aca="false">IF(Base_Bruta!A1735="","",Base_Bruta!A1735)</f>
        <v>MG-000195</v>
      </c>
      <c r="B1735" s="5" t="n">
        <f aca="false">IF($A1735="","",IF(ISNUMBER(Base_Bruta!B1735),Base_Bruta!B1735,IF(MID(Base_Bruta!B1735,5,1)="-",DATE(VALUE(LEFT(Base_Bruta!B1735,4)),VALUE(MID(Base_Bruta!B1735,6,2)),VALUE(RIGHT(Base_Bruta!B1735,2))),DATE(VALUE(RIGHT(Base_Bruta!B1735,4)),VALUE(MID(Base_Bruta!B1735,4,2)),VALUE(LEFT(Base_Bruta!B1735,2))))))</f>
        <v>45866</v>
      </c>
      <c r="C1735" s="5" t="n">
        <f aca="false">IF($A1735="","",IF(ISNUMBER(Base_Bruta!C1735),Base_Bruta!C1735,IF(MID(Base_Bruta!C1735,5,1)="-",DATE(VALUE(LEFT(Base_Bruta!C1735,4)),VALUE(MID(Base_Bruta!C1735,6,2)),VALUE(RIGHT(Base_Bruta!C1735,2))),DATE(VALUE(RIGHT(Base_Bruta!C1735,4)),VALUE(MID(Base_Bruta!C1735,4,2)),VALUE(LEFT(Base_Bruta!C1735,2))))))</f>
        <v>45892</v>
      </c>
      <c r="D1735" s="4" t="str">
        <f aca="false">IF($A1735="","",TRIM(Base_Bruta!D1735))</f>
        <v>Festival Montanhas BH 2025</v>
      </c>
      <c r="E1735" s="4" t="str">
        <f aca="false">IF($A1735="","",_xlfn.XLOOKUP(LOWER(TRIM(Base_Bruta!E1735)),DePara_Categoria!$A$2:$A$9,DePara_Categoria!$B$2:$B$9,"REVISAR"))</f>
        <v>Festival</v>
      </c>
      <c r="F1735" s="4" t="str">
        <f aca="false">IF($A1735="","",_xlfn.XLOOKUP(LOWER(TRIM(Base_Bruta!F1735)),DePara_Cidade!$A$2:$A$29,DePara_Cidade!$B$2:$B$29,"REVISAR"))</f>
        <v>Belo Horizonte</v>
      </c>
      <c r="G1735" s="4" t="str">
        <f aca="false">IF($A1735="","",TRIM(Base_Bruta!G1735))</f>
        <v>Meia</v>
      </c>
      <c r="H1735" s="4" t="n">
        <f aca="false">IF($A1735="","",IF(ISNUMBER(Base_Bruta!H1735),Base_Bruta!H1735,IFERROR(_xlfn.NUMBERVALUE(TRIM(SUBSTITUTE(Base_Bruta!H1735,"R$","")),",","."),0)))</f>
        <v>3</v>
      </c>
      <c r="I1735" s="6" t="n">
        <f aca="false">IF($A1735="","",IF(ISNUMBER(Base_Bruta!I1735),Base_Bruta!I1735,IFERROR(_xlfn.NUMBERVALUE(TRIM(SUBSTITUTE(Base_Bruta!I1735,"R$","")),",","."),0)))</f>
        <v>330</v>
      </c>
      <c r="J1735" s="6" t="n">
        <f aca="false">IF($A1735="","",H1735*I1735)</f>
        <v>990</v>
      </c>
      <c r="K1735" s="4" t="str">
        <f aca="false">IF($A1735="","",TRIM(Base_Bruta!J1735))</f>
        <v>Bilheteria</v>
      </c>
      <c r="L1735" s="4" t="str">
        <f aca="false">IF($A1735="","",TRIM(Base_Bruta!K1735))</f>
        <v>C02242</v>
      </c>
      <c r="M1735" s="4" t="str">
        <f aca="false">IF($A1735="","",_xlfn.XLOOKUP(LOWER(TRIM(Base_Bruta!L1735)),DePara_Cidade!$A$2:$A$29,DePara_Cidade!$B$2:$B$29,"REVISAR"))</f>
        <v>Belo Horizonte</v>
      </c>
      <c r="N1735" s="4" t="str">
        <f aca="false">IF($A1735="","",UPPER(TRIM(Base_Bruta!M1735)))</f>
        <v>MG</v>
      </c>
      <c r="O1735" s="4" t="str">
        <f aca="false">IF($A1735="","",_xlfn.XLOOKUP(LOWER(TRIM(Base_Bruta!N1735)),DePara_Pais!$A$2:$A$9,DePara_Pais!$B$2:$B$9,"REVISAR"))</f>
        <v>Brasil</v>
      </c>
      <c r="P1735" s="4" t="str">
        <f aca="false">IF($A1735="","",IF(O1735&lt;&gt;"Brasil","Turista Internacional",IF(M1735=F1735,"Local","Turista Nacional")))</f>
        <v>Local</v>
      </c>
      <c r="Q1735" s="7" t="n">
        <f aca="false">IF($A1735="","",DATE(YEAR(B1735),MONTH(B1735),1))</f>
        <v>45839</v>
      </c>
      <c r="R1735" s="4" t="str">
        <f aca="false">IF($A1735="","",IF(COUNTIF($A$2:$A1735,$A1735)&gt;1,"Sim","Não"))</f>
        <v>Não</v>
      </c>
      <c r="S1735" s="4" t="str">
        <f aca="false">IF(A1735="","Descartar - Linha vazia",IF(R1735="Sim","Descartar - Duplicado",IF(OR(H1735&lt;=0,I1735&lt;=0),"Descartar - Qtd/Valor inválido","OK")))</f>
        <v>OK</v>
      </c>
      <c r="T1735" s="4" t="str">
        <f aca="false">Base_Bruta!P1735</f>
        <v>vendas_MG.csv</v>
      </c>
    </row>
    <row r="1736" customFormat="false" ht="15" hidden="false" customHeight="false" outlineLevel="0" collapsed="false">
      <c r="A1736" s="4" t="str">
        <f aca="false">IF(Base_Bruta!A1736="","",Base_Bruta!A1736)</f>
        <v>MG-000466</v>
      </c>
      <c r="B1736" s="5" t="n">
        <f aca="false">IF($A1736="","",IF(ISNUMBER(Base_Bruta!B1736),Base_Bruta!B1736,IF(MID(Base_Bruta!B1736,5,1)="-",DATE(VALUE(LEFT(Base_Bruta!B1736,4)),VALUE(MID(Base_Bruta!B1736,6,2)),VALUE(RIGHT(Base_Bruta!B1736,2))),DATE(VALUE(RIGHT(Base_Bruta!B1736,4)),VALUE(MID(Base_Bruta!B1736,4,2)),VALUE(LEFT(Base_Bruta!B1736,2))))))</f>
        <v>45866</v>
      </c>
      <c r="C1736" s="5" t="n">
        <f aca="false">IF($A1736="","",IF(ISNUMBER(Base_Bruta!C1736),Base_Bruta!C1736,IF(MID(Base_Bruta!C1736,5,1)="-",DATE(VALUE(LEFT(Base_Bruta!C1736,4)),VALUE(MID(Base_Bruta!C1736,6,2)),VALUE(RIGHT(Base_Bruta!C1736,2))),DATE(VALUE(RIGHT(Base_Bruta!C1736,4)),VALUE(MID(Base_Bruta!C1736,4,2)),VALUE(LEFT(Base_Bruta!C1736,2))))))</f>
        <v>45867</v>
      </c>
      <c r="D1736" s="4" t="str">
        <f aca="false">IF($A1736="","",TRIM(Base_Bruta!D1736))</f>
        <v>Cinema Savassi - Sessões</v>
      </c>
      <c r="E1736" s="4" t="str">
        <f aca="false">IF($A1736="","",_xlfn.XLOOKUP(LOWER(TRIM(Base_Bruta!E1736)),DePara_Categoria!$A$2:$A$9,DePara_Categoria!$B$2:$B$9,"REVISAR"))</f>
        <v>Cinema</v>
      </c>
      <c r="F1736" s="4" t="str">
        <f aca="false">IF($A1736="","",_xlfn.XLOOKUP(LOWER(TRIM(Base_Bruta!F1736)),DePara_Cidade!$A$2:$A$29,DePara_Cidade!$B$2:$B$29,"REVISAR"))</f>
        <v>Belo Horizonte</v>
      </c>
      <c r="G1736" s="4" t="str">
        <f aca="false">IF($A1736="","",TRIM(Base_Bruta!G1736))</f>
        <v>Inteira</v>
      </c>
      <c r="H1736" s="4" t="n">
        <f aca="false">IF($A1736="","",IF(ISNUMBER(Base_Bruta!H1736),Base_Bruta!H1736,IFERROR(_xlfn.NUMBERVALUE(TRIM(SUBSTITUTE(Base_Bruta!H1736,"R$","")),",","."),0)))</f>
        <v>2</v>
      </c>
      <c r="I1736" s="6" t="n">
        <f aca="false">IF($A1736="","",IF(ISNUMBER(Base_Bruta!I1736),Base_Bruta!I1736,IFERROR(_xlfn.NUMBERVALUE(TRIM(SUBSTITUTE(Base_Bruta!I1736,"R$","")),",","."),0)))</f>
        <v>30</v>
      </c>
      <c r="J1736" s="6" t="n">
        <f aca="false">IF($A1736="","",H1736*I1736)</f>
        <v>60</v>
      </c>
      <c r="K1736" s="4" t="str">
        <f aca="false">IF($A1736="","",TRIM(Base_Bruta!J1736))</f>
        <v>App</v>
      </c>
      <c r="L1736" s="4" t="str">
        <f aca="false">IF($A1736="","",TRIM(Base_Bruta!K1736))</f>
        <v>C01539</v>
      </c>
      <c r="M1736" s="4" t="str">
        <f aca="false">IF($A1736="","",_xlfn.XLOOKUP(LOWER(TRIM(Base_Bruta!L1736)),DePara_Cidade!$A$2:$A$29,DePara_Cidade!$B$2:$B$29,"REVISAR"))</f>
        <v>Belo Horizonte</v>
      </c>
      <c r="N1736" s="4" t="str">
        <f aca="false">IF($A1736="","",UPPER(TRIM(Base_Bruta!M1736)))</f>
        <v>MG</v>
      </c>
      <c r="O1736" s="4" t="str">
        <f aca="false">IF($A1736="","",_xlfn.XLOOKUP(LOWER(TRIM(Base_Bruta!N1736)),DePara_Pais!$A$2:$A$9,DePara_Pais!$B$2:$B$9,"REVISAR"))</f>
        <v>Brasil</v>
      </c>
      <c r="P1736" s="4" t="str">
        <f aca="false">IF($A1736="","",IF(O1736&lt;&gt;"Brasil","Turista Internacional",IF(M1736=F1736,"Local","Turista Nacional")))</f>
        <v>Local</v>
      </c>
      <c r="Q1736" s="7" t="n">
        <f aca="false">IF($A1736="","",DATE(YEAR(B1736),MONTH(B1736),1))</f>
        <v>45839</v>
      </c>
      <c r="R1736" s="4" t="str">
        <f aca="false">IF($A1736="","",IF(COUNTIF($A$2:$A1736,$A1736)&gt;1,"Sim","Não"))</f>
        <v>Não</v>
      </c>
      <c r="S1736" s="4" t="str">
        <f aca="false">IF(A1736="","Descartar - Linha vazia",IF(R1736="Sim","Descartar - Duplicado",IF(OR(H1736&lt;=0,I1736&lt;=0),"Descartar - Qtd/Valor inválido","OK")))</f>
        <v>OK</v>
      </c>
      <c r="T1736" s="4" t="str">
        <f aca="false">Base_Bruta!P1736</f>
        <v>vendas_MG.csv</v>
      </c>
    </row>
    <row r="1737" customFormat="false" ht="15" hidden="false" customHeight="false" outlineLevel="0" collapsed="false">
      <c r="A1737" s="4" t="str">
        <f aca="false">IF(Base_Bruta!A1737="","",Base_Bruta!A1737)</f>
        <v>MG-000115</v>
      </c>
      <c r="B1737" s="5" t="n">
        <f aca="false">IF($A1737="","",IF(ISNUMBER(Base_Bruta!B1737),Base_Bruta!B1737,IF(MID(Base_Bruta!B1737,5,1)="-",DATE(VALUE(LEFT(Base_Bruta!B1737,4)),VALUE(MID(Base_Bruta!B1737,6,2)),VALUE(RIGHT(Base_Bruta!B1737,2))),DATE(VALUE(RIGHT(Base_Bruta!B1737,4)),VALUE(MID(Base_Bruta!B1737,4,2)),VALUE(LEFT(Base_Bruta!B1737,2))))))</f>
        <v>45867</v>
      </c>
      <c r="C1737" s="5" t="n">
        <f aca="false">IF($A1737="","",IF(ISNUMBER(Base_Bruta!C1737),Base_Bruta!C1737,IF(MID(Base_Bruta!C1737,5,1)="-",DATE(VALUE(LEFT(Base_Bruta!C1737,4)),VALUE(MID(Base_Bruta!C1737,6,2)),VALUE(RIGHT(Base_Bruta!C1737,2))),DATE(VALUE(RIGHT(Base_Bruta!C1737,4)),VALUE(MID(Base_Bruta!C1737,4,2)),VALUE(LEFT(Base_Bruta!C1737,2))))))</f>
        <v>45892</v>
      </c>
      <c r="D1737" s="4" t="str">
        <f aca="false">IF($A1737="","",TRIM(Base_Bruta!D1737))</f>
        <v>Festival Montanhas BH 2025</v>
      </c>
      <c r="E1737" s="4" t="str">
        <f aca="false">IF($A1737="","",_xlfn.XLOOKUP(LOWER(TRIM(Base_Bruta!E1737)),DePara_Categoria!$A$2:$A$9,DePara_Categoria!$B$2:$B$9,"REVISAR"))</f>
        <v>Festival</v>
      </c>
      <c r="F1737" s="4" t="str">
        <f aca="false">IF($A1737="","",_xlfn.XLOOKUP(LOWER(TRIM(Base_Bruta!F1737)),DePara_Cidade!$A$2:$A$29,DePara_Cidade!$B$2:$B$29,"REVISAR"))</f>
        <v>Belo Horizonte</v>
      </c>
      <c r="G1737" s="4" t="str">
        <f aca="false">IF($A1737="","",TRIM(Base_Bruta!G1737))</f>
        <v>Inteira</v>
      </c>
      <c r="H1737" s="4" t="n">
        <f aca="false">IF($A1737="","",IF(ISNUMBER(Base_Bruta!H1737),Base_Bruta!H1737,IFERROR(_xlfn.NUMBERVALUE(TRIM(SUBSTITUTE(Base_Bruta!H1737,"R$","")),",","."),0)))</f>
        <v>2</v>
      </c>
      <c r="I1737" s="6" t="n">
        <f aca="false">IF($A1737="","",IF(ISNUMBER(Base_Bruta!I1737),Base_Bruta!I1737,IFERROR(_xlfn.NUMBERVALUE(TRIM(SUBSTITUTE(Base_Bruta!I1737,"R$","")),",","."),0)))</f>
        <v>1045</v>
      </c>
      <c r="J1737" s="6" t="n">
        <f aca="false">IF($A1737="","",H1737*I1737)</f>
        <v>2090</v>
      </c>
      <c r="K1737" s="4" t="str">
        <f aca="false">IF($A1737="","",TRIM(Base_Bruta!J1737))</f>
        <v>Site</v>
      </c>
      <c r="L1737" s="4" t="str">
        <f aca="false">IF($A1737="","",TRIM(Base_Bruta!K1737))</f>
        <v>C01979</v>
      </c>
      <c r="M1737" s="4" t="str">
        <f aca="false">IF($A1737="","",_xlfn.XLOOKUP(LOWER(TRIM(Base_Bruta!L1737)),DePara_Cidade!$A$2:$A$29,DePara_Cidade!$B$2:$B$29,"REVISAR"))</f>
        <v>Belo Horizonte</v>
      </c>
      <c r="N1737" s="4" t="str">
        <f aca="false">IF($A1737="","",UPPER(TRIM(Base_Bruta!M1737)))</f>
        <v>MG</v>
      </c>
      <c r="O1737" s="4" t="str">
        <f aca="false">IF($A1737="","",_xlfn.XLOOKUP(LOWER(TRIM(Base_Bruta!N1737)),DePara_Pais!$A$2:$A$9,DePara_Pais!$B$2:$B$9,"REVISAR"))</f>
        <v>Brasil</v>
      </c>
      <c r="P1737" s="4" t="str">
        <f aca="false">IF($A1737="","",IF(O1737&lt;&gt;"Brasil","Turista Internacional",IF(M1737=F1737,"Local","Turista Nacional")))</f>
        <v>Local</v>
      </c>
      <c r="Q1737" s="7" t="n">
        <f aca="false">IF($A1737="","",DATE(YEAR(B1737),MONTH(B1737),1))</f>
        <v>45839</v>
      </c>
      <c r="R1737" s="4" t="str">
        <f aca="false">IF($A1737="","",IF(COUNTIF($A$2:$A1737,$A1737)&gt;1,"Sim","Não"))</f>
        <v>Não</v>
      </c>
      <c r="S1737" s="4" t="str">
        <f aca="false">IF(A1737="","Descartar - Linha vazia",IF(R1737="Sim","Descartar - Duplicado",IF(OR(H1737&lt;=0,I1737&lt;=0),"Descartar - Qtd/Valor inválido","OK")))</f>
        <v>OK</v>
      </c>
      <c r="T1737" s="4" t="str">
        <f aca="false">Base_Bruta!P1737</f>
        <v>vendas_MG.csv</v>
      </c>
    </row>
    <row r="1738" customFormat="false" ht="15" hidden="false" customHeight="false" outlineLevel="0" collapsed="false">
      <c r="A1738" s="4" t="str">
        <f aca="false">IF(Base_Bruta!A1738="","",Base_Bruta!A1738)</f>
        <v>MG-000461</v>
      </c>
      <c r="B1738" s="5" t="n">
        <f aca="false">IF($A1738="","",IF(ISNUMBER(Base_Bruta!B1738),Base_Bruta!B1738,IF(MID(Base_Bruta!B1738,5,1)="-",DATE(VALUE(LEFT(Base_Bruta!B1738,4)),VALUE(MID(Base_Bruta!B1738,6,2)),VALUE(RIGHT(Base_Bruta!B1738,2))),DATE(VALUE(RIGHT(Base_Bruta!B1738,4)),VALUE(MID(Base_Bruta!B1738,4,2)),VALUE(LEFT(Base_Bruta!B1738,2))))))</f>
        <v>45868</v>
      </c>
      <c r="C1738" s="5" t="n">
        <f aca="false">IF($A1738="","",IF(ISNUMBER(Base_Bruta!C1738),Base_Bruta!C1738,IF(MID(Base_Bruta!C1738,5,1)="-",DATE(VALUE(LEFT(Base_Bruta!C1738,4)),VALUE(MID(Base_Bruta!C1738,6,2)),VALUE(RIGHT(Base_Bruta!C1738,2))),DATE(VALUE(RIGHT(Base_Bruta!C1738,4)),VALUE(MID(Base_Bruta!C1738,4,2)),VALUE(LEFT(Base_Bruta!C1738,2))))))</f>
        <v>45869</v>
      </c>
      <c r="D1738" s="4" t="str">
        <f aca="false">IF($A1738="","",TRIM(Base_Bruta!D1738))</f>
        <v>Cinema Savassi - Sessões</v>
      </c>
      <c r="E1738" s="4" t="str">
        <f aca="false">IF($A1738="","",_xlfn.XLOOKUP(LOWER(TRIM(Base_Bruta!E1738)),DePara_Categoria!$A$2:$A$9,DePara_Categoria!$B$2:$B$9,"REVISAR"))</f>
        <v>Cinema</v>
      </c>
      <c r="F1738" s="4" t="str">
        <f aca="false">IF($A1738="","",_xlfn.XLOOKUP(LOWER(TRIM(Base_Bruta!F1738)),DePara_Cidade!$A$2:$A$29,DePara_Cidade!$B$2:$B$29,"REVISAR"))</f>
        <v>Belo Horizonte</v>
      </c>
      <c r="G1738" s="4" t="str">
        <f aca="false">IF($A1738="","",TRIM(Base_Bruta!G1738))</f>
        <v>Inteira</v>
      </c>
      <c r="H1738" s="4" t="n">
        <f aca="false">IF($A1738="","",IF(ISNUMBER(Base_Bruta!H1738),Base_Bruta!H1738,IFERROR(_xlfn.NUMBERVALUE(TRIM(SUBSTITUTE(Base_Bruta!H1738,"R$","")),",","."),0)))</f>
        <v>3</v>
      </c>
      <c r="I1738" s="6" t="n">
        <f aca="false">IF($A1738="","",IF(ISNUMBER(Base_Bruta!I1738),Base_Bruta!I1738,IFERROR(_xlfn.NUMBERVALUE(TRIM(SUBSTITUTE(Base_Bruta!I1738,"R$","")),",","."),0)))</f>
        <v>45</v>
      </c>
      <c r="J1738" s="6" t="n">
        <f aca="false">IF($A1738="","",H1738*I1738)</f>
        <v>135</v>
      </c>
      <c r="K1738" s="4" t="str">
        <f aca="false">IF($A1738="","",TRIM(Base_Bruta!J1738))</f>
        <v>Bilheteria</v>
      </c>
      <c r="L1738" s="4" t="str">
        <f aca="false">IF($A1738="","",TRIM(Base_Bruta!K1738))</f>
        <v>C01227</v>
      </c>
      <c r="M1738" s="4" t="str">
        <f aca="false">IF($A1738="","",_xlfn.XLOOKUP(LOWER(TRIM(Base_Bruta!L1738)),DePara_Cidade!$A$2:$A$29,DePara_Cidade!$B$2:$B$29,"REVISAR"))</f>
        <v>Belo Horizonte</v>
      </c>
      <c r="N1738" s="4" t="str">
        <f aca="false">IF($A1738="","",UPPER(TRIM(Base_Bruta!M1738)))</f>
        <v>MG</v>
      </c>
      <c r="O1738" s="4" t="str">
        <f aca="false">IF($A1738="","",_xlfn.XLOOKUP(LOWER(TRIM(Base_Bruta!N1738)),DePara_Pais!$A$2:$A$9,DePara_Pais!$B$2:$B$9,"REVISAR"))</f>
        <v>Brasil</v>
      </c>
      <c r="P1738" s="4" t="str">
        <f aca="false">IF($A1738="","",IF(O1738&lt;&gt;"Brasil","Turista Internacional",IF(M1738=F1738,"Local","Turista Nacional")))</f>
        <v>Local</v>
      </c>
      <c r="Q1738" s="7" t="n">
        <f aca="false">IF($A1738="","",DATE(YEAR(B1738),MONTH(B1738),1))</f>
        <v>45839</v>
      </c>
      <c r="R1738" s="4" t="str">
        <f aca="false">IF($A1738="","",IF(COUNTIF($A$2:$A1738,$A1738)&gt;1,"Sim","Não"))</f>
        <v>Não</v>
      </c>
      <c r="S1738" s="4" t="str">
        <f aca="false">IF(A1738="","Descartar - Linha vazia",IF(R1738="Sim","Descartar - Duplicado",IF(OR(H1738&lt;=0,I1738&lt;=0),"Descartar - Qtd/Valor inválido","OK")))</f>
        <v>OK</v>
      </c>
      <c r="T1738" s="4" t="str">
        <f aca="false">Base_Bruta!P1738</f>
        <v>vendas_MG.csv</v>
      </c>
    </row>
    <row r="1739" customFormat="false" ht="15" hidden="false" customHeight="false" outlineLevel="0" collapsed="false">
      <c r="A1739" s="4" t="str">
        <f aca="false">IF(Base_Bruta!A1739="","",Base_Bruta!A1739)</f>
        <v>MG-000111</v>
      </c>
      <c r="B1739" s="5" t="n">
        <f aca="false">IF($A1739="","",IF(ISNUMBER(Base_Bruta!B1739),Base_Bruta!B1739,IF(MID(Base_Bruta!B1739,5,1)="-",DATE(VALUE(LEFT(Base_Bruta!B1739,4)),VALUE(MID(Base_Bruta!B1739,6,2)),VALUE(RIGHT(Base_Bruta!B1739,2))),DATE(VALUE(RIGHT(Base_Bruta!B1739,4)),VALUE(MID(Base_Bruta!B1739,4,2)),VALUE(LEFT(Base_Bruta!B1739,2))))))</f>
        <v>45870</v>
      </c>
      <c r="C1739" s="5" t="n">
        <f aca="false">IF($A1739="","",IF(ISNUMBER(Base_Bruta!C1739),Base_Bruta!C1739,IF(MID(Base_Bruta!C1739,5,1)="-",DATE(VALUE(LEFT(Base_Bruta!C1739,4)),VALUE(MID(Base_Bruta!C1739,6,2)),VALUE(RIGHT(Base_Bruta!C1739,2))),DATE(VALUE(RIGHT(Base_Bruta!C1739,4)),VALUE(MID(Base_Bruta!C1739,4,2)),VALUE(LEFT(Base_Bruta!C1739,2))))))</f>
        <v>45892</v>
      </c>
      <c r="D1739" s="4" t="str">
        <f aca="false">IF($A1739="","",TRIM(Base_Bruta!D1739))</f>
        <v>Festival Montanhas BH 2025</v>
      </c>
      <c r="E1739" s="4" t="str">
        <f aca="false">IF($A1739="","",_xlfn.XLOOKUP(LOWER(TRIM(Base_Bruta!E1739)),DePara_Categoria!$A$2:$A$9,DePara_Categoria!$B$2:$B$9,"REVISAR"))</f>
        <v>Festival</v>
      </c>
      <c r="F1739" s="4" t="str">
        <f aca="false">IF($A1739="","",_xlfn.XLOOKUP(LOWER(TRIM(Base_Bruta!F1739)),DePara_Cidade!$A$2:$A$29,DePara_Cidade!$B$2:$B$29,"REVISAR"))</f>
        <v>Belo Horizonte</v>
      </c>
      <c r="G1739" s="4" t="str">
        <f aca="false">IF($A1739="","",TRIM(Base_Bruta!G1739))</f>
        <v>Meia</v>
      </c>
      <c r="H1739" s="4" t="n">
        <f aca="false">IF($A1739="","",IF(ISNUMBER(Base_Bruta!H1739),Base_Bruta!H1739,IFERROR(_xlfn.NUMBERVALUE(TRIM(SUBSTITUTE(Base_Bruta!H1739,"R$","")),",","."),0)))</f>
        <v>3</v>
      </c>
      <c r="I1739" s="6" t="n">
        <f aca="false">IF($A1739="","",IF(ISNUMBER(Base_Bruta!I1739),Base_Bruta!I1739,IFERROR(_xlfn.NUMBERVALUE(TRIM(SUBSTITUTE(Base_Bruta!I1739,"R$","")),",","."),0)))</f>
        <v>455</v>
      </c>
      <c r="J1739" s="6" t="n">
        <f aca="false">IF($A1739="","",H1739*I1739)</f>
        <v>1365</v>
      </c>
      <c r="K1739" s="4" t="str">
        <f aca="false">IF($A1739="","",TRIM(Base_Bruta!J1739))</f>
        <v>Site</v>
      </c>
      <c r="L1739" s="4" t="str">
        <f aca="false">IF($A1739="","",TRIM(Base_Bruta!K1739))</f>
        <v>C02086</v>
      </c>
      <c r="M1739" s="4" t="str">
        <f aca="false">IF($A1739="","",_xlfn.XLOOKUP(LOWER(TRIM(Base_Bruta!L1739)),DePara_Cidade!$A$2:$A$29,DePara_Cidade!$B$2:$B$29,"REVISAR"))</f>
        <v>Campinas</v>
      </c>
      <c r="N1739" s="4" t="str">
        <f aca="false">IF($A1739="","",UPPER(TRIM(Base_Bruta!M1739)))</f>
        <v>SP</v>
      </c>
      <c r="O1739" s="4" t="str">
        <f aca="false">IF($A1739="","",_xlfn.XLOOKUP(LOWER(TRIM(Base_Bruta!N1739)),DePara_Pais!$A$2:$A$9,DePara_Pais!$B$2:$B$9,"REVISAR"))</f>
        <v>Brasil</v>
      </c>
      <c r="P1739" s="4" t="str">
        <f aca="false">IF($A1739="","",IF(O1739&lt;&gt;"Brasil","Turista Internacional",IF(M1739=F1739,"Local","Turista Nacional")))</f>
        <v>Turista Nacional</v>
      </c>
      <c r="Q1739" s="7" t="n">
        <f aca="false">IF($A1739="","",DATE(YEAR(B1739),MONTH(B1739),1))</f>
        <v>45870</v>
      </c>
      <c r="R1739" s="4" t="str">
        <f aca="false">IF($A1739="","",IF(COUNTIF($A$2:$A1739,$A1739)&gt;1,"Sim","Não"))</f>
        <v>Não</v>
      </c>
      <c r="S1739" s="4" t="str">
        <f aca="false">IF(A1739="","Descartar - Linha vazia",IF(R1739="Sim","Descartar - Duplicado",IF(OR(H1739&lt;=0,I1739&lt;=0),"Descartar - Qtd/Valor inválido","OK")))</f>
        <v>OK</v>
      </c>
      <c r="T1739" s="4" t="str">
        <f aca="false">Base_Bruta!P1739</f>
        <v>vendas_MG.csv</v>
      </c>
    </row>
    <row r="1740" customFormat="false" ht="15" hidden="false" customHeight="false" outlineLevel="0" collapsed="false">
      <c r="A1740" s="4" t="str">
        <f aca="false">IF(Base_Bruta!A1740="","",Base_Bruta!A1740)</f>
        <v>MG-000496</v>
      </c>
      <c r="B1740" s="5" t="n">
        <f aca="false">IF($A1740="","",IF(ISNUMBER(Base_Bruta!B1740),Base_Bruta!B1740,IF(MID(Base_Bruta!B1740,5,1)="-",DATE(VALUE(LEFT(Base_Bruta!B1740,4)),VALUE(MID(Base_Bruta!B1740,6,2)),VALUE(RIGHT(Base_Bruta!B1740,2))),DATE(VALUE(RIGHT(Base_Bruta!B1740,4)),VALUE(MID(Base_Bruta!B1740,4,2)),VALUE(LEFT(Base_Bruta!B1740,2))))))</f>
        <v>45870</v>
      </c>
      <c r="C1740" s="5" t="n">
        <f aca="false">IF($A1740="","",IF(ISNUMBER(Base_Bruta!C1740),Base_Bruta!C1740,IF(MID(Base_Bruta!C1740,5,1)="-",DATE(VALUE(LEFT(Base_Bruta!C1740,4)),VALUE(MID(Base_Bruta!C1740,6,2)),VALUE(RIGHT(Base_Bruta!C1740,2))),DATE(VALUE(RIGHT(Base_Bruta!C1740,4)),VALUE(MID(Base_Bruta!C1740,4,2)),VALUE(LEFT(Base_Bruta!C1740,2))))))</f>
        <v>45871</v>
      </c>
      <c r="D1740" s="4" t="str">
        <f aca="false">IF($A1740="","",TRIM(Base_Bruta!D1740))</f>
        <v>Cinema Savassi - Sessões</v>
      </c>
      <c r="E1740" s="4" t="str">
        <f aca="false">IF($A1740="","",_xlfn.XLOOKUP(LOWER(TRIM(Base_Bruta!E1740)),DePara_Categoria!$A$2:$A$9,DePara_Categoria!$B$2:$B$9,"REVISAR"))</f>
        <v>Cinema</v>
      </c>
      <c r="F1740" s="4" t="str">
        <f aca="false">IF($A1740="","",_xlfn.XLOOKUP(LOWER(TRIM(Base_Bruta!F1740)),DePara_Cidade!$A$2:$A$29,DePara_Cidade!$B$2:$B$29,"REVISAR"))</f>
        <v>Belo Horizonte</v>
      </c>
      <c r="G1740" s="4" t="str">
        <f aca="false">IF($A1740="","",TRIM(Base_Bruta!G1740))</f>
        <v>Inteira</v>
      </c>
      <c r="H1740" s="4" t="n">
        <f aca="false">IF($A1740="","",IF(ISNUMBER(Base_Bruta!H1740),Base_Bruta!H1740,IFERROR(_xlfn.NUMBERVALUE(TRIM(SUBSTITUTE(Base_Bruta!H1740,"R$","")),",","."),0)))</f>
        <v>4</v>
      </c>
      <c r="I1740" s="6" t="n">
        <f aca="false">IF($A1740="","",IF(ISNUMBER(Base_Bruta!I1740),Base_Bruta!I1740,IFERROR(_xlfn.NUMBERVALUE(TRIM(SUBSTITUTE(Base_Bruta!I1740,"R$","")),",","."),0)))</f>
        <v>35</v>
      </c>
      <c r="J1740" s="6" t="n">
        <f aca="false">IF($A1740="","",H1740*I1740)</f>
        <v>140</v>
      </c>
      <c r="K1740" s="4" t="str">
        <f aca="false">IF($A1740="","",TRIM(Base_Bruta!J1740))</f>
        <v>Bilheteria</v>
      </c>
      <c r="L1740" s="4" t="str">
        <f aca="false">IF($A1740="","",TRIM(Base_Bruta!K1740))</f>
        <v>C00051</v>
      </c>
      <c r="M1740" s="4" t="str">
        <f aca="false">IF($A1740="","",_xlfn.XLOOKUP(LOWER(TRIM(Base_Bruta!L1740)),DePara_Cidade!$A$2:$A$29,DePara_Cidade!$B$2:$B$29,"REVISAR"))</f>
        <v>Belo Horizonte</v>
      </c>
      <c r="N1740" s="4" t="str">
        <f aca="false">IF($A1740="","",UPPER(TRIM(Base_Bruta!M1740)))</f>
        <v>MG</v>
      </c>
      <c r="O1740" s="4" t="str">
        <f aca="false">IF($A1740="","",_xlfn.XLOOKUP(LOWER(TRIM(Base_Bruta!N1740)),DePara_Pais!$A$2:$A$9,DePara_Pais!$B$2:$B$9,"REVISAR"))</f>
        <v>Brasil</v>
      </c>
      <c r="P1740" s="4" t="str">
        <f aca="false">IF($A1740="","",IF(O1740&lt;&gt;"Brasil","Turista Internacional",IF(M1740=F1740,"Local","Turista Nacional")))</f>
        <v>Local</v>
      </c>
      <c r="Q1740" s="7" t="n">
        <f aca="false">IF($A1740="","",DATE(YEAR(B1740),MONTH(B1740),1))</f>
        <v>45870</v>
      </c>
      <c r="R1740" s="4" t="str">
        <f aca="false">IF($A1740="","",IF(COUNTIF($A$2:$A1740,$A1740)&gt;1,"Sim","Não"))</f>
        <v>Não</v>
      </c>
      <c r="S1740" s="4" t="str">
        <f aca="false">IF(A1740="","Descartar - Linha vazia",IF(R1740="Sim","Descartar - Duplicado",IF(OR(H1740&lt;=0,I1740&lt;=0),"Descartar - Qtd/Valor inválido","OK")))</f>
        <v>OK</v>
      </c>
      <c r="T1740" s="4" t="str">
        <f aca="false">Base_Bruta!P1740</f>
        <v>vendas_MG.csv</v>
      </c>
    </row>
    <row r="1741" customFormat="false" ht="15" hidden="false" customHeight="false" outlineLevel="0" collapsed="false">
      <c r="A1741" s="4" t="str">
        <f aca="false">IF(Base_Bruta!A1741="","",Base_Bruta!A1741)</f>
        <v/>
      </c>
      <c r="B1741" s="5" t="str">
        <f aca="false">IF($A1741="","",IF(ISNUMBER(Base_Bruta!B1741),Base_Bruta!B1741,IF(MID(Base_Bruta!B1741,5,1)="-",DATE(VALUE(LEFT(Base_Bruta!B1741,4)),VALUE(MID(Base_Bruta!B1741,6,2)),VALUE(RIGHT(Base_Bruta!B1741,2))),DATE(VALUE(RIGHT(Base_Bruta!B1741,4)),VALUE(MID(Base_Bruta!B1741,4,2)),VALUE(LEFT(Base_Bruta!B1741,2))))))</f>
        <v/>
      </c>
      <c r="C1741" s="5" t="str">
        <f aca="false">IF($A1741="","",IF(ISNUMBER(Base_Bruta!C1741),Base_Bruta!C1741,IF(MID(Base_Bruta!C1741,5,1)="-",DATE(VALUE(LEFT(Base_Bruta!C1741,4)),VALUE(MID(Base_Bruta!C1741,6,2)),VALUE(RIGHT(Base_Bruta!C1741,2))),DATE(VALUE(RIGHT(Base_Bruta!C1741,4)),VALUE(MID(Base_Bruta!C1741,4,2)),VALUE(LEFT(Base_Bruta!C1741,2))))))</f>
        <v/>
      </c>
      <c r="D1741" s="4" t="str">
        <f aca="false">IF($A1741="","",TRIM(Base_Bruta!D1741))</f>
        <v/>
      </c>
      <c r="E1741" s="4" t="str">
        <f aca="false">IF($A1741="","",_xlfn.XLOOKUP(LOWER(TRIM(Base_Bruta!E1741)),DePara_Categoria!$A$2:$A$9,DePara_Categoria!$B$2:$B$9,"REVISAR"))</f>
        <v/>
      </c>
      <c r="F1741" s="4" t="str">
        <f aca="false">IF($A1741="","",_xlfn.XLOOKUP(LOWER(TRIM(Base_Bruta!F1741)),DePara_Cidade!$A$2:$A$29,DePara_Cidade!$B$2:$B$29,"REVISAR"))</f>
        <v/>
      </c>
      <c r="G1741" s="4" t="str">
        <f aca="false">IF($A1741="","",TRIM(Base_Bruta!G1741))</f>
        <v/>
      </c>
      <c r="H1741" s="4" t="str">
        <f aca="false">IF($A1741="","",IF(ISNUMBER(Base_Bruta!H1741),Base_Bruta!H1741,IFERROR(_xlfn.NUMBERVALUE(TRIM(SUBSTITUTE(Base_Bruta!H1741,"R$","")),",","."),0)))</f>
        <v/>
      </c>
      <c r="I1741" s="6" t="str">
        <f aca="false">IF($A1741="","",IF(ISNUMBER(Base_Bruta!I1741),Base_Bruta!I1741,IFERROR(_xlfn.NUMBERVALUE(TRIM(SUBSTITUTE(Base_Bruta!I1741,"R$","")),",","."),0)))</f>
        <v/>
      </c>
      <c r="J1741" s="6" t="str">
        <f aca="false">IF($A1741="","",H1741*I1741)</f>
        <v/>
      </c>
      <c r="K1741" s="4" t="str">
        <f aca="false">IF($A1741="","",TRIM(Base_Bruta!J1741))</f>
        <v/>
      </c>
      <c r="L1741" s="4" t="str">
        <f aca="false">IF($A1741="","",TRIM(Base_Bruta!K1741))</f>
        <v/>
      </c>
      <c r="M1741" s="4" t="str">
        <f aca="false">IF($A1741="","",_xlfn.XLOOKUP(LOWER(TRIM(Base_Bruta!L1741)),DePara_Cidade!$A$2:$A$29,DePara_Cidade!$B$2:$B$29,"REVISAR"))</f>
        <v/>
      </c>
      <c r="N1741" s="4" t="str">
        <f aca="false">IF($A1741="","",UPPER(TRIM(Base_Bruta!M1741)))</f>
        <v/>
      </c>
      <c r="O1741" s="4" t="str">
        <f aca="false">IF($A1741="","",_xlfn.XLOOKUP(LOWER(TRIM(Base_Bruta!N1741)),DePara_Pais!$A$2:$A$9,DePara_Pais!$B$2:$B$9,"REVISAR"))</f>
        <v/>
      </c>
      <c r="P1741" s="4" t="str">
        <f aca="false">IF($A1741="","",IF(O1741&lt;&gt;"Brasil","Turista Internacional",IF(M1741=F1741,"Local","Turista Nacional")))</f>
        <v/>
      </c>
      <c r="Q1741" s="7" t="str">
        <f aca="false">IF($A1741="","",DATE(YEAR(B1741),MONTH(B1741),1))</f>
        <v/>
      </c>
      <c r="R1741" s="4" t="str">
        <f aca="false">IF($A1741="","",IF(COUNTIF($A$2:$A1741,$A1741)&gt;1,"Sim","Não"))</f>
        <v/>
      </c>
      <c r="S1741" s="4" t="str">
        <f aca="false">IF(A1741="","Descartar - Linha vazia",IF(R1741="Sim","Descartar - Duplicado",IF(OR(H1741&lt;=0,I1741&lt;=0),"Descartar - Qtd/Valor inválido","OK")))</f>
        <v>Descartar - Linha vazia</v>
      </c>
      <c r="T1741" s="4" t="str">
        <f aca="false">Base_Bruta!P1741</f>
        <v>vendas_MG.csv</v>
      </c>
    </row>
    <row r="1742" customFormat="false" ht="15" hidden="false" customHeight="false" outlineLevel="0" collapsed="false">
      <c r="A1742" s="4" t="str">
        <f aca="false">IF(Base_Bruta!A1742="","",Base_Bruta!A1742)</f>
        <v>MG-000442</v>
      </c>
      <c r="B1742" s="5" t="n">
        <f aca="false">IF($A1742="","",IF(ISNUMBER(Base_Bruta!B1742),Base_Bruta!B1742,IF(MID(Base_Bruta!B1742,5,1)="-",DATE(VALUE(LEFT(Base_Bruta!B1742,4)),VALUE(MID(Base_Bruta!B1742,6,2)),VALUE(RIGHT(Base_Bruta!B1742,2))),DATE(VALUE(RIGHT(Base_Bruta!B1742,4)),VALUE(MID(Base_Bruta!B1742,4,2)),VALUE(LEFT(Base_Bruta!B1742,2))))))</f>
        <v>45871</v>
      </c>
      <c r="C1742" s="5" t="n">
        <f aca="false">IF($A1742="","",IF(ISNUMBER(Base_Bruta!C1742),Base_Bruta!C1742,IF(MID(Base_Bruta!C1742,5,1)="-",DATE(VALUE(LEFT(Base_Bruta!C1742,4)),VALUE(MID(Base_Bruta!C1742,6,2)),VALUE(RIGHT(Base_Bruta!C1742,2))),DATE(VALUE(RIGHT(Base_Bruta!C1742,4)),VALUE(MID(Base_Bruta!C1742,4,2)),VALUE(LEFT(Base_Bruta!C1742,2))))))</f>
        <v>45872</v>
      </c>
      <c r="D1742" s="4" t="str">
        <f aca="false">IF($A1742="","",TRIM(Base_Bruta!D1742))</f>
        <v>Cinema Savassi - Sessões</v>
      </c>
      <c r="E1742" s="4" t="str">
        <f aca="false">IF($A1742="","",_xlfn.XLOOKUP(LOWER(TRIM(Base_Bruta!E1742)),DePara_Categoria!$A$2:$A$9,DePara_Categoria!$B$2:$B$9,"REVISAR"))</f>
        <v>Cinema</v>
      </c>
      <c r="F1742" s="4" t="str">
        <f aca="false">IF($A1742="","",_xlfn.XLOOKUP(LOWER(TRIM(Base_Bruta!F1742)),DePara_Cidade!$A$2:$A$29,DePara_Cidade!$B$2:$B$29,"REVISAR"))</f>
        <v>Belo Horizonte</v>
      </c>
      <c r="G1742" s="4" t="str">
        <f aca="false">IF($A1742="","",TRIM(Base_Bruta!G1742))</f>
        <v>Inteira</v>
      </c>
      <c r="H1742" s="4" t="n">
        <f aca="false">IF($A1742="","",IF(ISNUMBER(Base_Bruta!H1742),Base_Bruta!H1742,IFERROR(_xlfn.NUMBERVALUE(TRIM(SUBSTITUTE(Base_Bruta!H1742,"R$","")),",","."),0)))</f>
        <v>1</v>
      </c>
      <c r="I1742" s="6" t="n">
        <f aca="false">IF($A1742="","",IF(ISNUMBER(Base_Bruta!I1742),Base_Bruta!I1742,IFERROR(_xlfn.NUMBERVALUE(TRIM(SUBSTITUTE(Base_Bruta!I1742,"R$","")),",","."),0)))</f>
        <v>30</v>
      </c>
      <c r="J1742" s="6" t="n">
        <f aca="false">IF($A1742="","",H1742*I1742)</f>
        <v>30</v>
      </c>
      <c r="K1742" s="4" t="str">
        <f aca="false">IF($A1742="","",TRIM(Base_Bruta!J1742))</f>
        <v>Site</v>
      </c>
      <c r="L1742" s="4" t="str">
        <f aca="false">IF($A1742="","",TRIM(Base_Bruta!K1742))</f>
        <v>C01962</v>
      </c>
      <c r="M1742" s="4" t="str">
        <f aca="false">IF($A1742="","",_xlfn.XLOOKUP(LOWER(TRIM(Base_Bruta!L1742)),DePara_Cidade!$A$2:$A$29,DePara_Cidade!$B$2:$B$29,"REVISAR"))</f>
        <v>Belo Horizonte</v>
      </c>
      <c r="N1742" s="4" t="str">
        <f aca="false">IF($A1742="","",UPPER(TRIM(Base_Bruta!M1742)))</f>
        <v>MG</v>
      </c>
      <c r="O1742" s="4" t="str">
        <f aca="false">IF($A1742="","",_xlfn.XLOOKUP(LOWER(TRIM(Base_Bruta!N1742)),DePara_Pais!$A$2:$A$9,DePara_Pais!$B$2:$B$9,"REVISAR"))</f>
        <v>Brasil</v>
      </c>
      <c r="P1742" s="4" t="str">
        <f aca="false">IF($A1742="","",IF(O1742&lt;&gt;"Brasil","Turista Internacional",IF(M1742=F1742,"Local","Turista Nacional")))</f>
        <v>Local</v>
      </c>
      <c r="Q1742" s="7" t="n">
        <f aca="false">IF($A1742="","",DATE(YEAR(B1742),MONTH(B1742),1))</f>
        <v>45870</v>
      </c>
      <c r="R1742" s="4" t="str">
        <f aca="false">IF($A1742="","",IF(COUNTIF($A$2:$A1742,$A1742)&gt;1,"Sim","Não"))</f>
        <v>Não</v>
      </c>
      <c r="S1742" s="4" t="str">
        <f aca="false">IF(A1742="","Descartar - Linha vazia",IF(R1742="Sim","Descartar - Duplicado",IF(OR(H1742&lt;=0,I1742&lt;=0),"Descartar - Qtd/Valor inválido","OK")))</f>
        <v>OK</v>
      </c>
      <c r="T1742" s="4" t="str">
        <f aca="false">Base_Bruta!P1742</f>
        <v>vendas_MG.csv</v>
      </c>
    </row>
    <row r="1743" customFormat="false" ht="15" hidden="false" customHeight="false" outlineLevel="0" collapsed="false">
      <c r="A1743" s="4" t="str">
        <f aca="false">IF(Base_Bruta!A1743="","",Base_Bruta!A1743)</f>
        <v>MG-000182</v>
      </c>
      <c r="B1743" s="5" t="n">
        <f aca="false">IF($A1743="","",IF(ISNUMBER(Base_Bruta!B1743),Base_Bruta!B1743,IF(MID(Base_Bruta!B1743,5,1)="-",DATE(VALUE(LEFT(Base_Bruta!B1743,4)),VALUE(MID(Base_Bruta!B1743,6,2)),VALUE(RIGHT(Base_Bruta!B1743,2))),DATE(VALUE(RIGHT(Base_Bruta!B1743,4)),VALUE(MID(Base_Bruta!B1743,4,2)),VALUE(LEFT(Base_Bruta!B1743,2))))))</f>
        <v>45872</v>
      </c>
      <c r="C1743" s="5" t="n">
        <f aca="false">IF($A1743="","",IF(ISNUMBER(Base_Bruta!C1743),Base_Bruta!C1743,IF(MID(Base_Bruta!C1743,5,1)="-",DATE(VALUE(LEFT(Base_Bruta!C1743,4)),VALUE(MID(Base_Bruta!C1743,6,2)),VALUE(RIGHT(Base_Bruta!C1743,2))),DATE(VALUE(RIGHT(Base_Bruta!C1743,4)),VALUE(MID(Base_Bruta!C1743,4,2)),VALUE(LEFT(Base_Bruta!C1743,2))))))</f>
        <v>45892</v>
      </c>
      <c r="D1743" s="4" t="str">
        <f aca="false">IF($A1743="","",TRIM(Base_Bruta!D1743))</f>
        <v>Festival Montanhas BH 2025</v>
      </c>
      <c r="E1743" s="4" t="str">
        <f aca="false">IF($A1743="","",_xlfn.XLOOKUP(LOWER(TRIM(Base_Bruta!E1743)),DePara_Categoria!$A$2:$A$9,DePara_Categoria!$B$2:$B$9,"REVISAR"))</f>
        <v>Festival</v>
      </c>
      <c r="F1743" s="4" t="str">
        <f aca="false">IF($A1743="","",_xlfn.XLOOKUP(LOWER(TRIM(Base_Bruta!F1743)),DePara_Cidade!$A$2:$A$29,DePara_Cidade!$B$2:$B$29,"REVISAR"))</f>
        <v>Belo Horizonte</v>
      </c>
      <c r="G1743" s="4" t="str">
        <f aca="false">IF($A1743="","",TRIM(Base_Bruta!G1743))</f>
        <v>Inteira</v>
      </c>
      <c r="H1743" s="4" t="n">
        <f aca="false">IF($A1743="","",IF(ISNUMBER(Base_Bruta!H1743),Base_Bruta!H1743,IFERROR(_xlfn.NUMBERVALUE(TRIM(SUBSTITUTE(Base_Bruta!H1743,"R$","")),",","."),0)))</f>
        <v>2</v>
      </c>
      <c r="I1743" s="6" t="n">
        <f aca="false">IF($A1743="","",IF(ISNUMBER(Base_Bruta!I1743),Base_Bruta!I1743,IFERROR(_xlfn.NUMBERVALUE(TRIM(SUBSTITUTE(Base_Bruta!I1743,"R$","")),",","."),0)))</f>
        <v>780</v>
      </c>
      <c r="J1743" s="6" t="n">
        <f aca="false">IF($A1743="","",H1743*I1743)</f>
        <v>1560</v>
      </c>
      <c r="K1743" s="4" t="str">
        <f aca="false">IF($A1743="","",TRIM(Base_Bruta!J1743))</f>
        <v>Parceiro</v>
      </c>
      <c r="L1743" s="4" t="str">
        <f aca="false">IF($A1743="","",TRIM(Base_Bruta!K1743))</f>
        <v>C01739</v>
      </c>
      <c r="M1743" s="4" t="str">
        <f aca="false">IF($A1743="","",_xlfn.XLOOKUP(LOWER(TRIM(Base_Bruta!L1743)),DePara_Cidade!$A$2:$A$29,DePara_Cidade!$B$2:$B$29,"REVISAR"))</f>
        <v>Florianópolis</v>
      </c>
      <c r="N1743" s="4" t="str">
        <f aca="false">IF($A1743="","",UPPER(TRIM(Base_Bruta!M1743)))</f>
        <v>SC</v>
      </c>
      <c r="O1743" s="4" t="str">
        <f aca="false">IF($A1743="","",_xlfn.XLOOKUP(LOWER(TRIM(Base_Bruta!N1743)),DePara_Pais!$A$2:$A$9,DePara_Pais!$B$2:$B$9,"REVISAR"))</f>
        <v>Brasil</v>
      </c>
      <c r="P1743" s="4" t="str">
        <f aca="false">IF($A1743="","",IF(O1743&lt;&gt;"Brasil","Turista Internacional",IF(M1743=F1743,"Local","Turista Nacional")))</f>
        <v>Turista Nacional</v>
      </c>
      <c r="Q1743" s="7" t="n">
        <f aca="false">IF($A1743="","",DATE(YEAR(B1743),MONTH(B1743),1))</f>
        <v>45870</v>
      </c>
      <c r="R1743" s="4" t="str">
        <f aca="false">IF($A1743="","",IF(COUNTIF($A$2:$A1743,$A1743)&gt;1,"Sim","Não"))</f>
        <v>Não</v>
      </c>
      <c r="S1743" s="4" t="str">
        <f aca="false">IF(A1743="","Descartar - Linha vazia",IF(R1743="Sim","Descartar - Duplicado",IF(OR(H1743&lt;=0,I1743&lt;=0),"Descartar - Qtd/Valor inválido","OK")))</f>
        <v>OK</v>
      </c>
      <c r="T1743" s="4" t="str">
        <f aca="false">Base_Bruta!P1743</f>
        <v>vendas_MG.csv</v>
      </c>
    </row>
    <row r="1744" customFormat="false" ht="15" hidden="false" customHeight="false" outlineLevel="0" collapsed="false">
      <c r="A1744" s="4" t="str">
        <f aca="false">IF(Base_Bruta!A1744="","",Base_Bruta!A1744)</f>
        <v>MG-000227</v>
      </c>
      <c r="B1744" s="5" t="n">
        <f aca="false">IF($A1744="","",IF(ISNUMBER(Base_Bruta!B1744),Base_Bruta!B1744,IF(MID(Base_Bruta!B1744,5,1)="-",DATE(VALUE(LEFT(Base_Bruta!B1744,4)),VALUE(MID(Base_Bruta!B1744,6,2)),VALUE(RIGHT(Base_Bruta!B1744,2))),DATE(VALUE(RIGHT(Base_Bruta!B1744,4)),VALUE(MID(Base_Bruta!B1744,4,2)),VALUE(LEFT(Base_Bruta!B1744,2))))))</f>
        <v>45872</v>
      </c>
      <c r="C1744" s="5" t="n">
        <f aca="false">IF($A1744="","",IF(ISNUMBER(Base_Bruta!C1744),Base_Bruta!C1744,IF(MID(Base_Bruta!C1744,5,1)="-",DATE(VALUE(LEFT(Base_Bruta!C1744,4)),VALUE(MID(Base_Bruta!C1744,6,2)),VALUE(RIGHT(Base_Bruta!C1744,2))),DATE(VALUE(RIGHT(Base_Bruta!C1744,4)),VALUE(MID(Base_Bruta!C1744,4,2)),VALUE(LEFT(Base_Bruta!C1744,2))))))</f>
        <v>45892</v>
      </c>
      <c r="D1744" s="4" t="str">
        <f aca="false">IF($A1744="","",TRIM(Base_Bruta!D1744))</f>
        <v>Festival Montanhas BH 2025</v>
      </c>
      <c r="E1744" s="4" t="str">
        <f aca="false">IF($A1744="","",_xlfn.XLOOKUP(LOWER(TRIM(Base_Bruta!E1744)),DePara_Categoria!$A$2:$A$9,DePara_Categoria!$B$2:$B$9,"REVISAR"))</f>
        <v>Festival</v>
      </c>
      <c r="F1744" s="4" t="str">
        <f aca="false">IF($A1744="","",_xlfn.XLOOKUP(LOWER(TRIM(Base_Bruta!F1744)),DePara_Cidade!$A$2:$A$29,DePara_Cidade!$B$2:$B$29,"REVISAR"))</f>
        <v>Belo Horizonte</v>
      </c>
      <c r="G1744" s="4" t="str">
        <f aca="false">IF($A1744="","",TRIM(Base_Bruta!G1744))</f>
        <v>Inteira</v>
      </c>
      <c r="H1744" s="4" t="n">
        <f aca="false">IF($A1744="","",IF(ISNUMBER(Base_Bruta!H1744),Base_Bruta!H1744,IFERROR(_xlfn.NUMBERVALUE(TRIM(SUBSTITUTE(Base_Bruta!H1744,"R$","")),",","."),0)))</f>
        <v>1</v>
      </c>
      <c r="I1744" s="6" t="n">
        <f aca="false">IF($A1744="","",IF(ISNUMBER(Base_Bruta!I1744),Base_Bruta!I1744,IFERROR(_xlfn.NUMBERVALUE(TRIM(SUBSTITUTE(Base_Bruta!I1744,"R$","")),",","."),0)))</f>
        <v>800</v>
      </c>
      <c r="J1744" s="6" t="n">
        <f aca="false">IF($A1744="","",H1744*I1744)</f>
        <v>800</v>
      </c>
      <c r="K1744" s="4" t="str">
        <f aca="false">IF($A1744="","",TRIM(Base_Bruta!J1744))</f>
        <v>App</v>
      </c>
      <c r="L1744" s="4" t="str">
        <f aca="false">IF($A1744="","",TRIM(Base_Bruta!K1744))</f>
        <v>C01351</v>
      </c>
      <c r="M1744" s="4" t="str">
        <f aca="false">IF($A1744="","",_xlfn.XLOOKUP(LOWER(TRIM(Base_Bruta!L1744)),DePara_Cidade!$A$2:$A$29,DePara_Cidade!$B$2:$B$29,"REVISAR"))</f>
        <v>Belo Horizonte</v>
      </c>
      <c r="N1744" s="4" t="str">
        <f aca="false">IF($A1744="","",UPPER(TRIM(Base_Bruta!M1744)))</f>
        <v>MG</v>
      </c>
      <c r="O1744" s="4" t="str">
        <f aca="false">IF($A1744="","",_xlfn.XLOOKUP(LOWER(TRIM(Base_Bruta!N1744)),DePara_Pais!$A$2:$A$9,DePara_Pais!$B$2:$B$9,"REVISAR"))</f>
        <v>Brasil</v>
      </c>
      <c r="P1744" s="4" t="str">
        <f aca="false">IF($A1744="","",IF(O1744&lt;&gt;"Brasil","Turista Internacional",IF(M1744=F1744,"Local","Turista Nacional")))</f>
        <v>Local</v>
      </c>
      <c r="Q1744" s="7" t="n">
        <f aca="false">IF($A1744="","",DATE(YEAR(B1744),MONTH(B1744),1))</f>
        <v>45870</v>
      </c>
      <c r="R1744" s="4" t="str">
        <f aca="false">IF($A1744="","",IF(COUNTIF($A$2:$A1744,$A1744)&gt;1,"Sim","Não"))</f>
        <v>Não</v>
      </c>
      <c r="S1744" s="4" t="str">
        <f aca="false">IF(A1744="","Descartar - Linha vazia",IF(R1744="Sim","Descartar - Duplicado",IF(OR(H1744&lt;=0,I1744&lt;=0),"Descartar - Qtd/Valor inválido","OK")))</f>
        <v>OK</v>
      </c>
      <c r="T1744" s="4" t="str">
        <f aca="false">Base_Bruta!P1744</f>
        <v>vendas_MG.csv</v>
      </c>
    </row>
    <row r="1745" customFormat="false" ht="15" hidden="false" customHeight="false" outlineLevel="0" collapsed="false">
      <c r="A1745" s="4" t="str">
        <f aca="false">IF(Base_Bruta!A1745="","",Base_Bruta!A1745)</f>
        <v>MG-000121</v>
      </c>
      <c r="B1745" s="5" t="n">
        <f aca="false">IF($A1745="","",IF(ISNUMBER(Base_Bruta!B1745),Base_Bruta!B1745,IF(MID(Base_Bruta!B1745,5,1)="-",DATE(VALUE(LEFT(Base_Bruta!B1745,4)),VALUE(MID(Base_Bruta!B1745,6,2)),VALUE(RIGHT(Base_Bruta!B1745,2))),DATE(VALUE(RIGHT(Base_Bruta!B1745,4)),VALUE(MID(Base_Bruta!B1745,4,2)),VALUE(LEFT(Base_Bruta!B1745,2))))))</f>
        <v>45873</v>
      </c>
      <c r="C1745" s="5" t="n">
        <f aca="false">IF($A1745="","",IF(ISNUMBER(Base_Bruta!C1745),Base_Bruta!C1745,IF(MID(Base_Bruta!C1745,5,1)="-",DATE(VALUE(LEFT(Base_Bruta!C1745,4)),VALUE(MID(Base_Bruta!C1745,6,2)),VALUE(RIGHT(Base_Bruta!C1745,2))),DATE(VALUE(RIGHT(Base_Bruta!C1745,4)),VALUE(MID(Base_Bruta!C1745,4,2)),VALUE(LEFT(Base_Bruta!C1745,2))))))</f>
        <v>45892</v>
      </c>
      <c r="D1745" s="4" t="str">
        <f aca="false">IF($A1745="","",TRIM(Base_Bruta!D1745))</f>
        <v>Festival Montanhas BH 2025</v>
      </c>
      <c r="E1745" s="4" t="str">
        <f aca="false">IF($A1745="","",_xlfn.XLOOKUP(LOWER(TRIM(Base_Bruta!E1745)),DePara_Categoria!$A$2:$A$9,DePara_Categoria!$B$2:$B$9,"REVISAR"))</f>
        <v>Festival</v>
      </c>
      <c r="F1745" s="4" t="str">
        <f aca="false">IF($A1745="","",_xlfn.XLOOKUP(LOWER(TRIM(Base_Bruta!F1745)),DePara_Cidade!$A$2:$A$29,DePara_Cidade!$B$2:$B$29,"REVISAR"))</f>
        <v>Belo Horizonte</v>
      </c>
      <c r="G1745" s="4" t="str">
        <f aca="false">IF($A1745="","",TRIM(Base_Bruta!G1745))</f>
        <v>VIP</v>
      </c>
      <c r="H1745" s="4" t="n">
        <f aca="false">IF($A1745="","",IF(ISNUMBER(Base_Bruta!H1745),Base_Bruta!H1745,IFERROR(_xlfn.NUMBERVALUE(TRIM(SUBSTITUTE(Base_Bruta!H1745,"R$","")),",","."),0)))</f>
        <v>2</v>
      </c>
      <c r="I1745" s="6" t="n">
        <f aca="false">IF($A1745="","",IF(ISNUMBER(Base_Bruta!I1745),Base_Bruta!I1745,IFERROR(_xlfn.NUMBERVALUE(TRIM(SUBSTITUTE(Base_Bruta!I1745,"R$","")),",","."),0)))</f>
        <v>1340</v>
      </c>
      <c r="J1745" s="6" t="n">
        <f aca="false">IF($A1745="","",H1745*I1745)</f>
        <v>2680</v>
      </c>
      <c r="K1745" s="4" t="str">
        <f aca="false">IF($A1745="","",TRIM(Base_Bruta!J1745))</f>
        <v>App</v>
      </c>
      <c r="L1745" s="4" t="str">
        <f aca="false">IF($A1745="","",TRIM(Base_Bruta!K1745))</f>
        <v>C01392</v>
      </c>
      <c r="M1745" s="4" t="str">
        <f aca="false">IF($A1745="","",_xlfn.XLOOKUP(LOWER(TRIM(Base_Bruta!L1745)),DePara_Cidade!$A$2:$A$29,DePara_Cidade!$B$2:$B$29,"REVISAR"))</f>
        <v>Belo Horizonte</v>
      </c>
      <c r="N1745" s="4" t="str">
        <f aca="false">IF($A1745="","",UPPER(TRIM(Base_Bruta!M1745)))</f>
        <v>MG</v>
      </c>
      <c r="O1745" s="4" t="str">
        <f aca="false">IF($A1745="","",_xlfn.XLOOKUP(LOWER(TRIM(Base_Bruta!N1745)),DePara_Pais!$A$2:$A$9,DePara_Pais!$B$2:$B$9,"REVISAR"))</f>
        <v>Brasil</v>
      </c>
      <c r="P1745" s="4" t="str">
        <f aca="false">IF($A1745="","",IF(O1745&lt;&gt;"Brasil","Turista Internacional",IF(M1745=F1745,"Local","Turista Nacional")))</f>
        <v>Local</v>
      </c>
      <c r="Q1745" s="7" t="n">
        <f aca="false">IF($A1745="","",DATE(YEAR(B1745),MONTH(B1745),1))</f>
        <v>45870</v>
      </c>
      <c r="R1745" s="4" t="str">
        <f aca="false">IF($A1745="","",IF(COUNTIF($A$2:$A1745,$A1745)&gt;1,"Sim","Não"))</f>
        <v>Não</v>
      </c>
      <c r="S1745" s="4" t="str">
        <f aca="false">IF(A1745="","Descartar - Linha vazia",IF(R1745="Sim","Descartar - Duplicado",IF(OR(H1745&lt;=0,I1745&lt;=0),"Descartar - Qtd/Valor inválido","OK")))</f>
        <v>OK</v>
      </c>
      <c r="T1745" s="4" t="str">
        <f aca="false">Base_Bruta!P1745</f>
        <v>vendas_MG.csv</v>
      </c>
    </row>
    <row r="1746" customFormat="false" ht="15" hidden="false" customHeight="false" outlineLevel="0" collapsed="false">
      <c r="A1746" s="4" t="str">
        <f aca="false">IF(Base_Bruta!A1746="","",Base_Bruta!A1746)</f>
        <v>MG-000481</v>
      </c>
      <c r="B1746" s="5" t="n">
        <f aca="false">IF($A1746="","",IF(ISNUMBER(Base_Bruta!B1746),Base_Bruta!B1746,IF(MID(Base_Bruta!B1746,5,1)="-",DATE(VALUE(LEFT(Base_Bruta!B1746,4)),VALUE(MID(Base_Bruta!B1746,6,2)),VALUE(RIGHT(Base_Bruta!B1746,2))),DATE(VALUE(RIGHT(Base_Bruta!B1746,4)),VALUE(MID(Base_Bruta!B1746,4,2)),VALUE(LEFT(Base_Bruta!B1746,2))))))</f>
        <v>45874</v>
      </c>
      <c r="C1746" s="5" t="n">
        <f aca="false">IF($A1746="","",IF(ISNUMBER(Base_Bruta!C1746),Base_Bruta!C1746,IF(MID(Base_Bruta!C1746,5,1)="-",DATE(VALUE(LEFT(Base_Bruta!C1746,4)),VALUE(MID(Base_Bruta!C1746,6,2)),VALUE(RIGHT(Base_Bruta!C1746,2))),DATE(VALUE(RIGHT(Base_Bruta!C1746,4)),VALUE(MID(Base_Bruta!C1746,4,2)),VALUE(LEFT(Base_Bruta!C1746,2))))))</f>
        <v>45874</v>
      </c>
      <c r="D1746" s="4" t="str">
        <f aca="false">IF($A1746="","",TRIM(Base_Bruta!D1746))</f>
        <v>Cinema Savassi - Sessões</v>
      </c>
      <c r="E1746" s="4" t="str">
        <f aca="false">IF($A1746="","",_xlfn.XLOOKUP(LOWER(TRIM(Base_Bruta!E1746)),DePara_Categoria!$A$2:$A$9,DePara_Categoria!$B$2:$B$9,"REVISAR"))</f>
        <v>Cinema</v>
      </c>
      <c r="F1746" s="4" t="str">
        <f aca="false">IF($A1746="","",_xlfn.XLOOKUP(LOWER(TRIM(Base_Bruta!F1746)),DePara_Cidade!$A$2:$A$29,DePara_Cidade!$B$2:$B$29,"REVISAR"))</f>
        <v>Belo Horizonte</v>
      </c>
      <c r="G1746" s="4" t="str">
        <f aca="false">IF($A1746="","",TRIM(Base_Bruta!G1746))</f>
        <v>Inteira</v>
      </c>
      <c r="H1746" s="4" t="n">
        <f aca="false">IF($A1746="","",IF(ISNUMBER(Base_Bruta!H1746),Base_Bruta!H1746,IFERROR(_xlfn.NUMBERVALUE(TRIM(SUBSTITUTE(Base_Bruta!H1746,"R$","")),",","."),0)))</f>
        <v>2</v>
      </c>
      <c r="I1746" s="6" t="n">
        <f aca="false">IF($A1746="","",IF(ISNUMBER(Base_Bruta!I1746),Base_Bruta!I1746,IFERROR(_xlfn.NUMBERVALUE(TRIM(SUBSTITUTE(Base_Bruta!I1746,"R$","")),",","."),0)))</f>
        <v>40</v>
      </c>
      <c r="J1746" s="6" t="n">
        <f aca="false">IF($A1746="","",H1746*I1746)</f>
        <v>80</v>
      </c>
      <c r="K1746" s="4" t="str">
        <f aca="false">IF($A1746="","",TRIM(Base_Bruta!J1746))</f>
        <v>Site</v>
      </c>
      <c r="L1746" s="4" t="str">
        <f aca="false">IF($A1746="","",TRIM(Base_Bruta!K1746))</f>
        <v>C01713</v>
      </c>
      <c r="M1746" s="4" t="str">
        <f aca="false">IF($A1746="","",_xlfn.XLOOKUP(LOWER(TRIM(Base_Bruta!L1746)),DePara_Cidade!$A$2:$A$29,DePara_Cidade!$B$2:$B$29,"REVISAR"))</f>
        <v>Belo Horizonte</v>
      </c>
      <c r="N1746" s="4" t="str">
        <f aca="false">IF($A1746="","",UPPER(TRIM(Base_Bruta!M1746)))</f>
        <v>MG</v>
      </c>
      <c r="O1746" s="4" t="str">
        <f aca="false">IF($A1746="","",_xlfn.XLOOKUP(LOWER(TRIM(Base_Bruta!N1746)),DePara_Pais!$A$2:$A$9,DePara_Pais!$B$2:$B$9,"REVISAR"))</f>
        <v>Brasil</v>
      </c>
      <c r="P1746" s="4" t="str">
        <f aca="false">IF($A1746="","",IF(O1746&lt;&gt;"Brasil","Turista Internacional",IF(M1746=F1746,"Local","Turista Nacional")))</f>
        <v>Local</v>
      </c>
      <c r="Q1746" s="7" t="n">
        <f aca="false">IF($A1746="","",DATE(YEAR(B1746),MONTH(B1746),1))</f>
        <v>45870</v>
      </c>
      <c r="R1746" s="4" t="str">
        <f aca="false">IF($A1746="","",IF(COUNTIF($A$2:$A1746,$A1746)&gt;1,"Sim","Não"))</f>
        <v>Não</v>
      </c>
      <c r="S1746" s="4" t="str">
        <f aca="false">IF(A1746="","Descartar - Linha vazia",IF(R1746="Sim","Descartar - Duplicado",IF(OR(H1746&lt;=0,I1746&lt;=0),"Descartar - Qtd/Valor inválido","OK")))</f>
        <v>OK</v>
      </c>
      <c r="T1746" s="4" t="str">
        <f aca="false">Base_Bruta!P1746</f>
        <v>vendas_MG.csv</v>
      </c>
    </row>
    <row r="1747" customFormat="false" ht="15" hidden="false" customHeight="false" outlineLevel="0" collapsed="false">
      <c r="A1747" s="4" t="str">
        <f aca="false">IF(Base_Bruta!A1747="","",Base_Bruta!A1747)</f>
        <v>MG-000039</v>
      </c>
      <c r="B1747" s="5" t="n">
        <f aca="false">IF($A1747="","",IF(ISNUMBER(Base_Bruta!B1747),Base_Bruta!B1747,IF(MID(Base_Bruta!B1747,5,1)="-",DATE(VALUE(LEFT(Base_Bruta!B1747,4)),VALUE(MID(Base_Bruta!B1747,6,2)),VALUE(RIGHT(Base_Bruta!B1747,2))),DATE(VALUE(RIGHT(Base_Bruta!B1747,4)),VALUE(MID(Base_Bruta!B1747,4,2)),VALUE(LEFT(Base_Bruta!B1747,2))))))</f>
        <v>45875</v>
      </c>
      <c r="C1747" s="5" t="n">
        <f aca="false">IF($A1747="","",IF(ISNUMBER(Base_Bruta!C1747),Base_Bruta!C1747,IF(MID(Base_Bruta!C1747,5,1)="-",DATE(VALUE(LEFT(Base_Bruta!C1747,4)),VALUE(MID(Base_Bruta!C1747,6,2)),VALUE(RIGHT(Base_Bruta!C1747,2))),DATE(VALUE(RIGHT(Base_Bruta!C1747,4)),VALUE(MID(Base_Bruta!C1747,4,2)),VALUE(LEFT(Base_Bruta!C1747,2))))))</f>
        <v>45892</v>
      </c>
      <c r="D1747" s="4" t="str">
        <f aca="false">IF($A1747="","",TRIM(Base_Bruta!D1747))</f>
        <v>Festival Montanhas BH 2025</v>
      </c>
      <c r="E1747" s="4" t="str">
        <f aca="false">IF($A1747="","",_xlfn.XLOOKUP(LOWER(TRIM(Base_Bruta!E1747)),DePara_Categoria!$A$2:$A$9,DePara_Categoria!$B$2:$B$9,"REVISAR"))</f>
        <v>Festival</v>
      </c>
      <c r="F1747" s="4" t="str">
        <f aca="false">IF($A1747="","",_xlfn.XLOOKUP(LOWER(TRIM(Base_Bruta!F1747)),DePara_Cidade!$A$2:$A$29,DePara_Cidade!$B$2:$B$29,"REVISAR"))</f>
        <v>Belo Horizonte</v>
      </c>
      <c r="G1747" s="4" t="str">
        <f aca="false">IF($A1747="","",TRIM(Base_Bruta!G1747))</f>
        <v>Inteira</v>
      </c>
      <c r="H1747" s="4" t="n">
        <f aca="false">IF($A1747="","",IF(ISNUMBER(Base_Bruta!H1747),Base_Bruta!H1747,IFERROR(_xlfn.NUMBERVALUE(TRIM(SUBSTITUTE(Base_Bruta!H1747,"R$","")),",","."),0)))</f>
        <v>2</v>
      </c>
      <c r="I1747" s="6" t="n">
        <f aca="false">IF($A1747="","",IF(ISNUMBER(Base_Bruta!I1747),Base_Bruta!I1747,IFERROR(_xlfn.NUMBERVALUE(TRIM(SUBSTITUTE(Base_Bruta!I1747,"R$","")),",","."),0)))</f>
        <v>955</v>
      </c>
      <c r="J1747" s="6" t="n">
        <f aca="false">IF($A1747="","",H1747*I1747)</f>
        <v>1910</v>
      </c>
      <c r="K1747" s="4" t="str">
        <f aca="false">IF($A1747="","",TRIM(Base_Bruta!J1747))</f>
        <v>Site</v>
      </c>
      <c r="L1747" s="4" t="str">
        <f aca="false">IF($A1747="","",TRIM(Base_Bruta!K1747))</f>
        <v>C00374</v>
      </c>
      <c r="M1747" s="4" t="str">
        <f aca="false">IF($A1747="","",_xlfn.XLOOKUP(LOWER(TRIM(Base_Bruta!L1747)),DePara_Cidade!$A$2:$A$29,DePara_Cidade!$B$2:$B$29,"REVISAR"))</f>
        <v>Belo Horizonte</v>
      </c>
      <c r="N1747" s="4" t="str">
        <f aca="false">IF($A1747="","",UPPER(TRIM(Base_Bruta!M1747)))</f>
        <v>MG</v>
      </c>
      <c r="O1747" s="4" t="str">
        <f aca="false">IF($A1747="","",_xlfn.XLOOKUP(LOWER(TRIM(Base_Bruta!N1747)),DePara_Pais!$A$2:$A$9,DePara_Pais!$B$2:$B$9,"REVISAR"))</f>
        <v>Brasil</v>
      </c>
      <c r="P1747" s="4" t="str">
        <f aca="false">IF($A1747="","",IF(O1747&lt;&gt;"Brasil","Turista Internacional",IF(M1747=F1747,"Local","Turista Nacional")))</f>
        <v>Local</v>
      </c>
      <c r="Q1747" s="7" t="n">
        <f aca="false">IF($A1747="","",DATE(YEAR(B1747),MONTH(B1747),1))</f>
        <v>45870</v>
      </c>
      <c r="R1747" s="4" t="str">
        <f aca="false">IF($A1747="","",IF(COUNTIF($A$2:$A1747,$A1747)&gt;1,"Sim","Não"))</f>
        <v>Não</v>
      </c>
      <c r="S1747" s="4" t="str">
        <f aca="false">IF(A1747="","Descartar - Linha vazia",IF(R1747="Sim","Descartar - Duplicado",IF(OR(H1747&lt;=0,I1747&lt;=0),"Descartar - Qtd/Valor inválido","OK")))</f>
        <v>OK</v>
      </c>
      <c r="T1747" s="4" t="str">
        <f aca="false">Base_Bruta!P1747</f>
        <v>vendas_MG.csv</v>
      </c>
    </row>
    <row r="1748" customFormat="false" ht="15" hidden="false" customHeight="false" outlineLevel="0" collapsed="false">
      <c r="A1748" s="4" t="str">
        <f aca="false">IF(Base_Bruta!A1748="","",Base_Bruta!A1748)</f>
        <v>MG-000197</v>
      </c>
      <c r="B1748" s="5" t="n">
        <f aca="false">IF($A1748="","",IF(ISNUMBER(Base_Bruta!B1748),Base_Bruta!B1748,IF(MID(Base_Bruta!B1748,5,1)="-",DATE(VALUE(LEFT(Base_Bruta!B1748,4)),VALUE(MID(Base_Bruta!B1748,6,2)),VALUE(RIGHT(Base_Bruta!B1748,2))),DATE(VALUE(RIGHT(Base_Bruta!B1748,4)),VALUE(MID(Base_Bruta!B1748,4,2)),VALUE(LEFT(Base_Bruta!B1748,2))))))</f>
        <v>45875</v>
      </c>
      <c r="C1748" s="5" t="n">
        <f aca="false">IF($A1748="","",IF(ISNUMBER(Base_Bruta!C1748),Base_Bruta!C1748,IF(MID(Base_Bruta!C1748,5,1)="-",DATE(VALUE(LEFT(Base_Bruta!C1748,4)),VALUE(MID(Base_Bruta!C1748,6,2)),VALUE(RIGHT(Base_Bruta!C1748,2))),DATE(VALUE(RIGHT(Base_Bruta!C1748,4)),VALUE(MID(Base_Bruta!C1748,4,2)),VALUE(LEFT(Base_Bruta!C1748,2))))))</f>
        <v>45892</v>
      </c>
      <c r="D1748" s="4" t="str">
        <f aca="false">IF($A1748="","",TRIM(Base_Bruta!D1748))</f>
        <v>Festival Montanhas BH 2025</v>
      </c>
      <c r="E1748" s="4" t="str">
        <f aca="false">IF($A1748="","",_xlfn.XLOOKUP(LOWER(TRIM(Base_Bruta!E1748)),DePara_Categoria!$A$2:$A$9,DePara_Categoria!$B$2:$B$9,"REVISAR"))</f>
        <v>Festival</v>
      </c>
      <c r="F1748" s="4" t="str">
        <f aca="false">IF($A1748="","",_xlfn.XLOOKUP(LOWER(TRIM(Base_Bruta!F1748)),DePara_Cidade!$A$2:$A$29,DePara_Cidade!$B$2:$B$29,"REVISAR"))</f>
        <v>Belo Horizonte</v>
      </c>
      <c r="G1748" s="4" t="str">
        <f aca="false">IF($A1748="","",TRIM(Base_Bruta!G1748))</f>
        <v>Inteira</v>
      </c>
      <c r="H1748" s="4" t="n">
        <f aca="false">IF($A1748="","",IF(ISNUMBER(Base_Bruta!H1748),Base_Bruta!H1748,IFERROR(_xlfn.NUMBERVALUE(TRIM(SUBSTITUTE(Base_Bruta!H1748,"R$","")),",","."),0)))</f>
        <v>1</v>
      </c>
      <c r="I1748" s="6" t="n">
        <f aca="false">IF($A1748="","",IF(ISNUMBER(Base_Bruta!I1748),Base_Bruta!I1748,IFERROR(_xlfn.NUMBERVALUE(TRIM(SUBSTITUTE(Base_Bruta!I1748,"R$","")),",","."),0)))</f>
        <v>990</v>
      </c>
      <c r="J1748" s="6" t="n">
        <f aca="false">IF($A1748="","",H1748*I1748)</f>
        <v>990</v>
      </c>
      <c r="K1748" s="4" t="str">
        <f aca="false">IF($A1748="","",TRIM(Base_Bruta!J1748))</f>
        <v>App</v>
      </c>
      <c r="L1748" s="4" t="str">
        <f aca="false">IF($A1748="","",TRIM(Base_Bruta!K1748))</f>
        <v>C02279</v>
      </c>
      <c r="M1748" s="4" t="str">
        <f aca="false">IF($A1748="","",_xlfn.XLOOKUP(LOWER(TRIM(Base_Bruta!L1748)),DePara_Cidade!$A$2:$A$29,DePara_Cidade!$B$2:$B$29,"REVISAR"))</f>
        <v>Belo Horizonte</v>
      </c>
      <c r="N1748" s="4" t="str">
        <f aca="false">IF($A1748="","",UPPER(TRIM(Base_Bruta!M1748)))</f>
        <v>MG</v>
      </c>
      <c r="O1748" s="4" t="str">
        <f aca="false">IF($A1748="","",_xlfn.XLOOKUP(LOWER(TRIM(Base_Bruta!N1748)),DePara_Pais!$A$2:$A$9,DePara_Pais!$B$2:$B$9,"REVISAR"))</f>
        <v>Brasil</v>
      </c>
      <c r="P1748" s="4" t="str">
        <f aca="false">IF($A1748="","",IF(O1748&lt;&gt;"Brasil","Turista Internacional",IF(M1748=F1748,"Local","Turista Nacional")))</f>
        <v>Local</v>
      </c>
      <c r="Q1748" s="7" t="n">
        <f aca="false">IF($A1748="","",DATE(YEAR(B1748),MONTH(B1748),1))</f>
        <v>45870</v>
      </c>
      <c r="R1748" s="4" t="str">
        <f aca="false">IF($A1748="","",IF(COUNTIF($A$2:$A1748,$A1748)&gt;1,"Sim","Não"))</f>
        <v>Não</v>
      </c>
      <c r="S1748" s="4" t="str">
        <f aca="false">IF(A1748="","Descartar - Linha vazia",IF(R1748="Sim","Descartar - Duplicado",IF(OR(H1748&lt;=0,I1748&lt;=0),"Descartar - Qtd/Valor inválido","OK")))</f>
        <v>OK</v>
      </c>
      <c r="T1748" s="4" t="str">
        <f aca="false">Base_Bruta!P1748</f>
        <v>vendas_MG.csv</v>
      </c>
    </row>
    <row r="1749" customFormat="false" ht="15" hidden="false" customHeight="false" outlineLevel="0" collapsed="false">
      <c r="A1749" s="4" t="str">
        <f aca="false">IF(Base_Bruta!A1749="","",Base_Bruta!A1749)</f>
        <v>MG-000087</v>
      </c>
      <c r="B1749" s="5" t="n">
        <f aca="false">IF($A1749="","",IF(ISNUMBER(Base_Bruta!B1749),Base_Bruta!B1749,IF(MID(Base_Bruta!B1749,5,1)="-",DATE(VALUE(LEFT(Base_Bruta!B1749,4)),VALUE(MID(Base_Bruta!B1749,6,2)),VALUE(RIGHT(Base_Bruta!B1749,2))),DATE(VALUE(RIGHT(Base_Bruta!B1749,4)),VALUE(MID(Base_Bruta!B1749,4,2)),VALUE(LEFT(Base_Bruta!B1749,2))))))</f>
        <v>45878</v>
      </c>
      <c r="C1749" s="5" t="n">
        <f aca="false">IF($A1749="","",IF(ISNUMBER(Base_Bruta!C1749),Base_Bruta!C1749,IF(MID(Base_Bruta!C1749,5,1)="-",DATE(VALUE(LEFT(Base_Bruta!C1749,4)),VALUE(MID(Base_Bruta!C1749,6,2)),VALUE(RIGHT(Base_Bruta!C1749,2))),DATE(VALUE(RIGHT(Base_Bruta!C1749,4)),VALUE(MID(Base_Bruta!C1749,4,2)),VALUE(LEFT(Base_Bruta!C1749,2))))))</f>
        <v>45892</v>
      </c>
      <c r="D1749" s="4" t="str">
        <f aca="false">IF($A1749="","",TRIM(Base_Bruta!D1749))</f>
        <v>Festival Montanhas BH 2025</v>
      </c>
      <c r="E1749" s="4" t="str">
        <f aca="false">IF($A1749="","",_xlfn.XLOOKUP(LOWER(TRIM(Base_Bruta!E1749)),DePara_Categoria!$A$2:$A$9,DePara_Categoria!$B$2:$B$9,"REVISAR"))</f>
        <v>Festival</v>
      </c>
      <c r="F1749" s="4" t="str">
        <f aca="false">IF($A1749="","",_xlfn.XLOOKUP(LOWER(TRIM(Base_Bruta!F1749)),DePara_Cidade!$A$2:$A$29,DePara_Cidade!$B$2:$B$29,"REVISAR"))</f>
        <v>Belo Horizonte</v>
      </c>
      <c r="G1749" s="4" t="str">
        <f aca="false">IF($A1749="","",TRIM(Base_Bruta!G1749))</f>
        <v>Inteira</v>
      </c>
      <c r="H1749" s="4" t="n">
        <f aca="false">IF($A1749="","",IF(ISNUMBER(Base_Bruta!H1749),Base_Bruta!H1749,IFERROR(_xlfn.NUMBERVALUE(TRIM(SUBSTITUTE(Base_Bruta!H1749,"R$","")),",","."),0)))</f>
        <v>2</v>
      </c>
      <c r="I1749" s="6" t="n">
        <f aca="false">IF($A1749="","",IF(ISNUMBER(Base_Bruta!I1749),Base_Bruta!I1749,IFERROR(_xlfn.NUMBERVALUE(TRIM(SUBSTITUTE(Base_Bruta!I1749,"R$","")),",","."),0)))</f>
        <v>775</v>
      </c>
      <c r="J1749" s="6" t="n">
        <f aca="false">IF($A1749="","",H1749*I1749)</f>
        <v>1550</v>
      </c>
      <c r="K1749" s="4" t="str">
        <f aca="false">IF($A1749="","",TRIM(Base_Bruta!J1749))</f>
        <v>App</v>
      </c>
      <c r="L1749" s="4" t="str">
        <f aca="false">IF($A1749="","",TRIM(Base_Bruta!K1749))</f>
        <v>C01333</v>
      </c>
      <c r="M1749" s="4" t="str">
        <f aca="false">IF($A1749="","",_xlfn.XLOOKUP(LOWER(TRIM(Base_Bruta!L1749)),DePara_Cidade!$A$2:$A$29,DePara_Cidade!$B$2:$B$29,"REVISAR"))</f>
        <v>Contagem</v>
      </c>
      <c r="N1749" s="4" t="str">
        <f aca="false">IF($A1749="","",UPPER(TRIM(Base_Bruta!M1749)))</f>
        <v>MG</v>
      </c>
      <c r="O1749" s="4" t="str">
        <f aca="false">IF($A1749="","",_xlfn.XLOOKUP(LOWER(TRIM(Base_Bruta!N1749)),DePara_Pais!$A$2:$A$9,DePara_Pais!$B$2:$B$9,"REVISAR"))</f>
        <v>Brasil</v>
      </c>
      <c r="P1749" s="4" t="str">
        <f aca="false">IF($A1749="","",IF(O1749&lt;&gt;"Brasil","Turista Internacional",IF(M1749=F1749,"Local","Turista Nacional")))</f>
        <v>Turista Nacional</v>
      </c>
      <c r="Q1749" s="7" t="n">
        <f aca="false">IF($A1749="","",DATE(YEAR(B1749),MONTH(B1749),1))</f>
        <v>45870</v>
      </c>
      <c r="R1749" s="4" t="str">
        <f aca="false">IF($A1749="","",IF(COUNTIF($A$2:$A1749,$A1749)&gt;1,"Sim","Não"))</f>
        <v>Não</v>
      </c>
      <c r="S1749" s="4" t="str">
        <f aca="false">IF(A1749="","Descartar - Linha vazia",IF(R1749="Sim","Descartar - Duplicado",IF(OR(H1749&lt;=0,I1749&lt;=0),"Descartar - Qtd/Valor inválido","OK")))</f>
        <v>OK</v>
      </c>
      <c r="T1749" s="4" t="str">
        <f aca="false">Base_Bruta!P1749</f>
        <v>vendas_MG.csv</v>
      </c>
    </row>
    <row r="1750" customFormat="false" ht="15" hidden="false" customHeight="false" outlineLevel="0" collapsed="false">
      <c r="A1750" s="4" t="str">
        <f aca="false">IF(Base_Bruta!A1750="","",Base_Bruta!A1750)</f>
        <v>MG-000041</v>
      </c>
      <c r="B1750" s="5" t="n">
        <f aca="false">IF($A1750="","",IF(ISNUMBER(Base_Bruta!B1750),Base_Bruta!B1750,IF(MID(Base_Bruta!B1750,5,1)="-",DATE(VALUE(LEFT(Base_Bruta!B1750,4)),VALUE(MID(Base_Bruta!B1750,6,2)),VALUE(RIGHT(Base_Bruta!B1750,2))),DATE(VALUE(RIGHT(Base_Bruta!B1750,4)),VALUE(MID(Base_Bruta!B1750,4,2)),VALUE(LEFT(Base_Bruta!B1750,2))))))</f>
        <v>45879</v>
      </c>
      <c r="C1750" s="5" t="n">
        <f aca="false">IF($A1750="","",IF(ISNUMBER(Base_Bruta!C1750),Base_Bruta!C1750,IF(MID(Base_Bruta!C1750,5,1)="-",DATE(VALUE(LEFT(Base_Bruta!C1750,4)),VALUE(MID(Base_Bruta!C1750,6,2)),VALUE(RIGHT(Base_Bruta!C1750,2))),DATE(VALUE(RIGHT(Base_Bruta!C1750,4)),VALUE(MID(Base_Bruta!C1750,4,2)),VALUE(LEFT(Base_Bruta!C1750,2))))))</f>
        <v>45892</v>
      </c>
      <c r="D1750" s="4" t="str">
        <f aca="false">IF($A1750="","",TRIM(Base_Bruta!D1750))</f>
        <v>Festival Montanhas BH 2025</v>
      </c>
      <c r="E1750" s="4" t="str">
        <f aca="false">IF($A1750="","",_xlfn.XLOOKUP(LOWER(TRIM(Base_Bruta!E1750)),DePara_Categoria!$A$2:$A$9,DePara_Categoria!$B$2:$B$9,"REVISAR"))</f>
        <v>Festival</v>
      </c>
      <c r="F1750" s="4" t="str">
        <f aca="false">IF($A1750="","",_xlfn.XLOOKUP(LOWER(TRIM(Base_Bruta!F1750)),DePara_Cidade!$A$2:$A$29,DePara_Cidade!$B$2:$B$29,"REVISAR"))</f>
        <v>Belo Horizonte</v>
      </c>
      <c r="G1750" s="4" t="str">
        <f aca="false">IF($A1750="","",TRIM(Base_Bruta!G1750))</f>
        <v>Inteira</v>
      </c>
      <c r="H1750" s="4" t="n">
        <f aca="false">IF($A1750="","",IF(ISNUMBER(Base_Bruta!H1750),Base_Bruta!H1750,IFERROR(_xlfn.NUMBERVALUE(TRIM(SUBSTITUTE(Base_Bruta!H1750,"R$","")),",","."),0)))</f>
        <v>1</v>
      </c>
      <c r="I1750" s="6" t="n">
        <f aca="false">IF($A1750="","",IF(ISNUMBER(Base_Bruta!I1750),Base_Bruta!I1750,IFERROR(_xlfn.NUMBERVALUE(TRIM(SUBSTITUTE(Base_Bruta!I1750,"R$","")),",","."),0)))</f>
        <v>850</v>
      </c>
      <c r="J1750" s="6" t="n">
        <f aca="false">IF($A1750="","",H1750*I1750)</f>
        <v>850</v>
      </c>
      <c r="K1750" s="4" t="str">
        <f aca="false">IF($A1750="","",TRIM(Base_Bruta!J1750))</f>
        <v>Site</v>
      </c>
      <c r="L1750" s="4" t="str">
        <f aca="false">IF($A1750="","",TRIM(Base_Bruta!K1750))</f>
        <v>C02146</v>
      </c>
      <c r="M1750" s="4" t="str">
        <f aca="false">IF($A1750="","",_xlfn.XLOOKUP(LOWER(TRIM(Base_Bruta!L1750)),DePara_Cidade!$A$2:$A$29,DePara_Cidade!$B$2:$B$29,"REVISAR"))</f>
        <v>Belo Horizonte</v>
      </c>
      <c r="N1750" s="4" t="str">
        <f aca="false">IF($A1750="","",UPPER(TRIM(Base_Bruta!M1750)))</f>
        <v>MG</v>
      </c>
      <c r="O1750" s="4" t="str">
        <f aca="false">IF($A1750="","",_xlfn.XLOOKUP(LOWER(TRIM(Base_Bruta!N1750)),DePara_Pais!$A$2:$A$9,DePara_Pais!$B$2:$B$9,"REVISAR"))</f>
        <v>Brasil</v>
      </c>
      <c r="P1750" s="4" t="str">
        <f aca="false">IF($A1750="","",IF(O1750&lt;&gt;"Brasil","Turista Internacional",IF(M1750=F1750,"Local","Turista Nacional")))</f>
        <v>Local</v>
      </c>
      <c r="Q1750" s="7" t="n">
        <f aca="false">IF($A1750="","",DATE(YEAR(B1750),MONTH(B1750),1))</f>
        <v>45870</v>
      </c>
      <c r="R1750" s="4" t="str">
        <f aca="false">IF($A1750="","",IF(COUNTIF($A$2:$A1750,$A1750)&gt;1,"Sim","Não"))</f>
        <v>Não</v>
      </c>
      <c r="S1750" s="4" t="str">
        <f aca="false">IF(A1750="","Descartar - Linha vazia",IF(R1750="Sim","Descartar - Duplicado",IF(OR(H1750&lt;=0,I1750&lt;=0),"Descartar - Qtd/Valor inválido","OK")))</f>
        <v>OK</v>
      </c>
      <c r="T1750" s="4" t="str">
        <f aca="false">Base_Bruta!P1750</f>
        <v>vendas_MG.csv</v>
      </c>
    </row>
    <row r="1751" customFormat="false" ht="15" hidden="false" customHeight="false" outlineLevel="0" collapsed="false">
      <c r="A1751" s="4" t="str">
        <f aca="false">IF(Base_Bruta!A1751="","",Base_Bruta!A1751)</f>
        <v>MG-000149</v>
      </c>
      <c r="B1751" s="5" t="n">
        <f aca="false">IF($A1751="","",IF(ISNUMBER(Base_Bruta!B1751),Base_Bruta!B1751,IF(MID(Base_Bruta!B1751,5,1)="-",DATE(VALUE(LEFT(Base_Bruta!B1751,4)),VALUE(MID(Base_Bruta!B1751,6,2)),VALUE(RIGHT(Base_Bruta!B1751,2))),DATE(VALUE(RIGHT(Base_Bruta!B1751,4)),VALUE(MID(Base_Bruta!B1751,4,2)),VALUE(LEFT(Base_Bruta!B1751,2))))))</f>
        <v>45879</v>
      </c>
      <c r="C1751" s="5" t="n">
        <f aca="false">IF($A1751="","",IF(ISNUMBER(Base_Bruta!C1751),Base_Bruta!C1751,IF(MID(Base_Bruta!C1751,5,1)="-",DATE(VALUE(LEFT(Base_Bruta!C1751,4)),VALUE(MID(Base_Bruta!C1751,6,2)),VALUE(RIGHT(Base_Bruta!C1751,2))),DATE(VALUE(RIGHT(Base_Bruta!C1751,4)),VALUE(MID(Base_Bruta!C1751,4,2)),VALUE(LEFT(Base_Bruta!C1751,2))))))</f>
        <v>45892</v>
      </c>
      <c r="D1751" s="4" t="str">
        <f aca="false">IF($A1751="","",TRIM(Base_Bruta!D1751))</f>
        <v>Festival Montanhas BH 2025</v>
      </c>
      <c r="E1751" s="4" t="str">
        <f aca="false">IF($A1751="","",_xlfn.XLOOKUP(LOWER(TRIM(Base_Bruta!E1751)),DePara_Categoria!$A$2:$A$9,DePara_Categoria!$B$2:$B$9,"REVISAR"))</f>
        <v>Festival</v>
      </c>
      <c r="F1751" s="4" t="str">
        <f aca="false">IF($A1751="","",_xlfn.XLOOKUP(LOWER(TRIM(Base_Bruta!F1751)),DePara_Cidade!$A$2:$A$29,DePara_Cidade!$B$2:$B$29,"REVISAR"))</f>
        <v>Belo Horizonte</v>
      </c>
      <c r="G1751" s="4" t="str">
        <f aca="false">IF($A1751="","",TRIM(Base_Bruta!G1751))</f>
        <v>Inteira</v>
      </c>
      <c r="H1751" s="4" t="n">
        <f aca="false">IF($A1751="","",IF(ISNUMBER(Base_Bruta!H1751),Base_Bruta!H1751,IFERROR(_xlfn.NUMBERVALUE(TRIM(SUBSTITUTE(Base_Bruta!H1751,"R$","")),",","."),0)))</f>
        <v>2</v>
      </c>
      <c r="I1751" s="6" t="n">
        <f aca="false">IF($A1751="","",IF(ISNUMBER(Base_Bruta!I1751),Base_Bruta!I1751,IFERROR(_xlfn.NUMBERVALUE(TRIM(SUBSTITUTE(Base_Bruta!I1751,"R$","")),",","."),0)))</f>
        <v>1150</v>
      </c>
      <c r="J1751" s="6" t="n">
        <f aca="false">IF($A1751="","",H1751*I1751)</f>
        <v>2300</v>
      </c>
      <c r="K1751" s="4" t="str">
        <f aca="false">IF($A1751="","",TRIM(Base_Bruta!J1751))</f>
        <v>Site</v>
      </c>
      <c r="L1751" s="4" t="str">
        <f aca="false">IF($A1751="","",TRIM(Base_Bruta!K1751))</f>
        <v>C00575</v>
      </c>
      <c r="M1751" s="4" t="str">
        <f aca="false">IF($A1751="","",_xlfn.XLOOKUP(LOWER(TRIM(Base_Bruta!L1751)),DePara_Cidade!$A$2:$A$29,DePara_Cidade!$B$2:$B$29,"REVISAR"))</f>
        <v>Belo Horizonte</v>
      </c>
      <c r="N1751" s="4" t="str">
        <f aca="false">IF($A1751="","",UPPER(TRIM(Base_Bruta!M1751)))</f>
        <v>MG</v>
      </c>
      <c r="O1751" s="4" t="str">
        <f aca="false">IF($A1751="","",_xlfn.XLOOKUP(LOWER(TRIM(Base_Bruta!N1751)),DePara_Pais!$A$2:$A$9,DePara_Pais!$B$2:$B$9,"REVISAR"))</f>
        <v>Brasil</v>
      </c>
      <c r="P1751" s="4" t="str">
        <f aca="false">IF($A1751="","",IF(O1751&lt;&gt;"Brasil","Turista Internacional",IF(M1751=F1751,"Local","Turista Nacional")))</f>
        <v>Local</v>
      </c>
      <c r="Q1751" s="7" t="n">
        <f aca="false">IF($A1751="","",DATE(YEAR(B1751),MONTH(B1751),1))</f>
        <v>45870</v>
      </c>
      <c r="R1751" s="4" t="str">
        <f aca="false">IF($A1751="","",IF(COUNTIF($A$2:$A1751,$A1751)&gt;1,"Sim","Não"))</f>
        <v>Não</v>
      </c>
      <c r="S1751" s="4" t="str">
        <f aca="false">IF(A1751="","Descartar - Linha vazia",IF(R1751="Sim","Descartar - Duplicado",IF(OR(H1751&lt;=0,I1751&lt;=0),"Descartar - Qtd/Valor inválido","OK")))</f>
        <v>OK</v>
      </c>
      <c r="T1751" s="4" t="str">
        <f aca="false">Base_Bruta!P1751</f>
        <v>vendas_MG.csv</v>
      </c>
    </row>
    <row r="1752" customFormat="false" ht="15" hidden="false" customHeight="false" outlineLevel="0" collapsed="false">
      <c r="A1752" s="4" t="str">
        <f aca="false">IF(Base_Bruta!A1752="","",Base_Bruta!A1752)</f>
        <v>MG-000471</v>
      </c>
      <c r="B1752" s="5" t="n">
        <f aca="false">IF($A1752="","",IF(ISNUMBER(Base_Bruta!B1752),Base_Bruta!B1752,IF(MID(Base_Bruta!B1752,5,1)="-",DATE(VALUE(LEFT(Base_Bruta!B1752,4)),VALUE(MID(Base_Bruta!B1752,6,2)),VALUE(RIGHT(Base_Bruta!B1752,2))),DATE(VALUE(RIGHT(Base_Bruta!B1752,4)),VALUE(MID(Base_Bruta!B1752,4,2)),VALUE(LEFT(Base_Bruta!B1752,2))))))</f>
        <v>45879</v>
      </c>
      <c r="C1752" s="5" t="n">
        <f aca="false">IF($A1752="","",IF(ISNUMBER(Base_Bruta!C1752),Base_Bruta!C1752,IF(MID(Base_Bruta!C1752,5,1)="-",DATE(VALUE(LEFT(Base_Bruta!C1752,4)),VALUE(MID(Base_Bruta!C1752,6,2)),VALUE(RIGHT(Base_Bruta!C1752,2))),DATE(VALUE(RIGHT(Base_Bruta!C1752,4)),VALUE(MID(Base_Bruta!C1752,4,2)),VALUE(LEFT(Base_Bruta!C1752,2))))))</f>
        <v>45880</v>
      </c>
      <c r="D1752" s="4" t="str">
        <f aca="false">IF($A1752="","",TRIM(Base_Bruta!D1752))</f>
        <v>Cinema Savassi - Sessões</v>
      </c>
      <c r="E1752" s="4" t="str">
        <f aca="false">IF($A1752="","",_xlfn.XLOOKUP(LOWER(TRIM(Base_Bruta!E1752)),DePara_Categoria!$A$2:$A$9,DePara_Categoria!$B$2:$B$9,"REVISAR"))</f>
        <v>Cinema</v>
      </c>
      <c r="F1752" s="4" t="str">
        <f aca="false">IF($A1752="","",_xlfn.XLOOKUP(LOWER(TRIM(Base_Bruta!F1752)),DePara_Cidade!$A$2:$A$29,DePara_Cidade!$B$2:$B$29,"REVISAR"))</f>
        <v>Belo Horizonte</v>
      </c>
      <c r="G1752" s="4" t="str">
        <f aca="false">IF($A1752="","",TRIM(Base_Bruta!G1752))</f>
        <v>Inteira</v>
      </c>
      <c r="H1752" s="4" t="n">
        <f aca="false">IF($A1752="","",IF(ISNUMBER(Base_Bruta!H1752),Base_Bruta!H1752,IFERROR(_xlfn.NUMBERVALUE(TRIM(SUBSTITUTE(Base_Bruta!H1752,"R$","")),",","."),0)))</f>
        <v>2</v>
      </c>
      <c r="I1752" s="6" t="n">
        <f aca="false">IF($A1752="","",IF(ISNUMBER(Base_Bruta!I1752),Base_Bruta!I1752,IFERROR(_xlfn.NUMBERVALUE(TRIM(SUBSTITUTE(Base_Bruta!I1752,"R$","")),",","."),0)))</f>
        <v>30</v>
      </c>
      <c r="J1752" s="6" t="n">
        <f aca="false">IF($A1752="","",H1752*I1752)</f>
        <v>60</v>
      </c>
      <c r="K1752" s="4" t="str">
        <f aca="false">IF($A1752="","",TRIM(Base_Bruta!J1752))</f>
        <v>Bilheteria</v>
      </c>
      <c r="L1752" s="4" t="str">
        <f aca="false">IF($A1752="","",TRIM(Base_Bruta!K1752))</f>
        <v>C01932</v>
      </c>
      <c r="M1752" s="4" t="str">
        <f aca="false">IF($A1752="","",_xlfn.XLOOKUP(LOWER(TRIM(Base_Bruta!L1752)),DePara_Cidade!$A$2:$A$29,DePara_Cidade!$B$2:$B$29,"REVISAR"))</f>
        <v>Belo Horizonte</v>
      </c>
      <c r="N1752" s="4" t="str">
        <f aca="false">IF($A1752="","",UPPER(TRIM(Base_Bruta!M1752)))</f>
        <v>MG</v>
      </c>
      <c r="O1752" s="4" t="str">
        <f aca="false">IF($A1752="","",_xlfn.XLOOKUP(LOWER(TRIM(Base_Bruta!N1752)),DePara_Pais!$A$2:$A$9,DePara_Pais!$B$2:$B$9,"REVISAR"))</f>
        <v>Brasil</v>
      </c>
      <c r="P1752" s="4" t="str">
        <f aca="false">IF($A1752="","",IF(O1752&lt;&gt;"Brasil","Turista Internacional",IF(M1752=F1752,"Local","Turista Nacional")))</f>
        <v>Local</v>
      </c>
      <c r="Q1752" s="7" t="n">
        <f aca="false">IF($A1752="","",DATE(YEAR(B1752),MONTH(B1752),1))</f>
        <v>45870</v>
      </c>
      <c r="R1752" s="4" t="str">
        <f aca="false">IF($A1752="","",IF(COUNTIF($A$2:$A1752,$A1752)&gt;1,"Sim","Não"))</f>
        <v>Não</v>
      </c>
      <c r="S1752" s="4" t="str">
        <f aca="false">IF(A1752="","Descartar - Linha vazia",IF(R1752="Sim","Descartar - Duplicado",IF(OR(H1752&lt;=0,I1752&lt;=0),"Descartar - Qtd/Valor inválido","OK")))</f>
        <v>OK</v>
      </c>
      <c r="T1752" s="4" t="str">
        <f aca="false">Base_Bruta!P1752</f>
        <v>vendas_MG.csv</v>
      </c>
    </row>
    <row r="1753" customFormat="false" ht="15" hidden="false" customHeight="false" outlineLevel="0" collapsed="false">
      <c r="A1753" s="4" t="str">
        <f aca="false">IF(Base_Bruta!A1753="","",Base_Bruta!A1753)</f>
        <v>MG-000507</v>
      </c>
      <c r="B1753" s="5" t="n">
        <f aca="false">IF($A1753="","",IF(ISNUMBER(Base_Bruta!B1753),Base_Bruta!B1753,IF(MID(Base_Bruta!B1753,5,1)="-",DATE(VALUE(LEFT(Base_Bruta!B1753,4)),VALUE(MID(Base_Bruta!B1753,6,2)),VALUE(RIGHT(Base_Bruta!B1753,2))),DATE(VALUE(RIGHT(Base_Bruta!B1753,4)),VALUE(MID(Base_Bruta!B1753,4,2)),VALUE(LEFT(Base_Bruta!B1753,2))))))</f>
        <v>45879</v>
      </c>
      <c r="C1753" s="5" t="n">
        <f aca="false">IF($A1753="","",IF(ISNUMBER(Base_Bruta!C1753),Base_Bruta!C1753,IF(MID(Base_Bruta!C1753,5,1)="-",DATE(VALUE(LEFT(Base_Bruta!C1753,4)),VALUE(MID(Base_Bruta!C1753,6,2)),VALUE(RIGHT(Base_Bruta!C1753,2))),DATE(VALUE(RIGHT(Base_Bruta!C1753,4)),VALUE(MID(Base_Bruta!C1753,4,2)),VALUE(LEFT(Base_Bruta!C1753,2))))))</f>
        <v>45879</v>
      </c>
      <c r="D1753" s="4" t="str">
        <f aca="false">IF($A1753="","",TRIM(Base_Bruta!D1753))</f>
        <v>Cinema Savassi - Sessões</v>
      </c>
      <c r="E1753" s="4" t="str">
        <f aca="false">IF($A1753="","",_xlfn.XLOOKUP(LOWER(TRIM(Base_Bruta!E1753)),DePara_Categoria!$A$2:$A$9,DePara_Categoria!$B$2:$B$9,"REVISAR"))</f>
        <v>Cinema</v>
      </c>
      <c r="F1753" s="4" t="str">
        <f aca="false">IF($A1753="","",_xlfn.XLOOKUP(LOWER(TRIM(Base_Bruta!F1753)),DePara_Cidade!$A$2:$A$29,DePara_Cidade!$B$2:$B$29,"REVISAR"))</f>
        <v>Belo Horizonte</v>
      </c>
      <c r="G1753" s="4" t="str">
        <f aca="false">IF($A1753="","",TRIM(Base_Bruta!G1753))</f>
        <v>Meia</v>
      </c>
      <c r="H1753" s="4" t="n">
        <f aca="false">IF($A1753="","",IF(ISNUMBER(Base_Bruta!H1753),Base_Bruta!H1753,IFERROR(_xlfn.NUMBERVALUE(TRIM(SUBSTITUTE(Base_Bruta!H1753,"R$","")),",","."),0)))</f>
        <v>1</v>
      </c>
      <c r="I1753" s="6" t="n">
        <f aca="false">IF($A1753="","",IF(ISNUMBER(Base_Bruta!I1753),Base_Bruta!I1753,IFERROR(_xlfn.NUMBERVALUE(TRIM(SUBSTITUTE(Base_Bruta!I1753,"R$","")),",","."),0)))</f>
        <v>22.5</v>
      </c>
      <c r="J1753" s="6" t="n">
        <f aca="false">IF($A1753="","",H1753*I1753)</f>
        <v>22.5</v>
      </c>
      <c r="K1753" s="4" t="str">
        <f aca="false">IF($A1753="","",TRIM(Base_Bruta!J1753))</f>
        <v>Site</v>
      </c>
      <c r="L1753" s="4" t="str">
        <f aca="false">IF($A1753="","",TRIM(Base_Bruta!K1753))</f>
        <v>C02038</v>
      </c>
      <c r="M1753" s="4" t="str">
        <f aca="false">IF($A1753="","",_xlfn.XLOOKUP(LOWER(TRIM(Base_Bruta!L1753)),DePara_Cidade!$A$2:$A$29,DePara_Cidade!$B$2:$B$29,"REVISAR"))</f>
        <v>Belo Horizonte</v>
      </c>
      <c r="N1753" s="4" t="str">
        <f aca="false">IF($A1753="","",UPPER(TRIM(Base_Bruta!M1753)))</f>
        <v>MG</v>
      </c>
      <c r="O1753" s="4" t="str">
        <f aca="false">IF($A1753="","",_xlfn.XLOOKUP(LOWER(TRIM(Base_Bruta!N1753)),DePara_Pais!$A$2:$A$9,DePara_Pais!$B$2:$B$9,"REVISAR"))</f>
        <v>Brasil</v>
      </c>
      <c r="P1753" s="4" t="str">
        <f aca="false">IF($A1753="","",IF(O1753&lt;&gt;"Brasil","Turista Internacional",IF(M1753=F1753,"Local","Turista Nacional")))</f>
        <v>Local</v>
      </c>
      <c r="Q1753" s="7" t="n">
        <f aca="false">IF($A1753="","",DATE(YEAR(B1753),MONTH(B1753),1))</f>
        <v>45870</v>
      </c>
      <c r="R1753" s="4" t="str">
        <f aca="false">IF($A1753="","",IF(COUNTIF($A$2:$A1753,$A1753)&gt;1,"Sim","Não"))</f>
        <v>Não</v>
      </c>
      <c r="S1753" s="4" t="str">
        <f aca="false">IF(A1753="","Descartar - Linha vazia",IF(R1753="Sim","Descartar - Duplicado",IF(OR(H1753&lt;=0,I1753&lt;=0),"Descartar - Qtd/Valor inválido","OK")))</f>
        <v>OK</v>
      </c>
      <c r="T1753" s="4" t="str">
        <f aca="false">Base_Bruta!P1753</f>
        <v>vendas_MG.csv</v>
      </c>
    </row>
    <row r="1754" customFormat="false" ht="15" hidden="false" customHeight="false" outlineLevel="0" collapsed="false">
      <c r="A1754" s="4" t="str">
        <f aca="false">IF(Base_Bruta!A1754="","",Base_Bruta!A1754)</f>
        <v>MG-000030</v>
      </c>
      <c r="B1754" s="5" t="n">
        <f aca="false">IF($A1754="","",IF(ISNUMBER(Base_Bruta!B1754),Base_Bruta!B1754,IF(MID(Base_Bruta!B1754,5,1)="-",DATE(VALUE(LEFT(Base_Bruta!B1754,4)),VALUE(MID(Base_Bruta!B1754,6,2)),VALUE(RIGHT(Base_Bruta!B1754,2))),DATE(VALUE(RIGHT(Base_Bruta!B1754,4)),VALUE(MID(Base_Bruta!B1754,4,2)),VALUE(LEFT(Base_Bruta!B1754,2))))))</f>
        <v>45882</v>
      </c>
      <c r="C1754" s="5" t="n">
        <f aca="false">IF($A1754="","",IF(ISNUMBER(Base_Bruta!C1754),Base_Bruta!C1754,IF(MID(Base_Bruta!C1754,5,1)="-",DATE(VALUE(LEFT(Base_Bruta!C1754,4)),VALUE(MID(Base_Bruta!C1754,6,2)),VALUE(RIGHT(Base_Bruta!C1754,2))),DATE(VALUE(RIGHT(Base_Bruta!C1754,4)),VALUE(MID(Base_Bruta!C1754,4,2)),VALUE(LEFT(Base_Bruta!C1754,2))))))</f>
        <v>45892</v>
      </c>
      <c r="D1754" s="4" t="str">
        <f aca="false">IF($A1754="","",TRIM(Base_Bruta!D1754))</f>
        <v>Festival Montanhas BH 2025</v>
      </c>
      <c r="E1754" s="4" t="str">
        <f aca="false">IF($A1754="","",_xlfn.XLOOKUP(LOWER(TRIM(Base_Bruta!E1754)),DePara_Categoria!$A$2:$A$9,DePara_Categoria!$B$2:$B$9,"REVISAR"))</f>
        <v>Festival</v>
      </c>
      <c r="F1754" s="4" t="str">
        <f aca="false">IF($A1754="","",_xlfn.XLOOKUP(LOWER(TRIM(Base_Bruta!F1754)),DePara_Cidade!$A$2:$A$29,DePara_Cidade!$B$2:$B$29,"REVISAR"))</f>
        <v>Belo Horizonte</v>
      </c>
      <c r="G1754" s="4" t="str">
        <f aca="false">IF($A1754="","",TRIM(Base_Bruta!G1754))</f>
        <v>Meia</v>
      </c>
      <c r="H1754" s="4" t="n">
        <f aca="false">IF($A1754="","",IF(ISNUMBER(Base_Bruta!H1754),Base_Bruta!H1754,IFERROR(_xlfn.NUMBERVALUE(TRIM(SUBSTITUTE(Base_Bruta!H1754,"R$","")),",","."),0)))</f>
        <v>1</v>
      </c>
      <c r="I1754" s="6" t="n">
        <f aca="false">IF($A1754="","",IF(ISNUMBER(Base_Bruta!I1754),Base_Bruta!I1754,IFERROR(_xlfn.NUMBERVALUE(TRIM(SUBSTITUTE(Base_Bruta!I1754,"R$","")),",","."),0)))</f>
        <v>555</v>
      </c>
      <c r="J1754" s="6" t="n">
        <f aca="false">IF($A1754="","",H1754*I1754)</f>
        <v>555</v>
      </c>
      <c r="K1754" s="4" t="str">
        <f aca="false">IF($A1754="","",TRIM(Base_Bruta!J1754))</f>
        <v>Parceiro</v>
      </c>
      <c r="L1754" s="4" t="str">
        <f aca="false">IF($A1754="","",TRIM(Base_Bruta!K1754))</f>
        <v>C01596</v>
      </c>
      <c r="M1754" s="4" t="str">
        <f aca="false">IF($A1754="","",_xlfn.XLOOKUP(LOWER(TRIM(Base_Bruta!L1754)),DePara_Cidade!$A$2:$A$29,DePara_Cidade!$B$2:$B$29,"REVISAR"))</f>
        <v>Buenos Aires</v>
      </c>
      <c r="N1754" s="4" t="str">
        <f aca="false">IF($A1754="","",UPPER(TRIM(Base_Bruta!M1754)))</f>
        <v>EX</v>
      </c>
      <c r="O1754" s="4" t="str">
        <f aca="false">IF($A1754="","",_xlfn.XLOOKUP(LOWER(TRIM(Base_Bruta!N1754)),DePara_Pais!$A$2:$A$9,DePara_Pais!$B$2:$B$9,"REVISAR"))</f>
        <v>Argentina</v>
      </c>
      <c r="P1754" s="4" t="str">
        <f aca="false">IF($A1754="","",IF(O1754&lt;&gt;"Brasil","Turista Internacional",IF(M1754=F1754,"Local","Turista Nacional")))</f>
        <v>Turista Internacional</v>
      </c>
      <c r="Q1754" s="7" t="n">
        <f aca="false">IF($A1754="","",DATE(YEAR(B1754),MONTH(B1754),1))</f>
        <v>45870</v>
      </c>
      <c r="R1754" s="4" t="str">
        <f aca="false">IF($A1754="","",IF(COUNTIF($A$2:$A1754,$A1754)&gt;1,"Sim","Não"))</f>
        <v>Não</v>
      </c>
      <c r="S1754" s="4" t="str">
        <f aca="false">IF(A1754="","Descartar - Linha vazia",IF(R1754="Sim","Descartar - Duplicado",IF(OR(H1754&lt;=0,I1754&lt;=0),"Descartar - Qtd/Valor inválido","OK")))</f>
        <v>OK</v>
      </c>
      <c r="T1754" s="4" t="str">
        <f aca="false">Base_Bruta!P1754</f>
        <v>vendas_MG.csv</v>
      </c>
    </row>
    <row r="1755" customFormat="false" ht="15" hidden="false" customHeight="false" outlineLevel="0" collapsed="false">
      <c r="A1755" s="4" t="str">
        <f aca="false">IF(Base_Bruta!A1755="","",Base_Bruta!A1755)</f>
        <v>MG-000050</v>
      </c>
      <c r="B1755" s="5" t="n">
        <f aca="false">IF($A1755="","",IF(ISNUMBER(Base_Bruta!B1755),Base_Bruta!B1755,IF(MID(Base_Bruta!B1755,5,1)="-",DATE(VALUE(LEFT(Base_Bruta!B1755,4)),VALUE(MID(Base_Bruta!B1755,6,2)),VALUE(RIGHT(Base_Bruta!B1755,2))),DATE(VALUE(RIGHT(Base_Bruta!B1755,4)),VALUE(MID(Base_Bruta!B1755,4,2)),VALUE(LEFT(Base_Bruta!B1755,2))))))</f>
        <v>45882</v>
      </c>
      <c r="C1755" s="5" t="n">
        <f aca="false">IF($A1755="","",IF(ISNUMBER(Base_Bruta!C1755),Base_Bruta!C1755,IF(MID(Base_Bruta!C1755,5,1)="-",DATE(VALUE(LEFT(Base_Bruta!C1755,4)),VALUE(MID(Base_Bruta!C1755,6,2)),VALUE(RIGHT(Base_Bruta!C1755,2))),DATE(VALUE(RIGHT(Base_Bruta!C1755,4)),VALUE(MID(Base_Bruta!C1755,4,2)),VALUE(LEFT(Base_Bruta!C1755,2))))))</f>
        <v>45892</v>
      </c>
      <c r="D1755" s="4" t="str">
        <f aca="false">IF($A1755="","",TRIM(Base_Bruta!D1755))</f>
        <v>Festival Montanhas BH 2025</v>
      </c>
      <c r="E1755" s="4" t="str">
        <f aca="false">IF($A1755="","",_xlfn.XLOOKUP(LOWER(TRIM(Base_Bruta!E1755)),DePara_Categoria!$A$2:$A$9,DePara_Categoria!$B$2:$B$9,"REVISAR"))</f>
        <v>Festival</v>
      </c>
      <c r="F1755" s="4" t="str">
        <f aca="false">IF($A1755="","",_xlfn.XLOOKUP(LOWER(TRIM(Base_Bruta!F1755)),DePara_Cidade!$A$2:$A$29,DePara_Cidade!$B$2:$B$29,"REVISAR"))</f>
        <v>Belo Horizonte</v>
      </c>
      <c r="G1755" s="4" t="str">
        <f aca="false">IF($A1755="","",TRIM(Base_Bruta!G1755))</f>
        <v>Inteira</v>
      </c>
      <c r="H1755" s="4" t="n">
        <f aca="false">IF($A1755="","",IF(ISNUMBER(Base_Bruta!H1755),Base_Bruta!H1755,IFERROR(_xlfn.NUMBERVALUE(TRIM(SUBSTITUTE(Base_Bruta!H1755,"R$","")),",","."),0)))</f>
        <v>3</v>
      </c>
      <c r="I1755" s="6" t="n">
        <f aca="false">IF($A1755="","",IF(ISNUMBER(Base_Bruta!I1755),Base_Bruta!I1755,IFERROR(_xlfn.NUMBERVALUE(TRIM(SUBSTITUTE(Base_Bruta!I1755,"R$","")),",","."),0)))</f>
        <v>1090</v>
      </c>
      <c r="J1755" s="6" t="n">
        <f aca="false">IF($A1755="","",H1755*I1755)</f>
        <v>3270</v>
      </c>
      <c r="K1755" s="4" t="str">
        <f aca="false">IF($A1755="","",TRIM(Base_Bruta!J1755))</f>
        <v>Site</v>
      </c>
      <c r="L1755" s="4" t="str">
        <f aca="false">IF($A1755="","",TRIM(Base_Bruta!K1755))</f>
        <v>C00257</v>
      </c>
      <c r="M1755" s="4" t="str">
        <f aca="false">IF($A1755="","",_xlfn.XLOOKUP(LOWER(TRIM(Base_Bruta!L1755)),DePara_Cidade!$A$2:$A$29,DePara_Cidade!$B$2:$B$29,"REVISAR"))</f>
        <v>Belo Horizonte</v>
      </c>
      <c r="N1755" s="4" t="str">
        <f aca="false">IF($A1755="","",UPPER(TRIM(Base_Bruta!M1755)))</f>
        <v>MG</v>
      </c>
      <c r="O1755" s="4" t="str">
        <f aca="false">IF($A1755="","",_xlfn.XLOOKUP(LOWER(TRIM(Base_Bruta!N1755)),DePara_Pais!$A$2:$A$9,DePara_Pais!$B$2:$B$9,"REVISAR"))</f>
        <v>Brasil</v>
      </c>
      <c r="P1755" s="4" t="str">
        <f aca="false">IF($A1755="","",IF(O1755&lt;&gt;"Brasil","Turista Internacional",IF(M1755=F1755,"Local","Turista Nacional")))</f>
        <v>Local</v>
      </c>
      <c r="Q1755" s="7" t="n">
        <f aca="false">IF($A1755="","",DATE(YEAR(B1755),MONTH(B1755),1))</f>
        <v>45870</v>
      </c>
      <c r="R1755" s="4" t="str">
        <f aca="false">IF($A1755="","",IF(COUNTIF($A$2:$A1755,$A1755)&gt;1,"Sim","Não"))</f>
        <v>Não</v>
      </c>
      <c r="S1755" s="4" t="str">
        <f aca="false">IF(A1755="","Descartar - Linha vazia",IF(R1755="Sim","Descartar - Duplicado",IF(OR(H1755&lt;=0,I1755&lt;=0),"Descartar - Qtd/Valor inválido","OK")))</f>
        <v>OK</v>
      </c>
      <c r="T1755" s="4" t="str">
        <f aca="false">Base_Bruta!P1755</f>
        <v>vendas_MG.csv</v>
      </c>
    </row>
    <row r="1756" customFormat="false" ht="15" hidden="false" customHeight="false" outlineLevel="0" collapsed="false">
      <c r="A1756" s="4" t="str">
        <f aca="false">IF(Base_Bruta!A1756="","",Base_Bruta!A1756)</f>
        <v>MG-000003</v>
      </c>
      <c r="B1756" s="5" t="n">
        <f aca="false">IF($A1756="","",IF(ISNUMBER(Base_Bruta!B1756),Base_Bruta!B1756,IF(MID(Base_Bruta!B1756,5,1)="-",DATE(VALUE(LEFT(Base_Bruta!B1756,4)),VALUE(MID(Base_Bruta!B1756,6,2)),VALUE(RIGHT(Base_Bruta!B1756,2))),DATE(VALUE(RIGHT(Base_Bruta!B1756,4)),VALUE(MID(Base_Bruta!B1756,4,2)),VALUE(LEFT(Base_Bruta!B1756,2))))))</f>
        <v>45883</v>
      </c>
      <c r="C1756" s="5" t="n">
        <f aca="false">IF($A1756="","",IF(ISNUMBER(Base_Bruta!C1756),Base_Bruta!C1756,IF(MID(Base_Bruta!C1756,5,1)="-",DATE(VALUE(LEFT(Base_Bruta!C1756,4)),VALUE(MID(Base_Bruta!C1756,6,2)),VALUE(RIGHT(Base_Bruta!C1756,2))),DATE(VALUE(RIGHT(Base_Bruta!C1756,4)),VALUE(MID(Base_Bruta!C1756,4,2)),VALUE(LEFT(Base_Bruta!C1756,2))))))</f>
        <v>45892</v>
      </c>
      <c r="D1756" s="4" t="str">
        <f aca="false">IF($A1756="","",TRIM(Base_Bruta!D1756))</f>
        <v>Festival Montanhas BH 2025</v>
      </c>
      <c r="E1756" s="4" t="str">
        <f aca="false">IF($A1756="","",_xlfn.XLOOKUP(LOWER(TRIM(Base_Bruta!E1756)),DePara_Categoria!$A$2:$A$9,DePara_Categoria!$B$2:$B$9,"REVISAR"))</f>
        <v>Festival</v>
      </c>
      <c r="F1756" s="4" t="str">
        <f aca="false">IF($A1756="","",_xlfn.XLOOKUP(LOWER(TRIM(Base_Bruta!F1756)),DePara_Cidade!$A$2:$A$29,DePara_Cidade!$B$2:$B$29,"REVISAR"))</f>
        <v>Belo Horizonte</v>
      </c>
      <c r="G1756" s="4" t="str">
        <f aca="false">IF($A1756="","",TRIM(Base_Bruta!G1756))</f>
        <v>Inteira</v>
      </c>
      <c r="H1756" s="4" t="n">
        <f aca="false">IF($A1756="","",IF(ISNUMBER(Base_Bruta!H1756),Base_Bruta!H1756,IFERROR(_xlfn.NUMBERVALUE(TRIM(SUBSTITUTE(Base_Bruta!H1756,"R$","")),",","."),0)))</f>
        <v>1</v>
      </c>
      <c r="I1756" s="6" t="n">
        <f aca="false">IF($A1756="","",IF(ISNUMBER(Base_Bruta!I1756),Base_Bruta!I1756,IFERROR(_xlfn.NUMBERVALUE(TRIM(SUBSTITUTE(Base_Bruta!I1756,"R$","")),",","."),0)))</f>
        <v>850</v>
      </c>
      <c r="J1756" s="6" t="n">
        <f aca="false">IF($A1756="","",H1756*I1756)</f>
        <v>850</v>
      </c>
      <c r="K1756" s="4" t="str">
        <f aca="false">IF($A1756="","",TRIM(Base_Bruta!J1756))</f>
        <v>Site</v>
      </c>
      <c r="L1756" s="4" t="str">
        <f aca="false">IF($A1756="","",TRIM(Base_Bruta!K1756))</f>
        <v>C01773</v>
      </c>
      <c r="M1756" s="4" t="str">
        <f aca="false">IF($A1756="","",_xlfn.XLOOKUP(LOWER(TRIM(Base_Bruta!L1756)),DePara_Cidade!$A$2:$A$29,DePara_Cidade!$B$2:$B$29,"REVISAR"))</f>
        <v>Belo Horizonte</v>
      </c>
      <c r="N1756" s="4" t="str">
        <f aca="false">IF($A1756="","",UPPER(TRIM(Base_Bruta!M1756)))</f>
        <v>MG</v>
      </c>
      <c r="O1756" s="4" t="str">
        <f aca="false">IF($A1756="","",_xlfn.XLOOKUP(LOWER(TRIM(Base_Bruta!N1756)),DePara_Pais!$A$2:$A$9,DePara_Pais!$B$2:$B$9,"REVISAR"))</f>
        <v>Brasil</v>
      </c>
      <c r="P1756" s="4" t="str">
        <f aca="false">IF($A1756="","",IF(O1756&lt;&gt;"Brasil","Turista Internacional",IF(M1756=F1756,"Local","Turista Nacional")))</f>
        <v>Local</v>
      </c>
      <c r="Q1756" s="7" t="n">
        <f aca="false">IF($A1756="","",DATE(YEAR(B1756),MONTH(B1756),1))</f>
        <v>45870</v>
      </c>
      <c r="R1756" s="4" t="str">
        <f aca="false">IF($A1756="","",IF(COUNTIF($A$2:$A1756,$A1756)&gt;1,"Sim","Não"))</f>
        <v>Não</v>
      </c>
      <c r="S1756" s="4" t="str">
        <f aca="false">IF(A1756="","Descartar - Linha vazia",IF(R1756="Sim","Descartar - Duplicado",IF(OR(H1756&lt;=0,I1756&lt;=0),"Descartar - Qtd/Valor inválido","OK")))</f>
        <v>OK</v>
      </c>
      <c r="T1756" s="4" t="str">
        <f aca="false">Base_Bruta!P1756</f>
        <v>vendas_MG.csv</v>
      </c>
    </row>
    <row r="1757" customFormat="false" ht="15" hidden="false" customHeight="false" outlineLevel="0" collapsed="false">
      <c r="A1757" s="4" t="str">
        <f aca="false">IF(Base_Bruta!A1757="","",Base_Bruta!A1757)</f>
        <v>MG-000081</v>
      </c>
      <c r="B1757" s="5" t="n">
        <f aca="false">IF($A1757="","",IF(ISNUMBER(Base_Bruta!B1757),Base_Bruta!B1757,IF(MID(Base_Bruta!B1757,5,1)="-",DATE(VALUE(LEFT(Base_Bruta!B1757,4)),VALUE(MID(Base_Bruta!B1757,6,2)),VALUE(RIGHT(Base_Bruta!B1757,2))),DATE(VALUE(RIGHT(Base_Bruta!B1757,4)),VALUE(MID(Base_Bruta!B1757,4,2)),VALUE(LEFT(Base_Bruta!B1757,2))))))</f>
        <v>45883</v>
      </c>
      <c r="C1757" s="5" t="n">
        <f aca="false">IF($A1757="","",IF(ISNUMBER(Base_Bruta!C1757),Base_Bruta!C1757,IF(MID(Base_Bruta!C1757,5,1)="-",DATE(VALUE(LEFT(Base_Bruta!C1757,4)),VALUE(MID(Base_Bruta!C1757,6,2)),VALUE(RIGHT(Base_Bruta!C1757,2))),DATE(VALUE(RIGHT(Base_Bruta!C1757,4)),VALUE(MID(Base_Bruta!C1757,4,2)),VALUE(LEFT(Base_Bruta!C1757,2))))))</f>
        <v>45892</v>
      </c>
      <c r="D1757" s="4" t="str">
        <f aca="false">IF($A1757="","",TRIM(Base_Bruta!D1757))</f>
        <v>Festival Montanhas BH 2025</v>
      </c>
      <c r="E1757" s="4" t="str">
        <f aca="false">IF($A1757="","",_xlfn.XLOOKUP(LOWER(TRIM(Base_Bruta!E1757)),DePara_Categoria!$A$2:$A$9,DePara_Categoria!$B$2:$B$9,"REVISAR"))</f>
        <v>Festival</v>
      </c>
      <c r="F1757" s="4" t="str">
        <f aca="false">IF($A1757="","",_xlfn.XLOOKUP(LOWER(TRIM(Base_Bruta!F1757)),DePara_Cidade!$A$2:$A$29,DePara_Cidade!$B$2:$B$29,"REVISAR"))</f>
        <v>Belo Horizonte</v>
      </c>
      <c r="G1757" s="4" t="str">
        <f aca="false">IF($A1757="","",TRIM(Base_Bruta!G1757))</f>
        <v>VIP</v>
      </c>
      <c r="H1757" s="4" t="n">
        <f aca="false">IF($A1757="","",IF(ISNUMBER(Base_Bruta!H1757),Base_Bruta!H1757,IFERROR(_xlfn.NUMBERVALUE(TRIM(SUBSTITUTE(Base_Bruta!H1757,"R$","")),",","."),0)))</f>
        <v>2</v>
      </c>
      <c r="I1757" s="6" t="n">
        <f aca="false">IF($A1757="","",IF(ISNUMBER(Base_Bruta!I1757),Base_Bruta!I1757,IFERROR(_xlfn.NUMBERVALUE(TRIM(SUBSTITUTE(Base_Bruta!I1757,"R$","")),",","."),0)))</f>
        <v>1870</v>
      </c>
      <c r="J1757" s="6" t="n">
        <f aca="false">IF($A1757="","",H1757*I1757)</f>
        <v>3740</v>
      </c>
      <c r="K1757" s="4" t="str">
        <f aca="false">IF($A1757="","",TRIM(Base_Bruta!J1757))</f>
        <v>Bilheteria</v>
      </c>
      <c r="L1757" s="4" t="str">
        <f aca="false">IF($A1757="","",TRIM(Base_Bruta!K1757))</f>
        <v>C02017</v>
      </c>
      <c r="M1757" s="4" t="str">
        <f aca="false">IF($A1757="","",_xlfn.XLOOKUP(LOWER(TRIM(Base_Bruta!L1757)),DePara_Cidade!$A$2:$A$29,DePara_Cidade!$B$2:$B$29,"REVISAR"))</f>
        <v>Belo Horizonte</v>
      </c>
      <c r="N1757" s="4" t="str">
        <f aca="false">IF($A1757="","",UPPER(TRIM(Base_Bruta!M1757)))</f>
        <v>MG</v>
      </c>
      <c r="O1757" s="4" t="str">
        <f aca="false">IF($A1757="","",_xlfn.XLOOKUP(LOWER(TRIM(Base_Bruta!N1757)),DePara_Pais!$A$2:$A$9,DePara_Pais!$B$2:$B$9,"REVISAR"))</f>
        <v>Brasil</v>
      </c>
      <c r="P1757" s="4" t="str">
        <f aca="false">IF($A1757="","",IF(O1757&lt;&gt;"Brasil","Turista Internacional",IF(M1757=F1757,"Local","Turista Nacional")))</f>
        <v>Local</v>
      </c>
      <c r="Q1757" s="7" t="n">
        <f aca="false">IF($A1757="","",DATE(YEAR(B1757),MONTH(B1757),1))</f>
        <v>45870</v>
      </c>
      <c r="R1757" s="4" t="str">
        <f aca="false">IF($A1757="","",IF(COUNTIF($A$2:$A1757,$A1757)&gt;1,"Sim","Não"))</f>
        <v>Não</v>
      </c>
      <c r="S1757" s="4" t="str">
        <f aca="false">IF(A1757="","Descartar - Linha vazia",IF(R1757="Sim","Descartar - Duplicado",IF(OR(H1757&lt;=0,I1757&lt;=0),"Descartar - Qtd/Valor inválido","OK")))</f>
        <v>OK</v>
      </c>
      <c r="T1757" s="4" t="str">
        <f aca="false">Base_Bruta!P1757</f>
        <v>vendas_MG.csv</v>
      </c>
    </row>
    <row r="1758" customFormat="false" ht="15" hidden="false" customHeight="false" outlineLevel="0" collapsed="false">
      <c r="A1758" s="4" t="str">
        <f aca="false">IF(Base_Bruta!A1758="","",Base_Bruta!A1758)</f>
        <v>MG-000107</v>
      </c>
      <c r="B1758" s="5" t="n">
        <f aca="false">IF($A1758="","",IF(ISNUMBER(Base_Bruta!B1758),Base_Bruta!B1758,IF(MID(Base_Bruta!B1758,5,1)="-",DATE(VALUE(LEFT(Base_Bruta!B1758,4)),VALUE(MID(Base_Bruta!B1758,6,2)),VALUE(RIGHT(Base_Bruta!B1758,2))),DATE(VALUE(RIGHT(Base_Bruta!B1758,4)),VALUE(MID(Base_Bruta!B1758,4,2)),VALUE(LEFT(Base_Bruta!B1758,2))))))</f>
        <v>45883</v>
      </c>
      <c r="C1758" s="5" t="n">
        <f aca="false">IF($A1758="","",IF(ISNUMBER(Base_Bruta!C1758),Base_Bruta!C1758,IF(MID(Base_Bruta!C1758,5,1)="-",DATE(VALUE(LEFT(Base_Bruta!C1758,4)),VALUE(MID(Base_Bruta!C1758,6,2)),VALUE(RIGHT(Base_Bruta!C1758,2))),DATE(VALUE(RIGHT(Base_Bruta!C1758,4)),VALUE(MID(Base_Bruta!C1758,4,2)),VALUE(LEFT(Base_Bruta!C1758,2))))))</f>
        <v>45892</v>
      </c>
      <c r="D1758" s="4" t="str">
        <f aca="false">IF($A1758="","",TRIM(Base_Bruta!D1758))</f>
        <v>Festival Montanhas BH 2025</v>
      </c>
      <c r="E1758" s="4" t="str">
        <f aca="false">IF($A1758="","",_xlfn.XLOOKUP(LOWER(TRIM(Base_Bruta!E1758)),DePara_Categoria!$A$2:$A$9,DePara_Categoria!$B$2:$B$9,"REVISAR"))</f>
        <v>Festival</v>
      </c>
      <c r="F1758" s="4" t="str">
        <f aca="false">IF($A1758="","",_xlfn.XLOOKUP(LOWER(TRIM(Base_Bruta!F1758)),DePara_Cidade!$A$2:$A$29,DePara_Cidade!$B$2:$B$29,"REVISAR"))</f>
        <v>Belo Horizonte</v>
      </c>
      <c r="G1758" s="4" t="str">
        <f aca="false">IF($A1758="","",TRIM(Base_Bruta!G1758))</f>
        <v>Inteira</v>
      </c>
      <c r="H1758" s="4" t="n">
        <f aca="false">IF($A1758="","",IF(ISNUMBER(Base_Bruta!H1758),Base_Bruta!H1758,IFERROR(_xlfn.NUMBERVALUE(TRIM(SUBSTITUTE(Base_Bruta!H1758,"R$","")),",","."),0)))</f>
        <v>4</v>
      </c>
      <c r="I1758" s="6" t="n">
        <f aca="false">IF($A1758="","",IF(ISNUMBER(Base_Bruta!I1758),Base_Bruta!I1758,IFERROR(_xlfn.NUMBERVALUE(TRIM(SUBSTITUTE(Base_Bruta!I1758,"R$","")),",","."),0)))</f>
        <v>975</v>
      </c>
      <c r="J1758" s="6" t="n">
        <f aca="false">IF($A1758="","",H1758*I1758)</f>
        <v>3900</v>
      </c>
      <c r="K1758" s="4" t="str">
        <f aca="false">IF($A1758="","",TRIM(Base_Bruta!J1758))</f>
        <v>Bilheteria</v>
      </c>
      <c r="L1758" s="4" t="str">
        <f aca="false">IF($A1758="","",TRIM(Base_Bruta!K1758))</f>
        <v>C01908</v>
      </c>
      <c r="M1758" s="4" t="str">
        <f aca="false">IF($A1758="","",_xlfn.XLOOKUP(LOWER(TRIM(Base_Bruta!L1758)),DePara_Cidade!$A$2:$A$29,DePara_Cidade!$B$2:$B$29,"REVISAR"))</f>
        <v>Contagem</v>
      </c>
      <c r="N1758" s="4" t="str">
        <f aca="false">IF($A1758="","",UPPER(TRIM(Base_Bruta!M1758)))</f>
        <v>MG</v>
      </c>
      <c r="O1758" s="4" t="str">
        <f aca="false">IF($A1758="","",_xlfn.XLOOKUP(LOWER(TRIM(Base_Bruta!N1758)),DePara_Pais!$A$2:$A$9,DePara_Pais!$B$2:$B$9,"REVISAR"))</f>
        <v>Brasil</v>
      </c>
      <c r="P1758" s="4" t="str">
        <f aca="false">IF($A1758="","",IF(O1758&lt;&gt;"Brasil","Turista Internacional",IF(M1758=F1758,"Local","Turista Nacional")))</f>
        <v>Turista Nacional</v>
      </c>
      <c r="Q1758" s="7" t="n">
        <f aca="false">IF($A1758="","",DATE(YEAR(B1758),MONTH(B1758),1))</f>
        <v>45870</v>
      </c>
      <c r="R1758" s="4" t="str">
        <f aca="false">IF($A1758="","",IF(COUNTIF($A$2:$A1758,$A1758)&gt;1,"Sim","Não"))</f>
        <v>Não</v>
      </c>
      <c r="S1758" s="4" t="str">
        <f aca="false">IF(A1758="","Descartar - Linha vazia",IF(R1758="Sim","Descartar - Duplicado",IF(OR(H1758&lt;=0,I1758&lt;=0),"Descartar - Qtd/Valor inválido","OK")))</f>
        <v>OK</v>
      </c>
      <c r="T1758" s="4" t="str">
        <f aca="false">Base_Bruta!P1758</f>
        <v>vendas_MG.csv</v>
      </c>
    </row>
    <row r="1759" customFormat="false" ht="15" hidden="false" customHeight="false" outlineLevel="0" collapsed="false">
      <c r="A1759" s="4" t="str">
        <f aca="false">IF(Base_Bruta!A1759="","",Base_Bruta!A1759)</f>
        <v>MG-000435</v>
      </c>
      <c r="B1759" s="5" t="n">
        <f aca="false">IF($A1759="","",IF(ISNUMBER(Base_Bruta!B1759),Base_Bruta!B1759,IF(MID(Base_Bruta!B1759,5,1)="-",DATE(VALUE(LEFT(Base_Bruta!B1759,4)),VALUE(MID(Base_Bruta!B1759,6,2)),VALUE(RIGHT(Base_Bruta!B1759,2))),DATE(VALUE(RIGHT(Base_Bruta!B1759,4)),VALUE(MID(Base_Bruta!B1759,4,2)),VALUE(LEFT(Base_Bruta!B1759,2))))))</f>
        <v>45883</v>
      </c>
      <c r="C1759" s="5" t="n">
        <f aca="false">IF($A1759="","",IF(ISNUMBER(Base_Bruta!C1759),Base_Bruta!C1759,IF(MID(Base_Bruta!C1759,5,1)="-",DATE(VALUE(LEFT(Base_Bruta!C1759,4)),VALUE(MID(Base_Bruta!C1759,6,2)),VALUE(RIGHT(Base_Bruta!C1759,2))),DATE(VALUE(RIGHT(Base_Bruta!C1759,4)),VALUE(MID(Base_Bruta!C1759,4,2)),VALUE(LEFT(Base_Bruta!C1759,2))))))</f>
        <v>45885</v>
      </c>
      <c r="D1759" s="4" t="str">
        <f aca="false">IF($A1759="","",TRIM(Base_Bruta!D1759))</f>
        <v>Cinema Savassi - Sessões</v>
      </c>
      <c r="E1759" s="4" t="str">
        <f aca="false">IF($A1759="","",_xlfn.XLOOKUP(LOWER(TRIM(Base_Bruta!E1759)),DePara_Categoria!$A$2:$A$9,DePara_Categoria!$B$2:$B$9,"REVISAR"))</f>
        <v>Cinema</v>
      </c>
      <c r="F1759" s="4" t="str">
        <f aca="false">IF($A1759="","",_xlfn.XLOOKUP(LOWER(TRIM(Base_Bruta!F1759)),DePara_Cidade!$A$2:$A$29,DePara_Cidade!$B$2:$B$29,"REVISAR"))</f>
        <v>Belo Horizonte</v>
      </c>
      <c r="G1759" s="4" t="str">
        <f aca="false">IF($A1759="","",TRIM(Base_Bruta!G1759))</f>
        <v>Inteira</v>
      </c>
      <c r="H1759" s="4" t="n">
        <f aca="false">IF($A1759="","",IF(ISNUMBER(Base_Bruta!H1759),Base_Bruta!H1759,IFERROR(_xlfn.NUMBERVALUE(TRIM(SUBSTITUTE(Base_Bruta!H1759,"R$","")),",","."),0)))</f>
        <v>2</v>
      </c>
      <c r="I1759" s="6" t="n">
        <f aca="false">IF($A1759="","",IF(ISNUMBER(Base_Bruta!I1759),Base_Bruta!I1759,IFERROR(_xlfn.NUMBERVALUE(TRIM(SUBSTITUTE(Base_Bruta!I1759,"R$","")),",","."),0)))</f>
        <v>30</v>
      </c>
      <c r="J1759" s="6" t="n">
        <f aca="false">IF($A1759="","",H1759*I1759)</f>
        <v>60</v>
      </c>
      <c r="K1759" s="4" t="str">
        <f aca="false">IF($A1759="","",TRIM(Base_Bruta!J1759))</f>
        <v>Site</v>
      </c>
      <c r="L1759" s="4" t="str">
        <f aca="false">IF($A1759="","",TRIM(Base_Bruta!K1759))</f>
        <v>C00478</v>
      </c>
      <c r="M1759" s="4" t="str">
        <f aca="false">IF($A1759="","",_xlfn.XLOOKUP(LOWER(TRIM(Base_Bruta!L1759)),DePara_Cidade!$A$2:$A$29,DePara_Cidade!$B$2:$B$29,"REVISAR"))</f>
        <v>Campinas</v>
      </c>
      <c r="N1759" s="4" t="str">
        <f aca="false">IF($A1759="","",UPPER(TRIM(Base_Bruta!M1759)))</f>
        <v>SP</v>
      </c>
      <c r="O1759" s="4" t="str">
        <f aca="false">IF($A1759="","",_xlfn.XLOOKUP(LOWER(TRIM(Base_Bruta!N1759)),DePara_Pais!$A$2:$A$9,DePara_Pais!$B$2:$B$9,"REVISAR"))</f>
        <v>Brasil</v>
      </c>
      <c r="P1759" s="4" t="str">
        <f aca="false">IF($A1759="","",IF(O1759&lt;&gt;"Brasil","Turista Internacional",IF(M1759=F1759,"Local","Turista Nacional")))</f>
        <v>Turista Nacional</v>
      </c>
      <c r="Q1759" s="7" t="n">
        <f aca="false">IF($A1759="","",DATE(YEAR(B1759),MONTH(B1759),1))</f>
        <v>45870</v>
      </c>
      <c r="R1759" s="4" t="str">
        <f aca="false">IF($A1759="","",IF(COUNTIF($A$2:$A1759,$A1759)&gt;1,"Sim","Não"))</f>
        <v>Não</v>
      </c>
      <c r="S1759" s="4" t="str">
        <f aca="false">IF(A1759="","Descartar - Linha vazia",IF(R1759="Sim","Descartar - Duplicado",IF(OR(H1759&lt;=0,I1759&lt;=0),"Descartar - Qtd/Valor inválido","OK")))</f>
        <v>OK</v>
      </c>
      <c r="T1759" s="4" t="str">
        <f aca="false">Base_Bruta!P1759</f>
        <v>vendas_MG.csv</v>
      </c>
    </row>
    <row r="1760" customFormat="false" ht="15" hidden="false" customHeight="false" outlineLevel="0" collapsed="false">
      <c r="A1760" s="4" t="str">
        <f aca="false">IF(Base_Bruta!A1760="","",Base_Bruta!A1760)</f>
        <v>MG-000543</v>
      </c>
      <c r="B1760" s="5" t="n">
        <f aca="false">IF($A1760="","",IF(ISNUMBER(Base_Bruta!B1760),Base_Bruta!B1760,IF(MID(Base_Bruta!B1760,5,1)="-",DATE(VALUE(LEFT(Base_Bruta!B1760,4)),VALUE(MID(Base_Bruta!B1760,6,2)),VALUE(RIGHT(Base_Bruta!B1760,2))),DATE(VALUE(RIGHT(Base_Bruta!B1760,4)),VALUE(MID(Base_Bruta!B1760,4,2)),VALUE(LEFT(Base_Bruta!B1760,2))))))</f>
        <v>45883</v>
      </c>
      <c r="C1760" s="5" t="n">
        <f aca="false">IF($A1760="","",IF(ISNUMBER(Base_Bruta!C1760),Base_Bruta!C1760,IF(MID(Base_Bruta!C1760,5,1)="-",DATE(VALUE(LEFT(Base_Bruta!C1760,4)),VALUE(MID(Base_Bruta!C1760,6,2)),VALUE(RIGHT(Base_Bruta!C1760,2))),DATE(VALUE(RIGHT(Base_Bruta!C1760,4)),VALUE(MID(Base_Bruta!C1760,4,2)),VALUE(LEFT(Base_Bruta!C1760,2))))))</f>
        <v>45886</v>
      </c>
      <c r="D1760" s="4" t="str">
        <f aca="false">IF($A1760="","",TRIM(Base_Bruta!D1760))</f>
        <v>Cinema Savassi - Sessões</v>
      </c>
      <c r="E1760" s="4" t="str">
        <f aca="false">IF($A1760="","",_xlfn.XLOOKUP(LOWER(TRIM(Base_Bruta!E1760)),DePara_Categoria!$A$2:$A$9,DePara_Categoria!$B$2:$B$9,"REVISAR"))</f>
        <v>Cinema</v>
      </c>
      <c r="F1760" s="4" t="str">
        <f aca="false">IF($A1760="","",_xlfn.XLOOKUP(LOWER(TRIM(Base_Bruta!F1760)),DePara_Cidade!$A$2:$A$29,DePara_Cidade!$B$2:$B$29,"REVISAR"))</f>
        <v>Belo Horizonte</v>
      </c>
      <c r="G1760" s="4" t="str">
        <f aca="false">IF($A1760="","",TRIM(Base_Bruta!G1760))</f>
        <v>Meia</v>
      </c>
      <c r="H1760" s="4" t="n">
        <f aca="false">IF($A1760="","",IF(ISNUMBER(Base_Bruta!H1760),Base_Bruta!H1760,IFERROR(_xlfn.NUMBERVALUE(TRIM(SUBSTITUTE(Base_Bruta!H1760,"R$","")),",","."),0)))</f>
        <v>1</v>
      </c>
      <c r="I1760" s="6" t="n">
        <f aca="false">IF($A1760="","",IF(ISNUMBER(Base_Bruta!I1760),Base_Bruta!I1760,IFERROR(_xlfn.NUMBERVALUE(TRIM(SUBSTITUTE(Base_Bruta!I1760,"R$","")),",","."),0)))</f>
        <v>22.5</v>
      </c>
      <c r="J1760" s="6" t="n">
        <f aca="false">IF($A1760="","",H1760*I1760)</f>
        <v>22.5</v>
      </c>
      <c r="K1760" s="4" t="str">
        <f aca="false">IF($A1760="","",TRIM(Base_Bruta!J1760))</f>
        <v>App</v>
      </c>
      <c r="L1760" s="4" t="str">
        <f aca="false">IF($A1760="","",TRIM(Base_Bruta!K1760))</f>
        <v>C01962</v>
      </c>
      <c r="M1760" s="4" t="str">
        <f aca="false">IF($A1760="","",_xlfn.XLOOKUP(LOWER(TRIM(Base_Bruta!L1760)),DePara_Cidade!$A$2:$A$29,DePara_Cidade!$B$2:$B$29,"REVISAR"))</f>
        <v>Belo Horizonte</v>
      </c>
      <c r="N1760" s="4" t="str">
        <f aca="false">IF($A1760="","",UPPER(TRIM(Base_Bruta!M1760)))</f>
        <v>MG</v>
      </c>
      <c r="O1760" s="4" t="str">
        <f aca="false">IF($A1760="","",_xlfn.XLOOKUP(LOWER(TRIM(Base_Bruta!N1760)),DePara_Pais!$A$2:$A$9,DePara_Pais!$B$2:$B$9,"REVISAR"))</f>
        <v>Brasil</v>
      </c>
      <c r="P1760" s="4" t="str">
        <f aca="false">IF($A1760="","",IF(O1760&lt;&gt;"Brasil","Turista Internacional",IF(M1760=F1760,"Local","Turista Nacional")))</f>
        <v>Local</v>
      </c>
      <c r="Q1760" s="7" t="n">
        <f aca="false">IF($A1760="","",DATE(YEAR(B1760),MONTH(B1760),1))</f>
        <v>45870</v>
      </c>
      <c r="R1760" s="4" t="str">
        <f aca="false">IF($A1760="","",IF(COUNTIF($A$2:$A1760,$A1760)&gt;1,"Sim","Não"))</f>
        <v>Não</v>
      </c>
      <c r="S1760" s="4" t="str">
        <f aca="false">IF(A1760="","Descartar - Linha vazia",IF(R1760="Sim","Descartar - Duplicado",IF(OR(H1760&lt;=0,I1760&lt;=0),"Descartar - Qtd/Valor inválido","OK")))</f>
        <v>OK</v>
      </c>
      <c r="T1760" s="4" t="str">
        <f aca="false">Base_Bruta!P1760</f>
        <v>vendas_MG.csv</v>
      </c>
    </row>
    <row r="1761" customFormat="false" ht="15" hidden="false" customHeight="false" outlineLevel="0" collapsed="false">
      <c r="A1761" s="4" t="str">
        <f aca="false">IF(Base_Bruta!A1761="","",Base_Bruta!A1761)</f>
        <v>MG-000004</v>
      </c>
      <c r="B1761" s="5" t="n">
        <f aca="false">IF($A1761="","",IF(ISNUMBER(Base_Bruta!B1761),Base_Bruta!B1761,IF(MID(Base_Bruta!B1761,5,1)="-",DATE(VALUE(LEFT(Base_Bruta!B1761,4)),VALUE(MID(Base_Bruta!B1761,6,2)),VALUE(RIGHT(Base_Bruta!B1761,2))),DATE(VALUE(RIGHT(Base_Bruta!B1761,4)),VALUE(MID(Base_Bruta!B1761,4,2)),VALUE(LEFT(Base_Bruta!B1761,2))))))</f>
        <v>45885</v>
      </c>
      <c r="C1761" s="5" t="n">
        <f aca="false">IF($A1761="","",IF(ISNUMBER(Base_Bruta!C1761),Base_Bruta!C1761,IF(MID(Base_Bruta!C1761,5,1)="-",DATE(VALUE(LEFT(Base_Bruta!C1761,4)),VALUE(MID(Base_Bruta!C1761,6,2)),VALUE(RIGHT(Base_Bruta!C1761,2))),DATE(VALUE(RIGHT(Base_Bruta!C1761,4)),VALUE(MID(Base_Bruta!C1761,4,2)),VALUE(LEFT(Base_Bruta!C1761,2))))))</f>
        <v>45892</v>
      </c>
      <c r="D1761" s="4" t="str">
        <f aca="false">IF($A1761="","",TRIM(Base_Bruta!D1761))</f>
        <v>Festival Montanhas BH 2025</v>
      </c>
      <c r="E1761" s="4" t="str">
        <f aca="false">IF($A1761="","",_xlfn.XLOOKUP(LOWER(TRIM(Base_Bruta!E1761)),DePara_Categoria!$A$2:$A$9,DePara_Categoria!$B$2:$B$9,"REVISAR"))</f>
        <v>Festival</v>
      </c>
      <c r="F1761" s="4" t="str">
        <f aca="false">IF($A1761="","",_xlfn.XLOOKUP(LOWER(TRIM(Base_Bruta!F1761)),DePara_Cidade!$A$2:$A$29,DePara_Cidade!$B$2:$B$29,"REVISAR"))</f>
        <v>Belo Horizonte</v>
      </c>
      <c r="G1761" s="4" t="str">
        <f aca="false">IF($A1761="","",TRIM(Base_Bruta!G1761))</f>
        <v>Meia</v>
      </c>
      <c r="H1761" s="4" t="n">
        <f aca="false">IF($A1761="","",IF(ISNUMBER(Base_Bruta!H1761),Base_Bruta!H1761,IFERROR(_xlfn.NUMBERVALUE(TRIM(SUBSTITUTE(Base_Bruta!H1761,"R$","")),",","."),0)))</f>
        <v>1</v>
      </c>
      <c r="I1761" s="6" t="n">
        <f aca="false">IF($A1761="","",IF(ISNUMBER(Base_Bruta!I1761),Base_Bruta!I1761,IFERROR(_xlfn.NUMBERVALUE(TRIM(SUBSTITUTE(Base_Bruta!I1761,"R$","")),",","."),0)))</f>
        <v>400</v>
      </c>
      <c r="J1761" s="6" t="n">
        <f aca="false">IF($A1761="","",H1761*I1761)</f>
        <v>400</v>
      </c>
      <c r="K1761" s="4" t="str">
        <f aca="false">IF($A1761="","",TRIM(Base_Bruta!J1761))</f>
        <v>Site</v>
      </c>
      <c r="L1761" s="4" t="str">
        <f aca="false">IF($A1761="","",TRIM(Base_Bruta!K1761))</f>
        <v>C00596</v>
      </c>
      <c r="M1761" s="4" t="str">
        <f aca="false">IF($A1761="","",_xlfn.XLOOKUP(LOWER(TRIM(Base_Bruta!L1761)),DePara_Cidade!$A$2:$A$29,DePara_Cidade!$B$2:$B$29,"REVISAR"))</f>
        <v>Belo Horizonte</v>
      </c>
      <c r="N1761" s="4" t="str">
        <f aca="false">IF($A1761="","",UPPER(TRIM(Base_Bruta!M1761)))</f>
        <v>MG</v>
      </c>
      <c r="O1761" s="4" t="str">
        <f aca="false">IF($A1761="","",_xlfn.XLOOKUP(LOWER(TRIM(Base_Bruta!N1761)),DePara_Pais!$A$2:$A$9,DePara_Pais!$B$2:$B$9,"REVISAR"))</f>
        <v>Brasil</v>
      </c>
      <c r="P1761" s="4" t="str">
        <f aca="false">IF($A1761="","",IF(O1761&lt;&gt;"Brasil","Turista Internacional",IF(M1761=F1761,"Local","Turista Nacional")))</f>
        <v>Local</v>
      </c>
      <c r="Q1761" s="7" t="n">
        <f aca="false">IF($A1761="","",DATE(YEAR(B1761),MONTH(B1761),1))</f>
        <v>45870</v>
      </c>
      <c r="R1761" s="4" t="str">
        <f aca="false">IF($A1761="","",IF(COUNTIF($A$2:$A1761,$A1761)&gt;1,"Sim","Não"))</f>
        <v>Não</v>
      </c>
      <c r="S1761" s="4" t="str">
        <f aca="false">IF(A1761="","Descartar - Linha vazia",IF(R1761="Sim","Descartar - Duplicado",IF(OR(H1761&lt;=0,I1761&lt;=0),"Descartar - Qtd/Valor inválido","OK")))</f>
        <v>OK</v>
      </c>
      <c r="T1761" s="4" t="str">
        <f aca="false">Base_Bruta!P1761</f>
        <v>vendas_MG.csv</v>
      </c>
    </row>
    <row r="1762" customFormat="false" ht="15" hidden="false" customHeight="false" outlineLevel="0" collapsed="false">
      <c r="A1762" s="4" t="str">
        <f aca="false">IF(Base_Bruta!A1762="","",Base_Bruta!A1762)</f>
        <v>MG-000032</v>
      </c>
      <c r="B1762" s="5" t="n">
        <f aca="false">IF($A1762="","",IF(ISNUMBER(Base_Bruta!B1762),Base_Bruta!B1762,IF(MID(Base_Bruta!B1762,5,1)="-",DATE(VALUE(LEFT(Base_Bruta!B1762,4)),VALUE(MID(Base_Bruta!B1762,6,2)),VALUE(RIGHT(Base_Bruta!B1762,2))),DATE(VALUE(RIGHT(Base_Bruta!B1762,4)),VALUE(MID(Base_Bruta!B1762,4,2)),VALUE(LEFT(Base_Bruta!B1762,2))))))</f>
        <v>45885</v>
      </c>
      <c r="C1762" s="5" t="n">
        <f aca="false">IF($A1762="","",IF(ISNUMBER(Base_Bruta!C1762),Base_Bruta!C1762,IF(MID(Base_Bruta!C1762,5,1)="-",DATE(VALUE(LEFT(Base_Bruta!C1762,4)),VALUE(MID(Base_Bruta!C1762,6,2)),VALUE(RIGHT(Base_Bruta!C1762,2))),DATE(VALUE(RIGHT(Base_Bruta!C1762,4)),VALUE(MID(Base_Bruta!C1762,4,2)),VALUE(LEFT(Base_Bruta!C1762,2))))))</f>
        <v>45892</v>
      </c>
      <c r="D1762" s="4" t="str">
        <f aca="false">IF($A1762="","",TRIM(Base_Bruta!D1762))</f>
        <v>Festival Montanhas BH 2025</v>
      </c>
      <c r="E1762" s="4" t="str">
        <f aca="false">IF($A1762="","",_xlfn.XLOOKUP(LOWER(TRIM(Base_Bruta!E1762)),DePara_Categoria!$A$2:$A$9,DePara_Categoria!$B$2:$B$9,"REVISAR"))</f>
        <v>Festival</v>
      </c>
      <c r="F1762" s="4" t="str">
        <f aca="false">IF($A1762="","",_xlfn.XLOOKUP(LOWER(TRIM(Base_Bruta!F1762)),DePara_Cidade!$A$2:$A$29,DePara_Cidade!$B$2:$B$29,"REVISAR"))</f>
        <v>Belo Horizonte</v>
      </c>
      <c r="G1762" s="4" t="str">
        <f aca="false">IF($A1762="","",TRIM(Base_Bruta!G1762))</f>
        <v>Meia</v>
      </c>
      <c r="H1762" s="4" t="n">
        <f aca="false">IF($A1762="","",IF(ISNUMBER(Base_Bruta!H1762),Base_Bruta!H1762,IFERROR(_xlfn.NUMBERVALUE(TRIM(SUBSTITUTE(Base_Bruta!H1762,"R$","")),",","."),0)))</f>
        <v>3</v>
      </c>
      <c r="I1762" s="6" t="n">
        <f aca="false">IF($A1762="","",IF(ISNUMBER(Base_Bruta!I1762),Base_Bruta!I1762,IFERROR(_xlfn.NUMBERVALUE(TRIM(SUBSTITUTE(Base_Bruta!I1762,"R$","")),",","."),0)))</f>
        <v>425</v>
      </c>
      <c r="J1762" s="6" t="n">
        <f aca="false">IF($A1762="","",H1762*I1762)</f>
        <v>1275</v>
      </c>
      <c r="K1762" s="4" t="str">
        <f aca="false">IF($A1762="","",TRIM(Base_Bruta!J1762))</f>
        <v>Site</v>
      </c>
      <c r="L1762" s="4" t="str">
        <f aca="false">IF($A1762="","",TRIM(Base_Bruta!K1762))</f>
        <v>C02176</v>
      </c>
      <c r="M1762" s="4" t="str">
        <f aca="false">IF($A1762="","",_xlfn.XLOOKUP(LOWER(TRIM(Base_Bruta!L1762)),DePara_Cidade!$A$2:$A$29,DePara_Cidade!$B$2:$B$29,"REVISAR"))</f>
        <v>Porto Alegre</v>
      </c>
      <c r="N1762" s="4" t="str">
        <f aca="false">IF($A1762="","",UPPER(TRIM(Base_Bruta!M1762)))</f>
        <v>RS</v>
      </c>
      <c r="O1762" s="4" t="str">
        <f aca="false">IF($A1762="","",_xlfn.XLOOKUP(LOWER(TRIM(Base_Bruta!N1762)),DePara_Pais!$A$2:$A$9,DePara_Pais!$B$2:$B$9,"REVISAR"))</f>
        <v>Brasil</v>
      </c>
      <c r="P1762" s="4" t="str">
        <f aca="false">IF($A1762="","",IF(O1762&lt;&gt;"Brasil","Turista Internacional",IF(M1762=F1762,"Local","Turista Nacional")))</f>
        <v>Turista Nacional</v>
      </c>
      <c r="Q1762" s="7" t="n">
        <f aca="false">IF($A1762="","",DATE(YEAR(B1762),MONTH(B1762),1))</f>
        <v>45870</v>
      </c>
      <c r="R1762" s="4" t="str">
        <f aca="false">IF($A1762="","",IF(COUNTIF($A$2:$A1762,$A1762)&gt;1,"Sim","Não"))</f>
        <v>Não</v>
      </c>
      <c r="S1762" s="4" t="str">
        <f aca="false">IF(A1762="","Descartar - Linha vazia",IF(R1762="Sim","Descartar - Duplicado",IF(OR(H1762&lt;=0,I1762&lt;=0),"Descartar - Qtd/Valor inválido","OK")))</f>
        <v>OK</v>
      </c>
      <c r="T1762" s="4" t="str">
        <f aca="false">Base_Bruta!P1762</f>
        <v>vendas_MG.csv</v>
      </c>
    </row>
    <row r="1763" customFormat="false" ht="15" hidden="false" customHeight="false" outlineLevel="0" collapsed="false">
      <c r="A1763" s="4" t="str">
        <f aca="false">IF(Base_Bruta!A1763="","",Base_Bruta!A1763)</f>
        <v>MG-000076</v>
      </c>
      <c r="B1763" s="5" t="n">
        <f aca="false">IF($A1763="","",IF(ISNUMBER(Base_Bruta!B1763),Base_Bruta!B1763,IF(MID(Base_Bruta!B1763,5,1)="-",DATE(VALUE(LEFT(Base_Bruta!B1763,4)),VALUE(MID(Base_Bruta!B1763,6,2)),VALUE(RIGHT(Base_Bruta!B1763,2))),DATE(VALUE(RIGHT(Base_Bruta!B1763,4)),VALUE(MID(Base_Bruta!B1763,4,2)),VALUE(LEFT(Base_Bruta!B1763,2))))))</f>
        <v>45885</v>
      </c>
      <c r="C1763" s="5" t="n">
        <f aca="false">IF($A1763="","",IF(ISNUMBER(Base_Bruta!C1763),Base_Bruta!C1763,IF(MID(Base_Bruta!C1763,5,1)="-",DATE(VALUE(LEFT(Base_Bruta!C1763,4)),VALUE(MID(Base_Bruta!C1763,6,2)),VALUE(RIGHT(Base_Bruta!C1763,2))),DATE(VALUE(RIGHT(Base_Bruta!C1763,4)),VALUE(MID(Base_Bruta!C1763,4,2)),VALUE(LEFT(Base_Bruta!C1763,2))))))</f>
        <v>45892</v>
      </c>
      <c r="D1763" s="4" t="str">
        <f aca="false">IF($A1763="","",TRIM(Base_Bruta!D1763))</f>
        <v>Festival Montanhas BH 2025</v>
      </c>
      <c r="E1763" s="4" t="str">
        <f aca="false">IF($A1763="","",_xlfn.XLOOKUP(LOWER(TRIM(Base_Bruta!E1763)),DePara_Categoria!$A$2:$A$9,DePara_Categoria!$B$2:$B$9,"REVISAR"))</f>
        <v>Festival</v>
      </c>
      <c r="F1763" s="4" t="str">
        <f aca="false">IF($A1763="","",_xlfn.XLOOKUP(LOWER(TRIM(Base_Bruta!F1763)),DePara_Cidade!$A$2:$A$29,DePara_Cidade!$B$2:$B$29,"REVISAR"))</f>
        <v>Belo Horizonte</v>
      </c>
      <c r="G1763" s="4" t="str">
        <f aca="false">IF($A1763="","",TRIM(Base_Bruta!G1763))</f>
        <v>VIP</v>
      </c>
      <c r="H1763" s="4" t="n">
        <f aca="false">IF($A1763="","",IF(ISNUMBER(Base_Bruta!H1763),Base_Bruta!H1763,IFERROR(_xlfn.NUMBERVALUE(TRIM(SUBSTITUTE(Base_Bruta!H1763,"R$","")),",","."),0)))</f>
        <v>1</v>
      </c>
      <c r="I1763" s="6" t="n">
        <f aca="false">IF($A1763="","",IF(ISNUMBER(Base_Bruta!I1763),Base_Bruta!I1763,IFERROR(_xlfn.NUMBERVALUE(TRIM(SUBSTITUTE(Base_Bruta!I1763,"R$","")),",","."),0)))</f>
        <v>1660</v>
      </c>
      <c r="J1763" s="6" t="n">
        <f aca="false">IF($A1763="","",H1763*I1763)</f>
        <v>1660</v>
      </c>
      <c r="K1763" s="4" t="str">
        <f aca="false">IF($A1763="","",TRIM(Base_Bruta!J1763))</f>
        <v>Site</v>
      </c>
      <c r="L1763" s="4" t="str">
        <f aca="false">IF($A1763="","",TRIM(Base_Bruta!K1763))</f>
        <v>C00633</v>
      </c>
      <c r="M1763" s="4" t="str">
        <f aca="false">IF($A1763="","",_xlfn.XLOOKUP(LOWER(TRIM(Base_Bruta!L1763)),DePara_Cidade!$A$2:$A$29,DePara_Cidade!$B$2:$B$29,"REVISAR"))</f>
        <v>Belo Horizonte</v>
      </c>
      <c r="N1763" s="4" t="str">
        <f aca="false">IF($A1763="","",UPPER(TRIM(Base_Bruta!M1763)))</f>
        <v>MG</v>
      </c>
      <c r="O1763" s="4" t="str">
        <f aca="false">IF($A1763="","",_xlfn.XLOOKUP(LOWER(TRIM(Base_Bruta!N1763)),DePara_Pais!$A$2:$A$9,DePara_Pais!$B$2:$B$9,"REVISAR"))</f>
        <v>Brasil</v>
      </c>
      <c r="P1763" s="4" t="str">
        <f aca="false">IF($A1763="","",IF(O1763&lt;&gt;"Brasil","Turista Internacional",IF(M1763=F1763,"Local","Turista Nacional")))</f>
        <v>Local</v>
      </c>
      <c r="Q1763" s="7" t="n">
        <f aca="false">IF($A1763="","",DATE(YEAR(B1763),MONTH(B1763),1))</f>
        <v>45870</v>
      </c>
      <c r="R1763" s="4" t="str">
        <f aca="false">IF($A1763="","",IF(COUNTIF($A$2:$A1763,$A1763)&gt;1,"Sim","Não"))</f>
        <v>Não</v>
      </c>
      <c r="S1763" s="4" t="str">
        <f aca="false">IF(A1763="","Descartar - Linha vazia",IF(R1763="Sim","Descartar - Duplicado",IF(OR(H1763&lt;=0,I1763&lt;=0),"Descartar - Qtd/Valor inválido","OK")))</f>
        <v>OK</v>
      </c>
      <c r="T1763" s="4" t="str">
        <f aca="false">Base_Bruta!P1763</f>
        <v>vendas_MG.csv</v>
      </c>
    </row>
    <row r="1764" customFormat="false" ht="15" hidden="false" customHeight="false" outlineLevel="0" collapsed="false">
      <c r="A1764" s="4" t="str">
        <f aca="false">IF(Base_Bruta!A1764="","",Base_Bruta!A1764)</f>
        <v>MG-000085</v>
      </c>
      <c r="B1764" s="5" t="n">
        <f aca="false">IF($A1764="","",IF(ISNUMBER(Base_Bruta!B1764),Base_Bruta!B1764,IF(MID(Base_Bruta!B1764,5,1)="-",DATE(VALUE(LEFT(Base_Bruta!B1764,4)),VALUE(MID(Base_Bruta!B1764,6,2)),VALUE(RIGHT(Base_Bruta!B1764,2))),DATE(VALUE(RIGHT(Base_Bruta!B1764,4)),VALUE(MID(Base_Bruta!B1764,4,2)),VALUE(LEFT(Base_Bruta!B1764,2))))))</f>
        <v>45885</v>
      </c>
      <c r="C1764" s="5" t="n">
        <f aca="false">IF($A1764="","",IF(ISNUMBER(Base_Bruta!C1764),Base_Bruta!C1764,IF(MID(Base_Bruta!C1764,5,1)="-",DATE(VALUE(LEFT(Base_Bruta!C1764,4)),VALUE(MID(Base_Bruta!C1764,6,2)),VALUE(RIGHT(Base_Bruta!C1764,2))),DATE(VALUE(RIGHT(Base_Bruta!C1764,4)),VALUE(MID(Base_Bruta!C1764,4,2)),VALUE(LEFT(Base_Bruta!C1764,2))))))</f>
        <v>45892</v>
      </c>
      <c r="D1764" s="4" t="str">
        <f aca="false">IF($A1764="","",TRIM(Base_Bruta!D1764))</f>
        <v>Festival Montanhas BH 2025</v>
      </c>
      <c r="E1764" s="4" t="str">
        <f aca="false">IF($A1764="","",_xlfn.XLOOKUP(LOWER(TRIM(Base_Bruta!E1764)),DePara_Categoria!$A$2:$A$9,DePara_Categoria!$B$2:$B$9,"REVISAR"))</f>
        <v>Festival</v>
      </c>
      <c r="F1764" s="4" t="str">
        <f aca="false">IF($A1764="","",_xlfn.XLOOKUP(LOWER(TRIM(Base_Bruta!F1764)),DePara_Cidade!$A$2:$A$29,DePara_Cidade!$B$2:$B$29,"REVISAR"))</f>
        <v>Belo Horizonte</v>
      </c>
      <c r="G1764" s="4" t="str">
        <f aca="false">IF($A1764="","",TRIM(Base_Bruta!G1764))</f>
        <v>Meia</v>
      </c>
      <c r="H1764" s="4" t="n">
        <f aca="false">IF($A1764="","",IF(ISNUMBER(Base_Bruta!H1764),Base_Bruta!H1764,IFERROR(_xlfn.NUMBERVALUE(TRIM(SUBSTITUTE(Base_Bruta!H1764,"R$","")),",","."),0)))</f>
        <v>2</v>
      </c>
      <c r="I1764" s="6" t="n">
        <f aca="false">IF($A1764="","",IF(ISNUMBER(Base_Bruta!I1764),Base_Bruta!I1764,IFERROR(_xlfn.NUMBERVALUE(TRIM(SUBSTITUTE(Base_Bruta!I1764,"R$","")),",","."),0)))</f>
        <v>460</v>
      </c>
      <c r="J1764" s="6" t="n">
        <f aca="false">IF($A1764="","",H1764*I1764)</f>
        <v>920</v>
      </c>
      <c r="K1764" s="4" t="str">
        <f aca="false">IF($A1764="","",TRIM(Base_Bruta!J1764))</f>
        <v>App</v>
      </c>
      <c r="L1764" s="4" t="str">
        <f aca="false">IF($A1764="","",TRIM(Base_Bruta!K1764))</f>
        <v>C02444</v>
      </c>
      <c r="M1764" s="4" t="str">
        <f aca="false">IF($A1764="","",_xlfn.XLOOKUP(LOWER(TRIM(Base_Bruta!L1764)),DePara_Cidade!$A$2:$A$29,DePara_Cidade!$B$2:$B$29,"REVISAR"))</f>
        <v>Santos</v>
      </c>
      <c r="N1764" s="4" t="str">
        <f aca="false">IF($A1764="","",UPPER(TRIM(Base_Bruta!M1764)))</f>
        <v>SP</v>
      </c>
      <c r="O1764" s="4" t="str">
        <f aca="false">IF($A1764="","",_xlfn.XLOOKUP(LOWER(TRIM(Base_Bruta!N1764)),DePara_Pais!$A$2:$A$9,DePara_Pais!$B$2:$B$9,"REVISAR"))</f>
        <v>Brasil</v>
      </c>
      <c r="P1764" s="4" t="str">
        <f aca="false">IF($A1764="","",IF(O1764&lt;&gt;"Brasil","Turista Internacional",IF(M1764=F1764,"Local","Turista Nacional")))</f>
        <v>Turista Nacional</v>
      </c>
      <c r="Q1764" s="7" t="n">
        <f aca="false">IF($A1764="","",DATE(YEAR(B1764),MONTH(B1764),1))</f>
        <v>45870</v>
      </c>
      <c r="R1764" s="4" t="str">
        <f aca="false">IF($A1764="","",IF(COUNTIF($A$2:$A1764,$A1764)&gt;1,"Sim","Não"))</f>
        <v>Não</v>
      </c>
      <c r="S1764" s="4" t="str">
        <f aca="false">IF(A1764="","Descartar - Linha vazia",IF(R1764="Sim","Descartar - Duplicado",IF(OR(H1764&lt;=0,I1764&lt;=0),"Descartar - Qtd/Valor inválido","OK")))</f>
        <v>OK</v>
      </c>
      <c r="T1764" s="4" t="str">
        <f aca="false">Base_Bruta!P1764</f>
        <v>vendas_MG.csv</v>
      </c>
    </row>
    <row r="1765" customFormat="false" ht="15" hidden="false" customHeight="false" outlineLevel="0" collapsed="false">
      <c r="A1765" s="4" t="str">
        <f aca="false">IF(Base_Bruta!A1765="","",Base_Bruta!A1765)</f>
        <v>MG-000103</v>
      </c>
      <c r="B1765" s="5" t="n">
        <f aca="false">IF($A1765="","",IF(ISNUMBER(Base_Bruta!B1765),Base_Bruta!B1765,IF(MID(Base_Bruta!B1765,5,1)="-",DATE(VALUE(LEFT(Base_Bruta!B1765,4)),VALUE(MID(Base_Bruta!B1765,6,2)),VALUE(RIGHT(Base_Bruta!B1765,2))),DATE(VALUE(RIGHT(Base_Bruta!B1765,4)),VALUE(MID(Base_Bruta!B1765,4,2)),VALUE(LEFT(Base_Bruta!B1765,2))))))</f>
        <v>45885</v>
      </c>
      <c r="C1765" s="5" t="n">
        <f aca="false">IF($A1765="","",IF(ISNUMBER(Base_Bruta!C1765),Base_Bruta!C1765,IF(MID(Base_Bruta!C1765,5,1)="-",DATE(VALUE(LEFT(Base_Bruta!C1765,4)),VALUE(MID(Base_Bruta!C1765,6,2)),VALUE(RIGHT(Base_Bruta!C1765,2))),DATE(VALUE(RIGHT(Base_Bruta!C1765,4)),VALUE(MID(Base_Bruta!C1765,4,2)),VALUE(LEFT(Base_Bruta!C1765,2))))))</f>
        <v>45892</v>
      </c>
      <c r="D1765" s="4" t="str">
        <f aca="false">IF($A1765="","",TRIM(Base_Bruta!D1765))</f>
        <v>Festival Montanhas BH 2025</v>
      </c>
      <c r="E1765" s="4" t="str">
        <f aca="false">IF($A1765="","",_xlfn.XLOOKUP(LOWER(TRIM(Base_Bruta!E1765)),DePara_Categoria!$A$2:$A$9,DePara_Categoria!$B$2:$B$9,"REVISAR"))</f>
        <v>Festival</v>
      </c>
      <c r="F1765" s="4" t="str">
        <f aca="false">IF($A1765="","",_xlfn.XLOOKUP(LOWER(TRIM(Base_Bruta!F1765)),DePara_Cidade!$A$2:$A$29,DePara_Cidade!$B$2:$B$29,"REVISAR"))</f>
        <v>Belo Horizonte</v>
      </c>
      <c r="G1765" s="4" t="str">
        <f aca="false">IF($A1765="","",TRIM(Base_Bruta!G1765))</f>
        <v>Inteira</v>
      </c>
      <c r="H1765" s="4" t="n">
        <f aca="false">IF($A1765="","",IF(ISNUMBER(Base_Bruta!H1765),Base_Bruta!H1765,IFERROR(_xlfn.NUMBERVALUE(TRIM(SUBSTITUTE(Base_Bruta!H1765,"R$","")),",","."),0)))</f>
        <v>2</v>
      </c>
      <c r="I1765" s="6" t="n">
        <f aca="false">IF($A1765="","",IF(ISNUMBER(Base_Bruta!I1765),Base_Bruta!I1765,IFERROR(_xlfn.NUMBERVALUE(TRIM(SUBSTITUTE(Base_Bruta!I1765,"R$","")),",","."),0)))</f>
        <v>830</v>
      </c>
      <c r="J1765" s="6" t="n">
        <f aca="false">IF($A1765="","",H1765*I1765)</f>
        <v>1660</v>
      </c>
      <c r="K1765" s="4" t="str">
        <f aca="false">IF($A1765="","",TRIM(Base_Bruta!J1765))</f>
        <v>Site</v>
      </c>
      <c r="L1765" s="4" t="str">
        <f aca="false">IF($A1765="","",TRIM(Base_Bruta!K1765))</f>
        <v>C00729</v>
      </c>
      <c r="M1765" s="4" t="str">
        <f aca="false">IF($A1765="","",_xlfn.XLOOKUP(LOWER(TRIM(Base_Bruta!L1765)),DePara_Cidade!$A$2:$A$29,DePara_Cidade!$B$2:$B$29,"REVISAR"))</f>
        <v>Belo Horizonte</v>
      </c>
      <c r="N1765" s="4" t="str">
        <f aca="false">IF($A1765="","",UPPER(TRIM(Base_Bruta!M1765)))</f>
        <v>MG</v>
      </c>
      <c r="O1765" s="4" t="str">
        <f aca="false">IF($A1765="","",_xlfn.XLOOKUP(LOWER(TRIM(Base_Bruta!N1765)),DePara_Pais!$A$2:$A$9,DePara_Pais!$B$2:$B$9,"REVISAR"))</f>
        <v>Brasil</v>
      </c>
      <c r="P1765" s="4" t="str">
        <f aca="false">IF($A1765="","",IF(O1765&lt;&gt;"Brasil","Turista Internacional",IF(M1765=F1765,"Local","Turista Nacional")))</f>
        <v>Local</v>
      </c>
      <c r="Q1765" s="7" t="n">
        <f aca="false">IF($A1765="","",DATE(YEAR(B1765),MONTH(B1765),1))</f>
        <v>45870</v>
      </c>
      <c r="R1765" s="4" t="str">
        <f aca="false">IF($A1765="","",IF(COUNTIF($A$2:$A1765,$A1765)&gt;1,"Sim","Não"))</f>
        <v>Não</v>
      </c>
      <c r="S1765" s="4" t="str">
        <f aca="false">IF(A1765="","Descartar - Linha vazia",IF(R1765="Sim","Descartar - Duplicado",IF(OR(H1765&lt;=0,I1765&lt;=0),"Descartar - Qtd/Valor inválido","OK")))</f>
        <v>OK</v>
      </c>
      <c r="T1765" s="4" t="str">
        <f aca="false">Base_Bruta!P1765</f>
        <v>vendas_MG.csv</v>
      </c>
    </row>
    <row r="1766" customFormat="false" ht="15" hidden="false" customHeight="false" outlineLevel="0" collapsed="false">
      <c r="A1766" s="4" t="str">
        <f aca="false">IF(Base_Bruta!A1766="","",Base_Bruta!A1766)</f>
        <v>MG-000110</v>
      </c>
      <c r="B1766" s="5" t="n">
        <f aca="false">IF($A1766="","",IF(ISNUMBER(Base_Bruta!B1766),Base_Bruta!B1766,IF(MID(Base_Bruta!B1766,5,1)="-",DATE(VALUE(LEFT(Base_Bruta!B1766,4)),VALUE(MID(Base_Bruta!B1766,6,2)),VALUE(RIGHT(Base_Bruta!B1766,2))),DATE(VALUE(RIGHT(Base_Bruta!B1766,4)),VALUE(MID(Base_Bruta!B1766,4,2)),VALUE(LEFT(Base_Bruta!B1766,2))))))</f>
        <v>45885</v>
      </c>
      <c r="C1766" s="5" t="n">
        <f aca="false">IF($A1766="","",IF(ISNUMBER(Base_Bruta!C1766),Base_Bruta!C1766,IF(MID(Base_Bruta!C1766,5,1)="-",DATE(VALUE(LEFT(Base_Bruta!C1766,4)),VALUE(MID(Base_Bruta!C1766,6,2)),VALUE(RIGHT(Base_Bruta!C1766,2))),DATE(VALUE(RIGHT(Base_Bruta!C1766,4)),VALUE(MID(Base_Bruta!C1766,4,2)),VALUE(LEFT(Base_Bruta!C1766,2))))))</f>
        <v>45892</v>
      </c>
      <c r="D1766" s="4" t="str">
        <f aca="false">IF($A1766="","",TRIM(Base_Bruta!D1766))</f>
        <v>Festival Montanhas BH 2025</v>
      </c>
      <c r="E1766" s="4" t="str">
        <f aca="false">IF($A1766="","",_xlfn.XLOOKUP(LOWER(TRIM(Base_Bruta!E1766)),DePara_Categoria!$A$2:$A$9,DePara_Categoria!$B$2:$B$9,"REVISAR"))</f>
        <v>Festival</v>
      </c>
      <c r="F1766" s="4" t="str">
        <f aca="false">IF($A1766="","",_xlfn.XLOOKUP(LOWER(TRIM(Base_Bruta!F1766)),DePara_Cidade!$A$2:$A$29,DePara_Cidade!$B$2:$B$29,"REVISAR"))</f>
        <v>Belo Horizonte</v>
      </c>
      <c r="G1766" s="4" t="str">
        <f aca="false">IF($A1766="","",TRIM(Base_Bruta!G1766))</f>
        <v>Meia</v>
      </c>
      <c r="H1766" s="4" t="n">
        <f aca="false">IF($A1766="","",IF(ISNUMBER(Base_Bruta!H1766),Base_Bruta!H1766,IFERROR(_xlfn.NUMBERVALUE(TRIM(SUBSTITUTE(Base_Bruta!H1766,"R$","")),",","."),0)))</f>
        <v>2</v>
      </c>
      <c r="I1766" s="6" t="n">
        <f aca="false">IF($A1766="","",IF(ISNUMBER(Base_Bruta!I1766),Base_Bruta!I1766,IFERROR(_xlfn.NUMBERVALUE(TRIM(SUBSTITUTE(Base_Bruta!I1766,"R$","")),",","."),0)))</f>
        <v>447.5</v>
      </c>
      <c r="J1766" s="6" t="n">
        <f aca="false">IF($A1766="","",H1766*I1766)</f>
        <v>895</v>
      </c>
      <c r="K1766" s="4" t="str">
        <f aca="false">IF($A1766="","",TRIM(Base_Bruta!J1766))</f>
        <v>App</v>
      </c>
      <c r="L1766" s="4" t="str">
        <f aca="false">IF($A1766="","",TRIM(Base_Bruta!K1766))</f>
        <v>C01713</v>
      </c>
      <c r="M1766" s="4" t="str">
        <f aca="false">IF($A1766="","",_xlfn.XLOOKUP(LOWER(TRIM(Base_Bruta!L1766)),DePara_Cidade!$A$2:$A$29,DePara_Cidade!$B$2:$B$29,"REVISAR"))</f>
        <v>Belo Horizonte</v>
      </c>
      <c r="N1766" s="4" t="str">
        <f aca="false">IF($A1766="","",UPPER(TRIM(Base_Bruta!M1766)))</f>
        <v>MG</v>
      </c>
      <c r="O1766" s="4" t="str">
        <f aca="false">IF($A1766="","",_xlfn.XLOOKUP(LOWER(TRIM(Base_Bruta!N1766)),DePara_Pais!$A$2:$A$9,DePara_Pais!$B$2:$B$9,"REVISAR"))</f>
        <v>Brasil</v>
      </c>
      <c r="P1766" s="4" t="str">
        <f aca="false">IF($A1766="","",IF(O1766&lt;&gt;"Brasil","Turista Internacional",IF(M1766=F1766,"Local","Turista Nacional")))</f>
        <v>Local</v>
      </c>
      <c r="Q1766" s="7" t="n">
        <f aca="false">IF($A1766="","",DATE(YEAR(B1766),MONTH(B1766),1))</f>
        <v>45870</v>
      </c>
      <c r="R1766" s="4" t="str">
        <f aca="false">IF($A1766="","",IF(COUNTIF($A$2:$A1766,$A1766)&gt;1,"Sim","Não"))</f>
        <v>Não</v>
      </c>
      <c r="S1766" s="4" t="str">
        <f aca="false">IF(A1766="","Descartar - Linha vazia",IF(R1766="Sim","Descartar - Duplicado",IF(OR(H1766&lt;=0,I1766&lt;=0),"Descartar - Qtd/Valor inválido","OK")))</f>
        <v>OK</v>
      </c>
      <c r="T1766" s="4" t="str">
        <f aca="false">Base_Bruta!P1766</f>
        <v>vendas_MG.csv</v>
      </c>
    </row>
    <row r="1767" customFormat="false" ht="15" hidden="false" customHeight="false" outlineLevel="0" collapsed="false">
      <c r="A1767" s="4" t="str">
        <f aca="false">IF(Base_Bruta!A1767="","",Base_Bruta!A1767)</f>
        <v>MG-000120</v>
      </c>
      <c r="B1767" s="5" t="n">
        <f aca="false">IF($A1767="","",IF(ISNUMBER(Base_Bruta!B1767),Base_Bruta!B1767,IF(MID(Base_Bruta!B1767,5,1)="-",DATE(VALUE(LEFT(Base_Bruta!B1767,4)),VALUE(MID(Base_Bruta!B1767,6,2)),VALUE(RIGHT(Base_Bruta!B1767,2))),DATE(VALUE(RIGHT(Base_Bruta!B1767,4)),VALUE(MID(Base_Bruta!B1767,4,2)),VALUE(LEFT(Base_Bruta!B1767,2))))))</f>
        <v>45885</v>
      </c>
      <c r="C1767" s="5" t="n">
        <f aca="false">IF($A1767="","",IF(ISNUMBER(Base_Bruta!C1767),Base_Bruta!C1767,IF(MID(Base_Bruta!C1767,5,1)="-",DATE(VALUE(LEFT(Base_Bruta!C1767,4)),VALUE(MID(Base_Bruta!C1767,6,2)),VALUE(RIGHT(Base_Bruta!C1767,2))),DATE(VALUE(RIGHT(Base_Bruta!C1767,4)),VALUE(MID(Base_Bruta!C1767,4,2)),VALUE(LEFT(Base_Bruta!C1767,2))))))</f>
        <v>45892</v>
      </c>
      <c r="D1767" s="4" t="str">
        <f aca="false">IF($A1767="","",TRIM(Base_Bruta!D1767))</f>
        <v>Festival Montanhas BH 2025</v>
      </c>
      <c r="E1767" s="4" t="str">
        <f aca="false">IF($A1767="","",_xlfn.XLOOKUP(LOWER(TRIM(Base_Bruta!E1767)),DePara_Categoria!$A$2:$A$9,DePara_Categoria!$B$2:$B$9,"REVISAR"))</f>
        <v>Festival</v>
      </c>
      <c r="F1767" s="4" t="str">
        <f aca="false">IF($A1767="","",_xlfn.XLOOKUP(LOWER(TRIM(Base_Bruta!F1767)),DePara_Cidade!$A$2:$A$29,DePara_Cidade!$B$2:$B$29,"REVISAR"))</f>
        <v>Belo Horizonte</v>
      </c>
      <c r="G1767" s="4" t="str">
        <f aca="false">IF($A1767="","",TRIM(Base_Bruta!G1767))</f>
        <v>Inteira</v>
      </c>
      <c r="H1767" s="4" t="n">
        <f aca="false">IF($A1767="","",IF(ISNUMBER(Base_Bruta!H1767),Base_Bruta!H1767,IFERROR(_xlfn.NUMBERVALUE(TRIM(SUBSTITUTE(Base_Bruta!H1767,"R$","")),",","."),0)))</f>
        <v>3</v>
      </c>
      <c r="I1767" s="6" t="n">
        <f aca="false">IF($A1767="","",IF(ISNUMBER(Base_Bruta!I1767),Base_Bruta!I1767,IFERROR(_xlfn.NUMBERVALUE(TRIM(SUBSTITUTE(Base_Bruta!I1767,"R$","")),",","."),0)))</f>
        <v>765</v>
      </c>
      <c r="J1767" s="6" t="n">
        <f aca="false">IF($A1767="","",H1767*I1767)</f>
        <v>2295</v>
      </c>
      <c r="K1767" s="4" t="str">
        <f aca="false">IF($A1767="","",TRIM(Base_Bruta!J1767))</f>
        <v>Site</v>
      </c>
      <c r="L1767" s="4" t="str">
        <f aca="false">IF($A1767="","",TRIM(Base_Bruta!K1767))</f>
        <v>C01037</v>
      </c>
      <c r="M1767" s="4" t="str">
        <f aca="false">IF($A1767="","",_xlfn.XLOOKUP(LOWER(TRIM(Base_Bruta!L1767)),DePara_Cidade!$A$2:$A$29,DePara_Cidade!$B$2:$B$29,"REVISAR"))</f>
        <v>Florianópolis</v>
      </c>
      <c r="N1767" s="4" t="str">
        <f aca="false">IF($A1767="","",UPPER(TRIM(Base_Bruta!M1767)))</f>
        <v>SC</v>
      </c>
      <c r="O1767" s="4" t="str">
        <f aca="false">IF($A1767="","",_xlfn.XLOOKUP(LOWER(TRIM(Base_Bruta!N1767)),DePara_Pais!$A$2:$A$9,DePara_Pais!$B$2:$B$9,"REVISAR"))</f>
        <v>Brasil</v>
      </c>
      <c r="P1767" s="4" t="str">
        <f aca="false">IF($A1767="","",IF(O1767&lt;&gt;"Brasil","Turista Internacional",IF(M1767=F1767,"Local","Turista Nacional")))</f>
        <v>Turista Nacional</v>
      </c>
      <c r="Q1767" s="7" t="n">
        <f aca="false">IF($A1767="","",DATE(YEAR(B1767),MONTH(B1767),1))</f>
        <v>45870</v>
      </c>
      <c r="R1767" s="4" t="str">
        <f aca="false">IF($A1767="","",IF(COUNTIF($A$2:$A1767,$A1767)&gt;1,"Sim","Não"))</f>
        <v>Não</v>
      </c>
      <c r="S1767" s="4" t="str">
        <f aca="false">IF(A1767="","Descartar - Linha vazia",IF(R1767="Sim","Descartar - Duplicado",IF(OR(H1767&lt;=0,I1767&lt;=0),"Descartar - Qtd/Valor inválido","OK")))</f>
        <v>OK</v>
      </c>
      <c r="T1767" s="4" t="str">
        <f aca="false">Base_Bruta!P1767</f>
        <v>vendas_MG.csv</v>
      </c>
    </row>
    <row r="1768" customFormat="false" ht="15" hidden="false" customHeight="false" outlineLevel="0" collapsed="false">
      <c r="A1768" s="4" t="str">
        <f aca="false">IF(Base_Bruta!A1768="","",Base_Bruta!A1768)</f>
        <v>MG-000036</v>
      </c>
      <c r="B1768" s="5" t="n">
        <f aca="false">IF($A1768="","",IF(ISNUMBER(Base_Bruta!B1768),Base_Bruta!B1768,IF(MID(Base_Bruta!B1768,5,1)="-",DATE(VALUE(LEFT(Base_Bruta!B1768,4)),VALUE(MID(Base_Bruta!B1768,6,2)),VALUE(RIGHT(Base_Bruta!B1768,2))),DATE(VALUE(RIGHT(Base_Bruta!B1768,4)),VALUE(MID(Base_Bruta!B1768,4,2)),VALUE(LEFT(Base_Bruta!B1768,2))))))</f>
        <v>45886</v>
      </c>
      <c r="C1768" s="5" t="n">
        <f aca="false">IF($A1768="","",IF(ISNUMBER(Base_Bruta!C1768),Base_Bruta!C1768,IF(MID(Base_Bruta!C1768,5,1)="-",DATE(VALUE(LEFT(Base_Bruta!C1768,4)),VALUE(MID(Base_Bruta!C1768,6,2)),VALUE(RIGHT(Base_Bruta!C1768,2))),DATE(VALUE(RIGHT(Base_Bruta!C1768,4)),VALUE(MID(Base_Bruta!C1768,4,2)),VALUE(LEFT(Base_Bruta!C1768,2))))))</f>
        <v>45892</v>
      </c>
      <c r="D1768" s="4" t="str">
        <f aca="false">IF($A1768="","",TRIM(Base_Bruta!D1768))</f>
        <v>Festival Montanhas BH 2025</v>
      </c>
      <c r="E1768" s="4" t="str">
        <f aca="false">IF($A1768="","",_xlfn.XLOOKUP(LOWER(TRIM(Base_Bruta!E1768)),DePara_Categoria!$A$2:$A$9,DePara_Categoria!$B$2:$B$9,"REVISAR"))</f>
        <v>Festival</v>
      </c>
      <c r="F1768" s="4" t="str">
        <f aca="false">IF($A1768="","",_xlfn.XLOOKUP(LOWER(TRIM(Base_Bruta!F1768)),DePara_Cidade!$A$2:$A$29,DePara_Cidade!$B$2:$B$29,"REVISAR"))</f>
        <v>Belo Horizonte</v>
      </c>
      <c r="G1768" s="4" t="str">
        <f aca="false">IF($A1768="","",TRIM(Base_Bruta!G1768))</f>
        <v>Inteira</v>
      </c>
      <c r="H1768" s="4" t="n">
        <f aca="false">IF($A1768="","",IF(ISNUMBER(Base_Bruta!H1768),Base_Bruta!H1768,IFERROR(_xlfn.NUMBERVALUE(TRIM(SUBSTITUTE(Base_Bruta!H1768,"R$","")),",","."),0)))</f>
        <v>1</v>
      </c>
      <c r="I1768" s="6" t="n">
        <f aca="false">IF($A1768="","",IF(ISNUMBER(Base_Bruta!I1768),Base_Bruta!I1768,IFERROR(_xlfn.NUMBERVALUE(TRIM(SUBSTITUTE(Base_Bruta!I1768,"R$","")),",","."),0)))</f>
        <v>1145</v>
      </c>
      <c r="J1768" s="6" t="n">
        <f aca="false">IF($A1768="","",H1768*I1768)</f>
        <v>1145</v>
      </c>
      <c r="K1768" s="4" t="str">
        <f aca="false">IF($A1768="","",TRIM(Base_Bruta!J1768))</f>
        <v>Site</v>
      </c>
      <c r="L1768" s="4" t="str">
        <f aca="false">IF($A1768="","",TRIM(Base_Bruta!K1768))</f>
        <v>C00945</v>
      </c>
      <c r="M1768" s="4" t="str">
        <f aca="false">IF($A1768="","",_xlfn.XLOOKUP(LOWER(TRIM(Base_Bruta!L1768)),DePara_Cidade!$A$2:$A$29,DePara_Cidade!$B$2:$B$29,"REVISAR"))</f>
        <v>Belo Horizonte</v>
      </c>
      <c r="N1768" s="4" t="str">
        <f aca="false">IF($A1768="","",UPPER(TRIM(Base_Bruta!M1768)))</f>
        <v>MG</v>
      </c>
      <c r="O1768" s="4" t="str">
        <f aca="false">IF($A1768="","",_xlfn.XLOOKUP(LOWER(TRIM(Base_Bruta!N1768)),DePara_Pais!$A$2:$A$9,DePara_Pais!$B$2:$B$9,"REVISAR"))</f>
        <v>Brasil</v>
      </c>
      <c r="P1768" s="4" t="str">
        <f aca="false">IF($A1768="","",IF(O1768&lt;&gt;"Brasil","Turista Internacional",IF(M1768=F1768,"Local","Turista Nacional")))</f>
        <v>Local</v>
      </c>
      <c r="Q1768" s="7" t="n">
        <f aca="false">IF($A1768="","",DATE(YEAR(B1768),MONTH(B1768),1))</f>
        <v>45870</v>
      </c>
      <c r="R1768" s="4" t="str">
        <f aca="false">IF($A1768="","",IF(COUNTIF($A$2:$A1768,$A1768)&gt;1,"Sim","Não"))</f>
        <v>Não</v>
      </c>
      <c r="S1768" s="4" t="str">
        <f aca="false">IF(A1768="","Descartar - Linha vazia",IF(R1768="Sim","Descartar - Duplicado",IF(OR(H1768&lt;=0,I1768&lt;=0),"Descartar - Qtd/Valor inválido","OK")))</f>
        <v>OK</v>
      </c>
      <c r="T1768" s="4" t="str">
        <f aca="false">Base_Bruta!P1768</f>
        <v>vendas_MG.csv</v>
      </c>
    </row>
    <row r="1769" customFormat="false" ht="15" hidden="false" customHeight="false" outlineLevel="0" collapsed="false">
      <c r="A1769" s="4" t="str">
        <f aca="false">IF(Base_Bruta!A1769="","",Base_Bruta!A1769)</f>
        <v>MG-000121</v>
      </c>
      <c r="B1769" s="5" t="n">
        <f aca="false">IF($A1769="","",IF(ISNUMBER(Base_Bruta!B1769),Base_Bruta!B1769,IF(MID(Base_Bruta!B1769,5,1)="-",DATE(VALUE(LEFT(Base_Bruta!B1769,4)),VALUE(MID(Base_Bruta!B1769,6,2)),VALUE(RIGHT(Base_Bruta!B1769,2))),DATE(VALUE(RIGHT(Base_Bruta!B1769,4)),VALUE(MID(Base_Bruta!B1769,4,2)),VALUE(LEFT(Base_Bruta!B1769,2))))))</f>
        <v>45873</v>
      </c>
      <c r="C1769" s="5" t="n">
        <f aca="false">IF($A1769="","",IF(ISNUMBER(Base_Bruta!C1769),Base_Bruta!C1769,IF(MID(Base_Bruta!C1769,5,1)="-",DATE(VALUE(LEFT(Base_Bruta!C1769,4)),VALUE(MID(Base_Bruta!C1769,6,2)),VALUE(RIGHT(Base_Bruta!C1769,2))),DATE(VALUE(RIGHT(Base_Bruta!C1769,4)),VALUE(MID(Base_Bruta!C1769,4,2)),VALUE(LEFT(Base_Bruta!C1769,2))))))</f>
        <v>45892</v>
      </c>
      <c r="D1769" s="4" t="str">
        <f aca="false">IF($A1769="","",TRIM(Base_Bruta!D1769))</f>
        <v>Festival Montanhas BH 2025</v>
      </c>
      <c r="E1769" s="4" t="str">
        <f aca="false">IF($A1769="","",_xlfn.XLOOKUP(LOWER(TRIM(Base_Bruta!E1769)),DePara_Categoria!$A$2:$A$9,DePara_Categoria!$B$2:$B$9,"REVISAR"))</f>
        <v>Festival</v>
      </c>
      <c r="F1769" s="4" t="str">
        <f aca="false">IF($A1769="","",_xlfn.XLOOKUP(LOWER(TRIM(Base_Bruta!F1769)),DePara_Cidade!$A$2:$A$29,DePara_Cidade!$B$2:$B$29,"REVISAR"))</f>
        <v>Belo Horizonte</v>
      </c>
      <c r="G1769" s="4" t="str">
        <f aca="false">IF($A1769="","",TRIM(Base_Bruta!G1769))</f>
        <v>VIP</v>
      </c>
      <c r="H1769" s="4" t="n">
        <f aca="false">IF($A1769="","",IF(ISNUMBER(Base_Bruta!H1769),Base_Bruta!H1769,IFERROR(_xlfn.NUMBERVALUE(TRIM(SUBSTITUTE(Base_Bruta!H1769,"R$","")),",","."),0)))</f>
        <v>2</v>
      </c>
      <c r="I1769" s="6" t="n">
        <f aca="false">IF($A1769="","",IF(ISNUMBER(Base_Bruta!I1769),Base_Bruta!I1769,IFERROR(_xlfn.NUMBERVALUE(TRIM(SUBSTITUTE(Base_Bruta!I1769,"R$","")),",","."),0)))</f>
        <v>1340</v>
      </c>
      <c r="J1769" s="6" t="n">
        <f aca="false">IF($A1769="","",H1769*I1769)</f>
        <v>2680</v>
      </c>
      <c r="K1769" s="4" t="str">
        <f aca="false">IF($A1769="","",TRIM(Base_Bruta!J1769))</f>
        <v>App</v>
      </c>
      <c r="L1769" s="4" t="str">
        <f aca="false">IF($A1769="","",TRIM(Base_Bruta!K1769))</f>
        <v>C01392</v>
      </c>
      <c r="M1769" s="4" t="str">
        <f aca="false">IF($A1769="","",_xlfn.XLOOKUP(LOWER(TRIM(Base_Bruta!L1769)),DePara_Cidade!$A$2:$A$29,DePara_Cidade!$B$2:$B$29,"REVISAR"))</f>
        <v>Belo Horizonte</v>
      </c>
      <c r="N1769" s="4" t="str">
        <f aca="false">IF($A1769="","",UPPER(TRIM(Base_Bruta!M1769)))</f>
        <v>MG</v>
      </c>
      <c r="O1769" s="4" t="str">
        <f aca="false">IF($A1769="","",_xlfn.XLOOKUP(LOWER(TRIM(Base_Bruta!N1769)),DePara_Pais!$A$2:$A$9,DePara_Pais!$B$2:$B$9,"REVISAR"))</f>
        <v>Brasil</v>
      </c>
      <c r="P1769" s="4" t="str">
        <f aca="false">IF($A1769="","",IF(O1769&lt;&gt;"Brasil","Turista Internacional",IF(M1769=F1769,"Local","Turista Nacional")))</f>
        <v>Local</v>
      </c>
      <c r="Q1769" s="7" t="n">
        <f aca="false">IF($A1769="","",DATE(YEAR(B1769),MONTH(B1769),1))</f>
        <v>45870</v>
      </c>
      <c r="R1769" s="4" t="str">
        <f aca="false">IF($A1769="","",IF(COUNTIF($A$2:$A1769,$A1769)&gt;1,"Sim","Não"))</f>
        <v>Sim</v>
      </c>
      <c r="S1769" s="4" t="str">
        <f aca="false">IF(A1769="","Descartar - Linha vazia",IF(R1769="Sim","Descartar - Duplicado",IF(OR(H1769&lt;=0,I1769&lt;=0),"Descartar - Qtd/Valor inválido","OK")))</f>
        <v>Descartar - Duplicado</v>
      </c>
      <c r="T1769" s="4" t="str">
        <f aca="false">Base_Bruta!P1769</f>
        <v>vendas_MG.csv</v>
      </c>
    </row>
    <row r="1770" customFormat="false" ht="15" hidden="false" customHeight="false" outlineLevel="0" collapsed="false">
      <c r="A1770" s="4" t="str">
        <f aca="false">IF(Base_Bruta!A1770="","",Base_Bruta!A1770)</f>
        <v>MG-000063</v>
      </c>
      <c r="B1770" s="5" t="n">
        <f aca="false">IF($A1770="","",IF(ISNUMBER(Base_Bruta!B1770),Base_Bruta!B1770,IF(MID(Base_Bruta!B1770,5,1)="-",DATE(VALUE(LEFT(Base_Bruta!B1770,4)),VALUE(MID(Base_Bruta!B1770,6,2)),VALUE(RIGHT(Base_Bruta!B1770,2))),DATE(VALUE(RIGHT(Base_Bruta!B1770,4)),VALUE(MID(Base_Bruta!B1770,4,2)),VALUE(LEFT(Base_Bruta!B1770,2))))))</f>
        <v>45886</v>
      </c>
      <c r="C1770" s="5" t="n">
        <f aca="false">IF($A1770="","",IF(ISNUMBER(Base_Bruta!C1770),Base_Bruta!C1770,IF(MID(Base_Bruta!C1770,5,1)="-",DATE(VALUE(LEFT(Base_Bruta!C1770,4)),VALUE(MID(Base_Bruta!C1770,6,2)),VALUE(RIGHT(Base_Bruta!C1770,2))),DATE(VALUE(RIGHT(Base_Bruta!C1770,4)),VALUE(MID(Base_Bruta!C1770,4,2)),VALUE(LEFT(Base_Bruta!C1770,2))))))</f>
        <v>45892</v>
      </c>
      <c r="D1770" s="4" t="str">
        <f aca="false">IF($A1770="","",TRIM(Base_Bruta!D1770))</f>
        <v>Festival Montanhas BH 2025</v>
      </c>
      <c r="E1770" s="4" t="str">
        <f aca="false">IF($A1770="","",_xlfn.XLOOKUP(LOWER(TRIM(Base_Bruta!E1770)),DePara_Categoria!$A$2:$A$9,DePara_Categoria!$B$2:$B$9,"REVISAR"))</f>
        <v>Festival</v>
      </c>
      <c r="F1770" s="4" t="str">
        <f aca="false">IF($A1770="","",_xlfn.XLOOKUP(LOWER(TRIM(Base_Bruta!F1770)),DePara_Cidade!$A$2:$A$29,DePara_Cidade!$B$2:$B$29,"REVISAR"))</f>
        <v>Belo Horizonte</v>
      </c>
      <c r="G1770" s="4" t="str">
        <f aca="false">IF($A1770="","",TRIM(Base_Bruta!G1770))</f>
        <v>Inteira</v>
      </c>
      <c r="H1770" s="4" t="n">
        <f aca="false">IF($A1770="","",IF(ISNUMBER(Base_Bruta!H1770),Base_Bruta!H1770,IFERROR(_xlfn.NUMBERVALUE(TRIM(SUBSTITUTE(Base_Bruta!H1770,"R$","")),",","."),0)))</f>
        <v>2</v>
      </c>
      <c r="I1770" s="6" t="n">
        <f aca="false">IF($A1770="","",IF(ISNUMBER(Base_Bruta!I1770),Base_Bruta!I1770,IFERROR(_xlfn.NUMBERVALUE(TRIM(SUBSTITUTE(Base_Bruta!I1770,"R$","")),",","."),0)))</f>
        <v>1120</v>
      </c>
      <c r="J1770" s="6" t="n">
        <f aca="false">IF($A1770="","",H1770*I1770)</f>
        <v>2240</v>
      </c>
      <c r="K1770" s="4" t="str">
        <f aca="false">IF($A1770="","",TRIM(Base_Bruta!J1770))</f>
        <v>Site</v>
      </c>
      <c r="L1770" s="4" t="str">
        <f aca="false">IF($A1770="","",TRIM(Base_Bruta!K1770))</f>
        <v>C02032</v>
      </c>
      <c r="M1770" s="4" t="str">
        <f aca="false">IF($A1770="","",_xlfn.XLOOKUP(LOWER(TRIM(Base_Bruta!L1770)),DePara_Cidade!$A$2:$A$29,DePara_Cidade!$B$2:$B$29,"REVISAR"))</f>
        <v>Belo Horizonte</v>
      </c>
      <c r="N1770" s="4" t="str">
        <f aca="false">IF($A1770="","",UPPER(TRIM(Base_Bruta!M1770)))</f>
        <v>MG</v>
      </c>
      <c r="O1770" s="4" t="str">
        <f aca="false">IF($A1770="","",_xlfn.XLOOKUP(LOWER(TRIM(Base_Bruta!N1770)),DePara_Pais!$A$2:$A$9,DePara_Pais!$B$2:$B$9,"REVISAR"))</f>
        <v>Brasil</v>
      </c>
      <c r="P1770" s="4" t="str">
        <f aca="false">IF($A1770="","",IF(O1770&lt;&gt;"Brasil","Turista Internacional",IF(M1770=F1770,"Local","Turista Nacional")))</f>
        <v>Local</v>
      </c>
      <c r="Q1770" s="7" t="n">
        <f aca="false">IF($A1770="","",DATE(YEAR(B1770),MONTH(B1770),1))</f>
        <v>45870</v>
      </c>
      <c r="R1770" s="4" t="str">
        <f aca="false">IF($A1770="","",IF(COUNTIF($A$2:$A1770,$A1770)&gt;1,"Sim","Não"))</f>
        <v>Não</v>
      </c>
      <c r="S1770" s="4" t="str">
        <f aca="false">IF(A1770="","Descartar - Linha vazia",IF(R1770="Sim","Descartar - Duplicado",IF(OR(H1770&lt;=0,I1770&lt;=0),"Descartar - Qtd/Valor inválido","OK")))</f>
        <v>OK</v>
      </c>
      <c r="T1770" s="4" t="str">
        <f aca="false">Base_Bruta!P1770</f>
        <v>vendas_MG.csv</v>
      </c>
    </row>
    <row r="1771" customFormat="false" ht="15" hidden="false" customHeight="false" outlineLevel="0" collapsed="false">
      <c r="A1771" s="4" t="str">
        <f aca="false">IF(Base_Bruta!A1771="","",Base_Bruta!A1771)</f>
        <v>MG-000098</v>
      </c>
      <c r="B1771" s="5" t="n">
        <f aca="false">IF($A1771="","",IF(ISNUMBER(Base_Bruta!B1771),Base_Bruta!B1771,IF(MID(Base_Bruta!B1771,5,1)="-",DATE(VALUE(LEFT(Base_Bruta!B1771,4)),VALUE(MID(Base_Bruta!B1771,6,2)),VALUE(RIGHT(Base_Bruta!B1771,2))),DATE(VALUE(RIGHT(Base_Bruta!B1771,4)),VALUE(MID(Base_Bruta!B1771,4,2)),VALUE(LEFT(Base_Bruta!B1771,2))))))</f>
        <v>45886</v>
      </c>
      <c r="C1771" s="5" t="n">
        <f aca="false">IF($A1771="","",IF(ISNUMBER(Base_Bruta!C1771),Base_Bruta!C1771,IF(MID(Base_Bruta!C1771,5,1)="-",DATE(VALUE(LEFT(Base_Bruta!C1771,4)),VALUE(MID(Base_Bruta!C1771,6,2)),VALUE(RIGHT(Base_Bruta!C1771,2))),DATE(VALUE(RIGHT(Base_Bruta!C1771,4)),VALUE(MID(Base_Bruta!C1771,4,2)),VALUE(LEFT(Base_Bruta!C1771,2))))))</f>
        <v>45892</v>
      </c>
      <c r="D1771" s="4" t="str">
        <f aca="false">IF($A1771="","",TRIM(Base_Bruta!D1771))</f>
        <v>Festival Montanhas BH 2025</v>
      </c>
      <c r="E1771" s="4" t="str">
        <f aca="false">IF($A1771="","",_xlfn.XLOOKUP(LOWER(TRIM(Base_Bruta!E1771)),DePara_Categoria!$A$2:$A$9,DePara_Categoria!$B$2:$B$9,"REVISAR"))</f>
        <v>Festival</v>
      </c>
      <c r="F1771" s="4" t="str">
        <f aca="false">IF($A1771="","",_xlfn.XLOOKUP(LOWER(TRIM(Base_Bruta!F1771)),DePara_Cidade!$A$2:$A$29,DePara_Cidade!$B$2:$B$29,"REVISAR"))</f>
        <v>Belo Horizonte</v>
      </c>
      <c r="G1771" s="4" t="str">
        <f aca="false">IF($A1771="","",TRIM(Base_Bruta!G1771))</f>
        <v>Meia</v>
      </c>
      <c r="H1771" s="4" t="n">
        <f aca="false">IF($A1771="","",IF(ISNUMBER(Base_Bruta!H1771),Base_Bruta!H1771,IFERROR(_xlfn.NUMBERVALUE(TRIM(SUBSTITUTE(Base_Bruta!H1771,"R$","")),",","."),0)))</f>
        <v>1</v>
      </c>
      <c r="I1771" s="6" t="n">
        <f aca="false">IF($A1771="","",IF(ISNUMBER(Base_Bruta!I1771),Base_Bruta!I1771,IFERROR(_xlfn.NUMBERVALUE(TRIM(SUBSTITUTE(Base_Bruta!I1771,"R$","")),",","."),0)))</f>
        <v>512.5</v>
      </c>
      <c r="J1771" s="6" t="n">
        <f aca="false">IF($A1771="","",H1771*I1771)</f>
        <v>512.5</v>
      </c>
      <c r="K1771" s="4" t="str">
        <f aca="false">IF($A1771="","",TRIM(Base_Bruta!J1771))</f>
        <v>App</v>
      </c>
      <c r="L1771" s="4" t="str">
        <f aca="false">IF($A1771="","",TRIM(Base_Bruta!K1771))</f>
        <v>C00713</v>
      </c>
      <c r="M1771" s="4" t="str">
        <f aca="false">IF($A1771="","",_xlfn.XLOOKUP(LOWER(TRIM(Base_Bruta!L1771)),DePara_Cidade!$A$2:$A$29,DePara_Cidade!$B$2:$B$29,"REVISAR"))</f>
        <v>Santiago</v>
      </c>
      <c r="N1771" s="4" t="str">
        <f aca="false">IF($A1771="","",UPPER(TRIM(Base_Bruta!M1771)))</f>
        <v>EX</v>
      </c>
      <c r="O1771" s="4" t="str">
        <f aca="false">IF($A1771="","",_xlfn.XLOOKUP(LOWER(TRIM(Base_Bruta!N1771)),DePara_Pais!$A$2:$A$9,DePara_Pais!$B$2:$B$9,"REVISAR"))</f>
        <v>Chile</v>
      </c>
      <c r="P1771" s="4" t="str">
        <f aca="false">IF($A1771="","",IF(O1771&lt;&gt;"Brasil","Turista Internacional",IF(M1771=F1771,"Local","Turista Nacional")))</f>
        <v>Turista Internacional</v>
      </c>
      <c r="Q1771" s="7" t="n">
        <f aca="false">IF($A1771="","",DATE(YEAR(B1771),MONTH(B1771),1))</f>
        <v>45870</v>
      </c>
      <c r="R1771" s="4" t="str">
        <f aca="false">IF($A1771="","",IF(COUNTIF($A$2:$A1771,$A1771)&gt;1,"Sim","Não"))</f>
        <v>Não</v>
      </c>
      <c r="S1771" s="4" t="str">
        <f aca="false">IF(A1771="","Descartar - Linha vazia",IF(R1771="Sim","Descartar - Duplicado",IF(OR(H1771&lt;=0,I1771&lt;=0),"Descartar - Qtd/Valor inválido","OK")))</f>
        <v>OK</v>
      </c>
      <c r="T1771" s="4" t="str">
        <f aca="false">Base_Bruta!P1771</f>
        <v>vendas_MG.csv</v>
      </c>
    </row>
    <row r="1772" customFormat="false" ht="15" hidden="false" customHeight="false" outlineLevel="0" collapsed="false">
      <c r="A1772" s="4" t="str">
        <f aca="false">IF(Base_Bruta!A1772="","",Base_Bruta!A1772)</f>
        <v>MG-000102</v>
      </c>
      <c r="B1772" s="5" t="n">
        <f aca="false">IF($A1772="","",IF(ISNUMBER(Base_Bruta!B1772),Base_Bruta!B1772,IF(MID(Base_Bruta!B1772,5,1)="-",DATE(VALUE(LEFT(Base_Bruta!B1772,4)),VALUE(MID(Base_Bruta!B1772,6,2)),VALUE(RIGHT(Base_Bruta!B1772,2))),DATE(VALUE(RIGHT(Base_Bruta!B1772,4)),VALUE(MID(Base_Bruta!B1772,4,2)),VALUE(LEFT(Base_Bruta!B1772,2))))))</f>
        <v>45886</v>
      </c>
      <c r="C1772" s="5" t="n">
        <f aca="false">IF($A1772="","",IF(ISNUMBER(Base_Bruta!C1772),Base_Bruta!C1772,IF(MID(Base_Bruta!C1772,5,1)="-",DATE(VALUE(LEFT(Base_Bruta!C1772,4)),VALUE(MID(Base_Bruta!C1772,6,2)),VALUE(RIGHT(Base_Bruta!C1772,2))),DATE(VALUE(RIGHT(Base_Bruta!C1772,4)),VALUE(MID(Base_Bruta!C1772,4,2)),VALUE(LEFT(Base_Bruta!C1772,2))))))</f>
        <v>45892</v>
      </c>
      <c r="D1772" s="4" t="str">
        <f aca="false">IF($A1772="","",TRIM(Base_Bruta!D1772))</f>
        <v>Festival Montanhas BH 2025</v>
      </c>
      <c r="E1772" s="4" t="str">
        <f aca="false">IF($A1772="","",_xlfn.XLOOKUP(LOWER(TRIM(Base_Bruta!E1772)),DePara_Categoria!$A$2:$A$9,DePara_Categoria!$B$2:$B$9,"REVISAR"))</f>
        <v>Festival</v>
      </c>
      <c r="F1772" s="4" t="str">
        <f aca="false">IF($A1772="","",_xlfn.XLOOKUP(LOWER(TRIM(Base_Bruta!F1772)),DePara_Cidade!$A$2:$A$29,DePara_Cidade!$B$2:$B$29,"REVISAR"))</f>
        <v>Belo Horizonte</v>
      </c>
      <c r="G1772" s="4" t="str">
        <f aca="false">IF($A1772="","",TRIM(Base_Bruta!G1772))</f>
        <v>Inteira</v>
      </c>
      <c r="H1772" s="4" t="n">
        <f aca="false">IF($A1772="","",IF(ISNUMBER(Base_Bruta!H1772),Base_Bruta!H1772,IFERROR(_xlfn.NUMBERVALUE(TRIM(SUBSTITUTE(Base_Bruta!H1772,"R$","")),",","."),0)))</f>
        <v>3</v>
      </c>
      <c r="I1772" s="6" t="n">
        <f aca="false">IF($A1772="","",IF(ISNUMBER(Base_Bruta!I1772),Base_Bruta!I1772,IFERROR(_xlfn.NUMBERVALUE(TRIM(SUBSTITUTE(Base_Bruta!I1772,"R$","")),",","."),0)))</f>
        <v>690</v>
      </c>
      <c r="J1772" s="6" t="n">
        <f aca="false">IF($A1772="","",H1772*I1772)</f>
        <v>2070</v>
      </c>
      <c r="K1772" s="4" t="str">
        <f aca="false">IF($A1772="","",TRIM(Base_Bruta!J1772))</f>
        <v>App</v>
      </c>
      <c r="L1772" s="4" t="str">
        <f aca="false">IF($A1772="","",TRIM(Base_Bruta!K1772))</f>
        <v>C01421</v>
      </c>
      <c r="M1772" s="4" t="str">
        <f aca="false">IF($A1772="","",_xlfn.XLOOKUP(LOWER(TRIM(Base_Bruta!L1772)),DePara_Cidade!$A$2:$A$29,DePara_Cidade!$B$2:$B$29,"REVISAR"))</f>
        <v>Santiago</v>
      </c>
      <c r="N1772" s="4" t="str">
        <f aca="false">IF($A1772="","",UPPER(TRIM(Base_Bruta!M1772)))</f>
        <v>EX</v>
      </c>
      <c r="O1772" s="4" t="str">
        <f aca="false">IF($A1772="","",_xlfn.XLOOKUP(LOWER(TRIM(Base_Bruta!N1772)),DePara_Pais!$A$2:$A$9,DePara_Pais!$B$2:$B$9,"REVISAR"))</f>
        <v>Chile</v>
      </c>
      <c r="P1772" s="4" t="str">
        <f aca="false">IF($A1772="","",IF(O1772&lt;&gt;"Brasil","Turista Internacional",IF(M1772=F1772,"Local","Turista Nacional")))</f>
        <v>Turista Internacional</v>
      </c>
      <c r="Q1772" s="7" t="n">
        <f aca="false">IF($A1772="","",DATE(YEAR(B1772),MONTH(B1772),1))</f>
        <v>45870</v>
      </c>
      <c r="R1772" s="4" t="str">
        <f aca="false">IF($A1772="","",IF(COUNTIF($A$2:$A1772,$A1772)&gt;1,"Sim","Não"))</f>
        <v>Não</v>
      </c>
      <c r="S1772" s="4" t="str">
        <f aca="false">IF(A1772="","Descartar - Linha vazia",IF(R1772="Sim","Descartar - Duplicado",IF(OR(H1772&lt;=0,I1772&lt;=0),"Descartar - Qtd/Valor inválido","OK")))</f>
        <v>OK</v>
      </c>
      <c r="T1772" s="4" t="str">
        <f aca="false">Base_Bruta!P1772</f>
        <v>vendas_MG.csv</v>
      </c>
    </row>
    <row r="1773" customFormat="false" ht="15" hidden="false" customHeight="false" outlineLevel="0" collapsed="false">
      <c r="A1773" s="4" t="str">
        <f aca="false">IF(Base_Bruta!A1773="","",Base_Bruta!A1773)</f>
        <v>MG-000112</v>
      </c>
      <c r="B1773" s="5" t="n">
        <f aca="false">IF($A1773="","",IF(ISNUMBER(Base_Bruta!B1773),Base_Bruta!B1773,IF(MID(Base_Bruta!B1773,5,1)="-",DATE(VALUE(LEFT(Base_Bruta!B1773,4)),VALUE(MID(Base_Bruta!B1773,6,2)),VALUE(RIGHT(Base_Bruta!B1773,2))),DATE(VALUE(RIGHT(Base_Bruta!B1773,4)),VALUE(MID(Base_Bruta!B1773,4,2)),VALUE(LEFT(Base_Bruta!B1773,2))))))</f>
        <v>45886</v>
      </c>
      <c r="C1773" s="5" t="n">
        <f aca="false">IF($A1773="","",IF(ISNUMBER(Base_Bruta!C1773),Base_Bruta!C1773,IF(MID(Base_Bruta!C1773,5,1)="-",DATE(VALUE(LEFT(Base_Bruta!C1773,4)),VALUE(MID(Base_Bruta!C1773,6,2)),VALUE(RIGHT(Base_Bruta!C1773,2))),DATE(VALUE(RIGHT(Base_Bruta!C1773,4)),VALUE(MID(Base_Bruta!C1773,4,2)),VALUE(LEFT(Base_Bruta!C1773,2))))))</f>
        <v>45892</v>
      </c>
      <c r="D1773" s="4" t="str">
        <f aca="false">IF($A1773="","",TRIM(Base_Bruta!D1773))</f>
        <v>Festival Montanhas BH 2025</v>
      </c>
      <c r="E1773" s="4" t="str">
        <f aca="false">IF($A1773="","",_xlfn.XLOOKUP(LOWER(TRIM(Base_Bruta!E1773)),DePara_Categoria!$A$2:$A$9,DePara_Categoria!$B$2:$B$9,"REVISAR"))</f>
        <v>Festival</v>
      </c>
      <c r="F1773" s="4" t="str">
        <f aca="false">IF($A1773="","",_xlfn.XLOOKUP(LOWER(TRIM(Base_Bruta!F1773)),DePara_Cidade!$A$2:$A$29,DePara_Cidade!$B$2:$B$29,"REVISAR"))</f>
        <v>Belo Horizonte</v>
      </c>
      <c r="G1773" s="4" t="str">
        <f aca="false">IF($A1773="","",TRIM(Base_Bruta!G1773))</f>
        <v>Inteira</v>
      </c>
      <c r="H1773" s="4" t="n">
        <f aca="false">IF($A1773="","",IF(ISNUMBER(Base_Bruta!H1773),Base_Bruta!H1773,IFERROR(_xlfn.NUMBERVALUE(TRIM(SUBSTITUTE(Base_Bruta!H1773,"R$","")),",","."),0)))</f>
        <v>1</v>
      </c>
      <c r="I1773" s="6" t="n">
        <f aca="false">IF($A1773="","",IF(ISNUMBER(Base_Bruta!I1773),Base_Bruta!I1773,IFERROR(_xlfn.NUMBERVALUE(TRIM(SUBSTITUTE(Base_Bruta!I1773,"R$","")),",","."),0)))</f>
        <v>900</v>
      </c>
      <c r="J1773" s="6" t="n">
        <f aca="false">IF($A1773="","",H1773*I1773)</f>
        <v>900</v>
      </c>
      <c r="K1773" s="4" t="str">
        <f aca="false">IF($A1773="","",TRIM(Base_Bruta!J1773))</f>
        <v>Site</v>
      </c>
      <c r="L1773" s="4" t="str">
        <f aca="false">IF($A1773="","",TRIM(Base_Bruta!K1773))</f>
        <v>C01336</v>
      </c>
      <c r="M1773" s="4" t="str">
        <f aca="false">IF($A1773="","",_xlfn.XLOOKUP(LOWER(TRIM(Base_Bruta!L1773)),DePara_Cidade!$A$2:$A$29,DePara_Cidade!$B$2:$B$29,"REVISAR"))</f>
        <v>Santiago</v>
      </c>
      <c r="N1773" s="4" t="str">
        <f aca="false">IF($A1773="","",UPPER(TRIM(Base_Bruta!M1773)))</f>
        <v>EX</v>
      </c>
      <c r="O1773" s="4" t="str">
        <f aca="false">IF($A1773="","",_xlfn.XLOOKUP(LOWER(TRIM(Base_Bruta!N1773)),DePara_Pais!$A$2:$A$9,DePara_Pais!$B$2:$B$9,"REVISAR"))</f>
        <v>Chile</v>
      </c>
      <c r="P1773" s="4" t="str">
        <f aca="false">IF($A1773="","",IF(O1773&lt;&gt;"Brasil","Turista Internacional",IF(M1773=F1773,"Local","Turista Nacional")))</f>
        <v>Turista Internacional</v>
      </c>
      <c r="Q1773" s="7" t="n">
        <f aca="false">IF($A1773="","",DATE(YEAR(B1773),MONTH(B1773),1))</f>
        <v>45870</v>
      </c>
      <c r="R1773" s="4" t="str">
        <f aca="false">IF($A1773="","",IF(COUNTIF($A$2:$A1773,$A1773)&gt;1,"Sim","Não"))</f>
        <v>Não</v>
      </c>
      <c r="S1773" s="4" t="str">
        <f aca="false">IF(A1773="","Descartar - Linha vazia",IF(R1773="Sim","Descartar - Duplicado",IF(OR(H1773&lt;=0,I1773&lt;=0),"Descartar - Qtd/Valor inválido","OK")))</f>
        <v>OK</v>
      </c>
      <c r="T1773" s="4" t="str">
        <f aca="false">Base_Bruta!P1773</f>
        <v>vendas_MG.csv</v>
      </c>
    </row>
    <row r="1774" customFormat="false" ht="15" hidden="false" customHeight="false" outlineLevel="0" collapsed="false">
      <c r="A1774" s="4" t="str">
        <f aca="false">IF(Base_Bruta!A1774="","",Base_Bruta!A1774)</f>
        <v>MG-000124</v>
      </c>
      <c r="B1774" s="5" t="n">
        <f aca="false">IF($A1774="","",IF(ISNUMBER(Base_Bruta!B1774),Base_Bruta!B1774,IF(MID(Base_Bruta!B1774,5,1)="-",DATE(VALUE(LEFT(Base_Bruta!B1774,4)),VALUE(MID(Base_Bruta!B1774,6,2)),VALUE(RIGHT(Base_Bruta!B1774,2))),DATE(VALUE(RIGHT(Base_Bruta!B1774,4)),VALUE(MID(Base_Bruta!B1774,4,2)),VALUE(LEFT(Base_Bruta!B1774,2))))))</f>
        <v>45886</v>
      </c>
      <c r="C1774" s="5" t="n">
        <f aca="false">IF($A1774="","",IF(ISNUMBER(Base_Bruta!C1774),Base_Bruta!C1774,IF(MID(Base_Bruta!C1774,5,1)="-",DATE(VALUE(LEFT(Base_Bruta!C1774,4)),VALUE(MID(Base_Bruta!C1774,6,2)),VALUE(RIGHT(Base_Bruta!C1774,2))),DATE(VALUE(RIGHT(Base_Bruta!C1774,4)),VALUE(MID(Base_Bruta!C1774,4,2)),VALUE(LEFT(Base_Bruta!C1774,2))))))</f>
        <v>45892</v>
      </c>
      <c r="D1774" s="4" t="str">
        <f aca="false">IF($A1774="","",TRIM(Base_Bruta!D1774))</f>
        <v>Festival Montanhas BH 2025</v>
      </c>
      <c r="E1774" s="4" t="str">
        <f aca="false">IF($A1774="","",_xlfn.XLOOKUP(LOWER(TRIM(Base_Bruta!E1774)),DePara_Categoria!$A$2:$A$9,DePara_Categoria!$B$2:$B$9,"REVISAR"))</f>
        <v>Festival</v>
      </c>
      <c r="F1774" s="4" t="str">
        <f aca="false">IF($A1774="","",_xlfn.XLOOKUP(LOWER(TRIM(Base_Bruta!F1774)),DePara_Cidade!$A$2:$A$29,DePara_Cidade!$B$2:$B$29,"REVISAR"))</f>
        <v>Belo Horizonte</v>
      </c>
      <c r="G1774" s="4" t="str">
        <f aca="false">IF($A1774="","",TRIM(Base_Bruta!G1774))</f>
        <v>Inteira</v>
      </c>
      <c r="H1774" s="4" t="n">
        <f aca="false">IF($A1774="","",IF(ISNUMBER(Base_Bruta!H1774),Base_Bruta!H1774,IFERROR(_xlfn.NUMBERVALUE(TRIM(SUBSTITUTE(Base_Bruta!H1774,"R$","")),",","."),0)))</f>
        <v>1</v>
      </c>
      <c r="I1774" s="6" t="n">
        <f aca="false">IF($A1774="","",IF(ISNUMBER(Base_Bruta!I1774),Base_Bruta!I1774,IFERROR(_xlfn.NUMBERVALUE(TRIM(SUBSTITUTE(Base_Bruta!I1774,"R$","")),",","."),0)))</f>
        <v>960</v>
      </c>
      <c r="J1774" s="6" t="n">
        <f aca="false">IF($A1774="","",H1774*I1774)</f>
        <v>960</v>
      </c>
      <c r="K1774" s="4" t="str">
        <f aca="false">IF($A1774="","",TRIM(Base_Bruta!J1774))</f>
        <v>Site</v>
      </c>
      <c r="L1774" s="4" t="str">
        <f aca="false">IF($A1774="","",TRIM(Base_Bruta!K1774))</f>
        <v>C01713</v>
      </c>
      <c r="M1774" s="4" t="str">
        <f aca="false">IF($A1774="","",_xlfn.XLOOKUP(LOWER(TRIM(Base_Bruta!L1774)),DePara_Cidade!$A$2:$A$29,DePara_Cidade!$B$2:$B$29,"REVISAR"))</f>
        <v>Belo Horizonte</v>
      </c>
      <c r="N1774" s="4" t="str">
        <f aca="false">IF($A1774="","",UPPER(TRIM(Base_Bruta!M1774)))</f>
        <v>MG</v>
      </c>
      <c r="O1774" s="4" t="str">
        <f aca="false">IF($A1774="","",_xlfn.XLOOKUP(LOWER(TRIM(Base_Bruta!N1774)),DePara_Pais!$A$2:$A$9,DePara_Pais!$B$2:$B$9,"REVISAR"))</f>
        <v>Brasil</v>
      </c>
      <c r="P1774" s="4" t="str">
        <f aca="false">IF($A1774="","",IF(O1774&lt;&gt;"Brasil","Turista Internacional",IF(M1774=F1774,"Local","Turista Nacional")))</f>
        <v>Local</v>
      </c>
      <c r="Q1774" s="7" t="n">
        <f aca="false">IF($A1774="","",DATE(YEAR(B1774),MONTH(B1774),1))</f>
        <v>45870</v>
      </c>
      <c r="R1774" s="4" t="str">
        <f aca="false">IF($A1774="","",IF(COUNTIF($A$2:$A1774,$A1774)&gt;1,"Sim","Não"))</f>
        <v>Não</v>
      </c>
      <c r="S1774" s="4" t="str">
        <f aca="false">IF(A1774="","Descartar - Linha vazia",IF(R1774="Sim","Descartar - Duplicado",IF(OR(H1774&lt;=0,I1774&lt;=0),"Descartar - Qtd/Valor inválido","OK")))</f>
        <v>OK</v>
      </c>
      <c r="T1774" s="4" t="str">
        <f aca="false">Base_Bruta!P1774</f>
        <v>vendas_MG.csv</v>
      </c>
    </row>
    <row r="1775" customFormat="false" ht="15" hidden="false" customHeight="false" outlineLevel="0" collapsed="false">
      <c r="A1775" s="4" t="str">
        <f aca="false">IF(Base_Bruta!A1775="","",Base_Bruta!A1775)</f>
        <v>MG-000133</v>
      </c>
      <c r="B1775" s="5" t="n">
        <f aca="false">IF($A1775="","",IF(ISNUMBER(Base_Bruta!B1775),Base_Bruta!B1775,IF(MID(Base_Bruta!B1775,5,1)="-",DATE(VALUE(LEFT(Base_Bruta!B1775,4)),VALUE(MID(Base_Bruta!B1775,6,2)),VALUE(RIGHT(Base_Bruta!B1775,2))),DATE(VALUE(RIGHT(Base_Bruta!B1775,4)),VALUE(MID(Base_Bruta!B1775,4,2)),VALUE(LEFT(Base_Bruta!B1775,2))))))</f>
        <v>45886</v>
      </c>
      <c r="C1775" s="5" t="n">
        <f aca="false">IF($A1775="","",IF(ISNUMBER(Base_Bruta!C1775),Base_Bruta!C1775,IF(MID(Base_Bruta!C1775,5,1)="-",DATE(VALUE(LEFT(Base_Bruta!C1775,4)),VALUE(MID(Base_Bruta!C1775,6,2)),VALUE(RIGHT(Base_Bruta!C1775,2))),DATE(VALUE(RIGHT(Base_Bruta!C1775,4)),VALUE(MID(Base_Bruta!C1775,4,2)),VALUE(LEFT(Base_Bruta!C1775,2))))))</f>
        <v>45892</v>
      </c>
      <c r="D1775" s="4" t="str">
        <f aca="false">IF($A1775="","",TRIM(Base_Bruta!D1775))</f>
        <v>Festival Montanhas BH 2025</v>
      </c>
      <c r="E1775" s="4" t="str">
        <f aca="false">IF($A1775="","",_xlfn.XLOOKUP(LOWER(TRIM(Base_Bruta!E1775)),DePara_Categoria!$A$2:$A$9,DePara_Categoria!$B$2:$B$9,"REVISAR"))</f>
        <v>Festival</v>
      </c>
      <c r="F1775" s="4" t="str">
        <f aca="false">IF($A1775="","",_xlfn.XLOOKUP(LOWER(TRIM(Base_Bruta!F1775)),DePara_Cidade!$A$2:$A$29,DePara_Cidade!$B$2:$B$29,"REVISAR"))</f>
        <v>Belo Horizonte</v>
      </c>
      <c r="G1775" s="4" t="str">
        <f aca="false">IF($A1775="","",TRIM(Base_Bruta!G1775))</f>
        <v>Meia</v>
      </c>
      <c r="H1775" s="4" t="n">
        <f aca="false">IF($A1775="","",IF(ISNUMBER(Base_Bruta!H1775),Base_Bruta!H1775,IFERROR(_xlfn.NUMBERVALUE(TRIM(SUBSTITUTE(Base_Bruta!H1775,"R$","")),",","."),0)))</f>
        <v>2</v>
      </c>
      <c r="I1775" s="6" t="n">
        <f aca="false">IF($A1775="","",IF(ISNUMBER(Base_Bruta!I1775),Base_Bruta!I1775,IFERROR(_xlfn.NUMBERVALUE(TRIM(SUBSTITUTE(Base_Bruta!I1775,"R$","")),",","."),0)))</f>
        <v>567.5</v>
      </c>
      <c r="J1775" s="6" t="n">
        <f aca="false">IF($A1775="","",H1775*I1775)</f>
        <v>1135</v>
      </c>
      <c r="K1775" s="4" t="str">
        <f aca="false">IF($A1775="","",TRIM(Base_Bruta!J1775))</f>
        <v>App</v>
      </c>
      <c r="L1775" s="4" t="str">
        <f aca="false">IF($A1775="","",TRIM(Base_Bruta!K1775))</f>
        <v>C01949</v>
      </c>
      <c r="M1775" s="4" t="str">
        <f aca="false">IF($A1775="","",_xlfn.XLOOKUP(LOWER(TRIM(Base_Bruta!L1775)),DePara_Cidade!$A$2:$A$29,DePara_Cidade!$B$2:$B$29,"REVISAR"))</f>
        <v>Belo Horizonte</v>
      </c>
      <c r="N1775" s="4" t="str">
        <f aca="false">IF($A1775="","",UPPER(TRIM(Base_Bruta!M1775)))</f>
        <v>MG</v>
      </c>
      <c r="O1775" s="4" t="str">
        <f aca="false">IF($A1775="","",_xlfn.XLOOKUP(LOWER(TRIM(Base_Bruta!N1775)),DePara_Pais!$A$2:$A$9,DePara_Pais!$B$2:$B$9,"REVISAR"))</f>
        <v>Brasil</v>
      </c>
      <c r="P1775" s="4" t="str">
        <f aca="false">IF($A1775="","",IF(O1775&lt;&gt;"Brasil","Turista Internacional",IF(M1775=F1775,"Local","Turista Nacional")))</f>
        <v>Local</v>
      </c>
      <c r="Q1775" s="7" t="n">
        <f aca="false">IF($A1775="","",DATE(YEAR(B1775),MONTH(B1775),1))</f>
        <v>45870</v>
      </c>
      <c r="R1775" s="4" t="str">
        <f aca="false">IF($A1775="","",IF(COUNTIF($A$2:$A1775,$A1775)&gt;1,"Sim","Não"))</f>
        <v>Não</v>
      </c>
      <c r="S1775" s="4" t="str">
        <f aca="false">IF(A1775="","Descartar - Linha vazia",IF(R1775="Sim","Descartar - Duplicado",IF(OR(H1775&lt;=0,I1775&lt;=0),"Descartar - Qtd/Valor inválido","OK")))</f>
        <v>OK</v>
      </c>
      <c r="T1775" s="4" t="str">
        <f aca="false">Base_Bruta!P1775</f>
        <v>vendas_MG.csv</v>
      </c>
    </row>
    <row r="1776" customFormat="false" ht="15" hidden="false" customHeight="false" outlineLevel="0" collapsed="false">
      <c r="A1776" s="4" t="str">
        <f aca="false">IF(Base_Bruta!A1776="","",Base_Bruta!A1776)</f>
        <v>MG-000158</v>
      </c>
      <c r="B1776" s="5" t="n">
        <f aca="false">IF($A1776="","",IF(ISNUMBER(Base_Bruta!B1776),Base_Bruta!B1776,IF(MID(Base_Bruta!B1776,5,1)="-",DATE(VALUE(LEFT(Base_Bruta!B1776,4)),VALUE(MID(Base_Bruta!B1776,6,2)),VALUE(RIGHT(Base_Bruta!B1776,2))),DATE(VALUE(RIGHT(Base_Bruta!B1776,4)),VALUE(MID(Base_Bruta!B1776,4,2)),VALUE(LEFT(Base_Bruta!B1776,2))))))</f>
        <v>45886</v>
      </c>
      <c r="C1776" s="5" t="n">
        <f aca="false">IF($A1776="","",IF(ISNUMBER(Base_Bruta!C1776),Base_Bruta!C1776,IF(MID(Base_Bruta!C1776,5,1)="-",DATE(VALUE(LEFT(Base_Bruta!C1776,4)),VALUE(MID(Base_Bruta!C1776,6,2)),VALUE(RIGHT(Base_Bruta!C1776,2))),DATE(VALUE(RIGHT(Base_Bruta!C1776,4)),VALUE(MID(Base_Bruta!C1776,4,2)),VALUE(LEFT(Base_Bruta!C1776,2))))))</f>
        <v>45892</v>
      </c>
      <c r="D1776" s="4" t="str">
        <f aca="false">IF($A1776="","",TRIM(Base_Bruta!D1776))</f>
        <v>Festival Montanhas BH 2025</v>
      </c>
      <c r="E1776" s="4" t="str">
        <f aca="false">IF($A1776="","",_xlfn.XLOOKUP(LOWER(TRIM(Base_Bruta!E1776)),DePara_Categoria!$A$2:$A$9,DePara_Categoria!$B$2:$B$9,"REVISAR"))</f>
        <v>Festival</v>
      </c>
      <c r="F1776" s="4" t="str">
        <f aca="false">IF($A1776="","",_xlfn.XLOOKUP(LOWER(TRIM(Base_Bruta!F1776)),DePara_Cidade!$A$2:$A$29,DePara_Cidade!$B$2:$B$29,"REVISAR"))</f>
        <v>Belo Horizonte</v>
      </c>
      <c r="G1776" s="4" t="str">
        <f aca="false">IF($A1776="","",TRIM(Base_Bruta!G1776))</f>
        <v>Meia</v>
      </c>
      <c r="H1776" s="4" t="n">
        <f aca="false">IF($A1776="","",IF(ISNUMBER(Base_Bruta!H1776),Base_Bruta!H1776,IFERROR(_xlfn.NUMBERVALUE(TRIM(SUBSTITUTE(Base_Bruta!H1776,"R$","")),",","."),0)))</f>
        <v>1</v>
      </c>
      <c r="I1776" s="6" t="n">
        <f aca="false">IF($A1776="","",IF(ISNUMBER(Base_Bruta!I1776),Base_Bruta!I1776,IFERROR(_xlfn.NUMBERVALUE(TRIM(SUBSTITUTE(Base_Bruta!I1776,"R$","")),",","."),0)))</f>
        <v>415</v>
      </c>
      <c r="J1776" s="6" t="n">
        <f aca="false">IF($A1776="","",H1776*I1776)</f>
        <v>415</v>
      </c>
      <c r="K1776" s="4" t="str">
        <f aca="false">IF($A1776="","",TRIM(Base_Bruta!J1776))</f>
        <v>Site</v>
      </c>
      <c r="L1776" s="4" t="str">
        <f aca="false">IF($A1776="","",TRIM(Base_Bruta!K1776))</f>
        <v>C00212</v>
      </c>
      <c r="M1776" s="4" t="str">
        <f aca="false">IF($A1776="","",_xlfn.XLOOKUP(LOWER(TRIM(Base_Bruta!L1776)),DePara_Cidade!$A$2:$A$29,DePara_Cidade!$B$2:$B$29,"REVISAR"))</f>
        <v>Belo Horizonte</v>
      </c>
      <c r="N1776" s="4" t="str">
        <f aca="false">IF($A1776="","",UPPER(TRIM(Base_Bruta!M1776)))</f>
        <v>MG</v>
      </c>
      <c r="O1776" s="4" t="str">
        <f aca="false">IF($A1776="","",_xlfn.XLOOKUP(LOWER(TRIM(Base_Bruta!N1776)),DePara_Pais!$A$2:$A$9,DePara_Pais!$B$2:$B$9,"REVISAR"))</f>
        <v>Brasil</v>
      </c>
      <c r="P1776" s="4" t="str">
        <f aca="false">IF($A1776="","",IF(O1776&lt;&gt;"Brasil","Turista Internacional",IF(M1776=F1776,"Local","Turista Nacional")))</f>
        <v>Local</v>
      </c>
      <c r="Q1776" s="7" t="n">
        <f aca="false">IF($A1776="","",DATE(YEAR(B1776),MONTH(B1776),1))</f>
        <v>45870</v>
      </c>
      <c r="R1776" s="4" t="str">
        <f aca="false">IF($A1776="","",IF(COUNTIF($A$2:$A1776,$A1776)&gt;1,"Sim","Não"))</f>
        <v>Não</v>
      </c>
      <c r="S1776" s="4" t="str">
        <f aca="false">IF(A1776="","Descartar - Linha vazia",IF(R1776="Sim","Descartar - Duplicado",IF(OR(H1776&lt;=0,I1776&lt;=0),"Descartar - Qtd/Valor inválido","OK")))</f>
        <v>OK</v>
      </c>
      <c r="T1776" s="4" t="str">
        <f aca="false">Base_Bruta!P1776</f>
        <v>vendas_MG.csv</v>
      </c>
    </row>
    <row r="1777" customFormat="false" ht="15" hidden="false" customHeight="false" outlineLevel="0" collapsed="false">
      <c r="A1777" s="4" t="str">
        <f aca="false">IF(Base_Bruta!A1777="","",Base_Bruta!A1777)</f>
        <v>MG-000162</v>
      </c>
      <c r="B1777" s="5" t="n">
        <f aca="false">IF($A1777="","",IF(ISNUMBER(Base_Bruta!B1777),Base_Bruta!B1777,IF(MID(Base_Bruta!B1777,5,1)="-",DATE(VALUE(LEFT(Base_Bruta!B1777,4)),VALUE(MID(Base_Bruta!B1777,6,2)),VALUE(RIGHT(Base_Bruta!B1777,2))),DATE(VALUE(RIGHT(Base_Bruta!B1777,4)),VALUE(MID(Base_Bruta!B1777,4,2)),VALUE(LEFT(Base_Bruta!B1777,2))))))</f>
        <v>45886</v>
      </c>
      <c r="C1777" s="5" t="n">
        <f aca="false">IF($A1777="","",IF(ISNUMBER(Base_Bruta!C1777),Base_Bruta!C1777,IF(MID(Base_Bruta!C1777,5,1)="-",DATE(VALUE(LEFT(Base_Bruta!C1777,4)),VALUE(MID(Base_Bruta!C1777,6,2)),VALUE(RIGHT(Base_Bruta!C1777,2))),DATE(VALUE(RIGHT(Base_Bruta!C1777,4)),VALUE(MID(Base_Bruta!C1777,4,2)),VALUE(LEFT(Base_Bruta!C1777,2))))))</f>
        <v>45892</v>
      </c>
      <c r="D1777" s="4" t="str">
        <f aca="false">IF($A1777="","",TRIM(Base_Bruta!D1777))</f>
        <v>Festival Montanhas BH 2025</v>
      </c>
      <c r="E1777" s="4" t="str">
        <f aca="false">IF($A1777="","",_xlfn.XLOOKUP(LOWER(TRIM(Base_Bruta!E1777)),DePara_Categoria!$A$2:$A$9,DePara_Categoria!$B$2:$B$9,"REVISAR"))</f>
        <v>Festival</v>
      </c>
      <c r="F1777" s="4" t="str">
        <f aca="false">IF($A1777="","",_xlfn.XLOOKUP(LOWER(TRIM(Base_Bruta!F1777)),DePara_Cidade!$A$2:$A$29,DePara_Cidade!$B$2:$B$29,"REVISAR"))</f>
        <v>Belo Horizonte</v>
      </c>
      <c r="G1777" s="4" t="str">
        <f aca="false">IF($A1777="","",TRIM(Base_Bruta!G1777))</f>
        <v>Meia</v>
      </c>
      <c r="H1777" s="4" t="n">
        <f aca="false">IF($A1777="","",IF(ISNUMBER(Base_Bruta!H1777),Base_Bruta!H1777,IFERROR(_xlfn.NUMBERVALUE(TRIM(SUBSTITUTE(Base_Bruta!H1777,"R$","")),",","."),0)))</f>
        <v>4</v>
      </c>
      <c r="I1777" s="6" t="n">
        <f aca="false">IF($A1777="","",IF(ISNUMBER(Base_Bruta!I1777),Base_Bruta!I1777,IFERROR(_xlfn.NUMBERVALUE(TRIM(SUBSTITUTE(Base_Bruta!I1777,"R$","")),",","."),0)))</f>
        <v>517.5</v>
      </c>
      <c r="J1777" s="6" t="n">
        <f aca="false">IF($A1777="","",H1777*I1777)</f>
        <v>2070</v>
      </c>
      <c r="K1777" s="4" t="str">
        <f aca="false">IF($A1777="","",TRIM(Base_Bruta!J1777))</f>
        <v>Parceiro</v>
      </c>
      <c r="L1777" s="4" t="str">
        <f aca="false">IF($A1777="","",TRIM(Base_Bruta!K1777))</f>
        <v>C01539</v>
      </c>
      <c r="M1777" s="4" t="str">
        <f aca="false">IF($A1777="","",_xlfn.XLOOKUP(LOWER(TRIM(Base_Bruta!L1777)),DePara_Cidade!$A$2:$A$29,DePara_Cidade!$B$2:$B$29,"REVISAR"))</f>
        <v>Belo Horizonte</v>
      </c>
      <c r="N1777" s="4" t="str">
        <f aca="false">IF($A1777="","",UPPER(TRIM(Base_Bruta!M1777)))</f>
        <v>MG</v>
      </c>
      <c r="O1777" s="4" t="str">
        <f aca="false">IF($A1777="","",_xlfn.XLOOKUP(LOWER(TRIM(Base_Bruta!N1777)),DePara_Pais!$A$2:$A$9,DePara_Pais!$B$2:$B$9,"REVISAR"))</f>
        <v>Brasil</v>
      </c>
      <c r="P1777" s="4" t="str">
        <f aca="false">IF($A1777="","",IF(O1777&lt;&gt;"Brasil","Turista Internacional",IF(M1777=F1777,"Local","Turista Nacional")))</f>
        <v>Local</v>
      </c>
      <c r="Q1777" s="7" t="n">
        <f aca="false">IF($A1777="","",DATE(YEAR(B1777),MONTH(B1777),1))</f>
        <v>45870</v>
      </c>
      <c r="R1777" s="4" t="str">
        <f aca="false">IF($A1777="","",IF(COUNTIF($A$2:$A1777,$A1777)&gt;1,"Sim","Não"))</f>
        <v>Não</v>
      </c>
      <c r="S1777" s="4" t="str">
        <f aca="false">IF(A1777="","Descartar - Linha vazia",IF(R1777="Sim","Descartar - Duplicado",IF(OR(H1777&lt;=0,I1777&lt;=0),"Descartar - Qtd/Valor inválido","OK")))</f>
        <v>OK</v>
      </c>
      <c r="T1777" s="4" t="str">
        <f aca="false">Base_Bruta!P1777</f>
        <v>vendas_MG.csv</v>
      </c>
    </row>
    <row r="1778" customFormat="false" ht="15" hidden="false" customHeight="false" outlineLevel="0" collapsed="false">
      <c r="A1778" s="4" t="str">
        <f aca="false">IF(Base_Bruta!A1778="","",Base_Bruta!A1778)</f>
        <v>MG-000184</v>
      </c>
      <c r="B1778" s="5" t="n">
        <f aca="false">IF($A1778="","",IF(ISNUMBER(Base_Bruta!B1778),Base_Bruta!B1778,IF(MID(Base_Bruta!B1778,5,1)="-",DATE(VALUE(LEFT(Base_Bruta!B1778,4)),VALUE(MID(Base_Bruta!B1778,6,2)),VALUE(RIGHT(Base_Bruta!B1778,2))),DATE(VALUE(RIGHT(Base_Bruta!B1778,4)),VALUE(MID(Base_Bruta!B1778,4,2)),VALUE(LEFT(Base_Bruta!B1778,2))))))</f>
        <v>45886</v>
      </c>
      <c r="C1778" s="5" t="n">
        <f aca="false">IF($A1778="","",IF(ISNUMBER(Base_Bruta!C1778),Base_Bruta!C1778,IF(MID(Base_Bruta!C1778,5,1)="-",DATE(VALUE(LEFT(Base_Bruta!C1778,4)),VALUE(MID(Base_Bruta!C1778,6,2)),VALUE(RIGHT(Base_Bruta!C1778,2))),DATE(VALUE(RIGHT(Base_Bruta!C1778,4)),VALUE(MID(Base_Bruta!C1778,4,2)),VALUE(LEFT(Base_Bruta!C1778,2))))))</f>
        <v>45892</v>
      </c>
      <c r="D1778" s="4" t="str">
        <f aca="false">IF($A1778="","",TRIM(Base_Bruta!D1778))</f>
        <v>Festival Montanhas BH 2025</v>
      </c>
      <c r="E1778" s="4" t="str">
        <f aca="false">IF($A1778="","",_xlfn.XLOOKUP(LOWER(TRIM(Base_Bruta!E1778)),DePara_Categoria!$A$2:$A$9,DePara_Categoria!$B$2:$B$9,"REVISAR"))</f>
        <v>Festival</v>
      </c>
      <c r="F1778" s="4" t="str">
        <f aca="false">IF($A1778="","",_xlfn.XLOOKUP(LOWER(TRIM(Base_Bruta!F1778)),DePara_Cidade!$A$2:$A$29,DePara_Cidade!$B$2:$B$29,"REVISAR"))</f>
        <v>Belo Horizonte</v>
      </c>
      <c r="G1778" s="4" t="str">
        <f aca="false">IF($A1778="","",TRIM(Base_Bruta!G1778))</f>
        <v>Inteira</v>
      </c>
      <c r="H1778" s="4" t="n">
        <f aca="false">IF($A1778="","",IF(ISNUMBER(Base_Bruta!H1778),Base_Bruta!H1778,IFERROR(_xlfn.NUMBERVALUE(TRIM(SUBSTITUTE(Base_Bruta!H1778,"R$","")),",","."),0)))</f>
        <v>3</v>
      </c>
      <c r="I1778" s="6" t="n">
        <f aca="false">IF($A1778="","",IF(ISNUMBER(Base_Bruta!I1778),Base_Bruta!I1778,IFERROR(_xlfn.NUMBERVALUE(TRIM(SUBSTITUTE(Base_Bruta!I1778,"R$","")),",","."),0)))</f>
        <v>965</v>
      </c>
      <c r="J1778" s="6" t="n">
        <f aca="false">IF($A1778="","",H1778*I1778)</f>
        <v>2895</v>
      </c>
      <c r="K1778" s="4" t="str">
        <f aca="false">IF($A1778="","",TRIM(Base_Bruta!J1778))</f>
        <v>Parceiro</v>
      </c>
      <c r="L1778" s="4" t="str">
        <f aca="false">IF($A1778="","",TRIM(Base_Bruta!K1778))</f>
        <v>C01242</v>
      </c>
      <c r="M1778" s="4" t="str">
        <f aca="false">IF($A1778="","",_xlfn.XLOOKUP(LOWER(TRIM(Base_Bruta!L1778)),DePara_Cidade!$A$2:$A$29,DePara_Cidade!$B$2:$B$29,"REVISAR"))</f>
        <v>Belo Horizonte</v>
      </c>
      <c r="N1778" s="4" t="str">
        <f aca="false">IF($A1778="","",UPPER(TRIM(Base_Bruta!M1778)))</f>
        <v>MG</v>
      </c>
      <c r="O1778" s="4" t="str">
        <f aca="false">IF($A1778="","",_xlfn.XLOOKUP(LOWER(TRIM(Base_Bruta!N1778)),DePara_Pais!$A$2:$A$9,DePara_Pais!$B$2:$B$9,"REVISAR"))</f>
        <v>Brasil</v>
      </c>
      <c r="P1778" s="4" t="str">
        <f aca="false">IF($A1778="","",IF(O1778&lt;&gt;"Brasil","Turista Internacional",IF(M1778=F1778,"Local","Turista Nacional")))</f>
        <v>Local</v>
      </c>
      <c r="Q1778" s="7" t="n">
        <f aca="false">IF($A1778="","",DATE(YEAR(B1778),MONTH(B1778),1))</f>
        <v>45870</v>
      </c>
      <c r="R1778" s="4" t="str">
        <f aca="false">IF($A1778="","",IF(COUNTIF($A$2:$A1778,$A1778)&gt;1,"Sim","Não"))</f>
        <v>Não</v>
      </c>
      <c r="S1778" s="4" t="str">
        <f aca="false">IF(A1778="","Descartar - Linha vazia",IF(R1778="Sim","Descartar - Duplicado",IF(OR(H1778&lt;=0,I1778&lt;=0),"Descartar - Qtd/Valor inválido","OK")))</f>
        <v>OK</v>
      </c>
      <c r="T1778" s="4" t="str">
        <f aca="false">Base_Bruta!P1778</f>
        <v>vendas_MG.csv</v>
      </c>
    </row>
    <row r="1779" customFormat="false" ht="15" hidden="false" customHeight="false" outlineLevel="0" collapsed="false">
      <c r="A1779" s="4" t="str">
        <f aca="false">IF(Base_Bruta!A1779="","",Base_Bruta!A1779)</f>
        <v>MG-000187</v>
      </c>
      <c r="B1779" s="5" t="n">
        <f aca="false">IF($A1779="","",IF(ISNUMBER(Base_Bruta!B1779),Base_Bruta!B1779,IF(MID(Base_Bruta!B1779,5,1)="-",DATE(VALUE(LEFT(Base_Bruta!B1779,4)),VALUE(MID(Base_Bruta!B1779,6,2)),VALUE(RIGHT(Base_Bruta!B1779,2))),DATE(VALUE(RIGHT(Base_Bruta!B1779,4)),VALUE(MID(Base_Bruta!B1779,4,2)),VALUE(LEFT(Base_Bruta!B1779,2))))))</f>
        <v>45886</v>
      </c>
      <c r="C1779" s="5" t="n">
        <f aca="false">IF($A1779="","",IF(ISNUMBER(Base_Bruta!C1779),Base_Bruta!C1779,IF(MID(Base_Bruta!C1779,5,1)="-",DATE(VALUE(LEFT(Base_Bruta!C1779,4)),VALUE(MID(Base_Bruta!C1779,6,2)),VALUE(RIGHT(Base_Bruta!C1779,2))),DATE(VALUE(RIGHT(Base_Bruta!C1779,4)),VALUE(MID(Base_Bruta!C1779,4,2)),VALUE(LEFT(Base_Bruta!C1779,2))))))</f>
        <v>45892</v>
      </c>
      <c r="D1779" s="4" t="str">
        <f aca="false">IF($A1779="","",TRIM(Base_Bruta!D1779))</f>
        <v>Festival Montanhas BH 2025</v>
      </c>
      <c r="E1779" s="4" t="str">
        <f aca="false">IF($A1779="","",_xlfn.XLOOKUP(LOWER(TRIM(Base_Bruta!E1779)),DePara_Categoria!$A$2:$A$9,DePara_Categoria!$B$2:$B$9,"REVISAR"))</f>
        <v>Festival</v>
      </c>
      <c r="F1779" s="4" t="str">
        <f aca="false">IF($A1779="","",_xlfn.XLOOKUP(LOWER(TRIM(Base_Bruta!F1779)),DePara_Cidade!$A$2:$A$29,DePara_Cidade!$B$2:$B$29,"REVISAR"))</f>
        <v>Belo Horizonte</v>
      </c>
      <c r="G1779" s="4" t="str">
        <f aca="false">IF($A1779="","",TRIM(Base_Bruta!G1779))</f>
        <v>Inteira</v>
      </c>
      <c r="H1779" s="4" t="n">
        <f aca="false">IF($A1779="","",IF(ISNUMBER(Base_Bruta!H1779),Base_Bruta!H1779,IFERROR(_xlfn.NUMBERVALUE(TRIM(SUBSTITUTE(Base_Bruta!H1779,"R$","")),",","."),0)))</f>
        <v>2</v>
      </c>
      <c r="I1779" s="6" t="n">
        <f aca="false">IF($A1779="","",IF(ISNUMBER(Base_Bruta!I1779),Base_Bruta!I1779,IFERROR(_xlfn.NUMBERVALUE(TRIM(SUBSTITUTE(Base_Bruta!I1779,"R$","")),",","."),0)))</f>
        <v>1005</v>
      </c>
      <c r="J1779" s="6" t="n">
        <f aca="false">IF($A1779="","",H1779*I1779)</f>
        <v>2010</v>
      </c>
      <c r="K1779" s="4" t="str">
        <f aca="false">IF($A1779="","",TRIM(Base_Bruta!J1779))</f>
        <v>Bilheteria</v>
      </c>
      <c r="L1779" s="4" t="str">
        <f aca="false">IF($A1779="","",TRIM(Base_Bruta!K1779))</f>
        <v>C02319</v>
      </c>
      <c r="M1779" s="4" t="str">
        <f aca="false">IF($A1779="","",_xlfn.XLOOKUP(LOWER(TRIM(Base_Bruta!L1779)),DePara_Cidade!$A$2:$A$29,DePara_Cidade!$B$2:$B$29,"REVISAR"))</f>
        <v>Salvador</v>
      </c>
      <c r="N1779" s="4" t="str">
        <f aca="false">IF($A1779="","",UPPER(TRIM(Base_Bruta!M1779)))</f>
        <v>BA</v>
      </c>
      <c r="O1779" s="4" t="str">
        <f aca="false">IF($A1779="","",_xlfn.XLOOKUP(LOWER(TRIM(Base_Bruta!N1779)),DePara_Pais!$A$2:$A$9,DePara_Pais!$B$2:$B$9,"REVISAR"))</f>
        <v>Brasil</v>
      </c>
      <c r="P1779" s="4" t="str">
        <f aca="false">IF($A1779="","",IF(O1779&lt;&gt;"Brasil","Turista Internacional",IF(M1779=F1779,"Local","Turista Nacional")))</f>
        <v>Turista Nacional</v>
      </c>
      <c r="Q1779" s="7" t="n">
        <f aca="false">IF($A1779="","",DATE(YEAR(B1779),MONTH(B1779),1))</f>
        <v>45870</v>
      </c>
      <c r="R1779" s="4" t="str">
        <f aca="false">IF($A1779="","",IF(COUNTIF($A$2:$A1779,$A1779)&gt;1,"Sim","Não"))</f>
        <v>Não</v>
      </c>
      <c r="S1779" s="4" t="str">
        <f aca="false">IF(A1779="","Descartar - Linha vazia",IF(R1779="Sim","Descartar - Duplicado",IF(OR(H1779&lt;=0,I1779&lt;=0),"Descartar - Qtd/Valor inválido","OK")))</f>
        <v>OK</v>
      </c>
      <c r="T1779" s="4" t="str">
        <f aca="false">Base_Bruta!P1779</f>
        <v>vendas_MG.csv</v>
      </c>
    </row>
    <row r="1780" customFormat="false" ht="15" hidden="false" customHeight="false" outlineLevel="0" collapsed="false">
      <c r="A1780" s="4" t="str">
        <f aca="false">IF(Base_Bruta!A1780="","",Base_Bruta!A1780)</f>
        <v>MG-000190</v>
      </c>
      <c r="B1780" s="5" t="n">
        <f aca="false">IF($A1780="","",IF(ISNUMBER(Base_Bruta!B1780),Base_Bruta!B1780,IF(MID(Base_Bruta!B1780,5,1)="-",DATE(VALUE(LEFT(Base_Bruta!B1780,4)),VALUE(MID(Base_Bruta!B1780,6,2)),VALUE(RIGHT(Base_Bruta!B1780,2))),DATE(VALUE(RIGHT(Base_Bruta!B1780,4)),VALUE(MID(Base_Bruta!B1780,4,2)),VALUE(LEFT(Base_Bruta!B1780,2))))))</f>
        <v>45886</v>
      </c>
      <c r="C1780" s="5" t="n">
        <f aca="false">IF($A1780="","",IF(ISNUMBER(Base_Bruta!C1780),Base_Bruta!C1780,IF(MID(Base_Bruta!C1780,5,1)="-",DATE(VALUE(LEFT(Base_Bruta!C1780,4)),VALUE(MID(Base_Bruta!C1780,6,2)),VALUE(RIGHT(Base_Bruta!C1780,2))),DATE(VALUE(RIGHT(Base_Bruta!C1780,4)),VALUE(MID(Base_Bruta!C1780,4,2)),VALUE(LEFT(Base_Bruta!C1780,2))))))</f>
        <v>45892</v>
      </c>
      <c r="D1780" s="4" t="str">
        <f aca="false">IF($A1780="","",TRIM(Base_Bruta!D1780))</f>
        <v>Festival Montanhas BH 2025</v>
      </c>
      <c r="E1780" s="4" t="str">
        <f aca="false">IF($A1780="","",_xlfn.XLOOKUP(LOWER(TRIM(Base_Bruta!E1780)),DePara_Categoria!$A$2:$A$9,DePara_Categoria!$B$2:$B$9,"REVISAR"))</f>
        <v>Festival</v>
      </c>
      <c r="F1780" s="4" t="str">
        <f aca="false">IF($A1780="","",_xlfn.XLOOKUP(LOWER(TRIM(Base_Bruta!F1780)),DePara_Cidade!$A$2:$A$29,DePara_Cidade!$B$2:$B$29,"REVISAR"))</f>
        <v>Belo Horizonte</v>
      </c>
      <c r="G1780" s="4" t="str">
        <f aca="false">IF($A1780="","",TRIM(Base_Bruta!G1780))</f>
        <v>Inteira</v>
      </c>
      <c r="H1780" s="4" t="n">
        <f aca="false">IF($A1780="","",IF(ISNUMBER(Base_Bruta!H1780),Base_Bruta!H1780,IFERROR(_xlfn.NUMBERVALUE(TRIM(SUBSTITUTE(Base_Bruta!H1780,"R$","")),",","."),0)))</f>
        <v>1</v>
      </c>
      <c r="I1780" s="6" t="n">
        <f aca="false">IF($A1780="","",IF(ISNUMBER(Base_Bruta!I1780),Base_Bruta!I1780,IFERROR(_xlfn.NUMBERVALUE(TRIM(SUBSTITUTE(Base_Bruta!I1780,"R$","")),",","."),0)))</f>
        <v>1005</v>
      </c>
      <c r="J1780" s="6" t="n">
        <f aca="false">IF($A1780="","",H1780*I1780)</f>
        <v>1005</v>
      </c>
      <c r="K1780" s="4" t="str">
        <f aca="false">IF($A1780="","",TRIM(Base_Bruta!J1780))</f>
        <v>Site</v>
      </c>
      <c r="L1780" s="4" t="str">
        <f aca="false">IF($A1780="","",TRIM(Base_Bruta!K1780))</f>
        <v>C01360</v>
      </c>
      <c r="M1780" s="4" t="str">
        <f aca="false">IF($A1780="","",_xlfn.XLOOKUP(LOWER(TRIM(Base_Bruta!L1780)),DePara_Cidade!$A$2:$A$29,DePara_Cidade!$B$2:$B$29,"REVISAR"))</f>
        <v>Salvador</v>
      </c>
      <c r="N1780" s="4" t="str">
        <f aca="false">IF($A1780="","",UPPER(TRIM(Base_Bruta!M1780)))</f>
        <v>BA</v>
      </c>
      <c r="O1780" s="4" t="str">
        <f aca="false">IF($A1780="","",_xlfn.XLOOKUP(LOWER(TRIM(Base_Bruta!N1780)),DePara_Pais!$A$2:$A$9,DePara_Pais!$B$2:$B$9,"REVISAR"))</f>
        <v>Brasil</v>
      </c>
      <c r="P1780" s="4" t="str">
        <f aca="false">IF($A1780="","",IF(O1780&lt;&gt;"Brasil","Turista Internacional",IF(M1780=F1780,"Local","Turista Nacional")))</f>
        <v>Turista Nacional</v>
      </c>
      <c r="Q1780" s="7" t="n">
        <f aca="false">IF($A1780="","",DATE(YEAR(B1780),MONTH(B1780),1))</f>
        <v>45870</v>
      </c>
      <c r="R1780" s="4" t="str">
        <f aca="false">IF($A1780="","",IF(COUNTIF($A$2:$A1780,$A1780)&gt;1,"Sim","Não"))</f>
        <v>Não</v>
      </c>
      <c r="S1780" s="4" t="str">
        <f aca="false">IF(A1780="","Descartar - Linha vazia",IF(R1780="Sim","Descartar - Duplicado",IF(OR(H1780&lt;=0,I1780&lt;=0),"Descartar - Qtd/Valor inválido","OK")))</f>
        <v>OK</v>
      </c>
      <c r="T1780" s="4" t="str">
        <f aca="false">Base_Bruta!P1780</f>
        <v>vendas_MG.csv</v>
      </c>
    </row>
    <row r="1781" customFormat="false" ht="15" hidden="false" customHeight="false" outlineLevel="0" collapsed="false">
      <c r="A1781" s="4" t="str">
        <f aca="false">IF(Base_Bruta!A1781="","",Base_Bruta!A1781)</f>
        <v>MG-000210</v>
      </c>
      <c r="B1781" s="5" t="n">
        <f aca="false">IF($A1781="","",IF(ISNUMBER(Base_Bruta!B1781),Base_Bruta!B1781,IF(MID(Base_Bruta!B1781,5,1)="-",DATE(VALUE(LEFT(Base_Bruta!B1781,4)),VALUE(MID(Base_Bruta!B1781,6,2)),VALUE(RIGHT(Base_Bruta!B1781,2))),DATE(VALUE(RIGHT(Base_Bruta!B1781,4)),VALUE(MID(Base_Bruta!B1781,4,2)),VALUE(LEFT(Base_Bruta!B1781,2))))))</f>
        <v>45886</v>
      </c>
      <c r="C1781" s="5" t="n">
        <f aca="false">IF($A1781="","",IF(ISNUMBER(Base_Bruta!C1781),Base_Bruta!C1781,IF(MID(Base_Bruta!C1781,5,1)="-",DATE(VALUE(LEFT(Base_Bruta!C1781,4)),VALUE(MID(Base_Bruta!C1781,6,2)),VALUE(RIGHT(Base_Bruta!C1781,2))),DATE(VALUE(RIGHT(Base_Bruta!C1781,4)),VALUE(MID(Base_Bruta!C1781,4,2)),VALUE(LEFT(Base_Bruta!C1781,2))))))</f>
        <v>45892</v>
      </c>
      <c r="D1781" s="4" t="str">
        <f aca="false">IF($A1781="","",TRIM(Base_Bruta!D1781))</f>
        <v>Festival Montanhas BH 2025</v>
      </c>
      <c r="E1781" s="4" t="str">
        <f aca="false">IF($A1781="","",_xlfn.XLOOKUP(LOWER(TRIM(Base_Bruta!E1781)),DePara_Categoria!$A$2:$A$9,DePara_Categoria!$B$2:$B$9,"REVISAR"))</f>
        <v>Festival</v>
      </c>
      <c r="F1781" s="4" t="str">
        <f aca="false">IF($A1781="","",_xlfn.XLOOKUP(LOWER(TRIM(Base_Bruta!F1781)),DePara_Cidade!$A$2:$A$29,DePara_Cidade!$B$2:$B$29,"REVISAR"))</f>
        <v>Belo Horizonte</v>
      </c>
      <c r="G1781" s="4" t="str">
        <f aca="false">IF($A1781="","",TRIM(Base_Bruta!G1781))</f>
        <v>Inteira</v>
      </c>
      <c r="H1781" s="4" t="n">
        <f aca="false">IF($A1781="","",IF(ISNUMBER(Base_Bruta!H1781),Base_Bruta!H1781,IFERROR(_xlfn.NUMBERVALUE(TRIM(SUBSTITUTE(Base_Bruta!H1781,"R$","")),",","."),0)))</f>
        <v>1</v>
      </c>
      <c r="I1781" s="6" t="n">
        <f aca="false">IF($A1781="","",IF(ISNUMBER(Base_Bruta!I1781),Base_Bruta!I1781,IFERROR(_xlfn.NUMBERVALUE(TRIM(SUBSTITUTE(Base_Bruta!I1781,"R$","")),",","."),0)))</f>
        <v>660</v>
      </c>
      <c r="J1781" s="6" t="n">
        <f aca="false">IF($A1781="","",H1781*I1781)</f>
        <v>660</v>
      </c>
      <c r="K1781" s="4" t="str">
        <f aca="false">IF($A1781="","",TRIM(Base_Bruta!J1781))</f>
        <v>Site</v>
      </c>
      <c r="L1781" s="4" t="str">
        <f aca="false">IF($A1781="","",TRIM(Base_Bruta!K1781))</f>
        <v>C00374</v>
      </c>
      <c r="M1781" s="4" t="str">
        <f aca="false">IF($A1781="","",_xlfn.XLOOKUP(LOWER(TRIM(Base_Bruta!L1781)),DePara_Cidade!$A$2:$A$29,DePara_Cidade!$B$2:$B$29,"REVISAR"))</f>
        <v>Belo Horizonte</v>
      </c>
      <c r="N1781" s="4" t="str">
        <f aca="false">IF($A1781="","",UPPER(TRIM(Base_Bruta!M1781)))</f>
        <v>MG</v>
      </c>
      <c r="O1781" s="4" t="str">
        <f aca="false">IF($A1781="","",_xlfn.XLOOKUP(LOWER(TRIM(Base_Bruta!N1781)),DePara_Pais!$A$2:$A$9,DePara_Pais!$B$2:$B$9,"REVISAR"))</f>
        <v>Brasil</v>
      </c>
      <c r="P1781" s="4" t="str">
        <f aca="false">IF($A1781="","",IF(O1781&lt;&gt;"Brasil","Turista Internacional",IF(M1781=F1781,"Local","Turista Nacional")))</f>
        <v>Local</v>
      </c>
      <c r="Q1781" s="7" t="n">
        <f aca="false">IF($A1781="","",DATE(YEAR(B1781),MONTH(B1781),1))</f>
        <v>45870</v>
      </c>
      <c r="R1781" s="4" t="str">
        <f aca="false">IF($A1781="","",IF(COUNTIF($A$2:$A1781,$A1781)&gt;1,"Sim","Não"))</f>
        <v>Não</v>
      </c>
      <c r="S1781" s="4" t="str">
        <f aca="false">IF(A1781="","Descartar - Linha vazia",IF(R1781="Sim","Descartar - Duplicado",IF(OR(H1781&lt;=0,I1781&lt;=0),"Descartar - Qtd/Valor inválido","OK")))</f>
        <v>OK</v>
      </c>
      <c r="T1781" s="4" t="str">
        <f aca="false">Base_Bruta!P1781</f>
        <v>vendas_MG.csv</v>
      </c>
    </row>
    <row r="1782" customFormat="false" ht="15" hidden="false" customHeight="false" outlineLevel="0" collapsed="false">
      <c r="A1782" s="4" t="str">
        <f aca="false">IF(Base_Bruta!A1782="","",Base_Bruta!A1782)</f>
        <v>MG-000216</v>
      </c>
      <c r="B1782" s="5" t="n">
        <f aca="false">IF($A1782="","",IF(ISNUMBER(Base_Bruta!B1782),Base_Bruta!B1782,IF(MID(Base_Bruta!B1782,5,1)="-",DATE(VALUE(LEFT(Base_Bruta!B1782,4)),VALUE(MID(Base_Bruta!B1782,6,2)),VALUE(RIGHT(Base_Bruta!B1782,2))),DATE(VALUE(RIGHT(Base_Bruta!B1782,4)),VALUE(MID(Base_Bruta!B1782,4,2)),VALUE(LEFT(Base_Bruta!B1782,2))))))</f>
        <v>45886</v>
      </c>
      <c r="C1782" s="5" t="n">
        <f aca="false">IF($A1782="","",IF(ISNUMBER(Base_Bruta!C1782),Base_Bruta!C1782,IF(MID(Base_Bruta!C1782,5,1)="-",DATE(VALUE(LEFT(Base_Bruta!C1782,4)),VALUE(MID(Base_Bruta!C1782,6,2)),VALUE(RIGHT(Base_Bruta!C1782,2))),DATE(VALUE(RIGHT(Base_Bruta!C1782,4)),VALUE(MID(Base_Bruta!C1782,4,2)),VALUE(LEFT(Base_Bruta!C1782,2))))))</f>
        <v>45892</v>
      </c>
      <c r="D1782" s="4" t="str">
        <f aca="false">IF($A1782="","",TRIM(Base_Bruta!D1782))</f>
        <v>Festival Montanhas BH 2025</v>
      </c>
      <c r="E1782" s="4" t="str">
        <f aca="false">IF($A1782="","",_xlfn.XLOOKUP(LOWER(TRIM(Base_Bruta!E1782)),DePara_Categoria!$A$2:$A$9,DePara_Categoria!$B$2:$B$9,"REVISAR"))</f>
        <v>Festival</v>
      </c>
      <c r="F1782" s="4" t="str">
        <f aca="false">IF($A1782="","",_xlfn.XLOOKUP(LOWER(TRIM(Base_Bruta!F1782)),DePara_Cidade!$A$2:$A$29,DePara_Cidade!$B$2:$B$29,"REVISAR"))</f>
        <v>Belo Horizonte</v>
      </c>
      <c r="G1782" s="4" t="str">
        <f aca="false">IF($A1782="","",TRIM(Base_Bruta!G1782))</f>
        <v>Inteira</v>
      </c>
      <c r="H1782" s="4" t="n">
        <f aca="false">IF($A1782="","",IF(ISNUMBER(Base_Bruta!H1782),Base_Bruta!H1782,IFERROR(_xlfn.NUMBERVALUE(TRIM(SUBSTITUTE(Base_Bruta!H1782,"R$","")),",","."),0)))</f>
        <v>4</v>
      </c>
      <c r="I1782" s="6" t="n">
        <f aca="false">IF($A1782="","",IF(ISNUMBER(Base_Bruta!I1782),Base_Bruta!I1782,IFERROR(_xlfn.NUMBERVALUE(TRIM(SUBSTITUTE(Base_Bruta!I1782,"R$","")),",","."),0)))</f>
        <v>735</v>
      </c>
      <c r="J1782" s="6" t="n">
        <f aca="false">IF($A1782="","",H1782*I1782)</f>
        <v>2940</v>
      </c>
      <c r="K1782" s="4" t="str">
        <f aca="false">IF($A1782="","",TRIM(Base_Bruta!J1782))</f>
        <v>App</v>
      </c>
      <c r="L1782" s="4" t="str">
        <f aca="false">IF($A1782="","",TRIM(Base_Bruta!K1782))</f>
        <v>C00181</v>
      </c>
      <c r="M1782" s="4" t="str">
        <f aca="false">IF($A1782="","",_xlfn.XLOOKUP(LOWER(TRIM(Base_Bruta!L1782)),DePara_Cidade!$A$2:$A$29,DePara_Cidade!$B$2:$B$29,"REVISAR"))</f>
        <v>Belo Horizonte</v>
      </c>
      <c r="N1782" s="4" t="str">
        <f aca="false">IF($A1782="","",UPPER(TRIM(Base_Bruta!M1782)))</f>
        <v>MG</v>
      </c>
      <c r="O1782" s="4" t="str">
        <f aca="false">IF($A1782="","",_xlfn.XLOOKUP(LOWER(TRIM(Base_Bruta!N1782)),DePara_Pais!$A$2:$A$9,DePara_Pais!$B$2:$B$9,"REVISAR"))</f>
        <v>Brasil</v>
      </c>
      <c r="P1782" s="4" t="str">
        <f aca="false">IF($A1782="","",IF(O1782&lt;&gt;"Brasil","Turista Internacional",IF(M1782=F1782,"Local","Turista Nacional")))</f>
        <v>Local</v>
      </c>
      <c r="Q1782" s="7" t="n">
        <f aca="false">IF($A1782="","",DATE(YEAR(B1782),MONTH(B1782),1))</f>
        <v>45870</v>
      </c>
      <c r="R1782" s="4" t="str">
        <f aca="false">IF($A1782="","",IF(COUNTIF($A$2:$A1782,$A1782)&gt;1,"Sim","Não"))</f>
        <v>Não</v>
      </c>
      <c r="S1782" s="4" t="str">
        <f aca="false">IF(A1782="","Descartar - Linha vazia",IF(R1782="Sim","Descartar - Duplicado",IF(OR(H1782&lt;=0,I1782&lt;=0),"Descartar - Qtd/Valor inválido","OK")))</f>
        <v>OK</v>
      </c>
      <c r="T1782" s="4" t="str">
        <f aca="false">Base_Bruta!P1782</f>
        <v>vendas_MG.csv</v>
      </c>
    </row>
    <row r="1783" customFormat="false" ht="15" hidden="false" customHeight="false" outlineLevel="0" collapsed="false">
      <c r="A1783" s="4" t="str">
        <f aca="false">IF(Base_Bruta!A1783="","",Base_Bruta!A1783)</f>
        <v>MG-000006</v>
      </c>
      <c r="B1783" s="5" t="n">
        <f aca="false">IF($A1783="","",IF(ISNUMBER(Base_Bruta!B1783),Base_Bruta!B1783,IF(MID(Base_Bruta!B1783,5,1)="-",DATE(VALUE(LEFT(Base_Bruta!B1783,4)),VALUE(MID(Base_Bruta!B1783,6,2)),VALUE(RIGHT(Base_Bruta!B1783,2))),DATE(VALUE(RIGHT(Base_Bruta!B1783,4)),VALUE(MID(Base_Bruta!B1783,4,2)),VALUE(LEFT(Base_Bruta!B1783,2))))))</f>
        <v>45887</v>
      </c>
      <c r="C1783" s="5" t="n">
        <f aca="false">IF($A1783="","",IF(ISNUMBER(Base_Bruta!C1783),Base_Bruta!C1783,IF(MID(Base_Bruta!C1783,5,1)="-",DATE(VALUE(LEFT(Base_Bruta!C1783,4)),VALUE(MID(Base_Bruta!C1783,6,2)),VALUE(RIGHT(Base_Bruta!C1783,2))),DATE(VALUE(RIGHT(Base_Bruta!C1783,4)),VALUE(MID(Base_Bruta!C1783,4,2)),VALUE(LEFT(Base_Bruta!C1783,2))))))</f>
        <v>45892</v>
      </c>
      <c r="D1783" s="4" t="str">
        <f aca="false">IF($A1783="","",TRIM(Base_Bruta!D1783))</f>
        <v>Festival Montanhas BH 2025</v>
      </c>
      <c r="E1783" s="4" t="str">
        <f aca="false">IF($A1783="","",_xlfn.XLOOKUP(LOWER(TRIM(Base_Bruta!E1783)),DePara_Categoria!$A$2:$A$9,DePara_Categoria!$B$2:$B$9,"REVISAR"))</f>
        <v>Festival</v>
      </c>
      <c r="F1783" s="4" t="str">
        <f aca="false">IF($A1783="","",_xlfn.XLOOKUP(LOWER(TRIM(Base_Bruta!F1783)),DePara_Cidade!$A$2:$A$29,DePara_Cidade!$B$2:$B$29,"REVISAR"))</f>
        <v>Belo Horizonte</v>
      </c>
      <c r="G1783" s="4" t="str">
        <f aca="false">IF($A1783="","",TRIM(Base_Bruta!G1783))</f>
        <v>Inteira</v>
      </c>
      <c r="H1783" s="4" t="n">
        <f aca="false">IF($A1783="","",IF(ISNUMBER(Base_Bruta!H1783),Base_Bruta!H1783,IFERROR(_xlfn.NUMBERVALUE(TRIM(SUBSTITUTE(Base_Bruta!H1783,"R$","")),",","."),0)))</f>
        <v>2</v>
      </c>
      <c r="I1783" s="6" t="n">
        <f aca="false">IF($A1783="","",IF(ISNUMBER(Base_Bruta!I1783),Base_Bruta!I1783,IFERROR(_xlfn.NUMBERVALUE(TRIM(SUBSTITUTE(Base_Bruta!I1783,"R$","")),",","."),0)))</f>
        <v>695</v>
      </c>
      <c r="J1783" s="6" t="n">
        <f aca="false">IF($A1783="","",H1783*I1783)</f>
        <v>1390</v>
      </c>
      <c r="K1783" s="4" t="str">
        <f aca="false">IF($A1783="","",TRIM(Base_Bruta!J1783))</f>
        <v>Site</v>
      </c>
      <c r="L1783" s="4" t="str">
        <f aca="false">IF($A1783="","",TRIM(Base_Bruta!K1783))</f>
        <v>C01731</v>
      </c>
      <c r="M1783" s="4" t="str">
        <f aca="false">IF($A1783="","",_xlfn.XLOOKUP(LOWER(TRIM(Base_Bruta!L1783)),DePara_Cidade!$A$2:$A$29,DePara_Cidade!$B$2:$B$29,"REVISAR"))</f>
        <v>Belo Horizonte</v>
      </c>
      <c r="N1783" s="4" t="str">
        <f aca="false">IF($A1783="","",UPPER(TRIM(Base_Bruta!M1783)))</f>
        <v>MG</v>
      </c>
      <c r="O1783" s="4" t="str">
        <f aca="false">IF($A1783="","",_xlfn.XLOOKUP(LOWER(TRIM(Base_Bruta!N1783)),DePara_Pais!$A$2:$A$9,DePara_Pais!$B$2:$B$9,"REVISAR"))</f>
        <v>Brasil</v>
      </c>
      <c r="P1783" s="4" t="str">
        <f aca="false">IF($A1783="","",IF(O1783&lt;&gt;"Brasil","Turista Internacional",IF(M1783=F1783,"Local","Turista Nacional")))</f>
        <v>Local</v>
      </c>
      <c r="Q1783" s="7" t="n">
        <f aca="false">IF($A1783="","",DATE(YEAR(B1783),MONTH(B1783),1))</f>
        <v>45870</v>
      </c>
      <c r="R1783" s="4" t="str">
        <f aca="false">IF($A1783="","",IF(COUNTIF($A$2:$A1783,$A1783)&gt;1,"Sim","Não"))</f>
        <v>Não</v>
      </c>
      <c r="S1783" s="4" t="str">
        <f aca="false">IF(A1783="","Descartar - Linha vazia",IF(R1783="Sim","Descartar - Duplicado",IF(OR(H1783&lt;=0,I1783&lt;=0),"Descartar - Qtd/Valor inválido","OK")))</f>
        <v>OK</v>
      </c>
      <c r="T1783" s="4" t="str">
        <f aca="false">Base_Bruta!P1783</f>
        <v>vendas_MG.csv</v>
      </c>
    </row>
    <row r="1784" customFormat="false" ht="15" hidden="false" customHeight="false" outlineLevel="0" collapsed="false">
      <c r="A1784" s="4" t="str">
        <f aca="false">IF(Base_Bruta!A1784="","",Base_Bruta!A1784)</f>
        <v>MG-000014</v>
      </c>
      <c r="B1784" s="5" t="n">
        <f aca="false">IF($A1784="","",IF(ISNUMBER(Base_Bruta!B1784),Base_Bruta!B1784,IF(MID(Base_Bruta!B1784,5,1)="-",DATE(VALUE(LEFT(Base_Bruta!B1784,4)),VALUE(MID(Base_Bruta!B1784,6,2)),VALUE(RIGHT(Base_Bruta!B1784,2))),DATE(VALUE(RIGHT(Base_Bruta!B1784,4)),VALUE(MID(Base_Bruta!B1784,4,2)),VALUE(LEFT(Base_Bruta!B1784,2))))))</f>
        <v>45887</v>
      </c>
      <c r="C1784" s="5" t="n">
        <f aca="false">IF($A1784="","",IF(ISNUMBER(Base_Bruta!C1784),Base_Bruta!C1784,IF(MID(Base_Bruta!C1784,5,1)="-",DATE(VALUE(LEFT(Base_Bruta!C1784,4)),VALUE(MID(Base_Bruta!C1784,6,2)),VALUE(RIGHT(Base_Bruta!C1784,2))),DATE(VALUE(RIGHT(Base_Bruta!C1784,4)),VALUE(MID(Base_Bruta!C1784,4,2)),VALUE(LEFT(Base_Bruta!C1784,2))))))</f>
        <v>45892</v>
      </c>
      <c r="D1784" s="4" t="str">
        <f aca="false">IF($A1784="","",TRIM(Base_Bruta!D1784))</f>
        <v>Festival Montanhas BH 2025</v>
      </c>
      <c r="E1784" s="4" t="str">
        <f aca="false">IF($A1784="","",_xlfn.XLOOKUP(LOWER(TRIM(Base_Bruta!E1784)),DePara_Categoria!$A$2:$A$9,DePara_Categoria!$B$2:$B$9,"REVISAR"))</f>
        <v>Festival</v>
      </c>
      <c r="F1784" s="4" t="str">
        <f aca="false">IF($A1784="","",_xlfn.XLOOKUP(LOWER(TRIM(Base_Bruta!F1784)),DePara_Cidade!$A$2:$A$29,DePara_Cidade!$B$2:$B$29,"REVISAR"))</f>
        <v>Belo Horizonte</v>
      </c>
      <c r="G1784" s="4" t="str">
        <f aca="false">IF($A1784="","",TRIM(Base_Bruta!G1784))</f>
        <v>Inteira</v>
      </c>
      <c r="H1784" s="4" t="n">
        <f aca="false">IF($A1784="","",IF(ISNUMBER(Base_Bruta!H1784),Base_Bruta!H1784,IFERROR(_xlfn.NUMBERVALUE(TRIM(SUBSTITUTE(Base_Bruta!H1784,"R$","")),",","."),0)))</f>
        <v>2</v>
      </c>
      <c r="I1784" s="6" t="n">
        <f aca="false">IF($A1784="","",IF(ISNUMBER(Base_Bruta!I1784),Base_Bruta!I1784,IFERROR(_xlfn.NUMBERVALUE(TRIM(SUBSTITUTE(Base_Bruta!I1784,"R$","")),",","."),0)))</f>
        <v>785</v>
      </c>
      <c r="J1784" s="6" t="n">
        <f aca="false">IF($A1784="","",H1784*I1784)</f>
        <v>1570</v>
      </c>
      <c r="K1784" s="4" t="str">
        <f aca="false">IF($A1784="","",TRIM(Base_Bruta!J1784))</f>
        <v>Site</v>
      </c>
      <c r="L1784" s="4" t="str">
        <f aca="false">IF($A1784="","",TRIM(Base_Bruta!K1784))</f>
        <v>C00257</v>
      </c>
      <c r="M1784" s="4" t="str">
        <f aca="false">IF($A1784="","",_xlfn.XLOOKUP(LOWER(TRIM(Base_Bruta!L1784)),DePara_Cidade!$A$2:$A$29,DePara_Cidade!$B$2:$B$29,"REVISAR"))</f>
        <v>Belo Horizonte</v>
      </c>
      <c r="N1784" s="4" t="str">
        <f aca="false">IF($A1784="","",UPPER(TRIM(Base_Bruta!M1784)))</f>
        <v>MG</v>
      </c>
      <c r="O1784" s="4" t="str">
        <f aca="false">IF($A1784="","",_xlfn.XLOOKUP(LOWER(TRIM(Base_Bruta!N1784)),DePara_Pais!$A$2:$A$9,DePara_Pais!$B$2:$B$9,"REVISAR"))</f>
        <v>Brasil</v>
      </c>
      <c r="P1784" s="4" t="str">
        <f aca="false">IF($A1784="","",IF(O1784&lt;&gt;"Brasil","Turista Internacional",IF(M1784=F1784,"Local","Turista Nacional")))</f>
        <v>Local</v>
      </c>
      <c r="Q1784" s="7" t="n">
        <f aca="false">IF($A1784="","",DATE(YEAR(B1784),MONTH(B1784),1))</f>
        <v>45870</v>
      </c>
      <c r="R1784" s="4" t="str">
        <f aca="false">IF($A1784="","",IF(COUNTIF($A$2:$A1784,$A1784)&gt;1,"Sim","Não"))</f>
        <v>Não</v>
      </c>
      <c r="S1784" s="4" t="str">
        <f aca="false">IF(A1784="","Descartar - Linha vazia",IF(R1784="Sim","Descartar - Duplicado",IF(OR(H1784&lt;=0,I1784&lt;=0),"Descartar - Qtd/Valor inválido","OK")))</f>
        <v>OK</v>
      </c>
      <c r="T1784" s="4" t="str">
        <f aca="false">Base_Bruta!P1784</f>
        <v>vendas_MG.csv</v>
      </c>
    </row>
    <row r="1785" customFormat="false" ht="15" hidden="false" customHeight="false" outlineLevel="0" collapsed="false">
      <c r="A1785" s="4" t="str">
        <f aca="false">IF(Base_Bruta!A1785="","",Base_Bruta!A1785)</f>
        <v>MG-000042</v>
      </c>
      <c r="B1785" s="5" t="n">
        <f aca="false">IF($A1785="","",IF(ISNUMBER(Base_Bruta!B1785),Base_Bruta!B1785,IF(MID(Base_Bruta!B1785,5,1)="-",DATE(VALUE(LEFT(Base_Bruta!B1785,4)),VALUE(MID(Base_Bruta!B1785,6,2)),VALUE(RIGHT(Base_Bruta!B1785,2))),DATE(VALUE(RIGHT(Base_Bruta!B1785,4)),VALUE(MID(Base_Bruta!B1785,4,2)),VALUE(LEFT(Base_Bruta!B1785,2))))))</f>
        <v>45887</v>
      </c>
      <c r="C1785" s="5" t="n">
        <f aca="false">IF($A1785="","",IF(ISNUMBER(Base_Bruta!C1785),Base_Bruta!C1785,IF(MID(Base_Bruta!C1785,5,1)="-",DATE(VALUE(LEFT(Base_Bruta!C1785,4)),VALUE(MID(Base_Bruta!C1785,6,2)),VALUE(RIGHT(Base_Bruta!C1785,2))),DATE(VALUE(RIGHT(Base_Bruta!C1785,4)),VALUE(MID(Base_Bruta!C1785,4,2)),VALUE(LEFT(Base_Bruta!C1785,2))))))</f>
        <v>45892</v>
      </c>
      <c r="D1785" s="4" t="str">
        <f aca="false">IF($A1785="","",TRIM(Base_Bruta!D1785))</f>
        <v>Festival Montanhas BH 2025</v>
      </c>
      <c r="E1785" s="4" t="str">
        <f aca="false">IF($A1785="","",_xlfn.XLOOKUP(LOWER(TRIM(Base_Bruta!E1785)),DePara_Categoria!$A$2:$A$9,DePara_Categoria!$B$2:$B$9,"REVISAR"))</f>
        <v>Festival</v>
      </c>
      <c r="F1785" s="4" t="str">
        <f aca="false">IF($A1785="","",_xlfn.XLOOKUP(LOWER(TRIM(Base_Bruta!F1785)),DePara_Cidade!$A$2:$A$29,DePara_Cidade!$B$2:$B$29,"REVISAR"))</f>
        <v>Belo Horizonte</v>
      </c>
      <c r="G1785" s="4" t="str">
        <f aca="false">IF($A1785="","",TRIM(Base_Bruta!G1785))</f>
        <v>Meia</v>
      </c>
      <c r="H1785" s="4" t="n">
        <f aca="false">IF($A1785="","",IF(ISNUMBER(Base_Bruta!H1785),Base_Bruta!H1785,IFERROR(_xlfn.NUMBERVALUE(TRIM(SUBSTITUTE(Base_Bruta!H1785,"R$","")),",","."),0)))</f>
        <v>1</v>
      </c>
      <c r="I1785" s="6" t="n">
        <f aca="false">IF($A1785="","",IF(ISNUMBER(Base_Bruta!I1785),Base_Bruta!I1785,IFERROR(_xlfn.NUMBERVALUE(TRIM(SUBSTITUTE(Base_Bruta!I1785,"R$","")),",","."),0)))</f>
        <v>495</v>
      </c>
      <c r="J1785" s="6" t="n">
        <f aca="false">IF($A1785="","",H1785*I1785)</f>
        <v>495</v>
      </c>
      <c r="K1785" s="4" t="str">
        <f aca="false">IF($A1785="","",TRIM(Base_Bruta!J1785))</f>
        <v>App</v>
      </c>
      <c r="L1785" s="4" t="str">
        <f aca="false">IF($A1785="","",TRIM(Base_Bruta!K1785))</f>
        <v>C02032</v>
      </c>
      <c r="M1785" s="4" t="str">
        <f aca="false">IF($A1785="","",_xlfn.XLOOKUP(LOWER(TRIM(Base_Bruta!L1785)),DePara_Cidade!$A$2:$A$29,DePara_Cidade!$B$2:$B$29,"REVISAR"))</f>
        <v>Belo Horizonte</v>
      </c>
      <c r="N1785" s="4" t="str">
        <f aca="false">IF($A1785="","",UPPER(TRIM(Base_Bruta!M1785)))</f>
        <v>MG</v>
      </c>
      <c r="O1785" s="4" t="str">
        <f aca="false">IF($A1785="","",_xlfn.XLOOKUP(LOWER(TRIM(Base_Bruta!N1785)),DePara_Pais!$A$2:$A$9,DePara_Pais!$B$2:$B$9,"REVISAR"))</f>
        <v>Brasil</v>
      </c>
      <c r="P1785" s="4" t="str">
        <f aca="false">IF($A1785="","",IF(O1785&lt;&gt;"Brasil","Turista Internacional",IF(M1785=F1785,"Local","Turista Nacional")))</f>
        <v>Local</v>
      </c>
      <c r="Q1785" s="7" t="n">
        <f aca="false">IF($A1785="","",DATE(YEAR(B1785),MONTH(B1785),1))</f>
        <v>45870</v>
      </c>
      <c r="R1785" s="4" t="str">
        <f aca="false">IF($A1785="","",IF(COUNTIF($A$2:$A1785,$A1785)&gt;1,"Sim","Não"))</f>
        <v>Não</v>
      </c>
      <c r="S1785" s="4" t="str">
        <f aca="false">IF(A1785="","Descartar - Linha vazia",IF(R1785="Sim","Descartar - Duplicado",IF(OR(H1785&lt;=0,I1785&lt;=0),"Descartar - Qtd/Valor inválido","OK")))</f>
        <v>OK</v>
      </c>
      <c r="T1785" s="4" t="str">
        <f aca="false">Base_Bruta!P1785</f>
        <v>vendas_MG.csv</v>
      </c>
    </row>
    <row r="1786" customFormat="false" ht="15" hidden="false" customHeight="false" outlineLevel="0" collapsed="false">
      <c r="A1786" s="4" t="str">
        <f aca="false">IF(Base_Bruta!A1786="","",Base_Bruta!A1786)</f>
        <v>MG-000092</v>
      </c>
      <c r="B1786" s="5" t="n">
        <f aca="false">IF($A1786="","",IF(ISNUMBER(Base_Bruta!B1786),Base_Bruta!B1786,IF(MID(Base_Bruta!B1786,5,1)="-",DATE(VALUE(LEFT(Base_Bruta!B1786,4)),VALUE(MID(Base_Bruta!B1786,6,2)),VALUE(RIGHT(Base_Bruta!B1786,2))),DATE(VALUE(RIGHT(Base_Bruta!B1786,4)),VALUE(MID(Base_Bruta!B1786,4,2)),VALUE(LEFT(Base_Bruta!B1786,2))))))</f>
        <v>45887</v>
      </c>
      <c r="C1786" s="5" t="n">
        <f aca="false">IF($A1786="","",IF(ISNUMBER(Base_Bruta!C1786),Base_Bruta!C1786,IF(MID(Base_Bruta!C1786,5,1)="-",DATE(VALUE(LEFT(Base_Bruta!C1786,4)),VALUE(MID(Base_Bruta!C1786,6,2)),VALUE(RIGHT(Base_Bruta!C1786,2))),DATE(VALUE(RIGHT(Base_Bruta!C1786,4)),VALUE(MID(Base_Bruta!C1786,4,2)),VALUE(LEFT(Base_Bruta!C1786,2))))))</f>
        <v>45892</v>
      </c>
      <c r="D1786" s="4" t="str">
        <f aca="false">IF($A1786="","",TRIM(Base_Bruta!D1786))</f>
        <v>Festival Montanhas BH 2025</v>
      </c>
      <c r="E1786" s="4" t="str">
        <f aca="false">IF($A1786="","",_xlfn.XLOOKUP(LOWER(TRIM(Base_Bruta!E1786)),DePara_Categoria!$A$2:$A$9,DePara_Categoria!$B$2:$B$9,"REVISAR"))</f>
        <v>Festival</v>
      </c>
      <c r="F1786" s="4" t="str">
        <f aca="false">IF($A1786="","",_xlfn.XLOOKUP(LOWER(TRIM(Base_Bruta!F1786)),DePara_Cidade!$A$2:$A$29,DePara_Cidade!$B$2:$B$29,"REVISAR"))</f>
        <v>Belo Horizonte</v>
      </c>
      <c r="G1786" s="4" t="str">
        <f aca="false">IF($A1786="","",TRIM(Base_Bruta!G1786))</f>
        <v>Meia</v>
      </c>
      <c r="H1786" s="4" t="n">
        <f aca="false">IF($A1786="","",IF(ISNUMBER(Base_Bruta!H1786),Base_Bruta!H1786,IFERROR(_xlfn.NUMBERVALUE(TRIM(SUBSTITUTE(Base_Bruta!H1786,"R$","")),",","."),0)))</f>
        <v>2</v>
      </c>
      <c r="I1786" s="6" t="n">
        <f aca="false">IF($A1786="","",IF(ISNUMBER(Base_Bruta!I1786),Base_Bruta!I1786,IFERROR(_xlfn.NUMBERVALUE(TRIM(SUBSTITUTE(Base_Bruta!I1786,"R$","")),",","."),0)))</f>
        <v>457.5</v>
      </c>
      <c r="J1786" s="6" t="n">
        <f aca="false">IF($A1786="","",H1786*I1786)</f>
        <v>915</v>
      </c>
      <c r="K1786" s="4" t="str">
        <f aca="false">IF($A1786="","",TRIM(Base_Bruta!J1786))</f>
        <v>Site</v>
      </c>
      <c r="L1786" s="4" t="str">
        <f aca="false">IF($A1786="","",TRIM(Base_Bruta!K1786))</f>
        <v>C02441</v>
      </c>
      <c r="M1786" s="4" t="str">
        <f aca="false">IF($A1786="","",_xlfn.XLOOKUP(LOWER(TRIM(Base_Bruta!L1786)),DePara_Cidade!$A$2:$A$29,DePara_Cidade!$B$2:$B$29,"REVISAR"))</f>
        <v>Belo Horizonte</v>
      </c>
      <c r="N1786" s="4" t="str">
        <f aca="false">IF($A1786="","",UPPER(TRIM(Base_Bruta!M1786)))</f>
        <v>MG</v>
      </c>
      <c r="O1786" s="4" t="str">
        <f aca="false">IF($A1786="","",_xlfn.XLOOKUP(LOWER(TRIM(Base_Bruta!N1786)),DePara_Pais!$A$2:$A$9,DePara_Pais!$B$2:$B$9,"REVISAR"))</f>
        <v>Brasil</v>
      </c>
      <c r="P1786" s="4" t="str">
        <f aca="false">IF($A1786="","",IF(O1786&lt;&gt;"Brasil","Turista Internacional",IF(M1786=F1786,"Local","Turista Nacional")))</f>
        <v>Local</v>
      </c>
      <c r="Q1786" s="7" t="n">
        <f aca="false">IF($A1786="","",DATE(YEAR(B1786),MONTH(B1786),1))</f>
        <v>45870</v>
      </c>
      <c r="R1786" s="4" t="str">
        <f aca="false">IF($A1786="","",IF(COUNTIF($A$2:$A1786,$A1786)&gt;1,"Sim","Não"))</f>
        <v>Não</v>
      </c>
      <c r="S1786" s="4" t="str">
        <f aca="false">IF(A1786="","Descartar - Linha vazia",IF(R1786="Sim","Descartar - Duplicado",IF(OR(H1786&lt;=0,I1786&lt;=0),"Descartar - Qtd/Valor inválido","OK")))</f>
        <v>OK</v>
      </c>
      <c r="T1786" s="4" t="str">
        <f aca="false">Base_Bruta!P1786</f>
        <v>vendas_MG.csv</v>
      </c>
    </row>
    <row r="1787" customFormat="false" ht="15" hidden="false" customHeight="false" outlineLevel="0" collapsed="false">
      <c r="A1787" s="4" t="str">
        <f aca="false">IF(Base_Bruta!A1787="","",Base_Bruta!A1787)</f>
        <v>MG-000113</v>
      </c>
      <c r="B1787" s="5" t="n">
        <f aca="false">IF($A1787="","",IF(ISNUMBER(Base_Bruta!B1787),Base_Bruta!B1787,IF(MID(Base_Bruta!B1787,5,1)="-",DATE(VALUE(LEFT(Base_Bruta!B1787,4)),VALUE(MID(Base_Bruta!B1787,6,2)),VALUE(RIGHT(Base_Bruta!B1787,2))),DATE(VALUE(RIGHT(Base_Bruta!B1787,4)),VALUE(MID(Base_Bruta!B1787,4,2)),VALUE(LEFT(Base_Bruta!B1787,2))))))</f>
        <v>45887</v>
      </c>
      <c r="C1787" s="5" t="n">
        <f aca="false">IF($A1787="","",IF(ISNUMBER(Base_Bruta!C1787),Base_Bruta!C1787,IF(MID(Base_Bruta!C1787,5,1)="-",DATE(VALUE(LEFT(Base_Bruta!C1787,4)),VALUE(MID(Base_Bruta!C1787,6,2)),VALUE(RIGHT(Base_Bruta!C1787,2))),DATE(VALUE(RIGHT(Base_Bruta!C1787,4)),VALUE(MID(Base_Bruta!C1787,4,2)),VALUE(LEFT(Base_Bruta!C1787,2))))))</f>
        <v>45892</v>
      </c>
      <c r="D1787" s="4" t="str">
        <f aca="false">IF($A1787="","",TRIM(Base_Bruta!D1787))</f>
        <v>Festival Montanhas BH 2025</v>
      </c>
      <c r="E1787" s="4" t="str">
        <f aca="false">IF($A1787="","",_xlfn.XLOOKUP(LOWER(TRIM(Base_Bruta!E1787)),DePara_Categoria!$A$2:$A$9,DePara_Categoria!$B$2:$B$9,"REVISAR"))</f>
        <v>Festival</v>
      </c>
      <c r="F1787" s="4" t="str">
        <f aca="false">IF($A1787="","",_xlfn.XLOOKUP(LOWER(TRIM(Base_Bruta!F1787)),DePara_Cidade!$A$2:$A$29,DePara_Cidade!$B$2:$B$29,"REVISAR"))</f>
        <v>Belo Horizonte</v>
      </c>
      <c r="G1787" s="4" t="str">
        <f aca="false">IF($A1787="","",TRIM(Base_Bruta!G1787))</f>
        <v>Inteira</v>
      </c>
      <c r="H1787" s="4" t="n">
        <f aca="false">IF($A1787="","",IF(ISNUMBER(Base_Bruta!H1787),Base_Bruta!H1787,IFERROR(_xlfn.NUMBERVALUE(TRIM(SUBSTITUTE(Base_Bruta!H1787,"R$","")),",","."),0)))</f>
        <v>1</v>
      </c>
      <c r="I1787" s="6" t="n">
        <f aca="false">IF($A1787="","",IF(ISNUMBER(Base_Bruta!I1787),Base_Bruta!I1787,IFERROR(_xlfn.NUMBERVALUE(TRIM(SUBSTITUTE(Base_Bruta!I1787,"R$","")),",","."),0)))</f>
        <v>1055</v>
      </c>
      <c r="J1787" s="6" t="n">
        <f aca="false">IF($A1787="","",H1787*I1787)</f>
        <v>1055</v>
      </c>
      <c r="K1787" s="4" t="str">
        <f aca="false">IF($A1787="","",TRIM(Base_Bruta!J1787))</f>
        <v>Site</v>
      </c>
      <c r="L1787" s="4" t="str">
        <f aca="false">IF($A1787="","",TRIM(Base_Bruta!K1787))</f>
        <v>C00257</v>
      </c>
      <c r="M1787" s="4" t="str">
        <f aca="false">IF($A1787="","",_xlfn.XLOOKUP(LOWER(TRIM(Base_Bruta!L1787)),DePara_Cidade!$A$2:$A$29,DePara_Cidade!$B$2:$B$29,"REVISAR"))</f>
        <v>Belo Horizonte</v>
      </c>
      <c r="N1787" s="4" t="str">
        <f aca="false">IF($A1787="","",UPPER(TRIM(Base_Bruta!M1787)))</f>
        <v>MG</v>
      </c>
      <c r="O1787" s="4" t="str">
        <f aca="false">IF($A1787="","",_xlfn.XLOOKUP(LOWER(TRIM(Base_Bruta!N1787)),DePara_Pais!$A$2:$A$9,DePara_Pais!$B$2:$B$9,"REVISAR"))</f>
        <v>Brasil</v>
      </c>
      <c r="P1787" s="4" t="str">
        <f aca="false">IF($A1787="","",IF(O1787&lt;&gt;"Brasil","Turista Internacional",IF(M1787=F1787,"Local","Turista Nacional")))</f>
        <v>Local</v>
      </c>
      <c r="Q1787" s="7" t="n">
        <f aca="false">IF($A1787="","",DATE(YEAR(B1787),MONTH(B1787),1))</f>
        <v>45870</v>
      </c>
      <c r="R1787" s="4" t="str">
        <f aca="false">IF($A1787="","",IF(COUNTIF($A$2:$A1787,$A1787)&gt;1,"Sim","Não"))</f>
        <v>Não</v>
      </c>
      <c r="S1787" s="4" t="str">
        <f aca="false">IF(A1787="","Descartar - Linha vazia",IF(R1787="Sim","Descartar - Duplicado",IF(OR(H1787&lt;=0,I1787&lt;=0),"Descartar - Qtd/Valor inválido","OK")))</f>
        <v>OK</v>
      </c>
      <c r="T1787" s="4" t="str">
        <f aca="false">Base_Bruta!P1787</f>
        <v>vendas_MG.csv</v>
      </c>
    </row>
    <row r="1788" customFormat="false" ht="15" hidden="false" customHeight="false" outlineLevel="0" collapsed="false">
      <c r="A1788" s="4" t="str">
        <f aca="false">IF(Base_Bruta!A1788="","",Base_Bruta!A1788)</f>
        <v>MG-000163</v>
      </c>
      <c r="B1788" s="5" t="n">
        <f aca="false">IF($A1788="","",IF(ISNUMBER(Base_Bruta!B1788),Base_Bruta!B1788,IF(MID(Base_Bruta!B1788,5,1)="-",DATE(VALUE(LEFT(Base_Bruta!B1788,4)),VALUE(MID(Base_Bruta!B1788,6,2)),VALUE(RIGHT(Base_Bruta!B1788,2))),DATE(VALUE(RIGHT(Base_Bruta!B1788,4)),VALUE(MID(Base_Bruta!B1788,4,2)),VALUE(LEFT(Base_Bruta!B1788,2))))))</f>
        <v>45887</v>
      </c>
      <c r="C1788" s="5" t="n">
        <f aca="false">IF($A1788="","",IF(ISNUMBER(Base_Bruta!C1788),Base_Bruta!C1788,IF(MID(Base_Bruta!C1788,5,1)="-",DATE(VALUE(LEFT(Base_Bruta!C1788,4)),VALUE(MID(Base_Bruta!C1788,6,2)),VALUE(RIGHT(Base_Bruta!C1788,2))),DATE(VALUE(RIGHT(Base_Bruta!C1788,4)),VALUE(MID(Base_Bruta!C1788,4,2)),VALUE(LEFT(Base_Bruta!C1788,2))))))</f>
        <v>45892</v>
      </c>
      <c r="D1788" s="4" t="str">
        <f aca="false">IF($A1788="","",TRIM(Base_Bruta!D1788))</f>
        <v>Festival Montanhas BH 2025</v>
      </c>
      <c r="E1788" s="4" t="str">
        <f aca="false">IF($A1788="","",_xlfn.XLOOKUP(LOWER(TRIM(Base_Bruta!E1788)),DePara_Categoria!$A$2:$A$9,DePara_Categoria!$B$2:$B$9,"REVISAR"))</f>
        <v>Festival</v>
      </c>
      <c r="F1788" s="4" t="str">
        <f aca="false">IF($A1788="","",_xlfn.XLOOKUP(LOWER(TRIM(Base_Bruta!F1788)),DePara_Cidade!$A$2:$A$29,DePara_Cidade!$B$2:$B$29,"REVISAR"))</f>
        <v>Belo Horizonte</v>
      </c>
      <c r="G1788" s="4" t="str">
        <f aca="false">IF($A1788="","",TRIM(Base_Bruta!G1788))</f>
        <v>VIP</v>
      </c>
      <c r="H1788" s="4" t="n">
        <f aca="false">IF($A1788="","",IF(ISNUMBER(Base_Bruta!H1788),Base_Bruta!H1788,IFERROR(_xlfn.NUMBERVALUE(TRIM(SUBSTITUTE(Base_Bruta!H1788,"R$","")),",","."),0)))</f>
        <v>2</v>
      </c>
      <c r="I1788" s="6" t="n">
        <f aca="false">IF($A1788="","",IF(ISNUMBER(Base_Bruta!I1788),Base_Bruta!I1788,IFERROR(_xlfn.NUMBERVALUE(TRIM(SUBSTITUTE(Base_Bruta!I1788,"R$","")),",","."),0)))</f>
        <v>1920</v>
      </c>
      <c r="J1788" s="6" t="n">
        <f aca="false">IF($A1788="","",H1788*I1788)</f>
        <v>3840</v>
      </c>
      <c r="K1788" s="4" t="str">
        <f aca="false">IF($A1788="","",TRIM(Base_Bruta!J1788))</f>
        <v>App</v>
      </c>
      <c r="L1788" s="4" t="str">
        <f aca="false">IF($A1788="","",TRIM(Base_Bruta!K1788))</f>
        <v>C00698</v>
      </c>
      <c r="M1788" s="4" t="str">
        <f aca="false">IF($A1788="","",_xlfn.XLOOKUP(LOWER(TRIM(Base_Bruta!L1788)),DePara_Cidade!$A$2:$A$29,DePara_Cidade!$B$2:$B$29,"REVISAR"))</f>
        <v>Vitória</v>
      </c>
      <c r="N1788" s="4" t="str">
        <f aca="false">IF($A1788="","",UPPER(TRIM(Base_Bruta!M1788)))</f>
        <v>ES</v>
      </c>
      <c r="O1788" s="4" t="str">
        <f aca="false">IF($A1788="","",_xlfn.XLOOKUP(LOWER(TRIM(Base_Bruta!N1788)),DePara_Pais!$A$2:$A$9,DePara_Pais!$B$2:$B$9,"REVISAR"))</f>
        <v>Brasil</v>
      </c>
      <c r="P1788" s="4" t="str">
        <f aca="false">IF($A1788="","",IF(O1788&lt;&gt;"Brasil","Turista Internacional",IF(M1788=F1788,"Local","Turista Nacional")))</f>
        <v>Turista Nacional</v>
      </c>
      <c r="Q1788" s="7" t="n">
        <f aca="false">IF($A1788="","",DATE(YEAR(B1788),MONTH(B1788),1))</f>
        <v>45870</v>
      </c>
      <c r="R1788" s="4" t="str">
        <f aca="false">IF($A1788="","",IF(COUNTIF($A$2:$A1788,$A1788)&gt;1,"Sim","Não"))</f>
        <v>Não</v>
      </c>
      <c r="S1788" s="4" t="str">
        <f aca="false">IF(A1788="","Descartar - Linha vazia",IF(R1788="Sim","Descartar - Duplicado",IF(OR(H1788&lt;=0,I1788&lt;=0),"Descartar - Qtd/Valor inválido","OK")))</f>
        <v>OK</v>
      </c>
      <c r="T1788" s="4" t="str">
        <f aca="false">Base_Bruta!P1788</f>
        <v>vendas_MG.csv</v>
      </c>
    </row>
    <row r="1789" customFormat="false" ht="15" hidden="false" customHeight="false" outlineLevel="0" collapsed="false">
      <c r="A1789" s="4" t="str">
        <f aca="false">IF(Base_Bruta!A1789="","",Base_Bruta!A1789)</f>
        <v>MG-000200</v>
      </c>
      <c r="B1789" s="5" t="n">
        <f aca="false">IF($A1789="","",IF(ISNUMBER(Base_Bruta!B1789),Base_Bruta!B1789,IF(MID(Base_Bruta!B1789,5,1)="-",DATE(VALUE(LEFT(Base_Bruta!B1789,4)),VALUE(MID(Base_Bruta!B1789,6,2)),VALUE(RIGHT(Base_Bruta!B1789,2))),DATE(VALUE(RIGHT(Base_Bruta!B1789,4)),VALUE(MID(Base_Bruta!B1789,4,2)),VALUE(LEFT(Base_Bruta!B1789,2))))))</f>
        <v>45887</v>
      </c>
      <c r="C1789" s="5" t="n">
        <f aca="false">IF($A1789="","",IF(ISNUMBER(Base_Bruta!C1789),Base_Bruta!C1789,IF(MID(Base_Bruta!C1789,5,1)="-",DATE(VALUE(LEFT(Base_Bruta!C1789,4)),VALUE(MID(Base_Bruta!C1789,6,2)),VALUE(RIGHT(Base_Bruta!C1789,2))),DATE(VALUE(RIGHT(Base_Bruta!C1789,4)),VALUE(MID(Base_Bruta!C1789,4,2)),VALUE(LEFT(Base_Bruta!C1789,2))))))</f>
        <v>45892</v>
      </c>
      <c r="D1789" s="4" t="str">
        <f aca="false">IF($A1789="","",TRIM(Base_Bruta!D1789))</f>
        <v>Festival Montanhas BH 2025</v>
      </c>
      <c r="E1789" s="4" t="str">
        <f aca="false">IF($A1789="","",_xlfn.XLOOKUP(LOWER(TRIM(Base_Bruta!E1789)),DePara_Categoria!$A$2:$A$9,DePara_Categoria!$B$2:$B$9,"REVISAR"))</f>
        <v>Festival</v>
      </c>
      <c r="F1789" s="4" t="str">
        <f aca="false">IF($A1789="","",_xlfn.XLOOKUP(LOWER(TRIM(Base_Bruta!F1789)),DePara_Cidade!$A$2:$A$29,DePara_Cidade!$B$2:$B$29,"REVISAR"))</f>
        <v>Belo Horizonte</v>
      </c>
      <c r="G1789" s="4" t="str">
        <f aca="false">IF($A1789="","",TRIM(Base_Bruta!G1789))</f>
        <v>VIP</v>
      </c>
      <c r="H1789" s="4" t="n">
        <f aca="false">IF($A1789="","",IF(ISNUMBER(Base_Bruta!H1789),Base_Bruta!H1789,IFERROR(_xlfn.NUMBERVALUE(TRIM(SUBSTITUTE(Base_Bruta!H1789,"R$","")),",","."),0)))</f>
        <v>1</v>
      </c>
      <c r="I1789" s="6" t="n">
        <f aca="false">IF($A1789="","",IF(ISNUMBER(Base_Bruta!I1789),Base_Bruta!I1789,IFERROR(_xlfn.NUMBERVALUE(TRIM(SUBSTITUTE(Base_Bruta!I1789,"R$","")),",","."),0)))</f>
        <v>1920</v>
      </c>
      <c r="J1789" s="6" t="n">
        <f aca="false">IF($A1789="","",H1789*I1789)</f>
        <v>1920</v>
      </c>
      <c r="K1789" s="4" t="str">
        <f aca="false">IF($A1789="","",TRIM(Base_Bruta!J1789))</f>
        <v>Site</v>
      </c>
      <c r="L1789" s="4" t="str">
        <f aca="false">IF($A1789="","",TRIM(Base_Bruta!K1789))</f>
        <v>C00073</v>
      </c>
      <c r="M1789" s="4" t="str">
        <f aca="false">IF($A1789="","",_xlfn.XLOOKUP(LOWER(TRIM(Base_Bruta!L1789)),DePara_Cidade!$A$2:$A$29,DePara_Cidade!$B$2:$B$29,"REVISAR"))</f>
        <v>Contagem</v>
      </c>
      <c r="N1789" s="4" t="str">
        <f aca="false">IF($A1789="","",UPPER(TRIM(Base_Bruta!M1789)))</f>
        <v>MG</v>
      </c>
      <c r="O1789" s="4" t="str">
        <f aca="false">IF($A1789="","",_xlfn.XLOOKUP(LOWER(TRIM(Base_Bruta!N1789)),DePara_Pais!$A$2:$A$9,DePara_Pais!$B$2:$B$9,"REVISAR"))</f>
        <v>Brasil</v>
      </c>
      <c r="P1789" s="4" t="str">
        <f aca="false">IF($A1789="","",IF(O1789&lt;&gt;"Brasil","Turista Internacional",IF(M1789=F1789,"Local","Turista Nacional")))</f>
        <v>Turista Nacional</v>
      </c>
      <c r="Q1789" s="7" t="n">
        <f aca="false">IF($A1789="","",DATE(YEAR(B1789),MONTH(B1789),1))</f>
        <v>45870</v>
      </c>
      <c r="R1789" s="4" t="str">
        <f aca="false">IF($A1789="","",IF(COUNTIF($A$2:$A1789,$A1789)&gt;1,"Sim","Não"))</f>
        <v>Não</v>
      </c>
      <c r="S1789" s="4" t="str">
        <f aca="false">IF(A1789="","Descartar - Linha vazia",IF(R1789="Sim","Descartar - Duplicado",IF(OR(H1789&lt;=0,I1789&lt;=0),"Descartar - Qtd/Valor inválido","OK")))</f>
        <v>OK</v>
      </c>
      <c r="T1789" s="4" t="str">
        <f aca="false">Base_Bruta!P1789</f>
        <v>vendas_MG.csv</v>
      </c>
    </row>
    <row r="1790" customFormat="false" ht="15" hidden="false" customHeight="false" outlineLevel="0" collapsed="false">
      <c r="A1790" s="4" t="str">
        <f aca="false">IF(Base_Bruta!A1790="","",Base_Bruta!A1790)</f>
        <v>MG-000221</v>
      </c>
      <c r="B1790" s="5" t="n">
        <f aca="false">IF($A1790="","",IF(ISNUMBER(Base_Bruta!B1790),Base_Bruta!B1790,IF(MID(Base_Bruta!B1790,5,1)="-",DATE(VALUE(LEFT(Base_Bruta!B1790,4)),VALUE(MID(Base_Bruta!B1790,6,2)),VALUE(RIGHT(Base_Bruta!B1790,2))),DATE(VALUE(RIGHT(Base_Bruta!B1790,4)),VALUE(MID(Base_Bruta!B1790,4,2)),VALUE(LEFT(Base_Bruta!B1790,2))))))</f>
        <v>45887</v>
      </c>
      <c r="C1790" s="5" t="n">
        <f aca="false">IF($A1790="","",IF(ISNUMBER(Base_Bruta!C1790),Base_Bruta!C1790,IF(MID(Base_Bruta!C1790,5,1)="-",DATE(VALUE(LEFT(Base_Bruta!C1790,4)),VALUE(MID(Base_Bruta!C1790,6,2)),VALUE(RIGHT(Base_Bruta!C1790,2))),DATE(VALUE(RIGHT(Base_Bruta!C1790,4)),VALUE(MID(Base_Bruta!C1790,4,2)),VALUE(LEFT(Base_Bruta!C1790,2))))))</f>
        <v>45892</v>
      </c>
      <c r="D1790" s="4" t="str">
        <f aca="false">IF($A1790="","",TRIM(Base_Bruta!D1790))</f>
        <v>Festival Montanhas BH 2025</v>
      </c>
      <c r="E1790" s="4" t="str">
        <f aca="false">IF($A1790="","",_xlfn.XLOOKUP(LOWER(TRIM(Base_Bruta!E1790)),DePara_Categoria!$A$2:$A$9,DePara_Categoria!$B$2:$B$9,"REVISAR"))</f>
        <v>Festival</v>
      </c>
      <c r="F1790" s="4" t="str">
        <f aca="false">IF($A1790="","",_xlfn.XLOOKUP(LOWER(TRIM(Base_Bruta!F1790)),DePara_Cidade!$A$2:$A$29,DePara_Cidade!$B$2:$B$29,"REVISAR"))</f>
        <v>Belo Horizonte</v>
      </c>
      <c r="G1790" s="4" t="str">
        <f aca="false">IF($A1790="","",TRIM(Base_Bruta!G1790))</f>
        <v>Inteira</v>
      </c>
      <c r="H1790" s="4" t="n">
        <f aca="false">IF($A1790="","",IF(ISNUMBER(Base_Bruta!H1790),Base_Bruta!H1790,IFERROR(_xlfn.NUMBERVALUE(TRIM(SUBSTITUTE(Base_Bruta!H1790,"R$","")),",","."),0)))</f>
        <v>1</v>
      </c>
      <c r="I1790" s="6" t="n">
        <f aca="false">IF($A1790="","",IF(ISNUMBER(Base_Bruta!I1790),Base_Bruta!I1790,IFERROR(_xlfn.NUMBERVALUE(TRIM(SUBSTITUTE(Base_Bruta!I1790,"R$","")),",","."),0)))</f>
        <v>1145</v>
      </c>
      <c r="J1790" s="6" t="n">
        <f aca="false">IF($A1790="","",H1790*I1790)</f>
        <v>1145</v>
      </c>
      <c r="K1790" s="4" t="str">
        <f aca="false">IF($A1790="","",TRIM(Base_Bruta!J1790))</f>
        <v>Site</v>
      </c>
      <c r="L1790" s="4" t="str">
        <f aca="false">IF($A1790="","",TRIM(Base_Bruta!K1790))</f>
        <v>C01361</v>
      </c>
      <c r="M1790" s="4" t="str">
        <f aca="false">IF($A1790="","",_xlfn.XLOOKUP(LOWER(TRIM(Base_Bruta!L1790)),DePara_Cidade!$A$2:$A$29,DePara_Cidade!$B$2:$B$29,"REVISAR"))</f>
        <v>Recife</v>
      </c>
      <c r="N1790" s="4" t="str">
        <f aca="false">IF($A1790="","",UPPER(TRIM(Base_Bruta!M1790)))</f>
        <v>PE</v>
      </c>
      <c r="O1790" s="4" t="str">
        <f aca="false">IF($A1790="","",_xlfn.XLOOKUP(LOWER(TRIM(Base_Bruta!N1790)),DePara_Pais!$A$2:$A$9,DePara_Pais!$B$2:$B$9,"REVISAR"))</f>
        <v>Brasil</v>
      </c>
      <c r="P1790" s="4" t="str">
        <f aca="false">IF($A1790="","",IF(O1790&lt;&gt;"Brasil","Turista Internacional",IF(M1790=F1790,"Local","Turista Nacional")))</f>
        <v>Turista Nacional</v>
      </c>
      <c r="Q1790" s="7" t="n">
        <f aca="false">IF($A1790="","",DATE(YEAR(B1790),MONTH(B1790),1))</f>
        <v>45870</v>
      </c>
      <c r="R1790" s="4" t="str">
        <f aca="false">IF($A1790="","",IF(COUNTIF($A$2:$A1790,$A1790)&gt;1,"Sim","Não"))</f>
        <v>Não</v>
      </c>
      <c r="S1790" s="4" t="str">
        <f aca="false">IF(A1790="","Descartar - Linha vazia",IF(R1790="Sim","Descartar - Duplicado",IF(OR(H1790&lt;=0,I1790&lt;=0),"Descartar - Qtd/Valor inválido","OK")))</f>
        <v>OK</v>
      </c>
      <c r="T1790" s="4" t="str">
        <f aca="false">Base_Bruta!P1790</f>
        <v>vendas_MG.csv</v>
      </c>
    </row>
    <row r="1791" customFormat="false" ht="15" hidden="false" customHeight="false" outlineLevel="0" collapsed="false">
      <c r="A1791" s="4" t="str">
        <f aca="false">IF(Base_Bruta!A1791="","",Base_Bruta!A1791)</f>
        <v>MG-000008</v>
      </c>
      <c r="B1791" s="5" t="n">
        <f aca="false">IF($A1791="","",IF(ISNUMBER(Base_Bruta!B1791),Base_Bruta!B1791,IF(MID(Base_Bruta!B1791,5,1)="-",DATE(VALUE(LEFT(Base_Bruta!B1791,4)),VALUE(MID(Base_Bruta!B1791,6,2)),VALUE(RIGHT(Base_Bruta!B1791,2))),DATE(VALUE(RIGHT(Base_Bruta!B1791,4)),VALUE(MID(Base_Bruta!B1791,4,2)),VALUE(LEFT(Base_Bruta!B1791,2))))))</f>
        <v>45888</v>
      </c>
      <c r="C1791" s="5" t="n">
        <f aca="false">IF($A1791="","",IF(ISNUMBER(Base_Bruta!C1791),Base_Bruta!C1791,IF(MID(Base_Bruta!C1791,5,1)="-",DATE(VALUE(LEFT(Base_Bruta!C1791,4)),VALUE(MID(Base_Bruta!C1791,6,2)),VALUE(RIGHT(Base_Bruta!C1791,2))),DATE(VALUE(RIGHT(Base_Bruta!C1791,4)),VALUE(MID(Base_Bruta!C1791,4,2)),VALUE(LEFT(Base_Bruta!C1791,2))))))</f>
        <v>45892</v>
      </c>
      <c r="D1791" s="4" t="str">
        <f aca="false">IF($A1791="","",TRIM(Base_Bruta!D1791))</f>
        <v>Festival Montanhas BH 2025</v>
      </c>
      <c r="E1791" s="4" t="str">
        <f aca="false">IF($A1791="","",_xlfn.XLOOKUP(LOWER(TRIM(Base_Bruta!E1791)),DePara_Categoria!$A$2:$A$9,DePara_Categoria!$B$2:$B$9,"REVISAR"))</f>
        <v>Festival</v>
      </c>
      <c r="F1791" s="4" t="str">
        <f aca="false">IF($A1791="","",_xlfn.XLOOKUP(LOWER(TRIM(Base_Bruta!F1791)),DePara_Cidade!$A$2:$A$29,DePara_Cidade!$B$2:$B$29,"REVISAR"))</f>
        <v>Belo Horizonte</v>
      </c>
      <c r="G1791" s="4" t="str">
        <f aca="false">IF($A1791="","",TRIM(Base_Bruta!G1791))</f>
        <v>Meia</v>
      </c>
      <c r="H1791" s="4" t="n">
        <f aca="false">IF($A1791="","",IF(ISNUMBER(Base_Bruta!H1791),Base_Bruta!H1791,IFERROR(_xlfn.NUMBERVALUE(TRIM(SUBSTITUTE(Base_Bruta!H1791,"R$","")),",","."),0)))</f>
        <v>2</v>
      </c>
      <c r="I1791" s="6" t="n">
        <f aca="false">IF($A1791="","",IF(ISNUMBER(Base_Bruta!I1791),Base_Bruta!I1791,IFERROR(_xlfn.NUMBERVALUE(TRIM(SUBSTITUTE(Base_Bruta!I1791,"R$","")),",","."),0)))</f>
        <v>382.5</v>
      </c>
      <c r="J1791" s="6" t="n">
        <f aca="false">IF($A1791="","",H1791*I1791)</f>
        <v>765</v>
      </c>
      <c r="K1791" s="4" t="str">
        <f aca="false">IF($A1791="","",TRIM(Base_Bruta!J1791))</f>
        <v>Parceiro</v>
      </c>
      <c r="L1791" s="4" t="str">
        <f aca="false">IF($A1791="","",TRIM(Base_Bruta!K1791))</f>
        <v>C00975</v>
      </c>
      <c r="M1791" s="4" t="str">
        <f aca="false">IF($A1791="","",_xlfn.XLOOKUP(LOWER(TRIM(Base_Bruta!L1791)),DePara_Cidade!$A$2:$A$29,DePara_Cidade!$B$2:$B$29,"REVISAR"))</f>
        <v>Rio de Janeiro</v>
      </c>
      <c r="N1791" s="4" t="str">
        <f aca="false">IF($A1791="","",UPPER(TRIM(Base_Bruta!M1791)))</f>
        <v>RJ</v>
      </c>
      <c r="O1791" s="4" t="str">
        <f aca="false">IF($A1791="","",_xlfn.XLOOKUP(LOWER(TRIM(Base_Bruta!N1791)),DePara_Pais!$A$2:$A$9,DePara_Pais!$B$2:$B$9,"REVISAR"))</f>
        <v>Brasil</v>
      </c>
      <c r="P1791" s="4" t="str">
        <f aca="false">IF($A1791="","",IF(O1791&lt;&gt;"Brasil","Turista Internacional",IF(M1791=F1791,"Local","Turista Nacional")))</f>
        <v>Turista Nacional</v>
      </c>
      <c r="Q1791" s="7" t="n">
        <f aca="false">IF($A1791="","",DATE(YEAR(B1791),MONTH(B1791),1))</f>
        <v>45870</v>
      </c>
      <c r="R1791" s="4" t="str">
        <f aca="false">IF($A1791="","",IF(COUNTIF($A$2:$A1791,$A1791)&gt;1,"Sim","Não"))</f>
        <v>Não</v>
      </c>
      <c r="S1791" s="4" t="str">
        <f aca="false">IF(A1791="","Descartar - Linha vazia",IF(R1791="Sim","Descartar - Duplicado",IF(OR(H1791&lt;=0,I1791&lt;=0),"Descartar - Qtd/Valor inválido","OK")))</f>
        <v>OK</v>
      </c>
      <c r="T1791" s="4" t="str">
        <f aca="false">Base_Bruta!P1791</f>
        <v>vendas_MG.csv</v>
      </c>
    </row>
    <row r="1792" customFormat="false" ht="15" hidden="false" customHeight="false" outlineLevel="0" collapsed="false">
      <c r="A1792" s="4" t="str">
        <f aca="false">IF(Base_Bruta!A1792="","",Base_Bruta!A1792)</f>
        <v>MG-000017</v>
      </c>
      <c r="B1792" s="5" t="n">
        <f aca="false">IF($A1792="","",IF(ISNUMBER(Base_Bruta!B1792),Base_Bruta!B1792,IF(MID(Base_Bruta!B1792,5,1)="-",DATE(VALUE(LEFT(Base_Bruta!B1792,4)),VALUE(MID(Base_Bruta!B1792,6,2)),VALUE(RIGHT(Base_Bruta!B1792,2))),DATE(VALUE(RIGHT(Base_Bruta!B1792,4)),VALUE(MID(Base_Bruta!B1792,4,2)),VALUE(LEFT(Base_Bruta!B1792,2))))))</f>
        <v>45888</v>
      </c>
      <c r="C1792" s="5" t="n">
        <f aca="false">IF($A1792="","",IF(ISNUMBER(Base_Bruta!C1792),Base_Bruta!C1792,IF(MID(Base_Bruta!C1792,5,1)="-",DATE(VALUE(LEFT(Base_Bruta!C1792,4)),VALUE(MID(Base_Bruta!C1792,6,2)),VALUE(RIGHT(Base_Bruta!C1792,2))),DATE(VALUE(RIGHT(Base_Bruta!C1792,4)),VALUE(MID(Base_Bruta!C1792,4,2)),VALUE(LEFT(Base_Bruta!C1792,2))))))</f>
        <v>45892</v>
      </c>
      <c r="D1792" s="4" t="str">
        <f aca="false">IF($A1792="","",TRIM(Base_Bruta!D1792))</f>
        <v>Festival Montanhas BH 2025</v>
      </c>
      <c r="E1792" s="4" t="str">
        <f aca="false">IF($A1792="","",_xlfn.XLOOKUP(LOWER(TRIM(Base_Bruta!E1792)),DePara_Categoria!$A$2:$A$9,DePara_Categoria!$B$2:$B$9,"REVISAR"))</f>
        <v>Festival</v>
      </c>
      <c r="F1792" s="4" t="str">
        <f aca="false">IF($A1792="","",_xlfn.XLOOKUP(LOWER(TRIM(Base_Bruta!F1792)),DePara_Cidade!$A$2:$A$29,DePara_Cidade!$B$2:$B$29,"REVISAR"))</f>
        <v>Belo Horizonte</v>
      </c>
      <c r="G1792" s="4" t="str">
        <f aca="false">IF($A1792="","",TRIM(Base_Bruta!G1792))</f>
        <v>VIP</v>
      </c>
      <c r="H1792" s="4" t="n">
        <f aca="false">IF($A1792="","",IF(ISNUMBER(Base_Bruta!H1792),Base_Bruta!H1792,IFERROR(_xlfn.NUMBERVALUE(TRIM(SUBSTITUTE(Base_Bruta!H1792,"R$","")),",","."),0)))</f>
        <v>1</v>
      </c>
      <c r="I1792" s="6" t="n">
        <f aca="false">IF($A1792="","",IF(ISNUMBER(Base_Bruta!I1792),Base_Bruta!I1792,IFERROR(_xlfn.NUMBERVALUE(TRIM(SUBSTITUTE(Base_Bruta!I1792,"R$","")),",","."),0)))</f>
        <v>1550</v>
      </c>
      <c r="J1792" s="6" t="n">
        <f aca="false">IF($A1792="","",H1792*I1792)</f>
        <v>1550</v>
      </c>
      <c r="K1792" s="4" t="str">
        <f aca="false">IF($A1792="","",TRIM(Base_Bruta!J1792))</f>
        <v>App</v>
      </c>
      <c r="L1792" s="4" t="str">
        <f aca="false">IF($A1792="","",TRIM(Base_Bruta!K1792))</f>
        <v>C00181</v>
      </c>
      <c r="M1792" s="4" t="str">
        <f aca="false">IF($A1792="","",_xlfn.XLOOKUP(LOWER(TRIM(Base_Bruta!L1792)),DePara_Cidade!$A$2:$A$29,DePara_Cidade!$B$2:$B$29,"REVISAR"))</f>
        <v>Belo Horizonte</v>
      </c>
      <c r="N1792" s="4" t="str">
        <f aca="false">IF($A1792="","",UPPER(TRIM(Base_Bruta!M1792)))</f>
        <v>MG</v>
      </c>
      <c r="O1792" s="4" t="str">
        <f aca="false">IF($A1792="","",_xlfn.XLOOKUP(LOWER(TRIM(Base_Bruta!N1792)),DePara_Pais!$A$2:$A$9,DePara_Pais!$B$2:$B$9,"REVISAR"))</f>
        <v>Brasil</v>
      </c>
      <c r="P1792" s="4" t="str">
        <f aca="false">IF($A1792="","",IF(O1792&lt;&gt;"Brasil","Turista Internacional",IF(M1792=F1792,"Local","Turista Nacional")))</f>
        <v>Local</v>
      </c>
      <c r="Q1792" s="7" t="n">
        <f aca="false">IF($A1792="","",DATE(YEAR(B1792),MONTH(B1792),1))</f>
        <v>45870</v>
      </c>
      <c r="R1792" s="4" t="str">
        <f aca="false">IF($A1792="","",IF(COUNTIF($A$2:$A1792,$A1792)&gt;1,"Sim","Não"))</f>
        <v>Não</v>
      </c>
      <c r="S1792" s="4" t="str">
        <f aca="false">IF(A1792="","Descartar - Linha vazia",IF(R1792="Sim","Descartar - Duplicado",IF(OR(H1792&lt;=0,I1792&lt;=0),"Descartar - Qtd/Valor inválido","OK")))</f>
        <v>OK</v>
      </c>
      <c r="T1792" s="4" t="str">
        <f aca="false">Base_Bruta!P1792</f>
        <v>vendas_MG.csv</v>
      </c>
    </row>
    <row r="1793" customFormat="false" ht="15" hidden="false" customHeight="false" outlineLevel="0" collapsed="false">
      <c r="A1793" s="4" t="str">
        <f aca="false">IF(Base_Bruta!A1793="","",Base_Bruta!A1793)</f>
        <v>MG-000019</v>
      </c>
      <c r="B1793" s="5" t="n">
        <f aca="false">IF($A1793="","",IF(ISNUMBER(Base_Bruta!B1793),Base_Bruta!B1793,IF(MID(Base_Bruta!B1793,5,1)="-",DATE(VALUE(LEFT(Base_Bruta!B1793,4)),VALUE(MID(Base_Bruta!B1793,6,2)),VALUE(RIGHT(Base_Bruta!B1793,2))),DATE(VALUE(RIGHT(Base_Bruta!B1793,4)),VALUE(MID(Base_Bruta!B1793,4,2)),VALUE(LEFT(Base_Bruta!B1793,2))))))</f>
        <v>45888</v>
      </c>
      <c r="C1793" s="5" t="n">
        <f aca="false">IF($A1793="","",IF(ISNUMBER(Base_Bruta!C1793),Base_Bruta!C1793,IF(MID(Base_Bruta!C1793,5,1)="-",DATE(VALUE(LEFT(Base_Bruta!C1793,4)),VALUE(MID(Base_Bruta!C1793,6,2)),VALUE(RIGHT(Base_Bruta!C1793,2))),DATE(VALUE(RIGHT(Base_Bruta!C1793,4)),VALUE(MID(Base_Bruta!C1793,4,2)),VALUE(LEFT(Base_Bruta!C1793,2))))))</f>
        <v>45892</v>
      </c>
      <c r="D1793" s="4" t="str">
        <f aca="false">IF($A1793="","",TRIM(Base_Bruta!D1793))</f>
        <v>Festival Montanhas BH 2025</v>
      </c>
      <c r="E1793" s="4" t="str">
        <f aca="false">IF($A1793="","",_xlfn.XLOOKUP(LOWER(TRIM(Base_Bruta!E1793)),DePara_Categoria!$A$2:$A$9,DePara_Categoria!$B$2:$B$9,"REVISAR"))</f>
        <v>Festival</v>
      </c>
      <c r="F1793" s="4" t="str">
        <f aca="false">IF($A1793="","",_xlfn.XLOOKUP(LOWER(TRIM(Base_Bruta!F1793)),DePara_Cidade!$A$2:$A$29,DePara_Cidade!$B$2:$B$29,"REVISAR"))</f>
        <v>Belo Horizonte</v>
      </c>
      <c r="G1793" s="4" t="str">
        <f aca="false">IF($A1793="","",TRIM(Base_Bruta!G1793))</f>
        <v>Inteira</v>
      </c>
      <c r="H1793" s="4" t="n">
        <f aca="false">IF($A1793="","",IF(ISNUMBER(Base_Bruta!H1793),Base_Bruta!H1793,IFERROR(_xlfn.NUMBERVALUE(TRIM(SUBSTITUTE(Base_Bruta!H1793,"R$","")),",","."),0)))</f>
        <v>1</v>
      </c>
      <c r="I1793" s="6" t="n">
        <f aca="false">IF($A1793="","",IF(ISNUMBER(Base_Bruta!I1793),Base_Bruta!I1793,IFERROR(_xlfn.NUMBERVALUE(TRIM(SUBSTITUTE(Base_Bruta!I1793,"R$","")),",","."),0)))</f>
        <v>830</v>
      </c>
      <c r="J1793" s="6" t="n">
        <f aca="false">IF($A1793="","",H1793*I1793)</f>
        <v>830</v>
      </c>
      <c r="K1793" s="4" t="str">
        <f aca="false">IF($A1793="","",TRIM(Base_Bruta!J1793))</f>
        <v>Bilheteria</v>
      </c>
      <c r="L1793" s="4" t="str">
        <f aca="false">IF($A1793="","",TRIM(Base_Bruta!K1793))</f>
        <v>C01506</v>
      </c>
      <c r="M1793" s="4" t="str">
        <f aca="false">IF($A1793="","",_xlfn.XLOOKUP(LOWER(TRIM(Base_Bruta!L1793)),DePara_Cidade!$A$2:$A$29,DePara_Cidade!$B$2:$B$29,"REVISAR"))</f>
        <v>Belo Horizonte</v>
      </c>
      <c r="N1793" s="4" t="str">
        <f aca="false">IF($A1793="","",UPPER(TRIM(Base_Bruta!M1793)))</f>
        <v>MG</v>
      </c>
      <c r="O1793" s="4" t="str">
        <f aca="false">IF($A1793="","",_xlfn.XLOOKUP(LOWER(TRIM(Base_Bruta!N1793)),DePara_Pais!$A$2:$A$9,DePara_Pais!$B$2:$B$9,"REVISAR"))</f>
        <v>Brasil</v>
      </c>
      <c r="P1793" s="4" t="str">
        <f aca="false">IF($A1793="","",IF(O1793&lt;&gt;"Brasil","Turista Internacional",IF(M1793=F1793,"Local","Turista Nacional")))</f>
        <v>Local</v>
      </c>
      <c r="Q1793" s="7" t="n">
        <f aca="false">IF($A1793="","",DATE(YEAR(B1793),MONTH(B1793),1))</f>
        <v>45870</v>
      </c>
      <c r="R1793" s="4" t="str">
        <f aca="false">IF($A1793="","",IF(COUNTIF($A$2:$A1793,$A1793)&gt;1,"Sim","Não"))</f>
        <v>Não</v>
      </c>
      <c r="S1793" s="4" t="str">
        <f aca="false">IF(A1793="","Descartar - Linha vazia",IF(R1793="Sim","Descartar - Duplicado",IF(OR(H1793&lt;=0,I1793&lt;=0),"Descartar - Qtd/Valor inválido","OK")))</f>
        <v>OK</v>
      </c>
      <c r="T1793" s="4" t="str">
        <f aca="false">Base_Bruta!P1793</f>
        <v>vendas_MG.csv</v>
      </c>
    </row>
    <row r="1794" customFormat="false" ht="15" hidden="false" customHeight="false" outlineLevel="0" collapsed="false">
      <c r="A1794" s="4" t="str">
        <f aca="false">IF(Base_Bruta!A1794="","",Base_Bruta!A1794)</f>
        <v>MG-000028</v>
      </c>
      <c r="B1794" s="5" t="n">
        <f aca="false">IF($A1794="","",IF(ISNUMBER(Base_Bruta!B1794),Base_Bruta!B1794,IF(MID(Base_Bruta!B1794,5,1)="-",DATE(VALUE(LEFT(Base_Bruta!B1794,4)),VALUE(MID(Base_Bruta!B1794,6,2)),VALUE(RIGHT(Base_Bruta!B1794,2))),DATE(VALUE(RIGHT(Base_Bruta!B1794,4)),VALUE(MID(Base_Bruta!B1794,4,2)),VALUE(LEFT(Base_Bruta!B1794,2))))))</f>
        <v>45888</v>
      </c>
      <c r="C1794" s="5" t="n">
        <f aca="false">IF($A1794="","",IF(ISNUMBER(Base_Bruta!C1794),Base_Bruta!C1794,IF(MID(Base_Bruta!C1794,5,1)="-",DATE(VALUE(LEFT(Base_Bruta!C1794,4)),VALUE(MID(Base_Bruta!C1794,6,2)),VALUE(RIGHT(Base_Bruta!C1794,2))),DATE(VALUE(RIGHT(Base_Bruta!C1794,4)),VALUE(MID(Base_Bruta!C1794,4,2)),VALUE(LEFT(Base_Bruta!C1794,2))))))</f>
        <v>45892</v>
      </c>
      <c r="D1794" s="4" t="str">
        <f aca="false">IF($A1794="","",TRIM(Base_Bruta!D1794))</f>
        <v>Festival Montanhas BH 2025</v>
      </c>
      <c r="E1794" s="4" t="str">
        <f aca="false">IF($A1794="","",_xlfn.XLOOKUP(LOWER(TRIM(Base_Bruta!E1794)),DePara_Categoria!$A$2:$A$9,DePara_Categoria!$B$2:$B$9,"REVISAR"))</f>
        <v>Festival</v>
      </c>
      <c r="F1794" s="4" t="str">
        <f aca="false">IF($A1794="","",_xlfn.XLOOKUP(LOWER(TRIM(Base_Bruta!F1794)),DePara_Cidade!$A$2:$A$29,DePara_Cidade!$B$2:$B$29,"REVISAR"))</f>
        <v>Belo Horizonte</v>
      </c>
      <c r="G1794" s="4" t="str">
        <f aca="false">IF($A1794="","",TRIM(Base_Bruta!G1794))</f>
        <v>Meia</v>
      </c>
      <c r="H1794" s="4" t="n">
        <f aca="false">IF($A1794="","",IF(ISNUMBER(Base_Bruta!H1794),Base_Bruta!H1794,IFERROR(_xlfn.NUMBERVALUE(TRIM(SUBSTITUTE(Base_Bruta!H1794,"R$","")),",","."),0)))</f>
        <v>1</v>
      </c>
      <c r="I1794" s="6" t="n">
        <f aca="false">IF($A1794="","",IF(ISNUMBER(Base_Bruta!I1794),Base_Bruta!I1794,IFERROR(_xlfn.NUMBERVALUE(TRIM(SUBSTITUTE(Base_Bruta!I1794,"R$","")),",","."),0)))</f>
        <v>357.5</v>
      </c>
      <c r="J1794" s="6" t="n">
        <f aca="false">IF($A1794="","",H1794*I1794)</f>
        <v>357.5</v>
      </c>
      <c r="K1794" s="4" t="str">
        <f aca="false">IF($A1794="","",TRIM(Base_Bruta!J1794))</f>
        <v>Site</v>
      </c>
      <c r="L1794" s="4" t="str">
        <f aca="false">IF($A1794="","",TRIM(Base_Bruta!K1794))</f>
        <v>C01215</v>
      </c>
      <c r="M1794" s="4" t="str">
        <f aca="false">IF($A1794="","",_xlfn.XLOOKUP(LOWER(TRIM(Base_Bruta!L1794)),DePara_Cidade!$A$2:$A$29,DePara_Cidade!$B$2:$B$29,"REVISAR"))</f>
        <v>Belo Horizonte</v>
      </c>
      <c r="N1794" s="4" t="str">
        <f aca="false">IF($A1794="","",UPPER(TRIM(Base_Bruta!M1794)))</f>
        <v>MG</v>
      </c>
      <c r="O1794" s="4" t="str">
        <f aca="false">IF($A1794="","",_xlfn.XLOOKUP(LOWER(TRIM(Base_Bruta!N1794)),DePara_Pais!$A$2:$A$9,DePara_Pais!$B$2:$B$9,"REVISAR"))</f>
        <v>Brasil</v>
      </c>
      <c r="P1794" s="4" t="str">
        <f aca="false">IF($A1794="","",IF(O1794&lt;&gt;"Brasil","Turista Internacional",IF(M1794=F1794,"Local","Turista Nacional")))</f>
        <v>Local</v>
      </c>
      <c r="Q1794" s="7" t="n">
        <f aca="false">IF($A1794="","",DATE(YEAR(B1794),MONTH(B1794),1))</f>
        <v>45870</v>
      </c>
      <c r="R1794" s="4" t="str">
        <f aca="false">IF($A1794="","",IF(COUNTIF($A$2:$A1794,$A1794)&gt;1,"Sim","Não"))</f>
        <v>Não</v>
      </c>
      <c r="S1794" s="4" t="str">
        <f aca="false">IF(A1794="","Descartar - Linha vazia",IF(R1794="Sim","Descartar - Duplicado",IF(OR(H1794&lt;=0,I1794&lt;=0),"Descartar - Qtd/Valor inválido","OK")))</f>
        <v>OK</v>
      </c>
      <c r="T1794" s="4" t="str">
        <f aca="false">Base_Bruta!P1794</f>
        <v>vendas_MG.csv</v>
      </c>
    </row>
    <row r="1795" customFormat="false" ht="15" hidden="false" customHeight="false" outlineLevel="0" collapsed="false">
      <c r="A1795" s="4" t="str">
        <f aca="false">IF(Base_Bruta!A1795="","",Base_Bruta!A1795)</f>
        <v>MG-000040</v>
      </c>
      <c r="B1795" s="5" t="n">
        <f aca="false">IF($A1795="","",IF(ISNUMBER(Base_Bruta!B1795),Base_Bruta!B1795,IF(MID(Base_Bruta!B1795,5,1)="-",DATE(VALUE(LEFT(Base_Bruta!B1795,4)),VALUE(MID(Base_Bruta!B1795,6,2)),VALUE(RIGHT(Base_Bruta!B1795,2))),DATE(VALUE(RIGHT(Base_Bruta!B1795,4)),VALUE(MID(Base_Bruta!B1795,4,2)),VALUE(LEFT(Base_Bruta!B1795,2))))))</f>
        <v>45888</v>
      </c>
      <c r="C1795" s="5" t="n">
        <f aca="false">IF($A1795="","",IF(ISNUMBER(Base_Bruta!C1795),Base_Bruta!C1795,IF(MID(Base_Bruta!C1795,5,1)="-",DATE(VALUE(LEFT(Base_Bruta!C1795,4)),VALUE(MID(Base_Bruta!C1795,6,2)),VALUE(RIGHT(Base_Bruta!C1795,2))),DATE(VALUE(RIGHT(Base_Bruta!C1795,4)),VALUE(MID(Base_Bruta!C1795,4,2)),VALUE(LEFT(Base_Bruta!C1795,2))))))</f>
        <v>45892</v>
      </c>
      <c r="D1795" s="4" t="str">
        <f aca="false">IF($A1795="","",TRIM(Base_Bruta!D1795))</f>
        <v>Festival Montanhas BH 2025</v>
      </c>
      <c r="E1795" s="4" t="str">
        <f aca="false">IF($A1795="","",_xlfn.XLOOKUP(LOWER(TRIM(Base_Bruta!E1795)),DePara_Categoria!$A$2:$A$9,DePara_Categoria!$B$2:$B$9,"REVISAR"))</f>
        <v>Festival</v>
      </c>
      <c r="F1795" s="4" t="str">
        <f aca="false">IF($A1795="","",_xlfn.XLOOKUP(LOWER(TRIM(Base_Bruta!F1795)),DePara_Cidade!$A$2:$A$29,DePara_Cidade!$B$2:$B$29,"REVISAR"))</f>
        <v>Belo Horizonte</v>
      </c>
      <c r="G1795" s="4" t="str">
        <f aca="false">IF($A1795="","",TRIM(Base_Bruta!G1795))</f>
        <v>Inteira</v>
      </c>
      <c r="H1795" s="4" t="n">
        <f aca="false">IF($A1795="","",IF(ISNUMBER(Base_Bruta!H1795),Base_Bruta!H1795,IFERROR(_xlfn.NUMBERVALUE(TRIM(SUBSTITUTE(Base_Bruta!H1795,"R$","")),",","."),0)))</f>
        <v>1</v>
      </c>
      <c r="I1795" s="6" t="n">
        <f aca="false">IF($A1795="","",IF(ISNUMBER(Base_Bruta!I1795),Base_Bruta!I1795,IFERROR(_xlfn.NUMBERVALUE(TRIM(SUBSTITUTE(Base_Bruta!I1795,"R$","")),",","."),0)))</f>
        <v>1015</v>
      </c>
      <c r="J1795" s="6" t="n">
        <f aca="false">IF($A1795="","",H1795*I1795)</f>
        <v>1015</v>
      </c>
      <c r="K1795" s="4" t="str">
        <f aca="false">IF($A1795="","",TRIM(Base_Bruta!J1795))</f>
        <v>Site</v>
      </c>
      <c r="L1795" s="4" t="str">
        <f aca="false">IF($A1795="","",TRIM(Base_Bruta!K1795))</f>
        <v>C01871</v>
      </c>
      <c r="M1795" s="4" t="str">
        <f aca="false">IF($A1795="","",_xlfn.XLOOKUP(LOWER(TRIM(Base_Bruta!L1795)),DePara_Cidade!$A$2:$A$29,DePara_Cidade!$B$2:$B$29,"REVISAR"))</f>
        <v>Santiago</v>
      </c>
      <c r="N1795" s="4" t="str">
        <f aca="false">IF($A1795="","",UPPER(TRIM(Base_Bruta!M1795)))</f>
        <v>EX</v>
      </c>
      <c r="O1795" s="4" t="str">
        <f aca="false">IF($A1795="","",_xlfn.XLOOKUP(LOWER(TRIM(Base_Bruta!N1795)),DePara_Pais!$A$2:$A$9,DePara_Pais!$B$2:$B$9,"REVISAR"))</f>
        <v>Chile</v>
      </c>
      <c r="P1795" s="4" t="str">
        <f aca="false">IF($A1795="","",IF(O1795&lt;&gt;"Brasil","Turista Internacional",IF(M1795=F1795,"Local","Turista Nacional")))</f>
        <v>Turista Internacional</v>
      </c>
      <c r="Q1795" s="7" t="n">
        <f aca="false">IF($A1795="","",DATE(YEAR(B1795),MONTH(B1795),1))</f>
        <v>45870</v>
      </c>
      <c r="R1795" s="4" t="str">
        <f aca="false">IF($A1795="","",IF(COUNTIF($A$2:$A1795,$A1795)&gt;1,"Sim","Não"))</f>
        <v>Não</v>
      </c>
      <c r="S1795" s="4" t="str">
        <f aca="false">IF(A1795="","Descartar - Linha vazia",IF(R1795="Sim","Descartar - Duplicado",IF(OR(H1795&lt;=0,I1795&lt;=0),"Descartar - Qtd/Valor inválido","OK")))</f>
        <v>OK</v>
      </c>
      <c r="T1795" s="4" t="str">
        <f aca="false">Base_Bruta!P1795</f>
        <v>vendas_MG.csv</v>
      </c>
    </row>
    <row r="1796" customFormat="false" ht="15" hidden="false" customHeight="false" outlineLevel="0" collapsed="false">
      <c r="A1796" s="4" t="str">
        <f aca="false">IF(Base_Bruta!A1796="","",Base_Bruta!A1796)</f>
        <v>MG-000097</v>
      </c>
      <c r="B1796" s="5" t="n">
        <f aca="false">IF($A1796="","",IF(ISNUMBER(Base_Bruta!B1796),Base_Bruta!B1796,IF(MID(Base_Bruta!B1796,5,1)="-",DATE(VALUE(LEFT(Base_Bruta!B1796,4)),VALUE(MID(Base_Bruta!B1796,6,2)),VALUE(RIGHT(Base_Bruta!B1796,2))),DATE(VALUE(RIGHT(Base_Bruta!B1796,4)),VALUE(MID(Base_Bruta!B1796,4,2)),VALUE(LEFT(Base_Bruta!B1796,2))))))</f>
        <v>45888</v>
      </c>
      <c r="C1796" s="5" t="n">
        <f aca="false">IF($A1796="","",IF(ISNUMBER(Base_Bruta!C1796),Base_Bruta!C1796,IF(MID(Base_Bruta!C1796,5,1)="-",DATE(VALUE(LEFT(Base_Bruta!C1796,4)),VALUE(MID(Base_Bruta!C1796,6,2)),VALUE(RIGHT(Base_Bruta!C1796,2))),DATE(VALUE(RIGHT(Base_Bruta!C1796,4)),VALUE(MID(Base_Bruta!C1796,4,2)),VALUE(LEFT(Base_Bruta!C1796,2))))))</f>
        <v>45892</v>
      </c>
      <c r="D1796" s="4" t="str">
        <f aca="false">IF($A1796="","",TRIM(Base_Bruta!D1796))</f>
        <v>Festival Montanhas BH 2025</v>
      </c>
      <c r="E1796" s="4" t="str">
        <f aca="false">IF($A1796="","",_xlfn.XLOOKUP(LOWER(TRIM(Base_Bruta!E1796)),DePara_Categoria!$A$2:$A$9,DePara_Categoria!$B$2:$B$9,"REVISAR"))</f>
        <v>Festival</v>
      </c>
      <c r="F1796" s="4" t="str">
        <f aca="false">IF($A1796="","",_xlfn.XLOOKUP(LOWER(TRIM(Base_Bruta!F1796)),DePara_Cidade!$A$2:$A$29,DePara_Cidade!$B$2:$B$29,"REVISAR"))</f>
        <v>Belo Horizonte</v>
      </c>
      <c r="G1796" s="4" t="str">
        <f aca="false">IF($A1796="","",TRIM(Base_Bruta!G1796))</f>
        <v>Inteira</v>
      </c>
      <c r="H1796" s="4" t="n">
        <f aca="false">IF($A1796="","",IF(ISNUMBER(Base_Bruta!H1796),Base_Bruta!H1796,IFERROR(_xlfn.NUMBERVALUE(TRIM(SUBSTITUTE(Base_Bruta!H1796,"R$","")),",","."),0)))</f>
        <v>2</v>
      </c>
      <c r="I1796" s="6" t="n">
        <f aca="false">IF($A1796="","",IF(ISNUMBER(Base_Bruta!I1796),Base_Bruta!I1796,IFERROR(_xlfn.NUMBERVALUE(TRIM(SUBSTITUTE(Base_Bruta!I1796,"R$","")),",","."),0)))</f>
        <v>830</v>
      </c>
      <c r="J1796" s="6" t="n">
        <f aca="false">IF($A1796="","",H1796*I1796)</f>
        <v>1660</v>
      </c>
      <c r="K1796" s="4" t="str">
        <f aca="false">IF($A1796="","",TRIM(Base_Bruta!J1796))</f>
        <v>App</v>
      </c>
      <c r="L1796" s="4" t="str">
        <f aca="false">IF($A1796="","",TRIM(Base_Bruta!K1796))</f>
        <v>C02017</v>
      </c>
      <c r="M1796" s="4" t="str">
        <f aca="false">IF($A1796="","",_xlfn.XLOOKUP(LOWER(TRIM(Base_Bruta!L1796)),DePara_Cidade!$A$2:$A$29,DePara_Cidade!$B$2:$B$29,"REVISAR"))</f>
        <v>Belo Horizonte</v>
      </c>
      <c r="N1796" s="4" t="str">
        <f aca="false">IF($A1796="","",UPPER(TRIM(Base_Bruta!M1796)))</f>
        <v>MG</v>
      </c>
      <c r="O1796" s="4" t="str">
        <f aca="false">IF($A1796="","",_xlfn.XLOOKUP(LOWER(TRIM(Base_Bruta!N1796)),DePara_Pais!$A$2:$A$9,DePara_Pais!$B$2:$B$9,"REVISAR"))</f>
        <v>Brasil</v>
      </c>
      <c r="P1796" s="4" t="str">
        <f aca="false">IF($A1796="","",IF(O1796&lt;&gt;"Brasil","Turista Internacional",IF(M1796=F1796,"Local","Turista Nacional")))</f>
        <v>Local</v>
      </c>
      <c r="Q1796" s="7" t="n">
        <f aca="false">IF($A1796="","",DATE(YEAR(B1796),MONTH(B1796),1))</f>
        <v>45870</v>
      </c>
      <c r="R1796" s="4" t="str">
        <f aca="false">IF($A1796="","",IF(COUNTIF($A$2:$A1796,$A1796)&gt;1,"Sim","Não"))</f>
        <v>Não</v>
      </c>
      <c r="S1796" s="4" t="str">
        <f aca="false">IF(A1796="","Descartar - Linha vazia",IF(R1796="Sim","Descartar - Duplicado",IF(OR(H1796&lt;=0,I1796&lt;=0),"Descartar - Qtd/Valor inválido","OK")))</f>
        <v>OK</v>
      </c>
      <c r="T1796" s="4" t="str">
        <f aca="false">Base_Bruta!P1796</f>
        <v>vendas_MG.csv</v>
      </c>
    </row>
    <row r="1797" customFormat="false" ht="15" hidden="false" customHeight="false" outlineLevel="0" collapsed="false">
      <c r="A1797" s="4" t="str">
        <f aca="false">IF(Base_Bruta!A1797="","",Base_Bruta!A1797)</f>
        <v>MG-000126</v>
      </c>
      <c r="B1797" s="5" t="n">
        <f aca="false">IF($A1797="","",IF(ISNUMBER(Base_Bruta!B1797),Base_Bruta!B1797,IF(MID(Base_Bruta!B1797,5,1)="-",DATE(VALUE(LEFT(Base_Bruta!B1797,4)),VALUE(MID(Base_Bruta!B1797,6,2)),VALUE(RIGHT(Base_Bruta!B1797,2))),DATE(VALUE(RIGHT(Base_Bruta!B1797,4)),VALUE(MID(Base_Bruta!B1797,4,2)),VALUE(LEFT(Base_Bruta!B1797,2))))))</f>
        <v>45888</v>
      </c>
      <c r="C1797" s="5" t="n">
        <f aca="false">IF($A1797="","",IF(ISNUMBER(Base_Bruta!C1797),Base_Bruta!C1797,IF(MID(Base_Bruta!C1797,5,1)="-",DATE(VALUE(LEFT(Base_Bruta!C1797,4)),VALUE(MID(Base_Bruta!C1797,6,2)),VALUE(RIGHT(Base_Bruta!C1797,2))),DATE(VALUE(RIGHT(Base_Bruta!C1797,4)),VALUE(MID(Base_Bruta!C1797,4,2)),VALUE(LEFT(Base_Bruta!C1797,2))))))</f>
        <v>45892</v>
      </c>
      <c r="D1797" s="4" t="str">
        <f aca="false">IF($A1797="","",TRIM(Base_Bruta!D1797))</f>
        <v>Festival Montanhas BH 2025</v>
      </c>
      <c r="E1797" s="4" t="str">
        <f aca="false">IF($A1797="","",_xlfn.XLOOKUP(LOWER(TRIM(Base_Bruta!E1797)),DePara_Categoria!$A$2:$A$9,DePara_Categoria!$B$2:$B$9,"REVISAR"))</f>
        <v>Festival</v>
      </c>
      <c r="F1797" s="4" t="str">
        <f aca="false">IF($A1797="","",_xlfn.XLOOKUP(LOWER(TRIM(Base_Bruta!F1797)),DePara_Cidade!$A$2:$A$29,DePara_Cidade!$B$2:$B$29,"REVISAR"))</f>
        <v>Belo Horizonte</v>
      </c>
      <c r="G1797" s="4" t="str">
        <f aca="false">IF($A1797="","",TRIM(Base_Bruta!G1797))</f>
        <v>VIP</v>
      </c>
      <c r="H1797" s="4" t="n">
        <f aca="false">IF($A1797="","",IF(ISNUMBER(Base_Bruta!H1797),Base_Bruta!H1797,IFERROR(_xlfn.NUMBERVALUE(TRIM(SUBSTITUTE(Base_Bruta!H1797,"R$","")),",","."),0)))</f>
        <v>2</v>
      </c>
      <c r="I1797" s="6" t="n">
        <f aca="false">IF($A1797="","",IF(ISNUMBER(Base_Bruta!I1797),Base_Bruta!I1797,IFERROR(_xlfn.NUMBERVALUE(TRIM(SUBSTITUTE(Base_Bruta!I1797,"R$","")),",","."),0)))</f>
        <v>1710</v>
      </c>
      <c r="J1797" s="6" t="n">
        <f aca="false">IF($A1797="","",H1797*I1797)</f>
        <v>3420</v>
      </c>
      <c r="K1797" s="4" t="str">
        <f aca="false">IF($A1797="","",TRIM(Base_Bruta!J1797))</f>
        <v>Bilheteria</v>
      </c>
      <c r="L1797" s="4" t="str">
        <f aca="false">IF($A1797="","",TRIM(Base_Bruta!K1797))</f>
        <v>C00445</v>
      </c>
      <c r="M1797" s="4" t="str">
        <f aca="false">IF($A1797="","",_xlfn.XLOOKUP(LOWER(TRIM(Base_Bruta!L1797)),DePara_Cidade!$A$2:$A$29,DePara_Cidade!$B$2:$B$29,"REVISAR"))</f>
        <v>Brasília</v>
      </c>
      <c r="N1797" s="4" t="str">
        <f aca="false">IF($A1797="","",UPPER(TRIM(Base_Bruta!M1797)))</f>
        <v>DF</v>
      </c>
      <c r="O1797" s="4" t="str">
        <f aca="false">IF($A1797="","",_xlfn.XLOOKUP(LOWER(TRIM(Base_Bruta!N1797)),DePara_Pais!$A$2:$A$9,DePara_Pais!$B$2:$B$9,"REVISAR"))</f>
        <v>Brasil</v>
      </c>
      <c r="P1797" s="4" t="str">
        <f aca="false">IF($A1797="","",IF(O1797&lt;&gt;"Brasil","Turista Internacional",IF(M1797=F1797,"Local","Turista Nacional")))</f>
        <v>Turista Nacional</v>
      </c>
      <c r="Q1797" s="7" t="n">
        <f aca="false">IF($A1797="","",DATE(YEAR(B1797),MONTH(B1797),1))</f>
        <v>45870</v>
      </c>
      <c r="R1797" s="4" t="str">
        <f aca="false">IF($A1797="","",IF(COUNTIF($A$2:$A1797,$A1797)&gt;1,"Sim","Não"))</f>
        <v>Não</v>
      </c>
      <c r="S1797" s="4" t="str">
        <f aca="false">IF(A1797="","Descartar - Linha vazia",IF(R1797="Sim","Descartar - Duplicado",IF(OR(H1797&lt;=0,I1797&lt;=0),"Descartar - Qtd/Valor inválido","OK")))</f>
        <v>OK</v>
      </c>
      <c r="T1797" s="4" t="str">
        <f aca="false">Base_Bruta!P1797</f>
        <v>vendas_MG.csv</v>
      </c>
    </row>
    <row r="1798" customFormat="false" ht="15" hidden="false" customHeight="false" outlineLevel="0" collapsed="false">
      <c r="A1798" s="4" t="str">
        <f aca="false">IF(Base_Bruta!A1798="","",Base_Bruta!A1798)</f>
        <v>MG-000129</v>
      </c>
      <c r="B1798" s="5" t="n">
        <f aca="false">IF($A1798="","",IF(ISNUMBER(Base_Bruta!B1798),Base_Bruta!B1798,IF(MID(Base_Bruta!B1798,5,1)="-",DATE(VALUE(LEFT(Base_Bruta!B1798,4)),VALUE(MID(Base_Bruta!B1798,6,2)),VALUE(RIGHT(Base_Bruta!B1798,2))),DATE(VALUE(RIGHT(Base_Bruta!B1798,4)),VALUE(MID(Base_Bruta!B1798,4,2)),VALUE(LEFT(Base_Bruta!B1798,2))))))</f>
        <v>45888</v>
      </c>
      <c r="C1798" s="5" t="n">
        <f aca="false">IF($A1798="","",IF(ISNUMBER(Base_Bruta!C1798),Base_Bruta!C1798,IF(MID(Base_Bruta!C1798,5,1)="-",DATE(VALUE(LEFT(Base_Bruta!C1798,4)),VALUE(MID(Base_Bruta!C1798,6,2)),VALUE(RIGHT(Base_Bruta!C1798,2))),DATE(VALUE(RIGHT(Base_Bruta!C1798,4)),VALUE(MID(Base_Bruta!C1798,4,2)),VALUE(LEFT(Base_Bruta!C1798,2))))))</f>
        <v>45892</v>
      </c>
      <c r="D1798" s="4" t="str">
        <f aca="false">IF($A1798="","",TRIM(Base_Bruta!D1798))</f>
        <v>Festival Montanhas BH 2025</v>
      </c>
      <c r="E1798" s="4" t="str">
        <f aca="false">IF($A1798="","",_xlfn.XLOOKUP(LOWER(TRIM(Base_Bruta!E1798)),DePara_Categoria!$A$2:$A$9,DePara_Categoria!$B$2:$B$9,"REVISAR"))</f>
        <v>Festival</v>
      </c>
      <c r="F1798" s="4" t="str">
        <f aca="false">IF($A1798="","",_xlfn.XLOOKUP(LOWER(TRIM(Base_Bruta!F1798)),DePara_Cidade!$A$2:$A$29,DePara_Cidade!$B$2:$B$29,"REVISAR"))</f>
        <v>Belo Horizonte</v>
      </c>
      <c r="G1798" s="4" t="str">
        <f aca="false">IF($A1798="","",TRIM(Base_Bruta!G1798))</f>
        <v>Inteira</v>
      </c>
      <c r="H1798" s="4" t="n">
        <f aca="false">IF($A1798="","",IF(ISNUMBER(Base_Bruta!H1798),Base_Bruta!H1798,IFERROR(_xlfn.NUMBERVALUE(TRIM(SUBSTITUTE(Base_Bruta!H1798,"R$","")),",","."),0)))</f>
        <v>3</v>
      </c>
      <c r="I1798" s="6" t="n">
        <f aca="false">IF($A1798="","",IF(ISNUMBER(Base_Bruta!I1798),Base_Bruta!I1798,IFERROR(_xlfn.NUMBERVALUE(TRIM(SUBSTITUTE(Base_Bruta!I1798,"R$","")),",","."),0)))</f>
        <v>860</v>
      </c>
      <c r="J1798" s="6" t="n">
        <f aca="false">IF($A1798="","",H1798*I1798)</f>
        <v>2580</v>
      </c>
      <c r="K1798" s="4" t="str">
        <f aca="false">IF($A1798="","",TRIM(Base_Bruta!J1798))</f>
        <v>App</v>
      </c>
      <c r="L1798" s="4" t="str">
        <f aca="false">IF($A1798="","",TRIM(Base_Bruta!K1798))</f>
        <v>C02251</v>
      </c>
      <c r="M1798" s="4" t="str">
        <f aca="false">IF($A1798="","",_xlfn.XLOOKUP(LOWER(TRIM(Base_Bruta!L1798)),DePara_Cidade!$A$2:$A$29,DePara_Cidade!$B$2:$B$29,"REVISAR"))</f>
        <v>Belo Horizonte</v>
      </c>
      <c r="N1798" s="4" t="str">
        <f aca="false">IF($A1798="","",UPPER(TRIM(Base_Bruta!M1798)))</f>
        <v>MG</v>
      </c>
      <c r="O1798" s="4" t="str">
        <f aca="false">IF($A1798="","",_xlfn.XLOOKUP(LOWER(TRIM(Base_Bruta!N1798)),DePara_Pais!$A$2:$A$9,DePara_Pais!$B$2:$B$9,"REVISAR"))</f>
        <v>Brasil</v>
      </c>
      <c r="P1798" s="4" t="str">
        <f aca="false">IF($A1798="","",IF(O1798&lt;&gt;"Brasil","Turista Internacional",IF(M1798=F1798,"Local","Turista Nacional")))</f>
        <v>Local</v>
      </c>
      <c r="Q1798" s="7" t="n">
        <f aca="false">IF($A1798="","",DATE(YEAR(B1798),MONTH(B1798),1))</f>
        <v>45870</v>
      </c>
      <c r="R1798" s="4" t="str">
        <f aca="false">IF($A1798="","",IF(COUNTIF($A$2:$A1798,$A1798)&gt;1,"Sim","Não"))</f>
        <v>Não</v>
      </c>
      <c r="S1798" s="4" t="str">
        <f aca="false">IF(A1798="","Descartar - Linha vazia",IF(R1798="Sim","Descartar - Duplicado",IF(OR(H1798&lt;=0,I1798&lt;=0),"Descartar - Qtd/Valor inválido","OK")))</f>
        <v>OK</v>
      </c>
      <c r="T1798" s="4" t="str">
        <f aca="false">Base_Bruta!P1798</f>
        <v>vendas_MG.csv</v>
      </c>
    </row>
    <row r="1799" customFormat="false" ht="15" hidden="false" customHeight="false" outlineLevel="0" collapsed="false">
      <c r="A1799" s="4" t="str">
        <f aca="false">IF(Base_Bruta!A1799="","",Base_Bruta!A1799)</f>
        <v>MG-000137</v>
      </c>
      <c r="B1799" s="5" t="n">
        <f aca="false">IF($A1799="","",IF(ISNUMBER(Base_Bruta!B1799),Base_Bruta!B1799,IF(MID(Base_Bruta!B1799,5,1)="-",DATE(VALUE(LEFT(Base_Bruta!B1799,4)),VALUE(MID(Base_Bruta!B1799,6,2)),VALUE(RIGHT(Base_Bruta!B1799,2))),DATE(VALUE(RIGHT(Base_Bruta!B1799,4)),VALUE(MID(Base_Bruta!B1799,4,2)),VALUE(LEFT(Base_Bruta!B1799,2))))))</f>
        <v>45888</v>
      </c>
      <c r="C1799" s="5" t="n">
        <f aca="false">IF($A1799="","",IF(ISNUMBER(Base_Bruta!C1799),Base_Bruta!C1799,IF(MID(Base_Bruta!C1799,5,1)="-",DATE(VALUE(LEFT(Base_Bruta!C1799,4)),VALUE(MID(Base_Bruta!C1799,6,2)),VALUE(RIGHT(Base_Bruta!C1799,2))),DATE(VALUE(RIGHT(Base_Bruta!C1799,4)),VALUE(MID(Base_Bruta!C1799,4,2)),VALUE(LEFT(Base_Bruta!C1799,2))))))</f>
        <v>45892</v>
      </c>
      <c r="D1799" s="4" t="str">
        <f aca="false">IF($A1799="","",TRIM(Base_Bruta!D1799))</f>
        <v>Festival Montanhas BH 2025</v>
      </c>
      <c r="E1799" s="4" t="str">
        <f aca="false">IF($A1799="","",_xlfn.XLOOKUP(LOWER(TRIM(Base_Bruta!E1799)),DePara_Categoria!$A$2:$A$9,DePara_Categoria!$B$2:$B$9,"REVISAR"))</f>
        <v>Festival</v>
      </c>
      <c r="F1799" s="4" t="str">
        <f aca="false">IF($A1799="","",_xlfn.XLOOKUP(LOWER(TRIM(Base_Bruta!F1799)),DePara_Cidade!$A$2:$A$29,DePara_Cidade!$B$2:$B$29,"REVISAR"))</f>
        <v>Belo Horizonte</v>
      </c>
      <c r="G1799" s="4" t="str">
        <f aca="false">IF($A1799="","",TRIM(Base_Bruta!G1799))</f>
        <v>Inteira</v>
      </c>
      <c r="H1799" s="4" t="n">
        <f aca="false">IF($A1799="","",IF(ISNUMBER(Base_Bruta!H1799),Base_Bruta!H1799,IFERROR(_xlfn.NUMBERVALUE(TRIM(SUBSTITUTE(Base_Bruta!H1799,"R$","")),",","."),0)))</f>
        <v>3</v>
      </c>
      <c r="I1799" s="6" t="n">
        <f aca="false">IF($A1799="","",IF(ISNUMBER(Base_Bruta!I1799),Base_Bruta!I1799,IFERROR(_xlfn.NUMBERVALUE(TRIM(SUBSTITUTE(Base_Bruta!I1799,"R$","")),",","."),0)))</f>
        <v>830</v>
      </c>
      <c r="J1799" s="6" t="n">
        <f aca="false">IF($A1799="","",H1799*I1799)</f>
        <v>2490</v>
      </c>
      <c r="K1799" s="4" t="str">
        <f aca="false">IF($A1799="","",TRIM(Base_Bruta!J1799))</f>
        <v>Site</v>
      </c>
      <c r="L1799" s="4" t="str">
        <f aca="false">IF($A1799="","",TRIM(Base_Bruta!K1799))</f>
        <v>C00817</v>
      </c>
      <c r="M1799" s="4" t="str">
        <f aca="false">IF($A1799="","",_xlfn.XLOOKUP(LOWER(TRIM(Base_Bruta!L1799)),DePara_Cidade!$A$2:$A$29,DePara_Cidade!$B$2:$B$29,"REVISAR"))</f>
        <v>Brasília</v>
      </c>
      <c r="N1799" s="4" t="str">
        <f aca="false">IF($A1799="","",UPPER(TRIM(Base_Bruta!M1799)))</f>
        <v>DF</v>
      </c>
      <c r="O1799" s="4" t="str">
        <f aca="false">IF($A1799="","",_xlfn.XLOOKUP(LOWER(TRIM(Base_Bruta!N1799)),DePara_Pais!$A$2:$A$9,DePara_Pais!$B$2:$B$9,"REVISAR"))</f>
        <v>Brasil</v>
      </c>
      <c r="P1799" s="4" t="str">
        <f aca="false">IF($A1799="","",IF(O1799&lt;&gt;"Brasil","Turista Internacional",IF(M1799=F1799,"Local","Turista Nacional")))</f>
        <v>Turista Nacional</v>
      </c>
      <c r="Q1799" s="7" t="n">
        <f aca="false">IF($A1799="","",DATE(YEAR(B1799),MONTH(B1799),1))</f>
        <v>45870</v>
      </c>
      <c r="R1799" s="4" t="str">
        <f aca="false">IF($A1799="","",IF(COUNTIF($A$2:$A1799,$A1799)&gt;1,"Sim","Não"))</f>
        <v>Não</v>
      </c>
      <c r="S1799" s="4" t="str">
        <f aca="false">IF(A1799="","Descartar - Linha vazia",IF(R1799="Sim","Descartar - Duplicado",IF(OR(H1799&lt;=0,I1799&lt;=0),"Descartar - Qtd/Valor inválido","OK")))</f>
        <v>OK</v>
      </c>
      <c r="T1799" s="4" t="str">
        <f aca="false">Base_Bruta!P1799</f>
        <v>vendas_MG.csv</v>
      </c>
    </row>
    <row r="1800" customFormat="false" ht="15" hidden="false" customHeight="false" outlineLevel="0" collapsed="false">
      <c r="A1800" s="4" t="str">
        <f aca="false">IF(Base_Bruta!A1800="","",Base_Bruta!A1800)</f>
        <v>MG-000153</v>
      </c>
      <c r="B1800" s="5" t="n">
        <f aca="false">IF($A1800="","",IF(ISNUMBER(Base_Bruta!B1800),Base_Bruta!B1800,IF(MID(Base_Bruta!B1800,5,1)="-",DATE(VALUE(LEFT(Base_Bruta!B1800,4)),VALUE(MID(Base_Bruta!B1800,6,2)),VALUE(RIGHT(Base_Bruta!B1800,2))),DATE(VALUE(RIGHT(Base_Bruta!B1800,4)),VALUE(MID(Base_Bruta!B1800,4,2)),VALUE(LEFT(Base_Bruta!B1800,2))))))</f>
        <v>45888</v>
      </c>
      <c r="C1800" s="5" t="n">
        <f aca="false">IF($A1800="","",IF(ISNUMBER(Base_Bruta!C1800),Base_Bruta!C1800,IF(MID(Base_Bruta!C1800,5,1)="-",DATE(VALUE(LEFT(Base_Bruta!C1800,4)),VALUE(MID(Base_Bruta!C1800,6,2)),VALUE(RIGHT(Base_Bruta!C1800,2))),DATE(VALUE(RIGHT(Base_Bruta!C1800,4)),VALUE(MID(Base_Bruta!C1800,4,2)),VALUE(LEFT(Base_Bruta!C1800,2))))))</f>
        <v>45892</v>
      </c>
      <c r="D1800" s="4" t="str">
        <f aca="false">IF($A1800="","",TRIM(Base_Bruta!D1800))</f>
        <v>Festival Montanhas BH 2025</v>
      </c>
      <c r="E1800" s="4" t="str">
        <f aca="false">IF($A1800="","",_xlfn.XLOOKUP(LOWER(TRIM(Base_Bruta!E1800)),DePara_Categoria!$A$2:$A$9,DePara_Categoria!$B$2:$B$9,"REVISAR"))</f>
        <v>Festival</v>
      </c>
      <c r="F1800" s="4" t="str">
        <f aca="false">IF($A1800="","",_xlfn.XLOOKUP(LOWER(TRIM(Base_Bruta!F1800)),DePara_Cidade!$A$2:$A$29,DePara_Cidade!$B$2:$B$29,"REVISAR"))</f>
        <v>Belo Horizonte</v>
      </c>
      <c r="G1800" s="4" t="str">
        <f aca="false">IF($A1800="","",TRIM(Base_Bruta!G1800))</f>
        <v>Inteira</v>
      </c>
      <c r="H1800" s="4" t="n">
        <f aca="false">IF($A1800="","",IF(ISNUMBER(Base_Bruta!H1800),Base_Bruta!H1800,IFERROR(_xlfn.NUMBERVALUE(TRIM(SUBSTITUTE(Base_Bruta!H1800,"R$","")),",","."),0)))</f>
        <v>2</v>
      </c>
      <c r="I1800" s="6" t="n">
        <f aca="false">IF($A1800="","",IF(ISNUMBER(Base_Bruta!I1800),Base_Bruta!I1800,IFERROR(_xlfn.NUMBERVALUE(TRIM(SUBSTITUTE(Base_Bruta!I1800,"R$","")),",","."),0)))</f>
        <v>860</v>
      </c>
      <c r="J1800" s="6" t="n">
        <f aca="false">IF($A1800="","",H1800*I1800)</f>
        <v>1720</v>
      </c>
      <c r="K1800" s="4" t="str">
        <f aca="false">IF($A1800="","",TRIM(Base_Bruta!J1800))</f>
        <v>App</v>
      </c>
      <c r="L1800" s="4" t="str">
        <f aca="false">IF($A1800="","",TRIM(Base_Bruta!K1800))</f>
        <v>C01358</v>
      </c>
      <c r="M1800" s="4" t="str">
        <f aca="false">IF($A1800="","",_xlfn.XLOOKUP(LOWER(TRIM(Base_Bruta!L1800)),DePara_Cidade!$A$2:$A$29,DePara_Cidade!$B$2:$B$29,"REVISAR"))</f>
        <v>Belo Horizonte</v>
      </c>
      <c r="N1800" s="4" t="str">
        <f aca="false">IF($A1800="","",UPPER(TRIM(Base_Bruta!M1800)))</f>
        <v>MG</v>
      </c>
      <c r="O1800" s="4" t="str">
        <f aca="false">IF($A1800="","",_xlfn.XLOOKUP(LOWER(TRIM(Base_Bruta!N1800)),DePara_Pais!$A$2:$A$9,DePara_Pais!$B$2:$B$9,"REVISAR"))</f>
        <v>Brasil</v>
      </c>
      <c r="P1800" s="4" t="str">
        <f aca="false">IF($A1800="","",IF(O1800&lt;&gt;"Brasil","Turista Internacional",IF(M1800=F1800,"Local","Turista Nacional")))</f>
        <v>Local</v>
      </c>
      <c r="Q1800" s="7" t="n">
        <f aca="false">IF($A1800="","",DATE(YEAR(B1800),MONTH(B1800),1))</f>
        <v>45870</v>
      </c>
      <c r="R1800" s="4" t="str">
        <f aca="false">IF($A1800="","",IF(COUNTIF($A$2:$A1800,$A1800)&gt;1,"Sim","Não"))</f>
        <v>Não</v>
      </c>
      <c r="S1800" s="4" t="str">
        <f aca="false">IF(A1800="","Descartar - Linha vazia",IF(R1800="Sim","Descartar - Duplicado",IF(OR(H1800&lt;=0,I1800&lt;=0),"Descartar - Qtd/Valor inválido","OK")))</f>
        <v>OK</v>
      </c>
      <c r="T1800" s="4" t="str">
        <f aca="false">Base_Bruta!P1800</f>
        <v>vendas_MG.csv</v>
      </c>
    </row>
    <row r="1801" customFormat="false" ht="15" hidden="false" customHeight="false" outlineLevel="0" collapsed="false">
      <c r="A1801" s="4" t="str">
        <f aca="false">IF(Base_Bruta!A1801="","",Base_Bruta!A1801)</f>
        <v>MG-000159</v>
      </c>
      <c r="B1801" s="5" t="n">
        <f aca="false">IF($A1801="","",IF(ISNUMBER(Base_Bruta!B1801),Base_Bruta!B1801,IF(MID(Base_Bruta!B1801,5,1)="-",DATE(VALUE(LEFT(Base_Bruta!B1801,4)),VALUE(MID(Base_Bruta!B1801,6,2)),VALUE(RIGHT(Base_Bruta!B1801,2))),DATE(VALUE(RIGHT(Base_Bruta!B1801,4)),VALUE(MID(Base_Bruta!B1801,4,2)),VALUE(LEFT(Base_Bruta!B1801,2))))))</f>
        <v>45888</v>
      </c>
      <c r="C1801" s="5" t="n">
        <f aca="false">IF($A1801="","",IF(ISNUMBER(Base_Bruta!C1801),Base_Bruta!C1801,IF(MID(Base_Bruta!C1801,5,1)="-",DATE(VALUE(LEFT(Base_Bruta!C1801,4)),VALUE(MID(Base_Bruta!C1801,6,2)),VALUE(RIGHT(Base_Bruta!C1801,2))),DATE(VALUE(RIGHT(Base_Bruta!C1801,4)),VALUE(MID(Base_Bruta!C1801,4,2)),VALUE(LEFT(Base_Bruta!C1801,2))))))</f>
        <v>45892</v>
      </c>
      <c r="D1801" s="4" t="str">
        <f aca="false">IF($A1801="","",TRIM(Base_Bruta!D1801))</f>
        <v>Festival Montanhas BH 2025</v>
      </c>
      <c r="E1801" s="4" t="str">
        <f aca="false">IF($A1801="","",_xlfn.XLOOKUP(LOWER(TRIM(Base_Bruta!E1801)),DePara_Categoria!$A$2:$A$9,DePara_Categoria!$B$2:$B$9,"REVISAR"))</f>
        <v>Festival</v>
      </c>
      <c r="F1801" s="4" t="str">
        <f aca="false">IF($A1801="","",_xlfn.XLOOKUP(LOWER(TRIM(Base_Bruta!F1801)),DePara_Cidade!$A$2:$A$29,DePara_Cidade!$B$2:$B$29,"REVISAR"))</f>
        <v>Belo Horizonte</v>
      </c>
      <c r="G1801" s="4" t="str">
        <f aca="false">IF($A1801="","",TRIM(Base_Bruta!G1801))</f>
        <v>Inteira</v>
      </c>
      <c r="H1801" s="4" t="n">
        <f aca="false">IF($A1801="","",IF(ISNUMBER(Base_Bruta!H1801),Base_Bruta!H1801,IFERROR(_xlfn.NUMBERVALUE(TRIM(SUBSTITUTE(Base_Bruta!H1801,"R$","")),",","."),0)))</f>
        <v>1</v>
      </c>
      <c r="I1801" s="6" t="n">
        <f aca="false">IF($A1801="","",IF(ISNUMBER(Base_Bruta!I1801),Base_Bruta!I1801,IFERROR(_xlfn.NUMBERVALUE(TRIM(SUBSTITUTE(Base_Bruta!I1801,"R$","")),",","."),0)))</f>
        <v>770</v>
      </c>
      <c r="J1801" s="6" t="n">
        <f aca="false">IF($A1801="","",H1801*I1801)</f>
        <v>770</v>
      </c>
      <c r="K1801" s="4" t="str">
        <f aca="false">IF($A1801="","",TRIM(Base_Bruta!J1801))</f>
        <v>App</v>
      </c>
      <c r="L1801" s="4" t="str">
        <f aca="false">IF($A1801="","",TRIM(Base_Bruta!K1801))</f>
        <v>C00279</v>
      </c>
      <c r="M1801" s="4" t="str">
        <f aca="false">IF($A1801="","",_xlfn.XLOOKUP(LOWER(TRIM(Base_Bruta!L1801)),DePara_Cidade!$A$2:$A$29,DePara_Cidade!$B$2:$B$29,"REVISAR"))</f>
        <v>Lisboa</v>
      </c>
      <c r="N1801" s="4" t="str">
        <f aca="false">IF($A1801="","",UPPER(TRIM(Base_Bruta!M1801)))</f>
        <v>EX</v>
      </c>
      <c r="O1801" s="4" t="str">
        <f aca="false">IF($A1801="","",_xlfn.XLOOKUP(LOWER(TRIM(Base_Bruta!N1801)),DePara_Pais!$A$2:$A$9,DePara_Pais!$B$2:$B$9,"REVISAR"))</f>
        <v>Portugal</v>
      </c>
      <c r="P1801" s="4" t="str">
        <f aca="false">IF($A1801="","",IF(O1801&lt;&gt;"Brasil","Turista Internacional",IF(M1801=F1801,"Local","Turista Nacional")))</f>
        <v>Turista Internacional</v>
      </c>
      <c r="Q1801" s="7" t="n">
        <f aca="false">IF($A1801="","",DATE(YEAR(B1801),MONTH(B1801),1))</f>
        <v>45870</v>
      </c>
      <c r="R1801" s="4" t="str">
        <f aca="false">IF($A1801="","",IF(COUNTIF($A$2:$A1801,$A1801)&gt;1,"Sim","Não"))</f>
        <v>Não</v>
      </c>
      <c r="S1801" s="4" t="str">
        <f aca="false">IF(A1801="","Descartar - Linha vazia",IF(R1801="Sim","Descartar - Duplicado",IF(OR(H1801&lt;=0,I1801&lt;=0),"Descartar - Qtd/Valor inválido","OK")))</f>
        <v>OK</v>
      </c>
      <c r="T1801" s="4" t="str">
        <f aca="false">Base_Bruta!P1801</f>
        <v>vendas_MG.csv</v>
      </c>
    </row>
    <row r="1802" customFormat="false" ht="15" hidden="false" customHeight="false" outlineLevel="0" collapsed="false">
      <c r="A1802" s="4" t="str">
        <f aca="false">IF(Base_Bruta!A1802="","",Base_Bruta!A1802)</f>
        <v>MG-000185</v>
      </c>
      <c r="B1802" s="5" t="n">
        <f aca="false">IF($A1802="","",IF(ISNUMBER(Base_Bruta!B1802),Base_Bruta!B1802,IF(MID(Base_Bruta!B1802,5,1)="-",DATE(VALUE(LEFT(Base_Bruta!B1802,4)),VALUE(MID(Base_Bruta!B1802,6,2)),VALUE(RIGHT(Base_Bruta!B1802,2))),DATE(VALUE(RIGHT(Base_Bruta!B1802,4)),VALUE(MID(Base_Bruta!B1802,4,2)),VALUE(LEFT(Base_Bruta!B1802,2))))))</f>
        <v>45888</v>
      </c>
      <c r="C1802" s="5" t="n">
        <f aca="false">IF($A1802="","",IF(ISNUMBER(Base_Bruta!C1802),Base_Bruta!C1802,IF(MID(Base_Bruta!C1802,5,1)="-",DATE(VALUE(LEFT(Base_Bruta!C1802,4)),VALUE(MID(Base_Bruta!C1802,6,2)),VALUE(RIGHT(Base_Bruta!C1802,2))),DATE(VALUE(RIGHT(Base_Bruta!C1802,4)),VALUE(MID(Base_Bruta!C1802,4,2)),VALUE(LEFT(Base_Bruta!C1802,2))))))</f>
        <v>45892</v>
      </c>
      <c r="D1802" s="4" t="str">
        <f aca="false">IF($A1802="","",TRIM(Base_Bruta!D1802))</f>
        <v>Festival Montanhas BH 2025</v>
      </c>
      <c r="E1802" s="4" t="str">
        <f aca="false">IF($A1802="","",_xlfn.XLOOKUP(LOWER(TRIM(Base_Bruta!E1802)),DePara_Categoria!$A$2:$A$9,DePara_Categoria!$B$2:$B$9,"REVISAR"))</f>
        <v>Festival</v>
      </c>
      <c r="F1802" s="4" t="str">
        <f aca="false">IF($A1802="","",_xlfn.XLOOKUP(LOWER(TRIM(Base_Bruta!F1802)),DePara_Cidade!$A$2:$A$29,DePara_Cidade!$B$2:$B$29,"REVISAR"))</f>
        <v>Belo Horizonte</v>
      </c>
      <c r="G1802" s="4" t="str">
        <f aca="false">IF($A1802="","",TRIM(Base_Bruta!G1802))</f>
        <v>Inteira</v>
      </c>
      <c r="H1802" s="4" t="n">
        <f aca="false">IF($A1802="","",IF(ISNUMBER(Base_Bruta!H1802),Base_Bruta!H1802,IFERROR(_xlfn.NUMBERVALUE(TRIM(SUBSTITUTE(Base_Bruta!H1802,"R$","")),",","."),0)))</f>
        <v>3</v>
      </c>
      <c r="I1802" s="6" t="n">
        <f aca="false">IF($A1802="","",IF(ISNUMBER(Base_Bruta!I1802),Base_Bruta!I1802,IFERROR(_xlfn.NUMBERVALUE(TRIM(SUBSTITUTE(Base_Bruta!I1802,"R$","")),",","."),0)))</f>
        <v>810</v>
      </c>
      <c r="J1802" s="6" t="n">
        <f aca="false">IF($A1802="","",H1802*I1802)</f>
        <v>2430</v>
      </c>
      <c r="K1802" s="4" t="str">
        <f aca="false">IF($A1802="","",TRIM(Base_Bruta!J1802))</f>
        <v>Site</v>
      </c>
      <c r="L1802" s="4" t="str">
        <f aca="false">IF($A1802="","",TRIM(Base_Bruta!K1802))</f>
        <v>C01934</v>
      </c>
      <c r="M1802" s="4" t="str">
        <f aca="false">IF($A1802="","",_xlfn.XLOOKUP(LOWER(TRIM(Base_Bruta!L1802)),DePara_Cidade!$A$2:$A$29,DePara_Cidade!$B$2:$B$29,"REVISAR"))</f>
        <v>Miami</v>
      </c>
      <c r="N1802" s="4" t="str">
        <f aca="false">IF($A1802="","",UPPER(TRIM(Base_Bruta!M1802)))</f>
        <v>EX</v>
      </c>
      <c r="O1802" s="4" t="str">
        <f aca="false">IF($A1802="","",_xlfn.XLOOKUP(LOWER(TRIM(Base_Bruta!N1802)),DePara_Pais!$A$2:$A$9,DePara_Pais!$B$2:$B$9,"REVISAR"))</f>
        <v>EUA</v>
      </c>
      <c r="P1802" s="4" t="str">
        <f aca="false">IF($A1802="","",IF(O1802&lt;&gt;"Brasil","Turista Internacional",IF(M1802=F1802,"Local","Turista Nacional")))</f>
        <v>Turista Internacional</v>
      </c>
      <c r="Q1802" s="7" t="n">
        <f aca="false">IF($A1802="","",DATE(YEAR(B1802),MONTH(B1802),1))</f>
        <v>45870</v>
      </c>
      <c r="R1802" s="4" t="str">
        <f aca="false">IF($A1802="","",IF(COUNTIF($A$2:$A1802,$A1802)&gt;1,"Sim","Não"))</f>
        <v>Não</v>
      </c>
      <c r="S1802" s="4" t="str">
        <f aca="false">IF(A1802="","Descartar - Linha vazia",IF(R1802="Sim","Descartar - Duplicado",IF(OR(H1802&lt;=0,I1802&lt;=0),"Descartar - Qtd/Valor inválido","OK")))</f>
        <v>OK</v>
      </c>
      <c r="T1802" s="4" t="str">
        <f aca="false">Base_Bruta!P1802</f>
        <v>vendas_MG.csv</v>
      </c>
    </row>
    <row r="1803" customFormat="false" ht="15" hidden="false" customHeight="false" outlineLevel="0" collapsed="false">
      <c r="A1803" s="4" t="str">
        <f aca="false">IF(Base_Bruta!A1803="","",Base_Bruta!A1803)</f>
        <v>MG-000204</v>
      </c>
      <c r="B1803" s="5" t="n">
        <f aca="false">IF($A1803="","",IF(ISNUMBER(Base_Bruta!B1803),Base_Bruta!B1803,IF(MID(Base_Bruta!B1803,5,1)="-",DATE(VALUE(LEFT(Base_Bruta!B1803,4)),VALUE(MID(Base_Bruta!B1803,6,2)),VALUE(RIGHT(Base_Bruta!B1803,2))),DATE(VALUE(RIGHT(Base_Bruta!B1803,4)),VALUE(MID(Base_Bruta!B1803,4,2)),VALUE(LEFT(Base_Bruta!B1803,2))))))</f>
        <v>45888</v>
      </c>
      <c r="C1803" s="5" t="n">
        <f aca="false">IF($A1803="","",IF(ISNUMBER(Base_Bruta!C1803),Base_Bruta!C1803,IF(MID(Base_Bruta!C1803,5,1)="-",DATE(VALUE(LEFT(Base_Bruta!C1803,4)),VALUE(MID(Base_Bruta!C1803,6,2)),VALUE(RIGHT(Base_Bruta!C1803,2))),DATE(VALUE(RIGHT(Base_Bruta!C1803,4)),VALUE(MID(Base_Bruta!C1803,4,2)),VALUE(LEFT(Base_Bruta!C1803,2))))))</f>
        <v>45892</v>
      </c>
      <c r="D1803" s="4" t="str">
        <f aca="false">IF($A1803="","",TRIM(Base_Bruta!D1803))</f>
        <v>Festival Montanhas BH 2025</v>
      </c>
      <c r="E1803" s="4" t="str">
        <f aca="false">IF($A1803="","",_xlfn.XLOOKUP(LOWER(TRIM(Base_Bruta!E1803)),DePara_Categoria!$A$2:$A$9,DePara_Categoria!$B$2:$B$9,"REVISAR"))</f>
        <v>Festival</v>
      </c>
      <c r="F1803" s="4" t="str">
        <f aca="false">IF($A1803="","",_xlfn.XLOOKUP(LOWER(TRIM(Base_Bruta!F1803)),DePara_Cidade!$A$2:$A$29,DePara_Cidade!$B$2:$B$29,"REVISAR"))</f>
        <v>Belo Horizonte</v>
      </c>
      <c r="G1803" s="4" t="str">
        <f aca="false">IF($A1803="","",TRIM(Base_Bruta!G1803))</f>
        <v>Inteira</v>
      </c>
      <c r="H1803" s="4" t="n">
        <f aca="false">IF($A1803="","",IF(ISNUMBER(Base_Bruta!H1803),Base_Bruta!H1803,IFERROR(_xlfn.NUMBERVALUE(TRIM(SUBSTITUTE(Base_Bruta!H1803,"R$","")),",","."),0)))</f>
        <v>1</v>
      </c>
      <c r="I1803" s="6" t="n">
        <f aca="false">IF($A1803="","",IF(ISNUMBER(Base_Bruta!I1803),Base_Bruta!I1803,IFERROR(_xlfn.NUMBERVALUE(TRIM(SUBSTITUTE(Base_Bruta!I1803,"R$","")),",","."),0)))</f>
        <v>910</v>
      </c>
      <c r="J1803" s="6" t="n">
        <f aca="false">IF($A1803="","",H1803*I1803)</f>
        <v>910</v>
      </c>
      <c r="K1803" s="4" t="str">
        <f aca="false">IF($A1803="","",TRIM(Base_Bruta!J1803))</f>
        <v>Site</v>
      </c>
      <c r="L1803" s="4" t="str">
        <f aca="false">IF($A1803="","",TRIM(Base_Bruta!K1803))</f>
        <v>C00623</v>
      </c>
      <c r="M1803" s="4" t="str">
        <f aca="false">IF($A1803="","",_xlfn.XLOOKUP(LOWER(TRIM(Base_Bruta!L1803)),DePara_Cidade!$A$2:$A$29,DePara_Cidade!$B$2:$B$29,"REVISAR"))</f>
        <v>Belo Horizonte</v>
      </c>
      <c r="N1803" s="4" t="str">
        <f aca="false">IF($A1803="","",UPPER(TRIM(Base_Bruta!M1803)))</f>
        <v>MG</v>
      </c>
      <c r="O1803" s="4" t="str">
        <f aca="false">IF($A1803="","",_xlfn.XLOOKUP(LOWER(TRIM(Base_Bruta!N1803)),DePara_Pais!$A$2:$A$9,DePara_Pais!$B$2:$B$9,"REVISAR"))</f>
        <v>Brasil</v>
      </c>
      <c r="P1803" s="4" t="str">
        <f aca="false">IF($A1803="","",IF(O1803&lt;&gt;"Brasil","Turista Internacional",IF(M1803=F1803,"Local","Turista Nacional")))</f>
        <v>Local</v>
      </c>
      <c r="Q1803" s="7" t="n">
        <f aca="false">IF($A1803="","",DATE(YEAR(B1803),MONTH(B1803),1))</f>
        <v>45870</v>
      </c>
      <c r="R1803" s="4" t="str">
        <f aca="false">IF($A1803="","",IF(COUNTIF($A$2:$A1803,$A1803)&gt;1,"Sim","Não"))</f>
        <v>Não</v>
      </c>
      <c r="S1803" s="4" t="str">
        <f aca="false">IF(A1803="","Descartar - Linha vazia",IF(R1803="Sim","Descartar - Duplicado",IF(OR(H1803&lt;=0,I1803&lt;=0),"Descartar - Qtd/Valor inválido","OK")))</f>
        <v>OK</v>
      </c>
      <c r="T1803" s="4" t="str">
        <f aca="false">Base_Bruta!P1803</f>
        <v>vendas_MG.csv</v>
      </c>
    </row>
    <row r="1804" customFormat="false" ht="15" hidden="false" customHeight="false" outlineLevel="0" collapsed="false">
      <c r="A1804" s="4" t="str">
        <f aca="false">IF(Base_Bruta!A1804="","",Base_Bruta!A1804)</f>
        <v>MG-000031</v>
      </c>
      <c r="B1804" s="5" t="n">
        <f aca="false">IF($A1804="","",IF(ISNUMBER(Base_Bruta!B1804),Base_Bruta!B1804,IF(MID(Base_Bruta!B1804,5,1)="-",DATE(VALUE(LEFT(Base_Bruta!B1804,4)),VALUE(MID(Base_Bruta!B1804,6,2)),VALUE(RIGHT(Base_Bruta!B1804,2))),DATE(VALUE(RIGHT(Base_Bruta!B1804,4)),VALUE(MID(Base_Bruta!B1804,4,2)),VALUE(LEFT(Base_Bruta!B1804,2))))))</f>
        <v>45889</v>
      </c>
      <c r="C1804" s="5" t="n">
        <f aca="false">IF($A1804="","",IF(ISNUMBER(Base_Bruta!C1804),Base_Bruta!C1804,IF(MID(Base_Bruta!C1804,5,1)="-",DATE(VALUE(LEFT(Base_Bruta!C1804,4)),VALUE(MID(Base_Bruta!C1804,6,2)),VALUE(RIGHT(Base_Bruta!C1804,2))),DATE(VALUE(RIGHT(Base_Bruta!C1804,4)),VALUE(MID(Base_Bruta!C1804,4,2)),VALUE(LEFT(Base_Bruta!C1804,2))))))</f>
        <v>45892</v>
      </c>
      <c r="D1804" s="4" t="str">
        <f aca="false">IF($A1804="","",TRIM(Base_Bruta!D1804))</f>
        <v>Festival Montanhas BH 2025</v>
      </c>
      <c r="E1804" s="4" t="str">
        <f aca="false">IF($A1804="","",_xlfn.XLOOKUP(LOWER(TRIM(Base_Bruta!E1804)),DePara_Categoria!$A$2:$A$9,DePara_Categoria!$B$2:$B$9,"REVISAR"))</f>
        <v>Festival</v>
      </c>
      <c r="F1804" s="4" t="str">
        <f aca="false">IF($A1804="","",_xlfn.XLOOKUP(LOWER(TRIM(Base_Bruta!F1804)),DePara_Cidade!$A$2:$A$29,DePara_Cidade!$B$2:$B$29,"REVISAR"))</f>
        <v>Belo Horizonte</v>
      </c>
      <c r="G1804" s="4" t="str">
        <f aca="false">IF($A1804="","",TRIM(Base_Bruta!G1804))</f>
        <v>VIP</v>
      </c>
      <c r="H1804" s="4" t="n">
        <f aca="false">IF($A1804="","",IF(ISNUMBER(Base_Bruta!H1804),Base_Bruta!H1804,IFERROR(_xlfn.NUMBERVALUE(TRIM(SUBSTITUTE(Base_Bruta!H1804,"R$","")),",","."),0)))</f>
        <v>2</v>
      </c>
      <c r="I1804" s="6" t="n">
        <f aca="false">IF($A1804="","",IF(ISNUMBER(Base_Bruta!I1804),Base_Bruta!I1804,IFERROR(_xlfn.NUMBERVALUE(TRIM(SUBSTITUTE(Base_Bruta!I1804,"R$","")),",","."),0)))</f>
        <v>1890</v>
      </c>
      <c r="J1804" s="6" t="n">
        <f aca="false">IF($A1804="","",H1804*I1804)</f>
        <v>3780</v>
      </c>
      <c r="K1804" s="4" t="str">
        <f aca="false">IF($A1804="","",TRIM(Base_Bruta!J1804))</f>
        <v>App</v>
      </c>
      <c r="L1804" s="4" t="str">
        <f aca="false">IF($A1804="","",TRIM(Base_Bruta!K1804))</f>
        <v>C01368</v>
      </c>
      <c r="M1804" s="4" t="str">
        <f aca="false">IF($A1804="","",_xlfn.XLOOKUP(LOWER(TRIM(Base_Bruta!L1804)),DePara_Cidade!$A$2:$A$29,DePara_Cidade!$B$2:$B$29,"REVISAR"))</f>
        <v>Belo Horizonte</v>
      </c>
      <c r="N1804" s="4" t="str">
        <f aca="false">IF($A1804="","",UPPER(TRIM(Base_Bruta!M1804)))</f>
        <v>MG</v>
      </c>
      <c r="O1804" s="4" t="str">
        <f aca="false">IF($A1804="","",_xlfn.XLOOKUP(LOWER(TRIM(Base_Bruta!N1804)),DePara_Pais!$A$2:$A$9,DePara_Pais!$B$2:$B$9,"REVISAR"))</f>
        <v>Brasil</v>
      </c>
      <c r="P1804" s="4" t="str">
        <f aca="false">IF($A1804="","",IF(O1804&lt;&gt;"Brasil","Turista Internacional",IF(M1804=F1804,"Local","Turista Nacional")))</f>
        <v>Local</v>
      </c>
      <c r="Q1804" s="7" t="n">
        <f aca="false">IF($A1804="","",DATE(YEAR(B1804),MONTH(B1804),1))</f>
        <v>45870</v>
      </c>
      <c r="R1804" s="4" t="str">
        <f aca="false">IF($A1804="","",IF(COUNTIF($A$2:$A1804,$A1804)&gt;1,"Sim","Não"))</f>
        <v>Não</v>
      </c>
      <c r="S1804" s="4" t="str">
        <f aca="false">IF(A1804="","Descartar - Linha vazia",IF(R1804="Sim","Descartar - Duplicado",IF(OR(H1804&lt;=0,I1804&lt;=0),"Descartar - Qtd/Valor inválido","OK")))</f>
        <v>OK</v>
      </c>
      <c r="T1804" s="4" t="str">
        <f aca="false">Base_Bruta!P1804</f>
        <v>vendas_MG.csv</v>
      </c>
    </row>
    <row r="1805" customFormat="false" ht="15" hidden="false" customHeight="false" outlineLevel="0" collapsed="false">
      <c r="A1805" s="4" t="str">
        <f aca="false">IF(Base_Bruta!A1805="","",Base_Bruta!A1805)</f>
        <v>MG-000043</v>
      </c>
      <c r="B1805" s="5" t="n">
        <f aca="false">IF($A1805="","",IF(ISNUMBER(Base_Bruta!B1805),Base_Bruta!B1805,IF(MID(Base_Bruta!B1805,5,1)="-",DATE(VALUE(LEFT(Base_Bruta!B1805,4)),VALUE(MID(Base_Bruta!B1805,6,2)),VALUE(RIGHT(Base_Bruta!B1805,2))),DATE(VALUE(RIGHT(Base_Bruta!B1805,4)),VALUE(MID(Base_Bruta!B1805,4,2)),VALUE(LEFT(Base_Bruta!B1805,2))))))</f>
        <v>45889</v>
      </c>
      <c r="C1805" s="5" t="n">
        <f aca="false">IF($A1805="","",IF(ISNUMBER(Base_Bruta!C1805),Base_Bruta!C1805,IF(MID(Base_Bruta!C1805,5,1)="-",DATE(VALUE(LEFT(Base_Bruta!C1805,4)),VALUE(MID(Base_Bruta!C1805,6,2)),VALUE(RIGHT(Base_Bruta!C1805,2))),DATE(VALUE(RIGHT(Base_Bruta!C1805,4)),VALUE(MID(Base_Bruta!C1805,4,2)),VALUE(LEFT(Base_Bruta!C1805,2))))))</f>
        <v>45892</v>
      </c>
      <c r="D1805" s="4" t="str">
        <f aca="false">IF($A1805="","",TRIM(Base_Bruta!D1805))</f>
        <v>Festival Montanhas BH 2025</v>
      </c>
      <c r="E1805" s="4" t="str">
        <f aca="false">IF($A1805="","",_xlfn.XLOOKUP(LOWER(TRIM(Base_Bruta!E1805)),DePara_Categoria!$A$2:$A$9,DePara_Categoria!$B$2:$B$9,"REVISAR"))</f>
        <v>Festival</v>
      </c>
      <c r="F1805" s="4" t="str">
        <f aca="false">IF($A1805="","",_xlfn.XLOOKUP(LOWER(TRIM(Base_Bruta!F1805)),DePara_Cidade!$A$2:$A$29,DePara_Cidade!$B$2:$B$29,"REVISAR"))</f>
        <v>Belo Horizonte</v>
      </c>
      <c r="G1805" s="4" t="str">
        <f aca="false">IF($A1805="","",TRIM(Base_Bruta!G1805))</f>
        <v>Inteira</v>
      </c>
      <c r="H1805" s="4" t="n">
        <f aca="false">IF($A1805="","",IF(ISNUMBER(Base_Bruta!H1805),Base_Bruta!H1805,IFERROR(_xlfn.NUMBERVALUE(TRIM(SUBSTITUTE(Base_Bruta!H1805,"R$","")),",","."),0)))</f>
        <v>1</v>
      </c>
      <c r="I1805" s="6" t="n">
        <f aca="false">IF($A1805="","",IF(ISNUMBER(Base_Bruta!I1805),Base_Bruta!I1805,IFERROR(_xlfn.NUMBERVALUE(TRIM(SUBSTITUTE(Base_Bruta!I1805,"R$","")),",","."),0)))</f>
        <v>805</v>
      </c>
      <c r="J1805" s="6" t="n">
        <f aca="false">IF($A1805="","",H1805*I1805)</f>
        <v>805</v>
      </c>
      <c r="K1805" s="4" t="str">
        <f aca="false">IF($A1805="","",TRIM(Base_Bruta!J1805))</f>
        <v>Site</v>
      </c>
      <c r="L1805" s="4" t="str">
        <f aca="false">IF($A1805="","",TRIM(Base_Bruta!K1805))</f>
        <v>C00762</v>
      </c>
      <c r="M1805" s="4" t="str">
        <f aca="false">IF($A1805="","",_xlfn.XLOOKUP(LOWER(TRIM(Base_Bruta!L1805)),DePara_Cidade!$A$2:$A$29,DePara_Cidade!$B$2:$B$29,"REVISAR"))</f>
        <v>Belo Horizonte</v>
      </c>
      <c r="N1805" s="4" t="str">
        <f aca="false">IF($A1805="","",UPPER(TRIM(Base_Bruta!M1805)))</f>
        <v>MG</v>
      </c>
      <c r="O1805" s="4" t="str">
        <f aca="false">IF($A1805="","",_xlfn.XLOOKUP(LOWER(TRIM(Base_Bruta!N1805)),DePara_Pais!$A$2:$A$9,DePara_Pais!$B$2:$B$9,"REVISAR"))</f>
        <v>Brasil</v>
      </c>
      <c r="P1805" s="4" t="str">
        <f aca="false">IF($A1805="","",IF(O1805&lt;&gt;"Brasil","Turista Internacional",IF(M1805=F1805,"Local","Turista Nacional")))</f>
        <v>Local</v>
      </c>
      <c r="Q1805" s="7" t="n">
        <f aca="false">IF($A1805="","",DATE(YEAR(B1805),MONTH(B1805),1))</f>
        <v>45870</v>
      </c>
      <c r="R1805" s="4" t="str">
        <f aca="false">IF($A1805="","",IF(COUNTIF($A$2:$A1805,$A1805)&gt;1,"Sim","Não"))</f>
        <v>Não</v>
      </c>
      <c r="S1805" s="4" t="str">
        <f aca="false">IF(A1805="","Descartar - Linha vazia",IF(R1805="Sim","Descartar - Duplicado",IF(OR(H1805&lt;=0,I1805&lt;=0),"Descartar - Qtd/Valor inválido","OK")))</f>
        <v>OK</v>
      </c>
      <c r="T1805" s="4" t="str">
        <f aca="false">Base_Bruta!P1805</f>
        <v>vendas_MG.csv</v>
      </c>
    </row>
    <row r="1806" customFormat="false" ht="15" hidden="false" customHeight="false" outlineLevel="0" collapsed="false">
      <c r="A1806" s="4" t="str">
        <f aca="false">IF(Base_Bruta!A1806="","",Base_Bruta!A1806)</f>
        <v>MG-000090</v>
      </c>
      <c r="B1806" s="5" t="n">
        <f aca="false">IF($A1806="","",IF(ISNUMBER(Base_Bruta!B1806),Base_Bruta!B1806,IF(MID(Base_Bruta!B1806,5,1)="-",DATE(VALUE(LEFT(Base_Bruta!B1806,4)),VALUE(MID(Base_Bruta!B1806,6,2)),VALUE(RIGHT(Base_Bruta!B1806,2))),DATE(VALUE(RIGHT(Base_Bruta!B1806,4)),VALUE(MID(Base_Bruta!B1806,4,2)),VALUE(LEFT(Base_Bruta!B1806,2))))))</f>
        <v>45889</v>
      </c>
      <c r="C1806" s="5" t="n">
        <f aca="false">IF($A1806="","",IF(ISNUMBER(Base_Bruta!C1806),Base_Bruta!C1806,IF(MID(Base_Bruta!C1806,5,1)="-",DATE(VALUE(LEFT(Base_Bruta!C1806,4)),VALUE(MID(Base_Bruta!C1806,6,2)),VALUE(RIGHT(Base_Bruta!C1806,2))),DATE(VALUE(RIGHT(Base_Bruta!C1806,4)),VALUE(MID(Base_Bruta!C1806,4,2)),VALUE(LEFT(Base_Bruta!C1806,2))))))</f>
        <v>45892</v>
      </c>
      <c r="D1806" s="4" t="str">
        <f aca="false">IF($A1806="","",TRIM(Base_Bruta!D1806))</f>
        <v>Festival Montanhas BH 2025</v>
      </c>
      <c r="E1806" s="4" t="str">
        <f aca="false">IF($A1806="","",_xlfn.XLOOKUP(LOWER(TRIM(Base_Bruta!E1806)),DePara_Categoria!$A$2:$A$9,DePara_Categoria!$B$2:$B$9,"REVISAR"))</f>
        <v>Festival</v>
      </c>
      <c r="F1806" s="4" t="str">
        <f aca="false">IF($A1806="","",_xlfn.XLOOKUP(LOWER(TRIM(Base_Bruta!F1806)),DePara_Cidade!$A$2:$A$29,DePara_Cidade!$B$2:$B$29,"REVISAR"))</f>
        <v>Belo Horizonte</v>
      </c>
      <c r="G1806" s="4" t="str">
        <f aca="false">IF($A1806="","",TRIM(Base_Bruta!G1806))</f>
        <v>Meia</v>
      </c>
      <c r="H1806" s="4" t="n">
        <f aca="false">IF($A1806="","",IF(ISNUMBER(Base_Bruta!H1806),Base_Bruta!H1806,IFERROR(_xlfn.NUMBERVALUE(TRIM(SUBSTITUTE(Base_Bruta!H1806,"R$","")),",","."),0)))</f>
        <v>2</v>
      </c>
      <c r="I1806" s="6" t="n">
        <f aca="false">IF($A1806="","",IF(ISNUMBER(Base_Bruta!I1806),Base_Bruta!I1806,IFERROR(_xlfn.NUMBERVALUE(TRIM(SUBSTITUTE(Base_Bruta!I1806,"R$","")),",","."),0)))</f>
        <v>345</v>
      </c>
      <c r="J1806" s="6" t="n">
        <f aca="false">IF($A1806="","",H1806*I1806)</f>
        <v>690</v>
      </c>
      <c r="K1806" s="4" t="str">
        <f aca="false">IF($A1806="","",TRIM(Base_Bruta!J1806))</f>
        <v>App</v>
      </c>
      <c r="L1806" s="4" t="str">
        <f aca="false">IF($A1806="","",TRIM(Base_Bruta!K1806))</f>
        <v>C00791</v>
      </c>
      <c r="M1806" s="4" t="str">
        <f aca="false">IF($A1806="","",_xlfn.XLOOKUP(LOWER(TRIM(Base_Bruta!L1806)),DePara_Cidade!$A$2:$A$29,DePara_Cidade!$B$2:$B$29,"REVISAR"))</f>
        <v>Brasília</v>
      </c>
      <c r="N1806" s="4" t="str">
        <f aca="false">IF($A1806="","",UPPER(TRIM(Base_Bruta!M1806)))</f>
        <v>DF</v>
      </c>
      <c r="O1806" s="4" t="str">
        <f aca="false">IF($A1806="","",_xlfn.XLOOKUP(LOWER(TRIM(Base_Bruta!N1806)),DePara_Pais!$A$2:$A$9,DePara_Pais!$B$2:$B$9,"REVISAR"))</f>
        <v>Brasil</v>
      </c>
      <c r="P1806" s="4" t="str">
        <f aca="false">IF($A1806="","",IF(O1806&lt;&gt;"Brasil","Turista Internacional",IF(M1806=F1806,"Local","Turista Nacional")))</f>
        <v>Turista Nacional</v>
      </c>
      <c r="Q1806" s="7" t="n">
        <f aca="false">IF($A1806="","",DATE(YEAR(B1806),MONTH(B1806),1))</f>
        <v>45870</v>
      </c>
      <c r="R1806" s="4" t="str">
        <f aca="false">IF($A1806="","",IF(COUNTIF($A$2:$A1806,$A1806)&gt;1,"Sim","Não"))</f>
        <v>Não</v>
      </c>
      <c r="S1806" s="4" t="str">
        <f aca="false">IF(A1806="","Descartar - Linha vazia",IF(R1806="Sim","Descartar - Duplicado",IF(OR(H1806&lt;=0,I1806&lt;=0),"Descartar - Qtd/Valor inválido","OK")))</f>
        <v>OK</v>
      </c>
      <c r="T1806" s="4" t="str">
        <f aca="false">Base_Bruta!P1806</f>
        <v>vendas_MG.csv</v>
      </c>
    </row>
    <row r="1807" customFormat="false" ht="15" hidden="false" customHeight="false" outlineLevel="0" collapsed="false">
      <c r="A1807" s="4" t="str">
        <f aca="false">IF(Base_Bruta!A1807="","",Base_Bruta!A1807)</f>
        <v>MG-000154</v>
      </c>
      <c r="B1807" s="5" t="n">
        <f aca="false">IF($A1807="","",IF(ISNUMBER(Base_Bruta!B1807),Base_Bruta!B1807,IF(MID(Base_Bruta!B1807,5,1)="-",DATE(VALUE(LEFT(Base_Bruta!B1807,4)),VALUE(MID(Base_Bruta!B1807,6,2)),VALUE(RIGHT(Base_Bruta!B1807,2))),DATE(VALUE(RIGHT(Base_Bruta!B1807,4)),VALUE(MID(Base_Bruta!B1807,4,2)),VALUE(LEFT(Base_Bruta!B1807,2))))))</f>
        <v>45889</v>
      </c>
      <c r="C1807" s="5" t="n">
        <f aca="false">IF($A1807="","",IF(ISNUMBER(Base_Bruta!C1807),Base_Bruta!C1807,IF(MID(Base_Bruta!C1807,5,1)="-",DATE(VALUE(LEFT(Base_Bruta!C1807,4)),VALUE(MID(Base_Bruta!C1807,6,2)),VALUE(RIGHT(Base_Bruta!C1807,2))),DATE(VALUE(RIGHT(Base_Bruta!C1807,4)),VALUE(MID(Base_Bruta!C1807,4,2)),VALUE(LEFT(Base_Bruta!C1807,2))))))</f>
        <v>45892</v>
      </c>
      <c r="D1807" s="4" t="str">
        <f aca="false">IF($A1807="","",TRIM(Base_Bruta!D1807))</f>
        <v>Festival Montanhas BH 2025</v>
      </c>
      <c r="E1807" s="4" t="str">
        <f aca="false">IF($A1807="","",_xlfn.XLOOKUP(LOWER(TRIM(Base_Bruta!E1807)),DePara_Categoria!$A$2:$A$9,DePara_Categoria!$B$2:$B$9,"REVISAR"))</f>
        <v>Festival</v>
      </c>
      <c r="F1807" s="4" t="str">
        <f aca="false">IF($A1807="","",_xlfn.XLOOKUP(LOWER(TRIM(Base_Bruta!F1807)),DePara_Cidade!$A$2:$A$29,DePara_Cidade!$B$2:$B$29,"REVISAR"))</f>
        <v>Belo Horizonte</v>
      </c>
      <c r="G1807" s="4" t="str">
        <f aca="false">IF($A1807="","",TRIM(Base_Bruta!G1807))</f>
        <v>Inteira</v>
      </c>
      <c r="H1807" s="4" t="n">
        <f aca="false">IF($A1807="","",IF(ISNUMBER(Base_Bruta!H1807),Base_Bruta!H1807,IFERROR(_xlfn.NUMBERVALUE(TRIM(SUBSTITUTE(Base_Bruta!H1807,"R$","")),",","."),0)))</f>
        <v>2</v>
      </c>
      <c r="I1807" s="6" t="n">
        <f aca="false">IF($A1807="","",IF(ISNUMBER(Base_Bruta!I1807),Base_Bruta!I1807,IFERROR(_xlfn.NUMBERVALUE(TRIM(SUBSTITUTE(Base_Bruta!I1807,"R$","")),",","."),0)))</f>
        <v>1075</v>
      </c>
      <c r="J1807" s="6" t="n">
        <f aca="false">IF($A1807="","",H1807*I1807)</f>
        <v>2150</v>
      </c>
      <c r="K1807" s="4" t="str">
        <f aca="false">IF($A1807="","",TRIM(Base_Bruta!J1807))</f>
        <v>Site</v>
      </c>
      <c r="L1807" s="4" t="str">
        <f aca="false">IF($A1807="","",TRIM(Base_Bruta!K1807))</f>
        <v>C02279</v>
      </c>
      <c r="M1807" s="4" t="str">
        <f aca="false">IF($A1807="","",_xlfn.XLOOKUP(LOWER(TRIM(Base_Bruta!L1807)),DePara_Cidade!$A$2:$A$29,DePara_Cidade!$B$2:$B$29,"REVISAR"))</f>
        <v>Belo Horizonte</v>
      </c>
      <c r="N1807" s="4" t="str">
        <f aca="false">IF($A1807="","",UPPER(TRIM(Base_Bruta!M1807)))</f>
        <v>MG</v>
      </c>
      <c r="O1807" s="4" t="str">
        <f aca="false">IF($A1807="","",_xlfn.XLOOKUP(LOWER(TRIM(Base_Bruta!N1807)),DePara_Pais!$A$2:$A$9,DePara_Pais!$B$2:$B$9,"REVISAR"))</f>
        <v>Brasil</v>
      </c>
      <c r="P1807" s="4" t="str">
        <f aca="false">IF($A1807="","",IF(O1807&lt;&gt;"Brasil","Turista Internacional",IF(M1807=F1807,"Local","Turista Nacional")))</f>
        <v>Local</v>
      </c>
      <c r="Q1807" s="7" t="n">
        <f aca="false">IF($A1807="","",DATE(YEAR(B1807),MONTH(B1807),1))</f>
        <v>45870</v>
      </c>
      <c r="R1807" s="4" t="str">
        <f aca="false">IF($A1807="","",IF(COUNTIF($A$2:$A1807,$A1807)&gt;1,"Sim","Não"))</f>
        <v>Não</v>
      </c>
      <c r="S1807" s="4" t="str">
        <f aca="false">IF(A1807="","Descartar - Linha vazia",IF(R1807="Sim","Descartar - Duplicado",IF(OR(H1807&lt;=0,I1807&lt;=0),"Descartar - Qtd/Valor inválido","OK")))</f>
        <v>OK</v>
      </c>
      <c r="T1807" s="4" t="str">
        <f aca="false">Base_Bruta!P1807</f>
        <v>vendas_MG.csv</v>
      </c>
    </row>
    <row r="1808" customFormat="false" ht="15" hidden="false" customHeight="false" outlineLevel="0" collapsed="false">
      <c r="A1808" s="4" t="str">
        <f aca="false">IF(Base_Bruta!A1808="","",Base_Bruta!A1808)</f>
        <v>MG-000156</v>
      </c>
      <c r="B1808" s="5" t="n">
        <f aca="false">IF($A1808="","",IF(ISNUMBER(Base_Bruta!B1808),Base_Bruta!B1808,IF(MID(Base_Bruta!B1808,5,1)="-",DATE(VALUE(LEFT(Base_Bruta!B1808,4)),VALUE(MID(Base_Bruta!B1808,6,2)),VALUE(RIGHT(Base_Bruta!B1808,2))),DATE(VALUE(RIGHT(Base_Bruta!B1808,4)),VALUE(MID(Base_Bruta!B1808,4,2)),VALUE(LEFT(Base_Bruta!B1808,2))))))</f>
        <v>45889</v>
      </c>
      <c r="C1808" s="5" t="n">
        <f aca="false">IF($A1808="","",IF(ISNUMBER(Base_Bruta!C1808),Base_Bruta!C1808,IF(MID(Base_Bruta!C1808,5,1)="-",DATE(VALUE(LEFT(Base_Bruta!C1808,4)),VALUE(MID(Base_Bruta!C1808,6,2)),VALUE(RIGHT(Base_Bruta!C1808,2))),DATE(VALUE(RIGHT(Base_Bruta!C1808,4)),VALUE(MID(Base_Bruta!C1808,4,2)),VALUE(LEFT(Base_Bruta!C1808,2))))))</f>
        <v>45892</v>
      </c>
      <c r="D1808" s="4" t="str">
        <f aca="false">IF($A1808="","",TRIM(Base_Bruta!D1808))</f>
        <v>Festival Montanhas BH 2025</v>
      </c>
      <c r="E1808" s="4" t="str">
        <f aca="false">IF($A1808="","",_xlfn.XLOOKUP(LOWER(TRIM(Base_Bruta!E1808)),DePara_Categoria!$A$2:$A$9,DePara_Categoria!$B$2:$B$9,"REVISAR"))</f>
        <v>Festival</v>
      </c>
      <c r="F1808" s="4" t="str">
        <f aca="false">IF($A1808="","",_xlfn.XLOOKUP(LOWER(TRIM(Base_Bruta!F1808)),DePara_Cidade!$A$2:$A$29,DePara_Cidade!$B$2:$B$29,"REVISAR"))</f>
        <v>Belo Horizonte</v>
      </c>
      <c r="G1808" s="4" t="str">
        <f aca="false">IF($A1808="","",TRIM(Base_Bruta!G1808))</f>
        <v>Inteira</v>
      </c>
      <c r="H1808" s="4" t="n">
        <f aca="false">IF($A1808="","",IF(ISNUMBER(Base_Bruta!H1808),Base_Bruta!H1808,IFERROR(_xlfn.NUMBERVALUE(TRIM(SUBSTITUTE(Base_Bruta!H1808,"R$","")),",","."),0)))</f>
        <v>1</v>
      </c>
      <c r="I1808" s="6" t="n">
        <f aca="false">IF($A1808="","",IF(ISNUMBER(Base_Bruta!I1808),Base_Bruta!I1808,IFERROR(_xlfn.NUMBERVALUE(TRIM(SUBSTITUTE(Base_Bruta!I1808,"R$","")),",","."),0)))</f>
        <v>1050</v>
      </c>
      <c r="J1808" s="6" t="n">
        <f aca="false">IF($A1808="","",H1808*I1808)</f>
        <v>1050</v>
      </c>
      <c r="K1808" s="4" t="str">
        <f aca="false">IF($A1808="","",TRIM(Base_Bruta!J1808))</f>
        <v>Site</v>
      </c>
      <c r="L1808" s="4" t="str">
        <f aca="false">IF($A1808="","",TRIM(Base_Bruta!K1808))</f>
        <v>C01358</v>
      </c>
      <c r="M1808" s="4" t="str">
        <f aca="false">IF($A1808="","",_xlfn.XLOOKUP(LOWER(TRIM(Base_Bruta!L1808)),DePara_Cidade!$A$2:$A$29,DePara_Cidade!$B$2:$B$29,"REVISAR"))</f>
        <v>Belo Horizonte</v>
      </c>
      <c r="N1808" s="4" t="str">
        <f aca="false">IF($A1808="","",UPPER(TRIM(Base_Bruta!M1808)))</f>
        <v>MG</v>
      </c>
      <c r="O1808" s="4" t="str">
        <f aca="false">IF($A1808="","",_xlfn.XLOOKUP(LOWER(TRIM(Base_Bruta!N1808)),DePara_Pais!$A$2:$A$9,DePara_Pais!$B$2:$B$9,"REVISAR"))</f>
        <v>Brasil</v>
      </c>
      <c r="P1808" s="4" t="str">
        <f aca="false">IF($A1808="","",IF(O1808&lt;&gt;"Brasil","Turista Internacional",IF(M1808=F1808,"Local","Turista Nacional")))</f>
        <v>Local</v>
      </c>
      <c r="Q1808" s="7" t="n">
        <f aca="false">IF($A1808="","",DATE(YEAR(B1808),MONTH(B1808),1))</f>
        <v>45870</v>
      </c>
      <c r="R1808" s="4" t="str">
        <f aca="false">IF($A1808="","",IF(COUNTIF($A$2:$A1808,$A1808)&gt;1,"Sim","Não"))</f>
        <v>Não</v>
      </c>
      <c r="S1808" s="4" t="str">
        <f aca="false">IF(A1808="","Descartar - Linha vazia",IF(R1808="Sim","Descartar - Duplicado",IF(OR(H1808&lt;=0,I1808&lt;=0),"Descartar - Qtd/Valor inválido","OK")))</f>
        <v>OK</v>
      </c>
      <c r="T1808" s="4" t="str">
        <f aca="false">Base_Bruta!P1808</f>
        <v>vendas_MG.csv</v>
      </c>
    </row>
    <row r="1809" customFormat="false" ht="15" hidden="false" customHeight="false" outlineLevel="0" collapsed="false">
      <c r="A1809" s="4" t="str">
        <f aca="false">IF(Base_Bruta!A1809="","",Base_Bruta!A1809)</f>
        <v>MG-000164</v>
      </c>
      <c r="B1809" s="5" t="n">
        <f aca="false">IF($A1809="","",IF(ISNUMBER(Base_Bruta!B1809),Base_Bruta!B1809,IF(MID(Base_Bruta!B1809,5,1)="-",DATE(VALUE(LEFT(Base_Bruta!B1809,4)),VALUE(MID(Base_Bruta!B1809,6,2)),VALUE(RIGHT(Base_Bruta!B1809,2))),DATE(VALUE(RIGHT(Base_Bruta!B1809,4)),VALUE(MID(Base_Bruta!B1809,4,2)),VALUE(LEFT(Base_Bruta!B1809,2))))))</f>
        <v>45889</v>
      </c>
      <c r="C1809" s="5" t="n">
        <f aca="false">IF($A1809="","",IF(ISNUMBER(Base_Bruta!C1809),Base_Bruta!C1809,IF(MID(Base_Bruta!C1809,5,1)="-",DATE(VALUE(LEFT(Base_Bruta!C1809,4)),VALUE(MID(Base_Bruta!C1809,6,2)),VALUE(RIGHT(Base_Bruta!C1809,2))),DATE(VALUE(RIGHT(Base_Bruta!C1809,4)),VALUE(MID(Base_Bruta!C1809,4,2)),VALUE(LEFT(Base_Bruta!C1809,2))))))</f>
        <v>45892</v>
      </c>
      <c r="D1809" s="4" t="str">
        <f aca="false">IF($A1809="","",TRIM(Base_Bruta!D1809))</f>
        <v>Festival Montanhas BH 2025</v>
      </c>
      <c r="E1809" s="4" t="str">
        <f aca="false">IF($A1809="","",_xlfn.XLOOKUP(LOWER(TRIM(Base_Bruta!E1809)),DePara_Categoria!$A$2:$A$9,DePara_Categoria!$B$2:$B$9,"REVISAR"))</f>
        <v>Festival</v>
      </c>
      <c r="F1809" s="4" t="str">
        <f aca="false">IF($A1809="","",_xlfn.XLOOKUP(LOWER(TRIM(Base_Bruta!F1809)),DePara_Cidade!$A$2:$A$29,DePara_Cidade!$B$2:$B$29,"REVISAR"))</f>
        <v>Belo Horizonte</v>
      </c>
      <c r="G1809" s="4" t="str">
        <f aca="false">IF($A1809="","",TRIM(Base_Bruta!G1809))</f>
        <v>Inteira</v>
      </c>
      <c r="H1809" s="4" t="n">
        <f aca="false">IF($A1809="","",IF(ISNUMBER(Base_Bruta!H1809),Base_Bruta!H1809,IFERROR(_xlfn.NUMBERVALUE(TRIM(SUBSTITUTE(Base_Bruta!H1809,"R$","")),",","."),0)))</f>
        <v>0</v>
      </c>
      <c r="I1809" s="6" t="n">
        <f aca="false">IF($A1809="","",IF(ISNUMBER(Base_Bruta!I1809),Base_Bruta!I1809,IFERROR(_xlfn.NUMBERVALUE(TRIM(SUBSTITUTE(Base_Bruta!I1809,"R$","")),",","."),0)))</f>
        <v>915</v>
      </c>
      <c r="J1809" s="6" t="n">
        <f aca="false">IF($A1809="","",H1809*I1809)</f>
        <v>0</v>
      </c>
      <c r="K1809" s="4" t="str">
        <f aca="false">IF($A1809="","",TRIM(Base_Bruta!J1809))</f>
        <v>Site</v>
      </c>
      <c r="L1809" s="4" t="str">
        <f aca="false">IF($A1809="","",TRIM(Base_Bruta!K1809))</f>
        <v>C00071</v>
      </c>
      <c r="M1809" s="4" t="str">
        <f aca="false">IF($A1809="","",_xlfn.XLOOKUP(LOWER(TRIM(Base_Bruta!L1809)),DePara_Cidade!$A$2:$A$29,DePara_Cidade!$B$2:$B$29,"REVISAR"))</f>
        <v>Rio de Janeiro</v>
      </c>
      <c r="N1809" s="4" t="str">
        <f aca="false">IF($A1809="","",UPPER(TRIM(Base_Bruta!M1809)))</f>
        <v>RJ</v>
      </c>
      <c r="O1809" s="4" t="str">
        <f aca="false">IF($A1809="","",_xlfn.XLOOKUP(LOWER(TRIM(Base_Bruta!N1809)),DePara_Pais!$A$2:$A$9,DePara_Pais!$B$2:$B$9,"REVISAR"))</f>
        <v>Brasil</v>
      </c>
      <c r="P1809" s="4" t="str">
        <f aca="false">IF($A1809="","",IF(O1809&lt;&gt;"Brasil","Turista Internacional",IF(M1809=F1809,"Local","Turista Nacional")))</f>
        <v>Turista Nacional</v>
      </c>
      <c r="Q1809" s="7" t="n">
        <f aca="false">IF($A1809="","",DATE(YEAR(B1809),MONTH(B1809),1))</f>
        <v>45870</v>
      </c>
      <c r="R1809" s="4" t="str">
        <f aca="false">IF($A1809="","",IF(COUNTIF($A$2:$A1809,$A1809)&gt;1,"Sim","Não"))</f>
        <v>Não</v>
      </c>
      <c r="S1809" s="4" t="str">
        <f aca="false">IF(A1809="","Descartar - Linha vazia",IF(R1809="Sim","Descartar - Duplicado",IF(OR(H1809&lt;=0,I1809&lt;=0),"Descartar - Qtd/Valor inválido","OK")))</f>
        <v>Descartar - Qtd/Valor inválido</v>
      </c>
      <c r="T1809" s="4" t="str">
        <f aca="false">Base_Bruta!P1809</f>
        <v>vendas_MG.csv</v>
      </c>
    </row>
    <row r="1810" customFormat="false" ht="15" hidden="false" customHeight="false" outlineLevel="0" collapsed="false">
      <c r="A1810" s="4" t="str">
        <f aca="false">IF(Base_Bruta!A1810="","",Base_Bruta!A1810)</f>
        <v>MG-000183</v>
      </c>
      <c r="B1810" s="5" t="n">
        <f aca="false">IF($A1810="","",IF(ISNUMBER(Base_Bruta!B1810),Base_Bruta!B1810,IF(MID(Base_Bruta!B1810,5,1)="-",DATE(VALUE(LEFT(Base_Bruta!B1810,4)),VALUE(MID(Base_Bruta!B1810,6,2)),VALUE(RIGHT(Base_Bruta!B1810,2))),DATE(VALUE(RIGHT(Base_Bruta!B1810,4)),VALUE(MID(Base_Bruta!B1810,4,2)),VALUE(LEFT(Base_Bruta!B1810,2))))))</f>
        <v>45889</v>
      </c>
      <c r="C1810" s="5" t="n">
        <f aca="false">IF($A1810="","",IF(ISNUMBER(Base_Bruta!C1810),Base_Bruta!C1810,IF(MID(Base_Bruta!C1810,5,1)="-",DATE(VALUE(LEFT(Base_Bruta!C1810,4)),VALUE(MID(Base_Bruta!C1810,6,2)),VALUE(RIGHT(Base_Bruta!C1810,2))),DATE(VALUE(RIGHT(Base_Bruta!C1810,4)),VALUE(MID(Base_Bruta!C1810,4,2)),VALUE(LEFT(Base_Bruta!C1810,2))))))</f>
        <v>45892</v>
      </c>
      <c r="D1810" s="4" t="str">
        <f aca="false">IF($A1810="","",TRIM(Base_Bruta!D1810))</f>
        <v>Festival Montanhas BH 2025</v>
      </c>
      <c r="E1810" s="4" t="str">
        <f aca="false">IF($A1810="","",_xlfn.XLOOKUP(LOWER(TRIM(Base_Bruta!E1810)),DePara_Categoria!$A$2:$A$9,DePara_Categoria!$B$2:$B$9,"REVISAR"))</f>
        <v>Festival</v>
      </c>
      <c r="F1810" s="4" t="str">
        <f aca="false">IF($A1810="","",_xlfn.XLOOKUP(LOWER(TRIM(Base_Bruta!F1810)),DePara_Cidade!$A$2:$A$29,DePara_Cidade!$B$2:$B$29,"REVISAR"))</f>
        <v>Belo Horizonte</v>
      </c>
      <c r="G1810" s="4" t="str">
        <f aca="false">IF($A1810="","",TRIM(Base_Bruta!G1810))</f>
        <v>Meia</v>
      </c>
      <c r="H1810" s="4" t="n">
        <f aca="false">IF($A1810="","",IF(ISNUMBER(Base_Bruta!H1810),Base_Bruta!H1810,IFERROR(_xlfn.NUMBERVALUE(TRIM(SUBSTITUTE(Base_Bruta!H1810,"R$","")),",","."),0)))</f>
        <v>1</v>
      </c>
      <c r="I1810" s="6" t="n">
        <f aca="false">IF($A1810="","",IF(ISNUMBER(Base_Bruta!I1810),Base_Bruta!I1810,IFERROR(_xlfn.NUMBERVALUE(TRIM(SUBSTITUTE(Base_Bruta!I1810,"R$","")),",","."),0)))</f>
        <v>365</v>
      </c>
      <c r="J1810" s="6" t="n">
        <f aca="false">IF($A1810="","",H1810*I1810)</f>
        <v>365</v>
      </c>
      <c r="K1810" s="4" t="str">
        <f aca="false">IF($A1810="","",TRIM(Base_Bruta!J1810))</f>
        <v>Site</v>
      </c>
      <c r="L1810" s="4" t="str">
        <f aca="false">IF($A1810="","",TRIM(Base_Bruta!K1810))</f>
        <v>C01320</v>
      </c>
      <c r="M1810" s="4" t="str">
        <f aca="false">IF($A1810="","",_xlfn.XLOOKUP(LOWER(TRIM(Base_Bruta!L1810)),DePara_Cidade!$A$2:$A$29,DePara_Cidade!$B$2:$B$29,"REVISAR"))</f>
        <v>Belo Horizonte</v>
      </c>
      <c r="N1810" s="4" t="str">
        <f aca="false">IF($A1810="","",UPPER(TRIM(Base_Bruta!M1810)))</f>
        <v>MG</v>
      </c>
      <c r="O1810" s="4" t="str">
        <f aca="false">IF($A1810="","",_xlfn.XLOOKUP(LOWER(TRIM(Base_Bruta!N1810)),DePara_Pais!$A$2:$A$9,DePara_Pais!$B$2:$B$9,"REVISAR"))</f>
        <v>Brasil</v>
      </c>
      <c r="P1810" s="4" t="str">
        <f aca="false">IF($A1810="","",IF(O1810&lt;&gt;"Brasil","Turista Internacional",IF(M1810=F1810,"Local","Turista Nacional")))</f>
        <v>Local</v>
      </c>
      <c r="Q1810" s="7" t="n">
        <f aca="false">IF($A1810="","",DATE(YEAR(B1810),MONTH(B1810),1))</f>
        <v>45870</v>
      </c>
      <c r="R1810" s="4" t="str">
        <f aca="false">IF($A1810="","",IF(COUNTIF($A$2:$A1810,$A1810)&gt;1,"Sim","Não"))</f>
        <v>Não</v>
      </c>
      <c r="S1810" s="4" t="str">
        <f aca="false">IF(A1810="","Descartar - Linha vazia",IF(R1810="Sim","Descartar - Duplicado",IF(OR(H1810&lt;=0,I1810&lt;=0),"Descartar - Qtd/Valor inválido","OK")))</f>
        <v>OK</v>
      </c>
      <c r="T1810" s="4" t="str">
        <f aca="false">Base_Bruta!P1810</f>
        <v>vendas_MG.csv</v>
      </c>
    </row>
    <row r="1811" customFormat="false" ht="15" hidden="false" customHeight="false" outlineLevel="0" collapsed="false">
      <c r="A1811" s="4" t="str">
        <f aca="false">IF(Base_Bruta!A1811="","",Base_Bruta!A1811)</f>
        <v>MG-000215</v>
      </c>
      <c r="B1811" s="5" t="n">
        <f aca="false">IF($A1811="","",IF(ISNUMBER(Base_Bruta!B1811),Base_Bruta!B1811,IF(MID(Base_Bruta!B1811,5,1)="-",DATE(VALUE(LEFT(Base_Bruta!B1811,4)),VALUE(MID(Base_Bruta!B1811,6,2)),VALUE(RIGHT(Base_Bruta!B1811,2))),DATE(VALUE(RIGHT(Base_Bruta!B1811,4)),VALUE(MID(Base_Bruta!B1811,4,2)),VALUE(LEFT(Base_Bruta!B1811,2))))))</f>
        <v>45889</v>
      </c>
      <c r="C1811" s="5" t="n">
        <f aca="false">IF($A1811="","",IF(ISNUMBER(Base_Bruta!C1811),Base_Bruta!C1811,IF(MID(Base_Bruta!C1811,5,1)="-",DATE(VALUE(LEFT(Base_Bruta!C1811,4)),VALUE(MID(Base_Bruta!C1811,6,2)),VALUE(RIGHT(Base_Bruta!C1811,2))),DATE(VALUE(RIGHT(Base_Bruta!C1811,4)),VALUE(MID(Base_Bruta!C1811,4,2)),VALUE(LEFT(Base_Bruta!C1811,2))))))</f>
        <v>45892</v>
      </c>
      <c r="D1811" s="4" t="str">
        <f aca="false">IF($A1811="","",TRIM(Base_Bruta!D1811))</f>
        <v>Festival Montanhas BH 2025</v>
      </c>
      <c r="E1811" s="4" t="str">
        <f aca="false">IF($A1811="","",_xlfn.XLOOKUP(LOWER(TRIM(Base_Bruta!E1811)),DePara_Categoria!$A$2:$A$9,DePara_Categoria!$B$2:$B$9,"REVISAR"))</f>
        <v>Festival</v>
      </c>
      <c r="F1811" s="4" t="str">
        <f aca="false">IF($A1811="","",_xlfn.XLOOKUP(LOWER(TRIM(Base_Bruta!F1811)),DePara_Cidade!$A$2:$A$29,DePara_Cidade!$B$2:$B$29,"REVISAR"))</f>
        <v>Belo Horizonte</v>
      </c>
      <c r="G1811" s="4" t="str">
        <f aca="false">IF($A1811="","",TRIM(Base_Bruta!G1811))</f>
        <v>VIP</v>
      </c>
      <c r="H1811" s="4" t="n">
        <f aca="false">IF($A1811="","",IF(ISNUMBER(Base_Bruta!H1811),Base_Bruta!H1811,IFERROR(_xlfn.NUMBERVALUE(TRIM(SUBSTITUTE(Base_Bruta!H1811,"R$","")),",","."),0)))</f>
        <v>3</v>
      </c>
      <c r="I1811" s="6" t="n">
        <f aca="false">IF($A1811="","",IF(ISNUMBER(Base_Bruta!I1811),Base_Bruta!I1811,IFERROR(_xlfn.NUMBERVALUE(TRIM(SUBSTITUTE(Base_Bruta!I1811,"R$","")),",","."),0)))</f>
        <v>1830</v>
      </c>
      <c r="J1811" s="6" t="n">
        <f aca="false">IF($A1811="","",H1811*I1811)</f>
        <v>5490</v>
      </c>
      <c r="K1811" s="4" t="str">
        <f aca="false">IF($A1811="","",TRIM(Base_Bruta!J1811))</f>
        <v>Bilheteria</v>
      </c>
      <c r="L1811" s="4" t="str">
        <f aca="false">IF($A1811="","",TRIM(Base_Bruta!K1811))</f>
        <v>C02101</v>
      </c>
      <c r="M1811" s="4" t="str">
        <f aca="false">IF($A1811="","",_xlfn.XLOOKUP(LOWER(TRIM(Base_Bruta!L1811)),DePara_Cidade!$A$2:$A$29,DePara_Cidade!$B$2:$B$29,"REVISAR"))</f>
        <v>Salvador</v>
      </c>
      <c r="N1811" s="4" t="str">
        <f aca="false">IF($A1811="","",UPPER(TRIM(Base_Bruta!M1811)))</f>
        <v>BA</v>
      </c>
      <c r="O1811" s="4" t="str">
        <f aca="false">IF($A1811="","",_xlfn.XLOOKUP(LOWER(TRIM(Base_Bruta!N1811)),DePara_Pais!$A$2:$A$9,DePara_Pais!$B$2:$B$9,"REVISAR"))</f>
        <v>Brasil</v>
      </c>
      <c r="P1811" s="4" t="str">
        <f aca="false">IF($A1811="","",IF(O1811&lt;&gt;"Brasil","Turista Internacional",IF(M1811=F1811,"Local","Turista Nacional")))</f>
        <v>Turista Nacional</v>
      </c>
      <c r="Q1811" s="7" t="n">
        <f aca="false">IF($A1811="","",DATE(YEAR(B1811),MONTH(B1811),1))</f>
        <v>45870</v>
      </c>
      <c r="R1811" s="4" t="str">
        <f aca="false">IF($A1811="","",IF(COUNTIF($A$2:$A1811,$A1811)&gt;1,"Sim","Não"))</f>
        <v>Não</v>
      </c>
      <c r="S1811" s="4" t="str">
        <f aca="false">IF(A1811="","Descartar - Linha vazia",IF(R1811="Sim","Descartar - Duplicado",IF(OR(H1811&lt;=0,I1811&lt;=0),"Descartar - Qtd/Valor inválido","OK")))</f>
        <v>OK</v>
      </c>
      <c r="T1811" s="4" t="str">
        <f aca="false">Base_Bruta!P1811</f>
        <v>vendas_MG.csv</v>
      </c>
    </row>
    <row r="1812" customFormat="false" ht="15" hidden="false" customHeight="false" outlineLevel="0" collapsed="false">
      <c r="A1812" s="4" t="str">
        <f aca="false">IF(Base_Bruta!A1812="","",Base_Bruta!A1812)</f>
        <v>MG-000220</v>
      </c>
      <c r="B1812" s="5" t="n">
        <f aca="false">IF($A1812="","",IF(ISNUMBER(Base_Bruta!B1812),Base_Bruta!B1812,IF(MID(Base_Bruta!B1812,5,1)="-",DATE(VALUE(LEFT(Base_Bruta!B1812,4)),VALUE(MID(Base_Bruta!B1812,6,2)),VALUE(RIGHT(Base_Bruta!B1812,2))),DATE(VALUE(RIGHT(Base_Bruta!B1812,4)),VALUE(MID(Base_Bruta!B1812,4,2)),VALUE(LEFT(Base_Bruta!B1812,2))))))</f>
        <v>45889</v>
      </c>
      <c r="C1812" s="5" t="n">
        <f aca="false">IF($A1812="","",IF(ISNUMBER(Base_Bruta!C1812),Base_Bruta!C1812,IF(MID(Base_Bruta!C1812,5,1)="-",DATE(VALUE(LEFT(Base_Bruta!C1812,4)),VALUE(MID(Base_Bruta!C1812,6,2)),VALUE(RIGHT(Base_Bruta!C1812,2))),DATE(VALUE(RIGHT(Base_Bruta!C1812,4)),VALUE(MID(Base_Bruta!C1812,4,2)),VALUE(LEFT(Base_Bruta!C1812,2))))))</f>
        <v>45892</v>
      </c>
      <c r="D1812" s="4" t="str">
        <f aca="false">IF($A1812="","",TRIM(Base_Bruta!D1812))</f>
        <v>Festival Montanhas BH 2025</v>
      </c>
      <c r="E1812" s="4" t="str">
        <f aca="false">IF($A1812="","",_xlfn.XLOOKUP(LOWER(TRIM(Base_Bruta!E1812)),DePara_Categoria!$A$2:$A$9,DePara_Categoria!$B$2:$B$9,"REVISAR"))</f>
        <v>Festival</v>
      </c>
      <c r="F1812" s="4" t="str">
        <f aca="false">IF($A1812="","",_xlfn.XLOOKUP(LOWER(TRIM(Base_Bruta!F1812)),DePara_Cidade!$A$2:$A$29,DePara_Cidade!$B$2:$B$29,"REVISAR"))</f>
        <v>Belo Horizonte</v>
      </c>
      <c r="G1812" s="4" t="str">
        <f aca="false">IF($A1812="","",TRIM(Base_Bruta!G1812))</f>
        <v>Inteira</v>
      </c>
      <c r="H1812" s="4" t="n">
        <f aca="false">IF($A1812="","",IF(ISNUMBER(Base_Bruta!H1812),Base_Bruta!H1812,IFERROR(_xlfn.NUMBERVALUE(TRIM(SUBSTITUTE(Base_Bruta!H1812,"R$","")),",","."),0)))</f>
        <v>2</v>
      </c>
      <c r="I1812" s="6" t="n">
        <f aca="false">IF($A1812="","",IF(ISNUMBER(Base_Bruta!I1812),Base_Bruta!I1812,IFERROR(_xlfn.NUMBERVALUE(TRIM(SUBSTITUTE(Base_Bruta!I1812,"R$","")),",","."),0)))</f>
        <v>775</v>
      </c>
      <c r="J1812" s="6" t="n">
        <f aca="false">IF($A1812="","",H1812*I1812)</f>
        <v>1550</v>
      </c>
      <c r="K1812" s="4" t="str">
        <f aca="false">IF($A1812="","",TRIM(Base_Bruta!J1812))</f>
        <v>Bilheteria</v>
      </c>
      <c r="L1812" s="4" t="str">
        <f aca="false">IF($A1812="","",TRIM(Base_Bruta!K1812))</f>
        <v>C01432</v>
      </c>
      <c r="M1812" s="4" t="str">
        <f aca="false">IF($A1812="","",_xlfn.XLOOKUP(LOWER(TRIM(Base_Bruta!L1812)),DePara_Cidade!$A$2:$A$29,DePara_Cidade!$B$2:$B$29,"REVISAR"))</f>
        <v>Belo Horizonte</v>
      </c>
      <c r="N1812" s="4" t="str">
        <f aca="false">IF($A1812="","",UPPER(TRIM(Base_Bruta!M1812)))</f>
        <v>MG</v>
      </c>
      <c r="O1812" s="4" t="str">
        <f aca="false">IF($A1812="","",_xlfn.XLOOKUP(LOWER(TRIM(Base_Bruta!N1812)),DePara_Pais!$A$2:$A$9,DePara_Pais!$B$2:$B$9,"REVISAR"))</f>
        <v>Brasil</v>
      </c>
      <c r="P1812" s="4" t="str">
        <f aca="false">IF($A1812="","",IF(O1812&lt;&gt;"Brasil","Turista Internacional",IF(M1812=F1812,"Local","Turista Nacional")))</f>
        <v>Local</v>
      </c>
      <c r="Q1812" s="7" t="n">
        <f aca="false">IF($A1812="","",DATE(YEAR(B1812),MONTH(B1812),1))</f>
        <v>45870</v>
      </c>
      <c r="R1812" s="4" t="str">
        <f aca="false">IF($A1812="","",IF(COUNTIF($A$2:$A1812,$A1812)&gt;1,"Sim","Não"))</f>
        <v>Não</v>
      </c>
      <c r="S1812" s="4" t="str">
        <f aca="false">IF(A1812="","Descartar - Linha vazia",IF(R1812="Sim","Descartar - Duplicado",IF(OR(H1812&lt;=0,I1812&lt;=0),"Descartar - Qtd/Valor inválido","OK")))</f>
        <v>OK</v>
      </c>
      <c r="T1812" s="4" t="str">
        <f aca="false">Base_Bruta!P1812</f>
        <v>vendas_MG.csv</v>
      </c>
    </row>
    <row r="1813" customFormat="false" ht="15" hidden="false" customHeight="false" outlineLevel="0" collapsed="false">
      <c r="A1813" s="4" t="str">
        <f aca="false">IF(Base_Bruta!A1813="","",Base_Bruta!A1813)</f>
        <v>MG-000009</v>
      </c>
      <c r="B1813" s="5" t="n">
        <f aca="false">IF($A1813="","",IF(ISNUMBER(Base_Bruta!B1813),Base_Bruta!B1813,IF(MID(Base_Bruta!B1813,5,1)="-",DATE(VALUE(LEFT(Base_Bruta!B1813,4)),VALUE(MID(Base_Bruta!B1813,6,2)),VALUE(RIGHT(Base_Bruta!B1813,2))),DATE(VALUE(RIGHT(Base_Bruta!B1813,4)),VALUE(MID(Base_Bruta!B1813,4,2)),VALUE(LEFT(Base_Bruta!B1813,2))))))</f>
        <v>45890</v>
      </c>
      <c r="C1813" s="5" t="n">
        <f aca="false">IF($A1813="","",IF(ISNUMBER(Base_Bruta!C1813),Base_Bruta!C1813,IF(MID(Base_Bruta!C1813,5,1)="-",DATE(VALUE(LEFT(Base_Bruta!C1813,4)),VALUE(MID(Base_Bruta!C1813,6,2)),VALUE(RIGHT(Base_Bruta!C1813,2))),DATE(VALUE(RIGHT(Base_Bruta!C1813,4)),VALUE(MID(Base_Bruta!C1813,4,2)),VALUE(LEFT(Base_Bruta!C1813,2))))))</f>
        <v>45892</v>
      </c>
      <c r="D1813" s="4" t="str">
        <f aca="false">IF($A1813="","",TRIM(Base_Bruta!D1813))</f>
        <v>Festival Montanhas BH 2025</v>
      </c>
      <c r="E1813" s="4" t="str">
        <f aca="false">IF($A1813="","",_xlfn.XLOOKUP(LOWER(TRIM(Base_Bruta!E1813)),DePara_Categoria!$A$2:$A$9,DePara_Categoria!$B$2:$B$9,"REVISAR"))</f>
        <v>Festival</v>
      </c>
      <c r="F1813" s="4" t="str">
        <f aca="false">IF($A1813="","",_xlfn.XLOOKUP(LOWER(TRIM(Base_Bruta!F1813)),DePara_Cidade!$A$2:$A$29,DePara_Cidade!$B$2:$B$29,"REVISAR"))</f>
        <v>Belo Horizonte</v>
      </c>
      <c r="G1813" s="4" t="str">
        <f aca="false">IF($A1813="","",TRIM(Base_Bruta!G1813))</f>
        <v>Inteira</v>
      </c>
      <c r="H1813" s="4" t="n">
        <f aca="false">IF($A1813="","",IF(ISNUMBER(Base_Bruta!H1813),Base_Bruta!H1813,IFERROR(_xlfn.NUMBERVALUE(TRIM(SUBSTITUTE(Base_Bruta!H1813,"R$","")),",","."),0)))</f>
        <v>2</v>
      </c>
      <c r="I1813" s="6" t="n">
        <f aca="false">IF($A1813="","",IF(ISNUMBER(Base_Bruta!I1813),Base_Bruta!I1813,IFERROR(_xlfn.NUMBERVALUE(TRIM(SUBSTITUTE(Base_Bruta!I1813,"R$","")),",","."),0)))</f>
        <v>1060</v>
      </c>
      <c r="J1813" s="6" t="n">
        <f aca="false">IF($A1813="","",H1813*I1813)</f>
        <v>2120</v>
      </c>
      <c r="K1813" s="4" t="str">
        <f aca="false">IF($A1813="","",TRIM(Base_Bruta!J1813))</f>
        <v>Bilheteria</v>
      </c>
      <c r="L1813" s="4" t="str">
        <f aca="false">IF($A1813="","",TRIM(Base_Bruta!K1813))</f>
        <v>C01884</v>
      </c>
      <c r="M1813" s="4" t="str">
        <f aca="false">IF($A1813="","",_xlfn.XLOOKUP(LOWER(TRIM(Base_Bruta!L1813)),DePara_Cidade!$A$2:$A$29,DePara_Cidade!$B$2:$B$29,"REVISAR"))</f>
        <v>Salvador</v>
      </c>
      <c r="N1813" s="4" t="str">
        <f aca="false">IF($A1813="","",UPPER(TRIM(Base_Bruta!M1813)))</f>
        <v>BA</v>
      </c>
      <c r="O1813" s="4" t="str">
        <f aca="false">IF($A1813="","",_xlfn.XLOOKUP(LOWER(TRIM(Base_Bruta!N1813)),DePara_Pais!$A$2:$A$9,DePara_Pais!$B$2:$B$9,"REVISAR"))</f>
        <v>Brasil</v>
      </c>
      <c r="P1813" s="4" t="str">
        <f aca="false">IF($A1813="","",IF(O1813&lt;&gt;"Brasil","Turista Internacional",IF(M1813=F1813,"Local","Turista Nacional")))</f>
        <v>Turista Nacional</v>
      </c>
      <c r="Q1813" s="7" t="n">
        <f aca="false">IF($A1813="","",DATE(YEAR(B1813),MONTH(B1813),1))</f>
        <v>45870</v>
      </c>
      <c r="R1813" s="4" t="str">
        <f aca="false">IF($A1813="","",IF(COUNTIF($A$2:$A1813,$A1813)&gt;1,"Sim","Não"))</f>
        <v>Não</v>
      </c>
      <c r="S1813" s="4" t="str">
        <f aca="false">IF(A1813="","Descartar - Linha vazia",IF(R1813="Sim","Descartar - Duplicado",IF(OR(H1813&lt;=0,I1813&lt;=0),"Descartar - Qtd/Valor inválido","OK")))</f>
        <v>OK</v>
      </c>
      <c r="T1813" s="4" t="str">
        <f aca="false">Base_Bruta!P1813</f>
        <v>vendas_MG.csv</v>
      </c>
    </row>
    <row r="1814" customFormat="false" ht="15" hidden="false" customHeight="false" outlineLevel="0" collapsed="false">
      <c r="A1814" s="4" t="str">
        <f aca="false">IF(Base_Bruta!A1814="","",Base_Bruta!A1814)</f>
        <v>MG-000016</v>
      </c>
      <c r="B1814" s="5" t="n">
        <f aca="false">IF($A1814="","",IF(ISNUMBER(Base_Bruta!B1814),Base_Bruta!B1814,IF(MID(Base_Bruta!B1814,5,1)="-",DATE(VALUE(LEFT(Base_Bruta!B1814,4)),VALUE(MID(Base_Bruta!B1814,6,2)),VALUE(RIGHT(Base_Bruta!B1814,2))),DATE(VALUE(RIGHT(Base_Bruta!B1814,4)),VALUE(MID(Base_Bruta!B1814,4,2)),VALUE(LEFT(Base_Bruta!B1814,2))))))</f>
        <v>45890</v>
      </c>
      <c r="C1814" s="5" t="n">
        <f aca="false">IF($A1814="","",IF(ISNUMBER(Base_Bruta!C1814),Base_Bruta!C1814,IF(MID(Base_Bruta!C1814,5,1)="-",DATE(VALUE(LEFT(Base_Bruta!C1814,4)),VALUE(MID(Base_Bruta!C1814,6,2)),VALUE(RIGHT(Base_Bruta!C1814,2))),DATE(VALUE(RIGHT(Base_Bruta!C1814,4)),VALUE(MID(Base_Bruta!C1814,4,2)),VALUE(LEFT(Base_Bruta!C1814,2))))))</f>
        <v>45892</v>
      </c>
      <c r="D1814" s="4" t="str">
        <f aca="false">IF($A1814="","",TRIM(Base_Bruta!D1814))</f>
        <v>Festival Montanhas BH 2025</v>
      </c>
      <c r="E1814" s="4" t="str">
        <f aca="false">IF($A1814="","",_xlfn.XLOOKUP(LOWER(TRIM(Base_Bruta!E1814)),DePara_Categoria!$A$2:$A$9,DePara_Categoria!$B$2:$B$9,"REVISAR"))</f>
        <v>Festival</v>
      </c>
      <c r="F1814" s="4" t="str">
        <f aca="false">IF($A1814="","",_xlfn.XLOOKUP(LOWER(TRIM(Base_Bruta!F1814)),DePara_Cidade!$A$2:$A$29,DePara_Cidade!$B$2:$B$29,"REVISAR"))</f>
        <v>Belo Horizonte</v>
      </c>
      <c r="G1814" s="4" t="str">
        <f aca="false">IF($A1814="","",TRIM(Base_Bruta!G1814))</f>
        <v>VIP</v>
      </c>
      <c r="H1814" s="4" t="n">
        <f aca="false">IF($A1814="","",IF(ISNUMBER(Base_Bruta!H1814),Base_Bruta!H1814,IFERROR(_xlfn.NUMBERVALUE(TRIM(SUBSTITUTE(Base_Bruta!H1814,"R$","")),",","."),0)))</f>
        <v>2</v>
      </c>
      <c r="I1814" s="6" t="n">
        <f aca="false">IF($A1814="","",IF(ISNUMBER(Base_Bruta!I1814),Base_Bruta!I1814,IFERROR(_xlfn.NUMBERVALUE(TRIM(SUBSTITUTE(Base_Bruta!I1814,"R$","")),",","."),0)))</f>
        <v>2090</v>
      </c>
      <c r="J1814" s="6" t="n">
        <f aca="false">IF($A1814="","",H1814*I1814)</f>
        <v>4180</v>
      </c>
      <c r="K1814" s="4" t="str">
        <f aca="false">IF($A1814="","",TRIM(Base_Bruta!J1814))</f>
        <v>Site</v>
      </c>
      <c r="L1814" s="4" t="str">
        <f aca="false">IF($A1814="","",TRIM(Base_Bruta!K1814))</f>
        <v>C01371</v>
      </c>
      <c r="M1814" s="4" t="str">
        <f aca="false">IF($A1814="","",_xlfn.XLOOKUP(LOWER(TRIM(Base_Bruta!L1814)),DePara_Cidade!$A$2:$A$29,DePara_Cidade!$B$2:$B$29,"REVISAR"))</f>
        <v>Contagem</v>
      </c>
      <c r="N1814" s="4" t="str">
        <f aca="false">IF($A1814="","",UPPER(TRIM(Base_Bruta!M1814)))</f>
        <v>MG</v>
      </c>
      <c r="O1814" s="4" t="str">
        <f aca="false">IF($A1814="","",_xlfn.XLOOKUP(LOWER(TRIM(Base_Bruta!N1814)),DePara_Pais!$A$2:$A$9,DePara_Pais!$B$2:$B$9,"REVISAR"))</f>
        <v>Brasil</v>
      </c>
      <c r="P1814" s="4" t="str">
        <f aca="false">IF($A1814="","",IF(O1814&lt;&gt;"Brasil","Turista Internacional",IF(M1814=F1814,"Local","Turista Nacional")))</f>
        <v>Turista Nacional</v>
      </c>
      <c r="Q1814" s="7" t="n">
        <f aca="false">IF($A1814="","",DATE(YEAR(B1814),MONTH(B1814),1))</f>
        <v>45870</v>
      </c>
      <c r="R1814" s="4" t="str">
        <f aca="false">IF($A1814="","",IF(COUNTIF($A$2:$A1814,$A1814)&gt;1,"Sim","Não"))</f>
        <v>Não</v>
      </c>
      <c r="S1814" s="4" t="str">
        <f aca="false">IF(A1814="","Descartar - Linha vazia",IF(R1814="Sim","Descartar - Duplicado",IF(OR(H1814&lt;=0,I1814&lt;=0),"Descartar - Qtd/Valor inválido","OK")))</f>
        <v>OK</v>
      </c>
      <c r="T1814" s="4" t="str">
        <f aca="false">Base_Bruta!P1814</f>
        <v>vendas_MG.csv</v>
      </c>
    </row>
    <row r="1815" customFormat="false" ht="15" hidden="false" customHeight="false" outlineLevel="0" collapsed="false">
      <c r="A1815" s="4" t="str">
        <f aca="false">IF(Base_Bruta!A1815="","",Base_Bruta!A1815)</f>
        <v>MG-000089</v>
      </c>
      <c r="B1815" s="5" t="n">
        <f aca="false">IF($A1815="","",IF(ISNUMBER(Base_Bruta!B1815),Base_Bruta!B1815,IF(MID(Base_Bruta!B1815,5,1)="-",DATE(VALUE(LEFT(Base_Bruta!B1815,4)),VALUE(MID(Base_Bruta!B1815,6,2)),VALUE(RIGHT(Base_Bruta!B1815,2))),DATE(VALUE(RIGHT(Base_Bruta!B1815,4)),VALUE(MID(Base_Bruta!B1815,4,2)),VALUE(LEFT(Base_Bruta!B1815,2))))))</f>
        <v>45890</v>
      </c>
      <c r="C1815" s="5" t="n">
        <f aca="false">IF($A1815="","",IF(ISNUMBER(Base_Bruta!C1815),Base_Bruta!C1815,IF(MID(Base_Bruta!C1815,5,1)="-",DATE(VALUE(LEFT(Base_Bruta!C1815,4)),VALUE(MID(Base_Bruta!C1815,6,2)),VALUE(RIGHT(Base_Bruta!C1815,2))),DATE(VALUE(RIGHT(Base_Bruta!C1815,4)),VALUE(MID(Base_Bruta!C1815,4,2)),VALUE(LEFT(Base_Bruta!C1815,2))))))</f>
        <v>45892</v>
      </c>
      <c r="D1815" s="4" t="str">
        <f aca="false">IF($A1815="","",TRIM(Base_Bruta!D1815))</f>
        <v>Festival Montanhas BH 2025</v>
      </c>
      <c r="E1815" s="4" t="str">
        <f aca="false">IF($A1815="","",_xlfn.XLOOKUP(LOWER(TRIM(Base_Bruta!E1815)),DePara_Categoria!$A$2:$A$9,DePara_Categoria!$B$2:$B$9,"REVISAR"))</f>
        <v>Festival</v>
      </c>
      <c r="F1815" s="4" t="str">
        <f aca="false">IF($A1815="","",_xlfn.XLOOKUP(LOWER(TRIM(Base_Bruta!F1815)),DePara_Cidade!$A$2:$A$29,DePara_Cidade!$B$2:$B$29,"REVISAR"))</f>
        <v>Belo Horizonte</v>
      </c>
      <c r="G1815" s="4" t="str">
        <f aca="false">IF($A1815="","",TRIM(Base_Bruta!G1815))</f>
        <v>Inteira</v>
      </c>
      <c r="H1815" s="4" t="n">
        <f aca="false">IF($A1815="","",IF(ISNUMBER(Base_Bruta!H1815),Base_Bruta!H1815,IFERROR(_xlfn.NUMBERVALUE(TRIM(SUBSTITUTE(Base_Bruta!H1815,"R$","")),",","."),0)))</f>
        <v>2</v>
      </c>
      <c r="I1815" s="6" t="n">
        <f aca="false">IF($A1815="","",IF(ISNUMBER(Base_Bruta!I1815),Base_Bruta!I1815,IFERROR(_xlfn.NUMBERVALUE(TRIM(SUBSTITUTE(Base_Bruta!I1815,"R$","")),",","."),0)))</f>
        <v>1005</v>
      </c>
      <c r="J1815" s="6" t="n">
        <f aca="false">IF($A1815="","",H1815*I1815)</f>
        <v>2010</v>
      </c>
      <c r="K1815" s="4" t="str">
        <f aca="false">IF($A1815="","",TRIM(Base_Bruta!J1815))</f>
        <v>Parceiro</v>
      </c>
      <c r="L1815" s="4" t="str">
        <f aca="false">IF($A1815="","",TRIM(Base_Bruta!K1815))</f>
        <v>C00606</v>
      </c>
      <c r="M1815" s="4" t="str">
        <f aca="false">IF($A1815="","",_xlfn.XLOOKUP(LOWER(TRIM(Base_Bruta!L1815)),DePara_Cidade!$A$2:$A$29,DePara_Cidade!$B$2:$B$29,"REVISAR"))</f>
        <v>Curitiba</v>
      </c>
      <c r="N1815" s="4" t="str">
        <f aca="false">IF($A1815="","",UPPER(TRIM(Base_Bruta!M1815)))</f>
        <v>PR</v>
      </c>
      <c r="O1815" s="4" t="str">
        <f aca="false">IF($A1815="","",_xlfn.XLOOKUP(LOWER(TRIM(Base_Bruta!N1815)),DePara_Pais!$A$2:$A$9,DePara_Pais!$B$2:$B$9,"REVISAR"))</f>
        <v>Brasil</v>
      </c>
      <c r="P1815" s="4" t="str">
        <f aca="false">IF($A1815="","",IF(O1815&lt;&gt;"Brasil","Turista Internacional",IF(M1815=F1815,"Local","Turista Nacional")))</f>
        <v>Turista Nacional</v>
      </c>
      <c r="Q1815" s="7" t="n">
        <f aca="false">IF($A1815="","",DATE(YEAR(B1815),MONTH(B1815),1))</f>
        <v>45870</v>
      </c>
      <c r="R1815" s="4" t="str">
        <f aca="false">IF($A1815="","",IF(COUNTIF($A$2:$A1815,$A1815)&gt;1,"Sim","Não"))</f>
        <v>Não</v>
      </c>
      <c r="S1815" s="4" t="str">
        <f aca="false">IF(A1815="","Descartar - Linha vazia",IF(R1815="Sim","Descartar - Duplicado",IF(OR(H1815&lt;=0,I1815&lt;=0),"Descartar - Qtd/Valor inválido","OK")))</f>
        <v>OK</v>
      </c>
      <c r="T1815" s="4" t="str">
        <f aca="false">Base_Bruta!P1815</f>
        <v>vendas_MG.csv</v>
      </c>
    </row>
    <row r="1816" customFormat="false" ht="15" hidden="false" customHeight="false" outlineLevel="0" collapsed="false">
      <c r="A1816" s="4" t="str">
        <f aca="false">IF(Base_Bruta!A1816="","",Base_Bruta!A1816)</f>
        <v>MG-000119</v>
      </c>
      <c r="B1816" s="5" t="n">
        <f aca="false">IF($A1816="","",IF(ISNUMBER(Base_Bruta!B1816),Base_Bruta!B1816,IF(MID(Base_Bruta!B1816,5,1)="-",DATE(VALUE(LEFT(Base_Bruta!B1816,4)),VALUE(MID(Base_Bruta!B1816,6,2)),VALUE(RIGHT(Base_Bruta!B1816,2))),DATE(VALUE(RIGHT(Base_Bruta!B1816,4)),VALUE(MID(Base_Bruta!B1816,4,2)),VALUE(LEFT(Base_Bruta!B1816,2))))))</f>
        <v>45890</v>
      </c>
      <c r="C1816" s="5" t="n">
        <f aca="false">IF($A1816="","",IF(ISNUMBER(Base_Bruta!C1816),Base_Bruta!C1816,IF(MID(Base_Bruta!C1816,5,1)="-",DATE(VALUE(LEFT(Base_Bruta!C1816,4)),VALUE(MID(Base_Bruta!C1816,6,2)),VALUE(RIGHT(Base_Bruta!C1816,2))),DATE(VALUE(RIGHT(Base_Bruta!C1816,4)),VALUE(MID(Base_Bruta!C1816,4,2)),VALUE(LEFT(Base_Bruta!C1816,2))))))</f>
        <v>45892</v>
      </c>
      <c r="D1816" s="4" t="str">
        <f aca="false">IF($A1816="","",TRIM(Base_Bruta!D1816))</f>
        <v>Festival Montanhas BH 2025</v>
      </c>
      <c r="E1816" s="4" t="str">
        <f aca="false">IF($A1816="","",_xlfn.XLOOKUP(LOWER(TRIM(Base_Bruta!E1816)),DePara_Categoria!$A$2:$A$9,DePara_Categoria!$B$2:$B$9,"REVISAR"))</f>
        <v>Festival</v>
      </c>
      <c r="F1816" s="4" t="str">
        <f aca="false">IF($A1816="","",_xlfn.XLOOKUP(LOWER(TRIM(Base_Bruta!F1816)),DePara_Cidade!$A$2:$A$29,DePara_Cidade!$B$2:$B$29,"REVISAR"))</f>
        <v>Belo Horizonte</v>
      </c>
      <c r="G1816" s="4" t="str">
        <f aca="false">IF($A1816="","",TRIM(Base_Bruta!G1816))</f>
        <v>Inteira</v>
      </c>
      <c r="H1816" s="4" t="n">
        <f aca="false">IF($A1816="","",IF(ISNUMBER(Base_Bruta!H1816),Base_Bruta!H1816,IFERROR(_xlfn.NUMBERVALUE(TRIM(SUBSTITUTE(Base_Bruta!H1816,"R$","")),",","."),0)))</f>
        <v>1</v>
      </c>
      <c r="I1816" s="6" t="n">
        <f aca="false">IF($A1816="","",IF(ISNUMBER(Base_Bruta!I1816),Base_Bruta!I1816,IFERROR(_xlfn.NUMBERVALUE(TRIM(SUBSTITUTE(Base_Bruta!I1816,"R$","")),",","."),0)))</f>
        <v>1125</v>
      </c>
      <c r="J1816" s="6" t="n">
        <f aca="false">IF($A1816="","",H1816*I1816)</f>
        <v>1125</v>
      </c>
      <c r="K1816" s="4" t="str">
        <f aca="false">IF($A1816="","",TRIM(Base_Bruta!J1816))</f>
        <v>Site</v>
      </c>
      <c r="L1816" s="4" t="str">
        <f aca="false">IF($A1816="","",TRIM(Base_Bruta!K1816))</f>
        <v>C00575</v>
      </c>
      <c r="M1816" s="4" t="str">
        <f aca="false">IF($A1816="","",_xlfn.XLOOKUP(LOWER(TRIM(Base_Bruta!L1816)),DePara_Cidade!$A$2:$A$29,DePara_Cidade!$B$2:$B$29,"REVISAR"))</f>
        <v>Belo Horizonte</v>
      </c>
      <c r="N1816" s="4" t="str">
        <f aca="false">IF($A1816="","",UPPER(TRIM(Base_Bruta!M1816)))</f>
        <v>MG</v>
      </c>
      <c r="O1816" s="4" t="str">
        <f aca="false">IF($A1816="","",_xlfn.XLOOKUP(LOWER(TRIM(Base_Bruta!N1816)),DePara_Pais!$A$2:$A$9,DePara_Pais!$B$2:$B$9,"REVISAR"))</f>
        <v>Brasil</v>
      </c>
      <c r="P1816" s="4" t="str">
        <f aca="false">IF($A1816="","",IF(O1816&lt;&gt;"Brasil","Turista Internacional",IF(M1816=F1816,"Local","Turista Nacional")))</f>
        <v>Local</v>
      </c>
      <c r="Q1816" s="7" t="n">
        <f aca="false">IF($A1816="","",DATE(YEAR(B1816),MONTH(B1816),1))</f>
        <v>45870</v>
      </c>
      <c r="R1816" s="4" t="str">
        <f aca="false">IF($A1816="","",IF(COUNTIF($A$2:$A1816,$A1816)&gt;1,"Sim","Não"))</f>
        <v>Não</v>
      </c>
      <c r="S1816" s="4" t="str">
        <f aca="false">IF(A1816="","Descartar - Linha vazia",IF(R1816="Sim","Descartar - Duplicado",IF(OR(H1816&lt;=0,I1816&lt;=0),"Descartar - Qtd/Valor inválido","OK")))</f>
        <v>OK</v>
      </c>
      <c r="T1816" s="4" t="str">
        <f aca="false">Base_Bruta!P1816</f>
        <v>vendas_MG.csv</v>
      </c>
    </row>
    <row r="1817" customFormat="false" ht="15" hidden="false" customHeight="false" outlineLevel="0" collapsed="false">
      <c r="A1817" s="4" t="str">
        <f aca="false">IF(Base_Bruta!A1817="","",Base_Bruta!A1817)</f>
        <v>MG-000123</v>
      </c>
      <c r="B1817" s="5" t="n">
        <f aca="false">IF($A1817="","",IF(ISNUMBER(Base_Bruta!B1817),Base_Bruta!B1817,IF(MID(Base_Bruta!B1817,5,1)="-",DATE(VALUE(LEFT(Base_Bruta!B1817,4)),VALUE(MID(Base_Bruta!B1817,6,2)),VALUE(RIGHT(Base_Bruta!B1817,2))),DATE(VALUE(RIGHT(Base_Bruta!B1817,4)),VALUE(MID(Base_Bruta!B1817,4,2)),VALUE(LEFT(Base_Bruta!B1817,2))))))</f>
        <v>45890</v>
      </c>
      <c r="C1817" s="5" t="n">
        <f aca="false">IF($A1817="","",IF(ISNUMBER(Base_Bruta!C1817),Base_Bruta!C1817,IF(MID(Base_Bruta!C1817,5,1)="-",DATE(VALUE(LEFT(Base_Bruta!C1817,4)),VALUE(MID(Base_Bruta!C1817,6,2)),VALUE(RIGHT(Base_Bruta!C1817,2))),DATE(VALUE(RIGHT(Base_Bruta!C1817,4)),VALUE(MID(Base_Bruta!C1817,4,2)),VALUE(LEFT(Base_Bruta!C1817,2))))))</f>
        <v>45892</v>
      </c>
      <c r="D1817" s="4" t="str">
        <f aca="false">IF($A1817="","",TRIM(Base_Bruta!D1817))</f>
        <v>Festival Montanhas BH 2025</v>
      </c>
      <c r="E1817" s="4" t="str">
        <f aca="false">IF($A1817="","",_xlfn.XLOOKUP(LOWER(TRIM(Base_Bruta!E1817)),DePara_Categoria!$A$2:$A$9,DePara_Categoria!$B$2:$B$9,"REVISAR"))</f>
        <v>Festival</v>
      </c>
      <c r="F1817" s="4" t="str">
        <f aca="false">IF($A1817="","",_xlfn.XLOOKUP(LOWER(TRIM(Base_Bruta!F1817)),DePara_Cidade!$A$2:$A$29,DePara_Cidade!$B$2:$B$29,"REVISAR"))</f>
        <v>Belo Horizonte</v>
      </c>
      <c r="G1817" s="4" t="str">
        <f aca="false">IF($A1817="","",TRIM(Base_Bruta!G1817))</f>
        <v>Inteira</v>
      </c>
      <c r="H1817" s="4" t="n">
        <f aca="false">IF($A1817="","",IF(ISNUMBER(Base_Bruta!H1817),Base_Bruta!H1817,IFERROR(_xlfn.NUMBERVALUE(TRIM(SUBSTITUTE(Base_Bruta!H1817,"R$","")),",","."),0)))</f>
        <v>1</v>
      </c>
      <c r="I1817" s="6" t="n">
        <f aca="false">IF($A1817="","",IF(ISNUMBER(Base_Bruta!I1817),Base_Bruta!I1817,IFERROR(_xlfn.NUMBERVALUE(TRIM(SUBSTITUTE(Base_Bruta!I1817,"R$","")),",","."),0)))</f>
        <v>680</v>
      </c>
      <c r="J1817" s="6" t="n">
        <f aca="false">IF($A1817="","",H1817*I1817)</f>
        <v>680</v>
      </c>
      <c r="K1817" s="4" t="str">
        <f aca="false">IF($A1817="","",TRIM(Base_Bruta!J1817))</f>
        <v>App</v>
      </c>
      <c r="L1817" s="4" t="str">
        <f aca="false">IF($A1817="","",TRIM(Base_Bruta!K1817))</f>
        <v>C01021</v>
      </c>
      <c r="M1817" s="4" t="str">
        <f aca="false">IF($A1817="","",_xlfn.XLOOKUP(LOWER(TRIM(Base_Bruta!L1817)),DePara_Cidade!$A$2:$A$29,DePara_Cidade!$B$2:$B$29,"REVISAR"))</f>
        <v>Belo Horizonte</v>
      </c>
      <c r="N1817" s="4" t="str">
        <f aca="false">IF($A1817="","",UPPER(TRIM(Base_Bruta!M1817)))</f>
        <v>MG</v>
      </c>
      <c r="O1817" s="4" t="str">
        <f aca="false">IF($A1817="","",_xlfn.XLOOKUP(LOWER(TRIM(Base_Bruta!N1817)),DePara_Pais!$A$2:$A$9,DePara_Pais!$B$2:$B$9,"REVISAR"))</f>
        <v>Brasil</v>
      </c>
      <c r="P1817" s="4" t="str">
        <f aca="false">IF($A1817="","",IF(O1817&lt;&gt;"Brasil","Turista Internacional",IF(M1817=F1817,"Local","Turista Nacional")))</f>
        <v>Local</v>
      </c>
      <c r="Q1817" s="7" t="n">
        <f aca="false">IF($A1817="","",DATE(YEAR(B1817),MONTH(B1817),1))</f>
        <v>45870</v>
      </c>
      <c r="R1817" s="4" t="str">
        <f aca="false">IF($A1817="","",IF(COUNTIF($A$2:$A1817,$A1817)&gt;1,"Sim","Não"))</f>
        <v>Não</v>
      </c>
      <c r="S1817" s="4" t="str">
        <f aca="false">IF(A1817="","Descartar - Linha vazia",IF(R1817="Sim","Descartar - Duplicado",IF(OR(H1817&lt;=0,I1817&lt;=0),"Descartar - Qtd/Valor inválido","OK")))</f>
        <v>OK</v>
      </c>
      <c r="T1817" s="4" t="str">
        <f aca="false">Base_Bruta!P1817</f>
        <v>vendas_MG.csv</v>
      </c>
    </row>
    <row r="1818" customFormat="false" ht="15" hidden="false" customHeight="false" outlineLevel="0" collapsed="false">
      <c r="A1818" s="4" t="str">
        <f aca="false">IF(Base_Bruta!A1818="","",Base_Bruta!A1818)</f>
        <v>MG-000180</v>
      </c>
      <c r="B1818" s="5" t="n">
        <f aca="false">IF($A1818="","",IF(ISNUMBER(Base_Bruta!B1818),Base_Bruta!B1818,IF(MID(Base_Bruta!B1818,5,1)="-",DATE(VALUE(LEFT(Base_Bruta!B1818,4)),VALUE(MID(Base_Bruta!B1818,6,2)),VALUE(RIGHT(Base_Bruta!B1818,2))),DATE(VALUE(RIGHT(Base_Bruta!B1818,4)),VALUE(MID(Base_Bruta!B1818,4,2)),VALUE(LEFT(Base_Bruta!B1818,2))))))</f>
        <v>45890</v>
      </c>
      <c r="C1818" s="5" t="n">
        <f aca="false">IF($A1818="","",IF(ISNUMBER(Base_Bruta!C1818),Base_Bruta!C1818,IF(MID(Base_Bruta!C1818,5,1)="-",DATE(VALUE(LEFT(Base_Bruta!C1818,4)),VALUE(MID(Base_Bruta!C1818,6,2)),VALUE(RIGHT(Base_Bruta!C1818,2))),DATE(VALUE(RIGHT(Base_Bruta!C1818,4)),VALUE(MID(Base_Bruta!C1818,4,2)),VALUE(LEFT(Base_Bruta!C1818,2))))))</f>
        <v>45892</v>
      </c>
      <c r="D1818" s="4" t="str">
        <f aca="false">IF($A1818="","",TRIM(Base_Bruta!D1818))</f>
        <v>Festival Montanhas BH 2025</v>
      </c>
      <c r="E1818" s="4" t="str">
        <f aca="false">IF($A1818="","",_xlfn.XLOOKUP(LOWER(TRIM(Base_Bruta!E1818)),DePara_Categoria!$A$2:$A$9,DePara_Categoria!$B$2:$B$9,"REVISAR"))</f>
        <v>Festival</v>
      </c>
      <c r="F1818" s="4" t="str">
        <f aca="false">IF($A1818="","",_xlfn.XLOOKUP(LOWER(TRIM(Base_Bruta!F1818)),DePara_Cidade!$A$2:$A$29,DePara_Cidade!$B$2:$B$29,"REVISAR"))</f>
        <v>Belo Horizonte</v>
      </c>
      <c r="G1818" s="4" t="str">
        <f aca="false">IF($A1818="","",TRIM(Base_Bruta!G1818))</f>
        <v>Inteira</v>
      </c>
      <c r="H1818" s="4" t="n">
        <f aca="false">IF($A1818="","",IF(ISNUMBER(Base_Bruta!H1818),Base_Bruta!H1818,IFERROR(_xlfn.NUMBERVALUE(TRIM(SUBSTITUTE(Base_Bruta!H1818,"R$","")),",","."),0)))</f>
        <v>1</v>
      </c>
      <c r="I1818" s="6" t="n">
        <f aca="false">IF($A1818="","",IF(ISNUMBER(Base_Bruta!I1818),Base_Bruta!I1818,IFERROR(_xlfn.NUMBERVALUE(TRIM(SUBSTITUTE(Base_Bruta!I1818,"R$","")),",","."),0)))</f>
        <v>760</v>
      </c>
      <c r="J1818" s="6" t="n">
        <f aca="false">IF($A1818="","",H1818*I1818)</f>
        <v>760</v>
      </c>
      <c r="K1818" s="4" t="str">
        <f aca="false">IF($A1818="","",TRIM(Base_Bruta!J1818))</f>
        <v>Site</v>
      </c>
      <c r="L1818" s="4" t="str">
        <f aca="false">IF($A1818="","",TRIM(Base_Bruta!K1818))</f>
        <v>C00257</v>
      </c>
      <c r="M1818" s="4" t="str">
        <f aca="false">IF($A1818="","",_xlfn.XLOOKUP(LOWER(TRIM(Base_Bruta!L1818)),DePara_Cidade!$A$2:$A$29,DePara_Cidade!$B$2:$B$29,"REVISAR"))</f>
        <v>Belo Horizonte</v>
      </c>
      <c r="N1818" s="4" t="str">
        <f aca="false">IF($A1818="","",UPPER(TRIM(Base_Bruta!M1818)))</f>
        <v>MG</v>
      </c>
      <c r="O1818" s="4" t="str">
        <f aca="false">IF($A1818="","",_xlfn.XLOOKUP(LOWER(TRIM(Base_Bruta!N1818)),DePara_Pais!$A$2:$A$9,DePara_Pais!$B$2:$B$9,"REVISAR"))</f>
        <v>Brasil</v>
      </c>
      <c r="P1818" s="4" t="str">
        <f aca="false">IF($A1818="","",IF(O1818&lt;&gt;"Brasil","Turista Internacional",IF(M1818=F1818,"Local","Turista Nacional")))</f>
        <v>Local</v>
      </c>
      <c r="Q1818" s="7" t="n">
        <f aca="false">IF($A1818="","",DATE(YEAR(B1818),MONTH(B1818),1))</f>
        <v>45870</v>
      </c>
      <c r="R1818" s="4" t="str">
        <f aca="false">IF($A1818="","",IF(COUNTIF($A$2:$A1818,$A1818)&gt;1,"Sim","Não"))</f>
        <v>Não</v>
      </c>
      <c r="S1818" s="4" t="str">
        <f aca="false">IF(A1818="","Descartar - Linha vazia",IF(R1818="Sim","Descartar - Duplicado",IF(OR(H1818&lt;=0,I1818&lt;=0),"Descartar - Qtd/Valor inválido","OK")))</f>
        <v>OK</v>
      </c>
      <c r="T1818" s="4" t="str">
        <f aca="false">Base_Bruta!P1818</f>
        <v>vendas_MG.csv</v>
      </c>
    </row>
    <row r="1819" customFormat="false" ht="15" hidden="false" customHeight="false" outlineLevel="0" collapsed="false">
      <c r="A1819" s="4" t="str">
        <f aca="false">IF(Base_Bruta!A1819="","",Base_Bruta!A1819)</f>
        <v>MG-000029</v>
      </c>
      <c r="B1819" s="5" t="n">
        <f aca="false">IF($A1819="","",IF(ISNUMBER(Base_Bruta!B1819),Base_Bruta!B1819,IF(MID(Base_Bruta!B1819,5,1)="-",DATE(VALUE(LEFT(Base_Bruta!B1819,4)),VALUE(MID(Base_Bruta!B1819,6,2)),VALUE(RIGHT(Base_Bruta!B1819,2))),DATE(VALUE(RIGHT(Base_Bruta!B1819,4)),VALUE(MID(Base_Bruta!B1819,4,2)),VALUE(LEFT(Base_Bruta!B1819,2))))))</f>
        <v>45891</v>
      </c>
      <c r="C1819" s="5" t="n">
        <f aca="false">IF($A1819="","",IF(ISNUMBER(Base_Bruta!C1819),Base_Bruta!C1819,IF(MID(Base_Bruta!C1819,5,1)="-",DATE(VALUE(LEFT(Base_Bruta!C1819,4)),VALUE(MID(Base_Bruta!C1819,6,2)),VALUE(RIGHT(Base_Bruta!C1819,2))),DATE(VALUE(RIGHT(Base_Bruta!C1819,4)),VALUE(MID(Base_Bruta!C1819,4,2)),VALUE(LEFT(Base_Bruta!C1819,2))))))</f>
        <v>45892</v>
      </c>
      <c r="D1819" s="4" t="str">
        <f aca="false">IF($A1819="","",TRIM(Base_Bruta!D1819))</f>
        <v>Festival Montanhas BH 2025</v>
      </c>
      <c r="E1819" s="4" t="str">
        <f aca="false">IF($A1819="","",_xlfn.XLOOKUP(LOWER(TRIM(Base_Bruta!E1819)),DePara_Categoria!$A$2:$A$9,DePara_Categoria!$B$2:$B$9,"REVISAR"))</f>
        <v>Festival</v>
      </c>
      <c r="F1819" s="4" t="str">
        <f aca="false">IF($A1819="","",_xlfn.XLOOKUP(LOWER(TRIM(Base_Bruta!F1819)),DePara_Cidade!$A$2:$A$29,DePara_Cidade!$B$2:$B$29,"REVISAR"))</f>
        <v>Belo Horizonte</v>
      </c>
      <c r="G1819" s="4" t="str">
        <f aca="false">IF($A1819="","",TRIM(Base_Bruta!G1819))</f>
        <v>Inteira</v>
      </c>
      <c r="H1819" s="4" t="n">
        <f aca="false">IF($A1819="","",IF(ISNUMBER(Base_Bruta!H1819),Base_Bruta!H1819,IFERROR(_xlfn.NUMBERVALUE(TRIM(SUBSTITUTE(Base_Bruta!H1819,"R$","")),",","."),0)))</f>
        <v>2</v>
      </c>
      <c r="I1819" s="6" t="n">
        <f aca="false">IF($A1819="","",IF(ISNUMBER(Base_Bruta!I1819),Base_Bruta!I1819,IFERROR(_xlfn.NUMBERVALUE(TRIM(SUBSTITUTE(Base_Bruta!I1819,"R$","")),",","."),0)))</f>
        <v>980</v>
      </c>
      <c r="J1819" s="6" t="n">
        <f aca="false">IF($A1819="","",H1819*I1819)</f>
        <v>1960</v>
      </c>
      <c r="K1819" s="4" t="str">
        <f aca="false">IF($A1819="","",TRIM(Base_Bruta!J1819))</f>
        <v>Site</v>
      </c>
      <c r="L1819" s="4" t="str">
        <f aca="false">IF($A1819="","",TRIM(Base_Bruta!K1819))</f>
        <v>C01533</v>
      </c>
      <c r="M1819" s="4" t="str">
        <f aca="false">IF($A1819="","",_xlfn.XLOOKUP(LOWER(TRIM(Base_Bruta!L1819)),DePara_Cidade!$A$2:$A$29,DePara_Cidade!$B$2:$B$29,"REVISAR"))</f>
        <v>Belo Horizonte</v>
      </c>
      <c r="N1819" s="4" t="str">
        <f aca="false">IF($A1819="","",UPPER(TRIM(Base_Bruta!M1819)))</f>
        <v>MG</v>
      </c>
      <c r="O1819" s="4" t="str">
        <f aca="false">IF($A1819="","",_xlfn.XLOOKUP(LOWER(TRIM(Base_Bruta!N1819)),DePara_Pais!$A$2:$A$9,DePara_Pais!$B$2:$B$9,"REVISAR"))</f>
        <v>Brasil</v>
      </c>
      <c r="P1819" s="4" t="str">
        <f aca="false">IF($A1819="","",IF(O1819&lt;&gt;"Brasil","Turista Internacional",IF(M1819=F1819,"Local","Turista Nacional")))</f>
        <v>Local</v>
      </c>
      <c r="Q1819" s="7" t="n">
        <f aca="false">IF($A1819="","",DATE(YEAR(B1819),MONTH(B1819),1))</f>
        <v>45870</v>
      </c>
      <c r="R1819" s="4" t="str">
        <f aca="false">IF($A1819="","",IF(COUNTIF($A$2:$A1819,$A1819)&gt;1,"Sim","Não"))</f>
        <v>Não</v>
      </c>
      <c r="S1819" s="4" t="str">
        <f aca="false">IF(A1819="","Descartar - Linha vazia",IF(R1819="Sim","Descartar - Duplicado",IF(OR(H1819&lt;=0,I1819&lt;=0),"Descartar - Qtd/Valor inválido","OK")))</f>
        <v>OK</v>
      </c>
      <c r="T1819" s="4" t="str">
        <f aca="false">Base_Bruta!P1819</f>
        <v>vendas_MG.csv</v>
      </c>
    </row>
    <row r="1820" customFormat="false" ht="15" hidden="false" customHeight="false" outlineLevel="0" collapsed="false">
      <c r="A1820" s="4" t="str">
        <f aca="false">IF(Base_Bruta!A1820="","",Base_Bruta!A1820)</f>
        <v>MG-000072</v>
      </c>
      <c r="B1820" s="5" t="n">
        <f aca="false">IF($A1820="","",IF(ISNUMBER(Base_Bruta!B1820),Base_Bruta!B1820,IF(MID(Base_Bruta!B1820,5,1)="-",DATE(VALUE(LEFT(Base_Bruta!B1820,4)),VALUE(MID(Base_Bruta!B1820,6,2)),VALUE(RIGHT(Base_Bruta!B1820,2))),DATE(VALUE(RIGHT(Base_Bruta!B1820,4)),VALUE(MID(Base_Bruta!B1820,4,2)),VALUE(LEFT(Base_Bruta!B1820,2))))))</f>
        <v>45891</v>
      </c>
      <c r="C1820" s="5" t="n">
        <f aca="false">IF($A1820="","",IF(ISNUMBER(Base_Bruta!C1820),Base_Bruta!C1820,IF(MID(Base_Bruta!C1820,5,1)="-",DATE(VALUE(LEFT(Base_Bruta!C1820,4)),VALUE(MID(Base_Bruta!C1820,6,2)),VALUE(RIGHT(Base_Bruta!C1820,2))),DATE(VALUE(RIGHT(Base_Bruta!C1820,4)),VALUE(MID(Base_Bruta!C1820,4,2)),VALUE(LEFT(Base_Bruta!C1820,2))))))</f>
        <v>45892</v>
      </c>
      <c r="D1820" s="4" t="str">
        <f aca="false">IF($A1820="","",TRIM(Base_Bruta!D1820))</f>
        <v>Festival Montanhas BH 2025</v>
      </c>
      <c r="E1820" s="4" t="str">
        <f aca="false">IF($A1820="","",_xlfn.XLOOKUP(LOWER(TRIM(Base_Bruta!E1820)),DePara_Categoria!$A$2:$A$9,DePara_Categoria!$B$2:$B$9,"REVISAR"))</f>
        <v>Festival</v>
      </c>
      <c r="F1820" s="4" t="str">
        <f aca="false">IF($A1820="","",_xlfn.XLOOKUP(LOWER(TRIM(Base_Bruta!F1820)),DePara_Cidade!$A$2:$A$29,DePara_Cidade!$B$2:$B$29,"REVISAR"))</f>
        <v>Belo Horizonte</v>
      </c>
      <c r="G1820" s="4" t="str">
        <f aca="false">IF($A1820="","",TRIM(Base_Bruta!G1820))</f>
        <v>Inteira</v>
      </c>
      <c r="H1820" s="4" t="n">
        <f aca="false">IF($A1820="","",IF(ISNUMBER(Base_Bruta!H1820),Base_Bruta!H1820,IFERROR(_xlfn.NUMBERVALUE(TRIM(SUBSTITUTE(Base_Bruta!H1820,"R$","")),",","."),0)))</f>
        <v>2</v>
      </c>
      <c r="I1820" s="6" t="n">
        <f aca="false">IF($A1820="","",IF(ISNUMBER(Base_Bruta!I1820),Base_Bruta!I1820,IFERROR(_xlfn.NUMBERVALUE(TRIM(SUBSTITUTE(Base_Bruta!I1820,"R$","")),",","."),0)))</f>
        <v>965</v>
      </c>
      <c r="J1820" s="6" t="n">
        <f aca="false">IF($A1820="","",H1820*I1820)</f>
        <v>1930</v>
      </c>
      <c r="K1820" s="4" t="str">
        <f aca="false">IF($A1820="","",TRIM(Base_Bruta!J1820))</f>
        <v>Site</v>
      </c>
      <c r="L1820" s="4" t="str">
        <f aca="false">IF($A1820="","",TRIM(Base_Bruta!K1820))</f>
        <v>C00914</v>
      </c>
      <c r="M1820" s="4" t="str">
        <f aca="false">IF($A1820="","",_xlfn.XLOOKUP(LOWER(TRIM(Base_Bruta!L1820)),DePara_Cidade!$A$2:$A$29,DePara_Cidade!$B$2:$B$29,"REVISAR"))</f>
        <v>Belo Horizonte</v>
      </c>
      <c r="N1820" s="4" t="str">
        <f aca="false">IF($A1820="","",UPPER(TRIM(Base_Bruta!M1820)))</f>
        <v>MG</v>
      </c>
      <c r="O1820" s="4" t="str">
        <f aca="false">IF($A1820="","",_xlfn.XLOOKUP(LOWER(TRIM(Base_Bruta!N1820)),DePara_Pais!$A$2:$A$9,DePara_Pais!$B$2:$B$9,"REVISAR"))</f>
        <v>Brasil</v>
      </c>
      <c r="P1820" s="4" t="str">
        <f aca="false">IF($A1820="","",IF(O1820&lt;&gt;"Brasil","Turista Internacional",IF(M1820=F1820,"Local","Turista Nacional")))</f>
        <v>Local</v>
      </c>
      <c r="Q1820" s="7" t="n">
        <f aca="false">IF($A1820="","",DATE(YEAR(B1820),MONTH(B1820),1))</f>
        <v>45870</v>
      </c>
      <c r="R1820" s="4" t="str">
        <f aca="false">IF($A1820="","",IF(COUNTIF($A$2:$A1820,$A1820)&gt;1,"Sim","Não"))</f>
        <v>Não</v>
      </c>
      <c r="S1820" s="4" t="str">
        <f aca="false">IF(A1820="","Descartar - Linha vazia",IF(R1820="Sim","Descartar - Duplicado",IF(OR(H1820&lt;=0,I1820&lt;=0),"Descartar - Qtd/Valor inválido","OK")))</f>
        <v>OK</v>
      </c>
      <c r="T1820" s="4" t="str">
        <f aca="false">Base_Bruta!P1820</f>
        <v>vendas_MG.csv</v>
      </c>
    </row>
    <row r="1821" customFormat="false" ht="15" hidden="false" customHeight="false" outlineLevel="0" collapsed="false">
      <c r="A1821" s="4" t="str">
        <f aca="false">IF(Base_Bruta!A1821="","",Base_Bruta!A1821)</f>
        <v>MG-000091</v>
      </c>
      <c r="B1821" s="5" t="n">
        <f aca="false">IF($A1821="","",IF(ISNUMBER(Base_Bruta!B1821),Base_Bruta!B1821,IF(MID(Base_Bruta!B1821,5,1)="-",DATE(VALUE(LEFT(Base_Bruta!B1821,4)),VALUE(MID(Base_Bruta!B1821,6,2)),VALUE(RIGHT(Base_Bruta!B1821,2))),DATE(VALUE(RIGHT(Base_Bruta!B1821,4)),VALUE(MID(Base_Bruta!B1821,4,2)),VALUE(LEFT(Base_Bruta!B1821,2))))))</f>
        <v>45891</v>
      </c>
      <c r="C1821" s="5" t="n">
        <f aca="false">IF($A1821="","",IF(ISNUMBER(Base_Bruta!C1821),Base_Bruta!C1821,IF(MID(Base_Bruta!C1821,5,1)="-",DATE(VALUE(LEFT(Base_Bruta!C1821,4)),VALUE(MID(Base_Bruta!C1821,6,2)),VALUE(RIGHT(Base_Bruta!C1821,2))),DATE(VALUE(RIGHT(Base_Bruta!C1821,4)),VALUE(MID(Base_Bruta!C1821,4,2)),VALUE(LEFT(Base_Bruta!C1821,2))))))</f>
        <v>45892</v>
      </c>
      <c r="D1821" s="4" t="str">
        <f aca="false">IF($A1821="","",TRIM(Base_Bruta!D1821))</f>
        <v>Festival Montanhas BH 2025</v>
      </c>
      <c r="E1821" s="4" t="str">
        <f aca="false">IF($A1821="","",_xlfn.XLOOKUP(LOWER(TRIM(Base_Bruta!E1821)),DePara_Categoria!$A$2:$A$9,DePara_Categoria!$B$2:$B$9,"REVISAR"))</f>
        <v>Festival</v>
      </c>
      <c r="F1821" s="4" t="str">
        <f aca="false">IF($A1821="","",_xlfn.XLOOKUP(LOWER(TRIM(Base_Bruta!F1821)),DePara_Cidade!$A$2:$A$29,DePara_Cidade!$B$2:$B$29,"REVISAR"))</f>
        <v>Belo Horizonte</v>
      </c>
      <c r="G1821" s="4" t="str">
        <f aca="false">IF($A1821="","",TRIM(Base_Bruta!G1821))</f>
        <v>Inteira</v>
      </c>
      <c r="H1821" s="4" t="n">
        <f aca="false">IF($A1821="","",IF(ISNUMBER(Base_Bruta!H1821),Base_Bruta!H1821,IFERROR(_xlfn.NUMBERVALUE(TRIM(SUBSTITUTE(Base_Bruta!H1821,"R$","")),",","."),0)))</f>
        <v>1</v>
      </c>
      <c r="I1821" s="6" t="n">
        <f aca="false">IF($A1821="","",IF(ISNUMBER(Base_Bruta!I1821),Base_Bruta!I1821,IFERROR(_xlfn.NUMBERVALUE(TRIM(SUBSTITUTE(Base_Bruta!I1821,"R$","")),",","."),0)))</f>
        <v>1115</v>
      </c>
      <c r="J1821" s="6" t="n">
        <f aca="false">IF($A1821="","",H1821*I1821)</f>
        <v>1115</v>
      </c>
      <c r="K1821" s="4" t="str">
        <f aca="false">IF($A1821="","",TRIM(Base_Bruta!J1821))</f>
        <v>Bilheteria</v>
      </c>
      <c r="L1821" s="4" t="str">
        <f aca="false">IF($A1821="","",TRIM(Base_Bruta!K1821))</f>
        <v>C00637</v>
      </c>
      <c r="M1821" s="4" t="str">
        <f aca="false">IF($A1821="","",_xlfn.XLOOKUP(LOWER(TRIM(Base_Bruta!L1821)),DePara_Cidade!$A$2:$A$29,DePara_Cidade!$B$2:$B$29,"REVISAR"))</f>
        <v>Belo Horizonte</v>
      </c>
      <c r="N1821" s="4" t="str">
        <f aca="false">IF($A1821="","",UPPER(TRIM(Base_Bruta!M1821)))</f>
        <v>MG</v>
      </c>
      <c r="O1821" s="4" t="str">
        <f aca="false">IF($A1821="","",_xlfn.XLOOKUP(LOWER(TRIM(Base_Bruta!N1821)),DePara_Pais!$A$2:$A$9,DePara_Pais!$B$2:$B$9,"REVISAR"))</f>
        <v>Brasil</v>
      </c>
      <c r="P1821" s="4" t="str">
        <f aca="false">IF($A1821="","",IF(O1821&lt;&gt;"Brasil","Turista Internacional",IF(M1821=F1821,"Local","Turista Nacional")))</f>
        <v>Local</v>
      </c>
      <c r="Q1821" s="7" t="n">
        <f aca="false">IF($A1821="","",DATE(YEAR(B1821),MONTH(B1821),1))</f>
        <v>45870</v>
      </c>
      <c r="R1821" s="4" t="str">
        <f aca="false">IF($A1821="","",IF(COUNTIF($A$2:$A1821,$A1821)&gt;1,"Sim","Não"))</f>
        <v>Não</v>
      </c>
      <c r="S1821" s="4" t="str">
        <f aca="false">IF(A1821="","Descartar - Linha vazia",IF(R1821="Sim","Descartar - Duplicado",IF(OR(H1821&lt;=0,I1821&lt;=0),"Descartar - Qtd/Valor inválido","OK")))</f>
        <v>OK</v>
      </c>
      <c r="T1821" s="4" t="str">
        <f aca="false">Base_Bruta!P1821</f>
        <v>vendas_MG.csv</v>
      </c>
    </row>
    <row r="1822" customFormat="false" ht="15" hidden="false" customHeight="false" outlineLevel="0" collapsed="false">
      <c r="A1822" s="4" t="str">
        <f aca="false">IF(Base_Bruta!A1822="","",Base_Bruta!A1822)</f>
        <v>MG-000109</v>
      </c>
      <c r="B1822" s="5" t="n">
        <f aca="false">IF($A1822="","",IF(ISNUMBER(Base_Bruta!B1822),Base_Bruta!B1822,IF(MID(Base_Bruta!B1822,5,1)="-",DATE(VALUE(LEFT(Base_Bruta!B1822,4)),VALUE(MID(Base_Bruta!B1822,6,2)),VALUE(RIGHT(Base_Bruta!B1822,2))),DATE(VALUE(RIGHT(Base_Bruta!B1822,4)),VALUE(MID(Base_Bruta!B1822,4,2)),VALUE(LEFT(Base_Bruta!B1822,2))))))</f>
        <v>45891</v>
      </c>
      <c r="C1822" s="5" t="n">
        <f aca="false">IF($A1822="","",IF(ISNUMBER(Base_Bruta!C1822),Base_Bruta!C1822,IF(MID(Base_Bruta!C1822,5,1)="-",DATE(VALUE(LEFT(Base_Bruta!C1822,4)),VALUE(MID(Base_Bruta!C1822,6,2)),VALUE(RIGHT(Base_Bruta!C1822,2))),DATE(VALUE(RIGHT(Base_Bruta!C1822,4)),VALUE(MID(Base_Bruta!C1822,4,2)),VALUE(LEFT(Base_Bruta!C1822,2))))))</f>
        <v>45892</v>
      </c>
      <c r="D1822" s="4" t="str">
        <f aca="false">IF($A1822="","",TRIM(Base_Bruta!D1822))</f>
        <v>Festival Montanhas BH 2025</v>
      </c>
      <c r="E1822" s="4" t="str">
        <f aca="false">IF($A1822="","",_xlfn.XLOOKUP(LOWER(TRIM(Base_Bruta!E1822)),DePara_Categoria!$A$2:$A$9,DePara_Categoria!$B$2:$B$9,"REVISAR"))</f>
        <v>Festival</v>
      </c>
      <c r="F1822" s="4" t="str">
        <f aca="false">IF($A1822="","",_xlfn.XLOOKUP(LOWER(TRIM(Base_Bruta!F1822)),DePara_Cidade!$A$2:$A$29,DePara_Cidade!$B$2:$B$29,"REVISAR"))</f>
        <v>Belo Horizonte</v>
      </c>
      <c r="G1822" s="4" t="str">
        <f aca="false">IF($A1822="","",TRIM(Base_Bruta!G1822))</f>
        <v>Inteira</v>
      </c>
      <c r="H1822" s="4" t="n">
        <f aca="false">IF($A1822="","",IF(ISNUMBER(Base_Bruta!H1822),Base_Bruta!H1822,IFERROR(_xlfn.NUMBERVALUE(TRIM(SUBSTITUTE(Base_Bruta!H1822,"R$","")),",","."),0)))</f>
        <v>2</v>
      </c>
      <c r="I1822" s="6" t="n">
        <f aca="false">IF($A1822="","",IF(ISNUMBER(Base_Bruta!I1822),Base_Bruta!I1822,IFERROR(_xlfn.NUMBERVALUE(TRIM(SUBSTITUTE(Base_Bruta!I1822,"R$","")),",","."),0)))</f>
        <v>1140</v>
      </c>
      <c r="J1822" s="6" t="n">
        <f aca="false">IF($A1822="","",H1822*I1822)</f>
        <v>2280</v>
      </c>
      <c r="K1822" s="4" t="str">
        <f aca="false">IF($A1822="","",TRIM(Base_Bruta!J1822))</f>
        <v>Site</v>
      </c>
      <c r="L1822" s="4" t="str">
        <f aca="false">IF($A1822="","",TRIM(Base_Bruta!K1822))</f>
        <v>C00953</v>
      </c>
      <c r="M1822" s="4" t="str">
        <f aca="false">IF($A1822="","",_xlfn.XLOOKUP(LOWER(TRIM(Base_Bruta!L1822)),DePara_Cidade!$A$2:$A$29,DePara_Cidade!$B$2:$B$29,"REVISAR"))</f>
        <v>Curitiba</v>
      </c>
      <c r="N1822" s="4" t="str">
        <f aca="false">IF($A1822="","",UPPER(TRIM(Base_Bruta!M1822)))</f>
        <v>PR</v>
      </c>
      <c r="O1822" s="4" t="str">
        <f aca="false">IF($A1822="","",_xlfn.XLOOKUP(LOWER(TRIM(Base_Bruta!N1822)),DePara_Pais!$A$2:$A$9,DePara_Pais!$B$2:$B$9,"REVISAR"))</f>
        <v>Brasil</v>
      </c>
      <c r="P1822" s="4" t="str">
        <f aca="false">IF($A1822="","",IF(O1822&lt;&gt;"Brasil","Turista Internacional",IF(M1822=F1822,"Local","Turista Nacional")))</f>
        <v>Turista Nacional</v>
      </c>
      <c r="Q1822" s="7" t="n">
        <f aca="false">IF($A1822="","",DATE(YEAR(B1822),MONTH(B1822),1))</f>
        <v>45870</v>
      </c>
      <c r="R1822" s="4" t="str">
        <f aca="false">IF($A1822="","",IF(COUNTIF($A$2:$A1822,$A1822)&gt;1,"Sim","Não"))</f>
        <v>Não</v>
      </c>
      <c r="S1822" s="4" t="str">
        <f aca="false">IF(A1822="","Descartar - Linha vazia",IF(R1822="Sim","Descartar - Duplicado",IF(OR(H1822&lt;=0,I1822&lt;=0),"Descartar - Qtd/Valor inválido","OK")))</f>
        <v>OK</v>
      </c>
      <c r="T1822" s="4" t="str">
        <f aca="false">Base_Bruta!P1822</f>
        <v>vendas_MG.csv</v>
      </c>
    </row>
    <row r="1823" customFormat="false" ht="15" hidden="false" customHeight="false" outlineLevel="0" collapsed="false">
      <c r="A1823" s="4" t="str">
        <f aca="false">IF(Base_Bruta!A1823="","",Base_Bruta!A1823)</f>
        <v>MG-000141</v>
      </c>
      <c r="B1823" s="5" t="n">
        <f aca="false">IF($A1823="","",IF(ISNUMBER(Base_Bruta!B1823),Base_Bruta!B1823,IF(MID(Base_Bruta!B1823,5,1)="-",DATE(VALUE(LEFT(Base_Bruta!B1823,4)),VALUE(MID(Base_Bruta!B1823,6,2)),VALUE(RIGHT(Base_Bruta!B1823,2))),DATE(VALUE(RIGHT(Base_Bruta!B1823,4)),VALUE(MID(Base_Bruta!B1823,4,2)),VALUE(LEFT(Base_Bruta!B1823,2))))))</f>
        <v>45891</v>
      </c>
      <c r="C1823" s="5" t="n">
        <f aca="false">IF($A1823="","",IF(ISNUMBER(Base_Bruta!C1823),Base_Bruta!C1823,IF(MID(Base_Bruta!C1823,5,1)="-",DATE(VALUE(LEFT(Base_Bruta!C1823,4)),VALUE(MID(Base_Bruta!C1823,6,2)),VALUE(RIGHT(Base_Bruta!C1823,2))),DATE(VALUE(RIGHT(Base_Bruta!C1823,4)),VALUE(MID(Base_Bruta!C1823,4,2)),VALUE(LEFT(Base_Bruta!C1823,2))))))</f>
        <v>45892</v>
      </c>
      <c r="D1823" s="4" t="str">
        <f aca="false">IF($A1823="","",TRIM(Base_Bruta!D1823))</f>
        <v>Festival Montanhas BH 2025</v>
      </c>
      <c r="E1823" s="4" t="str">
        <f aca="false">IF($A1823="","",_xlfn.XLOOKUP(LOWER(TRIM(Base_Bruta!E1823)),DePara_Categoria!$A$2:$A$9,DePara_Categoria!$B$2:$B$9,"REVISAR"))</f>
        <v>Festival</v>
      </c>
      <c r="F1823" s="4" t="str">
        <f aca="false">IF($A1823="","",_xlfn.XLOOKUP(LOWER(TRIM(Base_Bruta!F1823)),DePara_Cidade!$A$2:$A$29,DePara_Cidade!$B$2:$B$29,"REVISAR"))</f>
        <v>Belo Horizonte</v>
      </c>
      <c r="G1823" s="4" t="str">
        <f aca="false">IF($A1823="","",TRIM(Base_Bruta!G1823))</f>
        <v>Inteira</v>
      </c>
      <c r="H1823" s="4" t="n">
        <f aca="false">IF($A1823="","",IF(ISNUMBER(Base_Bruta!H1823),Base_Bruta!H1823,IFERROR(_xlfn.NUMBERVALUE(TRIM(SUBSTITUTE(Base_Bruta!H1823,"R$","")),",","."),0)))</f>
        <v>4</v>
      </c>
      <c r="I1823" s="6" t="n">
        <f aca="false">IF($A1823="","",IF(ISNUMBER(Base_Bruta!I1823),Base_Bruta!I1823,IFERROR(_xlfn.NUMBERVALUE(TRIM(SUBSTITUTE(Base_Bruta!I1823,"R$","")),",","."),0)))</f>
        <v>725</v>
      </c>
      <c r="J1823" s="6" t="n">
        <f aca="false">IF($A1823="","",H1823*I1823)</f>
        <v>2900</v>
      </c>
      <c r="K1823" s="4" t="str">
        <f aca="false">IF($A1823="","",TRIM(Base_Bruta!J1823))</f>
        <v>Site</v>
      </c>
      <c r="L1823" s="4" t="str">
        <f aca="false">IF($A1823="","",TRIM(Base_Bruta!K1823))</f>
        <v>C01763</v>
      </c>
      <c r="M1823" s="4" t="str">
        <f aca="false">IF($A1823="","",_xlfn.XLOOKUP(LOWER(TRIM(Base_Bruta!L1823)),DePara_Cidade!$A$2:$A$29,DePara_Cidade!$B$2:$B$29,"REVISAR"))</f>
        <v>Brasília</v>
      </c>
      <c r="N1823" s="4" t="str">
        <f aca="false">IF($A1823="","",UPPER(TRIM(Base_Bruta!M1823)))</f>
        <v>DF</v>
      </c>
      <c r="O1823" s="4" t="str">
        <f aca="false">IF($A1823="","",_xlfn.XLOOKUP(LOWER(TRIM(Base_Bruta!N1823)),DePara_Pais!$A$2:$A$9,DePara_Pais!$B$2:$B$9,"REVISAR"))</f>
        <v>Brasil</v>
      </c>
      <c r="P1823" s="4" t="str">
        <f aca="false">IF($A1823="","",IF(O1823&lt;&gt;"Brasil","Turista Internacional",IF(M1823=F1823,"Local","Turista Nacional")))</f>
        <v>Turista Nacional</v>
      </c>
      <c r="Q1823" s="7" t="n">
        <f aca="false">IF($A1823="","",DATE(YEAR(B1823),MONTH(B1823),1))</f>
        <v>45870</v>
      </c>
      <c r="R1823" s="4" t="str">
        <f aca="false">IF($A1823="","",IF(COUNTIF($A$2:$A1823,$A1823)&gt;1,"Sim","Não"))</f>
        <v>Não</v>
      </c>
      <c r="S1823" s="4" t="str">
        <f aca="false">IF(A1823="","Descartar - Linha vazia",IF(R1823="Sim","Descartar - Duplicado",IF(OR(H1823&lt;=0,I1823&lt;=0),"Descartar - Qtd/Valor inválido","OK")))</f>
        <v>OK</v>
      </c>
      <c r="T1823" s="4" t="str">
        <f aca="false">Base_Bruta!P1823</f>
        <v>vendas_MG.csv</v>
      </c>
    </row>
    <row r="1824" customFormat="false" ht="15" hidden="false" customHeight="false" outlineLevel="0" collapsed="false">
      <c r="A1824" s="4" t="str">
        <f aca="false">IF(Base_Bruta!A1824="","",Base_Bruta!A1824)</f>
        <v>MG-000171</v>
      </c>
      <c r="B1824" s="5" t="n">
        <f aca="false">IF($A1824="","",IF(ISNUMBER(Base_Bruta!B1824),Base_Bruta!B1824,IF(MID(Base_Bruta!B1824,5,1)="-",DATE(VALUE(LEFT(Base_Bruta!B1824,4)),VALUE(MID(Base_Bruta!B1824,6,2)),VALUE(RIGHT(Base_Bruta!B1824,2))),DATE(VALUE(RIGHT(Base_Bruta!B1824,4)),VALUE(MID(Base_Bruta!B1824,4,2)),VALUE(LEFT(Base_Bruta!B1824,2))))))</f>
        <v>45891</v>
      </c>
      <c r="C1824" s="5" t="n">
        <f aca="false">IF($A1824="","",IF(ISNUMBER(Base_Bruta!C1824),Base_Bruta!C1824,IF(MID(Base_Bruta!C1824,5,1)="-",DATE(VALUE(LEFT(Base_Bruta!C1824,4)),VALUE(MID(Base_Bruta!C1824,6,2)),VALUE(RIGHT(Base_Bruta!C1824,2))),DATE(VALUE(RIGHT(Base_Bruta!C1824,4)),VALUE(MID(Base_Bruta!C1824,4,2)),VALUE(LEFT(Base_Bruta!C1824,2))))))</f>
        <v>45892</v>
      </c>
      <c r="D1824" s="4" t="str">
        <f aca="false">IF($A1824="","",TRIM(Base_Bruta!D1824))</f>
        <v>Festival Montanhas BH 2025</v>
      </c>
      <c r="E1824" s="4" t="str">
        <f aca="false">IF($A1824="","",_xlfn.XLOOKUP(LOWER(TRIM(Base_Bruta!E1824)),DePara_Categoria!$A$2:$A$9,DePara_Categoria!$B$2:$B$9,"REVISAR"))</f>
        <v>Festival</v>
      </c>
      <c r="F1824" s="4" t="str">
        <f aca="false">IF($A1824="","",_xlfn.XLOOKUP(LOWER(TRIM(Base_Bruta!F1824)),DePara_Cidade!$A$2:$A$29,DePara_Cidade!$B$2:$B$29,"REVISAR"))</f>
        <v>Belo Horizonte</v>
      </c>
      <c r="G1824" s="4" t="str">
        <f aca="false">IF($A1824="","",TRIM(Base_Bruta!G1824))</f>
        <v>Meia</v>
      </c>
      <c r="H1824" s="4" t="n">
        <f aca="false">IF($A1824="","",IF(ISNUMBER(Base_Bruta!H1824),Base_Bruta!H1824,IFERROR(_xlfn.NUMBERVALUE(TRIM(SUBSTITUTE(Base_Bruta!H1824,"R$","")),",","."),0)))</f>
        <v>2</v>
      </c>
      <c r="I1824" s="6" t="n">
        <f aca="false">IF($A1824="","",IF(ISNUMBER(Base_Bruta!I1824),Base_Bruta!I1824,IFERROR(_xlfn.NUMBERVALUE(TRIM(SUBSTITUTE(Base_Bruta!I1824,"R$","")),",","."),0)))</f>
        <v>547.5</v>
      </c>
      <c r="J1824" s="6" t="n">
        <f aca="false">IF($A1824="","",H1824*I1824)</f>
        <v>1095</v>
      </c>
      <c r="K1824" s="4" t="str">
        <f aca="false">IF($A1824="","",TRIM(Base_Bruta!J1824))</f>
        <v>App</v>
      </c>
      <c r="L1824" s="4" t="str">
        <f aca="false">IF($A1824="","",TRIM(Base_Bruta!K1824))</f>
        <v>C01888</v>
      </c>
      <c r="M1824" s="4" t="str">
        <f aca="false">IF($A1824="","",_xlfn.XLOOKUP(LOWER(TRIM(Base_Bruta!L1824)),DePara_Cidade!$A$2:$A$29,DePara_Cidade!$B$2:$B$29,"REVISAR"))</f>
        <v>Belo Horizonte</v>
      </c>
      <c r="N1824" s="4" t="str">
        <f aca="false">IF($A1824="","",UPPER(TRIM(Base_Bruta!M1824)))</f>
        <v>MG</v>
      </c>
      <c r="O1824" s="4" t="str">
        <f aca="false">IF($A1824="","",_xlfn.XLOOKUP(LOWER(TRIM(Base_Bruta!N1824)),DePara_Pais!$A$2:$A$9,DePara_Pais!$B$2:$B$9,"REVISAR"))</f>
        <v>Brasil</v>
      </c>
      <c r="P1824" s="4" t="str">
        <f aca="false">IF($A1824="","",IF(O1824&lt;&gt;"Brasil","Turista Internacional",IF(M1824=F1824,"Local","Turista Nacional")))</f>
        <v>Local</v>
      </c>
      <c r="Q1824" s="7" t="n">
        <f aca="false">IF($A1824="","",DATE(YEAR(B1824),MONTH(B1824),1))</f>
        <v>45870</v>
      </c>
      <c r="R1824" s="4" t="str">
        <f aca="false">IF($A1824="","",IF(COUNTIF($A$2:$A1824,$A1824)&gt;1,"Sim","Não"))</f>
        <v>Não</v>
      </c>
      <c r="S1824" s="4" t="str">
        <f aca="false">IF(A1824="","Descartar - Linha vazia",IF(R1824="Sim","Descartar - Duplicado",IF(OR(H1824&lt;=0,I1824&lt;=0),"Descartar - Qtd/Valor inválido","OK")))</f>
        <v>OK</v>
      </c>
      <c r="T1824" s="4" t="str">
        <f aca="false">Base_Bruta!P1824</f>
        <v>vendas_MG.csv</v>
      </c>
    </row>
    <row r="1825" customFormat="false" ht="15" hidden="false" customHeight="false" outlineLevel="0" collapsed="false">
      <c r="A1825" s="4" t="str">
        <f aca="false">IF(Base_Bruta!A1825="","",Base_Bruta!A1825)</f>
        <v>MG-000175</v>
      </c>
      <c r="B1825" s="5" t="n">
        <f aca="false">IF($A1825="","",IF(ISNUMBER(Base_Bruta!B1825),Base_Bruta!B1825,IF(MID(Base_Bruta!B1825,5,1)="-",DATE(VALUE(LEFT(Base_Bruta!B1825,4)),VALUE(MID(Base_Bruta!B1825,6,2)),VALUE(RIGHT(Base_Bruta!B1825,2))),DATE(VALUE(RIGHT(Base_Bruta!B1825,4)),VALUE(MID(Base_Bruta!B1825,4,2)),VALUE(LEFT(Base_Bruta!B1825,2))))))</f>
        <v>45891</v>
      </c>
      <c r="C1825" s="5" t="n">
        <f aca="false">IF($A1825="","",IF(ISNUMBER(Base_Bruta!C1825),Base_Bruta!C1825,IF(MID(Base_Bruta!C1825,5,1)="-",DATE(VALUE(LEFT(Base_Bruta!C1825,4)),VALUE(MID(Base_Bruta!C1825,6,2)),VALUE(RIGHT(Base_Bruta!C1825,2))),DATE(VALUE(RIGHT(Base_Bruta!C1825,4)),VALUE(MID(Base_Bruta!C1825,4,2)),VALUE(LEFT(Base_Bruta!C1825,2))))))</f>
        <v>45892</v>
      </c>
      <c r="D1825" s="4" t="str">
        <f aca="false">IF($A1825="","",TRIM(Base_Bruta!D1825))</f>
        <v>Festival Montanhas BH 2025</v>
      </c>
      <c r="E1825" s="4" t="str">
        <f aca="false">IF($A1825="","",_xlfn.XLOOKUP(LOWER(TRIM(Base_Bruta!E1825)),DePara_Categoria!$A$2:$A$9,DePara_Categoria!$B$2:$B$9,"REVISAR"))</f>
        <v>Festival</v>
      </c>
      <c r="F1825" s="4" t="str">
        <f aca="false">IF($A1825="","",_xlfn.XLOOKUP(LOWER(TRIM(Base_Bruta!F1825)),DePara_Cidade!$A$2:$A$29,DePara_Cidade!$B$2:$B$29,"REVISAR"))</f>
        <v>Belo Horizonte</v>
      </c>
      <c r="G1825" s="4" t="str">
        <f aca="false">IF($A1825="","",TRIM(Base_Bruta!G1825))</f>
        <v>Inteira</v>
      </c>
      <c r="H1825" s="4" t="n">
        <f aca="false">IF($A1825="","",IF(ISNUMBER(Base_Bruta!H1825),Base_Bruta!H1825,IFERROR(_xlfn.NUMBERVALUE(TRIM(SUBSTITUTE(Base_Bruta!H1825,"R$","")),",","."),0)))</f>
        <v>3</v>
      </c>
      <c r="I1825" s="6" t="n">
        <f aca="false">IF($A1825="","",IF(ISNUMBER(Base_Bruta!I1825),Base_Bruta!I1825,IFERROR(_xlfn.NUMBERVALUE(TRIM(SUBSTITUTE(Base_Bruta!I1825,"R$","")),",","."),0)))</f>
        <v>1135</v>
      </c>
      <c r="J1825" s="6" t="n">
        <f aca="false">IF($A1825="","",H1825*I1825)</f>
        <v>3405</v>
      </c>
      <c r="K1825" s="4" t="str">
        <f aca="false">IF($A1825="","",TRIM(Base_Bruta!J1825))</f>
        <v>App</v>
      </c>
      <c r="L1825" s="4" t="str">
        <f aca="false">IF($A1825="","",TRIM(Base_Bruta!K1825))</f>
        <v>C00026</v>
      </c>
      <c r="M1825" s="4" t="str">
        <f aca="false">IF($A1825="","",_xlfn.XLOOKUP(LOWER(TRIM(Base_Bruta!L1825)),DePara_Cidade!$A$2:$A$29,DePara_Cidade!$B$2:$B$29,"REVISAR"))</f>
        <v>Brasília</v>
      </c>
      <c r="N1825" s="4" t="str">
        <f aca="false">IF($A1825="","",UPPER(TRIM(Base_Bruta!M1825)))</f>
        <v>DF</v>
      </c>
      <c r="O1825" s="4" t="str">
        <f aca="false">IF($A1825="","",_xlfn.XLOOKUP(LOWER(TRIM(Base_Bruta!N1825)),DePara_Pais!$A$2:$A$9,DePara_Pais!$B$2:$B$9,"REVISAR"))</f>
        <v>Brasil</v>
      </c>
      <c r="P1825" s="4" t="str">
        <f aca="false">IF($A1825="","",IF(O1825&lt;&gt;"Brasil","Turista Internacional",IF(M1825=F1825,"Local","Turista Nacional")))</f>
        <v>Turista Nacional</v>
      </c>
      <c r="Q1825" s="7" t="n">
        <f aca="false">IF($A1825="","",DATE(YEAR(B1825),MONTH(B1825),1))</f>
        <v>45870</v>
      </c>
      <c r="R1825" s="4" t="str">
        <f aca="false">IF($A1825="","",IF(COUNTIF($A$2:$A1825,$A1825)&gt;1,"Sim","Não"))</f>
        <v>Não</v>
      </c>
      <c r="S1825" s="4" t="str">
        <f aca="false">IF(A1825="","Descartar - Linha vazia",IF(R1825="Sim","Descartar - Duplicado",IF(OR(H1825&lt;=0,I1825&lt;=0),"Descartar - Qtd/Valor inválido","OK")))</f>
        <v>OK</v>
      </c>
      <c r="T1825" s="4" t="str">
        <f aca="false">Base_Bruta!P1825</f>
        <v>vendas_MG.csv</v>
      </c>
    </row>
    <row r="1826" customFormat="false" ht="15" hidden="false" customHeight="false" outlineLevel="0" collapsed="false">
      <c r="A1826" s="4" t="str">
        <f aca="false">IF(Base_Bruta!A1826="","",Base_Bruta!A1826)</f>
        <v>MG-000219</v>
      </c>
      <c r="B1826" s="5" t="n">
        <f aca="false">IF($A1826="","",IF(ISNUMBER(Base_Bruta!B1826),Base_Bruta!B1826,IF(MID(Base_Bruta!B1826,5,1)="-",DATE(VALUE(LEFT(Base_Bruta!B1826,4)),VALUE(MID(Base_Bruta!B1826,6,2)),VALUE(RIGHT(Base_Bruta!B1826,2))),DATE(VALUE(RIGHT(Base_Bruta!B1826,4)),VALUE(MID(Base_Bruta!B1826,4,2)),VALUE(LEFT(Base_Bruta!B1826,2))))))</f>
        <v>45891</v>
      </c>
      <c r="C1826" s="5" t="n">
        <f aca="false">IF($A1826="","",IF(ISNUMBER(Base_Bruta!C1826),Base_Bruta!C1826,IF(MID(Base_Bruta!C1826,5,1)="-",DATE(VALUE(LEFT(Base_Bruta!C1826,4)),VALUE(MID(Base_Bruta!C1826,6,2)),VALUE(RIGHT(Base_Bruta!C1826,2))),DATE(VALUE(RIGHT(Base_Bruta!C1826,4)),VALUE(MID(Base_Bruta!C1826,4,2)),VALUE(LEFT(Base_Bruta!C1826,2))))))</f>
        <v>45892</v>
      </c>
      <c r="D1826" s="4" t="str">
        <f aca="false">IF($A1826="","",TRIM(Base_Bruta!D1826))</f>
        <v>Festival Montanhas BH 2025</v>
      </c>
      <c r="E1826" s="4" t="str">
        <f aca="false">IF($A1826="","",_xlfn.XLOOKUP(LOWER(TRIM(Base_Bruta!E1826)),DePara_Categoria!$A$2:$A$9,DePara_Categoria!$B$2:$B$9,"REVISAR"))</f>
        <v>Festival</v>
      </c>
      <c r="F1826" s="4" t="str">
        <f aca="false">IF($A1826="","",_xlfn.XLOOKUP(LOWER(TRIM(Base_Bruta!F1826)),DePara_Cidade!$A$2:$A$29,DePara_Cidade!$B$2:$B$29,"REVISAR"))</f>
        <v>Belo Horizonte</v>
      </c>
      <c r="G1826" s="4" t="str">
        <f aca="false">IF($A1826="","",TRIM(Base_Bruta!G1826))</f>
        <v>Inteira</v>
      </c>
      <c r="H1826" s="4" t="n">
        <f aca="false">IF($A1826="","",IF(ISNUMBER(Base_Bruta!H1826),Base_Bruta!H1826,IFERROR(_xlfn.NUMBERVALUE(TRIM(SUBSTITUTE(Base_Bruta!H1826,"R$","")),",","."),0)))</f>
        <v>1</v>
      </c>
      <c r="I1826" s="6" t="n">
        <f aca="false">IF($A1826="","",IF(ISNUMBER(Base_Bruta!I1826),Base_Bruta!I1826,IFERROR(_xlfn.NUMBERVALUE(TRIM(SUBSTITUTE(Base_Bruta!I1826,"R$","")),",","."),0)))</f>
        <v>1120</v>
      </c>
      <c r="J1826" s="6" t="n">
        <f aca="false">IF($A1826="","",H1826*I1826)</f>
        <v>1120</v>
      </c>
      <c r="K1826" s="4" t="str">
        <f aca="false">IF($A1826="","",TRIM(Base_Bruta!J1826))</f>
        <v>App</v>
      </c>
      <c r="L1826" s="4" t="str">
        <f aca="false">IF($A1826="","",TRIM(Base_Bruta!K1826))</f>
        <v>C01631</v>
      </c>
      <c r="M1826" s="4" t="str">
        <f aca="false">IF($A1826="","",_xlfn.XLOOKUP(LOWER(TRIM(Base_Bruta!L1826)),DePara_Cidade!$A$2:$A$29,DePara_Cidade!$B$2:$B$29,"REVISAR"))</f>
        <v>Belo Horizonte</v>
      </c>
      <c r="N1826" s="4" t="str">
        <f aca="false">IF($A1826="","",UPPER(TRIM(Base_Bruta!M1826)))</f>
        <v>MG</v>
      </c>
      <c r="O1826" s="4" t="str">
        <f aca="false">IF($A1826="","",_xlfn.XLOOKUP(LOWER(TRIM(Base_Bruta!N1826)),DePara_Pais!$A$2:$A$9,DePara_Pais!$B$2:$B$9,"REVISAR"))</f>
        <v>Brasil</v>
      </c>
      <c r="P1826" s="4" t="str">
        <f aca="false">IF($A1826="","",IF(O1826&lt;&gt;"Brasil","Turista Internacional",IF(M1826=F1826,"Local","Turista Nacional")))</f>
        <v>Local</v>
      </c>
      <c r="Q1826" s="7" t="n">
        <f aca="false">IF($A1826="","",DATE(YEAR(B1826),MONTH(B1826),1))</f>
        <v>45870</v>
      </c>
      <c r="R1826" s="4" t="str">
        <f aca="false">IF($A1826="","",IF(COUNTIF($A$2:$A1826,$A1826)&gt;1,"Sim","Não"))</f>
        <v>Não</v>
      </c>
      <c r="S1826" s="4" t="str">
        <f aca="false">IF(A1826="","Descartar - Linha vazia",IF(R1826="Sim","Descartar - Duplicado",IF(OR(H1826&lt;=0,I1826&lt;=0),"Descartar - Qtd/Valor inválido","OK")))</f>
        <v>OK</v>
      </c>
      <c r="T1826" s="4" t="str">
        <f aca="false">Base_Bruta!P1826</f>
        <v>vendas_MG.csv</v>
      </c>
    </row>
    <row r="1827" customFormat="false" ht="15" hidden="false" customHeight="false" outlineLevel="0" collapsed="false">
      <c r="A1827" s="4" t="str">
        <f aca="false">IF(Base_Bruta!A1827="","",Base_Bruta!A1827)</f>
        <v>MG-000226</v>
      </c>
      <c r="B1827" s="5" t="n">
        <f aca="false">IF($A1827="","",IF(ISNUMBER(Base_Bruta!B1827),Base_Bruta!B1827,IF(MID(Base_Bruta!B1827,5,1)="-",DATE(VALUE(LEFT(Base_Bruta!B1827,4)),VALUE(MID(Base_Bruta!B1827,6,2)),VALUE(RIGHT(Base_Bruta!B1827,2))),DATE(VALUE(RIGHT(Base_Bruta!B1827,4)),VALUE(MID(Base_Bruta!B1827,4,2)),VALUE(LEFT(Base_Bruta!B1827,2))))))</f>
        <v>45891</v>
      </c>
      <c r="C1827" s="5" t="n">
        <f aca="false">IF($A1827="","",IF(ISNUMBER(Base_Bruta!C1827),Base_Bruta!C1827,IF(MID(Base_Bruta!C1827,5,1)="-",DATE(VALUE(LEFT(Base_Bruta!C1827,4)),VALUE(MID(Base_Bruta!C1827,6,2)),VALUE(RIGHT(Base_Bruta!C1827,2))),DATE(VALUE(RIGHT(Base_Bruta!C1827,4)),VALUE(MID(Base_Bruta!C1827,4,2)),VALUE(LEFT(Base_Bruta!C1827,2))))))</f>
        <v>45892</v>
      </c>
      <c r="D1827" s="4" t="str">
        <f aca="false">IF($A1827="","",TRIM(Base_Bruta!D1827))</f>
        <v>Festival Montanhas BH 2025</v>
      </c>
      <c r="E1827" s="4" t="str">
        <f aca="false">IF($A1827="","",_xlfn.XLOOKUP(LOWER(TRIM(Base_Bruta!E1827)),DePara_Categoria!$A$2:$A$9,DePara_Categoria!$B$2:$B$9,"REVISAR"))</f>
        <v>Festival</v>
      </c>
      <c r="F1827" s="4" t="str">
        <f aca="false">IF($A1827="","",_xlfn.XLOOKUP(LOWER(TRIM(Base_Bruta!F1827)),DePara_Cidade!$A$2:$A$29,DePara_Cidade!$B$2:$B$29,"REVISAR"))</f>
        <v>Belo Horizonte</v>
      </c>
      <c r="G1827" s="4" t="str">
        <f aca="false">IF($A1827="","",TRIM(Base_Bruta!G1827))</f>
        <v>Inteira</v>
      </c>
      <c r="H1827" s="4" t="n">
        <f aca="false">IF($A1827="","",IF(ISNUMBER(Base_Bruta!H1827),Base_Bruta!H1827,IFERROR(_xlfn.NUMBERVALUE(TRIM(SUBSTITUTE(Base_Bruta!H1827,"R$","")),",","."),0)))</f>
        <v>2</v>
      </c>
      <c r="I1827" s="6" t="n">
        <f aca="false">IF($A1827="","",IF(ISNUMBER(Base_Bruta!I1827),Base_Bruta!I1827,IFERROR(_xlfn.NUMBERVALUE(TRIM(SUBSTITUTE(Base_Bruta!I1827,"R$","")),",","."),0)))</f>
        <v>800</v>
      </c>
      <c r="J1827" s="6" t="n">
        <f aca="false">IF($A1827="","",H1827*I1827)</f>
        <v>1600</v>
      </c>
      <c r="K1827" s="4" t="str">
        <f aca="false">IF($A1827="","",TRIM(Base_Bruta!J1827))</f>
        <v>App</v>
      </c>
      <c r="L1827" s="4" t="str">
        <f aca="false">IF($A1827="","",TRIM(Base_Bruta!K1827))</f>
        <v>C00716</v>
      </c>
      <c r="M1827" s="4" t="str">
        <f aca="false">IF($A1827="","",_xlfn.XLOOKUP(LOWER(TRIM(Base_Bruta!L1827)),DePara_Cidade!$A$2:$A$29,DePara_Cidade!$B$2:$B$29,"REVISAR"))</f>
        <v>Belo Horizonte</v>
      </c>
      <c r="N1827" s="4" t="str">
        <f aca="false">IF($A1827="","",UPPER(TRIM(Base_Bruta!M1827)))</f>
        <v>MG</v>
      </c>
      <c r="O1827" s="4" t="str">
        <f aca="false">IF($A1827="","",_xlfn.XLOOKUP(LOWER(TRIM(Base_Bruta!N1827)),DePara_Pais!$A$2:$A$9,DePara_Pais!$B$2:$B$9,"REVISAR"))</f>
        <v>Brasil</v>
      </c>
      <c r="P1827" s="4" t="str">
        <f aca="false">IF($A1827="","",IF(O1827&lt;&gt;"Brasil","Turista Internacional",IF(M1827=F1827,"Local","Turista Nacional")))</f>
        <v>Local</v>
      </c>
      <c r="Q1827" s="7" t="n">
        <f aca="false">IF($A1827="","",DATE(YEAR(B1827),MONTH(B1827),1))</f>
        <v>45870</v>
      </c>
      <c r="R1827" s="4" t="str">
        <f aca="false">IF($A1827="","",IF(COUNTIF($A$2:$A1827,$A1827)&gt;1,"Sim","Não"))</f>
        <v>Não</v>
      </c>
      <c r="S1827" s="4" t="str">
        <f aca="false">IF(A1827="","Descartar - Linha vazia",IF(R1827="Sim","Descartar - Duplicado",IF(OR(H1827&lt;=0,I1827&lt;=0),"Descartar - Qtd/Valor inválido","OK")))</f>
        <v>OK</v>
      </c>
      <c r="T1827" s="4" t="str">
        <f aca="false">Base_Bruta!P1827</f>
        <v>vendas_MG.csv</v>
      </c>
    </row>
    <row r="1828" customFormat="false" ht="15" hidden="false" customHeight="false" outlineLevel="0" collapsed="false">
      <c r="A1828" s="4" t="str">
        <f aca="false">IF(Base_Bruta!A1828="","",Base_Bruta!A1828)</f>
        <v>MG-000386</v>
      </c>
      <c r="B1828" s="5" t="n">
        <f aca="false">IF($A1828="","",IF(ISNUMBER(Base_Bruta!B1828),Base_Bruta!B1828,IF(MID(Base_Bruta!B1828,5,1)="-",DATE(VALUE(LEFT(Base_Bruta!B1828,4)),VALUE(MID(Base_Bruta!B1828,6,2)),VALUE(RIGHT(Base_Bruta!B1828,2))),DATE(VALUE(RIGHT(Base_Bruta!B1828,4)),VALUE(MID(Base_Bruta!B1828,4,2)),VALUE(LEFT(Base_Bruta!B1828,2))))))</f>
        <v>45891</v>
      </c>
      <c r="C1828" s="5" t="n">
        <f aca="false">IF($A1828="","",IF(ISNUMBER(Base_Bruta!C1828),Base_Bruta!C1828,IF(MID(Base_Bruta!C1828,5,1)="-",DATE(VALUE(LEFT(Base_Bruta!C1828,4)),VALUE(MID(Base_Bruta!C1828,6,2)),VALUE(RIGHT(Base_Bruta!C1828,2))),DATE(VALUE(RIGHT(Base_Bruta!C1828,4)),VALUE(MID(Base_Bruta!C1828,4,2)),VALUE(LEFT(Base_Bruta!C1828,2))))))</f>
        <v>45892</v>
      </c>
      <c r="D1828" s="4" t="str">
        <f aca="false">IF($A1828="","",TRIM(Base_Bruta!D1828))</f>
        <v>Cinema Savassi - Sessões</v>
      </c>
      <c r="E1828" s="4" t="str">
        <f aca="false">IF($A1828="","",_xlfn.XLOOKUP(LOWER(TRIM(Base_Bruta!E1828)),DePara_Categoria!$A$2:$A$9,DePara_Categoria!$B$2:$B$9,"REVISAR"))</f>
        <v>Cinema</v>
      </c>
      <c r="F1828" s="4" t="str">
        <f aca="false">IF($A1828="","",_xlfn.XLOOKUP(LOWER(TRIM(Base_Bruta!F1828)),DePara_Cidade!$A$2:$A$29,DePara_Cidade!$B$2:$B$29,"REVISAR"))</f>
        <v>Belo Horizonte</v>
      </c>
      <c r="G1828" s="4" t="str">
        <f aca="false">IF($A1828="","",TRIM(Base_Bruta!G1828))</f>
        <v>Inteira</v>
      </c>
      <c r="H1828" s="4" t="n">
        <f aca="false">IF($A1828="","",IF(ISNUMBER(Base_Bruta!H1828),Base_Bruta!H1828,IFERROR(_xlfn.NUMBERVALUE(TRIM(SUBSTITUTE(Base_Bruta!H1828,"R$","")),",","."),0)))</f>
        <v>3</v>
      </c>
      <c r="I1828" s="6" t="n">
        <f aca="false">IF($A1828="","",IF(ISNUMBER(Base_Bruta!I1828),Base_Bruta!I1828,IFERROR(_xlfn.NUMBERVALUE(TRIM(SUBSTITUTE(Base_Bruta!I1828,"R$","")),",","."),0)))</f>
        <v>35</v>
      </c>
      <c r="J1828" s="6" t="n">
        <f aca="false">IF($A1828="","",H1828*I1828)</f>
        <v>105</v>
      </c>
      <c r="K1828" s="4" t="str">
        <f aca="false">IF($A1828="","",TRIM(Base_Bruta!J1828))</f>
        <v>Site</v>
      </c>
      <c r="L1828" s="4" t="str">
        <f aca="false">IF($A1828="","",TRIM(Base_Bruta!K1828))</f>
        <v>C02168</v>
      </c>
      <c r="M1828" s="4" t="str">
        <f aca="false">IF($A1828="","",_xlfn.XLOOKUP(LOWER(TRIM(Base_Bruta!L1828)),DePara_Cidade!$A$2:$A$29,DePara_Cidade!$B$2:$B$29,"REVISAR"))</f>
        <v>Belo Horizonte</v>
      </c>
      <c r="N1828" s="4" t="str">
        <f aca="false">IF($A1828="","",UPPER(TRIM(Base_Bruta!M1828)))</f>
        <v>MG</v>
      </c>
      <c r="O1828" s="4" t="str">
        <f aca="false">IF($A1828="","",_xlfn.XLOOKUP(LOWER(TRIM(Base_Bruta!N1828)),DePara_Pais!$A$2:$A$9,DePara_Pais!$B$2:$B$9,"REVISAR"))</f>
        <v>Brasil</v>
      </c>
      <c r="P1828" s="4" t="str">
        <f aca="false">IF($A1828="","",IF(O1828&lt;&gt;"Brasil","Turista Internacional",IF(M1828=F1828,"Local","Turista Nacional")))</f>
        <v>Local</v>
      </c>
      <c r="Q1828" s="7" t="n">
        <f aca="false">IF($A1828="","",DATE(YEAR(B1828),MONTH(B1828),1))</f>
        <v>45870</v>
      </c>
      <c r="R1828" s="4" t="str">
        <f aca="false">IF($A1828="","",IF(COUNTIF($A$2:$A1828,$A1828)&gt;1,"Sim","Não"))</f>
        <v>Não</v>
      </c>
      <c r="S1828" s="4" t="str">
        <f aca="false">IF(A1828="","Descartar - Linha vazia",IF(R1828="Sim","Descartar - Duplicado",IF(OR(H1828&lt;=0,I1828&lt;=0),"Descartar - Qtd/Valor inválido","OK")))</f>
        <v>OK</v>
      </c>
      <c r="T1828" s="4" t="str">
        <f aca="false">Base_Bruta!P1828</f>
        <v>vendas_MG.csv</v>
      </c>
    </row>
    <row r="1829" customFormat="false" ht="15" hidden="false" customHeight="false" outlineLevel="0" collapsed="false">
      <c r="A1829" s="4" t="str">
        <f aca="false">IF(Base_Bruta!A1829="","",Base_Bruta!A1829)</f>
        <v>MG-000013</v>
      </c>
      <c r="B1829" s="5" t="n">
        <f aca="false">IF($A1829="","",IF(ISNUMBER(Base_Bruta!B1829),Base_Bruta!B1829,IF(MID(Base_Bruta!B1829,5,1)="-",DATE(VALUE(LEFT(Base_Bruta!B1829,4)),VALUE(MID(Base_Bruta!B1829,6,2)),VALUE(RIGHT(Base_Bruta!B1829,2))),DATE(VALUE(RIGHT(Base_Bruta!B1829,4)),VALUE(MID(Base_Bruta!B1829,4,2)),VALUE(LEFT(Base_Bruta!B1829,2))))))</f>
        <v>45892</v>
      </c>
      <c r="C1829" s="5" t="n">
        <f aca="false">IF($A1829="","",IF(ISNUMBER(Base_Bruta!C1829),Base_Bruta!C1829,IF(MID(Base_Bruta!C1829,5,1)="-",DATE(VALUE(LEFT(Base_Bruta!C1829,4)),VALUE(MID(Base_Bruta!C1829,6,2)),VALUE(RIGHT(Base_Bruta!C1829,2))),DATE(VALUE(RIGHT(Base_Bruta!C1829,4)),VALUE(MID(Base_Bruta!C1829,4,2)),VALUE(LEFT(Base_Bruta!C1829,2))))))</f>
        <v>45892</v>
      </c>
      <c r="D1829" s="4" t="str">
        <f aca="false">IF($A1829="","",TRIM(Base_Bruta!D1829))</f>
        <v>Festival Montanhas BH 2025</v>
      </c>
      <c r="E1829" s="4" t="str">
        <f aca="false">IF($A1829="","",_xlfn.XLOOKUP(LOWER(TRIM(Base_Bruta!E1829)),DePara_Categoria!$A$2:$A$9,DePara_Categoria!$B$2:$B$9,"REVISAR"))</f>
        <v>Festival</v>
      </c>
      <c r="F1829" s="4" t="str">
        <f aca="false">IF($A1829="","",_xlfn.XLOOKUP(LOWER(TRIM(Base_Bruta!F1829)),DePara_Cidade!$A$2:$A$29,DePara_Cidade!$B$2:$B$29,"REVISAR"))</f>
        <v>Belo Horizonte</v>
      </c>
      <c r="G1829" s="4" t="str">
        <f aca="false">IF($A1829="","",TRIM(Base_Bruta!G1829))</f>
        <v>Inteira</v>
      </c>
      <c r="H1829" s="4" t="n">
        <f aca="false">IF($A1829="","",IF(ISNUMBER(Base_Bruta!H1829),Base_Bruta!H1829,IFERROR(_xlfn.NUMBERVALUE(TRIM(SUBSTITUTE(Base_Bruta!H1829,"R$","")),",","."),0)))</f>
        <v>2</v>
      </c>
      <c r="I1829" s="6" t="n">
        <f aca="false">IF($A1829="","",IF(ISNUMBER(Base_Bruta!I1829),Base_Bruta!I1829,IFERROR(_xlfn.NUMBERVALUE(TRIM(SUBSTITUTE(Base_Bruta!I1829,"R$","")),",","."),0)))</f>
        <v>815</v>
      </c>
      <c r="J1829" s="6" t="n">
        <f aca="false">IF($A1829="","",H1829*I1829)</f>
        <v>1630</v>
      </c>
      <c r="K1829" s="4" t="str">
        <f aca="false">IF($A1829="","",TRIM(Base_Bruta!J1829))</f>
        <v>Site</v>
      </c>
      <c r="L1829" s="4" t="str">
        <f aca="false">IF($A1829="","",TRIM(Base_Bruta!K1829))</f>
        <v>C00937</v>
      </c>
      <c r="M1829" s="4" t="str">
        <f aca="false">IF($A1829="","",_xlfn.XLOOKUP(LOWER(TRIM(Base_Bruta!L1829)),DePara_Cidade!$A$2:$A$29,DePara_Cidade!$B$2:$B$29,"REVISAR"))</f>
        <v>Belo Horizonte</v>
      </c>
      <c r="N1829" s="4" t="str">
        <f aca="false">IF($A1829="","",UPPER(TRIM(Base_Bruta!M1829)))</f>
        <v>MG</v>
      </c>
      <c r="O1829" s="4" t="str">
        <f aca="false">IF($A1829="","",_xlfn.XLOOKUP(LOWER(TRIM(Base_Bruta!N1829)),DePara_Pais!$A$2:$A$9,DePara_Pais!$B$2:$B$9,"REVISAR"))</f>
        <v>Brasil</v>
      </c>
      <c r="P1829" s="4" t="str">
        <f aca="false">IF($A1829="","",IF(O1829&lt;&gt;"Brasil","Turista Internacional",IF(M1829=F1829,"Local","Turista Nacional")))</f>
        <v>Local</v>
      </c>
      <c r="Q1829" s="7" t="n">
        <f aca="false">IF($A1829="","",DATE(YEAR(B1829),MONTH(B1829),1))</f>
        <v>45870</v>
      </c>
      <c r="R1829" s="4" t="str">
        <f aca="false">IF($A1829="","",IF(COUNTIF($A$2:$A1829,$A1829)&gt;1,"Sim","Não"))</f>
        <v>Não</v>
      </c>
      <c r="S1829" s="4" t="str">
        <f aca="false">IF(A1829="","Descartar - Linha vazia",IF(R1829="Sim","Descartar - Duplicado",IF(OR(H1829&lt;=0,I1829&lt;=0),"Descartar - Qtd/Valor inválido","OK")))</f>
        <v>OK</v>
      </c>
      <c r="T1829" s="4" t="str">
        <f aca="false">Base_Bruta!P1829</f>
        <v>vendas_MG.csv</v>
      </c>
    </row>
    <row r="1830" customFormat="false" ht="15" hidden="false" customHeight="false" outlineLevel="0" collapsed="false">
      <c r="A1830" s="4" t="str">
        <f aca="false">IF(Base_Bruta!A1830="","",Base_Bruta!A1830)</f>
        <v>MG-000053</v>
      </c>
      <c r="B1830" s="5" t="n">
        <f aca="false">IF($A1830="","",IF(ISNUMBER(Base_Bruta!B1830),Base_Bruta!B1830,IF(MID(Base_Bruta!B1830,5,1)="-",DATE(VALUE(LEFT(Base_Bruta!B1830,4)),VALUE(MID(Base_Bruta!B1830,6,2)),VALUE(RIGHT(Base_Bruta!B1830,2))),DATE(VALUE(RIGHT(Base_Bruta!B1830,4)),VALUE(MID(Base_Bruta!B1830,4,2)),VALUE(LEFT(Base_Bruta!B1830,2))))))</f>
        <v>45892</v>
      </c>
      <c r="C1830" s="5" t="n">
        <f aca="false">IF($A1830="","",IF(ISNUMBER(Base_Bruta!C1830),Base_Bruta!C1830,IF(MID(Base_Bruta!C1830,5,1)="-",DATE(VALUE(LEFT(Base_Bruta!C1830,4)),VALUE(MID(Base_Bruta!C1830,6,2)),VALUE(RIGHT(Base_Bruta!C1830,2))),DATE(VALUE(RIGHT(Base_Bruta!C1830,4)),VALUE(MID(Base_Bruta!C1830,4,2)),VALUE(LEFT(Base_Bruta!C1830,2))))))</f>
        <v>45892</v>
      </c>
      <c r="D1830" s="4" t="str">
        <f aca="false">IF($A1830="","",TRIM(Base_Bruta!D1830))</f>
        <v>Festival Montanhas BH 2025</v>
      </c>
      <c r="E1830" s="4" t="str">
        <f aca="false">IF($A1830="","",_xlfn.XLOOKUP(LOWER(TRIM(Base_Bruta!E1830)),DePara_Categoria!$A$2:$A$9,DePara_Categoria!$B$2:$B$9,"REVISAR"))</f>
        <v>Festival</v>
      </c>
      <c r="F1830" s="4" t="str">
        <f aca="false">IF($A1830="","",_xlfn.XLOOKUP(LOWER(TRIM(Base_Bruta!F1830)),DePara_Cidade!$A$2:$A$29,DePara_Cidade!$B$2:$B$29,"REVISAR"))</f>
        <v>Belo Horizonte</v>
      </c>
      <c r="G1830" s="4" t="str">
        <f aca="false">IF($A1830="","",TRIM(Base_Bruta!G1830))</f>
        <v>Inteira</v>
      </c>
      <c r="H1830" s="4" t="n">
        <f aca="false">IF($A1830="","",IF(ISNUMBER(Base_Bruta!H1830),Base_Bruta!H1830,IFERROR(_xlfn.NUMBERVALUE(TRIM(SUBSTITUTE(Base_Bruta!H1830,"R$","")),",","."),0)))</f>
        <v>1</v>
      </c>
      <c r="I1830" s="6" t="n">
        <f aca="false">IF($A1830="","",IF(ISNUMBER(Base_Bruta!I1830),Base_Bruta!I1830,IFERROR(_xlfn.NUMBERVALUE(TRIM(SUBSTITUTE(Base_Bruta!I1830,"R$","")),",","."),0)))</f>
        <v>935</v>
      </c>
      <c r="J1830" s="6" t="n">
        <f aca="false">IF($A1830="","",H1830*I1830)</f>
        <v>935</v>
      </c>
      <c r="K1830" s="4" t="str">
        <f aca="false">IF($A1830="","",TRIM(Base_Bruta!J1830))</f>
        <v>Site</v>
      </c>
      <c r="L1830" s="4" t="str">
        <f aca="false">IF($A1830="","",TRIM(Base_Bruta!K1830))</f>
        <v>C01590</v>
      </c>
      <c r="M1830" s="4" t="str">
        <f aca="false">IF($A1830="","",_xlfn.XLOOKUP(LOWER(TRIM(Base_Bruta!L1830)),DePara_Cidade!$A$2:$A$29,DePara_Cidade!$B$2:$B$29,"REVISAR"))</f>
        <v>Belo Horizonte</v>
      </c>
      <c r="N1830" s="4" t="str">
        <f aca="false">IF($A1830="","",UPPER(TRIM(Base_Bruta!M1830)))</f>
        <v>MG</v>
      </c>
      <c r="O1830" s="4" t="str">
        <f aca="false">IF($A1830="","",_xlfn.XLOOKUP(LOWER(TRIM(Base_Bruta!N1830)),DePara_Pais!$A$2:$A$9,DePara_Pais!$B$2:$B$9,"REVISAR"))</f>
        <v>Brasil</v>
      </c>
      <c r="P1830" s="4" t="str">
        <f aca="false">IF($A1830="","",IF(O1830&lt;&gt;"Brasil","Turista Internacional",IF(M1830=F1830,"Local","Turista Nacional")))</f>
        <v>Local</v>
      </c>
      <c r="Q1830" s="7" t="n">
        <f aca="false">IF($A1830="","",DATE(YEAR(B1830),MONTH(B1830),1))</f>
        <v>45870</v>
      </c>
      <c r="R1830" s="4" t="str">
        <f aca="false">IF($A1830="","",IF(COUNTIF($A$2:$A1830,$A1830)&gt;1,"Sim","Não"))</f>
        <v>Não</v>
      </c>
      <c r="S1830" s="4" t="str">
        <f aca="false">IF(A1830="","Descartar - Linha vazia",IF(R1830="Sim","Descartar - Duplicado",IF(OR(H1830&lt;=0,I1830&lt;=0),"Descartar - Qtd/Valor inválido","OK")))</f>
        <v>OK</v>
      </c>
      <c r="T1830" s="4" t="str">
        <f aca="false">Base_Bruta!P1830</f>
        <v>vendas_MG.csv</v>
      </c>
    </row>
    <row r="1831" customFormat="false" ht="15" hidden="false" customHeight="false" outlineLevel="0" collapsed="false">
      <c r="A1831" s="4" t="str">
        <f aca="false">IF(Base_Bruta!A1831="","",Base_Bruta!A1831)</f>
        <v>MG-000065</v>
      </c>
      <c r="B1831" s="5" t="n">
        <f aca="false">IF($A1831="","",IF(ISNUMBER(Base_Bruta!B1831),Base_Bruta!B1831,IF(MID(Base_Bruta!B1831,5,1)="-",DATE(VALUE(LEFT(Base_Bruta!B1831,4)),VALUE(MID(Base_Bruta!B1831,6,2)),VALUE(RIGHT(Base_Bruta!B1831,2))),DATE(VALUE(RIGHT(Base_Bruta!B1831,4)),VALUE(MID(Base_Bruta!B1831,4,2)),VALUE(LEFT(Base_Bruta!B1831,2))))))</f>
        <v>45892</v>
      </c>
      <c r="C1831" s="5" t="n">
        <f aca="false">IF($A1831="","",IF(ISNUMBER(Base_Bruta!C1831),Base_Bruta!C1831,IF(MID(Base_Bruta!C1831,5,1)="-",DATE(VALUE(LEFT(Base_Bruta!C1831,4)),VALUE(MID(Base_Bruta!C1831,6,2)),VALUE(RIGHT(Base_Bruta!C1831,2))),DATE(VALUE(RIGHT(Base_Bruta!C1831,4)),VALUE(MID(Base_Bruta!C1831,4,2)),VALUE(LEFT(Base_Bruta!C1831,2))))))</f>
        <v>45892</v>
      </c>
      <c r="D1831" s="4" t="str">
        <f aca="false">IF($A1831="","",TRIM(Base_Bruta!D1831))</f>
        <v>Festival Montanhas BH 2025</v>
      </c>
      <c r="E1831" s="4" t="str">
        <f aca="false">IF($A1831="","",_xlfn.XLOOKUP(LOWER(TRIM(Base_Bruta!E1831)),DePara_Categoria!$A$2:$A$9,DePara_Categoria!$B$2:$B$9,"REVISAR"))</f>
        <v>Festival</v>
      </c>
      <c r="F1831" s="4" t="str">
        <f aca="false">IF($A1831="","",_xlfn.XLOOKUP(LOWER(TRIM(Base_Bruta!F1831)),DePara_Cidade!$A$2:$A$29,DePara_Cidade!$B$2:$B$29,"REVISAR"))</f>
        <v>Belo Horizonte</v>
      </c>
      <c r="G1831" s="4" t="str">
        <f aca="false">IF($A1831="","",TRIM(Base_Bruta!G1831))</f>
        <v>Meia</v>
      </c>
      <c r="H1831" s="4" t="n">
        <f aca="false">IF($A1831="","",IF(ISNUMBER(Base_Bruta!H1831),Base_Bruta!H1831,IFERROR(_xlfn.NUMBERVALUE(TRIM(SUBSTITUTE(Base_Bruta!H1831,"R$","")),",","."),0)))</f>
        <v>1</v>
      </c>
      <c r="I1831" s="6" t="n">
        <f aca="false">IF($A1831="","",IF(ISNUMBER(Base_Bruta!I1831),Base_Bruta!I1831,IFERROR(_xlfn.NUMBERVALUE(TRIM(SUBSTITUTE(Base_Bruta!I1831,"R$","")),",","."),0)))</f>
        <v>460</v>
      </c>
      <c r="J1831" s="6" t="n">
        <f aca="false">IF($A1831="","",H1831*I1831)</f>
        <v>460</v>
      </c>
      <c r="K1831" s="4" t="str">
        <f aca="false">IF($A1831="","",TRIM(Base_Bruta!J1831))</f>
        <v>Site</v>
      </c>
      <c r="L1831" s="4" t="str">
        <f aca="false">IF($A1831="","",TRIM(Base_Bruta!K1831))</f>
        <v>C00850</v>
      </c>
      <c r="M1831" s="4" t="str">
        <f aca="false">IF($A1831="","",_xlfn.XLOOKUP(LOWER(TRIM(Base_Bruta!L1831)),DePara_Cidade!$A$2:$A$29,DePara_Cidade!$B$2:$B$29,"REVISAR"))</f>
        <v>Belo Horizonte</v>
      </c>
      <c r="N1831" s="4" t="str">
        <f aca="false">IF($A1831="","",UPPER(TRIM(Base_Bruta!M1831)))</f>
        <v>MG</v>
      </c>
      <c r="O1831" s="4" t="str">
        <f aca="false">IF($A1831="","",_xlfn.XLOOKUP(LOWER(TRIM(Base_Bruta!N1831)),DePara_Pais!$A$2:$A$9,DePara_Pais!$B$2:$B$9,"REVISAR"))</f>
        <v>Brasil</v>
      </c>
      <c r="P1831" s="4" t="str">
        <f aca="false">IF($A1831="","",IF(O1831&lt;&gt;"Brasil","Turista Internacional",IF(M1831=F1831,"Local","Turista Nacional")))</f>
        <v>Local</v>
      </c>
      <c r="Q1831" s="7" t="n">
        <f aca="false">IF($A1831="","",DATE(YEAR(B1831),MONTH(B1831),1))</f>
        <v>45870</v>
      </c>
      <c r="R1831" s="4" t="str">
        <f aca="false">IF($A1831="","",IF(COUNTIF($A$2:$A1831,$A1831)&gt;1,"Sim","Não"))</f>
        <v>Não</v>
      </c>
      <c r="S1831" s="4" t="str">
        <f aca="false">IF(A1831="","Descartar - Linha vazia",IF(R1831="Sim","Descartar - Duplicado",IF(OR(H1831&lt;=0,I1831&lt;=0),"Descartar - Qtd/Valor inválido","OK")))</f>
        <v>OK</v>
      </c>
      <c r="T1831" s="4" t="str">
        <f aca="false">Base_Bruta!P1831</f>
        <v>vendas_MG.csv</v>
      </c>
    </row>
    <row r="1832" customFormat="false" ht="15" hidden="false" customHeight="false" outlineLevel="0" collapsed="false">
      <c r="A1832" s="4" t="str">
        <f aca="false">IF(Base_Bruta!A1832="","",Base_Bruta!A1832)</f>
        <v>MG-000077</v>
      </c>
      <c r="B1832" s="5" t="n">
        <f aca="false">IF($A1832="","",IF(ISNUMBER(Base_Bruta!B1832),Base_Bruta!B1832,IF(MID(Base_Bruta!B1832,5,1)="-",DATE(VALUE(LEFT(Base_Bruta!B1832,4)),VALUE(MID(Base_Bruta!B1832,6,2)),VALUE(RIGHT(Base_Bruta!B1832,2))),DATE(VALUE(RIGHT(Base_Bruta!B1832,4)),VALUE(MID(Base_Bruta!B1832,4,2)),VALUE(LEFT(Base_Bruta!B1832,2))))))</f>
        <v>45892</v>
      </c>
      <c r="C1832" s="5" t="n">
        <f aca="false">IF($A1832="","",IF(ISNUMBER(Base_Bruta!C1832),Base_Bruta!C1832,IF(MID(Base_Bruta!C1832,5,1)="-",DATE(VALUE(LEFT(Base_Bruta!C1832,4)),VALUE(MID(Base_Bruta!C1832,6,2)),VALUE(RIGHT(Base_Bruta!C1832,2))),DATE(VALUE(RIGHT(Base_Bruta!C1832,4)),VALUE(MID(Base_Bruta!C1832,4,2)),VALUE(LEFT(Base_Bruta!C1832,2))))))</f>
        <v>45892</v>
      </c>
      <c r="D1832" s="4" t="str">
        <f aca="false">IF($A1832="","",TRIM(Base_Bruta!D1832))</f>
        <v>Festival Montanhas BH 2025</v>
      </c>
      <c r="E1832" s="4" t="str">
        <f aca="false">IF($A1832="","",_xlfn.XLOOKUP(LOWER(TRIM(Base_Bruta!E1832)),DePara_Categoria!$A$2:$A$9,DePara_Categoria!$B$2:$B$9,"REVISAR"))</f>
        <v>Festival</v>
      </c>
      <c r="F1832" s="4" t="str">
        <f aca="false">IF($A1832="","",_xlfn.XLOOKUP(LOWER(TRIM(Base_Bruta!F1832)),DePara_Cidade!$A$2:$A$29,DePara_Cidade!$B$2:$B$29,"REVISAR"))</f>
        <v>Belo Horizonte</v>
      </c>
      <c r="G1832" s="4" t="str">
        <f aca="false">IF($A1832="","",TRIM(Base_Bruta!G1832))</f>
        <v>Inteira</v>
      </c>
      <c r="H1832" s="4" t="n">
        <f aca="false">IF($A1832="","",IF(ISNUMBER(Base_Bruta!H1832),Base_Bruta!H1832,IFERROR(_xlfn.NUMBERVALUE(TRIM(SUBSTITUTE(Base_Bruta!H1832,"R$","")),",","."),0)))</f>
        <v>2</v>
      </c>
      <c r="I1832" s="6" t="n">
        <f aca="false">IF($A1832="","",IF(ISNUMBER(Base_Bruta!I1832),Base_Bruta!I1832,IFERROR(_xlfn.NUMBERVALUE(TRIM(SUBSTITUTE(Base_Bruta!I1832,"R$","")),",","."),0)))</f>
        <v>790</v>
      </c>
      <c r="J1832" s="6" t="n">
        <f aca="false">IF($A1832="","",H1832*I1832)</f>
        <v>1580</v>
      </c>
      <c r="K1832" s="4" t="str">
        <f aca="false">IF($A1832="","",TRIM(Base_Bruta!J1832))</f>
        <v>Site</v>
      </c>
      <c r="L1832" s="4" t="str">
        <f aca="false">IF($A1832="","",TRIM(Base_Bruta!K1832))</f>
        <v>C00410</v>
      </c>
      <c r="M1832" s="4" t="str">
        <f aca="false">IF($A1832="","",_xlfn.XLOOKUP(LOWER(TRIM(Base_Bruta!L1832)),DePara_Cidade!$A$2:$A$29,DePara_Cidade!$B$2:$B$29,"REVISAR"))</f>
        <v>Belo Horizonte</v>
      </c>
      <c r="N1832" s="4" t="str">
        <f aca="false">IF($A1832="","",UPPER(TRIM(Base_Bruta!M1832)))</f>
        <v>MG</v>
      </c>
      <c r="O1832" s="4" t="str">
        <f aca="false">IF($A1832="","",_xlfn.XLOOKUP(LOWER(TRIM(Base_Bruta!N1832)),DePara_Pais!$A$2:$A$9,DePara_Pais!$B$2:$B$9,"REVISAR"))</f>
        <v>Brasil</v>
      </c>
      <c r="P1832" s="4" t="str">
        <f aca="false">IF($A1832="","",IF(O1832&lt;&gt;"Brasil","Turista Internacional",IF(M1832=F1832,"Local","Turista Nacional")))</f>
        <v>Local</v>
      </c>
      <c r="Q1832" s="7" t="n">
        <f aca="false">IF($A1832="","",DATE(YEAR(B1832),MONTH(B1832),1))</f>
        <v>45870</v>
      </c>
      <c r="R1832" s="4" t="str">
        <f aca="false">IF($A1832="","",IF(COUNTIF($A$2:$A1832,$A1832)&gt;1,"Sim","Não"))</f>
        <v>Não</v>
      </c>
      <c r="S1832" s="4" t="str">
        <f aca="false">IF(A1832="","Descartar - Linha vazia",IF(R1832="Sim","Descartar - Duplicado",IF(OR(H1832&lt;=0,I1832&lt;=0),"Descartar - Qtd/Valor inválido","OK")))</f>
        <v>OK</v>
      </c>
      <c r="T1832" s="4" t="str">
        <f aca="false">Base_Bruta!P1832</f>
        <v>vendas_MG.csv</v>
      </c>
    </row>
    <row r="1833" customFormat="false" ht="15" hidden="false" customHeight="false" outlineLevel="0" collapsed="false">
      <c r="A1833" s="4" t="str">
        <f aca="false">IF(Base_Bruta!A1833="","",Base_Bruta!A1833)</f>
        <v>MG-000100</v>
      </c>
      <c r="B1833" s="5" t="n">
        <f aca="false">IF($A1833="","",IF(ISNUMBER(Base_Bruta!B1833),Base_Bruta!B1833,IF(MID(Base_Bruta!B1833,5,1)="-",DATE(VALUE(LEFT(Base_Bruta!B1833,4)),VALUE(MID(Base_Bruta!B1833,6,2)),VALUE(RIGHT(Base_Bruta!B1833,2))),DATE(VALUE(RIGHT(Base_Bruta!B1833,4)),VALUE(MID(Base_Bruta!B1833,4,2)),VALUE(LEFT(Base_Bruta!B1833,2))))))</f>
        <v>45892</v>
      </c>
      <c r="C1833" s="5" t="n">
        <f aca="false">IF($A1833="","",IF(ISNUMBER(Base_Bruta!C1833),Base_Bruta!C1833,IF(MID(Base_Bruta!C1833,5,1)="-",DATE(VALUE(LEFT(Base_Bruta!C1833,4)),VALUE(MID(Base_Bruta!C1833,6,2)),VALUE(RIGHT(Base_Bruta!C1833,2))),DATE(VALUE(RIGHT(Base_Bruta!C1833,4)),VALUE(MID(Base_Bruta!C1833,4,2)),VALUE(LEFT(Base_Bruta!C1833,2))))))</f>
        <v>45892</v>
      </c>
      <c r="D1833" s="4" t="str">
        <f aca="false">IF($A1833="","",TRIM(Base_Bruta!D1833))</f>
        <v>Festival Montanhas BH 2025</v>
      </c>
      <c r="E1833" s="4" t="str">
        <f aca="false">IF($A1833="","",_xlfn.XLOOKUP(LOWER(TRIM(Base_Bruta!E1833)),DePara_Categoria!$A$2:$A$9,DePara_Categoria!$B$2:$B$9,"REVISAR"))</f>
        <v>Festival</v>
      </c>
      <c r="F1833" s="4" t="str">
        <f aca="false">IF($A1833="","",_xlfn.XLOOKUP(LOWER(TRIM(Base_Bruta!F1833)),DePara_Cidade!$A$2:$A$29,DePara_Cidade!$B$2:$B$29,"REVISAR"))</f>
        <v>Belo Horizonte</v>
      </c>
      <c r="G1833" s="4" t="str">
        <f aca="false">IF($A1833="","",TRIM(Base_Bruta!G1833))</f>
        <v>Meia</v>
      </c>
      <c r="H1833" s="4" t="n">
        <f aca="false">IF($A1833="","",IF(ISNUMBER(Base_Bruta!H1833),Base_Bruta!H1833,IFERROR(_xlfn.NUMBERVALUE(TRIM(SUBSTITUTE(Base_Bruta!H1833,"R$","")),",","."),0)))</f>
        <v>2</v>
      </c>
      <c r="I1833" s="6" t="n">
        <f aca="false">IF($A1833="","",IF(ISNUMBER(Base_Bruta!I1833),Base_Bruta!I1833,IFERROR(_xlfn.NUMBERVALUE(TRIM(SUBSTITUTE(Base_Bruta!I1833,"R$","")),",","."),0)))</f>
        <v>490</v>
      </c>
      <c r="J1833" s="6" t="n">
        <f aca="false">IF($A1833="","",H1833*I1833)</f>
        <v>980</v>
      </c>
      <c r="K1833" s="4" t="str">
        <f aca="false">IF($A1833="","",TRIM(Base_Bruta!J1833))</f>
        <v>Parceiro</v>
      </c>
      <c r="L1833" s="4" t="str">
        <f aca="false">IF($A1833="","",TRIM(Base_Bruta!K1833))</f>
        <v>C02159</v>
      </c>
      <c r="M1833" s="4" t="str">
        <f aca="false">IF($A1833="","",_xlfn.XLOOKUP(LOWER(TRIM(Base_Bruta!L1833)),DePara_Cidade!$A$2:$A$29,DePara_Cidade!$B$2:$B$29,"REVISAR"))</f>
        <v>Vitória</v>
      </c>
      <c r="N1833" s="4" t="str">
        <f aca="false">IF($A1833="","",UPPER(TRIM(Base_Bruta!M1833)))</f>
        <v>ES</v>
      </c>
      <c r="O1833" s="4" t="str">
        <f aca="false">IF($A1833="","",_xlfn.XLOOKUP(LOWER(TRIM(Base_Bruta!N1833)),DePara_Pais!$A$2:$A$9,DePara_Pais!$B$2:$B$9,"REVISAR"))</f>
        <v>Brasil</v>
      </c>
      <c r="P1833" s="4" t="str">
        <f aca="false">IF($A1833="","",IF(O1833&lt;&gt;"Brasil","Turista Internacional",IF(M1833=F1833,"Local","Turista Nacional")))</f>
        <v>Turista Nacional</v>
      </c>
      <c r="Q1833" s="7" t="n">
        <f aca="false">IF($A1833="","",DATE(YEAR(B1833),MONTH(B1833),1))</f>
        <v>45870</v>
      </c>
      <c r="R1833" s="4" t="str">
        <f aca="false">IF($A1833="","",IF(COUNTIF($A$2:$A1833,$A1833)&gt;1,"Sim","Não"))</f>
        <v>Não</v>
      </c>
      <c r="S1833" s="4" t="str">
        <f aca="false">IF(A1833="","Descartar - Linha vazia",IF(R1833="Sim","Descartar - Duplicado",IF(OR(H1833&lt;=0,I1833&lt;=0),"Descartar - Qtd/Valor inválido","OK")))</f>
        <v>OK</v>
      </c>
      <c r="T1833" s="4" t="str">
        <f aca="false">Base_Bruta!P1833</f>
        <v>vendas_MG.csv</v>
      </c>
    </row>
    <row r="1834" customFormat="false" ht="15" hidden="false" customHeight="false" outlineLevel="0" collapsed="false">
      <c r="A1834" s="4" t="str">
        <f aca="false">IF(Base_Bruta!A1834="","",Base_Bruta!A1834)</f>
        <v>MG-000128</v>
      </c>
      <c r="B1834" s="5" t="n">
        <f aca="false">IF($A1834="","",IF(ISNUMBER(Base_Bruta!B1834),Base_Bruta!B1834,IF(MID(Base_Bruta!B1834,5,1)="-",DATE(VALUE(LEFT(Base_Bruta!B1834,4)),VALUE(MID(Base_Bruta!B1834,6,2)),VALUE(RIGHT(Base_Bruta!B1834,2))),DATE(VALUE(RIGHT(Base_Bruta!B1834,4)),VALUE(MID(Base_Bruta!B1834,4,2)),VALUE(LEFT(Base_Bruta!B1834,2))))))</f>
        <v>45892</v>
      </c>
      <c r="C1834" s="5" t="n">
        <f aca="false">IF($A1834="","",IF(ISNUMBER(Base_Bruta!C1834),Base_Bruta!C1834,IF(MID(Base_Bruta!C1834,5,1)="-",DATE(VALUE(LEFT(Base_Bruta!C1834,4)),VALUE(MID(Base_Bruta!C1834,6,2)),VALUE(RIGHT(Base_Bruta!C1834,2))),DATE(VALUE(RIGHT(Base_Bruta!C1834,4)),VALUE(MID(Base_Bruta!C1834,4,2)),VALUE(LEFT(Base_Bruta!C1834,2))))))</f>
        <v>45892</v>
      </c>
      <c r="D1834" s="4" t="str">
        <f aca="false">IF($A1834="","",TRIM(Base_Bruta!D1834))</f>
        <v>Festival Montanhas BH 2025</v>
      </c>
      <c r="E1834" s="4" t="str">
        <f aca="false">IF($A1834="","",_xlfn.XLOOKUP(LOWER(TRIM(Base_Bruta!E1834)),DePara_Categoria!$A$2:$A$9,DePara_Categoria!$B$2:$B$9,"REVISAR"))</f>
        <v>Festival</v>
      </c>
      <c r="F1834" s="4" t="str">
        <f aca="false">IF($A1834="","",_xlfn.XLOOKUP(LOWER(TRIM(Base_Bruta!F1834)),DePara_Cidade!$A$2:$A$29,DePara_Cidade!$B$2:$B$29,"REVISAR"))</f>
        <v>Belo Horizonte</v>
      </c>
      <c r="G1834" s="4" t="str">
        <f aca="false">IF($A1834="","",TRIM(Base_Bruta!G1834))</f>
        <v>Meia</v>
      </c>
      <c r="H1834" s="4" t="n">
        <f aca="false">IF($A1834="","",IF(ISNUMBER(Base_Bruta!H1834),Base_Bruta!H1834,IFERROR(_xlfn.NUMBERVALUE(TRIM(SUBSTITUTE(Base_Bruta!H1834,"R$","")),",","."),0)))</f>
        <v>1</v>
      </c>
      <c r="I1834" s="6" t="n">
        <f aca="false">IF($A1834="","",IF(ISNUMBER(Base_Bruta!I1834),Base_Bruta!I1834,IFERROR(_xlfn.NUMBERVALUE(TRIM(SUBSTITUTE(Base_Bruta!I1834,"R$","")),",","."),0)))</f>
        <v>435</v>
      </c>
      <c r="J1834" s="6" t="n">
        <f aca="false">IF($A1834="","",H1834*I1834)</f>
        <v>435</v>
      </c>
      <c r="K1834" s="4" t="str">
        <f aca="false">IF($A1834="","",TRIM(Base_Bruta!J1834))</f>
        <v>Bilheteria</v>
      </c>
      <c r="L1834" s="4" t="str">
        <f aca="false">IF($A1834="","",TRIM(Base_Bruta!K1834))</f>
        <v>C00610</v>
      </c>
      <c r="M1834" s="4" t="str">
        <f aca="false">IF($A1834="","",_xlfn.XLOOKUP(LOWER(TRIM(Base_Bruta!L1834)),DePara_Cidade!$A$2:$A$29,DePara_Cidade!$B$2:$B$29,"REVISAR"))</f>
        <v>Florianópolis</v>
      </c>
      <c r="N1834" s="4" t="str">
        <f aca="false">IF($A1834="","",UPPER(TRIM(Base_Bruta!M1834)))</f>
        <v>SC</v>
      </c>
      <c r="O1834" s="4" t="str">
        <f aca="false">IF($A1834="","",_xlfn.XLOOKUP(LOWER(TRIM(Base_Bruta!N1834)),DePara_Pais!$A$2:$A$9,DePara_Pais!$B$2:$B$9,"REVISAR"))</f>
        <v>Brasil</v>
      </c>
      <c r="P1834" s="4" t="str">
        <f aca="false">IF($A1834="","",IF(O1834&lt;&gt;"Brasil","Turista Internacional",IF(M1834=F1834,"Local","Turista Nacional")))</f>
        <v>Turista Nacional</v>
      </c>
      <c r="Q1834" s="7" t="n">
        <f aca="false">IF($A1834="","",DATE(YEAR(B1834),MONTH(B1834),1))</f>
        <v>45870</v>
      </c>
      <c r="R1834" s="4" t="str">
        <f aca="false">IF($A1834="","",IF(COUNTIF($A$2:$A1834,$A1834)&gt;1,"Sim","Não"))</f>
        <v>Não</v>
      </c>
      <c r="S1834" s="4" t="str">
        <f aca="false">IF(A1834="","Descartar - Linha vazia",IF(R1834="Sim","Descartar - Duplicado",IF(OR(H1834&lt;=0,I1834&lt;=0),"Descartar - Qtd/Valor inválido","OK")))</f>
        <v>OK</v>
      </c>
      <c r="T1834" s="4" t="str">
        <f aca="false">Base_Bruta!P1834</f>
        <v>vendas_MG.csv</v>
      </c>
    </row>
    <row r="1835" customFormat="false" ht="15" hidden="false" customHeight="false" outlineLevel="0" collapsed="false">
      <c r="A1835" s="4" t="str">
        <f aca="false">IF(Base_Bruta!A1835="","",Base_Bruta!A1835)</f>
        <v>MG-000140</v>
      </c>
      <c r="B1835" s="5" t="n">
        <f aca="false">IF($A1835="","",IF(ISNUMBER(Base_Bruta!B1835),Base_Bruta!B1835,IF(MID(Base_Bruta!B1835,5,1)="-",DATE(VALUE(LEFT(Base_Bruta!B1835,4)),VALUE(MID(Base_Bruta!B1835,6,2)),VALUE(RIGHT(Base_Bruta!B1835,2))),DATE(VALUE(RIGHT(Base_Bruta!B1835,4)),VALUE(MID(Base_Bruta!B1835,4,2)),VALUE(LEFT(Base_Bruta!B1835,2))))))</f>
        <v>45892</v>
      </c>
      <c r="C1835" s="5" t="n">
        <f aca="false">IF($A1835="","",IF(ISNUMBER(Base_Bruta!C1835),Base_Bruta!C1835,IF(MID(Base_Bruta!C1835,5,1)="-",DATE(VALUE(LEFT(Base_Bruta!C1835,4)),VALUE(MID(Base_Bruta!C1835,6,2)),VALUE(RIGHT(Base_Bruta!C1835,2))),DATE(VALUE(RIGHT(Base_Bruta!C1835,4)),VALUE(MID(Base_Bruta!C1835,4,2)),VALUE(LEFT(Base_Bruta!C1835,2))))))</f>
        <v>45892</v>
      </c>
      <c r="D1835" s="4" t="str">
        <f aca="false">IF($A1835="","",TRIM(Base_Bruta!D1835))</f>
        <v>Festival Montanhas BH 2025</v>
      </c>
      <c r="E1835" s="4" t="str">
        <f aca="false">IF($A1835="","",_xlfn.XLOOKUP(LOWER(TRIM(Base_Bruta!E1835)),DePara_Categoria!$A$2:$A$9,DePara_Categoria!$B$2:$B$9,"REVISAR"))</f>
        <v>Festival</v>
      </c>
      <c r="F1835" s="4" t="str">
        <f aca="false">IF($A1835="","",_xlfn.XLOOKUP(LOWER(TRIM(Base_Bruta!F1835)),DePara_Cidade!$A$2:$A$29,DePara_Cidade!$B$2:$B$29,"REVISAR"))</f>
        <v>Belo Horizonte</v>
      </c>
      <c r="G1835" s="4" t="str">
        <f aca="false">IF($A1835="","",TRIM(Base_Bruta!G1835))</f>
        <v>Inteira</v>
      </c>
      <c r="H1835" s="4" t="n">
        <f aca="false">IF($A1835="","",IF(ISNUMBER(Base_Bruta!H1835),Base_Bruta!H1835,IFERROR(_xlfn.NUMBERVALUE(TRIM(SUBSTITUTE(Base_Bruta!H1835,"R$","")),",","."),0)))</f>
        <v>2</v>
      </c>
      <c r="I1835" s="6" t="n">
        <f aca="false">IF($A1835="","",IF(ISNUMBER(Base_Bruta!I1835),Base_Bruta!I1835,IFERROR(_xlfn.NUMBERVALUE(TRIM(SUBSTITUTE(Base_Bruta!I1835,"R$","")),",","."),0)))</f>
        <v>840</v>
      </c>
      <c r="J1835" s="6" t="n">
        <f aca="false">IF($A1835="","",H1835*I1835)</f>
        <v>1680</v>
      </c>
      <c r="K1835" s="4" t="str">
        <f aca="false">IF($A1835="","",TRIM(Base_Bruta!J1835))</f>
        <v>Parceiro</v>
      </c>
      <c r="L1835" s="4" t="str">
        <f aca="false">IF($A1835="","",TRIM(Base_Bruta!K1835))</f>
        <v>C00018</v>
      </c>
      <c r="M1835" s="4" t="str">
        <f aca="false">IF($A1835="","",_xlfn.XLOOKUP(LOWER(TRIM(Base_Bruta!L1835)),DePara_Cidade!$A$2:$A$29,DePara_Cidade!$B$2:$B$29,"REVISAR"))</f>
        <v>Recife</v>
      </c>
      <c r="N1835" s="4" t="str">
        <f aca="false">IF($A1835="","",UPPER(TRIM(Base_Bruta!M1835)))</f>
        <v>PE</v>
      </c>
      <c r="O1835" s="4" t="str">
        <f aca="false">IF($A1835="","",_xlfn.XLOOKUP(LOWER(TRIM(Base_Bruta!N1835)),DePara_Pais!$A$2:$A$9,DePara_Pais!$B$2:$B$9,"REVISAR"))</f>
        <v>Brasil</v>
      </c>
      <c r="P1835" s="4" t="str">
        <f aca="false">IF($A1835="","",IF(O1835&lt;&gt;"Brasil","Turista Internacional",IF(M1835=F1835,"Local","Turista Nacional")))</f>
        <v>Turista Nacional</v>
      </c>
      <c r="Q1835" s="7" t="n">
        <f aca="false">IF($A1835="","",DATE(YEAR(B1835),MONTH(B1835),1))</f>
        <v>45870</v>
      </c>
      <c r="R1835" s="4" t="str">
        <f aca="false">IF($A1835="","",IF(COUNTIF($A$2:$A1835,$A1835)&gt;1,"Sim","Não"))</f>
        <v>Não</v>
      </c>
      <c r="S1835" s="4" t="str">
        <f aca="false">IF(A1835="","Descartar - Linha vazia",IF(R1835="Sim","Descartar - Duplicado",IF(OR(H1835&lt;=0,I1835&lt;=0),"Descartar - Qtd/Valor inválido","OK")))</f>
        <v>OK</v>
      </c>
      <c r="T1835" s="4" t="str">
        <f aca="false">Base_Bruta!P1835</f>
        <v>vendas_MG.csv</v>
      </c>
    </row>
    <row r="1836" customFormat="false" ht="15" hidden="false" customHeight="false" outlineLevel="0" collapsed="false">
      <c r="A1836" s="4" t="str">
        <f aca="false">IF(Base_Bruta!A1836="","",Base_Bruta!A1836)</f>
        <v>MG-000147</v>
      </c>
      <c r="B1836" s="5" t="n">
        <f aca="false">IF($A1836="","",IF(ISNUMBER(Base_Bruta!B1836),Base_Bruta!B1836,IF(MID(Base_Bruta!B1836,5,1)="-",DATE(VALUE(LEFT(Base_Bruta!B1836,4)),VALUE(MID(Base_Bruta!B1836,6,2)),VALUE(RIGHT(Base_Bruta!B1836,2))),DATE(VALUE(RIGHT(Base_Bruta!B1836,4)),VALUE(MID(Base_Bruta!B1836,4,2)),VALUE(LEFT(Base_Bruta!B1836,2))))))</f>
        <v>45892</v>
      </c>
      <c r="C1836" s="5" t="n">
        <f aca="false">IF($A1836="","",IF(ISNUMBER(Base_Bruta!C1836),Base_Bruta!C1836,IF(MID(Base_Bruta!C1836,5,1)="-",DATE(VALUE(LEFT(Base_Bruta!C1836,4)),VALUE(MID(Base_Bruta!C1836,6,2)),VALUE(RIGHT(Base_Bruta!C1836,2))),DATE(VALUE(RIGHT(Base_Bruta!C1836,4)),VALUE(MID(Base_Bruta!C1836,4,2)),VALUE(LEFT(Base_Bruta!C1836,2))))))</f>
        <v>45892</v>
      </c>
      <c r="D1836" s="4" t="str">
        <f aca="false">IF($A1836="","",TRIM(Base_Bruta!D1836))</f>
        <v>Festival Montanhas BH 2025</v>
      </c>
      <c r="E1836" s="4" t="str">
        <f aca="false">IF($A1836="","",_xlfn.XLOOKUP(LOWER(TRIM(Base_Bruta!E1836)),DePara_Categoria!$A$2:$A$9,DePara_Categoria!$B$2:$B$9,"REVISAR"))</f>
        <v>Festival</v>
      </c>
      <c r="F1836" s="4" t="str">
        <f aca="false">IF($A1836="","",_xlfn.XLOOKUP(LOWER(TRIM(Base_Bruta!F1836)),DePara_Cidade!$A$2:$A$29,DePara_Cidade!$B$2:$B$29,"REVISAR"))</f>
        <v>Belo Horizonte</v>
      </c>
      <c r="G1836" s="4" t="str">
        <f aca="false">IF($A1836="","",TRIM(Base_Bruta!G1836))</f>
        <v>Inteira</v>
      </c>
      <c r="H1836" s="4" t="n">
        <f aca="false">IF($A1836="","",IF(ISNUMBER(Base_Bruta!H1836),Base_Bruta!H1836,IFERROR(_xlfn.NUMBERVALUE(TRIM(SUBSTITUTE(Base_Bruta!H1836,"R$","")),",","."),0)))</f>
        <v>2</v>
      </c>
      <c r="I1836" s="6" t="n">
        <f aca="false">IF($A1836="","",IF(ISNUMBER(Base_Bruta!I1836),Base_Bruta!I1836,IFERROR(_xlfn.NUMBERVALUE(TRIM(SUBSTITUTE(Base_Bruta!I1836,"R$","")),",","."),0)))</f>
        <v>775</v>
      </c>
      <c r="J1836" s="6" t="n">
        <f aca="false">IF($A1836="","",H1836*I1836)</f>
        <v>1550</v>
      </c>
      <c r="K1836" s="4" t="str">
        <f aca="false">IF($A1836="","",TRIM(Base_Bruta!J1836))</f>
        <v>Site</v>
      </c>
      <c r="L1836" s="4" t="str">
        <f aca="false">IF($A1836="","",TRIM(Base_Bruta!K1836))</f>
        <v>C01648</v>
      </c>
      <c r="M1836" s="4" t="str">
        <f aca="false">IF($A1836="","",_xlfn.XLOOKUP(LOWER(TRIM(Base_Bruta!L1836)),DePara_Cidade!$A$2:$A$29,DePara_Cidade!$B$2:$B$29,"REVISAR"))</f>
        <v>Santos</v>
      </c>
      <c r="N1836" s="4" t="str">
        <f aca="false">IF($A1836="","",UPPER(TRIM(Base_Bruta!M1836)))</f>
        <v>SP</v>
      </c>
      <c r="O1836" s="4" t="str">
        <f aca="false">IF($A1836="","",_xlfn.XLOOKUP(LOWER(TRIM(Base_Bruta!N1836)),DePara_Pais!$A$2:$A$9,DePara_Pais!$B$2:$B$9,"REVISAR"))</f>
        <v>Brasil</v>
      </c>
      <c r="P1836" s="4" t="str">
        <f aca="false">IF($A1836="","",IF(O1836&lt;&gt;"Brasil","Turista Internacional",IF(M1836=F1836,"Local","Turista Nacional")))</f>
        <v>Turista Nacional</v>
      </c>
      <c r="Q1836" s="7" t="n">
        <f aca="false">IF($A1836="","",DATE(YEAR(B1836),MONTH(B1836),1))</f>
        <v>45870</v>
      </c>
      <c r="R1836" s="4" t="str">
        <f aca="false">IF($A1836="","",IF(COUNTIF($A$2:$A1836,$A1836)&gt;1,"Sim","Não"))</f>
        <v>Não</v>
      </c>
      <c r="S1836" s="4" t="str">
        <f aca="false">IF(A1836="","Descartar - Linha vazia",IF(R1836="Sim","Descartar - Duplicado",IF(OR(H1836&lt;=0,I1836&lt;=0),"Descartar - Qtd/Valor inválido","OK")))</f>
        <v>OK</v>
      </c>
      <c r="T1836" s="4" t="str">
        <f aca="false">Base_Bruta!P1836</f>
        <v>vendas_MG.csv</v>
      </c>
    </row>
    <row r="1837" customFormat="false" ht="15" hidden="false" customHeight="false" outlineLevel="0" collapsed="false">
      <c r="A1837" s="4" t="str">
        <f aca="false">IF(Base_Bruta!A1837="","",Base_Bruta!A1837)</f>
        <v>MG-000167</v>
      </c>
      <c r="B1837" s="5" t="n">
        <f aca="false">IF($A1837="","",IF(ISNUMBER(Base_Bruta!B1837),Base_Bruta!B1837,IF(MID(Base_Bruta!B1837,5,1)="-",DATE(VALUE(LEFT(Base_Bruta!B1837,4)),VALUE(MID(Base_Bruta!B1837,6,2)),VALUE(RIGHT(Base_Bruta!B1837,2))),DATE(VALUE(RIGHT(Base_Bruta!B1837,4)),VALUE(MID(Base_Bruta!B1837,4,2)),VALUE(LEFT(Base_Bruta!B1837,2))))))</f>
        <v>45892</v>
      </c>
      <c r="C1837" s="5" t="n">
        <f aca="false">IF($A1837="","",IF(ISNUMBER(Base_Bruta!C1837),Base_Bruta!C1837,IF(MID(Base_Bruta!C1837,5,1)="-",DATE(VALUE(LEFT(Base_Bruta!C1837,4)),VALUE(MID(Base_Bruta!C1837,6,2)),VALUE(RIGHT(Base_Bruta!C1837,2))),DATE(VALUE(RIGHT(Base_Bruta!C1837,4)),VALUE(MID(Base_Bruta!C1837,4,2)),VALUE(LEFT(Base_Bruta!C1837,2))))))</f>
        <v>45892</v>
      </c>
      <c r="D1837" s="4" t="str">
        <f aca="false">IF($A1837="","",TRIM(Base_Bruta!D1837))</f>
        <v>Festival Montanhas BH 2025</v>
      </c>
      <c r="E1837" s="4" t="str">
        <f aca="false">IF($A1837="","",_xlfn.XLOOKUP(LOWER(TRIM(Base_Bruta!E1837)),DePara_Categoria!$A$2:$A$9,DePara_Categoria!$B$2:$B$9,"REVISAR"))</f>
        <v>Festival</v>
      </c>
      <c r="F1837" s="4" t="str">
        <f aca="false">IF($A1837="","",_xlfn.XLOOKUP(LOWER(TRIM(Base_Bruta!F1837)),DePara_Cidade!$A$2:$A$29,DePara_Cidade!$B$2:$B$29,"REVISAR"))</f>
        <v>Belo Horizonte</v>
      </c>
      <c r="G1837" s="4" t="str">
        <f aca="false">IF($A1837="","",TRIM(Base_Bruta!G1837))</f>
        <v>VIP</v>
      </c>
      <c r="H1837" s="4" t="n">
        <f aca="false">IF($A1837="","",IF(ISNUMBER(Base_Bruta!H1837),Base_Bruta!H1837,IFERROR(_xlfn.NUMBERVALUE(TRIM(SUBSTITUTE(Base_Bruta!H1837,"R$","")),",","."),0)))</f>
        <v>2</v>
      </c>
      <c r="I1837" s="6" t="n">
        <f aca="false">IF($A1837="","",IF(ISNUMBER(Base_Bruta!I1837),Base_Bruta!I1837,IFERROR(_xlfn.NUMBERVALUE(TRIM(SUBSTITUTE(Base_Bruta!I1837,"R$","")),",","."),0)))</f>
        <v>1940</v>
      </c>
      <c r="J1837" s="6" t="n">
        <f aca="false">IF($A1837="","",H1837*I1837)</f>
        <v>3880</v>
      </c>
      <c r="K1837" s="4" t="str">
        <f aca="false">IF($A1837="","",TRIM(Base_Bruta!J1837))</f>
        <v>Site</v>
      </c>
      <c r="L1837" s="4" t="str">
        <f aca="false">IF($A1837="","",TRIM(Base_Bruta!K1837))</f>
        <v>C01468</v>
      </c>
      <c r="M1837" s="4" t="str">
        <f aca="false">IF($A1837="","",_xlfn.XLOOKUP(LOWER(TRIM(Base_Bruta!L1837)),DePara_Cidade!$A$2:$A$29,DePara_Cidade!$B$2:$B$29,"REVISAR"))</f>
        <v>Contagem</v>
      </c>
      <c r="N1837" s="4" t="str">
        <f aca="false">IF($A1837="","",UPPER(TRIM(Base_Bruta!M1837)))</f>
        <v>MG</v>
      </c>
      <c r="O1837" s="4" t="str">
        <f aca="false">IF($A1837="","",_xlfn.XLOOKUP(LOWER(TRIM(Base_Bruta!N1837)),DePara_Pais!$A$2:$A$9,DePara_Pais!$B$2:$B$9,"REVISAR"))</f>
        <v>Brasil</v>
      </c>
      <c r="P1837" s="4" t="str">
        <f aca="false">IF($A1837="","",IF(O1837&lt;&gt;"Brasil","Turista Internacional",IF(M1837=F1837,"Local","Turista Nacional")))</f>
        <v>Turista Nacional</v>
      </c>
      <c r="Q1837" s="7" t="n">
        <f aca="false">IF($A1837="","",DATE(YEAR(B1837),MONTH(B1837),1))</f>
        <v>45870</v>
      </c>
      <c r="R1837" s="4" t="str">
        <f aca="false">IF($A1837="","",IF(COUNTIF($A$2:$A1837,$A1837)&gt;1,"Sim","Não"))</f>
        <v>Não</v>
      </c>
      <c r="S1837" s="4" t="str">
        <f aca="false">IF(A1837="","Descartar - Linha vazia",IF(R1837="Sim","Descartar - Duplicado",IF(OR(H1837&lt;=0,I1837&lt;=0),"Descartar - Qtd/Valor inválido","OK")))</f>
        <v>OK</v>
      </c>
      <c r="T1837" s="4" t="str">
        <f aca="false">Base_Bruta!P1837</f>
        <v>vendas_MG.csv</v>
      </c>
    </row>
    <row r="1838" customFormat="false" ht="15" hidden="false" customHeight="false" outlineLevel="0" collapsed="false">
      <c r="A1838" s="4" t="str">
        <f aca="false">IF(Base_Bruta!A1838="","",Base_Bruta!A1838)</f>
        <v>MG-000179</v>
      </c>
      <c r="B1838" s="5" t="n">
        <f aca="false">IF($A1838="","",IF(ISNUMBER(Base_Bruta!B1838),Base_Bruta!B1838,IF(MID(Base_Bruta!B1838,5,1)="-",DATE(VALUE(LEFT(Base_Bruta!B1838,4)),VALUE(MID(Base_Bruta!B1838,6,2)),VALUE(RIGHT(Base_Bruta!B1838,2))),DATE(VALUE(RIGHT(Base_Bruta!B1838,4)),VALUE(MID(Base_Bruta!B1838,4,2)),VALUE(LEFT(Base_Bruta!B1838,2))))))</f>
        <v>45892</v>
      </c>
      <c r="C1838" s="5" t="n">
        <f aca="false">IF($A1838="","",IF(ISNUMBER(Base_Bruta!C1838),Base_Bruta!C1838,IF(MID(Base_Bruta!C1838,5,1)="-",DATE(VALUE(LEFT(Base_Bruta!C1838,4)),VALUE(MID(Base_Bruta!C1838,6,2)),VALUE(RIGHT(Base_Bruta!C1838,2))),DATE(VALUE(RIGHT(Base_Bruta!C1838,4)),VALUE(MID(Base_Bruta!C1838,4,2)),VALUE(LEFT(Base_Bruta!C1838,2))))))</f>
        <v>45892</v>
      </c>
      <c r="D1838" s="4" t="str">
        <f aca="false">IF($A1838="","",TRIM(Base_Bruta!D1838))</f>
        <v>Festival Montanhas BH 2025</v>
      </c>
      <c r="E1838" s="4" t="str">
        <f aca="false">IF($A1838="","",_xlfn.XLOOKUP(LOWER(TRIM(Base_Bruta!E1838)),DePara_Categoria!$A$2:$A$9,DePara_Categoria!$B$2:$B$9,"REVISAR"))</f>
        <v>Festival</v>
      </c>
      <c r="F1838" s="4" t="str">
        <f aca="false">IF($A1838="","",_xlfn.XLOOKUP(LOWER(TRIM(Base_Bruta!F1838)),DePara_Cidade!$A$2:$A$29,DePara_Cidade!$B$2:$B$29,"REVISAR"))</f>
        <v>Belo Horizonte</v>
      </c>
      <c r="G1838" s="4" t="str">
        <f aca="false">IF($A1838="","",TRIM(Base_Bruta!G1838))</f>
        <v>Meia</v>
      </c>
      <c r="H1838" s="4" t="n">
        <f aca="false">IF($A1838="","",IF(ISNUMBER(Base_Bruta!H1838),Base_Bruta!H1838,IFERROR(_xlfn.NUMBERVALUE(TRIM(SUBSTITUTE(Base_Bruta!H1838,"R$","")),",","."),0)))</f>
        <v>2</v>
      </c>
      <c r="I1838" s="6" t="n">
        <f aca="false">IF($A1838="","",IF(ISNUMBER(Base_Bruta!I1838),Base_Bruta!I1838,IFERROR(_xlfn.NUMBERVALUE(TRIM(SUBSTITUTE(Base_Bruta!I1838,"R$","")),",","."),0)))</f>
        <v>407.5</v>
      </c>
      <c r="J1838" s="6" t="n">
        <f aca="false">IF($A1838="","",H1838*I1838)</f>
        <v>815</v>
      </c>
      <c r="K1838" s="4" t="str">
        <f aca="false">IF($A1838="","",TRIM(Base_Bruta!J1838))</f>
        <v>Site</v>
      </c>
      <c r="L1838" s="4" t="str">
        <f aca="false">IF($A1838="","",TRIM(Base_Bruta!K1838))</f>
        <v>C00773</v>
      </c>
      <c r="M1838" s="4" t="str">
        <f aca="false">IF($A1838="","",_xlfn.XLOOKUP(LOWER(TRIM(Base_Bruta!L1838)),DePara_Cidade!$A$2:$A$29,DePara_Cidade!$B$2:$B$29,"REVISAR"))</f>
        <v>São Paulo</v>
      </c>
      <c r="N1838" s="4" t="str">
        <f aca="false">IF($A1838="","",UPPER(TRIM(Base_Bruta!M1838)))</f>
        <v>SP</v>
      </c>
      <c r="O1838" s="4" t="str">
        <f aca="false">IF($A1838="","",_xlfn.XLOOKUP(LOWER(TRIM(Base_Bruta!N1838)),DePara_Pais!$A$2:$A$9,DePara_Pais!$B$2:$B$9,"REVISAR"))</f>
        <v>Brasil</v>
      </c>
      <c r="P1838" s="4" t="str">
        <f aca="false">IF($A1838="","",IF(O1838&lt;&gt;"Brasil","Turista Internacional",IF(M1838=F1838,"Local","Turista Nacional")))</f>
        <v>Turista Nacional</v>
      </c>
      <c r="Q1838" s="7" t="n">
        <f aca="false">IF($A1838="","",DATE(YEAR(B1838),MONTH(B1838),1))</f>
        <v>45870</v>
      </c>
      <c r="R1838" s="4" t="str">
        <f aca="false">IF($A1838="","",IF(COUNTIF($A$2:$A1838,$A1838)&gt;1,"Sim","Não"))</f>
        <v>Não</v>
      </c>
      <c r="S1838" s="4" t="str">
        <f aca="false">IF(A1838="","Descartar - Linha vazia",IF(R1838="Sim","Descartar - Duplicado",IF(OR(H1838&lt;=0,I1838&lt;=0),"Descartar - Qtd/Valor inválido","OK")))</f>
        <v>OK</v>
      </c>
      <c r="T1838" s="4" t="str">
        <f aca="false">Base_Bruta!P1838</f>
        <v>vendas_MG.csv</v>
      </c>
    </row>
    <row r="1839" customFormat="false" ht="15" hidden="false" customHeight="false" outlineLevel="0" collapsed="false">
      <c r="A1839" s="4" t="str">
        <f aca="false">IF(Base_Bruta!A1839="","",Base_Bruta!A1839)</f>
        <v>MG-000192</v>
      </c>
      <c r="B1839" s="5" t="n">
        <f aca="false">IF($A1839="","",IF(ISNUMBER(Base_Bruta!B1839),Base_Bruta!B1839,IF(MID(Base_Bruta!B1839,5,1)="-",DATE(VALUE(LEFT(Base_Bruta!B1839,4)),VALUE(MID(Base_Bruta!B1839,6,2)),VALUE(RIGHT(Base_Bruta!B1839,2))),DATE(VALUE(RIGHT(Base_Bruta!B1839,4)),VALUE(MID(Base_Bruta!B1839,4,2)),VALUE(LEFT(Base_Bruta!B1839,2))))))</f>
        <v>45892</v>
      </c>
      <c r="C1839" s="5" t="n">
        <f aca="false">IF($A1839="","",IF(ISNUMBER(Base_Bruta!C1839),Base_Bruta!C1839,IF(MID(Base_Bruta!C1839,5,1)="-",DATE(VALUE(LEFT(Base_Bruta!C1839,4)),VALUE(MID(Base_Bruta!C1839,6,2)),VALUE(RIGHT(Base_Bruta!C1839,2))),DATE(VALUE(RIGHT(Base_Bruta!C1839,4)),VALUE(MID(Base_Bruta!C1839,4,2)),VALUE(LEFT(Base_Bruta!C1839,2))))))</f>
        <v>45892</v>
      </c>
      <c r="D1839" s="4" t="str">
        <f aca="false">IF($A1839="","",TRIM(Base_Bruta!D1839))</f>
        <v>Festival Montanhas BH 2025</v>
      </c>
      <c r="E1839" s="4" t="str">
        <f aca="false">IF($A1839="","",_xlfn.XLOOKUP(LOWER(TRIM(Base_Bruta!E1839)),DePara_Categoria!$A$2:$A$9,DePara_Categoria!$B$2:$B$9,"REVISAR"))</f>
        <v>Festival</v>
      </c>
      <c r="F1839" s="4" t="str">
        <f aca="false">IF($A1839="","",_xlfn.XLOOKUP(LOWER(TRIM(Base_Bruta!F1839)),DePara_Cidade!$A$2:$A$29,DePara_Cidade!$B$2:$B$29,"REVISAR"))</f>
        <v>Belo Horizonte</v>
      </c>
      <c r="G1839" s="4" t="str">
        <f aca="false">IF($A1839="","",TRIM(Base_Bruta!G1839))</f>
        <v>Inteira</v>
      </c>
      <c r="H1839" s="4" t="n">
        <f aca="false">IF($A1839="","",IF(ISNUMBER(Base_Bruta!H1839),Base_Bruta!H1839,IFERROR(_xlfn.NUMBERVALUE(TRIM(SUBSTITUTE(Base_Bruta!H1839,"R$","")),",","."),0)))</f>
        <v>2</v>
      </c>
      <c r="I1839" s="6" t="n">
        <f aca="false">IF($A1839="","",IF(ISNUMBER(Base_Bruta!I1839),Base_Bruta!I1839,IFERROR(_xlfn.NUMBERVALUE(TRIM(SUBSTITUTE(Base_Bruta!I1839,"R$","")),",","."),0)))</f>
        <v>1095</v>
      </c>
      <c r="J1839" s="6" t="n">
        <f aca="false">IF($A1839="","",H1839*I1839)</f>
        <v>2190</v>
      </c>
      <c r="K1839" s="4" t="str">
        <f aca="false">IF($A1839="","",TRIM(Base_Bruta!J1839))</f>
        <v>App</v>
      </c>
      <c r="L1839" s="4" t="str">
        <f aca="false">IF($A1839="","",TRIM(Base_Bruta!K1839))</f>
        <v>C01749</v>
      </c>
      <c r="M1839" s="4" t="str">
        <f aca="false">IF($A1839="","",_xlfn.XLOOKUP(LOWER(TRIM(Base_Bruta!L1839)),DePara_Cidade!$A$2:$A$29,DePara_Cidade!$B$2:$B$29,"REVISAR"))</f>
        <v>Recife</v>
      </c>
      <c r="N1839" s="4" t="str">
        <f aca="false">IF($A1839="","",UPPER(TRIM(Base_Bruta!M1839)))</f>
        <v>PE</v>
      </c>
      <c r="O1839" s="4" t="str">
        <f aca="false">IF($A1839="","",_xlfn.XLOOKUP(LOWER(TRIM(Base_Bruta!N1839)),DePara_Pais!$A$2:$A$9,DePara_Pais!$B$2:$B$9,"REVISAR"))</f>
        <v>Brasil</v>
      </c>
      <c r="P1839" s="4" t="str">
        <f aca="false">IF($A1839="","",IF(O1839&lt;&gt;"Brasil","Turista Internacional",IF(M1839=F1839,"Local","Turista Nacional")))</f>
        <v>Turista Nacional</v>
      </c>
      <c r="Q1839" s="7" t="n">
        <f aca="false">IF($A1839="","",DATE(YEAR(B1839),MONTH(B1839),1))</f>
        <v>45870</v>
      </c>
      <c r="R1839" s="4" t="str">
        <f aca="false">IF($A1839="","",IF(COUNTIF($A$2:$A1839,$A1839)&gt;1,"Sim","Não"))</f>
        <v>Não</v>
      </c>
      <c r="S1839" s="4" t="str">
        <f aca="false">IF(A1839="","Descartar - Linha vazia",IF(R1839="Sim","Descartar - Duplicado",IF(OR(H1839&lt;=0,I1839&lt;=0),"Descartar - Qtd/Valor inválido","OK")))</f>
        <v>OK</v>
      </c>
      <c r="T1839" s="4" t="str">
        <f aca="false">Base_Bruta!P1839</f>
        <v>vendas_MG.csv</v>
      </c>
    </row>
    <row r="1840" customFormat="false" ht="15" hidden="false" customHeight="false" outlineLevel="0" collapsed="false">
      <c r="A1840" s="4" t="str">
        <f aca="false">IF(Base_Bruta!A1840="","",Base_Bruta!A1840)</f>
        <v>MG-000436</v>
      </c>
      <c r="B1840" s="5" t="n">
        <f aca="false">IF($A1840="","",IF(ISNUMBER(Base_Bruta!B1840),Base_Bruta!B1840,IF(MID(Base_Bruta!B1840,5,1)="-",DATE(VALUE(LEFT(Base_Bruta!B1840,4)),VALUE(MID(Base_Bruta!B1840,6,2)),VALUE(RIGHT(Base_Bruta!B1840,2))),DATE(VALUE(RIGHT(Base_Bruta!B1840,4)),VALUE(MID(Base_Bruta!B1840,4,2)),VALUE(LEFT(Base_Bruta!B1840,2))))))</f>
        <v>45894</v>
      </c>
      <c r="C1840" s="5" t="n">
        <f aca="false">IF($A1840="","",IF(ISNUMBER(Base_Bruta!C1840),Base_Bruta!C1840,IF(MID(Base_Bruta!C1840,5,1)="-",DATE(VALUE(LEFT(Base_Bruta!C1840,4)),VALUE(MID(Base_Bruta!C1840,6,2)),VALUE(RIGHT(Base_Bruta!C1840,2))),DATE(VALUE(RIGHT(Base_Bruta!C1840,4)),VALUE(MID(Base_Bruta!C1840,4,2)),VALUE(LEFT(Base_Bruta!C1840,2))))))</f>
        <v>45896</v>
      </c>
      <c r="D1840" s="4" t="str">
        <f aca="false">IF($A1840="","",TRIM(Base_Bruta!D1840))</f>
        <v>Cinema Savassi - Sessões</v>
      </c>
      <c r="E1840" s="4" t="str">
        <f aca="false">IF($A1840="","",_xlfn.XLOOKUP(LOWER(TRIM(Base_Bruta!E1840)),DePara_Categoria!$A$2:$A$9,DePara_Categoria!$B$2:$B$9,"REVISAR"))</f>
        <v>Cinema</v>
      </c>
      <c r="F1840" s="4" t="str">
        <f aca="false">IF($A1840="","",_xlfn.XLOOKUP(LOWER(TRIM(Base_Bruta!F1840)),DePara_Cidade!$A$2:$A$29,DePara_Cidade!$B$2:$B$29,"REVISAR"))</f>
        <v>Belo Horizonte</v>
      </c>
      <c r="G1840" s="4" t="str">
        <f aca="false">IF($A1840="","",TRIM(Base_Bruta!G1840))</f>
        <v>Inteira</v>
      </c>
      <c r="H1840" s="4" t="n">
        <f aca="false">IF($A1840="","",IF(ISNUMBER(Base_Bruta!H1840),Base_Bruta!H1840,IFERROR(_xlfn.NUMBERVALUE(TRIM(SUBSTITUTE(Base_Bruta!H1840,"R$","")),",","."),0)))</f>
        <v>2</v>
      </c>
      <c r="I1840" s="6" t="n">
        <f aca="false">IF($A1840="","",IF(ISNUMBER(Base_Bruta!I1840),Base_Bruta!I1840,IFERROR(_xlfn.NUMBERVALUE(TRIM(SUBSTITUTE(Base_Bruta!I1840,"R$","")),",","."),0)))</f>
        <v>30</v>
      </c>
      <c r="J1840" s="6" t="n">
        <f aca="false">IF($A1840="","",H1840*I1840)</f>
        <v>60</v>
      </c>
      <c r="K1840" s="4" t="str">
        <f aca="false">IF($A1840="","",TRIM(Base_Bruta!J1840))</f>
        <v>Site</v>
      </c>
      <c r="L1840" s="4" t="str">
        <f aca="false">IF($A1840="","",TRIM(Base_Bruta!K1840))</f>
        <v>C01532</v>
      </c>
      <c r="M1840" s="4" t="str">
        <f aca="false">IF($A1840="","",_xlfn.XLOOKUP(LOWER(TRIM(Base_Bruta!L1840)),DePara_Cidade!$A$2:$A$29,DePara_Cidade!$B$2:$B$29,"REVISAR"))</f>
        <v>Belo Horizonte</v>
      </c>
      <c r="N1840" s="4" t="str">
        <f aca="false">IF($A1840="","",UPPER(TRIM(Base_Bruta!M1840)))</f>
        <v>MG</v>
      </c>
      <c r="O1840" s="4" t="str">
        <f aca="false">IF($A1840="","",_xlfn.XLOOKUP(LOWER(TRIM(Base_Bruta!N1840)),DePara_Pais!$A$2:$A$9,DePara_Pais!$B$2:$B$9,"REVISAR"))</f>
        <v>Brasil</v>
      </c>
      <c r="P1840" s="4" t="str">
        <f aca="false">IF($A1840="","",IF(O1840&lt;&gt;"Brasil","Turista Internacional",IF(M1840=F1840,"Local","Turista Nacional")))</f>
        <v>Local</v>
      </c>
      <c r="Q1840" s="7" t="n">
        <f aca="false">IF($A1840="","",DATE(YEAR(B1840),MONTH(B1840),1))</f>
        <v>45870</v>
      </c>
      <c r="R1840" s="4" t="str">
        <f aca="false">IF($A1840="","",IF(COUNTIF($A$2:$A1840,$A1840)&gt;1,"Sim","Não"))</f>
        <v>Não</v>
      </c>
      <c r="S1840" s="4" t="str">
        <f aca="false">IF(A1840="","Descartar - Linha vazia",IF(R1840="Sim","Descartar - Duplicado",IF(OR(H1840&lt;=0,I1840&lt;=0),"Descartar - Qtd/Valor inválido","OK")))</f>
        <v>OK</v>
      </c>
      <c r="T1840" s="4" t="str">
        <f aca="false">Base_Bruta!P1840</f>
        <v>vendas_MG.csv</v>
      </c>
    </row>
    <row r="1841" customFormat="false" ht="15" hidden="false" customHeight="false" outlineLevel="0" collapsed="false">
      <c r="A1841" s="4" t="str">
        <f aca="false">IF(Base_Bruta!A1841="","",Base_Bruta!A1841)</f>
        <v>MG-000385</v>
      </c>
      <c r="B1841" s="5" t="n">
        <f aca="false">IF($A1841="","",IF(ISNUMBER(Base_Bruta!B1841),Base_Bruta!B1841,IF(MID(Base_Bruta!B1841,5,1)="-",DATE(VALUE(LEFT(Base_Bruta!B1841,4)),VALUE(MID(Base_Bruta!B1841,6,2)),VALUE(RIGHT(Base_Bruta!B1841,2))),DATE(VALUE(RIGHT(Base_Bruta!B1841,4)),VALUE(MID(Base_Bruta!B1841,4,2)),VALUE(LEFT(Base_Bruta!B1841,2))))))</f>
        <v>45899</v>
      </c>
      <c r="C1841" s="5" t="n">
        <f aca="false">IF($A1841="","",IF(ISNUMBER(Base_Bruta!C1841),Base_Bruta!C1841,IF(MID(Base_Bruta!C1841,5,1)="-",DATE(VALUE(LEFT(Base_Bruta!C1841,4)),VALUE(MID(Base_Bruta!C1841,6,2)),VALUE(RIGHT(Base_Bruta!C1841,2))),DATE(VALUE(RIGHT(Base_Bruta!C1841,4)),VALUE(MID(Base_Bruta!C1841,4,2)),VALUE(LEFT(Base_Bruta!C1841,2))))))</f>
        <v>45901</v>
      </c>
      <c r="D1841" s="4" t="str">
        <f aca="false">IF($A1841="","",TRIM(Base_Bruta!D1841))</f>
        <v>Cinema Savassi - Sessões</v>
      </c>
      <c r="E1841" s="4" t="str">
        <f aca="false">IF($A1841="","",_xlfn.XLOOKUP(LOWER(TRIM(Base_Bruta!E1841)),DePara_Categoria!$A$2:$A$9,DePara_Categoria!$B$2:$B$9,"REVISAR"))</f>
        <v>Cinema</v>
      </c>
      <c r="F1841" s="4" t="str">
        <f aca="false">IF($A1841="","",_xlfn.XLOOKUP(LOWER(TRIM(Base_Bruta!F1841)),DePara_Cidade!$A$2:$A$29,DePara_Cidade!$B$2:$B$29,"REVISAR"))</f>
        <v>Belo Horizonte</v>
      </c>
      <c r="G1841" s="4" t="str">
        <f aca="false">IF($A1841="","",TRIM(Base_Bruta!G1841))</f>
        <v>Inteira</v>
      </c>
      <c r="H1841" s="4" t="n">
        <f aca="false">IF($A1841="","",IF(ISNUMBER(Base_Bruta!H1841),Base_Bruta!H1841,IFERROR(_xlfn.NUMBERVALUE(TRIM(SUBSTITUTE(Base_Bruta!H1841,"R$","")),",","."),0)))</f>
        <v>2</v>
      </c>
      <c r="I1841" s="6" t="n">
        <f aca="false">IF($A1841="","",IF(ISNUMBER(Base_Bruta!I1841),Base_Bruta!I1841,IFERROR(_xlfn.NUMBERVALUE(TRIM(SUBSTITUTE(Base_Bruta!I1841,"R$","")),",","."),0)))</f>
        <v>45</v>
      </c>
      <c r="J1841" s="6" t="n">
        <f aca="false">IF($A1841="","",H1841*I1841)</f>
        <v>90</v>
      </c>
      <c r="K1841" s="4" t="str">
        <f aca="false">IF($A1841="","",TRIM(Base_Bruta!J1841))</f>
        <v>App</v>
      </c>
      <c r="L1841" s="4" t="str">
        <f aca="false">IF($A1841="","",TRIM(Base_Bruta!K1841))</f>
        <v>C01506</v>
      </c>
      <c r="M1841" s="4" t="str">
        <f aca="false">IF($A1841="","",_xlfn.XLOOKUP(LOWER(TRIM(Base_Bruta!L1841)),DePara_Cidade!$A$2:$A$29,DePara_Cidade!$B$2:$B$29,"REVISAR"))</f>
        <v>Belo Horizonte</v>
      </c>
      <c r="N1841" s="4" t="str">
        <f aca="false">IF($A1841="","",UPPER(TRIM(Base_Bruta!M1841)))</f>
        <v>MG</v>
      </c>
      <c r="O1841" s="4" t="str">
        <f aca="false">IF($A1841="","",_xlfn.XLOOKUP(LOWER(TRIM(Base_Bruta!N1841)),DePara_Pais!$A$2:$A$9,DePara_Pais!$B$2:$B$9,"REVISAR"))</f>
        <v>Brasil</v>
      </c>
      <c r="P1841" s="4" t="str">
        <f aca="false">IF($A1841="","",IF(O1841&lt;&gt;"Brasil","Turista Internacional",IF(M1841=F1841,"Local","Turista Nacional")))</f>
        <v>Local</v>
      </c>
      <c r="Q1841" s="7" t="n">
        <f aca="false">IF($A1841="","",DATE(YEAR(B1841),MONTH(B1841),1))</f>
        <v>45870</v>
      </c>
      <c r="R1841" s="4" t="str">
        <f aca="false">IF($A1841="","",IF(COUNTIF($A$2:$A1841,$A1841)&gt;1,"Sim","Não"))</f>
        <v>Não</v>
      </c>
      <c r="S1841" s="4" t="str">
        <f aca="false">IF(A1841="","Descartar - Linha vazia",IF(R1841="Sim","Descartar - Duplicado",IF(OR(H1841&lt;=0,I1841&lt;=0),"Descartar - Qtd/Valor inválido","OK")))</f>
        <v>OK</v>
      </c>
      <c r="T1841" s="4" t="str">
        <f aca="false">Base_Bruta!P1841</f>
        <v>vendas_MG.csv</v>
      </c>
    </row>
    <row r="1842" customFormat="false" ht="15" hidden="false" customHeight="false" outlineLevel="0" collapsed="false">
      <c r="A1842" s="4" t="str">
        <f aca="false">IF(Base_Bruta!A1842="","",Base_Bruta!A1842)</f>
        <v>MG-000456</v>
      </c>
      <c r="B1842" s="5" t="n">
        <f aca="false">IF($A1842="","",IF(ISNUMBER(Base_Bruta!B1842),Base_Bruta!B1842,IF(MID(Base_Bruta!B1842,5,1)="-",DATE(VALUE(LEFT(Base_Bruta!B1842,4)),VALUE(MID(Base_Bruta!B1842,6,2)),VALUE(RIGHT(Base_Bruta!B1842,2))),DATE(VALUE(RIGHT(Base_Bruta!B1842,4)),VALUE(MID(Base_Bruta!B1842,4,2)),VALUE(LEFT(Base_Bruta!B1842,2))))))</f>
        <v>45899</v>
      </c>
      <c r="C1842" s="5" t="n">
        <f aca="false">IF($A1842="","",IF(ISNUMBER(Base_Bruta!C1842),Base_Bruta!C1842,IF(MID(Base_Bruta!C1842,5,1)="-",DATE(VALUE(LEFT(Base_Bruta!C1842,4)),VALUE(MID(Base_Bruta!C1842,6,2)),VALUE(RIGHT(Base_Bruta!C1842,2))),DATE(VALUE(RIGHT(Base_Bruta!C1842,4)),VALUE(MID(Base_Bruta!C1842,4,2)),VALUE(LEFT(Base_Bruta!C1842,2))))))</f>
        <v>45900</v>
      </c>
      <c r="D1842" s="4" t="str">
        <f aca="false">IF($A1842="","",TRIM(Base_Bruta!D1842))</f>
        <v>Cinema Savassi - Sessões</v>
      </c>
      <c r="E1842" s="4" t="str">
        <f aca="false">IF($A1842="","",_xlfn.XLOOKUP(LOWER(TRIM(Base_Bruta!E1842)),DePara_Categoria!$A$2:$A$9,DePara_Categoria!$B$2:$B$9,"REVISAR"))</f>
        <v>Cinema</v>
      </c>
      <c r="F1842" s="4" t="str">
        <f aca="false">IF($A1842="","",_xlfn.XLOOKUP(LOWER(TRIM(Base_Bruta!F1842)),DePara_Cidade!$A$2:$A$29,DePara_Cidade!$B$2:$B$29,"REVISAR"))</f>
        <v>Belo Horizonte</v>
      </c>
      <c r="G1842" s="4" t="str">
        <f aca="false">IF($A1842="","",TRIM(Base_Bruta!G1842))</f>
        <v>Meia</v>
      </c>
      <c r="H1842" s="4" t="n">
        <f aca="false">IF($A1842="","",IF(ISNUMBER(Base_Bruta!H1842),Base_Bruta!H1842,IFERROR(_xlfn.NUMBERVALUE(TRIM(SUBSTITUTE(Base_Bruta!H1842,"R$","")),",","."),0)))</f>
        <v>1</v>
      </c>
      <c r="I1842" s="6" t="n">
        <f aca="false">IF($A1842="","",IF(ISNUMBER(Base_Bruta!I1842),Base_Bruta!I1842,IFERROR(_xlfn.NUMBERVALUE(TRIM(SUBSTITUTE(Base_Bruta!I1842,"R$","")),",","."),0)))</f>
        <v>20</v>
      </c>
      <c r="J1842" s="6" t="n">
        <f aca="false">IF($A1842="","",H1842*I1842)</f>
        <v>20</v>
      </c>
      <c r="K1842" s="4" t="str">
        <f aca="false">IF($A1842="","",TRIM(Base_Bruta!J1842))</f>
        <v>App</v>
      </c>
      <c r="L1842" s="4" t="str">
        <f aca="false">IF($A1842="","",TRIM(Base_Bruta!K1842))</f>
        <v>C01506</v>
      </c>
      <c r="M1842" s="4" t="str">
        <f aca="false">IF($A1842="","",_xlfn.XLOOKUP(LOWER(TRIM(Base_Bruta!L1842)),DePara_Cidade!$A$2:$A$29,DePara_Cidade!$B$2:$B$29,"REVISAR"))</f>
        <v>Belo Horizonte</v>
      </c>
      <c r="N1842" s="4" t="str">
        <f aca="false">IF($A1842="","",UPPER(TRIM(Base_Bruta!M1842)))</f>
        <v>MG</v>
      </c>
      <c r="O1842" s="4" t="str">
        <f aca="false">IF($A1842="","",_xlfn.XLOOKUP(LOWER(TRIM(Base_Bruta!N1842)),DePara_Pais!$A$2:$A$9,DePara_Pais!$B$2:$B$9,"REVISAR"))</f>
        <v>Brasil</v>
      </c>
      <c r="P1842" s="4" t="str">
        <f aca="false">IF($A1842="","",IF(O1842&lt;&gt;"Brasil","Turista Internacional",IF(M1842=F1842,"Local","Turista Nacional")))</f>
        <v>Local</v>
      </c>
      <c r="Q1842" s="7" t="n">
        <f aca="false">IF($A1842="","",DATE(YEAR(B1842),MONTH(B1842),1))</f>
        <v>45870</v>
      </c>
      <c r="R1842" s="4" t="str">
        <f aca="false">IF($A1842="","",IF(COUNTIF($A$2:$A1842,$A1842)&gt;1,"Sim","Não"))</f>
        <v>Não</v>
      </c>
      <c r="S1842" s="4" t="str">
        <f aca="false">IF(A1842="","Descartar - Linha vazia",IF(R1842="Sim","Descartar - Duplicado",IF(OR(H1842&lt;=0,I1842&lt;=0),"Descartar - Qtd/Valor inválido","OK")))</f>
        <v>OK</v>
      </c>
      <c r="T1842" s="4" t="str">
        <f aca="false">Base_Bruta!P1842</f>
        <v>vendas_MG.csv</v>
      </c>
    </row>
    <row r="1843" customFormat="false" ht="15" hidden="false" customHeight="false" outlineLevel="0" collapsed="false">
      <c r="A1843" s="4" t="str">
        <f aca="false">IF(Base_Bruta!A1843="","",Base_Bruta!A1843)</f>
        <v>MG-000398</v>
      </c>
      <c r="B1843" s="5" t="n">
        <f aca="false">IF($A1843="","",IF(ISNUMBER(Base_Bruta!B1843),Base_Bruta!B1843,IF(MID(Base_Bruta!B1843,5,1)="-",DATE(VALUE(LEFT(Base_Bruta!B1843,4)),VALUE(MID(Base_Bruta!B1843,6,2)),VALUE(RIGHT(Base_Bruta!B1843,2))),DATE(VALUE(RIGHT(Base_Bruta!B1843,4)),VALUE(MID(Base_Bruta!B1843,4,2)),VALUE(LEFT(Base_Bruta!B1843,2))))))</f>
        <v>45902</v>
      </c>
      <c r="C1843" s="5" t="n">
        <f aca="false">IF($A1843="","",IF(ISNUMBER(Base_Bruta!C1843),Base_Bruta!C1843,IF(MID(Base_Bruta!C1843,5,1)="-",DATE(VALUE(LEFT(Base_Bruta!C1843,4)),VALUE(MID(Base_Bruta!C1843,6,2)),VALUE(RIGHT(Base_Bruta!C1843,2))),DATE(VALUE(RIGHT(Base_Bruta!C1843,4)),VALUE(MID(Base_Bruta!C1843,4,2)),VALUE(LEFT(Base_Bruta!C1843,2))))))</f>
        <v>45904</v>
      </c>
      <c r="D1843" s="4" t="str">
        <f aca="false">IF($A1843="","",TRIM(Base_Bruta!D1843))</f>
        <v>Cinema Savassi - Sessões</v>
      </c>
      <c r="E1843" s="4" t="str">
        <f aca="false">IF($A1843="","",_xlfn.XLOOKUP(LOWER(TRIM(Base_Bruta!E1843)),DePara_Categoria!$A$2:$A$9,DePara_Categoria!$B$2:$B$9,"REVISAR"))</f>
        <v>Cinema</v>
      </c>
      <c r="F1843" s="4" t="str">
        <f aca="false">IF($A1843="","",_xlfn.XLOOKUP(LOWER(TRIM(Base_Bruta!F1843)),DePara_Cidade!$A$2:$A$29,DePara_Cidade!$B$2:$B$29,"REVISAR"))</f>
        <v>Belo Horizonte</v>
      </c>
      <c r="G1843" s="4" t="str">
        <f aca="false">IF($A1843="","",TRIM(Base_Bruta!G1843))</f>
        <v>Inteira</v>
      </c>
      <c r="H1843" s="4" t="n">
        <f aca="false">IF($A1843="","",IF(ISNUMBER(Base_Bruta!H1843),Base_Bruta!H1843,IFERROR(_xlfn.NUMBERVALUE(TRIM(SUBSTITUTE(Base_Bruta!H1843,"R$","")),",","."),0)))</f>
        <v>2</v>
      </c>
      <c r="I1843" s="6" t="n">
        <f aca="false">IF($A1843="","",IF(ISNUMBER(Base_Bruta!I1843),Base_Bruta!I1843,IFERROR(_xlfn.NUMBERVALUE(TRIM(SUBSTITUTE(Base_Bruta!I1843,"R$","")),",","."),0)))</f>
        <v>40</v>
      </c>
      <c r="J1843" s="6" t="n">
        <f aca="false">IF($A1843="","",H1843*I1843)</f>
        <v>80</v>
      </c>
      <c r="K1843" s="4" t="str">
        <f aca="false">IF($A1843="","",TRIM(Base_Bruta!J1843))</f>
        <v>Parceiro</v>
      </c>
      <c r="L1843" s="4" t="str">
        <f aca="false">IF($A1843="","",TRIM(Base_Bruta!K1843))</f>
        <v>C00843</v>
      </c>
      <c r="M1843" s="4" t="str">
        <f aca="false">IF($A1843="","",_xlfn.XLOOKUP(LOWER(TRIM(Base_Bruta!L1843)),DePara_Cidade!$A$2:$A$29,DePara_Cidade!$B$2:$B$29,"REVISAR"))</f>
        <v>Contagem</v>
      </c>
      <c r="N1843" s="4" t="str">
        <f aca="false">IF($A1843="","",UPPER(TRIM(Base_Bruta!M1843)))</f>
        <v>MG</v>
      </c>
      <c r="O1843" s="4" t="str">
        <f aca="false">IF($A1843="","",_xlfn.XLOOKUP(LOWER(TRIM(Base_Bruta!N1843)),DePara_Pais!$A$2:$A$9,DePara_Pais!$B$2:$B$9,"REVISAR"))</f>
        <v>Brasil</v>
      </c>
      <c r="P1843" s="4" t="str">
        <f aca="false">IF($A1843="","",IF(O1843&lt;&gt;"Brasil","Turista Internacional",IF(M1843=F1843,"Local","Turista Nacional")))</f>
        <v>Turista Nacional</v>
      </c>
      <c r="Q1843" s="7" t="n">
        <f aca="false">IF($A1843="","",DATE(YEAR(B1843),MONTH(B1843),1))</f>
        <v>45901</v>
      </c>
      <c r="R1843" s="4" t="str">
        <f aca="false">IF($A1843="","",IF(COUNTIF($A$2:$A1843,$A1843)&gt;1,"Sim","Não"))</f>
        <v>Não</v>
      </c>
      <c r="S1843" s="4" t="str">
        <f aca="false">IF(A1843="","Descartar - Linha vazia",IF(R1843="Sim","Descartar - Duplicado",IF(OR(H1843&lt;=0,I1843&lt;=0),"Descartar - Qtd/Valor inválido","OK")))</f>
        <v>OK</v>
      </c>
      <c r="T1843" s="4" t="str">
        <f aca="false">Base_Bruta!P1843</f>
        <v>vendas_MG.csv</v>
      </c>
    </row>
    <row r="1844" customFormat="false" ht="15" hidden="false" customHeight="false" outlineLevel="0" collapsed="false">
      <c r="A1844" s="4" t="str">
        <f aca="false">IF(Base_Bruta!A1844="","",Base_Bruta!A1844)</f>
        <v>MG-000467</v>
      </c>
      <c r="B1844" s="5" t="n">
        <f aca="false">IF($A1844="","",IF(ISNUMBER(Base_Bruta!B1844),Base_Bruta!B1844,IF(MID(Base_Bruta!B1844,5,1)="-",DATE(VALUE(LEFT(Base_Bruta!B1844,4)),VALUE(MID(Base_Bruta!B1844,6,2)),VALUE(RIGHT(Base_Bruta!B1844,2))),DATE(VALUE(RIGHT(Base_Bruta!B1844,4)),VALUE(MID(Base_Bruta!B1844,4,2)),VALUE(LEFT(Base_Bruta!B1844,2))))))</f>
        <v>45911</v>
      </c>
      <c r="C1844" s="5" t="n">
        <f aca="false">IF($A1844="","",IF(ISNUMBER(Base_Bruta!C1844),Base_Bruta!C1844,IF(MID(Base_Bruta!C1844,5,1)="-",DATE(VALUE(LEFT(Base_Bruta!C1844,4)),VALUE(MID(Base_Bruta!C1844,6,2)),VALUE(RIGHT(Base_Bruta!C1844,2))),DATE(VALUE(RIGHT(Base_Bruta!C1844,4)),VALUE(MID(Base_Bruta!C1844,4,2)),VALUE(LEFT(Base_Bruta!C1844,2))))))</f>
        <v>45914</v>
      </c>
      <c r="D1844" s="4" t="str">
        <f aca="false">IF($A1844="","",TRIM(Base_Bruta!D1844))</f>
        <v>Cinema Savassi - Sessões</v>
      </c>
      <c r="E1844" s="4" t="str">
        <f aca="false">IF($A1844="","",_xlfn.XLOOKUP(LOWER(TRIM(Base_Bruta!E1844)),DePara_Categoria!$A$2:$A$9,DePara_Categoria!$B$2:$B$9,"REVISAR"))</f>
        <v>Cinema</v>
      </c>
      <c r="F1844" s="4" t="str">
        <f aca="false">IF($A1844="","",_xlfn.XLOOKUP(LOWER(TRIM(Base_Bruta!F1844)),DePara_Cidade!$A$2:$A$29,DePara_Cidade!$B$2:$B$29,"REVISAR"))</f>
        <v>Belo Horizonte</v>
      </c>
      <c r="G1844" s="4" t="str">
        <f aca="false">IF($A1844="","",TRIM(Base_Bruta!G1844))</f>
        <v>Inteira</v>
      </c>
      <c r="H1844" s="4" t="n">
        <f aca="false">IF($A1844="","",IF(ISNUMBER(Base_Bruta!H1844),Base_Bruta!H1844,IFERROR(_xlfn.NUMBERVALUE(TRIM(SUBSTITUTE(Base_Bruta!H1844,"R$","")),",","."),0)))</f>
        <v>1</v>
      </c>
      <c r="I1844" s="6" t="n">
        <f aca="false">IF($A1844="","",IF(ISNUMBER(Base_Bruta!I1844),Base_Bruta!I1844,IFERROR(_xlfn.NUMBERVALUE(TRIM(SUBSTITUTE(Base_Bruta!I1844,"R$","")),",","."),0)))</f>
        <v>30</v>
      </c>
      <c r="J1844" s="6" t="n">
        <f aca="false">IF($A1844="","",H1844*I1844)</f>
        <v>30</v>
      </c>
      <c r="K1844" s="4" t="str">
        <f aca="false">IF($A1844="","",TRIM(Base_Bruta!J1844))</f>
        <v>Site</v>
      </c>
      <c r="L1844" s="4" t="str">
        <f aca="false">IF($A1844="","",TRIM(Base_Bruta!K1844))</f>
        <v>C00212</v>
      </c>
      <c r="M1844" s="4" t="str">
        <f aca="false">IF($A1844="","",_xlfn.XLOOKUP(LOWER(TRIM(Base_Bruta!L1844)),DePara_Cidade!$A$2:$A$29,DePara_Cidade!$B$2:$B$29,"REVISAR"))</f>
        <v>Belo Horizonte</v>
      </c>
      <c r="N1844" s="4" t="str">
        <f aca="false">IF($A1844="","",UPPER(TRIM(Base_Bruta!M1844)))</f>
        <v>MG</v>
      </c>
      <c r="O1844" s="4" t="str">
        <f aca="false">IF($A1844="","",_xlfn.XLOOKUP(LOWER(TRIM(Base_Bruta!N1844)),DePara_Pais!$A$2:$A$9,DePara_Pais!$B$2:$B$9,"REVISAR"))</f>
        <v>Brasil</v>
      </c>
      <c r="P1844" s="4" t="str">
        <f aca="false">IF($A1844="","",IF(O1844&lt;&gt;"Brasil","Turista Internacional",IF(M1844=F1844,"Local","Turista Nacional")))</f>
        <v>Local</v>
      </c>
      <c r="Q1844" s="7" t="n">
        <f aca="false">IF($A1844="","",DATE(YEAR(B1844),MONTH(B1844),1))</f>
        <v>45901</v>
      </c>
      <c r="R1844" s="4" t="str">
        <f aca="false">IF($A1844="","",IF(COUNTIF($A$2:$A1844,$A1844)&gt;1,"Sim","Não"))</f>
        <v>Não</v>
      </c>
      <c r="S1844" s="4" t="str">
        <f aca="false">IF(A1844="","Descartar - Linha vazia",IF(R1844="Sim","Descartar - Duplicado",IF(OR(H1844&lt;=0,I1844&lt;=0),"Descartar - Qtd/Valor inválido","OK")))</f>
        <v>OK</v>
      </c>
      <c r="T1844" s="4" t="str">
        <f aca="false">Base_Bruta!P1844</f>
        <v>vendas_MG.csv</v>
      </c>
    </row>
    <row r="1845" customFormat="false" ht="15" hidden="false" customHeight="false" outlineLevel="0" collapsed="false">
      <c r="A1845" s="4" t="str">
        <f aca="false">IF(Base_Bruta!A1845="","",Base_Bruta!A1845)</f>
        <v>MG-000504</v>
      </c>
      <c r="B1845" s="5" t="n">
        <f aca="false">IF($A1845="","",IF(ISNUMBER(Base_Bruta!B1845),Base_Bruta!B1845,IF(MID(Base_Bruta!B1845,5,1)="-",DATE(VALUE(LEFT(Base_Bruta!B1845,4)),VALUE(MID(Base_Bruta!B1845,6,2)),VALUE(RIGHT(Base_Bruta!B1845,2))),DATE(VALUE(RIGHT(Base_Bruta!B1845,4)),VALUE(MID(Base_Bruta!B1845,4,2)),VALUE(LEFT(Base_Bruta!B1845,2))))))</f>
        <v>45913</v>
      </c>
      <c r="C1845" s="5" t="n">
        <f aca="false">IF($A1845="","",IF(ISNUMBER(Base_Bruta!C1845),Base_Bruta!C1845,IF(MID(Base_Bruta!C1845,5,1)="-",DATE(VALUE(LEFT(Base_Bruta!C1845,4)),VALUE(MID(Base_Bruta!C1845,6,2)),VALUE(RIGHT(Base_Bruta!C1845,2))),DATE(VALUE(RIGHT(Base_Bruta!C1845,4)),VALUE(MID(Base_Bruta!C1845,4,2)),VALUE(LEFT(Base_Bruta!C1845,2))))))</f>
        <v>45916</v>
      </c>
      <c r="D1845" s="4" t="str">
        <f aca="false">IF($A1845="","",TRIM(Base_Bruta!D1845))</f>
        <v>Cinema Savassi - Sessões</v>
      </c>
      <c r="E1845" s="4" t="str">
        <f aca="false">IF($A1845="","",_xlfn.XLOOKUP(LOWER(TRIM(Base_Bruta!E1845)),DePara_Categoria!$A$2:$A$9,DePara_Categoria!$B$2:$B$9,"REVISAR"))</f>
        <v>Cinema</v>
      </c>
      <c r="F1845" s="4" t="str">
        <f aca="false">IF($A1845="","",_xlfn.XLOOKUP(LOWER(TRIM(Base_Bruta!F1845)),DePara_Cidade!$A$2:$A$29,DePara_Cidade!$B$2:$B$29,"REVISAR"))</f>
        <v>Belo Horizonte</v>
      </c>
      <c r="G1845" s="4" t="str">
        <f aca="false">IF($A1845="","",TRIM(Base_Bruta!G1845))</f>
        <v>Meia</v>
      </c>
      <c r="H1845" s="4" t="n">
        <f aca="false">IF($A1845="","",IF(ISNUMBER(Base_Bruta!H1845),Base_Bruta!H1845,IFERROR(_xlfn.NUMBERVALUE(TRIM(SUBSTITUTE(Base_Bruta!H1845,"R$","")),",","."),0)))</f>
        <v>1</v>
      </c>
      <c r="I1845" s="6" t="n">
        <f aca="false">IF($A1845="","",IF(ISNUMBER(Base_Bruta!I1845),Base_Bruta!I1845,IFERROR(_xlfn.NUMBERVALUE(TRIM(SUBSTITUTE(Base_Bruta!I1845,"R$","")),",","."),0)))</f>
        <v>25</v>
      </c>
      <c r="J1845" s="6" t="n">
        <f aca="false">IF($A1845="","",H1845*I1845)</f>
        <v>25</v>
      </c>
      <c r="K1845" s="4" t="str">
        <f aca="false">IF($A1845="","",TRIM(Base_Bruta!J1845))</f>
        <v>Site</v>
      </c>
      <c r="L1845" s="4" t="str">
        <f aca="false">IF($A1845="","",TRIM(Base_Bruta!K1845))</f>
        <v>C00823</v>
      </c>
      <c r="M1845" s="4" t="str">
        <f aca="false">IF($A1845="","",_xlfn.XLOOKUP(LOWER(TRIM(Base_Bruta!L1845)),DePara_Cidade!$A$2:$A$29,DePara_Cidade!$B$2:$B$29,"REVISAR"))</f>
        <v>Belo Horizonte</v>
      </c>
      <c r="N1845" s="4" t="str">
        <f aca="false">IF($A1845="","",UPPER(TRIM(Base_Bruta!M1845)))</f>
        <v>MG</v>
      </c>
      <c r="O1845" s="4" t="str">
        <f aca="false">IF($A1845="","",_xlfn.XLOOKUP(LOWER(TRIM(Base_Bruta!N1845)),DePara_Pais!$A$2:$A$9,DePara_Pais!$B$2:$B$9,"REVISAR"))</f>
        <v>Brasil</v>
      </c>
      <c r="P1845" s="4" t="str">
        <f aca="false">IF($A1845="","",IF(O1845&lt;&gt;"Brasil","Turista Internacional",IF(M1845=F1845,"Local","Turista Nacional")))</f>
        <v>Local</v>
      </c>
      <c r="Q1845" s="7" t="n">
        <f aca="false">IF($A1845="","",DATE(YEAR(B1845),MONTH(B1845),1))</f>
        <v>45901</v>
      </c>
      <c r="R1845" s="4" t="str">
        <f aca="false">IF($A1845="","",IF(COUNTIF($A$2:$A1845,$A1845)&gt;1,"Sim","Não"))</f>
        <v>Não</v>
      </c>
      <c r="S1845" s="4" t="str">
        <f aca="false">IF(A1845="","Descartar - Linha vazia",IF(R1845="Sim","Descartar - Duplicado",IF(OR(H1845&lt;=0,I1845&lt;=0),"Descartar - Qtd/Valor inválido","OK")))</f>
        <v>OK</v>
      </c>
      <c r="T1845" s="4" t="str">
        <f aca="false">Base_Bruta!P1845</f>
        <v>vendas_MG.csv</v>
      </c>
    </row>
    <row r="1846" customFormat="false" ht="15" hidden="false" customHeight="false" outlineLevel="0" collapsed="false">
      <c r="A1846" s="4" t="str">
        <f aca="false">IF(Base_Bruta!A1846="","",Base_Bruta!A1846)</f>
        <v>MG-000428</v>
      </c>
      <c r="B1846" s="5" t="n">
        <f aca="false">IF($A1846="","",IF(ISNUMBER(Base_Bruta!B1846),Base_Bruta!B1846,IF(MID(Base_Bruta!B1846,5,1)="-",DATE(VALUE(LEFT(Base_Bruta!B1846,4)),VALUE(MID(Base_Bruta!B1846,6,2)),VALUE(RIGHT(Base_Bruta!B1846,2))),DATE(VALUE(RIGHT(Base_Bruta!B1846,4)),VALUE(MID(Base_Bruta!B1846,4,2)),VALUE(LEFT(Base_Bruta!B1846,2))))))</f>
        <v>45915</v>
      </c>
      <c r="C1846" s="5" t="n">
        <f aca="false">IF($A1846="","",IF(ISNUMBER(Base_Bruta!C1846),Base_Bruta!C1846,IF(MID(Base_Bruta!C1846,5,1)="-",DATE(VALUE(LEFT(Base_Bruta!C1846,4)),VALUE(MID(Base_Bruta!C1846,6,2)),VALUE(RIGHT(Base_Bruta!C1846,2))),DATE(VALUE(RIGHT(Base_Bruta!C1846,4)),VALUE(MID(Base_Bruta!C1846,4,2)),VALUE(LEFT(Base_Bruta!C1846,2))))))</f>
        <v>45917</v>
      </c>
      <c r="D1846" s="4" t="str">
        <f aca="false">IF($A1846="","",TRIM(Base_Bruta!D1846))</f>
        <v>Cinema Savassi - Sessões</v>
      </c>
      <c r="E1846" s="4" t="str">
        <f aca="false">IF($A1846="","",_xlfn.XLOOKUP(LOWER(TRIM(Base_Bruta!E1846)),DePara_Categoria!$A$2:$A$9,DePara_Categoria!$B$2:$B$9,"REVISAR"))</f>
        <v>Cinema</v>
      </c>
      <c r="F1846" s="4" t="str">
        <f aca="false">IF($A1846="","",_xlfn.XLOOKUP(LOWER(TRIM(Base_Bruta!F1846)),DePara_Cidade!$A$2:$A$29,DePara_Cidade!$B$2:$B$29,"REVISAR"))</f>
        <v>Belo Horizonte</v>
      </c>
      <c r="G1846" s="4" t="str">
        <f aca="false">IF($A1846="","",TRIM(Base_Bruta!G1846))</f>
        <v>Inteira</v>
      </c>
      <c r="H1846" s="4" t="n">
        <f aca="false">IF($A1846="","",IF(ISNUMBER(Base_Bruta!H1846),Base_Bruta!H1846,IFERROR(_xlfn.NUMBERVALUE(TRIM(SUBSTITUTE(Base_Bruta!H1846,"R$","")),",","."),0)))</f>
        <v>2</v>
      </c>
      <c r="I1846" s="6" t="n">
        <f aca="false">IF($A1846="","",IF(ISNUMBER(Base_Bruta!I1846),Base_Bruta!I1846,IFERROR(_xlfn.NUMBERVALUE(TRIM(SUBSTITUTE(Base_Bruta!I1846,"R$","")),",","."),0)))</f>
        <v>35</v>
      </c>
      <c r="J1846" s="6" t="n">
        <f aca="false">IF($A1846="","",H1846*I1846)</f>
        <v>70</v>
      </c>
      <c r="K1846" s="4" t="str">
        <f aca="false">IF($A1846="","",TRIM(Base_Bruta!J1846))</f>
        <v>App</v>
      </c>
      <c r="L1846" s="4" t="str">
        <f aca="false">IF($A1846="","",TRIM(Base_Bruta!K1846))</f>
        <v>C01609</v>
      </c>
      <c r="M1846" s="4" t="str">
        <f aca="false">IF($A1846="","",_xlfn.XLOOKUP(LOWER(TRIM(Base_Bruta!L1846)),DePara_Cidade!$A$2:$A$29,DePara_Cidade!$B$2:$B$29,"REVISAR"))</f>
        <v>Belo Horizonte</v>
      </c>
      <c r="N1846" s="4" t="str">
        <f aca="false">IF($A1846="","",UPPER(TRIM(Base_Bruta!M1846)))</f>
        <v>MG</v>
      </c>
      <c r="O1846" s="4" t="str">
        <f aca="false">IF($A1846="","",_xlfn.XLOOKUP(LOWER(TRIM(Base_Bruta!N1846)),DePara_Pais!$A$2:$A$9,DePara_Pais!$B$2:$B$9,"REVISAR"))</f>
        <v>Brasil</v>
      </c>
      <c r="P1846" s="4" t="str">
        <f aca="false">IF($A1846="","",IF(O1846&lt;&gt;"Brasil","Turista Internacional",IF(M1846=F1846,"Local","Turista Nacional")))</f>
        <v>Local</v>
      </c>
      <c r="Q1846" s="7" t="n">
        <f aca="false">IF($A1846="","",DATE(YEAR(B1846),MONTH(B1846),1))</f>
        <v>45901</v>
      </c>
      <c r="R1846" s="4" t="str">
        <f aca="false">IF($A1846="","",IF(COUNTIF($A$2:$A1846,$A1846)&gt;1,"Sim","Não"))</f>
        <v>Não</v>
      </c>
      <c r="S1846" s="4" t="str">
        <f aca="false">IF(A1846="","Descartar - Linha vazia",IF(R1846="Sim","Descartar - Duplicado",IF(OR(H1846&lt;=0,I1846&lt;=0),"Descartar - Qtd/Valor inválido","OK")))</f>
        <v>OK</v>
      </c>
      <c r="T1846" s="4" t="str">
        <f aca="false">Base_Bruta!P1846</f>
        <v>vendas_MG.csv</v>
      </c>
    </row>
    <row r="1847" customFormat="false" ht="15" hidden="false" customHeight="false" outlineLevel="0" collapsed="false">
      <c r="A1847" s="4" t="str">
        <f aca="false">IF(Base_Bruta!A1847="","",Base_Bruta!A1847)</f>
        <v>MG-000427</v>
      </c>
      <c r="B1847" s="5" t="n">
        <f aca="false">IF($A1847="","",IF(ISNUMBER(Base_Bruta!B1847),Base_Bruta!B1847,IF(MID(Base_Bruta!B1847,5,1)="-",DATE(VALUE(LEFT(Base_Bruta!B1847,4)),VALUE(MID(Base_Bruta!B1847,6,2)),VALUE(RIGHT(Base_Bruta!B1847,2))),DATE(VALUE(RIGHT(Base_Bruta!B1847,4)),VALUE(MID(Base_Bruta!B1847,4,2)),VALUE(LEFT(Base_Bruta!B1847,2))))))</f>
        <v>45916</v>
      </c>
      <c r="C1847" s="5" t="n">
        <f aca="false">IF($A1847="","",IF(ISNUMBER(Base_Bruta!C1847),Base_Bruta!C1847,IF(MID(Base_Bruta!C1847,5,1)="-",DATE(VALUE(LEFT(Base_Bruta!C1847,4)),VALUE(MID(Base_Bruta!C1847,6,2)),VALUE(RIGHT(Base_Bruta!C1847,2))),DATE(VALUE(RIGHT(Base_Bruta!C1847,4)),VALUE(MID(Base_Bruta!C1847,4,2)),VALUE(LEFT(Base_Bruta!C1847,2))))))</f>
        <v>45916</v>
      </c>
      <c r="D1847" s="4" t="str">
        <f aca="false">IF($A1847="","",TRIM(Base_Bruta!D1847))</f>
        <v>Cinema Savassi - Sessões</v>
      </c>
      <c r="E1847" s="4" t="str">
        <f aca="false">IF($A1847="","",_xlfn.XLOOKUP(LOWER(TRIM(Base_Bruta!E1847)),DePara_Categoria!$A$2:$A$9,DePara_Categoria!$B$2:$B$9,"REVISAR"))</f>
        <v>Cinema</v>
      </c>
      <c r="F1847" s="4" t="str">
        <f aca="false">IF($A1847="","",_xlfn.XLOOKUP(LOWER(TRIM(Base_Bruta!F1847)),DePara_Cidade!$A$2:$A$29,DePara_Cidade!$B$2:$B$29,"REVISAR"))</f>
        <v>Belo Horizonte</v>
      </c>
      <c r="G1847" s="4" t="str">
        <f aca="false">IF($A1847="","",TRIM(Base_Bruta!G1847))</f>
        <v>Meia</v>
      </c>
      <c r="H1847" s="4" t="n">
        <f aca="false">IF($A1847="","",IF(ISNUMBER(Base_Bruta!H1847),Base_Bruta!H1847,IFERROR(_xlfn.NUMBERVALUE(TRIM(SUBSTITUTE(Base_Bruta!H1847,"R$","")),",","."),0)))</f>
        <v>4</v>
      </c>
      <c r="I1847" s="6" t="n">
        <f aca="false">IF($A1847="","",IF(ISNUMBER(Base_Bruta!I1847),Base_Bruta!I1847,IFERROR(_xlfn.NUMBERVALUE(TRIM(SUBSTITUTE(Base_Bruta!I1847,"R$","")),",","."),0)))</f>
        <v>22.5</v>
      </c>
      <c r="J1847" s="6" t="n">
        <f aca="false">IF($A1847="","",H1847*I1847)</f>
        <v>90</v>
      </c>
      <c r="K1847" s="4" t="str">
        <f aca="false">IF($A1847="","",TRIM(Base_Bruta!J1847))</f>
        <v>Site</v>
      </c>
      <c r="L1847" s="4" t="str">
        <f aca="false">IF($A1847="","",TRIM(Base_Bruta!K1847))</f>
        <v>C00945</v>
      </c>
      <c r="M1847" s="4" t="str">
        <f aca="false">IF($A1847="","",_xlfn.XLOOKUP(LOWER(TRIM(Base_Bruta!L1847)),DePara_Cidade!$A$2:$A$29,DePara_Cidade!$B$2:$B$29,"REVISAR"))</f>
        <v>Belo Horizonte</v>
      </c>
      <c r="N1847" s="4" t="str">
        <f aca="false">IF($A1847="","",UPPER(TRIM(Base_Bruta!M1847)))</f>
        <v>MG</v>
      </c>
      <c r="O1847" s="4" t="str">
        <f aca="false">IF($A1847="","",_xlfn.XLOOKUP(LOWER(TRIM(Base_Bruta!N1847)),DePara_Pais!$A$2:$A$9,DePara_Pais!$B$2:$B$9,"REVISAR"))</f>
        <v>Brasil</v>
      </c>
      <c r="P1847" s="4" t="str">
        <f aca="false">IF($A1847="","",IF(O1847&lt;&gt;"Brasil","Turista Internacional",IF(M1847=F1847,"Local","Turista Nacional")))</f>
        <v>Local</v>
      </c>
      <c r="Q1847" s="7" t="n">
        <f aca="false">IF($A1847="","",DATE(YEAR(B1847),MONTH(B1847),1))</f>
        <v>45901</v>
      </c>
      <c r="R1847" s="4" t="str">
        <f aca="false">IF($A1847="","",IF(COUNTIF($A$2:$A1847,$A1847)&gt;1,"Sim","Não"))</f>
        <v>Não</v>
      </c>
      <c r="S1847" s="4" t="str">
        <f aca="false">IF(A1847="","Descartar - Linha vazia",IF(R1847="Sim","Descartar - Duplicado",IF(OR(H1847&lt;=0,I1847&lt;=0),"Descartar - Qtd/Valor inválido","OK")))</f>
        <v>OK</v>
      </c>
      <c r="T1847" s="4" t="str">
        <f aca="false">Base_Bruta!P1847</f>
        <v>vendas_MG.csv</v>
      </c>
    </row>
    <row r="1848" customFormat="false" ht="15" hidden="false" customHeight="false" outlineLevel="0" collapsed="false">
      <c r="A1848" s="4" t="str">
        <f aca="false">IF(Base_Bruta!A1848="","",Base_Bruta!A1848)</f>
        <v>MG-000429</v>
      </c>
      <c r="B1848" s="5" t="n">
        <f aca="false">IF($A1848="","",IF(ISNUMBER(Base_Bruta!B1848),Base_Bruta!B1848,IF(MID(Base_Bruta!B1848,5,1)="-",DATE(VALUE(LEFT(Base_Bruta!B1848,4)),VALUE(MID(Base_Bruta!B1848,6,2)),VALUE(RIGHT(Base_Bruta!B1848,2))),DATE(VALUE(RIGHT(Base_Bruta!B1848,4)),VALUE(MID(Base_Bruta!B1848,4,2)),VALUE(LEFT(Base_Bruta!B1848,2))))))</f>
        <v>45916</v>
      </c>
      <c r="C1848" s="5" t="n">
        <f aca="false">IF($A1848="","",IF(ISNUMBER(Base_Bruta!C1848),Base_Bruta!C1848,IF(MID(Base_Bruta!C1848,5,1)="-",DATE(VALUE(LEFT(Base_Bruta!C1848,4)),VALUE(MID(Base_Bruta!C1848,6,2)),VALUE(RIGHT(Base_Bruta!C1848,2))),DATE(VALUE(RIGHT(Base_Bruta!C1848,4)),VALUE(MID(Base_Bruta!C1848,4,2)),VALUE(LEFT(Base_Bruta!C1848,2))))))</f>
        <v>45916</v>
      </c>
      <c r="D1848" s="4" t="str">
        <f aca="false">IF($A1848="","",TRIM(Base_Bruta!D1848))</f>
        <v>Cinema Savassi - Sessões</v>
      </c>
      <c r="E1848" s="4" t="str">
        <f aca="false">IF($A1848="","",_xlfn.XLOOKUP(LOWER(TRIM(Base_Bruta!E1848)),DePara_Categoria!$A$2:$A$9,DePara_Categoria!$B$2:$B$9,"REVISAR"))</f>
        <v>Cinema</v>
      </c>
      <c r="F1848" s="4" t="str">
        <f aca="false">IF($A1848="","",_xlfn.XLOOKUP(LOWER(TRIM(Base_Bruta!F1848)),DePara_Cidade!$A$2:$A$29,DePara_Cidade!$B$2:$B$29,"REVISAR"))</f>
        <v>Belo Horizonte</v>
      </c>
      <c r="G1848" s="4" t="str">
        <f aca="false">IF($A1848="","",TRIM(Base_Bruta!G1848))</f>
        <v>Inteira</v>
      </c>
      <c r="H1848" s="4" t="n">
        <f aca="false">IF($A1848="","",IF(ISNUMBER(Base_Bruta!H1848),Base_Bruta!H1848,IFERROR(_xlfn.NUMBERVALUE(TRIM(SUBSTITUTE(Base_Bruta!H1848,"R$","")),",","."),0)))</f>
        <v>1</v>
      </c>
      <c r="I1848" s="6" t="n">
        <f aca="false">IF($A1848="","",IF(ISNUMBER(Base_Bruta!I1848),Base_Bruta!I1848,IFERROR(_xlfn.NUMBERVALUE(TRIM(SUBSTITUTE(Base_Bruta!I1848,"R$","")),",","."),0)))</f>
        <v>30</v>
      </c>
      <c r="J1848" s="6" t="n">
        <f aca="false">IF($A1848="","",H1848*I1848)</f>
        <v>30</v>
      </c>
      <c r="K1848" s="4" t="str">
        <f aca="false">IF($A1848="","",TRIM(Base_Bruta!J1848))</f>
        <v>Bilheteria</v>
      </c>
      <c r="L1848" s="4" t="str">
        <f aca="false">IF($A1848="","",TRIM(Base_Bruta!K1848))</f>
        <v>C02075</v>
      </c>
      <c r="M1848" s="4" t="str">
        <f aca="false">IF($A1848="","",_xlfn.XLOOKUP(LOWER(TRIM(Base_Bruta!L1848)),DePara_Cidade!$A$2:$A$29,DePara_Cidade!$B$2:$B$29,"REVISAR"))</f>
        <v>Belo Horizonte</v>
      </c>
      <c r="N1848" s="4" t="str">
        <f aca="false">IF($A1848="","",UPPER(TRIM(Base_Bruta!M1848)))</f>
        <v>MG</v>
      </c>
      <c r="O1848" s="4" t="str">
        <f aca="false">IF($A1848="","",_xlfn.XLOOKUP(LOWER(TRIM(Base_Bruta!N1848)),DePara_Pais!$A$2:$A$9,DePara_Pais!$B$2:$B$9,"REVISAR"))</f>
        <v>Brasil</v>
      </c>
      <c r="P1848" s="4" t="str">
        <f aca="false">IF($A1848="","",IF(O1848&lt;&gt;"Brasil","Turista Internacional",IF(M1848=F1848,"Local","Turista Nacional")))</f>
        <v>Local</v>
      </c>
      <c r="Q1848" s="7" t="n">
        <f aca="false">IF($A1848="","",DATE(YEAR(B1848),MONTH(B1848),1))</f>
        <v>45901</v>
      </c>
      <c r="R1848" s="4" t="str">
        <f aca="false">IF($A1848="","",IF(COUNTIF($A$2:$A1848,$A1848)&gt;1,"Sim","Não"))</f>
        <v>Não</v>
      </c>
      <c r="S1848" s="4" t="str">
        <f aca="false">IF(A1848="","Descartar - Linha vazia",IF(R1848="Sim","Descartar - Duplicado",IF(OR(H1848&lt;=0,I1848&lt;=0),"Descartar - Qtd/Valor inválido","OK")))</f>
        <v>OK</v>
      </c>
      <c r="T1848" s="4" t="str">
        <f aca="false">Base_Bruta!P1848</f>
        <v>vendas_MG.csv</v>
      </c>
    </row>
    <row r="1849" customFormat="false" ht="15" hidden="false" customHeight="false" outlineLevel="0" collapsed="false">
      <c r="A1849" s="4" t="str">
        <f aca="false">IF(Base_Bruta!A1849="","",Base_Bruta!A1849)</f>
        <v>MG-000506</v>
      </c>
      <c r="B1849" s="5" t="n">
        <f aca="false">IF($A1849="","",IF(ISNUMBER(Base_Bruta!B1849),Base_Bruta!B1849,IF(MID(Base_Bruta!B1849,5,1)="-",DATE(VALUE(LEFT(Base_Bruta!B1849,4)),VALUE(MID(Base_Bruta!B1849,6,2)),VALUE(RIGHT(Base_Bruta!B1849,2))),DATE(VALUE(RIGHT(Base_Bruta!B1849,4)),VALUE(MID(Base_Bruta!B1849,4,2)),VALUE(LEFT(Base_Bruta!B1849,2))))))</f>
        <v>45916</v>
      </c>
      <c r="C1849" s="5" t="n">
        <f aca="false">IF($A1849="","",IF(ISNUMBER(Base_Bruta!C1849),Base_Bruta!C1849,IF(MID(Base_Bruta!C1849,5,1)="-",DATE(VALUE(LEFT(Base_Bruta!C1849,4)),VALUE(MID(Base_Bruta!C1849,6,2)),VALUE(RIGHT(Base_Bruta!C1849,2))),DATE(VALUE(RIGHT(Base_Bruta!C1849,4)),VALUE(MID(Base_Bruta!C1849,4,2)),VALUE(LEFT(Base_Bruta!C1849,2))))))</f>
        <v>45918</v>
      </c>
      <c r="D1849" s="4" t="str">
        <f aca="false">IF($A1849="","",TRIM(Base_Bruta!D1849))</f>
        <v>Cinema Savassi - Sessões</v>
      </c>
      <c r="E1849" s="4" t="str">
        <f aca="false">IF($A1849="","",_xlfn.XLOOKUP(LOWER(TRIM(Base_Bruta!E1849)),DePara_Categoria!$A$2:$A$9,DePara_Categoria!$B$2:$B$9,"REVISAR"))</f>
        <v>Cinema</v>
      </c>
      <c r="F1849" s="4" t="str">
        <f aca="false">IF($A1849="","",_xlfn.XLOOKUP(LOWER(TRIM(Base_Bruta!F1849)),DePara_Cidade!$A$2:$A$29,DePara_Cidade!$B$2:$B$29,"REVISAR"))</f>
        <v>Belo Horizonte</v>
      </c>
      <c r="G1849" s="4" t="str">
        <f aca="false">IF($A1849="","",TRIM(Base_Bruta!G1849))</f>
        <v>Inteira</v>
      </c>
      <c r="H1849" s="4" t="n">
        <f aca="false">IF($A1849="","",IF(ISNUMBER(Base_Bruta!H1849),Base_Bruta!H1849,IFERROR(_xlfn.NUMBERVALUE(TRIM(SUBSTITUTE(Base_Bruta!H1849,"R$","")),",","."),0)))</f>
        <v>2</v>
      </c>
      <c r="I1849" s="6" t="n">
        <f aca="false">IF($A1849="","",IF(ISNUMBER(Base_Bruta!I1849),Base_Bruta!I1849,IFERROR(_xlfn.NUMBERVALUE(TRIM(SUBSTITUTE(Base_Bruta!I1849,"R$","")),",","."),0)))</f>
        <v>40</v>
      </c>
      <c r="J1849" s="6" t="n">
        <f aca="false">IF($A1849="","",H1849*I1849)</f>
        <v>80</v>
      </c>
      <c r="K1849" s="4" t="str">
        <f aca="false">IF($A1849="","",TRIM(Base_Bruta!J1849))</f>
        <v>Site</v>
      </c>
      <c r="L1849" s="4" t="str">
        <f aca="false">IF($A1849="","",TRIM(Base_Bruta!K1849))</f>
        <v>C02279</v>
      </c>
      <c r="M1849" s="4" t="str">
        <f aca="false">IF($A1849="","",_xlfn.XLOOKUP(LOWER(TRIM(Base_Bruta!L1849)),DePara_Cidade!$A$2:$A$29,DePara_Cidade!$B$2:$B$29,"REVISAR"))</f>
        <v>Belo Horizonte</v>
      </c>
      <c r="N1849" s="4" t="str">
        <f aca="false">IF($A1849="","",UPPER(TRIM(Base_Bruta!M1849)))</f>
        <v>MG</v>
      </c>
      <c r="O1849" s="4" t="str">
        <f aca="false">IF($A1849="","",_xlfn.XLOOKUP(LOWER(TRIM(Base_Bruta!N1849)),DePara_Pais!$A$2:$A$9,DePara_Pais!$B$2:$B$9,"REVISAR"))</f>
        <v>Brasil</v>
      </c>
      <c r="P1849" s="4" t="str">
        <f aca="false">IF($A1849="","",IF(O1849&lt;&gt;"Brasil","Turista Internacional",IF(M1849=F1849,"Local","Turista Nacional")))</f>
        <v>Local</v>
      </c>
      <c r="Q1849" s="7" t="n">
        <f aca="false">IF($A1849="","",DATE(YEAR(B1849),MONTH(B1849),1))</f>
        <v>45901</v>
      </c>
      <c r="R1849" s="4" t="str">
        <f aca="false">IF($A1849="","",IF(COUNTIF($A$2:$A1849,$A1849)&gt;1,"Sim","Não"))</f>
        <v>Não</v>
      </c>
      <c r="S1849" s="4" t="str">
        <f aca="false">IF(A1849="","Descartar - Linha vazia",IF(R1849="Sim","Descartar - Duplicado",IF(OR(H1849&lt;=0,I1849&lt;=0),"Descartar - Qtd/Valor inválido","OK")))</f>
        <v>OK</v>
      </c>
      <c r="T1849" s="4" t="str">
        <f aca="false">Base_Bruta!P1849</f>
        <v>vendas_MG.csv</v>
      </c>
    </row>
    <row r="1850" customFormat="false" ht="15" hidden="false" customHeight="false" outlineLevel="0" collapsed="false">
      <c r="A1850" s="4" t="str">
        <f aca="false">IF(Base_Bruta!A1850="","",Base_Bruta!A1850)</f>
        <v>MG-000482</v>
      </c>
      <c r="B1850" s="5" t="n">
        <f aca="false">IF($A1850="","",IF(ISNUMBER(Base_Bruta!B1850),Base_Bruta!B1850,IF(MID(Base_Bruta!B1850,5,1)="-",DATE(VALUE(LEFT(Base_Bruta!B1850,4)),VALUE(MID(Base_Bruta!B1850,6,2)),VALUE(RIGHT(Base_Bruta!B1850,2))),DATE(VALUE(RIGHT(Base_Bruta!B1850,4)),VALUE(MID(Base_Bruta!B1850,4,2)),VALUE(LEFT(Base_Bruta!B1850,2))))))</f>
        <v>45920</v>
      </c>
      <c r="C1850" s="5" t="n">
        <f aca="false">IF($A1850="","",IF(ISNUMBER(Base_Bruta!C1850),Base_Bruta!C1850,IF(MID(Base_Bruta!C1850,5,1)="-",DATE(VALUE(LEFT(Base_Bruta!C1850,4)),VALUE(MID(Base_Bruta!C1850,6,2)),VALUE(RIGHT(Base_Bruta!C1850,2))),DATE(VALUE(RIGHT(Base_Bruta!C1850,4)),VALUE(MID(Base_Bruta!C1850,4,2)),VALUE(LEFT(Base_Bruta!C1850,2))))))</f>
        <v>45921</v>
      </c>
      <c r="D1850" s="4" t="str">
        <f aca="false">IF($A1850="","",TRIM(Base_Bruta!D1850))</f>
        <v>Cinema Savassi - Sessões</v>
      </c>
      <c r="E1850" s="4" t="str">
        <f aca="false">IF($A1850="","",_xlfn.XLOOKUP(LOWER(TRIM(Base_Bruta!E1850)),DePara_Categoria!$A$2:$A$9,DePara_Categoria!$B$2:$B$9,"REVISAR"))</f>
        <v>Cinema</v>
      </c>
      <c r="F1850" s="4" t="str">
        <f aca="false">IF($A1850="","",_xlfn.XLOOKUP(LOWER(TRIM(Base_Bruta!F1850)),DePara_Cidade!$A$2:$A$29,DePara_Cidade!$B$2:$B$29,"REVISAR"))</f>
        <v>Belo Horizonte</v>
      </c>
      <c r="G1850" s="4" t="str">
        <f aca="false">IF($A1850="","",TRIM(Base_Bruta!G1850))</f>
        <v>Inteira</v>
      </c>
      <c r="H1850" s="4" t="n">
        <f aca="false">IF($A1850="","",IF(ISNUMBER(Base_Bruta!H1850),Base_Bruta!H1850,IFERROR(_xlfn.NUMBERVALUE(TRIM(SUBSTITUTE(Base_Bruta!H1850,"R$","")),",","."),0)))</f>
        <v>1</v>
      </c>
      <c r="I1850" s="6" t="n">
        <f aca="false">IF($A1850="","",IF(ISNUMBER(Base_Bruta!I1850),Base_Bruta!I1850,IFERROR(_xlfn.NUMBERVALUE(TRIM(SUBSTITUTE(Base_Bruta!I1850,"R$","")),",","."),0)))</f>
        <v>45</v>
      </c>
      <c r="J1850" s="6" t="n">
        <f aca="false">IF($A1850="","",H1850*I1850)</f>
        <v>45</v>
      </c>
      <c r="K1850" s="4" t="str">
        <f aca="false">IF($A1850="","",TRIM(Base_Bruta!J1850))</f>
        <v>App</v>
      </c>
      <c r="L1850" s="4" t="str">
        <f aca="false">IF($A1850="","",TRIM(Base_Bruta!K1850))</f>
        <v>C01616</v>
      </c>
      <c r="M1850" s="4" t="str">
        <f aca="false">IF($A1850="","",_xlfn.XLOOKUP(LOWER(TRIM(Base_Bruta!L1850)),DePara_Cidade!$A$2:$A$29,DePara_Cidade!$B$2:$B$29,"REVISAR"))</f>
        <v>Belo Horizonte</v>
      </c>
      <c r="N1850" s="4" t="str">
        <f aca="false">IF($A1850="","",UPPER(TRIM(Base_Bruta!M1850)))</f>
        <v>MG</v>
      </c>
      <c r="O1850" s="4" t="str">
        <f aca="false">IF($A1850="","",_xlfn.XLOOKUP(LOWER(TRIM(Base_Bruta!N1850)),DePara_Pais!$A$2:$A$9,DePara_Pais!$B$2:$B$9,"REVISAR"))</f>
        <v>Brasil</v>
      </c>
      <c r="P1850" s="4" t="str">
        <f aca="false">IF($A1850="","",IF(O1850&lt;&gt;"Brasil","Turista Internacional",IF(M1850=F1850,"Local","Turista Nacional")))</f>
        <v>Local</v>
      </c>
      <c r="Q1850" s="7" t="n">
        <f aca="false">IF($A1850="","",DATE(YEAR(B1850),MONTH(B1850),1))</f>
        <v>45901</v>
      </c>
      <c r="R1850" s="4" t="str">
        <f aca="false">IF($A1850="","",IF(COUNTIF($A$2:$A1850,$A1850)&gt;1,"Sim","Não"))</f>
        <v>Não</v>
      </c>
      <c r="S1850" s="4" t="str">
        <f aca="false">IF(A1850="","Descartar - Linha vazia",IF(R1850="Sim","Descartar - Duplicado",IF(OR(H1850&lt;=0,I1850&lt;=0),"Descartar - Qtd/Valor inválido","OK")))</f>
        <v>OK</v>
      </c>
      <c r="T1850" s="4" t="str">
        <f aca="false">Base_Bruta!P1850</f>
        <v>vendas_MG.csv</v>
      </c>
    </row>
    <row r="1851" customFormat="false" ht="15" hidden="false" customHeight="false" outlineLevel="0" collapsed="false">
      <c r="A1851" s="4" t="str">
        <f aca="false">IF(Base_Bruta!A1851="","",Base_Bruta!A1851)</f>
        <v>MG-000517</v>
      </c>
      <c r="B1851" s="5" t="n">
        <f aca="false">IF($A1851="","",IF(ISNUMBER(Base_Bruta!B1851),Base_Bruta!B1851,IF(MID(Base_Bruta!B1851,5,1)="-",DATE(VALUE(LEFT(Base_Bruta!B1851,4)),VALUE(MID(Base_Bruta!B1851,6,2)),VALUE(RIGHT(Base_Bruta!B1851,2))),DATE(VALUE(RIGHT(Base_Bruta!B1851,4)),VALUE(MID(Base_Bruta!B1851,4,2)),VALUE(LEFT(Base_Bruta!B1851,2))))))</f>
        <v>45922</v>
      </c>
      <c r="C1851" s="5" t="n">
        <f aca="false">IF($A1851="","",IF(ISNUMBER(Base_Bruta!C1851),Base_Bruta!C1851,IF(MID(Base_Bruta!C1851,5,1)="-",DATE(VALUE(LEFT(Base_Bruta!C1851,4)),VALUE(MID(Base_Bruta!C1851,6,2)),VALUE(RIGHT(Base_Bruta!C1851,2))),DATE(VALUE(RIGHT(Base_Bruta!C1851,4)),VALUE(MID(Base_Bruta!C1851,4,2)),VALUE(LEFT(Base_Bruta!C1851,2))))))</f>
        <v>45923</v>
      </c>
      <c r="D1851" s="4" t="str">
        <f aca="false">IF($A1851="","",TRIM(Base_Bruta!D1851))</f>
        <v>Cinema Savassi - Sessões</v>
      </c>
      <c r="E1851" s="4" t="str">
        <f aca="false">IF($A1851="","",_xlfn.XLOOKUP(LOWER(TRIM(Base_Bruta!E1851)),DePara_Categoria!$A$2:$A$9,DePara_Categoria!$B$2:$B$9,"REVISAR"))</f>
        <v>Cinema</v>
      </c>
      <c r="F1851" s="4" t="str">
        <f aca="false">IF($A1851="","",_xlfn.XLOOKUP(LOWER(TRIM(Base_Bruta!F1851)),DePara_Cidade!$A$2:$A$29,DePara_Cidade!$B$2:$B$29,"REVISAR"))</f>
        <v>Belo Horizonte</v>
      </c>
      <c r="G1851" s="4" t="str">
        <f aca="false">IF($A1851="","",TRIM(Base_Bruta!G1851))</f>
        <v>Meia</v>
      </c>
      <c r="H1851" s="4" t="n">
        <f aca="false">IF($A1851="","",IF(ISNUMBER(Base_Bruta!H1851),Base_Bruta!H1851,IFERROR(_xlfn.NUMBERVALUE(TRIM(SUBSTITUTE(Base_Bruta!H1851,"R$","")),",","."),0)))</f>
        <v>2</v>
      </c>
      <c r="I1851" s="6" t="n">
        <f aca="false">IF($A1851="","",IF(ISNUMBER(Base_Bruta!I1851),Base_Bruta!I1851,IFERROR(_xlfn.NUMBERVALUE(TRIM(SUBSTITUTE(Base_Bruta!I1851,"R$","")),",","."),0)))</f>
        <v>17.5</v>
      </c>
      <c r="J1851" s="6" t="n">
        <f aca="false">IF($A1851="","",H1851*I1851)</f>
        <v>35</v>
      </c>
      <c r="K1851" s="4" t="str">
        <f aca="false">IF($A1851="","",TRIM(Base_Bruta!J1851))</f>
        <v>Site</v>
      </c>
      <c r="L1851" s="4" t="str">
        <f aca="false">IF($A1851="","",TRIM(Base_Bruta!K1851))</f>
        <v>C02038</v>
      </c>
      <c r="M1851" s="4" t="str">
        <f aca="false">IF($A1851="","",_xlfn.XLOOKUP(LOWER(TRIM(Base_Bruta!L1851)),DePara_Cidade!$A$2:$A$29,DePara_Cidade!$B$2:$B$29,"REVISAR"))</f>
        <v>Belo Horizonte</v>
      </c>
      <c r="N1851" s="4" t="str">
        <f aca="false">IF($A1851="","",UPPER(TRIM(Base_Bruta!M1851)))</f>
        <v>MG</v>
      </c>
      <c r="O1851" s="4" t="str">
        <f aca="false">IF($A1851="","",_xlfn.XLOOKUP(LOWER(TRIM(Base_Bruta!N1851)),DePara_Pais!$A$2:$A$9,DePara_Pais!$B$2:$B$9,"REVISAR"))</f>
        <v>Brasil</v>
      </c>
      <c r="P1851" s="4" t="str">
        <f aca="false">IF($A1851="","",IF(O1851&lt;&gt;"Brasil","Turista Internacional",IF(M1851=F1851,"Local","Turista Nacional")))</f>
        <v>Local</v>
      </c>
      <c r="Q1851" s="7" t="n">
        <f aca="false">IF($A1851="","",DATE(YEAR(B1851),MONTH(B1851),1))</f>
        <v>45901</v>
      </c>
      <c r="R1851" s="4" t="str">
        <f aca="false">IF($A1851="","",IF(COUNTIF($A$2:$A1851,$A1851)&gt;1,"Sim","Não"))</f>
        <v>Não</v>
      </c>
      <c r="S1851" s="4" t="str">
        <f aca="false">IF(A1851="","Descartar - Linha vazia",IF(R1851="Sim","Descartar - Duplicado",IF(OR(H1851&lt;=0,I1851&lt;=0),"Descartar - Qtd/Valor inválido","OK")))</f>
        <v>OK</v>
      </c>
      <c r="T1851" s="4" t="str">
        <f aca="false">Base_Bruta!P1851</f>
        <v>vendas_MG.csv</v>
      </c>
    </row>
    <row r="1852" customFormat="false" ht="15" hidden="false" customHeight="false" outlineLevel="0" collapsed="false">
      <c r="A1852" s="4" t="str">
        <f aca="false">IF(Base_Bruta!A1852="","",Base_Bruta!A1852)</f>
        <v>MG-000536</v>
      </c>
      <c r="B1852" s="5" t="n">
        <f aca="false">IF($A1852="","",IF(ISNUMBER(Base_Bruta!B1852),Base_Bruta!B1852,IF(MID(Base_Bruta!B1852,5,1)="-",DATE(VALUE(LEFT(Base_Bruta!B1852,4)),VALUE(MID(Base_Bruta!B1852,6,2)),VALUE(RIGHT(Base_Bruta!B1852,2))),DATE(VALUE(RIGHT(Base_Bruta!B1852,4)),VALUE(MID(Base_Bruta!B1852,4,2)),VALUE(LEFT(Base_Bruta!B1852,2))))))</f>
        <v>45924</v>
      </c>
      <c r="C1852" s="5" t="n">
        <f aca="false">IF($A1852="","",IF(ISNUMBER(Base_Bruta!C1852),Base_Bruta!C1852,IF(MID(Base_Bruta!C1852,5,1)="-",DATE(VALUE(LEFT(Base_Bruta!C1852,4)),VALUE(MID(Base_Bruta!C1852,6,2)),VALUE(RIGHT(Base_Bruta!C1852,2))),DATE(VALUE(RIGHT(Base_Bruta!C1852,4)),VALUE(MID(Base_Bruta!C1852,4,2)),VALUE(LEFT(Base_Bruta!C1852,2))))))</f>
        <v>45926</v>
      </c>
      <c r="D1852" s="4" t="str">
        <f aca="false">IF($A1852="","",TRIM(Base_Bruta!D1852))</f>
        <v>Cinema Savassi - Sessões</v>
      </c>
      <c r="E1852" s="4" t="str">
        <f aca="false">IF($A1852="","",_xlfn.XLOOKUP(LOWER(TRIM(Base_Bruta!E1852)),DePara_Categoria!$A$2:$A$9,DePara_Categoria!$B$2:$B$9,"REVISAR"))</f>
        <v>Cinema</v>
      </c>
      <c r="F1852" s="4" t="str">
        <f aca="false">IF($A1852="","",_xlfn.XLOOKUP(LOWER(TRIM(Base_Bruta!F1852)),DePara_Cidade!$A$2:$A$29,DePara_Cidade!$B$2:$B$29,"REVISAR"))</f>
        <v>Belo Horizonte</v>
      </c>
      <c r="G1852" s="4" t="str">
        <f aca="false">IF($A1852="","",TRIM(Base_Bruta!G1852))</f>
        <v>Inteira</v>
      </c>
      <c r="H1852" s="4" t="n">
        <f aca="false">IF($A1852="","",IF(ISNUMBER(Base_Bruta!H1852),Base_Bruta!H1852,IFERROR(_xlfn.NUMBERVALUE(TRIM(SUBSTITUTE(Base_Bruta!H1852,"R$","")),",","."),0)))</f>
        <v>2</v>
      </c>
      <c r="I1852" s="6" t="n">
        <f aca="false">IF($A1852="","",IF(ISNUMBER(Base_Bruta!I1852),Base_Bruta!I1852,IFERROR(_xlfn.NUMBERVALUE(TRIM(SUBSTITUTE(Base_Bruta!I1852,"R$","")),",","."),0)))</f>
        <v>45</v>
      </c>
      <c r="J1852" s="6" t="n">
        <f aca="false">IF($A1852="","",H1852*I1852)</f>
        <v>90</v>
      </c>
      <c r="K1852" s="4" t="str">
        <f aca="false">IF($A1852="","",TRIM(Base_Bruta!J1852))</f>
        <v>Site</v>
      </c>
      <c r="L1852" s="4" t="str">
        <f aca="false">IF($A1852="","",TRIM(Base_Bruta!K1852))</f>
        <v>C01889</v>
      </c>
      <c r="M1852" s="4" t="str">
        <f aca="false">IF($A1852="","",_xlfn.XLOOKUP(LOWER(TRIM(Base_Bruta!L1852)),DePara_Cidade!$A$2:$A$29,DePara_Cidade!$B$2:$B$29,"REVISAR"))</f>
        <v>Belo Horizonte</v>
      </c>
      <c r="N1852" s="4" t="str">
        <f aca="false">IF($A1852="","",UPPER(TRIM(Base_Bruta!M1852)))</f>
        <v>MG</v>
      </c>
      <c r="O1852" s="4" t="str">
        <f aca="false">IF($A1852="","",_xlfn.XLOOKUP(LOWER(TRIM(Base_Bruta!N1852)),DePara_Pais!$A$2:$A$9,DePara_Pais!$B$2:$B$9,"REVISAR"))</f>
        <v>Brasil</v>
      </c>
      <c r="P1852" s="4" t="str">
        <f aca="false">IF($A1852="","",IF(O1852&lt;&gt;"Brasil","Turista Internacional",IF(M1852=F1852,"Local","Turista Nacional")))</f>
        <v>Local</v>
      </c>
      <c r="Q1852" s="7" t="n">
        <f aca="false">IF($A1852="","",DATE(YEAR(B1852),MONTH(B1852),1))</f>
        <v>45901</v>
      </c>
      <c r="R1852" s="4" t="str">
        <f aca="false">IF($A1852="","",IF(COUNTIF($A$2:$A1852,$A1852)&gt;1,"Sim","Não"))</f>
        <v>Não</v>
      </c>
      <c r="S1852" s="4" t="str">
        <f aca="false">IF(A1852="","Descartar - Linha vazia",IF(R1852="Sim","Descartar - Duplicado",IF(OR(H1852&lt;=0,I1852&lt;=0),"Descartar - Qtd/Valor inválido","OK")))</f>
        <v>OK</v>
      </c>
      <c r="T1852" s="4" t="str">
        <f aca="false">Base_Bruta!P1852</f>
        <v>vendas_MG.csv</v>
      </c>
    </row>
    <row r="1853" customFormat="false" ht="15" hidden="false" customHeight="false" outlineLevel="0" collapsed="false">
      <c r="A1853" s="4" t="str">
        <f aca="false">IF(Base_Bruta!A1853="","",Base_Bruta!A1853)</f>
        <v>MG-000404</v>
      </c>
      <c r="B1853" s="5" t="n">
        <f aca="false">IF($A1853="","",IF(ISNUMBER(Base_Bruta!B1853),Base_Bruta!B1853,IF(MID(Base_Bruta!B1853,5,1)="-",DATE(VALUE(LEFT(Base_Bruta!B1853,4)),VALUE(MID(Base_Bruta!B1853,6,2)),VALUE(RIGHT(Base_Bruta!B1853,2))),DATE(VALUE(RIGHT(Base_Bruta!B1853,4)),VALUE(MID(Base_Bruta!B1853,4,2)),VALUE(LEFT(Base_Bruta!B1853,2))))))</f>
        <v>45925</v>
      </c>
      <c r="C1853" s="5" t="n">
        <f aca="false">IF($A1853="","",IF(ISNUMBER(Base_Bruta!C1853),Base_Bruta!C1853,IF(MID(Base_Bruta!C1853,5,1)="-",DATE(VALUE(LEFT(Base_Bruta!C1853,4)),VALUE(MID(Base_Bruta!C1853,6,2)),VALUE(RIGHT(Base_Bruta!C1853,2))),DATE(VALUE(RIGHT(Base_Bruta!C1853,4)),VALUE(MID(Base_Bruta!C1853,4,2)),VALUE(LEFT(Base_Bruta!C1853,2))))))</f>
        <v>45928</v>
      </c>
      <c r="D1853" s="4" t="str">
        <f aca="false">IF($A1853="","",TRIM(Base_Bruta!D1853))</f>
        <v>Cinema Savassi - Sessões</v>
      </c>
      <c r="E1853" s="4" t="str">
        <f aca="false">IF($A1853="","",_xlfn.XLOOKUP(LOWER(TRIM(Base_Bruta!E1853)),DePara_Categoria!$A$2:$A$9,DePara_Categoria!$B$2:$B$9,"REVISAR"))</f>
        <v>Cinema</v>
      </c>
      <c r="F1853" s="4" t="str">
        <f aca="false">IF($A1853="","",_xlfn.XLOOKUP(LOWER(TRIM(Base_Bruta!F1853)),DePara_Cidade!$A$2:$A$29,DePara_Cidade!$B$2:$B$29,"REVISAR"))</f>
        <v>Belo Horizonte</v>
      </c>
      <c r="G1853" s="4" t="str">
        <f aca="false">IF($A1853="","",TRIM(Base_Bruta!G1853))</f>
        <v>Inteira</v>
      </c>
      <c r="H1853" s="4" t="n">
        <f aca="false">IF($A1853="","",IF(ISNUMBER(Base_Bruta!H1853),Base_Bruta!H1853,IFERROR(_xlfn.NUMBERVALUE(TRIM(SUBSTITUTE(Base_Bruta!H1853,"R$","")),",","."),0)))</f>
        <v>2</v>
      </c>
      <c r="I1853" s="6" t="n">
        <f aca="false">IF($A1853="","",IF(ISNUMBER(Base_Bruta!I1853),Base_Bruta!I1853,IFERROR(_xlfn.NUMBERVALUE(TRIM(SUBSTITUTE(Base_Bruta!I1853,"R$","")),",","."),0)))</f>
        <v>35</v>
      </c>
      <c r="J1853" s="6" t="n">
        <f aca="false">IF($A1853="","",H1853*I1853)</f>
        <v>70</v>
      </c>
      <c r="K1853" s="4" t="str">
        <f aca="false">IF($A1853="","",TRIM(Base_Bruta!J1853))</f>
        <v>App</v>
      </c>
      <c r="L1853" s="4" t="str">
        <f aca="false">IF($A1853="","",TRIM(Base_Bruta!K1853))</f>
        <v>C01320</v>
      </c>
      <c r="M1853" s="4" t="str">
        <f aca="false">IF($A1853="","",_xlfn.XLOOKUP(LOWER(TRIM(Base_Bruta!L1853)),DePara_Cidade!$A$2:$A$29,DePara_Cidade!$B$2:$B$29,"REVISAR"))</f>
        <v>Belo Horizonte</v>
      </c>
      <c r="N1853" s="4" t="str">
        <f aca="false">IF($A1853="","",UPPER(TRIM(Base_Bruta!M1853)))</f>
        <v>MG</v>
      </c>
      <c r="O1853" s="4" t="str">
        <f aca="false">IF($A1853="","",_xlfn.XLOOKUP(LOWER(TRIM(Base_Bruta!N1853)),DePara_Pais!$A$2:$A$9,DePara_Pais!$B$2:$B$9,"REVISAR"))</f>
        <v>Brasil</v>
      </c>
      <c r="P1853" s="4" t="str">
        <f aca="false">IF($A1853="","",IF(O1853&lt;&gt;"Brasil","Turista Internacional",IF(M1853=F1853,"Local","Turista Nacional")))</f>
        <v>Local</v>
      </c>
      <c r="Q1853" s="7" t="n">
        <f aca="false">IF($A1853="","",DATE(YEAR(B1853),MONTH(B1853),1))</f>
        <v>45901</v>
      </c>
      <c r="R1853" s="4" t="str">
        <f aca="false">IF($A1853="","",IF(COUNTIF($A$2:$A1853,$A1853)&gt;1,"Sim","Não"))</f>
        <v>Não</v>
      </c>
      <c r="S1853" s="4" t="str">
        <f aca="false">IF(A1853="","Descartar - Linha vazia",IF(R1853="Sim","Descartar - Duplicado",IF(OR(H1853&lt;=0,I1853&lt;=0),"Descartar - Qtd/Valor inválido","OK")))</f>
        <v>OK</v>
      </c>
      <c r="T1853" s="4" t="str">
        <f aca="false">Base_Bruta!P1853</f>
        <v>vendas_MG.csv</v>
      </c>
    </row>
    <row r="1854" customFormat="false" ht="15" hidden="false" customHeight="false" outlineLevel="0" collapsed="false">
      <c r="A1854" s="4" t="str">
        <f aca="false">IF(Base_Bruta!A1854="","",Base_Bruta!A1854)</f>
        <v>MG-000515</v>
      </c>
      <c r="B1854" s="5" t="n">
        <f aca="false">IF($A1854="","",IF(ISNUMBER(Base_Bruta!B1854),Base_Bruta!B1854,IF(MID(Base_Bruta!B1854,5,1)="-",DATE(VALUE(LEFT(Base_Bruta!B1854,4)),VALUE(MID(Base_Bruta!B1854,6,2)),VALUE(RIGHT(Base_Bruta!B1854,2))),DATE(VALUE(RIGHT(Base_Bruta!B1854,4)),VALUE(MID(Base_Bruta!B1854,4,2)),VALUE(LEFT(Base_Bruta!B1854,2))))))</f>
        <v>45927</v>
      </c>
      <c r="C1854" s="5" t="n">
        <f aca="false">IF($A1854="","",IF(ISNUMBER(Base_Bruta!C1854),Base_Bruta!C1854,IF(MID(Base_Bruta!C1854,5,1)="-",DATE(VALUE(LEFT(Base_Bruta!C1854,4)),VALUE(MID(Base_Bruta!C1854,6,2)),VALUE(RIGHT(Base_Bruta!C1854,2))),DATE(VALUE(RIGHT(Base_Bruta!C1854,4)),VALUE(MID(Base_Bruta!C1854,4,2)),VALUE(LEFT(Base_Bruta!C1854,2))))))</f>
        <v>45928</v>
      </c>
      <c r="D1854" s="4" t="str">
        <f aca="false">IF($A1854="","",TRIM(Base_Bruta!D1854))</f>
        <v>Cinema Savassi - Sessões</v>
      </c>
      <c r="E1854" s="4" t="str">
        <f aca="false">IF($A1854="","",_xlfn.XLOOKUP(LOWER(TRIM(Base_Bruta!E1854)),DePara_Categoria!$A$2:$A$9,DePara_Categoria!$B$2:$B$9,"REVISAR"))</f>
        <v>Cinema</v>
      </c>
      <c r="F1854" s="4" t="str">
        <f aca="false">IF($A1854="","",_xlfn.XLOOKUP(LOWER(TRIM(Base_Bruta!F1854)),DePara_Cidade!$A$2:$A$29,DePara_Cidade!$B$2:$B$29,"REVISAR"))</f>
        <v>Belo Horizonte</v>
      </c>
      <c r="G1854" s="4" t="str">
        <f aca="false">IF($A1854="","",TRIM(Base_Bruta!G1854))</f>
        <v>Meia</v>
      </c>
      <c r="H1854" s="4" t="n">
        <f aca="false">IF($A1854="","",IF(ISNUMBER(Base_Bruta!H1854),Base_Bruta!H1854,IFERROR(_xlfn.NUMBERVALUE(TRIM(SUBSTITUTE(Base_Bruta!H1854,"R$","")),",","."),0)))</f>
        <v>1</v>
      </c>
      <c r="I1854" s="6" t="n">
        <f aca="false">IF($A1854="","",IF(ISNUMBER(Base_Bruta!I1854),Base_Bruta!I1854,IFERROR(_xlfn.NUMBERVALUE(TRIM(SUBSTITUTE(Base_Bruta!I1854,"R$","")),",","."),0)))</f>
        <v>22.5</v>
      </c>
      <c r="J1854" s="6" t="n">
        <f aca="false">IF($A1854="","",H1854*I1854)</f>
        <v>22.5</v>
      </c>
      <c r="K1854" s="4" t="str">
        <f aca="false">IF($A1854="","",TRIM(Base_Bruta!J1854))</f>
        <v>App</v>
      </c>
      <c r="L1854" s="4" t="str">
        <f aca="false">IF($A1854="","",TRIM(Base_Bruta!K1854))</f>
        <v>C00479</v>
      </c>
      <c r="M1854" s="4" t="str">
        <f aca="false">IF($A1854="","",_xlfn.XLOOKUP(LOWER(TRIM(Base_Bruta!L1854)),DePara_Cidade!$A$2:$A$29,DePara_Cidade!$B$2:$B$29,"REVISAR"))</f>
        <v>Belo Horizonte</v>
      </c>
      <c r="N1854" s="4" t="str">
        <f aca="false">IF($A1854="","",UPPER(TRIM(Base_Bruta!M1854)))</f>
        <v>MG</v>
      </c>
      <c r="O1854" s="4" t="str">
        <f aca="false">IF($A1854="","",_xlfn.XLOOKUP(LOWER(TRIM(Base_Bruta!N1854)),DePara_Pais!$A$2:$A$9,DePara_Pais!$B$2:$B$9,"REVISAR"))</f>
        <v>Brasil</v>
      </c>
      <c r="P1854" s="4" t="str">
        <f aca="false">IF($A1854="","",IF(O1854&lt;&gt;"Brasil","Turista Internacional",IF(M1854=F1854,"Local","Turista Nacional")))</f>
        <v>Local</v>
      </c>
      <c r="Q1854" s="7" t="n">
        <f aca="false">IF($A1854="","",DATE(YEAR(B1854),MONTH(B1854),1))</f>
        <v>45901</v>
      </c>
      <c r="R1854" s="4" t="str">
        <f aca="false">IF($A1854="","",IF(COUNTIF($A$2:$A1854,$A1854)&gt;1,"Sim","Não"))</f>
        <v>Não</v>
      </c>
      <c r="S1854" s="4" t="str">
        <f aca="false">IF(A1854="","Descartar - Linha vazia",IF(R1854="Sim","Descartar - Duplicado",IF(OR(H1854&lt;=0,I1854&lt;=0),"Descartar - Qtd/Valor inválido","OK")))</f>
        <v>OK</v>
      </c>
      <c r="T1854" s="4" t="str">
        <f aca="false">Base_Bruta!P1854</f>
        <v>vendas_MG.csv</v>
      </c>
    </row>
    <row r="1855" customFormat="false" ht="15" hidden="false" customHeight="false" outlineLevel="0" collapsed="false">
      <c r="A1855" s="4" t="str">
        <f aca="false">IF(Base_Bruta!A1855="","",Base_Bruta!A1855)</f>
        <v>MG-000541</v>
      </c>
      <c r="B1855" s="5" t="n">
        <f aca="false">IF($A1855="","",IF(ISNUMBER(Base_Bruta!B1855),Base_Bruta!B1855,IF(MID(Base_Bruta!B1855,5,1)="-",DATE(VALUE(LEFT(Base_Bruta!B1855,4)),VALUE(MID(Base_Bruta!B1855,6,2)),VALUE(RIGHT(Base_Bruta!B1855,2))),DATE(VALUE(RIGHT(Base_Bruta!B1855,4)),VALUE(MID(Base_Bruta!B1855,4,2)),VALUE(LEFT(Base_Bruta!B1855,2))))))</f>
        <v>45929</v>
      </c>
      <c r="C1855" s="5" t="n">
        <f aca="false">IF($A1855="","",IF(ISNUMBER(Base_Bruta!C1855),Base_Bruta!C1855,IF(MID(Base_Bruta!C1855,5,1)="-",DATE(VALUE(LEFT(Base_Bruta!C1855,4)),VALUE(MID(Base_Bruta!C1855,6,2)),VALUE(RIGHT(Base_Bruta!C1855,2))),DATE(VALUE(RIGHT(Base_Bruta!C1855,4)),VALUE(MID(Base_Bruta!C1855,4,2)),VALUE(LEFT(Base_Bruta!C1855,2))))))</f>
        <v>45929</v>
      </c>
      <c r="D1855" s="4" t="str">
        <f aca="false">IF($A1855="","",TRIM(Base_Bruta!D1855))</f>
        <v>Cinema Savassi - Sessões</v>
      </c>
      <c r="E1855" s="4" t="str">
        <f aca="false">IF($A1855="","",_xlfn.XLOOKUP(LOWER(TRIM(Base_Bruta!E1855)),DePara_Categoria!$A$2:$A$9,DePara_Categoria!$B$2:$B$9,"REVISAR"))</f>
        <v>Cinema</v>
      </c>
      <c r="F1855" s="4" t="str">
        <f aca="false">IF($A1855="","",_xlfn.XLOOKUP(LOWER(TRIM(Base_Bruta!F1855)),DePara_Cidade!$A$2:$A$29,DePara_Cidade!$B$2:$B$29,"REVISAR"))</f>
        <v>Belo Horizonte</v>
      </c>
      <c r="G1855" s="4" t="str">
        <f aca="false">IF($A1855="","",TRIM(Base_Bruta!G1855))</f>
        <v>Inteira</v>
      </c>
      <c r="H1855" s="4" t="n">
        <f aca="false">IF($A1855="","",IF(ISNUMBER(Base_Bruta!H1855),Base_Bruta!H1855,IFERROR(_xlfn.NUMBERVALUE(TRIM(SUBSTITUTE(Base_Bruta!H1855,"R$","")),",","."),0)))</f>
        <v>1</v>
      </c>
      <c r="I1855" s="6" t="n">
        <f aca="false">IF($A1855="","",IF(ISNUMBER(Base_Bruta!I1855),Base_Bruta!I1855,IFERROR(_xlfn.NUMBERVALUE(TRIM(SUBSTITUTE(Base_Bruta!I1855,"R$","")),",","."),0)))</f>
        <v>30</v>
      </c>
      <c r="J1855" s="6" t="n">
        <f aca="false">IF($A1855="","",H1855*I1855)</f>
        <v>30</v>
      </c>
      <c r="K1855" s="4" t="str">
        <f aca="false">IF($A1855="","",TRIM(Base_Bruta!J1855))</f>
        <v>App</v>
      </c>
      <c r="L1855" s="4" t="str">
        <f aca="false">IF($A1855="","",TRIM(Base_Bruta!K1855))</f>
        <v>C01609</v>
      </c>
      <c r="M1855" s="4" t="str">
        <f aca="false">IF($A1855="","",_xlfn.XLOOKUP(LOWER(TRIM(Base_Bruta!L1855)),DePara_Cidade!$A$2:$A$29,DePara_Cidade!$B$2:$B$29,"REVISAR"))</f>
        <v>Belo Horizonte</v>
      </c>
      <c r="N1855" s="4" t="str">
        <f aca="false">IF($A1855="","",UPPER(TRIM(Base_Bruta!M1855)))</f>
        <v>MG</v>
      </c>
      <c r="O1855" s="4" t="str">
        <f aca="false">IF($A1855="","",_xlfn.XLOOKUP(LOWER(TRIM(Base_Bruta!N1855)),DePara_Pais!$A$2:$A$9,DePara_Pais!$B$2:$B$9,"REVISAR"))</f>
        <v>Brasil</v>
      </c>
      <c r="P1855" s="4" t="str">
        <f aca="false">IF($A1855="","",IF(O1855&lt;&gt;"Brasil","Turista Internacional",IF(M1855=F1855,"Local","Turista Nacional")))</f>
        <v>Local</v>
      </c>
      <c r="Q1855" s="7" t="n">
        <f aca="false">IF($A1855="","",DATE(YEAR(B1855),MONTH(B1855),1))</f>
        <v>45901</v>
      </c>
      <c r="R1855" s="4" t="str">
        <f aca="false">IF($A1855="","",IF(COUNTIF($A$2:$A1855,$A1855)&gt;1,"Sim","Não"))</f>
        <v>Não</v>
      </c>
      <c r="S1855" s="4" t="str">
        <f aca="false">IF(A1855="","Descartar - Linha vazia",IF(R1855="Sim","Descartar - Duplicado",IF(OR(H1855&lt;=0,I1855&lt;=0),"Descartar - Qtd/Valor inválido","OK")))</f>
        <v>OK</v>
      </c>
      <c r="T1855" s="4" t="str">
        <f aca="false">Base_Bruta!P1855</f>
        <v>vendas_MG.csv</v>
      </c>
    </row>
    <row r="1856" customFormat="false" ht="15" hidden="false" customHeight="false" outlineLevel="0" collapsed="false">
      <c r="A1856" s="4" t="str">
        <f aca="false">IF(Base_Bruta!A1856="","",Base_Bruta!A1856)</f>
        <v>MG-000423</v>
      </c>
      <c r="B1856" s="5" t="n">
        <f aca="false">IF($A1856="","",IF(ISNUMBER(Base_Bruta!B1856),Base_Bruta!B1856,IF(MID(Base_Bruta!B1856,5,1)="-",DATE(VALUE(LEFT(Base_Bruta!B1856,4)),VALUE(MID(Base_Bruta!B1856,6,2)),VALUE(RIGHT(Base_Bruta!B1856,2))),DATE(VALUE(RIGHT(Base_Bruta!B1856,4)),VALUE(MID(Base_Bruta!B1856,4,2)),VALUE(LEFT(Base_Bruta!B1856,2))))))</f>
        <v>45931</v>
      </c>
      <c r="C1856" s="5" t="n">
        <f aca="false">IF($A1856="","",IF(ISNUMBER(Base_Bruta!C1856),Base_Bruta!C1856,IF(MID(Base_Bruta!C1856,5,1)="-",DATE(VALUE(LEFT(Base_Bruta!C1856,4)),VALUE(MID(Base_Bruta!C1856,6,2)),VALUE(RIGHT(Base_Bruta!C1856,2))),DATE(VALUE(RIGHT(Base_Bruta!C1856,4)),VALUE(MID(Base_Bruta!C1856,4,2)),VALUE(LEFT(Base_Bruta!C1856,2))))))</f>
        <v>45934</v>
      </c>
      <c r="D1856" s="4" t="str">
        <f aca="false">IF($A1856="","",TRIM(Base_Bruta!D1856))</f>
        <v>Cinema Savassi - Sessões</v>
      </c>
      <c r="E1856" s="4" t="str">
        <f aca="false">IF($A1856="","",_xlfn.XLOOKUP(LOWER(TRIM(Base_Bruta!E1856)),DePara_Categoria!$A$2:$A$9,DePara_Categoria!$B$2:$B$9,"REVISAR"))</f>
        <v>Cinema</v>
      </c>
      <c r="F1856" s="4" t="str">
        <f aca="false">IF($A1856="","",_xlfn.XLOOKUP(LOWER(TRIM(Base_Bruta!F1856)),DePara_Cidade!$A$2:$A$29,DePara_Cidade!$B$2:$B$29,"REVISAR"))</f>
        <v>Belo Horizonte</v>
      </c>
      <c r="G1856" s="4" t="str">
        <f aca="false">IF($A1856="","",TRIM(Base_Bruta!G1856))</f>
        <v>Meia</v>
      </c>
      <c r="H1856" s="4" t="n">
        <f aca="false">IF($A1856="","",IF(ISNUMBER(Base_Bruta!H1856),Base_Bruta!H1856,IFERROR(_xlfn.NUMBERVALUE(TRIM(SUBSTITUTE(Base_Bruta!H1856,"R$","")),",","."),0)))</f>
        <v>2</v>
      </c>
      <c r="I1856" s="6" t="n">
        <f aca="false">IF($A1856="","",IF(ISNUMBER(Base_Bruta!I1856),Base_Bruta!I1856,IFERROR(_xlfn.NUMBERVALUE(TRIM(SUBSTITUTE(Base_Bruta!I1856,"R$","")),",","."),0)))</f>
        <v>0</v>
      </c>
      <c r="J1856" s="6" t="n">
        <f aca="false">IF($A1856="","",H1856*I1856)</f>
        <v>0</v>
      </c>
      <c r="K1856" s="4" t="str">
        <f aca="false">IF($A1856="","",TRIM(Base_Bruta!J1856))</f>
        <v>Site</v>
      </c>
      <c r="L1856" s="4" t="str">
        <f aca="false">IF($A1856="","",TRIM(Base_Bruta!K1856))</f>
        <v>C00638</v>
      </c>
      <c r="M1856" s="4" t="str">
        <f aca="false">IF($A1856="","",_xlfn.XLOOKUP(LOWER(TRIM(Base_Bruta!L1856)),DePara_Cidade!$A$2:$A$29,DePara_Cidade!$B$2:$B$29,"REVISAR"))</f>
        <v>Belo Horizonte</v>
      </c>
      <c r="N1856" s="4" t="str">
        <f aca="false">IF($A1856="","",UPPER(TRIM(Base_Bruta!M1856)))</f>
        <v>MG</v>
      </c>
      <c r="O1856" s="4" t="str">
        <f aca="false">IF($A1856="","",_xlfn.XLOOKUP(LOWER(TRIM(Base_Bruta!N1856)),DePara_Pais!$A$2:$A$9,DePara_Pais!$B$2:$B$9,"REVISAR"))</f>
        <v>Brasil</v>
      </c>
      <c r="P1856" s="4" t="str">
        <f aca="false">IF($A1856="","",IF(O1856&lt;&gt;"Brasil","Turista Internacional",IF(M1856=F1856,"Local","Turista Nacional")))</f>
        <v>Local</v>
      </c>
      <c r="Q1856" s="7" t="n">
        <f aca="false">IF($A1856="","",DATE(YEAR(B1856),MONTH(B1856),1))</f>
        <v>45931</v>
      </c>
      <c r="R1856" s="4" t="str">
        <f aca="false">IF($A1856="","",IF(COUNTIF($A$2:$A1856,$A1856)&gt;1,"Sim","Não"))</f>
        <v>Não</v>
      </c>
      <c r="S1856" s="4" t="str">
        <f aca="false">IF(A1856="","Descartar - Linha vazia",IF(R1856="Sim","Descartar - Duplicado",IF(OR(H1856&lt;=0,I1856&lt;=0),"Descartar - Qtd/Valor inválido","OK")))</f>
        <v>Descartar - Qtd/Valor inválido</v>
      </c>
      <c r="T1856" s="4" t="str">
        <f aca="false">Base_Bruta!P1856</f>
        <v>vendas_MG.csv</v>
      </c>
    </row>
    <row r="1857" customFormat="false" ht="15" hidden="false" customHeight="false" outlineLevel="0" collapsed="false">
      <c r="A1857" s="4" t="str">
        <f aca="false">IF(Base_Bruta!A1857="","",Base_Bruta!A1857)</f>
        <v>MG-000535</v>
      </c>
      <c r="B1857" s="5" t="n">
        <f aca="false">IF($A1857="","",IF(ISNUMBER(Base_Bruta!B1857),Base_Bruta!B1857,IF(MID(Base_Bruta!B1857,5,1)="-",DATE(VALUE(LEFT(Base_Bruta!B1857,4)),VALUE(MID(Base_Bruta!B1857,6,2)),VALUE(RIGHT(Base_Bruta!B1857,2))),DATE(VALUE(RIGHT(Base_Bruta!B1857,4)),VALUE(MID(Base_Bruta!B1857,4,2)),VALUE(LEFT(Base_Bruta!B1857,2))))))</f>
        <v>45932</v>
      </c>
      <c r="C1857" s="5" t="n">
        <f aca="false">IF($A1857="","",IF(ISNUMBER(Base_Bruta!C1857),Base_Bruta!C1857,IF(MID(Base_Bruta!C1857,5,1)="-",DATE(VALUE(LEFT(Base_Bruta!C1857,4)),VALUE(MID(Base_Bruta!C1857,6,2)),VALUE(RIGHT(Base_Bruta!C1857,2))),DATE(VALUE(RIGHT(Base_Bruta!C1857,4)),VALUE(MID(Base_Bruta!C1857,4,2)),VALUE(LEFT(Base_Bruta!C1857,2))))))</f>
        <v>45933</v>
      </c>
      <c r="D1857" s="4" t="str">
        <f aca="false">IF($A1857="","",TRIM(Base_Bruta!D1857))</f>
        <v>Cinema Savassi - Sessões</v>
      </c>
      <c r="E1857" s="4" t="str">
        <f aca="false">IF($A1857="","",_xlfn.XLOOKUP(LOWER(TRIM(Base_Bruta!E1857)),DePara_Categoria!$A$2:$A$9,DePara_Categoria!$B$2:$B$9,"REVISAR"))</f>
        <v>Cinema</v>
      </c>
      <c r="F1857" s="4" t="str">
        <f aca="false">IF($A1857="","",_xlfn.XLOOKUP(LOWER(TRIM(Base_Bruta!F1857)),DePara_Cidade!$A$2:$A$29,DePara_Cidade!$B$2:$B$29,"REVISAR"))</f>
        <v>Belo Horizonte</v>
      </c>
      <c r="G1857" s="4" t="str">
        <f aca="false">IF($A1857="","",TRIM(Base_Bruta!G1857))</f>
        <v>Inteira</v>
      </c>
      <c r="H1857" s="4" t="n">
        <f aca="false">IF($A1857="","",IF(ISNUMBER(Base_Bruta!H1857),Base_Bruta!H1857,IFERROR(_xlfn.NUMBERVALUE(TRIM(SUBSTITUTE(Base_Bruta!H1857,"R$","")),",","."),0)))</f>
        <v>3</v>
      </c>
      <c r="I1857" s="6" t="n">
        <f aca="false">IF($A1857="","",IF(ISNUMBER(Base_Bruta!I1857),Base_Bruta!I1857,IFERROR(_xlfn.NUMBERVALUE(TRIM(SUBSTITUTE(Base_Bruta!I1857,"R$","")),",","."),0)))</f>
        <v>35</v>
      </c>
      <c r="J1857" s="6" t="n">
        <f aca="false">IF($A1857="","",H1857*I1857)</f>
        <v>105</v>
      </c>
      <c r="K1857" s="4" t="str">
        <f aca="false">IF($A1857="","",TRIM(Base_Bruta!J1857))</f>
        <v>Bilheteria</v>
      </c>
      <c r="L1857" s="4" t="str">
        <f aca="false">IF($A1857="","",TRIM(Base_Bruta!K1857))</f>
        <v>C02378</v>
      </c>
      <c r="M1857" s="4" t="str">
        <f aca="false">IF($A1857="","",_xlfn.XLOOKUP(LOWER(TRIM(Base_Bruta!L1857)),DePara_Cidade!$A$2:$A$29,DePara_Cidade!$B$2:$B$29,"REVISAR"))</f>
        <v>Belo Horizonte</v>
      </c>
      <c r="N1857" s="4" t="str">
        <f aca="false">IF($A1857="","",UPPER(TRIM(Base_Bruta!M1857)))</f>
        <v>MG</v>
      </c>
      <c r="O1857" s="4" t="str">
        <f aca="false">IF($A1857="","",_xlfn.XLOOKUP(LOWER(TRIM(Base_Bruta!N1857)),DePara_Pais!$A$2:$A$9,DePara_Pais!$B$2:$B$9,"REVISAR"))</f>
        <v>Brasil</v>
      </c>
      <c r="P1857" s="4" t="str">
        <f aca="false">IF($A1857="","",IF(O1857&lt;&gt;"Brasil","Turista Internacional",IF(M1857=F1857,"Local","Turista Nacional")))</f>
        <v>Local</v>
      </c>
      <c r="Q1857" s="7" t="n">
        <f aca="false">IF($A1857="","",DATE(YEAR(B1857),MONTH(B1857),1))</f>
        <v>45931</v>
      </c>
      <c r="R1857" s="4" t="str">
        <f aca="false">IF($A1857="","",IF(COUNTIF($A$2:$A1857,$A1857)&gt;1,"Sim","Não"))</f>
        <v>Não</v>
      </c>
      <c r="S1857" s="4" t="str">
        <f aca="false">IF(A1857="","Descartar - Linha vazia",IF(R1857="Sim","Descartar - Duplicado",IF(OR(H1857&lt;=0,I1857&lt;=0),"Descartar - Qtd/Valor inválido","OK")))</f>
        <v>OK</v>
      </c>
      <c r="T1857" s="4" t="str">
        <f aca="false">Base_Bruta!P1857</f>
        <v>vendas_MG.csv</v>
      </c>
    </row>
    <row r="1858" customFormat="false" ht="15" hidden="false" customHeight="false" outlineLevel="0" collapsed="false">
      <c r="A1858" s="4" t="str">
        <f aca="false">IF(Base_Bruta!A1858="","",Base_Bruta!A1858)</f>
        <v>MG-000545</v>
      </c>
      <c r="B1858" s="5" t="n">
        <f aca="false">IF($A1858="","",IF(ISNUMBER(Base_Bruta!B1858),Base_Bruta!B1858,IF(MID(Base_Bruta!B1858,5,1)="-",DATE(VALUE(LEFT(Base_Bruta!B1858,4)),VALUE(MID(Base_Bruta!B1858,6,2)),VALUE(RIGHT(Base_Bruta!B1858,2))),DATE(VALUE(RIGHT(Base_Bruta!B1858,4)),VALUE(MID(Base_Bruta!B1858,4,2)),VALUE(LEFT(Base_Bruta!B1858,2))))))</f>
        <v>45939</v>
      </c>
      <c r="C1858" s="5" t="n">
        <f aca="false">IF($A1858="","",IF(ISNUMBER(Base_Bruta!C1858),Base_Bruta!C1858,IF(MID(Base_Bruta!C1858,5,1)="-",DATE(VALUE(LEFT(Base_Bruta!C1858,4)),VALUE(MID(Base_Bruta!C1858,6,2)),VALUE(RIGHT(Base_Bruta!C1858,2))),DATE(VALUE(RIGHT(Base_Bruta!C1858,4)),VALUE(MID(Base_Bruta!C1858,4,2)),VALUE(LEFT(Base_Bruta!C1858,2))))))</f>
        <v>45941</v>
      </c>
      <c r="D1858" s="4" t="str">
        <f aca="false">IF($A1858="","",TRIM(Base_Bruta!D1858))</f>
        <v>Cinema Savassi - Sessões</v>
      </c>
      <c r="E1858" s="4" t="str">
        <f aca="false">IF($A1858="","",_xlfn.XLOOKUP(LOWER(TRIM(Base_Bruta!E1858)),DePara_Categoria!$A$2:$A$9,DePara_Categoria!$B$2:$B$9,"REVISAR"))</f>
        <v>Cinema</v>
      </c>
      <c r="F1858" s="4" t="str">
        <f aca="false">IF($A1858="","",_xlfn.XLOOKUP(LOWER(TRIM(Base_Bruta!F1858)),DePara_Cidade!$A$2:$A$29,DePara_Cidade!$B$2:$B$29,"REVISAR"))</f>
        <v>Belo Horizonte</v>
      </c>
      <c r="G1858" s="4" t="str">
        <f aca="false">IF($A1858="","",TRIM(Base_Bruta!G1858))</f>
        <v>Meia</v>
      </c>
      <c r="H1858" s="4" t="n">
        <f aca="false">IF($A1858="","",IF(ISNUMBER(Base_Bruta!H1858),Base_Bruta!H1858,IFERROR(_xlfn.NUMBERVALUE(TRIM(SUBSTITUTE(Base_Bruta!H1858,"R$","")),",","."),0)))</f>
        <v>1</v>
      </c>
      <c r="I1858" s="6" t="n">
        <f aca="false">IF($A1858="","",IF(ISNUMBER(Base_Bruta!I1858),Base_Bruta!I1858,IFERROR(_xlfn.NUMBERVALUE(TRIM(SUBSTITUTE(Base_Bruta!I1858,"R$","")),",","."),0)))</f>
        <v>22.5</v>
      </c>
      <c r="J1858" s="6" t="n">
        <f aca="false">IF($A1858="","",H1858*I1858)</f>
        <v>22.5</v>
      </c>
      <c r="K1858" s="4" t="str">
        <f aca="false">IF($A1858="","",TRIM(Base_Bruta!J1858))</f>
        <v>Site</v>
      </c>
      <c r="L1858" s="4" t="str">
        <f aca="false">IF($A1858="","",TRIM(Base_Bruta!K1858))</f>
        <v>C00945</v>
      </c>
      <c r="M1858" s="4" t="str">
        <f aca="false">IF($A1858="","",_xlfn.XLOOKUP(LOWER(TRIM(Base_Bruta!L1858)),DePara_Cidade!$A$2:$A$29,DePara_Cidade!$B$2:$B$29,"REVISAR"))</f>
        <v>Belo Horizonte</v>
      </c>
      <c r="N1858" s="4" t="str">
        <f aca="false">IF($A1858="","",UPPER(TRIM(Base_Bruta!M1858)))</f>
        <v>MG</v>
      </c>
      <c r="O1858" s="4" t="str">
        <f aca="false">IF($A1858="","",_xlfn.XLOOKUP(LOWER(TRIM(Base_Bruta!N1858)),DePara_Pais!$A$2:$A$9,DePara_Pais!$B$2:$B$9,"REVISAR"))</f>
        <v>Brasil</v>
      </c>
      <c r="P1858" s="4" t="str">
        <f aca="false">IF($A1858="","",IF(O1858&lt;&gt;"Brasil","Turista Internacional",IF(M1858=F1858,"Local","Turista Nacional")))</f>
        <v>Local</v>
      </c>
      <c r="Q1858" s="7" t="n">
        <f aca="false">IF($A1858="","",DATE(YEAR(B1858),MONTH(B1858),1))</f>
        <v>45931</v>
      </c>
      <c r="R1858" s="4" t="str">
        <f aca="false">IF($A1858="","",IF(COUNTIF($A$2:$A1858,$A1858)&gt;1,"Sim","Não"))</f>
        <v>Não</v>
      </c>
      <c r="S1858" s="4" t="str">
        <f aca="false">IF(A1858="","Descartar - Linha vazia",IF(R1858="Sim","Descartar - Duplicado",IF(OR(H1858&lt;=0,I1858&lt;=0),"Descartar - Qtd/Valor inválido","OK")))</f>
        <v>OK</v>
      </c>
      <c r="T1858" s="4" t="str">
        <f aca="false">Base_Bruta!P1858</f>
        <v>vendas_MG.csv</v>
      </c>
    </row>
    <row r="1859" customFormat="false" ht="15" hidden="false" customHeight="false" outlineLevel="0" collapsed="false">
      <c r="A1859" s="4" t="str">
        <f aca="false">IF(Base_Bruta!A1859="","",Base_Bruta!A1859)</f>
        <v>MG-000462</v>
      </c>
      <c r="B1859" s="5" t="n">
        <f aca="false">IF($A1859="","",IF(ISNUMBER(Base_Bruta!B1859),Base_Bruta!B1859,IF(MID(Base_Bruta!B1859,5,1)="-",DATE(VALUE(LEFT(Base_Bruta!B1859,4)),VALUE(MID(Base_Bruta!B1859,6,2)),VALUE(RIGHT(Base_Bruta!B1859,2))),DATE(VALUE(RIGHT(Base_Bruta!B1859,4)),VALUE(MID(Base_Bruta!B1859,4,2)),VALUE(LEFT(Base_Bruta!B1859,2))))))</f>
        <v>45944</v>
      </c>
      <c r="C1859" s="5" t="n">
        <f aca="false">IF($A1859="","",IF(ISNUMBER(Base_Bruta!C1859),Base_Bruta!C1859,IF(MID(Base_Bruta!C1859,5,1)="-",DATE(VALUE(LEFT(Base_Bruta!C1859,4)),VALUE(MID(Base_Bruta!C1859,6,2)),VALUE(RIGHT(Base_Bruta!C1859,2))),DATE(VALUE(RIGHT(Base_Bruta!C1859,4)),VALUE(MID(Base_Bruta!C1859,4,2)),VALUE(LEFT(Base_Bruta!C1859,2))))))</f>
        <v>45944</v>
      </c>
      <c r="D1859" s="4" t="str">
        <f aca="false">IF($A1859="","",TRIM(Base_Bruta!D1859))</f>
        <v>Cinema Savassi - Sessões</v>
      </c>
      <c r="E1859" s="4" t="str">
        <f aca="false">IF($A1859="","",_xlfn.XLOOKUP(LOWER(TRIM(Base_Bruta!E1859)),DePara_Categoria!$A$2:$A$9,DePara_Categoria!$B$2:$B$9,"REVISAR"))</f>
        <v>Cinema</v>
      </c>
      <c r="F1859" s="4" t="str">
        <f aca="false">IF($A1859="","",_xlfn.XLOOKUP(LOWER(TRIM(Base_Bruta!F1859)),DePara_Cidade!$A$2:$A$29,DePara_Cidade!$B$2:$B$29,"REVISAR"))</f>
        <v>Belo Horizonte</v>
      </c>
      <c r="G1859" s="4" t="str">
        <f aca="false">IF($A1859="","",TRIM(Base_Bruta!G1859))</f>
        <v>Inteira</v>
      </c>
      <c r="H1859" s="4" t="n">
        <f aca="false">IF($A1859="","",IF(ISNUMBER(Base_Bruta!H1859),Base_Bruta!H1859,IFERROR(_xlfn.NUMBERVALUE(TRIM(SUBSTITUTE(Base_Bruta!H1859,"R$","")),",","."),0)))</f>
        <v>2</v>
      </c>
      <c r="I1859" s="6" t="n">
        <f aca="false">IF($A1859="","",IF(ISNUMBER(Base_Bruta!I1859),Base_Bruta!I1859,IFERROR(_xlfn.NUMBERVALUE(TRIM(SUBSTITUTE(Base_Bruta!I1859,"R$","")),",","."),0)))</f>
        <v>45</v>
      </c>
      <c r="J1859" s="6" t="n">
        <f aca="false">IF($A1859="","",H1859*I1859)</f>
        <v>90</v>
      </c>
      <c r="K1859" s="4" t="str">
        <f aca="false">IF($A1859="","",TRIM(Base_Bruta!J1859))</f>
        <v>Bilheteria</v>
      </c>
      <c r="L1859" s="4" t="str">
        <f aca="false">IF($A1859="","",TRIM(Base_Bruta!K1859))</f>
        <v>C01615</v>
      </c>
      <c r="M1859" s="4" t="str">
        <f aca="false">IF($A1859="","",_xlfn.XLOOKUP(LOWER(TRIM(Base_Bruta!L1859)),DePara_Cidade!$A$2:$A$29,DePara_Cidade!$B$2:$B$29,"REVISAR"))</f>
        <v>Belo Horizonte</v>
      </c>
      <c r="N1859" s="4" t="str">
        <f aca="false">IF($A1859="","",UPPER(TRIM(Base_Bruta!M1859)))</f>
        <v>MG</v>
      </c>
      <c r="O1859" s="4" t="str">
        <f aca="false">IF($A1859="","",_xlfn.XLOOKUP(LOWER(TRIM(Base_Bruta!N1859)),DePara_Pais!$A$2:$A$9,DePara_Pais!$B$2:$B$9,"REVISAR"))</f>
        <v>Brasil</v>
      </c>
      <c r="P1859" s="4" t="str">
        <f aca="false">IF($A1859="","",IF(O1859&lt;&gt;"Brasil","Turista Internacional",IF(M1859=F1859,"Local","Turista Nacional")))</f>
        <v>Local</v>
      </c>
      <c r="Q1859" s="7" t="n">
        <f aca="false">IF($A1859="","",DATE(YEAR(B1859),MONTH(B1859),1))</f>
        <v>45931</v>
      </c>
      <c r="R1859" s="4" t="str">
        <f aca="false">IF($A1859="","",IF(COUNTIF($A$2:$A1859,$A1859)&gt;1,"Sim","Não"))</f>
        <v>Não</v>
      </c>
      <c r="S1859" s="4" t="str">
        <f aca="false">IF(A1859="","Descartar - Linha vazia",IF(R1859="Sim","Descartar - Duplicado",IF(OR(H1859&lt;=0,I1859&lt;=0),"Descartar - Qtd/Valor inválido","OK")))</f>
        <v>OK</v>
      </c>
      <c r="T1859" s="4" t="str">
        <f aca="false">Base_Bruta!P1859</f>
        <v>vendas_MG.csv</v>
      </c>
    </row>
    <row r="1860" customFormat="false" ht="15" hidden="false" customHeight="false" outlineLevel="0" collapsed="false">
      <c r="A1860" s="4" t="str">
        <f aca="false">IF(Base_Bruta!A1860="","",Base_Bruta!A1860)</f>
        <v>MG-000450</v>
      </c>
      <c r="B1860" s="5" t="n">
        <f aca="false">IF($A1860="","",IF(ISNUMBER(Base_Bruta!B1860),Base_Bruta!B1860,IF(MID(Base_Bruta!B1860,5,1)="-",DATE(VALUE(LEFT(Base_Bruta!B1860,4)),VALUE(MID(Base_Bruta!B1860,6,2)),VALUE(RIGHT(Base_Bruta!B1860,2))),DATE(VALUE(RIGHT(Base_Bruta!B1860,4)),VALUE(MID(Base_Bruta!B1860,4,2)),VALUE(LEFT(Base_Bruta!B1860,2))))))</f>
        <v>45947</v>
      </c>
      <c r="C1860" s="5" t="n">
        <f aca="false">IF($A1860="","",IF(ISNUMBER(Base_Bruta!C1860),Base_Bruta!C1860,IF(MID(Base_Bruta!C1860,5,1)="-",DATE(VALUE(LEFT(Base_Bruta!C1860,4)),VALUE(MID(Base_Bruta!C1860,6,2)),VALUE(RIGHT(Base_Bruta!C1860,2))),DATE(VALUE(RIGHT(Base_Bruta!C1860,4)),VALUE(MID(Base_Bruta!C1860,4,2)),VALUE(LEFT(Base_Bruta!C1860,2))))))</f>
        <v>45948</v>
      </c>
      <c r="D1860" s="4" t="str">
        <f aca="false">IF($A1860="","",TRIM(Base_Bruta!D1860))</f>
        <v>Cinema Savassi - Sessões</v>
      </c>
      <c r="E1860" s="4" t="str">
        <f aca="false">IF($A1860="","",_xlfn.XLOOKUP(LOWER(TRIM(Base_Bruta!E1860)),DePara_Categoria!$A$2:$A$9,DePara_Categoria!$B$2:$B$9,"REVISAR"))</f>
        <v>Cinema</v>
      </c>
      <c r="F1860" s="4" t="str">
        <f aca="false">IF($A1860="","",_xlfn.XLOOKUP(LOWER(TRIM(Base_Bruta!F1860)),DePara_Cidade!$A$2:$A$29,DePara_Cidade!$B$2:$B$29,"REVISAR"))</f>
        <v>Belo Horizonte</v>
      </c>
      <c r="G1860" s="4" t="str">
        <f aca="false">IF($A1860="","",TRIM(Base_Bruta!G1860))</f>
        <v>Inteira</v>
      </c>
      <c r="H1860" s="4" t="n">
        <f aca="false">IF($A1860="","",IF(ISNUMBER(Base_Bruta!H1860),Base_Bruta!H1860,IFERROR(_xlfn.NUMBERVALUE(TRIM(SUBSTITUTE(Base_Bruta!H1860,"R$","")),",","."),0)))</f>
        <v>1</v>
      </c>
      <c r="I1860" s="6" t="n">
        <f aca="false">IF($A1860="","",IF(ISNUMBER(Base_Bruta!I1860),Base_Bruta!I1860,IFERROR(_xlfn.NUMBERVALUE(TRIM(SUBSTITUTE(Base_Bruta!I1860,"R$","")),",","."),0)))</f>
        <v>45</v>
      </c>
      <c r="J1860" s="6" t="n">
        <f aca="false">IF($A1860="","",H1860*I1860)</f>
        <v>45</v>
      </c>
      <c r="K1860" s="4" t="str">
        <f aca="false">IF($A1860="","",TRIM(Base_Bruta!J1860))</f>
        <v>Parceiro</v>
      </c>
      <c r="L1860" s="4" t="str">
        <f aca="false">IF($A1860="","",TRIM(Base_Bruta!K1860))</f>
        <v>C01353</v>
      </c>
      <c r="M1860" s="4" t="str">
        <f aca="false">IF($A1860="","",_xlfn.XLOOKUP(LOWER(TRIM(Base_Bruta!L1860)),DePara_Cidade!$A$2:$A$29,DePara_Cidade!$B$2:$B$29,"REVISAR"))</f>
        <v>Belo Horizonte</v>
      </c>
      <c r="N1860" s="4" t="str">
        <f aca="false">IF($A1860="","",UPPER(TRIM(Base_Bruta!M1860)))</f>
        <v>MG</v>
      </c>
      <c r="O1860" s="4" t="str">
        <f aca="false">IF($A1860="","",_xlfn.XLOOKUP(LOWER(TRIM(Base_Bruta!N1860)),DePara_Pais!$A$2:$A$9,DePara_Pais!$B$2:$B$9,"REVISAR"))</f>
        <v>Brasil</v>
      </c>
      <c r="P1860" s="4" t="str">
        <f aca="false">IF($A1860="","",IF(O1860&lt;&gt;"Brasil","Turista Internacional",IF(M1860=F1860,"Local","Turista Nacional")))</f>
        <v>Local</v>
      </c>
      <c r="Q1860" s="7" t="n">
        <f aca="false">IF($A1860="","",DATE(YEAR(B1860),MONTH(B1860),1))</f>
        <v>45931</v>
      </c>
      <c r="R1860" s="4" t="str">
        <f aca="false">IF($A1860="","",IF(COUNTIF($A$2:$A1860,$A1860)&gt;1,"Sim","Não"))</f>
        <v>Não</v>
      </c>
      <c r="S1860" s="4" t="str">
        <f aca="false">IF(A1860="","Descartar - Linha vazia",IF(R1860="Sim","Descartar - Duplicado",IF(OR(H1860&lt;=0,I1860&lt;=0),"Descartar - Qtd/Valor inválido","OK")))</f>
        <v>OK</v>
      </c>
      <c r="T1860" s="4" t="str">
        <f aca="false">Base_Bruta!P1860</f>
        <v>vendas_MG.csv</v>
      </c>
    </row>
    <row r="1861" customFormat="false" ht="15" hidden="false" customHeight="false" outlineLevel="0" collapsed="false">
      <c r="A1861" s="4" t="str">
        <f aca="false">IF(Base_Bruta!A1861="","",Base_Bruta!A1861)</f>
        <v>MG-000473</v>
      </c>
      <c r="B1861" s="5" t="n">
        <f aca="false">IF($A1861="","",IF(ISNUMBER(Base_Bruta!B1861),Base_Bruta!B1861,IF(MID(Base_Bruta!B1861,5,1)="-",DATE(VALUE(LEFT(Base_Bruta!B1861,4)),VALUE(MID(Base_Bruta!B1861,6,2)),VALUE(RIGHT(Base_Bruta!B1861,2))),DATE(VALUE(RIGHT(Base_Bruta!B1861,4)),VALUE(MID(Base_Bruta!B1861,4,2)),VALUE(LEFT(Base_Bruta!B1861,2))))))</f>
        <v>45948</v>
      </c>
      <c r="C1861" s="5" t="n">
        <f aca="false">IF($A1861="","",IF(ISNUMBER(Base_Bruta!C1861),Base_Bruta!C1861,IF(MID(Base_Bruta!C1861,5,1)="-",DATE(VALUE(LEFT(Base_Bruta!C1861,4)),VALUE(MID(Base_Bruta!C1861,6,2)),VALUE(RIGHT(Base_Bruta!C1861,2))),DATE(VALUE(RIGHT(Base_Bruta!C1861,4)),VALUE(MID(Base_Bruta!C1861,4,2)),VALUE(LEFT(Base_Bruta!C1861,2))))))</f>
        <v>45950</v>
      </c>
      <c r="D1861" s="4" t="str">
        <f aca="false">IF($A1861="","",TRIM(Base_Bruta!D1861))</f>
        <v>Cinema Savassi - Sessões</v>
      </c>
      <c r="E1861" s="4" t="str">
        <f aca="false">IF($A1861="","",_xlfn.XLOOKUP(LOWER(TRIM(Base_Bruta!E1861)),DePara_Categoria!$A$2:$A$9,DePara_Categoria!$B$2:$B$9,"REVISAR"))</f>
        <v>Cinema</v>
      </c>
      <c r="F1861" s="4" t="str">
        <f aca="false">IF($A1861="","",_xlfn.XLOOKUP(LOWER(TRIM(Base_Bruta!F1861)),DePara_Cidade!$A$2:$A$29,DePara_Cidade!$B$2:$B$29,"REVISAR"))</f>
        <v>Belo Horizonte</v>
      </c>
      <c r="G1861" s="4" t="str">
        <f aca="false">IF($A1861="","",TRIM(Base_Bruta!G1861))</f>
        <v>Meia</v>
      </c>
      <c r="H1861" s="4" t="n">
        <f aca="false">IF($A1861="","",IF(ISNUMBER(Base_Bruta!H1861),Base_Bruta!H1861,IFERROR(_xlfn.NUMBERVALUE(TRIM(SUBSTITUTE(Base_Bruta!H1861,"R$","")),",","."),0)))</f>
        <v>0</v>
      </c>
      <c r="I1861" s="6" t="n">
        <f aca="false">IF($A1861="","",IF(ISNUMBER(Base_Bruta!I1861),Base_Bruta!I1861,IFERROR(_xlfn.NUMBERVALUE(TRIM(SUBSTITUTE(Base_Bruta!I1861,"R$","")),",","."),0)))</f>
        <v>22.5</v>
      </c>
      <c r="J1861" s="6" t="n">
        <f aca="false">IF($A1861="","",H1861*I1861)</f>
        <v>0</v>
      </c>
      <c r="K1861" s="4" t="str">
        <f aca="false">IF($A1861="","",TRIM(Base_Bruta!J1861))</f>
        <v>Bilheteria</v>
      </c>
      <c r="L1861" s="4" t="str">
        <f aca="false">IF($A1861="","",TRIM(Base_Bruta!K1861))</f>
        <v>C00108</v>
      </c>
      <c r="M1861" s="4" t="str">
        <f aca="false">IF($A1861="","",_xlfn.XLOOKUP(LOWER(TRIM(Base_Bruta!L1861)),DePara_Cidade!$A$2:$A$29,DePara_Cidade!$B$2:$B$29,"REVISAR"))</f>
        <v>Belo Horizonte</v>
      </c>
      <c r="N1861" s="4" t="str">
        <f aca="false">IF($A1861="","",UPPER(TRIM(Base_Bruta!M1861)))</f>
        <v>MG</v>
      </c>
      <c r="O1861" s="4" t="str">
        <f aca="false">IF($A1861="","",_xlfn.XLOOKUP(LOWER(TRIM(Base_Bruta!N1861)),DePara_Pais!$A$2:$A$9,DePara_Pais!$B$2:$B$9,"REVISAR"))</f>
        <v>Brasil</v>
      </c>
      <c r="P1861" s="4" t="str">
        <f aca="false">IF($A1861="","",IF(O1861&lt;&gt;"Brasil","Turista Internacional",IF(M1861=F1861,"Local","Turista Nacional")))</f>
        <v>Local</v>
      </c>
      <c r="Q1861" s="7" t="n">
        <f aca="false">IF($A1861="","",DATE(YEAR(B1861),MONTH(B1861),1))</f>
        <v>45931</v>
      </c>
      <c r="R1861" s="4" t="str">
        <f aca="false">IF($A1861="","",IF(COUNTIF($A$2:$A1861,$A1861)&gt;1,"Sim","Não"))</f>
        <v>Não</v>
      </c>
      <c r="S1861" s="4" t="str">
        <f aca="false">IF(A1861="","Descartar - Linha vazia",IF(R1861="Sim","Descartar - Duplicado",IF(OR(H1861&lt;=0,I1861&lt;=0),"Descartar - Qtd/Valor inválido","OK")))</f>
        <v>Descartar - Qtd/Valor inválido</v>
      </c>
      <c r="T1861" s="4" t="str">
        <f aca="false">Base_Bruta!P1861</f>
        <v>vendas_MG.csv</v>
      </c>
    </row>
    <row r="1862" customFormat="false" ht="15" hidden="false" customHeight="false" outlineLevel="0" collapsed="false">
      <c r="A1862" s="4" t="str">
        <f aca="false">IF(Base_Bruta!A1862="","",Base_Bruta!A1862)</f>
        <v>MG-000396</v>
      </c>
      <c r="B1862" s="5" t="n">
        <f aca="false">IF($A1862="","",IF(ISNUMBER(Base_Bruta!B1862),Base_Bruta!B1862,IF(MID(Base_Bruta!B1862,5,1)="-",DATE(VALUE(LEFT(Base_Bruta!B1862,4)),VALUE(MID(Base_Bruta!B1862,6,2)),VALUE(RIGHT(Base_Bruta!B1862,2))),DATE(VALUE(RIGHT(Base_Bruta!B1862,4)),VALUE(MID(Base_Bruta!B1862,4,2)),VALUE(LEFT(Base_Bruta!B1862,2))))))</f>
        <v>45951</v>
      </c>
      <c r="C1862" s="5" t="n">
        <f aca="false">IF($A1862="","",IF(ISNUMBER(Base_Bruta!C1862),Base_Bruta!C1862,IF(MID(Base_Bruta!C1862,5,1)="-",DATE(VALUE(LEFT(Base_Bruta!C1862,4)),VALUE(MID(Base_Bruta!C1862,6,2)),VALUE(RIGHT(Base_Bruta!C1862,2))),DATE(VALUE(RIGHT(Base_Bruta!C1862,4)),VALUE(MID(Base_Bruta!C1862,4,2)),VALUE(LEFT(Base_Bruta!C1862,2))))))</f>
        <v>45951</v>
      </c>
      <c r="D1862" s="4" t="str">
        <f aca="false">IF($A1862="","",TRIM(Base_Bruta!D1862))</f>
        <v>Cinema Savassi - Sessões</v>
      </c>
      <c r="E1862" s="4" t="str">
        <f aca="false">IF($A1862="","",_xlfn.XLOOKUP(LOWER(TRIM(Base_Bruta!E1862)),DePara_Categoria!$A$2:$A$9,DePara_Categoria!$B$2:$B$9,"REVISAR"))</f>
        <v>Cinema</v>
      </c>
      <c r="F1862" s="4" t="str">
        <f aca="false">IF($A1862="","",_xlfn.XLOOKUP(LOWER(TRIM(Base_Bruta!F1862)),DePara_Cidade!$A$2:$A$29,DePara_Cidade!$B$2:$B$29,"REVISAR"))</f>
        <v>Belo Horizonte</v>
      </c>
      <c r="G1862" s="4" t="str">
        <f aca="false">IF($A1862="","",TRIM(Base_Bruta!G1862))</f>
        <v>Inteira</v>
      </c>
      <c r="H1862" s="4" t="n">
        <f aca="false">IF($A1862="","",IF(ISNUMBER(Base_Bruta!H1862),Base_Bruta!H1862,IFERROR(_xlfn.NUMBERVALUE(TRIM(SUBSTITUTE(Base_Bruta!H1862,"R$","")),",","."),0)))</f>
        <v>1</v>
      </c>
      <c r="I1862" s="6" t="n">
        <f aca="false">IF($A1862="","",IF(ISNUMBER(Base_Bruta!I1862),Base_Bruta!I1862,IFERROR(_xlfn.NUMBERVALUE(TRIM(SUBSTITUTE(Base_Bruta!I1862,"R$","")),",","."),0)))</f>
        <v>50</v>
      </c>
      <c r="J1862" s="6" t="n">
        <f aca="false">IF($A1862="","",H1862*I1862)</f>
        <v>50</v>
      </c>
      <c r="K1862" s="4" t="str">
        <f aca="false">IF($A1862="","",TRIM(Base_Bruta!J1862))</f>
        <v>Site</v>
      </c>
      <c r="L1862" s="4" t="str">
        <f aca="false">IF($A1862="","",TRIM(Base_Bruta!K1862))</f>
        <v>C02279</v>
      </c>
      <c r="M1862" s="4" t="str">
        <f aca="false">IF($A1862="","",_xlfn.XLOOKUP(LOWER(TRIM(Base_Bruta!L1862)),DePara_Cidade!$A$2:$A$29,DePara_Cidade!$B$2:$B$29,"REVISAR"))</f>
        <v>Belo Horizonte</v>
      </c>
      <c r="N1862" s="4" t="str">
        <f aca="false">IF($A1862="","",UPPER(TRIM(Base_Bruta!M1862)))</f>
        <v>MG</v>
      </c>
      <c r="O1862" s="4" t="str">
        <f aca="false">IF($A1862="","",_xlfn.XLOOKUP(LOWER(TRIM(Base_Bruta!N1862)),DePara_Pais!$A$2:$A$9,DePara_Pais!$B$2:$B$9,"REVISAR"))</f>
        <v>Brasil</v>
      </c>
      <c r="P1862" s="4" t="str">
        <f aca="false">IF($A1862="","",IF(O1862&lt;&gt;"Brasil","Turista Internacional",IF(M1862=F1862,"Local","Turista Nacional")))</f>
        <v>Local</v>
      </c>
      <c r="Q1862" s="7" t="n">
        <f aca="false">IF($A1862="","",DATE(YEAR(B1862),MONTH(B1862),1))</f>
        <v>45931</v>
      </c>
      <c r="R1862" s="4" t="str">
        <f aca="false">IF($A1862="","",IF(COUNTIF($A$2:$A1862,$A1862)&gt;1,"Sim","Não"))</f>
        <v>Não</v>
      </c>
      <c r="S1862" s="4" t="str">
        <f aca="false">IF(A1862="","Descartar - Linha vazia",IF(R1862="Sim","Descartar - Duplicado",IF(OR(H1862&lt;=0,I1862&lt;=0),"Descartar - Qtd/Valor inválido","OK")))</f>
        <v>OK</v>
      </c>
      <c r="T1862" s="4" t="str">
        <f aca="false">Base_Bruta!P1862</f>
        <v>vendas_MG.csv</v>
      </c>
    </row>
    <row r="1863" customFormat="false" ht="15" hidden="false" customHeight="false" outlineLevel="0" collapsed="false">
      <c r="A1863" s="4" t="str">
        <f aca="false">IF(Base_Bruta!A1863="","",Base_Bruta!A1863)</f>
        <v>MG-000443</v>
      </c>
      <c r="B1863" s="5" t="n">
        <f aca="false">IF($A1863="","",IF(ISNUMBER(Base_Bruta!B1863),Base_Bruta!B1863,IF(MID(Base_Bruta!B1863,5,1)="-",DATE(VALUE(LEFT(Base_Bruta!B1863,4)),VALUE(MID(Base_Bruta!B1863,6,2)),VALUE(RIGHT(Base_Bruta!B1863,2))),DATE(VALUE(RIGHT(Base_Bruta!B1863,4)),VALUE(MID(Base_Bruta!B1863,4,2)),VALUE(LEFT(Base_Bruta!B1863,2))))))</f>
        <v>45952</v>
      </c>
      <c r="C1863" s="5" t="n">
        <f aca="false">IF($A1863="","",IF(ISNUMBER(Base_Bruta!C1863),Base_Bruta!C1863,IF(MID(Base_Bruta!C1863,5,1)="-",DATE(VALUE(LEFT(Base_Bruta!C1863,4)),VALUE(MID(Base_Bruta!C1863,6,2)),VALUE(RIGHT(Base_Bruta!C1863,2))),DATE(VALUE(RIGHT(Base_Bruta!C1863,4)),VALUE(MID(Base_Bruta!C1863,4,2)),VALUE(LEFT(Base_Bruta!C1863,2))))))</f>
        <v>45953</v>
      </c>
      <c r="D1863" s="4" t="str">
        <f aca="false">IF($A1863="","",TRIM(Base_Bruta!D1863))</f>
        <v>Cinema Savassi - Sessões</v>
      </c>
      <c r="E1863" s="4" t="str">
        <f aca="false">IF($A1863="","",_xlfn.XLOOKUP(LOWER(TRIM(Base_Bruta!E1863)),DePara_Categoria!$A$2:$A$9,DePara_Categoria!$B$2:$B$9,"REVISAR"))</f>
        <v>Cinema</v>
      </c>
      <c r="F1863" s="4" t="str">
        <f aca="false">IF($A1863="","",_xlfn.XLOOKUP(LOWER(TRIM(Base_Bruta!F1863)),DePara_Cidade!$A$2:$A$29,DePara_Cidade!$B$2:$B$29,"REVISAR"))</f>
        <v>Belo Horizonte</v>
      </c>
      <c r="G1863" s="4" t="str">
        <f aca="false">IF($A1863="","",TRIM(Base_Bruta!G1863))</f>
        <v>Inteira</v>
      </c>
      <c r="H1863" s="4" t="n">
        <f aca="false">IF($A1863="","",IF(ISNUMBER(Base_Bruta!H1863),Base_Bruta!H1863,IFERROR(_xlfn.NUMBERVALUE(TRIM(SUBSTITUTE(Base_Bruta!H1863,"R$","")),",","."),0)))</f>
        <v>4</v>
      </c>
      <c r="I1863" s="6" t="n">
        <f aca="false">IF($A1863="","",IF(ISNUMBER(Base_Bruta!I1863),Base_Bruta!I1863,IFERROR(_xlfn.NUMBERVALUE(TRIM(SUBSTITUTE(Base_Bruta!I1863,"R$","")),",","."),0)))</f>
        <v>45</v>
      </c>
      <c r="J1863" s="6" t="n">
        <f aca="false">IF($A1863="","",H1863*I1863)</f>
        <v>180</v>
      </c>
      <c r="K1863" s="4" t="str">
        <f aca="false">IF($A1863="","",TRIM(Base_Bruta!J1863))</f>
        <v>App</v>
      </c>
      <c r="L1863" s="4" t="str">
        <f aca="false">IF($A1863="","",TRIM(Base_Bruta!K1863))</f>
        <v>C01539</v>
      </c>
      <c r="M1863" s="4" t="str">
        <f aca="false">IF($A1863="","",_xlfn.XLOOKUP(LOWER(TRIM(Base_Bruta!L1863)),DePara_Cidade!$A$2:$A$29,DePara_Cidade!$B$2:$B$29,"REVISAR"))</f>
        <v>Belo Horizonte</v>
      </c>
      <c r="N1863" s="4" t="str">
        <f aca="false">IF($A1863="","",UPPER(TRIM(Base_Bruta!M1863)))</f>
        <v>MG</v>
      </c>
      <c r="O1863" s="4" t="str">
        <f aca="false">IF($A1863="","",_xlfn.XLOOKUP(LOWER(TRIM(Base_Bruta!N1863)),DePara_Pais!$A$2:$A$9,DePara_Pais!$B$2:$B$9,"REVISAR"))</f>
        <v>Brasil</v>
      </c>
      <c r="P1863" s="4" t="str">
        <f aca="false">IF($A1863="","",IF(O1863&lt;&gt;"Brasil","Turista Internacional",IF(M1863=F1863,"Local","Turista Nacional")))</f>
        <v>Local</v>
      </c>
      <c r="Q1863" s="7" t="n">
        <f aca="false">IF($A1863="","",DATE(YEAR(B1863),MONTH(B1863),1))</f>
        <v>45931</v>
      </c>
      <c r="R1863" s="4" t="str">
        <f aca="false">IF($A1863="","",IF(COUNTIF($A$2:$A1863,$A1863)&gt;1,"Sim","Não"))</f>
        <v>Não</v>
      </c>
      <c r="S1863" s="4" t="str">
        <f aca="false">IF(A1863="","Descartar - Linha vazia",IF(R1863="Sim","Descartar - Duplicado",IF(OR(H1863&lt;=0,I1863&lt;=0),"Descartar - Qtd/Valor inválido","OK")))</f>
        <v>OK</v>
      </c>
      <c r="T1863" s="4" t="str">
        <f aca="false">Base_Bruta!P1863</f>
        <v>vendas_MG.csv</v>
      </c>
    </row>
    <row r="1864" customFormat="false" ht="15" hidden="false" customHeight="false" outlineLevel="0" collapsed="false">
      <c r="A1864" s="4" t="str">
        <f aca="false">IF(Base_Bruta!A1864="","",Base_Bruta!A1864)</f>
        <v>MG-000529</v>
      </c>
      <c r="B1864" s="5" t="n">
        <f aca="false">IF($A1864="","",IF(ISNUMBER(Base_Bruta!B1864),Base_Bruta!B1864,IF(MID(Base_Bruta!B1864,5,1)="-",DATE(VALUE(LEFT(Base_Bruta!B1864,4)),VALUE(MID(Base_Bruta!B1864,6,2)),VALUE(RIGHT(Base_Bruta!B1864,2))),DATE(VALUE(RIGHT(Base_Bruta!B1864,4)),VALUE(MID(Base_Bruta!B1864,4,2)),VALUE(LEFT(Base_Bruta!B1864,2))))))</f>
        <v>45960</v>
      </c>
      <c r="C1864" s="5" t="n">
        <f aca="false">IF($A1864="","",IF(ISNUMBER(Base_Bruta!C1864),Base_Bruta!C1864,IF(MID(Base_Bruta!C1864,5,1)="-",DATE(VALUE(LEFT(Base_Bruta!C1864,4)),VALUE(MID(Base_Bruta!C1864,6,2)),VALUE(RIGHT(Base_Bruta!C1864,2))),DATE(VALUE(RIGHT(Base_Bruta!C1864,4)),VALUE(MID(Base_Bruta!C1864,4,2)),VALUE(LEFT(Base_Bruta!C1864,2))))))</f>
        <v>45963</v>
      </c>
      <c r="D1864" s="4" t="str">
        <f aca="false">IF($A1864="","",TRIM(Base_Bruta!D1864))</f>
        <v>Cinema Savassi - Sessões</v>
      </c>
      <c r="E1864" s="4" t="str">
        <f aca="false">IF($A1864="","",_xlfn.XLOOKUP(LOWER(TRIM(Base_Bruta!E1864)),DePara_Categoria!$A$2:$A$9,DePara_Categoria!$B$2:$B$9,"REVISAR"))</f>
        <v>Cinema</v>
      </c>
      <c r="F1864" s="4" t="str">
        <f aca="false">IF($A1864="","",_xlfn.XLOOKUP(LOWER(TRIM(Base_Bruta!F1864)),DePara_Cidade!$A$2:$A$29,DePara_Cidade!$B$2:$B$29,"REVISAR"))</f>
        <v>Belo Horizonte</v>
      </c>
      <c r="G1864" s="4" t="str">
        <f aca="false">IF($A1864="","",TRIM(Base_Bruta!G1864))</f>
        <v>Meia</v>
      </c>
      <c r="H1864" s="4" t="n">
        <f aca="false">IF($A1864="","",IF(ISNUMBER(Base_Bruta!H1864),Base_Bruta!H1864,IFERROR(_xlfn.NUMBERVALUE(TRIM(SUBSTITUTE(Base_Bruta!H1864,"R$","")),",","."),0)))</f>
        <v>1</v>
      </c>
      <c r="I1864" s="6" t="n">
        <f aca="false">IF($A1864="","",IF(ISNUMBER(Base_Bruta!I1864),Base_Bruta!I1864,IFERROR(_xlfn.NUMBERVALUE(TRIM(SUBSTITUTE(Base_Bruta!I1864,"R$","")),",","."),0)))</f>
        <v>22.5</v>
      </c>
      <c r="J1864" s="6" t="n">
        <f aca="false">IF($A1864="","",H1864*I1864)</f>
        <v>22.5</v>
      </c>
      <c r="K1864" s="4" t="str">
        <f aca="false">IF($A1864="","",TRIM(Base_Bruta!J1864))</f>
        <v>App</v>
      </c>
      <c r="L1864" s="4" t="str">
        <f aca="false">IF($A1864="","",TRIM(Base_Bruta!K1864))</f>
        <v>C01584</v>
      </c>
      <c r="M1864" s="4" t="str">
        <f aca="false">IF($A1864="","",_xlfn.XLOOKUP(LOWER(TRIM(Base_Bruta!L1864)),DePara_Cidade!$A$2:$A$29,DePara_Cidade!$B$2:$B$29,"REVISAR"))</f>
        <v>Belo Horizonte</v>
      </c>
      <c r="N1864" s="4" t="str">
        <f aca="false">IF($A1864="","",UPPER(TRIM(Base_Bruta!M1864)))</f>
        <v>MG</v>
      </c>
      <c r="O1864" s="4" t="str">
        <f aca="false">IF($A1864="","",_xlfn.XLOOKUP(LOWER(TRIM(Base_Bruta!N1864)),DePara_Pais!$A$2:$A$9,DePara_Pais!$B$2:$B$9,"REVISAR"))</f>
        <v>Brasil</v>
      </c>
      <c r="P1864" s="4" t="str">
        <f aca="false">IF($A1864="","",IF(O1864&lt;&gt;"Brasil","Turista Internacional",IF(M1864=F1864,"Local","Turista Nacional")))</f>
        <v>Local</v>
      </c>
      <c r="Q1864" s="7" t="n">
        <f aca="false">IF($A1864="","",DATE(YEAR(B1864),MONTH(B1864),1))</f>
        <v>45931</v>
      </c>
      <c r="R1864" s="4" t="str">
        <f aca="false">IF($A1864="","",IF(COUNTIF($A$2:$A1864,$A1864)&gt;1,"Sim","Não"))</f>
        <v>Não</v>
      </c>
      <c r="S1864" s="4" t="str">
        <f aca="false">IF(A1864="","Descartar - Linha vazia",IF(R1864="Sim","Descartar - Duplicado",IF(OR(H1864&lt;=0,I1864&lt;=0),"Descartar - Qtd/Valor inválido","OK")))</f>
        <v>OK</v>
      </c>
      <c r="T1864" s="4" t="str">
        <f aca="false">Base_Bruta!P1864</f>
        <v>vendas_MG.csv</v>
      </c>
    </row>
    <row r="1865" customFormat="false" ht="15" hidden="false" customHeight="false" outlineLevel="0" collapsed="false">
      <c r="A1865" s="4" t="str">
        <f aca="false">IF(Base_Bruta!A1865="","",Base_Bruta!A1865)</f>
        <v>MG-000327</v>
      </c>
      <c r="B1865" s="5" t="n">
        <f aca="false">IF($A1865="","",IF(ISNUMBER(Base_Bruta!B1865),Base_Bruta!B1865,IF(MID(Base_Bruta!B1865,5,1)="-",DATE(VALUE(LEFT(Base_Bruta!B1865,4)),VALUE(MID(Base_Bruta!B1865,6,2)),VALUE(RIGHT(Base_Bruta!B1865,2))),DATE(VALUE(RIGHT(Base_Bruta!B1865,4)),VALUE(MID(Base_Bruta!B1865,4,2)),VALUE(LEFT(Base_Bruta!B1865,2))))))</f>
        <v>45961</v>
      </c>
      <c r="C1865" s="5" t="n">
        <f aca="false">IF($A1865="","",IF(ISNUMBER(Base_Bruta!C1865),Base_Bruta!C1865,IF(MID(Base_Bruta!C1865,5,1)="-",DATE(VALUE(LEFT(Base_Bruta!C1865,4)),VALUE(MID(Base_Bruta!C1865,6,2)),VALUE(RIGHT(Base_Bruta!C1865,2))),DATE(VALUE(RIGHT(Base_Bruta!C1865,4)),VALUE(MID(Base_Bruta!C1865,4,2)),VALUE(LEFT(Base_Bruta!C1865,2))))))</f>
        <v>46081</v>
      </c>
      <c r="D1865" s="4" t="str">
        <f aca="false">IF($A1865="","",TRIM(Base_Bruta!D1865))</f>
        <v>Show Sertanejo - BH</v>
      </c>
      <c r="E1865" s="4" t="str">
        <f aca="false">IF($A1865="","",_xlfn.XLOOKUP(LOWER(TRIM(Base_Bruta!E1865)),DePara_Categoria!$A$2:$A$9,DePara_Categoria!$B$2:$B$9,"REVISAR"))</f>
        <v>Show</v>
      </c>
      <c r="F1865" s="4" t="str">
        <f aca="false">IF($A1865="","",_xlfn.XLOOKUP(LOWER(TRIM(Base_Bruta!F1865)),DePara_Cidade!$A$2:$A$29,DePara_Cidade!$B$2:$B$29,"REVISAR"))</f>
        <v>Belo Horizonte</v>
      </c>
      <c r="G1865" s="4" t="str">
        <f aca="false">IF($A1865="","",TRIM(Base_Bruta!G1865))</f>
        <v>Inteira</v>
      </c>
      <c r="H1865" s="4" t="n">
        <f aca="false">IF($A1865="","",IF(ISNUMBER(Base_Bruta!H1865),Base_Bruta!H1865,IFERROR(_xlfn.NUMBERVALUE(TRIM(SUBSTITUTE(Base_Bruta!H1865,"R$","")),",","."),0)))</f>
        <v>2</v>
      </c>
      <c r="I1865" s="6" t="n">
        <f aca="false">IF($A1865="","",IF(ISNUMBER(Base_Bruta!I1865),Base_Bruta!I1865,IFERROR(_xlfn.NUMBERVALUE(TRIM(SUBSTITUTE(Base_Bruta!I1865,"R$","")),",","."),0)))</f>
        <v>510</v>
      </c>
      <c r="J1865" s="6" t="n">
        <f aca="false">IF($A1865="","",H1865*I1865)</f>
        <v>1020</v>
      </c>
      <c r="K1865" s="4" t="str">
        <f aca="false">IF($A1865="","",TRIM(Base_Bruta!J1865))</f>
        <v>Site</v>
      </c>
      <c r="L1865" s="4" t="str">
        <f aca="false">IF($A1865="","",TRIM(Base_Bruta!K1865))</f>
        <v>C01971</v>
      </c>
      <c r="M1865" s="4" t="str">
        <f aca="false">IF($A1865="","",_xlfn.XLOOKUP(LOWER(TRIM(Base_Bruta!L1865)),DePara_Cidade!$A$2:$A$29,DePara_Cidade!$B$2:$B$29,"REVISAR"))</f>
        <v>Contagem</v>
      </c>
      <c r="N1865" s="4" t="str">
        <f aca="false">IF($A1865="","",UPPER(TRIM(Base_Bruta!M1865)))</f>
        <v>MG</v>
      </c>
      <c r="O1865" s="4" t="str">
        <f aca="false">IF($A1865="","",_xlfn.XLOOKUP(LOWER(TRIM(Base_Bruta!N1865)),DePara_Pais!$A$2:$A$9,DePara_Pais!$B$2:$B$9,"REVISAR"))</f>
        <v>Brasil</v>
      </c>
      <c r="P1865" s="4" t="str">
        <f aca="false">IF($A1865="","",IF(O1865&lt;&gt;"Brasil","Turista Internacional",IF(M1865=F1865,"Local","Turista Nacional")))</f>
        <v>Turista Nacional</v>
      </c>
      <c r="Q1865" s="7" t="n">
        <f aca="false">IF($A1865="","",DATE(YEAR(B1865),MONTH(B1865),1))</f>
        <v>45931</v>
      </c>
      <c r="R1865" s="4" t="str">
        <f aca="false">IF($A1865="","",IF(COUNTIF($A$2:$A1865,$A1865)&gt;1,"Sim","Não"))</f>
        <v>Não</v>
      </c>
      <c r="S1865" s="4" t="str">
        <f aca="false">IF(A1865="","Descartar - Linha vazia",IF(R1865="Sim","Descartar - Duplicado",IF(OR(H1865&lt;=0,I1865&lt;=0),"Descartar - Qtd/Valor inválido","OK")))</f>
        <v>OK</v>
      </c>
      <c r="T1865" s="4" t="str">
        <f aca="false">Base_Bruta!P1865</f>
        <v>vendas_MG.csv</v>
      </c>
    </row>
    <row r="1866" customFormat="false" ht="15" hidden="false" customHeight="false" outlineLevel="0" collapsed="false">
      <c r="A1866" s="4" t="str">
        <f aca="false">IF(Base_Bruta!A1866="","",Base_Bruta!A1866)</f>
        <v>MG-000355</v>
      </c>
      <c r="B1866" s="5" t="n">
        <f aca="false">IF($A1866="","",IF(ISNUMBER(Base_Bruta!B1866),Base_Bruta!B1866,IF(MID(Base_Bruta!B1866,5,1)="-",DATE(VALUE(LEFT(Base_Bruta!B1866,4)),VALUE(MID(Base_Bruta!B1866,6,2)),VALUE(RIGHT(Base_Bruta!B1866,2))),DATE(VALUE(RIGHT(Base_Bruta!B1866,4)),VALUE(MID(Base_Bruta!B1866,4,2)),VALUE(LEFT(Base_Bruta!B1866,2))))))</f>
        <v>45961</v>
      </c>
      <c r="C1866" s="5" t="n">
        <f aca="false">IF($A1866="","",IF(ISNUMBER(Base_Bruta!C1866),Base_Bruta!C1866,IF(MID(Base_Bruta!C1866,5,1)="-",DATE(VALUE(LEFT(Base_Bruta!C1866,4)),VALUE(MID(Base_Bruta!C1866,6,2)),VALUE(RIGHT(Base_Bruta!C1866,2))),DATE(VALUE(RIGHT(Base_Bruta!C1866,4)),VALUE(MID(Base_Bruta!C1866,4,2)),VALUE(LEFT(Base_Bruta!C1866,2))))))</f>
        <v>46081</v>
      </c>
      <c r="D1866" s="4" t="str">
        <f aca="false">IF($A1866="","",TRIM(Base_Bruta!D1866))</f>
        <v>Show Sertanejo - BH</v>
      </c>
      <c r="E1866" s="4" t="str">
        <f aca="false">IF($A1866="","",_xlfn.XLOOKUP(LOWER(TRIM(Base_Bruta!E1866)),DePara_Categoria!$A$2:$A$9,DePara_Categoria!$B$2:$B$9,"REVISAR"))</f>
        <v>Show</v>
      </c>
      <c r="F1866" s="4" t="str">
        <f aca="false">IF($A1866="","",_xlfn.XLOOKUP(LOWER(TRIM(Base_Bruta!F1866)),DePara_Cidade!$A$2:$A$29,DePara_Cidade!$B$2:$B$29,"REVISAR"))</f>
        <v>Belo Horizonte</v>
      </c>
      <c r="G1866" s="4" t="str">
        <f aca="false">IF($A1866="","",TRIM(Base_Bruta!G1866))</f>
        <v>Meia</v>
      </c>
      <c r="H1866" s="4" t="n">
        <f aca="false">IF($A1866="","",IF(ISNUMBER(Base_Bruta!H1866),Base_Bruta!H1866,IFERROR(_xlfn.NUMBERVALUE(TRIM(SUBSTITUTE(Base_Bruta!H1866,"R$","")),",","."),0)))</f>
        <v>1</v>
      </c>
      <c r="I1866" s="6" t="n">
        <f aca="false">IF($A1866="","",IF(ISNUMBER(Base_Bruta!I1866),Base_Bruta!I1866,IFERROR(_xlfn.NUMBERVALUE(TRIM(SUBSTITUTE(Base_Bruta!I1866,"R$","")),",","."),0)))</f>
        <v>317.5</v>
      </c>
      <c r="J1866" s="6" t="n">
        <f aca="false">IF($A1866="","",H1866*I1866)</f>
        <v>317.5</v>
      </c>
      <c r="K1866" s="4" t="str">
        <f aca="false">IF($A1866="","",TRIM(Base_Bruta!J1866))</f>
        <v>App</v>
      </c>
      <c r="L1866" s="4" t="str">
        <f aca="false">IF($A1866="","",TRIM(Base_Bruta!K1866))</f>
        <v>C00819</v>
      </c>
      <c r="M1866" s="4" t="str">
        <f aca="false">IF($A1866="","",_xlfn.XLOOKUP(LOWER(TRIM(Base_Bruta!L1866)),DePara_Cidade!$A$2:$A$29,DePara_Cidade!$B$2:$B$29,"REVISAR"))</f>
        <v>Belo Horizonte</v>
      </c>
      <c r="N1866" s="4" t="str">
        <f aca="false">IF($A1866="","",UPPER(TRIM(Base_Bruta!M1866)))</f>
        <v>MG</v>
      </c>
      <c r="O1866" s="4" t="str">
        <f aca="false">IF($A1866="","",_xlfn.XLOOKUP(LOWER(TRIM(Base_Bruta!N1866)),DePara_Pais!$A$2:$A$9,DePara_Pais!$B$2:$B$9,"REVISAR"))</f>
        <v>Brasil</v>
      </c>
      <c r="P1866" s="4" t="str">
        <f aca="false">IF($A1866="","",IF(O1866&lt;&gt;"Brasil","Turista Internacional",IF(M1866=F1866,"Local","Turista Nacional")))</f>
        <v>Local</v>
      </c>
      <c r="Q1866" s="7" t="n">
        <f aca="false">IF($A1866="","",DATE(YEAR(B1866),MONTH(B1866),1))</f>
        <v>45931</v>
      </c>
      <c r="R1866" s="4" t="str">
        <f aca="false">IF($A1866="","",IF(COUNTIF($A$2:$A1866,$A1866)&gt;1,"Sim","Não"))</f>
        <v>Não</v>
      </c>
      <c r="S1866" s="4" t="str">
        <f aca="false">IF(A1866="","Descartar - Linha vazia",IF(R1866="Sim","Descartar - Duplicado",IF(OR(H1866&lt;=0,I1866&lt;=0),"Descartar - Qtd/Valor inválido","OK")))</f>
        <v>OK</v>
      </c>
      <c r="T1866" s="4" t="str">
        <f aca="false">Base_Bruta!P1866</f>
        <v>vendas_MG.csv</v>
      </c>
    </row>
    <row r="1867" customFormat="false" ht="15" hidden="false" customHeight="false" outlineLevel="0" collapsed="false">
      <c r="A1867" s="4" t="str">
        <f aca="false">IF(Base_Bruta!A1867="","",Base_Bruta!A1867)</f>
        <v>MG-000292</v>
      </c>
      <c r="B1867" s="5" t="n">
        <f aca="false">IF($A1867="","",IF(ISNUMBER(Base_Bruta!B1867),Base_Bruta!B1867,IF(MID(Base_Bruta!B1867,5,1)="-",DATE(VALUE(LEFT(Base_Bruta!B1867,4)),VALUE(MID(Base_Bruta!B1867,6,2)),VALUE(RIGHT(Base_Bruta!B1867,2))),DATE(VALUE(RIGHT(Base_Bruta!B1867,4)),VALUE(MID(Base_Bruta!B1867,4,2)),VALUE(LEFT(Base_Bruta!B1867,2))))))</f>
        <v>45962</v>
      </c>
      <c r="C1867" s="5" t="n">
        <f aca="false">IF($A1867="","",IF(ISNUMBER(Base_Bruta!C1867),Base_Bruta!C1867,IF(MID(Base_Bruta!C1867,5,1)="-",DATE(VALUE(LEFT(Base_Bruta!C1867,4)),VALUE(MID(Base_Bruta!C1867,6,2)),VALUE(RIGHT(Base_Bruta!C1867,2))),DATE(VALUE(RIGHT(Base_Bruta!C1867,4)),VALUE(MID(Base_Bruta!C1867,4,2)),VALUE(LEFT(Base_Bruta!C1867,2))))))</f>
        <v>46081</v>
      </c>
      <c r="D1867" s="4" t="str">
        <f aca="false">IF($A1867="","",TRIM(Base_Bruta!D1867))</f>
        <v>Show Sertanejo - BH</v>
      </c>
      <c r="E1867" s="4" t="str">
        <f aca="false">IF($A1867="","",_xlfn.XLOOKUP(LOWER(TRIM(Base_Bruta!E1867)),DePara_Categoria!$A$2:$A$9,DePara_Categoria!$B$2:$B$9,"REVISAR"))</f>
        <v>Show</v>
      </c>
      <c r="F1867" s="4" t="str">
        <f aca="false">IF($A1867="","",_xlfn.XLOOKUP(LOWER(TRIM(Base_Bruta!F1867)),DePara_Cidade!$A$2:$A$29,DePara_Cidade!$B$2:$B$29,"REVISAR"))</f>
        <v>Belo Horizonte</v>
      </c>
      <c r="G1867" s="4" t="str">
        <f aca="false">IF($A1867="","",TRIM(Base_Bruta!G1867))</f>
        <v>Inteira</v>
      </c>
      <c r="H1867" s="4" t="n">
        <f aca="false">IF($A1867="","",IF(ISNUMBER(Base_Bruta!H1867),Base_Bruta!H1867,IFERROR(_xlfn.NUMBERVALUE(TRIM(SUBSTITUTE(Base_Bruta!H1867,"R$","")),",","."),0)))</f>
        <v>1</v>
      </c>
      <c r="I1867" s="6" t="n">
        <f aca="false">IF($A1867="","",IF(ISNUMBER(Base_Bruta!I1867),Base_Bruta!I1867,IFERROR(_xlfn.NUMBERVALUE(TRIM(SUBSTITUTE(Base_Bruta!I1867,"R$","")),",","."),0)))</f>
        <v>505</v>
      </c>
      <c r="J1867" s="6" t="n">
        <f aca="false">IF($A1867="","",H1867*I1867)</f>
        <v>505</v>
      </c>
      <c r="K1867" s="4" t="str">
        <f aca="false">IF($A1867="","",TRIM(Base_Bruta!J1867))</f>
        <v>App</v>
      </c>
      <c r="L1867" s="4" t="str">
        <f aca="false">IF($A1867="","",TRIM(Base_Bruta!K1867))</f>
        <v>C00004</v>
      </c>
      <c r="M1867" s="4" t="str">
        <f aca="false">IF($A1867="","",_xlfn.XLOOKUP(LOWER(TRIM(Base_Bruta!L1867)),DePara_Cidade!$A$2:$A$29,DePara_Cidade!$B$2:$B$29,"REVISAR"))</f>
        <v>Belo Horizonte</v>
      </c>
      <c r="N1867" s="4" t="str">
        <f aca="false">IF($A1867="","",UPPER(TRIM(Base_Bruta!M1867)))</f>
        <v>MG</v>
      </c>
      <c r="O1867" s="4" t="str">
        <f aca="false">IF($A1867="","",_xlfn.XLOOKUP(LOWER(TRIM(Base_Bruta!N1867)),DePara_Pais!$A$2:$A$9,DePara_Pais!$B$2:$B$9,"REVISAR"))</f>
        <v>Brasil</v>
      </c>
      <c r="P1867" s="4" t="str">
        <f aca="false">IF($A1867="","",IF(O1867&lt;&gt;"Brasil","Turista Internacional",IF(M1867=F1867,"Local","Turista Nacional")))</f>
        <v>Local</v>
      </c>
      <c r="Q1867" s="7" t="n">
        <f aca="false">IF($A1867="","",DATE(YEAR(B1867),MONTH(B1867),1))</f>
        <v>45962</v>
      </c>
      <c r="R1867" s="4" t="str">
        <f aca="false">IF($A1867="","",IF(COUNTIF($A$2:$A1867,$A1867)&gt;1,"Sim","Não"))</f>
        <v>Não</v>
      </c>
      <c r="S1867" s="4" t="str">
        <f aca="false">IF(A1867="","Descartar - Linha vazia",IF(R1867="Sim","Descartar - Duplicado",IF(OR(H1867&lt;=0,I1867&lt;=0),"Descartar - Qtd/Valor inválido","OK")))</f>
        <v>OK</v>
      </c>
      <c r="T1867" s="4" t="str">
        <f aca="false">Base_Bruta!P1867</f>
        <v>vendas_MG.csv</v>
      </c>
    </row>
    <row r="1868" customFormat="false" ht="15" hidden="false" customHeight="false" outlineLevel="0" collapsed="false">
      <c r="A1868" s="4" t="str">
        <f aca="false">IF(Base_Bruta!A1868="","",Base_Bruta!A1868)</f>
        <v>MG-000342</v>
      </c>
      <c r="B1868" s="5" t="n">
        <f aca="false">IF($A1868="","",IF(ISNUMBER(Base_Bruta!B1868),Base_Bruta!B1868,IF(MID(Base_Bruta!B1868,5,1)="-",DATE(VALUE(LEFT(Base_Bruta!B1868,4)),VALUE(MID(Base_Bruta!B1868,6,2)),VALUE(RIGHT(Base_Bruta!B1868,2))),DATE(VALUE(RIGHT(Base_Bruta!B1868,4)),VALUE(MID(Base_Bruta!B1868,4,2)),VALUE(LEFT(Base_Bruta!B1868,2))))))</f>
        <v>45962</v>
      </c>
      <c r="C1868" s="5" t="n">
        <f aca="false">IF($A1868="","",IF(ISNUMBER(Base_Bruta!C1868),Base_Bruta!C1868,IF(MID(Base_Bruta!C1868,5,1)="-",DATE(VALUE(LEFT(Base_Bruta!C1868,4)),VALUE(MID(Base_Bruta!C1868,6,2)),VALUE(RIGHT(Base_Bruta!C1868,2))),DATE(VALUE(RIGHT(Base_Bruta!C1868,4)),VALUE(MID(Base_Bruta!C1868,4,2)),VALUE(LEFT(Base_Bruta!C1868,2))))))</f>
        <v>46081</v>
      </c>
      <c r="D1868" s="4" t="str">
        <f aca="false">IF($A1868="","",TRIM(Base_Bruta!D1868))</f>
        <v>Show Sertanejo - BH</v>
      </c>
      <c r="E1868" s="4" t="str">
        <f aca="false">IF($A1868="","",_xlfn.XLOOKUP(LOWER(TRIM(Base_Bruta!E1868)),DePara_Categoria!$A$2:$A$9,DePara_Categoria!$B$2:$B$9,"REVISAR"))</f>
        <v>Show</v>
      </c>
      <c r="F1868" s="4" t="str">
        <f aca="false">IF($A1868="","",_xlfn.XLOOKUP(LOWER(TRIM(Base_Bruta!F1868)),DePara_Cidade!$A$2:$A$29,DePara_Cidade!$B$2:$B$29,"REVISAR"))</f>
        <v>Belo Horizonte</v>
      </c>
      <c r="G1868" s="4" t="str">
        <f aca="false">IF($A1868="","",TRIM(Base_Bruta!G1868))</f>
        <v>Inteira</v>
      </c>
      <c r="H1868" s="4" t="n">
        <f aca="false">IF($A1868="","",IF(ISNUMBER(Base_Bruta!H1868),Base_Bruta!H1868,IFERROR(_xlfn.NUMBERVALUE(TRIM(SUBSTITUTE(Base_Bruta!H1868,"R$","")),",","."),0)))</f>
        <v>3</v>
      </c>
      <c r="I1868" s="6" t="n">
        <f aca="false">IF($A1868="","",IF(ISNUMBER(Base_Bruta!I1868),Base_Bruta!I1868,IFERROR(_xlfn.NUMBERVALUE(TRIM(SUBSTITUTE(Base_Bruta!I1868,"R$","")),",","."),0)))</f>
        <v>720</v>
      </c>
      <c r="J1868" s="6" t="n">
        <f aca="false">IF($A1868="","",H1868*I1868)</f>
        <v>2160</v>
      </c>
      <c r="K1868" s="4" t="str">
        <f aca="false">IF($A1868="","",TRIM(Base_Bruta!J1868))</f>
        <v>Site</v>
      </c>
      <c r="L1868" s="4" t="str">
        <f aca="false">IF($A1868="","",TRIM(Base_Bruta!K1868))</f>
        <v>C00570</v>
      </c>
      <c r="M1868" s="4" t="str">
        <f aca="false">IF($A1868="","",_xlfn.XLOOKUP(LOWER(TRIM(Base_Bruta!L1868)),DePara_Cidade!$A$2:$A$29,DePara_Cidade!$B$2:$B$29,"REVISAR"))</f>
        <v>Belo Horizonte</v>
      </c>
      <c r="N1868" s="4" t="str">
        <f aca="false">IF($A1868="","",UPPER(TRIM(Base_Bruta!M1868)))</f>
        <v>MG</v>
      </c>
      <c r="O1868" s="4" t="str">
        <f aca="false">IF($A1868="","",_xlfn.XLOOKUP(LOWER(TRIM(Base_Bruta!N1868)),DePara_Pais!$A$2:$A$9,DePara_Pais!$B$2:$B$9,"REVISAR"))</f>
        <v>Brasil</v>
      </c>
      <c r="P1868" s="4" t="str">
        <f aca="false">IF($A1868="","",IF(O1868&lt;&gt;"Brasil","Turista Internacional",IF(M1868=F1868,"Local","Turista Nacional")))</f>
        <v>Local</v>
      </c>
      <c r="Q1868" s="7" t="n">
        <f aca="false">IF($A1868="","",DATE(YEAR(B1868),MONTH(B1868),1))</f>
        <v>45962</v>
      </c>
      <c r="R1868" s="4" t="str">
        <f aca="false">IF($A1868="","",IF(COUNTIF($A$2:$A1868,$A1868)&gt;1,"Sim","Não"))</f>
        <v>Não</v>
      </c>
      <c r="S1868" s="4" t="str">
        <f aca="false">IF(A1868="","Descartar - Linha vazia",IF(R1868="Sim","Descartar - Duplicado",IF(OR(H1868&lt;=0,I1868&lt;=0),"Descartar - Qtd/Valor inválido","OK")))</f>
        <v>OK</v>
      </c>
      <c r="T1868" s="4" t="str">
        <f aca="false">Base_Bruta!P1868</f>
        <v>vendas_MG.csv</v>
      </c>
    </row>
    <row r="1869" customFormat="false" ht="15" hidden="false" customHeight="false" outlineLevel="0" collapsed="false">
      <c r="A1869" s="4" t="str">
        <f aca="false">IF(Base_Bruta!A1869="","",Base_Bruta!A1869)</f>
        <v>MG-000284</v>
      </c>
      <c r="B1869" s="5" t="n">
        <f aca="false">IF($A1869="","",IF(ISNUMBER(Base_Bruta!B1869),Base_Bruta!B1869,IF(MID(Base_Bruta!B1869,5,1)="-",DATE(VALUE(LEFT(Base_Bruta!B1869,4)),VALUE(MID(Base_Bruta!B1869,6,2)),VALUE(RIGHT(Base_Bruta!B1869,2))),DATE(VALUE(RIGHT(Base_Bruta!B1869,4)),VALUE(MID(Base_Bruta!B1869,4,2)),VALUE(LEFT(Base_Bruta!B1869,2))))))</f>
        <v>45963</v>
      </c>
      <c r="C1869" s="5" t="n">
        <f aca="false">IF($A1869="","",IF(ISNUMBER(Base_Bruta!C1869),Base_Bruta!C1869,IF(MID(Base_Bruta!C1869,5,1)="-",DATE(VALUE(LEFT(Base_Bruta!C1869,4)),VALUE(MID(Base_Bruta!C1869,6,2)),VALUE(RIGHT(Base_Bruta!C1869,2))),DATE(VALUE(RIGHT(Base_Bruta!C1869,4)),VALUE(MID(Base_Bruta!C1869,4,2)),VALUE(LEFT(Base_Bruta!C1869,2))))))</f>
        <v>46081</v>
      </c>
      <c r="D1869" s="4" t="str">
        <f aca="false">IF($A1869="","",TRIM(Base_Bruta!D1869))</f>
        <v>Show Sertanejo - BH</v>
      </c>
      <c r="E1869" s="4" t="str">
        <f aca="false">IF($A1869="","",_xlfn.XLOOKUP(LOWER(TRIM(Base_Bruta!E1869)),DePara_Categoria!$A$2:$A$9,DePara_Categoria!$B$2:$B$9,"REVISAR"))</f>
        <v>Show</v>
      </c>
      <c r="F1869" s="4" t="str">
        <f aca="false">IF($A1869="","",_xlfn.XLOOKUP(LOWER(TRIM(Base_Bruta!F1869)),DePara_Cidade!$A$2:$A$29,DePara_Cidade!$B$2:$B$29,"REVISAR"))</f>
        <v>Belo Horizonte</v>
      </c>
      <c r="G1869" s="4" t="str">
        <f aca="false">IF($A1869="","",TRIM(Base_Bruta!G1869))</f>
        <v>Inteira</v>
      </c>
      <c r="H1869" s="4" t="n">
        <f aca="false">IF($A1869="","",IF(ISNUMBER(Base_Bruta!H1869),Base_Bruta!H1869,IFERROR(_xlfn.NUMBERVALUE(TRIM(SUBSTITUTE(Base_Bruta!H1869,"R$","")),",","."),0)))</f>
        <v>3</v>
      </c>
      <c r="I1869" s="6" t="n">
        <f aca="false">IF($A1869="","",IF(ISNUMBER(Base_Bruta!I1869),Base_Bruta!I1869,IFERROR(_xlfn.NUMBERVALUE(TRIM(SUBSTITUTE(Base_Bruta!I1869,"R$","")),",","."),0)))</f>
        <v>450</v>
      </c>
      <c r="J1869" s="6" t="n">
        <f aca="false">IF($A1869="","",H1869*I1869)</f>
        <v>1350</v>
      </c>
      <c r="K1869" s="4" t="str">
        <f aca="false">IF($A1869="","",TRIM(Base_Bruta!J1869))</f>
        <v>App</v>
      </c>
      <c r="L1869" s="4" t="str">
        <f aca="false">IF($A1869="","",TRIM(Base_Bruta!K1869))</f>
        <v>C01262</v>
      </c>
      <c r="M1869" s="4" t="str">
        <f aca="false">IF($A1869="","",_xlfn.XLOOKUP(LOWER(TRIM(Base_Bruta!L1869)),DePara_Cidade!$A$2:$A$29,DePara_Cidade!$B$2:$B$29,"REVISAR"))</f>
        <v>Vitória</v>
      </c>
      <c r="N1869" s="4" t="str">
        <f aca="false">IF($A1869="","",UPPER(TRIM(Base_Bruta!M1869)))</f>
        <v>ES</v>
      </c>
      <c r="O1869" s="4" t="str">
        <f aca="false">IF($A1869="","",_xlfn.XLOOKUP(LOWER(TRIM(Base_Bruta!N1869)),DePara_Pais!$A$2:$A$9,DePara_Pais!$B$2:$B$9,"REVISAR"))</f>
        <v>Brasil</v>
      </c>
      <c r="P1869" s="4" t="str">
        <f aca="false">IF($A1869="","",IF(O1869&lt;&gt;"Brasil","Turista Internacional",IF(M1869=F1869,"Local","Turista Nacional")))</f>
        <v>Turista Nacional</v>
      </c>
      <c r="Q1869" s="7" t="n">
        <f aca="false">IF($A1869="","",DATE(YEAR(B1869),MONTH(B1869),1))</f>
        <v>45962</v>
      </c>
      <c r="R1869" s="4" t="str">
        <f aca="false">IF($A1869="","",IF(COUNTIF($A$2:$A1869,$A1869)&gt;1,"Sim","Não"))</f>
        <v>Não</v>
      </c>
      <c r="S1869" s="4" t="str">
        <f aca="false">IF(A1869="","Descartar - Linha vazia",IF(R1869="Sim","Descartar - Duplicado",IF(OR(H1869&lt;=0,I1869&lt;=0),"Descartar - Qtd/Valor inválido","OK")))</f>
        <v>OK</v>
      </c>
      <c r="T1869" s="4" t="str">
        <f aca="false">Base_Bruta!P1869</f>
        <v>vendas_MG.csv</v>
      </c>
    </row>
    <row r="1870" customFormat="false" ht="15" hidden="false" customHeight="false" outlineLevel="0" collapsed="false">
      <c r="A1870" s="4" t="str">
        <f aca="false">IF(Base_Bruta!A1870="","",Base_Bruta!A1870)</f>
        <v>MG-000269</v>
      </c>
      <c r="B1870" s="5" t="n">
        <f aca="false">IF($A1870="","",IF(ISNUMBER(Base_Bruta!B1870),Base_Bruta!B1870,IF(MID(Base_Bruta!B1870,5,1)="-",DATE(VALUE(LEFT(Base_Bruta!B1870,4)),VALUE(MID(Base_Bruta!B1870,6,2)),VALUE(RIGHT(Base_Bruta!B1870,2))),DATE(VALUE(RIGHT(Base_Bruta!B1870,4)),VALUE(MID(Base_Bruta!B1870,4,2)),VALUE(LEFT(Base_Bruta!B1870,2))))))</f>
        <v>45965</v>
      </c>
      <c r="C1870" s="5" t="n">
        <f aca="false">IF($A1870="","",IF(ISNUMBER(Base_Bruta!C1870),Base_Bruta!C1870,IF(MID(Base_Bruta!C1870,5,1)="-",DATE(VALUE(LEFT(Base_Bruta!C1870,4)),VALUE(MID(Base_Bruta!C1870,6,2)),VALUE(RIGHT(Base_Bruta!C1870,2))),DATE(VALUE(RIGHT(Base_Bruta!C1870,4)),VALUE(MID(Base_Bruta!C1870,4,2)),VALUE(LEFT(Base_Bruta!C1870,2))))))</f>
        <v>46081</v>
      </c>
      <c r="D1870" s="4" t="str">
        <f aca="false">IF($A1870="","",TRIM(Base_Bruta!D1870))</f>
        <v>Show Sertanejo - BH</v>
      </c>
      <c r="E1870" s="4" t="str">
        <f aca="false">IF($A1870="","",_xlfn.XLOOKUP(LOWER(TRIM(Base_Bruta!E1870)),DePara_Categoria!$A$2:$A$9,DePara_Categoria!$B$2:$B$9,"REVISAR"))</f>
        <v>Show</v>
      </c>
      <c r="F1870" s="4" t="str">
        <f aca="false">IF($A1870="","",_xlfn.XLOOKUP(LOWER(TRIM(Base_Bruta!F1870)),DePara_Cidade!$A$2:$A$29,DePara_Cidade!$B$2:$B$29,"REVISAR"))</f>
        <v>Belo Horizonte</v>
      </c>
      <c r="G1870" s="4" t="str">
        <f aca="false">IF($A1870="","",TRIM(Base_Bruta!G1870))</f>
        <v>Inteira</v>
      </c>
      <c r="H1870" s="4" t="n">
        <f aca="false">IF($A1870="","",IF(ISNUMBER(Base_Bruta!H1870),Base_Bruta!H1870,IFERROR(_xlfn.NUMBERVALUE(TRIM(SUBSTITUTE(Base_Bruta!H1870,"R$","")),",","."),0)))</f>
        <v>1</v>
      </c>
      <c r="I1870" s="6" t="n">
        <f aca="false">IF($A1870="","",IF(ISNUMBER(Base_Bruta!I1870),Base_Bruta!I1870,IFERROR(_xlfn.NUMBERVALUE(TRIM(SUBSTITUTE(Base_Bruta!I1870,"R$","")),",","."),0)))</f>
        <v>315</v>
      </c>
      <c r="J1870" s="6" t="n">
        <f aca="false">IF($A1870="","",H1870*I1870)</f>
        <v>315</v>
      </c>
      <c r="K1870" s="4" t="str">
        <f aca="false">IF($A1870="","",TRIM(Base_Bruta!J1870))</f>
        <v>Site</v>
      </c>
      <c r="L1870" s="4" t="str">
        <f aca="false">IF($A1870="","",TRIM(Base_Bruta!K1870))</f>
        <v>C01112</v>
      </c>
      <c r="M1870" s="4" t="str">
        <f aca="false">IF($A1870="","",_xlfn.XLOOKUP(LOWER(TRIM(Base_Bruta!L1870)),DePara_Cidade!$A$2:$A$29,DePara_Cidade!$B$2:$B$29,"REVISAR"))</f>
        <v>São Paulo</v>
      </c>
      <c r="N1870" s="4" t="str">
        <f aca="false">IF($A1870="","",UPPER(TRIM(Base_Bruta!M1870)))</f>
        <v>SP</v>
      </c>
      <c r="O1870" s="4" t="str">
        <f aca="false">IF($A1870="","",_xlfn.XLOOKUP(LOWER(TRIM(Base_Bruta!N1870)),DePara_Pais!$A$2:$A$9,DePara_Pais!$B$2:$B$9,"REVISAR"))</f>
        <v>Brasil</v>
      </c>
      <c r="P1870" s="4" t="str">
        <f aca="false">IF($A1870="","",IF(O1870&lt;&gt;"Brasil","Turista Internacional",IF(M1870=F1870,"Local","Turista Nacional")))</f>
        <v>Turista Nacional</v>
      </c>
      <c r="Q1870" s="7" t="n">
        <f aca="false">IF($A1870="","",DATE(YEAR(B1870),MONTH(B1870),1))</f>
        <v>45962</v>
      </c>
      <c r="R1870" s="4" t="str">
        <f aca="false">IF($A1870="","",IF(COUNTIF($A$2:$A1870,$A1870)&gt;1,"Sim","Não"))</f>
        <v>Não</v>
      </c>
      <c r="S1870" s="4" t="str">
        <f aca="false">IF(A1870="","Descartar - Linha vazia",IF(R1870="Sim","Descartar - Duplicado",IF(OR(H1870&lt;=0,I1870&lt;=0),"Descartar - Qtd/Valor inválido","OK")))</f>
        <v>OK</v>
      </c>
      <c r="T1870" s="4" t="str">
        <f aca="false">Base_Bruta!P1870</f>
        <v>vendas_MG.csv</v>
      </c>
    </row>
    <row r="1871" customFormat="false" ht="15" hidden="false" customHeight="false" outlineLevel="0" collapsed="false">
      <c r="A1871" s="4" t="str">
        <f aca="false">IF(Base_Bruta!A1871="","",Base_Bruta!A1871)</f>
        <v>MG-000376</v>
      </c>
      <c r="B1871" s="5" t="n">
        <f aca="false">IF($A1871="","",IF(ISNUMBER(Base_Bruta!B1871),Base_Bruta!B1871,IF(MID(Base_Bruta!B1871,5,1)="-",DATE(VALUE(LEFT(Base_Bruta!B1871,4)),VALUE(MID(Base_Bruta!B1871,6,2)),VALUE(RIGHT(Base_Bruta!B1871,2))),DATE(VALUE(RIGHT(Base_Bruta!B1871,4)),VALUE(MID(Base_Bruta!B1871,4,2)),VALUE(LEFT(Base_Bruta!B1871,2))))))</f>
        <v>45965</v>
      </c>
      <c r="C1871" s="5" t="n">
        <f aca="false">IF($A1871="","",IF(ISNUMBER(Base_Bruta!C1871),Base_Bruta!C1871,IF(MID(Base_Bruta!C1871,5,1)="-",DATE(VALUE(LEFT(Base_Bruta!C1871,4)),VALUE(MID(Base_Bruta!C1871,6,2)),VALUE(RIGHT(Base_Bruta!C1871,2))),DATE(VALUE(RIGHT(Base_Bruta!C1871,4)),VALUE(MID(Base_Bruta!C1871,4,2)),VALUE(LEFT(Base_Bruta!C1871,2))))))</f>
        <v>46081</v>
      </c>
      <c r="D1871" s="4" t="str">
        <f aca="false">IF($A1871="","",TRIM(Base_Bruta!D1871))</f>
        <v>Show Sertanejo - BH</v>
      </c>
      <c r="E1871" s="4" t="str">
        <f aca="false">IF($A1871="","",_xlfn.XLOOKUP(LOWER(TRIM(Base_Bruta!E1871)),DePara_Categoria!$A$2:$A$9,DePara_Categoria!$B$2:$B$9,"REVISAR"))</f>
        <v>Show</v>
      </c>
      <c r="F1871" s="4" t="str">
        <f aca="false">IF($A1871="","",_xlfn.XLOOKUP(LOWER(TRIM(Base_Bruta!F1871)),DePara_Cidade!$A$2:$A$29,DePara_Cidade!$B$2:$B$29,"REVISAR"))</f>
        <v>Belo Horizonte</v>
      </c>
      <c r="G1871" s="4" t="str">
        <f aca="false">IF($A1871="","",TRIM(Base_Bruta!G1871))</f>
        <v>VIP</v>
      </c>
      <c r="H1871" s="4" t="n">
        <f aca="false">IF($A1871="","",IF(ISNUMBER(Base_Bruta!H1871),Base_Bruta!H1871,IFERROR(_xlfn.NUMBERVALUE(TRIM(SUBSTITUTE(Base_Bruta!H1871,"R$","")),",","."),0)))</f>
        <v>2</v>
      </c>
      <c r="I1871" s="6" t="n">
        <f aca="false">IF($A1871="","",IF(ISNUMBER(Base_Bruta!I1871),Base_Bruta!I1871,IFERROR(_xlfn.NUMBERVALUE(TRIM(SUBSTITUTE(Base_Bruta!I1871,"R$","")),",","."),0)))</f>
        <v>540</v>
      </c>
      <c r="J1871" s="6" t="n">
        <f aca="false">IF($A1871="","",H1871*I1871)</f>
        <v>1080</v>
      </c>
      <c r="K1871" s="4" t="str">
        <f aca="false">IF($A1871="","",TRIM(Base_Bruta!J1871))</f>
        <v>Site</v>
      </c>
      <c r="L1871" s="4" t="str">
        <f aca="false">IF($A1871="","",TRIM(Base_Bruta!K1871))</f>
        <v>C00051</v>
      </c>
      <c r="M1871" s="4" t="str">
        <f aca="false">IF($A1871="","",_xlfn.XLOOKUP(LOWER(TRIM(Base_Bruta!L1871)),DePara_Cidade!$A$2:$A$29,DePara_Cidade!$B$2:$B$29,"REVISAR"))</f>
        <v>Belo Horizonte</v>
      </c>
      <c r="N1871" s="4" t="str">
        <f aca="false">IF($A1871="","",UPPER(TRIM(Base_Bruta!M1871)))</f>
        <v>MG</v>
      </c>
      <c r="O1871" s="4" t="str">
        <f aca="false">IF($A1871="","",_xlfn.XLOOKUP(LOWER(TRIM(Base_Bruta!N1871)),DePara_Pais!$A$2:$A$9,DePara_Pais!$B$2:$B$9,"REVISAR"))</f>
        <v>Brasil</v>
      </c>
      <c r="P1871" s="4" t="str">
        <f aca="false">IF($A1871="","",IF(O1871&lt;&gt;"Brasil","Turista Internacional",IF(M1871=F1871,"Local","Turista Nacional")))</f>
        <v>Local</v>
      </c>
      <c r="Q1871" s="7" t="n">
        <f aca="false">IF($A1871="","",DATE(YEAR(B1871),MONTH(B1871),1))</f>
        <v>45962</v>
      </c>
      <c r="R1871" s="4" t="str">
        <f aca="false">IF($A1871="","",IF(COUNTIF($A$2:$A1871,$A1871)&gt;1,"Sim","Não"))</f>
        <v>Não</v>
      </c>
      <c r="S1871" s="4" t="str">
        <f aca="false">IF(A1871="","Descartar - Linha vazia",IF(R1871="Sim","Descartar - Duplicado",IF(OR(H1871&lt;=0,I1871&lt;=0),"Descartar - Qtd/Valor inválido","OK")))</f>
        <v>OK</v>
      </c>
      <c r="T1871" s="4" t="str">
        <f aca="false">Base_Bruta!P1871</f>
        <v>vendas_MG.csv</v>
      </c>
    </row>
    <row r="1872" customFormat="false" ht="15" hidden="false" customHeight="false" outlineLevel="0" collapsed="false">
      <c r="A1872" s="4" t="str">
        <f aca="false">IF(Base_Bruta!A1872="","",Base_Bruta!A1872)</f>
        <v>MG-000325</v>
      </c>
      <c r="B1872" s="5" t="n">
        <f aca="false">IF($A1872="","",IF(ISNUMBER(Base_Bruta!B1872),Base_Bruta!B1872,IF(MID(Base_Bruta!B1872,5,1)="-",DATE(VALUE(LEFT(Base_Bruta!B1872,4)),VALUE(MID(Base_Bruta!B1872,6,2)),VALUE(RIGHT(Base_Bruta!B1872,2))),DATE(VALUE(RIGHT(Base_Bruta!B1872,4)),VALUE(MID(Base_Bruta!B1872,4,2)),VALUE(LEFT(Base_Bruta!B1872,2))))))</f>
        <v>45966</v>
      </c>
      <c r="C1872" s="5" t="n">
        <f aca="false">IF($A1872="","",IF(ISNUMBER(Base_Bruta!C1872),Base_Bruta!C1872,IF(MID(Base_Bruta!C1872,5,1)="-",DATE(VALUE(LEFT(Base_Bruta!C1872,4)),VALUE(MID(Base_Bruta!C1872,6,2)),VALUE(RIGHT(Base_Bruta!C1872,2))),DATE(VALUE(RIGHT(Base_Bruta!C1872,4)),VALUE(MID(Base_Bruta!C1872,4,2)),VALUE(LEFT(Base_Bruta!C1872,2))))))</f>
        <v>46081</v>
      </c>
      <c r="D1872" s="4" t="str">
        <f aca="false">IF($A1872="","",TRIM(Base_Bruta!D1872))</f>
        <v>Show Sertanejo - BH</v>
      </c>
      <c r="E1872" s="4" t="str">
        <f aca="false">IF($A1872="","",_xlfn.XLOOKUP(LOWER(TRIM(Base_Bruta!E1872)),DePara_Categoria!$A$2:$A$9,DePara_Categoria!$B$2:$B$9,"REVISAR"))</f>
        <v>Show</v>
      </c>
      <c r="F1872" s="4" t="str">
        <f aca="false">IF($A1872="","",_xlfn.XLOOKUP(LOWER(TRIM(Base_Bruta!F1872)),DePara_Cidade!$A$2:$A$29,DePara_Cidade!$B$2:$B$29,"REVISAR"))</f>
        <v>Belo Horizonte</v>
      </c>
      <c r="G1872" s="4" t="str">
        <f aca="false">IF($A1872="","",TRIM(Base_Bruta!G1872))</f>
        <v>Inteira</v>
      </c>
      <c r="H1872" s="4" t="n">
        <f aca="false">IF($A1872="","",IF(ISNUMBER(Base_Bruta!H1872),Base_Bruta!H1872,IFERROR(_xlfn.NUMBERVALUE(TRIM(SUBSTITUTE(Base_Bruta!H1872,"R$","")),",","."),0)))</f>
        <v>2</v>
      </c>
      <c r="I1872" s="6" t="n">
        <f aca="false">IF($A1872="","",IF(ISNUMBER(Base_Bruta!I1872),Base_Bruta!I1872,IFERROR(_xlfn.NUMBERVALUE(TRIM(SUBSTITUTE(Base_Bruta!I1872,"R$","")),",","."),0)))</f>
        <v>510</v>
      </c>
      <c r="J1872" s="6" t="n">
        <f aca="false">IF($A1872="","",H1872*I1872)</f>
        <v>1020</v>
      </c>
      <c r="K1872" s="4" t="str">
        <f aca="false">IF($A1872="","",TRIM(Base_Bruta!J1872))</f>
        <v>App</v>
      </c>
      <c r="L1872" s="4" t="str">
        <f aca="false">IF($A1872="","",TRIM(Base_Bruta!K1872))</f>
        <v>C01932</v>
      </c>
      <c r="M1872" s="4" t="str">
        <f aca="false">IF($A1872="","",_xlfn.XLOOKUP(LOWER(TRIM(Base_Bruta!L1872)),DePara_Cidade!$A$2:$A$29,DePara_Cidade!$B$2:$B$29,"REVISAR"))</f>
        <v>Belo Horizonte</v>
      </c>
      <c r="N1872" s="4" t="str">
        <f aca="false">IF($A1872="","",UPPER(TRIM(Base_Bruta!M1872)))</f>
        <v>MG</v>
      </c>
      <c r="O1872" s="4" t="str">
        <f aca="false">IF($A1872="","",_xlfn.XLOOKUP(LOWER(TRIM(Base_Bruta!N1872)),DePara_Pais!$A$2:$A$9,DePara_Pais!$B$2:$B$9,"REVISAR"))</f>
        <v>Brasil</v>
      </c>
      <c r="P1872" s="4" t="str">
        <f aca="false">IF($A1872="","",IF(O1872&lt;&gt;"Brasil","Turista Internacional",IF(M1872=F1872,"Local","Turista Nacional")))</f>
        <v>Local</v>
      </c>
      <c r="Q1872" s="7" t="n">
        <f aca="false">IF($A1872="","",DATE(YEAR(B1872),MONTH(B1872),1))</f>
        <v>45962</v>
      </c>
      <c r="R1872" s="4" t="str">
        <f aca="false">IF($A1872="","",IF(COUNTIF($A$2:$A1872,$A1872)&gt;1,"Sim","Não"))</f>
        <v>Não</v>
      </c>
      <c r="S1872" s="4" t="str">
        <f aca="false">IF(A1872="","Descartar - Linha vazia",IF(R1872="Sim","Descartar - Duplicado",IF(OR(H1872&lt;=0,I1872&lt;=0),"Descartar - Qtd/Valor inválido","OK")))</f>
        <v>OK</v>
      </c>
      <c r="T1872" s="4" t="str">
        <f aca="false">Base_Bruta!P1872</f>
        <v>vendas_MG.csv</v>
      </c>
    </row>
    <row r="1873" customFormat="false" ht="15" hidden="false" customHeight="false" outlineLevel="0" collapsed="false">
      <c r="A1873" s="4" t="str">
        <f aca="false">IF(Base_Bruta!A1873="","",Base_Bruta!A1873)</f>
        <v>MG-000238</v>
      </c>
      <c r="B1873" s="5" t="n">
        <f aca="false">IF($A1873="","",IF(ISNUMBER(Base_Bruta!B1873),Base_Bruta!B1873,IF(MID(Base_Bruta!B1873,5,1)="-",DATE(VALUE(LEFT(Base_Bruta!B1873,4)),VALUE(MID(Base_Bruta!B1873,6,2)),VALUE(RIGHT(Base_Bruta!B1873,2))),DATE(VALUE(RIGHT(Base_Bruta!B1873,4)),VALUE(MID(Base_Bruta!B1873,4,2)),VALUE(LEFT(Base_Bruta!B1873,2))))))</f>
        <v>45967</v>
      </c>
      <c r="C1873" s="5" t="n">
        <f aca="false">IF($A1873="","",IF(ISNUMBER(Base_Bruta!C1873),Base_Bruta!C1873,IF(MID(Base_Bruta!C1873,5,1)="-",DATE(VALUE(LEFT(Base_Bruta!C1873,4)),VALUE(MID(Base_Bruta!C1873,6,2)),VALUE(RIGHT(Base_Bruta!C1873,2))),DATE(VALUE(RIGHT(Base_Bruta!C1873,4)),VALUE(MID(Base_Bruta!C1873,4,2)),VALUE(LEFT(Base_Bruta!C1873,2))))))</f>
        <v>46081</v>
      </c>
      <c r="D1873" s="4" t="str">
        <f aca="false">IF($A1873="","",TRIM(Base_Bruta!D1873))</f>
        <v>Show Sertanejo - BH</v>
      </c>
      <c r="E1873" s="4" t="str">
        <f aca="false">IF($A1873="","",_xlfn.XLOOKUP(LOWER(TRIM(Base_Bruta!E1873)),DePara_Categoria!$A$2:$A$9,DePara_Categoria!$B$2:$B$9,"REVISAR"))</f>
        <v>Show</v>
      </c>
      <c r="F1873" s="4" t="str">
        <f aca="false">IF($A1873="","",_xlfn.XLOOKUP(LOWER(TRIM(Base_Bruta!F1873)),DePara_Cidade!$A$2:$A$29,DePara_Cidade!$B$2:$B$29,"REVISAR"))</f>
        <v>Belo Horizonte</v>
      </c>
      <c r="G1873" s="4" t="str">
        <f aca="false">IF($A1873="","",TRIM(Base_Bruta!G1873))</f>
        <v>Inteira</v>
      </c>
      <c r="H1873" s="4" t="n">
        <f aca="false">IF($A1873="","",IF(ISNUMBER(Base_Bruta!H1873),Base_Bruta!H1873,IFERROR(_xlfn.NUMBERVALUE(TRIM(SUBSTITUTE(Base_Bruta!H1873,"R$","")),",","."),0)))</f>
        <v>2</v>
      </c>
      <c r="I1873" s="6" t="n">
        <f aca="false">IF($A1873="","",IF(ISNUMBER(Base_Bruta!I1873),Base_Bruta!I1873,IFERROR(_xlfn.NUMBERVALUE(TRIM(SUBSTITUTE(Base_Bruta!I1873,"R$","")),",","."),0)))</f>
        <v>285</v>
      </c>
      <c r="J1873" s="6" t="n">
        <f aca="false">IF($A1873="","",H1873*I1873)</f>
        <v>570</v>
      </c>
      <c r="K1873" s="4" t="str">
        <f aca="false">IF($A1873="","",TRIM(Base_Bruta!J1873))</f>
        <v>Site</v>
      </c>
      <c r="L1873" s="4" t="str">
        <f aca="false">IF($A1873="","",TRIM(Base_Bruta!K1873))</f>
        <v>C02223</v>
      </c>
      <c r="M1873" s="4" t="str">
        <f aca="false">IF($A1873="","",_xlfn.XLOOKUP(LOWER(TRIM(Base_Bruta!L1873)),DePara_Cidade!$A$2:$A$29,DePara_Cidade!$B$2:$B$29,"REVISAR"))</f>
        <v>Belo Horizonte</v>
      </c>
      <c r="N1873" s="4" t="str">
        <f aca="false">IF($A1873="","",UPPER(TRIM(Base_Bruta!M1873)))</f>
        <v>MG</v>
      </c>
      <c r="O1873" s="4" t="str">
        <f aca="false">IF($A1873="","",_xlfn.XLOOKUP(LOWER(TRIM(Base_Bruta!N1873)),DePara_Pais!$A$2:$A$9,DePara_Pais!$B$2:$B$9,"REVISAR"))</f>
        <v>Brasil</v>
      </c>
      <c r="P1873" s="4" t="str">
        <f aca="false">IF($A1873="","",IF(O1873&lt;&gt;"Brasil","Turista Internacional",IF(M1873=F1873,"Local","Turista Nacional")))</f>
        <v>Local</v>
      </c>
      <c r="Q1873" s="7" t="n">
        <f aca="false">IF($A1873="","",DATE(YEAR(B1873),MONTH(B1873),1))</f>
        <v>45962</v>
      </c>
      <c r="R1873" s="4" t="str">
        <f aca="false">IF($A1873="","",IF(COUNTIF($A$2:$A1873,$A1873)&gt;1,"Sim","Não"))</f>
        <v>Não</v>
      </c>
      <c r="S1873" s="4" t="str">
        <f aca="false">IF(A1873="","Descartar - Linha vazia",IF(R1873="Sim","Descartar - Duplicado",IF(OR(H1873&lt;=0,I1873&lt;=0),"Descartar - Qtd/Valor inválido","OK")))</f>
        <v>OK</v>
      </c>
      <c r="T1873" s="4" t="str">
        <f aca="false">Base_Bruta!P1873</f>
        <v>vendas_MG.csv</v>
      </c>
    </row>
    <row r="1874" customFormat="false" ht="15" hidden="false" customHeight="false" outlineLevel="0" collapsed="false">
      <c r="A1874" s="4" t="str">
        <f aca="false">IF(Base_Bruta!A1874="","",Base_Bruta!A1874)</f>
        <v>MG-000294</v>
      </c>
      <c r="B1874" s="5" t="n">
        <f aca="false">IF($A1874="","",IF(ISNUMBER(Base_Bruta!B1874),Base_Bruta!B1874,IF(MID(Base_Bruta!B1874,5,1)="-",DATE(VALUE(LEFT(Base_Bruta!B1874,4)),VALUE(MID(Base_Bruta!B1874,6,2)),VALUE(RIGHT(Base_Bruta!B1874,2))),DATE(VALUE(RIGHT(Base_Bruta!B1874,4)),VALUE(MID(Base_Bruta!B1874,4,2)),VALUE(LEFT(Base_Bruta!B1874,2))))))</f>
        <v>45967</v>
      </c>
      <c r="C1874" s="5" t="n">
        <f aca="false">IF($A1874="","",IF(ISNUMBER(Base_Bruta!C1874),Base_Bruta!C1874,IF(MID(Base_Bruta!C1874,5,1)="-",DATE(VALUE(LEFT(Base_Bruta!C1874,4)),VALUE(MID(Base_Bruta!C1874,6,2)),VALUE(RIGHT(Base_Bruta!C1874,2))),DATE(VALUE(RIGHT(Base_Bruta!C1874,4)),VALUE(MID(Base_Bruta!C1874,4,2)),VALUE(LEFT(Base_Bruta!C1874,2))))))</f>
        <v>46081</v>
      </c>
      <c r="D1874" s="4" t="str">
        <f aca="false">IF($A1874="","",TRIM(Base_Bruta!D1874))</f>
        <v>Show Sertanejo - BH</v>
      </c>
      <c r="E1874" s="4" t="str">
        <f aca="false">IF($A1874="","",_xlfn.XLOOKUP(LOWER(TRIM(Base_Bruta!E1874)),DePara_Categoria!$A$2:$A$9,DePara_Categoria!$B$2:$B$9,"REVISAR"))</f>
        <v>Show</v>
      </c>
      <c r="F1874" s="4" t="str">
        <f aca="false">IF($A1874="","",_xlfn.XLOOKUP(LOWER(TRIM(Base_Bruta!F1874)),DePara_Cidade!$A$2:$A$29,DePara_Cidade!$B$2:$B$29,"REVISAR"))</f>
        <v>Belo Horizonte</v>
      </c>
      <c r="G1874" s="4" t="str">
        <f aca="false">IF($A1874="","",TRIM(Base_Bruta!G1874))</f>
        <v>Meia</v>
      </c>
      <c r="H1874" s="4" t="n">
        <f aca="false">IF($A1874="","",IF(ISNUMBER(Base_Bruta!H1874),Base_Bruta!H1874,IFERROR(_xlfn.NUMBERVALUE(TRIM(SUBSTITUTE(Base_Bruta!H1874,"R$","")),",","."),0)))</f>
        <v>1</v>
      </c>
      <c r="I1874" s="6" t="n">
        <f aca="false">IF($A1874="","",IF(ISNUMBER(Base_Bruta!I1874),Base_Bruta!I1874,IFERROR(_xlfn.NUMBERVALUE(TRIM(SUBSTITUTE(Base_Bruta!I1874,"R$","")),",","."),0)))</f>
        <v>112.5</v>
      </c>
      <c r="J1874" s="6" t="n">
        <f aca="false">IF($A1874="","",H1874*I1874)</f>
        <v>112.5</v>
      </c>
      <c r="K1874" s="4" t="str">
        <f aca="false">IF($A1874="","",TRIM(Base_Bruta!J1874))</f>
        <v>App</v>
      </c>
      <c r="L1874" s="4" t="str">
        <f aca="false">IF($A1874="","",TRIM(Base_Bruta!K1874))</f>
        <v>C00500</v>
      </c>
      <c r="M1874" s="4" t="str">
        <f aca="false">IF($A1874="","",_xlfn.XLOOKUP(LOWER(TRIM(Base_Bruta!L1874)),DePara_Cidade!$A$2:$A$29,DePara_Cidade!$B$2:$B$29,"REVISAR"))</f>
        <v>Miami</v>
      </c>
      <c r="N1874" s="4" t="str">
        <f aca="false">IF($A1874="","",UPPER(TRIM(Base_Bruta!M1874)))</f>
        <v>EX</v>
      </c>
      <c r="O1874" s="4" t="str">
        <f aca="false">IF($A1874="","",_xlfn.XLOOKUP(LOWER(TRIM(Base_Bruta!N1874)),DePara_Pais!$A$2:$A$9,DePara_Pais!$B$2:$B$9,"REVISAR"))</f>
        <v>EUA</v>
      </c>
      <c r="P1874" s="4" t="str">
        <f aca="false">IF($A1874="","",IF(O1874&lt;&gt;"Brasil","Turista Internacional",IF(M1874=F1874,"Local","Turista Nacional")))</f>
        <v>Turista Internacional</v>
      </c>
      <c r="Q1874" s="7" t="n">
        <f aca="false">IF($A1874="","",DATE(YEAR(B1874),MONTH(B1874),1))</f>
        <v>45962</v>
      </c>
      <c r="R1874" s="4" t="str">
        <f aca="false">IF($A1874="","",IF(COUNTIF($A$2:$A1874,$A1874)&gt;1,"Sim","Não"))</f>
        <v>Não</v>
      </c>
      <c r="S1874" s="4" t="str">
        <f aca="false">IF(A1874="","Descartar - Linha vazia",IF(R1874="Sim","Descartar - Duplicado",IF(OR(H1874&lt;=0,I1874&lt;=0),"Descartar - Qtd/Valor inválido","OK")))</f>
        <v>OK</v>
      </c>
      <c r="T1874" s="4" t="str">
        <f aca="false">Base_Bruta!P1874</f>
        <v>vendas_MG.csv</v>
      </c>
    </row>
    <row r="1875" customFormat="false" ht="15" hidden="false" customHeight="false" outlineLevel="0" collapsed="false">
      <c r="A1875" s="4" t="str">
        <f aca="false">IF(Base_Bruta!A1875="","",Base_Bruta!A1875)</f>
        <v>MG-000323</v>
      </c>
      <c r="B1875" s="5" t="n">
        <f aca="false">IF($A1875="","",IF(ISNUMBER(Base_Bruta!B1875),Base_Bruta!B1875,IF(MID(Base_Bruta!B1875,5,1)="-",DATE(VALUE(LEFT(Base_Bruta!B1875,4)),VALUE(MID(Base_Bruta!B1875,6,2)),VALUE(RIGHT(Base_Bruta!B1875,2))),DATE(VALUE(RIGHT(Base_Bruta!B1875,4)),VALUE(MID(Base_Bruta!B1875,4,2)),VALUE(LEFT(Base_Bruta!B1875,2))))))</f>
        <v>45967</v>
      </c>
      <c r="C1875" s="5" t="n">
        <f aca="false">IF($A1875="","",IF(ISNUMBER(Base_Bruta!C1875),Base_Bruta!C1875,IF(MID(Base_Bruta!C1875,5,1)="-",DATE(VALUE(LEFT(Base_Bruta!C1875,4)),VALUE(MID(Base_Bruta!C1875,6,2)),VALUE(RIGHT(Base_Bruta!C1875,2))),DATE(VALUE(RIGHT(Base_Bruta!C1875,4)),VALUE(MID(Base_Bruta!C1875,4,2)),VALUE(LEFT(Base_Bruta!C1875,2))))))</f>
        <v>46081</v>
      </c>
      <c r="D1875" s="4" t="str">
        <f aca="false">IF($A1875="","",TRIM(Base_Bruta!D1875))</f>
        <v>Show Sertanejo - BH</v>
      </c>
      <c r="E1875" s="4" t="str">
        <f aca="false">IF($A1875="","",_xlfn.XLOOKUP(LOWER(TRIM(Base_Bruta!E1875)),DePara_Categoria!$A$2:$A$9,DePara_Categoria!$B$2:$B$9,"REVISAR"))</f>
        <v>Show</v>
      </c>
      <c r="F1875" s="4" t="str">
        <f aca="false">IF($A1875="","",_xlfn.XLOOKUP(LOWER(TRIM(Base_Bruta!F1875)),DePara_Cidade!$A$2:$A$29,DePara_Cidade!$B$2:$B$29,"REVISAR"))</f>
        <v>Belo Horizonte</v>
      </c>
      <c r="G1875" s="4" t="str">
        <f aca="false">IF($A1875="","",TRIM(Base_Bruta!G1875))</f>
        <v>Inteira</v>
      </c>
      <c r="H1875" s="4" t="n">
        <f aca="false">IF($A1875="","",IF(ISNUMBER(Base_Bruta!H1875),Base_Bruta!H1875,IFERROR(_xlfn.NUMBERVALUE(TRIM(SUBSTITUTE(Base_Bruta!H1875,"R$","")),",","."),0)))</f>
        <v>1</v>
      </c>
      <c r="I1875" s="6" t="n">
        <f aca="false">IF($A1875="","",IF(ISNUMBER(Base_Bruta!I1875),Base_Bruta!I1875,IFERROR(_xlfn.NUMBERVALUE(TRIM(SUBSTITUTE(Base_Bruta!I1875,"R$","")),",","."),0)))</f>
        <v>635</v>
      </c>
      <c r="J1875" s="6" t="n">
        <f aca="false">IF($A1875="","",H1875*I1875)</f>
        <v>635</v>
      </c>
      <c r="K1875" s="4" t="str">
        <f aca="false">IF($A1875="","",TRIM(Base_Bruta!J1875))</f>
        <v>Site</v>
      </c>
      <c r="L1875" s="4" t="str">
        <f aca="false">IF($A1875="","",TRIM(Base_Bruta!K1875))</f>
        <v>C02279</v>
      </c>
      <c r="M1875" s="4" t="str">
        <f aca="false">IF($A1875="","",_xlfn.XLOOKUP(LOWER(TRIM(Base_Bruta!L1875)),DePara_Cidade!$A$2:$A$29,DePara_Cidade!$B$2:$B$29,"REVISAR"))</f>
        <v>Belo Horizonte</v>
      </c>
      <c r="N1875" s="4" t="str">
        <f aca="false">IF($A1875="","",UPPER(TRIM(Base_Bruta!M1875)))</f>
        <v>MG</v>
      </c>
      <c r="O1875" s="4" t="str">
        <f aca="false">IF($A1875="","",_xlfn.XLOOKUP(LOWER(TRIM(Base_Bruta!N1875)),DePara_Pais!$A$2:$A$9,DePara_Pais!$B$2:$B$9,"REVISAR"))</f>
        <v>Brasil</v>
      </c>
      <c r="P1875" s="4" t="str">
        <f aca="false">IF($A1875="","",IF(O1875&lt;&gt;"Brasil","Turista Internacional",IF(M1875=F1875,"Local","Turista Nacional")))</f>
        <v>Local</v>
      </c>
      <c r="Q1875" s="7" t="n">
        <f aca="false">IF($A1875="","",DATE(YEAR(B1875),MONTH(B1875),1))</f>
        <v>45962</v>
      </c>
      <c r="R1875" s="4" t="str">
        <f aca="false">IF($A1875="","",IF(COUNTIF($A$2:$A1875,$A1875)&gt;1,"Sim","Não"))</f>
        <v>Não</v>
      </c>
      <c r="S1875" s="4" t="str">
        <f aca="false">IF(A1875="","Descartar - Linha vazia",IF(R1875="Sim","Descartar - Duplicado",IF(OR(H1875&lt;=0,I1875&lt;=0),"Descartar - Qtd/Valor inválido","OK")))</f>
        <v>OK</v>
      </c>
      <c r="T1875" s="4" t="str">
        <f aca="false">Base_Bruta!P1875</f>
        <v>vendas_MG.csv</v>
      </c>
    </row>
    <row r="1876" customFormat="false" ht="15" hidden="false" customHeight="false" outlineLevel="0" collapsed="false">
      <c r="A1876" s="4" t="str">
        <f aca="false">IF(Base_Bruta!A1876="","",Base_Bruta!A1876)</f>
        <v>MG-000351</v>
      </c>
      <c r="B1876" s="5" t="n">
        <f aca="false">IF($A1876="","",IF(ISNUMBER(Base_Bruta!B1876),Base_Bruta!B1876,IF(MID(Base_Bruta!B1876,5,1)="-",DATE(VALUE(LEFT(Base_Bruta!B1876,4)),VALUE(MID(Base_Bruta!B1876,6,2)),VALUE(RIGHT(Base_Bruta!B1876,2))),DATE(VALUE(RIGHT(Base_Bruta!B1876,4)),VALUE(MID(Base_Bruta!B1876,4,2)),VALUE(LEFT(Base_Bruta!B1876,2))))))</f>
        <v>45967</v>
      </c>
      <c r="C1876" s="5" t="n">
        <f aca="false">IF($A1876="","",IF(ISNUMBER(Base_Bruta!C1876),Base_Bruta!C1876,IF(MID(Base_Bruta!C1876,5,1)="-",DATE(VALUE(LEFT(Base_Bruta!C1876,4)),VALUE(MID(Base_Bruta!C1876,6,2)),VALUE(RIGHT(Base_Bruta!C1876,2))),DATE(VALUE(RIGHT(Base_Bruta!C1876,4)),VALUE(MID(Base_Bruta!C1876,4,2)),VALUE(LEFT(Base_Bruta!C1876,2))))))</f>
        <v>46081</v>
      </c>
      <c r="D1876" s="4" t="str">
        <f aca="false">IF($A1876="","",TRIM(Base_Bruta!D1876))</f>
        <v>Show Sertanejo - BH</v>
      </c>
      <c r="E1876" s="4" t="str">
        <f aca="false">IF($A1876="","",_xlfn.XLOOKUP(LOWER(TRIM(Base_Bruta!E1876)),DePara_Categoria!$A$2:$A$9,DePara_Categoria!$B$2:$B$9,"REVISAR"))</f>
        <v>Show</v>
      </c>
      <c r="F1876" s="4" t="str">
        <f aca="false">IF($A1876="","",_xlfn.XLOOKUP(LOWER(TRIM(Base_Bruta!F1876)),DePara_Cidade!$A$2:$A$29,DePara_Cidade!$B$2:$B$29,"REVISAR"))</f>
        <v>Belo Horizonte</v>
      </c>
      <c r="G1876" s="4" t="str">
        <f aca="false">IF($A1876="","",TRIM(Base_Bruta!G1876))</f>
        <v>Inteira</v>
      </c>
      <c r="H1876" s="4" t="n">
        <f aca="false">IF($A1876="","",IF(ISNUMBER(Base_Bruta!H1876),Base_Bruta!H1876,IFERROR(_xlfn.NUMBERVALUE(TRIM(SUBSTITUTE(Base_Bruta!H1876,"R$","")),",","."),0)))</f>
        <v>1</v>
      </c>
      <c r="I1876" s="6" t="n">
        <f aca="false">IF($A1876="","",IF(ISNUMBER(Base_Bruta!I1876),Base_Bruta!I1876,IFERROR(_xlfn.NUMBERVALUE(TRIM(SUBSTITUTE(Base_Bruta!I1876,"R$","")),",","."),0)))</f>
        <v>240</v>
      </c>
      <c r="J1876" s="6" t="n">
        <f aca="false">IF($A1876="","",H1876*I1876)</f>
        <v>240</v>
      </c>
      <c r="K1876" s="4" t="str">
        <f aca="false">IF($A1876="","",TRIM(Base_Bruta!J1876))</f>
        <v>Site</v>
      </c>
      <c r="L1876" s="4" t="str">
        <f aca="false">IF($A1876="","",TRIM(Base_Bruta!K1876))</f>
        <v>C01021</v>
      </c>
      <c r="M1876" s="4" t="str">
        <f aca="false">IF($A1876="","",_xlfn.XLOOKUP(LOWER(TRIM(Base_Bruta!L1876)),DePara_Cidade!$A$2:$A$29,DePara_Cidade!$B$2:$B$29,"REVISAR"))</f>
        <v>Belo Horizonte</v>
      </c>
      <c r="N1876" s="4" t="str">
        <f aca="false">IF($A1876="","",UPPER(TRIM(Base_Bruta!M1876)))</f>
        <v>MG</v>
      </c>
      <c r="O1876" s="4" t="str">
        <f aca="false">IF($A1876="","",_xlfn.XLOOKUP(LOWER(TRIM(Base_Bruta!N1876)),DePara_Pais!$A$2:$A$9,DePara_Pais!$B$2:$B$9,"REVISAR"))</f>
        <v>Brasil</v>
      </c>
      <c r="P1876" s="4" t="str">
        <f aca="false">IF($A1876="","",IF(O1876&lt;&gt;"Brasil","Turista Internacional",IF(M1876=F1876,"Local","Turista Nacional")))</f>
        <v>Local</v>
      </c>
      <c r="Q1876" s="7" t="n">
        <f aca="false">IF($A1876="","",DATE(YEAR(B1876),MONTH(B1876),1))</f>
        <v>45962</v>
      </c>
      <c r="R1876" s="4" t="str">
        <f aca="false">IF($A1876="","",IF(COUNTIF($A$2:$A1876,$A1876)&gt;1,"Sim","Não"))</f>
        <v>Não</v>
      </c>
      <c r="S1876" s="4" t="str">
        <f aca="false">IF(A1876="","Descartar - Linha vazia",IF(R1876="Sim","Descartar - Duplicado",IF(OR(H1876&lt;=0,I1876&lt;=0),"Descartar - Qtd/Valor inválido","OK")))</f>
        <v>OK</v>
      </c>
      <c r="T1876" s="4" t="str">
        <f aca="false">Base_Bruta!P1876</f>
        <v>vendas_MG.csv</v>
      </c>
    </row>
    <row r="1877" customFormat="false" ht="15" hidden="false" customHeight="false" outlineLevel="0" collapsed="false">
      <c r="A1877" s="4" t="str">
        <f aca="false">IF(Base_Bruta!A1877="","",Base_Bruta!A1877)</f>
        <v>MG-000252</v>
      </c>
      <c r="B1877" s="5" t="n">
        <f aca="false">IF($A1877="","",IF(ISNUMBER(Base_Bruta!B1877),Base_Bruta!B1877,IF(MID(Base_Bruta!B1877,5,1)="-",DATE(VALUE(LEFT(Base_Bruta!B1877,4)),VALUE(MID(Base_Bruta!B1877,6,2)),VALUE(RIGHT(Base_Bruta!B1877,2))),DATE(VALUE(RIGHT(Base_Bruta!B1877,4)),VALUE(MID(Base_Bruta!B1877,4,2)),VALUE(LEFT(Base_Bruta!B1877,2))))))</f>
        <v>45968</v>
      </c>
      <c r="C1877" s="5" t="n">
        <f aca="false">IF($A1877="","",IF(ISNUMBER(Base_Bruta!C1877),Base_Bruta!C1877,IF(MID(Base_Bruta!C1877,5,1)="-",DATE(VALUE(LEFT(Base_Bruta!C1877,4)),VALUE(MID(Base_Bruta!C1877,6,2)),VALUE(RIGHT(Base_Bruta!C1877,2))),DATE(VALUE(RIGHT(Base_Bruta!C1877,4)),VALUE(MID(Base_Bruta!C1877,4,2)),VALUE(LEFT(Base_Bruta!C1877,2))))))</f>
        <v>46081</v>
      </c>
      <c r="D1877" s="4" t="str">
        <f aca="false">IF($A1877="","",TRIM(Base_Bruta!D1877))</f>
        <v>Show Sertanejo - BH</v>
      </c>
      <c r="E1877" s="4" t="str">
        <f aca="false">IF($A1877="","",_xlfn.XLOOKUP(LOWER(TRIM(Base_Bruta!E1877)),DePara_Categoria!$A$2:$A$9,DePara_Categoria!$B$2:$B$9,"REVISAR"))</f>
        <v>Show</v>
      </c>
      <c r="F1877" s="4" t="str">
        <f aca="false">IF($A1877="","",_xlfn.XLOOKUP(LOWER(TRIM(Base_Bruta!F1877)),DePara_Cidade!$A$2:$A$29,DePara_Cidade!$B$2:$B$29,"REVISAR"))</f>
        <v>Belo Horizonte</v>
      </c>
      <c r="G1877" s="4" t="str">
        <f aca="false">IF($A1877="","",TRIM(Base_Bruta!G1877))</f>
        <v>Meia</v>
      </c>
      <c r="H1877" s="4" t="n">
        <f aca="false">IF($A1877="","",IF(ISNUMBER(Base_Bruta!H1877),Base_Bruta!H1877,IFERROR(_xlfn.NUMBERVALUE(TRIM(SUBSTITUTE(Base_Bruta!H1877,"R$","")),",","."),0)))</f>
        <v>1</v>
      </c>
      <c r="I1877" s="6" t="n">
        <f aca="false">IF($A1877="","",IF(ISNUMBER(Base_Bruta!I1877),Base_Bruta!I1877,IFERROR(_xlfn.NUMBERVALUE(TRIM(SUBSTITUTE(Base_Bruta!I1877,"R$","")),",","."),0)))</f>
        <v>142.5</v>
      </c>
      <c r="J1877" s="6" t="n">
        <f aca="false">IF($A1877="","",H1877*I1877)</f>
        <v>142.5</v>
      </c>
      <c r="K1877" s="4" t="str">
        <f aca="false">IF($A1877="","",TRIM(Base_Bruta!J1877))</f>
        <v>App</v>
      </c>
      <c r="L1877" s="4" t="str">
        <f aca="false">IF($A1877="","",TRIM(Base_Bruta!K1877))</f>
        <v>C01626</v>
      </c>
      <c r="M1877" s="4" t="str">
        <f aca="false">IF($A1877="","",_xlfn.XLOOKUP(LOWER(TRIM(Base_Bruta!L1877)),DePara_Cidade!$A$2:$A$29,DePara_Cidade!$B$2:$B$29,"REVISAR"))</f>
        <v>Belo Horizonte</v>
      </c>
      <c r="N1877" s="4" t="str">
        <f aca="false">IF($A1877="","",UPPER(TRIM(Base_Bruta!M1877)))</f>
        <v>MG</v>
      </c>
      <c r="O1877" s="4" t="str">
        <f aca="false">IF($A1877="","",_xlfn.XLOOKUP(LOWER(TRIM(Base_Bruta!N1877)),DePara_Pais!$A$2:$A$9,DePara_Pais!$B$2:$B$9,"REVISAR"))</f>
        <v>Brasil</v>
      </c>
      <c r="P1877" s="4" t="str">
        <f aca="false">IF($A1877="","",IF(O1877&lt;&gt;"Brasil","Turista Internacional",IF(M1877=F1877,"Local","Turista Nacional")))</f>
        <v>Local</v>
      </c>
      <c r="Q1877" s="7" t="n">
        <f aca="false">IF($A1877="","",DATE(YEAR(B1877),MONTH(B1877),1))</f>
        <v>45962</v>
      </c>
      <c r="R1877" s="4" t="str">
        <f aca="false">IF($A1877="","",IF(COUNTIF($A$2:$A1877,$A1877)&gt;1,"Sim","Não"))</f>
        <v>Não</v>
      </c>
      <c r="S1877" s="4" t="str">
        <f aca="false">IF(A1877="","Descartar - Linha vazia",IF(R1877="Sim","Descartar - Duplicado",IF(OR(H1877&lt;=0,I1877&lt;=0),"Descartar - Qtd/Valor inválido","OK")))</f>
        <v>OK</v>
      </c>
      <c r="T1877" s="4" t="str">
        <f aca="false">Base_Bruta!P1877</f>
        <v>vendas_MG.csv</v>
      </c>
    </row>
    <row r="1878" customFormat="false" ht="15" hidden="false" customHeight="false" outlineLevel="0" collapsed="false">
      <c r="A1878" s="4" t="str">
        <f aca="false">IF(Base_Bruta!A1878="","",Base_Bruta!A1878)</f>
        <v>MG-000280</v>
      </c>
      <c r="B1878" s="5" t="n">
        <f aca="false">IF($A1878="","",IF(ISNUMBER(Base_Bruta!B1878),Base_Bruta!B1878,IF(MID(Base_Bruta!B1878,5,1)="-",DATE(VALUE(LEFT(Base_Bruta!B1878,4)),VALUE(MID(Base_Bruta!B1878,6,2)),VALUE(RIGHT(Base_Bruta!B1878,2))),DATE(VALUE(RIGHT(Base_Bruta!B1878,4)),VALUE(MID(Base_Bruta!B1878,4,2)),VALUE(LEFT(Base_Bruta!B1878,2))))))</f>
        <v>45968</v>
      </c>
      <c r="C1878" s="5" t="n">
        <f aca="false">IF($A1878="","",IF(ISNUMBER(Base_Bruta!C1878),Base_Bruta!C1878,IF(MID(Base_Bruta!C1878,5,1)="-",DATE(VALUE(LEFT(Base_Bruta!C1878,4)),VALUE(MID(Base_Bruta!C1878,6,2)),VALUE(RIGHT(Base_Bruta!C1878,2))),DATE(VALUE(RIGHT(Base_Bruta!C1878,4)),VALUE(MID(Base_Bruta!C1878,4,2)),VALUE(LEFT(Base_Bruta!C1878,2))))))</f>
        <v>46081</v>
      </c>
      <c r="D1878" s="4" t="str">
        <f aca="false">IF($A1878="","",TRIM(Base_Bruta!D1878))</f>
        <v>Show Sertanejo - BH</v>
      </c>
      <c r="E1878" s="4" t="str">
        <f aca="false">IF($A1878="","",_xlfn.XLOOKUP(LOWER(TRIM(Base_Bruta!E1878)),DePara_Categoria!$A$2:$A$9,DePara_Categoria!$B$2:$B$9,"REVISAR"))</f>
        <v>Show</v>
      </c>
      <c r="F1878" s="4" t="str">
        <f aca="false">IF($A1878="","",_xlfn.XLOOKUP(LOWER(TRIM(Base_Bruta!F1878)),DePara_Cidade!$A$2:$A$29,DePara_Cidade!$B$2:$B$29,"REVISAR"))</f>
        <v>Belo Horizonte</v>
      </c>
      <c r="G1878" s="4" t="str">
        <f aca="false">IF($A1878="","",TRIM(Base_Bruta!G1878))</f>
        <v>Meia</v>
      </c>
      <c r="H1878" s="4" t="n">
        <f aca="false">IF($A1878="","",IF(ISNUMBER(Base_Bruta!H1878),Base_Bruta!H1878,IFERROR(_xlfn.NUMBERVALUE(TRIM(SUBSTITUTE(Base_Bruta!H1878,"R$","")),",","."),0)))</f>
        <v>2</v>
      </c>
      <c r="I1878" s="6" t="n">
        <f aca="false">IF($A1878="","",IF(ISNUMBER(Base_Bruta!I1878),Base_Bruta!I1878,IFERROR(_xlfn.NUMBERVALUE(TRIM(SUBSTITUTE(Base_Bruta!I1878,"R$","")),",","."),0)))</f>
        <v>352.5</v>
      </c>
      <c r="J1878" s="6" t="n">
        <f aca="false">IF($A1878="","",H1878*I1878)</f>
        <v>705</v>
      </c>
      <c r="K1878" s="4" t="str">
        <f aca="false">IF($A1878="","",TRIM(Base_Bruta!J1878))</f>
        <v>Site</v>
      </c>
      <c r="L1878" s="4" t="str">
        <f aca="false">IF($A1878="","",TRIM(Base_Bruta!K1878))</f>
        <v>C00582</v>
      </c>
      <c r="M1878" s="4" t="str">
        <f aca="false">IF($A1878="","",_xlfn.XLOOKUP(LOWER(TRIM(Base_Bruta!L1878)),DePara_Cidade!$A$2:$A$29,DePara_Cidade!$B$2:$B$29,"REVISAR"))</f>
        <v>Belo Horizonte</v>
      </c>
      <c r="N1878" s="4" t="str">
        <f aca="false">IF($A1878="","",UPPER(TRIM(Base_Bruta!M1878)))</f>
        <v>MG</v>
      </c>
      <c r="O1878" s="4" t="str">
        <f aca="false">IF($A1878="","",_xlfn.XLOOKUP(LOWER(TRIM(Base_Bruta!N1878)),DePara_Pais!$A$2:$A$9,DePara_Pais!$B$2:$B$9,"REVISAR"))</f>
        <v>Brasil</v>
      </c>
      <c r="P1878" s="4" t="str">
        <f aca="false">IF($A1878="","",IF(O1878&lt;&gt;"Brasil","Turista Internacional",IF(M1878=F1878,"Local","Turista Nacional")))</f>
        <v>Local</v>
      </c>
      <c r="Q1878" s="7" t="n">
        <f aca="false">IF($A1878="","",DATE(YEAR(B1878),MONTH(B1878),1))</f>
        <v>45962</v>
      </c>
      <c r="R1878" s="4" t="str">
        <f aca="false">IF($A1878="","",IF(COUNTIF($A$2:$A1878,$A1878)&gt;1,"Sim","Não"))</f>
        <v>Não</v>
      </c>
      <c r="S1878" s="4" t="str">
        <f aca="false">IF(A1878="","Descartar - Linha vazia",IF(R1878="Sim","Descartar - Duplicado",IF(OR(H1878&lt;=0,I1878&lt;=0),"Descartar - Qtd/Valor inválido","OK")))</f>
        <v>OK</v>
      </c>
      <c r="T1878" s="4" t="str">
        <f aca="false">Base_Bruta!P1878</f>
        <v>vendas_MG.csv</v>
      </c>
    </row>
    <row r="1879" customFormat="false" ht="15" hidden="false" customHeight="false" outlineLevel="0" collapsed="false">
      <c r="A1879" s="4" t="str">
        <f aca="false">IF(Base_Bruta!A1879="","",Base_Bruta!A1879)</f>
        <v>MG-000352</v>
      </c>
      <c r="B1879" s="5" t="n">
        <f aca="false">IF($A1879="","",IF(ISNUMBER(Base_Bruta!B1879),Base_Bruta!B1879,IF(MID(Base_Bruta!B1879,5,1)="-",DATE(VALUE(LEFT(Base_Bruta!B1879,4)),VALUE(MID(Base_Bruta!B1879,6,2)),VALUE(RIGHT(Base_Bruta!B1879,2))),DATE(VALUE(RIGHT(Base_Bruta!B1879,4)),VALUE(MID(Base_Bruta!B1879,4,2)),VALUE(LEFT(Base_Bruta!B1879,2))))))</f>
        <v>45968</v>
      </c>
      <c r="C1879" s="5" t="n">
        <f aca="false">IF($A1879="","",IF(ISNUMBER(Base_Bruta!C1879),Base_Bruta!C1879,IF(MID(Base_Bruta!C1879,5,1)="-",DATE(VALUE(LEFT(Base_Bruta!C1879,4)),VALUE(MID(Base_Bruta!C1879,6,2)),VALUE(RIGHT(Base_Bruta!C1879,2))),DATE(VALUE(RIGHT(Base_Bruta!C1879,4)),VALUE(MID(Base_Bruta!C1879,4,2)),VALUE(LEFT(Base_Bruta!C1879,2))))))</f>
        <v>46081</v>
      </c>
      <c r="D1879" s="4" t="str">
        <f aca="false">IF($A1879="","",TRIM(Base_Bruta!D1879))</f>
        <v>Show Sertanejo - BH</v>
      </c>
      <c r="E1879" s="4" t="str">
        <f aca="false">IF($A1879="","",_xlfn.XLOOKUP(LOWER(TRIM(Base_Bruta!E1879)),DePara_Categoria!$A$2:$A$9,DePara_Categoria!$B$2:$B$9,"REVISAR"))</f>
        <v>Show</v>
      </c>
      <c r="F1879" s="4" t="str">
        <f aca="false">IF($A1879="","",_xlfn.XLOOKUP(LOWER(TRIM(Base_Bruta!F1879)),DePara_Cidade!$A$2:$A$29,DePara_Cidade!$B$2:$B$29,"REVISAR"))</f>
        <v>Belo Horizonte</v>
      </c>
      <c r="G1879" s="4" t="str">
        <f aca="false">IF($A1879="","",TRIM(Base_Bruta!G1879))</f>
        <v>Meia</v>
      </c>
      <c r="H1879" s="4" t="n">
        <f aca="false">IF($A1879="","",IF(ISNUMBER(Base_Bruta!H1879),Base_Bruta!H1879,IFERROR(_xlfn.NUMBERVALUE(TRIM(SUBSTITUTE(Base_Bruta!H1879,"R$","")),",","."),0)))</f>
        <v>1</v>
      </c>
      <c r="I1879" s="6" t="n">
        <f aca="false">IF($A1879="","",IF(ISNUMBER(Base_Bruta!I1879),Base_Bruta!I1879,IFERROR(_xlfn.NUMBERVALUE(TRIM(SUBSTITUTE(Base_Bruta!I1879,"R$","")),",","."),0)))</f>
        <v>160</v>
      </c>
      <c r="J1879" s="6" t="n">
        <f aca="false">IF($A1879="","",H1879*I1879)</f>
        <v>160</v>
      </c>
      <c r="K1879" s="4" t="str">
        <f aca="false">IF($A1879="","",TRIM(Base_Bruta!J1879))</f>
        <v>Parceiro</v>
      </c>
      <c r="L1879" s="4" t="str">
        <f aca="false">IF($A1879="","",TRIM(Base_Bruta!K1879))</f>
        <v>C00195</v>
      </c>
      <c r="M1879" s="4" t="str">
        <f aca="false">IF($A1879="","",_xlfn.XLOOKUP(LOWER(TRIM(Base_Bruta!L1879)),DePara_Cidade!$A$2:$A$29,DePara_Cidade!$B$2:$B$29,"REVISAR"))</f>
        <v>Belo Horizonte</v>
      </c>
      <c r="N1879" s="4" t="str">
        <f aca="false">IF($A1879="","",UPPER(TRIM(Base_Bruta!M1879)))</f>
        <v>MG</v>
      </c>
      <c r="O1879" s="4" t="str">
        <f aca="false">IF($A1879="","",_xlfn.XLOOKUP(LOWER(TRIM(Base_Bruta!N1879)),DePara_Pais!$A$2:$A$9,DePara_Pais!$B$2:$B$9,"REVISAR"))</f>
        <v>Brasil</v>
      </c>
      <c r="P1879" s="4" t="str">
        <f aca="false">IF($A1879="","",IF(O1879&lt;&gt;"Brasil","Turista Internacional",IF(M1879=F1879,"Local","Turista Nacional")))</f>
        <v>Local</v>
      </c>
      <c r="Q1879" s="7" t="n">
        <f aca="false">IF($A1879="","",DATE(YEAR(B1879),MONTH(B1879),1))</f>
        <v>45962</v>
      </c>
      <c r="R1879" s="4" t="str">
        <f aca="false">IF($A1879="","",IF(COUNTIF($A$2:$A1879,$A1879)&gt;1,"Sim","Não"))</f>
        <v>Não</v>
      </c>
      <c r="S1879" s="4" t="str">
        <f aca="false">IF(A1879="","Descartar - Linha vazia",IF(R1879="Sim","Descartar - Duplicado",IF(OR(H1879&lt;=0,I1879&lt;=0),"Descartar - Qtd/Valor inválido","OK")))</f>
        <v>OK</v>
      </c>
      <c r="T1879" s="4" t="str">
        <f aca="false">Base_Bruta!P1879</f>
        <v>vendas_MG.csv</v>
      </c>
    </row>
    <row r="1880" customFormat="false" ht="15" hidden="false" customHeight="false" outlineLevel="0" collapsed="false">
      <c r="A1880" s="4" t="str">
        <f aca="false">IF(Base_Bruta!A1880="","",Base_Bruta!A1880)</f>
        <v>MG-000233</v>
      </c>
      <c r="B1880" s="5" t="n">
        <f aca="false">IF($A1880="","",IF(ISNUMBER(Base_Bruta!B1880),Base_Bruta!B1880,IF(MID(Base_Bruta!B1880,5,1)="-",DATE(VALUE(LEFT(Base_Bruta!B1880,4)),VALUE(MID(Base_Bruta!B1880,6,2)),VALUE(RIGHT(Base_Bruta!B1880,2))),DATE(VALUE(RIGHT(Base_Bruta!B1880,4)),VALUE(MID(Base_Bruta!B1880,4,2)),VALUE(LEFT(Base_Bruta!B1880,2))))))</f>
        <v>45969</v>
      </c>
      <c r="C1880" s="5" t="n">
        <f aca="false">IF($A1880="","",IF(ISNUMBER(Base_Bruta!C1880),Base_Bruta!C1880,IF(MID(Base_Bruta!C1880,5,1)="-",DATE(VALUE(LEFT(Base_Bruta!C1880,4)),VALUE(MID(Base_Bruta!C1880,6,2)),VALUE(RIGHT(Base_Bruta!C1880,2))),DATE(VALUE(RIGHT(Base_Bruta!C1880,4)),VALUE(MID(Base_Bruta!C1880,4,2)),VALUE(LEFT(Base_Bruta!C1880,2))))))</f>
        <v>46081</v>
      </c>
      <c r="D1880" s="4" t="str">
        <f aca="false">IF($A1880="","",TRIM(Base_Bruta!D1880))</f>
        <v>Show Sertanejo - BH</v>
      </c>
      <c r="E1880" s="4" t="str">
        <f aca="false">IF($A1880="","",_xlfn.XLOOKUP(LOWER(TRIM(Base_Bruta!E1880)),DePara_Categoria!$A$2:$A$9,DePara_Categoria!$B$2:$B$9,"REVISAR"))</f>
        <v>Show</v>
      </c>
      <c r="F1880" s="4" t="str">
        <f aca="false">IF($A1880="","",_xlfn.XLOOKUP(LOWER(TRIM(Base_Bruta!F1880)),DePara_Cidade!$A$2:$A$29,DePara_Cidade!$B$2:$B$29,"REVISAR"))</f>
        <v>Belo Horizonte</v>
      </c>
      <c r="G1880" s="4" t="str">
        <f aca="false">IF($A1880="","",TRIM(Base_Bruta!G1880))</f>
        <v>Inteira</v>
      </c>
      <c r="H1880" s="4" t="n">
        <f aca="false">IF($A1880="","",IF(ISNUMBER(Base_Bruta!H1880),Base_Bruta!H1880,IFERROR(_xlfn.NUMBERVALUE(TRIM(SUBSTITUTE(Base_Bruta!H1880,"R$","")),",","."),0)))</f>
        <v>4</v>
      </c>
      <c r="I1880" s="6" t="n">
        <f aca="false">IF($A1880="","",IF(ISNUMBER(Base_Bruta!I1880),Base_Bruta!I1880,IFERROR(_xlfn.NUMBERVALUE(TRIM(SUBSTITUTE(Base_Bruta!I1880,"R$","")),",","."),0)))</f>
        <v>250</v>
      </c>
      <c r="J1880" s="6" t="n">
        <f aca="false">IF($A1880="","",H1880*I1880)</f>
        <v>1000</v>
      </c>
      <c r="K1880" s="4" t="str">
        <f aca="false">IF($A1880="","",TRIM(Base_Bruta!J1880))</f>
        <v>Site</v>
      </c>
      <c r="L1880" s="4" t="str">
        <f aca="false">IF($A1880="","",TRIM(Base_Bruta!K1880))</f>
        <v>C01949</v>
      </c>
      <c r="M1880" s="4" t="str">
        <f aca="false">IF($A1880="","",_xlfn.XLOOKUP(LOWER(TRIM(Base_Bruta!L1880)),DePara_Cidade!$A$2:$A$29,DePara_Cidade!$B$2:$B$29,"REVISAR"))</f>
        <v>Belo Horizonte</v>
      </c>
      <c r="N1880" s="4" t="str">
        <f aca="false">IF($A1880="","",UPPER(TRIM(Base_Bruta!M1880)))</f>
        <v>MG</v>
      </c>
      <c r="O1880" s="4" t="str">
        <f aca="false">IF($A1880="","",_xlfn.XLOOKUP(LOWER(TRIM(Base_Bruta!N1880)),DePara_Pais!$A$2:$A$9,DePara_Pais!$B$2:$B$9,"REVISAR"))</f>
        <v>Brasil</v>
      </c>
      <c r="P1880" s="4" t="str">
        <f aca="false">IF($A1880="","",IF(O1880&lt;&gt;"Brasil","Turista Internacional",IF(M1880=F1880,"Local","Turista Nacional")))</f>
        <v>Local</v>
      </c>
      <c r="Q1880" s="7" t="n">
        <f aca="false">IF($A1880="","",DATE(YEAR(B1880),MONTH(B1880),1))</f>
        <v>45962</v>
      </c>
      <c r="R1880" s="4" t="str">
        <f aca="false">IF($A1880="","",IF(COUNTIF($A$2:$A1880,$A1880)&gt;1,"Sim","Não"))</f>
        <v>Não</v>
      </c>
      <c r="S1880" s="4" t="str">
        <f aca="false">IF(A1880="","Descartar - Linha vazia",IF(R1880="Sim","Descartar - Duplicado",IF(OR(H1880&lt;=0,I1880&lt;=0),"Descartar - Qtd/Valor inválido","OK")))</f>
        <v>OK</v>
      </c>
      <c r="T1880" s="4" t="str">
        <f aca="false">Base_Bruta!P1880</f>
        <v>vendas_MG.csv</v>
      </c>
    </row>
    <row r="1881" customFormat="false" ht="15" hidden="false" customHeight="false" outlineLevel="0" collapsed="false">
      <c r="A1881" s="4" t="str">
        <f aca="false">IF(Base_Bruta!A1881="","",Base_Bruta!A1881)</f>
        <v>MG-000245</v>
      </c>
      <c r="B1881" s="5" t="n">
        <f aca="false">IF($A1881="","",IF(ISNUMBER(Base_Bruta!B1881),Base_Bruta!B1881,IF(MID(Base_Bruta!B1881,5,1)="-",DATE(VALUE(LEFT(Base_Bruta!B1881,4)),VALUE(MID(Base_Bruta!B1881,6,2)),VALUE(RIGHT(Base_Bruta!B1881,2))),DATE(VALUE(RIGHT(Base_Bruta!B1881,4)),VALUE(MID(Base_Bruta!B1881,4,2)),VALUE(LEFT(Base_Bruta!B1881,2))))))</f>
        <v>45969</v>
      </c>
      <c r="C1881" s="5" t="n">
        <f aca="false">IF($A1881="","",IF(ISNUMBER(Base_Bruta!C1881),Base_Bruta!C1881,IF(MID(Base_Bruta!C1881,5,1)="-",DATE(VALUE(LEFT(Base_Bruta!C1881,4)),VALUE(MID(Base_Bruta!C1881,6,2)),VALUE(RIGHT(Base_Bruta!C1881,2))),DATE(VALUE(RIGHT(Base_Bruta!C1881,4)),VALUE(MID(Base_Bruta!C1881,4,2)),VALUE(LEFT(Base_Bruta!C1881,2))))))</f>
        <v>46081</v>
      </c>
      <c r="D1881" s="4" t="str">
        <f aca="false">IF($A1881="","",TRIM(Base_Bruta!D1881))</f>
        <v>Show Sertanejo - BH</v>
      </c>
      <c r="E1881" s="4" t="str">
        <f aca="false">IF($A1881="","",_xlfn.XLOOKUP(LOWER(TRIM(Base_Bruta!E1881)),DePara_Categoria!$A$2:$A$9,DePara_Categoria!$B$2:$B$9,"REVISAR"))</f>
        <v>Show</v>
      </c>
      <c r="F1881" s="4" t="str">
        <f aca="false">IF($A1881="","",_xlfn.XLOOKUP(LOWER(TRIM(Base_Bruta!F1881)),DePara_Cidade!$A$2:$A$29,DePara_Cidade!$B$2:$B$29,"REVISAR"))</f>
        <v>Belo Horizonte</v>
      </c>
      <c r="G1881" s="4" t="str">
        <f aca="false">IF($A1881="","",TRIM(Base_Bruta!G1881))</f>
        <v>Inteira</v>
      </c>
      <c r="H1881" s="4" t="n">
        <f aca="false">IF($A1881="","",IF(ISNUMBER(Base_Bruta!H1881),Base_Bruta!H1881,IFERROR(_xlfn.NUMBERVALUE(TRIM(SUBSTITUTE(Base_Bruta!H1881,"R$","")),",","."),0)))</f>
        <v>4</v>
      </c>
      <c r="I1881" s="6" t="n">
        <f aca="false">IF($A1881="","",IF(ISNUMBER(Base_Bruta!I1881),Base_Bruta!I1881,IFERROR(_xlfn.NUMBERVALUE(TRIM(SUBSTITUTE(Base_Bruta!I1881,"R$","")),",","."),0)))</f>
        <v>515</v>
      </c>
      <c r="J1881" s="6" t="n">
        <f aca="false">IF($A1881="","",H1881*I1881)</f>
        <v>2060</v>
      </c>
      <c r="K1881" s="4" t="str">
        <f aca="false">IF($A1881="","",TRIM(Base_Bruta!J1881))</f>
        <v>Site</v>
      </c>
      <c r="L1881" s="4" t="str">
        <f aca="false">IF($A1881="","",TRIM(Base_Bruta!K1881))</f>
        <v>C01348</v>
      </c>
      <c r="M1881" s="4" t="str">
        <f aca="false">IF($A1881="","",_xlfn.XLOOKUP(LOWER(TRIM(Base_Bruta!L1881)),DePara_Cidade!$A$2:$A$29,DePara_Cidade!$B$2:$B$29,"REVISAR"))</f>
        <v>Curitiba</v>
      </c>
      <c r="N1881" s="4" t="str">
        <f aca="false">IF($A1881="","",UPPER(TRIM(Base_Bruta!M1881)))</f>
        <v>PR</v>
      </c>
      <c r="O1881" s="4" t="str">
        <f aca="false">IF($A1881="","",_xlfn.XLOOKUP(LOWER(TRIM(Base_Bruta!N1881)),DePara_Pais!$A$2:$A$9,DePara_Pais!$B$2:$B$9,"REVISAR"))</f>
        <v>Brasil</v>
      </c>
      <c r="P1881" s="4" t="str">
        <f aca="false">IF($A1881="","",IF(O1881&lt;&gt;"Brasil","Turista Internacional",IF(M1881=F1881,"Local","Turista Nacional")))</f>
        <v>Turista Nacional</v>
      </c>
      <c r="Q1881" s="7" t="n">
        <f aca="false">IF($A1881="","",DATE(YEAR(B1881),MONTH(B1881),1))</f>
        <v>45962</v>
      </c>
      <c r="R1881" s="4" t="str">
        <f aca="false">IF($A1881="","",IF(COUNTIF($A$2:$A1881,$A1881)&gt;1,"Sim","Não"))</f>
        <v>Não</v>
      </c>
      <c r="S1881" s="4" t="str">
        <f aca="false">IF(A1881="","Descartar - Linha vazia",IF(R1881="Sim","Descartar - Duplicado",IF(OR(H1881&lt;=0,I1881&lt;=0),"Descartar - Qtd/Valor inválido","OK")))</f>
        <v>OK</v>
      </c>
      <c r="T1881" s="4" t="str">
        <f aca="false">Base_Bruta!P1881</f>
        <v>vendas_MG.csv</v>
      </c>
    </row>
    <row r="1882" customFormat="false" ht="15" hidden="false" customHeight="false" outlineLevel="0" collapsed="false">
      <c r="A1882" s="4" t="str">
        <f aca="false">IF(Base_Bruta!A1882="","",Base_Bruta!A1882)</f>
        <v>MG-000373</v>
      </c>
      <c r="B1882" s="5" t="n">
        <f aca="false">IF($A1882="","",IF(ISNUMBER(Base_Bruta!B1882),Base_Bruta!B1882,IF(MID(Base_Bruta!B1882,5,1)="-",DATE(VALUE(LEFT(Base_Bruta!B1882,4)),VALUE(MID(Base_Bruta!B1882,6,2)),VALUE(RIGHT(Base_Bruta!B1882,2))),DATE(VALUE(RIGHT(Base_Bruta!B1882,4)),VALUE(MID(Base_Bruta!B1882,4,2)),VALUE(LEFT(Base_Bruta!B1882,2))))))</f>
        <v>45969</v>
      </c>
      <c r="C1882" s="5" t="n">
        <f aca="false">IF($A1882="","",IF(ISNUMBER(Base_Bruta!C1882),Base_Bruta!C1882,IF(MID(Base_Bruta!C1882,5,1)="-",DATE(VALUE(LEFT(Base_Bruta!C1882,4)),VALUE(MID(Base_Bruta!C1882,6,2)),VALUE(RIGHT(Base_Bruta!C1882,2))),DATE(VALUE(RIGHT(Base_Bruta!C1882,4)),VALUE(MID(Base_Bruta!C1882,4,2)),VALUE(LEFT(Base_Bruta!C1882,2))))))</f>
        <v>46081</v>
      </c>
      <c r="D1882" s="4" t="str">
        <f aca="false">IF($A1882="","",TRIM(Base_Bruta!D1882))</f>
        <v>Show Sertanejo - BH</v>
      </c>
      <c r="E1882" s="4" t="str">
        <f aca="false">IF($A1882="","",_xlfn.XLOOKUP(LOWER(TRIM(Base_Bruta!E1882)),DePara_Categoria!$A$2:$A$9,DePara_Categoria!$B$2:$B$9,"REVISAR"))</f>
        <v>Show</v>
      </c>
      <c r="F1882" s="4" t="str">
        <f aca="false">IF($A1882="","",_xlfn.XLOOKUP(LOWER(TRIM(Base_Bruta!F1882)),DePara_Cidade!$A$2:$A$29,DePara_Cidade!$B$2:$B$29,"REVISAR"))</f>
        <v>Belo Horizonte</v>
      </c>
      <c r="G1882" s="4" t="str">
        <f aca="false">IF($A1882="","",TRIM(Base_Bruta!G1882))</f>
        <v>Inteira</v>
      </c>
      <c r="H1882" s="4" t="n">
        <f aca="false">IF($A1882="","",IF(ISNUMBER(Base_Bruta!H1882),Base_Bruta!H1882,IFERROR(_xlfn.NUMBERVALUE(TRIM(SUBSTITUTE(Base_Bruta!H1882,"R$","")),",","."),0)))</f>
        <v>1</v>
      </c>
      <c r="I1882" s="6" t="n">
        <f aca="false">IF($A1882="","",IF(ISNUMBER(Base_Bruta!I1882),Base_Bruta!I1882,IFERROR(_xlfn.NUMBERVALUE(TRIM(SUBSTITUTE(Base_Bruta!I1882,"R$","")),",","."),0)))</f>
        <v>230</v>
      </c>
      <c r="J1882" s="6" t="n">
        <f aca="false">IF($A1882="","",H1882*I1882)</f>
        <v>230</v>
      </c>
      <c r="K1882" s="4" t="str">
        <f aca="false">IF($A1882="","",TRIM(Base_Bruta!J1882))</f>
        <v>App</v>
      </c>
      <c r="L1882" s="4" t="str">
        <f aca="false">IF($A1882="","",TRIM(Base_Bruta!K1882))</f>
        <v>C02017</v>
      </c>
      <c r="M1882" s="4" t="str">
        <f aca="false">IF($A1882="","",_xlfn.XLOOKUP(LOWER(TRIM(Base_Bruta!L1882)),DePara_Cidade!$A$2:$A$29,DePara_Cidade!$B$2:$B$29,"REVISAR"))</f>
        <v>Belo Horizonte</v>
      </c>
      <c r="N1882" s="4" t="str">
        <f aca="false">IF($A1882="","",UPPER(TRIM(Base_Bruta!M1882)))</f>
        <v>MG</v>
      </c>
      <c r="O1882" s="4" t="str">
        <f aca="false">IF($A1882="","",_xlfn.XLOOKUP(LOWER(TRIM(Base_Bruta!N1882)),DePara_Pais!$A$2:$A$9,DePara_Pais!$B$2:$B$9,"REVISAR"))</f>
        <v>Brasil</v>
      </c>
      <c r="P1882" s="4" t="str">
        <f aca="false">IF($A1882="","",IF(O1882&lt;&gt;"Brasil","Turista Internacional",IF(M1882=F1882,"Local","Turista Nacional")))</f>
        <v>Local</v>
      </c>
      <c r="Q1882" s="7" t="n">
        <f aca="false">IF($A1882="","",DATE(YEAR(B1882),MONTH(B1882),1))</f>
        <v>45962</v>
      </c>
      <c r="R1882" s="4" t="str">
        <f aca="false">IF($A1882="","",IF(COUNTIF($A$2:$A1882,$A1882)&gt;1,"Sim","Não"))</f>
        <v>Não</v>
      </c>
      <c r="S1882" s="4" t="str">
        <f aca="false">IF(A1882="","Descartar - Linha vazia",IF(R1882="Sim","Descartar - Duplicado",IF(OR(H1882&lt;=0,I1882&lt;=0),"Descartar - Qtd/Valor inválido","OK")))</f>
        <v>OK</v>
      </c>
      <c r="T1882" s="4" t="str">
        <f aca="false">Base_Bruta!P1882</f>
        <v>vendas_MG.csv</v>
      </c>
    </row>
    <row r="1883" customFormat="false" ht="15" hidden="false" customHeight="false" outlineLevel="0" collapsed="false">
      <c r="A1883" s="4" t="str">
        <f aca="false">IF(Base_Bruta!A1883="","",Base_Bruta!A1883)</f>
        <v>MG-000240</v>
      </c>
      <c r="B1883" s="5" t="n">
        <f aca="false">IF($A1883="","",IF(ISNUMBER(Base_Bruta!B1883),Base_Bruta!B1883,IF(MID(Base_Bruta!B1883,5,1)="-",DATE(VALUE(LEFT(Base_Bruta!B1883,4)),VALUE(MID(Base_Bruta!B1883,6,2)),VALUE(RIGHT(Base_Bruta!B1883,2))),DATE(VALUE(RIGHT(Base_Bruta!B1883,4)),VALUE(MID(Base_Bruta!B1883,4,2)),VALUE(LEFT(Base_Bruta!B1883,2))))))</f>
        <v>45970</v>
      </c>
      <c r="C1883" s="5" t="n">
        <f aca="false">IF($A1883="","",IF(ISNUMBER(Base_Bruta!C1883),Base_Bruta!C1883,IF(MID(Base_Bruta!C1883,5,1)="-",DATE(VALUE(LEFT(Base_Bruta!C1883,4)),VALUE(MID(Base_Bruta!C1883,6,2)),VALUE(RIGHT(Base_Bruta!C1883,2))),DATE(VALUE(RIGHT(Base_Bruta!C1883,4)),VALUE(MID(Base_Bruta!C1883,4,2)),VALUE(LEFT(Base_Bruta!C1883,2))))))</f>
        <v>46081</v>
      </c>
      <c r="D1883" s="4" t="str">
        <f aca="false">IF($A1883="","",TRIM(Base_Bruta!D1883))</f>
        <v>Show Sertanejo - BH</v>
      </c>
      <c r="E1883" s="4" t="str">
        <f aca="false">IF($A1883="","",_xlfn.XLOOKUP(LOWER(TRIM(Base_Bruta!E1883)),DePara_Categoria!$A$2:$A$9,DePara_Categoria!$B$2:$B$9,"REVISAR"))</f>
        <v>Show</v>
      </c>
      <c r="F1883" s="4" t="str">
        <f aca="false">IF($A1883="","",_xlfn.XLOOKUP(LOWER(TRIM(Base_Bruta!F1883)),DePara_Cidade!$A$2:$A$29,DePara_Cidade!$B$2:$B$29,"REVISAR"))</f>
        <v>Belo Horizonte</v>
      </c>
      <c r="G1883" s="4" t="str">
        <f aca="false">IF($A1883="","",TRIM(Base_Bruta!G1883))</f>
        <v>Inteira</v>
      </c>
      <c r="H1883" s="4" t="n">
        <f aca="false">IF($A1883="","",IF(ISNUMBER(Base_Bruta!H1883),Base_Bruta!H1883,IFERROR(_xlfn.NUMBERVALUE(TRIM(SUBSTITUTE(Base_Bruta!H1883,"R$","")),",","."),0)))</f>
        <v>3</v>
      </c>
      <c r="I1883" s="6" t="n">
        <f aca="false">IF($A1883="","",IF(ISNUMBER(Base_Bruta!I1883),Base_Bruta!I1883,IFERROR(_xlfn.NUMBERVALUE(TRIM(SUBSTITUTE(Base_Bruta!I1883,"R$","")),",","."),0)))</f>
        <v>560</v>
      </c>
      <c r="J1883" s="6" t="n">
        <f aca="false">IF($A1883="","",H1883*I1883)</f>
        <v>1680</v>
      </c>
      <c r="K1883" s="4" t="str">
        <f aca="false">IF($A1883="","",TRIM(Base_Bruta!J1883))</f>
        <v>App</v>
      </c>
      <c r="L1883" s="4" t="str">
        <f aca="false">IF($A1883="","",TRIM(Base_Bruta!K1883))</f>
        <v>C01616</v>
      </c>
      <c r="M1883" s="4" t="str">
        <f aca="false">IF($A1883="","",_xlfn.XLOOKUP(LOWER(TRIM(Base_Bruta!L1883)),DePara_Cidade!$A$2:$A$29,DePara_Cidade!$B$2:$B$29,"REVISAR"))</f>
        <v>Belo Horizonte</v>
      </c>
      <c r="N1883" s="4" t="str">
        <f aca="false">IF($A1883="","",UPPER(TRIM(Base_Bruta!M1883)))</f>
        <v>MG</v>
      </c>
      <c r="O1883" s="4" t="str">
        <f aca="false">IF($A1883="","",_xlfn.XLOOKUP(LOWER(TRIM(Base_Bruta!N1883)),DePara_Pais!$A$2:$A$9,DePara_Pais!$B$2:$B$9,"REVISAR"))</f>
        <v>Brasil</v>
      </c>
      <c r="P1883" s="4" t="str">
        <f aca="false">IF($A1883="","",IF(O1883&lt;&gt;"Brasil","Turista Internacional",IF(M1883=F1883,"Local","Turista Nacional")))</f>
        <v>Local</v>
      </c>
      <c r="Q1883" s="7" t="n">
        <f aca="false">IF($A1883="","",DATE(YEAR(B1883),MONTH(B1883),1))</f>
        <v>45962</v>
      </c>
      <c r="R1883" s="4" t="str">
        <f aca="false">IF($A1883="","",IF(COUNTIF($A$2:$A1883,$A1883)&gt;1,"Sim","Não"))</f>
        <v>Não</v>
      </c>
      <c r="S1883" s="4" t="str">
        <f aca="false">IF(A1883="","Descartar - Linha vazia",IF(R1883="Sim","Descartar - Duplicado",IF(OR(H1883&lt;=0,I1883&lt;=0),"Descartar - Qtd/Valor inválido","OK")))</f>
        <v>OK</v>
      </c>
      <c r="T1883" s="4" t="str">
        <f aca="false">Base_Bruta!P1883</f>
        <v>vendas_MG.csv</v>
      </c>
    </row>
    <row r="1884" customFormat="false" ht="15" hidden="false" customHeight="false" outlineLevel="0" collapsed="false">
      <c r="A1884" s="4" t="str">
        <f aca="false">IF(Base_Bruta!A1884="","",Base_Bruta!A1884)</f>
        <v>MG-000268</v>
      </c>
      <c r="B1884" s="5" t="n">
        <f aca="false">IF($A1884="","",IF(ISNUMBER(Base_Bruta!B1884),Base_Bruta!B1884,IF(MID(Base_Bruta!B1884,5,1)="-",DATE(VALUE(LEFT(Base_Bruta!B1884,4)),VALUE(MID(Base_Bruta!B1884,6,2)),VALUE(RIGHT(Base_Bruta!B1884,2))),DATE(VALUE(RIGHT(Base_Bruta!B1884,4)),VALUE(MID(Base_Bruta!B1884,4,2)),VALUE(LEFT(Base_Bruta!B1884,2))))))</f>
        <v>45970</v>
      </c>
      <c r="C1884" s="5" t="n">
        <f aca="false">IF($A1884="","",IF(ISNUMBER(Base_Bruta!C1884),Base_Bruta!C1884,IF(MID(Base_Bruta!C1884,5,1)="-",DATE(VALUE(LEFT(Base_Bruta!C1884,4)),VALUE(MID(Base_Bruta!C1884,6,2)),VALUE(RIGHT(Base_Bruta!C1884,2))),DATE(VALUE(RIGHT(Base_Bruta!C1884,4)),VALUE(MID(Base_Bruta!C1884,4,2)),VALUE(LEFT(Base_Bruta!C1884,2))))))</f>
        <v>46081</v>
      </c>
      <c r="D1884" s="4" t="str">
        <f aca="false">IF($A1884="","",TRIM(Base_Bruta!D1884))</f>
        <v>Show Sertanejo - BH</v>
      </c>
      <c r="E1884" s="4" t="str">
        <f aca="false">IF($A1884="","",_xlfn.XLOOKUP(LOWER(TRIM(Base_Bruta!E1884)),DePara_Categoria!$A$2:$A$9,DePara_Categoria!$B$2:$B$9,"REVISAR"))</f>
        <v>Show</v>
      </c>
      <c r="F1884" s="4" t="str">
        <f aca="false">IF($A1884="","",_xlfn.XLOOKUP(LOWER(TRIM(Base_Bruta!F1884)),DePara_Cidade!$A$2:$A$29,DePara_Cidade!$B$2:$B$29,"REVISAR"))</f>
        <v>Belo Horizonte</v>
      </c>
      <c r="G1884" s="4" t="str">
        <f aca="false">IF($A1884="","",TRIM(Base_Bruta!G1884))</f>
        <v>Meia</v>
      </c>
      <c r="H1884" s="4" t="n">
        <f aca="false">IF($A1884="","",IF(ISNUMBER(Base_Bruta!H1884),Base_Bruta!H1884,IFERROR(_xlfn.NUMBERVALUE(TRIM(SUBSTITUTE(Base_Bruta!H1884,"R$","")),",","."),0)))</f>
        <v>2</v>
      </c>
      <c r="I1884" s="6" t="n">
        <f aca="false">IF($A1884="","",IF(ISNUMBER(Base_Bruta!I1884),Base_Bruta!I1884,IFERROR(_xlfn.NUMBERVALUE(TRIM(SUBSTITUTE(Base_Bruta!I1884,"R$","")),",","."),0)))</f>
        <v>180</v>
      </c>
      <c r="J1884" s="6" t="n">
        <f aca="false">IF($A1884="","",H1884*I1884)</f>
        <v>360</v>
      </c>
      <c r="K1884" s="4" t="str">
        <f aca="false">IF($A1884="","",TRIM(Base_Bruta!J1884))</f>
        <v>App</v>
      </c>
      <c r="L1884" s="4" t="str">
        <f aca="false">IF($A1884="","",TRIM(Base_Bruta!K1884))</f>
        <v>C00686</v>
      </c>
      <c r="M1884" s="4" t="str">
        <f aca="false">IF($A1884="","",_xlfn.XLOOKUP(LOWER(TRIM(Base_Bruta!L1884)),DePara_Cidade!$A$2:$A$29,DePara_Cidade!$B$2:$B$29,"REVISAR"))</f>
        <v>Belo Horizonte</v>
      </c>
      <c r="N1884" s="4" t="str">
        <f aca="false">IF($A1884="","",UPPER(TRIM(Base_Bruta!M1884)))</f>
        <v>MG</v>
      </c>
      <c r="O1884" s="4" t="str">
        <f aca="false">IF($A1884="","",_xlfn.XLOOKUP(LOWER(TRIM(Base_Bruta!N1884)),DePara_Pais!$A$2:$A$9,DePara_Pais!$B$2:$B$9,"REVISAR"))</f>
        <v>Brasil</v>
      </c>
      <c r="P1884" s="4" t="str">
        <f aca="false">IF($A1884="","",IF(O1884&lt;&gt;"Brasil","Turista Internacional",IF(M1884=F1884,"Local","Turista Nacional")))</f>
        <v>Local</v>
      </c>
      <c r="Q1884" s="7" t="n">
        <f aca="false">IF($A1884="","",DATE(YEAR(B1884),MONTH(B1884),1))</f>
        <v>45962</v>
      </c>
      <c r="R1884" s="4" t="str">
        <f aca="false">IF($A1884="","",IF(COUNTIF($A$2:$A1884,$A1884)&gt;1,"Sim","Não"))</f>
        <v>Não</v>
      </c>
      <c r="S1884" s="4" t="str">
        <f aca="false">IF(A1884="","Descartar - Linha vazia",IF(R1884="Sim","Descartar - Duplicado",IF(OR(H1884&lt;=0,I1884&lt;=0),"Descartar - Qtd/Valor inválido","OK")))</f>
        <v>OK</v>
      </c>
      <c r="T1884" s="4" t="str">
        <f aca="false">Base_Bruta!P1884</f>
        <v>vendas_MG.csv</v>
      </c>
    </row>
    <row r="1885" customFormat="false" ht="15" hidden="false" customHeight="false" outlineLevel="0" collapsed="false">
      <c r="A1885" s="4" t="str">
        <f aca="false">IF(Base_Bruta!A1885="","",Base_Bruta!A1885)</f>
        <v>MG-000356</v>
      </c>
      <c r="B1885" s="5" t="n">
        <f aca="false">IF($A1885="","",IF(ISNUMBER(Base_Bruta!B1885),Base_Bruta!B1885,IF(MID(Base_Bruta!B1885,5,1)="-",DATE(VALUE(LEFT(Base_Bruta!B1885,4)),VALUE(MID(Base_Bruta!B1885,6,2)),VALUE(RIGHT(Base_Bruta!B1885,2))),DATE(VALUE(RIGHT(Base_Bruta!B1885,4)),VALUE(MID(Base_Bruta!B1885,4,2)),VALUE(LEFT(Base_Bruta!B1885,2))))))</f>
        <v>45971</v>
      </c>
      <c r="C1885" s="5" t="n">
        <f aca="false">IF($A1885="","",IF(ISNUMBER(Base_Bruta!C1885),Base_Bruta!C1885,IF(MID(Base_Bruta!C1885,5,1)="-",DATE(VALUE(LEFT(Base_Bruta!C1885,4)),VALUE(MID(Base_Bruta!C1885,6,2)),VALUE(RIGHT(Base_Bruta!C1885,2))),DATE(VALUE(RIGHT(Base_Bruta!C1885,4)),VALUE(MID(Base_Bruta!C1885,4,2)),VALUE(LEFT(Base_Bruta!C1885,2))))))</f>
        <v>46081</v>
      </c>
      <c r="D1885" s="4" t="str">
        <f aca="false">IF($A1885="","",TRIM(Base_Bruta!D1885))</f>
        <v>Show Sertanejo - BH</v>
      </c>
      <c r="E1885" s="4" t="str">
        <f aca="false">IF($A1885="","",_xlfn.XLOOKUP(LOWER(TRIM(Base_Bruta!E1885)),DePara_Categoria!$A$2:$A$9,DePara_Categoria!$B$2:$B$9,"REVISAR"))</f>
        <v>Show</v>
      </c>
      <c r="F1885" s="4" t="str">
        <f aca="false">IF($A1885="","",_xlfn.XLOOKUP(LOWER(TRIM(Base_Bruta!F1885)),DePara_Cidade!$A$2:$A$29,DePara_Cidade!$B$2:$B$29,"REVISAR"))</f>
        <v>Belo Horizonte</v>
      </c>
      <c r="G1885" s="4" t="str">
        <f aca="false">IF($A1885="","",TRIM(Base_Bruta!G1885))</f>
        <v>Meia</v>
      </c>
      <c r="H1885" s="4" t="n">
        <f aca="false">IF($A1885="","",IF(ISNUMBER(Base_Bruta!H1885),Base_Bruta!H1885,IFERROR(_xlfn.NUMBERVALUE(TRIM(SUBSTITUTE(Base_Bruta!H1885,"R$","")),",","."),0)))</f>
        <v>2</v>
      </c>
      <c r="I1885" s="6" t="n">
        <f aca="false">IF($A1885="","",IF(ISNUMBER(Base_Bruta!I1885),Base_Bruta!I1885,IFERROR(_xlfn.NUMBERVALUE(TRIM(SUBSTITUTE(Base_Bruta!I1885,"R$","")),",","."),0)))</f>
        <v>280</v>
      </c>
      <c r="J1885" s="6" t="n">
        <f aca="false">IF($A1885="","",H1885*I1885)</f>
        <v>560</v>
      </c>
      <c r="K1885" s="4" t="str">
        <f aca="false">IF($A1885="","",TRIM(Base_Bruta!J1885))</f>
        <v>App</v>
      </c>
      <c r="L1885" s="4" t="str">
        <f aca="false">IF($A1885="","",TRIM(Base_Bruta!K1885))</f>
        <v>C01380</v>
      </c>
      <c r="M1885" s="4" t="str">
        <f aca="false">IF($A1885="","",_xlfn.XLOOKUP(LOWER(TRIM(Base_Bruta!L1885)),DePara_Cidade!$A$2:$A$29,DePara_Cidade!$B$2:$B$29,"REVISAR"))</f>
        <v>Belo Horizonte</v>
      </c>
      <c r="N1885" s="4" t="str">
        <f aca="false">IF($A1885="","",UPPER(TRIM(Base_Bruta!M1885)))</f>
        <v>MG</v>
      </c>
      <c r="O1885" s="4" t="str">
        <f aca="false">IF($A1885="","",_xlfn.XLOOKUP(LOWER(TRIM(Base_Bruta!N1885)),DePara_Pais!$A$2:$A$9,DePara_Pais!$B$2:$B$9,"REVISAR"))</f>
        <v>Brasil</v>
      </c>
      <c r="P1885" s="4" t="str">
        <f aca="false">IF($A1885="","",IF(O1885&lt;&gt;"Brasil","Turista Internacional",IF(M1885=F1885,"Local","Turista Nacional")))</f>
        <v>Local</v>
      </c>
      <c r="Q1885" s="7" t="n">
        <f aca="false">IF($A1885="","",DATE(YEAR(B1885),MONTH(B1885),1))</f>
        <v>45962</v>
      </c>
      <c r="R1885" s="4" t="str">
        <f aca="false">IF($A1885="","",IF(COUNTIF($A$2:$A1885,$A1885)&gt;1,"Sim","Não"))</f>
        <v>Não</v>
      </c>
      <c r="S1885" s="4" t="str">
        <f aca="false">IF(A1885="","Descartar - Linha vazia",IF(R1885="Sim","Descartar - Duplicado",IF(OR(H1885&lt;=0,I1885&lt;=0),"Descartar - Qtd/Valor inválido","OK")))</f>
        <v>OK</v>
      </c>
      <c r="T1885" s="4" t="str">
        <f aca="false">Base_Bruta!P1885</f>
        <v>vendas_MG.csv</v>
      </c>
    </row>
    <row r="1886" customFormat="false" ht="15" hidden="false" customHeight="false" outlineLevel="0" collapsed="false">
      <c r="A1886" s="4" t="str">
        <f aca="false">IF(Base_Bruta!A1886="","",Base_Bruta!A1886)</f>
        <v>MG-000251</v>
      </c>
      <c r="B1886" s="5" t="n">
        <f aca="false">IF($A1886="","",IF(ISNUMBER(Base_Bruta!B1886),Base_Bruta!B1886,IF(MID(Base_Bruta!B1886,5,1)="-",DATE(VALUE(LEFT(Base_Bruta!B1886,4)),VALUE(MID(Base_Bruta!B1886,6,2)),VALUE(RIGHT(Base_Bruta!B1886,2))),DATE(VALUE(RIGHT(Base_Bruta!B1886,4)),VALUE(MID(Base_Bruta!B1886,4,2)),VALUE(LEFT(Base_Bruta!B1886,2))))))</f>
        <v>45972</v>
      </c>
      <c r="C1886" s="5" t="n">
        <f aca="false">IF($A1886="","",IF(ISNUMBER(Base_Bruta!C1886),Base_Bruta!C1886,IF(MID(Base_Bruta!C1886,5,1)="-",DATE(VALUE(LEFT(Base_Bruta!C1886,4)),VALUE(MID(Base_Bruta!C1886,6,2)),VALUE(RIGHT(Base_Bruta!C1886,2))),DATE(VALUE(RIGHT(Base_Bruta!C1886,4)),VALUE(MID(Base_Bruta!C1886,4,2)),VALUE(LEFT(Base_Bruta!C1886,2))))))</f>
        <v>46081</v>
      </c>
      <c r="D1886" s="4" t="str">
        <f aca="false">IF($A1886="","",TRIM(Base_Bruta!D1886))</f>
        <v>Show Sertanejo - BH</v>
      </c>
      <c r="E1886" s="4" t="str">
        <f aca="false">IF($A1886="","",_xlfn.XLOOKUP(LOWER(TRIM(Base_Bruta!E1886)),DePara_Categoria!$A$2:$A$9,DePara_Categoria!$B$2:$B$9,"REVISAR"))</f>
        <v>Show</v>
      </c>
      <c r="F1886" s="4" t="str">
        <f aca="false">IF($A1886="","",_xlfn.XLOOKUP(LOWER(TRIM(Base_Bruta!F1886)),DePara_Cidade!$A$2:$A$29,DePara_Cidade!$B$2:$B$29,"REVISAR"))</f>
        <v>Belo Horizonte</v>
      </c>
      <c r="G1886" s="4" t="str">
        <f aca="false">IF($A1886="","",TRIM(Base_Bruta!G1886))</f>
        <v>VIP</v>
      </c>
      <c r="H1886" s="4" t="n">
        <f aca="false">IF($A1886="","",IF(ISNUMBER(Base_Bruta!H1886),Base_Bruta!H1886,IFERROR(_xlfn.NUMBERVALUE(TRIM(SUBSTITUTE(Base_Bruta!H1886,"R$","")),",","."),0)))</f>
        <v>1</v>
      </c>
      <c r="I1886" s="6" t="n">
        <f aca="false">IF($A1886="","",IF(ISNUMBER(Base_Bruta!I1886),Base_Bruta!I1886,IFERROR(_xlfn.NUMBERVALUE(TRIM(SUBSTITUTE(Base_Bruta!I1886,"R$","")),",","."),0)))</f>
        <v>530</v>
      </c>
      <c r="J1886" s="6" t="n">
        <f aca="false">IF($A1886="","",H1886*I1886)</f>
        <v>530</v>
      </c>
      <c r="K1886" s="4" t="str">
        <f aca="false">IF($A1886="","",TRIM(Base_Bruta!J1886))</f>
        <v>App</v>
      </c>
      <c r="L1886" s="4" t="str">
        <f aca="false">IF($A1886="","",TRIM(Base_Bruta!K1886))</f>
        <v>C01612</v>
      </c>
      <c r="M1886" s="4" t="str">
        <f aca="false">IF($A1886="","",_xlfn.XLOOKUP(LOWER(TRIM(Base_Bruta!L1886)),DePara_Cidade!$A$2:$A$29,DePara_Cidade!$B$2:$B$29,"REVISAR"))</f>
        <v>Belo Horizonte</v>
      </c>
      <c r="N1886" s="4" t="str">
        <f aca="false">IF($A1886="","",UPPER(TRIM(Base_Bruta!M1886)))</f>
        <v>MG</v>
      </c>
      <c r="O1886" s="4" t="str">
        <f aca="false">IF($A1886="","",_xlfn.XLOOKUP(LOWER(TRIM(Base_Bruta!N1886)),DePara_Pais!$A$2:$A$9,DePara_Pais!$B$2:$B$9,"REVISAR"))</f>
        <v>Brasil</v>
      </c>
      <c r="P1886" s="4" t="str">
        <f aca="false">IF($A1886="","",IF(O1886&lt;&gt;"Brasil","Turista Internacional",IF(M1886=F1886,"Local","Turista Nacional")))</f>
        <v>Local</v>
      </c>
      <c r="Q1886" s="7" t="n">
        <f aca="false">IF($A1886="","",DATE(YEAR(B1886),MONTH(B1886),1))</f>
        <v>45962</v>
      </c>
      <c r="R1886" s="4" t="str">
        <f aca="false">IF($A1886="","",IF(COUNTIF($A$2:$A1886,$A1886)&gt;1,"Sim","Não"))</f>
        <v>Não</v>
      </c>
      <c r="S1886" s="4" t="str">
        <f aca="false">IF(A1886="","Descartar - Linha vazia",IF(R1886="Sim","Descartar - Duplicado",IF(OR(H1886&lt;=0,I1886&lt;=0),"Descartar - Qtd/Valor inválido","OK")))</f>
        <v>OK</v>
      </c>
      <c r="T1886" s="4" t="str">
        <f aca="false">Base_Bruta!P1886</f>
        <v>vendas_MG.csv</v>
      </c>
    </row>
    <row r="1887" customFormat="false" ht="15" hidden="false" customHeight="false" outlineLevel="0" collapsed="false">
      <c r="A1887" s="4" t="str">
        <f aca="false">IF(Base_Bruta!A1887="","",Base_Bruta!A1887)</f>
        <v>MG-000407</v>
      </c>
      <c r="B1887" s="5" t="n">
        <f aca="false">IF($A1887="","",IF(ISNUMBER(Base_Bruta!B1887),Base_Bruta!B1887,IF(MID(Base_Bruta!B1887,5,1)="-",DATE(VALUE(LEFT(Base_Bruta!B1887,4)),VALUE(MID(Base_Bruta!B1887,6,2)),VALUE(RIGHT(Base_Bruta!B1887,2))),DATE(VALUE(RIGHT(Base_Bruta!B1887,4)),VALUE(MID(Base_Bruta!B1887,4,2)),VALUE(LEFT(Base_Bruta!B1887,2))))))</f>
        <v>45972</v>
      </c>
      <c r="C1887" s="5" t="n">
        <f aca="false">IF($A1887="","",IF(ISNUMBER(Base_Bruta!C1887),Base_Bruta!C1887,IF(MID(Base_Bruta!C1887,5,1)="-",DATE(VALUE(LEFT(Base_Bruta!C1887,4)),VALUE(MID(Base_Bruta!C1887,6,2)),VALUE(RIGHT(Base_Bruta!C1887,2))),DATE(VALUE(RIGHT(Base_Bruta!C1887,4)),VALUE(MID(Base_Bruta!C1887,4,2)),VALUE(LEFT(Base_Bruta!C1887,2))))))</f>
        <v>45975</v>
      </c>
      <c r="D1887" s="4" t="str">
        <f aca="false">IF($A1887="","",TRIM(Base_Bruta!D1887))</f>
        <v>Cinema Savassi - Sessões</v>
      </c>
      <c r="E1887" s="4" t="str">
        <f aca="false">IF($A1887="","",_xlfn.XLOOKUP(LOWER(TRIM(Base_Bruta!E1887)),DePara_Categoria!$A$2:$A$9,DePara_Categoria!$B$2:$B$9,"REVISAR"))</f>
        <v>Cinema</v>
      </c>
      <c r="F1887" s="4" t="str">
        <f aca="false">IF($A1887="","",_xlfn.XLOOKUP(LOWER(TRIM(Base_Bruta!F1887)),DePara_Cidade!$A$2:$A$29,DePara_Cidade!$B$2:$B$29,"REVISAR"))</f>
        <v>Belo Horizonte</v>
      </c>
      <c r="G1887" s="4" t="str">
        <f aca="false">IF($A1887="","",TRIM(Base_Bruta!G1887))</f>
        <v>Inteira</v>
      </c>
      <c r="H1887" s="4" t="n">
        <f aca="false">IF($A1887="","",IF(ISNUMBER(Base_Bruta!H1887),Base_Bruta!H1887,IFERROR(_xlfn.NUMBERVALUE(TRIM(SUBSTITUTE(Base_Bruta!H1887,"R$","")),",","."),0)))</f>
        <v>4</v>
      </c>
      <c r="I1887" s="6" t="n">
        <f aca="false">IF($A1887="","",IF(ISNUMBER(Base_Bruta!I1887),Base_Bruta!I1887,IFERROR(_xlfn.NUMBERVALUE(TRIM(SUBSTITUTE(Base_Bruta!I1887,"R$","")),",","."),0)))</f>
        <v>40</v>
      </c>
      <c r="J1887" s="6" t="n">
        <f aca="false">IF($A1887="","",H1887*I1887)</f>
        <v>160</v>
      </c>
      <c r="K1887" s="4" t="str">
        <f aca="false">IF($A1887="","",TRIM(Base_Bruta!J1887))</f>
        <v>Site</v>
      </c>
      <c r="L1887" s="4" t="str">
        <f aca="false">IF($A1887="","",TRIM(Base_Bruta!K1887))</f>
        <v>C01729</v>
      </c>
      <c r="M1887" s="4" t="str">
        <f aca="false">IF($A1887="","",_xlfn.XLOOKUP(LOWER(TRIM(Base_Bruta!L1887)),DePara_Cidade!$A$2:$A$29,DePara_Cidade!$B$2:$B$29,"REVISAR"))</f>
        <v>Belo Horizonte</v>
      </c>
      <c r="N1887" s="4" t="str">
        <f aca="false">IF($A1887="","",UPPER(TRIM(Base_Bruta!M1887)))</f>
        <v>MG</v>
      </c>
      <c r="O1887" s="4" t="str">
        <f aca="false">IF($A1887="","",_xlfn.XLOOKUP(LOWER(TRIM(Base_Bruta!N1887)),DePara_Pais!$A$2:$A$9,DePara_Pais!$B$2:$B$9,"REVISAR"))</f>
        <v>Brasil</v>
      </c>
      <c r="P1887" s="4" t="str">
        <f aca="false">IF($A1887="","",IF(O1887&lt;&gt;"Brasil","Turista Internacional",IF(M1887=F1887,"Local","Turista Nacional")))</f>
        <v>Local</v>
      </c>
      <c r="Q1887" s="7" t="n">
        <f aca="false">IF($A1887="","",DATE(YEAR(B1887),MONTH(B1887),1))</f>
        <v>45962</v>
      </c>
      <c r="R1887" s="4" t="str">
        <f aca="false">IF($A1887="","",IF(COUNTIF($A$2:$A1887,$A1887)&gt;1,"Sim","Não"))</f>
        <v>Não</v>
      </c>
      <c r="S1887" s="4" t="str">
        <f aca="false">IF(A1887="","Descartar - Linha vazia",IF(R1887="Sim","Descartar - Duplicado",IF(OR(H1887&lt;=0,I1887&lt;=0),"Descartar - Qtd/Valor inválido","OK")))</f>
        <v>OK</v>
      </c>
      <c r="T1887" s="4" t="str">
        <f aca="false">Base_Bruta!P1887</f>
        <v>vendas_MG.csv</v>
      </c>
    </row>
    <row r="1888" customFormat="false" ht="15" hidden="false" customHeight="false" outlineLevel="0" collapsed="false">
      <c r="A1888" s="4" t="str">
        <f aca="false">IF(Base_Bruta!A1888="","",Base_Bruta!A1888)</f>
        <v>MG-000301</v>
      </c>
      <c r="B1888" s="5" t="n">
        <f aca="false">IF($A1888="","",IF(ISNUMBER(Base_Bruta!B1888),Base_Bruta!B1888,IF(MID(Base_Bruta!B1888,5,1)="-",DATE(VALUE(LEFT(Base_Bruta!B1888,4)),VALUE(MID(Base_Bruta!B1888,6,2)),VALUE(RIGHT(Base_Bruta!B1888,2))),DATE(VALUE(RIGHT(Base_Bruta!B1888,4)),VALUE(MID(Base_Bruta!B1888,4,2)),VALUE(LEFT(Base_Bruta!B1888,2))))))</f>
        <v>45973</v>
      </c>
      <c r="C1888" s="5" t="n">
        <f aca="false">IF($A1888="","",IF(ISNUMBER(Base_Bruta!C1888),Base_Bruta!C1888,IF(MID(Base_Bruta!C1888,5,1)="-",DATE(VALUE(LEFT(Base_Bruta!C1888,4)),VALUE(MID(Base_Bruta!C1888,6,2)),VALUE(RIGHT(Base_Bruta!C1888,2))),DATE(VALUE(RIGHT(Base_Bruta!C1888,4)),VALUE(MID(Base_Bruta!C1888,4,2)),VALUE(LEFT(Base_Bruta!C1888,2))))))</f>
        <v>46081</v>
      </c>
      <c r="D1888" s="4" t="str">
        <f aca="false">IF($A1888="","",TRIM(Base_Bruta!D1888))</f>
        <v>Show Sertanejo - BH</v>
      </c>
      <c r="E1888" s="4" t="str">
        <f aca="false">IF($A1888="","",_xlfn.XLOOKUP(LOWER(TRIM(Base_Bruta!E1888)),DePara_Categoria!$A$2:$A$9,DePara_Categoria!$B$2:$B$9,"REVISAR"))</f>
        <v>Show</v>
      </c>
      <c r="F1888" s="4" t="str">
        <f aca="false">IF($A1888="","",_xlfn.XLOOKUP(LOWER(TRIM(Base_Bruta!F1888)),DePara_Cidade!$A$2:$A$29,DePara_Cidade!$B$2:$B$29,"REVISAR"))</f>
        <v>Belo Horizonte</v>
      </c>
      <c r="G1888" s="4" t="str">
        <f aca="false">IF($A1888="","",TRIM(Base_Bruta!G1888))</f>
        <v>Meia</v>
      </c>
      <c r="H1888" s="4" t="n">
        <f aca="false">IF($A1888="","",IF(ISNUMBER(Base_Bruta!H1888),Base_Bruta!H1888,IFERROR(_xlfn.NUMBERVALUE(TRIM(SUBSTITUTE(Base_Bruta!H1888,"R$","")),",","."),0)))</f>
        <v>1</v>
      </c>
      <c r="I1888" s="6" t="n">
        <f aca="false">IF($A1888="","",IF(ISNUMBER(Base_Bruta!I1888),Base_Bruta!I1888,IFERROR(_xlfn.NUMBERVALUE(TRIM(SUBSTITUTE(Base_Bruta!I1888,"R$","")),",","."),0)))</f>
        <v>125</v>
      </c>
      <c r="J1888" s="6" t="n">
        <f aca="false">IF($A1888="","",H1888*I1888)</f>
        <v>125</v>
      </c>
      <c r="K1888" s="4" t="str">
        <f aca="false">IF($A1888="","",TRIM(Base_Bruta!J1888))</f>
        <v>App</v>
      </c>
      <c r="L1888" s="4" t="str">
        <f aca="false">IF($A1888="","",TRIM(Base_Bruta!K1888))</f>
        <v>C01195</v>
      </c>
      <c r="M1888" s="4" t="str">
        <f aca="false">IF($A1888="","",_xlfn.XLOOKUP(LOWER(TRIM(Base_Bruta!L1888)),DePara_Cidade!$A$2:$A$29,DePara_Cidade!$B$2:$B$29,"REVISAR"))</f>
        <v>Belo Horizonte</v>
      </c>
      <c r="N1888" s="4" t="str">
        <f aca="false">IF($A1888="","",UPPER(TRIM(Base_Bruta!M1888)))</f>
        <v>MG</v>
      </c>
      <c r="O1888" s="4" t="str">
        <f aca="false">IF($A1888="","",_xlfn.XLOOKUP(LOWER(TRIM(Base_Bruta!N1888)),DePara_Pais!$A$2:$A$9,DePara_Pais!$B$2:$B$9,"REVISAR"))</f>
        <v>Brasil</v>
      </c>
      <c r="P1888" s="4" t="str">
        <f aca="false">IF($A1888="","",IF(O1888&lt;&gt;"Brasil","Turista Internacional",IF(M1888=F1888,"Local","Turista Nacional")))</f>
        <v>Local</v>
      </c>
      <c r="Q1888" s="7" t="n">
        <f aca="false">IF($A1888="","",DATE(YEAR(B1888),MONTH(B1888),1))</f>
        <v>45962</v>
      </c>
      <c r="R1888" s="4" t="str">
        <f aca="false">IF($A1888="","",IF(COUNTIF($A$2:$A1888,$A1888)&gt;1,"Sim","Não"))</f>
        <v>Não</v>
      </c>
      <c r="S1888" s="4" t="str">
        <f aca="false">IF(A1888="","Descartar - Linha vazia",IF(R1888="Sim","Descartar - Duplicado",IF(OR(H1888&lt;=0,I1888&lt;=0),"Descartar - Qtd/Valor inválido","OK")))</f>
        <v>OK</v>
      </c>
      <c r="T1888" s="4" t="str">
        <f aca="false">Base_Bruta!P1888</f>
        <v>vendas_MG.csv</v>
      </c>
    </row>
    <row r="1889" customFormat="false" ht="15" hidden="false" customHeight="false" outlineLevel="0" collapsed="false">
      <c r="A1889" s="4" t="str">
        <f aca="false">IF(Base_Bruta!A1889="","",Base_Bruta!A1889)</f>
        <v>MG-000365</v>
      </c>
      <c r="B1889" s="5" t="n">
        <f aca="false">IF($A1889="","",IF(ISNUMBER(Base_Bruta!B1889),Base_Bruta!B1889,IF(MID(Base_Bruta!B1889,5,1)="-",DATE(VALUE(LEFT(Base_Bruta!B1889,4)),VALUE(MID(Base_Bruta!B1889,6,2)),VALUE(RIGHT(Base_Bruta!B1889,2))),DATE(VALUE(RIGHT(Base_Bruta!B1889,4)),VALUE(MID(Base_Bruta!B1889,4,2)),VALUE(LEFT(Base_Bruta!B1889,2))))))</f>
        <v>45973</v>
      </c>
      <c r="C1889" s="5" t="n">
        <f aca="false">IF($A1889="","",IF(ISNUMBER(Base_Bruta!C1889),Base_Bruta!C1889,IF(MID(Base_Bruta!C1889,5,1)="-",DATE(VALUE(LEFT(Base_Bruta!C1889,4)),VALUE(MID(Base_Bruta!C1889,6,2)),VALUE(RIGHT(Base_Bruta!C1889,2))),DATE(VALUE(RIGHT(Base_Bruta!C1889,4)),VALUE(MID(Base_Bruta!C1889,4,2)),VALUE(LEFT(Base_Bruta!C1889,2))))))</f>
        <v>46081</v>
      </c>
      <c r="D1889" s="4" t="str">
        <f aca="false">IF($A1889="","",TRIM(Base_Bruta!D1889))</f>
        <v>Show Sertanejo - BH</v>
      </c>
      <c r="E1889" s="4" t="str">
        <f aca="false">IF($A1889="","",_xlfn.XLOOKUP(LOWER(TRIM(Base_Bruta!E1889)),DePara_Categoria!$A$2:$A$9,DePara_Categoria!$B$2:$B$9,"REVISAR"))</f>
        <v>Show</v>
      </c>
      <c r="F1889" s="4" t="str">
        <f aca="false">IF($A1889="","",_xlfn.XLOOKUP(LOWER(TRIM(Base_Bruta!F1889)),DePara_Cidade!$A$2:$A$29,DePara_Cidade!$B$2:$B$29,"REVISAR"))</f>
        <v>Belo Horizonte</v>
      </c>
      <c r="G1889" s="4" t="str">
        <f aca="false">IF($A1889="","",TRIM(Base_Bruta!G1889))</f>
        <v>Inteira</v>
      </c>
      <c r="H1889" s="4" t="n">
        <f aca="false">IF($A1889="","",IF(ISNUMBER(Base_Bruta!H1889),Base_Bruta!H1889,IFERROR(_xlfn.NUMBERVALUE(TRIM(SUBSTITUTE(Base_Bruta!H1889,"R$","")),",","."),0)))</f>
        <v>1</v>
      </c>
      <c r="I1889" s="6" t="n">
        <f aca="false">IF($A1889="","",IF(ISNUMBER(Base_Bruta!I1889),Base_Bruta!I1889,IFERROR(_xlfn.NUMBERVALUE(TRIM(SUBSTITUTE(Base_Bruta!I1889,"R$","")),",","."),0)))</f>
        <v>420</v>
      </c>
      <c r="J1889" s="6" t="n">
        <f aca="false">IF($A1889="","",H1889*I1889)</f>
        <v>420</v>
      </c>
      <c r="K1889" s="4" t="str">
        <f aca="false">IF($A1889="","",TRIM(Base_Bruta!J1889))</f>
        <v>App</v>
      </c>
      <c r="L1889" s="4" t="str">
        <f aca="false">IF($A1889="","",TRIM(Base_Bruta!K1889))</f>
        <v>C01951</v>
      </c>
      <c r="M1889" s="4" t="str">
        <f aca="false">IF($A1889="","",_xlfn.XLOOKUP(LOWER(TRIM(Base_Bruta!L1889)),DePara_Cidade!$A$2:$A$29,DePara_Cidade!$B$2:$B$29,"REVISAR"))</f>
        <v>Salvador</v>
      </c>
      <c r="N1889" s="4" t="str">
        <f aca="false">IF($A1889="","",UPPER(TRIM(Base_Bruta!M1889)))</f>
        <v>BA</v>
      </c>
      <c r="O1889" s="4" t="str">
        <f aca="false">IF($A1889="","",_xlfn.XLOOKUP(LOWER(TRIM(Base_Bruta!N1889)),DePara_Pais!$A$2:$A$9,DePara_Pais!$B$2:$B$9,"REVISAR"))</f>
        <v>Brasil</v>
      </c>
      <c r="P1889" s="4" t="str">
        <f aca="false">IF($A1889="","",IF(O1889&lt;&gt;"Brasil","Turista Internacional",IF(M1889=F1889,"Local","Turista Nacional")))</f>
        <v>Turista Nacional</v>
      </c>
      <c r="Q1889" s="7" t="n">
        <f aca="false">IF($A1889="","",DATE(YEAR(B1889),MONTH(B1889),1))</f>
        <v>45962</v>
      </c>
      <c r="R1889" s="4" t="str">
        <f aca="false">IF($A1889="","",IF(COUNTIF($A$2:$A1889,$A1889)&gt;1,"Sim","Não"))</f>
        <v>Não</v>
      </c>
      <c r="S1889" s="4" t="str">
        <f aca="false">IF(A1889="","Descartar - Linha vazia",IF(R1889="Sim","Descartar - Duplicado",IF(OR(H1889&lt;=0,I1889&lt;=0),"Descartar - Qtd/Valor inválido","OK")))</f>
        <v>OK</v>
      </c>
      <c r="T1889" s="4" t="str">
        <f aca="false">Base_Bruta!P1889</f>
        <v>vendas_MG.csv</v>
      </c>
    </row>
    <row r="1890" customFormat="false" ht="15" hidden="false" customHeight="false" outlineLevel="0" collapsed="false">
      <c r="A1890" s="4" t="str">
        <f aca="false">IF(Base_Bruta!A1890="","",Base_Bruta!A1890)</f>
        <v>MG-000372</v>
      </c>
      <c r="B1890" s="5" t="n">
        <f aca="false">IF($A1890="","",IF(ISNUMBER(Base_Bruta!B1890),Base_Bruta!B1890,IF(MID(Base_Bruta!B1890,5,1)="-",DATE(VALUE(LEFT(Base_Bruta!B1890,4)),VALUE(MID(Base_Bruta!B1890,6,2)),VALUE(RIGHT(Base_Bruta!B1890,2))),DATE(VALUE(RIGHT(Base_Bruta!B1890,4)),VALUE(MID(Base_Bruta!B1890,4,2)),VALUE(LEFT(Base_Bruta!B1890,2))))))</f>
        <v>45973</v>
      </c>
      <c r="C1890" s="5" t="n">
        <f aca="false">IF($A1890="","",IF(ISNUMBER(Base_Bruta!C1890),Base_Bruta!C1890,IF(MID(Base_Bruta!C1890,5,1)="-",DATE(VALUE(LEFT(Base_Bruta!C1890,4)),VALUE(MID(Base_Bruta!C1890,6,2)),VALUE(RIGHT(Base_Bruta!C1890,2))),DATE(VALUE(RIGHT(Base_Bruta!C1890,4)),VALUE(MID(Base_Bruta!C1890,4,2)),VALUE(LEFT(Base_Bruta!C1890,2))))))</f>
        <v>46081</v>
      </c>
      <c r="D1890" s="4" t="str">
        <f aca="false">IF($A1890="","",TRIM(Base_Bruta!D1890))</f>
        <v>Show Sertanejo - BH</v>
      </c>
      <c r="E1890" s="4" t="str">
        <f aca="false">IF($A1890="","",_xlfn.XLOOKUP(LOWER(TRIM(Base_Bruta!E1890)),DePara_Categoria!$A$2:$A$9,DePara_Categoria!$B$2:$B$9,"REVISAR"))</f>
        <v>Show</v>
      </c>
      <c r="F1890" s="4" t="str">
        <f aca="false">IF($A1890="","",_xlfn.XLOOKUP(LOWER(TRIM(Base_Bruta!F1890)),DePara_Cidade!$A$2:$A$29,DePara_Cidade!$B$2:$B$29,"REVISAR"))</f>
        <v>Belo Horizonte</v>
      </c>
      <c r="G1890" s="4" t="str">
        <f aca="false">IF($A1890="","",TRIM(Base_Bruta!G1890))</f>
        <v>Inteira</v>
      </c>
      <c r="H1890" s="4" t="n">
        <f aca="false">IF($A1890="","",IF(ISNUMBER(Base_Bruta!H1890),Base_Bruta!H1890,IFERROR(_xlfn.NUMBERVALUE(TRIM(SUBSTITUTE(Base_Bruta!H1890,"R$","")),",","."),0)))</f>
        <v>2</v>
      </c>
      <c r="I1890" s="6" t="n">
        <f aca="false">IF($A1890="","",IF(ISNUMBER(Base_Bruta!I1890),Base_Bruta!I1890,IFERROR(_xlfn.NUMBERVALUE(TRIM(SUBSTITUTE(Base_Bruta!I1890,"R$","")),",","."),0)))</f>
        <v>295</v>
      </c>
      <c r="J1890" s="6" t="n">
        <f aca="false">IF($A1890="","",H1890*I1890)</f>
        <v>590</v>
      </c>
      <c r="K1890" s="4" t="str">
        <f aca="false">IF($A1890="","",TRIM(Base_Bruta!J1890))</f>
        <v>App</v>
      </c>
      <c r="L1890" s="4" t="str">
        <f aca="false">IF($A1890="","",TRIM(Base_Bruta!K1890))</f>
        <v>C00798</v>
      </c>
      <c r="M1890" s="4" t="str">
        <f aca="false">IF($A1890="","",_xlfn.XLOOKUP(LOWER(TRIM(Base_Bruta!L1890)),DePara_Cidade!$A$2:$A$29,DePara_Cidade!$B$2:$B$29,"REVISAR"))</f>
        <v>Belo Horizonte</v>
      </c>
      <c r="N1890" s="4" t="str">
        <f aca="false">IF($A1890="","",UPPER(TRIM(Base_Bruta!M1890)))</f>
        <v>MG</v>
      </c>
      <c r="O1890" s="4" t="str">
        <f aca="false">IF($A1890="","",_xlfn.XLOOKUP(LOWER(TRIM(Base_Bruta!N1890)),DePara_Pais!$A$2:$A$9,DePara_Pais!$B$2:$B$9,"REVISAR"))</f>
        <v>Brasil</v>
      </c>
      <c r="P1890" s="4" t="str">
        <f aca="false">IF($A1890="","",IF(O1890&lt;&gt;"Brasil","Turista Internacional",IF(M1890=F1890,"Local","Turista Nacional")))</f>
        <v>Local</v>
      </c>
      <c r="Q1890" s="7" t="n">
        <f aca="false">IF($A1890="","",DATE(YEAR(B1890),MONTH(B1890),1))</f>
        <v>45962</v>
      </c>
      <c r="R1890" s="4" t="str">
        <f aca="false">IF($A1890="","",IF(COUNTIF($A$2:$A1890,$A1890)&gt;1,"Sim","Não"))</f>
        <v>Não</v>
      </c>
      <c r="S1890" s="4" t="str">
        <f aca="false">IF(A1890="","Descartar - Linha vazia",IF(R1890="Sim","Descartar - Duplicado",IF(OR(H1890&lt;=0,I1890&lt;=0),"Descartar - Qtd/Valor inválido","OK")))</f>
        <v>OK</v>
      </c>
      <c r="T1890" s="4" t="str">
        <f aca="false">Base_Bruta!P1890</f>
        <v>vendas_MG.csv</v>
      </c>
    </row>
    <row r="1891" customFormat="false" ht="15" hidden="false" customHeight="false" outlineLevel="0" collapsed="false">
      <c r="A1891" s="4" t="str">
        <f aca="false">IF(Base_Bruta!A1891="","",Base_Bruta!A1891)</f>
        <v>MG-000241</v>
      </c>
      <c r="B1891" s="5" t="n">
        <f aca="false">IF($A1891="","",IF(ISNUMBER(Base_Bruta!B1891),Base_Bruta!B1891,IF(MID(Base_Bruta!B1891,5,1)="-",DATE(VALUE(LEFT(Base_Bruta!B1891,4)),VALUE(MID(Base_Bruta!B1891,6,2)),VALUE(RIGHT(Base_Bruta!B1891,2))),DATE(VALUE(RIGHT(Base_Bruta!B1891,4)),VALUE(MID(Base_Bruta!B1891,4,2)),VALUE(LEFT(Base_Bruta!B1891,2))))))</f>
        <v>45974</v>
      </c>
      <c r="C1891" s="5" t="n">
        <f aca="false">IF($A1891="","",IF(ISNUMBER(Base_Bruta!C1891),Base_Bruta!C1891,IF(MID(Base_Bruta!C1891,5,1)="-",DATE(VALUE(LEFT(Base_Bruta!C1891,4)),VALUE(MID(Base_Bruta!C1891,6,2)),VALUE(RIGHT(Base_Bruta!C1891,2))),DATE(VALUE(RIGHT(Base_Bruta!C1891,4)),VALUE(MID(Base_Bruta!C1891,4,2)),VALUE(LEFT(Base_Bruta!C1891,2))))))</f>
        <v>46081</v>
      </c>
      <c r="D1891" s="4" t="str">
        <f aca="false">IF($A1891="","",TRIM(Base_Bruta!D1891))</f>
        <v>Show Sertanejo - BH</v>
      </c>
      <c r="E1891" s="4" t="str">
        <f aca="false">IF($A1891="","",_xlfn.XLOOKUP(LOWER(TRIM(Base_Bruta!E1891)),DePara_Categoria!$A$2:$A$9,DePara_Categoria!$B$2:$B$9,"REVISAR"))</f>
        <v>Show</v>
      </c>
      <c r="F1891" s="4" t="str">
        <f aca="false">IF($A1891="","",_xlfn.XLOOKUP(LOWER(TRIM(Base_Bruta!F1891)),DePara_Cidade!$A$2:$A$29,DePara_Cidade!$B$2:$B$29,"REVISAR"))</f>
        <v>Belo Horizonte</v>
      </c>
      <c r="G1891" s="4" t="str">
        <f aca="false">IF($A1891="","",TRIM(Base_Bruta!G1891))</f>
        <v>Inteira</v>
      </c>
      <c r="H1891" s="4" t="n">
        <f aca="false">IF($A1891="","",IF(ISNUMBER(Base_Bruta!H1891),Base_Bruta!H1891,IFERROR(_xlfn.NUMBERVALUE(TRIM(SUBSTITUTE(Base_Bruta!H1891,"R$","")),",","."),0)))</f>
        <v>1</v>
      </c>
      <c r="I1891" s="6" t="n">
        <f aca="false">IF($A1891="","",IF(ISNUMBER(Base_Bruta!I1891),Base_Bruta!I1891,IFERROR(_xlfn.NUMBERVALUE(TRIM(SUBSTITUTE(Base_Bruta!I1891,"R$","")),",","."),0)))</f>
        <v>575</v>
      </c>
      <c r="J1891" s="6" t="n">
        <f aca="false">IF($A1891="","",H1891*I1891)</f>
        <v>575</v>
      </c>
      <c r="K1891" s="4" t="str">
        <f aca="false">IF($A1891="","",TRIM(Base_Bruta!J1891))</f>
        <v>Parceiro</v>
      </c>
      <c r="L1891" s="4" t="str">
        <f aca="false">IF($A1891="","",TRIM(Base_Bruta!K1891))</f>
        <v>C01928</v>
      </c>
      <c r="M1891" s="4" t="str">
        <f aca="false">IF($A1891="","",_xlfn.XLOOKUP(LOWER(TRIM(Base_Bruta!L1891)),DePara_Cidade!$A$2:$A$29,DePara_Cidade!$B$2:$B$29,"REVISAR"))</f>
        <v>Belo Horizonte</v>
      </c>
      <c r="N1891" s="4" t="str">
        <f aca="false">IF($A1891="","",UPPER(TRIM(Base_Bruta!M1891)))</f>
        <v>MG</v>
      </c>
      <c r="O1891" s="4" t="str">
        <f aca="false">IF($A1891="","",_xlfn.XLOOKUP(LOWER(TRIM(Base_Bruta!N1891)),DePara_Pais!$A$2:$A$9,DePara_Pais!$B$2:$B$9,"REVISAR"))</f>
        <v>Brasil</v>
      </c>
      <c r="P1891" s="4" t="str">
        <f aca="false">IF($A1891="","",IF(O1891&lt;&gt;"Brasil","Turista Internacional",IF(M1891=F1891,"Local","Turista Nacional")))</f>
        <v>Local</v>
      </c>
      <c r="Q1891" s="7" t="n">
        <f aca="false">IF($A1891="","",DATE(YEAR(B1891),MONTH(B1891),1))</f>
        <v>45962</v>
      </c>
      <c r="R1891" s="4" t="str">
        <f aca="false">IF($A1891="","",IF(COUNTIF($A$2:$A1891,$A1891)&gt;1,"Sim","Não"))</f>
        <v>Não</v>
      </c>
      <c r="S1891" s="4" t="str">
        <f aca="false">IF(A1891="","Descartar - Linha vazia",IF(R1891="Sim","Descartar - Duplicado",IF(OR(H1891&lt;=0,I1891&lt;=0),"Descartar - Qtd/Valor inválido","OK")))</f>
        <v>OK</v>
      </c>
      <c r="T1891" s="4" t="str">
        <f aca="false">Base_Bruta!P1891</f>
        <v>vendas_MG.csv</v>
      </c>
    </row>
    <row r="1892" customFormat="false" ht="15" hidden="false" customHeight="false" outlineLevel="0" collapsed="false">
      <c r="A1892" s="4" t="str">
        <f aca="false">IF(Base_Bruta!A1892="","",Base_Bruta!A1892)</f>
        <v>MG-000346</v>
      </c>
      <c r="B1892" s="5" t="n">
        <f aca="false">IF($A1892="","",IF(ISNUMBER(Base_Bruta!B1892),Base_Bruta!B1892,IF(MID(Base_Bruta!B1892,5,1)="-",DATE(VALUE(LEFT(Base_Bruta!B1892,4)),VALUE(MID(Base_Bruta!B1892,6,2)),VALUE(RIGHT(Base_Bruta!B1892,2))),DATE(VALUE(RIGHT(Base_Bruta!B1892,4)),VALUE(MID(Base_Bruta!B1892,4,2)),VALUE(LEFT(Base_Bruta!B1892,2))))))</f>
        <v>45974</v>
      </c>
      <c r="C1892" s="5" t="n">
        <f aca="false">IF($A1892="","",IF(ISNUMBER(Base_Bruta!C1892),Base_Bruta!C1892,IF(MID(Base_Bruta!C1892,5,1)="-",DATE(VALUE(LEFT(Base_Bruta!C1892,4)),VALUE(MID(Base_Bruta!C1892,6,2)),VALUE(RIGHT(Base_Bruta!C1892,2))),DATE(VALUE(RIGHT(Base_Bruta!C1892,4)),VALUE(MID(Base_Bruta!C1892,4,2)),VALUE(LEFT(Base_Bruta!C1892,2))))))</f>
        <v>46081</v>
      </c>
      <c r="D1892" s="4" t="str">
        <f aca="false">IF($A1892="","",TRIM(Base_Bruta!D1892))</f>
        <v>Show Sertanejo - BH</v>
      </c>
      <c r="E1892" s="4" t="str">
        <f aca="false">IF($A1892="","",_xlfn.XLOOKUP(LOWER(TRIM(Base_Bruta!E1892)),DePara_Categoria!$A$2:$A$9,DePara_Categoria!$B$2:$B$9,"REVISAR"))</f>
        <v>Show</v>
      </c>
      <c r="F1892" s="4" t="str">
        <f aca="false">IF($A1892="","",_xlfn.XLOOKUP(LOWER(TRIM(Base_Bruta!F1892)),DePara_Cidade!$A$2:$A$29,DePara_Cidade!$B$2:$B$29,"REVISAR"))</f>
        <v>Belo Horizonte</v>
      </c>
      <c r="G1892" s="4" t="str">
        <f aca="false">IF($A1892="","",TRIM(Base_Bruta!G1892))</f>
        <v>Inteira</v>
      </c>
      <c r="H1892" s="4" t="n">
        <f aca="false">IF($A1892="","",IF(ISNUMBER(Base_Bruta!H1892),Base_Bruta!H1892,IFERROR(_xlfn.NUMBERVALUE(TRIM(SUBSTITUTE(Base_Bruta!H1892,"R$","")),",","."),0)))</f>
        <v>2</v>
      </c>
      <c r="I1892" s="6" t="n">
        <f aca="false">IF($A1892="","",IF(ISNUMBER(Base_Bruta!I1892),Base_Bruta!I1892,IFERROR(_xlfn.NUMBERVALUE(TRIM(SUBSTITUTE(Base_Bruta!I1892,"R$","")),",","."),0)))</f>
        <v>285</v>
      </c>
      <c r="J1892" s="6" t="n">
        <f aca="false">IF($A1892="","",H1892*I1892)</f>
        <v>570</v>
      </c>
      <c r="K1892" s="4" t="str">
        <f aca="false">IF($A1892="","",TRIM(Base_Bruta!J1892))</f>
        <v>Site</v>
      </c>
      <c r="L1892" s="4" t="str">
        <f aca="false">IF($A1892="","",TRIM(Base_Bruta!K1892))</f>
        <v>C01331</v>
      </c>
      <c r="M1892" s="4" t="str">
        <f aca="false">IF($A1892="","",_xlfn.XLOOKUP(LOWER(TRIM(Base_Bruta!L1892)),DePara_Cidade!$A$2:$A$29,DePara_Cidade!$B$2:$B$29,"REVISAR"))</f>
        <v>Belo Horizonte</v>
      </c>
      <c r="N1892" s="4" t="str">
        <f aca="false">IF($A1892="","",UPPER(TRIM(Base_Bruta!M1892)))</f>
        <v>MG</v>
      </c>
      <c r="O1892" s="4" t="str">
        <f aca="false">IF($A1892="","",_xlfn.XLOOKUP(LOWER(TRIM(Base_Bruta!N1892)),DePara_Pais!$A$2:$A$9,DePara_Pais!$B$2:$B$9,"REVISAR"))</f>
        <v>Brasil</v>
      </c>
      <c r="P1892" s="4" t="str">
        <f aca="false">IF($A1892="","",IF(O1892&lt;&gt;"Brasil","Turista Internacional",IF(M1892=F1892,"Local","Turista Nacional")))</f>
        <v>Local</v>
      </c>
      <c r="Q1892" s="7" t="n">
        <f aca="false">IF($A1892="","",DATE(YEAR(B1892),MONTH(B1892),1))</f>
        <v>45962</v>
      </c>
      <c r="R1892" s="4" t="str">
        <f aca="false">IF($A1892="","",IF(COUNTIF($A$2:$A1892,$A1892)&gt;1,"Sim","Não"))</f>
        <v>Não</v>
      </c>
      <c r="S1892" s="4" t="str">
        <f aca="false">IF(A1892="","Descartar - Linha vazia",IF(R1892="Sim","Descartar - Duplicado",IF(OR(H1892&lt;=0,I1892&lt;=0),"Descartar - Qtd/Valor inválido","OK")))</f>
        <v>OK</v>
      </c>
      <c r="T1892" s="4" t="str">
        <f aca="false">Base_Bruta!P1892</f>
        <v>vendas_MG.csv</v>
      </c>
    </row>
    <row r="1893" customFormat="false" ht="15" hidden="false" customHeight="false" outlineLevel="0" collapsed="false">
      <c r="A1893" s="4" t="str">
        <f aca="false">IF(Base_Bruta!A1893="","",Base_Bruta!A1893)</f>
        <v>MG-000350</v>
      </c>
      <c r="B1893" s="5" t="n">
        <f aca="false">IF($A1893="","",IF(ISNUMBER(Base_Bruta!B1893),Base_Bruta!B1893,IF(MID(Base_Bruta!B1893,5,1)="-",DATE(VALUE(LEFT(Base_Bruta!B1893,4)),VALUE(MID(Base_Bruta!B1893,6,2)),VALUE(RIGHT(Base_Bruta!B1893,2))),DATE(VALUE(RIGHT(Base_Bruta!B1893,4)),VALUE(MID(Base_Bruta!B1893,4,2)),VALUE(LEFT(Base_Bruta!B1893,2))))))</f>
        <v>45975</v>
      </c>
      <c r="C1893" s="5" t="n">
        <f aca="false">IF($A1893="","",IF(ISNUMBER(Base_Bruta!C1893),Base_Bruta!C1893,IF(MID(Base_Bruta!C1893,5,1)="-",DATE(VALUE(LEFT(Base_Bruta!C1893,4)),VALUE(MID(Base_Bruta!C1893,6,2)),VALUE(RIGHT(Base_Bruta!C1893,2))),DATE(VALUE(RIGHT(Base_Bruta!C1893,4)),VALUE(MID(Base_Bruta!C1893,4,2)),VALUE(LEFT(Base_Bruta!C1893,2))))))</f>
        <v>46081</v>
      </c>
      <c r="D1893" s="4" t="str">
        <f aca="false">IF($A1893="","",TRIM(Base_Bruta!D1893))</f>
        <v>Show Sertanejo - BH</v>
      </c>
      <c r="E1893" s="4" t="str">
        <f aca="false">IF($A1893="","",_xlfn.XLOOKUP(LOWER(TRIM(Base_Bruta!E1893)),DePara_Categoria!$A$2:$A$9,DePara_Categoria!$B$2:$B$9,"REVISAR"))</f>
        <v>Show</v>
      </c>
      <c r="F1893" s="4" t="str">
        <f aca="false">IF($A1893="","",_xlfn.XLOOKUP(LOWER(TRIM(Base_Bruta!F1893)),DePara_Cidade!$A$2:$A$29,DePara_Cidade!$B$2:$B$29,"REVISAR"))</f>
        <v>Belo Horizonte</v>
      </c>
      <c r="G1893" s="4" t="str">
        <f aca="false">IF($A1893="","",TRIM(Base_Bruta!G1893))</f>
        <v>Meia</v>
      </c>
      <c r="H1893" s="4" t="n">
        <f aca="false">IF($A1893="","",IF(ISNUMBER(Base_Bruta!H1893),Base_Bruta!H1893,IFERROR(_xlfn.NUMBERVALUE(TRIM(SUBSTITUTE(Base_Bruta!H1893,"R$","")),",","."),0)))</f>
        <v>1</v>
      </c>
      <c r="I1893" s="6" t="n">
        <f aca="false">IF($A1893="","",IF(ISNUMBER(Base_Bruta!I1893),Base_Bruta!I1893,IFERROR(_xlfn.NUMBERVALUE(TRIM(SUBSTITUTE(Base_Bruta!I1893,"R$","")),",","."),0)))</f>
        <v>250</v>
      </c>
      <c r="J1893" s="6" t="n">
        <f aca="false">IF($A1893="","",H1893*I1893)</f>
        <v>250</v>
      </c>
      <c r="K1893" s="4" t="str">
        <f aca="false">IF($A1893="","",TRIM(Base_Bruta!J1893))</f>
        <v>App</v>
      </c>
      <c r="L1893" s="4" t="str">
        <f aca="false">IF($A1893="","",TRIM(Base_Bruta!K1893))</f>
        <v>C00784</v>
      </c>
      <c r="M1893" s="4" t="str">
        <f aca="false">IF($A1893="","",_xlfn.XLOOKUP(LOWER(TRIM(Base_Bruta!L1893)),DePara_Cidade!$A$2:$A$29,DePara_Cidade!$B$2:$B$29,"REVISAR"))</f>
        <v>Florianópolis</v>
      </c>
      <c r="N1893" s="4" t="str">
        <f aca="false">IF($A1893="","",UPPER(TRIM(Base_Bruta!M1893)))</f>
        <v>SC</v>
      </c>
      <c r="O1893" s="4" t="str">
        <f aca="false">IF($A1893="","",_xlfn.XLOOKUP(LOWER(TRIM(Base_Bruta!N1893)),DePara_Pais!$A$2:$A$9,DePara_Pais!$B$2:$B$9,"REVISAR"))</f>
        <v>Brasil</v>
      </c>
      <c r="P1893" s="4" t="str">
        <f aca="false">IF($A1893="","",IF(O1893&lt;&gt;"Brasil","Turista Internacional",IF(M1893=F1893,"Local","Turista Nacional")))</f>
        <v>Turista Nacional</v>
      </c>
      <c r="Q1893" s="7" t="n">
        <f aca="false">IF($A1893="","",DATE(YEAR(B1893),MONTH(B1893),1))</f>
        <v>45962</v>
      </c>
      <c r="R1893" s="4" t="str">
        <f aca="false">IF($A1893="","",IF(COUNTIF($A$2:$A1893,$A1893)&gt;1,"Sim","Não"))</f>
        <v>Não</v>
      </c>
      <c r="S1893" s="4" t="str">
        <f aca="false">IF(A1893="","Descartar - Linha vazia",IF(R1893="Sim","Descartar - Duplicado",IF(OR(H1893&lt;=0,I1893&lt;=0),"Descartar - Qtd/Valor inválido","OK")))</f>
        <v>OK</v>
      </c>
      <c r="T1893" s="4" t="str">
        <f aca="false">Base_Bruta!P1893</f>
        <v>vendas_MG.csv</v>
      </c>
    </row>
    <row r="1894" customFormat="false" ht="15" hidden="false" customHeight="false" outlineLevel="0" collapsed="false">
      <c r="A1894" s="4" t="str">
        <f aca="false">IF(Base_Bruta!A1894="","",Base_Bruta!A1894)</f>
        <v>MG-000246</v>
      </c>
      <c r="B1894" s="5" t="n">
        <f aca="false">IF($A1894="","",IF(ISNUMBER(Base_Bruta!B1894),Base_Bruta!B1894,IF(MID(Base_Bruta!B1894,5,1)="-",DATE(VALUE(LEFT(Base_Bruta!B1894,4)),VALUE(MID(Base_Bruta!B1894,6,2)),VALUE(RIGHT(Base_Bruta!B1894,2))),DATE(VALUE(RIGHT(Base_Bruta!B1894,4)),VALUE(MID(Base_Bruta!B1894,4,2)),VALUE(LEFT(Base_Bruta!B1894,2))))))</f>
        <v>45976</v>
      </c>
      <c r="C1894" s="5" t="n">
        <f aca="false">IF($A1894="","",IF(ISNUMBER(Base_Bruta!C1894),Base_Bruta!C1894,IF(MID(Base_Bruta!C1894,5,1)="-",DATE(VALUE(LEFT(Base_Bruta!C1894,4)),VALUE(MID(Base_Bruta!C1894,6,2)),VALUE(RIGHT(Base_Bruta!C1894,2))),DATE(VALUE(RIGHT(Base_Bruta!C1894,4)),VALUE(MID(Base_Bruta!C1894,4,2)),VALUE(LEFT(Base_Bruta!C1894,2))))))</f>
        <v>46081</v>
      </c>
      <c r="D1894" s="4" t="str">
        <f aca="false">IF($A1894="","",TRIM(Base_Bruta!D1894))</f>
        <v>Show Sertanejo - BH</v>
      </c>
      <c r="E1894" s="4" t="str">
        <f aca="false">IF($A1894="","",_xlfn.XLOOKUP(LOWER(TRIM(Base_Bruta!E1894)),DePara_Categoria!$A$2:$A$9,DePara_Categoria!$B$2:$B$9,"REVISAR"))</f>
        <v>Show</v>
      </c>
      <c r="F1894" s="4" t="str">
        <f aca="false">IF($A1894="","",_xlfn.XLOOKUP(LOWER(TRIM(Base_Bruta!F1894)),DePara_Cidade!$A$2:$A$29,DePara_Cidade!$B$2:$B$29,"REVISAR"))</f>
        <v>Belo Horizonte</v>
      </c>
      <c r="G1894" s="4" t="str">
        <f aca="false">IF($A1894="","",TRIM(Base_Bruta!G1894))</f>
        <v>Meia</v>
      </c>
      <c r="H1894" s="4" t="n">
        <f aca="false">IF($A1894="","",IF(ISNUMBER(Base_Bruta!H1894),Base_Bruta!H1894,IFERROR(_xlfn.NUMBERVALUE(TRIM(SUBSTITUTE(Base_Bruta!H1894,"R$","")),",","."),0)))</f>
        <v>4</v>
      </c>
      <c r="I1894" s="6" t="n">
        <f aca="false">IF($A1894="","",IF(ISNUMBER(Base_Bruta!I1894),Base_Bruta!I1894,IFERROR(_xlfn.NUMBERVALUE(TRIM(SUBSTITUTE(Base_Bruta!I1894,"R$","")),",","."),0)))</f>
        <v>190</v>
      </c>
      <c r="J1894" s="6" t="n">
        <f aca="false">IF($A1894="","",H1894*I1894)</f>
        <v>760</v>
      </c>
      <c r="K1894" s="4" t="str">
        <f aca="false">IF($A1894="","",TRIM(Base_Bruta!J1894))</f>
        <v>Site</v>
      </c>
      <c r="L1894" s="4" t="str">
        <f aca="false">IF($A1894="","",TRIM(Base_Bruta!K1894))</f>
        <v>C01584</v>
      </c>
      <c r="M1894" s="4" t="str">
        <f aca="false">IF($A1894="","",_xlfn.XLOOKUP(LOWER(TRIM(Base_Bruta!L1894)),DePara_Cidade!$A$2:$A$29,DePara_Cidade!$B$2:$B$29,"REVISAR"))</f>
        <v>Belo Horizonte</v>
      </c>
      <c r="N1894" s="4" t="str">
        <f aca="false">IF($A1894="","",UPPER(TRIM(Base_Bruta!M1894)))</f>
        <v>MG</v>
      </c>
      <c r="O1894" s="4" t="str">
        <f aca="false">IF($A1894="","",_xlfn.XLOOKUP(LOWER(TRIM(Base_Bruta!N1894)),DePara_Pais!$A$2:$A$9,DePara_Pais!$B$2:$B$9,"REVISAR"))</f>
        <v>Brasil</v>
      </c>
      <c r="P1894" s="4" t="str">
        <f aca="false">IF($A1894="","",IF(O1894&lt;&gt;"Brasil","Turista Internacional",IF(M1894=F1894,"Local","Turista Nacional")))</f>
        <v>Local</v>
      </c>
      <c r="Q1894" s="7" t="n">
        <f aca="false">IF($A1894="","",DATE(YEAR(B1894),MONTH(B1894),1))</f>
        <v>45962</v>
      </c>
      <c r="R1894" s="4" t="str">
        <f aca="false">IF($A1894="","",IF(COUNTIF($A$2:$A1894,$A1894)&gt;1,"Sim","Não"))</f>
        <v>Não</v>
      </c>
      <c r="S1894" s="4" t="str">
        <f aca="false">IF(A1894="","Descartar - Linha vazia",IF(R1894="Sim","Descartar - Duplicado",IF(OR(H1894&lt;=0,I1894&lt;=0),"Descartar - Qtd/Valor inválido","OK")))</f>
        <v>OK</v>
      </c>
      <c r="T1894" s="4" t="str">
        <f aca="false">Base_Bruta!P1894</f>
        <v>vendas_MG.csv</v>
      </c>
    </row>
    <row r="1895" customFormat="false" ht="15" hidden="false" customHeight="false" outlineLevel="0" collapsed="false">
      <c r="A1895" s="4" t="str">
        <f aca="false">IF(Base_Bruta!A1895="","",Base_Bruta!A1895)</f>
        <v>MG-000316</v>
      </c>
      <c r="B1895" s="5" t="n">
        <f aca="false">IF($A1895="","",IF(ISNUMBER(Base_Bruta!B1895),Base_Bruta!B1895,IF(MID(Base_Bruta!B1895,5,1)="-",DATE(VALUE(LEFT(Base_Bruta!B1895,4)),VALUE(MID(Base_Bruta!B1895,6,2)),VALUE(RIGHT(Base_Bruta!B1895,2))),DATE(VALUE(RIGHT(Base_Bruta!B1895,4)),VALUE(MID(Base_Bruta!B1895,4,2)),VALUE(LEFT(Base_Bruta!B1895,2))))))</f>
        <v>45976</v>
      </c>
      <c r="C1895" s="5" t="n">
        <f aca="false">IF($A1895="","",IF(ISNUMBER(Base_Bruta!C1895),Base_Bruta!C1895,IF(MID(Base_Bruta!C1895,5,1)="-",DATE(VALUE(LEFT(Base_Bruta!C1895,4)),VALUE(MID(Base_Bruta!C1895,6,2)),VALUE(RIGHT(Base_Bruta!C1895,2))),DATE(VALUE(RIGHT(Base_Bruta!C1895,4)),VALUE(MID(Base_Bruta!C1895,4,2)),VALUE(LEFT(Base_Bruta!C1895,2))))))</f>
        <v>46081</v>
      </c>
      <c r="D1895" s="4" t="str">
        <f aca="false">IF($A1895="","",TRIM(Base_Bruta!D1895))</f>
        <v>Show Sertanejo - BH</v>
      </c>
      <c r="E1895" s="4" t="str">
        <f aca="false">IF($A1895="","",_xlfn.XLOOKUP(LOWER(TRIM(Base_Bruta!E1895)),DePara_Categoria!$A$2:$A$9,DePara_Categoria!$B$2:$B$9,"REVISAR"))</f>
        <v>Show</v>
      </c>
      <c r="F1895" s="4" t="str">
        <f aca="false">IF($A1895="","",_xlfn.XLOOKUP(LOWER(TRIM(Base_Bruta!F1895)),DePara_Cidade!$A$2:$A$29,DePara_Cidade!$B$2:$B$29,"REVISAR"))</f>
        <v>Belo Horizonte</v>
      </c>
      <c r="G1895" s="4" t="str">
        <f aca="false">IF($A1895="","",TRIM(Base_Bruta!G1895))</f>
        <v>Inteira</v>
      </c>
      <c r="H1895" s="4" t="n">
        <f aca="false">IF($A1895="","",IF(ISNUMBER(Base_Bruta!H1895),Base_Bruta!H1895,IFERROR(_xlfn.NUMBERVALUE(TRIM(SUBSTITUTE(Base_Bruta!H1895,"R$","")),",","."),0)))</f>
        <v>2</v>
      </c>
      <c r="I1895" s="6" t="n">
        <f aca="false">IF($A1895="","",IF(ISNUMBER(Base_Bruta!I1895),Base_Bruta!I1895,IFERROR(_xlfn.NUMBERVALUE(TRIM(SUBSTITUTE(Base_Bruta!I1895,"R$","")),",","."),0)))</f>
        <v>305</v>
      </c>
      <c r="J1895" s="6" t="n">
        <f aca="false">IF($A1895="","",H1895*I1895)</f>
        <v>610</v>
      </c>
      <c r="K1895" s="4" t="str">
        <f aca="false">IF($A1895="","",TRIM(Base_Bruta!J1895))</f>
        <v>Site</v>
      </c>
      <c r="L1895" s="4" t="str">
        <f aca="false">IF($A1895="","",TRIM(Base_Bruta!K1895))</f>
        <v>C00605</v>
      </c>
      <c r="M1895" s="4" t="str">
        <f aca="false">IF($A1895="","",_xlfn.XLOOKUP(LOWER(TRIM(Base_Bruta!L1895)),DePara_Cidade!$A$2:$A$29,DePara_Cidade!$B$2:$B$29,"REVISAR"))</f>
        <v>Contagem</v>
      </c>
      <c r="N1895" s="4" t="str">
        <f aca="false">IF($A1895="","",UPPER(TRIM(Base_Bruta!M1895)))</f>
        <v>MG</v>
      </c>
      <c r="O1895" s="4" t="str">
        <f aca="false">IF($A1895="","",_xlfn.XLOOKUP(LOWER(TRIM(Base_Bruta!N1895)),DePara_Pais!$A$2:$A$9,DePara_Pais!$B$2:$B$9,"REVISAR"))</f>
        <v>Brasil</v>
      </c>
      <c r="P1895" s="4" t="str">
        <f aca="false">IF($A1895="","",IF(O1895&lt;&gt;"Brasil","Turista Internacional",IF(M1895=F1895,"Local","Turista Nacional")))</f>
        <v>Turista Nacional</v>
      </c>
      <c r="Q1895" s="7" t="n">
        <f aca="false">IF($A1895="","",DATE(YEAR(B1895),MONTH(B1895),1))</f>
        <v>45962</v>
      </c>
      <c r="R1895" s="4" t="str">
        <f aca="false">IF($A1895="","",IF(COUNTIF($A$2:$A1895,$A1895)&gt;1,"Sim","Não"))</f>
        <v>Não</v>
      </c>
      <c r="S1895" s="4" t="str">
        <f aca="false">IF(A1895="","Descartar - Linha vazia",IF(R1895="Sim","Descartar - Duplicado",IF(OR(H1895&lt;=0,I1895&lt;=0),"Descartar - Qtd/Valor inválido","OK")))</f>
        <v>OK</v>
      </c>
      <c r="T1895" s="4" t="str">
        <f aca="false">Base_Bruta!P1895</f>
        <v>vendas_MG.csv</v>
      </c>
    </row>
    <row r="1896" customFormat="false" ht="15" hidden="false" customHeight="false" outlineLevel="0" collapsed="false">
      <c r="A1896" s="4" t="str">
        <f aca="false">IF(Base_Bruta!A1896="","",Base_Bruta!A1896)</f>
        <v>MG-000348</v>
      </c>
      <c r="B1896" s="5" t="n">
        <f aca="false">IF($A1896="","",IF(ISNUMBER(Base_Bruta!B1896),Base_Bruta!B1896,IF(MID(Base_Bruta!B1896,5,1)="-",DATE(VALUE(LEFT(Base_Bruta!B1896,4)),VALUE(MID(Base_Bruta!B1896,6,2)),VALUE(RIGHT(Base_Bruta!B1896,2))),DATE(VALUE(RIGHT(Base_Bruta!B1896,4)),VALUE(MID(Base_Bruta!B1896,4,2)),VALUE(LEFT(Base_Bruta!B1896,2))))))</f>
        <v>45976</v>
      </c>
      <c r="C1896" s="5" t="n">
        <f aca="false">IF($A1896="","",IF(ISNUMBER(Base_Bruta!C1896),Base_Bruta!C1896,IF(MID(Base_Bruta!C1896,5,1)="-",DATE(VALUE(LEFT(Base_Bruta!C1896,4)),VALUE(MID(Base_Bruta!C1896,6,2)),VALUE(RIGHT(Base_Bruta!C1896,2))),DATE(VALUE(RIGHT(Base_Bruta!C1896,4)),VALUE(MID(Base_Bruta!C1896,4,2)),VALUE(LEFT(Base_Bruta!C1896,2))))))</f>
        <v>46081</v>
      </c>
      <c r="D1896" s="4" t="str">
        <f aca="false">IF($A1896="","",TRIM(Base_Bruta!D1896))</f>
        <v>Show Sertanejo - BH</v>
      </c>
      <c r="E1896" s="4" t="str">
        <f aca="false">IF($A1896="","",_xlfn.XLOOKUP(LOWER(TRIM(Base_Bruta!E1896)),DePara_Categoria!$A$2:$A$9,DePara_Categoria!$B$2:$B$9,"REVISAR"))</f>
        <v>Show</v>
      </c>
      <c r="F1896" s="4" t="str">
        <f aca="false">IF($A1896="","",_xlfn.XLOOKUP(LOWER(TRIM(Base_Bruta!F1896)),DePara_Cidade!$A$2:$A$29,DePara_Cidade!$B$2:$B$29,"REVISAR"))</f>
        <v>Belo Horizonte</v>
      </c>
      <c r="G1896" s="4" t="str">
        <f aca="false">IF($A1896="","",TRIM(Base_Bruta!G1896))</f>
        <v>VIP</v>
      </c>
      <c r="H1896" s="4" t="n">
        <f aca="false">IF($A1896="","",IF(ISNUMBER(Base_Bruta!H1896),Base_Bruta!H1896,IFERROR(_xlfn.NUMBERVALUE(TRIM(SUBSTITUTE(Base_Bruta!H1896,"R$","")),",","."),0)))</f>
        <v>2</v>
      </c>
      <c r="I1896" s="6" t="n">
        <f aca="false">IF($A1896="","",IF(ISNUMBER(Base_Bruta!I1896),Base_Bruta!I1896,IFERROR(_xlfn.NUMBERVALUE(TRIM(SUBSTITUTE(Base_Bruta!I1896,"R$","")),",","."),0)))</f>
        <v>1450</v>
      </c>
      <c r="J1896" s="6" t="n">
        <f aca="false">IF($A1896="","",H1896*I1896)</f>
        <v>2900</v>
      </c>
      <c r="K1896" s="4" t="str">
        <f aca="false">IF($A1896="","",TRIM(Base_Bruta!J1896))</f>
        <v>Site</v>
      </c>
      <c r="L1896" s="4" t="str">
        <f aca="false">IF($A1896="","",TRIM(Base_Bruta!K1896))</f>
        <v>C00542</v>
      </c>
      <c r="M1896" s="4" t="str">
        <f aca="false">IF($A1896="","",_xlfn.XLOOKUP(LOWER(TRIM(Base_Bruta!L1896)),DePara_Cidade!$A$2:$A$29,DePara_Cidade!$B$2:$B$29,"REVISAR"))</f>
        <v>Florianópolis</v>
      </c>
      <c r="N1896" s="4" t="str">
        <f aca="false">IF($A1896="","",UPPER(TRIM(Base_Bruta!M1896)))</f>
        <v>SC</v>
      </c>
      <c r="O1896" s="4" t="str">
        <f aca="false">IF($A1896="","",_xlfn.XLOOKUP(LOWER(TRIM(Base_Bruta!N1896)),DePara_Pais!$A$2:$A$9,DePara_Pais!$B$2:$B$9,"REVISAR"))</f>
        <v>Brasil</v>
      </c>
      <c r="P1896" s="4" t="str">
        <f aca="false">IF($A1896="","",IF(O1896&lt;&gt;"Brasil","Turista Internacional",IF(M1896=F1896,"Local","Turista Nacional")))</f>
        <v>Turista Nacional</v>
      </c>
      <c r="Q1896" s="7" t="n">
        <f aca="false">IF($A1896="","",DATE(YEAR(B1896),MONTH(B1896),1))</f>
        <v>45962</v>
      </c>
      <c r="R1896" s="4" t="str">
        <f aca="false">IF($A1896="","",IF(COUNTIF($A$2:$A1896,$A1896)&gt;1,"Sim","Não"))</f>
        <v>Não</v>
      </c>
      <c r="S1896" s="4" t="str">
        <f aca="false">IF(A1896="","Descartar - Linha vazia",IF(R1896="Sim","Descartar - Duplicado",IF(OR(H1896&lt;=0,I1896&lt;=0),"Descartar - Qtd/Valor inválido","OK")))</f>
        <v>OK</v>
      </c>
      <c r="T1896" s="4" t="str">
        <f aca="false">Base_Bruta!P1896</f>
        <v>vendas_MG.csv</v>
      </c>
    </row>
    <row r="1897" customFormat="false" ht="15" hidden="false" customHeight="false" outlineLevel="0" collapsed="false">
      <c r="A1897" s="4" t="str">
        <f aca="false">IF(Base_Bruta!A1897="","",Base_Bruta!A1897)</f>
        <v>MG-000375</v>
      </c>
      <c r="B1897" s="5" t="n">
        <f aca="false">IF($A1897="","",IF(ISNUMBER(Base_Bruta!B1897),Base_Bruta!B1897,IF(MID(Base_Bruta!B1897,5,1)="-",DATE(VALUE(LEFT(Base_Bruta!B1897,4)),VALUE(MID(Base_Bruta!B1897,6,2)),VALUE(RIGHT(Base_Bruta!B1897,2))),DATE(VALUE(RIGHT(Base_Bruta!B1897,4)),VALUE(MID(Base_Bruta!B1897,4,2)),VALUE(LEFT(Base_Bruta!B1897,2))))))</f>
        <v>45976</v>
      </c>
      <c r="C1897" s="5" t="n">
        <f aca="false">IF($A1897="","",IF(ISNUMBER(Base_Bruta!C1897),Base_Bruta!C1897,IF(MID(Base_Bruta!C1897,5,1)="-",DATE(VALUE(LEFT(Base_Bruta!C1897,4)),VALUE(MID(Base_Bruta!C1897,6,2)),VALUE(RIGHT(Base_Bruta!C1897,2))),DATE(VALUE(RIGHT(Base_Bruta!C1897,4)),VALUE(MID(Base_Bruta!C1897,4,2)),VALUE(LEFT(Base_Bruta!C1897,2))))))</f>
        <v>46081</v>
      </c>
      <c r="D1897" s="4" t="str">
        <f aca="false">IF($A1897="","",TRIM(Base_Bruta!D1897))</f>
        <v>Show Sertanejo - BH</v>
      </c>
      <c r="E1897" s="4" t="str">
        <f aca="false">IF($A1897="","",_xlfn.XLOOKUP(LOWER(TRIM(Base_Bruta!E1897)),DePara_Categoria!$A$2:$A$9,DePara_Categoria!$B$2:$B$9,"REVISAR"))</f>
        <v>Show</v>
      </c>
      <c r="F1897" s="4" t="str">
        <f aca="false">IF($A1897="","",_xlfn.XLOOKUP(LOWER(TRIM(Base_Bruta!F1897)),DePara_Cidade!$A$2:$A$29,DePara_Cidade!$B$2:$B$29,"REVISAR"))</f>
        <v>Belo Horizonte</v>
      </c>
      <c r="G1897" s="4" t="str">
        <f aca="false">IF($A1897="","",TRIM(Base_Bruta!G1897))</f>
        <v>Inteira</v>
      </c>
      <c r="H1897" s="4" t="n">
        <f aca="false">IF($A1897="","",IF(ISNUMBER(Base_Bruta!H1897),Base_Bruta!H1897,IFERROR(_xlfn.NUMBERVALUE(TRIM(SUBSTITUTE(Base_Bruta!H1897,"R$","")),",","."),0)))</f>
        <v>2</v>
      </c>
      <c r="I1897" s="6" t="n">
        <f aca="false">IF($A1897="","",IF(ISNUMBER(Base_Bruta!I1897),Base_Bruta!I1897,IFERROR(_xlfn.NUMBERVALUE(TRIM(SUBSTITUTE(Base_Bruta!I1897,"R$","")),",","."),0)))</f>
        <v>390</v>
      </c>
      <c r="J1897" s="6" t="n">
        <f aca="false">IF($A1897="","",H1897*I1897)</f>
        <v>780</v>
      </c>
      <c r="K1897" s="4" t="str">
        <f aca="false">IF($A1897="","",TRIM(Base_Bruta!J1897))</f>
        <v>App</v>
      </c>
      <c r="L1897" s="4" t="str">
        <f aca="false">IF($A1897="","",TRIM(Base_Bruta!K1897))</f>
        <v>C00969</v>
      </c>
      <c r="M1897" s="4" t="str">
        <f aca="false">IF($A1897="","",_xlfn.XLOOKUP(LOWER(TRIM(Base_Bruta!L1897)),DePara_Cidade!$A$2:$A$29,DePara_Cidade!$B$2:$B$29,"REVISAR"))</f>
        <v>Belo Horizonte</v>
      </c>
      <c r="N1897" s="4" t="str">
        <f aca="false">IF($A1897="","",UPPER(TRIM(Base_Bruta!M1897)))</f>
        <v>MG</v>
      </c>
      <c r="O1897" s="4" t="str">
        <f aca="false">IF($A1897="","",_xlfn.XLOOKUP(LOWER(TRIM(Base_Bruta!N1897)),DePara_Pais!$A$2:$A$9,DePara_Pais!$B$2:$B$9,"REVISAR"))</f>
        <v>Brasil</v>
      </c>
      <c r="P1897" s="4" t="str">
        <f aca="false">IF($A1897="","",IF(O1897&lt;&gt;"Brasil","Turista Internacional",IF(M1897=F1897,"Local","Turista Nacional")))</f>
        <v>Local</v>
      </c>
      <c r="Q1897" s="7" t="n">
        <f aca="false">IF($A1897="","",DATE(YEAR(B1897),MONTH(B1897),1))</f>
        <v>45962</v>
      </c>
      <c r="R1897" s="4" t="str">
        <f aca="false">IF($A1897="","",IF(COUNTIF($A$2:$A1897,$A1897)&gt;1,"Sim","Não"))</f>
        <v>Não</v>
      </c>
      <c r="S1897" s="4" t="str">
        <f aca="false">IF(A1897="","Descartar - Linha vazia",IF(R1897="Sim","Descartar - Duplicado",IF(OR(H1897&lt;=0,I1897&lt;=0),"Descartar - Qtd/Valor inválido","OK")))</f>
        <v>OK</v>
      </c>
      <c r="T1897" s="4" t="str">
        <f aca="false">Base_Bruta!P1897</f>
        <v>vendas_MG.csv</v>
      </c>
    </row>
    <row r="1898" customFormat="false" ht="15" hidden="false" customHeight="false" outlineLevel="0" collapsed="false">
      <c r="A1898" s="4" t="str">
        <f aca="false">IF(Base_Bruta!A1898="","",Base_Bruta!A1898)</f>
        <v>MG-000324</v>
      </c>
      <c r="B1898" s="5" t="n">
        <f aca="false">IF($A1898="","",IF(ISNUMBER(Base_Bruta!B1898),Base_Bruta!B1898,IF(MID(Base_Bruta!B1898,5,1)="-",DATE(VALUE(LEFT(Base_Bruta!B1898,4)),VALUE(MID(Base_Bruta!B1898,6,2)),VALUE(RIGHT(Base_Bruta!B1898,2))),DATE(VALUE(RIGHT(Base_Bruta!B1898,4)),VALUE(MID(Base_Bruta!B1898,4,2)),VALUE(LEFT(Base_Bruta!B1898,2))))))</f>
        <v>45977</v>
      </c>
      <c r="C1898" s="5" t="n">
        <f aca="false">IF($A1898="","",IF(ISNUMBER(Base_Bruta!C1898),Base_Bruta!C1898,IF(MID(Base_Bruta!C1898,5,1)="-",DATE(VALUE(LEFT(Base_Bruta!C1898,4)),VALUE(MID(Base_Bruta!C1898,6,2)),VALUE(RIGHT(Base_Bruta!C1898,2))),DATE(VALUE(RIGHT(Base_Bruta!C1898,4)),VALUE(MID(Base_Bruta!C1898,4,2)),VALUE(LEFT(Base_Bruta!C1898,2))))))</f>
        <v>46081</v>
      </c>
      <c r="D1898" s="4" t="str">
        <f aca="false">IF($A1898="","",TRIM(Base_Bruta!D1898))</f>
        <v>Show Sertanejo - BH</v>
      </c>
      <c r="E1898" s="4" t="str">
        <f aca="false">IF($A1898="","",_xlfn.XLOOKUP(LOWER(TRIM(Base_Bruta!E1898)),DePara_Categoria!$A$2:$A$9,DePara_Categoria!$B$2:$B$9,"REVISAR"))</f>
        <v>Show</v>
      </c>
      <c r="F1898" s="4" t="str">
        <f aca="false">IF($A1898="","",_xlfn.XLOOKUP(LOWER(TRIM(Base_Bruta!F1898)),DePara_Cidade!$A$2:$A$29,DePara_Cidade!$B$2:$B$29,"REVISAR"))</f>
        <v>Belo Horizonte</v>
      </c>
      <c r="G1898" s="4" t="str">
        <f aca="false">IF($A1898="","",TRIM(Base_Bruta!G1898))</f>
        <v>Inteira</v>
      </c>
      <c r="H1898" s="4" t="n">
        <f aca="false">IF($A1898="","",IF(ISNUMBER(Base_Bruta!H1898),Base_Bruta!H1898,IFERROR(_xlfn.NUMBERVALUE(TRIM(SUBSTITUTE(Base_Bruta!H1898,"R$","")),",","."),0)))</f>
        <v>1</v>
      </c>
      <c r="I1898" s="6" t="n">
        <f aca="false">IF($A1898="","",IF(ISNUMBER(Base_Bruta!I1898),Base_Bruta!I1898,IFERROR(_xlfn.NUMBERVALUE(TRIM(SUBSTITUTE(Base_Bruta!I1898,"R$","")),",","."),0)))</f>
        <v>370</v>
      </c>
      <c r="J1898" s="6" t="n">
        <f aca="false">IF($A1898="","",H1898*I1898)</f>
        <v>370</v>
      </c>
      <c r="K1898" s="4" t="str">
        <f aca="false">IF($A1898="","",TRIM(Base_Bruta!J1898))</f>
        <v>Bilheteria</v>
      </c>
      <c r="L1898" s="4" t="str">
        <f aca="false">IF($A1898="","",TRIM(Base_Bruta!K1898))</f>
        <v>C00945</v>
      </c>
      <c r="M1898" s="4" t="str">
        <f aca="false">IF($A1898="","",_xlfn.XLOOKUP(LOWER(TRIM(Base_Bruta!L1898)),DePara_Cidade!$A$2:$A$29,DePara_Cidade!$B$2:$B$29,"REVISAR"))</f>
        <v>Belo Horizonte</v>
      </c>
      <c r="N1898" s="4" t="str">
        <f aca="false">IF($A1898="","",UPPER(TRIM(Base_Bruta!M1898)))</f>
        <v>MG</v>
      </c>
      <c r="O1898" s="4" t="str">
        <f aca="false">IF($A1898="","",_xlfn.XLOOKUP(LOWER(TRIM(Base_Bruta!N1898)),DePara_Pais!$A$2:$A$9,DePara_Pais!$B$2:$B$9,"REVISAR"))</f>
        <v>Brasil</v>
      </c>
      <c r="P1898" s="4" t="str">
        <f aca="false">IF($A1898="","",IF(O1898&lt;&gt;"Brasil","Turista Internacional",IF(M1898=F1898,"Local","Turista Nacional")))</f>
        <v>Local</v>
      </c>
      <c r="Q1898" s="7" t="n">
        <f aca="false">IF($A1898="","",DATE(YEAR(B1898),MONTH(B1898),1))</f>
        <v>45962</v>
      </c>
      <c r="R1898" s="4" t="str">
        <f aca="false">IF($A1898="","",IF(COUNTIF($A$2:$A1898,$A1898)&gt;1,"Sim","Não"))</f>
        <v>Não</v>
      </c>
      <c r="S1898" s="4" t="str">
        <f aca="false">IF(A1898="","Descartar - Linha vazia",IF(R1898="Sim","Descartar - Duplicado",IF(OR(H1898&lt;=0,I1898&lt;=0),"Descartar - Qtd/Valor inválido","OK")))</f>
        <v>OK</v>
      </c>
      <c r="T1898" s="4" t="str">
        <f aca="false">Base_Bruta!P1898</f>
        <v>vendas_MG.csv</v>
      </c>
    </row>
    <row r="1899" customFormat="false" ht="15" hidden="false" customHeight="false" outlineLevel="0" collapsed="false">
      <c r="A1899" s="4" t="str">
        <f aca="false">IF(Base_Bruta!A1899="","",Base_Bruta!A1899)</f>
        <v>MG-000282</v>
      </c>
      <c r="B1899" s="5" t="n">
        <f aca="false">IF($A1899="","",IF(ISNUMBER(Base_Bruta!B1899),Base_Bruta!B1899,IF(MID(Base_Bruta!B1899,5,1)="-",DATE(VALUE(LEFT(Base_Bruta!B1899,4)),VALUE(MID(Base_Bruta!B1899,6,2)),VALUE(RIGHT(Base_Bruta!B1899,2))),DATE(VALUE(RIGHT(Base_Bruta!B1899,4)),VALUE(MID(Base_Bruta!B1899,4,2)),VALUE(LEFT(Base_Bruta!B1899,2))))))</f>
        <v>45978</v>
      </c>
      <c r="C1899" s="5" t="n">
        <f aca="false">IF($A1899="","",IF(ISNUMBER(Base_Bruta!C1899),Base_Bruta!C1899,IF(MID(Base_Bruta!C1899,5,1)="-",DATE(VALUE(LEFT(Base_Bruta!C1899,4)),VALUE(MID(Base_Bruta!C1899,6,2)),VALUE(RIGHT(Base_Bruta!C1899,2))),DATE(VALUE(RIGHT(Base_Bruta!C1899,4)),VALUE(MID(Base_Bruta!C1899,4,2)),VALUE(LEFT(Base_Bruta!C1899,2))))))</f>
        <v>46081</v>
      </c>
      <c r="D1899" s="4" t="str">
        <f aca="false">IF($A1899="","",TRIM(Base_Bruta!D1899))</f>
        <v>Show Sertanejo - BH</v>
      </c>
      <c r="E1899" s="4" t="str">
        <f aca="false">IF($A1899="","",_xlfn.XLOOKUP(LOWER(TRIM(Base_Bruta!E1899)),DePara_Categoria!$A$2:$A$9,DePara_Categoria!$B$2:$B$9,"REVISAR"))</f>
        <v>Show</v>
      </c>
      <c r="F1899" s="4" t="str">
        <f aca="false">IF($A1899="","",_xlfn.XLOOKUP(LOWER(TRIM(Base_Bruta!F1899)),DePara_Cidade!$A$2:$A$29,DePara_Cidade!$B$2:$B$29,"REVISAR"))</f>
        <v>Belo Horizonte</v>
      </c>
      <c r="G1899" s="4" t="str">
        <f aca="false">IF($A1899="","",TRIM(Base_Bruta!G1899))</f>
        <v>Inteira</v>
      </c>
      <c r="H1899" s="4" t="n">
        <f aca="false">IF($A1899="","",IF(ISNUMBER(Base_Bruta!H1899),Base_Bruta!H1899,IFERROR(_xlfn.NUMBERVALUE(TRIM(SUBSTITUTE(Base_Bruta!H1899,"R$","")),",","."),0)))</f>
        <v>2</v>
      </c>
      <c r="I1899" s="6" t="n">
        <f aca="false">IF($A1899="","",IF(ISNUMBER(Base_Bruta!I1899),Base_Bruta!I1899,IFERROR(_xlfn.NUMBERVALUE(TRIM(SUBSTITUTE(Base_Bruta!I1899,"R$","")),",","."),0)))</f>
        <v>290</v>
      </c>
      <c r="J1899" s="6" t="n">
        <f aca="false">IF($A1899="","",H1899*I1899)</f>
        <v>580</v>
      </c>
      <c r="K1899" s="4" t="str">
        <f aca="false">IF($A1899="","",TRIM(Base_Bruta!J1899))</f>
        <v>App</v>
      </c>
      <c r="L1899" s="4" t="str">
        <f aca="false">IF($A1899="","",TRIM(Base_Bruta!K1899))</f>
        <v>C02281</v>
      </c>
      <c r="M1899" s="4" t="str">
        <f aca="false">IF($A1899="","",_xlfn.XLOOKUP(LOWER(TRIM(Base_Bruta!L1899)),DePara_Cidade!$A$2:$A$29,DePara_Cidade!$B$2:$B$29,"REVISAR"))</f>
        <v>Niterói</v>
      </c>
      <c r="N1899" s="4" t="str">
        <f aca="false">IF($A1899="","",UPPER(TRIM(Base_Bruta!M1899)))</f>
        <v>RJ</v>
      </c>
      <c r="O1899" s="4" t="str">
        <f aca="false">IF($A1899="","",_xlfn.XLOOKUP(LOWER(TRIM(Base_Bruta!N1899)),DePara_Pais!$A$2:$A$9,DePara_Pais!$B$2:$B$9,"REVISAR"))</f>
        <v>Brasil</v>
      </c>
      <c r="P1899" s="4" t="str">
        <f aca="false">IF($A1899="","",IF(O1899&lt;&gt;"Brasil","Turista Internacional",IF(M1899=F1899,"Local","Turista Nacional")))</f>
        <v>Turista Nacional</v>
      </c>
      <c r="Q1899" s="7" t="n">
        <f aca="false">IF($A1899="","",DATE(YEAR(B1899),MONTH(B1899),1))</f>
        <v>45962</v>
      </c>
      <c r="R1899" s="4" t="str">
        <f aca="false">IF($A1899="","",IF(COUNTIF($A$2:$A1899,$A1899)&gt;1,"Sim","Não"))</f>
        <v>Não</v>
      </c>
      <c r="S1899" s="4" t="str">
        <f aca="false">IF(A1899="","Descartar - Linha vazia",IF(R1899="Sim","Descartar - Duplicado",IF(OR(H1899&lt;=0,I1899&lt;=0),"Descartar - Qtd/Valor inválido","OK")))</f>
        <v>OK</v>
      </c>
      <c r="T1899" s="4" t="str">
        <f aca="false">Base_Bruta!P1899</f>
        <v>vendas_MG.csv</v>
      </c>
    </row>
    <row r="1900" customFormat="false" ht="15" hidden="false" customHeight="false" outlineLevel="0" collapsed="false">
      <c r="A1900" s="4" t="str">
        <f aca="false">IF(Base_Bruta!A1900="","",Base_Bruta!A1900)</f>
        <v>MG-000397</v>
      </c>
      <c r="B1900" s="5" t="n">
        <f aca="false">IF($A1900="","",IF(ISNUMBER(Base_Bruta!B1900),Base_Bruta!B1900,IF(MID(Base_Bruta!B1900,5,1)="-",DATE(VALUE(LEFT(Base_Bruta!B1900,4)),VALUE(MID(Base_Bruta!B1900,6,2)),VALUE(RIGHT(Base_Bruta!B1900,2))),DATE(VALUE(RIGHT(Base_Bruta!B1900,4)),VALUE(MID(Base_Bruta!B1900,4,2)),VALUE(LEFT(Base_Bruta!B1900,2))))))</f>
        <v>45978</v>
      </c>
      <c r="C1900" s="5" t="n">
        <f aca="false">IF($A1900="","",IF(ISNUMBER(Base_Bruta!C1900),Base_Bruta!C1900,IF(MID(Base_Bruta!C1900,5,1)="-",DATE(VALUE(LEFT(Base_Bruta!C1900,4)),VALUE(MID(Base_Bruta!C1900,6,2)),VALUE(RIGHT(Base_Bruta!C1900,2))),DATE(VALUE(RIGHT(Base_Bruta!C1900,4)),VALUE(MID(Base_Bruta!C1900,4,2)),VALUE(LEFT(Base_Bruta!C1900,2))))))</f>
        <v>45978</v>
      </c>
      <c r="D1900" s="4" t="str">
        <f aca="false">IF($A1900="","",TRIM(Base_Bruta!D1900))</f>
        <v>Cinema Savassi - Sessões</v>
      </c>
      <c r="E1900" s="4" t="str">
        <f aca="false">IF($A1900="","",_xlfn.XLOOKUP(LOWER(TRIM(Base_Bruta!E1900)),DePara_Categoria!$A$2:$A$9,DePara_Categoria!$B$2:$B$9,"REVISAR"))</f>
        <v>Cinema</v>
      </c>
      <c r="F1900" s="4" t="str">
        <f aca="false">IF($A1900="","",_xlfn.XLOOKUP(LOWER(TRIM(Base_Bruta!F1900)),DePara_Cidade!$A$2:$A$29,DePara_Cidade!$B$2:$B$29,"REVISAR"))</f>
        <v>Belo Horizonte</v>
      </c>
      <c r="G1900" s="4" t="str">
        <f aca="false">IF($A1900="","",TRIM(Base_Bruta!G1900))</f>
        <v>Inteira</v>
      </c>
      <c r="H1900" s="4" t="n">
        <f aca="false">IF($A1900="","",IF(ISNUMBER(Base_Bruta!H1900),Base_Bruta!H1900,IFERROR(_xlfn.NUMBERVALUE(TRIM(SUBSTITUTE(Base_Bruta!H1900,"R$","")),",","."),0)))</f>
        <v>2</v>
      </c>
      <c r="I1900" s="6" t="n">
        <f aca="false">IF($A1900="","",IF(ISNUMBER(Base_Bruta!I1900),Base_Bruta!I1900,IFERROR(_xlfn.NUMBERVALUE(TRIM(SUBSTITUTE(Base_Bruta!I1900,"R$","")),",","."),0)))</f>
        <v>50</v>
      </c>
      <c r="J1900" s="6" t="n">
        <f aca="false">IF($A1900="","",H1900*I1900)</f>
        <v>100</v>
      </c>
      <c r="K1900" s="4" t="str">
        <f aca="false">IF($A1900="","",TRIM(Base_Bruta!J1900))</f>
        <v>App</v>
      </c>
      <c r="L1900" s="4" t="str">
        <f aca="false">IF($A1900="","",TRIM(Base_Bruta!K1900))</f>
        <v>C01532</v>
      </c>
      <c r="M1900" s="4" t="str">
        <f aca="false">IF($A1900="","",_xlfn.XLOOKUP(LOWER(TRIM(Base_Bruta!L1900)),DePara_Cidade!$A$2:$A$29,DePara_Cidade!$B$2:$B$29,"REVISAR"))</f>
        <v>Belo Horizonte</v>
      </c>
      <c r="N1900" s="4" t="str">
        <f aca="false">IF($A1900="","",UPPER(TRIM(Base_Bruta!M1900)))</f>
        <v>MG</v>
      </c>
      <c r="O1900" s="4" t="str">
        <f aca="false">IF($A1900="","",_xlfn.XLOOKUP(LOWER(TRIM(Base_Bruta!N1900)),DePara_Pais!$A$2:$A$9,DePara_Pais!$B$2:$B$9,"REVISAR"))</f>
        <v>Brasil</v>
      </c>
      <c r="P1900" s="4" t="str">
        <f aca="false">IF($A1900="","",IF(O1900&lt;&gt;"Brasil","Turista Internacional",IF(M1900=F1900,"Local","Turista Nacional")))</f>
        <v>Local</v>
      </c>
      <c r="Q1900" s="7" t="n">
        <f aca="false">IF($A1900="","",DATE(YEAR(B1900),MONTH(B1900),1))</f>
        <v>45962</v>
      </c>
      <c r="R1900" s="4" t="str">
        <f aca="false">IF($A1900="","",IF(COUNTIF($A$2:$A1900,$A1900)&gt;1,"Sim","Não"))</f>
        <v>Não</v>
      </c>
      <c r="S1900" s="4" t="str">
        <f aca="false">IF(A1900="","Descartar - Linha vazia",IF(R1900="Sim","Descartar - Duplicado",IF(OR(H1900&lt;=0,I1900&lt;=0),"Descartar - Qtd/Valor inválido","OK")))</f>
        <v>OK</v>
      </c>
      <c r="T1900" s="4" t="str">
        <f aca="false">Base_Bruta!P1900</f>
        <v>vendas_MG.csv</v>
      </c>
    </row>
    <row r="1901" customFormat="false" ht="15" hidden="false" customHeight="false" outlineLevel="0" collapsed="false">
      <c r="A1901" s="4" t="str">
        <f aca="false">IF(Base_Bruta!A1901="","",Base_Bruta!A1901)</f>
        <v>MG-000353</v>
      </c>
      <c r="B1901" s="5" t="n">
        <f aca="false">IF($A1901="","",IF(ISNUMBER(Base_Bruta!B1901),Base_Bruta!B1901,IF(MID(Base_Bruta!B1901,5,1)="-",DATE(VALUE(LEFT(Base_Bruta!B1901,4)),VALUE(MID(Base_Bruta!B1901,6,2)),VALUE(RIGHT(Base_Bruta!B1901,2))),DATE(VALUE(RIGHT(Base_Bruta!B1901,4)),VALUE(MID(Base_Bruta!B1901,4,2)),VALUE(LEFT(Base_Bruta!B1901,2))))))</f>
        <v>45979</v>
      </c>
      <c r="C1901" s="5" t="n">
        <f aca="false">IF($A1901="","",IF(ISNUMBER(Base_Bruta!C1901),Base_Bruta!C1901,IF(MID(Base_Bruta!C1901,5,1)="-",DATE(VALUE(LEFT(Base_Bruta!C1901,4)),VALUE(MID(Base_Bruta!C1901,6,2)),VALUE(RIGHT(Base_Bruta!C1901,2))),DATE(VALUE(RIGHT(Base_Bruta!C1901,4)),VALUE(MID(Base_Bruta!C1901,4,2)),VALUE(LEFT(Base_Bruta!C1901,2))))))</f>
        <v>46081</v>
      </c>
      <c r="D1901" s="4" t="str">
        <f aca="false">IF($A1901="","",TRIM(Base_Bruta!D1901))</f>
        <v>Show Sertanejo - BH</v>
      </c>
      <c r="E1901" s="4" t="str">
        <f aca="false">IF($A1901="","",_xlfn.XLOOKUP(LOWER(TRIM(Base_Bruta!E1901)),DePara_Categoria!$A$2:$A$9,DePara_Categoria!$B$2:$B$9,"REVISAR"))</f>
        <v>Show</v>
      </c>
      <c r="F1901" s="4" t="str">
        <f aca="false">IF($A1901="","",_xlfn.XLOOKUP(LOWER(TRIM(Base_Bruta!F1901)),DePara_Cidade!$A$2:$A$29,DePara_Cidade!$B$2:$B$29,"REVISAR"))</f>
        <v>Belo Horizonte</v>
      </c>
      <c r="G1901" s="4" t="str">
        <f aca="false">IF($A1901="","",TRIM(Base_Bruta!G1901))</f>
        <v>Inteira</v>
      </c>
      <c r="H1901" s="4" t="n">
        <f aca="false">IF($A1901="","",IF(ISNUMBER(Base_Bruta!H1901),Base_Bruta!H1901,IFERROR(_xlfn.NUMBERVALUE(TRIM(SUBSTITUTE(Base_Bruta!H1901,"R$","")),",","."),0)))</f>
        <v>2</v>
      </c>
      <c r="I1901" s="6" t="n">
        <f aca="false">IF($A1901="","",IF(ISNUMBER(Base_Bruta!I1901),Base_Bruta!I1901,IFERROR(_xlfn.NUMBERVALUE(TRIM(SUBSTITUTE(Base_Bruta!I1901,"R$","")),",","."),0)))</f>
        <v>770</v>
      </c>
      <c r="J1901" s="6" t="n">
        <f aca="false">IF($A1901="","",H1901*I1901)</f>
        <v>1540</v>
      </c>
      <c r="K1901" s="4" t="str">
        <f aca="false">IF($A1901="","",TRIM(Base_Bruta!J1901))</f>
        <v>App</v>
      </c>
      <c r="L1901" s="4" t="str">
        <f aca="false">IF($A1901="","",TRIM(Base_Bruta!K1901))</f>
        <v>C00449</v>
      </c>
      <c r="M1901" s="4" t="str">
        <f aca="false">IF($A1901="","",_xlfn.XLOOKUP(LOWER(TRIM(Base_Bruta!L1901)),DePara_Cidade!$A$2:$A$29,DePara_Cidade!$B$2:$B$29,"REVISAR"))</f>
        <v>Belo Horizonte</v>
      </c>
      <c r="N1901" s="4" t="str">
        <f aca="false">IF($A1901="","",UPPER(TRIM(Base_Bruta!M1901)))</f>
        <v>MG</v>
      </c>
      <c r="O1901" s="4" t="str">
        <f aca="false">IF($A1901="","",_xlfn.XLOOKUP(LOWER(TRIM(Base_Bruta!N1901)),DePara_Pais!$A$2:$A$9,DePara_Pais!$B$2:$B$9,"REVISAR"))</f>
        <v>Brasil</v>
      </c>
      <c r="P1901" s="4" t="str">
        <f aca="false">IF($A1901="","",IF(O1901&lt;&gt;"Brasil","Turista Internacional",IF(M1901=F1901,"Local","Turista Nacional")))</f>
        <v>Local</v>
      </c>
      <c r="Q1901" s="7" t="n">
        <f aca="false">IF($A1901="","",DATE(YEAR(B1901),MONTH(B1901),1))</f>
        <v>45962</v>
      </c>
      <c r="R1901" s="4" t="str">
        <f aca="false">IF($A1901="","",IF(COUNTIF($A$2:$A1901,$A1901)&gt;1,"Sim","Não"))</f>
        <v>Não</v>
      </c>
      <c r="S1901" s="4" t="str">
        <f aca="false">IF(A1901="","Descartar - Linha vazia",IF(R1901="Sim","Descartar - Duplicado",IF(OR(H1901&lt;=0,I1901&lt;=0),"Descartar - Qtd/Valor inválido","OK")))</f>
        <v>OK</v>
      </c>
      <c r="T1901" s="4" t="str">
        <f aca="false">Base_Bruta!P1901</f>
        <v>vendas_MG.csv</v>
      </c>
    </row>
    <row r="1902" customFormat="false" ht="15" hidden="false" customHeight="false" outlineLevel="0" collapsed="false">
      <c r="A1902" s="4" t="str">
        <f aca="false">IF(Base_Bruta!A1902="","",Base_Bruta!A1902)</f>
        <v>MG-000530</v>
      </c>
      <c r="B1902" s="5" t="n">
        <f aca="false">IF($A1902="","",IF(ISNUMBER(Base_Bruta!B1902),Base_Bruta!B1902,IF(MID(Base_Bruta!B1902,5,1)="-",DATE(VALUE(LEFT(Base_Bruta!B1902,4)),VALUE(MID(Base_Bruta!B1902,6,2)),VALUE(RIGHT(Base_Bruta!B1902,2))),DATE(VALUE(RIGHT(Base_Bruta!B1902,4)),VALUE(MID(Base_Bruta!B1902,4,2)),VALUE(LEFT(Base_Bruta!B1902,2))))))</f>
        <v>45979</v>
      </c>
      <c r="C1902" s="5" t="n">
        <f aca="false">IF($A1902="","",IF(ISNUMBER(Base_Bruta!C1902),Base_Bruta!C1902,IF(MID(Base_Bruta!C1902,5,1)="-",DATE(VALUE(LEFT(Base_Bruta!C1902,4)),VALUE(MID(Base_Bruta!C1902,6,2)),VALUE(RIGHT(Base_Bruta!C1902,2))),DATE(VALUE(RIGHT(Base_Bruta!C1902,4)),VALUE(MID(Base_Bruta!C1902,4,2)),VALUE(LEFT(Base_Bruta!C1902,2))))))</f>
        <v>45982</v>
      </c>
      <c r="D1902" s="4" t="str">
        <f aca="false">IF($A1902="","",TRIM(Base_Bruta!D1902))</f>
        <v>Cinema Savassi - Sessões</v>
      </c>
      <c r="E1902" s="4" t="str">
        <f aca="false">IF($A1902="","",_xlfn.XLOOKUP(LOWER(TRIM(Base_Bruta!E1902)),DePara_Categoria!$A$2:$A$9,DePara_Categoria!$B$2:$B$9,"REVISAR"))</f>
        <v>Cinema</v>
      </c>
      <c r="F1902" s="4" t="str">
        <f aca="false">IF($A1902="","",_xlfn.XLOOKUP(LOWER(TRIM(Base_Bruta!F1902)),DePara_Cidade!$A$2:$A$29,DePara_Cidade!$B$2:$B$29,"REVISAR"))</f>
        <v>Belo Horizonte</v>
      </c>
      <c r="G1902" s="4" t="str">
        <f aca="false">IF($A1902="","",TRIM(Base_Bruta!G1902))</f>
        <v>Meia</v>
      </c>
      <c r="H1902" s="4" t="n">
        <f aca="false">IF($A1902="","",IF(ISNUMBER(Base_Bruta!H1902),Base_Bruta!H1902,IFERROR(_xlfn.NUMBERVALUE(TRIM(SUBSTITUTE(Base_Bruta!H1902,"R$","")),",","."),0)))</f>
        <v>1</v>
      </c>
      <c r="I1902" s="6" t="n">
        <f aca="false">IF($A1902="","",IF(ISNUMBER(Base_Bruta!I1902),Base_Bruta!I1902,IFERROR(_xlfn.NUMBERVALUE(TRIM(SUBSTITUTE(Base_Bruta!I1902,"R$","")),",","."),0)))</f>
        <v>20</v>
      </c>
      <c r="J1902" s="6" t="n">
        <f aca="false">IF($A1902="","",H1902*I1902)</f>
        <v>20</v>
      </c>
      <c r="K1902" s="4" t="str">
        <f aca="false">IF($A1902="","",TRIM(Base_Bruta!J1902))</f>
        <v>Bilheteria</v>
      </c>
      <c r="L1902" s="4" t="str">
        <f aca="false">IF($A1902="","",TRIM(Base_Bruta!K1902))</f>
        <v>C00990</v>
      </c>
      <c r="M1902" s="4" t="str">
        <f aca="false">IF($A1902="","",_xlfn.XLOOKUP(LOWER(TRIM(Base_Bruta!L1902)),DePara_Cidade!$A$2:$A$29,DePara_Cidade!$B$2:$B$29,"REVISAR"))</f>
        <v>Belo Horizonte</v>
      </c>
      <c r="N1902" s="4" t="str">
        <f aca="false">IF($A1902="","",UPPER(TRIM(Base_Bruta!M1902)))</f>
        <v>MG</v>
      </c>
      <c r="O1902" s="4" t="str">
        <f aca="false">IF($A1902="","",_xlfn.XLOOKUP(LOWER(TRIM(Base_Bruta!N1902)),DePara_Pais!$A$2:$A$9,DePara_Pais!$B$2:$B$9,"REVISAR"))</f>
        <v>Brasil</v>
      </c>
      <c r="P1902" s="4" t="str">
        <f aca="false">IF($A1902="","",IF(O1902&lt;&gt;"Brasil","Turista Internacional",IF(M1902=F1902,"Local","Turista Nacional")))</f>
        <v>Local</v>
      </c>
      <c r="Q1902" s="7" t="n">
        <f aca="false">IF($A1902="","",DATE(YEAR(B1902),MONTH(B1902),1))</f>
        <v>45962</v>
      </c>
      <c r="R1902" s="4" t="str">
        <f aca="false">IF($A1902="","",IF(COUNTIF($A$2:$A1902,$A1902)&gt;1,"Sim","Não"))</f>
        <v>Não</v>
      </c>
      <c r="S1902" s="4" t="str">
        <f aca="false">IF(A1902="","Descartar - Linha vazia",IF(R1902="Sim","Descartar - Duplicado",IF(OR(H1902&lt;=0,I1902&lt;=0),"Descartar - Qtd/Valor inválido","OK")))</f>
        <v>OK</v>
      </c>
      <c r="T1902" s="4" t="str">
        <f aca="false">Base_Bruta!P1902</f>
        <v>vendas_MG.csv</v>
      </c>
    </row>
    <row r="1903" customFormat="false" ht="15" hidden="false" customHeight="false" outlineLevel="0" collapsed="false">
      <c r="A1903" s="4" t="str">
        <f aca="false">IF(Base_Bruta!A1903="","",Base_Bruta!A1903)</f>
        <v>MG-000232</v>
      </c>
      <c r="B1903" s="5" t="n">
        <f aca="false">IF($A1903="","",IF(ISNUMBER(Base_Bruta!B1903),Base_Bruta!B1903,IF(MID(Base_Bruta!B1903,5,1)="-",DATE(VALUE(LEFT(Base_Bruta!B1903,4)),VALUE(MID(Base_Bruta!B1903,6,2)),VALUE(RIGHT(Base_Bruta!B1903,2))),DATE(VALUE(RIGHT(Base_Bruta!B1903,4)),VALUE(MID(Base_Bruta!B1903,4,2)),VALUE(LEFT(Base_Bruta!B1903,2))))))</f>
        <v>45980</v>
      </c>
      <c r="C1903" s="5" t="n">
        <f aca="false">IF($A1903="","",IF(ISNUMBER(Base_Bruta!C1903),Base_Bruta!C1903,IF(MID(Base_Bruta!C1903,5,1)="-",DATE(VALUE(LEFT(Base_Bruta!C1903,4)),VALUE(MID(Base_Bruta!C1903,6,2)),VALUE(RIGHT(Base_Bruta!C1903,2))),DATE(VALUE(RIGHT(Base_Bruta!C1903,4)),VALUE(MID(Base_Bruta!C1903,4,2)),VALUE(LEFT(Base_Bruta!C1903,2))))))</f>
        <v>46081</v>
      </c>
      <c r="D1903" s="4" t="str">
        <f aca="false">IF($A1903="","",TRIM(Base_Bruta!D1903))</f>
        <v>Show Sertanejo - BH</v>
      </c>
      <c r="E1903" s="4" t="str">
        <f aca="false">IF($A1903="","",_xlfn.XLOOKUP(LOWER(TRIM(Base_Bruta!E1903)),DePara_Categoria!$A$2:$A$9,DePara_Categoria!$B$2:$B$9,"REVISAR"))</f>
        <v>Show</v>
      </c>
      <c r="F1903" s="4" t="str">
        <f aca="false">IF($A1903="","",_xlfn.XLOOKUP(LOWER(TRIM(Base_Bruta!F1903)),DePara_Cidade!$A$2:$A$29,DePara_Cidade!$B$2:$B$29,"REVISAR"))</f>
        <v>Belo Horizonte</v>
      </c>
      <c r="G1903" s="4" t="str">
        <f aca="false">IF($A1903="","",TRIM(Base_Bruta!G1903))</f>
        <v>Meia</v>
      </c>
      <c r="H1903" s="4" t="n">
        <f aca="false">IF($A1903="","",IF(ISNUMBER(Base_Bruta!H1903),Base_Bruta!H1903,IFERROR(_xlfn.NUMBERVALUE(TRIM(SUBSTITUTE(Base_Bruta!H1903,"R$","")),",","."),0)))</f>
        <v>3</v>
      </c>
      <c r="I1903" s="6" t="n">
        <f aca="false">IF($A1903="","",IF(ISNUMBER(Base_Bruta!I1903),Base_Bruta!I1903,IFERROR(_xlfn.NUMBERVALUE(TRIM(SUBSTITUTE(Base_Bruta!I1903,"R$","")),",","."),0)))</f>
        <v>262.5</v>
      </c>
      <c r="J1903" s="6" t="n">
        <f aca="false">IF($A1903="","",H1903*I1903)</f>
        <v>787.5</v>
      </c>
      <c r="K1903" s="4" t="str">
        <f aca="false">IF($A1903="","",TRIM(Base_Bruta!J1903))</f>
        <v>App</v>
      </c>
      <c r="L1903" s="4" t="str">
        <f aca="false">IF($A1903="","",TRIM(Base_Bruta!K1903))</f>
        <v>C02038</v>
      </c>
      <c r="M1903" s="4" t="str">
        <f aca="false">IF($A1903="","",_xlfn.XLOOKUP(LOWER(TRIM(Base_Bruta!L1903)),DePara_Cidade!$A$2:$A$29,DePara_Cidade!$B$2:$B$29,"REVISAR"))</f>
        <v>Belo Horizonte</v>
      </c>
      <c r="N1903" s="4" t="str">
        <f aca="false">IF($A1903="","",UPPER(TRIM(Base_Bruta!M1903)))</f>
        <v>MG</v>
      </c>
      <c r="O1903" s="4" t="str">
        <f aca="false">IF($A1903="","",_xlfn.XLOOKUP(LOWER(TRIM(Base_Bruta!N1903)),DePara_Pais!$A$2:$A$9,DePara_Pais!$B$2:$B$9,"REVISAR"))</f>
        <v>Brasil</v>
      </c>
      <c r="P1903" s="4" t="str">
        <f aca="false">IF($A1903="","",IF(O1903&lt;&gt;"Brasil","Turista Internacional",IF(M1903=F1903,"Local","Turista Nacional")))</f>
        <v>Local</v>
      </c>
      <c r="Q1903" s="7" t="n">
        <f aca="false">IF($A1903="","",DATE(YEAR(B1903),MONTH(B1903),1))</f>
        <v>45962</v>
      </c>
      <c r="R1903" s="4" t="str">
        <f aca="false">IF($A1903="","",IF(COUNTIF($A$2:$A1903,$A1903)&gt;1,"Sim","Não"))</f>
        <v>Não</v>
      </c>
      <c r="S1903" s="4" t="str">
        <f aca="false">IF(A1903="","Descartar - Linha vazia",IF(R1903="Sim","Descartar - Duplicado",IF(OR(H1903&lt;=0,I1903&lt;=0),"Descartar - Qtd/Valor inválido","OK")))</f>
        <v>OK</v>
      </c>
      <c r="T1903" s="4" t="str">
        <f aca="false">Base_Bruta!P1903</f>
        <v>vendas_MG.csv</v>
      </c>
    </row>
    <row r="1904" customFormat="false" ht="15" hidden="false" customHeight="false" outlineLevel="0" collapsed="false">
      <c r="A1904" s="4" t="str">
        <f aca="false">IF(Base_Bruta!A1904="","",Base_Bruta!A1904)</f>
        <v>MG-000312</v>
      </c>
      <c r="B1904" s="5" t="n">
        <f aca="false">IF($A1904="","",IF(ISNUMBER(Base_Bruta!B1904),Base_Bruta!B1904,IF(MID(Base_Bruta!B1904,5,1)="-",DATE(VALUE(LEFT(Base_Bruta!B1904,4)),VALUE(MID(Base_Bruta!B1904,6,2)),VALUE(RIGHT(Base_Bruta!B1904,2))),DATE(VALUE(RIGHT(Base_Bruta!B1904,4)),VALUE(MID(Base_Bruta!B1904,4,2)),VALUE(LEFT(Base_Bruta!B1904,2))))))</f>
        <v>45980</v>
      </c>
      <c r="C1904" s="5" t="n">
        <f aca="false">IF($A1904="","",IF(ISNUMBER(Base_Bruta!C1904),Base_Bruta!C1904,IF(MID(Base_Bruta!C1904,5,1)="-",DATE(VALUE(LEFT(Base_Bruta!C1904,4)),VALUE(MID(Base_Bruta!C1904,6,2)),VALUE(RIGHT(Base_Bruta!C1904,2))),DATE(VALUE(RIGHT(Base_Bruta!C1904,4)),VALUE(MID(Base_Bruta!C1904,4,2)),VALUE(LEFT(Base_Bruta!C1904,2))))))</f>
        <v>46081</v>
      </c>
      <c r="D1904" s="4" t="str">
        <f aca="false">IF($A1904="","",TRIM(Base_Bruta!D1904))</f>
        <v>Show Sertanejo - BH</v>
      </c>
      <c r="E1904" s="4" t="str">
        <f aca="false">IF($A1904="","",_xlfn.XLOOKUP(LOWER(TRIM(Base_Bruta!E1904)),DePara_Categoria!$A$2:$A$9,DePara_Categoria!$B$2:$B$9,"REVISAR"))</f>
        <v>Show</v>
      </c>
      <c r="F1904" s="4" t="str">
        <f aca="false">IF($A1904="","",_xlfn.XLOOKUP(LOWER(TRIM(Base_Bruta!F1904)),DePara_Cidade!$A$2:$A$29,DePara_Cidade!$B$2:$B$29,"REVISAR"))</f>
        <v>Belo Horizonte</v>
      </c>
      <c r="G1904" s="4" t="str">
        <f aca="false">IF($A1904="","",TRIM(Base_Bruta!G1904))</f>
        <v>Meia</v>
      </c>
      <c r="H1904" s="4" t="n">
        <f aca="false">IF($A1904="","",IF(ISNUMBER(Base_Bruta!H1904),Base_Bruta!H1904,IFERROR(_xlfn.NUMBERVALUE(TRIM(SUBSTITUTE(Base_Bruta!H1904,"R$","")),",","."),0)))</f>
        <v>4</v>
      </c>
      <c r="I1904" s="6" t="n">
        <f aca="false">IF($A1904="","",IF(ISNUMBER(Base_Bruta!I1904),Base_Bruta!I1904,IFERROR(_xlfn.NUMBERVALUE(TRIM(SUBSTITUTE(Base_Bruta!I1904,"R$","")),",","."),0)))</f>
        <v>157.5</v>
      </c>
      <c r="J1904" s="6" t="n">
        <f aca="false">IF($A1904="","",H1904*I1904)</f>
        <v>630</v>
      </c>
      <c r="K1904" s="4" t="str">
        <f aca="false">IF($A1904="","",TRIM(Base_Bruta!J1904))</f>
        <v>Bilheteria</v>
      </c>
      <c r="L1904" s="4" t="str">
        <f aca="false">IF($A1904="","",TRIM(Base_Bruta!K1904))</f>
        <v>C00215</v>
      </c>
      <c r="M1904" s="4" t="str">
        <f aca="false">IF($A1904="","",_xlfn.XLOOKUP(LOWER(TRIM(Base_Bruta!L1904)),DePara_Cidade!$A$2:$A$29,DePara_Cidade!$B$2:$B$29,"REVISAR"))</f>
        <v>Belo Horizonte</v>
      </c>
      <c r="N1904" s="4" t="str">
        <f aca="false">IF($A1904="","",UPPER(TRIM(Base_Bruta!M1904)))</f>
        <v>MG</v>
      </c>
      <c r="O1904" s="4" t="str">
        <f aca="false">IF($A1904="","",_xlfn.XLOOKUP(LOWER(TRIM(Base_Bruta!N1904)),DePara_Pais!$A$2:$A$9,DePara_Pais!$B$2:$B$9,"REVISAR"))</f>
        <v>Brasil</v>
      </c>
      <c r="P1904" s="4" t="str">
        <f aca="false">IF($A1904="","",IF(O1904&lt;&gt;"Brasil","Turista Internacional",IF(M1904=F1904,"Local","Turista Nacional")))</f>
        <v>Local</v>
      </c>
      <c r="Q1904" s="7" t="n">
        <f aca="false">IF($A1904="","",DATE(YEAR(B1904),MONTH(B1904),1))</f>
        <v>45962</v>
      </c>
      <c r="R1904" s="4" t="str">
        <f aca="false">IF($A1904="","",IF(COUNTIF($A$2:$A1904,$A1904)&gt;1,"Sim","Não"))</f>
        <v>Não</v>
      </c>
      <c r="S1904" s="4" t="str">
        <f aca="false">IF(A1904="","Descartar - Linha vazia",IF(R1904="Sim","Descartar - Duplicado",IF(OR(H1904&lt;=0,I1904&lt;=0),"Descartar - Qtd/Valor inválido","OK")))</f>
        <v>OK</v>
      </c>
      <c r="T1904" s="4" t="str">
        <f aca="false">Base_Bruta!P1904</f>
        <v>vendas_MG.csv</v>
      </c>
    </row>
    <row r="1905" customFormat="false" ht="15" hidden="false" customHeight="false" outlineLevel="0" collapsed="false">
      <c r="A1905" s="4" t="str">
        <f aca="false">IF(Base_Bruta!A1905="","",Base_Bruta!A1905)</f>
        <v>MG-000319</v>
      </c>
      <c r="B1905" s="5" t="n">
        <f aca="false">IF($A1905="","",IF(ISNUMBER(Base_Bruta!B1905),Base_Bruta!B1905,IF(MID(Base_Bruta!B1905,5,1)="-",DATE(VALUE(LEFT(Base_Bruta!B1905,4)),VALUE(MID(Base_Bruta!B1905,6,2)),VALUE(RIGHT(Base_Bruta!B1905,2))),DATE(VALUE(RIGHT(Base_Bruta!B1905,4)),VALUE(MID(Base_Bruta!B1905,4,2)),VALUE(LEFT(Base_Bruta!B1905,2))))))</f>
        <v>45980</v>
      </c>
      <c r="C1905" s="5" t="n">
        <f aca="false">IF($A1905="","",IF(ISNUMBER(Base_Bruta!C1905),Base_Bruta!C1905,IF(MID(Base_Bruta!C1905,5,1)="-",DATE(VALUE(LEFT(Base_Bruta!C1905,4)),VALUE(MID(Base_Bruta!C1905,6,2)),VALUE(RIGHT(Base_Bruta!C1905,2))),DATE(VALUE(RIGHT(Base_Bruta!C1905,4)),VALUE(MID(Base_Bruta!C1905,4,2)),VALUE(LEFT(Base_Bruta!C1905,2))))))</f>
        <v>46081</v>
      </c>
      <c r="D1905" s="4" t="str">
        <f aca="false">IF($A1905="","",TRIM(Base_Bruta!D1905))</f>
        <v>Show Sertanejo - BH</v>
      </c>
      <c r="E1905" s="4" t="str">
        <f aca="false">IF($A1905="","",_xlfn.XLOOKUP(LOWER(TRIM(Base_Bruta!E1905)),DePara_Categoria!$A$2:$A$9,DePara_Categoria!$B$2:$B$9,"REVISAR"))</f>
        <v>Show</v>
      </c>
      <c r="F1905" s="4" t="str">
        <f aca="false">IF($A1905="","",_xlfn.XLOOKUP(LOWER(TRIM(Base_Bruta!F1905)),DePara_Cidade!$A$2:$A$29,DePara_Cidade!$B$2:$B$29,"REVISAR"))</f>
        <v>Belo Horizonte</v>
      </c>
      <c r="G1905" s="4" t="str">
        <f aca="false">IF($A1905="","",TRIM(Base_Bruta!G1905))</f>
        <v>Meia</v>
      </c>
      <c r="H1905" s="4" t="n">
        <f aca="false">IF($A1905="","",IF(ISNUMBER(Base_Bruta!H1905),Base_Bruta!H1905,IFERROR(_xlfn.NUMBERVALUE(TRIM(SUBSTITUTE(Base_Bruta!H1905,"R$","")),",","."),0)))</f>
        <v>1</v>
      </c>
      <c r="I1905" s="6" t="n">
        <f aca="false">IF($A1905="","",IF(ISNUMBER(Base_Bruta!I1905),Base_Bruta!I1905,IFERROR(_xlfn.NUMBERVALUE(TRIM(SUBSTITUTE(Base_Bruta!I1905,"R$","")),",","."),0)))</f>
        <v>315</v>
      </c>
      <c r="J1905" s="6" t="n">
        <f aca="false">IF($A1905="","",H1905*I1905)</f>
        <v>315</v>
      </c>
      <c r="K1905" s="4" t="str">
        <f aca="false">IF($A1905="","",TRIM(Base_Bruta!J1905))</f>
        <v>App</v>
      </c>
      <c r="L1905" s="4" t="str">
        <f aca="false">IF($A1905="","",TRIM(Base_Bruta!K1905))</f>
        <v>C01103</v>
      </c>
      <c r="M1905" s="4" t="str">
        <f aca="false">IF($A1905="","",_xlfn.XLOOKUP(LOWER(TRIM(Base_Bruta!L1905)),DePara_Cidade!$A$2:$A$29,DePara_Cidade!$B$2:$B$29,"REVISAR"))</f>
        <v>Brasília</v>
      </c>
      <c r="N1905" s="4" t="str">
        <f aca="false">IF($A1905="","",UPPER(TRIM(Base_Bruta!M1905)))</f>
        <v>DF</v>
      </c>
      <c r="O1905" s="4" t="str">
        <f aca="false">IF($A1905="","",_xlfn.XLOOKUP(LOWER(TRIM(Base_Bruta!N1905)),DePara_Pais!$A$2:$A$9,DePara_Pais!$B$2:$B$9,"REVISAR"))</f>
        <v>Brasil</v>
      </c>
      <c r="P1905" s="4" t="str">
        <f aca="false">IF($A1905="","",IF(O1905&lt;&gt;"Brasil","Turista Internacional",IF(M1905=F1905,"Local","Turista Nacional")))</f>
        <v>Turista Nacional</v>
      </c>
      <c r="Q1905" s="7" t="n">
        <f aca="false">IF($A1905="","",DATE(YEAR(B1905),MONTH(B1905),1))</f>
        <v>45962</v>
      </c>
      <c r="R1905" s="4" t="str">
        <f aca="false">IF($A1905="","",IF(COUNTIF($A$2:$A1905,$A1905)&gt;1,"Sim","Não"))</f>
        <v>Não</v>
      </c>
      <c r="S1905" s="4" t="str">
        <f aca="false">IF(A1905="","Descartar - Linha vazia",IF(R1905="Sim","Descartar - Duplicado",IF(OR(H1905&lt;=0,I1905&lt;=0),"Descartar - Qtd/Valor inválido","OK")))</f>
        <v>OK</v>
      </c>
      <c r="T1905" s="4" t="str">
        <f aca="false">Base_Bruta!P1905</f>
        <v>vendas_MG.csv</v>
      </c>
    </row>
    <row r="1906" customFormat="false" ht="15" hidden="false" customHeight="false" outlineLevel="0" collapsed="false">
      <c r="A1906" s="4" t="str">
        <f aca="false">IF(Base_Bruta!A1906="","",Base_Bruta!A1906)</f>
        <v>MG-000360</v>
      </c>
      <c r="B1906" s="5" t="n">
        <f aca="false">IF($A1906="","",IF(ISNUMBER(Base_Bruta!B1906),Base_Bruta!B1906,IF(MID(Base_Bruta!B1906,5,1)="-",DATE(VALUE(LEFT(Base_Bruta!B1906,4)),VALUE(MID(Base_Bruta!B1906,6,2)),VALUE(RIGHT(Base_Bruta!B1906,2))),DATE(VALUE(RIGHT(Base_Bruta!B1906,4)),VALUE(MID(Base_Bruta!B1906,4,2)),VALUE(LEFT(Base_Bruta!B1906,2))))))</f>
        <v>45980</v>
      </c>
      <c r="C1906" s="5" t="n">
        <f aca="false">IF($A1906="","",IF(ISNUMBER(Base_Bruta!C1906),Base_Bruta!C1906,IF(MID(Base_Bruta!C1906,5,1)="-",DATE(VALUE(LEFT(Base_Bruta!C1906,4)),VALUE(MID(Base_Bruta!C1906,6,2)),VALUE(RIGHT(Base_Bruta!C1906,2))),DATE(VALUE(RIGHT(Base_Bruta!C1906,4)),VALUE(MID(Base_Bruta!C1906,4,2)),VALUE(LEFT(Base_Bruta!C1906,2))))))</f>
        <v>46081</v>
      </c>
      <c r="D1906" s="4" t="str">
        <f aca="false">IF($A1906="","",TRIM(Base_Bruta!D1906))</f>
        <v>Show Sertanejo - BH</v>
      </c>
      <c r="E1906" s="4" t="str">
        <f aca="false">IF($A1906="","",_xlfn.XLOOKUP(LOWER(TRIM(Base_Bruta!E1906)),DePara_Categoria!$A$2:$A$9,DePara_Categoria!$B$2:$B$9,"REVISAR"))</f>
        <v>Show</v>
      </c>
      <c r="F1906" s="4" t="str">
        <f aca="false">IF($A1906="","",_xlfn.XLOOKUP(LOWER(TRIM(Base_Bruta!F1906)),DePara_Cidade!$A$2:$A$29,DePara_Cidade!$B$2:$B$29,"REVISAR"))</f>
        <v>Belo Horizonte</v>
      </c>
      <c r="G1906" s="4" t="str">
        <f aca="false">IF($A1906="","",TRIM(Base_Bruta!G1906))</f>
        <v>Inteira</v>
      </c>
      <c r="H1906" s="4" t="n">
        <f aca="false">IF($A1906="","",IF(ISNUMBER(Base_Bruta!H1906),Base_Bruta!H1906,IFERROR(_xlfn.NUMBERVALUE(TRIM(SUBSTITUTE(Base_Bruta!H1906,"R$","")),",","."),0)))</f>
        <v>1</v>
      </c>
      <c r="I1906" s="6" t="n">
        <f aca="false">IF($A1906="","",IF(ISNUMBER(Base_Bruta!I1906),Base_Bruta!I1906,IFERROR(_xlfn.NUMBERVALUE(TRIM(SUBSTITUTE(Base_Bruta!I1906,"R$","")),",","."),0)))</f>
        <v>330</v>
      </c>
      <c r="J1906" s="6" t="n">
        <f aca="false">IF($A1906="","",H1906*I1906)</f>
        <v>330</v>
      </c>
      <c r="K1906" s="4" t="str">
        <f aca="false">IF($A1906="","",TRIM(Base_Bruta!J1906))</f>
        <v>Site</v>
      </c>
      <c r="L1906" s="4" t="str">
        <f aca="false">IF($A1906="","",TRIM(Base_Bruta!K1906))</f>
        <v>C01934</v>
      </c>
      <c r="M1906" s="4" t="str">
        <f aca="false">IF($A1906="","",_xlfn.XLOOKUP(LOWER(TRIM(Base_Bruta!L1906)),DePara_Cidade!$A$2:$A$29,DePara_Cidade!$B$2:$B$29,"REVISAR"))</f>
        <v>Miami</v>
      </c>
      <c r="N1906" s="4" t="str">
        <f aca="false">IF($A1906="","",UPPER(TRIM(Base_Bruta!M1906)))</f>
        <v>EX</v>
      </c>
      <c r="O1906" s="4" t="str">
        <f aca="false">IF($A1906="","",_xlfn.XLOOKUP(LOWER(TRIM(Base_Bruta!N1906)),DePara_Pais!$A$2:$A$9,DePara_Pais!$B$2:$B$9,"REVISAR"))</f>
        <v>EUA</v>
      </c>
      <c r="P1906" s="4" t="str">
        <f aca="false">IF($A1906="","",IF(O1906&lt;&gt;"Brasil","Turista Internacional",IF(M1906=F1906,"Local","Turista Nacional")))</f>
        <v>Turista Internacional</v>
      </c>
      <c r="Q1906" s="7" t="n">
        <f aca="false">IF($A1906="","",DATE(YEAR(B1906),MONTH(B1906),1))</f>
        <v>45962</v>
      </c>
      <c r="R1906" s="4" t="str">
        <f aca="false">IF($A1906="","",IF(COUNTIF($A$2:$A1906,$A1906)&gt;1,"Sim","Não"))</f>
        <v>Não</v>
      </c>
      <c r="S1906" s="4" t="str">
        <f aca="false">IF(A1906="","Descartar - Linha vazia",IF(R1906="Sim","Descartar - Duplicado",IF(OR(H1906&lt;=0,I1906&lt;=0),"Descartar - Qtd/Valor inválido","OK")))</f>
        <v>OK</v>
      </c>
      <c r="T1906" s="4" t="str">
        <f aca="false">Base_Bruta!P1906</f>
        <v>vendas_MG.csv</v>
      </c>
    </row>
    <row r="1907" customFormat="false" ht="15" hidden="false" customHeight="false" outlineLevel="0" collapsed="false">
      <c r="A1907" s="4" t="str">
        <f aca="false">IF(Base_Bruta!A1907="","",Base_Bruta!A1907)</f>
        <v>MG-000380</v>
      </c>
      <c r="B1907" s="5" t="n">
        <f aca="false">IF($A1907="","",IF(ISNUMBER(Base_Bruta!B1907),Base_Bruta!B1907,IF(MID(Base_Bruta!B1907,5,1)="-",DATE(VALUE(LEFT(Base_Bruta!B1907,4)),VALUE(MID(Base_Bruta!B1907,6,2)),VALUE(RIGHT(Base_Bruta!B1907,2))),DATE(VALUE(RIGHT(Base_Bruta!B1907,4)),VALUE(MID(Base_Bruta!B1907,4,2)),VALUE(LEFT(Base_Bruta!B1907,2))))))</f>
        <v>45980</v>
      </c>
      <c r="C1907" s="5" t="n">
        <f aca="false">IF($A1907="","",IF(ISNUMBER(Base_Bruta!C1907),Base_Bruta!C1907,IF(MID(Base_Bruta!C1907,5,1)="-",DATE(VALUE(LEFT(Base_Bruta!C1907,4)),VALUE(MID(Base_Bruta!C1907,6,2)),VALUE(RIGHT(Base_Bruta!C1907,2))),DATE(VALUE(RIGHT(Base_Bruta!C1907,4)),VALUE(MID(Base_Bruta!C1907,4,2)),VALUE(LEFT(Base_Bruta!C1907,2))))))</f>
        <v>46081</v>
      </c>
      <c r="D1907" s="4" t="str">
        <f aca="false">IF($A1907="","",TRIM(Base_Bruta!D1907))</f>
        <v>Show Sertanejo - BH</v>
      </c>
      <c r="E1907" s="4" t="str">
        <f aca="false">IF($A1907="","",_xlfn.XLOOKUP(LOWER(TRIM(Base_Bruta!E1907)),DePara_Categoria!$A$2:$A$9,DePara_Categoria!$B$2:$B$9,"REVISAR"))</f>
        <v>Show</v>
      </c>
      <c r="F1907" s="4" t="str">
        <f aca="false">IF($A1907="","",_xlfn.XLOOKUP(LOWER(TRIM(Base_Bruta!F1907)),DePara_Cidade!$A$2:$A$29,DePara_Cidade!$B$2:$B$29,"REVISAR"))</f>
        <v>Belo Horizonte</v>
      </c>
      <c r="G1907" s="4" t="str">
        <f aca="false">IF($A1907="","",TRIM(Base_Bruta!G1907))</f>
        <v>Meia</v>
      </c>
      <c r="H1907" s="4" t="n">
        <f aca="false">IF($A1907="","",IF(ISNUMBER(Base_Bruta!H1907),Base_Bruta!H1907,IFERROR(_xlfn.NUMBERVALUE(TRIM(SUBSTITUTE(Base_Bruta!H1907,"R$","")),",","."),0)))</f>
        <v>1</v>
      </c>
      <c r="I1907" s="6" t="n">
        <f aca="false">IF($A1907="","",IF(ISNUMBER(Base_Bruta!I1907),Base_Bruta!I1907,IFERROR(_xlfn.NUMBERVALUE(TRIM(SUBSTITUTE(Base_Bruta!I1907,"R$","")),",","."),0)))</f>
        <v>115</v>
      </c>
      <c r="J1907" s="6" t="n">
        <f aca="false">IF($A1907="","",H1907*I1907)</f>
        <v>115</v>
      </c>
      <c r="K1907" s="4" t="str">
        <f aca="false">IF($A1907="","",TRIM(Base_Bruta!J1907))</f>
        <v>App</v>
      </c>
      <c r="L1907" s="4" t="str">
        <f aca="false">IF($A1907="","",TRIM(Base_Bruta!K1907))</f>
        <v>C02400</v>
      </c>
      <c r="M1907" s="4" t="str">
        <f aca="false">IF($A1907="","",_xlfn.XLOOKUP(LOWER(TRIM(Base_Bruta!L1907)),DePara_Cidade!$A$2:$A$29,DePara_Cidade!$B$2:$B$29,"REVISAR"))</f>
        <v>Contagem</v>
      </c>
      <c r="N1907" s="4" t="str">
        <f aca="false">IF($A1907="","",UPPER(TRIM(Base_Bruta!M1907)))</f>
        <v>MG</v>
      </c>
      <c r="O1907" s="4" t="str">
        <f aca="false">IF($A1907="","",_xlfn.XLOOKUP(LOWER(TRIM(Base_Bruta!N1907)),DePara_Pais!$A$2:$A$9,DePara_Pais!$B$2:$B$9,"REVISAR"))</f>
        <v>Brasil</v>
      </c>
      <c r="P1907" s="4" t="str">
        <f aca="false">IF($A1907="","",IF(O1907&lt;&gt;"Brasil","Turista Internacional",IF(M1907=F1907,"Local","Turista Nacional")))</f>
        <v>Turista Nacional</v>
      </c>
      <c r="Q1907" s="7" t="n">
        <f aca="false">IF($A1907="","",DATE(YEAR(B1907),MONTH(B1907),1))</f>
        <v>45962</v>
      </c>
      <c r="R1907" s="4" t="str">
        <f aca="false">IF($A1907="","",IF(COUNTIF($A$2:$A1907,$A1907)&gt;1,"Sim","Não"))</f>
        <v>Não</v>
      </c>
      <c r="S1907" s="4" t="str">
        <f aca="false">IF(A1907="","Descartar - Linha vazia",IF(R1907="Sim","Descartar - Duplicado",IF(OR(H1907&lt;=0,I1907&lt;=0),"Descartar - Qtd/Valor inválido","OK")))</f>
        <v>OK</v>
      </c>
      <c r="T1907" s="4" t="str">
        <f aca="false">Base_Bruta!P1907</f>
        <v>vendas_MG.csv</v>
      </c>
    </row>
    <row r="1908" customFormat="false" ht="15" hidden="false" customHeight="false" outlineLevel="0" collapsed="false">
      <c r="A1908" s="4" t="str">
        <f aca="false">IF(Base_Bruta!A1908="","",Base_Bruta!A1908)</f>
        <v>MG-000244</v>
      </c>
      <c r="B1908" s="5" t="n">
        <f aca="false">IF($A1908="","",IF(ISNUMBER(Base_Bruta!B1908),Base_Bruta!B1908,IF(MID(Base_Bruta!B1908,5,1)="-",DATE(VALUE(LEFT(Base_Bruta!B1908,4)),VALUE(MID(Base_Bruta!B1908,6,2)),VALUE(RIGHT(Base_Bruta!B1908,2))),DATE(VALUE(RIGHT(Base_Bruta!B1908,4)),VALUE(MID(Base_Bruta!B1908,4,2)),VALUE(LEFT(Base_Bruta!B1908,2))))))</f>
        <v>45981</v>
      </c>
      <c r="C1908" s="5" t="n">
        <f aca="false">IF($A1908="","",IF(ISNUMBER(Base_Bruta!C1908),Base_Bruta!C1908,IF(MID(Base_Bruta!C1908,5,1)="-",DATE(VALUE(LEFT(Base_Bruta!C1908,4)),VALUE(MID(Base_Bruta!C1908,6,2)),VALUE(RIGHT(Base_Bruta!C1908,2))),DATE(VALUE(RIGHT(Base_Bruta!C1908,4)),VALUE(MID(Base_Bruta!C1908,4,2)),VALUE(LEFT(Base_Bruta!C1908,2))))))</f>
        <v>46081</v>
      </c>
      <c r="D1908" s="4" t="str">
        <f aca="false">IF($A1908="","",TRIM(Base_Bruta!D1908))</f>
        <v>Show Sertanejo - BH</v>
      </c>
      <c r="E1908" s="4" t="str">
        <f aca="false">IF($A1908="","",_xlfn.XLOOKUP(LOWER(TRIM(Base_Bruta!E1908)),DePara_Categoria!$A$2:$A$9,DePara_Categoria!$B$2:$B$9,"REVISAR"))</f>
        <v>Show</v>
      </c>
      <c r="F1908" s="4" t="str">
        <f aca="false">IF($A1908="","",_xlfn.XLOOKUP(LOWER(TRIM(Base_Bruta!F1908)),DePara_Cidade!$A$2:$A$29,DePara_Cidade!$B$2:$B$29,"REVISAR"))</f>
        <v>Belo Horizonte</v>
      </c>
      <c r="G1908" s="4" t="str">
        <f aca="false">IF($A1908="","",TRIM(Base_Bruta!G1908))</f>
        <v>Inteira</v>
      </c>
      <c r="H1908" s="4" t="n">
        <f aca="false">IF($A1908="","",IF(ISNUMBER(Base_Bruta!H1908),Base_Bruta!H1908,IFERROR(_xlfn.NUMBERVALUE(TRIM(SUBSTITUTE(Base_Bruta!H1908,"R$","")),",","."),0)))</f>
        <v>2</v>
      </c>
      <c r="I1908" s="6" t="n">
        <f aca="false">IF($A1908="","",IF(ISNUMBER(Base_Bruta!I1908),Base_Bruta!I1908,IFERROR(_xlfn.NUMBERVALUE(TRIM(SUBSTITUTE(Base_Bruta!I1908,"R$","")),",","."),0)))</f>
        <v>695</v>
      </c>
      <c r="J1908" s="6" t="n">
        <f aca="false">IF($A1908="","",H1908*I1908)</f>
        <v>1390</v>
      </c>
      <c r="K1908" s="4" t="str">
        <f aca="false">IF($A1908="","",TRIM(Base_Bruta!J1908))</f>
        <v>Site</v>
      </c>
      <c r="L1908" s="4" t="str">
        <f aca="false">IF($A1908="","",TRIM(Base_Bruta!K1908))</f>
        <v>C02408</v>
      </c>
      <c r="M1908" s="4" t="str">
        <f aca="false">IF($A1908="","",_xlfn.XLOOKUP(LOWER(TRIM(Base_Bruta!L1908)),DePara_Cidade!$A$2:$A$29,DePara_Cidade!$B$2:$B$29,"REVISAR"))</f>
        <v>Brasília</v>
      </c>
      <c r="N1908" s="4" t="str">
        <f aca="false">IF($A1908="","",UPPER(TRIM(Base_Bruta!M1908)))</f>
        <v>DF</v>
      </c>
      <c r="O1908" s="4" t="str">
        <f aca="false">IF($A1908="","",_xlfn.XLOOKUP(LOWER(TRIM(Base_Bruta!N1908)),DePara_Pais!$A$2:$A$9,DePara_Pais!$B$2:$B$9,"REVISAR"))</f>
        <v>Brasil</v>
      </c>
      <c r="P1908" s="4" t="str">
        <f aca="false">IF($A1908="","",IF(O1908&lt;&gt;"Brasil","Turista Internacional",IF(M1908=F1908,"Local","Turista Nacional")))</f>
        <v>Turista Nacional</v>
      </c>
      <c r="Q1908" s="7" t="n">
        <f aca="false">IF($A1908="","",DATE(YEAR(B1908),MONTH(B1908),1))</f>
        <v>45962</v>
      </c>
      <c r="R1908" s="4" t="str">
        <f aca="false">IF($A1908="","",IF(COUNTIF($A$2:$A1908,$A1908)&gt;1,"Sim","Não"))</f>
        <v>Não</v>
      </c>
      <c r="S1908" s="4" t="str">
        <f aca="false">IF(A1908="","Descartar - Linha vazia",IF(R1908="Sim","Descartar - Duplicado",IF(OR(H1908&lt;=0,I1908&lt;=0),"Descartar - Qtd/Valor inválido","OK")))</f>
        <v>OK</v>
      </c>
      <c r="T1908" s="4" t="str">
        <f aca="false">Base_Bruta!P1908</f>
        <v>vendas_MG.csv</v>
      </c>
    </row>
    <row r="1909" customFormat="false" ht="15" hidden="false" customHeight="false" outlineLevel="0" collapsed="false">
      <c r="A1909" s="4" t="str">
        <f aca="false">IF(Base_Bruta!A1909="","",Base_Bruta!A1909)</f>
        <v>MG-000263</v>
      </c>
      <c r="B1909" s="5" t="n">
        <f aca="false">IF($A1909="","",IF(ISNUMBER(Base_Bruta!B1909),Base_Bruta!B1909,IF(MID(Base_Bruta!B1909,5,1)="-",DATE(VALUE(LEFT(Base_Bruta!B1909,4)),VALUE(MID(Base_Bruta!B1909,6,2)),VALUE(RIGHT(Base_Bruta!B1909,2))),DATE(VALUE(RIGHT(Base_Bruta!B1909,4)),VALUE(MID(Base_Bruta!B1909,4,2)),VALUE(LEFT(Base_Bruta!B1909,2))))))</f>
        <v>45981</v>
      </c>
      <c r="C1909" s="5" t="n">
        <f aca="false">IF($A1909="","",IF(ISNUMBER(Base_Bruta!C1909),Base_Bruta!C1909,IF(MID(Base_Bruta!C1909,5,1)="-",DATE(VALUE(LEFT(Base_Bruta!C1909,4)),VALUE(MID(Base_Bruta!C1909,6,2)),VALUE(RIGHT(Base_Bruta!C1909,2))),DATE(VALUE(RIGHT(Base_Bruta!C1909,4)),VALUE(MID(Base_Bruta!C1909,4,2)),VALUE(LEFT(Base_Bruta!C1909,2))))))</f>
        <v>46081</v>
      </c>
      <c r="D1909" s="4" t="str">
        <f aca="false">IF($A1909="","",TRIM(Base_Bruta!D1909))</f>
        <v>Show Sertanejo - BH</v>
      </c>
      <c r="E1909" s="4" t="str">
        <f aca="false">IF($A1909="","",_xlfn.XLOOKUP(LOWER(TRIM(Base_Bruta!E1909)),DePara_Categoria!$A$2:$A$9,DePara_Categoria!$B$2:$B$9,"REVISAR"))</f>
        <v>Show</v>
      </c>
      <c r="F1909" s="4" t="str">
        <f aca="false">IF($A1909="","",_xlfn.XLOOKUP(LOWER(TRIM(Base_Bruta!F1909)),DePara_Cidade!$A$2:$A$29,DePara_Cidade!$B$2:$B$29,"REVISAR"))</f>
        <v>Belo Horizonte</v>
      </c>
      <c r="G1909" s="4" t="str">
        <f aca="false">IF($A1909="","",TRIM(Base_Bruta!G1909))</f>
        <v>Meia</v>
      </c>
      <c r="H1909" s="4" t="n">
        <f aca="false">IF($A1909="","",IF(ISNUMBER(Base_Bruta!H1909),Base_Bruta!H1909,IFERROR(_xlfn.NUMBERVALUE(TRIM(SUBSTITUTE(Base_Bruta!H1909,"R$","")),",","."),0)))</f>
        <v>1</v>
      </c>
      <c r="I1909" s="6" t="n">
        <f aca="false">IF($A1909="","",IF(ISNUMBER(Base_Bruta!I1909),Base_Bruta!I1909,IFERROR(_xlfn.NUMBERVALUE(TRIM(SUBSTITUTE(Base_Bruta!I1909,"R$","")),",","."),0)))</f>
        <v>147.5</v>
      </c>
      <c r="J1909" s="6" t="n">
        <f aca="false">IF($A1909="","",H1909*I1909)</f>
        <v>147.5</v>
      </c>
      <c r="K1909" s="4" t="str">
        <f aca="false">IF($A1909="","",TRIM(Base_Bruta!J1909))</f>
        <v>App</v>
      </c>
      <c r="L1909" s="4" t="str">
        <f aca="false">IF($A1909="","",TRIM(Base_Bruta!K1909))</f>
        <v>C01476</v>
      </c>
      <c r="M1909" s="4" t="str">
        <f aca="false">IF($A1909="","",_xlfn.XLOOKUP(LOWER(TRIM(Base_Bruta!L1909)),DePara_Cidade!$A$2:$A$29,DePara_Cidade!$B$2:$B$29,"REVISAR"))</f>
        <v>Belo Horizonte</v>
      </c>
      <c r="N1909" s="4" t="str">
        <f aca="false">IF($A1909="","",UPPER(TRIM(Base_Bruta!M1909)))</f>
        <v>MG</v>
      </c>
      <c r="O1909" s="4" t="str">
        <f aca="false">IF($A1909="","",_xlfn.XLOOKUP(LOWER(TRIM(Base_Bruta!N1909)),DePara_Pais!$A$2:$A$9,DePara_Pais!$B$2:$B$9,"REVISAR"))</f>
        <v>Brasil</v>
      </c>
      <c r="P1909" s="4" t="str">
        <f aca="false">IF($A1909="","",IF(O1909&lt;&gt;"Brasil","Turista Internacional",IF(M1909=F1909,"Local","Turista Nacional")))</f>
        <v>Local</v>
      </c>
      <c r="Q1909" s="7" t="n">
        <f aca="false">IF($A1909="","",DATE(YEAR(B1909),MONTH(B1909),1))</f>
        <v>45962</v>
      </c>
      <c r="R1909" s="4" t="str">
        <f aca="false">IF($A1909="","",IF(COUNTIF($A$2:$A1909,$A1909)&gt;1,"Sim","Não"))</f>
        <v>Não</v>
      </c>
      <c r="S1909" s="4" t="str">
        <f aca="false">IF(A1909="","Descartar - Linha vazia",IF(R1909="Sim","Descartar - Duplicado",IF(OR(H1909&lt;=0,I1909&lt;=0),"Descartar - Qtd/Valor inválido","OK")))</f>
        <v>OK</v>
      </c>
      <c r="T1909" s="4" t="str">
        <f aca="false">Base_Bruta!P1909</f>
        <v>vendas_MG.csv</v>
      </c>
    </row>
    <row r="1910" customFormat="false" ht="15" hidden="false" customHeight="false" outlineLevel="0" collapsed="false">
      <c r="A1910" s="4" t="str">
        <f aca="false">IF(Base_Bruta!A1910="","",Base_Bruta!A1910)</f>
        <v>MG-000271</v>
      </c>
      <c r="B1910" s="5" t="n">
        <f aca="false">IF($A1910="","",IF(ISNUMBER(Base_Bruta!B1910),Base_Bruta!B1910,IF(MID(Base_Bruta!B1910,5,1)="-",DATE(VALUE(LEFT(Base_Bruta!B1910,4)),VALUE(MID(Base_Bruta!B1910,6,2)),VALUE(RIGHT(Base_Bruta!B1910,2))),DATE(VALUE(RIGHT(Base_Bruta!B1910,4)),VALUE(MID(Base_Bruta!B1910,4,2)),VALUE(LEFT(Base_Bruta!B1910,2))))))</f>
        <v>45981</v>
      </c>
      <c r="C1910" s="5" t="n">
        <f aca="false">IF($A1910="","",IF(ISNUMBER(Base_Bruta!C1910),Base_Bruta!C1910,IF(MID(Base_Bruta!C1910,5,1)="-",DATE(VALUE(LEFT(Base_Bruta!C1910,4)),VALUE(MID(Base_Bruta!C1910,6,2)),VALUE(RIGHT(Base_Bruta!C1910,2))),DATE(VALUE(RIGHT(Base_Bruta!C1910,4)),VALUE(MID(Base_Bruta!C1910,4,2)),VALUE(LEFT(Base_Bruta!C1910,2))))))</f>
        <v>46081</v>
      </c>
      <c r="D1910" s="4" t="str">
        <f aca="false">IF($A1910="","",TRIM(Base_Bruta!D1910))</f>
        <v>Show Sertanejo - BH</v>
      </c>
      <c r="E1910" s="4" t="str">
        <f aca="false">IF($A1910="","",_xlfn.XLOOKUP(LOWER(TRIM(Base_Bruta!E1910)),DePara_Categoria!$A$2:$A$9,DePara_Categoria!$B$2:$B$9,"REVISAR"))</f>
        <v>Show</v>
      </c>
      <c r="F1910" s="4" t="str">
        <f aca="false">IF($A1910="","",_xlfn.XLOOKUP(LOWER(TRIM(Base_Bruta!F1910)),DePara_Cidade!$A$2:$A$29,DePara_Cidade!$B$2:$B$29,"REVISAR"))</f>
        <v>Belo Horizonte</v>
      </c>
      <c r="G1910" s="4" t="str">
        <f aca="false">IF($A1910="","",TRIM(Base_Bruta!G1910))</f>
        <v>Inteira</v>
      </c>
      <c r="H1910" s="4" t="n">
        <f aca="false">IF($A1910="","",IF(ISNUMBER(Base_Bruta!H1910),Base_Bruta!H1910,IFERROR(_xlfn.NUMBERVALUE(TRIM(SUBSTITUTE(Base_Bruta!H1910,"R$","")),",","."),0)))</f>
        <v>2</v>
      </c>
      <c r="I1910" s="6" t="n">
        <f aca="false">IF($A1910="","",IF(ISNUMBER(Base_Bruta!I1910),Base_Bruta!I1910,IFERROR(_xlfn.NUMBERVALUE(TRIM(SUBSTITUTE(Base_Bruta!I1910,"R$","")),",","."),0)))</f>
        <v>360</v>
      </c>
      <c r="J1910" s="6" t="n">
        <f aca="false">IF($A1910="","",H1910*I1910)</f>
        <v>720</v>
      </c>
      <c r="K1910" s="4" t="str">
        <f aca="false">IF($A1910="","",TRIM(Base_Bruta!J1910))</f>
        <v>App</v>
      </c>
      <c r="L1910" s="4" t="str">
        <f aca="false">IF($A1910="","",TRIM(Base_Bruta!K1910))</f>
        <v>C00852</v>
      </c>
      <c r="M1910" s="4" t="str">
        <f aca="false">IF($A1910="","",_xlfn.XLOOKUP(LOWER(TRIM(Base_Bruta!L1910)),DePara_Cidade!$A$2:$A$29,DePara_Cidade!$B$2:$B$29,"REVISAR"))</f>
        <v>Campinas</v>
      </c>
      <c r="N1910" s="4" t="str">
        <f aca="false">IF($A1910="","",UPPER(TRIM(Base_Bruta!M1910)))</f>
        <v>SP</v>
      </c>
      <c r="O1910" s="4" t="str">
        <f aca="false">IF($A1910="","",_xlfn.XLOOKUP(LOWER(TRIM(Base_Bruta!N1910)),DePara_Pais!$A$2:$A$9,DePara_Pais!$B$2:$B$9,"REVISAR"))</f>
        <v>Brasil</v>
      </c>
      <c r="P1910" s="4" t="str">
        <f aca="false">IF($A1910="","",IF(O1910&lt;&gt;"Brasil","Turista Internacional",IF(M1910=F1910,"Local","Turista Nacional")))</f>
        <v>Turista Nacional</v>
      </c>
      <c r="Q1910" s="7" t="n">
        <f aca="false">IF($A1910="","",DATE(YEAR(B1910),MONTH(B1910),1))</f>
        <v>45962</v>
      </c>
      <c r="R1910" s="4" t="str">
        <f aca="false">IF($A1910="","",IF(COUNTIF($A$2:$A1910,$A1910)&gt;1,"Sim","Não"))</f>
        <v>Não</v>
      </c>
      <c r="S1910" s="4" t="str">
        <f aca="false">IF(A1910="","Descartar - Linha vazia",IF(R1910="Sim","Descartar - Duplicado",IF(OR(H1910&lt;=0,I1910&lt;=0),"Descartar - Qtd/Valor inválido","OK")))</f>
        <v>OK</v>
      </c>
      <c r="T1910" s="4" t="str">
        <f aca="false">Base_Bruta!P1910</f>
        <v>vendas_MG.csv</v>
      </c>
    </row>
    <row r="1911" customFormat="false" ht="15" hidden="false" customHeight="false" outlineLevel="0" collapsed="false">
      <c r="A1911" s="4" t="str">
        <f aca="false">IF(Base_Bruta!A1911="","",Base_Bruta!A1911)</f>
        <v>MG-000359</v>
      </c>
      <c r="B1911" s="5" t="n">
        <f aca="false">IF($A1911="","",IF(ISNUMBER(Base_Bruta!B1911),Base_Bruta!B1911,IF(MID(Base_Bruta!B1911,5,1)="-",DATE(VALUE(LEFT(Base_Bruta!B1911,4)),VALUE(MID(Base_Bruta!B1911,6,2)),VALUE(RIGHT(Base_Bruta!B1911,2))),DATE(VALUE(RIGHT(Base_Bruta!B1911,4)),VALUE(MID(Base_Bruta!B1911,4,2)),VALUE(LEFT(Base_Bruta!B1911,2))))))</f>
        <v>45981</v>
      </c>
      <c r="C1911" s="5" t="n">
        <f aca="false">IF($A1911="","",IF(ISNUMBER(Base_Bruta!C1911),Base_Bruta!C1911,IF(MID(Base_Bruta!C1911,5,1)="-",DATE(VALUE(LEFT(Base_Bruta!C1911,4)),VALUE(MID(Base_Bruta!C1911,6,2)),VALUE(RIGHT(Base_Bruta!C1911,2))),DATE(VALUE(RIGHT(Base_Bruta!C1911,4)),VALUE(MID(Base_Bruta!C1911,4,2)),VALUE(LEFT(Base_Bruta!C1911,2))))))</f>
        <v>46081</v>
      </c>
      <c r="D1911" s="4" t="str">
        <f aca="false">IF($A1911="","",TRIM(Base_Bruta!D1911))</f>
        <v>Show Sertanejo - BH</v>
      </c>
      <c r="E1911" s="4" t="str">
        <f aca="false">IF($A1911="","",_xlfn.XLOOKUP(LOWER(TRIM(Base_Bruta!E1911)),DePara_Categoria!$A$2:$A$9,DePara_Categoria!$B$2:$B$9,"REVISAR"))</f>
        <v>Show</v>
      </c>
      <c r="F1911" s="4" t="str">
        <f aca="false">IF($A1911="","",_xlfn.XLOOKUP(LOWER(TRIM(Base_Bruta!F1911)),DePara_Cidade!$A$2:$A$29,DePara_Cidade!$B$2:$B$29,"REVISAR"))</f>
        <v>Belo Horizonte</v>
      </c>
      <c r="G1911" s="4" t="str">
        <f aca="false">IF($A1911="","",TRIM(Base_Bruta!G1911))</f>
        <v>VIP</v>
      </c>
      <c r="H1911" s="4" t="n">
        <f aca="false">IF($A1911="","",IF(ISNUMBER(Base_Bruta!H1911),Base_Bruta!H1911,IFERROR(_xlfn.NUMBERVALUE(TRIM(SUBSTITUTE(Base_Bruta!H1911,"R$","")),",","."),0)))</f>
        <v>1</v>
      </c>
      <c r="I1911" s="6" t="n">
        <f aca="false">IF($A1911="","",IF(ISNUMBER(Base_Bruta!I1911),Base_Bruta!I1911,IFERROR(_xlfn.NUMBERVALUE(TRIM(SUBSTITUTE(Base_Bruta!I1911,"R$","")),",","."),0)))</f>
        <v>570</v>
      </c>
      <c r="J1911" s="6" t="n">
        <f aca="false">IF($A1911="","",H1911*I1911)</f>
        <v>570</v>
      </c>
      <c r="K1911" s="4" t="str">
        <f aca="false">IF($A1911="","",TRIM(Base_Bruta!J1911))</f>
        <v>Site</v>
      </c>
      <c r="L1911" s="4" t="str">
        <f aca="false">IF($A1911="","",TRIM(Base_Bruta!K1911))</f>
        <v>C01911</v>
      </c>
      <c r="M1911" s="4" t="str">
        <f aca="false">IF($A1911="","",_xlfn.XLOOKUP(LOWER(TRIM(Base_Bruta!L1911)),DePara_Cidade!$A$2:$A$29,DePara_Cidade!$B$2:$B$29,"REVISAR"))</f>
        <v>Florianópolis</v>
      </c>
      <c r="N1911" s="4" t="str">
        <f aca="false">IF($A1911="","",UPPER(TRIM(Base_Bruta!M1911)))</f>
        <v>SC</v>
      </c>
      <c r="O1911" s="4" t="str">
        <f aca="false">IF($A1911="","",_xlfn.XLOOKUP(LOWER(TRIM(Base_Bruta!N1911)),DePara_Pais!$A$2:$A$9,DePara_Pais!$B$2:$B$9,"REVISAR"))</f>
        <v>Brasil</v>
      </c>
      <c r="P1911" s="4" t="str">
        <f aca="false">IF($A1911="","",IF(O1911&lt;&gt;"Brasil","Turista Internacional",IF(M1911=F1911,"Local","Turista Nacional")))</f>
        <v>Turista Nacional</v>
      </c>
      <c r="Q1911" s="7" t="n">
        <f aca="false">IF($A1911="","",DATE(YEAR(B1911),MONTH(B1911),1))</f>
        <v>45962</v>
      </c>
      <c r="R1911" s="4" t="str">
        <f aca="false">IF($A1911="","",IF(COUNTIF($A$2:$A1911,$A1911)&gt;1,"Sim","Não"))</f>
        <v>Não</v>
      </c>
      <c r="S1911" s="4" t="str">
        <f aca="false">IF(A1911="","Descartar - Linha vazia",IF(R1911="Sim","Descartar - Duplicado",IF(OR(H1911&lt;=0,I1911&lt;=0),"Descartar - Qtd/Valor inválido","OK")))</f>
        <v>OK</v>
      </c>
      <c r="T1911" s="4" t="str">
        <f aca="false">Base_Bruta!P1911</f>
        <v>vendas_MG.csv</v>
      </c>
    </row>
    <row r="1912" customFormat="false" ht="15" hidden="false" customHeight="false" outlineLevel="0" collapsed="false">
      <c r="A1912" s="4" t="str">
        <f aca="false">IF(Base_Bruta!A1912="","",Base_Bruta!A1912)</f>
        <v>MG-000253</v>
      </c>
      <c r="B1912" s="5" t="n">
        <f aca="false">IF($A1912="","",IF(ISNUMBER(Base_Bruta!B1912),Base_Bruta!B1912,IF(MID(Base_Bruta!B1912,5,1)="-",DATE(VALUE(LEFT(Base_Bruta!B1912,4)),VALUE(MID(Base_Bruta!B1912,6,2)),VALUE(RIGHT(Base_Bruta!B1912,2))),DATE(VALUE(RIGHT(Base_Bruta!B1912,4)),VALUE(MID(Base_Bruta!B1912,4,2)),VALUE(LEFT(Base_Bruta!B1912,2))))))</f>
        <v>45982</v>
      </c>
      <c r="C1912" s="5" t="n">
        <f aca="false">IF($A1912="","",IF(ISNUMBER(Base_Bruta!C1912),Base_Bruta!C1912,IF(MID(Base_Bruta!C1912,5,1)="-",DATE(VALUE(LEFT(Base_Bruta!C1912,4)),VALUE(MID(Base_Bruta!C1912,6,2)),VALUE(RIGHT(Base_Bruta!C1912,2))),DATE(VALUE(RIGHT(Base_Bruta!C1912,4)),VALUE(MID(Base_Bruta!C1912,4,2)),VALUE(LEFT(Base_Bruta!C1912,2))))))</f>
        <v>46081</v>
      </c>
      <c r="D1912" s="4" t="str">
        <f aca="false">IF($A1912="","",TRIM(Base_Bruta!D1912))</f>
        <v>Show Sertanejo - BH</v>
      </c>
      <c r="E1912" s="4" t="str">
        <f aca="false">IF($A1912="","",_xlfn.XLOOKUP(LOWER(TRIM(Base_Bruta!E1912)),DePara_Categoria!$A$2:$A$9,DePara_Categoria!$B$2:$B$9,"REVISAR"))</f>
        <v>Show</v>
      </c>
      <c r="F1912" s="4" t="str">
        <f aca="false">IF($A1912="","",_xlfn.XLOOKUP(LOWER(TRIM(Base_Bruta!F1912)),DePara_Cidade!$A$2:$A$29,DePara_Cidade!$B$2:$B$29,"REVISAR"))</f>
        <v>Belo Horizonte</v>
      </c>
      <c r="G1912" s="4" t="str">
        <f aca="false">IF($A1912="","",TRIM(Base_Bruta!G1912))</f>
        <v>Inteira</v>
      </c>
      <c r="H1912" s="4" t="n">
        <f aca="false">IF($A1912="","",IF(ISNUMBER(Base_Bruta!H1912),Base_Bruta!H1912,IFERROR(_xlfn.NUMBERVALUE(TRIM(SUBSTITUTE(Base_Bruta!H1912,"R$","")),",","."),0)))</f>
        <v>2</v>
      </c>
      <c r="I1912" s="6" t="n">
        <f aca="false">IF($A1912="","",IF(ISNUMBER(Base_Bruta!I1912),Base_Bruta!I1912,IFERROR(_xlfn.NUMBERVALUE(TRIM(SUBSTITUTE(Base_Bruta!I1912,"R$","")),",","."),0)))</f>
        <v>390</v>
      </c>
      <c r="J1912" s="6" t="n">
        <f aca="false">IF($A1912="","",H1912*I1912)</f>
        <v>780</v>
      </c>
      <c r="K1912" s="4" t="str">
        <f aca="false">IF($A1912="","",TRIM(Base_Bruta!J1912))</f>
        <v>Site</v>
      </c>
      <c r="L1912" s="4" t="str">
        <f aca="false">IF($A1912="","",TRIM(Base_Bruta!K1912))</f>
        <v>C00181</v>
      </c>
      <c r="M1912" s="4" t="str">
        <f aca="false">IF($A1912="","",_xlfn.XLOOKUP(LOWER(TRIM(Base_Bruta!L1912)),DePara_Cidade!$A$2:$A$29,DePara_Cidade!$B$2:$B$29,"REVISAR"))</f>
        <v>Belo Horizonte</v>
      </c>
      <c r="N1912" s="4" t="str">
        <f aca="false">IF($A1912="","",UPPER(TRIM(Base_Bruta!M1912)))</f>
        <v>MG</v>
      </c>
      <c r="O1912" s="4" t="str">
        <f aca="false">IF($A1912="","",_xlfn.XLOOKUP(LOWER(TRIM(Base_Bruta!N1912)),DePara_Pais!$A$2:$A$9,DePara_Pais!$B$2:$B$9,"REVISAR"))</f>
        <v>Brasil</v>
      </c>
      <c r="P1912" s="4" t="str">
        <f aca="false">IF($A1912="","",IF(O1912&lt;&gt;"Brasil","Turista Internacional",IF(M1912=F1912,"Local","Turista Nacional")))</f>
        <v>Local</v>
      </c>
      <c r="Q1912" s="7" t="n">
        <f aca="false">IF($A1912="","",DATE(YEAR(B1912),MONTH(B1912),1))</f>
        <v>45962</v>
      </c>
      <c r="R1912" s="4" t="str">
        <f aca="false">IF($A1912="","",IF(COUNTIF($A$2:$A1912,$A1912)&gt;1,"Sim","Não"))</f>
        <v>Não</v>
      </c>
      <c r="S1912" s="4" t="str">
        <f aca="false">IF(A1912="","Descartar - Linha vazia",IF(R1912="Sim","Descartar - Duplicado",IF(OR(H1912&lt;=0,I1912&lt;=0),"Descartar - Qtd/Valor inválido","OK")))</f>
        <v>OK</v>
      </c>
      <c r="T1912" s="4" t="str">
        <f aca="false">Base_Bruta!P1912</f>
        <v>vendas_MG.csv</v>
      </c>
    </row>
    <row r="1913" customFormat="false" ht="15" hidden="false" customHeight="false" outlineLevel="0" collapsed="false">
      <c r="A1913" s="4" t="str">
        <f aca="false">IF(Base_Bruta!A1913="","",Base_Bruta!A1913)</f>
        <v>MG-000332</v>
      </c>
      <c r="B1913" s="5" t="n">
        <f aca="false">IF($A1913="","",IF(ISNUMBER(Base_Bruta!B1913),Base_Bruta!B1913,IF(MID(Base_Bruta!B1913,5,1)="-",DATE(VALUE(LEFT(Base_Bruta!B1913,4)),VALUE(MID(Base_Bruta!B1913,6,2)),VALUE(RIGHT(Base_Bruta!B1913,2))),DATE(VALUE(RIGHT(Base_Bruta!B1913,4)),VALUE(MID(Base_Bruta!B1913,4,2)),VALUE(LEFT(Base_Bruta!B1913,2))))))</f>
        <v>45984</v>
      </c>
      <c r="C1913" s="5" t="n">
        <f aca="false">IF($A1913="","",IF(ISNUMBER(Base_Bruta!C1913),Base_Bruta!C1913,IF(MID(Base_Bruta!C1913,5,1)="-",DATE(VALUE(LEFT(Base_Bruta!C1913,4)),VALUE(MID(Base_Bruta!C1913,6,2)),VALUE(RIGHT(Base_Bruta!C1913,2))),DATE(VALUE(RIGHT(Base_Bruta!C1913,4)),VALUE(MID(Base_Bruta!C1913,4,2)),VALUE(LEFT(Base_Bruta!C1913,2))))))</f>
        <v>46081</v>
      </c>
      <c r="D1913" s="4" t="str">
        <f aca="false">IF($A1913="","",TRIM(Base_Bruta!D1913))</f>
        <v>Show Sertanejo - BH</v>
      </c>
      <c r="E1913" s="4" t="str">
        <f aca="false">IF($A1913="","",_xlfn.XLOOKUP(LOWER(TRIM(Base_Bruta!E1913)),DePara_Categoria!$A$2:$A$9,DePara_Categoria!$B$2:$B$9,"REVISAR"))</f>
        <v>Show</v>
      </c>
      <c r="F1913" s="4" t="str">
        <f aca="false">IF($A1913="","",_xlfn.XLOOKUP(LOWER(TRIM(Base_Bruta!F1913)),DePara_Cidade!$A$2:$A$29,DePara_Cidade!$B$2:$B$29,"REVISAR"))</f>
        <v>Belo Horizonte</v>
      </c>
      <c r="G1913" s="4" t="str">
        <f aca="false">IF($A1913="","",TRIM(Base_Bruta!G1913))</f>
        <v>Meia</v>
      </c>
      <c r="H1913" s="4" t="n">
        <f aca="false">IF($A1913="","",IF(ISNUMBER(Base_Bruta!H1913),Base_Bruta!H1913,IFERROR(_xlfn.NUMBERVALUE(TRIM(SUBSTITUTE(Base_Bruta!H1913,"R$","")),",","."),0)))</f>
        <v>1</v>
      </c>
      <c r="I1913" s="6" t="n">
        <f aca="false">IF($A1913="","",IF(ISNUMBER(Base_Bruta!I1913),Base_Bruta!I1913,IFERROR(_xlfn.NUMBERVALUE(TRIM(SUBSTITUTE(Base_Bruta!I1913,"R$","")),",","."),0)))</f>
        <v>270</v>
      </c>
      <c r="J1913" s="6" t="n">
        <f aca="false">IF($A1913="","",H1913*I1913)</f>
        <v>270</v>
      </c>
      <c r="K1913" s="4" t="str">
        <f aca="false">IF($A1913="","",TRIM(Base_Bruta!J1913))</f>
        <v>Bilheteria</v>
      </c>
      <c r="L1913" s="4" t="str">
        <f aca="false">IF($A1913="","",TRIM(Base_Bruta!K1913))</f>
        <v>C02251</v>
      </c>
      <c r="M1913" s="4" t="str">
        <f aca="false">IF($A1913="","",_xlfn.XLOOKUP(LOWER(TRIM(Base_Bruta!L1913)),DePara_Cidade!$A$2:$A$29,DePara_Cidade!$B$2:$B$29,"REVISAR"))</f>
        <v>Belo Horizonte</v>
      </c>
      <c r="N1913" s="4" t="str">
        <f aca="false">IF($A1913="","",UPPER(TRIM(Base_Bruta!M1913)))</f>
        <v>MG</v>
      </c>
      <c r="O1913" s="4" t="str">
        <f aca="false">IF($A1913="","",_xlfn.XLOOKUP(LOWER(TRIM(Base_Bruta!N1913)),DePara_Pais!$A$2:$A$9,DePara_Pais!$B$2:$B$9,"REVISAR"))</f>
        <v>Brasil</v>
      </c>
      <c r="P1913" s="4" t="str">
        <f aca="false">IF($A1913="","",IF(O1913&lt;&gt;"Brasil","Turista Internacional",IF(M1913=F1913,"Local","Turista Nacional")))</f>
        <v>Local</v>
      </c>
      <c r="Q1913" s="7" t="n">
        <f aca="false">IF($A1913="","",DATE(YEAR(B1913),MONTH(B1913),1))</f>
        <v>45962</v>
      </c>
      <c r="R1913" s="4" t="str">
        <f aca="false">IF($A1913="","",IF(COUNTIF($A$2:$A1913,$A1913)&gt;1,"Sim","Não"))</f>
        <v>Não</v>
      </c>
      <c r="S1913" s="4" t="str">
        <f aca="false">IF(A1913="","Descartar - Linha vazia",IF(R1913="Sim","Descartar - Duplicado",IF(OR(H1913&lt;=0,I1913&lt;=0),"Descartar - Qtd/Valor inválido","OK")))</f>
        <v>OK</v>
      </c>
      <c r="T1913" s="4" t="str">
        <f aca="false">Base_Bruta!P1913</f>
        <v>vendas_MG.csv</v>
      </c>
    </row>
    <row r="1914" customFormat="false" ht="15" hidden="false" customHeight="false" outlineLevel="0" collapsed="false">
      <c r="A1914" s="4" t="str">
        <f aca="false">IF(Base_Bruta!A1914="","",Base_Bruta!A1914)</f>
        <v>MG-000378</v>
      </c>
      <c r="B1914" s="5" t="n">
        <f aca="false">IF($A1914="","",IF(ISNUMBER(Base_Bruta!B1914),Base_Bruta!B1914,IF(MID(Base_Bruta!B1914,5,1)="-",DATE(VALUE(LEFT(Base_Bruta!B1914,4)),VALUE(MID(Base_Bruta!B1914,6,2)),VALUE(RIGHT(Base_Bruta!B1914,2))),DATE(VALUE(RIGHT(Base_Bruta!B1914,4)),VALUE(MID(Base_Bruta!B1914,4,2)),VALUE(LEFT(Base_Bruta!B1914,2))))))</f>
        <v>45984</v>
      </c>
      <c r="C1914" s="5" t="n">
        <f aca="false">IF($A1914="","",IF(ISNUMBER(Base_Bruta!C1914),Base_Bruta!C1914,IF(MID(Base_Bruta!C1914,5,1)="-",DATE(VALUE(LEFT(Base_Bruta!C1914,4)),VALUE(MID(Base_Bruta!C1914,6,2)),VALUE(RIGHT(Base_Bruta!C1914,2))),DATE(VALUE(RIGHT(Base_Bruta!C1914,4)),VALUE(MID(Base_Bruta!C1914,4,2)),VALUE(LEFT(Base_Bruta!C1914,2))))))</f>
        <v>46081</v>
      </c>
      <c r="D1914" s="4" t="str">
        <f aca="false">IF($A1914="","",TRIM(Base_Bruta!D1914))</f>
        <v>Show Sertanejo - BH</v>
      </c>
      <c r="E1914" s="4" t="str">
        <f aca="false">IF($A1914="","",_xlfn.XLOOKUP(LOWER(TRIM(Base_Bruta!E1914)),DePara_Categoria!$A$2:$A$9,DePara_Categoria!$B$2:$B$9,"REVISAR"))</f>
        <v>Show</v>
      </c>
      <c r="F1914" s="4" t="str">
        <f aca="false">IF($A1914="","",_xlfn.XLOOKUP(LOWER(TRIM(Base_Bruta!F1914)),DePara_Cidade!$A$2:$A$29,DePara_Cidade!$B$2:$B$29,"REVISAR"))</f>
        <v>Belo Horizonte</v>
      </c>
      <c r="G1914" s="4" t="str">
        <f aca="false">IF($A1914="","",TRIM(Base_Bruta!G1914))</f>
        <v>Inteira</v>
      </c>
      <c r="H1914" s="4" t="n">
        <f aca="false">IF($A1914="","",IF(ISNUMBER(Base_Bruta!H1914),Base_Bruta!H1914,IFERROR(_xlfn.NUMBERVALUE(TRIM(SUBSTITUTE(Base_Bruta!H1914,"R$","")),",","."),0)))</f>
        <v>2</v>
      </c>
      <c r="I1914" s="6" t="n">
        <f aca="false">IF($A1914="","",IF(ISNUMBER(Base_Bruta!I1914),Base_Bruta!I1914,IFERROR(_xlfn.NUMBERVALUE(TRIM(SUBSTITUTE(Base_Bruta!I1914,"R$","")),",","."),0)))</f>
        <v>450</v>
      </c>
      <c r="J1914" s="6" t="n">
        <f aca="false">IF($A1914="","",H1914*I1914)</f>
        <v>900</v>
      </c>
      <c r="K1914" s="4" t="str">
        <f aca="false">IF($A1914="","",TRIM(Base_Bruta!J1914))</f>
        <v>Site</v>
      </c>
      <c r="L1914" s="4" t="str">
        <f aca="false">IF($A1914="","",TRIM(Base_Bruta!K1914))</f>
        <v>C02176</v>
      </c>
      <c r="M1914" s="4" t="str">
        <f aca="false">IF($A1914="","",_xlfn.XLOOKUP(LOWER(TRIM(Base_Bruta!L1914)),DePara_Cidade!$A$2:$A$29,DePara_Cidade!$B$2:$B$29,"REVISAR"))</f>
        <v>Porto Alegre</v>
      </c>
      <c r="N1914" s="4" t="str">
        <f aca="false">IF($A1914="","",UPPER(TRIM(Base_Bruta!M1914)))</f>
        <v>RS</v>
      </c>
      <c r="O1914" s="4" t="str">
        <f aca="false">IF($A1914="","",_xlfn.XLOOKUP(LOWER(TRIM(Base_Bruta!N1914)),DePara_Pais!$A$2:$A$9,DePara_Pais!$B$2:$B$9,"REVISAR"))</f>
        <v>Brasil</v>
      </c>
      <c r="P1914" s="4" t="str">
        <f aca="false">IF($A1914="","",IF(O1914&lt;&gt;"Brasil","Turista Internacional",IF(M1914=F1914,"Local","Turista Nacional")))</f>
        <v>Turista Nacional</v>
      </c>
      <c r="Q1914" s="7" t="n">
        <f aca="false">IF($A1914="","",DATE(YEAR(B1914),MONTH(B1914),1))</f>
        <v>45962</v>
      </c>
      <c r="R1914" s="4" t="str">
        <f aca="false">IF($A1914="","",IF(COUNTIF($A$2:$A1914,$A1914)&gt;1,"Sim","Não"))</f>
        <v>Não</v>
      </c>
      <c r="S1914" s="4" t="str">
        <f aca="false">IF(A1914="","Descartar - Linha vazia",IF(R1914="Sim","Descartar - Duplicado",IF(OR(H1914&lt;=0,I1914&lt;=0),"Descartar - Qtd/Valor inválido","OK")))</f>
        <v>OK</v>
      </c>
      <c r="T1914" s="4" t="str">
        <f aca="false">Base_Bruta!P1914</f>
        <v>vendas_MG.csv</v>
      </c>
    </row>
    <row r="1915" customFormat="false" ht="15" hidden="false" customHeight="false" outlineLevel="0" collapsed="false">
      <c r="A1915" s="4" t="str">
        <f aca="false">IF(Base_Bruta!A1915="","",Base_Bruta!A1915)</f>
        <v>MG-000453</v>
      </c>
      <c r="B1915" s="5" t="n">
        <f aca="false">IF($A1915="","",IF(ISNUMBER(Base_Bruta!B1915),Base_Bruta!B1915,IF(MID(Base_Bruta!B1915,5,1)="-",DATE(VALUE(LEFT(Base_Bruta!B1915,4)),VALUE(MID(Base_Bruta!B1915,6,2)),VALUE(RIGHT(Base_Bruta!B1915,2))),DATE(VALUE(RIGHT(Base_Bruta!B1915,4)),VALUE(MID(Base_Bruta!B1915,4,2)),VALUE(LEFT(Base_Bruta!B1915,2))))))</f>
        <v>45984</v>
      </c>
      <c r="C1915" s="5" t="n">
        <f aca="false">IF($A1915="","",IF(ISNUMBER(Base_Bruta!C1915),Base_Bruta!C1915,IF(MID(Base_Bruta!C1915,5,1)="-",DATE(VALUE(LEFT(Base_Bruta!C1915,4)),VALUE(MID(Base_Bruta!C1915,6,2)),VALUE(RIGHT(Base_Bruta!C1915,2))),DATE(VALUE(RIGHT(Base_Bruta!C1915,4)),VALUE(MID(Base_Bruta!C1915,4,2)),VALUE(LEFT(Base_Bruta!C1915,2))))))</f>
        <v>45985</v>
      </c>
      <c r="D1915" s="4" t="str">
        <f aca="false">IF($A1915="","",TRIM(Base_Bruta!D1915))</f>
        <v>Cinema Savassi - Sessões</v>
      </c>
      <c r="E1915" s="4" t="str">
        <f aca="false">IF($A1915="","",_xlfn.XLOOKUP(LOWER(TRIM(Base_Bruta!E1915)),DePara_Categoria!$A$2:$A$9,DePara_Categoria!$B$2:$B$9,"REVISAR"))</f>
        <v>Cinema</v>
      </c>
      <c r="F1915" s="4" t="str">
        <f aca="false">IF($A1915="","",_xlfn.XLOOKUP(LOWER(TRIM(Base_Bruta!F1915)),DePara_Cidade!$A$2:$A$29,DePara_Cidade!$B$2:$B$29,"REVISAR"))</f>
        <v>Belo Horizonte</v>
      </c>
      <c r="G1915" s="4" t="str">
        <f aca="false">IF($A1915="","",TRIM(Base_Bruta!G1915))</f>
        <v>Inteira</v>
      </c>
      <c r="H1915" s="4" t="n">
        <f aca="false">IF($A1915="","",IF(ISNUMBER(Base_Bruta!H1915),Base_Bruta!H1915,IFERROR(_xlfn.NUMBERVALUE(TRIM(SUBSTITUTE(Base_Bruta!H1915,"R$","")),",","."),0)))</f>
        <v>3</v>
      </c>
      <c r="I1915" s="6" t="n">
        <f aca="false">IF($A1915="","",IF(ISNUMBER(Base_Bruta!I1915),Base_Bruta!I1915,IFERROR(_xlfn.NUMBERVALUE(TRIM(SUBSTITUTE(Base_Bruta!I1915,"R$","")),",","."),0)))</f>
        <v>35</v>
      </c>
      <c r="J1915" s="6" t="n">
        <f aca="false">IF($A1915="","",H1915*I1915)</f>
        <v>105</v>
      </c>
      <c r="K1915" s="4" t="str">
        <f aca="false">IF($A1915="","",TRIM(Base_Bruta!J1915))</f>
        <v>Site</v>
      </c>
      <c r="L1915" s="4" t="str">
        <f aca="false">IF($A1915="","",TRIM(Base_Bruta!K1915))</f>
        <v>C02223</v>
      </c>
      <c r="M1915" s="4" t="str">
        <f aca="false">IF($A1915="","",_xlfn.XLOOKUP(LOWER(TRIM(Base_Bruta!L1915)),DePara_Cidade!$A$2:$A$29,DePara_Cidade!$B$2:$B$29,"REVISAR"))</f>
        <v>Belo Horizonte</v>
      </c>
      <c r="N1915" s="4" t="str">
        <f aca="false">IF($A1915="","",UPPER(TRIM(Base_Bruta!M1915)))</f>
        <v>MG</v>
      </c>
      <c r="O1915" s="4" t="str">
        <f aca="false">IF($A1915="","",_xlfn.XLOOKUP(LOWER(TRIM(Base_Bruta!N1915)),DePara_Pais!$A$2:$A$9,DePara_Pais!$B$2:$B$9,"REVISAR"))</f>
        <v>Brasil</v>
      </c>
      <c r="P1915" s="4" t="str">
        <f aca="false">IF($A1915="","",IF(O1915&lt;&gt;"Brasil","Turista Internacional",IF(M1915=F1915,"Local","Turista Nacional")))</f>
        <v>Local</v>
      </c>
      <c r="Q1915" s="7" t="n">
        <f aca="false">IF($A1915="","",DATE(YEAR(B1915),MONTH(B1915),1))</f>
        <v>45962</v>
      </c>
      <c r="R1915" s="4" t="str">
        <f aca="false">IF($A1915="","",IF(COUNTIF($A$2:$A1915,$A1915)&gt;1,"Sim","Não"))</f>
        <v>Não</v>
      </c>
      <c r="S1915" s="4" t="str">
        <f aca="false">IF(A1915="","Descartar - Linha vazia",IF(R1915="Sim","Descartar - Duplicado",IF(OR(H1915&lt;=0,I1915&lt;=0),"Descartar - Qtd/Valor inválido","OK")))</f>
        <v>OK</v>
      </c>
      <c r="T1915" s="4" t="str">
        <f aca="false">Base_Bruta!P1915</f>
        <v>vendas_MG.csv</v>
      </c>
    </row>
    <row r="1916" customFormat="false" ht="15" hidden="false" customHeight="false" outlineLevel="0" collapsed="false">
      <c r="A1916" s="4" t="str">
        <f aca="false">IF(Base_Bruta!A1916="","",Base_Bruta!A1916)</f>
        <v>MG-000303</v>
      </c>
      <c r="B1916" s="5" t="n">
        <f aca="false">IF($A1916="","",IF(ISNUMBER(Base_Bruta!B1916),Base_Bruta!B1916,IF(MID(Base_Bruta!B1916,5,1)="-",DATE(VALUE(LEFT(Base_Bruta!B1916,4)),VALUE(MID(Base_Bruta!B1916,6,2)),VALUE(RIGHT(Base_Bruta!B1916,2))),DATE(VALUE(RIGHT(Base_Bruta!B1916,4)),VALUE(MID(Base_Bruta!B1916,4,2)),VALUE(LEFT(Base_Bruta!B1916,2))))))</f>
        <v>45985</v>
      </c>
      <c r="C1916" s="5" t="n">
        <f aca="false">IF($A1916="","",IF(ISNUMBER(Base_Bruta!C1916),Base_Bruta!C1916,IF(MID(Base_Bruta!C1916,5,1)="-",DATE(VALUE(LEFT(Base_Bruta!C1916,4)),VALUE(MID(Base_Bruta!C1916,6,2)),VALUE(RIGHT(Base_Bruta!C1916,2))),DATE(VALUE(RIGHT(Base_Bruta!C1916,4)),VALUE(MID(Base_Bruta!C1916,4,2)),VALUE(LEFT(Base_Bruta!C1916,2))))))</f>
        <v>46081</v>
      </c>
      <c r="D1916" s="4" t="str">
        <f aca="false">IF($A1916="","",TRIM(Base_Bruta!D1916))</f>
        <v>Show Sertanejo - BH</v>
      </c>
      <c r="E1916" s="4" t="str">
        <f aca="false">IF($A1916="","",_xlfn.XLOOKUP(LOWER(TRIM(Base_Bruta!E1916)),DePara_Categoria!$A$2:$A$9,DePara_Categoria!$B$2:$B$9,"REVISAR"))</f>
        <v>Show</v>
      </c>
      <c r="F1916" s="4" t="str">
        <f aca="false">IF($A1916="","",_xlfn.XLOOKUP(LOWER(TRIM(Base_Bruta!F1916)),DePara_Cidade!$A$2:$A$29,DePara_Cidade!$B$2:$B$29,"REVISAR"))</f>
        <v>Belo Horizonte</v>
      </c>
      <c r="G1916" s="4" t="str">
        <f aca="false">IF($A1916="","",TRIM(Base_Bruta!G1916))</f>
        <v>Inteira</v>
      </c>
      <c r="H1916" s="4" t="n">
        <f aca="false">IF($A1916="","",IF(ISNUMBER(Base_Bruta!H1916),Base_Bruta!H1916,IFERROR(_xlfn.NUMBERVALUE(TRIM(SUBSTITUTE(Base_Bruta!H1916,"R$","")),",","."),0)))</f>
        <v>1</v>
      </c>
      <c r="I1916" s="6" t="n">
        <f aca="false">IF($A1916="","",IF(ISNUMBER(Base_Bruta!I1916),Base_Bruta!I1916,IFERROR(_xlfn.NUMBERVALUE(TRIM(SUBSTITUTE(Base_Bruta!I1916,"R$","")),",","."),0)))</f>
        <v>255</v>
      </c>
      <c r="J1916" s="6" t="n">
        <f aca="false">IF($A1916="","",H1916*I1916)</f>
        <v>255</v>
      </c>
      <c r="K1916" s="4" t="str">
        <f aca="false">IF($A1916="","",TRIM(Base_Bruta!J1916))</f>
        <v>Site</v>
      </c>
      <c r="L1916" s="4" t="str">
        <f aca="false">IF($A1916="","",TRIM(Base_Bruta!K1916))</f>
        <v>C01132</v>
      </c>
      <c r="M1916" s="4" t="str">
        <f aca="false">IF($A1916="","",_xlfn.XLOOKUP(LOWER(TRIM(Base_Bruta!L1916)),DePara_Cidade!$A$2:$A$29,DePara_Cidade!$B$2:$B$29,"REVISAR"))</f>
        <v>Belo Horizonte</v>
      </c>
      <c r="N1916" s="4" t="str">
        <f aca="false">IF($A1916="","",UPPER(TRIM(Base_Bruta!M1916)))</f>
        <v>MG</v>
      </c>
      <c r="O1916" s="4" t="str">
        <f aca="false">IF($A1916="","",_xlfn.XLOOKUP(LOWER(TRIM(Base_Bruta!N1916)),DePara_Pais!$A$2:$A$9,DePara_Pais!$B$2:$B$9,"REVISAR"))</f>
        <v>Brasil</v>
      </c>
      <c r="P1916" s="4" t="str">
        <f aca="false">IF($A1916="","",IF(O1916&lt;&gt;"Brasil","Turista Internacional",IF(M1916=F1916,"Local","Turista Nacional")))</f>
        <v>Local</v>
      </c>
      <c r="Q1916" s="7" t="n">
        <f aca="false">IF($A1916="","",DATE(YEAR(B1916),MONTH(B1916),1))</f>
        <v>45962</v>
      </c>
      <c r="R1916" s="4" t="str">
        <f aca="false">IF($A1916="","",IF(COUNTIF($A$2:$A1916,$A1916)&gt;1,"Sim","Não"))</f>
        <v>Não</v>
      </c>
      <c r="S1916" s="4" t="str">
        <f aca="false">IF(A1916="","Descartar - Linha vazia",IF(R1916="Sim","Descartar - Duplicado",IF(OR(H1916&lt;=0,I1916&lt;=0),"Descartar - Qtd/Valor inválido","OK")))</f>
        <v>OK</v>
      </c>
      <c r="T1916" s="4" t="str">
        <f aca="false">Base_Bruta!P1916</f>
        <v>vendas_MG.csv</v>
      </c>
    </row>
    <row r="1917" customFormat="false" ht="15" hidden="false" customHeight="false" outlineLevel="0" collapsed="false">
      <c r="A1917" s="4" t="str">
        <f aca="false">IF(Base_Bruta!A1917="","",Base_Bruta!A1917)</f>
        <v>MG-000298</v>
      </c>
      <c r="B1917" s="5" t="n">
        <f aca="false">IF($A1917="","",IF(ISNUMBER(Base_Bruta!B1917),Base_Bruta!B1917,IF(MID(Base_Bruta!B1917,5,1)="-",DATE(VALUE(LEFT(Base_Bruta!B1917,4)),VALUE(MID(Base_Bruta!B1917,6,2)),VALUE(RIGHT(Base_Bruta!B1917,2))),DATE(VALUE(RIGHT(Base_Bruta!B1917,4)),VALUE(MID(Base_Bruta!B1917,4,2)),VALUE(LEFT(Base_Bruta!B1917,2))))))</f>
        <v>45986</v>
      </c>
      <c r="C1917" s="5" t="n">
        <f aca="false">IF($A1917="","",IF(ISNUMBER(Base_Bruta!C1917),Base_Bruta!C1917,IF(MID(Base_Bruta!C1917,5,1)="-",DATE(VALUE(LEFT(Base_Bruta!C1917,4)),VALUE(MID(Base_Bruta!C1917,6,2)),VALUE(RIGHT(Base_Bruta!C1917,2))),DATE(VALUE(RIGHT(Base_Bruta!C1917,4)),VALUE(MID(Base_Bruta!C1917,4,2)),VALUE(LEFT(Base_Bruta!C1917,2))))))</f>
        <v>46081</v>
      </c>
      <c r="D1917" s="4" t="str">
        <f aca="false">IF($A1917="","",TRIM(Base_Bruta!D1917))</f>
        <v>Show Sertanejo - BH</v>
      </c>
      <c r="E1917" s="4" t="str">
        <f aca="false">IF($A1917="","",_xlfn.XLOOKUP(LOWER(TRIM(Base_Bruta!E1917)),DePara_Categoria!$A$2:$A$9,DePara_Categoria!$B$2:$B$9,"REVISAR"))</f>
        <v>Show</v>
      </c>
      <c r="F1917" s="4" t="str">
        <f aca="false">IF($A1917="","",_xlfn.XLOOKUP(LOWER(TRIM(Base_Bruta!F1917)),DePara_Cidade!$A$2:$A$29,DePara_Cidade!$B$2:$B$29,"REVISAR"))</f>
        <v>Belo Horizonte</v>
      </c>
      <c r="G1917" s="4" t="str">
        <f aca="false">IF($A1917="","",TRIM(Base_Bruta!G1917))</f>
        <v>Meia</v>
      </c>
      <c r="H1917" s="4" t="n">
        <f aca="false">IF($A1917="","",IF(ISNUMBER(Base_Bruta!H1917),Base_Bruta!H1917,IFERROR(_xlfn.NUMBERVALUE(TRIM(SUBSTITUTE(Base_Bruta!H1917,"R$","")),",","."),0)))</f>
        <v>2</v>
      </c>
      <c r="I1917" s="6" t="n">
        <f aca="false">IF($A1917="","",IF(ISNUMBER(Base_Bruta!I1917),Base_Bruta!I1917,IFERROR(_xlfn.NUMBERVALUE(TRIM(SUBSTITUTE(Base_Bruta!I1917,"R$","")),",","."),0)))</f>
        <v>240</v>
      </c>
      <c r="J1917" s="6" t="n">
        <f aca="false">IF($A1917="","",H1917*I1917)</f>
        <v>480</v>
      </c>
      <c r="K1917" s="4" t="str">
        <f aca="false">IF($A1917="","",TRIM(Base_Bruta!J1917))</f>
        <v>App</v>
      </c>
      <c r="L1917" s="4" t="str">
        <f aca="false">IF($A1917="","",TRIM(Base_Bruta!K1917))</f>
        <v>C01316</v>
      </c>
      <c r="M1917" s="4" t="str">
        <f aca="false">IF($A1917="","",_xlfn.XLOOKUP(LOWER(TRIM(Base_Bruta!L1917)),DePara_Cidade!$A$2:$A$29,DePara_Cidade!$B$2:$B$29,"REVISAR"))</f>
        <v>Belo Horizonte</v>
      </c>
      <c r="N1917" s="4" t="str">
        <f aca="false">IF($A1917="","",UPPER(TRIM(Base_Bruta!M1917)))</f>
        <v>MG</v>
      </c>
      <c r="O1917" s="4" t="str">
        <f aca="false">IF($A1917="","",_xlfn.XLOOKUP(LOWER(TRIM(Base_Bruta!N1917)),DePara_Pais!$A$2:$A$9,DePara_Pais!$B$2:$B$9,"REVISAR"))</f>
        <v>Brasil</v>
      </c>
      <c r="P1917" s="4" t="str">
        <f aca="false">IF($A1917="","",IF(O1917&lt;&gt;"Brasil","Turista Internacional",IF(M1917=F1917,"Local","Turista Nacional")))</f>
        <v>Local</v>
      </c>
      <c r="Q1917" s="7" t="n">
        <f aca="false">IF($A1917="","",DATE(YEAR(B1917),MONTH(B1917),1))</f>
        <v>45962</v>
      </c>
      <c r="R1917" s="4" t="str">
        <f aca="false">IF($A1917="","",IF(COUNTIF($A$2:$A1917,$A1917)&gt;1,"Sim","Não"))</f>
        <v>Não</v>
      </c>
      <c r="S1917" s="4" t="str">
        <f aca="false">IF(A1917="","Descartar - Linha vazia",IF(R1917="Sim","Descartar - Duplicado",IF(OR(H1917&lt;=0,I1917&lt;=0),"Descartar - Qtd/Valor inválido","OK")))</f>
        <v>OK</v>
      </c>
      <c r="T1917" s="4" t="str">
        <f aca="false">Base_Bruta!P1917</f>
        <v>vendas_MG.csv</v>
      </c>
    </row>
    <row r="1918" customFormat="false" ht="15" hidden="false" customHeight="false" outlineLevel="0" collapsed="false">
      <c r="A1918" s="4" t="str">
        <f aca="false">IF(Base_Bruta!A1918="","",Base_Bruta!A1918)</f>
        <v>MG-000278</v>
      </c>
      <c r="B1918" s="5" t="n">
        <f aca="false">IF($A1918="","",IF(ISNUMBER(Base_Bruta!B1918),Base_Bruta!B1918,IF(MID(Base_Bruta!B1918,5,1)="-",DATE(VALUE(LEFT(Base_Bruta!B1918,4)),VALUE(MID(Base_Bruta!B1918,6,2)),VALUE(RIGHT(Base_Bruta!B1918,2))),DATE(VALUE(RIGHT(Base_Bruta!B1918,4)),VALUE(MID(Base_Bruta!B1918,4,2)),VALUE(LEFT(Base_Bruta!B1918,2))))))</f>
        <v>45988</v>
      </c>
      <c r="C1918" s="5" t="n">
        <f aca="false">IF($A1918="","",IF(ISNUMBER(Base_Bruta!C1918),Base_Bruta!C1918,IF(MID(Base_Bruta!C1918,5,1)="-",DATE(VALUE(LEFT(Base_Bruta!C1918,4)),VALUE(MID(Base_Bruta!C1918,6,2)),VALUE(RIGHT(Base_Bruta!C1918,2))),DATE(VALUE(RIGHT(Base_Bruta!C1918,4)),VALUE(MID(Base_Bruta!C1918,4,2)),VALUE(LEFT(Base_Bruta!C1918,2))))))</f>
        <v>46081</v>
      </c>
      <c r="D1918" s="4" t="str">
        <f aca="false">IF($A1918="","",TRIM(Base_Bruta!D1918))</f>
        <v>Show Sertanejo - BH</v>
      </c>
      <c r="E1918" s="4" t="str">
        <f aca="false">IF($A1918="","",_xlfn.XLOOKUP(LOWER(TRIM(Base_Bruta!E1918)),DePara_Categoria!$A$2:$A$9,DePara_Categoria!$B$2:$B$9,"REVISAR"))</f>
        <v>Show</v>
      </c>
      <c r="F1918" s="4" t="str">
        <f aca="false">IF($A1918="","",_xlfn.XLOOKUP(LOWER(TRIM(Base_Bruta!F1918)),DePara_Cidade!$A$2:$A$29,DePara_Cidade!$B$2:$B$29,"REVISAR"))</f>
        <v>Belo Horizonte</v>
      </c>
      <c r="G1918" s="4" t="str">
        <f aca="false">IF($A1918="","",TRIM(Base_Bruta!G1918))</f>
        <v>Inteira</v>
      </c>
      <c r="H1918" s="4" t="n">
        <f aca="false">IF($A1918="","",IF(ISNUMBER(Base_Bruta!H1918),Base_Bruta!H1918,IFERROR(_xlfn.NUMBERVALUE(TRIM(SUBSTITUTE(Base_Bruta!H1918,"R$","")),",","."),0)))</f>
        <v>1</v>
      </c>
      <c r="I1918" s="6" t="n">
        <f aca="false">IF($A1918="","",IF(ISNUMBER(Base_Bruta!I1918),Base_Bruta!I1918,IFERROR(_xlfn.NUMBERVALUE(TRIM(SUBSTITUTE(Base_Bruta!I1918,"R$","")),",","."),0)))</f>
        <v>605</v>
      </c>
      <c r="J1918" s="6" t="n">
        <f aca="false">IF($A1918="","",H1918*I1918)</f>
        <v>605</v>
      </c>
      <c r="K1918" s="4" t="str">
        <f aca="false">IF($A1918="","",TRIM(Base_Bruta!J1918))</f>
        <v>App</v>
      </c>
      <c r="L1918" s="4" t="str">
        <f aca="false">IF($A1918="","",TRIM(Base_Bruta!K1918))</f>
        <v>C02179</v>
      </c>
      <c r="M1918" s="4" t="str">
        <f aca="false">IF($A1918="","",_xlfn.XLOOKUP(LOWER(TRIM(Base_Bruta!L1918)),DePara_Cidade!$A$2:$A$29,DePara_Cidade!$B$2:$B$29,"REVISAR"))</f>
        <v>Belo Horizonte</v>
      </c>
      <c r="N1918" s="4" t="str">
        <f aca="false">IF($A1918="","",UPPER(TRIM(Base_Bruta!M1918)))</f>
        <v>MG</v>
      </c>
      <c r="O1918" s="4" t="str">
        <f aca="false">IF($A1918="","",_xlfn.XLOOKUP(LOWER(TRIM(Base_Bruta!N1918)),DePara_Pais!$A$2:$A$9,DePara_Pais!$B$2:$B$9,"REVISAR"))</f>
        <v>Brasil</v>
      </c>
      <c r="P1918" s="4" t="str">
        <f aca="false">IF($A1918="","",IF(O1918&lt;&gt;"Brasil","Turista Internacional",IF(M1918=F1918,"Local","Turista Nacional")))</f>
        <v>Local</v>
      </c>
      <c r="Q1918" s="7" t="n">
        <f aca="false">IF($A1918="","",DATE(YEAR(B1918),MONTH(B1918),1))</f>
        <v>45962</v>
      </c>
      <c r="R1918" s="4" t="str">
        <f aca="false">IF($A1918="","",IF(COUNTIF($A$2:$A1918,$A1918)&gt;1,"Sim","Não"))</f>
        <v>Não</v>
      </c>
      <c r="S1918" s="4" t="str">
        <f aca="false">IF(A1918="","Descartar - Linha vazia",IF(R1918="Sim","Descartar - Duplicado",IF(OR(H1918&lt;=0,I1918&lt;=0),"Descartar - Qtd/Valor inválido","OK")))</f>
        <v>OK</v>
      </c>
      <c r="T1918" s="4" t="str">
        <f aca="false">Base_Bruta!P1918</f>
        <v>vendas_MG.csv</v>
      </c>
    </row>
    <row r="1919" customFormat="false" ht="15" hidden="false" customHeight="false" outlineLevel="0" collapsed="false">
      <c r="A1919" s="4" t="str">
        <f aca="false">IF(Base_Bruta!A1919="","",Base_Bruta!A1919)</f>
        <v>MG-000480</v>
      </c>
      <c r="B1919" s="5" t="n">
        <f aca="false">IF($A1919="","",IF(ISNUMBER(Base_Bruta!B1919),Base_Bruta!B1919,IF(MID(Base_Bruta!B1919,5,1)="-",DATE(VALUE(LEFT(Base_Bruta!B1919,4)),VALUE(MID(Base_Bruta!B1919,6,2)),VALUE(RIGHT(Base_Bruta!B1919,2))),DATE(VALUE(RIGHT(Base_Bruta!B1919,4)),VALUE(MID(Base_Bruta!B1919,4,2)),VALUE(LEFT(Base_Bruta!B1919,2))))))</f>
        <v>45988</v>
      </c>
      <c r="C1919" s="5" t="n">
        <f aca="false">IF($A1919="","",IF(ISNUMBER(Base_Bruta!C1919),Base_Bruta!C1919,IF(MID(Base_Bruta!C1919,5,1)="-",DATE(VALUE(LEFT(Base_Bruta!C1919,4)),VALUE(MID(Base_Bruta!C1919,6,2)),VALUE(RIGHT(Base_Bruta!C1919,2))),DATE(VALUE(RIGHT(Base_Bruta!C1919,4)),VALUE(MID(Base_Bruta!C1919,4,2)),VALUE(LEFT(Base_Bruta!C1919,2))))))</f>
        <v>45991</v>
      </c>
      <c r="D1919" s="4" t="str">
        <f aca="false">IF($A1919="","",TRIM(Base_Bruta!D1919))</f>
        <v>Cinema Savassi - Sessões</v>
      </c>
      <c r="E1919" s="4" t="str">
        <f aca="false">IF($A1919="","",_xlfn.XLOOKUP(LOWER(TRIM(Base_Bruta!E1919)),DePara_Categoria!$A$2:$A$9,DePara_Categoria!$B$2:$B$9,"REVISAR"))</f>
        <v>Cinema</v>
      </c>
      <c r="F1919" s="4" t="str">
        <f aca="false">IF($A1919="","",_xlfn.XLOOKUP(LOWER(TRIM(Base_Bruta!F1919)),DePara_Cidade!$A$2:$A$29,DePara_Cidade!$B$2:$B$29,"REVISAR"))</f>
        <v>Belo Horizonte</v>
      </c>
      <c r="G1919" s="4" t="str">
        <f aca="false">IF($A1919="","",TRIM(Base_Bruta!G1919))</f>
        <v>Inteira</v>
      </c>
      <c r="H1919" s="4" t="n">
        <f aca="false">IF($A1919="","",IF(ISNUMBER(Base_Bruta!H1919),Base_Bruta!H1919,IFERROR(_xlfn.NUMBERVALUE(TRIM(SUBSTITUTE(Base_Bruta!H1919,"R$","")),",","."),0)))</f>
        <v>1</v>
      </c>
      <c r="I1919" s="6" t="n">
        <f aca="false">IF($A1919="","",IF(ISNUMBER(Base_Bruta!I1919),Base_Bruta!I1919,IFERROR(_xlfn.NUMBERVALUE(TRIM(SUBSTITUTE(Base_Bruta!I1919,"R$","")),",","."),0)))</f>
        <v>40</v>
      </c>
      <c r="J1919" s="6" t="n">
        <f aca="false">IF($A1919="","",H1919*I1919)</f>
        <v>40</v>
      </c>
      <c r="K1919" s="4" t="str">
        <f aca="false">IF($A1919="","",TRIM(Base_Bruta!J1919))</f>
        <v>Site</v>
      </c>
      <c r="L1919" s="4" t="str">
        <f aca="false">IF($A1919="","",TRIM(Base_Bruta!K1919))</f>
        <v>C00716</v>
      </c>
      <c r="M1919" s="4" t="str">
        <f aca="false">IF($A1919="","",_xlfn.XLOOKUP(LOWER(TRIM(Base_Bruta!L1919)),DePara_Cidade!$A$2:$A$29,DePara_Cidade!$B$2:$B$29,"REVISAR"))</f>
        <v>Belo Horizonte</v>
      </c>
      <c r="N1919" s="4" t="str">
        <f aca="false">IF($A1919="","",UPPER(TRIM(Base_Bruta!M1919)))</f>
        <v>MG</v>
      </c>
      <c r="O1919" s="4" t="str">
        <f aca="false">IF($A1919="","",_xlfn.XLOOKUP(LOWER(TRIM(Base_Bruta!N1919)),DePara_Pais!$A$2:$A$9,DePara_Pais!$B$2:$B$9,"REVISAR"))</f>
        <v>Brasil</v>
      </c>
      <c r="P1919" s="4" t="str">
        <f aca="false">IF($A1919="","",IF(O1919&lt;&gt;"Brasil","Turista Internacional",IF(M1919=F1919,"Local","Turista Nacional")))</f>
        <v>Local</v>
      </c>
      <c r="Q1919" s="7" t="n">
        <f aca="false">IF($A1919="","",DATE(YEAR(B1919),MONTH(B1919),1))</f>
        <v>45962</v>
      </c>
      <c r="R1919" s="4" t="str">
        <f aca="false">IF($A1919="","",IF(COUNTIF($A$2:$A1919,$A1919)&gt;1,"Sim","Não"))</f>
        <v>Não</v>
      </c>
      <c r="S1919" s="4" t="str">
        <f aca="false">IF(A1919="","Descartar - Linha vazia",IF(R1919="Sim","Descartar - Duplicado",IF(OR(H1919&lt;=0,I1919&lt;=0),"Descartar - Qtd/Valor inválido","OK")))</f>
        <v>OK</v>
      </c>
      <c r="T1919" s="4" t="str">
        <f aca="false">Base_Bruta!P1919</f>
        <v>vendas_MG.csv</v>
      </c>
    </row>
    <row r="1920" customFormat="false" ht="15" hidden="false" customHeight="false" outlineLevel="0" collapsed="false">
      <c r="A1920" s="4" t="str">
        <f aca="false">IF(Base_Bruta!A1920="","",Base_Bruta!A1920)</f>
        <v>MG-000544</v>
      </c>
      <c r="B1920" s="5" t="n">
        <f aca="false">IF($A1920="","",IF(ISNUMBER(Base_Bruta!B1920),Base_Bruta!B1920,IF(MID(Base_Bruta!B1920,5,1)="-",DATE(VALUE(LEFT(Base_Bruta!B1920,4)),VALUE(MID(Base_Bruta!B1920,6,2)),VALUE(RIGHT(Base_Bruta!B1920,2))),DATE(VALUE(RIGHT(Base_Bruta!B1920,4)),VALUE(MID(Base_Bruta!B1920,4,2)),VALUE(LEFT(Base_Bruta!B1920,2))))))</f>
        <v>45988</v>
      </c>
      <c r="C1920" s="5" t="n">
        <f aca="false">IF($A1920="","",IF(ISNUMBER(Base_Bruta!C1920),Base_Bruta!C1920,IF(MID(Base_Bruta!C1920,5,1)="-",DATE(VALUE(LEFT(Base_Bruta!C1920,4)),VALUE(MID(Base_Bruta!C1920,6,2)),VALUE(RIGHT(Base_Bruta!C1920,2))),DATE(VALUE(RIGHT(Base_Bruta!C1920,4)),VALUE(MID(Base_Bruta!C1920,4,2)),VALUE(LEFT(Base_Bruta!C1920,2))))))</f>
        <v>45989</v>
      </c>
      <c r="D1920" s="4" t="str">
        <f aca="false">IF($A1920="","",TRIM(Base_Bruta!D1920))</f>
        <v>Cinema Savassi - Sessões</v>
      </c>
      <c r="E1920" s="4" t="str">
        <f aca="false">IF($A1920="","",_xlfn.XLOOKUP(LOWER(TRIM(Base_Bruta!E1920)),DePara_Categoria!$A$2:$A$9,DePara_Categoria!$B$2:$B$9,"REVISAR"))</f>
        <v>Cinema</v>
      </c>
      <c r="F1920" s="4" t="str">
        <f aca="false">IF($A1920="","",_xlfn.XLOOKUP(LOWER(TRIM(Base_Bruta!F1920)),DePara_Cidade!$A$2:$A$29,DePara_Cidade!$B$2:$B$29,"REVISAR"))</f>
        <v>Belo Horizonte</v>
      </c>
      <c r="G1920" s="4" t="str">
        <f aca="false">IF($A1920="","",TRIM(Base_Bruta!G1920))</f>
        <v>Inteira</v>
      </c>
      <c r="H1920" s="4" t="n">
        <f aca="false">IF($A1920="","",IF(ISNUMBER(Base_Bruta!H1920),Base_Bruta!H1920,IFERROR(_xlfn.NUMBERVALUE(TRIM(SUBSTITUTE(Base_Bruta!H1920,"R$","")),",","."),0)))</f>
        <v>1</v>
      </c>
      <c r="I1920" s="6" t="n">
        <f aca="false">IF($A1920="","",IF(ISNUMBER(Base_Bruta!I1920),Base_Bruta!I1920,IFERROR(_xlfn.NUMBERVALUE(TRIM(SUBSTITUTE(Base_Bruta!I1920,"R$","")),",","."),0)))</f>
        <v>35</v>
      </c>
      <c r="J1920" s="6" t="n">
        <f aca="false">IF($A1920="","",H1920*I1920)</f>
        <v>35</v>
      </c>
      <c r="K1920" s="4" t="str">
        <f aca="false">IF($A1920="","",TRIM(Base_Bruta!J1920))</f>
        <v>Bilheteria</v>
      </c>
      <c r="L1920" s="4" t="str">
        <f aca="false">IF($A1920="","",TRIM(Base_Bruta!K1920))</f>
        <v>C02115</v>
      </c>
      <c r="M1920" s="4" t="str">
        <f aca="false">IF($A1920="","",_xlfn.XLOOKUP(LOWER(TRIM(Base_Bruta!L1920)),DePara_Cidade!$A$2:$A$29,DePara_Cidade!$B$2:$B$29,"REVISAR"))</f>
        <v>Belo Horizonte</v>
      </c>
      <c r="N1920" s="4" t="str">
        <f aca="false">IF($A1920="","",UPPER(TRIM(Base_Bruta!M1920)))</f>
        <v>MG</v>
      </c>
      <c r="O1920" s="4" t="str">
        <f aca="false">IF($A1920="","",_xlfn.XLOOKUP(LOWER(TRIM(Base_Bruta!N1920)),DePara_Pais!$A$2:$A$9,DePara_Pais!$B$2:$B$9,"REVISAR"))</f>
        <v>Brasil</v>
      </c>
      <c r="P1920" s="4" t="str">
        <f aca="false">IF($A1920="","",IF(O1920&lt;&gt;"Brasil","Turista Internacional",IF(M1920=F1920,"Local","Turista Nacional")))</f>
        <v>Local</v>
      </c>
      <c r="Q1920" s="7" t="n">
        <f aca="false">IF($A1920="","",DATE(YEAR(B1920),MONTH(B1920),1))</f>
        <v>45962</v>
      </c>
      <c r="R1920" s="4" t="str">
        <f aca="false">IF($A1920="","",IF(COUNTIF($A$2:$A1920,$A1920)&gt;1,"Sim","Não"))</f>
        <v>Não</v>
      </c>
      <c r="S1920" s="4" t="str">
        <f aca="false">IF(A1920="","Descartar - Linha vazia",IF(R1920="Sim","Descartar - Duplicado",IF(OR(H1920&lt;=0,I1920&lt;=0),"Descartar - Qtd/Valor inválido","OK")))</f>
        <v>OK</v>
      </c>
      <c r="T1920" s="4" t="str">
        <f aca="false">Base_Bruta!P1920</f>
        <v>vendas_MG.csv</v>
      </c>
    </row>
    <row r="1921" customFormat="false" ht="15" hidden="false" customHeight="false" outlineLevel="0" collapsed="false">
      <c r="A1921" s="4" t="str">
        <f aca="false">IF(Base_Bruta!A1921="","",Base_Bruta!A1921)</f>
        <v>MG-000406</v>
      </c>
      <c r="B1921" s="5" t="n">
        <f aca="false">IF($A1921="","",IF(ISNUMBER(Base_Bruta!B1921),Base_Bruta!B1921,IF(MID(Base_Bruta!B1921,5,1)="-",DATE(VALUE(LEFT(Base_Bruta!B1921,4)),VALUE(MID(Base_Bruta!B1921,6,2)),VALUE(RIGHT(Base_Bruta!B1921,2))),DATE(VALUE(RIGHT(Base_Bruta!B1921,4)),VALUE(MID(Base_Bruta!B1921,4,2)),VALUE(LEFT(Base_Bruta!B1921,2))))))</f>
        <v>45989</v>
      </c>
      <c r="C1921" s="5" t="n">
        <f aca="false">IF($A1921="","",IF(ISNUMBER(Base_Bruta!C1921),Base_Bruta!C1921,IF(MID(Base_Bruta!C1921,5,1)="-",DATE(VALUE(LEFT(Base_Bruta!C1921,4)),VALUE(MID(Base_Bruta!C1921,6,2)),VALUE(RIGHT(Base_Bruta!C1921,2))),DATE(VALUE(RIGHT(Base_Bruta!C1921,4)),VALUE(MID(Base_Bruta!C1921,4,2)),VALUE(LEFT(Base_Bruta!C1921,2))))))</f>
        <v>45992</v>
      </c>
      <c r="D1921" s="4" t="str">
        <f aca="false">IF($A1921="","",TRIM(Base_Bruta!D1921))</f>
        <v>Cinema Savassi - Sessões</v>
      </c>
      <c r="E1921" s="4" t="str">
        <f aca="false">IF($A1921="","",_xlfn.XLOOKUP(LOWER(TRIM(Base_Bruta!E1921)),DePara_Categoria!$A$2:$A$9,DePara_Categoria!$B$2:$B$9,"REVISAR"))</f>
        <v>Cinema</v>
      </c>
      <c r="F1921" s="4" t="str">
        <f aca="false">IF($A1921="","",_xlfn.XLOOKUP(LOWER(TRIM(Base_Bruta!F1921)),DePara_Cidade!$A$2:$A$29,DePara_Cidade!$B$2:$B$29,"REVISAR"))</f>
        <v>Belo Horizonte</v>
      </c>
      <c r="G1921" s="4" t="str">
        <f aca="false">IF($A1921="","",TRIM(Base_Bruta!G1921))</f>
        <v>Inteira</v>
      </c>
      <c r="H1921" s="4" t="n">
        <f aca="false">IF($A1921="","",IF(ISNUMBER(Base_Bruta!H1921),Base_Bruta!H1921,IFERROR(_xlfn.NUMBERVALUE(TRIM(SUBSTITUTE(Base_Bruta!H1921,"R$","")),",","."),0)))</f>
        <v>1</v>
      </c>
      <c r="I1921" s="6" t="n">
        <f aca="false">IF($A1921="","",IF(ISNUMBER(Base_Bruta!I1921),Base_Bruta!I1921,IFERROR(_xlfn.NUMBERVALUE(TRIM(SUBSTITUTE(Base_Bruta!I1921,"R$","")),",","."),0)))</f>
        <v>45</v>
      </c>
      <c r="J1921" s="6" t="n">
        <f aca="false">IF($A1921="","",H1921*I1921)</f>
        <v>45</v>
      </c>
      <c r="K1921" s="4" t="str">
        <f aca="false">IF($A1921="","",TRIM(Base_Bruta!J1921))</f>
        <v>Site</v>
      </c>
      <c r="L1921" s="4" t="str">
        <f aca="false">IF($A1921="","",TRIM(Base_Bruta!K1921))</f>
        <v>C01380</v>
      </c>
      <c r="M1921" s="4" t="str">
        <f aca="false">IF($A1921="","",_xlfn.XLOOKUP(LOWER(TRIM(Base_Bruta!L1921)),DePara_Cidade!$A$2:$A$29,DePara_Cidade!$B$2:$B$29,"REVISAR"))</f>
        <v>Belo Horizonte</v>
      </c>
      <c r="N1921" s="4" t="str">
        <f aca="false">IF($A1921="","",UPPER(TRIM(Base_Bruta!M1921)))</f>
        <v>MG</v>
      </c>
      <c r="O1921" s="4" t="str">
        <f aca="false">IF($A1921="","",_xlfn.XLOOKUP(LOWER(TRIM(Base_Bruta!N1921)),DePara_Pais!$A$2:$A$9,DePara_Pais!$B$2:$B$9,"REVISAR"))</f>
        <v>Brasil</v>
      </c>
      <c r="P1921" s="4" t="str">
        <f aca="false">IF($A1921="","",IF(O1921&lt;&gt;"Brasil","Turista Internacional",IF(M1921=F1921,"Local","Turista Nacional")))</f>
        <v>Local</v>
      </c>
      <c r="Q1921" s="7" t="n">
        <f aca="false">IF($A1921="","",DATE(YEAR(B1921),MONTH(B1921),1))</f>
        <v>45962</v>
      </c>
      <c r="R1921" s="4" t="str">
        <f aca="false">IF($A1921="","",IF(COUNTIF($A$2:$A1921,$A1921)&gt;1,"Sim","Não"))</f>
        <v>Não</v>
      </c>
      <c r="S1921" s="4" t="str">
        <f aca="false">IF(A1921="","Descartar - Linha vazia",IF(R1921="Sim","Descartar - Duplicado",IF(OR(H1921&lt;=0,I1921&lt;=0),"Descartar - Qtd/Valor inválido","OK")))</f>
        <v>OK</v>
      </c>
      <c r="T1921" s="4" t="str">
        <f aca="false">Base_Bruta!P1921</f>
        <v>vendas_MG.csv</v>
      </c>
    </row>
    <row r="1922" customFormat="false" ht="15" hidden="false" customHeight="false" outlineLevel="0" collapsed="false">
      <c r="A1922" s="4" t="str">
        <f aca="false">IF(Base_Bruta!A1922="","",Base_Bruta!A1922)</f>
        <v>MG-000295</v>
      </c>
      <c r="B1922" s="5" t="n">
        <f aca="false">IF($A1922="","",IF(ISNUMBER(Base_Bruta!B1922),Base_Bruta!B1922,IF(MID(Base_Bruta!B1922,5,1)="-",DATE(VALUE(LEFT(Base_Bruta!B1922,4)),VALUE(MID(Base_Bruta!B1922,6,2)),VALUE(RIGHT(Base_Bruta!B1922,2))),DATE(VALUE(RIGHT(Base_Bruta!B1922,4)),VALUE(MID(Base_Bruta!B1922,4,2)),VALUE(LEFT(Base_Bruta!B1922,2))))))</f>
        <v>45991</v>
      </c>
      <c r="C1922" s="5" t="n">
        <f aca="false">IF($A1922="","",IF(ISNUMBER(Base_Bruta!C1922),Base_Bruta!C1922,IF(MID(Base_Bruta!C1922,5,1)="-",DATE(VALUE(LEFT(Base_Bruta!C1922,4)),VALUE(MID(Base_Bruta!C1922,6,2)),VALUE(RIGHT(Base_Bruta!C1922,2))),DATE(VALUE(RIGHT(Base_Bruta!C1922,4)),VALUE(MID(Base_Bruta!C1922,4,2)),VALUE(LEFT(Base_Bruta!C1922,2))))))</f>
        <v>46081</v>
      </c>
      <c r="D1922" s="4" t="str">
        <f aca="false">IF($A1922="","",TRIM(Base_Bruta!D1922))</f>
        <v>Show Sertanejo - BH</v>
      </c>
      <c r="E1922" s="4" t="str">
        <f aca="false">IF($A1922="","",_xlfn.XLOOKUP(LOWER(TRIM(Base_Bruta!E1922)),DePara_Categoria!$A$2:$A$9,DePara_Categoria!$B$2:$B$9,"REVISAR"))</f>
        <v>Show</v>
      </c>
      <c r="F1922" s="4" t="str">
        <f aca="false">IF($A1922="","",_xlfn.XLOOKUP(LOWER(TRIM(Base_Bruta!F1922)),DePara_Cidade!$A$2:$A$29,DePara_Cidade!$B$2:$B$29,"REVISAR"))</f>
        <v>Belo Horizonte</v>
      </c>
      <c r="G1922" s="4" t="str">
        <f aca="false">IF($A1922="","",TRIM(Base_Bruta!G1922))</f>
        <v>Inteira</v>
      </c>
      <c r="H1922" s="4" t="n">
        <f aca="false">IF($A1922="","",IF(ISNUMBER(Base_Bruta!H1922),Base_Bruta!H1922,IFERROR(_xlfn.NUMBERVALUE(TRIM(SUBSTITUTE(Base_Bruta!H1922,"R$","")),",","."),0)))</f>
        <v>2</v>
      </c>
      <c r="I1922" s="6" t="n">
        <f aca="false">IF($A1922="","",IF(ISNUMBER(Base_Bruta!I1922),Base_Bruta!I1922,IFERROR(_xlfn.NUMBERVALUE(TRIM(SUBSTITUTE(Base_Bruta!I1922,"R$","")),",","."),0)))</f>
        <v>670</v>
      </c>
      <c r="J1922" s="6" t="n">
        <f aca="false">IF($A1922="","",H1922*I1922)</f>
        <v>1340</v>
      </c>
      <c r="K1922" s="4" t="str">
        <f aca="false">IF($A1922="","",TRIM(Base_Bruta!J1922))</f>
        <v>Site</v>
      </c>
      <c r="L1922" s="4" t="str">
        <f aca="false">IF($A1922="","",TRIM(Base_Bruta!K1922))</f>
        <v>C00374</v>
      </c>
      <c r="M1922" s="4" t="str">
        <f aca="false">IF($A1922="","",_xlfn.XLOOKUP(LOWER(TRIM(Base_Bruta!L1922)),DePara_Cidade!$A$2:$A$29,DePara_Cidade!$B$2:$B$29,"REVISAR"))</f>
        <v>Belo Horizonte</v>
      </c>
      <c r="N1922" s="4" t="str">
        <f aca="false">IF($A1922="","",UPPER(TRIM(Base_Bruta!M1922)))</f>
        <v>MG</v>
      </c>
      <c r="O1922" s="4" t="str">
        <f aca="false">IF($A1922="","",_xlfn.XLOOKUP(LOWER(TRIM(Base_Bruta!N1922)),DePara_Pais!$A$2:$A$9,DePara_Pais!$B$2:$B$9,"REVISAR"))</f>
        <v>Brasil</v>
      </c>
      <c r="P1922" s="4" t="str">
        <f aca="false">IF($A1922="","",IF(O1922&lt;&gt;"Brasil","Turista Internacional",IF(M1922=F1922,"Local","Turista Nacional")))</f>
        <v>Local</v>
      </c>
      <c r="Q1922" s="7" t="n">
        <f aca="false">IF($A1922="","",DATE(YEAR(B1922),MONTH(B1922),1))</f>
        <v>45962</v>
      </c>
      <c r="R1922" s="4" t="str">
        <f aca="false">IF($A1922="","",IF(COUNTIF($A$2:$A1922,$A1922)&gt;1,"Sim","Não"))</f>
        <v>Não</v>
      </c>
      <c r="S1922" s="4" t="str">
        <f aca="false">IF(A1922="","Descartar - Linha vazia",IF(R1922="Sim","Descartar - Duplicado",IF(OR(H1922&lt;=0,I1922&lt;=0),"Descartar - Qtd/Valor inválido","OK")))</f>
        <v>OK</v>
      </c>
      <c r="T1922" s="4" t="str">
        <f aca="false">Base_Bruta!P1922</f>
        <v>vendas_MG.csv</v>
      </c>
    </row>
    <row r="1923" customFormat="false" ht="15" hidden="false" customHeight="false" outlineLevel="0" collapsed="false">
      <c r="A1923" s="4" t="str">
        <f aca="false">IF(Base_Bruta!A1923="","",Base_Bruta!A1923)</f>
        <v>MG-000445</v>
      </c>
      <c r="B1923" s="5" t="n">
        <f aca="false">IF($A1923="","",IF(ISNUMBER(Base_Bruta!B1923),Base_Bruta!B1923,IF(MID(Base_Bruta!B1923,5,1)="-",DATE(VALUE(LEFT(Base_Bruta!B1923,4)),VALUE(MID(Base_Bruta!B1923,6,2)),VALUE(RIGHT(Base_Bruta!B1923,2))),DATE(VALUE(RIGHT(Base_Bruta!B1923,4)),VALUE(MID(Base_Bruta!B1923,4,2)),VALUE(LEFT(Base_Bruta!B1923,2))))))</f>
        <v>45992</v>
      </c>
      <c r="C1923" s="5" t="n">
        <f aca="false">IF($A1923="","",IF(ISNUMBER(Base_Bruta!C1923),Base_Bruta!C1923,IF(MID(Base_Bruta!C1923,5,1)="-",DATE(VALUE(LEFT(Base_Bruta!C1923,4)),VALUE(MID(Base_Bruta!C1923,6,2)),VALUE(RIGHT(Base_Bruta!C1923,2))),DATE(VALUE(RIGHT(Base_Bruta!C1923,4)),VALUE(MID(Base_Bruta!C1923,4,2)),VALUE(LEFT(Base_Bruta!C1923,2))))))</f>
        <v>45995</v>
      </c>
      <c r="D1923" s="4" t="str">
        <f aca="false">IF($A1923="","",TRIM(Base_Bruta!D1923))</f>
        <v>Cinema Savassi - Sessões</v>
      </c>
      <c r="E1923" s="4" t="str">
        <f aca="false">IF($A1923="","",_xlfn.XLOOKUP(LOWER(TRIM(Base_Bruta!E1923)),DePara_Categoria!$A$2:$A$9,DePara_Categoria!$B$2:$B$9,"REVISAR"))</f>
        <v>Cinema</v>
      </c>
      <c r="F1923" s="4" t="str">
        <f aca="false">IF($A1923="","",_xlfn.XLOOKUP(LOWER(TRIM(Base_Bruta!F1923)),DePara_Cidade!$A$2:$A$29,DePara_Cidade!$B$2:$B$29,"REVISAR"))</f>
        <v>Belo Horizonte</v>
      </c>
      <c r="G1923" s="4" t="str">
        <f aca="false">IF($A1923="","",TRIM(Base_Bruta!G1923))</f>
        <v>Meia</v>
      </c>
      <c r="H1923" s="4" t="n">
        <f aca="false">IF($A1923="","",IF(ISNUMBER(Base_Bruta!H1923),Base_Bruta!H1923,IFERROR(_xlfn.NUMBERVALUE(TRIM(SUBSTITUTE(Base_Bruta!H1923,"R$","")),",","."),0)))</f>
        <v>1</v>
      </c>
      <c r="I1923" s="6" t="n">
        <f aca="false">IF($A1923="","",IF(ISNUMBER(Base_Bruta!I1923),Base_Bruta!I1923,IFERROR(_xlfn.NUMBERVALUE(TRIM(SUBSTITUTE(Base_Bruta!I1923,"R$","")),",","."),0)))</f>
        <v>20</v>
      </c>
      <c r="J1923" s="6" t="n">
        <f aca="false">IF($A1923="","",H1923*I1923)</f>
        <v>20</v>
      </c>
      <c r="K1923" s="4" t="str">
        <f aca="false">IF($A1923="","",TRIM(Base_Bruta!J1923))</f>
        <v>Bilheteria</v>
      </c>
      <c r="L1923" s="4" t="str">
        <f aca="false">IF($A1923="","",TRIM(Base_Bruta!K1923))</f>
        <v>C01227</v>
      </c>
      <c r="M1923" s="4" t="str">
        <f aca="false">IF($A1923="","",_xlfn.XLOOKUP(LOWER(TRIM(Base_Bruta!L1923)),DePara_Cidade!$A$2:$A$29,DePara_Cidade!$B$2:$B$29,"REVISAR"))</f>
        <v>Belo Horizonte</v>
      </c>
      <c r="N1923" s="4" t="str">
        <f aca="false">IF($A1923="","",UPPER(TRIM(Base_Bruta!M1923)))</f>
        <v>MG</v>
      </c>
      <c r="O1923" s="4" t="str">
        <f aca="false">IF($A1923="","",_xlfn.XLOOKUP(LOWER(TRIM(Base_Bruta!N1923)),DePara_Pais!$A$2:$A$9,DePara_Pais!$B$2:$B$9,"REVISAR"))</f>
        <v>Brasil</v>
      </c>
      <c r="P1923" s="4" t="str">
        <f aca="false">IF($A1923="","",IF(O1923&lt;&gt;"Brasil","Turista Internacional",IF(M1923=F1923,"Local","Turista Nacional")))</f>
        <v>Local</v>
      </c>
      <c r="Q1923" s="7" t="n">
        <f aca="false">IF($A1923="","",DATE(YEAR(B1923),MONTH(B1923),1))</f>
        <v>45992</v>
      </c>
      <c r="R1923" s="4" t="str">
        <f aca="false">IF($A1923="","",IF(COUNTIF($A$2:$A1923,$A1923)&gt;1,"Sim","Não"))</f>
        <v>Não</v>
      </c>
      <c r="S1923" s="4" t="str">
        <f aca="false">IF(A1923="","Descartar - Linha vazia",IF(R1923="Sim","Descartar - Duplicado",IF(OR(H1923&lt;=0,I1923&lt;=0),"Descartar - Qtd/Valor inválido","OK")))</f>
        <v>OK</v>
      </c>
      <c r="T1923" s="4" t="str">
        <f aca="false">Base_Bruta!P1923</f>
        <v>vendas_MG.csv</v>
      </c>
    </row>
    <row r="1924" customFormat="false" ht="15" hidden="false" customHeight="false" outlineLevel="0" collapsed="false">
      <c r="A1924" s="4" t="str">
        <f aca="false">IF(Base_Bruta!A1924="","",Base_Bruta!A1924)</f>
        <v>MG-000379</v>
      </c>
      <c r="B1924" s="5" t="n">
        <f aca="false">IF($A1924="","",IF(ISNUMBER(Base_Bruta!B1924),Base_Bruta!B1924,IF(MID(Base_Bruta!B1924,5,1)="-",DATE(VALUE(LEFT(Base_Bruta!B1924,4)),VALUE(MID(Base_Bruta!B1924,6,2)),VALUE(RIGHT(Base_Bruta!B1924,2))),DATE(VALUE(RIGHT(Base_Bruta!B1924,4)),VALUE(MID(Base_Bruta!B1924,4,2)),VALUE(LEFT(Base_Bruta!B1924,2))))))</f>
        <v>45993</v>
      </c>
      <c r="C1924" s="5" t="n">
        <f aca="false">IF($A1924="","",IF(ISNUMBER(Base_Bruta!C1924),Base_Bruta!C1924,IF(MID(Base_Bruta!C1924,5,1)="-",DATE(VALUE(LEFT(Base_Bruta!C1924,4)),VALUE(MID(Base_Bruta!C1924,6,2)),VALUE(RIGHT(Base_Bruta!C1924,2))),DATE(VALUE(RIGHT(Base_Bruta!C1924,4)),VALUE(MID(Base_Bruta!C1924,4,2)),VALUE(LEFT(Base_Bruta!C1924,2))))))</f>
        <v>46081</v>
      </c>
      <c r="D1924" s="4" t="str">
        <f aca="false">IF($A1924="","",TRIM(Base_Bruta!D1924))</f>
        <v>Show Sertanejo - BH</v>
      </c>
      <c r="E1924" s="4" t="str">
        <f aca="false">IF($A1924="","",_xlfn.XLOOKUP(LOWER(TRIM(Base_Bruta!E1924)),DePara_Categoria!$A$2:$A$9,DePara_Categoria!$B$2:$B$9,"REVISAR"))</f>
        <v>Show</v>
      </c>
      <c r="F1924" s="4" t="str">
        <f aca="false">IF($A1924="","",_xlfn.XLOOKUP(LOWER(TRIM(Base_Bruta!F1924)),DePara_Cidade!$A$2:$A$29,DePara_Cidade!$B$2:$B$29,"REVISAR"))</f>
        <v>Belo Horizonte</v>
      </c>
      <c r="G1924" s="4" t="str">
        <f aca="false">IF($A1924="","",TRIM(Base_Bruta!G1924))</f>
        <v>Inteira</v>
      </c>
      <c r="H1924" s="4" t="n">
        <f aca="false">IF($A1924="","",IF(ISNUMBER(Base_Bruta!H1924),Base_Bruta!H1924,IFERROR(_xlfn.NUMBERVALUE(TRIM(SUBSTITUTE(Base_Bruta!H1924,"R$","")),",","."),0)))</f>
        <v>2</v>
      </c>
      <c r="I1924" s="6" t="n">
        <f aca="false">IF($A1924="","",IF(ISNUMBER(Base_Bruta!I1924),Base_Bruta!I1924,IFERROR(_xlfn.NUMBERVALUE(TRIM(SUBSTITUTE(Base_Bruta!I1924,"R$","")),",","."),0)))</f>
        <v>415</v>
      </c>
      <c r="J1924" s="6" t="n">
        <f aca="false">IF($A1924="","",H1924*I1924)</f>
        <v>830</v>
      </c>
      <c r="K1924" s="4" t="str">
        <f aca="false">IF($A1924="","",TRIM(Base_Bruta!J1924))</f>
        <v>Bilheteria</v>
      </c>
      <c r="L1924" s="4" t="str">
        <f aca="false">IF($A1924="","",TRIM(Base_Bruta!K1924))</f>
        <v>C00215</v>
      </c>
      <c r="M1924" s="4" t="str">
        <f aca="false">IF($A1924="","",_xlfn.XLOOKUP(LOWER(TRIM(Base_Bruta!L1924)),DePara_Cidade!$A$2:$A$29,DePara_Cidade!$B$2:$B$29,"REVISAR"))</f>
        <v>Belo Horizonte</v>
      </c>
      <c r="N1924" s="4" t="str">
        <f aca="false">IF($A1924="","",UPPER(TRIM(Base_Bruta!M1924)))</f>
        <v>MG</v>
      </c>
      <c r="O1924" s="4" t="str">
        <f aca="false">IF($A1924="","",_xlfn.XLOOKUP(LOWER(TRIM(Base_Bruta!N1924)),DePara_Pais!$A$2:$A$9,DePara_Pais!$B$2:$B$9,"REVISAR"))</f>
        <v>Brasil</v>
      </c>
      <c r="P1924" s="4" t="str">
        <f aca="false">IF($A1924="","",IF(O1924&lt;&gt;"Brasil","Turista Internacional",IF(M1924=F1924,"Local","Turista Nacional")))</f>
        <v>Local</v>
      </c>
      <c r="Q1924" s="7" t="n">
        <f aca="false">IF($A1924="","",DATE(YEAR(B1924),MONTH(B1924),1))</f>
        <v>45992</v>
      </c>
      <c r="R1924" s="4" t="str">
        <f aca="false">IF($A1924="","",IF(COUNTIF($A$2:$A1924,$A1924)&gt;1,"Sim","Não"))</f>
        <v>Não</v>
      </c>
      <c r="S1924" s="4" t="str">
        <f aca="false">IF(A1924="","Descartar - Linha vazia",IF(R1924="Sim","Descartar - Duplicado",IF(OR(H1924&lt;=0,I1924&lt;=0),"Descartar - Qtd/Valor inválido","OK")))</f>
        <v>OK</v>
      </c>
      <c r="T1924" s="4" t="str">
        <f aca="false">Base_Bruta!P1924</f>
        <v>vendas_MG.csv</v>
      </c>
    </row>
    <row r="1925" customFormat="false" ht="15" hidden="false" customHeight="false" outlineLevel="0" collapsed="false">
      <c r="A1925" s="4" t="str">
        <f aca="false">IF(Base_Bruta!A1925="","",Base_Bruta!A1925)</f>
        <v>MG-000276</v>
      </c>
      <c r="B1925" s="5" t="n">
        <f aca="false">IF($A1925="","",IF(ISNUMBER(Base_Bruta!B1925),Base_Bruta!B1925,IF(MID(Base_Bruta!B1925,5,1)="-",DATE(VALUE(LEFT(Base_Bruta!B1925,4)),VALUE(MID(Base_Bruta!B1925,6,2)),VALUE(RIGHT(Base_Bruta!B1925,2))),DATE(VALUE(RIGHT(Base_Bruta!B1925,4)),VALUE(MID(Base_Bruta!B1925,4,2)),VALUE(LEFT(Base_Bruta!B1925,2))))))</f>
        <v>45998</v>
      </c>
      <c r="C1925" s="5" t="n">
        <f aca="false">IF($A1925="","",IF(ISNUMBER(Base_Bruta!C1925),Base_Bruta!C1925,IF(MID(Base_Bruta!C1925,5,1)="-",DATE(VALUE(LEFT(Base_Bruta!C1925,4)),VALUE(MID(Base_Bruta!C1925,6,2)),VALUE(RIGHT(Base_Bruta!C1925,2))),DATE(VALUE(RIGHT(Base_Bruta!C1925,4)),VALUE(MID(Base_Bruta!C1925,4,2)),VALUE(LEFT(Base_Bruta!C1925,2))))))</f>
        <v>46081</v>
      </c>
      <c r="D1925" s="4" t="str">
        <f aca="false">IF($A1925="","",TRIM(Base_Bruta!D1925))</f>
        <v>Show Sertanejo - BH</v>
      </c>
      <c r="E1925" s="4" t="str">
        <f aca="false">IF($A1925="","",_xlfn.XLOOKUP(LOWER(TRIM(Base_Bruta!E1925)),DePara_Categoria!$A$2:$A$9,DePara_Categoria!$B$2:$B$9,"REVISAR"))</f>
        <v>Show</v>
      </c>
      <c r="F1925" s="4" t="str">
        <f aca="false">IF($A1925="","",_xlfn.XLOOKUP(LOWER(TRIM(Base_Bruta!F1925)),DePara_Cidade!$A$2:$A$29,DePara_Cidade!$B$2:$B$29,"REVISAR"))</f>
        <v>Belo Horizonte</v>
      </c>
      <c r="G1925" s="4" t="str">
        <f aca="false">IF($A1925="","",TRIM(Base_Bruta!G1925))</f>
        <v>Meia</v>
      </c>
      <c r="H1925" s="4" t="n">
        <f aca="false">IF($A1925="","",IF(ISNUMBER(Base_Bruta!H1925),Base_Bruta!H1925,IFERROR(_xlfn.NUMBERVALUE(TRIM(SUBSTITUTE(Base_Bruta!H1925,"R$","")),",","."),0)))</f>
        <v>3</v>
      </c>
      <c r="I1925" s="6" t="n">
        <f aca="false">IF($A1925="","",IF(ISNUMBER(Base_Bruta!I1925),Base_Bruta!I1925,IFERROR(_xlfn.NUMBERVALUE(TRIM(SUBSTITUTE(Base_Bruta!I1925,"R$","")),",","."),0)))</f>
        <v>372.5</v>
      </c>
      <c r="J1925" s="6" t="n">
        <f aca="false">IF($A1925="","",H1925*I1925)</f>
        <v>1117.5</v>
      </c>
      <c r="K1925" s="4" t="str">
        <f aca="false">IF($A1925="","",TRIM(Base_Bruta!J1925))</f>
        <v>Site</v>
      </c>
      <c r="L1925" s="4" t="str">
        <f aca="false">IF($A1925="","",TRIM(Base_Bruta!K1925))</f>
        <v>C02117</v>
      </c>
      <c r="M1925" s="4" t="str">
        <f aca="false">IF($A1925="","",_xlfn.XLOOKUP(LOWER(TRIM(Base_Bruta!L1925)),DePara_Cidade!$A$2:$A$29,DePara_Cidade!$B$2:$B$29,"REVISAR"))</f>
        <v>Vitória</v>
      </c>
      <c r="N1925" s="4" t="str">
        <f aca="false">IF($A1925="","",UPPER(TRIM(Base_Bruta!M1925)))</f>
        <v>ES</v>
      </c>
      <c r="O1925" s="4" t="str">
        <f aca="false">IF($A1925="","",_xlfn.XLOOKUP(LOWER(TRIM(Base_Bruta!N1925)),DePara_Pais!$A$2:$A$9,DePara_Pais!$B$2:$B$9,"REVISAR"))</f>
        <v>Brasil</v>
      </c>
      <c r="P1925" s="4" t="str">
        <f aca="false">IF($A1925="","",IF(O1925&lt;&gt;"Brasil","Turista Internacional",IF(M1925=F1925,"Local","Turista Nacional")))</f>
        <v>Turista Nacional</v>
      </c>
      <c r="Q1925" s="7" t="n">
        <f aca="false">IF($A1925="","",DATE(YEAR(B1925),MONTH(B1925),1))</f>
        <v>45992</v>
      </c>
      <c r="R1925" s="4" t="str">
        <f aca="false">IF($A1925="","",IF(COUNTIF($A$2:$A1925,$A1925)&gt;1,"Sim","Não"))</f>
        <v>Não</v>
      </c>
      <c r="S1925" s="4" t="str">
        <f aca="false">IF(A1925="","Descartar - Linha vazia",IF(R1925="Sim","Descartar - Duplicado",IF(OR(H1925&lt;=0,I1925&lt;=0),"Descartar - Qtd/Valor inválido","OK")))</f>
        <v>OK</v>
      </c>
      <c r="T1925" s="4" t="str">
        <f aca="false">Base_Bruta!P1925</f>
        <v>vendas_MG.csv</v>
      </c>
    </row>
    <row r="1926" customFormat="false" ht="15" hidden="false" customHeight="false" outlineLevel="0" collapsed="false">
      <c r="A1926" s="4" t="str">
        <f aca="false">IF(Base_Bruta!A1926="","",Base_Bruta!A1926)</f>
        <v>MG-000510</v>
      </c>
      <c r="B1926" s="5" t="n">
        <f aca="false">IF($A1926="","",IF(ISNUMBER(Base_Bruta!B1926),Base_Bruta!B1926,IF(MID(Base_Bruta!B1926,5,1)="-",DATE(VALUE(LEFT(Base_Bruta!B1926,4)),VALUE(MID(Base_Bruta!B1926,6,2)),VALUE(RIGHT(Base_Bruta!B1926,2))),DATE(VALUE(RIGHT(Base_Bruta!B1926,4)),VALUE(MID(Base_Bruta!B1926,4,2)),VALUE(LEFT(Base_Bruta!B1926,2))))))</f>
        <v>45999</v>
      </c>
      <c r="C1926" s="5" t="n">
        <f aca="false">IF($A1926="","",IF(ISNUMBER(Base_Bruta!C1926),Base_Bruta!C1926,IF(MID(Base_Bruta!C1926,5,1)="-",DATE(VALUE(LEFT(Base_Bruta!C1926,4)),VALUE(MID(Base_Bruta!C1926,6,2)),VALUE(RIGHT(Base_Bruta!C1926,2))),DATE(VALUE(RIGHT(Base_Bruta!C1926,4)),VALUE(MID(Base_Bruta!C1926,4,2)),VALUE(LEFT(Base_Bruta!C1926,2))))))</f>
        <v>46001</v>
      </c>
      <c r="D1926" s="4" t="str">
        <f aca="false">IF($A1926="","",TRIM(Base_Bruta!D1926))</f>
        <v>Cinema Savassi - Sessões</v>
      </c>
      <c r="E1926" s="4" t="str">
        <f aca="false">IF($A1926="","",_xlfn.XLOOKUP(LOWER(TRIM(Base_Bruta!E1926)),DePara_Categoria!$A$2:$A$9,DePara_Categoria!$B$2:$B$9,"REVISAR"))</f>
        <v>Cinema</v>
      </c>
      <c r="F1926" s="4" t="str">
        <f aca="false">IF($A1926="","",_xlfn.XLOOKUP(LOWER(TRIM(Base_Bruta!F1926)),DePara_Cidade!$A$2:$A$29,DePara_Cidade!$B$2:$B$29,"REVISAR"))</f>
        <v>Belo Horizonte</v>
      </c>
      <c r="G1926" s="4" t="str">
        <f aca="false">IF($A1926="","",TRIM(Base_Bruta!G1926))</f>
        <v>Meia</v>
      </c>
      <c r="H1926" s="4" t="n">
        <f aca="false">IF($A1926="","",IF(ISNUMBER(Base_Bruta!H1926),Base_Bruta!H1926,IFERROR(_xlfn.NUMBERVALUE(TRIM(SUBSTITUTE(Base_Bruta!H1926,"R$","")),",","."),0)))</f>
        <v>2</v>
      </c>
      <c r="I1926" s="6" t="n">
        <f aca="false">IF($A1926="","",IF(ISNUMBER(Base_Bruta!I1926),Base_Bruta!I1926,IFERROR(_xlfn.NUMBERVALUE(TRIM(SUBSTITUTE(Base_Bruta!I1926,"R$","")),",","."),0)))</f>
        <v>20</v>
      </c>
      <c r="J1926" s="6" t="n">
        <f aca="false">IF($A1926="","",H1926*I1926)</f>
        <v>40</v>
      </c>
      <c r="K1926" s="4" t="str">
        <f aca="false">IF($A1926="","",TRIM(Base_Bruta!J1926))</f>
        <v>App</v>
      </c>
      <c r="L1926" s="4" t="str">
        <f aca="false">IF($A1926="","",TRIM(Base_Bruta!K1926))</f>
        <v>C01316</v>
      </c>
      <c r="M1926" s="4" t="str">
        <f aca="false">IF($A1926="","",_xlfn.XLOOKUP(LOWER(TRIM(Base_Bruta!L1926)),DePara_Cidade!$A$2:$A$29,DePara_Cidade!$B$2:$B$29,"REVISAR"))</f>
        <v>Belo Horizonte</v>
      </c>
      <c r="N1926" s="4" t="str">
        <f aca="false">IF($A1926="","",UPPER(TRIM(Base_Bruta!M1926)))</f>
        <v>MG</v>
      </c>
      <c r="O1926" s="4" t="str">
        <f aca="false">IF($A1926="","",_xlfn.XLOOKUP(LOWER(TRIM(Base_Bruta!N1926)),DePara_Pais!$A$2:$A$9,DePara_Pais!$B$2:$B$9,"REVISAR"))</f>
        <v>Brasil</v>
      </c>
      <c r="P1926" s="4" t="str">
        <f aca="false">IF($A1926="","",IF(O1926&lt;&gt;"Brasil","Turista Internacional",IF(M1926=F1926,"Local","Turista Nacional")))</f>
        <v>Local</v>
      </c>
      <c r="Q1926" s="7" t="n">
        <f aca="false">IF($A1926="","",DATE(YEAR(B1926),MONTH(B1926),1))</f>
        <v>45992</v>
      </c>
      <c r="R1926" s="4" t="str">
        <f aca="false">IF($A1926="","",IF(COUNTIF($A$2:$A1926,$A1926)&gt;1,"Sim","Não"))</f>
        <v>Não</v>
      </c>
      <c r="S1926" s="4" t="str">
        <f aca="false">IF(A1926="","Descartar - Linha vazia",IF(R1926="Sim","Descartar - Duplicado",IF(OR(H1926&lt;=0,I1926&lt;=0),"Descartar - Qtd/Valor inválido","OK")))</f>
        <v>OK</v>
      </c>
      <c r="T1926" s="4" t="str">
        <f aca="false">Base_Bruta!P1926</f>
        <v>vendas_MG.csv</v>
      </c>
    </row>
    <row r="1927" customFormat="false" ht="15" hidden="false" customHeight="false" outlineLevel="0" collapsed="false">
      <c r="A1927" s="4" t="str">
        <f aca="false">IF(Base_Bruta!A1927="","",Base_Bruta!A1927)</f>
        <v>MG-000304</v>
      </c>
      <c r="B1927" s="5" t="n">
        <f aca="false">IF($A1927="","",IF(ISNUMBER(Base_Bruta!B1927),Base_Bruta!B1927,IF(MID(Base_Bruta!B1927,5,1)="-",DATE(VALUE(LEFT(Base_Bruta!B1927,4)),VALUE(MID(Base_Bruta!B1927,6,2)),VALUE(RIGHT(Base_Bruta!B1927,2))),DATE(VALUE(RIGHT(Base_Bruta!B1927,4)),VALUE(MID(Base_Bruta!B1927,4,2)),VALUE(LEFT(Base_Bruta!B1927,2))))))</f>
        <v>46000</v>
      </c>
      <c r="C1927" s="5" t="n">
        <f aca="false">IF($A1927="","",IF(ISNUMBER(Base_Bruta!C1927),Base_Bruta!C1927,IF(MID(Base_Bruta!C1927,5,1)="-",DATE(VALUE(LEFT(Base_Bruta!C1927,4)),VALUE(MID(Base_Bruta!C1927,6,2)),VALUE(RIGHT(Base_Bruta!C1927,2))),DATE(VALUE(RIGHT(Base_Bruta!C1927,4)),VALUE(MID(Base_Bruta!C1927,4,2)),VALUE(LEFT(Base_Bruta!C1927,2))))))</f>
        <v>46081</v>
      </c>
      <c r="D1927" s="4" t="str">
        <f aca="false">IF($A1927="","",TRIM(Base_Bruta!D1927))</f>
        <v>Show Sertanejo - BH</v>
      </c>
      <c r="E1927" s="4" t="str">
        <f aca="false">IF($A1927="","",_xlfn.XLOOKUP(LOWER(TRIM(Base_Bruta!E1927)),DePara_Categoria!$A$2:$A$9,DePara_Categoria!$B$2:$B$9,"REVISAR"))</f>
        <v>Show</v>
      </c>
      <c r="F1927" s="4" t="str">
        <f aca="false">IF($A1927="","",_xlfn.XLOOKUP(LOWER(TRIM(Base_Bruta!F1927)),DePara_Cidade!$A$2:$A$29,DePara_Cidade!$B$2:$B$29,"REVISAR"))</f>
        <v>Belo Horizonte</v>
      </c>
      <c r="G1927" s="4" t="str">
        <f aca="false">IF($A1927="","",TRIM(Base_Bruta!G1927))</f>
        <v>Inteira</v>
      </c>
      <c r="H1927" s="4" t="n">
        <f aca="false">IF($A1927="","",IF(ISNUMBER(Base_Bruta!H1927),Base_Bruta!H1927,IFERROR(_xlfn.NUMBERVALUE(TRIM(SUBSTITUTE(Base_Bruta!H1927,"R$","")),",","."),0)))</f>
        <v>4</v>
      </c>
      <c r="I1927" s="6" t="n">
        <f aca="false">IF($A1927="","",IF(ISNUMBER(Base_Bruta!I1927),Base_Bruta!I1927,IFERROR(_xlfn.NUMBERVALUE(TRIM(SUBSTITUTE(Base_Bruta!I1927,"R$","")),",","."),0)))</f>
        <v>565</v>
      </c>
      <c r="J1927" s="6" t="n">
        <f aca="false">IF($A1927="","",H1927*I1927)</f>
        <v>2260</v>
      </c>
      <c r="K1927" s="4" t="str">
        <f aca="false">IF($A1927="","",TRIM(Base_Bruta!J1927))</f>
        <v>Site</v>
      </c>
      <c r="L1927" s="4" t="str">
        <f aca="false">IF($A1927="","",TRIM(Base_Bruta!K1927))</f>
        <v>C00976</v>
      </c>
      <c r="M1927" s="4" t="str">
        <f aca="false">IF($A1927="","",_xlfn.XLOOKUP(LOWER(TRIM(Base_Bruta!L1927)),DePara_Cidade!$A$2:$A$29,DePara_Cidade!$B$2:$B$29,"REVISAR"))</f>
        <v>São Paulo</v>
      </c>
      <c r="N1927" s="4" t="str">
        <f aca="false">IF($A1927="","",UPPER(TRIM(Base_Bruta!M1927)))</f>
        <v>SP</v>
      </c>
      <c r="O1927" s="4" t="str">
        <f aca="false">IF($A1927="","",_xlfn.XLOOKUP(LOWER(TRIM(Base_Bruta!N1927)),DePara_Pais!$A$2:$A$9,DePara_Pais!$B$2:$B$9,"REVISAR"))</f>
        <v>Brasil</v>
      </c>
      <c r="P1927" s="4" t="str">
        <f aca="false">IF($A1927="","",IF(O1927&lt;&gt;"Brasil","Turista Internacional",IF(M1927=F1927,"Local","Turista Nacional")))</f>
        <v>Turista Nacional</v>
      </c>
      <c r="Q1927" s="7" t="n">
        <f aca="false">IF($A1927="","",DATE(YEAR(B1927),MONTH(B1927),1))</f>
        <v>45992</v>
      </c>
      <c r="R1927" s="4" t="str">
        <f aca="false">IF($A1927="","",IF(COUNTIF($A$2:$A1927,$A1927)&gt;1,"Sim","Não"))</f>
        <v>Não</v>
      </c>
      <c r="S1927" s="4" t="str">
        <f aca="false">IF(A1927="","Descartar - Linha vazia",IF(R1927="Sim","Descartar - Duplicado",IF(OR(H1927&lt;=0,I1927&lt;=0),"Descartar - Qtd/Valor inválido","OK")))</f>
        <v>OK</v>
      </c>
      <c r="T1927" s="4" t="str">
        <f aca="false">Base_Bruta!P1927</f>
        <v>vendas_MG.csv</v>
      </c>
    </row>
    <row r="1928" customFormat="false" ht="15" hidden="false" customHeight="false" outlineLevel="0" collapsed="false">
      <c r="A1928" s="4" t="str">
        <f aca="false">IF(Base_Bruta!A1928="","",Base_Bruta!A1928)</f>
        <v>MG-000310</v>
      </c>
      <c r="B1928" s="5" t="n">
        <f aca="false">IF($A1928="","",IF(ISNUMBER(Base_Bruta!B1928),Base_Bruta!B1928,IF(MID(Base_Bruta!B1928,5,1)="-",DATE(VALUE(LEFT(Base_Bruta!B1928,4)),VALUE(MID(Base_Bruta!B1928,6,2)),VALUE(RIGHT(Base_Bruta!B1928,2))),DATE(VALUE(RIGHT(Base_Bruta!B1928,4)),VALUE(MID(Base_Bruta!B1928,4,2)),VALUE(LEFT(Base_Bruta!B1928,2))))))</f>
        <v>46000</v>
      </c>
      <c r="C1928" s="5" t="n">
        <f aca="false">IF($A1928="","",IF(ISNUMBER(Base_Bruta!C1928),Base_Bruta!C1928,IF(MID(Base_Bruta!C1928,5,1)="-",DATE(VALUE(LEFT(Base_Bruta!C1928,4)),VALUE(MID(Base_Bruta!C1928,6,2)),VALUE(RIGHT(Base_Bruta!C1928,2))),DATE(VALUE(RIGHT(Base_Bruta!C1928,4)),VALUE(MID(Base_Bruta!C1928,4,2)),VALUE(LEFT(Base_Bruta!C1928,2))))))</f>
        <v>46081</v>
      </c>
      <c r="D1928" s="4" t="str">
        <f aca="false">IF($A1928="","",TRIM(Base_Bruta!D1928))</f>
        <v>Show Sertanejo - BH</v>
      </c>
      <c r="E1928" s="4" t="str">
        <f aca="false">IF($A1928="","",_xlfn.XLOOKUP(LOWER(TRIM(Base_Bruta!E1928)),DePara_Categoria!$A$2:$A$9,DePara_Categoria!$B$2:$B$9,"REVISAR"))</f>
        <v>Show</v>
      </c>
      <c r="F1928" s="4" t="str">
        <f aca="false">IF($A1928="","",_xlfn.XLOOKUP(LOWER(TRIM(Base_Bruta!F1928)),DePara_Cidade!$A$2:$A$29,DePara_Cidade!$B$2:$B$29,"REVISAR"))</f>
        <v>Belo Horizonte</v>
      </c>
      <c r="G1928" s="4" t="str">
        <f aca="false">IF($A1928="","",TRIM(Base_Bruta!G1928))</f>
        <v>Inteira</v>
      </c>
      <c r="H1928" s="4" t="n">
        <f aca="false">IF($A1928="","",IF(ISNUMBER(Base_Bruta!H1928),Base_Bruta!H1928,IFERROR(_xlfn.NUMBERVALUE(TRIM(SUBSTITUTE(Base_Bruta!H1928,"R$","")),",","."),0)))</f>
        <v>1</v>
      </c>
      <c r="I1928" s="6" t="n">
        <f aca="false">IF($A1928="","",IF(ISNUMBER(Base_Bruta!I1928),Base_Bruta!I1928,IFERROR(_xlfn.NUMBERVALUE(TRIM(SUBSTITUTE(Base_Bruta!I1928,"R$","")),",","."),0)))</f>
        <v>565</v>
      </c>
      <c r="J1928" s="6" t="n">
        <f aca="false">IF($A1928="","",H1928*I1928)</f>
        <v>565</v>
      </c>
      <c r="K1928" s="4" t="str">
        <f aca="false">IF($A1928="","",TRIM(Base_Bruta!J1928))</f>
        <v>Bilheteria</v>
      </c>
      <c r="L1928" s="4" t="str">
        <f aca="false">IF($A1928="","",TRIM(Base_Bruta!K1928))</f>
        <v>C00633</v>
      </c>
      <c r="M1928" s="4" t="str">
        <f aca="false">IF($A1928="","",_xlfn.XLOOKUP(LOWER(TRIM(Base_Bruta!L1928)),DePara_Cidade!$A$2:$A$29,DePara_Cidade!$B$2:$B$29,"REVISAR"))</f>
        <v>Belo Horizonte</v>
      </c>
      <c r="N1928" s="4" t="str">
        <f aca="false">IF($A1928="","",UPPER(TRIM(Base_Bruta!M1928)))</f>
        <v>MG</v>
      </c>
      <c r="O1928" s="4" t="str">
        <f aca="false">IF($A1928="","",_xlfn.XLOOKUP(LOWER(TRIM(Base_Bruta!N1928)),DePara_Pais!$A$2:$A$9,DePara_Pais!$B$2:$B$9,"REVISAR"))</f>
        <v>Brasil</v>
      </c>
      <c r="P1928" s="4" t="str">
        <f aca="false">IF($A1928="","",IF(O1928&lt;&gt;"Brasil","Turista Internacional",IF(M1928=F1928,"Local","Turista Nacional")))</f>
        <v>Local</v>
      </c>
      <c r="Q1928" s="7" t="n">
        <f aca="false">IF($A1928="","",DATE(YEAR(B1928),MONTH(B1928),1))</f>
        <v>45992</v>
      </c>
      <c r="R1928" s="4" t="str">
        <f aca="false">IF($A1928="","",IF(COUNTIF($A$2:$A1928,$A1928)&gt;1,"Sim","Não"))</f>
        <v>Não</v>
      </c>
      <c r="S1928" s="4" t="str">
        <f aca="false">IF(A1928="","Descartar - Linha vazia",IF(R1928="Sim","Descartar - Duplicado",IF(OR(H1928&lt;=0,I1928&lt;=0),"Descartar - Qtd/Valor inválido","OK")))</f>
        <v>OK</v>
      </c>
      <c r="T1928" s="4" t="str">
        <f aca="false">Base_Bruta!P1928</f>
        <v>vendas_MG.csv</v>
      </c>
    </row>
    <row r="1929" customFormat="false" ht="15" hidden="false" customHeight="false" outlineLevel="0" collapsed="false">
      <c r="A1929" s="4" t="str">
        <f aca="false">IF(Base_Bruta!A1929="","",Base_Bruta!A1929)</f>
        <v>MG-000326</v>
      </c>
      <c r="B1929" s="5" t="n">
        <f aca="false">IF($A1929="","",IF(ISNUMBER(Base_Bruta!B1929),Base_Bruta!B1929,IF(MID(Base_Bruta!B1929,5,1)="-",DATE(VALUE(LEFT(Base_Bruta!B1929,4)),VALUE(MID(Base_Bruta!B1929,6,2)),VALUE(RIGHT(Base_Bruta!B1929,2))),DATE(VALUE(RIGHT(Base_Bruta!B1929,4)),VALUE(MID(Base_Bruta!B1929,4,2)),VALUE(LEFT(Base_Bruta!B1929,2))))))</f>
        <v>46001</v>
      </c>
      <c r="C1929" s="5" t="n">
        <f aca="false">IF($A1929="","",IF(ISNUMBER(Base_Bruta!C1929),Base_Bruta!C1929,IF(MID(Base_Bruta!C1929,5,1)="-",DATE(VALUE(LEFT(Base_Bruta!C1929,4)),VALUE(MID(Base_Bruta!C1929,6,2)),VALUE(RIGHT(Base_Bruta!C1929,2))),DATE(VALUE(RIGHT(Base_Bruta!C1929,4)),VALUE(MID(Base_Bruta!C1929,4,2)),VALUE(LEFT(Base_Bruta!C1929,2))))))</f>
        <v>46081</v>
      </c>
      <c r="D1929" s="4" t="str">
        <f aca="false">IF($A1929="","",TRIM(Base_Bruta!D1929))</f>
        <v>Show Sertanejo - BH</v>
      </c>
      <c r="E1929" s="4" t="str">
        <f aca="false">IF($A1929="","",_xlfn.XLOOKUP(LOWER(TRIM(Base_Bruta!E1929)),DePara_Categoria!$A$2:$A$9,DePara_Categoria!$B$2:$B$9,"REVISAR"))</f>
        <v>Show</v>
      </c>
      <c r="F1929" s="4" t="str">
        <f aca="false">IF($A1929="","",_xlfn.XLOOKUP(LOWER(TRIM(Base_Bruta!F1929)),DePara_Cidade!$A$2:$A$29,DePara_Cidade!$B$2:$B$29,"REVISAR"))</f>
        <v>Belo Horizonte</v>
      </c>
      <c r="G1929" s="4" t="str">
        <f aca="false">IF($A1929="","",TRIM(Base_Bruta!G1929))</f>
        <v>VIP</v>
      </c>
      <c r="H1929" s="4" t="n">
        <f aca="false">IF($A1929="","",IF(ISNUMBER(Base_Bruta!H1929),Base_Bruta!H1929,IFERROR(_xlfn.NUMBERVALUE(TRIM(SUBSTITUTE(Base_Bruta!H1929,"R$","")),",","."),0)))</f>
        <v>1</v>
      </c>
      <c r="I1929" s="6" t="n">
        <f aca="false">IF($A1929="","",IF(ISNUMBER(Base_Bruta!I1929),Base_Bruta!I1929,IFERROR(_xlfn.NUMBERVALUE(TRIM(SUBSTITUTE(Base_Bruta!I1929,"R$","")),",","."),0)))</f>
        <v>1240</v>
      </c>
      <c r="J1929" s="6" t="n">
        <f aca="false">IF($A1929="","",H1929*I1929)</f>
        <v>1240</v>
      </c>
      <c r="K1929" s="4" t="str">
        <f aca="false">IF($A1929="","",TRIM(Base_Bruta!J1929))</f>
        <v>App</v>
      </c>
      <c r="L1929" s="4" t="str">
        <f aca="false">IF($A1929="","",TRIM(Base_Bruta!K1929))</f>
        <v>C01711</v>
      </c>
      <c r="M1929" s="4" t="str">
        <f aca="false">IF($A1929="","",_xlfn.XLOOKUP(LOWER(TRIM(Base_Bruta!L1929)),DePara_Cidade!$A$2:$A$29,DePara_Cidade!$B$2:$B$29,"REVISAR"))</f>
        <v>Goiânia</v>
      </c>
      <c r="N1929" s="4" t="str">
        <f aca="false">IF($A1929="","",UPPER(TRIM(Base_Bruta!M1929)))</f>
        <v>GO</v>
      </c>
      <c r="O1929" s="4" t="str">
        <f aca="false">IF($A1929="","",_xlfn.XLOOKUP(LOWER(TRIM(Base_Bruta!N1929)),DePara_Pais!$A$2:$A$9,DePara_Pais!$B$2:$B$9,"REVISAR"))</f>
        <v>Brasil</v>
      </c>
      <c r="P1929" s="4" t="str">
        <f aca="false">IF($A1929="","",IF(O1929&lt;&gt;"Brasil","Turista Internacional",IF(M1929=F1929,"Local","Turista Nacional")))</f>
        <v>Turista Nacional</v>
      </c>
      <c r="Q1929" s="7" t="n">
        <f aca="false">IF($A1929="","",DATE(YEAR(B1929),MONTH(B1929),1))</f>
        <v>45992</v>
      </c>
      <c r="R1929" s="4" t="str">
        <f aca="false">IF($A1929="","",IF(COUNTIF($A$2:$A1929,$A1929)&gt;1,"Sim","Não"))</f>
        <v>Não</v>
      </c>
      <c r="S1929" s="4" t="str">
        <f aca="false">IF(A1929="","Descartar - Linha vazia",IF(R1929="Sim","Descartar - Duplicado",IF(OR(H1929&lt;=0,I1929&lt;=0),"Descartar - Qtd/Valor inválido","OK")))</f>
        <v>OK</v>
      </c>
      <c r="T1929" s="4" t="str">
        <f aca="false">Base_Bruta!P1929</f>
        <v>vendas_MG.csv</v>
      </c>
    </row>
    <row r="1930" customFormat="false" ht="15" hidden="false" customHeight="false" outlineLevel="0" collapsed="false">
      <c r="A1930" s="4" t="str">
        <f aca="false">IF(Base_Bruta!A1930="","",Base_Bruta!A1930)</f>
        <v>MG-000261</v>
      </c>
      <c r="B1930" s="5" t="n">
        <f aca="false">IF($A1930="","",IF(ISNUMBER(Base_Bruta!B1930),Base_Bruta!B1930,IF(MID(Base_Bruta!B1930,5,1)="-",DATE(VALUE(LEFT(Base_Bruta!B1930,4)),VALUE(MID(Base_Bruta!B1930,6,2)),VALUE(RIGHT(Base_Bruta!B1930,2))),DATE(VALUE(RIGHT(Base_Bruta!B1930,4)),VALUE(MID(Base_Bruta!B1930,4,2)),VALUE(LEFT(Base_Bruta!B1930,2))))))</f>
        <v>46002</v>
      </c>
      <c r="C1930" s="5" t="n">
        <f aca="false">IF($A1930="","",IF(ISNUMBER(Base_Bruta!C1930),Base_Bruta!C1930,IF(MID(Base_Bruta!C1930,5,1)="-",DATE(VALUE(LEFT(Base_Bruta!C1930,4)),VALUE(MID(Base_Bruta!C1930,6,2)),VALUE(RIGHT(Base_Bruta!C1930,2))),DATE(VALUE(RIGHT(Base_Bruta!C1930,4)),VALUE(MID(Base_Bruta!C1930,4,2)),VALUE(LEFT(Base_Bruta!C1930,2))))))</f>
        <v>46081</v>
      </c>
      <c r="D1930" s="4" t="str">
        <f aca="false">IF($A1930="","",TRIM(Base_Bruta!D1930))</f>
        <v>Show Sertanejo - BH</v>
      </c>
      <c r="E1930" s="4" t="str">
        <f aca="false">IF($A1930="","",_xlfn.XLOOKUP(LOWER(TRIM(Base_Bruta!E1930)),DePara_Categoria!$A$2:$A$9,DePara_Categoria!$B$2:$B$9,"REVISAR"))</f>
        <v>Show</v>
      </c>
      <c r="F1930" s="4" t="str">
        <f aca="false">IF($A1930="","",_xlfn.XLOOKUP(LOWER(TRIM(Base_Bruta!F1930)),DePara_Cidade!$A$2:$A$29,DePara_Cidade!$B$2:$B$29,"REVISAR"))</f>
        <v>Belo Horizonte</v>
      </c>
      <c r="G1930" s="4" t="str">
        <f aca="false">IF($A1930="","",TRIM(Base_Bruta!G1930))</f>
        <v>VIP</v>
      </c>
      <c r="H1930" s="4" t="n">
        <f aca="false">IF($A1930="","",IF(ISNUMBER(Base_Bruta!H1930),Base_Bruta!H1930,IFERROR(_xlfn.NUMBERVALUE(TRIM(SUBSTITUTE(Base_Bruta!H1930,"R$","")),",","."),0)))</f>
        <v>1</v>
      </c>
      <c r="I1930" s="6" t="n">
        <f aca="false">IF($A1930="","",IF(ISNUMBER(Base_Bruta!I1930),Base_Bruta!I1930,IFERROR(_xlfn.NUMBERVALUE(TRIM(SUBSTITUTE(Base_Bruta!I1930,"R$","")),",","."),0)))</f>
        <v>1350</v>
      </c>
      <c r="J1930" s="6" t="n">
        <f aca="false">IF($A1930="","",H1930*I1930)</f>
        <v>1350</v>
      </c>
      <c r="K1930" s="4" t="str">
        <f aca="false">IF($A1930="","",TRIM(Base_Bruta!J1930))</f>
        <v>Site</v>
      </c>
      <c r="L1930" s="4" t="str">
        <f aca="false">IF($A1930="","",TRIM(Base_Bruta!K1930))</f>
        <v>C00338</v>
      </c>
      <c r="M1930" s="4" t="str">
        <f aca="false">IF($A1930="","",_xlfn.XLOOKUP(LOWER(TRIM(Base_Bruta!L1930)),DePara_Cidade!$A$2:$A$29,DePara_Cidade!$B$2:$B$29,"REVISAR"))</f>
        <v>Belo Horizonte</v>
      </c>
      <c r="N1930" s="4" t="str">
        <f aca="false">IF($A1930="","",UPPER(TRIM(Base_Bruta!M1930)))</f>
        <v>MG</v>
      </c>
      <c r="O1930" s="4" t="str">
        <f aca="false">IF($A1930="","",_xlfn.XLOOKUP(LOWER(TRIM(Base_Bruta!N1930)),DePara_Pais!$A$2:$A$9,DePara_Pais!$B$2:$B$9,"REVISAR"))</f>
        <v>Brasil</v>
      </c>
      <c r="P1930" s="4" t="str">
        <f aca="false">IF($A1930="","",IF(O1930&lt;&gt;"Brasil","Turista Internacional",IF(M1930=F1930,"Local","Turista Nacional")))</f>
        <v>Local</v>
      </c>
      <c r="Q1930" s="7" t="n">
        <f aca="false">IF($A1930="","",DATE(YEAR(B1930),MONTH(B1930),1))</f>
        <v>45992</v>
      </c>
      <c r="R1930" s="4" t="str">
        <f aca="false">IF($A1930="","",IF(COUNTIF($A$2:$A1930,$A1930)&gt;1,"Sim","Não"))</f>
        <v>Não</v>
      </c>
      <c r="S1930" s="4" t="str">
        <f aca="false">IF(A1930="","Descartar - Linha vazia",IF(R1930="Sim","Descartar - Duplicado",IF(OR(H1930&lt;=0,I1930&lt;=0),"Descartar - Qtd/Valor inválido","OK")))</f>
        <v>OK</v>
      </c>
      <c r="T1930" s="4" t="str">
        <f aca="false">Base_Bruta!P1930</f>
        <v>vendas_MG.csv</v>
      </c>
    </row>
    <row r="1931" customFormat="false" ht="15" hidden="false" customHeight="false" outlineLevel="0" collapsed="false">
      <c r="A1931" s="4" t="str">
        <f aca="false">IF(Base_Bruta!A1931="","",Base_Bruta!A1931)</f>
        <v>MG-000307</v>
      </c>
      <c r="B1931" s="5" t="n">
        <f aca="false">IF($A1931="","",IF(ISNUMBER(Base_Bruta!B1931),Base_Bruta!B1931,IF(MID(Base_Bruta!B1931,5,1)="-",DATE(VALUE(LEFT(Base_Bruta!B1931,4)),VALUE(MID(Base_Bruta!B1931,6,2)),VALUE(RIGHT(Base_Bruta!B1931,2))),DATE(VALUE(RIGHT(Base_Bruta!B1931,4)),VALUE(MID(Base_Bruta!B1931,4,2)),VALUE(LEFT(Base_Bruta!B1931,2))))))</f>
        <v>46002</v>
      </c>
      <c r="C1931" s="5" t="n">
        <f aca="false">IF($A1931="","",IF(ISNUMBER(Base_Bruta!C1931),Base_Bruta!C1931,IF(MID(Base_Bruta!C1931,5,1)="-",DATE(VALUE(LEFT(Base_Bruta!C1931,4)),VALUE(MID(Base_Bruta!C1931,6,2)),VALUE(RIGHT(Base_Bruta!C1931,2))),DATE(VALUE(RIGHT(Base_Bruta!C1931,4)),VALUE(MID(Base_Bruta!C1931,4,2)),VALUE(LEFT(Base_Bruta!C1931,2))))))</f>
        <v>46081</v>
      </c>
      <c r="D1931" s="4" t="str">
        <f aca="false">IF($A1931="","",TRIM(Base_Bruta!D1931))</f>
        <v>Show Sertanejo - BH</v>
      </c>
      <c r="E1931" s="4" t="str">
        <f aca="false">IF($A1931="","",_xlfn.XLOOKUP(LOWER(TRIM(Base_Bruta!E1931)),DePara_Categoria!$A$2:$A$9,DePara_Categoria!$B$2:$B$9,"REVISAR"))</f>
        <v>Show</v>
      </c>
      <c r="F1931" s="4" t="str">
        <f aca="false">IF($A1931="","",_xlfn.XLOOKUP(LOWER(TRIM(Base_Bruta!F1931)),DePara_Cidade!$A$2:$A$29,DePara_Cidade!$B$2:$B$29,"REVISAR"))</f>
        <v>Belo Horizonte</v>
      </c>
      <c r="G1931" s="4" t="str">
        <f aca="false">IF($A1931="","",TRIM(Base_Bruta!G1931))</f>
        <v>Meia</v>
      </c>
      <c r="H1931" s="4" t="n">
        <f aca="false">IF($A1931="","",IF(ISNUMBER(Base_Bruta!H1931),Base_Bruta!H1931,IFERROR(_xlfn.NUMBERVALUE(TRIM(SUBSTITUTE(Base_Bruta!H1931,"R$","")),",","."),0)))</f>
        <v>1</v>
      </c>
      <c r="I1931" s="6" t="n">
        <f aca="false">IF($A1931="","",IF(ISNUMBER(Base_Bruta!I1931),Base_Bruta!I1931,IFERROR(_xlfn.NUMBERVALUE(TRIM(SUBSTITUTE(Base_Bruta!I1931,"R$","")),",","."),0)))</f>
        <v>365</v>
      </c>
      <c r="J1931" s="6" t="n">
        <f aca="false">IF($A1931="","",H1931*I1931)</f>
        <v>365</v>
      </c>
      <c r="K1931" s="4" t="str">
        <f aca="false">IF($A1931="","",TRIM(Base_Bruta!J1931))</f>
        <v>App</v>
      </c>
      <c r="L1931" s="4" t="str">
        <f aca="false">IF($A1931="","",TRIM(Base_Bruta!K1931))</f>
        <v>C01584</v>
      </c>
      <c r="M1931" s="4" t="str">
        <f aca="false">IF($A1931="","",_xlfn.XLOOKUP(LOWER(TRIM(Base_Bruta!L1931)),DePara_Cidade!$A$2:$A$29,DePara_Cidade!$B$2:$B$29,"REVISAR"))</f>
        <v>Belo Horizonte</v>
      </c>
      <c r="N1931" s="4" t="str">
        <f aca="false">IF($A1931="","",UPPER(TRIM(Base_Bruta!M1931)))</f>
        <v>MG</v>
      </c>
      <c r="O1931" s="4" t="str">
        <f aca="false">IF($A1931="","",_xlfn.XLOOKUP(LOWER(TRIM(Base_Bruta!N1931)),DePara_Pais!$A$2:$A$9,DePara_Pais!$B$2:$B$9,"REVISAR"))</f>
        <v>Brasil</v>
      </c>
      <c r="P1931" s="4" t="str">
        <f aca="false">IF($A1931="","",IF(O1931&lt;&gt;"Brasil","Turista Internacional",IF(M1931=F1931,"Local","Turista Nacional")))</f>
        <v>Local</v>
      </c>
      <c r="Q1931" s="7" t="n">
        <f aca="false">IF($A1931="","",DATE(YEAR(B1931),MONTH(B1931),1))</f>
        <v>45992</v>
      </c>
      <c r="R1931" s="4" t="str">
        <f aca="false">IF($A1931="","",IF(COUNTIF($A$2:$A1931,$A1931)&gt;1,"Sim","Não"))</f>
        <v>Não</v>
      </c>
      <c r="S1931" s="4" t="str">
        <f aca="false">IF(A1931="","Descartar - Linha vazia",IF(R1931="Sim","Descartar - Duplicado",IF(OR(H1931&lt;=0,I1931&lt;=0),"Descartar - Qtd/Valor inválido","OK")))</f>
        <v>OK</v>
      </c>
      <c r="T1931" s="4" t="str">
        <f aca="false">Base_Bruta!P1931</f>
        <v>vendas_MG.csv</v>
      </c>
    </row>
    <row r="1932" customFormat="false" ht="15" hidden="false" customHeight="false" outlineLevel="0" collapsed="false">
      <c r="A1932" s="4" t="str">
        <f aca="false">IF(Base_Bruta!A1932="","",Base_Bruta!A1932)</f>
        <v>MG-000369</v>
      </c>
      <c r="B1932" s="5" t="n">
        <f aca="false">IF($A1932="","",IF(ISNUMBER(Base_Bruta!B1932),Base_Bruta!B1932,IF(MID(Base_Bruta!B1932,5,1)="-",DATE(VALUE(LEFT(Base_Bruta!B1932,4)),VALUE(MID(Base_Bruta!B1932,6,2)),VALUE(RIGHT(Base_Bruta!B1932,2))),DATE(VALUE(RIGHT(Base_Bruta!B1932,4)),VALUE(MID(Base_Bruta!B1932,4,2)),VALUE(LEFT(Base_Bruta!B1932,2))))))</f>
        <v>46002</v>
      </c>
      <c r="C1932" s="5" t="n">
        <f aca="false">IF($A1932="","",IF(ISNUMBER(Base_Bruta!C1932),Base_Bruta!C1932,IF(MID(Base_Bruta!C1932,5,1)="-",DATE(VALUE(LEFT(Base_Bruta!C1932,4)),VALUE(MID(Base_Bruta!C1932,6,2)),VALUE(RIGHT(Base_Bruta!C1932,2))),DATE(VALUE(RIGHT(Base_Bruta!C1932,4)),VALUE(MID(Base_Bruta!C1932,4,2)),VALUE(LEFT(Base_Bruta!C1932,2))))))</f>
        <v>46081</v>
      </c>
      <c r="D1932" s="4" t="str">
        <f aca="false">IF($A1932="","",TRIM(Base_Bruta!D1932))</f>
        <v>Show Sertanejo - BH</v>
      </c>
      <c r="E1932" s="4" t="str">
        <f aca="false">IF($A1932="","",_xlfn.XLOOKUP(LOWER(TRIM(Base_Bruta!E1932)),DePara_Categoria!$A$2:$A$9,DePara_Categoria!$B$2:$B$9,"REVISAR"))</f>
        <v>Show</v>
      </c>
      <c r="F1932" s="4" t="str">
        <f aca="false">IF($A1932="","",_xlfn.XLOOKUP(LOWER(TRIM(Base_Bruta!F1932)),DePara_Cidade!$A$2:$A$29,DePara_Cidade!$B$2:$B$29,"REVISAR"))</f>
        <v>Belo Horizonte</v>
      </c>
      <c r="G1932" s="4" t="str">
        <f aca="false">IF($A1932="","",TRIM(Base_Bruta!G1932))</f>
        <v>Inteira</v>
      </c>
      <c r="H1932" s="4" t="n">
        <f aca="false">IF($A1932="","",IF(ISNUMBER(Base_Bruta!H1932),Base_Bruta!H1932,IFERROR(_xlfn.NUMBERVALUE(TRIM(SUBSTITUTE(Base_Bruta!H1932,"R$","")),",","."),0)))</f>
        <v>1</v>
      </c>
      <c r="I1932" s="6" t="n">
        <f aca="false">IF($A1932="","",IF(ISNUMBER(Base_Bruta!I1932),Base_Bruta!I1932,IFERROR(_xlfn.NUMBERVALUE(TRIM(SUBSTITUTE(Base_Bruta!I1932,"R$","")),",","."),0)))</f>
        <v>600</v>
      </c>
      <c r="J1932" s="6" t="n">
        <f aca="false">IF($A1932="","",H1932*I1932)</f>
        <v>600</v>
      </c>
      <c r="K1932" s="4" t="str">
        <f aca="false">IF($A1932="","",TRIM(Base_Bruta!J1932))</f>
        <v>Parceiro</v>
      </c>
      <c r="L1932" s="4" t="str">
        <f aca="false">IF($A1932="","",TRIM(Base_Bruta!K1932))</f>
        <v>C02146</v>
      </c>
      <c r="M1932" s="4" t="str">
        <f aca="false">IF($A1932="","",_xlfn.XLOOKUP(LOWER(TRIM(Base_Bruta!L1932)),DePara_Cidade!$A$2:$A$29,DePara_Cidade!$B$2:$B$29,"REVISAR"))</f>
        <v>Belo Horizonte</v>
      </c>
      <c r="N1932" s="4" t="str">
        <f aca="false">IF($A1932="","",UPPER(TRIM(Base_Bruta!M1932)))</f>
        <v>MG</v>
      </c>
      <c r="O1932" s="4" t="str">
        <f aca="false">IF($A1932="","",_xlfn.XLOOKUP(LOWER(TRIM(Base_Bruta!N1932)),DePara_Pais!$A$2:$A$9,DePara_Pais!$B$2:$B$9,"REVISAR"))</f>
        <v>Brasil</v>
      </c>
      <c r="P1932" s="4" t="str">
        <f aca="false">IF($A1932="","",IF(O1932&lt;&gt;"Brasil","Turista Internacional",IF(M1932=F1932,"Local","Turista Nacional")))</f>
        <v>Local</v>
      </c>
      <c r="Q1932" s="7" t="n">
        <f aca="false">IF($A1932="","",DATE(YEAR(B1932),MONTH(B1932),1))</f>
        <v>45992</v>
      </c>
      <c r="R1932" s="4" t="str">
        <f aca="false">IF($A1932="","",IF(COUNTIF($A$2:$A1932,$A1932)&gt;1,"Sim","Não"))</f>
        <v>Não</v>
      </c>
      <c r="S1932" s="4" t="str">
        <f aca="false">IF(A1932="","Descartar - Linha vazia",IF(R1932="Sim","Descartar - Duplicado",IF(OR(H1932&lt;=0,I1932&lt;=0),"Descartar - Qtd/Valor inválido","OK")))</f>
        <v>OK</v>
      </c>
      <c r="T1932" s="4" t="str">
        <f aca="false">Base_Bruta!P1932</f>
        <v>vendas_MG.csv</v>
      </c>
    </row>
    <row r="1933" customFormat="false" ht="15" hidden="false" customHeight="false" outlineLevel="0" collapsed="false">
      <c r="A1933" s="4" t="str">
        <f aca="false">IF(Base_Bruta!A1933="","",Base_Bruta!A1933)</f>
        <v>MG-000361</v>
      </c>
      <c r="B1933" s="5" t="n">
        <f aca="false">IF($A1933="","",IF(ISNUMBER(Base_Bruta!B1933),Base_Bruta!B1933,IF(MID(Base_Bruta!B1933,5,1)="-",DATE(VALUE(LEFT(Base_Bruta!B1933,4)),VALUE(MID(Base_Bruta!B1933,6,2)),VALUE(RIGHT(Base_Bruta!B1933,2))),DATE(VALUE(RIGHT(Base_Bruta!B1933,4)),VALUE(MID(Base_Bruta!B1933,4,2)),VALUE(LEFT(Base_Bruta!B1933,2))))))</f>
        <v>46005</v>
      </c>
      <c r="C1933" s="5" t="n">
        <f aca="false">IF($A1933="","",IF(ISNUMBER(Base_Bruta!C1933),Base_Bruta!C1933,IF(MID(Base_Bruta!C1933,5,1)="-",DATE(VALUE(LEFT(Base_Bruta!C1933,4)),VALUE(MID(Base_Bruta!C1933,6,2)),VALUE(RIGHT(Base_Bruta!C1933,2))),DATE(VALUE(RIGHT(Base_Bruta!C1933,4)),VALUE(MID(Base_Bruta!C1933,4,2)),VALUE(LEFT(Base_Bruta!C1933,2))))))</f>
        <v>46081</v>
      </c>
      <c r="D1933" s="4" t="str">
        <f aca="false">IF($A1933="","",TRIM(Base_Bruta!D1933))</f>
        <v>Show Sertanejo - BH</v>
      </c>
      <c r="E1933" s="4" t="str">
        <f aca="false">IF($A1933="","",_xlfn.XLOOKUP(LOWER(TRIM(Base_Bruta!E1933)),DePara_Categoria!$A$2:$A$9,DePara_Categoria!$B$2:$B$9,"REVISAR"))</f>
        <v>Show</v>
      </c>
      <c r="F1933" s="4" t="str">
        <f aca="false">IF($A1933="","",_xlfn.XLOOKUP(LOWER(TRIM(Base_Bruta!F1933)),DePara_Cidade!$A$2:$A$29,DePara_Cidade!$B$2:$B$29,"REVISAR"))</f>
        <v>Belo Horizonte</v>
      </c>
      <c r="G1933" s="4" t="str">
        <f aca="false">IF($A1933="","",TRIM(Base_Bruta!G1933))</f>
        <v>Inteira</v>
      </c>
      <c r="H1933" s="4" t="n">
        <f aca="false">IF($A1933="","",IF(ISNUMBER(Base_Bruta!H1933),Base_Bruta!H1933,IFERROR(_xlfn.NUMBERVALUE(TRIM(SUBSTITUTE(Base_Bruta!H1933,"R$","")),",","."),0)))</f>
        <v>2</v>
      </c>
      <c r="I1933" s="6" t="n">
        <f aca="false">IF($A1933="","",IF(ISNUMBER(Base_Bruta!I1933),Base_Bruta!I1933,IFERROR(_xlfn.NUMBERVALUE(TRIM(SUBSTITUTE(Base_Bruta!I1933,"R$","")),",","."),0)))</f>
        <v>445</v>
      </c>
      <c r="J1933" s="6" t="n">
        <f aca="false">IF($A1933="","",H1933*I1933)</f>
        <v>890</v>
      </c>
      <c r="K1933" s="4" t="str">
        <f aca="false">IF($A1933="","",TRIM(Base_Bruta!J1933))</f>
        <v>Site</v>
      </c>
      <c r="L1933" s="4" t="str">
        <f aca="false">IF($A1933="","",TRIM(Base_Bruta!K1933))</f>
        <v>C02299</v>
      </c>
      <c r="M1933" s="4" t="str">
        <f aca="false">IF($A1933="","",_xlfn.XLOOKUP(LOWER(TRIM(Base_Bruta!L1933)),DePara_Cidade!$A$2:$A$29,DePara_Cidade!$B$2:$B$29,"REVISAR"))</f>
        <v>Brasília</v>
      </c>
      <c r="N1933" s="4" t="str">
        <f aca="false">IF($A1933="","",UPPER(TRIM(Base_Bruta!M1933)))</f>
        <v>DF</v>
      </c>
      <c r="O1933" s="4" t="str">
        <f aca="false">IF($A1933="","",_xlfn.XLOOKUP(LOWER(TRIM(Base_Bruta!N1933)),DePara_Pais!$A$2:$A$9,DePara_Pais!$B$2:$B$9,"REVISAR"))</f>
        <v>Brasil</v>
      </c>
      <c r="P1933" s="4" t="str">
        <f aca="false">IF($A1933="","",IF(O1933&lt;&gt;"Brasil","Turista Internacional",IF(M1933=F1933,"Local","Turista Nacional")))</f>
        <v>Turista Nacional</v>
      </c>
      <c r="Q1933" s="7" t="n">
        <f aca="false">IF($A1933="","",DATE(YEAR(B1933),MONTH(B1933),1))</f>
        <v>45992</v>
      </c>
      <c r="R1933" s="4" t="str">
        <f aca="false">IF($A1933="","",IF(COUNTIF($A$2:$A1933,$A1933)&gt;1,"Sim","Não"))</f>
        <v>Não</v>
      </c>
      <c r="S1933" s="4" t="str">
        <f aca="false">IF(A1933="","Descartar - Linha vazia",IF(R1933="Sim","Descartar - Duplicado",IF(OR(H1933&lt;=0,I1933&lt;=0),"Descartar - Qtd/Valor inválido","OK")))</f>
        <v>OK</v>
      </c>
      <c r="T1933" s="4" t="str">
        <f aca="false">Base_Bruta!P1933</f>
        <v>vendas_MG.csv</v>
      </c>
    </row>
    <row r="1934" customFormat="false" ht="15" hidden="false" customHeight="false" outlineLevel="0" collapsed="false">
      <c r="A1934" s="4" t="str">
        <f aca="false">IF(Base_Bruta!A1934="","",Base_Bruta!A1934)</f>
        <v>MG-000499</v>
      </c>
      <c r="B1934" s="5" t="n">
        <f aca="false">IF($A1934="","",IF(ISNUMBER(Base_Bruta!B1934),Base_Bruta!B1934,IF(MID(Base_Bruta!B1934,5,1)="-",DATE(VALUE(LEFT(Base_Bruta!B1934,4)),VALUE(MID(Base_Bruta!B1934,6,2)),VALUE(RIGHT(Base_Bruta!B1934,2))),DATE(VALUE(RIGHT(Base_Bruta!B1934,4)),VALUE(MID(Base_Bruta!B1934,4,2)),VALUE(LEFT(Base_Bruta!B1934,2))))))</f>
        <v>46005</v>
      </c>
      <c r="C1934" s="5" t="n">
        <f aca="false">IF($A1934="","",IF(ISNUMBER(Base_Bruta!C1934),Base_Bruta!C1934,IF(MID(Base_Bruta!C1934,5,1)="-",DATE(VALUE(LEFT(Base_Bruta!C1934,4)),VALUE(MID(Base_Bruta!C1934,6,2)),VALUE(RIGHT(Base_Bruta!C1934,2))),DATE(VALUE(RIGHT(Base_Bruta!C1934,4)),VALUE(MID(Base_Bruta!C1934,4,2)),VALUE(LEFT(Base_Bruta!C1934,2))))))</f>
        <v>46005</v>
      </c>
      <c r="D1934" s="4" t="str">
        <f aca="false">IF($A1934="","",TRIM(Base_Bruta!D1934))</f>
        <v>Cinema Savassi - Sessões</v>
      </c>
      <c r="E1934" s="4" t="str">
        <f aca="false">IF($A1934="","",_xlfn.XLOOKUP(LOWER(TRIM(Base_Bruta!E1934)),DePara_Categoria!$A$2:$A$9,DePara_Categoria!$B$2:$B$9,"REVISAR"))</f>
        <v>Cinema</v>
      </c>
      <c r="F1934" s="4" t="str">
        <f aca="false">IF($A1934="","",_xlfn.XLOOKUP(LOWER(TRIM(Base_Bruta!F1934)),DePara_Cidade!$A$2:$A$29,DePara_Cidade!$B$2:$B$29,"REVISAR"))</f>
        <v>Belo Horizonte</v>
      </c>
      <c r="G1934" s="4" t="str">
        <f aca="false">IF($A1934="","",TRIM(Base_Bruta!G1934))</f>
        <v>Inteira</v>
      </c>
      <c r="H1934" s="4" t="n">
        <f aca="false">IF($A1934="","",IF(ISNUMBER(Base_Bruta!H1934),Base_Bruta!H1934,IFERROR(_xlfn.NUMBERVALUE(TRIM(SUBSTITUTE(Base_Bruta!H1934,"R$","")),",","."),0)))</f>
        <v>1</v>
      </c>
      <c r="I1934" s="6" t="n">
        <f aca="false">IF($A1934="","",IF(ISNUMBER(Base_Bruta!I1934),Base_Bruta!I1934,IFERROR(_xlfn.NUMBERVALUE(TRIM(SUBSTITUTE(Base_Bruta!I1934,"R$","")),",","."),0)))</f>
        <v>35</v>
      </c>
      <c r="J1934" s="6" t="n">
        <f aca="false">IF($A1934="","",H1934*I1934)</f>
        <v>35</v>
      </c>
      <c r="K1934" s="4" t="str">
        <f aca="false">IF($A1934="","",TRIM(Base_Bruta!J1934))</f>
        <v>App</v>
      </c>
      <c r="L1934" s="4" t="str">
        <f aca="false">IF($A1934="","",TRIM(Base_Bruta!K1934))</f>
        <v>C00181</v>
      </c>
      <c r="M1934" s="4" t="str">
        <f aca="false">IF($A1934="","",_xlfn.XLOOKUP(LOWER(TRIM(Base_Bruta!L1934)),DePara_Cidade!$A$2:$A$29,DePara_Cidade!$B$2:$B$29,"REVISAR"))</f>
        <v>Belo Horizonte</v>
      </c>
      <c r="N1934" s="4" t="str">
        <f aca="false">IF($A1934="","",UPPER(TRIM(Base_Bruta!M1934)))</f>
        <v>MG</v>
      </c>
      <c r="O1934" s="4" t="str">
        <f aca="false">IF($A1934="","",_xlfn.XLOOKUP(LOWER(TRIM(Base_Bruta!N1934)),DePara_Pais!$A$2:$A$9,DePara_Pais!$B$2:$B$9,"REVISAR"))</f>
        <v>Brasil</v>
      </c>
      <c r="P1934" s="4" t="str">
        <f aca="false">IF($A1934="","",IF(O1934&lt;&gt;"Brasil","Turista Internacional",IF(M1934=F1934,"Local","Turista Nacional")))</f>
        <v>Local</v>
      </c>
      <c r="Q1934" s="7" t="n">
        <f aca="false">IF($A1934="","",DATE(YEAR(B1934),MONTH(B1934),1))</f>
        <v>45992</v>
      </c>
      <c r="R1934" s="4" t="str">
        <f aca="false">IF($A1934="","",IF(COUNTIF($A$2:$A1934,$A1934)&gt;1,"Sim","Não"))</f>
        <v>Não</v>
      </c>
      <c r="S1934" s="4" t="str">
        <f aca="false">IF(A1934="","Descartar - Linha vazia",IF(R1934="Sim","Descartar - Duplicado",IF(OR(H1934&lt;=0,I1934&lt;=0),"Descartar - Qtd/Valor inválido","OK")))</f>
        <v>OK</v>
      </c>
      <c r="T1934" s="4" t="str">
        <f aca="false">Base_Bruta!P1934</f>
        <v>vendas_MG.csv</v>
      </c>
    </row>
    <row r="1935" customFormat="false" ht="15" hidden="false" customHeight="false" outlineLevel="0" collapsed="false">
      <c r="A1935" s="4" t="str">
        <f aca="false">IF(Base_Bruta!A1935="","",Base_Bruta!A1935)</f>
        <v>MG-000405</v>
      </c>
      <c r="B1935" s="5" t="n">
        <f aca="false">IF($A1935="","",IF(ISNUMBER(Base_Bruta!B1935),Base_Bruta!B1935,IF(MID(Base_Bruta!B1935,5,1)="-",DATE(VALUE(LEFT(Base_Bruta!B1935,4)),VALUE(MID(Base_Bruta!B1935,6,2)),VALUE(RIGHT(Base_Bruta!B1935,2))),DATE(VALUE(RIGHT(Base_Bruta!B1935,4)),VALUE(MID(Base_Bruta!B1935,4,2)),VALUE(LEFT(Base_Bruta!B1935,2))))))</f>
        <v>46006</v>
      </c>
      <c r="C1935" s="5" t="n">
        <f aca="false">IF($A1935="","",IF(ISNUMBER(Base_Bruta!C1935),Base_Bruta!C1935,IF(MID(Base_Bruta!C1935,5,1)="-",DATE(VALUE(LEFT(Base_Bruta!C1935,4)),VALUE(MID(Base_Bruta!C1935,6,2)),VALUE(RIGHT(Base_Bruta!C1935,2))),DATE(VALUE(RIGHT(Base_Bruta!C1935,4)),VALUE(MID(Base_Bruta!C1935,4,2)),VALUE(LEFT(Base_Bruta!C1935,2))))))</f>
        <v>46007</v>
      </c>
      <c r="D1935" s="4" t="str">
        <f aca="false">IF($A1935="","",TRIM(Base_Bruta!D1935))</f>
        <v>Cinema Savassi - Sessões</v>
      </c>
      <c r="E1935" s="4" t="str">
        <f aca="false">IF($A1935="","",_xlfn.XLOOKUP(LOWER(TRIM(Base_Bruta!E1935)),DePara_Categoria!$A$2:$A$9,DePara_Categoria!$B$2:$B$9,"REVISAR"))</f>
        <v>Cinema</v>
      </c>
      <c r="F1935" s="4" t="str">
        <f aca="false">IF($A1935="","",_xlfn.XLOOKUP(LOWER(TRIM(Base_Bruta!F1935)),DePara_Cidade!$A$2:$A$29,DePara_Cidade!$B$2:$B$29,"REVISAR"))</f>
        <v>Belo Horizonte</v>
      </c>
      <c r="G1935" s="4" t="str">
        <f aca="false">IF($A1935="","",TRIM(Base_Bruta!G1935))</f>
        <v>Inteira</v>
      </c>
      <c r="H1935" s="4" t="n">
        <f aca="false">IF($A1935="","",IF(ISNUMBER(Base_Bruta!H1935),Base_Bruta!H1935,IFERROR(_xlfn.NUMBERVALUE(TRIM(SUBSTITUTE(Base_Bruta!H1935,"R$","")),",","."),0)))</f>
        <v>2</v>
      </c>
      <c r="I1935" s="6" t="n">
        <f aca="false">IF($A1935="","",IF(ISNUMBER(Base_Bruta!I1935),Base_Bruta!I1935,IFERROR(_xlfn.NUMBERVALUE(TRIM(SUBSTITUTE(Base_Bruta!I1935,"R$","")),",","."),0)))</f>
        <v>40</v>
      </c>
      <c r="J1935" s="6" t="n">
        <f aca="false">IF($A1935="","",H1935*I1935)</f>
        <v>80</v>
      </c>
      <c r="K1935" s="4" t="str">
        <f aca="false">IF($A1935="","",TRIM(Base_Bruta!J1935))</f>
        <v>Bilheteria</v>
      </c>
      <c r="L1935" s="4" t="str">
        <f aca="false">IF($A1935="","",TRIM(Base_Bruta!K1935))</f>
        <v>C01616</v>
      </c>
      <c r="M1935" s="4" t="str">
        <f aca="false">IF($A1935="","",_xlfn.XLOOKUP(LOWER(TRIM(Base_Bruta!L1935)),DePara_Cidade!$A$2:$A$29,DePara_Cidade!$B$2:$B$29,"REVISAR"))</f>
        <v>Belo Horizonte</v>
      </c>
      <c r="N1935" s="4" t="str">
        <f aca="false">IF($A1935="","",UPPER(TRIM(Base_Bruta!M1935)))</f>
        <v>MG</v>
      </c>
      <c r="O1935" s="4" t="str">
        <f aca="false">IF($A1935="","",_xlfn.XLOOKUP(LOWER(TRIM(Base_Bruta!N1935)),DePara_Pais!$A$2:$A$9,DePara_Pais!$B$2:$B$9,"REVISAR"))</f>
        <v>Brasil</v>
      </c>
      <c r="P1935" s="4" t="str">
        <f aca="false">IF($A1935="","",IF(O1935&lt;&gt;"Brasil","Turista Internacional",IF(M1935=F1935,"Local","Turista Nacional")))</f>
        <v>Local</v>
      </c>
      <c r="Q1935" s="7" t="n">
        <f aca="false">IF($A1935="","",DATE(YEAR(B1935),MONTH(B1935),1))</f>
        <v>45992</v>
      </c>
      <c r="R1935" s="4" t="str">
        <f aca="false">IF($A1935="","",IF(COUNTIF($A$2:$A1935,$A1935)&gt;1,"Sim","Não"))</f>
        <v>Não</v>
      </c>
      <c r="S1935" s="4" t="str">
        <f aca="false">IF(A1935="","Descartar - Linha vazia",IF(R1935="Sim","Descartar - Duplicado",IF(OR(H1935&lt;=0,I1935&lt;=0),"Descartar - Qtd/Valor inválido","OK")))</f>
        <v>OK</v>
      </c>
      <c r="T1935" s="4" t="str">
        <f aca="false">Base_Bruta!P1935</f>
        <v>vendas_MG.csv</v>
      </c>
    </row>
    <row r="1936" customFormat="false" ht="15" hidden="false" customHeight="false" outlineLevel="0" collapsed="false">
      <c r="A1936" s="4" t="str">
        <f aca="false">IF(Base_Bruta!A1936="","",Base_Bruta!A1936)</f>
        <v>MG-000516</v>
      </c>
      <c r="B1936" s="5" t="n">
        <f aca="false">IF($A1936="","",IF(ISNUMBER(Base_Bruta!B1936),Base_Bruta!B1936,IF(MID(Base_Bruta!B1936,5,1)="-",DATE(VALUE(LEFT(Base_Bruta!B1936,4)),VALUE(MID(Base_Bruta!B1936,6,2)),VALUE(RIGHT(Base_Bruta!B1936,2))),DATE(VALUE(RIGHT(Base_Bruta!B1936,4)),VALUE(MID(Base_Bruta!B1936,4,2)),VALUE(LEFT(Base_Bruta!B1936,2))))))</f>
        <v>46007</v>
      </c>
      <c r="C1936" s="5" t="n">
        <f aca="false">IF($A1936="","",IF(ISNUMBER(Base_Bruta!C1936),Base_Bruta!C1936,IF(MID(Base_Bruta!C1936,5,1)="-",DATE(VALUE(LEFT(Base_Bruta!C1936,4)),VALUE(MID(Base_Bruta!C1936,6,2)),VALUE(RIGHT(Base_Bruta!C1936,2))),DATE(VALUE(RIGHT(Base_Bruta!C1936,4)),VALUE(MID(Base_Bruta!C1936,4,2)),VALUE(LEFT(Base_Bruta!C1936,2))))))</f>
        <v>46007</v>
      </c>
      <c r="D1936" s="4" t="str">
        <f aca="false">IF($A1936="","",TRIM(Base_Bruta!D1936))</f>
        <v>Cinema Savassi - Sessões</v>
      </c>
      <c r="E1936" s="4" t="str">
        <f aca="false">IF($A1936="","",_xlfn.XLOOKUP(LOWER(TRIM(Base_Bruta!E1936)),DePara_Categoria!$A$2:$A$9,DePara_Categoria!$B$2:$B$9,"REVISAR"))</f>
        <v>Cinema</v>
      </c>
      <c r="F1936" s="4" t="str">
        <f aca="false">IF($A1936="","",_xlfn.XLOOKUP(LOWER(TRIM(Base_Bruta!F1936)),DePara_Cidade!$A$2:$A$29,DePara_Cidade!$B$2:$B$29,"REVISAR"))</f>
        <v>Belo Horizonte</v>
      </c>
      <c r="G1936" s="4" t="str">
        <f aca="false">IF($A1936="","",TRIM(Base_Bruta!G1936))</f>
        <v>Inteira</v>
      </c>
      <c r="H1936" s="4" t="n">
        <f aca="false">IF($A1936="","",IF(ISNUMBER(Base_Bruta!H1936),Base_Bruta!H1936,IFERROR(_xlfn.NUMBERVALUE(TRIM(SUBSTITUTE(Base_Bruta!H1936,"R$","")),",","."),0)))</f>
        <v>1</v>
      </c>
      <c r="I1936" s="6" t="n">
        <f aca="false">IF($A1936="","",IF(ISNUMBER(Base_Bruta!I1936),Base_Bruta!I1936,IFERROR(_xlfn.NUMBERVALUE(TRIM(SUBSTITUTE(Base_Bruta!I1936,"R$","")),",","."),0)))</f>
        <v>45</v>
      </c>
      <c r="J1936" s="6" t="n">
        <f aca="false">IF($A1936="","",H1936*I1936)</f>
        <v>45</v>
      </c>
      <c r="K1936" s="4" t="str">
        <f aca="false">IF($A1936="","",TRIM(Base_Bruta!J1936))</f>
        <v>Site</v>
      </c>
      <c r="L1936" s="4" t="str">
        <f aca="false">IF($A1936="","",TRIM(Base_Bruta!K1936))</f>
        <v>C01114</v>
      </c>
      <c r="M1936" s="4" t="str">
        <f aca="false">IF($A1936="","",_xlfn.XLOOKUP(LOWER(TRIM(Base_Bruta!L1936)),DePara_Cidade!$A$2:$A$29,DePara_Cidade!$B$2:$B$29,"REVISAR"))</f>
        <v>Belo Horizonte</v>
      </c>
      <c r="N1936" s="4" t="str">
        <f aca="false">IF($A1936="","",UPPER(TRIM(Base_Bruta!M1936)))</f>
        <v>MG</v>
      </c>
      <c r="O1936" s="4" t="str">
        <f aca="false">IF($A1936="","",_xlfn.XLOOKUP(LOWER(TRIM(Base_Bruta!N1936)),DePara_Pais!$A$2:$A$9,DePara_Pais!$B$2:$B$9,"REVISAR"))</f>
        <v>Brasil</v>
      </c>
      <c r="P1936" s="4" t="str">
        <f aca="false">IF($A1936="","",IF(O1936&lt;&gt;"Brasil","Turista Internacional",IF(M1936=F1936,"Local","Turista Nacional")))</f>
        <v>Local</v>
      </c>
      <c r="Q1936" s="7" t="n">
        <f aca="false">IF($A1936="","",DATE(YEAR(B1936),MONTH(B1936),1))</f>
        <v>45992</v>
      </c>
      <c r="R1936" s="4" t="str">
        <f aca="false">IF($A1936="","",IF(COUNTIF($A$2:$A1936,$A1936)&gt;1,"Sim","Não"))</f>
        <v>Não</v>
      </c>
      <c r="S1936" s="4" t="str">
        <f aca="false">IF(A1936="","Descartar - Linha vazia",IF(R1936="Sim","Descartar - Duplicado",IF(OR(H1936&lt;=0,I1936&lt;=0),"Descartar - Qtd/Valor inválido","OK")))</f>
        <v>OK</v>
      </c>
      <c r="T1936" s="4" t="str">
        <f aca="false">Base_Bruta!P1936</f>
        <v>vendas_MG.csv</v>
      </c>
    </row>
    <row r="1937" customFormat="false" ht="15" hidden="false" customHeight="false" outlineLevel="0" collapsed="false">
      <c r="A1937" s="4" t="str">
        <f aca="false">IF(Base_Bruta!A1937="","",Base_Bruta!A1937)</f>
        <v>MG-000266</v>
      </c>
      <c r="B1937" s="5" t="n">
        <f aca="false">IF($A1937="","",IF(ISNUMBER(Base_Bruta!B1937),Base_Bruta!B1937,IF(MID(Base_Bruta!B1937,5,1)="-",DATE(VALUE(LEFT(Base_Bruta!B1937,4)),VALUE(MID(Base_Bruta!B1937,6,2)),VALUE(RIGHT(Base_Bruta!B1937,2))),DATE(VALUE(RIGHT(Base_Bruta!B1937,4)),VALUE(MID(Base_Bruta!B1937,4,2)),VALUE(LEFT(Base_Bruta!B1937,2))))))</f>
        <v>46008</v>
      </c>
      <c r="C1937" s="5" t="n">
        <f aca="false">IF($A1937="","",IF(ISNUMBER(Base_Bruta!C1937),Base_Bruta!C1937,IF(MID(Base_Bruta!C1937,5,1)="-",DATE(VALUE(LEFT(Base_Bruta!C1937,4)),VALUE(MID(Base_Bruta!C1937,6,2)),VALUE(RIGHT(Base_Bruta!C1937,2))),DATE(VALUE(RIGHT(Base_Bruta!C1937,4)),VALUE(MID(Base_Bruta!C1937,4,2)),VALUE(LEFT(Base_Bruta!C1937,2))))))</f>
        <v>46081</v>
      </c>
      <c r="D1937" s="4" t="str">
        <f aca="false">IF($A1937="","",TRIM(Base_Bruta!D1937))</f>
        <v>Show Sertanejo - BH</v>
      </c>
      <c r="E1937" s="4" t="str">
        <f aca="false">IF($A1937="","",_xlfn.XLOOKUP(LOWER(TRIM(Base_Bruta!E1937)),DePara_Categoria!$A$2:$A$9,DePara_Categoria!$B$2:$B$9,"REVISAR"))</f>
        <v>Show</v>
      </c>
      <c r="F1937" s="4" t="str">
        <f aca="false">IF($A1937="","",_xlfn.XLOOKUP(LOWER(TRIM(Base_Bruta!F1937)),DePara_Cidade!$A$2:$A$29,DePara_Cidade!$B$2:$B$29,"REVISAR"))</f>
        <v>Belo Horizonte</v>
      </c>
      <c r="G1937" s="4" t="str">
        <f aca="false">IF($A1937="","",TRIM(Base_Bruta!G1937))</f>
        <v>Meia</v>
      </c>
      <c r="H1937" s="4" t="n">
        <f aca="false">IF($A1937="","",IF(ISNUMBER(Base_Bruta!H1937),Base_Bruta!H1937,IFERROR(_xlfn.NUMBERVALUE(TRIM(SUBSTITUTE(Base_Bruta!H1937,"R$","")),",","."),0)))</f>
        <v>2</v>
      </c>
      <c r="I1937" s="6" t="n">
        <f aca="false">IF($A1937="","",IF(ISNUMBER(Base_Bruta!I1937),Base_Bruta!I1937,IFERROR(_xlfn.NUMBERVALUE(TRIM(SUBSTITUTE(Base_Bruta!I1937,"R$","")),",","."),0)))</f>
        <v>295</v>
      </c>
      <c r="J1937" s="6" t="n">
        <f aca="false">IF($A1937="","",H1937*I1937)</f>
        <v>590</v>
      </c>
      <c r="K1937" s="4" t="str">
        <f aca="false">IF($A1937="","",TRIM(Base_Bruta!J1937))</f>
        <v>App</v>
      </c>
      <c r="L1937" s="4" t="str">
        <f aca="false">IF($A1937="","",TRIM(Base_Bruta!K1937))</f>
        <v>C00195</v>
      </c>
      <c r="M1937" s="4" t="str">
        <f aca="false">IF($A1937="","",_xlfn.XLOOKUP(LOWER(TRIM(Base_Bruta!L1937)),DePara_Cidade!$A$2:$A$29,DePara_Cidade!$B$2:$B$29,"REVISAR"))</f>
        <v>Belo Horizonte</v>
      </c>
      <c r="N1937" s="4" t="str">
        <f aca="false">IF($A1937="","",UPPER(TRIM(Base_Bruta!M1937)))</f>
        <v>MG</v>
      </c>
      <c r="O1937" s="4" t="str">
        <f aca="false">IF($A1937="","",_xlfn.XLOOKUP(LOWER(TRIM(Base_Bruta!N1937)),DePara_Pais!$A$2:$A$9,DePara_Pais!$B$2:$B$9,"REVISAR"))</f>
        <v>Brasil</v>
      </c>
      <c r="P1937" s="4" t="str">
        <f aca="false">IF($A1937="","",IF(O1937&lt;&gt;"Brasil","Turista Internacional",IF(M1937=F1937,"Local","Turista Nacional")))</f>
        <v>Local</v>
      </c>
      <c r="Q1937" s="7" t="n">
        <f aca="false">IF($A1937="","",DATE(YEAR(B1937),MONTH(B1937),1))</f>
        <v>45992</v>
      </c>
      <c r="R1937" s="4" t="str">
        <f aca="false">IF($A1937="","",IF(COUNTIF($A$2:$A1937,$A1937)&gt;1,"Sim","Não"))</f>
        <v>Não</v>
      </c>
      <c r="S1937" s="4" t="str">
        <f aca="false">IF(A1937="","Descartar - Linha vazia",IF(R1937="Sim","Descartar - Duplicado",IF(OR(H1937&lt;=0,I1937&lt;=0),"Descartar - Qtd/Valor inválido","OK")))</f>
        <v>OK</v>
      </c>
      <c r="T1937" s="4" t="str">
        <f aca="false">Base_Bruta!P1937</f>
        <v>vendas_MG.csv</v>
      </c>
    </row>
    <row r="1938" customFormat="false" ht="15" hidden="false" customHeight="false" outlineLevel="0" collapsed="false">
      <c r="A1938" s="4" t="str">
        <f aca="false">IF(Base_Bruta!A1938="","",Base_Bruta!A1938)</f>
        <v>MG-000239</v>
      </c>
      <c r="B1938" s="5" t="n">
        <f aca="false">IF($A1938="","",IF(ISNUMBER(Base_Bruta!B1938),Base_Bruta!B1938,IF(MID(Base_Bruta!B1938,5,1)="-",DATE(VALUE(LEFT(Base_Bruta!B1938,4)),VALUE(MID(Base_Bruta!B1938,6,2)),VALUE(RIGHT(Base_Bruta!B1938,2))),DATE(VALUE(RIGHT(Base_Bruta!B1938,4)),VALUE(MID(Base_Bruta!B1938,4,2)),VALUE(LEFT(Base_Bruta!B1938,2))))))</f>
        <v>46009</v>
      </c>
      <c r="C1938" s="5" t="n">
        <f aca="false">IF($A1938="","",IF(ISNUMBER(Base_Bruta!C1938),Base_Bruta!C1938,IF(MID(Base_Bruta!C1938,5,1)="-",DATE(VALUE(LEFT(Base_Bruta!C1938,4)),VALUE(MID(Base_Bruta!C1938,6,2)),VALUE(RIGHT(Base_Bruta!C1938,2))),DATE(VALUE(RIGHT(Base_Bruta!C1938,4)),VALUE(MID(Base_Bruta!C1938,4,2)),VALUE(LEFT(Base_Bruta!C1938,2))))))</f>
        <v>46081</v>
      </c>
      <c r="D1938" s="4" t="str">
        <f aca="false">IF($A1938="","",TRIM(Base_Bruta!D1938))</f>
        <v>Show Sertanejo - BH</v>
      </c>
      <c r="E1938" s="4" t="str">
        <f aca="false">IF($A1938="","",_xlfn.XLOOKUP(LOWER(TRIM(Base_Bruta!E1938)),DePara_Categoria!$A$2:$A$9,DePara_Categoria!$B$2:$B$9,"REVISAR"))</f>
        <v>Show</v>
      </c>
      <c r="F1938" s="4" t="str">
        <f aca="false">IF($A1938="","",_xlfn.XLOOKUP(LOWER(TRIM(Base_Bruta!F1938)),DePara_Cidade!$A$2:$A$29,DePara_Cidade!$B$2:$B$29,"REVISAR"))</f>
        <v>Belo Horizonte</v>
      </c>
      <c r="G1938" s="4" t="str">
        <f aca="false">IF($A1938="","",TRIM(Base_Bruta!G1938))</f>
        <v>Inteira</v>
      </c>
      <c r="H1938" s="4" t="n">
        <f aca="false">IF($A1938="","",IF(ISNUMBER(Base_Bruta!H1938),Base_Bruta!H1938,IFERROR(_xlfn.NUMBERVALUE(TRIM(SUBSTITUTE(Base_Bruta!H1938,"R$","")),",","."),0)))</f>
        <v>3</v>
      </c>
      <c r="I1938" s="6" t="n">
        <f aca="false">IF($A1938="","",IF(ISNUMBER(Base_Bruta!I1938),Base_Bruta!I1938,IFERROR(_xlfn.NUMBERVALUE(TRIM(SUBSTITUTE(Base_Bruta!I1938,"R$","")),",","."),0)))</f>
        <v>580</v>
      </c>
      <c r="J1938" s="6" t="n">
        <f aca="false">IF($A1938="","",H1938*I1938)</f>
        <v>1740</v>
      </c>
      <c r="K1938" s="4" t="str">
        <f aca="false">IF($A1938="","",TRIM(Base_Bruta!J1938))</f>
        <v>Site</v>
      </c>
      <c r="L1938" s="4" t="str">
        <f aca="false">IF($A1938="","",TRIM(Base_Bruta!K1938))</f>
        <v>C01773</v>
      </c>
      <c r="M1938" s="4" t="str">
        <f aca="false">IF($A1938="","",_xlfn.XLOOKUP(LOWER(TRIM(Base_Bruta!L1938)),DePara_Cidade!$A$2:$A$29,DePara_Cidade!$B$2:$B$29,"REVISAR"))</f>
        <v>Belo Horizonte</v>
      </c>
      <c r="N1938" s="4" t="str">
        <f aca="false">IF($A1938="","",UPPER(TRIM(Base_Bruta!M1938)))</f>
        <v>MG</v>
      </c>
      <c r="O1938" s="4" t="str">
        <f aca="false">IF($A1938="","",_xlfn.XLOOKUP(LOWER(TRIM(Base_Bruta!N1938)),DePara_Pais!$A$2:$A$9,DePara_Pais!$B$2:$B$9,"REVISAR"))</f>
        <v>Brasil</v>
      </c>
      <c r="P1938" s="4" t="str">
        <f aca="false">IF($A1938="","",IF(O1938&lt;&gt;"Brasil","Turista Internacional",IF(M1938=F1938,"Local","Turista Nacional")))</f>
        <v>Local</v>
      </c>
      <c r="Q1938" s="7" t="n">
        <f aca="false">IF($A1938="","",DATE(YEAR(B1938),MONTH(B1938),1))</f>
        <v>45992</v>
      </c>
      <c r="R1938" s="4" t="str">
        <f aca="false">IF($A1938="","",IF(COUNTIF($A$2:$A1938,$A1938)&gt;1,"Sim","Não"))</f>
        <v>Não</v>
      </c>
      <c r="S1938" s="4" t="str">
        <f aca="false">IF(A1938="","Descartar - Linha vazia",IF(R1938="Sim","Descartar - Duplicado",IF(OR(H1938&lt;=0,I1938&lt;=0),"Descartar - Qtd/Valor inválido","OK")))</f>
        <v>OK</v>
      </c>
      <c r="T1938" s="4" t="str">
        <f aca="false">Base_Bruta!P1938</f>
        <v>vendas_MG.csv</v>
      </c>
    </row>
    <row r="1939" customFormat="false" ht="15" hidden="false" customHeight="false" outlineLevel="0" collapsed="false">
      <c r="A1939" s="4" t="str">
        <f aca="false">IF(Base_Bruta!A1939="","",Base_Bruta!A1939)</f>
        <v>MG-000505</v>
      </c>
      <c r="B1939" s="5" t="n">
        <f aca="false">IF($A1939="","",IF(ISNUMBER(Base_Bruta!B1939),Base_Bruta!B1939,IF(MID(Base_Bruta!B1939,5,1)="-",DATE(VALUE(LEFT(Base_Bruta!B1939,4)),VALUE(MID(Base_Bruta!B1939,6,2)),VALUE(RIGHT(Base_Bruta!B1939,2))),DATE(VALUE(RIGHT(Base_Bruta!B1939,4)),VALUE(MID(Base_Bruta!B1939,4,2)),VALUE(LEFT(Base_Bruta!B1939,2))))))</f>
        <v>46009</v>
      </c>
      <c r="C1939" s="5" t="n">
        <f aca="false">IF($A1939="","",IF(ISNUMBER(Base_Bruta!C1939),Base_Bruta!C1939,IF(MID(Base_Bruta!C1939,5,1)="-",DATE(VALUE(LEFT(Base_Bruta!C1939,4)),VALUE(MID(Base_Bruta!C1939,6,2)),VALUE(RIGHT(Base_Bruta!C1939,2))),DATE(VALUE(RIGHT(Base_Bruta!C1939,4)),VALUE(MID(Base_Bruta!C1939,4,2)),VALUE(LEFT(Base_Bruta!C1939,2))))))</f>
        <v>46009</v>
      </c>
      <c r="D1939" s="4" t="str">
        <f aca="false">IF($A1939="","",TRIM(Base_Bruta!D1939))</f>
        <v>Cinema Savassi - Sessões</v>
      </c>
      <c r="E1939" s="4" t="str">
        <f aca="false">IF($A1939="","",_xlfn.XLOOKUP(LOWER(TRIM(Base_Bruta!E1939)),DePara_Categoria!$A$2:$A$9,DePara_Categoria!$B$2:$B$9,"REVISAR"))</f>
        <v>Cinema</v>
      </c>
      <c r="F1939" s="4" t="str">
        <f aca="false">IF($A1939="","",_xlfn.XLOOKUP(LOWER(TRIM(Base_Bruta!F1939)),DePara_Cidade!$A$2:$A$29,DePara_Cidade!$B$2:$B$29,"REVISAR"))</f>
        <v>Belo Horizonte</v>
      </c>
      <c r="G1939" s="4" t="str">
        <f aca="false">IF($A1939="","",TRIM(Base_Bruta!G1939))</f>
        <v>Meia</v>
      </c>
      <c r="H1939" s="4" t="n">
        <f aca="false">IF($A1939="","",IF(ISNUMBER(Base_Bruta!H1939),Base_Bruta!H1939,IFERROR(_xlfn.NUMBERVALUE(TRIM(SUBSTITUTE(Base_Bruta!H1939,"R$","")),",","."),0)))</f>
        <v>4</v>
      </c>
      <c r="I1939" s="6" t="n">
        <f aca="false">IF($A1939="","",IF(ISNUMBER(Base_Bruta!I1939),Base_Bruta!I1939,IFERROR(_xlfn.NUMBERVALUE(TRIM(SUBSTITUTE(Base_Bruta!I1939,"R$","")),",","."),0)))</f>
        <v>22.5</v>
      </c>
      <c r="J1939" s="6" t="n">
        <f aca="false">IF($A1939="","",H1939*I1939)</f>
        <v>90</v>
      </c>
      <c r="K1939" s="4" t="str">
        <f aca="false">IF($A1939="","",TRIM(Base_Bruta!J1939))</f>
        <v>Parceiro</v>
      </c>
      <c r="L1939" s="4" t="str">
        <f aca="false">IF($A1939="","",TRIM(Base_Bruta!K1939))</f>
        <v>C00464</v>
      </c>
      <c r="M1939" s="4" t="str">
        <f aca="false">IF($A1939="","",_xlfn.XLOOKUP(LOWER(TRIM(Base_Bruta!L1939)),DePara_Cidade!$A$2:$A$29,DePara_Cidade!$B$2:$B$29,"REVISAR"))</f>
        <v>Belo Horizonte</v>
      </c>
      <c r="N1939" s="4" t="str">
        <f aca="false">IF($A1939="","",UPPER(TRIM(Base_Bruta!M1939)))</f>
        <v>MG</v>
      </c>
      <c r="O1939" s="4" t="str">
        <f aca="false">IF($A1939="","",_xlfn.XLOOKUP(LOWER(TRIM(Base_Bruta!N1939)),DePara_Pais!$A$2:$A$9,DePara_Pais!$B$2:$B$9,"REVISAR"))</f>
        <v>Brasil</v>
      </c>
      <c r="P1939" s="4" t="str">
        <f aca="false">IF($A1939="","",IF(O1939&lt;&gt;"Brasil","Turista Internacional",IF(M1939=F1939,"Local","Turista Nacional")))</f>
        <v>Local</v>
      </c>
      <c r="Q1939" s="7" t="n">
        <f aca="false">IF($A1939="","",DATE(YEAR(B1939),MONTH(B1939),1))</f>
        <v>45992</v>
      </c>
      <c r="R1939" s="4" t="str">
        <f aca="false">IF($A1939="","",IF(COUNTIF($A$2:$A1939,$A1939)&gt;1,"Sim","Não"))</f>
        <v>Não</v>
      </c>
      <c r="S1939" s="4" t="str">
        <f aca="false">IF(A1939="","Descartar - Linha vazia",IF(R1939="Sim","Descartar - Duplicado",IF(OR(H1939&lt;=0,I1939&lt;=0),"Descartar - Qtd/Valor inválido","OK")))</f>
        <v>OK</v>
      </c>
      <c r="T1939" s="4" t="str">
        <f aca="false">Base_Bruta!P1939</f>
        <v>vendas_MG.csv</v>
      </c>
    </row>
    <row r="1940" customFormat="false" ht="15" hidden="false" customHeight="false" outlineLevel="0" collapsed="false">
      <c r="A1940" s="4" t="str">
        <f aca="false">IF(Base_Bruta!A1940="","",Base_Bruta!A1940)</f>
        <v>MG-000538</v>
      </c>
      <c r="B1940" s="5" t="n">
        <f aca="false">IF($A1940="","",IF(ISNUMBER(Base_Bruta!B1940),Base_Bruta!B1940,IF(MID(Base_Bruta!B1940,5,1)="-",DATE(VALUE(LEFT(Base_Bruta!B1940,4)),VALUE(MID(Base_Bruta!B1940,6,2)),VALUE(RIGHT(Base_Bruta!B1940,2))),DATE(VALUE(RIGHT(Base_Bruta!B1940,4)),VALUE(MID(Base_Bruta!B1940,4,2)),VALUE(LEFT(Base_Bruta!B1940,2))))))</f>
        <v>46011</v>
      </c>
      <c r="C1940" s="5" t="n">
        <f aca="false">IF($A1940="","",IF(ISNUMBER(Base_Bruta!C1940),Base_Bruta!C1940,IF(MID(Base_Bruta!C1940,5,1)="-",DATE(VALUE(LEFT(Base_Bruta!C1940,4)),VALUE(MID(Base_Bruta!C1940,6,2)),VALUE(RIGHT(Base_Bruta!C1940,2))),DATE(VALUE(RIGHT(Base_Bruta!C1940,4)),VALUE(MID(Base_Bruta!C1940,4,2)),VALUE(LEFT(Base_Bruta!C1940,2))))))</f>
        <v>46011</v>
      </c>
      <c r="D1940" s="4" t="str">
        <f aca="false">IF($A1940="","",TRIM(Base_Bruta!D1940))</f>
        <v>Cinema Savassi - Sessões</v>
      </c>
      <c r="E1940" s="4" t="str">
        <f aca="false">IF($A1940="","",_xlfn.XLOOKUP(LOWER(TRIM(Base_Bruta!E1940)),DePara_Categoria!$A$2:$A$9,DePara_Categoria!$B$2:$B$9,"REVISAR"))</f>
        <v>Cinema</v>
      </c>
      <c r="F1940" s="4" t="str">
        <f aca="false">IF($A1940="","",_xlfn.XLOOKUP(LOWER(TRIM(Base_Bruta!F1940)),DePara_Cidade!$A$2:$A$29,DePara_Cidade!$B$2:$B$29,"REVISAR"))</f>
        <v>Belo Horizonte</v>
      </c>
      <c r="G1940" s="4" t="str">
        <f aca="false">IF($A1940="","",TRIM(Base_Bruta!G1940))</f>
        <v>Inteira</v>
      </c>
      <c r="H1940" s="4" t="n">
        <f aca="false">IF($A1940="","",IF(ISNUMBER(Base_Bruta!H1940),Base_Bruta!H1940,IFERROR(_xlfn.NUMBERVALUE(TRIM(SUBSTITUTE(Base_Bruta!H1940,"R$","")),",","."),0)))</f>
        <v>1</v>
      </c>
      <c r="I1940" s="6" t="n">
        <f aca="false">IF($A1940="","",IF(ISNUMBER(Base_Bruta!I1940),Base_Bruta!I1940,IFERROR(_xlfn.NUMBERVALUE(TRIM(SUBSTITUTE(Base_Bruta!I1940,"R$","")),",","."),0)))</f>
        <v>45</v>
      </c>
      <c r="J1940" s="6" t="n">
        <f aca="false">IF($A1940="","",H1940*I1940)</f>
        <v>45</v>
      </c>
      <c r="K1940" s="4" t="str">
        <f aca="false">IF($A1940="","",TRIM(Base_Bruta!J1940))</f>
        <v>Parceiro</v>
      </c>
      <c r="L1940" s="4" t="str">
        <f aca="false">IF($A1940="","",TRIM(Base_Bruta!K1940))</f>
        <v>C01261</v>
      </c>
      <c r="M1940" s="4" t="str">
        <f aca="false">IF($A1940="","",_xlfn.XLOOKUP(LOWER(TRIM(Base_Bruta!L1940)),DePara_Cidade!$A$2:$A$29,DePara_Cidade!$B$2:$B$29,"REVISAR"))</f>
        <v>Belo Horizonte</v>
      </c>
      <c r="N1940" s="4" t="str">
        <f aca="false">IF($A1940="","",UPPER(TRIM(Base_Bruta!M1940)))</f>
        <v>MG</v>
      </c>
      <c r="O1940" s="4" t="str">
        <f aca="false">IF($A1940="","",_xlfn.XLOOKUP(LOWER(TRIM(Base_Bruta!N1940)),DePara_Pais!$A$2:$A$9,DePara_Pais!$B$2:$B$9,"REVISAR"))</f>
        <v>Brasil</v>
      </c>
      <c r="P1940" s="4" t="str">
        <f aca="false">IF($A1940="","",IF(O1940&lt;&gt;"Brasil","Turista Internacional",IF(M1940=F1940,"Local","Turista Nacional")))</f>
        <v>Local</v>
      </c>
      <c r="Q1940" s="7" t="n">
        <f aca="false">IF($A1940="","",DATE(YEAR(B1940),MONTH(B1940),1))</f>
        <v>45992</v>
      </c>
      <c r="R1940" s="4" t="str">
        <f aca="false">IF($A1940="","",IF(COUNTIF($A$2:$A1940,$A1940)&gt;1,"Sim","Não"))</f>
        <v>Não</v>
      </c>
      <c r="S1940" s="4" t="str">
        <f aca="false">IF(A1940="","Descartar - Linha vazia",IF(R1940="Sim","Descartar - Duplicado",IF(OR(H1940&lt;=0,I1940&lt;=0),"Descartar - Qtd/Valor inválido","OK")))</f>
        <v>OK</v>
      </c>
      <c r="T1940" s="4" t="str">
        <f aca="false">Base_Bruta!P1940</f>
        <v>vendas_MG.csv</v>
      </c>
    </row>
    <row r="1941" customFormat="false" ht="15" hidden="false" customHeight="false" outlineLevel="0" collapsed="false">
      <c r="A1941" s="4" t="str">
        <f aca="false">IF(Base_Bruta!A1941="","",Base_Bruta!A1941)</f>
        <v>MG-000231</v>
      </c>
      <c r="B1941" s="5" t="n">
        <f aca="false">IF($A1941="","",IF(ISNUMBER(Base_Bruta!B1941),Base_Bruta!B1941,IF(MID(Base_Bruta!B1941,5,1)="-",DATE(VALUE(LEFT(Base_Bruta!B1941,4)),VALUE(MID(Base_Bruta!B1941,6,2)),VALUE(RIGHT(Base_Bruta!B1941,2))),DATE(VALUE(RIGHT(Base_Bruta!B1941,4)),VALUE(MID(Base_Bruta!B1941,4,2)),VALUE(LEFT(Base_Bruta!B1941,2))))))</f>
        <v>46012</v>
      </c>
      <c r="C1941" s="5" t="n">
        <f aca="false">IF($A1941="","",IF(ISNUMBER(Base_Bruta!C1941),Base_Bruta!C1941,IF(MID(Base_Bruta!C1941,5,1)="-",DATE(VALUE(LEFT(Base_Bruta!C1941,4)),VALUE(MID(Base_Bruta!C1941,6,2)),VALUE(RIGHT(Base_Bruta!C1941,2))),DATE(VALUE(RIGHT(Base_Bruta!C1941,4)),VALUE(MID(Base_Bruta!C1941,4,2)),VALUE(LEFT(Base_Bruta!C1941,2))))))</f>
        <v>46081</v>
      </c>
      <c r="D1941" s="4" t="str">
        <f aca="false">IF($A1941="","",TRIM(Base_Bruta!D1941))</f>
        <v>Show Sertanejo - BH</v>
      </c>
      <c r="E1941" s="4" t="str">
        <f aca="false">IF($A1941="","",_xlfn.XLOOKUP(LOWER(TRIM(Base_Bruta!E1941)),DePara_Categoria!$A$2:$A$9,DePara_Categoria!$B$2:$B$9,"REVISAR"))</f>
        <v>Show</v>
      </c>
      <c r="F1941" s="4" t="str">
        <f aca="false">IF($A1941="","",_xlfn.XLOOKUP(LOWER(TRIM(Base_Bruta!F1941)),DePara_Cidade!$A$2:$A$29,DePara_Cidade!$B$2:$B$29,"REVISAR"))</f>
        <v>Belo Horizonte</v>
      </c>
      <c r="G1941" s="4" t="str">
        <f aca="false">IF($A1941="","",TRIM(Base_Bruta!G1941))</f>
        <v>Meia</v>
      </c>
      <c r="H1941" s="4" t="n">
        <f aca="false">IF($A1941="","",IF(ISNUMBER(Base_Bruta!H1941),Base_Bruta!H1941,IFERROR(_xlfn.NUMBERVALUE(TRIM(SUBSTITUTE(Base_Bruta!H1941,"R$","")),",","."),0)))</f>
        <v>1</v>
      </c>
      <c r="I1941" s="6" t="n">
        <f aca="false">IF($A1941="","",IF(ISNUMBER(Base_Bruta!I1941),Base_Bruta!I1941,IFERROR(_xlfn.NUMBERVALUE(TRIM(SUBSTITUTE(Base_Bruta!I1941,"R$","")),",","."),0)))</f>
        <v>267.5</v>
      </c>
      <c r="J1941" s="6" t="n">
        <f aca="false">IF($A1941="","",H1941*I1941)</f>
        <v>267.5</v>
      </c>
      <c r="K1941" s="4" t="str">
        <f aca="false">IF($A1941="","",TRIM(Base_Bruta!J1941))</f>
        <v>Site</v>
      </c>
      <c r="L1941" s="4" t="str">
        <f aca="false">IF($A1941="","",TRIM(Base_Bruta!K1941))</f>
        <v>C01058</v>
      </c>
      <c r="M1941" s="4" t="str">
        <f aca="false">IF($A1941="","",_xlfn.XLOOKUP(LOWER(TRIM(Base_Bruta!L1941)),DePara_Cidade!$A$2:$A$29,DePara_Cidade!$B$2:$B$29,"REVISAR"))</f>
        <v>Miami</v>
      </c>
      <c r="N1941" s="4" t="str">
        <f aca="false">IF($A1941="","",UPPER(TRIM(Base_Bruta!M1941)))</f>
        <v>EX</v>
      </c>
      <c r="O1941" s="4" t="str">
        <f aca="false">IF($A1941="","",_xlfn.XLOOKUP(LOWER(TRIM(Base_Bruta!N1941)),DePara_Pais!$A$2:$A$9,DePara_Pais!$B$2:$B$9,"REVISAR"))</f>
        <v>EUA</v>
      </c>
      <c r="P1941" s="4" t="str">
        <f aca="false">IF($A1941="","",IF(O1941&lt;&gt;"Brasil","Turista Internacional",IF(M1941=F1941,"Local","Turista Nacional")))</f>
        <v>Turista Internacional</v>
      </c>
      <c r="Q1941" s="7" t="n">
        <f aca="false">IF($A1941="","",DATE(YEAR(B1941),MONTH(B1941),1))</f>
        <v>45992</v>
      </c>
      <c r="R1941" s="4" t="str">
        <f aca="false">IF($A1941="","",IF(COUNTIF($A$2:$A1941,$A1941)&gt;1,"Sim","Não"))</f>
        <v>Não</v>
      </c>
      <c r="S1941" s="4" t="str">
        <f aca="false">IF(A1941="","Descartar - Linha vazia",IF(R1941="Sim","Descartar - Duplicado",IF(OR(H1941&lt;=0,I1941&lt;=0),"Descartar - Qtd/Valor inválido","OK")))</f>
        <v>OK</v>
      </c>
      <c r="T1941" s="4" t="str">
        <f aca="false">Base_Bruta!P1941</f>
        <v>vendas_MG.csv</v>
      </c>
    </row>
    <row r="1942" customFormat="false" ht="15" hidden="false" customHeight="false" outlineLevel="0" collapsed="false">
      <c r="A1942" s="4" t="str">
        <f aca="false">IF(Base_Bruta!A1942="","",Base_Bruta!A1942)</f>
        <v>MG-000326</v>
      </c>
      <c r="B1942" s="5" t="n">
        <f aca="false">IF($A1942="","",IF(ISNUMBER(Base_Bruta!B1942),Base_Bruta!B1942,IF(MID(Base_Bruta!B1942,5,1)="-",DATE(VALUE(LEFT(Base_Bruta!B1942,4)),VALUE(MID(Base_Bruta!B1942,6,2)),VALUE(RIGHT(Base_Bruta!B1942,2))),DATE(VALUE(RIGHT(Base_Bruta!B1942,4)),VALUE(MID(Base_Bruta!B1942,4,2)),VALUE(LEFT(Base_Bruta!B1942,2))))))</f>
        <v>46001</v>
      </c>
      <c r="C1942" s="5" t="n">
        <f aca="false">IF($A1942="","",IF(ISNUMBER(Base_Bruta!C1942),Base_Bruta!C1942,IF(MID(Base_Bruta!C1942,5,1)="-",DATE(VALUE(LEFT(Base_Bruta!C1942,4)),VALUE(MID(Base_Bruta!C1942,6,2)),VALUE(RIGHT(Base_Bruta!C1942,2))),DATE(VALUE(RIGHT(Base_Bruta!C1942,4)),VALUE(MID(Base_Bruta!C1942,4,2)),VALUE(LEFT(Base_Bruta!C1942,2))))))</f>
        <v>46081</v>
      </c>
      <c r="D1942" s="4" t="str">
        <f aca="false">IF($A1942="","",TRIM(Base_Bruta!D1942))</f>
        <v>Show Sertanejo - BH</v>
      </c>
      <c r="E1942" s="4" t="str">
        <f aca="false">IF($A1942="","",_xlfn.XLOOKUP(LOWER(TRIM(Base_Bruta!E1942)),DePara_Categoria!$A$2:$A$9,DePara_Categoria!$B$2:$B$9,"REVISAR"))</f>
        <v>Show</v>
      </c>
      <c r="F1942" s="4" t="str">
        <f aca="false">IF($A1942="","",_xlfn.XLOOKUP(LOWER(TRIM(Base_Bruta!F1942)),DePara_Cidade!$A$2:$A$29,DePara_Cidade!$B$2:$B$29,"REVISAR"))</f>
        <v>Belo Horizonte</v>
      </c>
      <c r="G1942" s="4" t="str">
        <f aca="false">IF($A1942="","",TRIM(Base_Bruta!G1942))</f>
        <v>VIP</v>
      </c>
      <c r="H1942" s="4" t="n">
        <f aca="false">IF($A1942="","",IF(ISNUMBER(Base_Bruta!H1942),Base_Bruta!H1942,IFERROR(_xlfn.NUMBERVALUE(TRIM(SUBSTITUTE(Base_Bruta!H1942,"R$","")),",","."),0)))</f>
        <v>1</v>
      </c>
      <c r="I1942" s="6" t="n">
        <f aca="false">IF($A1942="","",IF(ISNUMBER(Base_Bruta!I1942),Base_Bruta!I1942,IFERROR(_xlfn.NUMBERVALUE(TRIM(SUBSTITUTE(Base_Bruta!I1942,"R$","")),",","."),0)))</f>
        <v>1240</v>
      </c>
      <c r="J1942" s="6" t="n">
        <f aca="false">IF($A1942="","",H1942*I1942)</f>
        <v>1240</v>
      </c>
      <c r="K1942" s="4" t="str">
        <f aca="false">IF($A1942="","",TRIM(Base_Bruta!J1942))</f>
        <v>App</v>
      </c>
      <c r="L1942" s="4" t="str">
        <f aca="false">IF($A1942="","",TRIM(Base_Bruta!K1942))</f>
        <v>C01711</v>
      </c>
      <c r="M1942" s="4" t="str">
        <f aca="false">IF($A1942="","",_xlfn.XLOOKUP(LOWER(TRIM(Base_Bruta!L1942)),DePara_Cidade!$A$2:$A$29,DePara_Cidade!$B$2:$B$29,"REVISAR"))</f>
        <v>Goiânia</v>
      </c>
      <c r="N1942" s="4" t="str">
        <f aca="false">IF($A1942="","",UPPER(TRIM(Base_Bruta!M1942)))</f>
        <v>GO</v>
      </c>
      <c r="O1942" s="4" t="str">
        <f aca="false">IF($A1942="","",_xlfn.XLOOKUP(LOWER(TRIM(Base_Bruta!N1942)),DePara_Pais!$A$2:$A$9,DePara_Pais!$B$2:$B$9,"REVISAR"))</f>
        <v>Brasil</v>
      </c>
      <c r="P1942" s="4" t="str">
        <f aca="false">IF($A1942="","",IF(O1942&lt;&gt;"Brasil","Turista Internacional",IF(M1942=F1942,"Local","Turista Nacional")))</f>
        <v>Turista Nacional</v>
      </c>
      <c r="Q1942" s="7" t="n">
        <f aca="false">IF($A1942="","",DATE(YEAR(B1942),MONTH(B1942),1))</f>
        <v>45992</v>
      </c>
      <c r="R1942" s="4" t="str">
        <f aca="false">IF($A1942="","",IF(COUNTIF($A$2:$A1942,$A1942)&gt;1,"Sim","Não"))</f>
        <v>Sim</v>
      </c>
      <c r="S1942" s="4" t="str">
        <f aca="false">IF(A1942="","Descartar - Linha vazia",IF(R1942="Sim","Descartar - Duplicado",IF(OR(H1942&lt;=0,I1942&lt;=0),"Descartar - Qtd/Valor inválido","OK")))</f>
        <v>Descartar - Duplicado</v>
      </c>
      <c r="T1942" s="4" t="str">
        <f aca="false">Base_Bruta!P1942</f>
        <v>vendas_MG.csv</v>
      </c>
    </row>
    <row r="1943" customFormat="false" ht="15" hidden="false" customHeight="false" outlineLevel="0" collapsed="false">
      <c r="A1943" s="4" t="str">
        <f aca="false">IF(Base_Bruta!A1943="","",Base_Bruta!A1943)</f>
        <v>MG-000374</v>
      </c>
      <c r="B1943" s="5" t="n">
        <f aca="false">IF($A1943="","",IF(ISNUMBER(Base_Bruta!B1943),Base_Bruta!B1943,IF(MID(Base_Bruta!B1943,5,1)="-",DATE(VALUE(LEFT(Base_Bruta!B1943,4)),VALUE(MID(Base_Bruta!B1943,6,2)),VALUE(RIGHT(Base_Bruta!B1943,2))),DATE(VALUE(RIGHT(Base_Bruta!B1943,4)),VALUE(MID(Base_Bruta!B1943,4,2)),VALUE(LEFT(Base_Bruta!B1943,2))))))</f>
        <v>46015</v>
      </c>
      <c r="C1943" s="5" t="n">
        <f aca="false">IF($A1943="","",IF(ISNUMBER(Base_Bruta!C1943),Base_Bruta!C1943,IF(MID(Base_Bruta!C1943,5,1)="-",DATE(VALUE(LEFT(Base_Bruta!C1943,4)),VALUE(MID(Base_Bruta!C1943,6,2)),VALUE(RIGHT(Base_Bruta!C1943,2))),DATE(VALUE(RIGHT(Base_Bruta!C1943,4)),VALUE(MID(Base_Bruta!C1943,4,2)),VALUE(LEFT(Base_Bruta!C1943,2))))))</f>
        <v>46081</v>
      </c>
      <c r="D1943" s="4" t="str">
        <f aca="false">IF($A1943="","",TRIM(Base_Bruta!D1943))</f>
        <v>Show Sertanejo - BH</v>
      </c>
      <c r="E1943" s="4" t="str">
        <f aca="false">IF($A1943="","",_xlfn.XLOOKUP(LOWER(TRIM(Base_Bruta!E1943)),DePara_Categoria!$A$2:$A$9,DePara_Categoria!$B$2:$B$9,"REVISAR"))</f>
        <v>Show</v>
      </c>
      <c r="F1943" s="4" t="str">
        <f aca="false">IF($A1943="","",_xlfn.XLOOKUP(LOWER(TRIM(Base_Bruta!F1943)),DePara_Cidade!$A$2:$A$29,DePara_Cidade!$B$2:$B$29,"REVISAR"))</f>
        <v>Belo Horizonte</v>
      </c>
      <c r="G1943" s="4" t="str">
        <f aca="false">IF($A1943="","",TRIM(Base_Bruta!G1943))</f>
        <v>Inteira</v>
      </c>
      <c r="H1943" s="4" t="n">
        <f aca="false">IF($A1943="","",IF(ISNUMBER(Base_Bruta!H1943),Base_Bruta!H1943,IFERROR(_xlfn.NUMBERVALUE(TRIM(SUBSTITUTE(Base_Bruta!H1943,"R$","")),",","."),0)))</f>
        <v>1</v>
      </c>
      <c r="I1943" s="6" t="n">
        <f aca="false">IF($A1943="","",IF(ISNUMBER(Base_Bruta!I1943),Base_Bruta!I1943,IFERROR(_xlfn.NUMBERVALUE(TRIM(SUBSTITUTE(Base_Bruta!I1943,"R$","")),",","."),0)))</f>
        <v>485</v>
      </c>
      <c r="J1943" s="6" t="n">
        <f aca="false">IF($A1943="","",H1943*I1943)</f>
        <v>485</v>
      </c>
      <c r="K1943" s="4" t="str">
        <f aca="false">IF($A1943="","",TRIM(Base_Bruta!J1943))</f>
        <v>App</v>
      </c>
      <c r="L1943" s="4" t="str">
        <f aca="false">IF($A1943="","",TRIM(Base_Bruta!K1943))</f>
        <v>C00945</v>
      </c>
      <c r="M1943" s="4" t="str">
        <f aca="false">IF($A1943="","",_xlfn.XLOOKUP(LOWER(TRIM(Base_Bruta!L1943)),DePara_Cidade!$A$2:$A$29,DePara_Cidade!$B$2:$B$29,"REVISAR"))</f>
        <v>Belo Horizonte</v>
      </c>
      <c r="N1943" s="4" t="str">
        <f aca="false">IF($A1943="","",UPPER(TRIM(Base_Bruta!M1943)))</f>
        <v>MG</v>
      </c>
      <c r="O1943" s="4" t="str">
        <f aca="false">IF($A1943="","",_xlfn.XLOOKUP(LOWER(TRIM(Base_Bruta!N1943)),DePara_Pais!$A$2:$A$9,DePara_Pais!$B$2:$B$9,"REVISAR"))</f>
        <v>Brasil</v>
      </c>
      <c r="P1943" s="4" t="str">
        <f aca="false">IF($A1943="","",IF(O1943&lt;&gt;"Brasil","Turista Internacional",IF(M1943=F1943,"Local","Turista Nacional")))</f>
        <v>Local</v>
      </c>
      <c r="Q1943" s="7" t="n">
        <f aca="false">IF($A1943="","",DATE(YEAR(B1943),MONTH(B1943),1))</f>
        <v>45992</v>
      </c>
      <c r="R1943" s="4" t="str">
        <f aca="false">IF($A1943="","",IF(COUNTIF($A$2:$A1943,$A1943)&gt;1,"Sim","Não"))</f>
        <v>Não</v>
      </c>
      <c r="S1943" s="4" t="str">
        <f aca="false">IF(A1943="","Descartar - Linha vazia",IF(R1943="Sim","Descartar - Duplicado",IF(OR(H1943&lt;=0,I1943&lt;=0),"Descartar - Qtd/Valor inválido","OK")))</f>
        <v>OK</v>
      </c>
      <c r="T1943" s="4" t="str">
        <f aca="false">Base_Bruta!P1943</f>
        <v>vendas_MG.csv</v>
      </c>
    </row>
    <row r="1944" customFormat="false" ht="15" hidden="false" customHeight="false" outlineLevel="0" collapsed="false">
      <c r="A1944" s="4" t="str">
        <f aca="false">IF(Base_Bruta!A1944="","",Base_Bruta!A1944)</f>
        <v>MG-000522</v>
      </c>
      <c r="B1944" s="5" t="n">
        <f aca="false">IF($A1944="","",IF(ISNUMBER(Base_Bruta!B1944),Base_Bruta!B1944,IF(MID(Base_Bruta!B1944,5,1)="-",DATE(VALUE(LEFT(Base_Bruta!B1944,4)),VALUE(MID(Base_Bruta!B1944,6,2)),VALUE(RIGHT(Base_Bruta!B1944,2))),DATE(VALUE(RIGHT(Base_Bruta!B1944,4)),VALUE(MID(Base_Bruta!B1944,4,2)),VALUE(LEFT(Base_Bruta!B1944,2))))))</f>
        <v>46016</v>
      </c>
      <c r="C1944" s="5" t="n">
        <f aca="false">IF($A1944="","",IF(ISNUMBER(Base_Bruta!C1944),Base_Bruta!C1944,IF(MID(Base_Bruta!C1944,5,1)="-",DATE(VALUE(LEFT(Base_Bruta!C1944,4)),VALUE(MID(Base_Bruta!C1944,6,2)),VALUE(RIGHT(Base_Bruta!C1944,2))),DATE(VALUE(RIGHT(Base_Bruta!C1944,4)),VALUE(MID(Base_Bruta!C1944,4,2)),VALUE(LEFT(Base_Bruta!C1944,2))))))</f>
        <v>46016</v>
      </c>
      <c r="D1944" s="4" t="str">
        <f aca="false">IF($A1944="","",TRIM(Base_Bruta!D1944))</f>
        <v>Cinema Savassi - Sessões</v>
      </c>
      <c r="E1944" s="4" t="str">
        <f aca="false">IF($A1944="","",_xlfn.XLOOKUP(LOWER(TRIM(Base_Bruta!E1944)),DePara_Categoria!$A$2:$A$9,DePara_Categoria!$B$2:$B$9,"REVISAR"))</f>
        <v>Cinema</v>
      </c>
      <c r="F1944" s="4" t="str">
        <f aca="false">IF($A1944="","",_xlfn.XLOOKUP(LOWER(TRIM(Base_Bruta!F1944)),DePara_Cidade!$A$2:$A$29,DePara_Cidade!$B$2:$B$29,"REVISAR"))</f>
        <v>Belo Horizonte</v>
      </c>
      <c r="G1944" s="4" t="str">
        <f aca="false">IF($A1944="","",TRIM(Base_Bruta!G1944))</f>
        <v>Inteira</v>
      </c>
      <c r="H1944" s="4" t="n">
        <f aca="false">IF($A1944="","",IF(ISNUMBER(Base_Bruta!H1944),Base_Bruta!H1944,IFERROR(_xlfn.NUMBERVALUE(TRIM(SUBSTITUTE(Base_Bruta!H1944,"R$","")),",","."),0)))</f>
        <v>2</v>
      </c>
      <c r="I1944" s="6" t="n">
        <f aca="false">IF($A1944="","",IF(ISNUMBER(Base_Bruta!I1944),Base_Bruta!I1944,IFERROR(_xlfn.NUMBERVALUE(TRIM(SUBSTITUTE(Base_Bruta!I1944,"R$","")),",","."),0)))</f>
        <v>45</v>
      </c>
      <c r="J1944" s="6" t="n">
        <f aca="false">IF($A1944="","",H1944*I1944)</f>
        <v>90</v>
      </c>
      <c r="K1944" s="4" t="str">
        <f aca="false">IF($A1944="","",TRIM(Base_Bruta!J1944))</f>
        <v>App</v>
      </c>
      <c r="L1944" s="4" t="str">
        <f aca="false">IF($A1944="","",TRIM(Base_Bruta!K1944))</f>
        <v>C00819</v>
      </c>
      <c r="M1944" s="4" t="str">
        <f aca="false">IF($A1944="","",_xlfn.XLOOKUP(LOWER(TRIM(Base_Bruta!L1944)),DePara_Cidade!$A$2:$A$29,DePara_Cidade!$B$2:$B$29,"REVISAR"))</f>
        <v>Belo Horizonte</v>
      </c>
      <c r="N1944" s="4" t="str">
        <f aca="false">IF($A1944="","",UPPER(TRIM(Base_Bruta!M1944)))</f>
        <v>MG</v>
      </c>
      <c r="O1944" s="4" t="str">
        <f aca="false">IF($A1944="","",_xlfn.XLOOKUP(LOWER(TRIM(Base_Bruta!N1944)),DePara_Pais!$A$2:$A$9,DePara_Pais!$B$2:$B$9,"REVISAR"))</f>
        <v>Brasil</v>
      </c>
      <c r="P1944" s="4" t="str">
        <f aca="false">IF($A1944="","",IF(O1944&lt;&gt;"Brasil","Turista Internacional",IF(M1944=F1944,"Local","Turista Nacional")))</f>
        <v>Local</v>
      </c>
      <c r="Q1944" s="7" t="n">
        <f aca="false">IF($A1944="","",DATE(YEAR(B1944),MONTH(B1944),1))</f>
        <v>45992</v>
      </c>
      <c r="R1944" s="4" t="str">
        <f aca="false">IF($A1944="","",IF(COUNTIF($A$2:$A1944,$A1944)&gt;1,"Sim","Não"))</f>
        <v>Não</v>
      </c>
      <c r="S1944" s="4" t="str">
        <f aca="false">IF(A1944="","Descartar - Linha vazia",IF(R1944="Sim","Descartar - Duplicado",IF(OR(H1944&lt;=0,I1944&lt;=0),"Descartar - Qtd/Valor inválido","OK")))</f>
        <v>OK</v>
      </c>
      <c r="T1944" s="4" t="str">
        <f aca="false">Base_Bruta!P1944</f>
        <v>vendas_MG.csv</v>
      </c>
    </row>
    <row r="1945" customFormat="false" ht="15" hidden="false" customHeight="false" outlineLevel="0" collapsed="false">
      <c r="A1945" s="4" t="str">
        <f aca="false">IF(Base_Bruta!A1945="","",Base_Bruta!A1945)</f>
        <v>MG-000308</v>
      </c>
      <c r="B1945" s="5" t="n">
        <f aca="false">IF($A1945="","",IF(ISNUMBER(Base_Bruta!B1945),Base_Bruta!B1945,IF(MID(Base_Bruta!B1945,5,1)="-",DATE(VALUE(LEFT(Base_Bruta!B1945,4)),VALUE(MID(Base_Bruta!B1945,6,2)),VALUE(RIGHT(Base_Bruta!B1945,2))),DATE(VALUE(RIGHT(Base_Bruta!B1945,4)),VALUE(MID(Base_Bruta!B1945,4,2)),VALUE(LEFT(Base_Bruta!B1945,2))))))</f>
        <v>46017</v>
      </c>
      <c r="C1945" s="5" t="n">
        <f aca="false">IF($A1945="","",IF(ISNUMBER(Base_Bruta!C1945),Base_Bruta!C1945,IF(MID(Base_Bruta!C1945,5,1)="-",DATE(VALUE(LEFT(Base_Bruta!C1945,4)),VALUE(MID(Base_Bruta!C1945,6,2)),VALUE(RIGHT(Base_Bruta!C1945,2))),DATE(VALUE(RIGHT(Base_Bruta!C1945,4)),VALUE(MID(Base_Bruta!C1945,4,2)),VALUE(LEFT(Base_Bruta!C1945,2))))))</f>
        <v>46081</v>
      </c>
      <c r="D1945" s="4" t="str">
        <f aca="false">IF($A1945="","",TRIM(Base_Bruta!D1945))</f>
        <v>Show Sertanejo - BH</v>
      </c>
      <c r="E1945" s="4" t="str">
        <f aca="false">IF($A1945="","",_xlfn.XLOOKUP(LOWER(TRIM(Base_Bruta!E1945)),DePara_Categoria!$A$2:$A$9,DePara_Categoria!$B$2:$B$9,"REVISAR"))</f>
        <v>Show</v>
      </c>
      <c r="F1945" s="4" t="str">
        <f aca="false">IF($A1945="","",_xlfn.XLOOKUP(LOWER(TRIM(Base_Bruta!F1945)),DePara_Cidade!$A$2:$A$29,DePara_Cidade!$B$2:$B$29,"REVISAR"))</f>
        <v>Belo Horizonte</v>
      </c>
      <c r="G1945" s="4" t="str">
        <f aca="false">IF($A1945="","",TRIM(Base_Bruta!G1945))</f>
        <v>Inteira</v>
      </c>
      <c r="H1945" s="4" t="n">
        <f aca="false">IF($A1945="","",IF(ISNUMBER(Base_Bruta!H1945),Base_Bruta!H1945,IFERROR(_xlfn.NUMBERVALUE(TRIM(SUBSTITUTE(Base_Bruta!H1945,"R$","")),",","."),0)))</f>
        <v>1</v>
      </c>
      <c r="I1945" s="6" t="n">
        <f aca="false">IF($A1945="","",IF(ISNUMBER(Base_Bruta!I1945),Base_Bruta!I1945,IFERROR(_xlfn.NUMBERVALUE(TRIM(SUBSTITUTE(Base_Bruta!I1945,"R$","")),",","."),0)))</f>
        <v>395</v>
      </c>
      <c r="J1945" s="6" t="n">
        <f aca="false">IF($A1945="","",H1945*I1945)</f>
        <v>395</v>
      </c>
      <c r="K1945" s="4" t="str">
        <f aca="false">IF($A1945="","",TRIM(Base_Bruta!J1945))</f>
        <v>App</v>
      </c>
      <c r="L1945" s="4" t="str">
        <f aca="false">IF($A1945="","",TRIM(Base_Bruta!K1945))</f>
        <v>C00951</v>
      </c>
      <c r="M1945" s="4" t="str">
        <f aca="false">IF($A1945="","",_xlfn.XLOOKUP(LOWER(TRIM(Base_Bruta!L1945)),DePara_Cidade!$A$2:$A$29,DePara_Cidade!$B$2:$B$29,"REVISAR"))</f>
        <v>Niterói</v>
      </c>
      <c r="N1945" s="4" t="str">
        <f aca="false">IF($A1945="","",UPPER(TRIM(Base_Bruta!M1945)))</f>
        <v>RJ</v>
      </c>
      <c r="O1945" s="4" t="str">
        <f aca="false">IF($A1945="","",_xlfn.XLOOKUP(LOWER(TRIM(Base_Bruta!N1945)),DePara_Pais!$A$2:$A$9,DePara_Pais!$B$2:$B$9,"REVISAR"))</f>
        <v>Brasil</v>
      </c>
      <c r="P1945" s="4" t="str">
        <f aca="false">IF($A1945="","",IF(O1945&lt;&gt;"Brasil","Turista Internacional",IF(M1945=F1945,"Local","Turista Nacional")))</f>
        <v>Turista Nacional</v>
      </c>
      <c r="Q1945" s="7" t="n">
        <f aca="false">IF($A1945="","",DATE(YEAR(B1945),MONTH(B1945),1))</f>
        <v>45992</v>
      </c>
      <c r="R1945" s="4" t="str">
        <f aca="false">IF($A1945="","",IF(COUNTIF($A$2:$A1945,$A1945)&gt;1,"Sim","Não"))</f>
        <v>Não</v>
      </c>
      <c r="S1945" s="4" t="str">
        <f aca="false">IF(A1945="","Descartar - Linha vazia",IF(R1945="Sim","Descartar - Duplicado",IF(OR(H1945&lt;=0,I1945&lt;=0),"Descartar - Qtd/Valor inválido","OK")))</f>
        <v>OK</v>
      </c>
      <c r="T1945" s="4" t="str">
        <f aca="false">Base_Bruta!P1945</f>
        <v>vendas_MG.csv</v>
      </c>
    </row>
    <row r="1946" customFormat="false" ht="15" hidden="false" customHeight="false" outlineLevel="0" collapsed="false">
      <c r="A1946" s="4" t="str">
        <f aca="false">IF(Base_Bruta!A1946="","",Base_Bruta!A1946)</f>
        <v>MG-000519</v>
      </c>
      <c r="B1946" s="5" t="n">
        <f aca="false">IF($A1946="","",IF(ISNUMBER(Base_Bruta!B1946),Base_Bruta!B1946,IF(MID(Base_Bruta!B1946,5,1)="-",DATE(VALUE(LEFT(Base_Bruta!B1946,4)),VALUE(MID(Base_Bruta!B1946,6,2)),VALUE(RIGHT(Base_Bruta!B1946,2))),DATE(VALUE(RIGHT(Base_Bruta!B1946,4)),VALUE(MID(Base_Bruta!B1946,4,2)),VALUE(LEFT(Base_Bruta!B1946,2))))))</f>
        <v>46017</v>
      </c>
      <c r="C1946" s="5" t="n">
        <f aca="false">IF($A1946="","",IF(ISNUMBER(Base_Bruta!C1946),Base_Bruta!C1946,IF(MID(Base_Bruta!C1946,5,1)="-",DATE(VALUE(LEFT(Base_Bruta!C1946,4)),VALUE(MID(Base_Bruta!C1946,6,2)),VALUE(RIGHT(Base_Bruta!C1946,2))),DATE(VALUE(RIGHT(Base_Bruta!C1946,4)),VALUE(MID(Base_Bruta!C1946,4,2)),VALUE(LEFT(Base_Bruta!C1946,2))))))</f>
        <v>46019</v>
      </c>
      <c r="D1946" s="4" t="str">
        <f aca="false">IF($A1946="","",TRIM(Base_Bruta!D1946))</f>
        <v>Cinema Savassi - Sessões</v>
      </c>
      <c r="E1946" s="4" t="str">
        <f aca="false">IF($A1946="","",_xlfn.XLOOKUP(LOWER(TRIM(Base_Bruta!E1946)),DePara_Categoria!$A$2:$A$9,DePara_Categoria!$B$2:$B$9,"REVISAR"))</f>
        <v>Cinema</v>
      </c>
      <c r="F1946" s="4" t="str">
        <f aca="false">IF($A1946="","",_xlfn.XLOOKUP(LOWER(TRIM(Base_Bruta!F1946)),DePara_Cidade!$A$2:$A$29,DePara_Cidade!$B$2:$B$29,"REVISAR"))</f>
        <v>Belo Horizonte</v>
      </c>
      <c r="G1946" s="4" t="str">
        <f aca="false">IF($A1946="","",TRIM(Base_Bruta!G1946))</f>
        <v>Inteira</v>
      </c>
      <c r="H1946" s="4" t="n">
        <f aca="false">IF($A1946="","",IF(ISNUMBER(Base_Bruta!H1946),Base_Bruta!H1946,IFERROR(_xlfn.NUMBERVALUE(TRIM(SUBSTITUTE(Base_Bruta!H1946,"R$","")),",","."),0)))</f>
        <v>1</v>
      </c>
      <c r="I1946" s="6" t="n">
        <f aca="false">IF($A1946="","",IF(ISNUMBER(Base_Bruta!I1946),Base_Bruta!I1946,IFERROR(_xlfn.NUMBERVALUE(TRIM(SUBSTITUTE(Base_Bruta!I1946,"R$","")),",","."),0)))</f>
        <v>35</v>
      </c>
      <c r="J1946" s="6" t="n">
        <f aca="false">IF($A1946="","",H1946*I1946)</f>
        <v>35</v>
      </c>
      <c r="K1946" s="4" t="str">
        <f aca="false">IF($A1946="","",TRIM(Base_Bruta!J1946))</f>
        <v>Site</v>
      </c>
      <c r="L1946" s="4" t="str">
        <f aca="false">IF($A1946="","",TRIM(Base_Bruta!K1946))</f>
        <v>C00718</v>
      </c>
      <c r="M1946" s="4" t="str">
        <f aca="false">IF($A1946="","",_xlfn.XLOOKUP(LOWER(TRIM(Base_Bruta!L1946)),DePara_Cidade!$A$2:$A$29,DePara_Cidade!$B$2:$B$29,"REVISAR"))</f>
        <v>Belo Horizonte</v>
      </c>
      <c r="N1946" s="4" t="str">
        <f aca="false">IF($A1946="","",UPPER(TRIM(Base_Bruta!M1946)))</f>
        <v>MG</v>
      </c>
      <c r="O1946" s="4" t="str">
        <f aca="false">IF($A1946="","",_xlfn.XLOOKUP(LOWER(TRIM(Base_Bruta!N1946)),DePara_Pais!$A$2:$A$9,DePara_Pais!$B$2:$B$9,"REVISAR"))</f>
        <v>Brasil</v>
      </c>
      <c r="P1946" s="4" t="str">
        <f aca="false">IF($A1946="","",IF(O1946&lt;&gt;"Brasil","Turista Internacional",IF(M1946=F1946,"Local","Turista Nacional")))</f>
        <v>Local</v>
      </c>
      <c r="Q1946" s="7" t="n">
        <f aca="false">IF($A1946="","",DATE(YEAR(B1946),MONTH(B1946),1))</f>
        <v>45992</v>
      </c>
      <c r="R1946" s="4" t="str">
        <f aca="false">IF($A1946="","",IF(COUNTIF($A$2:$A1946,$A1946)&gt;1,"Sim","Não"))</f>
        <v>Não</v>
      </c>
      <c r="S1946" s="4" t="str">
        <f aca="false">IF(A1946="","Descartar - Linha vazia",IF(R1946="Sim","Descartar - Duplicado",IF(OR(H1946&lt;=0,I1946&lt;=0),"Descartar - Qtd/Valor inválido","OK")))</f>
        <v>OK</v>
      </c>
      <c r="T1946" s="4" t="str">
        <f aca="false">Base_Bruta!P1946</f>
        <v>vendas_MG.csv</v>
      </c>
    </row>
    <row r="1947" customFormat="false" ht="15" hidden="false" customHeight="false" outlineLevel="0" collapsed="false">
      <c r="A1947" s="4" t="str">
        <f aca="false">IF(Base_Bruta!A1947="","",Base_Bruta!A1947)</f>
        <v>MG-000339</v>
      </c>
      <c r="B1947" s="5" t="n">
        <f aca="false">IF($A1947="","",IF(ISNUMBER(Base_Bruta!B1947),Base_Bruta!B1947,IF(MID(Base_Bruta!B1947,5,1)="-",DATE(VALUE(LEFT(Base_Bruta!B1947,4)),VALUE(MID(Base_Bruta!B1947,6,2)),VALUE(RIGHT(Base_Bruta!B1947,2))),DATE(VALUE(RIGHT(Base_Bruta!B1947,4)),VALUE(MID(Base_Bruta!B1947,4,2)),VALUE(LEFT(Base_Bruta!B1947,2))))))</f>
        <v>46018</v>
      </c>
      <c r="C1947" s="5" t="n">
        <f aca="false">IF($A1947="","",IF(ISNUMBER(Base_Bruta!C1947),Base_Bruta!C1947,IF(MID(Base_Bruta!C1947,5,1)="-",DATE(VALUE(LEFT(Base_Bruta!C1947,4)),VALUE(MID(Base_Bruta!C1947,6,2)),VALUE(RIGHT(Base_Bruta!C1947,2))),DATE(VALUE(RIGHT(Base_Bruta!C1947,4)),VALUE(MID(Base_Bruta!C1947,4,2)),VALUE(LEFT(Base_Bruta!C1947,2))))))</f>
        <v>46081</v>
      </c>
      <c r="D1947" s="4" t="str">
        <f aca="false">IF($A1947="","",TRIM(Base_Bruta!D1947))</f>
        <v>Show Sertanejo - BH</v>
      </c>
      <c r="E1947" s="4" t="str">
        <f aca="false">IF($A1947="","",_xlfn.XLOOKUP(LOWER(TRIM(Base_Bruta!E1947)),DePara_Categoria!$A$2:$A$9,DePara_Categoria!$B$2:$B$9,"REVISAR"))</f>
        <v>Show</v>
      </c>
      <c r="F1947" s="4" t="str">
        <f aca="false">IF($A1947="","",_xlfn.XLOOKUP(LOWER(TRIM(Base_Bruta!F1947)),DePara_Cidade!$A$2:$A$29,DePara_Cidade!$B$2:$B$29,"REVISAR"))</f>
        <v>Belo Horizonte</v>
      </c>
      <c r="G1947" s="4" t="str">
        <f aca="false">IF($A1947="","",TRIM(Base_Bruta!G1947))</f>
        <v>Inteira</v>
      </c>
      <c r="H1947" s="4" t="n">
        <f aca="false">IF($A1947="","",IF(ISNUMBER(Base_Bruta!H1947),Base_Bruta!H1947,IFERROR(_xlfn.NUMBERVALUE(TRIM(SUBSTITUTE(Base_Bruta!H1947,"R$","")),",","."),0)))</f>
        <v>2</v>
      </c>
      <c r="I1947" s="6" t="n">
        <f aca="false">IF($A1947="","",IF(ISNUMBER(Base_Bruta!I1947),Base_Bruta!I1947,IFERROR(_xlfn.NUMBERVALUE(TRIM(SUBSTITUTE(Base_Bruta!I1947,"R$","")),",","."),0)))</f>
        <v>695</v>
      </c>
      <c r="J1947" s="6" t="n">
        <f aca="false">IF($A1947="","",H1947*I1947)</f>
        <v>1390</v>
      </c>
      <c r="K1947" s="4" t="str">
        <f aca="false">IF($A1947="","",TRIM(Base_Bruta!J1947))</f>
        <v>App</v>
      </c>
      <c r="L1947" s="4" t="str">
        <f aca="false">IF($A1947="","",TRIM(Base_Bruta!K1947))</f>
        <v>C02257</v>
      </c>
      <c r="M1947" s="4" t="str">
        <f aca="false">IF($A1947="","",_xlfn.XLOOKUP(LOWER(TRIM(Base_Bruta!L1947)),DePara_Cidade!$A$2:$A$29,DePara_Cidade!$B$2:$B$29,"REVISAR"))</f>
        <v>Belo Horizonte</v>
      </c>
      <c r="N1947" s="4" t="str">
        <f aca="false">IF($A1947="","",UPPER(TRIM(Base_Bruta!M1947)))</f>
        <v>MG</v>
      </c>
      <c r="O1947" s="4" t="str">
        <f aca="false">IF($A1947="","",_xlfn.XLOOKUP(LOWER(TRIM(Base_Bruta!N1947)),DePara_Pais!$A$2:$A$9,DePara_Pais!$B$2:$B$9,"REVISAR"))</f>
        <v>Brasil</v>
      </c>
      <c r="P1947" s="4" t="str">
        <f aca="false">IF($A1947="","",IF(O1947&lt;&gt;"Brasil","Turista Internacional",IF(M1947=F1947,"Local","Turista Nacional")))</f>
        <v>Local</v>
      </c>
      <c r="Q1947" s="7" t="n">
        <f aca="false">IF($A1947="","",DATE(YEAR(B1947),MONTH(B1947),1))</f>
        <v>45992</v>
      </c>
      <c r="R1947" s="4" t="str">
        <f aca="false">IF($A1947="","",IF(COUNTIF($A$2:$A1947,$A1947)&gt;1,"Sim","Não"))</f>
        <v>Não</v>
      </c>
      <c r="S1947" s="4" t="str">
        <f aca="false">IF(A1947="","Descartar - Linha vazia",IF(R1947="Sim","Descartar - Duplicado",IF(OR(H1947&lt;=0,I1947&lt;=0),"Descartar - Qtd/Valor inválido","OK")))</f>
        <v>OK</v>
      </c>
      <c r="T1947" s="4" t="str">
        <f aca="false">Base_Bruta!P1947</f>
        <v>vendas_MG.csv</v>
      </c>
    </row>
    <row r="1948" customFormat="false" ht="15" hidden="false" customHeight="false" outlineLevel="0" collapsed="false">
      <c r="A1948" s="4" t="str">
        <f aca="false">IF(Base_Bruta!A1948="","",Base_Bruta!A1948)</f>
        <v>MG-000468</v>
      </c>
      <c r="B1948" s="5" t="n">
        <f aca="false">IF($A1948="","",IF(ISNUMBER(Base_Bruta!B1948),Base_Bruta!B1948,IF(MID(Base_Bruta!B1948,5,1)="-",DATE(VALUE(LEFT(Base_Bruta!B1948,4)),VALUE(MID(Base_Bruta!B1948,6,2)),VALUE(RIGHT(Base_Bruta!B1948,2))),DATE(VALUE(RIGHT(Base_Bruta!B1948,4)),VALUE(MID(Base_Bruta!B1948,4,2)),VALUE(LEFT(Base_Bruta!B1948,2))))))</f>
        <v>46018</v>
      </c>
      <c r="C1948" s="5" t="n">
        <f aca="false">IF($A1948="","",IF(ISNUMBER(Base_Bruta!C1948),Base_Bruta!C1948,IF(MID(Base_Bruta!C1948,5,1)="-",DATE(VALUE(LEFT(Base_Bruta!C1948,4)),VALUE(MID(Base_Bruta!C1948,6,2)),VALUE(RIGHT(Base_Bruta!C1948,2))),DATE(VALUE(RIGHT(Base_Bruta!C1948,4)),VALUE(MID(Base_Bruta!C1948,4,2)),VALUE(LEFT(Base_Bruta!C1948,2))))))</f>
        <v>46018</v>
      </c>
      <c r="D1948" s="4" t="str">
        <f aca="false">IF($A1948="","",TRIM(Base_Bruta!D1948))</f>
        <v>Cinema Savassi - Sessões</v>
      </c>
      <c r="E1948" s="4" t="str">
        <f aca="false">IF($A1948="","",_xlfn.XLOOKUP(LOWER(TRIM(Base_Bruta!E1948)),DePara_Categoria!$A$2:$A$9,DePara_Categoria!$B$2:$B$9,"REVISAR"))</f>
        <v>Cinema</v>
      </c>
      <c r="F1948" s="4" t="str">
        <f aca="false">IF($A1948="","",_xlfn.XLOOKUP(LOWER(TRIM(Base_Bruta!F1948)),DePara_Cidade!$A$2:$A$29,DePara_Cidade!$B$2:$B$29,"REVISAR"))</f>
        <v>Belo Horizonte</v>
      </c>
      <c r="G1948" s="4" t="str">
        <f aca="false">IF($A1948="","",TRIM(Base_Bruta!G1948))</f>
        <v>Inteira</v>
      </c>
      <c r="H1948" s="4" t="n">
        <f aca="false">IF($A1948="","",IF(ISNUMBER(Base_Bruta!H1948),Base_Bruta!H1948,IFERROR(_xlfn.NUMBERVALUE(TRIM(SUBSTITUTE(Base_Bruta!H1948,"R$","")),",","."),0)))</f>
        <v>2</v>
      </c>
      <c r="I1948" s="6" t="n">
        <f aca="false">IF($A1948="","",IF(ISNUMBER(Base_Bruta!I1948),Base_Bruta!I1948,IFERROR(_xlfn.NUMBERVALUE(TRIM(SUBSTITUTE(Base_Bruta!I1948,"R$","")),",","."),0)))</f>
        <v>30</v>
      </c>
      <c r="J1948" s="6" t="n">
        <f aca="false">IF($A1948="","",H1948*I1948)</f>
        <v>60</v>
      </c>
      <c r="K1948" s="4" t="str">
        <f aca="false">IF($A1948="","",TRIM(Base_Bruta!J1948))</f>
        <v>Site</v>
      </c>
      <c r="L1948" s="4" t="str">
        <f aca="false">IF($A1948="","",TRIM(Base_Bruta!K1948))</f>
        <v>C00930</v>
      </c>
      <c r="M1948" s="4" t="str">
        <f aca="false">IF($A1948="","",_xlfn.XLOOKUP(LOWER(TRIM(Base_Bruta!L1948)),DePara_Cidade!$A$2:$A$29,DePara_Cidade!$B$2:$B$29,"REVISAR"))</f>
        <v>Belo Horizonte</v>
      </c>
      <c r="N1948" s="4" t="str">
        <f aca="false">IF($A1948="","",UPPER(TRIM(Base_Bruta!M1948)))</f>
        <v>MG</v>
      </c>
      <c r="O1948" s="4" t="str">
        <f aca="false">IF($A1948="","",_xlfn.XLOOKUP(LOWER(TRIM(Base_Bruta!N1948)),DePara_Pais!$A$2:$A$9,DePara_Pais!$B$2:$B$9,"REVISAR"))</f>
        <v>Brasil</v>
      </c>
      <c r="P1948" s="4" t="str">
        <f aca="false">IF($A1948="","",IF(O1948&lt;&gt;"Brasil","Turista Internacional",IF(M1948=F1948,"Local","Turista Nacional")))</f>
        <v>Local</v>
      </c>
      <c r="Q1948" s="7" t="n">
        <f aca="false">IF($A1948="","",DATE(YEAR(B1948),MONTH(B1948),1))</f>
        <v>45992</v>
      </c>
      <c r="R1948" s="4" t="str">
        <f aca="false">IF($A1948="","",IF(COUNTIF($A$2:$A1948,$A1948)&gt;1,"Sim","Não"))</f>
        <v>Não</v>
      </c>
      <c r="S1948" s="4" t="str">
        <f aca="false">IF(A1948="","Descartar - Linha vazia",IF(R1948="Sim","Descartar - Duplicado",IF(OR(H1948&lt;=0,I1948&lt;=0),"Descartar - Qtd/Valor inválido","OK")))</f>
        <v>OK</v>
      </c>
      <c r="T1948" s="4" t="str">
        <f aca="false">Base_Bruta!P1948</f>
        <v>vendas_MG.csv</v>
      </c>
    </row>
    <row r="1949" customFormat="false" ht="15" hidden="false" customHeight="false" outlineLevel="0" collapsed="false">
      <c r="A1949" s="4" t="str">
        <f aca="false">IF(Base_Bruta!A1949="","",Base_Bruta!A1949)</f>
        <v>MG-000249</v>
      </c>
      <c r="B1949" s="5" t="n">
        <f aca="false">IF($A1949="","",IF(ISNUMBER(Base_Bruta!B1949),Base_Bruta!B1949,IF(MID(Base_Bruta!B1949,5,1)="-",DATE(VALUE(LEFT(Base_Bruta!B1949,4)),VALUE(MID(Base_Bruta!B1949,6,2)),VALUE(RIGHT(Base_Bruta!B1949,2))),DATE(VALUE(RIGHT(Base_Bruta!B1949,4)),VALUE(MID(Base_Bruta!B1949,4,2)),VALUE(LEFT(Base_Bruta!B1949,2))))))</f>
        <v>46020</v>
      </c>
      <c r="C1949" s="5" t="n">
        <f aca="false">IF($A1949="","",IF(ISNUMBER(Base_Bruta!C1949),Base_Bruta!C1949,IF(MID(Base_Bruta!C1949,5,1)="-",DATE(VALUE(LEFT(Base_Bruta!C1949,4)),VALUE(MID(Base_Bruta!C1949,6,2)),VALUE(RIGHT(Base_Bruta!C1949,2))),DATE(VALUE(RIGHT(Base_Bruta!C1949,4)),VALUE(MID(Base_Bruta!C1949,4,2)),VALUE(LEFT(Base_Bruta!C1949,2))))))</f>
        <v>46081</v>
      </c>
      <c r="D1949" s="4" t="str">
        <f aca="false">IF($A1949="","",TRIM(Base_Bruta!D1949))</f>
        <v>Show Sertanejo - BH</v>
      </c>
      <c r="E1949" s="4" t="str">
        <f aca="false">IF($A1949="","",_xlfn.XLOOKUP(LOWER(TRIM(Base_Bruta!E1949)),DePara_Categoria!$A$2:$A$9,DePara_Categoria!$B$2:$B$9,"REVISAR"))</f>
        <v>Show</v>
      </c>
      <c r="F1949" s="4" t="str">
        <f aca="false">IF($A1949="","",_xlfn.XLOOKUP(LOWER(TRIM(Base_Bruta!F1949)),DePara_Cidade!$A$2:$A$29,DePara_Cidade!$B$2:$B$29,"REVISAR"))</f>
        <v>Belo Horizonte</v>
      </c>
      <c r="G1949" s="4" t="str">
        <f aca="false">IF($A1949="","",TRIM(Base_Bruta!G1949))</f>
        <v>Inteira</v>
      </c>
      <c r="H1949" s="4" t="n">
        <f aca="false">IF($A1949="","",IF(ISNUMBER(Base_Bruta!H1949),Base_Bruta!H1949,IFERROR(_xlfn.NUMBERVALUE(TRIM(SUBSTITUTE(Base_Bruta!H1949,"R$","")),",","."),0)))</f>
        <v>3</v>
      </c>
      <c r="I1949" s="6" t="n">
        <f aca="false">IF($A1949="","",IF(ISNUMBER(Base_Bruta!I1949),Base_Bruta!I1949,IFERROR(_xlfn.NUMBERVALUE(TRIM(SUBSTITUTE(Base_Bruta!I1949,"R$","")),",","."),0)))</f>
        <v>325</v>
      </c>
      <c r="J1949" s="6" t="n">
        <f aca="false">IF($A1949="","",H1949*I1949)</f>
        <v>975</v>
      </c>
      <c r="K1949" s="4" t="str">
        <f aca="false">IF($A1949="","",TRIM(Base_Bruta!J1949))</f>
        <v>Site</v>
      </c>
      <c r="L1949" s="4" t="str">
        <f aca="false">IF($A1949="","",TRIM(Base_Bruta!K1949))</f>
        <v>C01802</v>
      </c>
      <c r="M1949" s="4" t="str">
        <f aca="false">IF($A1949="","",_xlfn.XLOOKUP(LOWER(TRIM(Base_Bruta!L1949)),DePara_Cidade!$A$2:$A$29,DePara_Cidade!$B$2:$B$29,"REVISAR"))</f>
        <v>Santos</v>
      </c>
      <c r="N1949" s="4" t="str">
        <f aca="false">IF($A1949="","",UPPER(TRIM(Base_Bruta!M1949)))</f>
        <v>SP</v>
      </c>
      <c r="O1949" s="4" t="str">
        <f aca="false">IF($A1949="","",_xlfn.XLOOKUP(LOWER(TRIM(Base_Bruta!N1949)),DePara_Pais!$A$2:$A$9,DePara_Pais!$B$2:$B$9,"REVISAR"))</f>
        <v>Brasil</v>
      </c>
      <c r="P1949" s="4" t="str">
        <f aca="false">IF($A1949="","",IF(O1949&lt;&gt;"Brasil","Turista Internacional",IF(M1949=F1949,"Local","Turista Nacional")))</f>
        <v>Turista Nacional</v>
      </c>
      <c r="Q1949" s="7" t="n">
        <f aca="false">IF($A1949="","",DATE(YEAR(B1949),MONTH(B1949),1))</f>
        <v>45992</v>
      </c>
      <c r="R1949" s="4" t="str">
        <f aca="false">IF($A1949="","",IF(COUNTIF($A$2:$A1949,$A1949)&gt;1,"Sim","Não"))</f>
        <v>Não</v>
      </c>
      <c r="S1949" s="4" t="str">
        <f aca="false">IF(A1949="","Descartar - Linha vazia",IF(R1949="Sim","Descartar - Duplicado",IF(OR(H1949&lt;=0,I1949&lt;=0),"Descartar - Qtd/Valor inválido","OK")))</f>
        <v>OK</v>
      </c>
      <c r="T1949" s="4" t="str">
        <f aca="false">Base_Bruta!P1949</f>
        <v>vendas_MG.csv</v>
      </c>
    </row>
    <row r="1950" customFormat="false" ht="15" hidden="false" customHeight="false" outlineLevel="0" collapsed="false">
      <c r="A1950" s="4" t="str">
        <f aca="false">IF(Base_Bruta!A1950="","",Base_Bruta!A1950)</f>
        <v>MG-000290</v>
      </c>
      <c r="B1950" s="5" t="n">
        <f aca="false">IF($A1950="","",IF(ISNUMBER(Base_Bruta!B1950),Base_Bruta!B1950,IF(MID(Base_Bruta!B1950,5,1)="-",DATE(VALUE(LEFT(Base_Bruta!B1950,4)),VALUE(MID(Base_Bruta!B1950,6,2)),VALUE(RIGHT(Base_Bruta!B1950,2))),DATE(VALUE(RIGHT(Base_Bruta!B1950,4)),VALUE(MID(Base_Bruta!B1950,4,2)),VALUE(LEFT(Base_Bruta!B1950,2))))))</f>
        <v>46020</v>
      </c>
      <c r="C1950" s="5" t="n">
        <f aca="false">IF($A1950="","",IF(ISNUMBER(Base_Bruta!C1950),Base_Bruta!C1950,IF(MID(Base_Bruta!C1950,5,1)="-",DATE(VALUE(LEFT(Base_Bruta!C1950,4)),VALUE(MID(Base_Bruta!C1950,6,2)),VALUE(RIGHT(Base_Bruta!C1950,2))),DATE(VALUE(RIGHT(Base_Bruta!C1950,4)),VALUE(MID(Base_Bruta!C1950,4,2)),VALUE(LEFT(Base_Bruta!C1950,2))))))</f>
        <v>46081</v>
      </c>
      <c r="D1950" s="4" t="str">
        <f aca="false">IF($A1950="","",TRIM(Base_Bruta!D1950))</f>
        <v>Show Sertanejo - BH</v>
      </c>
      <c r="E1950" s="4" t="str">
        <f aca="false">IF($A1950="","",_xlfn.XLOOKUP(LOWER(TRIM(Base_Bruta!E1950)),DePara_Categoria!$A$2:$A$9,DePara_Categoria!$B$2:$B$9,"REVISAR"))</f>
        <v>Show</v>
      </c>
      <c r="F1950" s="4" t="str">
        <f aca="false">IF($A1950="","",_xlfn.XLOOKUP(LOWER(TRIM(Base_Bruta!F1950)),DePara_Cidade!$A$2:$A$29,DePara_Cidade!$B$2:$B$29,"REVISAR"))</f>
        <v>Belo Horizonte</v>
      </c>
      <c r="G1950" s="4" t="str">
        <f aca="false">IF($A1950="","",TRIM(Base_Bruta!G1950))</f>
        <v>VIP</v>
      </c>
      <c r="H1950" s="4" t="n">
        <f aca="false">IF($A1950="","",IF(ISNUMBER(Base_Bruta!H1950),Base_Bruta!H1950,IFERROR(_xlfn.NUMBERVALUE(TRIM(SUBSTITUTE(Base_Bruta!H1950,"R$","")),",","."),0)))</f>
        <v>3</v>
      </c>
      <c r="I1950" s="6" t="n">
        <f aca="false">IF($A1950="","",IF(ISNUMBER(Base_Bruta!I1950),Base_Bruta!I1950,IFERROR(_xlfn.NUMBERVALUE(TRIM(SUBSTITUTE(Base_Bruta!I1950,"R$","")),",","."),0)))</f>
        <v>580</v>
      </c>
      <c r="J1950" s="6" t="n">
        <f aca="false">IF($A1950="","",H1950*I1950)</f>
        <v>1740</v>
      </c>
      <c r="K1950" s="4" t="str">
        <f aca="false">IF($A1950="","",TRIM(Base_Bruta!J1950))</f>
        <v>App</v>
      </c>
      <c r="L1950" s="4" t="str">
        <f aca="false">IF($A1950="","",TRIM(Base_Bruta!K1950))</f>
        <v>C01532</v>
      </c>
      <c r="M1950" s="4" t="str">
        <f aca="false">IF($A1950="","",_xlfn.XLOOKUP(LOWER(TRIM(Base_Bruta!L1950)),DePara_Cidade!$A$2:$A$29,DePara_Cidade!$B$2:$B$29,"REVISAR"))</f>
        <v>Belo Horizonte</v>
      </c>
      <c r="N1950" s="4" t="str">
        <f aca="false">IF($A1950="","",UPPER(TRIM(Base_Bruta!M1950)))</f>
        <v>MG</v>
      </c>
      <c r="O1950" s="4" t="str">
        <f aca="false">IF($A1950="","",_xlfn.XLOOKUP(LOWER(TRIM(Base_Bruta!N1950)),DePara_Pais!$A$2:$A$9,DePara_Pais!$B$2:$B$9,"REVISAR"))</f>
        <v>Brasil</v>
      </c>
      <c r="P1950" s="4" t="str">
        <f aca="false">IF($A1950="","",IF(O1950&lt;&gt;"Brasil","Turista Internacional",IF(M1950=F1950,"Local","Turista Nacional")))</f>
        <v>Local</v>
      </c>
      <c r="Q1950" s="7" t="n">
        <f aca="false">IF($A1950="","",DATE(YEAR(B1950),MONTH(B1950),1))</f>
        <v>45992</v>
      </c>
      <c r="R1950" s="4" t="str">
        <f aca="false">IF($A1950="","",IF(COUNTIF($A$2:$A1950,$A1950)&gt;1,"Sim","Não"))</f>
        <v>Não</v>
      </c>
      <c r="S1950" s="4" t="str">
        <f aca="false">IF(A1950="","Descartar - Linha vazia",IF(R1950="Sim","Descartar - Duplicado",IF(OR(H1950&lt;=0,I1950&lt;=0),"Descartar - Qtd/Valor inválido","OK")))</f>
        <v>OK</v>
      </c>
      <c r="T1950" s="4" t="str">
        <f aca="false">Base_Bruta!P1950</f>
        <v>vendas_MG.csv</v>
      </c>
    </row>
    <row r="1951" customFormat="false" ht="15" hidden="false" customHeight="false" outlineLevel="0" collapsed="false">
      <c r="A1951" s="4" t="str">
        <f aca="false">IF(Base_Bruta!A1951="","",Base_Bruta!A1951)</f>
        <v>MG-000343</v>
      </c>
      <c r="B1951" s="5" t="n">
        <f aca="false">IF($A1951="","",IF(ISNUMBER(Base_Bruta!B1951),Base_Bruta!B1951,IF(MID(Base_Bruta!B1951,5,1)="-",DATE(VALUE(LEFT(Base_Bruta!B1951,4)),VALUE(MID(Base_Bruta!B1951,6,2)),VALUE(RIGHT(Base_Bruta!B1951,2))),DATE(VALUE(RIGHT(Base_Bruta!B1951,4)),VALUE(MID(Base_Bruta!B1951,4,2)),VALUE(LEFT(Base_Bruta!B1951,2))))))</f>
        <v>46021</v>
      </c>
      <c r="C1951" s="5" t="n">
        <f aca="false">IF($A1951="","",IF(ISNUMBER(Base_Bruta!C1951),Base_Bruta!C1951,IF(MID(Base_Bruta!C1951,5,1)="-",DATE(VALUE(LEFT(Base_Bruta!C1951,4)),VALUE(MID(Base_Bruta!C1951,6,2)),VALUE(RIGHT(Base_Bruta!C1951,2))),DATE(VALUE(RIGHT(Base_Bruta!C1951,4)),VALUE(MID(Base_Bruta!C1951,4,2)),VALUE(LEFT(Base_Bruta!C1951,2))))))</f>
        <v>46081</v>
      </c>
      <c r="D1951" s="4" t="str">
        <f aca="false">IF($A1951="","",TRIM(Base_Bruta!D1951))</f>
        <v>Show Sertanejo - BH</v>
      </c>
      <c r="E1951" s="4" t="str">
        <f aca="false">IF($A1951="","",_xlfn.XLOOKUP(LOWER(TRIM(Base_Bruta!E1951)),DePara_Categoria!$A$2:$A$9,DePara_Categoria!$B$2:$B$9,"REVISAR"))</f>
        <v>Show</v>
      </c>
      <c r="F1951" s="4" t="str">
        <f aca="false">IF($A1951="","",_xlfn.XLOOKUP(LOWER(TRIM(Base_Bruta!F1951)),DePara_Cidade!$A$2:$A$29,DePara_Cidade!$B$2:$B$29,"REVISAR"))</f>
        <v>Belo Horizonte</v>
      </c>
      <c r="G1951" s="4" t="str">
        <f aca="false">IF($A1951="","",TRIM(Base_Bruta!G1951))</f>
        <v>Meia</v>
      </c>
      <c r="H1951" s="4" t="n">
        <f aca="false">IF($A1951="","",IF(ISNUMBER(Base_Bruta!H1951),Base_Bruta!H1951,IFERROR(_xlfn.NUMBERVALUE(TRIM(SUBSTITUTE(Base_Bruta!H1951,"R$","")),",","."),0)))</f>
        <v>2</v>
      </c>
      <c r="I1951" s="6" t="n">
        <f aca="false">IF($A1951="","",IF(ISNUMBER(Base_Bruta!I1951),Base_Bruta!I1951,IFERROR(_xlfn.NUMBERVALUE(TRIM(SUBSTITUTE(Base_Bruta!I1951,"R$","")),",","."),0)))</f>
        <v>127.5</v>
      </c>
      <c r="J1951" s="6" t="n">
        <f aca="false">IF($A1951="","",H1951*I1951)</f>
        <v>255</v>
      </c>
      <c r="K1951" s="4" t="str">
        <f aca="false">IF($A1951="","",TRIM(Base_Bruta!J1951))</f>
        <v>App</v>
      </c>
      <c r="L1951" s="4" t="str">
        <f aca="false">IF($A1951="","",TRIM(Base_Bruta!K1951))</f>
        <v>C01195</v>
      </c>
      <c r="M1951" s="4" t="str">
        <f aca="false">IF($A1951="","",_xlfn.XLOOKUP(LOWER(TRIM(Base_Bruta!L1951)),DePara_Cidade!$A$2:$A$29,DePara_Cidade!$B$2:$B$29,"REVISAR"))</f>
        <v>Belo Horizonte</v>
      </c>
      <c r="N1951" s="4" t="str">
        <f aca="false">IF($A1951="","",UPPER(TRIM(Base_Bruta!M1951)))</f>
        <v>MG</v>
      </c>
      <c r="O1951" s="4" t="str">
        <f aca="false">IF($A1951="","",_xlfn.XLOOKUP(LOWER(TRIM(Base_Bruta!N1951)),DePara_Pais!$A$2:$A$9,DePara_Pais!$B$2:$B$9,"REVISAR"))</f>
        <v>Brasil</v>
      </c>
      <c r="P1951" s="4" t="str">
        <f aca="false">IF($A1951="","",IF(O1951&lt;&gt;"Brasil","Turista Internacional",IF(M1951=F1951,"Local","Turista Nacional")))</f>
        <v>Local</v>
      </c>
      <c r="Q1951" s="7" t="n">
        <f aca="false">IF($A1951="","",DATE(YEAR(B1951),MONTH(B1951),1))</f>
        <v>45992</v>
      </c>
      <c r="R1951" s="4" t="str">
        <f aca="false">IF($A1951="","",IF(COUNTIF($A$2:$A1951,$A1951)&gt;1,"Sim","Não"))</f>
        <v>Não</v>
      </c>
      <c r="S1951" s="4" t="str">
        <f aca="false">IF(A1951="","Descartar - Linha vazia",IF(R1951="Sim","Descartar - Duplicado",IF(OR(H1951&lt;=0,I1951&lt;=0),"Descartar - Qtd/Valor inválido","OK")))</f>
        <v>OK</v>
      </c>
      <c r="T1951" s="4" t="str">
        <f aca="false">Base_Bruta!P1951</f>
        <v>vendas_MG.csv</v>
      </c>
    </row>
    <row r="1952" customFormat="false" ht="15" hidden="false" customHeight="false" outlineLevel="0" collapsed="false">
      <c r="A1952" s="4" t="str">
        <f aca="false">IF(Base_Bruta!A1952="","",Base_Bruta!A1952)</f>
        <v>MG-000315</v>
      </c>
      <c r="B1952" s="5" t="n">
        <f aca="false">IF($A1952="","",IF(ISNUMBER(Base_Bruta!B1952),Base_Bruta!B1952,IF(MID(Base_Bruta!B1952,5,1)="-",DATE(VALUE(LEFT(Base_Bruta!B1952,4)),VALUE(MID(Base_Bruta!B1952,6,2)),VALUE(RIGHT(Base_Bruta!B1952,2))),DATE(VALUE(RIGHT(Base_Bruta!B1952,4)),VALUE(MID(Base_Bruta!B1952,4,2)),VALUE(LEFT(Base_Bruta!B1952,2))))))</f>
        <v>46023</v>
      </c>
      <c r="C1952" s="5" t="n">
        <f aca="false">IF($A1952="","",IF(ISNUMBER(Base_Bruta!C1952),Base_Bruta!C1952,IF(MID(Base_Bruta!C1952,5,1)="-",DATE(VALUE(LEFT(Base_Bruta!C1952,4)),VALUE(MID(Base_Bruta!C1952,6,2)),VALUE(RIGHT(Base_Bruta!C1952,2))),DATE(VALUE(RIGHT(Base_Bruta!C1952,4)),VALUE(MID(Base_Bruta!C1952,4,2)),VALUE(LEFT(Base_Bruta!C1952,2))))))</f>
        <v>46081</v>
      </c>
      <c r="D1952" s="4" t="str">
        <f aca="false">IF($A1952="","",TRIM(Base_Bruta!D1952))</f>
        <v>Show Sertanejo - BH</v>
      </c>
      <c r="E1952" s="4" t="str">
        <f aca="false">IF($A1952="","",_xlfn.XLOOKUP(LOWER(TRIM(Base_Bruta!E1952)),DePara_Categoria!$A$2:$A$9,DePara_Categoria!$B$2:$B$9,"REVISAR"))</f>
        <v>Show</v>
      </c>
      <c r="F1952" s="4" t="str">
        <f aca="false">IF($A1952="","",_xlfn.XLOOKUP(LOWER(TRIM(Base_Bruta!F1952)),DePara_Cidade!$A$2:$A$29,DePara_Cidade!$B$2:$B$29,"REVISAR"))</f>
        <v>Belo Horizonte</v>
      </c>
      <c r="G1952" s="4" t="str">
        <f aca="false">IF($A1952="","",TRIM(Base_Bruta!G1952))</f>
        <v>VIP</v>
      </c>
      <c r="H1952" s="4" t="n">
        <f aca="false">IF($A1952="","",IF(ISNUMBER(Base_Bruta!H1952),Base_Bruta!H1952,IFERROR(_xlfn.NUMBERVALUE(TRIM(SUBSTITUTE(Base_Bruta!H1952,"R$","")),",","."),0)))</f>
        <v>2</v>
      </c>
      <c r="I1952" s="6" t="n">
        <f aca="false">IF($A1952="","",IF(ISNUMBER(Base_Bruta!I1952),Base_Bruta!I1952,IFERROR(_xlfn.NUMBERVALUE(TRIM(SUBSTITUTE(Base_Bruta!I1952,"R$","")),",","."),0)))</f>
        <v>830</v>
      </c>
      <c r="J1952" s="6" t="n">
        <f aca="false">IF($A1952="","",H1952*I1952)</f>
        <v>1660</v>
      </c>
      <c r="K1952" s="4" t="str">
        <f aca="false">IF($A1952="","",TRIM(Base_Bruta!J1952))</f>
        <v>Bilheteria</v>
      </c>
      <c r="L1952" s="4" t="str">
        <f aca="false">IF($A1952="","",TRIM(Base_Bruta!K1952))</f>
        <v>C00195</v>
      </c>
      <c r="M1952" s="4" t="str">
        <f aca="false">IF($A1952="","",_xlfn.XLOOKUP(LOWER(TRIM(Base_Bruta!L1952)),DePara_Cidade!$A$2:$A$29,DePara_Cidade!$B$2:$B$29,"REVISAR"))</f>
        <v>Belo Horizonte</v>
      </c>
      <c r="N1952" s="4" t="str">
        <f aca="false">IF($A1952="","",UPPER(TRIM(Base_Bruta!M1952)))</f>
        <v>MG</v>
      </c>
      <c r="O1952" s="4" t="str">
        <f aca="false">IF($A1952="","",_xlfn.XLOOKUP(LOWER(TRIM(Base_Bruta!N1952)),DePara_Pais!$A$2:$A$9,DePara_Pais!$B$2:$B$9,"REVISAR"))</f>
        <v>Brasil</v>
      </c>
      <c r="P1952" s="4" t="str">
        <f aca="false">IF($A1952="","",IF(O1952&lt;&gt;"Brasil","Turista Internacional",IF(M1952=F1952,"Local","Turista Nacional")))</f>
        <v>Local</v>
      </c>
      <c r="Q1952" s="7" t="n">
        <f aca="false">IF($A1952="","",DATE(YEAR(B1952),MONTH(B1952),1))</f>
        <v>46023</v>
      </c>
      <c r="R1952" s="4" t="str">
        <f aca="false">IF($A1952="","",IF(COUNTIF($A$2:$A1952,$A1952)&gt;1,"Sim","Não"))</f>
        <v>Não</v>
      </c>
      <c r="S1952" s="4" t="str">
        <f aca="false">IF(A1952="","Descartar - Linha vazia",IF(R1952="Sim","Descartar - Duplicado",IF(OR(H1952&lt;=0,I1952&lt;=0),"Descartar - Qtd/Valor inválido","OK")))</f>
        <v>OK</v>
      </c>
      <c r="T1952" s="4" t="str">
        <f aca="false">Base_Bruta!P1952</f>
        <v>vendas_MG.csv</v>
      </c>
    </row>
    <row r="1953" customFormat="false" ht="15" hidden="false" customHeight="false" outlineLevel="0" collapsed="false">
      <c r="A1953" s="4" t="str">
        <f aca="false">IF(Base_Bruta!A1953="","",Base_Bruta!A1953)</f>
        <v>MG-000337</v>
      </c>
      <c r="B1953" s="5" t="n">
        <f aca="false">IF($A1953="","",IF(ISNUMBER(Base_Bruta!B1953),Base_Bruta!B1953,IF(MID(Base_Bruta!B1953,5,1)="-",DATE(VALUE(LEFT(Base_Bruta!B1953,4)),VALUE(MID(Base_Bruta!B1953,6,2)),VALUE(RIGHT(Base_Bruta!B1953,2))),DATE(VALUE(RIGHT(Base_Bruta!B1953,4)),VALUE(MID(Base_Bruta!B1953,4,2)),VALUE(LEFT(Base_Bruta!B1953,2))))))</f>
        <v>46026</v>
      </c>
      <c r="C1953" s="5" t="n">
        <f aca="false">IF($A1953="","",IF(ISNUMBER(Base_Bruta!C1953),Base_Bruta!C1953,IF(MID(Base_Bruta!C1953,5,1)="-",DATE(VALUE(LEFT(Base_Bruta!C1953,4)),VALUE(MID(Base_Bruta!C1953,6,2)),VALUE(RIGHT(Base_Bruta!C1953,2))),DATE(VALUE(RIGHT(Base_Bruta!C1953,4)),VALUE(MID(Base_Bruta!C1953,4,2)),VALUE(LEFT(Base_Bruta!C1953,2))))))</f>
        <v>46081</v>
      </c>
      <c r="D1953" s="4" t="str">
        <f aca="false">IF($A1953="","",TRIM(Base_Bruta!D1953))</f>
        <v>Show Sertanejo - BH</v>
      </c>
      <c r="E1953" s="4" t="str">
        <f aca="false">IF($A1953="","",_xlfn.XLOOKUP(LOWER(TRIM(Base_Bruta!E1953)),DePara_Categoria!$A$2:$A$9,DePara_Categoria!$B$2:$B$9,"REVISAR"))</f>
        <v>Show</v>
      </c>
      <c r="F1953" s="4" t="str">
        <f aca="false">IF($A1953="","",_xlfn.XLOOKUP(LOWER(TRIM(Base_Bruta!F1953)),DePara_Cidade!$A$2:$A$29,DePara_Cidade!$B$2:$B$29,"REVISAR"))</f>
        <v>Belo Horizonte</v>
      </c>
      <c r="G1953" s="4" t="str">
        <f aca="false">IF($A1953="","",TRIM(Base_Bruta!G1953))</f>
        <v>Inteira</v>
      </c>
      <c r="H1953" s="4" t="n">
        <f aca="false">IF($A1953="","",IF(ISNUMBER(Base_Bruta!H1953),Base_Bruta!H1953,IFERROR(_xlfn.NUMBERVALUE(TRIM(SUBSTITUTE(Base_Bruta!H1953,"R$","")),",","."),0)))</f>
        <v>1</v>
      </c>
      <c r="I1953" s="6" t="n">
        <f aca="false">IF($A1953="","",IF(ISNUMBER(Base_Bruta!I1953),Base_Bruta!I1953,IFERROR(_xlfn.NUMBERVALUE(TRIM(SUBSTITUTE(Base_Bruta!I1953,"R$","")),",","."),0)))</f>
        <v>750</v>
      </c>
      <c r="J1953" s="6" t="n">
        <f aca="false">IF($A1953="","",H1953*I1953)</f>
        <v>750</v>
      </c>
      <c r="K1953" s="4" t="str">
        <f aca="false">IF($A1953="","",TRIM(Base_Bruta!J1953))</f>
        <v>Site</v>
      </c>
      <c r="L1953" s="4" t="str">
        <f aca="false">IF($A1953="","",TRIM(Base_Bruta!K1953))</f>
        <v>C01587</v>
      </c>
      <c r="M1953" s="4" t="str">
        <f aca="false">IF($A1953="","",_xlfn.XLOOKUP(LOWER(TRIM(Base_Bruta!L1953)),DePara_Cidade!$A$2:$A$29,DePara_Cidade!$B$2:$B$29,"REVISAR"))</f>
        <v>Salvador</v>
      </c>
      <c r="N1953" s="4" t="str">
        <f aca="false">IF($A1953="","",UPPER(TRIM(Base_Bruta!M1953)))</f>
        <v>BA</v>
      </c>
      <c r="O1953" s="4" t="str">
        <f aca="false">IF($A1953="","",_xlfn.XLOOKUP(LOWER(TRIM(Base_Bruta!N1953)),DePara_Pais!$A$2:$A$9,DePara_Pais!$B$2:$B$9,"REVISAR"))</f>
        <v>Brasil</v>
      </c>
      <c r="P1953" s="4" t="str">
        <f aca="false">IF($A1953="","",IF(O1953&lt;&gt;"Brasil","Turista Internacional",IF(M1953=F1953,"Local","Turista Nacional")))</f>
        <v>Turista Nacional</v>
      </c>
      <c r="Q1953" s="7" t="n">
        <f aca="false">IF($A1953="","",DATE(YEAR(B1953),MONTH(B1953),1))</f>
        <v>46023</v>
      </c>
      <c r="R1953" s="4" t="str">
        <f aca="false">IF($A1953="","",IF(COUNTIF($A$2:$A1953,$A1953)&gt;1,"Sim","Não"))</f>
        <v>Não</v>
      </c>
      <c r="S1953" s="4" t="str">
        <f aca="false">IF(A1953="","Descartar - Linha vazia",IF(R1953="Sim","Descartar - Duplicado",IF(OR(H1953&lt;=0,I1953&lt;=0),"Descartar - Qtd/Valor inválido","OK")))</f>
        <v>OK</v>
      </c>
      <c r="T1953" s="4" t="str">
        <f aca="false">Base_Bruta!P1953</f>
        <v>vendas_MG.csv</v>
      </c>
    </row>
    <row r="1954" customFormat="false" ht="15" hidden="false" customHeight="false" outlineLevel="0" collapsed="false">
      <c r="A1954" s="4" t="str">
        <f aca="false">IF(Base_Bruta!A1954="","",Base_Bruta!A1954)</f>
        <v>MG-000296</v>
      </c>
      <c r="B1954" s="5" t="n">
        <f aca="false">IF($A1954="","",IF(ISNUMBER(Base_Bruta!B1954),Base_Bruta!B1954,IF(MID(Base_Bruta!B1954,5,1)="-",DATE(VALUE(LEFT(Base_Bruta!B1954,4)),VALUE(MID(Base_Bruta!B1954,6,2)),VALUE(RIGHT(Base_Bruta!B1954,2))),DATE(VALUE(RIGHT(Base_Bruta!B1954,4)),VALUE(MID(Base_Bruta!B1954,4,2)),VALUE(LEFT(Base_Bruta!B1954,2))))))</f>
        <v>46029</v>
      </c>
      <c r="C1954" s="5" t="n">
        <f aca="false">IF($A1954="","",IF(ISNUMBER(Base_Bruta!C1954),Base_Bruta!C1954,IF(MID(Base_Bruta!C1954,5,1)="-",DATE(VALUE(LEFT(Base_Bruta!C1954,4)),VALUE(MID(Base_Bruta!C1954,6,2)),VALUE(RIGHT(Base_Bruta!C1954,2))),DATE(VALUE(RIGHT(Base_Bruta!C1954,4)),VALUE(MID(Base_Bruta!C1954,4,2)),VALUE(LEFT(Base_Bruta!C1954,2))))))</f>
        <v>46081</v>
      </c>
      <c r="D1954" s="4" t="str">
        <f aca="false">IF($A1954="","",TRIM(Base_Bruta!D1954))</f>
        <v>Show Sertanejo - BH</v>
      </c>
      <c r="E1954" s="4" t="str">
        <f aca="false">IF($A1954="","",_xlfn.XLOOKUP(LOWER(TRIM(Base_Bruta!E1954)),DePara_Categoria!$A$2:$A$9,DePara_Categoria!$B$2:$B$9,"REVISAR"))</f>
        <v>Show</v>
      </c>
      <c r="F1954" s="4" t="str">
        <f aca="false">IF($A1954="","",_xlfn.XLOOKUP(LOWER(TRIM(Base_Bruta!F1954)),DePara_Cidade!$A$2:$A$29,DePara_Cidade!$B$2:$B$29,"REVISAR"))</f>
        <v>Belo Horizonte</v>
      </c>
      <c r="G1954" s="4" t="str">
        <f aca="false">IF($A1954="","",TRIM(Base_Bruta!G1954))</f>
        <v>Inteira</v>
      </c>
      <c r="H1954" s="4" t="n">
        <f aca="false">IF($A1954="","",IF(ISNUMBER(Base_Bruta!H1954),Base_Bruta!H1954,IFERROR(_xlfn.NUMBERVALUE(TRIM(SUBSTITUTE(Base_Bruta!H1954,"R$","")),",","."),0)))</f>
        <v>4</v>
      </c>
      <c r="I1954" s="6" t="n">
        <f aca="false">IF($A1954="","",IF(ISNUMBER(Base_Bruta!I1954),Base_Bruta!I1954,IFERROR(_xlfn.NUMBERVALUE(TRIM(SUBSTITUTE(Base_Bruta!I1954,"R$","")),",","."),0)))</f>
        <v>755</v>
      </c>
      <c r="J1954" s="6" t="n">
        <f aca="false">IF($A1954="","",H1954*I1954)</f>
        <v>3020</v>
      </c>
      <c r="K1954" s="4" t="str">
        <f aca="false">IF($A1954="","",TRIM(Base_Bruta!J1954))</f>
        <v>Site</v>
      </c>
      <c r="L1954" s="4" t="str">
        <f aca="false">IF($A1954="","",TRIM(Base_Bruta!K1954))</f>
        <v>C02247</v>
      </c>
      <c r="M1954" s="4" t="str">
        <f aca="false">IF($A1954="","",_xlfn.XLOOKUP(LOWER(TRIM(Base_Bruta!L1954)),DePara_Cidade!$A$2:$A$29,DePara_Cidade!$B$2:$B$29,"REVISAR"))</f>
        <v>Belo Horizonte</v>
      </c>
      <c r="N1954" s="4" t="str">
        <f aca="false">IF($A1954="","",UPPER(TRIM(Base_Bruta!M1954)))</f>
        <v>MG</v>
      </c>
      <c r="O1954" s="4" t="str">
        <f aca="false">IF($A1954="","",_xlfn.XLOOKUP(LOWER(TRIM(Base_Bruta!N1954)),DePara_Pais!$A$2:$A$9,DePara_Pais!$B$2:$B$9,"REVISAR"))</f>
        <v>Brasil</v>
      </c>
      <c r="P1954" s="4" t="str">
        <f aca="false">IF($A1954="","",IF(O1954&lt;&gt;"Brasil","Turista Internacional",IF(M1954=F1954,"Local","Turista Nacional")))</f>
        <v>Local</v>
      </c>
      <c r="Q1954" s="7" t="n">
        <f aca="false">IF($A1954="","",DATE(YEAR(B1954),MONTH(B1954),1))</f>
        <v>46023</v>
      </c>
      <c r="R1954" s="4" t="str">
        <f aca="false">IF($A1954="","",IF(COUNTIF($A$2:$A1954,$A1954)&gt;1,"Sim","Não"))</f>
        <v>Não</v>
      </c>
      <c r="S1954" s="4" t="str">
        <f aca="false">IF(A1954="","Descartar - Linha vazia",IF(R1954="Sim","Descartar - Duplicado",IF(OR(H1954&lt;=0,I1954&lt;=0),"Descartar - Qtd/Valor inválido","OK")))</f>
        <v>OK</v>
      </c>
      <c r="T1954" s="4" t="str">
        <f aca="false">Base_Bruta!P1954</f>
        <v>vendas_MG.csv</v>
      </c>
    </row>
    <row r="1955" customFormat="false" ht="15" hidden="false" customHeight="false" outlineLevel="0" collapsed="false">
      <c r="A1955" s="4" t="str">
        <f aca="false">IF(Base_Bruta!A1955="","",Base_Bruta!A1955)</f>
        <v>MG-000505</v>
      </c>
      <c r="B1955" s="5" t="n">
        <f aca="false">IF($A1955="","",IF(ISNUMBER(Base_Bruta!B1955),Base_Bruta!B1955,IF(MID(Base_Bruta!B1955,5,1)="-",DATE(VALUE(LEFT(Base_Bruta!B1955,4)),VALUE(MID(Base_Bruta!B1955,6,2)),VALUE(RIGHT(Base_Bruta!B1955,2))),DATE(VALUE(RIGHT(Base_Bruta!B1955,4)),VALUE(MID(Base_Bruta!B1955,4,2)),VALUE(LEFT(Base_Bruta!B1955,2))))))</f>
        <v>46009</v>
      </c>
      <c r="C1955" s="5" t="n">
        <f aca="false">IF($A1955="","",IF(ISNUMBER(Base_Bruta!C1955),Base_Bruta!C1955,IF(MID(Base_Bruta!C1955,5,1)="-",DATE(VALUE(LEFT(Base_Bruta!C1955,4)),VALUE(MID(Base_Bruta!C1955,6,2)),VALUE(RIGHT(Base_Bruta!C1955,2))),DATE(VALUE(RIGHT(Base_Bruta!C1955,4)),VALUE(MID(Base_Bruta!C1955,4,2)),VALUE(LEFT(Base_Bruta!C1955,2))))))</f>
        <v>46009</v>
      </c>
      <c r="D1955" s="4" t="str">
        <f aca="false">IF($A1955="","",TRIM(Base_Bruta!D1955))</f>
        <v>Cinema Savassi - Sessões</v>
      </c>
      <c r="E1955" s="4" t="str">
        <f aca="false">IF($A1955="","",_xlfn.XLOOKUP(LOWER(TRIM(Base_Bruta!E1955)),DePara_Categoria!$A$2:$A$9,DePara_Categoria!$B$2:$B$9,"REVISAR"))</f>
        <v>Cinema</v>
      </c>
      <c r="F1955" s="4" t="str">
        <f aca="false">IF($A1955="","",_xlfn.XLOOKUP(LOWER(TRIM(Base_Bruta!F1955)),DePara_Cidade!$A$2:$A$29,DePara_Cidade!$B$2:$B$29,"REVISAR"))</f>
        <v>Belo Horizonte</v>
      </c>
      <c r="G1955" s="4" t="str">
        <f aca="false">IF($A1955="","",TRIM(Base_Bruta!G1955))</f>
        <v>Meia</v>
      </c>
      <c r="H1955" s="4" t="n">
        <f aca="false">IF($A1955="","",IF(ISNUMBER(Base_Bruta!H1955),Base_Bruta!H1955,IFERROR(_xlfn.NUMBERVALUE(TRIM(SUBSTITUTE(Base_Bruta!H1955,"R$","")),",","."),0)))</f>
        <v>4</v>
      </c>
      <c r="I1955" s="6" t="n">
        <f aca="false">IF($A1955="","",IF(ISNUMBER(Base_Bruta!I1955),Base_Bruta!I1955,IFERROR(_xlfn.NUMBERVALUE(TRIM(SUBSTITUTE(Base_Bruta!I1955,"R$","")),",","."),0)))</f>
        <v>22.5</v>
      </c>
      <c r="J1955" s="6" t="n">
        <f aca="false">IF($A1955="","",H1955*I1955)</f>
        <v>90</v>
      </c>
      <c r="K1955" s="4" t="str">
        <f aca="false">IF($A1955="","",TRIM(Base_Bruta!J1955))</f>
        <v>Parceiro</v>
      </c>
      <c r="L1955" s="4" t="str">
        <f aca="false">IF($A1955="","",TRIM(Base_Bruta!K1955))</f>
        <v>C00464</v>
      </c>
      <c r="M1955" s="4" t="str">
        <f aca="false">IF($A1955="","",_xlfn.XLOOKUP(LOWER(TRIM(Base_Bruta!L1955)),DePara_Cidade!$A$2:$A$29,DePara_Cidade!$B$2:$B$29,"REVISAR"))</f>
        <v>Belo Horizonte</v>
      </c>
      <c r="N1955" s="4" t="str">
        <f aca="false">IF($A1955="","",UPPER(TRIM(Base_Bruta!M1955)))</f>
        <v>MG</v>
      </c>
      <c r="O1955" s="4" t="str">
        <f aca="false">IF($A1955="","",_xlfn.XLOOKUP(LOWER(TRIM(Base_Bruta!N1955)),DePara_Pais!$A$2:$A$9,DePara_Pais!$B$2:$B$9,"REVISAR"))</f>
        <v>Brasil</v>
      </c>
      <c r="P1955" s="4" t="str">
        <f aca="false">IF($A1955="","",IF(O1955&lt;&gt;"Brasil","Turista Internacional",IF(M1955=F1955,"Local","Turista Nacional")))</f>
        <v>Local</v>
      </c>
      <c r="Q1955" s="7" t="n">
        <f aca="false">IF($A1955="","",DATE(YEAR(B1955),MONTH(B1955),1))</f>
        <v>45992</v>
      </c>
      <c r="R1955" s="4" t="str">
        <f aca="false">IF($A1955="","",IF(COUNTIF($A$2:$A1955,$A1955)&gt;1,"Sim","Não"))</f>
        <v>Sim</v>
      </c>
      <c r="S1955" s="4" t="str">
        <f aca="false">IF(A1955="","Descartar - Linha vazia",IF(R1955="Sim","Descartar - Duplicado",IF(OR(H1955&lt;=0,I1955&lt;=0),"Descartar - Qtd/Valor inválido","OK")))</f>
        <v>Descartar - Duplicado</v>
      </c>
      <c r="T1955" s="4" t="str">
        <f aca="false">Base_Bruta!P1955</f>
        <v>vendas_MG.csv</v>
      </c>
    </row>
    <row r="1956" customFormat="false" ht="15" hidden="false" customHeight="false" outlineLevel="0" collapsed="false">
      <c r="A1956" s="4" t="str">
        <f aca="false">IF(Base_Bruta!A1956="","",Base_Bruta!A1956)</f>
        <v>MG-000349</v>
      </c>
      <c r="B1956" s="5" t="n">
        <f aca="false">IF($A1956="","",IF(ISNUMBER(Base_Bruta!B1956),Base_Bruta!B1956,IF(MID(Base_Bruta!B1956,5,1)="-",DATE(VALUE(LEFT(Base_Bruta!B1956,4)),VALUE(MID(Base_Bruta!B1956,6,2)),VALUE(RIGHT(Base_Bruta!B1956,2))),DATE(VALUE(RIGHT(Base_Bruta!B1956,4)),VALUE(MID(Base_Bruta!B1956,4,2)),VALUE(LEFT(Base_Bruta!B1956,2))))))</f>
        <v>46031</v>
      </c>
      <c r="C1956" s="5" t="n">
        <f aca="false">IF($A1956="","",IF(ISNUMBER(Base_Bruta!C1956),Base_Bruta!C1956,IF(MID(Base_Bruta!C1956,5,1)="-",DATE(VALUE(LEFT(Base_Bruta!C1956,4)),VALUE(MID(Base_Bruta!C1956,6,2)),VALUE(RIGHT(Base_Bruta!C1956,2))),DATE(VALUE(RIGHT(Base_Bruta!C1956,4)),VALUE(MID(Base_Bruta!C1956,4,2)),VALUE(LEFT(Base_Bruta!C1956,2))))))</f>
        <v>46081</v>
      </c>
      <c r="D1956" s="4" t="str">
        <f aca="false">IF($A1956="","",TRIM(Base_Bruta!D1956))</f>
        <v>Show Sertanejo - BH</v>
      </c>
      <c r="E1956" s="4" t="str">
        <f aca="false">IF($A1956="","",_xlfn.XLOOKUP(LOWER(TRIM(Base_Bruta!E1956)),DePara_Categoria!$A$2:$A$9,DePara_Categoria!$B$2:$B$9,"REVISAR"))</f>
        <v>Show</v>
      </c>
      <c r="F1956" s="4" t="str">
        <f aca="false">IF($A1956="","",_xlfn.XLOOKUP(LOWER(TRIM(Base_Bruta!F1956)),DePara_Cidade!$A$2:$A$29,DePara_Cidade!$B$2:$B$29,"REVISAR"))</f>
        <v>Belo Horizonte</v>
      </c>
      <c r="G1956" s="4" t="str">
        <f aca="false">IF($A1956="","",TRIM(Base_Bruta!G1956))</f>
        <v>Inteira</v>
      </c>
      <c r="H1956" s="4" t="n">
        <f aca="false">IF($A1956="","",IF(ISNUMBER(Base_Bruta!H1956),Base_Bruta!H1956,IFERROR(_xlfn.NUMBERVALUE(TRIM(SUBSTITUTE(Base_Bruta!H1956,"R$","")),",","."),0)))</f>
        <v>1</v>
      </c>
      <c r="I1956" s="6" t="n">
        <f aca="false">IF($A1956="","",IF(ISNUMBER(Base_Bruta!I1956),Base_Bruta!I1956,IFERROR(_xlfn.NUMBERVALUE(TRIM(SUBSTITUTE(Base_Bruta!I1956,"R$","")),",","."),0)))</f>
        <v>530</v>
      </c>
      <c r="J1956" s="6" t="n">
        <f aca="false">IF($A1956="","",H1956*I1956)</f>
        <v>530</v>
      </c>
      <c r="K1956" s="4" t="str">
        <f aca="false">IF($A1956="","",TRIM(Base_Bruta!J1956))</f>
        <v>Site</v>
      </c>
      <c r="L1956" s="4" t="str">
        <f aca="false">IF($A1956="","",TRIM(Base_Bruta!K1956))</f>
        <v>C00053</v>
      </c>
      <c r="M1956" s="4" t="str">
        <f aca="false">IF($A1956="","",_xlfn.XLOOKUP(LOWER(TRIM(Base_Bruta!L1956)),DePara_Cidade!$A$2:$A$29,DePara_Cidade!$B$2:$B$29,"REVISAR"))</f>
        <v>Brasília</v>
      </c>
      <c r="N1956" s="4" t="str">
        <f aca="false">IF($A1956="","",UPPER(TRIM(Base_Bruta!M1956)))</f>
        <v>DF</v>
      </c>
      <c r="O1956" s="4" t="str">
        <f aca="false">IF($A1956="","",_xlfn.XLOOKUP(LOWER(TRIM(Base_Bruta!N1956)),DePara_Pais!$A$2:$A$9,DePara_Pais!$B$2:$B$9,"REVISAR"))</f>
        <v>Brasil</v>
      </c>
      <c r="P1956" s="4" t="str">
        <f aca="false">IF($A1956="","",IF(O1956&lt;&gt;"Brasil","Turista Internacional",IF(M1956=F1956,"Local","Turista Nacional")))</f>
        <v>Turista Nacional</v>
      </c>
      <c r="Q1956" s="7" t="n">
        <f aca="false">IF($A1956="","",DATE(YEAR(B1956),MONTH(B1956),1))</f>
        <v>46023</v>
      </c>
      <c r="R1956" s="4" t="str">
        <f aca="false">IF($A1956="","",IF(COUNTIF($A$2:$A1956,$A1956)&gt;1,"Sim","Não"))</f>
        <v>Não</v>
      </c>
      <c r="S1956" s="4" t="str">
        <f aca="false">IF(A1956="","Descartar - Linha vazia",IF(R1956="Sim","Descartar - Duplicado",IF(OR(H1956&lt;=0,I1956&lt;=0),"Descartar - Qtd/Valor inválido","OK")))</f>
        <v>OK</v>
      </c>
      <c r="T1956" s="4" t="str">
        <f aca="false">Base_Bruta!P1956</f>
        <v>vendas_MG.csv</v>
      </c>
    </row>
    <row r="1957" customFormat="false" ht="15" hidden="false" customHeight="false" outlineLevel="0" collapsed="false">
      <c r="A1957" s="4" t="str">
        <f aca="false">IF(Base_Bruta!A1957="","",Base_Bruta!A1957)</f>
        <v>MG-000287</v>
      </c>
      <c r="B1957" s="5" t="n">
        <f aca="false">IF($A1957="","",IF(ISNUMBER(Base_Bruta!B1957),Base_Bruta!B1957,IF(MID(Base_Bruta!B1957,5,1)="-",DATE(VALUE(LEFT(Base_Bruta!B1957,4)),VALUE(MID(Base_Bruta!B1957,6,2)),VALUE(RIGHT(Base_Bruta!B1957,2))),DATE(VALUE(RIGHT(Base_Bruta!B1957,4)),VALUE(MID(Base_Bruta!B1957,4,2)),VALUE(LEFT(Base_Bruta!B1957,2))))))</f>
        <v>46033</v>
      </c>
      <c r="C1957" s="5" t="n">
        <f aca="false">IF($A1957="","",IF(ISNUMBER(Base_Bruta!C1957),Base_Bruta!C1957,IF(MID(Base_Bruta!C1957,5,1)="-",DATE(VALUE(LEFT(Base_Bruta!C1957,4)),VALUE(MID(Base_Bruta!C1957,6,2)),VALUE(RIGHT(Base_Bruta!C1957,2))),DATE(VALUE(RIGHT(Base_Bruta!C1957,4)),VALUE(MID(Base_Bruta!C1957,4,2)),VALUE(LEFT(Base_Bruta!C1957,2))))))</f>
        <v>46081</v>
      </c>
      <c r="D1957" s="4" t="str">
        <f aca="false">IF($A1957="","",TRIM(Base_Bruta!D1957))</f>
        <v>Show Sertanejo - BH</v>
      </c>
      <c r="E1957" s="4" t="str">
        <f aca="false">IF($A1957="","",_xlfn.XLOOKUP(LOWER(TRIM(Base_Bruta!E1957)),DePara_Categoria!$A$2:$A$9,DePara_Categoria!$B$2:$B$9,"REVISAR"))</f>
        <v>Show</v>
      </c>
      <c r="F1957" s="4" t="str">
        <f aca="false">IF($A1957="","",_xlfn.XLOOKUP(LOWER(TRIM(Base_Bruta!F1957)),DePara_Cidade!$A$2:$A$29,DePara_Cidade!$B$2:$B$29,"REVISAR"))</f>
        <v>Belo Horizonte</v>
      </c>
      <c r="G1957" s="4" t="str">
        <f aca="false">IF($A1957="","",TRIM(Base_Bruta!G1957))</f>
        <v>VIP</v>
      </c>
      <c r="H1957" s="4" t="n">
        <f aca="false">IF($A1957="","",IF(ISNUMBER(Base_Bruta!H1957),Base_Bruta!H1957,IFERROR(_xlfn.NUMBERVALUE(TRIM(SUBSTITUTE(Base_Bruta!H1957,"R$","")),",","."),0)))</f>
        <v>2</v>
      </c>
      <c r="I1957" s="6" t="n">
        <f aca="false">IF($A1957="","",IF(ISNUMBER(Base_Bruta!I1957),Base_Bruta!I1957,IFERROR(_xlfn.NUMBERVALUE(TRIM(SUBSTITUTE(Base_Bruta!I1957,"R$","")),",","."),0)))</f>
        <v>1080</v>
      </c>
      <c r="J1957" s="6" t="n">
        <f aca="false">IF($A1957="","",H1957*I1957)</f>
        <v>2160</v>
      </c>
      <c r="K1957" s="4" t="str">
        <f aca="false">IF($A1957="","",TRIM(Base_Bruta!J1957))</f>
        <v>Site</v>
      </c>
      <c r="L1957" s="4" t="str">
        <f aca="false">IF($A1957="","",TRIM(Base_Bruta!K1957))</f>
        <v>C01584</v>
      </c>
      <c r="M1957" s="4" t="str">
        <f aca="false">IF($A1957="","",_xlfn.XLOOKUP(LOWER(TRIM(Base_Bruta!L1957)),DePara_Cidade!$A$2:$A$29,DePara_Cidade!$B$2:$B$29,"REVISAR"))</f>
        <v>Belo Horizonte</v>
      </c>
      <c r="N1957" s="4" t="str">
        <f aca="false">IF($A1957="","",UPPER(TRIM(Base_Bruta!M1957)))</f>
        <v>MG</v>
      </c>
      <c r="O1957" s="4" t="str">
        <f aca="false">IF($A1957="","",_xlfn.XLOOKUP(LOWER(TRIM(Base_Bruta!N1957)),DePara_Pais!$A$2:$A$9,DePara_Pais!$B$2:$B$9,"REVISAR"))</f>
        <v>Brasil</v>
      </c>
      <c r="P1957" s="4" t="str">
        <f aca="false">IF($A1957="","",IF(O1957&lt;&gt;"Brasil","Turista Internacional",IF(M1957=F1957,"Local","Turista Nacional")))</f>
        <v>Local</v>
      </c>
      <c r="Q1957" s="7" t="n">
        <f aca="false">IF($A1957="","",DATE(YEAR(B1957),MONTH(B1957),1))</f>
        <v>46023</v>
      </c>
      <c r="R1957" s="4" t="str">
        <f aca="false">IF($A1957="","",IF(COUNTIF($A$2:$A1957,$A1957)&gt;1,"Sim","Não"))</f>
        <v>Não</v>
      </c>
      <c r="S1957" s="4" t="str">
        <f aca="false">IF(A1957="","Descartar - Linha vazia",IF(R1957="Sim","Descartar - Duplicado",IF(OR(H1957&lt;=0,I1957&lt;=0),"Descartar - Qtd/Valor inválido","OK")))</f>
        <v>OK</v>
      </c>
      <c r="T1957" s="4" t="str">
        <f aca="false">Base_Bruta!P1957</f>
        <v>vendas_MG.csv</v>
      </c>
    </row>
    <row r="1958" customFormat="false" ht="15" hidden="false" customHeight="false" outlineLevel="0" collapsed="false">
      <c r="A1958" s="4" t="str">
        <f aca="false">IF(Base_Bruta!A1958="","",Base_Bruta!A1958)</f>
        <v>MG-000272</v>
      </c>
      <c r="B1958" s="5" t="n">
        <f aca="false">IF($A1958="","",IF(ISNUMBER(Base_Bruta!B1958),Base_Bruta!B1958,IF(MID(Base_Bruta!B1958,5,1)="-",DATE(VALUE(LEFT(Base_Bruta!B1958,4)),VALUE(MID(Base_Bruta!B1958,6,2)),VALUE(RIGHT(Base_Bruta!B1958,2))),DATE(VALUE(RIGHT(Base_Bruta!B1958,4)),VALUE(MID(Base_Bruta!B1958,4,2)),VALUE(LEFT(Base_Bruta!B1958,2))))))</f>
        <v>46034</v>
      </c>
      <c r="C1958" s="5" t="n">
        <f aca="false">IF($A1958="","",IF(ISNUMBER(Base_Bruta!C1958),Base_Bruta!C1958,IF(MID(Base_Bruta!C1958,5,1)="-",DATE(VALUE(LEFT(Base_Bruta!C1958,4)),VALUE(MID(Base_Bruta!C1958,6,2)),VALUE(RIGHT(Base_Bruta!C1958,2))),DATE(VALUE(RIGHT(Base_Bruta!C1958,4)),VALUE(MID(Base_Bruta!C1958,4,2)),VALUE(LEFT(Base_Bruta!C1958,2))))))</f>
        <v>46081</v>
      </c>
      <c r="D1958" s="4" t="str">
        <f aca="false">IF($A1958="","",TRIM(Base_Bruta!D1958))</f>
        <v>Show Sertanejo - BH</v>
      </c>
      <c r="E1958" s="4" t="str">
        <f aca="false">IF($A1958="","",_xlfn.XLOOKUP(LOWER(TRIM(Base_Bruta!E1958)),DePara_Categoria!$A$2:$A$9,DePara_Categoria!$B$2:$B$9,"REVISAR"))</f>
        <v>Show</v>
      </c>
      <c r="F1958" s="4" t="str">
        <f aca="false">IF($A1958="","",_xlfn.XLOOKUP(LOWER(TRIM(Base_Bruta!F1958)),DePara_Cidade!$A$2:$A$29,DePara_Cidade!$B$2:$B$29,"REVISAR"))</f>
        <v>Belo Horizonte</v>
      </c>
      <c r="G1958" s="4" t="str">
        <f aca="false">IF($A1958="","",TRIM(Base_Bruta!G1958))</f>
        <v>Inteira</v>
      </c>
      <c r="H1958" s="4" t="n">
        <f aca="false">IF($A1958="","",IF(ISNUMBER(Base_Bruta!H1958),Base_Bruta!H1958,IFERROR(_xlfn.NUMBERVALUE(TRIM(SUBSTITUTE(Base_Bruta!H1958,"R$","")),",","."),0)))</f>
        <v>2</v>
      </c>
      <c r="I1958" s="6" t="n">
        <f aca="false">IF($A1958="","",IF(ISNUMBER(Base_Bruta!I1958),Base_Bruta!I1958,IFERROR(_xlfn.NUMBERVALUE(TRIM(SUBSTITUTE(Base_Bruta!I1958,"R$","")),",","."),0)))</f>
        <v>395</v>
      </c>
      <c r="J1958" s="6" t="n">
        <f aca="false">IF($A1958="","",H1958*I1958)</f>
        <v>790</v>
      </c>
      <c r="K1958" s="4" t="str">
        <f aca="false">IF($A1958="","",TRIM(Base_Bruta!J1958))</f>
        <v>App</v>
      </c>
      <c r="L1958" s="4" t="str">
        <f aca="false">IF($A1958="","",TRIM(Base_Bruta!K1958))</f>
        <v>C01626</v>
      </c>
      <c r="M1958" s="4" t="str">
        <f aca="false">IF($A1958="","",_xlfn.XLOOKUP(LOWER(TRIM(Base_Bruta!L1958)),DePara_Cidade!$A$2:$A$29,DePara_Cidade!$B$2:$B$29,"REVISAR"))</f>
        <v>Belo Horizonte</v>
      </c>
      <c r="N1958" s="4" t="str">
        <f aca="false">IF($A1958="","",UPPER(TRIM(Base_Bruta!M1958)))</f>
        <v>MG</v>
      </c>
      <c r="O1958" s="4" t="str">
        <f aca="false">IF($A1958="","",_xlfn.XLOOKUP(LOWER(TRIM(Base_Bruta!N1958)),DePara_Pais!$A$2:$A$9,DePara_Pais!$B$2:$B$9,"REVISAR"))</f>
        <v>Brasil</v>
      </c>
      <c r="P1958" s="4" t="str">
        <f aca="false">IF($A1958="","",IF(O1958&lt;&gt;"Brasil","Turista Internacional",IF(M1958=F1958,"Local","Turista Nacional")))</f>
        <v>Local</v>
      </c>
      <c r="Q1958" s="7" t="n">
        <f aca="false">IF($A1958="","",DATE(YEAR(B1958),MONTH(B1958),1))</f>
        <v>46023</v>
      </c>
      <c r="R1958" s="4" t="str">
        <f aca="false">IF($A1958="","",IF(COUNTIF($A$2:$A1958,$A1958)&gt;1,"Sim","Não"))</f>
        <v>Não</v>
      </c>
      <c r="S1958" s="4" t="str">
        <f aca="false">IF(A1958="","Descartar - Linha vazia",IF(R1958="Sim","Descartar - Duplicado",IF(OR(H1958&lt;=0,I1958&lt;=0),"Descartar - Qtd/Valor inválido","OK")))</f>
        <v>OK</v>
      </c>
      <c r="T1958" s="4" t="str">
        <f aca="false">Base_Bruta!P1958</f>
        <v>vendas_MG.csv</v>
      </c>
    </row>
    <row r="1959" customFormat="false" ht="15" hidden="false" customHeight="false" outlineLevel="0" collapsed="false">
      <c r="A1959" s="4" t="str">
        <f aca="false">IF(Base_Bruta!A1959="","",Base_Bruta!A1959)</f>
        <v>MG-000300</v>
      </c>
      <c r="B1959" s="5" t="n">
        <f aca="false">IF($A1959="","",IF(ISNUMBER(Base_Bruta!B1959),Base_Bruta!B1959,IF(MID(Base_Bruta!B1959,5,1)="-",DATE(VALUE(LEFT(Base_Bruta!B1959,4)),VALUE(MID(Base_Bruta!B1959,6,2)),VALUE(RIGHT(Base_Bruta!B1959,2))),DATE(VALUE(RIGHT(Base_Bruta!B1959,4)),VALUE(MID(Base_Bruta!B1959,4,2)),VALUE(LEFT(Base_Bruta!B1959,2))))))</f>
        <v>46034</v>
      </c>
      <c r="C1959" s="5" t="n">
        <f aca="false">IF($A1959="","",IF(ISNUMBER(Base_Bruta!C1959),Base_Bruta!C1959,IF(MID(Base_Bruta!C1959,5,1)="-",DATE(VALUE(LEFT(Base_Bruta!C1959,4)),VALUE(MID(Base_Bruta!C1959,6,2)),VALUE(RIGHT(Base_Bruta!C1959,2))),DATE(VALUE(RIGHT(Base_Bruta!C1959,4)),VALUE(MID(Base_Bruta!C1959,4,2)),VALUE(LEFT(Base_Bruta!C1959,2))))))</f>
        <v>46081</v>
      </c>
      <c r="D1959" s="4" t="str">
        <f aca="false">IF($A1959="","",TRIM(Base_Bruta!D1959))</f>
        <v>Show Sertanejo - BH</v>
      </c>
      <c r="E1959" s="4" t="str">
        <f aca="false">IF($A1959="","",_xlfn.XLOOKUP(LOWER(TRIM(Base_Bruta!E1959)),DePara_Categoria!$A$2:$A$9,DePara_Categoria!$B$2:$B$9,"REVISAR"))</f>
        <v>Show</v>
      </c>
      <c r="F1959" s="4" t="str">
        <f aca="false">IF($A1959="","",_xlfn.XLOOKUP(LOWER(TRIM(Base_Bruta!F1959)),DePara_Cidade!$A$2:$A$29,DePara_Cidade!$B$2:$B$29,"REVISAR"))</f>
        <v>Belo Horizonte</v>
      </c>
      <c r="G1959" s="4" t="str">
        <f aca="false">IF($A1959="","",TRIM(Base_Bruta!G1959))</f>
        <v>Inteira</v>
      </c>
      <c r="H1959" s="4" t="n">
        <f aca="false">IF($A1959="","",IF(ISNUMBER(Base_Bruta!H1959),Base_Bruta!H1959,IFERROR(_xlfn.NUMBERVALUE(TRIM(SUBSTITUTE(Base_Bruta!H1959,"R$","")),",","."),0)))</f>
        <v>2</v>
      </c>
      <c r="I1959" s="6" t="n">
        <f aca="false">IF($A1959="","",IF(ISNUMBER(Base_Bruta!I1959),Base_Bruta!I1959,IFERROR(_xlfn.NUMBERVALUE(TRIM(SUBSTITUTE(Base_Bruta!I1959,"R$","")),",","."),0)))</f>
        <v>305</v>
      </c>
      <c r="J1959" s="6" t="n">
        <f aca="false">IF($A1959="","",H1959*I1959)</f>
        <v>610</v>
      </c>
      <c r="K1959" s="4" t="str">
        <f aca="false">IF($A1959="","",TRIM(Base_Bruta!J1959))</f>
        <v>Site</v>
      </c>
      <c r="L1959" s="4" t="str">
        <f aca="false">IF($A1959="","",TRIM(Base_Bruta!K1959))</f>
        <v>C02290</v>
      </c>
      <c r="M1959" s="4" t="str">
        <f aca="false">IF($A1959="","",_xlfn.XLOOKUP(LOWER(TRIM(Base_Bruta!L1959)),DePara_Cidade!$A$2:$A$29,DePara_Cidade!$B$2:$B$29,"REVISAR"))</f>
        <v>Belo Horizonte</v>
      </c>
      <c r="N1959" s="4" t="str">
        <f aca="false">IF($A1959="","",UPPER(TRIM(Base_Bruta!M1959)))</f>
        <v>MG</v>
      </c>
      <c r="O1959" s="4" t="str">
        <f aca="false">IF($A1959="","",_xlfn.XLOOKUP(LOWER(TRIM(Base_Bruta!N1959)),DePara_Pais!$A$2:$A$9,DePara_Pais!$B$2:$B$9,"REVISAR"))</f>
        <v>Brasil</v>
      </c>
      <c r="P1959" s="4" t="str">
        <f aca="false">IF($A1959="","",IF(O1959&lt;&gt;"Brasil","Turista Internacional",IF(M1959=F1959,"Local","Turista Nacional")))</f>
        <v>Local</v>
      </c>
      <c r="Q1959" s="7" t="n">
        <f aca="false">IF($A1959="","",DATE(YEAR(B1959),MONTH(B1959),1))</f>
        <v>46023</v>
      </c>
      <c r="R1959" s="4" t="str">
        <f aca="false">IF($A1959="","",IF(COUNTIF($A$2:$A1959,$A1959)&gt;1,"Sim","Não"))</f>
        <v>Não</v>
      </c>
      <c r="S1959" s="4" t="str">
        <f aca="false">IF(A1959="","Descartar - Linha vazia",IF(R1959="Sim","Descartar - Duplicado",IF(OR(H1959&lt;=0,I1959&lt;=0),"Descartar - Qtd/Valor inválido","OK")))</f>
        <v>OK</v>
      </c>
      <c r="T1959" s="4" t="str">
        <f aca="false">Base_Bruta!P1959</f>
        <v>vendas_MG.csv</v>
      </c>
    </row>
    <row r="1960" customFormat="false" ht="15" hidden="false" customHeight="false" outlineLevel="0" collapsed="false">
      <c r="A1960" s="4" t="str">
        <f aca="false">IF(Base_Bruta!A1960="","",Base_Bruta!A1960)</f>
        <v>MG-000256</v>
      </c>
      <c r="B1960" s="5" t="n">
        <f aca="false">IF($A1960="","",IF(ISNUMBER(Base_Bruta!B1960),Base_Bruta!B1960,IF(MID(Base_Bruta!B1960,5,1)="-",DATE(VALUE(LEFT(Base_Bruta!B1960,4)),VALUE(MID(Base_Bruta!B1960,6,2)),VALUE(RIGHT(Base_Bruta!B1960,2))),DATE(VALUE(RIGHT(Base_Bruta!B1960,4)),VALUE(MID(Base_Bruta!B1960,4,2)),VALUE(LEFT(Base_Bruta!B1960,2))))))</f>
        <v>46035</v>
      </c>
      <c r="C1960" s="5" t="n">
        <f aca="false">IF($A1960="","",IF(ISNUMBER(Base_Bruta!C1960),Base_Bruta!C1960,IF(MID(Base_Bruta!C1960,5,1)="-",DATE(VALUE(LEFT(Base_Bruta!C1960,4)),VALUE(MID(Base_Bruta!C1960,6,2)),VALUE(RIGHT(Base_Bruta!C1960,2))),DATE(VALUE(RIGHT(Base_Bruta!C1960,4)),VALUE(MID(Base_Bruta!C1960,4,2)),VALUE(LEFT(Base_Bruta!C1960,2))))))</f>
        <v>46081</v>
      </c>
      <c r="D1960" s="4" t="str">
        <f aca="false">IF($A1960="","",TRIM(Base_Bruta!D1960))</f>
        <v>Show Sertanejo - BH</v>
      </c>
      <c r="E1960" s="4" t="str">
        <f aca="false">IF($A1960="","",_xlfn.XLOOKUP(LOWER(TRIM(Base_Bruta!E1960)),DePara_Categoria!$A$2:$A$9,DePara_Categoria!$B$2:$B$9,"REVISAR"))</f>
        <v>Show</v>
      </c>
      <c r="F1960" s="4" t="str">
        <f aca="false">IF($A1960="","",_xlfn.XLOOKUP(LOWER(TRIM(Base_Bruta!F1960)),DePara_Cidade!$A$2:$A$29,DePara_Cidade!$B$2:$B$29,"REVISAR"))</f>
        <v>Belo Horizonte</v>
      </c>
      <c r="G1960" s="4" t="str">
        <f aca="false">IF($A1960="","",TRIM(Base_Bruta!G1960))</f>
        <v>Inteira</v>
      </c>
      <c r="H1960" s="4" t="n">
        <f aca="false">IF($A1960="","",IF(ISNUMBER(Base_Bruta!H1960),Base_Bruta!H1960,IFERROR(_xlfn.NUMBERVALUE(TRIM(SUBSTITUTE(Base_Bruta!H1960,"R$","")),",","."),0)))</f>
        <v>4</v>
      </c>
      <c r="I1960" s="6" t="n">
        <f aca="false">IF($A1960="","",IF(ISNUMBER(Base_Bruta!I1960),Base_Bruta!I1960,IFERROR(_xlfn.NUMBERVALUE(TRIM(SUBSTITUTE(Base_Bruta!I1960,"R$","")),",","."),0)))</f>
        <v>510</v>
      </c>
      <c r="J1960" s="6" t="n">
        <f aca="false">IF($A1960="","",H1960*I1960)</f>
        <v>2040</v>
      </c>
      <c r="K1960" s="4" t="str">
        <f aca="false">IF($A1960="","",TRIM(Base_Bruta!J1960))</f>
        <v>Site</v>
      </c>
      <c r="L1960" s="4" t="str">
        <f aca="false">IF($A1960="","",TRIM(Base_Bruta!K1960))</f>
        <v>C00945</v>
      </c>
      <c r="M1960" s="4" t="str">
        <f aca="false">IF($A1960="","",_xlfn.XLOOKUP(LOWER(TRIM(Base_Bruta!L1960)),DePara_Cidade!$A$2:$A$29,DePara_Cidade!$B$2:$B$29,"REVISAR"))</f>
        <v>Belo Horizonte</v>
      </c>
      <c r="N1960" s="4" t="str">
        <f aca="false">IF($A1960="","",UPPER(TRIM(Base_Bruta!M1960)))</f>
        <v>MG</v>
      </c>
      <c r="O1960" s="4" t="str">
        <f aca="false">IF($A1960="","",_xlfn.XLOOKUP(LOWER(TRIM(Base_Bruta!N1960)),DePara_Pais!$A$2:$A$9,DePara_Pais!$B$2:$B$9,"REVISAR"))</f>
        <v>Brasil</v>
      </c>
      <c r="P1960" s="4" t="str">
        <f aca="false">IF($A1960="","",IF(O1960&lt;&gt;"Brasil","Turista Internacional",IF(M1960=F1960,"Local","Turista Nacional")))</f>
        <v>Local</v>
      </c>
      <c r="Q1960" s="7" t="n">
        <f aca="false">IF($A1960="","",DATE(YEAR(B1960),MONTH(B1960),1))</f>
        <v>46023</v>
      </c>
      <c r="R1960" s="4" t="str">
        <f aca="false">IF($A1960="","",IF(COUNTIF($A$2:$A1960,$A1960)&gt;1,"Sim","Não"))</f>
        <v>Não</v>
      </c>
      <c r="S1960" s="4" t="str">
        <f aca="false">IF(A1960="","Descartar - Linha vazia",IF(R1960="Sim","Descartar - Duplicado",IF(OR(H1960&lt;=0,I1960&lt;=0),"Descartar - Qtd/Valor inválido","OK")))</f>
        <v>OK</v>
      </c>
      <c r="T1960" s="4" t="str">
        <f aca="false">Base_Bruta!P1960</f>
        <v>vendas_MG.csv</v>
      </c>
    </row>
    <row r="1961" customFormat="false" ht="15" hidden="false" customHeight="false" outlineLevel="0" collapsed="false">
      <c r="A1961" s="4" t="str">
        <f aca="false">IF(Base_Bruta!A1961="","",Base_Bruta!A1961)</f>
        <v>MG-000283</v>
      </c>
      <c r="B1961" s="5" t="n">
        <f aca="false">IF($A1961="","",IF(ISNUMBER(Base_Bruta!B1961),Base_Bruta!B1961,IF(MID(Base_Bruta!B1961,5,1)="-",DATE(VALUE(LEFT(Base_Bruta!B1961,4)),VALUE(MID(Base_Bruta!B1961,6,2)),VALUE(RIGHT(Base_Bruta!B1961,2))),DATE(VALUE(RIGHT(Base_Bruta!B1961,4)),VALUE(MID(Base_Bruta!B1961,4,2)),VALUE(LEFT(Base_Bruta!B1961,2))))))</f>
        <v>46035</v>
      </c>
      <c r="C1961" s="5" t="n">
        <f aca="false">IF($A1961="","",IF(ISNUMBER(Base_Bruta!C1961),Base_Bruta!C1961,IF(MID(Base_Bruta!C1961,5,1)="-",DATE(VALUE(LEFT(Base_Bruta!C1961,4)),VALUE(MID(Base_Bruta!C1961,6,2)),VALUE(RIGHT(Base_Bruta!C1961,2))),DATE(VALUE(RIGHT(Base_Bruta!C1961,4)),VALUE(MID(Base_Bruta!C1961,4,2)),VALUE(LEFT(Base_Bruta!C1961,2))))))</f>
        <v>46081</v>
      </c>
      <c r="D1961" s="4" t="str">
        <f aca="false">IF($A1961="","",TRIM(Base_Bruta!D1961))</f>
        <v>Show Sertanejo - BH</v>
      </c>
      <c r="E1961" s="4" t="str">
        <f aca="false">IF($A1961="","",_xlfn.XLOOKUP(LOWER(TRIM(Base_Bruta!E1961)),DePara_Categoria!$A$2:$A$9,DePara_Categoria!$B$2:$B$9,"REVISAR"))</f>
        <v>Show</v>
      </c>
      <c r="F1961" s="4" t="str">
        <f aca="false">IF($A1961="","",_xlfn.XLOOKUP(LOWER(TRIM(Base_Bruta!F1961)),DePara_Cidade!$A$2:$A$29,DePara_Cidade!$B$2:$B$29,"REVISAR"))</f>
        <v>Belo Horizonte</v>
      </c>
      <c r="G1961" s="4" t="str">
        <f aca="false">IF($A1961="","",TRIM(Base_Bruta!G1961))</f>
        <v>VIP</v>
      </c>
      <c r="H1961" s="4" t="n">
        <f aca="false">IF($A1961="","",IF(ISNUMBER(Base_Bruta!H1961),Base_Bruta!H1961,IFERROR(_xlfn.NUMBERVALUE(TRIM(SUBSTITUTE(Base_Bruta!H1961,"R$","")),",","."),0)))</f>
        <v>3</v>
      </c>
      <c r="I1961" s="6" t="n">
        <f aca="false">IF($A1961="","",IF(ISNUMBER(Base_Bruta!I1961),Base_Bruta!I1961,IFERROR(_xlfn.NUMBERVALUE(TRIM(SUBSTITUTE(Base_Bruta!I1961,"R$","")),",","."),0)))</f>
        <v>1190</v>
      </c>
      <c r="J1961" s="6" t="n">
        <f aca="false">IF($A1961="","",H1961*I1961)</f>
        <v>3570</v>
      </c>
      <c r="K1961" s="4" t="str">
        <f aca="false">IF($A1961="","",TRIM(Base_Bruta!J1961))</f>
        <v>App</v>
      </c>
      <c r="L1961" s="4" t="str">
        <f aca="false">IF($A1961="","",TRIM(Base_Bruta!K1961))</f>
        <v>C00110</v>
      </c>
      <c r="M1961" s="4" t="str">
        <f aca="false">IF($A1961="","",_xlfn.XLOOKUP(LOWER(TRIM(Base_Bruta!L1961)),DePara_Cidade!$A$2:$A$29,DePara_Cidade!$B$2:$B$29,"REVISAR"))</f>
        <v>Contagem</v>
      </c>
      <c r="N1961" s="4" t="str">
        <f aca="false">IF($A1961="","",UPPER(TRIM(Base_Bruta!M1961)))</f>
        <v>MG</v>
      </c>
      <c r="O1961" s="4" t="str">
        <f aca="false">IF($A1961="","",_xlfn.XLOOKUP(LOWER(TRIM(Base_Bruta!N1961)),DePara_Pais!$A$2:$A$9,DePara_Pais!$B$2:$B$9,"REVISAR"))</f>
        <v>Brasil</v>
      </c>
      <c r="P1961" s="4" t="str">
        <f aca="false">IF($A1961="","",IF(O1961&lt;&gt;"Brasil","Turista Internacional",IF(M1961=F1961,"Local","Turista Nacional")))</f>
        <v>Turista Nacional</v>
      </c>
      <c r="Q1961" s="7" t="n">
        <f aca="false">IF($A1961="","",DATE(YEAR(B1961),MONTH(B1961),1))</f>
        <v>46023</v>
      </c>
      <c r="R1961" s="4" t="str">
        <f aca="false">IF($A1961="","",IF(COUNTIF($A$2:$A1961,$A1961)&gt;1,"Sim","Não"))</f>
        <v>Não</v>
      </c>
      <c r="S1961" s="4" t="str">
        <f aca="false">IF(A1961="","Descartar - Linha vazia",IF(R1961="Sim","Descartar - Duplicado",IF(OR(H1961&lt;=0,I1961&lt;=0),"Descartar - Qtd/Valor inválido","OK")))</f>
        <v>OK</v>
      </c>
      <c r="T1961" s="4" t="str">
        <f aca="false">Base_Bruta!P1961</f>
        <v>vendas_MG.csv</v>
      </c>
    </row>
    <row r="1962" customFormat="false" ht="15" hidden="false" customHeight="false" outlineLevel="0" collapsed="false">
      <c r="A1962" s="4" t="str">
        <f aca="false">IF(Base_Bruta!A1962="","",Base_Bruta!A1962)</f>
        <v>MG-000493</v>
      </c>
      <c r="B1962" s="5" t="n">
        <f aca="false">IF($A1962="","",IF(ISNUMBER(Base_Bruta!B1962),Base_Bruta!B1962,IF(MID(Base_Bruta!B1962,5,1)="-",DATE(VALUE(LEFT(Base_Bruta!B1962,4)),VALUE(MID(Base_Bruta!B1962,6,2)),VALUE(RIGHT(Base_Bruta!B1962,2))),DATE(VALUE(RIGHT(Base_Bruta!B1962,4)),VALUE(MID(Base_Bruta!B1962,4,2)),VALUE(LEFT(Base_Bruta!B1962,2))))))</f>
        <v>46035</v>
      </c>
      <c r="C1962" s="5" t="n">
        <f aca="false">IF($A1962="","",IF(ISNUMBER(Base_Bruta!C1962),Base_Bruta!C1962,IF(MID(Base_Bruta!C1962,5,1)="-",DATE(VALUE(LEFT(Base_Bruta!C1962,4)),VALUE(MID(Base_Bruta!C1962,6,2)),VALUE(RIGHT(Base_Bruta!C1962,2))),DATE(VALUE(RIGHT(Base_Bruta!C1962,4)),VALUE(MID(Base_Bruta!C1962,4,2)),VALUE(LEFT(Base_Bruta!C1962,2))))))</f>
        <v>46035</v>
      </c>
      <c r="D1962" s="4" t="str">
        <f aca="false">IF($A1962="","",TRIM(Base_Bruta!D1962))</f>
        <v>Cinema Savassi - Sessões</v>
      </c>
      <c r="E1962" s="4" t="str">
        <f aca="false">IF($A1962="","",_xlfn.XLOOKUP(LOWER(TRIM(Base_Bruta!E1962)),DePara_Categoria!$A$2:$A$9,DePara_Categoria!$B$2:$B$9,"REVISAR"))</f>
        <v>Cinema</v>
      </c>
      <c r="F1962" s="4" t="str">
        <f aca="false">IF($A1962="","",_xlfn.XLOOKUP(LOWER(TRIM(Base_Bruta!F1962)),DePara_Cidade!$A$2:$A$29,DePara_Cidade!$B$2:$B$29,"REVISAR"))</f>
        <v>Belo Horizonte</v>
      </c>
      <c r="G1962" s="4" t="str">
        <f aca="false">IF($A1962="","",TRIM(Base_Bruta!G1962))</f>
        <v>Meia</v>
      </c>
      <c r="H1962" s="4" t="n">
        <f aca="false">IF($A1962="","",IF(ISNUMBER(Base_Bruta!H1962),Base_Bruta!H1962,IFERROR(_xlfn.NUMBERVALUE(TRIM(SUBSTITUTE(Base_Bruta!H1962,"R$","")),",","."),0)))</f>
        <v>1</v>
      </c>
      <c r="I1962" s="6" t="n">
        <f aca="false">IF($A1962="","",IF(ISNUMBER(Base_Bruta!I1962),Base_Bruta!I1962,IFERROR(_xlfn.NUMBERVALUE(TRIM(SUBSTITUTE(Base_Bruta!I1962,"R$","")),",","."),0)))</f>
        <v>20</v>
      </c>
      <c r="J1962" s="6" t="n">
        <f aca="false">IF($A1962="","",H1962*I1962)</f>
        <v>20</v>
      </c>
      <c r="K1962" s="4" t="str">
        <f aca="false">IF($A1962="","",TRIM(Base_Bruta!J1962))</f>
        <v>Site</v>
      </c>
      <c r="L1962" s="4" t="str">
        <f aca="false">IF($A1962="","",TRIM(Base_Bruta!K1962))</f>
        <v>C00419</v>
      </c>
      <c r="M1962" s="4" t="str">
        <f aca="false">IF($A1962="","",_xlfn.XLOOKUP(LOWER(TRIM(Base_Bruta!L1962)),DePara_Cidade!$A$2:$A$29,DePara_Cidade!$B$2:$B$29,"REVISAR"))</f>
        <v>Belo Horizonte</v>
      </c>
      <c r="N1962" s="4" t="str">
        <f aca="false">IF($A1962="","",UPPER(TRIM(Base_Bruta!M1962)))</f>
        <v>MG</v>
      </c>
      <c r="O1962" s="4" t="str">
        <f aca="false">IF($A1962="","",_xlfn.XLOOKUP(LOWER(TRIM(Base_Bruta!N1962)),DePara_Pais!$A$2:$A$9,DePara_Pais!$B$2:$B$9,"REVISAR"))</f>
        <v>Brasil</v>
      </c>
      <c r="P1962" s="4" t="str">
        <f aca="false">IF($A1962="","",IF(O1962&lt;&gt;"Brasil","Turista Internacional",IF(M1962=F1962,"Local","Turista Nacional")))</f>
        <v>Local</v>
      </c>
      <c r="Q1962" s="7" t="n">
        <f aca="false">IF($A1962="","",DATE(YEAR(B1962),MONTH(B1962),1))</f>
        <v>46023</v>
      </c>
      <c r="R1962" s="4" t="str">
        <f aca="false">IF($A1962="","",IF(COUNTIF($A$2:$A1962,$A1962)&gt;1,"Sim","Não"))</f>
        <v>Não</v>
      </c>
      <c r="S1962" s="4" t="str">
        <f aca="false">IF(A1962="","Descartar - Linha vazia",IF(R1962="Sim","Descartar - Duplicado",IF(OR(H1962&lt;=0,I1962&lt;=0),"Descartar - Qtd/Valor inválido","OK")))</f>
        <v>OK</v>
      </c>
      <c r="T1962" s="4" t="str">
        <f aca="false">Base_Bruta!P1962</f>
        <v>vendas_MG.csv</v>
      </c>
    </row>
    <row r="1963" customFormat="false" ht="15" hidden="false" customHeight="false" outlineLevel="0" collapsed="false">
      <c r="A1963" s="4" t="str">
        <f aca="false">IF(Base_Bruta!A1963="","",Base_Bruta!A1963)</f>
        <v>MG-000262</v>
      </c>
      <c r="B1963" s="5" t="n">
        <f aca="false">IF($A1963="","",IF(ISNUMBER(Base_Bruta!B1963),Base_Bruta!B1963,IF(MID(Base_Bruta!B1963,5,1)="-",DATE(VALUE(LEFT(Base_Bruta!B1963,4)),VALUE(MID(Base_Bruta!B1963,6,2)),VALUE(RIGHT(Base_Bruta!B1963,2))),DATE(VALUE(RIGHT(Base_Bruta!B1963,4)),VALUE(MID(Base_Bruta!B1963,4,2)),VALUE(LEFT(Base_Bruta!B1963,2))))))</f>
        <v>46037</v>
      </c>
      <c r="C1963" s="5" t="n">
        <f aca="false">IF($A1963="","",IF(ISNUMBER(Base_Bruta!C1963),Base_Bruta!C1963,IF(MID(Base_Bruta!C1963,5,1)="-",DATE(VALUE(LEFT(Base_Bruta!C1963,4)),VALUE(MID(Base_Bruta!C1963,6,2)),VALUE(RIGHT(Base_Bruta!C1963,2))),DATE(VALUE(RIGHT(Base_Bruta!C1963,4)),VALUE(MID(Base_Bruta!C1963,4,2)),VALUE(LEFT(Base_Bruta!C1963,2))))))</f>
        <v>46081</v>
      </c>
      <c r="D1963" s="4" t="str">
        <f aca="false">IF($A1963="","",TRIM(Base_Bruta!D1963))</f>
        <v>Show Sertanejo - BH</v>
      </c>
      <c r="E1963" s="4" t="str">
        <f aca="false">IF($A1963="","",_xlfn.XLOOKUP(LOWER(TRIM(Base_Bruta!E1963)),DePara_Categoria!$A$2:$A$9,DePara_Categoria!$B$2:$B$9,"REVISAR"))</f>
        <v>Show</v>
      </c>
      <c r="F1963" s="4" t="str">
        <f aca="false">IF($A1963="","",_xlfn.XLOOKUP(LOWER(TRIM(Base_Bruta!F1963)),DePara_Cidade!$A$2:$A$29,DePara_Cidade!$B$2:$B$29,"REVISAR"))</f>
        <v>Belo Horizonte</v>
      </c>
      <c r="G1963" s="4" t="str">
        <f aca="false">IF($A1963="","",TRIM(Base_Bruta!G1963))</f>
        <v>Inteira</v>
      </c>
      <c r="H1963" s="4" t="n">
        <f aca="false">IF($A1963="","",IF(ISNUMBER(Base_Bruta!H1963),Base_Bruta!H1963,IFERROR(_xlfn.NUMBERVALUE(TRIM(SUBSTITUTE(Base_Bruta!H1963,"R$","")),",","."),0)))</f>
        <v>3</v>
      </c>
      <c r="I1963" s="6" t="n">
        <f aca="false">IF($A1963="","",IF(ISNUMBER(Base_Bruta!I1963),Base_Bruta!I1963,IFERROR(_xlfn.NUMBERVALUE(TRIM(SUBSTITUTE(Base_Bruta!I1963,"R$","")),",","."),0)))</f>
        <v>510</v>
      </c>
      <c r="J1963" s="6" t="n">
        <f aca="false">IF($A1963="","",H1963*I1963)</f>
        <v>1530</v>
      </c>
      <c r="K1963" s="4" t="str">
        <f aca="false">IF($A1963="","",TRIM(Base_Bruta!J1963))</f>
        <v>App</v>
      </c>
      <c r="L1963" s="4" t="str">
        <f aca="false">IF($A1963="","",TRIM(Base_Bruta!K1963))</f>
        <v>C01857</v>
      </c>
      <c r="M1963" s="4" t="str">
        <f aca="false">IF($A1963="","",_xlfn.XLOOKUP(LOWER(TRIM(Base_Bruta!L1963)),DePara_Cidade!$A$2:$A$29,DePara_Cidade!$B$2:$B$29,"REVISAR"))</f>
        <v>Curitiba</v>
      </c>
      <c r="N1963" s="4" t="str">
        <f aca="false">IF($A1963="","",UPPER(TRIM(Base_Bruta!M1963)))</f>
        <v>PR</v>
      </c>
      <c r="O1963" s="4" t="str">
        <f aca="false">IF($A1963="","",_xlfn.XLOOKUP(LOWER(TRIM(Base_Bruta!N1963)),DePara_Pais!$A$2:$A$9,DePara_Pais!$B$2:$B$9,"REVISAR"))</f>
        <v>Brasil</v>
      </c>
      <c r="P1963" s="4" t="str">
        <f aca="false">IF($A1963="","",IF(O1963&lt;&gt;"Brasil","Turista Internacional",IF(M1963=F1963,"Local","Turista Nacional")))</f>
        <v>Turista Nacional</v>
      </c>
      <c r="Q1963" s="7" t="n">
        <f aca="false">IF($A1963="","",DATE(YEAR(B1963),MONTH(B1963),1))</f>
        <v>46023</v>
      </c>
      <c r="R1963" s="4" t="str">
        <f aca="false">IF($A1963="","",IF(COUNTIF($A$2:$A1963,$A1963)&gt;1,"Sim","Não"))</f>
        <v>Não</v>
      </c>
      <c r="S1963" s="4" t="str">
        <f aca="false">IF(A1963="","Descartar - Linha vazia",IF(R1963="Sim","Descartar - Duplicado",IF(OR(H1963&lt;=0,I1963&lt;=0),"Descartar - Qtd/Valor inválido","OK")))</f>
        <v>OK</v>
      </c>
      <c r="T1963" s="4" t="str">
        <f aca="false">Base_Bruta!P1963</f>
        <v>vendas_MG.csv</v>
      </c>
    </row>
    <row r="1964" customFormat="false" ht="15" hidden="false" customHeight="false" outlineLevel="0" collapsed="false">
      <c r="A1964" s="4" t="str">
        <f aca="false">IF(Base_Bruta!A1964="","",Base_Bruta!A1964)</f>
        <v>MG-000279</v>
      </c>
      <c r="B1964" s="5" t="n">
        <f aca="false">IF($A1964="","",IF(ISNUMBER(Base_Bruta!B1964),Base_Bruta!B1964,IF(MID(Base_Bruta!B1964,5,1)="-",DATE(VALUE(LEFT(Base_Bruta!B1964,4)),VALUE(MID(Base_Bruta!B1964,6,2)),VALUE(RIGHT(Base_Bruta!B1964,2))),DATE(VALUE(RIGHT(Base_Bruta!B1964,4)),VALUE(MID(Base_Bruta!B1964,4,2)),VALUE(LEFT(Base_Bruta!B1964,2))))))</f>
        <v>46037</v>
      </c>
      <c r="C1964" s="5" t="n">
        <f aca="false">IF($A1964="","",IF(ISNUMBER(Base_Bruta!C1964),Base_Bruta!C1964,IF(MID(Base_Bruta!C1964,5,1)="-",DATE(VALUE(LEFT(Base_Bruta!C1964,4)),VALUE(MID(Base_Bruta!C1964,6,2)),VALUE(RIGHT(Base_Bruta!C1964,2))),DATE(VALUE(RIGHT(Base_Bruta!C1964,4)),VALUE(MID(Base_Bruta!C1964,4,2)),VALUE(LEFT(Base_Bruta!C1964,2))))))</f>
        <v>46081</v>
      </c>
      <c r="D1964" s="4" t="str">
        <f aca="false">IF($A1964="","",TRIM(Base_Bruta!D1964))</f>
        <v>Show Sertanejo - BH</v>
      </c>
      <c r="E1964" s="4" t="str">
        <f aca="false">IF($A1964="","",_xlfn.XLOOKUP(LOWER(TRIM(Base_Bruta!E1964)),DePara_Categoria!$A$2:$A$9,DePara_Categoria!$B$2:$B$9,"REVISAR"))</f>
        <v>Show</v>
      </c>
      <c r="F1964" s="4" t="str">
        <f aca="false">IF($A1964="","",_xlfn.XLOOKUP(LOWER(TRIM(Base_Bruta!F1964)),DePara_Cidade!$A$2:$A$29,DePara_Cidade!$B$2:$B$29,"REVISAR"))</f>
        <v>Belo Horizonte</v>
      </c>
      <c r="G1964" s="4" t="str">
        <f aca="false">IF($A1964="","",TRIM(Base_Bruta!G1964))</f>
        <v>Meia</v>
      </c>
      <c r="H1964" s="4" t="n">
        <f aca="false">IF($A1964="","",IF(ISNUMBER(Base_Bruta!H1964),Base_Bruta!H1964,IFERROR(_xlfn.NUMBERVALUE(TRIM(SUBSTITUTE(Base_Bruta!H1964,"R$","")),",","."),0)))</f>
        <v>1</v>
      </c>
      <c r="I1964" s="6" t="n">
        <f aca="false">IF($A1964="","",IF(ISNUMBER(Base_Bruta!I1964),Base_Bruta!I1964,IFERROR(_xlfn.NUMBERVALUE(TRIM(SUBSTITUTE(Base_Bruta!I1964,"R$","")),",","."),0)))</f>
        <v>315</v>
      </c>
      <c r="J1964" s="6" t="n">
        <f aca="false">IF($A1964="","",H1964*I1964)</f>
        <v>315</v>
      </c>
      <c r="K1964" s="4" t="str">
        <f aca="false">IF($A1964="","",TRIM(Base_Bruta!J1964))</f>
        <v>Parceiro</v>
      </c>
      <c r="L1964" s="4" t="str">
        <f aca="false">IF($A1964="","",TRIM(Base_Bruta!K1964))</f>
        <v>C00718</v>
      </c>
      <c r="M1964" s="4" t="str">
        <f aca="false">IF($A1964="","",_xlfn.XLOOKUP(LOWER(TRIM(Base_Bruta!L1964)),DePara_Cidade!$A$2:$A$29,DePara_Cidade!$B$2:$B$29,"REVISAR"))</f>
        <v>Belo Horizonte</v>
      </c>
      <c r="N1964" s="4" t="str">
        <f aca="false">IF($A1964="","",UPPER(TRIM(Base_Bruta!M1964)))</f>
        <v>MG</v>
      </c>
      <c r="O1964" s="4" t="str">
        <f aca="false">IF($A1964="","",_xlfn.XLOOKUP(LOWER(TRIM(Base_Bruta!N1964)),DePara_Pais!$A$2:$A$9,DePara_Pais!$B$2:$B$9,"REVISAR"))</f>
        <v>Brasil</v>
      </c>
      <c r="P1964" s="4" t="str">
        <f aca="false">IF($A1964="","",IF(O1964&lt;&gt;"Brasil","Turista Internacional",IF(M1964=F1964,"Local","Turista Nacional")))</f>
        <v>Local</v>
      </c>
      <c r="Q1964" s="7" t="n">
        <f aca="false">IF($A1964="","",DATE(YEAR(B1964),MONTH(B1964),1))</f>
        <v>46023</v>
      </c>
      <c r="R1964" s="4" t="str">
        <f aca="false">IF($A1964="","",IF(COUNTIF($A$2:$A1964,$A1964)&gt;1,"Sim","Não"))</f>
        <v>Não</v>
      </c>
      <c r="S1964" s="4" t="str">
        <f aca="false">IF(A1964="","Descartar - Linha vazia",IF(R1964="Sim","Descartar - Duplicado",IF(OR(H1964&lt;=0,I1964&lt;=0),"Descartar - Qtd/Valor inválido","OK")))</f>
        <v>OK</v>
      </c>
      <c r="T1964" s="4" t="str">
        <f aca="false">Base_Bruta!P1964</f>
        <v>vendas_MG.csv</v>
      </c>
    </row>
    <row r="1965" customFormat="false" ht="15" hidden="false" customHeight="false" outlineLevel="0" collapsed="false">
      <c r="A1965" s="4" t="str">
        <f aca="false">IF(Base_Bruta!A1965="","",Base_Bruta!A1965)</f>
        <v>MG-000347</v>
      </c>
      <c r="B1965" s="5" t="n">
        <f aca="false">IF($A1965="","",IF(ISNUMBER(Base_Bruta!B1965),Base_Bruta!B1965,IF(MID(Base_Bruta!B1965,5,1)="-",DATE(VALUE(LEFT(Base_Bruta!B1965,4)),VALUE(MID(Base_Bruta!B1965,6,2)),VALUE(RIGHT(Base_Bruta!B1965,2))),DATE(VALUE(RIGHT(Base_Bruta!B1965,4)),VALUE(MID(Base_Bruta!B1965,4,2)),VALUE(LEFT(Base_Bruta!B1965,2))))))</f>
        <v>46037</v>
      </c>
      <c r="C1965" s="5" t="n">
        <f aca="false">IF($A1965="","",IF(ISNUMBER(Base_Bruta!C1965),Base_Bruta!C1965,IF(MID(Base_Bruta!C1965,5,1)="-",DATE(VALUE(LEFT(Base_Bruta!C1965,4)),VALUE(MID(Base_Bruta!C1965,6,2)),VALUE(RIGHT(Base_Bruta!C1965,2))),DATE(VALUE(RIGHT(Base_Bruta!C1965,4)),VALUE(MID(Base_Bruta!C1965,4,2)),VALUE(LEFT(Base_Bruta!C1965,2))))))</f>
        <v>46081</v>
      </c>
      <c r="D1965" s="4" t="str">
        <f aca="false">IF($A1965="","",TRIM(Base_Bruta!D1965))</f>
        <v>Show Sertanejo - BH</v>
      </c>
      <c r="E1965" s="4" t="str">
        <f aca="false">IF($A1965="","",_xlfn.XLOOKUP(LOWER(TRIM(Base_Bruta!E1965)),DePara_Categoria!$A$2:$A$9,DePara_Categoria!$B$2:$B$9,"REVISAR"))</f>
        <v>Show</v>
      </c>
      <c r="F1965" s="4" t="str">
        <f aca="false">IF($A1965="","",_xlfn.XLOOKUP(LOWER(TRIM(Base_Bruta!F1965)),DePara_Cidade!$A$2:$A$29,DePara_Cidade!$B$2:$B$29,"REVISAR"))</f>
        <v>Belo Horizonte</v>
      </c>
      <c r="G1965" s="4" t="str">
        <f aca="false">IF($A1965="","",TRIM(Base_Bruta!G1965))</f>
        <v>Inteira</v>
      </c>
      <c r="H1965" s="4" t="n">
        <f aca="false">IF($A1965="","",IF(ISNUMBER(Base_Bruta!H1965),Base_Bruta!H1965,IFERROR(_xlfn.NUMBERVALUE(TRIM(SUBSTITUTE(Base_Bruta!H1965,"R$","")),",","."),0)))</f>
        <v>1</v>
      </c>
      <c r="I1965" s="6" t="n">
        <f aca="false">IF($A1965="","",IF(ISNUMBER(Base_Bruta!I1965),Base_Bruta!I1965,IFERROR(_xlfn.NUMBERVALUE(TRIM(SUBSTITUTE(Base_Bruta!I1965,"R$","")),",","."),0)))</f>
        <v>600</v>
      </c>
      <c r="J1965" s="6" t="n">
        <f aca="false">IF($A1965="","",H1965*I1965)</f>
        <v>600</v>
      </c>
      <c r="K1965" s="4" t="str">
        <f aca="false">IF($A1965="","",TRIM(Base_Bruta!J1965))</f>
        <v>Parceiro</v>
      </c>
      <c r="L1965" s="4" t="str">
        <f aca="false">IF($A1965="","",TRIM(Base_Bruta!K1965))</f>
        <v>C01351</v>
      </c>
      <c r="M1965" s="4" t="str">
        <f aca="false">IF($A1965="","",_xlfn.XLOOKUP(LOWER(TRIM(Base_Bruta!L1965)),DePara_Cidade!$A$2:$A$29,DePara_Cidade!$B$2:$B$29,"REVISAR"))</f>
        <v>Belo Horizonte</v>
      </c>
      <c r="N1965" s="4" t="str">
        <f aca="false">IF($A1965="","",UPPER(TRIM(Base_Bruta!M1965)))</f>
        <v>MG</v>
      </c>
      <c r="O1965" s="4" t="str">
        <f aca="false">IF($A1965="","",_xlfn.XLOOKUP(LOWER(TRIM(Base_Bruta!N1965)),DePara_Pais!$A$2:$A$9,DePara_Pais!$B$2:$B$9,"REVISAR"))</f>
        <v>Brasil</v>
      </c>
      <c r="P1965" s="4" t="str">
        <f aca="false">IF($A1965="","",IF(O1965&lt;&gt;"Brasil","Turista Internacional",IF(M1965=F1965,"Local","Turista Nacional")))</f>
        <v>Local</v>
      </c>
      <c r="Q1965" s="7" t="n">
        <f aca="false">IF($A1965="","",DATE(YEAR(B1965),MONTH(B1965),1))</f>
        <v>46023</v>
      </c>
      <c r="R1965" s="4" t="str">
        <f aca="false">IF($A1965="","",IF(COUNTIF($A$2:$A1965,$A1965)&gt;1,"Sim","Não"))</f>
        <v>Não</v>
      </c>
      <c r="S1965" s="4" t="str">
        <f aca="false">IF(A1965="","Descartar - Linha vazia",IF(R1965="Sim","Descartar - Duplicado",IF(OR(H1965&lt;=0,I1965&lt;=0),"Descartar - Qtd/Valor inválido","OK")))</f>
        <v>OK</v>
      </c>
      <c r="T1965" s="4" t="str">
        <f aca="false">Base_Bruta!P1965</f>
        <v>vendas_MG.csv</v>
      </c>
    </row>
    <row r="1966" customFormat="false" ht="15" hidden="false" customHeight="false" outlineLevel="0" collapsed="false">
      <c r="A1966" s="4" t="str">
        <f aca="false">IF(Base_Bruta!A1966="","",Base_Bruta!A1966)</f>
        <v>MG-000501</v>
      </c>
      <c r="B1966" s="5" t="n">
        <f aca="false">IF($A1966="","",IF(ISNUMBER(Base_Bruta!B1966),Base_Bruta!B1966,IF(MID(Base_Bruta!B1966,5,1)="-",DATE(VALUE(LEFT(Base_Bruta!B1966,4)),VALUE(MID(Base_Bruta!B1966,6,2)),VALUE(RIGHT(Base_Bruta!B1966,2))),DATE(VALUE(RIGHT(Base_Bruta!B1966,4)),VALUE(MID(Base_Bruta!B1966,4,2)),VALUE(LEFT(Base_Bruta!B1966,2))))))</f>
        <v>46037</v>
      </c>
      <c r="C1966" s="5" t="n">
        <f aca="false">IF($A1966="","",IF(ISNUMBER(Base_Bruta!C1966),Base_Bruta!C1966,IF(MID(Base_Bruta!C1966,5,1)="-",DATE(VALUE(LEFT(Base_Bruta!C1966,4)),VALUE(MID(Base_Bruta!C1966,6,2)),VALUE(RIGHT(Base_Bruta!C1966,2))),DATE(VALUE(RIGHT(Base_Bruta!C1966,4)),VALUE(MID(Base_Bruta!C1966,4,2)),VALUE(LEFT(Base_Bruta!C1966,2))))))</f>
        <v>46038</v>
      </c>
      <c r="D1966" s="4" t="str">
        <f aca="false">IF($A1966="","",TRIM(Base_Bruta!D1966))</f>
        <v>Cinema Savassi - Sessões</v>
      </c>
      <c r="E1966" s="4" t="str">
        <f aca="false">IF($A1966="","",_xlfn.XLOOKUP(LOWER(TRIM(Base_Bruta!E1966)),DePara_Categoria!$A$2:$A$9,DePara_Categoria!$B$2:$B$9,"REVISAR"))</f>
        <v>Cinema</v>
      </c>
      <c r="F1966" s="4" t="str">
        <f aca="false">IF($A1966="","",_xlfn.XLOOKUP(LOWER(TRIM(Base_Bruta!F1966)),DePara_Cidade!$A$2:$A$29,DePara_Cidade!$B$2:$B$29,"REVISAR"))</f>
        <v>Belo Horizonte</v>
      </c>
      <c r="G1966" s="4" t="str">
        <f aca="false">IF($A1966="","",TRIM(Base_Bruta!G1966))</f>
        <v>Inteira</v>
      </c>
      <c r="H1966" s="4" t="n">
        <f aca="false">IF($A1966="","",IF(ISNUMBER(Base_Bruta!H1966),Base_Bruta!H1966,IFERROR(_xlfn.NUMBERVALUE(TRIM(SUBSTITUTE(Base_Bruta!H1966,"R$","")),",","."),0)))</f>
        <v>1</v>
      </c>
      <c r="I1966" s="6" t="n">
        <f aca="false">IF($A1966="","",IF(ISNUMBER(Base_Bruta!I1966),Base_Bruta!I1966,IFERROR(_xlfn.NUMBERVALUE(TRIM(SUBSTITUTE(Base_Bruta!I1966,"R$","")),",","."),0)))</f>
        <v>35</v>
      </c>
      <c r="J1966" s="6" t="n">
        <f aca="false">IF($A1966="","",H1966*I1966)</f>
        <v>35</v>
      </c>
      <c r="K1966" s="4" t="str">
        <f aca="false">IF($A1966="","",TRIM(Base_Bruta!J1966))</f>
        <v>App</v>
      </c>
      <c r="L1966" s="4" t="str">
        <f aca="false">IF($A1966="","",TRIM(Base_Bruta!K1966))</f>
        <v>C00914</v>
      </c>
      <c r="M1966" s="4" t="str">
        <f aca="false">IF($A1966="","",_xlfn.XLOOKUP(LOWER(TRIM(Base_Bruta!L1966)),DePara_Cidade!$A$2:$A$29,DePara_Cidade!$B$2:$B$29,"REVISAR"))</f>
        <v>Belo Horizonte</v>
      </c>
      <c r="N1966" s="4" t="str">
        <f aca="false">IF($A1966="","",UPPER(TRIM(Base_Bruta!M1966)))</f>
        <v>MG</v>
      </c>
      <c r="O1966" s="4" t="str">
        <f aca="false">IF($A1966="","",_xlfn.XLOOKUP(LOWER(TRIM(Base_Bruta!N1966)),DePara_Pais!$A$2:$A$9,DePara_Pais!$B$2:$B$9,"REVISAR"))</f>
        <v>Brasil</v>
      </c>
      <c r="P1966" s="4" t="str">
        <f aca="false">IF($A1966="","",IF(O1966&lt;&gt;"Brasil","Turista Internacional",IF(M1966=F1966,"Local","Turista Nacional")))</f>
        <v>Local</v>
      </c>
      <c r="Q1966" s="7" t="n">
        <f aca="false">IF($A1966="","",DATE(YEAR(B1966),MONTH(B1966),1))</f>
        <v>46023</v>
      </c>
      <c r="R1966" s="4" t="str">
        <f aca="false">IF($A1966="","",IF(COUNTIF($A$2:$A1966,$A1966)&gt;1,"Sim","Não"))</f>
        <v>Não</v>
      </c>
      <c r="S1966" s="4" t="str">
        <f aca="false">IF(A1966="","Descartar - Linha vazia",IF(R1966="Sim","Descartar - Duplicado",IF(OR(H1966&lt;=0,I1966&lt;=0),"Descartar - Qtd/Valor inválido","OK")))</f>
        <v>OK</v>
      </c>
      <c r="T1966" s="4" t="str">
        <f aca="false">Base_Bruta!P1966</f>
        <v>vendas_MG.csv</v>
      </c>
    </row>
    <row r="1967" customFormat="false" ht="15" hidden="false" customHeight="false" outlineLevel="0" collapsed="false">
      <c r="A1967" s="4" t="str">
        <f aca="false">IF(Base_Bruta!A1967="","",Base_Bruta!A1967)</f>
        <v>MG-000314</v>
      </c>
      <c r="B1967" s="5" t="n">
        <f aca="false">IF($A1967="","",IF(ISNUMBER(Base_Bruta!B1967),Base_Bruta!B1967,IF(MID(Base_Bruta!B1967,5,1)="-",DATE(VALUE(LEFT(Base_Bruta!B1967,4)),VALUE(MID(Base_Bruta!B1967,6,2)),VALUE(RIGHT(Base_Bruta!B1967,2))),DATE(VALUE(RIGHT(Base_Bruta!B1967,4)),VALUE(MID(Base_Bruta!B1967,4,2)),VALUE(LEFT(Base_Bruta!B1967,2))))))</f>
        <v>46038</v>
      </c>
      <c r="C1967" s="5" t="n">
        <f aca="false">IF($A1967="","",IF(ISNUMBER(Base_Bruta!C1967),Base_Bruta!C1967,IF(MID(Base_Bruta!C1967,5,1)="-",DATE(VALUE(LEFT(Base_Bruta!C1967,4)),VALUE(MID(Base_Bruta!C1967,6,2)),VALUE(RIGHT(Base_Bruta!C1967,2))),DATE(VALUE(RIGHT(Base_Bruta!C1967,4)),VALUE(MID(Base_Bruta!C1967,4,2)),VALUE(LEFT(Base_Bruta!C1967,2))))))</f>
        <v>46081</v>
      </c>
      <c r="D1967" s="4" t="str">
        <f aca="false">IF($A1967="","",TRIM(Base_Bruta!D1967))</f>
        <v>Show Sertanejo - BH</v>
      </c>
      <c r="E1967" s="4" t="str">
        <f aca="false">IF($A1967="","",_xlfn.XLOOKUP(LOWER(TRIM(Base_Bruta!E1967)),DePara_Categoria!$A$2:$A$9,DePara_Categoria!$B$2:$B$9,"REVISAR"))</f>
        <v>Show</v>
      </c>
      <c r="F1967" s="4" t="str">
        <f aca="false">IF($A1967="","",_xlfn.XLOOKUP(LOWER(TRIM(Base_Bruta!F1967)),DePara_Cidade!$A$2:$A$29,DePara_Cidade!$B$2:$B$29,"REVISAR"))</f>
        <v>Belo Horizonte</v>
      </c>
      <c r="G1967" s="4" t="str">
        <f aca="false">IF($A1967="","",TRIM(Base_Bruta!G1967))</f>
        <v>Inteira</v>
      </c>
      <c r="H1967" s="4" t="n">
        <f aca="false">IF($A1967="","",IF(ISNUMBER(Base_Bruta!H1967),Base_Bruta!H1967,IFERROR(_xlfn.NUMBERVALUE(TRIM(SUBSTITUTE(Base_Bruta!H1967,"R$","")),",","."),0)))</f>
        <v>3</v>
      </c>
      <c r="I1967" s="6" t="n">
        <f aca="false">IF($A1967="","",IF(ISNUMBER(Base_Bruta!I1967),Base_Bruta!I1967,IFERROR(_xlfn.NUMBERVALUE(TRIM(SUBSTITUTE(Base_Bruta!I1967,"R$","")),",","."),0)))</f>
        <v>300</v>
      </c>
      <c r="J1967" s="6" t="n">
        <f aca="false">IF($A1967="","",H1967*I1967)</f>
        <v>900</v>
      </c>
      <c r="K1967" s="4" t="str">
        <f aca="false">IF($A1967="","",TRIM(Base_Bruta!J1967))</f>
        <v>Bilheteria</v>
      </c>
      <c r="L1967" s="4" t="str">
        <f aca="false">IF($A1967="","",TRIM(Base_Bruta!K1967))</f>
        <v>C02210</v>
      </c>
      <c r="M1967" s="4" t="str">
        <f aca="false">IF($A1967="","",_xlfn.XLOOKUP(LOWER(TRIM(Base_Bruta!L1967)),DePara_Cidade!$A$2:$A$29,DePara_Cidade!$B$2:$B$29,"REVISAR"))</f>
        <v>Brasília</v>
      </c>
      <c r="N1967" s="4" t="str">
        <f aca="false">IF($A1967="","",UPPER(TRIM(Base_Bruta!M1967)))</f>
        <v>DF</v>
      </c>
      <c r="O1967" s="4" t="str">
        <f aca="false">IF($A1967="","",_xlfn.XLOOKUP(LOWER(TRIM(Base_Bruta!N1967)),DePara_Pais!$A$2:$A$9,DePara_Pais!$B$2:$B$9,"REVISAR"))</f>
        <v>Brasil</v>
      </c>
      <c r="P1967" s="4" t="str">
        <f aca="false">IF($A1967="","",IF(O1967&lt;&gt;"Brasil","Turista Internacional",IF(M1967=F1967,"Local","Turista Nacional")))</f>
        <v>Turista Nacional</v>
      </c>
      <c r="Q1967" s="7" t="n">
        <f aca="false">IF($A1967="","",DATE(YEAR(B1967),MONTH(B1967),1))</f>
        <v>46023</v>
      </c>
      <c r="R1967" s="4" t="str">
        <f aca="false">IF($A1967="","",IF(COUNTIF($A$2:$A1967,$A1967)&gt;1,"Sim","Não"))</f>
        <v>Não</v>
      </c>
      <c r="S1967" s="4" t="str">
        <f aca="false">IF(A1967="","Descartar - Linha vazia",IF(R1967="Sim","Descartar - Duplicado",IF(OR(H1967&lt;=0,I1967&lt;=0),"Descartar - Qtd/Valor inválido","OK")))</f>
        <v>OK</v>
      </c>
      <c r="T1967" s="4" t="str">
        <f aca="false">Base_Bruta!P1967</f>
        <v>vendas_MG.csv</v>
      </c>
    </row>
    <row r="1968" customFormat="false" ht="15" hidden="false" customHeight="false" outlineLevel="0" collapsed="false">
      <c r="A1968" s="4" t="str">
        <f aca="false">IF(Base_Bruta!A1968="","",Base_Bruta!A1968)</f>
        <v>MG-000503</v>
      </c>
      <c r="B1968" s="5" t="n">
        <f aca="false">IF($A1968="","",IF(ISNUMBER(Base_Bruta!B1968),Base_Bruta!B1968,IF(MID(Base_Bruta!B1968,5,1)="-",DATE(VALUE(LEFT(Base_Bruta!B1968,4)),VALUE(MID(Base_Bruta!B1968,6,2)),VALUE(RIGHT(Base_Bruta!B1968,2))),DATE(VALUE(RIGHT(Base_Bruta!B1968,4)),VALUE(MID(Base_Bruta!B1968,4,2)),VALUE(LEFT(Base_Bruta!B1968,2))))))</f>
        <v>46038</v>
      </c>
      <c r="C1968" s="5" t="n">
        <f aca="false">IF($A1968="","",IF(ISNUMBER(Base_Bruta!C1968),Base_Bruta!C1968,IF(MID(Base_Bruta!C1968,5,1)="-",DATE(VALUE(LEFT(Base_Bruta!C1968,4)),VALUE(MID(Base_Bruta!C1968,6,2)),VALUE(RIGHT(Base_Bruta!C1968,2))),DATE(VALUE(RIGHT(Base_Bruta!C1968,4)),VALUE(MID(Base_Bruta!C1968,4,2)),VALUE(LEFT(Base_Bruta!C1968,2))))))</f>
        <v>46041</v>
      </c>
      <c r="D1968" s="4" t="str">
        <f aca="false">IF($A1968="","",TRIM(Base_Bruta!D1968))</f>
        <v>Cinema Savassi - Sessões</v>
      </c>
      <c r="E1968" s="4" t="str">
        <f aca="false">IF($A1968="","",_xlfn.XLOOKUP(LOWER(TRIM(Base_Bruta!E1968)),DePara_Categoria!$A$2:$A$9,DePara_Categoria!$B$2:$B$9,"REVISAR"))</f>
        <v>Cinema</v>
      </c>
      <c r="F1968" s="4" t="str">
        <f aca="false">IF($A1968="","",_xlfn.XLOOKUP(LOWER(TRIM(Base_Bruta!F1968)),DePara_Cidade!$A$2:$A$29,DePara_Cidade!$B$2:$B$29,"REVISAR"))</f>
        <v>Belo Horizonte</v>
      </c>
      <c r="G1968" s="4" t="str">
        <f aca="false">IF($A1968="","",TRIM(Base_Bruta!G1968))</f>
        <v>Inteira</v>
      </c>
      <c r="H1968" s="4" t="n">
        <f aca="false">IF($A1968="","",IF(ISNUMBER(Base_Bruta!H1968),Base_Bruta!H1968,IFERROR(_xlfn.NUMBERVALUE(TRIM(SUBSTITUTE(Base_Bruta!H1968,"R$","")),",","."),0)))</f>
        <v>2</v>
      </c>
      <c r="I1968" s="6" t="n">
        <f aca="false">IF($A1968="","",IF(ISNUMBER(Base_Bruta!I1968),Base_Bruta!I1968,IFERROR(_xlfn.NUMBERVALUE(TRIM(SUBSTITUTE(Base_Bruta!I1968,"R$","")),",","."),0)))</f>
        <v>45</v>
      </c>
      <c r="J1968" s="6" t="n">
        <f aca="false">IF($A1968="","",H1968*I1968)</f>
        <v>90</v>
      </c>
      <c r="K1968" s="4" t="str">
        <f aca="false">IF($A1968="","",TRIM(Base_Bruta!J1968))</f>
        <v>App</v>
      </c>
      <c r="L1968" s="4" t="str">
        <f aca="false">IF($A1968="","",TRIM(Base_Bruta!K1968))</f>
        <v>C01979</v>
      </c>
      <c r="M1968" s="4" t="str">
        <f aca="false">IF($A1968="","",_xlfn.XLOOKUP(LOWER(TRIM(Base_Bruta!L1968)),DePara_Cidade!$A$2:$A$29,DePara_Cidade!$B$2:$B$29,"REVISAR"))</f>
        <v>Belo Horizonte</v>
      </c>
      <c r="N1968" s="4" t="str">
        <f aca="false">IF($A1968="","",UPPER(TRIM(Base_Bruta!M1968)))</f>
        <v>MG</v>
      </c>
      <c r="O1968" s="4" t="str">
        <f aca="false">IF($A1968="","",_xlfn.XLOOKUP(LOWER(TRIM(Base_Bruta!N1968)),DePara_Pais!$A$2:$A$9,DePara_Pais!$B$2:$B$9,"REVISAR"))</f>
        <v>Brasil</v>
      </c>
      <c r="P1968" s="4" t="str">
        <f aca="false">IF($A1968="","",IF(O1968&lt;&gt;"Brasil","Turista Internacional",IF(M1968=F1968,"Local","Turista Nacional")))</f>
        <v>Local</v>
      </c>
      <c r="Q1968" s="7" t="n">
        <f aca="false">IF($A1968="","",DATE(YEAR(B1968),MONTH(B1968),1))</f>
        <v>46023</v>
      </c>
      <c r="R1968" s="4" t="str">
        <f aca="false">IF($A1968="","",IF(COUNTIF($A$2:$A1968,$A1968)&gt;1,"Sim","Não"))</f>
        <v>Não</v>
      </c>
      <c r="S1968" s="4" t="str">
        <f aca="false">IF(A1968="","Descartar - Linha vazia",IF(R1968="Sim","Descartar - Duplicado",IF(OR(H1968&lt;=0,I1968&lt;=0),"Descartar - Qtd/Valor inválido","OK")))</f>
        <v>OK</v>
      </c>
      <c r="T1968" s="4" t="str">
        <f aca="false">Base_Bruta!P1968</f>
        <v>vendas_MG.csv</v>
      </c>
    </row>
    <row r="1969" customFormat="false" ht="15" hidden="false" customHeight="false" outlineLevel="0" collapsed="false">
      <c r="A1969" s="4" t="str">
        <f aca="false">IF(Base_Bruta!A1969="","",Base_Bruta!A1969)</f>
        <v>MG-000302</v>
      </c>
      <c r="B1969" s="5" t="n">
        <f aca="false">IF($A1969="","",IF(ISNUMBER(Base_Bruta!B1969),Base_Bruta!B1969,IF(MID(Base_Bruta!B1969,5,1)="-",DATE(VALUE(LEFT(Base_Bruta!B1969,4)),VALUE(MID(Base_Bruta!B1969,6,2)),VALUE(RIGHT(Base_Bruta!B1969,2))),DATE(VALUE(RIGHT(Base_Bruta!B1969,4)),VALUE(MID(Base_Bruta!B1969,4,2)),VALUE(LEFT(Base_Bruta!B1969,2))))))</f>
        <v>46040</v>
      </c>
      <c r="C1969" s="5" t="n">
        <f aca="false">IF($A1969="","",IF(ISNUMBER(Base_Bruta!C1969),Base_Bruta!C1969,IF(MID(Base_Bruta!C1969,5,1)="-",DATE(VALUE(LEFT(Base_Bruta!C1969,4)),VALUE(MID(Base_Bruta!C1969,6,2)),VALUE(RIGHT(Base_Bruta!C1969,2))),DATE(VALUE(RIGHT(Base_Bruta!C1969,4)),VALUE(MID(Base_Bruta!C1969,4,2)),VALUE(LEFT(Base_Bruta!C1969,2))))))</f>
        <v>46081</v>
      </c>
      <c r="D1969" s="4" t="str">
        <f aca="false">IF($A1969="","",TRIM(Base_Bruta!D1969))</f>
        <v>Show Sertanejo - BH</v>
      </c>
      <c r="E1969" s="4" t="str">
        <f aca="false">IF($A1969="","",_xlfn.XLOOKUP(LOWER(TRIM(Base_Bruta!E1969)),DePara_Categoria!$A$2:$A$9,DePara_Categoria!$B$2:$B$9,"REVISAR"))</f>
        <v>Show</v>
      </c>
      <c r="F1969" s="4" t="str">
        <f aca="false">IF($A1969="","",_xlfn.XLOOKUP(LOWER(TRIM(Base_Bruta!F1969)),DePara_Cidade!$A$2:$A$29,DePara_Cidade!$B$2:$B$29,"REVISAR"))</f>
        <v>Belo Horizonte</v>
      </c>
      <c r="G1969" s="4" t="str">
        <f aca="false">IF($A1969="","",TRIM(Base_Bruta!G1969))</f>
        <v>Inteira</v>
      </c>
      <c r="H1969" s="4" t="n">
        <f aca="false">IF($A1969="","",IF(ISNUMBER(Base_Bruta!H1969),Base_Bruta!H1969,IFERROR(_xlfn.NUMBERVALUE(TRIM(SUBSTITUTE(Base_Bruta!H1969,"R$","")),",","."),0)))</f>
        <v>3</v>
      </c>
      <c r="I1969" s="6" t="n">
        <f aca="false">IF($A1969="","",IF(ISNUMBER(Base_Bruta!I1969),Base_Bruta!I1969,IFERROR(_xlfn.NUMBERVALUE(TRIM(SUBSTITUTE(Base_Bruta!I1969,"R$","")),",","."),0)))</f>
        <v>455</v>
      </c>
      <c r="J1969" s="6" t="n">
        <f aca="false">IF($A1969="","",H1969*I1969)</f>
        <v>1365</v>
      </c>
      <c r="K1969" s="4" t="str">
        <f aca="false">IF($A1969="","",TRIM(Base_Bruta!J1969))</f>
        <v>Site</v>
      </c>
      <c r="L1969" s="4" t="str">
        <f aca="false">IF($A1969="","",TRIM(Base_Bruta!K1969))</f>
        <v>C02212</v>
      </c>
      <c r="M1969" s="4" t="str">
        <f aca="false">IF($A1969="","",_xlfn.XLOOKUP(LOWER(TRIM(Base_Bruta!L1969)),DePara_Cidade!$A$2:$A$29,DePara_Cidade!$B$2:$B$29,"REVISAR"))</f>
        <v>Brasília</v>
      </c>
      <c r="N1969" s="4" t="str">
        <f aca="false">IF($A1969="","",UPPER(TRIM(Base_Bruta!M1969)))</f>
        <v>DF</v>
      </c>
      <c r="O1969" s="4" t="str">
        <f aca="false">IF($A1969="","",_xlfn.XLOOKUP(LOWER(TRIM(Base_Bruta!N1969)),DePara_Pais!$A$2:$A$9,DePara_Pais!$B$2:$B$9,"REVISAR"))</f>
        <v>Brasil</v>
      </c>
      <c r="P1969" s="4" t="str">
        <f aca="false">IF($A1969="","",IF(O1969&lt;&gt;"Brasil","Turista Internacional",IF(M1969=F1969,"Local","Turista Nacional")))</f>
        <v>Turista Nacional</v>
      </c>
      <c r="Q1969" s="7" t="n">
        <f aca="false">IF($A1969="","",DATE(YEAR(B1969),MONTH(B1969),1))</f>
        <v>46023</v>
      </c>
      <c r="R1969" s="4" t="str">
        <f aca="false">IF($A1969="","",IF(COUNTIF($A$2:$A1969,$A1969)&gt;1,"Sim","Não"))</f>
        <v>Não</v>
      </c>
      <c r="S1969" s="4" t="str">
        <f aca="false">IF(A1969="","Descartar - Linha vazia",IF(R1969="Sim","Descartar - Duplicado",IF(OR(H1969&lt;=0,I1969&lt;=0),"Descartar - Qtd/Valor inválido","OK")))</f>
        <v>OK</v>
      </c>
      <c r="T1969" s="4" t="str">
        <f aca="false">Base_Bruta!P1969</f>
        <v>vendas_MG.csv</v>
      </c>
    </row>
    <row r="1970" customFormat="false" ht="15" hidden="false" customHeight="false" outlineLevel="0" collapsed="false">
      <c r="A1970" s="4" t="str">
        <f aca="false">IF(Base_Bruta!A1970="","",Base_Bruta!A1970)</f>
        <v>MG-000401</v>
      </c>
      <c r="B1970" s="5" t="n">
        <f aca="false">IF($A1970="","",IF(ISNUMBER(Base_Bruta!B1970),Base_Bruta!B1970,IF(MID(Base_Bruta!B1970,5,1)="-",DATE(VALUE(LEFT(Base_Bruta!B1970,4)),VALUE(MID(Base_Bruta!B1970,6,2)),VALUE(RIGHT(Base_Bruta!B1970,2))),DATE(VALUE(RIGHT(Base_Bruta!B1970,4)),VALUE(MID(Base_Bruta!B1970,4,2)),VALUE(LEFT(Base_Bruta!B1970,2))))))</f>
        <v>46041</v>
      </c>
      <c r="C1970" s="5" t="n">
        <f aca="false">IF($A1970="","",IF(ISNUMBER(Base_Bruta!C1970),Base_Bruta!C1970,IF(MID(Base_Bruta!C1970,5,1)="-",DATE(VALUE(LEFT(Base_Bruta!C1970,4)),VALUE(MID(Base_Bruta!C1970,6,2)),VALUE(RIGHT(Base_Bruta!C1970,2))),DATE(VALUE(RIGHT(Base_Bruta!C1970,4)),VALUE(MID(Base_Bruta!C1970,4,2)),VALUE(LEFT(Base_Bruta!C1970,2))))))</f>
        <v>46044</v>
      </c>
      <c r="D1970" s="4" t="str">
        <f aca="false">IF($A1970="","",TRIM(Base_Bruta!D1970))</f>
        <v>Cinema Savassi - Sessões</v>
      </c>
      <c r="E1970" s="4" t="str">
        <f aca="false">IF($A1970="","",_xlfn.XLOOKUP(LOWER(TRIM(Base_Bruta!E1970)),DePara_Categoria!$A$2:$A$9,DePara_Categoria!$B$2:$B$9,"REVISAR"))</f>
        <v>Cinema</v>
      </c>
      <c r="F1970" s="4" t="str">
        <f aca="false">IF($A1970="","",_xlfn.XLOOKUP(LOWER(TRIM(Base_Bruta!F1970)),DePara_Cidade!$A$2:$A$29,DePara_Cidade!$B$2:$B$29,"REVISAR"))</f>
        <v>Belo Horizonte</v>
      </c>
      <c r="G1970" s="4" t="str">
        <f aca="false">IF($A1970="","",TRIM(Base_Bruta!G1970))</f>
        <v>Inteira</v>
      </c>
      <c r="H1970" s="4" t="n">
        <f aca="false">IF($A1970="","",IF(ISNUMBER(Base_Bruta!H1970),Base_Bruta!H1970,IFERROR(_xlfn.NUMBERVALUE(TRIM(SUBSTITUTE(Base_Bruta!H1970,"R$","")),",","."),0)))</f>
        <v>4</v>
      </c>
      <c r="I1970" s="6" t="n">
        <f aca="false">IF($A1970="","",IF(ISNUMBER(Base_Bruta!I1970),Base_Bruta!I1970,IFERROR(_xlfn.NUMBERVALUE(TRIM(SUBSTITUTE(Base_Bruta!I1970,"R$","")),",","."),0)))</f>
        <v>45</v>
      </c>
      <c r="J1970" s="6" t="n">
        <f aca="false">IF($A1970="","",H1970*I1970)</f>
        <v>180</v>
      </c>
      <c r="K1970" s="4" t="str">
        <f aca="false">IF($A1970="","",TRIM(Base_Bruta!J1970))</f>
        <v>App</v>
      </c>
      <c r="L1970" s="4" t="str">
        <f aca="false">IF($A1970="","",TRIM(Base_Bruta!K1970))</f>
        <v>C01351</v>
      </c>
      <c r="M1970" s="4" t="str">
        <f aca="false">IF($A1970="","",_xlfn.XLOOKUP(LOWER(TRIM(Base_Bruta!L1970)),DePara_Cidade!$A$2:$A$29,DePara_Cidade!$B$2:$B$29,"REVISAR"))</f>
        <v>Belo Horizonte</v>
      </c>
      <c r="N1970" s="4" t="str">
        <f aca="false">IF($A1970="","",UPPER(TRIM(Base_Bruta!M1970)))</f>
        <v>MG</v>
      </c>
      <c r="O1970" s="4" t="str">
        <f aca="false">IF($A1970="","",_xlfn.XLOOKUP(LOWER(TRIM(Base_Bruta!N1970)),DePara_Pais!$A$2:$A$9,DePara_Pais!$B$2:$B$9,"REVISAR"))</f>
        <v>Brasil</v>
      </c>
      <c r="P1970" s="4" t="str">
        <f aca="false">IF($A1970="","",IF(O1970&lt;&gt;"Brasil","Turista Internacional",IF(M1970=F1970,"Local","Turista Nacional")))</f>
        <v>Local</v>
      </c>
      <c r="Q1970" s="7" t="n">
        <f aca="false">IF($A1970="","",DATE(YEAR(B1970),MONTH(B1970),1))</f>
        <v>46023</v>
      </c>
      <c r="R1970" s="4" t="str">
        <f aca="false">IF($A1970="","",IF(COUNTIF($A$2:$A1970,$A1970)&gt;1,"Sim","Não"))</f>
        <v>Não</v>
      </c>
      <c r="S1970" s="4" t="str">
        <f aca="false">IF(A1970="","Descartar - Linha vazia",IF(R1970="Sim","Descartar - Duplicado",IF(OR(H1970&lt;=0,I1970&lt;=0),"Descartar - Qtd/Valor inválido","OK")))</f>
        <v>OK</v>
      </c>
      <c r="T1970" s="4" t="str">
        <f aca="false">Base_Bruta!P1970</f>
        <v>vendas_MG.csv</v>
      </c>
    </row>
    <row r="1971" customFormat="false" ht="15" hidden="false" customHeight="false" outlineLevel="0" collapsed="false">
      <c r="A1971" s="4" t="str">
        <f aca="false">IF(Base_Bruta!A1971="","",Base_Bruta!A1971)</f>
        <v>MG-000486</v>
      </c>
      <c r="B1971" s="5" t="n">
        <f aca="false">IF($A1971="","",IF(ISNUMBER(Base_Bruta!B1971),Base_Bruta!B1971,IF(MID(Base_Bruta!B1971,5,1)="-",DATE(VALUE(LEFT(Base_Bruta!B1971,4)),VALUE(MID(Base_Bruta!B1971,6,2)),VALUE(RIGHT(Base_Bruta!B1971,2))),DATE(VALUE(RIGHT(Base_Bruta!B1971,4)),VALUE(MID(Base_Bruta!B1971,4,2)),VALUE(LEFT(Base_Bruta!B1971,2))))))</f>
        <v>46043</v>
      </c>
      <c r="C1971" s="5" t="n">
        <f aca="false">IF($A1971="","",IF(ISNUMBER(Base_Bruta!C1971),Base_Bruta!C1971,IF(MID(Base_Bruta!C1971,5,1)="-",DATE(VALUE(LEFT(Base_Bruta!C1971,4)),VALUE(MID(Base_Bruta!C1971,6,2)),VALUE(RIGHT(Base_Bruta!C1971,2))),DATE(VALUE(RIGHT(Base_Bruta!C1971,4)),VALUE(MID(Base_Bruta!C1971,4,2)),VALUE(LEFT(Base_Bruta!C1971,2))))))</f>
        <v>46043</v>
      </c>
      <c r="D1971" s="4" t="str">
        <f aca="false">IF($A1971="","",TRIM(Base_Bruta!D1971))</f>
        <v>Cinema Savassi - Sessões</v>
      </c>
      <c r="E1971" s="4" t="str">
        <f aca="false">IF($A1971="","",_xlfn.XLOOKUP(LOWER(TRIM(Base_Bruta!E1971)),DePara_Categoria!$A$2:$A$9,DePara_Categoria!$B$2:$B$9,"REVISAR"))</f>
        <v>Cinema</v>
      </c>
      <c r="F1971" s="4" t="str">
        <f aca="false">IF($A1971="","",_xlfn.XLOOKUP(LOWER(TRIM(Base_Bruta!F1971)),DePara_Cidade!$A$2:$A$29,DePara_Cidade!$B$2:$B$29,"REVISAR"))</f>
        <v>Belo Horizonte</v>
      </c>
      <c r="G1971" s="4" t="str">
        <f aca="false">IF($A1971="","",TRIM(Base_Bruta!G1971))</f>
        <v>Meia</v>
      </c>
      <c r="H1971" s="4" t="n">
        <f aca="false">IF($A1971="","",IF(ISNUMBER(Base_Bruta!H1971),Base_Bruta!H1971,IFERROR(_xlfn.NUMBERVALUE(TRIM(SUBSTITUTE(Base_Bruta!H1971,"R$","")),",","."),0)))</f>
        <v>1</v>
      </c>
      <c r="I1971" s="6" t="n">
        <f aca="false">IF($A1971="","",IF(ISNUMBER(Base_Bruta!I1971),Base_Bruta!I1971,IFERROR(_xlfn.NUMBERVALUE(TRIM(SUBSTITUTE(Base_Bruta!I1971,"R$","")),",","."),0)))</f>
        <v>22.5</v>
      </c>
      <c r="J1971" s="6" t="n">
        <f aca="false">IF($A1971="","",H1971*I1971)</f>
        <v>22.5</v>
      </c>
      <c r="K1971" s="4" t="str">
        <f aca="false">IF($A1971="","",TRIM(Base_Bruta!J1971))</f>
        <v>Site</v>
      </c>
      <c r="L1971" s="4" t="str">
        <f aca="false">IF($A1971="","",TRIM(Base_Bruta!K1971))</f>
        <v>C00464</v>
      </c>
      <c r="M1971" s="4" t="str">
        <f aca="false">IF($A1971="","",_xlfn.XLOOKUP(LOWER(TRIM(Base_Bruta!L1971)),DePara_Cidade!$A$2:$A$29,DePara_Cidade!$B$2:$B$29,"REVISAR"))</f>
        <v>Belo Horizonte</v>
      </c>
      <c r="N1971" s="4" t="str">
        <f aca="false">IF($A1971="","",UPPER(TRIM(Base_Bruta!M1971)))</f>
        <v>MG</v>
      </c>
      <c r="O1971" s="4" t="str">
        <f aca="false">IF($A1971="","",_xlfn.XLOOKUP(LOWER(TRIM(Base_Bruta!N1971)),DePara_Pais!$A$2:$A$9,DePara_Pais!$B$2:$B$9,"REVISAR"))</f>
        <v>Brasil</v>
      </c>
      <c r="P1971" s="4" t="str">
        <f aca="false">IF($A1971="","",IF(O1971&lt;&gt;"Brasil","Turista Internacional",IF(M1971=F1971,"Local","Turista Nacional")))</f>
        <v>Local</v>
      </c>
      <c r="Q1971" s="7" t="n">
        <f aca="false">IF($A1971="","",DATE(YEAR(B1971),MONTH(B1971),1))</f>
        <v>46023</v>
      </c>
      <c r="R1971" s="4" t="str">
        <f aca="false">IF($A1971="","",IF(COUNTIF($A$2:$A1971,$A1971)&gt;1,"Sim","Não"))</f>
        <v>Não</v>
      </c>
      <c r="S1971" s="4" t="str">
        <f aca="false">IF(A1971="","Descartar - Linha vazia",IF(R1971="Sim","Descartar - Duplicado",IF(OR(H1971&lt;=0,I1971&lt;=0),"Descartar - Qtd/Valor inválido","OK")))</f>
        <v>OK</v>
      </c>
      <c r="T1971" s="4" t="str">
        <f aca="false">Base_Bruta!P1971</f>
        <v>vendas_MG.csv</v>
      </c>
    </row>
    <row r="1972" customFormat="false" ht="15" hidden="false" customHeight="false" outlineLevel="0" collapsed="false">
      <c r="A1972" s="4" t="str">
        <f aca="false">IF(Base_Bruta!A1972="","",Base_Bruta!A1972)</f>
        <v>MG-000336</v>
      </c>
      <c r="B1972" s="5" t="n">
        <f aca="false">IF($A1972="","",IF(ISNUMBER(Base_Bruta!B1972),Base_Bruta!B1972,IF(MID(Base_Bruta!B1972,5,1)="-",DATE(VALUE(LEFT(Base_Bruta!B1972,4)),VALUE(MID(Base_Bruta!B1972,6,2)),VALUE(RIGHT(Base_Bruta!B1972,2))),DATE(VALUE(RIGHT(Base_Bruta!B1972,4)),VALUE(MID(Base_Bruta!B1972,4,2)),VALUE(LEFT(Base_Bruta!B1972,2))))))</f>
        <v>46044</v>
      </c>
      <c r="C1972" s="5" t="n">
        <f aca="false">IF($A1972="","",IF(ISNUMBER(Base_Bruta!C1972),Base_Bruta!C1972,IF(MID(Base_Bruta!C1972,5,1)="-",DATE(VALUE(LEFT(Base_Bruta!C1972,4)),VALUE(MID(Base_Bruta!C1972,6,2)),VALUE(RIGHT(Base_Bruta!C1972,2))),DATE(VALUE(RIGHT(Base_Bruta!C1972,4)),VALUE(MID(Base_Bruta!C1972,4,2)),VALUE(LEFT(Base_Bruta!C1972,2))))))</f>
        <v>46081</v>
      </c>
      <c r="D1972" s="4" t="str">
        <f aca="false">IF($A1972="","",TRIM(Base_Bruta!D1972))</f>
        <v>Show Sertanejo - BH</v>
      </c>
      <c r="E1972" s="4" t="str">
        <f aca="false">IF($A1972="","",_xlfn.XLOOKUP(LOWER(TRIM(Base_Bruta!E1972)),DePara_Categoria!$A$2:$A$9,DePara_Categoria!$B$2:$B$9,"REVISAR"))</f>
        <v>Show</v>
      </c>
      <c r="F1972" s="4" t="str">
        <f aca="false">IF($A1972="","",_xlfn.XLOOKUP(LOWER(TRIM(Base_Bruta!F1972)),DePara_Cidade!$A$2:$A$29,DePara_Cidade!$B$2:$B$29,"REVISAR"))</f>
        <v>Belo Horizonte</v>
      </c>
      <c r="G1972" s="4" t="str">
        <f aca="false">IF($A1972="","",TRIM(Base_Bruta!G1972))</f>
        <v>Inteira</v>
      </c>
      <c r="H1972" s="4" t="n">
        <f aca="false">IF($A1972="","",IF(ISNUMBER(Base_Bruta!H1972),Base_Bruta!H1972,IFERROR(_xlfn.NUMBERVALUE(TRIM(SUBSTITUTE(Base_Bruta!H1972,"R$","")),",","."),0)))</f>
        <v>2</v>
      </c>
      <c r="I1972" s="6" t="n">
        <f aca="false">IF($A1972="","",IF(ISNUMBER(Base_Bruta!I1972),Base_Bruta!I1972,IFERROR(_xlfn.NUMBERVALUE(TRIM(SUBSTITUTE(Base_Bruta!I1972,"R$","")),",","."),0)))</f>
        <v>490</v>
      </c>
      <c r="J1972" s="6" t="n">
        <f aca="false">IF($A1972="","",H1972*I1972)</f>
        <v>980</v>
      </c>
      <c r="K1972" s="4" t="str">
        <f aca="false">IF($A1972="","",TRIM(Base_Bruta!J1972))</f>
        <v>App</v>
      </c>
      <c r="L1972" s="4" t="str">
        <f aca="false">IF($A1972="","",TRIM(Base_Bruta!K1972))</f>
        <v>C00113</v>
      </c>
      <c r="M1972" s="4" t="str">
        <f aca="false">IF($A1972="","",_xlfn.XLOOKUP(LOWER(TRIM(Base_Bruta!L1972)),DePara_Cidade!$A$2:$A$29,DePara_Cidade!$B$2:$B$29,"REVISAR"))</f>
        <v>Belo Horizonte</v>
      </c>
      <c r="N1972" s="4" t="str">
        <f aca="false">IF($A1972="","",UPPER(TRIM(Base_Bruta!M1972)))</f>
        <v>MG</v>
      </c>
      <c r="O1972" s="4" t="str">
        <f aca="false">IF($A1972="","",_xlfn.XLOOKUP(LOWER(TRIM(Base_Bruta!N1972)),DePara_Pais!$A$2:$A$9,DePara_Pais!$B$2:$B$9,"REVISAR"))</f>
        <v>Brasil</v>
      </c>
      <c r="P1972" s="4" t="str">
        <f aca="false">IF($A1972="","",IF(O1972&lt;&gt;"Brasil","Turista Internacional",IF(M1972=F1972,"Local","Turista Nacional")))</f>
        <v>Local</v>
      </c>
      <c r="Q1972" s="7" t="n">
        <f aca="false">IF($A1972="","",DATE(YEAR(B1972),MONTH(B1972),1))</f>
        <v>46023</v>
      </c>
      <c r="R1972" s="4" t="str">
        <f aca="false">IF($A1972="","",IF(COUNTIF($A$2:$A1972,$A1972)&gt;1,"Sim","Não"))</f>
        <v>Não</v>
      </c>
      <c r="S1972" s="4" t="str">
        <f aca="false">IF(A1972="","Descartar - Linha vazia",IF(R1972="Sim","Descartar - Duplicado",IF(OR(H1972&lt;=0,I1972&lt;=0),"Descartar - Qtd/Valor inválido","OK")))</f>
        <v>OK</v>
      </c>
      <c r="T1972" s="4" t="str">
        <f aca="false">Base_Bruta!P1972</f>
        <v>vendas_MG.csv</v>
      </c>
    </row>
    <row r="1973" customFormat="false" ht="15" hidden="false" customHeight="false" outlineLevel="0" collapsed="false">
      <c r="A1973" s="4" t="str">
        <f aca="false">IF(Base_Bruta!A1973="","",Base_Bruta!A1973)</f>
        <v>MG-000259</v>
      </c>
      <c r="B1973" s="5" t="n">
        <f aca="false">IF($A1973="","",IF(ISNUMBER(Base_Bruta!B1973),Base_Bruta!B1973,IF(MID(Base_Bruta!B1973,5,1)="-",DATE(VALUE(LEFT(Base_Bruta!B1973,4)),VALUE(MID(Base_Bruta!B1973,6,2)),VALUE(RIGHT(Base_Bruta!B1973,2))),DATE(VALUE(RIGHT(Base_Bruta!B1973,4)),VALUE(MID(Base_Bruta!B1973,4,2)),VALUE(LEFT(Base_Bruta!B1973,2))))))</f>
        <v>46045</v>
      </c>
      <c r="C1973" s="5" t="n">
        <f aca="false">IF($A1973="","",IF(ISNUMBER(Base_Bruta!C1973),Base_Bruta!C1973,IF(MID(Base_Bruta!C1973,5,1)="-",DATE(VALUE(LEFT(Base_Bruta!C1973,4)),VALUE(MID(Base_Bruta!C1973,6,2)),VALUE(RIGHT(Base_Bruta!C1973,2))),DATE(VALUE(RIGHT(Base_Bruta!C1973,4)),VALUE(MID(Base_Bruta!C1973,4,2)),VALUE(LEFT(Base_Bruta!C1973,2))))))</f>
        <v>46081</v>
      </c>
      <c r="D1973" s="4" t="str">
        <f aca="false">IF($A1973="","",TRIM(Base_Bruta!D1973))</f>
        <v>Show Sertanejo - BH</v>
      </c>
      <c r="E1973" s="4" t="str">
        <f aca="false">IF($A1973="","",_xlfn.XLOOKUP(LOWER(TRIM(Base_Bruta!E1973)),DePara_Categoria!$A$2:$A$9,DePara_Categoria!$B$2:$B$9,"REVISAR"))</f>
        <v>Show</v>
      </c>
      <c r="F1973" s="4" t="str">
        <f aca="false">IF($A1973="","",_xlfn.XLOOKUP(LOWER(TRIM(Base_Bruta!F1973)),DePara_Cidade!$A$2:$A$29,DePara_Cidade!$B$2:$B$29,"REVISAR"))</f>
        <v>Belo Horizonte</v>
      </c>
      <c r="G1973" s="4" t="str">
        <f aca="false">IF($A1973="","",TRIM(Base_Bruta!G1973))</f>
        <v>Meia</v>
      </c>
      <c r="H1973" s="4" t="n">
        <f aca="false">IF($A1973="","",IF(ISNUMBER(Base_Bruta!H1973),Base_Bruta!H1973,IFERROR(_xlfn.NUMBERVALUE(TRIM(SUBSTITUTE(Base_Bruta!H1973,"R$","")),",","."),0)))</f>
        <v>3</v>
      </c>
      <c r="I1973" s="6" t="n">
        <f aca="false">IF($A1973="","",IF(ISNUMBER(Base_Bruta!I1973),Base_Bruta!I1973,IFERROR(_xlfn.NUMBERVALUE(TRIM(SUBSTITUTE(Base_Bruta!I1973,"R$","")),",","."),0)))</f>
        <v>375</v>
      </c>
      <c r="J1973" s="6" t="n">
        <f aca="false">IF($A1973="","",H1973*I1973)</f>
        <v>1125</v>
      </c>
      <c r="K1973" s="4" t="str">
        <f aca="false">IF($A1973="","",TRIM(Base_Bruta!J1973))</f>
        <v>Site</v>
      </c>
      <c r="L1973" s="4" t="str">
        <f aca="false">IF($A1973="","",TRIM(Base_Bruta!K1973))</f>
        <v>C00729</v>
      </c>
      <c r="M1973" s="4" t="str">
        <f aca="false">IF($A1973="","",_xlfn.XLOOKUP(LOWER(TRIM(Base_Bruta!L1973)),DePara_Cidade!$A$2:$A$29,DePara_Cidade!$B$2:$B$29,"REVISAR"))</f>
        <v>Belo Horizonte</v>
      </c>
      <c r="N1973" s="4" t="str">
        <f aca="false">IF($A1973="","",UPPER(TRIM(Base_Bruta!M1973)))</f>
        <v>MG</v>
      </c>
      <c r="O1973" s="4" t="str">
        <f aca="false">IF($A1973="","",_xlfn.XLOOKUP(LOWER(TRIM(Base_Bruta!N1973)),DePara_Pais!$A$2:$A$9,DePara_Pais!$B$2:$B$9,"REVISAR"))</f>
        <v>Brasil</v>
      </c>
      <c r="P1973" s="4" t="str">
        <f aca="false">IF($A1973="","",IF(O1973&lt;&gt;"Brasil","Turista Internacional",IF(M1973=F1973,"Local","Turista Nacional")))</f>
        <v>Local</v>
      </c>
      <c r="Q1973" s="7" t="n">
        <f aca="false">IF($A1973="","",DATE(YEAR(B1973),MONTH(B1973),1))</f>
        <v>46023</v>
      </c>
      <c r="R1973" s="4" t="str">
        <f aca="false">IF($A1973="","",IF(COUNTIF($A$2:$A1973,$A1973)&gt;1,"Sim","Não"))</f>
        <v>Não</v>
      </c>
      <c r="S1973" s="4" t="str">
        <f aca="false">IF(A1973="","Descartar - Linha vazia",IF(R1973="Sim","Descartar - Duplicado",IF(OR(H1973&lt;=0,I1973&lt;=0),"Descartar - Qtd/Valor inválido","OK")))</f>
        <v>OK</v>
      </c>
      <c r="T1973" s="4" t="str">
        <f aca="false">Base_Bruta!P1973</f>
        <v>vendas_MG.csv</v>
      </c>
    </row>
    <row r="1974" customFormat="false" ht="15" hidden="false" customHeight="false" outlineLevel="0" collapsed="false">
      <c r="A1974" s="4" t="str">
        <f aca="false">IF(Base_Bruta!A1974="","",Base_Bruta!A1974)</f>
        <v>MG-000293</v>
      </c>
      <c r="B1974" s="5" t="n">
        <f aca="false">IF($A1974="","",IF(ISNUMBER(Base_Bruta!B1974),Base_Bruta!B1974,IF(MID(Base_Bruta!B1974,5,1)="-",DATE(VALUE(LEFT(Base_Bruta!B1974,4)),VALUE(MID(Base_Bruta!B1974,6,2)),VALUE(RIGHT(Base_Bruta!B1974,2))),DATE(VALUE(RIGHT(Base_Bruta!B1974,4)),VALUE(MID(Base_Bruta!B1974,4,2)),VALUE(LEFT(Base_Bruta!B1974,2))))))</f>
        <v>46045</v>
      </c>
      <c r="C1974" s="5" t="n">
        <f aca="false">IF($A1974="","",IF(ISNUMBER(Base_Bruta!C1974),Base_Bruta!C1974,IF(MID(Base_Bruta!C1974,5,1)="-",DATE(VALUE(LEFT(Base_Bruta!C1974,4)),VALUE(MID(Base_Bruta!C1974,6,2)),VALUE(RIGHT(Base_Bruta!C1974,2))),DATE(VALUE(RIGHT(Base_Bruta!C1974,4)),VALUE(MID(Base_Bruta!C1974,4,2)),VALUE(LEFT(Base_Bruta!C1974,2))))))</f>
        <v>46081</v>
      </c>
      <c r="D1974" s="4" t="str">
        <f aca="false">IF($A1974="","",TRIM(Base_Bruta!D1974))</f>
        <v>Show Sertanejo - BH</v>
      </c>
      <c r="E1974" s="4" t="str">
        <f aca="false">IF($A1974="","",_xlfn.XLOOKUP(LOWER(TRIM(Base_Bruta!E1974)),DePara_Categoria!$A$2:$A$9,DePara_Categoria!$B$2:$B$9,"REVISAR"))</f>
        <v>Show</v>
      </c>
      <c r="F1974" s="4" t="str">
        <f aca="false">IF($A1974="","",_xlfn.XLOOKUP(LOWER(TRIM(Base_Bruta!F1974)),DePara_Cidade!$A$2:$A$29,DePara_Cidade!$B$2:$B$29,"REVISAR"))</f>
        <v>Belo Horizonte</v>
      </c>
      <c r="G1974" s="4" t="str">
        <f aca="false">IF($A1974="","",TRIM(Base_Bruta!G1974))</f>
        <v>VIP</v>
      </c>
      <c r="H1974" s="4" t="n">
        <f aca="false">IF($A1974="","",IF(ISNUMBER(Base_Bruta!H1974),Base_Bruta!H1974,IFERROR(_xlfn.NUMBERVALUE(TRIM(SUBSTITUTE(Base_Bruta!H1974,"R$","")),",","."),0)))</f>
        <v>3</v>
      </c>
      <c r="I1974" s="6" t="n">
        <f aca="false">IF($A1974="","",IF(ISNUMBER(Base_Bruta!I1974),Base_Bruta!I1974,IFERROR(_xlfn.NUMBERVALUE(TRIM(SUBSTITUTE(Base_Bruta!I1974,"R$","")),",","."),0)))</f>
        <v>750</v>
      </c>
      <c r="J1974" s="6" t="n">
        <f aca="false">IF($A1974="","",H1974*I1974)</f>
        <v>2250</v>
      </c>
      <c r="K1974" s="4" t="str">
        <f aca="false">IF($A1974="","",TRIM(Base_Bruta!J1974))</f>
        <v>App</v>
      </c>
      <c r="L1974" s="4" t="str">
        <f aca="false">IF($A1974="","",TRIM(Base_Bruta!K1974))</f>
        <v>C00363</v>
      </c>
      <c r="M1974" s="4" t="str">
        <f aca="false">IF($A1974="","",_xlfn.XLOOKUP(LOWER(TRIM(Base_Bruta!L1974)),DePara_Cidade!$A$2:$A$29,DePara_Cidade!$B$2:$B$29,"REVISAR"))</f>
        <v>Goiânia</v>
      </c>
      <c r="N1974" s="4" t="str">
        <f aca="false">IF($A1974="","",UPPER(TRIM(Base_Bruta!M1974)))</f>
        <v>GO</v>
      </c>
      <c r="O1974" s="4" t="str">
        <f aca="false">IF($A1974="","",_xlfn.XLOOKUP(LOWER(TRIM(Base_Bruta!N1974)),DePara_Pais!$A$2:$A$9,DePara_Pais!$B$2:$B$9,"REVISAR"))</f>
        <v>Brasil</v>
      </c>
      <c r="P1974" s="4" t="str">
        <f aca="false">IF($A1974="","",IF(O1974&lt;&gt;"Brasil","Turista Internacional",IF(M1974=F1974,"Local","Turista Nacional")))</f>
        <v>Turista Nacional</v>
      </c>
      <c r="Q1974" s="7" t="n">
        <f aca="false">IF($A1974="","",DATE(YEAR(B1974),MONTH(B1974),1))</f>
        <v>46023</v>
      </c>
      <c r="R1974" s="4" t="str">
        <f aca="false">IF($A1974="","",IF(COUNTIF($A$2:$A1974,$A1974)&gt;1,"Sim","Não"))</f>
        <v>Não</v>
      </c>
      <c r="S1974" s="4" t="str">
        <f aca="false">IF(A1974="","Descartar - Linha vazia",IF(R1974="Sim","Descartar - Duplicado",IF(OR(H1974&lt;=0,I1974&lt;=0),"Descartar - Qtd/Valor inválido","OK")))</f>
        <v>OK</v>
      </c>
      <c r="T1974" s="4" t="str">
        <f aca="false">Base_Bruta!P1974</f>
        <v>vendas_MG.csv</v>
      </c>
    </row>
    <row r="1975" customFormat="false" ht="15" hidden="false" customHeight="false" outlineLevel="0" collapsed="false">
      <c r="A1975" s="4" t="str">
        <f aca="false">IF(Base_Bruta!A1975="","",Base_Bruta!A1975)</f>
        <v>MG-000236</v>
      </c>
      <c r="B1975" s="5" t="n">
        <f aca="false">IF($A1975="","",IF(ISNUMBER(Base_Bruta!B1975),Base_Bruta!B1975,IF(MID(Base_Bruta!B1975,5,1)="-",DATE(VALUE(LEFT(Base_Bruta!B1975,4)),VALUE(MID(Base_Bruta!B1975,6,2)),VALUE(RIGHT(Base_Bruta!B1975,2))),DATE(VALUE(RIGHT(Base_Bruta!B1975,4)),VALUE(MID(Base_Bruta!B1975,4,2)),VALUE(LEFT(Base_Bruta!B1975,2))))))</f>
        <v>46046</v>
      </c>
      <c r="C1975" s="5" t="n">
        <f aca="false">IF($A1975="","",IF(ISNUMBER(Base_Bruta!C1975),Base_Bruta!C1975,IF(MID(Base_Bruta!C1975,5,1)="-",DATE(VALUE(LEFT(Base_Bruta!C1975,4)),VALUE(MID(Base_Bruta!C1975,6,2)),VALUE(RIGHT(Base_Bruta!C1975,2))),DATE(VALUE(RIGHT(Base_Bruta!C1975,4)),VALUE(MID(Base_Bruta!C1975,4,2)),VALUE(LEFT(Base_Bruta!C1975,2))))))</f>
        <v>46081</v>
      </c>
      <c r="D1975" s="4" t="str">
        <f aca="false">IF($A1975="","",TRIM(Base_Bruta!D1975))</f>
        <v>Show Sertanejo - BH</v>
      </c>
      <c r="E1975" s="4" t="str">
        <f aca="false">IF($A1975="","",_xlfn.XLOOKUP(LOWER(TRIM(Base_Bruta!E1975)),DePara_Categoria!$A$2:$A$9,DePara_Categoria!$B$2:$B$9,"REVISAR"))</f>
        <v>Show</v>
      </c>
      <c r="F1975" s="4" t="str">
        <f aca="false">IF($A1975="","",_xlfn.XLOOKUP(LOWER(TRIM(Base_Bruta!F1975)),DePara_Cidade!$A$2:$A$29,DePara_Cidade!$B$2:$B$29,"REVISAR"))</f>
        <v>Belo Horizonte</v>
      </c>
      <c r="G1975" s="4" t="str">
        <f aca="false">IF($A1975="","",TRIM(Base_Bruta!G1975))</f>
        <v>Inteira</v>
      </c>
      <c r="H1975" s="4" t="n">
        <f aca="false">IF($A1975="","",IF(ISNUMBER(Base_Bruta!H1975),Base_Bruta!H1975,IFERROR(_xlfn.NUMBERVALUE(TRIM(SUBSTITUTE(Base_Bruta!H1975,"R$","")),",","."),0)))</f>
        <v>3</v>
      </c>
      <c r="I1975" s="6" t="n">
        <f aca="false">IF($A1975="","",IF(ISNUMBER(Base_Bruta!I1975),Base_Bruta!I1975,IFERROR(_xlfn.NUMBERVALUE(TRIM(SUBSTITUTE(Base_Bruta!I1975,"R$","")),",","."),0)))</f>
        <v>490</v>
      </c>
      <c r="J1975" s="6" t="n">
        <f aca="false">IF($A1975="","",H1975*I1975)</f>
        <v>1470</v>
      </c>
      <c r="K1975" s="4" t="str">
        <f aca="false">IF($A1975="","",TRIM(Base_Bruta!J1975))</f>
        <v>Site</v>
      </c>
      <c r="L1975" s="4" t="str">
        <f aca="false">IF($A1975="","",TRIM(Base_Bruta!K1975))</f>
        <v>C02080</v>
      </c>
      <c r="M1975" s="4" t="str">
        <f aca="false">IF($A1975="","",_xlfn.XLOOKUP(LOWER(TRIM(Base_Bruta!L1975)),DePara_Cidade!$A$2:$A$29,DePara_Cidade!$B$2:$B$29,"REVISAR"))</f>
        <v>Belo Horizonte</v>
      </c>
      <c r="N1975" s="4" t="str">
        <f aca="false">IF($A1975="","",UPPER(TRIM(Base_Bruta!M1975)))</f>
        <v>MG</v>
      </c>
      <c r="O1975" s="4" t="str">
        <f aca="false">IF($A1975="","",_xlfn.XLOOKUP(LOWER(TRIM(Base_Bruta!N1975)),DePara_Pais!$A$2:$A$9,DePara_Pais!$B$2:$B$9,"REVISAR"))</f>
        <v>Brasil</v>
      </c>
      <c r="P1975" s="4" t="str">
        <f aca="false">IF($A1975="","",IF(O1975&lt;&gt;"Brasil","Turista Internacional",IF(M1975=F1975,"Local","Turista Nacional")))</f>
        <v>Local</v>
      </c>
      <c r="Q1975" s="7" t="n">
        <f aca="false">IF($A1975="","",DATE(YEAR(B1975),MONTH(B1975),1))</f>
        <v>46023</v>
      </c>
      <c r="R1975" s="4" t="str">
        <f aca="false">IF($A1975="","",IF(COUNTIF($A$2:$A1975,$A1975)&gt;1,"Sim","Não"))</f>
        <v>Não</v>
      </c>
      <c r="S1975" s="4" t="str">
        <f aca="false">IF(A1975="","Descartar - Linha vazia",IF(R1975="Sim","Descartar - Duplicado",IF(OR(H1975&lt;=0,I1975&lt;=0),"Descartar - Qtd/Valor inválido","OK")))</f>
        <v>OK</v>
      </c>
      <c r="T1975" s="4" t="str">
        <f aca="false">Base_Bruta!P1975</f>
        <v>vendas_MG.csv</v>
      </c>
    </row>
    <row r="1976" customFormat="false" ht="15" hidden="false" customHeight="false" outlineLevel="0" collapsed="false">
      <c r="A1976" s="4" t="str">
        <f aca="false">IF(Base_Bruta!A1976="","",Base_Bruta!A1976)</f>
        <v>MG-000305</v>
      </c>
      <c r="B1976" s="5" t="n">
        <f aca="false">IF($A1976="","",IF(ISNUMBER(Base_Bruta!B1976),Base_Bruta!B1976,IF(MID(Base_Bruta!B1976,5,1)="-",DATE(VALUE(LEFT(Base_Bruta!B1976,4)),VALUE(MID(Base_Bruta!B1976,6,2)),VALUE(RIGHT(Base_Bruta!B1976,2))),DATE(VALUE(RIGHT(Base_Bruta!B1976,4)),VALUE(MID(Base_Bruta!B1976,4,2)),VALUE(LEFT(Base_Bruta!B1976,2))))))</f>
        <v>46046</v>
      </c>
      <c r="C1976" s="5" t="n">
        <f aca="false">IF($A1976="","",IF(ISNUMBER(Base_Bruta!C1976),Base_Bruta!C1976,IF(MID(Base_Bruta!C1976,5,1)="-",DATE(VALUE(LEFT(Base_Bruta!C1976,4)),VALUE(MID(Base_Bruta!C1976,6,2)),VALUE(RIGHT(Base_Bruta!C1976,2))),DATE(VALUE(RIGHT(Base_Bruta!C1976,4)),VALUE(MID(Base_Bruta!C1976,4,2)),VALUE(LEFT(Base_Bruta!C1976,2))))))</f>
        <v>46081</v>
      </c>
      <c r="D1976" s="4" t="str">
        <f aca="false">IF($A1976="","",TRIM(Base_Bruta!D1976))</f>
        <v>Show Sertanejo - BH</v>
      </c>
      <c r="E1976" s="4" t="str">
        <f aca="false">IF($A1976="","",_xlfn.XLOOKUP(LOWER(TRIM(Base_Bruta!E1976)),DePara_Categoria!$A$2:$A$9,DePara_Categoria!$B$2:$B$9,"REVISAR"))</f>
        <v>Show</v>
      </c>
      <c r="F1976" s="4" t="str">
        <f aca="false">IF($A1976="","",_xlfn.XLOOKUP(LOWER(TRIM(Base_Bruta!F1976)),DePara_Cidade!$A$2:$A$29,DePara_Cidade!$B$2:$B$29,"REVISAR"))</f>
        <v>Belo Horizonte</v>
      </c>
      <c r="G1976" s="4" t="str">
        <f aca="false">IF($A1976="","",TRIM(Base_Bruta!G1976))</f>
        <v>Meia</v>
      </c>
      <c r="H1976" s="4" t="n">
        <f aca="false">IF($A1976="","",IF(ISNUMBER(Base_Bruta!H1976),Base_Bruta!H1976,IFERROR(_xlfn.NUMBERVALUE(TRIM(SUBSTITUTE(Base_Bruta!H1976,"R$","")),",","."),0)))</f>
        <v>4</v>
      </c>
      <c r="I1976" s="6" t="n">
        <f aca="false">IF($A1976="","",IF(ISNUMBER(Base_Bruta!I1976),Base_Bruta!I1976,IFERROR(_xlfn.NUMBERVALUE(TRIM(SUBSTITUTE(Base_Bruta!I1976,"R$","")),",","."),0)))</f>
        <v>207.5</v>
      </c>
      <c r="J1976" s="6" t="n">
        <f aca="false">IF($A1976="","",H1976*I1976)</f>
        <v>830</v>
      </c>
      <c r="K1976" s="4" t="str">
        <f aca="false">IF($A1976="","",TRIM(Base_Bruta!J1976))</f>
        <v>App</v>
      </c>
      <c r="L1976" s="4" t="str">
        <f aca="false">IF($A1976="","",TRIM(Base_Bruta!K1976))</f>
        <v>C01665</v>
      </c>
      <c r="M1976" s="4" t="str">
        <f aca="false">IF($A1976="","",_xlfn.XLOOKUP(LOWER(TRIM(Base_Bruta!L1976)),DePara_Cidade!$A$2:$A$29,DePara_Cidade!$B$2:$B$29,"REVISAR"))</f>
        <v>Belo Horizonte</v>
      </c>
      <c r="N1976" s="4" t="str">
        <f aca="false">IF($A1976="","",UPPER(TRIM(Base_Bruta!M1976)))</f>
        <v>MG</v>
      </c>
      <c r="O1976" s="4" t="str">
        <f aca="false">IF($A1976="","",_xlfn.XLOOKUP(LOWER(TRIM(Base_Bruta!N1976)),DePara_Pais!$A$2:$A$9,DePara_Pais!$B$2:$B$9,"REVISAR"))</f>
        <v>Brasil</v>
      </c>
      <c r="P1976" s="4" t="str">
        <f aca="false">IF($A1976="","",IF(O1976&lt;&gt;"Brasil","Turista Internacional",IF(M1976=F1976,"Local","Turista Nacional")))</f>
        <v>Local</v>
      </c>
      <c r="Q1976" s="7" t="n">
        <f aca="false">IF($A1976="","",DATE(YEAR(B1976),MONTH(B1976),1))</f>
        <v>46023</v>
      </c>
      <c r="R1976" s="4" t="str">
        <f aca="false">IF($A1976="","",IF(COUNTIF($A$2:$A1976,$A1976)&gt;1,"Sim","Não"))</f>
        <v>Não</v>
      </c>
      <c r="S1976" s="4" t="str">
        <f aca="false">IF(A1976="","Descartar - Linha vazia",IF(R1976="Sim","Descartar - Duplicado",IF(OR(H1976&lt;=0,I1976&lt;=0),"Descartar - Qtd/Valor inválido","OK")))</f>
        <v>OK</v>
      </c>
      <c r="T1976" s="4" t="str">
        <f aca="false">Base_Bruta!P1976</f>
        <v>vendas_MG.csv</v>
      </c>
    </row>
    <row r="1977" customFormat="false" ht="15" hidden="false" customHeight="false" outlineLevel="0" collapsed="false">
      <c r="A1977" s="4" t="str">
        <f aca="false">IF(Base_Bruta!A1977="","",Base_Bruta!A1977)</f>
        <v>MG-000358</v>
      </c>
      <c r="B1977" s="5" t="n">
        <f aca="false">IF($A1977="","",IF(ISNUMBER(Base_Bruta!B1977),Base_Bruta!B1977,IF(MID(Base_Bruta!B1977,5,1)="-",DATE(VALUE(LEFT(Base_Bruta!B1977,4)),VALUE(MID(Base_Bruta!B1977,6,2)),VALUE(RIGHT(Base_Bruta!B1977,2))),DATE(VALUE(RIGHT(Base_Bruta!B1977,4)),VALUE(MID(Base_Bruta!B1977,4,2)),VALUE(LEFT(Base_Bruta!B1977,2))))))</f>
        <v>46047</v>
      </c>
      <c r="C1977" s="5" t="n">
        <f aca="false">IF($A1977="","",IF(ISNUMBER(Base_Bruta!C1977),Base_Bruta!C1977,IF(MID(Base_Bruta!C1977,5,1)="-",DATE(VALUE(LEFT(Base_Bruta!C1977,4)),VALUE(MID(Base_Bruta!C1977,6,2)),VALUE(RIGHT(Base_Bruta!C1977,2))),DATE(VALUE(RIGHT(Base_Bruta!C1977,4)),VALUE(MID(Base_Bruta!C1977,4,2)),VALUE(LEFT(Base_Bruta!C1977,2))))))</f>
        <v>46081</v>
      </c>
      <c r="D1977" s="4" t="str">
        <f aca="false">IF($A1977="","",TRIM(Base_Bruta!D1977))</f>
        <v>Show Sertanejo - BH</v>
      </c>
      <c r="E1977" s="4" t="str">
        <f aca="false">IF($A1977="","",_xlfn.XLOOKUP(LOWER(TRIM(Base_Bruta!E1977)),DePara_Categoria!$A$2:$A$9,DePara_Categoria!$B$2:$B$9,"REVISAR"))</f>
        <v>Show</v>
      </c>
      <c r="F1977" s="4" t="str">
        <f aca="false">IF($A1977="","",_xlfn.XLOOKUP(LOWER(TRIM(Base_Bruta!F1977)),DePara_Cidade!$A$2:$A$29,DePara_Cidade!$B$2:$B$29,"REVISAR"))</f>
        <v>Belo Horizonte</v>
      </c>
      <c r="G1977" s="4" t="str">
        <f aca="false">IF($A1977="","",TRIM(Base_Bruta!G1977))</f>
        <v>Inteira</v>
      </c>
      <c r="H1977" s="4" t="n">
        <f aca="false">IF($A1977="","",IF(ISNUMBER(Base_Bruta!H1977),Base_Bruta!H1977,IFERROR(_xlfn.NUMBERVALUE(TRIM(SUBSTITUTE(Base_Bruta!H1977,"R$","")),",","."),0)))</f>
        <v>2</v>
      </c>
      <c r="I1977" s="6" t="n">
        <f aca="false">IF($A1977="","",IF(ISNUMBER(Base_Bruta!I1977),Base_Bruta!I1977,IFERROR(_xlfn.NUMBERVALUE(TRIM(SUBSTITUTE(Base_Bruta!I1977,"R$","")),",","."),0)))</f>
        <v>585</v>
      </c>
      <c r="J1977" s="6" t="n">
        <f aca="false">IF($A1977="","",H1977*I1977)</f>
        <v>1170</v>
      </c>
      <c r="K1977" s="4" t="str">
        <f aca="false">IF($A1977="","",TRIM(Base_Bruta!J1977))</f>
        <v>App</v>
      </c>
      <c r="L1977" s="4" t="str">
        <f aca="false">IF($A1977="","",TRIM(Base_Bruta!K1977))</f>
        <v>C01222</v>
      </c>
      <c r="M1977" s="4" t="str">
        <f aca="false">IF($A1977="","",_xlfn.XLOOKUP(LOWER(TRIM(Base_Bruta!L1977)),DePara_Cidade!$A$2:$A$29,DePara_Cidade!$B$2:$B$29,"REVISAR"))</f>
        <v>Lisboa</v>
      </c>
      <c r="N1977" s="4" t="str">
        <f aca="false">IF($A1977="","",UPPER(TRIM(Base_Bruta!M1977)))</f>
        <v>EX</v>
      </c>
      <c r="O1977" s="4" t="str">
        <f aca="false">IF($A1977="","",_xlfn.XLOOKUP(LOWER(TRIM(Base_Bruta!N1977)),DePara_Pais!$A$2:$A$9,DePara_Pais!$B$2:$B$9,"REVISAR"))</f>
        <v>Portugal</v>
      </c>
      <c r="P1977" s="4" t="str">
        <f aca="false">IF($A1977="","",IF(O1977&lt;&gt;"Brasil","Turista Internacional",IF(M1977=F1977,"Local","Turista Nacional")))</f>
        <v>Turista Internacional</v>
      </c>
      <c r="Q1977" s="7" t="n">
        <f aca="false">IF($A1977="","",DATE(YEAR(B1977),MONTH(B1977),1))</f>
        <v>46023</v>
      </c>
      <c r="R1977" s="4" t="str">
        <f aca="false">IF($A1977="","",IF(COUNTIF($A$2:$A1977,$A1977)&gt;1,"Sim","Não"))</f>
        <v>Não</v>
      </c>
      <c r="S1977" s="4" t="str">
        <f aca="false">IF(A1977="","Descartar - Linha vazia",IF(R1977="Sim","Descartar - Duplicado",IF(OR(H1977&lt;=0,I1977&lt;=0),"Descartar - Qtd/Valor inválido","OK")))</f>
        <v>OK</v>
      </c>
      <c r="T1977" s="4" t="str">
        <f aca="false">Base_Bruta!P1977</f>
        <v>vendas_MG.csv</v>
      </c>
    </row>
    <row r="1978" customFormat="false" ht="15" hidden="false" customHeight="false" outlineLevel="0" collapsed="false">
      <c r="A1978" s="4" t="str">
        <f aca="false">IF(Base_Bruta!A1978="","",Base_Bruta!A1978)</f>
        <v>MG-000311</v>
      </c>
      <c r="B1978" s="5" t="n">
        <f aca="false">IF($A1978="","",IF(ISNUMBER(Base_Bruta!B1978),Base_Bruta!B1978,IF(MID(Base_Bruta!B1978,5,1)="-",DATE(VALUE(LEFT(Base_Bruta!B1978,4)),VALUE(MID(Base_Bruta!B1978,6,2)),VALUE(RIGHT(Base_Bruta!B1978,2))),DATE(VALUE(RIGHT(Base_Bruta!B1978,4)),VALUE(MID(Base_Bruta!B1978,4,2)),VALUE(LEFT(Base_Bruta!B1978,2))))))</f>
        <v>46048</v>
      </c>
      <c r="C1978" s="5" t="n">
        <f aca="false">IF($A1978="","",IF(ISNUMBER(Base_Bruta!C1978),Base_Bruta!C1978,IF(MID(Base_Bruta!C1978,5,1)="-",DATE(VALUE(LEFT(Base_Bruta!C1978,4)),VALUE(MID(Base_Bruta!C1978,6,2)),VALUE(RIGHT(Base_Bruta!C1978,2))),DATE(VALUE(RIGHT(Base_Bruta!C1978,4)),VALUE(MID(Base_Bruta!C1978,4,2)),VALUE(LEFT(Base_Bruta!C1978,2))))))</f>
        <v>46081</v>
      </c>
      <c r="D1978" s="4" t="str">
        <f aca="false">IF($A1978="","",TRIM(Base_Bruta!D1978))</f>
        <v>Show Sertanejo - BH</v>
      </c>
      <c r="E1978" s="4" t="str">
        <f aca="false">IF($A1978="","",_xlfn.XLOOKUP(LOWER(TRIM(Base_Bruta!E1978)),DePara_Categoria!$A$2:$A$9,DePara_Categoria!$B$2:$B$9,"REVISAR"))</f>
        <v>Show</v>
      </c>
      <c r="F1978" s="4" t="str">
        <f aca="false">IF($A1978="","",_xlfn.XLOOKUP(LOWER(TRIM(Base_Bruta!F1978)),DePara_Cidade!$A$2:$A$29,DePara_Cidade!$B$2:$B$29,"REVISAR"))</f>
        <v>Belo Horizonte</v>
      </c>
      <c r="G1978" s="4" t="str">
        <f aca="false">IF($A1978="","",TRIM(Base_Bruta!G1978))</f>
        <v>Meia</v>
      </c>
      <c r="H1978" s="4" t="n">
        <f aca="false">IF($A1978="","",IF(ISNUMBER(Base_Bruta!H1978),Base_Bruta!H1978,IFERROR(_xlfn.NUMBERVALUE(TRIM(SUBSTITUTE(Base_Bruta!H1978,"R$","")),",","."),0)))</f>
        <v>4</v>
      </c>
      <c r="I1978" s="6" t="n">
        <f aca="false">IF($A1978="","",IF(ISNUMBER(Base_Bruta!I1978),Base_Bruta!I1978,IFERROR(_xlfn.NUMBERVALUE(TRIM(SUBSTITUTE(Base_Bruta!I1978,"R$","")),",","."),0)))</f>
        <v>252.5</v>
      </c>
      <c r="J1978" s="6" t="n">
        <f aca="false">IF($A1978="","",H1978*I1978)</f>
        <v>1010</v>
      </c>
      <c r="K1978" s="4" t="str">
        <f aca="false">IF($A1978="","",TRIM(Base_Bruta!J1978))</f>
        <v>Bilheteria</v>
      </c>
      <c r="L1978" s="4" t="str">
        <f aca="false">IF($A1978="","",TRIM(Base_Bruta!K1978))</f>
        <v>C01615</v>
      </c>
      <c r="M1978" s="4" t="str">
        <f aca="false">IF($A1978="","",_xlfn.XLOOKUP(LOWER(TRIM(Base_Bruta!L1978)),DePara_Cidade!$A$2:$A$29,DePara_Cidade!$B$2:$B$29,"REVISAR"))</f>
        <v>Belo Horizonte</v>
      </c>
      <c r="N1978" s="4" t="str">
        <f aca="false">IF($A1978="","",UPPER(TRIM(Base_Bruta!M1978)))</f>
        <v>MG</v>
      </c>
      <c r="O1978" s="4" t="str">
        <f aca="false">IF($A1978="","",_xlfn.XLOOKUP(LOWER(TRIM(Base_Bruta!N1978)),DePara_Pais!$A$2:$A$9,DePara_Pais!$B$2:$B$9,"REVISAR"))</f>
        <v>Brasil</v>
      </c>
      <c r="P1978" s="4" t="str">
        <f aca="false">IF($A1978="","",IF(O1978&lt;&gt;"Brasil","Turista Internacional",IF(M1978=F1978,"Local","Turista Nacional")))</f>
        <v>Local</v>
      </c>
      <c r="Q1978" s="7" t="n">
        <f aca="false">IF($A1978="","",DATE(YEAR(B1978),MONTH(B1978),1))</f>
        <v>46023</v>
      </c>
      <c r="R1978" s="4" t="str">
        <f aca="false">IF($A1978="","",IF(COUNTIF($A$2:$A1978,$A1978)&gt;1,"Sim","Não"))</f>
        <v>Não</v>
      </c>
      <c r="S1978" s="4" t="str">
        <f aca="false">IF(A1978="","Descartar - Linha vazia",IF(R1978="Sim","Descartar - Duplicado",IF(OR(H1978&lt;=0,I1978&lt;=0),"Descartar - Qtd/Valor inválido","OK")))</f>
        <v>OK</v>
      </c>
      <c r="T1978" s="4" t="str">
        <f aca="false">Base_Bruta!P1978</f>
        <v>vendas_MG.csv</v>
      </c>
    </row>
    <row r="1979" customFormat="false" ht="15" hidden="false" customHeight="false" outlineLevel="0" collapsed="false">
      <c r="A1979" s="4" t="str">
        <f aca="false">IF(Base_Bruta!A1979="","",Base_Bruta!A1979)</f>
        <v>MG-000320</v>
      </c>
      <c r="B1979" s="5" t="n">
        <f aca="false">IF($A1979="","",IF(ISNUMBER(Base_Bruta!B1979),Base_Bruta!B1979,IF(MID(Base_Bruta!B1979,5,1)="-",DATE(VALUE(LEFT(Base_Bruta!B1979,4)),VALUE(MID(Base_Bruta!B1979,6,2)),VALUE(RIGHT(Base_Bruta!B1979,2))),DATE(VALUE(RIGHT(Base_Bruta!B1979,4)),VALUE(MID(Base_Bruta!B1979,4,2)),VALUE(LEFT(Base_Bruta!B1979,2))))))</f>
        <v>46048</v>
      </c>
      <c r="C1979" s="5" t="n">
        <f aca="false">IF($A1979="","",IF(ISNUMBER(Base_Bruta!C1979),Base_Bruta!C1979,IF(MID(Base_Bruta!C1979,5,1)="-",DATE(VALUE(LEFT(Base_Bruta!C1979,4)),VALUE(MID(Base_Bruta!C1979,6,2)),VALUE(RIGHT(Base_Bruta!C1979,2))),DATE(VALUE(RIGHT(Base_Bruta!C1979,4)),VALUE(MID(Base_Bruta!C1979,4,2)),VALUE(LEFT(Base_Bruta!C1979,2))))))</f>
        <v>46081</v>
      </c>
      <c r="D1979" s="4" t="str">
        <f aca="false">IF($A1979="","",TRIM(Base_Bruta!D1979))</f>
        <v>Show Sertanejo - BH</v>
      </c>
      <c r="E1979" s="4" t="str">
        <f aca="false">IF($A1979="","",_xlfn.XLOOKUP(LOWER(TRIM(Base_Bruta!E1979)),DePara_Categoria!$A$2:$A$9,DePara_Categoria!$B$2:$B$9,"REVISAR"))</f>
        <v>Show</v>
      </c>
      <c r="F1979" s="4" t="str">
        <f aca="false">IF($A1979="","",_xlfn.XLOOKUP(LOWER(TRIM(Base_Bruta!F1979)),DePara_Cidade!$A$2:$A$29,DePara_Cidade!$B$2:$B$29,"REVISAR"))</f>
        <v>Belo Horizonte</v>
      </c>
      <c r="G1979" s="4" t="str">
        <f aca="false">IF($A1979="","",TRIM(Base_Bruta!G1979))</f>
        <v>VIP</v>
      </c>
      <c r="H1979" s="4" t="n">
        <f aca="false">IF($A1979="","",IF(ISNUMBER(Base_Bruta!H1979),Base_Bruta!H1979,IFERROR(_xlfn.NUMBERVALUE(TRIM(SUBSTITUTE(Base_Bruta!H1979,"R$","")),",","."),0)))</f>
        <v>2</v>
      </c>
      <c r="I1979" s="6" t="n">
        <f aca="false">IF($A1979="","",IF(ISNUMBER(Base_Bruta!I1979),Base_Bruta!I1979,IFERROR(_xlfn.NUMBERVALUE(TRIM(SUBSTITUTE(Base_Bruta!I1979,"R$","")),",","."),0)))</f>
        <v>1260</v>
      </c>
      <c r="J1979" s="6" t="n">
        <f aca="false">IF($A1979="","",H1979*I1979)</f>
        <v>2520</v>
      </c>
      <c r="K1979" s="4" t="str">
        <f aca="false">IF($A1979="","",TRIM(Base_Bruta!J1979))</f>
        <v>Site</v>
      </c>
      <c r="L1979" s="4" t="str">
        <f aca="false">IF($A1979="","",TRIM(Base_Bruta!K1979))</f>
        <v>C01774</v>
      </c>
      <c r="M1979" s="4" t="str">
        <f aca="false">IF($A1979="","",_xlfn.XLOOKUP(LOWER(TRIM(Base_Bruta!L1979)),DePara_Cidade!$A$2:$A$29,DePara_Cidade!$B$2:$B$29,"REVISAR"))</f>
        <v>Belo Horizonte</v>
      </c>
      <c r="N1979" s="4" t="str">
        <f aca="false">IF($A1979="","",UPPER(TRIM(Base_Bruta!M1979)))</f>
        <v>MG</v>
      </c>
      <c r="O1979" s="4" t="str">
        <f aca="false">IF($A1979="","",_xlfn.XLOOKUP(LOWER(TRIM(Base_Bruta!N1979)),DePara_Pais!$A$2:$A$9,DePara_Pais!$B$2:$B$9,"REVISAR"))</f>
        <v>Brasil</v>
      </c>
      <c r="P1979" s="4" t="str">
        <f aca="false">IF($A1979="","",IF(O1979&lt;&gt;"Brasil","Turista Internacional",IF(M1979=F1979,"Local","Turista Nacional")))</f>
        <v>Local</v>
      </c>
      <c r="Q1979" s="7" t="n">
        <f aca="false">IF($A1979="","",DATE(YEAR(B1979),MONTH(B1979),1))</f>
        <v>46023</v>
      </c>
      <c r="R1979" s="4" t="str">
        <f aca="false">IF($A1979="","",IF(COUNTIF($A$2:$A1979,$A1979)&gt;1,"Sim","Não"))</f>
        <v>Não</v>
      </c>
      <c r="S1979" s="4" t="str">
        <f aca="false">IF(A1979="","Descartar - Linha vazia",IF(R1979="Sim","Descartar - Duplicado",IF(OR(H1979&lt;=0,I1979&lt;=0),"Descartar - Qtd/Valor inválido","OK")))</f>
        <v>OK</v>
      </c>
      <c r="T1979" s="4" t="str">
        <f aca="false">Base_Bruta!P1979</f>
        <v>vendas_MG.csv</v>
      </c>
    </row>
    <row r="1980" customFormat="false" ht="15" hidden="false" customHeight="false" outlineLevel="0" collapsed="false">
      <c r="A1980" s="4" t="str">
        <f aca="false">IF(Base_Bruta!A1980="","",Base_Bruta!A1980)</f>
        <v>MG-000523</v>
      </c>
      <c r="B1980" s="5" t="n">
        <f aca="false">IF($A1980="","",IF(ISNUMBER(Base_Bruta!B1980),Base_Bruta!B1980,IF(MID(Base_Bruta!B1980,5,1)="-",DATE(VALUE(LEFT(Base_Bruta!B1980,4)),VALUE(MID(Base_Bruta!B1980,6,2)),VALUE(RIGHT(Base_Bruta!B1980,2))),DATE(VALUE(RIGHT(Base_Bruta!B1980,4)),VALUE(MID(Base_Bruta!B1980,4,2)),VALUE(LEFT(Base_Bruta!B1980,2))))))</f>
        <v>46048</v>
      </c>
      <c r="C1980" s="5" t="n">
        <f aca="false">IF($A1980="","",IF(ISNUMBER(Base_Bruta!C1980),Base_Bruta!C1980,IF(MID(Base_Bruta!C1980,5,1)="-",DATE(VALUE(LEFT(Base_Bruta!C1980,4)),VALUE(MID(Base_Bruta!C1980,6,2)),VALUE(RIGHT(Base_Bruta!C1980,2))),DATE(VALUE(RIGHT(Base_Bruta!C1980,4)),VALUE(MID(Base_Bruta!C1980,4,2)),VALUE(LEFT(Base_Bruta!C1980,2))))))</f>
        <v>46048</v>
      </c>
      <c r="D1980" s="4" t="str">
        <f aca="false">IF($A1980="","",TRIM(Base_Bruta!D1980))</f>
        <v>Cinema Savassi - Sessões</v>
      </c>
      <c r="E1980" s="4" t="str">
        <f aca="false">IF($A1980="","",_xlfn.XLOOKUP(LOWER(TRIM(Base_Bruta!E1980)),DePara_Categoria!$A$2:$A$9,DePara_Categoria!$B$2:$B$9,"REVISAR"))</f>
        <v>Cinema</v>
      </c>
      <c r="F1980" s="4" t="str">
        <f aca="false">IF($A1980="","",_xlfn.XLOOKUP(LOWER(TRIM(Base_Bruta!F1980)),DePara_Cidade!$A$2:$A$29,DePara_Cidade!$B$2:$B$29,"REVISAR"))</f>
        <v>Belo Horizonte</v>
      </c>
      <c r="G1980" s="4" t="str">
        <f aca="false">IF($A1980="","",TRIM(Base_Bruta!G1980))</f>
        <v>Meia</v>
      </c>
      <c r="H1980" s="4" t="n">
        <f aca="false">IF($A1980="","",IF(ISNUMBER(Base_Bruta!H1980),Base_Bruta!H1980,IFERROR(_xlfn.NUMBERVALUE(TRIM(SUBSTITUTE(Base_Bruta!H1980,"R$","")),",","."),0)))</f>
        <v>1</v>
      </c>
      <c r="I1980" s="6" t="n">
        <f aca="false">IF($A1980="","",IF(ISNUMBER(Base_Bruta!I1980),Base_Bruta!I1980,IFERROR(_xlfn.NUMBERVALUE(TRIM(SUBSTITUTE(Base_Bruta!I1980,"R$","")),",","."),0)))</f>
        <v>20</v>
      </c>
      <c r="J1980" s="6" t="n">
        <f aca="false">IF($A1980="","",H1980*I1980)</f>
        <v>20</v>
      </c>
      <c r="K1980" s="4" t="str">
        <f aca="false">IF($A1980="","",TRIM(Base_Bruta!J1980))</f>
        <v>App</v>
      </c>
      <c r="L1980" s="4" t="str">
        <f aca="false">IF($A1980="","",TRIM(Base_Bruta!K1980))</f>
        <v>C01889</v>
      </c>
      <c r="M1980" s="4" t="str">
        <f aca="false">IF($A1980="","",_xlfn.XLOOKUP(LOWER(TRIM(Base_Bruta!L1980)),DePara_Cidade!$A$2:$A$29,DePara_Cidade!$B$2:$B$29,"REVISAR"))</f>
        <v>Belo Horizonte</v>
      </c>
      <c r="N1980" s="4" t="str">
        <f aca="false">IF($A1980="","",UPPER(TRIM(Base_Bruta!M1980)))</f>
        <v>MG</v>
      </c>
      <c r="O1980" s="4" t="str">
        <f aca="false">IF($A1980="","",_xlfn.XLOOKUP(LOWER(TRIM(Base_Bruta!N1980)),DePara_Pais!$A$2:$A$9,DePara_Pais!$B$2:$B$9,"REVISAR"))</f>
        <v>Brasil</v>
      </c>
      <c r="P1980" s="4" t="str">
        <f aca="false">IF($A1980="","",IF(O1980&lt;&gt;"Brasil","Turista Internacional",IF(M1980=F1980,"Local","Turista Nacional")))</f>
        <v>Local</v>
      </c>
      <c r="Q1980" s="7" t="n">
        <f aca="false">IF($A1980="","",DATE(YEAR(B1980),MONTH(B1980),1))</f>
        <v>46023</v>
      </c>
      <c r="R1980" s="4" t="str">
        <f aca="false">IF($A1980="","",IF(COUNTIF($A$2:$A1980,$A1980)&gt;1,"Sim","Não"))</f>
        <v>Não</v>
      </c>
      <c r="S1980" s="4" t="str">
        <f aca="false">IF(A1980="","Descartar - Linha vazia",IF(R1980="Sim","Descartar - Duplicado",IF(OR(H1980&lt;=0,I1980&lt;=0),"Descartar - Qtd/Valor inválido","OK")))</f>
        <v>OK</v>
      </c>
      <c r="T1980" s="4" t="str">
        <f aca="false">Base_Bruta!P1980</f>
        <v>vendas_MG.csv</v>
      </c>
    </row>
    <row r="1981" customFormat="false" ht="15" hidden="false" customHeight="false" outlineLevel="0" collapsed="false">
      <c r="A1981" s="4" t="str">
        <f aca="false">IF(Base_Bruta!A1981="","",Base_Bruta!A1981)</f>
        <v>MG-000399</v>
      </c>
      <c r="B1981" s="5" t="n">
        <f aca="false">IF($A1981="","",IF(ISNUMBER(Base_Bruta!B1981),Base_Bruta!B1981,IF(MID(Base_Bruta!B1981,5,1)="-",DATE(VALUE(LEFT(Base_Bruta!B1981,4)),VALUE(MID(Base_Bruta!B1981,6,2)),VALUE(RIGHT(Base_Bruta!B1981,2))),DATE(VALUE(RIGHT(Base_Bruta!B1981,4)),VALUE(MID(Base_Bruta!B1981,4,2)),VALUE(LEFT(Base_Bruta!B1981,2))))))</f>
        <v>46049</v>
      </c>
      <c r="C1981" s="5" t="n">
        <f aca="false">IF($A1981="","",IF(ISNUMBER(Base_Bruta!C1981),Base_Bruta!C1981,IF(MID(Base_Bruta!C1981,5,1)="-",DATE(VALUE(LEFT(Base_Bruta!C1981,4)),VALUE(MID(Base_Bruta!C1981,6,2)),VALUE(RIGHT(Base_Bruta!C1981,2))),DATE(VALUE(RIGHT(Base_Bruta!C1981,4)),VALUE(MID(Base_Bruta!C1981,4,2)),VALUE(LEFT(Base_Bruta!C1981,2))))))</f>
        <v>46049</v>
      </c>
      <c r="D1981" s="4" t="str">
        <f aca="false">IF($A1981="","",TRIM(Base_Bruta!D1981))</f>
        <v>Cinema Savassi - Sessões</v>
      </c>
      <c r="E1981" s="4" t="str">
        <f aca="false">IF($A1981="","",_xlfn.XLOOKUP(LOWER(TRIM(Base_Bruta!E1981)),DePara_Categoria!$A$2:$A$9,DePara_Categoria!$B$2:$B$9,"REVISAR"))</f>
        <v>Cinema</v>
      </c>
      <c r="F1981" s="4" t="str">
        <f aca="false">IF($A1981="","",_xlfn.XLOOKUP(LOWER(TRIM(Base_Bruta!F1981)),DePara_Cidade!$A$2:$A$29,DePara_Cidade!$B$2:$B$29,"REVISAR"))</f>
        <v>Belo Horizonte</v>
      </c>
      <c r="G1981" s="4" t="str">
        <f aca="false">IF($A1981="","",TRIM(Base_Bruta!G1981))</f>
        <v>Inteira</v>
      </c>
      <c r="H1981" s="4" t="n">
        <f aca="false">IF($A1981="","",IF(ISNUMBER(Base_Bruta!H1981),Base_Bruta!H1981,IFERROR(_xlfn.NUMBERVALUE(TRIM(SUBSTITUTE(Base_Bruta!H1981,"R$","")),",","."),0)))</f>
        <v>1</v>
      </c>
      <c r="I1981" s="6" t="n">
        <f aca="false">IF($A1981="","",IF(ISNUMBER(Base_Bruta!I1981),Base_Bruta!I1981,IFERROR(_xlfn.NUMBERVALUE(TRIM(SUBSTITUTE(Base_Bruta!I1981,"R$","")),",","."),0)))</f>
        <v>45</v>
      </c>
      <c r="J1981" s="6" t="n">
        <f aca="false">IF($A1981="","",H1981*I1981)</f>
        <v>45</v>
      </c>
      <c r="K1981" s="4" t="str">
        <f aca="false">IF($A1981="","",TRIM(Base_Bruta!J1981))</f>
        <v>Bilheteria</v>
      </c>
      <c r="L1981" s="4" t="str">
        <f aca="false">IF($A1981="","",TRIM(Base_Bruta!K1981))</f>
        <v>C00156</v>
      </c>
      <c r="M1981" s="4" t="str">
        <f aca="false">IF($A1981="","",_xlfn.XLOOKUP(LOWER(TRIM(Base_Bruta!L1981)),DePara_Cidade!$A$2:$A$29,DePara_Cidade!$B$2:$B$29,"REVISAR"))</f>
        <v>Belo Horizonte</v>
      </c>
      <c r="N1981" s="4" t="str">
        <f aca="false">IF($A1981="","",UPPER(TRIM(Base_Bruta!M1981)))</f>
        <v>MG</v>
      </c>
      <c r="O1981" s="4" t="str">
        <f aca="false">IF($A1981="","",_xlfn.XLOOKUP(LOWER(TRIM(Base_Bruta!N1981)),DePara_Pais!$A$2:$A$9,DePara_Pais!$B$2:$B$9,"REVISAR"))</f>
        <v>Brasil</v>
      </c>
      <c r="P1981" s="4" t="str">
        <f aca="false">IF($A1981="","",IF(O1981&lt;&gt;"Brasil","Turista Internacional",IF(M1981=F1981,"Local","Turista Nacional")))</f>
        <v>Local</v>
      </c>
      <c r="Q1981" s="7" t="n">
        <f aca="false">IF($A1981="","",DATE(YEAR(B1981),MONTH(B1981),1))</f>
        <v>46023</v>
      </c>
      <c r="R1981" s="4" t="str">
        <f aca="false">IF($A1981="","",IF(COUNTIF($A$2:$A1981,$A1981)&gt;1,"Sim","Não"))</f>
        <v>Não</v>
      </c>
      <c r="S1981" s="4" t="str">
        <f aca="false">IF(A1981="","Descartar - Linha vazia",IF(R1981="Sim","Descartar - Duplicado",IF(OR(H1981&lt;=0,I1981&lt;=0),"Descartar - Qtd/Valor inválido","OK")))</f>
        <v>OK</v>
      </c>
      <c r="T1981" s="4" t="str">
        <f aca="false">Base_Bruta!P1981</f>
        <v>vendas_MG.csv</v>
      </c>
    </row>
    <row r="1982" customFormat="false" ht="15" hidden="false" customHeight="false" outlineLevel="0" collapsed="false">
      <c r="A1982" s="4" t="str">
        <f aca="false">IF(Base_Bruta!A1982="","",Base_Bruta!A1982)</f>
        <v>MG-000288</v>
      </c>
      <c r="B1982" s="5" t="n">
        <f aca="false">IF($A1982="","",IF(ISNUMBER(Base_Bruta!B1982),Base_Bruta!B1982,IF(MID(Base_Bruta!B1982,5,1)="-",DATE(VALUE(LEFT(Base_Bruta!B1982,4)),VALUE(MID(Base_Bruta!B1982,6,2)),VALUE(RIGHT(Base_Bruta!B1982,2))),DATE(VALUE(RIGHT(Base_Bruta!B1982,4)),VALUE(MID(Base_Bruta!B1982,4,2)),VALUE(LEFT(Base_Bruta!B1982,2))))))</f>
        <v>46050</v>
      </c>
      <c r="C1982" s="5" t="n">
        <f aca="false">IF($A1982="","",IF(ISNUMBER(Base_Bruta!C1982),Base_Bruta!C1982,IF(MID(Base_Bruta!C1982,5,1)="-",DATE(VALUE(LEFT(Base_Bruta!C1982,4)),VALUE(MID(Base_Bruta!C1982,6,2)),VALUE(RIGHT(Base_Bruta!C1982,2))),DATE(VALUE(RIGHT(Base_Bruta!C1982,4)),VALUE(MID(Base_Bruta!C1982,4,2)),VALUE(LEFT(Base_Bruta!C1982,2))))))</f>
        <v>46081</v>
      </c>
      <c r="D1982" s="4" t="str">
        <f aca="false">IF($A1982="","",TRIM(Base_Bruta!D1982))</f>
        <v>Show Sertanejo - BH</v>
      </c>
      <c r="E1982" s="4" t="str">
        <f aca="false">IF($A1982="","",_xlfn.XLOOKUP(LOWER(TRIM(Base_Bruta!E1982)),DePara_Categoria!$A$2:$A$9,DePara_Categoria!$B$2:$B$9,"REVISAR"))</f>
        <v>Show</v>
      </c>
      <c r="F1982" s="4" t="str">
        <f aca="false">IF($A1982="","",_xlfn.XLOOKUP(LOWER(TRIM(Base_Bruta!F1982)),DePara_Cidade!$A$2:$A$29,DePara_Cidade!$B$2:$B$29,"REVISAR"))</f>
        <v>Belo Horizonte</v>
      </c>
      <c r="G1982" s="4" t="str">
        <f aca="false">IF($A1982="","",TRIM(Base_Bruta!G1982))</f>
        <v>Meia</v>
      </c>
      <c r="H1982" s="4" t="n">
        <f aca="false">IF($A1982="","",IF(ISNUMBER(Base_Bruta!H1982),Base_Bruta!H1982,IFERROR(_xlfn.NUMBERVALUE(TRIM(SUBSTITUTE(Base_Bruta!H1982,"R$","")),",","."),0)))</f>
        <v>2</v>
      </c>
      <c r="I1982" s="6" t="n">
        <f aca="false">IF($A1982="","",IF(ISNUMBER(Base_Bruta!I1982),Base_Bruta!I1982,IFERROR(_xlfn.NUMBERVALUE(TRIM(SUBSTITUTE(Base_Bruta!I1982,"R$","")),",","."),0)))</f>
        <v>330</v>
      </c>
      <c r="J1982" s="6" t="n">
        <f aca="false">IF($A1982="","",H1982*I1982)</f>
        <v>660</v>
      </c>
      <c r="K1982" s="4" t="str">
        <f aca="false">IF($A1982="","",TRIM(Base_Bruta!J1982))</f>
        <v>App</v>
      </c>
      <c r="L1982" s="4" t="str">
        <f aca="false">IF($A1982="","",TRIM(Base_Bruta!K1982))</f>
        <v>C00675</v>
      </c>
      <c r="M1982" s="4" t="str">
        <f aca="false">IF($A1982="","",_xlfn.XLOOKUP(LOWER(TRIM(Base_Bruta!L1982)),DePara_Cidade!$A$2:$A$29,DePara_Cidade!$B$2:$B$29,"REVISAR"))</f>
        <v>Belo Horizonte</v>
      </c>
      <c r="N1982" s="4" t="str">
        <f aca="false">IF($A1982="","",UPPER(TRIM(Base_Bruta!M1982)))</f>
        <v>MG</v>
      </c>
      <c r="O1982" s="4" t="str">
        <f aca="false">IF($A1982="","",_xlfn.XLOOKUP(LOWER(TRIM(Base_Bruta!N1982)),DePara_Pais!$A$2:$A$9,DePara_Pais!$B$2:$B$9,"REVISAR"))</f>
        <v>Brasil</v>
      </c>
      <c r="P1982" s="4" t="str">
        <f aca="false">IF($A1982="","",IF(O1982&lt;&gt;"Brasil","Turista Internacional",IF(M1982=F1982,"Local","Turista Nacional")))</f>
        <v>Local</v>
      </c>
      <c r="Q1982" s="7" t="n">
        <f aca="false">IF($A1982="","",DATE(YEAR(B1982),MONTH(B1982),1))</f>
        <v>46023</v>
      </c>
      <c r="R1982" s="4" t="str">
        <f aca="false">IF($A1982="","",IF(COUNTIF($A$2:$A1982,$A1982)&gt;1,"Sim","Não"))</f>
        <v>Não</v>
      </c>
      <c r="S1982" s="4" t="str">
        <f aca="false">IF(A1982="","Descartar - Linha vazia",IF(R1982="Sim","Descartar - Duplicado",IF(OR(H1982&lt;=0,I1982&lt;=0),"Descartar - Qtd/Valor inválido","OK")))</f>
        <v>OK</v>
      </c>
      <c r="T1982" s="4" t="str">
        <f aca="false">Base_Bruta!P1982</f>
        <v>vendas_MG.csv</v>
      </c>
    </row>
    <row r="1983" customFormat="false" ht="15" hidden="false" customHeight="false" outlineLevel="0" collapsed="false">
      <c r="A1983" s="4" t="str">
        <f aca="false">IF(Base_Bruta!A1983="","",Base_Bruta!A1983)</f>
        <v>MG-000309</v>
      </c>
      <c r="B1983" s="5" t="n">
        <f aca="false">IF($A1983="","",IF(ISNUMBER(Base_Bruta!B1983),Base_Bruta!B1983,IF(MID(Base_Bruta!B1983,5,1)="-",DATE(VALUE(LEFT(Base_Bruta!B1983,4)),VALUE(MID(Base_Bruta!B1983,6,2)),VALUE(RIGHT(Base_Bruta!B1983,2))),DATE(VALUE(RIGHT(Base_Bruta!B1983,4)),VALUE(MID(Base_Bruta!B1983,4,2)),VALUE(LEFT(Base_Bruta!B1983,2))))))</f>
        <v>46052</v>
      </c>
      <c r="C1983" s="5" t="n">
        <f aca="false">IF($A1983="","",IF(ISNUMBER(Base_Bruta!C1983),Base_Bruta!C1983,IF(MID(Base_Bruta!C1983,5,1)="-",DATE(VALUE(LEFT(Base_Bruta!C1983,4)),VALUE(MID(Base_Bruta!C1983,6,2)),VALUE(RIGHT(Base_Bruta!C1983,2))),DATE(VALUE(RIGHT(Base_Bruta!C1983,4)),VALUE(MID(Base_Bruta!C1983,4,2)),VALUE(LEFT(Base_Bruta!C1983,2))))))</f>
        <v>46081</v>
      </c>
      <c r="D1983" s="4" t="str">
        <f aca="false">IF($A1983="","",TRIM(Base_Bruta!D1983))</f>
        <v>Show Sertanejo - BH</v>
      </c>
      <c r="E1983" s="4" t="str">
        <f aca="false">IF($A1983="","",_xlfn.XLOOKUP(LOWER(TRIM(Base_Bruta!E1983)),DePara_Categoria!$A$2:$A$9,DePara_Categoria!$B$2:$B$9,"REVISAR"))</f>
        <v>Show</v>
      </c>
      <c r="F1983" s="4" t="str">
        <f aca="false">IF($A1983="","",_xlfn.XLOOKUP(LOWER(TRIM(Base_Bruta!F1983)),DePara_Cidade!$A$2:$A$29,DePara_Cidade!$B$2:$B$29,"REVISAR"))</f>
        <v>Belo Horizonte</v>
      </c>
      <c r="G1983" s="4" t="str">
        <f aca="false">IF($A1983="","",TRIM(Base_Bruta!G1983))</f>
        <v>Meia</v>
      </c>
      <c r="H1983" s="4" t="n">
        <f aca="false">IF($A1983="","",IF(ISNUMBER(Base_Bruta!H1983),Base_Bruta!H1983,IFERROR(_xlfn.NUMBERVALUE(TRIM(SUBSTITUTE(Base_Bruta!H1983,"R$","")),",","."),0)))</f>
        <v>1</v>
      </c>
      <c r="I1983" s="6" t="n">
        <f aca="false">IF($A1983="","",IF(ISNUMBER(Base_Bruta!I1983),Base_Bruta!I1983,IFERROR(_xlfn.NUMBERVALUE(TRIM(SUBSTITUTE(Base_Bruta!I1983,"R$","")),",","."),0)))</f>
        <v>335</v>
      </c>
      <c r="J1983" s="6" t="n">
        <f aca="false">IF($A1983="","",H1983*I1983)</f>
        <v>335</v>
      </c>
      <c r="K1983" s="4" t="str">
        <f aca="false">IF($A1983="","",TRIM(Base_Bruta!J1983))</f>
        <v>Parceiro</v>
      </c>
      <c r="L1983" s="4" t="str">
        <f aca="false">IF($A1983="","",TRIM(Base_Bruta!K1983))</f>
        <v>C00397</v>
      </c>
      <c r="M1983" s="4" t="str">
        <f aca="false">IF($A1983="","",_xlfn.XLOOKUP(LOWER(TRIM(Base_Bruta!L1983)),DePara_Cidade!$A$2:$A$29,DePara_Cidade!$B$2:$B$29,"REVISAR"))</f>
        <v>Belo Horizonte</v>
      </c>
      <c r="N1983" s="4" t="str">
        <f aca="false">IF($A1983="","",UPPER(TRIM(Base_Bruta!M1983)))</f>
        <v>MG</v>
      </c>
      <c r="O1983" s="4" t="str">
        <f aca="false">IF($A1983="","",_xlfn.XLOOKUP(LOWER(TRIM(Base_Bruta!N1983)),DePara_Pais!$A$2:$A$9,DePara_Pais!$B$2:$B$9,"REVISAR"))</f>
        <v>Brasil</v>
      </c>
      <c r="P1983" s="4" t="str">
        <f aca="false">IF($A1983="","",IF(O1983&lt;&gt;"Brasil","Turista Internacional",IF(M1983=F1983,"Local","Turista Nacional")))</f>
        <v>Local</v>
      </c>
      <c r="Q1983" s="7" t="n">
        <f aca="false">IF($A1983="","",DATE(YEAR(B1983),MONTH(B1983),1))</f>
        <v>46023</v>
      </c>
      <c r="R1983" s="4" t="str">
        <f aca="false">IF($A1983="","",IF(COUNTIF($A$2:$A1983,$A1983)&gt;1,"Sim","Não"))</f>
        <v>Não</v>
      </c>
      <c r="S1983" s="4" t="str">
        <f aca="false">IF(A1983="","Descartar - Linha vazia",IF(R1983="Sim","Descartar - Duplicado",IF(OR(H1983&lt;=0,I1983&lt;=0),"Descartar - Qtd/Valor inválido","OK")))</f>
        <v>OK</v>
      </c>
      <c r="T1983" s="4" t="str">
        <f aca="false">Base_Bruta!P1983</f>
        <v>vendas_MG.csv</v>
      </c>
    </row>
    <row r="1984" customFormat="false" ht="15" hidden="false" customHeight="false" outlineLevel="0" collapsed="false">
      <c r="A1984" s="4" t="str">
        <f aca="false">IF(Base_Bruta!A1984="","",Base_Bruta!A1984)</f>
        <v>MG-000234</v>
      </c>
      <c r="B1984" s="5" t="n">
        <f aca="false">IF($A1984="","",IF(ISNUMBER(Base_Bruta!B1984),Base_Bruta!B1984,IF(MID(Base_Bruta!B1984,5,1)="-",DATE(VALUE(LEFT(Base_Bruta!B1984,4)),VALUE(MID(Base_Bruta!B1984,6,2)),VALUE(RIGHT(Base_Bruta!B1984,2))),DATE(VALUE(RIGHT(Base_Bruta!B1984,4)),VALUE(MID(Base_Bruta!B1984,4,2)),VALUE(LEFT(Base_Bruta!B1984,2))))))</f>
        <v>46053</v>
      </c>
      <c r="C1984" s="5" t="n">
        <f aca="false">IF($A1984="","",IF(ISNUMBER(Base_Bruta!C1984),Base_Bruta!C1984,IF(MID(Base_Bruta!C1984,5,1)="-",DATE(VALUE(LEFT(Base_Bruta!C1984,4)),VALUE(MID(Base_Bruta!C1984,6,2)),VALUE(RIGHT(Base_Bruta!C1984,2))),DATE(VALUE(RIGHT(Base_Bruta!C1984,4)),VALUE(MID(Base_Bruta!C1984,4,2)),VALUE(LEFT(Base_Bruta!C1984,2))))))</f>
        <v>46081</v>
      </c>
      <c r="D1984" s="4" t="str">
        <f aca="false">IF($A1984="","",TRIM(Base_Bruta!D1984))</f>
        <v>Show Sertanejo - BH</v>
      </c>
      <c r="E1984" s="4" t="str">
        <f aca="false">IF($A1984="","",_xlfn.XLOOKUP(LOWER(TRIM(Base_Bruta!E1984)),DePara_Categoria!$A$2:$A$9,DePara_Categoria!$B$2:$B$9,"REVISAR"))</f>
        <v>Show</v>
      </c>
      <c r="F1984" s="4" t="str">
        <f aca="false">IF($A1984="","",_xlfn.XLOOKUP(LOWER(TRIM(Base_Bruta!F1984)),DePara_Cidade!$A$2:$A$29,DePara_Cidade!$B$2:$B$29,"REVISAR"))</f>
        <v>Belo Horizonte</v>
      </c>
      <c r="G1984" s="4" t="str">
        <f aca="false">IF($A1984="","",TRIM(Base_Bruta!G1984))</f>
        <v>Inteira</v>
      </c>
      <c r="H1984" s="4" t="n">
        <f aca="false">IF($A1984="","",IF(ISNUMBER(Base_Bruta!H1984),Base_Bruta!H1984,IFERROR(_xlfn.NUMBERVALUE(TRIM(SUBSTITUTE(Base_Bruta!H1984,"R$","")),",","."),0)))</f>
        <v>4</v>
      </c>
      <c r="I1984" s="6" t="n">
        <f aca="false">IF($A1984="","",IF(ISNUMBER(Base_Bruta!I1984),Base_Bruta!I1984,IFERROR(_xlfn.NUMBERVALUE(TRIM(SUBSTITUTE(Base_Bruta!I1984,"R$","")),",","."),0)))</f>
        <v>390</v>
      </c>
      <c r="J1984" s="6" t="n">
        <f aca="false">IF($A1984="","",H1984*I1984)</f>
        <v>1560</v>
      </c>
      <c r="K1984" s="4" t="str">
        <f aca="false">IF($A1984="","",TRIM(Base_Bruta!J1984))</f>
        <v>Site</v>
      </c>
      <c r="L1984" s="4" t="str">
        <f aca="false">IF($A1984="","",TRIM(Base_Bruta!K1984))</f>
        <v>C00519</v>
      </c>
      <c r="M1984" s="4" t="str">
        <f aca="false">IF($A1984="","",_xlfn.XLOOKUP(LOWER(TRIM(Base_Bruta!L1984)),DePara_Cidade!$A$2:$A$29,DePara_Cidade!$B$2:$B$29,"REVISAR"))</f>
        <v>Lisboa</v>
      </c>
      <c r="N1984" s="4" t="str">
        <f aca="false">IF($A1984="","",UPPER(TRIM(Base_Bruta!M1984)))</f>
        <v>EX</v>
      </c>
      <c r="O1984" s="4" t="str">
        <f aca="false">IF($A1984="","",_xlfn.XLOOKUP(LOWER(TRIM(Base_Bruta!N1984)),DePara_Pais!$A$2:$A$9,DePara_Pais!$B$2:$B$9,"REVISAR"))</f>
        <v>Portugal</v>
      </c>
      <c r="P1984" s="4" t="str">
        <f aca="false">IF($A1984="","",IF(O1984&lt;&gt;"Brasil","Turista Internacional",IF(M1984=F1984,"Local","Turista Nacional")))</f>
        <v>Turista Internacional</v>
      </c>
      <c r="Q1984" s="7" t="n">
        <f aca="false">IF($A1984="","",DATE(YEAR(B1984),MONTH(B1984),1))</f>
        <v>46023</v>
      </c>
      <c r="R1984" s="4" t="str">
        <f aca="false">IF($A1984="","",IF(COUNTIF($A$2:$A1984,$A1984)&gt;1,"Sim","Não"))</f>
        <v>Não</v>
      </c>
      <c r="S1984" s="4" t="str">
        <f aca="false">IF(A1984="","Descartar - Linha vazia",IF(R1984="Sim","Descartar - Duplicado",IF(OR(H1984&lt;=0,I1984&lt;=0),"Descartar - Qtd/Valor inválido","OK")))</f>
        <v>OK</v>
      </c>
      <c r="T1984" s="4" t="str">
        <f aca="false">Base_Bruta!P1984</f>
        <v>vendas_MG.csv</v>
      </c>
    </row>
    <row r="1985" customFormat="false" ht="15" hidden="false" customHeight="false" outlineLevel="0" collapsed="false">
      <c r="A1985" s="4" t="str">
        <f aca="false">IF(Base_Bruta!A1985="","",Base_Bruta!A1985)</f>
        <v>MG-000414</v>
      </c>
      <c r="B1985" s="5" t="n">
        <f aca="false">IF($A1985="","",IF(ISNUMBER(Base_Bruta!B1985),Base_Bruta!B1985,IF(MID(Base_Bruta!B1985,5,1)="-",DATE(VALUE(LEFT(Base_Bruta!B1985,4)),VALUE(MID(Base_Bruta!B1985,6,2)),VALUE(RIGHT(Base_Bruta!B1985,2))),DATE(VALUE(RIGHT(Base_Bruta!B1985,4)),VALUE(MID(Base_Bruta!B1985,4,2)),VALUE(LEFT(Base_Bruta!B1985,2))))))</f>
        <v>46053</v>
      </c>
      <c r="C1985" s="5" t="n">
        <f aca="false">IF($A1985="","",IF(ISNUMBER(Base_Bruta!C1985),Base_Bruta!C1985,IF(MID(Base_Bruta!C1985,5,1)="-",DATE(VALUE(LEFT(Base_Bruta!C1985,4)),VALUE(MID(Base_Bruta!C1985,6,2)),VALUE(RIGHT(Base_Bruta!C1985,2))),DATE(VALUE(RIGHT(Base_Bruta!C1985,4)),VALUE(MID(Base_Bruta!C1985,4,2)),VALUE(LEFT(Base_Bruta!C1985,2))))))</f>
        <v>46055</v>
      </c>
      <c r="D1985" s="4" t="str">
        <f aca="false">IF($A1985="","",TRIM(Base_Bruta!D1985))</f>
        <v>Cinema Savassi - Sessões</v>
      </c>
      <c r="E1985" s="4" t="str">
        <f aca="false">IF($A1985="","",_xlfn.XLOOKUP(LOWER(TRIM(Base_Bruta!E1985)),DePara_Categoria!$A$2:$A$9,DePara_Categoria!$B$2:$B$9,"REVISAR"))</f>
        <v>Cinema</v>
      </c>
      <c r="F1985" s="4" t="str">
        <f aca="false">IF($A1985="","",_xlfn.XLOOKUP(LOWER(TRIM(Base_Bruta!F1985)),DePara_Cidade!$A$2:$A$29,DePara_Cidade!$B$2:$B$29,"REVISAR"))</f>
        <v>Belo Horizonte</v>
      </c>
      <c r="G1985" s="4" t="str">
        <f aca="false">IF($A1985="","",TRIM(Base_Bruta!G1985))</f>
        <v>Inteira</v>
      </c>
      <c r="H1985" s="4" t="n">
        <f aca="false">IF($A1985="","",IF(ISNUMBER(Base_Bruta!H1985),Base_Bruta!H1985,IFERROR(_xlfn.NUMBERVALUE(TRIM(SUBSTITUTE(Base_Bruta!H1985,"R$","")),",","."),0)))</f>
        <v>2</v>
      </c>
      <c r="I1985" s="6" t="n">
        <f aca="false">IF($A1985="","",IF(ISNUMBER(Base_Bruta!I1985),Base_Bruta!I1985,IFERROR(_xlfn.NUMBERVALUE(TRIM(SUBSTITUTE(Base_Bruta!I1985,"R$","")),",","."),0)))</f>
        <v>40</v>
      </c>
      <c r="J1985" s="6" t="n">
        <f aca="false">IF($A1985="","",H1985*I1985)</f>
        <v>80</v>
      </c>
      <c r="K1985" s="4" t="str">
        <f aca="false">IF($A1985="","",TRIM(Base_Bruta!J1985))</f>
        <v>App</v>
      </c>
      <c r="L1985" s="4" t="str">
        <f aca="false">IF($A1985="","",TRIM(Base_Bruta!K1985))</f>
        <v>C01962</v>
      </c>
      <c r="M1985" s="4" t="str">
        <f aca="false">IF($A1985="","",_xlfn.XLOOKUP(LOWER(TRIM(Base_Bruta!L1985)),DePara_Cidade!$A$2:$A$29,DePara_Cidade!$B$2:$B$29,"REVISAR"))</f>
        <v>Belo Horizonte</v>
      </c>
      <c r="N1985" s="4" t="str">
        <f aca="false">IF($A1985="","",UPPER(TRIM(Base_Bruta!M1985)))</f>
        <v>MG</v>
      </c>
      <c r="O1985" s="4" t="str">
        <f aca="false">IF($A1985="","",_xlfn.XLOOKUP(LOWER(TRIM(Base_Bruta!N1985)),DePara_Pais!$A$2:$A$9,DePara_Pais!$B$2:$B$9,"REVISAR"))</f>
        <v>Brasil</v>
      </c>
      <c r="P1985" s="4" t="str">
        <f aca="false">IF($A1985="","",IF(O1985&lt;&gt;"Brasil","Turista Internacional",IF(M1985=F1985,"Local","Turista Nacional")))</f>
        <v>Local</v>
      </c>
      <c r="Q1985" s="7" t="n">
        <f aca="false">IF($A1985="","",DATE(YEAR(B1985),MONTH(B1985),1))</f>
        <v>46023</v>
      </c>
      <c r="R1985" s="4" t="str">
        <f aca="false">IF($A1985="","",IF(COUNTIF($A$2:$A1985,$A1985)&gt;1,"Sim","Não"))</f>
        <v>Não</v>
      </c>
      <c r="S1985" s="4" t="str">
        <f aca="false">IF(A1985="","Descartar - Linha vazia",IF(R1985="Sim","Descartar - Duplicado",IF(OR(H1985&lt;=0,I1985&lt;=0),"Descartar - Qtd/Valor inválido","OK")))</f>
        <v>OK</v>
      </c>
      <c r="T1985" s="4" t="str">
        <f aca="false">Base_Bruta!P1985</f>
        <v>vendas_MG.csv</v>
      </c>
    </row>
    <row r="1986" customFormat="false" ht="15" hidden="false" customHeight="false" outlineLevel="0" collapsed="false">
      <c r="A1986" s="4" t="str">
        <f aca="false">IF(Base_Bruta!A1986="","",Base_Bruta!A1986)</f>
        <v>MG-000486</v>
      </c>
      <c r="B1986" s="5" t="n">
        <f aca="false">IF($A1986="","",IF(ISNUMBER(Base_Bruta!B1986),Base_Bruta!B1986,IF(MID(Base_Bruta!B1986,5,1)="-",DATE(VALUE(LEFT(Base_Bruta!B1986,4)),VALUE(MID(Base_Bruta!B1986,6,2)),VALUE(RIGHT(Base_Bruta!B1986,2))),DATE(VALUE(RIGHT(Base_Bruta!B1986,4)),VALUE(MID(Base_Bruta!B1986,4,2)),VALUE(LEFT(Base_Bruta!B1986,2))))))</f>
        <v>46043</v>
      </c>
      <c r="C1986" s="5" t="n">
        <f aca="false">IF($A1986="","",IF(ISNUMBER(Base_Bruta!C1986),Base_Bruta!C1986,IF(MID(Base_Bruta!C1986,5,1)="-",DATE(VALUE(LEFT(Base_Bruta!C1986,4)),VALUE(MID(Base_Bruta!C1986,6,2)),VALUE(RIGHT(Base_Bruta!C1986,2))),DATE(VALUE(RIGHT(Base_Bruta!C1986,4)),VALUE(MID(Base_Bruta!C1986,4,2)),VALUE(LEFT(Base_Bruta!C1986,2))))))</f>
        <v>46043</v>
      </c>
      <c r="D1986" s="4" t="str">
        <f aca="false">IF($A1986="","",TRIM(Base_Bruta!D1986))</f>
        <v>Cinema Savassi - Sessões</v>
      </c>
      <c r="E1986" s="4" t="str">
        <f aca="false">IF($A1986="","",_xlfn.XLOOKUP(LOWER(TRIM(Base_Bruta!E1986)),DePara_Categoria!$A$2:$A$9,DePara_Categoria!$B$2:$B$9,"REVISAR"))</f>
        <v>Cinema</v>
      </c>
      <c r="F1986" s="4" t="str">
        <f aca="false">IF($A1986="","",_xlfn.XLOOKUP(LOWER(TRIM(Base_Bruta!F1986)),DePara_Cidade!$A$2:$A$29,DePara_Cidade!$B$2:$B$29,"REVISAR"))</f>
        <v>Belo Horizonte</v>
      </c>
      <c r="G1986" s="4" t="str">
        <f aca="false">IF($A1986="","",TRIM(Base_Bruta!G1986))</f>
        <v>Meia</v>
      </c>
      <c r="H1986" s="4" t="n">
        <f aca="false">IF($A1986="","",IF(ISNUMBER(Base_Bruta!H1986),Base_Bruta!H1986,IFERROR(_xlfn.NUMBERVALUE(TRIM(SUBSTITUTE(Base_Bruta!H1986,"R$","")),",","."),0)))</f>
        <v>1</v>
      </c>
      <c r="I1986" s="6" t="n">
        <f aca="false">IF($A1986="","",IF(ISNUMBER(Base_Bruta!I1986),Base_Bruta!I1986,IFERROR(_xlfn.NUMBERVALUE(TRIM(SUBSTITUTE(Base_Bruta!I1986,"R$","")),",","."),0)))</f>
        <v>22.5</v>
      </c>
      <c r="J1986" s="6" t="n">
        <f aca="false">IF($A1986="","",H1986*I1986)</f>
        <v>22.5</v>
      </c>
      <c r="K1986" s="4" t="str">
        <f aca="false">IF($A1986="","",TRIM(Base_Bruta!J1986))</f>
        <v>Site</v>
      </c>
      <c r="L1986" s="4" t="str">
        <f aca="false">IF($A1986="","",TRIM(Base_Bruta!K1986))</f>
        <v>C00464</v>
      </c>
      <c r="M1986" s="4" t="str">
        <f aca="false">IF($A1986="","",_xlfn.XLOOKUP(LOWER(TRIM(Base_Bruta!L1986)),DePara_Cidade!$A$2:$A$29,DePara_Cidade!$B$2:$B$29,"REVISAR"))</f>
        <v>Belo Horizonte</v>
      </c>
      <c r="N1986" s="4" t="str">
        <f aca="false">IF($A1986="","",UPPER(TRIM(Base_Bruta!M1986)))</f>
        <v>MG</v>
      </c>
      <c r="O1986" s="4" t="str">
        <f aca="false">IF($A1986="","",_xlfn.XLOOKUP(LOWER(TRIM(Base_Bruta!N1986)),DePara_Pais!$A$2:$A$9,DePara_Pais!$B$2:$B$9,"REVISAR"))</f>
        <v>Brasil</v>
      </c>
      <c r="P1986" s="4" t="str">
        <f aca="false">IF($A1986="","",IF(O1986&lt;&gt;"Brasil","Turista Internacional",IF(M1986=F1986,"Local","Turista Nacional")))</f>
        <v>Local</v>
      </c>
      <c r="Q1986" s="7" t="n">
        <f aca="false">IF($A1986="","",DATE(YEAR(B1986),MONTH(B1986),1))</f>
        <v>46023</v>
      </c>
      <c r="R1986" s="4" t="str">
        <f aca="false">IF($A1986="","",IF(COUNTIF($A$2:$A1986,$A1986)&gt;1,"Sim","Não"))</f>
        <v>Sim</v>
      </c>
      <c r="S1986" s="4" t="str">
        <f aca="false">IF(A1986="","Descartar - Linha vazia",IF(R1986="Sim","Descartar - Duplicado",IF(OR(H1986&lt;=0,I1986&lt;=0),"Descartar - Qtd/Valor inválido","OK")))</f>
        <v>Descartar - Duplicado</v>
      </c>
      <c r="T1986" s="4" t="str">
        <f aca="false">Base_Bruta!P1986</f>
        <v>vendas_MG.csv</v>
      </c>
    </row>
    <row r="1987" customFormat="false" ht="15" hidden="false" customHeight="false" outlineLevel="0" collapsed="false">
      <c r="A1987" s="4" t="str">
        <f aca="false">IF(Base_Bruta!A1987="","",Base_Bruta!A1987)</f>
        <v>MG-000286</v>
      </c>
      <c r="B1987" s="5" t="n">
        <f aca="false">IF($A1987="","",IF(ISNUMBER(Base_Bruta!B1987),Base_Bruta!B1987,IF(MID(Base_Bruta!B1987,5,1)="-",DATE(VALUE(LEFT(Base_Bruta!B1987,4)),VALUE(MID(Base_Bruta!B1987,6,2)),VALUE(RIGHT(Base_Bruta!B1987,2))),DATE(VALUE(RIGHT(Base_Bruta!B1987,4)),VALUE(MID(Base_Bruta!B1987,4,2)),VALUE(LEFT(Base_Bruta!B1987,2))))))</f>
        <v>46056</v>
      </c>
      <c r="C1987" s="5" t="n">
        <f aca="false">IF($A1987="","",IF(ISNUMBER(Base_Bruta!C1987),Base_Bruta!C1987,IF(MID(Base_Bruta!C1987,5,1)="-",DATE(VALUE(LEFT(Base_Bruta!C1987,4)),VALUE(MID(Base_Bruta!C1987,6,2)),VALUE(RIGHT(Base_Bruta!C1987,2))),DATE(VALUE(RIGHT(Base_Bruta!C1987,4)),VALUE(MID(Base_Bruta!C1987,4,2)),VALUE(LEFT(Base_Bruta!C1987,2))))))</f>
        <v>46081</v>
      </c>
      <c r="D1987" s="4" t="str">
        <f aca="false">IF($A1987="","",TRIM(Base_Bruta!D1987))</f>
        <v>Show Sertanejo - BH</v>
      </c>
      <c r="E1987" s="4" t="str">
        <f aca="false">IF($A1987="","",_xlfn.XLOOKUP(LOWER(TRIM(Base_Bruta!E1987)),DePara_Categoria!$A$2:$A$9,DePara_Categoria!$B$2:$B$9,"REVISAR"))</f>
        <v>Show</v>
      </c>
      <c r="F1987" s="4" t="str">
        <f aca="false">IF($A1987="","",_xlfn.XLOOKUP(LOWER(TRIM(Base_Bruta!F1987)),DePara_Cidade!$A$2:$A$29,DePara_Cidade!$B$2:$B$29,"REVISAR"))</f>
        <v>Belo Horizonte</v>
      </c>
      <c r="G1987" s="4" t="str">
        <f aca="false">IF($A1987="","",TRIM(Base_Bruta!G1987))</f>
        <v>Inteira</v>
      </c>
      <c r="H1987" s="4" t="n">
        <f aca="false">IF($A1987="","",IF(ISNUMBER(Base_Bruta!H1987),Base_Bruta!H1987,IFERROR(_xlfn.NUMBERVALUE(TRIM(SUBSTITUTE(Base_Bruta!H1987,"R$","")),",","."),0)))</f>
        <v>1</v>
      </c>
      <c r="I1987" s="6" t="n">
        <f aca="false">IF($A1987="","",IF(ISNUMBER(Base_Bruta!I1987),Base_Bruta!I1987,IFERROR(_xlfn.NUMBERVALUE(TRIM(SUBSTITUTE(Base_Bruta!I1987,"R$","")),",","."),0)))</f>
        <v>265</v>
      </c>
      <c r="J1987" s="6" t="n">
        <f aca="false">IF($A1987="","",H1987*I1987)</f>
        <v>265</v>
      </c>
      <c r="K1987" s="4" t="str">
        <f aca="false">IF($A1987="","",TRIM(Base_Bruta!J1987))</f>
        <v>Site</v>
      </c>
      <c r="L1987" s="4" t="str">
        <f aca="false">IF($A1987="","",TRIM(Base_Bruta!K1987))</f>
        <v>C00181</v>
      </c>
      <c r="M1987" s="4" t="str">
        <f aca="false">IF($A1987="","",_xlfn.XLOOKUP(LOWER(TRIM(Base_Bruta!L1987)),DePara_Cidade!$A$2:$A$29,DePara_Cidade!$B$2:$B$29,"REVISAR"))</f>
        <v>Belo Horizonte</v>
      </c>
      <c r="N1987" s="4" t="str">
        <f aca="false">IF($A1987="","",UPPER(TRIM(Base_Bruta!M1987)))</f>
        <v>MG</v>
      </c>
      <c r="O1987" s="4" t="str">
        <f aca="false">IF($A1987="","",_xlfn.XLOOKUP(LOWER(TRIM(Base_Bruta!N1987)),DePara_Pais!$A$2:$A$9,DePara_Pais!$B$2:$B$9,"REVISAR"))</f>
        <v>Brasil</v>
      </c>
      <c r="P1987" s="4" t="str">
        <f aca="false">IF($A1987="","",IF(O1987&lt;&gt;"Brasil","Turista Internacional",IF(M1987=F1987,"Local","Turista Nacional")))</f>
        <v>Local</v>
      </c>
      <c r="Q1987" s="7" t="n">
        <f aca="false">IF($A1987="","",DATE(YEAR(B1987),MONTH(B1987),1))</f>
        <v>46054</v>
      </c>
      <c r="R1987" s="4" t="str">
        <f aca="false">IF($A1987="","",IF(COUNTIF($A$2:$A1987,$A1987)&gt;1,"Sim","Não"))</f>
        <v>Não</v>
      </c>
      <c r="S1987" s="4" t="str">
        <f aca="false">IF(A1987="","Descartar - Linha vazia",IF(R1987="Sim","Descartar - Duplicado",IF(OR(H1987&lt;=0,I1987&lt;=0),"Descartar - Qtd/Valor inválido","OK")))</f>
        <v>OK</v>
      </c>
      <c r="T1987" s="4" t="str">
        <f aca="false">Base_Bruta!P1987</f>
        <v>vendas_MG.csv</v>
      </c>
    </row>
    <row r="1988" customFormat="false" ht="15" hidden="false" customHeight="false" outlineLevel="0" collapsed="false">
      <c r="A1988" s="4" t="str">
        <f aca="false">IF(Base_Bruta!A1988="","",Base_Bruta!A1988)</f>
        <v>MG-000333</v>
      </c>
      <c r="B1988" s="5" t="n">
        <f aca="false">IF($A1988="","",IF(ISNUMBER(Base_Bruta!B1988),Base_Bruta!B1988,IF(MID(Base_Bruta!B1988,5,1)="-",DATE(VALUE(LEFT(Base_Bruta!B1988,4)),VALUE(MID(Base_Bruta!B1988,6,2)),VALUE(RIGHT(Base_Bruta!B1988,2))),DATE(VALUE(RIGHT(Base_Bruta!B1988,4)),VALUE(MID(Base_Bruta!B1988,4,2)),VALUE(LEFT(Base_Bruta!B1988,2))))))</f>
        <v>46056</v>
      </c>
      <c r="C1988" s="5" t="n">
        <f aca="false">IF($A1988="","",IF(ISNUMBER(Base_Bruta!C1988),Base_Bruta!C1988,IF(MID(Base_Bruta!C1988,5,1)="-",DATE(VALUE(LEFT(Base_Bruta!C1988,4)),VALUE(MID(Base_Bruta!C1988,6,2)),VALUE(RIGHT(Base_Bruta!C1988,2))),DATE(VALUE(RIGHT(Base_Bruta!C1988,4)),VALUE(MID(Base_Bruta!C1988,4,2)),VALUE(LEFT(Base_Bruta!C1988,2))))))</f>
        <v>46081</v>
      </c>
      <c r="D1988" s="4" t="str">
        <f aca="false">IF($A1988="","",TRIM(Base_Bruta!D1988))</f>
        <v>Show Sertanejo - BH</v>
      </c>
      <c r="E1988" s="4" t="str">
        <f aca="false">IF($A1988="","",_xlfn.XLOOKUP(LOWER(TRIM(Base_Bruta!E1988)),DePara_Categoria!$A$2:$A$9,DePara_Categoria!$B$2:$B$9,"REVISAR"))</f>
        <v>Show</v>
      </c>
      <c r="F1988" s="4" t="str">
        <f aca="false">IF($A1988="","",_xlfn.XLOOKUP(LOWER(TRIM(Base_Bruta!F1988)),DePara_Cidade!$A$2:$A$29,DePara_Cidade!$B$2:$B$29,"REVISAR"))</f>
        <v>Belo Horizonte</v>
      </c>
      <c r="G1988" s="4" t="str">
        <f aca="false">IF($A1988="","",TRIM(Base_Bruta!G1988))</f>
        <v>Meia</v>
      </c>
      <c r="H1988" s="4" t="n">
        <f aca="false">IF($A1988="","",IF(ISNUMBER(Base_Bruta!H1988),Base_Bruta!H1988,IFERROR(_xlfn.NUMBERVALUE(TRIM(SUBSTITUTE(Base_Bruta!H1988,"R$","")),",","."),0)))</f>
        <v>2</v>
      </c>
      <c r="I1988" s="6" t="n">
        <f aca="false">IF($A1988="","",IF(ISNUMBER(Base_Bruta!I1988),Base_Bruta!I1988,IFERROR(_xlfn.NUMBERVALUE(TRIM(SUBSTITUTE(Base_Bruta!I1988,"R$","")),",","."),0)))</f>
        <v>270</v>
      </c>
      <c r="J1988" s="6" t="n">
        <f aca="false">IF($A1988="","",H1988*I1988)</f>
        <v>540</v>
      </c>
      <c r="K1988" s="4" t="str">
        <f aca="false">IF($A1988="","",TRIM(Base_Bruta!J1988))</f>
        <v>Bilheteria</v>
      </c>
      <c r="L1988" s="4" t="str">
        <f aca="false">IF($A1988="","",TRIM(Base_Bruta!K1988))</f>
        <v>C00762</v>
      </c>
      <c r="M1988" s="4" t="str">
        <f aca="false">IF($A1988="","",_xlfn.XLOOKUP(LOWER(TRIM(Base_Bruta!L1988)),DePara_Cidade!$A$2:$A$29,DePara_Cidade!$B$2:$B$29,"REVISAR"))</f>
        <v>Belo Horizonte</v>
      </c>
      <c r="N1988" s="4" t="str">
        <f aca="false">IF($A1988="","",UPPER(TRIM(Base_Bruta!M1988)))</f>
        <v>MG</v>
      </c>
      <c r="O1988" s="4" t="str">
        <f aca="false">IF($A1988="","",_xlfn.XLOOKUP(LOWER(TRIM(Base_Bruta!N1988)),DePara_Pais!$A$2:$A$9,DePara_Pais!$B$2:$B$9,"REVISAR"))</f>
        <v>Brasil</v>
      </c>
      <c r="P1988" s="4" t="str">
        <f aca="false">IF($A1988="","",IF(O1988&lt;&gt;"Brasil","Turista Internacional",IF(M1988=F1988,"Local","Turista Nacional")))</f>
        <v>Local</v>
      </c>
      <c r="Q1988" s="7" t="n">
        <f aca="false">IF($A1988="","",DATE(YEAR(B1988),MONTH(B1988),1))</f>
        <v>46054</v>
      </c>
      <c r="R1988" s="4" t="str">
        <f aca="false">IF($A1988="","",IF(COUNTIF($A$2:$A1988,$A1988)&gt;1,"Sim","Não"))</f>
        <v>Não</v>
      </c>
      <c r="S1988" s="4" t="str">
        <f aca="false">IF(A1988="","Descartar - Linha vazia",IF(R1988="Sim","Descartar - Duplicado",IF(OR(H1988&lt;=0,I1988&lt;=0),"Descartar - Qtd/Valor inválido","OK")))</f>
        <v>OK</v>
      </c>
      <c r="T1988" s="4" t="str">
        <f aca="false">Base_Bruta!P1988</f>
        <v>vendas_MG.csv</v>
      </c>
    </row>
    <row r="1989" customFormat="false" ht="15" hidden="false" customHeight="false" outlineLevel="0" collapsed="false">
      <c r="A1989" s="4" t="str">
        <f aca="false">IF(Base_Bruta!A1989="","",Base_Bruta!A1989)</f>
        <v>MG-000277</v>
      </c>
      <c r="B1989" s="5" t="n">
        <f aca="false">IF($A1989="","",IF(ISNUMBER(Base_Bruta!B1989),Base_Bruta!B1989,IF(MID(Base_Bruta!B1989,5,1)="-",DATE(VALUE(LEFT(Base_Bruta!B1989,4)),VALUE(MID(Base_Bruta!B1989,6,2)),VALUE(RIGHT(Base_Bruta!B1989,2))),DATE(VALUE(RIGHT(Base_Bruta!B1989,4)),VALUE(MID(Base_Bruta!B1989,4,2)),VALUE(LEFT(Base_Bruta!B1989,2))))))</f>
        <v>46057</v>
      </c>
      <c r="C1989" s="5" t="n">
        <f aca="false">IF($A1989="","",IF(ISNUMBER(Base_Bruta!C1989),Base_Bruta!C1989,IF(MID(Base_Bruta!C1989,5,1)="-",DATE(VALUE(LEFT(Base_Bruta!C1989,4)),VALUE(MID(Base_Bruta!C1989,6,2)),VALUE(RIGHT(Base_Bruta!C1989,2))),DATE(VALUE(RIGHT(Base_Bruta!C1989,4)),VALUE(MID(Base_Bruta!C1989,4,2)),VALUE(LEFT(Base_Bruta!C1989,2))))))</f>
        <v>46081</v>
      </c>
      <c r="D1989" s="4" t="str">
        <f aca="false">IF($A1989="","",TRIM(Base_Bruta!D1989))</f>
        <v>Show Sertanejo - BH</v>
      </c>
      <c r="E1989" s="4" t="str">
        <f aca="false">IF($A1989="","",_xlfn.XLOOKUP(LOWER(TRIM(Base_Bruta!E1989)),DePara_Categoria!$A$2:$A$9,DePara_Categoria!$B$2:$B$9,"REVISAR"))</f>
        <v>Show</v>
      </c>
      <c r="F1989" s="4" t="str">
        <f aca="false">IF($A1989="","",_xlfn.XLOOKUP(LOWER(TRIM(Base_Bruta!F1989)),DePara_Cidade!$A$2:$A$29,DePara_Cidade!$B$2:$B$29,"REVISAR"))</f>
        <v>Belo Horizonte</v>
      </c>
      <c r="G1989" s="4" t="str">
        <f aca="false">IF($A1989="","",TRIM(Base_Bruta!G1989))</f>
        <v>Inteira</v>
      </c>
      <c r="H1989" s="4" t="n">
        <f aca="false">IF($A1989="","",IF(ISNUMBER(Base_Bruta!H1989),Base_Bruta!H1989,IFERROR(_xlfn.NUMBERVALUE(TRIM(SUBSTITUTE(Base_Bruta!H1989,"R$","")),",","."),0)))</f>
        <v>2</v>
      </c>
      <c r="I1989" s="6" t="n">
        <f aca="false">IF($A1989="","",IF(ISNUMBER(Base_Bruta!I1989),Base_Bruta!I1989,IFERROR(_xlfn.NUMBERVALUE(TRIM(SUBSTITUTE(Base_Bruta!I1989,"R$","")),",","."),0)))</f>
        <v>365</v>
      </c>
      <c r="J1989" s="6" t="n">
        <f aca="false">IF($A1989="","",H1989*I1989)</f>
        <v>730</v>
      </c>
      <c r="K1989" s="4" t="str">
        <f aca="false">IF($A1989="","",TRIM(Base_Bruta!J1989))</f>
        <v>Bilheteria</v>
      </c>
      <c r="L1989" s="4" t="str">
        <f aca="false">IF($A1989="","",TRIM(Base_Bruta!K1989))</f>
        <v>C02477</v>
      </c>
      <c r="M1989" s="4" t="str">
        <f aca="false">IF($A1989="","",_xlfn.XLOOKUP(LOWER(TRIM(Base_Bruta!L1989)),DePara_Cidade!$A$2:$A$29,DePara_Cidade!$B$2:$B$29,"REVISAR"))</f>
        <v>Curitiba</v>
      </c>
      <c r="N1989" s="4" t="str">
        <f aca="false">IF($A1989="","",UPPER(TRIM(Base_Bruta!M1989)))</f>
        <v>PR</v>
      </c>
      <c r="O1989" s="4" t="str">
        <f aca="false">IF($A1989="","",_xlfn.XLOOKUP(LOWER(TRIM(Base_Bruta!N1989)),DePara_Pais!$A$2:$A$9,DePara_Pais!$B$2:$B$9,"REVISAR"))</f>
        <v>Brasil</v>
      </c>
      <c r="P1989" s="4" t="str">
        <f aca="false">IF($A1989="","",IF(O1989&lt;&gt;"Brasil","Turista Internacional",IF(M1989=F1989,"Local","Turista Nacional")))</f>
        <v>Turista Nacional</v>
      </c>
      <c r="Q1989" s="7" t="n">
        <f aca="false">IF($A1989="","",DATE(YEAR(B1989),MONTH(B1989),1))</f>
        <v>46054</v>
      </c>
      <c r="R1989" s="4" t="str">
        <f aca="false">IF($A1989="","",IF(COUNTIF($A$2:$A1989,$A1989)&gt;1,"Sim","Não"))</f>
        <v>Não</v>
      </c>
      <c r="S1989" s="4" t="str">
        <f aca="false">IF(A1989="","Descartar - Linha vazia",IF(R1989="Sim","Descartar - Duplicado",IF(OR(H1989&lt;=0,I1989&lt;=0),"Descartar - Qtd/Valor inválido","OK")))</f>
        <v>OK</v>
      </c>
      <c r="T1989" s="4" t="str">
        <f aca="false">Base_Bruta!P1989</f>
        <v>vendas_MG.csv</v>
      </c>
    </row>
    <row r="1990" customFormat="false" ht="15" hidden="false" customHeight="false" outlineLevel="0" collapsed="false">
      <c r="A1990" s="4" t="str">
        <f aca="false">IF(Base_Bruta!A1990="","",Base_Bruta!A1990)</f>
        <v>MG-000281</v>
      </c>
      <c r="B1990" s="5" t="n">
        <f aca="false">IF($A1990="","",IF(ISNUMBER(Base_Bruta!B1990),Base_Bruta!B1990,IF(MID(Base_Bruta!B1990,5,1)="-",DATE(VALUE(LEFT(Base_Bruta!B1990,4)),VALUE(MID(Base_Bruta!B1990,6,2)),VALUE(RIGHT(Base_Bruta!B1990,2))),DATE(VALUE(RIGHT(Base_Bruta!B1990,4)),VALUE(MID(Base_Bruta!B1990,4,2)),VALUE(LEFT(Base_Bruta!B1990,2))))))</f>
        <v>46057</v>
      </c>
      <c r="C1990" s="5" t="n">
        <f aca="false">IF($A1990="","",IF(ISNUMBER(Base_Bruta!C1990),Base_Bruta!C1990,IF(MID(Base_Bruta!C1990,5,1)="-",DATE(VALUE(LEFT(Base_Bruta!C1990,4)),VALUE(MID(Base_Bruta!C1990,6,2)),VALUE(RIGHT(Base_Bruta!C1990,2))),DATE(VALUE(RIGHT(Base_Bruta!C1990,4)),VALUE(MID(Base_Bruta!C1990,4,2)),VALUE(LEFT(Base_Bruta!C1990,2))))))</f>
        <v>46081</v>
      </c>
      <c r="D1990" s="4" t="str">
        <f aca="false">IF($A1990="","",TRIM(Base_Bruta!D1990))</f>
        <v>Show Sertanejo - BH</v>
      </c>
      <c r="E1990" s="4" t="str">
        <f aca="false">IF($A1990="","",_xlfn.XLOOKUP(LOWER(TRIM(Base_Bruta!E1990)),DePara_Categoria!$A$2:$A$9,DePara_Categoria!$B$2:$B$9,"REVISAR"))</f>
        <v>Show</v>
      </c>
      <c r="F1990" s="4" t="str">
        <f aca="false">IF($A1990="","",_xlfn.XLOOKUP(LOWER(TRIM(Base_Bruta!F1990)),DePara_Cidade!$A$2:$A$29,DePara_Cidade!$B$2:$B$29,"REVISAR"))</f>
        <v>Belo Horizonte</v>
      </c>
      <c r="G1990" s="4" t="str">
        <f aca="false">IF($A1990="","",TRIM(Base_Bruta!G1990))</f>
        <v>Meia</v>
      </c>
      <c r="H1990" s="4" t="n">
        <f aca="false">IF($A1990="","",IF(ISNUMBER(Base_Bruta!H1990),Base_Bruta!H1990,IFERROR(_xlfn.NUMBERVALUE(TRIM(SUBSTITUTE(Base_Bruta!H1990,"R$","")),",","."),0)))</f>
        <v>1</v>
      </c>
      <c r="I1990" s="6" t="n">
        <f aca="false">IF($A1990="","",IF(ISNUMBER(Base_Bruta!I1990),Base_Bruta!I1990,IFERROR(_xlfn.NUMBERVALUE(TRIM(SUBSTITUTE(Base_Bruta!I1990,"R$","")),",","."),0)))</f>
        <v>290</v>
      </c>
      <c r="J1990" s="6" t="n">
        <f aca="false">IF($A1990="","",H1990*I1990)</f>
        <v>290</v>
      </c>
      <c r="K1990" s="4" t="str">
        <f aca="false">IF($A1990="","",TRIM(Base_Bruta!J1990))</f>
        <v>Site</v>
      </c>
      <c r="L1990" s="4" t="str">
        <f aca="false">IF($A1990="","",TRIM(Base_Bruta!K1990))</f>
        <v>C02048</v>
      </c>
      <c r="M1990" s="4" t="str">
        <f aca="false">IF($A1990="","",_xlfn.XLOOKUP(LOWER(TRIM(Base_Bruta!L1990)),DePara_Cidade!$A$2:$A$29,DePara_Cidade!$B$2:$B$29,"REVISAR"))</f>
        <v>Belo Horizonte</v>
      </c>
      <c r="N1990" s="4" t="str">
        <f aca="false">IF($A1990="","",UPPER(TRIM(Base_Bruta!M1990)))</f>
        <v>MG</v>
      </c>
      <c r="O1990" s="4" t="str">
        <f aca="false">IF($A1990="","",_xlfn.XLOOKUP(LOWER(TRIM(Base_Bruta!N1990)),DePara_Pais!$A$2:$A$9,DePara_Pais!$B$2:$B$9,"REVISAR"))</f>
        <v>Brasil</v>
      </c>
      <c r="P1990" s="4" t="str">
        <f aca="false">IF($A1990="","",IF(O1990&lt;&gt;"Brasil","Turista Internacional",IF(M1990=F1990,"Local","Turista Nacional")))</f>
        <v>Local</v>
      </c>
      <c r="Q1990" s="7" t="n">
        <f aca="false">IF($A1990="","",DATE(YEAR(B1990),MONTH(B1990),1))</f>
        <v>46054</v>
      </c>
      <c r="R1990" s="4" t="str">
        <f aca="false">IF($A1990="","",IF(COUNTIF($A$2:$A1990,$A1990)&gt;1,"Sim","Não"))</f>
        <v>Não</v>
      </c>
      <c r="S1990" s="4" t="str">
        <f aca="false">IF(A1990="","Descartar - Linha vazia",IF(R1990="Sim","Descartar - Duplicado",IF(OR(H1990&lt;=0,I1990&lt;=0),"Descartar - Qtd/Valor inválido","OK")))</f>
        <v>OK</v>
      </c>
      <c r="T1990" s="4" t="str">
        <f aca="false">Base_Bruta!P1990</f>
        <v>vendas_MG.csv</v>
      </c>
    </row>
    <row r="1991" customFormat="false" ht="15" hidden="false" customHeight="false" outlineLevel="0" collapsed="false">
      <c r="A1991" s="4" t="str">
        <f aca="false">IF(Base_Bruta!A1991="","",Base_Bruta!A1991)</f>
        <v>MG-000494</v>
      </c>
      <c r="B1991" s="5" t="n">
        <f aca="false">IF($A1991="","",IF(ISNUMBER(Base_Bruta!B1991),Base_Bruta!B1991,IF(MID(Base_Bruta!B1991,5,1)="-",DATE(VALUE(LEFT(Base_Bruta!B1991,4)),VALUE(MID(Base_Bruta!B1991,6,2)),VALUE(RIGHT(Base_Bruta!B1991,2))),DATE(VALUE(RIGHT(Base_Bruta!B1991,4)),VALUE(MID(Base_Bruta!B1991,4,2)),VALUE(LEFT(Base_Bruta!B1991,2))))))</f>
        <v>46057</v>
      </c>
      <c r="C1991" s="5" t="n">
        <f aca="false">IF($A1991="","",IF(ISNUMBER(Base_Bruta!C1991),Base_Bruta!C1991,IF(MID(Base_Bruta!C1991,5,1)="-",DATE(VALUE(LEFT(Base_Bruta!C1991,4)),VALUE(MID(Base_Bruta!C1991,6,2)),VALUE(RIGHT(Base_Bruta!C1991,2))),DATE(VALUE(RIGHT(Base_Bruta!C1991,4)),VALUE(MID(Base_Bruta!C1991,4,2)),VALUE(LEFT(Base_Bruta!C1991,2))))))</f>
        <v>46058</v>
      </c>
      <c r="D1991" s="4" t="str">
        <f aca="false">IF($A1991="","",TRIM(Base_Bruta!D1991))</f>
        <v>Cinema Savassi - Sessões</v>
      </c>
      <c r="E1991" s="4" t="str">
        <f aca="false">IF($A1991="","",_xlfn.XLOOKUP(LOWER(TRIM(Base_Bruta!E1991)),DePara_Categoria!$A$2:$A$9,DePara_Categoria!$B$2:$B$9,"REVISAR"))</f>
        <v>Cinema</v>
      </c>
      <c r="F1991" s="4" t="str">
        <f aca="false">IF($A1991="","",_xlfn.XLOOKUP(LOWER(TRIM(Base_Bruta!F1991)),DePara_Cidade!$A$2:$A$29,DePara_Cidade!$B$2:$B$29,"REVISAR"))</f>
        <v>Belo Horizonte</v>
      </c>
      <c r="G1991" s="4" t="str">
        <f aca="false">IF($A1991="","",TRIM(Base_Bruta!G1991))</f>
        <v>Meia</v>
      </c>
      <c r="H1991" s="4" t="n">
        <f aca="false">IF($A1991="","",IF(ISNUMBER(Base_Bruta!H1991),Base_Bruta!H1991,IFERROR(_xlfn.NUMBERVALUE(TRIM(SUBSTITUTE(Base_Bruta!H1991,"R$","")),",","."),0)))</f>
        <v>1</v>
      </c>
      <c r="I1991" s="6" t="n">
        <f aca="false">IF($A1991="","",IF(ISNUMBER(Base_Bruta!I1991),Base_Bruta!I1991,IFERROR(_xlfn.NUMBERVALUE(TRIM(SUBSTITUTE(Base_Bruta!I1991,"R$","")),",","."),0)))</f>
        <v>20</v>
      </c>
      <c r="J1991" s="6" t="n">
        <f aca="false">IF($A1991="","",H1991*I1991)</f>
        <v>20</v>
      </c>
      <c r="K1991" s="4" t="str">
        <f aca="false">IF($A1991="","",TRIM(Base_Bruta!J1991))</f>
        <v>App</v>
      </c>
      <c r="L1991" s="4" t="str">
        <f aca="false">IF($A1991="","",TRIM(Base_Bruta!K1991))</f>
        <v>C01462</v>
      </c>
      <c r="M1991" s="4" t="str">
        <f aca="false">IF($A1991="","",_xlfn.XLOOKUP(LOWER(TRIM(Base_Bruta!L1991)),DePara_Cidade!$A$2:$A$29,DePara_Cidade!$B$2:$B$29,"REVISAR"))</f>
        <v>Belo Horizonte</v>
      </c>
      <c r="N1991" s="4" t="str">
        <f aca="false">IF($A1991="","",UPPER(TRIM(Base_Bruta!M1991)))</f>
        <v>MG</v>
      </c>
      <c r="O1991" s="4" t="str">
        <f aca="false">IF($A1991="","",_xlfn.XLOOKUP(LOWER(TRIM(Base_Bruta!N1991)),DePara_Pais!$A$2:$A$9,DePara_Pais!$B$2:$B$9,"REVISAR"))</f>
        <v>Brasil</v>
      </c>
      <c r="P1991" s="4" t="str">
        <f aca="false">IF($A1991="","",IF(O1991&lt;&gt;"Brasil","Turista Internacional",IF(M1991=F1991,"Local","Turista Nacional")))</f>
        <v>Local</v>
      </c>
      <c r="Q1991" s="7" t="n">
        <f aca="false">IF($A1991="","",DATE(YEAR(B1991),MONTH(B1991),1))</f>
        <v>46054</v>
      </c>
      <c r="R1991" s="4" t="str">
        <f aca="false">IF($A1991="","",IF(COUNTIF($A$2:$A1991,$A1991)&gt;1,"Sim","Não"))</f>
        <v>Não</v>
      </c>
      <c r="S1991" s="4" t="str">
        <f aca="false">IF(A1991="","Descartar - Linha vazia",IF(R1991="Sim","Descartar - Duplicado",IF(OR(H1991&lt;=0,I1991&lt;=0),"Descartar - Qtd/Valor inválido","OK")))</f>
        <v>OK</v>
      </c>
      <c r="T1991" s="4" t="str">
        <f aca="false">Base_Bruta!P1991</f>
        <v>vendas_MG.csv</v>
      </c>
    </row>
    <row r="1992" customFormat="false" ht="15" hidden="false" customHeight="false" outlineLevel="0" collapsed="false">
      <c r="A1992" s="4" t="str">
        <f aca="false">IF(Base_Bruta!A1992="","",Base_Bruta!A1992)</f>
        <v>MG-000330</v>
      </c>
      <c r="B1992" s="5" t="n">
        <f aca="false">IF($A1992="","",IF(ISNUMBER(Base_Bruta!B1992),Base_Bruta!B1992,IF(MID(Base_Bruta!B1992,5,1)="-",DATE(VALUE(LEFT(Base_Bruta!B1992,4)),VALUE(MID(Base_Bruta!B1992,6,2)),VALUE(RIGHT(Base_Bruta!B1992,2))),DATE(VALUE(RIGHT(Base_Bruta!B1992,4)),VALUE(MID(Base_Bruta!B1992,4,2)),VALUE(LEFT(Base_Bruta!B1992,2))))))</f>
        <v>46058</v>
      </c>
      <c r="C1992" s="5" t="n">
        <f aca="false">IF($A1992="","",IF(ISNUMBER(Base_Bruta!C1992),Base_Bruta!C1992,IF(MID(Base_Bruta!C1992,5,1)="-",DATE(VALUE(LEFT(Base_Bruta!C1992,4)),VALUE(MID(Base_Bruta!C1992,6,2)),VALUE(RIGHT(Base_Bruta!C1992,2))),DATE(VALUE(RIGHT(Base_Bruta!C1992,4)),VALUE(MID(Base_Bruta!C1992,4,2)),VALUE(LEFT(Base_Bruta!C1992,2))))))</f>
        <v>46081</v>
      </c>
      <c r="D1992" s="4" t="str">
        <f aca="false">IF($A1992="","",TRIM(Base_Bruta!D1992))</f>
        <v>Show Sertanejo - BH</v>
      </c>
      <c r="E1992" s="4" t="str">
        <f aca="false">IF($A1992="","",_xlfn.XLOOKUP(LOWER(TRIM(Base_Bruta!E1992)),DePara_Categoria!$A$2:$A$9,DePara_Categoria!$B$2:$B$9,"REVISAR"))</f>
        <v>Show</v>
      </c>
      <c r="F1992" s="4" t="str">
        <f aca="false">IF($A1992="","",_xlfn.XLOOKUP(LOWER(TRIM(Base_Bruta!F1992)),DePara_Cidade!$A$2:$A$29,DePara_Cidade!$B$2:$B$29,"REVISAR"))</f>
        <v>Belo Horizonte</v>
      </c>
      <c r="G1992" s="4" t="str">
        <f aca="false">IF($A1992="","",TRIM(Base_Bruta!G1992))</f>
        <v>Inteira</v>
      </c>
      <c r="H1992" s="4" t="n">
        <f aca="false">IF($A1992="","",IF(ISNUMBER(Base_Bruta!H1992),Base_Bruta!H1992,IFERROR(_xlfn.NUMBERVALUE(TRIM(SUBSTITUTE(Base_Bruta!H1992,"R$","")),",","."),0)))</f>
        <v>1</v>
      </c>
      <c r="I1992" s="6" t="n">
        <f aca="false">IF($A1992="","",IF(ISNUMBER(Base_Bruta!I1992),Base_Bruta!I1992,IFERROR(_xlfn.NUMBERVALUE(TRIM(SUBSTITUTE(Base_Bruta!I1992,"R$","")),",","."),0)))</f>
        <v>510</v>
      </c>
      <c r="J1992" s="6" t="n">
        <f aca="false">IF($A1992="","",H1992*I1992)</f>
        <v>510</v>
      </c>
      <c r="K1992" s="4" t="str">
        <f aca="false">IF($A1992="","",TRIM(Base_Bruta!J1992))</f>
        <v>App</v>
      </c>
      <c r="L1992" s="4" t="str">
        <f aca="false">IF($A1992="","",TRIM(Base_Bruta!K1992))</f>
        <v>C00377</v>
      </c>
      <c r="M1992" s="4" t="str">
        <f aca="false">IF($A1992="","",_xlfn.XLOOKUP(LOWER(TRIM(Base_Bruta!L1992)),DePara_Cidade!$A$2:$A$29,DePara_Cidade!$B$2:$B$29,"REVISAR"))</f>
        <v>Belo Horizonte</v>
      </c>
      <c r="N1992" s="4" t="str">
        <f aca="false">IF($A1992="","",UPPER(TRIM(Base_Bruta!M1992)))</f>
        <v>MG</v>
      </c>
      <c r="O1992" s="4" t="str">
        <f aca="false">IF($A1992="","",_xlfn.XLOOKUP(LOWER(TRIM(Base_Bruta!N1992)),DePara_Pais!$A$2:$A$9,DePara_Pais!$B$2:$B$9,"REVISAR"))</f>
        <v>Brasil</v>
      </c>
      <c r="P1992" s="4" t="str">
        <f aca="false">IF($A1992="","",IF(O1992&lt;&gt;"Brasil","Turista Internacional",IF(M1992=F1992,"Local","Turista Nacional")))</f>
        <v>Local</v>
      </c>
      <c r="Q1992" s="7" t="n">
        <f aca="false">IF($A1992="","",DATE(YEAR(B1992),MONTH(B1992),1))</f>
        <v>46054</v>
      </c>
      <c r="R1992" s="4" t="str">
        <f aca="false">IF($A1992="","",IF(COUNTIF($A$2:$A1992,$A1992)&gt;1,"Sim","Não"))</f>
        <v>Não</v>
      </c>
      <c r="S1992" s="4" t="str">
        <f aca="false">IF(A1992="","Descartar - Linha vazia",IF(R1992="Sim","Descartar - Duplicado",IF(OR(H1992&lt;=0,I1992&lt;=0),"Descartar - Qtd/Valor inválido","OK")))</f>
        <v>OK</v>
      </c>
      <c r="T1992" s="4" t="str">
        <f aca="false">Base_Bruta!P1992</f>
        <v>vendas_MG.csv</v>
      </c>
    </row>
    <row r="1993" customFormat="false" ht="15" hidden="false" customHeight="false" outlineLevel="0" collapsed="false">
      <c r="A1993" s="4" t="str">
        <f aca="false">IF(Base_Bruta!A1993="","",Base_Bruta!A1993)</f>
        <v>MG-000438</v>
      </c>
      <c r="B1993" s="5" t="n">
        <f aca="false">IF($A1993="","",IF(ISNUMBER(Base_Bruta!B1993),Base_Bruta!B1993,IF(MID(Base_Bruta!B1993,5,1)="-",DATE(VALUE(LEFT(Base_Bruta!B1993,4)),VALUE(MID(Base_Bruta!B1993,6,2)),VALUE(RIGHT(Base_Bruta!B1993,2))),DATE(VALUE(RIGHT(Base_Bruta!B1993,4)),VALUE(MID(Base_Bruta!B1993,4,2)),VALUE(LEFT(Base_Bruta!B1993,2))))))</f>
        <v>46058</v>
      </c>
      <c r="C1993" s="5" t="n">
        <f aca="false">IF($A1993="","",IF(ISNUMBER(Base_Bruta!C1993),Base_Bruta!C1993,IF(MID(Base_Bruta!C1993,5,1)="-",DATE(VALUE(LEFT(Base_Bruta!C1993,4)),VALUE(MID(Base_Bruta!C1993,6,2)),VALUE(RIGHT(Base_Bruta!C1993,2))),DATE(VALUE(RIGHT(Base_Bruta!C1993,4)),VALUE(MID(Base_Bruta!C1993,4,2)),VALUE(LEFT(Base_Bruta!C1993,2))))))</f>
        <v>46058</v>
      </c>
      <c r="D1993" s="4" t="str">
        <f aca="false">IF($A1993="","",TRIM(Base_Bruta!D1993))</f>
        <v>Cinema Savassi - Sessões</v>
      </c>
      <c r="E1993" s="4" t="str">
        <f aca="false">IF($A1993="","",_xlfn.XLOOKUP(LOWER(TRIM(Base_Bruta!E1993)),DePara_Categoria!$A$2:$A$9,DePara_Categoria!$B$2:$B$9,"REVISAR"))</f>
        <v>Cinema</v>
      </c>
      <c r="F1993" s="4" t="str">
        <f aca="false">IF($A1993="","",_xlfn.XLOOKUP(LOWER(TRIM(Base_Bruta!F1993)),DePara_Cidade!$A$2:$A$29,DePara_Cidade!$B$2:$B$29,"REVISAR"))</f>
        <v>Belo Horizonte</v>
      </c>
      <c r="G1993" s="4" t="str">
        <f aca="false">IF($A1993="","",TRIM(Base_Bruta!G1993))</f>
        <v>Meia</v>
      </c>
      <c r="H1993" s="4" t="n">
        <f aca="false">IF($A1993="","",IF(ISNUMBER(Base_Bruta!H1993),Base_Bruta!H1993,IFERROR(_xlfn.NUMBERVALUE(TRIM(SUBSTITUTE(Base_Bruta!H1993,"R$","")),",","."),0)))</f>
        <v>4</v>
      </c>
      <c r="I1993" s="6" t="n">
        <f aca="false">IF($A1993="","",IF(ISNUMBER(Base_Bruta!I1993),Base_Bruta!I1993,IFERROR(_xlfn.NUMBERVALUE(TRIM(SUBSTITUTE(Base_Bruta!I1993,"R$","")),",","."),0)))</f>
        <v>22.5</v>
      </c>
      <c r="J1993" s="6" t="n">
        <f aca="false">IF($A1993="","",H1993*I1993)</f>
        <v>90</v>
      </c>
      <c r="K1993" s="4" t="str">
        <f aca="false">IF($A1993="","",TRIM(Base_Bruta!J1993))</f>
        <v>App</v>
      </c>
      <c r="L1993" s="4" t="str">
        <f aca="false">IF($A1993="","",TRIM(Base_Bruta!K1993))</f>
        <v>C01729</v>
      </c>
      <c r="M1993" s="4" t="str">
        <f aca="false">IF($A1993="","",_xlfn.XLOOKUP(LOWER(TRIM(Base_Bruta!L1993)),DePara_Cidade!$A$2:$A$29,DePara_Cidade!$B$2:$B$29,"REVISAR"))</f>
        <v>Belo Horizonte</v>
      </c>
      <c r="N1993" s="4" t="str">
        <f aca="false">IF($A1993="","",UPPER(TRIM(Base_Bruta!M1993)))</f>
        <v>MG</v>
      </c>
      <c r="O1993" s="4" t="str">
        <f aca="false">IF($A1993="","",_xlfn.XLOOKUP(LOWER(TRIM(Base_Bruta!N1993)),DePara_Pais!$A$2:$A$9,DePara_Pais!$B$2:$B$9,"REVISAR"))</f>
        <v>Brasil</v>
      </c>
      <c r="P1993" s="4" t="str">
        <f aca="false">IF($A1993="","",IF(O1993&lt;&gt;"Brasil","Turista Internacional",IF(M1993=F1993,"Local","Turista Nacional")))</f>
        <v>Local</v>
      </c>
      <c r="Q1993" s="7" t="n">
        <f aca="false">IF($A1993="","",DATE(YEAR(B1993),MONTH(B1993),1))</f>
        <v>46054</v>
      </c>
      <c r="R1993" s="4" t="str">
        <f aca="false">IF($A1993="","",IF(COUNTIF($A$2:$A1993,$A1993)&gt;1,"Sim","Não"))</f>
        <v>Não</v>
      </c>
      <c r="S1993" s="4" t="str">
        <f aca="false">IF(A1993="","Descartar - Linha vazia",IF(R1993="Sim","Descartar - Duplicado",IF(OR(H1993&lt;=0,I1993&lt;=0),"Descartar - Qtd/Valor inválido","OK")))</f>
        <v>OK</v>
      </c>
      <c r="T1993" s="4" t="str">
        <f aca="false">Base_Bruta!P1993</f>
        <v>vendas_MG.csv</v>
      </c>
    </row>
    <row r="1994" customFormat="false" ht="15" hidden="false" customHeight="false" outlineLevel="0" collapsed="false">
      <c r="A1994" s="4" t="str">
        <f aca="false">IF(Base_Bruta!A1994="","",Base_Bruta!A1994)</f>
        <v>MG-000454</v>
      </c>
      <c r="B1994" s="5" t="n">
        <f aca="false">IF($A1994="","",IF(ISNUMBER(Base_Bruta!B1994),Base_Bruta!B1994,IF(MID(Base_Bruta!B1994,5,1)="-",DATE(VALUE(LEFT(Base_Bruta!B1994,4)),VALUE(MID(Base_Bruta!B1994,6,2)),VALUE(RIGHT(Base_Bruta!B1994,2))),DATE(VALUE(RIGHT(Base_Bruta!B1994,4)),VALUE(MID(Base_Bruta!B1994,4,2)),VALUE(LEFT(Base_Bruta!B1994,2))))))</f>
        <v>46058</v>
      </c>
      <c r="C1994" s="5" t="n">
        <f aca="false">IF($A1994="","",IF(ISNUMBER(Base_Bruta!C1994),Base_Bruta!C1994,IF(MID(Base_Bruta!C1994,5,1)="-",DATE(VALUE(LEFT(Base_Bruta!C1994,4)),VALUE(MID(Base_Bruta!C1994,6,2)),VALUE(RIGHT(Base_Bruta!C1994,2))),DATE(VALUE(RIGHT(Base_Bruta!C1994,4)),VALUE(MID(Base_Bruta!C1994,4,2)),VALUE(LEFT(Base_Bruta!C1994,2))))))</f>
        <v>46060</v>
      </c>
      <c r="D1994" s="4" t="str">
        <f aca="false">IF($A1994="","",TRIM(Base_Bruta!D1994))</f>
        <v>Cinema Savassi - Sessões</v>
      </c>
      <c r="E1994" s="4" t="str">
        <f aca="false">IF($A1994="","",_xlfn.XLOOKUP(LOWER(TRIM(Base_Bruta!E1994)),DePara_Categoria!$A$2:$A$9,DePara_Categoria!$B$2:$B$9,"REVISAR"))</f>
        <v>Cinema</v>
      </c>
      <c r="F1994" s="4" t="str">
        <f aca="false">IF($A1994="","",_xlfn.XLOOKUP(LOWER(TRIM(Base_Bruta!F1994)),DePara_Cidade!$A$2:$A$29,DePara_Cidade!$B$2:$B$29,"REVISAR"))</f>
        <v>Belo Horizonte</v>
      </c>
      <c r="G1994" s="4" t="str">
        <f aca="false">IF($A1994="","",TRIM(Base_Bruta!G1994))</f>
        <v>Inteira</v>
      </c>
      <c r="H1994" s="4" t="n">
        <f aca="false">IF($A1994="","",IF(ISNUMBER(Base_Bruta!H1994),Base_Bruta!H1994,IFERROR(_xlfn.NUMBERVALUE(TRIM(SUBSTITUTE(Base_Bruta!H1994,"R$","")),",","."),0)))</f>
        <v>2</v>
      </c>
      <c r="I1994" s="6" t="n">
        <f aca="false">IF($A1994="","",IF(ISNUMBER(Base_Bruta!I1994),Base_Bruta!I1994,IFERROR(_xlfn.NUMBERVALUE(TRIM(SUBSTITUTE(Base_Bruta!I1994,"R$","")),",","."),0)))</f>
        <v>35</v>
      </c>
      <c r="J1994" s="6" t="n">
        <f aca="false">IF($A1994="","",H1994*I1994)</f>
        <v>70</v>
      </c>
      <c r="K1994" s="4" t="str">
        <f aca="false">IF($A1994="","",TRIM(Base_Bruta!J1994))</f>
        <v>App</v>
      </c>
      <c r="L1994" s="4" t="str">
        <f aca="false">IF($A1994="","",TRIM(Base_Bruta!K1994))</f>
        <v>C01443</v>
      </c>
      <c r="M1994" s="4" t="str">
        <f aca="false">IF($A1994="","",_xlfn.XLOOKUP(LOWER(TRIM(Base_Bruta!L1994)),DePara_Cidade!$A$2:$A$29,DePara_Cidade!$B$2:$B$29,"REVISAR"))</f>
        <v>Belo Horizonte</v>
      </c>
      <c r="N1994" s="4" t="str">
        <f aca="false">IF($A1994="","",UPPER(TRIM(Base_Bruta!M1994)))</f>
        <v>MG</v>
      </c>
      <c r="O1994" s="4" t="str">
        <f aca="false">IF($A1994="","",_xlfn.XLOOKUP(LOWER(TRIM(Base_Bruta!N1994)),DePara_Pais!$A$2:$A$9,DePara_Pais!$B$2:$B$9,"REVISAR"))</f>
        <v>Brasil</v>
      </c>
      <c r="P1994" s="4" t="str">
        <f aca="false">IF($A1994="","",IF(O1994&lt;&gt;"Brasil","Turista Internacional",IF(M1994=F1994,"Local","Turista Nacional")))</f>
        <v>Local</v>
      </c>
      <c r="Q1994" s="7" t="n">
        <f aca="false">IF($A1994="","",DATE(YEAR(B1994),MONTH(B1994),1))</f>
        <v>46054</v>
      </c>
      <c r="R1994" s="4" t="str">
        <f aca="false">IF($A1994="","",IF(COUNTIF($A$2:$A1994,$A1994)&gt;1,"Sim","Não"))</f>
        <v>Não</v>
      </c>
      <c r="S1994" s="4" t="str">
        <f aca="false">IF(A1994="","Descartar - Linha vazia",IF(R1994="Sim","Descartar - Duplicado",IF(OR(H1994&lt;=0,I1994&lt;=0),"Descartar - Qtd/Valor inválido","OK")))</f>
        <v>OK</v>
      </c>
      <c r="T1994" s="4" t="str">
        <f aca="false">Base_Bruta!P1994</f>
        <v>vendas_MG.csv</v>
      </c>
    </row>
    <row r="1995" customFormat="false" ht="15" hidden="false" customHeight="false" outlineLevel="0" collapsed="false">
      <c r="A1995" s="4" t="str">
        <f aca="false">IF(Base_Bruta!A1995="","",Base_Bruta!A1995)</f>
        <v>MG-000509</v>
      </c>
      <c r="B1995" s="5" t="n">
        <f aca="false">IF($A1995="","",IF(ISNUMBER(Base_Bruta!B1995),Base_Bruta!B1995,IF(MID(Base_Bruta!B1995,5,1)="-",DATE(VALUE(LEFT(Base_Bruta!B1995,4)),VALUE(MID(Base_Bruta!B1995,6,2)),VALUE(RIGHT(Base_Bruta!B1995,2))),DATE(VALUE(RIGHT(Base_Bruta!B1995,4)),VALUE(MID(Base_Bruta!B1995,4,2)),VALUE(LEFT(Base_Bruta!B1995,2))))))</f>
        <v>46059</v>
      </c>
      <c r="C1995" s="5" t="n">
        <f aca="false">IF($A1995="","",IF(ISNUMBER(Base_Bruta!C1995),Base_Bruta!C1995,IF(MID(Base_Bruta!C1995,5,1)="-",DATE(VALUE(LEFT(Base_Bruta!C1995,4)),VALUE(MID(Base_Bruta!C1995,6,2)),VALUE(RIGHT(Base_Bruta!C1995,2))),DATE(VALUE(RIGHT(Base_Bruta!C1995,4)),VALUE(MID(Base_Bruta!C1995,4,2)),VALUE(LEFT(Base_Bruta!C1995,2))))))</f>
        <v>46059</v>
      </c>
      <c r="D1995" s="4" t="str">
        <f aca="false">IF($A1995="","",TRIM(Base_Bruta!D1995))</f>
        <v>Cinema Savassi - Sessões</v>
      </c>
      <c r="E1995" s="4" t="str">
        <f aca="false">IF($A1995="","",_xlfn.XLOOKUP(LOWER(TRIM(Base_Bruta!E1995)),DePara_Categoria!$A$2:$A$9,DePara_Categoria!$B$2:$B$9,"REVISAR"))</f>
        <v>Cinema</v>
      </c>
      <c r="F1995" s="4" t="str">
        <f aca="false">IF($A1995="","",_xlfn.XLOOKUP(LOWER(TRIM(Base_Bruta!F1995)),DePara_Cidade!$A$2:$A$29,DePara_Cidade!$B$2:$B$29,"REVISAR"))</f>
        <v>Belo Horizonte</v>
      </c>
      <c r="G1995" s="4" t="str">
        <f aca="false">IF($A1995="","",TRIM(Base_Bruta!G1995))</f>
        <v>Inteira</v>
      </c>
      <c r="H1995" s="4" t="n">
        <f aca="false">IF($A1995="","",IF(ISNUMBER(Base_Bruta!H1995),Base_Bruta!H1995,IFERROR(_xlfn.NUMBERVALUE(TRIM(SUBSTITUTE(Base_Bruta!H1995,"R$","")),",","."),0)))</f>
        <v>3</v>
      </c>
      <c r="I1995" s="6" t="n">
        <f aca="false">IF($A1995="","",IF(ISNUMBER(Base_Bruta!I1995),Base_Bruta!I1995,IFERROR(_xlfn.NUMBERVALUE(TRIM(SUBSTITUTE(Base_Bruta!I1995,"R$","")),",","."),0)))</f>
        <v>45</v>
      </c>
      <c r="J1995" s="6" t="n">
        <f aca="false">IF($A1995="","",H1995*I1995)</f>
        <v>135</v>
      </c>
      <c r="K1995" s="4" t="str">
        <f aca="false">IF($A1995="","",TRIM(Base_Bruta!J1995))</f>
        <v>Site</v>
      </c>
      <c r="L1995" s="4" t="str">
        <f aca="false">IF($A1995="","",TRIM(Base_Bruta!K1995))</f>
        <v>C00718</v>
      </c>
      <c r="M1995" s="4" t="str">
        <f aca="false">IF($A1995="","",_xlfn.XLOOKUP(LOWER(TRIM(Base_Bruta!L1995)),DePara_Cidade!$A$2:$A$29,DePara_Cidade!$B$2:$B$29,"REVISAR"))</f>
        <v>Belo Horizonte</v>
      </c>
      <c r="N1995" s="4" t="str">
        <f aca="false">IF($A1995="","",UPPER(TRIM(Base_Bruta!M1995)))</f>
        <v>MG</v>
      </c>
      <c r="O1995" s="4" t="str">
        <f aca="false">IF($A1995="","",_xlfn.XLOOKUP(LOWER(TRIM(Base_Bruta!N1995)),DePara_Pais!$A$2:$A$9,DePara_Pais!$B$2:$B$9,"REVISAR"))</f>
        <v>Brasil</v>
      </c>
      <c r="P1995" s="4" t="str">
        <f aca="false">IF($A1995="","",IF(O1995&lt;&gt;"Brasil","Turista Internacional",IF(M1995=F1995,"Local","Turista Nacional")))</f>
        <v>Local</v>
      </c>
      <c r="Q1995" s="7" t="n">
        <f aca="false">IF($A1995="","",DATE(YEAR(B1995),MONTH(B1995),1))</f>
        <v>46054</v>
      </c>
      <c r="R1995" s="4" t="str">
        <f aca="false">IF($A1995="","",IF(COUNTIF($A$2:$A1995,$A1995)&gt;1,"Sim","Não"))</f>
        <v>Não</v>
      </c>
      <c r="S1995" s="4" t="str">
        <f aca="false">IF(A1995="","Descartar - Linha vazia",IF(R1995="Sim","Descartar - Duplicado",IF(OR(H1995&lt;=0,I1995&lt;=0),"Descartar - Qtd/Valor inválido","OK")))</f>
        <v>OK</v>
      </c>
      <c r="T1995" s="4" t="str">
        <f aca="false">Base_Bruta!P1995</f>
        <v>vendas_MG.csv</v>
      </c>
    </row>
    <row r="1996" customFormat="false" ht="15" hidden="false" customHeight="false" outlineLevel="0" collapsed="false">
      <c r="A1996" s="4" t="str">
        <f aca="false">IF(Base_Bruta!A1996="","",Base_Bruta!A1996)</f>
        <v>MG-000444</v>
      </c>
      <c r="B1996" s="5" t="n">
        <f aca="false">IF($A1996="","",IF(ISNUMBER(Base_Bruta!B1996),Base_Bruta!B1996,IF(MID(Base_Bruta!B1996,5,1)="-",DATE(VALUE(LEFT(Base_Bruta!B1996,4)),VALUE(MID(Base_Bruta!B1996,6,2)),VALUE(RIGHT(Base_Bruta!B1996,2))),DATE(VALUE(RIGHT(Base_Bruta!B1996,4)),VALUE(MID(Base_Bruta!B1996,4,2)),VALUE(LEFT(Base_Bruta!B1996,2))))))</f>
        <v>46060</v>
      </c>
      <c r="C1996" s="5" t="n">
        <f aca="false">IF($A1996="","",IF(ISNUMBER(Base_Bruta!C1996),Base_Bruta!C1996,IF(MID(Base_Bruta!C1996,5,1)="-",DATE(VALUE(LEFT(Base_Bruta!C1996,4)),VALUE(MID(Base_Bruta!C1996,6,2)),VALUE(RIGHT(Base_Bruta!C1996,2))),DATE(VALUE(RIGHT(Base_Bruta!C1996,4)),VALUE(MID(Base_Bruta!C1996,4,2)),VALUE(LEFT(Base_Bruta!C1996,2))))))</f>
        <v>46061</v>
      </c>
      <c r="D1996" s="4" t="str">
        <f aca="false">IF($A1996="","",TRIM(Base_Bruta!D1996))</f>
        <v>Cinema Savassi - Sessões</v>
      </c>
      <c r="E1996" s="4" t="str">
        <f aca="false">IF($A1996="","",_xlfn.XLOOKUP(LOWER(TRIM(Base_Bruta!E1996)),DePara_Categoria!$A$2:$A$9,DePara_Categoria!$B$2:$B$9,"REVISAR"))</f>
        <v>Cinema</v>
      </c>
      <c r="F1996" s="4" t="str">
        <f aca="false">IF($A1996="","",_xlfn.XLOOKUP(LOWER(TRIM(Base_Bruta!F1996)),DePara_Cidade!$A$2:$A$29,DePara_Cidade!$B$2:$B$29,"REVISAR"))</f>
        <v>Belo Horizonte</v>
      </c>
      <c r="G1996" s="4" t="str">
        <f aca="false">IF($A1996="","",TRIM(Base_Bruta!G1996))</f>
        <v>Inteira</v>
      </c>
      <c r="H1996" s="4" t="n">
        <f aca="false">IF($A1996="","",IF(ISNUMBER(Base_Bruta!H1996),Base_Bruta!H1996,IFERROR(_xlfn.NUMBERVALUE(TRIM(SUBSTITUTE(Base_Bruta!H1996,"R$","")),",","."),0)))</f>
        <v>1</v>
      </c>
      <c r="I1996" s="6" t="n">
        <f aca="false">IF($A1996="","",IF(ISNUMBER(Base_Bruta!I1996),Base_Bruta!I1996,IFERROR(_xlfn.NUMBERVALUE(TRIM(SUBSTITUTE(Base_Bruta!I1996,"R$","")),",","."),0)))</f>
        <v>45</v>
      </c>
      <c r="J1996" s="6" t="n">
        <f aca="false">IF($A1996="","",H1996*I1996)</f>
        <v>45</v>
      </c>
      <c r="K1996" s="4" t="str">
        <f aca="false">IF($A1996="","",TRIM(Base_Bruta!J1996))</f>
        <v>App</v>
      </c>
      <c r="L1996" s="4" t="str">
        <f aca="false">IF($A1996="","",TRIM(Base_Bruta!K1996))</f>
        <v>C01443</v>
      </c>
      <c r="M1996" s="4" t="str">
        <f aca="false">IF($A1996="","",_xlfn.XLOOKUP(LOWER(TRIM(Base_Bruta!L1996)),DePara_Cidade!$A$2:$A$29,DePara_Cidade!$B$2:$B$29,"REVISAR"))</f>
        <v>Belo Horizonte</v>
      </c>
      <c r="N1996" s="4" t="str">
        <f aca="false">IF($A1996="","",UPPER(TRIM(Base_Bruta!M1996)))</f>
        <v>MG</v>
      </c>
      <c r="O1996" s="4" t="str">
        <f aca="false">IF($A1996="","",_xlfn.XLOOKUP(LOWER(TRIM(Base_Bruta!N1996)),DePara_Pais!$A$2:$A$9,DePara_Pais!$B$2:$B$9,"REVISAR"))</f>
        <v>Brasil</v>
      </c>
      <c r="P1996" s="4" t="str">
        <f aca="false">IF($A1996="","",IF(O1996&lt;&gt;"Brasil","Turista Internacional",IF(M1996=F1996,"Local","Turista Nacional")))</f>
        <v>Local</v>
      </c>
      <c r="Q1996" s="7" t="n">
        <f aca="false">IF($A1996="","",DATE(YEAR(B1996),MONTH(B1996),1))</f>
        <v>46054</v>
      </c>
      <c r="R1996" s="4" t="str">
        <f aca="false">IF($A1996="","",IF(COUNTIF($A$2:$A1996,$A1996)&gt;1,"Sim","Não"))</f>
        <v>Não</v>
      </c>
      <c r="S1996" s="4" t="str">
        <f aca="false">IF(A1996="","Descartar - Linha vazia",IF(R1996="Sim","Descartar - Duplicado",IF(OR(H1996&lt;=0,I1996&lt;=0),"Descartar - Qtd/Valor inválido","OK")))</f>
        <v>OK</v>
      </c>
      <c r="T1996" s="4" t="str">
        <f aca="false">Base_Bruta!P1996</f>
        <v>vendas_MG.csv</v>
      </c>
    </row>
    <row r="1997" customFormat="false" ht="15" hidden="false" customHeight="false" outlineLevel="0" collapsed="false">
      <c r="A1997" s="4" t="str">
        <f aca="false">IF(Base_Bruta!A1997="","",Base_Bruta!A1997)</f>
        <v>MG-000366</v>
      </c>
      <c r="B1997" s="5" t="n">
        <f aca="false">IF($A1997="","",IF(ISNUMBER(Base_Bruta!B1997),Base_Bruta!B1997,IF(MID(Base_Bruta!B1997,5,1)="-",DATE(VALUE(LEFT(Base_Bruta!B1997,4)),VALUE(MID(Base_Bruta!B1997,6,2)),VALUE(RIGHT(Base_Bruta!B1997,2))),DATE(VALUE(RIGHT(Base_Bruta!B1997,4)),VALUE(MID(Base_Bruta!B1997,4,2)),VALUE(LEFT(Base_Bruta!B1997,2))))))</f>
        <v>46061</v>
      </c>
      <c r="C1997" s="5" t="n">
        <f aca="false">IF($A1997="","",IF(ISNUMBER(Base_Bruta!C1997),Base_Bruta!C1997,IF(MID(Base_Bruta!C1997,5,1)="-",DATE(VALUE(LEFT(Base_Bruta!C1997,4)),VALUE(MID(Base_Bruta!C1997,6,2)),VALUE(RIGHT(Base_Bruta!C1997,2))),DATE(VALUE(RIGHT(Base_Bruta!C1997,4)),VALUE(MID(Base_Bruta!C1997,4,2)),VALUE(LEFT(Base_Bruta!C1997,2))))))</f>
        <v>46081</v>
      </c>
      <c r="D1997" s="4" t="str">
        <f aca="false">IF($A1997="","",TRIM(Base_Bruta!D1997))</f>
        <v>Show Sertanejo - BH</v>
      </c>
      <c r="E1997" s="4" t="str">
        <f aca="false">IF($A1997="","",_xlfn.XLOOKUP(LOWER(TRIM(Base_Bruta!E1997)),DePara_Categoria!$A$2:$A$9,DePara_Categoria!$B$2:$B$9,"REVISAR"))</f>
        <v>Show</v>
      </c>
      <c r="F1997" s="4" t="str">
        <f aca="false">IF($A1997="","",_xlfn.XLOOKUP(LOWER(TRIM(Base_Bruta!F1997)),DePara_Cidade!$A$2:$A$29,DePara_Cidade!$B$2:$B$29,"REVISAR"))</f>
        <v>Belo Horizonte</v>
      </c>
      <c r="G1997" s="4" t="str">
        <f aca="false">IF($A1997="","",TRIM(Base_Bruta!G1997))</f>
        <v>VIP</v>
      </c>
      <c r="H1997" s="4" t="n">
        <f aca="false">IF($A1997="","",IF(ISNUMBER(Base_Bruta!H1997),Base_Bruta!H1997,IFERROR(_xlfn.NUMBERVALUE(TRIM(SUBSTITUTE(Base_Bruta!H1997,"R$","")),",","."),0)))</f>
        <v>2</v>
      </c>
      <c r="I1997" s="6" t="n">
        <f aca="false">IF($A1997="","",IF(ISNUMBER(Base_Bruta!I1997),Base_Bruta!I1997,IFERROR(_xlfn.NUMBERVALUE(TRIM(SUBSTITUTE(Base_Bruta!I1997,"R$","")),",","."),0)))</f>
        <v>1380</v>
      </c>
      <c r="J1997" s="6" t="n">
        <f aca="false">IF($A1997="","",H1997*I1997)</f>
        <v>2760</v>
      </c>
      <c r="K1997" s="4" t="str">
        <f aca="false">IF($A1997="","",TRIM(Base_Bruta!J1997))</f>
        <v>Site</v>
      </c>
      <c r="L1997" s="4" t="str">
        <f aca="false">IF($A1997="","",TRIM(Base_Bruta!K1997))</f>
        <v>C01261</v>
      </c>
      <c r="M1997" s="4" t="str">
        <f aca="false">IF($A1997="","",_xlfn.XLOOKUP(LOWER(TRIM(Base_Bruta!L1997)),DePara_Cidade!$A$2:$A$29,DePara_Cidade!$B$2:$B$29,"REVISAR"))</f>
        <v>Belo Horizonte</v>
      </c>
      <c r="N1997" s="4" t="str">
        <f aca="false">IF($A1997="","",UPPER(TRIM(Base_Bruta!M1997)))</f>
        <v>MG</v>
      </c>
      <c r="O1997" s="4" t="str">
        <f aca="false">IF($A1997="","",_xlfn.XLOOKUP(LOWER(TRIM(Base_Bruta!N1997)),DePara_Pais!$A$2:$A$9,DePara_Pais!$B$2:$B$9,"REVISAR"))</f>
        <v>Brasil</v>
      </c>
      <c r="P1997" s="4" t="str">
        <f aca="false">IF($A1997="","",IF(O1997&lt;&gt;"Brasil","Turista Internacional",IF(M1997=F1997,"Local","Turista Nacional")))</f>
        <v>Local</v>
      </c>
      <c r="Q1997" s="7" t="n">
        <f aca="false">IF($A1997="","",DATE(YEAR(B1997),MONTH(B1997),1))</f>
        <v>46054</v>
      </c>
      <c r="R1997" s="4" t="str">
        <f aca="false">IF($A1997="","",IF(COUNTIF($A$2:$A1997,$A1997)&gt;1,"Sim","Não"))</f>
        <v>Não</v>
      </c>
      <c r="S1997" s="4" t="str">
        <f aca="false">IF(A1997="","Descartar - Linha vazia",IF(R1997="Sim","Descartar - Duplicado",IF(OR(H1997&lt;=0,I1997&lt;=0),"Descartar - Qtd/Valor inválido","OK")))</f>
        <v>OK</v>
      </c>
      <c r="T1997" s="4" t="str">
        <f aca="false">Base_Bruta!P1997</f>
        <v>vendas_MG.csv</v>
      </c>
    </row>
    <row r="1998" customFormat="false" ht="15" hidden="false" customHeight="false" outlineLevel="0" collapsed="false">
      <c r="A1998" s="4" t="str">
        <f aca="false">IF(Base_Bruta!A1998="","",Base_Bruta!A1998)</f>
        <v>MG-000539</v>
      </c>
      <c r="B1998" s="5" t="n">
        <f aca="false">IF($A1998="","",IF(ISNUMBER(Base_Bruta!B1998),Base_Bruta!B1998,IF(MID(Base_Bruta!B1998,5,1)="-",DATE(VALUE(LEFT(Base_Bruta!B1998,4)),VALUE(MID(Base_Bruta!B1998,6,2)),VALUE(RIGHT(Base_Bruta!B1998,2))),DATE(VALUE(RIGHT(Base_Bruta!B1998,4)),VALUE(MID(Base_Bruta!B1998,4,2)),VALUE(LEFT(Base_Bruta!B1998,2))))))</f>
        <v>46061</v>
      </c>
      <c r="C1998" s="5" t="n">
        <f aca="false">IF($A1998="","",IF(ISNUMBER(Base_Bruta!C1998),Base_Bruta!C1998,IF(MID(Base_Bruta!C1998,5,1)="-",DATE(VALUE(LEFT(Base_Bruta!C1998,4)),VALUE(MID(Base_Bruta!C1998,6,2)),VALUE(RIGHT(Base_Bruta!C1998,2))),DATE(VALUE(RIGHT(Base_Bruta!C1998,4)),VALUE(MID(Base_Bruta!C1998,4,2)),VALUE(LEFT(Base_Bruta!C1998,2))))))</f>
        <v>46064</v>
      </c>
      <c r="D1998" s="4" t="str">
        <f aca="false">IF($A1998="","",TRIM(Base_Bruta!D1998))</f>
        <v>Cinema Savassi - Sessões</v>
      </c>
      <c r="E1998" s="4" t="str">
        <f aca="false">IF($A1998="","",_xlfn.XLOOKUP(LOWER(TRIM(Base_Bruta!E1998)),DePara_Categoria!$A$2:$A$9,DePara_Categoria!$B$2:$B$9,"REVISAR"))</f>
        <v>Cinema</v>
      </c>
      <c r="F1998" s="4" t="str">
        <f aca="false">IF($A1998="","",_xlfn.XLOOKUP(LOWER(TRIM(Base_Bruta!F1998)),DePara_Cidade!$A$2:$A$29,DePara_Cidade!$B$2:$B$29,"REVISAR"))</f>
        <v>Belo Horizonte</v>
      </c>
      <c r="G1998" s="4" t="str">
        <f aca="false">IF($A1998="","",TRIM(Base_Bruta!G1998))</f>
        <v>Meia</v>
      </c>
      <c r="H1998" s="4" t="n">
        <f aca="false">IF($A1998="","",IF(ISNUMBER(Base_Bruta!H1998),Base_Bruta!H1998,IFERROR(_xlfn.NUMBERVALUE(TRIM(SUBSTITUTE(Base_Bruta!H1998,"R$","")),",","."),0)))</f>
        <v>4</v>
      </c>
      <c r="I1998" s="6" t="n">
        <f aca="false">IF($A1998="","",IF(ISNUMBER(Base_Bruta!I1998),Base_Bruta!I1998,IFERROR(_xlfn.NUMBERVALUE(TRIM(SUBSTITUTE(Base_Bruta!I1998,"R$","")),",","."),0)))</f>
        <v>17.5</v>
      </c>
      <c r="J1998" s="6" t="n">
        <f aca="false">IF($A1998="","",H1998*I1998)</f>
        <v>70</v>
      </c>
      <c r="K1998" s="4" t="str">
        <f aca="false">IF($A1998="","",TRIM(Base_Bruta!J1998))</f>
        <v>App</v>
      </c>
      <c r="L1998" s="4" t="str">
        <f aca="false">IF($A1998="","",TRIM(Base_Bruta!K1998))</f>
        <v>C01432</v>
      </c>
      <c r="M1998" s="4" t="str">
        <f aca="false">IF($A1998="","",_xlfn.XLOOKUP(LOWER(TRIM(Base_Bruta!L1998)),DePara_Cidade!$A$2:$A$29,DePara_Cidade!$B$2:$B$29,"REVISAR"))</f>
        <v>Belo Horizonte</v>
      </c>
      <c r="N1998" s="4" t="str">
        <f aca="false">IF($A1998="","",UPPER(TRIM(Base_Bruta!M1998)))</f>
        <v>MG</v>
      </c>
      <c r="O1998" s="4" t="str">
        <f aca="false">IF($A1998="","",_xlfn.XLOOKUP(LOWER(TRIM(Base_Bruta!N1998)),DePara_Pais!$A$2:$A$9,DePara_Pais!$B$2:$B$9,"REVISAR"))</f>
        <v>Brasil</v>
      </c>
      <c r="P1998" s="4" t="str">
        <f aca="false">IF($A1998="","",IF(O1998&lt;&gt;"Brasil","Turista Internacional",IF(M1998=F1998,"Local","Turista Nacional")))</f>
        <v>Local</v>
      </c>
      <c r="Q1998" s="7" t="n">
        <f aca="false">IF($A1998="","",DATE(YEAR(B1998),MONTH(B1998),1))</f>
        <v>46054</v>
      </c>
      <c r="R1998" s="4" t="str">
        <f aca="false">IF($A1998="","",IF(COUNTIF($A$2:$A1998,$A1998)&gt;1,"Sim","Não"))</f>
        <v>Não</v>
      </c>
      <c r="S1998" s="4" t="str">
        <f aca="false">IF(A1998="","Descartar - Linha vazia",IF(R1998="Sim","Descartar - Duplicado",IF(OR(H1998&lt;=0,I1998&lt;=0),"Descartar - Qtd/Valor inválido","OK")))</f>
        <v>OK</v>
      </c>
      <c r="T1998" s="4" t="str">
        <f aca="false">Base_Bruta!P1998</f>
        <v>vendas_MG.csv</v>
      </c>
    </row>
    <row r="1999" customFormat="false" ht="15" hidden="false" customHeight="false" outlineLevel="0" collapsed="false">
      <c r="A1999" s="4" t="str">
        <f aca="false">IF(Base_Bruta!A1999="","",Base_Bruta!A1999)</f>
        <v>MG-000318</v>
      </c>
      <c r="B1999" s="5" t="n">
        <f aca="false">IF($A1999="","",IF(ISNUMBER(Base_Bruta!B1999),Base_Bruta!B1999,IF(MID(Base_Bruta!B1999,5,1)="-",DATE(VALUE(LEFT(Base_Bruta!B1999,4)),VALUE(MID(Base_Bruta!B1999,6,2)),VALUE(RIGHT(Base_Bruta!B1999,2))),DATE(VALUE(RIGHT(Base_Bruta!B1999,4)),VALUE(MID(Base_Bruta!B1999,4,2)),VALUE(LEFT(Base_Bruta!B1999,2))))))</f>
        <v>46063</v>
      </c>
      <c r="C1999" s="5" t="n">
        <f aca="false">IF($A1999="","",IF(ISNUMBER(Base_Bruta!C1999),Base_Bruta!C1999,IF(MID(Base_Bruta!C1999,5,1)="-",DATE(VALUE(LEFT(Base_Bruta!C1999,4)),VALUE(MID(Base_Bruta!C1999,6,2)),VALUE(RIGHT(Base_Bruta!C1999,2))),DATE(VALUE(RIGHT(Base_Bruta!C1999,4)),VALUE(MID(Base_Bruta!C1999,4,2)),VALUE(LEFT(Base_Bruta!C1999,2))))))</f>
        <v>46081</v>
      </c>
      <c r="D1999" s="4" t="str">
        <f aca="false">IF($A1999="","",TRIM(Base_Bruta!D1999))</f>
        <v>Show Sertanejo - BH</v>
      </c>
      <c r="E1999" s="4" t="str">
        <f aca="false">IF($A1999="","",_xlfn.XLOOKUP(LOWER(TRIM(Base_Bruta!E1999)),DePara_Categoria!$A$2:$A$9,DePara_Categoria!$B$2:$B$9,"REVISAR"))</f>
        <v>Show</v>
      </c>
      <c r="F1999" s="4" t="str">
        <f aca="false">IF($A1999="","",_xlfn.XLOOKUP(LOWER(TRIM(Base_Bruta!F1999)),DePara_Cidade!$A$2:$A$29,DePara_Cidade!$B$2:$B$29,"REVISAR"))</f>
        <v>Belo Horizonte</v>
      </c>
      <c r="G1999" s="4" t="str">
        <f aca="false">IF($A1999="","",TRIM(Base_Bruta!G1999))</f>
        <v>Inteira</v>
      </c>
      <c r="H1999" s="4" t="n">
        <f aca="false">IF($A1999="","",IF(ISNUMBER(Base_Bruta!H1999),Base_Bruta!H1999,IFERROR(_xlfn.NUMBERVALUE(TRIM(SUBSTITUTE(Base_Bruta!H1999,"R$","")),",","."),0)))</f>
        <v>1</v>
      </c>
      <c r="I1999" s="6" t="n">
        <f aca="false">IF($A1999="","",IF(ISNUMBER(Base_Bruta!I1999),Base_Bruta!I1999,IFERROR(_xlfn.NUMBERVALUE(TRIM(SUBSTITUTE(Base_Bruta!I1999,"R$","")),",","."),0)))</f>
        <v>405</v>
      </c>
      <c r="J1999" s="6" t="n">
        <f aca="false">IF($A1999="","",H1999*I1999)</f>
        <v>405</v>
      </c>
      <c r="K1999" s="4" t="str">
        <f aca="false">IF($A1999="","",TRIM(Base_Bruta!J1999))</f>
        <v>App</v>
      </c>
      <c r="L1999" s="4" t="str">
        <f aca="false">IF($A1999="","",TRIM(Base_Bruta!K1999))</f>
        <v>C00431</v>
      </c>
      <c r="M1999" s="4" t="str">
        <f aca="false">IF($A1999="","",_xlfn.XLOOKUP(LOWER(TRIM(Base_Bruta!L1999)),DePara_Cidade!$A$2:$A$29,DePara_Cidade!$B$2:$B$29,"REVISAR"))</f>
        <v>Belo Horizonte</v>
      </c>
      <c r="N1999" s="4" t="str">
        <f aca="false">IF($A1999="","",UPPER(TRIM(Base_Bruta!M1999)))</f>
        <v>MG</v>
      </c>
      <c r="O1999" s="4" t="str">
        <f aca="false">IF($A1999="","",_xlfn.XLOOKUP(LOWER(TRIM(Base_Bruta!N1999)),DePara_Pais!$A$2:$A$9,DePara_Pais!$B$2:$B$9,"REVISAR"))</f>
        <v>Brasil</v>
      </c>
      <c r="P1999" s="4" t="str">
        <f aca="false">IF($A1999="","",IF(O1999&lt;&gt;"Brasil","Turista Internacional",IF(M1999=F1999,"Local","Turista Nacional")))</f>
        <v>Local</v>
      </c>
      <c r="Q1999" s="7" t="n">
        <f aca="false">IF($A1999="","",DATE(YEAR(B1999),MONTH(B1999),1))</f>
        <v>46054</v>
      </c>
      <c r="R1999" s="4" t="str">
        <f aca="false">IF($A1999="","",IF(COUNTIF($A$2:$A1999,$A1999)&gt;1,"Sim","Não"))</f>
        <v>Não</v>
      </c>
      <c r="S1999" s="4" t="str">
        <f aca="false">IF(A1999="","Descartar - Linha vazia",IF(R1999="Sim","Descartar - Duplicado",IF(OR(H1999&lt;=0,I1999&lt;=0),"Descartar - Qtd/Valor inválido","OK")))</f>
        <v>OK</v>
      </c>
      <c r="T1999" s="4" t="str">
        <f aca="false">Base_Bruta!P1999</f>
        <v>vendas_MG.csv</v>
      </c>
    </row>
    <row r="2000" customFormat="false" ht="15" hidden="false" customHeight="false" outlineLevel="0" collapsed="false">
      <c r="A2000" s="4" t="str">
        <f aca="false">IF(Base_Bruta!A2000="","",Base_Bruta!A2000)</f>
        <v>MG-000387</v>
      </c>
      <c r="B2000" s="5" t="n">
        <f aca="false">IF($A2000="","",IF(ISNUMBER(Base_Bruta!B2000),Base_Bruta!B2000,IF(MID(Base_Bruta!B2000,5,1)="-",DATE(VALUE(LEFT(Base_Bruta!B2000,4)),VALUE(MID(Base_Bruta!B2000,6,2)),VALUE(RIGHT(Base_Bruta!B2000,2))),DATE(VALUE(RIGHT(Base_Bruta!B2000,4)),VALUE(MID(Base_Bruta!B2000,4,2)),VALUE(LEFT(Base_Bruta!B2000,2))))))</f>
        <v>46063</v>
      </c>
      <c r="C2000" s="5" t="n">
        <f aca="false">IF($A2000="","",IF(ISNUMBER(Base_Bruta!C2000),Base_Bruta!C2000,IF(MID(Base_Bruta!C2000,5,1)="-",DATE(VALUE(LEFT(Base_Bruta!C2000,4)),VALUE(MID(Base_Bruta!C2000,6,2)),VALUE(RIGHT(Base_Bruta!C2000,2))),DATE(VALUE(RIGHT(Base_Bruta!C2000,4)),VALUE(MID(Base_Bruta!C2000,4,2)),VALUE(LEFT(Base_Bruta!C2000,2))))))</f>
        <v>46066</v>
      </c>
      <c r="D2000" s="4" t="str">
        <f aca="false">IF($A2000="","",TRIM(Base_Bruta!D2000))</f>
        <v>Cinema Savassi - Sessões</v>
      </c>
      <c r="E2000" s="4" t="str">
        <f aca="false">IF($A2000="","",_xlfn.XLOOKUP(LOWER(TRIM(Base_Bruta!E2000)),DePara_Categoria!$A$2:$A$9,DePara_Categoria!$B$2:$B$9,"REVISAR"))</f>
        <v>Cinema</v>
      </c>
      <c r="F2000" s="4" t="str">
        <f aca="false">IF($A2000="","",_xlfn.XLOOKUP(LOWER(TRIM(Base_Bruta!F2000)),DePara_Cidade!$A$2:$A$29,DePara_Cidade!$B$2:$B$29,"REVISAR"))</f>
        <v>Belo Horizonte</v>
      </c>
      <c r="G2000" s="4" t="str">
        <f aca="false">IF($A2000="","",TRIM(Base_Bruta!G2000))</f>
        <v>Inteira</v>
      </c>
      <c r="H2000" s="4" t="n">
        <f aca="false">IF($A2000="","",IF(ISNUMBER(Base_Bruta!H2000),Base_Bruta!H2000,IFERROR(_xlfn.NUMBERVALUE(TRIM(SUBSTITUTE(Base_Bruta!H2000,"R$","")),",","."),0)))</f>
        <v>2</v>
      </c>
      <c r="I2000" s="6" t="n">
        <f aca="false">IF($A2000="","",IF(ISNUMBER(Base_Bruta!I2000),Base_Bruta!I2000,IFERROR(_xlfn.NUMBERVALUE(TRIM(SUBSTITUTE(Base_Bruta!I2000,"R$","")),",","."),0)))</f>
        <v>40</v>
      </c>
      <c r="J2000" s="6" t="n">
        <f aca="false">IF($A2000="","",H2000*I2000)</f>
        <v>80</v>
      </c>
      <c r="K2000" s="4" t="str">
        <f aca="false">IF($A2000="","",TRIM(Base_Bruta!J2000))</f>
        <v>Site</v>
      </c>
      <c r="L2000" s="4" t="str">
        <f aca="false">IF($A2000="","",TRIM(Base_Bruta!K2000))</f>
        <v>C02484</v>
      </c>
      <c r="M2000" s="4" t="str">
        <f aca="false">IF($A2000="","",_xlfn.XLOOKUP(LOWER(TRIM(Base_Bruta!L2000)),DePara_Cidade!$A$2:$A$29,DePara_Cidade!$B$2:$B$29,"REVISAR"))</f>
        <v>Belo Horizonte</v>
      </c>
      <c r="N2000" s="4" t="str">
        <f aca="false">IF($A2000="","",UPPER(TRIM(Base_Bruta!M2000)))</f>
        <v>MG</v>
      </c>
      <c r="O2000" s="4" t="str">
        <f aca="false">IF($A2000="","",_xlfn.XLOOKUP(LOWER(TRIM(Base_Bruta!N2000)),DePara_Pais!$A$2:$A$9,DePara_Pais!$B$2:$B$9,"REVISAR"))</f>
        <v>Brasil</v>
      </c>
      <c r="P2000" s="4" t="str">
        <f aca="false">IF($A2000="","",IF(O2000&lt;&gt;"Brasil","Turista Internacional",IF(M2000=F2000,"Local","Turista Nacional")))</f>
        <v>Local</v>
      </c>
      <c r="Q2000" s="7" t="n">
        <f aca="false">IF($A2000="","",DATE(YEAR(B2000),MONTH(B2000),1))</f>
        <v>46054</v>
      </c>
      <c r="R2000" s="4" t="str">
        <f aca="false">IF($A2000="","",IF(COUNTIF($A$2:$A2000,$A2000)&gt;1,"Sim","Não"))</f>
        <v>Não</v>
      </c>
      <c r="S2000" s="4" t="str">
        <f aca="false">IF(A2000="","Descartar - Linha vazia",IF(R2000="Sim","Descartar - Duplicado",IF(OR(H2000&lt;=0,I2000&lt;=0),"Descartar - Qtd/Valor inválido","OK")))</f>
        <v>OK</v>
      </c>
      <c r="T2000" s="4" t="str">
        <f aca="false">Base_Bruta!P2000</f>
        <v>vendas_MG.csv</v>
      </c>
    </row>
    <row r="2001" customFormat="false" ht="15" hidden="false" customHeight="false" outlineLevel="0" collapsed="false">
      <c r="A2001" s="4" t="str">
        <f aca="false">IF(Base_Bruta!A2001="","",Base_Bruta!A2001)</f>
        <v>MG-000285</v>
      </c>
      <c r="B2001" s="5" t="n">
        <f aca="false">IF($A2001="","",IF(ISNUMBER(Base_Bruta!B2001),Base_Bruta!B2001,IF(MID(Base_Bruta!B2001,5,1)="-",DATE(VALUE(LEFT(Base_Bruta!B2001,4)),VALUE(MID(Base_Bruta!B2001,6,2)),VALUE(RIGHT(Base_Bruta!B2001,2))),DATE(VALUE(RIGHT(Base_Bruta!B2001,4)),VALUE(MID(Base_Bruta!B2001,4,2)),VALUE(LEFT(Base_Bruta!B2001,2))))))</f>
        <v>46064</v>
      </c>
      <c r="C2001" s="5" t="n">
        <f aca="false">IF($A2001="","",IF(ISNUMBER(Base_Bruta!C2001),Base_Bruta!C2001,IF(MID(Base_Bruta!C2001,5,1)="-",DATE(VALUE(LEFT(Base_Bruta!C2001,4)),VALUE(MID(Base_Bruta!C2001,6,2)),VALUE(RIGHT(Base_Bruta!C2001,2))),DATE(VALUE(RIGHT(Base_Bruta!C2001,4)),VALUE(MID(Base_Bruta!C2001,4,2)),VALUE(LEFT(Base_Bruta!C2001,2))))))</f>
        <v>46081</v>
      </c>
      <c r="D2001" s="4" t="str">
        <f aca="false">IF($A2001="","",TRIM(Base_Bruta!D2001))</f>
        <v>Show Sertanejo - BH</v>
      </c>
      <c r="E2001" s="4" t="str">
        <f aca="false">IF($A2001="","",_xlfn.XLOOKUP(LOWER(TRIM(Base_Bruta!E2001)),DePara_Categoria!$A$2:$A$9,DePara_Categoria!$B$2:$B$9,"REVISAR"))</f>
        <v>Show</v>
      </c>
      <c r="F2001" s="4" t="str">
        <f aca="false">IF($A2001="","",_xlfn.XLOOKUP(LOWER(TRIM(Base_Bruta!F2001)),DePara_Cidade!$A$2:$A$29,DePara_Cidade!$B$2:$B$29,"REVISAR"))</f>
        <v>Belo Horizonte</v>
      </c>
      <c r="G2001" s="4" t="str">
        <f aca="false">IF($A2001="","",TRIM(Base_Bruta!G2001))</f>
        <v>Inteira</v>
      </c>
      <c r="H2001" s="4" t="n">
        <f aca="false">IF($A2001="","",IF(ISNUMBER(Base_Bruta!H2001),Base_Bruta!H2001,IFERROR(_xlfn.NUMBERVALUE(TRIM(SUBSTITUTE(Base_Bruta!H2001,"R$","")),",","."),0)))</f>
        <v>2</v>
      </c>
      <c r="I2001" s="6" t="n">
        <f aca="false">IF($A2001="","",IF(ISNUMBER(Base_Bruta!I2001),Base_Bruta!I2001,IFERROR(_xlfn.NUMBERVALUE(TRIM(SUBSTITUTE(Base_Bruta!I2001,"R$","")),",","."),0)))</f>
        <v>360</v>
      </c>
      <c r="J2001" s="6" t="n">
        <f aca="false">IF($A2001="","",H2001*I2001)</f>
        <v>720</v>
      </c>
      <c r="K2001" s="4" t="str">
        <f aca="false">IF($A2001="","",TRIM(Base_Bruta!J2001))</f>
        <v>Site</v>
      </c>
      <c r="L2001" s="4" t="str">
        <f aca="false">IF($A2001="","",TRIM(Base_Bruta!K2001))</f>
        <v>C01358</v>
      </c>
      <c r="M2001" s="4" t="str">
        <f aca="false">IF($A2001="","",_xlfn.XLOOKUP(LOWER(TRIM(Base_Bruta!L2001)),DePara_Cidade!$A$2:$A$29,DePara_Cidade!$B$2:$B$29,"REVISAR"))</f>
        <v>Belo Horizonte</v>
      </c>
      <c r="N2001" s="4" t="str">
        <f aca="false">IF($A2001="","",UPPER(TRIM(Base_Bruta!M2001)))</f>
        <v>MG</v>
      </c>
      <c r="O2001" s="4" t="str">
        <f aca="false">IF($A2001="","",_xlfn.XLOOKUP(LOWER(TRIM(Base_Bruta!N2001)),DePara_Pais!$A$2:$A$9,DePara_Pais!$B$2:$B$9,"REVISAR"))</f>
        <v>Brasil</v>
      </c>
      <c r="P2001" s="4" t="str">
        <f aca="false">IF($A2001="","",IF(O2001&lt;&gt;"Brasil","Turista Internacional",IF(M2001=F2001,"Local","Turista Nacional")))</f>
        <v>Local</v>
      </c>
      <c r="Q2001" s="7" t="n">
        <f aca="false">IF($A2001="","",DATE(YEAR(B2001),MONTH(B2001),1))</f>
        <v>46054</v>
      </c>
      <c r="R2001" s="4" t="str">
        <f aca="false">IF($A2001="","",IF(COUNTIF($A$2:$A2001,$A2001)&gt;1,"Sim","Não"))</f>
        <v>Não</v>
      </c>
      <c r="S2001" s="4" t="str">
        <f aca="false">IF(A2001="","Descartar - Linha vazia",IF(R2001="Sim","Descartar - Duplicado",IF(OR(H2001&lt;=0,I2001&lt;=0),"Descartar - Qtd/Valor inválido","OK")))</f>
        <v>OK</v>
      </c>
      <c r="T2001" s="4" t="str">
        <f aca="false">Base_Bruta!P2001</f>
        <v>vendas_MG.csv</v>
      </c>
    </row>
    <row r="2002" customFormat="false" ht="15" hidden="false" customHeight="false" outlineLevel="0" collapsed="false">
      <c r="A2002" s="4" t="str">
        <f aca="false">IF(Base_Bruta!A2002="","",Base_Bruta!A2002)</f>
        <v>MG-000257</v>
      </c>
      <c r="B2002" s="5" t="n">
        <f aca="false">IF($A2002="","",IF(ISNUMBER(Base_Bruta!B2002),Base_Bruta!B2002,IF(MID(Base_Bruta!B2002,5,1)="-",DATE(VALUE(LEFT(Base_Bruta!B2002,4)),VALUE(MID(Base_Bruta!B2002,6,2)),VALUE(RIGHT(Base_Bruta!B2002,2))),DATE(VALUE(RIGHT(Base_Bruta!B2002,4)),VALUE(MID(Base_Bruta!B2002,4,2)),VALUE(LEFT(Base_Bruta!B2002,2))))))</f>
        <v>46065</v>
      </c>
      <c r="C2002" s="5" t="n">
        <f aca="false">IF($A2002="","",IF(ISNUMBER(Base_Bruta!C2002),Base_Bruta!C2002,IF(MID(Base_Bruta!C2002,5,1)="-",DATE(VALUE(LEFT(Base_Bruta!C2002,4)),VALUE(MID(Base_Bruta!C2002,6,2)),VALUE(RIGHT(Base_Bruta!C2002,2))),DATE(VALUE(RIGHT(Base_Bruta!C2002,4)),VALUE(MID(Base_Bruta!C2002,4,2)),VALUE(LEFT(Base_Bruta!C2002,2))))))</f>
        <v>46081</v>
      </c>
      <c r="D2002" s="4" t="str">
        <f aca="false">IF($A2002="","",TRIM(Base_Bruta!D2002))</f>
        <v>Show Sertanejo - BH</v>
      </c>
      <c r="E2002" s="4" t="str">
        <f aca="false">IF($A2002="","",_xlfn.XLOOKUP(LOWER(TRIM(Base_Bruta!E2002)),DePara_Categoria!$A$2:$A$9,DePara_Categoria!$B$2:$B$9,"REVISAR"))</f>
        <v>Show</v>
      </c>
      <c r="F2002" s="4" t="str">
        <f aca="false">IF($A2002="","",_xlfn.XLOOKUP(LOWER(TRIM(Base_Bruta!F2002)),DePara_Cidade!$A$2:$A$29,DePara_Cidade!$B$2:$B$29,"REVISAR"))</f>
        <v>Belo Horizonte</v>
      </c>
      <c r="G2002" s="4" t="str">
        <f aca="false">IF($A2002="","",TRIM(Base_Bruta!G2002))</f>
        <v>Inteira</v>
      </c>
      <c r="H2002" s="4" t="n">
        <f aca="false">IF($A2002="","",IF(ISNUMBER(Base_Bruta!H2002),Base_Bruta!H2002,IFERROR(_xlfn.NUMBERVALUE(TRIM(SUBSTITUTE(Base_Bruta!H2002,"R$","")),",","."),0)))</f>
        <v>2</v>
      </c>
      <c r="I2002" s="6" t="n">
        <f aca="false">IF($A2002="","",IF(ISNUMBER(Base_Bruta!I2002),Base_Bruta!I2002,IFERROR(_xlfn.NUMBERVALUE(TRIM(SUBSTITUTE(Base_Bruta!I2002,"R$","")),",","."),0)))</f>
        <v>510</v>
      </c>
      <c r="J2002" s="6" t="n">
        <f aca="false">IF($A2002="","",H2002*I2002)</f>
        <v>1020</v>
      </c>
      <c r="K2002" s="4" t="str">
        <f aca="false">IF($A2002="","",TRIM(Base_Bruta!J2002))</f>
        <v>Site</v>
      </c>
      <c r="L2002" s="4" t="str">
        <f aca="false">IF($A2002="","",TRIM(Base_Bruta!K2002))</f>
        <v>C02146</v>
      </c>
      <c r="M2002" s="4" t="str">
        <f aca="false">IF($A2002="","",_xlfn.XLOOKUP(LOWER(TRIM(Base_Bruta!L2002)),DePara_Cidade!$A$2:$A$29,DePara_Cidade!$B$2:$B$29,"REVISAR"))</f>
        <v>Belo Horizonte</v>
      </c>
      <c r="N2002" s="4" t="str">
        <f aca="false">IF($A2002="","",UPPER(TRIM(Base_Bruta!M2002)))</f>
        <v>MG</v>
      </c>
      <c r="O2002" s="4" t="str">
        <f aca="false">IF($A2002="","",_xlfn.XLOOKUP(LOWER(TRIM(Base_Bruta!N2002)),DePara_Pais!$A$2:$A$9,DePara_Pais!$B$2:$B$9,"REVISAR"))</f>
        <v>Brasil</v>
      </c>
      <c r="P2002" s="4" t="str">
        <f aca="false">IF($A2002="","",IF(O2002&lt;&gt;"Brasil","Turista Internacional",IF(M2002=F2002,"Local","Turista Nacional")))</f>
        <v>Local</v>
      </c>
      <c r="Q2002" s="7" t="n">
        <f aca="false">IF($A2002="","",DATE(YEAR(B2002),MONTH(B2002),1))</f>
        <v>46054</v>
      </c>
      <c r="R2002" s="4" t="str">
        <f aca="false">IF($A2002="","",IF(COUNTIF($A$2:$A2002,$A2002)&gt;1,"Sim","Não"))</f>
        <v>Não</v>
      </c>
      <c r="S2002" s="4" t="str">
        <f aca="false">IF(A2002="","Descartar - Linha vazia",IF(R2002="Sim","Descartar - Duplicado",IF(OR(H2002&lt;=0,I2002&lt;=0),"Descartar - Qtd/Valor inválido","OK")))</f>
        <v>OK</v>
      </c>
      <c r="T2002" s="4" t="str">
        <f aca="false">Base_Bruta!P2002</f>
        <v>vendas_MG.csv</v>
      </c>
    </row>
    <row r="2003" customFormat="false" ht="15" hidden="false" customHeight="false" outlineLevel="0" collapsed="false">
      <c r="A2003" s="4" t="str">
        <f aca="false">IF(Base_Bruta!A2003="","",Base_Bruta!A2003)</f>
        <v>MG-000243</v>
      </c>
      <c r="B2003" s="5" t="n">
        <f aca="false">IF($A2003="","",IF(ISNUMBER(Base_Bruta!B2003),Base_Bruta!B2003,IF(MID(Base_Bruta!B2003,5,1)="-",DATE(VALUE(LEFT(Base_Bruta!B2003,4)),VALUE(MID(Base_Bruta!B2003,6,2)),VALUE(RIGHT(Base_Bruta!B2003,2))),DATE(VALUE(RIGHT(Base_Bruta!B2003,4)),VALUE(MID(Base_Bruta!B2003,4,2)),VALUE(LEFT(Base_Bruta!B2003,2))))))</f>
        <v>46066</v>
      </c>
      <c r="C2003" s="5" t="n">
        <f aca="false">IF($A2003="","",IF(ISNUMBER(Base_Bruta!C2003),Base_Bruta!C2003,IF(MID(Base_Bruta!C2003,5,1)="-",DATE(VALUE(LEFT(Base_Bruta!C2003,4)),VALUE(MID(Base_Bruta!C2003,6,2)),VALUE(RIGHT(Base_Bruta!C2003,2))),DATE(VALUE(RIGHT(Base_Bruta!C2003,4)),VALUE(MID(Base_Bruta!C2003,4,2)),VALUE(LEFT(Base_Bruta!C2003,2))))))</f>
        <v>46081</v>
      </c>
      <c r="D2003" s="4" t="str">
        <f aca="false">IF($A2003="","",TRIM(Base_Bruta!D2003))</f>
        <v>Show Sertanejo - BH</v>
      </c>
      <c r="E2003" s="4" t="str">
        <f aca="false">IF($A2003="","",_xlfn.XLOOKUP(LOWER(TRIM(Base_Bruta!E2003)),DePara_Categoria!$A$2:$A$9,DePara_Categoria!$B$2:$B$9,"REVISAR"))</f>
        <v>Show</v>
      </c>
      <c r="F2003" s="4" t="str">
        <f aca="false">IF($A2003="","",_xlfn.XLOOKUP(LOWER(TRIM(Base_Bruta!F2003)),DePara_Cidade!$A$2:$A$29,DePara_Cidade!$B$2:$B$29,"REVISAR"))</f>
        <v>Belo Horizonte</v>
      </c>
      <c r="G2003" s="4" t="str">
        <f aca="false">IF($A2003="","",TRIM(Base_Bruta!G2003))</f>
        <v>Inteira</v>
      </c>
      <c r="H2003" s="4" t="n">
        <f aca="false">IF($A2003="","",IF(ISNUMBER(Base_Bruta!H2003),Base_Bruta!H2003,IFERROR(_xlfn.NUMBERVALUE(TRIM(SUBSTITUTE(Base_Bruta!H2003,"R$","")),",","."),0)))</f>
        <v>2</v>
      </c>
      <c r="I2003" s="6" t="n">
        <f aca="false">IF($A2003="","",IF(ISNUMBER(Base_Bruta!I2003),Base_Bruta!I2003,IFERROR(_xlfn.NUMBERVALUE(TRIM(SUBSTITUTE(Base_Bruta!I2003,"R$","")),",","."),0)))</f>
        <v>475</v>
      </c>
      <c r="J2003" s="6" t="n">
        <f aca="false">IF($A2003="","",H2003*I2003)</f>
        <v>950</v>
      </c>
      <c r="K2003" s="4" t="str">
        <f aca="false">IF($A2003="","",TRIM(Base_Bruta!J2003))</f>
        <v>Parceiro</v>
      </c>
      <c r="L2003" s="4" t="str">
        <f aca="false">IF($A2003="","",TRIM(Base_Bruta!K2003))</f>
        <v>C00366</v>
      </c>
      <c r="M2003" s="4" t="str">
        <f aca="false">IF($A2003="","",_xlfn.XLOOKUP(LOWER(TRIM(Base_Bruta!L2003)),DePara_Cidade!$A$2:$A$29,DePara_Cidade!$B$2:$B$29,"REVISAR"))</f>
        <v>Curitiba</v>
      </c>
      <c r="N2003" s="4" t="str">
        <f aca="false">IF($A2003="","",UPPER(TRIM(Base_Bruta!M2003)))</f>
        <v>PR</v>
      </c>
      <c r="O2003" s="4" t="str">
        <f aca="false">IF($A2003="","",_xlfn.XLOOKUP(LOWER(TRIM(Base_Bruta!N2003)),DePara_Pais!$A$2:$A$9,DePara_Pais!$B$2:$B$9,"REVISAR"))</f>
        <v>Brasil</v>
      </c>
      <c r="P2003" s="4" t="str">
        <f aca="false">IF($A2003="","",IF(O2003&lt;&gt;"Brasil","Turista Internacional",IF(M2003=F2003,"Local","Turista Nacional")))</f>
        <v>Turista Nacional</v>
      </c>
      <c r="Q2003" s="7" t="n">
        <f aca="false">IF($A2003="","",DATE(YEAR(B2003),MONTH(B2003),1))</f>
        <v>46054</v>
      </c>
      <c r="R2003" s="4" t="str">
        <f aca="false">IF($A2003="","",IF(COUNTIF($A$2:$A2003,$A2003)&gt;1,"Sim","Não"))</f>
        <v>Não</v>
      </c>
      <c r="S2003" s="4" t="str">
        <f aca="false">IF(A2003="","Descartar - Linha vazia",IF(R2003="Sim","Descartar - Duplicado",IF(OR(H2003&lt;=0,I2003&lt;=0),"Descartar - Qtd/Valor inválido","OK")))</f>
        <v>OK</v>
      </c>
      <c r="T2003" s="4" t="str">
        <f aca="false">Base_Bruta!P2003</f>
        <v>vendas_MG.csv</v>
      </c>
    </row>
    <row r="2004" customFormat="false" ht="15" hidden="false" customHeight="false" outlineLevel="0" collapsed="false">
      <c r="A2004" s="4" t="str">
        <f aca="false">IF(Base_Bruta!A2004="","",Base_Bruta!A2004)</f>
        <v>MG-000274</v>
      </c>
      <c r="B2004" s="5" t="n">
        <f aca="false">IF($A2004="","",IF(ISNUMBER(Base_Bruta!B2004),Base_Bruta!B2004,IF(MID(Base_Bruta!B2004,5,1)="-",DATE(VALUE(LEFT(Base_Bruta!B2004,4)),VALUE(MID(Base_Bruta!B2004,6,2)),VALUE(RIGHT(Base_Bruta!B2004,2))),DATE(VALUE(RIGHT(Base_Bruta!B2004,4)),VALUE(MID(Base_Bruta!B2004,4,2)),VALUE(LEFT(Base_Bruta!B2004,2))))))</f>
        <v>46066</v>
      </c>
      <c r="C2004" s="5" t="n">
        <f aca="false">IF($A2004="","",IF(ISNUMBER(Base_Bruta!C2004),Base_Bruta!C2004,IF(MID(Base_Bruta!C2004,5,1)="-",DATE(VALUE(LEFT(Base_Bruta!C2004,4)),VALUE(MID(Base_Bruta!C2004,6,2)),VALUE(RIGHT(Base_Bruta!C2004,2))),DATE(VALUE(RIGHT(Base_Bruta!C2004,4)),VALUE(MID(Base_Bruta!C2004,4,2)),VALUE(LEFT(Base_Bruta!C2004,2))))))</f>
        <v>46081</v>
      </c>
      <c r="D2004" s="4" t="str">
        <f aca="false">IF($A2004="","",TRIM(Base_Bruta!D2004))</f>
        <v>Show Sertanejo - BH</v>
      </c>
      <c r="E2004" s="4" t="str">
        <f aca="false">IF($A2004="","",_xlfn.XLOOKUP(LOWER(TRIM(Base_Bruta!E2004)),DePara_Categoria!$A$2:$A$9,DePara_Categoria!$B$2:$B$9,"REVISAR"))</f>
        <v>Show</v>
      </c>
      <c r="F2004" s="4" t="str">
        <f aca="false">IF($A2004="","",_xlfn.XLOOKUP(LOWER(TRIM(Base_Bruta!F2004)),DePara_Cidade!$A$2:$A$29,DePara_Cidade!$B$2:$B$29,"REVISAR"))</f>
        <v>Belo Horizonte</v>
      </c>
      <c r="G2004" s="4" t="str">
        <f aca="false">IF($A2004="","",TRIM(Base_Bruta!G2004))</f>
        <v>Inteira</v>
      </c>
      <c r="H2004" s="4" t="n">
        <f aca="false">IF($A2004="","",IF(ISNUMBER(Base_Bruta!H2004),Base_Bruta!H2004,IFERROR(_xlfn.NUMBERVALUE(TRIM(SUBSTITUTE(Base_Bruta!H2004,"R$","")),",","."),0)))</f>
        <v>2</v>
      </c>
      <c r="I2004" s="6" t="n">
        <f aca="false">IF($A2004="","",IF(ISNUMBER(Base_Bruta!I2004),Base_Bruta!I2004,IFERROR(_xlfn.NUMBERVALUE(TRIM(SUBSTITUTE(Base_Bruta!I2004,"R$","")),",","."),0)))</f>
        <v>380</v>
      </c>
      <c r="J2004" s="6" t="n">
        <f aca="false">IF($A2004="","",H2004*I2004)</f>
        <v>760</v>
      </c>
      <c r="K2004" s="4" t="str">
        <f aca="false">IF($A2004="","",TRIM(Base_Bruta!J2004))</f>
        <v>Site</v>
      </c>
      <c r="L2004" s="4" t="str">
        <f aca="false">IF($A2004="","",TRIM(Base_Bruta!K2004))</f>
        <v>C00674</v>
      </c>
      <c r="M2004" s="4" t="str">
        <f aca="false">IF($A2004="","",_xlfn.XLOOKUP(LOWER(TRIM(Base_Bruta!L2004)),DePara_Cidade!$A$2:$A$29,DePara_Cidade!$B$2:$B$29,"REVISAR"))</f>
        <v>Goiânia</v>
      </c>
      <c r="N2004" s="4" t="str">
        <f aca="false">IF($A2004="","",UPPER(TRIM(Base_Bruta!M2004)))</f>
        <v>GO</v>
      </c>
      <c r="O2004" s="4" t="str">
        <f aca="false">IF($A2004="","",_xlfn.XLOOKUP(LOWER(TRIM(Base_Bruta!N2004)),DePara_Pais!$A$2:$A$9,DePara_Pais!$B$2:$B$9,"REVISAR"))</f>
        <v>Brasil</v>
      </c>
      <c r="P2004" s="4" t="str">
        <f aca="false">IF($A2004="","",IF(O2004&lt;&gt;"Brasil","Turista Internacional",IF(M2004=F2004,"Local","Turista Nacional")))</f>
        <v>Turista Nacional</v>
      </c>
      <c r="Q2004" s="7" t="n">
        <f aca="false">IF($A2004="","",DATE(YEAR(B2004),MONTH(B2004),1))</f>
        <v>46054</v>
      </c>
      <c r="R2004" s="4" t="str">
        <f aca="false">IF($A2004="","",IF(COUNTIF($A$2:$A2004,$A2004)&gt;1,"Sim","Não"))</f>
        <v>Não</v>
      </c>
      <c r="S2004" s="4" t="str">
        <f aca="false">IF(A2004="","Descartar - Linha vazia",IF(R2004="Sim","Descartar - Duplicado",IF(OR(H2004&lt;=0,I2004&lt;=0),"Descartar - Qtd/Valor inválido","OK")))</f>
        <v>OK</v>
      </c>
      <c r="T2004" s="4" t="str">
        <f aca="false">Base_Bruta!P2004</f>
        <v>vendas_MG.csv</v>
      </c>
    </row>
    <row r="2005" customFormat="false" ht="15" hidden="false" customHeight="false" outlineLevel="0" collapsed="false">
      <c r="A2005" s="4" t="str">
        <f aca="false">IF(Base_Bruta!A2005="","",Base_Bruta!A2005)</f>
        <v>MG-000331</v>
      </c>
      <c r="B2005" s="5" t="n">
        <f aca="false">IF($A2005="","",IF(ISNUMBER(Base_Bruta!B2005),Base_Bruta!B2005,IF(MID(Base_Bruta!B2005,5,1)="-",DATE(VALUE(LEFT(Base_Bruta!B2005,4)),VALUE(MID(Base_Bruta!B2005,6,2)),VALUE(RIGHT(Base_Bruta!B2005,2))),DATE(VALUE(RIGHT(Base_Bruta!B2005,4)),VALUE(MID(Base_Bruta!B2005,4,2)),VALUE(LEFT(Base_Bruta!B2005,2))))))</f>
        <v>46067</v>
      </c>
      <c r="C2005" s="5" t="n">
        <f aca="false">IF($A2005="","",IF(ISNUMBER(Base_Bruta!C2005),Base_Bruta!C2005,IF(MID(Base_Bruta!C2005,5,1)="-",DATE(VALUE(LEFT(Base_Bruta!C2005,4)),VALUE(MID(Base_Bruta!C2005,6,2)),VALUE(RIGHT(Base_Bruta!C2005,2))),DATE(VALUE(RIGHT(Base_Bruta!C2005,4)),VALUE(MID(Base_Bruta!C2005,4,2)),VALUE(LEFT(Base_Bruta!C2005,2))))))</f>
        <v>46081</v>
      </c>
      <c r="D2005" s="4" t="str">
        <f aca="false">IF($A2005="","",TRIM(Base_Bruta!D2005))</f>
        <v>Show Sertanejo - BH</v>
      </c>
      <c r="E2005" s="4" t="str">
        <f aca="false">IF($A2005="","",_xlfn.XLOOKUP(LOWER(TRIM(Base_Bruta!E2005)),DePara_Categoria!$A$2:$A$9,DePara_Categoria!$B$2:$B$9,"REVISAR"))</f>
        <v>Show</v>
      </c>
      <c r="F2005" s="4" t="str">
        <f aca="false">IF($A2005="","",_xlfn.XLOOKUP(LOWER(TRIM(Base_Bruta!F2005)),DePara_Cidade!$A$2:$A$29,DePara_Cidade!$B$2:$B$29,"REVISAR"))</f>
        <v>Belo Horizonte</v>
      </c>
      <c r="G2005" s="4" t="str">
        <f aca="false">IF($A2005="","",TRIM(Base_Bruta!G2005))</f>
        <v>Inteira</v>
      </c>
      <c r="H2005" s="4" t="n">
        <f aca="false">IF($A2005="","",IF(ISNUMBER(Base_Bruta!H2005),Base_Bruta!H2005,IFERROR(_xlfn.NUMBERVALUE(TRIM(SUBSTITUTE(Base_Bruta!H2005,"R$","")),",","."),0)))</f>
        <v>2</v>
      </c>
      <c r="I2005" s="6" t="n">
        <f aca="false">IF($A2005="","",IF(ISNUMBER(Base_Bruta!I2005),Base_Bruta!I2005,IFERROR(_xlfn.NUMBERVALUE(TRIM(SUBSTITUTE(Base_Bruta!I2005,"R$","")),",","."),0)))</f>
        <v>565</v>
      </c>
      <c r="J2005" s="6" t="n">
        <f aca="false">IF($A2005="","",H2005*I2005)</f>
        <v>1130</v>
      </c>
      <c r="K2005" s="4" t="str">
        <f aca="false">IF($A2005="","",TRIM(Base_Bruta!J2005))</f>
        <v>App</v>
      </c>
      <c r="L2005" s="4" t="str">
        <f aca="false">IF($A2005="","",TRIM(Base_Bruta!K2005))</f>
        <v>C00732</v>
      </c>
      <c r="M2005" s="4" t="str">
        <f aca="false">IF($A2005="","",_xlfn.XLOOKUP(LOWER(TRIM(Base_Bruta!L2005)),DePara_Cidade!$A$2:$A$29,DePara_Cidade!$B$2:$B$29,"REVISAR"))</f>
        <v>Salvador</v>
      </c>
      <c r="N2005" s="4" t="str">
        <f aca="false">IF($A2005="","",UPPER(TRIM(Base_Bruta!M2005)))</f>
        <v>BA</v>
      </c>
      <c r="O2005" s="4" t="str">
        <f aca="false">IF($A2005="","",_xlfn.XLOOKUP(LOWER(TRIM(Base_Bruta!N2005)),DePara_Pais!$A$2:$A$9,DePara_Pais!$B$2:$B$9,"REVISAR"))</f>
        <v>Brasil</v>
      </c>
      <c r="P2005" s="4" t="str">
        <f aca="false">IF($A2005="","",IF(O2005&lt;&gt;"Brasil","Turista Internacional",IF(M2005=F2005,"Local","Turista Nacional")))</f>
        <v>Turista Nacional</v>
      </c>
      <c r="Q2005" s="7" t="n">
        <f aca="false">IF($A2005="","",DATE(YEAR(B2005),MONTH(B2005),1))</f>
        <v>46054</v>
      </c>
      <c r="R2005" s="4" t="str">
        <f aca="false">IF($A2005="","",IF(COUNTIF($A$2:$A2005,$A2005)&gt;1,"Sim","Não"))</f>
        <v>Não</v>
      </c>
      <c r="S2005" s="4" t="str">
        <f aca="false">IF(A2005="","Descartar - Linha vazia",IF(R2005="Sim","Descartar - Duplicado",IF(OR(H2005&lt;=0,I2005&lt;=0),"Descartar - Qtd/Valor inválido","OK")))</f>
        <v>OK</v>
      </c>
      <c r="T2005" s="4" t="str">
        <f aca="false">Base_Bruta!P2005</f>
        <v>vendas_MG.csv</v>
      </c>
    </row>
    <row r="2006" customFormat="false" ht="15" hidden="false" customHeight="false" outlineLevel="0" collapsed="false">
      <c r="A2006" s="4" t="str">
        <f aca="false">IF(Base_Bruta!A2006="","",Base_Bruta!A2006)</f>
        <v>MG-000459</v>
      </c>
      <c r="B2006" s="5" t="n">
        <f aca="false">IF($A2006="","",IF(ISNUMBER(Base_Bruta!B2006),Base_Bruta!B2006,IF(MID(Base_Bruta!B2006,5,1)="-",DATE(VALUE(LEFT(Base_Bruta!B2006,4)),VALUE(MID(Base_Bruta!B2006,6,2)),VALUE(RIGHT(Base_Bruta!B2006,2))),DATE(VALUE(RIGHT(Base_Bruta!B2006,4)),VALUE(MID(Base_Bruta!B2006,4,2)),VALUE(LEFT(Base_Bruta!B2006,2))))))</f>
        <v>46070</v>
      </c>
      <c r="C2006" s="5" t="n">
        <f aca="false">IF($A2006="","",IF(ISNUMBER(Base_Bruta!C2006),Base_Bruta!C2006,IF(MID(Base_Bruta!C2006,5,1)="-",DATE(VALUE(LEFT(Base_Bruta!C2006,4)),VALUE(MID(Base_Bruta!C2006,6,2)),VALUE(RIGHT(Base_Bruta!C2006,2))),DATE(VALUE(RIGHT(Base_Bruta!C2006,4)),VALUE(MID(Base_Bruta!C2006,4,2)),VALUE(LEFT(Base_Bruta!C2006,2))))))</f>
        <v>46073</v>
      </c>
      <c r="D2006" s="4" t="str">
        <f aca="false">IF($A2006="","",TRIM(Base_Bruta!D2006))</f>
        <v>Cinema Savassi - Sessões</v>
      </c>
      <c r="E2006" s="4" t="str">
        <f aca="false">IF($A2006="","",_xlfn.XLOOKUP(LOWER(TRIM(Base_Bruta!E2006)),DePara_Categoria!$A$2:$A$9,DePara_Categoria!$B$2:$B$9,"REVISAR"))</f>
        <v>Cinema</v>
      </c>
      <c r="F2006" s="4" t="str">
        <f aca="false">IF($A2006="","",_xlfn.XLOOKUP(LOWER(TRIM(Base_Bruta!F2006)),DePara_Cidade!$A$2:$A$29,DePara_Cidade!$B$2:$B$29,"REVISAR"))</f>
        <v>Belo Horizonte</v>
      </c>
      <c r="G2006" s="4" t="str">
        <f aca="false">IF($A2006="","",TRIM(Base_Bruta!G2006))</f>
        <v>Meia</v>
      </c>
      <c r="H2006" s="4" t="n">
        <f aca="false">IF($A2006="","",IF(ISNUMBER(Base_Bruta!H2006),Base_Bruta!H2006,IFERROR(_xlfn.NUMBERVALUE(TRIM(SUBSTITUTE(Base_Bruta!H2006,"R$","")),",","."),0)))</f>
        <v>2</v>
      </c>
      <c r="I2006" s="6" t="n">
        <f aca="false">IF($A2006="","",IF(ISNUMBER(Base_Bruta!I2006),Base_Bruta!I2006,IFERROR(_xlfn.NUMBERVALUE(TRIM(SUBSTITUTE(Base_Bruta!I2006,"R$","")),",","."),0)))</f>
        <v>0</v>
      </c>
      <c r="J2006" s="6" t="n">
        <f aca="false">IF($A2006="","",H2006*I2006)</f>
        <v>0</v>
      </c>
      <c r="K2006" s="4" t="str">
        <f aca="false">IF($A2006="","",TRIM(Base_Bruta!J2006))</f>
        <v>Parceiro</v>
      </c>
      <c r="L2006" s="4" t="str">
        <f aca="false">IF($A2006="","",TRIM(Base_Bruta!K2006))</f>
        <v>C01164</v>
      </c>
      <c r="M2006" s="4" t="str">
        <f aca="false">IF($A2006="","",_xlfn.XLOOKUP(LOWER(TRIM(Base_Bruta!L2006)),DePara_Cidade!$A$2:$A$29,DePara_Cidade!$B$2:$B$29,"REVISAR"))</f>
        <v>Belo Horizonte</v>
      </c>
      <c r="N2006" s="4" t="str">
        <f aca="false">IF($A2006="","",UPPER(TRIM(Base_Bruta!M2006)))</f>
        <v>MG</v>
      </c>
      <c r="O2006" s="4" t="str">
        <f aca="false">IF($A2006="","",_xlfn.XLOOKUP(LOWER(TRIM(Base_Bruta!N2006)),DePara_Pais!$A$2:$A$9,DePara_Pais!$B$2:$B$9,"REVISAR"))</f>
        <v>Brasil</v>
      </c>
      <c r="P2006" s="4" t="str">
        <f aca="false">IF($A2006="","",IF(O2006&lt;&gt;"Brasil","Turista Internacional",IF(M2006=F2006,"Local","Turista Nacional")))</f>
        <v>Local</v>
      </c>
      <c r="Q2006" s="7" t="n">
        <f aca="false">IF($A2006="","",DATE(YEAR(B2006),MONTH(B2006),1))</f>
        <v>46054</v>
      </c>
      <c r="R2006" s="4" t="str">
        <f aca="false">IF($A2006="","",IF(COUNTIF($A$2:$A2006,$A2006)&gt;1,"Sim","Não"))</f>
        <v>Não</v>
      </c>
      <c r="S2006" s="4" t="str">
        <f aca="false">IF(A2006="","Descartar - Linha vazia",IF(R2006="Sim","Descartar - Duplicado",IF(OR(H2006&lt;=0,I2006&lt;=0),"Descartar - Qtd/Valor inválido","OK")))</f>
        <v>Descartar - Qtd/Valor inválido</v>
      </c>
      <c r="T2006" s="4" t="str">
        <f aca="false">Base_Bruta!P2006</f>
        <v>vendas_MG.csv</v>
      </c>
    </row>
    <row r="2007" customFormat="false" ht="15" hidden="false" customHeight="false" outlineLevel="0" collapsed="false">
      <c r="A2007" s="4" t="str">
        <f aca="false">IF(Base_Bruta!A2007="","",Base_Bruta!A2007)</f>
        <v>MG-000463</v>
      </c>
      <c r="B2007" s="5" t="n">
        <f aca="false">IF($A2007="","",IF(ISNUMBER(Base_Bruta!B2007),Base_Bruta!B2007,IF(MID(Base_Bruta!B2007,5,1)="-",DATE(VALUE(LEFT(Base_Bruta!B2007,4)),VALUE(MID(Base_Bruta!B2007,6,2)),VALUE(RIGHT(Base_Bruta!B2007,2))),DATE(VALUE(RIGHT(Base_Bruta!B2007,4)),VALUE(MID(Base_Bruta!B2007,4,2)),VALUE(LEFT(Base_Bruta!B2007,2))))))</f>
        <v>46070</v>
      </c>
      <c r="C2007" s="5" t="n">
        <f aca="false">IF($A2007="","",IF(ISNUMBER(Base_Bruta!C2007),Base_Bruta!C2007,IF(MID(Base_Bruta!C2007,5,1)="-",DATE(VALUE(LEFT(Base_Bruta!C2007,4)),VALUE(MID(Base_Bruta!C2007,6,2)),VALUE(RIGHT(Base_Bruta!C2007,2))),DATE(VALUE(RIGHT(Base_Bruta!C2007,4)),VALUE(MID(Base_Bruta!C2007,4,2)),VALUE(LEFT(Base_Bruta!C2007,2))))))</f>
        <v>46071</v>
      </c>
      <c r="D2007" s="4" t="str">
        <f aca="false">IF($A2007="","",TRIM(Base_Bruta!D2007))</f>
        <v>Cinema Savassi - Sessões</v>
      </c>
      <c r="E2007" s="4" t="str">
        <f aca="false">IF($A2007="","",_xlfn.XLOOKUP(LOWER(TRIM(Base_Bruta!E2007)),DePara_Categoria!$A$2:$A$9,DePara_Categoria!$B$2:$B$9,"REVISAR"))</f>
        <v>Cinema</v>
      </c>
      <c r="F2007" s="4" t="str">
        <f aca="false">IF($A2007="","",_xlfn.XLOOKUP(LOWER(TRIM(Base_Bruta!F2007)),DePara_Cidade!$A$2:$A$29,DePara_Cidade!$B$2:$B$29,"REVISAR"))</f>
        <v>Belo Horizonte</v>
      </c>
      <c r="G2007" s="4" t="str">
        <f aca="false">IF($A2007="","",TRIM(Base_Bruta!G2007))</f>
        <v>Inteira</v>
      </c>
      <c r="H2007" s="4" t="n">
        <f aca="false">IF($A2007="","",IF(ISNUMBER(Base_Bruta!H2007),Base_Bruta!H2007,IFERROR(_xlfn.NUMBERVALUE(TRIM(SUBSTITUTE(Base_Bruta!H2007,"R$","")),",","."),0)))</f>
        <v>3</v>
      </c>
      <c r="I2007" s="6" t="n">
        <f aca="false">IF($A2007="","",IF(ISNUMBER(Base_Bruta!I2007),Base_Bruta!I2007,IFERROR(_xlfn.NUMBERVALUE(TRIM(SUBSTITUTE(Base_Bruta!I2007,"R$","")),",","."),0)))</f>
        <v>40</v>
      </c>
      <c r="J2007" s="6" t="n">
        <f aca="false">IF($A2007="","",H2007*I2007)</f>
        <v>120</v>
      </c>
      <c r="K2007" s="4" t="str">
        <f aca="false">IF($A2007="","",TRIM(Base_Bruta!J2007))</f>
        <v>Bilheteria</v>
      </c>
      <c r="L2007" s="4" t="str">
        <f aca="false">IF($A2007="","",TRIM(Base_Bruta!K2007))</f>
        <v>C01211</v>
      </c>
      <c r="M2007" s="4" t="str">
        <f aca="false">IF($A2007="","",_xlfn.XLOOKUP(LOWER(TRIM(Base_Bruta!L2007)),DePara_Cidade!$A$2:$A$29,DePara_Cidade!$B$2:$B$29,"REVISAR"))</f>
        <v>Belo Horizonte</v>
      </c>
      <c r="N2007" s="4" t="str">
        <f aca="false">IF($A2007="","",UPPER(TRIM(Base_Bruta!M2007)))</f>
        <v>MG</v>
      </c>
      <c r="O2007" s="4" t="str">
        <f aca="false">IF($A2007="","",_xlfn.XLOOKUP(LOWER(TRIM(Base_Bruta!N2007)),DePara_Pais!$A$2:$A$9,DePara_Pais!$B$2:$B$9,"REVISAR"))</f>
        <v>Brasil</v>
      </c>
      <c r="P2007" s="4" t="str">
        <f aca="false">IF($A2007="","",IF(O2007&lt;&gt;"Brasil","Turista Internacional",IF(M2007=F2007,"Local","Turista Nacional")))</f>
        <v>Local</v>
      </c>
      <c r="Q2007" s="7" t="n">
        <f aca="false">IF($A2007="","",DATE(YEAR(B2007),MONTH(B2007),1))</f>
        <v>46054</v>
      </c>
      <c r="R2007" s="4" t="str">
        <f aca="false">IF($A2007="","",IF(COUNTIF($A$2:$A2007,$A2007)&gt;1,"Sim","Não"))</f>
        <v>Não</v>
      </c>
      <c r="S2007" s="4" t="str">
        <f aca="false">IF(A2007="","Descartar - Linha vazia",IF(R2007="Sim","Descartar - Duplicado",IF(OR(H2007&lt;=0,I2007&lt;=0),"Descartar - Qtd/Valor inválido","OK")))</f>
        <v>OK</v>
      </c>
      <c r="T2007" s="4" t="str">
        <f aca="false">Base_Bruta!P2007</f>
        <v>vendas_MG.csv</v>
      </c>
    </row>
    <row r="2008" customFormat="false" ht="15" hidden="false" customHeight="false" outlineLevel="0" collapsed="false">
      <c r="A2008" s="4" t="str">
        <f aca="false">IF(Base_Bruta!A2008="","",Base_Bruta!A2008)</f>
        <v>MG-000235</v>
      </c>
      <c r="B2008" s="5" t="n">
        <f aca="false">IF($A2008="","",IF(ISNUMBER(Base_Bruta!B2008),Base_Bruta!B2008,IF(MID(Base_Bruta!B2008,5,1)="-",DATE(VALUE(LEFT(Base_Bruta!B2008,4)),VALUE(MID(Base_Bruta!B2008,6,2)),VALUE(RIGHT(Base_Bruta!B2008,2))),DATE(VALUE(RIGHT(Base_Bruta!B2008,4)),VALUE(MID(Base_Bruta!B2008,4,2)),VALUE(LEFT(Base_Bruta!B2008,2))))))</f>
        <v>46074</v>
      </c>
      <c r="C2008" s="5" t="n">
        <f aca="false">IF($A2008="","",IF(ISNUMBER(Base_Bruta!C2008),Base_Bruta!C2008,IF(MID(Base_Bruta!C2008,5,1)="-",DATE(VALUE(LEFT(Base_Bruta!C2008,4)),VALUE(MID(Base_Bruta!C2008,6,2)),VALUE(RIGHT(Base_Bruta!C2008,2))),DATE(VALUE(RIGHT(Base_Bruta!C2008,4)),VALUE(MID(Base_Bruta!C2008,4,2)),VALUE(LEFT(Base_Bruta!C2008,2))))))</f>
        <v>46081</v>
      </c>
      <c r="D2008" s="4" t="str">
        <f aca="false">IF($A2008="","",TRIM(Base_Bruta!D2008))</f>
        <v>Show Sertanejo - BH</v>
      </c>
      <c r="E2008" s="4" t="str">
        <f aca="false">IF($A2008="","",_xlfn.XLOOKUP(LOWER(TRIM(Base_Bruta!E2008)),DePara_Categoria!$A$2:$A$9,DePara_Categoria!$B$2:$B$9,"REVISAR"))</f>
        <v>Show</v>
      </c>
      <c r="F2008" s="4" t="str">
        <f aca="false">IF($A2008="","",_xlfn.XLOOKUP(LOWER(TRIM(Base_Bruta!F2008)),DePara_Cidade!$A$2:$A$29,DePara_Cidade!$B$2:$B$29,"REVISAR"))</f>
        <v>Belo Horizonte</v>
      </c>
      <c r="G2008" s="4" t="str">
        <f aca="false">IF($A2008="","",TRIM(Base_Bruta!G2008))</f>
        <v>Meia</v>
      </c>
      <c r="H2008" s="4" t="n">
        <f aca="false">IF($A2008="","",IF(ISNUMBER(Base_Bruta!H2008),Base_Bruta!H2008,IFERROR(_xlfn.NUMBERVALUE(TRIM(SUBSTITUTE(Base_Bruta!H2008,"R$","")),",","."),0)))</f>
        <v>1</v>
      </c>
      <c r="I2008" s="6" t="n">
        <f aca="false">IF($A2008="","",IF(ISNUMBER(Base_Bruta!I2008),Base_Bruta!I2008,IFERROR(_xlfn.NUMBERVALUE(TRIM(SUBSTITUTE(Base_Bruta!I2008,"R$","")),",","."),0)))</f>
        <v>157.5</v>
      </c>
      <c r="J2008" s="6" t="n">
        <f aca="false">IF($A2008="","",H2008*I2008)</f>
        <v>157.5</v>
      </c>
      <c r="K2008" s="4" t="str">
        <f aca="false">IF($A2008="","",TRIM(Base_Bruta!J2008))</f>
        <v>App</v>
      </c>
      <c r="L2008" s="4" t="str">
        <f aca="false">IF($A2008="","",TRIM(Base_Bruta!K2008))</f>
        <v>C01443</v>
      </c>
      <c r="M2008" s="4" t="str">
        <f aca="false">IF($A2008="","",_xlfn.XLOOKUP(LOWER(TRIM(Base_Bruta!L2008)),DePara_Cidade!$A$2:$A$29,DePara_Cidade!$B$2:$B$29,"REVISAR"))</f>
        <v>Belo Horizonte</v>
      </c>
      <c r="N2008" s="4" t="str">
        <f aca="false">IF($A2008="","",UPPER(TRIM(Base_Bruta!M2008)))</f>
        <v>MG</v>
      </c>
      <c r="O2008" s="4" t="str">
        <f aca="false">IF($A2008="","",_xlfn.XLOOKUP(LOWER(TRIM(Base_Bruta!N2008)),DePara_Pais!$A$2:$A$9,DePara_Pais!$B$2:$B$9,"REVISAR"))</f>
        <v>Brasil</v>
      </c>
      <c r="P2008" s="4" t="str">
        <f aca="false">IF($A2008="","",IF(O2008&lt;&gt;"Brasil","Turista Internacional",IF(M2008=F2008,"Local","Turista Nacional")))</f>
        <v>Local</v>
      </c>
      <c r="Q2008" s="7" t="n">
        <f aca="false">IF($A2008="","",DATE(YEAR(B2008),MONTH(B2008),1))</f>
        <v>46054</v>
      </c>
      <c r="R2008" s="4" t="str">
        <f aca="false">IF($A2008="","",IF(COUNTIF($A$2:$A2008,$A2008)&gt;1,"Sim","Não"))</f>
        <v>Não</v>
      </c>
      <c r="S2008" s="4" t="str">
        <f aca="false">IF(A2008="","Descartar - Linha vazia",IF(R2008="Sim","Descartar - Duplicado",IF(OR(H2008&lt;=0,I2008&lt;=0),"Descartar - Qtd/Valor inválido","OK")))</f>
        <v>OK</v>
      </c>
      <c r="T2008" s="4" t="str">
        <f aca="false">Base_Bruta!P2008</f>
        <v>vendas_MG.csv</v>
      </c>
    </row>
    <row r="2009" customFormat="false" ht="15" hidden="false" customHeight="false" outlineLevel="0" collapsed="false">
      <c r="A2009" s="4" t="str">
        <f aca="false">IF(Base_Bruta!A2009="","",Base_Bruta!A2009)</f>
        <v>MG-000255</v>
      </c>
      <c r="B2009" s="5" t="n">
        <f aca="false">IF($A2009="","",IF(ISNUMBER(Base_Bruta!B2009),Base_Bruta!B2009,IF(MID(Base_Bruta!B2009,5,1)="-",DATE(VALUE(LEFT(Base_Bruta!B2009,4)),VALUE(MID(Base_Bruta!B2009,6,2)),VALUE(RIGHT(Base_Bruta!B2009,2))),DATE(VALUE(RIGHT(Base_Bruta!B2009,4)),VALUE(MID(Base_Bruta!B2009,4,2)),VALUE(LEFT(Base_Bruta!B2009,2))))))</f>
        <v>46074</v>
      </c>
      <c r="C2009" s="5" t="n">
        <f aca="false">IF($A2009="","",IF(ISNUMBER(Base_Bruta!C2009),Base_Bruta!C2009,IF(MID(Base_Bruta!C2009,5,1)="-",DATE(VALUE(LEFT(Base_Bruta!C2009,4)),VALUE(MID(Base_Bruta!C2009,6,2)),VALUE(RIGHT(Base_Bruta!C2009,2))),DATE(VALUE(RIGHT(Base_Bruta!C2009,4)),VALUE(MID(Base_Bruta!C2009,4,2)),VALUE(LEFT(Base_Bruta!C2009,2))))))</f>
        <v>46081</v>
      </c>
      <c r="D2009" s="4" t="str">
        <f aca="false">IF($A2009="","",TRIM(Base_Bruta!D2009))</f>
        <v>Show Sertanejo - BH</v>
      </c>
      <c r="E2009" s="4" t="str">
        <f aca="false">IF($A2009="","",_xlfn.XLOOKUP(LOWER(TRIM(Base_Bruta!E2009)),DePara_Categoria!$A$2:$A$9,DePara_Categoria!$B$2:$B$9,"REVISAR"))</f>
        <v>Show</v>
      </c>
      <c r="F2009" s="4" t="str">
        <f aca="false">IF($A2009="","",_xlfn.XLOOKUP(LOWER(TRIM(Base_Bruta!F2009)),DePara_Cidade!$A$2:$A$29,DePara_Cidade!$B$2:$B$29,"REVISAR"))</f>
        <v>Belo Horizonte</v>
      </c>
      <c r="G2009" s="4" t="str">
        <f aca="false">IF($A2009="","",TRIM(Base_Bruta!G2009))</f>
        <v>VIP</v>
      </c>
      <c r="H2009" s="4" t="n">
        <f aca="false">IF($A2009="","",IF(ISNUMBER(Base_Bruta!H2009),Base_Bruta!H2009,IFERROR(_xlfn.NUMBERVALUE(TRIM(SUBSTITUTE(Base_Bruta!H2009,"R$","")),",","."),0)))</f>
        <v>3</v>
      </c>
      <c r="I2009" s="6" t="n">
        <f aca="false">IF($A2009="","",IF(ISNUMBER(Base_Bruta!I2009),Base_Bruta!I2009,IFERROR(_xlfn.NUMBERVALUE(TRIM(SUBSTITUTE(Base_Bruta!I2009,"R$","")),",","."),0)))</f>
        <v>890</v>
      </c>
      <c r="J2009" s="6" t="n">
        <f aca="false">IF($A2009="","",H2009*I2009)</f>
        <v>2670</v>
      </c>
      <c r="K2009" s="4" t="str">
        <f aca="false">IF($A2009="","",TRIM(Base_Bruta!J2009))</f>
        <v>App</v>
      </c>
      <c r="L2009" s="4" t="str">
        <f aca="false">IF($A2009="","",TRIM(Base_Bruta!K2009))</f>
        <v>C02378</v>
      </c>
      <c r="M2009" s="4" t="str">
        <f aca="false">IF($A2009="","",_xlfn.XLOOKUP(LOWER(TRIM(Base_Bruta!L2009)),DePara_Cidade!$A$2:$A$29,DePara_Cidade!$B$2:$B$29,"REVISAR"))</f>
        <v>Belo Horizonte</v>
      </c>
      <c r="N2009" s="4" t="str">
        <f aca="false">IF($A2009="","",UPPER(TRIM(Base_Bruta!M2009)))</f>
        <v>MG</v>
      </c>
      <c r="O2009" s="4" t="str">
        <f aca="false">IF($A2009="","",_xlfn.XLOOKUP(LOWER(TRIM(Base_Bruta!N2009)),DePara_Pais!$A$2:$A$9,DePara_Pais!$B$2:$B$9,"REVISAR"))</f>
        <v>Brasil</v>
      </c>
      <c r="P2009" s="4" t="str">
        <f aca="false">IF($A2009="","",IF(O2009&lt;&gt;"Brasil","Turista Internacional",IF(M2009=F2009,"Local","Turista Nacional")))</f>
        <v>Local</v>
      </c>
      <c r="Q2009" s="7" t="n">
        <f aca="false">IF($A2009="","",DATE(YEAR(B2009),MONTH(B2009),1))</f>
        <v>46054</v>
      </c>
      <c r="R2009" s="4" t="str">
        <f aca="false">IF($A2009="","",IF(COUNTIF($A$2:$A2009,$A2009)&gt;1,"Sim","Não"))</f>
        <v>Não</v>
      </c>
      <c r="S2009" s="4" t="str">
        <f aca="false">IF(A2009="","Descartar - Linha vazia",IF(R2009="Sim","Descartar - Duplicado",IF(OR(H2009&lt;=0,I2009&lt;=0),"Descartar - Qtd/Valor inválido","OK")))</f>
        <v>OK</v>
      </c>
      <c r="T2009" s="4" t="str">
        <f aca="false">Base_Bruta!P2009</f>
        <v>vendas_MG.csv</v>
      </c>
    </row>
    <row r="2010" customFormat="false" ht="15" hidden="false" customHeight="false" outlineLevel="0" collapsed="false">
      <c r="A2010" s="4" t="str">
        <f aca="false">IF(Base_Bruta!A2010="","",Base_Bruta!A2010)</f>
        <v>MG-000265</v>
      </c>
      <c r="B2010" s="5" t="n">
        <f aca="false">IF($A2010="","",IF(ISNUMBER(Base_Bruta!B2010),Base_Bruta!B2010,IF(MID(Base_Bruta!B2010,5,1)="-",DATE(VALUE(LEFT(Base_Bruta!B2010,4)),VALUE(MID(Base_Bruta!B2010,6,2)),VALUE(RIGHT(Base_Bruta!B2010,2))),DATE(VALUE(RIGHT(Base_Bruta!B2010,4)),VALUE(MID(Base_Bruta!B2010,4,2)),VALUE(LEFT(Base_Bruta!B2010,2))))))</f>
        <v>46074</v>
      </c>
      <c r="C2010" s="5" t="n">
        <f aca="false">IF($A2010="","",IF(ISNUMBER(Base_Bruta!C2010),Base_Bruta!C2010,IF(MID(Base_Bruta!C2010,5,1)="-",DATE(VALUE(LEFT(Base_Bruta!C2010,4)),VALUE(MID(Base_Bruta!C2010,6,2)),VALUE(RIGHT(Base_Bruta!C2010,2))),DATE(VALUE(RIGHT(Base_Bruta!C2010,4)),VALUE(MID(Base_Bruta!C2010,4,2)),VALUE(LEFT(Base_Bruta!C2010,2))))))</f>
        <v>46081</v>
      </c>
      <c r="D2010" s="4" t="str">
        <f aca="false">IF($A2010="","",TRIM(Base_Bruta!D2010))</f>
        <v>Show Sertanejo - BH</v>
      </c>
      <c r="E2010" s="4" t="str">
        <f aca="false">IF($A2010="","",_xlfn.XLOOKUP(LOWER(TRIM(Base_Bruta!E2010)),DePara_Categoria!$A$2:$A$9,DePara_Categoria!$B$2:$B$9,"REVISAR"))</f>
        <v>Show</v>
      </c>
      <c r="F2010" s="4" t="str">
        <f aca="false">IF($A2010="","",_xlfn.XLOOKUP(LOWER(TRIM(Base_Bruta!F2010)),DePara_Cidade!$A$2:$A$29,DePara_Cidade!$B$2:$B$29,"REVISAR"))</f>
        <v>Belo Horizonte</v>
      </c>
      <c r="G2010" s="4" t="str">
        <f aca="false">IF($A2010="","",TRIM(Base_Bruta!G2010))</f>
        <v>Inteira</v>
      </c>
      <c r="H2010" s="4" t="n">
        <f aca="false">IF($A2010="","",IF(ISNUMBER(Base_Bruta!H2010),Base_Bruta!H2010,IFERROR(_xlfn.NUMBERVALUE(TRIM(SUBSTITUTE(Base_Bruta!H2010,"R$","")),",","."),0)))</f>
        <v>2</v>
      </c>
      <c r="I2010" s="6" t="n">
        <f aca="false">IF($A2010="","",IF(ISNUMBER(Base_Bruta!I2010),Base_Bruta!I2010,IFERROR(_xlfn.NUMBERVALUE(TRIM(SUBSTITUTE(Base_Bruta!I2010,"R$","")),",","."),0)))</f>
        <v>710</v>
      </c>
      <c r="J2010" s="6" t="n">
        <f aca="false">IF($A2010="","",H2010*I2010)</f>
        <v>1420</v>
      </c>
      <c r="K2010" s="4" t="str">
        <f aca="false">IF($A2010="","",TRIM(Base_Bruta!J2010))</f>
        <v>Site</v>
      </c>
      <c r="L2010" s="4" t="str">
        <f aca="false">IF($A2010="","",TRIM(Base_Bruta!K2010))</f>
        <v>C02142</v>
      </c>
      <c r="M2010" s="4" t="str">
        <f aca="false">IF($A2010="","",_xlfn.XLOOKUP(LOWER(TRIM(Base_Bruta!L2010)),DePara_Cidade!$A$2:$A$29,DePara_Cidade!$B$2:$B$29,"REVISAR"))</f>
        <v>Contagem</v>
      </c>
      <c r="N2010" s="4" t="str">
        <f aca="false">IF($A2010="","",UPPER(TRIM(Base_Bruta!M2010)))</f>
        <v>MG</v>
      </c>
      <c r="O2010" s="4" t="str">
        <f aca="false">IF($A2010="","",_xlfn.XLOOKUP(LOWER(TRIM(Base_Bruta!N2010)),DePara_Pais!$A$2:$A$9,DePara_Pais!$B$2:$B$9,"REVISAR"))</f>
        <v>Brasil</v>
      </c>
      <c r="P2010" s="4" t="str">
        <f aca="false">IF($A2010="","",IF(O2010&lt;&gt;"Brasil","Turista Internacional",IF(M2010=F2010,"Local","Turista Nacional")))</f>
        <v>Turista Nacional</v>
      </c>
      <c r="Q2010" s="7" t="n">
        <f aca="false">IF($A2010="","",DATE(YEAR(B2010),MONTH(B2010),1))</f>
        <v>46054</v>
      </c>
      <c r="R2010" s="4" t="str">
        <f aca="false">IF($A2010="","",IF(COUNTIF($A$2:$A2010,$A2010)&gt;1,"Sim","Não"))</f>
        <v>Não</v>
      </c>
      <c r="S2010" s="4" t="str">
        <f aca="false">IF(A2010="","Descartar - Linha vazia",IF(R2010="Sim","Descartar - Duplicado",IF(OR(H2010&lt;=0,I2010&lt;=0),"Descartar - Qtd/Valor inválido","OK")))</f>
        <v>OK</v>
      </c>
      <c r="T2010" s="4" t="str">
        <f aca="false">Base_Bruta!P2010</f>
        <v>vendas_MG.csv</v>
      </c>
    </row>
    <row r="2011" customFormat="false" ht="15" hidden="false" customHeight="false" outlineLevel="0" collapsed="false">
      <c r="A2011" s="4" t="str">
        <f aca="false">IF(Base_Bruta!A2011="","",Base_Bruta!A2011)</f>
        <v>MG-000270</v>
      </c>
      <c r="B2011" s="5" t="n">
        <f aca="false">IF($A2011="","",IF(ISNUMBER(Base_Bruta!B2011),Base_Bruta!B2011,IF(MID(Base_Bruta!B2011,5,1)="-",DATE(VALUE(LEFT(Base_Bruta!B2011,4)),VALUE(MID(Base_Bruta!B2011,6,2)),VALUE(RIGHT(Base_Bruta!B2011,2))),DATE(VALUE(RIGHT(Base_Bruta!B2011,4)),VALUE(MID(Base_Bruta!B2011,4,2)),VALUE(LEFT(Base_Bruta!B2011,2))))))</f>
        <v>46074</v>
      </c>
      <c r="C2011" s="5" t="n">
        <f aca="false">IF($A2011="","",IF(ISNUMBER(Base_Bruta!C2011),Base_Bruta!C2011,IF(MID(Base_Bruta!C2011,5,1)="-",DATE(VALUE(LEFT(Base_Bruta!C2011,4)),VALUE(MID(Base_Bruta!C2011,6,2)),VALUE(RIGHT(Base_Bruta!C2011,2))),DATE(VALUE(RIGHT(Base_Bruta!C2011,4)),VALUE(MID(Base_Bruta!C2011,4,2)),VALUE(LEFT(Base_Bruta!C2011,2))))))</f>
        <v>46081</v>
      </c>
      <c r="D2011" s="4" t="str">
        <f aca="false">IF($A2011="","",TRIM(Base_Bruta!D2011))</f>
        <v>Show Sertanejo - BH</v>
      </c>
      <c r="E2011" s="4" t="str">
        <f aca="false">IF($A2011="","",_xlfn.XLOOKUP(LOWER(TRIM(Base_Bruta!E2011)),DePara_Categoria!$A$2:$A$9,DePara_Categoria!$B$2:$B$9,"REVISAR"))</f>
        <v>Show</v>
      </c>
      <c r="F2011" s="4" t="str">
        <f aca="false">IF($A2011="","",_xlfn.XLOOKUP(LOWER(TRIM(Base_Bruta!F2011)),DePara_Cidade!$A$2:$A$29,DePara_Cidade!$B$2:$B$29,"REVISAR"))</f>
        <v>Belo Horizonte</v>
      </c>
      <c r="G2011" s="4" t="str">
        <f aca="false">IF($A2011="","",TRIM(Base_Bruta!G2011))</f>
        <v>Meia</v>
      </c>
      <c r="H2011" s="4" t="n">
        <f aca="false">IF($A2011="","",IF(ISNUMBER(Base_Bruta!H2011),Base_Bruta!H2011,IFERROR(_xlfn.NUMBERVALUE(TRIM(SUBSTITUTE(Base_Bruta!H2011,"R$","")),",","."),0)))</f>
        <v>4</v>
      </c>
      <c r="I2011" s="6" t="n">
        <f aca="false">IF($A2011="","",IF(ISNUMBER(Base_Bruta!I2011),Base_Bruta!I2011,IFERROR(_xlfn.NUMBERVALUE(TRIM(SUBSTITUTE(Base_Bruta!I2011,"R$","")),",","."),0)))</f>
        <v>225</v>
      </c>
      <c r="J2011" s="6" t="n">
        <f aca="false">IF($A2011="","",H2011*I2011)</f>
        <v>900</v>
      </c>
      <c r="K2011" s="4" t="str">
        <f aca="false">IF($A2011="","",TRIM(Base_Bruta!J2011))</f>
        <v>Site</v>
      </c>
      <c r="L2011" s="4" t="str">
        <f aca="false">IF($A2011="","",TRIM(Base_Bruta!K2011))</f>
        <v>C00623</v>
      </c>
      <c r="M2011" s="4" t="str">
        <f aca="false">IF($A2011="","",_xlfn.XLOOKUP(LOWER(TRIM(Base_Bruta!L2011)),DePara_Cidade!$A$2:$A$29,DePara_Cidade!$B$2:$B$29,"REVISAR"))</f>
        <v>Belo Horizonte</v>
      </c>
      <c r="N2011" s="4" t="str">
        <f aca="false">IF($A2011="","",UPPER(TRIM(Base_Bruta!M2011)))</f>
        <v>MG</v>
      </c>
      <c r="O2011" s="4" t="str">
        <f aca="false">IF($A2011="","",_xlfn.XLOOKUP(LOWER(TRIM(Base_Bruta!N2011)),DePara_Pais!$A$2:$A$9,DePara_Pais!$B$2:$B$9,"REVISAR"))</f>
        <v>Brasil</v>
      </c>
      <c r="P2011" s="4" t="str">
        <f aca="false">IF($A2011="","",IF(O2011&lt;&gt;"Brasil","Turista Internacional",IF(M2011=F2011,"Local","Turista Nacional")))</f>
        <v>Local</v>
      </c>
      <c r="Q2011" s="7" t="n">
        <f aca="false">IF($A2011="","",DATE(YEAR(B2011),MONTH(B2011),1))</f>
        <v>46054</v>
      </c>
      <c r="R2011" s="4" t="str">
        <f aca="false">IF($A2011="","",IF(COUNTIF($A$2:$A2011,$A2011)&gt;1,"Sim","Não"))</f>
        <v>Não</v>
      </c>
      <c r="S2011" s="4" t="str">
        <f aca="false">IF(A2011="","Descartar - Linha vazia",IF(R2011="Sim","Descartar - Duplicado",IF(OR(H2011&lt;=0,I2011&lt;=0),"Descartar - Qtd/Valor inválido","OK")))</f>
        <v>OK</v>
      </c>
      <c r="T2011" s="4" t="str">
        <f aca="false">Base_Bruta!P2011</f>
        <v>vendas_MG.csv</v>
      </c>
    </row>
    <row r="2012" customFormat="false" ht="15" hidden="false" customHeight="false" outlineLevel="0" collapsed="false">
      <c r="A2012" s="4" t="str">
        <f aca="false">IF(Base_Bruta!A2012="","",Base_Bruta!A2012)</f>
        <v>MG-000275</v>
      </c>
      <c r="B2012" s="5" t="n">
        <f aca="false">IF($A2012="","",IF(ISNUMBER(Base_Bruta!B2012),Base_Bruta!B2012,IF(MID(Base_Bruta!B2012,5,1)="-",DATE(VALUE(LEFT(Base_Bruta!B2012,4)),VALUE(MID(Base_Bruta!B2012,6,2)),VALUE(RIGHT(Base_Bruta!B2012,2))),DATE(VALUE(RIGHT(Base_Bruta!B2012,4)),VALUE(MID(Base_Bruta!B2012,4,2)),VALUE(LEFT(Base_Bruta!B2012,2))))))</f>
        <v>46074</v>
      </c>
      <c r="C2012" s="5" t="n">
        <f aca="false">IF($A2012="","",IF(ISNUMBER(Base_Bruta!C2012),Base_Bruta!C2012,IF(MID(Base_Bruta!C2012,5,1)="-",DATE(VALUE(LEFT(Base_Bruta!C2012,4)),VALUE(MID(Base_Bruta!C2012,6,2)),VALUE(RIGHT(Base_Bruta!C2012,2))),DATE(VALUE(RIGHT(Base_Bruta!C2012,4)),VALUE(MID(Base_Bruta!C2012,4,2)),VALUE(LEFT(Base_Bruta!C2012,2))))))</f>
        <v>46081</v>
      </c>
      <c r="D2012" s="4" t="str">
        <f aca="false">IF($A2012="","",TRIM(Base_Bruta!D2012))</f>
        <v>Show Sertanejo - BH</v>
      </c>
      <c r="E2012" s="4" t="str">
        <f aca="false">IF($A2012="","",_xlfn.XLOOKUP(LOWER(TRIM(Base_Bruta!E2012)),DePara_Categoria!$A$2:$A$9,DePara_Categoria!$B$2:$B$9,"REVISAR"))</f>
        <v>Show</v>
      </c>
      <c r="F2012" s="4" t="str">
        <f aca="false">IF($A2012="","",_xlfn.XLOOKUP(LOWER(TRIM(Base_Bruta!F2012)),DePara_Cidade!$A$2:$A$29,DePara_Cidade!$B$2:$B$29,"REVISAR"))</f>
        <v>Belo Horizonte</v>
      </c>
      <c r="G2012" s="4" t="str">
        <f aca="false">IF($A2012="","",TRIM(Base_Bruta!G2012))</f>
        <v>Meia</v>
      </c>
      <c r="H2012" s="4" t="n">
        <f aca="false">IF($A2012="","",IF(ISNUMBER(Base_Bruta!H2012),Base_Bruta!H2012,IFERROR(_xlfn.NUMBERVALUE(TRIM(SUBSTITUTE(Base_Bruta!H2012,"R$","")),",","."),0)))</f>
        <v>2</v>
      </c>
      <c r="I2012" s="6" t="n">
        <f aca="false">IF($A2012="","",IF(ISNUMBER(Base_Bruta!I2012),Base_Bruta!I2012,IFERROR(_xlfn.NUMBERVALUE(TRIM(SUBSTITUTE(Base_Bruta!I2012,"R$","")),",","."),0)))</f>
        <v>297.5</v>
      </c>
      <c r="J2012" s="6" t="n">
        <f aca="false">IF($A2012="","",H2012*I2012)</f>
        <v>595</v>
      </c>
      <c r="K2012" s="4" t="str">
        <f aca="false">IF($A2012="","",TRIM(Base_Bruta!J2012))</f>
        <v>App</v>
      </c>
      <c r="L2012" s="4" t="str">
        <f aca="false">IF($A2012="","",TRIM(Base_Bruta!K2012))</f>
        <v>C00686</v>
      </c>
      <c r="M2012" s="4" t="str">
        <f aca="false">IF($A2012="","",_xlfn.XLOOKUP(LOWER(TRIM(Base_Bruta!L2012)),DePara_Cidade!$A$2:$A$29,DePara_Cidade!$B$2:$B$29,"REVISAR"))</f>
        <v>Belo Horizonte</v>
      </c>
      <c r="N2012" s="4" t="str">
        <f aca="false">IF($A2012="","",UPPER(TRIM(Base_Bruta!M2012)))</f>
        <v>MG</v>
      </c>
      <c r="O2012" s="4" t="str">
        <f aca="false">IF($A2012="","",_xlfn.XLOOKUP(LOWER(TRIM(Base_Bruta!N2012)),DePara_Pais!$A$2:$A$9,DePara_Pais!$B$2:$B$9,"REVISAR"))</f>
        <v>Brasil</v>
      </c>
      <c r="P2012" s="4" t="str">
        <f aca="false">IF($A2012="","",IF(O2012&lt;&gt;"Brasil","Turista Internacional",IF(M2012=F2012,"Local","Turista Nacional")))</f>
        <v>Local</v>
      </c>
      <c r="Q2012" s="7" t="n">
        <f aca="false">IF($A2012="","",DATE(YEAR(B2012),MONTH(B2012),1))</f>
        <v>46054</v>
      </c>
      <c r="R2012" s="4" t="str">
        <f aca="false">IF($A2012="","",IF(COUNTIF($A$2:$A2012,$A2012)&gt;1,"Sim","Não"))</f>
        <v>Não</v>
      </c>
      <c r="S2012" s="4" t="str">
        <f aca="false">IF(A2012="","Descartar - Linha vazia",IF(R2012="Sim","Descartar - Duplicado",IF(OR(H2012&lt;=0,I2012&lt;=0),"Descartar - Qtd/Valor inválido","OK")))</f>
        <v>OK</v>
      </c>
      <c r="T2012" s="4" t="str">
        <f aca="false">Base_Bruta!P2012</f>
        <v>vendas_MG.csv</v>
      </c>
    </row>
    <row r="2013" customFormat="false" ht="15" hidden="false" customHeight="false" outlineLevel="0" collapsed="false">
      <c r="A2013" s="4" t="str">
        <f aca="false">IF(Base_Bruta!A2013="","",Base_Bruta!A2013)</f>
        <v>MG-000291</v>
      </c>
      <c r="B2013" s="5" t="n">
        <f aca="false">IF($A2013="","",IF(ISNUMBER(Base_Bruta!B2013),Base_Bruta!B2013,IF(MID(Base_Bruta!B2013,5,1)="-",DATE(VALUE(LEFT(Base_Bruta!B2013,4)),VALUE(MID(Base_Bruta!B2013,6,2)),VALUE(RIGHT(Base_Bruta!B2013,2))),DATE(VALUE(RIGHT(Base_Bruta!B2013,4)),VALUE(MID(Base_Bruta!B2013,4,2)),VALUE(LEFT(Base_Bruta!B2013,2))))))</f>
        <v>46074</v>
      </c>
      <c r="C2013" s="5" t="n">
        <f aca="false">IF($A2013="","",IF(ISNUMBER(Base_Bruta!C2013),Base_Bruta!C2013,IF(MID(Base_Bruta!C2013,5,1)="-",DATE(VALUE(LEFT(Base_Bruta!C2013,4)),VALUE(MID(Base_Bruta!C2013,6,2)),VALUE(RIGHT(Base_Bruta!C2013,2))),DATE(VALUE(RIGHT(Base_Bruta!C2013,4)),VALUE(MID(Base_Bruta!C2013,4,2)),VALUE(LEFT(Base_Bruta!C2013,2))))))</f>
        <v>46081</v>
      </c>
      <c r="D2013" s="4" t="str">
        <f aca="false">IF($A2013="","",TRIM(Base_Bruta!D2013))</f>
        <v>Show Sertanejo - BH</v>
      </c>
      <c r="E2013" s="4" t="str">
        <f aca="false">IF($A2013="","",_xlfn.XLOOKUP(LOWER(TRIM(Base_Bruta!E2013)),DePara_Categoria!$A$2:$A$9,DePara_Categoria!$B$2:$B$9,"REVISAR"))</f>
        <v>Show</v>
      </c>
      <c r="F2013" s="4" t="str">
        <f aca="false">IF($A2013="","",_xlfn.XLOOKUP(LOWER(TRIM(Base_Bruta!F2013)),DePara_Cidade!$A$2:$A$29,DePara_Cidade!$B$2:$B$29,"REVISAR"))</f>
        <v>Belo Horizonte</v>
      </c>
      <c r="G2013" s="4" t="str">
        <f aca="false">IF($A2013="","",TRIM(Base_Bruta!G2013))</f>
        <v>Inteira</v>
      </c>
      <c r="H2013" s="4" t="n">
        <f aca="false">IF($A2013="","",IF(ISNUMBER(Base_Bruta!H2013),Base_Bruta!H2013,IFERROR(_xlfn.NUMBERVALUE(TRIM(SUBSTITUTE(Base_Bruta!H2013,"R$","")),",","."),0)))</f>
        <v>1</v>
      </c>
      <c r="I2013" s="6" t="n">
        <f aca="false">IF($A2013="","",IF(ISNUMBER(Base_Bruta!I2013),Base_Bruta!I2013,IFERROR(_xlfn.NUMBERVALUE(TRIM(SUBSTITUTE(Base_Bruta!I2013,"R$","")),",","."),0)))</f>
        <v>425</v>
      </c>
      <c r="J2013" s="6" t="n">
        <f aca="false">IF($A2013="","",H2013*I2013)</f>
        <v>425</v>
      </c>
      <c r="K2013" s="4" t="str">
        <f aca="false">IF($A2013="","",TRIM(Base_Bruta!J2013))</f>
        <v>Site</v>
      </c>
      <c r="L2013" s="4" t="str">
        <f aca="false">IF($A2013="","",TRIM(Base_Bruta!K2013))</f>
        <v>C01533</v>
      </c>
      <c r="M2013" s="4" t="str">
        <f aca="false">IF($A2013="","",_xlfn.XLOOKUP(LOWER(TRIM(Base_Bruta!L2013)),DePara_Cidade!$A$2:$A$29,DePara_Cidade!$B$2:$B$29,"REVISAR"))</f>
        <v>Belo Horizonte</v>
      </c>
      <c r="N2013" s="4" t="str">
        <f aca="false">IF($A2013="","",UPPER(TRIM(Base_Bruta!M2013)))</f>
        <v>MG</v>
      </c>
      <c r="O2013" s="4" t="str">
        <f aca="false">IF($A2013="","",_xlfn.XLOOKUP(LOWER(TRIM(Base_Bruta!N2013)),DePara_Pais!$A$2:$A$9,DePara_Pais!$B$2:$B$9,"REVISAR"))</f>
        <v>Brasil</v>
      </c>
      <c r="P2013" s="4" t="str">
        <f aca="false">IF($A2013="","",IF(O2013&lt;&gt;"Brasil","Turista Internacional",IF(M2013=F2013,"Local","Turista Nacional")))</f>
        <v>Local</v>
      </c>
      <c r="Q2013" s="7" t="n">
        <f aca="false">IF($A2013="","",DATE(YEAR(B2013),MONTH(B2013),1))</f>
        <v>46054</v>
      </c>
      <c r="R2013" s="4" t="str">
        <f aca="false">IF($A2013="","",IF(COUNTIF($A$2:$A2013,$A2013)&gt;1,"Sim","Não"))</f>
        <v>Não</v>
      </c>
      <c r="S2013" s="4" t="str">
        <f aca="false">IF(A2013="","Descartar - Linha vazia",IF(R2013="Sim","Descartar - Duplicado",IF(OR(H2013&lt;=0,I2013&lt;=0),"Descartar - Qtd/Valor inválido","OK")))</f>
        <v>OK</v>
      </c>
      <c r="T2013" s="4" t="str">
        <f aca="false">Base_Bruta!P2013</f>
        <v>vendas_MG.csv</v>
      </c>
    </row>
    <row r="2014" customFormat="false" ht="15" hidden="false" customHeight="false" outlineLevel="0" collapsed="false">
      <c r="A2014" s="4" t="str">
        <f aca="false">IF(Base_Bruta!A2014="","",Base_Bruta!A2014)</f>
        <v>MG-000331</v>
      </c>
      <c r="B2014" s="5" t="n">
        <f aca="false">IF($A2014="","",IF(ISNUMBER(Base_Bruta!B2014),Base_Bruta!B2014,IF(MID(Base_Bruta!B2014,5,1)="-",DATE(VALUE(LEFT(Base_Bruta!B2014,4)),VALUE(MID(Base_Bruta!B2014,6,2)),VALUE(RIGHT(Base_Bruta!B2014,2))),DATE(VALUE(RIGHT(Base_Bruta!B2014,4)),VALUE(MID(Base_Bruta!B2014,4,2)),VALUE(LEFT(Base_Bruta!B2014,2))))))</f>
        <v>46067</v>
      </c>
      <c r="C2014" s="5" t="n">
        <f aca="false">IF($A2014="","",IF(ISNUMBER(Base_Bruta!C2014),Base_Bruta!C2014,IF(MID(Base_Bruta!C2014,5,1)="-",DATE(VALUE(LEFT(Base_Bruta!C2014,4)),VALUE(MID(Base_Bruta!C2014,6,2)),VALUE(RIGHT(Base_Bruta!C2014,2))),DATE(VALUE(RIGHT(Base_Bruta!C2014,4)),VALUE(MID(Base_Bruta!C2014,4,2)),VALUE(LEFT(Base_Bruta!C2014,2))))))</f>
        <v>46081</v>
      </c>
      <c r="D2014" s="4" t="str">
        <f aca="false">IF($A2014="","",TRIM(Base_Bruta!D2014))</f>
        <v>Show Sertanejo - BH</v>
      </c>
      <c r="E2014" s="4" t="str">
        <f aca="false">IF($A2014="","",_xlfn.XLOOKUP(LOWER(TRIM(Base_Bruta!E2014)),DePara_Categoria!$A$2:$A$9,DePara_Categoria!$B$2:$B$9,"REVISAR"))</f>
        <v>Show</v>
      </c>
      <c r="F2014" s="4" t="str">
        <f aca="false">IF($A2014="","",_xlfn.XLOOKUP(LOWER(TRIM(Base_Bruta!F2014)),DePara_Cidade!$A$2:$A$29,DePara_Cidade!$B$2:$B$29,"REVISAR"))</f>
        <v>Belo Horizonte</v>
      </c>
      <c r="G2014" s="4" t="str">
        <f aca="false">IF($A2014="","",TRIM(Base_Bruta!G2014))</f>
        <v>Inteira</v>
      </c>
      <c r="H2014" s="4" t="n">
        <f aca="false">IF($A2014="","",IF(ISNUMBER(Base_Bruta!H2014),Base_Bruta!H2014,IFERROR(_xlfn.NUMBERVALUE(TRIM(SUBSTITUTE(Base_Bruta!H2014,"R$","")),",","."),0)))</f>
        <v>2</v>
      </c>
      <c r="I2014" s="6" t="n">
        <f aca="false">IF($A2014="","",IF(ISNUMBER(Base_Bruta!I2014),Base_Bruta!I2014,IFERROR(_xlfn.NUMBERVALUE(TRIM(SUBSTITUTE(Base_Bruta!I2014,"R$","")),",","."),0)))</f>
        <v>565</v>
      </c>
      <c r="J2014" s="6" t="n">
        <f aca="false">IF($A2014="","",H2014*I2014)</f>
        <v>1130</v>
      </c>
      <c r="K2014" s="4" t="str">
        <f aca="false">IF($A2014="","",TRIM(Base_Bruta!J2014))</f>
        <v>App</v>
      </c>
      <c r="L2014" s="4" t="str">
        <f aca="false">IF($A2014="","",TRIM(Base_Bruta!K2014))</f>
        <v>C00732</v>
      </c>
      <c r="M2014" s="4" t="str">
        <f aca="false">IF($A2014="","",_xlfn.XLOOKUP(LOWER(TRIM(Base_Bruta!L2014)),DePara_Cidade!$A$2:$A$29,DePara_Cidade!$B$2:$B$29,"REVISAR"))</f>
        <v>Salvador</v>
      </c>
      <c r="N2014" s="4" t="str">
        <f aca="false">IF($A2014="","",UPPER(TRIM(Base_Bruta!M2014)))</f>
        <v>BA</v>
      </c>
      <c r="O2014" s="4" t="str">
        <f aca="false">IF($A2014="","",_xlfn.XLOOKUP(LOWER(TRIM(Base_Bruta!N2014)),DePara_Pais!$A$2:$A$9,DePara_Pais!$B$2:$B$9,"REVISAR"))</f>
        <v>Brasil</v>
      </c>
      <c r="P2014" s="4" t="str">
        <f aca="false">IF($A2014="","",IF(O2014&lt;&gt;"Brasil","Turista Internacional",IF(M2014=F2014,"Local","Turista Nacional")))</f>
        <v>Turista Nacional</v>
      </c>
      <c r="Q2014" s="7" t="n">
        <f aca="false">IF($A2014="","",DATE(YEAR(B2014),MONTH(B2014),1))</f>
        <v>46054</v>
      </c>
      <c r="R2014" s="4" t="str">
        <f aca="false">IF($A2014="","",IF(COUNTIF($A$2:$A2014,$A2014)&gt;1,"Sim","Não"))</f>
        <v>Sim</v>
      </c>
      <c r="S2014" s="4" t="str">
        <f aca="false">IF(A2014="","Descartar - Linha vazia",IF(R2014="Sim","Descartar - Duplicado",IF(OR(H2014&lt;=0,I2014&lt;=0),"Descartar - Qtd/Valor inválido","OK")))</f>
        <v>Descartar - Duplicado</v>
      </c>
      <c r="T2014" s="4" t="str">
        <f aca="false">Base_Bruta!P2014</f>
        <v>vendas_MG.csv</v>
      </c>
    </row>
    <row r="2015" customFormat="false" ht="15" hidden="false" customHeight="false" outlineLevel="0" collapsed="false">
      <c r="A2015" s="4" t="str">
        <f aca="false">IF(Base_Bruta!A2015="","",Base_Bruta!A2015)</f>
        <v>MG-000306</v>
      </c>
      <c r="B2015" s="5" t="n">
        <f aca="false">IF($A2015="","",IF(ISNUMBER(Base_Bruta!B2015),Base_Bruta!B2015,IF(MID(Base_Bruta!B2015,5,1)="-",DATE(VALUE(LEFT(Base_Bruta!B2015,4)),VALUE(MID(Base_Bruta!B2015,6,2)),VALUE(RIGHT(Base_Bruta!B2015,2))),DATE(VALUE(RIGHT(Base_Bruta!B2015,4)),VALUE(MID(Base_Bruta!B2015,4,2)),VALUE(LEFT(Base_Bruta!B2015,2))))))</f>
        <v>46074</v>
      </c>
      <c r="C2015" s="5" t="n">
        <f aca="false">IF($A2015="","",IF(ISNUMBER(Base_Bruta!C2015),Base_Bruta!C2015,IF(MID(Base_Bruta!C2015,5,1)="-",DATE(VALUE(LEFT(Base_Bruta!C2015,4)),VALUE(MID(Base_Bruta!C2015,6,2)),VALUE(RIGHT(Base_Bruta!C2015,2))),DATE(VALUE(RIGHT(Base_Bruta!C2015,4)),VALUE(MID(Base_Bruta!C2015,4,2)),VALUE(LEFT(Base_Bruta!C2015,2))))))</f>
        <v>46081</v>
      </c>
      <c r="D2015" s="4" t="str">
        <f aca="false">IF($A2015="","",TRIM(Base_Bruta!D2015))</f>
        <v>Show Sertanejo - BH</v>
      </c>
      <c r="E2015" s="4" t="str">
        <f aca="false">IF($A2015="","",_xlfn.XLOOKUP(LOWER(TRIM(Base_Bruta!E2015)),DePara_Categoria!$A$2:$A$9,DePara_Categoria!$B$2:$B$9,"REVISAR"))</f>
        <v>Show</v>
      </c>
      <c r="F2015" s="4" t="str">
        <f aca="false">IF($A2015="","",_xlfn.XLOOKUP(LOWER(TRIM(Base_Bruta!F2015)),DePara_Cidade!$A$2:$A$29,DePara_Cidade!$B$2:$B$29,"REVISAR"))</f>
        <v>Belo Horizonte</v>
      </c>
      <c r="G2015" s="4" t="str">
        <f aca="false">IF($A2015="","",TRIM(Base_Bruta!G2015))</f>
        <v>Inteira</v>
      </c>
      <c r="H2015" s="4" t="n">
        <f aca="false">IF($A2015="","",IF(ISNUMBER(Base_Bruta!H2015),Base_Bruta!H2015,IFERROR(_xlfn.NUMBERVALUE(TRIM(SUBSTITUTE(Base_Bruta!H2015,"R$","")),",","."),0)))</f>
        <v>2</v>
      </c>
      <c r="I2015" s="6" t="n">
        <f aca="false">IF($A2015="","",IF(ISNUMBER(Base_Bruta!I2015),Base_Bruta!I2015,IFERROR(_xlfn.NUMBERVALUE(TRIM(SUBSTITUTE(Base_Bruta!I2015,"R$","")),",","."),0)))</f>
        <v>780</v>
      </c>
      <c r="J2015" s="6" t="n">
        <f aca="false">IF($A2015="","",H2015*I2015)</f>
        <v>1560</v>
      </c>
      <c r="K2015" s="4" t="str">
        <f aca="false">IF($A2015="","",TRIM(Base_Bruta!J2015))</f>
        <v>Site</v>
      </c>
      <c r="L2015" s="4" t="str">
        <f aca="false">IF($A2015="","",TRIM(Base_Bruta!K2015))</f>
        <v>C01392</v>
      </c>
      <c r="M2015" s="4" t="str">
        <f aca="false">IF($A2015="","",_xlfn.XLOOKUP(LOWER(TRIM(Base_Bruta!L2015)),DePara_Cidade!$A$2:$A$29,DePara_Cidade!$B$2:$B$29,"REVISAR"))</f>
        <v>Belo Horizonte</v>
      </c>
      <c r="N2015" s="4" t="str">
        <f aca="false">IF($A2015="","",UPPER(TRIM(Base_Bruta!M2015)))</f>
        <v>MG</v>
      </c>
      <c r="O2015" s="4" t="str">
        <f aca="false">IF($A2015="","",_xlfn.XLOOKUP(LOWER(TRIM(Base_Bruta!N2015)),DePara_Pais!$A$2:$A$9,DePara_Pais!$B$2:$B$9,"REVISAR"))</f>
        <v>Brasil</v>
      </c>
      <c r="P2015" s="4" t="str">
        <f aca="false">IF($A2015="","",IF(O2015&lt;&gt;"Brasil","Turista Internacional",IF(M2015=F2015,"Local","Turista Nacional")))</f>
        <v>Local</v>
      </c>
      <c r="Q2015" s="7" t="n">
        <f aca="false">IF($A2015="","",DATE(YEAR(B2015),MONTH(B2015),1))</f>
        <v>46054</v>
      </c>
      <c r="R2015" s="4" t="str">
        <f aca="false">IF($A2015="","",IF(COUNTIF($A$2:$A2015,$A2015)&gt;1,"Sim","Não"))</f>
        <v>Não</v>
      </c>
      <c r="S2015" s="4" t="str">
        <f aca="false">IF(A2015="","Descartar - Linha vazia",IF(R2015="Sim","Descartar - Duplicado",IF(OR(H2015&lt;=0,I2015&lt;=0),"Descartar - Qtd/Valor inválido","OK")))</f>
        <v>OK</v>
      </c>
      <c r="T2015" s="4" t="str">
        <f aca="false">Base_Bruta!P2015</f>
        <v>vendas_MG.csv</v>
      </c>
    </row>
    <row r="2016" customFormat="false" ht="15" hidden="false" customHeight="false" outlineLevel="0" collapsed="false">
      <c r="A2016" s="4" t="str">
        <f aca="false">IF(Base_Bruta!A2016="","",Base_Bruta!A2016)</f>
        <v>MG-000313</v>
      </c>
      <c r="B2016" s="5" t="n">
        <f aca="false">IF($A2016="","",IF(ISNUMBER(Base_Bruta!B2016),Base_Bruta!B2016,IF(MID(Base_Bruta!B2016,5,1)="-",DATE(VALUE(LEFT(Base_Bruta!B2016,4)),VALUE(MID(Base_Bruta!B2016,6,2)),VALUE(RIGHT(Base_Bruta!B2016,2))),DATE(VALUE(RIGHT(Base_Bruta!B2016,4)),VALUE(MID(Base_Bruta!B2016,4,2)),VALUE(LEFT(Base_Bruta!B2016,2))))))</f>
        <v>46074</v>
      </c>
      <c r="C2016" s="5" t="n">
        <f aca="false">IF($A2016="","",IF(ISNUMBER(Base_Bruta!C2016),Base_Bruta!C2016,IF(MID(Base_Bruta!C2016,5,1)="-",DATE(VALUE(LEFT(Base_Bruta!C2016,4)),VALUE(MID(Base_Bruta!C2016,6,2)),VALUE(RIGHT(Base_Bruta!C2016,2))),DATE(VALUE(RIGHT(Base_Bruta!C2016,4)),VALUE(MID(Base_Bruta!C2016,4,2)),VALUE(LEFT(Base_Bruta!C2016,2))))))</f>
        <v>46081</v>
      </c>
      <c r="D2016" s="4" t="str">
        <f aca="false">IF($A2016="","",TRIM(Base_Bruta!D2016))</f>
        <v>Show Sertanejo - BH</v>
      </c>
      <c r="E2016" s="4" t="str">
        <f aca="false">IF($A2016="","",_xlfn.XLOOKUP(LOWER(TRIM(Base_Bruta!E2016)),DePara_Categoria!$A$2:$A$9,DePara_Categoria!$B$2:$B$9,"REVISAR"))</f>
        <v>Show</v>
      </c>
      <c r="F2016" s="4" t="str">
        <f aca="false">IF($A2016="","",_xlfn.XLOOKUP(LOWER(TRIM(Base_Bruta!F2016)),DePara_Cidade!$A$2:$A$29,DePara_Cidade!$B$2:$B$29,"REVISAR"))</f>
        <v>Belo Horizonte</v>
      </c>
      <c r="G2016" s="4" t="str">
        <f aca="false">IF($A2016="","",TRIM(Base_Bruta!G2016))</f>
        <v>Inteira</v>
      </c>
      <c r="H2016" s="4" t="n">
        <f aca="false">IF($A2016="","",IF(ISNUMBER(Base_Bruta!H2016),Base_Bruta!H2016,IFERROR(_xlfn.NUMBERVALUE(TRIM(SUBSTITUTE(Base_Bruta!H2016,"R$","")),",","."),0)))</f>
        <v>1</v>
      </c>
      <c r="I2016" s="6" t="n">
        <f aca="false">IF($A2016="","",IF(ISNUMBER(Base_Bruta!I2016),Base_Bruta!I2016,IFERROR(_xlfn.NUMBERVALUE(TRIM(SUBSTITUTE(Base_Bruta!I2016,"R$","")),",","."),0)))</f>
        <v>495</v>
      </c>
      <c r="J2016" s="6" t="n">
        <f aca="false">IF($A2016="","",H2016*I2016)</f>
        <v>495</v>
      </c>
      <c r="K2016" s="4" t="str">
        <f aca="false">IF($A2016="","",TRIM(Base_Bruta!J2016))</f>
        <v>Site</v>
      </c>
      <c r="L2016" s="4" t="str">
        <f aca="false">IF($A2016="","",TRIM(Base_Bruta!K2016))</f>
        <v>C02441</v>
      </c>
      <c r="M2016" s="4" t="str">
        <f aca="false">IF($A2016="","",_xlfn.XLOOKUP(LOWER(TRIM(Base_Bruta!L2016)),DePara_Cidade!$A$2:$A$29,DePara_Cidade!$B$2:$B$29,"REVISAR"))</f>
        <v>Belo Horizonte</v>
      </c>
      <c r="N2016" s="4" t="str">
        <f aca="false">IF($A2016="","",UPPER(TRIM(Base_Bruta!M2016)))</f>
        <v>MG</v>
      </c>
      <c r="O2016" s="4" t="str">
        <f aca="false">IF($A2016="","",_xlfn.XLOOKUP(LOWER(TRIM(Base_Bruta!N2016)),DePara_Pais!$A$2:$A$9,DePara_Pais!$B$2:$B$9,"REVISAR"))</f>
        <v>Brasil</v>
      </c>
      <c r="P2016" s="4" t="str">
        <f aca="false">IF($A2016="","",IF(O2016&lt;&gt;"Brasil","Turista Internacional",IF(M2016=F2016,"Local","Turista Nacional")))</f>
        <v>Local</v>
      </c>
      <c r="Q2016" s="7" t="n">
        <f aca="false">IF($A2016="","",DATE(YEAR(B2016),MONTH(B2016),1))</f>
        <v>46054</v>
      </c>
      <c r="R2016" s="4" t="str">
        <f aca="false">IF($A2016="","",IF(COUNTIF($A$2:$A2016,$A2016)&gt;1,"Sim","Não"))</f>
        <v>Não</v>
      </c>
      <c r="S2016" s="4" t="str">
        <f aca="false">IF(A2016="","Descartar - Linha vazia",IF(R2016="Sim","Descartar - Duplicado",IF(OR(H2016&lt;=0,I2016&lt;=0),"Descartar - Qtd/Valor inválido","OK")))</f>
        <v>OK</v>
      </c>
      <c r="T2016" s="4" t="str">
        <f aca="false">Base_Bruta!P2016</f>
        <v>vendas_MG.csv</v>
      </c>
    </row>
    <row r="2017" customFormat="false" ht="15" hidden="false" customHeight="false" outlineLevel="0" collapsed="false">
      <c r="A2017" s="4" t="str">
        <f aca="false">IF(Base_Bruta!A2017="","",Base_Bruta!A2017)</f>
        <v>MG-000357</v>
      </c>
      <c r="B2017" s="5" t="n">
        <f aca="false">IF($A2017="","",IF(ISNUMBER(Base_Bruta!B2017),Base_Bruta!B2017,IF(MID(Base_Bruta!B2017,5,1)="-",DATE(VALUE(LEFT(Base_Bruta!B2017,4)),VALUE(MID(Base_Bruta!B2017,6,2)),VALUE(RIGHT(Base_Bruta!B2017,2))),DATE(VALUE(RIGHT(Base_Bruta!B2017,4)),VALUE(MID(Base_Bruta!B2017,4,2)),VALUE(LEFT(Base_Bruta!B2017,2))))))</f>
        <v>46074</v>
      </c>
      <c r="C2017" s="5" t="n">
        <f aca="false">IF($A2017="","",IF(ISNUMBER(Base_Bruta!C2017),Base_Bruta!C2017,IF(MID(Base_Bruta!C2017,5,1)="-",DATE(VALUE(LEFT(Base_Bruta!C2017,4)),VALUE(MID(Base_Bruta!C2017,6,2)),VALUE(RIGHT(Base_Bruta!C2017,2))),DATE(VALUE(RIGHT(Base_Bruta!C2017,4)),VALUE(MID(Base_Bruta!C2017,4,2)),VALUE(LEFT(Base_Bruta!C2017,2))))))</f>
        <v>46081</v>
      </c>
      <c r="D2017" s="4" t="str">
        <f aca="false">IF($A2017="","",TRIM(Base_Bruta!D2017))</f>
        <v>Show Sertanejo - BH</v>
      </c>
      <c r="E2017" s="4" t="str">
        <f aca="false">IF($A2017="","",_xlfn.XLOOKUP(LOWER(TRIM(Base_Bruta!E2017)),DePara_Categoria!$A$2:$A$9,DePara_Categoria!$B$2:$B$9,"REVISAR"))</f>
        <v>Show</v>
      </c>
      <c r="F2017" s="4" t="str">
        <f aca="false">IF($A2017="","",_xlfn.XLOOKUP(LOWER(TRIM(Base_Bruta!F2017)),DePara_Cidade!$A$2:$A$29,DePara_Cidade!$B$2:$B$29,"REVISAR"))</f>
        <v>Belo Horizonte</v>
      </c>
      <c r="G2017" s="4" t="str">
        <f aca="false">IF($A2017="","",TRIM(Base_Bruta!G2017))</f>
        <v>Meia</v>
      </c>
      <c r="H2017" s="4" t="n">
        <f aca="false">IF($A2017="","",IF(ISNUMBER(Base_Bruta!H2017),Base_Bruta!H2017,IFERROR(_xlfn.NUMBERVALUE(TRIM(SUBSTITUTE(Base_Bruta!H2017,"R$","")),",","."),0)))</f>
        <v>2</v>
      </c>
      <c r="I2017" s="6" t="n">
        <f aca="false">IF($A2017="","",IF(ISNUMBER(Base_Bruta!I2017),Base_Bruta!I2017,IFERROR(_xlfn.NUMBERVALUE(TRIM(SUBSTITUTE(Base_Bruta!I2017,"R$","")),",","."),0)))</f>
        <v>150</v>
      </c>
      <c r="J2017" s="6" t="n">
        <f aca="false">IF($A2017="","",H2017*I2017)</f>
        <v>300</v>
      </c>
      <c r="K2017" s="4" t="str">
        <f aca="false">IF($A2017="","",TRIM(Base_Bruta!J2017))</f>
        <v>Bilheteria</v>
      </c>
      <c r="L2017" s="4" t="str">
        <f aca="false">IF($A2017="","",TRIM(Base_Bruta!K2017))</f>
        <v>C01459</v>
      </c>
      <c r="M2017" s="4" t="str">
        <f aca="false">IF($A2017="","",_xlfn.XLOOKUP(LOWER(TRIM(Base_Bruta!L2017)),DePara_Cidade!$A$2:$A$29,DePara_Cidade!$B$2:$B$29,"REVISAR"))</f>
        <v>Contagem</v>
      </c>
      <c r="N2017" s="4" t="str">
        <f aca="false">IF($A2017="","",UPPER(TRIM(Base_Bruta!M2017)))</f>
        <v>MG</v>
      </c>
      <c r="O2017" s="4" t="str">
        <f aca="false">IF($A2017="","",_xlfn.XLOOKUP(LOWER(TRIM(Base_Bruta!N2017)),DePara_Pais!$A$2:$A$9,DePara_Pais!$B$2:$B$9,"REVISAR"))</f>
        <v>Brasil</v>
      </c>
      <c r="P2017" s="4" t="str">
        <f aca="false">IF($A2017="","",IF(O2017&lt;&gt;"Brasil","Turista Internacional",IF(M2017=F2017,"Local","Turista Nacional")))</f>
        <v>Turista Nacional</v>
      </c>
      <c r="Q2017" s="7" t="n">
        <f aca="false">IF($A2017="","",DATE(YEAR(B2017),MONTH(B2017),1))</f>
        <v>46054</v>
      </c>
      <c r="R2017" s="4" t="str">
        <f aca="false">IF($A2017="","",IF(COUNTIF($A$2:$A2017,$A2017)&gt;1,"Sim","Não"))</f>
        <v>Não</v>
      </c>
      <c r="S2017" s="4" t="str">
        <f aca="false">IF(A2017="","Descartar - Linha vazia",IF(R2017="Sim","Descartar - Duplicado",IF(OR(H2017&lt;=0,I2017&lt;=0),"Descartar - Qtd/Valor inválido","OK")))</f>
        <v>OK</v>
      </c>
      <c r="T2017" s="4" t="str">
        <f aca="false">Base_Bruta!P2017</f>
        <v>vendas_MG.csv</v>
      </c>
    </row>
    <row r="2018" customFormat="false" ht="15" hidden="false" customHeight="false" outlineLevel="0" collapsed="false">
      <c r="A2018" s="4" t="str">
        <f aca="false">IF(Base_Bruta!A2018="","",Base_Bruta!A2018)</f>
        <v>MG-000273</v>
      </c>
      <c r="B2018" s="5" t="n">
        <f aca="false">IF($A2018="","",IF(ISNUMBER(Base_Bruta!B2018),Base_Bruta!B2018,IF(MID(Base_Bruta!B2018,5,1)="-",DATE(VALUE(LEFT(Base_Bruta!B2018,4)),VALUE(MID(Base_Bruta!B2018,6,2)),VALUE(RIGHT(Base_Bruta!B2018,2))),DATE(VALUE(RIGHT(Base_Bruta!B2018,4)),VALUE(MID(Base_Bruta!B2018,4,2)),VALUE(LEFT(Base_Bruta!B2018,2))))))</f>
        <v>46075</v>
      </c>
      <c r="C2018" s="5" t="n">
        <f aca="false">IF($A2018="","",IF(ISNUMBER(Base_Bruta!C2018),Base_Bruta!C2018,IF(MID(Base_Bruta!C2018,5,1)="-",DATE(VALUE(LEFT(Base_Bruta!C2018,4)),VALUE(MID(Base_Bruta!C2018,6,2)),VALUE(RIGHT(Base_Bruta!C2018,2))),DATE(VALUE(RIGHT(Base_Bruta!C2018,4)),VALUE(MID(Base_Bruta!C2018,4,2)),VALUE(LEFT(Base_Bruta!C2018,2))))))</f>
        <v>46081</v>
      </c>
      <c r="D2018" s="4" t="str">
        <f aca="false">IF($A2018="","",TRIM(Base_Bruta!D2018))</f>
        <v>Show Sertanejo - BH</v>
      </c>
      <c r="E2018" s="4" t="str">
        <f aca="false">IF($A2018="","",_xlfn.XLOOKUP(LOWER(TRIM(Base_Bruta!E2018)),DePara_Categoria!$A$2:$A$9,DePara_Categoria!$B$2:$B$9,"REVISAR"))</f>
        <v>Show</v>
      </c>
      <c r="F2018" s="4" t="str">
        <f aca="false">IF($A2018="","",_xlfn.XLOOKUP(LOWER(TRIM(Base_Bruta!F2018)),DePara_Cidade!$A$2:$A$29,DePara_Cidade!$B$2:$B$29,"REVISAR"))</f>
        <v>Belo Horizonte</v>
      </c>
      <c r="G2018" s="4" t="str">
        <f aca="false">IF($A2018="","",TRIM(Base_Bruta!G2018))</f>
        <v>Meia</v>
      </c>
      <c r="H2018" s="4" t="n">
        <f aca="false">IF($A2018="","",IF(ISNUMBER(Base_Bruta!H2018),Base_Bruta!H2018,IFERROR(_xlfn.NUMBERVALUE(TRIM(SUBSTITUTE(Base_Bruta!H2018,"R$","")),",","."),0)))</f>
        <v>3</v>
      </c>
      <c r="I2018" s="6" t="n">
        <f aca="false">IF($A2018="","",IF(ISNUMBER(Base_Bruta!I2018),Base_Bruta!I2018,IFERROR(_xlfn.NUMBERVALUE(TRIM(SUBSTITUTE(Base_Bruta!I2018,"R$","")),",","."),0)))</f>
        <v>162.5</v>
      </c>
      <c r="J2018" s="6" t="n">
        <f aca="false">IF($A2018="","",H2018*I2018)</f>
        <v>487.5</v>
      </c>
      <c r="K2018" s="4" t="str">
        <f aca="false">IF($A2018="","",TRIM(Base_Bruta!J2018))</f>
        <v>Bilheteria</v>
      </c>
      <c r="L2018" s="4" t="str">
        <f aca="false">IF($A2018="","",TRIM(Base_Bruta!K2018))</f>
        <v>C00036</v>
      </c>
      <c r="M2018" s="4" t="str">
        <f aca="false">IF($A2018="","",_xlfn.XLOOKUP(LOWER(TRIM(Base_Bruta!L2018)),DePara_Cidade!$A$2:$A$29,DePara_Cidade!$B$2:$B$29,"REVISAR"))</f>
        <v>Belo Horizonte</v>
      </c>
      <c r="N2018" s="4" t="str">
        <f aca="false">IF($A2018="","",UPPER(TRIM(Base_Bruta!M2018)))</f>
        <v>MG</v>
      </c>
      <c r="O2018" s="4" t="str">
        <f aca="false">IF($A2018="","",_xlfn.XLOOKUP(LOWER(TRIM(Base_Bruta!N2018)),DePara_Pais!$A$2:$A$9,DePara_Pais!$B$2:$B$9,"REVISAR"))</f>
        <v>Brasil</v>
      </c>
      <c r="P2018" s="4" t="str">
        <f aca="false">IF($A2018="","",IF(O2018&lt;&gt;"Brasil","Turista Internacional",IF(M2018=F2018,"Local","Turista Nacional")))</f>
        <v>Local</v>
      </c>
      <c r="Q2018" s="7" t="n">
        <f aca="false">IF($A2018="","",DATE(YEAR(B2018),MONTH(B2018),1))</f>
        <v>46054</v>
      </c>
      <c r="R2018" s="4" t="str">
        <f aca="false">IF($A2018="","",IF(COUNTIF($A$2:$A2018,$A2018)&gt;1,"Sim","Não"))</f>
        <v>Não</v>
      </c>
      <c r="S2018" s="4" t="str">
        <f aca="false">IF(A2018="","Descartar - Linha vazia",IF(R2018="Sim","Descartar - Duplicado",IF(OR(H2018&lt;=0,I2018&lt;=0),"Descartar - Qtd/Valor inválido","OK")))</f>
        <v>OK</v>
      </c>
      <c r="T2018" s="4" t="str">
        <f aca="false">Base_Bruta!P2018</f>
        <v>vendas_MG.csv</v>
      </c>
    </row>
    <row r="2019" customFormat="false" ht="15" hidden="false" customHeight="false" outlineLevel="0" collapsed="false">
      <c r="A2019" s="4" t="str">
        <f aca="false">IF(Base_Bruta!A2019="","",Base_Bruta!A2019)</f>
        <v>MG-000299</v>
      </c>
      <c r="B2019" s="5" t="n">
        <f aca="false">IF($A2019="","",IF(ISNUMBER(Base_Bruta!B2019),Base_Bruta!B2019,IF(MID(Base_Bruta!B2019,5,1)="-",DATE(VALUE(LEFT(Base_Bruta!B2019,4)),VALUE(MID(Base_Bruta!B2019,6,2)),VALUE(RIGHT(Base_Bruta!B2019,2))),DATE(VALUE(RIGHT(Base_Bruta!B2019,4)),VALUE(MID(Base_Bruta!B2019,4,2)),VALUE(LEFT(Base_Bruta!B2019,2))))))</f>
        <v>46075</v>
      </c>
      <c r="C2019" s="5" t="n">
        <f aca="false">IF($A2019="","",IF(ISNUMBER(Base_Bruta!C2019),Base_Bruta!C2019,IF(MID(Base_Bruta!C2019,5,1)="-",DATE(VALUE(LEFT(Base_Bruta!C2019,4)),VALUE(MID(Base_Bruta!C2019,6,2)),VALUE(RIGHT(Base_Bruta!C2019,2))),DATE(VALUE(RIGHT(Base_Bruta!C2019,4)),VALUE(MID(Base_Bruta!C2019,4,2)),VALUE(LEFT(Base_Bruta!C2019,2))))))</f>
        <v>46081</v>
      </c>
      <c r="D2019" s="4" t="str">
        <f aca="false">IF($A2019="","",TRIM(Base_Bruta!D2019))</f>
        <v>Show Sertanejo - BH</v>
      </c>
      <c r="E2019" s="4" t="str">
        <f aca="false">IF($A2019="","",_xlfn.XLOOKUP(LOWER(TRIM(Base_Bruta!E2019)),DePara_Categoria!$A$2:$A$9,DePara_Categoria!$B$2:$B$9,"REVISAR"))</f>
        <v>Show</v>
      </c>
      <c r="F2019" s="4" t="str">
        <f aca="false">IF($A2019="","",_xlfn.XLOOKUP(LOWER(TRIM(Base_Bruta!F2019)),DePara_Cidade!$A$2:$A$29,DePara_Cidade!$B$2:$B$29,"REVISAR"))</f>
        <v>Belo Horizonte</v>
      </c>
      <c r="G2019" s="4" t="str">
        <f aca="false">IF($A2019="","",TRIM(Base_Bruta!G2019))</f>
        <v>VIP</v>
      </c>
      <c r="H2019" s="4" t="n">
        <f aca="false">IF($A2019="","",IF(ISNUMBER(Base_Bruta!H2019),Base_Bruta!H2019,IFERROR(_xlfn.NUMBERVALUE(TRIM(SUBSTITUTE(Base_Bruta!H2019,"R$","")),",","."),0)))</f>
        <v>1</v>
      </c>
      <c r="I2019" s="6" t="n">
        <f aca="false">IF($A2019="","",IF(ISNUMBER(Base_Bruta!I2019),Base_Bruta!I2019,IFERROR(_xlfn.NUMBERVALUE(TRIM(SUBSTITUTE(Base_Bruta!I2019,"R$","")),",","."),0)))</f>
        <v>570</v>
      </c>
      <c r="J2019" s="6" t="n">
        <f aca="false">IF($A2019="","",H2019*I2019)</f>
        <v>570</v>
      </c>
      <c r="K2019" s="4" t="str">
        <f aca="false">IF($A2019="","",TRIM(Base_Bruta!J2019))</f>
        <v>Bilheteria</v>
      </c>
      <c r="L2019" s="4" t="str">
        <f aca="false">IF($A2019="","",TRIM(Base_Bruta!K2019))</f>
        <v>C01616</v>
      </c>
      <c r="M2019" s="4" t="str">
        <f aca="false">IF($A2019="","",_xlfn.XLOOKUP(LOWER(TRIM(Base_Bruta!L2019)),DePara_Cidade!$A$2:$A$29,DePara_Cidade!$B$2:$B$29,"REVISAR"))</f>
        <v>Belo Horizonte</v>
      </c>
      <c r="N2019" s="4" t="str">
        <f aca="false">IF($A2019="","",UPPER(TRIM(Base_Bruta!M2019)))</f>
        <v>MG</v>
      </c>
      <c r="O2019" s="4" t="str">
        <f aca="false">IF($A2019="","",_xlfn.XLOOKUP(LOWER(TRIM(Base_Bruta!N2019)),DePara_Pais!$A$2:$A$9,DePara_Pais!$B$2:$B$9,"REVISAR"))</f>
        <v>Brasil</v>
      </c>
      <c r="P2019" s="4" t="str">
        <f aca="false">IF($A2019="","",IF(O2019&lt;&gt;"Brasil","Turista Internacional",IF(M2019=F2019,"Local","Turista Nacional")))</f>
        <v>Local</v>
      </c>
      <c r="Q2019" s="7" t="n">
        <f aca="false">IF($A2019="","",DATE(YEAR(B2019),MONTH(B2019),1))</f>
        <v>46054</v>
      </c>
      <c r="R2019" s="4" t="str">
        <f aca="false">IF($A2019="","",IF(COUNTIF($A$2:$A2019,$A2019)&gt;1,"Sim","Não"))</f>
        <v>Não</v>
      </c>
      <c r="S2019" s="4" t="str">
        <f aca="false">IF(A2019="","Descartar - Linha vazia",IF(R2019="Sim","Descartar - Duplicado",IF(OR(H2019&lt;=0,I2019&lt;=0),"Descartar - Qtd/Valor inválido","OK")))</f>
        <v>OK</v>
      </c>
      <c r="T2019" s="4" t="str">
        <f aca="false">Base_Bruta!P2019</f>
        <v>vendas_MG.csv</v>
      </c>
    </row>
    <row r="2020" customFormat="false" ht="15" hidden="false" customHeight="false" outlineLevel="0" collapsed="false">
      <c r="A2020" s="4" t="str">
        <f aca="false">IF(Base_Bruta!A2020="","",Base_Bruta!A2020)</f>
        <v>MG-000335</v>
      </c>
      <c r="B2020" s="5" t="n">
        <f aca="false">IF($A2020="","",IF(ISNUMBER(Base_Bruta!B2020),Base_Bruta!B2020,IF(MID(Base_Bruta!B2020,5,1)="-",DATE(VALUE(LEFT(Base_Bruta!B2020,4)),VALUE(MID(Base_Bruta!B2020,6,2)),VALUE(RIGHT(Base_Bruta!B2020,2))),DATE(VALUE(RIGHT(Base_Bruta!B2020,4)),VALUE(MID(Base_Bruta!B2020,4,2)),VALUE(LEFT(Base_Bruta!B2020,2))))))</f>
        <v>46075</v>
      </c>
      <c r="C2020" s="5" t="n">
        <f aca="false">IF($A2020="","",IF(ISNUMBER(Base_Bruta!C2020),Base_Bruta!C2020,IF(MID(Base_Bruta!C2020,5,1)="-",DATE(VALUE(LEFT(Base_Bruta!C2020,4)),VALUE(MID(Base_Bruta!C2020,6,2)),VALUE(RIGHT(Base_Bruta!C2020,2))),DATE(VALUE(RIGHT(Base_Bruta!C2020,4)),VALUE(MID(Base_Bruta!C2020,4,2)),VALUE(LEFT(Base_Bruta!C2020,2))))))</f>
        <v>46081</v>
      </c>
      <c r="D2020" s="4" t="str">
        <f aca="false">IF($A2020="","",TRIM(Base_Bruta!D2020))</f>
        <v>Show Sertanejo - BH</v>
      </c>
      <c r="E2020" s="4" t="str">
        <f aca="false">IF($A2020="","",_xlfn.XLOOKUP(LOWER(TRIM(Base_Bruta!E2020)),DePara_Categoria!$A$2:$A$9,DePara_Categoria!$B$2:$B$9,"REVISAR"))</f>
        <v>Show</v>
      </c>
      <c r="F2020" s="4" t="str">
        <f aca="false">IF($A2020="","",_xlfn.XLOOKUP(LOWER(TRIM(Base_Bruta!F2020)),DePara_Cidade!$A$2:$A$29,DePara_Cidade!$B$2:$B$29,"REVISAR"))</f>
        <v>Belo Horizonte</v>
      </c>
      <c r="G2020" s="4" t="str">
        <f aca="false">IF($A2020="","",TRIM(Base_Bruta!G2020))</f>
        <v>Inteira</v>
      </c>
      <c r="H2020" s="4" t="n">
        <f aca="false">IF($A2020="","",IF(ISNUMBER(Base_Bruta!H2020),Base_Bruta!H2020,IFERROR(_xlfn.NUMBERVALUE(TRIM(SUBSTITUTE(Base_Bruta!H2020,"R$","")),",","."),0)))</f>
        <v>4</v>
      </c>
      <c r="I2020" s="6" t="n">
        <f aca="false">IF($A2020="","",IF(ISNUMBER(Base_Bruta!I2020),Base_Bruta!I2020,IFERROR(_xlfn.NUMBERVALUE(TRIM(SUBSTITUTE(Base_Bruta!I2020,"R$","")),",","."),0)))</f>
        <v>645</v>
      </c>
      <c r="J2020" s="6" t="n">
        <f aca="false">IF($A2020="","",H2020*I2020)</f>
        <v>2580</v>
      </c>
      <c r="K2020" s="4" t="str">
        <f aca="false">IF($A2020="","",TRIM(Base_Bruta!J2020))</f>
        <v>Bilheteria</v>
      </c>
      <c r="L2020" s="4" t="str">
        <f aca="false">IF($A2020="","",TRIM(Base_Bruta!K2020))</f>
        <v>C02032</v>
      </c>
      <c r="M2020" s="4" t="str">
        <f aca="false">IF($A2020="","",_xlfn.XLOOKUP(LOWER(TRIM(Base_Bruta!L2020)),DePara_Cidade!$A$2:$A$29,DePara_Cidade!$B$2:$B$29,"REVISAR"))</f>
        <v>Belo Horizonte</v>
      </c>
      <c r="N2020" s="4" t="str">
        <f aca="false">IF($A2020="","",UPPER(TRIM(Base_Bruta!M2020)))</f>
        <v>MG</v>
      </c>
      <c r="O2020" s="4" t="str">
        <f aca="false">IF($A2020="","",_xlfn.XLOOKUP(LOWER(TRIM(Base_Bruta!N2020)),DePara_Pais!$A$2:$A$9,DePara_Pais!$B$2:$B$9,"REVISAR"))</f>
        <v>Brasil</v>
      </c>
      <c r="P2020" s="4" t="str">
        <f aca="false">IF($A2020="","",IF(O2020&lt;&gt;"Brasil","Turista Internacional",IF(M2020=F2020,"Local","Turista Nacional")))</f>
        <v>Local</v>
      </c>
      <c r="Q2020" s="7" t="n">
        <f aca="false">IF($A2020="","",DATE(YEAR(B2020),MONTH(B2020),1))</f>
        <v>46054</v>
      </c>
      <c r="R2020" s="4" t="str">
        <f aca="false">IF($A2020="","",IF(COUNTIF($A$2:$A2020,$A2020)&gt;1,"Sim","Não"))</f>
        <v>Não</v>
      </c>
      <c r="S2020" s="4" t="str">
        <f aca="false">IF(A2020="","Descartar - Linha vazia",IF(R2020="Sim","Descartar - Duplicado",IF(OR(H2020&lt;=0,I2020&lt;=0),"Descartar - Qtd/Valor inválido","OK")))</f>
        <v>OK</v>
      </c>
      <c r="T2020" s="4" t="str">
        <f aca="false">Base_Bruta!P2020</f>
        <v>vendas_MG.csv</v>
      </c>
    </row>
    <row r="2021" customFormat="false" ht="15" hidden="false" customHeight="false" outlineLevel="0" collapsed="false">
      <c r="A2021" s="4" t="str">
        <f aca="false">IF(Base_Bruta!A2021="","",Base_Bruta!A2021)</f>
        <v>MG-000264</v>
      </c>
      <c r="B2021" s="5" t="n">
        <f aca="false">IF($A2021="","",IF(ISNUMBER(Base_Bruta!B2021),Base_Bruta!B2021,IF(MID(Base_Bruta!B2021,5,1)="-",DATE(VALUE(LEFT(Base_Bruta!B2021,4)),VALUE(MID(Base_Bruta!B2021,6,2)),VALUE(RIGHT(Base_Bruta!B2021,2))),DATE(VALUE(RIGHT(Base_Bruta!B2021,4)),VALUE(MID(Base_Bruta!B2021,4,2)),VALUE(LEFT(Base_Bruta!B2021,2))))))</f>
        <v>46076</v>
      </c>
      <c r="C2021" s="5" t="n">
        <f aca="false">IF($A2021="","",IF(ISNUMBER(Base_Bruta!C2021),Base_Bruta!C2021,IF(MID(Base_Bruta!C2021,5,1)="-",DATE(VALUE(LEFT(Base_Bruta!C2021,4)),VALUE(MID(Base_Bruta!C2021,6,2)),VALUE(RIGHT(Base_Bruta!C2021,2))),DATE(VALUE(RIGHT(Base_Bruta!C2021,4)),VALUE(MID(Base_Bruta!C2021,4,2)),VALUE(LEFT(Base_Bruta!C2021,2))))))</f>
        <v>46081</v>
      </c>
      <c r="D2021" s="4" t="str">
        <f aca="false">IF($A2021="","",TRIM(Base_Bruta!D2021))</f>
        <v>Show Sertanejo - BH</v>
      </c>
      <c r="E2021" s="4" t="str">
        <f aca="false">IF($A2021="","",_xlfn.XLOOKUP(LOWER(TRIM(Base_Bruta!E2021)),DePara_Categoria!$A$2:$A$9,DePara_Categoria!$B$2:$B$9,"REVISAR"))</f>
        <v>Show</v>
      </c>
      <c r="F2021" s="4" t="str">
        <f aca="false">IF($A2021="","",_xlfn.XLOOKUP(LOWER(TRIM(Base_Bruta!F2021)),DePara_Cidade!$A$2:$A$29,DePara_Cidade!$B$2:$B$29,"REVISAR"))</f>
        <v>Belo Horizonte</v>
      </c>
      <c r="G2021" s="4" t="str">
        <f aca="false">IF($A2021="","",TRIM(Base_Bruta!G2021))</f>
        <v>Meia</v>
      </c>
      <c r="H2021" s="4" t="n">
        <f aca="false">IF($A2021="","",IF(ISNUMBER(Base_Bruta!H2021),Base_Bruta!H2021,IFERROR(_xlfn.NUMBERVALUE(TRIM(SUBSTITUTE(Base_Bruta!H2021,"R$","")),",","."),0)))</f>
        <v>3</v>
      </c>
      <c r="I2021" s="6" t="n">
        <f aca="false">IF($A2021="","",IF(ISNUMBER(Base_Bruta!I2021),Base_Bruta!I2021,IFERROR(_xlfn.NUMBERVALUE(TRIM(SUBSTITUTE(Base_Bruta!I2021,"R$","")),",","."),0)))</f>
        <v>320</v>
      </c>
      <c r="J2021" s="6" t="n">
        <f aca="false">IF($A2021="","",H2021*I2021)</f>
        <v>960</v>
      </c>
      <c r="K2021" s="4" t="str">
        <f aca="false">IF($A2021="","",TRIM(Base_Bruta!J2021))</f>
        <v>Site</v>
      </c>
      <c r="L2021" s="4" t="str">
        <f aca="false">IF($A2021="","",TRIM(Base_Bruta!K2021))</f>
        <v>C01248</v>
      </c>
      <c r="M2021" s="4" t="str">
        <f aca="false">IF($A2021="","",_xlfn.XLOOKUP(LOWER(TRIM(Base_Bruta!L2021)),DePara_Cidade!$A$2:$A$29,DePara_Cidade!$B$2:$B$29,"REVISAR"))</f>
        <v>Rio de Janeiro</v>
      </c>
      <c r="N2021" s="4" t="str">
        <f aca="false">IF($A2021="","",UPPER(TRIM(Base_Bruta!M2021)))</f>
        <v>RJ</v>
      </c>
      <c r="O2021" s="4" t="str">
        <f aca="false">IF($A2021="","",_xlfn.XLOOKUP(LOWER(TRIM(Base_Bruta!N2021)),DePara_Pais!$A$2:$A$9,DePara_Pais!$B$2:$B$9,"REVISAR"))</f>
        <v>Brasil</v>
      </c>
      <c r="P2021" s="4" t="str">
        <f aca="false">IF($A2021="","",IF(O2021&lt;&gt;"Brasil","Turista Internacional",IF(M2021=F2021,"Local","Turista Nacional")))</f>
        <v>Turista Nacional</v>
      </c>
      <c r="Q2021" s="7" t="n">
        <f aca="false">IF($A2021="","",DATE(YEAR(B2021),MONTH(B2021),1))</f>
        <v>46054</v>
      </c>
      <c r="R2021" s="4" t="str">
        <f aca="false">IF($A2021="","",IF(COUNTIF($A$2:$A2021,$A2021)&gt;1,"Sim","Não"))</f>
        <v>Não</v>
      </c>
      <c r="S2021" s="4" t="str">
        <f aca="false">IF(A2021="","Descartar - Linha vazia",IF(R2021="Sim","Descartar - Duplicado",IF(OR(H2021&lt;=0,I2021&lt;=0),"Descartar - Qtd/Valor inválido","OK")))</f>
        <v>OK</v>
      </c>
      <c r="T2021" s="4" t="str">
        <f aca="false">Base_Bruta!P2021</f>
        <v>vendas_MG.csv</v>
      </c>
    </row>
    <row r="2022" customFormat="false" ht="15" hidden="false" customHeight="false" outlineLevel="0" collapsed="false">
      <c r="A2022" s="4" t="str">
        <f aca="false">IF(Base_Bruta!A2022="","",Base_Bruta!A2022)</f>
        <v>MG-000354</v>
      </c>
      <c r="B2022" s="5" t="n">
        <f aca="false">IF($A2022="","",IF(ISNUMBER(Base_Bruta!B2022),Base_Bruta!B2022,IF(MID(Base_Bruta!B2022,5,1)="-",DATE(VALUE(LEFT(Base_Bruta!B2022,4)),VALUE(MID(Base_Bruta!B2022,6,2)),VALUE(RIGHT(Base_Bruta!B2022,2))),DATE(VALUE(RIGHT(Base_Bruta!B2022,4)),VALUE(MID(Base_Bruta!B2022,4,2)),VALUE(LEFT(Base_Bruta!B2022,2))))))</f>
        <v>46076</v>
      </c>
      <c r="C2022" s="5" t="n">
        <f aca="false">IF($A2022="","",IF(ISNUMBER(Base_Bruta!C2022),Base_Bruta!C2022,IF(MID(Base_Bruta!C2022,5,1)="-",DATE(VALUE(LEFT(Base_Bruta!C2022,4)),VALUE(MID(Base_Bruta!C2022,6,2)),VALUE(RIGHT(Base_Bruta!C2022,2))),DATE(VALUE(RIGHT(Base_Bruta!C2022,4)),VALUE(MID(Base_Bruta!C2022,4,2)),VALUE(LEFT(Base_Bruta!C2022,2))))))</f>
        <v>46081</v>
      </c>
      <c r="D2022" s="4" t="str">
        <f aca="false">IF($A2022="","",TRIM(Base_Bruta!D2022))</f>
        <v>Show Sertanejo - BH</v>
      </c>
      <c r="E2022" s="4" t="str">
        <f aca="false">IF($A2022="","",_xlfn.XLOOKUP(LOWER(TRIM(Base_Bruta!E2022)),DePara_Categoria!$A$2:$A$9,DePara_Categoria!$B$2:$B$9,"REVISAR"))</f>
        <v>Show</v>
      </c>
      <c r="F2022" s="4" t="str">
        <f aca="false">IF($A2022="","",_xlfn.XLOOKUP(LOWER(TRIM(Base_Bruta!F2022)),DePara_Cidade!$A$2:$A$29,DePara_Cidade!$B$2:$B$29,"REVISAR"))</f>
        <v>Belo Horizonte</v>
      </c>
      <c r="G2022" s="4" t="str">
        <f aca="false">IF($A2022="","",TRIM(Base_Bruta!G2022))</f>
        <v>Meia</v>
      </c>
      <c r="H2022" s="4" t="n">
        <f aca="false">IF($A2022="","",IF(ISNUMBER(Base_Bruta!H2022),Base_Bruta!H2022,IFERROR(_xlfn.NUMBERVALUE(TRIM(SUBSTITUTE(Base_Bruta!H2022,"R$","")),",","."),0)))</f>
        <v>1</v>
      </c>
      <c r="I2022" s="6" t="n">
        <f aca="false">IF($A2022="","",IF(ISNUMBER(Base_Bruta!I2022),Base_Bruta!I2022,IFERROR(_xlfn.NUMBERVALUE(TRIM(SUBSTITUTE(Base_Bruta!I2022,"R$","")),",","."),0)))</f>
        <v>210</v>
      </c>
      <c r="J2022" s="6" t="n">
        <f aca="false">IF($A2022="","",H2022*I2022)</f>
        <v>210</v>
      </c>
      <c r="K2022" s="4" t="str">
        <f aca="false">IF($A2022="","",TRIM(Base_Bruta!J2022))</f>
        <v>Bilheteria</v>
      </c>
      <c r="L2022" s="4" t="str">
        <f aca="false">IF($A2022="","",TRIM(Base_Bruta!K2022))</f>
        <v>C01615</v>
      </c>
      <c r="M2022" s="4" t="str">
        <f aca="false">IF($A2022="","",_xlfn.XLOOKUP(LOWER(TRIM(Base_Bruta!L2022)),DePara_Cidade!$A$2:$A$29,DePara_Cidade!$B$2:$B$29,"REVISAR"))</f>
        <v>Belo Horizonte</v>
      </c>
      <c r="N2022" s="4" t="str">
        <f aca="false">IF($A2022="","",UPPER(TRIM(Base_Bruta!M2022)))</f>
        <v>MG</v>
      </c>
      <c r="O2022" s="4" t="str">
        <f aca="false">IF($A2022="","",_xlfn.XLOOKUP(LOWER(TRIM(Base_Bruta!N2022)),DePara_Pais!$A$2:$A$9,DePara_Pais!$B$2:$B$9,"REVISAR"))</f>
        <v>Brasil</v>
      </c>
      <c r="P2022" s="4" t="str">
        <f aca="false">IF($A2022="","",IF(O2022&lt;&gt;"Brasil","Turista Internacional",IF(M2022=F2022,"Local","Turista Nacional")))</f>
        <v>Local</v>
      </c>
      <c r="Q2022" s="7" t="n">
        <f aca="false">IF($A2022="","",DATE(YEAR(B2022),MONTH(B2022),1))</f>
        <v>46054</v>
      </c>
      <c r="R2022" s="4" t="str">
        <f aca="false">IF($A2022="","",IF(COUNTIF($A$2:$A2022,$A2022)&gt;1,"Sim","Não"))</f>
        <v>Não</v>
      </c>
      <c r="S2022" s="4" t="str">
        <f aca="false">IF(A2022="","Descartar - Linha vazia",IF(R2022="Sim","Descartar - Duplicado",IF(OR(H2022&lt;=0,I2022&lt;=0),"Descartar - Qtd/Valor inválido","OK")))</f>
        <v>OK</v>
      </c>
      <c r="T2022" s="4" t="str">
        <f aca="false">Base_Bruta!P2022</f>
        <v>vendas_MG.csv</v>
      </c>
    </row>
    <row r="2023" customFormat="false" ht="15" hidden="false" customHeight="false" outlineLevel="0" collapsed="false">
      <c r="A2023" s="4" t="str">
        <f aca="false">IF(Base_Bruta!A2023="","",Base_Bruta!A2023)</f>
        <v>MG-000364</v>
      </c>
      <c r="B2023" s="5" t="n">
        <f aca="false">IF($A2023="","",IF(ISNUMBER(Base_Bruta!B2023),Base_Bruta!B2023,IF(MID(Base_Bruta!B2023,5,1)="-",DATE(VALUE(LEFT(Base_Bruta!B2023,4)),VALUE(MID(Base_Bruta!B2023,6,2)),VALUE(RIGHT(Base_Bruta!B2023,2))),DATE(VALUE(RIGHT(Base_Bruta!B2023,4)),VALUE(MID(Base_Bruta!B2023,4,2)),VALUE(LEFT(Base_Bruta!B2023,2))))))</f>
        <v>46076</v>
      </c>
      <c r="C2023" s="5" t="n">
        <f aca="false">IF($A2023="","",IF(ISNUMBER(Base_Bruta!C2023),Base_Bruta!C2023,IF(MID(Base_Bruta!C2023,5,1)="-",DATE(VALUE(LEFT(Base_Bruta!C2023,4)),VALUE(MID(Base_Bruta!C2023,6,2)),VALUE(RIGHT(Base_Bruta!C2023,2))),DATE(VALUE(RIGHT(Base_Bruta!C2023,4)),VALUE(MID(Base_Bruta!C2023,4,2)),VALUE(LEFT(Base_Bruta!C2023,2))))))</f>
        <v>46081</v>
      </c>
      <c r="D2023" s="4" t="str">
        <f aca="false">IF($A2023="","",TRIM(Base_Bruta!D2023))</f>
        <v>Show Sertanejo - BH</v>
      </c>
      <c r="E2023" s="4" t="str">
        <f aca="false">IF($A2023="","",_xlfn.XLOOKUP(LOWER(TRIM(Base_Bruta!E2023)),DePara_Categoria!$A$2:$A$9,DePara_Categoria!$B$2:$B$9,"REVISAR"))</f>
        <v>Show</v>
      </c>
      <c r="F2023" s="4" t="str">
        <f aca="false">IF($A2023="","",_xlfn.XLOOKUP(LOWER(TRIM(Base_Bruta!F2023)),DePara_Cidade!$A$2:$A$29,DePara_Cidade!$B$2:$B$29,"REVISAR"))</f>
        <v>Belo Horizonte</v>
      </c>
      <c r="G2023" s="4" t="str">
        <f aca="false">IF($A2023="","",TRIM(Base_Bruta!G2023))</f>
        <v>Inteira</v>
      </c>
      <c r="H2023" s="4" t="n">
        <f aca="false">IF($A2023="","",IF(ISNUMBER(Base_Bruta!H2023),Base_Bruta!H2023,IFERROR(_xlfn.NUMBERVALUE(TRIM(SUBSTITUTE(Base_Bruta!H2023,"R$","")),",","."),0)))</f>
        <v>1</v>
      </c>
      <c r="I2023" s="6" t="n">
        <f aca="false">IF($A2023="","",IF(ISNUMBER(Base_Bruta!I2023),Base_Bruta!I2023,IFERROR(_xlfn.NUMBERVALUE(TRIM(SUBSTITUTE(Base_Bruta!I2023,"R$","")),",","."),0)))</f>
        <v>235</v>
      </c>
      <c r="J2023" s="6" t="n">
        <f aca="false">IF($A2023="","",H2023*I2023)</f>
        <v>235</v>
      </c>
      <c r="K2023" s="4" t="str">
        <f aca="false">IF($A2023="","",TRIM(Base_Bruta!J2023))</f>
        <v>Site</v>
      </c>
      <c r="L2023" s="4" t="str">
        <f aca="false">IF($A2023="","",TRIM(Base_Bruta!K2023))</f>
        <v>C00637</v>
      </c>
      <c r="M2023" s="4" t="str">
        <f aca="false">IF($A2023="","",_xlfn.XLOOKUP(LOWER(TRIM(Base_Bruta!L2023)),DePara_Cidade!$A$2:$A$29,DePara_Cidade!$B$2:$B$29,"REVISAR"))</f>
        <v>Belo Horizonte</v>
      </c>
      <c r="N2023" s="4" t="str">
        <f aca="false">IF($A2023="","",UPPER(TRIM(Base_Bruta!M2023)))</f>
        <v>MG</v>
      </c>
      <c r="O2023" s="4" t="str">
        <f aca="false">IF($A2023="","",_xlfn.XLOOKUP(LOWER(TRIM(Base_Bruta!N2023)),DePara_Pais!$A$2:$A$9,DePara_Pais!$B$2:$B$9,"REVISAR"))</f>
        <v>Brasil</v>
      </c>
      <c r="P2023" s="4" t="str">
        <f aca="false">IF($A2023="","",IF(O2023&lt;&gt;"Brasil","Turista Internacional",IF(M2023=F2023,"Local","Turista Nacional")))</f>
        <v>Local</v>
      </c>
      <c r="Q2023" s="7" t="n">
        <f aca="false">IF($A2023="","",DATE(YEAR(B2023),MONTH(B2023),1))</f>
        <v>46054</v>
      </c>
      <c r="R2023" s="4" t="str">
        <f aca="false">IF($A2023="","",IF(COUNTIF($A$2:$A2023,$A2023)&gt;1,"Sim","Não"))</f>
        <v>Não</v>
      </c>
      <c r="S2023" s="4" t="str">
        <f aca="false">IF(A2023="","Descartar - Linha vazia",IF(R2023="Sim","Descartar - Duplicado",IF(OR(H2023&lt;=0,I2023&lt;=0),"Descartar - Qtd/Valor inválido","OK")))</f>
        <v>OK</v>
      </c>
      <c r="T2023" s="4" t="str">
        <f aca="false">Base_Bruta!P2023</f>
        <v>vendas_MG.csv</v>
      </c>
    </row>
    <row r="2024" customFormat="false" ht="15" hidden="false" customHeight="false" outlineLevel="0" collapsed="false">
      <c r="A2024" s="4" t="str">
        <f aca="false">IF(Base_Bruta!A2024="","",Base_Bruta!A2024)</f>
        <v>MG-000371</v>
      </c>
      <c r="B2024" s="5" t="n">
        <f aca="false">IF($A2024="","",IF(ISNUMBER(Base_Bruta!B2024),Base_Bruta!B2024,IF(MID(Base_Bruta!B2024,5,1)="-",DATE(VALUE(LEFT(Base_Bruta!B2024,4)),VALUE(MID(Base_Bruta!B2024,6,2)),VALUE(RIGHT(Base_Bruta!B2024,2))),DATE(VALUE(RIGHT(Base_Bruta!B2024,4)),VALUE(MID(Base_Bruta!B2024,4,2)),VALUE(LEFT(Base_Bruta!B2024,2))))))</f>
        <v>46076</v>
      </c>
      <c r="C2024" s="5" t="n">
        <f aca="false">IF($A2024="","",IF(ISNUMBER(Base_Bruta!C2024),Base_Bruta!C2024,IF(MID(Base_Bruta!C2024,5,1)="-",DATE(VALUE(LEFT(Base_Bruta!C2024,4)),VALUE(MID(Base_Bruta!C2024,6,2)),VALUE(RIGHT(Base_Bruta!C2024,2))),DATE(VALUE(RIGHT(Base_Bruta!C2024,4)),VALUE(MID(Base_Bruta!C2024,4,2)),VALUE(LEFT(Base_Bruta!C2024,2))))))</f>
        <v>46081</v>
      </c>
      <c r="D2024" s="4" t="str">
        <f aca="false">IF($A2024="","",TRIM(Base_Bruta!D2024))</f>
        <v>Show Sertanejo - BH</v>
      </c>
      <c r="E2024" s="4" t="str">
        <f aca="false">IF($A2024="","",_xlfn.XLOOKUP(LOWER(TRIM(Base_Bruta!E2024)),DePara_Categoria!$A$2:$A$9,DePara_Categoria!$B$2:$B$9,"REVISAR"))</f>
        <v>Show</v>
      </c>
      <c r="F2024" s="4" t="str">
        <f aca="false">IF($A2024="","",_xlfn.XLOOKUP(LOWER(TRIM(Base_Bruta!F2024)),DePara_Cidade!$A$2:$A$29,DePara_Cidade!$B$2:$B$29,"REVISAR"))</f>
        <v>Belo Horizonte</v>
      </c>
      <c r="G2024" s="4" t="str">
        <f aca="false">IF($A2024="","",TRIM(Base_Bruta!G2024))</f>
        <v>Inteira</v>
      </c>
      <c r="H2024" s="4" t="n">
        <f aca="false">IF($A2024="","",IF(ISNUMBER(Base_Bruta!H2024),Base_Bruta!H2024,IFERROR(_xlfn.NUMBERVALUE(TRIM(SUBSTITUTE(Base_Bruta!H2024,"R$","")),",","."),0)))</f>
        <v>3</v>
      </c>
      <c r="I2024" s="6" t="n">
        <f aca="false">IF($A2024="","",IF(ISNUMBER(Base_Bruta!I2024),Base_Bruta!I2024,IFERROR(_xlfn.NUMBERVALUE(TRIM(SUBSTITUTE(Base_Bruta!I2024,"R$","")),",","."),0)))</f>
        <v>595</v>
      </c>
      <c r="J2024" s="6" t="n">
        <f aca="false">IF($A2024="","",H2024*I2024)</f>
        <v>1785</v>
      </c>
      <c r="K2024" s="4" t="str">
        <f aca="false">IF($A2024="","",TRIM(Base_Bruta!J2024))</f>
        <v>Site</v>
      </c>
      <c r="L2024" s="4" t="str">
        <f aca="false">IF($A2024="","",TRIM(Base_Bruta!K2024))</f>
        <v>C01316</v>
      </c>
      <c r="M2024" s="4" t="str">
        <f aca="false">IF($A2024="","",_xlfn.XLOOKUP(LOWER(TRIM(Base_Bruta!L2024)),DePara_Cidade!$A$2:$A$29,DePara_Cidade!$B$2:$B$29,"REVISAR"))</f>
        <v>Belo Horizonte</v>
      </c>
      <c r="N2024" s="4" t="str">
        <f aca="false">IF($A2024="","",UPPER(TRIM(Base_Bruta!M2024)))</f>
        <v>MG</v>
      </c>
      <c r="O2024" s="4" t="str">
        <f aca="false">IF($A2024="","",_xlfn.XLOOKUP(LOWER(TRIM(Base_Bruta!N2024)),DePara_Pais!$A$2:$A$9,DePara_Pais!$B$2:$B$9,"REVISAR"))</f>
        <v>Brasil</v>
      </c>
      <c r="P2024" s="4" t="str">
        <f aca="false">IF($A2024="","",IF(O2024&lt;&gt;"Brasil","Turista Internacional",IF(M2024=F2024,"Local","Turista Nacional")))</f>
        <v>Local</v>
      </c>
      <c r="Q2024" s="7" t="n">
        <f aca="false">IF($A2024="","",DATE(YEAR(B2024),MONTH(B2024),1))</f>
        <v>46054</v>
      </c>
      <c r="R2024" s="4" t="str">
        <f aca="false">IF($A2024="","",IF(COUNTIF($A$2:$A2024,$A2024)&gt;1,"Sim","Não"))</f>
        <v>Não</v>
      </c>
      <c r="S2024" s="4" t="str">
        <f aca="false">IF(A2024="","Descartar - Linha vazia",IF(R2024="Sim","Descartar - Duplicado",IF(OR(H2024&lt;=0,I2024&lt;=0),"Descartar - Qtd/Valor inválido","OK")))</f>
        <v>OK</v>
      </c>
      <c r="T2024" s="4" t="str">
        <f aca="false">Base_Bruta!P2024</f>
        <v>vendas_MG.csv</v>
      </c>
    </row>
    <row r="2025" customFormat="false" ht="15" hidden="false" customHeight="false" outlineLevel="0" collapsed="false">
      <c r="A2025" s="4" t="str">
        <f aca="false">IF(Base_Bruta!A2025="","",Base_Bruta!A2025)</f>
        <v>MG-000419</v>
      </c>
      <c r="B2025" s="5" t="n">
        <f aca="false">IF($A2025="","",IF(ISNUMBER(Base_Bruta!B2025),Base_Bruta!B2025,IF(MID(Base_Bruta!B2025,5,1)="-",DATE(VALUE(LEFT(Base_Bruta!B2025,4)),VALUE(MID(Base_Bruta!B2025,6,2)),VALUE(RIGHT(Base_Bruta!B2025,2))),DATE(VALUE(RIGHT(Base_Bruta!B2025,4)),VALUE(MID(Base_Bruta!B2025,4,2)),VALUE(LEFT(Base_Bruta!B2025,2))))))</f>
        <v>46076</v>
      </c>
      <c r="C2025" s="5" t="n">
        <f aca="false">IF($A2025="","",IF(ISNUMBER(Base_Bruta!C2025),Base_Bruta!C2025,IF(MID(Base_Bruta!C2025,5,1)="-",DATE(VALUE(LEFT(Base_Bruta!C2025,4)),VALUE(MID(Base_Bruta!C2025,6,2)),VALUE(RIGHT(Base_Bruta!C2025,2))),DATE(VALUE(RIGHT(Base_Bruta!C2025,4)),VALUE(MID(Base_Bruta!C2025,4,2)),VALUE(LEFT(Base_Bruta!C2025,2))))))</f>
        <v>46077</v>
      </c>
      <c r="D2025" s="4" t="str">
        <f aca="false">IF($A2025="","",TRIM(Base_Bruta!D2025))</f>
        <v>Cinema Savassi - Sessões</v>
      </c>
      <c r="E2025" s="4" t="str">
        <f aca="false">IF($A2025="","",_xlfn.XLOOKUP(LOWER(TRIM(Base_Bruta!E2025)),DePara_Categoria!$A$2:$A$9,DePara_Categoria!$B$2:$B$9,"REVISAR"))</f>
        <v>Cinema</v>
      </c>
      <c r="F2025" s="4" t="str">
        <f aca="false">IF($A2025="","",_xlfn.XLOOKUP(LOWER(TRIM(Base_Bruta!F2025)),DePara_Cidade!$A$2:$A$29,DePara_Cidade!$B$2:$B$29,"REVISAR"))</f>
        <v>Belo Horizonte</v>
      </c>
      <c r="G2025" s="4" t="str">
        <f aca="false">IF($A2025="","",TRIM(Base_Bruta!G2025))</f>
        <v>Meia</v>
      </c>
      <c r="H2025" s="4" t="n">
        <f aca="false">IF($A2025="","",IF(ISNUMBER(Base_Bruta!H2025),Base_Bruta!H2025,IFERROR(_xlfn.NUMBERVALUE(TRIM(SUBSTITUTE(Base_Bruta!H2025,"R$","")),",","."),0)))</f>
        <v>0</v>
      </c>
      <c r="I2025" s="6" t="n">
        <f aca="false">IF($A2025="","",IF(ISNUMBER(Base_Bruta!I2025),Base_Bruta!I2025,IFERROR(_xlfn.NUMBERVALUE(TRIM(SUBSTITUTE(Base_Bruta!I2025,"R$","")),",","."),0)))</f>
        <v>15</v>
      </c>
      <c r="J2025" s="6" t="n">
        <f aca="false">IF($A2025="","",H2025*I2025)</f>
        <v>0</v>
      </c>
      <c r="K2025" s="4" t="str">
        <f aca="false">IF($A2025="","",TRIM(Base_Bruta!J2025))</f>
        <v>App</v>
      </c>
      <c r="L2025" s="4" t="str">
        <f aca="false">IF($A2025="","",TRIM(Base_Bruta!K2025))</f>
        <v>C02481</v>
      </c>
      <c r="M2025" s="4" t="str">
        <f aca="false">IF($A2025="","",_xlfn.XLOOKUP(LOWER(TRIM(Base_Bruta!L2025)),DePara_Cidade!$A$2:$A$29,DePara_Cidade!$B$2:$B$29,"REVISAR"))</f>
        <v>Belo Horizonte</v>
      </c>
      <c r="N2025" s="4" t="str">
        <f aca="false">IF($A2025="","",UPPER(TRIM(Base_Bruta!M2025)))</f>
        <v>MG</v>
      </c>
      <c r="O2025" s="4" t="str">
        <f aca="false">IF($A2025="","",_xlfn.XLOOKUP(LOWER(TRIM(Base_Bruta!N2025)),DePara_Pais!$A$2:$A$9,DePara_Pais!$B$2:$B$9,"REVISAR"))</f>
        <v>Brasil</v>
      </c>
      <c r="P2025" s="4" t="str">
        <f aca="false">IF($A2025="","",IF(O2025&lt;&gt;"Brasil","Turista Internacional",IF(M2025=F2025,"Local","Turista Nacional")))</f>
        <v>Local</v>
      </c>
      <c r="Q2025" s="7" t="n">
        <f aca="false">IF($A2025="","",DATE(YEAR(B2025),MONTH(B2025),1))</f>
        <v>46054</v>
      </c>
      <c r="R2025" s="4" t="str">
        <f aca="false">IF($A2025="","",IF(COUNTIF($A$2:$A2025,$A2025)&gt;1,"Sim","Não"))</f>
        <v>Não</v>
      </c>
      <c r="S2025" s="4" t="str">
        <f aca="false">IF(A2025="","Descartar - Linha vazia",IF(R2025="Sim","Descartar - Duplicado",IF(OR(H2025&lt;=0,I2025&lt;=0),"Descartar - Qtd/Valor inválido","OK")))</f>
        <v>Descartar - Qtd/Valor inválido</v>
      </c>
      <c r="T2025" s="4" t="str">
        <f aca="false">Base_Bruta!P2025</f>
        <v>vendas_MG.csv</v>
      </c>
    </row>
    <row r="2026" customFormat="false" ht="15" hidden="false" customHeight="false" outlineLevel="0" collapsed="false">
      <c r="A2026" s="4" t="str">
        <f aca="false">IF(Base_Bruta!A2026="","",Base_Bruta!A2026)</f>
        <v>MG-000317</v>
      </c>
      <c r="B2026" s="5" t="n">
        <f aca="false">IF($A2026="","",IF(ISNUMBER(Base_Bruta!B2026),Base_Bruta!B2026,IF(MID(Base_Bruta!B2026,5,1)="-",DATE(VALUE(LEFT(Base_Bruta!B2026,4)),VALUE(MID(Base_Bruta!B2026,6,2)),VALUE(RIGHT(Base_Bruta!B2026,2))),DATE(VALUE(RIGHT(Base_Bruta!B2026,4)),VALUE(MID(Base_Bruta!B2026,4,2)),VALUE(LEFT(Base_Bruta!B2026,2))))))</f>
        <v>46077</v>
      </c>
      <c r="C2026" s="5" t="n">
        <f aca="false">IF($A2026="","",IF(ISNUMBER(Base_Bruta!C2026),Base_Bruta!C2026,IF(MID(Base_Bruta!C2026,5,1)="-",DATE(VALUE(LEFT(Base_Bruta!C2026,4)),VALUE(MID(Base_Bruta!C2026,6,2)),VALUE(RIGHT(Base_Bruta!C2026,2))),DATE(VALUE(RIGHT(Base_Bruta!C2026,4)),VALUE(MID(Base_Bruta!C2026,4,2)),VALUE(LEFT(Base_Bruta!C2026,2))))))</f>
        <v>46081</v>
      </c>
      <c r="D2026" s="4" t="str">
        <f aca="false">IF($A2026="","",TRIM(Base_Bruta!D2026))</f>
        <v>Show Sertanejo - BH</v>
      </c>
      <c r="E2026" s="4" t="str">
        <f aca="false">IF($A2026="","",_xlfn.XLOOKUP(LOWER(TRIM(Base_Bruta!E2026)),DePara_Categoria!$A$2:$A$9,DePara_Categoria!$B$2:$B$9,"REVISAR"))</f>
        <v>Show</v>
      </c>
      <c r="F2026" s="4" t="str">
        <f aca="false">IF($A2026="","",_xlfn.XLOOKUP(LOWER(TRIM(Base_Bruta!F2026)),DePara_Cidade!$A$2:$A$29,DePara_Cidade!$B$2:$B$29,"REVISAR"))</f>
        <v>Belo Horizonte</v>
      </c>
      <c r="G2026" s="4" t="str">
        <f aca="false">IF($A2026="","",TRIM(Base_Bruta!G2026))</f>
        <v>Inteira</v>
      </c>
      <c r="H2026" s="4" t="n">
        <f aca="false">IF($A2026="","",IF(ISNUMBER(Base_Bruta!H2026),Base_Bruta!H2026,IFERROR(_xlfn.NUMBERVALUE(TRIM(SUBSTITUTE(Base_Bruta!H2026,"R$","")),",","."),0)))</f>
        <v>3</v>
      </c>
      <c r="I2026" s="6" t="n">
        <f aca="false">IF($A2026="","",IF(ISNUMBER(Base_Bruta!I2026),Base_Bruta!I2026,IFERROR(_xlfn.NUMBERVALUE(TRIM(SUBSTITUTE(Base_Bruta!I2026,"R$","")),",","."),0)))</f>
        <v>515</v>
      </c>
      <c r="J2026" s="6" t="n">
        <f aca="false">IF($A2026="","",H2026*I2026)</f>
        <v>1545</v>
      </c>
      <c r="K2026" s="4" t="str">
        <f aca="false">IF($A2026="","",TRIM(Base_Bruta!J2026))</f>
        <v>Site</v>
      </c>
      <c r="L2026" s="4" t="str">
        <f aca="false">IF($A2026="","",TRIM(Base_Bruta!K2026))</f>
        <v>C00036</v>
      </c>
      <c r="M2026" s="4" t="str">
        <f aca="false">IF($A2026="","",_xlfn.XLOOKUP(LOWER(TRIM(Base_Bruta!L2026)),DePara_Cidade!$A$2:$A$29,DePara_Cidade!$B$2:$B$29,"REVISAR"))</f>
        <v>Belo Horizonte</v>
      </c>
      <c r="N2026" s="4" t="str">
        <f aca="false">IF($A2026="","",UPPER(TRIM(Base_Bruta!M2026)))</f>
        <v>MG</v>
      </c>
      <c r="O2026" s="4" t="str">
        <f aca="false">IF($A2026="","",_xlfn.XLOOKUP(LOWER(TRIM(Base_Bruta!N2026)),DePara_Pais!$A$2:$A$9,DePara_Pais!$B$2:$B$9,"REVISAR"))</f>
        <v>Brasil</v>
      </c>
      <c r="P2026" s="4" t="str">
        <f aca="false">IF($A2026="","",IF(O2026&lt;&gt;"Brasil","Turista Internacional",IF(M2026=F2026,"Local","Turista Nacional")))</f>
        <v>Local</v>
      </c>
      <c r="Q2026" s="7" t="n">
        <f aca="false">IF($A2026="","",DATE(YEAR(B2026),MONTH(B2026),1))</f>
        <v>46054</v>
      </c>
      <c r="R2026" s="4" t="str">
        <f aca="false">IF($A2026="","",IF(COUNTIF($A$2:$A2026,$A2026)&gt;1,"Sim","Não"))</f>
        <v>Não</v>
      </c>
      <c r="S2026" s="4" t="str">
        <f aca="false">IF(A2026="","Descartar - Linha vazia",IF(R2026="Sim","Descartar - Duplicado",IF(OR(H2026&lt;=0,I2026&lt;=0),"Descartar - Qtd/Valor inválido","OK")))</f>
        <v>OK</v>
      </c>
      <c r="T2026" s="4" t="str">
        <f aca="false">Base_Bruta!P2026</f>
        <v>vendas_MG.csv</v>
      </c>
    </row>
    <row r="2027" customFormat="false" ht="15" hidden="false" customHeight="false" outlineLevel="0" collapsed="false">
      <c r="A2027" s="4" t="str">
        <f aca="false">IF(Base_Bruta!A2027="","",Base_Bruta!A2027)</f>
        <v>MG-000368</v>
      </c>
      <c r="B2027" s="5" t="n">
        <f aca="false">IF($A2027="","",IF(ISNUMBER(Base_Bruta!B2027),Base_Bruta!B2027,IF(MID(Base_Bruta!B2027,5,1)="-",DATE(VALUE(LEFT(Base_Bruta!B2027,4)),VALUE(MID(Base_Bruta!B2027,6,2)),VALUE(RIGHT(Base_Bruta!B2027,2))),DATE(VALUE(RIGHT(Base_Bruta!B2027,4)),VALUE(MID(Base_Bruta!B2027,4,2)),VALUE(LEFT(Base_Bruta!B2027,2))))))</f>
        <v>46077</v>
      </c>
      <c r="C2027" s="5" t="n">
        <f aca="false">IF($A2027="","",IF(ISNUMBER(Base_Bruta!C2027),Base_Bruta!C2027,IF(MID(Base_Bruta!C2027,5,1)="-",DATE(VALUE(LEFT(Base_Bruta!C2027,4)),VALUE(MID(Base_Bruta!C2027,6,2)),VALUE(RIGHT(Base_Bruta!C2027,2))),DATE(VALUE(RIGHT(Base_Bruta!C2027,4)),VALUE(MID(Base_Bruta!C2027,4,2)),VALUE(LEFT(Base_Bruta!C2027,2))))))</f>
        <v>46081</v>
      </c>
      <c r="D2027" s="4" t="str">
        <f aca="false">IF($A2027="","",TRIM(Base_Bruta!D2027))</f>
        <v>Show Sertanejo - BH</v>
      </c>
      <c r="E2027" s="4" t="str">
        <f aca="false">IF($A2027="","",_xlfn.XLOOKUP(LOWER(TRIM(Base_Bruta!E2027)),DePara_Categoria!$A$2:$A$9,DePara_Categoria!$B$2:$B$9,"REVISAR"))</f>
        <v>Show</v>
      </c>
      <c r="F2027" s="4" t="str">
        <f aca="false">IF($A2027="","",_xlfn.XLOOKUP(LOWER(TRIM(Base_Bruta!F2027)),DePara_Cidade!$A$2:$A$29,DePara_Cidade!$B$2:$B$29,"REVISAR"))</f>
        <v>Belo Horizonte</v>
      </c>
      <c r="G2027" s="4" t="str">
        <f aca="false">IF($A2027="","",TRIM(Base_Bruta!G2027))</f>
        <v>Meia</v>
      </c>
      <c r="H2027" s="4" t="n">
        <f aca="false">IF($A2027="","",IF(ISNUMBER(Base_Bruta!H2027),Base_Bruta!H2027,IFERROR(_xlfn.NUMBERVALUE(TRIM(SUBSTITUTE(Base_Bruta!H2027,"R$","")),",","."),0)))</f>
        <v>2</v>
      </c>
      <c r="I2027" s="6" t="n">
        <f aca="false">IF($A2027="","",IF(ISNUMBER(Base_Bruta!I2027),Base_Bruta!I2027,IFERROR(_xlfn.NUMBERVALUE(TRIM(SUBSTITUTE(Base_Bruta!I2027,"R$","")),",","."),0)))</f>
        <v>377.5</v>
      </c>
      <c r="J2027" s="6" t="n">
        <f aca="false">IF($A2027="","",H2027*I2027)</f>
        <v>755</v>
      </c>
      <c r="K2027" s="4" t="str">
        <f aca="false">IF($A2027="","",TRIM(Base_Bruta!J2027))</f>
        <v>App</v>
      </c>
      <c r="L2027" s="4" t="str">
        <f aca="false">IF($A2027="","",TRIM(Base_Bruta!K2027))</f>
        <v>C00129</v>
      </c>
      <c r="M2027" s="4" t="str">
        <f aca="false">IF($A2027="","",_xlfn.XLOOKUP(LOWER(TRIM(Base_Bruta!L2027)),DePara_Cidade!$A$2:$A$29,DePara_Cidade!$B$2:$B$29,"REVISAR"))</f>
        <v>Goiânia</v>
      </c>
      <c r="N2027" s="4" t="str">
        <f aca="false">IF($A2027="","",UPPER(TRIM(Base_Bruta!M2027)))</f>
        <v>GO</v>
      </c>
      <c r="O2027" s="4" t="str">
        <f aca="false">IF($A2027="","",_xlfn.XLOOKUP(LOWER(TRIM(Base_Bruta!N2027)),DePara_Pais!$A$2:$A$9,DePara_Pais!$B$2:$B$9,"REVISAR"))</f>
        <v>Brasil</v>
      </c>
      <c r="P2027" s="4" t="str">
        <f aca="false">IF($A2027="","",IF(O2027&lt;&gt;"Brasil","Turista Internacional",IF(M2027=F2027,"Local","Turista Nacional")))</f>
        <v>Turista Nacional</v>
      </c>
      <c r="Q2027" s="7" t="n">
        <f aca="false">IF($A2027="","",DATE(YEAR(B2027),MONTH(B2027),1))</f>
        <v>46054</v>
      </c>
      <c r="R2027" s="4" t="str">
        <f aca="false">IF($A2027="","",IF(COUNTIF($A$2:$A2027,$A2027)&gt;1,"Sim","Não"))</f>
        <v>Não</v>
      </c>
      <c r="S2027" s="4" t="str">
        <f aca="false">IF(A2027="","Descartar - Linha vazia",IF(R2027="Sim","Descartar - Duplicado",IF(OR(H2027&lt;=0,I2027&lt;=0),"Descartar - Qtd/Valor inválido","OK")))</f>
        <v>OK</v>
      </c>
      <c r="T2027" s="4" t="str">
        <f aca="false">Base_Bruta!P2027</f>
        <v>vendas_MG.csv</v>
      </c>
    </row>
    <row r="2028" customFormat="false" ht="15" hidden="false" customHeight="false" outlineLevel="0" collapsed="false">
      <c r="A2028" s="4" t="str">
        <f aca="false">IF(Base_Bruta!A2028="","",Base_Bruta!A2028)</f>
        <v>MG-000242</v>
      </c>
      <c r="B2028" s="5" t="n">
        <f aca="false">IF($A2028="","",IF(ISNUMBER(Base_Bruta!B2028),Base_Bruta!B2028,IF(MID(Base_Bruta!B2028,5,1)="-",DATE(VALUE(LEFT(Base_Bruta!B2028,4)),VALUE(MID(Base_Bruta!B2028,6,2)),VALUE(RIGHT(Base_Bruta!B2028,2))),DATE(VALUE(RIGHT(Base_Bruta!B2028,4)),VALUE(MID(Base_Bruta!B2028,4,2)),VALUE(LEFT(Base_Bruta!B2028,2))))))</f>
        <v>46078</v>
      </c>
      <c r="C2028" s="5" t="n">
        <f aca="false">IF($A2028="","",IF(ISNUMBER(Base_Bruta!C2028),Base_Bruta!C2028,IF(MID(Base_Bruta!C2028,5,1)="-",DATE(VALUE(LEFT(Base_Bruta!C2028,4)),VALUE(MID(Base_Bruta!C2028,6,2)),VALUE(RIGHT(Base_Bruta!C2028,2))),DATE(VALUE(RIGHT(Base_Bruta!C2028,4)),VALUE(MID(Base_Bruta!C2028,4,2)),VALUE(LEFT(Base_Bruta!C2028,2))))))</f>
        <v>46081</v>
      </c>
      <c r="D2028" s="4" t="str">
        <f aca="false">IF($A2028="","",TRIM(Base_Bruta!D2028))</f>
        <v>Show Sertanejo - BH</v>
      </c>
      <c r="E2028" s="4" t="str">
        <f aca="false">IF($A2028="","",_xlfn.XLOOKUP(LOWER(TRIM(Base_Bruta!E2028)),DePara_Categoria!$A$2:$A$9,DePara_Categoria!$B$2:$B$9,"REVISAR"))</f>
        <v>Show</v>
      </c>
      <c r="F2028" s="4" t="str">
        <f aca="false">IF($A2028="","",_xlfn.XLOOKUP(LOWER(TRIM(Base_Bruta!F2028)),DePara_Cidade!$A$2:$A$29,DePara_Cidade!$B$2:$B$29,"REVISAR"))</f>
        <v>Belo Horizonte</v>
      </c>
      <c r="G2028" s="4" t="str">
        <f aca="false">IF($A2028="","",TRIM(Base_Bruta!G2028))</f>
        <v>Inteira</v>
      </c>
      <c r="H2028" s="4" t="n">
        <f aca="false">IF($A2028="","",IF(ISNUMBER(Base_Bruta!H2028),Base_Bruta!H2028,IFERROR(_xlfn.NUMBERVALUE(TRIM(SUBSTITUTE(Base_Bruta!H2028,"R$","")),",","."),0)))</f>
        <v>1</v>
      </c>
      <c r="I2028" s="6" t="n">
        <f aca="false">IF($A2028="","",IF(ISNUMBER(Base_Bruta!I2028),Base_Bruta!I2028,IFERROR(_xlfn.NUMBERVALUE(TRIM(SUBSTITUTE(Base_Bruta!I2028,"R$","")),",","."),0)))</f>
        <v>415</v>
      </c>
      <c r="J2028" s="6" t="n">
        <f aca="false">IF($A2028="","",H2028*I2028)</f>
        <v>415</v>
      </c>
      <c r="K2028" s="4" t="str">
        <f aca="false">IF($A2028="","",TRIM(Base_Bruta!J2028))</f>
        <v>App</v>
      </c>
      <c r="L2028" s="4" t="str">
        <f aca="false">IF($A2028="","",TRIM(Base_Bruta!K2028))</f>
        <v>C00575</v>
      </c>
      <c r="M2028" s="4" t="str">
        <f aca="false">IF($A2028="","",_xlfn.XLOOKUP(LOWER(TRIM(Base_Bruta!L2028)),DePara_Cidade!$A$2:$A$29,DePara_Cidade!$B$2:$B$29,"REVISAR"))</f>
        <v>Belo Horizonte</v>
      </c>
      <c r="N2028" s="4" t="str">
        <f aca="false">IF($A2028="","",UPPER(TRIM(Base_Bruta!M2028)))</f>
        <v>MG</v>
      </c>
      <c r="O2028" s="4" t="str">
        <f aca="false">IF($A2028="","",_xlfn.XLOOKUP(LOWER(TRIM(Base_Bruta!N2028)),DePara_Pais!$A$2:$A$9,DePara_Pais!$B$2:$B$9,"REVISAR"))</f>
        <v>Brasil</v>
      </c>
      <c r="P2028" s="4" t="str">
        <f aca="false">IF($A2028="","",IF(O2028&lt;&gt;"Brasil","Turista Internacional",IF(M2028=F2028,"Local","Turista Nacional")))</f>
        <v>Local</v>
      </c>
      <c r="Q2028" s="7" t="n">
        <f aca="false">IF($A2028="","",DATE(YEAR(B2028),MONTH(B2028),1))</f>
        <v>46054</v>
      </c>
      <c r="R2028" s="4" t="str">
        <f aca="false">IF($A2028="","",IF(COUNTIF($A$2:$A2028,$A2028)&gt;1,"Sim","Não"))</f>
        <v>Não</v>
      </c>
      <c r="S2028" s="4" t="str">
        <f aca="false">IF(A2028="","Descartar - Linha vazia",IF(R2028="Sim","Descartar - Duplicado",IF(OR(H2028&lt;=0,I2028&lt;=0),"Descartar - Qtd/Valor inválido","OK")))</f>
        <v>OK</v>
      </c>
      <c r="T2028" s="4" t="str">
        <f aca="false">Base_Bruta!P2028</f>
        <v>vendas_MG.csv</v>
      </c>
    </row>
    <row r="2029" customFormat="false" ht="15" hidden="false" customHeight="false" outlineLevel="0" collapsed="false">
      <c r="A2029" s="4" t="str">
        <f aca="false">IF(Base_Bruta!A2029="","",Base_Bruta!A2029)</f>
        <v>MG-000494</v>
      </c>
      <c r="B2029" s="5" t="n">
        <f aca="false">IF($A2029="","",IF(ISNUMBER(Base_Bruta!B2029),Base_Bruta!B2029,IF(MID(Base_Bruta!B2029,5,1)="-",DATE(VALUE(LEFT(Base_Bruta!B2029,4)),VALUE(MID(Base_Bruta!B2029,6,2)),VALUE(RIGHT(Base_Bruta!B2029,2))),DATE(VALUE(RIGHT(Base_Bruta!B2029,4)),VALUE(MID(Base_Bruta!B2029,4,2)),VALUE(LEFT(Base_Bruta!B2029,2))))))</f>
        <v>46057</v>
      </c>
      <c r="C2029" s="5" t="n">
        <f aca="false">IF($A2029="","",IF(ISNUMBER(Base_Bruta!C2029),Base_Bruta!C2029,IF(MID(Base_Bruta!C2029,5,1)="-",DATE(VALUE(LEFT(Base_Bruta!C2029,4)),VALUE(MID(Base_Bruta!C2029,6,2)),VALUE(RIGHT(Base_Bruta!C2029,2))),DATE(VALUE(RIGHT(Base_Bruta!C2029,4)),VALUE(MID(Base_Bruta!C2029,4,2)),VALUE(LEFT(Base_Bruta!C2029,2))))))</f>
        <v>46058</v>
      </c>
      <c r="D2029" s="4" t="str">
        <f aca="false">IF($A2029="","",TRIM(Base_Bruta!D2029))</f>
        <v>Cinema Savassi - Sessões</v>
      </c>
      <c r="E2029" s="4" t="str">
        <f aca="false">IF($A2029="","",_xlfn.XLOOKUP(LOWER(TRIM(Base_Bruta!E2029)),DePara_Categoria!$A$2:$A$9,DePara_Categoria!$B$2:$B$9,"REVISAR"))</f>
        <v>Cinema</v>
      </c>
      <c r="F2029" s="4" t="str">
        <f aca="false">IF($A2029="","",_xlfn.XLOOKUP(LOWER(TRIM(Base_Bruta!F2029)),DePara_Cidade!$A$2:$A$29,DePara_Cidade!$B$2:$B$29,"REVISAR"))</f>
        <v>Belo Horizonte</v>
      </c>
      <c r="G2029" s="4" t="str">
        <f aca="false">IF($A2029="","",TRIM(Base_Bruta!G2029))</f>
        <v>Meia</v>
      </c>
      <c r="H2029" s="4" t="n">
        <f aca="false">IF($A2029="","",IF(ISNUMBER(Base_Bruta!H2029),Base_Bruta!H2029,IFERROR(_xlfn.NUMBERVALUE(TRIM(SUBSTITUTE(Base_Bruta!H2029,"R$","")),",","."),0)))</f>
        <v>1</v>
      </c>
      <c r="I2029" s="6" t="n">
        <f aca="false">IF($A2029="","",IF(ISNUMBER(Base_Bruta!I2029),Base_Bruta!I2029,IFERROR(_xlfn.NUMBERVALUE(TRIM(SUBSTITUTE(Base_Bruta!I2029,"R$","")),",","."),0)))</f>
        <v>20</v>
      </c>
      <c r="J2029" s="6" t="n">
        <f aca="false">IF($A2029="","",H2029*I2029)</f>
        <v>20</v>
      </c>
      <c r="K2029" s="4" t="str">
        <f aca="false">IF($A2029="","",TRIM(Base_Bruta!J2029))</f>
        <v>App</v>
      </c>
      <c r="L2029" s="4" t="str">
        <f aca="false">IF($A2029="","",TRIM(Base_Bruta!K2029))</f>
        <v>C01462</v>
      </c>
      <c r="M2029" s="4" t="str">
        <f aca="false">IF($A2029="","",_xlfn.XLOOKUP(LOWER(TRIM(Base_Bruta!L2029)),DePara_Cidade!$A$2:$A$29,DePara_Cidade!$B$2:$B$29,"REVISAR"))</f>
        <v>Belo Horizonte</v>
      </c>
      <c r="N2029" s="4" t="str">
        <f aca="false">IF($A2029="","",UPPER(TRIM(Base_Bruta!M2029)))</f>
        <v>MG</v>
      </c>
      <c r="O2029" s="4" t="str">
        <f aca="false">IF($A2029="","",_xlfn.XLOOKUP(LOWER(TRIM(Base_Bruta!N2029)),DePara_Pais!$A$2:$A$9,DePara_Pais!$B$2:$B$9,"REVISAR"))</f>
        <v>Brasil</v>
      </c>
      <c r="P2029" s="4" t="str">
        <f aca="false">IF($A2029="","",IF(O2029&lt;&gt;"Brasil","Turista Internacional",IF(M2029=F2029,"Local","Turista Nacional")))</f>
        <v>Local</v>
      </c>
      <c r="Q2029" s="7" t="n">
        <f aca="false">IF($A2029="","",DATE(YEAR(B2029),MONTH(B2029),1))</f>
        <v>46054</v>
      </c>
      <c r="R2029" s="4" t="str">
        <f aca="false">IF($A2029="","",IF(COUNTIF($A$2:$A2029,$A2029)&gt;1,"Sim","Não"))</f>
        <v>Sim</v>
      </c>
      <c r="S2029" s="4" t="str">
        <f aca="false">IF(A2029="","Descartar - Linha vazia",IF(R2029="Sim","Descartar - Duplicado",IF(OR(H2029&lt;=0,I2029&lt;=0),"Descartar - Qtd/Valor inválido","OK")))</f>
        <v>Descartar - Duplicado</v>
      </c>
      <c r="T2029" s="4" t="str">
        <f aca="false">Base_Bruta!P2029</f>
        <v>vendas_MG.csv</v>
      </c>
    </row>
    <row r="2030" customFormat="false" ht="15" hidden="false" customHeight="false" outlineLevel="0" collapsed="false">
      <c r="A2030" s="4" t="str">
        <f aca="false">IF(Base_Bruta!A2030="","",Base_Bruta!A2030)</f>
        <v>MG-000247</v>
      </c>
      <c r="B2030" s="5" t="n">
        <f aca="false">IF($A2030="","",IF(ISNUMBER(Base_Bruta!B2030),Base_Bruta!B2030,IF(MID(Base_Bruta!B2030,5,1)="-",DATE(VALUE(LEFT(Base_Bruta!B2030,4)),VALUE(MID(Base_Bruta!B2030,6,2)),VALUE(RIGHT(Base_Bruta!B2030,2))),DATE(VALUE(RIGHT(Base_Bruta!B2030,4)),VALUE(MID(Base_Bruta!B2030,4,2)),VALUE(LEFT(Base_Bruta!B2030,2))))))</f>
        <v>46078</v>
      </c>
      <c r="C2030" s="5" t="n">
        <f aca="false">IF($A2030="","",IF(ISNUMBER(Base_Bruta!C2030),Base_Bruta!C2030,IF(MID(Base_Bruta!C2030,5,1)="-",DATE(VALUE(LEFT(Base_Bruta!C2030,4)),VALUE(MID(Base_Bruta!C2030,6,2)),VALUE(RIGHT(Base_Bruta!C2030,2))),DATE(VALUE(RIGHT(Base_Bruta!C2030,4)),VALUE(MID(Base_Bruta!C2030,4,2)),VALUE(LEFT(Base_Bruta!C2030,2))))))</f>
        <v>46081</v>
      </c>
      <c r="D2030" s="4" t="str">
        <f aca="false">IF($A2030="","",TRIM(Base_Bruta!D2030))</f>
        <v>Show Sertanejo - BH</v>
      </c>
      <c r="E2030" s="4" t="str">
        <f aca="false">IF($A2030="","",_xlfn.XLOOKUP(LOWER(TRIM(Base_Bruta!E2030)),DePara_Categoria!$A$2:$A$9,DePara_Categoria!$B$2:$B$9,"REVISAR"))</f>
        <v>Show</v>
      </c>
      <c r="F2030" s="4" t="str">
        <f aca="false">IF($A2030="","",_xlfn.XLOOKUP(LOWER(TRIM(Base_Bruta!F2030)),DePara_Cidade!$A$2:$A$29,DePara_Cidade!$B$2:$B$29,"REVISAR"))</f>
        <v>Belo Horizonte</v>
      </c>
      <c r="G2030" s="4" t="str">
        <f aca="false">IF($A2030="","",TRIM(Base_Bruta!G2030))</f>
        <v>Inteira</v>
      </c>
      <c r="H2030" s="4" t="n">
        <f aca="false">IF($A2030="","",IF(ISNUMBER(Base_Bruta!H2030),Base_Bruta!H2030,IFERROR(_xlfn.NUMBERVALUE(TRIM(SUBSTITUTE(Base_Bruta!H2030,"R$","")),",","."),0)))</f>
        <v>3</v>
      </c>
      <c r="I2030" s="6" t="n">
        <f aca="false">IF($A2030="","",IF(ISNUMBER(Base_Bruta!I2030),Base_Bruta!I2030,IFERROR(_xlfn.NUMBERVALUE(TRIM(SUBSTITUTE(Base_Bruta!I2030,"R$","")),",","."),0)))</f>
        <v>310</v>
      </c>
      <c r="J2030" s="6" t="n">
        <f aca="false">IF($A2030="","",H2030*I2030)</f>
        <v>930</v>
      </c>
      <c r="K2030" s="4" t="str">
        <f aca="false">IF($A2030="","",TRIM(Base_Bruta!J2030))</f>
        <v>Site</v>
      </c>
      <c r="L2030" s="4" t="str">
        <f aca="false">IF($A2030="","",TRIM(Base_Bruta!K2030))</f>
        <v>C01227</v>
      </c>
      <c r="M2030" s="4" t="str">
        <f aca="false">IF($A2030="","",_xlfn.XLOOKUP(LOWER(TRIM(Base_Bruta!L2030)),DePara_Cidade!$A$2:$A$29,DePara_Cidade!$B$2:$B$29,"REVISAR"))</f>
        <v>Belo Horizonte</v>
      </c>
      <c r="N2030" s="4" t="str">
        <f aca="false">IF($A2030="","",UPPER(TRIM(Base_Bruta!M2030)))</f>
        <v>MG</v>
      </c>
      <c r="O2030" s="4" t="str">
        <f aca="false">IF($A2030="","",_xlfn.XLOOKUP(LOWER(TRIM(Base_Bruta!N2030)),DePara_Pais!$A$2:$A$9,DePara_Pais!$B$2:$B$9,"REVISAR"))</f>
        <v>Brasil</v>
      </c>
      <c r="P2030" s="4" t="str">
        <f aca="false">IF($A2030="","",IF(O2030&lt;&gt;"Brasil","Turista Internacional",IF(M2030=F2030,"Local","Turista Nacional")))</f>
        <v>Local</v>
      </c>
      <c r="Q2030" s="7" t="n">
        <f aca="false">IF($A2030="","",DATE(YEAR(B2030),MONTH(B2030),1))</f>
        <v>46054</v>
      </c>
      <c r="R2030" s="4" t="str">
        <f aca="false">IF($A2030="","",IF(COUNTIF($A$2:$A2030,$A2030)&gt;1,"Sim","Não"))</f>
        <v>Não</v>
      </c>
      <c r="S2030" s="4" t="str">
        <f aca="false">IF(A2030="","Descartar - Linha vazia",IF(R2030="Sim","Descartar - Duplicado",IF(OR(H2030&lt;=0,I2030&lt;=0),"Descartar - Qtd/Valor inválido","OK")))</f>
        <v>OK</v>
      </c>
      <c r="T2030" s="4" t="str">
        <f aca="false">Base_Bruta!P2030</f>
        <v>vendas_MG.csv</v>
      </c>
    </row>
    <row r="2031" customFormat="false" ht="15" hidden="false" customHeight="false" outlineLevel="0" collapsed="false">
      <c r="A2031" s="4" t="str">
        <f aca="false">IF(Base_Bruta!A2031="","",Base_Bruta!A2031)</f>
        <v>MG-000248</v>
      </c>
      <c r="B2031" s="5" t="n">
        <f aca="false">IF($A2031="","",IF(ISNUMBER(Base_Bruta!B2031),Base_Bruta!B2031,IF(MID(Base_Bruta!B2031,5,1)="-",DATE(VALUE(LEFT(Base_Bruta!B2031,4)),VALUE(MID(Base_Bruta!B2031,6,2)),VALUE(RIGHT(Base_Bruta!B2031,2))),DATE(VALUE(RIGHT(Base_Bruta!B2031,4)),VALUE(MID(Base_Bruta!B2031,4,2)),VALUE(LEFT(Base_Bruta!B2031,2))))))</f>
        <v>46078</v>
      </c>
      <c r="C2031" s="5" t="n">
        <f aca="false">IF($A2031="","",IF(ISNUMBER(Base_Bruta!C2031),Base_Bruta!C2031,IF(MID(Base_Bruta!C2031,5,1)="-",DATE(VALUE(LEFT(Base_Bruta!C2031,4)),VALUE(MID(Base_Bruta!C2031,6,2)),VALUE(RIGHT(Base_Bruta!C2031,2))),DATE(VALUE(RIGHT(Base_Bruta!C2031,4)),VALUE(MID(Base_Bruta!C2031,4,2)),VALUE(LEFT(Base_Bruta!C2031,2))))))</f>
        <v>46081</v>
      </c>
      <c r="D2031" s="4" t="str">
        <f aca="false">IF($A2031="","",TRIM(Base_Bruta!D2031))</f>
        <v>Show Sertanejo - BH</v>
      </c>
      <c r="E2031" s="4" t="str">
        <f aca="false">IF($A2031="","",_xlfn.XLOOKUP(LOWER(TRIM(Base_Bruta!E2031)),DePara_Categoria!$A$2:$A$9,DePara_Categoria!$B$2:$B$9,"REVISAR"))</f>
        <v>Show</v>
      </c>
      <c r="F2031" s="4" t="str">
        <f aca="false">IF($A2031="","",_xlfn.XLOOKUP(LOWER(TRIM(Base_Bruta!F2031)),DePara_Cidade!$A$2:$A$29,DePara_Cidade!$B$2:$B$29,"REVISAR"))</f>
        <v>Belo Horizonte</v>
      </c>
      <c r="G2031" s="4" t="str">
        <f aca="false">IF($A2031="","",TRIM(Base_Bruta!G2031))</f>
        <v>Inteira</v>
      </c>
      <c r="H2031" s="4" t="n">
        <f aca="false">IF($A2031="","",IF(ISNUMBER(Base_Bruta!H2031),Base_Bruta!H2031,IFERROR(_xlfn.NUMBERVALUE(TRIM(SUBSTITUTE(Base_Bruta!H2031,"R$","")),",","."),0)))</f>
        <v>1</v>
      </c>
      <c r="I2031" s="6" t="n">
        <f aca="false">IF($A2031="","",IF(ISNUMBER(Base_Bruta!I2031),Base_Bruta!I2031,IFERROR(_xlfn.NUMBERVALUE(TRIM(SUBSTITUTE(Base_Bruta!I2031,"R$","")),",","."),0)))</f>
        <v>440</v>
      </c>
      <c r="J2031" s="6" t="n">
        <f aca="false">IF($A2031="","",H2031*I2031)</f>
        <v>440</v>
      </c>
      <c r="K2031" s="4" t="str">
        <f aca="false">IF($A2031="","",TRIM(Base_Bruta!J2031))</f>
        <v>App</v>
      </c>
      <c r="L2031" s="4" t="str">
        <f aca="false">IF($A2031="","",TRIM(Base_Bruta!K2031))</f>
        <v>C00156</v>
      </c>
      <c r="M2031" s="4" t="str">
        <f aca="false">IF($A2031="","",_xlfn.XLOOKUP(LOWER(TRIM(Base_Bruta!L2031)),DePara_Cidade!$A$2:$A$29,DePara_Cidade!$B$2:$B$29,"REVISAR"))</f>
        <v>Belo Horizonte</v>
      </c>
      <c r="N2031" s="4" t="str">
        <f aca="false">IF($A2031="","",UPPER(TRIM(Base_Bruta!M2031)))</f>
        <v>MG</v>
      </c>
      <c r="O2031" s="4" t="str">
        <f aca="false">IF($A2031="","",_xlfn.XLOOKUP(LOWER(TRIM(Base_Bruta!N2031)),DePara_Pais!$A$2:$A$9,DePara_Pais!$B$2:$B$9,"REVISAR"))</f>
        <v>Brasil</v>
      </c>
      <c r="P2031" s="4" t="str">
        <f aca="false">IF($A2031="","",IF(O2031&lt;&gt;"Brasil","Turista Internacional",IF(M2031=F2031,"Local","Turista Nacional")))</f>
        <v>Local</v>
      </c>
      <c r="Q2031" s="7" t="n">
        <f aca="false">IF($A2031="","",DATE(YEAR(B2031),MONTH(B2031),1))</f>
        <v>46054</v>
      </c>
      <c r="R2031" s="4" t="str">
        <f aca="false">IF($A2031="","",IF(COUNTIF($A$2:$A2031,$A2031)&gt;1,"Sim","Não"))</f>
        <v>Não</v>
      </c>
      <c r="S2031" s="4" t="str">
        <f aca="false">IF(A2031="","Descartar - Linha vazia",IF(R2031="Sim","Descartar - Duplicado",IF(OR(H2031&lt;=0,I2031&lt;=0),"Descartar - Qtd/Valor inválido","OK")))</f>
        <v>OK</v>
      </c>
      <c r="T2031" s="4" t="str">
        <f aca="false">Base_Bruta!P2031</f>
        <v>vendas_MG.csv</v>
      </c>
    </row>
    <row r="2032" customFormat="false" ht="15" hidden="false" customHeight="false" outlineLevel="0" collapsed="false">
      <c r="A2032" s="4" t="str">
        <f aca="false">IF(Base_Bruta!A2032="","",Base_Bruta!A2032)</f>
        <v>MG-000267</v>
      </c>
      <c r="B2032" s="5" t="n">
        <f aca="false">IF($A2032="","",IF(ISNUMBER(Base_Bruta!B2032),Base_Bruta!B2032,IF(MID(Base_Bruta!B2032,5,1)="-",DATE(VALUE(LEFT(Base_Bruta!B2032,4)),VALUE(MID(Base_Bruta!B2032,6,2)),VALUE(RIGHT(Base_Bruta!B2032,2))),DATE(VALUE(RIGHT(Base_Bruta!B2032,4)),VALUE(MID(Base_Bruta!B2032,4,2)),VALUE(LEFT(Base_Bruta!B2032,2))))))</f>
        <v>46078</v>
      </c>
      <c r="C2032" s="5" t="n">
        <f aca="false">IF($A2032="","",IF(ISNUMBER(Base_Bruta!C2032),Base_Bruta!C2032,IF(MID(Base_Bruta!C2032,5,1)="-",DATE(VALUE(LEFT(Base_Bruta!C2032,4)),VALUE(MID(Base_Bruta!C2032,6,2)),VALUE(RIGHT(Base_Bruta!C2032,2))),DATE(VALUE(RIGHT(Base_Bruta!C2032,4)),VALUE(MID(Base_Bruta!C2032,4,2)),VALUE(LEFT(Base_Bruta!C2032,2))))))</f>
        <v>46081</v>
      </c>
      <c r="D2032" s="4" t="str">
        <f aca="false">IF($A2032="","",TRIM(Base_Bruta!D2032))</f>
        <v>Show Sertanejo - BH</v>
      </c>
      <c r="E2032" s="4" t="str">
        <f aca="false">IF($A2032="","",_xlfn.XLOOKUP(LOWER(TRIM(Base_Bruta!E2032)),DePara_Categoria!$A$2:$A$9,DePara_Categoria!$B$2:$B$9,"REVISAR"))</f>
        <v>Show</v>
      </c>
      <c r="F2032" s="4" t="str">
        <f aca="false">IF($A2032="","",_xlfn.XLOOKUP(LOWER(TRIM(Base_Bruta!F2032)),DePara_Cidade!$A$2:$A$29,DePara_Cidade!$B$2:$B$29,"REVISAR"))</f>
        <v>Belo Horizonte</v>
      </c>
      <c r="G2032" s="4" t="str">
        <f aca="false">IF($A2032="","",TRIM(Base_Bruta!G2032))</f>
        <v>Meia</v>
      </c>
      <c r="H2032" s="4" t="n">
        <f aca="false">IF($A2032="","",IF(ISNUMBER(Base_Bruta!H2032),Base_Bruta!H2032,IFERROR(_xlfn.NUMBERVALUE(TRIM(SUBSTITUTE(Base_Bruta!H2032,"R$","")),",","."),0)))</f>
        <v>2</v>
      </c>
      <c r="I2032" s="6" t="n">
        <f aca="false">IF($A2032="","",IF(ISNUMBER(Base_Bruta!I2032),Base_Bruta!I2032,IFERROR(_xlfn.NUMBERVALUE(TRIM(SUBSTITUTE(Base_Bruta!I2032,"R$","")),",","."),0)))</f>
        <v>335</v>
      </c>
      <c r="J2032" s="6" t="n">
        <f aca="false">IF($A2032="","",H2032*I2032)</f>
        <v>670</v>
      </c>
      <c r="K2032" s="4" t="str">
        <f aca="false">IF($A2032="","",TRIM(Base_Bruta!J2032))</f>
        <v>Parceiro</v>
      </c>
      <c r="L2032" s="4" t="str">
        <f aca="false">IF($A2032="","",TRIM(Base_Bruta!K2032))</f>
        <v>C01331</v>
      </c>
      <c r="M2032" s="4" t="str">
        <f aca="false">IF($A2032="","",_xlfn.XLOOKUP(LOWER(TRIM(Base_Bruta!L2032)),DePara_Cidade!$A$2:$A$29,DePara_Cidade!$B$2:$B$29,"REVISAR"))</f>
        <v>Belo Horizonte</v>
      </c>
      <c r="N2032" s="4" t="str">
        <f aca="false">IF($A2032="","",UPPER(TRIM(Base_Bruta!M2032)))</f>
        <v>MG</v>
      </c>
      <c r="O2032" s="4" t="str">
        <f aca="false">IF($A2032="","",_xlfn.XLOOKUP(LOWER(TRIM(Base_Bruta!N2032)),DePara_Pais!$A$2:$A$9,DePara_Pais!$B$2:$B$9,"REVISAR"))</f>
        <v>Brasil</v>
      </c>
      <c r="P2032" s="4" t="str">
        <f aca="false">IF($A2032="","",IF(O2032&lt;&gt;"Brasil","Turista Internacional",IF(M2032=F2032,"Local","Turista Nacional")))</f>
        <v>Local</v>
      </c>
      <c r="Q2032" s="7" t="n">
        <f aca="false">IF($A2032="","",DATE(YEAR(B2032),MONTH(B2032),1))</f>
        <v>46054</v>
      </c>
      <c r="R2032" s="4" t="str">
        <f aca="false">IF($A2032="","",IF(COUNTIF($A$2:$A2032,$A2032)&gt;1,"Sim","Não"))</f>
        <v>Não</v>
      </c>
      <c r="S2032" s="4" t="str">
        <f aca="false">IF(A2032="","Descartar - Linha vazia",IF(R2032="Sim","Descartar - Duplicado",IF(OR(H2032&lt;=0,I2032&lt;=0),"Descartar - Qtd/Valor inválido","OK")))</f>
        <v>OK</v>
      </c>
      <c r="T2032" s="4" t="str">
        <f aca="false">Base_Bruta!P2032</f>
        <v>vendas_MG.csv</v>
      </c>
    </row>
    <row r="2033" customFormat="false" ht="15" hidden="false" customHeight="false" outlineLevel="0" collapsed="false">
      <c r="A2033" s="4" t="str">
        <f aca="false">IF(Base_Bruta!A2033="","",Base_Bruta!A2033)</f>
        <v>MG-000289</v>
      </c>
      <c r="B2033" s="5" t="n">
        <f aca="false">IF($A2033="","",IF(ISNUMBER(Base_Bruta!B2033),Base_Bruta!B2033,IF(MID(Base_Bruta!B2033,5,1)="-",DATE(VALUE(LEFT(Base_Bruta!B2033,4)),VALUE(MID(Base_Bruta!B2033,6,2)),VALUE(RIGHT(Base_Bruta!B2033,2))),DATE(VALUE(RIGHT(Base_Bruta!B2033,4)),VALUE(MID(Base_Bruta!B2033,4,2)),VALUE(LEFT(Base_Bruta!B2033,2))))))</f>
        <v>46078</v>
      </c>
      <c r="C2033" s="5" t="n">
        <f aca="false">IF($A2033="","",IF(ISNUMBER(Base_Bruta!C2033),Base_Bruta!C2033,IF(MID(Base_Bruta!C2033,5,1)="-",DATE(VALUE(LEFT(Base_Bruta!C2033,4)),VALUE(MID(Base_Bruta!C2033,6,2)),VALUE(RIGHT(Base_Bruta!C2033,2))),DATE(VALUE(RIGHT(Base_Bruta!C2033,4)),VALUE(MID(Base_Bruta!C2033,4,2)),VALUE(LEFT(Base_Bruta!C2033,2))))))</f>
        <v>46081</v>
      </c>
      <c r="D2033" s="4" t="str">
        <f aca="false">IF($A2033="","",TRIM(Base_Bruta!D2033))</f>
        <v>Show Sertanejo - BH</v>
      </c>
      <c r="E2033" s="4" t="str">
        <f aca="false">IF($A2033="","",_xlfn.XLOOKUP(LOWER(TRIM(Base_Bruta!E2033)),DePara_Categoria!$A$2:$A$9,DePara_Categoria!$B$2:$B$9,"REVISAR"))</f>
        <v>Show</v>
      </c>
      <c r="F2033" s="4" t="str">
        <f aca="false">IF($A2033="","",_xlfn.XLOOKUP(LOWER(TRIM(Base_Bruta!F2033)),DePara_Cidade!$A$2:$A$29,DePara_Cidade!$B$2:$B$29,"REVISAR"))</f>
        <v>Belo Horizonte</v>
      </c>
      <c r="G2033" s="4" t="str">
        <f aca="false">IF($A2033="","",TRIM(Base_Bruta!G2033))</f>
        <v>Meia</v>
      </c>
      <c r="H2033" s="4" t="n">
        <f aca="false">IF($A2033="","",IF(ISNUMBER(Base_Bruta!H2033),Base_Bruta!H2033,IFERROR(_xlfn.NUMBERVALUE(TRIM(SUBSTITUTE(Base_Bruta!H2033,"R$","")),",","."),0)))</f>
        <v>2</v>
      </c>
      <c r="I2033" s="6" t="n">
        <f aca="false">IF($A2033="","",IF(ISNUMBER(Base_Bruta!I2033),Base_Bruta!I2033,IFERROR(_xlfn.NUMBERVALUE(TRIM(SUBSTITUTE(Base_Bruta!I2033,"R$","")),",","."),0)))</f>
        <v>142.5</v>
      </c>
      <c r="J2033" s="6" t="n">
        <f aca="false">IF($A2033="","",H2033*I2033)</f>
        <v>285</v>
      </c>
      <c r="K2033" s="4" t="str">
        <f aca="false">IF($A2033="","",TRIM(Base_Bruta!J2033))</f>
        <v>Site</v>
      </c>
      <c r="L2033" s="4" t="str">
        <f aca="false">IF($A2033="","",TRIM(Base_Bruta!K2033))</f>
        <v>C02441</v>
      </c>
      <c r="M2033" s="4" t="str">
        <f aca="false">IF($A2033="","",_xlfn.XLOOKUP(LOWER(TRIM(Base_Bruta!L2033)),DePara_Cidade!$A$2:$A$29,DePara_Cidade!$B$2:$B$29,"REVISAR"))</f>
        <v>Belo Horizonte</v>
      </c>
      <c r="N2033" s="4" t="str">
        <f aca="false">IF($A2033="","",UPPER(TRIM(Base_Bruta!M2033)))</f>
        <v>MG</v>
      </c>
      <c r="O2033" s="4" t="str">
        <f aca="false">IF($A2033="","",_xlfn.XLOOKUP(LOWER(TRIM(Base_Bruta!N2033)),DePara_Pais!$A$2:$A$9,DePara_Pais!$B$2:$B$9,"REVISAR"))</f>
        <v>Brasil</v>
      </c>
      <c r="P2033" s="4" t="str">
        <f aca="false">IF($A2033="","",IF(O2033&lt;&gt;"Brasil","Turista Internacional",IF(M2033=F2033,"Local","Turista Nacional")))</f>
        <v>Local</v>
      </c>
      <c r="Q2033" s="7" t="n">
        <f aca="false">IF($A2033="","",DATE(YEAR(B2033),MONTH(B2033),1))</f>
        <v>46054</v>
      </c>
      <c r="R2033" s="4" t="str">
        <f aca="false">IF($A2033="","",IF(COUNTIF($A$2:$A2033,$A2033)&gt;1,"Sim","Não"))</f>
        <v>Não</v>
      </c>
      <c r="S2033" s="4" t="str">
        <f aca="false">IF(A2033="","Descartar - Linha vazia",IF(R2033="Sim","Descartar - Duplicado",IF(OR(H2033&lt;=0,I2033&lt;=0),"Descartar - Qtd/Valor inválido","OK")))</f>
        <v>OK</v>
      </c>
      <c r="T2033" s="4" t="str">
        <f aca="false">Base_Bruta!P2033</f>
        <v>vendas_MG.csv</v>
      </c>
    </row>
    <row r="2034" customFormat="false" ht="15" hidden="false" customHeight="false" outlineLevel="0" collapsed="false">
      <c r="A2034" s="4" t="str">
        <f aca="false">IF(Base_Bruta!A2034="","",Base_Bruta!A2034)</f>
        <v>MG-000321</v>
      </c>
      <c r="B2034" s="5" t="n">
        <f aca="false">IF($A2034="","",IF(ISNUMBER(Base_Bruta!B2034),Base_Bruta!B2034,IF(MID(Base_Bruta!B2034,5,1)="-",DATE(VALUE(LEFT(Base_Bruta!B2034,4)),VALUE(MID(Base_Bruta!B2034,6,2)),VALUE(RIGHT(Base_Bruta!B2034,2))),DATE(VALUE(RIGHT(Base_Bruta!B2034,4)),VALUE(MID(Base_Bruta!B2034,4,2)),VALUE(LEFT(Base_Bruta!B2034,2))))))</f>
        <v>46078</v>
      </c>
      <c r="C2034" s="5" t="n">
        <f aca="false">IF($A2034="","",IF(ISNUMBER(Base_Bruta!C2034),Base_Bruta!C2034,IF(MID(Base_Bruta!C2034,5,1)="-",DATE(VALUE(LEFT(Base_Bruta!C2034,4)),VALUE(MID(Base_Bruta!C2034,6,2)),VALUE(RIGHT(Base_Bruta!C2034,2))),DATE(VALUE(RIGHT(Base_Bruta!C2034,4)),VALUE(MID(Base_Bruta!C2034,4,2)),VALUE(LEFT(Base_Bruta!C2034,2))))))</f>
        <v>46081</v>
      </c>
      <c r="D2034" s="4" t="str">
        <f aca="false">IF($A2034="","",TRIM(Base_Bruta!D2034))</f>
        <v>Show Sertanejo - BH</v>
      </c>
      <c r="E2034" s="4" t="str">
        <f aca="false">IF($A2034="","",_xlfn.XLOOKUP(LOWER(TRIM(Base_Bruta!E2034)),DePara_Categoria!$A$2:$A$9,DePara_Categoria!$B$2:$B$9,"REVISAR"))</f>
        <v>Show</v>
      </c>
      <c r="F2034" s="4" t="str">
        <f aca="false">IF($A2034="","",_xlfn.XLOOKUP(LOWER(TRIM(Base_Bruta!F2034)),DePara_Cidade!$A$2:$A$29,DePara_Cidade!$B$2:$B$29,"REVISAR"))</f>
        <v>Belo Horizonte</v>
      </c>
      <c r="G2034" s="4" t="str">
        <f aca="false">IF($A2034="","",TRIM(Base_Bruta!G2034))</f>
        <v>VIP</v>
      </c>
      <c r="H2034" s="4" t="n">
        <f aca="false">IF($A2034="","",IF(ISNUMBER(Base_Bruta!H2034),Base_Bruta!H2034,IFERROR(_xlfn.NUMBERVALUE(TRIM(SUBSTITUTE(Base_Bruta!H2034,"R$","")),",","."),0)))</f>
        <v>2</v>
      </c>
      <c r="I2034" s="6" t="n">
        <f aca="false">IF($A2034="","",IF(ISNUMBER(Base_Bruta!I2034),Base_Bruta!I2034,IFERROR(_xlfn.NUMBERVALUE(TRIM(SUBSTITUTE(Base_Bruta!I2034,"R$","")),",","."),0)))</f>
        <v>1130</v>
      </c>
      <c r="J2034" s="6" t="n">
        <f aca="false">IF($A2034="","",H2034*I2034)</f>
        <v>2260</v>
      </c>
      <c r="K2034" s="4" t="str">
        <f aca="false">IF($A2034="","",TRIM(Base_Bruta!J2034))</f>
        <v>Site</v>
      </c>
      <c r="L2034" s="4" t="str">
        <f aca="false">IF($A2034="","",TRIM(Base_Bruta!K2034))</f>
        <v>C00704</v>
      </c>
      <c r="M2034" s="4" t="str">
        <f aca="false">IF($A2034="","",_xlfn.XLOOKUP(LOWER(TRIM(Base_Bruta!L2034)),DePara_Cidade!$A$2:$A$29,DePara_Cidade!$B$2:$B$29,"REVISAR"))</f>
        <v>Niterói</v>
      </c>
      <c r="N2034" s="4" t="str">
        <f aca="false">IF($A2034="","",UPPER(TRIM(Base_Bruta!M2034)))</f>
        <v>RJ</v>
      </c>
      <c r="O2034" s="4" t="str">
        <f aca="false">IF($A2034="","",_xlfn.XLOOKUP(LOWER(TRIM(Base_Bruta!N2034)),DePara_Pais!$A$2:$A$9,DePara_Pais!$B$2:$B$9,"REVISAR"))</f>
        <v>Brasil</v>
      </c>
      <c r="P2034" s="4" t="str">
        <f aca="false">IF($A2034="","",IF(O2034&lt;&gt;"Brasil","Turista Internacional",IF(M2034=F2034,"Local","Turista Nacional")))</f>
        <v>Turista Nacional</v>
      </c>
      <c r="Q2034" s="7" t="n">
        <f aca="false">IF($A2034="","",DATE(YEAR(B2034),MONTH(B2034),1))</f>
        <v>46054</v>
      </c>
      <c r="R2034" s="4" t="str">
        <f aca="false">IF($A2034="","",IF(COUNTIF($A$2:$A2034,$A2034)&gt;1,"Sim","Não"))</f>
        <v>Não</v>
      </c>
      <c r="S2034" s="4" t="str">
        <f aca="false">IF(A2034="","Descartar - Linha vazia",IF(R2034="Sim","Descartar - Duplicado",IF(OR(H2034&lt;=0,I2034&lt;=0),"Descartar - Qtd/Valor inválido","OK")))</f>
        <v>OK</v>
      </c>
      <c r="T2034" s="4" t="str">
        <f aca="false">Base_Bruta!P2034</f>
        <v>vendas_MG.csv</v>
      </c>
    </row>
    <row r="2035" customFormat="false" ht="15" hidden="false" customHeight="false" outlineLevel="0" collapsed="false">
      <c r="A2035" s="4" t="str">
        <f aca="false">IF(Base_Bruta!A2035="","",Base_Bruta!A2035)</f>
        <v>MG-000328</v>
      </c>
      <c r="B2035" s="5" t="n">
        <f aca="false">IF($A2035="","",IF(ISNUMBER(Base_Bruta!B2035),Base_Bruta!B2035,IF(MID(Base_Bruta!B2035,5,1)="-",DATE(VALUE(LEFT(Base_Bruta!B2035,4)),VALUE(MID(Base_Bruta!B2035,6,2)),VALUE(RIGHT(Base_Bruta!B2035,2))),DATE(VALUE(RIGHT(Base_Bruta!B2035,4)),VALUE(MID(Base_Bruta!B2035,4,2)),VALUE(LEFT(Base_Bruta!B2035,2))))))</f>
        <v>46078</v>
      </c>
      <c r="C2035" s="5" t="n">
        <f aca="false">IF($A2035="","",IF(ISNUMBER(Base_Bruta!C2035),Base_Bruta!C2035,IF(MID(Base_Bruta!C2035,5,1)="-",DATE(VALUE(LEFT(Base_Bruta!C2035,4)),VALUE(MID(Base_Bruta!C2035,6,2)),VALUE(RIGHT(Base_Bruta!C2035,2))),DATE(VALUE(RIGHT(Base_Bruta!C2035,4)),VALUE(MID(Base_Bruta!C2035,4,2)),VALUE(LEFT(Base_Bruta!C2035,2))))))</f>
        <v>46081</v>
      </c>
      <c r="D2035" s="4" t="str">
        <f aca="false">IF($A2035="","",TRIM(Base_Bruta!D2035))</f>
        <v>Show Sertanejo - BH</v>
      </c>
      <c r="E2035" s="4" t="str">
        <f aca="false">IF($A2035="","",_xlfn.XLOOKUP(LOWER(TRIM(Base_Bruta!E2035)),DePara_Categoria!$A$2:$A$9,DePara_Categoria!$B$2:$B$9,"REVISAR"))</f>
        <v>Show</v>
      </c>
      <c r="F2035" s="4" t="str">
        <f aca="false">IF($A2035="","",_xlfn.XLOOKUP(LOWER(TRIM(Base_Bruta!F2035)),DePara_Cidade!$A$2:$A$29,DePara_Cidade!$B$2:$B$29,"REVISAR"))</f>
        <v>Belo Horizonte</v>
      </c>
      <c r="G2035" s="4" t="str">
        <f aca="false">IF($A2035="","",TRIM(Base_Bruta!G2035))</f>
        <v>Inteira</v>
      </c>
      <c r="H2035" s="4" t="n">
        <f aca="false">IF($A2035="","",IF(ISNUMBER(Base_Bruta!H2035),Base_Bruta!H2035,IFERROR(_xlfn.NUMBERVALUE(TRIM(SUBSTITUTE(Base_Bruta!H2035,"R$","")),",","."),0)))</f>
        <v>4</v>
      </c>
      <c r="I2035" s="6" t="n">
        <f aca="false">IF($A2035="","",IF(ISNUMBER(Base_Bruta!I2035),Base_Bruta!I2035,IFERROR(_xlfn.NUMBERVALUE(TRIM(SUBSTITUTE(Base_Bruta!I2035,"R$","")),",","."),0)))</f>
        <v>645</v>
      </c>
      <c r="J2035" s="6" t="n">
        <f aca="false">IF($A2035="","",H2035*I2035)</f>
        <v>2580</v>
      </c>
      <c r="K2035" s="4" t="str">
        <f aca="false">IF($A2035="","",TRIM(Base_Bruta!J2035))</f>
        <v>App</v>
      </c>
      <c r="L2035" s="4" t="str">
        <f aca="false">IF($A2035="","",TRIM(Base_Bruta!K2035))</f>
        <v>C01538</v>
      </c>
      <c r="M2035" s="4" t="str">
        <f aca="false">IF($A2035="","",_xlfn.XLOOKUP(LOWER(TRIM(Base_Bruta!L2035)),DePara_Cidade!$A$2:$A$29,DePara_Cidade!$B$2:$B$29,"REVISAR"))</f>
        <v>Belo Horizonte</v>
      </c>
      <c r="N2035" s="4" t="str">
        <f aca="false">IF($A2035="","",UPPER(TRIM(Base_Bruta!M2035)))</f>
        <v>MG</v>
      </c>
      <c r="O2035" s="4" t="str">
        <f aca="false">IF($A2035="","",_xlfn.XLOOKUP(LOWER(TRIM(Base_Bruta!N2035)),DePara_Pais!$A$2:$A$9,DePara_Pais!$B$2:$B$9,"REVISAR"))</f>
        <v>Brasil</v>
      </c>
      <c r="P2035" s="4" t="str">
        <f aca="false">IF($A2035="","",IF(O2035&lt;&gt;"Brasil","Turista Internacional",IF(M2035=F2035,"Local","Turista Nacional")))</f>
        <v>Local</v>
      </c>
      <c r="Q2035" s="7" t="n">
        <f aca="false">IF($A2035="","",DATE(YEAR(B2035),MONTH(B2035),1))</f>
        <v>46054</v>
      </c>
      <c r="R2035" s="4" t="str">
        <f aca="false">IF($A2035="","",IF(COUNTIF($A$2:$A2035,$A2035)&gt;1,"Sim","Não"))</f>
        <v>Não</v>
      </c>
      <c r="S2035" s="4" t="str">
        <f aca="false">IF(A2035="","Descartar - Linha vazia",IF(R2035="Sim","Descartar - Duplicado",IF(OR(H2035&lt;=0,I2035&lt;=0),"Descartar - Qtd/Valor inválido","OK")))</f>
        <v>OK</v>
      </c>
      <c r="T2035" s="4" t="str">
        <f aca="false">Base_Bruta!P2035</f>
        <v>vendas_MG.csv</v>
      </c>
    </row>
    <row r="2036" customFormat="false" ht="15" hidden="false" customHeight="false" outlineLevel="0" collapsed="false">
      <c r="A2036" s="4" t="str">
        <f aca="false">IF(Base_Bruta!A2036="","",Base_Bruta!A2036)</f>
        <v>MG-000334</v>
      </c>
      <c r="B2036" s="5" t="n">
        <f aca="false">IF($A2036="","",IF(ISNUMBER(Base_Bruta!B2036),Base_Bruta!B2036,IF(MID(Base_Bruta!B2036,5,1)="-",DATE(VALUE(LEFT(Base_Bruta!B2036,4)),VALUE(MID(Base_Bruta!B2036,6,2)),VALUE(RIGHT(Base_Bruta!B2036,2))),DATE(VALUE(RIGHT(Base_Bruta!B2036,4)),VALUE(MID(Base_Bruta!B2036,4,2)),VALUE(LEFT(Base_Bruta!B2036,2))))))</f>
        <v>46078</v>
      </c>
      <c r="C2036" s="5" t="n">
        <f aca="false">IF($A2036="","",IF(ISNUMBER(Base_Bruta!C2036),Base_Bruta!C2036,IF(MID(Base_Bruta!C2036,5,1)="-",DATE(VALUE(LEFT(Base_Bruta!C2036,4)),VALUE(MID(Base_Bruta!C2036,6,2)),VALUE(RIGHT(Base_Bruta!C2036,2))),DATE(VALUE(RIGHT(Base_Bruta!C2036,4)),VALUE(MID(Base_Bruta!C2036,4,2)),VALUE(LEFT(Base_Bruta!C2036,2))))))</f>
        <v>46081</v>
      </c>
      <c r="D2036" s="4" t="str">
        <f aca="false">IF($A2036="","",TRIM(Base_Bruta!D2036))</f>
        <v>Show Sertanejo - BH</v>
      </c>
      <c r="E2036" s="4" t="str">
        <f aca="false">IF($A2036="","",_xlfn.XLOOKUP(LOWER(TRIM(Base_Bruta!E2036)),DePara_Categoria!$A$2:$A$9,DePara_Categoria!$B$2:$B$9,"REVISAR"))</f>
        <v>Show</v>
      </c>
      <c r="F2036" s="4" t="str">
        <f aca="false">IF($A2036="","",_xlfn.XLOOKUP(LOWER(TRIM(Base_Bruta!F2036)),DePara_Cidade!$A$2:$A$29,DePara_Cidade!$B$2:$B$29,"REVISAR"))</f>
        <v>Belo Horizonte</v>
      </c>
      <c r="G2036" s="4" t="str">
        <f aca="false">IF($A2036="","",TRIM(Base_Bruta!G2036))</f>
        <v>Meia</v>
      </c>
      <c r="H2036" s="4" t="n">
        <f aca="false">IF($A2036="","",IF(ISNUMBER(Base_Bruta!H2036),Base_Bruta!H2036,IFERROR(_xlfn.NUMBERVALUE(TRIM(SUBSTITUTE(Base_Bruta!H2036,"R$","")),",","."),0)))</f>
        <v>3</v>
      </c>
      <c r="I2036" s="6" t="n">
        <f aca="false">IF($A2036="","",IF(ISNUMBER(Base_Bruta!I2036),Base_Bruta!I2036,IFERROR(_xlfn.NUMBERVALUE(TRIM(SUBSTITUTE(Base_Bruta!I2036,"R$","")),",","."),0)))</f>
        <v>157.5</v>
      </c>
      <c r="J2036" s="6" t="n">
        <f aca="false">IF($A2036="","",H2036*I2036)</f>
        <v>472.5</v>
      </c>
      <c r="K2036" s="4" t="str">
        <f aca="false">IF($A2036="","",TRIM(Base_Bruta!J2036))</f>
        <v>Site</v>
      </c>
      <c r="L2036" s="4" t="str">
        <f aca="false">IF($A2036="","",TRIM(Base_Bruta!K2036))</f>
        <v>C00691</v>
      </c>
      <c r="M2036" s="4" t="str">
        <f aca="false">IF($A2036="","",_xlfn.XLOOKUP(LOWER(TRIM(Base_Bruta!L2036)),DePara_Cidade!$A$2:$A$29,DePara_Cidade!$B$2:$B$29,"REVISAR"))</f>
        <v>Contagem</v>
      </c>
      <c r="N2036" s="4" t="str">
        <f aca="false">IF($A2036="","",UPPER(TRIM(Base_Bruta!M2036)))</f>
        <v>MG</v>
      </c>
      <c r="O2036" s="4" t="str">
        <f aca="false">IF($A2036="","",_xlfn.XLOOKUP(LOWER(TRIM(Base_Bruta!N2036)),DePara_Pais!$A$2:$A$9,DePara_Pais!$B$2:$B$9,"REVISAR"))</f>
        <v>Brasil</v>
      </c>
      <c r="P2036" s="4" t="str">
        <f aca="false">IF($A2036="","",IF(O2036&lt;&gt;"Brasil","Turista Internacional",IF(M2036=F2036,"Local","Turista Nacional")))</f>
        <v>Turista Nacional</v>
      </c>
      <c r="Q2036" s="7" t="n">
        <f aca="false">IF($A2036="","",DATE(YEAR(B2036),MONTH(B2036),1))</f>
        <v>46054</v>
      </c>
      <c r="R2036" s="4" t="str">
        <f aca="false">IF($A2036="","",IF(COUNTIF($A$2:$A2036,$A2036)&gt;1,"Sim","Não"))</f>
        <v>Não</v>
      </c>
      <c r="S2036" s="4" t="str">
        <f aca="false">IF(A2036="","Descartar - Linha vazia",IF(R2036="Sim","Descartar - Duplicado",IF(OR(H2036&lt;=0,I2036&lt;=0),"Descartar - Qtd/Valor inválido","OK")))</f>
        <v>OK</v>
      </c>
      <c r="T2036" s="4" t="str">
        <f aca="false">Base_Bruta!P2036</f>
        <v>vendas_MG.csv</v>
      </c>
    </row>
    <row r="2037" customFormat="false" ht="15" hidden="false" customHeight="false" outlineLevel="0" collapsed="false">
      <c r="A2037" s="4" t="str">
        <f aca="false">IF(Base_Bruta!A2037="","",Base_Bruta!A2037)</f>
        <v>MG-000341</v>
      </c>
      <c r="B2037" s="5" t="n">
        <f aca="false">IF($A2037="","",IF(ISNUMBER(Base_Bruta!B2037),Base_Bruta!B2037,IF(MID(Base_Bruta!B2037,5,1)="-",DATE(VALUE(LEFT(Base_Bruta!B2037,4)),VALUE(MID(Base_Bruta!B2037,6,2)),VALUE(RIGHT(Base_Bruta!B2037,2))),DATE(VALUE(RIGHT(Base_Bruta!B2037,4)),VALUE(MID(Base_Bruta!B2037,4,2)),VALUE(LEFT(Base_Bruta!B2037,2))))))</f>
        <v>46078</v>
      </c>
      <c r="C2037" s="5" t="n">
        <f aca="false">IF($A2037="","",IF(ISNUMBER(Base_Bruta!C2037),Base_Bruta!C2037,IF(MID(Base_Bruta!C2037,5,1)="-",DATE(VALUE(LEFT(Base_Bruta!C2037,4)),VALUE(MID(Base_Bruta!C2037,6,2)),VALUE(RIGHT(Base_Bruta!C2037,2))),DATE(VALUE(RIGHT(Base_Bruta!C2037,4)),VALUE(MID(Base_Bruta!C2037,4,2)),VALUE(LEFT(Base_Bruta!C2037,2))))))</f>
        <v>46081</v>
      </c>
      <c r="D2037" s="4" t="str">
        <f aca="false">IF($A2037="","",TRIM(Base_Bruta!D2037))</f>
        <v>Show Sertanejo - BH</v>
      </c>
      <c r="E2037" s="4" t="str">
        <f aca="false">IF($A2037="","",_xlfn.XLOOKUP(LOWER(TRIM(Base_Bruta!E2037)),DePara_Categoria!$A$2:$A$9,DePara_Categoria!$B$2:$B$9,"REVISAR"))</f>
        <v>Show</v>
      </c>
      <c r="F2037" s="4" t="str">
        <f aca="false">IF($A2037="","",_xlfn.XLOOKUP(LOWER(TRIM(Base_Bruta!F2037)),DePara_Cidade!$A$2:$A$29,DePara_Cidade!$B$2:$B$29,"REVISAR"))</f>
        <v>Belo Horizonte</v>
      </c>
      <c r="G2037" s="4" t="str">
        <f aca="false">IF($A2037="","",TRIM(Base_Bruta!G2037))</f>
        <v>Inteira</v>
      </c>
      <c r="H2037" s="4" t="n">
        <f aca="false">IF($A2037="","",IF(ISNUMBER(Base_Bruta!H2037),Base_Bruta!H2037,IFERROR(_xlfn.NUMBERVALUE(TRIM(SUBSTITUTE(Base_Bruta!H2037,"R$","")),",","."),0)))</f>
        <v>2</v>
      </c>
      <c r="I2037" s="6" t="n">
        <f aca="false">IF($A2037="","",IF(ISNUMBER(Base_Bruta!I2037),Base_Bruta!I2037,IFERROR(_xlfn.NUMBERVALUE(TRIM(SUBSTITUTE(Base_Bruta!I2037,"R$","")),",","."),0)))</f>
        <v>445</v>
      </c>
      <c r="J2037" s="6" t="n">
        <f aca="false">IF($A2037="","",H2037*I2037)</f>
        <v>890</v>
      </c>
      <c r="K2037" s="4" t="str">
        <f aca="false">IF($A2037="","",TRIM(Base_Bruta!J2037))</f>
        <v>Site</v>
      </c>
      <c r="L2037" s="4" t="str">
        <f aca="false">IF($A2037="","",TRIM(Base_Bruta!K2037))</f>
        <v>C01086</v>
      </c>
      <c r="M2037" s="4" t="str">
        <f aca="false">IF($A2037="","",_xlfn.XLOOKUP(LOWER(TRIM(Base_Bruta!L2037)),DePara_Cidade!$A$2:$A$29,DePara_Cidade!$B$2:$B$29,"REVISAR"))</f>
        <v>Florianópolis</v>
      </c>
      <c r="N2037" s="4" t="str">
        <f aca="false">IF($A2037="","",UPPER(TRIM(Base_Bruta!M2037)))</f>
        <v>SC</v>
      </c>
      <c r="O2037" s="4" t="str">
        <f aca="false">IF($A2037="","",_xlfn.XLOOKUP(LOWER(TRIM(Base_Bruta!N2037)),DePara_Pais!$A$2:$A$9,DePara_Pais!$B$2:$B$9,"REVISAR"))</f>
        <v>Brasil</v>
      </c>
      <c r="P2037" s="4" t="str">
        <f aca="false">IF($A2037="","",IF(O2037&lt;&gt;"Brasil","Turista Internacional",IF(M2037=F2037,"Local","Turista Nacional")))</f>
        <v>Turista Nacional</v>
      </c>
      <c r="Q2037" s="7" t="n">
        <f aca="false">IF($A2037="","",DATE(YEAR(B2037),MONTH(B2037),1))</f>
        <v>46054</v>
      </c>
      <c r="R2037" s="4" t="str">
        <f aca="false">IF($A2037="","",IF(COUNTIF($A$2:$A2037,$A2037)&gt;1,"Sim","Não"))</f>
        <v>Não</v>
      </c>
      <c r="S2037" s="4" t="str">
        <f aca="false">IF(A2037="","Descartar - Linha vazia",IF(R2037="Sim","Descartar - Duplicado",IF(OR(H2037&lt;=0,I2037&lt;=0),"Descartar - Qtd/Valor inválido","OK")))</f>
        <v>OK</v>
      </c>
      <c r="T2037" s="4" t="str">
        <f aca="false">Base_Bruta!P2037</f>
        <v>vendas_MG.csv</v>
      </c>
    </row>
    <row r="2038" customFormat="false" ht="15" hidden="false" customHeight="false" outlineLevel="0" collapsed="false">
      <c r="A2038" s="4" t="str">
        <f aca="false">IF(Base_Bruta!A2038="","",Base_Bruta!A2038)</f>
        <v>MG-000344</v>
      </c>
      <c r="B2038" s="5" t="n">
        <f aca="false">IF($A2038="","",IF(ISNUMBER(Base_Bruta!B2038),Base_Bruta!B2038,IF(MID(Base_Bruta!B2038,5,1)="-",DATE(VALUE(LEFT(Base_Bruta!B2038,4)),VALUE(MID(Base_Bruta!B2038,6,2)),VALUE(RIGHT(Base_Bruta!B2038,2))),DATE(VALUE(RIGHT(Base_Bruta!B2038,4)),VALUE(MID(Base_Bruta!B2038,4,2)),VALUE(LEFT(Base_Bruta!B2038,2))))))</f>
        <v>46078</v>
      </c>
      <c r="C2038" s="5" t="n">
        <f aca="false">IF($A2038="","",IF(ISNUMBER(Base_Bruta!C2038),Base_Bruta!C2038,IF(MID(Base_Bruta!C2038,5,1)="-",DATE(VALUE(LEFT(Base_Bruta!C2038,4)),VALUE(MID(Base_Bruta!C2038,6,2)),VALUE(RIGHT(Base_Bruta!C2038,2))),DATE(VALUE(RIGHT(Base_Bruta!C2038,4)),VALUE(MID(Base_Bruta!C2038,4,2)),VALUE(LEFT(Base_Bruta!C2038,2))))))</f>
        <v>46081</v>
      </c>
      <c r="D2038" s="4" t="str">
        <f aca="false">IF($A2038="","",TRIM(Base_Bruta!D2038))</f>
        <v>Show Sertanejo - BH</v>
      </c>
      <c r="E2038" s="4" t="str">
        <f aca="false">IF($A2038="","",_xlfn.XLOOKUP(LOWER(TRIM(Base_Bruta!E2038)),DePara_Categoria!$A$2:$A$9,DePara_Categoria!$B$2:$B$9,"REVISAR"))</f>
        <v>Show</v>
      </c>
      <c r="F2038" s="4" t="str">
        <f aca="false">IF($A2038="","",_xlfn.XLOOKUP(LOWER(TRIM(Base_Bruta!F2038)),DePara_Cidade!$A$2:$A$29,DePara_Cidade!$B$2:$B$29,"REVISAR"))</f>
        <v>Belo Horizonte</v>
      </c>
      <c r="G2038" s="4" t="str">
        <f aca="false">IF($A2038="","",TRIM(Base_Bruta!G2038))</f>
        <v>Inteira</v>
      </c>
      <c r="H2038" s="4" t="n">
        <f aca="false">IF($A2038="","",IF(ISNUMBER(Base_Bruta!H2038),Base_Bruta!H2038,IFERROR(_xlfn.NUMBERVALUE(TRIM(SUBSTITUTE(Base_Bruta!H2038,"R$","")),",","."),0)))</f>
        <v>1</v>
      </c>
      <c r="I2038" s="6" t="n">
        <f aca="false">IF($A2038="","",IF(ISNUMBER(Base_Bruta!I2038),Base_Bruta!I2038,IFERROR(_xlfn.NUMBERVALUE(TRIM(SUBSTITUTE(Base_Bruta!I2038,"R$","")),",","."),0)))</f>
        <v>755</v>
      </c>
      <c r="J2038" s="6" t="n">
        <f aca="false">IF($A2038="","",H2038*I2038)</f>
        <v>755</v>
      </c>
      <c r="K2038" s="4" t="str">
        <f aca="false">IF($A2038="","",TRIM(Base_Bruta!J2038))</f>
        <v>Site</v>
      </c>
      <c r="L2038" s="4" t="str">
        <f aca="false">IF($A2038="","",TRIM(Base_Bruta!K2038))</f>
        <v>C01892</v>
      </c>
      <c r="M2038" s="4" t="str">
        <f aca="false">IF($A2038="","",_xlfn.XLOOKUP(LOWER(TRIM(Base_Bruta!L2038)),DePara_Cidade!$A$2:$A$29,DePara_Cidade!$B$2:$B$29,"REVISAR"))</f>
        <v>Contagem</v>
      </c>
      <c r="N2038" s="4" t="str">
        <f aca="false">IF($A2038="","",UPPER(TRIM(Base_Bruta!M2038)))</f>
        <v>MG</v>
      </c>
      <c r="O2038" s="4" t="str">
        <f aca="false">IF($A2038="","",_xlfn.XLOOKUP(LOWER(TRIM(Base_Bruta!N2038)),DePara_Pais!$A$2:$A$9,DePara_Pais!$B$2:$B$9,"REVISAR"))</f>
        <v>Brasil</v>
      </c>
      <c r="P2038" s="4" t="str">
        <f aca="false">IF($A2038="","",IF(O2038&lt;&gt;"Brasil","Turista Internacional",IF(M2038=F2038,"Local","Turista Nacional")))</f>
        <v>Turista Nacional</v>
      </c>
      <c r="Q2038" s="7" t="n">
        <f aca="false">IF($A2038="","",DATE(YEAR(B2038),MONTH(B2038),1))</f>
        <v>46054</v>
      </c>
      <c r="R2038" s="4" t="str">
        <f aca="false">IF($A2038="","",IF(COUNTIF($A$2:$A2038,$A2038)&gt;1,"Sim","Não"))</f>
        <v>Não</v>
      </c>
      <c r="S2038" s="4" t="str">
        <f aca="false">IF(A2038="","Descartar - Linha vazia",IF(R2038="Sim","Descartar - Duplicado",IF(OR(H2038&lt;=0,I2038&lt;=0),"Descartar - Qtd/Valor inválido","OK")))</f>
        <v>OK</v>
      </c>
      <c r="T2038" s="4" t="str">
        <f aca="false">Base_Bruta!P2038</f>
        <v>vendas_MG.csv</v>
      </c>
    </row>
    <row r="2039" customFormat="false" ht="15" hidden="false" customHeight="false" outlineLevel="0" collapsed="false">
      <c r="A2039" s="4" t="str">
        <f aca="false">IF(Base_Bruta!A2039="","",Base_Bruta!A2039)</f>
        <v>MG-000237</v>
      </c>
      <c r="B2039" s="5" t="n">
        <f aca="false">IF($A2039="","",IF(ISNUMBER(Base_Bruta!B2039),Base_Bruta!B2039,IF(MID(Base_Bruta!B2039,5,1)="-",DATE(VALUE(LEFT(Base_Bruta!B2039,4)),VALUE(MID(Base_Bruta!B2039,6,2)),VALUE(RIGHT(Base_Bruta!B2039,2))),DATE(VALUE(RIGHT(Base_Bruta!B2039,4)),VALUE(MID(Base_Bruta!B2039,4,2)),VALUE(LEFT(Base_Bruta!B2039,2))))))</f>
        <v>46079</v>
      </c>
      <c r="C2039" s="5" t="n">
        <f aca="false">IF($A2039="","",IF(ISNUMBER(Base_Bruta!C2039),Base_Bruta!C2039,IF(MID(Base_Bruta!C2039,5,1)="-",DATE(VALUE(LEFT(Base_Bruta!C2039,4)),VALUE(MID(Base_Bruta!C2039,6,2)),VALUE(RIGHT(Base_Bruta!C2039,2))),DATE(VALUE(RIGHT(Base_Bruta!C2039,4)),VALUE(MID(Base_Bruta!C2039,4,2)),VALUE(LEFT(Base_Bruta!C2039,2))))))</f>
        <v>46081</v>
      </c>
      <c r="D2039" s="4" t="str">
        <f aca="false">IF($A2039="","",TRIM(Base_Bruta!D2039))</f>
        <v>Show Sertanejo - BH</v>
      </c>
      <c r="E2039" s="4" t="str">
        <f aca="false">IF($A2039="","",_xlfn.XLOOKUP(LOWER(TRIM(Base_Bruta!E2039)),DePara_Categoria!$A$2:$A$9,DePara_Categoria!$B$2:$B$9,"REVISAR"))</f>
        <v>Show</v>
      </c>
      <c r="F2039" s="4" t="str">
        <f aca="false">IF($A2039="","",_xlfn.XLOOKUP(LOWER(TRIM(Base_Bruta!F2039)),DePara_Cidade!$A$2:$A$29,DePara_Cidade!$B$2:$B$29,"REVISAR"))</f>
        <v>Belo Horizonte</v>
      </c>
      <c r="G2039" s="4" t="str">
        <f aca="false">IF($A2039="","",TRIM(Base_Bruta!G2039))</f>
        <v>Inteira</v>
      </c>
      <c r="H2039" s="4" t="n">
        <f aca="false">IF($A2039="","",IF(ISNUMBER(Base_Bruta!H2039),Base_Bruta!H2039,IFERROR(_xlfn.NUMBERVALUE(TRIM(SUBSTITUTE(Base_Bruta!H2039,"R$","")),",","."),0)))</f>
        <v>4</v>
      </c>
      <c r="I2039" s="6" t="n">
        <f aca="false">IF($A2039="","",IF(ISNUMBER(Base_Bruta!I2039),Base_Bruta!I2039,IFERROR(_xlfn.NUMBERVALUE(TRIM(SUBSTITUTE(Base_Bruta!I2039,"R$","")),",","."),0)))</f>
        <v>670</v>
      </c>
      <c r="J2039" s="6" t="n">
        <f aca="false">IF($A2039="","",H2039*I2039)</f>
        <v>2680</v>
      </c>
      <c r="K2039" s="4" t="str">
        <f aca="false">IF($A2039="","",TRIM(Base_Bruta!J2039))</f>
        <v>App</v>
      </c>
      <c r="L2039" s="4" t="str">
        <f aca="false">IF($A2039="","",TRIM(Base_Bruta!K2039))</f>
        <v>C00932</v>
      </c>
      <c r="M2039" s="4" t="str">
        <f aca="false">IF($A2039="","",_xlfn.XLOOKUP(LOWER(TRIM(Base_Bruta!L2039)),DePara_Cidade!$A$2:$A$29,DePara_Cidade!$B$2:$B$29,"REVISAR"))</f>
        <v>Porto Alegre</v>
      </c>
      <c r="N2039" s="4" t="str">
        <f aca="false">IF($A2039="","",UPPER(TRIM(Base_Bruta!M2039)))</f>
        <v>RS</v>
      </c>
      <c r="O2039" s="4" t="str">
        <f aca="false">IF($A2039="","",_xlfn.XLOOKUP(LOWER(TRIM(Base_Bruta!N2039)),DePara_Pais!$A$2:$A$9,DePara_Pais!$B$2:$B$9,"REVISAR"))</f>
        <v>Brasil</v>
      </c>
      <c r="P2039" s="4" t="str">
        <f aca="false">IF($A2039="","",IF(O2039&lt;&gt;"Brasil","Turista Internacional",IF(M2039=F2039,"Local","Turista Nacional")))</f>
        <v>Turista Nacional</v>
      </c>
      <c r="Q2039" s="7" t="n">
        <f aca="false">IF($A2039="","",DATE(YEAR(B2039),MONTH(B2039),1))</f>
        <v>46054</v>
      </c>
      <c r="R2039" s="4" t="str">
        <f aca="false">IF($A2039="","",IF(COUNTIF($A$2:$A2039,$A2039)&gt;1,"Sim","Não"))</f>
        <v>Não</v>
      </c>
      <c r="S2039" s="4" t="str">
        <f aca="false">IF(A2039="","Descartar - Linha vazia",IF(R2039="Sim","Descartar - Duplicado",IF(OR(H2039&lt;=0,I2039&lt;=0),"Descartar - Qtd/Valor inválido","OK")))</f>
        <v>OK</v>
      </c>
      <c r="T2039" s="4" t="str">
        <f aca="false">Base_Bruta!P2039</f>
        <v>vendas_MG.csv</v>
      </c>
    </row>
    <row r="2040" customFormat="false" ht="15" hidden="false" customHeight="false" outlineLevel="0" collapsed="false">
      <c r="A2040" s="4" t="str">
        <f aca="false">IF(Base_Bruta!A2040="","",Base_Bruta!A2040)</f>
        <v>MG-000250</v>
      </c>
      <c r="B2040" s="5" t="n">
        <f aca="false">IF($A2040="","",IF(ISNUMBER(Base_Bruta!B2040),Base_Bruta!B2040,IF(MID(Base_Bruta!B2040,5,1)="-",DATE(VALUE(LEFT(Base_Bruta!B2040,4)),VALUE(MID(Base_Bruta!B2040,6,2)),VALUE(RIGHT(Base_Bruta!B2040,2))),DATE(VALUE(RIGHT(Base_Bruta!B2040,4)),VALUE(MID(Base_Bruta!B2040,4,2)),VALUE(LEFT(Base_Bruta!B2040,2))))))</f>
        <v>46079</v>
      </c>
      <c r="C2040" s="5" t="n">
        <f aca="false">IF($A2040="","",IF(ISNUMBER(Base_Bruta!C2040),Base_Bruta!C2040,IF(MID(Base_Bruta!C2040,5,1)="-",DATE(VALUE(LEFT(Base_Bruta!C2040,4)),VALUE(MID(Base_Bruta!C2040,6,2)),VALUE(RIGHT(Base_Bruta!C2040,2))),DATE(VALUE(RIGHT(Base_Bruta!C2040,4)),VALUE(MID(Base_Bruta!C2040,4,2)),VALUE(LEFT(Base_Bruta!C2040,2))))))</f>
        <v>46081</v>
      </c>
      <c r="D2040" s="4" t="str">
        <f aca="false">IF($A2040="","",TRIM(Base_Bruta!D2040))</f>
        <v>Show Sertanejo - BH</v>
      </c>
      <c r="E2040" s="4" t="str">
        <f aca="false">IF($A2040="","",_xlfn.XLOOKUP(LOWER(TRIM(Base_Bruta!E2040)),DePara_Categoria!$A$2:$A$9,DePara_Categoria!$B$2:$B$9,"REVISAR"))</f>
        <v>Show</v>
      </c>
      <c r="F2040" s="4" t="str">
        <f aca="false">IF($A2040="","",_xlfn.XLOOKUP(LOWER(TRIM(Base_Bruta!F2040)),DePara_Cidade!$A$2:$A$29,DePara_Cidade!$B$2:$B$29,"REVISAR"))</f>
        <v>Belo Horizonte</v>
      </c>
      <c r="G2040" s="4" t="str">
        <f aca="false">IF($A2040="","",TRIM(Base_Bruta!G2040))</f>
        <v>Inteira</v>
      </c>
      <c r="H2040" s="4" t="n">
        <f aca="false">IF($A2040="","",IF(ISNUMBER(Base_Bruta!H2040),Base_Bruta!H2040,IFERROR(_xlfn.NUMBERVALUE(TRIM(SUBSTITUTE(Base_Bruta!H2040,"R$","")),",","."),0)))</f>
        <v>1</v>
      </c>
      <c r="I2040" s="6" t="n">
        <f aca="false">IF($A2040="","",IF(ISNUMBER(Base_Bruta!I2040),Base_Bruta!I2040,IFERROR(_xlfn.NUMBERVALUE(TRIM(SUBSTITUTE(Base_Bruta!I2040,"R$","")),",","."),0)))</f>
        <v>260</v>
      </c>
      <c r="J2040" s="6" t="n">
        <f aca="false">IF($A2040="","",H2040*I2040)</f>
        <v>260</v>
      </c>
      <c r="K2040" s="4" t="str">
        <f aca="false">IF($A2040="","",TRIM(Base_Bruta!J2040))</f>
        <v>Site</v>
      </c>
      <c r="L2040" s="4" t="str">
        <f aca="false">IF($A2040="","",TRIM(Base_Bruta!K2040))</f>
        <v>C00004</v>
      </c>
      <c r="M2040" s="4" t="str">
        <f aca="false">IF($A2040="","",_xlfn.XLOOKUP(LOWER(TRIM(Base_Bruta!L2040)),DePara_Cidade!$A$2:$A$29,DePara_Cidade!$B$2:$B$29,"REVISAR"))</f>
        <v>Belo Horizonte</v>
      </c>
      <c r="N2040" s="4" t="str">
        <f aca="false">IF($A2040="","",UPPER(TRIM(Base_Bruta!M2040)))</f>
        <v>MG</v>
      </c>
      <c r="O2040" s="4" t="str">
        <f aca="false">IF($A2040="","",_xlfn.XLOOKUP(LOWER(TRIM(Base_Bruta!N2040)),DePara_Pais!$A$2:$A$9,DePara_Pais!$B$2:$B$9,"REVISAR"))</f>
        <v>Brasil</v>
      </c>
      <c r="P2040" s="4" t="str">
        <f aca="false">IF($A2040="","",IF(O2040&lt;&gt;"Brasil","Turista Internacional",IF(M2040=F2040,"Local","Turista Nacional")))</f>
        <v>Local</v>
      </c>
      <c r="Q2040" s="7" t="n">
        <f aca="false">IF($A2040="","",DATE(YEAR(B2040),MONTH(B2040),1))</f>
        <v>46054</v>
      </c>
      <c r="R2040" s="4" t="str">
        <f aca="false">IF($A2040="","",IF(COUNTIF($A$2:$A2040,$A2040)&gt;1,"Sim","Não"))</f>
        <v>Não</v>
      </c>
      <c r="S2040" s="4" t="str">
        <f aca="false">IF(A2040="","Descartar - Linha vazia",IF(R2040="Sim","Descartar - Duplicado",IF(OR(H2040&lt;=0,I2040&lt;=0),"Descartar - Qtd/Valor inválido","OK")))</f>
        <v>OK</v>
      </c>
      <c r="T2040" s="4" t="str">
        <f aca="false">Base_Bruta!P2040</f>
        <v>vendas_MG.csv</v>
      </c>
    </row>
    <row r="2041" customFormat="false" ht="15" hidden="false" customHeight="false" outlineLevel="0" collapsed="false">
      <c r="A2041" s="4" t="str">
        <f aca="false">IF(Base_Bruta!A2041="","",Base_Bruta!A2041)</f>
        <v>MG-000260</v>
      </c>
      <c r="B2041" s="5" t="n">
        <f aca="false">IF($A2041="","",IF(ISNUMBER(Base_Bruta!B2041),Base_Bruta!B2041,IF(MID(Base_Bruta!B2041,5,1)="-",DATE(VALUE(LEFT(Base_Bruta!B2041,4)),VALUE(MID(Base_Bruta!B2041,6,2)),VALUE(RIGHT(Base_Bruta!B2041,2))),DATE(VALUE(RIGHT(Base_Bruta!B2041,4)),VALUE(MID(Base_Bruta!B2041,4,2)),VALUE(LEFT(Base_Bruta!B2041,2))))))</f>
        <v>46079</v>
      </c>
      <c r="C2041" s="5" t="n">
        <f aca="false">IF($A2041="","",IF(ISNUMBER(Base_Bruta!C2041),Base_Bruta!C2041,IF(MID(Base_Bruta!C2041,5,1)="-",DATE(VALUE(LEFT(Base_Bruta!C2041,4)),VALUE(MID(Base_Bruta!C2041,6,2)),VALUE(RIGHT(Base_Bruta!C2041,2))),DATE(VALUE(RIGHT(Base_Bruta!C2041,4)),VALUE(MID(Base_Bruta!C2041,4,2)),VALUE(LEFT(Base_Bruta!C2041,2))))))</f>
        <v>46081</v>
      </c>
      <c r="D2041" s="4" t="str">
        <f aca="false">IF($A2041="","",TRIM(Base_Bruta!D2041))</f>
        <v>Show Sertanejo - BH</v>
      </c>
      <c r="E2041" s="4" t="str">
        <f aca="false">IF($A2041="","",_xlfn.XLOOKUP(LOWER(TRIM(Base_Bruta!E2041)),DePara_Categoria!$A$2:$A$9,DePara_Categoria!$B$2:$B$9,"REVISAR"))</f>
        <v>Show</v>
      </c>
      <c r="F2041" s="4" t="str">
        <f aca="false">IF($A2041="","",_xlfn.XLOOKUP(LOWER(TRIM(Base_Bruta!F2041)),DePara_Cidade!$A$2:$A$29,DePara_Cidade!$B$2:$B$29,"REVISAR"))</f>
        <v>Belo Horizonte</v>
      </c>
      <c r="G2041" s="4" t="str">
        <f aca="false">IF($A2041="","",TRIM(Base_Bruta!G2041))</f>
        <v>VIP</v>
      </c>
      <c r="H2041" s="4" t="n">
        <f aca="false">IF($A2041="","",IF(ISNUMBER(Base_Bruta!H2041),Base_Bruta!H2041,IFERROR(_xlfn.NUMBERVALUE(TRIM(SUBSTITUTE(Base_Bruta!H2041,"R$","")),",","."),0)))</f>
        <v>3</v>
      </c>
      <c r="I2041" s="6" t="n">
        <f aca="false">IF($A2041="","",IF(ISNUMBER(Base_Bruta!I2041),Base_Bruta!I2041,IFERROR(_xlfn.NUMBERVALUE(TRIM(SUBSTITUTE(Base_Bruta!I2041,"R$","")),",","."),0)))</f>
        <v>940</v>
      </c>
      <c r="J2041" s="6" t="n">
        <f aca="false">IF($A2041="","",H2041*I2041)</f>
        <v>2820</v>
      </c>
      <c r="K2041" s="4" t="str">
        <f aca="false">IF($A2041="","",TRIM(Base_Bruta!J2041))</f>
        <v>Parceiro</v>
      </c>
      <c r="L2041" s="4" t="str">
        <f aca="false">IF($A2041="","",TRIM(Base_Bruta!K2041))</f>
        <v>C02491</v>
      </c>
      <c r="M2041" s="4" t="str">
        <f aca="false">IF($A2041="","",_xlfn.XLOOKUP(LOWER(TRIM(Base_Bruta!L2041)),DePara_Cidade!$A$2:$A$29,DePara_Cidade!$B$2:$B$29,"REVISAR"))</f>
        <v>Miami</v>
      </c>
      <c r="N2041" s="4" t="str">
        <f aca="false">IF($A2041="","",UPPER(TRIM(Base_Bruta!M2041)))</f>
        <v>EX</v>
      </c>
      <c r="O2041" s="4" t="str">
        <f aca="false">IF($A2041="","",_xlfn.XLOOKUP(LOWER(TRIM(Base_Bruta!N2041)),DePara_Pais!$A$2:$A$9,DePara_Pais!$B$2:$B$9,"REVISAR"))</f>
        <v>EUA</v>
      </c>
      <c r="P2041" s="4" t="str">
        <f aca="false">IF($A2041="","",IF(O2041&lt;&gt;"Brasil","Turista Internacional",IF(M2041=F2041,"Local","Turista Nacional")))</f>
        <v>Turista Internacional</v>
      </c>
      <c r="Q2041" s="7" t="n">
        <f aca="false">IF($A2041="","",DATE(YEAR(B2041),MONTH(B2041),1))</f>
        <v>46054</v>
      </c>
      <c r="R2041" s="4" t="str">
        <f aca="false">IF($A2041="","",IF(COUNTIF($A$2:$A2041,$A2041)&gt;1,"Sim","Não"))</f>
        <v>Não</v>
      </c>
      <c r="S2041" s="4" t="str">
        <f aca="false">IF(A2041="","Descartar - Linha vazia",IF(R2041="Sim","Descartar - Duplicado",IF(OR(H2041&lt;=0,I2041&lt;=0),"Descartar - Qtd/Valor inválido","OK")))</f>
        <v>OK</v>
      </c>
      <c r="T2041" s="4" t="str">
        <f aca="false">Base_Bruta!P2041</f>
        <v>vendas_MG.csv</v>
      </c>
    </row>
    <row r="2042" customFormat="false" ht="15" hidden="false" customHeight="false" outlineLevel="0" collapsed="false">
      <c r="A2042" s="4" t="str">
        <f aca="false">IF(Base_Bruta!A2042="","",Base_Bruta!A2042)</f>
        <v>MG-000329</v>
      </c>
      <c r="B2042" s="5" t="n">
        <f aca="false">IF($A2042="","",IF(ISNUMBER(Base_Bruta!B2042),Base_Bruta!B2042,IF(MID(Base_Bruta!B2042,5,1)="-",DATE(VALUE(LEFT(Base_Bruta!B2042,4)),VALUE(MID(Base_Bruta!B2042,6,2)),VALUE(RIGHT(Base_Bruta!B2042,2))),DATE(VALUE(RIGHT(Base_Bruta!B2042,4)),VALUE(MID(Base_Bruta!B2042,4,2)),VALUE(LEFT(Base_Bruta!B2042,2))))))</f>
        <v>46079</v>
      </c>
      <c r="C2042" s="5" t="n">
        <f aca="false">IF($A2042="","",IF(ISNUMBER(Base_Bruta!C2042),Base_Bruta!C2042,IF(MID(Base_Bruta!C2042,5,1)="-",DATE(VALUE(LEFT(Base_Bruta!C2042,4)),VALUE(MID(Base_Bruta!C2042,6,2)),VALUE(RIGHT(Base_Bruta!C2042,2))),DATE(VALUE(RIGHT(Base_Bruta!C2042,4)),VALUE(MID(Base_Bruta!C2042,4,2)),VALUE(LEFT(Base_Bruta!C2042,2))))))</f>
        <v>46081</v>
      </c>
      <c r="D2042" s="4" t="str">
        <f aca="false">IF($A2042="","",TRIM(Base_Bruta!D2042))</f>
        <v>Show Sertanejo - BH</v>
      </c>
      <c r="E2042" s="4" t="str">
        <f aca="false">IF($A2042="","",_xlfn.XLOOKUP(LOWER(TRIM(Base_Bruta!E2042)),DePara_Categoria!$A$2:$A$9,DePara_Categoria!$B$2:$B$9,"REVISAR"))</f>
        <v>Show</v>
      </c>
      <c r="F2042" s="4" t="str">
        <f aca="false">IF($A2042="","",_xlfn.XLOOKUP(LOWER(TRIM(Base_Bruta!F2042)),DePara_Cidade!$A$2:$A$29,DePara_Cidade!$B$2:$B$29,"REVISAR"))</f>
        <v>Belo Horizonte</v>
      </c>
      <c r="G2042" s="4" t="str">
        <f aca="false">IF($A2042="","",TRIM(Base_Bruta!G2042))</f>
        <v>Meia</v>
      </c>
      <c r="H2042" s="4" t="n">
        <f aca="false">IF($A2042="","",IF(ISNUMBER(Base_Bruta!H2042),Base_Bruta!H2042,IFERROR(_xlfn.NUMBERVALUE(TRIM(SUBSTITUTE(Base_Bruta!H2042,"R$","")),",","."),0)))</f>
        <v>2</v>
      </c>
      <c r="I2042" s="6" t="n">
        <f aca="false">IF($A2042="","",IF(ISNUMBER(Base_Bruta!I2042),Base_Bruta!I2042,IFERROR(_xlfn.NUMBERVALUE(TRIM(SUBSTITUTE(Base_Bruta!I2042,"R$","")),",","."),0)))</f>
        <v>327.5</v>
      </c>
      <c r="J2042" s="6" t="n">
        <f aca="false">IF($A2042="","",H2042*I2042)</f>
        <v>655</v>
      </c>
      <c r="K2042" s="4" t="str">
        <f aca="false">IF($A2042="","",TRIM(Base_Bruta!J2042))</f>
        <v>Bilheteria</v>
      </c>
      <c r="L2042" s="4" t="str">
        <f aca="false">IF($A2042="","",TRIM(Base_Bruta!K2042))</f>
        <v>C01731</v>
      </c>
      <c r="M2042" s="4" t="str">
        <f aca="false">IF($A2042="","",_xlfn.XLOOKUP(LOWER(TRIM(Base_Bruta!L2042)),DePara_Cidade!$A$2:$A$29,DePara_Cidade!$B$2:$B$29,"REVISAR"))</f>
        <v>Belo Horizonte</v>
      </c>
      <c r="N2042" s="4" t="str">
        <f aca="false">IF($A2042="","",UPPER(TRIM(Base_Bruta!M2042)))</f>
        <v>MG</v>
      </c>
      <c r="O2042" s="4" t="str">
        <f aca="false">IF($A2042="","",_xlfn.XLOOKUP(LOWER(TRIM(Base_Bruta!N2042)),DePara_Pais!$A$2:$A$9,DePara_Pais!$B$2:$B$9,"REVISAR"))</f>
        <v>Brasil</v>
      </c>
      <c r="P2042" s="4" t="str">
        <f aca="false">IF($A2042="","",IF(O2042&lt;&gt;"Brasil","Turista Internacional",IF(M2042=F2042,"Local","Turista Nacional")))</f>
        <v>Local</v>
      </c>
      <c r="Q2042" s="7" t="n">
        <f aca="false">IF($A2042="","",DATE(YEAR(B2042),MONTH(B2042),1))</f>
        <v>46054</v>
      </c>
      <c r="R2042" s="4" t="str">
        <f aca="false">IF($A2042="","",IF(COUNTIF($A$2:$A2042,$A2042)&gt;1,"Sim","Não"))</f>
        <v>Não</v>
      </c>
      <c r="S2042" s="4" t="str">
        <f aca="false">IF(A2042="","Descartar - Linha vazia",IF(R2042="Sim","Descartar - Duplicado",IF(OR(H2042&lt;=0,I2042&lt;=0),"Descartar - Qtd/Valor inválido","OK")))</f>
        <v>OK</v>
      </c>
      <c r="T2042" s="4" t="str">
        <f aca="false">Base_Bruta!P2042</f>
        <v>vendas_MG.csv</v>
      </c>
    </row>
    <row r="2043" customFormat="false" ht="15" hidden="false" customHeight="false" outlineLevel="0" collapsed="false">
      <c r="A2043" s="4" t="str">
        <f aca="false">IF(Base_Bruta!A2043="","",Base_Bruta!A2043)</f>
        <v>MG-000345</v>
      </c>
      <c r="B2043" s="5" t="n">
        <f aca="false">IF($A2043="","",IF(ISNUMBER(Base_Bruta!B2043),Base_Bruta!B2043,IF(MID(Base_Bruta!B2043,5,1)="-",DATE(VALUE(LEFT(Base_Bruta!B2043,4)),VALUE(MID(Base_Bruta!B2043,6,2)),VALUE(RIGHT(Base_Bruta!B2043,2))),DATE(VALUE(RIGHT(Base_Bruta!B2043,4)),VALUE(MID(Base_Bruta!B2043,4,2)),VALUE(LEFT(Base_Bruta!B2043,2))))))</f>
        <v>46079</v>
      </c>
      <c r="C2043" s="5" t="n">
        <f aca="false">IF($A2043="","",IF(ISNUMBER(Base_Bruta!C2043),Base_Bruta!C2043,IF(MID(Base_Bruta!C2043,5,1)="-",DATE(VALUE(LEFT(Base_Bruta!C2043,4)),VALUE(MID(Base_Bruta!C2043,6,2)),VALUE(RIGHT(Base_Bruta!C2043,2))),DATE(VALUE(RIGHT(Base_Bruta!C2043,4)),VALUE(MID(Base_Bruta!C2043,4,2)),VALUE(LEFT(Base_Bruta!C2043,2))))))</f>
        <v>46081</v>
      </c>
      <c r="D2043" s="4" t="str">
        <f aca="false">IF($A2043="","",TRIM(Base_Bruta!D2043))</f>
        <v>Show Sertanejo - BH</v>
      </c>
      <c r="E2043" s="4" t="str">
        <f aca="false">IF($A2043="","",_xlfn.XLOOKUP(LOWER(TRIM(Base_Bruta!E2043)),DePara_Categoria!$A$2:$A$9,DePara_Categoria!$B$2:$B$9,"REVISAR"))</f>
        <v>Show</v>
      </c>
      <c r="F2043" s="4" t="str">
        <f aca="false">IF($A2043="","",_xlfn.XLOOKUP(LOWER(TRIM(Base_Bruta!F2043)),DePara_Cidade!$A$2:$A$29,DePara_Cidade!$B$2:$B$29,"REVISAR"))</f>
        <v>Belo Horizonte</v>
      </c>
      <c r="G2043" s="4" t="str">
        <f aca="false">IF($A2043="","",TRIM(Base_Bruta!G2043))</f>
        <v>Meia</v>
      </c>
      <c r="H2043" s="4" t="n">
        <f aca="false">IF($A2043="","",IF(ISNUMBER(Base_Bruta!H2043),Base_Bruta!H2043,IFERROR(_xlfn.NUMBERVALUE(TRIM(SUBSTITUTE(Base_Bruta!H2043,"R$","")),",","."),0)))</f>
        <v>1</v>
      </c>
      <c r="I2043" s="6" t="n">
        <f aca="false">IF($A2043="","",IF(ISNUMBER(Base_Bruta!I2043),Base_Bruta!I2043,IFERROR(_xlfn.NUMBERVALUE(TRIM(SUBSTITUTE(Base_Bruta!I2043,"R$","")),",","."),0)))</f>
        <v>185</v>
      </c>
      <c r="J2043" s="6" t="n">
        <f aca="false">IF($A2043="","",H2043*I2043)</f>
        <v>185</v>
      </c>
      <c r="K2043" s="4" t="str">
        <f aca="false">IF($A2043="","",TRIM(Base_Bruta!J2043))</f>
        <v>Site</v>
      </c>
      <c r="L2043" s="4" t="str">
        <f aca="false">IF($A2043="","",TRIM(Base_Bruta!K2043))</f>
        <v>C01114</v>
      </c>
      <c r="M2043" s="4" t="str">
        <f aca="false">IF($A2043="","",_xlfn.XLOOKUP(LOWER(TRIM(Base_Bruta!L2043)),DePara_Cidade!$A$2:$A$29,DePara_Cidade!$B$2:$B$29,"REVISAR"))</f>
        <v>Belo Horizonte</v>
      </c>
      <c r="N2043" s="4" t="str">
        <f aca="false">IF($A2043="","",UPPER(TRIM(Base_Bruta!M2043)))</f>
        <v>MG</v>
      </c>
      <c r="O2043" s="4" t="str">
        <f aca="false">IF($A2043="","",_xlfn.XLOOKUP(LOWER(TRIM(Base_Bruta!N2043)),DePara_Pais!$A$2:$A$9,DePara_Pais!$B$2:$B$9,"REVISAR"))</f>
        <v>Brasil</v>
      </c>
      <c r="P2043" s="4" t="str">
        <f aca="false">IF($A2043="","",IF(O2043&lt;&gt;"Brasil","Turista Internacional",IF(M2043=F2043,"Local","Turista Nacional")))</f>
        <v>Local</v>
      </c>
      <c r="Q2043" s="7" t="n">
        <f aca="false">IF($A2043="","",DATE(YEAR(B2043),MONTH(B2043),1))</f>
        <v>46054</v>
      </c>
      <c r="R2043" s="4" t="str">
        <f aca="false">IF($A2043="","",IF(COUNTIF($A$2:$A2043,$A2043)&gt;1,"Sim","Não"))</f>
        <v>Não</v>
      </c>
      <c r="S2043" s="4" t="str">
        <f aca="false">IF(A2043="","Descartar - Linha vazia",IF(R2043="Sim","Descartar - Duplicado",IF(OR(H2043&lt;=0,I2043&lt;=0),"Descartar - Qtd/Valor inválido","OK")))</f>
        <v>OK</v>
      </c>
      <c r="T2043" s="4" t="str">
        <f aca="false">Base_Bruta!P2043</f>
        <v>vendas_MG.csv</v>
      </c>
    </row>
    <row r="2044" customFormat="false" ht="15" hidden="false" customHeight="false" outlineLevel="0" collapsed="false">
      <c r="A2044" s="4" t="str">
        <f aca="false">IF(Base_Bruta!A2044="","",Base_Bruta!A2044)</f>
        <v>MG-000362</v>
      </c>
      <c r="B2044" s="5" t="n">
        <f aca="false">IF($A2044="","",IF(ISNUMBER(Base_Bruta!B2044),Base_Bruta!B2044,IF(MID(Base_Bruta!B2044,5,1)="-",DATE(VALUE(LEFT(Base_Bruta!B2044,4)),VALUE(MID(Base_Bruta!B2044,6,2)),VALUE(RIGHT(Base_Bruta!B2044,2))),DATE(VALUE(RIGHT(Base_Bruta!B2044,4)),VALUE(MID(Base_Bruta!B2044,4,2)),VALUE(LEFT(Base_Bruta!B2044,2))))))</f>
        <v>46079</v>
      </c>
      <c r="C2044" s="5" t="n">
        <f aca="false">IF($A2044="","",IF(ISNUMBER(Base_Bruta!C2044),Base_Bruta!C2044,IF(MID(Base_Bruta!C2044,5,1)="-",DATE(VALUE(LEFT(Base_Bruta!C2044,4)),VALUE(MID(Base_Bruta!C2044,6,2)),VALUE(RIGHT(Base_Bruta!C2044,2))),DATE(VALUE(RIGHT(Base_Bruta!C2044,4)),VALUE(MID(Base_Bruta!C2044,4,2)),VALUE(LEFT(Base_Bruta!C2044,2))))))</f>
        <v>46081</v>
      </c>
      <c r="D2044" s="4" t="str">
        <f aca="false">IF($A2044="","",TRIM(Base_Bruta!D2044))</f>
        <v>Show Sertanejo - BH</v>
      </c>
      <c r="E2044" s="4" t="str">
        <f aca="false">IF($A2044="","",_xlfn.XLOOKUP(LOWER(TRIM(Base_Bruta!E2044)),DePara_Categoria!$A$2:$A$9,DePara_Categoria!$B$2:$B$9,"REVISAR"))</f>
        <v>Show</v>
      </c>
      <c r="F2044" s="4" t="str">
        <f aca="false">IF($A2044="","",_xlfn.XLOOKUP(LOWER(TRIM(Base_Bruta!F2044)),DePara_Cidade!$A$2:$A$29,DePara_Cidade!$B$2:$B$29,"REVISAR"))</f>
        <v>Belo Horizonte</v>
      </c>
      <c r="G2044" s="4" t="str">
        <f aca="false">IF($A2044="","",TRIM(Base_Bruta!G2044))</f>
        <v>Meia</v>
      </c>
      <c r="H2044" s="4" t="n">
        <f aca="false">IF($A2044="","",IF(ISNUMBER(Base_Bruta!H2044),Base_Bruta!H2044,IFERROR(_xlfn.NUMBERVALUE(TRIM(SUBSTITUTE(Base_Bruta!H2044,"R$","")),",","."),0)))</f>
        <v>1</v>
      </c>
      <c r="I2044" s="6" t="n">
        <f aca="false">IF($A2044="","",IF(ISNUMBER(Base_Bruta!I2044),Base_Bruta!I2044,IFERROR(_xlfn.NUMBERVALUE(TRIM(SUBSTITUTE(Base_Bruta!I2044,"R$","")),",","."),0)))</f>
        <v>282.5</v>
      </c>
      <c r="J2044" s="6" t="n">
        <f aca="false">IF($A2044="","",H2044*I2044)</f>
        <v>282.5</v>
      </c>
      <c r="K2044" s="4" t="str">
        <f aca="false">IF($A2044="","",TRIM(Base_Bruta!J2044))</f>
        <v>Bilheteria</v>
      </c>
      <c r="L2044" s="4" t="str">
        <f aca="false">IF($A2044="","",TRIM(Base_Bruta!K2044))</f>
        <v>C01533</v>
      </c>
      <c r="M2044" s="4" t="str">
        <f aca="false">IF($A2044="","",_xlfn.XLOOKUP(LOWER(TRIM(Base_Bruta!L2044)),DePara_Cidade!$A$2:$A$29,DePara_Cidade!$B$2:$B$29,"REVISAR"))</f>
        <v>Belo Horizonte</v>
      </c>
      <c r="N2044" s="4" t="str">
        <f aca="false">IF($A2044="","",UPPER(TRIM(Base_Bruta!M2044)))</f>
        <v>MG</v>
      </c>
      <c r="O2044" s="4" t="str">
        <f aca="false">IF($A2044="","",_xlfn.XLOOKUP(LOWER(TRIM(Base_Bruta!N2044)),DePara_Pais!$A$2:$A$9,DePara_Pais!$B$2:$B$9,"REVISAR"))</f>
        <v>Brasil</v>
      </c>
      <c r="P2044" s="4" t="str">
        <f aca="false">IF($A2044="","",IF(O2044&lt;&gt;"Brasil","Turista Internacional",IF(M2044=F2044,"Local","Turista Nacional")))</f>
        <v>Local</v>
      </c>
      <c r="Q2044" s="7" t="n">
        <f aca="false">IF($A2044="","",DATE(YEAR(B2044),MONTH(B2044),1))</f>
        <v>46054</v>
      </c>
      <c r="R2044" s="4" t="str">
        <f aca="false">IF($A2044="","",IF(COUNTIF($A$2:$A2044,$A2044)&gt;1,"Sim","Não"))</f>
        <v>Não</v>
      </c>
      <c r="S2044" s="4" t="str">
        <f aca="false">IF(A2044="","Descartar - Linha vazia",IF(R2044="Sim","Descartar - Duplicado",IF(OR(H2044&lt;=0,I2044&lt;=0),"Descartar - Qtd/Valor inválido","OK")))</f>
        <v>OK</v>
      </c>
      <c r="T2044" s="4" t="str">
        <f aca="false">Base_Bruta!P2044</f>
        <v>vendas_MG.csv</v>
      </c>
    </row>
    <row r="2045" customFormat="false" ht="15" hidden="false" customHeight="false" outlineLevel="0" collapsed="false">
      <c r="A2045" s="4" t="str">
        <f aca="false">IF(Base_Bruta!A2045="","",Base_Bruta!A2045)</f>
        <v>MG-000258</v>
      </c>
      <c r="B2045" s="5" t="n">
        <f aca="false">IF($A2045="","",IF(ISNUMBER(Base_Bruta!B2045),Base_Bruta!B2045,IF(MID(Base_Bruta!B2045,5,1)="-",DATE(VALUE(LEFT(Base_Bruta!B2045,4)),VALUE(MID(Base_Bruta!B2045,6,2)),VALUE(RIGHT(Base_Bruta!B2045,2))),DATE(VALUE(RIGHT(Base_Bruta!B2045,4)),VALUE(MID(Base_Bruta!B2045,4,2)),VALUE(LEFT(Base_Bruta!B2045,2))))))</f>
        <v>46080</v>
      </c>
      <c r="C2045" s="5" t="n">
        <f aca="false">IF($A2045="","",IF(ISNUMBER(Base_Bruta!C2045),Base_Bruta!C2045,IF(MID(Base_Bruta!C2045,5,1)="-",DATE(VALUE(LEFT(Base_Bruta!C2045,4)),VALUE(MID(Base_Bruta!C2045,6,2)),VALUE(RIGHT(Base_Bruta!C2045,2))),DATE(VALUE(RIGHT(Base_Bruta!C2045,4)),VALUE(MID(Base_Bruta!C2045,4,2)),VALUE(LEFT(Base_Bruta!C2045,2))))))</f>
        <v>46081</v>
      </c>
      <c r="D2045" s="4" t="str">
        <f aca="false">IF($A2045="","",TRIM(Base_Bruta!D2045))</f>
        <v>Show Sertanejo - BH</v>
      </c>
      <c r="E2045" s="4" t="str">
        <f aca="false">IF($A2045="","",_xlfn.XLOOKUP(LOWER(TRIM(Base_Bruta!E2045)),DePara_Categoria!$A$2:$A$9,DePara_Categoria!$B$2:$B$9,"REVISAR"))</f>
        <v>Show</v>
      </c>
      <c r="F2045" s="4" t="str">
        <f aca="false">IF($A2045="","",_xlfn.XLOOKUP(LOWER(TRIM(Base_Bruta!F2045)),DePara_Cidade!$A$2:$A$29,DePara_Cidade!$B$2:$B$29,"REVISAR"))</f>
        <v>Belo Horizonte</v>
      </c>
      <c r="G2045" s="4" t="str">
        <f aca="false">IF($A2045="","",TRIM(Base_Bruta!G2045))</f>
        <v>Meia</v>
      </c>
      <c r="H2045" s="4" t="n">
        <f aca="false">IF($A2045="","",IF(ISNUMBER(Base_Bruta!H2045),Base_Bruta!H2045,IFERROR(_xlfn.NUMBERVALUE(TRIM(SUBSTITUTE(Base_Bruta!H2045,"R$","")),",","."),0)))</f>
        <v>3</v>
      </c>
      <c r="I2045" s="6" t="n">
        <f aca="false">IF($A2045="","",IF(ISNUMBER(Base_Bruta!I2045),Base_Bruta!I2045,IFERROR(_xlfn.NUMBERVALUE(TRIM(SUBSTITUTE(Base_Bruta!I2045,"R$","")),",","."),0)))</f>
        <v>362.5</v>
      </c>
      <c r="J2045" s="6" t="n">
        <f aca="false">IF($A2045="","",H2045*I2045)</f>
        <v>1087.5</v>
      </c>
      <c r="K2045" s="4" t="str">
        <f aca="false">IF($A2045="","",TRIM(Base_Bruta!J2045))</f>
        <v>Bilheteria</v>
      </c>
      <c r="L2045" s="4" t="str">
        <f aca="false">IF($A2045="","",TRIM(Base_Bruta!K2045))</f>
        <v>C01533</v>
      </c>
      <c r="M2045" s="4" t="str">
        <f aca="false">IF($A2045="","",_xlfn.XLOOKUP(LOWER(TRIM(Base_Bruta!L2045)),DePara_Cidade!$A$2:$A$29,DePara_Cidade!$B$2:$B$29,"REVISAR"))</f>
        <v>Belo Horizonte</v>
      </c>
      <c r="N2045" s="4" t="str">
        <f aca="false">IF($A2045="","",UPPER(TRIM(Base_Bruta!M2045)))</f>
        <v>MG</v>
      </c>
      <c r="O2045" s="4" t="str">
        <f aca="false">IF($A2045="","",_xlfn.XLOOKUP(LOWER(TRIM(Base_Bruta!N2045)),DePara_Pais!$A$2:$A$9,DePara_Pais!$B$2:$B$9,"REVISAR"))</f>
        <v>Brasil</v>
      </c>
      <c r="P2045" s="4" t="str">
        <f aca="false">IF($A2045="","",IF(O2045&lt;&gt;"Brasil","Turista Internacional",IF(M2045=F2045,"Local","Turista Nacional")))</f>
        <v>Local</v>
      </c>
      <c r="Q2045" s="7" t="n">
        <f aca="false">IF($A2045="","",DATE(YEAR(B2045),MONTH(B2045),1))</f>
        <v>46054</v>
      </c>
      <c r="R2045" s="4" t="str">
        <f aca="false">IF($A2045="","",IF(COUNTIF($A$2:$A2045,$A2045)&gt;1,"Sim","Não"))</f>
        <v>Não</v>
      </c>
      <c r="S2045" s="4" t="str">
        <f aca="false">IF(A2045="","Descartar - Linha vazia",IF(R2045="Sim","Descartar - Duplicado",IF(OR(H2045&lt;=0,I2045&lt;=0),"Descartar - Qtd/Valor inválido","OK")))</f>
        <v>OK</v>
      </c>
      <c r="T2045" s="4" t="str">
        <f aca="false">Base_Bruta!P2045</f>
        <v>vendas_MG.csv</v>
      </c>
    </row>
    <row r="2046" customFormat="false" ht="15" hidden="false" customHeight="false" outlineLevel="0" collapsed="false">
      <c r="A2046" s="4" t="str">
        <f aca="false">IF(Base_Bruta!A2046="","",Base_Bruta!A2046)</f>
        <v>MG-000322</v>
      </c>
      <c r="B2046" s="5" t="n">
        <f aca="false">IF($A2046="","",IF(ISNUMBER(Base_Bruta!B2046),Base_Bruta!B2046,IF(MID(Base_Bruta!B2046,5,1)="-",DATE(VALUE(LEFT(Base_Bruta!B2046,4)),VALUE(MID(Base_Bruta!B2046,6,2)),VALUE(RIGHT(Base_Bruta!B2046,2))),DATE(VALUE(RIGHT(Base_Bruta!B2046,4)),VALUE(MID(Base_Bruta!B2046,4,2)),VALUE(LEFT(Base_Bruta!B2046,2))))))</f>
        <v>46080</v>
      </c>
      <c r="C2046" s="5" t="n">
        <f aca="false">IF($A2046="","",IF(ISNUMBER(Base_Bruta!C2046),Base_Bruta!C2046,IF(MID(Base_Bruta!C2046,5,1)="-",DATE(VALUE(LEFT(Base_Bruta!C2046,4)),VALUE(MID(Base_Bruta!C2046,6,2)),VALUE(RIGHT(Base_Bruta!C2046,2))),DATE(VALUE(RIGHT(Base_Bruta!C2046,4)),VALUE(MID(Base_Bruta!C2046,4,2)),VALUE(LEFT(Base_Bruta!C2046,2))))))</f>
        <v>46081</v>
      </c>
      <c r="D2046" s="4" t="str">
        <f aca="false">IF($A2046="","",TRIM(Base_Bruta!D2046))</f>
        <v>Show Sertanejo - BH</v>
      </c>
      <c r="E2046" s="4" t="str">
        <f aca="false">IF($A2046="","",_xlfn.XLOOKUP(LOWER(TRIM(Base_Bruta!E2046)),DePara_Categoria!$A$2:$A$9,DePara_Categoria!$B$2:$B$9,"REVISAR"))</f>
        <v>Show</v>
      </c>
      <c r="F2046" s="4" t="str">
        <f aca="false">IF($A2046="","",_xlfn.XLOOKUP(LOWER(TRIM(Base_Bruta!F2046)),DePara_Cidade!$A$2:$A$29,DePara_Cidade!$B$2:$B$29,"REVISAR"))</f>
        <v>Belo Horizonte</v>
      </c>
      <c r="G2046" s="4" t="str">
        <f aca="false">IF($A2046="","",TRIM(Base_Bruta!G2046))</f>
        <v>Inteira</v>
      </c>
      <c r="H2046" s="4" t="n">
        <f aca="false">IF($A2046="","",IF(ISNUMBER(Base_Bruta!H2046),Base_Bruta!H2046,IFERROR(_xlfn.NUMBERVALUE(TRIM(SUBSTITUTE(Base_Bruta!H2046,"R$","")),",","."),0)))</f>
        <v>2</v>
      </c>
      <c r="I2046" s="6" t="n">
        <f aca="false">IF($A2046="","",IF(ISNUMBER(Base_Bruta!I2046),Base_Bruta!I2046,IFERROR(_xlfn.NUMBERVALUE(TRIM(SUBSTITUTE(Base_Bruta!I2046,"R$","")),",","."),0)))</f>
        <v>495</v>
      </c>
      <c r="J2046" s="6" t="n">
        <f aca="false">IF($A2046="","",H2046*I2046)</f>
        <v>990</v>
      </c>
      <c r="K2046" s="4" t="str">
        <f aca="false">IF($A2046="","",TRIM(Base_Bruta!J2046))</f>
        <v>Site</v>
      </c>
      <c r="L2046" s="4" t="str">
        <f aca="false">IF($A2046="","",TRIM(Base_Bruta!K2046))</f>
        <v>C00743</v>
      </c>
      <c r="M2046" s="4" t="str">
        <f aca="false">IF($A2046="","",_xlfn.XLOOKUP(LOWER(TRIM(Base_Bruta!L2046)),DePara_Cidade!$A$2:$A$29,DePara_Cidade!$B$2:$B$29,"REVISAR"))</f>
        <v>São Paulo</v>
      </c>
      <c r="N2046" s="4" t="str">
        <f aca="false">IF($A2046="","",UPPER(TRIM(Base_Bruta!M2046)))</f>
        <v>SP</v>
      </c>
      <c r="O2046" s="4" t="str">
        <f aca="false">IF($A2046="","",_xlfn.XLOOKUP(LOWER(TRIM(Base_Bruta!N2046)),DePara_Pais!$A$2:$A$9,DePara_Pais!$B$2:$B$9,"REVISAR"))</f>
        <v>Brasil</v>
      </c>
      <c r="P2046" s="4" t="str">
        <f aca="false">IF($A2046="","",IF(O2046&lt;&gt;"Brasil","Turista Internacional",IF(M2046=F2046,"Local","Turista Nacional")))</f>
        <v>Turista Nacional</v>
      </c>
      <c r="Q2046" s="7" t="n">
        <f aca="false">IF($A2046="","",DATE(YEAR(B2046),MONTH(B2046),1))</f>
        <v>46054</v>
      </c>
      <c r="R2046" s="4" t="str">
        <f aca="false">IF($A2046="","",IF(COUNTIF($A$2:$A2046,$A2046)&gt;1,"Sim","Não"))</f>
        <v>Não</v>
      </c>
      <c r="S2046" s="4" t="str">
        <f aca="false">IF(A2046="","Descartar - Linha vazia",IF(R2046="Sim","Descartar - Duplicado",IF(OR(H2046&lt;=0,I2046&lt;=0),"Descartar - Qtd/Valor inválido","OK")))</f>
        <v>OK</v>
      </c>
      <c r="T2046" s="4" t="str">
        <f aca="false">Base_Bruta!P2046</f>
        <v>vendas_MG.csv</v>
      </c>
    </row>
    <row r="2047" customFormat="false" ht="15" hidden="false" customHeight="false" outlineLevel="0" collapsed="false">
      <c r="A2047" s="4" t="str">
        <f aca="false">IF(Base_Bruta!A2047="","",Base_Bruta!A2047)</f>
        <v>MG-000370</v>
      </c>
      <c r="B2047" s="5" t="n">
        <f aca="false">IF($A2047="","",IF(ISNUMBER(Base_Bruta!B2047),Base_Bruta!B2047,IF(MID(Base_Bruta!B2047,5,1)="-",DATE(VALUE(LEFT(Base_Bruta!B2047,4)),VALUE(MID(Base_Bruta!B2047,6,2)),VALUE(RIGHT(Base_Bruta!B2047,2))),DATE(VALUE(RIGHT(Base_Bruta!B2047,4)),VALUE(MID(Base_Bruta!B2047,4,2)),VALUE(LEFT(Base_Bruta!B2047,2))))))</f>
        <v>46080</v>
      </c>
      <c r="C2047" s="5" t="n">
        <f aca="false">IF($A2047="","",IF(ISNUMBER(Base_Bruta!C2047),Base_Bruta!C2047,IF(MID(Base_Bruta!C2047,5,1)="-",DATE(VALUE(LEFT(Base_Bruta!C2047,4)),VALUE(MID(Base_Bruta!C2047,6,2)),VALUE(RIGHT(Base_Bruta!C2047,2))),DATE(VALUE(RIGHT(Base_Bruta!C2047,4)),VALUE(MID(Base_Bruta!C2047,4,2)),VALUE(LEFT(Base_Bruta!C2047,2))))))</f>
        <v>46081</v>
      </c>
      <c r="D2047" s="4" t="str">
        <f aca="false">IF($A2047="","",TRIM(Base_Bruta!D2047))</f>
        <v>Show Sertanejo - BH</v>
      </c>
      <c r="E2047" s="4" t="str">
        <f aca="false">IF($A2047="","",_xlfn.XLOOKUP(LOWER(TRIM(Base_Bruta!E2047)),DePara_Categoria!$A$2:$A$9,DePara_Categoria!$B$2:$B$9,"REVISAR"))</f>
        <v>Show</v>
      </c>
      <c r="F2047" s="4" t="str">
        <f aca="false">IF($A2047="","",_xlfn.XLOOKUP(LOWER(TRIM(Base_Bruta!F2047)),DePara_Cidade!$A$2:$A$29,DePara_Cidade!$B$2:$B$29,"REVISAR"))</f>
        <v>Belo Horizonte</v>
      </c>
      <c r="G2047" s="4" t="str">
        <f aca="false">IF($A2047="","",TRIM(Base_Bruta!G2047))</f>
        <v>Inteira</v>
      </c>
      <c r="H2047" s="4" t="n">
        <f aca="false">IF($A2047="","",IF(ISNUMBER(Base_Bruta!H2047),Base_Bruta!H2047,IFERROR(_xlfn.NUMBERVALUE(TRIM(SUBSTITUTE(Base_Bruta!H2047,"R$","")),",","."),0)))</f>
        <v>2</v>
      </c>
      <c r="I2047" s="6" t="n">
        <f aca="false">IF($A2047="","",IF(ISNUMBER(Base_Bruta!I2047),Base_Bruta!I2047,IFERROR(_xlfn.NUMBERVALUE(TRIM(SUBSTITUTE(Base_Bruta!I2047,"R$","")),",","."),0)))</f>
        <v>645</v>
      </c>
      <c r="J2047" s="6" t="n">
        <f aca="false">IF($A2047="","",H2047*I2047)</f>
        <v>1290</v>
      </c>
      <c r="K2047" s="4" t="str">
        <f aca="false">IF($A2047="","",TRIM(Base_Bruta!J2047))</f>
        <v>App</v>
      </c>
      <c r="L2047" s="4" t="str">
        <f aca="false">IF($A2047="","",TRIM(Base_Bruta!K2047))</f>
        <v>C00130</v>
      </c>
      <c r="M2047" s="4" t="str">
        <f aca="false">IF($A2047="","",_xlfn.XLOOKUP(LOWER(TRIM(Base_Bruta!L2047)),DePara_Cidade!$A$2:$A$29,DePara_Cidade!$B$2:$B$29,"REVISAR"))</f>
        <v>Contagem</v>
      </c>
      <c r="N2047" s="4" t="str">
        <f aca="false">IF($A2047="","",UPPER(TRIM(Base_Bruta!M2047)))</f>
        <v>MG</v>
      </c>
      <c r="O2047" s="4" t="str">
        <f aca="false">IF($A2047="","",_xlfn.XLOOKUP(LOWER(TRIM(Base_Bruta!N2047)),DePara_Pais!$A$2:$A$9,DePara_Pais!$B$2:$B$9,"REVISAR"))</f>
        <v>Brasil</v>
      </c>
      <c r="P2047" s="4" t="str">
        <f aca="false">IF($A2047="","",IF(O2047&lt;&gt;"Brasil","Turista Internacional",IF(M2047=F2047,"Local","Turista Nacional")))</f>
        <v>Turista Nacional</v>
      </c>
      <c r="Q2047" s="7" t="n">
        <f aca="false">IF($A2047="","",DATE(YEAR(B2047),MONTH(B2047),1))</f>
        <v>46054</v>
      </c>
      <c r="R2047" s="4" t="str">
        <f aca="false">IF($A2047="","",IF(COUNTIF($A$2:$A2047,$A2047)&gt;1,"Sim","Não"))</f>
        <v>Não</v>
      </c>
      <c r="S2047" s="4" t="str">
        <f aca="false">IF(A2047="","Descartar - Linha vazia",IF(R2047="Sim","Descartar - Duplicado",IF(OR(H2047&lt;=0,I2047&lt;=0),"Descartar - Qtd/Valor inválido","OK")))</f>
        <v>OK</v>
      </c>
      <c r="T2047" s="4" t="str">
        <f aca="false">Base_Bruta!P2047</f>
        <v>vendas_MG.csv</v>
      </c>
    </row>
    <row r="2048" customFormat="false" ht="15" hidden="false" customHeight="false" outlineLevel="0" collapsed="false">
      <c r="A2048" s="4" t="str">
        <f aca="false">IF(Base_Bruta!A2048="","",Base_Bruta!A2048)</f>
        <v>MG-000377</v>
      </c>
      <c r="B2048" s="5" t="n">
        <f aca="false">IF($A2048="","",IF(ISNUMBER(Base_Bruta!B2048),Base_Bruta!B2048,IF(MID(Base_Bruta!B2048,5,1)="-",DATE(VALUE(LEFT(Base_Bruta!B2048,4)),VALUE(MID(Base_Bruta!B2048,6,2)),VALUE(RIGHT(Base_Bruta!B2048,2))),DATE(VALUE(RIGHT(Base_Bruta!B2048,4)),VALUE(MID(Base_Bruta!B2048,4,2)),VALUE(LEFT(Base_Bruta!B2048,2))))))</f>
        <v>46080</v>
      </c>
      <c r="C2048" s="5" t="n">
        <f aca="false">IF($A2048="","",IF(ISNUMBER(Base_Bruta!C2048),Base_Bruta!C2048,IF(MID(Base_Bruta!C2048,5,1)="-",DATE(VALUE(LEFT(Base_Bruta!C2048,4)),VALUE(MID(Base_Bruta!C2048,6,2)),VALUE(RIGHT(Base_Bruta!C2048,2))),DATE(VALUE(RIGHT(Base_Bruta!C2048,4)),VALUE(MID(Base_Bruta!C2048,4,2)),VALUE(LEFT(Base_Bruta!C2048,2))))))</f>
        <v>46081</v>
      </c>
      <c r="D2048" s="4" t="str">
        <f aca="false">IF($A2048="","",TRIM(Base_Bruta!D2048))</f>
        <v>Show Sertanejo - BH</v>
      </c>
      <c r="E2048" s="4" t="str">
        <f aca="false">IF($A2048="","",_xlfn.XLOOKUP(LOWER(TRIM(Base_Bruta!E2048)),DePara_Categoria!$A$2:$A$9,DePara_Categoria!$B$2:$B$9,"REVISAR"))</f>
        <v>Show</v>
      </c>
      <c r="F2048" s="4" t="str">
        <f aca="false">IF($A2048="","",_xlfn.XLOOKUP(LOWER(TRIM(Base_Bruta!F2048)),DePara_Cidade!$A$2:$A$29,DePara_Cidade!$B$2:$B$29,"REVISAR"))</f>
        <v>Belo Horizonte</v>
      </c>
      <c r="G2048" s="4" t="str">
        <f aca="false">IF($A2048="","",TRIM(Base_Bruta!G2048))</f>
        <v>VIP</v>
      </c>
      <c r="H2048" s="4" t="n">
        <f aca="false">IF($A2048="","",IF(ISNUMBER(Base_Bruta!H2048),Base_Bruta!H2048,IFERROR(_xlfn.NUMBERVALUE(TRIM(SUBSTITUTE(Base_Bruta!H2048,"R$","")),",","."),0)))</f>
        <v>2</v>
      </c>
      <c r="I2048" s="6" t="n">
        <f aca="false">IF($A2048="","",IF(ISNUMBER(Base_Bruta!I2048),Base_Bruta!I2048,IFERROR(_xlfn.NUMBERVALUE(TRIM(SUBSTITUTE(Base_Bruta!I2048,"R$","")),",","."),0)))</f>
        <v>700</v>
      </c>
      <c r="J2048" s="6" t="n">
        <f aca="false">IF($A2048="","",H2048*I2048)</f>
        <v>1400</v>
      </c>
      <c r="K2048" s="4" t="str">
        <f aca="false">IF($A2048="","",TRIM(Base_Bruta!J2048))</f>
        <v>Site</v>
      </c>
      <c r="L2048" s="4" t="str">
        <f aca="false">IF($A2048="","",TRIM(Base_Bruta!K2048))</f>
        <v>C00718</v>
      </c>
      <c r="M2048" s="4" t="str">
        <f aca="false">IF($A2048="","",_xlfn.XLOOKUP(LOWER(TRIM(Base_Bruta!L2048)),DePara_Cidade!$A$2:$A$29,DePara_Cidade!$B$2:$B$29,"REVISAR"))</f>
        <v>Belo Horizonte</v>
      </c>
      <c r="N2048" s="4" t="str">
        <f aca="false">IF($A2048="","",UPPER(TRIM(Base_Bruta!M2048)))</f>
        <v>MG</v>
      </c>
      <c r="O2048" s="4" t="str">
        <f aca="false">IF($A2048="","",_xlfn.XLOOKUP(LOWER(TRIM(Base_Bruta!N2048)),DePara_Pais!$A$2:$A$9,DePara_Pais!$B$2:$B$9,"REVISAR"))</f>
        <v>Brasil</v>
      </c>
      <c r="P2048" s="4" t="str">
        <f aca="false">IF($A2048="","",IF(O2048&lt;&gt;"Brasil","Turista Internacional",IF(M2048=F2048,"Local","Turista Nacional")))</f>
        <v>Local</v>
      </c>
      <c r="Q2048" s="7" t="n">
        <f aca="false">IF($A2048="","",DATE(YEAR(B2048),MONTH(B2048),1))</f>
        <v>46054</v>
      </c>
      <c r="R2048" s="4" t="str">
        <f aca="false">IF($A2048="","",IF(COUNTIF($A$2:$A2048,$A2048)&gt;1,"Sim","Não"))</f>
        <v>Não</v>
      </c>
      <c r="S2048" s="4" t="str">
        <f aca="false">IF(A2048="","Descartar - Linha vazia",IF(R2048="Sim","Descartar - Duplicado",IF(OR(H2048&lt;=0,I2048&lt;=0),"Descartar - Qtd/Valor inválido","OK")))</f>
        <v>OK</v>
      </c>
      <c r="T2048" s="4" t="str">
        <f aca="false">Base_Bruta!P2048</f>
        <v>vendas_MG.csv</v>
      </c>
    </row>
    <row r="2049" customFormat="false" ht="15" hidden="false" customHeight="false" outlineLevel="0" collapsed="false">
      <c r="A2049" s="4" t="str">
        <f aca="false">IF(Base_Bruta!A2049="","",Base_Bruta!A2049)</f>
        <v>MG-000254</v>
      </c>
      <c r="B2049" s="5" t="n">
        <f aca="false">IF($A2049="","",IF(ISNUMBER(Base_Bruta!B2049),Base_Bruta!B2049,IF(MID(Base_Bruta!B2049,5,1)="-",DATE(VALUE(LEFT(Base_Bruta!B2049,4)),VALUE(MID(Base_Bruta!B2049,6,2)),VALUE(RIGHT(Base_Bruta!B2049,2))),DATE(VALUE(RIGHT(Base_Bruta!B2049,4)),VALUE(MID(Base_Bruta!B2049,4,2)),VALUE(LEFT(Base_Bruta!B2049,2))))))</f>
        <v>46081</v>
      </c>
      <c r="C2049" s="5" t="n">
        <f aca="false">IF($A2049="","",IF(ISNUMBER(Base_Bruta!C2049),Base_Bruta!C2049,IF(MID(Base_Bruta!C2049,5,1)="-",DATE(VALUE(LEFT(Base_Bruta!C2049,4)),VALUE(MID(Base_Bruta!C2049,6,2)),VALUE(RIGHT(Base_Bruta!C2049,2))),DATE(VALUE(RIGHT(Base_Bruta!C2049,4)),VALUE(MID(Base_Bruta!C2049,4,2)),VALUE(LEFT(Base_Bruta!C2049,2))))))</f>
        <v>46081</v>
      </c>
      <c r="D2049" s="4" t="str">
        <f aca="false">IF($A2049="","",TRIM(Base_Bruta!D2049))</f>
        <v>Show Sertanejo - BH</v>
      </c>
      <c r="E2049" s="4" t="str">
        <f aca="false">IF($A2049="","",_xlfn.XLOOKUP(LOWER(TRIM(Base_Bruta!E2049)),DePara_Categoria!$A$2:$A$9,DePara_Categoria!$B$2:$B$9,"REVISAR"))</f>
        <v>Show</v>
      </c>
      <c r="F2049" s="4" t="str">
        <f aca="false">IF($A2049="","",_xlfn.XLOOKUP(LOWER(TRIM(Base_Bruta!F2049)),DePara_Cidade!$A$2:$A$29,DePara_Cidade!$B$2:$B$29,"REVISAR"))</f>
        <v>Belo Horizonte</v>
      </c>
      <c r="G2049" s="4" t="str">
        <f aca="false">IF($A2049="","",TRIM(Base_Bruta!G2049))</f>
        <v>Inteira</v>
      </c>
      <c r="H2049" s="4" t="n">
        <f aca="false">IF($A2049="","",IF(ISNUMBER(Base_Bruta!H2049),Base_Bruta!H2049,IFERROR(_xlfn.NUMBERVALUE(TRIM(SUBSTITUTE(Base_Bruta!H2049,"R$","")),",","."),0)))</f>
        <v>2</v>
      </c>
      <c r="I2049" s="6" t="n">
        <f aca="false">IF($A2049="","",IF(ISNUMBER(Base_Bruta!I2049),Base_Bruta!I2049,IFERROR(_xlfn.NUMBERVALUE(TRIM(SUBSTITUTE(Base_Bruta!I2049,"R$","")),",","."),0)))</f>
        <v>310</v>
      </c>
      <c r="J2049" s="6" t="n">
        <f aca="false">IF($A2049="","",H2049*I2049)</f>
        <v>620</v>
      </c>
      <c r="K2049" s="4" t="str">
        <f aca="false">IF($A2049="","",TRIM(Base_Bruta!J2049))</f>
        <v>App</v>
      </c>
      <c r="L2049" s="4" t="str">
        <f aca="false">IF($A2049="","",TRIM(Base_Bruta!K2049))</f>
        <v>C02368</v>
      </c>
      <c r="M2049" s="4" t="str">
        <f aca="false">IF($A2049="","",_xlfn.XLOOKUP(LOWER(TRIM(Base_Bruta!L2049)),DePara_Cidade!$A$2:$A$29,DePara_Cidade!$B$2:$B$29,"REVISAR"))</f>
        <v>Contagem</v>
      </c>
      <c r="N2049" s="4" t="str">
        <f aca="false">IF($A2049="","",UPPER(TRIM(Base_Bruta!M2049)))</f>
        <v>MG</v>
      </c>
      <c r="O2049" s="4" t="str">
        <f aca="false">IF($A2049="","",_xlfn.XLOOKUP(LOWER(TRIM(Base_Bruta!N2049)),DePara_Pais!$A$2:$A$9,DePara_Pais!$B$2:$B$9,"REVISAR"))</f>
        <v>Brasil</v>
      </c>
      <c r="P2049" s="4" t="str">
        <f aca="false">IF($A2049="","",IF(O2049&lt;&gt;"Brasil","Turista Internacional",IF(M2049=F2049,"Local","Turista Nacional")))</f>
        <v>Turista Nacional</v>
      </c>
      <c r="Q2049" s="7" t="n">
        <f aca="false">IF($A2049="","",DATE(YEAR(B2049),MONTH(B2049),1))</f>
        <v>46054</v>
      </c>
      <c r="R2049" s="4" t="str">
        <f aca="false">IF($A2049="","",IF(COUNTIF($A$2:$A2049,$A2049)&gt;1,"Sim","Não"))</f>
        <v>Não</v>
      </c>
      <c r="S2049" s="4" t="str">
        <f aca="false">IF(A2049="","Descartar - Linha vazia",IF(R2049="Sim","Descartar - Duplicado",IF(OR(H2049&lt;=0,I2049&lt;=0),"Descartar - Qtd/Valor inválido","OK")))</f>
        <v>OK</v>
      </c>
      <c r="T2049" s="4" t="str">
        <f aca="false">Base_Bruta!P2049</f>
        <v>vendas_MG.csv</v>
      </c>
    </row>
    <row r="2050" customFormat="false" ht="15" hidden="false" customHeight="false" outlineLevel="0" collapsed="false">
      <c r="A2050" s="4" t="str">
        <f aca="false">IF(Base_Bruta!A2050="","",Base_Bruta!A2050)</f>
        <v>MG-000297</v>
      </c>
      <c r="B2050" s="5" t="n">
        <f aca="false">IF($A2050="","",IF(ISNUMBER(Base_Bruta!B2050),Base_Bruta!B2050,IF(MID(Base_Bruta!B2050,5,1)="-",DATE(VALUE(LEFT(Base_Bruta!B2050,4)),VALUE(MID(Base_Bruta!B2050,6,2)),VALUE(RIGHT(Base_Bruta!B2050,2))),DATE(VALUE(RIGHT(Base_Bruta!B2050,4)),VALUE(MID(Base_Bruta!B2050,4,2)),VALUE(LEFT(Base_Bruta!B2050,2))))))</f>
        <v>46081</v>
      </c>
      <c r="C2050" s="5" t="n">
        <f aca="false">IF($A2050="","",IF(ISNUMBER(Base_Bruta!C2050),Base_Bruta!C2050,IF(MID(Base_Bruta!C2050,5,1)="-",DATE(VALUE(LEFT(Base_Bruta!C2050,4)),VALUE(MID(Base_Bruta!C2050,6,2)),VALUE(RIGHT(Base_Bruta!C2050,2))),DATE(VALUE(RIGHT(Base_Bruta!C2050,4)),VALUE(MID(Base_Bruta!C2050,4,2)),VALUE(LEFT(Base_Bruta!C2050,2))))))</f>
        <v>46081</v>
      </c>
      <c r="D2050" s="4" t="str">
        <f aca="false">IF($A2050="","",TRIM(Base_Bruta!D2050))</f>
        <v>Show Sertanejo - BH</v>
      </c>
      <c r="E2050" s="4" t="str">
        <f aca="false">IF($A2050="","",_xlfn.XLOOKUP(LOWER(TRIM(Base_Bruta!E2050)),DePara_Categoria!$A$2:$A$9,DePara_Categoria!$B$2:$B$9,"REVISAR"))</f>
        <v>Show</v>
      </c>
      <c r="F2050" s="4" t="str">
        <f aca="false">IF($A2050="","",_xlfn.XLOOKUP(LOWER(TRIM(Base_Bruta!F2050)),DePara_Cidade!$A$2:$A$29,DePara_Cidade!$B$2:$B$29,"REVISAR"))</f>
        <v>Belo Horizonte</v>
      </c>
      <c r="G2050" s="4" t="str">
        <f aca="false">IF($A2050="","",TRIM(Base_Bruta!G2050))</f>
        <v>Meia</v>
      </c>
      <c r="H2050" s="4" t="n">
        <f aca="false">IF($A2050="","",IF(ISNUMBER(Base_Bruta!H2050),Base_Bruta!H2050,IFERROR(_xlfn.NUMBERVALUE(TRIM(SUBSTITUTE(Base_Bruta!H2050,"R$","")),",","."),0)))</f>
        <v>2</v>
      </c>
      <c r="I2050" s="6" t="n">
        <f aca="false">IF($A2050="","",IF(ISNUMBER(Base_Bruta!I2050),Base_Bruta!I2050,IFERROR(_xlfn.NUMBERVALUE(TRIM(SUBSTITUTE(Base_Bruta!I2050,"R$","")),",","."),0)))</f>
        <v>170</v>
      </c>
      <c r="J2050" s="6" t="n">
        <f aca="false">IF($A2050="","",H2050*I2050)</f>
        <v>340</v>
      </c>
      <c r="K2050" s="4" t="str">
        <f aca="false">IF($A2050="","",TRIM(Base_Bruta!J2050))</f>
        <v>Site</v>
      </c>
      <c r="L2050" s="4" t="str">
        <f aca="false">IF($A2050="","",TRIM(Base_Bruta!K2050))</f>
        <v>C00166</v>
      </c>
      <c r="M2050" s="4" t="str">
        <f aca="false">IF($A2050="","",_xlfn.XLOOKUP(LOWER(TRIM(Base_Bruta!L2050)),DePara_Cidade!$A$2:$A$29,DePara_Cidade!$B$2:$B$29,"REVISAR"))</f>
        <v>Belo Horizonte</v>
      </c>
      <c r="N2050" s="4" t="str">
        <f aca="false">IF($A2050="","",UPPER(TRIM(Base_Bruta!M2050)))</f>
        <v>MG</v>
      </c>
      <c r="O2050" s="4" t="str">
        <f aca="false">IF($A2050="","",_xlfn.XLOOKUP(LOWER(TRIM(Base_Bruta!N2050)),DePara_Pais!$A$2:$A$9,DePara_Pais!$B$2:$B$9,"REVISAR"))</f>
        <v>Brasil</v>
      </c>
      <c r="P2050" s="4" t="str">
        <f aca="false">IF($A2050="","",IF(O2050&lt;&gt;"Brasil","Turista Internacional",IF(M2050=F2050,"Local","Turista Nacional")))</f>
        <v>Local</v>
      </c>
      <c r="Q2050" s="7" t="n">
        <f aca="false">IF($A2050="","",DATE(YEAR(B2050),MONTH(B2050),1))</f>
        <v>46054</v>
      </c>
      <c r="R2050" s="4" t="str">
        <f aca="false">IF($A2050="","",IF(COUNTIF($A$2:$A2050,$A2050)&gt;1,"Sim","Não"))</f>
        <v>Não</v>
      </c>
      <c r="S2050" s="4" t="str">
        <f aca="false">IF(A2050="","Descartar - Linha vazia",IF(R2050="Sim","Descartar - Duplicado",IF(OR(H2050&lt;=0,I2050&lt;=0),"Descartar - Qtd/Valor inválido","OK")))</f>
        <v>OK</v>
      </c>
      <c r="T2050" s="4" t="str">
        <f aca="false">Base_Bruta!P2050</f>
        <v>vendas_MG.csv</v>
      </c>
    </row>
    <row r="2051" customFormat="false" ht="15" hidden="false" customHeight="false" outlineLevel="0" collapsed="false">
      <c r="A2051" s="4" t="str">
        <f aca="false">IF(Base_Bruta!A2051="","",Base_Bruta!A2051)</f>
        <v/>
      </c>
      <c r="B2051" s="5" t="str">
        <f aca="false">IF($A2051="","",IF(ISNUMBER(Base_Bruta!B2051),Base_Bruta!B2051,IF(MID(Base_Bruta!B2051,5,1)="-",DATE(VALUE(LEFT(Base_Bruta!B2051,4)),VALUE(MID(Base_Bruta!B2051,6,2)),VALUE(RIGHT(Base_Bruta!B2051,2))),DATE(VALUE(RIGHT(Base_Bruta!B2051,4)),VALUE(MID(Base_Bruta!B2051,4,2)),VALUE(LEFT(Base_Bruta!B2051,2))))))</f>
        <v/>
      </c>
      <c r="C2051" s="5" t="str">
        <f aca="false">IF($A2051="","",IF(ISNUMBER(Base_Bruta!C2051),Base_Bruta!C2051,IF(MID(Base_Bruta!C2051,5,1)="-",DATE(VALUE(LEFT(Base_Bruta!C2051,4)),VALUE(MID(Base_Bruta!C2051,6,2)),VALUE(RIGHT(Base_Bruta!C2051,2))),DATE(VALUE(RIGHT(Base_Bruta!C2051,4)),VALUE(MID(Base_Bruta!C2051,4,2)),VALUE(LEFT(Base_Bruta!C2051,2))))))</f>
        <v/>
      </c>
      <c r="D2051" s="4" t="str">
        <f aca="false">IF($A2051="","",TRIM(Base_Bruta!D2051))</f>
        <v/>
      </c>
      <c r="E2051" s="4" t="str">
        <f aca="false">IF($A2051="","",_xlfn.XLOOKUP(LOWER(TRIM(Base_Bruta!E2051)),DePara_Categoria!$A$2:$A$9,DePara_Categoria!$B$2:$B$9,"REVISAR"))</f>
        <v/>
      </c>
      <c r="F2051" s="4" t="str">
        <f aca="false">IF($A2051="","",_xlfn.XLOOKUP(LOWER(TRIM(Base_Bruta!F2051)),DePara_Cidade!$A$2:$A$29,DePara_Cidade!$B$2:$B$29,"REVISAR"))</f>
        <v/>
      </c>
      <c r="G2051" s="4" t="str">
        <f aca="false">IF($A2051="","",TRIM(Base_Bruta!G2051))</f>
        <v/>
      </c>
      <c r="H2051" s="4" t="str">
        <f aca="false">IF($A2051="","",IF(ISNUMBER(Base_Bruta!H2051),Base_Bruta!H2051,IFERROR(_xlfn.NUMBERVALUE(TRIM(SUBSTITUTE(Base_Bruta!H2051,"R$","")),",","."),0)))</f>
        <v/>
      </c>
      <c r="I2051" s="6" t="str">
        <f aca="false">IF($A2051="","",IF(ISNUMBER(Base_Bruta!I2051),Base_Bruta!I2051,IFERROR(_xlfn.NUMBERVALUE(TRIM(SUBSTITUTE(Base_Bruta!I2051,"R$","")),",","."),0)))</f>
        <v/>
      </c>
      <c r="J2051" s="6" t="str">
        <f aca="false">IF($A2051="","",H2051*I2051)</f>
        <v/>
      </c>
      <c r="K2051" s="4" t="str">
        <f aca="false">IF($A2051="","",TRIM(Base_Bruta!J2051))</f>
        <v/>
      </c>
      <c r="L2051" s="4" t="str">
        <f aca="false">IF($A2051="","",TRIM(Base_Bruta!K2051))</f>
        <v/>
      </c>
      <c r="M2051" s="4" t="str">
        <f aca="false">IF($A2051="","",_xlfn.XLOOKUP(LOWER(TRIM(Base_Bruta!L2051)),DePara_Cidade!$A$2:$A$29,DePara_Cidade!$B$2:$B$29,"REVISAR"))</f>
        <v/>
      </c>
      <c r="N2051" s="4" t="str">
        <f aca="false">IF($A2051="","",UPPER(TRIM(Base_Bruta!M2051)))</f>
        <v/>
      </c>
      <c r="O2051" s="4" t="str">
        <f aca="false">IF($A2051="","",_xlfn.XLOOKUP(LOWER(TRIM(Base_Bruta!N2051)),DePara_Pais!$A$2:$A$9,DePara_Pais!$B$2:$B$9,"REVISAR"))</f>
        <v/>
      </c>
      <c r="P2051" s="4" t="str">
        <f aca="false">IF($A2051="","",IF(O2051&lt;&gt;"Brasil","Turista Internacional",IF(M2051=F2051,"Local","Turista Nacional")))</f>
        <v/>
      </c>
      <c r="Q2051" s="7" t="str">
        <f aca="false">IF($A2051="","",DATE(YEAR(B2051),MONTH(B2051),1))</f>
        <v/>
      </c>
      <c r="R2051" s="4" t="str">
        <f aca="false">IF($A2051="","",IF(COUNTIF($A$2:$A2051,$A2051)&gt;1,"Sim","Não"))</f>
        <v/>
      </c>
      <c r="S2051" s="4" t="str">
        <f aca="false">IF(A2051="","Descartar - Linha vazia",IF(R2051="Sim","Descartar - Duplicado",IF(OR(H2051&lt;=0,I2051&lt;=0),"Descartar - Qtd/Valor inválido","OK")))</f>
        <v>Descartar - Linha vazia</v>
      </c>
      <c r="T2051" s="4" t="str">
        <f aca="false">Base_Bruta!P2051</f>
        <v>vendas_MG.csv</v>
      </c>
    </row>
    <row r="2052" customFormat="false" ht="15" hidden="false" customHeight="false" outlineLevel="0" collapsed="false">
      <c r="A2052" s="4" t="str">
        <f aca="false">IF(Base_Bruta!A2052="","",Base_Bruta!A2052)</f>
        <v>MG-000338</v>
      </c>
      <c r="B2052" s="5" t="n">
        <f aca="false">IF($A2052="","",IF(ISNUMBER(Base_Bruta!B2052),Base_Bruta!B2052,IF(MID(Base_Bruta!B2052,5,1)="-",DATE(VALUE(LEFT(Base_Bruta!B2052,4)),VALUE(MID(Base_Bruta!B2052,6,2)),VALUE(RIGHT(Base_Bruta!B2052,2))),DATE(VALUE(RIGHT(Base_Bruta!B2052,4)),VALUE(MID(Base_Bruta!B2052,4,2)),VALUE(LEFT(Base_Bruta!B2052,2))))))</f>
        <v>46081</v>
      </c>
      <c r="C2052" s="5" t="n">
        <f aca="false">IF($A2052="","",IF(ISNUMBER(Base_Bruta!C2052),Base_Bruta!C2052,IF(MID(Base_Bruta!C2052,5,1)="-",DATE(VALUE(LEFT(Base_Bruta!C2052,4)),VALUE(MID(Base_Bruta!C2052,6,2)),VALUE(RIGHT(Base_Bruta!C2052,2))),DATE(VALUE(RIGHT(Base_Bruta!C2052,4)),VALUE(MID(Base_Bruta!C2052,4,2)),VALUE(LEFT(Base_Bruta!C2052,2))))))</f>
        <v>46081</v>
      </c>
      <c r="D2052" s="4" t="str">
        <f aca="false">IF($A2052="","",TRIM(Base_Bruta!D2052))</f>
        <v>Show Sertanejo - BH</v>
      </c>
      <c r="E2052" s="4" t="str">
        <f aca="false">IF($A2052="","",_xlfn.XLOOKUP(LOWER(TRIM(Base_Bruta!E2052)),DePara_Categoria!$A$2:$A$9,DePara_Categoria!$B$2:$B$9,"REVISAR"))</f>
        <v>Show</v>
      </c>
      <c r="F2052" s="4" t="str">
        <f aca="false">IF($A2052="","",_xlfn.XLOOKUP(LOWER(TRIM(Base_Bruta!F2052)),DePara_Cidade!$A$2:$A$29,DePara_Cidade!$B$2:$B$29,"REVISAR"))</f>
        <v>Belo Horizonte</v>
      </c>
      <c r="G2052" s="4" t="str">
        <f aca="false">IF($A2052="","",TRIM(Base_Bruta!G2052))</f>
        <v>Inteira</v>
      </c>
      <c r="H2052" s="4" t="n">
        <f aca="false">IF($A2052="","",IF(ISNUMBER(Base_Bruta!H2052),Base_Bruta!H2052,IFERROR(_xlfn.NUMBERVALUE(TRIM(SUBSTITUTE(Base_Bruta!H2052,"R$","")),",","."),0)))</f>
        <v>1</v>
      </c>
      <c r="I2052" s="6" t="n">
        <f aca="false">IF($A2052="","",IF(ISNUMBER(Base_Bruta!I2052),Base_Bruta!I2052,IFERROR(_xlfn.NUMBERVALUE(TRIM(SUBSTITUTE(Base_Bruta!I2052,"R$","")),",","."),0)))</f>
        <v>685</v>
      </c>
      <c r="J2052" s="6" t="n">
        <f aca="false">IF($A2052="","",H2052*I2052)</f>
        <v>685</v>
      </c>
      <c r="K2052" s="4" t="str">
        <f aca="false">IF($A2052="","",TRIM(Base_Bruta!J2052))</f>
        <v>App</v>
      </c>
      <c r="L2052" s="4" t="str">
        <f aca="false">IF($A2052="","",TRIM(Base_Bruta!K2052))</f>
        <v>C02441</v>
      </c>
      <c r="M2052" s="4" t="str">
        <f aca="false">IF($A2052="","",_xlfn.XLOOKUP(LOWER(TRIM(Base_Bruta!L2052)),DePara_Cidade!$A$2:$A$29,DePara_Cidade!$B$2:$B$29,"REVISAR"))</f>
        <v>Belo Horizonte</v>
      </c>
      <c r="N2052" s="4" t="str">
        <f aca="false">IF($A2052="","",UPPER(TRIM(Base_Bruta!M2052)))</f>
        <v>MG</v>
      </c>
      <c r="O2052" s="4" t="str">
        <f aca="false">IF($A2052="","",_xlfn.XLOOKUP(LOWER(TRIM(Base_Bruta!N2052)),DePara_Pais!$A$2:$A$9,DePara_Pais!$B$2:$B$9,"REVISAR"))</f>
        <v>Brasil</v>
      </c>
      <c r="P2052" s="4" t="str">
        <f aca="false">IF($A2052="","",IF(O2052&lt;&gt;"Brasil","Turista Internacional",IF(M2052=F2052,"Local","Turista Nacional")))</f>
        <v>Local</v>
      </c>
      <c r="Q2052" s="7" t="n">
        <f aca="false">IF($A2052="","",DATE(YEAR(B2052),MONTH(B2052),1))</f>
        <v>46054</v>
      </c>
      <c r="R2052" s="4" t="str">
        <f aca="false">IF($A2052="","",IF(COUNTIF($A$2:$A2052,$A2052)&gt;1,"Sim","Não"))</f>
        <v>Não</v>
      </c>
      <c r="S2052" s="4" t="str">
        <f aca="false">IF(A2052="","Descartar - Linha vazia",IF(R2052="Sim","Descartar - Duplicado",IF(OR(H2052&lt;=0,I2052&lt;=0),"Descartar - Qtd/Valor inválido","OK")))</f>
        <v>OK</v>
      </c>
      <c r="T2052" s="4" t="str">
        <f aca="false">Base_Bruta!P2052</f>
        <v>vendas_MG.csv</v>
      </c>
    </row>
    <row r="2053" customFormat="false" ht="15" hidden="false" customHeight="false" outlineLevel="0" collapsed="false">
      <c r="A2053" s="4" t="str">
        <f aca="false">IF(Base_Bruta!A2053="","",Base_Bruta!A2053)</f>
        <v>MG-000340</v>
      </c>
      <c r="B2053" s="5" t="n">
        <f aca="false">IF($A2053="","",IF(ISNUMBER(Base_Bruta!B2053),Base_Bruta!B2053,IF(MID(Base_Bruta!B2053,5,1)="-",DATE(VALUE(LEFT(Base_Bruta!B2053,4)),VALUE(MID(Base_Bruta!B2053,6,2)),VALUE(RIGHT(Base_Bruta!B2053,2))),DATE(VALUE(RIGHT(Base_Bruta!B2053,4)),VALUE(MID(Base_Bruta!B2053,4,2)),VALUE(LEFT(Base_Bruta!B2053,2))))))</f>
        <v>46081</v>
      </c>
      <c r="C2053" s="5" t="n">
        <f aca="false">IF($A2053="","",IF(ISNUMBER(Base_Bruta!C2053),Base_Bruta!C2053,IF(MID(Base_Bruta!C2053,5,1)="-",DATE(VALUE(LEFT(Base_Bruta!C2053,4)),VALUE(MID(Base_Bruta!C2053,6,2)),VALUE(RIGHT(Base_Bruta!C2053,2))),DATE(VALUE(RIGHT(Base_Bruta!C2053,4)),VALUE(MID(Base_Bruta!C2053,4,2)),VALUE(LEFT(Base_Bruta!C2053,2))))))</f>
        <v>46081</v>
      </c>
      <c r="D2053" s="4" t="str">
        <f aca="false">IF($A2053="","",TRIM(Base_Bruta!D2053))</f>
        <v>Show Sertanejo - BH</v>
      </c>
      <c r="E2053" s="4" t="str">
        <f aca="false">IF($A2053="","",_xlfn.XLOOKUP(LOWER(TRIM(Base_Bruta!E2053)),DePara_Categoria!$A$2:$A$9,DePara_Categoria!$B$2:$B$9,"REVISAR"))</f>
        <v>Show</v>
      </c>
      <c r="F2053" s="4" t="str">
        <f aca="false">IF($A2053="","",_xlfn.XLOOKUP(LOWER(TRIM(Base_Bruta!F2053)),DePara_Cidade!$A$2:$A$29,DePara_Cidade!$B$2:$B$29,"REVISAR"))</f>
        <v>Belo Horizonte</v>
      </c>
      <c r="G2053" s="4" t="str">
        <f aca="false">IF($A2053="","",TRIM(Base_Bruta!G2053))</f>
        <v>VIP</v>
      </c>
      <c r="H2053" s="4" t="n">
        <f aca="false">IF($A2053="","",IF(ISNUMBER(Base_Bruta!H2053),Base_Bruta!H2053,IFERROR(_xlfn.NUMBERVALUE(TRIM(SUBSTITUTE(Base_Bruta!H2053,"R$","")),",","."),0)))</f>
        <v>2</v>
      </c>
      <c r="I2053" s="6" t="n">
        <f aca="false">IF($A2053="","",IF(ISNUMBER(Base_Bruta!I2053),Base_Bruta!I2053,IFERROR(_xlfn.NUMBERVALUE(TRIM(SUBSTITUTE(Base_Bruta!I2053,"R$","")),",","."),0)))</f>
        <v>1300</v>
      </c>
      <c r="J2053" s="6" t="n">
        <f aca="false">IF($A2053="","",H2053*I2053)</f>
        <v>2600</v>
      </c>
      <c r="K2053" s="4" t="str">
        <f aca="false">IF($A2053="","",TRIM(Base_Bruta!J2053))</f>
        <v>Site</v>
      </c>
      <c r="L2053" s="4" t="str">
        <f aca="false">IF($A2053="","",TRIM(Base_Bruta!K2053))</f>
        <v>C02411</v>
      </c>
      <c r="M2053" s="4" t="str">
        <f aca="false">IF($A2053="","",_xlfn.XLOOKUP(LOWER(TRIM(Base_Bruta!L2053)),DePara_Cidade!$A$2:$A$29,DePara_Cidade!$B$2:$B$29,"REVISAR"))</f>
        <v>Contagem</v>
      </c>
      <c r="N2053" s="4" t="str">
        <f aca="false">IF($A2053="","",UPPER(TRIM(Base_Bruta!M2053)))</f>
        <v>MG</v>
      </c>
      <c r="O2053" s="4" t="str">
        <f aca="false">IF($A2053="","",_xlfn.XLOOKUP(LOWER(TRIM(Base_Bruta!N2053)),DePara_Pais!$A$2:$A$9,DePara_Pais!$B$2:$B$9,"REVISAR"))</f>
        <v>Brasil</v>
      </c>
      <c r="P2053" s="4" t="str">
        <f aca="false">IF($A2053="","",IF(O2053&lt;&gt;"Brasil","Turista Internacional",IF(M2053=F2053,"Local","Turista Nacional")))</f>
        <v>Turista Nacional</v>
      </c>
      <c r="Q2053" s="7" t="n">
        <f aca="false">IF($A2053="","",DATE(YEAR(B2053),MONTH(B2053),1))</f>
        <v>46054</v>
      </c>
      <c r="R2053" s="4" t="str">
        <f aca="false">IF($A2053="","",IF(COUNTIF($A$2:$A2053,$A2053)&gt;1,"Sim","Não"))</f>
        <v>Não</v>
      </c>
      <c r="S2053" s="4" t="str">
        <f aca="false">IF(A2053="","Descartar - Linha vazia",IF(R2053="Sim","Descartar - Duplicado",IF(OR(H2053&lt;=0,I2053&lt;=0),"Descartar - Qtd/Valor inválido","OK")))</f>
        <v>OK</v>
      </c>
      <c r="T2053" s="4" t="str">
        <f aca="false">Base_Bruta!P2053</f>
        <v>vendas_MG.csv</v>
      </c>
    </row>
    <row r="2054" customFormat="false" ht="15" hidden="false" customHeight="false" outlineLevel="0" collapsed="false">
      <c r="A2054" s="4" t="str">
        <f aca="false">IF(Base_Bruta!A2054="","",Base_Bruta!A2054)</f>
        <v>MG-000363</v>
      </c>
      <c r="B2054" s="5" t="n">
        <f aca="false">IF($A2054="","",IF(ISNUMBER(Base_Bruta!B2054),Base_Bruta!B2054,IF(MID(Base_Bruta!B2054,5,1)="-",DATE(VALUE(LEFT(Base_Bruta!B2054,4)),VALUE(MID(Base_Bruta!B2054,6,2)),VALUE(RIGHT(Base_Bruta!B2054,2))),DATE(VALUE(RIGHT(Base_Bruta!B2054,4)),VALUE(MID(Base_Bruta!B2054,4,2)),VALUE(LEFT(Base_Bruta!B2054,2))))))</f>
        <v>46081</v>
      </c>
      <c r="C2054" s="5" t="n">
        <f aca="false">IF($A2054="","",IF(ISNUMBER(Base_Bruta!C2054),Base_Bruta!C2054,IF(MID(Base_Bruta!C2054,5,1)="-",DATE(VALUE(LEFT(Base_Bruta!C2054,4)),VALUE(MID(Base_Bruta!C2054,6,2)),VALUE(RIGHT(Base_Bruta!C2054,2))),DATE(VALUE(RIGHT(Base_Bruta!C2054,4)),VALUE(MID(Base_Bruta!C2054,4,2)),VALUE(LEFT(Base_Bruta!C2054,2))))))</f>
        <v>46081</v>
      </c>
      <c r="D2054" s="4" t="str">
        <f aca="false">IF($A2054="","",TRIM(Base_Bruta!D2054))</f>
        <v>Show Sertanejo - BH</v>
      </c>
      <c r="E2054" s="4" t="str">
        <f aca="false">IF($A2054="","",_xlfn.XLOOKUP(LOWER(TRIM(Base_Bruta!E2054)),DePara_Categoria!$A$2:$A$9,DePara_Categoria!$B$2:$B$9,"REVISAR"))</f>
        <v>Show</v>
      </c>
      <c r="F2054" s="4" t="str">
        <f aca="false">IF($A2054="","",_xlfn.XLOOKUP(LOWER(TRIM(Base_Bruta!F2054)),DePara_Cidade!$A$2:$A$29,DePara_Cidade!$B$2:$B$29,"REVISAR"))</f>
        <v>Belo Horizonte</v>
      </c>
      <c r="G2054" s="4" t="str">
        <f aca="false">IF($A2054="","",TRIM(Base_Bruta!G2054))</f>
        <v>Meia</v>
      </c>
      <c r="H2054" s="4" t="n">
        <f aca="false">IF($A2054="","",IF(ISNUMBER(Base_Bruta!H2054),Base_Bruta!H2054,IFERROR(_xlfn.NUMBERVALUE(TRIM(SUBSTITUTE(Base_Bruta!H2054,"R$","")),",","."),0)))</f>
        <v>1</v>
      </c>
      <c r="I2054" s="6" t="n">
        <f aca="false">IF($A2054="","",IF(ISNUMBER(Base_Bruta!I2054),Base_Bruta!I2054,IFERROR(_xlfn.NUMBERVALUE(TRIM(SUBSTITUTE(Base_Bruta!I2054,"R$","")),",","."),0)))</f>
        <v>180</v>
      </c>
      <c r="J2054" s="6" t="n">
        <f aca="false">IF($A2054="","",H2054*I2054)</f>
        <v>180</v>
      </c>
      <c r="K2054" s="4" t="str">
        <f aca="false">IF($A2054="","",TRIM(Base_Bruta!J2054))</f>
        <v>Site</v>
      </c>
      <c r="L2054" s="4" t="str">
        <f aca="false">IF($A2054="","",TRIM(Base_Bruta!K2054))</f>
        <v>C00338</v>
      </c>
      <c r="M2054" s="4" t="str">
        <f aca="false">IF($A2054="","",_xlfn.XLOOKUP(LOWER(TRIM(Base_Bruta!L2054)),DePara_Cidade!$A$2:$A$29,DePara_Cidade!$B$2:$B$29,"REVISAR"))</f>
        <v>Belo Horizonte</v>
      </c>
      <c r="N2054" s="4" t="str">
        <f aca="false">IF($A2054="","",UPPER(TRIM(Base_Bruta!M2054)))</f>
        <v>MG</v>
      </c>
      <c r="O2054" s="4" t="str">
        <f aca="false">IF($A2054="","",_xlfn.XLOOKUP(LOWER(TRIM(Base_Bruta!N2054)),DePara_Pais!$A$2:$A$9,DePara_Pais!$B$2:$B$9,"REVISAR"))</f>
        <v>Brasil</v>
      </c>
      <c r="P2054" s="4" t="str">
        <f aca="false">IF($A2054="","",IF(O2054&lt;&gt;"Brasil","Turista Internacional",IF(M2054=F2054,"Local","Turista Nacional")))</f>
        <v>Local</v>
      </c>
      <c r="Q2054" s="7" t="n">
        <f aca="false">IF($A2054="","",DATE(YEAR(B2054),MONTH(B2054),1))</f>
        <v>46054</v>
      </c>
      <c r="R2054" s="4" t="str">
        <f aca="false">IF($A2054="","",IF(COUNTIF($A$2:$A2054,$A2054)&gt;1,"Sim","Não"))</f>
        <v>Não</v>
      </c>
      <c r="S2054" s="4" t="str">
        <f aca="false">IF(A2054="","Descartar - Linha vazia",IF(R2054="Sim","Descartar - Duplicado",IF(OR(H2054&lt;=0,I2054&lt;=0),"Descartar - Qtd/Valor inválido","OK")))</f>
        <v>OK</v>
      </c>
      <c r="T2054" s="4" t="str">
        <f aca="false">Base_Bruta!P2054</f>
        <v>vendas_MG.csv</v>
      </c>
    </row>
    <row r="2055" customFormat="false" ht="15" hidden="false" customHeight="false" outlineLevel="0" collapsed="false">
      <c r="A2055" s="4" t="str">
        <f aca="false">IF(Base_Bruta!A2055="","",Base_Bruta!A2055)</f>
        <v>MG-000367</v>
      </c>
      <c r="B2055" s="5" t="n">
        <f aca="false">IF($A2055="","",IF(ISNUMBER(Base_Bruta!B2055),Base_Bruta!B2055,IF(MID(Base_Bruta!B2055,5,1)="-",DATE(VALUE(LEFT(Base_Bruta!B2055,4)),VALUE(MID(Base_Bruta!B2055,6,2)),VALUE(RIGHT(Base_Bruta!B2055,2))),DATE(VALUE(RIGHT(Base_Bruta!B2055,4)),VALUE(MID(Base_Bruta!B2055,4,2)),VALUE(LEFT(Base_Bruta!B2055,2))))))</f>
        <v>46081</v>
      </c>
      <c r="C2055" s="5" t="n">
        <f aca="false">IF($A2055="","",IF(ISNUMBER(Base_Bruta!C2055),Base_Bruta!C2055,IF(MID(Base_Bruta!C2055,5,1)="-",DATE(VALUE(LEFT(Base_Bruta!C2055,4)),VALUE(MID(Base_Bruta!C2055,6,2)),VALUE(RIGHT(Base_Bruta!C2055,2))),DATE(VALUE(RIGHT(Base_Bruta!C2055,4)),VALUE(MID(Base_Bruta!C2055,4,2)),VALUE(LEFT(Base_Bruta!C2055,2))))))</f>
        <v>46081</v>
      </c>
      <c r="D2055" s="4" t="str">
        <f aca="false">IF($A2055="","",TRIM(Base_Bruta!D2055))</f>
        <v>Show Sertanejo - BH</v>
      </c>
      <c r="E2055" s="4" t="str">
        <f aca="false">IF($A2055="","",_xlfn.XLOOKUP(LOWER(TRIM(Base_Bruta!E2055)),DePara_Categoria!$A$2:$A$9,DePara_Categoria!$B$2:$B$9,"REVISAR"))</f>
        <v>Show</v>
      </c>
      <c r="F2055" s="4" t="str">
        <f aca="false">IF($A2055="","",_xlfn.XLOOKUP(LOWER(TRIM(Base_Bruta!F2055)),DePara_Cidade!$A$2:$A$29,DePara_Cidade!$B$2:$B$29,"REVISAR"))</f>
        <v>Belo Horizonte</v>
      </c>
      <c r="G2055" s="4" t="str">
        <f aca="false">IF($A2055="","",TRIM(Base_Bruta!G2055))</f>
        <v>Inteira</v>
      </c>
      <c r="H2055" s="4" t="n">
        <f aca="false">IF($A2055="","",IF(ISNUMBER(Base_Bruta!H2055),Base_Bruta!H2055,IFERROR(_xlfn.NUMBERVALUE(TRIM(SUBSTITUTE(Base_Bruta!H2055,"R$","")),",","."),0)))</f>
        <v>4</v>
      </c>
      <c r="I2055" s="6" t="n">
        <f aca="false">IF($A2055="","",IF(ISNUMBER(Base_Bruta!I2055),Base_Bruta!I2055,IFERROR(_xlfn.NUMBERVALUE(TRIM(SUBSTITUTE(Base_Bruta!I2055,"R$","")),",","."),0)))</f>
        <v>405</v>
      </c>
      <c r="J2055" s="6" t="n">
        <f aca="false">IF($A2055="","",H2055*I2055)</f>
        <v>1620</v>
      </c>
      <c r="K2055" s="4" t="str">
        <f aca="false">IF($A2055="","",TRIM(Base_Bruta!J2055))</f>
        <v>App</v>
      </c>
      <c r="L2055" s="4" t="str">
        <f aca="false">IF($A2055="","",TRIM(Base_Bruta!K2055))</f>
        <v>C02048</v>
      </c>
      <c r="M2055" s="4" t="str">
        <f aca="false">IF($A2055="","",_xlfn.XLOOKUP(LOWER(TRIM(Base_Bruta!L2055)),DePara_Cidade!$A$2:$A$29,DePara_Cidade!$B$2:$B$29,"REVISAR"))</f>
        <v>Belo Horizonte</v>
      </c>
      <c r="N2055" s="4" t="str">
        <f aca="false">IF($A2055="","",UPPER(TRIM(Base_Bruta!M2055)))</f>
        <v>MG</v>
      </c>
      <c r="O2055" s="4" t="str">
        <f aca="false">IF($A2055="","",_xlfn.XLOOKUP(LOWER(TRIM(Base_Bruta!N2055)),DePara_Pais!$A$2:$A$9,DePara_Pais!$B$2:$B$9,"REVISAR"))</f>
        <v>Brasil</v>
      </c>
      <c r="P2055" s="4" t="str">
        <f aca="false">IF($A2055="","",IF(O2055&lt;&gt;"Brasil","Turista Internacional",IF(M2055=F2055,"Local","Turista Nacional")))</f>
        <v>Local</v>
      </c>
      <c r="Q2055" s="7" t="n">
        <f aca="false">IF($A2055="","",DATE(YEAR(B2055),MONTH(B2055),1))</f>
        <v>46054</v>
      </c>
      <c r="R2055" s="4" t="str">
        <f aca="false">IF($A2055="","",IF(COUNTIF($A$2:$A2055,$A2055)&gt;1,"Sim","Não"))</f>
        <v>Não</v>
      </c>
      <c r="S2055" s="4" t="str">
        <f aca="false">IF(A2055="","Descartar - Linha vazia",IF(R2055="Sim","Descartar - Duplicado",IF(OR(H2055&lt;=0,I2055&lt;=0),"Descartar - Qtd/Valor inválido","OK")))</f>
        <v>OK</v>
      </c>
      <c r="T2055" s="4" t="str">
        <f aca="false">Base_Bruta!P2055</f>
        <v>vendas_MG.csv</v>
      </c>
    </row>
    <row r="2056" customFormat="false" ht="15" hidden="false" customHeight="false" outlineLevel="0" collapsed="false">
      <c r="A2056" s="4" t="str">
        <f aca="false">IF(Base_Bruta!A2056="","",Base_Bruta!A2056)</f>
        <v>MG-000415</v>
      </c>
      <c r="B2056" s="5" t="n">
        <f aca="false">IF($A2056="","",IF(ISNUMBER(Base_Bruta!B2056),Base_Bruta!B2056,IF(MID(Base_Bruta!B2056,5,1)="-",DATE(VALUE(LEFT(Base_Bruta!B2056,4)),VALUE(MID(Base_Bruta!B2056,6,2)),VALUE(RIGHT(Base_Bruta!B2056,2))),DATE(VALUE(RIGHT(Base_Bruta!B2056,4)),VALUE(MID(Base_Bruta!B2056,4,2)),VALUE(LEFT(Base_Bruta!B2056,2))))))</f>
        <v>46081</v>
      </c>
      <c r="C2056" s="5" t="n">
        <f aca="false">IF($A2056="","",IF(ISNUMBER(Base_Bruta!C2056),Base_Bruta!C2056,IF(MID(Base_Bruta!C2056,5,1)="-",DATE(VALUE(LEFT(Base_Bruta!C2056,4)),VALUE(MID(Base_Bruta!C2056,6,2)),VALUE(RIGHT(Base_Bruta!C2056,2))),DATE(VALUE(RIGHT(Base_Bruta!C2056,4)),VALUE(MID(Base_Bruta!C2056,4,2)),VALUE(LEFT(Base_Bruta!C2056,2))))))</f>
        <v>46083</v>
      </c>
      <c r="D2056" s="4" t="str">
        <f aca="false">IF($A2056="","",TRIM(Base_Bruta!D2056))</f>
        <v>Cinema Savassi - Sessões</v>
      </c>
      <c r="E2056" s="4" t="str">
        <f aca="false">IF($A2056="","",_xlfn.XLOOKUP(LOWER(TRIM(Base_Bruta!E2056)),DePara_Categoria!$A$2:$A$9,DePara_Categoria!$B$2:$B$9,"REVISAR"))</f>
        <v>Cinema</v>
      </c>
      <c r="F2056" s="4" t="str">
        <f aca="false">IF($A2056="","",_xlfn.XLOOKUP(LOWER(TRIM(Base_Bruta!F2056)),DePara_Cidade!$A$2:$A$29,DePara_Cidade!$B$2:$B$29,"REVISAR"))</f>
        <v>Belo Horizonte</v>
      </c>
      <c r="G2056" s="4" t="str">
        <f aca="false">IF($A2056="","",TRIM(Base_Bruta!G2056))</f>
        <v>Inteira</v>
      </c>
      <c r="H2056" s="4" t="n">
        <f aca="false">IF($A2056="","",IF(ISNUMBER(Base_Bruta!H2056),Base_Bruta!H2056,IFERROR(_xlfn.NUMBERVALUE(TRIM(SUBSTITUTE(Base_Bruta!H2056,"R$","")),",","."),0)))</f>
        <v>2</v>
      </c>
      <c r="I2056" s="6" t="n">
        <f aca="false">IF($A2056="","",IF(ISNUMBER(Base_Bruta!I2056),Base_Bruta!I2056,IFERROR(_xlfn.NUMBERVALUE(TRIM(SUBSTITUTE(Base_Bruta!I2056,"R$","")),",","."),0)))</f>
        <v>30</v>
      </c>
      <c r="J2056" s="6" t="n">
        <f aca="false">IF($A2056="","",H2056*I2056)</f>
        <v>60</v>
      </c>
      <c r="K2056" s="4" t="str">
        <f aca="false">IF($A2056="","",TRIM(Base_Bruta!J2056))</f>
        <v>Site</v>
      </c>
      <c r="L2056" s="4" t="str">
        <f aca="false">IF($A2056="","",TRIM(Base_Bruta!K2056))</f>
        <v>C01847</v>
      </c>
      <c r="M2056" s="4" t="str">
        <f aca="false">IF($A2056="","",_xlfn.XLOOKUP(LOWER(TRIM(Base_Bruta!L2056)),DePara_Cidade!$A$2:$A$29,DePara_Cidade!$B$2:$B$29,"REVISAR"))</f>
        <v>Lisboa</v>
      </c>
      <c r="N2056" s="4" t="str">
        <f aca="false">IF($A2056="","",UPPER(TRIM(Base_Bruta!M2056)))</f>
        <v>EX</v>
      </c>
      <c r="O2056" s="4" t="str">
        <f aca="false">IF($A2056="","",_xlfn.XLOOKUP(LOWER(TRIM(Base_Bruta!N2056)),DePara_Pais!$A$2:$A$9,DePara_Pais!$B$2:$B$9,"REVISAR"))</f>
        <v>Portugal</v>
      </c>
      <c r="P2056" s="4" t="str">
        <f aca="false">IF($A2056="","",IF(O2056&lt;&gt;"Brasil","Turista Internacional",IF(M2056=F2056,"Local","Turista Nacional")))</f>
        <v>Turista Internacional</v>
      </c>
      <c r="Q2056" s="7" t="n">
        <f aca="false">IF($A2056="","",DATE(YEAR(B2056),MONTH(B2056),1))</f>
        <v>46054</v>
      </c>
      <c r="R2056" s="4" t="str">
        <f aca="false">IF($A2056="","",IF(COUNTIF($A$2:$A2056,$A2056)&gt;1,"Sim","Não"))</f>
        <v>Não</v>
      </c>
      <c r="S2056" s="4" t="str">
        <f aca="false">IF(A2056="","Descartar - Linha vazia",IF(R2056="Sim","Descartar - Duplicado",IF(OR(H2056&lt;=0,I2056&lt;=0),"Descartar - Qtd/Valor inválido","OK")))</f>
        <v>OK</v>
      </c>
      <c r="T2056" s="4" t="str">
        <f aca="false">Base_Bruta!P2056</f>
        <v>vendas_MG.csv</v>
      </c>
    </row>
    <row r="2057" customFormat="false" ht="15" hidden="false" customHeight="false" outlineLevel="0" collapsed="false">
      <c r="A2057" s="4" t="str">
        <f aca="false">IF(Base_Bruta!A2057="","",Base_Bruta!A2057)</f>
        <v>MG-000389</v>
      </c>
      <c r="B2057" s="5" t="n">
        <f aca="false">IF($A2057="","",IF(ISNUMBER(Base_Bruta!B2057),Base_Bruta!B2057,IF(MID(Base_Bruta!B2057,5,1)="-",DATE(VALUE(LEFT(Base_Bruta!B2057,4)),VALUE(MID(Base_Bruta!B2057,6,2)),VALUE(RIGHT(Base_Bruta!B2057,2))),DATE(VALUE(RIGHT(Base_Bruta!B2057,4)),VALUE(MID(Base_Bruta!B2057,4,2)),VALUE(LEFT(Base_Bruta!B2057,2))))))</f>
        <v>46086</v>
      </c>
      <c r="C2057" s="5" t="n">
        <f aca="false">IF($A2057="","",IF(ISNUMBER(Base_Bruta!C2057),Base_Bruta!C2057,IF(MID(Base_Bruta!C2057,5,1)="-",DATE(VALUE(LEFT(Base_Bruta!C2057,4)),VALUE(MID(Base_Bruta!C2057,6,2)),VALUE(RIGHT(Base_Bruta!C2057,2))),DATE(VALUE(RIGHT(Base_Bruta!C2057,4)),VALUE(MID(Base_Bruta!C2057,4,2)),VALUE(LEFT(Base_Bruta!C2057,2))))))</f>
        <v>46086</v>
      </c>
      <c r="D2057" s="4" t="str">
        <f aca="false">IF($A2057="","",TRIM(Base_Bruta!D2057))</f>
        <v>Cinema Savassi - Sessões</v>
      </c>
      <c r="E2057" s="4" t="str">
        <f aca="false">IF($A2057="","",_xlfn.XLOOKUP(LOWER(TRIM(Base_Bruta!E2057)),DePara_Categoria!$A$2:$A$9,DePara_Categoria!$B$2:$B$9,"REVISAR"))</f>
        <v>Cinema</v>
      </c>
      <c r="F2057" s="4" t="str">
        <f aca="false">IF($A2057="","",_xlfn.XLOOKUP(LOWER(TRIM(Base_Bruta!F2057)),DePara_Cidade!$A$2:$A$29,DePara_Cidade!$B$2:$B$29,"REVISAR"))</f>
        <v>Belo Horizonte</v>
      </c>
      <c r="G2057" s="4" t="str">
        <f aca="false">IF($A2057="","",TRIM(Base_Bruta!G2057))</f>
        <v>Meia</v>
      </c>
      <c r="H2057" s="4" t="n">
        <f aca="false">IF($A2057="","",IF(ISNUMBER(Base_Bruta!H2057),Base_Bruta!H2057,IFERROR(_xlfn.NUMBERVALUE(TRIM(SUBSTITUTE(Base_Bruta!H2057,"R$","")),",","."),0)))</f>
        <v>1</v>
      </c>
      <c r="I2057" s="6" t="n">
        <f aca="false">IF($A2057="","",IF(ISNUMBER(Base_Bruta!I2057),Base_Bruta!I2057,IFERROR(_xlfn.NUMBERVALUE(TRIM(SUBSTITUTE(Base_Bruta!I2057,"R$","")),",","."),0)))</f>
        <v>22.5</v>
      </c>
      <c r="J2057" s="6" t="n">
        <f aca="false">IF($A2057="","",H2057*I2057)</f>
        <v>22.5</v>
      </c>
      <c r="K2057" s="4" t="str">
        <f aca="false">IF($A2057="","",TRIM(Base_Bruta!J2057))</f>
        <v>Site</v>
      </c>
      <c r="L2057" s="4" t="str">
        <f aca="false">IF($A2057="","",TRIM(Base_Bruta!K2057))</f>
        <v>C01380</v>
      </c>
      <c r="M2057" s="4" t="str">
        <f aca="false">IF($A2057="","",_xlfn.XLOOKUP(LOWER(TRIM(Base_Bruta!L2057)),DePara_Cidade!$A$2:$A$29,DePara_Cidade!$B$2:$B$29,"REVISAR"))</f>
        <v>Belo Horizonte</v>
      </c>
      <c r="N2057" s="4" t="str">
        <f aca="false">IF($A2057="","",UPPER(TRIM(Base_Bruta!M2057)))</f>
        <v>MG</v>
      </c>
      <c r="O2057" s="4" t="str">
        <f aca="false">IF($A2057="","",_xlfn.XLOOKUP(LOWER(TRIM(Base_Bruta!N2057)),DePara_Pais!$A$2:$A$9,DePara_Pais!$B$2:$B$9,"REVISAR"))</f>
        <v>Brasil</v>
      </c>
      <c r="P2057" s="4" t="str">
        <f aca="false">IF($A2057="","",IF(O2057&lt;&gt;"Brasil","Turista Internacional",IF(M2057=F2057,"Local","Turista Nacional")))</f>
        <v>Local</v>
      </c>
      <c r="Q2057" s="7" t="n">
        <f aca="false">IF($A2057="","",DATE(YEAR(B2057),MONTH(B2057),1))</f>
        <v>46082</v>
      </c>
      <c r="R2057" s="4" t="str">
        <f aca="false">IF($A2057="","",IF(COUNTIF($A$2:$A2057,$A2057)&gt;1,"Sim","Não"))</f>
        <v>Não</v>
      </c>
      <c r="S2057" s="4" t="str">
        <f aca="false">IF(A2057="","Descartar - Linha vazia",IF(R2057="Sim","Descartar - Duplicado",IF(OR(H2057&lt;=0,I2057&lt;=0),"Descartar - Qtd/Valor inválido","OK")))</f>
        <v>OK</v>
      </c>
      <c r="T2057" s="4" t="str">
        <f aca="false">Base_Bruta!P2057</f>
        <v>vendas_MG.csv</v>
      </c>
    </row>
    <row r="2058" customFormat="false" ht="15" hidden="false" customHeight="false" outlineLevel="0" collapsed="false">
      <c r="A2058" s="4" t="str">
        <f aca="false">IF(Base_Bruta!A2058="","",Base_Bruta!A2058)</f>
        <v>MG-000474</v>
      </c>
      <c r="B2058" s="5" t="n">
        <f aca="false">IF($A2058="","",IF(ISNUMBER(Base_Bruta!B2058),Base_Bruta!B2058,IF(MID(Base_Bruta!B2058,5,1)="-",DATE(VALUE(LEFT(Base_Bruta!B2058,4)),VALUE(MID(Base_Bruta!B2058,6,2)),VALUE(RIGHT(Base_Bruta!B2058,2))),DATE(VALUE(RIGHT(Base_Bruta!B2058,4)),VALUE(MID(Base_Bruta!B2058,4,2)),VALUE(LEFT(Base_Bruta!B2058,2))))))</f>
        <v>46088</v>
      </c>
      <c r="C2058" s="5" t="n">
        <f aca="false">IF($A2058="","",IF(ISNUMBER(Base_Bruta!C2058),Base_Bruta!C2058,IF(MID(Base_Bruta!C2058,5,1)="-",DATE(VALUE(LEFT(Base_Bruta!C2058,4)),VALUE(MID(Base_Bruta!C2058,6,2)),VALUE(RIGHT(Base_Bruta!C2058,2))),DATE(VALUE(RIGHT(Base_Bruta!C2058,4)),VALUE(MID(Base_Bruta!C2058,4,2)),VALUE(LEFT(Base_Bruta!C2058,2))))))</f>
        <v>46088</v>
      </c>
      <c r="D2058" s="4" t="str">
        <f aca="false">IF($A2058="","",TRIM(Base_Bruta!D2058))</f>
        <v>Cinema Savassi - Sessões</v>
      </c>
      <c r="E2058" s="4" t="str">
        <f aca="false">IF($A2058="","",_xlfn.XLOOKUP(LOWER(TRIM(Base_Bruta!E2058)),DePara_Categoria!$A$2:$A$9,DePara_Categoria!$B$2:$B$9,"REVISAR"))</f>
        <v>Cinema</v>
      </c>
      <c r="F2058" s="4" t="str">
        <f aca="false">IF($A2058="","",_xlfn.XLOOKUP(LOWER(TRIM(Base_Bruta!F2058)),DePara_Cidade!$A$2:$A$29,DePara_Cidade!$B$2:$B$29,"REVISAR"))</f>
        <v>Belo Horizonte</v>
      </c>
      <c r="G2058" s="4" t="str">
        <f aca="false">IF($A2058="","",TRIM(Base_Bruta!G2058))</f>
        <v>Meia</v>
      </c>
      <c r="H2058" s="4" t="n">
        <f aca="false">IF($A2058="","",IF(ISNUMBER(Base_Bruta!H2058),Base_Bruta!H2058,IFERROR(_xlfn.NUMBERVALUE(TRIM(SUBSTITUTE(Base_Bruta!H2058,"R$","")),",","."),0)))</f>
        <v>2</v>
      </c>
      <c r="I2058" s="6" t="n">
        <f aca="false">IF($A2058="","",IF(ISNUMBER(Base_Bruta!I2058),Base_Bruta!I2058,IFERROR(_xlfn.NUMBERVALUE(TRIM(SUBSTITUTE(Base_Bruta!I2058,"R$","")),",","."),0)))</f>
        <v>20</v>
      </c>
      <c r="J2058" s="6" t="n">
        <f aca="false">IF($A2058="","",H2058*I2058)</f>
        <v>40</v>
      </c>
      <c r="K2058" s="4" t="str">
        <f aca="false">IF($A2058="","",TRIM(Base_Bruta!J2058))</f>
        <v>Site</v>
      </c>
      <c r="L2058" s="4" t="str">
        <f aca="false">IF($A2058="","",TRIM(Base_Bruta!K2058))</f>
        <v>C01979</v>
      </c>
      <c r="M2058" s="4" t="str">
        <f aca="false">IF($A2058="","",_xlfn.XLOOKUP(LOWER(TRIM(Base_Bruta!L2058)),DePara_Cidade!$A$2:$A$29,DePara_Cidade!$B$2:$B$29,"REVISAR"))</f>
        <v>Belo Horizonte</v>
      </c>
      <c r="N2058" s="4" t="str">
        <f aca="false">IF($A2058="","",UPPER(TRIM(Base_Bruta!M2058)))</f>
        <v>MG</v>
      </c>
      <c r="O2058" s="4" t="str">
        <f aca="false">IF($A2058="","",_xlfn.XLOOKUP(LOWER(TRIM(Base_Bruta!N2058)),DePara_Pais!$A$2:$A$9,DePara_Pais!$B$2:$B$9,"REVISAR"))</f>
        <v>Brasil</v>
      </c>
      <c r="P2058" s="4" t="str">
        <f aca="false">IF($A2058="","",IF(O2058&lt;&gt;"Brasil","Turista Internacional",IF(M2058=F2058,"Local","Turista Nacional")))</f>
        <v>Local</v>
      </c>
      <c r="Q2058" s="7" t="n">
        <f aca="false">IF($A2058="","",DATE(YEAR(B2058),MONTH(B2058),1))</f>
        <v>46082</v>
      </c>
      <c r="R2058" s="4" t="str">
        <f aca="false">IF($A2058="","",IF(COUNTIF($A$2:$A2058,$A2058)&gt;1,"Sim","Não"))</f>
        <v>Não</v>
      </c>
      <c r="S2058" s="4" t="str">
        <f aca="false">IF(A2058="","Descartar - Linha vazia",IF(R2058="Sim","Descartar - Duplicado",IF(OR(H2058&lt;=0,I2058&lt;=0),"Descartar - Qtd/Valor inválido","OK")))</f>
        <v>OK</v>
      </c>
      <c r="T2058" s="4" t="str">
        <f aca="false">Base_Bruta!P2058</f>
        <v>vendas_MG.csv</v>
      </c>
    </row>
    <row r="2059" customFormat="false" ht="15" hidden="false" customHeight="false" outlineLevel="0" collapsed="false">
      <c r="A2059" s="4" t="str">
        <f aca="false">IF(Base_Bruta!A2059="","",Base_Bruta!A2059)</f>
        <v>MG-000458</v>
      </c>
      <c r="B2059" s="5" t="n">
        <f aca="false">IF($A2059="","",IF(ISNUMBER(Base_Bruta!B2059),Base_Bruta!B2059,IF(MID(Base_Bruta!B2059,5,1)="-",DATE(VALUE(LEFT(Base_Bruta!B2059,4)),VALUE(MID(Base_Bruta!B2059,6,2)),VALUE(RIGHT(Base_Bruta!B2059,2))),DATE(VALUE(RIGHT(Base_Bruta!B2059,4)),VALUE(MID(Base_Bruta!B2059,4,2)),VALUE(LEFT(Base_Bruta!B2059,2))))))</f>
        <v>46090</v>
      </c>
      <c r="C2059" s="5" t="n">
        <f aca="false">IF($A2059="","",IF(ISNUMBER(Base_Bruta!C2059),Base_Bruta!C2059,IF(MID(Base_Bruta!C2059,5,1)="-",DATE(VALUE(LEFT(Base_Bruta!C2059,4)),VALUE(MID(Base_Bruta!C2059,6,2)),VALUE(RIGHT(Base_Bruta!C2059,2))),DATE(VALUE(RIGHT(Base_Bruta!C2059,4)),VALUE(MID(Base_Bruta!C2059,4,2)),VALUE(LEFT(Base_Bruta!C2059,2))))))</f>
        <v>46090</v>
      </c>
      <c r="D2059" s="4" t="str">
        <f aca="false">IF($A2059="","",TRIM(Base_Bruta!D2059))</f>
        <v>Cinema Savassi - Sessões</v>
      </c>
      <c r="E2059" s="4" t="str">
        <f aca="false">IF($A2059="","",_xlfn.XLOOKUP(LOWER(TRIM(Base_Bruta!E2059)),DePara_Categoria!$A$2:$A$9,DePara_Categoria!$B$2:$B$9,"REVISAR"))</f>
        <v>Cinema</v>
      </c>
      <c r="F2059" s="4" t="str">
        <f aca="false">IF($A2059="","",_xlfn.XLOOKUP(LOWER(TRIM(Base_Bruta!F2059)),DePara_Cidade!$A$2:$A$29,DePara_Cidade!$B$2:$B$29,"REVISAR"))</f>
        <v>Belo Horizonte</v>
      </c>
      <c r="G2059" s="4" t="str">
        <f aca="false">IF($A2059="","",TRIM(Base_Bruta!G2059))</f>
        <v>Meia</v>
      </c>
      <c r="H2059" s="4" t="n">
        <f aca="false">IF($A2059="","",IF(ISNUMBER(Base_Bruta!H2059),Base_Bruta!H2059,IFERROR(_xlfn.NUMBERVALUE(TRIM(SUBSTITUTE(Base_Bruta!H2059,"R$","")),",","."),0)))</f>
        <v>4</v>
      </c>
      <c r="I2059" s="6" t="n">
        <f aca="false">IF($A2059="","",IF(ISNUMBER(Base_Bruta!I2059),Base_Bruta!I2059,IFERROR(_xlfn.NUMBERVALUE(TRIM(SUBSTITUTE(Base_Bruta!I2059,"R$","")),",","."),0)))</f>
        <v>17.5</v>
      </c>
      <c r="J2059" s="6" t="n">
        <f aca="false">IF($A2059="","",H2059*I2059)</f>
        <v>70</v>
      </c>
      <c r="K2059" s="4" t="str">
        <f aca="false">IF($A2059="","",TRIM(Base_Bruta!J2059))</f>
        <v>App</v>
      </c>
      <c r="L2059" s="4" t="str">
        <f aca="false">IF($A2059="","",TRIM(Base_Bruta!K2059))</f>
        <v>C00570</v>
      </c>
      <c r="M2059" s="4" t="str">
        <f aca="false">IF($A2059="","",_xlfn.XLOOKUP(LOWER(TRIM(Base_Bruta!L2059)),DePara_Cidade!$A$2:$A$29,DePara_Cidade!$B$2:$B$29,"REVISAR"))</f>
        <v>Belo Horizonte</v>
      </c>
      <c r="N2059" s="4" t="str">
        <f aca="false">IF($A2059="","",UPPER(TRIM(Base_Bruta!M2059)))</f>
        <v>MG</v>
      </c>
      <c r="O2059" s="4" t="str">
        <f aca="false">IF($A2059="","",_xlfn.XLOOKUP(LOWER(TRIM(Base_Bruta!N2059)),DePara_Pais!$A$2:$A$9,DePara_Pais!$B$2:$B$9,"REVISAR"))</f>
        <v>Brasil</v>
      </c>
      <c r="P2059" s="4" t="str">
        <f aca="false">IF($A2059="","",IF(O2059&lt;&gt;"Brasil","Turista Internacional",IF(M2059=F2059,"Local","Turista Nacional")))</f>
        <v>Local</v>
      </c>
      <c r="Q2059" s="7" t="n">
        <f aca="false">IF($A2059="","",DATE(YEAR(B2059),MONTH(B2059),1))</f>
        <v>46082</v>
      </c>
      <c r="R2059" s="4" t="str">
        <f aca="false">IF($A2059="","",IF(COUNTIF($A$2:$A2059,$A2059)&gt;1,"Sim","Não"))</f>
        <v>Não</v>
      </c>
      <c r="S2059" s="4" t="str">
        <f aca="false">IF(A2059="","Descartar - Linha vazia",IF(R2059="Sim","Descartar - Duplicado",IF(OR(H2059&lt;=0,I2059&lt;=0),"Descartar - Qtd/Valor inválido","OK")))</f>
        <v>OK</v>
      </c>
      <c r="T2059" s="4" t="str">
        <f aca="false">Base_Bruta!P2059</f>
        <v>vendas_MG.csv</v>
      </c>
    </row>
    <row r="2060" customFormat="false" ht="15" hidden="false" customHeight="false" outlineLevel="0" collapsed="false">
      <c r="A2060" s="4" t="str">
        <f aca="false">IF(Base_Bruta!A2060="","",Base_Bruta!A2060)</f>
        <v>MG-000485</v>
      </c>
      <c r="B2060" s="5" t="n">
        <f aca="false">IF($A2060="","",IF(ISNUMBER(Base_Bruta!B2060),Base_Bruta!B2060,IF(MID(Base_Bruta!B2060,5,1)="-",DATE(VALUE(LEFT(Base_Bruta!B2060,4)),VALUE(MID(Base_Bruta!B2060,6,2)),VALUE(RIGHT(Base_Bruta!B2060,2))),DATE(VALUE(RIGHT(Base_Bruta!B2060,4)),VALUE(MID(Base_Bruta!B2060,4,2)),VALUE(LEFT(Base_Bruta!B2060,2))))))</f>
        <v>46098</v>
      </c>
      <c r="C2060" s="5" t="n">
        <f aca="false">IF($A2060="","",IF(ISNUMBER(Base_Bruta!C2060),Base_Bruta!C2060,IF(MID(Base_Bruta!C2060,5,1)="-",DATE(VALUE(LEFT(Base_Bruta!C2060,4)),VALUE(MID(Base_Bruta!C2060,6,2)),VALUE(RIGHT(Base_Bruta!C2060,2))),DATE(VALUE(RIGHT(Base_Bruta!C2060,4)),VALUE(MID(Base_Bruta!C2060,4,2)),VALUE(LEFT(Base_Bruta!C2060,2))))))</f>
        <v>46101</v>
      </c>
      <c r="D2060" s="4" t="str">
        <f aca="false">IF($A2060="","",TRIM(Base_Bruta!D2060))</f>
        <v>Cinema Savassi - Sessões</v>
      </c>
      <c r="E2060" s="4" t="str">
        <f aca="false">IF($A2060="","",_xlfn.XLOOKUP(LOWER(TRIM(Base_Bruta!E2060)),DePara_Categoria!$A$2:$A$9,DePara_Categoria!$B$2:$B$9,"REVISAR"))</f>
        <v>Cinema</v>
      </c>
      <c r="F2060" s="4" t="str">
        <f aca="false">IF($A2060="","",_xlfn.XLOOKUP(LOWER(TRIM(Base_Bruta!F2060)),DePara_Cidade!$A$2:$A$29,DePara_Cidade!$B$2:$B$29,"REVISAR"))</f>
        <v>Belo Horizonte</v>
      </c>
      <c r="G2060" s="4" t="str">
        <f aca="false">IF($A2060="","",TRIM(Base_Bruta!G2060))</f>
        <v>Meia</v>
      </c>
      <c r="H2060" s="4" t="n">
        <f aca="false">IF($A2060="","",IF(ISNUMBER(Base_Bruta!H2060),Base_Bruta!H2060,IFERROR(_xlfn.NUMBERVALUE(TRIM(SUBSTITUTE(Base_Bruta!H2060,"R$","")),",","."),0)))</f>
        <v>1</v>
      </c>
      <c r="I2060" s="6" t="n">
        <f aca="false">IF($A2060="","",IF(ISNUMBER(Base_Bruta!I2060),Base_Bruta!I2060,IFERROR(_xlfn.NUMBERVALUE(TRIM(SUBSTITUTE(Base_Bruta!I2060,"R$","")),",","."),0)))</f>
        <v>20</v>
      </c>
      <c r="J2060" s="6" t="n">
        <f aca="false">IF($A2060="","",H2060*I2060)</f>
        <v>20</v>
      </c>
      <c r="K2060" s="4" t="str">
        <f aca="false">IF($A2060="","",TRIM(Base_Bruta!J2060))</f>
        <v>App</v>
      </c>
      <c r="L2060" s="4" t="str">
        <f aca="false">IF($A2060="","",TRIM(Base_Bruta!K2060))</f>
        <v>C01527</v>
      </c>
      <c r="M2060" s="4" t="str">
        <f aca="false">IF($A2060="","",_xlfn.XLOOKUP(LOWER(TRIM(Base_Bruta!L2060)),DePara_Cidade!$A$2:$A$29,DePara_Cidade!$B$2:$B$29,"REVISAR"))</f>
        <v>Belo Horizonte</v>
      </c>
      <c r="N2060" s="4" t="str">
        <f aca="false">IF($A2060="","",UPPER(TRIM(Base_Bruta!M2060)))</f>
        <v>MG</v>
      </c>
      <c r="O2060" s="4" t="str">
        <f aca="false">IF($A2060="","",_xlfn.XLOOKUP(LOWER(TRIM(Base_Bruta!N2060)),DePara_Pais!$A$2:$A$9,DePara_Pais!$B$2:$B$9,"REVISAR"))</f>
        <v>Brasil</v>
      </c>
      <c r="P2060" s="4" t="str">
        <f aca="false">IF($A2060="","",IF(O2060&lt;&gt;"Brasil","Turista Internacional",IF(M2060=F2060,"Local","Turista Nacional")))</f>
        <v>Local</v>
      </c>
      <c r="Q2060" s="7" t="n">
        <f aca="false">IF($A2060="","",DATE(YEAR(B2060),MONTH(B2060),1))</f>
        <v>46082</v>
      </c>
      <c r="R2060" s="4" t="str">
        <f aca="false">IF($A2060="","",IF(COUNTIF($A$2:$A2060,$A2060)&gt;1,"Sim","Não"))</f>
        <v>Não</v>
      </c>
      <c r="S2060" s="4" t="str">
        <f aca="false">IF(A2060="","Descartar - Linha vazia",IF(R2060="Sim","Descartar - Duplicado",IF(OR(H2060&lt;=0,I2060&lt;=0),"Descartar - Qtd/Valor inválido","OK")))</f>
        <v>OK</v>
      </c>
      <c r="T2060" s="4" t="str">
        <f aca="false">Base_Bruta!P2060</f>
        <v>vendas_MG.csv</v>
      </c>
    </row>
    <row r="2061" customFormat="false" ht="15" hidden="false" customHeight="false" outlineLevel="0" collapsed="false">
      <c r="A2061" s="4" t="str">
        <f aca="false">IF(Base_Bruta!A2061="","",Base_Bruta!A2061)</f>
        <v>MG-000440</v>
      </c>
      <c r="B2061" s="5" t="n">
        <f aca="false">IF($A2061="","",IF(ISNUMBER(Base_Bruta!B2061),Base_Bruta!B2061,IF(MID(Base_Bruta!B2061,5,1)="-",DATE(VALUE(LEFT(Base_Bruta!B2061,4)),VALUE(MID(Base_Bruta!B2061,6,2)),VALUE(RIGHT(Base_Bruta!B2061,2))),DATE(VALUE(RIGHT(Base_Bruta!B2061,4)),VALUE(MID(Base_Bruta!B2061,4,2)),VALUE(LEFT(Base_Bruta!B2061,2))))))</f>
        <v>46104</v>
      </c>
      <c r="C2061" s="5" t="n">
        <f aca="false">IF($A2061="","",IF(ISNUMBER(Base_Bruta!C2061),Base_Bruta!C2061,IF(MID(Base_Bruta!C2061,5,1)="-",DATE(VALUE(LEFT(Base_Bruta!C2061,4)),VALUE(MID(Base_Bruta!C2061,6,2)),VALUE(RIGHT(Base_Bruta!C2061,2))),DATE(VALUE(RIGHT(Base_Bruta!C2061,4)),VALUE(MID(Base_Bruta!C2061,4,2)),VALUE(LEFT(Base_Bruta!C2061,2))))))</f>
        <v>46107</v>
      </c>
      <c r="D2061" s="4" t="str">
        <f aca="false">IF($A2061="","",TRIM(Base_Bruta!D2061))</f>
        <v>Cinema Savassi - Sessões</v>
      </c>
      <c r="E2061" s="4" t="str">
        <f aca="false">IF($A2061="","",_xlfn.XLOOKUP(LOWER(TRIM(Base_Bruta!E2061)),DePara_Categoria!$A$2:$A$9,DePara_Categoria!$B$2:$B$9,"REVISAR"))</f>
        <v>Cinema</v>
      </c>
      <c r="F2061" s="4" t="str">
        <f aca="false">IF($A2061="","",_xlfn.XLOOKUP(LOWER(TRIM(Base_Bruta!F2061)),DePara_Cidade!$A$2:$A$29,DePara_Cidade!$B$2:$B$29,"REVISAR"))</f>
        <v>Belo Horizonte</v>
      </c>
      <c r="G2061" s="4" t="str">
        <f aca="false">IF($A2061="","",TRIM(Base_Bruta!G2061))</f>
        <v>Meia</v>
      </c>
      <c r="H2061" s="4" t="n">
        <f aca="false">IF($A2061="","",IF(ISNUMBER(Base_Bruta!H2061),Base_Bruta!H2061,IFERROR(_xlfn.NUMBERVALUE(TRIM(SUBSTITUTE(Base_Bruta!H2061,"R$","")),",","."),0)))</f>
        <v>3</v>
      </c>
      <c r="I2061" s="6" t="n">
        <f aca="false">IF($A2061="","",IF(ISNUMBER(Base_Bruta!I2061),Base_Bruta!I2061,IFERROR(_xlfn.NUMBERVALUE(TRIM(SUBSTITUTE(Base_Bruta!I2061,"R$","")),",","."),0)))</f>
        <v>15</v>
      </c>
      <c r="J2061" s="6" t="n">
        <f aca="false">IF($A2061="","",H2061*I2061)</f>
        <v>45</v>
      </c>
      <c r="K2061" s="4" t="str">
        <f aca="false">IF($A2061="","",TRIM(Base_Bruta!J2061))</f>
        <v>App</v>
      </c>
      <c r="L2061" s="4" t="str">
        <f aca="false">IF($A2061="","",TRIM(Base_Bruta!K2061))</f>
        <v>C01527</v>
      </c>
      <c r="M2061" s="4" t="str">
        <f aca="false">IF($A2061="","",_xlfn.XLOOKUP(LOWER(TRIM(Base_Bruta!L2061)),DePara_Cidade!$A$2:$A$29,DePara_Cidade!$B$2:$B$29,"REVISAR"))</f>
        <v>Belo Horizonte</v>
      </c>
      <c r="N2061" s="4" t="str">
        <f aca="false">IF($A2061="","",UPPER(TRIM(Base_Bruta!M2061)))</f>
        <v>MG</v>
      </c>
      <c r="O2061" s="4" t="str">
        <f aca="false">IF($A2061="","",_xlfn.XLOOKUP(LOWER(TRIM(Base_Bruta!N2061)),DePara_Pais!$A$2:$A$9,DePara_Pais!$B$2:$B$9,"REVISAR"))</f>
        <v>Brasil</v>
      </c>
      <c r="P2061" s="4" t="str">
        <f aca="false">IF($A2061="","",IF(O2061&lt;&gt;"Brasil","Turista Internacional",IF(M2061=F2061,"Local","Turista Nacional")))</f>
        <v>Local</v>
      </c>
      <c r="Q2061" s="7" t="n">
        <f aca="false">IF($A2061="","",DATE(YEAR(B2061),MONTH(B2061),1))</f>
        <v>46082</v>
      </c>
      <c r="R2061" s="4" t="str">
        <f aca="false">IF($A2061="","",IF(COUNTIF($A$2:$A2061,$A2061)&gt;1,"Sim","Não"))</f>
        <v>Não</v>
      </c>
      <c r="S2061" s="4" t="str">
        <f aca="false">IF(A2061="","Descartar - Linha vazia",IF(R2061="Sim","Descartar - Duplicado",IF(OR(H2061&lt;=0,I2061&lt;=0),"Descartar - Qtd/Valor inválido","OK")))</f>
        <v>OK</v>
      </c>
      <c r="T2061" s="4" t="str">
        <f aca="false">Base_Bruta!P2061</f>
        <v>vendas_MG.csv</v>
      </c>
    </row>
    <row r="2062" customFormat="false" ht="15" hidden="false" customHeight="false" outlineLevel="0" collapsed="false">
      <c r="A2062" s="4" t="str">
        <f aca="false">IF(Base_Bruta!A2062="","",Base_Bruta!A2062)</f>
        <v>MG-000460</v>
      </c>
      <c r="B2062" s="5" t="n">
        <f aca="false">IF($A2062="","",IF(ISNUMBER(Base_Bruta!B2062),Base_Bruta!B2062,IF(MID(Base_Bruta!B2062,5,1)="-",DATE(VALUE(LEFT(Base_Bruta!B2062,4)),VALUE(MID(Base_Bruta!B2062,6,2)),VALUE(RIGHT(Base_Bruta!B2062,2))),DATE(VALUE(RIGHT(Base_Bruta!B2062,4)),VALUE(MID(Base_Bruta!B2062,4,2)),VALUE(LEFT(Base_Bruta!B2062,2))))))</f>
        <v>46106</v>
      </c>
      <c r="C2062" s="5" t="n">
        <f aca="false">IF($A2062="","",IF(ISNUMBER(Base_Bruta!C2062),Base_Bruta!C2062,IF(MID(Base_Bruta!C2062,5,1)="-",DATE(VALUE(LEFT(Base_Bruta!C2062,4)),VALUE(MID(Base_Bruta!C2062,6,2)),VALUE(RIGHT(Base_Bruta!C2062,2))),DATE(VALUE(RIGHT(Base_Bruta!C2062,4)),VALUE(MID(Base_Bruta!C2062,4,2)),VALUE(LEFT(Base_Bruta!C2062,2))))))</f>
        <v>46107</v>
      </c>
      <c r="D2062" s="4" t="str">
        <f aca="false">IF($A2062="","",TRIM(Base_Bruta!D2062))</f>
        <v>Cinema Savassi - Sessões</v>
      </c>
      <c r="E2062" s="4" t="str">
        <f aca="false">IF($A2062="","",_xlfn.XLOOKUP(LOWER(TRIM(Base_Bruta!E2062)),DePara_Categoria!$A$2:$A$9,DePara_Categoria!$B$2:$B$9,"REVISAR"))</f>
        <v>Cinema</v>
      </c>
      <c r="F2062" s="4" t="str">
        <f aca="false">IF($A2062="","",_xlfn.XLOOKUP(LOWER(TRIM(Base_Bruta!F2062)),DePara_Cidade!$A$2:$A$29,DePara_Cidade!$B$2:$B$29,"REVISAR"))</f>
        <v>Belo Horizonte</v>
      </c>
      <c r="G2062" s="4" t="str">
        <f aca="false">IF($A2062="","",TRIM(Base_Bruta!G2062))</f>
        <v>Meia</v>
      </c>
      <c r="H2062" s="4" t="n">
        <f aca="false">IF($A2062="","",IF(ISNUMBER(Base_Bruta!H2062),Base_Bruta!H2062,IFERROR(_xlfn.NUMBERVALUE(TRIM(SUBSTITUTE(Base_Bruta!H2062,"R$","")),",","."),0)))</f>
        <v>3</v>
      </c>
      <c r="I2062" s="6" t="n">
        <f aca="false">IF($A2062="","",IF(ISNUMBER(Base_Bruta!I2062),Base_Bruta!I2062,IFERROR(_xlfn.NUMBERVALUE(TRIM(SUBSTITUTE(Base_Bruta!I2062,"R$","")),",","."),0)))</f>
        <v>20</v>
      </c>
      <c r="J2062" s="6" t="n">
        <f aca="false">IF($A2062="","",H2062*I2062)</f>
        <v>60</v>
      </c>
      <c r="K2062" s="4" t="str">
        <f aca="false">IF($A2062="","",TRIM(Base_Bruta!J2062))</f>
        <v>Site</v>
      </c>
      <c r="L2062" s="4" t="str">
        <f aca="false">IF($A2062="","",TRIM(Base_Bruta!K2062))</f>
        <v>C00937</v>
      </c>
      <c r="M2062" s="4" t="str">
        <f aca="false">IF($A2062="","",_xlfn.XLOOKUP(LOWER(TRIM(Base_Bruta!L2062)),DePara_Cidade!$A$2:$A$29,DePara_Cidade!$B$2:$B$29,"REVISAR"))</f>
        <v>Belo Horizonte</v>
      </c>
      <c r="N2062" s="4" t="str">
        <f aca="false">IF($A2062="","",UPPER(TRIM(Base_Bruta!M2062)))</f>
        <v>MG</v>
      </c>
      <c r="O2062" s="4" t="str">
        <f aca="false">IF($A2062="","",_xlfn.XLOOKUP(LOWER(TRIM(Base_Bruta!N2062)),DePara_Pais!$A$2:$A$9,DePara_Pais!$B$2:$B$9,"REVISAR"))</f>
        <v>Brasil</v>
      </c>
      <c r="P2062" s="4" t="str">
        <f aca="false">IF($A2062="","",IF(O2062&lt;&gt;"Brasil","Turista Internacional",IF(M2062=F2062,"Local","Turista Nacional")))</f>
        <v>Local</v>
      </c>
      <c r="Q2062" s="7" t="n">
        <f aca="false">IF($A2062="","",DATE(YEAR(B2062),MONTH(B2062),1))</f>
        <v>46082</v>
      </c>
      <c r="R2062" s="4" t="str">
        <f aca="false">IF($A2062="","",IF(COUNTIF($A$2:$A2062,$A2062)&gt;1,"Sim","Não"))</f>
        <v>Não</v>
      </c>
      <c r="S2062" s="4" t="str">
        <f aca="false">IF(A2062="","Descartar - Linha vazia",IF(R2062="Sim","Descartar - Duplicado",IF(OR(H2062&lt;=0,I2062&lt;=0),"Descartar - Qtd/Valor inválido","OK")))</f>
        <v>OK</v>
      </c>
      <c r="T2062" s="4" t="str">
        <f aca="false">Base_Bruta!P2062</f>
        <v>vendas_MG.csv</v>
      </c>
    </row>
    <row r="2063" customFormat="false" ht="15" hidden="false" customHeight="false" outlineLevel="0" collapsed="false">
      <c r="A2063" s="4" t="str">
        <f aca="false">IF(Base_Bruta!A2063="","",Base_Bruta!A2063)</f>
        <v>MG-000402</v>
      </c>
      <c r="B2063" s="5" t="n">
        <f aca="false">IF($A2063="","",IF(ISNUMBER(Base_Bruta!B2063),Base_Bruta!B2063,IF(MID(Base_Bruta!B2063,5,1)="-",DATE(VALUE(LEFT(Base_Bruta!B2063,4)),VALUE(MID(Base_Bruta!B2063,6,2)),VALUE(RIGHT(Base_Bruta!B2063,2))),DATE(VALUE(RIGHT(Base_Bruta!B2063,4)),VALUE(MID(Base_Bruta!B2063,4,2)),VALUE(LEFT(Base_Bruta!B2063,2))))))</f>
        <v>46107</v>
      </c>
      <c r="C2063" s="5" t="n">
        <f aca="false">IF($A2063="","",IF(ISNUMBER(Base_Bruta!C2063),Base_Bruta!C2063,IF(MID(Base_Bruta!C2063,5,1)="-",DATE(VALUE(LEFT(Base_Bruta!C2063,4)),VALUE(MID(Base_Bruta!C2063,6,2)),VALUE(RIGHT(Base_Bruta!C2063,2))),DATE(VALUE(RIGHT(Base_Bruta!C2063,4)),VALUE(MID(Base_Bruta!C2063,4,2)),VALUE(LEFT(Base_Bruta!C2063,2))))))</f>
        <v>46107</v>
      </c>
      <c r="D2063" s="4" t="str">
        <f aca="false">IF($A2063="","",TRIM(Base_Bruta!D2063))</f>
        <v>Cinema Savassi - Sessões</v>
      </c>
      <c r="E2063" s="4" t="str">
        <f aca="false">IF($A2063="","",_xlfn.XLOOKUP(LOWER(TRIM(Base_Bruta!E2063)),DePara_Categoria!$A$2:$A$9,DePara_Categoria!$B$2:$B$9,"REVISAR"))</f>
        <v>Cinema</v>
      </c>
      <c r="F2063" s="4" t="str">
        <f aca="false">IF($A2063="","",_xlfn.XLOOKUP(LOWER(TRIM(Base_Bruta!F2063)),DePara_Cidade!$A$2:$A$29,DePara_Cidade!$B$2:$B$29,"REVISAR"))</f>
        <v>Belo Horizonte</v>
      </c>
      <c r="G2063" s="4" t="str">
        <f aca="false">IF($A2063="","",TRIM(Base_Bruta!G2063))</f>
        <v>Inteira</v>
      </c>
      <c r="H2063" s="4" t="n">
        <f aca="false">IF($A2063="","",IF(ISNUMBER(Base_Bruta!H2063),Base_Bruta!H2063,IFERROR(_xlfn.NUMBERVALUE(TRIM(SUBSTITUTE(Base_Bruta!H2063,"R$","")),",","."),0)))</f>
        <v>1</v>
      </c>
      <c r="I2063" s="6" t="n">
        <f aca="false">IF($A2063="","",IF(ISNUMBER(Base_Bruta!I2063),Base_Bruta!I2063,IFERROR(_xlfn.NUMBERVALUE(TRIM(SUBSTITUTE(Base_Bruta!I2063,"R$","")),",","."),0)))</f>
        <v>40</v>
      </c>
      <c r="J2063" s="6" t="n">
        <f aca="false">IF($A2063="","",H2063*I2063)</f>
        <v>40</v>
      </c>
      <c r="K2063" s="4" t="str">
        <f aca="false">IF($A2063="","",TRIM(Base_Bruta!J2063))</f>
        <v>App</v>
      </c>
      <c r="L2063" s="4" t="str">
        <f aca="false">IF($A2063="","",TRIM(Base_Bruta!K2063))</f>
        <v>C01311</v>
      </c>
      <c r="M2063" s="4" t="str">
        <f aca="false">IF($A2063="","",_xlfn.XLOOKUP(LOWER(TRIM(Base_Bruta!L2063)),DePara_Cidade!$A$2:$A$29,DePara_Cidade!$B$2:$B$29,"REVISAR"))</f>
        <v>Belo Horizonte</v>
      </c>
      <c r="N2063" s="4" t="str">
        <f aca="false">IF($A2063="","",UPPER(TRIM(Base_Bruta!M2063)))</f>
        <v>MG</v>
      </c>
      <c r="O2063" s="4" t="str">
        <f aca="false">IF($A2063="","",_xlfn.XLOOKUP(LOWER(TRIM(Base_Bruta!N2063)),DePara_Pais!$A$2:$A$9,DePara_Pais!$B$2:$B$9,"REVISAR"))</f>
        <v>Brasil</v>
      </c>
      <c r="P2063" s="4" t="str">
        <f aca="false">IF($A2063="","",IF(O2063&lt;&gt;"Brasil","Turista Internacional",IF(M2063=F2063,"Local","Turista Nacional")))</f>
        <v>Local</v>
      </c>
      <c r="Q2063" s="7" t="n">
        <f aca="false">IF($A2063="","",DATE(YEAR(B2063),MONTH(B2063),1))</f>
        <v>46082</v>
      </c>
      <c r="R2063" s="4" t="str">
        <f aca="false">IF($A2063="","",IF(COUNTIF($A$2:$A2063,$A2063)&gt;1,"Sim","Não"))</f>
        <v>Não</v>
      </c>
      <c r="S2063" s="4" t="str">
        <f aca="false">IF(A2063="","Descartar - Linha vazia",IF(R2063="Sim","Descartar - Duplicado",IF(OR(H2063&lt;=0,I2063&lt;=0),"Descartar - Qtd/Valor inválido","OK")))</f>
        <v>OK</v>
      </c>
      <c r="T2063" s="4" t="str">
        <f aca="false">Base_Bruta!P2063</f>
        <v>vendas_MG.csv</v>
      </c>
    </row>
    <row r="2064" customFormat="false" ht="15" hidden="false" customHeight="false" outlineLevel="0" collapsed="false">
      <c r="A2064" s="4" t="str">
        <f aca="false">IF(Base_Bruta!A2064="","",Base_Bruta!A2064)</f>
        <v>MG-000542</v>
      </c>
      <c r="B2064" s="5" t="n">
        <f aca="false">IF($A2064="","",IF(ISNUMBER(Base_Bruta!B2064),Base_Bruta!B2064,IF(MID(Base_Bruta!B2064,5,1)="-",DATE(VALUE(LEFT(Base_Bruta!B2064,4)),VALUE(MID(Base_Bruta!B2064,6,2)),VALUE(RIGHT(Base_Bruta!B2064,2))),DATE(VALUE(RIGHT(Base_Bruta!B2064,4)),VALUE(MID(Base_Bruta!B2064,4,2)),VALUE(LEFT(Base_Bruta!B2064,2))))))</f>
        <v>46108</v>
      </c>
      <c r="C2064" s="5" t="n">
        <f aca="false">IF($A2064="","",IF(ISNUMBER(Base_Bruta!C2064),Base_Bruta!C2064,IF(MID(Base_Bruta!C2064,5,1)="-",DATE(VALUE(LEFT(Base_Bruta!C2064,4)),VALUE(MID(Base_Bruta!C2064,6,2)),VALUE(RIGHT(Base_Bruta!C2064,2))),DATE(VALUE(RIGHT(Base_Bruta!C2064,4)),VALUE(MID(Base_Bruta!C2064,4,2)),VALUE(LEFT(Base_Bruta!C2064,2))))))</f>
        <v>46108</v>
      </c>
      <c r="D2064" s="4" t="str">
        <f aca="false">IF($A2064="","",TRIM(Base_Bruta!D2064))</f>
        <v>Cinema Savassi - Sessões</v>
      </c>
      <c r="E2064" s="4" t="str">
        <f aca="false">IF($A2064="","",_xlfn.XLOOKUP(LOWER(TRIM(Base_Bruta!E2064)),DePara_Categoria!$A$2:$A$9,DePara_Categoria!$B$2:$B$9,"REVISAR"))</f>
        <v>Cinema</v>
      </c>
      <c r="F2064" s="4" t="str">
        <f aca="false">IF($A2064="","",_xlfn.XLOOKUP(LOWER(TRIM(Base_Bruta!F2064)),DePara_Cidade!$A$2:$A$29,DePara_Cidade!$B$2:$B$29,"REVISAR"))</f>
        <v>Belo Horizonte</v>
      </c>
      <c r="G2064" s="4" t="str">
        <f aca="false">IF($A2064="","",TRIM(Base_Bruta!G2064))</f>
        <v>Meia</v>
      </c>
      <c r="H2064" s="4" t="n">
        <f aca="false">IF($A2064="","",IF(ISNUMBER(Base_Bruta!H2064),Base_Bruta!H2064,IFERROR(_xlfn.NUMBERVALUE(TRIM(SUBSTITUTE(Base_Bruta!H2064,"R$","")),",","."),0)))</f>
        <v>1</v>
      </c>
      <c r="I2064" s="6" t="n">
        <f aca="false">IF($A2064="","",IF(ISNUMBER(Base_Bruta!I2064),Base_Bruta!I2064,IFERROR(_xlfn.NUMBERVALUE(TRIM(SUBSTITUTE(Base_Bruta!I2064,"R$","")),",","."),0)))</f>
        <v>17.5</v>
      </c>
      <c r="J2064" s="6" t="n">
        <f aca="false">IF($A2064="","",H2064*I2064)</f>
        <v>17.5</v>
      </c>
      <c r="K2064" s="4" t="str">
        <f aca="false">IF($A2064="","",TRIM(Base_Bruta!J2064))</f>
        <v>App</v>
      </c>
      <c r="L2064" s="4" t="str">
        <f aca="false">IF($A2064="","",TRIM(Base_Bruta!K2064))</f>
        <v>C00036</v>
      </c>
      <c r="M2064" s="4" t="str">
        <f aca="false">IF($A2064="","",_xlfn.XLOOKUP(LOWER(TRIM(Base_Bruta!L2064)),DePara_Cidade!$A$2:$A$29,DePara_Cidade!$B$2:$B$29,"REVISAR"))</f>
        <v>Belo Horizonte</v>
      </c>
      <c r="N2064" s="4" t="str">
        <f aca="false">IF($A2064="","",UPPER(TRIM(Base_Bruta!M2064)))</f>
        <v>MG</v>
      </c>
      <c r="O2064" s="4" t="str">
        <f aca="false">IF($A2064="","",_xlfn.XLOOKUP(LOWER(TRIM(Base_Bruta!N2064)),DePara_Pais!$A$2:$A$9,DePara_Pais!$B$2:$B$9,"REVISAR"))</f>
        <v>Brasil</v>
      </c>
      <c r="P2064" s="4" t="str">
        <f aca="false">IF($A2064="","",IF(O2064&lt;&gt;"Brasil","Turista Internacional",IF(M2064=F2064,"Local","Turista Nacional")))</f>
        <v>Local</v>
      </c>
      <c r="Q2064" s="7" t="n">
        <f aca="false">IF($A2064="","",DATE(YEAR(B2064),MONTH(B2064),1))</f>
        <v>46082</v>
      </c>
      <c r="R2064" s="4" t="str">
        <f aca="false">IF($A2064="","",IF(COUNTIF($A$2:$A2064,$A2064)&gt;1,"Sim","Não"))</f>
        <v>Não</v>
      </c>
      <c r="S2064" s="4" t="str">
        <f aca="false">IF(A2064="","Descartar - Linha vazia",IF(R2064="Sim","Descartar - Duplicado",IF(OR(H2064&lt;=0,I2064&lt;=0),"Descartar - Qtd/Valor inválido","OK")))</f>
        <v>OK</v>
      </c>
      <c r="T2064" s="4" t="str">
        <f aca="false">Base_Bruta!P2064</f>
        <v>vendas_MG.csv</v>
      </c>
    </row>
    <row r="2065" customFormat="false" ht="15" hidden="false" customHeight="false" outlineLevel="0" collapsed="false">
      <c r="A2065" s="4" t="str">
        <f aca="false">IF(Base_Bruta!A2065="","",Base_Bruta!A2065)</f>
        <v>MG-000528</v>
      </c>
      <c r="B2065" s="5" t="n">
        <f aca="false">IF($A2065="","",IF(ISNUMBER(Base_Bruta!B2065),Base_Bruta!B2065,IF(MID(Base_Bruta!B2065,5,1)="-",DATE(VALUE(LEFT(Base_Bruta!B2065,4)),VALUE(MID(Base_Bruta!B2065,6,2)),VALUE(RIGHT(Base_Bruta!B2065,2))),DATE(VALUE(RIGHT(Base_Bruta!B2065,4)),VALUE(MID(Base_Bruta!B2065,4,2)),VALUE(LEFT(Base_Bruta!B2065,2))))))</f>
        <v>46124</v>
      </c>
      <c r="C2065" s="5" t="n">
        <f aca="false">IF($A2065="","",IF(ISNUMBER(Base_Bruta!C2065),Base_Bruta!C2065,IF(MID(Base_Bruta!C2065,5,1)="-",DATE(VALUE(LEFT(Base_Bruta!C2065,4)),VALUE(MID(Base_Bruta!C2065,6,2)),VALUE(RIGHT(Base_Bruta!C2065,2))),DATE(VALUE(RIGHT(Base_Bruta!C2065,4)),VALUE(MID(Base_Bruta!C2065,4,2)),VALUE(LEFT(Base_Bruta!C2065,2))))))</f>
        <v>46124</v>
      </c>
      <c r="D2065" s="4" t="str">
        <f aca="false">IF($A2065="","",TRIM(Base_Bruta!D2065))</f>
        <v>Cinema Savassi - Sessões</v>
      </c>
      <c r="E2065" s="4" t="str">
        <f aca="false">IF($A2065="","",_xlfn.XLOOKUP(LOWER(TRIM(Base_Bruta!E2065)),DePara_Categoria!$A$2:$A$9,DePara_Categoria!$B$2:$B$9,"REVISAR"))</f>
        <v>Cinema</v>
      </c>
      <c r="F2065" s="4" t="str">
        <f aca="false">IF($A2065="","",_xlfn.XLOOKUP(LOWER(TRIM(Base_Bruta!F2065)),DePara_Cidade!$A$2:$A$29,DePara_Cidade!$B$2:$B$29,"REVISAR"))</f>
        <v>Belo Horizonte</v>
      </c>
      <c r="G2065" s="4" t="str">
        <f aca="false">IF($A2065="","",TRIM(Base_Bruta!G2065))</f>
        <v>Meia</v>
      </c>
      <c r="H2065" s="4" t="n">
        <f aca="false">IF($A2065="","",IF(ISNUMBER(Base_Bruta!H2065),Base_Bruta!H2065,IFERROR(_xlfn.NUMBERVALUE(TRIM(SUBSTITUTE(Base_Bruta!H2065,"R$","")),",","."),0)))</f>
        <v>2</v>
      </c>
      <c r="I2065" s="6" t="n">
        <f aca="false">IF($A2065="","",IF(ISNUMBER(Base_Bruta!I2065),Base_Bruta!I2065,IFERROR(_xlfn.NUMBERVALUE(TRIM(SUBSTITUTE(Base_Bruta!I2065,"R$","")),",","."),0)))</f>
        <v>17.5</v>
      </c>
      <c r="J2065" s="6" t="n">
        <f aca="false">IF($A2065="","",H2065*I2065)</f>
        <v>35</v>
      </c>
      <c r="K2065" s="4" t="str">
        <f aca="false">IF($A2065="","",TRIM(Base_Bruta!J2065))</f>
        <v>Bilheteria</v>
      </c>
      <c r="L2065" s="4" t="str">
        <f aca="false">IF($A2065="","",TRIM(Base_Bruta!K2065))</f>
        <v>C01966</v>
      </c>
      <c r="M2065" s="4" t="str">
        <f aca="false">IF($A2065="","",_xlfn.XLOOKUP(LOWER(TRIM(Base_Bruta!L2065)),DePara_Cidade!$A$2:$A$29,DePara_Cidade!$B$2:$B$29,"REVISAR"))</f>
        <v>Belo Horizonte</v>
      </c>
      <c r="N2065" s="4" t="str">
        <f aca="false">IF($A2065="","",UPPER(TRIM(Base_Bruta!M2065)))</f>
        <v>MG</v>
      </c>
      <c r="O2065" s="4" t="str">
        <f aca="false">IF($A2065="","",_xlfn.XLOOKUP(LOWER(TRIM(Base_Bruta!N2065)),DePara_Pais!$A$2:$A$9,DePara_Pais!$B$2:$B$9,"REVISAR"))</f>
        <v>Brasil</v>
      </c>
      <c r="P2065" s="4" t="str">
        <f aca="false">IF($A2065="","",IF(O2065&lt;&gt;"Brasil","Turista Internacional",IF(M2065=F2065,"Local","Turista Nacional")))</f>
        <v>Local</v>
      </c>
      <c r="Q2065" s="7" t="n">
        <f aca="false">IF($A2065="","",DATE(YEAR(B2065),MONTH(B2065),1))</f>
        <v>46113</v>
      </c>
      <c r="R2065" s="4" t="str">
        <f aca="false">IF($A2065="","",IF(COUNTIF($A$2:$A2065,$A2065)&gt;1,"Sim","Não"))</f>
        <v>Não</v>
      </c>
      <c r="S2065" s="4" t="str">
        <f aca="false">IF(A2065="","Descartar - Linha vazia",IF(R2065="Sim","Descartar - Duplicado",IF(OR(H2065&lt;=0,I2065&lt;=0),"Descartar - Qtd/Valor inválido","OK")))</f>
        <v>OK</v>
      </c>
      <c r="T2065" s="4" t="str">
        <f aca="false">Base_Bruta!P2065</f>
        <v>vendas_MG.csv</v>
      </c>
    </row>
    <row r="2066" customFormat="false" ht="15" hidden="false" customHeight="false" outlineLevel="0" collapsed="false">
      <c r="A2066" s="4" t="str">
        <f aca="false">IF(Base_Bruta!A2066="","",Base_Bruta!A2066)</f>
        <v>MG-000511</v>
      </c>
      <c r="B2066" s="5" t="n">
        <f aca="false">IF($A2066="","",IF(ISNUMBER(Base_Bruta!B2066),Base_Bruta!B2066,IF(MID(Base_Bruta!B2066,5,1)="-",DATE(VALUE(LEFT(Base_Bruta!B2066,4)),VALUE(MID(Base_Bruta!B2066,6,2)),VALUE(RIGHT(Base_Bruta!B2066,2))),DATE(VALUE(RIGHT(Base_Bruta!B2066,4)),VALUE(MID(Base_Bruta!B2066,4,2)),VALUE(LEFT(Base_Bruta!B2066,2))))))</f>
        <v>46128</v>
      </c>
      <c r="C2066" s="5" t="n">
        <f aca="false">IF($A2066="","",IF(ISNUMBER(Base_Bruta!C2066),Base_Bruta!C2066,IF(MID(Base_Bruta!C2066,5,1)="-",DATE(VALUE(LEFT(Base_Bruta!C2066,4)),VALUE(MID(Base_Bruta!C2066,6,2)),VALUE(RIGHT(Base_Bruta!C2066,2))),DATE(VALUE(RIGHT(Base_Bruta!C2066,4)),VALUE(MID(Base_Bruta!C2066,4,2)),VALUE(LEFT(Base_Bruta!C2066,2))))))</f>
        <v>46131</v>
      </c>
      <c r="D2066" s="4" t="str">
        <f aca="false">IF($A2066="","",TRIM(Base_Bruta!D2066))</f>
        <v>Cinema Savassi - Sessões</v>
      </c>
      <c r="E2066" s="4" t="str">
        <f aca="false">IF($A2066="","",_xlfn.XLOOKUP(LOWER(TRIM(Base_Bruta!E2066)),DePara_Categoria!$A$2:$A$9,DePara_Categoria!$B$2:$B$9,"REVISAR"))</f>
        <v>Cinema</v>
      </c>
      <c r="F2066" s="4" t="str">
        <f aca="false">IF($A2066="","",_xlfn.XLOOKUP(LOWER(TRIM(Base_Bruta!F2066)),DePara_Cidade!$A$2:$A$29,DePara_Cidade!$B$2:$B$29,"REVISAR"))</f>
        <v>Belo Horizonte</v>
      </c>
      <c r="G2066" s="4" t="str">
        <f aca="false">IF($A2066="","",TRIM(Base_Bruta!G2066))</f>
        <v>Inteira</v>
      </c>
      <c r="H2066" s="4" t="n">
        <f aca="false">IF($A2066="","",IF(ISNUMBER(Base_Bruta!H2066),Base_Bruta!H2066,IFERROR(_xlfn.NUMBERVALUE(TRIM(SUBSTITUTE(Base_Bruta!H2066,"R$","")),",","."),0)))</f>
        <v>1</v>
      </c>
      <c r="I2066" s="6" t="n">
        <f aca="false">IF($A2066="","",IF(ISNUMBER(Base_Bruta!I2066),Base_Bruta!I2066,IFERROR(_xlfn.NUMBERVALUE(TRIM(SUBSTITUTE(Base_Bruta!I2066,"R$","")),",","."),0)))</f>
        <v>35</v>
      </c>
      <c r="J2066" s="6" t="n">
        <f aca="false">IF($A2066="","",H2066*I2066)</f>
        <v>35</v>
      </c>
      <c r="K2066" s="4" t="str">
        <f aca="false">IF($A2066="","",TRIM(Base_Bruta!J2066))</f>
        <v>App</v>
      </c>
      <c r="L2066" s="4" t="str">
        <f aca="false">IF($A2066="","",TRIM(Base_Bruta!K2066))</f>
        <v>C00945</v>
      </c>
      <c r="M2066" s="4" t="str">
        <f aca="false">IF($A2066="","",_xlfn.XLOOKUP(LOWER(TRIM(Base_Bruta!L2066)),DePara_Cidade!$A$2:$A$29,DePara_Cidade!$B$2:$B$29,"REVISAR"))</f>
        <v>Belo Horizonte</v>
      </c>
      <c r="N2066" s="4" t="str">
        <f aca="false">IF($A2066="","",UPPER(TRIM(Base_Bruta!M2066)))</f>
        <v>MG</v>
      </c>
      <c r="O2066" s="4" t="str">
        <f aca="false">IF($A2066="","",_xlfn.XLOOKUP(LOWER(TRIM(Base_Bruta!N2066)),DePara_Pais!$A$2:$A$9,DePara_Pais!$B$2:$B$9,"REVISAR"))</f>
        <v>Brasil</v>
      </c>
      <c r="P2066" s="4" t="str">
        <f aca="false">IF($A2066="","",IF(O2066&lt;&gt;"Brasil","Turista Internacional",IF(M2066=F2066,"Local","Turista Nacional")))</f>
        <v>Local</v>
      </c>
      <c r="Q2066" s="7" t="n">
        <f aca="false">IF($A2066="","",DATE(YEAR(B2066),MONTH(B2066),1))</f>
        <v>46113</v>
      </c>
      <c r="R2066" s="4" t="str">
        <f aca="false">IF($A2066="","",IF(COUNTIF($A$2:$A2066,$A2066)&gt;1,"Sim","Não"))</f>
        <v>Não</v>
      </c>
      <c r="S2066" s="4" t="str">
        <f aca="false">IF(A2066="","Descartar - Linha vazia",IF(R2066="Sim","Descartar - Duplicado",IF(OR(H2066&lt;=0,I2066&lt;=0),"Descartar - Qtd/Valor inválido","OK")))</f>
        <v>OK</v>
      </c>
      <c r="T2066" s="4" t="str">
        <f aca="false">Base_Bruta!P2066</f>
        <v>vendas_MG.csv</v>
      </c>
    </row>
    <row r="2067" customFormat="false" ht="15" hidden="false" customHeight="false" outlineLevel="0" collapsed="false">
      <c r="A2067" s="4" t="str">
        <f aca="false">IF(Base_Bruta!A2067="","",Base_Bruta!A2067)</f>
        <v>MG-000390</v>
      </c>
      <c r="B2067" s="5" t="n">
        <f aca="false">IF($A2067="","",IF(ISNUMBER(Base_Bruta!B2067),Base_Bruta!B2067,IF(MID(Base_Bruta!B2067,5,1)="-",DATE(VALUE(LEFT(Base_Bruta!B2067,4)),VALUE(MID(Base_Bruta!B2067,6,2)),VALUE(RIGHT(Base_Bruta!B2067,2))),DATE(VALUE(RIGHT(Base_Bruta!B2067,4)),VALUE(MID(Base_Bruta!B2067,4,2)),VALUE(LEFT(Base_Bruta!B2067,2))))))</f>
        <v>46131</v>
      </c>
      <c r="C2067" s="5" t="n">
        <f aca="false">IF($A2067="","",IF(ISNUMBER(Base_Bruta!C2067),Base_Bruta!C2067,IF(MID(Base_Bruta!C2067,5,1)="-",DATE(VALUE(LEFT(Base_Bruta!C2067,4)),VALUE(MID(Base_Bruta!C2067,6,2)),VALUE(RIGHT(Base_Bruta!C2067,2))),DATE(VALUE(RIGHT(Base_Bruta!C2067,4)),VALUE(MID(Base_Bruta!C2067,4,2)),VALUE(LEFT(Base_Bruta!C2067,2))))))</f>
        <v>46134</v>
      </c>
      <c r="D2067" s="4" t="str">
        <f aca="false">IF($A2067="","",TRIM(Base_Bruta!D2067))</f>
        <v>Cinema Savassi - Sessões</v>
      </c>
      <c r="E2067" s="4" t="str">
        <f aca="false">IF($A2067="","",_xlfn.XLOOKUP(LOWER(TRIM(Base_Bruta!E2067)),DePara_Categoria!$A$2:$A$9,DePara_Categoria!$B$2:$B$9,"REVISAR"))</f>
        <v>Cinema</v>
      </c>
      <c r="F2067" s="4" t="str">
        <f aca="false">IF($A2067="","",_xlfn.XLOOKUP(LOWER(TRIM(Base_Bruta!F2067)),DePara_Cidade!$A$2:$A$29,DePara_Cidade!$B$2:$B$29,"REVISAR"))</f>
        <v>Belo Horizonte</v>
      </c>
      <c r="G2067" s="4" t="str">
        <f aca="false">IF($A2067="","",TRIM(Base_Bruta!G2067))</f>
        <v>Inteira</v>
      </c>
      <c r="H2067" s="4" t="n">
        <f aca="false">IF($A2067="","",IF(ISNUMBER(Base_Bruta!H2067),Base_Bruta!H2067,IFERROR(_xlfn.NUMBERVALUE(TRIM(SUBSTITUTE(Base_Bruta!H2067,"R$","")),",","."),0)))</f>
        <v>3</v>
      </c>
      <c r="I2067" s="6" t="n">
        <f aca="false">IF($A2067="","",IF(ISNUMBER(Base_Bruta!I2067),Base_Bruta!I2067,IFERROR(_xlfn.NUMBERVALUE(TRIM(SUBSTITUTE(Base_Bruta!I2067,"R$","")),",","."),0)))</f>
        <v>40</v>
      </c>
      <c r="J2067" s="6" t="n">
        <f aca="false">IF($A2067="","",H2067*I2067)</f>
        <v>120</v>
      </c>
      <c r="K2067" s="4" t="str">
        <f aca="false">IF($A2067="","",TRIM(Base_Bruta!J2067))</f>
        <v>Bilheteria</v>
      </c>
      <c r="L2067" s="4" t="str">
        <f aca="false">IF($A2067="","",TRIM(Base_Bruta!K2067))</f>
        <v>C01114</v>
      </c>
      <c r="M2067" s="4" t="str">
        <f aca="false">IF($A2067="","",_xlfn.XLOOKUP(LOWER(TRIM(Base_Bruta!L2067)),DePara_Cidade!$A$2:$A$29,DePara_Cidade!$B$2:$B$29,"REVISAR"))</f>
        <v>Belo Horizonte</v>
      </c>
      <c r="N2067" s="4" t="str">
        <f aca="false">IF($A2067="","",UPPER(TRIM(Base_Bruta!M2067)))</f>
        <v>MG</v>
      </c>
      <c r="O2067" s="4" t="str">
        <f aca="false">IF($A2067="","",_xlfn.XLOOKUP(LOWER(TRIM(Base_Bruta!N2067)),DePara_Pais!$A$2:$A$9,DePara_Pais!$B$2:$B$9,"REVISAR"))</f>
        <v>Brasil</v>
      </c>
      <c r="P2067" s="4" t="str">
        <f aca="false">IF($A2067="","",IF(O2067&lt;&gt;"Brasil","Turista Internacional",IF(M2067=F2067,"Local","Turista Nacional")))</f>
        <v>Local</v>
      </c>
      <c r="Q2067" s="7" t="n">
        <f aca="false">IF($A2067="","",DATE(YEAR(B2067),MONTH(B2067),1))</f>
        <v>46113</v>
      </c>
      <c r="R2067" s="4" t="str">
        <f aca="false">IF($A2067="","",IF(COUNTIF($A$2:$A2067,$A2067)&gt;1,"Sim","Não"))</f>
        <v>Não</v>
      </c>
      <c r="S2067" s="4" t="str">
        <f aca="false">IF(A2067="","Descartar - Linha vazia",IF(R2067="Sim","Descartar - Duplicado",IF(OR(H2067&lt;=0,I2067&lt;=0),"Descartar - Qtd/Valor inválido","OK")))</f>
        <v>OK</v>
      </c>
      <c r="T2067" s="4" t="str">
        <f aca="false">Base_Bruta!P2067</f>
        <v>vendas_MG.csv</v>
      </c>
    </row>
    <row r="2068" customFormat="false" ht="15" hidden="false" customHeight="false" outlineLevel="0" collapsed="false">
      <c r="A2068" s="4" t="str">
        <f aca="false">IF(Base_Bruta!A2068="","",Base_Bruta!A2068)</f>
        <v>MG-000403</v>
      </c>
      <c r="B2068" s="5" t="n">
        <f aca="false">IF($A2068="","",IF(ISNUMBER(Base_Bruta!B2068),Base_Bruta!B2068,IF(MID(Base_Bruta!B2068,5,1)="-",DATE(VALUE(LEFT(Base_Bruta!B2068,4)),VALUE(MID(Base_Bruta!B2068,6,2)),VALUE(RIGHT(Base_Bruta!B2068,2))),DATE(VALUE(RIGHT(Base_Bruta!B2068,4)),VALUE(MID(Base_Bruta!B2068,4,2)),VALUE(LEFT(Base_Bruta!B2068,2))))))</f>
        <v>46133</v>
      </c>
      <c r="C2068" s="5" t="n">
        <f aca="false">IF($A2068="","",IF(ISNUMBER(Base_Bruta!C2068),Base_Bruta!C2068,IF(MID(Base_Bruta!C2068,5,1)="-",DATE(VALUE(LEFT(Base_Bruta!C2068,4)),VALUE(MID(Base_Bruta!C2068,6,2)),VALUE(RIGHT(Base_Bruta!C2068,2))),DATE(VALUE(RIGHT(Base_Bruta!C2068,4)),VALUE(MID(Base_Bruta!C2068,4,2)),VALUE(LEFT(Base_Bruta!C2068,2))))))</f>
        <v>46134</v>
      </c>
      <c r="D2068" s="4" t="str">
        <f aca="false">IF($A2068="","",TRIM(Base_Bruta!D2068))</f>
        <v>Cinema Savassi - Sessões</v>
      </c>
      <c r="E2068" s="4" t="str">
        <f aca="false">IF($A2068="","",_xlfn.XLOOKUP(LOWER(TRIM(Base_Bruta!E2068)),DePara_Categoria!$A$2:$A$9,DePara_Categoria!$B$2:$B$9,"REVISAR"))</f>
        <v>Cinema</v>
      </c>
      <c r="F2068" s="4" t="str">
        <f aca="false">IF($A2068="","",_xlfn.XLOOKUP(LOWER(TRIM(Base_Bruta!F2068)),DePara_Cidade!$A$2:$A$29,DePara_Cidade!$B$2:$B$29,"REVISAR"))</f>
        <v>Belo Horizonte</v>
      </c>
      <c r="G2068" s="4" t="str">
        <f aca="false">IF($A2068="","",TRIM(Base_Bruta!G2068))</f>
        <v>Inteira</v>
      </c>
      <c r="H2068" s="4" t="n">
        <f aca="false">IF($A2068="","",IF(ISNUMBER(Base_Bruta!H2068),Base_Bruta!H2068,IFERROR(_xlfn.NUMBERVALUE(TRIM(SUBSTITUTE(Base_Bruta!H2068,"R$","")),",","."),0)))</f>
        <v>3</v>
      </c>
      <c r="I2068" s="6" t="n">
        <f aca="false">IF($A2068="","",IF(ISNUMBER(Base_Bruta!I2068),Base_Bruta!I2068,IFERROR(_xlfn.NUMBERVALUE(TRIM(SUBSTITUTE(Base_Bruta!I2068,"R$","")),",","."),0)))</f>
        <v>35</v>
      </c>
      <c r="J2068" s="6" t="n">
        <f aca="false">IF($A2068="","",H2068*I2068)</f>
        <v>105</v>
      </c>
      <c r="K2068" s="4" t="str">
        <f aca="false">IF($A2068="","",TRIM(Base_Bruta!J2068))</f>
        <v>App</v>
      </c>
      <c r="L2068" s="4" t="str">
        <f aca="false">IF($A2068="","",TRIM(Base_Bruta!K2068))</f>
        <v>C02223</v>
      </c>
      <c r="M2068" s="4" t="str">
        <f aca="false">IF($A2068="","",_xlfn.XLOOKUP(LOWER(TRIM(Base_Bruta!L2068)),DePara_Cidade!$A$2:$A$29,DePara_Cidade!$B$2:$B$29,"REVISAR"))</f>
        <v>Belo Horizonte</v>
      </c>
      <c r="N2068" s="4" t="str">
        <f aca="false">IF($A2068="","",UPPER(TRIM(Base_Bruta!M2068)))</f>
        <v>MG</v>
      </c>
      <c r="O2068" s="4" t="str">
        <f aca="false">IF($A2068="","",_xlfn.XLOOKUP(LOWER(TRIM(Base_Bruta!N2068)),DePara_Pais!$A$2:$A$9,DePara_Pais!$B$2:$B$9,"REVISAR"))</f>
        <v>Brasil</v>
      </c>
      <c r="P2068" s="4" t="str">
        <f aca="false">IF($A2068="","",IF(O2068&lt;&gt;"Brasil","Turista Internacional",IF(M2068=F2068,"Local","Turista Nacional")))</f>
        <v>Local</v>
      </c>
      <c r="Q2068" s="7" t="n">
        <f aca="false">IF($A2068="","",DATE(YEAR(B2068),MONTH(B2068),1))</f>
        <v>46113</v>
      </c>
      <c r="R2068" s="4" t="str">
        <f aca="false">IF($A2068="","",IF(COUNTIF($A$2:$A2068,$A2068)&gt;1,"Sim","Não"))</f>
        <v>Não</v>
      </c>
      <c r="S2068" s="4" t="str">
        <f aca="false">IF(A2068="","Descartar - Linha vazia",IF(R2068="Sim","Descartar - Duplicado",IF(OR(H2068&lt;=0,I2068&lt;=0),"Descartar - Qtd/Valor inválido","OK")))</f>
        <v>OK</v>
      </c>
      <c r="T2068" s="4" t="str">
        <f aca="false">Base_Bruta!P2068</f>
        <v>vendas_MG.csv</v>
      </c>
    </row>
    <row r="2069" customFormat="false" ht="15" hidden="false" customHeight="false" outlineLevel="0" collapsed="false">
      <c r="A2069" s="4" t="str">
        <f aca="false">IF(Base_Bruta!A2069="","",Base_Bruta!A2069)</f>
        <v>MG-000512</v>
      </c>
      <c r="B2069" s="5" t="n">
        <f aca="false">IF($A2069="","",IF(ISNUMBER(Base_Bruta!B2069),Base_Bruta!B2069,IF(MID(Base_Bruta!B2069,5,1)="-",DATE(VALUE(LEFT(Base_Bruta!B2069,4)),VALUE(MID(Base_Bruta!B2069,6,2)),VALUE(RIGHT(Base_Bruta!B2069,2))),DATE(VALUE(RIGHT(Base_Bruta!B2069,4)),VALUE(MID(Base_Bruta!B2069,4,2)),VALUE(LEFT(Base_Bruta!B2069,2))))))</f>
        <v>46139</v>
      </c>
      <c r="C2069" s="5" t="n">
        <f aca="false">IF($A2069="","",IF(ISNUMBER(Base_Bruta!C2069),Base_Bruta!C2069,IF(MID(Base_Bruta!C2069,5,1)="-",DATE(VALUE(LEFT(Base_Bruta!C2069,4)),VALUE(MID(Base_Bruta!C2069,6,2)),VALUE(RIGHT(Base_Bruta!C2069,2))),DATE(VALUE(RIGHT(Base_Bruta!C2069,4)),VALUE(MID(Base_Bruta!C2069,4,2)),VALUE(LEFT(Base_Bruta!C2069,2))))))</f>
        <v>46141</v>
      </c>
      <c r="D2069" s="4" t="str">
        <f aca="false">IF($A2069="","",TRIM(Base_Bruta!D2069))</f>
        <v>Cinema Savassi - Sessões</v>
      </c>
      <c r="E2069" s="4" t="str">
        <f aca="false">IF($A2069="","",_xlfn.XLOOKUP(LOWER(TRIM(Base_Bruta!E2069)),DePara_Categoria!$A$2:$A$9,DePara_Categoria!$B$2:$B$9,"REVISAR"))</f>
        <v>Cinema</v>
      </c>
      <c r="F2069" s="4" t="str">
        <f aca="false">IF($A2069="","",_xlfn.XLOOKUP(LOWER(TRIM(Base_Bruta!F2069)),DePara_Cidade!$A$2:$A$29,DePara_Cidade!$B$2:$B$29,"REVISAR"))</f>
        <v>Belo Horizonte</v>
      </c>
      <c r="G2069" s="4" t="str">
        <f aca="false">IF($A2069="","",TRIM(Base_Bruta!G2069))</f>
        <v>Meia</v>
      </c>
      <c r="H2069" s="4" t="n">
        <f aca="false">IF($A2069="","",IF(ISNUMBER(Base_Bruta!H2069),Base_Bruta!H2069,IFERROR(_xlfn.NUMBERVALUE(TRIM(SUBSTITUTE(Base_Bruta!H2069,"R$","")),",","."),0)))</f>
        <v>1</v>
      </c>
      <c r="I2069" s="6" t="n">
        <f aca="false">IF($A2069="","",IF(ISNUMBER(Base_Bruta!I2069),Base_Bruta!I2069,IFERROR(_xlfn.NUMBERVALUE(TRIM(SUBSTITUTE(Base_Bruta!I2069,"R$","")),",","."),0)))</f>
        <v>22.5</v>
      </c>
      <c r="J2069" s="6" t="n">
        <f aca="false">IF($A2069="","",H2069*I2069)</f>
        <v>22.5</v>
      </c>
      <c r="K2069" s="4" t="str">
        <f aca="false">IF($A2069="","",TRIM(Base_Bruta!J2069))</f>
        <v>App</v>
      </c>
      <c r="L2069" s="4" t="str">
        <f aca="false">IF($A2069="","",TRIM(Base_Bruta!K2069))</f>
        <v>C01351</v>
      </c>
      <c r="M2069" s="4" t="str">
        <f aca="false">IF($A2069="","",_xlfn.XLOOKUP(LOWER(TRIM(Base_Bruta!L2069)),DePara_Cidade!$A$2:$A$29,DePara_Cidade!$B$2:$B$29,"REVISAR"))</f>
        <v>Belo Horizonte</v>
      </c>
      <c r="N2069" s="4" t="str">
        <f aca="false">IF($A2069="","",UPPER(TRIM(Base_Bruta!M2069)))</f>
        <v>MG</v>
      </c>
      <c r="O2069" s="4" t="str">
        <f aca="false">IF($A2069="","",_xlfn.XLOOKUP(LOWER(TRIM(Base_Bruta!N2069)),DePara_Pais!$A$2:$A$9,DePara_Pais!$B$2:$B$9,"REVISAR"))</f>
        <v>Brasil</v>
      </c>
      <c r="P2069" s="4" t="str">
        <f aca="false">IF($A2069="","",IF(O2069&lt;&gt;"Brasil","Turista Internacional",IF(M2069=F2069,"Local","Turista Nacional")))</f>
        <v>Local</v>
      </c>
      <c r="Q2069" s="7" t="n">
        <f aca="false">IF($A2069="","",DATE(YEAR(B2069),MONTH(B2069),1))</f>
        <v>46113</v>
      </c>
      <c r="R2069" s="4" t="str">
        <f aca="false">IF($A2069="","",IF(COUNTIF($A$2:$A2069,$A2069)&gt;1,"Sim","Não"))</f>
        <v>Não</v>
      </c>
      <c r="S2069" s="4" t="str">
        <f aca="false">IF(A2069="","Descartar - Linha vazia",IF(R2069="Sim","Descartar - Duplicado",IF(OR(H2069&lt;=0,I2069&lt;=0),"Descartar - Qtd/Valor inválido","OK")))</f>
        <v>OK</v>
      </c>
      <c r="T2069" s="4" t="str">
        <f aca="false">Base_Bruta!P2069</f>
        <v>vendas_MG.csv</v>
      </c>
    </row>
    <row r="2070" customFormat="false" ht="15" hidden="false" customHeight="false" outlineLevel="0" collapsed="false">
      <c r="A2070" s="4" t="str">
        <f aca="false">IF(Base_Bruta!A2070="","",Base_Bruta!A2070)</f>
        <v>MG-000392</v>
      </c>
      <c r="B2070" s="5" t="n">
        <f aca="false">IF($A2070="","",IF(ISNUMBER(Base_Bruta!B2070),Base_Bruta!B2070,IF(MID(Base_Bruta!B2070,5,1)="-",DATE(VALUE(LEFT(Base_Bruta!B2070,4)),VALUE(MID(Base_Bruta!B2070,6,2)),VALUE(RIGHT(Base_Bruta!B2070,2))),DATE(VALUE(RIGHT(Base_Bruta!B2070,4)),VALUE(MID(Base_Bruta!B2070,4,2)),VALUE(LEFT(Base_Bruta!B2070,2))))))</f>
        <v>46145</v>
      </c>
      <c r="C2070" s="5" t="n">
        <f aca="false">IF($A2070="","",IF(ISNUMBER(Base_Bruta!C2070),Base_Bruta!C2070,IF(MID(Base_Bruta!C2070,5,1)="-",DATE(VALUE(LEFT(Base_Bruta!C2070,4)),VALUE(MID(Base_Bruta!C2070,6,2)),VALUE(RIGHT(Base_Bruta!C2070,2))),DATE(VALUE(RIGHT(Base_Bruta!C2070,4)),VALUE(MID(Base_Bruta!C2070,4,2)),VALUE(LEFT(Base_Bruta!C2070,2))))))</f>
        <v>46148</v>
      </c>
      <c r="D2070" s="4" t="str">
        <f aca="false">IF($A2070="","",TRIM(Base_Bruta!D2070))</f>
        <v>Cinema Savassi - Sessões</v>
      </c>
      <c r="E2070" s="4" t="str">
        <f aca="false">IF($A2070="","",_xlfn.XLOOKUP(LOWER(TRIM(Base_Bruta!E2070)),DePara_Categoria!$A$2:$A$9,DePara_Categoria!$B$2:$B$9,"REVISAR"))</f>
        <v>Cinema</v>
      </c>
      <c r="F2070" s="4" t="str">
        <f aca="false">IF($A2070="","",_xlfn.XLOOKUP(LOWER(TRIM(Base_Bruta!F2070)),DePara_Cidade!$A$2:$A$29,DePara_Cidade!$B$2:$B$29,"REVISAR"))</f>
        <v>Belo Horizonte</v>
      </c>
      <c r="G2070" s="4" t="str">
        <f aca="false">IF($A2070="","",TRIM(Base_Bruta!G2070))</f>
        <v>Meia</v>
      </c>
      <c r="H2070" s="4" t="n">
        <f aca="false">IF($A2070="","",IF(ISNUMBER(Base_Bruta!H2070),Base_Bruta!H2070,IFERROR(_xlfn.NUMBERVALUE(TRIM(SUBSTITUTE(Base_Bruta!H2070,"R$","")),",","."),0)))</f>
        <v>2</v>
      </c>
      <c r="I2070" s="6" t="n">
        <f aca="false">IF($A2070="","",IF(ISNUMBER(Base_Bruta!I2070),Base_Bruta!I2070,IFERROR(_xlfn.NUMBERVALUE(TRIM(SUBSTITUTE(Base_Bruta!I2070,"R$","")),",","."),0)))</f>
        <v>22.5</v>
      </c>
      <c r="J2070" s="6" t="n">
        <f aca="false">IF($A2070="","",H2070*I2070)</f>
        <v>45</v>
      </c>
      <c r="K2070" s="4" t="str">
        <f aca="false">IF($A2070="","",TRIM(Base_Bruta!J2070))</f>
        <v>Site</v>
      </c>
      <c r="L2070" s="4" t="str">
        <f aca="false">IF($A2070="","",TRIM(Base_Bruta!K2070))</f>
        <v>C01809</v>
      </c>
      <c r="M2070" s="4" t="str">
        <f aca="false">IF($A2070="","",_xlfn.XLOOKUP(LOWER(TRIM(Base_Bruta!L2070)),DePara_Cidade!$A$2:$A$29,DePara_Cidade!$B$2:$B$29,"REVISAR"))</f>
        <v>Belo Horizonte</v>
      </c>
      <c r="N2070" s="4" t="str">
        <f aca="false">IF($A2070="","",UPPER(TRIM(Base_Bruta!M2070)))</f>
        <v>MG</v>
      </c>
      <c r="O2070" s="4" t="str">
        <f aca="false">IF($A2070="","",_xlfn.XLOOKUP(LOWER(TRIM(Base_Bruta!N2070)),DePara_Pais!$A$2:$A$9,DePara_Pais!$B$2:$B$9,"REVISAR"))</f>
        <v>Brasil</v>
      </c>
      <c r="P2070" s="4" t="str">
        <f aca="false">IF($A2070="","",IF(O2070&lt;&gt;"Brasil","Turista Internacional",IF(M2070=F2070,"Local","Turista Nacional")))</f>
        <v>Local</v>
      </c>
      <c r="Q2070" s="7" t="n">
        <f aca="false">IF($A2070="","",DATE(YEAR(B2070),MONTH(B2070),1))</f>
        <v>46143</v>
      </c>
      <c r="R2070" s="4" t="str">
        <f aca="false">IF($A2070="","",IF(COUNTIF($A$2:$A2070,$A2070)&gt;1,"Sim","Não"))</f>
        <v>Não</v>
      </c>
      <c r="S2070" s="4" t="str">
        <f aca="false">IF(A2070="","Descartar - Linha vazia",IF(R2070="Sim","Descartar - Duplicado",IF(OR(H2070&lt;=0,I2070&lt;=0),"Descartar - Qtd/Valor inválido","OK")))</f>
        <v>OK</v>
      </c>
      <c r="T2070" s="4" t="str">
        <f aca="false">Base_Bruta!P2070</f>
        <v>vendas_MG.csv</v>
      </c>
    </row>
    <row r="2071" customFormat="false" ht="15" hidden="false" customHeight="false" outlineLevel="0" collapsed="false">
      <c r="A2071" s="4" t="str">
        <f aca="false">IF(Base_Bruta!A2071="","",Base_Bruta!A2071)</f>
        <v>MG-000490</v>
      </c>
      <c r="B2071" s="5" t="n">
        <f aca="false">IF($A2071="","",IF(ISNUMBER(Base_Bruta!B2071),Base_Bruta!B2071,IF(MID(Base_Bruta!B2071,5,1)="-",DATE(VALUE(LEFT(Base_Bruta!B2071,4)),VALUE(MID(Base_Bruta!B2071,6,2)),VALUE(RIGHT(Base_Bruta!B2071,2))),DATE(VALUE(RIGHT(Base_Bruta!B2071,4)),VALUE(MID(Base_Bruta!B2071,4,2)),VALUE(LEFT(Base_Bruta!B2071,2))))))</f>
        <v>46145</v>
      </c>
      <c r="C2071" s="5" t="n">
        <f aca="false">IF($A2071="","",IF(ISNUMBER(Base_Bruta!C2071),Base_Bruta!C2071,IF(MID(Base_Bruta!C2071,5,1)="-",DATE(VALUE(LEFT(Base_Bruta!C2071,4)),VALUE(MID(Base_Bruta!C2071,6,2)),VALUE(RIGHT(Base_Bruta!C2071,2))),DATE(VALUE(RIGHT(Base_Bruta!C2071,4)),VALUE(MID(Base_Bruta!C2071,4,2)),VALUE(LEFT(Base_Bruta!C2071,2))))))</f>
        <v>46145</v>
      </c>
      <c r="D2071" s="4" t="str">
        <f aca="false">IF($A2071="","",TRIM(Base_Bruta!D2071))</f>
        <v>Cinema Savassi - Sessões</v>
      </c>
      <c r="E2071" s="4" t="str">
        <f aca="false">IF($A2071="","",_xlfn.XLOOKUP(LOWER(TRIM(Base_Bruta!E2071)),DePara_Categoria!$A$2:$A$9,DePara_Categoria!$B$2:$B$9,"REVISAR"))</f>
        <v>Cinema</v>
      </c>
      <c r="F2071" s="4" t="str">
        <f aca="false">IF($A2071="","",_xlfn.XLOOKUP(LOWER(TRIM(Base_Bruta!F2071)),DePara_Cidade!$A$2:$A$29,DePara_Cidade!$B$2:$B$29,"REVISAR"))</f>
        <v>Belo Horizonte</v>
      </c>
      <c r="G2071" s="4" t="str">
        <f aca="false">IF($A2071="","",TRIM(Base_Bruta!G2071))</f>
        <v>Meia</v>
      </c>
      <c r="H2071" s="4" t="n">
        <f aca="false">IF($A2071="","",IF(ISNUMBER(Base_Bruta!H2071),Base_Bruta!H2071,IFERROR(_xlfn.NUMBERVALUE(TRIM(SUBSTITUTE(Base_Bruta!H2071,"R$","")),",","."),0)))</f>
        <v>1</v>
      </c>
      <c r="I2071" s="6" t="n">
        <f aca="false">IF($A2071="","",IF(ISNUMBER(Base_Bruta!I2071),Base_Bruta!I2071,IFERROR(_xlfn.NUMBERVALUE(TRIM(SUBSTITUTE(Base_Bruta!I2071,"R$","")),",","."),0)))</f>
        <v>22.5</v>
      </c>
      <c r="J2071" s="6" t="n">
        <f aca="false">IF($A2071="","",H2071*I2071)</f>
        <v>22.5</v>
      </c>
      <c r="K2071" s="4" t="str">
        <f aca="false">IF($A2071="","",TRIM(Base_Bruta!J2071))</f>
        <v>Site</v>
      </c>
      <c r="L2071" s="4" t="str">
        <f aca="false">IF($A2071="","",TRIM(Base_Bruta!K2071))</f>
        <v>C02247</v>
      </c>
      <c r="M2071" s="4" t="str">
        <f aca="false">IF($A2071="","",_xlfn.XLOOKUP(LOWER(TRIM(Base_Bruta!L2071)),DePara_Cidade!$A$2:$A$29,DePara_Cidade!$B$2:$B$29,"REVISAR"))</f>
        <v>Belo Horizonte</v>
      </c>
      <c r="N2071" s="4" t="str">
        <f aca="false">IF($A2071="","",UPPER(TRIM(Base_Bruta!M2071)))</f>
        <v>MG</v>
      </c>
      <c r="O2071" s="4" t="str">
        <f aca="false">IF($A2071="","",_xlfn.XLOOKUP(LOWER(TRIM(Base_Bruta!N2071)),DePara_Pais!$A$2:$A$9,DePara_Pais!$B$2:$B$9,"REVISAR"))</f>
        <v>Brasil</v>
      </c>
      <c r="P2071" s="4" t="str">
        <f aca="false">IF($A2071="","",IF(O2071&lt;&gt;"Brasil","Turista Internacional",IF(M2071=F2071,"Local","Turista Nacional")))</f>
        <v>Local</v>
      </c>
      <c r="Q2071" s="7" t="n">
        <f aca="false">IF($A2071="","",DATE(YEAR(B2071),MONTH(B2071),1))</f>
        <v>46143</v>
      </c>
      <c r="R2071" s="4" t="str">
        <f aca="false">IF($A2071="","",IF(COUNTIF($A$2:$A2071,$A2071)&gt;1,"Sim","Não"))</f>
        <v>Não</v>
      </c>
      <c r="S2071" s="4" t="str">
        <f aca="false">IF(A2071="","Descartar - Linha vazia",IF(R2071="Sim","Descartar - Duplicado",IF(OR(H2071&lt;=0,I2071&lt;=0),"Descartar - Qtd/Valor inválido","OK")))</f>
        <v>OK</v>
      </c>
      <c r="T2071" s="4" t="str">
        <f aca="false">Base_Bruta!P2071</f>
        <v>vendas_MG.csv</v>
      </c>
    </row>
    <row r="2072" customFormat="false" ht="15" hidden="false" customHeight="false" outlineLevel="0" collapsed="false">
      <c r="A2072" s="4" t="str">
        <f aca="false">IF(Base_Bruta!A2072="","",Base_Bruta!A2072)</f>
        <v>MG-000437</v>
      </c>
      <c r="B2072" s="5" t="n">
        <f aca="false">IF($A2072="","",IF(ISNUMBER(Base_Bruta!B2072),Base_Bruta!B2072,IF(MID(Base_Bruta!B2072,5,1)="-",DATE(VALUE(LEFT(Base_Bruta!B2072,4)),VALUE(MID(Base_Bruta!B2072,6,2)),VALUE(RIGHT(Base_Bruta!B2072,2))),DATE(VALUE(RIGHT(Base_Bruta!B2072,4)),VALUE(MID(Base_Bruta!B2072,4,2)),VALUE(LEFT(Base_Bruta!B2072,2))))))</f>
        <v>46149</v>
      </c>
      <c r="C2072" s="5" t="n">
        <f aca="false">IF($A2072="","",IF(ISNUMBER(Base_Bruta!C2072),Base_Bruta!C2072,IF(MID(Base_Bruta!C2072,5,1)="-",DATE(VALUE(LEFT(Base_Bruta!C2072,4)),VALUE(MID(Base_Bruta!C2072,6,2)),VALUE(RIGHT(Base_Bruta!C2072,2))),DATE(VALUE(RIGHT(Base_Bruta!C2072,4)),VALUE(MID(Base_Bruta!C2072,4,2)),VALUE(LEFT(Base_Bruta!C2072,2))))))</f>
        <v>46150</v>
      </c>
      <c r="D2072" s="4" t="str">
        <f aca="false">IF($A2072="","",TRIM(Base_Bruta!D2072))</f>
        <v>Cinema Savassi - Sessões</v>
      </c>
      <c r="E2072" s="4" t="str">
        <f aca="false">IF($A2072="","",_xlfn.XLOOKUP(LOWER(TRIM(Base_Bruta!E2072)),DePara_Categoria!$A$2:$A$9,DePara_Categoria!$B$2:$B$9,"REVISAR"))</f>
        <v>Cinema</v>
      </c>
      <c r="F2072" s="4" t="str">
        <f aca="false">IF($A2072="","",_xlfn.XLOOKUP(LOWER(TRIM(Base_Bruta!F2072)),DePara_Cidade!$A$2:$A$29,DePara_Cidade!$B$2:$B$29,"REVISAR"))</f>
        <v>Belo Horizonte</v>
      </c>
      <c r="G2072" s="4" t="str">
        <f aca="false">IF($A2072="","",TRIM(Base_Bruta!G2072))</f>
        <v>Inteira</v>
      </c>
      <c r="H2072" s="4" t="n">
        <f aca="false">IF($A2072="","",IF(ISNUMBER(Base_Bruta!H2072),Base_Bruta!H2072,IFERROR(_xlfn.NUMBERVALUE(TRIM(SUBSTITUTE(Base_Bruta!H2072,"R$","")),",","."),0)))</f>
        <v>2</v>
      </c>
      <c r="I2072" s="6" t="n">
        <f aca="false">IF($A2072="","",IF(ISNUMBER(Base_Bruta!I2072),Base_Bruta!I2072,IFERROR(_xlfn.NUMBERVALUE(TRIM(SUBSTITUTE(Base_Bruta!I2072,"R$","")),",","."),0)))</f>
        <v>35</v>
      </c>
      <c r="J2072" s="6" t="n">
        <f aca="false">IF($A2072="","",H2072*I2072)</f>
        <v>70</v>
      </c>
      <c r="K2072" s="4" t="str">
        <f aca="false">IF($A2072="","",TRIM(Base_Bruta!J2072))</f>
        <v>Bilheteria</v>
      </c>
      <c r="L2072" s="4" t="str">
        <f aca="false">IF($A2072="","",TRIM(Base_Bruta!K2072))</f>
        <v>C01665</v>
      </c>
      <c r="M2072" s="4" t="str">
        <f aca="false">IF($A2072="","",_xlfn.XLOOKUP(LOWER(TRIM(Base_Bruta!L2072)),DePara_Cidade!$A$2:$A$29,DePara_Cidade!$B$2:$B$29,"REVISAR"))</f>
        <v>Belo Horizonte</v>
      </c>
      <c r="N2072" s="4" t="str">
        <f aca="false">IF($A2072="","",UPPER(TRIM(Base_Bruta!M2072)))</f>
        <v>MG</v>
      </c>
      <c r="O2072" s="4" t="str">
        <f aca="false">IF($A2072="","",_xlfn.XLOOKUP(LOWER(TRIM(Base_Bruta!N2072)),DePara_Pais!$A$2:$A$9,DePara_Pais!$B$2:$B$9,"REVISAR"))</f>
        <v>Brasil</v>
      </c>
      <c r="P2072" s="4" t="str">
        <f aca="false">IF($A2072="","",IF(O2072&lt;&gt;"Brasil","Turista Internacional",IF(M2072=F2072,"Local","Turista Nacional")))</f>
        <v>Local</v>
      </c>
      <c r="Q2072" s="7" t="n">
        <f aca="false">IF($A2072="","",DATE(YEAR(B2072),MONTH(B2072),1))</f>
        <v>46143</v>
      </c>
      <c r="R2072" s="4" t="str">
        <f aca="false">IF($A2072="","",IF(COUNTIF($A$2:$A2072,$A2072)&gt;1,"Sim","Não"))</f>
        <v>Não</v>
      </c>
      <c r="S2072" s="4" t="str">
        <f aca="false">IF(A2072="","Descartar - Linha vazia",IF(R2072="Sim","Descartar - Duplicado",IF(OR(H2072&lt;=0,I2072&lt;=0),"Descartar - Qtd/Valor inválido","OK")))</f>
        <v>OK</v>
      </c>
      <c r="T2072" s="4" t="str">
        <f aca="false">Base_Bruta!P2072</f>
        <v>vendas_MG.csv</v>
      </c>
    </row>
    <row r="2073" customFormat="false" ht="15" hidden="false" customHeight="false" outlineLevel="0" collapsed="false">
      <c r="A2073" s="4" t="str">
        <f aca="false">IF(Base_Bruta!A2073="","",Base_Bruta!A2073)</f>
        <v>MG-000465</v>
      </c>
      <c r="B2073" s="5" t="n">
        <f aca="false">IF($A2073="","",IF(ISNUMBER(Base_Bruta!B2073),Base_Bruta!B2073,IF(MID(Base_Bruta!B2073,5,1)="-",DATE(VALUE(LEFT(Base_Bruta!B2073,4)),VALUE(MID(Base_Bruta!B2073,6,2)),VALUE(RIGHT(Base_Bruta!B2073,2))),DATE(VALUE(RIGHT(Base_Bruta!B2073,4)),VALUE(MID(Base_Bruta!B2073,4,2)),VALUE(LEFT(Base_Bruta!B2073,2))))))</f>
        <v>46152</v>
      </c>
      <c r="C2073" s="5" t="n">
        <f aca="false">IF($A2073="","",IF(ISNUMBER(Base_Bruta!C2073),Base_Bruta!C2073,IF(MID(Base_Bruta!C2073,5,1)="-",DATE(VALUE(LEFT(Base_Bruta!C2073,4)),VALUE(MID(Base_Bruta!C2073,6,2)),VALUE(RIGHT(Base_Bruta!C2073,2))),DATE(VALUE(RIGHT(Base_Bruta!C2073,4)),VALUE(MID(Base_Bruta!C2073,4,2)),VALUE(LEFT(Base_Bruta!C2073,2))))))</f>
        <v>46155</v>
      </c>
      <c r="D2073" s="4" t="str">
        <f aca="false">IF($A2073="","",TRIM(Base_Bruta!D2073))</f>
        <v>Cinema Savassi - Sessões</v>
      </c>
      <c r="E2073" s="4" t="str">
        <f aca="false">IF($A2073="","",_xlfn.XLOOKUP(LOWER(TRIM(Base_Bruta!E2073)),DePara_Categoria!$A$2:$A$9,DePara_Categoria!$B$2:$B$9,"REVISAR"))</f>
        <v>Cinema</v>
      </c>
      <c r="F2073" s="4" t="str">
        <f aca="false">IF($A2073="","",_xlfn.XLOOKUP(LOWER(TRIM(Base_Bruta!F2073)),DePara_Cidade!$A$2:$A$29,DePara_Cidade!$B$2:$B$29,"REVISAR"))</f>
        <v>Belo Horizonte</v>
      </c>
      <c r="G2073" s="4" t="str">
        <f aca="false">IF($A2073="","",TRIM(Base_Bruta!G2073))</f>
        <v>Inteira</v>
      </c>
      <c r="H2073" s="4" t="n">
        <f aca="false">IF($A2073="","",IF(ISNUMBER(Base_Bruta!H2073),Base_Bruta!H2073,IFERROR(_xlfn.NUMBERVALUE(TRIM(SUBSTITUTE(Base_Bruta!H2073,"R$","")),",","."),0)))</f>
        <v>2</v>
      </c>
      <c r="I2073" s="6" t="n">
        <f aca="false">IF($A2073="","",IF(ISNUMBER(Base_Bruta!I2073),Base_Bruta!I2073,IFERROR(_xlfn.NUMBERVALUE(TRIM(SUBSTITUTE(Base_Bruta!I2073,"R$","")),",","."),0)))</f>
        <v>40</v>
      </c>
      <c r="J2073" s="6" t="n">
        <f aca="false">IF($A2073="","",H2073*I2073)</f>
        <v>80</v>
      </c>
      <c r="K2073" s="4" t="str">
        <f aca="false">IF($A2073="","",TRIM(Base_Bruta!J2073))</f>
        <v>App</v>
      </c>
      <c r="L2073" s="4" t="str">
        <f aca="false">IF($A2073="","",TRIM(Base_Bruta!K2073))</f>
        <v>C02303</v>
      </c>
      <c r="M2073" s="4" t="str">
        <f aca="false">IF($A2073="","",_xlfn.XLOOKUP(LOWER(TRIM(Base_Bruta!L2073)),DePara_Cidade!$A$2:$A$29,DePara_Cidade!$B$2:$B$29,"REVISAR"))</f>
        <v>Belo Horizonte</v>
      </c>
      <c r="N2073" s="4" t="str">
        <f aca="false">IF($A2073="","",UPPER(TRIM(Base_Bruta!M2073)))</f>
        <v>MG</v>
      </c>
      <c r="O2073" s="4" t="str">
        <f aca="false">IF($A2073="","",_xlfn.XLOOKUP(LOWER(TRIM(Base_Bruta!N2073)),DePara_Pais!$A$2:$A$9,DePara_Pais!$B$2:$B$9,"REVISAR"))</f>
        <v>Brasil</v>
      </c>
      <c r="P2073" s="4" t="str">
        <f aca="false">IF($A2073="","",IF(O2073&lt;&gt;"Brasil","Turista Internacional",IF(M2073=F2073,"Local","Turista Nacional")))</f>
        <v>Local</v>
      </c>
      <c r="Q2073" s="7" t="n">
        <f aca="false">IF($A2073="","",DATE(YEAR(B2073),MONTH(B2073),1))</f>
        <v>46143</v>
      </c>
      <c r="R2073" s="4" t="str">
        <f aca="false">IF($A2073="","",IF(COUNTIF($A$2:$A2073,$A2073)&gt;1,"Sim","Não"))</f>
        <v>Não</v>
      </c>
      <c r="S2073" s="4" t="str">
        <f aca="false">IF(A2073="","Descartar - Linha vazia",IF(R2073="Sim","Descartar - Duplicado",IF(OR(H2073&lt;=0,I2073&lt;=0),"Descartar - Qtd/Valor inválido","OK")))</f>
        <v>OK</v>
      </c>
      <c r="T2073" s="4" t="str">
        <f aca="false">Base_Bruta!P2073</f>
        <v>vendas_MG.csv</v>
      </c>
    </row>
    <row r="2074" customFormat="false" ht="15" hidden="false" customHeight="false" outlineLevel="0" collapsed="false">
      <c r="A2074" s="4" t="str">
        <f aca="false">IF(Base_Bruta!A2074="","",Base_Bruta!A2074)</f>
        <v>MG-000472</v>
      </c>
      <c r="B2074" s="5" t="n">
        <f aca="false">IF($A2074="","",IF(ISNUMBER(Base_Bruta!B2074),Base_Bruta!B2074,IF(MID(Base_Bruta!B2074,5,1)="-",DATE(VALUE(LEFT(Base_Bruta!B2074,4)),VALUE(MID(Base_Bruta!B2074,6,2)),VALUE(RIGHT(Base_Bruta!B2074,2))),DATE(VALUE(RIGHT(Base_Bruta!B2074,4)),VALUE(MID(Base_Bruta!B2074,4,2)),VALUE(LEFT(Base_Bruta!B2074,2))))))</f>
        <v>46153</v>
      </c>
      <c r="C2074" s="5" t="n">
        <f aca="false">IF($A2074="","",IF(ISNUMBER(Base_Bruta!C2074),Base_Bruta!C2074,IF(MID(Base_Bruta!C2074,5,1)="-",DATE(VALUE(LEFT(Base_Bruta!C2074,4)),VALUE(MID(Base_Bruta!C2074,6,2)),VALUE(RIGHT(Base_Bruta!C2074,2))),DATE(VALUE(RIGHT(Base_Bruta!C2074,4)),VALUE(MID(Base_Bruta!C2074,4,2)),VALUE(LEFT(Base_Bruta!C2074,2))))))</f>
        <v>46153</v>
      </c>
      <c r="D2074" s="4" t="str">
        <f aca="false">IF($A2074="","",TRIM(Base_Bruta!D2074))</f>
        <v>Cinema Savassi - Sessões</v>
      </c>
      <c r="E2074" s="4" t="str">
        <f aca="false">IF($A2074="","",_xlfn.XLOOKUP(LOWER(TRIM(Base_Bruta!E2074)),DePara_Categoria!$A$2:$A$9,DePara_Categoria!$B$2:$B$9,"REVISAR"))</f>
        <v>Cinema</v>
      </c>
      <c r="F2074" s="4" t="str">
        <f aca="false">IF($A2074="","",_xlfn.XLOOKUP(LOWER(TRIM(Base_Bruta!F2074)),DePara_Cidade!$A$2:$A$29,DePara_Cidade!$B$2:$B$29,"REVISAR"))</f>
        <v>Belo Horizonte</v>
      </c>
      <c r="G2074" s="4" t="str">
        <f aca="false">IF($A2074="","",TRIM(Base_Bruta!G2074))</f>
        <v>Meia</v>
      </c>
      <c r="H2074" s="4" t="n">
        <f aca="false">IF($A2074="","",IF(ISNUMBER(Base_Bruta!H2074),Base_Bruta!H2074,IFERROR(_xlfn.NUMBERVALUE(TRIM(SUBSTITUTE(Base_Bruta!H2074,"R$","")),",","."),0)))</f>
        <v>1</v>
      </c>
      <c r="I2074" s="6" t="n">
        <f aca="false">IF($A2074="","",IF(ISNUMBER(Base_Bruta!I2074),Base_Bruta!I2074,IFERROR(_xlfn.NUMBERVALUE(TRIM(SUBSTITUTE(Base_Bruta!I2074,"R$","")),",","."),0)))</f>
        <v>20</v>
      </c>
      <c r="J2074" s="6" t="n">
        <f aca="false">IF($A2074="","",H2074*I2074)</f>
        <v>20</v>
      </c>
      <c r="K2074" s="4" t="str">
        <f aca="false">IF($A2074="","",TRIM(Base_Bruta!J2074))</f>
        <v>App</v>
      </c>
      <c r="L2074" s="4" t="str">
        <f aca="false">IF($A2074="","",TRIM(Base_Bruta!K2074))</f>
        <v>C01873</v>
      </c>
      <c r="M2074" s="4" t="str">
        <f aca="false">IF($A2074="","",_xlfn.XLOOKUP(LOWER(TRIM(Base_Bruta!L2074)),DePara_Cidade!$A$2:$A$29,DePara_Cidade!$B$2:$B$29,"REVISAR"))</f>
        <v>Belo Horizonte</v>
      </c>
      <c r="N2074" s="4" t="str">
        <f aca="false">IF($A2074="","",UPPER(TRIM(Base_Bruta!M2074)))</f>
        <v>MG</v>
      </c>
      <c r="O2074" s="4" t="str">
        <f aca="false">IF($A2074="","",_xlfn.XLOOKUP(LOWER(TRIM(Base_Bruta!N2074)),DePara_Pais!$A$2:$A$9,DePara_Pais!$B$2:$B$9,"REVISAR"))</f>
        <v>Brasil</v>
      </c>
      <c r="P2074" s="4" t="str">
        <f aca="false">IF($A2074="","",IF(O2074&lt;&gt;"Brasil","Turista Internacional",IF(M2074=F2074,"Local","Turista Nacional")))</f>
        <v>Local</v>
      </c>
      <c r="Q2074" s="7" t="n">
        <f aca="false">IF($A2074="","",DATE(YEAR(B2074),MONTH(B2074),1))</f>
        <v>46143</v>
      </c>
      <c r="R2074" s="4" t="str">
        <f aca="false">IF($A2074="","",IF(COUNTIF($A$2:$A2074,$A2074)&gt;1,"Sim","Não"))</f>
        <v>Não</v>
      </c>
      <c r="S2074" s="4" t="str">
        <f aca="false">IF(A2074="","Descartar - Linha vazia",IF(R2074="Sim","Descartar - Duplicado",IF(OR(H2074&lt;=0,I2074&lt;=0),"Descartar - Qtd/Valor inválido","OK")))</f>
        <v>OK</v>
      </c>
      <c r="T2074" s="4" t="str">
        <f aca="false">Base_Bruta!P2074</f>
        <v>vendas_MG.csv</v>
      </c>
    </row>
    <row r="2075" customFormat="false" ht="15" hidden="false" customHeight="false" outlineLevel="0" collapsed="false">
      <c r="A2075" s="4" t="str">
        <f aca="false">IF(Base_Bruta!A2075="","",Base_Bruta!A2075)</f>
        <v>MG-000478</v>
      </c>
      <c r="B2075" s="5" t="n">
        <f aca="false">IF($A2075="","",IF(ISNUMBER(Base_Bruta!B2075),Base_Bruta!B2075,IF(MID(Base_Bruta!B2075,5,1)="-",DATE(VALUE(LEFT(Base_Bruta!B2075,4)),VALUE(MID(Base_Bruta!B2075,6,2)),VALUE(RIGHT(Base_Bruta!B2075,2))),DATE(VALUE(RIGHT(Base_Bruta!B2075,4)),VALUE(MID(Base_Bruta!B2075,4,2)),VALUE(LEFT(Base_Bruta!B2075,2))))))</f>
        <v>46156</v>
      </c>
      <c r="C2075" s="5" t="n">
        <f aca="false">IF($A2075="","",IF(ISNUMBER(Base_Bruta!C2075),Base_Bruta!C2075,IF(MID(Base_Bruta!C2075,5,1)="-",DATE(VALUE(LEFT(Base_Bruta!C2075,4)),VALUE(MID(Base_Bruta!C2075,6,2)),VALUE(RIGHT(Base_Bruta!C2075,2))),DATE(VALUE(RIGHT(Base_Bruta!C2075,4)),VALUE(MID(Base_Bruta!C2075,4,2)),VALUE(LEFT(Base_Bruta!C2075,2))))))</f>
        <v>46157</v>
      </c>
      <c r="D2075" s="4" t="str">
        <f aca="false">IF($A2075="","",TRIM(Base_Bruta!D2075))</f>
        <v>Cinema Savassi - Sessões</v>
      </c>
      <c r="E2075" s="4" t="str">
        <f aca="false">IF($A2075="","",_xlfn.XLOOKUP(LOWER(TRIM(Base_Bruta!E2075)),DePara_Categoria!$A$2:$A$9,DePara_Categoria!$B$2:$B$9,"REVISAR"))</f>
        <v>Cinema</v>
      </c>
      <c r="F2075" s="4" t="str">
        <f aca="false">IF($A2075="","",_xlfn.XLOOKUP(LOWER(TRIM(Base_Bruta!F2075)),DePara_Cidade!$A$2:$A$29,DePara_Cidade!$B$2:$B$29,"REVISAR"))</f>
        <v>Belo Horizonte</v>
      </c>
      <c r="G2075" s="4" t="str">
        <f aca="false">IF($A2075="","",TRIM(Base_Bruta!G2075))</f>
        <v>Meia</v>
      </c>
      <c r="H2075" s="4" t="n">
        <f aca="false">IF($A2075="","",IF(ISNUMBER(Base_Bruta!H2075),Base_Bruta!H2075,IFERROR(_xlfn.NUMBERVALUE(TRIM(SUBSTITUTE(Base_Bruta!H2075,"R$","")),",","."),0)))</f>
        <v>4</v>
      </c>
      <c r="I2075" s="6" t="n">
        <f aca="false">IF($A2075="","",IF(ISNUMBER(Base_Bruta!I2075),Base_Bruta!I2075,IFERROR(_xlfn.NUMBERVALUE(TRIM(SUBSTITUTE(Base_Bruta!I2075,"R$","")),",","."),0)))</f>
        <v>17.5</v>
      </c>
      <c r="J2075" s="6" t="n">
        <f aca="false">IF($A2075="","",H2075*I2075)</f>
        <v>70</v>
      </c>
      <c r="K2075" s="4" t="str">
        <f aca="false">IF($A2075="","",TRIM(Base_Bruta!J2075))</f>
        <v>App</v>
      </c>
      <c r="L2075" s="4" t="str">
        <f aca="false">IF($A2075="","",TRIM(Base_Bruta!K2075))</f>
        <v>C01261</v>
      </c>
      <c r="M2075" s="4" t="str">
        <f aca="false">IF($A2075="","",_xlfn.XLOOKUP(LOWER(TRIM(Base_Bruta!L2075)),DePara_Cidade!$A$2:$A$29,DePara_Cidade!$B$2:$B$29,"REVISAR"))</f>
        <v>Belo Horizonte</v>
      </c>
      <c r="N2075" s="4" t="str">
        <f aca="false">IF($A2075="","",UPPER(TRIM(Base_Bruta!M2075)))</f>
        <v>MG</v>
      </c>
      <c r="O2075" s="4" t="str">
        <f aca="false">IF($A2075="","",_xlfn.XLOOKUP(LOWER(TRIM(Base_Bruta!N2075)),DePara_Pais!$A$2:$A$9,DePara_Pais!$B$2:$B$9,"REVISAR"))</f>
        <v>Brasil</v>
      </c>
      <c r="P2075" s="4" t="str">
        <f aca="false">IF($A2075="","",IF(O2075&lt;&gt;"Brasil","Turista Internacional",IF(M2075=F2075,"Local","Turista Nacional")))</f>
        <v>Local</v>
      </c>
      <c r="Q2075" s="7" t="n">
        <f aca="false">IF($A2075="","",DATE(YEAR(B2075),MONTH(B2075),1))</f>
        <v>46143</v>
      </c>
      <c r="R2075" s="4" t="str">
        <f aca="false">IF($A2075="","",IF(COUNTIF($A$2:$A2075,$A2075)&gt;1,"Sim","Não"))</f>
        <v>Não</v>
      </c>
      <c r="S2075" s="4" t="str">
        <f aca="false">IF(A2075="","Descartar - Linha vazia",IF(R2075="Sim","Descartar - Duplicado",IF(OR(H2075&lt;=0,I2075&lt;=0),"Descartar - Qtd/Valor inválido","OK")))</f>
        <v>OK</v>
      </c>
      <c r="T2075" s="4" t="str">
        <f aca="false">Base_Bruta!P2075</f>
        <v>vendas_MG.csv</v>
      </c>
    </row>
    <row r="2076" customFormat="false" ht="15" hidden="false" customHeight="false" outlineLevel="0" collapsed="false">
      <c r="A2076" s="4" t="str">
        <f aca="false">IF(Base_Bruta!A2076="","",Base_Bruta!A2076)</f>
        <v>MG-000525</v>
      </c>
      <c r="B2076" s="5" t="n">
        <f aca="false">IF($A2076="","",IF(ISNUMBER(Base_Bruta!B2076),Base_Bruta!B2076,IF(MID(Base_Bruta!B2076,5,1)="-",DATE(VALUE(LEFT(Base_Bruta!B2076,4)),VALUE(MID(Base_Bruta!B2076,6,2)),VALUE(RIGHT(Base_Bruta!B2076,2))),DATE(VALUE(RIGHT(Base_Bruta!B2076,4)),VALUE(MID(Base_Bruta!B2076,4,2)),VALUE(LEFT(Base_Bruta!B2076,2))))))</f>
        <v>46156</v>
      </c>
      <c r="C2076" s="5" t="n">
        <f aca="false">IF($A2076="","",IF(ISNUMBER(Base_Bruta!C2076),Base_Bruta!C2076,IF(MID(Base_Bruta!C2076,5,1)="-",DATE(VALUE(LEFT(Base_Bruta!C2076,4)),VALUE(MID(Base_Bruta!C2076,6,2)),VALUE(RIGHT(Base_Bruta!C2076,2))),DATE(VALUE(RIGHT(Base_Bruta!C2076,4)),VALUE(MID(Base_Bruta!C2076,4,2)),VALUE(LEFT(Base_Bruta!C2076,2))))))</f>
        <v>46159</v>
      </c>
      <c r="D2076" s="4" t="str">
        <f aca="false">IF($A2076="","",TRIM(Base_Bruta!D2076))</f>
        <v>Cinema Savassi - Sessões</v>
      </c>
      <c r="E2076" s="4" t="str">
        <f aca="false">IF($A2076="","",_xlfn.XLOOKUP(LOWER(TRIM(Base_Bruta!E2076)),DePara_Categoria!$A$2:$A$9,DePara_Categoria!$B$2:$B$9,"REVISAR"))</f>
        <v>Cinema</v>
      </c>
      <c r="F2076" s="4" t="str">
        <f aca="false">IF($A2076="","",_xlfn.XLOOKUP(LOWER(TRIM(Base_Bruta!F2076)),DePara_Cidade!$A$2:$A$29,DePara_Cidade!$B$2:$B$29,"REVISAR"))</f>
        <v>Belo Horizonte</v>
      </c>
      <c r="G2076" s="4" t="str">
        <f aca="false">IF($A2076="","",TRIM(Base_Bruta!G2076))</f>
        <v>Inteira</v>
      </c>
      <c r="H2076" s="4" t="n">
        <f aca="false">IF($A2076="","",IF(ISNUMBER(Base_Bruta!H2076),Base_Bruta!H2076,IFERROR(_xlfn.NUMBERVALUE(TRIM(SUBSTITUTE(Base_Bruta!H2076,"R$","")),",","."),0)))</f>
        <v>1</v>
      </c>
      <c r="I2076" s="6" t="n">
        <f aca="false">IF($A2076="","",IF(ISNUMBER(Base_Bruta!I2076),Base_Bruta!I2076,IFERROR(_xlfn.NUMBERVALUE(TRIM(SUBSTITUTE(Base_Bruta!I2076,"R$","")),",","."),0)))</f>
        <v>30</v>
      </c>
      <c r="J2076" s="6" t="n">
        <f aca="false">IF($A2076="","",H2076*I2076)</f>
        <v>30</v>
      </c>
      <c r="K2076" s="4" t="str">
        <f aca="false">IF($A2076="","",TRIM(Base_Bruta!J2076))</f>
        <v>Parceiro</v>
      </c>
      <c r="L2076" s="4" t="str">
        <f aca="false">IF($A2076="","",TRIM(Base_Bruta!K2076))</f>
        <v>C00036</v>
      </c>
      <c r="M2076" s="4" t="str">
        <f aca="false">IF($A2076="","",_xlfn.XLOOKUP(LOWER(TRIM(Base_Bruta!L2076)),DePara_Cidade!$A$2:$A$29,DePara_Cidade!$B$2:$B$29,"REVISAR"))</f>
        <v>Belo Horizonte</v>
      </c>
      <c r="N2076" s="4" t="str">
        <f aca="false">IF($A2076="","",UPPER(TRIM(Base_Bruta!M2076)))</f>
        <v>MG</v>
      </c>
      <c r="O2076" s="4" t="str">
        <f aca="false">IF($A2076="","",_xlfn.XLOOKUP(LOWER(TRIM(Base_Bruta!N2076)),DePara_Pais!$A$2:$A$9,DePara_Pais!$B$2:$B$9,"REVISAR"))</f>
        <v>Brasil</v>
      </c>
      <c r="P2076" s="4" t="str">
        <f aca="false">IF($A2076="","",IF(O2076&lt;&gt;"Brasil","Turista Internacional",IF(M2076=F2076,"Local","Turista Nacional")))</f>
        <v>Local</v>
      </c>
      <c r="Q2076" s="7" t="n">
        <f aca="false">IF($A2076="","",DATE(YEAR(B2076),MONTH(B2076),1))</f>
        <v>46143</v>
      </c>
      <c r="R2076" s="4" t="str">
        <f aca="false">IF($A2076="","",IF(COUNTIF($A$2:$A2076,$A2076)&gt;1,"Sim","Não"))</f>
        <v>Não</v>
      </c>
      <c r="S2076" s="4" t="str">
        <f aca="false">IF(A2076="","Descartar - Linha vazia",IF(R2076="Sim","Descartar - Duplicado",IF(OR(H2076&lt;=0,I2076&lt;=0),"Descartar - Qtd/Valor inválido","OK")))</f>
        <v>OK</v>
      </c>
      <c r="T2076" s="4" t="str">
        <f aca="false">Base_Bruta!P2076</f>
        <v>vendas_MG.csv</v>
      </c>
    </row>
    <row r="2077" customFormat="false" ht="15" hidden="false" customHeight="false" outlineLevel="0" collapsed="false">
      <c r="A2077" s="4" t="str">
        <f aca="false">IF(Base_Bruta!A2077="","",Base_Bruta!A2077)</f>
        <v>MG-000469</v>
      </c>
      <c r="B2077" s="5" t="n">
        <f aca="false">IF($A2077="","",IF(ISNUMBER(Base_Bruta!B2077),Base_Bruta!B2077,IF(MID(Base_Bruta!B2077,5,1)="-",DATE(VALUE(LEFT(Base_Bruta!B2077,4)),VALUE(MID(Base_Bruta!B2077,6,2)),VALUE(RIGHT(Base_Bruta!B2077,2))),DATE(VALUE(RIGHT(Base_Bruta!B2077,4)),VALUE(MID(Base_Bruta!B2077,4,2)),VALUE(LEFT(Base_Bruta!B2077,2))))))</f>
        <v>46160</v>
      </c>
      <c r="C2077" s="5" t="n">
        <f aca="false">IF($A2077="","",IF(ISNUMBER(Base_Bruta!C2077),Base_Bruta!C2077,IF(MID(Base_Bruta!C2077,5,1)="-",DATE(VALUE(LEFT(Base_Bruta!C2077,4)),VALUE(MID(Base_Bruta!C2077,6,2)),VALUE(RIGHT(Base_Bruta!C2077,2))),DATE(VALUE(RIGHT(Base_Bruta!C2077,4)),VALUE(MID(Base_Bruta!C2077,4,2)),VALUE(LEFT(Base_Bruta!C2077,2))))))</f>
        <v>46163</v>
      </c>
      <c r="D2077" s="4" t="str">
        <f aca="false">IF($A2077="","",TRIM(Base_Bruta!D2077))</f>
        <v>Cinema Savassi - Sessões</v>
      </c>
      <c r="E2077" s="4" t="str">
        <f aca="false">IF($A2077="","",_xlfn.XLOOKUP(LOWER(TRIM(Base_Bruta!E2077)),DePara_Categoria!$A$2:$A$9,DePara_Categoria!$B$2:$B$9,"REVISAR"))</f>
        <v>Cinema</v>
      </c>
      <c r="F2077" s="4" t="str">
        <f aca="false">IF($A2077="","",_xlfn.XLOOKUP(LOWER(TRIM(Base_Bruta!F2077)),DePara_Cidade!$A$2:$A$29,DePara_Cidade!$B$2:$B$29,"REVISAR"))</f>
        <v>Belo Horizonte</v>
      </c>
      <c r="G2077" s="4" t="str">
        <f aca="false">IF($A2077="","",TRIM(Base_Bruta!G2077))</f>
        <v>Inteira</v>
      </c>
      <c r="H2077" s="4" t="n">
        <f aca="false">IF($A2077="","",IF(ISNUMBER(Base_Bruta!H2077),Base_Bruta!H2077,IFERROR(_xlfn.NUMBERVALUE(TRIM(SUBSTITUTE(Base_Bruta!H2077,"R$","")),",","."),0)))</f>
        <v>3</v>
      </c>
      <c r="I2077" s="6" t="n">
        <f aca="false">IF($A2077="","",IF(ISNUMBER(Base_Bruta!I2077),Base_Bruta!I2077,IFERROR(_xlfn.NUMBERVALUE(TRIM(SUBSTITUTE(Base_Bruta!I2077,"R$","")),",","."),0)))</f>
        <v>30</v>
      </c>
      <c r="J2077" s="6" t="n">
        <f aca="false">IF($A2077="","",H2077*I2077)</f>
        <v>90</v>
      </c>
      <c r="K2077" s="4" t="str">
        <f aca="false">IF($A2077="","",TRIM(Base_Bruta!J2077))</f>
        <v>App</v>
      </c>
      <c r="L2077" s="4" t="str">
        <f aca="false">IF($A2077="","",TRIM(Base_Bruta!K2077))</f>
        <v>C00936</v>
      </c>
      <c r="M2077" s="4" t="str">
        <f aca="false">IF($A2077="","",_xlfn.XLOOKUP(LOWER(TRIM(Base_Bruta!L2077)),DePara_Cidade!$A$2:$A$29,DePara_Cidade!$B$2:$B$29,"REVISAR"))</f>
        <v>Belo Horizonte</v>
      </c>
      <c r="N2077" s="4" t="str">
        <f aca="false">IF($A2077="","",UPPER(TRIM(Base_Bruta!M2077)))</f>
        <v>MG</v>
      </c>
      <c r="O2077" s="4" t="str">
        <f aca="false">IF($A2077="","",_xlfn.XLOOKUP(LOWER(TRIM(Base_Bruta!N2077)),DePara_Pais!$A$2:$A$9,DePara_Pais!$B$2:$B$9,"REVISAR"))</f>
        <v>Brasil</v>
      </c>
      <c r="P2077" s="4" t="str">
        <f aca="false">IF($A2077="","",IF(O2077&lt;&gt;"Brasil","Turista Internacional",IF(M2077=F2077,"Local","Turista Nacional")))</f>
        <v>Local</v>
      </c>
      <c r="Q2077" s="7" t="n">
        <f aca="false">IF($A2077="","",DATE(YEAR(B2077),MONTH(B2077),1))</f>
        <v>46143</v>
      </c>
      <c r="R2077" s="4" t="str">
        <f aca="false">IF($A2077="","",IF(COUNTIF($A$2:$A2077,$A2077)&gt;1,"Sim","Não"))</f>
        <v>Não</v>
      </c>
      <c r="S2077" s="4" t="str">
        <f aca="false">IF(A2077="","Descartar - Linha vazia",IF(R2077="Sim","Descartar - Duplicado",IF(OR(H2077&lt;=0,I2077&lt;=0),"Descartar - Qtd/Valor inválido","OK")))</f>
        <v>OK</v>
      </c>
      <c r="T2077" s="4" t="str">
        <f aca="false">Base_Bruta!P2077</f>
        <v>vendas_MG.csv</v>
      </c>
    </row>
    <row r="2078" customFormat="false" ht="15" hidden="false" customHeight="false" outlineLevel="0" collapsed="false">
      <c r="A2078" s="4" t="str">
        <f aca="false">IF(Base_Bruta!A2078="","",Base_Bruta!A2078)</f>
        <v>MG-000447</v>
      </c>
      <c r="B2078" s="5" t="n">
        <f aca="false">IF($A2078="","",IF(ISNUMBER(Base_Bruta!B2078),Base_Bruta!B2078,IF(MID(Base_Bruta!B2078,5,1)="-",DATE(VALUE(LEFT(Base_Bruta!B2078,4)),VALUE(MID(Base_Bruta!B2078,6,2)),VALUE(RIGHT(Base_Bruta!B2078,2))),DATE(VALUE(RIGHT(Base_Bruta!B2078,4)),VALUE(MID(Base_Bruta!B2078,4,2)),VALUE(LEFT(Base_Bruta!B2078,2))))))</f>
        <v>46161</v>
      </c>
      <c r="C2078" s="5" t="n">
        <f aca="false">IF($A2078="","",IF(ISNUMBER(Base_Bruta!C2078),Base_Bruta!C2078,IF(MID(Base_Bruta!C2078,5,1)="-",DATE(VALUE(LEFT(Base_Bruta!C2078,4)),VALUE(MID(Base_Bruta!C2078,6,2)),VALUE(RIGHT(Base_Bruta!C2078,2))),DATE(VALUE(RIGHT(Base_Bruta!C2078,4)),VALUE(MID(Base_Bruta!C2078,4,2)),VALUE(LEFT(Base_Bruta!C2078,2))))))</f>
        <v>46163</v>
      </c>
      <c r="D2078" s="4" t="str">
        <f aca="false">IF($A2078="","",TRIM(Base_Bruta!D2078))</f>
        <v>Cinema Savassi - Sessões</v>
      </c>
      <c r="E2078" s="4" t="str">
        <f aca="false">IF($A2078="","",_xlfn.XLOOKUP(LOWER(TRIM(Base_Bruta!E2078)),DePara_Categoria!$A$2:$A$9,DePara_Categoria!$B$2:$B$9,"REVISAR"))</f>
        <v>Cinema</v>
      </c>
      <c r="F2078" s="4" t="str">
        <f aca="false">IF($A2078="","",_xlfn.XLOOKUP(LOWER(TRIM(Base_Bruta!F2078)),DePara_Cidade!$A$2:$A$29,DePara_Cidade!$B$2:$B$29,"REVISAR"))</f>
        <v>Belo Horizonte</v>
      </c>
      <c r="G2078" s="4" t="str">
        <f aca="false">IF($A2078="","",TRIM(Base_Bruta!G2078))</f>
        <v>Inteira</v>
      </c>
      <c r="H2078" s="4" t="n">
        <f aca="false">IF($A2078="","",IF(ISNUMBER(Base_Bruta!H2078),Base_Bruta!H2078,IFERROR(_xlfn.NUMBERVALUE(TRIM(SUBSTITUTE(Base_Bruta!H2078,"R$","")),",","."),0)))</f>
        <v>2</v>
      </c>
      <c r="I2078" s="6" t="n">
        <f aca="false">IF($A2078="","",IF(ISNUMBER(Base_Bruta!I2078),Base_Bruta!I2078,IFERROR(_xlfn.NUMBERVALUE(TRIM(SUBSTITUTE(Base_Bruta!I2078,"R$","")),",","."),0)))</f>
        <v>45</v>
      </c>
      <c r="J2078" s="6" t="n">
        <f aca="false">IF($A2078="","",H2078*I2078)</f>
        <v>90</v>
      </c>
      <c r="K2078" s="4" t="str">
        <f aca="false">IF($A2078="","",TRIM(Base_Bruta!J2078))</f>
        <v>App</v>
      </c>
      <c r="L2078" s="4" t="str">
        <f aca="false">IF($A2078="","",TRIM(Base_Bruta!K2078))</f>
        <v>C02251</v>
      </c>
      <c r="M2078" s="4" t="str">
        <f aca="false">IF($A2078="","",_xlfn.XLOOKUP(LOWER(TRIM(Base_Bruta!L2078)),DePara_Cidade!$A$2:$A$29,DePara_Cidade!$B$2:$B$29,"REVISAR"))</f>
        <v>Belo Horizonte</v>
      </c>
      <c r="N2078" s="4" t="str">
        <f aca="false">IF($A2078="","",UPPER(TRIM(Base_Bruta!M2078)))</f>
        <v>MG</v>
      </c>
      <c r="O2078" s="4" t="str">
        <f aca="false">IF($A2078="","",_xlfn.XLOOKUP(LOWER(TRIM(Base_Bruta!N2078)),DePara_Pais!$A$2:$A$9,DePara_Pais!$B$2:$B$9,"REVISAR"))</f>
        <v>Brasil</v>
      </c>
      <c r="P2078" s="4" t="str">
        <f aca="false">IF($A2078="","",IF(O2078&lt;&gt;"Brasil","Turista Internacional",IF(M2078=F2078,"Local","Turista Nacional")))</f>
        <v>Local</v>
      </c>
      <c r="Q2078" s="7" t="n">
        <f aca="false">IF($A2078="","",DATE(YEAR(B2078),MONTH(B2078),1))</f>
        <v>46143</v>
      </c>
      <c r="R2078" s="4" t="str">
        <f aca="false">IF($A2078="","",IF(COUNTIF($A$2:$A2078,$A2078)&gt;1,"Sim","Não"))</f>
        <v>Não</v>
      </c>
      <c r="S2078" s="4" t="str">
        <f aca="false">IF(A2078="","Descartar - Linha vazia",IF(R2078="Sim","Descartar - Duplicado",IF(OR(H2078&lt;=0,I2078&lt;=0),"Descartar - Qtd/Valor inválido","OK")))</f>
        <v>OK</v>
      </c>
      <c r="T2078" s="4" t="str">
        <f aca="false">Base_Bruta!P2078</f>
        <v>vendas_MG.csv</v>
      </c>
    </row>
    <row r="2079" customFormat="false" ht="15" hidden="false" customHeight="false" outlineLevel="0" collapsed="false">
      <c r="A2079" s="4" t="str">
        <f aca="false">IF(Base_Bruta!A2079="","",Base_Bruta!A2079)</f>
        <v>MG-000411</v>
      </c>
      <c r="B2079" s="5" t="n">
        <f aca="false">IF($A2079="","",IF(ISNUMBER(Base_Bruta!B2079),Base_Bruta!B2079,IF(MID(Base_Bruta!B2079,5,1)="-",DATE(VALUE(LEFT(Base_Bruta!B2079,4)),VALUE(MID(Base_Bruta!B2079,6,2)),VALUE(RIGHT(Base_Bruta!B2079,2))),DATE(VALUE(RIGHT(Base_Bruta!B2079,4)),VALUE(MID(Base_Bruta!B2079,4,2)),VALUE(LEFT(Base_Bruta!B2079,2))))))</f>
        <v>46172</v>
      </c>
      <c r="C2079" s="5" t="n">
        <f aca="false">IF($A2079="","",IF(ISNUMBER(Base_Bruta!C2079),Base_Bruta!C2079,IF(MID(Base_Bruta!C2079,5,1)="-",DATE(VALUE(LEFT(Base_Bruta!C2079,4)),VALUE(MID(Base_Bruta!C2079,6,2)),VALUE(RIGHT(Base_Bruta!C2079,2))),DATE(VALUE(RIGHT(Base_Bruta!C2079,4)),VALUE(MID(Base_Bruta!C2079,4,2)),VALUE(LEFT(Base_Bruta!C2079,2))))))</f>
        <v>46174</v>
      </c>
      <c r="D2079" s="4" t="str">
        <f aca="false">IF($A2079="","",TRIM(Base_Bruta!D2079))</f>
        <v>Cinema Savassi - Sessões</v>
      </c>
      <c r="E2079" s="4" t="str">
        <f aca="false">IF($A2079="","",_xlfn.XLOOKUP(LOWER(TRIM(Base_Bruta!E2079)),DePara_Categoria!$A$2:$A$9,DePara_Categoria!$B$2:$B$9,"REVISAR"))</f>
        <v>Cinema</v>
      </c>
      <c r="F2079" s="4" t="str">
        <f aca="false">IF($A2079="","",_xlfn.XLOOKUP(LOWER(TRIM(Base_Bruta!F2079)),DePara_Cidade!$A$2:$A$29,DePara_Cidade!$B$2:$B$29,"REVISAR"))</f>
        <v>Belo Horizonte</v>
      </c>
      <c r="G2079" s="4" t="str">
        <f aca="false">IF($A2079="","",TRIM(Base_Bruta!G2079))</f>
        <v>Inteira</v>
      </c>
      <c r="H2079" s="4" t="n">
        <f aca="false">IF($A2079="","",IF(ISNUMBER(Base_Bruta!H2079),Base_Bruta!H2079,IFERROR(_xlfn.NUMBERVALUE(TRIM(SUBSTITUTE(Base_Bruta!H2079,"R$","")),",","."),0)))</f>
        <v>1</v>
      </c>
      <c r="I2079" s="6" t="n">
        <f aca="false">IF($A2079="","",IF(ISNUMBER(Base_Bruta!I2079),Base_Bruta!I2079,IFERROR(_xlfn.NUMBERVALUE(TRIM(SUBSTITUTE(Base_Bruta!I2079,"R$","")),",","."),0)))</f>
        <v>45</v>
      </c>
      <c r="J2079" s="6" t="n">
        <f aca="false">IF($A2079="","",H2079*I2079)</f>
        <v>45</v>
      </c>
      <c r="K2079" s="4" t="str">
        <f aca="false">IF($A2079="","",TRIM(Base_Bruta!J2079))</f>
        <v>App</v>
      </c>
      <c r="L2079" s="4" t="str">
        <f aca="false">IF($A2079="","",TRIM(Base_Bruta!K2079))</f>
        <v>C00936</v>
      </c>
      <c r="M2079" s="4" t="str">
        <f aca="false">IF($A2079="","",_xlfn.XLOOKUP(LOWER(TRIM(Base_Bruta!L2079)),DePara_Cidade!$A$2:$A$29,DePara_Cidade!$B$2:$B$29,"REVISAR"))</f>
        <v>Belo Horizonte</v>
      </c>
      <c r="N2079" s="4" t="str">
        <f aca="false">IF($A2079="","",UPPER(TRIM(Base_Bruta!M2079)))</f>
        <v>MG</v>
      </c>
      <c r="O2079" s="4" t="str">
        <f aca="false">IF($A2079="","",_xlfn.XLOOKUP(LOWER(TRIM(Base_Bruta!N2079)),DePara_Pais!$A$2:$A$9,DePara_Pais!$B$2:$B$9,"REVISAR"))</f>
        <v>Brasil</v>
      </c>
      <c r="P2079" s="4" t="str">
        <f aca="false">IF($A2079="","",IF(O2079&lt;&gt;"Brasil","Turista Internacional",IF(M2079=F2079,"Local","Turista Nacional")))</f>
        <v>Local</v>
      </c>
      <c r="Q2079" s="7" t="n">
        <f aca="false">IF($A2079="","",DATE(YEAR(B2079),MONTH(B2079),1))</f>
        <v>46143</v>
      </c>
      <c r="R2079" s="4" t="str">
        <f aca="false">IF($A2079="","",IF(COUNTIF($A$2:$A2079,$A2079)&gt;1,"Sim","Não"))</f>
        <v>Não</v>
      </c>
      <c r="S2079" s="4" t="str">
        <f aca="false">IF(A2079="","Descartar - Linha vazia",IF(R2079="Sim","Descartar - Duplicado",IF(OR(H2079&lt;=0,I2079&lt;=0),"Descartar - Qtd/Valor inválido","OK")))</f>
        <v>OK</v>
      </c>
      <c r="T2079" s="4" t="str">
        <f aca="false">Base_Bruta!P2079</f>
        <v>vendas_MG.csv</v>
      </c>
    </row>
    <row r="2080" customFormat="false" ht="15" hidden="false" customHeight="false" outlineLevel="0" collapsed="false">
      <c r="A2080" s="4" t="str">
        <f aca="false">IF(Base_Bruta!A2080="","",Base_Bruta!A2080)</f>
        <v>MG-000431</v>
      </c>
      <c r="B2080" s="5" t="n">
        <f aca="false">IF($A2080="","",IF(ISNUMBER(Base_Bruta!B2080),Base_Bruta!B2080,IF(MID(Base_Bruta!B2080,5,1)="-",DATE(VALUE(LEFT(Base_Bruta!B2080,4)),VALUE(MID(Base_Bruta!B2080,6,2)),VALUE(RIGHT(Base_Bruta!B2080,2))),DATE(VALUE(RIGHT(Base_Bruta!B2080,4)),VALUE(MID(Base_Bruta!B2080,4,2)),VALUE(LEFT(Base_Bruta!B2080,2))))))</f>
        <v>46172</v>
      </c>
      <c r="C2080" s="5" t="n">
        <f aca="false">IF($A2080="","",IF(ISNUMBER(Base_Bruta!C2080),Base_Bruta!C2080,IF(MID(Base_Bruta!C2080,5,1)="-",DATE(VALUE(LEFT(Base_Bruta!C2080,4)),VALUE(MID(Base_Bruta!C2080,6,2)),VALUE(RIGHT(Base_Bruta!C2080,2))),DATE(VALUE(RIGHT(Base_Bruta!C2080,4)),VALUE(MID(Base_Bruta!C2080,4,2)),VALUE(LEFT(Base_Bruta!C2080,2))))))</f>
        <v>46172</v>
      </c>
      <c r="D2080" s="4" t="str">
        <f aca="false">IF($A2080="","",TRIM(Base_Bruta!D2080))</f>
        <v>Cinema Savassi - Sessões</v>
      </c>
      <c r="E2080" s="4" t="str">
        <f aca="false">IF($A2080="","",_xlfn.XLOOKUP(LOWER(TRIM(Base_Bruta!E2080)),DePara_Categoria!$A$2:$A$9,DePara_Categoria!$B$2:$B$9,"REVISAR"))</f>
        <v>Cinema</v>
      </c>
      <c r="F2080" s="4" t="str">
        <f aca="false">IF($A2080="","",_xlfn.XLOOKUP(LOWER(TRIM(Base_Bruta!F2080)),DePara_Cidade!$A$2:$A$29,DePara_Cidade!$B$2:$B$29,"REVISAR"))</f>
        <v>Belo Horizonte</v>
      </c>
      <c r="G2080" s="4" t="str">
        <f aca="false">IF($A2080="","",TRIM(Base_Bruta!G2080))</f>
        <v>Meia</v>
      </c>
      <c r="H2080" s="4" t="n">
        <f aca="false">IF($A2080="","",IF(ISNUMBER(Base_Bruta!H2080),Base_Bruta!H2080,IFERROR(_xlfn.NUMBERVALUE(TRIM(SUBSTITUTE(Base_Bruta!H2080,"R$","")),",","."),0)))</f>
        <v>2</v>
      </c>
      <c r="I2080" s="6" t="n">
        <f aca="false">IF($A2080="","",IF(ISNUMBER(Base_Bruta!I2080),Base_Bruta!I2080,IFERROR(_xlfn.NUMBERVALUE(TRIM(SUBSTITUTE(Base_Bruta!I2080,"R$","")),",","."),0)))</f>
        <v>20</v>
      </c>
      <c r="J2080" s="6" t="n">
        <f aca="false">IF($A2080="","",H2080*I2080)</f>
        <v>40</v>
      </c>
      <c r="K2080" s="4" t="str">
        <f aca="false">IF($A2080="","",TRIM(Base_Bruta!J2080))</f>
        <v>Site</v>
      </c>
      <c r="L2080" s="4" t="str">
        <f aca="false">IF($A2080="","",TRIM(Base_Bruta!K2080))</f>
        <v>C02115</v>
      </c>
      <c r="M2080" s="4" t="str">
        <f aca="false">IF($A2080="","",_xlfn.XLOOKUP(LOWER(TRIM(Base_Bruta!L2080)),DePara_Cidade!$A$2:$A$29,DePara_Cidade!$B$2:$B$29,"REVISAR"))</f>
        <v>Belo Horizonte</v>
      </c>
      <c r="N2080" s="4" t="str">
        <f aca="false">IF($A2080="","",UPPER(TRIM(Base_Bruta!M2080)))</f>
        <v>MG</v>
      </c>
      <c r="O2080" s="4" t="str">
        <f aca="false">IF($A2080="","",_xlfn.XLOOKUP(LOWER(TRIM(Base_Bruta!N2080)),DePara_Pais!$A$2:$A$9,DePara_Pais!$B$2:$B$9,"REVISAR"))</f>
        <v>Brasil</v>
      </c>
      <c r="P2080" s="4" t="str">
        <f aca="false">IF($A2080="","",IF(O2080&lt;&gt;"Brasil","Turista Internacional",IF(M2080=F2080,"Local","Turista Nacional")))</f>
        <v>Local</v>
      </c>
      <c r="Q2080" s="7" t="n">
        <f aca="false">IF($A2080="","",DATE(YEAR(B2080),MONTH(B2080),1))</f>
        <v>46143</v>
      </c>
      <c r="R2080" s="4" t="str">
        <f aca="false">IF($A2080="","",IF(COUNTIF($A$2:$A2080,$A2080)&gt;1,"Sim","Não"))</f>
        <v>Não</v>
      </c>
      <c r="S2080" s="4" t="str">
        <f aca="false">IF(A2080="","Descartar - Linha vazia",IF(R2080="Sim","Descartar - Duplicado",IF(OR(H2080&lt;=0,I2080&lt;=0),"Descartar - Qtd/Valor inválido","OK")))</f>
        <v>OK</v>
      </c>
      <c r="T2080" s="4" t="str">
        <f aca="false">Base_Bruta!P2080</f>
        <v>vendas_MG.csv</v>
      </c>
    </row>
    <row r="2081" customFormat="false" ht="15" hidden="false" customHeight="false" outlineLevel="0" collapsed="false">
      <c r="A2081" s="4" t="str">
        <f aca="false">IF(Base_Bruta!A2081="","",Base_Bruta!A2081)</f>
        <v>MG-000495</v>
      </c>
      <c r="B2081" s="5" t="n">
        <f aca="false">IF($A2081="","",IF(ISNUMBER(Base_Bruta!B2081),Base_Bruta!B2081,IF(MID(Base_Bruta!B2081,5,1)="-",DATE(VALUE(LEFT(Base_Bruta!B2081,4)),VALUE(MID(Base_Bruta!B2081,6,2)),VALUE(RIGHT(Base_Bruta!B2081,2))),DATE(VALUE(RIGHT(Base_Bruta!B2081,4)),VALUE(MID(Base_Bruta!B2081,4,2)),VALUE(LEFT(Base_Bruta!B2081,2))))))</f>
        <v>46172</v>
      </c>
      <c r="C2081" s="5" t="n">
        <f aca="false">IF($A2081="","",IF(ISNUMBER(Base_Bruta!C2081),Base_Bruta!C2081,IF(MID(Base_Bruta!C2081,5,1)="-",DATE(VALUE(LEFT(Base_Bruta!C2081,4)),VALUE(MID(Base_Bruta!C2081,6,2)),VALUE(RIGHT(Base_Bruta!C2081,2))),DATE(VALUE(RIGHT(Base_Bruta!C2081,4)),VALUE(MID(Base_Bruta!C2081,4,2)),VALUE(LEFT(Base_Bruta!C2081,2))))))</f>
        <v>46172</v>
      </c>
      <c r="D2081" s="4" t="str">
        <f aca="false">IF($A2081="","",TRIM(Base_Bruta!D2081))</f>
        <v>Cinema Savassi - Sessões</v>
      </c>
      <c r="E2081" s="4" t="str">
        <f aca="false">IF($A2081="","",_xlfn.XLOOKUP(LOWER(TRIM(Base_Bruta!E2081)),DePara_Categoria!$A$2:$A$9,DePara_Categoria!$B$2:$B$9,"REVISAR"))</f>
        <v>Cinema</v>
      </c>
      <c r="F2081" s="4" t="str">
        <f aca="false">IF($A2081="","",_xlfn.XLOOKUP(LOWER(TRIM(Base_Bruta!F2081)),DePara_Cidade!$A$2:$A$29,DePara_Cidade!$B$2:$B$29,"REVISAR"))</f>
        <v>Belo Horizonte</v>
      </c>
      <c r="G2081" s="4" t="str">
        <f aca="false">IF($A2081="","",TRIM(Base_Bruta!G2081))</f>
        <v>Inteira</v>
      </c>
      <c r="H2081" s="4" t="n">
        <f aca="false">IF($A2081="","",IF(ISNUMBER(Base_Bruta!H2081),Base_Bruta!H2081,IFERROR(_xlfn.NUMBERVALUE(TRIM(SUBSTITUTE(Base_Bruta!H2081,"R$","")),",","."),0)))</f>
        <v>1</v>
      </c>
      <c r="I2081" s="6" t="n">
        <f aca="false">IF($A2081="","",IF(ISNUMBER(Base_Bruta!I2081),Base_Bruta!I2081,IFERROR(_xlfn.NUMBERVALUE(TRIM(SUBSTITUTE(Base_Bruta!I2081,"R$","")),",","."),0)))</f>
        <v>50</v>
      </c>
      <c r="J2081" s="6" t="n">
        <f aca="false">IF($A2081="","",H2081*I2081)</f>
        <v>50</v>
      </c>
      <c r="K2081" s="4" t="str">
        <f aca="false">IF($A2081="","",TRIM(Base_Bruta!J2081))</f>
        <v>Site</v>
      </c>
      <c r="L2081" s="4" t="str">
        <f aca="false">IF($A2081="","",TRIM(Base_Bruta!K2081))</f>
        <v>C01215</v>
      </c>
      <c r="M2081" s="4" t="str">
        <f aca="false">IF($A2081="","",_xlfn.XLOOKUP(LOWER(TRIM(Base_Bruta!L2081)),DePara_Cidade!$A$2:$A$29,DePara_Cidade!$B$2:$B$29,"REVISAR"))</f>
        <v>Belo Horizonte</v>
      </c>
      <c r="N2081" s="4" t="str">
        <f aca="false">IF($A2081="","",UPPER(TRIM(Base_Bruta!M2081)))</f>
        <v>MG</v>
      </c>
      <c r="O2081" s="4" t="str">
        <f aca="false">IF($A2081="","",_xlfn.XLOOKUP(LOWER(TRIM(Base_Bruta!N2081)),DePara_Pais!$A$2:$A$9,DePara_Pais!$B$2:$B$9,"REVISAR"))</f>
        <v>Brasil</v>
      </c>
      <c r="P2081" s="4" t="str">
        <f aca="false">IF($A2081="","",IF(O2081&lt;&gt;"Brasil","Turista Internacional",IF(M2081=F2081,"Local","Turista Nacional")))</f>
        <v>Local</v>
      </c>
      <c r="Q2081" s="7" t="n">
        <f aca="false">IF($A2081="","",DATE(YEAR(B2081),MONTH(B2081),1))</f>
        <v>46143</v>
      </c>
      <c r="R2081" s="4" t="str">
        <f aca="false">IF($A2081="","",IF(COUNTIF($A$2:$A2081,$A2081)&gt;1,"Sim","Não"))</f>
        <v>Não</v>
      </c>
      <c r="S2081" s="4" t="str">
        <f aca="false">IF(A2081="","Descartar - Linha vazia",IF(R2081="Sim","Descartar - Duplicado",IF(OR(H2081&lt;=0,I2081&lt;=0),"Descartar - Qtd/Valor inválido","OK")))</f>
        <v>OK</v>
      </c>
      <c r="T2081" s="4" t="str">
        <f aca="false">Base_Bruta!P2081</f>
        <v>vendas_MG.csv</v>
      </c>
    </row>
    <row r="2082" customFormat="false" ht="15" hidden="false" customHeight="false" outlineLevel="0" collapsed="false">
      <c r="A2082" s="4" t="str">
        <f aca="false">IF(Base_Bruta!A2082="","",Base_Bruta!A2082)</f>
        <v>MG-000524</v>
      </c>
      <c r="B2082" s="5" t="n">
        <f aca="false">IF($A2082="","",IF(ISNUMBER(Base_Bruta!B2082),Base_Bruta!B2082,IF(MID(Base_Bruta!B2082,5,1)="-",DATE(VALUE(LEFT(Base_Bruta!B2082,4)),VALUE(MID(Base_Bruta!B2082,6,2)),VALUE(RIGHT(Base_Bruta!B2082,2))),DATE(VALUE(RIGHT(Base_Bruta!B2082,4)),VALUE(MID(Base_Bruta!B2082,4,2)),VALUE(LEFT(Base_Bruta!B2082,2))))))</f>
        <v>46180</v>
      </c>
      <c r="C2082" s="5" t="n">
        <f aca="false">IF($A2082="","",IF(ISNUMBER(Base_Bruta!C2082),Base_Bruta!C2082,IF(MID(Base_Bruta!C2082,5,1)="-",DATE(VALUE(LEFT(Base_Bruta!C2082,4)),VALUE(MID(Base_Bruta!C2082,6,2)),VALUE(RIGHT(Base_Bruta!C2082,2))),DATE(VALUE(RIGHT(Base_Bruta!C2082,4)),VALUE(MID(Base_Bruta!C2082,4,2)),VALUE(LEFT(Base_Bruta!C2082,2))))))</f>
        <v>46181</v>
      </c>
      <c r="D2082" s="4" t="str">
        <f aca="false">IF($A2082="","",TRIM(Base_Bruta!D2082))</f>
        <v>Cinema Savassi - Sessões</v>
      </c>
      <c r="E2082" s="4" t="str">
        <f aca="false">IF($A2082="","",_xlfn.XLOOKUP(LOWER(TRIM(Base_Bruta!E2082)),DePara_Categoria!$A$2:$A$9,DePara_Categoria!$B$2:$B$9,"REVISAR"))</f>
        <v>Cinema</v>
      </c>
      <c r="F2082" s="4" t="str">
        <f aca="false">IF($A2082="","",_xlfn.XLOOKUP(LOWER(TRIM(Base_Bruta!F2082)),DePara_Cidade!$A$2:$A$29,DePara_Cidade!$B$2:$B$29,"REVISAR"))</f>
        <v>Belo Horizonte</v>
      </c>
      <c r="G2082" s="4" t="str">
        <f aca="false">IF($A2082="","",TRIM(Base_Bruta!G2082))</f>
        <v>Meia</v>
      </c>
      <c r="H2082" s="4" t="n">
        <f aca="false">IF($A2082="","",IF(ISNUMBER(Base_Bruta!H2082),Base_Bruta!H2082,IFERROR(_xlfn.NUMBERVALUE(TRIM(SUBSTITUTE(Base_Bruta!H2082,"R$","")),",","."),0)))</f>
        <v>1</v>
      </c>
      <c r="I2082" s="6" t="n">
        <f aca="false">IF($A2082="","",IF(ISNUMBER(Base_Bruta!I2082),Base_Bruta!I2082,IFERROR(_xlfn.NUMBERVALUE(TRIM(SUBSTITUTE(Base_Bruta!I2082,"R$","")),",","."),0)))</f>
        <v>17.5</v>
      </c>
      <c r="J2082" s="6" t="n">
        <f aca="false">IF($A2082="","",H2082*I2082)</f>
        <v>17.5</v>
      </c>
      <c r="K2082" s="4" t="str">
        <f aca="false">IF($A2082="","",TRIM(Base_Bruta!J2082))</f>
        <v>Site</v>
      </c>
      <c r="L2082" s="4" t="str">
        <f aca="false">IF($A2082="","",TRIM(Base_Bruta!K2082))</f>
        <v>C01462</v>
      </c>
      <c r="M2082" s="4" t="str">
        <f aca="false">IF($A2082="","",_xlfn.XLOOKUP(LOWER(TRIM(Base_Bruta!L2082)),DePara_Cidade!$A$2:$A$29,DePara_Cidade!$B$2:$B$29,"REVISAR"))</f>
        <v>Belo Horizonte</v>
      </c>
      <c r="N2082" s="4" t="str">
        <f aca="false">IF($A2082="","",UPPER(TRIM(Base_Bruta!M2082)))</f>
        <v>MG</v>
      </c>
      <c r="O2082" s="4" t="str">
        <f aca="false">IF($A2082="","",_xlfn.XLOOKUP(LOWER(TRIM(Base_Bruta!N2082)),DePara_Pais!$A$2:$A$9,DePara_Pais!$B$2:$B$9,"REVISAR"))</f>
        <v>Brasil</v>
      </c>
      <c r="P2082" s="4" t="str">
        <f aca="false">IF($A2082="","",IF(O2082&lt;&gt;"Brasil","Turista Internacional",IF(M2082=F2082,"Local","Turista Nacional")))</f>
        <v>Local</v>
      </c>
      <c r="Q2082" s="7" t="n">
        <f aca="false">IF($A2082="","",DATE(YEAR(B2082),MONTH(B2082),1))</f>
        <v>46174</v>
      </c>
      <c r="R2082" s="4" t="str">
        <f aca="false">IF($A2082="","",IF(COUNTIF($A$2:$A2082,$A2082)&gt;1,"Sim","Não"))</f>
        <v>Não</v>
      </c>
      <c r="S2082" s="4" t="str">
        <f aca="false">IF(A2082="","Descartar - Linha vazia",IF(R2082="Sim","Descartar - Duplicado",IF(OR(H2082&lt;=0,I2082&lt;=0),"Descartar - Qtd/Valor inválido","OK")))</f>
        <v>OK</v>
      </c>
      <c r="T2082" s="4" t="str">
        <f aca="false">Base_Bruta!P2082</f>
        <v>vendas_MG.csv</v>
      </c>
    </row>
    <row r="2083" customFormat="false" ht="15" hidden="false" customHeight="false" outlineLevel="0" collapsed="false">
      <c r="A2083" s="4" t="str">
        <f aca="false">IF(Base_Bruta!A2083="","",Base_Bruta!A2083)</f>
        <v>MG-000412</v>
      </c>
      <c r="B2083" s="5" t="n">
        <f aca="false">IF($A2083="","",IF(ISNUMBER(Base_Bruta!B2083),Base_Bruta!B2083,IF(MID(Base_Bruta!B2083,5,1)="-",DATE(VALUE(LEFT(Base_Bruta!B2083,4)),VALUE(MID(Base_Bruta!B2083,6,2)),VALUE(RIGHT(Base_Bruta!B2083,2))),DATE(VALUE(RIGHT(Base_Bruta!B2083,4)),VALUE(MID(Base_Bruta!B2083,4,2)),VALUE(LEFT(Base_Bruta!B2083,2))))))</f>
        <v>46185</v>
      </c>
      <c r="C2083" s="5" t="n">
        <f aca="false">IF($A2083="","",IF(ISNUMBER(Base_Bruta!C2083),Base_Bruta!C2083,IF(MID(Base_Bruta!C2083,5,1)="-",DATE(VALUE(LEFT(Base_Bruta!C2083,4)),VALUE(MID(Base_Bruta!C2083,6,2)),VALUE(RIGHT(Base_Bruta!C2083,2))),DATE(VALUE(RIGHT(Base_Bruta!C2083,4)),VALUE(MID(Base_Bruta!C2083,4,2)),VALUE(LEFT(Base_Bruta!C2083,2))))))</f>
        <v>46187</v>
      </c>
      <c r="D2083" s="4" t="str">
        <f aca="false">IF($A2083="","",TRIM(Base_Bruta!D2083))</f>
        <v>Cinema Savassi - Sessões</v>
      </c>
      <c r="E2083" s="4" t="str">
        <f aca="false">IF($A2083="","",_xlfn.XLOOKUP(LOWER(TRIM(Base_Bruta!E2083)),DePara_Categoria!$A$2:$A$9,DePara_Categoria!$B$2:$B$9,"REVISAR"))</f>
        <v>Cinema</v>
      </c>
      <c r="F2083" s="4" t="str">
        <f aca="false">IF($A2083="","",_xlfn.XLOOKUP(LOWER(TRIM(Base_Bruta!F2083)),DePara_Cidade!$A$2:$A$29,DePara_Cidade!$B$2:$B$29,"REVISAR"))</f>
        <v>Belo Horizonte</v>
      </c>
      <c r="G2083" s="4" t="str">
        <f aca="false">IF($A2083="","",TRIM(Base_Bruta!G2083))</f>
        <v>Inteira</v>
      </c>
      <c r="H2083" s="4" t="n">
        <f aca="false">IF($A2083="","",IF(ISNUMBER(Base_Bruta!H2083),Base_Bruta!H2083,IFERROR(_xlfn.NUMBERVALUE(TRIM(SUBSTITUTE(Base_Bruta!H2083,"R$","")),",","."),0)))</f>
        <v>1</v>
      </c>
      <c r="I2083" s="6" t="n">
        <f aca="false">IF($A2083="","",IF(ISNUMBER(Base_Bruta!I2083),Base_Bruta!I2083,IFERROR(_xlfn.NUMBERVALUE(TRIM(SUBSTITUTE(Base_Bruta!I2083,"R$","")),",","."),0)))</f>
        <v>45</v>
      </c>
      <c r="J2083" s="6" t="n">
        <f aca="false">IF($A2083="","",H2083*I2083)</f>
        <v>45</v>
      </c>
      <c r="K2083" s="4" t="str">
        <f aca="false">IF($A2083="","",TRIM(Base_Bruta!J2083))</f>
        <v>App</v>
      </c>
      <c r="L2083" s="4" t="str">
        <f aca="false">IF($A2083="","",TRIM(Base_Bruta!K2083))</f>
        <v>C01942</v>
      </c>
      <c r="M2083" s="4" t="str">
        <f aca="false">IF($A2083="","",_xlfn.XLOOKUP(LOWER(TRIM(Base_Bruta!L2083)),DePara_Cidade!$A$2:$A$29,DePara_Cidade!$B$2:$B$29,"REVISAR"))</f>
        <v>Belo Horizonte</v>
      </c>
      <c r="N2083" s="4" t="str">
        <f aca="false">IF($A2083="","",UPPER(TRIM(Base_Bruta!M2083)))</f>
        <v>MG</v>
      </c>
      <c r="O2083" s="4" t="str">
        <f aca="false">IF($A2083="","",_xlfn.XLOOKUP(LOWER(TRIM(Base_Bruta!N2083)),DePara_Pais!$A$2:$A$9,DePara_Pais!$B$2:$B$9,"REVISAR"))</f>
        <v>Brasil</v>
      </c>
      <c r="P2083" s="4" t="str">
        <f aca="false">IF($A2083="","",IF(O2083&lt;&gt;"Brasil","Turista Internacional",IF(M2083=F2083,"Local","Turista Nacional")))</f>
        <v>Local</v>
      </c>
      <c r="Q2083" s="7" t="n">
        <f aca="false">IF($A2083="","",DATE(YEAR(B2083),MONTH(B2083),1))</f>
        <v>46174</v>
      </c>
      <c r="R2083" s="4" t="str">
        <f aca="false">IF($A2083="","",IF(COUNTIF($A$2:$A2083,$A2083)&gt;1,"Sim","Não"))</f>
        <v>Não</v>
      </c>
      <c r="S2083" s="4" t="str">
        <f aca="false">IF(A2083="","Descartar - Linha vazia",IF(R2083="Sim","Descartar - Duplicado",IF(OR(H2083&lt;=0,I2083&lt;=0),"Descartar - Qtd/Valor inválido","OK")))</f>
        <v>OK</v>
      </c>
      <c r="T2083" s="4" t="str">
        <f aca="false">Base_Bruta!P2083</f>
        <v>vendas_MG.csv</v>
      </c>
    </row>
    <row r="2084" customFormat="false" ht="15" hidden="false" customHeight="false" outlineLevel="0" collapsed="false">
      <c r="A2084" s="4" t="str">
        <f aca="false">IF(Base_Bruta!A2084="","",Base_Bruta!A2084)</f>
        <v>MG-000417</v>
      </c>
      <c r="B2084" s="5" t="n">
        <f aca="false">IF($A2084="","",IF(ISNUMBER(Base_Bruta!B2084),Base_Bruta!B2084,IF(MID(Base_Bruta!B2084,5,1)="-",DATE(VALUE(LEFT(Base_Bruta!B2084,4)),VALUE(MID(Base_Bruta!B2084,6,2)),VALUE(RIGHT(Base_Bruta!B2084,2))),DATE(VALUE(RIGHT(Base_Bruta!B2084,4)),VALUE(MID(Base_Bruta!B2084,4,2)),VALUE(LEFT(Base_Bruta!B2084,2))))))</f>
        <v>46189</v>
      </c>
      <c r="C2084" s="5" t="n">
        <f aca="false">IF($A2084="","",IF(ISNUMBER(Base_Bruta!C2084),Base_Bruta!C2084,IF(MID(Base_Bruta!C2084,5,1)="-",DATE(VALUE(LEFT(Base_Bruta!C2084,4)),VALUE(MID(Base_Bruta!C2084,6,2)),VALUE(RIGHT(Base_Bruta!C2084,2))),DATE(VALUE(RIGHT(Base_Bruta!C2084,4)),VALUE(MID(Base_Bruta!C2084,4,2)),VALUE(LEFT(Base_Bruta!C2084,2))))))</f>
        <v>46190</v>
      </c>
      <c r="D2084" s="4" t="str">
        <f aca="false">IF($A2084="","",TRIM(Base_Bruta!D2084))</f>
        <v>Cinema Savassi - Sessões</v>
      </c>
      <c r="E2084" s="4" t="str">
        <f aca="false">IF($A2084="","",_xlfn.XLOOKUP(LOWER(TRIM(Base_Bruta!E2084)),DePara_Categoria!$A$2:$A$9,DePara_Categoria!$B$2:$B$9,"REVISAR"))</f>
        <v>Cinema</v>
      </c>
      <c r="F2084" s="4" t="str">
        <f aca="false">IF($A2084="","",_xlfn.XLOOKUP(LOWER(TRIM(Base_Bruta!F2084)),DePara_Cidade!$A$2:$A$29,DePara_Cidade!$B$2:$B$29,"REVISAR"))</f>
        <v>Belo Horizonte</v>
      </c>
      <c r="G2084" s="4" t="str">
        <f aca="false">IF($A2084="","",TRIM(Base_Bruta!G2084))</f>
        <v>Inteira</v>
      </c>
      <c r="H2084" s="4" t="n">
        <f aca="false">IF($A2084="","",IF(ISNUMBER(Base_Bruta!H2084),Base_Bruta!H2084,IFERROR(_xlfn.NUMBERVALUE(TRIM(SUBSTITUTE(Base_Bruta!H2084,"R$","")),",","."),0)))</f>
        <v>1</v>
      </c>
      <c r="I2084" s="6" t="n">
        <f aca="false">IF($A2084="","",IF(ISNUMBER(Base_Bruta!I2084),Base_Bruta!I2084,IFERROR(_xlfn.NUMBERVALUE(TRIM(SUBSTITUTE(Base_Bruta!I2084,"R$","")),",","."),0)))</f>
        <v>30</v>
      </c>
      <c r="J2084" s="6" t="n">
        <f aca="false">IF($A2084="","",H2084*I2084)</f>
        <v>30</v>
      </c>
      <c r="K2084" s="4" t="str">
        <f aca="false">IF($A2084="","",TRIM(Base_Bruta!J2084))</f>
        <v>Site</v>
      </c>
      <c r="L2084" s="4" t="str">
        <f aca="false">IF($A2084="","",TRIM(Base_Bruta!K2084))</f>
        <v>C01773</v>
      </c>
      <c r="M2084" s="4" t="str">
        <f aca="false">IF($A2084="","",_xlfn.XLOOKUP(LOWER(TRIM(Base_Bruta!L2084)),DePara_Cidade!$A$2:$A$29,DePara_Cidade!$B$2:$B$29,"REVISAR"))</f>
        <v>Belo Horizonte</v>
      </c>
      <c r="N2084" s="4" t="str">
        <f aca="false">IF($A2084="","",UPPER(TRIM(Base_Bruta!M2084)))</f>
        <v>MG</v>
      </c>
      <c r="O2084" s="4" t="str">
        <f aca="false">IF($A2084="","",_xlfn.XLOOKUP(LOWER(TRIM(Base_Bruta!N2084)),DePara_Pais!$A$2:$A$9,DePara_Pais!$B$2:$B$9,"REVISAR"))</f>
        <v>Brasil</v>
      </c>
      <c r="P2084" s="4" t="str">
        <f aca="false">IF($A2084="","",IF(O2084&lt;&gt;"Brasil","Turista Internacional",IF(M2084=F2084,"Local","Turista Nacional")))</f>
        <v>Local</v>
      </c>
      <c r="Q2084" s="7" t="n">
        <f aca="false">IF($A2084="","",DATE(YEAR(B2084),MONTH(B2084),1))</f>
        <v>46174</v>
      </c>
      <c r="R2084" s="4" t="str">
        <f aca="false">IF($A2084="","",IF(COUNTIF($A$2:$A2084,$A2084)&gt;1,"Sim","Não"))</f>
        <v>Não</v>
      </c>
      <c r="S2084" s="4" t="str">
        <f aca="false">IF(A2084="","Descartar - Linha vazia",IF(R2084="Sim","Descartar - Duplicado",IF(OR(H2084&lt;=0,I2084&lt;=0),"Descartar - Qtd/Valor inválido","OK")))</f>
        <v>OK</v>
      </c>
      <c r="T2084" s="4" t="str">
        <f aca="false">Base_Bruta!P2084</f>
        <v>vendas_MG.csv</v>
      </c>
    </row>
    <row r="2085" customFormat="false" ht="15" hidden="false" customHeight="false" outlineLevel="0" collapsed="false">
      <c r="A2085" s="4" t="str">
        <f aca="false">IF(Base_Bruta!A2085="","",Base_Bruta!A2085)</f>
        <v>MG-000430</v>
      </c>
      <c r="B2085" s="5" t="n">
        <f aca="false">IF($A2085="","",IF(ISNUMBER(Base_Bruta!B2085),Base_Bruta!B2085,IF(MID(Base_Bruta!B2085,5,1)="-",DATE(VALUE(LEFT(Base_Bruta!B2085,4)),VALUE(MID(Base_Bruta!B2085,6,2)),VALUE(RIGHT(Base_Bruta!B2085,2))),DATE(VALUE(RIGHT(Base_Bruta!B2085,4)),VALUE(MID(Base_Bruta!B2085,4,2)),VALUE(LEFT(Base_Bruta!B2085,2))))))</f>
        <v>46189</v>
      </c>
      <c r="C2085" s="5" t="n">
        <f aca="false">IF($A2085="","",IF(ISNUMBER(Base_Bruta!C2085),Base_Bruta!C2085,IF(MID(Base_Bruta!C2085,5,1)="-",DATE(VALUE(LEFT(Base_Bruta!C2085,4)),VALUE(MID(Base_Bruta!C2085,6,2)),VALUE(RIGHT(Base_Bruta!C2085,2))),DATE(VALUE(RIGHT(Base_Bruta!C2085,4)),VALUE(MID(Base_Bruta!C2085,4,2)),VALUE(LEFT(Base_Bruta!C2085,2))))))</f>
        <v>46192</v>
      </c>
      <c r="D2085" s="4" t="str">
        <f aca="false">IF($A2085="","",TRIM(Base_Bruta!D2085))</f>
        <v>Cinema Savassi - Sessões</v>
      </c>
      <c r="E2085" s="4" t="str">
        <f aca="false">IF($A2085="","",_xlfn.XLOOKUP(LOWER(TRIM(Base_Bruta!E2085)),DePara_Categoria!$A$2:$A$9,DePara_Categoria!$B$2:$B$9,"REVISAR"))</f>
        <v>Cinema</v>
      </c>
      <c r="F2085" s="4" t="str">
        <f aca="false">IF($A2085="","",_xlfn.XLOOKUP(LOWER(TRIM(Base_Bruta!F2085)),DePara_Cidade!$A$2:$A$29,DePara_Cidade!$B$2:$B$29,"REVISAR"))</f>
        <v>Belo Horizonte</v>
      </c>
      <c r="G2085" s="4" t="str">
        <f aca="false">IF($A2085="","",TRIM(Base_Bruta!G2085))</f>
        <v>Inteira</v>
      </c>
      <c r="H2085" s="4" t="n">
        <f aca="false">IF($A2085="","",IF(ISNUMBER(Base_Bruta!H2085),Base_Bruta!H2085,IFERROR(_xlfn.NUMBERVALUE(TRIM(SUBSTITUTE(Base_Bruta!H2085,"R$","")),",","."),0)))</f>
        <v>2</v>
      </c>
      <c r="I2085" s="6" t="n">
        <f aca="false">IF($A2085="","",IF(ISNUMBER(Base_Bruta!I2085),Base_Bruta!I2085,IFERROR(_xlfn.NUMBERVALUE(TRIM(SUBSTITUTE(Base_Bruta!I2085,"R$","")),",","."),0)))</f>
        <v>40</v>
      </c>
      <c r="J2085" s="6" t="n">
        <f aca="false">IF($A2085="","",H2085*I2085)</f>
        <v>80</v>
      </c>
      <c r="K2085" s="4" t="str">
        <f aca="false">IF($A2085="","",TRIM(Base_Bruta!J2085))</f>
        <v>App</v>
      </c>
      <c r="L2085" s="4" t="str">
        <f aca="false">IF($A2085="","",TRIM(Base_Bruta!K2085))</f>
        <v>C02179</v>
      </c>
      <c r="M2085" s="4" t="str">
        <f aca="false">IF($A2085="","",_xlfn.XLOOKUP(LOWER(TRIM(Base_Bruta!L2085)),DePara_Cidade!$A$2:$A$29,DePara_Cidade!$B$2:$B$29,"REVISAR"))</f>
        <v>Belo Horizonte</v>
      </c>
      <c r="N2085" s="4" t="str">
        <f aca="false">IF($A2085="","",UPPER(TRIM(Base_Bruta!M2085)))</f>
        <v>MG</v>
      </c>
      <c r="O2085" s="4" t="str">
        <f aca="false">IF($A2085="","",_xlfn.XLOOKUP(LOWER(TRIM(Base_Bruta!N2085)),DePara_Pais!$A$2:$A$9,DePara_Pais!$B$2:$B$9,"REVISAR"))</f>
        <v>Brasil</v>
      </c>
      <c r="P2085" s="4" t="str">
        <f aca="false">IF($A2085="","",IF(O2085&lt;&gt;"Brasil","Turista Internacional",IF(M2085=F2085,"Local","Turista Nacional")))</f>
        <v>Local</v>
      </c>
      <c r="Q2085" s="7" t="n">
        <f aca="false">IF($A2085="","",DATE(YEAR(B2085),MONTH(B2085),1))</f>
        <v>46174</v>
      </c>
      <c r="R2085" s="4" t="str">
        <f aca="false">IF($A2085="","",IF(COUNTIF($A$2:$A2085,$A2085)&gt;1,"Sim","Não"))</f>
        <v>Não</v>
      </c>
      <c r="S2085" s="4" t="str">
        <f aca="false">IF(A2085="","Descartar - Linha vazia",IF(R2085="Sim","Descartar - Duplicado",IF(OR(H2085&lt;=0,I2085&lt;=0),"Descartar - Qtd/Valor inválido","OK")))</f>
        <v>OK</v>
      </c>
      <c r="T2085" s="4" t="str">
        <f aca="false">Base_Bruta!P2085</f>
        <v>vendas_MG.csv</v>
      </c>
    </row>
    <row r="2086" customFormat="false" ht="15" hidden="false" customHeight="false" outlineLevel="0" collapsed="false">
      <c r="A2086" s="4" t="str">
        <f aca="false">IF(Base_Bruta!A2086="","",Base_Bruta!A2086)</f>
        <v>MG-000383</v>
      </c>
      <c r="B2086" s="5" t="n">
        <f aca="false">IF($A2086="","",IF(ISNUMBER(Base_Bruta!B2086),Base_Bruta!B2086,IF(MID(Base_Bruta!B2086,5,1)="-",DATE(VALUE(LEFT(Base_Bruta!B2086,4)),VALUE(MID(Base_Bruta!B2086,6,2)),VALUE(RIGHT(Base_Bruta!B2086,2))),DATE(VALUE(RIGHT(Base_Bruta!B2086,4)),VALUE(MID(Base_Bruta!B2086,4,2)),VALUE(LEFT(Base_Bruta!B2086,2))))))</f>
        <v>46190</v>
      </c>
      <c r="C2086" s="5" t="n">
        <f aca="false">IF($A2086="","",IF(ISNUMBER(Base_Bruta!C2086),Base_Bruta!C2086,IF(MID(Base_Bruta!C2086,5,1)="-",DATE(VALUE(LEFT(Base_Bruta!C2086,4)),VALUE(MID(Base_Bruta!C2086,6,2)),VALUE(RIGHT(Base_Bruta!C2086,2))),DATE(VALUE(RIGHT(Base_Bruta!C2086,4)),VALUE(MID(Base_Bruta!C2086,4,2)),VALUE(LEFT(Base_Bruta!C2086,2))))))</f>
        <v>46191</v>
      </c>
      <c r="D2086" s="4" t="str">
        <f aca="false">IF($A2086="","",TRIM(Base_Bruta!D2086))</f>
        <v>Cinema Savassi - Sessões</v>
      </c>
      <c r="E2086" s="4" t="str">
        <f aca="false">IF($A2086="","",_xlfn.XLOOKUP(LOWER(TRIM(Base_Bruta!E2086)),DePara_Categoria!$A$2:$A$9,DePara_Categoria!$B$2:$B$9,"REVISAR"))</f>
        <v>Cinema</v>
      </c>
      <c r="F2086" s="4" t="str">
        <f aca="false">IF($A2086="","",_xlfn.XLOOKUP(LOWER(TRIM(Base_Bruta!F2086)),DePara_Cidade!$A$2:$A$29,DePara_Cidade!$B$2:$B$29,"REVISAR"))</f>
        <v>Belo Horizonte</v>
      </c>
      <c r="G2086" s="4" t="str">
        <f aca="false">IF($A2086="","",TRIM(Base_Bruta!G2086))</f>
        <v>Inteira</v>
      </c>
      <c r="H2086" s="4" t="n">
        <f aca="false">IF($A2086="","",IF(ISNUMBER(Base_Bruta!H2086),Base_Bruta!H2086,IFERROR(_xlfn.NUMBERVALUE(TRIM(SUBSTITUTE(Base_Bruta!H2086,"R$","")),",","."),0)))</f>
        <v>2</v>
      </c>
      <c r="I2086" s="6" t="n">
        <f aca="false">IF($A2086="","",IF(ISNUMBER(Base_Bruta!I2086),Base_Bruta!I2086,IFERROR(_xlfn.NUMBERVALUE(TRIM(SUBSTITUTE(Base_Bruta!I2086,"R$","")),",","."),0)))</f>
        <v>35</v>
      </c>
      <c r="J2086" s="6" t="n">
        <f aca="false">IF($A2086="","",H2086*I2086)</f>
        <v>70</v>
      </c>
      <c r="K2086" s="4" t="str">
        <f aca="false">IF($A2086="","",TRIM(Base_Bruta!J2086))</f>
        <v>Site</v>
      </c>
      <c r="L2086" s="4" t="str">
        <f aca="false">IF($A2086="","",TRIM(Base_Bruta!K2086))</f>
        <v>C01358</v>
      </c>
      <c r="M2086" s="4" t="str">
        <f aca="false">IF($A2086="","",_xlfn.XLOOKUP(LOWER(TRIM(Base_Bruta!L2086)),DePara_Cidade!$A$2:$A$29,DePara_Cidade!$B$2:$B$29,"REVISAR"))</f>
        <v>Belo Horizonte</v>
      </c>
      <c r="N2086" s="4" t="str">
        <f aca="false">IF($A2086="","",UPPER(TRIM(Base_Bruta!M2086)))</f>
        <v>MG</v>
      </c>
      <c r="O2086" s="4" t="str">
        <f aca="false">IF($A2086="","",_xlfn.XLOOKUP(LOWER(TRIM(Base_Bruta!N2086)),DePara_Pais!$A$2:$A$9,DePara_Pais!$B$2:$B$9,"REVISAR"))</f>
        <v>Brasil</v>
      </c>
      <c r="P2086" s="4" t="str">
        <f aca="false">IF($A2086="","",IF(O2086&lt;&gt;"Brasil","Turista Internacional",IF(M2086=F2086,"Local","Turista Nacional")))</f>
        <v>Local</v>
      </c>
      <c r="Q2086" s="7" t="n">
        <f aca="false">IF($A2086="","",DATE(YEAR(B2086),MONTH(B2086),1))</f>
        <v>46174</v>
      </c>
      <c r="R2086" s="4" t="str">
        <f aca="false">IF($A2086="","",IF(COUNTIF($A$2:$A2086,$A2086)&gt;1,"Sim","Não"))</f>
        <v>Não</v>
      </c>
      <c r="S2086" s="4" t="str">
        <f aca="false">IF(A2086="","Descartar - Linha vazia",IF(R2086="Sim","Descartar - Duplicado",IF(OR(H2086&lt;=0,I2086&lt;=0),"Descartar - Qtd/Valor inválido","OK")))</f>
        <v>OK</v>
      </c>
      <c r="T2086" s="4" t="str">
        <f aca="false">Base_Bruta!P2086</f>
        <v>vendas_MG.csv</v>
      </c>
    </row>
    <row r="2087" customFormat="false" ht="15" hidden="false" customHeight="false" outlineLevel="0" collapsed="false">
      <c r="A2087" s="4" t="str">
        <f aca="false">IF(Base_Bruta!A2087="","",Base_Bruta!A2087)</f>
        <v>MG-000409</v>
      </c>
      <c r="B2087" s="5" t="n">
        <f aca="false">IF($A2087="","",IF(ISNUMBER(Base_Bruta!B2087),Base_Bruta!B2087,IF(MID(Base_Bruta!B2087,5,1)="-",DATE(VALUE(LEFT(Base_Bruta!B2087,4)),VALUE(MID(Base_Bruta!B2087,6,2)),VALUE(RIGHT(Base_Bruta!B2087,2))),DATE(VALUE(RIGHT(Base_Bruta!B2087,4)),VALUE(MID(Base_Bruta!B2087,4,2)),VALUE(LEFT(Base_Bruta!B2087,2))))))</f>
        <v>46191</v>
      </c>
      <c r="C2087" s="5" t="n">
        <f aca="false">IF($A2087="","",IF(ISNUMBER(Base_Bruta!C2087),Base_Bruta!C2087,IF(MID(Base_Bruta!C2087,5,1)="-",DATE(VALUE(LEFT(Base_Bruta!C2087,4)),VALUE(MID(Base_Bruta!C2087,6,2)),VALUE(RIGHT(Base_Bruta!C2087,2))),DATE(VALUE(RIGHT(Base_Bruta!C2087,4)),VALUE(MID(Base_Bruta!C2087,4,2)),VALUE(LEFT(Base_Bruta!C2087,2))))))</f>
        <v>46191</v>
      </c>
      <c r="D2087" s="4" t="str">
        <f aca="false">IF($A2087="","",TRIM(Base_Bruta!D2087))</f>
        <v>Cinema Savassi - Sessões</v>
      </c>
      <c r="E2087" s="4" t="str">
        <f aca="false">IF($A2087="","",_xlfn.XLOOKUP(LOWER(TRIM(Base_Bruta!E2087)),DePara_Categoria!$A$2:$A$9,DePara_Categoria!$B$2:$B$9,"REVISAR"))</f>
        <v>Cinema</v>
      </c>
      <c r="F2087" s="4" t="str">
        <f aca="false">IF($A2087="","",_xlfn.XLOOKUP(LOWER(TRIM(Base_Bruta!F2087)),DePara_Cidade!$A$2:$A$29,DePara_Cidade!$B$2:$B$29,"REVISAR"))</f>
        <v>Belo Horizonte</v>
      </c>
      <c r="G2087" s="4" t="str">
        <f aca="false">IF($A2087="","",TRIM(Base_Bruta!G2087))</f>
        <v>Inteira</v>
      </c>
      <c r="H2087" s="4" t="n">
        <f aca="false">IF($A2087="","",IF(ISNUMBER(Base_Bruta!H2087),Base_Bruta!H2087,IFERROR(_xlfn.NUMBERVALUE(TRIM(SUBSTITUTE(Base_Bruta!H2087,"R$","")),",","."),0)))</f>
        <v>1</v>
      </c>
      <c r="I2087" s="6" t="n">
        <f aca="false">IF($A2087="","",IF(ISNUMBER(Base_Bruta!I2087),Base_Bruta!I2087,IFERROR(_xlfn.NUMBERVALUE(TRIM(SUBSTITUTE(Base_Bruta!I2087,"R$","")),",","."),0)))</f>
        <v>35</v>
      </c>
      <c r="J2087" s="6" t="n">
        <f aca="false">IF($A2087="","",H2087*I2087)</f>
        <v>35</v>
      </c>
      <c r="K2087" s="4" t="str">
        <f aca="false">IF($A2087="","",TRIM(Base_Bruta!J2087))</f>
        <v>Bilheteria</v>
      </c>
      <c r="L2087" s="4" t="str">
        <f aca="false">IF($A2087="","",TRIM(Base_Bruta!K2087))</f>
        <v>C02247</v>
      </c>
      <c r="M2087" s="4" t="str">
        <f aca="false">IF($A2087="","",_xlfn.XLOOKUP(LOWER(TRIM(Base_Bruta!L2087)),DePara_Cidade!$A$2:$A$29,DePara_Cidade!$B$2:$B$29,"REVISAR"))</f>
        <v>Belo Horizonte</v>
      </c>
      <c r="N2087" s="4" t="str">
        <f aca="false">IF($A2087="","",UPPER(TRIM(Base_Bruta!M2087)))</f>
        <v>MG</v>
      </c>
      <c r="O2087" s="4" t="str">
        <f aca="false">IF($A2087="","",_xlfn.XLOOKUP(LOWER(TRIM(Base_Bruta!N2087)),DePara_Pais!$A$2:$A$9,DePara_Pais!$B$2:$B$9,"REVISAR"))</f>
        <v>Brasil</v>
      </c>
      <c r="P2087" s="4" t="str">
        <f aca="false">IF($A2087="","",IF(O2087&lt;&gt;"Brasil","Turista Internacional",IF(M2087=F2087,"Local","Turista Nacional")))</f>
        <v>Local</v>
      </c>
      <c r="Q2087" s="7" t="n">
        <f aca="false">IF($A2087="","",DATE(YEAR(B2087),MONTH(B2087),1))</f>
        <v>46174</v>
      </c>
      <c r="R2087" s="4" t="str">
        <f aca="false">IF($A2087="","",IF(COUNTIF($A$2:$A2087,$A2087)&gt;1,"Sim","Não"))</f>
        <v>Não</v>
      </c>
      <c r="S2087" s="4" t="str">
        <f aca="false">IF(A2087="","Descartar - Linha vazia",IF(R2087="Sim","Descartar - Duplicado",IF(OR(H2087&lt;=0,I2087&lt;=0),"Descartar - Qtd/Valor inválido","OK")))</f>
        <v>OK</v>
      </c>
      <c r="T2087" s="4" t="str">
        <f aca="false">Base_Bruta!P2087</f>
        <v>vendas_MG.csv</v>
      </c>
    </row>
    <row r="2088" customFormat="false" ht="15" hidden="false" customHeight="false" outlineLevel="0" collapsed="false">
      <c r="A2088" s="4" t="str">
        <f aca="false">IF(Base_Bruta!A2088="","",Base_Bruta!A2088)</f>
        <v>MG-000426</v>
      </c>
      <c r="B2088" s="5" t="n">
        <f aca="false">IF($A2088="","",IF(ISNUMBER(Base_Bruta!B2088),Base_Bruta!B2088,IF(MID(Base_Bruta!B2088,5,1)="-",DATE(VALUE(LEFT(Base_Bruta!B2088,4)),VALUE(MID(Base_Bruta!B2088,6,2)),VALUE(RIGHT(Base_Bruta!B2088,2))),DATE(VALUE(RIGHT(Base_Bruta!B2088,4)),VALUE(MID(Base_Bruta!B2088,4,2)),VALUE(LEFT(Base_Bruta!B2088,2))))))</f>
        <v>46191</v>
      </c>
      <c r="C2088" s="5" t="n">
        <f aca="false">IF($A2088="","",IF(ISNUMBER(Base_Bruta!C2088),Base_Bruta!C2088,IF(MID(Base_Bruta!C2088,5,1)="-",DATE(VALUE(LEFT(Base_Bruta!C2088,4)),VALUE(MID(Base_Bruta!C2088,6,2)),VALUE(RIGHT(Base_Bruta!C2088,2))),DATE(VALUE(RIGHT(Base_Bruta!C2088,4)),VALUE(MID(Base_Bruta!C2088,4,2)),VALUE(LEFT(Base_Bruta!C2088,2))))))</f>
        <v>46194</v>
      </c>
      <c r="D2088" s="4" t="str">
        <f aca="false">IF($A2088="","",TRIM(Base_Bruta!D2088))</f>
        <v>Cinema Savassi - Sessões</v>
      </c>
      <c r="E2088" s="4" t="str">
        <f aca="false">IF($A2088="","",_xlfn.XLOOKUP(LOWER(TRIM(Base_Bruta!E2088)),DePara_Categoria!$A$2:$A$9,DePara_Categoria!$B$2:$B$9,"REVISAR"))</f>
        <v>Cinema</v>
      </c>
      <c r="F2088" s="4" t="str">
        <f aca="false">IF($A2088="","",_xlfn.XLOOKUP(LOWER(TRIM(Base_Bruta!F2088)),DePara_Cidade!$A$2:$A$29,DePara_Cidade!$B$2:$B$29,"REVISAR"))</f>
        <v>Belo Horizonte</v>
      </c>
      <c r="G2088" s="4" t="str">
        <f aca="false">IF($A2088="","",TRIM(Base_Bruta!G2088))</f>
        <v>Meia</v>
      </c>
      <c r="H2088" s="4" t="n">
        <f aca="false">IF($A2088="","",IF(ISNUMBER(Base_Bruta!H2088),Base_Bruta!H2088,IFERROR(_xlfn.NUMBERVALUE(TRIM(SUBSTITUTE(Base_Bruta!H2088,"R$","")),",","."),0)))</f>
        <v>1</v>
      </c>
      <c r="I2088" s="6" t="n">
        <f aca="false">IF($A2088="","",IF(ISNUMBER(Base_Bruta!I2088),Base_Bruta!I2088,IFERROR(_xlfn.NUMBERVALUE(TRIM(SUBSTITUTE(Base_Bruta!I2088,"R$","")),",","."),0)))</f>
        <v>22.5</v>
      </c>
      <c r="J2088" s="6" t="n">
        <f aca="false">IF($A2088="","",H2088*I2088)</f>
        <v>22.5</v>
      </c>
      <c r="K2088" s="4" t="str">
        <f aca="false">IF($A2088="","",TRIM(Base_Bruta!J2088))</f>
        <v>Site</v>
      </c>
      <c r="L2088" s="4" t="str">
        <f aca="false">IF($A2088="","",TRIM(Base_Bruta!K2088))</f>
        <v>C00718</v>
      </c>
      <c r="M2088" s="4" t="str">
        <f aca="false">IF($A2088="","",_xlfn.XLOOKUP(LOWER(TRIM(Base_Bruta!L2088)),DePara_Cidade!$A$2:$A$29,DePara_Cidade!$B$2:$B$29,"REVISAR"))</f>
        <v>Belo Horizonte</v>
      </c>
      <c r="N2088" s="4" t="str">
        <f aca="false">IF($A2088="","",UPPER(TRIM(Base_Bruta!M2088)))</f>
        <v>MG</v>
      </c>
      <c r="O2088" s="4" t="str">
        <f aca="false">IF($A2088="","",_xlfn.XLOOKUP(LOWER(TRIM(Base_Bruta!N2088)),DePara_Pais!$A$2:$A$9,DePara_Pais!$B$2:$B$9,"REVISAR"))</f>
        <v>Brasil</v>
      </c>
      <c r="P2088" s="4" t="str">
        <f aca="false">IF($A2088="","",IF(O2088&lt;&gt;"Brasil","Turista Internacional",IF(M2088=F2088,"Local","Turista Nacional")))</f>
        <v>Local</v>
      </c>
      <c r="Q2088" s="7" t="n">
        <f aca="false">IF($A2088="","",DATE(YEAR(B2088),MONTH(B2088),1))</f>
        <v>46174</v>
      </c>
      <c r="R2088" s="4" t="str">
        <f aca="false">IF($A2088="","",IF(COUNTIF($A$2:$A2088,$A2088)&gt;1,"Sim","Não"))</f>
        <v>Não</v>
      </c>
      <c r="S2088" s="4" t="str">
        <f aca="false">IF(A2088="","Descartar - Linha vazia",IF(R2088="Sim","Descartar - Duplicado",IF(OR(H2088&lt;=0,I2088&lt;=0),"Descartar - Qtd/Valor inválido","OK")))</f>
        <v>OK</v>
      </c>
      <c r="T2088" s="4" t="str">
        <f aca="false">Base_Bruta!P2088</f>
        <v>vendas_MG.csv</v>
      </c>
    </row>
    <row r="2089" customFormat="false" ht="15" hidden="false" customHeight="false" outlineLevel="0" collapsed="false">
      <c r="A2089" s="4" t="str">
        <f aca="false">IF(Base_Bruta!A2089="","",Base_Bruta!A2089)</f>
        <v>MG-000513</v>
      </c>
      <c r="B2089" s="5" t="n">
        <f aca="false">IF($A2089="","",IF(ISNUMBER(Base_Bruta!B2089),Base_Bruta!B2089,IF(MID(Base_Bruta!B2089,5,1)="-",DATE(VALUE(LEFT(Base_Bruta!B2089,4)),VALUE(MID(Base_Bruta!B2089,6,2)),VALUE(RIGHT(Base_Bruta!B2089,2))),DATE(VALUE(RIGHT(Base_Bruta!B2089,4)),VALUE(MID(Base_Bruta!B2089,4,2)),VALUE(LEFT(Base_Bruta!B2089,2))))))</f>
        <v>46196</v>
      </c>
      <c r="C2089" s="5" t="n">
        <f aca="false">IF($A2089="","",IF(ISNUMBER(Base_Bruta!C2089),Base_Bruta!C2089,IF(MID(Base_Bruta!C2089,5,1)="-",DATE(VALUE(LEFT(Base_Bruta!C2089,4)),VALUE(MID(Base_Bruta!C2089,6,2)),VALUE(RIGHT(Base_Bruta!C2089,2))),DATE(VALUE(RIGHT(Base_Bruta!C2089,4)),VALUE(MID(Base_Bruta!C2089,4,2)),VALUE(LEFT(Base_Bruta!C2089,2))))))</f>
        <v>46199</v>
      </c>
      <c r="D2089" s="4" t="str">
        <f aca="false">IF($A2089="","",TRIM(Base_Bruta!D2089))</f>
        <v>Cinema Savassi - Sessões</v>
      </c>
      <c r="E2089" s="4" t="str">
        <f aca="false">IF($A2089="","",_xlfn.XLOOKUP(LOWER(TRIM(Base_Bruta!E2089)),DePara_Categoria!$A$2:$A$9,DePara_Categoria!$B$2:$B$9,"REVISAR"))</f>
        <v>Cinema</v>
      </c>
      <c r="F2089" s="4" t="str">
        <f aca="false">IF($A2089="","",_xlfn.XLOOKUP(LOWER(TRIM(Base_Bruta!F2089)),DePara_Cidade!$A$2:$A$29,DePara_Cidade!$B$2:$B$29,"REVISAR"))</f>
        <v>Belo Horizonte</v>
      </c>
      <c r="G2089" s="4" t="str">
        <f aca="false">IF($A2089="","",TRIM(Base_Bruta!G2089))</f>
        <v>Meia</v>
      </c>
      <c r="H2089" s="4" t="n">
        <f aca="false">IF($A2089="","",IF(ISNUMBER(Base_Bruta!H2089),Base_Bruta!H2089,IFERROR(_xlfn.NUMBERVALUE(TRIM(SUBSTITUTE(Base_Bruta!H2089,"R$","")),",","."),0)))</f>
        <v>1</v>
      </c>
      <c r="I2089" s="6" t="n">
        <f aca="false">IF($A2089="","",IF(ISNUMBER(Base_Bruta!I2089),Base_Bruta!I2089,IFERROR(_xlfn.NUMBERVALUE(TRIM(SUBSTITUTE(Base_Bruta!I2089,"R$","")),",","."),0)))</f>
        <v>22.5</v>
      </c>
      <c r="J2089" s="6" t="n">
        <f aca="false">IF($A2089="","",H2089*I2089)</f>
        <v>22.5</v>
      </c>
      <c r="K2089" s="4" t="str">
        <f aca="false">IF($A2089="","",TRIM(Base_Bruta!J2089))</f>
        <v>Bilheteria</v>
      </c>
      <c r="L2089" s="4" t="str">
        <f aca="false">IF($A2089="","",TRIM(Base_Bruta!K2089))</f>
        <v>C00166</v>
      </c>
      <c r="M2089" s="4" t="str">
        <f aca="false">IF($A2089="","",_xlfn.XLOOKUP(LOWER(TRIM(Base_Bruta!L2089)),DePara_Cidade!$A$2:$A$29,DePara_Cidade!$B$2:$B$29,"REVISAR"))</f>
        <v>Belo Horizonte</v>
      </c>
      <c r="N2089" s="4" t="str">
        <f aca="false">IF($A2089="","",UPPER(TRIM(Base_Bruta!M2089)))</f>
        <v>MG</v>
      </c>
      <c r="O2089" s="4" t="str">
        <f aca="false">IF($A2089="","",_xlfn.XLOOKUP(LOWER(TRIM(Base_Bruta!N2089)),DePara_Pais!$A$2:$A$9,DePara_Pais!$B$2:$B$9,"REVISAR"))</f>
        <v>Brasil</v>
      </c>
      <c r="P2089" s="4" t="str">
        <f aca="false">IF($A2089="","",IF(O2089&lt;&gt;"Brasil","Turista Internacional",IF(M2089=F2089,"Local","Turista Nacional")))</f>
        <v>Local</v>
      </c>
      <c r="Q2089" s="7" t="n">
        <f aca="false">IF($A2089="","",DATE(YEAR(B2089),MONTH(B2089),1))</f>
        <v>46174</v>
      </c>
      <c r="R2089" s="4" t="str">
        <f aca="false">IF($A2089="","",IF(COUNTIF($A$2:$A2089,$A2089)&gt;1,"Sim","Não"))</f>
        <v>Não</v>
      </c>
      <c r="S2089" s="4" t="str">
        <f aca="false">IF(A2089="","Descartar - Linha vazia",IF(R2089="Sim","Descartar - Duplicado",IF(OR(H2089&lt;=0,I2089&lt;=0),"Descartar - Qtd/Valor inválido","OK")))</f>
        <v>OK</v>
      </c>
      <c r="T2089" s="4" t="str">
        <f aca="false">Base_Bruta!P2089</f>
        <v>vendas_MG.csv</v>
      </c>
    </row>
    <row r="2090" customFormat="false" ht="15" hidden="false" customHeight="false" outlineLevel="0" collapsed="false">
      <c r="A2090" s="4" t="str">
        <f aca="false">IF(Base_Bruta!A2090="","",Base_Bruta!A2090)</f>
        <v>MG-000492</v>
      </c>
      <c r="B2090" s="5" t="n">
        <f aca="false">IF($A2090="","",IF(ISNUMBER(Base_Bruta!B2090),Base_Bruta!B2090,IF(MID(Base_Bruta!B2090,5,1)="-",DATE(VALUE(LEFT(Base_Bruta!B2090,4)),VALUE(MID(Base_Bruta!B2090,6,2)),VALUE(RIGHT(Base_Bruta!B2090,2))),DATE(VALUE(RIGHT(Base_Bruta!B2090,4)),VALUE(MID(Base_Bruta!B2090,4,2)),VALUE(LEFT(Base_Bruta!B2090,2))))))</f>
        <v>46198</v>
      </c>
      <c r="C2090" s="5" t="n">
        <f aca="false">IF($A2090="","",IF(ISNUMBER(Base_Bruta!C2090),Base_Bruta!C2090,IF(MID(Base_Bruta!C2090,5,1)="-",DATE(VALUE(LEFT(Base_Bruta!C2090,4)),VALUE(MID(Base_Bruta!C2090,6,2)),VALUE(RIGHT(Base_Bruta!C2090,2))),DATE(VALUE(RIGHT(Base_Bruta!C2090,4)),VALUE(MID(Base_Bruta!C2090,4,2)),VALUE(LEFT(Base_Bruta!C2090,2))))))</f>
        <v>46200</v>
      </c>
      <c r="D2090" s="4" t="str">
        <f aca="false">IF($A2090="","",TRIM(Base_Bruta!D2090))</f>
        <v>Cinema Savassi - Sessões</v>
      </c>
      <c r="E2090" s="4" t="str">
        <f aca="false">IF($A2090="","",_xlfn.XLOOKUP(LOWER(TRIM(Base_Bruta!E2090)),DePara_Categoria!$A$2:$A$9,DePara_Categoria!$B$2:$B$9,"REVISAR"))</f>
        <v>Cinema</v>
      </c>
      <c r="F2090" s="4" t="str">
        <f aca="false">IF($A2090="","",_xlfn.XLOOKUP(LOWER(TRIM(Base_Bruta!F2090)),DePara_Cidade!$A$2:$A$29,DePara_Cidade!$B$2:$B$29,"REVISAR"))</f>
        <v>Belo Horizonte</v>
      </c>
      <c r="G2090" s="4" t="str">
        <f aca="false">IF($A2090="","",TRIM(Base_Bruta!G2090))</f>
        <v>Meia</v>
      </c>
      <c r="H2090" s="4" t="n">
        <f aca="false">IF($A2090="","",IF(ISNUMBER(Base_Bruta!H2090),Base_Bruta!H2090,IFERROR(_xlfn.NUMBERVALUE(TRIM(SUBSTITUTE(Base_Bruta!H2090,"R$","")),",","."),0)))</f>
        <v>0</v>
      </c>
      <c r="I2090" s="6" t="n">
        <f aca="false">IF($A2090="","",IF(ISNUMBER(Base_Bruta!I2090),Base_Bruta!I2090,IFERROR(_xlfn.NUMBERVALUE(TRIM(SUBSTITUTE(Base_Bruta!I2090,"R$","")),",","."),0)))</f>
        <v>17.5</v>
      </c>
      <c r="J2090" s="6" t="n">
        <f aca="false">IF($A2090="","",H2090*I2090)</f>
        <v>0</v>
      </c>
      <c r="K2090" s="4" t="str">
        <f aca="false">IF($A2090="","",TRIM(Base_Bruta!J2090))</f>
        <v>Bilheteria</v>
      </c>
      <c r="L2090" s="4" t="str">
        <f aca="false">IF($A2090="","",TRIM(Base_Bruta!K2090))</f>
        <v>C00850</v>
      </c>
      <c r="M2090" s="4" t="str">
        <f aca="false">IF($A2090="","",_xlfn.XLOOKUP(LOWER(TRIM(Base_Bruta!L2090)),DePara_Cidade!$A$2:$A$29,DePara_Cidade!$B$2:$B$29,"REVISAR"))</f>
        <v>Belo Horizonte</v>
      </c>
      <c r="N2090" s="4" t="str">
        <f aca="false">IF($A2090="","",UPPER(TRIM(Base_Bruta!M2090)))</f>
        <v>MG</v>
      </c>
      <c r="O2090" s="4" t="str">
        <f aca="false">IF($A2090="","",_xlfn.XLOOKUP(LOWER(TRIM(Base_Bruta!N2090)),DePara_Pais!$A$2:$A$9,DePara_Pais!$B$2:$B$9,"REVISAR"))</f>
        <v>Brasil</v>
      </c>
      <c r="P2090" s="4" t="str">
        <f aca="false">IF($A2090="","",IF(O2090&lt;&gt;"Brasil","Turista Internacional",IF(M2090=F2090,"Local","Turista Nacional")))</f>
        <v>Local</v>
      </c>
      <c r="Q2090" s="7" t="n">
        <f aca="false">IF($A2090="","",DATE(YEAR(B2090),MONTH(B2090),1))</f>
        <v>46174</v>
      </c>
      <c r="R2090" s="4" t="str">
        <f aca="false">IF($A2090="","",IF(COUNTIF($A$2:$A2090,$A2090)&gt;1,"Sim","Não"))</f>
        <v>Não</v>
      </c>
      <c r="S2090" s="4" t="str">
        <f aca="false">IF(A2090="","Descartar - Linha vazia",IF(R2090="Sim","Descartar - Duplicado",IF(OR(H2090&lt;=0,I2090&lt;=0),"Descartar - Qtd/Valor inválido","OK")))</f>
        <v>Descartar - Qtd/Valor inválido</v>
      </c>
      <c r="T2090" s="4" t="str">
        <f aca="false">Base_Bruta!P2090</f>
        <v>vendas_MG.csv</v>
      </c>
    </row>
    <row r="2091" customFormat="false" ht="15" hidden="false" customHeight="false" outlineLevel="0" collapsed="false">
      <c r="A2091" s="4" t="str">
        <f aca="false">IF(Base_Bruta!A2091="","",Base_Bruta!A2091)</f>
        <v>MG-000433</v>
      </c>
      <c r="B2091" s="5" t="n">
        <f aca="false">IF($A2091="","",IF(ISNUMBER(Base_Bruta!B2091),Base_Bruta!B2091,IF(MID(Base_Bruta!B2091,5,1)="-",DATE(VALUE(LEFT(Base_Bruta!B2091,4)),VALUE(MID(Base_Bruta!B2091,6,2)),VALUE(RIGHT(Base_Bruta!B2091,2))),DATE(VALUE(RIGHT(Base_Bruta!B2091,4)),VALUE(MID(Base_Bruta!B2091,4,2)),VALUE(LEFT(Base_Bruta!B2091,2))))))</f>
        <v>46201</v>
      </c>
      <c r="C2091" s="5" t="n">
        <f aca="false">IF($A2091="","",IF(ISNUMBER(Base_Bruta!C2091),Base_Bruta!C2091,IF(MID(Base_Bruta!C2091,5,1)="-",DATE(VALUE(LEFT(Base_Bruta!C2091,4)),VALUE(MID(Base_Bruta!C2091,6,2)),VALUE(RIGHT(Base_Bruta!C2091,2))),DATE(VALUE(RIGHT(Base_Bruta!C2091,4)),VALUE(MID(Base_Bruta!C2091,4,2)),VALUE(LEFT(Base_Bruta!C2091,2))))))</f>
        <v>46201</v>
      </c>
      <c r="D2091" s="4" t="str">
        <f aca="false">IF($A2091="","",TRIM(Base_Bruta!D2091))</f>
        <v>Cinema Savassi - Sessões</v>
      </c>
      <c r="E2091" s="4" t="str">
        <f aca="false">IF($A2091="","",_xlfn.XLOOKUP(LOWER(TRIM(Base_Bruta!E2091)),DePara_Categoria!$A$2:$A$9,DePara_Categoria!$B$2:$B$9,"REVISAR"))</f>
        <v>Cinema</v>
      </c>
      <c r="F2091" s="4" t="str">
        <f aca="false">IF($A2091="","",_xlfn.XLOOKUP(LOWER(TRIM(Base_Bruta!F2091)),DePara_Cidade!$A$2:$A$29,DePara_Cidade!$B$2:$B$29,"REVISAR"))</f>
        <v>Belo Horizonte</v>
      </c>
      <c r="G2091" s="4" t="str">
        <f aca="false">IF($A2091="","",TRIM(Base_Bruta!G2091))</f>
        <v>Meia</v>
      </c>
      <c r="H2091" s="4" t="n">
        <f aca="false">IF($A2091="","",IF(ISNUMBER(Base_Bruta!H2091),Base_Bruta!H2091,IFERROR(_xlfn.NUMBERVALUE(TRIM(SUBSTITUTE(Base_Bruta!H2091,"R$","")),",","."),0)))</f>
        <v>2</v>
      </c>
      <c r="I2091" s="6" t="n">
        <f aca="false">IF($A2091="","",IF(ISNUMBER(Base_Bruta!I2091),Base_Bruta!I2091,IFERROR(_xlfn.NUMBERVALUE(TRIM(SUBSTITUTE(Base_Bruta!I2091,"R$","")),",","."),0)))</f>
        <v>22.5</v>
      </c>
      <c r="J2091" s="6" t="n">
        <f aca="false">IF($A2091="","",H2091*I2091)</f>
        <v>45</v>
      </c>
      <c r="K2091" s="4" t="str">
        <f aca="false">IF($A2091="","",TRIM(Base_Bruta!J2091))</f>
        <v>App</v>
      </c>
      <c r="L2091" s="4" t="str">
        <f aca="false">IF($A2091="","",TRIM(Base_Bruta!K2091))</f>
        <v>C01949</v>
      </c>
      <c r="M2091" s="4" t="str">
        <f aca="false">IF($A2091="","",_xlfn.XLOOKUP(LOWER(TRIM(Base_Bruta!L2091)),DePara_Cidade!$A$2:$A$29,DePara_Cidade!$B$2:$B$29,"REVISAR"))</f>
        <v>Belo Horizonte</v>
      </c>
      <c r="N2091" s="4" t="str">
        <f aca="false">IF($A2091="","",UPPER(TRIM(Base_Bruta!M2091)))</f>
        <v>MG</v>
      </c>
      <c r="O2091" s="4" t="str">
        <f aca="false">IF($A2091="","",_xlfn.XLOOKUP(LOWER(TRIM(Base_Bruta!N2091)),DePara_Pais!$A$2:$A$9,DePara_Pais!$B$2:$B$9,"REVISAR"))</f>
        <v>Brasil</v>
      </c>
      <c r="P2091" s="4" t="str">
        <f aca="false">IF($A2091="","",IF(O2091&lt;&gt;"Brasil","Turista Internacional",IF(M2091=F2091,"Local","Turista Nacional")))</f>
        <v>Local</v>
      </c>
      <c r="Q2091" s="7" t="n">
        <f aca="false">IF($A2091="","",DATE(YEAR(B2091),MONTH(B2091),1))</f>
        <v>46174</v>
      </c>
      <c r="R2091" s="4" t="str">
        <f aca="false">IF($A2091="","",IF(COUNTIF($A$2:$A2091,$A2091)&gt;1,"Sim","Não"))</f>
        <v>Não</v>
      </c>
      <c r="S2091" s="4" t="str">
        <f aca="false">IF(A2091="","Descartar - Linha vazia",IF(R2091="Sim","Descartar - Duplicado",IF(OR(H2091&lt;=0,I2091&lt;=0),"Descartar - Qtd/Valor inválido","OK")))</f>
        <v>OK</v>
      </c>
      <c r="T2091" s="4" t="str">
        <f aca="false">Base_Bruta!P2091</f>
        <v>vendas_MG.csv</v>
      </c>
    </row>
    <row r="2092" customFormat="false" ht="15" hidden="false" customHeight="false" outlineLevel="0" collapsed="false">
      <c r="A2092" s="4" t="str">
        <f aca="false">IF(Base_Bruta!A2092="","",Base_Bruta!A2092)</f>
        <v>MG-000491</v>
      </c>
      <c r="B2092" s="5" t="n">
        <f aca="false">IF($A2092="","",IF(ISNUMBER(Base_Bruta!B2092),Base_Bruta!B2092,IF(MID(Base_Bruta!B2092,5,1)="-",DATE(VALUE(LEFT(Base_Bruta!B2092,4)),VALUE(MID(Base_Bruta!B2092,6,2)),VALUE(RIGHT(Base_Bruta!B2092,2))),DATE(VALUE(RIGHT(Base_Bruta!B2092,4)),VALUE(MID(Base_Bruta!B2092,4,2)),VALUE(LEFT(Base_Bruta!B2092,2))))))</f>
        <v>46203</v>
      </c>
      <c r="C2092" s="5" t="n">
        <f aca="false">IF($A2092="","",IF(ISNUMBER(Base_Bruta!C2092),Base_Bruta!C2092,IF(MID(Base_Bruta!C2092,5,1)="-",DATE(VALUE(LEFT(Base_Bruta!C2092,4)),VALUE(MID(Base_Bruta!C2092,6,2)),VALUE(RIGHT(Base_Bruta!C2092,2))),DATE(VALUE(RIGHT(Base_Bruta!C2092,4)),VALUE(MID(Base_Bruta!C2092,4,2)),VALUE(LEFT(Base_Bruta!C2092,2))))))</f>
        <v>46203</v>
      </c>
      <c r="D2092" s="4" t="str">
        <f aca="false">IF($A2092="","",TRIM(Base_Bruta!D2092))</f>
        <v>Cinema Savassi - Sessões</v>
      </c>
      <c r="E2092" s="4" t="str">
        <f aca="false">IF($A2092="","",_xlfn.XLOOKUP(LOWER(TRIM(Base_Bruta!E2092)),DePara_Categoria!$A$2:$A$9,DePara_Categoria!$B$2:$B$9,"REVISAR"))</f>
        <v>Cinema</v>
      </c>
      <c r="F2092" s="4" t="str">
        <f aca="false">IF($A2092="","",_xlfn.XLOOKUP(LOWER(TRIM(Base_Bruta!F2092)),DePara_Cidade!$A$2:$A$29,DePara_Cidade!$B$2:$B$29,"REVISAR"))</f>
        <v>Belo Horizonte</v>
      </c>
      <c r="G2092" s="4" t="str">
        <f aca="false">IF($A2092="","",TRIM(Base_Bruta!G2092))</f>
        <v>Inteira</v>
      </c>
      <c r="H2092" s="4" t="n">
        <f aca="false">IF($A2092="","",IF(ISNUMBER(Base_Bruta!H2092),Base_Bruta!H2092,IFERROR(_xlfn.NUMBERVALUE(TRIM(SUBSTITUTE(Base_Bruta!H2092,"R$","")),",","."),0)))</f>
        <v>1</v>
      </c>
      <c r="I2092" s="6" t="n">
        <f aca="false">IF($A2092="","",IF(ISNUMBER(Base_Bruta!I2092),Base_Bruta!I2092,IFERROR(_xlfn.NUMBERVALUE(TRIM(SUBSTITUTE(Base_Bruta!I2092,"R$","")),",","."),0)))</f>
        <v>30</v>
      </c>
      <c r="J2092" s="6" t="n">
        <f aca="false">IF($A2092="","",H2092*I2092)</f>
        <v>30</v>
      </c>
      <c r="K2092" s="4" t="str">
        <f aca="false">IF($A2092="","",TRIM(Base_Bruta!J2092))</f>
        <v>Site</v>
      </c>
      <c r="L2092" s="4" t="str">
        <f aca="false">IF($A2092="","",TRIM(Base_Bruta!K2092))</f>
        <v>C00215</v>
      </c>
      <c r="M2092" s="4" t="str">
        <f aca="false">IF($A2092="","",_xlfn.XLOOKUP(LOWER(TRIM(Base_Bruta!L2092)),DePara_Cidade!$A$2:$A$29,DePara_Cidade!$B$2:$B$29,"REVISAR"))</f>
        <v>Belo Horizonte</v>
      </c>
      <c r="N2092" s="4" t="str">
        <f aca="false">IF($A2092="","",UPPER(TRIM(Base_Bruta!M2092)))</f>
        <v>MG</v>
      </c>
      <c r="O2092" s="4" t="str">
        <f aca="false">IF($A2092="","",_xlfn.XLOOKUP(LOWER(TRIM(Base_Bruta!N2092)),DePara_Pais!$A$2:$A$9,DePara_Pais!$B$2:$B$9,"REVISAR"))</f>
        <v>Brasil</v>
      </c>
      <c r="P2092" s="4" t="str">
        <f aca="false">IF($A2092="","",IF(O2092&lt;&gt;"Brasil","Turista Internacional",IF(M2092=F2092,"Local","Turista Nacional")))</f>
        <v>Local</v>
      </c>
      <c r="Q2092" s="7" t="n">
        <f aca="false">IF($A2092="","",DATE(YEAR(B2092),MONTH(B2092),1))</f>
        <v>46174</v>
      </c>
      <c r="R2092" s="4" t="str">
        <f aca="false">IF($A2092="","",IF(COUNTIF($A$2:$A2092,$A2092)&gt;1,"Sim","Não"))</f>
        <v>Não</v>
      </c>
      <c r="S2092" s="4" t="str">
        <f aca="false">IF(A2092="","Descartar - Linha vazia",IF(R2092="Sim","Descartar - Duplicado",IF(OR(H2092&lt;=0,I2092&lt;=0),"Descartar - Qtd/Valor inválido","OK")))</f>
        <v>OK</v>
      </c>
      <c r="T2092" s="4" t="str">
        <f aca="false">Base_Bruta!P2092</f>
        <v>vendas_MG.csv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3" t="s">
        <v>5211</v>
      </c>
      <c r="B1" s="3" t="s">
        <v>5212</v>
      </c>
      <c r="C1" s="3" t="s">
        <v>5213</v>
      </c>
    </row>
    <row r="2" customFormat="false" ht="15" hidden="false" customHeight="false" outlineLevel="0" collapsed="false">
      <c r="A2" s="4" t="s">
        <v>5214</v>
      </c>
      <c r="B2" s="4" t="n">
        <f aca="false">COUNTA(Tratamento!T2:T2092)</f>
        <v>2091</v>
      </c>
      <c r="C2" s="4" t="s">
        <v>5215</v>
      </c>
    </row>
    <row r="3" customFormat="false" ht="15" hidden="false" customHeight="false" outlineLevel="0" collapsed="false">
      <c r="A3" s="4" t="s">
        <v>5216</v>
      </c>
      <c r="B3" s="4" t="n">
        <f aca="false">COUNTIF(Tratamento!S2:S2092,"Descartar - Linha vazia")</f>
        <v>12</v>
      </c>
      <c r="C3" s="4" t="s">
        <v>5217</v>
      </c>
    </row>
    <row r="4" customFormat="false" ht="15" hidden="false" customHeight="false" outlineLevel="0" collapsed="false">
      <c r="A4" s="4" t="s">
        <v>5218</v>
      </c>
      <c r="B4" s="4" t="n">
        <f aca="false">COUNTIF(Tratamento!S2:S2092,"Descartar - Duplicado")</f>
        <v>49</v>
      </c>
      <c r="C4" s="4" t="s">
        <v>5219</v>
      </c>
    </row>
    <row r="5" customFormat="false" ht="15" hidden="false" customHeight="false" outlineLevel="0" collapsed="false">
      <c r="A5" s="4" t="s">
        <v>5220</v>
      </c>
      <c r="B5" s="4" t="n">
        <f aca="false">COUNTIF(Tratamento!S2:S2092,"Descartar - Qtd/Valor inválido")</f>
        <v>30</v>
      </c>
      <c r="C5" s="4" t="s">
        <v>5221</v>
      </c>
    </row>
    <row r="6" customFormat="false" ht="15" hidden="false" customHeight="false" outlineLevel="0" collapsed="false">
      <c r="A6" s="4" t="s">
        <v>5222</v>
      </c>
      <c r="B6" s="4" t="n">
        <f aca="false">COUNTIF(Tratamento!S2:S2092,"OK")</f>
        <v>2000</v>
      </c>
      <c r="C6" s="4" t="s">
        <v>5223</v>
      </c>
    </row>
    <row r="7" customFormat="false" ht="15" hidden="false" customHeight="false" outlineLevel="0" collapsed="false">
      <c r="A7" s="4" t="s">
        <v>5224</v>
      </c>
      <c r="B7" s="4" t="str">
        <f aca="false">IF(B2=SUM(B3:B6),"OK","DIVERGENTE")</f>
        <v>OK</v>
      </c>
      <c r="C7" s="4" t="s">
        <v>5225</v>
      </c>
    </row>
    <row r="8" customFormat="false" ht="15" hidden="false" customHeight="false" outlineLevel="0" collapsed="false">
      <c r="A8" s="4" t="s">
        <v>5226</v>
      </c>
      <c r="B8" s="4" t="n">
        <f aca="false">COUNTIF(Tratamento!E2:O2092,"REVISAR")</f>
        <v>0</v>
      </c>
      <c r="C8" s="4" t="s">
        <v>5227</v>
      </c>
    </row>
    <row r="9" customFormat="false" ht="15" hidden="false" customHeight="false" outlineLevel="0" collapsed="false">
      <c r="A9" s="4" t="s">
        <v>5228</v>
      </c>
      <c r="B9" s="4" t="n">
        <f aca="false">SUMPRODUCT(--ISERROR(Tratamento!A2:T2092))</f>
        <v>0</v>
      </c>
      <c r="C9" s="4" t="s">
        <v>5227</v>
      </c>
    </row>
    <row r="10" customFormat="false" ht="15" hidden="false" customHeight="false" outlineLevel="0" collapsed="false">
      <c r="A10" s="4" t="s">
        <v>5229</v>
      </c>
      <c r="B10" s="8" t="str">
        <f aca="false">IF(AND(B7="OK",B8=0,B9=0),"APROVADO","REVISAR")</f>
        <v>APROVADO</v>
      </c>
      <c r="C10" s="4" t="s">
        <v>5230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6" min="5" style="0" width="20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9" t="s">
        <v>5231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</row>
    <row r="3" customFormat="false" ht="26.85" hidden="false" customHeight="false" outlineLevel="0" collapsed="false">
      <c r="A3" s="3" t="s">
        <v>21</v>
      </c>
      <c r="B3" s="3" t="s">
        <v>5232</v>
      </c>
      <c r="C3" s="3" t="s">
        <v>5233</v>
      </c>
      <c r="D3" s="3" t="s">
        <v>5234</v>
      </c>
      <c r="E3" s="3" t="s">
        <v>5235</v>
      </c>
      <c r="F3" s="3" t="s">
        <v>5236</v>
      </c>
      <c r="G3" s="3" t="s">
        <v>5237</v>
      </c>
    </row>
    <row r="4" customFormat="false" ht="15" hidden="false" customHeight="false" outlineLevel="0" collapsed="false">
      <c r="A4" s="4" t="s">
        <v>627</v>
      </c>
      <c r="B4" s="6" t="n">
        <f aca="false">SUMIFS(Tratamento!$J$2:$J$2092,Tratamento!$E$2:$E$2092,$A4,Tratamento!$S$2:$S$2092,"OK")</f>
        <v>1460022.5</v>
      </c>
      <c r="C4" s="10" t="n">
        <f aca="false">SUMIFS(Tratamento!$H$2:$H$2092,Tratamento!$E$2:$E$2092,$A4,Tratamento!$S$2:$S$2092,"OK")</f>
        <v>1725</v>
      </c>
      <c r="D4" s="6" t="n">
        <f aca="false">IF(C4=0,0,B4/C4)</f>
        <v>846.389855072464</v>
      </c>
      <c r="E4" s="6" t="n">
        <f aca="false">SUMIFS(Tratamento!$J$2:$J$2092,Tratamento!$E$2:$E$2092,$A4,Tratamento!$S$2:$S$2092,"OK",Tratamento!$P$2:$P$2092,"&lt;&gt;Local")</f>
        <v>656305</v>
      </c>
      <c r="F4" s="11" t="n">
        <f aca="false">IF(B4=0,0,E4/B4)</f>
        <v>0.449517045114031</v>
      </c>
      <c r="G4" s="11" t="n">
        <f aca="false">IF($B$7=0,0,B4/$B$7)</f>
        <v>0.716535896790975</v>
      </c>
    </row>
    <row r="5" customFormat="false" ht="15" hidden="false" customHeight="false" outlineLevel="0" collapsed="false">
      <c r="A5" s="4" t="s">
        <v>306</v>
      </c>
      <c r="B5" s="6" t="n">
        <f aca="false">SUMIFS(Tratamento!$J$2:$J$2092,Tratamento!$E$2:$E$2092,$A5,Tratamento!$S$2:$S$2092,"OK")</f>
        <v>548412.5</v>
      </c>
      <c r="C5" s="10" t="n">
        <f aca="false">SUMIFS(Tratamento!$H$2:$H$2092,Tratamento!$E$2:$E$2092,$A5,Tratamento!$S$2:$S$2092,"OK")</f>
        <v>1155</v>
      </c>
      <c r="D5" s="6" t="n">
        <f aca="false">IF(C5=0,0,B5/C5)</f>
        <v>474.816017316017</v>
      </c>
      <c r="E5" s="6" t="n">
        <f aca="false">SUMIFS(Tratamento!$J$2:$J$2092,Tratamento!$E$2:$E$2092,$A5,Tratamento!$S$2:$S$2092,"OK",Tratamento!$P$2:$P$2092,"&lt;&gt;Local")</f>
        <v>212807.5</v>
      </c>
      <c r="F5" s="11" t="n">
        <f aca="false">IF(B5=0,0,E5/B5)</f>
        <v>0.388042759783922</v>
      </c>
      <c r="G5" s="11" t="n">
        <f aca="false">IF($B$7=0,0,B5/$B$7)</f>
        <v>0.269144648454993</v>
      </c>
    </row>
    <row r="6" customFormat="false" ht="15" hidden="false" customHeight="false" outlineLevel="0" collapsed="false">
      <c r="A6" s="4" t="s">
        <v>36</v>
      </c>
      <c r="B6" s="6" t="n">
        <f aca="false">SUMIFS(Tratamento!$J$2:$J$2092,Tratamento!$E$2:$E$2092,$A6,Tratamento!$S$2:$S$2092,"OK")</f>
        <v>29177.5</v>
      </c>
      <c r="C6" s="10" t="n">
        <f aca="false">SUMIFS(Tratamento!$H$2:$H$2092,Tratamento!$E$2:$E$2092,$A6,Tratamento!$S$2:$S$2092,"OK")</f>
        <v>924</v>
      </c>
      <c r="D6" s="6" t="n">
        <f aca="false">IF(C6=0,0,B6/C6)</f>
        <v>31.577380952381</v>
      </c>
      <c r="E6" s="6" t="n">
        <f aca="false">SUMIFS(Tratamento!$J$2:$J$2092,Tratamento!$E$2:$E$2092,$A6,Tratamento!$S$2:$S$2092,"OK",Tratamento!$P$2:$P$2092,"&lt;&gt;Local")</f>
        <v>1757.5</v>
      </c>
      <c r="F6" s="11" t="n">
        <f aca="false">IF(B6=0,0,E6/B6)</f>
        <v>0.0602347699425928</v>
      </c>
      <c r="G6" s="11" t="n">
        <f aca="false">IF($B$7=0,0,B6/$B$7)</f>
        <v>0.014319454754032</v>
      </c>
    </row>
    <row r="7" customFormat="false" ht="15" hidden="false" customHeight="false" outlineLevel="0" collapsed="false">
      <c r="A7" s="12" t="s">
        <v>5238</v>
      </c>
      <c r="B7" s="13" t="n">
        <f aca="false">SUM(B4:B6)</f>
        <v>2037612.5</v>
      </c>
      <c r="C7" s="14" t="n">
        <f aca="false">SUM(C4:C6)</f>
        <v>3804</v>
      </c>
      <c r="D7" s="13" t="n">
        <f aca="false">IF(C7=0,0,B7/C7)</f>
        <v>535.649973711882</v>
      </c>
      <c r="E7" s="13" t="n">
        <f aca="false">SUM(E4:E6)</f>
        <v>870870</v>
      </c>
      <c r="F7" s="15" t="n">
        <f aca="false">IF(B7=0,0,E7/B7)</f>
        <v>0.427397260273973</v>
      </c>
      <c r="G7" s="15" t="n">
        <f aca="false">SUM(G4:G6)</f>
        <v>1</v>
      </c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</row>
    <row r="10" customFormat="false" ht="15" hidden="false" customHeight="false" outlineLevel="0" collapsed="false">
      <c r="A10" s="16" t="s">
        <v>5239</v>
      </c>
      <c r="B10" s="4"/>
      <c r="C10" s="4"/>
      <c r="D10" s="4"/>
      <c r="E10" s="4"/>
      <c r="F10" s="4"/>
      <c r="G10" s="4"/>
    </row>
    <row r="11" customFormat="false" ht="15" hidden="false" customHeight="false" outlineLevel="0" collapsed="false">
      <c r="A11" s="3" t="s">
        <v>5240</v>
      </c>
      <c r="B11" s="3" t="s">
        <v>5241</v>
      </c>
      <c r="C11" s="3" t="s">
        <v>5242</v>
      </c>
      <c r="D11" s="3" t="s">
        <v>5243</v>
      </c>
      <c r="E11" s="3" t="s">
        <v>5238</v>
      </c>
      <c r="F11" s="3" t="s">
        <v>5244</v>
      </c>
      <c r="G11" s="4"/>
    </row>
    <row r="12" customFormat="false" ht="15" hidden="false" customHeight="false" outlineLevel="0" collapsed="false">
      <c r="A12" s="4" t="s">
        <v>42</v>
      </c>
      <c r="B12" s="6" t="n">
        <f aca="false">SUMIFS(Tratamento!$J$2:$J$2092,Tratamento!$F$2:$F$2092,$A12,Tratamento!$P$2:$P$2092,B$11,Tratamento!$S$2:$S$2092,"OK")</f>
        <v>493375</v>
      </c>
      <c r="C12" s="6" t="n">
        <f aca="false">SUMIFS(Tratamento!$J$2:$J$2092,Tratamento!$F$2:$F$2092,$A12,Tratamento!$P$2:$P$2092,C$11,Tratamento!$S$2:$S$2092,"OK")</f>
        <v>290455</v>
      </c>
      <c r="D12" s="6" t="n">
        <f aca="false">SUMIFS(Tratamento!$J$2:$J$2092,Tratamento!$F$2:$F$2092,$A12,Tratamento!$P$2:$P$2092,D$11,Tratamento!$S$2:$S$2092,"OK")</f>
        <v>74825</v>
      </c>
      <c r="E12" s="6" t="n">
        <f aca="false">SUM(B12:D12)</f>
        <v>858655</v>
      </c>
      <c r="F12" s="11" t="n">
        <f aca="false">IF(E12=0,0,(C12+D12)/E12)</f>
        <v>0.425409506728546</v>
      </c>
      <c r="G12" s="4"/>
    </row>
    <row r="13" customFormat="false" ht="15" hidden="false" customHeight="false" outlineLevel="0" collapsed="false">
      <c r="A13" s="4" t="s">
        <v>376</v>
      </c>
      <c r="B13" s="6" t="n">
        <f aca="false">SUMIFS(Tratamento!$J$2:$J$2092,Tratamento!$F$2:$F$2092,$A13,Tratamento!$P$2:$P$2092,B$11,Tratamento!$S$2:$S$2092,"OK")</f>
        <v>374945</v>
      </c>
      <c r="C13" s="6" t="n">
        <f aca="false">SUMIFS(Tratamento!$J$2:$J$2092,Tratamento!$F$2:$F$2092,$A13,Tratamento!$P$2:$P$2092,C$11,Tratamento!$S$2:$S$2092,"OK")</f>
        <v>240265</v>
      </c>
      <c r="D13" s="6" t="n">
        <f aca="false">SUMIFS(Tratamento!$J$2:$J$2092,Tratamento!$F$2:$F$2092,$A13,Tratamento!$P$2:$P$2092,D$11,Tratamento!$S$2:$S$2092,"OK")</f>
        <v>48107.5</v>
      </c>
      <c r="E13" s="6" t="n">
        <f aca="false">SUM(B13:D13)</f>
        <v>663317.5</v>
      </c>
      <c r="F13" s="11" t="n">
        <f aca="false">IF(E13=0,0,(C13+D13)/E13)</f>
        <v>0.434742789086674</v>
      </c>
      <c r="G13" s="4"/>
    </row>
    <row r="14" customFormat="false" ht="15" hidden="false" customHeight="false" outlineLevel="0" collapsed="false">
      <c r="A14" s="4" t="s">
        <v>736</v>
      </c>
      <c r="B14" s="6" t="n">
        <f aca="false">SUMIFS(Tratamento!$J$2:$J$2092,Tratamento!$F$2:$F$2092,$A14,Tratamento!$P$2:$P$2092,B$11,Tratamento!$S$2:$S$2092,"OK")</f>
        <v>298422.5</v>
      </c>
      <c r="C14" s="6" t="n">
        <f aca="false">SUMIFS(Tratamento!$J$2:$J$2092,Tratamento!$F$2:$F$2092,$A14,Tratamento!$P$2:$P$2092,C$11,Tratamento!$S$2:$S$2092,"OK")</f>
        <v>185712.5</v>
      </c>
      <c r="D14" s="6" t="n">
        <f aca="false">SUMIFS(Tratamento!$J$2:$J$2092,Tratamento!$F$2:$F$2092,$A14,Tratamento!$P$2:$P$2092,D$11,Tratamento!$S$2:$S$2092,"OK")</f>
        <v>31505</v>
      </c>
      <c r="E14" s="6" t="n">
        <f aca="false">SUM(B14:D14)</f>
        <v>515640</v>
      </c>
      <c r="F14" s="11" t="n">
        <f aca="false">IF(E14=0,0,(C14+D14)/E14)</f>
        <v>0.421258048250718</v>
      </c>
      <c r="G14" s="4"/>
    </row>
    <row r="15" customFormat="false" ht="15" hidden="false" customHeight="false" outlineLevel="0" collapsed="false">
      <c r="A15" s="12" t="s">
        <v>5238</v>
      </c>
      <c r="B15" s="13" t="n">
        <f aca="false">SUM(B12:B14)</f>
        <v>1166742.5</v>
      </c>
      <c r="C15" s="13" t="n">
        <f aca="false">SUM(C12:C14)</f>
        <v>716432.5</v>
      </c>
      <c r="D15" s="13" t="n">
        <f aca="false">SUM(D12:D14)</f>
        <v>154437.5</v>
      </c>
      <c r="E15" s="13" t="n">
        <f aca="false">SUM(E12:E14)</f>
        <v>2037612.5</v>
      </c>
      <c r="F15" s="15" t="n">
        <f aca="false">IF(E15=0,0,(C15+D15)/E15)</f>
        <v>0.427397260273973</v>
      </c>
      <c r="G15" s="12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</row>
    <row r="18" customFormat="false" ht="15" hidden="false" customHeight="false" outlineLevel="0" collapsed="false">
      <c r="A18" s="16" t="s">
        <v>5245</v>
      </c>
      <c r="B18" s="4"/>
      <c r="C18" s="4"/>
      <c r="D18" s="4"/>
      <c r="E18" s="4"/>
      <c r="F18" s="4"/>
      <c r="G18" s="4"/>
    </row>
    <row r="19" customFormat="false" ht="15" hidden="false" customHeight="false" outlineLevel="0" collapsed="false">
      <c r="A19" s="3" t="s">
        <v>5246</v>
      </c>
      <c r="B19" s="3" t="s">
        <v>5212</v>
      </c>
      <c r="C19" s="4"/>
      <c r="D19" s="4"/>
      <c r="E19" s="4"/>
      <c r="F19" s="4"/>
      <c r="G19" s="4"/>
    </row>
    <row r="20" customFormat="false" ht="15" hidden="false" customHeight="false" outlineLevel="0" collapsed="false">
      <c r="A20" s="4" t="s">
        <v>5247</v>
      </c>
      <c r="B20" s="6" t="n">
        <f aca="false">B7</f>
        <v>2037612.5</v>
      </c>
      <c r="C20" s="4"/>
      <c r="D20" s="4"/>
      <c r="E20" s="4"/>
      <c r="F20" s="4"/>
      <c r="G20" s="4"/>
    </row>
    <row r="21" customFormat="false" ht="15" hidden="false" customHeight="false" outlineLevel="0" collapsed="false">
      <c r="A21" s="4" t="s">
        <v>5248</v>
      </c>
      <c r="B21" s="10" t="n">
        <f aca="false">C7</f>
        <v>3804</v>
      </c>
      <c r="C21" s="4"/>
      <c r="D21" s="4"/>
      <c r="E21" s="4"/>
      <c r="F21" s="4"/>
      <c r="G21" s="4"/>
    </row>
    <row r="22" customFormat="false" ht="15" hidden="false" customHeight="false" outlineLevel="0" collapsed="false">
      <c r="A22" s="4" t="s">
        <v>5249</v>
      </c>
      <c r="B22" s="10" t="n">
        <f aca="false">COUNTIF(Tratamento!$S$2:$S$2092,"OK")</f>
        <v>2000</v>
      </c>
      <c r="C22" s="4"/>
      <c r="D22" s="4"/>
      <c r="E22" s="4"/>
      <c r="F22" s="4"/>
      <c r="G22" s="4"/>
    </row>
    <row r="23" customFormat="false" ht="15" hidden="false" customHeight="false" outlineLevel="0" collapsed="false">
      <c r="A23" s="4" t="s">
        <v>5250</v>
      </c>
      <c r="B23" s="6" t="n">
        <f aca="false">D7</f>
        <v>535.649973711882</v>
      </c>
      <c r="C23" s="4"/>
      <c r="D23" s="4"/>
      <c r="E23" s="4"/>
      <c r="F23" s="4"/>
      <c r="G23" s="4"/>
    </row>
    <row r="24" customFormat="false" ht="15" hidden="false" customHeight="false" outlineLevel="0" collapsed="false">
      <c r="A24" s="4" t="s">
        <v>5251</v>
      </c>
      <c r="B24" s="6" t="n">
        <f aca="false">IF(B22=0,0,B20/B22)</f>
        <v>1018.80625</v>
      </c>
      <c r="C24" s="4"/>
      <c r="D24" s="4"/>
      <c r="E24" s="4"/>
      <c r="F24" s="4"/>
      <c r="G24" s="4"/>
    </row>
    <row r="25" customFormat="false" ht="15" hidden="false" customHeight="false" outlineLevel="0" collapsed="false">
      <c r="A25" s="4" t="s">
        <v>5252</v>
      </c>
      <c r="B25" s="11" t="n">
        <f aca="false">F7</f>
        <v>0.427397260273973</v>
      </c>
      <c r="C25" s="4"/>
      <c r="D25" s="4"/>
      <c r="E25" s="4"/>
      <c r="F25" s="4"/>
      <c r="G2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3" t="s">
        <v>5253</v>
      </c>
      <c r="B1" s="3" t="s">
        <v>5254</v>
      </c>
    </row>
    <row r="2" customFormat="false" ht="15" hidden="false" customHeight="false" outlineLevel="0" collapsed="false">
      <c r="A2" s="17" t="s">
        <v>5255</v>
      </c>
      <c r="B2" s="17" t="s">
        <v>36</v>
      </c>
    </row>
    <row r="3" customFormat="false" ht="15" hidden="false" customHeight="false" outlineLevel="0" collapsed="false">
      <c r="A3" s="17" t="s">
        <v>89</v>
      </c>
      <c r="B3" s="17" t="s">
        <v>36</v>
      </c>
    </row>
    <row r="4" customFormat="false" ht="15" hidden="false" customHeight="false" outlineLevel="0" collapsed="false">
      <c r="A4" s="17" t="s">
        <v>5256</v>
      </c>
      <c r="B4" s="17" t="s">
        <v>627</v>
      </c>
    </row>
    <row r="5" customFormat="false" ht="15" hidden="false" customHeight="false" outlineLevel="0" collapsed="false">
      <c r="A5" s="17" t="s">
        <v>5257</v>
      </c>
      <c r="B5" s="17" t="s">
        <v>627</v>
      </c>
    </row>
    <row r="6" customFormat="false" ht="15" hidden="false" customHeight="false" outlineLevel="0" collapsed="false">
      <c r="A6" s="17" t="s">
        <v>649</v>
      </c>
      <c r="B6" s="17" t="s">
        <v>627</v>
      </c>
    </row>
    <row r="7" customFormat="false" ht="15" hidden="false" customHeight="false" outlineLevel="0" collapsed="false">
      <c r="A7" s="17" t="s">
        <v>5258</v>
      </c>
      <c r="B7" s="17" t="s">
        <v>36</v>
      </c>
    </row>
    <row r="8" customFormat="false" ht="15" hidden="false" customHeight="false" outlineLevel="0" collapsed="false">
      <c r="A8" s="17" t="s">
        <v>345</v>
      </c>
      <c r="B8" s="17" t="s">
        <v>306</v>
      </c>
    </row>
    <row r="9" customFormat="false" ht="15" hidden="false" customHeight="false" outlineLevel="0" collapsed="false">
      <c r="A9" s="17" t="s">
        <v>5259</v>
      </c>
      <c r="B9" s="17" t="s"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3" t="s">
        <v>5253</v>
      </c>
      <c r="B1" s="3" t="s">
        <v>5254</v>
      </c>
    </row>
    <row r="2" customFormat="false" ht="15" hidden="false" customHeight="false" outlineLevel="0" collapsed="false">
      <c r="A2" s="17" t="s">
        <v>3635</v>
      </c>
      <c r="B2" s="17" t="s">
        <v>736</v>
      </c>
    </row>
    <row r="3" customFormat="false" ht="15" hidden="false" customHeight="false" outlineLevel="0" collapsed="false">
      <c r="A3" s="17" t="s">
        <v>5260</v>
      </c>
      <c r="B3" s="17" t="s">
        <v>736</v>
      </c>
    </row>
    <row r="4" customFormat="false" ht="15" hidden="false" customHeight="false" outlineLevel="0" collapsed="false">
      <c r="A4" s="17" t="s">
        <v>5261</v>
      </c>
      <c r="B4" s="17" t="s">
        <v>706</v>
      </c>
    </row>
    <row r="5" customFormat="false" ht="15" hidden="false" customHeight="false" outlineLevel="0" collapsed="false">
      <c r="A5" s="17" t="s">
        <v>411</v>
      </c>
      <c r="B5" s="17" t="s">
        <v>706</v>
      </c>
    </row>
    <row r="6" customFormat="false" ht="15" hidden="false" customHeight="false" outlineLevel="0" collapsed="false">
      <c r="A6" s="17" t="s">
        <v>355</v>
      </c>
      <c r="B6" s="17" t="s">
        <v>571</v>
      </c>
    </row>
    <row r="7" customFormat="false" ht="15" hidden="false" customHeight="false" outlineLevel="0" collapsed="false">
      <c r="A7" s="17" t="s">
        <v>2130</v>
      </c>
      <c r="B7" s="17" t="s">
        <v>382</v>
      </c>
    </row>
    <row r="8" customFormat="false" ht="15" hidden="false" customHeight="false" outlineLevel="0" collapsed="false">
      <c r="A8" s="17" t="s">
        <v>1682</v>
      </c>
      <c r="B8" s="17" t="s">
        <v>988</v>
      </c>
    </row>
    <row r="9" customFormat="false" ht="15" hidden="false" customHeight="false" outlineLevel="0" collapsed="false">
      <c r="A9" s="17" t="s">
        <v>1352</v>
      </c>
      <c r="B9" s="17" t="s">
        <v>837</v>
      </c>
    </row>
    <row r="10" customFormat="false" ht="15" hidden="false" customHeight="false" outlineLevel="0" collapsed="false">
      <c r="A10" s="17" t="s">
        <v>5262</v>
      </c>
      <c r="B10" s="17" t="s">
        <v>455</v>
      </c>
    </row>
    <row r="11" customFormat="false" ht="15" hidden="false" customHeight="false" outlineLevel="0" collapsed="false">
      <c r="A11" s="17" t="s">
        <v>5263</v>
      </c>
      <c r="B11" s="17" t="s">
        <v>455</v>
      </c>
    </row>
    <row r="12" customFormat="false" ht="15" hidden="false" customHeight="false" outlineLevel="0" collapsed="false">
      <c r="A12" s="17" t="s">
        <v>5264</v>
      </c>
      <c r="B12" s="17" t="s">
        <v>994</v>
      </c>
    </row>
    <row r="13" customFormat="false" ht="15" hidden="false" customHeight="false" outlineLevel="0" collapsed="false">
      <c r="A13" s="17" t="s">
        <v>3075</v>
      </c>
      <c r="B13" s="17" t="s">
        <v>994</v>
      </c>
    </row>
    <row r="14" customFormat="false" ht="15" hidden="false" customHeight="false" outlineLevel="0" collapsed="false">
      <c r="A14" s="17" t="s">
        <v>2890</v>
      </c>
      <c r="B14" s="17" t="s">
        <v>432</v>
      </c>
    </row>
    <row r="15" customFormat="false" ht="15" hidden="false" customHeight="false" outlineLevel="0" collapsed="false">
      <c r="A15" s="17" t="s">
        <v>3991</v>
      </c>
      <c r="B15" s="17" t="s">
        <v>862</v>
      </c>
    </row>
    <row r="16" customFormat="false" ht="15" hidden="false" customHeight="false" outlineLevel="0" collapsed="false">
      <c r="A16" s="17" t="s">
        <v>5265</v>
      </c>
      <c r="B16" s="17" t="s">
        <v>524</v>
      </c>
    </row>
    <row r="17" customFormat="false" ht="15" hidden="false" customHeight="false" outlineLevel="0" collapsed="false">
      <c r="A17" s="17" t="s">
        <v>3217</v>
      </c>
      <c r="B17" s="17" t="s">
        <v>524</v>
      </c>
    </row>
    <row r="18" customFormat="false" ht="15" hidden="false" customHeight="false" outlineLevel="0" collapsed="false">
      <c r="A18" s="17" t="s">
        <v>1783</v>
      </c>
      <c r="B18" s="17" t="s">
        <v>634</v>
      </c>
    </row>
    <row r="19" customFormat="false" ht="15" hidden="false" customHeight="false" outlineLevel="0" collapsed="false">
      <c r="A19" s="17" t="s">
        <v>3398</v>
      </c>
      <c r="B19" s="17" t="s">
        <v>364</v>
      </c>
    </row>
    <row r="20" customFormat="false" ht="15" hidden="false" customHeight="false" outlineLevel="0" collapsed="false">
      <c r="A20" s="17" t="s">
        <v>5266</v>
      </c>
      <c r="B20" s="17" t="s">
        <v>376</v>
      </c>
    </row>
    <row r="21" customFormat="false" ht="15" hidden="false" customHeight="false" outlineLevel="0" collapsed="false">
      <c r="A21" s="17" t="s">
        <v>1172</v>
      </c>
      <c r="B21" s="17" t="s">
        <v>376</v>
      </c>
    </row>
    <row r="22" customFormat="false" ht="15" hidden="false" customHeight="false" outlineLevel="0" collapsed="false">
      <c r="A22" s="17" t="s">
        <v>2734</v>
      </c>
      <c r="B22" s="17" t="s">
        <v>596</v>
      </c>
    </row>
    <row r="23" customFormat="false" ht="15" hidden="false" customHeight="false" outlineLevel="0" collapsed="false">
      <c r="A23" s="17" t="s">
        <v>5267</v>
      </c>
      <c r="B23" s="17" t="s">
        <v>219</v>
      </c>
    </row>
    <row r="24" customFormat="false" ht="15" hidden="false" customHeight="false" outlineLevel="0" collapsed="false">
      <c r="A24" s="17" t="s">
        <v>2099</v>
      </c>
      <c r="B24" s="17" t="s">
        <v>480</v>
      </c>
    </row>
    <row r="25" customFormat="false" ht="15" hidden="false" customHeight="false" outlineLevel="0" collapsed="false">
      <c r="A25" s="17" t="s">
        <v>5268</v>
      </c>
      <c r="B25" s="17" t="s">
        <v>42</v>
      </c>
    </row>
    <row r="26" customFormat="false" ht="15" hidden="false" customHeight="false" outlineLevel="0" collapsed="false">
      <c r="A26" s="17" t="s">
        <v>5269</v>
      </c>
      <c r="B26" s="17" t="s">
        <v>42</v>
      </c>
    </row>
    <row r="27" customFormat="false" ht="15" hidden="false" customHeight="false" outlineLevel="0" collapsed="false">
      <c r="A27" s="17" t="s">
        <v>168</v>
      </c>
      <c r="B27" s="17" t="s">
        <v>42</v>
      </c>
    </row>
    <row r="28" customFormat="false" ht="15" hidden="false" customHeight="false" outlineLevel="0" collapsed="false">
      <c r="A28" s="17" t="s">
        <v>5270</v>
      </c>
      <c r="B28" s="17" t="s">
        <v>463</v>
      </c>
    </row>
    <row r="29" customFormat="false" ht="15" hidden="false" customHeight="false" outlineLevel="0" collapsed="false">
      <c r="A29" s="17" t="s">
        <v>1313</v>
      </c>
      <c r="B29" s="17" t="s">
        <v>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3" t="s">
        <v>5253</v>
      </c>
      <c r="B1" s="3" t="s">
        <v>5254</v>
      </c>
    </row>
    <row r="2" customFormat="false" ht="15" hidden="false" customHeight="false" outlineLevel="0" collapsed="false">
      <c r="A2" s="17" t="s">
        <v>5271</v>
      </c>
      <c r="B2" s="17" t="s">
        <v>357</v>
      </c>
    </row>
    <row r="3" customFormat="false" ht="15" hidden="false" customHeight="false" outlineLevel="0" collapsed="false">
      <c r="A3" s="17" t="s">
        <v>5272</v>
      </c>
      <c r="B3" s="17" t="s">
        <v>44</v>
      </c>
    </row>
    <row r="4" customFormat="false" ht="15" hidden="false" customHeight="false" outlineLevel="0" collapsed="false">
      <c r="A4" s="17" t="s">
        <v>52</v>
      </c>
      <c r="B4" s="17" t="s">
        <v>44</v>
      </c>
    </row>
    <row r="5" customFormat="false" ht="15" hidden="false" customHeight="false" outlineLevel="0" collapsed="false">
      <c r="A5" s="17" t="s">
        <v>768</v>
      </c>
      <c r="B5" s="17" t="s">
        <v>221</v>
      </c>
    </row>
    <row r="6" customFormat="false" ht="15" hidden="false" customHeight="false" outlineLevel="0" collapsed="false">
      <c r="A6" s="17" t="s">
        <v>5273</v>
      </c>
      <c r="B6" s="17" t="s">
        <v>863</v>
      </c>
    </row>
    <row r="7" customFormat="false" ht="15" hidden="false" customHeight="false" outlineLevel="0" collapsed="false">
      <c r="A7" s="17" t="s">
        <v>5274</v>
      </c>
      <c r="B7" s="17" t="s">
        <v>863</v>
      </c>
    </row>
    <row r="8" customFormat="false" ht="15" hidden="false" customHeight="false" outlineLevel="0" collapsed="false">
      <c r="A8" s="17" t="s">
        <v>5275</v>
      </c>
      <c r="B8" s="17" t="s">
        <v>433</v>
      </c>
    </row>
    <row r="9" customFormat="false" ht="15" hidden="false" customHeight="false" outlineLevel="0" collapsed="false">
      <c r="A9" s="17" t="s">
        <v>5276</v>
      </c>
      <c r="B9" s="17" t="s">
        <v>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3" t="s">
        <v>20</v>
      </c>
      <c r="B1" s="3" t="s">
        <v>21</v>
      </c>
      <c r="C1" s="3" t="s">
        <v>22</v>
      </c>
      <c r="D1" s="3" t="s">
        <v>5241</v>
      </c>
      <c r="E1" s="3" t="s">
        <v>5277</v>
      </c>
      <c r="F1" s="3" t="s">
        <v>19</v>
      </c>
    </row>
    <row r="2" customFormat="false" ht="15" hidden="false" customHeight="false" outlineLevel="0" collapsed="false">
      <c r="A2" s="17" t="s">
        <v>612</v>
      </c>
      <c r="B2" s="17" t="s">
        <v>627</v>
      </c>
      <c r="C2" s="17" t="s">
        <v>42</v>
      </c>
      <c r="D2" s="17" t="s">
        <v>5278</v>
      </c>
      <c r="E2" s="17" t="s">
        <v>5279</v>
      </c>
      <c r="F2" s="18" t="n">
        <v>45976</v>
      </c>
    </row>
    <row r="3" customFormat="false" ht="15" hidden="false" customHeight="false" outlineLevel="0" collapsed="false">
      <c r="A3" s="17" t="s">
        <v>1649</v>
      </c>
      <c r="B3" s="17" t="s">
        <v>627</v>
      </c>
      <c r="C3" s="17" t="s">
        <v>42</v>
      </c>
      <c r="D3" s="17" t="s">
        <v>5278</v>
      </c>
      <c r="E3" s="17" t="s">
        <v>5279</v>
      </c>
      <c r="F3" s="18" t="n">
        <v>46130</v>
      </c>
    </row>
    <row r="4" customFormat="false" ht="15" hidden="false" customHeight="false" outlineLevel="0" collapsed="false">
      <c r="A4" s="17" t="s">
        <v>2849</v>
      </c>
      <c r="B4" s="17" t="s">
        <v>627</v>
      </c>
      <c r="C4" s="17" t="s">
        <v>376</v>
      </c>
      <c r="D4" s="17" t="s">
        <v>5280</v>
      </c>
      <c r="E4" s="17" t="s">
        <v>5279</v>
      </c>
      <c r="F4" s="18" t="n">
        <v>46046</v>
      </c>
    </row>
    <row r="5" customFormat="false" ht="15" hidden="false" customHeight="false" outlineLevel="0" collapsed="false">
      <c r="A5" s="17" t="s">
        <v>3784</v>
      </c>
      <c r="B5" s="17" t="s">
        <v>627</v>
      </c>
      <c r="C5" s="17" t="s">
        <v>736</v>
      </c>
      <c r="D5" s="17" t="s">
        <v>5281</v>
      </c>
      <c r="E5" s="17" t="s">
        <v>5279</v>
      </c>
      <c r="F5" s="18" t="n">
        <v>45892</v>
      </c>
    </row>
    <row r="6" customFormat="false" ht="15" hidden="false" customHeight="false" outlineLevel="0" collapsed="false">
      <c r="A6" s="17" t="s">
        <v>305</v>
      </c>
      <c r="B6" s="17" t="s">
        <v>306</v>
      </c>
      <c r="C6" s="17" t="s">
        <v>42</v>
      </c>
      <c r="D6" s="17" t="s">
        <v>5282</v>
      </c>
      <c r="E6" s="17" t="s">
        <v>5279</v>
      </c>
      <c r="F6" s="18" t="n">
        <v>45934</v>
      </c>
    </row>
    <row r="7" customFormat="false" ht="15" hidden="false" customHeight="false" outlineLevel="0" collapsed="false">
      <c r="A7" s="17" t="s">
        <v>2375</v>
      </c>
      <c r="B7" s="17" t="s">
        <v>306</v>
      </c>
      <c r="C7" s="17" t="s">
        <v>376</v>
      </c>
      <c r="D7" s="17" t="s">
        <v>5283</v>
      </c>
      <c r="E7" s="17" t="s">
        <v>5284</v>
      </c>
      <c r="F7" s="18" t="n">
        <v>45822</v>
      </c>
    </row>
    <row r="8" customFormat="false" ht="15" hidden="false" customHeight="false" outlineLevel="0" collapsed="false">
      <c r="A8" s="17" t="s">
        <v>3189</v>
      </c>
      <c r="B8" s="17" t="s">
        <v>306</v>
      </c>
      <c r="C8" s="17" t="s">
        <v>376</v>
      </c>
      <c r="D8" s="17" t="s">
        <v>5285</v>
      </c>
      <c r="E8" s="17" t="s">
        <v>5279</v>
      </c>
      <c r="F8" s="18" t="n">
        <v>46151</v>
      </c>
    </row>
    <row r="9" customFormat="false" ht="15" hidden="false" customHeight="false" outlineLevel="0" collapsed="false">
      <c r="A9" s="17" t="s">
        <v>4651</v>
      </c>
      <c r="B9" s="17" t="s">
        <v>306</v>
      </c>
      <c r="C9" s="17" t="s">
        <v>736</v>
      </c>
      <c r="D9" s="17" t="s">
        <v>5286</v>
      </c>
      <c r="E9" s="17" t="s">
        <v>5279</v>
      </c>
      <c r="F9" s="18" t="n">
        <v>46081</v>
      </c>
    </row>
    <row r="10" customFormat="false" ht="15" hidden="false" customHeight="false" outlineLevel="0" collapsed="false">
      <c r="A10" s="17" t="s">
        <v>35</v>
      </c>
      <c r="B10" s="17" t="s">
        <v>36</v>
      </c>
      <c r="C10" s="17" t="s">
        <v>42</v>
      </c>
      <c r="D10" s="17" t="s">
        <v>5287</v>
      </c>
      <c r="E10" s="17" t="s">
        <v>5284</v>
      </c>
      <c r="F10" s="18"/>
    </row>
    <row r="11" customFormat="false" ht="15" hidden="false" customHeight="false" outlineLevel="0" collapsed="false">
      <c r="A11" s="17" t="s">
        <v>2322</v>
      </c>
      <c r="B11" s="17" t="s">
        <v>36</v>
      </c>
      <c r="C11" s="17" t="s">
        <v>376</v>
      </c>
      <c r="D11" s="17" t="s">
        <v>5288</v>
      </c>
      <c r="E11" s="17" t="s">
        <v>5284</v>
      </c>
      <c r="F11" s="18"/>
    </row>
    <row r="12" customFormat="false" ht="15" hidden="false" customHeight="false" outlineLevel="0" collapsed="false">
      <c r="A12" s="17" t="s">
        <v>3624</v>
      </c>
      <c r="B12" s="17" t="s">
        <v>36</v>
      </c>
      <c r="C12" s="17" t="s">
        <v>736</v>
      </c>
      <c r="D12" s="17" t="s">
        <v>5289</v>
      </c>
      <c r="E12" s="17" t="s">
        <v>5284</v>
      </c>
      <c r="F12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2026-10-09T14:56:29Z</dcterms:created>
  <dc:creator>openpyxl</dc:creator>
  <dc:description/>
  <dc:language>en-US</dc:language>
  <cp:lastModifiedBy/>
  <dcterms:modified xsi:type="dcterms:W3CDTF">2026-10-09T14:56:38Z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